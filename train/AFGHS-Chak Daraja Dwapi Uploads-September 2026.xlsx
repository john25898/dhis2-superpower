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Dwapi Uploads\"/>
    </mc:Choice>
  </mc:AlternateContent>
  <xr:revisionPtr revIDLastSave="0" documentId="13_ncr:1_{51BA5427-84FD-4AC6-A64A-D599C64DBD43}" xr6:coauthVersionLast="47" xr6:coauthVersionMax="47" xr10:uidLastSave="{00000000-0000-0000-0000-000000000000}"/>
  <bookViews>
    <workbookView xWindow="-110" yWindow="-110" windowWidth="19420" windowHeight="11500" tabRatio="500" xr2:uid="{00000000-000D-0000-FFFF-FFFF00000000}"/>
  </bookViews>
  <sheets>
    <sheet name="Cluster Summary" sheetId="1" r:id="rId1"/>
    <sheet name="FAA Milestone Link" sheetId="2" r:id="rId2"/>
    <sheet name="Facility Tracker" sheetId="3" r:id="rId3"/>
    <sheet name="Live Data" sheetId="4" r:id="rId4"/>
    <sheet name="Cluster Map" sheetId="5" r:id="rId5"/>
    <sheet name="Data" sheetId="6" r:id="rId6"/>
    <sheet name="SPOT_Import" sheetId="7" r:id="rId7"/>
    <sheet name="FAA Milestones" sheetId="8" r:id="rId8"/>
  </sheets>
  <definedNames>
    <definedName name="_xlnm._FilterDatabase" localSheetId="5" hidden="1">Data!$A$1:$P$2500</definedName>
    <definedName name="_xlnm._FilterDatabase" localSheetId="2" hidden="1">'Facility Tracker'!$A$4:$K$212</definedName>
    <definedName name="ExternalData_1" localSheetId="6" hidden="1">SPOT_Import!$A$1:$L$1116</definedName>
    <definedName name="SpotFolder">'Live Data'!$C$5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2" i="4" l="1"/>
  <c r="K918" i="6" s="1"/>
  <c r="C21" i="4"/>
  <c r="J808" i="6" s="1"/>
  <c r="C20" i="4"/>
  <c r="I1428" i="6" s="1"/>
  <c r="C19" i="4"/>
  <c r="H867" i="6" s="1"/>
  <c r="C18" i="4"/>
  <c r="C17" i="4"/>
  <c r="C16" i="4"/>
  <c r="E1145" i="6" s="1"/>
  <c r="C15" i="4"/>
  <c r="C14" i="4"/>
  <c r="C187" i="6" s="1"/>
  <c r="C13" i="4"/>
  <c r="B187" i="6" s="1"/>
  <c r="C12" i="4"/>
  <c r="A793" i="6" s="1"/>
  <c r="C8" i="4"/>
  <c r="A2" i="3"/>
  <c r="H81" i="2"/>
  <c r="F81" i="2"/>
  <c r="E81" i="2"/>
  <c r="H80" i="2"/>
  <c r="F80" i="2"/>
  <c r="E80" i="2"/>
  <c r="H79" i="2"/>
  <c r="J79" i="2" s="1"/>
  <c r="F79" i="2"/>
  <c r="E79" i="2"/>
  <c r="H78" i="2"/>
  <c r="J78" i="2" s="1"/>
  <c r="F78" i="2"/>
  <c r="E78" i="2"/>
  <c r="H77" i="2"/>
  <c r="K77" i="2" s="1"/>
  <c r="F77" i="2"/>
  <c r="F82" i="2" s="1"/>
  <c r="E77" i="2"/>
  <c r="F76" i="2"/>
  <c r="E76" i="2"/>
  <c r="B69" i="2"/>
  <c r="B68" i="2"/>
  <c r="B67" i="2"/>
  <c r="B66" i="2"/>
  <c r="B65" i="2"/>
  <c r="B64" i="2"/>
  <c r="B63" i="2"/>
  <c r="B62" i="2"/>
  <c r="B61" i="2"/>
  <c r="B60" i="2"/>
  <c r="B59" i="2"/>
  <c r="B58" i="2"/>
  <c r="B57" i="2"/>
  <c r="B56" i="2"/>
  <c r="B55" i="2"/>
  <c r="B54" i="2"/>
  <c r="B53" i="2"/>
  <c r="B52" i="2"/>
  <c r="B51" i="2"/>
  <c r="B50" i="2"/>
  <c r="B49" i="2"/>
  <c r="C41" i="2"/>
  <c r="C27" i="2"/>
  <c r="C26" i="2"/>
  <c r="C15" i="2"/>
  <c r="C14" i="2"/>
  <c r="C13" i="2"/>
  <c r="C12" i="2"/>
  <c r="C11" i="2"/>
  <c r="C10" i="2"/>
  <c r="C9" i="2"/>
  <c r="C8" i="2"/>
  <c r="C7" i="2"/>
  <c r="C6" i="2"/>
  <c r="B44" i="1"/>
  <c r="B43" i="1"/>
  <c r="B42" i="1"/>
  <c r="B41" i="1"/>
  <c r="B40" i="1"/>
  <c r="A25" i="6" l="1"/>
  <c r="K38" i="6"/>
  <c r="E46" i="6"/>
  <c r="K93" i="6"/>
  <c r="I171" i="6"/>
  <c r="I65" i="6"/>
  <c r="K76" i="6"/>
  <c r="J175" i="6"/>
  <c r="A335" i="6"/>
  <c r="A190" i="6"/>
  <c r="K345" i="6"/>
  <c r="C350" i="6"/>
  <c r="I382" i="6"/>
  <c r="K564" i="6"/>
  <c r="E47" i="6"/>
  <c r="E346" i="6"/>
  <c r="E65" i="6"/>
  <c r="E200" i="6"/>
  <c r="I401" i="6"/>
  <c r="I220" i="6"/>
  <c r="I100" i="6"/>
  <c r="J223" i="6"/>
  <c r="J568" i="6"/>
  <c r="I7" i="6"/>
  <c r="I573" i="6"/>
  <c r="K105" i="6"/>
  <c r="K106" i="6"/>
  <c r="J273" i="6"/>
  <c r="A26" i="6"/>
  <c r="I133" i="6"/>
  <c r="E304" i="6"/>
  <c r="J35" i="6"/>
  <c r="J133" i="6"/>
  <c r="E307" i="6"/>
  <c r="E172" i="6"/>
  <c r="E191" i="6"/>
  <c r="J104" i="6"/>
  <c r="J266" i="6"/>
  <c r="I10" i="6"/>
  <c r="I269" i="6"/>
  <c r="E608" i="6"/>
  <c r="I36" i="6"/>
  <c r="E143" i="6"/>
  <c r="I317" i="6"/>
  <c r="F203" i="6"/>
  <c r="F171" i="6"/>
  <c r="F93" i="6"/>
  <c r="F35" i="6"/>
  <c r="F837" i="6"/>
  <c r="F491" i="6"/>
  <c r="F163" i="6"/>
  <c r="F63" i="6"/>
  <c r="F3" i="6"/>
  <c r="F358" i="6"/>
  <c r="F606" i="6"/>
  <c r="F17" i="6"/>
  <c r="F2" i="6"/>
  <c r="F423" i="6"/>
  <c r="F15" i="6"/>
  <c r="F420" i="6"/>
  <c r="F147" i="6"/>
  <c r="F413" i="6"/>
  <c r="F870" i="6"/>
  <c r="F407" i="6"/>
  <c r="F172" i="6"/>
  <c r="F617" i="6"/>
  <c r="F239" i="6"/>
  <c r="F352" i="6"/>
  <c r="F238" i="6"/>
  <c r="F148" i="6"/>
  <c r="F44" i="6"/>
  <c r="F116" i="6"/>
  <c r="F55" i="6"/>
  <c r="F28" i="6"/>
  <c r="F142" i="6"/>
  <c r="G88" i="6"/>
  <c r="G425" i="6"/>
  <c r="F857" i="6"/>
  <c r="H325" i="6"/>
  <c r="H855" i="6"/>
  <c r="H262" i="6"/>
  <c r="H7" i="6"/>
  <c r="H261" i="6"/>
  <c r="H92" i="6"/>
  <c r="H129" i="6"/>
  <c r="H1151" i="6"/>
  <c r="H1093" i="6"/>
  <c r="H148" i="6"/>
  <c r="H112" i="6"/>
  <c r="H282" i="6"/>
  <c r="H176" i="6"/>
  <c r="H73" i="6"/>
  <c r="H245" i="6"/>
  <c r="H157" i="6"/>
  <c r="H2" i="6"/>
  <c r="H44" i="6"/>
  <c r="H191" i="6"/>
  <c r="H332" i="6"/>
  <c r="F73" i="6"/>
  <c r="F10" i="6"/>
  <c r="H203" i="6"/>
  <c r="H219" i="6"/>
  <c r="H35" i="6"/>
  <c r="J2" i="6"/>
  <c r="K86" i="6"/>
  <c r="I157" i="6"/>
  <c r="I242" i="6"/>
  <c r="J302" i="6"/>
  <c r="I358" i="6"/>
  <c r="A451" i="6"/>
  <c r="E627" i="6"/>
  <c r="I14" i="6"/>
  <c r="I277" i="6"/>
  <c r="J580" i="6"/>
  <c r="I896" i="6"/>
  <c r="I290" i="6"/>
  <c r="I1052" i="6"/>
  <c r="I85" i="6"/>
  <c r="K157" i="6"/>
  <c r="J371" i="6"/>
  <c r="I470" i="6"/>
  <c r="I630" i="6"/>
  <c r="I580" i="6"/>
  <c r="I894" i="6"/>
  <c r="J14" i="6"/>
  <c r="I43" i="6"/>
  <c r="I226" i="6"/>
  <c r="I77" i="6"/>
  <c r="I176" i="6"/>
  <c r="I587" i="6"/>
  <c r="J77" i="6"/>
  <c r="I112" i="6"/>
  <c r="K184" i="6"/>
  <c r="I238" i="6"/>
  <c r="K290" i="6"/>
  <c r="K77" i="6"/>
  <c r="K113" i="6"/>
  <c r="I148" i="6"/>
  <c r="K238" i="6"/>
  <c r="I301" i="6"/>
  <c r="I352" i="6"/>
  <c r="J439" i="6"/>
  <c r="I2" i="6"/>
  <c r="K114" i="6"/>
  <c r="I302" i="6"/>
  <c r="I450" i="6"/>
  <c r="K1501" i="6"/>
  <c r="I28" i="6"/>
  <c r="K56" i="6"/>
  <c r="I116" i="6"/>
  <c r="K191" i="6"/>
  <c r="I3" i="6"/>
  <c r="J28" i="6"/>
  <c r="K57" i="6"/>
  <c r="I88" i="6"/>
  <c r="K161" i="6"/>
  <c r="I245" i="6"/>
  <c r="I375" i="6"/>
  <c r="I489" i="6"/>
  <c r="I772" i="6"/>
  <c r="K3" i="6"/>
  <c r="K28" i="6"/>
  <c r="K129" i="6"/>
  <c r="I200" i="6"/>
  <c r="J308" i="6"/>
  <c r="K378" i="6"/>
  <c r="K64" i="6"/>
  <c r="J132" i="6"/>
  <c r="J309" i="6"/>
  <c r="I381" i="6"/>
  <c r="E493" i="6"/>
  <c r="D420" i="6"/>
  <c r="D951" i="6"/>
  <c r="D215" i="6"/>
  <c r="D59" i="6"/>
  <c r="D525" i="6"/>
  <c r="C3" i="6"/>
  <c r="B33" i="6"/>
  <c r="E279" i="6"/>
  <c r="B18" i="6"/>
  <c r="F1370" i="6"/>
  <c r="F1373" i="6"/>
  <c r="F825" i="6"/>
  <c r="F605" i="6"/>
  <c r="F439" i="6"/>
  <c r="F315" i="6"/>
  <c r="F277" i="6"/>
  <c r="F168" i="6"/>
  <c r="F156" i="6"/>
  <c r="F126" i="6"/>
  <c r="F111" i="6"/>
  <c r="F98" i="6"/>
  <c r="F53" i="6"/>
  <c r="F43" i="6"/>
  <c r="F24" i="6"/>
  <c r="F211" i="6"/>
  <c r="F164" i="6"/>
  <c r="F79" i="6"/>
  <c r="F759" i="6"/>
  <c r="F150" i="6"/>
  <c r="F66" i="6"/>
  <c r="F651" i="6"/>
  <c r="F819" i="6"/>
  <c r="F602" i="6"/>
  <c r="F552" i="6"/>
  <c r="F275" i="6"/>
  <c r="F235" i="6"/>
  <c r="F196" i="6"/>
  <c r="F83" i="6"/>
  <c r="F32" i="6"/>
  <c r="F23" i="6"/>
  <c r="F14" i="6"/>
  <c r="F6" i="6"/>
  <c r="F1172" i="6"/>
  <c r="F536" i="6"/>
  <c r="F246" i="6"/>
  <c r="F178" i="6"/>
  <c r="F11" i="6"/>
  <c r="F927" i="6"/>
  <c r="F462" i="6"/>
  <c r="F49" i="6"/>
  <c r="F1304" i="6"/>
  <c r="F366" i="6"/>
  <c r="F339" i="6"/>
  <c r="F312" i="6"/>
  <c r="F182" i="6"/>
  <c r="F97" i="6"/>
  <c r="F71" i="6"/>
  <c r="F42" i="6"/>
  <c r="F12" i="6"/>
  <c r="F134" i="6"/>
  <c r="F51" i="6"/>
  <c r="F4" i="6"/>
  <c r="F382" i="6"/>
  <c r="F225" i="6"/>
  <c r="F803" i="6"/>
  <c r="F671" i="6"/>
  <c r="F539" i="6"/>
  <c r="F386" i="6"/>
  <c r="F365" i="6"/>
  <c r="F337" i="6"/>
  <c r="F296" i="6"/>
  <c r="F214" i="6"/>
  <c r="F193" i="6"/>
  <c r="F179" i="6"/>
  <c r="F70" i="6"/>
  <c r="F52" i="6"/>
  <c r="F41" i="6"/>
  <c r="F5" i="6"/>
  <c r="F975" i="6"/>
  <c r="F776" i="6"/>
  <c r="F670" i="6"/>
  <c r="F472" i="6"/>
  <c r="F361" i="6"/>
  <c r="F294" i="6"/>
  <c r="F228" i="6"/>
  <c r="F212" i="6"/>
  <c r="F136" i="6"/>
  <c r="F120" i="6"/>
  <c r="F107" i="6"/>
  <c r="F95" i="6"/>
  <c r="F39" i="6"/>
  <c r="F360" i="6"/>
  <c r="F192" i="6"/>
  <c r="F151" i="6"/>
  <c r="F586" i="6"/>
  <c r="F359" i="6"/>
  <c r="F269" i="6"/>
  <c r="F38" i="6"/>
  <c r="F523" i="6"/>
  <c r="F457" i="6"/>
  <c r="F267" i="6"/>
  <c r="F207" i="6"/>
  <c r="E75" i="6"/>
  <c r="C285" i="6"/>
  <c r="D17" i="4"/>
  <c r="E18" i="6"/>
  <c r="E101" i="6"/>
  <c r="F149" i="6"/>
  <c r="F206" i="6"/>
  <c r="E285" i="6"/>
  <c r="F319" i="6"/>
  <c r="F705" i="6"/>
  <c r="E1057" i="6"/>
  <c r="F7" i="6"/>
  <c r="F101" i="6"/>
  <c r="C157" i="6"/>
  <c r="F217" i="6"/>
  <c r="E286" i="6"/>
  <c r="E324" i="6"/>
  <c r="E375" i="6"/>
  <c r="F440" i="6"/>
  <c r="F711" i="6"/>
  <c r="B489" i="6"/>
  <c r="C47" i="6"/>
  <c r="E54" i="6"/>
  <c r="B425" i="6"/>
  <c r="F636" i="6"/>
  <c r="C18" i="6"/>
  <c r="F205" i="6"/>
  <c r="F558" i="6"/>
  <c r="C7" i="6"/>
  <c r="E37" i="6"/>
  <c r="E58" i="6"/>
  <c r="E255" i="6"/>
  <c r="F573" i="6"/>
  <c r="E1124" i="6"/>
  <c r="F58" i="6"/>
  <c r="B130" i="6"/>
  <c r="F330" i="6"/>
  <c r="F747" i="6"/>
  <c r="F85" i="6"/>
  <c r="F105" i="6"/>
  <c r="F259" i="6"/>
  <c r="F379" i="6"/>
  <c r="B457" i="6"/>
  <c r="F753" i="6"/>
  <c r="C62" i="6"/>
  <c r="C119" i="6"/>
  <c r="C991" i="6"/>
  <c r="C818" i="6"/>
  <c r="C166" i="6"/>
  <c r="C154" i="6"/>
  <c r="C140" i="6"/>
  <c r="C193" i="6"/>
  <c r="C20" i="6"/>
  <c r="C591" i="6"/>
  <c r="C311" i="6"/>
  <c r="C152" i="6"/>
  <c r="C81" i="6"/>
  <c r="C662" i="6"/>
  <c r="C118" i="6"/>
  <c r="B66" i="6"/>
  <c r="E1042" i="6"/>
  <c r="E215" i="6"/>
  <c r="E199" i="6"/>
  <c r="E142" i="6"/>
  <c r="E2" i="6"/>
  <c r="E292" i="6"/>
  <c r="E228" i="6"/>
  <c r="E192" i="6"/>
  <c r="E19" i="6"/>
  <c r="E994" i="6"/>
  <c r="E684" i="6"/>
  <c r="E475" i="6"/>
  <c r="E368" i="6"/>
  <c r="E251" i="6"/>
  <c r="E125" i="6"/>
  <c r="E110" i="6"/>
  <c r="E53" i="6"/>
  <c r="E755" i="6"/>
  <c r="E672" i="6"/>
  <c r="E275" i="6"/>
  <c r="E250" i="6"/>
  <c r="E195" i="6"/>
  <c r="E82" i="6"/>
  <c r="E32" i="6"/>
  <c r="E23" i="6"/>
  <c r="E6" i="6"/>
  <c r="E69" i="6"/>
  <c r="E208" i="6"/>
  <c r="E79" i="6"/>
  <c r="E432" i="6"/>
  <c r="E249" i="6"/>
  <c r="E138" i="6"/>
  <c r="E97" i="6"/>
  <c r="E81" i="6"/>
  <c r="E12" i="6"/>
  <c r="E590" i="6"/>
  <c r="E384" i="6"/>
  <c r="E247" i="6"/>
  <c r="E179" i="6"/>
  <c r="E5" i="6"/>
  <c r="E310" i="6"/>
  <c r="E68" i="6"/>
  <c r="E1152" i="6"/>
  <c r="E428" i="6"/>
  <c r="E164" i="6"/>
  <c r="B34" i="6"/>
  <c r="B116" i="6"/>
  <c r="E510" i="6"/>
  <c r="D16" i="4"/>
  <c r="F241" i="6"/>
  <c r="F317" i="6"/>
  <c r="F511" i="6"/>
  <c r="C101" i="6"/>
  <c r="F176" i="6"/>
  <c r="F703" i="6"/>
  <c r="F57" i="6"/>
  <c r="F129" i="6"/>
  <c r="F374" i="6"/>
  <c r="F25" i="6"/>
  <c r="F104" i="6"/>
  <c r="E219" i="6"/>
  <c r="F324" i="6"/>
  <c r="F728" i="6"/>
  <c r="E257" i="6"/>
  <c r="F1124" i="6"/>
  <c r="F9" i="6"/>
  <c r="D26" i="6"/>
  <c r="E62" i="6"/>
  <c r="E10" i="6"/>
  <c r="F27" i="6"/>
  <c r="E44" i="6"/>
  <c r="F62" i="6"/>
  <c r="F133" i="6"/>
  <c r="E158" i="6"/>
  <c r="E222" i="6"/>
  <c r="F302" i="6"/>
  <c r="C457" i="6"/>
  <c r="B299" i="6"/>
  <c r="B62" i="6"/>
  <c r="B20" i="6"/>
  <c r="B59" i="6"/>
  <c r="B311" i="6"/>
  <c r="B52" i="6"/>
  <c r="B335" i="6"/>
  <c r="B94" i="6"/>
  <c r="H59" i="6"/>
  <c r="I164" i="6"/>
  <c r="H336" i="6"/>
  <c r="I431" i="6"/>
  <c r="I537" i="6"/>
  <c r="I1238" i="6"/>
  <c r="D20" i="4"/>
  <c r="I21" i="6"/>
  <c r="K31" i="6"/>
  <c r="I59" i="6"/>
  <c r="H108" i="6"/>
  <c r="I121" i="6"/>
  <c r="K153" i="6"/>
  <c r="I165" i="6"/>
  <c r="H234" i="6"/>
  <c r="K273" i="6"/>
  <c r="H472" i="6"/>
  <c r="K988" i="6"/>
  <c r="I1274" i="6"/>
  <c r="H52" i="6"/>
  <c r="I60" i="6"/>
  <c r="I109" i="6"/>
  <c r="K122" i="6"/>
  <c r="I214" i="6"/>
  <c r="K234" i="6"/>
  <c r="I297" i="6"/>
  <c r="A392" i="6"/>
  <c r="I436" i="6"/>
  <c r="I472" i="6"/>
  <c r="H539" i="6"/>
  <c r="H598" i="6"/>
  <c r="H431" i="6"/>
  <c r="H31" i="6"/>
  <c r="A43" i="6"/>
  <c r="I72" i="6"/>
  <c r="K97" i="6"/>
  <c r="I140" i="6"/>
  <c r="I155" i="6"/>
  <c r="K167" i="6"/>
  <c r="H183" i="6"/>
  <c r="K297" i="6"/>
  <c r="I312" i="6"/>
  <c r="I340" i="6"/>
  <c r="I395" i="6"/>
  <c r="K437" i="6"/>
  <c r="K1336" i="6"/>
  <c r="H662" i="6"/>
  <c r="I11" i="6"/>
  <c r="J6" i="6"/>
  <c r="H14" i="6"/>
  <c r="I32" i="6"/>
  <c r="K72" i="6"/>
  <c r="H84" i="6"/>
  <c r="J184" i="6"/>
  <c r="I235" i="6"/>
  <c r="K251" i="6"/>
  <c r="H343" i="6"/>
  <c r="I371" i="6"/>
  <c r="I396" i="6"/>
  <c r="J484" i="6"/>
  <c r="I553" i="6"/>
  <c r="J684" i="6"/>
  <c r="B548" i="6"/>
  <c r="B1366" i="6"/>
  <c r="B451" i="6"/>
  <c r="B362" i="6"/>
  <c r="B257" i="6"/>
  <c r="B194" i="6"/>
  <c r="B115" i="6"/>
  <c r="B26" i="6"/>
  <c r="B646" i="6"/>
  <c r="B544" i="6"/>
  <c r="B525" i="6"/>
  <c r="B483" i="6"/>
  <c r="B264" i="6"/>
  <c r="B1116" i="6"/>
  <c r="B361" i="6"/>
  <c r="B186" i="6"/>
  <c r="B12" i="6"/>
  <c r="B327" i="6"/>
  <c r="B185" i="6"/>
  <c r="B334" i="6"/>
  <c r="B214" i="6"/>
  <c r="B138" i="6"/>
  <c r="B526" i="6"/>
  <c r="B111" i="6"/>
  <c r="B74" i="6"/>
  <c r="B13" i="6"/>
  <c r="B416" i="6"/>
  <c r="B320" i="6"/>
  <c r="B230" i="6"/>
  <c r="B391" i="6"/>
  <c r="B353" i="6"/>
  <c r="B342" i="6"/>
  <c r="B318" i="6"/>
  <c r="B229" i="6"/>
  <c r="B228" i="6"/>
  <c r="B53" i="6"/>
  <c r="B594" i="6"/>
  <c r="B495" i="6"/>
  <c r="B455" i="6"/>
  <c r="B803" i="6"/>
  <c r="B668" i="6"/>
  <c r="B236" i="6"/>
  <c r="B46" i="6"/>
  <c r="A12" i="6"/>
  <c r="D19" i="6"/>
  <c r="A78" i="6"/>
  <c r="B87" i="6"/>
  <c r="B108" i="6"/>
  <c r="B178" i="6"/>
  <c r="A403" i="6"/>
  <c r="B736" i="6"/>
  <c r="A1263" i="6"/>
  <c r="N1263" i="6" s="1"/>
  <c r="C1797" i="6"/>
  <c r="C514" i="6"/>
  <c r="C496" i="6"/>
  <c r="C242" i="6"/>
  <c r="C214" i="6"/>
  <c r="C110" i="6"/>
  <c r="C52" i="6"/>
  <c r="C46" i="6"/>
  <c r="C42" i="6"/>
  <c r="C1568" i="6"/>
  <c r="C361" i="6"/>
  <c r="C312" i="6"/>
  <c r="C40" i="6"/>
  <c r="C12" i="6"/>
  <c r="C1216" i="6"/>
  <c r="C427" i="6"/>
  <c r="C353" i="6"/>
  <c r="C206" i="6"/>
  <c r="C161" i="6"/>
  <c r="C108" i="6"/>
  <c r="C55" i="6"/>
  <c r="C25" i="6"/>
  <c r="C720" i="6"/>
  <c r="C612" i="6"/>
  <c r="C416" i="6"/>
  <c r="C192" i="6"/>
  <c r="C853" i="6"/>
  <c r="C642" i="6"/>
  <c r="C608" i="6"/>
  <c r="C111" i="6"/>
  <c r="C103" i="6"/>
  <c r="C13" i="6"/>
  <c r="C1270" i="6"/>
  <c r="C301" i="6"/>
  <c r="C276" i="6"/>
  <c r="C194" i="6"/>
  <c r="C61" i="6"/>
  <c r="C4" i="6"/>
  <c r="C1516" i="6"/>
  <c r="C392" i="6"/>
  <c r="C354" i="6"/>
  <c r="C299" i="6"/>
  <c r="C574" i="6"/>
  <c r="C201" i="6"/>
  <c r="C985" i="6"/>
  <c r="C884" i="6"/>
  <c r="C624" i="6"/>
  <c r="C327" i="6"/>
  <c r="C258" i="6"/>
  <c r="C173" i="6"/>
  <c r="C59" i="6"/>
  <c r="C541" i="6"/>
  <c r="C384" i="6"/>
  <c r="C315" i="6"/>
  <c r="C216" i="6"/>
  <c r="C208" i="6"/>
  <c r="C98" i="6"/>
  <c r="C91" i="6"/>
  <c r="C39" i="6"/>
  <c r="C21" i="6"/>
  <c r="A61" i="6"/>
  <c r="D79" i="6"/>
  <c r="D87" i="6"/>
  <c r="A120" i="6"/>
  <c r="C144" i="6"/>
  <c r="A167" i="6"/>
  <c r="I204" i="6"/>
  <c r="B285" i="6"/>
  <c r="H358" i="6"/>
  <c r="C432" i="6"/>
  <c r="I498" i="6"/>
  <c r="H548" i="6"/>
  <c r="I653" i="6"/>
  <c r="H1033" i="6"/>
  <c r="C1264" i="6"/>
  <c r="A230" i="6"/>
  <c r="B47" i="6"/>
  <c r="A46" i="6"/>
  <c r="B269" i="6"/>
  <c r="C124" i="6"/>
  <c r="C158" i="6"/>
  <c r="H184" i="6"/>
  <c r="B195" i="6"/>
  <c r="H210" i="6"/>
  <c r="H254" i="6"/>
  <c r="I308" i="6"/>
  <c r="I324" i="6"/>
  <c r="A384" i="6"/>
  <c r="I514" i="6"/>
  <c r="I898" i="6"/>
  <c r="I1102" i="6"/>
  <c r="A280" i="6"/>
  <c r="D573" i="6"/>
  <c r="D206" i="6"/>
  <c r="D30" i="6"/>
  <c r="D1528" i="6"/>
  <c r="D601" i="6"/>
  <c r="D51" i="6"/>
  <c r="D937" i="6"/>
  <c r="D171" i="6"/>
  <c r="D75" i="6"/>
  <c r="D152" i="6"/>
  <c r="D1264" i="6"/>
  <c r="D555" i="6"/>
  <c r="D1263" i="6"/>
  <c r="D331" i="6"/>
  <c r="D285" i="6"/>
  <c r="D257" i="6"/>
  <c r="D199" i="6"/>
  <c r="D250" i="6"/>
  <c r="D501" i="6"/>
  <c r="B220" i="6"/>
  <c r="A416" i="6"/>
  <c r="A29" i="6"/>
  <c r="A90" i="6"/>
  <c r="A124" i="6"/>
  <c r="D1357" i="6"/>
  <c r="G136" i="6"/>
  <c r="G219" i="6"/>
  <c r="G96" i="6"/>
  <c r="G180" i="6"/>
  <c r="G366" i="6"/>
  <c r="C10" i="6"/>
  <c r="H23" i="6"/>
  <c r="I31" i="6"/>
  <c r="H64" i="6"/>
  <c r="I73" i="6"/>
  <c r="C82" i="6"/>
  <c r="H101" i="6"/>
  <c r="H113" i="6"/>
  <c r="D124" i="6"/>
  <c r="A139" i="6"/>
  <c r="I184" i="6"/>
  <c r="C195" i="6"/>
  <c r="I210" i="6"/>
  <c r="A421" i="6"/>
  <c r="I477" i="6"/>
  <c r="I516" i="6"/>
  <c r="G566" i="6"/>
  <c r="D1400" i="6"/>
  <c r="A1084" i="6"/>
  <c r="A624" i="6"/>
  <c r="A347" i="6"/>
  <c r="A292" i="6"/>
  <c r="A183" i="6"/>
  <c r="A18" i="6"/>
  <c r="A13" i="6"/>
  <c r="A582" i="6"/>
  <c r="A419" i="6"/>
  <c r="A181" i="6"/>
  <c r="A895" i="6"/>
  <c r="A839" i="6"/>
  <c r="A596" i="6"/>
  <c r="A580" i="6"/>
  <c r="A491" i="6"/>
  <c r="A279" i="6"/>
  <c r="A119" i="6"/>
  <c r="A82" i="6"/>
  <c r="A62" i="6"/>
  <c r="A642" i="6"/>
  <c r="A334" i="6"/>
  <c r="A214" i="6"/>
  <c r="A103" i="6"/>
  <c r="A413" i="6"/>
  <c r="A316" i="6"/>
  <c r="A284" i="6"/>
  <c r="A33" i="6"/>
  <c r="A28" i="6"/>
  <c r="A878" i="6"/>
  <c r="A452" i="6"/>
  <c r="A140" i="6"/>
  <c r="B413" i="6"/>
  <c r="D503" i="6"/>
  <c r="B89" i="6"/>
  <c r="C273" i="6"/>
  <c r="H838" i="6"/>
  <c r="H420" i="6"/>
  <c r="H227" i="6"/>
  <c r="H56" i="6"/>
  <c r="H22" i="6"/>
  <c r="H896" i="6"/>
  <c r="H494" i="6"/>
  <c r="H290" i="6"/>
  <c r="H175" i="6"/>
  <c r="H155" i="6"/>
  <c r="H121" i="6"/>
  <c r="H1314" i="6"/>
  <c r="H337" i="6"/>
  <c r="H329" i="6"/>
  <c r="H247" i="6"/>
  <c r="H239" i="6"/>
  <c r="H192" i="6"/>
  <c r="H141" i="6"/>
  <c r="H120" i="6"/>
  <c r="H80" i="6"/>
  <c r="H772" i="6"/>
  <c r="H359" i="6"/>
  <c r="H352" i="6"/>
  <c r="H297" i="6"/>
  <c r="H246" i="6"/>
  <c r="H211" i="6"/>
  <c r="H555" i="6"/>
  <c r="H393" i="6"/>
  <c r="H266" i="6"/>
  <c r="H128" i="6"/>
  <c r="H486" i="6"/>
  <c r="H441" i="6"/>
  <c r="H366" i="6"/>
  <c r="H231" i="6"/>
  <c r="H910" i="6"/>
  <c r="H462" i="6"/>
  <c r="H1103" i="6"/>
  <c r="H523" i="6"/>
  <c r="H378" i="6"/>
  <c r="H1375" i="6"/>
  <c r="H733" i="6"/>
  <c r="H496" i="6"/>
  <c r="H436" i="6"/>
  <c r="H374" i="6"/>
  <c r="H351" i="6"/>
  <c r="H238" i="6"/>
  <c r="H149" i="6"/>
  <c r="H1092" i="6"/>
  <c r="H959" i="6"/>
  <c r="H433" i="6"/>
  <c r="H269" i="6"/>
  <c r="H226" i="6"/>
  <c r="H164" i="6"/>
  <c r="H72" i="6"/>
  <c r="H10" i="6"/>
  <c r="A4" i="6"/>
  <c r="D10" i="6"/>
  <c r="H15" i="6"/>
  <c r="I23" i="6"/>
  <c r="A50" i="6"/>
  <c r="A74" i="6"/>
  <c r="H93" i="6"/>
  <c r="B139" i="6"/>
  <c r="C151" i="6"/>
  <c r="A173" i="6"/>
  <c r="A225" i="6"/>
  <c r="B241" i="6"/>
  <c r="B256" i="6"/>
  <c r="B293" i="6"/>
  <c r="A327" i="6"/>
  <c r="B347" i="6"/>
  <c r="H367" i="6"/>
  <c r="B421" i="6"/>
  <c r="B444" i="6"/>
  <c r="C483" i="6"/>
  <c r="I520" i="6"/>
  <c r="C610" i="6"/>
  <c r="B793" i="6"/>
  <c r="D929" i="6"/>
  <c r="A53" i="6"/>
  <c r="A354" i="6"/>
  <c r="A55" i="6"/>
  <c r="A342" i="6"/>
  <c r="B558" i="6"/>
  <c r="B82" i="6"/>
  <c r="I2058" i="6"/>
  <c r="I1124" i="6"/>
  <c r="I982" i="6"/>
  <c r="I743" i="6"/>
  <c r="I530" i="6"/>
  <c r="I282" i="6"/>
  <c r="I266" i="6"/>
  <c r="I207" i="6"/>
  <c r="I168" i="6"/>
  <c r="I156" i="6"/>
  <c r="I149" i="6"/>
  <c r="I129" i="6"/>
  <c r="I122" i="6"/>
  <c r="I92" i="6"/>
  <c r="I71" i="6"/>
  <c r="I35" i="6"/>
  <c r="I683" i="6"/>
  <c r="I619" i="6"/>
  <c r="I564" i="6"/>
  <c r="I337" i="6"/>
  <c r="I329" i="6"/>
  <c r="I298" i="6"/>
  <c r="I273" i="6"/>
  <c r="I255" i="6"/>
  <c r="I247" i="6"/>
  <c r="I239" i="6"/>
  <c r="I199" i="6"/>
  <c r="I192" i="6"/>
  <c r="I141" i="6"/>
  <c r="I114" i="6"/>
  <c r="I80" i="6"/>
  <c r="I680" i="6"/>
  <c r="I462" i="6"/>
  <c r="I449" i="6"/>
  <c r="I417" i="6"/>
  <c r="I386" i="6"/>
  <c r="I345" i="6"/>
  <c r="I212" i="6"/>
  <c r="I128" i="6"/>
  <c r="I101" i="6"/>
  <c r="I63" i="6"/>
  <c r="I44" i="6"/>
  <c r="I39" i="6"/>
  <c r="I1006" i="6"/>
  <c r="I878" i="6"/>
  <c r="I836" i="6"/>
  <c r="I671" i="6"/>
  <c r="I555" i="6"/>
  <c r="I475" i="6"/>
  <c r="I442" i="6"/>
  <c r="I400" i="6"/>
  <c r="I385" i="6"/>
  <c r="I1142" i="6"/>
  <c r="I582" i="6"/>
  <c r="I505" i="6"/>
  <c r="I487" i="6"/>
  <c r="I441" i="6"/>
  <c r="I430" i="6"/>
  <c r="I366" i="6"/>
  <c r="I310" i="6"/>
  <c r="I289" i="6"/>
  <c r="I253" i="6"/>
  <c r="I231" i="6"/>
  <c r="I67" i="6"/>
  <c r="I56" i="6"/>
  <c r="I18" i="6"/>
  <c r="I1626" i="6"/>
  <c r="I463" i="6"/>
  <c r="I392" i="6"/>
  <c r="I344" i="6"/>
  <c r="I144" i="6"/>
  <c r="I136" i="6"/>
  <c r="I81" i="6"/>
  <c r="I24" i="6"/>
  <c r="I838" i="6"/>
  <c r="I428" i="6"/>
  <c r="I343" i="6"/>
  <c r="I333" i="6"/>
  <c r="I262" i="6"/>
  <c r="I678" i="6"/>
  <c r="I631" i="6"/>
  <c r="I603" i="6"/>
  <c r="I552" i="6"/>
  <c r="I426" i="6"/>
  <c r="I261" i="6"/>
  <c r="I219" i="6"/>
  <c r="I1232" i="6"/>
  <c r="I596" i="6"/>
  <c r="I546" i="6"/>
  <c r="I423" i="6"/>
  <c r="I218" i="6"/>
  <c r="I191" i="6"/>
  <c r="I84" i="6"/>
  <c r="I64" i="6"/>
  <c r="I22" i="6"/>
  <c r="I15" i="6"/>
  <c r="I1207" i="6"/>
  <c r="I518" i="6"/>
  <c r="I433" i="6"/>
  <c r="I494" i="6"/>
  <c r="I359" i="6"/>
  <c r="I172" i="6"/>
  <c r="I52" i="6"/>
  <c r="B4" i="6"/>
  <c r="I16" i="6"/>
  <c r="I93" i="6"/>
  <c r="C139" i="6"/>
  <c r="D151" i="6"/>
  <c r="I175" i="6"/>
  <c r="I211" i="6"/>
  <c r="A257" i="6"/>
  <c r="C328" i="6"/>
  <c r="I347" i="6"/>
  <c r="I389" i="6"/>
  <c r="I444" i="6"/>
  <c r="I484" i="6"/>
  <c r="I612" i="6"/>
  <c r="I697" i="6"/>
  <c r="A938" i="6"/>
  <c r="E1984" i="6"/>
  <c r="E853" i="6"/>
  <c r="E585" i="6"/>
  <c r="E551" i="6"/>
  <c r="E469" i="6"/>
  <c r="E412" i="6"/>
  <c r="E391" i="6"/>
  <c r="E381" i="6"/>
  <c r="E373" i="6"/>
  <c r="E354" i="6"/>
  <c r="E340" i="6"/>
  <c r="E314" i="6"/>
  <c r="E300" i="6"/>
  <c r="E235" i="6"/>
  <c r="E163" i="6"/>
  <c r="E103" i="6"/>
  <c r="E1032" i="6"/>
  <c r="E959" i="6"/>
  <c r="E840" i="6"/>
  <c r="E732" i="6"/>
  <c r="E463" i="6"/>
  <c r="E321" i="6"/>
  <c r="E186" i="6"/>
  <c r="E149" i="6"/>
  <c r="E129" i="6"/>
  <c r="E102" i="6"/>
  <c r="E55" i="6"/>
  <c r="E51" i="6"/>
  <c r="E25" i="6"/>
  <c r="E541" i="6"/>
  <c r="E436" i="6"/>
  <c r="E404" i="6"/>
  <c r="E320" i="6"/>
  <c r="E298" i="6"/>
  <c r="E226" i="6"/>
  <c r="E167" i="6"/>
  <c r="E135" i="6"/>
  <c r="E96" i="6"/>
  <c r="E90" i="6"/>
  <c r="E74" i="6"/>
  <c r="E59" i="6"/>
  <c r="E34" i="6"/>
  <c r="E20" i="6"/>
  <c r="E1459" i="6"/>
  <c r="E1193" i="6"/>
  <c r="E335" i="6"/>
  <c r="E303" i="6"/>
  <c r="E270" i="6"/>
  <c r="E254" i="6"/>
  <c r="E230" i="6"/>
  <c r="E26" i="6"/>
  <c r="F84" i="6"/>
  <c r="F106" i="6"/>
  <c r="J113" i="6"/>
  <c r="F122" i="6"/>
  <c r="E130" i="6"/>
  <c r="J148" i="6"/>
  <c r="J156" i="6"/>
  <c r="E181" i="6"/>
  <c r="F191" i="6"/>
  <c r="J246" i="6"/>
  <c r="E282" i="6"/>
  <c r="E293" i="6"/>
  <c r="F303" i="6"/>
  <c r="F326" i="6"/>
  <c r="F338" i="6"/>
  <c r="E349" i="6"/>
  <c r="F373" i="6"/>
  <c r="E405" i="6"/>
  <c r="E421" i="6"/>
  <c r="K473" i="6"/>
  <c r="F517" i="6"/>
  <c r="F540" i="6"/>
  <c r="F568" i="6"/>
  <c r="E592" i="6"/>
  <c r="F620" i="6"/>
  <c r="J724" i="6"/>
  <c r="E874" i="6"/>
  <c r="F1058" i="6"/>
  <c r="F1194" i="6"/>
  <c r="E621" i="6"/>
  <c r="F1551" i="6"/>
  <c r="F1248" i="6"/>
  <c r="F1047" i="6"/>
  <c r="F898" i="6"/>
  <c r="F802" i="6"/>
  <c r="F658" i="6"/>
  <c r="F567" i="6"/>
  <c r="F484" i="6"/>
  <c r="F437" i="6"/>
  <c r="F429" i="6"/>
  <c r="F331" i="6"/>
  <c r="F323" i="6"/>
  <c r="F308" i="6"/>
  <c r="F274" i="6"/>
  <c r="F249" i="6"/>
  <c r="F200" i="6"/>
  <c r="F137" i="6"/>
  <c r="F81" i="6"/>
  <c r="F76" i="6"/>
  <c r="F60" i="6"/>
  <c r="F31" i="6"/>
  <c r="F1220" i="6"/>
  <c r="F1122" i="6"/>
  <c r="F787" i="6"/>
  <c r="F601" i="6"/>
  <c r="F508" i="6"/>
  <c r="F436" i="6"/>
  <c r="F427" i="6"/>
  <c r="F387" i="6"/>
  <c r="F353" i="6"/>
  <c r="F305" i="6"/>
  <c r="F281" i="6"/>
  <c r="F233" i="6"/>
  <c r="F226" i="6"/>
  <c r="F161" i="6"/>
  <c r="F135" i="6"/>
  <c r="F108" i="6"/>
  <c r="F90" i="6"/>
  <c r="F74" i="6"/>
  <c r="F64" i="6"/>
  <c r="F59" i="6"/>
  <c r="F45" i="6"/>
  <c r="F34" i="6"/>
  <c r="F20" i="6"/>
  <c r="F16" i="6"/>
  <c r="F953" i="6"/>
  <c r="F777" i="6"/>
  <c r="F560" i="6"/>
  <c r="F524" i="6"/>
  <c r="F507" i="6"/>
  <c r="F493" i="6"/>
  <c r="F481" i="6"/>
  <c r="F368" i="6"/>
  <c r="F311" i="6"/>
  <c r="F304" i="6"/>
  <c r="F290" i="6"/>
  <c r="F280" i="6"/>
  <c r="F273" i="6"/>
  <c r="F263" i="6"/>
  <c r="F255" i="6"/>
  <c r="F232" i="6"/>
  <c r="F219" i="6"/>
  <c r="F199" i="6"/>
  <c r="F175" i="6"/>
  <c r="F154" i="6"/>
  <c r="F114" i="6"/>
  <c r="F69" i="6"/>
  <c r="F29" i="6"/>
  <c r="F1271" i="6"/>
  <c r="F1097" i="6"/>
  <c r="F640" i="6"/>
  <c r="F522" i="6"/>
  <c r="F503" i="6"/>
  <c r="F459" i="6"/>
  <c r="F433" i="6"/>
  <c r="F425" i="6"/>
  <c r="F344" i="6"/>
  <c r="F318" i="6"/>
  <c r="F287" i="6"/>
  <c r="F262" i="6"/>
  <c r="F218" i="6"/>
  <c r="F204" i="6"/>
  <c r="F198" i="6"/>
  <c r="E3" i="6"/>
  <c r="K6" i="6"/>
  <c r="E11" i="6"/>
  <c r="E40" i="6"/>
  <c r="F46" i="6"/>
  <c r="J72" i="6"/>
  <c r="F78" i="6"/>
  <c r="E93" i="6"/>
  <c r="F100" i="6"/>
  <c r="E107" i="6"/>
  <c r="J114" i="6"/>
  <c r="E123" i="6"/>
  <c r="K132" i="6"/>
  <c r="F140" i="6"/>
  <c r="E157" i="6"/>
  <c r="F165" i="6"/>
  <c r="F183" i="6"/>
  <c r="K199" i="6"/>
  <c r="E209" i="6"/>
  <c r="F248" i="6"/>
  <c r="F270" i="6"/>
  <c r="F295" i="6"/>
  <c r="E306" i="6"/>
  <c r="F340" i="6"/>
  <c r="E361" i="6"/>
  <c r="J385" i="6"/>
  <c r="F456" i="6"/>
  <c r="F476" i="6"/>
  <c r="E519" i="6"/>
  <c r="E570" i="6"/>
  <c r="E671" i="6"/>
  <c r="K1092" i="6"/>
  <c r="E366" i="6"/>
  <c r="E414" i="6"/>
  <c r="E483" i="6"/>
  <c r="E502" i="6"/>
  <c r="E898" i="6"/>
  <c r="E991" i="6"/>
  <c r="F1457" i="6"/>
  <c r="E503" i="6"/>
  <c r="E640" i="6"/>
  <c r="E999" i="6"/>
  <c r="J1169" i="6"/>
  <c r="J689" i="6"/>
  <c r="J603" i="6"/>
  <c r="J219" i="6"/>
  <c r="J97" i="6"/>
  <c r="J85" i="6"/>
  <c r="J64" i="6"/>
  <c r="J1336" i="6"/>
  <c r="J370" i="6"/>
  <c r="J345" i="6"/>
  <c r="J167" i="6"/>
  <c r="J379" i="6"/>
  <c r="J84" i="6"/>
  <c r="J378" i="6"/>
  <c r="J366" i="6"/>
  <c r="J238" i="6"/>
  <c r="J9" i="6"/>
  <c r="F18" i="6"/>
  <c r="E30" i="6"/>
  <c r="K35" i="6"/>
  <c r="J43" i="6"/>
  <c r="F50" i="6"/>
  <c r="F56" i="6"/>
  <c r="F67" i="6"/>
  <c r="F87" i="6"/>
  <c r="E94" i="6"/>
  <c r="E118" i="6"/>
  <c r="F127" i="6"/>
  <c r="K160" i="6"/>
  <c r="F169" i="6"/>
  <c r="K176" i="6"/>
  <c r="E185" i="6"/>
  <c r="J203" i="6"/>
  <c r="E221" i="6"/>
  <c r="E242" i="6"/>
  <c r="F253" i="6"/>
  <c r="F266" i="6"/>
  <c r="E289" i="6"/>
  <c r="F310" i="6"/>
  <c r="J321" i="6"/>
  <c r="F354" i="6"/>
  <c r="E380" i="6"/>
  <c r="E416" i="6"/>
  <c r="F430" i="6"/>
  <c r="F504" i="6"/>
  <c r="F533" i="6"/>
  <c r="E555" i="6"/>
  <c r="F582" i="6"/>
  <c r="E607" i="6"/>
  <c r="F690" i="6"/>
  <c r="J760" i="6"/>
  <c r="J846" i="6"/>
  <c r="F1009" i="6"/>
  <c r="E1141" i="6"/>
  <c r="K678" i="6"/>
  <c r="K188" i="6"/>
  <c r="K175" i="6"/>
  <c r="K142" i="6"/>
  <c r="K449" i="6"/>
  <c r="K404" i="6"/>
  <c r="K379" i="6"/>
  <c r="K212" i="6"/>
  <c r="K84" i="6"/>
  <c r="K69" i="6"/>
  <c r="K1023" i="6"/>
  <c r="K730" i="6"/>
  <c r="K642" i="6"/>
  <c r="K618" i="6"/>
  <c r="K580" i="6"/>
  <c r="K148" i="6"/>
  <c r="K15" i="6"/>
  <c r="K539" i="6"/>
  <c r="K310" i="6"/>
  <c r="K223" i="6"/>
  <c r="E4" i="6"/>
  <c r="K9" i="6"/>
  <c r="K24" i="6"/>
  <c r="F30" i="6"/>
  <c r="F36" i="6"/>
  <c r="K43" i="6"/>
  <c r="J50" i="6"/>
  <c r="F88" i="6"/>
  <c r="F94" i="6"/>
  <c r="E145" i="6"/>
  <c r="E152" i="6"/>
  <c r="J161" i="6"/>
  <c r="F177" i="6"/>
  <c r="F185" i="6"/>
  <c r="E194" i="6"/>
  <c r="K203" i="6"/>
  <c r="F221" i="6"/>
  <c r="F242" i="6"/>
  <c r="F276" i="6"/>
  <c r="F301" i="6"/>
  <c r="K321" i="6"/>
  <c r="F345" i="6"/>
  <c r="E355" i="6"/>
  <c r="F380" i="6"/>
  <c r="F416" i="6"/>
  <c r="K463" i="6"/>
  <c r="F535" i="6"/>
  <c r="J691" i="6"/>
  <c r="E770" i="6"/>
  <c r="E927" i="6"/>
  <c r="E1020" i="6"/>
  <c r="E1270" i="6"/>
  <c r="F1774" i="6"/>
  <c r="G109" i="6"/>
  <c r="G156" i="6"/>
  <c r="G313" i="6"/>
  <c r="G472" i="6"/>
  <c r="G589" i="6"/>
  <c r="G234" i="6"/>
  <c r="G359" i="6"/>
  <c r="G501" i="6"/>
  <c r="G523" i="6"/>
  <c r="G1193" i="6"/>
  <c r="G15" i="6"/>
  <c r="G81" i="6"/>
  <c r="G89" i="6"/>
  <c r="G129" i="6"/>
  <c r="G341" i="6"/>
  <c r="G494" i="6"/>
  <c r="J621" i="6"/>
  <c r="J690" i="6"/>
  <c r="K845" i="6"/>
  <c r="A1209" i="6"/>
  <c r="P1209" i="6" s="1"/>
  <c r="G68" i="6"/>
  <c r="G262" i="6"/>
  <c r="G766" i="6"/>
  <c r="G144" i="6"/>
  <c r="J191" i="6"/>
  <c r="K204" i="6"/>
  <c r="G235" i="6"/>
  <c r="K246" i="6"/>
  <c r="A253" i="6"/>
  <c r="K262" i="6"/>
  <c r="J274" i="6"/>
  <c r="K281" i="6"/>
  <c r="J286" i="6"/>
  <c r="G305" i="6"/>
  <c r="G348" i="6"/>
  <c r="G367" i="6"/>
  <c r="A406" i="6"/>
  <c r="J441" i="6"/>
  <c r="G465" i="6"/>
  <c r="A476" i="6"/>
  <c r="K503" i="6"/>
  <c r="K568" i="6"/>
  <c r="A692" i="6"/>
  <c r="A818" i="6"/>
  <c r="K895" i="6"/>
  <c r="A1161" i="6"/>
  <c r="P1161" i="6" s="1"/>
  <c r="J1632" i="6"/>
  <c r="G211" i="6"/>
  <c r="K230" i="6"/>
  <c r="A263" i="6"/>
  <c r="K286" i="6"/>
  <c r="J317" i="6"/>
  <c r="K329" i="6"/>
  <c r="A343" i="6"/>
  <c r="K374" i="6"/>
  <c r="J386" i="6"/>
  <c r="K406" i="6"/>
  <c r="G428" i="6"/>
  <c r="J434" i="6"/>
  <c r="J465" i="6"/>
  <c r="A626" i="6"/>
  <c r="J951" i="6"/>
  <c r="B999" i="6"/>
  <c r="K1121" i="6"/>
  <c r="J1395" i="6"/>
  <c r="G183" i="6"/>
  <c r="J195" i="6"/>
  <c r="J293" i="6"/>
  <c r="A307" i="6"/>
  <c r="A469" i="6"/>
  <c r="K487" i="6"/>
  <c r="J584" i="6"/>
  <c r="K653" i="6"/>
  <c r="A1162" i="6"/>
  <c r="N1162" i="6" s="1"/>
  <c r="J1295" i="6"/>
  <c r="J13" i="6"/>
  <c r="G44" i="6"/>
  <c r="J55" i="6"/>
  <c r="J396" i="6"/>
  <c r="J428" i="6"/>
  <c r="J505" i="6"/>
  <c r="A654" i="6"/>
  <c r="K703" i="6"/>
  <c r="K779" i="6"/>
  <c r="K1066" i="6"/>
  <c r="B1403" i="6"/>
  <c r="G1573" i="6"/>
  <c r="G1626" i="6"/>
  <c r="G1052" i="6"/>
  <c r="G1006" i="6"/>
  <c r="G978" i="6"/>
  <c r="G894" i="6"/>
  <c r="G653" i="6"/>
  <c r="G630" i="6"/>
  <c r="G1258" i="6"/>
  <c r="G1102" i="6"/>
  <c r="G1028" i="6"/>
  <c r="G835" i="6"/>
  <c r="G782" i="6"/>
  <c r="G1146" i="6"/>
  <c r="G922" i="6"/>
  <c r="G760" i="6"/>
  <c r="G688" i="6"/>
  <c r="G1188" i="6"/>
  <c r="G1119" i="6"/>
  <c r="G956" i="6"/>
  <c r="G789" i="6"/>
  <c r="G1695" i="6"/>
  <c r="G1174" i="6"/>
  <c r="G1129" i="6"/>
  <c r="G1097" i="6"/>
  <c r="G1074" i="6"/>
  <c r="G664" i="6"/>
  <c r="G1437" i="6"/>
  <c r="G1073" i="6"/>
  <c r="G898" i="6"/>
  <c r="G927" i="6"/>
  <c r="G831" i="6"/>
  <c r="G888" i="6"/>
  <c r="G845" i="6"/>
  <c r="G496" i="6"/>
  <c r="G484" i="6"/>
  <c r="G1207" i="6"/>
  <c r="G1033" i="6"/>
  <c r="G614" i="6"/>
  <c r="G507" i="6"/>
  <c r="G1262" i="6"/>
  <c r="G961" i="6"/>
  <c r="G1124" i="6"/>
  <c r="G605" i="6"/>
  <c r="G431" i="6"/>
  <c r="G395" i="6"/>
  <c r="G374" i="6"/>
  <c r="G290" i="6"/>
  <c r="G867" i="6"/>
  <c r="G603" i="6"/>
  <c r="G441" i="6"/>
  <c r="G436" i="6"/>
  <c r="G250" i="6"/>
  <c r="G200" i="6"/>
  <c r="G191" i="6"/>
  <c r="G164" i="6"/>
  <c r="G148" i="6"/>
  <c r="G671" i="6"/>
  <c r="G555" i="6"/>
  <c r="G355" i="6"/>
  <c r="G274" i="6"/>
  <c r="G176" i="6"/>
  <c r="G43" i="6"/>
  <c r="G951" i="6"/>
  <c r="G637" i="6"/>
  <c r="G571" i="6"/>
  <c r="G505" i="6"/>
  <c r="G390" i="6"/>
  <c r="G340" i="6"/>
  <c r="G297" i="6"/>
  <c r="G226" i="6"/>
  <c r="G218" i="6"/>
  <c r="G100" i="6"/>
  <c r="G93" i="6"/>
  <c r="G64" i="6"/>
  <c r="G31" i="6"/>
  <c r="G19" i="6"/>
  <c r="G11" i="6"/>
  <c r="G1087" i="6"/>
  <c r="G423" i="6"/>
  <c r="G317" i="6"/>
  <c r="G309" i="6"/>
  <c r="G289" i="6"/>
  <c r="G281" i="6"/>
  <c r="G808" i="6"/>
  <c r="G598" i="6"/>
  <c r="G486" i="6"/>
  <c r="G389" i="6"/>
  <c r="G352" i="6"/>
  <c r="G332" i="6"/>
  <c r="G128" i="6"/>
  <c r="G120" i="6"/>
  <c r="G80" i="6"/>
  <c r="G60" i="6"/>
  <c r="G1351" i="6"/>
  <c r="G680" i="6"/>
  <c r="G621" i="6"/>
  <c r="G587" i="6"/>
  <c r="G503" i="6"/>
  <c r="G439" i="6"/>
  <c r="G344" i="6"/>
  <c r="G1069" i="6"/>
  <c r="G713" i="6"/>
  <c r="G632" i="6"/>
  <c r="G417" i="6"/>
  <c r="G324" i="6"/>
  <c r="G316" i="6"/>
  <c r="G1392" i="6"/>
  <c r="G732" i="6"/>
  <c r="G458" i="6"/>
  <c r="G375" i="6"/>
  <c r="G351" i="6"/>
  <c r="G298" i="6"/>
  <c r="G285" i="6"/>
  <c r="G278" i="6"/>
  <c r="G199" i="6"/>
  <c r="G246" i="6"/>
  <c r="G669" i="6"/>
  <c r="G32" i="6"/>
  <c r="G172" i="6"/>
  <c r="G516" i="6"/>
  <c r="G51" i="6"/>
  <c r="J1652" i="6"/>
  <c r="J1189" i="6"/>
  <c r="J1158" i="6"/>
  <c r="J1148" i="6"/>
  <c r="J1121" i="6"/>
  <c r="J1028" i="6"/>
  <c r="J988" i="6"/>
  <c r="J789" i="6"/>
  <c r="J688" i="6"/>
  <c r="J1129" i="6"/>
  <c r="J933" i="6"/>
  <c r="J842" i="6"/>
  <c r="J815" i="6"/>
  <c r="J717" i="6"/>
  <c r="J635" i="6"/>
  <c r="J1467" i="6"/>
  <c r="J1442" i="6"/>
  <c r="J1323" i="6"/>
  <c r="J1302" i="6"/>
  <c r="J1119" i="6"/>
  <c r="J1004" i="6"/>
  <c r="J892" i="6"/>
  <c r="J766" i="6"/>
  <c r="J646" i="6"/>
  <c r="J1863" i="6"/>
  <c r="J1098" i="6"/>
  <c r="J1038" i="6"/>
  <c r="J987" i="6"/>
  <c r="J966" i="6"/>
  <c r="J899" i="6"/>
  <c r="J875" i="6"/>
  <c r="J733" i="6"/>
  <c r="J628" i="6"/>
  <c r="J1226" i="6"/>
  <c r="J859" i="6"/>
  <c r="J781" i="6"/>
  <c r="J716" i="6"/>
  <c r="J2058" i="6"/>
  <c r="J1342" i="6"/>
  <c r="J1060" i="6"/>
  <c r="J1023" i="6"/>
  <c r="J983" i="6"/>
  <c r="J822" i="6"/>
  <c r="J772" i="6"/>
  <c r="J739" i="6"/>
  <c r="J705" i="6"/>
  <c r="J1210" i="6"/>
  <c r="J1151" i="6"/>
  <c r="J701" i="6"/>
  <c r="J1429" i="6"/>
  <c r="J1375" i="6"/>
  <c r="J863" i="6"/>
  <c r="J678" i="6"/>
  <c r="J534" i="6"/>
  <c r="J521" i="6"/>
  <c r="J467" i="6"/>
  <c r="J442" i="6"/>
  <c r="J619" i="6"/>
  <c r="J596" i="6"/>
  <c r="J537" i="6"/>
  <c r="J514" i="6"/>
  <c r="J487" i="6"/>
  <c r="J474" i="6"/>
  <c r="J1560" i="6"/>
  <c r="J1126" i="6"/>
  <c r="J1107" i="6"/>
  <c r="J1217" i="6"/>
  <c r="J1143" i="6"/>
  <c r="J737" i="6"/>
  <c r="J662" i="6"/>
  <c r="J570" i="6"/>
  <c r="J475" i="6"/>
  <c r="J449" i="6"/>
  <c r="J418" i="6"/>
  <c r="J344" i="6"/>
  <c r="J328" i="6"/>
  <c r="J230" i="6"/>
  <c r="J211" i="6"/>
  <c r="J128" i="6"/>
  <c r="J1512" i="6"/>
  <c r="J743" i="6"/>
  <c r="J650" i="6"/>
  <c r="J564" i="6"/>
  <c r="J530" i="6"/>
  <c r="J343" i="6"/>
  <c r="J329" i="6"/>
  <c r="J316" i="6"/>
  <c r="J247" i="6"/>
  <c r="J210" i="6"/>
  <c r="J176" i="6"/>
  <c r="J160" i="6"/>
  <c r="J1179" i="6"/>
  <c r="J1042" i="6"/>
  <c r="J1011" i="6"/>
  <c r="J838" i="6"/>
  <c r="J548" i="6"/>
  <c r="J431" i="6"/>
  <c r="J392" i="6"/>
  <c r="J281" i="6"/>
  <c r="J93" i="6"/>
  <c r="J76" i="6"/>
  <c r="J56" i="6"/>
  <c r="J34" i="6"/>
  <c r="J15" i="6"/>
  <c r="J1449" i="6"/>
  <c r="J668" i="6"/>
  <c r="J605" i="6"/>
  <c r="J562" i="6"/>
  <c r="J403" i="6"/>
  <c r="J377" i="6"/>
  <c r="J356" i="6"/>
  <c r="J352" i="6"/>
  <c r="J112" i="6"/>
  <c r="J106" i="6"/>
  <c r="J16" i="6"/>
  <c r="J1296" i="6"/>
  <c r="J1170" i="6"/>
  <c r="J913" i="6"/>
  <c r="J809" i="6"/>
  <c r="J697" i="6"/>
  <c r="J598" i="6"/>
  <c r="J498" i="6"/>
  <c r="J486" i="6"/>
  <c r="J447" i="6"/>
  <c r="J426" i="6"/>
  <c r="J395" i="6"/>
  <c r="J336" i="6"/>
  <c r="J300" i="6"/>
  <c r="J237" i="6"/>
  <c r="J1423" i="6"/>
  <c r="J1351" i="6"/>
  <c r="J719" i="6"/>
  <c r="J634" i="6"/>
  <c r="J520" i="6"/>
  <c r="J460" i="6"/>
  <c r="J212" i="6"/>
  <c r="J204" i="6"/>
  <c r="J177" i="6"/>
  <c r="J139" i="6"/>
  <c r="J105" i="6"/>
  <c r="J57" i="6"/>
  <c r="J51" i="6"/>
  <c r="J27" i="6"/>
  <c r="J267" i="6"/>
  <c r="J92" i="6"/>
  <c r="J1279" i="6"/>
  <c r="J1108" i="6"/>
  <c r="J695" i="6"/>
  <c r="J363" i="6"/>
  <c r="J359" i="6"/>
  <c r="J259" i="6"/>
  <c r="J1550" i="6"/>
  <c r="J1001" i="6"/>
  <c r="J612" i="6"/>
  <c r="J552" i="6"/>
  <c r="J536" i="6"/>
  <c r="J452" i="6"/>
  <c r="J444" i="6"/>
  <c r="J433" i="6"/>
  <c r="J425" i="6"/>
  <c r="J393" i="6"/>
  <c r="J335" i="6"/>
  <c r="J275" i="6"/>
  <c r="J239" i="6"/>
  <c r="J1321" i="6"/>
  <c r="J1156" i="6"/>
  <c r="J961" i="6"/>
  <c r="J420" i="6"/>
  <c r="J398" i="6"/>
  <c r="J310" i="6"/>
  <c r="G10" i="6"/>
  <c r="J477" i="6"/>
  <c r="K532" i="6"/>
  <c r="A572" i="6"/>
  <c r="K10" i="6"/>
  <c r="K13" i="6"/>
  <c r="B17" i="6"/>
  <c r="J23" i="6"/>
  <c r="C27" i="6"/>
  <c r="B38" i="6"/>
  <c r="B41" i="6"/>
  <c r="J48" i="6"/>
  <c r="K55" i="6"/>
  <c r="C63" i="6"/>
  <c r="E87" i="6"/>
  <c r="K91" i="6"/>
  <c r="A95" i="6"/>
  <c r="A104" i="6"/>
  <c r="D108" i="6"/>
  <c r="A112" i="6"/>
  <c r="C126" i="6"/>
  <c r="A131" i="6"/>
  <c r="B146" i="6"/>
  <c r="J149" i="6"/>
  <c r="B159" i="6"/>
  <c r="K168" i="6"/>
  <c r="C174" i="6"/>
  <c r="E178" i="6"/>
  <c r="J183" i="6"/>
  <c r="E187" i="6"/>
  <c r="J196" i="6"/>
  <c r="B202" i="6"/>
  <c r="K211" i="6"/>
  <c r="E227" i="6"/>
  <c r="J231" i="6"/>
  <c r="B237" i="6"/>
  <c r="G242" i="6"/>
  <c r="E248" i="6"/>
  <c r="G254" i="6"/>
  <c r="K258" i="6"/>
  <c r="C265" i="6"/>
  <c r="J294" i="6"/>
  <c r="A308" i="6"/>
  <c r="G325" i="6"/>
  <c r="E331" i="6"/>
  <c r="J337" i="6"/>
  <c r="A358" i="6"/>
  <c r="C362" i="6"/>
  <c r="B369" i="6"/>
  <c r="A376" i="6"/>
  <c r="B388" i="6"/>
  <c r="B397" i="6"/>
  <c r="B409" i="6"/>
  <c r="B417" i="6"/>
  <c r="K423" i="6"/>
  <c r="E429" i="6"/>
  <c r="C459" i="6"/>
  <c r="E470" i="6"/>
  <c r="K477" i="6"/>
  <c r="D489" i="6"/>
  <c r="J496" i="6"/>
  <c r="E506" i="6"/>
  <c r="C558" i="6"/>
  <c r="C573" i="6"/>
  <c r="E601" i="6"/>
  <c r="K614" i="6"/>
  <c r="K630" i="6"/>
  <c r="D655" i="6"/>
  <c r="E705" i="6"/>
  <c r="B747" i="6"/>
  <c r="E780" i="6"/>
  <c r="E1068" i="6"/>
  <c r="J1232" i="6"/>
  <c r="B1310" i="6"/>
  <c r="G101" i="6"/>
  <c r="G23" i="6"/>
  <c r="J36" i="6"/>
  <c r="K1738" i="6"/>
  <c r="K1365" i="6"/>
  <c r="K1328" i="6"/>
  <c r="K1129" i="6"/>
  <c r="K956" i="6"/>
  <c r="K842" i="6"/>
  <c r="K815" i="6"/>
  <c r="K799" i="6"/>
  <c r="K666" i="6"/>
  <c r="K1868" i="6"/>
  <c r="K1302" i="6"/>
  <c r="K1206" i="6"/>
  <c r="K1005" i="6"/>
  <c r="K892" i="6"/>
  <c r="K806" i="6"/>
  <c r="K766" i="6"/>
  <c r="K682" i="6"/>
  <c r="K646" i="6"/>
  <c r="K1865" i="6"/>
  <c r="K1038" i="6"/>
  <c r="K996" i="6"/>
  <c r="K987" i="6"/>
  <c r="K966" i="6"/>
  <c r="K946" i="6"/>
  <c r="K875" i="6"/>
  <c r="K841" i="6"/>
  <c r="K798" i="6"/>
  <c r="K749" i="6"/>
  <c r="K707" i="6"/>
  <c r="K669" i="6"/>
  <c r="K628" i="6"/>
  <c r="K1226" i="6"/>
  <c r="K1212" i="6"/>
  <c r="K1165" i="6"/>
  <c r="K884" i="6"/>
  <c r="K859" i="6"/>
  <c r="K1321" i="6"/>
  <c r="K1156" i="6"/>
  <c r="K891" i="6"/>
  <c r="K867" i="6"/>
  <c r="K849" i="6"/>
  <c r="K634" i="6"/>
  <c r="K1673" i="6"/>
  <c r="K1164" i="6"/>
  <c r="K1124" i="6"/>
  <c r="K1107" i="6"/>
  <c r="K1012" i="6"/>
  <c r="K961" i="6"/>
  <c r="K680" i="6"/>
  <c r="K662" i="6"/>
  <c r="K644" i="6"/>
  <c r="K637" i="6"/>
  <c r="K1232" i="6"/>
  <c r="K1102" i="6"/>
  <c r="K846" i="6"/>
  <c r="K773" i="6"/>
  <c r="K1350" i="6"/>
  <c r="K1148" i="6"/>
  <c r="K1011" i="6"/>
  <c r="K924" i="6"/>
  <c r="K801" i="6"/>
  <c r="K584" i="6"/>
  <c r="K447" i="6"/>
  <c r="K1179" i="6"/>
  <c r="K1143" i="6"/>
  <c r="K1114" i="6"/>
  <c r="K1093" i="6"/>
  <c r="K697" i="6"/>
  <c r="K465" i="6"/>
  <c r="K441" i="6"/>
  <c r="K1169" i="6"/>
  <c r="K756" i="6"/>
  <c r="K686" i="6"/>
  <c r="K612" i="6"/>
  <c r="K600" i="6"/>
  <c r="K555" i="6"/>
  <c r="K518" i="6"/>
  <c r="K353" i="6"/>
  <c r="K337" i="6"/>
  <c r="K322" i="6"/>
  <c r="K309" i="6"/>
  <c r="K302" i="6"/>
  <c r="K283" i="6"/>
  <c r="K239" i="6"/>
  <c r="K224" i="6"/>
  <c r="K220" i="6"/>
  <c r="K195" i="6"/>
  <c r="K192" i="6"/>
  <c r="K140" i="6"/>
  <c r="K134" i="6"/>
  <c r="K1295" i="6"/>
  <c r="K821" i="6"/>
  <c r="K514" i="6"/>
  <c r="K496" i="6"/>
  <c r="K475" i="6"/>
  <c r="K399" i="6"/>
  <c r="K385" i="6"/>
  <c r="K370" i="6"/>
  <c r="K363" i="6"/>
  <c r="K356" i="6"/>
  <c r="K301" i="6"/>
  <c r="K274" i="6"/>
  <c r="K267" i="6"/>
  <c r="K227" i="6"/>
  <c r="K133" i="6"/>
  <c r="K85" i="6"/>
  <c r="K863" i="6"/>
  <c r="K616" i="6"/>
  <c r="K562" i="6"/>
  <c r="K485" i="6"/>
  <c r="K439" i="6"/>
  <c r="K377" i="6"/>
  <c r="K359" i="6"/>
  <c r="K352" i="6"/>
  <c r="K325" i="6"/>
  <c r="K266" i="6"/>
  <c r="K219" i="6"/>
  <c r="K156" i="6"/>
  <c r="K104" i="6"/>
  <c r="K73" i="6"/>
  <c r="K62" i="6"/>
  <c r="K23" i="6"/>
  <c r="K1170" i="6"/>
  <c r="K1116" i="6"/>
  <c r="K982" i="6"/>
  <c r="K913" i="6"/>
  <c r="K722" i="6"/>
  <c r="K545" i="6"/>
  <c r="K498" i="6"/>
  <c r="K455" i="6"/>
  <c r="K395" i="6"/>
  <c r="K336" i="6"/>
  <c r="K328" i="6"/>
  <c r="K300" i="6"/>
  <c r="K185" i="6"/>
  <c r="K80" i="6"/>
  <c r="K45" i="6"/>
  <c r="K36" i="6"/>
  <c r="K22" i="6"/>
  <c r="K1248" i="6"/>
  <c r="K1009" i="6"/>
  <c r="K788" i="6"/>
  <c r="K553" i="6"/>
  <c r="K530" i="6"/>
  <c r="K434" i="6"/>
  <c r="K360" i="6"/>
  <c r="K344" i="6"/>
  <c r="K332" i="6"/>
  <c r="K739" i="6"/>
  <c r="K696" i="6"/>
  <c r="K650" i="6"/>
  <c r="K578" i="6"/>
  <c r="K569" i="6"/>
  <c r="K401" i="6"/>
  <c r="K364" i="6"/>
  <c r="K259" i="6"/>
  <c r="K240" i="6"/>
  <c r="K92" i="6"/>
  <c r="K42" i="6"/>
  <c r="K30" i="6"/>
  <c r="K2" i="6"/>
  <c r="K255" i="6"/>
  <c r="K232" i="6"/>
  <c r="K169" i="6"/>
  <c r="K101" i="6"/>
  <c r="K44" i="6"/>
  <c r="K1953" i="6"/>
  <c r="K1201" i="6"/>
  <c r="K1001" i="6"/>
  <c r="K973" i="6"/>
  <c r="K596" i="6"/>
  <c r="K552" i="6"/>
  <c r="K536" i="6"/>
  <c r="K467" i="6"/>
  <c r="K444" i="6"/>
  <c r="K433" i="6"/>
  <c r="K393" i="6"/>
  <c r="K275" i="6"/>
  <c r="K196" i="6"/>
  <c r="K1238" i="6"/>
  <c r="K1033" i="6"/>
  <c r="K942" i="6"/>
  <c r="K484" i="6"/>
  <c r="K429" i="6"/>
  <c r="K371" i="6"/>
  <c r="K367" i="6"/>
  <c r="K247" i="6"/>
  <c r="K1060" i="6"/>
  <c r="K550" i="6"/>
  <c r="K489" i="6"/>
  <c r="K450" i="6"/>
  <c r="K442" i="6"/>
  <c r="K436" i="6"/>
  <c r="K387" i="6"/>
  <c r="K330" i="6"/>
  <c r="K293" i="6"/>
  <c r="G40" i="6"/>
  <c r="K65" i="6"/>
  <c r="G145" i="6"/>
  <c r="K317" i="6"/>
  <c r="K386" i="6"/>
  <c r="K571" i="6"/>
  <c r="J600" i="6"/>
  <c r="K16" i="6"/>
  <c r="J226" i="6"/>
  <c r="J7" i="6"/>
  <c r="C1832" i="6"/>
  <c r="C1248" i="6"/>
  <c r="C1167" i="6"/>
  <c r="C1092" i="6"/>
  <c r="C937" i="6"/>
  <c r="C902" i="6"/>
  <c r="C776" i="6"/>
  <c r="C753" i="6"/>
  <c r="C743" i="6"/>
  <c r="C728" i="6"/>
  <c r="C678" i="6"/>
  <c r="C658" i="6"/>
  <c r="C640" i="6"/>
  <c r="C1111" i="6"/>
  <c r="C877" i="6"/>
  <c r="C799" i="6"/>
  <c r="C750" i="6"/>
  <c r="C700" i="6"/>
  <c r="C676" i="6"/>
  <c r="C1715" i="6"/>
  <c r="C825" i="6"/>
  <c r="C694" i="6"/>
  <c r="C1704" i="6"/>
  <c r="C1258" i="6"/>
  <c r="C1138" i="6"/>
  <c r="C1015" i="6"/>
  <c r="C906" i="6"/>
  <c r="C782" i="6"/>
  <c r="C674" i="6"/>
  <c r="C635" i="6"/>
  <c r="C1601" i="6"/>
  <c r="C1345" i="6"/>
  <c r="C1089" i="6"/>
  <c r="C1048" i="6"/>
  <c r="C639" i="6"/>
  <c r="C1242" i="6"/>
  <c r="C1002" i="6"/>
  <c r="C905" i="6"/>
  <c r="C747" i="6"/>
  <c r="C733" i="6"/>
  <c r="C698" i="6"/>
  <c r="C1188" i="6"/>
  <c r="C1273" i="6"/>
  <c r="C980" i="6"/>
  <c r="C576" i="6"/>
  <c r="C555" i="6"/>
  <c r="C542" i="6"/>
  <c r="C539" i="6"/>
  <c r="C526" i="6"/>
  <c r="C501" i="6"/>
  <c r="C488" i="6"/>
  <c r="C462" i="6"/>
  <c r="C1791" i="6"/>
  <c r="C1500" i="6"/>
  <c r="C993" i="6"/>
  <c r="C857" i="6"/>
  <c r="C770" i="6"/>
  <c r="C607" i="6"/>
  <c r="C589" i="6"/>
  <c r="C1057" i="6"/>
  <c r="C910" i="6"/>
  <c r="C1290" i="6"/>
  <c r="C870" i="6"/>
  <c r="C651" i="6"/>
  <c r="C500" i="6"/>
  <c r="C472" i="6"/>
  <c r="C425" i="6"/>
  <c r="C377" i="6"/>
  <c r="C335" i="6"/>
  <c r="C293" i="6"/>
  <c r="C237" i="6"/>
  <c r="C202" i="6"/>
  <c r="C186" i="6"/>
  <c r="C131" i="6"/>
  <c r="C1403" i="6"/>
  <c r="C1161" i="6"/>
  <c r="C1135" i="6"/>
  <c r="C1047" i="6"/>
  <c r="C970" i="6"/>
  <c r="C886" i="6"/>
  <c r="C596" i="6"/>
  <c r="C580" i="6"/>
  <c r="C557" i="6"/>
  <c r="C537" i="6"/>
  <c r="C507" i="6"/>
  <c r="C471" i="6"/>
  <c r="C454" i="6"/>
  <c r="C447" i="6"/>
  <c r="C429" i="6"/>
  <c r="C419" i="6"/>
  <c r="C411" i="6"/>
  <c r="C340" i="6"/>
  <c r="C319" i="6"/>
  <c r="C264" i="6"/>
  <c r="C257" i="6"/>
  <c r="C245" i="6"/>
  <c r="C241" i="6"/>
  <c r="C238" i="6"/>
  <c r="C171" i="6"/>
  <c r="C167" i="6"/>
  <c r="C97" i="6"/>
  <c r="C94" i="6"/>
  <c r="C74" i="6"/>
  <c r="C69" i="6"/>
  <c r="C932" i="6"/>
  <c r="C882" i="6"/>
  <c r="C491" i="6"/>
  <c r="C370" i="6"/>
  <c r="C343" i="6"/>
  <c r="C339" i="6"/>
  <c r="C336" i="6"/>
  <c r="C250" i="6"/>
  <c r="C230" i="6"/>
  <c r="C203" i="6"/>
  <c r="C200" i="6"/>
  <c r="C150" i="6"/>
  <c r="C60" i="6"/>
  <c r="C32" i="6"/>
  <c r="C26" i="6"/>
  <c r="M26" i="6" s="1"/>
  <c r="N26" i="6" s="1"/>
  <c r="C11" i="6"/>
  <c r="C1585" i="6"/>
  <c r="C1298" i="6"/>
  <c r="C1212" i="6"/>
  <c r="C523" i="6"/>
  <c r="C469" i="6"/>
  <c r="C292" i="6"/>
  <c r="C234" i="6"/>
  <c r="C221" i="6"/>
  <c r="C210" i="6"/>
  <c r="C178" i="6"/>
  <c r="C175" i="6"/>
  <c r="C132" i="6"/>
  <c r="C129" i="6"/>
  <c r="C116" i="6"/>
  <c r="C96" i="6"/>
  <c r="C87" i="6"/>
  <c r="C77" i="6"/>
  <c r="C49" i="6"/>
  <c r="C34" i="6"/>
  <c r="C28" i="6"/>
  <c r="C6" i="6"/>
  <c r="C623" i="6"/>
  <c r="C455" i="6"/>
  <c r="C409" i="6"/>
  <c r="C320" i="6"/>
  <c r="C284" i="6"/>
  <c r="C269" i="6"/>
  <c r="C256" i="6"/>
  <c r="C229" i="6"/>
  <c r="C213" i="6"/>
  <c r="C1565" i="6"/>
  <c r="C1292" i="6"/>
  <c r="C1042" i="6"/>
  <c r="C560" i="6"/>
  <c r="C510" i="6"/>
  <c r="C493" i="6"/>
  <c r="C304" i="6"/>
  <c r="C300" i="6"/>
  <c r="C248" i="6"/>
  <c r="C217" i="6"/>
  <c r="C209" i="6"/>
  <c r="C185" i="6"/>
  <c r="C182" i="6"/>
  <c r="C143" i="6"/>
  <c r="C123" i="6"/>
  <c r="C83" i="6"/>
  <c r="C70" i="6"/>
  <c r="C54" i="6"/>
  <c r="C291" i="6"/>
  <c r="C252" i="6"/>
  <c r="C136" i="6"/>
  <c r="C115" i="6"/>
  <c r="C112" i="6"/>
  <c r="C95" i="6"/>
  <c r="C89" i="6"/>
  <c r="C76" i="6"/>
  <c r="C73" i="6"/>
  <c r="C66" i="6"/>
  <c r="C48" i="6"/>
  <c r="C33" i="6"/>
  <c r="C943" i="6"/>
  <c r="C667" i="6"/>
  <c r="C605" i="6"/>
  <c r="C430" i="6"/>
  <c r="C408" i="6"/>
  <c r="C385" i="6"/>
  <c r="C381" i="6"/>
  <c r="C355" i="6"/>
  <c r="C1949" i="6"/>
  <c r="C1344" i="6"/>
  <c r="C1162" i="6"/>
  <c r="C569" i="6"/>
  <c r="C509" i="6"/>
  <c r="C473" i="6"/>
  <c r="C422" i="6"/>
  <c r="C389" i="6"/>
  <c r="C376" i="6"/>
  <c r="C363" i="6"/>
  <c r="C347" i="6"/>
  <c r="C332" i="6"/>
  <c r="C283" i="6"/>
  <c r="C280" i="6"/>
  <c r="C272" i="6"/>
  <c r="C928" i="6"/>
  <c r="C823" i="6"/>
  <c r="C619" i="6"/>
  <c r="C592" i="6"/>
  <c r="C502" i="6"/>
  <c r="C495" i="6"/>
  <c r="C484" i="6"/>
  <c r="C406" i="6"/>
  <c r="C346" i="6"/>
  <c r="C307" i="6"/>
  <c r="G2" i="6"/>
  <c r="A5" i="6"/>
  <c r="K7" i="6"/>
  <c r="C14" i="6"/>
  <c r="C17" i="6"/>
  <c r="C24" i="6"/>
  <c r="E27" i="6"/>
  <c r="E31" i="6"/>
  <c r="C38" i="6"/>
  <c r="E41" i="6"/>
  <c r="K48" i="6"/>
  <c r="A67" i="6"/>
  <c r="A75" i="6"/>
  <c r="J83" i="6"/>
  <c r="A92" i="6"/>
  <c r="B95" i="6"/>
  <c r="B104" i="6"/>
  <c r="J121" i="6"/>
  <c r="A132" i="6"/>
  <c r="K136" i="6"/>
  <c r="E146" i="6"/>
  <c r="K149" i="6"/>
  <c r="C159" i="6"/>
  <c r="K164" i="6"/>
  <c r="A175" i="6"/>
  <c r="K183" i="6"/>
  <c r="G187" i="6"/>
  <c r="G192" i="6"/>
  <c r="D198" i="6"/>
  <c r="E202" i="6"/>
  <c r="D207" i="6"/>
  <c r="E212" i="6"/>
  <c r="A222" i="6"/>
  <c r="G227" i="6"/>
  <c r="K231" i="6"/>
  <c r="C259" i="6"/>
  <c r="E265" i="6"/>
  <c r="G270" i="6"/>
  <c r="B277" i="6"/>
  <c r="J282" i="6"/>
  <c r="J289" i="6"/>
  <c r="K294" i="6"/>
  <c r="J301" i="6"/>
  <c r="C308" i="6"/>
  <c r="K318" i="6"/>
  <c r="J351" i="6"/>
  <c r="D362" i="6"/>
  <c r="C369" i="6"/>
  <c r="B376" i="6"/>
  <c r="G382" i="6"/>
  <c r="C388" i="6"/>
  <c r="C398" i="6"/>
  <c r="A411" i="6"/>
  <c r="C417" i="6"/>
  <c r="A424" i="6"/>
  <c r="J446" i="6"/>
  <c r="B481" i="6"/>
  <c r="B507" i="6"/>
  <c r="G521" i="6"/>
  <c r="K534" i="6"/>
  <c r="K546" i="6"/>
  <c r="E617" i="6"/>
  <c r="G655" i="6"/>
  <c r="G825" i="6"/>
  <c r="J867" i="6"/>
  <c r="B970" i="6"/>
  <c r="A1015" i="6"/>
  <c r="E1069" i="6"/>
  <c r="E1179" i="6"/>
  <c r="J1236" i="6"/>
  <c r="E1310" i="6"/>
  <c r="C1452" i="6"/>
  <c r="C1860" i="6"/>
  <c r="G393" i="6"/>
  <c r="G1153" i="6"/>
  <c r="G1215" i="6"/>
  <c r="G152" i="6"/>
  <c r="J120" i="6"/>
  <c r="A34" i="6"/>
  <c r="A91" i="6"/>
  <c r="L91" i="6" s="1"/>
  <c r="A116" i="6"/>
  <c r="J125" i="6"/>
  <c r="K177" i="6"/>
  <c r="G282" i="6"/>
  <c r="G532" i="6"/>
  <c r="G737" i="6"/>
  <c r="A146" i="6"/>
  <c r="J258" i="6"/>
  <c r="A351" i="6"/>
  <c r="G444" i="6"/>
  <c r="D956" i="6"/>
  <c r="D1178" i="6"/>
  <c r="D683" i="6"/>
  <c r="D997" i="6"/>
  <c r="D825" i="6"/>
  <c r="D1189" i="6"/>
  <c r="D1138" i="6"/>
  <c r="D906" i="6"/>
  <c r="D1385" i="6"/>
  <c r="D996" i="6"/>
  <c r="D1382" i="6"/>
  <c r="D965" i="6"/>
  <c r="D841" i="6"/>
  <c r="D673" i="6"/>
  <c r="D651" i="6"/>
  <c r="D1254" i="6"/>
  <c r="D1133" i="6"/>
  <c r="D1116" i="6"/>
  <c r="D743" i="6"/>
  <c r="D637" i="6"/>
  <c r="D1010" i="6"/>
  <c r="D902" i="6"/>
  <c r="D484" i="6"/>
  <c r="D452" i="6"/>
  <c r="D1047" i="6"/>
  <c r="D347" i="6"/>
  <c r="D191" i="6"/>
  <c r="D144" i="6"/>
  <c r="D992" i="6"/>
  <c r="D523" i="6"/>
  <c r="D460" i="6"/>
  <c r="D324" i="6"/>
  <c r="D312" i="6"/>
  <c r="D117" i="6"/>
  <c r="D277" i="6"/>
  <c r="D179" i="6"/>
  <c r="D96" i="6"/>
  <c r="D68" i="6"/>
  <c r="D18" i="6"/>
  <c r="D9" i="6"/>
  <c r="D791" i="6"/>
  <c r="D623" i="6"/>
  <c r="D409" i="6"/>
  <c r="D366" i="6"/>
  <c r="D320" i="6"/>
  <c r="D305" i="6"/>
  <c r="D746" i="6"/>
  <c r="D539" i="6"/>
  <c r="D348" i="6"/>
  <c r="D261" i="6"/>
  <c r="D241" i="6"/>
  <c r="D553" i="6"/>
  <c r="D414" i="6"/>
  <c r="D381" i="6"/>
  <c r="D355" i="6"/>
  <c r="D340" i="6"/>
  <c r="D289" i="6"/>
  <c r="D233" i="6"/>
  <c r="D226" i="6"/>
  <c r="D163" i="6"/>
  <c r="D5" i="6"/>
  <c r="D296" i="6"/>
  <c r="D39" i="6"/>
  <c r="D1242" i="6"/>
  <c r="D1165" i="6"/>
  <c r="D785" i="6"/>
  <c r="D401" i="6"/>
  <c r="D1193" i="6"/>
  <c r="D849" i="6"/>
  <c r="B5" i="6"/>
  <c r="K8" i="6"/>
  <c r="E17" i="6"/>
  <c r="K20" i="6"/>
  <c r="E24" i="6"/>
  <c r="A35" i="6"/>
  <c r="D38" i="6"/>
  <c r="J44" i="6"/>
  <c r="E60" i="6"/>
  <c r="C67" i="6"/>
  <c r="E72" i="6"/>
  <c r="B75" i="6"/>
  <c r="K79" i="6"/>
  <c r="C84" i="6"/>
  <c r="K87" i="6"/>
  <c r="G92" i="6"/>
  <c r="J100" i="6"/>
  <c r="C104" i="6"/>
  <c r="E117" i="6"/>
  <c r="K121" i="6"/>
  <c r="K126" i="6"/>
  <c r="B132" i="6"/>
  <c r="J141" i="6"/>
  <c r="A147" i="6"/>
  <c r="E150" i="6"/>
  <c r="C160" i="6"/>
  <c r="A165" i="6"/>
  <c r="J169" i="6"/>
  <c r="B179" i="6"/>
  <c r="G184" i="6"/>
  <c r="E188" i="6"/>
  <c r="E198" i="6"/>
  <c r="J202" i="6"/>
  <c r="B222" i="6"/>
  <c r="G243" i="6"/>
  <c r="C249" i="6"/>
  <c r="J254" i="6"/>
  <c r="J265" i="6"/>
  <c r="A271" i="6"/>
  <c r="C277" i="6"/>
  <c r="K282" i="6"/>
  <c r="K289" i="6"/>
  <c r="D313" i="6"/>
  <c r="B319" i="6"/>
  <c r="A326" i="6"/>
  <c r="K338" i="6"/>
  <c r="K351" i="6"/>
  <c r="A365" i="6"/>
  <c r="E369" i="6"/>
  <c r="B377" i="6"/>
  <c r="E388" i="6"/>
  <c r="K398" i="6"/>
  <c r="B411" i="6"/>
  <c r="E417" i="6"/>
  <c r="B424" i="6"/>
  <c r="E437" i="6"/>
  <c r="D449" i="6"/>
  <c r="C460" i="6"/>
  <c r="A471" i="6"/>
  <c r="A490" i="6"/>
  <c r="J499" i="6"/>
  <c r="K587" i="6"/>
  <c r="E681" i="6"/>
  <c r="J710" i="6"/>
  <c r="E753" i="6"/>
  <c r="A792" i="6"/>
  <c r="E826" i="6"/>
  <c r="E970" i="6"/>
  <c r="K1018" i="6"/>
  <c r="J1134" i="6"/>
  <c r="K1180" i="6"/>
  <c r="J1452" i="6"/>
  <c r="G420" i="6"/>
  <c r="G539" i="6"/>
  <c r="G39" i="6"/>
  <c r="J65" i="6"/>
  <c r="A2125" i="6"/>
  <c r="N2125" i="6" s="1"/>
  <c r="A1140" i="6"/>
  <c r="P1140" i="6" s="1"/>
  <c r="A907" i="6"/>
  <c r="A736" i="6"/>
  <c r="A1741" i="6"/>
  <c r="N1741" i="6" s="1"/>
  <c r="A1475" i="6"/>
  <c r="L1475" i="6" s="1"/>
  <c r="A1148" i="6"/>
  <c r="P1148" i="6" s="1"/>
  <c r="A1121" i="6"/>
  <c r="A988" i="6"/>
  <c r="A886" i="6"/>
  <c r="M886" i="6" s="1"/>
  <c r="N886" i="6" s="1"/>
  <c r="A853" i="6"/>
  <c r="A727" i="6"/>
  <c r="A670" i="6"/>
  <c r="A1204" i="6"/>
  <c r="M1204" i="6" s="1"/>
  <c r="A1176" i="6"/>
  <c r="L1176" i="6" s="1"/>
  <c r="A1052" i="6"/>
  <c r="A861" i="6"/>
  <c r="A852" i="6"/>
  <c r="A776" i="6"/>
  <c r="A658" i="6"/>
  <c r="A1603" i="6"/>
  <c r="N1603" i="6" s="1"/>
  <c r="A1537" i="6"/>
  <c r="M1537" i="6" s="1"/>
  <c r="A1285" i="6"/>
  <c r="N1285" i="6" s="1"/>
  <c r="A1203" i="6"/>
  <c r="O1203" i="6" s="1"/>
  <c r="A1157" i="6"/>
  <c r="P1157" i="6" s="1"/>
  <c r="A1111" i="6"/>
  <c r="A1090" i="6"/>
  <c r="A835" i="6"/>
  <c r="A700" i="6"/>
  <c r="A1202" i="6"/>
  <c r="L1202" i="6" s="1"/>
  <c r="A996" i="6"/>
  <c r="A694" i="6"/>
  <c r="A688" i="6"/>
  <c r="A1156" i="6"/>
  <c r="O1156" i="6" s="1"/>
  <c r="A1035" i="6"/>
  <c r="A975" i="6"/>
  <c r="A669" i="6"/>
  <c r="A1135" i="6"/>
  <c r="M1135" i="6" s="1"/>
  <c r="A1085" i="6"/>
  <c r="A1037" i="6"/>
  <c r="A1020" i="6"/>
  <c r="A965" i="6"/>
  <c r="A744" i="6"/>
  <c r="A1507" i="6"/>
  <c r="L1507" i="6" s="1"/>
  <c r="A1056" i="6"/>
  <c r="A943" i="6"/>
  <c r="A874" i="6"/>
  <c r="A608" i="6"/>
  <c r="A598" i="6"/>
  <c r="A560" i="6"/>
  <c r="A481" i="6"/>
  <c r="A459" i="6"/>
  <c r="A1585" i="6"/>
  <c r="O1585" i="6" s="1"/>
  <c r="A980" i="6"/>
  <c r="A960" i="6"/>
  <c r="A916" i="6"/>
  <c r="A845" i="6"/>
  <c r="A576" i="6"/>
  <c r="A566" i="6"/>
  <c r="A542" i="6"/>
  <c r="A533" i="6"/>
  <c r="A526" i="6"/>
  <c r="A500" i="6"/>
  <c r="A1450" i="6"/>
  <c r="M1450" i="6" s="1"/>
  <c r="A1382" i="6"/>
  <c r="M1382" i="6" s="1"/>
  <c r="A1083" i="6"/>
  <c r="A1001" i="6"/>
  <c r="A620" i="6"/>
  <c r="A592" i="6"/>
  <c r="A391" i="6"/>
  <c r="A357" i="6"/>
  <c r="A319" i="6"/>
  <c r="A287" i="6"/>
  <c r="A272" i="6"/>
  <c r="A265" i="6"/>
  <c r="A209" i="6"/>
  <c r="A138" i="6"/>
  <c r="A1113" i="6"/>
  <c r="A939" i="6"/>
  <c r="A906" i="6"/>
  <c r="A803" i="6"/>
  <c r="A674" i="6"/>
  <c r="A493" i="6"/>
  <c r="A299" i="6"/>
  <c r="A295" i="6"/>
  <c r="A218" i="6"/>
  <c r="A197" i="6"/>
  <c r="A174" i="6"/>
  <c r="A151" i="6"/>
  <c r="A1667" i="6"/>
  <c r="P1667" i="6" s="1"/>
  <c r="A1133" i="6"/>
  <c r="M1133" i="6" s="1"/>
  <c r="A1106" i="6"/>
  <c r="A721" i="6"/>
  <c r="A660" i="6"/>
  <c r="A514" i="6"/>
  <c r="A506" i="6"/>
  <c r="A405" i="6"/>
  <c r="A350" i="6"/>
  <c r="A312" i="6"/>
  <c r="A291" i="6"/>
  <c r="A217" i="6"/>
  <c r="A193" i="6"/>
  <c r="A186" i="6"/>
  <c r="A154" i="6"/>
  <c r="A130" i="6"/>
  <c r="A127" i="6"/>
  <c r="A111" i="6"/>
  <c r="A102" i="6"/>
  <c r="A83" i="6"/>
  <c r="A54" i="6"/>
  <c r="A1143" i="6"/>
  <c r="N1143" i="6" s="1"/>
  <c r="A1010" i="6"/>
  <c r="A812" i="6"/>
  <c r="A747" i="6"/>
  <c r="A698" i="6"/>
  <c r="A512" i="6"/>
  <c r="A449" i="6"/>
  <c r="L449" i="6" s="1"/>
  <c r="A441" i="6"/>
  <c r="A369" i="6"/>
  <c r="A361" i="6"/>
  <c r="A249" i="6"/>
  <c r="A246" i="6"/>
  <c r="A238" i="6"/>
  <c r="A202" i="6"/>
  <c r="A194" i="6"/>
  <c r="M194" i="6" s="1"/>
  <c r="N194" i="6" s="1"/>
  <c r="A159" i="6"/>
  <c r="A110" i="6"/>
  <c r="A84" i="6"/>
  <c r="A14" i="6"/>
  <c r="A888" i="6"/>
  <c r="A770" i="6"/>
  <c r="A588" i="6"/>
  <c r="A210" i="6"/>
  <c r="A974" i="6"/>
  <c r="A544" i="6"/>
  <c r="A377" i="6"/>
  <c r="A320" i="6"/>
  <c r="A281" i="6"/>
  <c r="A273" i="6"/>
  <c r="A264" i="6"/>
  <c r="A256" i="6"/>
  <c r="A237" i="6"/>
  <c r="A229" i="6"/>
  <c r="A148" i="6"/>
  <c r="A368" i="6"/>
  <c r="A336" i="6"/>
  <c r="A328" i="6"/>
  <c r="A288" i="6"/>
  <c r="A245" i="6"/>
  <c r="A201" i="6"/>
  <c r="A189" i="6"/>
  <c r="A182" i="6"/>
  <c r="A166" i="6"/>
  <c r="A162" i="6"/>
  <c r="A158" i="6"/>
  <c r="A155" i="6"/>
  <c r="A123" i="6"/>
  <c r="A99" i="6"/>
  <c r="A70" i="6"/>
  <c r="A22" i="6"/>
  <c r="A1034" i="6"/>
  <c r="A857" i="6"/>
  <c r="A764" i="6"/>
  <c r="A510" i="6"/>
  <c r="A454" i="6"/>
  <c r="A372" i="6"/>
  <c r="A300" i="6"/>
  <c r="A1107" i="6"/>
  <c r="A903" i="6"/>
  <c r="A856" i="6"/>
  <c r="A785" i="6"/>
  <c r="A604" i="6"/>
  <c r="A479" i="6"/>
  <c r="A414" i="6"/>
  <c r="A385" i="6"/>
  <c r="A252" i="6"/>
  <c r="A1023" i="6"/>
  <c r="A993" i="6"/>
  <c r="A610" i="6"/>
  <c r="A540" i="6"/>
  <c r="A517" i="6"/>
  <c r="A362" i="6"/>
  <c r="A323" i="6"/>
  <c r="A315" i="6"/>
  <c r="K98" i="6"/>
  <c r="G121" i="6"/>
  <c r="G215" i="6"/>
  <c r="A221" i="6"/>
  <c r="A236" i="6"/>
  <c r="G557" i="6"/>
  <c r="G1220" i="6"/>
  <c r="D12" i="4"/>
  <c r="K37" i="6"/>
  <c r="A41" i="6"/>
  <c r="G47" i="6"/>
  <c r="A63" i="6"/>
  <c r="A71" i="6"/>
  <c r="K94" i="6"/>
  <c r="J99" i="6"/>
  <c r="K111" i="6"/>
  <c r="K125" i="6"/>
  <c r="J140" i="6"/>
  <c r="J168" i="6"/>
  <c r="J324" i="6"/>
  <c r="K407" i="6"/>
  <c r="J821" i="6"/>
  <c r="B1347" i="6"/>
  <c r="B1303" i="6"/>
  <c r="B1230" i="6"/>
  <c r="B1042" i="6"/>
  <c r="B969" i="6"/>
  <c r="B886" i="6"/>
  <c r="B870" i="6"/>
  <c r="B853" i="6"/>
  <c r="B769" i="6"/>
  <c r="B719" i="6"/>
  <c r="B670" i="6"/>
  <c r="B636" i="6"/>
  <c r="B1443" i="6"/>
  <c r="B1416" i="6"/>
  <c r="B1167" i="6"/>
  <c r="B1039" i="6"/>
  <c r="B948" i="6"/>
  <c r="B902" i="6"/>
  <c r="B776" i="6"/>
  <c r="B743" i="6"/>
  <c r="B709" i="6"/>
  <c r="B658" i="6"/>
  <c r="B640" i="6"/>
  <c r="B630" i="6"/>
  <c r="B1285" i="6"/>
  <c r="B1243" i="6"/>
  <c r="B1111" i="6"/>
  <c r="B1090" i="6"/>
  <c r="B835" i="6"/>
  <c r="B806" i="6"/>
  <c r="B741" i="6"/>
  <c r="B700" i="6"/>
  <c r="B1414" i="6"/>
  <c r="B1075" i="6"/>
  <c r="B694" i="6"/>
  <c r="B688" i="6"/>
  <c r="B1410" i="6"/>
  <c r="B1284" i="6"/>
  <c r="B1138" i="6"/>
  <c r="B1015" i="6"/>
  <c r="B906" i="6"/>
  <c r="B812" i="6"/>
  <c r="B789" i="6"/>
  <c r="B740" i="6"/>
  <c r="B674" i="6"/>
  <c r="B652" i="6"/>
  <c r="B1585" i="6"/>
  <c r="B1464" i="6"/>
  <c r="B1404" i="6"/>
  <c r="B1280" i="6"/>
  <c r="B1144" i="6"/>
  <c r="B994" i="6"/>
  <c r="B943" i="6"/>
  <c r="B874" i="6"/>
  <c r="B839" i="6"/>
  <c r="B692" i="6"/>
  <c r="B686" i="6"/>
  <c r="B891" i="6"/>
  <c r="B878" i="6"/>
  <c r="B818" i="6"/>
  <c r="B1798" i="6"/>
  <c r="B1183" i="6"/>
  <c r="B785" i="6"/>
  <c r="B757" i="6"/>
  <c r="B730" i="6"/>
  <c r="B713" i="6"/>
  <c r="B698" i="6"/>
  <c r="B603" i="6"/>
  <c r="B516" i="6"/>
  <c r="B493" i="6"/>
  <c r="B1162" i="6"/>
  <c r="B624" i="6"/>
  <c r="B1791" i="6"/>
  <c r="B1744" i="6"/>
  <c r="B1536" i="6"/>
  <c r="B1334" i="6"/>
  <c r="B980" i="6"/>
  <c r="B626" i="6"/>
  <c r="B576" i="6"/>
  <c r="B510" i="6"/>
  <c r="B505" i="6"/>
  <c r="B491" i="6"/>
  <c r="B443" i="6"/>
  <c r="B422" i="6"/>
  <c r="B401" i="6"/>
  <c r="B384" i="6"/>
  <c r="B381" i="6"/>
  <c r="B370" i="6"/>
  <c r="B307" i="6"/>
  <c r="B300" i="6"/>
  <c r="B249" i="6"/>
  <c r="B150" i="6"/>
  <c r="B122" i="6"/>
  <c r="B1020" i="6"/>
  <c r="B845" i="6"/>
  <c r="B764" i="6"/>
  <c r="B542" i="6"/>
  <c r="B406" i="6"/>
  <c r="B272" i="6"/>
  <c r="B1291" i="6"/>
  <c r="B779" i="6"/>
  <c r="B622" i="6"/>
  <c r="B608" i="6"/>
  <c r="B541" i="6"/>
  <c r="B502" i="6"/>
  <c r="B452" i="6"/>
  <c r="B446" i="6"/>
  <c r="B346" i="6"/>
  <c r="B284" i="6"/>
  <c r="B244" i="6"/>
  <c r="B213" i="6"/>
  <c r="B123" i="6"/>
  <c r="B40" i="6"/>
  <c r="B6" i="6"/>
  <c r="B1360" i="6"/>
  <c r="B1047" i="6"/>
  <c r="B770" i="6"/>
  <c r="B532" i="6"/>
  <c r="B462" i="6"/>
  <c r="B427" i="6"/>
  <c r="B265" i="6"/>
  <c r="B206" i="6"/>
  <c r="B167" i="6"/>
  <c r="B124" i="6"/>
  <c r="B103" i="6"/>
  <c r="B90" i="6"/>
  <c r="B67" i="6"/>
  <c r="B55" i="6"/>
  <c r="B25" i="6"/>
  <c r="B469" i="6"/>
  <c r="B461" i="6"/>
  <c r="B403" i="6"/>
  <c r="B292" i="6"/>
  <c r="B221" i="6"/>
  <c r="B857" i="6"/>
  <c r="B786" i="6"/>
  <c r="B530" i="6"/>
  <c r="B395" i="6"/>
  <c r="B368" i="6"/>
  <c r="B328" i="6"/>
  <c r="B312" i="6"/>
  <c r="B276" i="6"/>
  <c r="B201" i="6"/>
  <c r="B193" i="6"/>
  <c r="B174" i="6"/>
  <c r="B166" i="6"/>
  <c r="B158" i="6"/>
  <c r="B151" i="6"/>
  <c r="B102" i="6"/>
  <c r="B45" i="6"/>
  <c r="B11" i="6"/>
  <c r="B304" i="6"/>
  <c r="B209" i="6"/>
  <c r="B143" i="6"/>
  <c r="B131" i="6"/>
  <c r="B83" i="6"/>
  <c r="B54" i="6"/>
  <c r="B1140" i="6"/>
  <c r="B614" i="6"/>
  <c r="B560" i="6"/>
  <c r="B528" i="6"/>
  <c r="B479" i="6"/>
  <c r="B414" i="6"/>
  <c r="B248" i="6"/>
  <c r="B467" i="6"/>
  <c r="B408" i="6"/>
  <c r="B355" i="6"/>
  <c r="B291" i="6"/>
  <c r="B754" i="6"/>
  <c r="B642" i="6"/>
  <c r="B477" i="6"/>
  <c r="B354" i="6"/>
  <c r="G52" i="6"/>
  <c r="E1382" i="6"/>
  <c r="E1741" i="6"/>
  <c r="E1550" i="6"/>
  <c r="E1416" i="6"/>
  <c r="E1111" i="6"/>
  <c r="E1018" i="6"/>
  <c r="E997" i="6"/>
  <c r="E948" i="6"/>
  <c r="E825" i="6"/>
  <c r="E808" i="6"/>
  <c r="E783" i="6"/>
  <c r="E2193" i="6"/>
  <c r="E1626" i="6"/>
  <c r="E1549" i="6"/>
  <c r="E1364" i="6"/>
  <c r="E1245" i="6"/>
  <c r="E1228" i="6"/>
  <c r="E1215" i="6"/>
  <c r="E1189" i="6"/>
  <c r="E1138" i="6"/>
  <c r="E1090" i="6"/>
  <c r="E924" i="6"/>
  <c r="E653" i="6"/>
  <c r="E1612" i="6"/>
  <c r="E1546" i="6"/>
  <c r="E1258" i="6"/>
  <c r="E1227" i="6"/>
  <c r="E1214" i="6"/>
  <c r="E1166" i="6"/>
  <c r="E1076" i="6"/>
  <c r="E1064" i="6"/>
  <c r="E869" i="6"/>
  <c r="E782" i="6"/>
  <c r="E734" i="6"/>
  <c r="E682" i="6"/>
  <c r="E665" i="6"/>
  <c r="E635" i="6"/>
  <c r="E1361" i="6"/>
  <c r="E1268" i="6"/>
  <c r="E1063" i="6"/>
  <c r="E1049" i="6"/>
  <c r="E922" i="6"/>
  <c r="E868" i="6"/>
  <c r="E841" i="6"/>
  <c r="E824" i="6"/>
  <c r="E717" i="6"/>
  <c r="E652" i="6"/>
  <c r="E639" i="6"/>
  <c r="E1536" i="6"/>
  <c r="E1360" i="6"/>
  <c r="E1299" i="6"/>
  <c r="E1188" i="6"/>
  <c r="E1165" i="6"/>
  <c r="E1119" i="6"/>
  <c r="E1025" i="6"/>
  <c r="E1004" i="6"/>
  <c r="E977" i="6"/>
  <c r="E943" i="6"/>
  <c r="E899" i="6"/>
  <c r="E875" i="6"/>
  <c r="E798" i="6"/>
  <c r="E749" i="6"/>
  <c r="E726" i="6"/>
  <c r="E707" i="6"/>
  <c r="E656" i="6"/>
  <c r="E1379" i="6"/>
  <c r="E1264" i="6"/>
  <c r="E1254" i="6"/>
  <c r="E1200" i="6"/>
  <c r="E1172" i="6"/>
  <c r="E1117" i="6"/>
  <c r="E1097" i="6"/>
  <c r="E1047" i="6"/>
  <c r="E917" i="6"/>
  <c r="E857" i="6"/>
  <c r="E849" i="6"/>
  <c r="E804" i="6"/>
  <c r="E781" i="6"/>
  <c r="E759" i="6"/>
  <c r="E1949" i="6"/>
  <c r="E1656" i="6"/>
  <c r="E1262" i="6"/>
  <c r="E1118" i="6"/>
  <c r="E950" i="6"/>
  <c r="E904" i="6"/>
  <c r="E787" i="6"/>
  <c r="E761" i="6"/>
  <c r="E1230" i="6"/>
  <c r="E1162" i="6"/>
  <c r="E998" i="6"/>
  <c r="E829" i="6"/>
  <c r="E810" i="6"/>
  <c r="E689" i="6"/>
  <c r="E668" i="6"/>
  <c r="E655" i="6"/>
  <c r="E624" i="6"/>
  <c r="E620" i="6"/>
  <c r="E567" i="6"/>
  <c r="E508" i="6"/>
  <c r="E504" i="6"/>
  <c r="E472" i="6"/>
  <c r="E453" i="6"/>
  <c r="E1424" i="6"/>
  <c r="E1304" i="6"/>
  <c r="E1252" i="6"/>
  <c r="E1222" i="6"/>
  <c r="E1130" i="6"/>
  <c r="E809" i="6"/>
  <c r="E728" i="6"/>
  <c r="E711" i="6"/>
  <c r="E654" i="6"/>
  <c r="E643" i="6"/>
  <c r="E636" i="6"/>
  <c r="E583" i="6"/>
  <c r="E558" i="6"/>
  <c r="E554" i="6"/>
  <c r="E496" i="6"/>
  <c r="E471" i="6"/>
  <c r="E461" i="6"/>
  <c r="E458" i="6"/>
  <c r="E438" i="6"/>
  <c r="E1196" i="6"/>
  <c r="E937" i="6"/>
  <c r="E890" i="6"/>
  <c r="E1372" i="6"/>
  <c r="E1167" i="6"/>
  <c r="E1021" i="6"/>
  <c r="E956" i="6"/>
  <c r="E929" i="6"/>
  <c r="E903" i="6"/>
  <c r="E886" i="6"/>
  <c r="E776" i="6"/>
  <c r="E586" i="6"/>
  <c r="E552" i="6"/>
  <c r="E538" i="6"/>
  <c r="E524" i="6"/>
  <c r="E482" i="6"/>
  <c r="E411" i="6"/>
  <c r="E387" i="6"/>
  <c r="E363" i="6"/>
  <c r="E341" i="6"/>
  <c r="E312" i="6"/>
  <c r="E277" i="6"/>
  <c r="E268" i="6"/>
  <c r="E262" i="6"/>
  <c r="E258" i="6"/>
  <c r="E243" i="6"/>
  <c r="E214" i="6"/>
  <c r="E205" i="6"/>
  <c r="E184" i="6"/>
  <c r="E180" i="6"/>
  <c r="E177" i="6"/>
  <c r="E174" i="6"/>
  <c r="E165" i="6"/>
  <c r="E153" i="6"/>
  <c r="E124" i="6"/>
  <c r="E1692" i="6"/>
  <c r="E1217" i="6"/>
  <c r="E1085" i="6"/>
  <c r="E704" i="6"/>
  <c r="E690" i="6"/>
  <c r="E637" i="6"/>
  <c r="E618" i="6"/>
  <c r="E464" i="6"/>
  <c r="E382" i="6"/>
  <c r="E353" i="6"/>
  <c r="E326" i="6"/>
  <c r="E291" i="6"/>
  <c r="E278" i="6"/>
  <c r="E207" i="6"/>
  <c r="E193" i="6"/>
  <c r="E114" i="6"/>
  <c r="E111" i="6"/>
  <c r="E83" i="6"/>
  <c r="E1071" i="6"/>
  <c r="E902" i="6"/>
  <c r="E819" i="6"/>
  <c r="E797" i="6"/>
  <c r="E699" i="6"/>
  <c r="E602" i="6"/>
  <c r="E529" i="6"/>
  <c r="E481" i="6"/>
  <c r="E459" i="6"/>
  <c r="E425" i="6"/>
  <c r="E418" i="6"/>
  <c r="E367" i="6"/>
  <c r="E362" i="6"/>
  <c r="E305" i="6"/>
  <c r="E237" i="6"/>
  <c r="E234" i="6"/>
  <c r="E223" i="6"/>
  <c r="E206" i="6"/>
  <c r="E173" i="6"/>
  <c r="E170" i="6"/>
  <c r="E166" i="6"/>
  <c r="E159" i="6"/>
  <c r="E137" i="6"/>
  <c r="E116" i="6"/>
  <c r="E108" i="6"/>
  <c r="E100" i="6"/>
  <c r="E88" i="6"/>
  <c r="E45" i="6"/>
  <c r="E13" i="6"/>
  <c r="E616" i="6"/>
  <c r="E588" i="6"/>
  <c r="E539" i="6"/>
  <c r="E494" i="6"/>
  <c r="E435" i="6"/>
  <c r="E431" i="6"/>
  <c r="E415" i="6"/>
  <c r="E374" i="6"/>
  <c r="E348" i="6"/>
  <c r="E345" i="6"/>
  <c r="E333" i="6"/>
  <c r="E284" i="6"/>
  <c r="E269" i="6"/>
  <c r="E261" i="6"/>
  <c r="E256" i="6"/>
  <c r="E241" i="6"/>
  <c r="E229" i="6"/>
  <c r="E213" i="6"/>
  <c r="E171" i="6"/>
  <c r="E156" i="6"/>
  <c r="E151" i="6"/>
  <c r="E144" i="6"/>
  <c r="E121" i="6"/>
  <c r="E61" i="6"/>
  <c r="E52" i="6"/>
  <c r="E2033" i="6"/>
  <c r="E1436" i="6"/>
  <c r="E1210" i="6"/>
  <c r="E1116" i="6"/>
  <c r="E1046" i="6"/>
  <c r="E951" i="6"/>
  <c r="E865" i="6"/>
  <c r="E721" i="6"/>
  <c r="E683" i="6"/>
  <c r="E571" i="6"/>
  <c r="E561" i="6"/>
  <c r="E545" i="6"/>
  <c r="E474" i="6"/>
  <c r="E419" i="6"/>
  <c r="E390" i="6"/>
  <c r="E377" i="6"/>
  <c r="E356" i="6"/>
  <c r="E328" i="6"/>
  <c r="E325" i="6"/>
  <c r="E297" i="6"/>
  <c r="E276" i="6"/>
  <c r="E264" i="6"/>
  <c r="E201" i="6"/>
  <c r="E1957" i="6"/>
  <c r="E1248" i="6"/>
  <c r="E1169" i="6"/>
  <c r="E1140" i="6"/>
  <c r="E949" i="6"/>
  <c r="E910" i="6"/>
  <c r="E882" i="6"/>
  <c r="E837" i="6"/>
  <c r="E766" i="6"/>
  <c r="E667" i="6"/>
  <c r="E605" i="6"/>
  <c r="E480" i="6"/>
  <c r="E454" i="6"/>
  <c r="E430" i="6"/>
  <c r="E423" i="6"/>
  <c r="E360" i="6"/>
  <c r="E317" i="6"/>
  <c r="E296" i="6"/>
  <c r="E136" i="6"/>
  <c r="E131" i="6"/>
  <c r="E115" i="6"/>
  <c r="E95" i="6"/>
  <c r="E89" i="6"/>
  <c r="E76" i="6"/>
  <c r="E73" i="6"/>
  <c r="E66" i="6"/>
  <c r="E48" i="6"/>
  <c r="E39" i="6"/>
  <c r="E33" i="6"/>
  <c r="E16" i="6"/>
  <c r="E283" i="6"/>
  <c r="E272" i="6"/>
  <c r="E240" i="6"/>
  <c r="E236" i="6"/>
  <c r="E220" i="6"/>
  <c r="E216" i="6"/>
  <c r="E139" i="6"/>
  <c r="E128" i="6"/>
  <c r="E109" i="6"/>
  <c r="E86" i="6"/>
  <c r="E80" i="6"/>
  <c r="E1070" i="6"/>
  <c r="E738" i="6"/>
  <c r="E633" i="6"/>
  <c r="E569" i="6"/>
  <c r="E543" i="6"/>
  <c r="E492" i="6"/>
  <c r="E485" i="6"/>
  <c r="E473" i="6"/>
  <c r="E426" i="6"/>
  <c r="E422" i="6"/>
  <c r="E389" i="6"/>
  <c r="E376" i="6"/>
  <c r="E347" i="6"/>
  <c r="E332" i="6"/>
  <c r="E1407" i="6"/>
  <c r="E973" i="6"/>
  <c r="E881" i="6"/>
  <c r="E831" i="6"/>
  <c r="E649" i="6"/>
  <c r="E574" i="6"/>
  <c r="E542" i="6"/>
  <c r="E526" i="6"/>
  <c r="E520" i="6"/>
  <c r="E497" i="6"/>
  <c r="E460" i="6"/>
  <c r="E352" i="6"/>
  <c r="E339" i="6"/>
  <c r="E327" i="6"/>
  <c r="E319" i="6"/>
  <c r="E311" i="6"/>
  <c r="E299" i="6"/>
  <c r="E263" i="6"/>
  <c r="E244" i="6"/>
  <c r="E1095" i="6"/>
  <c r="E802" i="6"/>
  <c r="E706" i="6"/>
  <c r="E573" i="6"/>
  <c r="E557" i="6"/>
  <c r="E535" i="6"/>
  <c r="E507" i="6"/>
  <c r="E433" i="6"/>
  <c r="E424" i="6"/>
  <c r="E383" i="6"/>
  <c r="E370" i="6"/>
  <c r="E359" i="6"/>
  <c r="E342" i="6"/>
  <c r="E338" i="6"/>
  <c r="E334" i="6"/>
  <c r="E318" i="6"/>
  <c r="C5" i="6"/>
  <c r="E9" i="6"/>
  <c r="A21" i="6"/>
  <c r="M21" i="6" s="1"/>
  <c r="N21" i="6" s="1"/>
  <c r="K27" i="6"/>
  <c r="C35" i="6"/>
  <c r="E38" i="6"/>
  <c r="A42" i="6"/>
  <c r="C45" i="6"/>
  <c r="K49" i="6"/>
  <c r="K52" i="6"/>
  <c r="J63" i="6"/>
  <c r="E67" i="6"/>
  <c r="G72" i="6"/>
  <c r="C75" i="6"/>
  <c r="C88" i="6"/>
  <c r="B96" i="6"/>
  <c r="B101" i="6"/>
  <c r="E104" i="6"/>
  <c r="C109" i="6"/>
  <c r="G113" i="6"/>
  <c r="G117" i="6"/>
  <c r="E122" i="6"/>
  <c r="E132" i="6"/>
  <c r="G137" i="6"/>
  <c r="K141" i="6"/>
  <c r="C147" i="6"/>
  <c r="E160" i="6"/>
  <c r="C165" i="6"/>
  <c r="B171" i="6"/>
  <c r="C179" i="6"/>
  <c r="J188" i="6"/>
  <c r="K202" i="6"/>
  <c r="G207" i="6"/>
  <c r="J218" i="6"/>
  <c r="C222" i="6"/>
  <c r="A228" i="6"/>
  <c r="E233" i="6"/>
  <c r="A244" i="6"/>
  <c r="D249" i="6"/>
  <c r="K254" i="6"/>
  <c r="A260" i="6"/>
  <c r="K265" i="6"/>
  <c r="E271" i="6"/>
  <c r="B283" i="6"/>
  <c r="E290" i="6"/>
  <c r="E313" i="6"/>
  <c r="B326" i="6"/>
  <c r="G333" i="6"/>
  <c r="B339" i="6"/>
  <c r="A370" i="6"/>
  <c r="C378" i="6"/>
  <c r="A383" i="6"/>
  <c r="A400" i="6"/>
  <c r="D412" i="6"/>
  <c r="C424" i="6"/>
  <c r="A461" i="6"/>
  <c r="J482" i="6"/>
  <c r="E490" i="6"/>
  <c r="K499" i="6"/>
  <c r="J507" i="6"/>
  <c r="E523" i="6"/>
  <c r="E536" i="6"/>
  <c r="C564" i="6"/>
  <c r="E589" i="6"/>
  <c r="K602" i="6"/>
  <c r="J618" i="6"/>
  <c r="A638" i="6"/>
  <c r="E659" i="6"/>
  <c r="C711" i="6"/>
  <c r="J792" i="6"/>
  <c r="E871" i="6"/>
  <c r="A915" i="6"/>
  <c r="E972" i="6"/>
  <c r="C1020" i="6"/>
  <c r="E1092" i="6"/>
  <c r="K1134" i="6"/>
  <c r="C1183" i="6"/>
  <c r="E1332" i="6"/>
  <c r="H274" i="6"/>
  <c r="H392" i="6"/>
  <c r="H412" i="6"/>
  <c r="H630" i="6"/>
  <c r="H776" i="6"/>
  <c r="F873" i="6"/>
  <c r="H1124" i="6"/>
  <c r="F1264" i="6"/>
  <c r="F1464" i="6"/>
  <c r="H1747" i="6"/>
  <c r="F587" i="6"/>
  <c r="F621" i="6"/>
  <c r="F664" i="6"/>
  <c r="F680" i="6"/>
  <c r="F693" i="6"/>
  <c r="H737" i="6"/>
  <c r="H762" i="6"/>
  <c r="F804" i="6"/>
  <c r="F1136" i="6"/>
  <c r="F1198" i="6"/>
  <c r="F460" i="6"/>
  <c r="F497" i="6"/>
  <c r="F574" i="6"/>
  <c r="F649" i="6"/>
  <c r="H713" i="6"/>
  <c r="F808" i="6"/>
  <c r="H881" i="6"/>
  <c r="F904" i="6"/>
  <c r="H1422" i="6"/>
  <c r="H24" i="6"/>
  <c r="H51" i="6"/>
  <c r="H63" i="6"/>
  <c r="H105" i="6"/>
  <c r="H308" i="6"/>
  <c r="H316" i="6"/>
  <c r="H324" i="6"/>
  <c r="F1577" i="6"/>
  <c r="F1475" i="6"/>
  <c r="F1392" i="6"/>
  <c r="F1260" i="6"/>
  <c r="F1215" i="6"/>
  <c r="F1207" i="6"/>
  <c r="F700" i="6"/>
  <c r="F1326" i="6"/>
  <c r="F1288" i="6"/>
  <c r="F1177" i="6"/>
  <c r="F1076" i="6"/>
  <c r="F1065" i="6"/>
  <c r="F1052" i="6"/>
  <c r="F978" i="6"/>
  <c r="F967" i="6"/>
  <c r="F906" i="6"/>
  <c r="F869" i="6"/>
  <c r="F734" i="6"/>
  <c r="F665" i="6"/>
  <c r="F2124" i="6"/>
  <c r="F1385" i="6"/>
  <c r="F1362" i="6"/>
  <c r="F1348" i="6"/>
  <c r="F1268" i="6"/>
  <c r="F1157" i="6"/>
  <c r="F1100" i="6"/>
  <c r="F1026" i="6"/>
  <c r="F900" i="6"/>
  <c r="F885" i="6"/>
  <c r="F717" i="6"/>
  <c r="F675" i="6"/>
  <c r="F652" i="6"/>
  <c r="F1346" i="6"/>
  <c r="F1322" i="6"/>
  <c r="F1299" i="6"/>
  <c r="F1146" i="6"/>
  <c r="F1025" i="6"/>
  <c r="F1004" i="6"/>
  <c r="F977" i="6"/>
  <c r="F805" i="6"/>
  <c r="F798" i="6"/>
  <c r="F775" i="6"/>
  <c r="F760" i="6"/>
  <c r="F749" i="6"/>
  <c r="F726" i="6"/>
  <c r="F707" i="6"/>
  <c r="F656" i="6"/>
  <c r="F1467" i="6"/>
  <c r="F1267" i="6"/>
  <c r="F1255" i="6"/>
  <c r="F1242" i="6"/>
  <c r="F1145" i="6"/>
  <c r="F1109" i="6"/>
  <c r="F956" i="6"/>
  <c r="F932" i="6"/>
  <c r="F823" i="6"/>
  <c r="F774" i="6"/>
  <c r="F699" i="6"/>
  <c r="F1224" i="6"/>
  <c r="F1212" i="6"/>
  <c r="F1135" i="6"/>
  <c r="F954" i="6"/>
  <c r="F929" i="6"/>
  <c r="F890" i="6"/>
  <c r="F882" i="6"/>
  <c r="F831" i="6"/>
  <c r="F810" i="6"/>
  <c r="F796" i="6"/>
  <c r="F788" i="6"/>
  <c r="F766" i="6"/>
  <c r="F655" i="6"/>
  <c r="F634" i="6"/>
  <c r="F626" i="6"/>
  <c r="F1516" i="6"/>
  <c r="F1311" i="6"/>
  <c r="F1280" i="6"/>
  <c r="F1167" i="6"/>
  <c r="F999" i="6"/>
  <c r="F865" i="6"/>
  <c r="F732" i="6"/>
  <c r="F1306" i="6"/>
  <c r="F1095" i="6"/>
  <c r="F770" i="6"/>
  <c r="F648" i="6"/>
  <c r="F589" i="6"/>
  <c r="F550" i="6"/>
  <c r="F475" i="6"/>
  <c r="F1375" i="6"/>
  <c r="F1270" i="6"/>
  <c r="F1073" i="6"/>
  <c r="F886" i="6"/>
  <c r="F783" i="6"/>
  <c r="F755" i="6"/>
  <c r="F685" i="6"/>
  <c r="F571" i="6"/>
  <c r="F479" i="6"/>
  <c r="F1342" i="6"/>
  <c r="F1292" i="6"/>
  <c r="F1087" i="6"/>
  <c r="F1030" i="6"/>
  <c r="F1002" i="6"/>
  <c r="F871" i="6"/>
  <c r="F1434" i="6"/>
  <c r="F1252" i="6"/>
  <c r="F1193" i="6"/>
  <c r="F849" i="6"/>
  <c r="F829" i="6"/>
  <c r="F791" i="6"/>
  <c r="F720" i="6"/>
  <c r="F672" i="6"/>
  <c r="F542" i="6"/>
  <c r="F495" i="6"/>
  <c r="F486" i="6"/>
  <c r="F455" i="6"/>
  <c r="F428" i="6"/>
  <c r="F415" i="6"/>
  <c r="F406" i="6"/>
  <c r="F367" i="6"/>
  <c r="F332" i="6"/>
  <c r="F297" i="6"/>
  <c r="F234" i="6"/>
  <c r="F162" i="6"/>
  <c r="F158" i="6"/>
  <c r="F119" i="6"/>
  <c r="F115" i="6"/>
  <c r="F113" i="6"/>
  <c r="F1261" i="6"/>
  <c r="F781" i="6"/>
  <c r="F623" i="6"/>
  <c r="F609" i="6"/>
  <c r="F551" i="6"/>
  <c r="F502" i="6"/>
  <c r="F432" i="6"/>
  <c r="F422" i="6"/>
  <c r="F389" i="6"/>
  <c r="F375" i="6"/>
  <c r="F351" i="6"/>
  <c r="F346" i="6"/>
  <c r="F333" i="6"/>
  <c r="F289" i="6"/>
  <c r="F284" i="6"/>
  <c r="F282" i="6"/>
  <c r="F261" i="6"/>
  <c r="F231" i="6"/>
  <c r="F224" i="6"/>
  <c r="F220" i="6"/>
  <c r="F213" i="6"/>
  <c r="F186" i="6"/>
  <c r="F184" i="6"/>
  <c r="F157" i="6"/>
  <c r="F144" i="6"/>
  <c r="F141" i="6"/>
  <c r="F130" i="6"/>
  <c r="F128" i="6"/>
  <c r="F123" i="6"/>
  <c r="F121" i="6"/>
  <c r="F102" i="6"/>
  <c r="F92" i="6"/>
  <c r="F77" i="6"/>
  <c r="F72" i="6"/>
  <c r="F2059" i="6"/>
  <c r="F1396" i="6"/>
  <c r="F989" i="6"/>
  <c r="F761" i="6"/>
  <c r="F738" i="6"/>
  <c r="F684" i="6"/>
  <c r="F633" i="6"/>
  <c r="F593" i="6"/>
  <c r="F577" i="6"/>
  <c r="F570" i="6"/>
  <c r="F496" i="6"/>
  <c r="F470" i="6"/>
  <c r="F463" i="6"/>
  <c r="F435" i="6"/>
  <c r="F421" i="6"/>
  <c r="F414" i="6"/>
  <c r="F409" i="6"/>
  <c r="F388" i="6"/>
  <c r="F381" i="6"/>
  <c r="F329" i="6"/>
  <c r="F322" i="6"/>
  <c r="F316" i="6"/>
  <c r="F309" i="6"/>
  <c r="F298" i="6"/>
  <c r="F288" i="6"/>
  <c r="F260" i="6"/>
  <c r="F256" i="6"/>
  <c r="F254" i="6"/>
  <c r="F247" i="6"/>
  <c r="F240" i="6"/>
  <c r="F227" i="6"/>
  <c r="F210" i="6"/>
  <c r="F190" i="6"/>
  <c r="F143" i="6"/>
  <c r="F91" i="6"/>
  <c r="F80" i="6"/>
  <c r="F65" i="6"/>
  <c r="F48" i="6"/>
  <c r="F37" i="6"/>
  <c r="F21" i="6"/>
  <c r="F8" i="6"/>
  <c r="F13" i="6"/>
  <c r="F22" i="6"/>
  <c r="H36" i="6"/>
  <c r="F86" i="6"/>
  <c r="F99" i="6"/>
  <c r="F109" i="6"/>
  <c r="F112" i="6"/>
  <c r="F155" i="6"/>
  <c r="F170" i="6"/>
  <c r="F189" i="6"/>
  <c r="F197" i="6"/>
  <c r="F245" i="6"/>
  <c r="F252" i="6"/>
  <c r="F268" i="6"/>
  <c r="F283" i="6"/>
  <c r="F291" i="6"/>
  <c r="F336" i="6"/>
  <c r="H344" i="6"/>
  <c r="F347" i="6"/>
  <c r="F372" i="6"/>
  <c r="F408" i="6"/>
  <c r="F418" i="6"/>
  <c r="F426" i="6"/>
  <c r="F434" i="6"/>
  <c r="H439" i="6"/>
  <c r="H446" i="6"/>
  <c r="F468" i="6"/>
  <c r="F473" i="6"/>
  <c r="F498" i="6"/>
  <c r="H503" i="6"/>
  <c r="H537" i="6"/>
  <c r="H614" i="6"/>
  <c r="H621" i="6"/>
  <c r="F1074" i="6"/>
  <c r="F1114" i="6"/>
  <c r="H381" i="6"/>
  <c r="H414" i="6"/>
  <c r="H580" i="6"/>
  <c r="H605" i="6"/>
  <c r="F615" i="6"/>
  <c r="F637" i="6"/>
  <c r="H653" i="6"/>
  <c r="F668" i="6"/>
  <c r="F1357" i="6"/>
  <c r="F1583" i="6"/>
  <c r="H1522" i="6"/>
  <c r="H1269" i="6"/>
  <c r="H1102" i="6"/>
  <c r="H1079" i="6"/>
  <c r="H1066" i="6"/>
  <c r="H924" i="6"/>
  <c r="H836" i="6"/>
  <c r="H709" i="6"/>
  <c r="H1385" i="6"/>
  <c r="H1268" i="6"/>
  <c r="H1157" i="6"/>
  <c r="H1016" i="6"/>
  <c r="H863" i="6"/>
  <c r="H760" i="6"/>
  <c r="H688" i="6"/>
  <c r="H1015" i="6"/>
  <c r="H956" i="6"/>
  <c r="H789" i="6"/>
  <c r="H726" i="6"/>
  <c r="H2117" i="6"/>
  <c r="H1129" i="6"/>
  <c r="H946" i="6"/>
  <c r="H932" i="6"/>
  <c r="H814" i="6"/>
  <c r="H2076" i="6"/>
  <c r="H1439" i="6"/>
  <c r="H1061" i="6"/>
  <c r="H1037" i="6"/>
  <c r="H884" i="6"/>
  <c r="H831" i="6"/>
  <c r="H804" i="6"/>
  <c r="H766" i="6"/>
  <c r="H759" i="6"/>
  <c r="H681" i="6"/>
  <c r="H669" i="6"/>
  <c r="H646" i="6"/>
  <c r="H1843" i="6"/>
  <c r="H1529" i="6"/>
  <c r="H1321" i="6"/>
  <c r="H1297" i="6"/>
  <c r="H1184" i="6"/>
  <c r="H716" i="6"/>
  <c r="H1437" i="6"/>
  <c r="H1392" i="6"/>
  <c r="H1057" i="6"/>
  <c r="H983" i="6"/>
  <c r="H802" i="6"/>
  <c r="H1626" i="6"/>
  <c r="H1208" i="6"/>
  <c r="H961" i="6"/>
  <c r="H902" i="6"/>
  <c r="H571" i="6"/>
  <c r="H1052" i="6"/>
  <c r="H941" i="6"/>
  <c r="H871" i="6"/>
  <c r="H825" i="6"/>
  <c r="H678" i="6"/>
  <c r="H667" i="6"/>
  <c r="H521" i="6"/>
  <c r="H808" i="6"/>
  <c r="H637" i="6"/>
  <c r="H564" i="6"/>
  <c r="H532" i="6"/>
  <c r="H460" i="6"/>
  <c r="H438" i="6"/>
  <c r="H360" i="6"/>
  <c r="H255" i="6"/>
  <c r="H218" i="6"/>
  <c r="H199" i="6"/>
  <c r="H171" i="6"/>
  <c r="H168" i="6"/>
  <c r="H156" i="6"/>
  <c r="H1351" i="6"/>
  <c r="H1183" i="6"/>
  <c r="H587" i="6"/>
  <c r="H482" i="6"/>
  <c r="H425" i="6"/>
  <c r="H415" i="6"/>
  <c r="H100" i="6"/>
  <c r="H1461" i="6"/>
  <c r="H1342" i="6"/>
  <c r="H1248" i="6"/>
  <c r="H1212" i="6"/>
  <c r="H648" i="6"/>
  <c r="H474" i="6"/>
  <c r="H428" i="6"/>
  <c r="H385" i="6"/>
  <c r="H301" i="6"/>
  <c r="H147" i="6"/>
  <c r="H140" i="6"/>
  <c r="H133" i="6"/>
  <c r="H85" i="6"/>
  <c r="H71" i="6"/>
  <c r="H3" i="6"/>
  <c r="H43" i="6"/>
  <c r="H136" i="6"/>
  <c r="H163" i="6"/>
  <c r="H253" i="6"/>
  <c r="H273" i="6"/>
  <c r="H281" i="6"/>
  <c r="H289" i="6"/>
  <c r="H309" i="6"/>
  <c r="H317" i="6"/>
  <c r="F325" i="6"/>
  <c r="H386" i="6"/>
  <c r="F419" i="6"/>
  <c r="F474" i="6"/>
  <c r="F482" i="6"/>
  <c r="F554" i="6"/>
  <c r="F599" i="6"/>
  <c r="F683" i="6"/>
  <c r="F866" i="6"/>
  <c r="H888" i="6"/>
  <c r="H1088" i="6"/>
  <c r="F1254" i="6"/>
  <c r="I1545" i="6"/>
  <c r="I1908" i="6"/>
  <c r="I1449" i="6"/>
  <c r="I1350" i="6"/>
  <c r="I1289" i="6"/>
  <c r="I877" i="6"/>
  <c r="I863" i="6"/>
  <c r="I760" i="6"/>
  <c r="I695" i="6"/>
  <c r="I647" i="6"/>
  <c r="I1348" i="6"/>
  <c r="I956" i="6"/>
  <c r="I789" i="6"/>
  <c r="I694" i="6"/>
  <c r="I1415" i="6"/>
  <c r="I1129" i="6"/>
  <c r="I977" i="6"/>
  <c r="I932" i="6"/>
  <c r="I815" i="6"/>
  <c r="I639" i="6"/>
  <c r="I1467" i="6"/>
  <c r="I1442" i="6"/>
  <c r="I1242" i="6"/>
  <c r="I1174" i="6"/>
  <c r="I892" i="6"/>
  <c r="I850" i="6"/>
  <c r="I766" i="6"/>
  <c r="I740" i="6"/>
  <c r="I681" i="6"/>
  <c r="I669" i="6"/>
  <c r="I664" i="6"/>
  <c r="I646" i="6"/>
  <c r="I1860" i="6"/>
  <c r="I1212" i="6"/>
  <c r="I985" i="6"/>
  <c r="I919" i="6"/>
  <c r="I733" i="6"/>
  <c r="I628" i="6"/>
  <c r="I1359" i="6"/>
  <c r="I1087" i="6"/>
  <c r="I867" i="6"/>
  <c r="I724" i="6"/>
  <c r="I1351" i="6"/>
  <c r="I716" i="6"/>
  <c r="I1079" i="6"/>
  <c r="I1033" i="6"/>
  <c r="I614" i="6"/>
  <c r="I438" i="6"/>
  <c r="I1342" i="6"/>
  <c r="I795" i="6"/>
  <c r="I739" i="6"/>
  <c r="I602" i="6"/>
  <c r="I548" i="6"/>
  <c r="I503" i="6"/>
  <c r="I492" i="6"/>
  <c r="I447" i="6"/>
  <c r="I1226" i="6"/>
  <c r="I1151" i="6"/>
  <c r="I983" i="6"/>
  <c r="I1103" i="6"/>
  <c r="I701" i="6"/>
  <c r="I465" i="6"/>
  <c r="I434" i="6"/>
  <c r="I351" i="6"/>
  <c r="I325" i="6"/>
  <c r="I316" i="6"/>
  <c r="I281" i="6"/>
  <c r="I274" i="6"/>
  <c r="I246" i="6"/>
  <c r="I227" i="6"/>
  <c r="I147" i="6"/>
  <c r="I51" i="6"/>
  <c r="I113" i="6"/>
  <c r="I120" i="6"/>
  <c r="I163" i="6"/>
  <c r="I183" i="6"/>
  <c r="I196" i="6"/>
  <c r="I263" i="6"/>
  <c r="I270" i="6"/>
  <c r="I294" i="6"/>
  <c r="I318" i="6"/>
  <c r="I332" i="6"/>
  <c r="I374" i="6"/>
  <c r="I398" i="6"/>
  <c r="I521" i="6"/>
  <c r="I536" i="6"/>
  <c r="I586" i="6"/>
  <c r="I961" i="6"/>
  <c r="I1153" i="6"/>
  <c r="I105" i="6"/>
  <c r="I108" i="6"/>
  <c r="I137" i="6"/>
  <c r="I179" i="6"/>
  <c r="I203" i="6"/>
  <c r="I234" i="6"/>
  <c r="I254" i="6"/>
  <c r="I305" i="6"/>
  <c r="I309" i="6"/>
  <c r="I336" i="6"/>
  <c r="I360" i="6"/>
  <c r="I367" i="6"/>
  <c r="I378" i="6"/>
  <c r="I393" i="6"/>
  <c r="I486" i="6"/>
  <c r="I571" i="6"/>
  <c r="I662" i="6"/>
  <c r="I723" i="6"/>
  <c r="I78" i="2"/>
  <c r="K78" i="2"/>
  <c r="I77" i="2"/>
  <c r="J77" i="2"/>
  <c r="I79" i="2"/>
  <c r="K79" i="2"/>
  <c r="J81" i="2"/>
  <c r="K81" i="2"/>
  <c r="I81" i="2"/>
  <c r="D47" i="6"/>
  <c r="D222" i="6"/>
  <c r="D374" i="6"/>
  <c r="D389" i="6"/>
  <c r="D417" i="6"/>
  <c r="D462" i="6"/>
  <c r="D530" i="6"/>
  <c r="D546" i="6"/>
  <c r="D1217" i="6"/>
  <c r="D1402" i="6"/>
  <c r="D1020" i="6"/>
  <c r="D1157" i="6"/>
  <c r="D88" i="6"/>
  <c r="D128" i="6"/>
  <c r="D135" i="6"/>
  <c r="D234" i="6"/>
  <c r="D467" i="6"/>
  <c r="D557" i="6"/>
  <c r="D2497" i="6"/>
  <c r="D2490" i="6"/>
  <c r="D2483" i="6"/>
  <c r="D2476" i="6"/>
  <c r="D2469" i="6"/>
  <c r="D2462" i="6"/>
  <c r="D2455" i="6"/>
  <c r="D2448" i="6"/>
  <c r="D2441" i="6"/>
  <c r="D2434" i="6"/>
  <c r="D2427" i="6"/>
  <c r="D2496" i="6"/>
  <c r="D2489" i="6"/>
  <c r="D2482" i="6"/>
  <c r="D2475" i="6"/>
  <c r="D2468" i="6"/>
  <c r="D2461" i="6"/>
  <c r="D2454" i="6"/>
  <c r="D2447" i="6"/>
  <c r="D2440" i="6"/>
  <c r="D2433" i="6"/>
  <c r="D2494" i="6"/>
  <c r="D2487" i="6"/>
  <c r="D2480" i="6"/>
  <c r="D2473" i="6"/>
  <c r="D2466" i="6"/>
  <c r="D2493" i="6"/>
  <c r="D2467" i="6"/>
  <c r="D2464" i="6"/>
  <c r="D2446" i="6"/>
  <c r="D2499" i="6"/>
  <c r="D2470" i="6"/>
  <c r="D2435" i="6"/>
  <c r="D2430" i="6"/>
  <c r="D2422" i="6"/>
  <c r="D2415" i="6"/>
  <c r="D2408" i="6"/>
  <c r="D2401" i="6"/>
  <c r="D2479" i="6"/>
  <c r="D2457" i="6"/>
  <c r="D2452" i="6"/>
  <c r="D2449" i="6"/>
  <c r="D2438" i="6"/>
  <c r="D2418" i="6"/>
  <c r="D2481" i="6"/>
  <c r="D2477" i="6"/>
  <c r="D2471" i="6"/>
  <c r="D2444" i="6"/>
  <c r="D2420" i="6"/>
  <c r="D2409" i="6"/>
  <c r="D2465" i="6"/>
  <c r="D2460" i="6"/>
  <c r="D2436" i="6"/>
  <c r="D2421" i="6"/>
  <c r="D2410" i="6"/>
  <c r="D2399" i="6"/>
  <c r="D2392" i="6"/>
  <c r="D2385" i="6"/>
  <c r="D2500" i="6"/>
  <c r="D2458" i="6"/>
  <c r="D2453" i="6"/>
  <c r="D2411" i="6"/>
  <c r="D2492" i="6"/>
  <c r="D2451" i="6"/>
  <c r="D2442" i="6"/>
  <c r="D2431" i="6"/>
  <c r="D2419" i="6"/>
  <c r="D2416" i="6"/>
  <c r="D2495" i="6"/>
  <c r="D2484" i="6"/>
  <c r="D2414" i="6"/>
  <c r="D2394" i="6"/>
  <c r="D2387" i="6"/>
  <c r="D2381" i="6"/>
  <c r="D2374" i="6"/>
  <c r="D2367" i="6"/>
  <c r="D2429" i="6"/>
  <c r="D2425" i="6"/>
  <c r="D2400" i="6"/>
  <c r="D2388" i="6"/>
  <c r="D2486" i="6"/>
  <c r="D2478" i="6"/>
  <c r="D2403" i="6"/>
  <c r="D2395" i="6"/>
  <c r="D2389" i="6"/>
  <c r="D2380" i="6"/>
  <c r="D2373" i="6"/>
  <c r="D2366" i="6"/>
  <c r="D2488" i="6"/>
  <c r="D2423" i="6"/>
  <c r="D2358" i="6"/>
  <c r="D2351" i="6"/>
  <c r="D2344" i="6"/>
  <c r="D2337" i="6"/>
  <c r="D2330" i="6"/>
  <c r="D2323" i="6"/>
  <c r="D2316" i="6"/>
  <c r="D2309" i="6"/>
  <c r="D2302" i="6"/>
  <c r="D2295" i="6"/>
  <c r="D2288" i="6"/>
  <c r="D2281" i="6"/>
  <c r="D2274" i="6"/>
  <c r="D2443" i="6"/>
  <c r="D2386" i="6"/>
  <c r="D2383" i="6"/>
  <c r="D2378" i="6"/>
  <c r="D2357" i="6"/>
  <c r="D2350" i="6"/>
  <c r="D2343" i="6"/>
  <c r="D2336" i="6"/>
  <c r="D2329" i="6"/>
  <c r="D2322" i="6"/>
  <c r="D2315" i="6"/>
  <c r="D2308" i="6"/>
  <c r="D2301" i="6"/>
  <c r="D2294" i="6"/>
  <c r="D2287" i="6"/>
  <c r="D2280" i="6"/>
  <c r="D2273" i="6"/>
  <c r="D2439" i="6"/>
  <c r="D2397" i="6"/>
  <c r="D2384" i="6"/>
  <c r="D2379" i="6"/>
  <c r="D2424" i="6"/>
  <c r="D2382" i="6"/>
  <c r="D2375" i="6"/>
  <c r="D2368" i="6"/>
  <c r="D2363" i="6"/>
  <c r="D2347" i="6"/>
  <c r="D2328" i="6"/>
  <c r="D2317" i="6"/>
  <c r="D2298" i="6"/>
  <c r="D2279" i="6"/>
  <c r="D2268" i="6"/>
  <c r="D2353" i="6"/>
  <c r="D2348" i="6"/>
  <c r="D2318" i="6"/>
  <c r="D2299" i="6"/>
  <c r="D2269" i="6"/>
  <c r="D2266" i="6"/>
  <c r="D2259" i="6"/>
  <c r="D2252" i="6"/>
  <c r="D2245" i="6"/>
  <c r="D2238" i="6"/>
  <c r="D2231" i="6"/>
  <c r="D2405" i="6"/>
  <c r="D2338" i="6"/>
  <c r="D2319" i="6"/>
  <c r="D2300" i="6"/>
  <c r="D2289" i="6"/>
  <c r="D2270" i="6"/>
  <c r="D2371" i="6"/>
  <c r="D2293" i="6"/>
  <c r="D2286" i="6"/>
  <c r="D2262" i="6"/>
  <c r="D2243" i="6"/>
  <c r="D2232" i="6"/>
  <c r="D2228" i="6"/>
  <c r="D2221" i="6"/>
  <c r="D2214" i="6"/>
  <c r="D2207" i="6"/>
  <c r="D2200" i="6"/>
  <c r="D2485" i="6"/>
  <c r="D2406" i="6"/>
  <c r="D2402" i="6"/>
  <c r="D2341" i="6"/>
  <c r="D2334" i="6"/>
  <c r="D2327" i="6"/>
  <c r="D2290" i="6"/>
  <c r="D2283" i="6"/>
  <c r="D2276" i="6"/>
  <c r="D2264" i="6"/>
  <c r="D2253" i="6"/>
  <c r="D2234" i="6"/>
  <c r="D2227" i="6"/>
  <c r="D2220" i="6"/>
  <c r="D2213" i="6"/>
  <c r="D2206" i="6"/>
  <c r="D2199" i="6"/>
  <c r="D2364" i="6"/>
  <c r="D2359" i="6"/>
  <c r="D2321" i="6"/>
  <c r="D2314" i="6"/>
  <c r="D2307" i="6"/>
  <c r="D2265" i="6"/>
  <c r="D2254" i="6"/>
  <c r="D2235" i="6"/>
  <c r="D2417" i="6"/>
  <c r="D2413" i="6"/>
  <c r="D2398" i="6"/>
  <c r="D2331" i="6"/>
  <c r="D2324" i="6"/>
  <c r="D2255" i="6"/>
  <c r="D2236" i="6"/>
  <c r="D2226" i="6"/>
  <c r="D2498" i="6"/>
  <c r="D2393" i="6"/>
  <c r="D2326" i="6"/>
  <c r="D2310" i="6"/>
  <c r="D2292" i="6"/>
  <c r="D2284" i="6"/>
  <c r="D2257" i="6"/>
  <c r="D2210" i="6"/>
  <c r="D2197" i="6"/>
  <c r="D2190" i="6"/>
  <c r="D2183" i="6"/>
  <c r="D2176" i="6"/>
  <c r="D2169" i="6"/>
  <c r="D2162" i="6"/>
  <c r="D2356" i="6"/>
  <c r="D2352" i="6"/>
  <c r="D2296" i="6"/>
  <c r="D2282" i="6"/>
  <c r="D2278" i="6"/>
  <c r="D2246" i="6"/>
  <c r="D2212" i="6"/>
  <c r="D2201" i="6"/>
  <c r="D2196" i="6"/>
  <c r="D2189" i="6"/>
  <c r="D2182" i="6"/>
  <c r="D2175" i="6"/>
  <c r="D2168" i="6"/>
  <c r="D2161" i="6"/>
  <c r="D2450" i="6"/>
  <c r="D2396" i="6"/>
  <c r="D2391" i="6"/>
  <c r="D2349" i="6"/>
  <c r="D2249" i="6"/>
  <c r="D2202" i="6"/>
  <c r="D2459" i="6"/>
  <c r="D2428" i="6"/>
  <c r="D2360" i="6"/>
  <c r="D2339" i="6"/>
  <c r="D2335" i="6"/>
  <c r="D2263" i="6"/>
  <c r="D2260" i="6"/>
  <c r="D2229" i="6"/>
  <c r="D2222" i="6"/>
  <c r="D2203" i="6"/>
  <c r="D2195" i="6"/>
  <c r="D2188" i="6"/>
  <c r="D2181" i="6"/>
  <c r="D2174" i="6"/>
  <c r="D2167" i="6"/>
  <c r="D2160" i="6"/>
  <c r="D2437" i="6"/>
  <c r="D2390" i="6"/>
  <c r="D2372" i="6"/>
  <c r="D2342" i="6"/>
  <c r="D2241" i="6"/>
  <c r="D2239" i="6"/>
  <c r="D2230" i="6"/>
  <c r="D2211" i="6"/>
  <c r="D2208" i="6"/>
  <c r="D2185" i="6"/>
  <c r="D2180" i="6"/>
  <c r="D2163" i="6"/>
  <c r="D2158" i="6"/>
  <c r="D2157" i="6"/>
  <c r="D2150" i="6"/>
  <c r="D2143" i="6"/>
  <c r="D2136" i="6"/>
  <c r="D2129" i="6"/>
  <c r="D2122" i="6"/>
  <c r="D2456" i="6"/>
  <c r="D2376" i="6"/>
  <c r="D2320" i="6"/>
  <c r="D2311" i="6"/>
  <c r="D2258" i="6"/>
  <c r="D2256" i="6"/>
  <c r="D2325" i="6"/>
  <c r="D2306" i="6"/>
  <c r="D2303" i="6"/>
  <c r="D2267" i="6"/>
  <c r="D2217" i="6"/>
  <c r="D2191" i="6"/>
  <c r="D2186" i="6"/>
  <c r="D2164" i="6"/>
  <c r="D2159" i="6"/>
  <c r="D2156" i="6"/>
  <c r="D2149" i="6"/>
  <c r="D2142" i="6"/>
  <c r="D2135" i="6"/>
  <c r="D2128" i="6"/>
  <c r="D2121" i="6"/>
  <c r="D2114" i="6"/>
  <c r="D2107" i="6"/>
  <c r="D2100" i="6"/>
  <c r="D2093" i="6"/>
  <c r="D2086" i="6"/>
  <c r="D2079" i="6"/>
  <c r="D2072" i="6"/>
  <c r="D2065" i="6"/>
  <c r="D2058" i="6"/>
  <c r="D2051" i="6"/>
  <c r="D2044" i="6"/>
  <c r="D2037" i="6"/>
  <c r="D2030" i="6"/>
  <c r="D2023" i="6"/>
  <c r="D2016" i="6"/>
  <c r="D2009" i="6"/>
  <c r="D2002" i="6"/>
  <c r="D1995" i="6"/>
  <c r="D1988" i="6"/>
  <c r="D1981" i="6"/>
  <c r="D1974" i="6"/>
  <c r="D1967" i="6"/>
  <c r="D2445" i="6"/>
  <c r="D2362" i="6"/>
  <c r="D2297" i="6"/>
  <c r="D2247" i="6"/>
  <c r="D2223" i="6"/>
  <c r="D2291" i="6"/>
  <c r="D2272" i="6"/>
  <c r="D2250" i="6"/>
  <c r="D2224" i="6"/>
  <c r="D2198" i="6"/>
  <c r="D2151" i="6"/>
  <c r="D2146" i="6"/>
  <c r="D2141" i="6"/>
  <c r="D2124" i="6"/>
  <c r="D2116" i="6"/>
  <c r="D2097" i="6"/>
  <c r="D2078" i="6"/>
  <c r="D2067" i="6"/>
  <c r="D2048" i="6"/>
  <c r="D2029" i="6"/>
  <c r="D2018" i="6"/>
  <c r="D1999" i="6"/>
  <c r="D1980" i="6"/>
  <c r="D1969" i="6"/>
  <c r="D1963" i="6"/>
  <c r="D1956" i="6"/>
  <c r="D1949" i="6"/>
  <c r="D1942" i="6"/>
  <c r="D1935" i="6"/>
  <c r="D1928" i="6"/>
  <c r="D1921" i="6"/>
  <c r="D1914" i="6"/>
  <c r="D1907" i="6"/>
  <c r="D1900" i="6"/>
  <c r="D1893" i="6"/>
  <c r="D2491" i="6"/>
  <c r="D2474" i="6"/>
  <c r="D2369" i="6"/>
  <c r="D2215" i="6"/>
  <c r="D2179" i="6"/>
  <c r="D2172" i="6"/>
  <c r="D2165" i="6"/>
  <c r="D2152" i="6"/>
  <c r="D2147" i="6"/>
  <c r="D2130" i="6"/>
  <c r="D2125" i="6"/>
  <c r="D2118" i="6"/>
  <c r="D2099" i="6"/>
  <c r="D2088" i="6"/>
  <c r="D2069" i="6"/>
  <c r="D2050" i="6"/>
  <c r="D2039" i="6"/>
  <c r="D2020" i="6"/>
  <c r="D2001" i="6"/>
  <c r="D1990" i="6"/>
  <c r="D1971" i="6"/>
  <c r="D1962" i="6"/>
  <c r="D1955" i="6"/>
  <c r="D1948" i="6"/>
  <c r="D1941" i="6"/>
  <c r="D1934" i="6"/>
  <c r="D1927" i="6"/>
  <c r="D1920" i="6"/>
  <c r="D1913" i="6"/>
  <c r="D1906" i="6"/>
  <c r="D1899" i="6"/>
  <c r="D1892" i="6"/>
  <c r="D2426" i="6"/>
  <c r="D2404" i="6"/>
  <c r="D2354" i="6"/>
  <c r="D2346" i="6"/>
  <c r="D2271" i="6"/>
  <c r="D2237" i="6"/>
  <c r="D2119" i="6"/>
  <c r="D2108" i="6"/>
  <c r="D2089" i="6"/>
  <c r="D2070" i="6"/>
  <c r="D2059" i="6"/>
  <c r="D2040" i="6"/>
  <c r="D2021" i="6"/>
  <c r="D2010" i="6"/>
  <c r="D1991" i="6"/>
  <c r="D1972" i="6"/>
  <c r="D2333" i="6"/>
  <c r="D2275" i="6"/>
  <c r="D2240" i="6"/>
  <c r="D2194" i="6"/>
  <c r="D2187" i="6"/>
  <c r="D2184" i="6"/>
  <c r="D2177" i="6"/>
  <c r="D2170" i="6"/>
  <c r="D2153" i="6"/>
  <c r="D2148" i="6"/>
  <c r="D2131" i="6"/>
  <c r="D2126" i="6"/>
  <c r="D2120" i="6"/>
  <c r="D2109" i="6"/>
  <c r="D2090" i="6"/>
  <c r="D2071" i="6"/>
  <c r="D2060" i="6"/>
  <c r="D2041" i="6"/>
  <c r="D2022" i="6"/>
  <c r="D2011" i="6"/>
  <c r="D1992" i="6"/>
  <c r="D1973" i="6"/>
  <c r="D1961" i="6"/>
  <c r="D1954" i="6"/>
  <c r="D1947" i="6"/>
  <c r="D1940" i="6"/>
  <c r="D1933" i="6"/>
  <c r="D1926" i="6"/>
  <c r="D1919" i="6"/>
  <c r="D1912" i="6"/>
  <c r="D1905" i="6"/>
  <c r="D1898" i="6"/>
  <c r="D2332" i="6"/>
  <c r="D2277" i="6"/>
  <c r="D2219" i="6"/>
  <c r="D2193" i="6"/>
  <c r="D2140" i="6"/>
  <c r="D2133" i="6"/>
  <c r="D2123" i="6"/>
  <c r="D2104" i="6"/>
  <c r="D2087" i="6"/>
  <c r="D2076" i="6"/>
  <c r="D2043" i="6"/>
  <c r="D2015" i="6"/>
  <c r="D2225" i="6"/>
  <c r="D2216" i="6"/>
  <c r="D2115" i="6"/>
  <c r="D2110" i="6"/>
  <c r="D2082" i="6"/>
  <c r="D2054" i="6"/>
  <c r="D2026" i="6"/>
  <c r="D1998" i="6"/>
  <c r="D1993" i="6"/>
  <c r="D1889" i="6"/>
  <c r="D1882" i="6"/>
  <c r="D1875" i="6"/>
  <c r="D1868" i="6"/>
  <c r="D1861" i="6"/>
  <c r="D1854" i="6"/>
  <c r="D1847" i="6"/>
  <c r="D1840" i="6"/>
  <c r="D1833" i="6"/>
  <c r="D1826" i="6"/>
  <c r="D1819" i="6"/>
  <c r="D1812" i="6"/>
  <c r="D2463" i="6"/>
  <c r="D2171" i="6"/>
  <c r="D2166" i="6"/>
  <c r="D2155" i="6"/>
  <c r="D2145" i="6"/>
  <c r="D2138" i="6"/>
  <c r="D2113" i="6"/>
  <c r="D2085" i="6"/>
  <c r="D2068" i="6"/>
  <c r="D2057" i="6"/>
  <c r="D2032" i="6"/>
  <c r="D2004" i="6"/>
  <c r="D1976" i="6"/>
  <c r="D1964" i="6"/>
  <c r="D1959" i="6"/>
  <c r="D1937" i="6"/>
  <c r="D1932" i="6"/>
  <c r="D1915" i="6"/>
  <c r="D1910" i="6"/>
  <c r="D2407" i="6"/>
  <c r="D2365" i="6"/>
  <c r="D2304" i="6"/>
  <c r="D2096" i="6"/>
  <c r="D2091" i="6"/>
  <c r="D2063" i="6"/>
  <c r="D2035" i="6"/>
  <c r="D2007" i="6"/>
  <c r="D1982" i="6"/>
  <c r="D1979" i="6"/>
  <c r="D1888" i="6"/>
  <c r="D1881" i="6"/>
  <c r="D1874" i="6"/>
  <c r="D1867" i="6"/>
  <c r="D1860" i="6"/>
  <c r="D1853" i="6"/>
  <c r="D1846" i="6"/>
  <c r="D1839" i="6"/>
  <c r="D1832" i="6"/>
  <c r="D1825" i="6"/>
  <c r="D1818" i="6"/>
  <c r="D2355" i="6"/>
  <c r="D2285" i="6"/>
  <c r="D2019" i="6"/>
  <c r="D2008" i="6"/>
  <c r="D2006" i="6"/>
  <c r="D1987" i="6"/>
  <c r="D1977" i="6"/>
  <c r="D1931" i="6"/>
  <c r="D1895" i="6"/>
  <c r="D1884" i="6"/>
  <c r="D1865" i="6"/>
  <c r="D1835" i="6"/>
  <c r="D1816" i="6"/>
  <c r="D1802" i="6"/>
  <c r="D1795" i="6"/>
  <c r="D1788" i="6"/>
  <c r="D1781" i="6"/>
  <c r="D1774" i="6"/>
  <c r="D1767" i="6"/>
  <c r="D1760" i="6"/>
  <c r="D1753" i="6"/>
  <c r="D1746" i="6"/>
  <c r="D1739" i="6"/>
  <c r="D2345" i="6"/>
  <c r="D2251" i="6"/>
  <c r="D2056" i="6"/>
  <c r="D2017" i="6"/>
  <c r="D1989" i="6"/>
  <c r="D1975" i="6"/>
  <c r="D1965" i="6"/>
  <c r="D1923" i="6"/>
  <c r="D1885" i="6"/>
  <c r="D1866" i="6"/>
  <c r="D1855" i="6"/>
  <c r="D1836" i="6"/>
  <c r="D1817" i="6"/>
  <c r="D2244" i="6"/>
  <c r="D2233" i="6"/>
  <c r="D2117" i="6"/>
  <c r="D2106" i="6"/>
  <c r="D2049" i="6"/>
  <c r="D2036" i="6"/>
  <c r="D2034" i="6"/>
  <c r="D1997" i="6"/>
  <c r="D1951" i="6"/>
  <c r="D1909" i="6"/>
  <c r="D1886" i="6"/>
  <c r="D1856" i="6"/>
  <c r="D1837" i="6"/>
  <c r="D1801" i="6"/>
  <c r="D1794" i="6"/>
  <c r="D1787" i="6"/>
  <c r="D1780" i="6"/>
  <c r="D1773" i="6"/>
  <c r="D1766" i="6"/>
  <c r="D1759" i="6"/>
  <c r="D1752" i="6"/>
  <c r="D1745" i="6"/>
  <c r="D1738" i="6"/>
  <c r="D1731" i="6"/>
  <c r="D1724" i="6"/>
  <c r="D1717" i="6"/>
  <c r="D1710" i="6"/>
  <c r="D1703" i="6"/>
  <c r="D1696" i="6"/>
  <c r="D1689" i="6"/>
  <c r="D1682" i="6"/>
  <c r="D1675" i="6"/>
  <c r="D1668" i="6"/>
  <c r="D1661" i="6"/>
  <c r="D1654" i="6"/>
  <c r="D1647" i="6"/>
  <c r="D1640" i="6"/>
  <c r="D1633" i="6"/>
  <c r="D1626" i="6"/>
  <c r="D1619" i="6"/>
  <c r="D1612" i="6"/>
  <c r="D1605" i="6"/>
  <c r="D1598" i="6"/>
  <c r="D1591" i="6"/>
  <c r="D2313" i="6"/>
  <c r="D2218" i="6"/>
  <c r="D2084" i="6"/>
  <c r="D2047" i="6"/>
  <c r="D2045" i="6"/>
  <c r="D2014" i="6"/>
  <c r="D2012" i="6"/>
  <c r="D1960" i="6"/>
  <c r="D1943" i="6"/>
  <c r="D1918" i="6"/>
  <c r="D1901" i="6"/>
  <c r="D1887" i="6"/>
  <c r="D1876" i="6"/>
  <c r="D1857" i="6"/>
  <c r="D1838" i="6"/>
  <c r="D1827" i="6"/>
  <c r="D2361" i="6"/>
  <c r="D2305" i="6"/>
  <c r="D2261" i="6"/>
  <c r="D2209" i="6"/>
  <c r="D2312" i="6"/>
  <c r="D2075" i="6"/>
  <c r="D2066" i="6"/>
  <c r="D1952" i="6"/>
  <c r="D1950" i="6"/>
  <c r="D1880" i="6"/>
  <c r="D1852" i="6"/>
  <c r="D1824" i="6"/>
  <c r="D1810" i="6"/>
  <c r="D1799" i="6"/>
  <c r="D1769" i="6"/>
  <c r="D1750" i="6"/>
  <c r="D1723" i="6"/>
  <c r="D1722" i="6"/>
  <c r="D1721" i="6"/>
  <c r="D1720" i="6"/>
  <c r="D1719" i="6"/>
  <c r="D1718" i="6"/>
  <c r="D1674" i="6"/>
  <c r="D1673" i="6"/>
  <c r="D1672" i="6"/>
  <c r="D1671" i="6"/>
  <c r="D1670" i="6"/>
  <c r="D1669" i="6"/>
  <c r="D1625" i="6"/>
  <c r="D1624" i="6"/>
  <c r="D1623" i="6"/>
  <c r="D1622" i="6"/>
  <c r="D1621" i="6"/>
  <c r="D1620" i="6"/>
  <c r="D2472" i="6"/>
  <c r="D2105" i="6"/>
  <c r="D1984" i="6"/>
  <c r="D1930" i="6"/>
  <c r="D1869" i="6"/>
  <c r="D1841" i="6"/>
  <c r="D1813" i="6"/>
  <c r="D1807" i="6"/>
  <c r="D1790" i="6"/>
  <c r="D1771" i="6"/>
  <c r="D1741" i="6"/>
  <c r="D1730" i="6"/>
  <c r="D1729" i="6"/>
  <c r="D1728" i="6"/>
  <c r="D1727" i="6"/>
  <c r="D1726" i="6"/>
  <c r="D1725" i="6"/>
  <c r="D1681" i="6"/>
  <c r="D1680" i="6"/>
  <c r="D1679" i="6"/>
  <c r="D1678" i="6"/>
  <c r="D1677" i="6"/>
  <c r="D1676" i="6"/>
  <c r="D1632" i="6"/>
  <c r="D1631" i="6"/>
  <c r="D1630" i="6"/>
  <c r="D1629" i="6"/>
  <c r="D1628" i="6"/>
  <c r="D1627" i="6"/>
  <c r="D2144" i="6"/>
  <c r="D2137" i="6"/>
  <c r="D2111" i="6"/>
  <c r="D2102" i="6"/>
  <c r="D2062" i="6"/>
  <c r="D2053" i="6"/>
  <c r="D2013" i="6"/>
  <c r="D1897" i="6"/>
  <c r="D1872" i="6"/>
  <c r="D1844" i="6"/>
  <c r="D1791" i="6"/>
  <c r="D1772" i="6"/>
  <c r="D1761" i="6"/>
  <c r="D1742" i="6"/>
  <c r="D1579" i="6"/>
  <c r="D1572" i="6"/>
  <c r="D1565" i="6"/>
  <c r="D1558" i="6"/>
  <c r="D1551" i="6"/>
  <c r="D1544" i="6"/>
  <c r="D1537" i="6"/>
  <c r="D1530" i="6"/>
  <c r="D1523" i="6"/>
  <c r="D1516" i="6"/>
  <c r="D1509" i="6"/>
  <c r="D1502" i="6"/>
  <c r="D1495" i="6"/>
  <c r="D1488" i="6"/>
  <c r="D2205" i="6"/>
  <c r="D2103" i="6"/>
  <c r="D2095" i="6"/>
  <c r="D2083" i="6"/>
  <c r="D1946" i="6"/>
  <c r="D1924" i="6"/>
  <c r="D1902" i="6"/>
  <c r="D1896" i="6"/>
  <c r="D1891" i="6"/>
  <c r="D1883" i="6"/>
  <c r="D1877" i="6"/>
  <c r="D1873" i="6"/>
  <c r="D1793" i="6"/>
  <c r="D1789" i="6"/>
  <c r="D1786" i="6"/>
  <c r="D1779" i="6"/>
  <c r="D1735" i="6"/>
  <c r="D1705" i="6"/>
  <c r="D1701" i="6"/>
  <c r="D1666" i="6"/>
  <c r="D1636" i="6"/>
  <c r="D1601" i="6"/>
  <c r="D1597" i="6"/>
  <c r="D1561" i="6"/>
  <c r="D1542" i="6"/>
  <c r="D1512" i="6"/>
  <c r="D1493" i="6"/>
  <c r="D1475" i="6"/>
  <c r="D2139" i="6"/>
  <c r="D2005" i="6"/>
  <c r="D1986" i="6"/>
  <c r="D1983" i="6"/>
  <c r="D1957" i="6"/>
  <c r="D1929" i="6"/>
  <c r="D1863" i="6"/>
  <c r="D1849" i="6"/>
  <c r="D1845" i="6"/>
  <c r="D1829" i="6"/>
  <c r="D1811" i="6"/>
  <c r="D1800" i="6"/>
  <c r="D1783" i="6"/>
  <c r="D1776" i="6"/>
  <c r="D1732" i="6"/>
  <c r="D1697" i="6"/>
  <c r="D1693" i="6"/>
  <c r="D1662" i="6"/>
  <c r="D1658" i="6"/>
  <c r="D1593" i="6"/>
  <c r="D1589" i="6"/>
  <c r="D1582" i="6"/>
  <c r="D1563" i="6"/>
  <c r="D1533" i="6"/>
  <c r="D1514" i="6"/>
  <c r="D2412" i="6"/>
  <c r="D2242" i="6"/>
  <c r="D2204" i="6"/>
  <c r="D2055" i="6"/>
  <c r="D1904" i="6"/>
  <c r="D1843" i="6"/>
  <c r="D1823" i="6"/>
  <c r="D1763" i="6"/>
  <c r="D1756" i="6"/>
  <c r="D1749" i="6"/>
  <c r="D1706" i="6"/>
  <c r="D1702" i="6"/>
  <c r="D1667" i="6"/>
  <c r="D1641" i="6"/>
  <c r="D1637" i="6"/>
  <c r="D1606" i="6"/>
  <c r="D1602" i="6"/>
  <c r="D1583" i="6"/>
  <c r="D1573" i="6"/>
  <c r="D1564" i="6"/>
  <c r="D1553" i="6"/>
  <c r="D1534" i="6"/>
  <c r="D1524" i="6"/>
  <c r="D1515" i="6"/>
  <c r="D1504" i="6"/>
  <c r="D1485" i="6"/>
  <c r="D1484" i="6"/>
  <c r="D1483" i="6"/>
  <c r="D2377" i="6"/>
  <c r="D2340" i="6"/>
  <c r="D2098" i="6"/>
  <c r="D2094" i="6"/>
  <c r="D2074" i="6"/>
  <c r="D2028" i="6"/>
  <c r="D2192" i="6"/>
  <c r="D2134" i="6"/>
  <c r="D2024" i="6"/>
  <c r="D1936" i="6"/>
  <c r="D1809" i="6"/>
  <c r="D1803" i="6"/>
  <c r="D1792" i="6"/>
  <c r="D1765" i="6"/>
  <c r="D1736" i="6"/>
  <c r="D1716" i="6"/>
  <c r="D1683" i="6"/>
  <c r="D1635" i="6"/>
  <c r="D1587" i="6"/>
  <c r="D1557" i="6"/>
  <c r="D1550" i="6"/>
  <c r="D1506" i="6"/>
  <c r="D1499" i="6"/>
  <c r="D1492" i="6"/>
  <c r="D1479" i="6"/>
  <c r="D2073" i="6"/>
  <c r="D1862" i="6"/>
  <c r="D1814" i="6"/>
  <c r="D1747" i="6"/>
  <c r="D1743" i="6"/>
  <c r="D1711" i="6"/>
  <c r="D1686" i="6"/>
  <c r="D1663" i="6"/>
  <c r="D1638" i="6"/>
  <c r="D1615" i="6"/>
  <c r="D1592" i="6"/>
  <c r="D1590" i="6"/>
  <c r="D1574" i="6"/>
  <c r="D1567" i="6"/>
  <c r="D1560" i="6"/>
  <c r="D1496" i="6"/>
  <c r="D1489" i="6"/>
  <c r="D2077" i="6"/>
  <c r="D1996" i="6"/>
  <c r="D1966" i="6"/>
  <c r="D1939" i="6"/>
  <c r="D1917" i="6"/>
  <c r="D1903" i="6"/>
  <c r="D1859" i="6"/>
  <c r="D1754" i="6"/>
  <c r="D1691" i="6"/>
  <c r="D1653" i="6"/>
  <c r="D1643" i="6"/>
  <c r="D1610" i="6"/>
  <c r="D1595" i="6"/>
  <c r="D1554" i="6"/>
  <c r="D1547" i="6"/>
  <c r="D1540" i="6"/>
  <c r="D1513" i="6"/>
  <c r="D1486" i="6"/>
  <c r="D1480" i="6"/>
  <c r="D2173" i="6"/>
  <c r="D2127" i="6"/>
  <c r="D2061" i="6"/>
  <c r="D1864" i="6"/>
  <c r="D1834" i="6"/>
  <c r="D1831" i="6"/>
  <c r="D1821" i="6"/>
  <c r="D1770" i="6"/>
  <c r="D1734" i="6"/>
  <c r="D1694" i="6"/>
  <c r="D1648" i="6"/>
  <c r="D1646" i="6"/>
  <c r="D1600" i="6"/>
  <c r="D1585" i="6"/>
  <c r="D1581" i="6"/>
  <c r="D1578" i="6"/>
  <c r="D1571" i="6"/>
  <c r="D1527" i="6"/>
  <c r="D1520" i="6"/>
  <c r="D1503" i="6"/>
  <c r="D1958" i="6"/>
  <c r="D1938" i="6"/>
  <c r="D1879" i="6"/>
  <c r="D1797" i="6"/>
  <c r="D1714" i="6"/>
  <c r="D1709" i="6"/>
  <c r="D1699" i="6"/>
  <c r="D1953" i="6"/>
  <c r="D2432" i="6"/>
  <c r="D2080" i="6"/>
  <c r="D2046" i="6"/>
  <c r="D2027" i="6"/>
  <c r="D2003" i="6"/>
  <c r="D1945" i="6"/>
  <c r="D1916" i="6"/>
  <c r="D1858" i="6"/>
  <c r="D1804" i="6"/>
  <c r="D1785" i="6"/>
  <c r="D1782" i="6"/>
  <c r="D1768" i="6"/>
  <c r="D1651" i="6"/>
  <c r="D1649" i="6"/>
  <c r="D1642" i="6"/>
  <c r="D1539" i="6"/>
  <c r="D1505" i="6"/>
  <c r="D1501" i="6"/>
  <c r="D1497" i="6"/>
  <c r="D2112" i="6"/>
  <c r="D1922" i="6"/>
  <c r="D1894" i="6"/>
  <c r="D1796" i="6"/>
  <c r="D1784" i="6"/>
  <c r="D1762" i="6"/>
  <c r="D1748" i="6"/>
  <c r="D1695" i="6"/>
  <c r="D1644" i="6"/>
  <c r="D1586" i="6"/>
  <c r="D1491" i="6"/>
  <c r="D1472" i="6"/>
  <c r="D1465" i="6"/>
  <c r="D1446" i="6"/>
  <c r="D1445" i="6"/>
  <c r="D1444" i="6"/>
  <c r="D1443" i="6"/>
  <c r="D1442" i="6"/>
  <c r="D1441" i="6"/>
  <c r="D1397" i="6"/>
  <c r="D1396" i="6"/>
  <c r="D1395" i="6"/>
  <c r="D1394" i="6"/>
  <c r="D1393" i="6"/>
  <c r="D1392" i="6"/>
  <c r="D1348" i="6"/>
  <c r="D1347" i="6"/>
  <c r="D1346" i="6"/>
  <c r="D1345" i="6"/>
  <c r="D1344" i="6"/>
  <c r="D1343" i="6"/>
  <c r="D2000" i="6"/>
  <c r="D1830" i="6"/>
  <c r="D1708" i="6"/>
  <c r="D1688" i="6"/>
  <c r="D1665" i="6"/>
  <c r="D1639" i="6"/>
  <c r="D1616" i="6"/>
  <c r="D1614" i="6"/>
  <c r="D1607" i="6"/>
  <c r="D1584" i="6"/>
  <c r="D1576" i="6"/>
  <c r="D1568" i="6"/>
  <c r="D1908" i="6"/>
  <c r="D1758" i="6"/>
  <c r="D1508" i="6"/>
  <c r="D1481" i="6"/>
  <c r="D1471" i="6"/>
  <c r="D1467" i="6"/>
  <c r="D1452" i="6"/>
  <c r="D1440" i="6"/>
  <c r="D1429" i="6"/>
  <c r="D1407" i="6"/>
  <c r="D1374" i="6"/>
  <c r="D1363" i="6"/>
  <c r="D1352" i="6"/>
  <c r="D1335" i="6"/>
  <c r="D2092" i="6"/>
  <c r="D1970" i="6"/>
  <c r="D1944" i="6"/>
  <c r="D1808" i="6"/>
  <c r="D1764" i="6"/>
  <c r="D1740" i="6"/>
  <c r="D1713" i="6"/>
  <c r="D1690" i="6"/>
  <c r="D1687" i="6"/>
  <c r="D1655" i="6"/>
  <c r="D1652" i="6"/>
  <c r="D1634" i="6"/>
  <c r="D1617" i="6"/>
  <c r="D1599" i="6"/>
  <c r="D1596" i="6"/>
  <c r="D1577" i="6"/>
  <c r="D1552" i="6"/>
  <c r="D1545" i="6"/>
  <c r="D1543" i="6"/>
  <c r="D1538" i="6"/>
  <c r="D2081" i="6"/>
  <c r="D1822" i="6"/>
  <c r="D1775" i="6"/>
  <c r="D1757" i="6"/>
  <c r="D1684" i="6"/>
  <c r="D1517" i="6"/>
  <c r="D1510" i="6"/>
  <c r="D1461" i="6"/>
  <c r="D1431" i="6"/>
  <c r="D1409" i="6"/>
  <c r="D1398" i="6"/>
  <c r="D1386" i="6"/>
  <c r="D1376" i="6"/>
  <c r="D1364" i="6"/>
  <c r="D1354" i="6"/>
  <c r="D1342" i="6"/>
  <c r="D1842" i="6"/>
  <c r="D1569" i="6"/>
  <c r="D1559" i="6"/>
  <c r="D1531" i="6"/>
  <c r="D1454" i="6"/>
  <c r="D1432" i="6"/>
  <c r="D1420" i="6"/>
  <c r="D1410" i="6"/>
  <c r="D1387" i="6"/>
  <c r="D1365" i="6"/>
  <c r="D1355" i="6"/>
  <c r="D1329" i="6"/>
  <c r="D1322" i="6"/>
  <c r="D1315" i="6"/>
  <c r="D1308" i="6"/>
  <c r="D1301" i="6"/>
  <c r="D1294" i="6"/>
  <c r="D1287" i="6"/>
  <c r="D1280" i="6"/>
  <c r="D1273" i="6"/>
  <c r="D1266" i="6"/>
  <c r="D1259" i="6"/>
  <c r="D1252" i="6"/>
  <c r="D1245" i="6"/>
  <c r="D1238" i="6"/>
  <c r="D1231" i="6"/>
  <c r="D1224" i="6"/>
  <c r="D2132" i="6"/>
  <c r="D2052" i="6"/>
  <c r="D1968" i="6"/>
  <c r="D1715" i="6"/>
  <c r="D1712" i="6"/>
  <c r="D1660" i="6"/>
  <c r="D1613" i="6"/>
  <c r="D1604" i="6"/>
  <c r="D1566" i="6"/>
  <c r="D1556" i="6"/>
  <c r="D1468" i="6"/>
  <c r="D1421" i="6"/>
  <c r="D1411" i="6"/>
  <c r="D1399" i="6"/>
  <c r="D1388" i="6"/>
  <c r="D1377" i="6"/>
  <c r="D1366" i="6"/>
  <c r="D1994" i="6"/>
  <c r="D1778" i="6"/>
  <c r="D1580" i="6"/>
  <c r="D1522" i="6"/>
  <c r="D1476" i="6"/>
  <c r="D1474" i="6"/>
  <c r="D1437" i="6"/>
  <c r="D1423" i="6"/>
  <c r="D1417" i="6"/>
  <c r="D2370" i="6"/>
  <c r="D2031" i="6"/>
  <c r="D1828" i="6"/>
  <c r="D1777" i="6"/>
  <c r="D1744" i="6"/>
  <c r="D1692" i="6"/>
  <c r="D1656" i="6"/>
  <c r="D1575" i="6"/>
  <c r="D1426" i="6"/>
  <c r="D1412" i="6"/>
  <c r="D2154" i="6"/>
  <c r="D1911" i="6"/>
  <c r="D1820" i="6"/>
  <c r="D1733" i="6"/>
  <c r="D1707" i="6"/>
  <c r="D1548" i="6"/>
  <c r="D1521" i="6"/>
  <c r="D1518" i="6"/>
  <c r="D1460" i="6"/>
  <c r="D1455" i="6"/>
  <c r="D1449" i="6"/>
  <c r="D2178" i="6"/>
  <c r="D1805" i="6"/>
  <c r="D1659" i="6"/>
  <c r="D1609" i="6"/>
  <c r="D1477" i="6"/>
  <c r="D1470" i="6"/>
  <c r="D1463" i="6"/>
  <c r="D1458" i="6"/>
  <c r="D1438" i="6"/>
  <c r="D1424" i="6"/>
  <c r="D1418" i="6"/>
  <c r="D1404" i="6"/>
  <c r="D1381" i="6"/>
  <c r="D2064" i="6"/>
  <c r="D1664" i="6"/>
  <c r="D1650" i="6"/>
  <c r="D1511" i="6"/>
  <c r="D1507" i="6"/>
  <c r="D1447" i="6"/>
  <c r="D1390" i="6"/>
  <c r="D2042" i="6"/>
  <c r="D1704" i="6"/>
  <c r="D1645" i="6"/>
  <c r="D1541" i="6"/>
  <c r="D1535" i="6"/>
  <c r="D1453" i="6"/>
  <c r="D1451" i="6"/>
  <c r="D1383" i="6"/>
  <c r="D1339" i="6"/>
  <c r="D1295" i="6"/>
  <c r="D1272" i="6"/>
  <c r="D1271" i="6"/>
  <c r="D1270" i="6"/>
  <c r="D1269" i="6"/>
  <c r="D1268" i="6"/>
  <c r="D1223" i="6"/>
  <c r="D1222" i="6"/>
  <c r="D1221" i="6"/>
  <c r="D2248" i="6"/>
  <c r="D2101" i="6"/>
  <c r="D1850" i="6"/>
  <c r="D1815" i="6"/>
  <c r="D1546" i="6"/>
  <c r="D1525" i="6"/>
  <c r="D1494" i="6"/>
  <c r="D1436" i="6"/>
  <c r="D1379" i="6"/>
  <c r="D1360" i="6"/>
  <c r="D1336" i="6"/>
  <c r="D1323" i="6"/>
  <c r="D1279" i="6"/>
  <c r="D1278" i="6"/>
  <c r="D1277" i="6"/>
  <c r="D1276" i="6"/>
  <c r="D1275" i="6"/>
  <c r="D1230" i="6"/>
  <c r="D1229" i="6"/>
  <c r="D1228" i="6"/>
  <c r="D1227" i="6"/>
  <c r="D1226" i="6"/>
  <c r="D1978" i="6"/>
  <c r="D1594" i="6"/>
  <c r="D1562" i="6"/>
  <c r="D1473" i="6"/>
  <c r="D1448" i="6"/>
  <c r="D1369" i="6"/>
  <c r="D1333" i="6"/>
  <c r="D1318" i="6"/>
  <c r="D1313" i="6"/>
  <c r="D1296" i="6"/>
  <c r="D1281" i="6"/>
  <c r="D1232" i="6"/>
  <c r="D1219" i="6"/>
  <c r="D1212" i="6"/>
  <c r="D1205" i="6"/>
  <c r="D1198" i="6"/>
  <c r="D1191" i="6"/>
  <c r="D1184" i="6"/>
  <c r="D1177" i="6"/>
  <c r="D1170" i="6"/>
  <c r="D1163" i="6"/>
  <c r="D1156" i="6"/>
  <c r="D1149" i="6"/>
  <c r="D1142" i="6"/>
  <c r="D1135" i="6"/>
  <c r="D1128" i="6"/>
  <c r="D1121" i="6"/>
  <c r="D1114" i="6"/>
  <c r="D1107" i="6"/>
  <c r="D1100" i="6"/>
  <c r="D1093" i="6"/>
  <c r="D1086" i="6"/>
  <c r="D1079" i="6"/>
  <c r="D1072" i="6"/>
  <c r="D1065" i="6"/>
  <c r="D1058" i="6"/>
  <c r="D1051" i="6"/>
  <c r="D1044" i="6"/>
  <c r="D1037" i="6"/>
  <c r="D1030" i="6"/>
  <c r="D1023" i="6"/>
  <c r="D1016" i="6"/>
  <c r="D1009" i="6"/>
  <c r="D1002" i="6"/>
  <c r="D995" i="6"/>
  <c r="D988" i="6"/>
  <c r="D981" i="6"/>
  <c r="D974" i="6"/>
  <c r="D967" i="6"/>
  <c r="D960" i="6"/>
  <c r="D953" i="6"/>
  <c r="D946" i="6"/>
  <c r="D939" i="6"/>
  <c r="D932" i="6"/>
  <c r="D925" i="6"/>
  <c r="D918" i="6"/>
  <c r="D911" i="6"/>
  <c r="D2033" i="6"/>
  <c r="D1871" i="6"/>
  <c r="D1848" i="6"/>
  <c r="D1751" i="6"/>
  <c r="D1529" i="6"/>
  <c r="D1498" i="6"/>
  <c r="D1324" i="6"/>
  <c r="D1319" i="6"/>
  <c r="D1314" i="6"/>
  <c r="D1297" i="6"/>
  <c r="D1288" i="6"/>
  <c r="D1239" i="6"/>
  <c r="D1218" i="6"/>
  <c r="D1211" i="6"/>
  <c r="D1204" i="6"/>
  <c r="D1197" i="6"/>
  <c r="D1190" i="6"/>
  <c r="D1183" i="6"/>
  <c r="D1176" i="6"/>
  <c r="D1169" i="6"/>
  <c r="D1162" i="6"/>
  <c r="D1155" i="6"/>
  <c r="D1148" i="6"/>
  <c r="D1141" i="6"/>
  <c r="D1134" i="6"/>
  <c r="D1127" i="6"/>
  <c r="D1120" i="6"/>
  <c r="D1113" i="6"/>
  <c r="D1106" i="6"/>
  <c r="D1099" i="6"/>
  <c r="D1092" i="6"/>
  <c r="D1085" i="6"/>
  <c r="D1078" i="6"/>
  <c r="D1071" i="6"/>
  <c r="D1064" i="6"/>
  <c r="D1057" i="6"/>
  <c r="D1050" i="6"/>
  <c r="D1043" i="6"/>
  <c r="D1036" i="6"/>
  <c r="D1029" i="6"/>
  <c r="D1022" i="6"/>
  <c r="D1015" i="6"/>
  <c r="D1008" i="6"/>
  <c r="D1001" i="6"/>
  <c r="D994" i="6"/>
  <c r="D987" i="6"/>
  <c r="D980" i="6"/>
  <c r="D973" i="6"/>
  <c r="D966" i="6"/>
  <c r="D959" i="6"/>
  <c r="D952" i="6"/>
  <c r="D945" i="6"/>
  <c r="D938" i="6"/>
  <c r="D931" i="6"/>
  <c r="D924" i="6"/>
  <c r="D917" i="6"/>
  <c r="D910" i="6"/>
  <c r="D903" i="6"/>
  <c r="D896" i="6"/>
  <c r="D889" i="6"/>
  <c r="D882" i="6"/>
  <c r="D875" i="6"/>
  <c r="D868" i="6"/>
  <c r="D861" i="6"/>
  <c r="D854" i="6"/>
  <c r="D847" i="6"/>
  <c r="D840" i="6"/>
  <c r="D1611" i="6"/>
  <c r="D1555" i="6"/>
  <c r="D1466" i="6"/>
  <c r="D1435" i="6"/>
  <c r="D1425" i="6"/>
  <c r="D1350" i="6"/>
  <c r="D1316" i="6"/>
  <c r="D1309" i="6"/>
  <c r="D1289" i="6"/>
  <c r="D1262" i="6"/>
  <c r="D1249" i="6"/>
  <c r="D1185" i="6"/>
  <c r="D1136" i="6"/>
  <c r="D1087" i="6"/>
  <c r="D1038" i="6"/>
  <c r="D989" i="6"/>
  <c r="D940" i="6"/>
  <c r="D897" i="6"/>
  <c r="D880" i="6"/>
  <c r="D864" i="6"/>
  <c r="D848" i="6"/>
  <c r="D836" i="6"/>
  <c r="D829" i="6"/>
  <c r="D822" i="6"/>
  <c r="D815" i="6"/>
  <c r="D808" i="6"/>
  <c r="D801" i="6"/>
  <c r="D794" i="6"/>
  <c r="D787" i="6"/>
  <c r="D780" i="6"/>
  <c r="D773" i="6"/>
  <c r="D766" i="6"/>
  <c r="D759" i="6"/>
  <c r="D752" i="6"/>
  <c r="D745" i="6"/>
  <c r="D738" i="6"/>
  <c r="D731" i="6"/>
  <c r="D724" i="6"/>
  <c r="D717" i="6"/>
  <c r="D710" i="6"/>
  <c r="D703" i="6"/>
  <c r="D696" i="6"/>
  <c r="D689" i="6"/>
  <c r="D682" i="6"/>
  <c r="D675" i="6"/>
  <c r="D668" i="6"/>
  <c r="D661" i="6"/>
  <c r="D654" i="6"/>
  <c r="D647" i="6"/>
  <c r="D640" i="6"/>
  <c r="D633" i="6"/>
  <c r="D626" i="6"/>
  <c r="D619" i="6"/>
  <c r="D612" i="6"/>
  <c r="D605" i="6"/>
  <c r="D598" i="6"/>
  <c r="D591" i="6"/>
  <c r="D584" i="6"/>
  <c r="D577" i="6"/>
  <c r="D570" i="6"/>
  <c r="D563" i="6"/>
  <c r="D556" i="6"/>
  <c r="D549" i="6"/>
  <c r="D542" i="6"/>
  <c r="D535" i="6"/>
  <c r="D528" i="6"/>
  <c r="D521" i="6"/>
  <c r="D514" i="6"/>
  <c r="D507" i="6"/>
  <c r="D500" i="6"/>
  <c r="D493" i="6"/>
  <c r="D486" i="6"/>
  <c r="D479" i="6"/>
  <c r="D472" i="6"/>
  <c r="D465" i="6"/>
  <c r="D458" i="6"/>
  <c r="D1700" i="6"/>
  <c r="D1478" i="6"/>
  <c r="D1462" i="6"/>
  <c r="D1415" i="6"/>
  <c r="D1406" i="6"/>
  <c r="D1401" i="6"/>
  <c r="D1356" i="6"/>
  <c r="D1326" i="6"/>
  <c r="D1302" i="6"/>
  <c r="D1286" i="6"/>
  <c r="D1246" i="6"/>
  <c r="D1236" i="6"/>
  <c r="D1207" i="6"/>
  <c r="D1202" i="6"/>
  <c r="D1180" i="6"/>
  <c r="D1175" i="6"/>
  <c r="D1158" i="6"/>
  <c r="D1153" i="6"/>
  <c r="D1131" i="6"/>
  <c r="D1126" i="6"/>
  <c r="D1109" i="6"/>
  <c r="D1104" i="6"/>
  <c r="D1082" i="6"/>
  <c r="D1077" i="6"/>
  <c r="D1060" i="6"/>
  <c r="D1055" i="6"/>
  <c r="D1033" i="6"/>
  <c r="D1028" i="6"/>
  <c r="D1011" i="6"/>
  <c r="D1006" i="6"/>
  <c r="D984" i="6"/>
  <c r="D979" i="6"/>
  <c r="D962" i="6"/>
  <c r="D957" i="6"/>
  <c r="D935" i="6"/>
  <c r="D930" i="6"/>
  <c r="D913" i="6"/>
  <c r="D895" i="6"/>
  <c r="D879" i="6"/>
  <c r="D863" i="6"/>
  <c r="D846" i="6"/>
  <c r="D1806" i="6"/>
  <c r="D1490" i="6"/>
  <c r="D1358" i="6"/>
  <c r="D1341" i="6"/>
  <c r="D1337" i="6"/>
  <c r="D1307" i="6"/>
  <c r="D1256" i="6"/>
  <c r="D1243" i="6"/>
  <c r="D1213" i="6"/>
  <c r="D1164" i="6"/>
  <c r="D1115" i="6"/>
  <c r="D1066" i="6"/>
  <c r="D1017" i="6"/>
  <c r="D968" i="6"/>
  <c r="D919" i="6"/>
  <c r="D894" i="6"/>
  <c r="D878" i="6"/>
  <c r="D862" i="6"/>
  <c r="D845" i="6"/>
  <c r="D835" i="6"/>
  <c r="D828" i="6"/>
  <c r="D821" i="6"/>
  <c r="D814" i="6"/>
  <c r="D807" i="6"/>
  <c r="D800" i="6"/>
  <c r="D793" i="6"/>
  <c r="D786" i="6"/>
  <c r="D779" i="6"/>
  <c r="D772" i="6"/>
  <c r="D765" i="6"/>
  <c r="D758" i="6"/>
  <c r="D751" i="6"/>
  <c r="D744" i="6"/>
  <c r="D737" i="6"/>
  <c r="D730" i="6"/>
  <c r="D723" i="6"/>
  <c r="D716" i="6"/>
  <c r="D709" i="6"/>
  <c r="D702" i="6"/>
  <c r="D695" i="6"/>
  <c r="D688" i="6"/>
  <c r="D1890" i="6"/>
  <c r="D1618" i="6"/>
  <c r="D1608" i="6"/>
  <c r="D1532" i="6"/>
  <c r="D1482" i="6"/>
  <c r="D1428" i="6"/>
  <c r="D1403" i="6"/>
  <c r="D1378" i="6"/>
  <c r="D1331" i="6"/>
  <c r="D1300" i="6"/>
  <c r="D1293" i="6"/>
  <c r="D1283" i="6"/>
  <c r="D1253" i="6"/>
  <c r="D1233" i="6"/>
  <c r="D1208" i="6"/>
  <c r="D1203" i="6"/>
  <c r="D1186" i="6"/>
  <c r="D1181" i="6"/>
  <c r="D1159" i="6"/>
  <c r="D1154" i="6"/>
  <c r="D1137" i="6"/>
  <c r="D1132" i="6"/>
  <c r="D1110" i="6"/>
  <c r="D1105" i="6"/>
  <c r="D1088" i="6"/>
  <c r="D1083" i="6"/>
  <c r="D1061" i="6"/>
  <c r="D1056" i="6"/>
  <c r="D1039" i="6"/>
  <c r="D1034" i="6"/>
  <c r="D1012" i="6"/>
  <c r="D1007" i="6"/>
  <c r="D990" i="6"/>
  <c r="D985" i="6"/>
  <c r="D963" i="6"/>
  <c r="D958" i="6"/>
  <c r="D941" i="6"/>
  <c r="D936" i="6"/>
  <c r="D914" i="6"/>
  <c r="D893" i="6"/>
  <c r="D877" i="6"/>
  <c r="D860" i="6"/>
  <c r="D844" i="6"/>
  <c r="D1851" i="6"/>
  <c r="D1456" i="6"/>
  <c r="D1371" i="6"/>
  <c r="D1368" i="6"/>
  <c r="D1362" i="6"/>
  <c r="D1353" i="6"/>
  <c r="D1330" i="6"/>
  <c r="D1129" i="6"/>
  <c r="D1122" i="6"/>
  <c r="D961" i="6"/>
  <c r="D954" i="6"/>
  <c r="D947" i="6"/>
  <c r="D904" i="6"/>
  <c r="D892" i="6"/>
  <c r="D883" i="6"/>
  <c r="D871" i="6"/>
  <c r="D859" i="6"/>
  <c r="D850" i="6"/>
  <c r="D837" i="6"/>
  <c r="D832" i="6"/>
  <c r="D827" i="6"/>
  <c r="D810" i="6"/>
  <c r="D805" i="6"/>
  <c r="D788" i="6"/>
  <c r="D783" i="6"/>
  <c r="D778" i="6"/>
  <c r="D761" i="6"/>
  <c r="D756" i="6"/>
  <c r="D739" i="6"/>
  <c r="D734" i="6"/>
  <c r="D729" i="6"/>
  <c r="D712" i="6"/>
  <c r="D707" i="6"/>
  <c r="D690" i="6"/>
  <c r="D685" i="6"/>
  <c r="D681" i="6"/>
  <c r="D665" i="6"/>
  <c r="D649" i="6"/>
  <c r="D632" i="6"/>
  <c r="D616" i="6"/>
  <c r="D600" i="6"/>
  <c r="D583" i="6"/>
  <c r="D567" i="6"/>
  <c r="D551" i="6"/>
  <c r="D534" i="6"/>
  <c r="D518" i="6"/>
  <c r="D502" i="6"/>
  <c r="D485" i="6"/>
  <c r="D469" i="6"/>
  <c r="D2025" i="6"/>
  <c r="D1878" i="6"/>
  <c r="D1737" i="6"/>
  <c r="D1359" i="6"/>
  <c r="D1325" i="6"/>
  <c r="D1320" i="6"/>
  <c r="D1311" i="6"/>
  <c r="D1306" i="6"/>
  <c r="D1201" i="6"/>
  <c r="D1194" i="6"/>
  <c r="D1187" i="6"/>
  <c r="D1146" i="6"/>
  <c r="D1139" i="6"/>
  <c r="D1098" i="6"/>
  <c r="D1091" i="6"/>
  <c r="D1084" i="6"/>
  <c r="D1081" i="6"/>
  <c r="D1074" i="6"/>
  <c r="D1067" i="6"/>
  <c r="D1026" i="6"/>
  <c r="D1019" i="6"/>
  <c r="D978" i="6"/>
  <c r="D971" i="6"/>
  <c r="D964" i="6"/>
  <c r="D923" i="6"/>
  <c r="D916" i="6"/>
  <c r="D900" i="6"/>
  <c r="D888" i="6"/>
  <c r="D867" i="6"/>
  <c r="D680" i="6"/>
  <c r="D664" i="6"/>
  <c r="D648" i="6"/>
  <c r="D631" i="6"/>
  <c r="D615" i="6"/>
  <c r="D599" i="6"/>
  <c r="D582" i="6"/>
  <c r="D566" i="6"/>
  <c r="D550" i="6"/>
  <c r="D533" i="6"/>
  <c r="D517" i="6"/>
  <c r="D1870" i="6"/>
  <c r="D1413" i="6"/>
  <c r="D1405" i="6"/>
  <c r="D1384" i="6"/>
  <c r="D1338" i="6"/>
  <c r="D1206" i="6"/>
  <c r="D1199" i="6"/>
  <c r="D1192" i="6"/>
  <c r="D1031" i="6"/>
  <c r="D1024" i="6"/>
  <c r="D909" i="6"/>
  <c r="D876" i="6"/>
  <c r="D855" i="6"/>
  <c r="D843" i="6"/>
  <c r="D838" i="6"/>
  <c r="D833" i="6"/>
  <c r="D816" i="6"/>
  <c r="D811" i="6"/>
  <c r="D806" i="6"/>
  <c r="D789" i="6"/>
  <c r="D784" i="6"/>
  <c r="D767" i="6"/>
  <c r="D762" i="6"/>
  <c r="D757" i="6"/>
  <c r="D740" i="6"/>
  <c r="D735" i="6"/>
  <c r="D718" i="6"/>
  <c r="D713" i="6"/>
  <c r="D708" i="6"/>
  <c r="D691" i="6"/>
  <c r="D686" i="6"/>
  <c r="D679" i="6"/>
  <c r="D663" i="6"/>
  <c r="D646" i="6"/>
  <c r="D630" i="6"/>
  <c r="D614" i="6"/>
  <c r="D597" i="6"/>
  <c r="D581" i="6"/>
  <c r="D565" i="6"/>
  <c r="D548" i="6"/>
  <c r="D532" i="6"/>
  <c r="D516" i="6"/>
  <c r="D1450" i="6"/>
  <c r="D1427" i="6"/>
  <c r="D1391" i="6"/>
  <c r="D1380" i="6"/>
  <c r="D1349" i="6"/>
  <c r="D1327" i="6"/>
  <c r="D1303" i="6"/>
  <c r="D1298" i="6"/>
  <c r="D1237" i="6"/>
  <c r="D1216" i="6"/>
  <c r="D1209" i="6"/>
  <c r="D1168" i="6"/>
  <c r="D1161" i="6"/>
  <c r="D1151" i="6"/>
  <c r="D1144" i="6"/>
  <c r="D1103" i="6"/>
  <c r="D1096" i="6"/>
  <c r="D1089" i="6"/>
  <c r="D1048" i="6"/>
  <c r="D1041" i="6"/>
  <c r="D1000" i="6"/>
  <c r="D993" i="6"/>
  <c r="D986" i="6"/>
  <c r="D983" i="6"/>
  <c r="D976" i="6"/>
  <c r="D969" i="6"/>
  <c r="D928" i="6"/>
  <c r="D921" i="6"/>
  <c r="D905" i="6"/>
  <c r="D884" i="6"/>
  <c r="D872" i="6"/>
  <c r="D851" i="6"/>
  <c r="D678" i="6"/>
  <c r="D662" i="6"/>
  <c r="D645" i="6"/>
  <c r="D629" i="6"/>
  <c r="D613" i="6"/>
  <c r="D596" i="6"/>
  <c r="D580" i="6"/>
  <c r="D564" i="6"/>
  <c r="D547" i="6"/>
  <c r="D531" i="6"/>
  <c r="D515" i="6"/>
  <c r="D1422" i="6"/>
  <c r="D1370" i="6"/>
  <c r="D1367" i="6"/>
  <c r="D1361" i="6"/>
  <c r="D1340" i="6"/>
  <c r="D1332" i="6"/>
  <c r="D1310" i="6"/>
  <c r="D1305" i="6"/>
  <c r="D1285" i="6"/>
  <c r="D1267" i="6"/>
  <c r="D1235" i="6"/>
  <c r="D1214" i="6"/>
  <c r="D1173" i="6"/>
  <c r="D1166" i="6"/>
  <c r="D1125" i="6"/>
  <c r="D1118" i="6"/>
  <c r="D1111" i="6"/>
  <c r="D1070" i="6"/>
  <c r="D1063" i="6"/>
  <c r="D1053" i="6"/>
  <c r="D1046" i="6"/>
  <c r="D1005" i="6"/>
  <c r="D998" i="6"/>
  <c r="D991" i="6"/>
  <c r="D950" i="6"/>
  <c r="D943" i="6"/>
  <c r="D856" i="6"/>
  <c r="D676" i="6"/>
  <c r="D659" i="6"/>
  <c r="D643" i="6"/>
  <c r="D627" i="6"/>
  <c r="D610" i="6"/>
  <c r="D594" i="6"/>
  <c r="D578" i="6"/>
  <c r="D561" i="6"/>
  <c r="D545" i="6"/>
  <c r="D529" i="6"/>
  <c r="D512" i="6"/>
  <c r="D496" i="6"/>
  <c r="D480" i="6"/>
  <c r="D463" i="6"/>
  <c r="D453" i="6"/>
  <c r="D446" i="6"/>
  <c r="D439" i="6"/>
  <c r="D432" i="6"/>
  <c r="D425" i="6"/>
  <c r="D418" i="6"/>
  <c r="D411" i="6"/>
  <c r="D404" i="6"/>
  <c r="D397" i="6"/>
  <c r="D1434" i="6"/>
  <c r="D1373" i="6"/>
  <c r="D1282" i="6"/>
  <c r="D1247" i="6"/>
  <c r="D1244" i="6"/>
  <c r="D885" i="6"/>
  <c r="D881" i="6"/>
  <c r="D834" i="6"/>
  <c r="D817" i="6"/>
  <c r="D813" i="6"/>
  <c r="D798" i="6"/>
  <c r="D796" i="6"/>
  <c r="D781" i="6"/>
  <c r="D714" i="6"/>
  <c r="D697" i="6"/>
  <c r="D693" i="6"/>
  <c r="D672" i="6"/>
  <c r="D653" i="6"/>
  <c r="D628" i="6"/>
  <c r="D625" i="6"/>
  <c r="D571" i="6"/>
  <c r="D562" i="6"/>
  <c r="D552" i="6"/>
  <c r="D543" i="6"/>
  <c r="D524" i="6"/>
  <c r="D497" i="6"/>
  <c r="D475" i="6"/>
  <c r="D464" i="6"/>
  <c r="D438" i="6"/>
  <c r="D437" i="6"/>
  <c r="D436" i="6"/>
  <c r="D435" i="6"/>
  <c r="D1433" i="6"/>
  <c r="D1389" i="6"/>
  <c r="D1250" i="6"/>
  <c r="D1182" i="6"/>
  <c r="D1171" i="6"/>
  <c r="D1150" i="6"/>
  <c r="D1062" i="6"/>
  <c r="D1035" i="6"/>
  <c r="D1014" i="6"/>
  <c r="D1003" i="6"/>
  <c r="D982" i="6"/>
  <c r="D942" i="6"/>
  <c r="D915" i="6"/>
  <c r="D852" i="6"/>
  <c r="D842" i="6"/>
  <c r="D792" i="6"/>
  <c r="D777" i="6"/>
  <c r="D775" i="6"/>
  <c r="D760" i="6"/>
  <c r="D644" i="6"/>
  <c r="D634" i="6"/>
  <c r="D606" i="6"/>
  <c r="D587" i="6"/>
  <c r="D568" i="6"/>
  <c r="D559" i="6"/>
  <c r="D540" i="6"/>
  <c r="D498" i="6"/>
  <c r="D476" i="6"/>
  <c r="D441" i="6"/>
  <c r="D440" i="6"/>
  <c r="D386" i="6"/>
  <c r="D379" i="6"/>
  <c r="D372" i="6"/>
  <c r="D365" i="6"/>
  <c r="D358" i="6"/>
  <c r="D351" i="6"/>
  <c r="D344" i="6"/>
  <c r="D337" i="6"/>
  <c r="D330" i="6"/>
  <c r="D323" i="6"/>
  <c r="D316" i="6"/>
  <c r="D309" i="6"/>
  <c r="D302" i="6"/>
  <c r="D295" i="6"/>
  <c r="D288" i="6"/>
  <c r="D281" i="6"/>
  <c r="D274" i="6"/>
  <c r="D267" i="6"/>
  <c r="D260" i="6"/>
  <c r="D253" i="6"/>
  <c r="D246" i="6"/>
  <c r="D239" i="6"/>
  <c r="D232" i="6"/>
  <c r="D225" i="6"/>
  <c r="D218" i="6"/>
  <c r="D211" i="6"/>
  <c r="D204" i="6"/>
  <c r="D197" i="6"/>
  <c r="D190" i="6"/>
  <c r="D183" i="6"/>
  <c r="D176" i="6"/>
  <c r="D169" i="6"/>
  <c r="D162" i="6"/>
  <c r="D155" i="6"/>
  <c r="D148" i="6"/>
  <c r="D141" i="6"/>
  <c r="D134" i="6"/>
  <c r="D127" i="6"/>
  <c r="D120" i="6"/>
  <c r="D113" i="6"/>
  <c r="D106" i="6"/>
  <c r="D99" i="6"/>
  <c r="D92" i="6"/>
  <c r="D85" i="6"/>
  <c r="D78" i="6"/>
  <c r="D71" i="6"/>
  <c r="D64" i="6"/>
  <c r="D57" i="6"/>
  <c r="D50" i="6"/>
  <c r="D43" i="6"/>
  <c r="D36" i="6"/>
  <c r="D29" i="6"/>
  <c r="D22" i="6"/>
  <c r="D15" i="6"/>
  <c r="D8" i="6"/>
  <c r="D1419" i="6"/>
  <c r="D1328" i="6"/>
  <c r="D1312" i="6"/>
  <c r="D1225" i="6"/>
  <c r="D1195" i="6"/>
  <c r="D1174" i="6"/>
  <c r="D1147" i="6"/>
  <c r="D1123" i="6"/>
  <c r="D1102" i="6"/>
  <c r="D1075" i="6"/>
  <c r="D1054" i="6"/>
  <c r="D1027" i="6"/>
  <c r="D955" i="6"/>
  <c r="D934" i="6"/>
  <c r="D891" i="6"/>
  <c r="D887" i="6"/>
  <c r="D790" i="6"/>
  <c r="D771" i="6"/>
  <c r="D769" i="6"/>
  <c r="D754" i="6"/>
  <c r="D687" i="6"/>
  <c r="D669" i="6"/>
  <c r="D660" i="6"/>
  <c r="D650" i="6"/>
  <c r="D641" i="6"/>
  <c r="D622" i="6"/>
  <c r="D603" i="6"/>
  <c r="D575" i="6"/>
  <c r="D505" i="6"/>
  <c r="D499" i="6"/>
  <c r="D487" i="6"/>
  <c r="D477" i="6"/>
  <c r="D445" i="6"/>
  <c r="D444" i="6"/>
  <c r="D443" i="6"/>
  <c r="D442" i="6"/>
  <c r="D396" i="6"/>
  <c r="D395" i="6"/>
  <c r="D394" i="6"/>
  <c r="D393" i="6"/>
  <c r="D1657" i="6"/>
  <c r="D1526" i="6"/>
  <c r="D1469" i="6"/>
  <c r="D1290" i="6"/>
  <c r="D1284" i="6"/>
  <c r="D901" i="6"/>
  <c r="D858" i="6"/>
  <c r="D750" i="6"/>
  <c r="D748" i="6"/>
  <c r="D733" i="6"/>
  <c r="D666" i="6"/>
  <c r="D657" i="6"/>
  <c r="D638" i="6"/>
  <c r="D537" i="6"/>
  <c r="D509" i="6"/>
  <c r="D488" i="6"/>
  <c r="D478" i="6"/>
  <c r="D466" i="6"/>
  <c r="D448" i="6"/>
  <c r="D447" i="6"/>
  <c r="D399" i="6"/>
  <c r="D398" i="6"/>
  <c r="D392" i="6"/>
  <c r="D385" i="6"/>
  <c r="D378" i="6"/>
  <c r="D371" i="6"/>
  <c r="D364" i="6"/>
  <c r="D357" i="6"/>
  <c r="D350" i="6"/>
  <c r="D343" i="6"/>
  <c r="D336" i="6"/>
  <c r="D329" i="6"/>
  <c r="D322" i="6"/>
  <c r="D315" i="6"/>
  <c r="D308" i="6"/>
  <c r="D301" i="6"/>
  <c r="D294" i="6"/>
  <c r="D287" i="6"/>
  <c r="D280" i="6"/>
  <c r="D273" i="6"/>
  <c r="D266" i="6"/>
  <c r="D259" i="6"/>
  <c r="D252" i="6"/>
  <c r="D245" i="6"/>
  <c r="D238" i="6"/>
  <c r="D231" i="6"/>
  <c r="D224" i="6"/>
  <c r="D217" i="6"/>
  <c r="D210" i="6"/>
  <c r="D203" i="6"/>
  <c r="D196" i="6"/>
  <c r="D189" i="6"/>
  <c r="D182" i="6"/>
  <c r="D175" i="6"/>
  <c r="D168" i="6"/>
  <c r="D161" i="6"/>
  <c r="D154" i="6"/>
  <c r="D147" i="6"/>
  <c r="D140" i="6"/>
  <c r="D133" i="6"/>
  <c r="D126" i="6"/>
  <c r="D119" i="6"/>
  <c r="D112" i="6"/>
  <c r="D105" i="6"/>
  <c r="D98" i="6"/>
  <c r="D91" i="6"/>
  <c r="D84" i="6"/>
  <c r="D77" i="6"/>
  <c r="D70" i="6"/>
  <c r="D63" i="6"/>
  <c r="D56" i="6"/>
  <c r="D49" i="6"/>
  <c r="D42" i="6"/>
  <c r="D35" i="6"/>
  <c r="D28" i="6"/>
  <c r="D21" i="6"/>
  <c r="D14" i="6"/>
  <c r="D7" i="6"/>
  <c r="D15" i="4"/>
  <c r="D1416" i="6"/>
  <c r="D1372" i="6"/>
  <c r="D1200" i="6"/>
  <c r="D1179" i="6"/>
  <c r="D1152" i="6"/>
  <c r="D1101" i="6"/>
  <c r="D1032" i="6"/>
  <c r="D933" i="6"/>
  <c r="D899" i="6"/>
  <c r="D874" i="6"/>
  <c r="D826" i="6"/>
  <c r="D824" i="6"/>
  <c r="D809" i="6"/>
  <c r="D721" i="6"/>
  <c r="D706" i="6"/>
  <c r="D704" i="6"/>
  <c r="D635" i="6"/>
  <c r="D607" i="6"/>
  <c r="D588" i="6"/>
  <c r="D569" i="6"/>
  <c r="D560" i="6"/>
  <c r="D541" i="6"/>
  <c r="D506" i="6"/>
  <c r="D490" i="6"/>
  <c r="D468" i="6"/>
  <c r="D455" i="6"/>
  <c r="D454" i="6"/>
  <c r="D406" i="6"/>
  <c r="D405" i="6"/>
  <c r="D391" i="6"/>
  <c r="D384" i="6"/>
  <c r="D377" i="6"/>
  <c r="D370" i="6"/>
  <c r="D363" i="6"/>
  <c r="D356" i="6"/>
  <c r="D349" i="6"/>
  <c r="D342" i="6"/>
  <c r="D335" i="6"/>
  <c r="D328" i="6"/>
  <c r="D321" i="6"/>
  <c r="D314" i="6"/>
  <c r="D307" i="6"/>
  <c r="D300" i="6"/>
  <c r="D293" i="6"/>
  <c r="D286" i="6"/>
  <c r="D279" i="6"/>
  <c r="D272" i="6"/>
  <c r="D265" i="6"/>
  <c r="D258" i="6"/>
  <c r="D251" i="6"/>
  <c r="D244" i="6"/>
  <c r="D237" i="6"/>
  <c r="D230" i="6"/>
  <c r="D223" i="6"/>
  <c r="D216" i="6"/>
  <c r="D209" i="6"/>
  <c r="D202" i="6"/>
  <c r="D195" i="6"/>
  <c r="D188" i="6"/>
  <c r="D181" i="6"/>
  <c r="D174" i="6"/>
  <c r="D167" i="6"/>
  <c r="D160" i="6"/>
  <c r="D153" i="6"/>
  <c r="D146" i="6"/>
  <c r="D139" i="6"/>
  <c r="D132" i="6"/>
  <c r="D125" i="6"/>
  <c r="D118" i="6"/>
  <c r="D111" i="6"/>
  <c r="D104" i="6"/>
  <c r="D97" i="6"/>
  <c r="D90" i="6"/>
  <c r="D83" i="6"/>
  <c r="D76" i="6"/>
  <c r="D69" i="6"/>
  <c r="D62" i="6"/>
  <c r="D55" i="6"/>
  <c r="D48" i="6"/>
  <c r="D41" i="6"/>
  <c r="D34" i="6"/>
  <c r="D27" i="6"/>
  <c r="D20" i="6"/>
  <c r="D13" i="6"/>
  <c r="D6" i="6"/>
  <c r="D1985" i="6"/>
  <c r="D1698" i="6"/>
  <c r="D1588" i="6"/>
  <c r="D1439" i="6"/>
  <c r="D1430" i="6"/>
  <c r="D1334" i="6"/>
  <c r="D1045" i="6"/>
  <c r="D870" i="6"/>
  <c r="D866" i="6"/>
  <c r="D839" i="6"/>
  <c r="D820" i="6"/>
  <c r="D818" i="6"/>
  <c r="D803" i="6"/>
  <c r="D736" i="6"/>
  <c r="D719" i="6"/>
  <c r="D715" i="6"/>
  <c r="D2038" i="6"/>
  <c r="D1408" i="6"/>
  <c r="D1241" i="6"/>
  <c r="D1220" i="6"/>
  <c r="D1215" i="6"/>
  <c r="D1210" i="6"/>
  <c r="D1119" i="6"/>
  <c r="D927" i="6"/>
  <c r="D922" i="6"/>
  <c r="D898" i="6"/>
  <c r="D873" i="6"/>
  <c r="D749" i="6"/>
  <c r="D742" i="6"/>
  <c r="D494" i="6"/>
  <c r="D482" i="6"/>
  <c r="D470" i="6"/>
  <c r="D450" i="6"/>
  <c r="D428" i="6"/>
  <c r="D382" i="6"/>
  <c r="D359" i="6"/>
  <c r="D278" i="6"/>
  <c r="D270" i="6"/>
  <c r="D262" i="6"/>
  <c r="D254" i="6"/>
  <c r="D180" i="6"/>
  <c r="D172" i="6"/>
  <c r="D164" i="6"/>
  <c r="D156" i="6"/>
  <c r="D109" i="6"/>
  <c r="D72" i="6"/>
  <c r="D60" i="6"/>
  <c r="D23" i="6"/>
  <c r="D2" i="6"/>
  <c r="D338" i="6"/>
  <c r="D264" i="6"/>
  <c r="D256" i="6"/>
  <c r="D248" i="6"/>
  <c r="D240" i="6"/>
  <c r="D166" i="6"/>
  <c r="D86" i="6"/>
  <c r="D74" i="6"/>
  <c r="D1291" i="6"/>
  <c r="D1260" i="6"/>
  <c r="D1112" i="6"/>
  <c r="D1108" i="6"/>
  <c r="D1094" i="6"/>
  <c r="D920" i="6"/>
  <c r="D799" i="6"/>
  <c r="D674" i="6"/>
  <c r="D658" i="6"/>
  <c r="D592" i="6"/>
  <c r="D508" i="6"/>
  <c r="D400" i="6"/>
  <c r="D346" i="6"/>
  <c r="D213" i="6"/>
  <c r="D1459" i="6"/>
  <c r="D1251" i="6"/>
  <c r="D1240" i="6"/>
  <c r="D1124" i="6"/>
  <c r="D1073" i="6"/>
  <c r="D1018" i="6"/>
  <c r="D831" i="6"/>
  <c r="D527" i="6"/>
  <c r="D513" i="6"/>
  <c r="D511" i="6"/>
  <c r="D492" i="6"/>
  <c r="D431" i="6"/>
  <c r="D423" i="6"/>
  <c r="D415" i="6"/>
  <c r="D407" i="6"/>
  <c r="D390" i="6"/>
  <c r="D367" i="6"/>
  <c r="D341" i="6"/>
  <c r="D333" i="6"/>
  <c r="D325" i="6"/>
  <c r="D317" i="6"/>
  <c r="D243" i="6"/>
  <c r="D235" i="6"/>
  <c r="D227" i="6"/>
  <c r="D219" i="6"/>
  <c r="D145" i="6"/>
  <c r="D137" i="6"/>
  <c r="D129" i="6"/>
  <c r="D121" i="6"/>
  <c r="D101" i="6"/>
  <c r="D89" i="6"/>
  <c r="D52" i="6"/>
  <c r="D40" i="6"/>
  <c r="D11" i="6"/>
  <c r="D221" i="6"/>
  <c r="D205" i="6"/>
  <c r="D1549" i="6"/>
  <c r="D1261" i="6"/>
  <c r="D1068" i="6"/>
  <c r="D1059" i="6"/>
  <c r="D1013" i="6"/>
  <c r="D972" i="6"/>
  <c r="D890" i="6"/>
  <c r="D797" i="6"/>
  <c r="D768" i="6"/>
  <c r="D732" i="6"/>
  <c r="D725" i="6"/>
  <c r="D722" i="6"/>
  <c r="D611" i="6"/>
  <c r="D609" i="6"/>
  <c r="D595" i="6"/>
  <c r="D593" i="6"/>
  <c r="D579" i="6"/>
  <c r="D410" i="6"/>
  <c r="D375" i="6"/>
  <c r="D352" i="6"/>
  <c r="D306" i="6"/>
  <c r="D298" i="6"/>
  <c r="D290" i="6"/>
  <c r="D282" i="6"/>
  <c r="D208" i="6"/>
  <c r="D200" i="6"/>
  <c r="D192" i="6"/>
  <c r="D184" i="6"/>
  <c r="D93" i="6"/>
  <c r="D81" i="6"/>
  <c r="D44" i="6"/>
  <c r="D32" i="6"/>
  <c r="D403" i="6"/>
  <c r="D268" i="6"/>
  <c r="D186" i="6"/>
  <c r="D1519" i="6"/>
  <c r="D1234" i="6"/>
  <c r="D977" i="6"/>
  <c r="D949" i="6"/>
  <c r="D926" i="6"/>
  <c r="D912" i="6"/>
  <c r="D908" i="6"/>
  <c r="D869" i="6"/>
  <c r="D804" i="6"/>
  <c r="D755" i="6"/>
  <c r="D699" i="6"/>
  <c r="D677" i="6"/>
  <c r="D604" i="6"/>
  <c r="D554" i="6"/>
  <c r="D538" i="6"/>
  <c r="D522" i="6"/>
  <c r="D520" i="6"/>
  <c r="D456" i="6"/>
  <c r="D434" i="6"/>
  <c r="D426" i="6"/>
  <c r="D402" i="6"/>
  <c r="D383" i="6"/>
  <c r="D360" i="6"/>
  <c r="D271" i="6"/>
  <c r="D263" i="6"/>
  <c r="D255" i="6"/>
  <c r="D247" i="6"/>
  <c r="D173" i="6"/>
  <c r="D165" i="6"/>
  <c r="D157" i="6"/>
  <c r="D149" i="6"/>
  <c r="D110" i="6"/>
  <c r="D73" i="6"/>
  <c r="D61" i="6"/>
  <c r="D24" i="6"/>
  <c r="D3" i="6"/>
  <c r="D481" i="6"/>
  <c r="D457" i="6"/>
  <c r="D419" i="6"/>
  <c r="D170" i="6"/>
  <c r="D107" i="6"/>
  <c r="D46" i="6"/>
  <c r="D1685" i="6"/>
  <c r="D1570" i="6"/>
  <c r="D1457" i="6"/>
  <c r="D1255" i="6"/>
  <c r="D1196" i="6"/>
  <c r="D1140" i="6"/>
  <c r="D1095" i="6"/>
  <c r="D1090" i="6"/>
  <c r="D1040" i="6"/>
  <c r="D999" i="6"/>
  <c r="D944" i="6"/>
  <c r="D830" i="6"/>
  <c r="D774" i="6"/>
  <c r="D764" i="6"/>
  <c r="D705" i="6"/>
  <c r="D670" i="6"/>
  <c r="D652" i="6"/>
  <c r="D636" i="6"/>
  <c r="D620" i="6"/>
  <c r="D618" i="6"/>
  <c r="D602" i="6"/>
  <c r="D586" i="6"/>
  <c r="D572" i="6"/>
  <c r="D536" i="6"/>
  <c r="D461" i="6"/>
  <c r="D413" i="6"/>
  <c r="D368" i="6"/>
  <c r="D345" i="6"/>
  <c r="D334" i="6"/>
  <c r="D326" i="6"/>
  <c r="D318" i="6"/>
  <c r="D310" i="6"/>
  <c r="D236" i="6"/>
  <c r="D228" i="6"/>
  <c r="D220" i="6"/>
  <c r="D212" i="6"/>
  <c r="D138" i="6"/>
  <c r="D130" i="6"/>
  <c r="D122" i="6"/>
  <c r="D114" i="6"/>
  <c r="D102" i="6"/>
  <c r="D65" i="6"/>
  <c r="D53" i="6"/>
  <c r="D16" i="6"/>
  <c r="D12" i="6"/>
  <c r="D25" i="6"/>
  <c r="D115" i="6"/>
  <c r="D103" i="6"/>
  <c r="D1798" i="6"/>
  <c r="D427" i="6"/>
  <c r="D1487" i="6"/>
  <c r="D1299" i="6"/>
  <c r="D1292" i="6"/>
  <c r="D1265" i="6"/>
  <c r="D1145" i="6"/>
  <c r="D1004" i="6"/>
  <c r="D907" i="6"/>
  <c r="D886" i="6"/>
  <c r="D865" i="6"/>
  <c r="D728" i="6"/>
  <c r="D698" i="6"/>
  <c r="D684" i="6"/>
  <c r="D473" i="6"/>
  <c r="D451" i="6"/>
  <c r="D429" i="6"/>
  <c r="D421" i="6"/>
  <c r="D376" i="6"/>
  <c r="D353" i="6"/>
  <c r="D299" i="6"/>
  <c r="D291" i="6"/>
  <c r="D283" i="6"/>
  <c r="D275" i="6"/>
  <c r="D201" i="6"/>
  <c r="D193" i="6"/>
  <c r="D185" i="6"/>
  <c r="D177" i="6"/>
  <c r="D94" i="6"/>
  <c r="D82" i="6"/>
  <c r="D45" i="6"/>
  <c r="D33" i="6"/>
  <c r="D1603" i="6"/>
  <c r="D1317" i="6"/>
  <c r="D1167" i="6"/>
  <c r="D1117" i="6"/>
  <c r="D1049" i="6"/>
  <c r="D1021" i="6"/>
  <c r="D948" i="6"/>
  <c r="D857" i="6"/>
  <c r="D823" i="6"/>
  <c r="D741" i="6"/>
  <c r="D692" i="6"/>
  <c r="D576" i="6"/>
  <c r="D526" i="6"/>
  <c r="D510" i="6"/>
  <c r="D504" i="6"/>
  <c r="D495" i="6"/>
  <c r="D483" i="6"/>
  <c r="D471" i="6"/>
  <c r="D459" i="6"/>
  <c r="D424" i="6"/>
  <c r="D416" i="6"/>
  <c r="D408" i="6"/>
  <c r="D387" i="6"/>
  <c r="D361" i="6"/>
  <c r="D158" i="6"/>
  <c r="D150" i="6"/>
  <c r="D142" i="6"/>
  <c r="D37" i="6"/>
  <c r="D4" i="6"/>
  <c r="D1304" i="6"/>
  <c r="D1172" i="6"/>
  <c r="D1080" i="6"/>
  <c r="D975" i="6"/>
  <c r="D770" i="6"/>
  <c r="D711" i="6"/>
  <c r="D642" i="6"/>
  <c r="D624" i="6"/>
  <c r="D608" i="6"/>
  <c r="D590" i="6"/>
  <c r="D574" i="6"/>
  <c r="D558" i="6"/>
  <c r="D544" i="6"/>
  <c r="D369" i="6"/>
  <c r="D327" i="6"/>
  <c r="D319" i="6"/>
  <c r="D311" i="6"/>
  <c r="D303" i="6"/>
  <c r="D229" i="6"/>
  <c r="D131" i="6"/>
  <c r="D123" i="6"/>
  <c r="D66" i="6"/>
  <c r="D54" i="6"/>
  <c r="D17" i="6"/>
  <c r="D1536" i="6"/>
  <c r="D1130" i="6"/>
  <c r="D1076" i="6"/>
  <c r="D970" i="6"/>
  <c r="D853" i="6"/>
  <c r="D812" i="6"/>
  <c r="D763" i="6"/>
  <c r="D747" i="6"/>
  <c r="D727" i="6"/>
  <c r="D701" i="6"/>
  <c r="D656" i="6"/>
  <c r="D519" i="6"/>
  <c r="D380" i="6"/>
  <c r="D354" i="6"/>
  <c r="D292" i="6"/>
  <c r="D284" i="6"/>
  <c r="D276" i="6"/>
  <c r="D194" i="6"/>
  <c r="D178" i="6"/>
  <c r="D95" i="6"/>
  <c r="D58" i="6"/>
  <c r="D31" i="6"/>
  <c r="D67" i="6"/>
  <c r="D159" i="6"/>
  <c r="D214" i="6"/>
  <c r="D297" i="6"/>
  <c r="D332" i="6"/>
  <c r="D430" i="6"/>
  <c r="D433" i="6"/>
  <c r="D474" i="6"/>
  <c r="D621" i="6"/>
  <c r="D694" i="6"/>
  <c r="D726" i="6"/>
  <c r="D776" i="6"/>
  <c r="D819" i="6"/>
  <c r="D1052" i="6"/>
  <c r="D1069" i="6"/>
  <c r="D1160" i="6"/>
  <c r="D1321" i="6"/>
  <c r="D1375" i="6"/>
  <c r="D1500" i="6"/>
  <c r="D1755" i="6"/>
  <c r="K80" i="2"/>
  <c r="J80" i="2"/>
  <c r="I80" i="2"/>
  <c r="D187" i="6"/>
  <c r="D269" i="6"/>
  <c r="D304" i="6"/>
  <c r="D339" i="6"/>
  <c r="D617" i="6"/>
  <c r="D639" i="6"/>
  <c r="D667" i="6"/>
  <c r="D782" i="6"/>
  <c r="D1042" i="6"/>
  <c r="D1097" i="6"/>
  <c r="D1143" i="6"/>
  <c r="D1257" i="6"/>
  <c r="D1274" i="6"/>
  <c r="D100" i="6"/>
  <c r="D136" i="6"/>
  <c r="D388" i="6"/>
  <c r="D671" i="6"/>
  <c r="D753" i="6"/>
  <c r="D1188" i="6"/>
  <c r="D1414" i="6"/>
  <c r="D1464" i="6"/>
  <c r="D1925" i="6"/>
  <c r="F83" i="2"/>
  <c r="D80" i="6"/>
  <c r="D116" i="6"/>
  <c r="D143" i="6"/>
  <c r="D242" i="6"/>
  <c r="D373" i="6"/>
  <c r="D422" i="6"/>
  <c r="D491" i="6"/>
  <c r="D585" i="6"/>
  <c r="D589" i="6"/>
  <c r="D700" i="6"/>
  <c r="D720" i="6"/>
  <c r="D795" i="6"/>
  <c r="D802" i="6"/>
  <c r="D1025" i="6"/>
  <c r="D1248" i="6"/>
  <c r="D1258" i="6"/>
  <c r="D1351" i="6"/>
  <c r="G59" i="6"/>
  <c r="G222" i="6"/>
  <c r="G358" i="6"/>
  <c r="G381" i="6"/>
  <c r="G681" i="6"/>
  <c r="G849" i="6"/>
  <c r="G871" i="6"/>
  <c r="G997" i="6"/>
  <c r="G1047" i="6"/>
  <c r="G1098" i="6"/>
  <c r="G1185" i="6"/>
  <c r="G1285" i="6"/>
  <c r="G1316" i="6"/>
  <c r="G1385" i="6"/>
  <c r="G1429" i="6"/>
  <c r="G79" i="6"/>
  <c r="G198" i="6"/>
  <c r="G257" i="6"/>
  <c r="G312" i="6"/>
  <c r="G347" i="6"/>
  <c r="G362" i="6"/>
  <c r="G373" i="6"/>
  <c r="G430" i="6"/>
  <c r="G549" i="6"/>
  <c r="G583" i="6"/>
  <c r="G585" i="6"/>
  <c r="G615" i="6"/>
  <c r="G631" i="6"/>
  <c r="G649" i="6"/>
  <c r="G665" i="6"/>
  <c r="G683" i="6"/>
  <c r="G717" i="6"/>
  <c r="G754" i="6"/>
  <c r="G934" i="6"/>
  <c r="G1020" i="6"/>
  <c r="H30" i="6"/>
  <c r="G38" i="6"/>
  <c r="H42" i="6"/>
  <c r="G50" i="6"/>
  <c r="H91" i="6"/>
  <c r="H182" i="6"/>
  <c r="H190" i="6"/>
  <c r="G194" i="6"/>
  <c r="G225" i="6"/>
  <c r="G241" i="6"/>
  <c r="H280" i="6"/>
  <c r="G331" i="6"/>
  <c r="G339" i="6"/>
  <c r="G388" i="6"/>
  <c r="G411" i="6"/>
  <c r="H422" i="6"/>
  <c r="G427" i="6"/>
  <c r="G435" i="6"/>
  <c r="G443" i="6"/>
  <c r="H464" i="6"/>
  <c r="G469" i="6"/>
  <c r="H476" i="6"/>
  <c r="H488" i="6"/>
  <c r="G517" i="6"/>
  <c r="G519" i="6"/>
  <c r="G533" i="6"/>
  <c r="G535" i="6"/>
  <c r="H549" i="6"/>
  <c r="G551" i="6"/>
  <c r="H565" i="6"/>
  <c r="G567" i="6"/>
  <c r="H583" i="6"/>
  <c r="H599" i="6"/>
  <c r="H601" i="6"/>
  <c r="H615" i="6"/>
  <c r="G617" i="6"/>
  <c r="H633" i="6"/>
  <c r="H649" i="6"/>
  <c r="H665" i="6"/>
  <c r="G674" i="6"/>
  <c r="H744" i="6"/>
  <c r="H754" i="6"/>
  <c r="G767" i="6"/>
  <c r="G783" i="6"/>
  <c r="G793" i="6"/>
  <c r="G816" i="6"/>
  <c r="H829" i="6"/>
  <c r="G853" i="6"/>
  <c r="H879" i="6"/>
  <c r="H911" i="6"/>
  <c r="G929" i="6"/>
  <c r="H934" i="6"/>
  <c r="G970" i="6"/>
  <c r="G1025" i="6"/>
  <c r="H1030" i="6"/>
  <c r="H1071" i="6"/>
  <c r="G1081" i="6"/>
  <c r="H1190" i="6"/>
  <c r="G1194" i="6"/>
  <c r="H1199" i="6"/>
  <c r="G1244" i="6"/>
  <c r="H1254" i="6"/>
  <c r="G1264" i="6"/>
  <c r="H1329" i="6"/>
  <c r="G1386" i="6"/>
  <c r="H1396" i="6"/>
  <c r="P1537" i="6"/>
  <c r="D19" i="4"/>
  <c r="B3" i="6"/>
  <c r="A8" i="6"/>
  <c r="H9" i="6"/>
  <c r="K14" i="6"/>
  <c r="A20" i="6"/>
  <c r="J22" i="6"/>
  <c r="B24" i="6"/>
  <c r="I30" i="6"/>
  <c r="A32" i="6"/>
  <c r="K34" i="6"/>
  <c r="H38" i="6"/>
  <c r="C41" i="6"/>
  <c r="I42" i="6"/>
  <c r="G46" i="6"/>
  <c r="A49" i="6"/>
  <c r="H50" i="6"/>
  <c r="K51" i="6"/>
  <c r="C53" i="6"/>
  <c r="G54" i="6"/>
  <c r="G58" i="6"/>
  <c r="K59" i="6"/>
  <c r="B61" i="6"/>
  <c r="K63" i="6"/>
  <c r="A69" i="6"/>
  <c r="J71" i="6"/>
  <c r="B73" i="6"/>
  <c r="I79" i="6"/>
  <c r="A81" i="6"/>
  <c r="K83" i="6"/>
  <c r="H87" i="6"/>
  <c r="C90" i="6"/>
  <c r="I91" i="6"/>
  <c r="G95" i="6"/>
  <c r="A98" i="6"/>
  <c r="H99" i="6"/>
  <c r="K100" i="6"/>
  <c r="C102" i="6"/>
  <c r="G103" i="6"/>
  <c r="G107" i="6"/>
  <c r="K108" i="6"/>
  <c r="B110" i="6"/>
  <c r="K112" i="6"/>
  <c r="A118" i="6"/>
  <c r="H119" i="6"/>
  <c r="K120" i="6"/>
  <c r="C122" i="6"/>
  <c r="A126" i="6"/>
  <c r="H127" i="6"/>
  <c r="K128" i="6"/>
  <c r="C130" i="6"/>
  <c r="G131" i="6"/>
  <c r="A134" i="6"/>
  <c r="H135" i="6"/>
  <c r="C138" i="6"/>
  <c r="K139" i="6"/>
  <c r="H143" i="6"/>
  <c r="C146" i="6"/>
  <c r="J147" i="6"/>
  <c r="I151" i="6"/>
  <c r="J155" i="6"/>
  <c r="B157" i="6"/>
  <c r="G162" i="6"/>
  <c r="J163" i="6"/>
  <c r="B165" i="6"/>
  <c r="G170" i="6"/>
  <c r="K171" i="6"/>
  <c r="B173" i="6"/>
  <c r="J174" i="6"/>
  <c r="G178" i="6"/>
  <c r="B181" i="6"/>
  <c r="I182" i="6"/>
  <c r="G186" i="6"/>
  <c r="C189" i="6"/>
  <c r="I190" i="6"/>
  <c r="I198" i="6"/>
  <c r="A200" i="6"/>
  <c r="I206" i="6"/>
  <c r="A208" i="6"/>
  <c r="K210" i="6"/>
  <c r="A216" i="6"/>
  <c r="H217" i="6"/>
  <c r="K218" i="6"/>
  <c r="C220" i="6"/>
  <c r="A224" i="6"/>
  <c r="H225" i="6"/>
  <c r="K226" i="6"/>
  <c r="C228" i="6"/>
  <c r="G229" i="6"/>
  <c r="A232" i="6"/>
  <c r="H233" i="6"/>
  <c r="C236" i="6"/>
  <c r="K237" i="6"/>
  <c r="H241" i="6"/>
  <c r="C244" i="6"/>
  <c r="J245" i="6"/>
  <c r="I249" i="6"/>
  <c r="J253" i="6"/>
  <c r="B255" i="6"/>
  <c r="G260" i="6"/>
  <c r="J261" i="6"/>
  <c r="B263" i="6"/>
  <c r="G268" i="6"/>
  <c r="K269" i="6"/>
  <c r="B271" i="6"/>
  <c r="J272" i="6"/>
  <c r="G276" i="6"/>
  <c r="B279" i="6"/>
  <c r="I280" i="6"/>
  <c r="G284" i="6"/>
  <c r="C287" i="6"/>
  <c r="I288" i="6"/>
  <c r="I296" i="6"/>
  <c r="A298" i="6"/>
  <c r="I304" i="6"/>
  <c r="A306" i="6"/>
  <c r="K308" i="6"/>
  <c r="A314" i="6"/>
  <c r="H315" i="6"/>
  <c r="K316" i="6"/>
  <c r="C318" i="6"/>
  <c r="A322" i="6"/>
  <c r="H323" i="6"/>
  <c r="K324" i="6"/>
  <c r="C326" i="6"/>
  <c r="G327" i="6"/>
  <c r="A330" i="6"/>
  <c r="H331" i="6"/>
  <c r="C334" i="6"/>
  <c r="K335" i="6"/>
  <c r="H339" i="6"/>
  <c r="C342" i="6"/>
  <c r="K343" i="6"/>
  <c r="A349" i="6"/>
  <c r="I350" i="6"/>
  <c r="G354" i="6"/>
  <c r="C357" i="6"/>
  <c r="J358" i="6"/>
  <c r="B360" i="6"/>
  <c r="H365" i="6"/>
  <c r="K366" i="6"/>
  <c r="C368" i="6"/>
  <c r="G369" i="6"/>
  <c r="I373" i="6"/>
  <c r="A375" i="6"/>
  <c r="G380" i="6"/>
  <c r="K381" i="6"/>
  <c r="B383" i="6"/>
  <c r="J384" i="6"/>
  <c r="H388" i="6"/>
  <c r="C391" i="6"/>
  <c r="K392" i="6"/>
  <c r="B394" i="6"/>
  <c r="H397" i="6"/>
  <c r="J400" i="6"/>
  <c r="A402" i="6"/>
  <c r="C405" i="6"/>
  <c r="A410" i="6"/>
  <c r="C413" i="6"/>
  <c r="A418" i="6"/>
  <c r="H419" i="6"/>
  <c r="K422" i="6"/>
  <c r="A426" i="6"/>
  <c r="H427" i="6"/>
  <c r="J430" i="6"/>
  <c r="H435" i="6"/>
  <c r="J438" i="6"/>
  <c r="H443" i="6"/>
  <c r="K446" i="6"/>
  <c r="A448" i="6"/>
  <c r="K454" i="6"/>
  <c r="A456" i="6"/>
  <c r="C461" i="6"/>
  <c r="J464" i="6"/>
  <c r="C466" i="6"/>
  <c r="K474" i="6"/>
  <c r="I476" i="6"/>
  <c r="A478" i="6"/>
  <c r="I481" i="6"/>
  <c r="C485" i="6"/>
  <c r="K486" i="6"/>
  <c r="I488" i="6"/>
  <c r="B490" i="6"/>
  <c r="H493" i="6"/>
  <c r="J500" i="6"/>
  <c r="B506" i="6"/>
  <c r="H517" i="6"/>
  <c r="A522" i="6"/>
  <c r="I533" i="6"/>
  <c r="I535" i="6"/>
  <c r="B538" i="6"/>
  <c r="I549" i="6"/>
  <c r="H551" i="6"/>
  <c r="B554" i="6"/>
  <c r="B556" i="6"/>
  <c r="I565" i="6"/>
  <c r="H567" i="6"/>
  <c r="B570" i="6"/>
  <c r="B572" i="6"/>
  <c r="I581" i="6"/>
  <c r="I583" i="6"/>
  <c r="C586" i="6"/>
  <c r="B588" i="6"/>
  <c r="G590" i="6"/>
  <c r="G592" i="6"/>
  <c r="I599" i="6"/>
  <c r="C602" i="6"/>
  <c r="B604" i="6"/>
  <c r="G606" i="6"/>
  <c r="G608" i="6"/>
  <c r="I615" i="6"/>
  <c r="J617" i="6"/>
  <c r="C620" i="6"/>
  <c r="G622" i="6"/>
  <c r="G624" i="6"/>
  <c r="J631" i="6"/>
  <c r="I633" i="6"/>
  <c r="C636" i="6"/>
  <c r="C638" i="6"/>
  <c r="H640" i="6"/>
  <c r="A643" i="6"/>
  <c r="J647" i="6"/>
  <c r="I649" i="6"/>
  <c r="C652" i="6"/>
  <c r="B654" i="6"/>
  <c r="H656" i="6"/>
  <c r="J663" i="6"/>
  <c r="I665" i="6"/>
  <c r="C668" i="6"/>
  <c r="C670" i="6"/>
  <c r="H672" i="6"/>
  <c r="A677" i="6"/>
  <c r="B679" i="6"/>
  <c r="J681" i="6"/>
  <c r="K695" i="6"/>
  <c r="K701" i="6"/>
  <c r="C705" i="6"/>
  <c r="H718" i="6"/>
  <c r="B721" i="6"/>
  <c r="K724" i="6"/>
  <c r="G734" i="6"/>
  <c r="I751" i="6"/>
  <c r="J754" i="6"/>
  <c r="B758" i="6"/>
  <c r="C764" i="6"/>
  <c r="C774" i="6"/>
  <c r="K777" i="6"/>
  <c r="H783" i="6"/>
  <c r="A790" i="6"/>
  <c r="H793" i="6"/>
  <c r="A797" i="6"/>
  <c r="I800" i="6"/>
  <c r="C803" i="6"/>
  <c r="J813" i="6"/>
  <c r="H816" i="6"/>
  <c r="A820" i="6"/>
  <c r="B833" i="6"/>
  <c r="J836" i="6"/>
  <c r="C840" i="6"/>
  <c r="J850" i="6"/>
  <c r="C854" i="6"/>
  <c r="B861" i="6"/>
  <c r="I879" i="6"/>
  <c r="I882" i="6"/>
  <c r="J896" i="6"/>
  <c r="G900" i="6"/>
  <c r="I911" i="6"/>
  <c r="G916" i="6"/>
  <c r="C921" i="6"/>
  <c r="I934" i="6"/>
  <c r="J939" i="6"/>
  <c r="A953" i="6"/>
  <c r="G975" i="6"/>
  <c r="H989" i="6"/>
  <c r="C994" i="6"/>
  <c r="C999" i="6"/>
  <c r="I1025" i="6"/>
  <c r="I1030" i="6"/>
  <c r="I1039" i="6"/>
  <c r="H1044" i="6"/>
  <c r="J1053" i="6"/>
  <c r="J1071" i="6"/>
  <c r="G1076" i="6"/>
  <c r="H1081" i="6"/>
  <c r="C1090" i="6"/>
  <c r="B1095" i="6"/>
  <c r="K1103" i="6"/>
  <c r="K1108" i="6"/>
  <c r="C1113" i="6"/>
  <c r="K1131" i="6"/>
  <c r="I1135" i="6"/>
  <c r="C1140" i="6"/>
  <c r="K1158" i="6"/>
  <c r="K1162" i="6"/>
  <c r="A1181" i="6"/>
  <c r="B1195" i="6"/>
  <c r="I1199" i="6"/>
  <c r="C1209" i="6"/>
  <c r="H1213" i="6"/>
  <c r="K1244" i="6"/>
  <c r="A1250" i="6"/>
  <c r="C1255" i="6"/>
  <c r="I1276" i="6"/>
  <c r="K1286" i="6"/>
  <c r="G1317" i="6"/>
  <c r="B1324" i="6"/>
  <c r="G1330" i="6"/>
  <c r="H1353" i="6"/>
  <c r="B1361" i="6"/>
  <c r="J1386" i="6"/>
  <c r="B1457" i="6"/>
  <c r="H1569" i="6"/>
  <c r="H1606" i="6"/>
  <c r="B1682" i="6"/>
  <c r="J1765" i="6"/>
  <c r="C1880" i="6"/>
  <c r="G1964" i="6"/>
  <c r="G22" i="6"/>
  <c r="G163" i="6"/>
  <c r="G179" i="6"/>
  <c r="G261" i="6"/>
  <c r="G277" i="6"/>
  <c r="G438" i="6"/>
  <c r="G462" i="6"/>
  <c r="G206" i="6"/>
  <c r="G214" i="6"/>
  <c r="G288" i="6"/>
  <c r="G9" i="6"/>
  <c r="A2497" i="6"/>
  <c r="A2490" i="6"/>
  <c r="A2483" i="6"/>
  <c r="A2476" i="6"/>
  <c r="A2469" i="6"/>
  <c r="A2462" i="6"/>
  <c r="A2455" i="6"/>
  <c r="A2448" i="6"/>
  <c r="A2441" i="6"/>
  <c r="A2434" i="6"/>
  <c r="A2427" i="6"/>
  <c r="A2495" i="6"/>
  <c r="A2488" i="6"/>
  <c r="A2481" i="6"/>
  <c r="A2474" i="6"/>
  <c r="A2467" i="6"/>
  <c r="A2460" i="6"/>
  <c r="A2453" i="6"/>
  <c r="A2446" i="6"/>
  <c r="A2439" i="6"/>
  <c r="A2432" i="6"/>
  <c r="A2494" i="6"/>
  <c r="A2487" i="6"/>
  <c r="A2480" i="6"/>
  <c r="A2473" i="6"/>
  <c r="A2466" i="6"/>
  <c r="A2459" i="6"/>
  <c r="A2478" i="6"/>
  <c r="A2450" i="6"/>
  <c r="A2445" i="6"/>
  <c r="A2424" i="6"/>
  <c r="A2417" i="6"/>
  <c r="A2410" i="6"/>
  <c r="A2403" i="6"/>
  <c r="A2484" i="6"/>
  <c r="A2456" i="6"/>
  <c r="A2440" i="6"/>
  <c r="A2493" i="6"/>
  <c r="A2451" i="6"/>
  <c r="A2429" i="6"/>
  <c r="A2423" i="6"/>
  <c r="A2416" i="6"/>
  <c r="A2409" i="6"/>
  <c r="A2402" i="6"/>
  <c r="A2457" i="6"/>
  <c r="A2443" i="6"/>
  <c r="A2435" i="6"/>
  <c r="A2426" i="6"/>
  <c r="A2407" i="6"/>
  <c r="A2395" i="6"/>
  <c r="A2388" i="6"/>
  <c r="A2489" i="6"/>
  <c r="A2485" i="6"/>
  <c r="A2479" i="6"/>
  <c r="A2449" i="6"/>
  <c r="A2438" i="6"/>
  <c r="A2394" i="6"/>
  <c r="A2387" i="6"/>
  <c r="A2430" i="6"/>
  <c r="A2418" i="6"/>
  <c r="A2477" i="6"/>
  <c r="A2447" i="6"/>
  <c r="A2419" i="6"/>
  <c r="A2400" i="6"/>
  <c r="A2393" i="6"/>
  <c r="A2498" i="6"/>
  <c r="A2468" i="6"/>
  <c r="A2399" i="6"/>
  <c r="A2386" i="6"/>
  <c r="A2383" i="6"/>
  <c r="A2376" i="6"/>
  <c r="A2369" i="6"/>
  <c r="A2422" i="6"/>
  <c r="A2500" i="6"/>
  <c r="A2442" i="6"/>
  <c r="A2431" i="6"/>
  <c r="A2408" i="6"/>
  <c r="A2405" i="6"/>
  <c r="A2382" i="6"/>
  <c r="A2375" i="6"/>
  <c r="A2368" i="6"/>
  <c r="A2492" i="6"/>
  <c r="A2470" i="6"/>
  <c r="A2444" i="6"/>
  <c r="A2433" i="6"/>
  <c r="A2411" i="6"/>
  <c r="A2496" i="6"/>
  <c r="A2421" i="6"/>
  <c r="A2396" i="6"/>
  <c r="A2371" i="6"/>
  <c r="A2366" i="6"/>
  <c r="A2437" i="6"/>
  <c r="A2428" i="6"/>
  <c r="A2401" i="6"/>
  <c r="A2359" i="6"/>
  <c r="A2352" i="6"/>
  <c r="A2452" i="6"/>
  <c r="A2414" i="6"/>
  <c r="A2412" i="6"/>
  <c r="A2389" i="6"/>
  <c r="A2377" i="6"/>
  <c r="A2372" i="6"/>
  <c r="A2367" i="6"/>
  <c r="A2465" i="6"/>
  <c r="A2425" i="6"/>
  <c r="A2358" i="6"/>
  <c r="A2351" i="6"/>
  <c r="A2344" i="6"/>
  <c r="A2337" i="6"/>
  <c r="A2330" i="6"/>
  <c r="A2323" i="6"/>
  <c r="A2316" i="6"/>
  <c r="A2309" i="6"/>
  <c r="A2302" i="6"/>
  <c r="A2295" i="6"/>
  <c r="A2288" i="6"/>
  <c r="A2281" i="6"/>
  <c r="A2274" i="6"/>
  <c r="A2499" i="6"/>
  <c r="A2463" i="6"/>
  <c r="A2415" i="6"/>
  <c r="A2406" i="6"/>
  <c r="A2390" i="6"/>
  <c r="A2345" i="6"/>
  <c r="A2336" i="6"/>
  <c r="A2325" i="6"/>
  <c r="A2306" i="6"/>
  <c r="A2296" i="6"/>
  <c r="A2287" i="6"/>
  <c r="A2276" i="6"/>
  <c r="A2261" i="6"/>
  <c r="A2254" i="6"/>
  <c r="A2247" i="6"/>
  <c r="A2240" i="6"/>
  <c r="A2233" i="6"/>
  <c r="A2472" i="6"/>
  <c r="A2397" i="6"/>
  <c r="A2392" i="6"/>
  <c r="A2380" i="6"/>
  <c r="A2373" i="6"/>
  <c r="A2370" i="6"/>
  <c r="A2326" i="6"/>
  <c r="A2307" i="6"/>
  <c r="A2277" i="6"/>
  <c r="A2461" i="6"/>
  <c r="A2420" i="6"/>
  <c r="A2346" i="6"/>
  <c r="A2327" i="6"/>
  <c r="A2317" i="6"/>
  <c r="A2308" i="6"/>
  <c r="A2297" i="6"/>
  <c r="A2278" i="6"/>
  <c r="A2268" i="6"/>
  <c r="A2267" i="6"/>
  <c r="A2260" i="6"/>
  <c r="A2253" i="6"/>
  <c r="A2246" i="6"/>
  <c r="A2239" i="6"/>
  <c r="A2232" i="6"/>
  <c r="A2365" i="6"/>
  <c r="A2289" i="6"/>
  <c r="A2282" i="6"/>
  <c r="A2279" i="6"/>
  <c r="A2275" i="6"/>
  <c r="A2272" i="6"/>
  <c r="A2251" i="6"/>
  <c r="A2491" i="6"/>
  <c r="A2464" i="6"/>
  <c r="A2458" i="6"/>
  <c r="A2361" i="6"/>
  <c r="A2320" i="6"/>
  <c r="A2313" i="6"/>
  <c r="A2269" i="6"/>
  <c r="A2242" i="6"/>
  <c r="A2436" i="6"/>
  <c r="A2384" i="6"/>
  <c r="A2353" i="6"/>
  <c r="A2310" i="6"/>
  <c r="A2303" i="6"/>
  <c r="A2300" i="6"/>
  <c r="A2293" i="6"/>
  <c r="A2286" i="6"/>
  <c r="A2262" i="6"/>
  <c r="A2243" i="6"/>
  <c r="A2228" i="6"/>
  <c r="A2221" i="6"/>
  <c r="A2214" i="6"/>
  <c r="A2207" i="6"/>
  <c r="A2200" i="6"/>
  <c r="A2356" i="6"/>
  <c r="A2280" i="6"/>
  <c r="A2273" i="6"/>
  <c r="A2263" i="6"/>
  <c r="A2244" i="6"/>
  <c r="A2385" i="6"/>
  <c r="A2350" i="6"/>
  <c r="A2340" i="6"/>
  <c r="A2324" i="6"/>
  <c r="A2322" i="6"/>
  <c r="A2318" i="6"/>
  <c r="A2314" i="6"/>
  <c r="A2265" i="6"/>
  <c r="A2237" i="6"/>
  <c r="A2218" i="6"/>
  <c r="A2208" i="6"/>
  <c r="A2199" i="6"/>
  <c r="A2363" i="6"/>
  <c r="A2354" i="6"/>
  <c r="A2312" i="6"/>
  <c r="A2304" i="6"/>
  <c r="A2270" i="6"/>
  <c r="A2220" i="6"/>
  <c r="A2209" i="6"/>
  <c r="A2292" i="6"/>
  <c r="A2284" i="6"/>
  <c r="A2257" i="6"/>
  <c r="A2210" i="6"/>
  <c r="A2197" i="6"/>
  <c r="A2190" i="6"/>
  <c r="A2183" i="6"/>
  <c r="A2176" i="6"/>
  <c r="A2169" i="6"/>
  <c r="A2162" i="6"/>
  <c r="A2486" i="6"/>
  <c r="A2475" i="6"/>
  <c r="A2235" i="6"/>
  <c r="A2211" i="6"/>
  <c r="A2201" i="6"/>
  <c r="A2471" i="6"/>
  <c r="A2404" i="6"/>
  <c r="A2331" i="6"/>
  <c r="A2298" i="6"/>
  <c r="A2252" i="6"/>
  <c r="A2248" i="6"/>
  <c r="A2222" i="6"/>
  <c r="A2219" i="6"/>
  <c r="A2216" i="6"/>
  <c r="A2184" i="6"/>
  <c r="A2482" i="6"/>
  <c r="A2360" i="6"/>
  <c r="A2357" i="6"/>
  <c r="A2334" i="6"/>
  <c r="A2250" i="6"/>
  <c r="A2196" i="6"/>
  <c r="A2179" i="6"/>
  <c r="A2174" i="6"/>
  <c r="A2151" i="6"/>
  <c r="A2144" i="6"/>
  <c r="A2137" i="6"/>
  <c r="A2130" i="6"/>
  <c r="A2123" i="6"/>
  <c r="A2116" i="6"/>
  <c r="A2109" i="6"/>
  <c r="A2102" i="6"/>
  <c r="A2095" i="6"/>
  <c r="A2088" i="6"/>
  <c r="A2081" i="6"/>
  <c r="A2074" i="6"/>
  <c r="A2067" i="6"/>
  <c r="A2060" i="6"/>
  <c r="A2053" i="6"/>
  <c r="A2046" i="6"/>
  <c r="A2039" i="6"/>
  <c r="A2032" i="6"/>
  <c r="A2025" i="6"/>
  <c r="A2018" i="6"/>
  <c r="A2011" i="6"/>
  <c r="A2004" i="6"/>
  <c r="A1997" i="6"/>
  <c r="A1990" i="6"/>
  <c r="A1983" i="6"/>
  <c r="A1976" i="6"/>
  <c r="A1969" i="6"/>
  <c r="A2328" i="6"/>
  <c r="A2241" i="6"/>
  <c r="A2225" i="6"/>
  <c r="A2163" i="6"/>
  <c r="A2342" i="6"/>
  <c r="A2339" i="6"/>
  <c r="A2245" i="6"/>
  <c r="A2230" i="6"/>
  <c r="A2203" i="6"/>
  <c r="A2185" i="6"/>
  <c r="A2180" i="6"/>
  <c r="A2175" i="6"/>
  <c r="A2158" i="6"/>
  <c r="A2157" i="6"/>
  <c r="A2150" i="6"/>
  <c r="A2143" i="6"/>
  <c r="A2136" i="6"/>
  <c r="A2129" i="6"/>
  <c r="A2122" i="6"/>
  <c r="A2115" i="6"/>
  <c r="A2108" i="6"/>
  <c r="A2101" i="6"/>
  <c r="A2094" i="6"/>
  <c r="A2087" i="6"/>
  <c r="A2080" i="6"/>
  <c r="A2073" i="6"/>
  <c r="A2066" i="6"/>
  <c r="A2059" i="6"/>
  <c r="A2052" i="6"/>
  <c r="A2045" i="6"/>
  <c r="A2038" i="6"/>
  <c r="A2031" i="6"/>
  <c r="A2024" i="6"/>
  <c r="A2017" i="6"/>
  <c r="A2010" i="6"/>
  <c r="A2003" i="6"/>
  <c r="A1996" i="6"/>
  <c r="A1989" i="6"/>
  <c r="A1982" i="6"/>
  <c r="A1975" i="6"/>
  <c r="A1968" i="6"/>
  <c r="A2364" i="6"/>
  <c r="A2319" i="6"/>
  <c r="A2311" i="6"/>
  <c r="A2256" i="6"/>
  <c r="A2229" i="6"/>
  <c r="A2105" i="6"/>
  <c r="A2086" i="6"/>
  <c r="A2075" i="6"/>
  <c r="A2056" i="6"/>
  <c r="A2037" i="6"/>
  <c r="A2026" i="6"/>
  <c r="A2007" i="6"/>
  <c r="A1988" i="6"/>
  <c r="A1977" i="6"/>
  <c r="A2381" i="6"/>
  <c r="A2338" i="6"/>
  <c r="A2315" i="6"/>
  <c r="A2213" i="6"/>
  <c r="A2198" i="6"/>
  <c r="A2191" i="6"/>
  <c r="A2107" i="6"/>
  <c r="A2096" i="6"/>
  <c r="A2077" i="6"/>
  <c r="A2058" i="6"/>
  <c r="A2047" i="6"/>
  <c r="A2028" i="6"/>
  <c r="A2009" i="6"/>
  <c r="A1998" i="6"/>
  <c r="A1979" i="6"/>
  <c r="A2341" i="6"/>
  <c r="A2299" i="6"/>
  <c r="A2291" i="6"/>
  <c r="A2283" i="6"/>
  <c r="A2259" i="6"/>
  <c r="A2234" i="6"/>
  <c r="A2226" i="6"/>
  <c r="A2224" i="6"/>
  <c r="A2167" i="6"/>
  <c r="A2160" i="6"/>
  <c r="A2146" i="6"/>
  <c r="A2141" i="6"/>
  <c r="A2124" i="6"/>
  <c r="A2097" i="6"/>
  <c r="A2078" i="6"/>
  <c r="A2048" i="6"/>
  <c r="A2029" i="6"/>
  <c r="A1999" i="6"/>
  <c r="A1980" i="6"/>
  <c r="A1963" i="6"/>
  <c r="A1956" i="6"/>
  <c r="A1949" i="6"/>
  <c r="A1942" i="6"/>
  <c r="A1935" i="6"/>
  <c r="A1928" i="6"/>
  <c r="A1921" i="6"/>
  <c r="A1914" i="6"/>
  <c r="A1907" i="6"/>
  <c r="A1900" i="6"/>
  <c r="A1893" i="6"/>
  <c r="A2379" i="6"/>
  <c r="A2362" i="6"/>
  <c r="A2349" i="6"/>
  <c r="A2258" i="6"/>
  <c r="A2249" i="6"/>
  <c r="A2215" i="6"/>
  <c r="A2206" i="6"/>
  <c r="A2204" i="6"/>
  <c r="A2202" i="6"/>
  <c r="A2117" i="6"/>
  <c r="A2098" i="6"/>
  <c r="A2079" i="6"/>
  <c r="A2068" i="6"/>
  <c r="A2049" i="6"/>
  <c r="A2030" i="6"/>
  <c r="A2019" i="6"/>
  <c r="A2000" i="6"/>
  <c r="A1981" i="6"/>
  <c r="A1970" i="6"/>
  <c r="A2355" i="6"/>
  <c r="A2305" i="6"/>
  <c r="A2186" i="6"/>
  <c r="A2135" i="6"/>
  <c r="A2112" i="6"/>
  <c r="A2084" i="6"/>
  <c r="A2051" i="6"/>
  <c r="A2023" i="6"/>
  <c r="A1995" i="6"/>
  <c r="A2348" i="6"/>
  <c r="A2343" i="6"/>
  <c r="A2266" i="6"/>
  <c r="A2236" i="6"/>
  <c r="A2181" i="6"/>
  <c r="A2152" i="6"/>
  <c r="A2128" i="6"/>
  <c r="A2118" i="6"/>
  <c r="A2090" i="6"/>
  <c r="A2062" i="6"/>
  <c r="A2034" i="6"/>
  <c r="A2006" i="6"/>
  <c r="A2001" i="6"/>
  <c r="A1973" i="6"/>
  <c r="A1952" i="6"/>
  <c r="A1947" i="6"/>
  <c r="A1930" i="6"/>
  <c r="A1925" i="6"/>
  <c r="A1920" i="6"/>
  <c r="A1903" i="6"/>
  <c r="A1898" i="6"/>
  <c r="A2374" i="6"/>
  <c r="A2347" i="6"/>
  <c r="A2332" i="6"/>
  <c r="A2271" i="6"/>
  <c r="A2193" i="6"/>
  <c r="A2140" i="6"/>
  <c r="A2121" i="6"/>
  <c r="A2093" i="6"/>
  <c r="A2076" i="6"/>
  <c r="A2065" i="6"/>
  <c r="A2040" i="6"/>
  <c r="A2012" i="6"/>
  <c r="A1984" i="6"/>
  <c r="A1936" i="6"/>
  <c r="A1890" i="6"/>
  <c r="A1883" i="6"/>
  <c r="A1876" i="6"/>
  <c r="A1869" i="6"/>
  <c r="A1862" i="6"/>
  <c r="A1855" i="6"/>
  <c r="A1848" i="6"/>
  <c r="A1841" i="6"/>
  <c r="A1834" i="6"/>
  <c r="A1827" i="6"/>
  <c r="A1820" i="6"/>
  <c r="A1813" i="6"/>
  <c r="A1806" i="6"/>
  <c r="A2212" i="6"/>
  <c r="A2188" i="6"/>
  <c r="A2164" i="6"/>
  <c r="A2159" i="6"/>
  <c r="A2133" i="6"/>
  <c r="A2126" i="6"/>
  <c r="A2104" i="6"/>
  <c r="A2099" i="6"/>
  <c r="A2071" i="6"/>
  <c r="A2043" i="6"/>
  <c r="A2015" i="6"/>
  <c r="A1987" i="6"/>
  <c r="A1958" i="6"/>
  <c r="A1953" i="6"/>
  <c r="A1948" i="6"/>
  <c r="A1931" i="6"/>
  <c r="A1926" i="6"/>
  <c r="A1909" i="6"/>
  <c r="A1904" i="6"/>
  <c r="A1899" i="6"/>
  <c r="A2091" i="6"/>
  <c r="A2089" i="6"/>
  <c r="A2054" i="6"/>
  <c r="A2021" i="6"/>
  <c r="A1991" i="6"/>
  <c r="A1971" i="6"/>
  <c r="A1906" i="6"/>
  <c r="A1873" i="6"/>
  <c r="A1854" i="6"/>
  <c r="A1843" i="6"/>
  <c r="A1824" i="6"/>
  <c r="A2178" i="6"/>
  <c r="A2171" i="6"/>
  <c r="A2155" i="6"/>
  <c r="A2131" i="6"/>
  <c r="A2069" i="6"/>
  <c r="A1985" i="6"/>
  <c r="A1959" i="6"/>
  <c r="A1934" i="6"/>
  <c r="A1917" i="6"/>
  <c r="A1892" i="6"/>
  <c r="A1874" i="6"/>
  <c r="A1863" i="6"/>
  <c r="A1844" i="6"/>
  <c r="A1825" i="6"/>
  <c r="A1814" i="6"/>
  <c r="A2329" i="6"/>
  <c r="A2223" i="6"/>
  <c r="A2119" i="6"/>
  <c r="A2082" i="6"/>
  <c r="A2008" i="6"/>
  <c r="A1962" i="6"/>
  <c r="A1945" i="6"/>
  <c r="A1875" i="6"/>
  <c r="A1864" i="6"/>
  <c r="A1845" i="6"/>
  <c r="A1826" i="6"/>
  <c r="A1815" i="6"/>
  <c r="A2285" i="6"/>
  <c r="A2238" i="6"/>
  <c r="A2194" i="6"/>
  <c r="A2187" i="6"/>
  <c r="A2138" i="6"/>
  <c r="A1967" i="6"/>
  <c r="A1954" i="6"/>
  <c r="A1937" i="6"/>
  <c r="A1912" i="6"/>
  <c r="A1895" i="6"/>
  <c r="A1884" i="6"/>
  <c r="A1865" i="6"/>
  <c r="A1846" i="6"/>
  <c r="A1835" i="6"/>
  <c r="A1816" i="6"/>
  <c r="A1802" i="6"/>
  <c r="A1795" i="6"/>
  <c r="A1788" i="6"/>
  <c r="A1781" i="6"/>
  <c r="A1774" i="6"/>
  <c r="A1767" i="6"/>
  <c r="A1760" i="6"/>
  <c r="A1753" i="6"/>
  <c r="A1746" i="6"/>
  <c r="A1739" i="6"/>
  <c r="A1732" i="6"/>
  <c r="A1725" i="6"/>
  <c r="A1718" i="6"/>
  <c r="A1711" i="6"/>
  <c r="A1704" i="6"/>
  <c r="A1697" i="6"/>
  <c r="A1690" i="6"/>
  <c r="A1683" i="6"/>
  <c r="A1676" i="6"/>
  <c r="A1669" i="6"/>
  <c r="A1662" i="6"/>
  <c r="A1655" i="6"/>
  <c r="A1648" i="6"/>
  <c r="A1641" i="6"/>
  <c r="A1634" i="6"/>
  <c r="A1627" i="6"/>
  <c r="A1620" i="6"/>
  <c r="A1613" i="6"/>
  <c r="A1606" i="6"/>
  <c r="A1599" i="6"/>
  <c r="A1592" i="6"/>
  <c r="A2255" i="6"/>
  <c r="A2231" i="6"/>
  <c r="A2227" i="6"/>
  <c r="A2264" i="6"/>
  <c r="A2168" i="6"/>
  <c r="A2148" i="6"/>
  <c r="A1993" i="6"/>
  <c r="A1961" i="6"/>
  <c r="A1924" i="6"/>
  <c r="A1888" i="6"/>
  <c r="A1860" i="6"/>
  <c r="A1832" i="6"/>
  <c r="A1777" i="6"/>
  <c r="A1758" i="6"/>
  <c r="A1582" i="6"/>
  <c r="A1575" i="6"/>
  <c r="A1568" i="6"/>
  <c r="A1561" i="6"/>
  <c r="A1554" i="6"/>
  <c r="A1547" i="6"/>
  <c r="A1540" i="6"/>
  <c r="A1533" i="6"/>
  <c r="A1526" i="6"/>
  <c r="A1519" i="6"/>
  <c r="A1512" i="6"/>
  <c r="A1505" i="6"/>
  <c r="A1498" i="6"/>
  <c r="A1491" i="6"/>
  <c r="A1484" i="6"/>
  <c r="A1477" i="6"/>
  <c r="A1470" i="6"/>
  <c r="A1463" i="6"/>
  <c r="A1456" i="6"/>
  <c r="A1449" i="6"/>
  <c r="A1442" i="6"/>
  <c r="A1435" i="6"/>
  <c r="A1428" i="6"/>
  <c r="A1421" i="6"/>
  <c r="A1414" i="6"/>
  <c r="A1407" i="6"/>
  <c r="A1400" i="6"/>
  <c r="A1393" i="6"/>
  <c r="A1386" i="6"/>
  <c r="A1379" i="6"/>
  <c r="A1372" i="6"/>
  <c r="A1365" i="6"/>
  <c r="A1358" i="6"/>
  <c r="A1351" i="6"/>
  <c r="A1344" i="6"/>
  <c r="A1337" i="6"/>
  <c r="A2333" i="6"/>
  <c r="A2172" i="6"/>
  <c r="A2020" i="6"/>
  <c r="A1950" i="6"/>
  <c r="A1943" i="6"/>
  <c r="A1941" i="6"/>
  <c r="A1939" i="6"/>
  <c r="A1932" i="6"/>
  <c r="A1902" i="6"/>
  <c r="A1877" i="6"/>
  <c r="A1849" i="6"/>
  <c r="A1821" i="6"/>
  <c r="A1798" i="6"/>
  <c r="A1779" i="6"/>
  <c r="A1749" i="6"/>
  <c r="A1581" i="6"/>
  <c r="A1574" i="6"/>
  <c r="A1567" i="6"/>
  <c r="A1560" i="6"/>
  <c r="A1553" i="6"/>
  <c r="A1546" i="6"/>
  <c r="A1539" i="6"/>
  <c r="A1532" i="6"/>
  <c r="A1525" i="6"/>
  <c r="A1518" i="6"/>
  <c r="A1511" i="6"/>
  <c r="A1504" i="6"/>
  <c r="A1497" i="6"/>
  <c r="A1490" i="6"/>
  <c r="A1483" i="6"/>
  <c r="A1476" i="6"/>
  <c r="A1469" i="6"/>
  <c r="A1462" i="6"/>
  <c r="A1455" i="6"/>
  <c r="A1448" i="6"/>
  <c r="A1441" i="6"/>
  <c r="A1434" i="6"/>
  <c r="A1427" i="6"/>
  <c r="A1420" i="6"/>
  <c r="A1413" i="6"/>
  <c r="A1406" i="6"/>
  <c r="A1399" i="6"/>
  <c r="A1392" i="6"/>
  <c r="A1385" i="6"/>
  <c r="A1378" i="6"/>
  <c r="A1371" i="6"/>
  <c r="A1364" i="6"/>
  <c r="A1357" i="6"/>
  <c r="A1350" i="6"/>
  <c r="A1343" i="6"/>
  <c r="A1336" i="6"/>
  <c r="A2044" i="6"/>
  <c r="A2035" i="6"/>
  <c r="A1880" i="6"/>
  <c r="A1852" i="6"/>
  <c r="A1847" i="6"/>
  <c r="A1819" i="6"/>
  <c r="A1810" i="6"/>
  <c r="A1799" i="6"/>
  <c r="A1789" i="6"/>
  <c r="A1780" i="6"/>
  <c r="A1769" i="6"/>
  <c r="A1750" i="6"/>
  <c r="A1740" i="6"/>
  <c r="A1724" i="6"/>
  <c r="A1723" i="6"/>
  <c r="A1722" i="6"/>
  <c r="A1721" i="6"/>
  <c r="A1720" i="6"/>
  <c r="A1719" i="6"/>
  <c r="A1675" i="6"/>
  <c r="A1674" i="6"/>
  <c r="A1673" i="6"/>
  <c r="A1672" i="6"/>
  <c r="A1671" i="6"/>
  <c r="A1670" i="6"/>
  <c r="A1626" i="6"/>
  <c r="A1625" i="6"/>
  <c r="A1624" i="6"/>
  <c r="A1623" i="6"/>
  <c r="A1622" i="6"/>
  <c r="A1621" i="6"/>
  <c r="A2301" i="6"/>
  <c r="A2111" i="6"/>
  <c r="A2072" i="6"/>
  <c r="A2002" i="6"/>
  <c r="A1994" i="6"/>
  <c r="A1966" i="6"/>
  <c r="A1960" i="6"/>
  <c r="A1944" i="6"/>
  <c r="A1938" i="6"/>
  <c r="A1916" i="6"/>
  <c r="A1910" i="6"/>
  <c r="A1887" i="6"/>
  <c r="A1867" i="6"/>
  <c r="A1782" i="6"/>
  <c r="A1775" i="6"/>
  <c r="A1772" i="6"/>
  <c r="A1765" i="6"/>
  <c r="A1731" i="6"/>
  <c r="A1713" i="6"/>
  <c r="A1700" i="6"/>
  <c r="A1696" i="6"/>
  <c r="A1661" i="6"/>
  <c r="A1635" i="6"/>
  <c r="A1631" i="6"/>
  <c r="A1600" i="6"/>
  <c r="A1596" i="6"/>
  <c r="A1580" i="6"/>
  <c r="A1569" i="6"/>
  <c r="A1550" i="6"/>
  <c r="A1531" i="6"/>
  <c r="A1520" i="6"/>
  <c r="A1501" i="6"/>
  <c r="A1468" i="6"/>
  <c r="A2413" i="6"/>
  <c r="A2205" i="6"/>
  <c r="A2192" i="6"/>
  <c r="A2114" i="6"/>
  <c r="A2103" i="6"/>
  <c r="A2033" i="6"/>
  <c r="A2013" i="6"/>
  <c r="A1879" i="6"/>
  <c r="A1859" i="6"/>
  <c r="A1839" i="6"/>
  <c r="A1762" i="6"/>
  <c r="A1755" i="6"/>
  <c r="A1727" i="6"/>
  <c r="A1692" i="6"/>
  <c r="A1688" i="6"/>
  <c r="A1666" i="6"/>
  <c r="A1657" i="6"/>
  <c r="A1653" i="6"/>
  <c r="A1588" i="6"/>
  <c r="A1571" i="6"/>
  <c r="A1552" i="6"/>
  <c r="A1541" i="6"/>
  <c r="A1522" i="6"/>
  <c r="A1503" i="6"/>
  <c r="A1492" i="6"/>
  <c r="A2161" i="6"/>
  <c r="A2147" i="6"/>
  <c r="A2083" i="6"/>
  <c r="A1972" i="6"/>
  <c r="A1946" i="6"/>
  <c r="A1940" i="6"/>
  <c r="A1918" i="6"/>
  <c r="A1896" i="6"/>
  <c r="A1871" i="6"/>
  <c r="A1857" i="6"/>
  <c r="A1853" i="6"/>
  <c r="A1837" i="6"/>
  <c r="A1833" i="6"/>
  <c r="A1817" i="6"/>
  <c r="A1803" i="6"/>
  <c r="A1800" i="6"/>
  <c r="A1796" i="6"/>
  <c r="A1793" i="6"/>
  <c r="A1786" i="6"/>
  <c r="A1759" i="6"/>
  <c r="A1742" i="6"/>
  <c r="A1735" i="6"/>
  <c r="A1714" i="6"/>
  <c r="A1705" i="6"/>
  <c r="A1701" i="6"/>
  <c r="A1636" i="6"/>
  <c r="A1632" i="6"/>
  <c r="A1614" i="6"/>
  <c r="A1601" i="6"/>
  <c r="A1597" i="6"/>
  <c r="A1572" i="6"/>
  <c r="A1542" i="6"/>
  <c r="A1523" i="6"/>
  <c r="A1493" i="6"/>
  <c r="A2454" i="6"/>
  <c r="A2294" i="6"/>
  <c r="A2139" i="6"/>
  <c r="A2134" i="6"/>
  <c r="A2063" i="6"/>
  <c r="A1986" i="6"/>
  <c r="A1951" i="6"/>
  <c r="A2391" i="6"/>
  <c r="A2166" i="6"/>
  <c r="A2153" i="6"/>
  <c r="A2106" i="6"/>
  <c r="A2041" i="6"/>
  <c r="A2014" i="6"/>
  <c r="A1911" i="6"/>
  <c r="A1885" i="6"/>
  <c r="A1870" i="6"/>
  <c r="A1822" i="6"/>
  <c r="A1807" i="6"/>
  <c r="A1794" i="6"/>
  <c r="A1778" i="6"/>
  <c r="A1703" i="6"/>
  <c r="A1693" i="6"/>
  <c r="A1645" i="6"/>
  <c r="A1543" i="6"/>
  <c r="A1536" i="6"/>
  <c r="A1529" i="6"/>
  <c r="A1502" i="6"/>
  <c r="A1478" i="6"/>
  <c r="A2057" i="6"/>
  <c r="A1955" i="6"/>
  <c r="A1805" i="6"/>
  <c r="A1801" i="6"/>
  <c r="A1776" i="6"/>
  <c r="A1708" i="6"/>
  <c r="A1698" i="6"/>
  <c r="A1665" i="6"/>
  <c r="A1660" i="6"/>
  <c r="A1650" i="6"/>
  <c r="A1640" i="6"/>
  <c r="A1617" i="6"/>
  <c r="A1612" i="6"/>
  <c r="A1602" i="6"/>
  <c r="A1570" i="6"/>
  <c r="A1516" i="6"/>
  <c r="A1509" i="6"/>
  <c r="A2335" i="6"/>
  <c r="A1872" i="6"/>
  <c r="A1842" i="6"/>
  <c r="A1829" i="6"/>
  <c r="A1785" i="6"/>
  <c r="A1783" i="6"/>
  <c r="A1756" i="6"/>
  <c r="A1738" i="6"/>
  <c r="A1726" i="6"/>
  <c r="A1716" i="6"/>
  <c r="A1678" i="6"/>
  <c r="A1668" i="6"/>
  <c r="A1630" i="6"/>
  <c r="A1607" i="6"/>
  <c r="A1584" i="6"/>
  <c r="A1577" i="6"/>
  <c r="A1496" i="6"/>
  <c r="A1489" i="6"/>
  <c r="A1485" i="6"/>
  <c r="A1479" i="6"/>
  <c r="A2290" i="6"/>
  <c r="A2182" i="6"/>
  <c r="A2165" i="6"/>
  <c r="A2145" i="6"/>
  <c r="A2110" i="6"/>
  <c r="A2100" i="6"/>
  <c r="A2050" i="6"/>
  <c r="A1882" i="6"/>
  <c r="A1811" i="6"/>
  <c r="A1809" i="6"/>
  <c r="A1792" i="6"/>
  <c r="A1790" i="6"/>
  <c r="A1763" i="6"/>
  <c r="A1747" i="6"/>
  <c r="A1745" i="6"/>
  <c r="A1736" i="6"/>
  <c r="A1729" i="6"/>
  <c r="A1706" i="6"/>
  <c r="A1681" i="6"/>
  <c r="A1663" i="6"/>
  <c r="A1658" i="6"/>
  <c r="A1633" i="6"/>
  <c r="A1615" i="6"/>
  <c r="A1610" i="6"/>
  <c r="A1587" i="6"/>
  <c r="A1564" i="6"/>
  <c r="A1557" i="6"/>
  <c r="A1513" i="6"/>
  <c r="A1506" i="6"/>
  <c r="A1499" i="6"/>
  <c r="A2189" i="6"/>
  <c r="A2173" i="6"/>
  <c r="A2127" i="6"/>
  <c r="A1927" i="6"/>
  <c r="A1836" i="6"/>
  <c r="A1831" i="6"/>
  <c r="A1770" i="6"/>
  <c r="A1754" i="6"/>
  <c r="A1752" i="6"/>
  <c r="A1743" i="6"/>
  <c r="A2132" i="6"/>
  <c r="A2170" i="6"/>
  <c r="A2113" i="6"/>
  <c r="A1866" i="6"/>
  <c r="A1812" i="6"/>
  <c r="A1808" i="6"/>
  <c r="A1771" i="6"/>
  <c r="A1757" i="6"/>
  <c r="A1686" i="6"/>
  <c r="A1677" i="6"/>
  <c r="A1647" i="6"/>
  <c r="A1628" i="6"/>
  <c r="A1619" i="6"/>
  <c r="A1605" i="6"/>
  <c r="A1598" i="6"/>
  <c r="A1589" i="6"/>
  <c r="A1535" i="6"/>
  <c r="A1527" i="6"/>
  <c r="A1482" i="6"/>
  <c r="A2321" i="6"/>
  <c r="A2061" i="6"/>
  <c r="A2036" i="6"/>
  <c r="A1957" i="6"/>
  <c r="A1905" i="6"/>
  <c r="A1889" i="6"/>
  <c r="A1773" i="6"/>
  <c r="A1751" i="6"/>
  <c r="A1737" i="6"/>
  <c r="A1734" i="6"/>
  <c r="A1656" i="6"/>
  <c r="A1591" i="6"/>
  <c r="A1495" i="6"/>
  <c r="A1487" i="6"/>
  <c r="A1480" i="6"/>
  <c r="A1471" i="6"/>
  <c r="A2195" i="6"/>
  <c r="A2156" i="6"/>
  <c r="A1978" i="6"/>
  <c r="A1933" i="6"/>
  <c r="A1838" i="6"/>
  <c r="A1804" i="6"/>
  <c r="A1748" i="6"/>
  <c r="A1651" i="6"/>
  <c r="A1642" i="6"/>
  <c r="A1593" i="6"/>
  <c r="A2005" i="6"/>
  <c r="A1929" i="6"/>
  <c r="A1894" i="6"/>
  <c r="A1868" i="6"/>
  <c r="A1858" i="6"/>
  <c r="A1797" i="6"/>
  <c r="A1761" i="6"/>
  <c r="A1733" i="6"/>
  <c r="A1646" i="6"/>
  <c r="A1611" i="6"/>
  <c r="A1590" i="6"/>
  <c r="A1459" i="6"/>
  <c r="A1439" i="6"/>
  <c r="A1416" i="6"/>
  <c r="A1394" i="6"/>
  <c r="A1383" i="6"/>
  <c r="A1361" i="6"/>
  <c r="A1325" i="6"/>
  <c r="A1318" i="6"/>
  <c r="A1311" i="6"/>
  <c r="A1304" i="6"/>
  <c r="A1297" i="6"/>
  <c r="A1290" i="6"/>
  <c r="A1283" i="6"/>
  <c r="A1276" i="6"/>
  <c r="A1269" i="6"/>
  <c r="A1262" i="6"/>
  <c r="A1255" i="6"/>
  <c r="A1248" i="6"/>
  <c r="A1241" i="6"/>
  <c r="A1234" i="6"/>
  <c r="A1227" i="6"/>
  <c r="A2120" i="6"/>
  <c r="A2055" i="6"/>
  <c r="A1992" i="6"/>
  <c r="A1922" i="6"/>
  <c r="A1878" i="6"/>
  <c r="A1828" i="6"/>
  <c r="A1823" i="6"/>
  <c r="A1664" i="6"/>
  <c r="A2149" i="6"/>
  <c r="A2042" i="6"/>
  <c r="A2027" i="6"/>
  <c r="A1908" i="6"/>
  <c r="A1649" i="6"/>
  <c r="A1643" i="6"/>
  <c r="A1637" i="6"/>
  <c r="A1608" i="6"/>
  <c r="A1545" i="6"/>
  <c r="A1538" i="6"/>
  <c r="A1515" i="6"/>
  <c r="A1494" i="6"/>
  <c r="A1481" i="6"/>
  <c r="A1460" i="6"/>
  <c r="A1451" i="6"/>
  <c r="A1418" i="6"/>
  <c r="A1396" i="6"/>
  <c r="A1373" i="6"/>
  <c r="A1363" i="6"/>
  <c r="A1335" i="6"/>
  <c r="A1334" i="6"/>
  <c r="A1333" i="6"/>
  <c r="A1332" i="6"/>
  <c r="A1331" i="6"/>
  <c r="A1324" i="6"/>
  <c r="A1317" i="6"/>
  <c r="A1310" i="6"/>
  <c r="A1303" i="6"/>
  <c r="A1296" i="6"/>
  <c r="A1913" i="6"/>
  <c r="A1768" i="6"/>
  <c r="A1684" i="6"/>
  <c r="A1517" i="6"/>
  <c r="A1510" i="6"/>
  <c r="A1508" i="6"/>
  <c r="A1467" i="6"/>
  <c r="A1452" i="6"/>
  <c r="A1429" i="6"/>
  <c r="A1419" i="6"/>
  <c r="A1397" i="6"/>
  <c r="A1374" i="6"/>
  <c r="A1352" i="6"/>
  <c r="A2398" i="6"/>
  <c r="A2092" i="6"/>
  <c r="A1861" i="6"/>
  <c r="A1764" i="6"/>
  <c r="A1709" i="6"/>
  <c r="A1687" i="6"/>
  <c r="A1652" i="6"/>
  <c r="A1616" i="6"/>
  <c r="A1559" i="6"/>
  <c r="A1472" i="6"/>
  <c r="A1461" i="6"/>
  <c r="A1453" i="6"/>
  <c r="A1430" i="6"/>
  <c r="A1408" i="6"/>
  <c r="A1398" i="6"/>
  <c r="A1375" i="6"/>
  <c r="A1353" i="6"/>
  <c r="A1342" i="6"/>
  <c r="A1341" i="6"/>
  <c r="A1340" i="6"/>
  <c r="A1339" i="6"/>
  <c r="A1338" i="6"/>
  <c r="A1330" i="6"/>
  <c r="A1323" i="6"/>
  <c r="A1316" i="6"/>
  <c r="A1309" i="6"/>
  <c r="A1302" i="6"/>
  <c r="A1295" i="6"/>
  <c r="A1784" i="6"/>
  <c r="A1851" i="6"/>
  <c r="A1702" i="6"/>
  <c r="A1629" i="6"/>
  <c r="A1579" i="6"/>
  <c r="A1528" i="6"/>
  <c r="A1474" i="6"/>
  <c r="A1457" i="6"/>
  <c r="A1443" i="6"/>
  <c r="A1440" i="6"/>
  <c r="A1437" i="6"/>
  <c r="A1417" i="6"/>
  <c r="A1974" i="6"/>
  <c r="A1901" i="6"/>
  <c r="A1881" i="6"/>
  <c r="A1766" i="6"/>
  <c r="A1679" i="6"/>
  <c r="A1544" i="6"/>
  <c r="A1446" i="6"/>
  <c r="A1423" i="6"/>
  <c r="A1850" i="6"/>
  <c r="A1744" i="6"/>
  <c r="A1618" i="6"/>
  <c r="A1586" i="6"/>
  <c r="A1578" i="6"/>
  <c r="A1566" i="6"/>
  <c r="A1563" i="6"/>
  <c r="A1514" i="6"/>
  <c r="A1465" i="6"/>
  <c r="A2217" i="6"/>
  <c r="A1919" i="6"/>
  <c r="A1856" i="6"/>
  <c r="A1717" i="6"/>
  <c r="A1707" i="6"/>
  <c r="A1558" i="6"/>
  <c r="A1551" i="6"/>
  <c r="A1548" i="6"/>
  <c r="A1530" i="6"/>
  <c r="A1395" i="6"/>
  <c r="A2378" i="6"/>
  <c r="A2142" i="6"/>
  <c r="A1595" i="6"/>
  <c r="A1466" i="6"/>
  <c r="A1415" i="6"/>
  <c r="A1410" i="6"/>
  <c r="A1403" i="6"/>
  <c r="A1401" i="6"/>
  <c r="A1376" i="6"/>
  <c r="A1362" i="6"/>
  <c r="A1359" i="6"/>
  <c r="A1345" i="6"/>
  <c r="A1327" i="6"/>
  <c r="A1322" i="6"/>
  <c r="A1305" i="6"/>
  <c r="A1300" i="6"/>
  <c r="A1261" i="6"/>
  <c r="A1215" i="6"/>
  <c r="A1208" i="6"/>
  <c r="A1201" i="6"/>
  <c r="A1194" i="6"/>
  <c r="A1187" i="6"/>
  <c r="A1180" i="6"/>
  <c r="A1173" i="6"/>
  <c r="A1166" i="6"/>
  <c r="A1159" i="6"/>
  <c r="A1152" i="6"/>
  <c r="A1145" i="6"/>
  <c r="A1138" i="6"/>
  <c r="A1131" i="6"/>
  <c r="A1124" i="6"/>
  <c r="A1117" i="6"/>
  <c r="A1110" i="6"/>
  <c r="A1103" i="6"/>
  <c r="A1096" i="6"/>
  <c r="A1089" i="6"/>
  <c r="A1082" i="6"/>
  <c r="A1075" i="6"/>
  <c r="A1068" i="6"/>
  <c r="A1061" i="6"/>
  <c r="A1054" i="6"/>
  <c r="A1047" i="6"/>
  <c r="A1040" i="6"/>
  <c r="A1033" i="6"/>
  <c r="A1026" i="6"/>
  <c r="A1019" i="6"/>
  <c r="A1012" i="6"/>
  <c r="A1005" i="6"/>
  <c r="A998" i="6"/>
  <c r="A991" i="6"/>
  <c r="A984" i="6"/>
  <c r="A977" i="6"/>
  <c r="A970" i="6"/>
  <c r="A963" i="6"/>
  <c r="A956" i="6"/>
  <c r="A949" i="6"/>
  <c r="A942" i="6"/>
  <c r="A935" i="6"/>
  <c r="A928" i="6"/>
  <c r="A921" i="6"/>
  <c r="A914" i="6"/>
  <c r="A1659" i="6"/>
  <c r="A1638" i="6"/>
  <c r="A1609" i="6"/>
  <c r="A1422" i="6"/>
  <c r="A1328" i="6"/>
  <c r="A1306" i="6"/>
  <c r="A1301" i="6"/>
  <c r="A1268" i="6"/>
  <c r="A1214" i="6"/>
  <c r="A1207" i="6"/>
  <c r="A1200" i="6"/>
  <c r="A1193" i="6"/>
  <c r="A1186" i="6"/>
  <c r="A1179" i="6"/>
  <c r="A1172" i="6"/>
  <c r="A1165" i="6"/>
  <c r="A1158" i="6"/>
  <c r="A1151" i="6"/>
  <c r="A1144" i="6"/>
  <c r="A1137" i="6"/>
  <c r="A1130" i="6"/>
  <c r="A1123" i="6"/>
  <c r="A1116" i="6"/>
  <c r="A1109" i="6"/>
  <c r="A1102" i="6"/>
  <c r="A1095" i="6"/>
  <c r="A1088" i="6"/>
  <c r="A1081" i="6"/>
  <c r="A1074" i="6"/>
  <c r="A1067" i="6"/>
  <c r="A1060" i="6"/>
  <c r="A1053" i="6"/>
  <c r="A1046" i="6"/>
  <c r="A1039" i="6"/>
  <c r="A1032" i="6"/>
  <c r="A1025" i="6"/>
  <c r="A1018" i="6"/>
  <c r="A1011" i="6"/>
  <c r="A1004" i="6"/>
  <c r="A997" i="6"/>
  <c r="A990" i="6"/>
  <c r="A983" i="6"/>
  <c r="A976" i="6"/>
  <c r="A969" i="6"/>
  <c r="A962" i="6"/>
  <c r="A955" i="6"/>
  <c r="A948" i="6"/>
  <c r="A941" i="6"/>
  <c r="A934" i="6"/>
  <c r="A927" i="6"/>
  <c r="A920" i="6"/>
  <c r="A913" i="6"/>
  <c r="A2070" i="6"/>
  <c r="A1680" i="6"/>
  <c r="A1524" i="6"/>
  <c r="A1424" i="6"/>
  <c r="A1412" i="6"/>
  <c r="A1388" i="6"/>
  <c r="A1381" i="6"/>
  <c r="A1274" i="6"/>
  <c r="A1273" i="6"/>
  <c r="A1272" i="6"/>
  <c r="A1271" i="6"/>
  <c r="A1270" i="6"/>
  <c r="A1225" i="6"/>
  <c r="A1224" i="6"/>
  <c r="A1223" i="6"/>
  <c r="A1222" i="6"/>
  <c r="A1221" i="6"/>
  <c r="A1556" i="6"/>
  <c r="A1473" i="6"/>
  <c r="A1438" i="6"/>
  <c r="A1431" i="6"/>
  <c r="A1404" i="6"/>
  <c r="A1366" i="6"/>
  <c r="A1360" i="6"/>
  <c r="A1346" i="6"/>
  <c r="A1281" i="6"/>
  <c r="A1280" i="6"/>
  <c r="A1279" i="6"/>
  <c r="A1278" i="6"/>
  <c r="A1277" i="6"/>
  <c r="A1232" i="6"/>
  <c r="A1231" i="6"/>
  <c r="A1230" i="6"/>
  <c r="A1229" i="6"/>
  <c r="A1228" i="6"/>
  <c r="A1915" i="6"/>
  <c r="A1691" i="6"/>
  <c r="A1565" i="6"/>
  <c r="A1432" i="6"/>
  <c r="A1391" i="6"/>
  <c r="A1348" i="6"/>
  <c r="A1299" i="6"/>
  <c r="A1282" i="6"/>
  <c r="A1265" i="6"/>
  <c r="A1217" i="6"/>
  <c r="A1212" i="6"/>
  <c r="A1195" i="6"/>
  <c r="A1190" i="6"/>
  <c r="A1168" i="6"/>
  <c r="A1163" i="6"/>
  <c r="A1146" i="6"/>
  <c r="A1141" i="6"/>
  <c r="A1119" i="6"/>
  <c r="A1114" i="6"/>
  <c r="A1097" i="6"/>
  <c r="A1092" i="6"/>
  <c r="A1070" i="6"/>
  <c r="A1065" i="6"/>
  <c r="A1048" i="6"/>
  <c r="A1043" i="6"/>
  <c r="A1021" i="6"/>
  <c r="A1016" i="6"/>
  <c r="A999" i="6"/>
  <c r="A994" i="6"/>
  <c r="A972" i="6"/>
  <c r="A967" i="6"/>
  <c r="A950" i="6"/>
  <c r="A945" i="6"/>
  <c r="A923" i="6"/>
  <c r="A918" i="6"/>
  <c r="A900" i="6"/>
  <c r="A884" i="6"/>
  <c r="A883" i="6"/>
  <c r="A867" i="6"/>
  <c r="A851" i="6"/>
  <c r="A1712" i="6"/>
  <c r="A1555" i="6"/>
  <c r="A1445" i="6"/>
  <c r="A1292" i="6"/>
  <c r="A1252" i="6"/>
  <c r="A1242" i="6"/>
  <c r="A1239" i="6"/>
  <c r="A1185" i="6"/>
  <c r="A1136" i="6"/>
  <c r="A1087" i="6"/>
  <c r="A1038" i="6"/>
  <c r="A989" i="6"/>
  <c r="A940" i="6"/>
  <c r="A899" i="6"/>
  <c r="A882" i="6"/>
  <c r="A866" i="6"/>
  <c r="A850" i="6"/>
  <c r="A837" i="6"/>
  <c r="A830" i="6"/>
  <c r="A823" i="6"/>
  <c r="A816" i="6"/>
  <c r="A809" i="6"/>
  <c r="A802" i="6"/>
  <c r="A795" i="6"/>
  <c r="A788" i="6"/>
  <c r="A781" i="6"/>
  <c r="A774" i="6"/>
  <c r="A767" i="6"/>
  <c r="A760" i="6"/>
  <c r="A753" i="6"/>
  <c r="A746" i="6"/>
  <c r="A739" i="6"/>
  <c r="A732" i="6"/>
  <c r="A725" i="6"/>
  <c r="A718" i="6"/>
  <c r="A711" i="6"/>
  <c r="A704" i="6"/>
  <c r="A697" i="6"/>
  <c r="A690" i="6"/>
  <c r="A1965" i="6"/>
  <c r="A1891" i="6"/>
  <c r="A1840" i="6"/>
  <c r="A1699" i="6"/>
  <c r="A1689" i="6"/>
  <c r="A1369" i="6"/>
  <c r="A1367" i="6"/>
  <c r="A1354" i="6"/>
  <c r="A1321" i="6"/>
  <c r="A1314" i="6"/>
  <c r="A1289" i="6"/>
  <c r="A1218" i="6"/>
  <c r="A1196" i="6"/>
  <c r="A1191" i="6"/>
  <c r="A1174" i="6"/>
  <c r="A1169" i="6"/>
  <c r="A1147" i="6"/>
  <c r="A1142" i="6"/>
  <c r="A1125" i="6"/>
  <c r="A1120" i="6"/>
  <c r="A1098" i="6"/>
  <c r="A1093" i="6"/>
  <c r="A1076" i="6"/>
  <c r="A1071" i="6"/>
  <c r="A1049" i="6"/>
  <c r="A1044" i="6"/>
  <c r="A1027" i="6"/>
  <c r="A1022" i="6"/>
  <c r="A1000" i="6"/>
  <c r="A995" i="6"/>
  <c r="A978" i="6"/>
  <c r="A973" i="6"/>
  <c r="A951" i="6"/>
  <c r="A946" i="6"/>
  <c r="A929" i="6"/>
  <c r="A924" i="6"/>
  <c r="A898" i="6"/>
  <c r="A897" i="6"/>
  <c r="A881" i="6"/>
  <c r="A865" i="6"/>
  <c r="A849" i="6"/>
  <c r="A848" i="6"/>
  <c r="A1710" i="6"/>
  <c r="A1639" i="6"/>
  <c r="A1562" i="6"/>
  <c r="A1425" i="6"/>
  <c r="A1356" i="6"/>
  <c r="A1307" i="6"/>
  <c r="A1286" i="6"/>
  <c r="A1259" i="6"/>
  <c r="A1249" i="6"/>
  <c r="A1246" i="6"/>
  <c r="A1236" i="6"/>
  <c r="A1226" i="6"/>
  <c r="A1213" i="6"/>
  <c r="A1164" i="6"/>
  <c r="A1115" i="6"/>
  <c r="A1066" i="6"/>
  <c r="A1017" i="6"/>
  <c r="A968" i="6"/>
  <c r="A919" i="6"/>
  <c r="A896" i="6"/>
  <c r="A880" i="6"/>
  <c r="A864" i="6"/>
  <c r="A847" i="6"/>
  <c r="A836" i="6"/>
  <c r="A829" i="6"/>
  <c r="A822" i="6"/>
  <c r="A815" i="6"/>
  <c r="A808" i="6"/>
  <c r="A801" i="6"/>
  <c r="A794" i="6"/>
  <c r="A787" i="6"/>
  <c r="A780" i="6"/>
  <c r="A773" i="6"/>
  <c r="A766" i="6"/>
  <c r="A759" i="6"/>
  <c r="A752" i="6"/>
  <c r="A745" i="6"/>
  <c r="A738" i="6"/>
  <c r="A731" i="6"/>
  <c r="A724" i="6"/>
  <c r="A717" i="6"/>
  <c r="A710" i="6"/>
  <c r="A703" i="6"/>
  <c r="A696" i="6"/>
  <c r="A689" i="6"/>
  <c r="A1830" i="6"/>
  <c r="A1594" i="6"/>
  <c r="A1486" i="6"/>
  <c r="A1347" i="6"/>
  <c r="A1264" i="6"/>
  <c r="A1254" i="6"/>
  <c r="A1184" i="6"/>
  <c r="A1177" i="6"/>
  <c r="A1170" i="6"/>
  <c r="A1167" i="6"/>
  <c r="A1160" i="6"/>
  <c r="A1153" i="6"/>
  <c r="A1112" i="6"/>
  <c r="A1105" i="6"/>
  <c r="A1064" i="6"/>
  <c r="A1057" i="6"/>
  <c r="A1050" i="6"/>
  <c r="A1009" i="6"/>
  <c r="A1002" i="6"/>
  <c r="A992" i="6"/>
  <c r="A985" i="6"/>
  <c r="A944" i="6"/>
  <c r="A937" i="6"/>
  <c r="A930" i="6"/>
  <c r="A891" i="6"/>
  <c r="A879" i="6"/>
  <c r="A870" i="6"/>
  <c r="A858" i="6"/>
  <c r="A846" i="6"/>
  <c r="A668" i="6"/>
  <c r="A652" i="6"/>
  <c r="A636" i="6"/>
  <c r="A619" i="6"/>
  <c r="A603" i="6"/>
  <c r="A587" i="6"/>
  <c r="A570" i="6"/>
  <c r="A554" i="6"/>
  <c r="A538" i="6"/>
  <c r="A521" i="6"/>
  <c r="A505" i="6"/>
  <c r="A489" i="6"/>
  <c r="A472" i="6"/>
  <c r="A457" i="6"/>
  <c r="A450" i="6"/>
  <c r="A443" i="6"/>
  <c r="A436" i="6"/>
  <c r="A429" i="6"/>
  <c r="A422" i="6"/>
  <c r="A415" i="6"/>
  <c r="A408" i="6"/>
  <c r="A401" i="6"/>
  <c r="A394" i="6"/>
  <c r="A1534" i="6"/>
  <c r="A1402" i="6"/>
  <c r="A1258" i="6"/>
  <c r="A1129" i="6"/>
  <c r="A1122" i="6"/>
  <c r="A961" i="6"/>
  <c r="A954" i="6"/>
  <c r="A947" i="6"/>
  <c r="A908" i="6"/>
  <c r="A887" i="6"/>
  <c r="A875" i="6"/>
  <c r="A854" i="6"/>
  <c r="A831" i="6"/>
  <c r="A826" i="6"/>
  <c r="A821" i="6"/>
  <c r="A804" i="6"/>
  <c r="A799" i="6"/>
  <c r="A782" i="6"/>
  <c r="A777" i="6"/>
  <c r="A772" i="6"/>
  <c r="A755" i="6"/>
  <c r="A750" i="6"/>
  <c r="A733" i="6"/>
  <c r="A728" i="6"/>
  <c r="A723" i="6"/>
  <c r="A706" i="6"/>
  <c r="A701" i="6"/>
  <c r="A684" i="6"/>
  <c r="A683" i="6"/>
  <c r="A667" i="6"/>
  <c r="A651" i="6"/>
  <c r="A635" i="6"/>
  <c r="A634" i="6"/>
  <c r="A618" i="6"/>
  <c r="A602" i="6"/>
  <c r="A586" i="6"/>
  <c r="A585" i="6"/>
  <c r="A569" i="6"/>
  <c r="A553" i="6"/>
  <c r="A537" i="6"/>
  <c r="A536" i="6"/>
  <c r="A520" i="6"/>
  <c r="A2085" i="6"/>
  <c r="A2022" i="6"/>
  <c r="A1787" i="6"/>
  <c r="A1409" i="6"/>
  <c r="A1377" i="6"/>
  <c r="A1368" i="6"/>
  <c r="A1313" i="6"/>
  <c r="A1308" i="6"/>
  <c r="A1294" i="6"/>
  <c r="A1189" i="6"/>
  <c r="A1182" i="6"/>
  <c r="A1175" i="6"/>
  <c r="A1134" i="6"/>
  <c r="A1127" i="6"/>
  <c r="A1086" i="6"/>
  <c r="A1079" i="6"/>
  <c r="A1072" i="6"/>
  <c r="A1069" i="6"/>
  <c r="A1062" i="6"/>
  <c r="A1055" i="6"/>
  <c r="A1014" i="6"/>
  <c r="A1007" i="6"/>
  <c r="A966" i="6"/>
  <c r="A959" i="6"/>
  <c r="A952" i="6"/>
  <c r="A911" i="6"/>
  <c r="A904" i="6"/>
  <c r="A863" i="6"/>
  <c r="A842" i="6"/>
  <c r="A682" i="6"/>
  <c r="A666" i="6"/>
  <c r="A650" i="6"/>
  <c r="A633" i="6"/>
  <c r="A617" i="6"/>
  <c r="A601" i="6"/>
  <c r="A584" i="6"/>
  <c r="A568" i="6"/>
  <c r="A552" i="6"/>
  <c r="A535" i="6"/>
  <c r="A519" i="6"/>
  <c r="A2154" i="6"/>
  <c r="A1897" i="6"/>
  <c r="A1604" i="6"/>
  <c r="A1384" i="6"/>
  <c r="A1206" i="6"/>
  <c r="A1199" i="6"/>
  <c r="A1192" i="6"/>
  <c r="A1031" i="6"/>
  <c r="A1024" i="6"/>
  <c r="A892" i="6"/>
  <c r="A871" i="6"/>
  <c r="A859" i="6"/>
  <c r="A832" i="6"/>
  <c r="A827" i="6"/>
  <c r="A810" i="6"/>
  <c r="A805" i="6"/>
  <c r="A800" i="6"/>
  <c r="A783" i="6"/>
  <c r="A778" i="6"/>
  <c r="A761" i="6"/>
  <c r="A756" i="6"/>
  <c r="A751" i="6"/>
  <c r="A734" i="6"/>
  <c r="A729" i="6"/>
  <c r="A712" i="6"/>
  <c r="A707" i="6"/>
  <c r="A702" i="6"/>
  <c r="A685" i="6"/>
  <c r="A681" i="6"/>
  <c r="A665" i="6"/>
  <c r="A649" i="6"/>
  <c r="A648" i="6"/>
  <c r="A632" i="6"/>
  <c r="A616" i="6"/>
  <c r="A600" i="6"/>
  <c r="A599" i="6"/>
  <c r="A583" i="6"/>
  <c r="A567" i="6"/>
  <c r="A551" i="6"/>
  <c r="A550" i="6"/>
  <c r="A534" i="6"/>
  <c r="A518" i="6"/>
  <c r="A502" i="6"/>
  <c r="A501" i="6"/>
  <c r="A1964" i="6"/>
  <c r="A1818" i="6"/>
  <c r="A1715" i="6"/>
  <c r="A1644" i="6"/>
  <c r="A1436" i="6"/>
  <c r="A1329" i="6"/>
  <c r="A1287" i="6"/>
  <c r="A1253" i="6"/>
  <c r="A1243" i="6"/>
  <c r="A1237" i="6"/>
  <c r="A1108" i="6"/>
  <c r="A1101" i="6"/>
  <c r="A1094" i="6"/>
  <c r="A933" i="6"/>
  <c r="A926" i="6"/>
  <c r="A909" i="6"/>
  <c r="A843" i="6"/>
  <c r="A838" i="6"/>
  <c r="A833" i="6"/>
  <c r="A828" i="6"/>
  <c r="A811" i="6"/>
  <c r="A806" i="6"/>
  <c r="A789" i="6"/>
  <c r="A784" i="6"/>
  <c r="A779" i="6"/>
  <c r="A762" i="6"/>
  <c r="A757" i="6"/>
  <c r="A740" i="6"/>
  <c r="A735" i="6"/>
  <c r="A730" i="6"/>
  <c r="A713" i="6"/>
  <c r="A708" i="6"/>
  <c r="A691" i="6"/>
  <c r="A686" i="6"/>
  <c r="A679" i="6"/>
  <c r="A663" i="6"/>
  <c r="A662" i="6"/>
  <c r="A646" i="6"/>
  <c r="A630" i="6"/>
  <c r="A614" i="6"/>
  <c r="A613" i="6"/>
  <c r="A597" i="6"/>
  <c r="A581" i="6"/>
  <c r="A565" i="6"/>
  <c r="A564" i="6"/>
  <c r="A548" i="6"/>
  <c r="A532" i="6"/>
  <c r="A516" i="6"/>
  <c r="A515" i="6"/>
  <c r="A499" i="6"/>
  <c r="A483" i="6"/>
  <c r="A467" i="6"/>
  <c r="A466" i="6"/>
  <c r="A2016" i="6"/>
  <c r="A1583" i="6"/>
  <c r="A1464" i="6"/>
  <c r="A1426" i="6"/>
  <c r="A1298" i="6"/>
  <c r="A1291" i="6"/>
  <c r="A1235" i="6"/>
  <c r="A877" i="6"/>
  <c r="A873" i="6"/>
  <c r="A869" i="6"/>
  <c r="A758" i="6"/>
  <c r="A743" i="6"/>
  <c r="A741" i="6"/>
  <c r="A726" i="6"/>
  <c r="A678" i="6"/>
  <c r="A659" i="6"/>
  <c r="A640" i="6"/>
  <c r="A615" i="6"/>
  <c r="A612" i="6"/>
  <c r="A558" i="6"/>
  <c r="A549" i="6"/>
  <c r="A539" i="6"/>
  <c r="A530" i="6"/>
  <c r="A511" i="6"/>
  <c r="A495" i="6"/>
  <c r="A484" i="6"/>
  <c r="A473" i="6"/>
  <c r="A462" i="6"/>
  <c r="A428" i="6"/>
  <c r="A427" i="6"/>
  <c r="A388" i="6"/>
  <c r="A381" i="6"/>
  <c r="A374" i="6"/>
  <c r="A367" i="6"/>
  <c r="A360" i="6"/>
  <c r="A353" i="6"/>
  <c r="A346" i="6"/>
  <c r="A339" i="6"/>
  <c r="A332" i="6"/>
  <c r="A325" i="6"/>
  <c r="A318" i="6"/>
  <c r="A311" i="6"/>
  <c r="A304" i="6"/>
  <c r="A297" i="6"/>
  <c r="A290" i="6"/>
  <c r="A283" i="6"/>
  <c r="A276" i="6"/>
  <c r="A269" i="6"/>
  <c r="A262" i="6"/>
  <c r="A255" i="6"/>
  <c r="A248" i="6"/>
  <c r="A241" i="6"/>
  <c r="A234" i="6"/>
  <c r="A227" i="6"/>
  <c r="A220" i="6"/>
  <c r="A213" i="6"/>
  <c r="A206" i="6"/>
  <c r="A199" i="6"/>
  <c r="A192" i="6"/>
  <c r="A185" i="6"/>
  <c r="A178" i="6"/>
  <c r="A171" i="6"/>
  <c r="A164" i="6"/>
  <c r="A157" i="6"/>
  <c r="A150" i="6"/>
  <c r="A143" i="6"/>
  <c r="A136" i="6"/>
  <c r="A129" i="6"/>
  <c r="A122" i="6"/>
  <c r="A115" i="6"/>
  <c r="A108" i="6"/>
  <c r="A101" i="6"/>
  <c r="A94" i="6"/>
  <c r="A87" i="6"/>
  <c r="A80" i="6"/>
  <c r="A73" i="6"/>
  <c r="A66" i="6"/>
  <c r="A59" i="6"/>
  <c r="A52" i="6"/>
  <c r="A45" i="6"/>
  <c r="A38" i="6"/>
  <c r="A31" i="6"/>
  <c r="A24" i="6"/>
  <c r="A17" i="6"/>
  <c r="A10" i="6"/>
  <c r="A3" i="6"/>
  <c r="A1685" i="6"/>
  <c r="A1411" i="6"/>
  <c r="A1349" i="6"/>
  <c r="A1288" i="6"/>
  <c r="A1266" i="6"/>
  <c r="A1260" i="6"/>
  <c r="A1247" i="6"/>
  <c r="A1219" i="6"/>
  <c r="A1198" i="6"/>
  <c r="A1126" i="6"/>
  <c r="A1099" i="6"/>
  <c r="A1078" i="6"/>
  <c r="A1051" i="6"/>
  <c r="A1030" i="6"/>
  <c r="A1006" i="6"/>
  <c r="A979" i="6"/>
  <c r="A958" i="6"/>
  <c r="A931" i="6"/>
  <c r="A910" i="6"/>
  <c r="A844" i="6"/>
  <c r="A840" i="6"/>
  <c r="A825" i="6"/>
  <c r="A737" i="6"/>
  <c r="A722" i="6"/>
  <c r="A720" i="6"/>
  <c r="A705" i="6"/>
  <c r="A675" i="6"/>
  <c r="A631" i="6"/>
  <c r="A621" i="6"/>
  <c r="A593" i="6"/>
  <c r="A574" i="6"/>
  <c r="A555" i="6"/>
  <c r="A546" i="6"/>
  <c r="A527" i="6"/>
  <c r="A508" i="6"/>
  <c r="A504" i="6"/>
  <c r="A496" i="6"/>
  <c r="A485" i="6"/>
  <c r="A463" i="6"/>
  <c r="A433" i="6"/>
  <c r="A432" i="6"/>
  <c r="A431" i="6"/>
  <c r="A430" i="6"/>
  <c r="A1730" i="6"/>
  <c r="A1576" i="6"/>
  <c r="A1454" i="6"/>
  <c r="A1433" i="6"/>
  <c r="A1405" i="6"/>
  <c r="A1320" i="6"/>
  <c r="A1275" i="6"/>
  <c r="A1238" i="6"/>
  <c r="A1171" i="6"/>
  <c r="A1150" i="6"/>
  <c r="A1118" i="6"/>
  <c r="A1003" i="6"/>
  <c r="A982" i="6"/>
  <c r="A893" i="6"/>
  <c r="A889" i="6"/>
  <c r="A834" i="6"/>
  <c r="A819" i="6"/>
  <c r="A817" i="6"/>
  <c r="A716" i="6"/>
  <c r="A714" i="6"/>
  <c r="A699" i="6"/>
  <c r="A656" i="6"/>
  <c r="A647" i="6"/>
  <c r="A637" i="6"/>
  <c r="A628" i="6"/>
  <c r="A609" i="6"/>
  <c r="A590" i="6"/>
  <c r="A571" i="6"/>
  <c r="A562" i="6"/>
  <c r="A543" i="6"/>
  <c r="A497" i="6"/>
  <c r="A486" i="6"/>
  <c r="A474" i="6"/>
  <c r="A464" i="6"/>
  <c r="A435" i="6"/>
  <c r="A434" i="6"/>
  <c r="A387" i="6"/>
  <c r="A380" i="6"/>
  <c r="A373" i="6"/>
  <c r="A366" i="6"/>
  <c r="A359" i="6"/>
  <c r="A352" i="6"/>
  <c r="A345" i="6"/>
  <c r="A338" i="6"/>
  <c r="A331" i="6"/>
  <c r="A324" i="6"/>
  <c r="A317" i="6"/>
  <c r="A310" i="6"/>
  <c r="A303" i="6"/>
  <c r="A296" i="6"/>
  <c r="A289" i="6"/>
  <c r="A282" i="6"/>
  <c r="A275" i="6"/>
  <c r="A268" i="6"/>
  <c r="A261" i="6"/>
  <c r="A254" i="6"/>
  <c r="A247" i="6"/>
  <c r="A240" i="6"/>
  <c r="A233" i="6"/>
  <c r="A226" i="6"/>
  <c r="A219" i="6"/>
  <c r="A212" i="6"/>
  <c r="A205" i="6"/>
  <c r="A198" i="6"/>
  <c r="A191" i="6"/>
  <c r="A184" i="6"/>
  <c r="A177" i="6"/>
  <c r="A170" i="6"/>
  <c r="A163" i="6"/>
  <c r="A156" i="6"/>
  <c r="A149" i="6"/>
  <c r="A142" i="6"/>
  <c r="A135" i="6"/>
  <c r="A128" i="6"/>
  <c r="A121" i="6"/>
  <c r="A114" i="6"/>
  <c r="A107" i="6"/>
  <c r="A100" i="6"/>
  <c r="A93" i="6"/>
  <c r="A86" i="6"/>
  <c r="A79" i="6"/>
  <c r="A72" i="6"/>
  <c r="A65" i="6"/>
  <c r="A58" i="6"/>
  <c r="A51" i="6"/>
  <c r="A44" i="6"/>
  <c r="A37" i="6"/>
  <c r="A30" i="6"/>
  <c r="A23" i="6"/>
  <c r="A16" i="6"/>
  <c r="A9" i="6"/>
  <c r="A2" i="6"/>
  <c r="A1447" i="6"/>
  <c r="A1389" i="6"/>
  <c r="A1312" i="6"/>
  <c r="A1244" i="6"/>
  <c r="A1211" i="6"/>
  <c r="A1139" i="6"/>
  <c r="A1091" i="6"/>
  <c r="A971" i="6"/>
  <c r="A885" i="6"/>
  <c r="A860" i="6"/>
  <c r="A813" i="6"/>
  <c r="A798" i="6"/>
  <c r="A796" i="6"/>
  <c r="A695" i="6"/>
  <c r="A693" i="6"/>
  <c r="A672" i="6"/>
  <c r="A653" i="6"/>
  <c r="A644" i="6"/>
  <c r="A625" i="6"/>
  <c r="A606" i="6"/>
  <c r="A578" i="6"/>
  <c r="A524" i="6"/>
  <c r="A498" i="6"/>
  <c r="A487" i="6"/>
  <c r="A475" i="6"/>
  <c r="A465" i="6"/>
  <c r="A440" i="6"/>
  <c r="A439" i="6"/>
  <c r="A438" i="6"/>
  <c r="A437" i="6"/>
  <c r="A1923" i="6"/>
  <c r="A1682" i="6"/>
  <c r="A1573" i="6"/>
  <c r="A1521" i="6"/>
  <c r="A1387" i="6"/>
  <c r="A1319" i="6"/>
  <c r="A1284" i="6"/>
  <c r="A1256" i="6"/>
  <c r="A1216" i="6"/>
  <c r="A1197" i="6"/>
  <c r="A1149" i="6"/>
  <c r="A1080" i="6"/>
  <c r="A1077" i="6"/>
  <c r="A1059" i="6"/>
  <c r="A1029" i="6"/>
  <c r="A981" i="6"/>
  <c r="A957" i="6"/>
  <c r="A912" i="6"/>
  <c r="A905" i="6"/>
  <c r="A901" i="6"/>
  <c r="A862" i="6"/>
  <c r="A786" i="6"/>
  <c r="A771" i="6"/>
  <c r="A769" i="6"/>
  <c r="A754" i="6"/>
  <c r="A676" i="6"/>
  <c r="A622" i="6"/>
  <c r="A594" i="6"/>
  <c r="A575" i="6"/>
  <c r="A556" i="6"/>
  <c r="A547" i="6"/>
  <c r="A528" i="6"/>
  <c r="A488" i="6"/>
  <c r="A477" i="6"/>
  <c r="A447" i="6"/>
  <c r="A446" i="6"/>
  <c r="A445" i="6"/>
  <c r="A444" i="6"/>
  <c r="A398" i="6"/>
  <c r="A397" i="6"/>
  <c r="A396" i="6"/>
  <c r="A395" i="6"/>
  <c r="A2064" i="6"/>
  <c r="A1654" i="6"/>
  <c r="A1488" i="6"/>
  <c r="A1315" i="6"/>
  <c r="A1240" i="6"/>
  <c r="A925" i="6"/>
  <c r="A876" i="6"/>
  <c r="A872" i="6"/>
  <c r="A868" i="6"/>
  <c r="A765" i="6"/>
  <c r="A763" i="6"/>
  <c r="A748" i="6"/>
  <c r="I2500" i="6"/>
  <c r="I2493" i="6"/>
  <c r="I2486" i="6"/>
  <c r="I2479" i="6"/>
  <c r="I2472" i="6"/>
  <c r="I2465" i="6"/>
  <c r="I2458" i="6"/>
  <c r="I2451" i="6"/>
  <c r="I2444" i="6"/>
  <c r="I2437" i="6"/>
  <c r="I2430" i="6"/>
  <c r="I2498" i="6"/>
  <c r="I2491" i="6"/>
  <c r="I2484" i="6"/>
  <c r="I2477" i="6"/>
  <c r="I2470" i="6"/>
  <c r="I2463" i="6"/>
  <c r="I2456" i="6"/>
  <c r="I2449" i="6"/>
  <c r="I2442" i="6"/>
  <c r="I2435" i="6"/>
  <c r="I2428" i="6"/>
  <c r="I2497" i="6"/>
  <c r="I2490" i="6"/>
  <c r="I2483" i="6"/>
  <c r="I2476" i="6"/>
  <c r="I2469" i="6"/>
  <c r="I2462" i="6"/>
  <c r="I2482" i="6"/>
  <c r="I2461" i="6"/>
  <c r="I2447" i="6"/>
  <c r="I2420" i="6"/>
  <c r="I2413" i="6"/>
  <c r="I2406" i="6"/>
  <c r="I2485" i="6"/>
  <c r="I2431" i="6"/>
  <c r="I2488" i="6"/>
  <c r="I2468" i="6"/>
  <c r="I2453" i="6"/>
  <c r="I2448" i="6"/>
  <c r="I2426" i="6"/>
  <c r="I2419" i="6"/>
  <c r="I2412" i="6"/>
  <c r="I2405" i="6"/>
  <c r="I2481" i="6"/>
  <c r="I2475" i="6"/>
  <c r="I2471" i="6"/>
  <c r="I2433" i="6"/>
  <c r="I2401" i="6"/>
  <c r="I2398" i="6"/>
  <c r="I2391" i="6"/>
  <c r="I2384" i="6"/>
  <c r="I2473" i="6"/>
  <c r="I2436" i="6"/>
  <c r="I2422" i="6"/>
  <c r="I2403" i="6"/>
  <c r="I2397" i="6"/>
  <c r="I2390" i="6"/>
  <c r="I2494" i="6"/>
  <c r="I2467" i="6"/>
  <c r="I2439" i="6"/>
  <c r="I2423" i="6"/>
  <c r="I2404" i="6"/>
  <c r="I2496" i="6"/>
  <c r="I2492" i="6"/>
  <c r="I2424" i="6"/>
  <c r="I2396" i="6"/>
  <c r="I2460" i="6"/>
  <c r="I2455" i="6"/>
  <c r="I2417" i="6"/>
  <c r="I2379" i="6"/>
  <c r="I2372" i="6"/>
  <c r="I2365" i="6"/>
  <c r="I2489" i="6"/>
  <c r="I2478" i="6"/>
  <c r="I2400" i="6"/>
  <c r="I2378" i="6"/>
  <c r="I2371" i="6"/>
  <c r="I2364" i="6"/>
  <c r="I2457" i="6"/>
  <c r="I2446" i="6"/>
  <c r="I2409" i="6"/>
  <c r="I2480" i="6"/>
  <c r="I2440" i="6"/>
  <c r="I2399" i="6"/>
  <c r="I2392" i="6"/>
  <c r="I2373" i="6"/>
  <c r="I2368" i="6"/>
  <c r="I2452" i="6"/>
  <c r="I2418" i="6"/>
  <c r="I2416" i="6"/>
  <c r="I2414" i="6"/>
  <c r="I2355" i="6"/>
  <c r="I2348" i="6"/>
  <c r="I2387" i="6"/>
  <c r="I2374" i="6"/>
  <c r="I2369" i="6"/>
  <c r="I2363" i="6"/>
  <c r="I2362" i="6"/>
  <c r="I2499" i="6"/>
  <c r="I2454" i="6"/>
  <c r="I2445" i="6"/>
  <c r="I2427" i="6"/>
  <c r="I2407" i="6"/>
  <c r="I2361" i="6"/>
  <c r="I2354" i="6"/>
  <c r="I2347" i="6"/>
  <c r="I2340" i="6"/>
  <c r="I2333" i="6"/>
  <c r="I2326" i="6"/>
  <c r="I2319" i="6"/>
  <c r="I2312" i="6"/>
  <c r="I2305" i="6"/>
  <c r="I2298" i="6"/>
  <c r="I2291" i="6"/>
  <c r="I2284" i="6"/>
  <c r="I2277" i="6"/>
  <c r="I2270" i="6"/>
  <c r="I2360" i="6"/>
  <c r="I2330" i="6"/>
  <c r="I2320" i="6"/>
  <c r="I2311" i="6"/>
  <c r="I2300" i="6"/>
  <c r="I2281" i="6"/>
  <c r="I2271" i="6"/>
  <c r="I2264" i="6"/>
  <c r="I2257" i="6"/>
  <c r="I2250" i="6"/>
  <c r="I2243" i="6"/>
  <c r="I2236" i="6"/>
  <c r="I2402" i="6"/>
  <c r="I2385" i="6"/>
  <c r="I2383" i="6"/>
  <c r="I2376" i="6"/>
  <c r="I2366" i="6"/>
  <c r="I2331" i="6"/>
  <c r="I2301" i="6"/>
  <c r="I2282" i="6"/>
  <c r="I2466" i="6"/>
  <c r="I2443" i="6"/>
  <c r="I2411" i="6"/>
  <c r="I2349" i="6"/>
  <c r="I2341" i="6"/>
  <c r="I2332" i="6"/>
  <c r="I2321" i="6"/>
  <c r="I2302" i="6"/>
  <c r="I2292" i="6"/>
  <c r="I2283" i="6"/>
  <c r="I2272" i="6"/>
  <c r="I2263" i="6"/>
  <c r="I2256" i="6"/>
  <c r="I2249" i="6"/>
  <c r="I2242" i="6"/>
  <c r="I2235" i="6"/>
  <c r="I2375" i="6"/>
  <c r="I2356" i="6"/>
  <c r="I2304" i="6"/>
  <c r="I2297" i="6"/>
  <c r="I2290" i="6"/>
  <c r="I2245" i="6"/>
  <c r="I2395" i="6"/>
  <c r="I2351" i="6"/>
  <c r="I2345" i="6"/>
  <c r="I2338" i="6"/>
  <c r="I2294" i="6"/>
  <c r="I2287" i="6"/>
  <c r="I2280" i="6"/>
  <c r="I2266" i="6"/>
  <c r="I2247" i="6"/>
  <c r="I2441" i="6"/>
  <c r="I2425" i="6"/>
  <c r="I2389" i="6"/>
  <c r="I2381" i="6"/>
  <c r="I2370" i="6"/>
  <c r="I2325" i="6"/>
  <c r="I2318" i="6"/>
  <c r="I2274" i="6"/>
  <c r="I2267" i="6"/>
  <c r="I2248" i="6"/>
  <c r="I2237" i="6"/>
  <c r="I2224" i="6"/>
  <c r="I2217" i="6"/>
  <c r="I2210" i="6"/>
  <c r="I2203" i="6"/>
  <c r="I2342" i="6"/>
  <c r="I2335" i="6"/>
  <c r="I2328" i="6"/>
  <c r="I2238" i="6"/>
  <c r="I2388" i="6"/>
  <c r="I2286" i="6"/>
  <c r="I2246" i="6"/>
  <c r="I2223" i="6"/>
  <c r="I2212" i="6"/>
  <c r="I2487" i="6"/>
  <c r="I2459" i="6"/>
  <c r="I2450" i="6"/>
  <c r="I2358" i="6"/>
  <c r="I2343" i="6"/>
  <c r="I2339" i="6"/>
  <c r="I2252" i="6"/>
  <c r="I2214" i="6"/>
  <c r="I2204" i="6"/>
  <c r="I2434" i="6"/>
  <c r="I2323" i="6"/>
  <c r="I2315" i="6"/>
  <c r="I2258" i="6"/>
  <c r="I2255" i="6"/>
  <c r="I2230" i="6"/>
  <c r="I2215" i="6"/>
  <c r="I2193" i="6"/>
  <c r="I2186" i="6"/>
  <c r="I2179" i="6"/>
  <c r="I2172" i="6"/>
  <c r="I2165" i="6"/>
  <c r="I2158" i="6"/>
  <c r="I2495" i="6"/>
  <c r="I2377" i="6"/>
  <c r="I2337" i="6"/>
  <c r="I2329" i="6"/>
  <c r="I2313" i="6"/>
  <c r="I2303" i="6"/>
  <c r="I2295" i="6"/>
  <c r="I2261" i="6"/>
  <c r="I2233" i="6"/>
  <c r="I2225" i="6"/>
  <c r="I2216" i="6"/>
  <c r="I2205" i="6"/>
  <c r="I2410" i="6"/>
  <c r="I2306" i="6"/>
  <c r="I2289" i="6"/>
  <c r="I2265" i="6"/>
  <c r="I2254" i="6"/>
  <c r="I2209" i="6"/>
  <c r="I2159" i="6"/>
  <c r="I2367" i="6"/>
  <c r="I2322" i="6"/>
  <c r="I2278" i="6"/>
  <c r="I2234" i="6"/>
  <c r="I2232" i="6"/>
  <c r="I2228" i="6"/>
  <c r="I2220" i="6"/>
  <c r="I2181" i="6"/>
  <c r="I2176" i="6"/>
  <c r="I2171" i="6"/>
  <c r="I2154" i="6"/>
  <c r="I2147" i="6"/>
  <c r="I2140" i="6"/>
  <c r="I2133" i="6"/>
  <c r="I2126" i="6"/>
  <c r="I2119" i="6"/>
  <c r="I2112" i="6"/>
  <c r="I2105" i="6"/>
  <c r="I2098" i="6"/>
  <c r="I2091" i="6"/>
  <c r="I2084" i="6"/>
  <c r="I2077" i="6"/>
  <c r="I2070" i="6"/>
  <c r="I2063" i="6"/>
  <c r="I2056" i="6"/>
  <c r="I2049" i="6"/>
  <c r="I2042" i="6"/>
  <c r="I2035" i="6"/>
  <c r="I2028" i="6"/>
  <c r="I2021" i="6"/>
  <c r="I2014" i="6"/>
  <c r="I2007" i="6"/>
  <c r="I2000" i="6"/>
  <c r="I1993" i="6"/>
  <c r="I1986" i="6"/>
  <c r="I1979" i="6"/>
  <c r="I1972" i="6"/>
  <c r="I2353" i="6"/>
  <c r="I2336" i="6"/>
  <c r="I2314" i="6"/>
  <c r="I2198" i="6"/>
  <c r="I2187" i="6"/>
  <c r="I2415" i="6"/>
  <c r="I2394" i="6"/>
  <c r="I2350" i="6"/>
  <c r="I2308" i="6"/>
  <c r="I2269" i="6"/>
  <c r="I2262" i="6"/>
  <c r="I2260" i="6"/>
  <c r="I2226" i="6"/>
  <c r="I2201" i="6"/>
  <c r="I2182" i="6"/>
  <c r="I2177" i="6"/>
  <c r="I2160" i="6"/>
  <c r="I2153" i="6"/>
  <c r="I2146" i="6"/>
  <c r="I2139" i="6"/>
  <c r="I2132" i="6"/>
  <c r="I2125" i="6"/>
  <c r="I2118" i="6"/>
  <c r="I2111" i="6"/>
  <c r="I2104" i="6"/>
  <c r="I2097" i="6"/>
  <c r="I2090" i="6"/>
  <c r="I2083" i="6"/>
  <c r="I2076" i="6"/>
  <c r="I2069" i="6"/>
  <c r="I2062" i="6"/>
  <c r="I2055" i="6"/>
  <c r="I2048" i="6"/>
  <c r="I2041" i="6"/>
  <c r="I2034" i="6"/>
  <c r="I2027" i="6"/>
  <c r="I2020" i="6"/>
  <c r="I2013" i="6"/>
  <c r="I2006" i="6"/>
  <c r="I1999" i="6"/>
  <c r="I1992" i="6"/>
  <c r="I1985" i="6"/>
  <c r="I1978" i="6"/>
  <c r="I1971" i="6"/>
  <c r="I2474" i="6"/>
  <c r="I2307" i="6"/>
  <c r="I2299" i="6"/>
  <c r="I2240" i="6"/>
  <c r="I2231" i="6"/>
  <c r="I2213" i="6"/>
  <c r="I2211" i="6"/>
  <c r="I2202" i="6"/>
  <c r="I2200" i="6"/>
  <c r="I2110" i="6"/>
  <c r="I2099" i="6"/>
  <c r="I2080" i="6"/>
  <c r="I2061" i="6"/>
  <c r="I2050" i="6"/>
  <c r="I2031" i="6"/>
  <c r="I2012" i="6"/>
  <c r="I2001" i="6"/>
  <c r="I1982" i="6"/>
  <c r="I2194" i="6"/>
  <c r="I2120" i="6"/>
  <c r="I2101" i="6"/>
  <c r="I2082" i="6"/>
  <c r="I2071" i="6"/>
  <c r="I2052" i="6"/>
  <c r="I2033" i="6"/>
  <c r="I2022" i="6"/>
  <c r="I2003" i="6"/>
  <c r="I1984" i="6"/>
  <c r="I1973" i="6"/>
  <c r="I2386" i="6"/>
  <c r="I2380" i="6"/>
  <c r="I2334" i="6"/>
  <c r="I2275" i="6"/>
  <c r="I2208" i="6"/>
  <c r="I2206" i="6"/>
  <c r="I2170" i="6"/>
  <c r="I2163" i="6"/>
  <c r="I2148" i="6"/>
  <c r="I2143" i="6"/>
  <c r="I2138" i="6"/>
  <c r="I2121" i="6"/>
  <c r="I2102" i="6"/>
  <c r="I2072" i="6"/>
  <c r="I2053" i="6"/>
  <c r="I2023" i="6"/>
  <c r="I2004" i="6"/>
  <c r="I1974" i="6"/>
  <c r="I1959" i="6"/>
  <c r="I1952" i="6"/>
  <c r="I1945" i="6"/>
  <c r="I1938" i="6"/>
  <c r="I1931" i="6"/>
  <c r="I1924" i="6"/>
  <c r="I1917" i="6"/>
  <c r="I1910" i="6"/>
  <c r="I1903" i="6"/>
  <c r="I1896" i="6"/>
  <c r="I2279" i="6"/>
  <c r="I2221" i="6"/>
  <c r="I2219" i="6"/>
  <c r="I2103" i="6"/>
  <c r="I2092" i="6"/>
  <c r="I2073" i="6"/>
  <c r="I2054" i="6"/>
  <c r="I2043" i="6"/>
  <c r="I2024" i="6"/>
  <c r="I2005" i="6"/>
  <c r="I1994" i="6"/>
  <c r="I1975" i="6"/>
  <c r="I2408" i="6"/>
  <c r="I2293" i="6"/>
  <c r="I2288" i="6"/>
  <c r="I2241" i="6"/>
  <c r="I2166" i="6"/>
  <c r="I2113" i="6"/>
  <c r="I2085" i="6"/>
  <c r="I2057" i="6"/>
  <c r="I2032" i="6"/>
  <c r="I2029" i="6"/>
  <c r="I1996" i="6"/>
  <c r="I2421" i="6"/>
  <c r="I2393" i="6"/>
  <c r="I2309" i="6"/>
  <c r="I2253" i="6"/>
  <c r="I2222" i="6"/>
  <c r="I2195" i="6"/>
  <c r="I2190" i="6"/>
  <c r="I2185" i="6"/>
  <c r="I2161" i="6"/>
  <c r="I2155" i="6"/>
  <c r="I2131" i="6"/>
  <c r="I2124" i="6"/>
  <c r="I2116" i="6"/>
  <c r="I2088" i="6"/>
  <c r="I2060" i="6"/>
  <c r="I1954" i="6"/>
  <c r="I1949" i="6"/>
  <c r="I1944" i="6"/>
  <c r="I1927" i="6"/>
  <c r="I1922" i="6"/>
  <c r="I1905" i="6"/>
  <c r="I1900" i="6"/>
  <c r="I1895" i="6"/>
  <c r="I2359" i="6"/>
  <c r="I2218" i="6"/>
  <c r="I2173" i="6"/>
  <c r="I2094" i="6"/>
  <c r="I2066" i="6"/>
  <c r="I2038" i="6"/>
  <c r="I2010" i="6"/>
  <c r="I1977" i="6"/>
  <c r="I1960" i="6"/>
  <c r="I1911" i="6"/>
  <c r="I1886" i="6"/>
  <c r="I1879" i="6"/>
  <c r="I1872" i="6"/>
  <c r="I1865" i="6"/>
  <c r="I1858" i="6"/>
  <c r="I1851" i="6"/>
  <c r="I1844" i="6"/>
  <c r="I1837" i="6"/>
  <c r="I1830" i="6"/>
  <c r="I1823" i="6"/>
  <c r="I1816" i="6"/>
  <c r="I1809" i="6"/>
  <c r="I2352" i="6"/>
  <c r="I2244" i="6"/>
  <c r="I2239" i="6"/>
  <c r="I2197" i="6"/>
  <c r="I2192" i="6"/>
  <c r="I2168" i="6"/>
  <c r="I2136" i="6"/>
  <c r="I2129" i="6"/>
  <c r="I2122" i="6"/>
  <c r="I2044" i="6"/>
  <c r="I2016" i="6"/>
  <c r="I1988" i="6"/>
  <c r="I1955" i="6"/>
  <c r="I1950" i="6"/>
  <c r="I1933" i="6"/>
  <c r="I1928" i="6"/>
  <c r="I1923" i="6"/>
  <c r="I1906" i="6"/>
  <c r="I1901" i="6"/>
  <c r="I2108" i="6"/>
  <c r="I2106" i="6"/>
  <c r="I2075" i="6"/>
  <c r="I2036" i="6"/>
  <c r="I1957" i="6"/>
  <c r="I1940" i="6"/>
  <c r="I1915" i="6"/>
  <c r="I1898" i="6"/>
  <c r="I1878" i="6"/>
  <c r="I1867" i="6"/>
  <c r="I1848" i="6"/>
  <c r="I1829" i="6"/>
  <c r="I1818" i="6"/>
  <c r="I2227" i="6"/>
  <c r="I2191" i="6"/>
  <c r="I2184" i="6"/>
  <c r="I2164" i="6"/>
  <c r="I2150" i="6"/>
  <c r="I2145" i="6"/>
  <c r="I2086" i="6"/>
  <c r="I1943" i="6"/>
  <c r="I1926" i="6"/>
  <c r="I1918" i="6"/>
  <c r="I1907" i="6"/>
  <c r="I1887" i="6"/>
  <c r="I1868" i="6"/>
  <c r="I1849" i="6"/>
  <c r="I1838" i="6"/>
  <c r="I1819" i="6"/>
  <c r="I2344" i="6"/>
  <c r="I2276" i="6"/>
  <c r="I2180" i="6"/>
  <c r="I2064" i="6"/>
  <c r="I1946" i="6"/>
  <c r="I1935" i="6"/>
  <c r="I1904" i="6"/>
  <c r="I1893" i="6"/>
  <c r="I1888" i="6"/>
  <c r="I1869" i="6"/>
  <c r="I1850" i="6"/>
  <c r="I1839" i="6"/>
  <c r="I1820" i="6"/>
  <c r="I1808" i="6"/>
  <c r="I1807" i="6"/>
  <c r="I1806" i="6"/>
  <c r="I2174" i="6"/>
  <c r="I2167" i="6"/>
  <c r="I2157" i="6"/>
  <c r="I2152" i="6"/>
  <c r="I2128" i="6"/>
  <c r="I2123" i="6"/>
  <c r="I2114" i="6"/>
  <c r="I1963" i="6"/>
  <c r="I1932" i="6"/>
  <c r="I1921" i="6"/>
  <c r="I1902" i="6"/>
  <c r="I1889" i="6"/>
  <c r="I1870" i="6"/>
  <c r="I1859" i="6"/>
  <c r="I1840" i="6"/>
  <c r="I1821" i="6"/>
  <c r="I1805" i="6"/>
  <c r="I1798" i="6"/>
  <c r="I1791" i="6"/>
  <c r="I1784" i="6"/>
  <c r="I1777" i="6"/>
  <c r="I1770" i="6"/>
  <c r="I1763" i="6"/>
  <c r="I1756" i="6"/>
  <c r="I1749" i="6"/>
  <c r="I1742" i="6"/>
  <c r="I1735" i="6"/>
  <c r="I1728" i="6"/>
  <c r="I1721" i="6"/>
  <c r="I1714" i="6"/>
  <c r="I1707" i="6"/>
  <c r="I1700" i="6"/>
  <c r="I1693" i="6"/>
  <c r="I1686" i="6"/>
  <c r="I1679" i="6"/>
  <c r="I1672" i="6"/>
  <c r="I1665" i="6"/>
  <c r="I1658" i="6"/>
  <c r="I1651" i="6"/>
  <c r="I1644" i="6"/>
  <c r="I1637" i="6"/>
  <c r="I1630" i="6"/>
  <c r="I1623" i="6"/>
  <c r="I1616" i="6"/>
  <c r="I1609" i="6"/>
  <c r="I1602" i="6"/>
  <c r="I1595" i="6"/>
  <c r="I1588" i="6"/>
  <c r="I2357" i="6"/>
  <c r="I2346" i="6"/>
  <c r="I2207" i="6"/>
  <c r="I2141" i="6"/>
  <c r="I2134" i="6"/>
  <c r="I2127" i="6"/>
  <c r="I1970" i="6"/>
  <c r="I1965" i="6"/>
  <c r="I1958" i="6"/>
  <c r="I1956" i="6"/>
  <c r="I1919" i="6"/>
  <c r="I1866" i="6"/>
  <c r="I1861" i="6"/>
  <c r="I1833" i="6"/>
  <c r="I1801" i="6"/>
  <c r="I1782" i="6"/>
  <c r="I1752" i="6"/>
  <c r="I1733" i="6"/>
  <c r="I1585" i="6"/>
  <c r="I1578" i="6"/>
  <c r="I1571" i="6"/>
  <c r="I1564" i="6"/>
  <c r="I1557" i="6"/>
  <c r="I1550" i="6"/>
  <c r="I1543" i="6"/>
  <c r="I1536" i="6"/>
  <c r="I1529" i="6"/>
  <c r="I1522" i="6"/>
  <c r="I1515" i="6"/>
  <c r="I1508" i="6"/>
  <c r="I1501" i="6"/>
  <c r="I1494" i="6"/>
  <c r="I1487" i="6"/>
  <c r="I1480" i="6"/>
  <c r="I1473" i="6"/>
  <c r="I1466" i="6"/>
  <c r="I1459" i="6"/>
  <c r="I1452" i="6"/>
  <c r="I1445" i="6"/>
  <c r="I1438" i="6"/>
  <c r="I1431" i="6"/>
  <c r="I1424" i="6"/>
  <c r="I1417" i="6"/>
  <c r="I1410" i="6"/>
  <c r="I1403" i="6"/>
  <c r="I1396" i="6"/>
  <c r="I1389" i="6"/>
  <c r="I1382" i="6"/>
  <c r="I1375" i="6"/>
  <c r="I1368" i="6"/>
  <c r="I1361" i="6"/>
  <c r="I1354" i="6"/>
  <c r="I1347" i="6"/>
  <c r="I1340" i="6"/>
  <c r="I1333" i="6"/>
  <c r="I2310" i="6"/>
  <c r="I2199" i="6"/>
  <c r="I2162" i="6"/>
  <c r="I2130" i="6"/>
  <c r="I2093" i="6"/>
  <c r="I1995" i="6"/>
  <c r="I1936" i="6"/>
  <c r="I1934" i="6"/>
  <c r="I1899" i="6"/>
  <c r="I1875" i="6"/>
  <c r="I1847" i="6"/>
  <c r="I1842" i="6"/>
  <c r="I1814" i="6"/>
  <c r="I1803" i="6"/>
  <c r="I1773" i="6"/>
  <c r="I1754" i="6"/>
  <c r="I1584" i="6"/>
  <c r="I1577" i="6"/>
  <c r="I1570" i="6"/>
  <c r="I1563" i="6"/>
  <c r="I1556" i="6"/>
  <c r="I1549" i="6"/>
  <c r="I1542" i="6"/>
  <c r="I1535" i="6"/>
  <c r="I1528" i="6"/>
  <c r="I1521" i="6"/>
  <c r="I1514" i="6"/>
  <c r="I1507" i="6"/>
  <c r="I1500" i="6"/>
  <c r="I1493" i="6"/>
  <c r="I1486" i="6"/>
  <c r="I1479" i="6"/>
  <c r="I1472" i="6"/>
  <c r="I1465" i="6"/>
  <c r="I1458" i="6"/>
  <c r="I1451" i="6"/>
  <c r="I1444" i="6"/>
  <c r="I1437" i="6"/>
  <c r="I1430" i="6"/>
  <c r="I1423" i="6"/>
  <c r="I1416" i="6"/>
  <c r="I1409" i="6"/>
  <c r="I1402" i="6"/>
  <c r="I1395" i="6"/>
  <c r="I1388" i="6"/>
  <c r="I1381" i="6"/>
  <c r="I1374" i="6"/>
  <c r="I1367" i="6"/>
  <c r="I1360" i="6"/>
  <c r="I1353" i="6"/>
  <c r="I1346" i="6"/>
  <c r="I1339" i="6"/>
  <c r="I1332" i="6"/>
  <c r="I2429" i="6"/>
  <c r="I2296" i="6"/>
  <c r="I2273" i="6"/>
  <c r="I2117" i="6"/>
  <c r="I2068" i="6"/>
  <c r="I2059" i="6"/>
  <c r="I2019" i="6"/>
  <c r="I1967" i="6"/>
  <c r="I1947" i="6"/>
  <c r="I1881" i="6"/>
  <c r="I1853" i="6"/>
  <c r="I1825" i="6"/>
  <c r="I1804" i="6"/>
  <c r="I1793" i="6"/>
  <c r="I1774" i="6"/>
  <c r="I1764" i="6"/>
  <c r="I1755" i="6"/>
  <c r="I1744" i="6"/>
  <c r="I1699" i="6"/>
  <c r="I1698" i="6"/>
  <c r="I1697" i="6"/>
  <c r="I1696" i="6"/>
  <c r="I1695" i="6"/>
  <c r="I1694" i="6"/>
  <c r="I1650" i="6"/>
  <c r="I1649" i="6"/>
  <c r="I1648" i="6"/>
  <c r="I1647" i="6"/>
  <c r="I1646" i="6"/>
  <c r="I1645" i="6"/>
  <c r="I1601" i="6"/>
  <c r="I1600" i="6"/>
  <c r="I1599" i="6"/>
  <c r="I1598" i="6"/>
  <c r="I1597" i="6"/>
  <c r="I1596" i="6"/>
  <c r="I2268" i="6"/>
  <c r="I2156" i="6"/>
  <c r="I2135" i="6"/>
  <c r="I2040" i="6"/>
  <c r="I1987" i="6"/>
  <c r="I1983" i="6"/>
  <c r="I1855" i="6"/>
  <c r="I1845" i="6"/>
  <c r="I1835" i="6"/>
  <c r="I1815" i="6"/>
  <c r="I1797" i="6"/>
  <c r="I1790" i="6"/>
  <c r="I1746" i="6"/>
  <c r="I1739" i="6"/>
  <c r="I1732" i="6"/>
  <c r="I1702" i="6"/>
  <c r="I1667" i="6"/>
  <c r="I1663" i="6"/>
  <c r="I1641" i="6"/>
  <c r="I1632" i="6"/>
  <c r="I1628" i="6"/>
  <c r="I1574" i="6"/>
  <c r="I1555" i="6"/>
  <c r="I1544" i="6"/>
  <c r="I1525" i="6"/>
  <c r="I1506" i="6"/>
  <c r="I1495" i="6"/>
  <c r="I2079" i="6"/>
  <c r="I2067" i="6"/>
  <c r="I1890" i="6"/>
  <c r="I1827" i="6"/>
  <c r="I1817" i="6"/>
  <c r="I1794" i="6"/>
  <c r="I1787" i="6"/>
  <c r="I1780" i="6"/>
  <c r="I1753" i="6"/>
  <c r="I1724" i="6"/>
  <c r="I1720" i="6"/>
  <c r="I1685" i="6"/>
  <c r="I1659" i="6"/>
  <c r="I1655" i="6"/>
  <c r="I1624" i="6"/>
  <c r="I1620" i="6"/>
  <c r="I1594" i="6"/>
  <c r="I1576" i="6"/>
  <c r="I1565" i="6"/>
  <c r="I1546" i="6"/>
  <c r="I1527" i="6"/>
  <c r="I1516" i="6"/>
  <c r="I1497" i="6"/>
  <c r="I2151" i="6"/>
  <c r="I1962" i="6"/>
  <c r="I1912" i="6"/>
  <c r="I1884" i="6"/>
  <c r="I1767" i="6"/>
  <c r="I1760" i="6"/>
  <c r="I1743" i="6"/>
  <c r="I1703" i="6"/>
  <c r="I1668" i="6"/>
  <c r="I1664" i="6"/>
  <c r="I1642" i="6"/>
  <c r="I1633" i="6"/>
  <c r="I1629" i="6"/>
  <c r="I1603" i="6"/>
  <c r="I1566" i="6"/>
  <c r="I1547" i="6"/>
  <c r="I1517" i="6"/>
  <c r="I1498" i="6"/>
  <c r="I2324" i="6"/>
  <c r="I2178" i="6"/>
  <c r="I2142" i="6"/>
  <c r="I2039" i="6"/>
  <c r="I2317" i="6"/>
  <c r="I2095" i="6"/>
  <c r="I2051" i="6"/>
  <c r="I1966" i="6"/>
  <c r="I1939" i="6"/>
  <c r="I1864" i="6"/>
  <c r="I1854" i="6"/>
  <c r="I1824" i="6"/>
  <c r="I1781" i="6"/>
  <c r="I1734" i="6"/>
  <c r="I1729" i="6"/>
  <c r="I1704" i="6"/>
  <c r="I1681" i="6"/>
  <c r="I1656" i="6"/>
  <c r="I1638" i="6"/>
  <c r="I1610" i="6"/>
  <c r="I1608" i="6"/>
  <c r="I1590" i="6"/>
  <c r="I1568" i="6"/>
  <c r="I1561" i="6"/>
  <c r="I1554" i="6"/>
  <c r="I1510" i="6"/>
  <c r="I1503" i="6"/>
  <c r="I2100" i="6"/>
  <c r="I2078" i="6"/>
  <c r="I2018" i="6"/>
  <c r="I2002" i="6"/>
  <c r="I1991" i="6"/>
  <c r="I1892" i="6"/>
  <c r="I1877" i="6"/>
  <c r="I1811" i="6"/>
  <c r="I1799" i="6"/>
  <c r="I1788" i="6"/>
  <c r="I1772" i="6"/>
  <c r="I1761" i="6"/>
  <c r="I1719" i="6"/>
  <c r="I1709" i="6"/>
  <c r="I1676" i="6"/>
  <c r="I1671" i="6"/>
  <c r="I1661" i="6"/>
  <c r="I1613" i="6"/>
  <c r="I1548" i="6"/>
  <c r="I1541" i="6"/>
  <c r="I1534" i="6"/>
  <c r="I1490" i="6"/>
  <c r="I2438" i="6"/>
  <c r="I2316" i="6"/>
  <c r="I1981" i="6"/>
  <c r="I1976" i="6"/>
  <c r="I1913" i="6"/>
  <c r="I1874" i="6"/>
  <c r="I1856" i="6"/>
  <c r="I1836" i="6"/>
  <c r="I1831" i="6"/>
  <c r="I1826" i="6"/>
  <c r="I1795" i="6"/>
  <c r="I1768" i="6"/>
  <c r="I1750" i="6"/>
  <c r="I1741" i="6"/>
  <c r="I1712" i="6"/>
  <c r="I1666" i="6"/>
  <c r="I1618" i="6"/>
  <c r="I1575" i="6"/>
  <c r="I1558" i="6"/>
  <c r="I1551" i="6"/>
  <c r="I1481" i="6"/>
  <c r="I2251" i="6"/>
  <c r="I2189" i="6"/>
  <c r="I2045" i="6"/>
  <c r="I1942" i="6"/>
  <c r="I1920" i="6"/>
  <c r="I1916" i="6"/>
  <c r="I1909" i="6"/>
  <c r="I1871" i="6"/>
  <c r="I1841" i="6"/>
  <c r="I1779" i="6"/>
  <c r="I1775" i="6"/>
  <c r="I1757" i="6"/>
  <c r="I1748" i="6"/>
  <c r="I1727" i="6"/>
  <c r="I1717" i="6"/>
  <c r="I1689" i="6"/>
  <c r="I1669" i="6"/>
  <c r="I1621" i="6"/>
  <c r="I1582" i="6"/>
  <c r="I1538" i="6"/>
  <c r="I1531" i="6"/>
  <c r="I1524" i="6"/>
  <c r="I2382" i="6"/>
  <c r="I2144" i="6"/>
  <c r="I1980" i="6"/>
  <c r="I1930" i="6"/>
  <c r="I1876" i="6"/>
  <c r="I1846" i="6"/>
  <c r="I1828" i="6"/>
  <c r="I1813" i="6"/>
  <c r="I1786" i="6"/>
  <c r="I1759" i="6"/>
  <c r="I1722" i="6"/>
  <c r="I2464" i="6"/>
  <c r="I2188" i="6"/>
  <c r="I2175" i="6"/>
  <c r="I2149" i="6"/>
  <c r="I2107" i="6"/>
  <c r="I2089" i="6"/>
  <c r="I1964" i="6"/>
  <c r="I2327" i="6"/>
  <c r="I2037" i="6"/>
  <c r="I2096" i="6"/>
  <c r="I2087" i="6"/>
  <c r="I1894" i="6"/>
  <c r="I1776" i="6"/>
  <c r="I1765" i="6"/>
  <c r="I1762" i="6"/>
  <c r="I1751" i="6"/>
  <c r="I1713" i="6"/>
  <c r="I1708" i="6"/>
  <c r="I1674" i="6"/>
  <c r="I1635" i="6"/>
  <c r="I1607" i="6"/>
  <c r="I1593" i="6"/>
  <c r="I1586" i="6"/>
  <c r="I1562" i="6"/>
  <c r="I1485" i="6"/>
  <c r="I2183" i="6"/>
  <c r="I2137" i="6"/>
  <c r="I1951" i="6"/>
  <c r="I1834" i="6"/>
  <c r="I1822" i="6"/>
  <c r="I1745" i="6"/>
  <c r="I1718" i="6"/>
  <c r="I1688" i="6"/>
  <c r="I1639" i="6"/>
  <c r="I1560" i="6"/>
  <c r="I1552" i="6"/>
  <c r="I1518" i="6"/>
  <c r="I1483" i="6"/>
  <c r="I1478" i="6"/>
  <c r="I2285" i="6"/>
  <c r="I2259" i="6"/>
  <c r="I2026" i="6"/>
  <c r="I2017" i="6"/>
  <c r="I1969" i="6"/>
  <c r="I1885" i="6"/>
  <c r="I1873" i="6"/>
  <c r="I1810" i="6"/>
  <c r="I1731" i="6"/>
  <c r="I1710" i="6"/>
  <c r="I1692" i="6"/>
  <c r="I1662" i="6"/>
  <c r="I1653" i="6"/>
  <c r="I1611" i="6"/>
  <c r="I1604" i="6"/>
  <c r="I2432" i="6"/>
  <c r="I2169" i="6"/>
  <c r="I1914" i="6"/>
  <c r="I1883" i="6"/>
  <c r="I1736" i="6"/>
  <c r="I1726" i="6"/>
  <c r="I1690" i="6"/>
  <c r="I1687" i="6"/>
  <c r="I1643" i="6"/>
  <c r="I1605" i="6"/>
  <c r="I1579" i="6"/>
  <c r="I1468" i="6"/>
  <c r="I1462" i="6"/>
  <c r="I1454" i="6"/>
  <c r="I1432" i="6"/>
  <c r="I1422" i="6"/>
  <c r="I1399" i="6"/>
  <c r="I1377" i="6"/>
  <c r="I1344" i="6"/>
  <c r="I1328" i="6"/>
  <c r="I1321" i="6"/>
  <c r="I1314" i="6"/>
  <c r="I1307" i="6"/>
  <c r="I1300" i="6"/>
  <c r="I1293" i="6"/>
  <c r="I1286" i="6"/>
  <c r="I1279" i="6"/>
  <c r="I1272" i="6"/>
  <c r="I1265" i="6"/>
  <c r="I1258" i="6"/>
  <c r="I1251" i="6"/>
  <c r="I1244" i="6"/>
  <c r="I1237" i="6"/>
  <c r="I1230" i="6"/>
  <c r="I1223" i="6"/>
  <c r="I2081" i="6"/>
  <c r="I2030" i="6"/>
  <c r="I2015" i="6"/>
  <c r="I1812" i="6"/>
  <c r="I1800" i="6"/>
  <c r="I1789" i="6"/>
  <c r="I1725" i="6"/>
  <c r="I1716" i="6"/>
  <c r="I1684" i="6"/>
  <c r="I1678" i="6"/>
  <c r="I1657" i="6"/>
  <c r="I1631" i="6"/>
  <c r="I1625" i="6"/>
  <c r="I1622" i="6"/>
  <c r="I1587" i="6"/>
  <c r="I1540" i="6"/>
  <c r="I1990" i="6"/>
  <c r="I1862" i="6"/>
  <c r="I1832" i="6"/>
  <c r="I1778" i="6"/>
  <c r="I1706" i="6"/>
  <c r="I1640" i="6"/>
  <c r="I1526" i="6"/>
  <c r="I1519" i="6"/>
  <c r="I1512" i="6"/>
  <c r="I1463" i="6"/>
  <c r="I1456" i="6"/>
  <c r="I1434" i="6"/>
  <c r="I1412" i="6"/>
  <c r="I1401" i="6"/>
  <c r="I1379" i="6"/>
  <c r="I1356" i="6"/>
  <c r="I1327" i="6"/>
  <c r="I1320" i="6"/>
  <c r="I1313" i="6"/>
  <c r="I1306" i="6"/>
  <c r="I1299" i="6"/>
  <c r="I2065" i="6"/>
  <c r="I1989" i="6"/>
  <c r="I1968" i="6"/>
  <c r="I1882" i="6"/>
  <c r="I1857" i="6"/>
  <c r="I1852" i="6"/>
  <c r="I1796" i="6"/>
  <c r="I1771" i="6"/>
  <c r="I1715" i="6"/>
  <c r="I1675" i="6"/>
  <c r="I1660" i="6"/>
  <c r="I1654" i="6"/>
  <c r="I1619" i="6"/>
  <c r="I1533" i="6"/>
  <c r="I1496" i="6"/>
  <c r="I1491" i="6"/>
  <c r="I1489" i="6"/>
  <c r="I1469" i="6"/>
  <c r="I1457" i="6"/>
  <c r="I1435" i="6"/>
  <c r="I1413" i="6"/>
  <c r="I1390" i="6"/>
  <c r="I1380" i="6"/>
  <c r="I1357" i="6"/>
  <c r="I2025" i="6"/>
  <c r="I1891" i="6"/>
  <c r="I1785" i="6"/>
  <c r="I1705" i="6"/>
  <c r="I1636" i="6"/>
  <c r="I1505" i="6"/>
  <c r="I1464" i="6"/>
  <c r="I1446" i="6"/>
  <c r="I1436" i="6"/>
  <c r="I1414" i="6"/>
  <c r="I1391" i="6"/>
  <c r="I1369" i="6"/>
  <c r="I1358" i="6"/>
  <c r="I1326" i="6"/>
  <c r="I1319" i="6"/>
  <c r="I1312" i="6"/>
  <c r="I1305" i="6"/>
  <c r="I1298" i="6"/>
  <c r="I2115" i="6"/>
  <c r="I1961" i="6"/>
  <c r="I1615" i="6"/>
  <c r="I1502" i="6"/>
  <c r="I1470" i="6"/>
  <c r="I1460" i="6"/>
  <c r="I2009" i="6"/>
  <c r="I1723" i="6"/>
  <c r="I1567" i="6"/>
  <c r="I1511" i="6"/>
  <c r="I1455" i="6"/>
  <c r="I1418" i="6"/>
  <c r="I2109" i="6"/>
  <c r="I1843" i="6"/>
  <c r="I1738" i="6"/>
  <c r="I1591" i="6"/>
  <c r="I1559" i="6"/>
  <c r="I1537" i="6"/>
  <c r="I1488" i="6"/>
  <c r="I1447" i="6"/>
  <c r="I1441" i="6"/>
  <c r="I1427" i="6"/>
  <c r="I1421" i="6"/>
  <c r="I2047" i="6"/>
  <c r="I1880" i="6"/>
  <c r="I1737" i="6"/>
  <c r="I1682" i="6"/>
  <c r="I1530" i="6"/>
  <c r="I2046" i="6"/>
  <c r="I1897" i="6"/>
  <c r="I1792" i="6"/>
  <c r="I1673" i="6"/>
  <c r="I1520" i="6"/>
  <c r="I1461" i="6"/>
  <c r="I1433" i="6"/>
  <c r="I2011" i="6"/>
  <c r="I1711" i="6"/>
  <c r="I1617" i="6"/>
  <c r="I1581" i="6"/>
  <c r="I1569" i="6"/>
  <c r="I1429" i="6"/>
  <c r="I1406" i="6"/>
  <c r="I1363" i="6"/>
  <c r="I1329" i="6"/>
  <c r="I1324" i="6"/>
  <c r="I1302" i="6"/>
  <c r="I1297" i="6"/>
  <c r="I1285" i="6"/>
  <c r="I1236" i="6"/>
  <c r="I1218" i="6"/>
  <c r="I1211" i="6"/>
  <c r="I1204" i="6"/>
  <c r="I1197" i="6"/>
  <c r="I1190" i="6"/>
  <c r="I1183" i="6"/>
  <c r="I1176" i="6"/>
  <c r="I1169" i="6"/>
  <c r="I1162" i="6"/>
  <c r="I1155" i="6"/>
  <c r="I1148" i="6"/>
  <c r="I1141" i="6"/>
  <c r="I1134" i="6"/>
  <c r="I1127" i="6"/>
  <c r="I1120" i="6"/>
  <c r="I1113" i="6"/>
  <c r="I1106" i="6"/>
  <c r="I1099" i="6"/>
  <c r="I1092" i="6"/>
  <c r="I1085" i="6"/>
  <c r="I1078" i="6"/>
  <c r="I1071" i="6"/>
  <c r="I1064" i="6"/>
  <c r="I1057" i="6"/>
  <c r="I1050" i="6"/>
  <c r="I1043" i="6"/>
  <c r="I1036" i="6"/>
  <c r="I1029" i="6"/>
  <c r="I1022" i="6"/>
  <c r="I1015" i="6"/>
  <c r="I1008" i="6"/>
  <c r="I1001" i="6"/>
  <c r="I994" i="6"/>
  <c r="I987" i="6"/>
  <c r="I980" i="6"/>
  <c r="I973" i="6"/>
  <c r="I966" i="6"/>
  <c r="I959" i="6"/>
  <c r="I952" i="6"/>
  <c r="I945" i="6"/>
  <c r="I938" i="6"/>
  <c r="I931" i="6"/>
  <c r="I924" i="6"/>
  <c r="I917" i="6"/>
  <c r="I910" i="6"/>
  <c r="I2008" i="6"/>
  <c r="I1937" i="6"/>
  <c r="I1863" i="6"/>
  <c r="I1802" i="6"/>
  <c r="I1680" i="6"/>
  <c r="I1652" i="6"/>
  <c r="I1539" i="6"/>
  <c r="I1450" i="6"/>
  <c r="I1404" i="6"/>
  <c r="I1386" i="6"/>
  <c r="I1372" i="6"/>
  <c r="I1352" i="6"/>
  <c r="I1337" i="6"/>
  <c r="I1330" i="6"/>
  <c r="I1325" i="6"/>
  <c r="I1308" i="6"/>
  <c r="I1303" i="6"/>
  <c r="I1243" i="6"/>
  <c r="I1217" i="6"/>
  <c r="I1210" i="6"/>
  <c r="I1203" i="6"/>
  <c r="I1196" i="6"/>
  <c r="I1189" i="6"/>
  <c r="I1182" i="6"/>
  <c r="I1175" i="6"/>
  <c r="I1168" i="6"/>
  <c r="I1161" i="6"/>
  <c r="I1154" i="6"/>
  <c r="I1147" i="6"/>
  <c r="I1140" i="6"/>
  <c r="I1133" i="6"/>
  <c r="I1126" i="6"/>
  <c r="I1119" i="6"/>
  <c r="I1112" i="6"/>
  <c r="I1105" i="6"/>
  <c r="I1098" i="6"/>
  <c r="I1091" i="6"/>
  <c r="I1084" i="6"/>
  <c r="I1077" i="6"/>
  <c r="I1070" i="6"/>
  <c r="I1063" i="6"/>
  <c r="I1056" i="6"/>
  <c r="I1049" i="6"/>
  <c r="I1042" i="6"/>
  <c r="I1035" i="6"/>
  <c r="I1028" i="6"/>
  <c r="I1021" i="6"/>
  <c r="I1014" i="6"/>
  <c r="I1007" i="6"/>
  <c r="I1000" i="6"/>
  <c r="I993" i="6"/>
  <c r="I986" i="6"/>
  <c r="I979" i="6"/>
  <c r="I972" i="6"/>
  <c r="I965" i="6"/>
  <c r="I958" i="6"/>
  <c r="I951" i="6"/>
  <c r="I944" i="6"/>
  <c r="I937" i="6"/>
  <c r="I930" i="6"/>
  <c r="I923" i="6"/>
  <c r="I916" i="6"/>
  <c r="I909" i="6"/>
  <c r="I2229" i="6"/>
  <c r="I1509" i="6"/>
  <c r="I1499" i="6"/>
  <c r="I1476" i="6"/>
  <c r="I1443" i="6"/>
  <c r="I1426" i="6"/>
  <c r="I1393" i="6"/>
  <c r="I1292" i="6"/>
  <c r="I1249" i="6"/>
  <c r="I1248" i="6"/>
  <c r="I1247" i="6"/>
  <c r="I1246" i="6"/>
  <c r="I1245" i="6"/>
  <c r="I1953" i="6"/>
  <c r="I1580" i="6"/>
  <c r="I1573" i="6"/>
  <c r="I1400" i="6"/>
  <c r="I1370" i="6"/>
  <c r="I1364" i="6"/>
  <c r="I1256" i="6"/>
  <c r="I1255" i="6"/>
  <c r="I1254" i="6"/>
  <c r="I1253" i="6"/>
  <c r="I1252" i="6"/>
  <c r="I1783" i="6"/>
  <c r="I1758" i="6"/>
  <c r="I1504" i="6"/>
  <c r="I1376" i="6"/>
  <c r="I1371" i="6"/>
  <c r="I1341" i="6"/>
  <c r="I1335" i="6"/>
  <c r="I1295" i="6"/>
  <c r="I1219" i="6"/>
  <c r="I1214" i="6"/>
  <c r="I1192" i="6"/>
  <c r="I1187" i="6"/>
  <c r="I1170" i="6"/>
  <c r="I1165" i="6"/>
  <c r="I1143" i="6"/>
  <c r="I1138" i="6"/>
  <c r="I1121" i="6"/>
  <c r="I1116" i="6"/>
  <c r="I1094" i="6"/>
  <c r="I1089" i="6"/>
  <c r="I1072" i="6"/>
  <c r="I1067" i="6"/>
  <c r="I1045" i="6"/>
  <c r="I1040" i="6"/>
  <c r="I1023" i="6"/>
  <c r="I1018" i="6"/>
  <c r="I996" i="6"/>
  <c r="I991" i="6"/>
  <c r="I974" i="6"/>
  <c r="I969" i="6"/>
  <c r="I947" i="6"/>
  <c r="I942" i="6"/>
  <c r="I925" i="6"/>
  <c r="I920" i="6"/>
  <c r="I908" i="6"/>
  <c r="I907" i="6"/>
  <c r="I891" i="6"/>
  <c r="I875" i="6"/>
  <c r="I859" i="6"/>
  <c r="I858" i="6"/>
  <c r="I842" i="6"/>
  <c r="I1670" i="6"/>
  <c r="I1448" i="6"/>
  <c r="I1411" i="6"/>
  <c r="I1383" i="6"/>
  <c r="I1378" i="6"/>
  <c r="I1283" i="6"/>
  <c r="I1273" i="6"/>
  <c r="I1270" i="6"/>
  <c r="I1260" i="6"/>
  <c r="I1250" i="6"/>
  <c r="I1233" i="6"/>
  <c r="I1209" i="6"/>
  <c r="I1160" i="6"/>
  <c r="I1111" i="6"/>
  <c r="I1062" i="6"/>
  <c r="I1013" i="6"/>
  <c r="I964" i="6"/>
  <c r="I915" i="6"/>
  <c r="I906" i="6"/>
  <c r="I890" i="6"/>
  <c r="I874" i="6"/>
  <c r="I857" i="6"/>
  <c r="I841" i="6"/>
  <c r="I833" i="6"/>
  <c r="I826" i="6"/>
  <c r="I819" i="6"/>
  <c r="I812" i="6"/>
  <c r="I805" i="6"/>
  <c r="I798" i="6"/>
  <c r="I791" i="6"/>
  <c r="I784" i="6"/>
  <c r="I777" i="6"/>
  <c r="I770" i="6"/>
  <c r="I763" i="6"/>
  <c r="I756" i="6"/>
  <c r="I749" i="6"/>
  <c r="I742" i="6"/>
  <c r="I735" i="6"/>
  <c r="I728" i="6"/>
  <c r="I721" i="6"/>
  <c r="I714" i="6"/>
  <c r="I707" i="6"/>
  <c r="I700" i="6"/>
  <c r="I693" i="6"/>
  <c r="I686" i="6"/>
  <c r="I2196" i="6"/>
  <c r="I1769" i="6"/>
  <c r="I1677" i="6"/>
  <c r="I1589" i="6"/>
  <c r="I1572" i="6"/>
  <c r="I1482" i="6"/>
  <c r="I1477" i="6"/>
  <c r="I1408" i="6"/>
  <c r="I1398" i="6"/>
  <c r="I1373" i="6"/>
  <c r="I1345" i="6"/>
  <c r="I1343" i="6"/>
  <c r="I1317" i="6"/>
  <c r="I1310" i="6"/>
  <c r="I1290" i="6"/>
  <c r="I1257" i="6"/>
  <c r="I1240" i="6"/>
  <c r="I1220" i="6"/>
  <c r="I1215" i="6"/>
  <c r="I1198" i="6"/>
  <c r="I1193" i="6"/>
  <c r="I1171" i="6"/>
  <c r="I1166" i="6"/>
  <c r="I1149" i="6"/>
  <c r="I1144" i="6"/>
  <c r="I1122" i="6"/>
  <c r="I1117" i="6"/>
  <c r="I1100" i="6"/>
  <c r="I1095" i="6"/>
  <c r="I1073" i="6"/>
  <c r="I1068" i="6"/>
  <c r="I1051" i="6"/>
  <c r="I1046" i="6"/>
  <c r="I1024" i="6"/>
  <c r="I1019" i="6"/>
  <c r="I1002" i="6"/>
  <c r="I997" i="6"/>
  <c r="I975" i="6"/>
  <c r="I970" i="6"/>
  <c r="I953" i="6"/>
  <c r="I948" i="6"/>
  <c r="I926" i="6"/>
  <c r="I921" i="6"/>
  <c r="I905" i="6"/>
  <c r="I889" i="6"/>
  <c r="I873" i="6"/>
  <c r="I872" i="6"/>
  <c r="I856" i="6"/>
  <c r="I840" i="6"/>
  <c r="I1998" i="6"/>
  <c r="I1627" i="6"/>
  <c r="I1405" i="6"/>
  <c r="I1385" i="6"/>
  <c r="I1362" i="6"/>
  <c r="I1280" i="6"/>
  <c r="I1277" i="6"/>
  <c r="I1267" i="6"/>
  <c r="I1227" i="6"/>
  <c r="I1188" i="6"/>
  <c r="I1139" i="6"/>
  <c r="I1090" i="6"/>
  <c r="I1041" i="6"/>
  <c r="I992" i="6"/>
  <c r="I943" i="6"/>
  <c r="I904" i="6"/>
  <c r="I888" i="6"/>
  <c r="I871" i="6"/>
  <c r="I855" i="6"/>
  <c r="I839" i="6"/>
  <c r="I832" i="6"/>
  <c r="I825" i="6"/>
  <c r="I818" i="6"/>
  <c r="I811" i="6"/>
  <c r="I804" i="6"/>
  <c r="I797" i="6"/>
  <c r="I790" i="6"/>
  <c r="I783" i="6"/>
  <c r="I776" i="6"/>
  <c r="I769" i="6"/>
  <c r="I762" i="6"/>
  <c r="I755" i="6"/>
  <c r="I748" i="6"/>
  <c r="I741" i="6"/>
  <c r="I734" i="6"/>
  <c r="I727" i="6"/>
  <c r="I720" i="6"/>
  <c r="I713" i="6"/>
  <c r="I706" i="6"/>
  <c r="I699" i="6"/>
  <c r="I692" i="6"/>
  <c r="I685" i="6"/>
  <c r="I1691" i="6"/>
  <c r="I1523" i="6"/>
  <c r="I1471" i="6"/>
  <c r="I1365" i="6"/>
  <c r="I1315" i="6"/>
  <c r="I1301" i="6"/>
  <c r="I1296" i="6"/>
  <c r="I1180" i="6"/>
  <c r="I1173" i="6"/>
  <c r="I1163" i="6"/>
  <c r="I1156" i="6"/>
  <c r="I1115" i="6"/>
  <c r="I1108" i="6"/>
  <c r="I1101" i="6"/>
  <c r="I1060" i="6"/>
  <c r="I1053" i="6"/>
  <c r="I1012" i="6"/>
  <c r="I1005" i="6"/>
  <c r="I998" i="6"/>
  <c r="I995" i="6"/>
  <c r="I988" i="6"/>
  <c r="I981" i="6"/>
  <c r="I940" i="6"/>
  <c r="I933" i="6"/>
  <c r="I901" i="6"/>
  <c r="I880" i="6"/>
  <c r="I868" i="6"/>
  <c r="I847" i="6"/>
  <c r="I676" i="6"/>
  <c r="I660" i="6"/>
  <c r="I643" i="6"/>
  <c r="I627" i="6"/>
  <c r="I611" i="6"/>
  <c r="I594" i="6"/>
  <c r="I578" i="6"/>
  <c r="I562" i="6"/>
  <c r="I545" i="6"/>
  <c r="I529" i="6"/>
  <c r="I513" i="6"/>
  <c r="I496" i="6"/>
  <c r="I480" i="6"/>
  <c r="I464" i="6"/>
  <c r="I453" i="6"/>
  <c r="I446" i="6"/>
  <c r="I439" i="6"/>
  <c r="I432" i="6"/>
  <c r="I425" i="6"/>
  <c r="I418" i="6"/>
  <c r="I411" i="6"/>
  <c r="I404" i="6"/>
  <c r="I397" i="6"/>
  <c r="I1634" i="6"/>
  <c r="I1592" i="6"/>
  <c r="I1384" i="6"/>
  <c r="I1261" i="6"/>
  <c r="I1221" i="6"/>
  <c r="I1132" i="6"/>
  <c r="I1125" i="6"/>
  <c r="I1118" i="6"/>
  <c r="I957" i="6"/>
  <c r="I950" i="6"/>
  <c r="I897" i="6"/>
  <c r="I885" i="6"/>
  <c r="I876" i="6"/>
  <c r="I864" i="6"/>
  <c r="I843" i="6"/>
  <c r="I828" i="6"/>
  <c r="I823" i="6"/>
  <c r="I806" i="6"/>
  <c r="I801" i="6"/>
  <c r="I796" i="6"/>
  <c r="I779" i="6"/>
  <c r="I774" i="6"/>
  <c r="I757" i="6"/>
  <c r="I752" i="6"/>
  <c r="I747" i="6"/>
  <c r="I730" i="6"/>
  <c r="I725" i="6"/>
  <c r="I708" i="6"/>
  <c r="I703" i="6"/>
  <c r="I698" i="6"/>
  <c r="I675" i="6"/>
  <c r="I659" i="6"/>
  <c r="I658" i="6"/>
  <c r="I642" i="6"/>
  <c r="I626" i="6"/>
  <c r="I610" i="6"/>
  <c r="I609" i="6"/>
  <c r="I593" i="6"/>
  <c r="I577" i="6"/>
  <c r="I561" i="6"/>
  <c r="I560" i="6"/>
  <c r="I544" i="6"/>
  <c r="I528" i="6"/>
  <c r="I512" i="6"/>
  <c r="I511" i="6"/>
  <c r="I1929" i="6"/>
  <c r="I1766" i="6"/>
  <c r="I1513" i="6"/>
  <c r="I1484" i="6"/>
  <c r="I1394" i="6"/>
  <c r="I1349" i="6"/>
  <c r="I1322" i="6"/>
  <c r="I1291" i="6"/>
  <c r="I1287" i="6"/>
  <c r="I1271" i="6"/>
  <c r="I1241" i="6"/>
  <c r="I1185" i="6"/>
  <c r="I1178" i="6"/>
  <c r="I1137" i="6"/>
  <c r="I1130" i="6"/>
  <c r="I1123" i="6"/>
  <c r="I1082" i="6"/>
  <c r="I1075" i="6"/>
  <c r="I1065" i="6"/>
  <c r="I1058" i="6"/>
  <c r="I1017" i="6"/>
  <c r="I1010" i="6"/>
  <c r="I1003" i="6"/>
  <c r="I962" i="6"/>
  <c r="I955" i="6"/>
  <c r="I914" i="6"/>
  <c r="I893" i="6"/>
  <c r="I852" i="6"/>
  <c r="I674" i="6"/>
  <c r="I657" i="6"/>
  <c r="I641" i="6"/>
  <c r="I625" i="6"/>
  <c r="I608" i="6"/>
  <c r="I592" i="6"/>
  <c r="I576" i="6"/>
  <c r="I559" i="6"/>
  <c r="I543" i="6"/>
  <c r="I527" i="6"/>
  <c r="I510" i="6"/>
  <c r="I1553" i="6"/>
  <c r="I1532" i="6"/>
  <c r="I1475" i="6"/>
  <c r="I1387" i="6"/>
  <c r="I1355" i="6"/>
  <c r="I1281" i="6"/>
  <c r="I1275" i="6"/>
  <c r="I1269" i="6"/>
  <c r="I1263" i="6"/>
  <c r="I1259" i="6"/>
  <c r="I1235" i="6"/>
  <c r="I1231" i="6"/>
  <c r="I1225" i="6"/>
  <c r="I1202" i="6"/>
  <c r="I1195" i="6"/>
  <c r="I1034" i="6"/>
  <c r="I1027" i="6"/>
  <c r="I1020" i="6"/>
  <c r="I902" i="6"/>
  <c r="I881" i="6"/>
  <c r="I869" i="6"/>
  <c r="I860" i="6"/>
  <c r="I848" i="6"/>
  <c r="I834" i="6"/>
  <c r="I829" i="6"/>
  <c r="I824" i="6"/>
  <c r="I807" i="6"/>
  <c r="I802" i="6"/>
  <c r="I785" i="6"/>
  <c r="I780" i="6"/>
  <c r="I775" i="6"/>
  <c r="I758" i="6"/>
  <c r="I753" i="6"/>
  <c r="I736" i="6"/>
  <c r="I731" i="6"/>
  <c r="I726" i="6"/>
  <c r="I709" i="6"/>
  <c r="I704" i="6"/>
  <c r="I687" i="6"/>
  <c r="I673" i="6"/>
  <c r="I672" i="6"/>
  <c r="I656" i="6"/>
  <c r="I640" i="6"/>
  <c r="I624" i="6"/>
  <c r="I623" i="6"/>
  <c r="I607" i="6"/>
  <c r="I591" i="6"/>
  <c r="I575" i="6"/>
  <c r="I574" i="6"/>
  <c r="I558" i="6"/>
  <c r="I542" i="6"/>
  <c r="I526" i="6"/>
  <c r="I525" i="6"/>
  <c r="I509" i="6"/>
  <c r="I1701" i="6"/>
  <c r="I1334" i="6"/>
  <c r="I1104" i="6"/>
  <c r="I1097" i="6"/>
  <c r="I936" i="6"/>
  <c r="I929" i="6"/>
  <c r="I922" i="6"/>
  <c r="I853" i="6"/>
  <c r="I835" i="6"/>
  <c r="I830" i="6"/>
  <c r="I813" i="6"/>
  <c r="I808" i="6"/>
  <c r="I803" i="6"/>
  <c r="I786" i="6"/>
  <c r="I781" i="6"/>
  <c r="I764" i="6"/>
  <c r="I759" i="6"/>
  <c r="I754" i="6"/>
  <c r="I737" i="6"/>
  <c r="I732" i="6"/>
  <c r="I715" i="6"/>
  <c r="I710" i="6"/>
  <c r="I705" i="6"/>
  <c r="I688" i="6"/>
  <c r="I670" i="6"/>
  <c r="I654" i="6"/>
  <c r="I638" i="6"/>
  <c r="I637" i="6"/>
  <c r="I621" i="6"/>
  <c r="I605" i="6"/>
  <c r="I589" i="6"/>
  <c r="I588" i="6"/>
  <c r="I572" i="6"/>
  <c r="I556" i="6"/>
  <c r="I540" i="6"/>
  <c r="I539" i="6"/>
  <c r="I523" i="6"/>
  <c r="I507" i="6"/>
  <c r="I491" i="6"/>
  <c r="I490" i="6"/>
  <c r="I474" i="6"/>
  <c r="I458" i="6"/>
  <c r="I1948" i="6"/>
  <c r="I1730" i="6"/>
  <c r="I1440" i="6"/>
  <c r="I1336" i="6"/>
  <c r="I1309" i="6"/>
  <c r="I1266" i="6"/>
  <c r="I1206" i="6"/>
  <c r="I1179" i="6"/>
  <c r="I1158" i="6"/>
  <c r="I1131" i="6"/>
  <c r="I1110" i="6"/>
  <c r="I1107" i="6"/>
  <c r="I1086" i="6"/>
  <c r="I1059" i="6"/>
  <c r="I1038" i="6"/>
  <c r="I1011" i="6"/>
  <c r="I990" i="6"/>
  <c r="I971" i="6"/>
  <c r="I963" i="6"/>
  <c r="I939" i="6"/>
  <c r="I918" i="6"/>
  <c r="I903" i="6"/>
  <c r="I899" i="6"/>
  <c r="I846" i="6"/>
  <c r="I809" i="6"/>
  <c r="I794" i="6"/>
  <c r="I792" i="6"/>
  <c r="I691" i="6"/>
  <c r="I689" i="6"/>
  <c r="I682" i="6"/>
  <c r="I663" i="6"/>
  <c r="I644" i="6"/>
  <c r="I635" i="6"/>
  <c r="I616" i="6"/>
  <c r="I534" i="6"/>
  <c r="I515" i="6"/>
  <c r="I500" i="6"/>
  <c r="I478" i="6"/>
  <c r="I467" i="6"/>
  <c r="I452" i="6"/>
  <c r="I451" i="6"/>
  <c r="I403" i="6"/>
  <c r="I402" i="6"/>
  <c r="I391" i="6"/>
  <c r="I384" i="6"/>
  <c r="I377" i="6"/>
  <c r="I370" i="6"/>
  <c r="I363" i="6"/>
  <c r="I356" i="6"/>
  <c r="I349" i="6"/>
  <c r="I342" i="6"/>
  <c r="I335" i="6"/>
  <c r="I328" i="6"/>
  <c r="I321" i="6"/>
  <c r="I314" i="6"/>
  <c r="I307" i="6"/>
  <c r="I300" i="6"/>
  <c r="I293" i="6"/>
  <c r="I286" i="6"/>
  <c r="I279" i="6"/>
  <c r="I272" i="6"/>
  <c r="I265" i="6"/>
  <c r="I258" i="6"/>
  <c r="I251" i="6"/>
  <c r="I244" i="6"/>
  <c r="I237" i="6"/>
  <c r="I230" i="6"/>
  <c r="I223" i="6"/>
  <c r="I216" i="6"/>
  <c r="I209" i="6"/>
  <c r="I202" i="6"/>
  <c r="I195" i="6"/>
  <c r="I188" i="6"/>
  <c r="I181" i="6"/>
  <c r="I174" i="6"/>
  <c r="I167" i="6"/>
  <c r="I160" i="6"/>
  <c r="I153" i="6"/>
  <c r="I146" i="6"/>
  <c r="I139" i="6"/>
  <c r="I132" i="6"/>
  <c r="I125" i="6"/>
  <c r="I118" i="6"/>
  <c r="I111" i="6"/>
  <c r="I104" i="6"/>
  <c r="I97" i="6"/>
  <c r="I90" i="6"/>
  <c r="I83" i="6"/>
  <c r="I76" i="6"/>
  <c r="I69" i="6"/>
  <c r="I62" i="6"/>
  <c r="I55" i="6"/>
  <c r="I48" i="6"/>
  <c r="I41" i="6"/>
  <c r="I34" i="6"/>
  <c r="I27" i="6"/>
  <c r="I20" i="6"/>
  <c r="I13" i="6"/>
  <c r="I6" i="6"/>
  <c r="I1425" i="6"/>
  <c r="I1419" i="6"/>
  <c r="I1331" i="6"/>
  <c r="I1294" i="6"/>
  <c r="I1284" i="6"/>
  <c r="I1278" i="6"/>
  <c r="I1228" i="6"/>
  <c r="I1222" i="6"/>
  <c r="I1200" i="6"/>
  <c r="I1152" i="6"/>
  <c r="I1128" i="6"/>
  <c r="I1083" i="6"/>
  <c r="I1080" i="6"/>
  <c r="I1032" i="6"/>
  <c r="I984" i="6"/>
  <c r="I960" i="6"/>
  <c r="I912" i="6"/>
  <c r="I895" i="6"/>
  <c r="I870" i="6"/>
  <c r="I788" i="6"/>
  <c r="I773" i="6"/>
  <c r="I771" i="6"/>
  <c r="I679" i="6"/>
  <c r="I651" i="6"/>
  <c r="I597" i="6"/>
  <c r="I569" i="6"/>
  <c r="I550" i="6"/>
  <c r="I531" i="6"/>
  <c r="I522" i="6"/>
  <c r="I506" i="6"/>
  <c r="I479" i="6"/>
  <c r="I468" i="6"/>
  <c r="I457" i="6"/>
  <c r="I456" i="6"/>
  <c r="I455" i="6"/>
  <c r="I454" i="6"/>
  <c r="I408" i="6"/>
  <c r="I407" i="6"/>
  <c r="I406" i="6"/>
  <c r="I405" i="6"/>
  <c r="I1941" i="6"/>
  <c r="I1683" i="6"/>
  <c r="I1316" i="6"/>
  <c r="I1262" i="6"/>
  <c r="I1234" i="6"/>
  <c r="I1096" i="6"/>
  <c r="I976" i="6"/>
  <c r="I949" i="6"/>
  <c r="I928" i="6"/>
  <c r="I866" i="6"/>
  <c r="I862" i="6"/>
  <c r="I782" i="6"/>
  <c r="I767" i="6"/>
  <c r="I765" i="6"/>
  <c r="I750" i="6"/>
  <c r="I632" i="6"/>
  <c r="I613" i="6"/>
  <c r="I604" i="6"/>
  <c r="I585" i="6"/>
  <c r="I566" i="6"/>
  <c r="I541" i="6"/>
  <c r="I538" i="6"/>
  <c r="I501" i="6"/>
  <c r="I469" i="6"/>
  <c r="I410" i="6"/>
  <c r="I409" i="6"/>
  <c r="I390" i="6"/>
  <c r="I383" i="6"/>
  <c r="I376" i="6"/>
  <c r="I369" i="6"/>
  <c r="I362" i="6"/>
  <c r="I355" i="6"/>
  <c r="I348" i="6"/>
  <c r="I341" i="6"/>
  <c r="I334" i="6"/>
  <c r="I327" i="6"/>
  <c r="I320" i="6"/>
  <c r="I313" i="6"/>
  <c r="I306" i="6"/>
  <c r="I299" i="6"/>
  <c r="I292" i="6"/>
  <c r="I285" i="6"/>
  <c r="I278" i="6"/>
  <c r="I271" i="6"/>
  <c r="I264" i="6"/>
  <c r="I257" i="6"/>
  <c r="I250" i="6"/>
  <c r="I243" i="6"/>
  <c r="I236" i="6"/>
  <c r="I229" i="6"/>
  <c r="I222" i="6"/>
  <c r="I215" i="6"/>
  <c r="I208" i="6"/>
  <c r="I201" i="6"/>
  <c r="I194" i="6"/>
  <c r="I187" i="6"/>
  <c r="I180" i="6"/>
  <c r="I173" i="6"/>
  <c r="I166" i="6"/>
  <c r="I159" i="6"/>
  <c r="I152" i="6"/>
  <c r="I145" i="6"/>
  <c r="I138" i="6"/>
  <c r="I131" i="6"/>
  <c r="I124" i="6"/>
  <c r="I117" i="6"/>
  <c r="I110" i="6"/>
  <c r="I103" i="6"/>
  <c r="I96" i="6"/>
  <c r="I89" i="6"/>
  <c r="I82" i="6"/>
  <c r="I75" i="6"/>
  <c r="I68" i="6"/>
  <c r="I61" i="6"/>
  <c r="I54" i="6"/>
  <c r="I47" i="6"/>
  <c r="I40" i="6"/>
  <c r="I33" i="6"/>
  <c r="I26" i="6"/>
  <c r="I19" i="6"/>
  <c r="I12" i="6"/>
  <c r="I5" i="6"/>
  <c r="I1997" i="6"/>
  <c r="I1925" i="6"/>
  <c r="I1614" i="6"/>
  <c r="I1492" i="6"/>
  <c r="I1439" i="6"/>
  <c r="I1268" i="6"/>
  <c r="I1216" i="6"/>
  <c r="I1208" i="6"/>
  <c r="I1205" i="6"/>
  <c r="I1184" i="6"/>
  <c r="I1157" i="6"/>
  <c r="I1136" i="6"/>
  <c r="I1109" i="6"/>
  <c r="I1088" i="6"/>
  <c r="I1069" i="6"/>
  <c r="I1061" i="6"/>
  <c r="I1048" i="6"/>
  <c r="I1037" i="6"/>
  <c r="I1016" i="6"/>
  <c r="I989" i="6"/>
  <c r="I968" i="6"/>
  <c r="I941" i="6"/>
  <c r="I761" i="6"/>
  <c r="I746" i="6"/>
  <c r="I744" i="6"/>
  <c r="I729" i="6"/>
  <c r="I667" i="6"/>
  <c r="I648" i="6"/>
  <c r="I629" i="6"/>
  <c r="I620" i="6"/>
  <c r="I601" i="6"/>
  <c r="I557" i="6"/>
  <c r="I547" i="6"/>
  <c r="I519" i="6"/>
  <c r="I415" i="6"/>
  <c r="I414" i="6"/>
  <c r="I413" i="6"/>
  <c r="I412" i="6"/>
  <c r="I2074" i="6"/>
  <c r="I1612" i="6"/>
  <c r="I1453" i="6"/>
  <c r="I1323" i="6"/>
  <c r="I1224" i="6"/>
  <c r="I1194" i="6"/>
  <c r="I1074" i="6"/>
  <c r="I1047" i="6"/>
  <c r="I1026" i="6"/>
  <c r="I954" i="6"/>
  <c r="I927" i="6"/>
  <c r="I849" i="6"/>
  <c r="I837" i="6"/>
  <c r="I822" i="6"/>
  <c r="I820" i="6"/>
  <c r="I719" i="6"/>
  <c r="I717" i="6"/>
  <c r="I702" i="6"/>
  <c r="I655" i="6"/>
  <c r="I645" i="6"/>
  <c r="I617" i="6"/>
  <c r="I598" i="6"/>
  <c r="I579" i="6"/>
  <c r="I570" i="6"/>
  <c r="I551" i="6"/>
  <c r="I532" i="6"/>
  <c r="I493" i="6"/>
  <c r="I482" i="6"/>
  <c r="I471" i="6"/>
  <c r="I460" i="6"/>
  <c r="I422" i="6"/>
  <c r="I421" i="6"/>
  <c r="I420" i="6"/>
  <c r="I419" i="6"/>
  <c r="I1747" i="6"/>
  <c r="I1392" i="6"/>
  <c r="I1366" i="6"/>
  <c r="I1311" i="6"/>
  <c r="I1264" i="6"/>
  <c r="I1213" i="6"/>
  <c r="I1186" i="6"/>
  <c r="I1167" i="6"/>
  <c r="I1146" i="6"/>
  <c r="I1114" i="6"/>
  <c r="I1093" i="6"/>
  <c r="I1066" i="6"/>
  <c r="I999" i="6"/>
  <c r="I978" i="6"/>
  <c r="I946" i="6"/>
  <c r="I884" i="6"/>
  <c r="I845" i="6"/>
  <c r="I831" i="6"/>
  <c r="I816" i="6"/>
  <c r="I814" i="6"/>
  <c r="I799" i="6"/>
  <c r="I711" i="6"/>
  <c r="I9" i="6"/>
  <c r="A11" i="6"/>
  <c r="G17" i="6"/>
  <c r="H21" i="6"/>
  <c r="G29" i="6"/>
  <c r="J30" i="6"/>
  <c r="B32" i="6"/>
  <c r="I38" i="6"/>
  <c r="A40" i="6"/>
  <c r="J42" i="6"/>
  <c r="I46" i="6"/>
  <c r="I50" i="6"/>
  <c r="A57" i="6"/>
  <c r="H58" i="6"/>
  <c r="J62" i="6"/>
  <c r="G66" i="6"/>
  <c r="B69" i="6"/>
  <c r="H70" i="6"/>
  <c r="K71" i="6"/>
  <c r="G78" i="6"/>
  <c r="J79" i="6"/>
  <c r="B81" i="6"/>
  <c r="I87" i="6"/>
  <c r="A89" i="6"/>
  <c r="J91" i="6"/>
  <c r="I95" i="6"/>
  <c r="I99" i="6"/>
  <c r="A106" i="6"/>
  <c r="H107" i="6"/>
  <c r="J111" i="6"/>
  <c r="G115" i="6"/>
  <c r="B118" i="6"/>
  <c r="I119" i="6"/>
  <c r="G123" i="6"/>
  <c r="I127" i="6"/>
  <c r="I135" i="6"/>
  <c r="A137" i="6"/>
  <c r="I143" i="6"/>
  <c r="A145" i="6"/>
  <c r="K147" i="6"/>
  <c r="A153" i="6"/>
  <c r="H154" i="6"/>
  <c r="K155" i="6"/>
  <c r="A161" i="6"/>
  <c r="H162" i="6"/>
  <c r="K163" i="6"/>
  <c r="G166" i="6"/>
  <c r="A169" i="6"/>
  <c r="H170" i="6"/>
  <c r="K174" i="6"/>
  <c r="H178" i="6"/>
  <c r="C181" i="6"/>
  <c r="J182" i="6"/>
  <c r="I186" i="6"/>
  <c r="J190" i="6"/>
  <c r="B192" i="6"/>
  <c r="G197" i="6"/>
  <c r="J198" i="6"/>
  <c r="B200" i="6"/>
  <c r="G205" i="6"/>
  <c r="K206" i="6"/>
  <c r="B208" i="6"/>
  <c r="J209" i="6"/>
  <c r="G213" i="6"/>
  <c r="B216" i="6"/>
  <c r="I217" i="6"/>
  <c r="G221" i="6"/>
  <c r="C224" i="6"/>
  <c r="I225" i="6"/>
  <c r="I233" i="6"/>
  <c r="A235" i="6"/>
  <c r="I241" i="6"/>
  <c r="A243" i="6"/>
  <c r="K245" i="6"/>
  <c r="A251" i="6"/>
  <c r="H252" i="6"/>
  <c r="K253" i="6"/>
  <c r="C255" i="6"/>
  <c r="A259" i="6"/>
  <c r="H260" i="6"/>
  <c r="K261" i="6"/>
  <c r="C263" i="6"/>
  <c r="G264" i="6"/>
  <c r="A267" i="6"/>
  <c r="H268" i="6"/>
  <c r="C271" i="6"/>
  <c r="K272" i="6"/>
  <c r="H276" i="6"/>
  <c r="C279" i="6"/>
  <c r="J280" i="6"/>
  <c r="I284" i="6"/>
  <c r="J288" i="6"/>
  <c r="B290" i="6"/>
  <c r="G295" i="6"/>
  <c r="J296" i="6"/>
  <c r="B298" i="6"/>
  <c r="G303" i="6"/>
  <c r="K304" i="6"/>
  <c r="B306" i="6"/>
  <c r="J307" i="6"/>
  <c r="G311" i="6"/>
  <c r="B314" i="6"/>
  <c r="I315" i="6"/>
  <c r="G319" i="6"/>
  <c r="C322" i="6"/>
  <c r="I323" i="6"/>
  <c r="I331" i="6"/>
  <c r="A333" i="6"/>
  <c r="I339" i="6"/>
  <c r="A341" i="6"/>
  <c r="G346" i="6"/>
  <c r="B349" i="6"/>
  <c r="J350" i="6"/>
  <c r="I354" i="6"/>
  <c r="H357" i="6"/>
  <c r="K358" i="6"/>
  <c r="C360" i="6"/>
  <c r="A364" i="6"/>
  <c r="I365" i="6"/>
  <c r="G372" i="6"/>
  <c r="J373" i="6"/>
  <c r="B375" i="6"/>
  <c r="A379" i="6"/>
  <c r="H380" i="6"/>
  <c r="C383" i="6"/>
  <c r="K384" i="6"/>
  <c r="I388" i="6"/>
  <c r="A390" i="6"/>
  <c r="G394" i="6"/>
  <c r="J397" i="6"/>
  <c r="K400" i="6"/>
  <c r="B402" i="6"/>
  <c r="B410" i="6"/>
  <c r="B418" i="6"/>
  <c r="J419" i="6"/>
  <c r="A423" i="6"/>
  <c r="G424" i="6"/>
  <c r="C426" i="6"/>
  <c r="I427" i="6"/>
  <c r="K430" i="6"/>
  <c r="G432" i="6"/>
  <c r="I435" i="6"/>
  <c r="H440" i="6"/>
  <c r="I443" i="6"/>
  <c r="C448" i="6"/>
  <c r="J451" i="6"/>
  <c r="B456" i="6"/>
  <c r="K464" i="6"/>
  <c r="I466" i="6"/>
  <c r="A468" i="6"/>
  <c r="G471" i="6"/>
  <c r="K476" i="6"/>
  <c r="C478" i="6"/>
  <c r="G483" i="6"/>
  <c r="J488" i="6"/>
  <c r="C490" i="6"/>
  <c r="A492" i="6"/>
  <c r="J493" i="6"/>
  <c r="G495" i="6"/>
  <c r="K500" i="6"/>
  <c r="C506" i="6"/>
  <c r="G508" i="6"/>
  <c r="J515" i="6"/>
  <c r="I517" i="6"/>
  <c r="C520" i="6"/>
  <c r="C522" i="6"/>
  <c r="G524" i="6"/>
  <c r="G526" i="6"/>
  <c r="A531" i="6"/>
  <c r="J533" i="6"/>
  <c r="C538" i="6"/>
  <c r="G540" i="6"/>
  <c r="H542" i="6"/>
  <c r="A545" i="6"/>
  <c r="J549" i="6"/>
  <c r="J551" i="6"/>
  <c r="C554" i="6"/>
  <c r="H556" i="6"/>
  <c r="H558" i="6"/>
  <c r="A561" i="6"/>
  <c r="J565" i="6"/>
  <c r="I567" i="6"/>
  <c r="C570" i="6"/>
  <c r="H574" i="6"/>
  <c r="A577" i="6"/>
  <c r="A579" i="6"/>
  <c r="K581" i="6"/>
  <c r="J583" i="6"/>
  <c r="C588" i="6"/>
  <c r="I590" i="6"/>
  <c r="A595" i="6"/>
  <c r="K597" i="6"/>
  <c r="J599" i="6"/>
  <c r="C604" i="6"/>
  <c r="I606" i="6"/>
  <c r="A611" i="6"/>
  <c r="C613" i="6"/>
  <c r="J615" i="6"/>
  <c r="I622" i="6"/>
  <c r="A627" i="6"/>
  <c r="A629" i="6"/>
  <c r="K631" i="6"/>
  <c r="K633" i="6"/>
  <c r="J638" i="6"/>
  <c r="B643" i="6"/>
  <c r="A645" i="6"/>
  <c r="K647" i="6"/>
  <c r="J649" i="6"/>
  <c r="B659" i="6"/>
  <c r="A661" i="6"/>
  <c r="K663" i="6"/>
  <c r="K665" i="6"/>
  <c r="B677" i="6"/>
  <c r="K681" i="6"/>
  <c r="G711" i="6"/>
  <c r="I718" i="6"/>
  <c r="G745" i="6"/>
  <c r="C748" i="6"/>
  <c r="J751" i="6"/>
  <c r="C755" i="6"/>
  <c r="H758" i="6"/>
  <c r="A768" i="6"/>
  <c r="B771" i="6"/>
  <c r="H780" i="6"/>
  <c r="I793" i="6"/>
  <c r="B797" i="6"/>
  <c r="J800" i="6"/>
  <c r="K816" i="6"/>
  <c r="B820" i="6"/>
  <c r="K823" i="6"/>
  <c r="K833" i="6"/>
  <c r="B843" i="6"/>
  <c r="K850" i="6"/>
  <c r="I854" i="6"/>
  <c r="H861" i="6"/>
  <c r="C869" i="6"/>
  <c r="K879" i="6"/>
  <c r="H883" i="6"/>
  <c r="A890" i="6"/>
  <c r="K896" i="6"/>
  <c r="H900" i="6"/>
  <c r="C908" i="6"/>
  <c r="J911" i="6"/>
  <c r="J916" i="6"/>
  <c r="K925" i="6"/>
  <c r="G930" i="6"/>
  <c r="K934" i="6"/>
  <c r="K939" i="6"/>
  <c r="G948" i="6"/>
  <c r="C953" i="6"/>
  <c r="C958" i="6"/>
  <c r="C967" i="6"/>
  <c r="B972" i="6"/>
  <c r="B976" i="6"/>
  <c r="J990" i="6"/>
  <c r="A1008" i="6"/>
  <c r="J1021" i="6"/>
  <c r="I1044" i="6"/>
  <c r="G1049" i="6"/>
  <c r="G1054" i="6"/>
  <c r="A1058" i="6"/>
  <c r="A1063" i="6"/>
  <c r="B1068" i="6"/>
  <c r="K1071" i="6"/>
  <c r="I1076" i="6"/>
  <c r="I1081" i="6"/>
  <c r="J1086" i="6"/>
  <c r="A1100" i="6"/>
  <c r="A1104" i="6"/>
  <c r="G1117" i="6"/>
  <c r="G1172" i="6"/>
  <c r="H1177" i="6"/>
  <c r="I1181" i="6"/>
  <c r="B1186" i="6"/>
  <c r="K1213" i="6"/>
  <c r="J1218" i="6"/>
  <c r="C1223" i="6"/>
  <c r="A1233" i="6"/>
  <c r="A1245" i="6"/>
  <c r="J1266" i="6"/>
  <c r="J1276" i="6"/>
  <c r="G1282" i="6"/>
  <c r="I1304" i="6"/>
  <c r="G1311" i="6"/>
  <c r="H1318" i="6"/>
  <c r="H1338" i="6"/>
  <c r="C1361" i="6"/>
  <c r="B1379" i="6"/>
  <c r="C1407" i="6"/>
  <c r="H1420" i="6"/>
  <c r="J1516" i="6"/>
  <c r="I1606" i="6"/>
  <c r="C1820" i="6"/>
  <c r="A1886" i="6"/>
  <c r="H2144" i="6"/>
  <c r="G71" i="6"/>
  <c r="G124" i="6"/>
  <c r="G155" i="6"/>
  <c r="G269" i="6"/>
  <c r="G320" i="6"/>
  <c r="G474" i="6"/>
  <c r="G159" i="6"/>
  <c r="G4" i="6"/>
  <c r="G8" i="6"/>
  <c r="H17" i="6"/>
  <c r="G25" i="6"/>
  <c r="H29" i="6"/>
  <c r="G33" i="6"/>
  <c r="G37" i="6"/>
  <c r="A48" i="6"/>
  <c r="I58" i="6"/>
  <c r="A60" i="6"/>
  <c r="H66" i="6"/>
  <c r="I70" i="6"/>
  <c r="G74" i="6"/>
  <c r="A77" i="6"/>
  <c r="H78" i="6"/>
  <c r="G82" i="6"/>
  <c r="G86" i="6"/>
  <c r="A97" i="6"/>
  <c r="I107" i="6"/>
  <c r="A109" i="6"/>
  <c r="H115" i="6"/>
  <c r="J119" i="6"/>
  <c r="I123" i="6"/>
  <c r="J127" i="6"/>
  <c r="B129" i="6"/>
  <c r="G134" i="6"/>
  <c r="J135" i="6"/>
  <c r="B137" i="6"/>
  <c r="G142" i="6"/>
  <c r="K143" i="6"/>
  <c r="B145" i="6"/>
  <c r="J146" i="6"/>
  <c r="G150" i="6"/>
  <c r="B153" i="6"/>
  <c r="I154" i="6"/>
  <c r="G158" i="6"/>
  <c r="I162" i="6"/>
  <c r="I170" i="6"/>
  <c r="A172" i="6"/>
  <c r="I178" i="6"/>
  <c r="A180" i="6"/>
  <c r="K182" i="6"/>
  <c r="A188" i="6"/>
  <c r="H189" i="6"/>
  <c r="K190" i="6"/>
  <c r="A196" i="6"/>
  <c r="H197" i="6"/>
  <c r="K198" i="6"/>
  <c r="G201" i="6"/>
  <c r="A204" i="6"/>
  <c r="H205" i="6"/>
  <c r="K209" i="6"/>
  <c r="H213" i="6"/>
  <c r="J217" i="6"/>
  <c r="I221" i="6"/>
  <c r="J225" i="6"/>
  <c r="B227" i="6"/>
  <c r="G232" i="6"/>
  <c r="J233" i="6"/>
  <c r="B235" i="6"/>
  <c r="G240" i="6"/>
  <c r="K241" i="6"/>
  <c r="B243" i="6"/>
  <c r="J244" i="6"/>
  <c r="G248" i="6"/>
  <c r="B251" i="6"/>
  <c r="I252" i="6"/>
  <c r="G256" i="6"/>
  <c r="I260" i="6"/>
  <c r="I268" i="6"/>
  <c r="A270" i="6"/>
  <c r="I276" i="6"/>
  <c r="A278" i="6"/>
  <c r="K280" i="6"/>
  <c r="A286" i="6"/>
  <c r="H287" i="6"/>
  <c r="K288" i="6"/>
  <c r="C290" i="6"/>
  <c r="A294" i="6"/>
  <c r="H295" i="6"/>
  <c r="K296" i="6"/>
  <c r="C298" i="6"/>
  <c r="G299" i="6"/>
  <c r="A302" i="6"/>
  <c r="H303" i="6"/>
  <c r="C306" i="6"/>
  <c r="K307" i="6"/>
  <c r="H311" i="6"/>
  <c r="C314" i="6"/>
  <c r="J315" i="6"/>
  <c r="I319" i="6"/>
  <c r="J323" i="6"/>
  <c r="B325" i="6"/>
  <c r="G330" i="6"/>
  <c r="J331" i="6"/>
  <c r="B333" i="6"/>
  <c r="G338" i="6"/>
  <c r="K339" i="6"/>
  <c r="B341" i="6"/>
  <c r="J342" i="6"/>
  <c r="H346" i="6"/>
  <c r="C349" i="6"/>
  <c r="K350" i="6"/>
  <c r="L350" i="6" s="1"/>
  <c r="A356" i="6"/>
  <c r="I357" i="6"/>
  <c r="G361" i="6"/>
  <c r="C364" i="6"/>
  <c r="J365" i="6"/>
  <c r="B367" i="6"/>
  <c r="H372" i="6"/>
  <c r="K373" i="6"/>
  <c r="C375" i="6"/>
  <c r="G376" i="6"/>
  <c r="I380" i="6"/>
  <c r="A382" i="6"/>
  <c r="G387" i="6"/>
  <c r="K388" i="6"/>
  <c r="B390" i="6"/>
  <c r="J391" i="6"/>
  <c r="H394" i="6"/>
  <c r="K397" i="6"/>
  <c r="A399" i="6"/>
  <c r="K405" i="6"/>
  <c r="A407" i="6"/>
  <c r="C410" i="6"/>
  <c r="B415" i="6"/>
  <c r="I416" i="6"/>
  <c r="C418" i="6"/>
  <c r="B423" i="6"/>
  <c r="H424" i="6"/>
  <c r="J427" i="6"/>
  <c r="H432" i="6"/>
  <c r="J435" i="6"/>
  <c r="I440" i="6"/>
  <c r="K443" i="6"/>
  <c r="B445" i="6"/>
  <c r="I448" i="6"/>
  <c r="K451" i="6"/>
  <c r="A453" i="6"/>
  <c r="I459" i="6"/>
  <c r="C463" i="6"/>
  <c r="J466" i="6"/>
  <c r="B468" i="6"/>
  <c r="H471" i="6"/>
  <c r="J478" i="6"/>
  <c r="A480" i="6"/>
  <c r="H483" i="6"/>
  <c r="G485" i="6"/>
  <c r="B492" i="6"/>
  <c r="H495" i="6"/>
  <c r="G502" i="6"/>
  <c r="G504" i="6"/>
  <c r="I508" i="6"/>
  <c r="B511" i="6"/>
  <c r="A513" i="6"/>
  <c r="K515" i="6"/>
  <c r="J517" i="6"/>
  <c r="I524" i="6"/>
  <c r="A529" i="6"/>
  <c r="K531" i="6"/>
  <c r="K533" i="6"/>
  <c r="J540" i="6"/>
  <c r="B545" i="6"/>
  <c r="C547" i="6"/>
  <c r="K549" i="6"/>
  <c r="J556" i="6"/>
  <c r="B561" i="6"/>
  <c r="A563" i="6"/>
  <c r="K565" i="6"/>
  <c r="J572" i="6"/>
  <c r="B577" i="6"/>
  <c r="B579" i="6"/>
  <c r="K583" i="6"/>
  <c r="C593" i="6"/>
  <c r="B595" i="6"/>
  <c r="K599" i="6"/>
  <c r="B611" i="6"/>
  <c r="K615" i="6"/>
  <c r="C627" i="6"/>
  <c r="H629" i="6"/>
  <c r="C643" i="6"/>
  <c r="C645" i="6"/>
  <c r="C659" i="6"/>
  <c r="C661" i="6"/>
  <c r="C675" i="6"/>
  <c r="H711" i="6"/>
  <c r="A715" i="6"/>
  <c r="J718" i="6"/>
  <c r="C722" i="6"/>
  <c r="C732" i="6"/>
  <c r="H745" i="6"/>
  <c r="A749" i="6"/>
  <c r="K751" i="6"/>
  <c r="J764" i="6"/>
  <c r="B768" i="6"/>
  <c r="K771" i="6"/>
  <c r="G787" i="6"/>
  <c r="C797" i="6"/>
  <c r="K800" i="6"/>
  <c r="G810" i="6"/>
  <c r="I817" i="6"/>
  <c r="C820" i="6"/>
  <c r="I827" i="6"/>
  <c r="J830" i="6"/>
  <c r="G840" i="6"/>
  <c r="C858" i="6"/>
  <c r="I861" i="6"/>
  <c r="I883" i="6"/>
  <c r="C890" i="6"/>
  <c r="I900" i="6"/>
  <c r="G904" i="6"/>
  <c r="A922" i="6"/>
  <c r="J930" i="6"/>
  <c r="H935" i="6"/>
  <c r="C972" i="6"/>
  <c r="K990" i="6"/>
  <c r="K994" i="6"/>
  <c r="A1013" i="6"/>
  <c r="H1022" i="6"/>
  <c r="G1026" i="6"/>
  <c r="H1031" i="6"/>
  <c r="A1036" i="6"/>
  <c r="A1041" i="6"/>
  <c r="K1044" i="6"/>
  <c r="J1049" i="6"/>
  <c r="H1054" i="6"/>
  <c r="B1063" i="6"/>
  <c r="C1068" i="6"/>
  <c r="J1081" i="6"/>
  <c r="K1086" i="6"/>
  <c r="C1100" i="6"/>
  <c r="C1105" i="6"/>
  <c r="G1122" i="6"/>
  <c r="A1132" i="6"/>
  <c r="H1136" i="6"/>
  <c r="G1150" i="6"/>
  <c r="A1154" i="6"/>
  <c r="G1167" i="6"/>
  <c r="H1172" i="6"/>
  <c r="I1177" i="6"/>
  <c r="H1186" i="6"/>
  <c r="H1191" i="6"/>
  <c r="P1204" i="6"/>
  <c r="A1210" i="6"/>
  <c r="K1218" i="6"/>
  <c r="I1239" i="6"/>
  <c r="B1245" i="6"/>
  <c r="A1251" i="6"/>
  <c r="B1261" i="6"/>
  <c r="K1266" i="6"/>
  <c r="K1276" i="6"/>
  <c r="I1282" i="6"/>
  <c r="H1311" i="6"/>
  <c r="I1318" i="6"/>
  <c r="G1325" i="6"/>
  <c r="I1338" i="6"/>
  <c r="A1370" i="6"/>
  <c r="I1420" i="6"/>
  <c r="C1491" i="6"/>
  <c r="A1549" i="6"/>
  <c r="A1728" i="6"/>
  <c r="K1894" i="6"/>
  <c r="C1994" i="6"/>
  <c r="G2494" i="6"/>
  <c r="G2487" i="6"/>
  <c r="G2480" i="6"/>
  <c r="G2473" i="6"/>
  <c r="G2466" i="6"/>
  <c r="G2459" i="6"/>
  <c r="G2452" i="6"/>
  <c r="G2445" i="6"/>
  <c r="G2438" i="6"/>
  <c r="G2431" i="6"/>
  <c r="G2499" i="6"/>
  <c r="G2492" i="6"/>
  <c r="G2485" i="6"/>
  <c r="G2478" i="6"/>
  <c r="G2471" i="6"/>
  <c r="G2464" i="6"/>
  <c r="G2457" i="6"/>
  <c r="G2450" i="6"/>
  <c r="G2443" i="6"/>
  <c r="G2436" i="6"/>
  <c r="G2429" i="6"/>
  <c r="G2498" i="6"/>
  <c r="G2491" i="6"/>
  <c r="G2484" i="6"/>
  <c r="G2477" i="6"/>
  <c r="G2470" i="6"/>
  <c r="G2463" i="6"/>
  <c r="G2456" i="6"/>
  <c r="G2496" i="6"/>
  <c r="G2476" i="6"/>
  <c r="G2441" i="6"/>
  <c r="G2421" i="6"/>
  <c r="G2414" i="6"/>
  <c r="G2407" i="6"/>
  <c r="G2400" i="6"/>
  <c r="G2479" i="6"/>
  <c r="G2482" i="6"/>
  <c r="G2461" i="6"/>
  <c r="G2447" i="6"/>
  <c r="G2442" i="6"/>
  <c r="G2420" i="6"/>
  <c r="G2413" i="6"/>
  <c r="G2406" i="6"/>
  <c r="G2455" i="6"/>
  <c r="G2444" i="6"/>
  <c r="G2410" i="6"/>
  <c r="G2399" i="6"/>
  <c r="G2392" i="6"/>
  <c r="G2385" i="6"/>
  <c r="G2475" i="6"/>
  <c r="G2469" i="6"/>
  <c r="G2465" i="6"/>
  <c r="G2460" i="6"/>
  <c r="G2458" i="6"/>
  <c r="G2433" i="6"/>
  <c r="G2412" i="6"/>
  <c r="G2401" i="6"/>
  <c r="G2398" i="6"/>
  <c r="G2391" i="6"/>
  <c r="G2384" i="6"/>
  <c r="G2500" i="6"/>
  <c r="G2453" i="6"/>
  <c r="G2402" i="6"/>
  <c r="G2467" i="6"/>
  <c r="G2439" i="6"/>
  <c r="G2428" i="6"/>
  <c r="G2422" i="6"/>
  <c r="G2403" i="6"/>
  <c r="G2397" i="6"/>
  <c r="G2495" i="6"/>
  <c r="G2440" i="6"/>
  <c r="G2411" i="6"/>
  <c r="G2408" i="6"/>
  <c r="G2395" i="6"/>
  <c r="G2389" i="6"/>
  <c r="G2380" i="6"/>
  <c r="G2373" i="6"/>
  <c r="G2366" i="6"/>
  <c r="G2390" i="6"/>
  <c r="G2497" i="6"/>
  <c r="G2486" i="6"/>
  <c r="G2481" i="6"/>
  <c r="G2462" i="6"/>
  <c r="G2448" i="6"/>
  <c r="G2437" i="6"/>
  <c r="G2417" i="6"/>
  <c r="G2396" i="6"/>
  <c r="G2379" i="6"/>
  <c r="G2372" i="6"/>
  <c r="G2365" i="6"/>
  <c r="G2489" i="6"/>
  <c r="G2423" i="6"/>
  <c r="G2446" i="6"/>
  <c r="G2394" i="6"/>
  <c r="G2367" i="6"/>
  <c r="G2449" i="6"/>
  <c r="G2425" i="6"/>
  <c r="G2356" i="6"/>
  <c r="G2349" i="6"/>
  <c r="G2405" i="6"/>
  <c r="G2368" i="6"/>
  <c r="G2472" i="6"/>
  <c r="G2418" i="6"/>
  <c r="G2416" i="6"/>
  <c r="G2355" i="6"/>
  <c r="G2348" i="6"/>
  <c r="G2341" i="6"/>
  <c r="G2334" i="6"/>
  <c r="G2327" i="6"/>
  <c r="G2320" i="6"/>
  <c r="G2313" i="6"/>
  <c r="G2306" i="6"/>
  <c r="G2299" i="6"/>
  <c r="G2292" i="6"/>
  <c r="G2285" i="6"/>
  <c r="G2278" i="6"/>
  <c r="G2271" i="6"/>
  <c r="G2488" i="6"/>
  <c r="G2427" i="6"/>
  <c r="G2359" i="6"/>
  <c r="G2354" i="6"/>
  <c r="G2339" i="6"/>
  <c r="G2309" i="6"/>
  <c r="G2290" i="6"/>
  <c r="G2265" i="6"/>
  <c r="G2258" i="6"/>
  <c r="G2251" i="6"/>
  <c r="G2244" i="6"/>
  <c r="G2237" i="6"/>
  <c r="G2435" i="6"/>
  <c r="G2426" i="6"/>
  <c r="G2378" i="6"/>
  <c r="G2371" i="6"/>
  <c r="G2340" i="6"/>
  <c r="G2329" i="6"/>
  <c r="G2310" i="6"/>
  <c r="G2300" i="6"/>
  <c r="G2291" i="6"/>
  <c r="G2280" i="6"/>
  <c r="G2364" i="6"/>
  <c r="G2360" i="6"/>
  <c r="G2330" i="6"/>
  <c r="G2311" i="6"/>
  <c r="G2281" i="6"/>
  <c r="G2264" i="6"/>
  <c r="G2257" i="6"/>
  <c r="G2250" i="6"/>
  <c r="G2243" i="6"/>
  <c r="G2236" i="6"/>
  <c r="G2382" i="6"/>
  <c r="G2353" i="6"/>
  <c r="G2344" i="6"/>
  <c r="G2337" i="6"/>
  <c r="G2254" i="6"/>
  <c r="G2235" i="6"/>
  <c r="G2375" i="6"/>
  <c r="G2362" i="6"/>
  <c r="G2321" i="6"/>
  <c r="G2314" i="6"/>
  <c r="G2307" i="6"/>
  <c r="G2304" i="6"/>
  <c r="G2297" i="6"/>
  <c r="G2256" i="6"/>
  <c r="G2245" i="6"/>
  <c r="G2377" i="6"/>
  <c r="G2284" i="6"/>
  <c r="G2277" i="6"/>
  <c r="G2270" i="6"/>
  <c r="G2246" i="6"/>
  <c r="G2225" i="6"/>
  <c r="G2218" i="6"/>
  <c r="G2211" i="6"/>
  <c r="G2204" i="6"/>
  <c r="G2490" i="6"/>
  <c r="G2483" i="6"/>
  <c r="G2451" i="6"/>
  <c r="G2409" i="6"/>
  <c r="G2351" i="6"/>
  <c r="G2345" i="6"/>
  <c r="G2338" i="6"/>
  <c r="G2301" i="6"/>
  <c r="G2294" i="6"/>
  <c r="G2287" i="6"/>
  <c r="G2266" i="6"/>
  <c r="G2247" i="6"/>
  <c r="G2296" i="6"/>
  <c r="G2288" i="6"/>
  <c r="G2272" i="6"/>
  <c r="G2249" i="6"/>
  <c r="G2221" i="6"/>
  <c r="G2202" i="6"/>
  <c r="G2388" i="6"/>
  <c r="G2263" i="6"/>
  <c r="G2238" i="6"/>
  <c r="G2223" i="6"/>
  <c r="G2374" i="6"/>
  <c r="G2335" i="6"/>
  <c r="G2333" i="6"/>
  <c r="G2325" i="6"/>
  <c r="G2241" i="6"/>
  <c r="G2224" i="6"/>
  <c r="G2213" i="6"/>
  <c r="G2194" i="6"/>
  <c r="G2187" i="6"/>
  <c r="G2180" i="6"/>
  <c r="G2173" i="6"/>
  <c r="G2166" i="6"/>
  <c r="G2159" i="6"/>
  <c r="G2404" i="6"/>
  <c r="G2387" i="6"/>
  <c r="G2383" i="6"/>
  <c r="G2358" i="6"/>
  <c r="G2347" i="6"/>
  <c r="G2343" i="6"/>
  <c r="G2331" i="6"/>
  <c r="G2305" i="6"/>
  <c r="G2255" i="6"/>
  <c r="G2252" i="6"/>
  <c r="G2214" i="6"/>
  <c r="G2419" i="6"/>
  <c r="G2317" i="6"/>
  <c r="G2303" i="6"/>
  <c r="G2203" i="6"/>
  <c r="G2200" i="6"/>
  <c r="G2434" i="6"/>
  <c r="G2363" i="6"/>
  <c r="G2328" i="6"/>
  <c r="G2275" i="6"/>
  <c r="G2206" i="6"/>
  <c r="G2197" i="6"/>
  <c r="G2192" i="6"/>
  <c r="G2175" i="6"/>
  <c r="G2170" i="6"/>
  <c r="G2165" i="6"/>
  <c r="G2155" i="6"/>
  <c r="G2148" i="6"/>
  <c r="G2141" i="6"/>
  <c r="G2134" i="6"/>
  <c r="G2127" i="6"/>
  <c r="G2120" i="6"/>
  <c r="G2113" i="6"/>
  <c r="G2106" i="6"/>
  <c r="G2099" i="6"/>
  <c r="G2092" i="6"/>
  <c r="G2085" i="6"/>
  <c r="G2078" i="6"/>
  <c r="G2071" i="6"/>
  <c r="G2064" i="6"/>
  <c r="G2057" i="6"/>
  <c r="G2050" i="6"/>
  <c r="G2043" i="6"/>
  <c r="G2036" i="6"/>
  <c r="G2029" i="6"/>
  <c r="G2022" i="6"/>
  <c r="G2015" i="6"/>
  <c r="G2008" i="6"/>
  <c r="G2001" i="6"/>
  <c r="G1994" i="6"/>
  <c r="G1987" i="6"/>
  <c r="G1980" i="6"/>
  <c r="G1973" i="6"/>
  <c r="G1966" i="6"/>
  <c r="G2468" i="6"/>
  <c r="G2424" i="6"/>
  <c r="G2289" i="6"/>
  <c r="G2232" i="6"/>
  <c r="G2209" i="6"/>
  <c r="G2181" i="6"/>
  <c r="G2370" i="6"/>
  <c r="G2322" i="6"/>
  <c r="G2319" i="6"/>
  <c r="G2283" i="6"/>
  <c r="G2234" i="6"/>
  <c r="G2228" i="6"/>
  <c r="G2220" i="6"/>
  <c r="G2215" i="6"/>
  <c r="G2193" i="6"/>
  <c r="G2176" i="6"/>
  <c r="G2171" i="6"/>
  <c r="G2154" i="6"/>
  <c r="G2147" i="6"/>
  <c r="G2140" i="6"/>
  <c r="G2133" i="6"/>
  <c r="G2126" i="6"/>
  <c r="G2119" i="6"/>
  <c r="G2112" i="6"/>
  <c r="G2105" i="6"/>
  <c r="G2098" i="6"/>
  <c r="G2091" i="6"/>
  <c r="G2084" i="6"/>
  <c r="G2077" i="6"/>
  <c r="G2070" i="6"/>
  <c r="G2063" i="6"/>
  <c r="G2056" i="6"/>
  <c r="G2049" i="6"/>
  <c r="G2042" i="6"/>
  <c r="G2035" i="6"/>
  <c r="G2028" i="6"/>
  <c r="G2021" i="6"/>
  <c r="G2014" i="6"/>
  <c r="G2007" i="6"/>
  <c r="G2000" i="6"/>
  <c r="G1993" i="6"/>
  <c r="G1986" i="6"/>
  <c r="G1979" i="6"/>
  <c r="G1972" i="6"/>
  <c r="G2369" i="6"/>
  <c r="G2346" i="6"/>
  <c r="G2259" i="6"/>
  <c r="G2226" i="6"/>
  <c r="G2222" i="6"/>
  <c r="G2174" i="6"/>
  <c r="G2167" i="6"/>
  <c r="G2160" i="6"/>
  <c r="G2108" i="6"/>
  <c r="G2089" i="6"/>
  <c r="G2059" i="6"/>
  <c r="G2040" i="6"/>
  <c r="G2010" i="6"/>
  <c r="G1991" i="6"/>
  <c r="G2454" i="6"/>
  <c r="G2295" i="6"/>
  <c r="G2276" i="6"/>
  <c r="G2268" i="6"/>
  <c r="G2240" i="6"/>
  <c r="G2231" i="6"/>
  <c r="G2110" i="6"/>
  <c r="G2080" i="6"/>
  <c r="G2061" i="6"/>
  <c r="G2031" i="6"/>
  <c r="G2012" i="6"/>
  <c r="G1982" i="6"/>
  <c r="G2326" i="6"/>
  <c r="G2318" i="6"/>
  <c r="G2217" i="6"/>
  <c r="G2196" i="6"/>
  <c r="G2189" i="6"/>
  <c r="G2182" i="6"/>
  <c r="G2158" i="6"/>
  <c r="G2142" i="6"/>
  <c r="G2137" i="6"/>
  <c r="G2132" i="6"/>
  <c r="G2111" i="6"/>
  <c r="G2100" i="6"/>
  <c r="G2081" i="6"/>
  <c r="G2062" i="6"/>
  <c r="G2051" i="6"/>
  <c r="G2032" i="6"/>
  <c r="G2013" i="6"/>
  <c r="G2002" i="6"/>
  <c r="G1983" i="6"/>
  <c r="G1960" i="6"/>
  <c r="G1953" i="6"/>
  <c r="G1946" i="6"/>
  <c r="G1939" i="6"/>
  <c r="G1932" i="6"/>
  <c r="G1925" i="6"/>
  <c r="G1918" i="6"/>
  <c r="G1911" i="6"/>
  <c r="G1904" i="6"/>
  <c r="G1897" i="6"/>
  <c r="G2302" i="6"/>
  <c r="G2261" i="6"/>
  <c r="G2101" i="6"/>
  <c r="G2082" i="6"/>
  <c r="G2052" i="6"/>
  <c r="G2033" i="6"/>
  <c r="G2003" i="6"/>
  <c r="G1984" i="6"/>
  <c r="G2493" i="6"/>
  <c r="G2376" i="6"/>
  <c r="G2188" i="6"/>
  <c r="G2096" i="6"/>
  <c r="G2079" i="6"/>
  <c r="G2068" i="6"/>
  <c r="G2315" i="6"/>
  <c r="G2293" i="6"/>
  <c r="G2282" i="6"/>
  <c r="G2262" i="6"/>
  <c r="G2183" i="6"/>
  <c r="G2178" i="6"/>
  <c r="G2169" i="6"/>
  <c r="G2164" i="6"/>
  <c r="G2157" i="6"/>
  <c r="G2150" i="6"/>
  <c r="G2143" i="6"/>
  <c r="G2107" i="6"/>
  <c r="G2102" i="6"/>
  <c r="G2074" i="6"/>
  <c r="G2046" i="6"/>
  <c r="G2018" i="6"/>
  <c r="G1990" i="6"/>
  <c r="G1985" i="6"/>
  <c r="G1965" i="6"/>
  <c r="G1948" i="6"/>
  <c r="G1943" i="6"/>
  <c r="G1938" i="6"/>
  <c r="G1921" i="6"/>
  <c r="G1916" i="6"/>
  <c r="G1899" i="6"/>
  <c r="G1894" i="6"/>
  <c r="G2342" i="6"/>
  <c r="G2336" i="6"/>
  <c r="G2298" i="6"/>
  <c r="G2212" i="6"/>
  <c r="G2195" i="6"/>
  <c r="G2131" i="6"/>
  <c r="G2060" i="6"/>
  <c r="G2024" i="6"/>
  <c r="G1996" i="6"/>
  <c r="G1968" i="6"/>
  <c r="G1954" i="6"/>
  <c r="G1905" i="6"/>
  <c r="G1887" i="6"/>
  <c r="G1880" i="6"/>
  <c r="G1873" i="6"/>
  <c r="G1866" i="6"/>
  <c r="G1859" i="6"/>
  <c r="G1852" i="6"/>
  <c r="G1845" i="6"/>
  <c r="G1838" i="6"/>
  <c r="G1831" i="6"/>
  <c r="G1824" i="6"/>
  <c r="G1817" i="6"/>
  <c r="G1810" i="6"/>
  <c r="G2393" i="6"/>
  <c r="G2253" i="6"/>
  <c r="G2248" i="6"/>
  <c r="G2190" i="6"/>
  <c r="G2185" i="6"/>
  <c r="G2161" i="6"/>
  <c r="G2124" i="6"/>
  <c r="G2116" i="6"/>
  <c r="G2088" i="6"/>
  <c r="G2083" i="6"/>
  <c r="G2055" i="6"/>
  <c r="G2027" i="6"/>
  <c r="G1999" i="6"/>
  <c r="G1974" i="6"/>
  <c r="G1971" i="6"/>
  <c r="G1949" i="6"/>
  <c r="G1944" i="6"/>
  <c r="G1927" i="6"/>
  <c r="G1922" i="6"/>
  <c r="G1917" i="6"/>
  <c r="G1900" i="6"/>
  <c r="G1895" i="6"/>
  <c r="G2233" i="6"/>
  <c r="G2198" i="6"/>
  <c r="G2117" i="6"/>
  <c r="G2115" i="6"/>
  <c r="G2047" i="6"/>
  <c r="G2045" i="6"/>
  <c r="G1981" i="6"/>
  <c r="G1967" i="6"/>
  <c r="G1962" i="6"/>
  <c r="G1937" i="6"/>
  <c r="G1920" i="6"/>
  <c r="G1912" i="6"/>
  <c r="G1901" i="6"/>
  <c r="G1876" i="6"/>
  <c r="G1857" i="6"/>
  <c r="G1846" i="6"/>
  <c r="G1827" i="6"/>
  <c r="G2386" i="6"/>
  <c r="G2323" i="6"/>
  <c r="G2316" i="6"/>
  <c r="G2269" i="6"/>
  <c r="G2219" i="6"/>
  <c r="G2210" i="6"/>
  <c r="G2138" i="6"/>
  <c r="G2097" i="6"/>
  <c r="G2095" i="6"/>
  <c r="G2093" i="6"/>
  <c r="G2058" i="6"/>
  <c r="G2025" i="6"/>
  <c r="G2023" i="6"/>
  <c r="G1940" i="6"/>
  <c r="G1929" i="6"/>
  <c r="G1898" i="6"/>
  <c r="G1877" i="6"/>
  <c r="G1858" i="6"/>
  <c r="G1847" i="6"/>
  <c r="G1828" i="6"/>
  <c r="G2361" i="6"/>
  <c r="G2191" i="6"/>
  <c r="G2184" i="6"/>
  <c r="G2177" i="6"/>
  <c r="G2075" i="6"/>
  <c r="G2073" i="6"/>
  <c r="G2038" i="6"/>
  <c r="G2005" i="6"/>
  <c r="G1957" i="6"/>
  <c r="G1926" i="6"/>
  <c r="G1915" i="6"/>
  <c r="G1896" i="6"/>
  <c r="G1878" i="6"/>
  <c r="G1867" i="6"/>
  <c r="G1848" i="6"/>
  <c r="G1829" i="6"/>
  <c r="G1818" i="6"/>
  <c r="G2352" i="6"/>
  <c r="G2227" i="6"/>
  <c r="G2205" i="6"/>
  <c r="G2201" i="6"/>
  <c r="G2163" i="6"/>
  <c r="G2145" i="6"/>
  <c r="G2121" i="6"/>
  <c r="G2086" i="6"/>
  <c r="G2053" i="6"/>
  <c r="G2016" i="6"/>
  <c r="G1924" i="6"/>
  <c r="G1907" i="6"/>
  <c r="G1879" i="6"/>
  <c r="G1868" i="6"/>
  <c r="G1849" i="6"/>
  <c r="G1830" i="6"/>
  <c r="G1819" i="6"/>
  <c r="G1799" i="6"/>
  <c r="G1792" i="6"/>
  <c r="G1785" i="6"/>
  <c r="G1778" i="6"/>
  <c r="G1771" i="6"/>
  <c r="G1764" i="6"/>
  <c r="G1757" i="6"/>
  <c r="G1750" i="6"/>
  <c r="G1743" i="6"/>
  <c r="G1736" i="6"/>
  <c r="G1729" i="6"/>
  <c r="G1722" i="6"/>
  <c r="G1715" i="6"/>
  <c r="G1708" i="6"/>
  <c r="G1701" i="6"/>
  <c r="G1694" i="6"/>
  <c r="G1687" i="6"/>
  <c r="G1680" i="6"/>
  <c r="G1673" i="6"/>
  <c r="G1666" i="6"/>
  <c r="G1659" i="6"/>
  <c r="G1652" i="6"/>
  <c r="G1645" i="6"/>
  <c r="G1638" i="6"/>
  <c r="G1631" i="6"/>
  <c r="G1624" i="6"/>
  <c r="G1617" i="6"/>
  <c r="G1610" i="6"/>
  <c r="G1603" i="6"/>
  <c r="G1596" i="6"/>
  <c r="G1589" i="6"/>
  <c r="G2274" i="6"/>
  <c r="G2267" i="6"/>
  <c r="G2432" i="6"/>
  <c r="G2286" i="6"/>
  <c r="G2172" i="6"/>
  <c r="G2151" i="6"/>
  <c r="G2144" i="6"/>
  <c r="G2118" i="6"/>
  <c r="G2069" i="6"/>
  <c r="G2044" i="6"/>
  <c r="G2020" i="6"/>
  <c r="G1941" i="6"/>
  <c r="G1872" i="6"/>
  <c r="G1844" i="6"/>
  <c r="G1816" i="6"/>
  <c r="G1800" i="6"/>
  <c r="G1791" i="6"/>
  <c r="G1780" i="6"/>
  <c r="G1761" i="6"/>
  <c r="G1751" i="6"/>
  <c r="G1742" i="6"/>
  <c r="G1579" i="6"/>
  <c r="G1572" i="6"/>
  <c r="G1565" i="6"/>
  <c r="G1558" i="6"/>
  <c r="G1551" i="6"/>
  <c r="G1544" i="6"/>
  <c r="G1537" i="6"/>
  <c r="G1530" i="6"/>
  <c r="G1523" i="6"/>
  <c r="G1516" i="6"/>
  <c r="G1509" i="6"/>
  <c r="G1502" i="6"/>
  <c r="G1495" i="6"/>
  <c r="G1488" i="6"/>
  <c r="G1481" i="6"/>
  <c r="G1474" i="6"/>
  <c r="G1467" i="6"/>
  <c r="G1460" i="6"/>
  <c r="G1453" i="6"/>
  <c r="G1446" i="6"/>
  <c r="G1439" i="6"/>
  <c r="G1432" i="6"/>
  <c r="G1425" i="6"/>
  <c r="G1418" i="6"/>
  <c r="G1411" i="6"/>
  <c r="G1404" i="6"/>
  <c r="G1397" i="6"/>
  <c r="G1390" i="6"/>
  <c r="G1383" i="6"/>
  <c r="G1376" i="6"/>
  <c r="G1369" i="6"/>
  <c r="G1362" i="6"/>
  <c r="G1355" i="6"/>
  <c r="G1348" i="6"/>
  <c r="G1341" i="6"/>
  <c r="G1334" i="6"/>
  <c r="G2430" i="6"/>
  <c r="G2357" i="6"/>
  <c r="G2207" i="6"/>
  <c r="G2186" i="6"/>
  <c r="G2114" i="6"/>
  <c r="G1992" i="6"/>
  <c r="G1978" i="6"/>
  <c r="G1970" i="6"/>
  <c r="G1958" i="6"/>
  <c r="G1956" i="6"/>
  <c r="G1889" i="6"/>
  <c r="G1886" i="6"/>
  <c r="G1861" i="6"/>
  <c r="G1833" i="6"/>
  <c r="G1801" i="6"/>
  <c r="G1782" i="6"/>
  <c r="G1772" i="6"/>
  <c r="G1763" i="6"/>
  <c r="G1752" i="6"/>
  <c r="G1733" i="6"/>
  <c r="G1585" i="6"/>
  <c r="G1578" i="6"/>
  <c r="G1571" i="6"/>
  <c r="G1564" i="6"/>
  <c r="G1557" i="6"/>
  <c r="G1550" i="6"/>
  <c r="G1543" i="6"/>
  <c r="G1536" i="6"/>
  <c r="G1529" i="6"/>
  <c r="G1522" i="6"/>
  <c r="G1515" i="6"/>
  <c r="G1508" i="6"/>
  <c r="G1501" i="6"/>
  <c r="G1494" i="6"/>
  <c r="G1487" i="6"/>
  <c r="G1480" i="6"/>
  <c r="G1473" i="6"/>
  <c r="G1466" i="6"/>
  <c r="G1459" i="6"/>
  <c r="G1452" i="6"/>
  <c r="G1445" i="6"/>
  <c r="G1438" i="6"/>
  <c r="G1431" i="6"/>
  <c r="G1424" i="6"/>
  <c r="G1417" i="6"/>
  <c r="G1410" i="6"/>
  <c r="G1403" i="6"/>
  <c r="G1396" i="6"/>
  <c r="G1389" i="6"/>
  <c r="G1382" i="6"/>
  <c r="G1375" i="6"/>
  <c r="G1368" i="6"/>
  <c r="G1361" i="6"/>
  <c r="G1354" i="6"/>
  <c r="G1347" i="6"/>
  <c r="G1340" i="6"/>
  <c r="G1333" i="6"/>
  <c r="G2332" i="6"/>
  <c r="G2242" i="6"/>
  <c r="G2087" i="6"/>
  <c r="G1998" i="6"/>
  <c r="G1923" i="6"/>
  <c r="G1864" i="6"/>
  <c r="G1839" i="6"/>
  <c r="G1836" i="6"/>
  <c r="G1811" i="6"/>
  <c r="G1808" i="6"/>
  <c r="G1802" i="6"/>
  <c r="G1783" i="6"/>
  <c r="G1753" i="6"/>
  <c r="G1734" i="6"/>
  <c r="G1693" i="6"/>
  <c r="G1692" i="6"/>
  <c r="G1691" i="6"/>
  <c r="G1690" i="6"/>
  <c r="G1689" i="6"/>
  <c r="G1688" i="6"/>
  <c r="G1644" i="6"/>
  <c r="G1643" i="6"/>
  <c r="G1642" i="6"/>
  <c r="G1641" i="6"/>
  <c r="G1640" i="6"/>
  <c r="G1639" i="6"/>
  <c r="G1595" i="6"/>
  <c r="G1594" i="6"/>
  <c r="G1593" i="6"/>
  <c r="G1592" i="6"/>
  <c r="G1591" i="6"/>
  <c r="G1590" i="6"/>
  <c r="G2474" i="6"/>
  <c r="G2381" i="6"/>
  <c r="G2122" i="6"/>
  <c r="G2037" i="6"/>
  <c r="G1863" i="6"/>
  <c r="G1853" i="6"/>
  <c r="G1843" i="6"/>
  <c r="G1823" i="6"/>
  <c r="G1756" i="6"/>
  <c r="G1749" i="6"/>
  <c r="G1710" i="6"/>
  <c r="G1706" i="6"/>
  <c r="G1684" i="6"/>
  <c r="G1675" i="6"/>
  <c r="G1671" i="6"/>
  <c r="G1606" i="6"/>
  <c r="G1602" i="6"/>
  <c r="G1583" i="6"/>
  <c r="G1553" i="6"/>
  <c r="G1534" i="6"/>
  <c r="G1504" i="6"/>
  <c r="G1485" i="6"/>
  <c r="G1484" i="6"/>
  <c r="G1483" i="6"/>
  <c r="G1482" i="6"/>
  <c r="G2230" i="6"/>
  <c r="G2156" i="6"/>
  <c r="G2135" i="6"/>
  <c r="G2130" i="6"/>
  <c r="G2094" i="6"/>
  <c r="G2048" i="6"/>
  <c r="G2017" i="6"/>
  <c r="G1893" i="6"/>
  <c r="G1835" i="6"/>
  <c r="G1825" i="6"/>
  <c r="G1815" i="6"/>
  <c r="G1809" i="6"/>
  <c r="G1804" i="6"/>
  <c r="G1797" i="6"/>
  <c r="G1790" i="6"/>
  <c r="G1746" i="6"/>
  <c r="G1739" i="6"/>
  <c r="G1728" i="6"/>
  <c r="G1702" i="6"/>
  <c r="G1698" i="6"/>
  <c r="G1667" i="6"/>
  <c r="G1663" i="6"/>
  <c r="G1637" i="6"/>
  <c r="G1628" i="6"/>
  <c r="G1598" i="6"/>
  <c r="G1574" i="6"/>
  <c r="G1555" i="6"/>
  <c r="G1525" i="6"/>
  <c r="G1506" i="6"/>
  <c r="G2179" i="6"/>
  <c r="G2009" i="6"/>
  <c r="G1997" i="6"/>
  <c r="G1951" i="6"/>
  <c r="G1813" i="6"/>
  <c r="G1784" i="6"/>
  <c r="G1777" i="6"/>
  <c r="G1770" i="6"/>
  <c r="G1711" i="6"/>
  <c r="G1707" i="6"/>
  <c r="G1685" i="6"/>
  <c r="G1676" i="6"/>
  <c r="G1672" i="6"/>
  <c r="G1646" i="6"/>
  <c r="G1611" i="6"/>
  <c r="G1607" i="6"/>
  <c r="G1575" i="6"/>
  <c r="G1556" i="6"/>
  <c r="G1545" i="6"/>
  <c r="G1526" i="6"/>
  <c r="G1507" i="6"/>
  <c r="G1496" i="6"/>
  <c r="G2308" i="6"/>
  <c r="G2279" i="6"/>
  <c r="G2146" i="6"/>
  <c r="G2125" i="6"/>
  <c r="G2066" i="6"/>
  <c r="G2004" i="6"/>
  <c r="G1945" i="6"/>
  <c r="G1934" i="6"/>
  <c r="G2239" i="6"/>
  <c r="G2030" i="6"/>
  <c r="G1963" i="6"/>
  <c r="G1947" i="6"/>
  <c r="G1928" i="6"/>
  <c r="G1882" i="6"/>
  <c r="G1834" i="6"/>
  <c r="G1738" i="6"/>
  <c r="G1696" i="6"/>
  <c r="G1686" i="6"/>
  <c r="G1658" i="6"/>
  <c r="G1648" i="6"/>
  <c r="G1625" i="6"/>
  <c r="G1615" i="6"/>
  <c r="G1600" i="6"/>
  <c r="G1527" i="6"/>
  <c r="G1520" i="6"/>
  <c r="G1513" i="6"/>
  <c r="G1486" i="6"/>
  <c r="G2273" i="6"/>
  <c r="G2152" i="6"/>
  <c r="G2128" i="6"/>
  <c r="G1931" i="6"/>
  <c r="G1910" i="6"/>
  <c r="G1781" i="6"/>
  <c r="G1745" i="6"/>
  <c r="G1724" i="6"/>
  <c r="G1699" i="6"/>
  <c r="G1681" i="6"/>
  <c r="G1653" i="6"/>
  <c r="G1651" i="6"/>
  <c r="G1633" i="6"/>
  <c r="G1605" i="6"/>
  <c r="G1581" i="6"/>
  <c r="G1554" i="6"/>
  <c r="G1500" i="6"/>
  <c r="G1493" i="6"/>
  <c r="G2199" i="6"/>
  <c r="G2139" i="6"/>
  <c r="G2067" i="6"/>
  <c r="G2034" i="6"/>
  <c r="G1935" i="6"/>
  <c r="G1884" i="6"/>
  <c r="G1854" i="6"/>
  <c r="G1821" i="6"/>
  <c r="G1719" i="6"/>
  <c r="G1714" i="6"/>
  <c r="G1704" i="6"/>
  <c r="G1656" i="6"/>
  <c r="G1608" i="6"/>
  <c r="G1568" i="6"/>
  <c r="G1561" i="6"/>
  <c r="G1517" i="6"/>
  <c r="G1510" i="6"/>
  <c r="G1503" i="6"/>
  <c r="G2312" i="6"/>
  <c r="G2072" i="6"/>
  <c r="G1976" i="6"/>
  <c r="G1950" i="6"/>
  <c r="G1906" i="6"/>
  <c r="G1892" i="6"/>
  <c r="G1869" i="6"/>
  <c r="G1851" i="6"/>
  <c r="G1788" i="6"/>
  <c r="G1709" i="6"/>
  <c r="G1661" i="6"/>
  <c r="G1623" i="6"/>
  <c r="G1613" i="6"/>
  <c r="G1548" i="6"/>
  <c r="G1541" i="6"/>
  <c r="G1497" i="6"/>
  <c r="G1490" i="6"/>
  <c r="G2039" i="6"/>
  <c r="G1975" i="6"/>
  <c r="G1913" i="6"/>
  <c r="G1902" i="6"/>
  <c r="G1874" i="6"/>
  <c r="G1856" i="6"/>
  <c r="G1841" i="6"/>
  <c r="G1826" i="6"/>
  <c r="G1806" i="6"/>
  <c r="G1795" i="6"/>
  <c r="G1779" i="6"/>
  <c r="G1768" i="6"/>
  <c r="G1741" i="6"/>
  <c r="G1732" i="6"/>
  <c r="G1712" i="6"/>
  <c r="G2162" i="6"/>
  <c r="G2123" i="6"/>
  <c r="G1995" i="6"/>
  <c r="G2260" i="6"/>
  <c r="G2149" i="6"/>
  <c r="G2104" i="6"/>
  <c r="G2054" i="6"/>
  <c r="G2103" i="6"/>
  <c r="G1933" i="6"/>
  <c r="G1850" i="6"/>
  <c r="G1796" i="6"/>
  <c r="G1703" i="6"/>
  <c r="G1665" i="6"/>
  <c r="G1616" i="6"/>
  <c r="G1576" i="6"/>
  <c r="G2129" i="6"/>
  <c r="G1881" i="6"/>
  <c r="G1807" i="6"/>
  <c r="G1798" i="6"/>
  <c r="G1787" i="6"/>
  <c r="G1776" i="6"/>
  <c r="G1713" i="6"/>
  <c r="G1674" i="6"/>
  <c r="G1609" i="6"/>
  <c r="G1584" i="6"/>
  <c r="G1570" i="6"/>
  <c r="G1566" i="6"/>
  <c r="G1562" i="6"/>
  <c r="G1528" i="6"/>
  <c r="G2350" i="6"/>
  <c r="G1822" i="6"/>
  <c r="G1726" i="6"/>
  <c r="G1705" i="6"/>
  <c r="G1669" i="6"/>
  <c r="G1660" i="6"/>
  <c r="G1630" i="6"/>
  <c r="G1588" i="6"/>
  <c r="G1580" i="6"/>
  <c r="G2208" i="6"/>
  <c r="G2136" i="6"/>
  <c r="G1936" i="6"/>
  <c r="G1765" i="6"/>
  <c r="G1740" i="6"/>
  <c r="G1670" i="6"/>
  <c r="G1649" i="6"/>
  <c r="G1634" i="6"/>
  <c r="G1569" i="6"/>
  <c r="G1552" i="6"/>
  <c r="G1524" i="6"/>
  <c r="G1472" i="6"/>
  <c r="G1461" i="6"/>
  <c r="G1442" i="6"/>
  <c r="G1420" i="6"/>
  <c r="G1387" i="6"/>
  <c r="G1365" i="6"/>
  <c r="G1342" i="6"/>
  <c r="G1329" i="6"/>
  <c r="G1322" i="6"/>
  <c r="G1315" i="6"/>
  <c r="G1308" i="6"/>
  <c r="G1301" i="6"/>
  <c r="G1294" i="6"/>
  <c r="G1287" i="6"/>
  <c r="G1280" i="6"/>
  <c r="G1273" i="6"/>
  <c r="G1266" i="6"/>
  <c r="G1259" i="6"/>
  <c r="G1252" i="6"/>
  <c r="G1245" i="6"/>
  <c r="G1238" i="6"/>
  <c r="G1231" i="6"/>
  <c r="G1224" i="6"/>
  <c r="G2415" i="6"/>
  <c r="G2168" i="6"/>
  <c r="G1883" i="6"/>
  <c r="G1793" i="6"/>
  <c r="G1754" i="6"/>
  <c r="G1559" i="6"/>
  <c r="G1969" i="6"/>
  <c r="G1952" i="6"/>
  <c r="G1914" i="6"/>
  <c r="G1842" i="6"/>
  <c r="G1716" i="6"/>
  <c r="G1587" i="6"/>
  <c r="G1479" i="6"/>
  <c r="G1468" i="6"/>
  <c r="G1462" i="6"/>
  <c r="G1455" i="6"/>
  <c r="G1444" i="6"/>
  <c r="G1422" i="6"/>
  <c r="G1399" i="6"/>
  <c r="G1377" i="6"/>
  <c r="G1367" i="6"/>
  <c r="G1344" i="6"/>
  <c r="G1328" i="6"/>
  <c r="G1321" i="6"/>
  <c r="G1314" i="6"/>
  <c r="G1307" i="6"/>
  <c r="G1300" i="6"/>
  <c r="G1293" i="6"/>
  <c r="G2041" i="6"/>
  <c r="G2026" i="6"/>
  <c r="G1942" i="6"/>
  <c r="G1862" i="6"/>
  <c r="G1837" i="6"/>
  <c r="G1812" i="6"/>
  <c r="G1789" i="6"/>
  <c r="G1735" i="6"/>
  <c r="G1725" i="6"/>
  <c r="G1678" i="6"/>
  <c r="G1657" i="6"/>
  <c r="G1622" i="6"/>
  <c r="G1604" i="6"/>
  <c r="G1601" i="6"/>
  <c r="G1549" i="6"/>
  <c r="G1547" i="6"/>
  <c r="G1542" i="6"/>
  <c r="G1540" i="6"/>
  <c r="G1498" i="6"/>
  <c r="G1477" i="6"/>
  <c r="G1456" i="6"/>
  <c r="G1433" i="6"/>
  <c r="G1423" i="6"/>
  <c r="G1400" i="6"/>
  <c r="G1378" i="6"/>
  <c r="G1356" i="6"/>
  <c r="G1345" i="6"/>
  <c r="G1989" i="6"/>
  <c r="G1871" i="6"/>
  <c r="G1832" i="6"/>
  <c r="G1803" i="6"/>
  <c r="G1767" i="6"/>
  <c r="G1654" i="6"/>
  <c r="G1619" i="6"/>
  <c r="G1535" i="6"/>
  <c r="G1521" i="6"/>
  <c r="G1519" i="6"/>
  <c r="G1514" i="6"/>
  <c r="G1512" i="6"/>
  <c r="G1489" i="6"/>
  <c r="G1463" i="6"/>
  <c r="G1457" i="6"/>
  <c r="G1434" i="6"/>
  <c r="G1412" i="6"/>
  <c r="G1401" i="6"/>
  <c r="G1379" i="6"/>
  <c r="G1357" i="6"/>
  <c r="G1346" i="6"/>
  <c r="G1327" i="6"/>
  <c r="G1320" i="6"/>
  <c r="G1313" i="6"/>
  <c r="G1306" i="6"/>
  <c r="G1299" i="6"/>
  <c r="G1292" i="6"/>
  <c r="G2229" i="6"/>
  <c r="G2011" i="6"/>
  <c r="G1891" i="6"/>
  <c r="G1860" i="6"/>
  <c r="G1820" i="6"/>
  <c r="G1762" i="6"/>
  <c r="G1718" i="6"/>
  <c r="G1647" i="6"/>
  <c r="G1620" i="6"/>
  <c r="G1597" i="6"/>
  <c r="G1538" i="6"/>
  <c r="G1518" i="6"/>
  <c r="G1465" i="6"/>
  <c r="G1443" i="6"/>
  <c r="G1440" i="6"/>
  <c r="G1426" i="6"/>
  <c r="G1959" i="6"/>
  <c r="G1890" i="6"/>
  <c r="G1805" i="6"/>
  <c r="G1766" i="6"/>
  <c r="G1697" i="6"/>
  <c r="G1683" i="6"/>
  <c r="G1679" i="6"/>
  <c r="G1563" i="6"/>
  <c r="G1531" i="6"/>
  <c r="G1470" i="6"/>
  <c r="G1458" i="6"/>
  <c r="G2090" i="6"/>
  <c r="G1875" i="6"/>
  <c r="G1794" i="6"/>
  <c r="G1760" i="6"/>
  <c r="G1723" i="6"/>
  <c r="G1717" i="6"/>
  <c r="G1664" i="6"/>
  <c r="G1618" i="6"/>
  <c r="G1586" i="6"/>
  <c r="G1492" i="6"/>
  <c r="G2153" i="6"/>
  <c r="G2065" i="6"/>
  <c r="G2006" i="6"/>
  <c r="G1919" i="6"/>
  <c r="G1865" i="6"/>
  <c r="G1650" i="6"/>
  <c r="G1632" i="6"/>
  <c r="G1614" i="6"/>
  <c r="G1491" i="6"/>
  <c r="G1447" i="6"/>
  <c r="G1441" i="6"/>
  <c r="G1427" i="6"/>
  <c r="G1413" i="6"/>
  <c r="G1407" i="6"/>
  <c r="G1384" i="6"/>
  <c r="G1930" i="6"/>
  <c r="G1888" i="6"/>
  <c r="G1759" i="6"/>
  <c r="G1748" i="6"/>
  <c r="G1737" i="6"/>
  <c r="G1682" i="6"/>
  <c r="G1677" i="6"/>
  <c r="G1627" i="6"/>
  <c r="G1582" i="6"/>
  <c r="G1475" i="6"/>
  <c r="G1450" i="6"/>
  <c r="G1436" i="6"/>
  <c r="G1430" i="6"/>
  <c r="G1416" i="6"/>
  <c r="G1393" i="6"/>
  <c r="G1961" i="6"/>
  <c r="G1744" i="6"/>
  <c r="G1727" i="6"/>
  <c r="G1505" i="6"/>
  <c r="G1471" i="6"/>
  <c r="G1336" i="6"/>
  <c r="G1323" i="6"/>
  <c r="G1318" i="6"/>
  <c r="G1296" i="6"/>
  <c r="G1279" i="6"/>
  <c r="G1230" i="6"/>
  <c r="G1219" i="6"/>
  <c r="G1212" i="6"/>
  <c r="G1205" i="6"/>
  <c r="G1198" i="6"/>
  <c r="G1191" i="6"/>
  <c r="G1184" i="6"/>
  <c r="G1177" i="6"/>
  <c r="G1170" i="6"/>
  <c r="G1163" i="6"/>
  <c r="G1156" i="6"/>
  <c r="G1149" i="6"/>
  <c r="G1142" i="6"/>
  <c r="G1135" i="6"/>
  <c r="G1128" i="6"/>
  <c r="G1121" i="6"/>
  <c r="G1114" i="6"/>
  <c r="G1107" i="6"/>
  <c r="G1100" i="6"/>
  <c r="G1093" i="6"/>
  <c r="G1086" i="6"/>
  <c r="G1079" i="6"/>
  <c r="G1072" i="6"/>
  <c r="G1065" i="6"/>
  <c r="G1058" i="6"/>
  <c r="G1051" i="6"/>
  <c r="G1044" i="6"/>
  <c r="G1037" i="6"/>
  <c r="G1030" i="6"/>
  <c r="G1023" i="6"/>
  <c r="G1016" i="6"/>
  <c r="G1009" i="6"/>
  <c r="G1002" i="6"/>
  <c r="G995" i="6"/>
  <c r="G988" i="6"/>
  <c r="G981" i="6"/>
  <c r="G974" i="6"/>
  <c r="G967" i="6"/>
  <c r="G960" i="6"/>
  <c r="G953" i="6"/>
  <c r="G946" i="6"/>
  <c r="G939" i="6"/>
  <c r="G932" i="6"/>
  <c r="G925" i="6"/>
  <c r="G918" i="6"/>
  <c r="G911" i="6"/>
  <c r="G1903" i="6"/>
  <c r="G1786" i="6"/>
  <c r="G1402" i="6"/>
  <c r="G1366" i="6"/>
  <c r="G1363" i="6"/>
  <c r="G1343" i="6"/>
  <c r="G1324" i="6"/>
  <c r="G1319" i="6"/>
  <c r="G1302" i="6"/>
  <c r="G1297" i="6"/>
  <c r="G1286" i="6"/>
  <c r="G1237" i="6"/>
  <c r="G1218" i="6"/>
  <c r="G1211" i="6"/>
  <c r="G1204" i="6"/>
  <c r="G1197" i="6"/>
  <c r="G1190" i="6"/>
  <c r="G1183" i="6"/>
  <c r="G1176" i="6"/>
  <c r="G1169" i="6"/>
  <c r="G1162" i="6"/>
  <c r="G1155" i="6"/>
  <c r="G1148" i="6"/>
  <c r="G1141" i="6"/>
  <c r="G1134" i="6"/>
  <c r="G1127" i="6"/>
  <c r="G1120" i="6"/>
  <c r="G1113" i="6"/>
  <c r="G1106" i="6"/>
  <c r="G1099" i="6"/>
  <c r="G1092" i="6"/>
  <c r="G1085" i="6"/>
  <c r="G1078" i="6"/>
  <c r="G1071" i="6"/>
  <c r="G1064" i="6"/>
  <c r="G1057" i="6"/>
  <c r="G1050" i="6"/>
  <c r="G1043" i="6"/>
  <c r="G1036" i="6"/>
  <c r="G1029" i="6"/>
  <c r="G1022" i="6"/>
  <c r="G1015" i="6"/>
  <c r="G1008" i="6"/>
  <c r="G1001" i="6"/>
  <c r="G994" i="6"/>
  <c r="G987" i="6"/>
  <c r="G980" i="6"/>
  <c r="G973" i="6"/>
  <c r="G966" i="6"/>
  <c r="G959" i="6"/>
  <c r="G952" i="6"/>
  <c r="G945" i="6"/>
  <c r="G938" i="6"/>
  <c r="G931" i="6"/>
  <c r="G924" i="6"/>
  <c r="G917" i="6"/>
  <c r="G910" i="6"/>
  <c r="G1955" i="6"/>
  <c r="G1814" i="6"/>
  <c r="G1769" i="6"/>
  <c r="G1636" i="6"/>
  <c r="G1419" i="6"/>
  <c r="G1414" i="6"/>
  <c r="G1395" i="6"/>
  <c r="G1358" i="6"/>
  <c r="G1349" i="6"/>
  <c r="G1291" i="6"/>
  <c r="G1290" i="6"/>
  <c r="G1289" i="6"/>
  <c r="G1288" i="6"/>
  <c r="G1243" i="6"/>
  <c r="G1242" i="6"/>
  <c r="G1241" i="6"/>
  <c r="G1240" i="6"/>
  <c r="G1239" i="6"/>
  <c r="G1885" i="6"/>
  <c r="G1775" i="6"/>
  <c r="G1629" i="6"/>
  <c r="G1621" i="6"/>
  <c r="G1533" i="6"/>
  <c r="G1476" i="6"/>
  <c r="G1421" i="6"/>
  <c r="G1391" i="6"/>
  <c r="G1250" i="6"/>
  <c r="G1249" i="6"/>
  <c r="G1248" i="6"/>
  <c r="G1247" i="6"/>
  <c r="G1246" i="6"/>
  <c r="G1840" i="6"/>
  <c r="G1747" i="6"/>
  <c r="G1700" i="6"/>
  <c r="G1599" i="6"/>
  <c r="G1478" i="6"/>
  <c r="G1428" i="6"/>
  <c r="G1415" i="6"/>
  <c r="G1406" i="6"/>
  <c r="G1331" i="6"/>
  <c r="G1236" i="6"/>
  <c r="G1213" i="6"/>
  <c r="G1208" i="6"/>
  <c r="G1186" i="6"/>
  <c r="G1181" i="6"/>
  <c r="G1164" i="6"/>
  <c r="G1159" i="6"/>
  <c r="G1137" i="6"/>
  <c r="G1132" i="6"/>
  <c r="G1115" i="6"/>
  <c r="G1110" i="6"/>
  <c r="G1088" i="6"/>
  <c r="G1083" i="6"/>
  <c r="G1066" i="6"/>
  <c r="G1061" i="6"/>
  <c r="G1039" i="6"/>
  <c r="G1034" i="6"/>
  <c r="G1017" i="6"/>
  <c r="G1012" i="6"/>
  <c r="G990" i="6"/>
  <c r="G985" i="6"/>
  <c r="G968" i="6"/>
  <c r="G963" i="6"/>
  <c r="G941" i="6"/>
  <c r="G936" i="6"/>
  <c r="G919" i="6"/>
  <c r="G914" i="6"/>
  <c r="G893" i="6"/>
  <c r="G877" i="6"/>
  <c r="G861" i="6"/>
  <c r="G844" i="6"/>
  <c r="G2324" i="6"/>
  <c r="G1758" i="6"/>
  <c r="G1539" i="6"/>
  <c r="G1532" i="6"/>
  <c r="G1511" i="6"/>
  <c r="G1469" i="6"/>
  <c r="G1337" i="6"/>
  <c r="G1276" i="6"/>
  <c r="G1263" i="6"/>
  <c r="G1253" i="6"/>
  <c r="G1226" i="6"/>
  <c r="G1203" i="6"/>
  <c r="G1154" i="6"/>
  <c r="G1105" i="6"/>
  <c r="G1056" i="6"/>
  <c r="G1007" i="6"/>
  <c r="G958" i="6"/>
  <c r="G908" i="6"/>
  <c r="G892" i="6"/>
  <c r="G876" i="6"/>
  <c r="G860" i="6"/>
  <c r="G859" i="6"/>
  <c r="G843" i="6"/>
  <c r="G834" i="6"/>
  <c r="G827" i="6"/>
  <c r="G820" i="6"/>
  <c r="G813" i="6"/>
  <c r="G806" i="6"/>
  <c r="G799" i="6"/>
  <c r="G792" i="6"/>
  <c r="G785" i="6"/>
  <c r="G778" i="6"/>
  <c r="G771" i="6"/>
  <c r="G764" i="6"/>
  <c r="G757" i="6"/>
  <c r="G750" i="6"/>
  <c r="G743" i="6"/>
  <c r="G736" i="6"/>
  <c r="G729" i="6"/>
  <c r="G722" i="6"/>
  <c r="G715" i="6"/>
  <c r="G708" i="6"/>
  <c r="G701" i="6"/>
  <c r="G694" i="6"/>
  <c r="G687" i="6"/>
  <c r="G1870" i="6"/>
  <c r="G1731" i="6"/>
  <c r="G1721" i="6"/>
  <c r="G1448" i="6"/>
  <c r="G1388" i="6"/>
  <c r="G1380" i="6"/>
  <c r="G1371" i="6"/>
  <c r="G1339" i="6"/>
  <c r="G1335" i="6"/>
  <c r="G1312" i="6"/>
  <c r="G1305" i="6"/>
  <c r="G1295" i="6"/>
  <c r="G1283" i="6"/>
  <c r="G1233" i="6"/>
  <c r="G1223" i="6"/>
  <c r="G1214" i="6"/>
  <c r="G1209" i="6"/>
  <c r="G1192" i="6"/>
  <c r="G1187" i="6"/>
  <c r="G1165" i="6"/>
  <c r="G1160" i="6"/>
  <c r="G1143" i="6"/>
  <c r="G1138" i="6"/>
  <c r="G1116" i="6"/>
  <c r="G1111" i="6"/>
  <c r="G1094" i="6"/>
  <c r="G1089" i="6"/>
  <c r="G1067" i="6"/>
  <c r="G1062" i="6"/>
  <c r="G1045" i="6"/>
  <c r="G1040" i="6"/>
  <c r="G1018" i="6"/>
  <c r="G1013" i="6"/>
  <c r="G996" i="6"/>
  <c r="G991" i="6"/>
  <c r="G969" i="6"/>
  <c r="G964" i="6"/>
  <c r="G947" i="6"/>
  <c r="G942" i="6"/>
  <c r="G920" i="6"/>
  <c r="G915" i="6"/>
  <c r="G909" i="6"/>
  <c r="G907" i="6"/>
  <c r="G891" i="6"/>
  <c r="G875" i="6"/>
  <c r="G858" i="6"/>
  <c r="G842" i="6"/>
  <c r="G1909" i="6"/>
  <c r="G1720" i="6"/>
  <c r="G1668" i="6"/>
  <c r="G1546" i="6"/>
  <c r="G1408" i="6"/>
  <c r="G1398" i="6"/>
  <c r="G1373" i="6"/>
  <c r="G1360" i="6"/>
  <c r="G1298" i="6"/>
  <c r="G1270" i="6"/>
  <c r="G1260" i="6"/>
  <c r="G1257" i="6"/>
  <c r="G1182" i="6"/>
  <c r="G1133" i="6"/>
  <c r="G1084" i="6"/>
  <c r="G1035" i="6"/>
  <c r="G986" i="6"/>
  <c r="G937" i="6"/>
  <c r="G906" i="6"/>
  <c r="G890" i="6"/>
  <c r="G874" i="6"/>
  <c r="G873" i="6"/>
  <c r="G857" i="6"/>
  <c r="G841" i="6"/>
  <c r="G833" i="6"/>
  <c r="G826" i="6"/>
  <c r="G819" i="6"/>
  <c r="G812" i="6"/>
  <c r="G805" i="6"/>
  <c r="G798" i="6"/>
  <c r="G791" i="6"/>
  <c r="G784" i="6"/>
  <c r="G777" i="6"/>
  <c r="G770" i="6"/>
  <c r="G763" i="6"/>
  <c r="G756" i="6"/>
  <c r="G749" i="6"/>
  <c r="G742" i="6"/>
  <c r="G735" i="6"/>
  <c r="G728" i="6"/>
  <c r="G721" i="6"/>
  <c r="G714" i="6"/>
  <c r="G707" i="6"/>
  <c r="G700" i="6"/>
  <c r="G693" i="6"/>
  <c r="G686" i="6"/>
  <c r="G1773" i="6"/>
  <c r="G1635" i="6"/>
  <c r="G1451" i="6"/>
  <c r="G1405" i="6"/>
  <c r="G1350" i="6"/>
  <c r="G1338" i="6"/>
  <c r="G1216" i="6"/>
  <c r="G1206" i="6"/>
  <c r="G1199" i="6"/>
  <c r="G1158" i="6"/>
  <c r="G1151" i="6"/>
  <c r="G1144" i="6"/>
  <c r="G1103" i="6"/>
  <c r="G1096" i="6"/>
  <c r="G1055" i="6"/>
  <c r="G1048" i="6"/>
  <c r="G1041" i="6"/>
  <c r="G1038" i="6"/>
  <c r="G1031" i="6"/>
  <c r="G1024" i="6"/>
  <c r="G983" i="6"/>
  <c r="G976" i="6"/>
  <c r="G935" i="6"/>
  <c r="G928" i="6"/>
  <c r="G921" i="6"/>
  <c r="G905" i="6"/>
  <c r="G896" i="6"/>
  <c r="G884" i="6"/>
  <c r="G872" i="6"/>
  <c r="G863" i="6"/>
  <c r="G851" i="6"/>
  <c r="G678" i="6"/>
  <c r="G662" i="6"/>
  <c r="G646" i="6"/>
  <c r="G645" i="6"/>
  <c r="G629" i="6"/>
  <c r="G613" i="6"/>
  <c r="G597" i="6"/>
  <c r="G596" i="6"/>
  <c r="G580" i="6"/>
  <c r="G564" i="6"/>
  <c r="G548" i="6"/>
  <c r="G547" i="6"/>
  <c r="G531" i="6"/>
  <c r="G515" i="6"/>
  <c r="G499" i="6"/>
  <c r="G498" i="6"/>
  <c r="G482" i="6"/>
  <c r="G466" i="6"/>
  <c r="G454" i="6"/>
  <c r="G447" i="6"/>
  <c r="G440" i="6"/>
  <c r="G433" i="6"/>
  <c r="G426" i="6"/>
  <c r="G419" i="6"/>
  <c r="G412" i="6"/>
  <c r="G405" i="6"/>
  <c r="G398" i="6"/>
  <c r="G1977" i="6"/>
  <c r="G1662" i="6"/>
  <c r="G1567" i="6"/>
  <c r="G1409" i="6"/>
  <c r="G1381" i="6"/>
  <c r="G1303" i="6"/>
  <c r="G1175" i="6"/>
  <c r="G1168" i="6"/>
  <c r="G1161" i="6"/>
  <c r="G1000" i="6"/>
  <c r="G993" i="6"/>
  <c r="G901" i="6"/>
  <c r="G880" i="6"/>
  <c r="G839" i="6"/>
  <c r="G822" i="6"/>
  <c r="G817" i="6"/>
  <c r="G800" i="6"/>
  <c r="G795" i="6"/>
  <c r="G790" i="6"/>
  <c r="G773" i="6"/>
  <c r="G768" i="6"/>
  <c r="G751" i="6"/>
  <c r="G746" i="6"/>
  <c r="G741" i="6"/>
  <c r="G724" i="6"/>
  <c r="G719" i="6"/>
  <c r="G702" i="6"/>
  <c r="G697" i="6"/>
  <c r="G692" i="6"/>
  <c r="G677" i="6"/>
  <c r="G661" i="6"/>
  <c r="G644" i="6"/>
  <c r="G628" i="6"/>
  <c r="G612" i="6"/>
  <c r="G595" i="6"/>
  <c r="G579" i="6"/>
  <c r="G563" i="6"/>
  <c r="G546" i="6"/>
  <c r="G530" i="6"/>
  <c r="G514" i="6"/>
  <c r="G1374" i="6"/>
  <c r="G1332" i="6"/>
  <c r="G1310" i="6"/>
  <c r="G1251" i="6"/>
  <c r="G1180" i="6"/>
  <c r="G1173" i="6"/>
  <c r="G1166" i="6"/>
  <c r="G1125" i="6"/>
  <c r="G1118" i="6"/>
  <c r="G1108" i="6"/>
  <c r="G1101" i="6"/>
  <c r="G1060" i="6"/>
  <c r="G1053" i="6"/>
  <c r="G1046" i="6"/>
  <c r="G1005" i="6"/>
  <c r="G998" i="6"/>
  <c r="G957" i="6"/>
  <c r="G950" i="6"/>
  <c r="G943" i="6"/>
  <c r="G940" i="6"/>
  <c r="G933" i="6"/>
  <c r="G926" i="6"/>
  <c r="G889" i="6"/>
  <c r="G868" i="6"/>
  <c r="G856" i="6"/>
  <c r="G847" i="6"/>
  <c r="G676" i="6"/>
  <c r="G660" i="6"/>
  <c r="G659" i="6"/>
  <c r="G643" i="6"/>
  <c r="G627" i="6"/>
  <c r="G611" i="6"/>
  <c r="G610" i="6"/>
  <c r="G594" i="6"/>
  <c r="G578" i="6"/>
  <c r="G562" i="6"/>
  <c r="G561" i="6"/>
  <c r="G545" i="6"/>
  <c r="G529" i="6"/>
  <c r="G513" i="6"/>
  <c r="G512" i="6"/>
  <c r="G1577" i="6"/>
  <c r="G1464" i="6"/>
  <c r="G1370" i="6"/>
  <c r="G1364" i="6"/>
  <c r="G1277" i="6"/>
  <c r="G1271" i="6"/>
  <c r="G1267" i="6"/>
  <c r="G1261" i="6"/>
  <c r="G1255" i="6"/>
  <c r="G1227" i="6"/>
  <c r="G1221" i="6"/>
  <c r="G1077" i="6"/>
  <c r="G1070" i="6"/>
  <c r="G1063" i="6"/>
  <c r="G897" i="6"/>
  <c r="G885" i="6"/>
  <c r="G864" i="6"/>
  <c r="G852" i="6"/>
  <c r="G828" i="6"/>
  <c r="G823" i="6"/>
  <c r="G818" i="6"/>
  <c r="G801" i="6"/>
  <c r="G796" i="6"/>
  <c r="G779" i="6"/>
  <c r="G774" i="6"/>
  <c r="G769" i="6"/>
  <c r="G752" i="6"/>
  <c r="G747" i="6"/>
  <c r="G730" i="6"/>
  <c r="G725" i="6"/>
  <c r="G720" i="6"/>
  <c r="G703" i="6"/>
  <c r="G698" i="6"/>
  <c r="G675" i="6"/>
  <c r="G658" i="6"/>
  <c r="G642" i="6"/>
  <c r="G626" i="6"/>
  <c r="G609" i="6"/>
  <c r="G593" i="6"/>
  <c r="G577" i="6"/>
  <c r="G560" i="6"/>
  <c r="G544" i="6"/>
  <c r="G528" i="6"/>
  <c r="G511" i="6"/>
  <c r="G2076" i="6"/>
  <c r="G2019" i="6"/>
  <c r="G1730" i="6"/>
  <c r="G1454" i="6"/>
  <c r="G1352" i="6"/>
  <c r="G1275" i="6"/>
  <c r="G1269" i="6"/>
  <c r="G1229" i="6"/>
  <c r="G1225" i="6"/>
  <c r="G1147" i="6"/>
  <c r="G1140" i="6"/>
  <c r="G979" i="6"/>
  <c r="G972" i="6"/>
  <c r="G965" i="6"/>
  <c r="G902" i="6"/>
  <c r="G881" i="6"/>
  <c r="G869" i="6"/>
  <c r="G848" i="6"/>
  <c r="G829" i="6"/>
  <c r="G824" i="6"/>
  <c r="G807" i="6"/>
  <c r="G802" i="6"/>
  <c r="G797" i="6"/>
  <c r="G780" i="6"/>
  <c r="G775" i="6"/>
  <c r="G758" i="6"/>
  <c r="G753" i="6"/>
  <c r="G748" i="6"/>
  <c r="G731" i="6"/>
  <c r="G726" i="6"/>
  <c r="G709" i="6"/>
  <c r="G704" i="6"/>
  <c r="G699" i="6"/>
  <c r="G672" i="6"/>
  <c r="G656" i="6"/>
  <c r="G640" i="6"/>
  <c r="G623" i="6"/>
  <c r="G607" i="6"/>
  <c r="G591" i="6"/>
  <c r="G574" i="6"/>
  <c r="G558" i="6"/>
  <c r="G542" i="6"/>
  <c r="G525" i="6"/>
  <c r="G509" i="6"/>
  <c r="G493" i="6"/>
  <c r="G476" i="6"/>
  <c r="G460" i="6"/>
  <c r="G1855" i="6"/>
  <c r="G1560" i="6"/>
  <c r="G1359" i="6"/>
  <c r="G1232" i="6"/>
  <c r="G1195" i="6"/>
  <c r="G1171" i="6"/>
  <c r="G1126" i="6"/>
  <c r="G1123" i="6"/>
  <c r="G1075" i="6"/>
  <c r="G1027" i="6"/>
  <c r="G1003" i="6"/>
  <c r="G955" i="6"/>
  <c r="G883" i="6"/>
  <c r="G879" i="6"/>
  <c r="G838" i="6"/>
  <c r="G836" i="6"/>
  <c r="G821" i="6"/>
  <c r="G733" i="6"/>
  <c r="G718" i="6"/>
  <c r="G716" i="6"/>
  <c r="G666" i="6"/>
  <c r="G641" i="6"/>
  <c r="G638" i="6"/>
  <c r="G584" i="6"/>
  <c r="G575" i="6"/>
  <c r="G565" i="6"/>
  <c r="G556" i="6"/>
  <c r="G537" i="6"/>
  <c r="G518" i="6"/>
  <c r="G488" i="6"/>
  <c r="G477" i="6"/>
  <c r="G446" i="6"/>
  <c r="G445" i="6"/>
  <c r="G397" i="6"/>
  <c r="G396" i="6"/>
  <c r="G392" i="6"/>
  <c r="G385" i="6"/>
  <c r="G378" i="6"/>
  <c r="G371" i="6"/>
  <c r="G364" i="6"/>
  <c r="G357" i="6"/>
  <c r="G350" i="6"/>
  <c r="G343" i="6"/>
  <c r="G336" i="6"/>
  <c r="G329" i="6"/>
  <c r="G322" i="6"/>
  <c r="G315" i="6"/>
  <c r="G308" i="6"/>
  <c r="G301" i="6"/>
  <c r="G294" i="6"/>
  <c r="G287" i="6"/>
  <c r="G280" i="6"/>
  <c r="G273" i="6"/>
  <c r="G266" i="6"/>
  <c r="G259" i="6"/>
  <c r="G252" i="6"/>
  <c r="G245" i="6"/>
  <c r="G238" i="6"/>
  <c r="G231" i="6"/>
  <c r="G224" i="6"/>
  <c r="G217" i="6"/>
  <c r="G210" i="6"/>
  <c r="G203" i="6"/>
  <c r="G196" i="6"/>
  <c r="G189" i="6"/>
  <c r="G182" i="6"/>
  <c r="G175" i="6"/>
  <c r="G168" i="6"/>
  <c r="G161" i="6"/>
  <c r="G154" i="6"/>
  <c r="G147" i="6"/>
  <c r="G140" i="6"/>
  <c r="G133" i="6"/>
  <c r="G126" i="6"/>
  <c r="G119" i="6"/>
  <c r="G112" i="6"/>
  <c r="G105" i="6"/>
  <c r="G98" i="6"/>
  <c r="G91" i="6"/>
  <c r="G84" i="6"/>
  <c r="G77" i="6"/>
  <c r="G70" i="6"/>
  <c r="G63" i="6"/>
  <c r="G56" i="6"/>
  <c r="G49" i="6"/>
  <c r="G42" i="6"/>
  <c r="G35" i="6"/>
  <c r="G28" i="6"/>
  <c r="G21" i="6"/>
  <c r="G14" i="6"/>
  <c r="G7" i="6"/>
  <c r="G1394" i="6"/>
  <c r="G1309" i="6"/>
  <c r="G1281" i="6"/>
  <c r="G1139" i="6"/>
  <c r="G1019" i="6"/>
  <c r="G992" i="6"/>
  <c r="G971" i="6"/>
  <c r="G854" i="6"/>
  <c r="G850" i="6"/>
  <c r="G832" i="6"/>
  <c r="G830" i="6"/>
  <c r="G815" i="6"/>
  <c r="G727" i="6"/>
  <c r="G712" i="6"/>
  <c r="G710" i="6"/>
  <c r="G695" i="6"/>
  <c r="G657" i="6"/>
  <c r="G647" i="6"/>
  <c r="G619" i="6"/>
  <c r="G600" i="6"/>
  <c r="G581" i="6"/>
  <c r="G572" i="6"/>
  <c r="G553" i="6"/>
  <c r="G489" i="6"/>
  <c r="G451" i="6"/>
  <c r="G450" i="6"/>
  <c r="G449" i="6"/>
  <c r="G448" i="6"/>
  <c r="G402" i="6"/>
  <c r="G401" i="6"/>
  <c r="G400" i="6"/>
  <c r="G399" i="6"/>
  <c r="G1284" i="6"/>
  <c r="G1278" i="6"/>
  <c r="G1272" i="6"/>
  <c r="G1222" i="6"/>
  <c r="G1200" i="6"/>
  <c r="G1179" i="6"/>
  <c r="G1152" i="6"/>
  <c r="G1131" i="6"/>
  <c r="G1112" i="6"/>
  <c r="G1104" i="6"/>
  <c r="G1091" i="6"/>
  <c r="G1080" i="6"/>
  <c r="G1059" i="6"/>
  <c r="G1032" i="6"/>
  <c r="G1011" i="6"/>
  <c r="G984" i="6"/>
  <c r="G944" i="6"/>
  <c r="G923" i="6"/>
  <c r="G912" i="6"/>
  <c r="G903" i="6"/>
  <c r="G899" i="6"/>
  <c r="G846" i="6"/>
  <c r="G811" i="6"/>
  <c r="G809" i="6"/>
  <c r="G794" i="6"/>
  <c r="G706" i="6"/>
  <c r="G691" i="6"/>
  <c r="G689" i="6"/>
  <c r="G682" i="6"/>
  <c r="G673" i="6"/>
  <c r="G663" i="6"/>
  <c r="G654" i="6"/>
  <c r="G635" i="6"/>
  <c r="G616" i="6"/>
  <c r="G588" i="6"/>
  <c r="G534" i="6"/>
  <c r="G500" i="6"/>
  <c r="G490" i="6"/>
  <c r="G478" i="6"/>
  <c r="G467" i="6"/>
  <c r="G453" i="6"/>
  <c r="G452" i="6"/>
  <c r="G404" i="6"/>
  <c r="G403" i="6"/>
  <c r="G391" i="6"/>
  <c r="G384" i="6"/>
  <c r="G377" i="6"/>
  <c r="G370" i="6"/>
  <c r="G363" i="6"/>
  <c r="G356" i="6"/>
  <c r="G349" i="6"/>
  <c r="G342" i="6"/>
  <c r="G335" i="6"/>
  <c r="G328" i="6"/>
  <c r="G321" i="6"/>
  <c r="G314" i="6"/>
  <c r="G307" i="6"/>
  <c r="G300" i="6"/>
  <c r="G293" i="6"/>
  <c r="G286" i="6"/>
  <c r="G279" i="6"/>
  <c r="G272" i="6"/>
  <c r="G265" i="6"/>
  <c r="G258" i="6"/>
  <c r="G251" i="6"/>
  <c r="G244" i="6"/>
  <c r="G237" i="6"/>
  <c r="G230" i="6"/>
  <c r="G223" i="6"/>
  <c r="G216" i="6"/>
  <c r="G209" i="6"/>
  <c r="G202" i="6"/>
  <c r="G195" i="6"/>
  <c r="G188" i="6"/>
  <c r="G181" i="6"/>
  <c r="G174" i="6"/>
  <c r="G167" i="6"/>
  <c r="G160" i="6"/>
  <c r="G153" i="6"/>
  <c r="G146" i="6"/>
  <c r="G139" i="6"/>
  <c r="G132" i="6"/>
  <c r="G125" i="6"/>
  <c r="G118" i="6"/>
  <c r="G111" i="6"/>
  <c r="G104" i="6"/>
  <c r="G97" i="6"/>
  <c r="G90" i="6"/>
  <c r="G83" i="6"/>
  <c r="G76" i="6"/>
  <c r="G69" i="6"/>
  <c r="G62" i="6"/>
  <c r="G55" i="6"/>
  <c r="G48" i="6"/>
  <c r="G41" i="6"/>
  <c r="G34" i="6"/>
  <c r="G27" i="6"/>
  <c r="G20" i="6"/>
  <c r="G13" i="6"/>
  <c r="G6" i="6"/>
  <c r="G2216" i="6"/>
  <c r="G2109" i="6"/>
  <c r="G1755" i="6"/>
  <c r="G1372" i="6"/>
  <c r="G1265" i="6"/>
  <c r="G1256" i="6"/>
  <c r="G1234" i="6"/>
  <c r="G1228" i="6"/>
  <c r="G895" i="6"/>
  <c r="G870" i="6"/>
  <c r="G866" i="6"/>
  <c r="G803" i="6"/>
  <c r="G788" i="6"/>
  <c r="G786" i="6"/>
  <c r="G685" i="6"/>
  <c r="G679" i="6"/>
  <c r="G670" i="6"/>
  <c r="G651" i="6"/>
  <c r="G569" i="6"/>
  <c r="G550" i="6"/>
  <c r="G541" i="6"/>
  <c r="G522" i="6"/>
  <c r="G506" i="6"/>
  <c r="G491" i="6"/>
  <c r="G479" i="6"/>
  <c r="G468" i="6"/>
  <c r="G457" i="6"/>
  <c r="G456" i="6"/>
  <c r="G455" i="6"/>
  <c r="G409" i="6"/>
  <c r="G408" i="6"/>
  <c r="G407" i="6"/>
  <c r="G406" i="6"/>
  <c r="G1988" i="6"/>
  <c r="G1655" i="6"/>
  <c r="G1353" i="6"/>
  <c r="G1304" i="6"/>
  <c r="G1268" i="6"/>
  <c r="G1210" i="6"/>
  <c r="G1189" i="6"/>
  <c r="G1157" i="6"/>
  <c r="G1136" i="6"/>
  <c r="G1109" i="6"/>
  <c r="G1042" i="6"/>
  <c r="G1021" i="6"/>
  <c r="G989" i="6"/>
  <c r="G886" i="6"/>
  <c r="G776" i="6"/>
  <c r="G761" i="6"/>
  <c r="G759" i="6"/>
  <c r="G744" i="6"/>
  <c r="G667" i="6"/>
  <c r="G648" i="6"/>
  <c r="G639" i="6"/>
  <c r="G620" i="6"/>
  <c r="G601" i="6"/>
  <c r="G582" i="6"/>
  <c r="G576" i="6"/>
  <c r="G573" i="6"/>
  <c r="G554" i="6"/>
  <c r="G510" i="6"/>
  <c r="G492" i="6"/>
  <c r="G481" i="6"/>
  <c r="G470" i="6"/>
  <c r="G459" i="6"/>
  <c r="G416" i="6"/>
  <c r="G415" i="6"/>
  <c r="G414" i="6"/>
  <c r="G413" i="6"/>
  <c r="G1326" i="6"/>
  <c r="G1274" i="6"/>
  <c r="G1202" i="6"/>
  <c r="G1178" i="6"/>
  <c r="G1130" i="6"/>
  <c r="G1082" i="6"/>
  <c r="G1010" i="6"/>
  <c r="G962" i="6"/>
  <c r="G882" i="6"/>
  <c r="G878" i="6"/>
  <c r="G755" i="6"/>
  <c r="G740" i="6"/>
  <c r="G738" i="6"/>
  <c r="G723" i="6"/>
  <c r="G108" i="6"/>
  <c r="G171" i="6"/>
  <c r="G253" i="6"/>
  <c r="B2498" i="6"/>
  <c r="B2491" i="6"/>
  <c r="B2484" i="6"/>
  <c r="B2477" i="6"/>
  <c r="B2470" i="6"/>
  <c r="B2463" i="6"/>
  <c r="B2456" i="6"/>
  <c r="B2449" i="6"/>
  <c r="B2442" i="6"/>
  <c r="B2435" i="6"/>
  <c r="B2428" i="6"/>
  <c r="B2497" i="6"/>
  <c r="B2490" i="6"/>
  <c r="B2483" i="6"/>
  <c r="B2476" i="6"/>
  <c r="B2469" i="6"/>
  <c r="B2462" i="6"/>
  <c r="B2455" i="6"/>
  <c r="B2448" i="6"/>
  <c r="B2441" i="6"/>
  <c r="B2434" i="6"/>
  <c r="B2427" i="6"/>
  <c r="B2495" i="6"/>
  <c r="B2488" i="6"/>
  <c r="B2481" i="6"/>
  <c r="B2474" i="6"/>
  <c r="B2467" i="6"/>
  <c r="B2487" i="6"/>
  <c r="B2440" i="6"/>
  <c r="B2493" i="6"/>
  <c r="B2460" i="6"/>
  <c r="B2451" i="6"/>
  <c r="B2429" i="6"/>
  <c r="B2423" i="6"/>
  <c r="B2416" i="6"/>
  <c r="B2409" i="6"/>
  <c r="B2402" i="6"/>
  <c r="B2496" i="6"/>
  <c r="B2473" i="6"/>
  <c r="B2464" i="6"/>
  <c r="B2446" i="6"/>
  <c r="B2452" i="6"/>
  <c r="B2408" i="6"/>
  <c r="B2430" i="6"/>
  <c r="B2418" i="6"/>
  <c r="B2447" i="6"/>
  <c r="B2419" i="6"/>
  <c r="B2400" i="6"/>
  <c r="B2393" i="6"/>
  <c r="B2386" i="6"/>
  <c r="B2475" i="6"/>
  <c r="B2471" i="6"/>
  <c r="B2465" i="6"/>
  <c r="B2444" i="6"/>
  <c r="B2433" i="6"/>
  <c r="B2420" i="6"/>
  <c r="B2401" i="6"/>
  <c r="B2453" i="6"/>
  <c r="B2438" i="6"/>
  <c r="B2422" i="6"/>
  <c r="B2500" i="6"/>
  <c r="B2431" i="6"/>
  <c r="B2405" i="6"/>
  <c r="B2382" i="6"/>
  <c r="B2375" i="6"/>
  <c r="B2368" i="6"/>
  <c r="B2492" i="6"/>
  <c r="B2411" i="6"/>
  <c r="B2394" i="6"/>
  <c r="B2387" i="6"/>
  <c r="B2414" i="6"/>
  <c r="B2381" i="6"/>
  <c r="B2374" i="6"/>
  <c r="B2367" i="6"/>
  <c r="B2485" i="6"/>
  <c r="B2466" i="6"/>
  <c r="B2459" i="6"/>
  <c r="B2437" i="6"/>
  <c r="B2359" i="6"/>
  <c r="B2352" i="6"/>
  <c r="B2345" i="6"/>
  <c r="B2338" i="6"/>
  <c r="B2331" i="6"/>
  <c r="B2324" i="6"/>
  <c r="B2317" i="6"/>
  <c r="B2310" i="6"/>
  <c r="B2303" i="6"/>
  <c r="B2296" i="6"/>
  <c r="B2289" i="6"/>
  <c r="B2282" i="6"/>
  <c r="B2275" i="6"/>
  <c r="B2268" i="6"/>
  <c r="B2412" i="6"/>
  <c r="B2410" i="6"/>
  <c r="B2389" i="6"/>
  <c r="B2377" i="6"/>
  <c r="B2372" i="6"/>
  <c r="B2425" i="6"/>
  <c r="B2358" i="6"/>
  <c r="B2351" i="6"/>
  <c r="B2344" i="6"/>
  <c r="B2337" i="6"/>
  <c r="B2330" i="6"/>
  <c r="B2323" i="6"/>
  <c r="B2316" i="6"/>
  <c r="B2309" i="6"/>
  <c r="B2302" i="6"/>
  <c r="B2295" i="6"/>
  <c r="B2288" i="6"/>
  <c r="B2281" i="6"/>
  <c r="B2274" i="6"/>
  <c r="B2480" i="6"/>
  <c r="B2458" i="6"/>
  <c r="B2443" i="6"/>
  <c r="B2403" i="6"/>
  <c r="B2399" i="6"/>
  <c r="B2392" i="6"/>
  <c r="B2383" i="6"/>
  <c r="B2378" i="6"/>
  <c r="B2373" i="6"/>
  <c r="B2478" i="6"/>
  <c r="B2472" i="6"/>
  <c r="B2457" i="6"/>
  <c r="B2432" i="6"/>
  <c r="B2421" i="6"/>
  <c r="B2397" i="6"/>
  <c r="B2380" i="6"/>
  <c r="B2370" i="6"/>
  <c r="B2326" i="6"/>
  <c r="B2307" i="6"/>
  <c r="B2277" i="6"/>
  <c r="B2461" i="6"/>
  <c r="B2346" i="6"/>
  <c r="B2327" i="6"/>
  <c r="B2308" i="6"/>
  <c r="B2297" i="6"/>
  <c r="B2278" i="6"/>
  <c r="B2267" i="6"/>
  <c r="B2260" i="6"/>
  <c r="B2253" i="6"/>
  <c r="B2246" i="6"/>
  <c r="B2239" i="6"/>
  <c r="B2232" i="6"/>
  <c r="B2439" i="6"/>
  <c r="B2424" i="6"/>
  <c r="B2363" i="6"/>
  <c r="B2347" i="6"/>
  <c r="B2328" i="6"/>
  <c r="B2298" i="6"/>
  <c r="B2279" i="6"/>
  <c r="B2499" i="6"/>
  <c r="B2479" i="6"/>
  <c r="B2390" i="6"/>
  <c r="B2350" i="6"/>
  <c r="B2340" i="6"/>
  <c r="B2333" i="6"/>
  <c r="B2252" i="6"/>
  <c r="B2241" i="6"/>
  <c r="B2229" i="6"/>
  <c r="B2222" i="6"/>
  <c r="B2215" i="6"/>
  <c r="B2208" i="6"/>
  <c r="B2201" i="6"/>
  <c r="B2436" i="6"/>
  <c r="B2384" i="6"/>
  <c r="B2371" i="6"/>
  <c r="B2353" i="6"/>
  <c r="B2300" i="6"/>
  <c r="B2293" i="6"/>
  <c r="B2286" i="6"/>
  <c r="B2262" i="6"/>
  <c r="B2243" i="6"/>
  <c r="B2228" i="6"/>
  <c r="B2221" i="6"/>
  <c r="B2214" i="6"/>
  <c r="B2207" i="6"/>
  <c r="B2200" i="6"/>
  <c r="B2356" i="6"/>
  <c r="B2280" i="6"/>
  <c r="B2273" i="6"/>
  <c r="B2263" i="6"/>
  <c r="B2244" i="6"/>
  <c r="B2233" i="6"/>
  <c r="B2406" i="6"/>
  <c r="B2348" i="6"/>
  <c r="B2341" i="6"/>
  <c r="B2334" i="6"/>
  <c r="B2290" i="6"/>
  <c r="B2283" i="6"/>
  <c r="B2276" i="6"/>
  <c r="B2264" i="6"/>
  <c r="B2245" i="6"/>
  <c r="B2234" i="6"/>
  <c r="B2227" i="6"/>
  <c r="B2489" i="6"/>
  <c r="B2445" i="6"/>
  <c r="B2361" i="6"/>
  <c r="B2336" i="6"/>
  <c r="B2332" i="6"/>
  <c r="B2320" i="6"/>
  <c r="B2294" i="6"/>
  <c r="B2248" i="6"/>
  <c r="B2219" i="6"/>
  <c r="B2198" i="6"/>
  <c r="B2191" i="6"/>
  <c r="B2184" i="6"/>
  <c r="B2177" i="6"/>
  <c r="B2170" i="6"/>
  <c r="B2163" i="6"/>
  <c r="B2369" i="6"/>
  <c r="B2306" i="6"/>
  <c r="B2292" i="6"/>
  <c r="B2284" i="6"/>
  <c r="B2257" i="6"/>
  <c r="B2210" i="6"/>
  <c r="B2197" i="6"/>
  <c r="B2190" i="6"/>
  <c r="B2183" i="6"/>
  <c r="B2176" i="6"/>
  <c r="B2169" i="6"/>
  <c r="B2162" i="6"/>
  <c r="B2486" i="6"/>
  <c r="B2468" i="6"/>
  <c r="B2388" i="6"/>
  <c r="B2272" i="6"/>
  <c r="B2240" i="6"/>
  <c r="B2235" i="6"/>
  <c r="B2211" i="6"/>
  <c r="B2396" i="6"/>
  <c r="B2266" i="6"/>
  <c r="B2238" i="6"/>
  <c r="B2212" i="6"/>
  <c r="B2196" i="6"/>
  <c r="B2189" i="6"/>
  <c r="B2182" i="6"/>
  <c r="B2175" i="6"/>
  <c r="B2168" i="6"/>
  <c r="B2161" i="6"/>
  <c r="B2482" i="6"/>
  <c r="B2426" i="6"/>
  <c r="B2360" i="6"/>
  <c r="B2357" i="6"/>
  <c r="B2354" i="6"/>
  <c r="B2312" i="6"/>
  <c r="B2270" i="6"/>
  <c r="B2261" i="6"/>
  <c r="B2250" i="6"/>
  <c r="B2179" i="6"/>
  <c r="B2174" i="6"/>
  <c r="B2151" i="6"/>
  <c r="B2144" i="6"/>
  <c r="B2137" i="6"/>
  <c r="B2130" i="6"/>
  <c r="B2123" i="6"/>
  <c r="B2494" i="6"/>
  <c r="B2395" i="6"/>
  <c r="B2385" i="6"/>
  <c r="B2265" i="6"/>
  <c r="B2225" i="6"/>
  <c r="B2417" i="6"/>
  <c r="B2342" i="6"/>
  <c r="B2339" i="6"/>
  <c r="B2254" i="6"/>
  <c r="B2230" i="6"/>
  <c r="B2203" i="6"/>
  <c r="B2185" i="6"/>
  <c r="B2180" i="6"/>
  <c r="B2158" i="6"/>
  <c r="B2157" i="6"/>
  <c r="B2150" i="6"/>
  <c r="B2143" i="6"/>
  <c r="B2136" i="6"/>
  <c r="B2129" i="6"/>
  <c r="B2122" i="6"/>
  <c r="B2115" i="6"/>
  <c r="B2108" i="6"/>
  <c r="B2101" i="6"/>
  <c r="B2094" i="6"/>
  <c r="B2087" i="6"/>
  <c r="B2080" i="6"/>
  <c r="B2073" i="6"/>
  <c r="B2066" i="6"/>
  <c r="B2059" i="6"/>
  <c r="B2052" i="6"/>
  <c r="B2045" i="6"/>
  <c r="B2038" i="6"/>
  <c r="B2031" i="6"/>
  <c r="B2024" i="6"/>
  <c r="B2017" i="6"/>
  <c r="B2010" i="6"/>
  <c r="B2003" i="6"/>
  <c r="B1996" i="6"/>
  <c r="B1989" i="6"/>
  <c r="B1982" i="6"/>
  <c r="B1975" i="6"/>
  <c r="B1968" i="6"/>
  <c r="B2379" i="6"/>
  <c r="B2376" i="6"/>
  <c r="B2314" i="6"/>
  <c r="B2311" i="6"/>
  <c r="B2258" i="6"/>
  <c r="B2256" i="6"/>
  <c r="B2206" i="6"/>
  <c r="B2407" i="6"/>
  <c r="B2355" i="6"/>
  <c r="B2304" i="6"/>
  <c r="B2209" i="6"/>
  <c r="B2193" i="6"/>
  <c r="B2186" i="6"/>
  <c r="B2145" i="6"/>
  <c r="B2140" i="6"/>
  <c r="B2135" i="6"/>
  <c r="B2106" i="6"/>
  <c r="B2095" i="6"/>
  <c r="B2076" i="6"/>
  <c r="B2057" i="6"/>
  <c r="B2046" i="6"/>
  <c r="B2027" i="6"/>
  <c r="B2008" i="6"/>
  <c r="B1997" i="6"/>
  <c r="B1978" i="6"/>
  <c r="B1964" i="6"/>
  <c r="B1957" i="6"/>
  <c r="B1950" i="6"/>
  <c r="B1943" i="6"/>
  <c r="B1936" i="6"/>
  <c r="B1929" i="6"/>
  <c r="B1922" i="6"/>
  <c r="B1915" i="6"/>
  <c r="B1908" i="6"/>
  <c r="B1901" i="6"/>
  <c r="B1894" i="6"/>
  <c r="B2299" i="6"/>
  <c r="B2291" i="6"/>
  <c r="B2259" i="6"/>
  <c r="B2226" i="6"/>
  <c r="B2224" i="6"/>
  <c r="B2167" i="6"/>
  <c r="B2160" i="6"/>
  <c r="B2146" i="6"/>
  <c r="B2141" i="6"/>
  <c r="B2124" i="6"/>
  <c r="B2116" i="6"/>
  <c r="B2097" i="6"/>
  <c r="B2078" i="6"/>
  <c r="B2067" i="6"/>
  <c r="B2048" i="6"/>
  <c r="B2029" i="6"/>
  <c r="B2018" i="6"/>
  <c r="B1999" i="6"/>
  <c r="B1980" i="6"/>
  <c r="B1969" i="6"/>
  <c r="B1963" i="6"/>
  <c r="B1956" i="6"/>
  <c r="B1949" i="6"/>
  <c r="B1942" i="6"/>
  <c r="B1935" i="6"/>
  <c r="B1928" i="6"/>
  <c r="B1921" i="6"/>
  <c r="B1914" i="6"/>
  <c r="B1907" i="6"/>
  <c r="B1900" i="6"/>
  <c r="B1893" i="6"/>
  <c r="B2415" i="6"/>
  <c r="B2362" i="6"/>
  <c r="B2349" i="6"/>
  <c r="B2322" i="6"/>
  <c r="B2249" i="6"/>
  <c r="B2204" i="6"/>
  <c r="B2202" i="6"/>
  <c r="B2117" i="6"/>
  <c r="B2098" i="6"/>
  <c r="B2079" i="6"/>
  <c r="B2068" i="6"/>
  <c r="B2049" i="6"/>
  <c r="B2030" i="6"/>
  <c r="B2019" i="6"/>
  <c r="B2000" i="6"/>
  <c r="B1981" i="6"/>
  <c r="B1970" i="6"/>
  <c r="B2454" i="6"/>
  <c r="B2287" i="6"/>
  <c r="B2255" i="6"/>
  <c r="B2231" i="6"/>
  <c r="B2217" i="6"/>
  <c r="B2172" i="6"/>
  <c r="B2165" i="6"/>
  <c r="B2152" i="6"/>
  <c r="B2147" i="6"/>
  <c r="B2142" i="6"/>
  <c r="B2125" i="6"/>
  <c r="B2118" i="6"/>
  <c r="B2099" i="6"/>
  <c r="B2088" i="6"/>
  <c r="B2069" i="6"/>
  <c r="B2050" i="6"/>
  <c r="B2039" i="6"/>
  <c r="B2020" i="6"/>
  <c r="B2001" i="6"/>
  <c r="B1990" i="6"/>
  <c r="B1971" i="6"/>
  <c r="B1962" i="6"/>
  <c r="B1955" i="6"/>
  <c r="B1948" i="6"/>
  <c r="B1941" i="6"/>
  <c r="B1934" i="6"/>
  <c r="B1927" i="6"/>
  <c r="B1920" i="6"/>
  <c r="B1913" i="6"/>
  <c r="B1906" i="6"/>
  <c r="B1899" i="6"/>
  <c r="B1892" i="6"/>
  <c r="B2343" i="6"/>
  <c r="B2236" i="6"/>
  <c r="B2213" i="6"/>
  <c r="B2181" i="6"/>
  <c r="B2128" i="6"/>
  <c r="B2090" i="6"/>
  <c r="B2062" i="6"/>
  <c r="B2034" i="6"/>
  <c r="B2009" i="6"/>
  <c r="B2006" i="6"/>
  <c r="B2366" i="6"/>
  <c r="B2271" i="6"/>
  <c r="B2121" i="6"/>
  <c r="B2093" i="6"/>
  <c r="B2065" i="6"/>
  <c r="B2040" i="6"/>
  <c r="B2037" i="6"/>
  <c r="B2012" i="6"/>
  <c r="B1984" i="6"/>
  <c r="B1890" i="6"/>
  <c r="B1883" i="6"/>
  <c r="B1876" i="6"/>
  <c r="B1869" i="6"/>
  <c r="B1862" i="6"/>
  <c r="B1855" i="6"/>
  <c r="B1848" i="6"/>
  <c r="B1841" i="6"/>
  <c r="B1834" i="6"/>
  <c r="B1827" i="6"/>
  <c r="B1820" i="6"/>
  <c r="B1813" i="6"/>
  <c r="B2325" i="6"/>
  <c r="B2315" i="6"/>
  <c r="B2188" i="6"/>
  <c r="B2164" i="6"/>
  <c r="B2159" i="6"/>
  <c r="B2133" i="6"/>
  <c r="B2126" i="6"/>
  <c r="B2107" i="6"/>
  <c r="B2104" i="6"/>
  <c r="B2071" i="6"/>
  <c r="B2043" i="6"/>
  <c r="B2015" i="6"/>
  <c r="B1998" i="6"/>
  <c r="B1987" i="6"/>
  <c r="B1958" i="6"/>
  <c r="B1953" i="6"/>
  <c r="B1931" i="6"/>
  <c r="B1926" i="6"/>
  <c r="B1909" i="6"/>
  <c r="B1904" i="6"/>
  <c r="B2216" i="6"/>
  <c r="B2110" i="6"/>
  <c r="B2082" i="6"/>
  <c r="B2054" i="6"/>
  <c r="B2026" i="6"/>
  <c r="B2021" i="6"/>
  <c r="B1993" i="6"/>
  <c r="B1889" i="6"/>
  <c r="B1882" i="6"/>
  <c r="B1875" i="6"/>
  <c r="B1868" i="6"/>
  <c r="B1861" i="6"/>
  <c r="B1854" i="6"/>
  <c r="B1847" i="6"/>
  <c r="B1840" i="6"/>
  <c r="B1833" i="6"/>
  <c r="B1826" i="6"/>
  <c r="B1819" i="6"/>
  <c r="B1812" i="6"/>
  <c r="B2178" i="6"/>
  <c r="B2171" i="6"/>
  <c r="B2155" i="6"/>
  <c r="B2131" i="6"/>
  <c r="B2102" i="6"/>
  <c r="B2032" i="6"/>
  <c r="B2028" i="6"/>
  <c r="B1985" i="6"/>
  <c r="B1979" i="6"/>
  <c r="B1959" i="6"/>
  <c r="B1917" i="6"/>
  <c r="B1874" i="6"/>
  <c r="B1863" i="6"/>
  <c r="B1844" i="6"/>
  <c r="B1825" i="6"/>
  <c r="B1814" i="6"/>
  <c r="B1803" i="6"/>
  <c r="B1796" i="6"/>
  <c r="B1789" i="6"/>
  <c r="B1782" i="6"/>
  <c r="B1775" i="6"/>
  <c r="B1768" i="6"/>
  <c r="B1761" i="6"/>
  <c r="B1754" i="6"/>
  <c r="B1747" i="6"/>
  <c r="B1740" i="6"/>
  <c r="B1733" i="6"/>
  <c r="B2450" i="6"/>
  <c r="B2329" i="6"/>
  <c r="B2223" i="6"/>
  <c r="B2119" i="6"/>
  <c r="B1995" i="6"/>
  <c r="B1983" i="6"/>
  <c r="B1973" i="6"/>
  <c r="B1945" i="6"/>
  <c r="B1903" i="6"/>
  <c r="B1864" i="6"/>
  <c r="B1845" i="6"/>
  <c r="B1815" i="6"/>
  <c r="B2285" i="6"/>
  <c r="B2269" i="6"/>
  <c r="B2251" i="6"/>
  <c r="B2194" i="6"/>
  <c r="B2187" i="6"/>
  <c r="B2138" i="6"/>
  <c r="B2060" i="6"/>
  <c r="B2058" i="6"/>
  <c r="B1977" i="6"/>
  <c r="B1967" i="6"/>
  <c r="B1954" i="6"/>
  <c r="B1937" i="6"/>
  <c r="B1912" i="6"/>
  <c r="B1895" i="6"/>
  <c r="B1884" i="6"/>
  <c r="B1865" i="6"/>
  <c r="B1846" i="6"/>
  <c r="B1835" i="6"/>
  <c r="B1816" i="6"/>
  <c r="B1802" i="6"/>
  <c r="B1795" i="6"/>
  <c r="B1788" i="6"/>
  <c r="B1781" i="6"/>
  <c r="B1774" i="6"/>
  <c r="B1767" i="6"/>
  <c r="B1760" i="6"/>
  <c r="B1753" i="6"/>
  <c r="B1746" i="6"/>
  <c r="B1739" i="6"/>
  <c r="B1732" i="6"/>
  <c r="B1725" i="6"/>
  <c r="B1718" i="6"/>
  <c r="B1711" i="6"/>
  <c r="B1704" i="6"/>
  <c r="B1697" i="6"/>
  <c r="B1690" i="6"/>
  <c r="B1683" i="6"/>
  <c r="B1676" i="6"/>
  <c r="B1669" i="6"/>
  <c r="B1662" i="6"/>
  <c r="B1655" i="6"/>
  <c r="B1648" i="6"/>
  <c r="B1641" i="6"/>
  <c r="B1634" i="6"/>
  <c r="B1627" i="6"/>
  <c r="B1620" i="6"/>
  <c r="B1613" i="6"/>
  <c r="B1606" i="6"/>
  <c r="B1599" i="6"/>
  <c r="B1592" i="6"/>
  <c r="B2321" i="6"/>
  <c r="B2056" i="6"/>
  <c r="B2023" i="6"/>
  <c r="B1965" i="6"/>
  <c r="B1940" i="6"/>
  <c r="B1923" i="6"/>
  <c r="B1898" i="6"/>
  <c r="B1885" i="6"/>
  <c r="B1866" i="6"/>
  <c r="B1836" i="6"/>
  <c r="B1817" i="6"/>
  <c r="B2218" i="6"/>
  <c r="B2398" i="6"/>
  <c r="B2112" i="6"/>
  <c r="B2103" i="6"/>
  <c r="B2072" i="6"/>
  <c r="B2063" i="6"/>
  <c r="B2014" i="6"/>
  <c r="B2005" i="6"/>
  <c r="B1871" i="6"/>
  <c r="B1843" i="6"/>
  <c r="B1838" i="6"/>
  <c r="B1806" i="6"/>
  <c r="B1797" i="6"/>
  <c r="B1778" i="6"/>
  <c r="B1759" i="6"/>
  <c r="B1748" i="6"/>
  <c r="B1717" i="6"/>
  <c r="B1716" i="6"/>
  <c r="B1715" i="6"/>
  <c r="B1714" i="6"/>
  <c r="B1713" i="6"/>
  <c r="B1712" i="6"/>
  <c r="B1668" i="6"/>
  <c r="B1667" i="6"/>
  <c r="B1666" i="6"/>
  <c r="B1665" i="6"/>
  <c r="B1664" i="6"/>
  <c r="B1663" i="6"/>
  <c r="B1619" i="6"/>
  <c r="B1618" i="6"/>
  <c r="B1617" i="6"/>
  <c r="B1616" i="6"/>
  <c r="B1615" i="6"/>
  <c r="B1614" i="6"/>
  <c r="B2084" i="6"/>
  <c r="B2075" i="6"/>
  <c r="B2044" i="6"/>
  <c r="B2035" i="6"/>
  <c r="B1952" i="6"/>
  <c r="B1880" i="6"/>
  <c r="B1852" i="6"/>
  <c r="B1824" i="6"/>
  <c r="B1810" i="6"/>
  <c r="B1799" i="6"/>
  <c r="B1780" i="6"/>
  <c r="B1769" i="6"/>
  <c r="B1750" i="6"/>
  <c r="B1724" i="6"/>
  <c r="B1723" i="6"/>
  <c r="B1722" i="6"/>
  <c r="B1721" i="6"/>
  <c r="B1720" i="6"/>
  <c r="B1719" i="6"/>
  <c r="B1675" i="6"/>
  <c r="B1674" i="6"/>
  <c r="B1673" i="6"/>
  <c r="B1672" i="6"/>
  <c r="B1671" i="6"/>
  <c r="B1670" i="6"/>
  <c r="B1626" i="6"/>
  <c r="B1625" i="6"/>
  <c r="B1624" i="6"/>
  <c r="B1623" i="6"/>
  <c r="B1622" i="6"/>
  <c r="B1621" i="6"/>
  <c r="B2391" i="6"/>
  <c r="B2319" i="6"/>
  <c r="B2220" i="6"/>
  <c r="B2195" i="6"/>
  <c r="B2166" i="6"/>
  <c r="B2154" i="6"/>
  <c r="B2134" i="6"/>
  <c r="B2127" i="6"/>
  <c r="B2096" i="6"/>
  <c r="B2081" i="6"/>
  <c r="B2047" i="6"/>
  <c r="B2041" i="6"/>
  <c r="B1919" i="6"/>
  <c r="B1910" i="6"/>
  <c r="B1891" i="6"/>
  <c r="B1886" i="6"/>
  <c r="B1858" i="6"/>
  <c r="B1830" i="6"/>
  <c r="B1800" i="6"/>
  <c r="B1770" i="6"/>
  <c r="B1751" i="6"/>
  <c r="B1580" i="6"/>
  <c r="B1573" i="6"/>
  <c r="B1566" i="6"/>
  <c r="B1559" i="6"/>
  <c r="B1552" i="6"/>
  <c r="B1545" i="6"/>
  <c r="B1538" i="6"/>
  <c r="B1531" i="6"/>
  <c r="B1524" i="6"/>
  <c r="B1517" i="6"/>
  <c r="B1510" i="6"/>
  <c r="B1503" i="6"/>
  <c r="B1496" i="6"/>
  <c r="B1489" i="6"/>
  <c r="B2313" i="6"/>
  <c r="B2064" i="6"/>
  <c r="B1881" i="6"/>
  <c r="B1808" i="6"/>
  <c r="B1752" i="6"/>
  <c r="B1745" i="6"/>
  <c r="B1738" i="6"/>
  <c r="B1709" i="6"/>
  <c r="B1679" i="6"/>
  <c r="B1644" i="6"/>
  <c r="B1640" i="6"/>
  <c r="B1609" i="6"/>
  <c r="B1605" i="6"/>
  <c r="B1570" i="6"/>
  <c r="B1560" i="6"/>
  <c r="B1551" i="6"/>
  <c r="B1540" i="6"/>
  <c r="B1521" i="6"/>
  <c r="B1511" i="6"/>
  <c r="B1502" i="6"/>
  <c r="B1491" i="6"/>
  <c r="B1469" i="6"/>
  <c r="B2091" i="6"/>
  <c r="B2083" i="6"/>
  <c r="B1976" i="6"/>
  <c r="B1972" i="6"/>
  <c r="B1946" i="6"/>
  <c r="B1924" i="6"/>
  <c r="B1918" i="6"/>
  <c r="B1896" i="6"/>
  <c r="B1873" i="6"/>
  <c r="B1857" i="6"/>
  <c r="B1853" i="6"/>
  <c r="B1837" i="6"/>
  <c r="B1793" i="6"/>
  <c r="B1786" i="6"/>
  <c r="B1742" i="6"/>
  <c r="B1735" i="6"/>
  <c r="B1705" i="6"/>
  <c r="B1701" i="6"/>
  <c r="B1636" i="6"/>
  <c r="B1632" i="6"/>
  <c r="B1601" i="6"/>
  <c r="B1597" i="6"/>
  <c r="B1581" i="6"/>
  <c r="B1572" i="6"/>
  <c r="B1561" i="6"/>
  <c r="B1542" i="6"/>
  <c r="B1532" i="6"/>
  <c r="B1523" i="6"/>
  <c r="B1512" i="6"/>
  <c r="B1493" i="6"/>
  <c r="B2173" i="6"/>
  <c r="B2156" i="6"/>
  <c r="B2036" i="6"/>
  <c r="B2016" i="6"/>
  <c r="B1851" i="6"/>
  <c r="B1849" i="6"/>
  <c r="B1831" i="6"/>
  <c r="B1773" i="6"/>
  <c r="B1766" i="6"/>
  <c r="B1710" i="6"/>
  <c r="B1684" i="6"/>
  <c r="B1680" i="6"/>
  <c r="B1649" i="6"/>
  <c r="B1645" i="6"/>
  <c r="B1610" i="6"/>
  <c r="B1562" i="6"/>
  <c r="B1543" i="6"/>
  <c r="B1513" i="6"/>
  <c r="B1494" i="6"/>
  <c r="B1482" i="6"/>
  <c r="B1481" i="6"/>
  <c r="B1480" i="6"/>
  <c r="B1479" i="6"/>
  <c r="B1478" i="6"/>
  <c r="B1477" i="6"/>
  <c r="B2055" i="6"/>
  <c r="B2051" i="6"/>
  <c r="B2364" i="6"/>
  <c r="B1951" i="6"/>
  <c r="B1944" i="6"/>
  <c r="B1925" i="6"/>
  <c r="B1867" i="6"/>
  <c r="B1832" i="6"/>
  <c r="B1805" i="6"/>
  <c r="B1801" i="6"/>
  <c r="B1776" i="6"/>
  <c r="B1731" i="6"/>
  <c r="B1708" i="6"/>
  <c r="B1698" i="6"/>
  <c r="B1688" i="6"/>
  <c r="B1660" i="6"/>
  <c r="B1650" i="6"/>
  <c r="B1612" i="6"/>
  <c r="B1602" i="6"/>
  <c r="B1516" i="6"/>
  <c r="B1509" i="6"/>
  <c r="B2335" i="6"/>
  <c r="B2192" i="6"/>
  <c r="B2105" i="6"/>
  <c r="B2013" i="6"/>
  <c r="B2007" i="6"/>
  <c r="B1872" i="6"/>
  <c r="B1842" i="6"/>
  <c r="B1839" i="6"/>
  <c r="B1829" i="6"/>
  <c r="B1785" i="6"/>
  <c r="B1783" i="6"/>
  <c r="B1758" i="6"/>
  <c r="B1756" i="6"/>
  <c r="B1726" i="6"/>
  <c r="B1678" i="6"/>
  <c r="B1630" i="6"/>
  <c r="B1607" i="6"/>
  <c r="B1584" i="6"/>
  <c r="B1577" i="6"/>
  <c r="B1533" i="6"/>
  <c r="B1526" i="6"/>
  <c r="B1519" i="6"/>
  <c r="B1492" i="6"/>
  <c r="B1485" i="6"/>
  <c r="B2111" i="6"/>
  <c r="B2100" i="6"/>
  <c r="B2089" i="6"/>
  <c r="B2002" i="6"/>
  <c r="B1986" i="6"/>
  <c r="B1947" i="6"/>
  <c r="B1887" i="6"/>
  <c r="B1877" i="6"/>
  <c r="B1811" i="6"/>
  <c r="B1809" i="6"/>
  <c r="B1792" i="6"/>
  <c r="B1790" i="6"/>
  <c r="B1765" i="6"/>
  <c r="B1763" i="6"/>
  <c r="B1736" i="6"/>
  <c r="B1729" i="6"/>
  <c r="B1706" i="6"/>
  <c r="B1681" i="6"/>
  <c r="B1658" i="6"/>
  <c r="B1635" i="6"/>
  <c r="B1633" i="6"/>
  <c r="B1587" i="6"/>
  <c r="B1574" i="6"/>
  <c r="B1567" i="6"/>
  <c r="B1564" i="6"/>
  <c r="B1557" i="6"/>
  <c r="B1550" i="6"/>
  <c r="B1506" i="6"/>
  <c r="B1499" i="6"/>
  <c r="B2237" i="6"/>
  <c r="B2077" i="6"/>
  <c r="B1939" i="6"/>
  <c r="B1859" i="6"/>
  <c r="B1772" i="6"/>
  <c r="B1743" i="6"/>
  <c r="B1696" i="6"/>
  <c r="B1686" i="6"/>
  <c r="B1653" i="6"/>
  <c r="B1638" i="6"/>
  <c r="B1628" i="6"/>
  <c r="B1590" i="6"/>
  <c r="B1544" i="6"/>
  <c r="B1537" i="6"/>
  <c r="B1530" i="6"/>
  <c r="B2199" i="6"/>
  <c r="B2139" i="6"/>
  <c r="B1991" i="6"/>
  <c r="B1966" i="6"/>
  <c r="B1821" i="6"/>
  <c r="B2114" i="6"/>
  <c r="B2004" i="6"/>
  <c r="B2301" i="6"/>
  <c r="B2113" i="6"/>
  <c r="B2365" i="6"/>
  <c r="B2149" i="6"/>
  <c r="B2120" i="6"/>
  <c r="B2070" i="6"/>
  <c r="B2011" i="6"/>
  <c r="B1994" i="6"/>
  <c r="B1878" i="6"/>
  <c r="B1823" i="6"/>
  <c r="B1779" i="6"/>
  <c r="B1596" i="6"/>
  <c r="B1549" i="6"/>
  <c r="B1525" i="6"/>
  <c r="B1515" i="6"/>
  <c r="B1507" i="6"/>
  <c r="B2413" i="6"/>
  <c r="B2053" i="6"/>
  <c r="B1933" i="6"/>
  <c r="B1916" i="6"/>
  <c r="B1804" i="6"/>
  <c r="B1651" i="6"/>
  <c r="B1642" i="6"/>
  <c r="B1593" i="6"/>
  <c r="B1505" i="6"/>
  <c r="B1501" i="6"/>
  <c r="B1463" i="6"/>
  <c r="B1440" i="6"/>
  <c r="B1439" i="6"/>
  <c r="B1438" i="6"/>
  <c r="B1437" i="6"/>
  <c r="B1436" i="6"/>
  <c r="B1435" i="6"/>
  <c r="B1391" i="6"/>
  <c r="B1390" i="6"/>
  <c r="B1389" i="6"/>
  <c r="B1388" i="6"/>
  <c r="B1387" i="6"/>
  <c r="B1386" i="6"/>
  <c r="B2148" i="6"/>
  <c r="B1938" i="6"/>
  <c r="B1911" i="6"/>
  <c r="B1870" i="6"/>
  <c r="B1850" i="6"/>
  <c r="B1818" i="6"/>
  <c r="B1762" i="6"/>
  <c r="B1703" i="6"/>
  <c r="B1646" i="6"/>
  <c r="B1637" i="6"/>
  <c r="B1600" i="6"/>
  <c r="B1582" i="6"/>
  <c r="B1578" i="6"/>
  <c r="B2153" i="6"/>
  <c r="B1992" i="6"/>
  <c r="B1888" i="6"/>
  <c r="B1828" i="6"/>
  <c r="B1466" i="6"/>
  <c r="B1450" i="6"/>
  <c r="B1417" i="6"/>
  <c r="B1406" i="6"/>
  <c r="B1395" i="6"/>
  <c r="B1384" i="6"/>
  <c r="B1372" i="6"/>
  <c r="B1362" i="6"/>
  <c r="B2042" i="6"/>
  <c r="B1961" i="6"/>
  <c r="B1700" i="6"/>
  <c r="B1661" i="6"/>
  <c r="B1643" i="6"/>
  <c r="B1608" i="6"/>
  <c r="B2404" i="6"/>
  <c r="B2247" i="6"/>
  <c r="B1554" i="6"/>
  <c r="B1529" i="6"/>
  <c r="B1522" i="6"/>
  <c r="B1508" i="6"/>
  <c r="B1487" i="6"/>
  <c r="B1483" i="6"/>
  <c r="B1476" i="6"/>
  <c r="B1467" i="6"/>
  <c r="B1452" i="6"/>
  <c r="B1441" i="6"/>
  <c r="B1429" i="6"/>
  <c r="B1419" i="6"/>
  <c r="B1407" i="6"/>
  <c r="B1397" i="6"/>
  <c r="B1385" i="6"/>
  <c r="B1374" i="6"/>
  <c r="B1352" i="6"/>
  <c r="B1336" i="6"/>
  <c r="B2242" i="6"/>
  <c r="B2092" i="6"/>
  <c r="B1960" i="6"/>
  <c r="B1764" i="6"/>
  <c r="B1693" i="6"/>
  <c r="B1687" i="6"/>
  <c r="B1652" i="6"/>
  <c r="B1631" i="6"/>
  <c r="B1472" i="6"/>
  <c r="B1461" i="6"/>
  <c r="B1453" i="6"/>
  <c r="B1430" i="6"/>
  <c r="B1408" i="6"/>
  <c r="B1398" i="6"/>
  <c r="B1375" i="6"/>
  <c r="B1364" i="6"/>
  <c r="B1353" i="6"/>
  <c r="B1342" i="6"/>
  <c r="B1341" i="6"/>
  <c r="B1340" i="6"/>
  <c r="B1339" i="6"/>
  <c r="B1338" i="6"/>
  <c r="B1337" i="6"/>
  <c r="B1330" i="6"/>
  <c r="B1323" i="6"/>
  <c r="B1316" i="6"/>
  <c r="B1309" i="6"/>
  <c r="B1302" i="6"/>
  <c r="B1295" i="6"/>
  <c r="B1288" i="6"/>
  <c r="B1281" i="6"/>
  <c r="B1274" i="6"/>
  <c r="B1267" i="6"/>
  <c r="B1260" i="6"/>
  <c r="B1253" i="6"/>
  <c r="B1246" i="6"/>
  <c r="B1239" i="6"/>
  <c r="B1232" i="6"/>
  <c r="B1225" i="6"/>
  <c r="B2205" i="6"/>
  <c r="B1856" i="6"/>
  <c r="B1822" i="6"/>
  <c r="B1807" i="6"/>
  <c r="B1757" i="6"/>
  <c r="B1702" i="6"/>
  <c r="B1699" i="6"/>
  <c r="B1595" i="6"/>
  <c r="B1579" i="6"/>
  <c r="B1547" i="6"/>
  <c r="B1454" i="6"/>
  <c r="B1442" i="6"/>
  <c r="B1431" i="6"/>
  <c r="B1420" i="6"/>
  <c r="B1409" i="6"/>
  <c r="B1376" i="6"/>
  <c r="B1354" i="6"/>
  <c r="B1343" i="6"/>
  <c r="B2305" i="6"/>
  <c r="B2033" i="6"/>
  <c r="B1734" i="6"/>
  <c r="B1728" i="6"/>
  <c r="B1611" i="6"/>
  <c r="B1556" i="6"/>
  <c r="B1553" i="6"/>
  <c r="B1486" i="6"/>
  <c r="B1462" i="6"/>
  <c r="B1451" i="6"/>
  <c r="B1434" i="6"/>
  <c r="B1428" i="6"/>
  <c r="B2132" i="6"/>
  <c r="B1974" i="6"/>
  <c r="B1902" i="6"/>
  <c r="B1860" i="6"/>
  <c r="B1446" i="6"/>
  <c r="B1423" i="6"/>
  <c r="B1692" i="6"/>
  <c r="B1656" i="6"/>
  <c r="B1647" i="6"/>
  <c r="B1583" i="6"/>
  <c r="B1534" i="6"/>
  <c r="B1432" i="6"/>
  <c r="B1426" i="6"/>
  <c r="B1412" i="6"/>
  <c r="B2109" i="6"/>
  <c r="B2086" i="6"/>
  <c r="B2025" i="6"/>
  <c r="B1988" i="6"/>
  <c r="B1794" i="6"/>
  <c r="B1755" i="6"/>
  <c r="B1749" i="6"/>
  <c r="B1727" i="6"/>
  <c r="B1707" i="6"/>
  <c r="B1591" i="6"/>
  <c r="B1558" i="6"/>
  <c r="B1548" i="6"/>
  <c r="B1541" i="6"/>
  <c r="B1468" i="6"/>
  <c r="B1449" i="6"/>
  <c r="B1378" i="6"/>
  <c r="B2022" i="6"/>
  <c r="B1654" i="6"/>
  <c r="B1604" i="6"/>
  <c r="B1555" i="6"/>
  <c r="B1498" i="6"/>
  <c r="B1470" i="6"/>
  <c r="B1444" i="6"/>
  <c r="B1421" i="6"/>
  <c r="B1418" i="6"/>
  <c r="B1415" i="6"/>
  <c r="B1401" i="6"/>
  <c r="B1787" i="6"/>
  <c r="B1695" i="6"/>
  <c r="B1603" i="6"/>
  <c r="B1576" i="6"/>
  <c r="B1500" i="6"/>
  <c r="B1495" i="6"/>
  <c r="B1458" i="6"/>
  <c r="B1427" i="6"/>
  <c r="B1399" i="6"/>
  <c r="B1394" i="6"/>
  <c r="B1368" i="6"/>
  <c r="B1348" i="6"/>
  <c r="B1332" i="6"/>
  <c r="B1266" i="6"/>
  <c r="B1265" i="6"/>
  <c r="B1264" i="6"/>
  <c r="B1263" i="6"/>
  <c r="B1262" i="6"/>
  <c r="B2074" i="6"/>
  <c r="B1588" i="6"/>
  <c r="B1569" i="6"/>
  <c r="B1563" i="6"/>
  <c r="B1535" i="6"/>
  <c r="B1514" i="6"/>
  <c r="B1504" i="6"/>
  <c r="B1490" i="6"/>
  <c r="B1424" i="6"/>
  <c r="B1383" i="6"/>
  <c r="B1381" i="6"/>
  <c r="B1371" i="6"/>
  <c r="B1357" i="6"/>
  <c r="B1351" i="6"/>
  <c r="B1317" i="6"/>
  <c r="B1273" i="6"/>
  <c r="B1272" i="6"/>
  <c r="B1271" i="6"/>
  <c r="B1270" i="6"/>
  <c r="B1269" i="6"/>
  <c r="B1224" i="6"/>
  <c r="B1223" i="6"/>
  <c r="B1222" i="6"/>
  <c r="B1221" i="6"/>
  <c r="B1777" i="6"/>
  <c r="B1694" i="6"/>
  <c r="B1575" i="6"/>
  <c r="B1546" i="6"/>
  <c r="B1471" i="6"/>
  <c r="B1455" i="6"/>
  <c r="B1329" i="6"/>
  <c r="B1312" i="6"/>
  <c r="B1307" i="6"/>
  <c r="B1275" i="6"/>
  <c r="B1226" i="6"/>
  <c r="B1220" i="6"/>
  <c r="B1213" i="6"/>
  <c r="B1206" i="6"/>
  <c r="B1199" i="6"/>
  <c r="B1192" i="6"/>
  <c r="B1185" i="6"/>
  <c r="B1178" i="6"/>
  <c r="B1171" i="6"/>
  <c r="B1164" i="6"/>
  <c r="B1157" i="6"/>
  <c r="B1150" i="6"/>
  <c r="B1143" i="6"/>
  <c r="B1136" i="6"/>
  <c r="B1129" i="6"/>
  <c r="B1122" i="6"/>
  <c r="B1115" i="6"/>
  <c r="B1108" i="6"/>
  <c r="B1101" i="6"/>
  <c r="B1094" i="6"/>
  <c r="B1087" i="6"/>
  <c r="B1080" i="6"/>
  <c r="B1073" i="6"/>
  <c r="B1066" i="6"/>
  <c r="B1059" i="6"/>
  <c r="B1052" i="6"/>
  <c r="B1045" i="6"/>
  <c r="B1038" i="6"/>
  <c r="B1031" i="6"/>
  <c r="B1024" i="6"/>
  <c r="B1017" i="6"/>
  <c r="B1010" i="6"/>
  <c r="B1003" i="6"/>
  <c r="B996" i="6"/>
  <c r="B989" i="6"/>
  <c r="B982" i="6"/>
  <c r="B975" i="6"/>
  <c r="B968" i="6"/>
  <c r="B961" i="6"/>
  <c r="B954" i="6"/>
  <c r="B947" i="6"/>
  <c r="B940" i="6"/>
  <c r="B933" i="6"/>
  <c r="B926" i="6"/>
  <c r="B919" i="6"/>
  <c r="B912" i="6"/>
  <c r="B2318" i="6"/>
  <c r="B2061" i="6"/>
  <c r="B1932" i="6"/>
  <c r="B1741" i="6"/>
  <c r="B1594" i="6"/>
  <c r="B1568" i="6"/>
  <c r="B1488" i="6"/>
  <c r="B1465" i="6"/>
  <c r="B1433" i="6"/>
  <c r="B1377" i="6"/>
  <c r="B1369" i="6"/>
  <c r="B1355" i="6"/>
  <c r="B1349" i="6"/>
  <c r="B1318" i="6"/>
  <c r="B1313" i="6"/>
  <c r="B1308" i="6"/>
  <c r="B1282" i="6"/>
  <c r="B1233" i="6"/>
  <c r="B1219" i="6"/>
  <c r="B1212" i="6"/>
  <c r="B1205" i="6"/>
  <c r="B1198" i="6"/>
  <c r="B1191" i="6"/>
  <c r="B1184" i="6"/>
  <c r="B1177" i="6"/>
  <c r="B1170" i="6"/>
  <c r="B1163" i="6"/>
  <c r="B1156" i="6"/>
  <c r="B1149" i="6"/>
  <c r="B1142" i="6"/>
  <c r="B1135" i="6"/>
  <c r="B1128" i="6"/>
  <c r="B1121" i="6"/>
  <c r="B1114" i="6"/>
  <c r="B1107" i="6"/>
  <c r="B1100" i="6"/>
  <c r="B1093" i="6"/>
  <c r="B1086" i="6"/>
  <c r="B1079" i="6"/>
  <c r="B1072" i="6"/>
  <c r="B1065" i="6"/>
  <c r="B1058" i="6"/>
  <c r="B1051" i="6"/>
  <c r="B1044" i="6"/>
  <c r="B1037" i="6"/>
  <c r="B1030" i="6"/>
  <c r="B1023" i="6"/>
  <c r="B1016" i="6"/>
  <c r="B1009" i="6"/>
  <c r="B1002" i="6"/>
  <c r="B995" i="6"/>
  <c r="B988" i="6"/>
  <c r="B981" i="6"/>
  <c r="B974" i="6"/>
  <c r="B967" i="6"/>
  <c r="B960" i="6"/>
  <c r="B953" i="6"/>
  <c r="B946" i="6"/>
  <c r="B939" i="6"/>
  <c r="B932" i="6"/>
  <c r="B925" i="6"/>
  <c r="B918" i="6"/>
  <c r="B911" i="6"/>
  <c r="B904" i="6"/>
  <c r="B897" i="6"/>
  <c r="B890" i="6"/>
  <c r="B883" i="6"/>
  <c r="B876" i="6"/>
  <c r="B869" i="6"/>
  <c r="B862" i="6"/>
  <c r="B855" i="6"/>
  <c r="B848" i="6"/>
  <c r="B841" i="6"/>
  <c r="B1771" i="6"/>
  <c r="B1484" i="6"/>
  <c r="B1474" i="6"/>
  <c r="B1445" i="6"/>
  <c r="B1422" i="6"/>
  <c r="B1328" i="6"/>
  <c r="B1311" i="6"/>
  <c r="B1292" i="6"/>
  <c r="B1255" i="6"/>
  <c r="B1252" i="6"/>
  <c r="B1242" i="6"/>
  <c r="B1179" i="6"/>
  <c r="B1130" i="6"/>
  <c r="B1081" i="6"/>
  <c r="B1032" i="6"/>
  <c r="B983" i="6"/>
  <c r="B934" i="6"/>
  <c r="B899" i="6"/>
  <c r="B882" i="6"/>
  <c r="B866" i="6"/>
  <c r="B850" i="6"/>
  <c r="B837" i="6"/>
  <c r="B830" i="6"/>
  <c r="B823" i="6"/>
  <c r="B816" i="6"/>
  <c r="B809" i="6"/>
  <c r="B802" i="6"/>
  <c r="B795" i="6"/>
  <c r="B788" i="6"/>
  <c r="B781" i="6"/>
  <c r="B774" i="6"/>
  <c r="B767" i="6"/>
  <c r="B760" i="6"/>
  <c r="B753" i="6"/>
  <c r="B746" i="6"/>
  <c r="B739" i="6"/>
  <c r="B732" i="6"/>
  <c r="B725" i="6"/>
  <c r="B718" i="6"/>
  <c r="B711" i="6"/>
  <c r="B704" i="6"/>
  <c r="B697" i="6"/>
  <c r="B690" i="6"/>
  <c r="B683" i="6"/>
  <c r="B676" i="6"/>
  <c r="B669" i="6"/>
  <c r="B662" i="6"/>
  <c r="B655" i="6"/>
  <c r="B648" i="6"/>
  <c r="B641" i="6"/>
  <c r="B634" i="6"/>
  <c r="B627" i="6"/>
  <c r="B620" i="6"/>
  <c r="B613" i="6"/>
  <c r="B606" i="6"/>
  <c r="B599" i="6"/>
  <c r="B592" i="6"/>
  <c r="B585" i="6"/>
  <c r="B578" i="6"/>
  <c r="B571" i="6"/>
  <c r="B564" i="6"/>
  <c r="B557" i="6"/>
  <c r="B550" i="6"/>
  <c r="B543" i="6"/>
  <c r="B536" i="6"/>
  <c r="B529" i="6"/>
  <c r="B522" i="6"/>
  <c r="B515" i="6"/>
  <c r="B508" i="6"/>
  <c r="B501" i="6"/>
  <c r="B494" i="6"/>
  <c r="B487" i="6"/>
  <c r="B480" i="6"/>
  <c r="B473" i="6"/>
  <c r="B466" i="6"/>
  <c r="B459" i="6"/>
  <c r="B1689" i="6"/>
  <c r="B1518" i="6"/>
  <c r="B1497" i="6"/>
  <c r="B1473" i="6"/>
  <c r="B1459" i="6"/>
  <c r="B1396" i="6"/>
  <c r="B1367" i="6"/>
  <c r="B1365" i="6"/>
  <c r="B1350" i="6"/>
  <c r="B1321" i="6"/>
  <c r="B1314" i="6"/>
  <c r="B1304" i="6"/>
  <c r="B1297" i="6"/>
  <c r="B1289" i="6"/>
  <c r="B1279" i="6"/>
  <c r="B1229" i="6"/>
  <c r="B1218" i="6"/>
  <c r="B1201" i="6"/>
  <c r="B1196" i="6"/>
  <c r="B1174" i="6"/>
  <c r="B1169" i="6"/>
  <c r="B1152" i="6"/>
  <c r="B1147" i="6"/>
  <c r="B1125" i="6"/>
  <c r="B1120" i="6"/>
  <c r="B1103" i="6"/>
  <c r="B1098" i="6"/>
  <c r="B1076" i="6"/>
  <c r="B1071" i="6"/>
  <c r="B1054" i="6"/>
  <c r="B1049" i="6"/>
  <c r="B1027" i="6"/>
  <c r="B1022" i="6"/>
  <c r="B1005" i="6"/>
  <c r="B1000" i="6"/>
  <c r="B978" i="6"/>
  <c r="B973" i="6"/>
  <c r="B956" i="6"/>
  <c r="B951" i="6"/>
  <c r="B929" i="6"/>
  <c r="B924" i="6"/>
  <c r="B898" i="6"/>
  <c r="B881" i="6"/>
  <c r="B865" i="6"/>
  <c r="B849" i="6"/>
  <c r="B1659" i="6"/>
  <c r="B1639" i="6"/>
  <c r="B1629" i="6"/>
  <c r="B1598" i="6"/>
  <c r="B1425" i="6"/>
  <c r="B1356" i="6"/>
  <c r="B1286" i="6"/>
  <c r="B1259" i="6"/>
  <c r="B1249" i="6"/>
  <c r="B1236" i="6"/>
  <c r="B1207" i="6"/>
  <c r="B1158" i="6"/>
  <c r="B1109" i="6"/>
  <c r="B1060" i="6"/>
  <c r="B1011" i="6"/>
  <c r="B962" i="6"/>
  <c r="B913" i="6"/>
  <c r="B896" i="6"/>
  <c r="B880" i="6"/>
  <c r="B864" i="6"/>
  <c r="B847" i="6"/>
  <c r="B836" i="6"/>
  <c r="B829" i="6"/>
  <c r="B822" i="6"/>
  <c r="B815" i="6"/>
  <c r="B808" i="6"/>
  <c r="B801" i="6"/>
  <c r="B794" i="6"/>
  <c r="B787" i="6"/>
  <c r="B780" i="6"/>
  <c r="B773" i="6"/>
  <c r="B766" i="6"/>
  <c r="B759" i="6"/>
  <c r="B752" i="6"/>
  <c r="B745" i="6"/>
  <c r="B738" i="6"/>
  <c r="B731" i="6"/>
  <c r="B724" i="6"/>
  <c r="B717" i="6"/>
  <c r="B710" i="6"/>
  <c r="B703" i="6"/>
  <c r="B696" i="6"/>
  <c r="B689" i="6"/>
  <c r="B2085" i="6"/>
  <c r="B1589" i="6"/>
  <c r="B1571" i="6"/>
  <c r="B1539" i="6"/>
  <c r="B1448" i="6"/>
  <c r="B1411" i="6"/>
  <c r="B1393" i="6"/>
  <c r="B1333" i="6"/>
  <c r="B1326" i="6"/>
  <c r="B1319" i="6"/>
  <c r="B1276" i="6"/>
  <c r="B1202" i="6"/>
  <c r="B1197" i="6"/>
  <c r="B1180" i="6"/>
  <c r="B1175" i="6"/>
  <c r="B1153" i="6"/>
  <c r="B1148" i="6"/>
  <c r="B1131" i="6"/>
  <c r="B1126" i="6"/>
  <c r="B1104" i="6"/>
  <c r="B1099" i="6"/>
  <c r="B1082" i="6"/>
  <c r="B1077" i="6"/>
  <c r="B1055" i="6"/>
  <c r="B1050" i="6"/>
  <c r="B1033" i="6"/>
  <c r="B1028" i="6"/>
  <c r="B1006" i="6"/>
  <c r="B1001" i="6"/>
  <c r="B984" i="6"/>
  <c r="B979" i="6"/>
  <c r="B957" i="6"/>
  <c r="B952" i="6"/>
  <c r="B935" i="6"/>
  <c r="B930" i="6"/>
  <c r="B895" i="6"/>
  <c r="B879" i="6"/>
  <c r="B863" i="6"/>
  <c r="B846" i="6"/>
  <c r="B1402" i="6"/>
  <c r="B1392" i="6"/>
  <c r="B1344" i="6"/>
  <c r="B1268" i="6"/>
  <c r="B1258" i="6"/>
  <c r="B1248" i="6"/>
  <c r="B1172" i="6"/>
  <c r="B1165" i="6"/>
  <c r="B1004" i="6"/>
  <c r="B997" i="6"/>
  <c r="B990" i="6"/>
  <c r="B908" i="6"/>
  <c r="B887" i="6"/>
  <c r="B875" i="6"/>
  <c r="B854" i="6"/>
  <c r="B831" i="6"/>
  <c r="B826" i="6"/>
  <c r="B821" i="6"/>
  <c r="B804" i="6"/>
  <c r="B799" i="6"/>
  <c r="B782" i="6"/>
  <c r="B777" i="6"/>
  <c r="B772" i="6"/>
  <c r="B755" i="6"/>
  <c r="B750" i="6"/>
  <c r="B733" i="6"/>
  <c r="B728" i="6"/>
  <c r="B723" i="6"/>
  <c r="B706" i="6"/>
  <c r="B701" i="6"/>
  <c r="B684" i="6"/>
  <c r="B667" i="6"/>
  <c r="B651" i="6"/>
  <c r="B635" i="6"/>
  <c r="B618" i="6"/>
  <c r="B602" i="6"/>
  <c r="B586" i="6"/>
  <c r="B569" i="6"/>
  <c r="B553" i="6"/>
  <c r="B537" i="6"/>
  <c r="B520" i="6"/>
  <c r="B504" i="6"/>
  <c r="B488" i="6"/>
  <c r="B471" i="6"/>
  <c r="B1930" i="6"/>
  <c r="B1691" i="6"/>
  <c r="B1299" i="6"/>
  <c r="B1294" i="6"/>
  <c r="B1189" i="6"/>
  <c r="B1182" i="6"/>
  <c r="B1141" i="6"/>
  <c r="B1134" i="6"/>
  <c r="B1127" i="6"/>
  <c r="B1124" i="6"/>
  <c r="B1117" i="6"/>
  <c r="B1110" i="6"/>
  <c r="B1069" i="6"/>
  <c r="B1062" i="6"/>
  <c r="B1021" i="6"/>
  <c r="B1014" i="6"/>
  <c r="B1007" i="6"/>
  <c r="B966" i="6"/>
  <c r="B959" i="6"/>
  <c r="B949" i="6"/>
  <c r="B942" i="6"/>
  <c r="B842" i="6"/>
  <c r="B682" i="6"/>
  <c r="B666" i="6"/>
  <c r="B650" i="6"/>
  <c r="B633" i="6"/>
  <c r="B617" i="6"/>
  <c r="B601" i="6"/>
  <c r="B584" i="6"/>
  <c r="B568" i="6"/>
  <c r="B552" i="6"/>
  <c r="B535" i="6"/>
  <c r="B519" i="6"/>
  <c r="B1897" i="6"/>
  <c r="B1737" i="6"/>
  <c r="B1456" i="6"/>
  <c r="B1335" i="6"/>
  <c r="B1306" i="6"/>
  <c r="B1301" i="6"/>
  <c r="B1074" i="6"/>
  <c r="B1067" i="6"/>
  <c r="B892" i="6"/>
  <c r="B871" i="6"/>
  <c r="B859" i="6"/>
  <c r="B832" i="6"/>
  <c r="B827" i="6"/>
  <c r="B810" i="6"/>
  <c r="B805" i="6"/>
  <c r="B800" i="6"/>
  <c r="B783" i="6"/>
  <c r="B778" i="6"/>
  <c r="B761" i="6"/>
  <c r="B756" i="6"/>
  <c r="B751" i="6"/>
  <c r="B734" i="6"/>
  <c r="B729" i="6"/>
  <c r="B712" i="6"/>
  <c r="B707" i="6"/>
  <c r="B702" i="6"/>
  <c r="B685" i="6"/>
  <c r="B681" i="6"/>
  <c r="B665" i="6"/>
  <c r="B649" i="6"/>
  <c r="B632" i="6"/>
  <c r="B616" i="6"/>
  <c r="B600" i="6"/>
  <c r="B583" i="6"/>
  <c r="B567" i="6"/>
  <c r="B551" i="6"/>
  <c r="B534" i="6"/>
  <c r="B518" i="6"/>
  <c r="B1460" i="6"/>
  <c r="B1413" i="6"/>
  <c r="B1405" i="6"/>
  <c r="B1359" i="6"/>
  <c r="B1325" i="6"/>
  <c r="B1320" i="6"/>
  <c r="B1315" i="6"/>
  <c r="B1296" i="6"/>
  <c r="B1211" i="6"/>
  <c r="B1204" i="6"/>
  <c r="B1194" i="6"/>
  <c r="B1187" i="6"/>
  <c r="B1146" i="6"/>
  <c r="B1139" i="6"/>
  <c r="B1132" i="6"/>
  <c r="B1091" i="6"/>
  <c r="B1084" i="6"/>
  <c r="B1043" i="6"/>
  <c r="B1036" i="6"/>
  <c r="B1029" i="6"/>
  <c r="B1026" i="6"/>
  <c r="B1019" i="6"/>
  <c r="B1012" i="6"/>
  <c r="B971" i="6"/>
  <c r="B964" i="6"/>
  <c r="B923" i="6"/>
  <c r="B916" i="6"/>
  <c r="B900" i="6"/>
  <c r="B888" i="6"/>
  <c r="B867" i="6"/>
  <c r="B680" i="6"/>
  <c r="B664" i="6"/>
  <c r="B647" i="6"/>
  <c r="B631" i="6"/>
  <c r="B615" i="6"/>
  <c r="B598" i="6"/>
  <c r="B582" i="6"/>
  <c r="B566" i="6"/>
  <c r="B549" i="6"/>
  <c r="B533" i="6"/>
  <c r="B517" i="6"/>
  <c r="B1657" i="6"/>
  <c r="B1586" i="6"/>
  <c r="B1565" i="6"/>
  <c r="B1475" i="6"/>
  <c r="B1380" i="6"/>
  <c r="B1346" i="6"/>
  <c r="B1327" i="6"/>
  <c r="B1322" i="6"/>
  <c r="B1298" i="6"/>
  <c r="B1293" i="6"/>
  <c r="B1277" i="6"/>
  <c r="B1247" i="6"/>
  <c r="B1231" i="6"/>
  <c r="B1227" i="6"/>
  <c r="B1216" i="6"/>
  <c r="B1209" i="6"/>
  <c r="B1168" i="6"/>
  <c r="B1161" i="6"/>
  <c r="B1154" i="6"/>
  <c r="B1113" i="6"/>
  <c r="B1106" i="6"/>
  <c r="B1096" i="6"/>
  <c r="B1089" i="6"/>
  <c r="B1048" i="6"/>
  <c r="B1041" i="6"/>
  <c r="B1034" i="6"/>
  <c r="B993" i="6"/>
  <c r="B986" i="6"/>
  <c r="B945" i="6"/>
  <c r="B938" i="6"/>
  <c r="B931" i="6"/>
  <c r="B928" i="6"/>
  <c r="B921" i="6"/>
  <c r="B914" i="6"/>
  <c r="B905" i="6"/>
  <c r="B893" i="6"/>
  <c r="B884" i="6"/>
  <c r="B872" i="6"/>
  <c r="B860" i="6"/>
  <c r="B851" i="6"/>
  <c r="B678" i="6"/>
  <c r="B661" i="6"/>
  <c r="B645" i="6"/>
  <c r="B629" i="6"/>
  <c r="B612" i="6"/>
  <c r="B596" i="6"/>
  <c r="B580" i="6"/>
  <c r="B563" i="6"/>
  <c r="B547" i="6"/>
  <c r="B531" i="6"/>
  <c r="B514" i="6"/>
  <c r="B498" i="6"/>
  <c r="B482" i="6"/>
  <c r="B465" i="6"/>
  <c r="B454" i="6"/>
  <c r="B447" i="6"/>
  <c r="B440" i="6"/>
  <c r="B433" i="6"/>
  <c r="B426" i="6"/>
  <c r="B419" i="6"/>
  <c r="B412" i="6"/>
  <c r="B405" i="6"/>
  <c r="B398" i="6"/>
  <c r="B1685" i="6"/>
  <c r="B1400" i="6"/>
  <c r="B1345" i="6"/>
  <c r="B1254" i="6"/>
  <c r="B1241" i="6"/>
  <c r="B1214" i="6"/>
  <c r="B1193" i="6"/>
  <c r="B1105" i="6"/>
  <c r="B1078" i="6"/>
  <c r="B1057" i="6"/>
  <c r="B1046" i="6"/>
  <c r="B1025" i="6"/>
  <c r="B985" i="6"/>
  <c r="B958" i="6"/>
  <c r="B937" i="6"/>
  <c r="B910" i="6"/>
  <c r="B844" i="6"/>
  <c r="B840" i="6"/>
  <c r="B825" i="6"/>
  <c r="B737" i="6"/>
  <c r="B722" i="6"/>
  <c r="B720" i="6"/>
  <c r="B705" i="6"/>
  <c r="B675" i="6"/>
  <c r="B621" i="6"/>
  <c r="B593" i="6"/>
  <c r="B574" i="6"/>
  <c r="B555" i="6"/>
  <c r="B546" i="6"/>
  <c r="B527" i="6"/>
  <c r="B496" i="6"/>
  <c r="B485" i="6"/>
  <c r="B463" i="6"/>
  <c r="B432" i="6"/>
  <c r="B431" i="6"/>
  <c r="B430" i="6"/>
  <c r="B429" i="6"/>
  <c r="B1784" i="6"/>
  <c r="B1730" i="6"/>
  <c r="B1527" i="6"/>
  <c r="B1373" i="6"/>
  <c r="B1238" i="6"/>
  <c r="B1217" i="6"/>
  <c r="B1190" i="6"/>
  <c r="B1166" i="6"/>
  <c r="B1145" i="6"/>
  <c r="B1118" i="6"/>
  <c r="B1097" i="6"/>
  <c r="B1070" i="6"/>
  <c r="B998" i="6"/>
  <c r="B977" i="6"/>
  <c r="B950" i="6"/>
  <c r="B889" i="6"/>
  <c r="B838" i="6"/>
  <c r="B834" i="6"/>
  <c r="B819" i="6"/>
  <c r="B817" i="6"/>
  <c r="B735" i="6"/>
  <c r="B716" i="6"/>
  <c r="B714" i="6"/>
  <c r="B699" i="6"/>
  <c r="B656" i="6"/>
  <c r="B637" i="6"/>
  <c r="B628" i="6"/>
  <c r="B609" i="6"/>
  <c r="B590" i="6"/>
  <c r="B565" i="6"/>
  <c r="B562" i="6"/>
  <c r="B497" i="6"/>
  <c r="B486" i="6"/>
  <c r="B474" i="6"/>
  <c r="B464" i="6"/>
  <c r="B435" i="6"/>
  <c r="B434" i="6"/>
  <c r="B387" i="6"/>
  <c r="B380" i="6"/>
  <c r="B373" i="6"/>
  <c r="B366" i="6"/>
  <c r="B359" i="6"/>
  <c r="B352" i="6"/>
  <c r="B345" i="6"/>
  <c r="B338" i="6"/>
  <c r="B331" i="6"/>
  <c r="B324" i="6"/>
  <c r="B317" i="6"/>
  <c r="B310" i="6"/>
  <c r="B303" i="6"/>
  <c r="B296" i="6"/>
  <c r="B289" i="6"/>
  <c r="B282" i="6"/>
  <c r="B275" i="6"/>
  <c r="B268" i="6"/>
  <c r="B261" i="6"/>
  <c r="B254" i="6"/>
  <c r="B247" i="6"/>
  <c r="B240" i="6"/>
  <c r="B233" i="6"/>
  <c r="B226" i="6"/>
  <c r="B219" i="6"/>
  <c r="B212" i="6"/>
  <c r="B205" i="6"/>
  <c r="B198" i="6"/>
  <c r="B191" i="6"/>
  <c r="B184" i="6"/>
  <c r="B177" i="6"/>
  <c r="B170" i="6"/>
  <c r="B163" i="6"/>
  <c r="B156" i="6"/>
  <c r="B149" i="6"/>
  <c r="B142" i="6"/>
  <c r="B135" i="6"/>
  <c r="B128" i="6"/>
  <c r="B121" i="6"/>
  <c r="B114" i="6"/>
  <c r="B107" i="6"/>
  <c r="B100" i="6"/>
  <c r="B93" i="6"/>
  <c r="B86" i="6"/>
  <c r="B79" i="6"/>
  <c r="B72" i="6"/>
  <c r="B65" i="6"/>
  <c r="B58" i="6"/>
  <c r="B51" i="6"/>
  <c r="B44" i="6"/>
  <c r="B37" i="6"/>
  <c r="B30" i="6"/>
  <c r="B23" i="6"/>
  <c r="B16" i="6"/>
  <c r="B9" i="6"/>
  <c r="B2" i="6"/>
  <c r="B1447" i="6"/>
  <c r="B1358" i="6"/>
  <c r="B1331" i="6"/>
  <c r="B1305" i="6"/>
  <c r="B1287" i="6"/>
  <c r="B1244" i="6"/>
  <c r="B885" i="6"/>
  <c r="B813" i="6"/>
  <c r="B798" i="6"/>
  <c r="B796" i="6"/>
  <c r="B695" i="6"/>
  <c r="B693" i="6"/>
  <c r="B672" i="6"/>
  <c r="B653" i="6"/>
  <c r="B644" i="6"/>
  <c r="B625" i="6"/>
  <c r="B581" i="6"/>
  <c r="B524" i="6"/>
  <c r="B475" i="6"/>
  <c r="B439" i="6"/>
  <c r="B438" i="6"/>
  <c r="B437" i="6"/>
  <c r="B436" i="6"/>
  <c r="B1250" i="6"/>
  <c r="B1237" i="6"/>
  <c r="B1203" i="6"/>
  <c r="B1176" i="6"/>
  <c r="B1155" i="6"/>
  <c r="B1123" i="6"/>
  <c r="B1102" i="6"/>
  <c r="B1083" i="6"/>
  <c r="B1056" i="6"/>
  <c r="B1035" i="6"/>
  <c r="B1008" i="6"/>
  <c r="B987" i="6"/>
  <c r="B963" i="6"/>
  <c r="B955" i="6"/>
  <c r="B936" i="6"/>
  <c r="B915" i="6"/>
  <c r="B856" i="6"/>
  <c r="B852" i="6"/>
  <c r="B828" i="6"/>
  <c r="B811" i="6"/>
  <c r="B807" i="6"/>
  <c r="B792" i="6"/>
  <c r="B790" i="6"/>
  <c r="B775" i="6"/>
  <c r="B708" i="6"/>
  <c r="B691" i="6"/>
  <c r="B687" i="6"/>
  <c r="B663" i="6"/>
  <c r="B660" i="6"/>
  <c r="B597" i="6"/>
  <c r="B587" i="6"/>
  <c r="B559" i="6"/>
  <c r="B540" i="6"/>
  <c r="B521" i="6"/>
  <c r="B512" i="6"/>
  <c r="B476" i="6"/>
  <c r="B442" i="6"/>
  <c r="B441" i="6"/>
  <c r="B393" i="6"/>
  <c r="B386" i="6"/>
  <c r="B379" i="6"/>
  <c r="B372" i="6"/>
  <c r="B365" i="6"/>
  <c r="B358" i="6"/>
  <c r="B351" i="6"/>
  <c r="B344" i="6"/>
  <c r="B337" i="6"/>
  <c r="B330" i="6"/>
  <c r="B323" i="6"/>
  <c r="B316" i="6"/>
  <c r="B309" i="6"/>
  <c r="B302" i="6"/>
  <c r="B295" i="6"/>
  <c r="B288" i="6"/>
  <c r="B281" i="6"/>
  <c r="B274" i="6"/>
  <c r="B267" i="6"/>
  <c r="B260" i="6"/>
  <c r="B253" i="6"/>
  <c r="B246" i="6"/>
  <c r="B239" i="6"/>
  <c r="B232" i="6"/>
  <c r="B225" i="6"/>
  <c r="B218" i="6"/>
  <c r="B211" i="6"/>
  <c r="B204" i="6"/>
  <c r="B197" i="6"/>
  <c r="B190" i="6"/>
  <c r="B183" i="6"/>
  <c r="B176" i="6"/>
  <c r="B169" i="6"/>
  <c r="B162" i="6"/>
  <c r="B155" i="6"/>
  <c r="B148" i="6"/>
  <c r="B141" i="6"/>
  <c r="B134" i="6"/>
  <c r="B127" i="6"/>
  <c r="B120" i="6"/>
  <c r="B113" i="6"/>
  <c r="B106" i="6"/>
  <c r="B99" i="6"/>
  <c r="B92" i="6"/>
  <c r="B85" i="6"/>
  <c r="B78" i="6"/>
  <c r="B71" i="6"/>
  <c r="B64" i="6"/>
  <c r="B57" i="6"/>
  <c r="B50" i="6"/>
  <c r="B43" i="6"/>
  <c r="B36" i="6"/>
  <c r="B29" i="6"/>
  <c r="B22" i="6"/>
  <c r="B15" i="6"/>
  <c r="B8" i="6"/>
  <c r="B1290" i="6"/>
  <c r="B1240" i="6"/>
  <c r="B1234" i="6"/>
  <c r="B1228" i="6"/>
  <c r="B1088" i="6"/>
  <c r="B941" i="6"/>
  <c r="B920" i="6"/>
  <c r="B909" i="6"/>
  <c r="B868" i="6"/>
  <c r="B858" i="6"/>
  <c r="B784" i="6"/>
  <c r="B765" i="6"/>
  <c r="B763" i="6"/>
  <c r="B748" i="6"/>
  <c r="B657" i="6"/>
  <c r="B638" i="6"/>
  <c r="B619" i="6"/>
  <c r="B610" i="6"/>
  <c r="B591" i="6"/>
  <c r="B509" i="6"/>
  <c r="B500" i="6"/>
  <c r="B478" i="6"/>
  <c r="B449" i="6"/>
  <c r="B448" i="6"/>
  <c r="B400" i="6"/>
  <c r="B399" i="6"/>
  <c r="B392" i="6"/>
  <c r="B385" i="6"/>
  <c r="B378" i="6"/>
  <c r="B371" i="6"/>
  <c r="B364" i="6"/>
  <c r="B357" i="6"/>
  <c r="B350" i="6"/>
  <c r="B343" i="6"/>
  <c r="B336" i="6"/>
  <c r="B329" i="6"/>
  <c r="B322" i="6"/>
  <c r="B315" i="6"/>
  <c r="B308" i="6"/>
  <c r="B301" i="6"/>
  <c r="B294" i="6"/>
  <c r="B287" i="6"/>
  <c r="B280" i="6"/>
  <c r="B273" i="6"/>
  <c r="B266" i="6"/>
  <c r="B259" i="6"/>
  <c r="B252" i="6"/>
  <c r="B245" i="6"/>
  <c r="B238" i="6"/>
  <c r="B231" i="6"/>
  <c r="B224" i="6"/>
  <c r="B217" i="6"/>
  <c r="B210" i="6"/>
  <c r="B203" i="6"/>
  <c r="B196" i="6"/>
  <c r="B189" i="6"/>
  <c r="B182" i="6"/>
  <c r="B175" i="6"/>
  <c r="B168" i="6"/>
  <c r="B161" i="6"/>
  <c r="B154" i="6"/>
  <c r="B147" i="6"/>
  <c r="B140" i="6"/>
  <c r="B133" i="6"/>
  <c r="B126" i="6"/>
  <c r="B119" i="6"/>
  <c r="B112" i="6"/>
  <c r="B105" i="6"/>
  <c r="B98" i="6"/>
  <c r="B91" i="6"/>
  <c r="B84" i="6"/>
  <c r="B77" i="6"/>
  <c r="B70" i="6"/>
  <c r="B63" i="6"/>
  <c r="B56" i="6"/>
  <c r="B49" i="6"/>
  <c r="B42" i="6"/>
  <c r="B35" i="6"/>
  <c r="B28" i="6"/>
  <c r="B21" i="6"/>
  <c r="B14" i="6"/>
  <c r="B7" i="6"/>
  <c r="B1879" i="6"/>
  <c r="B1677" i="6"/>
  <c r="B1382" i="6"/>
  <c r="B1300" i="6"/>
  <c r="B1283" i="6"/>
  <c r="B1208" i="6"/>
  <c r="B1200" i="6"/>
  <c r="B1181" i="6"/>
  <c r="B1160" i="6"/>
  <c r="B1133" i="6"/>
  <c r="B1112" i="6"/>
  <c r="B1085" i="6"/>
  <c r="B1064" i="6"/>
  <c r="B1061" i="6"/>
  <c r="B1053" i="6"/>
  <c r="B1040" i="6"/>
  <c r="B1013" i="6"/>
  <c r="B992" i="6"/>
  <c r="B965" i="6"/>
  <c r="B944" i="6"/>
  <c r="B917" i="6"/>
  <c r="B907" i="6"/>
  <c r="B903" i="6"/>
  <c r="B744" i="6"/>
  <c r="B742" i="6"/>
  <c r="B727" i="6"/>
  <c r="J2494" i="6"/>
  <c r="J2487" i="6"/>
  <c r="J2480" i="6"/>
  <c r="J2473" i="6"/>
  <c r="J2466" i="6"/>
  <c r="J2459" i="6"/>
  <c r="J2452" i="6"/>
  <c r="J2445" i="6"/>
  <c r="J2438" i="6"/>
  <c r="J2431" i="6"/>
  <c r="J2500" i="6"/>
  <c r="J2493" i="6"/>
  <c r="J2486" i="6"/>
  <c r="J2479" i="6"/>
  <c r="J2472" i="6"/>
  <c r="J2465" i="6"/>
  <c r="J2458" i="6"/>
  <c r="J2451" i="6"/>
  <c r="J2444" i="6"/>
  <c r="J2437" i="6"/>
  <c r="J2430" i="6"/>
  <c r="J2498" i="6"/>
  <c r="J2491" i="6"/>
  <c r="J2484" i="6"/>
  <c r="J2477" i="6"/>
  <c r="J2470" i="6"/>
  <c r="J2485" i="6"/>
  <c r="J2442" i="6"/>
  <c r="J2488" i="6"/>
  <c r="J2468" i="6"/>
  <c r="J2453" i="6"/>
  <c r="J2448" i="6"/>
  <c r="J2426" i="6"/>
  <c r="J2419" i="6"/>
  <c r="J2412" i="6"/>
  <c r="J2405" i="6"/>
  <c r="J2497" i="6"/>
  <c r="J2471" i="6"/>
  <c r="J2443" i="6"/>
  <c r="J2469" i="6"/>
  <c r="J2460" i="6"/>
  <c r="J2450" i="6"/>
  <c r="J2421" i="6"/>
  <c r="J2402" i="6"/>
  <c r="J2467" i="6"/>
  <c r="J2439" i="6"/>
  <c r="J2428" i="6"/>
  <c r="J2423" i="6"/>
  <c r="J2404" i="6"/>
  <c r="J2496" i="6"/>
  <c r="J2492" i="6"/>
  <c r="J2463" i="6"/>
  <c r="J2424" i="6"/>
  <c r="J2413" i="6"/>
  <c r="J2396" i="6"/>
  <c r="J2389" i="6"/>
  <c r="J2490" i="6"/>
  <c r="J2456" i="6"/>
  <c r="J2434" i="6"/>
  <c r="J2425" i="6"/>
  <c r="J2414" i="6"/>
  <c r="J2489" i="6"/>
  <c r="J2478" i="6"/>
  <c r="J2462" i="6"/>
  <c r="J2403" i="6"/>
  <c r="J2400" i="6"/>
  <c r="J2390" i="6"/>
  <c r="J2481" i="6"/>
  <c r="J2433" i="6"/>
  <c r="J2406" i="6"/>
  <c r="J2378" i="6"/>
  <c r="J2371" i="6"/>
  <c r="J2457" i="6"/>
  <c r="J2446" i="6"/>
  <c r="J2435" i="6"/>
  <c r="J2409" i="6"/>
  <c r="J2483" i="6"/>
  <c r="J2475" i="6"/>
  <c r="J2464" i="6"/>
  <c r="J2420" i="6"/>
  <c r="J2415" i="6"/>
  <c r="J2391" i="6"/>
  <c r="J2377" i="6"/>
  <c r="J2370" i="6"/>
  <c r="J2363" i="6"/>
  <c r="J2418" i="6"/>
  <c r="J2416" i="6"/>
  <c r="J2397" i="6"/>
  <c r="J2384" i="6"/>
  <c r="J2355" i="6"/>
  <c r="J2348" i="6"/>
  <c r="J2341" i="6"/>
  <c r="J2334" i="6"/>
  <c r="J2327" i="6"/>
  <c r="J2320" i="6"/>
  <c r="J2313" i="6"/>
  <c r="J2306" i="6"/>
  <c r="J2299" i="6"/>
  <c r="J2292" i="6"/>
  <c r="J2285" i="6"/>
  <c r="J2278" i="6"/>
  <c r="J2271" i="6"/>
  <c r="J2455" i="6"/>
  <c r="J2387" i="6"/>
  <c r="J2379" i="6"/>
  <c r="J2374" i="6"/>
  <c r="J2369" i="6"/>
  <c r="J2362" i="6"/>
  <c r="J2499" i="6"/>
  <c r="J2461" i="6"/>
  <c r="J2454" i="6"/>
  <c r="J2427" i="6"/>
  <c r="J2407" i="6"/>
  <c r="J2361" i="6"/>
  <c r="J2354" i="6"/>
  <c r="J2347" i="6"/>
  <c r="J2340" i="6"/>
  <c r="J2333" i="6"/>
  <c r="J2326" i="6"/>
  <c r="J2319" i="6"/>
  <c r="J2312" i="6"/>
  <c r="J2305" i="6"/>
  <c r="J2298" i="6"/>
  <c r="J2291" i="6"/>
  <c r="J2284" i="6"/>
  <c r="J2277" i="6"/>
  <c r="J2270" i="6"/>
  <c r="J2476" i="6"/>
  <c r="J2395" i="6"/>
  <c r="J2380" i="6"/>
  <c r="J2375" i="6"/>
  <c r="J2440" i="6"/>
  <c r="J2392" i="6"/>
  <c r="J2385" i="6"/>
  <c r="J2383" i="6"/>
  <c r="J2376" i="6"/>
  <c r="J2373" i="6"/>
  <c r="J2366" i="6"/>
  <c r="J2331" i="6"/>
  <c r="J2301" i="6"/>
  <c r="J2282" i="6"/>
  <c r="J2482" i="6"/>
  <c r="J2411" i="6"/>
  <c r="J2364" i="6"/>
  <c r="J2349" i="6"/>
  <c r="J2332" i="6"/>
  <c r="J2321" i="6"/>
  <c r="J2302" i="6"/>
  <c r="J2283" i="6"/>
  <c r="J2272" i="6"/>
  <c r="J2263" i="6"/>
  <c r="J2256" i="6"/>
  <c r="J2249" i="6"/>
  <c r="J2242" i="6"/>
  <c r="J2235" i="6"/>
  <c r="J2417" i="6"/>
  <c r="J2408" i="6"/>
  <c r="J2399" i="6"/>
  <c r="J2394" i="6"/>
  <c r="J2381" i="6"/>
  <c r="J2322" i="6"/>
  <c r="J2303" i="6"/>
  <c r="J2273" i="6"/>
  <c r="J2410" i="6"/>
  <c r="J2359" i="6"/>
  <c r="J2314" i="6"/>
  <c r="J2307" i="6"/>
  <c r="J2300" i="6"/>
  <c r="J2265" i="6"/>
  <c r="J2246" i="6"/>
  <c r="J2225" i="6"/>
  <c r="J2218" i="6"/>
  <c r="J2211" i="6"/>
  <c r="J2204" i="6"/>
  <c r="J2441" i="6"/>
  <c r="J2398" i="6"/>
  <c r="J2325" i="6"/>
  <c r="J2318" i="6"/>
  <c r="J2311" i="6"/>
  <c r="J2274" i="6"/>
  <c r="J2267" i="6"/>
  <c r="J2248" i="6"/>
  <c r="J2237" i="6"/>
  <c r="J2224" i="6"/>
  <c r="J2217" i="6"/>
  <c r="J2210" i="6"/>
  <c r="J2203" i="6"/>
  <c r="J2342" i="6"/>
  <c r="J2335" i="6"/>
  <c r="J2328" i="6"/>
  <c r="J2257" i="6"/>
  <c r="J2238" i="6"/>
  <c r="J2429" i="6"/>
  <c r="J2386" i="6"/>
  <c r="J2357" i="6"/>
  <c r="J2315" i="6"/>
  <c r="J2308" i="6"/>
  <c r="J2258" i="6"/>
  <c r="J2239" i="6"/>
  <c r="J2280" i="6"/>
  <c r="J2241" i="6"/>
  <c r="J2213" i="6"/>
  <c r="J2194" i="6"/>
  <c r="J2187" i="6"/>
  <c r="J2180" i="6"/>
  <c r="J2173" i="6"/>
  <c r="J2166" i="6"/>
  <c r="J2159" i="6"/>
  <c r="J2436" i="6"/>
  <c r="J2345" i="6"/>
  <c r="J2323" i="6"/>
  <c r="J2266" i="6"/>
  <c r="J2255" i="6"/>
  <c r="J2230" i="6"/>
  <c r="J2215" i="6"/>
  <c r="J2193" i="6"/>
  <c r="J2186" i="6"/>
  <c r="J2179" i="6"/>
  <c r="J2172" i="6"/>
  <c r="J2165" i="6"/>
  <c r="J2158" i="6"/>
  <c r="J2495" i="6"/>
  <c r="J2422" i="6"/>
  <c r="J2368" i="6"/>
  <c r="J2365" i="6"/>
  <c r="J2337" i="6"/>
  <c r="J2329" i="6"/>
  <c r="J2295" i="6"/>
  <c r="J2261" i="6"/>
  <c r="J2233" i="6"/>
  <c r="J2216" i="6"/>
  <c r="J2205" i="6"/>
  <c r="J2351" i="6"/>
  <c r="J2317" i="6"/>
  <c r="J2309" i="6"/>
  <c r="J2275" i="6"/>
  <c r="J2247" i="6"/>
  <c r="J2244" i="6"/>
  <c r="J2206" i="6"/>
  <c r="J2192" i="6"/>
  <c r="J2185" i="6"/>
  <c r="J2178" i="6"/>
  <c r="J2171" i="6"/>
  <c r="J2164" i="6"/>
  <c r="J2447" i="6"/>
  <c r="J2367" i="6"/>
  <c r="J2339" i="6"/>
  <c r="J2234" i="6"/>
  <c r="J2232" i="6"/>
  <c r="J2228" i="6"/>
  <c r="J2220" i="6"/>
  <c r="J2181" i="6"/>
  <c r="J2176" i="6"/>
  <c r="J2154" i="6"/>
  <c r="J2147" i="6"/>
  <c r="J2140" i="6"/>
  <c r="J2133" i="6"/>
  <c r="J2126" i="6"/>
  <c r="J2353" i="6"/>
  <c r="J2336" i="6"/>
  <c r="J2297" i="6"/>
  <c r="J2245" i="6"/>
  <c r="J2243" i="6"/>
  <c r="J2223" i="6"/>
  <c r="J2198" i="6"/>
  <c r="J2350" i="6"/>
  <c r="J2269" i="6"/>
  <c r="J2262" i="6"/>
  <c r="J2260" i="6"/>
  <c r="J2236" i="6"/>
  <c r="J2226" i="6"/>
  <c r="J2201" i="6"/>
  <c r="J2182" i="6"/>
  <c r="J2177" i="6"/>
  <c r="J2160" i="6"/>
  <c r="J2153" i="6"/>
  <c r="J2146" i="6"/>
  <c r="J2139" i="6"/>
  <c r="J2132" i="6"/>
  <c r="J2125" i="6"/>
  <c r="J2118" i="6"/>
  <c r="J2111" i="6"/>
  <c r="J2104" i="6"/>
  <c r="J2097" i="6"/>
  <c r="J2090" i="6"/>
  <c r="J2083" i="6"/>
  <c r="J2076" i="6"/>
  <c r="J2069" i="6"/>
  <c r="J2062" i="6"/>
  <c r="J2055" i="6"/>
  <c r="J2048" i="6"/>
  <c r="J2041" i="6"/>
  <c r="J2034" i="6"/>
  <c r="J2027" i="6"/>
  <c r="J2020" i="6"/>
  <c r="J2013" i="6"/>
  <c r="J2006" i="6"/>
  <c r="J1999" i="6"/>
  <c r="J1992" i="6"/>
  <c r="J1985" i="6"/>
  <c r="J1978" i="6"/>
  <c r="J1971" i="6"/>
  <c r="J2401" i="6"/>
  <c r="J2344" i="6"/>
  <c r="J2286" i="6"/>
  <c r="J2240" i="6"/>
  <c r="J2212" i="6"/>
  <c r="J2207" i="6"/>
  <c r="J2338" i="6"/>
  <c r="J2276" i="6"/>
  <c r="J2268" i="6"/>
  <c r="J2196" i="6"/>
  <c r="J2189" i="6"/>
  <c r="J2142" i="6"/>
  <c r="J2137" i="6"/>
  <c r="J2119" i="6"/>
  <c r="J2100" i="6"/>
  <c r="J2081" i="6"/>
  <c r="J2070" i="6"/>
  <c r="J2051" i="6"/>
  <c r="J2032" i="6"/>
  <c r="J2021" i="6"/>
  <c r="J2002" i="6"/>
  <c r="J1983" i="6"/>
  <c r="J1972" i="6"/>
  <c r="J1960" i="6"/>
  <c r="J1953" i="6"/>
  <c r="J1946" i="6"/>
  <c r="J1939" i="6"/>
  <c r="J1932" i="6"/>
  <c r="J1925" i="6"/>
  <c r="J1918" i="6"/>
  <c r="J1911" i="6"/>
  <c r="J1904" i="6"/>
  <c r="J1897" i="6"/>
  <c r="J2358" i="6"/>
  <c r="J2287" i="6"/>
  <c r="J2208" i="6"/>
  <c r="J2170" i="6"/>
  <c r="J2163" i="6"/>
  <c r="J2148" i="6"/>
  <c r="J2143" i="6"/>
  <c r="J2138" i="6"/>
  <c r="J2121" i="6"/>
  <c r="J2102" i="6"/>
  <c r="J2091" i="6"/>
  <c r="J2072" i="6"/>
  <c r="J2053" i="6"/>
  <c r="J2042" i="6"/>
  <c r="J2023" i="6"/>
  <c r="J2004" i="6"/>
  <c r="J1993" i="6"/>
  <c r="J1974" i="6"/>
  <c r="J1959" i="6"/>
  <c r="J1952" i="6"/>
  <c r="J1945" i="6"/>
  <c r="J1938" i="6"/>
  <c r="J1931" i="6"/>
  <c r="J1924" i="6"/>
  <c r="J1917" i="6"/>
  <c r="J1910" i="6"/>
  <c r="J1903" i="6"/>
  <c r="J1896" i="6"/>
  <c r="J2279" i="6"/>
  <c r="J2264" i="6"/>
  <c r="J2221" i="6"/>
  <c r="J2219" i="6"/>
  <c r="J2103" i="6"/>
  <c r="J2092" i="6"/>
  <c r="J2073" i="6"/>
  <c r="J2054" i="6"/>
  <c r="J2043" i="6"/>
  <c r="J2024" i="6"/>
  <c r="J2005" i="6"/>
  <c r="J1994" i="6"/>
  <c r="J1975" i="6"/>
  <c r="J2393" i="6"/>
  <c r="J2310" i="6"/>
  <c r="J2294" i="6"/>
  <c r="J2252" i="6"/>
  <c r="J2199" i="6"/>
  <c r="J2175" i="6"/>
  <c r="J2168" i="6"/>
  <c r="J2161" i="6"/>
  <c r="J2149" i="6"/>
  <c r="J2144" i="6"/>
  <c r="J2127" i="6"/>
  <c r="J2122" i="6"/>
  <c r="J2112" i="6"/>
  <c r="J2093" i="6"/>
  <c r="J2074" i="6"/>
  <c r="J2063" i="6"/>
  <c r="J2044" i="6"/>
  <c r="J2025" i="6"/>
  <c r="J2014" i="6"/>
  <c r="J1995" i="6"/>
  <c r="J1976" i="6"/>
  <c r="J1965" i="6"/>
  <c r="J1958" i="6"/>
  <c r="J1951" i="6"/>
  <c r="J1944" i="6"/>
  <c r="J1937" i="6"/>
  <c r="J1930" i="6"/>
  <c r="J1923" i="6"/>
  <c r="J1916" i="6"/>
  <c r="J1909" i="6"/>
  <c r="J1902" i="6"/>
  <c r="J1895" i="6"/>
  <c r="J2360" i="6"/>
  <c r="J2253" i="6"/>
  <c r="J2222" i="6"/>
  <c r="J2195" i="6"/>
  <c r="J2190" i="6"/>
  <c r="J2155" i="6"/>
  <c r="J2131" i="6"/>
  <c r="J2124" i="6"/>
  <c r="J2116" i="6"/>
  <c r="J2088" i="6"/>
  <c r="J2071" i="6"/>
  <c r="J2060" i="6"/>
  <c r="J2035" i="6"/>
  <c r="J2007" i="6"/>
  <c r="J2304" i="6"/>
  <c r="J2099" i="6"/>
  <c r="J2094" i="6"/>
  <c r="J2066" i="6"/>
  <c r="J2038" i="6"/>
  <c r="J2010" i="6"/>
  <c r="J1982" i="6"/>
  <c r="J1977" i="6"/>
  <c r="J1886" i="6"/>
  <c r="J1879" i="6"/>
  <c r="J1872" i="6"/>
  <c r="J1865" i="6"/>
  <c r="J1858" i="6"/>
  <c r="J1851" i="6"/>
  <c r="J1844" i="6"/>
  <c r="J1837" i="6"/>
  <c r="J1830" i="6"/>
  <c r="J1823" i="6"/>
  <c r="J1816" i="6"/>
  <c r="J1809" i="6"/>
  <c r="J2352" i="6"/>
  <c r="J2197" i="6"/>
  <c r="J2136" i="6"/>
  <c r="J2129" i="6"/>
  <c r="J2105" i="6"/>
  <c r="J2077" i="6"/>
  <c r="J2052" i="6"/>
  <c r="J2049" i="6"/>
  <c r="J2016" i="6"/>
  <c r="J1988" i="6"/>
  <c r="J1955" i="6"/>
  <c r="J1950" i="6"/>
  <c r="J1933" i="6"/>
  <c r="J1928" i="6"/>
  <c r="J1906" i="6"/>
  <c r="J1901" i="6"/>
  <c r="J2382" i="6"/>
  <c r="J2346" i="6"/>
  <c r="J2281" i="6"/>
  <c r="J2231" i="6"/>
  <c r="J2209" i="6"/>
  <c r="J2200" i="6"/>
  <c r="J2108" i="6"/>
  <c r="J2080" i="6"/>
  <c r="J2075" i="6"/>
  <c r="J2047" i="6"/>
  <c r="J2019" i="6"/>
  <c r="J1991" i="6"/>
  <c r="J1966" i="6"/>
  <c r="J1885" i="6"/>
  <c r="J1878" i="6"/>
  <c r="J1871" i="6"/>
  <c r="J1864" i="6"/>
  <c r="J1857" i="6"/>
  <c r="J1850" i="6"/>
  <c r="J1843" i="6"/>
  <c r="J1836" i="6"/>
  <c r="J1829" i="6"/>
  <c r="J1822" i="6"/>
  <c r="J1815" i="6"/>
  <c r="J2330" i="6"/>
  <c r="J2227" i="6"/>
  <c r="J2191" i="6"/>
  <c r="J2184" i="6"/>
  <c r="J2150" i="6"/>
  <c r="J2145" i="6"/>
  <c r="J2086" i="6"/>
  <c r="J2084" i="6"/>
  <c r="J2082" i="6"/>
  <c r="J1943" i="6"/>
  <c r="J1926" i="6"/>
  <c r="J1907" i="6"/>
  <c r="J1887" i="6"/>
  <c r="J1868" i="6"/>
  <c r="J1849" i="6"/>
  <c r="J1838" i="6"/>
  <c r="J1819" i="6"/>
  <c r="J1799" i="6"/>
  <c r="J1792" i="6"/>
  <c r="J1785" i="6"/>
  <c r="J1778" i="6"/>
  <c r="J1771" i="6"/>
  <c r="J1764" i="6"/>
  <c r="J1757" i="6"/>
  <c r="J1750" i="6"/>
  <c r="J1743" i="6"/>
  <c r="J1736" i="6"/>
  <c r="J2064" i="6"/>
  <c r="J2012" i="6"/>
  <c r="J1954" i="6"/>
  <c r="J1935" i="6"/>
  <c r="J1893" i="6"/>
  <c r="J1888" i="6"/>
  <c r="J1869" i="6"/>
  <c r="J1839" i="6"/>
  <c r="J1820" i="6"/>
  <c r="J1808" i="6"/>
  <c r="J1807" i="6"/>
  <c r="J1806" i="6"/>
  <c r="J2214" i="6"/>
  <c r="J2174" i="6"/>
  <c r="J2167" i="6"/>
  <c r="J2157" i="6"/>
  <c r="J2152" i="6"/>
  <c r="J2128" i="6"/>
  <c r="J2123" i="6"/>
  <c r="J2114" i="6"/>
  <c r="J2003" i="6"/>
  <c r="J1963" i="6"/>
  <c r="J1921" i="6"/>
  <c r="J1889" i="6"/>
  <c r="J1870" i="6"/>
  <c r="J1859" i="6"/>
  <c r="J1840" i="6"/>
  <c r="J1821" i="6"/>
  <c r="J1805" i="6"/>
  <c r="J1798" i="6"/>
  <c r="J1791" i="6"/>
  <c r="J1784" i="6"/>
  <c r="J1777" i="6"/>
  <c r="J1770" i="6"/>
  <c r="J1763" i="6"/>
  <c r="J1756" i="6"/>
  <c r="J1749" i="6"/>
  <c r="J1742" i="6"/>
  <c r="J1735" i="6"/>
  <c r="J1728" i="6"/>
  <c r="J1721" i="6"/>
  <c r="J1714" i="6"/>
  <c r="J1707" i="6"/>
  <c r="J1700" i="6"/>
  <c r="J1693" i="6"/>
  <c r="J1686" i="6"/>
  <c r="J1679" i="6"/>
  <c r="J1672" i="6"/>
  <c r="J1665" i="6"/>
  <c r="J1658" i="6"/>
  <c r="J1651" i="6"/>
  <c r="J1644" i="6"/>
  <c r="J1637" i="6"/>
  <c r="J1630" i="6"/>
  <c r="J1623" i="6"/>
  <c r="J1616" i="6"/>
  <c r="J1609" i="6"/>
  <c r="J1602" i="6"/>
  <c r="J1595" i="6"/>
  <c r="J1588" i="6"/>
  <c r="J2449" i="6"/>
  <c r="J2372" i="6"/>
  <c r="J2250" i="6"/>
  <c r="J2110" i="6"/>
  <c r="J2040" i="6"/>
  <c r="J2001" i="6"/>
  <c r="J1986" i="6"/>
  <c r="J1949" i="6"/>
  <c r="J1913" i="6"/>
  <c r="J1890" i="6"/>
  <c r="J1860" i="6"/>
  <c r="J1841" i="6"/>
  <c r="J1811" i="6"/>
  <c r="J1810" i="6"/>
  <c r="J2474" i="6"/>
  <c r="J2290" i="6"/>
  <c r="J2096" i="6"/>
  <c r="J2087" i="6"/>
  <c r="J2078" i="6"/>
  <c r="J2029" i="6"/>
  <c r="J1998" i="6"/>
  <c r="J1987" i="6"/>
  <c r="J1979" i="6"/>
  <c r="J1802" i="6"/>
  <c r="J1783" i="6"/>
  <c r="J1772" i="6"/>
  <c r="J1753" i="6"/>
  <c r="J1734" i="6"/>
  <c r="J1692" i="6"/>
  <c r="J1691" i="6"/>
  <c r="J1690" i="6"/>
  <c r="J1689" i="6"/>
  <c r="J1688" i="6"/>
  <c r="J1687" i="6"/>
  <c r="J1643" i="6"/>
  <c r="J1642" i="6"/>
  <c r="J1641" i="6"/>
  <c r="J1640" i="6"/>
  <c r="J1639" i="6"/>
  <c r="J1638" i="6"/>
  <c r="J1594" i="6"/>
  <c r="J1593" i="6"/>
  <c r="J1592" i="6"/>
  <c r="J1591" i="6"/>
  <c r="J1590" i="6"/>
  <c r="J1589" i="6"/>
  <c r="J2296" i="6"/>
  <c r="J2254" i="6"/>
  <c r="J2117" i="6"/>
  <c r="J2068" i="6"/>
  <c r="J2059" i="6"/>
  <c r="J2050" i="6"/>
  <c r="J1973" i="6"/>
  <c r="J1967" i="6"/>
  <c r="J1947" i="6"/>
  <c r="J1881" i="6"/>
  <c r="J1853" i="6"/>
  <c r="J1825" i="6"/>
  <c r="J1804" i="6"/>
  <c r="J1793" i="6"/>
  <c r="J1774" i="6"/>
  <c r="J1755" i="6"/>
  <c r="J1744" i="6"/>
  <c r="J1699" i="6"/>
  <c r="J1698" i="6"/>
  <c r="J1697" i="6"/>
  <c r="J1696" i="6"/>
  <c r="J1695" i="6"/>
  <c r="J1694" i="6"/>
  <c r="J1650" i="6"/>
  <c r="J1649" i="6"/>
  <c r="J1648" i="6"/>
  <c r="J1647" i="6"/>
  <c r="J1646" i="6"/>
  <c r="J1645" i="6"/>
  <c r="J1601" i="6"/>
  <c r="J1600" i="6"/>
  <c r="J1599" i="6"/>
  <c r="J1598" i="6"/>
  <c r="J1597" i="6"/>
  <c r="J1596" i="6"/>
  <c r="J2356" i="6"/>
  <c r="J2343" i="6"/>
  <c r="J2120" i="6"/>
  <c r="J2065" i="6"/>
  <c r="J2056" i="6"/>
  <c r="J2022" i="6"/>
  <c r="J1989" i="6"/>
  <c r="J1981" i="6"/>
  <c r="J1914" i="6"/>
  <c r="J1912" i="6"/>
  <c r="J1884" i="6"/>
  <c r="J1856" i="6"/>
  <c r="J1831" i="6"/>
  <c r="J1828" i="6"/>
  <c r="J1794" i="6"/>
  <c r="J1775" i="6"/>
  <c r="J1745" i="6"/>
  <c r="J1583" i="6"/>
  <c r="J1576" i="6"/>
  <c r="J1569" i="6"/>
  <c r="J1562" i="6"/>
  <c r="J1555" i="6"/>
  <c r="J1548" i="6"/>
  <c r="J1541" i="6"/>
  <c r="J1534" i="6"/>
  <c r="J1527" i="6"/>
  <c r="J1520" i="6"/>
  <c r="J1513" i="6"/>
  <c r="J1506" i="6"/>
  <c r="J1499" i="6"/>
  <c r="J1492" i="6"/>
  <c r="J1485" i="6"/>
  <c r="J2162" i="6"/>
  <c r="J2017" i="6"/>
  <c r="J2009" i="6"/>
  <c r="J1997" i="6"/>
  <c r="J1990" i="6"/>
  <c r="J1957" i="6"/>
  <c r="J1929" i="6"/>
  <c r="J1847" i="6"/>
  <c r="J1833" i="6"/>
  <c r="J1813" i="6"/>
  <c r="J1800" i="6"/>
  <c r="J1773" i="6"/>
  <c r="J1715" i="6"/>
  <c r="J1711" i="6"/>
  <c r="J1680" i="6"/>
  <c r="J1676" i="6"/>
  <c r="J1611" i="6"/>
  <c r="J1607" i="6"/>
  <c r="J1584" i="6"/>
  <c r="J1575" i="6"/>
  <c r="J1564" i="6"/>
  <c r="J1545" i="6"/>
  <c r="J1535" i="6"/>
  <c r="J1526" i="6"/>
  <c r="J1515" i="6"/>
  <c r="J1496" i="6"/>
  <c r="J1486" i="6"/>
  <c r="J2151" i="6"/>
  <c r="J2036" i="6"/>
  <c r="J2028" i="6"/>
  <c r="J1962" i="6"/>
  <c r="J1940" i="6"/>
  <c r="J1767" i="6"/>
  <c r="J1760" i="6"/>
  <c r="J1703" i="6"/>
  <c r="J1668" i="6"/>
  <c r="J1664" i="6"/>
  <c r="J1633" i="6"/>
  <c r="J1629" i="6"/>
  <c r="J1603" i="6"/>
  <c r="J1585" i="6"/>
  <c r="J1566" i="6"/>
  <c r="J1556" i="6"/>
  <c r="J1547" i="6"/>
  <c r="J1536" i="6"/>
  <c r="J1517" i="6"/>
  <c r="J1507" i="6"/>
  <c r="J1498" i="6"/>
  <c r="J1487" i="6"/>
  <c r="J2134" i="6"/>
  <c r="J2106" i="6"/>
  <c r="J2098" i="6"/>
  <c r="J1968" i="6"/>
  <c r="J1915" i="6"/>
  <c r="J1882" i="6"/>
  <c r="J1862" i="6"/>
  <c r="J1747" i="6"/>
  <c r="J1740" i="6"/>
  <c r="J1733" i="6"/>
  <c r="J1716" i="6"/>
  <c r="J1712" i="6"/>
  <c r="J1681" i="6"/>
  <c r="J1677" i="6"/>
  <c r="J1612" i="6"/>
  <c r="J1608" i="6"/>
  <c r="J1567" i="6"/>
  <c r="J1537" i="6"/>
  <c r="J1518" i="6"/>
  <c r="J1488" i="6"/>
  <c r="J1457" i="6"/>
  <c r="J2251" i="6"/>
  <c r="J2229" i="6"/>
  <c r="J2183" i="6"/>
  <c r="J2113" i="6"/>
  <c r="J2109" i="6"/>
  <c r="J2089" i="6"/>
  <c r="J2008" i="6"/>
  <c r="J2000" i="6"/>
  <c r="J1996" i="6"/>
  <c r="J1964" i="6"/>
  <c r="J1956" i="6"/>
  <c r="J1948" i="6"/>
  <c r="J1942" i="6"/>
  <c r="J2057" i="6"/>
  <c r="J2018" i="6"/>
  <c r="J1892" i="6"/>
  <c r="J1877" i="6"/>
  <c r="J1790" i="6"/>
  <c r="J1788" i="6"/>
  <c r="J1761" i="6"/>
  <c r="J1724" i="6"/>
  <c r="J1719" i="6"/>
  <c r="J1709" i="6"/>
  <c r="J1671" i="6"/>
  <c r="J1661" i="6"/>
  <c r="J1613" i="6"/>
  <c r="J1578" i="6"/>
  <c r="J1571" i="6"/>
  <c r="J1500" i="6"/>
  <c r="J1493" i="6"/>
  <c r="J1490" i="6"/>
  <c r="J2316" i="6"/>
  <c r="J2293" i="6"/>
  <c r="J2067" i="6"/>
  <c r="J2061" i="6"/>
  <c r="J1874" i="6"/>
  <c r="J1826" i="6"/>
  <c r="J1797" i="6"/>
  <c r="J1795" i="6"/>
  <c r="J1768" i="6"/>
  <c r="J1741" i="6"/>
  <c r="J1666" i="6"/>
  <c r="J1628" i="6"/>
  <c r="J1618" i="6"/>
  <c r="J1558" i="6"/>
  <c r="J1551" i="6"/>
  <c r="J1544" i="6"/>
  <c r="J1481" i="6"/>
  <c r="J2045" i="6"/>
  <c r="J2039" i="6"/>
  <c r="J1927" i="6"/>
  <c r="J1920" i="6"/>
  <c r="J1899" i="6"/>
  <c r="J1779" i="6"/>
  <c r="J1752" i="6"/>
  <c r="J1748" i="6"/>
  <c r="J1727" i="6"/>
  <c r="J1717" i="6"/>
  <c r="J1669" i="6"/>
  <c r="J1621" i="6"/>
  <c r="J1582" i="6"/>
  <c r="J1538" i="6"/>
  <c r="J1531" i="6"/>
  <c r="J1524" i="6"/>
  <c r="J1497" i="6"/>
  <c r="J2388" i="6"/>
  <c r="J2033" i="6"/>
  <c r="J1980" i="6"/>
  <c r="J1876" i="6"/>
  <c r="J1846" i="6"/>
  <c r="J1786" i="6"/>
  <c r="J1759" i="6"/>
  <c r="J1732" i="6"/>
  <c r="J1722" i="6"/>
  <c r="J1684" i="6"/>
  <c r="J1674" i="6"/>
  <c r="J1636" i="6"/>
  <c r="J1626" i="6"/>
  <c r="J1565" i="6"/>
  <c r="J1528" i="6"/>
  <c r="J1521" i="6"/>
  <c r="J1514" i="6"/>
  <c r="J1511" i="6"/>
  <c r="J1504" i="6"/>
  <c r="J1482" i="6"/>
  <c r="J2432" i="6"/>
  <c r="J2289" i="6"/>
  <c r="J2156" i="6"/>
  <c r="J2011" i="6"/>
  <c r="J1970" i="6"/>
  <c r="J1961" i="6"/>
  <c r="J1934" i="6"/>
  <c r="J1861" i="6"/>
  <c r="J1766" i="6"/>
  <c r="J1739" i="6"/>
  <c r="J1737" i="6"/>
  <c r="J1725" i="6"/>
  <c r="J1702" i="6"/>
  <c r="J2046" i="6"/>
  <c r="J2030" i="6"/>
  <c r="J2141" i="6"/>
  <c r="J2324" i="6"/>
  <c r="J2130" i="6"/>
  <c r="J1905" i="6"/>
  <c r="J1842" i="6"/>
  <c r="J1827" i="6"/>
  <c r="J1726" i="6"/>
  <c r="J1705" i="6"/>
  <c r="J1660" i="6"/>
  <c r="J1580" i="6"/>
  <c r="J1572" i="6"/>
  <c r="J2288" i="6"/>
  <c r="J2259" i="6"/>
  <c r="J2095" i="6"/>
  <c r="J2026" i="6"/>
  <c r="J1969" i="6"/>
  <c r="J1873" i="6"/>
  <c r="J1818" i="6"/>
  <c r="J1801" i="6"/>
  <c r="J1731" i="6"/>
  <c r="J1710" i="6"/>
  <c r="J1662" i="6"/>
  <c r="J1653" i="6"/>
  <c r="J1604" i="6"/>
  <c r="J1574" i="6"/>
  <c r="J1546" i="6"/>
  <c r="J1542" i="6"/>
  <c r="J1540" i="6"/>
  <c r="J1532" i="6"/>
  <c r="J1474" i="6"/>
  <c r="J1468" i="6"/>
  <c r="J1458" i="6"/>
  <c r="J1415" i="6"/>
  <c r="J1414" i="6"/>
  <c r="J1413" i="6"/>
  <c r="J1412" i="6"/>
  <c r="J1411" i="6"/>
  <c r="J1410" i="6"/>
  <c r="J1366" i="6"/>
  <c r="J1365" i="6"/>
  <c r="J1364" i="6"/>
  <c r="J1363" i="6"/>
  <c r="J1362" i="6"/>
  <c r="J1361" i="6"/>
  <c r="J1984" i="6"/>
  <c r="J1814" i="6"/>
  <c r="J1723" i="6"/>
  <c r="J1720" i="6"/>
  <c r="J1683" i="6"/>
  <c r="J1657" i="6"/>
  <c r="J1655" i="6"/>
  <c r="J1634" i="6"/>
  <c r="J1625" i="6"/>
  <c r="J2015" i="6"/>
  <c r="J1812" i="6"/>
  <c r="J1789" i="6"/>
  <c r="J1754" i="6"/>
  <c r="J1678" i="6"/>
  <c r="J1631" i="6"/>
  <c r="J1622" i="6"/>
  <c r="J1587" i="6"/>
  <c r="J1479" i="6"/>
  <c r="J1477" i="6"/>
  <c r="J1455" i="6"/>
  <c r="J1444" i="6"/>
  <c r="J1433" i="6"/>
  <c r="J1400" i="6"/>
  <c r="J1378" i="6"/>
  <c r="J1367" i="6"/>
  <c r="J1355" i="6"/>
  <c r="J1345" i="6"/>
  <c r="J2188" i="6"/>
  <c r="J1832" i="6"/>
  <c r="J1782" i="6"/>
  <c r="J1746" i="6"/>
  <c r="J1706" i="6"/>
  <c r="J1554" i="6"/>
  <c r="J2135" i="6"/>
  <c r="J1900" i="6"/>
  <c r="J1852" i="6"/>
  <c r="J1817" i="6"/>
  <c r="J1796" i="6"/>
  <c r="J1729" i="6"/>
  <c r="J1675" i="6"/>
  <c r="J1654" i="6"/>
  <c r="J1619" i="6"/>
  <c r="J1549" i="6"/>
  <c r="J1533" i="6"/>
  <c r="J1491" i="6"/>
  <c r="J1489" i="6"/>
  <c r="J1473" i="6"/>
  <c r="J1469" i="6"/>
  <c r="J1445" i="6"/>
  <c r="J1435" i="6"/>
  <c r="J1390" i="6"/>
  <c r="J1380" i="6"/>
  <c r="J1368" i="6"/>
  <c r="J1357" i="6"/>
  <c r="J1346" i="6"/>
  <c r="J2107" i="6"/>
  <c r="J1898" i="6"/>
  <c r="J1891" i="6"/>
  <c r="J1803" i="6"/>
  <c r="J1561" i="6"/>
  <c r="J1505" i="6"/>
  <c r="J1503" i="6"/>
  <c r="J1464" i="6"/>
  <c r="J1446" i="6"/>
  <c r="J1436" i="6"/>
  <c r="J1424" i="6"/>
  <c r="J1402" i="6"/>
  <c r="J1391" i="6"/>
  <c r="J1369" i="6"/>
  <c r="J1358" i="6"/>
  <c r="J1326" i="6"/>
  <c r="J1319" i="6"/>
  <c r="J1312" i="6"/>
  <c r="J1305" i="6"/>
  <c r="J1298" i="6"/>
  <c r="J1291" i="6"/>
  <c r="J1284" i="6"/>
  <c r="J1277" i="6"/>
  <c r="J1270" i="6"/>
  <c r="J1263" i="6"/>
  <c r="J1256" i="6"/>
  <c r="J1249" i="6"/>
  <c r="J1242" i="6"/>
  <c r="J1235" i="6"/>
  <c r="J1228" i="6"/>
  <c r="J1221" i="6"/>
  <c r="J2079" i="6"/>
  <c r="J1919" i="6"/>
  <c r="J1867" i="6"/>
  <c r="J1663" i="6"/>
  <c r="J1610" i="6"/>
  <c r="J1586" i="6"/>
  <c r="J1581" i="6"/>
  <c r="J1447" i="6"/>
  <c r="J1425" i="6"/>
  <c r="J1392" i="6"/>
  <c r="J1381" i="6"/>
  <c r="J1370" i="6"/>
  <c r="J1359" i="6"/>
  <c r="J1347" i="6"/>
  <c r="J1936" i="6"/>
  <c r="J1751" i="6"/>
  <c r="J1670" i="6"/>
  <c r="J1656" i="6"/>
  <c r="J1483" i="6"/>
  <c r="J1472" i="6"/>
  <c r="J1883" i="6"/>
  <c r="J1875" i="6"/>
  <c r="J1866" i="6"/>
  <c r="J1738" i="6"/>
  <c r="J1559" i="6"/>
  <c r="J1480" i="6"/>
  <c r="J1463" i="6"/>
  <c r="J1441" i="6"/>
  <c r="J1427" i="6"/>
  <c r="J1421" i="6"/>
  <c r="J1835" i="6"/>
  <c r="J1659" i="6"/>
  <c r="J1627" i="6"/>
  <c r="J1614" i="6"/>
  <c r="J1495" i="6"/>
  <c r="J1475" i="6"/>
  <c r="J1450" i="6"/>
  <c r="J1834" i="6"/>
  <c r="J1781" i="6"/>
  <c r="J1673" i="6"/>
  <c r="J1570" i="6"/>
  <c r="J1501" i="6"/>
  <c r="J1466" i="6"/>
  <c r="J1461" i="6"/>
  <c r="J2085" i="6"/>
  <c r="J1941" i="6"/>
  <c r="J1908" i="6"/>
  <c r="J1787" i="6"/>
  <c r="J1776" i="6"/>
  <c r="J1701" i="6"/>
  <c r="J1471" i="6"/>
  <c r="J1456" i="6"/>
  <c r="J1453" i="6"/>
  <c r="J1439" i="6"/>
  <c r="J1419" i="6"/>
  <c r="J1396" i="6"/>
  <c r="J1382" i="6"/>
  <c r="J1379" i="6"/>
  <c r="J2101" i="6"/>
  <c r="J1922" i="6"/>
  <c r="J1769" i="6"/>
  <c r="J1762" i="6"/>
  <c r="J1667" i="6"/>
  <c r="J1624" i="6"/>
  <c r="J1552" i="6"/>
  <c r="J1525" i="6"/>
  <c r="J1484" i="6"/>
  <c r="J1397" i="6"/>
  <c r="J1388" i="6"/>
  <c r="J1349" i="6"/>
  <c r="J1343" i="6"/>
  <c r="J1313" i="6"/>
  <c r="J1290" i="6"/>
  <c r="J1289" i="6"/>
  <c r="J1288" i="6"/>
  <c r="J1287" i="6"/>
  <c r="J1286" i="6"/>
  <c r="J1241" i="6"/>
  <c r="J1240" i="6"/>
  <c r="J1239" i="6"/>
  <c r="J1238" i="6"/>
  <c r="J1237" i="6"/>
  <c r="J2037" i="6"/>
  <c r="J1718" i="6"/>
  <c r="J1519" i="6"/>
  <c r="J1509" i="6"/>
  <c r="J1476" i="6"/>
  <c r="J1465" i="6"/>
  <c r="J1460" i="6"/>
  <c r="J1443" i="6"/>
  <c r="J1431" i="6"/>
  <c r="J1426" i="6"/>
  <c r="J1393" i="6"/>
  <c r="J1292" i="6"/>
  <c r="J1248" i="6"/>
  <c r="J1247" i="6"/>
  <c r="J1246" i="6"/>
  <c r="J1245" i="6"/>
  <c r="J1244" i="6"/>
  <c r="J1848" i="6"/>
  <c r="J1568" i="6"/>
  <c r="J1529" i="6"/>
  <c r="J1438" i="6"/>
  <c r="J1428" i="6"/>
  <c r="J1384" i="6"/>
  <c r="J1377" i="6"/>
  <c r="J1334" i="6"/>
  <c r="J1331" i="6"/>
  <c r="J1314" i="6"/>
  <c r="J1309" i="6"/>
  <c r="J1304" i="6"/>
  <c r="J1250" i="6"/>
  <c r="J1216" i="6"/>
  <c r="J1209" i="6"/>
  <c r="J1202" i="6"/>
  <c r="J1195" i="6"/>
  <c r="J1188" i="6"/>
  <c r="J1181" i="6"/>
  <c r="J1174" i="6"/>
  <c r="J1167" i="6"/>
  <c r="J1160" i="6"/>
  <c r="J1153" i="6"/>
  <c r="J1146" i="6"/>
  <c r="J1139" i="6"/>
  <c r="J1132" i="6"/>
  <c r="J1125" i="6"/>
  <c r="J1118" i="6"/>
  <c r="J1111" i="6"/>
  <c r="J1104" i="6"/>
  <c r="J1097" i="6"/>
  <c r="J1090" i="6"/>
  <c r="J1083" i="6"/>
  <c r="J1076" i="6"/>
  <c r="J1069" i="6"/>
  <c r="J1062" i="6"/>
  <c r="J1055" i="6"/>
  <c r="J1048" i="6"/>
  <c r="J1041" i="6"/>
  <c r="J1034" i="6"/>
  <c r="J1027" i="6"/>
  <c r="J1020" i="6"/>
  <c r="J1013" i="6"/>
  <c r="J1006" i="6"/>
  <c r="J999" i="6"/>
  <c r="J992" i="6"/>
  <c r="J985" i="6"/>
  <c r="J978" i="6"/>
  <c r="J971" i="6"/>
  <c r="J964" i="6"/>
  <c r="J957" i="6"/>
  <c r="J950" i="6"/>
  <c r="J943" i="6"/>
  <c r="J936" i="6"/>
  <c r="J929" i="6"/>
  <c r="J922" i="6"/>
  <c r="J915" i="6"/>
  <c r="J2169" i="6"/>
  <c r="J1758" i="6"/>
  <c r="J1685" i="6"/>
  <c r="J1606" i="6"/>
  <c r="J1523" i="6"/>
  <c r="J1508" i="6"/>
  <c r="J1462" i="6"/>
  <c r="J1459" i="6"/>
  <c r="J1440" i="6"/>
  <c r="J1350" i="6"/>
  <c r="J1344" i="6"/>
  <c r="J1341" i="6"/>
  <c r="J1338" i="6"/>
  <c r="J1315" i="6"/>
  <c r="J1310" i="6"/>
  <c r="J1293" i="6"/>
  <c r="J1257" i="6"/>
  <c r="J1215" i="6"/>
  <c r="J1208" i="6"/>
  <c r="J1201" i="6"/>
  <c r="J1194" i="6"/>
  <c r="J1187" i="6"/>
  <c r="J1180" i="6"/>
  <c r="J1173" i="6"/>
  <c r="J1166" i="6"/>
  <c r="J1159" i="6"/>
  <c r="J1152" i="6"/>
  <c r="J1145" i="6"/>
  <c r="J1138" i="6"/>
  <c r="J1131" i="6"/>
  <c r="J1124" i="6"/>
  <c r="J1117" i="6"/>
  <c r="J1110" i="6"/>
  <c r="J1103" i="6"/>
  <c r="J1096" i="6"/>
  <c r="J1089" i="6"/>
  <c r="J1082" i="6"/>
  <c r="J1075" i="6"/>
  <c r="J1068" i="6"/>
  <c r="J1061" i="6"/>
  <c r="J1054" i="6"/>
  <c r="J1047" i="6"/>
  <c r="J1040" i="6"/>
  <c r="J1033" i="6"/>
  <c r="J1026" i="6"/>
  <c r="J1019" i="6"/>
  <c r="J1012" i="6"/>
  <c r="J1005" i="6"/>
  <c r="J998" i="6"/>
  <c r="J991" i="6"/>
  <c r="J984" i="6"/>
  <c r="J977" i="6"/>
  <c r="J970" i="6"/>
  <c r="J963" i="6"/>
  <c r="J956" i="6"/>
  <c r="J949" i="6"/>
  <c r="J942" i="6"/>
  <c r="J935" i="6"/>
  <c r="J928" i="6"/>
  <c r="J921" i="6"/>
  <c r="J914" i="6"/>
  <c r="J907" i="6"/>
  <c r="J900" i="6"/>
  <c r="J893" i="6"/>
  <c r="J886" i="6"/>
  <c r="J879" i="6"/>
  <c r="J872" i="6"/>
  <c r="J865" i="6"/>
  <c r="J858" i="6"/>
  <c r="J851" i="6"/>
  <c r="J844" i="6"/>
  <c r="J1824" i="6"/>
  <c r="J1713" i="6"/>
  <c r="J1539" i="6"/>
  <c r="J1448" i="6"/>
  <c r="J1418" i="6"/>
  <c r="J1403" i="6"/>
  <c r="J1383" i="6"/>
  <c r="J1356" i="6"/>
  <c r="J1339" i="6"/>
  <c r="J1337" i="6"/>
  <c r="J1283" i="6"/>
  <c r="J1273" i="6"/>
  <c r="J1260" i="6"/>
  <c r="J1243" i="6"/>
  <c r="J1233" i="6"/>
  <c r="J1223" i="6"/>
  <c r="J1203" i="6"/>
  <c r="J1154" i="6"/>
  <c r="J1105" i="6"/>
  <c r="J1056" i="6"/>
  <c r="J1007" i="6"/>
  <c r="J958" i="6"/>
  <c r="J909" i="6"/>
  <c r="J906" i="6"/>
  <c r="J890" i="6"/>
  <c r="J874" i="6"/>
  <c r="J857" i="6"/>
  <c r="J841" i="6"/>
  <c r="J833" i="6"/>
  <c r="J826" i="6"/>
  <c r="J819" i="6"/>
  <c r="J812" i="6"/>
  <c r="J805" i="6"/>
  <c r="J798" i="6"/>
  <c r="J791" i="6"/>
  <c r="J784" i="6"/>
  <c r="J777" i="6"/>
  <c r="J770" i="6"/>
  <c r="J763" i="6"/>
  <c r="J756" i="6"/>
  <c r="J749" i="6"/>
  <c r="J742" i="6"/>
  <c r="J735" i="6"/>
  <c r="J728" i="6"/>
  <c r="J721" i="6"/>
  <c r="J714" i="6"/>
  <c r="J707" i="6"/>
  <c r="J700" i="6"/>
  <c r="J693" i="6"/>
  <c r="J686" i="6"/>
  <c r="J679" i="6"/>
  <c r="J672" i="6"/>
  <c r="J665" i="6"/>
  <c r="J658" i="6"/>
  <c r="J651" i="6"/>
  <c r="J644" i="6"/>
  <c r="J637" i="6"/>
  <c r="J630" i="6"/>
  <c r="J623" i="6"/>
  <c r="J616" i="6"/>
  <c r="J609" i="6"/>
  <c r="J602" i="6"/>
  <c r="J595" i="6"/>
  <c r="J588" i="6"/>
  <c r="J581" i="6"/>
  <c r="J574" i="6"/>
  <c r="J567" i="6"/>
  <c r="J560" i="6"/>
  <c r="J553" i="6"/>
  <c r="J546" i="6"/>
  <c r="J539" i="6"/>
  <c r="J532" i="6"/>
  <c r="J525" i="6"/>
  <c r="J518" i="6"/>
  <c r="J511" i="6"/>
  <c r="J504" i="6"/>
  <c r="J497" i="6"/>
  <c r="J490" i="6"/>
  <c r="J483" i="6"/>
  <c r="J476" i="6"/>
  <c r="J469" i="6"/>
  <c r="J462" i="6"/>
  <c r="J2202" i="6"/>
  <c r="J1620" i="6"/>
  <c r="J1408" i="6"/>
  <c r="J1398" i="6"/>
  <c r="J1373" i="6"/>
  <c r="J1354" i="6"/>
  <c r="J1333" i="6"/>
  <c r="J1324" i="6"/>
  <c r="J1317" i="6"/>
  <c r="J1307" i="6"/>
  <c r="J1300" i="6"/>
  <c r="J1220" i="6"/>
  <c r="J1198" i="6"/>
  <c r="J1193" i="6"/>
  <c r="J1176" i="6"/>
  <c r="J1171" i="6"/>
  <c r="J1149" i="6"/>
  <c r="J1144" i="6"/>
  <c r="J1127" i="6"/>
  <c r="J1122" i="6"/>
  <c r="J1100" i="6"/>
  <c r="J1095" i="6"/>
  <c r="J1078" i="6"/>
  <c r="J1073" i="6"/>
  <c r="J1051" i="6"/>
  <c r="J1046" i="6"/>
  <c r="J1029" i="6"/>
  <c r="J1024" i="6"/>
  <c r="J1002" i="6"/>
  <c r="J997" i="6"/>
  <c r="J980" i="6"/>
  <c r="J975" i="6"/>
  <c r="J953" i="6"/>
  <c r="J948" i="6"/>
  <c r="J931" i="6"/>
  <c r="J926" i="6"/>
  <c r="J905" i="6"/>
  <c r="J889" i="6"/>
  <c r="J873" i="6"/>
  <c r="J856" i="6"/>
  <c r="J840" i="6"/>
  <c r="J1563" i="6"/>
  <c r="J1451" i="6"/>
  <c r="J1405" i="6"/>
  <c r="J1385" i="6"/>
  <c r="J1360" i="6"/>
  <c r="J1280" i="6"/>
  <c r="J1267" i="6"/>
  <c r="J1230" i="6"/>
  <c r="J1227" i="6"/>
  <c r="J1182" i="6"/>
  <c r="J1133" i="6"/>
  <c r="J1084" i="6"/>
  <c r="J1035" i="6"/>
  <c r="J986" i="6"/>
  <c r="J937" i="6"/>
  <c r="J904" i="6"/>
  <c r="J888" i="6"/>
  <c r="J871" i="6"/>
  <c r="J855" i="6"/>
  <c r="J839" i="6"/>
  <c r="J832" i="6"/>
  <c r="J825" i="6"/>
  <c r="J818" i="6"/>
  <c r="J811" i="6"/>
  <c r="J804" i="6"/>
  <c r="J797" i="6"/>
  <c r="J790" i="6"/>
  <c r="J783" i="6"/>
  <c r="J776" i="6"/>
  <c r="J769" i="6"/>
  <c r="J762" i="6"/>
  <c r="J755" i="6"/>
  <c r="J748" i="6"/>
  <c r="J741" i="6"/>
  <c r="J734" i="6"/>
  <c r="J727" i="6"/>
  <c r="J720" i="6"/>
  <c r="J713" i="6"/>
  <c r="J706" i="6"/>
  <c r="J699" i="6"/>
  <c r="J692" i="6"/>
  <c r="J685" i="6"/>
  <c r="J1855" i="6"/>
  <c r="J1780" i="6"/>
  <c r="J1730" i="6"/>
  <c r="J1579" i="6"/>
  <c r="J1510" i="6"/>
  <c r="J1437" i="6"/>
  <c r="J1329" i="6"/>
  <c r="J1322" i="6"/>
  <c r="J1264" i="6"/>
  <c r="J1254" i="6"/>
  <c r="J1204" i="6"/>
  <c r="J1199" i="6"/>
  <c r="J1177" i="6"/>
  <c r="J1172" i="6"/>
  <c r="J1155" i="6"/>
  <c r="J1150" i="6"/>
  <c r="J1128" i="6"/>
  <c r="J1123" i="6"/>
  <c r="J1106" i="6"/>
  <c r="J1101" i="6"/>
  <c r="J1079" i="6"/>
  <c r="J1074" i="6"/>
  <c r="J1057" i="6"/>
  <c r="J1052" i="6"/>
  <c r="J1030" i="6"/>
  <c r="J1025" i="6"/>
  <c r="J1008" i="6"/>
  <c r="J1003" i="6"/>
  <c r="J981" i="6"/>
  <c r="J976" i="6"/>
  <c r="J959" i="6"/>
  <c r="J954" i="6"/>
  <c r="J932" i="6"/>
  <c r="J927" i="6"/>
  <c r="J910" i="6"/>
  <c r="J903" i="6"/>
  <c r="J887" i="6"/>
  <c r="J870" i="6"/>
  <c r="J854" i="6"/>
  <c r="J2031" i="6"/>
  <c r="J1557" i="6"/>
  <c r="J1494" i="6"/>
  <c r="J1409" i="6"/>
  <c r="J1332" i="6"/>
  <c r="J1327" i="6"/>
  <c r="J1308" i="6"/>
  <c r="J1303" i="6"/>
  <c r="J1261" i="6"/>
  <c r="J1175" i="6"/>
  <c r="J1168" i="6"/>
  <c r="J1161" i="6"/>
  <c r="J1000" i="6"/>
  <c r="J993" i="6"/>
  <c r="J897" i="6"/>
  <c r="J885" i="6"/>
  <c r="J876" i="6"/>
  <c r="J864" i="6"/>
  <c r="J843" i="6"/>
  <c r="J828" i="6"/>
  <c r="J823" i="6"/>
  <c r="J806" i="6"/>
  <c r="J801" i="6"/>
  <c r="J796" i="6"/>
  <c r="J779" i="6"/>
  <c r="J774" i="6"/>
  <c r="J757" i="6"/>
  <c r="J752" i="6"/>
  <c r="J747" i="6"/>
  <c r="J730" i="6"/>
  <c r="J725" i="6"/>
  <c r="J708" i="6"/>
  <c r="J703" i="6"/>
  <c r="J698" i="6"/>
  <c r="J675" i="6"/>
  <c r="J659" i="6"/>
  <c r="J642" i="6"/>
  <c r="J626" i="6"/>
  <c r="J610" i="6"/>
  <c r="J593" i="6"/>
  <c r="J577" i="6"/>
  <c r="J561" i="6"/>
  <c r="J544" i="6"/>
  <c r="J528" i="6"/>
  <c r="J512" i="6"/>
  <c r="J495" i="6"/>
  <c r="J479" i="6"/>
  <c r="J463" i="6"/>
  <c r="J1394" i="6"/>
  <c r="J1374" i="6"/>
  <c r="J1335" i="6"/>
  <c r="J1271" i="6"/>
  <c r="J1255" i="6"/>
  <c r="J1251" i="6"/>
  <c r="J1192" i="6"/>
  <c r="J1185" i="6"/>
  <c r="J1178" i="6"/>
  <c r="J1137" i="6"/>
  <c r="J1130" i="6"/>
  <c r="J1120" i="6"/>
  <c r="J1113" i="6"/>
  <c r="J1072" i="6"/>
  <c r="J1065" i="6"/>
  <c r="J1058" i="6"/>
  <c r="J1017" i="6"/>
  <c r="J1010" i="6"/>
  <c r="J969" i="6"/>
  <c r="J962" i="6"/>
  <c r="J955" i="6"/>
  <c r="J952" i="6"/>
  <c r="J945" i="6"/>
  <c r="J938" i="6"/>
  <c r="J852" i="6"/>
  <c r="J674" i="6"/>
  <c r="J657" i="6"/>
  <c r="J641" i="6"/>
  <c r="J625" i="6"/>
  <c r="J608" i="6"/>
  <c r="J592" i="6"/>
  <c r="J576" i="6"/>
  <c r="J559" i="6"/>
  <c r="J543" i="6"/>
  <c r="J527" i="6"/>
  <c r="J510" i="6"/>
  <c r="J1605" i="6"/>
  <c r="J1577" i="6"/>
  <c r="J1553" i="6"/>
  <c r="J1502" i="6"/>
  <c r="J1387" i="6"/>
  <c r="J1281" i="6"/>
  <c r="J1275" i="6"/>
  <c r="J1269" i="6"/>
  <c r="J1265" i="6"/>
  <c r="J1259" i="6"/>
  <c r="J1231" i="6"/>
  <c r="J1225" i="6"/>
  <c r="J1077" i="6"/>
  <c r="J1070" i="6"/>
  <c r="J1063" i="6"/>
  <c r="J902" i="6"/>
  <c r="J881" i="6"/>
  <c r="J869" i="6"/>
  <c r="J860" i="6"/>
  <c r="J848" i="6"/>
  <c r="J834" i="6"/>
  <c r="J829" i="6"/>
  <c r="J824" i="6"/>
  <c r="J807" i="6"/>
  <c r="J802" i="6"/>
  <c r="J785" i="6"/>
  <c r="J780" i="6"/>
  <c r="J775" i="6"/>
  <c r="J758" i="6"/>
  <c r="J753" i="6"/>
  <c r="J736" i="6"/>
  <c r="J731" i="6"/>
  <c r="J726" i="6"/>
  <c r="J709" i="6"/>
  <c r="J704" i="6"/>
  <c r="J687" i="6"/>
  <c r="J673" i="6"/>
  <c r="J656" i="6"/>
  <c r="J640" i="6"/>
  <c r="J624" i="6"/>
  <c r="J607" i="6"/>
  <c r="J591" i="6"/>
  <c r="J575" i="6"/>
  <c r="J558" i="6"/>
  <c r="J542" i="6"/>
  <c r="J526" i="6"/>
  <c r="J509" i="6"/>
  <c r="J1704" i="6"/>
  <c r="J1617" i="6"/>
  <c r="J1543" i="6"/>
  <c r="J1522" i="6"/>
  <c r="J1470" i="6"/>
  <c r="J1432" i="6"/>
  <c r="J1422" i="6"/>
  <c r="J1417" i="6"/>
  <c r="J1285" i="6"/>
  <c r="J1253" i="6"/>
  <c r="J1229" i="6"/>
  <c r="J1214" i="6"/>
  <c r="J1207" i="6"/>
  <c r="J1200" i="6"/>
  <c r="J1197" i="6"/>
  <c r="J1190" i="6"/>
  <c r="J1183" i="6"/>
  <c r="J1142" i="6"/>
  <c r="J1135" i="6"/>
  <c r="J1094" i="6"/>
  <c r="J1087" i="6"/>
  <c r="J1080" i="6"/>
  <c r="J1039" i="6"/>
  <c r="J1032" i="6"/>
  <c r="J1022" i="6"/>
  <c r="J1015" i="6"/>
  <c r="J974" i="6"/>
  <c r="J967" i="6"/>
  <c r="J960" i="6"/>
  <c r="J919" i="6"/>
  <c r="J912" i="6"/>
  <c r="J898" i="6"/>
  <c r="J877" i="6"/>
  <c r="J671" i="6"/>
  <c r="J655" i="6"/>
  <c r="J639" i="6"/>
  <c r="J622" i="6"/>
  <c r="J606" i="6"/>
  <c r="J590" i="6"/>
  <c r="J573" i="6"/>
  <c r="J557" i="6"/>
  <c r="J541" i="6"/>
  <c r="J524" i="6"/>
  <c r="J508" i="6"/>
  <c r="J1894" i="6"/>
  <c r="J1615" i="6"/>
  <c r="J1530" i="6"/>
  <c r="J1430" i="6"/>
  <c r="J1416" i="6"/>
  <c r="J1401" i="6"/>
  <c r="J1219" i="6"/>
  <c r="J1212" i="6"/>
  <c r="J1205" i="6"/>
  <c r="J1164" i="6"/>
  <c r="J1157" i="6"/>
  <c r="J1116" i="6"/>
  <c r="J1109" i="6"/>
  <c r="J1102" i="6"/>
  <c r="J1099" i="6"/>
  <c r="J1092" i="6"/>
  <c r="J1085" i="6"/>
  <c r="J1044" i="6"/>
  <c r="J1037" i="6"/>
  <c r="J996" i="6"/>
  <c r="J989" i="6"/>
  <c r="J982" i="6"/>
  <c r="J941" i="6"/>
  <c r="J934" i="6"/>
  <c r="J924" i="6"/>
  <c r="J917" i="6"/>
  <c r="J894" i="6"/>
  <c r="J882" i="6"/>
  <c r="J861" i="6"/>
  <c r="J849" i="6"/>
  <c r="J669" i="6"/>
  <c r="J653" i="6"/>
  <c r="J636" i="6"/>
  <c r="J620" i="6"/>
  <c r="J604" i="6"/>
  <c r="J587" i="6"/>
  <c r="J571" i="6"/>
  <c r="J555" i="6"/>
  <c r="J538" i="6"/>
  <c r="J522" i="6"/>
  <c r="J506" i="6"/>
  <c r="J489" i="6"/>
  <c r="J473" i="6"/>
  <c r="J457" i="6"/>
  <c r="J450" i="6"/>
  <c r="J443" i="6"/>
  <c r="J436" i="6"/>
  <c r="J429" i="6"/>
  <c r="J422" i="6"/>
  <c r="J415" i="6"/>
  <c r="J408" i="6"/>
  <c r="J401" i="6"/>
  <c r="J394" i="6"/>
  <c r="J1708" i="6"/>
  <c r="J1389" i="6"/>
  <c r="J1340" i="6"/>
  <c r="J1328" i="6"/>
  <c r="J1294" i="6"/>
  <c r="J1278" i="6"/>
  <c r="J1272" i="6"/>
  <c r="J1222" i="6"/>
  <c r="J1147" i="6"/>
  <c r="J979" i="6"/>
  <c r="J895" i="6"/>
  <c r="J891" i="6"/>
  <c r="J788" i="6"/>
  <c r="J773" i="6"/>
  <c r="J771" i="6"/>
  <c r="J654" i="6"/>
  <c r="J597" i="6"/>
  <c r="J578" i="6"/>
  <c r="J569" i="6"/>
  <c r="J550" i="6"/>
  <c r="J531" i="6"/>
  <c r="J468" i="6"/>
  <c r="J456" i="6"/>
  <c r="J455" i="6"/>
  <c r="J454" i="6"/>
  <c r="J453" i="6"/>
  <c r="J407" i="6"/>
  <c r="J406" i="6"/>
  <c r="J405" i="6"/>
  <c r="J404" i="6"/>
  <c r="J2115" i="6"/>
  <c r="J1854" i="6"/>
  <c r="J1454" i="6"/>
  <c r="J1406" i="6"/>
  <c r="J1320" i="6"/>
  <c r="J1316" i="6"/>
  <c r="J1262" i="6"/>
  <c r="J1234" i="6"/>
  <c r="J1112" i="6"/>
  <c r="J1091" i="6"/>
  <c r="J944" i="6"/>
  <c r="J923" i="6"/>
  <c r="J866" i="6"/>
  <c r="J862" i="6"/>
  <c r="J803" i="6"/>
  <c r="J786" i="6"/>
  <c r="J782" i="6"/>
  <c r="J767" i="6"/>
  <c r="J765" i="6"/>
  <c r="J750" i="6"/>
  <c r="J670" i="6"/>
  <c r="J660" i="6"/>
  <c r="J632" i="6"/>
  <c r="J613" i="6"/>
  <c r="J594" i="6"/>
  <c r="J585" i="6"/>
  <c r="J566" i="6"/>
  <c r="J501" i="6"/>
  <c r="J410" i="6"/>
  <c r="J409" i="6"/>
  <c r="J390" i="6"/>
  <c r="J383" i="6"/>
  <c r="J376" i="6"/>
  <c r="J369" i="6"/>
  <c r="J362" i="6"/>
  <c r="J355" i="6"/>
  <c r="J348" i="6"/>
  <c r="J341" i="6"/>
  <c r="J334" i="6"/>
  <c r="J327" i="6"/>
  <c r="J320" i="6"/>
  <c r="J313" i="6"/>
  <c r="J306" i="6"/>
  <c r="J299" i="6"/>
  <c r="J292" i="6"/>
  <c r="J285" i="6"/>
  <c r="J278" i="6"/>
  <c r="J271" i="6"/>
  <c r="J264" i="6"/>
  <c r="J257" i="6"/>
  <c r="J250" i="6"/>
  <c r="J243" i="6"/>
  <c r="J236" i="6"/>
  <c r="J229" i="6"/>
  <c r="J222" i="6"/>
  <c r="J215" i="6"/>
  <c r="J208" i="6"/>
  <c r="J201" i="6"/>
  <c r="J194" i="6"/>
  <c r="J187" i="6"/>
  <c r="J180" i="6"/>
  <c r="J173" i="6"/>
  <c r="J166" i="6"/>
  <c r="J159" i="6"/>
  <c r="J152" i="6"/>
  <c r="J145" i="6"/>
  <c r="J138" i="6"/>
  <c r="J131" i="6"/>
  <c r="J124" i="6"/>
  <c r="J117" i="6"/>
  <c r="J110" i="6"/>
  <c r="J103" i="6"/>
  <c r="J96" i="6"/>
  <c r="J89" i="6"/>
  <c r="J82" i="6"/>
  <c r="J75" i="6"/>
  <c r="J68" i="6"/>
  <c r="J61" i="6"/>
  <c r="J54" i="6"/>
  <c r="J47" i="6"/>
  <c r="J40" i="6"/>
  <c r="J33" i="6"/>
  <c r="J26" i="6"/>
  <c r="J19" i="6"/>
  <c r="J12" i="6"/>
  <c r="J5" i="6"/>
  <c r="J1845" i="6"/>
  <c r="J1372" i="6"/>
  <c r="J1268" i="6"/>
  <c r="J1211" i="6"/>
  <c r="J1184" i="6"/>
  <c r="J1163" i="6"/>
  <c r="J1136" i="6"/>
  <c r="J1115" i="6"/>
  <c r="J1088" i="6"/>
  <c r="J1067" i="6"/>
  <c r="J1064" i="6"/>
  <c r="J1043" i="6"/>
  <c r="J1016" i="6"/>
  <c r="J995" i="6"/>
  <c r="J968" i="6"/>
  <c r="J965" i="6"/>
  <c r="J947" i="6"/>
  <c r="J920" i="6"/>
  <c r="J901" i="6"/>
  <c r="J761" i="6"/>
  <c r="J746" i="6"/>
  <c r="J744" i="6"/>
  <c r="J729" i="6"/>
  <c r="J676" i="6"/>
  <c r="J667" i="6"/>
  <c r="J648" i="6"/>
  <c r="J629" i="6"/>
  <c r="J601" i="6"/>
  <c r="J547" i="6"/>
  <c r="J519" i="6"/>
  <c r="J491" i="6"/>
  <c r="J480" i="6"/>
  <c r="J458" i="6"/>
  <c r="J414" i="6"/>
  <c r="J413" i="6"/>
  <c r="J412" i="6"/>
  <c r="J411" i="6"/>
  <c r="J1880" i="6"/>
  <c r="J1682" i="6"/>
  <c r="J1573" i="6"/>
  <c r="J1404" i="6"/>
  <c r="J1353" i="6"/>
  <c r="J1348" i="6"/>
  <c r="J1301" i="6"/>
  <c r="J1297" i="6"/>
  <c r="J1274" i="6"/>
  <c r="J878" i="6"/>
  <c r="J868" i="6"/>
  <c r="J759" i="6"/>
  <c r="J740" i="6"/>
  <c r="J738" i="6"/>
  <c r="J723" i="6"/>
  <c r="J683" i="6"/>
  <c r="J664" i="6"/>
  <c r="J582" i="6"/>
  <c r="J563" i="6"/>
  <c r="J554" i="6"/>
  <c r="J535" i="6"/>
  <c r="J516" i="6"/>
  <c r="J502" i="6"/>
  <c r="J492" i="6"/>
  <c r="J481" i="6"/>
  <c r="J470" i="6"/>
  <c r="J459" i="6"/>
  <c r="J417" i="6"/>
  <c r="J416" i="6"/>
  <c r="J389" i="6"/>
  <c r="J382" i="6"/>
  <c r="J375" i="6"/>
  <c r="J368" i="6"/>
  <c r="J361" i="6"/>
  <c r="J354" i="6"/>
  <c r="J347" i="6"/>
  <c r="J340" i="6"/>
  <c r="J333" i="6"/>
  <c r="J326" i="6"/>
  <c r="J319" i="6"/>
  <c r="J312" i="6"/>
  <c r="J305" i="6"/>
  <c r="J298" i="6"/>
  <c r="J291" i="6"/>
  <c r="J284" i="6"/>
  <c r="J277" i="6"/>
  <c r="J270" i="6"/>
  <c r="J263" i="6"/>
  <c r="J256" i="6"/>
  <c r="J249" i="6"/>
  <c r="J242" i="6"/>
  <c r="J235" i="6"/>
  <c r="J228" i="6"/>
  <c r="J221" i="6"/>
  <c r="J214" i="6"/>
  <c r="J207" i="6"/>
  <c r="J200" i="6"/>
  <c r="J193" i="6"/>
  <c r="J186" i="6"/>
  <c r="J179" i="6"/>
  <c r="J172" i="6"/>
  <c r="J165" i="6"/>
  <c r="J158" i="6"/>
  <c r="J151" i="6"/>
  <c r="J144" i="6"/>
  <c r="J137" i="6"/>
  <c r="J130" i="6"/>
  <c r="J123" i="6"/>
  <c r="J116" i="6"/>
  <c r="J109" i="6"/>
  <c r="J102" i="6"/>
  <c r="J95" i="6"/>
  <c r="J88" i="6"/>
  <c r="J81" i="6"/>
  <c r="J74" i="6"/>
  <c r="J67" i="6"/>
  <c r="J60" i="6"/>
  <c r="J53" i="6"/>
  <c r="J46" i="6"/>
  <c r="J39" i="6"/>
  <c r="J32" i="6"/>
  <c r="J25" i="6"/>
  <c r="J18" i="6"/>
  <c r="J11" i="6"/>
  <c r="J4" i="6"/>
  <c r="J1478" i="6"/>
  <c r="J1311" i="6"/>
  <c r="J1258" i="6"/>
  <c r="J1252" i="6"/>
  <c r="J1213" i="6"/>
  <c r="J1186" i="6"/>
  <c r="J1165" i="6"/>
  <c r="J1162" i="6"/>
  <c r="J1141" i="6"/>
  <c r="J1114" i="6"/>
  <c r="J1093" i="6"/>
  <c r="J1066" i="6"/>
  <c r="J1045" i="6"/>
  <c r="J1018" i="6"/>
  <c r="J994" i="6"/>
  <c r="J973" i="6"/>
  <c r="J946" i="6"/>
  <c r="J925" i="6"/>
  <c r="J884" i="6"/>
  <c r="J853" i="6"/>
  <c r="J845" i="6"/>
  <c r="J835" i="6"/>
  <c r="J831" i="6"/>
  <c r="J816" i="6"/>
  <c r="J814" i="6"/>
  <c r="J799" i="6"/>
  <c r="J732" i="6"/>
  <c r="J715" i="6"/>
  <c r="J711" i="6"/>
  <c r="J696" i="6"/>
  <c r="J694" i="6"/>
  <c r="J680" i="6"/>
  <c r="J661" i="6"/>
  <c r="J652" i="6"/>
  <c r="J633" i="6"/>
  <c r="J614" i="6"/>
  <c r="J589" i="6"/>
  <c r="J586" i="6"/>
  <c r="J523" i="6"/>
  <c r="J513" i="6"/>
  <c r="J503" i="6"/>
  <c r="J494" i="6"/>
  <c r="J472" i="6"/>
  <c r="J461" i="6"/>
  <c r="J424" i="6"/>
  <c r="J423" i="6"/>
  <c r="J388" i="6"/>
  <c r="J381" i="6"/>
  <c r="J374" i="6"/>
  <c r="J367" i="6"/>
  <c r="J360" i="6"/>
  <c r="J353" i="6"/>
  <c r="J346" i="6"/>
  <c r="J339" i="6"/>
  <c r="J332" i="6"/>
  <c r="J325" i="6"/>
  <c r="J318" i="6"/>
  <c r="J311" i="6"/>
  <c r="J304" i="6"/>
  <c r="J297" i="6"/>
  <c r="J290" i="6"/>
  <c r="J283" i="6"/>
  <c r="J276" i="6"/>
  <c r="J269" i="6"/>
  <c r="J262" i="6"/>
  <c r="J255" i="6"/>
  <c r="J248" i="6"/>
  <c r="J241" i="6"/>
  <c r="J234" i="6"/>
  <c r="J227" i="6"/>
  <c r="J220" i="6"/>
  <c r="J213" i="6"/>
  <c r="J206" i="6"/>
  <c r="J199" i="6"/>
  <c r="J192" i="6"/>
  <c r="J185" i="6"/>
  <c r="J178" i="6"/>
  <c r="J171" i="6"/>
  <c r="J164" i="6"/>
  <c r="J157" i="6"/>
  <c r="J150" i="6"/>
  <c r="J143" i="6"/>
  <c r="J136" i="6"/>
  <c r="J129" i="6"/>
  <c r="J122" i="6"/>
  <c r="J115" i="6"/>
  <c r="J108" i="6"/>
  <c r="J101" i="6"/>
  <c r="J94" i="6"/>
  <c r="J87" i="6"/>
  <c r="J80" i="6"/>
  <c r="J73" i="6"/>
  <c r="J66" i="6"/>
  <c r="J59" i="6"/>
  <c r="J52" i="6"/>
  <c r="J45" i="6"/>
  <c r="J38" i="6"/>
  <c r="J31" i="6"/>
  <c r="J24" i="6"/>
  <c r="J17" i="6"/>
  <c r="J10" i="6"/>
  <c r="J3" i="6"/>
  <c r="D21" i="4"/>
  <c r="J1635" i="6"/>
  <c r="J1376" i="6"/>
  <c r="J1352" i="6"/>
  <c r="J1330" i="6"/>
  <c r="J880" i="6"/>
  <c r="J810" i="6"/>
  <c r="J795" i="6"/>
  <c r="J793" i="6"/>
  <c r="J778" i="6"/>
  <c r="I4" i="6"/>
  <c r="A7" i="6"/>
  <c r="H8" i="6"/>
  <c r="I17" i="6"/>
  <c r="A19" i="6"/>
  <c r="J21" i="6"/>
  <c r="I25" i="6"/>
  <c r="I29" i="6"/>
  <c r="A36" i="6"/>
  <c r="H37" i="6"/>
  <c r="J41" i="6"/>
  <c r="G45" i="6"/>
  <c r="B48" i="6"/>
  <c r="H49" i="6"/>
  <c r="K50" i="6"/>
  <c r="G57" i="6"/>
  <c r="J58" i="6"/>
  <c r="B60" i="6"/>
  <c r="I66" i="6"/>
  <c r="A68" i="6"/>
  <c r="J70" i="6"/>
  <c r="I74" i="6"/>
  <c r="I78" i="6"/>
  <c r="A85" i="6"/>
  <c r="H86" i="6"/>
  <c r="J90" i="6"/>
  <c r="G94" i="6"/>
  <c r="B97" i="6"/>
  <c r="H98" i="6"/>
  <c r="K99" i="6"/>
  <c r="G106" i="6"/>
  <c r="J107" i="6"/>
  <c r="B109" i="6"/>
  <c r="I115" i="6"/>
  <c r="A117" i="6"/>
  <c r="K119" i="6"/>
  <c r="A125" i="6"/>
  <c r="H126" i="6"/>
  <c r="K127" i="6"/>
  <c r="A133" i="6"/>
  <c r="H134" i="6"/>
  <c r="K135" i="6"/>
  <c r="C137" i="6"/>
  <c r="G138" i="6"/>
  <c r="A141" i="6"/>
  <c r="H142" i="6"/>
  <c r="C145" i="6"/>
  <c r="K146" i="6"/>
  <c r="H150" i="6"/>
  <c r="C153" i="6"/>
  <c r="J154" i="6"/>
  <c r="I158" i="6"/>
  <c r="J162" i="6"/>
  <c r="B164" i="6"/>
  <c r="G169" i="6"/>
  <c r="J170" i="6"/>
  <c r="B172" i="6"/>
  <c r="G177" i="6"/>
  <c r="K178" i="6"/>
  <c r="B180" i="6"/>
  <c r="J181" i="6"/>
  <c r="G185" i="6"/>
  <c r="B188" i="6"/>
  <c r="I189" i="6"/>
  <c r="G193" i="6"/>
  <c r="C196" i="6"/>
  <c r="I197" i="6"/>
  <c r="I205" i="6"/>
  <c r="A207" i="6"/>
  <c r="I213" i="6"/>
  <c r="A215" i="6"/>
  <c r="K217" i="6"/>
  <c r="A223" i="6"/>
  <c r="H224" i="6"/>
  <c r="K225" i="6"/>
  <c r="C227" i="6"/>
  <c r="A231" i="6"/>
  <c r="H232" i="6"/>
  <c r="K233" i="6"/>
  <c r="C235" i="6"/>
  <c r="G236" i="6"/>
  <c r="A239" i="6"/>
  <c r="H240" i="6"/>
  <c r="C243" i="6"/>
  <c r="K244" i="6"/>
  <c r="H248" i="6"/>
  <c r="C251" i="6"/>
  <c r="J252" i="6"/>
  <c r="I256" i="6"/>
  <c r="J260" i="6"/>
  <c r="B262" i="6"/>
  <c r="G267" i="6"/>
  <c r="J268" i="6"/>
  <c r="B270" i="6"/>
  <c r="G275" i="6"/>
  <c r="K276" i="6"/>
  <c r="B278" i="6"/>
  <c r="J279" i="6"/>
  <c r="G283" i="6"/>
  <c r="B286" i="6"/>
  <c r="I287" i="6"/>
  <c r="G291" i="6"/>
  <c r="C294" i="6"/>
  <c r="I295" i="6"/>
  <c r="I303" i="6"/>
  <c r="A305" i="6"/>
  <c r="I311" i="6"/>
  <c r="A313" i="6"/>
  <c r="K315" i="6"/>
  <c r="A321" i="6"/>
  <c r="H322" i="6"/>
  <c r="K323" i="6"/>
  <c r="C325" i="6"/>
  <c r="A329" i="6"/>
  <c r="H330" i="6"/>
  <c r="K331" i="6"/>
  <c r="C333" i="6"/>
  <c r="G334" i="6"/>
  <c r="A337" i="6"/>
  <c r="H338" i="6"/>
  <c r="C341" i="6"/>
  <c r="K342" i="6"/>
  <c r="I346" i="6"/>
  <c r="A348" i="6"/>
  <c r="G353" i="6"/>
  <c r="B356" i="6"/>
  <c r="J357" i="6"/>
  <c r="I361" i="6"/>
  <c r="H364" i="6"/>
  <c r="K365" i="6"/>
  <c r="C367" i="6"/>
  <c r="A371" i="6"/>
  <c r="I372" i="6"/>
  <c r="G379" i="6"/>
  <c r="J380" i="6"/>
  <c r="B382" i="6"/>
  <c r="A386" i="6"/>
  <c r="H387" i="6"/>
  <c r="C390" i="6"/>
  <c r="K391" i="6"/>
  <c r="I394" i="6"/>
  <c r="C399" i="6"/>
  <c r="J402" i="6"/>
  <c r="B407" i="6"/>
  <c r="H413" i="6"/>
  <c r="C415" i="6"/>
  <c r="A420" i="6"/>
  <c r="G421" i="6"/>
  <c r="C423" i="6"/>
  <c r="I424" i="6"/>
  <c r="G429" i="6"/>
  <c r="C431" i="6"/>
  <c r="J432" i="6"/>
  <c r="K435" i="6"/>
  <c r="G437" i="6"/>
  <c r="J440" i="6"/>
  <c r="A442" i="6"/>
  <c r="H445" i="6"/>
  <c r="J448" i="6"/>
  <c r="B453" i="6"/>
  <c r="A458" i="6"/>
  <c r="G461" i="6"/>
  <c r="K466" i="6"/>
  <c r="C468" i="6"/>
  <c r="A470" i="6"/>
  <c r="J471" i="6"/>
  <c r="G473" i="6"/>
  <c r="C480" i="6"/>
  <c r="A482" i="6"/>
  <c r="I483" i="6"/>
  <c r="H485" i="6"/>
  <c r="C492" i="6"/>
  <c r="A494" i="6"/>
  <c r="I495" i="6"/>
  <c r="G497" i="6"/>
  <c r="I502" i="6"/>
  <c r="H504" i="6"/>
  <c r="C511" i="6"/>
  <c r="B513" i="6"/>
  <c r="K517" i="6"/>
  <c r="C527" i="6"/>
  <c r="C529" i="6"/>
  <c r="C545" i="6"/>
  <c r="C561" i="6"/>
  <c r="I563" i="6"/>
  <c r="C577" i="6"/>
  <c r="G604" i="6"/>
  <c r="G618" i="6"/>
  <c r="G634" i="6"/>
  <c r="J645" i="6"/>
  <c r="G650" i="6"/>
  <c r="I661" i="6"/>
  <c r="G668" i="6"/>
  <c r="A671" i="6"/>
  <c r="I677" i="6"/>
  <c r="G684" i="6"/>
  <c r="A687" i="6"/>
  <c r="G690" i="6"/>
  <c r="G696" i="6"/>
  <c r="B715" i="6"/>
  <c r="K718" i="6"/>
  <c r="K728" i="6"/>
  <c r="I738" i="6"/>
  <c r="I745" i="6"/>
  <c r="B749" i="6"/>
  <c r="H761" i="6"/>
  <c r="A775" i="6"/>
  <c r="H787" i="6"/>
  <c r="A791" i="6"/>
  <c r="J794" i="6"/>
  <c r="A807" i="6"/>
  <c r="H810" i="6"/>
  <c r="A814" i="6"/>
  <c r="J817" i="6"/>
  <c r="J820" i="6"/>
  <c r="A824" i="6"/>
  <c r="J827" i="6"/>
  <c r="C831" i="6"/>
  <c r="C844" i="6"/>
  <c r="J847" i="6"/>
  <c r="C851" i="6"/>
  <c r="K861" i="6"/>
  <c r="G865" i="6"/>
  <c r="B873" i="6"/>
  <c r="J883" i="6"/>
  <c r="I886" i="6"/>
  <c r="K900" i="6"/>
  <c r="H904" i="6"/>
  <c r="J908" i="6"/>
  <c r="G913" i="6"/>
  <c r="A917" i="6"/>
  <c r="B922" i="6"/>
  <c r="I935" i="6"/>
  <c r="J940" i="6"/>
  <c r="C945" i="6"/>
  <c r="K963" i="6"/>
  <c r="I967" i="6"/>
  <c r="G1004" i="6"/>
  <c r="H1009" i="6"/>
  <c r="B1018" i="6"/>
  <c r="K1026" i="6"/>
  <c r="I1031" i="6"/>
  <c r="J1036" i="6"/>
  <c r="C1041" i="6"/>
  <c r="A1045" i="6"/>
  <c r="I1054" i="6"/>
  <c r="C1063" i="6"/>
  <c r="A1073" i="6"/>
  <c r="K1081" i="6"/>
  <c r="G1090" i="6"/>
  <c r="C1114" i="6"/>
  <c r="B1119" i="6"/>
  <c r="J1140" i="6"/>
  <c r="G1145" i="6"/>
  <c r="H1150" i="6"/>
  <c r="A1155" i="6"/>
  <c r="B1159" i="6"/>
  <c r="C1168" i="6"/>
  <c r="I1172" i="6"/>
  <c r="K1186" i="6"/>
  <c r="I1191" i="6"/>
  <c r="G1196" i="6"/>
  <c r="G1201" i="6"/>
  <c r="A1205" i="6"/>
  <c r="B1210" i="6"/>
  <c r="B1215" i="6"/>
  <c r="C1224" i="6"/>
  <c r="I1229" i="6"/>
  <c r="B1235" i="6"/>
  <c r="B1251" i="6"/>
  <c r="B1256" i="6"/>
  <c r="J1282" i="6"/>
  <c r="J1299" i="6"/>
  <c r="J1306" i="6"/>
  <c r="J1318" i="6"/>
  <c r="J1325" i="6"/>
  <c r="C1347" i="6"/>
  <c r="A1355" i="6"/>
  <c r="B1370" i="6"/>
  <c r="I1397" i="6"/>
  <c r="I1407" i="6"/>
  <c r="J1420" i="6"/>
  <c r="A1444" i="6"/>
  <c r="A1458" i="6"/>
  <c r="H1474" i="6"/>
  <c r="B1520" i="6"/>
  <c r="G1612" i="6"/>
  <c r="G1774" i="6"/>
  <c r="A2177" i="6"/>
  <c r="G18" i="6"/>
  <c r="G26" i="6"/>
  <c r="D13" i="4"/>
  <c r="K2499" i="6"/>
  <c r="K2492" i="6"/>
  <c r="K2485" i="6"/>
  <c r="K2478" i="6"/>
  <c r="K2471" i="6"/>
  <c r="K2464" i="6"/>
  <c r="K2457" i="6"/>
  <c r="K2450" i="6"/>
  <c r="K2443" i="6"/>
  <c r="K2436" i="6"/>
  <c r="K2429" i="6"/>
  <c r="K2497" i="6"/>
  <c r="K2490" i="6"/>
  <c r="K2483" i="6"/>
  <c r="K2476" i="6"/>
  <c r="K2469" i="6"/>
  <c r="K2462" i="6"/>
  <c r="K2455" i="6"/>
  <c r="K2448" i="6"/>
  <c r="K2441" i="6"/>
  <c r="K2434" i="6"/>
  <c r="K2427" i="6"/>
  <c r="K2496" i="6"/>
  <c r="K2489" i="6"/>
  <c r="K2482" i="6"/>
  <c r="K2475" i="6"/>
  <c r="K2468" i="6"/>
  <c r="K2461" i="6"/>
  <c r="K2488" i="6"/>
  <c r="K2453" i="6"/>
  <c r="K2431" i="6"/>
  <c r="K2426" i="6"/>
  <c r="K2419" i="6"/>
  <c r="K2412" i="6"/>
  <c r="K2405" i="6"/>
  <c r="K2491" i="6"/>
  <c r="K2465" i="6"/>
  <c r="K2437" i="6"/>
  <c r="K2494" i="6"/>
  <c r="K2474" i="6"/>
  <c r="K2458" i="6"/>
  <c r="K2454" i="6"/>
  <c r="K2432" i="6"/>
  <c r="K2425" i="6"/>
  <c r="K2418" i="6"/>
  <c r="K2411" i="6"/>
  <c r="K2404" i="6"/>
  <c r="K2479" i="6"/>
  <c r="K2447" i="6"/>
  <c r="K2422" i="6"/>
  <c r="K2403" i="6"/>
  <c r="K2397" i="6"/>
  <c r="K2390" i="6"/>
  <c r="K2498" i="6"/>
  <c r="K2463" i="6"/>
  <c r="K2424" i="6"/>
  <c r="K2413" i="6"/>
  <c r="K2396" i="6"/>
  <c r="K2389" i="6"/>
  <c r="K2456" i="6"/>
  <c r="K2442" i="6"/>
  <c r="K2414" i="6"/>
  <c r="K2486" i="6"/>
  <c r="K2445" i="6"/>
  <c r="K2415" i="6"/>
  <c r="K2395" i="6"/>
  <c r="K2500" i="6"/>
  <c r="K2481" i="6"/>
  <c r="K2473" i="6"/>
  <c r="K2470" i="6"/>
  <c r="K2444" i="6"/>
  <c r="K2433" i="6"/>
  <c r="K2406" i="6"/>
  <c r="K2378" i="6"/>
  <c r="K2371" i="6"/>
  <c r="K2364" i="6"/>
  <c r="K2446" i="6"/>
  <c r="K2435" i="6"/>
  <c r="K2409" i="6"/>
  <c r="K2467" i="6"/>
  <c r="K2423" i="6"/>
  <c r="K2420" i="6"/>
  <c r="K2391" i="6"/>
  <c r="K2377" i="6"/>
  <c r="K2370" i="6"/>
  <c r="K2363" i="6"/>
  <c r="K2480" i="6"/>
  <c r="K2472" i="6"/>
  <c r="K2459" i="6"/>
  <c r="K2452" i="6"/>
  <c r="K2387" i="6"/>
  <c r="K2379" i="6"/>
  <c r="K2374" i="6"/>
  <c r="K2369" i="6"/>
  <c r="K2362" i="6"/>
  <c r="K2484" i="6"/>
  <c r="K2407" i="6"/>
  <c r="K2361" i="6"/>
  <c r="K2354" i="6"/>
  <c r="K2439" i="6"/>
  <c r="K2380" i="6"/>
  <c r="K2375" i="6"/>
  <c r="K2495" i="6"/>
  <c r="K2430" i="6"/>
  <c r="K2360" i="6"/>
  <c r="K2353" i="6"/>
  <c r="K2346" i="6"/>
  <c r="K2339" i="6"/>
  <c r="K2332" i="6"/>
  <c r="K2325" i="6"/>
  <c r="K2318" i="6"/>
  <c r="K2311" i="6"/>
  <c r="K2304" i="6"/>
  <c r="K2297" i="6"/>
  <c r="K2290" i="6"/>
  <c r="K2283" i="6"/>
  <c r="K2276" i="6"/>
  <c r="K2269" i="6"/>
  <c r="K2402" i="6"/>
  <c r="K2349" i="6"/>
  <c r="K2321" i="6"/>
  <c r="K2302" i="6"/>
  <c r="K2272" i="6"/>
  <c r="K2263" i="6"/>
  <c r="K2256" i="6"/>
  <c r="K2249" i="6"/>
  <c r="K2242" i="6"/>
  <c r="K2235" i="6"/>
  <c r="K2477" i="6"/>
  <c r="K2466" i="6"/>
  <c r="K2417" i="6"/>
  <c r="K2408" i="6"/>
  <c r="K2399" i="6"/>
  <c r="K2394" i="6"/>
  <c r="K2381" i="6"/>
  <c r="K2341" i="6"/>
  <c r="K2322" i="6"/>
  <c r="K2312" i="6"/>
  <c r="K2303" i="6"/>
  <c r="K2292" i="6"/>
  <c r="K2273" i="6"/>
  <c r="K2493" i="6"/>
  <c r="K2355" i="6"/>
  <c r="K2350" i="6"/>
  <c r="K2342" i="6"/>
  <c r="K2323" i="6"/>
  <c r="K2293" i="6"/>
  <c r="K2274" i="6"/>
  <c r="K2262" i="6"/>
  <c r="K2255" i="6"/>
  <c r="K2248" i="6"/>
  <c r="K2241" i="6"/>
  <c r="K2234" i="6"/>
  <c r="K2384" i="6"/>
  <c r="K2351" i="6"/>
  <c r="K2345" i="6"/>
  <c r="K2338" i="6"/>
  <c r="K2331" i="6"/>
  <c r="K2294" i="6"/>
  <c r="K2287" i="6"/>
  <c r="K2280" i="6"/>
  <c r="K2266" i="6"/>
  <c r="K2247" i="6"/>
  <c r="K2236" i="6"/>
  <c r="K2451" i="6"/>
  <c r="K2348" i="6"/>
  <c r="K2335" i="6"/>
  <c r="K2328" i="6"/>
  <c r="K2257" i="6"/>
  <c r="K2238" i="6"/>
  <c r="K2392" i="6"/>
  <c r="K2386" i="6"/>
  <c r="K2366" i="6"/>
  <c r="K2357" i="6"/>
  <c r="K2315" i="6"/>
  <c r="K2308" i="6"/>
  <c r="K2301" i="6"/>
  <c r="K2258" i="6"/>
  <c r="K2239" i="6"/>
  <c r="K2223" i="6"/>
  <c r="K2216" i="6"/>
  <c r="K2209" i="6"/>
  <c r="K2202" i="6"/>
  <c r="K2421" i="6"/>
  <c r="K2401" i="6"/>
  <c r="K2368" i="6"/>
  <c r="K2305" i="6"/>
  <c r="K2298" i="6"/>
  <c r="K2295" i="6"/>
  <c r="K2291" i="6"/>
  <c r="K2288" i="6"/>
  <c r="K2281" i="6"/>
  <c r="K2259" i="6"/>
  <c r="K2240" i="6"/>
  <c r="K2358" i="6"/>
  <c r="K2356" i="6"/>
  <c r="K2343" i="6"/>
  <c r="K2270" i="6"/>
  <c r="K2252" i="6"/>
  <c r="K2214" i="6"/>
  <c r="K2416" i="6"/>
  <c r="K2365" i="6"/>
  <c r="K2347" i="6"/>
  <c r="K2337" i="6"/>
  <c r="K2329" i="6"/>
  <c r="K2261" i="6"/>
  <c r="K2233" i="6"/>
  <c r="K2205" i="6"/>
  <c r="K2400" i="6"/>
  <c r="K2383" i="6"/>
  <c r="K2319" i="6"/>
  <c r="K2317" i="6"/>
  <c r="K2313" i="6"/>
  <c r="K2309" i="6"/>
  <c r="K2275" i="6"/>
  <c r="K2244" i="6"/>
  <c r="K2225" i="6"/>
  <c r="K2206" i="6"/>
  <c r="K2192" i="6"/>
  <c r="K2185" i="6"/>
  <c r="K2178" i="6"/>
  <c r="K2171" i="6"/>
  <c r="K2164" i="6"/>
  <c r="K2157" i="6"/>
  <c r="K2327" i="6"/>
  <c r="K2289" i="6"/>
  <c r="K2285" i="6"/>
  <c r="K2250" i="6"/>
  <c r="K2207" i="6"/>
  <c r="K2336" i="6"/>
  <c r="K2320" i="6"/>
  <c r="K2278" i="6"/>
  <c r="K2245" i="6"/>
  <c r="K2243" i="6"/>
  <c r="K2198" i="6"/>
  <c r="K2165" i="6"/>
  <c r="K2314" i="6"/>
  <c r="K2260" i="6"/>
  <c r="K2226" i="6"/>
  <c r="K2201" i="6"/>
  <c r="K2187" i="6"/>
  <c r="K2182" i="6"/>
  <c r="K2177" i="6"/>
  <c r="K2160" i="6"/>
  <c r="K2153" i="6"/>
  <c r="K2146" i="6"/>
  <c r="K2139" i="6"/>
  <c r="K2132" i="6"/>
  <c r="K2125" i="6"/>
  <c r="K2118" i="6"/>
  <c r="K2111" i="6"/>
  <c r="K2104" i="6"/>
  <c r="K2097" i="6"/>
  <c r="K2090" i="6"/>
  <c r="K2083" i="6"/>
  <c r="K2076" i="6"/>
  <c r="K2069" i="6"/>
  <c r="K2062" i="6"/>
  <c r="K2055" i="6"/>
  <c r="K2048" i="6"/>
  <c r="K2041" i="6"/>
  <c r="K2034" i="6"/>
  <c r="K2027" i="6"/>
  <c r="K2020" i="6"/>
  <c r="K2013" i="6"/>
  <c r="K2006" i="6"/>
  <c r="K1999" i="6"/>
  <c r="K1992" i="6"/>
  <c r="K1985" i="6"/>
  <c r="K1978" i="6"/>
  <c r="K1971" i="6"/>
  <c r="K2344" i="6"/>
  <c r="K2333" i="6"/>
  <c r="K2286" i="6"/>
  <c r="K2215" i="6"/>
  <c r="K2212" i="6"/>
  <c r="K2193" i="6"/>
  <c r="K2359" i="6"/>
  <c r="K2316" i="6"/>
  <c r="K2300" i="6"/>
  <c r="K2253" i="6"/>
  <c r="K2251" i="6"/>
  <c r="K2218" i="6"/>
  <c r="K2188" i="6"/>
  <c r="K2183" i="6"/>
  <c r="K2166" i="6"/>
  <c r="K2161" i="6"/>
  <c r="K2152" i="6"/>
  <c r="K2145" i="6"/>
  <c r="K2138" i="6"/>
  <c r="K2131" i="6"/>
  <c r="K2124" i="6"/>
  <c r="K2117" i="6"/>
  <c r="K2110" i="6"/>
  <c r="K2103" i="6"/>
  <c r="K2096" i="6"/>
  <c r="K2089" i="6"/>
  <c r="K2082" i="6"/>
  <c r="K2075" i="6"/>
  <c r="K2068" i="6"/>
  <c r="K2061" i="6"/>
  <c r="K2054" i="6"/>
  <c r="K2047" i="6"/>
  <c r="K2040" i="6"/>
  <c r="K2033" i="6"/>
  <c r="K2026" i="6"/>
  <c r="K2019" i="6"/>
  <c r="K2012" i="6"/>
  <c r="K2005" i="6"/>
  <c r="K1998" i="6"/>
  <c r="K1991" i="6"/>
  <c r="K1984" i="6"/>
  <c r="K1977" i="6"/>
  <c r="K1970" i="6"/>
  <c r="K2460" i="6"/>
  <c r="K2428" i="6"/>
  <c r="K2330" i="6"/>
  <c r="K2284" i="6"/>
  <c r="K2204" i="6"/>
  <c r="K2120" i="6"/>
  <c r="K2101" i="6"/>
  <c r="K2071" i="6"/>
  <c r="K2052" i="6"/>
  <c r="K2022" i="6"/>
  <c r="K2003" i="6"/>
  <c r="K1973" i="6"/>
  <c r="K2440" i="6"/>
  <c r="K2334" i="6"/>
  <c r="K2279" i="6"/>
  <c r="K2271" i="6"/>
  <c r="K2264" i="6"/>
  <c r="K2237" i="6"/>
  <c r="K2221" i="6"/>
  <c r="K2219" i="6"/>
  <c r="K2158" i="6"/>
  <c r="K2092" i="6"/>
  <c r="K2073" i="6"/>
  <c r="K2043" i="6"/>
  <c r="K2024" i="6"/>
  <c r="K1994" i="6"/>
  <c r="K1975" i="6"/>
  <c r="K2393" i="6"/>
  <c r="K2310" i="6"/>
  <c r="K2246" i="6"/>
  <c r="K2228" i="6"/>
  <c r="K2210" i="6"/>
  <c r="K2199" i="6"/>
  <c r="K2175" i="6"/>
  <c r="K2168" i="6"/>
  <c r="K2154" i="6"/>
  <c r="K2149" i="6"/>
  <c r="K2144" i="6"/>
  <c r="K2127" i="6"/>
  <c r="K2122" i="6"/>
  <c r="K2112" i="6"/>
  <c r="K2093" i="6"/>
  <c r="K2074" i="6"/>
  <c r="K2063" i="6"/>
  <c r="K2044" i="6"/>
  <c r="K2025" i="6"/>
  <c r="K2014" i="6"/>
  <c r="K1995" i="6"/>
  <c r="K1976" i="6"/>
  <c r="K1965" i="6"/>
  <c r="K1958" i="6"/>
  <c r="K1951" i="6"/>
  <c r="K1944" i="6"/>
  <c r="K1937" i="6"/>
  <c r="K1930" i="6"/>
  <c r="K1923" i="6"/>
  <c r="K1916" i="6"/>
  <c r="K1909" i="6"/>
  <c r="K1902" i="6"/>
  <c r="K1895" i="6"/>
  <c r="K2267" i="6"/>
  <c r="K2113" i="6"/>
  <c r="K2094" i="6"/>
  <c r="K2064" i="6"/>
  <c r="K2045" i="6"/>
  <c r="K2015" i="6"/>
  <c r="K1996" i="6"/>
  <c r="K1966" i="6"/>
  <c r="K2326" i="6"/>
  <c r="K2282" i="6"/>
  <c r="K2143" i="6"/>
  <c r="K2126" i="6"/>
  <c r="K2102" i="6"/>
  <c r="K2099" i="6"/>
  <c r="K2066" i="6"/>
  <c r="K2038" i="6"/>
  <c r="K2010" i="6"/>
  <c r="K2352" i="6"/>
  <c r="K2232" i="6"/>
  <c r="K2197" i="6"/>
  <c r="K2173" i="6"/>
  <c r="K2159" i="6"/>
  <c r="K2136" i="6"/>
  <c r="K2129" i="6"/>
  <c r="K2105" i="6"/>
  <c r="K2077" i="6"/>
  <c r="K2049" i="6"/>
  <c r="K2021" i="6"/>
  <c r="K2016" i="6"/>
  <c r="K1988" i="6"/>
  <c r="K1960" i="6"/>
  <c r="K1955" i="6"/>
  <c r="K1950" i="6"/>
  <c r="K1933" i="6"/>
  <c r="K1928" i="6"/>
  <c r="K1911" i="6"/>
  <c r="K1906" i="6"/>
  <c r="K1901" i="6"/>
  <c r="K2487" i="6"/>
  <c r="K2382" i="6"/>
  <c r="K2231" i="6"/>
  <c r="K2200" i="6"/>
  <c r="K2148" i="6"/>
  <c r="K2108" i="6"/>
  <c r="K2091" i="6"/>
  <c r="K2080" i="6"/>
  <c r="K1974" i="6"/>
  <c r="K1917" i="6"/>
  <c r="K1885" i="6"/>
  <c r="K1878" i="6"/>
  <c r="K1871" i="6"/>
  <c r="K1864" i="6"/>
  <c r="K1857" i="6"/>
  <c r="K1850" i="6"/>
  <c r="K1843" i="6"/>
  <c r="K1836" i="6"/>
  <c r="K1829" i="6"/>
  <c r="K1822" i="6"/>
  <c r="K1815" i="6"/>
  <c r="K1808" i="6"/>
  <c r="K2438" i="6"/>
  <c r="K2324" i="6"/>
  <c r="K2227" i="6"/>
  <c r="K2203" i="6"/>
  <c r="K2180" i="6"/>
  <c r="K2151" i="6"/>
  <c r="K2141" i="6"/>
  <c r="K2134" i="6"/>
  <c r="K2119" i="6"/>
  <c r="K2114" i="6"/>
  <c r="K2086" i="6"/>
  <c r="K2058" i="6"/>
  <c r="K2030" i="6"/>
  <c r="K2002" i="6"/>
  <c r="K1997" i="6"/>
  <c r="K1969" i="6"/>
  <c r="K1961" i="6"/>
  <c r="K1956" i="6"/>
  <c r="K1939" i="6"/>
  <c r="K1934" i="6"/>
  <c r="K1929" i="6"/>
  <c r="K1912" i="6"/>
  <c r="K1907" i="6"/>
  <c r="K2373" i="6"/>
  <c r="K2277" i="6"/>
  <c r="K2194" i="6"/>
  <c r="K2023" i="6"/>
  <c r="K1954" i="6"/>
  <c r="K1935" i="6"/>
  <c r="K1918" i="6"/>
  <c r="K1893" i="6"/>
  <c r="K1888" i="6"/>
  <c r="K1869" i="6"/>
  <c r="K1858" i="6"/>
  <c r="K1839" i="6"/>
  <c r="K1820" i="6"/>
  <c r="K1807" i="6"/>
  <c r="K1806" i="6"/>
  <c r="K2307" i="6"/>
  <c r="K2181" i="6"/>
  <c r="K2174" i="6"/>
  <c r="K2167" i="6"/>
  <c r="K2133" i="6"/>
  <c r="K2128" i="6"/>
  <c r="K2123" i="6"/>
  <c r="K2060" i="6"/>
  <c r="K1963" i="6"/>
  <c r="K1946" i="6"/>
  <c r="K1921" i="6"/>
  <c r="K1904" i="6"/>
  <c r="K1896" i="6"/>
  <c r="K1889" i="6"/>
  <c r="K1870" i="6"/>
  <c r="K1859" i="6"/>
  <c r="K1840" i="6"/>
  <c r="K1821" i="6"/>
  <c r="K1805" i="6"/>
  <c r="K2449" i="6"/>
  <c r="K2385" i="6"/>
  <c r="K2372" i="6"/>
  <c r="K2170" i="6"/>
  <c r="K2163" i="6"/>
  <c r="K2121" i="6"/>
  <c r="K2053" i="6"/>
  <c r="K2001" i="6"/>
  <c r="K1986" i="6"/>
  <c r="K1949" i="6"/>
  <c r="K1932" i="6"/>
  <c r="K1924" i="6"/>
  <c r="K1913" i="6"/>
  <c r="K1890" i="6"/>
  <c r="K1879" i="6"/>
  <c r="K1860" i="6"/>
  <c r="K1841" i="6"/>
  <c r="K1830" i="6"/>
  <c r="K1811" i="6"/>
  <c r="K1810" i="6"/>
  <c r="K1809" i="6"/>
  <c r="K2306" i="6"/>
  <c r="K2299" i="6"/>
  <c r="K2268" i="6"/>
  <c r="K2190" i="6"/>
  <c r="K2140" i="6"/>
  <c r="K2135" i="6"/>
  <c r="K2130" i="6"/>
  <c r="K2088" i="6"/>
  <c r="K2051" i="6"/>
  <c r="K2018" i="6"/>
  <c r="K1990" i="6"/>
  <c r="K1980" i="6"/>
  <c r="K1952" i="6"/>
  <c r="K1941" i="6"/>
  <c r="K1910" i="6"/>
  <c r="K1899" i="6"/>
  <c r="K1880" i="6"/>
  <c r="K1861" i="6"/>
  <c r="K1842" i="6"/>
  <c r="K1831" i="6"/>
  <c r="K1812" i="6"/>
  <c r="K1804" i="6"/>
  <c r="K1797" i="6"/>
  <c r="K1790" i="6"/>
  <c r="K1783" i="6"/>
  <c r="K1776" i="6"/>
  <c r="K1769" i="6"/>
  <c r="K1762" i="6"/>
  <c r="K1755" i="6"/>
  <c r="K1748" i="6"/>
  <c r="K1741" i="6"/>
  <c r="K1734" i="6"/>
  <c r="K1727" i="6"/>
  <c r="K1720" i="6"/>
  <c r="K1713" i="6"/>
  <c r="K1706" i="6"/>
  <c r="K1699" i="6"/>
  <c r="K1692" i="6"/>
  <c r="K1685" i="6"/>
  <c r="K1678" i="6"/>
  <c r="K1671" i="6"/>
  <c r="K1664" i="6"/>
  <c r="K1657" i="6"/>
  <c r="K1650" i="6"/>
  <c r="K1643" i="6"/>
  <c r="K1636" i="6"/>
  <c r="K1629" i="6"/>
  <c r="K1622" i="6"/>
  <c r="K1615" i="6"/>
  <c r="K1608" i="6"/>
  <c r="K1601" i="6"/>
  <c r="K1594" i="6"/>
  <c r="K1587" i="6"/>
  <c r="K2222" i="6"/>
  <c r="K2191" i="6"/>
  <c r="K2162" i="6"/>
  <c r="K2137" i="6"/>
  <c r="K2084" i="6"/>
  <c r="K2035" i="6"/>
  <c r="K1945" i="6"/>
  <c r="K1943" i="6"/>
  <c r="K1936" i="6"/>
  <c r="K1897" i="6"/>
  <c r="K1875" i="6"/>
  <c r="K1847" i="6"/>
  <c r="K1819" i="6"/>
  <c r="K1814" i="6"/>
  <c r="K1803" i="6"/>
  <c r="K1792" i="6"/>
  <c r="K1773" i="6"/>
  <c r="K1763" i="6"/>
  <c r="K1754" i="6"/>
  <c r="K1743" i="6"/>
  <c r="K1584" i="6"/>
  <c r="K1577" i="6"/>
  <c r="K1570" i="6"/>
  <c r="K1563" i="6"/>
  <c r="K1556" i="6"/>
  <c r="K1549" i="6"/>
  <c r="K1542" i="6"/>
  <c r="K1535" i="6"/>
  <c r="K1528" i="6"/>
  <c r="K1521" i="6"/>
  <c r="K1514" i="6"/>
  <c r="K1507" i="6"/>
  <c r="K1500" i="6"/>
  <c r="K1493" i="6"/>
  <c r="K1486" i="6"/>
  <c r="K1479" i="6"/>
  <c r="K1472" i="6"/>
  <c r="K1465" i="6"/>
  <c r="K1458" i="6"/>
  <c r="K1451" i="6"/>
  <c r="K1444" i="6"/>
  <c r="K1437" i="6"/>
  <c r="K1430" i="6"/>
  <c r="K1423" i="6"/>
  <c r="K1416" i="6"/>
  <c r="K1409" i="6"/>
  <c r="K1402" i="6"/>
  <c r="K1395" i="6"/>
  <c r="K1388" i="6"/>
  <c r="K1381" i="6"/>
  <c r="K1374" i="6"/>
  <c r="K1367" i="6"/>
  <c r="K1360" i="6"/>
  <c r="K1353" i="6"/>
  <c r="K1346" i="6"/>
  <c r="K1339" i="6"/>
  <c r="K1332" i="6"/>
  <c r="K2376" i="6"/>
  <c r="K2220" i="6"/>
  <c r="K2213" i="6"/>
  <c r="K2195" i="6"/>
  <c r="K2176" i="6"/>
  <c r="K2147" i="6"/>
  <c r="K2065" i="6"/>
  <c r="K2056" i="6"/>
  <c r="K2032" i="6"/>
  <c r="K2007" i="6"/>
  <c r="K1989" i="6"/>
  <c r="K1981" i="6"/>
  <c r="K1914" i="6"/>
  <c r="K1884" i="6"/>
  <c r="K1856" i="6"/>
  <c r="K1828" i="6"/>
  <c r="K1794" i="6"/>
  <c r="K1784" i="6"/>
  <c r="K1775" i="6"/>
  <c r="K1764" i="6"/>
  <c r="K1745" i="6"/>
  <c r="K1735" i="6"/>
  <c r="K1583" i="6"/>
  <c r="K1576" i="6"/>
  <c r="K1569" i="6"/>
  <c r="K1562" i="6"/>
  <c r="K1555" i="6"/>
  <c r="K1548" i="6"/>
  <c r="K1541" i="6"/>
  <c r="K1534" i="6"/>
  <c r="K1527" i="6"/>
  <c r="K1520" i="6"/>
  <c r="K1513" i="6"/>
  <c r="K1506" i="6"/>
  <c r="K1499" i="6"/>
  <c r="K1492" i="6"/>
  <c r="K1485" i="6"/>
  <c r="K1478" i="6"/>
  <c r="K1471" i="6"/>
  <c r="K1464" i="6"/>
  <c r="K1457" i="6"/>
  <c r="K1450" i="6"/>
  <c r="K1443" i="6"/>
  <c r="K1436" i="6"/>
  <c r="K1429" i="6"/>
  <c r="K1422" i="6"/>
  <c r="K1415" i="6"/>
  <c r="K1408" i="6"/>
  <c r="K1401" i="6"/>
  <c r="K1394" i="6"/>
  <c r="K1387" i="6"/>
  <c r="K1380" i="6"/>
  <c r="K1373" i="6"/>
  <c r="K1366" i="6"/>
  <c r="K1359" i="6"/>
  <c r="K1352" i="6"/>
  <c r="K1345" i="6"/>
  <c r="K1338" i="6"/>
  <c r="K1331" i="6"/>
  <c r="K2031" i="6"/>
  <c r="K2004" i="6"/>
  <c r="K1964" i="6"/>
  <c r="K1962" i="6"/>
  <c r="K1938" i="6"/>
  <c r="K1927" i="6"/>
  <c r="K1925" i="6"/>
  <c r="K1867" i="6"/>
  <c r="K1862" i="6"/>
  <c r="K1834" i="6"/>
  <c r="K1795" i="6"/>
  <c r="K1765" i="6"/>
  <c r="K1746" i="6"/>
  <c r="K1705" i="6"/>
  <c r="K1704" i="6"/>
  <c r="K1703" i="6"/>
  <c r="K1702" i="6"/>
  <c r="K1701" i="6"/>
  <c r="K1700" i="6"/>
  <c r="K1656" i="6"/>
  <c r="K1655" i="6"/>
  <c r="K1654" i="6"/>
  <c r="K1653" i="6"/>
  <c r="K1652" i="6"/>
  <c r="K1651" i="6"/>
  <c r="K1607" i="6"/>
  <c r="K1606" i="6"/>
  <c r="K1605" i="6"/>
  <c r="K1604" i="6"/>
  <c r="K1603" i="6"/>
  <c r="K1602" i="6"/>
  <c r="K2087" i="6"/>
  <c r="K2079" i="6"/>
  <c r="K2067" i="6"/>
  <c r="K1972" i="6"/>
  <c r="K1837" i="6"/>
  <c r="K1827" i="6"/>
  <c r="K1825" i="6"/>
  <c r="K1817" i="6"/>
  <c r="K1787" i="6"/>
  <c r="K1780" i="6"/>
  <c r="K1736" i="6"/>
  <c r="K1728" i="6"/>
  <c r="K1724" i="6"/>
  <c r="K1698" i="6"/>
  <c r="K1689" i="6"/>
  <c r="K1659" i="6"/>
  <c r="K1624" i="6"/>
  <c r="K1620" i="6"/>
  <c r="K1598" i="6"/>
  <c r="K1589" i="6"/>
  <c r="K1565" i="6"/>
  <c r="K1546" i="6"/>
  <c r="K1516" i="6"/>
  <c r="K1497" i="6"/>
  <c r="K2179" i="6"/>
  <c r="K2106" i="6"/>
  <c r="K2098" i="6"/>
  <c r="K2059" i="6"/>
  <c r="K1968" i="6"/>
  <c r="K1915" i="6"/>
  <c r="K1882" i="6"/>
  <c r="K1747" i="6"/>
  <c r="K1740" i="6"/>
  <c r="K1733" i="6"/>
  <c r="K1716" i="6"/>
  <c r="K1712" i="6"/>
  <c r="K1694" i="6"/>
  <c r="K1681" i="6"/>
  <c r="K1677" i="6"/>
  <c r="K1642" i="6"/>
  <c r="K1616" i="6"/>
  <c r="K1612" i="6"/>
  <c r="K1567" i="6"/>
  <c r="K1537" i="6"/>
  <c r="K1518" i="6"/>
  <c r="K1488" i="6"/>
  <c r="K2340" i="6"/>
  <c r="K2254" i="6"/>
  <c r="K2039" i="6"/>
  <c r="K1876" i="6"/>
  <c r="K1801" i="6"/>
  <c r="K1774" i="6"/>
  <c r="K1757" i="6"/>
  <c r="K1750" i="6"/>
  <c r="K1729" i="6"/>
  <c r="K1725" i="6"/>
  <c r="K1690" i="6"/>
  <c r="K1660" i="6"/>
  <c r="K1625" i="6"/>
  <c r="K1621" i="6"/>
  <c r="K1599" i="6"/>
  <c r="K1590" i="6"/>
  <c r="K1586" i="6"/>
  <c r="K1568" i="6"/>
  <c r="K1557" i="6"/>
  <c r="K1538" i="6"/>
  <c r="K1519" i="6"/>
  <c r="K1508" i="6"/>
  <c r="K1489" i="6"/>
  <c r="K2265" i="6"/>
  <c r="K2196" i="6"/>
  <c r="K2189" i="6"/>
  <c r="K2172" i="6"/>
  <c r="K2078" i="6"/>
  <c r="K2070" i="6"/>
  <c r="K2046" i="6"/>
  <c r="K1993" i="6"/>
  <c r="K1959" i="6"/>
  <c r="K1931" i="6"/>
  <c r="K2224" i="6"/>
  <c r="K2100" i="6"/>
  <c r="K1987" i="6"/>
  <c r="K1887" i="6"/>
  <c r="K1874" i="6"/>
  <c r="K1844" i="6"/>
  <c r="K1826" i="6"/>
  <c r="K1799" i="6"/>
  <c r="K1772" i="6"/>
  <c r="K1768" i="6"/>
  <c r="K1714" i="6"/>
  <c r="K1676" i="6"/>
  <c r="K1666" i="6"/>
  <c r="K1633" i="6"/>
  <c r="K1628" i="6"/>
  <c r="K1618" i="6"/>
  <c r="K1558" i="6"/>
  <c r="K1551" i="6"/>
  <c r="K1544" i="6"/>
  <c r="K1517" i="6"/>
  <c r="K1481" i="6"/>
  <c r="K1920" i="6"/>
  <c r="K1849" i="6"/>
  <c r="K1779" i="6"/>
  <c r="K1770" i="6"/>
  <c r="K1752" i="6"/>
  <c r="K1717" i="6"/>
  <c r="K1669" i="6"/>
  <c r="K1623" i="6"/>
  <c r="K1585" i="6"/>
  <c r="K1582" i="6"/>
  <c r="K1575" i="6"/>
  <c r="K1531" i="6"/>
  <c r="K1524" i="6"/>
  <c r="K2388" i="6"/>
  <c r="K2211" i="6"/>
  <c r="K2072" i="6"/>
  <c r="K2050" i="6"/>
  <c r="K2029" i="6"/>
  <c r="K1942" i="6"/>
  <c r="K1851" i="6"/>
  <c r="K1846" i="6"/>
  <c r="K1816" i="6"/>
  <c r="K1786" i="6"/>
  <c r="K1777" i="6"/>
  <c r="K1759" i="6"/>
  <c r="K1732" i="6"/>
  <c r="K1722" i="6"/>
  <c r="K1684" i="6"/>
  <c r="K1674" i="6"/>
  <c r="K1646" i="6"/>
  <c r="K1626" i="6"/>
  <c r="K1511" i="6"/>
  <c r="K1504" i="6"/>
  <c r="K1482" i="6"/>
  <c r="K2156" i="6"/>
  <c r="K2150" i="6"/>
  <c r="K2028" i="6"/>
  <c r="K2011" i="6"/>
  <c r="K1813" i="6"/>
  <c r="K1766" i="6"/>
  <c r="K1739" i="6"/>
  <c r="K1737" i="6"/>
  <c r="K1707" i="6"/>
  <c r="K1679" i="6"/>
  <c r="K1641" i="6"/>
  <c r="K1631" i="6"/>
  <c r="K1593" i="6"/>
  <c r="K1579" i="6"/>
  <c r="K1572" i="6"/>
  <c r="K1491" i="6"/>
  <c r="K1487" i="6"/>
  <c r="K2208" i="6"/>
  <c r="K2115" i="6"/>
  <c r="K2109" i="6"/>
  <c r="K2017" i="6"/>
  <c r="K2000" i="6"/>
  <c r="K1891" i="6"/>
  <c r="K1881" i="6"/>
  <c r="K1866" i="6"/>
  <c r="K1848" i="6"/>
  <c r="K1823" i="6"/>
  <c r="K1818" i="6"/>
  <c r="K1802" i="6"/>
  <c r="K1730" i="6"/>
  <c r="K1697" i="6"/>
  <c r="K2217" i="6"/>
  <c r="K2037" i="6"/>
  <c r="K1947" i="6"/>
  <c r="K2296" i="6"/>
  <c r="K2186" i="6"/>
  <c r="K1957" i="6"/>
  <c r="K1900" i="6"/>
  <c r="K1854" i="6"/>
  <c r="K1798" i="6"/>
  <c r="K1718" i="6"/>
  <c r="K1667" i="6"/>
  <c r="K1658" i="6"/>
  <c r="K1609" i="6"/>
  <c r="K1600" i="6"/>
  <c r="K1566" i="6"/>
  <c r="K1560" i="6"/>
  <c r="K1552" i="6"/>
  <c r="K1483" i="6"/>
  <c r="K1480" i="6"/>
  <c r="K2230" i="6"/>
  <c r="K1767" i="6"/>
  <c r="K1756" i="6"/>
  <c r="K1753" i="6"/>
  <c r="K1742" i="6"/>
  <c r="K1723" i="6"/>
  <c r="K1683" i="6"/>
  <c r="K1634" i="6"/>
  <c r="K1611" i="6"/>
  <c r="K1588" i="6"/>
  <c r="K1554" i="6"/>
  <c r="K1550" i="6"/>
  <c r="K1512" i="6"/>
  <c r="K2410" i="6"/>
  <c r="K2229" i="6"/>
  <c r="K2169" i="6"/>
  <c r="K2085" i="6"/>
  <c r="K2042" i="6"/>
  <c r="K2009" i="6"/>
  <c r="K1926" i="6"/>
  <c r="K1898" i="6"/>
  <c r="K1853" i="6"/>
  <c r="K1789" i="6"/>
  <c r="K1781" i="6"/>
  <c r="K1778" i="6"/>
  <c r="K1715" i="6"/>
  <c r="K1632" i="6"/>
  <c r="K1595" i="6"/>
  <c r="K1564" i="6"/>
  <c r="K2095" i="6"/>
  <c r="K2081" i="6"/>
  <c r="K2057" i="6"/>
  <c r="K1982" i="6"/>
  <c r="K1832" i="6"/>
  <c r="K1800" i="6"/>
  <c r="K1793" i="6"/>
  <c r="K1782" i="6"/>
  <c r="K1540" i="6"/>
  <c r="K1510" i="6"/>
  <c r="K1463" i="6"/>
  <c r="K1456" i="6"/>
  <c r="K1434" i="6"/>
  <c r="K1411" i="6"/>
  <c r="K1389" i="6"/>
  <c r="K1379" i="6"/>
  <c r="K1356" i="6"/>
  <c r="K1327" i="6"/>
  <c r="K1320" i="6"/>
  <c r="K1313" i="6"/>
  <c r="K1306" i="6"/>
  <c r="K1299" i="6"/>
  <c r="K1292" i="6"/>
  <c r="K1285" i="6"/>
  <c r="K1278" i="6"/>
  <c r="K1271" i="6"/>
  <c r="K1264" i="6"/>
  <c r="K1257" i="6"/>
  <c r="K1250" i="6"/>
  <c r="K1243" i="6"/>
  <c r="K1236" i="6"/>
  <c r="K1229" i="6"/>
  <c r="K1222" i="6"/>
  <c r="K1852" i="6"/>
  <c r="K1796" i="6"/>
  <c r="K1675" i="6"/>
  <c r="K1640" i="6"/>
  <c r="K1637" i="6"/>
  <c r="K1619" i="6"/>
  <c r="K1613" i="6"/>
  <c r="K1574" i="6"/>
  <c r="K1547" i="6"/>
  <c r="K2107" i="6"/>
  <c r="K1892" i="6"/>
  <c r="K1877" i="6"/>
  <c r="K1872" i="6"/>
  <c r="K1771" i="6"/>
  <c r="K1719" i="6"/>
  <c r="K1709" i="6"/>
  <c r="K1696" i="6"/>
  <c r="K1693" i="6"/>
  <c r="K1672" i="6"/>
  <c r="K1561" i="6"/>
  <c r="K1505" i="6"/>
  <c r="K1503" i="6"/>
  <c r="K1496" i="6"/>
  <c r="K1446" i="6"/>
  <c r="K1424" i="6"/>
  <c r="K1413" i="6"/>
  <c r="K1391" i="6"/>
  <c r="K1369" i="6"/>
  <c r="K1358" i="6"/>
  <c r="K1326" i="6"/>
  <c r="K1319" i="6"/>
  <c r="K1312" i="6"/>
  <c r="K1305" i="6"/>
  <c r="K1298" i="6"/>
  <c r="K2398" i="6"/>
  <c r="K2184" i="6"/>
  <c r="K1919" i="6"/>
  <c r="K1785" i="6"/>
  <c r="K1760" i="6"/>
  <c r="K1663" i="6"/>
  <c r="K1648" i="6"/>
  <c r="K1610" i="6"/>
  <c r="K1581" i="6"/>
  <c r="K1447" i="6"/>
  <c r="K1425" i="6"/>
  <c r="K1414" i="6"/>
  <c r="K1392" i="6"/>
  <c r="K1370" i="6"/>
  <c r="K1347" i="6"/>
  <c r="K1979" i="6"/>
  <c r="K1905" i="6"/>
  <c r="K1886" i="6"/>
  <c r="K1639" i="6"/>
  <c r="K1627" i="6"/>
  <c r="K1592" i="6"/>
  <c r="K1571" i="6"/>
  <c r="K1484" i="6"/>
  <c r="K1474" i="6"/>
  <c r="K1470" i="6"/>
  <c r="K1448" i="6"/>
  <c r="K1426" i="6"/>
  <c r="K1403" i="6"/>
  <c r="K1393" i="6"/>
  <c r="K1371" i="6"/>
  <c r="K1348" i="6"/>
  <c r="K1325" i="6"/>
  <c r="K1318" i="6"/>
  <c r="K1311" i="6"/>
  <c r="K1304" i="6"/>
  <c r="K1297" i="6"/>
  <c r="K1948" i="6"/>
  <c r="K1744" i="6"/>
  <c r="K1665" i="6"/>
  <c r="K1661" i="6"/>
  <c r="K1638" i="6"/>
  <c r="K1545" i="6"/>
  <c r="K1452" i="6"/>
  <c r="K1438" i="6"/>
  <c r="K1435" i="6"/>
  <c r="K1432" i="6"/>
  <c r="K1418" i="6"/>
  <c r="K1412" i="6"/>
  <c r="K1835" i="6"/>
  <c r="K1788" i="6"/>
  <c r="K1761" i="6"/>
  <c r="K1749" i="6"/>
  <c r="K1688" i="6"/>
  <c r="K1614" i="6"/>
  <c r="K1596" i="6"/>
  <c r="K1591" i="6"/>
  <c r="K1498" i="6"/>
  <c r="K1495" i="6"/>
  <c r="K1475" i="6"/>
  <c r="K2008" i="6"/>
  <c r="K1922" i="6"/>
  <c r="K1682" i="6"/>
  <c r="K1530" i="6"/>
  <c r="K1477" i="6"/>
  <c r="K1468" i="6"/>
  <c r="K1908" i="6"/>
  <c r="K1873" i="6"/>
  <c r="K1668" i="6"/>
  <c r="K1645" i="6"/>
  <c r="K1453" i="6"/>
  <c r="K1439" i="6"/>
  <c r="K1433" i="6"/>
  <c r="K1419" i="6"/>
  <c r="K1410" i="6"/>
  <c r="K1396" i="6"/>
  <c r="K1382" i="6"/>
  <c r="K1376" i="6"/>
  <c r="K1833" i="6"/>
  <c r="K1731" i="6"/>
  <c r="K1721" i="6"/>
  <c r="K1711" i="6"/>
  <c r="K1695" i="6"/>
  <c r="K1691" i="6"/>
  <c r="K1573" i="6"/>
  <c r="K1539" i="6"/>
  <c r="K1533" i="6"/>
  <c r="K1494" i="6"/>
  <c r="K1473" i="6"/>
  <c r="K1459" i="6"/>
  <c r="K1442" i="6"/>
  <c r="K1428" i="6"/>
  <c r="K1405" i="6"/>
  <c r="K1399" i="6"/>
  <c r="K1385" i="6"/>
  <c r="K1863" i="6"/>
  <c r="K1404" i="6"/>
  <c r="K1386" i="6"/>
  <c r="K1372" i="6"/>
  <c r="K1340" i="6"/>
  <c r="K1337" i="6"/>
  <c r="K1330" i="6"/>
  <c r="K1308" i="6"/>
  <c r="K1303" i="6"/>
  <c r="K1291" i="6"/>
  <c r="K1242" i="6"/>
  <c r="K1217" i="6"/>
  <c r="K1210" i="6"/>
  <c r="K1203" i="6"/>
  <c r="K1196" i="6"/>
  <c r="K1189" i="6"/>
  <c r="K1182" i="6"/>
  <c r="K1175" i="6"/>
  <c r="K1168" i="6"/>
  <c r="K1161" i="6"/>
  <c r="K1154" i="6"/>
  <c r="K1147" i="6"/>
  <c r="K1140" i="6"/>
  <c r="K1133" i="6"/>
  <c r="K1126" i="6"/>
  <c r="K1119" i="6"/>
  <c r="K1112" i="6"/>
  <c r="K1105" i="6"/>
  <c r="K1098" i="6"/>
  <c r="K1091" i="6"/>
  <c r="K1084" i="6"/>
  <c r="K1077" i="6"/>
  <c r="K1070" i="6"/>
  <c r="K1063" i="6"/>
  <c r="K1056" i="6"/>
  <c r="K1049" i="6"/>
  <c r="K1042" i="6"/>
  <c r="K1035" i="6"/>
  <c r="K1028" i="6"/>
  <c r="K1021" i="6"/>
  <c r="K1014" i="6"/>
  <c r="K1007" i="6"/>
  <c r="K1000" i="6"/>
  <c r="K993" i="6"/>
  <c r="K986" i="6"/>
  <c r="K979" i="6"/>
  <c r="K972" i="6"/>
  <c r="K965" i="6"/>
  <c r="K958" i="6"/>
  <c r="K951" i="6"/>
  <c r="K944" i="6"/>
  <c r="K937" i="6"/>
  <c r="K930" i="6"/>
  <c r="K923" i="6"/>
  <c r="K916" i="6"/>
  <c r="K909" i="6"/>
  <c r="K1726" i="6"/>
  <c r="K1687" i="6"/>
  <c r="K1644" i="6"/>
  <c r="K1529" i="6"/>
  <c r="K1455" i="6"/>
  <c r="K1384" i="6"/>
  <c r="K1377" i="6"/>
  <c r="K1334" i="6"/>
  <c r="K1314" i="6"/>
  <c r="K1309" i="6"/>
  <c r="K1249" i="6"/>
  <c r="K1216" i="6"/>
  <c r="K1209" i="6"/>
  <c r="K1202" i="6"/>
  <c r="K1195" i="6"/>
  <c r="K1188" i="6"/>
  <c r="K1181" i="6"/>
  <c r="K1174" i="6"/>
  <c r="K1167" i="6"/>
  <c r="K1160" i="6"/>
  <c r="K1153" i="6"/>
  <c r="K1146" i="6"/>
  <c r="K1139" i="6"/>
  <c r="K1132" i="6"/>
  <c r="K1125" i="6"/>
  <c r="K1118" i="6"/>
  <c r="K1111" i="6"/>
  <c r="K1104" i="6"/>
  <c r="K1097" i="6"/>
  <c r="K1090" i="6"/>
  <c r="K1083" i="6"/>
  <c r="K1076" i="6"/>
  <c r="K1069" i="6"/>
  <c r="K1062" i="6"/>
  <c r="K1055" i="6"/>
  <c r="K1048" i="6"/>
  <c r="K1041" i="6"/>
  <c r="K1034" i="6"/>
  <c r="K1027" i="6"/>
  <c r="K1020" i="6"/>
  <c r="K1013" i="6"/>
  <c r="K1006" i="6"/>
  <c r="K999" i="6"/>
  <c r="K992" i="6"/>
  <c r="K985" i="6"/>
  <c r="K978" i="6"/>
  <c r="K971" i="6"/>
  <c r="K964" i="6"/>
  <c r="K957" i="6"/>
  <c r="K950" i="6"/>
  <c r="K943" i="6"/>
  <c r="K936" i="6"/>
  <c r="K929" i="6"/>
  <c r="K922" i="6"/>
  <c r="K915" i="6"/>
  <c r="K908" i="6"/>
  <c r="K2036" i="6"/>
  <c r="K1686" i="6"/>
  <c r="K1445" i="6"/>
  <c r="K1361" i="6"/>
  <c r="K1355" i="6"/>
  <c r="K1255" i="6"/>
  <c r="K1254" i="6"/>
  <c r="K1253" i="6"/>
  <c r="K1252" i="6"/>
  <c r="K1251" i="6"/>
  <c r="K1824" i="6"/>
  <c r="K1791" i="6"/>
  <c r="K1708" i="6"/>
  <c r="K1467" i="6"/>
  <c r="K1407" i="6"/>
  <c r="K1375" i="6"/>
  <c r="K1262" i="6"/>
  <c r="K1261" i="6"/>
  <c r="K1260" i="6"/>
  <c r="K1259" i="6"/>
  <c r="K1258" i="6"/>
  <c r="K2367" i="6"/>
  <c r="K1680" i="6"/>
  <c r="K1670" i="6"/>
  <c r="K1649" i="6"/>
  <c r="K1630" i="6"/>
  <c r="K1490" i="6"/>
  <c r="K1469" i="6"/>
  <c r="K1398" i="6"/>
  <c r="K1378" i="6"/>
  <c r="K1354" i="6"/>
  <c r="K1333" i="6"/>
  <c r="K1324" i="6"/>
  <c r="K1317" i="6"/>
  <c r="K1307" i="6"/>
  <c r="K1300" i="6"/>
  <c r="K1270" i="6"/>
  <c r="K1220" i="6"/>
  <c r="K1198" i="6"/>
  <c r="K1193" i="6"/>
  <c r="K1176" i="6"/>
  <c r="K1171" i="6"/>
  <c r="K1149" i="6"/>
  <c r="K1144" i="6"/>
  <c r="K1127" i="6"/>
  <c r="K1122" i="6"/>
  <c r="K1100" i="6"/>
  <c r="K1095" i="6"/>
  <c r="K1078" i="6"/>
  <c r="K1073" i="6"/>
  <c r="K1051" i="6"/>
  <c r="K1046" i="6"/>
  <c r="K1029" i="6"/>
  <c r="K1024" i="6"/>
  <c r="K1002" i="6"/>
  <c r="K997" i="6"/>
  <c r="K980" i="6"/>
  <c r="K975" i="6"/>
  <c r="K953" i="6"/>
  <c r="K948" i="6"/>
  <c r="K931" i="6"/>
  <c r="K926" i="6"/>
  <c r="K905" i="6"/>
  <c r="K889" i="6"/>
  <c r="K873" i="6"/>
  <c r="K856" i="6"/>
  <c r="K840" i="6"/>
  <c r="K2142" i="6"/>
  <c r="K1940" i="6"/>
  <c r="K1580" i="6"/>
  <c r="K1525" i="6"/>
  <c r="K1421" i="6"/>
  <c r="K1343" i="6"/>
  <c r="K1310" i="6"/>
  <c r="K1293" i="6"/>
  <c r="K1290" i="6"/>
  <c r="K1280" i="6"/>
  <c r="K1267" i="6"/>
  <c r="K1240" i="6"/>
  <c r="K1230" i="6"/>
  <c r="K1227" i="6"/>
  <c r="K1215" i="6"/>
  <c r="K1166" i="6"/>
  <c r="K1117" i="6"/>
  <c r="K1068" i="6"/>
  <c r="K1019" i="6"/>
  <c r="K970" i="6"/>
  <c r="K921" i="6"/>
  <c r="K904" i="6"/>
  <c r="K888" i="6"/>
  <c r="K872" i="6"/>
  <c r="K871" i="6"/>
  <c r="K855" i="6"/>
  <c r="K839" i="6"/>
  <c r="K832" i="6"/>
  <c r="K825" i="6"/>
  <c r="K818" i="6"/>
  <c r="K811" i="6"/>
  <c r="K804" i="6"/>
  <c r="K797" i="6"/>
  <c r="K790" i="6"/>
  <c r="K783" i="6"/>
  <c r="K776" i="6"/>
  <c r="K769" i="6"/>
  <c r="K762" i="6"/>
  <c r="K755" i="6"/>
  <c r="K748" i="6"/>
  <c r="K741" i="6"/>
  <c r="K734" i="6"/>
  <c r="K727" i="6"/>
  <c r="K720" i="6"/>
  <c r="K713" i="6"/>
  <c r="K706" i="6"/>
  <c r="K699" i="6"/>
  <c r="K692" i="6"/>
  <c r="K685" i="6"/>
  <c r="K1855" i="6"/>
  <c r="K1710" i="6"/>
  <c r="K1431" i="6"/>
  <c r="K1362" i="6"/>
  <c r="K1329" i="6"/>
  <c r="K1322" i="6"/>
  <c r="K1277" i="6"/>
  <c r="K1247" i="6"/>
  <c r="K1204" i="6"/>
  <c r="K1199" i="6"/>
  <c r="K1177" i="6"/>
  <c r="K1172" i="6"/>
  <c r="K1155" i="6"/>
  <c r="K1150" i="6"/>
  <c r="K1128" i="6"/>
  <c r="K1123" i="6"/>
  <c r="K1106" i="6"/>
  <c r="K1101" i="6"/>
  <c r="K1079" i="6"/>
  <c r="K1074" i="6"/>
  <c r="K1057" i="6"/>
  <c r="K1052" i="6"/>
  <c r="K1030" i="6"/>
  <c r="K1025" i="6"/>
  <c r="K1008" i="6"/>
  <c r="K1003" i="6"/>
  <c r="K981" i="6"/>
  <c r="K976" i="6"/>
  <c r="K959" i="6"/>
  <c r="K954" i="6"/>
  <c r="K932" i="6"/>
  <c r="K927" i="6"/>
  <c r="K910" i="6"/>
  <c r="K903" i="6"/>
  <c r="K887" i="6"/>
  <c r="K870" i="6"/>
  <c r="K854" i="6"/>
  <c r="K1838" i="6"/>
  <c r="K1553" i="6"/>
  <c r="K1523" i="6"/>
  <c r="K1502" i="6"/>
  <c r="K1461" i="6"/>
  <c r="K1454" i="6"/>
  <c r="K1441" i="6"/>
  <c r="K1400" i="6"/>
  <c r="K1364" i="6"/>
  <c r="K1351" i="6"/>
  <c r="K1349" i="6"/>
  <c r="K1315" i="6"/>
  <c r="K1287" i="6"/>
  <c r="K1274" i="6"/>
  <c r="K1237" i="6"/>
  <c r="K1234" i="6"/>
  <c r="K1224" i="6"/>
  <c r="K1194" i="6"/>
  <c r="K1145" i="6"/>
  <c r="K1096" i="6"/>
  <c r="K1047" i="6"/>
  <c r="K998" i="6"/>
  <c r="K949" i="6"/>
  <c r="K902" i="6"/>
  <c r="K886" i="6"/>
  <c r="K885" i="6"/>
  <c r="K869" i="6"/>
  <c r="K853" i="6"/>
  <c r="K838" i="6"/>
  <c r="K831" i="6"/>
  <c r="K824" i="6"/>
  <c r="K817" i="6"/>
  <c r="K810" i="6"/>
  <c r="K803" i="6"/>
  <c r="K796" i="6"/>
  <c r="K789" i="6"/>
  <c r="K782" i="6"/>
  <c r="K775" i="6"/>
  <c r="K768" i="6"/>
  <c r="K761" i="6"/>
  <c r="K754" i="6"/>
  <c r="K747" i="6"/>
  <c r="K740" i="6"/>
  <c r="K733" i="6"/>
  <c r="K726" i="6"/>
  <c r="K719" i="6"/>
  <c r="K712" i="6"/>
  <c r="K705" i="6"/>
  <c r="K698" i="6"/>
  <c r="K691" i="6"/>
  <c r="K684" i="6"/>
  <c r="K1983" i="6"/>
  <c r="K1903" i="6"/>
  <c r="K1647" i="6"/>
  <c r="K1578" i="6"/>
  <c r="K1515" i="6"/>
  <c r="K1476" i="6"/>
  <c r="K1466" i="6"/>
  <c r="K1427" i="6"/>
  <c r="K1335" i="6"/>
  <c r="K1221" i="6"/>
  <c r="K1192" i="6"/>
  <c r="K1185" i="6"/>
  <c r="K1178" i="6"/>
  <c r="K1137" i="6"/>
  <c r="K1130" i="6"/>
  <c r="K1120" i="6"/>
  <c r="K1113" i="6"/>
  <c r="K1072" i="6"/>
  <c r="K1065" i="6"/>
  <c r="K1058" i="6"/>
  <c r="K1017" i="6"/>
  <c r="K1010" i="6"/>
  <c r="K969" i="6"/>
  <c r="K962" i="6"/>
  <c r="K955" i="6"/>
  <c r="K952" i="6"/>
  <c r="K945" i="6"/>
  <c r="K938" i="6"/>
  <c r="K852" i="6"/>
  <c r="K674" i="6"/>
  <c r="K658" i="6"/>
  <c r="K657" i="6"/>
  <c r="K641" i="6"/>
  <c r="K625" i="6"/>
  <c r="K609" i="6"/>
  <c r="K608" i="6"/>
  <c r="K592" i="6"/>
  <c r="K576" i="6"/>
  <c r="K560" i="6"/>
  <c r="K559" i="6"/>
  <c r="K543" i="6"/>
  <c r="K527" i="6"/>
  <c r="K511" i="6"/>
  <c r="K510" i="6"/>
  <c r="K494" i="6"/>
  <c r="K478" i="6"/>
  <c r="K462" i="6"/>
  <c r="K461" i="6"/>
  <c r="K452" i="6"/>
  <c r="K445" i="6"/>
  <c r="K438" i="6"/>
  <c r="K431" i="6"/>
  <c r="K424" i="6"/>
  <c r="K417" i="6"/>
  <c r="K410" i="6"/>
  <c r="K403" i="6"/>
  <c r="K396" i="6"/>
  <c r="K1281" i="6"/>
  <c r="K1275" i="6"/>
  <c r="K1269" i="6"/>
  <c r="K1265" i="6"/>
  <c r="K1241" i="6"/>
  <c r="K1231" i="6"/>
  <c r="K1225" i="6"/>
  <c r="K1089" i="6"/>
  <c r="K1082" i="6"/>
  <c r="K1075" i="6"/>
  <c r="K914" i="6"/>
  <c r="K893" i="6"/>
  <c r="K881" i="6"/>
  <c r="K860" i="6"/>
  <c r="K848" i="6"/>
  <c r="K834" i="6"/>
  <c r="K829" i="6"/>
  <c r="K812" i="6"/>
  <c r="K807" i="6"/>
  <c r="K802" i="6"/>
  <c r="K785" i="6"/>
  <c r="K780" i="6"/>
  <c r="K763" i="6"/>
  <c r="K758" i="6"/>
  <c r="K753" i="6"/>
  <c r="K736" i="6"/>
  <c r="K731" i="6"/>
  <c r="K714" i="6"/>
  <c r="K709" i="6"/>
  <c r="K704" i="6"/>
  <c r="K687" i="6"/>
  <c r="K673" i="6"/>
  <c r="K656" i="6"/>
  <c r="K640" i="6"/>
  <c r="K624" i="6"/>
  <c r="K607" i="6"/>
  <c r="K591" i="6"/>
  <c r="K575" i="6"/>
  <c r="K558" i="6"/>
  <c r="K542" i="6"/>
  <c r="K526" i="6"/>
  <c r="K509" i="6"/>
  <c r="K2155" i="6"/>
  <c r="K1617" i="6"/>
  <c r="K1543" i="6"/>
  <c r="K1532" i="6"/>
  <c r="K1522" i="6"/>
  <c r="K1460" i="6"/>
  <c r="K1417" i="6"/>
  <c r="K1263" i="6"/>
  <c r="K1245" i="6"/>
  <c r="K1235" i="6"/>
  <c r="K1214" i="6"/>
  <c r="K1207" i="6"/>
  <c r="K1200" i="6"/>
  <c r="K1197" i="6"/>
  <c r="K1190" i="6"/>
  <c r="K1183" i="6"/>
  <c r="K1142" i="6"/>
  <c r="K1135" i="6"/>
  <c r="K1094" i="6"/>
  <c r="K1087" i="6"/>
  <c r="K1080" i="6"/>
  <c r="K1039" i="6"/>
  <c r="K1032" i="6"/>
  <c r="K1022" i="6"/>
  <c r="K1015" i="6"/>
  <c r="K974" i="6"/>
  <c r="K967" i="6"/>
  <c r="K960" i="6"/>
  <c r="K919" i="6"/>
  <c r="K912" i="6"/>
  <c r="K898" i="6"/>
  <c r="K877" i="6"/>
  <c r="K672" i="6"/>
  <c r="K671" i="6"/>
  <c r="K655" i="6"/>
  <c r="K639" i="6"/>
  <c r="K623" i="6"/>
  <c r="K622" i="6"/>
  <c r="K606" i="6"/>
  <c r="K590" i="6"/>
  <c r="K574" i="6"/>
  <c r="K573" i="6"/>
  <c r="K557" i="6"/>
  <c r="K541" i="6"/>
  <c r="K525" i="6"/>
  <c r="K524" i="6"/>
  <c r="K508" i="6"/>
  <c r="K1967" i="6"/>
  <c r="K1845" i="6"/>
  <c r="K1751" i="6"/>
  <c r="K1440" i="6"/>
  <c r="K1289" i="6"/>
  <c r="K1283" i="6"/>
  <c r="K1279" i="6"/>
  <c r="K1273" i="6"/>
  <c r="K1239" i="6"/>
  <c r="K1233" i="6"/>
  <c r="K1223" i="6"/>
  <c r="K1159" i="6"/>
  <c r="K1152" i="6"/>
  <c r="K991" i="6"/>
  <c r="K984" i="6"/>
  <c r="K977" i="6"/>
  <c r="K906" i="6"/>
  <c r="K865" i="6"/>
  <c r="K844" i="6"/>
  <c r="K835" i="6"/>
  <c r="K830" i="6"/>
  <c r="K813" i="6"/>
  <c r="K808" i="6"/>
  <c r="K791" i="6"/>
  <c r="K786" i="6"/>
  <c r="K781" i="6"/>
  <c r="K764" i="6"/>
  <c r="K759" i="6"/>
  <c r="K742" i="6"/>
  <c r="K737" i="6"/>
  <c r="K732" i="6"/>
  <c r="K715" i="6"/>
  <c r="K710" i="6"/>
  <c r="K693" i="6"/>
  <c r="K688" i="6"/>
  <c r="K670" i="6"/>
  <c r="K654" i="6"/>
  <c r="K638" i="6"/>
  <c r="K621" i="6"/>
  <c r="K605" i="6"/>
  <c r="K589" i="6"/>
  <c r="K572" i="6"/>
  <c r="K556" i="6"/>
  <c r="K540" i="6"/>
  <c r="K523" i="6"/>
  <c r="K507" i="6"/>
  <c r="K1449" i="6"/>
  <c r="K1397" i="6"/>
  <c r="K1390" i="6"/>
  <c r="K1383" i="6"/>
  <c r="K1061" i="6"/>
  <c r="K1054" i="6"/>
  <c r="K899" i="6"/>
  <c r="K890" i="6"/>
  <c r="K878" i="6"/>
  <c r="K857" i="6"/>
  <c r="K836" i="6"/>
  <c r="K819" i="6"/>
  <c r="K814" i="6"/>
  <c r="K809" i="6"/>
  <c r="K792" i="6"/>
  <c r="K787" i="6"/>
  <c r="K770" i="6"/>
  <c r="K765" i="6"/>
  <c r="K760" i="6"/>
  <c r="K743" i="6"/>
  <c r="K738" i="6"/>
  <c r="K721" i="6"/>
  <c r="K716" i="6"/>
  <c r="K711" i="6"/>
  <c r="K694" i="6"/>
  <c r="K689" i="6"/>
  <c r="K668" i="6"/>
  <c r="K652" i="6"/>
  <c r="K635" i="6"/>
  <c r="K619" i="6"/>
  <c r="K603" i="6"/>
  <c r="K586" i="6"/>
  <c r="K570" i="6"/>
  <c r="K554" i="6"/>
  <c r="K537" i="6"/>
  <c r="K521" i="6"/>
  <c r="K505" i="6"/>
  <c r="K488" i="6"/>
  <c r="K472" i="6"/>
  <c r="K2116" i="6"/>
  <c r="K1509" i="6"/>
  <c r="K1406" i="6"/>
  <c r="K1316" i="6"/>
  <c r="K1284" i="6"/>
  <c r="K1228" i="6"/>
  <c r="K1219" i="6"/>
  <c r="K1099" i="6"/>
  <c r="K866" i="6"/>
  <c r="K862" i="6"/>
  <c r="K767" i="6"/>
  <c r="K752" i="6"/>
  <c r="K750" i="6"/>
  <c r="K735" i="6"/>
  <c r="K679" i="6"/>
  <c r="K660" i="6"/>
  <c r="K651" i="6"/>
  <c r="K632" i="6"/>
  <c r="K613" i="6"/>
  <c r="K594" i="6"/>
  <c r="K588" i="6"/>
  <c r="K585" i="6"/>
  <c r="K566" i="6"/>
  <c r="K522" i="6"/>
  <c r="K512" i="6"/>
  <c r="K506" i="6"/>
  <c r="K501" i="6"/>
  <c r="K490" i="6"/>
  <c r="K479" i="6"/>
  <c r="K457" i="6"/>
  <c r="K409" i="6"/>
  <c r="K408" i="6"/>
  <c r="K390" i="6"/>
  <c r="K383" i="6"/>
  <c r="K376" i="6"/>
  <c r="K369" i="6"/>
  <c r="K362" i="6"/>
  <c r="L362" i="6" s="1"/>
  <c r="K355" i="6"/>
  <c r="K348" i="6"/>
  <c r="K341" i="6"/>
  <c r="K334" i="6"/>
  <c r="K327" i="6"/>
  <c r="K320" i="6"/>
  <c r="K313" i="6"/>
  <c r="K306" i="6"/>
  <c r="K299" i="6"/>
  <c r="K292" i="6"/>
  <c r="K285" i="6"/>
  <c r="K278" i="6"/>
  <c r="K271" i="6"/>
  <c r="K264" i="6"/>
  <c r="L264" i="6" s="1"/>
  <c r="K257" i="6"/>
  <c r="K250" i="6"/>
  <c r="K243" i="6"/>
  <c r="K236" i="6"/>
  <c r="K229" i="6"/>
  <c r="K222" i="6"/>
  <c r="K215" i="6"/>
  <c r="K208" i="6"/>
  <c r="K201" i="6"/>
  <c r="K194" i="6"/>
  <c r="K187" i="6"/>
  <c r="K180" i="6"/>
  <c r="K173" i="6"/>
  <c r="K166" i="6"/>
  <c r="K159" i="6"/>
  <c r="K152" i="6"/>
  <c r="K145" i="6"/>
  <c r="K138" i="6"/>
  <c r="K131" i="6"/>
  <c r="K124" i="6"/>
  <c r="K117" i="6"/>
  <c r="K110" i="6"/>
  <c r="K103" i="6"/>
  <c r="K96" i="6"/>
  <c r="K89" i="6"/>
  <c r="K82" i="6"/>
  <c r="K75" i="6"/>
  <c r="K68" i="6"/>
  <c r="K61" i="6"/>
  <c r="K54" i="6"/>
  <c r="K47" i="6"/>
  <c r="K40" i="6"/>
  <c r="K33" i="6"/>
  <c r="K26" i="6"/>
  <c r="L26" i="6" s="1"/>
  <c r="K19" i="6"/>
  <c r="K12" i="6"/>
  <c r="K5" i="6"/>
  <c r="K1597" i="6"/>
  <c r="K1559" i="6"/>
  <c r="K1368" i="6"/>
  <c r="K1268" i="6"/>
  <c r="K1256" i="6"/>
  <c r="K1211" i="6"/>
  <c r="K1184" i="6"/>
  <c r="K1163" i="6"/>
  <c r="K1136" i="6"/>
  <c r="K1115" i="6"/>
  <c r="K1088" i="6"/>
  <c r="K1067" i="6"/>
  <c r="K1064" i="6"/>
  <c r="K1043" i="6"/>
  <c r="K1016" i="6"/>
  <c r="K995" i="6"/>
  <c r="K968" i="6"/>
  <c r="K947" i="6"/>
  <c r="K928" i="6"/>
  <c r="K920" i="6"/>
  <c r="K901" i="6"/>
  <c r="K897" i="6"/>
  <c r="K858" i="6"/>
  <c r="K746" i="6"/>
  <c r="K744" i="6"/>
  <c r="K729" i="6"/>
  <c r="K676" i="6"/>
  <c r="K667" i="6"/>
  <c r="K648" i="6"/>
  <c r="K629" i="6"/>
  <c r="K604" i="6"/>
  <c r="K601" i="6"/>
  <c r="K547" i="6"/>
  <c r="K538" i="6"/>
  <c r="K528" i="6"/>
  <c r="K519" i="6"/>
  <c r="K491" i="6"/>
  <c r="K480" i="6"/>
  <c r="K469" i="6"/>
  <c r="K458" i="6"/>
  <c r="K414" i="6"/>
  <c r="K413" i="6"/>
  <c r="K412" i="6"/>
  <c r="K411" i="6"/>
  <c r="K1883" i="6"/>
  <c r="K1758" i="6"/>
  <c r="K1662" i="6"/>
  <c r="K1526" i="6"/>
  <c r="K1363" i="6"/>
  <c r="K1344" i="6"/>
  <c r="K1301" i="6"/>
  <c r="K1208" i="6"/>
  <c r="K1205" i="6"/>
  <c r="K1187" i="6"/>
  <c r="K1157" i="6"/>
  <c r="K1109" i="6"/>
  <c r="K1085" i="6"/>
  <c r="K1040" i="6"/>
  <c r="K1037" i="6"/>
  <c r="K989" i="6"/>
  <c r="K941" i="6"/>
  <c r="K917" i="6"/>
  <c r="K907" i="6"/>
  <c r="K868" i="6"/>
  <c r="K864" i="6"/>
  <c r="K828" i="6"/>
  <c r="K826" i="6"/>
  <c r="K725" i="6"/>
  <c r="K723" i="6"/>
  <c r="K708" i="6"/>
  <c r="K683" i="6"/>
  <c r="K664" i="6"/>
  <c r="K620" i="6"/>
  <c r="K610" i="6"/>
  <c r="K582" i="6"/>
  <c r="K563" i="6"/>
  <c r="K544" i="6"/>
  <c r="K535" i="6"/>
  <c r="K516" i="6"/>
  <c r="K502" i="6"/>
  <c r="K492" i="6"/>
  <c r="K481" i="6"/>
  <c r="K470" i="6"/>
  <c r="K459" i="6"/>
  <c r="K416" i="6"/>
  <c r="K415" i="6"/>
  <c r="K389" i="6"/>
  <c r="K382" i="6"/>
  <c r="K375" i="6"/>
  <c r="K368" i="6"/>
  <c r="K361" i="6"/>
  <c r="K354" i="6"/>
  <c r="K347" i="6"/>
  <c r="K340" i="6"/>
  <c r="K333" i="6"/>
  <c r="K326" i="6"/>
  <c r="K319" i="6"/>
  <c r="K312" i="6"/>
  <c r="K305" i="6"/>
  <c r="K298" i="6"/>
  <c r="K291" i="6"/>
  <c r="K284" i="6"/>
  <c r="K277" i="6"/>
  <c r="K270" i="6"/>
  <c r="K263" i="6"/>
  <c r="K256" i="6"/>
  <c r="K249" i="6"/>
  <c r="K242" i="6"/>
  <c r="K235" i="6"/>
  <c r="K228" i="6"/>
  <c r="K221" i="6"/>
  <c r="K214" i="6"/>
  <c r="K207" i="6"/>
  <c r="K200" i="6"/>
  <c r="K193" i="6"/>
  <c r="K186" i="6"/>
  <c r="K179" i="6"/>
  <c r="K172" i="6"/>
  <c r="K165" i="6"/>
  <c r="K158" i="6"/>
  <c r="K151" i="6"/>
  <c r="K144" i="6"/>
  <c r="K137" i="6"/>
  <c r="K130" i="6"/>
  <c r="K123" i="6"/>
  <c r="K116" i="6"/>
  <c r="K109" i="6"/>
  <c r="K102" i="6"/>
  <c r="K95" i="6"/>
  <c r="K88" i="6"/>
  <c r="K81" i="6"/>
  <c r="K74" i="6"/>
  <c r="K67" i="6"/>
  <c r="K60" i="6"/>
  <c r="K53" i="6"/>
  <c r="K46" i="6"/>
  <c r="K39" i="6"/>
  <c r="K32" i="6"/>
  <c r="K25" i="6"/>
  <c r="K18" i="6"/>
  <c r="K11" i="6"/>
  <c r="K4" i="6"/>
  <c r="K1462" i="6"/>
  <c r="K1323" i="6"/>
  <c r="K1053" i="6"/>
  <c r="K933" i="6"/>
  <c r="K882" i="6"/>
  <c r="K874" i="6"/>
  <c r="K837" i="6"/>
  <c r="K822" i="6"/>
  <c r="K820" i="6"/>
  <c r="K805" i="6"/>
  <c r="K717" i="6"/>
  <c r="K702" i="6"/>
  <c r="K700" i="6"/>
  <c r="K645" i="6"/>
  <c r="K636" i="6"/>
  <c r="K626" i="6"/>
  <c r="K617" i="6"/>
  <c r="K598" i="6"/>
  <c r="K579" i="6"/>
  <c r="K551" i="6"/>
  <c r="K493" i="6"/>
  <c r="K482" i="6"/>
  <c r="K471" i="6"/>
  <c r="K460" i="6"/>
  <c r="K421" i="6"/>
  <c r="K420" i="6"/>
  <c r="K419" i="6"/>
  <c r="K418" i="6"/>
  <c r="D22" i="4"/>
  <c r="K1635" i="6"/>
  <c r="K1536" i="6"/>
  <c r="K1357" i="6"/>
  <c r="K1246" i="6"/>
  <c r="K1138" i="6"/>
  <c r="K880" i="6"/>
  <c r="K876" i="6"/>
  <c r="K795" i="6"/>
  <c r="K793" i="6"/>
  <c r="L793" i="6" s="1"/>
  <c r="K778" i="6"/>
  <c r="K690" i="6"/>
  <c r="K677" i="6"/>
  <c r="K649" i="6"/>
  <c r="K595" i="6"/>
  <c r="K567" i="6"/>
  <c r="K548" i="6"/>
  <c r="K529" i="6"/>
  <c r="K520" i="6"/>
  <c r="K483" i="6"/>
  <c r="K428" i="6"/>
  <c r="K427" i="6"/>
  <c r="K426" i="6"/>
  <c r="K425" i="6"/>
  <c r="K1342" i="6"/>
  <c r="K1296" i="6"/>
  <c r="K1151" i="6"/>
  <c r="K1031" i="6"/>
  <c r="K1004" i="6"/>
  <c r="K983" i="6"/>
  <c r="K911" i="6"/>
  <c r="K894" i="6"/>
  <c r="K851" i="6"/>
  <c r="K847" i="6"/>
  <c r="K843" i="6"/>
  <c r="K774" i="6"/>
  <c r="K772" i="6"/>
  <c r="K757" i="6"/>
  <c r="I8" i="6"/>
  <c r="G12" i="6"/>
  <c r="G16" i="6"/>
  <c r="K17" i="6"/>
  <c r="B19" i="6"/>
  <c r="K21" i="6"/>
  <c r="A27" i="6"/>
  <c r="J29" i="6"/>
  <c r="B31" i="6"/>
  <c r="I37" i="6"/>
  <c r="A39" i="6"/>
  <c r="K41" i="6"/>
  <c r="H45" i="6"/>
  <c r="I49" i="6"/>
  <c r="G53" i="6"/>
  <c r="A56" i="6"/>
  <c r="H57" i="6"/>
  <c r="K58" i="6"/>
  <c r="G61" i="6"/>
  <c r="G65" i="6"/>
  <c r="K66" i="6"/>
  <c r="B68" i="6"/>
  <c r="K70" i="6"/>
  <c r="A76" i="6"/>
  <c r="J78" i="6"/>
  <c r="B80" i="6"/>
  <c r="I86" i="6"/>
  <c r="A88" i="6"/>
  <c r="K90" i="6"/>
  <c r="H94" i="6"/>
  <c r="I98" i="6"/>
  <c r="G102" i="6"/>
  <c r="A105" i="6"/>
  <c r="H106" i="6"/>
  <c r="K107" i="6"/>
  <c r="G110" i="6"/>
  <c r="G114" i="6"/>
  <c r="K115" i="6"/>
  <c r="B117" i="6"/>
  <c r="J118" i="6"/>
  <c r="G122" i="6"/>
  <c r="B125" i="6"/>
  <c r="I126" i="6"/>
  <c r="G130" i="6"/>
  <c r="C133" i="6"/>
  <c r="I134" i="6"/>
  <c r="I142" i="6"/>
  <c r="A144" i="6"/>
  <c r="I150" i="6"/>
  <c r="A152" i="6"/>
  <c r="K154" i="6"/>
  <c r="A160" i="6"/>
  <c r="H161" i="6"/>
  <c r="K162" i="6"/>
  <c r="C164" i="6"/>
  <c r="A168" i="6"/>
  <c r="H169" i="6"/>
  <c r="K170" i="6"/>
  <c r="C172" i="6"/>
  <c r="G173" i="6"/>
  <c r="A176" i="6"/>
  <c r="H177" i="6"/>
  <c r="C180" i="6"/>
  <c r="K181" i="6"/>
  <c r="L181" i="6" s="1"/>
  <c r="H185" i="6"/>
  <c r="C188" i="6"/>
  <c r="J189" i="6"/>
  <c r="I193" i="6"/>
  <c r="J197" i="6"/>
  <c r="B199" i="6"/>
  <c r="G204" i="6"/>
  <c r="J205" i="6"/>
  <c r="B207" i="6"/>
  <c r="G212" i="6"/>
  <c r="K213" i="6"/>
  <c r="B215" i="6"/>
  <c r="J216" i="6"/>
  <c r="G220" i="6"/>
  <c r="B223" i="6"/>
  <c r="I224" i="6"/>
  <c r="G228" i="6"/>
  <c r="C231" i="6"/>
  <c r="I232" i="6"/>
  <c r="I240" i="6"/>
  <c r="A242" i="6"/>
  <c r="I248" i="6"/>
  <c r="A250" i="6"/>
  <c r="K252" i="6"/>
  <c r="A258" i="6"/>
  <c r="H259" i="6"/>
  <c r="K260" i="6"/>
  <c r="C262" i="6"/>
  <c r="A266" i="6"/>
  <c r="H267" i="6"/>
  <c r="K268" i="6"/>
  <c r="C270" i="6"/>
  <c r="G271" i="6"/>
  <c r="A274" i="6"/>
  <c r="H275" i="6"/>
  <c r="C278" i="6"/>
  <c r="K279" i="6"/>
  <c r="H283" i="6"/>
  <c r="C286" i="6"/>
  <c r="J287" i="6"/>
  <c r="I291" i="6"/>
  <c r="J295" i="6"/>
  <c r="B297" i="6"/>
  <c r="G302" i="6"/>
  <c r="J303" i="6"/>
  <c r="B305" i="6"/>
  <c r="G310" i="6"/>
  <c r="K311" i="6"/>
  <c r="B313" i="6"/>
  <c r="J314" i="6"/>
  <c r="G318" i="6"/>
  <c r="B321" i="6"/>
  <c r="I322" i="6"/>
  <c r="G326" i="6"/>
  <c r="C329" i="6"/>
  <c r="I330" i="6"/>
  <c r="I338" i="6"/>
  <c r="A340" i="6"/>
  <c r="G345" i="6"/>
  <c r="K346" i="6"/>
  <c r="B348" i="6"/>
  <c r="J349" i="6"/>
  <c r="H353" i="6"/>
  <c r="C356" i="6"/>
  <c r="K357" i="6"/>
  <c r="A363" i="6"/>
  <c r="I364" i="6"/>
  <c r="G368" i="6"/>
  <c r="C371" i="6"/>
  <c r="J372" i="6"/>
  <c r="B374" i="6"/>
  <c r="H379" i="6"/>
  <c r="K380" i="6"/>
  <c r="C382" i="6"/>
  <c r="G383" i="6"/>
  <c r="I387" i="6"/>
  <c r="A389" i="6"/>
  <c r="K394" i="6"/>
  <c r="B396" i="6"/>
  <c r="I399" i="6"/>
  <c r="K402" i="6"/>
  <c r="A404" i="6"/>
  <c r="G410" i="6"/>
  <c r="A412" i="6"/>
  <c r="B420" i="6"/>
  <c r="H421" i="6"/>
  <c r="B428" i="6"/>
  <c r="H429" i="6"/>
  <c r="K432" i="6"/>
  <c r="G434" i="6"/>
  <c r="I437" i="6"/>
  <c r="K440" i="6"/>
  <c r="G442" i="6"/>
  <c r="I445" i="6"/>
  <c r="K448" i="6"/>
  <c r="B450" i="6"/>
  <c r="K456" i="6"/>
  <c r="B458" i="6"/>
  <c r="A460" i="6"/>
  <c r="H461" i="6"/>
  <c r="B470" i="6"/>
  <c r="H473" i="6"/>
  <c r="C482" i="6"/>
  <c r="I485" i="6"/>
  <c r="G487" i="6"/>
  <c r="C494" i="6"/>
  <c r="K495" i="6"/>
  <c r="I497" i="6"/>
  <c r="B499" i="6"/>
  <c r="A503" i="6"/>
  <c r="I504" i="6"/>
  <c r="G520" i="6"/>
  <c r="A523" i="6"/>
  <c r="G536" i="6"/>
  <c r="G538" i="6"/>
  <c r="G552" i="6"/>
  <c r="A559" i="6"/>
  <c r="G568" i="6"/>
  <c r="G570" i="6"/>
  <c r="A573" i="6"/>
  <c r="J579" i="6"/>
  <c r="H584" i="6"/>
  <c r="G586" i="6"/>
  <c r="A589" i="6"/>
  <c r="I595" i="6"/>
  <c r="G602" i="6"/>
  <c r="A605" i="6"/>
  <c r="A607" i="6"/>
  <c r="J611" i="6"/>
  <c r="H618" i="6"/>
  <c r="H620" i="6"/>
  <c r="A623" i="6"/>
  <c r="G625" i="6"/>
  <c r="J627" i="6"/>
  <c r="H634" i="6"/>
  <c r="G636" i="6"/>
  <c r="A639" i="6"/>
  <c r="A641" i="6"/>
  <c r="J643" i="6"/>
  <c r="H650" i="6"/>
  <c r="G652" i="6"/>
  <c r="A655" i="6"/>
  <c r="A657" i="6"/>
  <c r="K659" i="6"/>
  <c r="K661" i="6"/>
  <c r="I666" i="6"/>
  <c r="H668" i="6"/>
  <c r="B671" i="6"/>
  <c r="A673" i="6"/>
  <c r="K675" i="6"/>
  <c r="J677" i="6"/>
  <c r="H684" i="6"/>
  <c r="H690" i="6"/>
  <c r="H696" i="6"/>
  <c r="G705" i="6"/>
  <c r="I712" i="6"/>
  <c r="C715" i="6"/>
  <c r="I722" i="6"/>
  <c r="B726" i="6"/>
  <c r="G739" i="6"/>
  <c r="A742" i="6"/>
  <c r="J745" i="6"/>
  <c r="C749" i="6"/>
  <c r="B762" i="6"/>
  <c r="I768" i="6"/>
  <c r="G781" i="6"/>
  <c r="K784" i="6"/>
  <c r="I787" i="6"/>
  <c r="B791" i="6"/>
  <c r="K794" i="6"/>
  <c r="I810" i="6"/>
  <c r="B814" i="6"/>
  <c r="H821" i="6"/>
  <c r="B824" i="6"/>
  <c r="K827" i="6"/>
  <c r="G837" i="6"/>
  <c r="A841" i="6"/>
  <c r="I844" i="6"/>
  <c r="H851" i="6"/>
  <c r="A855" i="6"/>
  <c r="G862" i="6"/>
  <c r="I865" i="6"/>
  <c r="C873" i="6"/>
  <c r="K883" i="6"/>
  <c r="G887" i="6"/>
  <c r="A894" i="6"/>
  <c r="B901" i="6"/>
  <c r="H913" i="6"/>
  <c r="C922" i="6"/>
  <c r="B927" i="6"/>
  <c r="K935" i="6"/>
  <c r="K940" i="6"/>
  <c r="G949" i="6"/>
  <c r="H968" i="6"/>
  <c r="G982" i="6"/>
  <c r="A986" i="6"/>
  <c r="G999" i="6"/>
  <c r="H1004" i="6"/>
  <c r="I1009" i="6"/>
  <c r="G1014" i="6"/>
  <c r="J1031" i="6"/>
  <c r="K1036" i="6"/>
  <c r="K1045" i="6"/>
  <c r="J1050" i="6"/>
  <c r="J1059" i="6"/>
  <c r="G1095" i="6"/>
  <c r="H1109" i="6"/>
  <c r="C1119" i="6"/>
  <c r="B1137" i="6"/>
  <c r="I1145" i="6"/>
  <c r="I1150" i="6"/>
  <c r="C1159" i="6"/>
  <c r="H1164" i="6"/>
  <c r="B1173" i="6"/>
  <c r="A1188" i="6"/>
  <c r="J1191" i="6"/>
  <c r="J1196" i="6"/>
  <c r="H1201" i="6"/>
  <c r="H1205" i="6"/>
  <c r="C1210" i="6"/>
  <c r="C1215" i="6"/>
  <c r="A1220" i="6"/>
  <c r="G1235" i="6"/>
  <c r="A1257" i="6"/>
  <c r="K1272" i="6"/>
  <c r="K1282" i="6"/>
  <c r="I1288" i="6"/>
  <c r="A1293" i="6"/>
  <c r="K1341" i="6"/>
  <c r="C1348" i="6"/>
  <c r="B1363" i="6"/>
  <c r="A1380" i="6"/>
  <c r="J1399" i="6"/>
  <c r="J1407" i="6"/>
  <c r="K1420" i="6"/>
  <c r="J1434" i="6"/>
  <c r="I1474" i="6"/>
  <c r="G1499" i="6"/>
  <c r="I1583" i="6"/>
  <c r="A1694" i="6"/>
  <c r="I1740" i="6"/>
  <c r="B1905" i="6"/>
  <c r="D18" i="4"/>
  <c r="G30" i="6"/>
  <c r="G67" i="6"/>
  <c r="G75" i="6"/>
  <c r="G116" i="6"/>
  <c r="G190" i="6"/>
  <c r="G296" i="6"/>
  <c r="G304" i="6"/>
  <c r="G422" i="6"/>
  <c r="G464" i="6"/>
  <c r="G599" i="6"/>
  <c r="G633" i="6"/>
  <c r="G1217" i="6"/>
  <c r="G1254" i="6"/>
  <c r="H2495" i="6"/>
  <c r="H2488" i="6"/>
  <c r="H2481" i="6"/>
  <c r="H2474" i="6"/>
  <c r="H2467" i="6"/>
  <c r="H2460" i="6"/>
  <c r="H2453" i="6"/>
  <c r="H2446" i="6"/>
  <c r="H2439" i="6"/>
  <c r="H2432" i="6"/>
  <c r="H2494" i="6"/>
  <c r="H2487" i="6"/>
  <c r="H2480" i="6"/>
  <c r="H2473" i="6"/>
  <c r="H2466" i="6"/>
  <c r="H2459" i="6"/>
  <c r="H2452" i="6"/>
  <c r="H2445" i="6"/>
  <c r="H2438" i="6"/>
  <c r="H2431" i="6"/>
  <c r="H2499" i="6"/>
  <c r="H2492" i="6"/>
  <c r="H2485" i="6"/>
  <c r="H2478" i="6"/>
  <c r="H2471" i="6"/>
  <c r="H2479" i="6"/>
  <c r="H2457" i="6"/>
  <c r="H2436" i="6"/>
  <c r="H2482" i="6"/>
  <c r="H2461" i="6"/>
  <c r="H2447" i="6"/>
  <c r="H2442" i="6"/>
  <c r="H2420" i="6"/>
  <c r="H2413" i="6"/>
  <c r="H2406" i="6"/>
  <c r="H2491" i="6"/>
  <c r="H2465" i="6"/>
  <c r="H2437" i="6"/>
  <c r="H2441" i="6"/>
  <c r="H2430" i="6"/>
  <c r="H2411" i="6"/>
  <c r="H2400" i="6"/>
  <c r="H2500" i="6"/>
  <c r="H2450" i="6"/>
  <c r="H2421" i="6"/>
  <c r="H2402" i="6"/>
  <c r="H2498" i="6"/>
  <c r="H2428" i="6"/>
  <c r="H2422" i="6"/>
  <c r="H2403" i="6"/>
  <c r="H2397" i="6"/>
  <c r="H2390" i="6"/>
  <c r="H2463" i="6"/>
  <c r="H2423" i="6"/>
  <c r="H2404" i="6"/>
  <c r="H2414" i="6"/>
  <c r="H2497" i="6"/>
  <c r="H2486" i="6"/>
  <c r="H2470" i="6"/>
  <c r="H2462" i="6"/>
  <c r="H2455" i="6"/>
  <c r="H2448" i="6"/>
  <c r="H2444" i="6"/>
  <c r="H2417" i="6"/>
  <c r="H2396" i="6"/>
  <c r="H2379" i="6"/>
  <c r="H2372" i="6"/>
  <c r="H2365" i="6"/>
  <c r="H2489" i="6"/>
  <c r="H2433" i="6"/>
  <c r="H2435" i="6"/>
  <c r="H2426" i="6"/>
  <c r="H2378" i="6"/>
  <c r="H2371" i="6"/>
  <c r="H2364" i="6"/>
  <c r="H2469" i="6"/>
  <c r="H2449" i="6"/>
  <c r="H2425" i="6"/>
  <c r="H2401" i="6"/>
  <c r="H2356" i="6"/>
  <c r="H2349" i="6"/>
  <c r="H2342" i="6"/>
  <c r="H2335" i="6"/>
  <c r="H2328" i="6"/>
  <c r="H2321" i="6"/>
  <c r="H2314" i="6"/>
  <c r="H2307" i="6"/>
  <c r="H2300" i="6"/>
  <c r="H2293" i="6"/>
  <c r="H2286" i="6"/>
  <c r="H2279" i="6"/>
  <c r="H2272" i="6"/>
  <c r="H2440" i="6"/>
  <c r="H2405" i="6"/>
  <c r="H2399" i="6"/>
  <c r="H2392" i="6"/>
  <c r="H2384" i="6"/>
  <c r="H2373" i="6"/>
  <c r="H2368" i="6"/>
  <c r="H2484" i="6"/>
  <c r="H2472" i="6"/>
  <c r="H2458" i="6"/>
  <c r="H2418" i="6"/>
  <c r="H2416" i="6"/>
  <c r="H2355" i="6"/>
  <c r="H2348" i="6"/>
  <c r="H2341" i="6"/>
  <c r="H2334" i="6"/>
  <c r="H2327" i="6"/>
  <c r="H2320" i="6"/>
  <c r="H2313" i="6"/>
  <c r="H2306" i="6"/>
  <c r="H2299" i="6"/>
  <c r="H2292" i="6"/>
  <c r="H2285" i="6"/>
  <c r="H2278" i="6"/>
  <c r="H2271" i="6"/>
  <c r="H2387" i="6"/>
  <c r="H2374" i="6"/>
  <c r="H2369" i="6"/>
  <c r="H2363" i="6"/>
  <c r="H2362" i="6"/>
  <c r="H2340" i="6"/>
  <c r="H2329" i="6"/>
  <c r="H2310" i="6"/>
  <c r="H2291" i="6"/>
  <c r="H2280" i="6"/>
  <c r="H2360" i="6"/>
  <c r="H2330" i="6"/>
  <c r="H2311" i="6"/>
  <c r="H2281" i="6"/>
  <c r="H2264" i="6"/>
  <c r="H2257" i="6"/>
  <c r="H2250" i="6"/>
  <c r="H2243" i="6"/>
  <c r="H2236" i="6"/>
  <c r="H2477" i="6"/>
  <c r="H2456" i="6"/>
  <c r="H2385" i="6"/>
  <c r="H2383" i="6"/>
  <c r="H2376" i="6"/>
  <c r="H2366" i="6"/>
  <c r="H2331" i="6"/>
  <c r="H2312" i="6"/>
  <c r="H2301" i="6"/>
  <c r="H2282" i="6"/>
  <c r="H2464" i="6"/>
  <c r="H2324" i="6"/>
  <c r="H2317" i="6"/>
  <c r="H2273" i="6"/>
  <c r="H2255" i="6"/>
  <c r="H2244" i="6"/>
  <c r="H2226" i="6"/>
  <c r="H2219" i="6"/>
  <c r="H2212" i="6"/>
  <c r="H2205" i="6"/>
  <c r="H2410" i="6"/>
  <c r="H2377" i="6"/>
  <c r="H2359" i="6"/>
  <c r="H2284" i="6"/>
  <c r="H2277" i="6"/>
  <c r="H2270" i="6"/>
  <c r="H2265" i="6"/>
  <c r="H2246" i="6"/>
  <c r="H2225" i="6"/>
  <c r="H2218" i="6"/>
  <c r="H2211" i="6"/>
  <c r="H2204" i="6"/>
  <c r="H2490" i="6"/>
  <c r="H2483" i="6"/>
  <c r="H2476" i="6"/>
  <c r="H2451" i="6"/>
  <c r="H2409" i="6"/>
  <c r="H2398" i="6"/>
  <c r="H2395" i="6"/>
  <c r="H2351" i="6"/>
  <c r="H2345" i="6"/>
  <c r="H2338" i="6"/>
  <c r="H2294" i="6"/>
  <c r="H2287" i="6"/>
  <c r="H2266" i="6"/>
  <c r="H2247" i="6"/>
  <c r="H2389" i="6"/>
  <c r="H2381" i="6"/>
  <c r="H2370" i="6"/>
  <c r="H2354" i="6"/>
  <c r="H2332" i="6"/>
  <c r="H2325" i="6"/>
  <c r="H2318" i="6"/>
  <c r="H2274" i="6"/>
  <c r="H2267" i="6"/>
  <c r="H2248" i="6"/>
  <c r="H2237" i="6"/>
  <c r="H2468" i="6"/>
  <c r="H2429" i="6"/>
  <c r="H2412" i="6"/>
  <c r="H2375" i="6"/>
  <c r="H2290" i="6"/>
  <c r="H2276" i="6"/>
  <c r="H2268" i="6"/>
  <c r="H2260" i="6"/>
  <c r="H2232" i="6"/>
  <c r="H2229" i="6"/>
  <c r="H2222" i="6"/>
  <c r="H2203" i="6"/>
  <c r="H2195" i="6"/>
  <c r="H2188" i="6"/>
  <c r="H2181" i="6"/>
  <c r="H2174" i="6"/>
  <c r="H2167" i="6"/>
  <c r="H2160" i="6"/>
  <c r="H2496" i="6"/>
  <c r="H2443" i="6"/>
  <c r="H2391" i="6"/>
  <c r="H2333" i="6"/>
  <c r="H2241" i="6"/>
  <c r="H2224" i="6"/>
  <c r="H2213" i="6"/>
  <c r="H2194" i="6"/>
  <c r="H2187" i="6"/>
  <c r="H2180" i="6"/>
  <c r="H2173" i="6"/>
  <c r="H2166" i="6"/>
  <c r="H2159" i="6"/>
  <c r="H2475" i="6"/>
  <c r="H2358" i="6"/>
  <c r="H2347" i="6"/>
  <c r="H2343" i="6"/>
  <c r="H2339" i="6"/>
  <c r="H2305" i="6"/>
  <c r="H2252" i="6"/>
  <c r="H2214" i="6"/>
  <c r="H2434" i="6"/>
  <c r="H2323" i="6"/>
  <c r="H2319" i="6"/>
  <c r="H2315" i="6"/>
  <c r="H2258" i="6"/>
  <c r="H2230" i="6"/>
  <c r="H2215" i="6"/>
  <c r="H2193" i="6"/>
  <c r="H2186" i="6"/>
  <c r="H2179" i="6"/>
  <c r="H2172" i="6"/>
  <c r="H2165" i="6"/>
  <c r="H2158" i="6"/>
  <c r="H2380" i="6"/>
  <c r="H2275" i="6"/>
  <c r="H2256" i="6"/>
  <c r="H2206" i="6"/>
  <c r="H2197" i="6"/>
  <c r="H2192" i="6"/>
  <c r="H2175" i="6"/>
  <c r="H2170" i="6"/>
  <c r="H2155" i="6"/>
  <c r="H2148" i="6"/>
  <c r="H2141" i="6"/>
  <c r="H2134" i="6"/>
  <c r="H2127" i="6"/>
  <c r="H2424" i="6"/>
  <c r="H2289" i="6"/>
  <c r="H2254" i="6"/>
  <c r="H2209" i="6"/>
  <c r="H2367" i="6"/>
  <c r="H2322" i="6"/>
  <c r="H2297" i="6"/>
  <c r="H2283" i="6"/>
  <c r="H2245" i="6"/>
  <c r="H2234" i="6"/>
  <c r="H2228" i="6"/>
  <c r="H2223" i="6"/>
  <c r="H2220" i="6"/>
  <c r="H2176" i="6"/>
  <c r="H2171" i="6"/>
  <c r="H2154" i="6"/>
  <c r="H2147" i="6"/>
  <c r="H2140" i="6"/>
  <c r="H2133" i="6"/>
  <c r="H2126" i="6"/>
  <c r="H2119" i="6"/>
  <c r="H2112" i="6"/>
  <c r="H2105" i="6"/>
  <c r="H2098" i="6"/>
  <c r="H2091" i="6"/>
  <c r="H2084" i="6"/>
  <c r="H2077" i="6"/>
  <c r="H2070" i="6"/>
  <c r="H2063" i="6"/>
  <c r="H2056" i="6"/>
  <c r="H2049" i="6"/>
  <c r="H2042" i="6"/>
  <c r="H2035" i="6"/>
  <c r="H2028" i="6"/>
  <c r="H2021" i="6"/>
  <c r="H2014" i="6"/>
  <c r="H2007" i="6"/>
  <c r="H2000" i="6"/>
  <c r="H1993" i="6"/>
  <c r="H1986" i="6"/>
  <c r="H1979" i="6"/>
  <c r="H1972" i="6"/>
  <c r="H2454" i="6"/>
  <c r="H2353" i="6"/>
  <c r="H2336" i="6"/>
  <c r="H2249" i="6"/>
  <c r="H2198" i="6"/>
  <c r="H2493" i="6"/>
  <c r="H2415" i="6"/>
  <c r="H2388" i="6"/>
  <c r="H2350" i="6"/>
  <c r="H2191" i="6"/>
  <c r="H2184" i="6"/>
  <c r="H2177" i="6"/>
  <c r="H2153" i="6"/>
  <c r="H2136" i="6"/>
  <c r="H2131" i="6"/>
  <c r="H2109" i="6"/>
  <c r="H2090" i="6"/>
  <c r="H2079" i="6"/>
  <c r="H2060" i="6"/>
  <c r="H2041" i="6"/>
  <c r="H2030" i="6"/>
  <c r="H2011" i="6"/>
  <c r="H1992" i="6"/>
  <c r="H1981" i="6"/>
  <c r="H1961" i="6"/>
  <c r="H1954" i="6"/>
  <c r="H1947" i="6"/>
  <c r="H1940" i="6"/>
  <c r="H1933" i="6"/>
  <c r="H1926" i="6"/>
  <c r="H1919" i="6"/>
  <c r="H1912" i="6"/>
  <c r="H1905" i="6"/>
  <c r="H1898" i="6"/>
  <c r="H2394" i="6"/>
  <c r="H2326" i="6"/>
  <c r="H2217" i="6"/>
  <c r="H2196" i="6"/>
  <c r="H2189" i="6"/>
  <c r="H2182" i="6"/>
  <c r="H2142" i="6"/>
  <c r="H2137" i="6"/>
  <c r="H2132" i="6"/>
  <c r="H2111" i="6"/>
  <c r="H2100" i="6"/>
  <c r="H2081" i="6"/>
  <c r="H2062" i="6"/>
  <c r="H2051" i="6"/>
  <c r="H2032" i="6"/>
  <c r="H2013" i="6"/>
  <c r="H2002" i="6"/>
  <c r="H1983" i="6"/>
  <c r="H1960" i="6"/>
  <c r="H1953" i="6"/>
  <c r="H1946" i="6"/>
  <c r="H1939" i="6"/>
  <c r="H1932" i="6"/>
  <c r="H1925" i="6"/>
  <c r="H1918" i="6"/>
  <c r="H1911" i="6"/>
  <c r="H1904" i="6"/>
  <c r="H1897" i="6"/>
  <c r="H2302" i="6"/>
  <c r="H2261" i="6"/>
  <c r="H2120" i="6"/>
  <c r="H2101" i="6"/>
  <c r="H2082" i="6"/>
  <c r="H2071" i="6"/>
  <c r="H2052" i="6"/>
  <c r="H2033" i="6"/>
  <c r="H2022" i="6"/>
  <c r="H2003" i="6"/>
  <c r="H1984" i="6"/>
  <c r="H1973" i="6"/>
  <c r="H2386" i="6"/>
  <c r="H2210" i="6"/>
  <c r="H2208" i="6"/>
  <c r="H2163" i="6"/>
  <c r="H2143" i="6"/>
  <c r="H2138" i="6"/>
  <c r="H2121" i="6"/>
  <c r="H2102" i="6"/>
  <c r="H2083" i="6"/>
  <c r="H2072" i="6"/>
  <c r="H2053" i="6"/>
  <c r="H2034" i="6"/>
  <c r="H2023" i="6"/>
  <c r="H2004" i="6"/>
  <c r="H1985" i="6"/>
  <c r="H1974" i="6"/>
  <c r="H1959" i="6"/>
  <c r="H1952" i="6"/>
  <c r="H1945" i="6"/>
  <c r="H1938" i="6"/>
  <c r="H1931" i="6"/>
  <c r="H1924" i="6"/>
  <c r="H1917" i="6"/>
  <c r="H1910" i="6"/>
  <c r="H1903" i="6"/>
  <c r="H1896" i="6"/>
  <c r="H2262" i="6"/>
  <c r="H2183" i="6"/>
  <c r="H2178" i="6"/>
  <c r="H2169" i="6"/>
  <c r="H2164" i="6"/>
  <c r="H2157" i="6"/>
  <c r="H2150" i="6"/>
  <c r="H2110" i="6"/>
  <c r="H2107" i="6"/>
  <c r="H2074" i="6"/>
  <c r="H2046" i="6"/>
  <c r="H2018" i="6"/>
  <c r="H2001" i="6"/>
  <c r="H2408" i="6"/>
  <c r="H2298" i="6"/>
  <c r="H2288" i="6"/>
  <c r="H2113" i="6"/>
  <c r="H2085" i="6"/>
  <c r="H2057" i="6"/>
  <c r="H2029" i="6"/>
  <c r="H2024" i="6"/>
  <c r="H1996" i="6"/>
  <c r="H1968" i="6"/>
  <c r="H1887" i="6"/>
  <c r="H1880" i="6"/>
  <c r="H1873" i="6"/>
  <c r="H1866" i="6"/>
  <c r="H1859" i="6"/>
  <c r="H1852" i="6"/>
  <c r="H1845" i="6"/>
  <c r="H1838" i="6"/>
  <c r="H1831" i="6"/>
  <c r="H1824" i="6"/>
  <c r="H1817" i="6"/>
  <c r="H1810" i="6"/>
  <c r="H2407" i="6"/>
  <c r="H2393" i="6"/>
  <c r="H2309" i="6"/>
  <c r="H2304" i="6"/>
  <c r="H2253" i="6"/>
  <c r="H2240" i="6"/>
  <c r="H2190" i="6"/>
  <c r="H2185" i="6"/>
  <c r="H2161" i="6"/>
  <c r="H2124" i="6"/>
  <c r="H2116" i="6"/>
  <c r="H2099" i="6"/>
  <c r="H2088" i="6"/>
  <c r="H2055" i="6"/>
  <c r="H2027" i="6"/>
  <c r="H1999" i="6"/>
  <c r="H1982" i="6"/>
  <c r="H1971" i="6"/>
  <c r="H1949" i="6"/>
  <c r="H1944" i="6"/>
  <c r="H1927" i="6"/>
  <c r="H1922" i="6"/>
  <c r="H1900" i="6"/>
  <c r="H1895" i="6"/>
  <c r="H2221" i="6"/>
  <c r="H2094" i="6"/>
  <c r="H2066" i="6"/>
  <c r="H2038" i="6"/>
  <c r="H2010" i="6"/>
  <c r="H2005" i="6"/>
  <c r="H1977" i="6"/>
  <c r="H1886" i="6"/>
  <c r="H1879" i="6"/>
  <c r="H1872" i="6"/>
  <c r="H1865" i="6"/>
  <c r="H1858" i="6"/>
  <c r="H1851" i="6"/>
  <c r="H1844" i="6"/>
  <c r="H1837" i="6"/>
  <c r="H1830" i="6"/>
  <c r="H1823" i="6"/>
  <c r="H1816" i="6"/>
  <c r="H2427" i="6"/>
  <c r="H2316" i="6"/>
  <c r="H2269" i="6"/>
  <c r="H2251" i="6"/>
  <c r="H2202" i="6"/>
  <c r="H2097" i="6"/>
  <c r="H2095" i="6"/>
  <c r="H2093" i="6"/>
  <c r="H2058" i="6"/>
  <c r="H2025" i="6"/>
  <c r="H1965" i="6"/>
  <c r="H1948" i="6"/>
  <c r="H1929" i="6"/>
  <c r="H1877" i="6"/>
  <c r="H1847" i="6"/>
  <c r="H1828" i="6"/>
  <c r="H1800" i="6"/>
  <c r="H1793" i="6"/>
  <c r="H1786" i="6"/>
  <c r="H1779" i="6"/>
  <c r="H1772" i="6"/>
  <c r="H1765" i="6"/>
  <c r="H1758" i="6"/>
  <c r="H1751" i="6"/>
  <c r="H1744" i="6"/>
  <c r="H1737" i="6"/>
  <c r="H2361" i="6"/>
  <c r="H2108" i="6"/>
  <c r="H2106" i="6"/>
  <c r="H2075" i="6"/>
  <c r="H2073" i="6"/>
  <c r="H2036" i="6"/>
  <c r="H1957" i="6"/>
  <c r="H1915" i="6"/>
  <c r="H1878" i="6"/>
  <c r="H1867" i="6"/>
  <c r="H1848" i="6"/>
  <c r="H1829" i="6"/>
  <c r="H1818" i="6"/>
  <c r="H2352" i="6"/>
  <c r="H2263" i="6"/>
  <c r="H2238" i="6"/>
  <c r="H2227" i="6"/>
  <c r="H2201" i="6"/>
  <c r="H2145" i="6"/>
  <c r="H2086" i="6"/>
  <c r="H2016" i="6"/>
  <c r="H2012" i="6"/>
  <c r="H1943" i="6"/>
  <c r="H1907" i="6"/>
  <c r="H1868" i="6"/>
  <c r="H1849" i="6"/>
  <c r="H1819" i="6"/>
  <c r="H1799" i="6"/>
  <c r="H1792" i="6"/>
  <c r="H1785" i="6"/>
  <c r="H1778" i="6"/>
  <c r="H1771" i="6"/>
  <c r="H1764" i="6"/>
  <c r="H1757" i="6"/>
  <c r="H1750" i="6"/>
  <c r="H1743" i="6"/>
  <c r="H1736" i="6"/>
  <c r="H1729" i="6"/>
  <c r="H1722" i="6"/>
  <c r="H1715" i="6"/>
  <c r="H1708" i="6"/>
  <c r="H1701" i="6"/>
  <c r="H1694" i="6"/>
  <c r="H1687" i="6"/>
  <c r="H1680" i="6"/>
  <c r="H1673" i="6"/>
  <c r="H1666" i="6"/>
  <c r="H1659" i="6"/>
  <c r="H1652" i="6"/>
  <c r="H1645" i="6"/>
  <c r="H1638" i="6"/>
  <c r="H1631" i="6"/>
  <c r="H1624" i="6"/>
  <c r="H1617" i="6"/>
  <c r="H1610" i="6"/>
  <c r="H1603" i="6"/>
  <c r="H1596" i="6"/>
  <c r="H1589" i="6"/>
  <c r="H2344" i="6"/>
  <c r="H2337" i="6"/>
  <c r="H2103" i="6"/>
  <c r="H2064" i="6"/>
  <c r="H1994" i="6"/>
  <c r="H1935" i="6"/>
  <c r="H1893" i="6"/>
  <c r="H1888" i="6"/>
  <c r="H1869" i="6"/>
  <c r="H1850" i="6"/>
  <c r="H1839" i="6"/>
  <c r="H1820" i="6"/>
  <c r="H1809" i="6"/>
  <c r="H1808" i="6"/>
  <c r="H1807" i="6"/>
  <c r="H1806" i="6"/>
  <c r="H2419" i="6"/>
  <c r="H2382" i="6"/>
  <c r="H2242" i="6"/>
  <c r="H2115" i="6"/>
  <c r="H2026" i="6"/>
  <c r="H2017" i="6"/>
  <c r="H2008" i="6"/>
  <c r="H1908" i="6"/>
  <c r="H1906" i="6"/>
  <c r="H1883" i="6"/>
  <c r="H1855" i="6"/>
  <c r="H1827" i="6"/>
  <c r="H1822" i="6"/>
  <c r="H1781" i="6"/>
  <c r="H1762" i="6"/>
  <c r="H1732" i="6"/>
  <c r="H1731" i="6"/>
  <c r="H1730" i="6"/>
  <c r="H1686" i="6"/>
  <c r="H1685" i="6"/>
  <c r="H1684" i="6"/>
  <c r="H1683" i="6"/>
  <c r="H1682" i="6"/>
  <c r="H1681" i="6"/>
  <c r="H1637" i="6"/>
  <c r="H1636" i="6"/>
  <c r="H1635" i="6"/>
  <c r="H1634" i="6"/>
  <c r="H1633" i="6"/>
  <c r="H1632" i="6"/>
  <c r="H1588" i="6"/>
  <c r="H1587" i="6"/>
  <c r="H1586" i="6"/>
  <c r="H2235" i="6"/>
  <c r="H2096" i="6"/>
  <c r="H2087" i="6"/>
  <c r="H2078" i="6"/>
  <c r="H2047" i="6"/>
  <c r="H1998" i="6"/>
  <c r="H1987" i="6"/>
  <c r="H1923" i="6"/>
  <c r="H1864" i="6"/>
  <c r="H1836" i="6"/>
  <c r="H1811" i="6"/>
  <c r="H1802" i="6"/>
  <c r="H1783" i="6"/>
  <c r="H1753" i="6"/>
  <c r="H1734" i="6"/>
  <c r="H1693" i="6"/>
  <c r="H1692" i="6"/>
  <c r="H1691" i="6"/>
  <c r="H1690" i="6"/>
  <c r="H1689" i="6"/>
  <c r="H1688" i="6"/>
  <c r="H1644" i="6"/>
  <c r="H1643" i="6"/>
  <c r="H1642" i="6"/>
  <c r="H1641" i="6"/>
  <c r="H1640" i="6"/>
  <c r="H1639" i="6"/>
  <c r="H1595" i="6"/>
  <c r="H1594" i="6"/>
  <c r="H1593" i="6"/>
  <c r="H1592" i="6"/>
  <c r="H1591" i="6"/>
  <c r="H1590" i="6"/>
  <c r="H2308" i="6"/>
  <c r="H2199" i="6"/>
  <c r="H2162" i="6"/>
  <c r="H2130" i="6"/>
  <c r="H2123" i="6"/>
  <c r="H2050" i="6"/>
  <c r="H1995" i="6"/>
  <c r="H1936" i="6"/>
  <c r="H1934" i="6"/>
  <c r="H1899" i="6"/>
  <c r="H1875" i="6"/>
  <c r="H1870" i="6"/>
  <c r="H1842" i="6"/>
  <c r="H1814" i="6"/>
  <c r="H1803" i="6"/>
  <c r="H1784" i="6"/>
  <c r="H1773" i="6"/>
  <c r="H1754" i="6"/>
  <c r="H1735" i="6"/>
  <c r="H1584" i="6"/>
  <c r="H1577" i="6"/>
  <c r="H1570" i="6"/>
  <c r="H1563" i="6"/>
  <c r="H1556" i="6"/>
  <c r="H1549" i="6"/>
  <c r="H1542" i="6"/>
  <c r="H1535" i="6"/>
  <c r="H1528" i="6"/>
  <c r="H1521" i="6"/>
  <c r="H1514" i="6"/>
  <c r="H1507" i="6"/>
  <c r="H1500" i="6"/>
  <c r="H1493" i="6"/>
  <c r="H1486" i="6"/>
  <c r="H2231" i="6"/>
  <c r="H2168" i="6"/>
  <c r="H2152" i="6"/>
  <c r="H2114" i="6"/>
  <c r="H2044" i="6"/>
  <c r="H1976" i="6"/>
  <c r="H1969" i="6"/>
  <c r="H1921" i="6"/>
  <c r="H1857" i="6"/>
  <c r="H1841" i="6"/>
  <c r="H1821" i="6"/>
  <c r="H1766" i="6"/>
  <c r="H1759" i="6"/>
  <c r="H1723" i="6"/>
  <c r="H1719" i="6"/>
  <c r="H1654" i="6"/>
  <c r="H1650" i="6"/>
  <c r="H1619" i="6"/>
  <c r="H1615" i="6"/>
  <c r="H1573" i="6"/>
  <c r="H1554" i="6"/>
  <c r="H1524" i="6"/>
  <c r="H1505" i="6"/>
  <c r="H2357" i="6"/>
  <c r="H2296" i="6"/>
  <c r="H2118" i="6"/>
  <c r="H2009" i="6"/>
  <c r="H1997" i="6"/>
  <c r="H1990" i="6"/>
  <c r="H1951" i="6"/>
  <c r="H1901" i="6"/>
  <c r="H1813" i="6"/>
  <c r="H1777" i="6"/>
  <c r="H1770" i="6"/>
  <c r="H1711" i="6"/>
  <c r="H1707" i="6"/>
  <c r="H1676" i="6"/>
  <c r="H1672" i="6"/>
  <c r="H1646" i="6"/>
  <c r="H1611" i="6"/>
  <c r="H1607" i="6"/>
  <c r="H1575" i="6"/>
  <c r="H1545" i="6"/>
  <c r="H1526" i="6"/>
  <c r="H1496" i="6"/>
  <c r="H2295" i="6"/>
  <c r="H2067" i="6"/>
  <c r="H2059" i="6"/>
  <c r="H1975" i="6"/>
  <c r="H1890" i="6"/>
  <c r="H1794" i="6"/>
  <c r="H1787" i="6"/>
  <c r="H1780" i="6"/>
  <c r="H1724" i="6"/>
  <c r="H1720" i="6"/>
  <c r="H1655" i="6"/>
  <c r="H1651" i="6"/>
  <c r="H1620" i="6"/>
  <c r="H1616" i="6"/>
  <c r="H1585" i="6"/>
  <c r="H1576" i="6"/>
  <c r="H1565" i="6"/>
  <c r="H1546" i="6"/>
  <c r="H1536" i="6"/>
  <c r="H1527" i="6"/>
  <c r="H1516" i="6"/>
  <c r="H1497" i="6"/>
  <c r="H1487" i="6"/>
  <c r="H2129" i="6"/>
  <c r="H2031" i="6"/>
  <c r="H1989" i="6"/>
  <c r="H1978" i="6"/>
  <c r="H1937" i="6"/>
  <c r="H2128" i="6"/>
  <c r="H2122" i="6"/>
  <c r="H2089" i="6"/>
  <c r="H1763" i="6"/>
  <c r="H1745" i="6"/>
  <c r="H1699" i="6"/>
  <c r="H1653" i="6"/>
  <c r="H1605" i="6"/>
  <c r="H1581" i="6"/>
  <c r="H1564" i="6"/>
  <c r="H1537" i="6"/>
  <c r="H1530" i="6"/>
  <c r="H1523" i="6"/>
  <c r="H1480" i="6"/>
  <c r="H2200" i="6"/>
  <c r="H2139" i="6"/>
  <c r="H2040" i="6"/>
  <c r="H1966" i="6"/>
  <c r="H1884" i="6"/>
  <c r="H1854" i="6"/>
  <c r="H1790" i="6"/>
  <c r="H1714" i="6"/>
  <c r="H1704" i="6"/>
  <c r="H1656" i="6"/>
  <c r="H1608" i="6"/>
  <c r="H1578" i="6"/>
  <c r="H1571" i="6"/>
  <c r="H1568" i="6"/>
  <c r="H1561" i="6"/>
  <c r="H1517" i="6"/>
  <c r="H1510" i="6"/>
  <c r="H1503" i="6"/>
  <c r="H2151" i="6"/>
  <c r="H2061" i="6"/>
  <c r="H1991" i="6"/>
  <c r="H1962" i="6"/>
  <c r="H1958" i="6"/>
  <c r="H1950" i="6"/>
  <c r="H1892" i="6"/>
  <c r="H1797" i="6"/>
  <c r="H1788" i="6"/>
  <c r="H1761" i="6"/>
  <c r="H1709" i="6"/>
  <c r="H1671" i="6"/>
  <c r="H1661" i="6"/>
  <c r="H1628" i="6"/>
  <c r="H1623" i="6"/>
  <c r="H1613" i="6"/>
  <c r="H1548" i="6"/>
  <c r="H1544" i="6"/>
  <c r="H1541" i="6"/>
  <c r="H1534" i="6"/>
  <c r="H1490" i="6"/>
  <c r="H2039" i="6"/>
  <c r="H1913" i="6"/>
  <c r="H1902" i="6"/>
  <c r="H1889" i="6"/>
  <c r="H1874" i="6"/>
  <c r="H1856" i="6"/>
  <c r="H1826" i="6"/>
  <c r="H1804" i="6"/>
  <c r="H1795" i="6"/>
  <c r="H1768" i="6"/>
  <c r="H1752" i="6"/>
  <c r="H1741" i="6"/>
  <c r="H1712" i="6"/>
  <c r="H1664" i="6"/>
  <c r="H1618" i="6"/>
  <c r="H1598" i="6"/>
  <c r="H1558" i="6"/>
  <c r="H1551" i="6"/>
  <c r="H1481" i="6"/>
  <c r="H2104" i="6"/>
  <c r="H2045" i="6"/>
  <c r="H2006" i="6"/>
  <c r="H1942" i="6"/>
  <c r="H1920" i="6"/>
  <c r="H1916" i="6"/>
  <c r="H1909" i="6"/>
  <c r="H1871" i="6"/>
  <c r="H1775" i="6"/>
  <c r="H1748" i="6"/>
  <c r="H1727" i="6"/>
  <c r="H1717" i="6"/>
  <c r="H1941" i="6"/>
  <c r="H2239" i="6"/>
  <c r="H2020" i="6"/>
  <c r="H2216" i="6"/>
  <c r="H2037" i="6"/>
  <c r="H2019" i="6"/>
  <c r="H1970" i="6"/>
  <c r="H1928" i="6"/>
  <c r="H1882" i="6"/>
  <c r="H1862" i="6"/>
  <c r="H1721" i="6"/>
  <c r="H1716" i="6"/>
  <c r="H1700" i="6"/>
  <c r="H1695" i="6"/>
  <c r="H1614" i="6"/>
  <c r="H1582" i="6"/>
  <c r="H1495" i="6"/>
  <c r="H1489" i="6"/>
  <c r="H2156" i="6"/>
  <c r="H2043" i="6"/>
  <c r="H1739" i="6"/>
  <c r="H1726" i="6"/>
  <c r="H1705" i="6"/>
  <c r="H1669" i="6"/>
  <c r="H1667" i="6"/>
  <c r="H1660" i="6"/>
  <c r="H1630" i="6"/>
  <c r="H1580" i="6"/>
  <c r="H1572" i="6"/>
  <c r="H1538" i="6"/>
  <c r="H1467" i="6"/>
  <c r="H1457" i="6"/>
  <c r="H1456" i="6"/>
  <c r="H1455" i="6"/>
  <c r="H1454" i="6"/>
  <c r="H1453" i="6"/>
  <c r="H1409" i="6"/>
  <c r="H1408" i="6"/>
  <c r="H1407" i="6"/>
  <c r="H1406" i="6"/>
  <c r="H1405" i="6"/>
  <c r="H1404" i="6"/>
  <c r="H1360" i="6"/>
  <c r="H1359" i="6"/>
  <c r="H1358" i="6"/>
  <c r="H1357" i="6"/>
  <c r="H1356" i="6"/>
  <c r="H1355" i="6"/>
  <c r="H2092" i="6"/>
  <c r="H2069" i="6"/>
  <c r="H1963" i="6"/>
  <c r="H1956" i="6"/>
  <c r="H1861" i="6"/>
  <c r="H1834" i="6"/>
  <c r="H1801" i="6"/>
  <c r="H1767" i="6"/>
  <c r="H1756" i="6"/>
  <c r="H1742" i="6"/>
  <c r="H1718" i="6"/>
  <c r="H1697" i="6"/>
  <c r="H1602" i="6"/>
  <c r="H1574" i="6"/>
  <c r="H1560" i="6"/>
  <c r="H2346" i="6"/>
  <c r="H1863" i="6"/>
  <c r="H1703" i="6"/>
  <c r="H1658" i="6"/>
  <c r="H1559" i="6"/>
  <c r="H1543" i="6"/>
  <c r="H1531" i="6"/>
  <c r="H1515" i="6"/>
  <c r="H1501" i="6"/>
  <c r="H1494" i="6"/>
  <c r="H1485" i="6"/>
  <c r="H1443" i="6"/>
  <c r="H1421" i="6"/>
  <c r="H1410" i="6"/>
  <c r="H1398" i="6"/>
  <c r="H1388" i="6"/>
  <c r="H1376" i="6"/>
  <c r="H1366" i="6"/>
  <c r="H1354" i="6"/>
  <c r="H1343" i="6"/>
  <c r="H2149" i="6"/>
  <c r="H2068" i="6"/>
  <c r="H1914" i="6"/>
  <c r="H1579" i="6"/>
  <c r="H2054" i="6"/>
  <c r="H2015" i="6"/>
  <c r="H1980" i="6"/>
  <c r="H1812" i="6"/>
  <c r="H1789" i="6"/>
  <c r="H1782" i="6"/>
  <c r="H1746" i="6"/>
  <c r="H1725" i="6"/>
  <c r="H1702" i="6"/>
  <c r="H1678" i="6"/>
  <c r="H1657" i="6"/>
  <c r="H1625" i="6"/>
  <c r="H1622" i="6"/>
  <c r="H1604" i="6"/>
  <c r="H1601" i="6"/>
  <c r="H1547" i="6"/>
  <c r="H1540" i="6"/>
  <c r="H1498" i="6"/>
  <c r="H1477" i="6"/>
  <c r="H1433" i="6"/>
  <c r="H1423" i="6"/>
  <c r="H1411" i="6"/>
  <c r="H1400" i="6"/>
  <c r="H1389" i="6"/>
  <c r="H1378" i="6"/>
  <c r="H1345" i="6"/>
  <c r="H2207" i="6"/>
  <c r="H2146" i="6"/>
  <c r="H2135" i="6"/>
  <c r="H2080" i="6"/>
  <c r="H1876" i="6"/>
  <c r="H1832" i="6"/>
  <c r="H1706" i="6"/>
  <c r="H1696" i="6"/>
  <c r="H1566" i="6"/>
  <c r="H1519" i="6"/>
  <c r="H1512" i="6"/>
  <c r="H1473" i="6"/>
  <c r="H1463" i="6"/>
  <c r="H1445" i="6"/>
  <c r="H1434" i="6"/>
  <c r="H1412" i="6"/>
  <c r="H1401" i="6"/>
  <c r="H1379" i="6"/>
  <c r="H1368" i="6"/>
  <c r="H1346" i="6"/>
  <c r="H1327" i="6"/>
  <c r="H1320" i="6"/>
  <c r="H1313" i="6"/>
  <c r="H1306" i="6"/>
  <c r="H1299" i="6"/>
  <c r="H1292" i="6"/>
  <c r="H1285" i="6"/>
  <c r="H1278" i="6"/>
  <c r="H1271" i="6"/>
  <c r="H1264" i="6"/>
  <c r="H1257" i="6"/>
  <c r="H1250" i="6"/>
  <c r="H1243" i="6"/>
  <c r="H1236" i="6"/>
  <c r="H1229" i="6"/>
  <c r="H1222" i="6"/>
  <c r="H2233" i="6"/>
  <c r="H2065" i="6"/>
  <c r="H1881" i="6"/>
  <c r="H1796" i="6"/>
  <c r="H1760" i="6"/>
  <c r="H1728" i="6"/>
  <c r="H1675" i="6"/>
  <c r="H1648" i="6"/>
  <c r="H1533" i="6"/>
  <c r="H1491" i="6"/>
  <c r="H1469" i="6"/>
  <c r="H1435" i="6"/>
  <c r="H1424" i="6"/>
  <c r="H1413" i="6"/>
  <c r="H1402" i="6"/>
  <c r="H1390" i="6"/>
  <c r="H1380" i="6"/>
  <c r="H1755" i="6"/>
  <c r="H1740" i="6"/>
  <c r="H1698" i="6"/>
  <c r="H1583" i="6"/>
  <c r="H1499" i="6"/>
  <c r="H1449" i="6"/>
  <c r="H1429" i="6"/>
  <c r="H1415" i="6"/>
  <c r="H1713" i="6"/>
  <c r="H1670" i="6"/>
  <c r="H1555" i="6"/>
  <c r="H1552" i="6"/>
  <c r="H1508" i="6"/>
  <c r="H1492" i="6"/>
  <c r="H1452" i="6"/>
  <c r="H1438" i="6"/>
  <c r="H1432" i="6"/>
  <c r="H1988" i="6"/>
  <c r="H1749" i="6"/>
  <c r="H1609" i="6"/>
  <c r="H1567" i="6"/>
  <c r="H1511" i="6"/>
  <c r="H1418" i="6"/>
  <c r="H1930" i="6"/>
  <c r="H1798" i="6"/>
  <c r="H1677" i="6"/>
  <c r="H1627" i="6"/>
  <c r="H1504" i="6"/>
  <c r="H1482" i="6"/>
  <c r="H1475" i="6"/>
  <c r="H1450" i="6"/>
  <c r="H1436" i="6"/>
  <c r="H1430" i="6"/>
  <c r="H1416" i="6"/>
  <c r="H1393" i="6"/>
  <c r="H1387" i="6"/>
  <c r="H1373" i="6"/>
  <c r="H2125" i="6"/>
  <c r="H1840" i="6"/>
  <c r="H1825" i="6"/>
  <c r="H1668" i="6"/>
  <c r="H1599" i="6"/>
  <c r="H1562" i="6"/>
  <c r="H1466" i="6"/>
  <c r="H1853" i="6"/>
  <c r="H1674" i="6"/>
  <c r="H1448" i="6"/>
  <c r="H1441" i="6"/>
  <c r="H1417" i="6"/>
  <c r="H1374" i="6"/>
  <c r="H1333" i="6"/>
  <c r="H1307" i="6"/>
  <c r="H1284" i="6"/>
  <c r="H1283" i="6"/>
  <c r="H1282" i="6"/>
  <c r="H1281" i="6"/>
  <c r="H1280" i="6"/>
  <c r="H1235" i="6"/>
  <c r="H1234" i="6"/>
  <c r="H1233" i="6"/>
  <c r="H1232" i="6"/>
  <c r="H1231" i="6"/>
  <c r="H1955" i="6"/>
  <c r="H1769" i="6"/>
  <c r="H1710" i="6"/>
  <c r="H1557" i="6"/>
  <c r="H1484" i="6"/>
  <c r="H1419" i="6"/>
  <c r="H1414" i="6"/>
  <c r="H1397" i="6"/>
  <c r="H1395" i="6"/>
  <c r="H1349" i="6"/>
  <c r="H1340" i="6"/>
  <c r="H1291" i="6"/>
  <c r="H1290" i="6"/>
  <c r="H1289" i="6"/>
  <c r="H1288" i="6"/>
  <c r="H1287" i="6"/>
  <c r="H1242" i="6"/>
  <c r="H1241" i="6"/>
  <c r="H1240" i="6"/>
  <c r="H1239" i="6"/>
  <c r="H1238" i="6"/>
  <c r="H1539" i="6"/>
  <c r="H1465" i="6"/>
  <c r="H1460" i="6"/>
  <c r="H1431" i="6"/>
  <c r="H1386" i="6"/>
  <c r="H1372" i="6"/>
  <c r="H1352" i="6"/>
  <c r="H1337" i="6"/>
  <c r="H1330" i="6"/>
  <c r="H1325" i="6"/>
  <c r="H1308" i="6"/>
  <c r="H1303" i="6"/>
  <c r="H1298" i="6"/>
  <c r="H1244" i="6"/>
  <c r="H1217" i="6"/>
  <c r="H1210" i="6"/>
  <c r="H1203" i="6"/>
  <c r="H1196" i="6"/>
  <c r="H1189" i="6"/>
  <c r="H1182" i="6"/>
  <c r="H1175" i="6"/>
  <c r="H1168" i="6"/>
  <c r="H1161" i="6"/>
  <c r="H1154" i="6"/>
  <c r="H1147" i="6"/>
  <c r="H1140" i="6"/>
  <c r="H1133" i="6"/>
  <c r="H1126" i="6"/>
  <c r="H1119" i="6"/>
  <c r="H1112" i="6"/>
  <c r="H1105" i="6"/>
  <c r="H1098" i="6"/>
  <c r="H1091" i="6"/>
  <c r="H1084" i="6"/>
  <c r="H1077" i="6"/>
  <c r="H1070" i="6"/>
  <c r="H1063" i="6"/>
  <c r="H1056" i="6"/>
  <c r="H1049" i="6"/>
  <c r="H1042" i="6"/>
  <c r="H1035" i="6"/>
  <c r="H1028" i="6"/>
  <c r="H1021" i="6"/>
  <c r="H1014" i="6"/>
  <c r="H1007" i="6"/>
  <c r="H1000" i="6"/>
  <c r="H993" i="6"/>
  <c r="H986" i="6"/>
  <c r="H979" i="6"/>
  <c r="H972" i="6"/>
  <c r="H965" i="6"/>
  <c r="H958" i="6"/>
  <c r="H951" i="6"/>
  <c r="H944" i="6"/>
  <c r="H937" i="6"/>
  <c r="H930" i="6"/>
  <c r="H923" i="6"/>
  <c r="H916" i="6"/>
  <c r="H1860" i="6"/>
  <c r="H1679" i="6"/>
  <c r="H1600" i="6"/>
  <c r="H1550" i="6"/>
  <c r="H1518" i="6"/>
  <c r="H1479" i="6"/>
  <c r="H1470" i="6"/>
  <c r="H1428" i="6"/>
  <c r="H1384" i="6"/>
  <c r="H1347" i="6"/>
  <c r="H1334" i="6"/>
  <c r="H1331" i="6"/>
  <c r="H1326" i="6"/>
  <c r="H1309" i="6"/>
  <c r="H1304" i="6"/>
  <c r="H1251" i="6"/>
  <c r="H1216" i="6"/>
  <c r="H1209" i="6"/>
  <c r="H1202" i="6"/>
  <c r="H1195" i="6"/>
  <c r="H1188" i="6"/>
  <c r="H1181" i="6"/>
  <c r="H1174" i="6"/>
  <c r="H1167" i="6"/>
  <c r="H1160" i="6"/>
  <c r="H1153" i="6"/>
  <c r="H1146" i="6"/>
  <c r="H1139" i="6"/>
  <c r="H1132" i="6"/>
  <c r="H1125" i="6"/>
  <c r="H1118" i="6"/>
  <c r="H1111" i="6"/>
  <c r="H1104" i="6"/>
  <c r="H1097" i="6"/>
  <c r="H1090" i="6"/>
  <c r="H1083" i="6"/>
  <c r="H1076" i="6"/>
  <c r="H1069" i="6"/>
  <c r="H1062" i="6"/>
  <c r="H1055" i="6"/>
  <c r="H1048" i="6"/>
  <c r="H1041" i="6"/>
  <c r="H1034" i="6"/>
  <c r="H1027" i="6"/>
  <c r="H1020" i="6"/>
  <c r="H1013" i="6"/>
  <c r="H1006" i="6"/>
  <c r="H999" i="6"/>
  <c r="H992" i="6"/>
  <c r="H985" i="6"/>
  <c r="H978" i="6"/>
  <c r="H971" i="6"/>
  <c r="H964" i="6"/>
  <c r="H957" i="6"/>
  <c r="H950" i="6"/>
  <c r="H943" i="6"/>
  <c r="H936" i="6"/>
  <c r="H929" i="6"/>
  <c r="H922" i="6"/>
  <c r="H915" i="6"/>
  <c r="H908" i="6"/>
  <c r="H901" i="6"/>
  <c r="H894" i="6"/>
  <c r="H887" i="6"/>
  <c r="H880" i="6"/>
  <c r="H873" i="6"/>
  <c r="H866" i="6"/>
  <c r="H859" i="6"/>
  <c r="H852" i="6"/>
  <c r="H845" i="6"/>
  <c r="H1967" i="6"/>
  <c r="H1894" i="6"/>
  <c r="H1532" i="6"/>
  <c r="H1462" i="6"/>
  <c r="H1369" i="6"/>
  <c r="H1319" i="6"/>
  <c r="H1302" i="6"/>
  <c r="H1286" i="6"/>
  <c r="H1276" i="6"/>
  <c r="H1266" i="6"/>
  <c r="H1263" i="6"/>
  <c r="H1253" i="6"/>
  <c r="H1226" i="6"/>
  <c r="H1197" i="6"/>
  <c r="H1148" i="6"/>
  <c r="H1099" i="6"/>
  <c r="H1050" i="6"/>
  <c r="H1001" i="6"/>
  <c r="H952" i="6"/>
  <c r="H892" i="6"/>
  <c r="H876" i="6"/>
  <c r="H860" i="6"/>
  <c r="H843" i="6"/>
  <c r="H834" i="6"/>
  <c r="H827" i="6"/>
  <c r="H820" i="6"/>
  <c r="H813" i="6"/>
  <c r="H806" i="6"/>
  <c r="H799" i="6"/>
  <c r="H792" i="6"/>
  <c r="H785" i="6"/>
  <c r="H778" i="6"/>
  <c r="H771" i="6"/>
  <c r="H764" i="6"/>
  <c r="H757" i="6"/>
  <c r="H750" i="6"/>
  <c r="H743" i="6"/>
  <c r="H736" i="6"/>
  <c r="H729" i="6"/>
  <c r="H722" i="6"/>
  <c r="H715" i="6"/>
  <c r="H708" i="6"/>
  <c r="H701" i="6"/>
  <c r="H694" i="6"/>
  <c r="H687" i="6"/>
  <c r="H680" i="6"/>
  <c r="H673" i="6"/>
  <c r="H666" i="6"/>
  <c r="H659" i="6"/>
  <c r="H652" i="6"/>
  <c r="H645" i="6"/>
  <c r="H638" i="6"/>
  <c r="H631" i="6"/>
  <c r="H624" i="6"/>
  <c r="H617" i="6"/>
  <c r="H610" i="6"/>
  <c r="H603" i="6"/>
  <c r="H596" i="6"/>
  <c r="H589" i="6"/>
  <c r="H582" i="6"/>
  <c r="H575" i="6"/>
  <c r="H568" i="6"/>
  <c r="H561" i="6"/>
  <c r="H554" i="6"/>
  <c r="H547" i="6"/>
  <c r="H540" i="6"/>
  <c r="H533" i="6"/>
  <c r="H526" i="6"/>
  <c r="H519" i="6"/>
  <c r="H512" i="6"/>
  <c r="H505" i="6"/>
  <c r="H498" i="6"/>
  <c r="H491" i="6"/>
  <c r="H484" i="6"/>
  <c r="H477" i="6"/>
  <c r="H470" i="6"/>
  <c r="H463" i="6"/>
  <c r="H1891" i="6"/>
  <c r="H1733" i="6"/>
  <c r="H1649" i="6"/>
  <c r="H1629" i="6"/>
  <c r="H1483" i="6"/>
  <c r="H1403" i="6"/>
  <c r="H1371" i="6"/>
  <c r="H1341" i="6"/>
  <c r="H1339" i="6"/>
  <c r="H1335" i="6"/>
  <c r="H1312" i="6"/>
  <c r="H1305" i="6"/>
  <c r="H1295" i="6"/>
  <c r="H1223" i="6"/>
  <c r="H1219" i="6"/>
  <c r="H1214" i="6"/>
  <c r="H1192" i="6"/>
  <c r="H1187" i="6"/>
  <c r="H1170" i="6"/>
  <c r="H1165" i="6"/>
  <c r="H1143" i="6"/>
  <c r="H1138" i="6"/>
  <c r="H1121" i="6"/>
  <c r="H1116" i="6"/>
  <c r="H1094" i="6"/>
  <c r="H1089" i="6"/>
  <c r="H1072" i="6"/>
  <c r="H1067" i="6"/>
  <c r="H1045" i="6"/>
  <c r="H1040" i="6"/>
  <c r="H1023" i="6"/>
  <c r="H1018" i="6"/>
  <c r="H996" i="6"/>
  <c r="H991" i="6"/>
  <c r="H974" i="6"/>
  <c r="H969" i="6"/>
  <c r="H947" i="6"/>
  <c r="H942" i="6"/>
  <c r="H925" i="6"/>
  <c r="H920" i="6"/>
  <c r="H909" i="6"/>
  <c r="H907" i="6"/>
  <c r="H891" i="6"/>
  <c r="H875" i="6"/>
  <c r="H858" i="6"/>
  <c r="H842" i="6"/>
  <c r="H2048" i="6"/>
  <c r="H1791" i="6"/>
  <c r="H1525" i="6"/>
  <c r="H1458" i="6"/>
  <c r="H1383" i="6"/>
  <c r="H1324" i="6"/>
  <c r="H1300" i="6"/>
  <c r="H1293" i="6"/>
  <c r="H1273" i="6"/>
  <c r="H1270" i="6"/>
  <c r="H1260" i="6"/>
  <c r="H1176" i="6"/>
  <c r="H1127" i="6"/>
  <c r="H1078" i="6"/>
  <c r="H1029" i="6"/>
  <c r="H980" i="6"/>
  <c r="H931" i="6"/>
  <c r="H906" i="6"/>
  <c r="H890" i="6"/>
  <c r="H874" i="6"/>
  <c r="H857" i="6"/>
  <c r="H841" i="6"/>
  <c r="H833" i="6"/>
  <c r="H826" i="6"/>
  <c r="H819" i="6"/>
  <c r="H812" i="6"/>
  <c r="H805" i="6"/>
  <c r="H798" i="6"/>
  <c r="H791" i="6"/>
  <c r="H784" i="6"/>
  <c r="H777" i="6"/>
  <c r="H770" i="6"/>
  <c r="H763" i="6"/>
  <c r="H756" i="6"/>
  <c r="H749" i="6"/>
  <c r="H742" i="6"/>
  <c r="H735" i="6"/>
  <c r="H728" i="6"/>
  <c r="H721" i="6"/>
  <c r="H714" i="6"/>
  <c r="H707" i="6"/>
  <c r="H700" i="6"/>
  <c r="H693" i="6"/>
  <c r="H686" i="6"/>
  <c r="H1964" i="6"/>
  <c r="H1805" i="6"/>
  <c r="H1488" i="6"/>
  <c r="H1451" i="6"/>
  <c r="H1317" i="6"/>
  <c r="H1310" i="6"/>
  <c r="H1247" i="6"/>
  <c r="H1230" i="6"/>
  <c r="H1220" i="6"/>
  <c r="H1215" i="6"/>
  <c r="H1198" i="6"/>
  <c r="H1193" i="6"/>
  <c r="H1171" i="6"/>
  <c r="H1166" i="6"/>
  <c r="H1149" i="6"/>
  <c r="H1144" i="6"/>
  <c r="H1122" i="6"/>
  <c r="H1117" i="6"/>
  <c r="H1100" i="6"/>
  <c r="H1095" i="6"/>
  <c r="H1073" i="6"/>
  <c r="H1068" i="6"/>
  <c r="H1051" i="6"/>
  <c r="H1046" i="6"/>
  <c r="H1024" i="6"/>
  <c r="H1019" i="6"/>
  <c r="H1002" i="6"/>
  <c r="H997" i="6"/>
  <c r="H975" i="6"/>
  <c r="H970" i="6"/>
  <c r="H953" i="6"/>
  <c r="H948" i="6"/>
  <c r="H926" i="6"/>
  <c r="H921" i="6"/>
  <c r="H905" i="6"/>
  <c r="H889" i="6"/>
  <c r="H872" i="6"/>
  <c r="H856" i="6"/>
  <c r="H840" i="6"/>
  <c r="H1738" i="6"/>
  <c r="H1662" i="6"/>
  <c r="H1506" i="6"/>
  <c r="H1442" i="6"/>
  <c r="H1381" i="6"/>
  <c r="H1218" i="6"/>
  <c r="H1211" i="6"/>
  <c r="H1204" i="6"/>
  <c r="H1043" i="6"/>
  <c r="H1036" i="6"/>
  <c r="H839" i="6"/>
  <c r="H822" i="6"/>
  <c r="H817" i="6"/>
  <c r="H800" i="6"/>
  <c r="H795" i="6"/>
  <c r="H790" i="6"/>
  <c r="H773" i="6"/>
  <c r="H768" i="6"/>
  <c r="H751" i="6"/>
  <c r="H746" i="6"/>
  <c r="H741" i="6"/>
  <c r="H724" i="6"/>
  <c r="H719" i="6"/>
  <c r="H702" i="6"/>
  <c r="H697" i="6"/>
  <c r="H692" i="6"/>
  <c r="H677" i="6"/>
  <c r="H661" i="6"/>
  <c r="H644" i="6"/>
  <c r="H628" i="6"/>
  <c r="H612" i="6"/>
  <c r="H595" i="6"/>
  <c r="H579" i="6"/>
  <c r="H563" i="6"/>
  <c r="H546" i="6"/>
  <c r="H530" i="6"/>
  <c r="H514" i="6"/>
  <c r="H497" i="6"/>
  <c r="H481" i="6"/>
  <c r="H465" i="6"/>
  <c r="H2303" i="6"/>
  <c r="H1647" i="6"/>
  <c r="H1476" i="6"/>
  <c r="H1471" i="6"/>
  <c r="H1427" i="6"/>
  <c r="H1391" i="6"/>
  <c r="H1377" i="6"/>
  <c r="H1365" i="6"/>
  <c r="H1332" i="6"/>
  <c r="H1315" i="6"/>
  <c r="H1301" i="6"/>
  <c r="H1296" i="6"/>
  <c r="H1180" i="6"/>
  <c r="H1173" i="6"/>
  <c r="H1163" i="6"/>
  <c r="H1156" i="6"/>
  <c r="H1115" i="6"/>
  <c r="H1108" i="6"/>
  <c r="H1101" i="6"/>
  <c r="H1060" i="6"/>
  <c r="H1053" i="6"/>
  <c r="H1012" i="6"/>
  <c r="H1005" i="6"/>
  <c r="H998" i="6"/>
  <c r="H995" i="6"/>
  <c r="H988" i="6"/>
  <c r="H981" i="6"/>
  <c r="H940" i="6"/>
  <c r="H933" i="6"/>
  <c r="H868" i="6"/>
  <c r="H847" i="6"/>
  <c r="H676" i="6"/>
  <c r="H660" i="6"/>
  <c r="H643" i="6"/>
  <c r="H627" i="6"/>
  <c r="H611" i="6"/>
  <c r="H594" i="6"/>
  <c r="H578" i="6"/>
  <c r="H562" i="6"/>
  <c r="H545" i="6"/>
  <c r="H529" i="6"/>
  <c r="H513" i="6"/>
  <c r="H1846" i="6"/>
  <c r="H1464" i="6"/>
  <c r="H1370" i="6"/>
  <c r="H1364" i="6"/>
  <c r="H1277" i="6"/>
  <c r="H1267" i="6"/>
  <c r="H1261" i="6"/>
  <c r="H1255" i="6"/>
  <c r="H1237" i="6"/>
  <c r="H1227" i="6"/>
  <c r="H1221" i="6"/>
  <c r="H1120" i="6"/>
  <c r="H1113" i="6"/>
  <c r="H1106" i="6"/>
  <c r="H945" i="6"/>
  <c r="H938" i="6"/>
  <c r="H897" i="6"/>
  <c r="H885" i="6"/>
  <c r="H864" i="6"/>
  <c r="H828" i="6"/>
  <c r="H823" i="6"/>
  <c r="H818" i="6"/>
  <c r="H801" i="6"/>
  <c r="H796" i="6"/>
  <c r="H779" i="6"/>
  <c r="H774" i="6"/>
  <c r="H769" i="6"/>
  <c r="H752" i="6"/>
  <c r="H747" i="6"/>
  <c r="H730" i="6"/>
  <c r="H725" i="6"/>
  <c r="H720" i="6"/>
  <c r="H703" i="6"/>
  <c r="H698" i="6"/>
  <c r="H675" i="6"/>
  <c r="H658" i="6"/>
  <c r="H642" i="6"/>
  <c r="H626" i="6"/>
  <c r="H609" i="6"/>
  <c r="H593" i="6"/>
  <c r="H577" i="6"/>
  <c r="H560" i="6"/>
  <c r="H544" i="6"/>
  <c r="H528" i="6"/>
  <c r="H511" i="6"/>
  <c r="H1513" i="6"/>
  <c r="H1502" i="6"/>
  <c r="H1446" i="6"/>
  <c r="H1394" i="6"/>
  <c r="H1361" i="6"/>
  <c r="H1322" i="6"/>
  <c r="H1265" i="6"/>
  <c r="H1249" i="6"/>
  <c r="H1245" i="6"/>
  <c r="H1185" i="6"/>
  <c r="H1178" i="6"/>
  <c r="H1137" i="6"/>
  <c r="H1130" i="6"/>
  <c r="H1123" i="6"/>
  <c r="H1082" i="6"/>
  <c r="H1075" i="6"/>
  <c r="H1065" i="6"/>
  <c r="H1058" i="6"/>
  <c r="H1017" i="6"/>
  <c r="H1010" i="6"/>
  <c r="H1003" i="6"/>
  <c r="H962" i="6"/>
  <c r="H955" i="6"/>
  <c r="H914" i="6"/>
  <c r="H893" i="6"/>
  <c r="H674" i="6"/>
  <c r="H657" i="6"/>
  <c r="H641" i="6"/>
  <c r="H625" i="6"/>
  <c r="H608" i="6"/>
  <c r="H592" i="6"/>
  <c r="H576" i="6"/>
  <c r="H559" i="6"/>
  <c r="H543" i="6"/>
  <c r="H527" i="6"/>
  <c r="H510" i="6"/>
  <c r="H2259" i="6"/>
  <c r="H1440" i="6"/>
  <c r="H1426" i="6"/>
  <c r="H1279" i="6"/>
  <c r="H1207" i="6"/>
  <c r="H1200" i="6"/>
  <c r="H1159" i="6"/>
  <c r="H1152" i="6"/>
  <c r="H1145" i="6"/>
  <c r="H1142" i="6"/>
  <c r="H1135" i="6"/>
  <c r="H1128" i="6"/>
  <c r="H1087" i="6"/>
  <c r="H1080" i="6"/>
  <c r="H1039" i="6"/>
  <c r="H1032" i="6"/>
  <c r="H1025" i="6"/>
  <c r="H984" i="6"/>
  <c r="H977" i="6"/>
  <c r="H967" i="6"/>
  <c r="H960" i="6"/>
  <c r="H919" i="6"/>
  <c r="H912" i="6"/>
  <c r="H898" i="6"/>
  <c r="H886" i="6"/>
  <c r="H877" i="6"/>
  <c r="H865" i="6"/>
  <c r="H844" i="6"/>
  <c r="H671" i="6"/>
  <c r="H655" i="6"/>
  <c r="H639" i="6"/>
  <c r="H622" i="6"/>
  <c r="H606" i="6"/>
  <c r="H590" i="6"/>
  <c r="H573" i="6"/>
  <c r="H557" i="6"/>
  <c r="H541" i="6"/>
  <c r="H524" i="6"/>
  <c r="H508" i="6"/>
  <c r="H492" i="6"/>
  <c r="H475" i="6"/>
  <c r="H459" i="6"/>
  <c r="H451" i="6"/>
  <c r="H444" i="6"/>
  <c r="H437" i="6"/>
  <c r="H430" i="6"/>
  <c r="H423" i="6"/>
  <c r="H416" i="6"/>
  <c r="H409" i="6"/>
  <c r="H402" i="6"/>
  <c r="H395" i="6"/>
  <c r="H1885" i="6"/>
  <c r="H1815" i="6"/>
  <c r="H1665" i="6"/>
  <c r="H1472" i="6"/>
  <c r="H1350" i="6"/>
  <c r="H1275" i="6"/>
  <c r="H1155" i="6"/>
  <c r="H1134" i="6"/>
  <c r="H987" i="6"/>
  <c r="H966" i="6"/>
  <c r="H854" i="6"/>
  <c r="H850" i="6"/>
  <c r="H832" i="6"/>
  <c r="H830" i="6"/>
  <c r="H815" i="6"/>
  <c r="H748" i="6"/>
  <c r="H731" i="6"/>
  <c r="H727" i="6"/>
  <c r="H712" i="6"/>
  <c r="H710" i="6"/>
  <c r="H695" i="6"/>
  <c r="H647" i="6"/>
  <c r="H619" i="6"/>
  <c r="H600" i="6"/>
  <c r="H581" i="6"/>
  <c r="H572" i="6"/>
  <c r="H553" i="6"/>
  <c r="H509" i="6"/>
  <c r="H499" i="6"/>
  <c r="H489" i="6"/>
  <c r="H466" i="6"/>
  <c r="H450" i="6"/>
  <c r="H449" i="6"/>
  <c r="H448" i="6"/>
  <c r="H447" i="6"/>
  <c r="H401" i="6"/>
  <c r="H400" i="6"/>
  <c r="H399" i="6"/>
  <c r="H398" i="6"/>
  <c r="H1663" i="6"/>
  <c r="H1621" i="6"/>
  <c r="H1509" i="6"/>
  <c r="H1447" i="6"/>
  <c r="H1336" i="6"/>
  <c r="H1328" i="6"/>
  <c r="H1272" i="6"/>
  <c r="H1225" i="6"/>
  <c r="H1206" i="6"/>
  <c r="H1179" i="6"/>
  <c r="H1158" i="6"/>
  <c r="H1131" i="6"/>
  <c r="H1110" i="6"/>
  <c r="H1107" i="6"/>
  <c r="H1086" i="6"/>
  <c r="H1059" i="6"/>
  <c r="H1038" i="6"/>
  <c r="H1011" i="6"/>
  <c r="H1008" i="6"/>
  <c r="H990" i="6"/>
  <c r="H963" i="6"/>
  <c r="H939" i="6"/>
  <c r="H918" i="6"/>
  <c r="H903" i="6"/>
  <c r="H899" i="6"/>
  <c r="H846" i="6"/>
  <c r="H811" i="6"/>
  <c r="H809" i="6"/>
  <c r="H794" i="6"/>
  <c r="H706" i="6"/>
  <c r="H691" i="6"/>
  <c r="H689" i="6"/>
  <c r="H682" i="6"/>
  <c r="H663" i="6"/>
  <c r="H654" i="6"/>
  <c r="H635" i="6"/>
  <c r="H616" i="6"/>
  <c r="H591" i="6"/>
  <c r="H588" i="6"/>
  <c r="H534" i="6"/>
  <c r="H525" i="6"/>
  <c r="H515" i="6"/>
  <c r="H500" i="6"/>
  <c r="H490" i="6"/>
  <c r="H478" i="6"/>
  <c r="H467" i="6"/>
  <c r="H453" i="6"/>
  <c r="H452" i="6"/>
  <c r="H404" i="6"/>
  <c r="H403" i="6"/>
  <c r="H391" i="6"/>
  <c r="H384" i="6"/>
  <c r="H377" i="6"/>
  <c r="H370" i="6"/>
  <c r="H363" i="6"/>
  <c r="H356" i="6"/>
  <c r="H349" i="6"/>
  <c r="H342" i="6"/>
  <c r="H335" i="6"/>
  <c r="H328" i="6"/>
  <c r="H321" i="6"/>
  <c r="H314" i="6"/>
  <c r="H307" i="6"/>
  <c r="H300" i="6"/>
  <c r="H293" i="6"/>
  <c r="H286" i="6"/>
  <c r="H279" i="6"/>
  <c r="H272" i="6"/>
  <c r="H265" i="6"/>
  <c r="H258" i="6"/>
  <c r="H251" i="6"/>
  <c r="H244" i="6"/>
  <c r="H237" i="6"/>
  <c r="H230" i="6"/>
  <c r="H223" i="6"/>
  <c r="H216" i="6"/>
  <c r="H209" i="6"/>
  <c r="H202" i="6"/>
  <c r="H195" i="6"/>
  <c r="H188" i="6"/>
  <c r="H181" i="6"/>
  <c r="H174" i="6"/>
  <c r="H167" i="6"/>
  <c r="H160" i="6"/>
  <c r="H153" i="6"/>
  <c r="H146" i="6"/>
  <c r="H139" i="6"/>
  <c r="H132" i="6"/>
  <c r="H125" i="6"/>
  <c r="H118" i="6"/>
  <c r="H111" i="6"/>
  <c r="H104" i="6"/>
  <c r="H97" i="6"/>
  <c r="H90" i="6"/>
  <c r="H83" i="6"/>
  <c r="H76" i="6"/>
  <c r="H69" i="6"/>
  <c r="H62" i="6"/>
  <c r="H55" i="6"/>
  <c r="H48" i="6"/>
  <c r="H41" i="6"/>
  <c r="H34" i="6"/>
  <c r="H27" i="6"/>
  <c r="H20" i="6"/>
  <c r="H13" i="6"/>
  <c r="H6" i="6"/>
  <c r="H1597" i="6"/>
  <c r="H1425" i="6"/>
  <c r="H1382" i="6"/>
  <c r="H1294" i="6"/>
  <c r="H1259" i="6"/>
  <c r="H1256" i="6"/>
  <c r="H1228" i="6"/>
  <c r="H895" i="6"/>
  <c r="H870" i="6"/>
  <c r="H824" i="6"/>
  <c r="H807" i="6"/>
  <c r="H803" i="6"/>
  <c r="H788" i="6"/>
  <c r="H786" i="6"/>
  <c r="H704" i="6"/>
  <c r="H685" i="6"/>
  <c r="H679" i="6"/>
  <c r="H670" i="6"/>
  <c r="H651" i="6"/>
  <c r="H607" i="6"/>
  <c r="H597" i="6"/>
  <c r="H569" i="6"/>
  <c r="H550" i="6"/>
  <c r="H531" i="6"/>
  <c r="H522" i="6"/>
  <c r="H506" i="6"/>
  <c r="H479" i="6"/>
  <c r="H468" i="6"/>
  <c r="H457" i="6"/>
  <c r="H456" i="6"/>
  <c r="H455" i="6"/>
  <c r="H454" i="6"/>
  <c r="H408" i="6"/>
  <c r="H407" i="6"/>
  <c r="H406" i="6"/>
  <c r="H405" i="6"/>
  <c r="H1367" i="6"/>
  <c r="H1363" i="6"/>
  <c r="H1344" i="6"/>
  <c r="H1316" i="6"/>
  <c r="H1262" i="6"/>
  <c r="H1096" i="6"/>
  <c r="H1085" i="6"/>
  <c r="H1064" i="6"/>
  <c r="H976" i="6"/>
  <c r="H949" i="6"/>
  <c r="H928" i="6"/>
  <c r="H917" i="6"/>
  <c r="H862" i="6"/>
  <c r="H782" i="6"/>
  <c r="H767" i="6"/>
  <c r="H765" i="6"/>
  <c r="H632" i="6"/>
  <c r="H623" i="6"/>
  <c r="H613" i="6"/>
  <c r="H604" i="6"/>
  <c r="H585" i="6"/>
  <c r="H566" i="6"/>
  <c r="H538" i="6"/>
  <c r="H501" i="6"/>
  <c r="H480" i="6"/>
  <c r="H469" i="6"/>
  <c r="H458" i="6"/>
  <c r="H411" i="6"/>
  <c r="H410" i="6"/>
  <c r="H390" i="6"/>
  <c r="H383" i="6"/>
  <c r="H376" i="6"/>
  <c r="H369" i="6"/>
  <c r="H362" i="6"/>
  <c r="H355" i="6"/>
  <c r="H348" i="6"/>
  <c r="H341" i="6"/>
  <c r="H334" i="6"/>
  <c r="H327" i="6"/>
  <c r="H320" i="6"/>
  <c r="H313" i="6"/>
  <c r="H306" i="6"/>
  <c r="H299" i="6"/>
  <c r="H292" i="6"/>
  <c r="H285" i="6"/>
  <c r="H278" i="6"/>
  <c r="H271" i="6"/>
  <c r="H264" i="6"/>
  <c r="H257" i="6"/>
  <c r="H250" i="6"/>
  <c r="H243" i="6"/>
  <c r="H236" i="6"/>
  <c r="H229" i="6"/>
  <c r="H222" i="6"/>
  <c r="H215" i="6"/>
  <c r="H208" i="6"/>
  <c r="H201" i="6"/>
  <c r="H194" i="6"/>
  <c r="H187" i="6"/>
  <c r="H180" i="6"/>
  <c r="H173" i="6"/>
  <c r="H166" i="6"/>
  <c r="H159" i="6"/>
  <c r="H152" i="6"/>
  <c r="H145" i="6"/>
  <c r="H138" i="6"/>
  <c r="H131" i="6"/>
  <c r="H124" i="6"/>
  <c r="H117" i="6"/>
  <c r="H110" i="6"/>
  <c r="H103" i="6"/>
  <c r="H96" i="6"/>
  <c r="H89" i="6"/>
  <c r="H82" i="6"/>
  <c r="H75" i="6"/>
  <c r="H68" i="6"/>
  <c r="H61" i="6"/>
  <c r="H54" i="6"/>
  <c r="H47" i="6"/>
  <c r="H40" i="6"/>
  <c r="H33" i="6"/>
  <c r="H26" i="6"/>
  <c r="H19" i="6"/>
  <c r="H12" i="6"/>
  <c r="H5" i="6"/>
  <c r="H1835" i="6"/>
  <c r="H1776" i="6"/>
  <c r="H1553" i="6"/>
  <c r="H1468" i="6"/>
  <c r="H1399" i="6"/>
  <c r="H1362" i="6"/>
  <c r="H1348" i="6"/>
  <c r="H1274" i="6"/>
  <c r="H882" i="6"/>
  <c r="H878" i="6"/>
  <c r="H755" i="6"/>
  <c r="H740" i="6"/>
  <c r="H738" i="6"/>
  <c r="H723" i="6"/>
  <c r="H683" i="6"/>
  <c r="H664" i="6"/>
  <c r="H636" i="6"/>
  <c r="H535" i="6"/>
  <c r="H516" i="6"/>
  <c r="H507" i="6"/>
  <c r="H502" i="6"/>
  <c r="H418" i="6"/>
  <c r="H417" i="6"/>
  <c r="H389" i="6"/>
  <c r="H382" i="6"/>
  <c r="H375" i="6"/>
  <c r="H368" i="6"/>
  <c r="H361" i="6"/>
  <c r="H354" i="6"/>
  <c r="H347" i="6"/>
  <c r="H340" i="6"/>
  <c r="H333" i="6"/>
  <c r="H326" i="6"/>
  <c r="H319" i="6"/>
  <c r="H312" i="6"/>
  <c r="H305" i="6"/>
  <c r="H298" i="6"/>
  <c r="H291" i="6"/>
  <c r="H284" i="6"/>
  <c r="H277" i="6"/>
  <c r="H270" i="6"/>
  <c r="H263" i="6"/>
  <c r="H256" i="6"/>
  <c r="H249" i="6"/>
  <c r="H242" i="6"/>
  <c r="H235" i="6"/>
  <c r="H228" i="6"/>
  <c r="H221" i="6"/>
  <c r="H214" i="6"/>
  <c r="H207" i="6"/>
  <c r="H200" i="6"/>
  <c r="H193" i="6"/>
  <c r="H186" i="6"/>
  <c r="H179" i="6"/>
  <c r="H172" i="6"/>
  <c r="H165" i="6"/>
  <c r="H158" i="6"/>
  <c r="H151" i="6"/>
  <c r="H144" i="6"/>
  <c r="H137" i="6"/>
  <c r="H130" i="6"/>
  <c r="H123" i="6"/>
  <c r="H116" i="6"/>
  <c r="H109" i="6"/>
  <c r="H102" i="6"/>
  <c r="H95" i="6"/>
  <c r="H88" i="6"/>
  <c r="H81" i="6"/>
  <c r="H74" i="6"/>
  <c r="H67" i="6"/>
  <c r="H60" i="6"/>
  <c r="H53" i="6"/>
  <c r="H46" i="6"/>
  <c r="H39" i="6"/>
  <c r="H32" i="6"/>
  <c r="H25" i="6"/>
  <c r="H18" i="6"/>
  <c r="H11" i="6"/>
  <c r="H4" i="6"/>
  <c r="H1833" i="6"/>
  <c r="H1774" i="6"/>
  <c r="H1612" i="6"/>
  <c r="H1520" i="6"/>
  <c r="H1478" i="6"/>
  <c r="H1459" i="6"/>
  <c r="H1444" i="6"/>
  <c r="H1323" i="6"/>
  <c r="H1258" i="6"/>
  <c r="H1252" i="6"/>
  <c r="H1246" i="6"/>
  <c r="H1224" i="6"/>
  <c r="H1194" i="6"/>
  <c r="H1162" i="6"/>
  <c r="H1141" i="6"/>
  <c r="H1074" i="6"/>
  <c r="H1047" i="6"/>
  <c r="H1026" i="6"/>
  <c r="H994" i="6"/>
  <c r="H973" i="6"/>
  <c r="H954" i="6"/>
  <c r="H927" i="6"/>
  <c r="H853" i="6"/>
  <c r="H849" i="6"/>
  <c r="H837" i="6"/>
  <c r="H835" i="6"/>
  <c r="H753" i="6"/>
  <c r="H734" i="6"/>
  <c r="H732" i="6"/>
  <c r="H717" i="6"/>
  <c r="G5" i="6"/>
  <c r="H79" i="6"/>
  <c r="G87" i="6"/>
  <c r="G99" i="6"/>
  <c r="G127" i="6"/>
  <c r="G135" i="6"/>
  <c r="G143" i="6"/>
  <c r="G151" i="6"/>
  <c r="H198" i="6"/>
  <c r="H206" i="6"/>
  <c r="G233" i="6"/>
  <c r="G249" i="6"/>
  <c r="H288" i="6"/>
  <c r="G292" i="6"/>
  <c r="H296" i="6"/>
  <c r="H304" i="6"/>
  <c r="G323" i="6"/>
  <c r="H350" i="6"/>
  <c r="G365" i="6"/>
  <c r="H373" i="6"/>
  <c r="C2496" i="6"/>
  <c r="C2489" i="6"/>
  <c r="C2482" i="6"/>
  <c r="C2475" i="6"/>
  <c r="C2468" i="6"/>
  <c r="C2461" i="6"/>
  <c r="C2454" i="6"/>
  <c r="C2447" i="6"/>
  <c r="C2440" i="6"/>
  <c r="C2433" i="6"/>
  <c r="C2494" i="6"/>
  <c r="C2487" i="6"/>
  <c r="C2480" i="6"/>
  <c r="C2473" i="6"/>
  <c r="C2466" i="6"/>
  <c r="C2459" i="6"/>
  <c r="C2452" i="6"/>
  <c r="C2445" i="6"/>
  <c r="C2438" i="6"/>
  <c r="C2431" i="6"/>
  <c r="C2500" i="6"/>
  <c r="C2493" i="6"/>
  <c r="C2486" i="6"/>
  <c r="C2479" i="6"/>
  <c r="C2472" i="6"/>
  <c r="C2465" i="6"/>
  <c r="C2458" i="6"/>
  <c r="C2484" i="6"/>
  <c r="C2460" i="6"/>
  <c r="C2456" i="6"/>
  <c r="C2451" i="6"/>
  <c r="C2429" i="6"/>
  <c r="C2423" i="6"/>
  <c r="C2416" i="6"/>
  <c r="C2409" i="6"/>
  <c r="C2402" i="6"/>
  <c r="C2490" i="6"/>
  <c r="C2467" i="6"/>
  <c r="C2464" i="6"/>
  <c r="C2446" i="6"/>
  <c r="C2499" i="6"/>
  <c r="C2470" i="6"/>
  <c r="C2435" i="6"/>
  <c r="C2430" i="6"/>
  <c r="C2422" i="6"/>
  <c r="C2415" i="6"/>
  <c r="C2408" i="6"/>
  <c r="C2401" i="6"/>
  <c r="C2495" i="6"/>
  <c r="C2491" i="6"/>
  <c r="C2485" i="6"/>
  <c r="C2417" i="6"/>
  <c r="C2394" i="6"/>
  <c r="C2387" i="6"/>
  <c r="C2483" i="6"/>
  <c r="C2427" i="6"/>
  <c r="C2419" i="6"/>
  <c r="C2400" i="6"/>
  <c r="C2393" i="6"/>
  <c r="C2386" i="6"/>
  <c r="C2481" i="6"/>
  <c r="C2477" i="6"/>
  <c r="C2471" i="6"/>
  <c r="C2455" i="6"/>
  <c r="C2444" i="6"/>
  <c r="C2420" i="6"/>
  <c r="C2436" i="6"/>
  <c r="C2421" i="6"/>
  <c r="C2410" i="6"/>
  <c r="C2399" i="6"/>
  <c r="C2392" i="6"/>
  <c r="C2449" i="6"/>
  <c r="C2405" i="6"/>
  <c r="C2382" i="6"/>
  <c r="C2375" i="6"/>
  <c r="C2368" i="6"/>
  <c r="C2492" i="6"/>
  <c r="C2442" i="6"/>
  <c r="C2411" i="6"/>
  <c r="C2414" i="6"/>
  <c r="C2381" i="6"/>
  <c r="C2374" i="6"/>
  <c r="C2367" i="6"/>
  <c r="C2425" i="6"/>
  <c r="C2388" i="6"/>
  <c r="C2462" i="6"/>
  <c r="C2428" i="6"/>
  <c r="C2412" i="6"/>
  <c r="C2389" i="6"/>
  <c r="C2377" i="6"/>
  <c r="C2372" i="6"/>
  <c r="C2488" i="6"/>
  <c r="C2469" i="6"/>
  <c r="C2358" i="6"/>
  <c r="C2351" i="6"/>
  <c r="C2443" i="6"/>
  <c r="C2434" i="6"/>
  <c r="C2403" i="6"/>
  <c r="C2383" i="6"/>
  <c r="C2378" i="6"/>
  <c r="C2373" i="6"/>
  <c r="C2357" i="6"/>
  <c r="C2350" i="6"/>
  <c r="C2343" i="6"/>
  <c r="C2336" i="6"/>
  <c r="C2329" i="6"/>
  <c r="C2322" i="6"/>
  <c r="C2315" i="6"/>
  <c r="C2308" i="6"/>
  <c r="C2301" i="6"/>
  <c r="C2294" i="6"/>
  <c r="C2287" i="6"/>
  <c r="C2280" i="6"/>
  <c r="C2273" i="6"/>
  <c r="C2453" i="6"/>
  <c r="C2448" i="6"/>
  <c r="C2352" i="6"/>
  <c r="C2346" i="6"/>
  <c r="C2327" i="6"/>
  <c r="C2297" i="6"/>
  <c r="C2278" i="6"/>
  <c r="C2267" i="6"/>
  <c r="C2260" i="6"/>
  <c r="C2253" i="6"/>
  <c r="C2246" i="6"/>
  <c r="C2239" i="6"/>
  <c r="C2232" i="6"/>
  <c r="C2439" i="6"/>
  <c r="C2424" i="6"/>
  <c r="C2363" i="6"/>
  <c r="C2347" i="6"/>
  <c r="C2337" i="6"/>
  <c r="C2328" i="6"/>
  <c r="C2317" i="6"/>
  <c r="C2298" i="6"/>
  <c r="C2288" i="6"/>
  <c r="C2279" i="6"/>
  <c r="C2268" i="6"/>
  <c r="C2353" i="6"/>
  <c r="C2348" i="6"/>
  <c r="C2318" i="6"/>
  <c r="C2299" i="6"/>
  <c r="C2269" i="6"/>
  <c r="C2266" i="6"/>
  <c r="C2259" i="6"/>
  <c r="C2252" i="6"/>
  <c r="C2245" i="6"/>
  <c r="C2238" i="6"/>
  <c r="C2231" i="6"/>
  <c r="C2437" i="6"/>
  <c r="C2432" i="6"/>
  <c r="C2426" i="6"/>
  <c r="C2396" i="6"/>
  <c r="C2369" i="6"/>
  <c r="C2361" i="6"/>
  <c r="C2330" i="6"/>
  <c r="C2323" i="6"/>
  <c r="C2320" i="6"/>
  <c r="C2316" i="6"/>
  <c r="C2313" i="6"/>
  <c r="C2306" i="6"/>
  <c r="C2261" i="6"/>
  <c r="C2242" i="6"/>
  <c r="C2498" i="6"/>
  <c r="C2478" i="6"/>
  <c r="C2418" i="6"/>
  <c r="C2356" i="6"/>
  <c r="C2310" i="6"/>
  <c r="C2303" i="6"/>
  <c r="C2296" i="6"/>
  <c r="C2263" i="6"/>
  <c r="C2244" i="6"/>
  <c r="C2233" i="6"/>
  <c r="C2406" i="6"/>
  <c r="C2344" i="6"/>
  <c r="C2341" i="6"/>
  <c r="C2334" i="6"/>
  <c r="C2290" i="6"/>
  <c r="C2283" i="6"/>
  <c r="C2276" i="6"/>
  <c r="C2264" i="6"/>
  <c r="C2234" i="6"/>
  <c r="C2227" i="6"/>
  <c r="C2220" i="6"/>
  <c r="C2213" i="6"/>
  <c r="C2206" i="6"/>
  <c r="C2199" i="6"/>
  <c r="C2497" i="6"/>
  <c r="C2476" i="6"/>
  <c r="C2457" i="6"/>
  <c r="C2441" i="6"/>
  <c r="C2395" i="6"/>
  <c r="C2379" i="6"/>
  <c r="C2366" i="6"/>
  <c r="C2364" i="6"/>
  <c r="C2359" i="6"/>
  <c r="C2321" i="6"/>
  <c r="C2314" i="6"/>
  <c r="C2307" i="6"/>
  <c r="C2270" i="6"/>
  <c r="C2265" i="6"/>
  <c r="C2254" i="6"/>
  <c r="C2235" i="6"/>
  <c r="C2407" i="6"/>
  <c r="C2354" i="6"/>
  <c r="C2312" i="6"/>
  <c r="C2304" i="6"/>
  <c r="C2300" i="6"/>
  <c r="C2262" i="6"/>
  <c r="C2251" i="6"/>
  <c r="C2209" i="6"/>
  <c r="C2384" i="6"/>
  <c r="C2286" i="6"/>
  <c r="C2274" i="6"/>
  <c r="C2272" i="6"/>
  <c r="C2243" i="6"/>
  <c r="C2240" i="6"/>
  <c r="C2228" i="6"/>
  <c r="C2211" i="6"/>
  <c r="C2282" i="6"/>
  <c r="C2221" i="6"/>
  <c r="C2212" i="6"/>
  <c r="C2201" i="6"/>
  <c r="C2196" i="6"/>
  <c r="C2189" i="6"/>
  <c r="C2182" i="6"/>
  <c r="C2175" i="6"/>
  <c r="C2168" i="6"/>
  <c r="C2161" i="6"/>
  <c r="C2450" i="6"/>
  <c r="C2391" i="6"/>
  <c r="C2349" i="6"/>
  <c r="C2249" i="6"/>
  <c r="C2202" i="6"/>
  <c r="C2385" i="6"/>
  <c r="C2345" i="6"/>
  <c r="C2326" i="6"/>
  <c r="C2284" i="6"/>
  <c r="C2281" i="6"/>
  <c r="C2225" i="6"/>
  <c r="C2190" i="6"/>
  <c r="C2390" i="6"/>
  <c r="C2380" i="6"/>
  <c r="C2342" i="6"/>
  <c r="C2339" i="6"/>
  <c r="C2295" i="6"/>
  <c r="C2241" i="6"/>
  <c r="C2230" i="6"/>
  <c r="C2214" i="6"/>
  <c r="C2208" i="6"/>
  <c r="C2203" i="6"/>
  <c r="C2185" i="6"/>
  <c r="C2180" i="6"/>
  <c r="C2163" i="6"/>
  <c r="C2158" i="6"/>
  <c r="C2157" i="6"/>
  <c r="C2150" i="6"/>
  <c r="C2143" i="6"/>
  <c r="C2136" i="6"/>
  <c r="C2129" i="6"/>
  <c r="C2122" i="6"/>
  <c r="C2115" i="6"/>
  <c r="C2108" i="6"/>
  <c r="C2101" i="6"/>
  <c r="C2094" i="6"/>
  <c r="C2087" i="6"/>
  <c r="C2080" i="6"/>
  <c r="C2073" i="6"/>
  <c r="C2066" i="6"/>
  <c r="C2059" i="6"/>
  <c r="C2052" i="6"/>
  <c r="C2045" i="6"/>
  <c r="C2038" i="6"/>
  <c r="C2031" i="6"/>
  <c r="C2024" i="6"/>
  <c r="C2017" i="6"/>
  <c r="C2010" i="6"/>
  <c r="C2003" i="6"/>
  <c r="C1996" i="6"/>
  <c r="C1989" i="6"/>
  <c r="C1982" i="6"/>
  <c r="C1975" i="6"/>
  <c r="C1968" i="6"/>
  <c r="C2376" i="6"/>
  <c r="C2371" i="6"/>
  <c r="C2311" i="6"/>
  <c r="C2292" i="6"/>
  <c r="C2258" i="6"/>
  <c r="C2256" i="6"/>
  <c r="C2200" i="6"/>
  <c r="C2169" i="6"/>
  <c r="C2325" i="6"/>
  <c r="C2289" i="6"/>
  <c r="C2236" i="6"/>
  <c r="C2217" i="6"/>
  <c r="C2191" i="6"/>
  <c r="C2186" i="6"/>
  <c r="C2181" i="6"/>
  <c r="C2164" i="6"/>
  <c r="C2159" i="6"/>
  <c r="C2156" i="6"/>
  <c r="C2149" i="6"/>
  <c r="C2142" i="6"/>
  <c r="C2135" i="6"/>
  <c r="C2128" i="6"/>
  <c r="C2121" i="6"/>
  <c r="C2114" i="6"/>
  <c r="C2107" i="6"/>
  <c r="C2100" i="6"/>
  <c r="C2093" i="6"/>
  <c r="C2086" i="6"/>
  <c r="C2079" i="6"/>
  <c r="C2072" i="6"/>
  <c r="C2065" i="6"/>
  <c r="C2058" i="6"/>
  <c r="C2051" i="6"/>
  <c r="C2044" i="6"/>
  <c r="C2037" i="6"/>
  <c r="C2030" i="6"/>
  <c r="C2023" i="6"/>
  <c r="C2016" i="6"/>
  <c r="C2009" i="6"/>
  <c r="C2002" i="6"/>
  <c r="C1995" i="6"/>
  <c r="C1988" i="6"/>
  <c r="C1981" i="6"/>
  <c r="C1974" i="6"/>
  <c r="C1967" i="6"/>
  <c r="C2096" i="6"/>
  <c r="C2077" i="6"/>
  <c r="C2047" i="6"/>
  <c r="C2028" i="6"/>
  <c r="C1998" i="6"/>
  <c r="C1979" i="6"/>
  <c r="C2362" i="6"/>
  <c r="C2204" i="6"/>
  <c r="C2162" i="6"/>
  <c r="C2117" i="6"/>
  <c r="C2098" i="6"/>
  <c r="C2068" i="6"/>
  <c r="C2049" i="6"/>
  <c r="C2019" i="6"/>
  <c r="C2000" i="6"/>
  <c r="C1970" i="6"/>
  <c r="C2474" i="6"/>
  <c r="C2255" i="6"/>
  <c r="C2215" i="6"/>
  <c r="C2179" i="6"/>
  <c r="C2172" i="6"/>
  <c r="C2165" i="6"/>
  <c r="C2152" i="6"/>
  <c r="C2147" i="6"/>
  <c r="C2130" i="6"/>
  <c r="C2125" i="6"/>
  <c r="C2118" i="6"/>
  <c r="C2099" i="6"/>
  <c r="C2088" i="6"/>
  <c r="C2069" i="6"/>
  <c r="C2050" i="6"/>
  <c r="C2039" i="6"/>
  <c r="C2020" i="6"/>
  <c r="C2001" i="6"/>
  <c r="C1990" i="6"/>
  <c r="C1971" i="6"/>
  <c r="C1962" i="6"/>
  <c r="C1955" i="6"/>
  <c r="C1948" i="6"/>
  <c r="C1941" i="6"/>
  <c r="C1934" i="6"/>
  <c r="C1927" i="6"/>
  <c r="C1920" i="6"/>
  <c r="C1913" i="6"/>
  <c r="C1906" i="6"/>
  <c r="C1899" i="6"/>
  <c r="C1892" i="6"/>
  <c r="C2404" i="6"/>
  <c r="C2271" i="6"/>
  <c r="C2237" i="6"/>
  <c r="C2119" i="6"/>
  <c r="C2089" i="6"/>
  <c r="C2070" i="6"/>
  <c r="C2040" i="6"/>
  <c r="C2021" i="6"/>
  <c r="C1991" i="6"/>
  <c r="C1972" i="6"/>
  <c r="C2397" i="6"/>
  <c r="C2250" i="6"/>
  <c r="C2210" i="6"/>
  <c r="C2198" i="6"/>
  <c r="C2174" i="6"/>
  <c r="C2048" i="6"/>
  <c r="C2012" i="6"/>
  <c r="C2360" i="6"/>
  <c r="C2332" i="6"/>
  <c r="C2277" i="6"/>
  <c r="C2219" i="6"/>
  <c r="C2207" i="6"/>
  <c r="C2193" i="6"/>
  <c r="C2188" i="6"/>
  <c r="C2140" i="6"/>
  <c r="C2133" i="6"/>
  <c r="C2126" i="6"/>
  <c r="C2123" i="6"/>
  <c r="C2104" i="6"/>
  <c r="C2076" i="6"/>
  <c r="C2071" i="6"/>
  <c r="C2043" i="6"/>
  <c r="C2015" i="6"/>
  <c r="C1987" i="6"/>
  <c r="C1958" i="6"/>
  <c r="C1953" i="6"/>
  <c r="C1936" i="6"/>
  <c r="C1931" i="6"/>
  <c r="C1926" i="6"/>
  <c r="C1909" i="6"/>
  <c r="C1904" i="6"/>
  <c r="C2293" i="6"/>
  <c r="C2222" i="6"/>
  <c r="C2216" i="6"/>
  <c r="C2176" i="6"/>
  <c r="C2110" i="6"/>
  <c r="C2082" i="6"/>
  <c r="C2054" i="6"/>
  <c r="C2029" i="6"/>
  <c r="C2026" i="6"/>
  <c r="C1993" i="6"/>
  <c r="C1942" i="6"/>
  <c r="C1893" i="6"/>
  <c r="C1889" i="6"/>
  <c r="C1882" i="6"/>
  <c r="C1875" i="6"/>
  <c r="C1868" i="6"/>
  <c r="C1861" i="6"/>
  <c r="C1854" i="6"/>
  <c r="C1847" i="6"/>
  <c r="C1840" i="6"/>
  <c r="C1833" i="6"/>
  <c r="C1826" i="6"/>
  <c r="C1819" i="6"/>
  <c r="C1812" i="6"/>
  <c r="C2463" i="6"/>
  <c r="C2331" i="6"/>
  <c r="C2309" i="6"/>
  <c r="C2195" i="6"/>
  <c r="C2171" i="6"/>
  <c r="C2166" i="6"/>
  <c r="C2155" i="6"/>
  <c r="C2148" i="6"/>
  <c r="C2145" i="6"/>
  <c r="C2138" i="6"/>
  <c r="C2131" i="6"/>
  <c r="C2113" i="6"/>
  <c r="C2085" i="6"/>
  <c r="C2060" i="6"/>
  <c r="C2057" i="6"/>
  <c r="C2032" i="6"/>
  <c r="C2004" i="6"/>
  <c r="C1976" i="6"/>
  <c r="C1964" i="6"/>
  <c r="C1959" i="6"/>
  <c r="C1954" i="6"/>
  <c r="C1937" i="6"/>
  <c r="C1932" i="6"/>
  <c r="C1915" i="6"/>
  <c r="C1910" i="6"/>
  <c r="C1905" i="6"/>
  <c r="C2257" i="6"/>
  <c r="C2223" i="6"/>
  <c r="C2124" i="6"/>
  <c r="C2078" i="6"/>
  <c r="C1983" i="6"/>
  <c r="C1973" i="6"/>
  <c r="C1956" i="6"/>
  <c r="C1945" i="6"/>
  <c r="C1914" i="6"/>
  <c r="C1903" i="6"/>
  <c r="C1883" i="6"/>
  <c r="C1864" i="6"/>
  <c r="C1845" i="6"/>
  <c r="C1834" i="6"/>
  <c r="C1815" i="6"/>
  <c r="C2355" i="6"/>
  <c r="C2285" i="6"/>
  <c r="C2194" i="6"/>
  <c r="C2187" i="6"/>
  <c r="C2008" i="6"/>
  <c r="C2006" i="6"/>
  <c r="C1977" i="6"/>
  <c r="C1912" i="6"/>
  <c r="C1895" i="6"/>
  <c r="C1884" i="6"/>
  <c r="C1865" i="6"/>
  <c r="C1846" i="6"/>
  <c r="C1835" i="6"/>
  <c r="C1816" i="6"/>
  <c r="C2338" i="6"/>
  <c r="C2291" i="6"/>
  <c r="C2197" i="6"/>
  <c r="C2067" i="6"/>
  <c r="C2056" i="6"/>
  <c r="C1999" i="6"/>
  <c r="C1969" i="6"/>
  <c r="C1965" i="6"/>
  <c r="C1940" i="6"/>
  <c r="C1923" i="6"/>
  <c r="C1898" i="6"/>
  <c r="C1885" i="6"/>
  <c r="C1866" i="6"/>
  <c r="C1855" i="6"/>
  <c r="C1836" i="6"/>
  <c r="C1817" i="6"/>
  <c r="C2275" i="6"/>
  <c r="C2184" i="6"/>
  <c r="C2177" i="6"/>
  <c r="C2170" i="6"/>
  <c r="C2106" i="6"/>
  <c r="C2036" i="6"/>
  <c r="C2034" i="6"/>
  <c r="C1997" i="6"/>
  <c r="C1951" i="6"/>
  <c r="C1886" i="6"/>
  <c r="C1867" i="6"/>
  <c r="C1856" i="6"/>
  <c r="C1837" i="6"/>
  <c r="C1818" i="6"/>
  <c r="C1801" i="6"/>
  <c r="C1794" i="6"/>
  <c r="C1787" i="6"/>
  <c r="C1780" i="6"/>
  <c r="C1773" i="6"/>
  <c r="C1766" i="6"/>
  <c r="C1759" i="6"/>
  <c r="C1752" i="6"/>
  <c r="C1745" i="6"/>
  <c r="C1738" i="6"/>
  <c r="C1731" i="6"/>
  <c r="C1724" i="6"/>
  <c r="C1717" i="6"/>
  <c r="C1710" i="6"/>
  <c r="C1703" i="6"/>
  <c r="C1696" i="6"/>
  <c r="C1689" i="6"/>
  <c r="C1682" i="6"/>
  <c r="C1675" i="6"/>
  <c r="C1668" i="6"/>
  <c r="C1661" i="6"/>
  <c r="C1654" i="6"/>
  <c r="C1647" i="6"/>
  <c r="C1640" i="6"/>
  <c r="C1633" i="6"/>
  <c r="C1626" i="6"/>
  <c r="C1619" i="6"/>
  <c r="C1612" i="6"/>
  <c r="C1605" i="6"/>
  <c r="C1598" i="6"/>
  <c r="C1591" i="6"/>
  <c r="C2398" i="6"/>
  <c r="C2335" i="6"/>
  <c r="C2205" i="6"/>
  <c r="C2324" i="6"/>
  <c r="C2229" i="6"/>
  <c r="C2109" i="6"/>
  <c r="C2011" i="6"/>
  <c r="C1939" i="6"/>
  <c r="C1902" i="6"/>
  <c r="C1877" i="6"/>
  <c r="C1874" i="6"/>
  <c r="C1849" i="6"/>
  <c r="C1821" i="6"/>
  <c r="C1798" i="6"/>
  <c r="C1788" i="6"/>
  <c r="C1779" i="6"/>
  <c r="C1768" i="6"/>
  <c r="C1749" i="6"/>
  <c r="C1739" i="6"/>
  <c r="C1581" i="6"/>
  <c r="C1574" i="6"/>
  <c r="C1567" i="6"/>
  <c r="C1560" i="6"/>
  <c r="C1553" i="6"/>
  <c r="C1546" i="6"/>
  <c r="C1539" i="6"/>
  <c r="C1532" i="6"/>
  <c r="C1525" i="6"/>
  <c r="C1518" i="6"/>
  <c r="C1511" i="6"/>
  <c r="C1504" i="6"/>
  <c r="C1497" i="6"/>
  <c r="C1490" i="6"/>
  <c r="C1483" i="6"/>
  <c r="C1476" i="6"/>
  <c r="C1469" i="6"/>
  <c r="C1462" i="6"/>
  <c r="C1455" i="6"/>
  <c r="C1448" i="6"/>
  <c r="C1441" i="6"/>
  <c r="C1434" i="6"/>
  <c r="C1427" i="6"/>
  <c r="C1420" i="6"/>
  <c r="C1413" i="6"/>
  <c r="C1406" i="6"/>
  <c r="C1399" i="6"/>
  <c r="C1392" i="6"/>
  <c r="C1385" i="6"/>
  <c r="C1378" i="6"/>
  <c r="C1371" i="6"/>
  <c r="C1364" i="6"/>
  <c r="C1357" i="6"/>
  <c r="C1350" i="6"/>
  <c r="C1343" i="6"/>
  <c r="C1336" i="6"/>
  <c r="C2319" i="6"/>
  <c r="C2226" i="6"/>
  <c r="C2154" i="6"/>
  <c r="C2134" i="6"/>
  <c r="C2127" i="6"/>
  <c r="C2090" i="6"/>
  <c r="C2081" i="6"/>
  <c r="C2041" i="6"/>
  <c r="C1928" i="6"/>
  <c r="C1921" i="6"/>
  <c r="C1919" i="6"/>
  <c r="C1917" i="6"/>
  <c r="C1891" i="6"/>
  <c r="C1863" i="6"/>
  <c r="C1858" i="6"/>
  <c r="C1830" i="6"/>
  <c r="C1800" i="6"/>
  <c r="C1789" i="6"/>
  <c r="C1770" i="6"/>
  <c r="C1760" i="6"/>
  <c r="C1751" i="6"/>
  <c r="C1740" i="6"/>
  <c r="C1580" i="6"/>
  <c r="C1573" i="6"/>
  <c r="C1566" i="6"/>
  <c r="C1559" i="6"/>
  <c r="C1552" i="6"/>
  <c r="C1545" i="6"/>
  <c r="C1538" i="6"/>
  <c r="C1531" i="6"/>
  <c r="C1524" i="6"/>
  <c r="C1517" i="6"/>
  <c r="C1510" i="6"/>
  <c r="C1503" i="6"/>
  <c r="C1496" i="6"/>
  <c r="C1489" i="6"/>
  <c r="C1482" i="6"/>
  <c r="C1475" i="6"/>
  <c r="C1468" i="6"/>
  <c r="C1461" i="6"/>
  <c r="C1454" i="6"/>
  <c r="C1447" i="6"/>
  <c r="C1440" i="6"/>
  <c r="C1433" i="6"/>
  <c r="C1426" i="6"/>
  <c r="C1419" i="6"/>
  <c r="C1412" i="6"/>
  <c r="C1405" i="6"/>
  <c r="C1398" i="6"/>
  <c r="C1391" i="6"/>
  <c r="C1384" i="6"/>
  <c r="C1377" i="6"/>
  <c r="C1370" i="6"/>
  <c r="C1363" i="6"/>
  <c r="C1356" i="6"/>
  <c r="C1349" i="6"/>
  <c r="C1342" i="6"/>
  <c r="C1335" i="6"/>
  <c r="C2151" i="6"/>
  <c r="C2105" i="6"/>
  <c r="C2007" i="6"/>
  <c r="C1992" i="6"/>
  <c r="C1984" i="6"/>
  <c r="C1960" i="6"/>
  <c r="C1930" i="6"/>
  <c r="C1869" i="6"/>
  <c r="C1841" i="6"/>
  <c r="C1813" i="6"/>
  <c r="C1807" i="6"/>
  <c r="C1790" i="6"/>
  <c r="C1771" i="6"/>
  <c r="C1741" i="6"/>
  <c r="C1730" i="6"/>
  <c r="C1729" i="6"/>
  <c r="C1728" i="6"/>
  <c r="C1727" i="6"/>
  <c r="C1726" i="6"/>
  <c r="C1725" i="6"/>
  <c r="C1681" i="6"/>
  <c r="C1680" i="6"/>
  <c r="C1679" i="6"/>
  <c r="C1678" i="6"/>
  <c r="C1677" i="6"/>
  <c r="C1676" i="6"/>
  <c r="C1632" i="6"/>
  <c r="C1631" i="6"/>
  <c r="C1630" i="6"/>
  <c r="C1629" i="6"/>
  <c r="C1628" i="6"/>
  <c r="C1627" i="6"/>
  <c r="C2413" i="6"/>
  <c r="C2192" i="6"/>
  <c r="C2144" i="6"/>
  <c r="C2033" i="6"/>
  <c r="C2025" i="6"/>
  <c r="C2013" i="6"/>
  <c r="C1952" i="6"/>
  <c r="C1879" i="6"/>
  <c r="C1859" i="6"/>
  <c r="C1839" i="6"/>
  <c r="C1762" i="6"/>
  <c r="C1755" i="6"/>
  <c r="C1748" i="6"/>
  <c r="C1692" i="6"/>
  <c r="C1688" i="6"/>
  <c r="C1670" i="6"/>
  <c r="C1657" i="6"/>
  <c r="C1653" i="6"/>
  <c r="C1618" i="6"/>
  <c r="C1592" i="6"/>
  <c r="C1588" i="6"/>
  <c r="C1571" i="6"/>
  <c r="C1541" i="6"/>
  <c r="C1522" i="6"/>
  <c r="C1492" i="6"/>
  <c r="C1474" i="6"/>
  <c r="C1473" i="6"/>
  <c r="C1472" i="6"/>
  <c r="C1471" i="6"/>
  <c r="C1470" i="6"/>
  <c r="C2173" i="6"/>
  <c r="C1943" i="6"/>
  <c r="C1935" i="6"/>
  <c r="C1907" i="6"/>
  <c r="C1871" i="6"/>
  <c r="C1851" i="6"/>
  <c r="C1831" i="6"/>
  <c r="C1806" i="6"/>
  <c r="C1803" i="6"/>
  <c r="C1796" i="6"/>
  <c r="C1769" i="6"/>
  <c r="C1723" i="6"/>
  <c r="C1714" i="6"/>
  <c r="C1684" i="6"/>
  <c r="C1649" i="6"/>
  <c r="C1645" i="6"/>
  <c r="C1623" i="6"/>
  <c r="C1614" i="6"/>
  <c r="C1610" i="6"/>
  <c r="C1562" i="6"/>
  <c r="C1543" i="6"/>
  <c r="C1513" i="6"/>
  <c r="C1494" i="6"/>
  <c r="C2167" i="6"/>
  <c r="C2139" i="6"/>
  <c r="C2102" i="6"/>
  <c r="C2075" i="6"/>
  <c r="C2005" i="6"/>
  <c r="C1986" i="6"/>
  <c r="C1957" i="6"/>
  <c r="C1929" i="6"/>
  <c r="C1901" i="6"/>
  <c r="C1829" i="6"/>
  <c r="C1827" i="6"/>
  <c r="C1825" i="6"/>
  <c r="C1811" i="6"/>
  <c r="C1783" i="6"/>
  <c r="C1776" i="6"/>
  <c r="C1732" i="6"/>
  <c r="C1697" i="6"/>
  <c r="C1693" i="6"/>
  <c r="C1671" i="6"/>
  <c r="C1662" i="6"/>
  <c r="C1658" i="6"/>
  <c r="C1593" i="6"/>
  <c r="C1589" i="6"/>
  <c r="C1582" i="6"/>
  <c r="C1563" i="6"/>
  <c r="C1544" i="6"/>
  <c r="C1533" i="6"/>
  <c r="C1514" i="6"/>
  <c r="C1495" i="6"/>
  <c r="C2183" i="6"/>
  <c r="C2046" i="6"/>
  <c r="C1890" i="6"/>
  <c r="C1872" i="6"/>
  <c r="C1857" i="6"/>
  <c r="C1852" i="6"/>
  <c r="C1842" i="6"/>
  <c r="C1785" i="6"/>
  <c r="C1767" i="6"/>
  <c r="C1758" i="6"/>
  <c r="C1756" i="6"/>
  <c r="C1713" i="6"/>
  <c r="C1665" i="6"/>
  <c r="C1655" i="6"/>
  <c r="C1622" i="6"/>
  <c r="C1617" i="6"/>
  <c r="C1607" i="6"/>
  <c r="C1597" i="6"/>
  <c r="C1584" i="6"/>
  <c r="C1577" i="6"/>
  <c r="C1570" i="6"/>
  <c r="C1526" i="6"/>
  <c r="C1519" i="6"/>
  <c r="C1485" i="6"/>
  <c r="C2146" i="6"/>
  <c r="C2111" i="6"/>
  <c r="C2095" i="6"/>
  <c r="C2084" i="6"/>
  <c r="C1963" i="6"/>
  <c r="C1947" i="6"/>
  <c r="C1900" i="6"/>
  <c r="C1896" i="6"/>
  <c r="C1887" i="6"/>
  <c r="C1809" i="6"/>
  <c r="C1792" i="6"/>
  <c r="C1774" i="6"/>
  <c r="C1765" i="6"/>
  <c r="C1763" i="6"/>
  <c r="C1736" i="6"/>
  <c r="C1721" i="6"/>
  <c r="C1716" i="6"/>
  <c r="C1706" i="6"/>
  <c r="C1683" i="6"/>
  <c r="C1673" i="6"/>
  <c r="C1635" i="6"/>
  <c r="C1625" i="6"/>
  <c r="C1587" i="6"/>
  <c r="C1564" i="6"/>
  <c r="C1557" i="6"/>
  <c r="C1550" i="6"/>
  <c r="C1523" i="6"/>
  <c r="C1506" i="6"/>
  <c r="C1499" i="6"/>
  <c r="C1479" i="6"/>
  <c r="C2224" i="6"/>
  <c r="C2116" i="6"/>
  <c r="C2018" i="6"/>
  <c r="C1862" i="6"/>
  <c r="C1844" i="6"/>
  <c r="C1824" i="6"/>
  <c r="C1814" i="6"/>
  <c r="C1781" i="6"/>
  <c r="C1772" i="6"/>
  <c r="C1747" i="6"/>
  <c r="C1743" i="6"/>
  <c r="C1711" i="6"/>
  <c r="C1701" i="6"/>
  <c r="C1686" i="6"/>
  <c r="C1663" i="6"/>
  <c r="C1638" i="6"/>
  <c r="C1620" i="6"/>
  <c r="C1615" i="6"/>
  <c r="C1590" i="6"/>
  <c r="C1537" i="6"/>
  <c r="C1530" i="6"/>
  <c r="C2333" i="6"/>
  <c r="C2083" i="6"/>
  <c r="C1966" i="6"/>
  <c r="C1924" i="6"/>
  <c r="C1754" i="6"/>
  <c r="C1719" i="6"/>
  <c r="C1691" i="6"/>
  <c r="C1643" i="6"/>
  <c r="C1595" i="6"/>
  <c r="C1554" i="6"/>
  <c r="C1547" i="6"/>
  <c r="C1540" i="6"/>
  <c r="C1486" i="6"/>
  <c r="C1480" i="6"/>
  <c r="C2120" i="6"/>
  <c r="C2061" i="6"/>
  <c r="C2055" i="6"/>
  <c r="C2022" i="6"/>
  <c r="C1799" i="6"/>
  <c r="C1761" i="6"/>
  <c r="C1734" i="6"/>
  <c r="C1694" i="6"/>
  <c r="C2302" i="6"/>
  <c r="C2132" i="6"/>
  <c r="C2097" i="6"/>
  <c r="C2064" i="6"/>
  <c r="C2014" i="6"/>
  <c r="C1980" i="6"/>
  <c r="C2365" i="6"/>
  <c r="C2063" i="6"/>
  <c r="C2141" i="6"/>
  <c r="C2062" i="6"/>
  <c r="C2027" i="6"/>
  <c r="C1793" i="6"/>
  <c r="C1737" i="6"/>
  <c r="C1656" i="6"/>
  <c r="C1529" i="6"/>
  <c r="C1521" i="6"/>
  <c r="C1493" i="6"/>
  <c r="C1487" i="6"/>
  <c r="C1985" i="6"/>
  <c r="C1978" i="6"/>
  <c r="C1938" i="6"/>
  <c r="C1911" i="6"/>
  <c r="C1870" i="6"/>
  <c r="C1850" i="6"/>
  <c r="C1838" i="6"/>
  <c r="C1698" i="6"/>
  <c r="C1646" i="6"/>
  <c r="C1637" i="6"/>
  <c r="C1621" i="6"/>
  <c r="C1600" i="6"/>
  <c r="C1578" i="6"/>
  <c r="C1464" i="6"/>
  <c r="C2137" i="6"/>
  <c r="C2112" i="6"/>
  <c r="C2103" i="6"/>
  <c r="C2035" i="6"/>
  <c r="C1922" i="6"/>
  <c r="C1894" i="6"/>
  <c r="C1881" i="6"/>
  <c r="C1784" i="6"/>
  <c r="C1695" i="6"/>
  <c r="C1674" i="6"/>
  <c r="C1667" i="6"/>
  <c r="C1644" i="6"/>
  <c r="C1586" i="6"/>
  <c r="C1572" i="6"/>
  <c r="C1558" i="6"/>
  <c r="C2248" i="6"/>
  <c r="C2042" i="6"/>
  <c r="C1961" i="6"/>
  <c r="C1878" i="6"/>
  <c r="C1873" i="6"/>
  <c r="C1848" i="6"/>
  <c r="C1823" i="6"/>
  <c r="C1804" i="6"/>
  <c r="C1786" i="6"/>
  <c r="C1750" i="6"/>
  <c r="C1700" i="6"/>
  <c r="C1664" i="6"/>
  <c r="C1608" i="6"/>
  <c r="C1602" i="6"/>
  <c r="C1536" i="6"/>
  <c r="C1460" i="6"/>
  <c r="C1451" i="6"/>
  <c r="C1428" i="6"/>
  <c r="C1418" i="6"/>
  <c r="C1396" i="6"/>
  <c r="C1373" i="6"/>
  <c r="C1351" i="6"/>
  <c r="C1334" i="6"/>
  <c r="C1333" i="6"/>
  <c r="C1332" i="6"/>
  <c r="C1331" i="6"/>
  <c r="C1324" i="6"/>
  <c r="C1317" i="6"/>
  <c r="C1310" i="6"/>
  <c r="C1303" i="6"/>
  <c r="C1296" i="6"/>
  <c r="C1289" i="6"/>
  <c r="C1282" i="6"/>
  <c r="C1275" i="6"/>
  <c r="C1268" i="6"/>
  <c r="C1261" i="6"/>
  <c r="C1254" i="6"/>
  <c r="C1247" i="6"/>
  <c r="C1240" i="6"/>
  <c r="C1233" i="6"/>
  <c r="C1226" i="6"/>
  <c r="C2247" i="6"/>
  <c r="C1908" i="6"/>
  <c r="C1843" i="6"/>
  <c r="C2092" i="6"/>
  <c r="C1944" i="6"/>
  <c r="C1808" i="6"/>
  <c r="C1764" i="6"/>
  <c r="C1690" i="6"/>
  <c r="C1687" i="6"/>
  <c r="C1652" i="6"/>
  <c r="C1634" i="6"/>
  <c r="C1599" i="6"/>
  <c r="C1596" i="6"/>
  <c r="C1501" i="6"/>
  <c r="C1453" i="6"/>
  <c r="C1430" i="6"/>
  <c r="C1408" i="6"/>
  <c r="C1375" i="6"/>
  <c r="C1353" i="6"/>
  <c r="C1341" i="6"/>
  <c r="C1340" i="6"/>
  <c r="C1339" i="6"/>
  <c r="C1338" i="6"/>
  <c r="C1337" i="6"/>
  <c r="C1330" i="6"/>
  <c r="C1323" i="6"/>
  <c r="C1316" i="6"/>
  <c r="C1309" i="6"/>
  <c r="C1302" i="6"/>
  <c r="C1295" i="6"/>
  <c r="C2340" i="6"/>
  <c r="C2053" i="6"/>
  <c r="C1822" i="6"/>
  <c r="C1775" i="6"/>
  <c r="C1757" i="6"/>
  <c r="C1753" i="6"/>
  <c r="C1709" i="6"/>
  <c r="C1702" i="6"/>
  <c r="C1699" i="6"/>
  <c r="C1616" i="6"/>
  <c r="C1579" i="6"/>
  <c r="C1442" i="6"/>
  <c r="C1431" i="6"/>
  <c r="C1409" i="6"/>
  <c r="C1386" i="6"/>
  <c r="C1376" i="6"/>
  <c r="C1354" i="6"/>
  <c r="C1950" i="6"/>
  <c r="C1876" i="6"/>
  <c r="C1782" i="6"/>
  <c r="C1746" i="6"/>
  <c r="C1722" i="6"/>
  <c r="C1672" i="6"/>
  <c r="C1669" i="6"/>
  <c r="C1666" i="6"/>
  <c r="C1569" i="6"/>
  <c r="C1443" i="6"/>
  <c r="C1432" i="6"/>
  <c r="C1410" i="6"/>
  <c r="C1387" i="6"/>
  <c r="C1365" i="6"/>
  <c r="C1355" i="6"/>
  <c r="C1329" i="6"/>
  <c r="C1322" i="6"/>
  <c r="C1315" i="6"/>
  <c r="C1308" i="6"/>
  <c r="C1301" i="6"/>
  <c r="C1294" i="6"/>
  <c r="C2074" i="6"/>
  <c r="C1925" i="6"/>
  <c r="C1853" i="6"/>
  <c r="C1606" i="6"/>
  <c r="C1549" i="6"/>
  <c r="C1528" i="6"/>
  <c r="C1509" i="6"/>
  <c r="C1467" i="6"/>
  <c r="C1457" i="6"/>
  <c r="C1414" i="6"/>
  <c r="C2091" i="6"/>
  <c r="C1933" i="6"/>
  <c r="C1718" i="6"/>
  <c r="C1660" i="6"/>
  <c r="C1642" i="6"/>
  <c r="C1583" i="6"/>
  <c r="C1534" i="6"/>
  <c r="C1515" i="6"/>
  <c r="C1505" i="6"/>
  <c r="C1478" i="6"/>
  <c r="C2370" i="6"/>
  <c r="C1946" i="6"/>
  <c r="C1828" i="6"/>
  <c r="C1777" i="6"/>
  <c r="C1744" i="6"/>
  <c r="C1712" i="6"/>
  <c r="C1575" i="6"/>
  <c r="C1502" i="6"/>
  <c r="C1465" i="6"/>
  <c r="C2218" i="6"/>
  <c r="C1636" i="6"/>
  <c r="C1604" i="6"/>
  <c r="C1555" i="6"/>
  <c r="C1551" i="6"/>
  <c r="C1498" i="6"/>
  <c r="C1444" i="6"/>
  <c r="C1435" i="6"/>
  <c r="C1421" i="6"/>
  <c r="C1415" i="6"/>
  <c r="C1401" i="6"/>
  <c r="C1395" i="6"/>
  <c r="C1372" i="6"/>
  <c r="C2178" i="6"/>
  <c r="C2153" i="6"/>
  <c r="C1805" i="6"/>
  <c r="C1742" i="6"/>
  <c r="C1659" i="6"/>
  <c r="C1613" i="6"/>
  <c r="C1609" i="6"/>
  <c r="C1527" i="6"/>
  <c r="C1488" i="6"/>
  <c r="C1477" i="6"/>
  <c r="C1463" i="6"/>
  <c r="C1458" i="6"/>
  <c r="C1438" i="6"/>
  <c r="C1424" i="6"/>
  <c r="C1404" i="6"/>
  <c r="C1381" i="6"/>
  <c r="C1888" i="6"/>
  <c r="C1720" i="6"/>
  <c r="C1520" i="6"/>
  <c r="C1481" i="6"/>
  <c r="C1446" i="6"/>
  <c r="C1439" i="6"/>
  <c r="C1422" i="6"/>
  <c r="C1390" i="6"/>
  <c r="C1328" i="6"/>
  <c r="C1311" i="6"/>
  <c r="C1306" i="6"/>
  <c r="C1267" i="6"/>
  <c r="C1214" i="6"/>
  <c r="C1207" i="6"/>
  <c r="C1200" i="6"/>
  <c r="C1193" i="6"/>
  <c r="C1186" i="6"/>
  <c r="C1179" i="6"/>
  <c r="C1172" i="6"/>
  <c r="C1165" i="6"/>
  <c r="C1158" i="6"/>
  <c r="C1151" i="6"/>
  <c r="C1144" i="6"/>
  <c r="C1137" i="6"/>
  <c r="C1130" i="6"/>
  <c r="C1123" i="6"/>
  <c r="C1116" i="6"/>
  <c r="C1109" i="6"/>
  <c r="C1102" i="6"/>
  <c r="C1095" i="6"/>
  <c r="C1088" i="6"/>
  <c r="C1081" i="6"/>
  <c r="C1074" i="6"/>
  <c r="C1067" i="6"/>
  <c r="C1060" i="6"/>
  <c r="C1053" i="6"/>
  <c r="C1046" i="6"/>
  <c r="C1039" i="6"/>
  <c r="C1032" i="6"/>
  <c r="C1025" i="6"/>
  <c r="C1018" i="6"/>
  <c r="C1011" i="6"/>
  <c r="C1004" i="6"/>
  <c r="C997" i="6"/>
  <c r="C990" i="6"/>
  <c r="C983" i="6"/>
  <c r="C976" i="6"/>
  <c r="C969" i="6"/>
  <c r="C962" i="6"/>
  <c r="C955" i="6"/>
  <c r="C948" i="6"/>
  <c r="C941" i="6"/>
  <c r="C934" i="6"/>
  <c r="C927" i="6"/>
  <c r="C920" i="6"/>
  <c r="C913" i="6"/>
  <c r="C1918" i="6"/>
  <c r="C1795" i="6"/>
  <c r="C1778" i="6"/>
  <c r="C1429" i="6"/>
  <c r="C1388" i="6"/>
  <c r="C1312" i="6"/>
  <c r="C1307" i="6"/>
  <c r="C1274" i="6"/>
  <c r="C1225" i="6"/>
  <c r="C1220" i="6"/>
  <c r="C1213" i="6"/>
  <c r="C1206" i="6"/>
  <c r="C1199" i="6"/>
  <c r="C1192" i="6"/>
  <c r="C1185" i="6"/>
  <c r="C1178" i="6"/>
  <c r="C1171" i="6"/>
  <c r="C1164" i="6"/>
  <c r="C1157" i="6"/>
  <c r="C1150" i="6"/>
  <c r="C1143" i="6"/>
  <c r="C1136" i="6"/>
  <c r="C1129" i="6"/>
  <c r="C1122" i="6"/>
  <c r="C1115" i="6"/>
  <c r="C1108" i="6"/>
  <c r="C1101" i="6"/>
  <c r="C1094" i="6"/>
  <c r="C1087" i="6"/>
  <c r="C1080" i="6"/>
  <c r="C1073" i="6"/>
  <c r="C1066" i="6"/>
  <c r="C1059" i="6"/>
  <c r="C1052" i="6"/>
  <c r="C1045" i="6"/>
  <c r="C1038" i="6"/>
  <c r="C1031" i="6"/>
  <c r="C1024" i="6"/>
  <c r="C1017" i="6"/>
  <c r="C1010" i="6"/>
  <c r="C1003" i="6"/>
  <c r="C996" i="6"/>
  <c r="C989" i="6"/>
  <c r="C982" i="6"/>
  <c r="C975" i="6"/>
  <c r="C968" i="6"/>
  <c r="C961" i="6"/>
  <c r="C954" i="6"/>
  <c r="C947" i="6"/>
  <c r="C940" i="6"/>
  <c r="C933" i="6"/>
  <c r="C926" i="6"/>
  <c r="C919" i="6"/>
  <c r="C912" i="6"/>
  <c r="C1651" i="6"/>
  <c r="C1436" i="6"/>
  <c r="C1417" i="6"/>
  <c r="C1397" i="6"/>
  <c r="C1379" i="6"/>
  <c r="C1366" i="6"/>
  <c r="C1360" i="6"/>
  <c r="C1346" i="6"/>
  <c r="C1280" i="6"/>
  <c r="C1279" i="6"/>
  <c r="C1278" i="6"/>
  <c r="C1277" i="6"/>
  <c r="C1276" i="6"/>
  <c r="C1231" i="6"/>
  <c r="C1230" i="6"/>
  <c r="C1229" i="6"/>
  <c r="C1228" i="6"/>
  <c r="C1227" i="6"/>
  <c r="C1916" i="6"/>
  <c r="C1897" i="6"/>
  <c r="C1802" i="6"/>
  <c r="C1733" i="6"/>
  <c r="C1650" i="6"/>
  <c r="C1561" i="6"/>
  <c r="C1484" i="6"/>
  <c r="C1450" i="6"/>
  <c r="C1445" i="6"/>
  <c r="C1402" i="6"/>
  <c r="C1287" i="6"/>
  <c r="C1286" i="6"/>
  <c r="C1285" i="6"/>
  <c r="C1284" i="6"/>
  <c r="C1283" i="6"/>
  <c r="C1238" i="6"/>
  <c r="C1237" i="6"/>
  <c r="C1236" i="6"/>
  <c r="C1235" i="6"/>
  <c r="C1234" i="6"/>
  <c r="C1735" i="6"/>
  <c r="C1548" i="6"/>
  <c r="C1512" i="6"/>
  <c r="C1459" i="6"/>
  <c r="C1367" i="6"/>
  <c r="C1352" i="6"/>
  <c r="C1321" i="6"/>
  <c r="C1314" i="6"/>
  <c r="C1304" i="6"/>
  <c r="C1297" i="6"/>
  <c r="C1272" i="6"/>
  <c r="C1239" i="6"/>
  <c r="C1222" i="6"/>
  <c r="C1218" i="6"/>
  <c r="C1201" i="6"/>
  <c r="C1196" i="6"/>
  <c r="C1174" i="6"/>
  <c r="C1169" i="6"/>
  <c r="C1152" i="6"/>
  <c r="C1147" i="6"/>
  <c r="C1125" i="6"/>
  <c r="C1120" i="6"/>
  <c r="C1103" i="6"/>
  <c r="C1098" i="6"/>
  <c r="C1076" i="6"/>
  <c r="C1071" i="6"/>
  <c r="C1054" i="6"/>
  <c r="C1049" i="6"/>
  <c r="C1027" i="6"/>
  <c r="C1022" i="6"/>
  <c r="C1005" i="6"/>
  <c r="C1000" i="6"/>
  <c r="C978" i="6"/>
  <c r="C973" i="6"/>
  <c r="C956" i="6"/>
  <c r="C951" i="6"/>
  <c r="C929" i="6"/>
  <c r="C924" i="6"/>
  <c r="C898" i="6"/>
  <c r="C881" i="6"/>
  <c r="C865" i="6"/>
  <c r="C849" i="6"/>
  <c r="C1639" i="6"/>
  <c r="C1611" i="6"/>
  <c r="C1466" i="6"/>
  <c r="C1425" i="6"/>
  <c r="C1369" i="6"/>
  <c r="C1262" i="6"/>
  <c r="C1259" i="6"/>
  <c r="C1249" i="6"/>
  <c r="C1191" i="6"/>
  <c r="C1142" i="6"/>
  <c r="C1093" i="6"/>
  <c r="C1044" i="6"/>
  <c r="C995" i="6"/>
  <c r="C946" i="6"/>
  <c r="C897" i="6"/>
  <c r="C896" i="6"/>
  <c r="C880" i="6"/>
  <c r="C864" i="6"/>
  <c r="C848" i="6"/>
  <c r="C847" i="6"/>
  <c r="C836" i="6"/>
  <c r="C829" i="6"/>
  <c r="C822" i="6"/>
  <c r="C815" i="6"/>
  <c r="C808" i="6"/>
  <c r="C801" i="6"/>
  <c r="C794" i="6"/>
  <c r="C787" i="6"/>
  <c r="C780" i="6"/>
  <c r="C773" i="6"/>
  <c r="C766" i="6"/>
  <c r="C759" i="6"/>
  <c r="C752" i="6"/>
  <c r="C745" i="6"/>
  <c r="C738" i="6"/>
  <c r="C731" i="6"/>
  <c r="C724" i="6"/>
  <c r="C717" i="6"/>
  <c r="C710" i="6"/>
  <c r="C703" i="6"/>
  <c r="C696" i="6"/>
  <c r="C689" i="6"/>
  <c r="C1648" i="6"/>
  <c r="C1411" i="6"/>
  <c r="C1393" i="6"/>
  <c r="C1326" i="6"/>
  <c r="C1319" i="6"/>
  <c r="C1269" i="6"/>
  <c r="C1246" i="6"/>
  <c r="C1202" i="6"/>
  <c r="C1197" i="6"/>
  <c r="C1180" i="6"/>
  <c r="C1175" i="6"/>
  <c r="C1153" i="6"/>
  <c r="C1148" i="6"/>
  <c r="C1131" i="6"/>
  <c r="C1126" i="6"/>
  <c r="C1104" i="6"/>
  <c r="C1099" i="6"/>
  <c r="C1082" i="6"/>
  <c r="C1077" i="6"/>
  <c r="C1055" i="6"/>
  <c r="C1050" i="6"/>
  <c r="C1033" i="6"/>
  <c r="C1028" i="6"/>
  <c r="C1006" i="6"/>
  <c r="C1001" i="6"/>
  <c r="C984" i="6"/>
  <c r="C979" i="6"/>
  <c r="C957" i="6"/>
  <c r="C952" i="6"/>
  <c r="C935" i="6"/>
  <c r="C930" i="6"/>
  <c r="C895" i="6"/>
  <c r="C879" i="6"/>
  <c r="C863" i="6"/>
  <c r="C846" i="6"/>
  <c r="C1358" i="6"/>
  <c r="C1266" i="6"/>
  <c r="C1256" i="6"/>
  <c r="C1243" i="6"/>
  <c r="C1219" i="6"/>
  <c r="C1170" i="6"/>
  <c r="C1121" i="6"/>
  <c r="C1072" i="6"/>
  <c r="C1023" i="6"/>
  <c r="C974" i="6"/>
  <c r="C925" i="6"/>
  <c r="C894" i="6"/>
  <c r="C878" i="6"/>
  <c r="C862" i="6"/>
  <c r="C861" i="6"/>
  <c r="C845" i="6"/>
  <c r="C835" i="6"/>
  <c r="C828" i="6"/>
  <c r="C821" i="6"/>
  <c r="C814" i="6"/>
  <c r="C807" i="6"/>
  <c r="C800" i="6"/>
  <c r="C793" i="6"/>
  <c r="M793" i="6" s="1"/>
  <c r="N793" i="6" s="1"/>
  <c r="C786" i="6"/>
  <c r="C779" i="6"/>
  <c r="C772" i="6"/>
  <c r="C765" i="6"/>
  <c r="C758" i="6"/>
  <c r="C751" i="6"/>
  <c r="C744" i="6"/>
  <c r="C737" i="6"/>
  <c r="C730" i="6"/>
  <c r="C723" i="6"/>
  <c r="C716" i="6"/>
  <c r="C709" i="6"/>
  <c r="C702" i="6"/>
  <c r="C695" i="6"/>
  <c r="C688" i="6"/>
  <c r="C2305" i="6"/>
  <c r="C1535" i="6"/>
  <c r="C1299" i="6"/>
  <c r="C1189" i="6"/>
  <c r="C1182" i="6"/>
  <c r="C1141" i="6"/>
  <c r="C1134" i="6"/>
  <c r="C1127" i="6"/>
  <c r="C1124" i="6"/>
  <c r="C1117" i="6"/>
  <c r="C1110" i="6"/>
  <c r="C1069" i="6"/>
  <c r="C1062" i="6"/>
  <c r="C1021" i="6"/>
  <c r="C1014" i="6"/>
  <c r="C1007" i="6"/>
  <c r="C966" i="6"/>
  <c r="C959" i="6"/>
  <c r="C949" i="6"/>
  <c r="C942" i="6"/>
  <c r="C842" i="6"/>
  <c r="C683" i="6"/>
  <c r="C682" i="6"/>
  <c r="C666" i="6"/>
  <c r="C650" i="6"/>
  <c r="C634" i="6"/>
  <c r="C633" i="6"/>
  <c r="C617" i="6"/>
  <c r="C601" i="6"/>
  <c r="C585" i="6"/>
  <c r="C584" i="6"/>
  <c r="C568" i="6"/>
  <c r="C552" i="6"/>
  <c r="C536" i="6"/>
  <c r="C535" i="6"/>
  <c r="C519" i="6"/>
  <c r="C503" i="6"/>
  <c r="C487" i="6"/>
  <c r="C486" i="6"/>
  <c r="C470" i="6"/>
  <c r="C456" i="6"/>
  <c r="C449" i="6"/>
  <c r="C442" i="6"/>
  <c r="C435" i="6"/>
  <c r="C428" i="6"/>
  <c r="C421" i="6"/>
  <c r="C414" i="6"/>
  <c r="C407" i="6"/>
  <c r="C400" i="6"/>
  <c r="C393" i="6"/>
  <c r="C2160" i="6"/>
  <c r="C1705" i="6"/>
  <c r="C1556" i="6"/>
  <c r="C1456" i="6"/>
  <c r="C1423" i="6"/>
  <c r="C1368" i="6"/>
  <c r="C1362" i="6"/>
  <c r="C1318" i="6"/>
  <c r="C1313" i="6"/>
  <c r="C1086" i="6"/>
  <c r="C1079" i="6"/>
  <c r="C918" i="6"/>
  <c r="C911" i="6"/>
  <c r="C904" i="6"/>
  <c r="C892" i="6"/>
  <c r="C883" i="6"/>
  <c r="C871" i="6"/>
  <c r="C859" i="6"/>
  <c r="C850" i="6"/>
  <c r="C837" i="6"/>
  <c r="C832" i="6"/>
  <c r="C827" i="6"/>
  <c r="C810" i="6"/>
  <c r="C805" i="6"/>
  <c r="C788" i="6"/>
  <c r="C783" i="6"/>
  <c r="C778" i="6"/>
  <c r="C761" i="6"/>
  <c r="C756" i="6"/>
  <c r="C739" i="6"/>
  <c r="C734" i="6"/>
  <c r="C729" i="6"/>
  <c r="C712" i="6"/>
  <c r="C707" i="6"/>
  <c r="C690" i="6"/>
  <c r="C685" i="6"/>
  <c r="C681" i="6"/>
  <c r="C665" i="6"/>
  <c r="C649" i="6"/>
  <c r="C632" i="6"/>
  <c r="C616" i="6"/>
  <c r="C600" i="6"/>
  <c r="C583" i="6"/>
  <c r="C567" i="6"/>
  <c r="C551" i="6"/>
  <c r="C534" i="6"/>
  <c r="C518" i="6"/>
  <c r="C1437" i="6"/>
  <c r="C1359" i="6"/>
  <c r="C1325" i="6"/>
  <c r="C1320" i="6"/>
  <c r="C1211" i="6"/>
  <c r="C1204" i="6"/>
  <c r="C1194" i="6"/>
  <c r="C1187" i="6"/>
  <c r="C1146" i="6"/>
  <c r="C1139" i="6"/>
  <c r="C1132" i="6"/>
  <c r="C1091" i="6"/>
  <c r="C1084" i="6"/>
  <c r="C1043" i="6"/>
  <c r="C1036" i="6"/>
  <c r="C1029" i="6"/>
  <c r="C1026" i="6"/>
  <c r="C1019" i="6"/>
  <c r="C1012" i="6"/>
  <c r="C971" i="6"/>
  <c r="C964" i="6"/>
  <c r="C923" i="6"/>
  <c r="C916" i="6"/>
  <c r="C900" i="6"/>
  <c r="C888" i="6"/>
  <c r="C867" i="6"/>
  <c r="C680" i="6"/>
  <c r="C664" i="6"/>
  <c r="C648" i="6"/>
  <c r="C647" i="6"/>
  <c r="C631" i="6"/>
  <c r="C615" i="6"/>
  <c r="C599" i="6"/>
  <c r="C598" i="6"/>
  <c r="C582" i="6"/>
  <c r="C566" i="6"/>
  <c r="C550" i="6"/>
  <c r="C549" i="6"/>
  <c r="C533" i="6"/>
  <c r="C517" i="6"/>
  <c r="C1374" i="6"/>
  <c r="C1163" i="6"/>
  <c r="C1156" i="6"/>
  <c r="C1149" i="6"/>
  <c r="C988" i="6"/>
  <c r="C981" i="6"/>
  <c r="C909" i="6"/>
  <c r="C876" i="6"/>
  <c r="C855" i="6"/>
  <c r="C843" i="6"/>
  <c r="C838" i="6"/>
  <c r="C833" i="6"/>
  <c r="C816" i="6"/>
  <c r="C811" i="6"/>
  <c r="C806" i="6"/>
  <c r="C789" i="6"/>
  <c r="C784" i="6"/>
  <c r="C767" i="6"/>
  <c r="C762" i="6"/>
  <c r="C757" i="6"/>
  <c r="C740" i="6"/>
  <c r="C735" i="6"/>
  <c r="C718" i="6"/>
  <c r="C713" i="6"/>
  <c r="C708" i="6"/>
  <c r="C691" i="6"/>
  <c r="C686" i="6"/>
  <c r="C679" i="6"/>
  <c r="C663" i="6"/>
  <c r="C646" i="6"/>
  <c r="C630" i="6"/>
  <c r="C614" i="6"/>
  <c r="C597" i="6"/>
  <c r="C581" i="6"/>
  <c r="C565" i="6"/>
  <c r="C548" i="6"/>
  <c r="C532" i="6"/>
  <c r="C516" i="6"/>
  <c r="C1685" i="6"/>
  <c r="C1603" i="6"/>
  <c r="C1576" i="6"/>
  <c r="C1542" i="6"/>
  <c r="C1291" i="6"/>
  <c r="C1281" i="6"/>
  <c r="C1263" i="6"/>
  <c r="C1257" i="6"/>
  <c r="C1251" i="6"/>
  <c r="C1245" i="6"/>
  <c r="C1241" i="6"/>
  <c r="C1065" i="6"/>
  <c r="C1058" i="6"/>
  <c r="C1051" i="6"/>
  <c r="C901" i="6"/>
  <c r="C889" i="6"/>
  <c r="C868" i="6"/>
  <c r="C839" i="6"/>
  <c r="C834" i="6"/>
  <c r="C817" i="6"/>
  <c r="C812" i="6"/>
  <c r="C795" i="6"/>
  <c r="C790" i="6"/>
  <c r="C785" i="6"/>
  <c r="C768" i="6"/>
  <c r="C763" i="6"/>
  <c r="C746" i="6"/>
  <c r="C741" i="6"/>
  <c r="C736" i="6"/>
  <c r="C719" i="6"/>
  <c r="C714" i="6"/>
  <c r="C697" i="6"/>
  <c r="C692" i="6"/>
  <c r="C687" i="6"/>
  <c r="C677" i="6"/>
  <c r="C660" i="6"/>
  <c r="C644" i="6"/>
  <c r="C628" i="6"/>
  <c r="C611" i="6"/>
  <c r="C595" i="6"/>
  <c r="C579" i="6"/>
  <c r="C562" i="6"/>
  <c r="C546" i="6"/>
  <c r="C530" i="6"/>
  <c r="C513" i="6"/>
  <c r="C497" i="6"/>
  <c r="C481" i="6"/>
  <c r="C464" i="6"/>
  <c r="C1624" i="6"/>
  <c r="C1449" i="6"/>
  <c r="C1288" i="6"/>
  <c r="C1260" i="6"/>
  <c r="C1217" i="6"/>
  <c r="C1198" i="6"/>
  <c r="C1190" i="6"/>
  <c r="C1177" i="6"/>
  <c r="C1166" i="6"/>
  <c r="C1145" i="6"/>
  <c r="C1118" i="6"/>
  <c r="C1097" i="6"/>
  <c r="C1070" i="6"/>
  <c r="C1030" i="6"/>
  <c r="C1009" i="6"/>
  <c r="C998" i="6"/>
  <c r="C977" i="6"/>
  <c r="C950" i="6"/>
  <c r="C931" i="6"/>
  <c r="C875" i="6"/>
  <c r="C819" i="6"/>
  <c r="C804" i="6"/>
  <c r="C802" i="6"/>
  <c r="C701" i="6"/>
  <c r="C699" i="6"/>
  <c r="C684" i="6"/>
  <c r="C656" i="6"/>
  <c r="C637" i="6"/>
  <c r="C618" i="6"/>
  <c r="C609" i="6"/>
  <c r="C590" i="6"/>
  <c r="C508" i="6"/>
  <c r="C504" i="6"/>
  <c r="C474" i="6"/>
  <c r="C434" i="6"/>
  <c r="C433" i="6"/>
  <c r="C387" i="6"/>
  <c r="C380" i="6"/>
  <c r="C373" i="6"/>
  <c r="C366" i="6"/>
  <c r="C359" i="6"/>
  <c r="C352" i="6"/>
  <c r="C345" i="6"/>
  <c r="C338" i="6"/>
  <c r="C331" i="6"/>
  <c r="C324" i="6"/>
  <c r="C317" i="6"/>
  <c r="C310" i="6"/>
  <c r="C303" i="6"/>
  <c r="C296" i="6"/>
  <c r="C289" i="6"/>
  <c r="C282" i="6"/>
  <c r="C275" i="6"/>
  <c r="C268" i="6"/>
  <c r="C261" i="6"/>
  <c r="C254" i="6"/>
  <c r="C247" i="6"/>
  <c r="C240" i="6"/>
  <c r="C233" i="6"/>
  <c r="C226" i="6"/>
  <c r="C219" i="6"/>
  <c r="C212" i="6"/>
  <c r="C205" i="6"/>
  <c r="C198" i="6"/>
  <c r="C191" i="6"/>
  <c r="C184" i="6"/>
  <c r="C177" i="6"/>
  <c r="C170" i="6"/>
  <c r="C163" i="6"/>
  <c r="C156" i="6"/>
  <c r="C149" i="6"/>
  <c r="C142" i="6"/>
  <c r="C135" i="6"/>
  <c r="C128" i="6"/>
  <c r="C121" i="6"/>
  <c r="C114" i="6"/>
  <c r="C107" i="6"/>
  <c r="C100" i="6"/>
  <c r="C93" i="6"/>
  <c r="C86" i="6"/>
  <c r="C79" i="6"/>
  <c r="C72" i="6"/>
  <c r="C65" i="6"/>
  <c r="C58" i="6"/>
  <c r="C51" i="6"/>
  <c r="C44" i="6"/>
  <c r="C37" i="6"/>
  <c r="C30" i="6"/>
  <c r="C23" i="6"/>
  <c r="C16" i="6"/>
  <c r="C9" i="6"/>
  <c r="C2" i="6"/>
  <c r="C1708" i="6"/>
  <c r="C1641" i="6"/>
  <c r="C1383" i="6"/>
  <c r="C1305" i="6"/>
  <c r="C1253" i="6"/>
  <c r="C1244" i="6"/>
  <c r="C1232" i="6"/>
  <c r="C893" i="6"/>
  <c r="C885" i="6"/>
  <c r="C813" i="6"/>
  <c r="C798" i="6"/>
  <c r="C796" i="6"/>
  <c r="C781" i="6"/>
  <c r="C693" i="6"/>
  <c r="C672" i="6"/>
  <c r="C653" i="6"/>
  <c r="C625" i="6"/>
  <c r="C571" i="6"/>
  <c r="C543" i="6"/>
  <c r="C524" i="6"/>
  <c r="C475" i="6"/>
  <c r="C439" i="6"/>
  <c r="C438" i="6"/>
  <c r="C437" i="6"/>
  <c r="C436" i="6"/>
  <c r="C1810" i="6"/>
  <c r="C1707" i="6"/>
  <c r="C1508" i="6"/>
  <c r="C1389" i="6"/>
  <c r="C1250" i="6"/>
  <c r="C1203" i="6"/>
  <c r="C1176" i="6"/>
  <c r="C1155" i="6"/>
  <c r="C1083" i="6"/>
  <c r="C1056" i="6"/>
  <c r="C1035" i="6"/>
  <c r="C1008" i="6"/>
  <c r="C987" i="6"/>
  <c r="C963" i="6"/>
  <c r="C936" i="6"/>
  <c r="C915" i="6"/>
  <c r="C860" i="6"/>
  <c r="C856" i="6"/>
  <c r="C852" i="6"/>
  <c r="C792" i="6"/>
  <c r="C777" i="6"/>
  <c r="C775" i="6"/>
  <c r="C760" i="6"/>
  <c r="C606" i="6"/>
  <c r="C587" i="6"/>
  <c r="C578" i="6"/>
  <c r="C559" i="6"/>
  <c r="C540" i="6"/>
  <c r="C521" i="6"/>
  <c r="C515" i="6"/>
  <c r="C512" i="6"/>
  <c r="C498" i="6"/>
  <c r="C476" i="6"/>
  <c r="C465" i="6"/>
  <c r="C441" i="6"/>
  <c r="C440" i="6"/>
  <c r="C386" i="6"/>
  <c r="C379" i="6"/>
  <c r="C372" i="6"/>
  <c r="C365" i="6"/>
  <c r="C358" i="6"/>
  <c r="C351" i="6"/>
  <c r="C344" i="6"/>
  <c r="C337" i="6"/>
  <c r="C330" i="6"/>
  <c r="C323" i="6"/>
  <c r="C316" i="6"/>
  <c r="C309" i="6"/>
  <c r="C302" i="6"/>
  <c r="C295" i="6"/>
  <c r="C288" i="6"/>
  <c r="C281" i="6"/>
  <c r="C274" i="6"/>
  <c r="C267" i="6"/>
  <c r="C260" i="6"/>
  <c r="C253" i="6"/>
  <c r="C246" i="6"/>
  <c r="C239" i="6"/>
  <c r="C232" i="6"/>
  <c r="C225" i="6"/>
  <c r="C218" i="6"/>
  <c r="C211" i="6"/>
  <c r="C204" i="6"/>
  <c r="C197" i="6"/>
  <c r="C190" i="6"/>
  <c r="C183" i="6"/>
  <c r="C176" i="6"/>
  <c r="C169" i="6"/>
  <c r="C162" i="6"/>
  <c r="C155" i="6"/>
  <c r="C148" i="6"/>
  <c r="C141" i="6"/>
  <c r="C134" i="6"/>
  <c r="C127" i="6"/>
  <c r="M127" i="6" s="1"/>
  <c r="N127" i="6" s="1"/>
  <c r="C120" i="6"/>
  <c r="C113" i="6"/>
  <c r="C106" i="6"/>
  <c r="C99" i="6"/>
  <c r="C92" i="6"/>
  <c r="C85" i="6"/>
  <c r="C78" i="6"/>
  <c r="C71" i="6"/>
  <c r="C64" i="6"/>
  <c r="C57" i="6"/>
  <c r="C50" i="6"/>
  <c r="C43" i="6"/>
  <c r="C36" i="6"/>
  <c r="C29" i="6"/>
  <c r="C22" i="6"/>
  <c r="C15" i="6"/>
  <c r="C8" i="6"/>
  <c r="C1507" i="6"/>
  <c r="C1394" i="6"/>
  <c r="C1327" i="6"/>
  <c r="C1293" i="6"/>
  <c r="C1195" i="6"/>
  <c r="C1128" i="6"/>
  <c r="C1107" i="6"/>
  <c r="C1075" i="6"/>
  <c r="C960" i="6"/>
  <c r="C939" i="6"/>
  <c r="C891" i="6"/>
  <c r="C887" i="6"/>
  <c r="C771" i="6"/>
  <c r="C769" i="6"/>
  <c r="C754" i="6"/>
  <c r="C669" i="6"/>
  <c r="C641" i="6"/>
  <c r="C622" i="6"/>
  <c r="C603" i="6"/>
  <c r="C594" i="6"/>
  <c r="C575" i="6"/>
  <c r="C556" i="6"/>
  <c r="C531" i="6"/>
  <c r="C528" i="6"/>
  <c r="C505" i="6"/>
  <c r="C499" i="6"/>
  <c r="C477" i="6"/>
  <c r="C446" i="6"/>
  <c r="C445" i="6"/>
  <c r="C444" i="6"/>
  <c r="C443" i="6"/>
  <c r="C397" i="6"/>
  <c r="C396" i="6"/>
  <c r="C395" i="6"/>
  <c r="C394" i="6"/>
  <c r="C1594" i="6"/>
  <c r="C1382" i="6"/>
  <c r="C1300" i="6"/>
  <c r="C1271" i="6"/>
  <c r="C1265" i="6"/>
  <c r="C1208" i="6"/>
  <c r="C1181" i="6"/>
  <c r="C1160" i="6"/>
  <c r="C1133" i="6"/>
  <c r="C1112" i="6"/>
  <c r="C1085" i="6"/>
  <c r="C1064" i="6"/>
  <c r="C1061" i="6"/>
  <c r="C1040" i="6"/>
  <c r="C1013" i="6"/>
  <c r="C992" i="6"/>
  <c r="C965" i="6"/>
  <c r="C944" i="6"/>
  <c r="C917" i="6"/>
  <c r="C907" i="6"/>
  <c r="C903" i="6"/>
  <c r="C872" i="6"/>
  <c r="C830" i="6"/>
  <c r="C742" i="6"/>
  <c r="C727" i="6"/>
  <c r="C725" i="6"/>
  <c r="C673" i="6"/>
  <c r="C654" i="6"/>
  <c r="C629" i="6"/>
  <c r="C626" i="6"/>
  <c r="C572" i="6"/>
  <c r="C563" i="6"/>
  <c r="C553" i="6"/>
  <c r="C544" i="6"/>
  <c r="C525" i="6"/>
  <c r="C489" i="6"/>
  <c r="C479" i="6"/>
  <c r="C467" i="6"/>
  <c r="C453" i="6"/>
  <c r="C452" i="6"/>
  <c r="C451" i="6"/>
  <c r="C450" i="6"/>
  <c r="C404" i="6"/>
  <c r="C403" i="6"/>
  <c r="C402" i="6"/>
  <c r="C401" i="6"/>
  <c r="D14" i="4"/>
  <c r="C1416" i="6"/>
  <c r="C1221" i="6"/>
  <c r="C1205" i="6"/>
  <c r="C1184" i="6"/>
  <c r="C1173" i="6"/>
  <c r="C1154" i="6"/>
  <c r="C1106" i="6"/>
  <c r="C1037" i="6"/>
  <c r="C1034" i="6"/>
  <c r="C1016" i="6"/>
  <c r="C986" i="6"/>
  <c r="C938" i="6"/>
  <c r="C914" i="6"/>
  <c r="C899" i="6"/>
  <c r="C874" i="6"/>
  <c r="C826" i="6"/>
  <c r="C824" i="6"/>
  <c r="C809" i="6"/>
  <c r="C721" i="6"/>
  <c r="C706" i="6"/>
  <c r="C704" i="6"/>
  <c r="G3" i="6"/>
  <c r="A6" i="6"/>
  <c r="J8" i="6"/>
  <c r="B10" i="6"/>
  <c r="A15" i="6"/>
  <c r="H16" i="6"/>
  <c r="C19" i="6"/>
  <c r="J20" i="6"/>
  <c r="G24" i="6"/>
  <c r="B27" i="6"/>
  <c r="H28" i="6"/>
  <c r="K29" i="6"/>
  <c r="C31" i="6"/>
  <c r="G36" i="6"/>
  <c r="J37" i="6"/>
  <c r="B39" i="6"/>
  <c r="I45" i="6"/>
  <c r="A47" i="6"/>
  <c r="J49" i="6"/>
  <c r="I53" i="6"/>
  <c r="C56" i="6"/>
  <c r="I57" i="6"/>
  <c r="A64" i="6"/>
  <c r="H65" i="6"/>
  <c r="C68" i="6"/>
  <c r="J69" i="6"/>
  <c r="G73" i="6"/>
  <c r="B76" i="6"/>
  <c r="H77" i="6"/>
  <c r="K78" i="6"/>
  <c r="C80" i="6"/>
  <c r="G85" i="6"/>
  <c r="J86" i="6"/>
  <c r="B88" i="6"/>
  <c r="I94" i="6"/>
  <c r="A96" i="6"/>
  <c r="J98" i="6"/>
  <c r="I102" i="6"/>
  <c r="C105" i="6"/>
  <c r="I106" i="6"/>
  <c r="A113" i="6"/>
  <c r="H114" i="6"/>
  <c r="C117" i="6"/>
  <c r="K118" i="6"/>
  <c r="H122" i="6"/>
  <c r="C125" i="6"/>
  <c r="J126" i="6"/>
  <c r="I130" i="6"/>
  <c r="J134" i="6"/>
  <c r="B136" i="6"/>
  <c r="G141" i="6"/>
  <c r="J142" i="6"/>
  <c r="B144" i="6"/>
  <c r="G149" i="6"/>
  <c r="K150" i="6"/>
  <c r="B152" i="6"/>
  <c r="J153" i="6"/>
  <c r="G157" i="6"/>
  <c r="B160" i="6"/>
  <c r="I161" i="6"/>
  <c r="G165" i="6"/>
  <c r="C168" i="6"/>
  <c r="I169" i="6"/>
  <c r="I177" i="6"/>
  <c r="A179" i="6"/>
  <c r="I185" i="6"/>
  <c r="A187" i="6"/>
  <c r="K189" i="6"/>
  <c r="A195" i="6"/>
  <c r="H196" i="6"/>
  <c r="K197" i="6"/>
  <c r="C199" i="6"/>
  <c r="A203" i="6"/>
  <c r="H204" i="6"/>
  <c r="K205" i="6"/>
  <c r="C207" i="6"/>
  <c r="G208" i="6"/>
  <c r="A211" i="6"/>
  <c r="H212" i="6"/>
  <c r="C215" i="6"/>
  <c r="K216" i="6"/>
  <c r="H220" i="6"/>
  <c r="C223" i="6"/>
  <c r="J224" i="6"/>
  <c r="I228" i="6"/>
  <c r="J232" i="6"/>
  <c r="B234" i="6"/>
  <c r="G239" i="6"/>
  <c r="J240" i="6"/>
  <c r="B242" i="6"/>
  <c r="G247" i="6"/>
  <c r="K248" i="6"/>
  <c r="B250" i="6"/>
  <c r="J251" i="6"/>
  <c r="G255" i="6"/>
  <c r="B258" i="6"/>
  <c r="I259" i="6"/>
  <c r="G263" i="6"/>
  <c r="C266" i="6"/>
  <c r="I267" i="6"/>
  <c r="I275" i="6"/>
  <c r="A277" i="6"/>
  <c r="I283" i="6"/>
  <c r="A285" i="6"/>
  <c r="K287" i="6"/>
  <c r="A293" i="6"/>
  <c r="H294" i="6"/>
  <c r="K295" i="6"/>
  <c r="C297" i="6"/>
  <c r="A301" i="6"/>
  <c r="H302" i="6"/>
  <c r="K303" i="6"/>
  <c r="C305" i="6"/>
  <c r="G306" i="6"/>
  <c r="A309" i="6"/>
  <c r="H310" i="6"/>
  <c r="C313" i="6"/>
  <c r="K314" i="6"/>
  <c r="H318" i="6"/>
  <c r="C321" i="6"/>
  <c r="J322" i="6"/>
  <c r="I326" i="6"/>
  <c r="J330" i="6"/>
  <c r="B332" i="6"/>
  <c r="G337" i="6"/>
  <c r="J338" i="6"/>
  <c r="B340" i="6"/>
  <c r="A344" i="6"/>
  <c r="H345" i="6"/>
  <c r="C348" i="6"/>
  <c r="K349" i="6"/>
  <c r="I353" i="6"/>
  <c r="A355" i="6"/>
  <c r="G360" i="6"/>
  <c r="B363" i="6"/>
  <c r="J364" i="6"/>
  <c r="I368" i="6"/>
  <c r="H371" i="6"/>
  <c r="K372" i="6"/>
  <c r="C374" i="6"/>
  <c r="A378" i="6"/>
  <c r="I379" i="6"/>
  <c r="G386" i="6"/>
  <c r="J387" i="6"/>
  <c r="B389" i="6"/>
  <c r="A393" i="6"/>
  <c r="H396" i="6"/>
  <c r="J399" i="6"/>
  <c r="B404" i="6"/>
  <c r="A409" i="6"/>
  <c r="C412" i="6"/>
  <c r="A417" i="6"/>
  <c r="G418" i="6"/>
  <c r="C420" i="6"/>
  <c r="J421" i="6"/>
  <c r="A425" i="6"/>
  <c r="H426" i="6"/>
  <c r="I429" i="6"/>
  <c r="H434" i="6"/>
  <c r="J437" i="6"/>
  <c r="H442" i="6"/>
  <c r="J445" i="6"/>
  <c r="K453" i="6"/>
  <c r="A455" i="6"/>
  <c r="C458" i="6"/>
  <c r="B460" i="6"/>
  <c r="I461" i="6"/>
  <c r="G463" i="6"/>
  <c r="K468" i="6"/>
  <c r="B472" i="6"/>
  <c r="I473" i="6"/>
  <c r="G475" i="6"/>
  <c r="G480" i="6"/>
  <c r="B484" i="6"/>
  <c r="J485" i="6"/>
  <c r="H487" i="6"/>
  <c r="K497" i="6"/>
  <c r="I499" i="6"/>
  <c r="B503" i="6"/>
  <c r="K504" i="6"/>
  <c r="A507" i="6"/>
  <c r="A509" i="6"/>
  <c r="K513" i="6"/>
  <c r="H518" i="6"/>
  <c r="H520" i="6"/>
  <c r="B523" i="6"/>
  <c r="A525" i="6"/>
  <c r="G527" i="6"/>
  <c r="J529" i="6"/>
  <c r="H536" i="6"/>
  <c r="B539" i="6"/>
  <c r="A541" i="6"/>
  <c r="G543" i="6"/>
  <c r="J545" i="6"/>
  <c r="H552" i="6"/>
  <c r="I554" i="6"/>
  <c r="A557" i="6"/>
  <c r="G559" i="6"/>
  <c r="K561" i="6"/>
  <c r="I568" i="6"/>
  <c r="H570" i="6"/>
  <c r="B573" i="6"/>
  <c r="B575" i="6"/>
  <c r="K577" i="6"/>
  <c r="I584" i="6"/>
  <c r="H586" i="6"/>
  <c r="B589" i="6"/>
  <c r="A591" i="6"/>
  <c r="K593" i="6"/>
  <c r="I600" i="6"/>
  <c r="H602" i="6"/>
  <c r="B605" i="6"/>
  <c r="B607" i="6"/>
  <c r="K611" i="6"/>
  <c r="I618" i="6"/>
  <c r="C621" i="6"/>
  <c r="B623" i="6"/>
  <c r="K627" i="6"/>
  <c r="I634" i="6"/>
  <c r="I636" i="6"/>
  <c r="B639" i="6"/>
  <c r="K643" i="6"/>
  <c r="I650" i="6"/>
  <c r="I652" i="6"/>
  <c r="C655" i="6"/>
  <c r="C657" i="6"/>
  <c r="A664" i="6"/>
  <c r="J666" i="6"/>
  <c r="I668" i="6"/>
  <c r="C671" i="6"/>
  <c r="B673" i="6"/>
  <c r="A680" i="6"/>
  <c r="J682" i="6"/>
  <c r="I684" i="6"/>
  <c r="I690" i="6"/>
  <c r="I696" i="6"/>
  <c r="H699" i="6"/>
  <c r="J702" i="6"/>
  <c r="H705" i="6"/>
  <c r="A709" i="6"/>
  <c r="J712" i="6"/>
  <c r="A719" i="6"/>
  <c r="J722" i="6"/>
  <c r="C726" i="6"/>
  <c r="H739" i="6"/>
  <c r="K745" i="6"/>
  <c r="G762" i="6"/>
  <c r="G765" i="6"/>
  <c r="J768" i="6"/>
  <c r="G772" i="6"/>
  <c r="H775" i="6"/>
  <c r="I778" i="6"/>
  <c r="H781" i="6"/>
  <c r="J787" i="6"/>
  <c r="C791" i="6"/>
  <c r="H797" i="6"/>
  <c r="G804" i="6"/>
  <c r="G814" i="6"/>
  <c r="I821" i="6"/>
  <c r="J837" i="6"/>
  <c r="C841" i="6"/>
  <c r="H848" i="6"/>
  <c r="I851" i="6"/>
  <c r="G855" i="6"/>
  <c r="C866" i="6"/>
  <c r="H869" i="6"/>
  <c r="B877" i="6"/>
  <c r="I887" i="6"/>
  <c r="B894" i="6"/>
  <c r="A902" i="6"/>
  <c r="I913" i="6"/>
  <c r="J918" i="6"/>
  <c r="A932" i="6"/>
  <c r="A936" i="6"/>
  <c r="G954" i="6"/>
  <c r="A964" i="6"/>
  <c r="J972" i="6"/>
  <c r="G977" i="6"/>
  <c r="H982" i="6"/>
  <c r="A987" i="6"/>
  <c r="B991" i="6"/>
  <c r="I1004" i="6"/>
  <c r="J1009" i="6"/>
  <c r="J1014" i="6"/>
  <c r="A1028" i="6"/>
  <c r="A1042" i="6"/>
  <c r="K1050" i="6"/>
  <c r="I1055" i="6"/>
  <c r="K1059" i="6"/>
  <c r="G1068" i="6"/>
  <c r="C1078" i="6"/>
  <c r="B1092" i="6"/>
  <c r="C1096" i="6"/>
  <c r="K1110" i="6"/>
  <c r="H1114" i="6"/>
  <c r="A1128" i="6"/>
  <c r="K1141" i="6"/>
  <c r="B1151" i="6"/>
  <c r="I1159" i="6"/>
  <c r="I1164" i="6"/>
  <c r="H1169" i="6"/>
  <c r="K1173" i="6"/>
  <c r="A1178" i="6"/>
  <c r="A1183" i="6"/>
  <c r="B1188" i="6"/>
  <c r="K1191" i="6"/>
  <c r="I1201" i="6"/>
  <c r="J1206" i="6"/>
  <c r="J1224" i="6"/>
  <c r="C1252" i="6"/>
  <c r="B1257" i="6"/>
  <c r="A1267" i="6"/>
  <c r="B1278" i="6"/>
  <c r="K1288" i="6"/>
  <c r="K1294" i="6"/>
  <c r="A1326" i="6"/>
  <c r="J1371" i="6"/>
  <c r="C1380" i="6"/>
  <c r="A1390" i="6"/>
  <c r="C1400" i="6"/>
  <c r="G1435" i="6"/>
  <c r="G1449" i="6"/>
  <c r="A1500" i="6"/>
  <c r="B1528" i="6"/>
  <c r="A1695" i="6"/>
  <c r="A1791" i="6"/>
  <c r="G1908" i="6"/>
  <c r="F19" i="6"/>
  <c r="F26" i="6"/>
  <c r="F33" i="6"/>
  <c r="F40" i="6"/>
  <c r="F47" i="6"/>
  <c r="F54" i="6"/>
  <c r="F61" i="6"/>
  <c r="F68" i="6"/>
  <c r="F75" i="6"/>
  <c r="F82" i="6"/>
  <c r="F89" i="6"/>
  <c r="F96" i="6"/>
  <c r="F103" i="6"/>
  <c r="F110" i="6"/>
  <c r="F117" i="6"/>
  <c r="F124" i="6"/>
  <c r="F131" i="6"/>
  <c r="F138" i="6"/>
  <c r="F145" i="6"/>
  <c r="F152" i="6"/>
  <c r="F159" i="6"/>
  <c r="F166" i="6"/>
  <c r="F173" i="6"/>
  <c r="F180" i="6"/>
  <c r="F187" i="6"/>
  <c r="F194" i="6"/>
  <c r="F201" i="6"/>
  <c r="F208" i="6"/>
  <c r="F215" i="6"/>
  <c r="F222" i="6"/>
  <c r="F229" i="6"/>
  <c r="F236" i="6"/>
  <c r="F243" i="6"/>
  <c r="F250" i="6"/>
  <c r="F257" i="6"/>
  <c r="F264" i="6"/>
  <c r="F271" i="6"/>
  <c r="F278" i="6"/>
  <c r="F285" i="6"/>
  <c r="F292" i="6"/>
  <c r="F299" i="6"/>
  <c r="F306" i="6"/>
  <c r="F313" i="6"/>
  <c r="F320" i="6"/>
  <c r="F327" i="6"/>
  <c r="F334" i="6"/>
  <c r="F341" i="6"/>
  <c r="F348" i="6"/>
  <c r="F355" i="6"/>
  <c r="F362" i="6"/>
  <c r="F369" i="6"/>
  <c r="F376" i="6"/>
  <c r="F383" i="6"/>
  <c r="F390" i="6"/>
  <c r="E407" i="6"/>
  <c r="E408" i="6"/>
  <c r="E409" i="6"/>
  <c r="E410" i="6"/>
  <c r="F411" i="6"/>
  <c r="F412" i="6"/>
  <c r="E456" i="6"/>
  <c r="E457" i="6"/>
  <c r="F458" i="6"/>
  <c r="F469" i="6"/>
  <c r="F480" i="6"/>
  <c r="E491" i="6"/>
  <c r="F501" i="6"/>
  <c r="F519" i="6"/>
  <c r="E522" i="6"/>
  <c r="F538" i="6"/>
  <c r="F557" i="6"/>
  <c r="F566" i="6"/>
  <c r="F585" i="6"/>
  <c r="E604" i="6"/>
  <c r="E623" i="6"/>
  <c r="E632" i="6"/>
  <c r="F642" i="6"/>
  <c r="E651" i="6"/>
  <c r="E670" i="6"/>
  <c r="E685" i="6"/>
  <c r="F698" i="6"/>
  <c r="E700" i="6"/>
  <c r="F780" i="6"/>
  <c r="F782" i="6"/>
  <c r="E788" i="6"/>
  <c r="F797" i="6"/>
  <c r="F801" i="6"/>
  <c r="E803" i="6"/>
  <c r="E805" i="6"/>
  <c r="F818" i="6"/>
  <c r="F841" i="6"/>
  <c r="E866" i="6"/>
  <c r="E870" i="6"/>
  <c r="F922" i="6"/>
  <c r="F949" i="6"/>
  <c r="F970" i="6"/>
  <c r="F997" i="6"/>
  <c r="E1005" i="6"/>
  <c r="F1016" i="6"/>
  <c r="F1037" i="6"/>
  <c r="E1053" i="6"/>
  <c r="F1069" i="6"/>
  <c r="F1090" i="6"/>
  <c r="F1117" i="6"/>
  <c r="E1125" i="6"/>
  <c r="E1173" i="6"/>
  <c r="F1184" i="6"/>
  <c r="F1205" i="6"/>
  <c r="F1221" i="6"/>
  <c r="F1249" i="6"/>
  <c r="F1262" i="6"/>
  <c r="E1277" i="6"/>
  <c r="E1297" i="6"/>
  <c r="F1316" i="6"/>
  <c r="F1334" i="6"/>
  <c r="F1430" i="6"/>
  <c r="F1439" i="6"/>
  <c r="F1461" i="6"/>
  <c r="F1749" i="6"/>
  <c r="E1809" i="6"/>
  <c r="F118" i="6"/>
  <c r="F125" i="6"/>
  <c r="F132" i="6"/>
  <c r="F139" i="6"/>
  <c r="F146" i="6"/>
  <c r="F153" i="6"/>
  <c r="F160" i="6"/>
  <c r="F167" i="6"/>
  <c r="F174" i="6"/>
  <c r="F181" i="6"/>
  <c r="F188" i="6"/>
  <c r="F195" i="6"/>
  <c r="F202" i="6"/>
  <c r="F209" i="6"/>
  <c r="F216" i="6"/>
  <c r="F223" i="6"/>
  <c r="F230" i="6"/>
  <c r="F237" i="6"/>
  <c r="F244" i="6"/>
  <c r="F251" i="6"/>
  <c r="F258" i="6"/>
  <c r="F265" i="6"/>
  <c r="F272" i="6"/>
  <c r="F279" i="6"/>
  <c r="F286" i="6"/>
  <c r="F293" i="6"/>
  <c r="F300" i="6"/>
  <c r="F307" i="6"/>
  <c r="F314" i="6"/>
  <c r="F321" i="6"/>
  <c r="F328" i="6"/>
  <c r="F335" i="6"/>
  <c r="F342" i="6"/>
  <c r="F349" i="6"/>
  <c r="F356" i="6"/>
  <c r="F363" i="6"/>
  <c r="F370" i="6"/>
  <c r="F377" i="6"/>
  <c r="F384" i="6"/>
  <c r="F391" i="6"/>
  <c r="E400" i="6"/>
  <c r="E401" i="6"/>
  <c r="E402" i="6"/>
  <c r="E403" i="6"/>
  <c r="F404" i="6"/>
  <c r="F405" i="6"/>
  <c r="E449" i="6"/>
  <c r="E450" i="6"/>
  <c r="E451" i="6"/>
  <c r="E452" i="6"/>
  <c r="F453" i="6"/>
  <c r="F454" i="6"/>
  <c r="E467" i="6"/>
  <c r="E489" i="6"/>
  <c r="F490" i="6"/>
  <c r="E500" i="6"/>
  <c r="E525" i="6"/>
  <c r="E534" i="6"/>
  <c r="F544" i="6"/>
  <c r="E553" i="6"/>
  <c r="E572" i="6"/>
  <c r="F588" i="6"/>
  <c r="E591" i="6"/>
  <c r="E600" i="6"/>
  <c r="F607" i="6"/>
  <c r="E610" i="6"/>
  <c r="F616" i="6"/>
  <c r="E619" i="6"/>
  <c r="F635" i="6"/>
  <c r="F654" i="6"/>
  <c r="E673" i="6"/>
  <c r="E676" i="6"/>
  <c r="F682" i="6"/>
  <c r="F689" i="6"/>
  <c r="F704" i="6"/>
  <c r="F706" i="6"/>
  <c r="E710" i="6"/>
  <c r="E712" i="6"/>
  <c r="F721" i="6"/>
  <c r="F725" i="6"/>
  <c r="E727" i="6"/>
  <c r="F742" i="6"/>
  <c r="F809" i="6"/>
  <c r="E815" i="6"/>
  <c r="F824" i="6"/>
  <c r="F826" i="6"/>
  <c r="E830" i="6"/>
  <c r="E832" i="6"/>
  <c r="E850" i="6"/>
  <c r="E854" i="6"/>
  <c r="F864" i="6"/>
  <c r="F899" i="6"/>
  <c r="F903" i="6"/>
  <c r="E907" i="6"/>
  <c r="F912" i="6"/>
  <c r="E920" i="6"/>
  <c r="E944" i="6"/>
  <c r="E965" i="6"/>
  <c r="F984" i="6"/>
  <c r="E992" i="6"/>
  <c r="F1011" i="6"/>
  <c r="E1013" i="6"/>
  <c r="F1032" i="6"/>
  <c r="E1040" i="6"/>
  <c r="F1059" i="6"/>
  <c r="F1080" i="6"/>
  <c r="F1104" i="6"/>
  <c r="E1112" i="6"/>
  <c r="F1131" i="6"/>
  <c r="E1133" i="6"/>
  <c r="F1152" i="6"/>
  <c r="E1160" i="6"/>
  <c r="F1179" i="6"/>
  <c r="F1200" i="6"/>
  <c r="F1222" i="6"/>
  <c r="E1272" i="6"/>
  <c r="E1278" i="6"/>
  <c r="F1417" i="6"/>
  <c r="F1425" i="6"/>
  <c r="F1705" i="6"/>
  <c r="E2495" i="6"/>
  <c r="E2488" i="6"/>
  <c r="E2481" i="6"/>
  <c r="E2474" i="6"/>
  <c r="E2467" i="6"/>
  <c r="E2460" i="6"/>
  <c r="E2453" i="6"/>
  <c r="E2446" i="6"/>
  <c r="E2439" i="6"/>
  <c r="E2432" i="6"/>
  <c r="E2500" i="6"/>
  <c r="E2493" i="6"/>
  <c r="E2486" i="6"/>
  <c r="E2479" i="6"/>
  <c r="E2472" i="6"/>
  <c r="E2465" i="6"/>
  <c r="E2458" i="6"/>
  <c r="E2451" i="6"/>
  <c r="E2444" i="6"/>
  <c r="E2437" i="6"/>
  <c r="E2430" i="6"/>
  <c r="E2499" i="6"/>
  <c r="E2492" i="6"/>
  <c r="E2485" i="6"/>
  <c r="E2478" i="6"/>
  <c r="E2471" i="6"/>
  <c r="E2464" i="6"/>
  <c r="E2457" i="6"/>
  <c r="E2490" i="6"/>
  <c r="E2470" i="6"/>
  <c r="E2435" i="6"/>
  <c r="E2422" i="6"/>
  <c r="E2415" i="6"/>
  <c r="E2408" i="6"/>
  <c r="E2401" i="6"/>
  <c r="E2496" i="6"/>
  <c r="E2473" i="6"/>
  <c r="E2452" i="6"/>
  <c r="E2476" i="6"/>
  <c r="E2441" i="6"/>
  <c r="E2436" i="6"/>
  <c r="E2421" i="6"/>
  <c r="E2414" i="6"/>
  <c r="E2407" i="6"/>
  <c r="E2400" i="6"/>
  <c r="E2489" i="6"/>
  <c r="E2462" i="6"/>
  <c r="E2419" i="6"/>
  <c r="E2393" i="6"/>
  <c r="E2386" i="6"/>
  <c r="E2455" i="6"/>
  <c r="E2447" i="6"/>
  <c r="E2410" i="6"/>
  <c r="E2399" i="6"/>
  <c r="E2392" i="6"/>
  <c r="E2385" i="6"/>
  <c r="E2475" i="6"/>
  <c r="E2433" i="6"/>
  <c r="E2411" i="6"/>
  <c r="E2469" i="6"/>
  <c r="E2450" i="6"/>
  <c r="E2412" i="6"/>
  <c r="E2398" i="6"/>
  <c r="E2391" i="6"/>
  <c r="E2487" i="6"/>
  <c r="E2484" i="6"/>
  <c r="E2427" i="6"/>
  <c r="E2394" i="6"/>
  <c r="E2387" i="6"/>
  <c r="E2381" i="6"/>
  <c r="E2374" i="6"/>
  <c r="E2367" i="6"/>
  <c r="E2440" i="6"/>
  <c r="E2429" i="6"/>
  <c r="E2425" i="6"/>
  <c r="E2388" i="6"/>
  <c r="E2403" i="6"/>
  <c r="E2395" i="6"/>
  <c r="E2389" i="6"/>
  <c r="E2380" i="6"/>
  <c r="E2373" i="6"/>
  <c r="E2366" i="6"/>
  <c r="E2494" i="6"/>
  <c r="E2406" i="6"/>
  <c r="E2390" i="6"/>
  <c r="E2477" i="6"/>
  <c r="E2443" i="6"/>
  <c r="E2383" i="6"/>
  <c r="E2378" i="6"/>
  <c r="E2434" i="6"/>
  <c r="E2357" i="6"/>
  <c r="E2350" i="6"/>
  <c r="E2480" i="6"/>
  <c r="E2397" i="6"/>
  <c r="E2384" i="6"/>
  <c r="E2379" i="6"/>
  <c r="E2461" i="6"/>
  <c r="E2449" i="6"/>
  <c r="E2356" i="6"/>
  <c r="E2349" i="6"/>
  <c r="E2342" i="6"/>
  <c r="E2335" i="6"/>
  <c r="E2328" i="6"/>
  <c r="E2321" i="6"/>
  <c r="E2314" i="6"/>
  <c r="E2307" i="6"/>
  <c r="E2300" i="6"/>
  <c r="E2293" i="6"/>
  <c r="E2286" i="6"/>
  <c r="E2279" i="6"/>
  <c r="E2272" i="6"/>
  <c r="E2358" i="6"/>
  <c r="E2353" i="6"/>
  <c r="E2348" i="6"/>
  <c r="E2337" i="6"/>
  <c r="E2318" i="6"/>
  <c r="E2308" i="6"/>
  <c r="E2299" i="6"/>
  <c r="E2288" i="6"/>
  <c r="E2269" i="6"/>
  <c r="E2266" i="6"/>
  <c r="E2259" i="6"/>
  <c r="E2252" i="6"/>
  <c r="E2245" i="6"/>
  <c r="E2238" i="6"/>
  <c r="E2231" i="6"/>
  <c r="E2420" i="6"/>
  <c r="E2405" i="6"/>
  <c r="E2338" i="6"/>
  <c r="E2319" i="6"/>
  <c r="E2289" i="6"/>
  <c r="E2270" i="6"/>
  <c r="E2498" i="6"/>
  <c r="E2482" i="6"/>
  <c r="E2431" i="6"/>
  <c r="E2402" i="6"/>
  <c r="E2359" i="6"/>
  <c r="E2354" i="6"/>
  <c r="E2339" i="6"/>
  <c r="E2329" i="6"/>
  <c r="E2320" i="6"/>
  <c r="E2309" i="6"/>
  <c r="E2290" i="6"/>
  <c r="E2280" i="6"/>
  <c r="E2271" i="6"/>
  <c r="E2265" i="6"/>
  <c r="E2258" i="6"/>
  <c r="E2251" i="6"/>
  <c r="E2244" i="6"/>
  <c r="E2237" i="6"/>
  <c r="E2230" i="6"/>
  <c r="E2491" i="6"/>
  <c r="E2459" i="6"/>
  <c r="E2347" i="6"/>
  <c r="E2310" i="6"/>
  <c r="E2303" i="6"/>
  <c r="E2296" i="6"/>
  <c r="E2263" i="6"/>
  <c r="E2233" i="6"/>
  <c r="E2382" i="6"/>
  <c r="E2364" i="6"/>
  <c r="E2344" i="6"/>
  <c r="E2273" i="6"/>
  <c r="E2254" i="6"/>
  <c r="E2235" i="6"/>
  <c r="E2497" i="6"/>
  <c r="E2417" i="6"/>
  <c r="E2413" i="6"/>
  <c r="E2331" i="6"/>
  <c r="E2324" i="6"/>
  <c r="E2317" i="6"/>
  <c r="E2255" i="6"/>
  <c r="E2236" i="6"/>
  <c r="E2226" i="6"/>
  <c r="E2219" i="6"/>
  <c r="E2212" i="6"/>
  <c r="E2205" i="6"/>
  <c r="E2375" i="6"/>
  <c r="E2362" i="6"/>
  <c r="E2311" i="6"/>
  <c r="E2304" i="6"/>
  <c r="E2297" i="6"/>
  <c r="E2256" i="6"/>
  <c r="E2438" i="6"/>
  <c r="E2423" i="6"/>
  <c r="E2418" i="6"/>
  <c r="E2372" i="6"/>
  <c r="E2369" i="6"/>
  <c r="E2306" i="6"/>
  <c r="E2302" i="6"/>
  <c r="E2298" i="6"/>
  <c r="E2240" i="6"/>
  <c r="E2220" i="6"/>
  <c r="E2211" i="6"/>
  <c r="E2200" i="6"/>
  <c r="E2468" i="6"/>
  <c r="E2396" i="6"/>
  <c r="E2276" i="6"/>
  <c r="E2249" i="6"/>
  <c r="E2221" i="6"/>
  <c r="E2202" i="6"/>
  <c r="E2428" i="6"/>
  <c r="E2360" i="6"/>
  <c r="E2268" i="6"/>
  <c r="E2260" i="6"/>
  <c r="E2232" i="6"/>
  <c r="E2229" i="6"/>
  <c r="E2222" i="6"/>
  <c r="E2203" i="6"/>
  <c r="E2195" i="6"/>
  <c r="E2188" i="6"/>
  <c r="E2181" i="6"/>
  <c r="E2174" i="6"/>
  <c r="E2167" i="6"/>
  <c r="E2160" i="6"/>
  <c r="E2416" i="6"/>
  <c r="E2368" i="6"/>
  <c r="E2365" i="6"/>
  <c r="E2345" i="6"/>
  <c r="E2341" i="6"/>
  <c r="E2223" i="6"/>
  <c r="E2213" i="6"/>
  <c r="E2204" i="6"/>
  <c r="E2456" i="6"/>
  <c r="E2376" i="6"/>
  <c r="E2334" i="6"/>
  <c r="E2295" i="6"/>
  <c r="E2214" i="6"/>
  <c r="E2196" i="6"/>
  <c r="E2409" i="6"/>
  <c r="E2371" i="6"/>
  <c r="E2325" i="6"/>
  <c r="E2292" i="6"/>
  <c r="E2267" i="6"/>
  <c r="E2217" i="6"/>
  <c r="E2191" i="6"/>
  <c r="E2186" i="6"/>
  <c r="E2169" i="6"/>
  <c r="E2164" i="6"/>
  <c r="E2159" i="6"/>
  <c r="E2156" i="6"/>
  <c r="E2149" i="6"/>
  <c r="E2142" i="6"/>
  <c r="E2135" i="6"/>
  <c r="E2128" i="6"/>
  <c r="E2121" i="6"/>
  <c r="E2114" i="6"/>
  <c r="E2107" i="6"/>
  <c r="E2100" i="6"/>
  <c r="E2093" i="6"/>
  <c r="E2086" i="6"/>
  <c r="E2079" i="6"/>
  <c r="E2072" i="6"/>
  <c r="E2065" i="6"/>
  <c r="E2058" i="6"/>
  <c r="E2051" i="6"/>
  <c r="E2044" i="6"/>
  <c r="E2037" i="6"/>
  <c r="E2030" i="6"/>
  <c r="E2023" i="6"/>
  <c r="E2016" i="6"/>
  <c r="E2009" i="6"/>
  <c r="E2002" i="6"/>
  <c r="E1995" i="6"/>
  <c r="E1988" i="6"/>
  <c r="E1981" i="6"/>
  <c r="E1974" i="6"/>
  <c r="E1967" i="6"/>
  <c r="E2445" i="6"/>
  <c r="E2363" i="6"/>
  <c r="E2278" i="6"/>
  <c r="E2247" i="6"/>
  <c r="E2243" i="6"/>
  <c r="E2206" i="6"/>
  <c r="E2175" i="6"/>
  <c r="E2333" i="6"/>
  <c r="E2291" i="6"/>
  <c r="E2275" i="6"/>
  <c r="E2197" i="6"/>
  <c r="E2192" i="6"/>
  <c r="E2187" i="6"/>
  <c r="E2170" i="6"/>
  <c r="E2165" i="6"/>
  <c r="E2155" i="6"/>
  <c r="E2148" i="6"/>
  <c r="E2141" i="6"/>
  <c r="E2134" i="6"/>
  <c r="E2127" i="6"/>
  <c r="E2120" i="6"/>
  <c r="E2113" i="6"/>
  <c r="E2106" i="6"/>
  <c r="E2099" i="6"/>
  <c r="E2092" i="6"/>
  <c r="E2085" i="6"/>
  <c r="E2078" i="6"/>
  <c r="E2071" i="6"/>
  <c r="E2064" i="6"/>
  <c r="E2057" i="6"/>
  <c r="E2050" i="6"/>
  <c r="E2043" i="6"/>
  <c r="E2036" i="6"/>
  <c r="E2029" i="6"/>
  <c r="E2022" i="6"/>
  <c r="E2015" i="6"/>
  <c r="E2008" i="6"/>
  <c r="E2001" i="6"/>
  <c r="E1994" i="6"/>
  <c r="E1987" i="6"/>
  <c r="E1980" i="6"/>
  <c r="E1973" i="6"/>
  <c r="E1966" i="6"/>
  <c r="E2315" i="6"/>
  <c r="E2253" i="6"/>
  <c r="E2117" i="6"/>
  <c r="E2098" i="6"/>
  <c r="E2087" i="6"/>
  <c r="E2068" i="6"/>
  <c r="E2049" i="6"/>
  <c r="E2038" i="6"/>
  <c r="E2019" i="6"/>
  <c r="E2000" i="6"/>
  <c r="E1989" i="6"/>
  <c r="E1970" i="6"/>
  <c r="E2426" i="6"/>
  <c r="E2404" i="6"/>
  <c r="E2346" i="6"/>
  <c r="E2322" i="6"/>
  <c r="E2283" i="6"/>
  <c r="E2234" i="6"/>
  <c r="E2119" i="6"/>
  <c r="E2108" i="6"/>
  <c r="E2089" i="6"/>
  <c r="E2070" i="6"/>
  <c r="E2059" i="6"/>
  <c r="E2040" i="6"/>
  <c r="E2021" i="6"/>
  <c r="E2010" i="6"/>
  <c r="E1991" i="6"/>
  <c r="E1972" i="6"/>
  <c r="E2454" i="6"/>
  <c r="E2330" i="6"/>
  <c r="E2287" i="6"/>
  <c r="E2194" i="6"/>
  <c r="E2184" i="6"/>
  <c r="E2177" i="6"/>
  <c r="E2153" i="6"/>
  <c r="E2136" i="6"/>
  <c r="E2131" i="6"/>
  <c r="E2126" i="6"/>
  <c r="E2109" i="6"/>
  <c r="E2090" i="6"/>
  <c r="E2060" i="6"/>
  <c r="E2041" i="6"/>
  <c r="E2011" i="6"/>
  <c r="E1992" i="6"/>
  <c r="E1961" i="6"/>
  <c r="E1954" i="6"/>
  <c r="E1947" i="6"/>
  <c r="E1940" i="6"/>
  <c r="E1933" i="6"/>
  <c r="E1926" i="6"/>
  <c r="E1919" i="6"/>
  <c r="E1912" i="6"/>
  <c r="E1905" i="6"/>
  <c r="E1898" i="6"/>
  <c r="E1891" i="6"/>
  <c r="E2424" i="6"/>
  <c r="E2264" i="6"/>
  <c r="E2246" i="6"/>
  <c r="E2228" i="6"/>
  <c r="E2189" i="6"/>
  <c r="E2182" i="6"/>
  <c r="E2110" i="6"/>
  <c r="E2091" i="6"/>
  <c r="E2080" i="6"/>
  <c r="E2061" i="6"/>
  <c r="E2042" i="6"/>
  <c r="E2031" i="6"/>
  <c r="E2012" i="6"/>
  <c r="E1993" i="6"/>
  <c r="E1982" i="6"/>
  <c r="E2316" i="6"/>
  <c r="E2225" i="6"/>
  <c r="E2216" i="6"/>
  <c r="E2207" i="6"/>
  <c r="E2162" i="6"/>
  <c r="E2152" i="6"/>
  <c r="E2118" i="6"/>
  <c r="E2115" i="6"/>
  <c r="E2082" i="6"/>
  <c r="E2054" i="6"/>
  <c r="E2026" i="6"/>
  <c r="E1998" i="6"/>
  <c r="E2463" i="6"/>
  <c r="E2442" i="6"/>
  <c r="E2326" i="6"/>
  <c r="E2241" i="6"/>
  <c r="E2176" i="6"/>
  <c r="E2171" i="6"/>
  <c r="E2166" i="6"/>
  <c r="E2145" i="6"/>
  <c r="E2138" i="6"/>
  <c r="E2032" i="6"/>
  <c r="E2004" i="6"/>
  <c r="E1976" i="6"/>
  <c r="E1964" i="6"/>
  <c r="E1959" i="6"/>
  <c r="E1942" i="6"/>
  <c r="E1937" i="6"/>
  <c r="E1932" i="6"/>
  <c r="E1915" i="6"/>
  <c r="E1910" i="6"/>
  <c r="E1893" i="6"/>
  <c r="E2282" i="6"/>
  <c r="E2262" i="6"/>
  <c r="E2157" i="6"/>
  <c r="E2096" i="6"/>
  <c r="E2063" i="6"/>
  <c r="E2035" i="6"/>
  <c r="E2007" i="6"/>
  <c r="E1990" i="6"/>
  <c r="E1979" i="6"/>
  <c r="E1948" i="6"/>
  <c r="E1899" i="6"/>
  <c r="E1888" i="6"/>
  <c r="E1881" i="6"/>
  <c r="E1874" i="6"/>
  <c r="E1867" i="6"/>
  <c r="E1860" i="6"/>
  <c r="E1853" i="6"/>
  <c r="E1846" i="6"/>
  <c r="E1839" i="6"/>
  <c r="E1832" i="6"/>
  <c r="E1825" i="6"/>
  <c r="E1818" i="6"/>
  <c r="E1811" i="6"/>
  <c r="E2336" i="6"/>
  <c r="E2257" i="6"/>
  <c r="E2183" i="6"/>
  <c r="E2178" i="6"/>
  <c r="E2173" i="6"/>
  <c r="E2150" i="6"/>
  <c r="E2143" i="6"/>
  <c r="E2102" i="6"/>
  <c r="E2074" i="6"/>
  <c r="E2046" i="6"/>
  <c r="E2018" i="6"/>
  <c r="E2013" i="6"/>
  <c r="E1985" i="6"/>
  <c r="E1965" i="6"/>
  <c r="E1960" i="6"/>
  <c r="E1943" i="6"/>
  <c r="E1938" i="6"/>
  <c r="E1921" i="6"/>
  <c r="E1916" i="6"/>
  <c r="E1911" i="6"/>
  <c r="E1894" i="6"/>
  <c r="E2069" i="6"/>
  <c r="E2056" i="6"/>
  <c r="E2017" i="6"/>
  <c r="E1975" i="6"/>
  <c r="E1934" i="6"/>
  <c r="E1923" i="6"/>
  <c r="E1892" i="6"/>
  <c r="E1885" i="6"/>
  <c r="E1866" i="6"/>
  <c r="E1855" i="6"/>
  <c r="E1836" i="6"/>
  <c r="E1817" i="6"/>
  <c r="E2483" i="6"/>
  <c r="E2277" i="6"/>
  <c r="E2239" i="6"/>
  <c r="E2198" i="6"/>
  <c r="E2104" i="6"/>
  <c r="E2067" i="6"/>
  <c r="E2034" i="6"/>
  <c r="E1999" i="6"/>
  <c r="E1997" i="6"/>
  <c r="E1969" i="6"/>
  <c r="E1962" i="6"/>
  <c r="E1951" i="6"/>
  <c r="E1920" i="6"/>
  <c r="E1909" i="6"/>
  <c r="E1886" i="6"/>
  <c r="E1875" i="6"/>
  <c r="E1856" i="6"/>
  <c r="E1837" i="6"/>
  <c r="E1826" i="6"/>
  <c r="E2323" i="6"/>
  <c r="E2313" i="6"/>
  <c r="E2218" i="6"/>
  <c r="E2084" i="6"/>
  <c r="E2047" i="6"/>
  <c r="E2045" i="6"/>
  <c r="E2014" i="6"/>
  <c r="E1918" i="6"/>
  <c r="E1901" i="6"/>
  <c r="E1887" i="6"/>
  <c r="E1876" i="6"/>
  <c r="E1857" i="6"/>
  <c r="E1838" i="6"/>
  <c r="E1827" i="6"/>
  <c r="E2210" i="6"/>
  <c r="E2180" i="6"/>
  <c r="E2133" i="6"/>
  <c r="E2097" i="6"/>
  <c r="E2095" i="6"/>
  <c r="E2062" i="6"/>
  <c r="E2027" i="6"/>
  <c r="E2025" i="6"/>
  <c r="E1946" i="6"/>
  <c r="E1929" i="6"/>
  <c r="E1904" i="6"/>
  <c r="E1877" i="6"/>
  <c r="E1858" i="6"/>
  <c r="E1847" i="6"/>
  <c r="E1828" i="6"/>
  <c r="E1800" i="6"/>
  <c r="E1793" i="6"/>
  <c r="E1786" i="6"/>
  <c r="E1779" i="6"/>
  <c r="E1772" i="6"/>
  <c r="E1765" i="6"/>
  <c r="E1758" i="6"/>
  <c r="E1751" i="6"/>
  <c r="E1744" i="6"/>
  <c r="E1737" i="6"/>
  <c r="E1730" i="6"/>
  <c r="E1723" i="6"/>
  <c r="E1716" i="6"/>
  <c r="E1709" i="6"/>
  <c r="E1702" i="6"/>
  <c r="E1695" i="6"/>
  <c r="E1688" i="6"/>
  <c r="E1681" i="6"/>
  <c r="E1674" i="6"/>
  <c r="E1667" i="6"/>
  <c r="E1660" i="6"/>
  <c r="E1653" i="6"/>
  <c r="E1646" i="6"/>
  <c r="E1639" i="6"/>
  <c r="E1632" i="6"/>
  <c r="E1625" i="6"/>
  <c r="E1618" i="6"/>
  <c r="E1611" i="6"/>
  <c r="E1604" i="6"/>
  <c r="E1597" i="6"/>
  <c r="E1590" i="6"/>
  <c r="E2370" i="6"/>
  <c r="E2250" i="6"/>
  <c r="E2377" i="6"/>
  <c r="E2274" i="6"/>
  <c r="E2158" i="6"/>
  <c r="E2154" i="6"/>
  <c r="E2081" i="6"/>
  <c r="E2048" i="6"/>
  <c r="E1963" i="6"/>
  <c r="E1917" i="6"/>
  <c r="E1863" i="6"/>
  <c r="E1835" i="6"/>
  <c r="E1830" i="6"/>
  <c r="E1789" i="6"/>
  <c r="E1770" i="6"/>
  <c r="E1740" i="6"/>
  <c r="E1580" i="6"/>
  <c r="E1573" i="6"/>
  <c r="E1566" i="6"/>
  <c r="E1559" i="6"/>
  <c r="E1552" i="6"/>
  <c r="E1545" i="6"/>
  <c r="E1538" i="6"/>
  <c r="E1531" i="6"/>
  <c r="E1524" i="6"/>
  <c r="E1517" i="6"/>
  <c r="E1510" i="6"/>
  <c r="E1503" i="6"/>
  <c r="E1496" i="6"/>
  <c r="E1489" i="6"/>
  <c r="E1482" i="6"/>
  <c r="E1475" i="6"/>
  <c r="E1468" i="6"/>
  <c r="E1461" i="6"/>
  <c r="E1454" i="6"/>
  <c r="E1447" i="6"/>
  <c r="E1440" i="6"/>
  <c r="E1433" i="6"/>
  <c r="E1426" i="6"/>
  <c r="E1419" i="6"/>
  <c r="E1412" i="6"/>
  <c r="E1405" i="6"/>
  <c r="E1398" i="6"/>
  <c r="E1391" i="6"/>
  <c r="E1384" i="6"/>
  <c r="E1377" i="6"/>
  <c r="E1370" i="6"/>
  <c r="E1363" i="6"/>
  <c r="E1356" i="6"/>
  <c r="E1349" i="6"/>
  <c r="E1342" i="6"/>
  <c r="E1335" i="6"/>
  <c r="E2190" i="6"/>
  <c r="E2151" i="6"/>
  <c r="E2144" i="6"/>
  <c r="E2137" i="6"/>
  <c r="E2124" i="6"/>
  <c r="E2111" i="6"/>
  <c r="E2053" i="6"/>
  <c r="E1906" i="6"/>
  <c r="E1897" i="6"/>
  <c r="E1895" i="6"/>
  <c r="E1872" i="6"/>
  <c r="E1844" i="6"/>
  <c r="E1819" i="6"/>
  <c r="E1816" i="6"/>
  <c r="E1791" i="6"/>
  <c r="E1761" i="6"/>
  <c r="E1742" i="6"/>
  <c r="E1579" i="6"/>
  <c r="E1572" i="6"/>
  <c r="E1565" i="6"/>
  <c r="E1558" i="6"/>
  <c r="E1551" i="6"/>
  <c r="E1544" i="6"/>
  <c r="E1537" i="6"/>
  <c r="E1530" i="6"/>
  <c r="E1523" i="6"/>
  <c r="E1516" i="6"/>
  <c r="E1509" i="6"/>
  <c r="E1502" i="6"/>
  <c r="E1495" i="6"/>
  <c r="E1488" i="6"/>
  <c r="E1481" i="6"/>
  <c r="E1474" i="6"/>
  <c r="E1467" i="6"/>
  <c r="E1460" i="6"/>
  <c r="E1453" i="6"/>
  <c r="E1446" i="6"/>
  <c r="E1439" i="6"/>
  <c r="E1432" i="6"/>
  <c r="E1425" i="6"/>
  <c r="E1418" i="6"/>
  <c r="E1411" i="6"/>
  <c r="E1404" i="6"/>
  <c r="E1397" i="6"/>
  <c r="E1390" i="6"/>
  <c r="E1383" i="6"/>
  <c r="E1376" i="6"/>
  <c r="E1369" i="6"/>
  <c r="E1362" i="6"/>
  <c r="E1355" i="6"/>
  <c r="E1348" i="6"/>
  <c r="E1341" i="6"/>
  <c r="E1334" i="6"/>
  <c r="E2466" i="6"/>
  <c r="E2285" i="6"/>
  <c r="E2261" i="6"/>
  <c r="E2147" i="6"/>
  <c r="E2077" i="6"/>
  <c r="E1945" i="6"/>
  <c r="E1908" i="6"/>
  <c r="E1883" i="6"/>
  <c r="E1878" i="6"/>
  <c r="E1850" i="6"/>
  <c r="E1822" i="6"/>
  <c r="E1801" i="6"/>
  <c r="E1792" i="6"/>
  <c r="E1781" i="6"/>
  <c r="E1762" i="6"/>
  <c r="E1752" i="6"/>
  <c r="E1743" i="6"/>
  <c r="E1732" i="6"/>
  <c r="E1731" i="6"/>
  <c r="E1687" i="6"/>
  <c r="E1686" i="6"/>
  <c r="E1685" i="6"/>
  <c r="E1684" i="6"/>
  <c r="E1683" i="6"/>
  <c r="E1682" i="6"/>
  <c r="E1638" i="6"/>
  <c r="E1637" i="6"/>
  <c r="E1636" i="6"/>
  <c r="E1635" i="6"/>
  <c r="E1634" i="6"/>
  <c r="E1633" i="6"/>
  <c r="E1589" i="6"/>
  <c r="E1588" i="6"/>
  <c r="E1587" i="6"/>
  <c r="E1586" i="6"/>
  <c r="E2361" i="6"/>
  <c r="E2343" i="6"/>
  <c r="E2215" i="6"/>
  <c r="E2052" i="6"/>
  <c r="E2006" i="6"/>
  <c r="E1913" i="6"/>
  <c r="E1871" i="6"/>
  <c r="E1869" i="6"/>
  <c r="E1861" i="6"/>
  <c r="E1851" i="6"/>
  <c r="E1831" i="6"/>
  <c r="E1806" i="6"/>
  <c r="E1803" i="6"/>
  <c r="E1796" i="6"/>
  <c r="E1727" i="6"/>
  <c r="E1718" i="6"/>
  <c r="E1714" i="6"/>
  <c r="E1649" i="6"/>
  <c r="E1645" i="6"/>
  <c r="E1627" i="6"/>
  <c r="E1614" i="6"/>
  <c r="E1610" i="6"/>
  <c r="E1581" i="6"/>
  <c r="E1562" i="6"/>
  <c r="E1543" i="6"/>
  <c r="E1532" i="6"/>
  <c r="E1513" i="6"/>
  <c r="E1494" i="6"/>
  <c r="E1480" i="6"/>
  <c r="E1479" i="6"/>
  <c r="E1478" i="6"/>
  <c r="E1477" i="6"/>
  <c r="E1476" i="6"/>
  <c r="E2327" i="6"/>
  <c r="E2242" i="6"/>
  <c r="E2185" i="6"/>
  <c r="E2168" i="6"/>
  <c r="E2161" i="6"/>
  <c r="E2122" i="6"/>
  <c r="E2075" i="6"/>
  <c r="E2055" i="6"/>
  <c r="E1843" i="6"/>
  <c r="E1841" i="6"/>
  <c r="E1833" i="6"/>
  <c r="E1823" i="6"/>
  <c r="E1773" i="6"/>
  <c r="E1766" i="6"/>
  <c r="E1763" i="6"/>
  <c r="E1759" i="6"/>
  <c r="E1756" i="6"/>
  <c r="E1749" i="6"/>
  <c r="E1710" i="6"/>
  <c r="E1706" i="6"/>
  <c r="E1680" i="6"/>
  <c r="E1671" i="6"/>
  <c r="E1641" i="6"/>
  <c r="E1606" i="6"/>
  <c r="E1602" i="6"/>
  <c r="E1583" i="6"/>
  <c r="E1564" i="6"/>
  <c r="E1553" i="6"/>
  <c r="E1534" i="6"/>
  <c r="E1515" i="6"/>
  <c r="E1504" i="6"/>
  <c r="E2312" i="6"/>
  <c r="E2130" i="6"/>
  <c r="E2024" i="6"/>
  <c r="E1821" i="6"/>
  <c r="E1790" i="6"/>
  <c r="E1736" i="6"/>
  <c r="E1728" i="6"/>
  <c r="E1719" i="6"/>
  <c r="E1715" i="6"/>
  <c r="E1689" i="6"/>
  <c r="E1654" i="6"/>
  <c r="E1650" i="6"/>
  <c r="E1628" i="6"/>
  <c r="E1619" i="6"/>
  <c r="E1615" i="6"/>
  <c r="E1584" i="6"/>
  <c r="E1554" i="6"/>
  <c r="E1535" i="6"/>
  <c r="E1505" i="6"/>
  <c r="E1486" i="6"/>
  <c r="E2355" i="6"/>
  <c r="E2105" i="6"/>
  <c r="E2020" i="6"/>
  <c r="E1968" i="6"/>
  <c r="E2294" i="6"/>
  <c r="E2201" i="6"/>
  <c r="E2146" i="6"/>
  <c r="E2140" i="6"/>
  <c r="E2073" i="6"/>
  <c r="E1955" i="6"/>
  <c r="E1900" i="6"/>
  <c r="E1896" i="6"/>
  <c r="E1862" i="6"/>
  <c r="E1829" i="6"/>
  <c r="E1814" i="6"/>
  <c r="E1783" i="6"/>
  <c r="E1774" i="6"/>
  <c r="E1747" i="6"/>
  <c r="E1726" i="6"/>
  <c r="E1721" i="6"/>
  <c r="E1711" i="6"/>
  <c r="E1678" i="6"/>
  <c r="E1673" i="6"/>
  <c r="E1663" i="6"/>
  <c r="E1640" i="6"/>
  <c r="E1630" i="6"/>
  <c r="E1592" i="6"/>
  <c r="E1574" i="6"/>
  <c r="E1567" i="6"/>
  <c r="E1560" i="6"/>
  <c r="E1533" i="6"/>
  <c r="E2448" i="6"/>
  <c r="E2224" i="6"/>
  <c r="E2116" i="6"/>
  <c r="E1996" i="6"/>
  <c r="E1986" i="6"/>
  <c r="E1977" i="6"/>
  <c r="E1939" i="6"/>
  <c r="E1928" i="6"/>
  <c r="E1914" i="6"/>
  <c r="E1903" i="6"/>
  <c r="E1859" i="6"/>
  <c r="E1824" i="6"/>
  <c r="E1754" i="6"/>
  <c r="E1738" i="6"/>
  <c r="E1729" i="6"/>
  <c r="E1701" i="6"/>
  <c r="E1691" i="6"/>
  <c r="E1668" i="6"/>
  <c r="E1658" i="6"/>
  <c r="E1643" i="6"/>
  <c r="E1620" i="6"/>
  <c r="E1595" i="6"/>
  <c r="E1547" i="6"/>
  <c r="E1540" i="6"/>
  <c r="E2094" i="6"/>
  <c r="E2083" i="6"/>
  <c r="E1924" i="6"/>
  <c r="E1882" i="6"/>
  <c r="E1864" i="6"/>
  <c r="E1849" i="6"/>
  <c r="E1834" i="6"/>
  <c r="E1745" i="6"/>
  <c r="E1734" i="6"/>
  <c r="E1724" i="6"/>
  <c r="E1696" i="6"/>
  <c r="E1694" i="6"/>
  <c r="E1676" i="6"/>
  <c r="E1648" i="6"/>
  <c r="E1600" i="6"/>
  <c r="E1585" i="6"/>
  <c r="E1578" i="6"/>
  <c r="E1571" i="6"/>
  <c r="E1527" i="6"/>
  <c r="E1520" i="6"/>
  <c r="E2352" i="6"/>
  <c r="E2209" i="6"/>
  <c r="E2199" i="6"/>
  <c r="E2139" i="6"/>
  <c r="E2088" i="6"/>
  <c r="E1971" i="6"/>
  <c r="E1958" i="6"/>
  <c r="E1935" i="6"/>
  <c r="E1931" i="6"/>
  <c r="E1927" i="6"/>
  <c r="E1879" i="6"/>
  <c r="E1799" i="6"/>
  <c r="E1797" i="6"/>
  <c r="E1699" i="6"/>
  <c r="E1651" i="6"/>
  <c r="E1605" i="6"/>
  <c r="E1603" i="6"/>
  <c r="E1507" i="6"/>
  <c r="E1500" i="6"/>
  <c r="E1493" i="6"/>
  <c r="E2351" i="6"/>
  <c r="E2132" i="6"/>
  <c r="E2066" i="6"/>
  <c r="E2028" i="6"/>
  <c r="E1889" i="6"/>
  <c r="E1884" i="6"/>
  <c r="E1854" i="6"/>
  <c r="E1804" i="6"/>
  <c r="E1777" i="6"/>
  <c r="E1750" i="6"/>
  <c r="E1704" i="6"/>
  <c r="E2332" i="6"/>
  <c r="E2123" i="6"/>
  <c r="E1978" i="6"/>
  <c r="E1890" i="6"/>
  <c r="E1870" i="6"/>
  <c r="E1815" i="6"/>
  <c r="E1698" i="6"/>
  <c r="E1693" i="6"/>
  <c r="E1679" i="6"/>
  <c r="E1672" i="6"/>
  <c r="E1591" i="6"/>
  <c r="E1519" i="6"/>
  <c r="E1511" i="6"/>
  <c r="E2103" i="6"/>
  <c r="E1708" i="6"/>
  <c r="E1703" i="6"/>
  <c r="E1665" i="6"/>
  <c r="E1623" i="6"/>
  <c r="E1616" i="6"/>
  <c r="E1607" i="6"/>
  <c r="E1582" i="6"/>
  <c r="E1576" i="6"/>
  <c r="E1568" i="6"/>
  <c r="E1466" i="6"/>
  <c r="E1950" i="6"/>
  <c r="E1842" i="6"/>
  <c r="E1807" i="6"/>
  <c r="E1787" i="6"/>
  <c r="E1776" i="6"/>
  <c r="E1764" i="6"/>
  <c r="E1753" i="6"/>
  <c r="E1739" i="6"/>
  <c r="E1700" i="6"/>
  <c r="E1690" i="6"/>
  <c r="E1953" i="6"/>
  <c r="E1944" i="6"/>
  <c r="E1922" i="6"/>
  <c r="E1808" i="6"/>
  <c r="E1713" i="6"/>
  <c r="E1661" i="6"/>
  <c r="E1655" i="6"/>
  <c r="E1652" i="6"/>
  <c r="E1617" i="6"/>
  <c r="E1599" i="6"/>
  <c r="E1596" i="6"/>
  <c r="E1593" i="6"/>
  <c r="E1577" i="6"/>
  <c r="E1529" i="6"/>
  <c r="E1522" i="6"/>
  <c r="E1499" i="6"/>
  <c r="E1487" i="6"/>
  <c r="E1430" i="6"/>
  <c r="E1408" i="6"/>
  <c r="E1385" i="6"/>
  <c r="E1375" i="6"/>
  <c r="E1353" i="6"/>
  <c r="E1340" i="6"/>
  <c r="E1339" i="6"/>
  <c r="E1338" i="6"/>
  <c r="E1337" i="6"/>
  <c r="E1336" i="6"/>
  <c r="E1330" i="6"/>
  <c r="E1323" i="6"/>
  <c r="E1316" i="6"/>
  <c r="E1309" i="6"/>
  <c r="E1302" i="6"/>
  <c r="E1295" i="6"/>
  <c r="E1288" i="6"/>
  <c r="E1281" i="6"/>
  <c r="E1274" i="6"/>
  <c r="E1267" i="6"/>
  <c r="E1260" i="6"/>
  <c r="E1253" i="6"/>
  <c r="E1246" i="6"/>
  <c r="E1239" i="6"/>
  <c r="E1232" i="6"/>
  <c r="E1225" i="6"/>
  <c r="E2284" i="6"/>
  <c r="E1775" i="6"/>
  <c r="E1757" i="6"/>
  <c r="E1670" i="6"/>
  <c r="E2340" i="6"/>
  <c r="E2281" i="6"/>
  <c r="E2208" i="6"/>
  <c r="E2003" i="6"/>
  <c r="E1936" i="6"/>
  <c r="E1768" i="6"/>
  <c r="E1631" i="6"/>
  <c r="E1569" i="6"/>
  <c r="E1472" i="6"/>
  <c r="E1442" i="6"/>
  <c r="E1420" i="6"/>
  <c r="E1410" i="6"/>
  <c r="E1387" i="6"/>
  <c r="E1365" i="6"/>
  <c r="E1329" i="6"/>
  <c r="E1322" i="6"/>
  <c r="E1315" i="6"/>
  <c r="E1308" i="6"/>
  <c r="E1301" i="6"/>
  <c r="E1294" i="6"/>
  <c r="E1952" i="6"/>
  <c r="E1907" i="6"/>
  <c r="E1782" i="6"/>
  <c r="E1746" i="6"/>
  <c r="E1722" i="6"/>
  <c r="E1712" i="6"/>
  <c r="E1669" i="6"/>
  <c r="E1666" i="6"/>
  <c r="E1613" i="6"/>
  <c r="E1556" i="6"/>
  <c r="E1443" i="6"/>
  <c r="E1421" i="6"/>
  <c r="E1399" i="6"/>
  <c r="E1388" i="6"/>
  <c r="E1366" i="6"/>
  <c r="E1343" i="6"/>
  <c r="E2163" i="6"/>
  <c r="E2039" i="6"/>
  <c r="E1852" i="6"/>
  <c r="E1778" i="6"/>
  <c r="E1771" i="6"/>
  <c r="E1725" i="6"/>
  <c r="E1598" i="6"/>
  <c r="E1561" i="6"/>
  <c r="E1528" i="6"/>
  <c r="E1526" i="6"/>
  <c r="E1473" i="6"/>
  <c r="E1462" i="6"/>
  <c r="E1455" i="6"/>
  <c r="E1444" i="6"/>
  <c r="E1422" i="6"/>
  <c r="E1400" i="6"/>
  <c r="E1389" i="6"/>
  <c r="E1367" i="6"/>
  <c r="E1344" i="6"/>
  <c r="E1328" i="6"/>
  <c r="E1321" i="6"/>
  <c r="E1314" i="6"/>
  <c r="E1307" i="6"/>
  <c r="E1300" i="6"/>
  <c r="E1293" i="6"/>
  <c r="E1767" i="6"/>
  <c r="E1629" i="6"/>
  <c r="E1624" i="6"/>
  <c r="E1601" i="6"/>
  <c r="E1525" i="6"/>
  <c r="E1512" i="6"/>
  <c r="E2112" i="6"/>
  <c r="E1820" i="6"/>
  <c r="E1733" i="6"/>
  <c r="E1707" i="6"/>
  <c r="E1647" i="6"/>
  <c r="E1548" i="6"/>
  <c r="E1521" i="6"/>
  <c r="E1518" i="6"/>
  <c r="E1483" i="6"/>
  <c r="E1465" i="6"/>
  <c r="E1449" i="6"/>
  <c r="E1409" i="6"/>
  <c r="E2301" i="6"/>
  <c r="E1812" i="6"/>
  <c r="E1788" i="6"/>
  <c r="E1755" i="6"/>
  <c r="E1697" i="6"/>
  <c r="E1563" i="6"/>
  <c r="E1555" i="6"/>
  <c r="E1541" i="6"/>
  <c r="E1514" i="6"/>
  <c r="E1508" i="6"/>
  <c r="E1498" i="6"/>
  <c r="E1452" i="6"/>
  <c r="E1435" i="6"/>
  <c r="E1429" i="6"/>
  <c r="E1415" i="6"/>
  <c r="E1956" i="6"/>
  <c r="E1717" i="6"/>
  <c r="E1664" i="6"/>
  <c r="E1880" i="6"/>
  <c r="E1873" i="6"/>
  <c r="E1865" i="6"/>
  <c r="E1810" i="6"/>
  <c r="E1798" i="6"/>
  <c r="E1570" i="6"/>
  <c r="E1501" i="6"/>
  <c r="E1491" i="6"/>
  <c r="E1485" i="6"/>
  <c r="E1441" i="6"/>
  <c r="E2179" i="6"/>
  <c r="E2076" i="6"/>
  <c r="E1840" i="6"/>
  <c r="E1805" i="6"/>
  <c r="E1735" i="6"/>
  <c r="E1659" i="6"/>
  <c r="E1490" i="6"/>
  <c r="E1463" i="6"/>
  <c r="E1434" i="6"/>
  <c r="E1392" i="6"/>
  <c r="E1371" i="6"/>
  <c r="E1357" i="6"/>
  <c r="E1354" i="6"/>
  <c r="E1351" i="6"/>
  <c r="E1317" i="6"/>
  <c r="E1312" i="6"/>
  <c r="E1273" i="6"/>
  <c r="E1224" i="6"/>
  <c r="E1220" i="6"/>
  <c r="E1213" i="6"/>
  <c r="E1206" i="6"/>
  <c r="E1199" i="6"/>
  <c r="E1192" i="6"/>
  <c r="E1185" i="6"/>
  <c r="E1178" i="6"/>
  <c r="E1171" i="6"/>
  <c r="E1164" i="6"/>
  <c r="E1157" i="6"/>
  <c r="E1150" i="6"/>
  <c r="E1143" i="6"/>
  <c r="E1136" i="6"/>
  <c r="E1129" i="6"/>
  <c r="E1122" i="6"/>
  <c r="E1115" i="6"/>
  <c r="E1108" i="6"/>
  <c r="E1101" i="6"/>
  <c r="E1094" i="6"/>
  <c r="E1087" i="6"/>
  <c r="E1080" i="6"/>
  <c r="E1073" i="6"/>
  <c r="E1066" i="6"/>
  <c r="E1059" i="6"/>
  <c r="E1052" i="6"/>
  <c r="E1045" i="6"/>
  <c r="E1038" i="6"/>
  <c r="E1031" i="6"/>
  <c r="E1024" i="6"/>
  <c r="E1017" i="6"/>
  <c r="E1010" i="6"/>
  <c r="E1003" i="6"/>
  <c r="E996" i="6"/>
  <c r="E989" i="6"/>
  <c r="E982" i="6"/>
  <c r="E975" i="6"/>
  <c r="E968" i="6"/>
  <c r="E961" i="6"/>
  <c r="E954" i="6"/>
  <c r="E947" i="6"/>
  <c r="E940" i="6"/>
  <c r="E933" i="6"/>
  <c r="E926" i="6"/>
  <c r="E919" i="6"/>
  <c r="E912" i="6"/>
  <c r="E1983" i="6"/>
  <c r="E1760" i="6"/>
  <c r="E1594" i="6"/>
  <c r="E1575" i="6"/>
  <c r="E1471" i="6"/>
  <c r="E1448" i="6"/>
  <c r="E1417" i="6"/>
  <c r="E1346" i="6"/>
  <c r="E1333" i="6"/>
  <c r="E1318" i="6"/>
  <c r="E1313" i="6"/>
  <c r="E1296" i="6"/>
  <c r="E1280" i="6"/>
  <c r="E1231" i="6"/>
  <c r="E1219" i="6"/>
  <c r="E1212" i="6"/>
  <c r="E1205" i="6"/>
  <c r="E1198" i="6"/>
  <c r="E1191" i="6"/>
  <c r="E1184" i="6"/>
  <c r="E1177" i="6"/>
  <c r="E1170" i="6"/>
  <c r="E1163" i="6"/>
  <c r="E1156" i="6"/>
  <c r="E1149" i="6"/>
  <c r="E1142" i="6"/>
  <c r="E1135" i="6"/>
  <c r="E1128" i="6"/>
  <c r="E1121" i="6"/>
  <c r="E1114" i="6"/>
  <c r="E1107" i="6"/>
  <c r="E1100" i="6"/>
  <c r="E1093" i="6"/>
  <c r="E1086" i="6"/>
  <c r="E1079" i="6"/>
  <c r="E1072" i="6"/>
  <c r="E1065" i="6"/>
  <c r="E1058" i="6"/>
  <c r="E1051" i="6"/>
  <c r="E1044" i="6"/>
  <c r="E1037" i="6"/>
  <c r="E1030" i="6"/>
  <c r="E1023" i="6"/>
  <c r="E1016" i="6"/>
  <c r="E1009" i="6"/>
  <c r="E1002" i="6"/>
  <c r="E995" i="6"/>
  <c r="E988" i="6"/>
  <c r="E981" i="6"/>
  <c r="E974" i="6"/>
  <c r="E967" i="6"/>
  <c r="E960" i="6"/>
  <c r="E953" i="6"/>
  <c r="E946" i="6"/>
  <c r="E939" i="6"/>
  <c r="E932" i="6"/>
  <c r="E925" i="6"/>
  <c r="E918" i="6"/>
  <c r="E911" i="6"/>
  <c r="E2172" i="6"/>
  <c r="E2005" i="6"/>
  <c r="E1902" i="6"/>
  <c r="E1644" i="6"/>
  <c r="E1622" i="6"/>
  <c r="E1608" i="6"/>
  <c r="E1557" i="6"/>
  <c r="E1450" i="6"/>
  <c r="E1406" i="6"/>
  <c r="E1402" i="6"/>
  <c r="E1374" i="6"/>
  <c r="E1286" i="6"/>
  <c r="E1285" i="6"/>
  <c r="E1284" i="6"/>
  <c r="E1283" i="6"/>
  <c r="E1282" i="6"/>
  <c r="E1237" i="6"/>
  <c r="E1236" i="6"/>
  <c r="E1235" i="6"/>
  <c r="E1234" i="6"/>
  <c r="E1233" i="6"/>
  <c r="E2125" i="6"/>
  <c r="E1784" i="6"/>
  <c r="E1657" i="6"/>
  <c r="E1457" i="6"/>
  <c r="E1414" i="6"/>
  <c r="E1395" i="6"/>
  <c r="E1393" i="6"/>
  <c r="E1386" i="6"/>
  <c r="E1358" i="6"/>
  <c r="E1352" i="6"/>
  <c r="E1292" i="6"/>
  <c r="E1291" i="6"/>
  <c r="E1290" i="6"/>
  <c r="E1289" i="6"/>
  <c r="E1244" i="6"/>
  <c r="E1243" i="6"/>
  <c r="E1242" i="6"/>
  <c r="E1241" i="6"/>
  <c r="E1240" i="6"/>
  <c r="E1941" i="6"/>
  <c r="E1795" i="6"/>
  <c r="E1497" i="6"/>
  <c r="E1401" i="6"/>
  <c r="E1396" i="6"/>
  <c r="E1381" i="6"/>
  <c r="E1326" i="6"/>
  <c r="E1279" i="6"/>
  <c r="E1259" i="6"/>
  <c r="E1229" i="6"/>
  <c r="E1207" i="6"/>
  <c r="E1202" i="6"/>
  <c r="E1180" i="6"/>
  <c r="E1175" i="6"/>
  <c r="E1158" i="6"/>
  <c r="E1153" i="6"/>
  <c r="E1131" i="6"/>
  <c r="E1126" i="6"/>
  <c r="E1109" i="6"/>
  <c r="E1104" i="6"/>
  <c r="E1082" i="6"/>
  <c r="E1077" i="6"/>
  <c r="E1060" i="6"/>
  <c r="E1055" i="6"/>
  <c r="E1033" i="6"/>
  <c r="E1028" i="6"/>
  <c r="E1011" i="6"/>
  <c r="E1006" i="6"/>
  <c r="E984" i="6"/>
  <c r="E979" i="6"/>
  <c r="E962" i="6"/>
  <c r="E957" i="6"/>
  <c r="E935" i="6"/>
  <c r="E930" i="6"/>
  <c r="E913" i="6"/>
  <c r="E896" i="6"/>
  <c r="E895" i="6"/>
  <c r="E879" i="6"/>
  <c r="E863" i="6"/>
  <c r="E847" i="6"/>
  <c r="E846" i="6"/>
  <c r="E1794" i="6"/>
  <c r="E1438" i="6"/>
  <c r="E1319" i="6"/>
  <c r="E1269" i="6"/>
  <c r="E1256" i="6"/>
  <c r="E1197" i="6"/>
  <c r="E1148" i="6"/>
  <c r="E1099" i="6"/>
  <c r="E1050" i="6"/>
  <c r="E1001" i="6"/>
  <c r="E952" i="6"/>
  <c r="E894" i="6"/>
  <c r="E878" i="6"/>
  <c r="E862" i="6"/>
  <c r="E845" i="6"/>
  <c r="E835" i="6"/>
  <c r="E828" i="6"/>
  <c r="E821" i="6"/>
  <c r="E814" i="6"/>
  <c r="E807" i="6"/>
  <c r="E800" i="6"/>
  <c r="E793" i="6"/>
  <c r="E786" i="6"/>
  <c r="E779" i="6"/>
  <c r="E772" i="6"/>
  <c r="E765" i="6"/>
  <c r="E758" i="6"/>
  <c r="E751" i="6"/>
  <c r="E744" i="6"/>
  <c r="E737" i="6"/>
  <c r="E730" i="6"/>
  <c r="E723" i="6"/>
  <c r="E716" i="6"/>
  <c r="E709" i="6"/>
  <c r="E702" i="6"/>
  <c r="E695" i="6"/>
  <c r="E688" i="6"/>
  <c r="E1609" i="6"/>
  <c r="E1539" i="6"/>
  <c r="E1428" i="6"/>
  <c r="E1403" i="6"/>
  <c r="E1378" i="6"/>
  <c r="E1331" i="6"/>
  <c r="E1276" i="6"/>
  <c r="E1266" i="6"/>
  <c r="E1226" i="6"/>
  <c r="E1208" i="6"/>
  <c r="E1203" i="6"/>
  <c r="E1186" i="6"/>
  <c r="E1181" i="6"/>
  <c r="E1159" i="6"/>
  <c r="E1154" i="6"/>
  <c r="E1137" i="6"/>
  <c r="E1132" i="6"/>
  <c r="E1110" i="6"/>
  <c r="E1105" i="6"/>
  <c r="E1088" i="6"/>
  <c r="E1083" i="6"/>
  <c r="E1061" i="6"/>
  <c r="E1056" i="6"/>
  <c r="E1039" i="6"/>
  <c r="E1034" i="6"/>
  <c r="E1012" i="6"/>
  <c r="E1007" i="6"/>
  <c r="E990" i="6"/>
  <c r="E985" i="6"/>
  <c r="E963" i="6"/>
  <c r="E958" i="6"/>
  <c r="E941" i="6"/>
  <c r="E936" i="6"/>
  <c r="E914" i="6"/>
  <c r="E893" i="6"/>
  <c r="E877" i="6"/>
  <c r="E861" i="6"/>
  <c r="E860" i="6"/>
  <c r="E844" i="6"/>
  <c r="E2305" i="6"/>
  <c r="E2129" i="6"/>
  <c r="E1769" i="6"/>
  <c r="E1677" i="6"/>
  <c r="E1469" i="6"/>
  <c r="E1458" i="6"/>
  <c r="E1431" i="6"/>
  <c r="E1347" i="6"/>
  <c r="E1345" i="6"/>
  <c r="E1324" i="6"/>
  <c r="E1263" i="6"/>
  <c r="E1250" i="6"/>
  <c r="E1223" i="6"/>
  <c r="E1176" i="6"/>
  <c r="E1127" i="6"/>
  <c r="E1078" i="6"/>
  <c r="E1029" i="6"/>
  <c r="E980" i="6"/>
  <c r="E931" i="6"/>
  <c r="E909" i="6"/>
  <c r="E908" i="6"/>
  <c r="E892" i="6"/>
  <c r="E876" i="6"/>
  <c r="E859" i="6"/>
  <c r="E843" i="6"/>
  <c r="E834" i="6"/>
  <c r="E827" i="6"/>
  <c r="E820" i="6"/>
  <c r="E813" i="6"/>
  <c r="E806" i="6"/>
  <c r="E799" i="6"/>
  <c r="E792" i="6"/>
  <c r="E785" i="6"/>
  <c r="E778" i="6"/>
  <c r="E771" i="6"/>
  <c r="E764" i="6"/>
  <c r="E757" i="6"/>
  <c r="E750" i="6"/>
  <c r="E743" i="6"/>
  <c r="E736" i="6"/>
  <c r="E729" i="6"/>
  <c r="E722" i="6"/>
  <c r="E715" i="6"/>
  <c r="E708" i="6"/>
  <c r="E701" i="6"/>
  <c r="E694" i="6"/>
  <c r="E687" i="6"/>
  <c r="E2101" i="6"/>
  <c r="E1930" i="6"/>
  <c r="E1705" i="6"/>
  <c r="E1621" i="6"/>
  <c r="E1423" i="6"/>
  <c r="E1359" i="6"/>
  <c r="E1325" i="6"/>
  <c r="E1320" i="6"/>
  <c r="E1311" i="6"/>
  <c r="E1306" i="6"/>
  <c r="E1201" i="6"/>
  <c r="E1194" i="6"/>
  <c r="E1187" i="6"/>
  <c r="E1146" i="6"/>
  <c r="E1139" i="6"/>
  <c r="E1098" i="6"/>
  <c r="E1091" i="6"/>
  <c r="E1084" i="6"/>
  <c r="E1081" i="6"/>
  <c r="E1074" i="6"/>
  <c r="E1067" i="6"/>
  <c r="E1026" i="6"/>
  <c r="E1019" i="6"/>
  <c r="E978" i="6"/>
  <c r="E971" i="6"/>
  <c r="E964" i="6"/>
  <c r="E923" i="6"/>
  <c r="E916" i="6"/>
  <c r="E900" i="6"/>
  <c r="E888" i="6"/>
  <c r="E867" i="6"/>
  <c r="E680" i="6"/>
  <c r="E664" i="6"/>
  <c r="E648" i="6"/>
  <c r="E631" i="6"/>
  <c r="E615" i="6"/>
  <c r="E599" i="6"/>
  <c r="E582" i="6"/>
  <c r="E566" i="6"/>
  <c r="E550" i="6"/>
  <c r="E533" i="6"/>
  <c r="E517" i="6"/>
  <c r="E501" i="6"/>
  <c r="E484" i="6"/>
  <c r="E468" i="6"/>
  <c r="E455" i="6"/>
  <c r="E448" i="6"/>
  <c r="E441" i="6"/>
  <c r="E434" i="6"/>
  <c r="E427" i="6"/>
  <c r="E420" i="6"/>
  <c r="E413" i="6"/>
  <c r="E406" i="6"/>
  <c r="E399" i="6"/>
  <c r="E1848" i="6"/>
  <c r="E1802" i="6"/>
  <c r="E1720" i="6"/>
  <c r="E1506" i="6"/>
  <c r="E1451" i="6"/>
  <c r="E1437" i="6"/>
  <c r="E1413" i="6"/>
  <c r="E1350" i="6"/>
  <c r="E1218" i="6"/>
  <c r="E1211" i="6"/>
  <c r="E1204" i="6"/>
  <c r="E1043" i="6"/>
  <c r="E1036" i="6"/>
  <c r="E855" i="6"/>
  <c r="E838" i="6"/>
  <c r="E833" i="6"/>
  <c r="E816" i="6"/>
  <c r="E811" i="6"/>
  <c r="E794" i="6"/>
  <c r="E789" i="6"/>
  <c r="E784" i="6"/>
  <c r="E767" i="6"/>
  <c r="E762" i="6"/>
  <c r="E745" i="6"/>
  <c r="E740" i="6"/>
  <c r="E735" i="6"/>
  <c r="E718" i="6"/>
  <c r="E713" i="6"/>
  <c r="E696" i="6"/>
  <c r="E691" i="6"/>
  <c r="E686" i="6"/>
  <c r="E679" i="6"/>
  <c r="E663" i="6"/>
  <c r="E647" i="6"/>
  <c r="E646" i="6"/>
  <c r="E630" i="6"/>
  <c r="E614" i="6"/>
  <c r="E598" i="6"/>
  <c r="E597" i="6"/>
  <c r="E581" i="6"/>
  <c r="E565" i="6"/>
  <c r="E549" i="6"/>
  <c r="E548" i="6"/>
  <c r="E532" i="6"/>
  <c r="E516" i="6"/>
  <c r="E1662" i="6"/>
  <c r="E1427" i="6"/>
  <c r="E1380" i="6"/>
  <c r="E1327" i="6"/>
  <c r="E1303" i="6"/>
  <c r="E1298" i="6"/>
  <c r="E1216" i="6"/>
  <c r="E1209" i="6"/>
  <c r="E1168" i="6"/>
  <c r="E1161" i="6"/>
  <c r="E1151" i="6"/>
  <c r="E1144" i="6"/>
  <c r="E1103" i="6"/>
  <c r="E1096" i="6"/>
  <c r="E1089" i="6"/>
  <c r="E1048" i="6"/>
  <c r="E1041" i="6"/>
  <c r="E1000" i="6"/>
  <c r="E993" i="6"/>
  <c r="E986" i="6"/>
  <c r="E983" i="6"/>
  <c r="E976" i="6"/>
  <c r="E969" i="6"/>
  <c r="E928" i="6"/>
  <c r="E921" i="6"/>
  <c r="E905" i="6"/>
  <c r="E884" i="6"/>
  <c r="E872" i="6"/>
  <c r="E851" i="6"/>
  <c r="E678" i="6"/>
  <c r="E662" i="6"/>
  <c r="E645" i="6"/>
  <c r="E629" i="6"/>
  <c r="E613" i="6"/>
  <c r="E596" i="6"/>
  <c r="E580" i="6"/>
  <c r="E564" i="6"/>
  <c r="E547" i="6"/>
  <c r="E531" i="6"/>
  <c r="E515" i="6"/>
  <c r="E1785" i="6"/>
  <c r="E1675" i="6"/>
  <c r="E1484" i="6"/>
  <c r="E1287" i="6"/>
  <c r="E1257" i="6"/>
  <c r="E1251" i="6"/>
  <c r="E1247" i="6"/>
  <c r="E1120" i="6"/>
  <c r="E1113" i="6"/>
  <c r="E1106" i="6"/>
  <c r="E945" i="6"/>
  <c r="E938" i="6"/>
  <c r="E901" i="6"/>
  <c r="E880" i="6"/>
  <c r="E839" i="6"/>
  <c r="E822" i="6"/>
  <c r="E817" i="6"/>
  <c r="E812" i="6"/>
  <c r="E795" i="6"/>
  <c r="E790" i="6"/>
  <c r="E773" i="6"/>
  <c r="E768" i="6"/>
  <c r="E763" i="6"/>
  <c r="E746" i="6"/>
  <c r="E741" i="6"/>
  <c r="E724" i="6"/>
  <c r="E719" i="6"/>
  <c r="E714" i="6"/>
  <c r="E697" i="6"/>
  <c r="E692" i="6"/>
  <c r="E677" i="6"/>
  <c r="E661" i="6"/>
  <c r="E660" i="6"/>
  <c r="E644" i="6"/>
  <c r="E628" i="6"/>
  <c r="E612" i="6"/>
  <c r="E611" i="6"/>
  <c r="E595" i="6"/>
  <c r="E579" i="6"/>
  <c r="E563" i="6"/>
  <c r="E562" i="6"/>
  <c r="E546" i="6"/>
  <c r="E530" i="6"/>
  <c r="E514" i="6"/>
  <c r="E513" i="6"/>
  <c r="E1925" i="6"/>
  <c r="E1868" i="6"/>
  <c r="E1845" i="6"/>
  <c r="E1748" i="6"/>
  <c r="E1492" i="6"/>
  <c r="E1464" i="6"/>
  <c r="E1445" i="6"/>
  <c r="E1373" i="6"/>
  <c r="E1271" i="6"/>
  <c r="E1265" i="6"/>
  <c r="E1261" i="6"/>
  <c r="E1255" i="6"/>
  <c r="E1249" i="6"/>
  <c r="E1221" i="6"/>
  <c r="E1190" i="6"/>
  <c r="E1183" i="6"/>
  <c r="E1022" i="6"/>
  <c r="E1015" i="6"/>
  <c r="E1008" i="6"/>
  <c r="E906" i="6"/>
  <c r="E897" i="6"/>
  <c r="E885" i="6"/>
  <c r="E873" i="6"/>
  <c r="E864" i="6"/>
  <c r="E852" i="6"/>
  <c r="E823" i="6"/>
  <c r="E818" i="6"/>
  <c r="E801" i="6"/>
  <c r="E796" i="6"/>
  <c r="E791" i="6"/>
  <c r="E774" i="6"/>
  <c r="E769" i="6"/>
  <c r="E752" i="6"/>
  <c r="E747" i="6"/>
  <c r="E742" i="6"/>
  <c r="E725" i="6"/>
  <c r="E720" i="6"/>
  <c r="E703" i="6"/>
  <c r="E698" i="6"/>
  <c r="E693" i="6"/>
  <c r="E675" i="6"/>
  <c r="E674" i="6"/>
  <c r="E658" i="6"/>
  <c r="E642" i="6"/>
  <c r="E626" i="6"/>
  <c r="E625" i="6"/>
  <c r="E609" i="6"/>
  <c r="E593" i="6"/>
  <c r="E577" i="6"/>
  <c r="E576" i="6"/>
  <c r="E560" i="6"/>
  <c r="E544" i="6"/>
  <c r="E528" i="6"/>
  <c r="E527" i="6"/>
  <c r="E511" i="6"/>
  <c r="E495" i="6"/>
  <c r="E479" i="6"/>
  <c r="E478" i="6"/>
  <c r="E462" i="6"/>
  <c r="E7" i="6"/>
  <c r="E14" i="6"/>
  <c r="E21" i="6"/>
  <c r="E28" i="6"/>
  <c r="E35" i="6"/>
  <c r="E42" i="6"/>
  <c r="E49" i="6"/>
  <c r="E56" i="6"/>
  <c r="E63" i="6"/>
  <c r="E70" i="6"/>
  <c r="E77" i="6"/>
  <c r="E84" i="6"/>
  <c r="E91" i="6"/>
  <c r="E98" i="6"/>
  <c r="E105" i="6"/>
  <c r="E112" i="6"/>
  <c r="E119" i="6"/>
  <c r="E126" i="6"/>
  <c r="E133" i="6"/>
  <c r="E140" i="6"/>
  <c r="E147" i="6"/>
  <c r="E154" i="6"/>
  <c r="E161" i="6"/>
  <c r="E168" i="6"/>
  <c r="E175" i="6"/>
  <c r="E182" i="6"/>
  <c r="E189" i="6"/>
  <c r="E196" i="6"/>
  <c r="E203" i="6"/>
  <c r="E210" i="6"/>
  <c r="E217" i="6"/>
  <c r="E224" i="6"/>
  <c r="E231" i="6"/>
  <c r="E238" i="6"/>
  <c r="E245" i="6"/>
  <c r="E252" i="6"/>
  <c r="E259" i="6"/>
  <c r="E266" i="6"/>
  <c r="E273" i="6"/>
  <c r="E280" i="6"/>
  <c r="E287" i="6"/>
  <c r="E294" i="6"/>
  <c r="E301" i="6"/>
  <c r="E308" i="6"/>
  <c r="E315" i="6"/>
  <c r="E322" i="6"/>
  <c r="E329" i="6"/>
  <c r="E336" i="6"/>
  <c r="E343" i="6"/>
  <c r="E350" i="6"/>
  <c r="E357" i="6"/>
  <c r="E364" i="6"/>
  <c r="E371" i="6"/>
  <c r="E378" i="6"/>
  <c r="E385" i="6"/>
  <c r="E392" i="6"/>
  <c r="E397" i="6"/>
  <c r="E398" i="6"/>
  <c r="F399" i="6"/>
  <c r="F400" i="6"/>
  <c r="F401" i="6"/>
  <c r="F402" i="6"/>
  <c r="E446" i="6"/>
  <c r="E447" i="6"/>
  <c r="F448" i="6"/>
  <c r="F449" i="6"/>
  <c r="F450" i="6"/>
  <c r="F451" i="6"/>
  <c r="E466" i="6"/>
  <c r="E488" i="6"/>
  <c r="F489" i="6"/>
  <c r="E509" i="6"/>
  <c r="E518" i="6"/>
  <c r="F525" i="6"/>
  <c r="F528" i="6"/>
  <c r="E537" i="6"/>
  <c r="F553" i="6"/>
  <c r="E556" i="6"/>
  <c r="F572" i="6"/>
  <c r="E584" i="6"/>
  <c r="F591" i="6"/>
  <c r="E594" i="6"/>
  <c r="F600" i="6"/>
  <c r="F619" i="6"/>
  <c r="E638" i="6"/>
  <c r="E657" i="6"/>
  <c r="E666" i="6"/>
  <c r="F710" i="6"/>
  <c r="F712" i="6"/>
  <c r="F727" i="6"/>
  <c r="E731" i="6"/>
  <c r="E733" i="6"/>
  <c r="E748" i="6"/>
  <c r="F815" i="6"/>
  <c r="F830" i="6"/>
  <c r="F832" i="6"/>
  <c r="E836" i="6"/>
  <c r="F850" i="6"/>
  <c r="F854" i="6"/>
  <c r="E858" i="6"/>
  <c r="E883" i="6"/>
  <c r="F897" i="6"/>
  <c r="F939" i="6"/>
  <c r="F960" i="6"/>
  <c r="F971" i="6"/>
  <c r="F992" i="6"/>
  <c r="F1019" i="6"/>
  <c r="F1107" i="6"/>
  <c r="F1128" i="6"/>
  <c r="F1139" i="6"/>
  <c r="F1231" i="6"/>
  <c r="F1309" i="6"/>
  <c r="F1336" i="6"/>
  <c r="E1368" i="6"/>
  <c r="E1394" i="6"/>
  <c r="E1470" i="6"/>
  <c r="F1617" i="6"/>
  <c r="E1780" i="6"/>
  <c r="F1998" i="6"/>
  <c r="E2227" i="6"/>
  <c r="F343" i="6"/>
  <c r="F350" i="6"/>
  <c r="F357" i="6"/>
  <c r="F364" i="6"/>
  <c r="F371" i="6"/>
  <c r="F378" i="6"/>
  <c r="F385" i="6"/>
  <c r="F392" i="6"/>
  <c r="E393" i="6"/>
  <c r="E394" i="6"/>
  <c r="E395" i="6"/>
  <c r="E396" i="6"/>
  <c r="F397" i="6"/>
  <c r="F398" i="6"/>
  <c r="E442" i="6"/>
  <c r="E443" i="6"/>
  <c r="E444" i="6"/>
  <c r="E445" i="6"/>
  <c r="F446" i="6"/>
  <c r="F447" i="6"/>
  <c r="E465" i="6"/>
  <c r="F466" i="6"/>
  <c r="E477" i="6"/>
  <c r="E487" i="6"/>
  <c r="F488" i="6"/>
  <c r="E499" i="6"/>
  <c r="E505" i="6"/>
  <c r="F509" i="6"/>
  <c r="E512" i="6"/>
  <c r="F518" i="6"/>
  <c r="E521" i="6"/>
  <c r="F537" i="6"/>
  <c r="F556" i="6"/>
  <c r="E575" i="6"/>
  <c r="E578" i="6"/>
  <c r="F584" i="6"/>
  <c r="E603" i="6"/>
  <c r="E622" i="6"/>
  <c r="F638" i="6"/>
  <c r="E641" i="6"/>
  <c r="E650" i="6"/>
  <c r="F666" i="6"/>
  <c r="E669" i="6"/>
  <c r="F731" i="6"/>
  <c r="F733" i="6"/>
  <c r="E739" i="6"/>
  <c r="F748" i="6"/>
  <c r="F752" i="6"/>
  <c r="E754" i="6"/>
  <c r="E756" i="6"/>
  <c r="F769" i="6"/>
  <c r="F836" i="6"/>
  <c r="E848" i="6"/>
  <c r="E856" i="6"/>
  <c r="F879" i="6"/>
  <c r="F883" i="6"/>
  <c r="E887" i="6"/>
  <c r="E891" i="6"/>
  <c r="E934" i="6"/>
  <c r="E955" i="6"/>
  <c r="E966" i="6"/>
  <c r="E987" i="6"/>
  <c r="E1027" i="6"/>
  <c r="E1054" i="6"/>
  <c r="E1075" i="6"/>
  <c r="E1102" i="6"/>
  <c r="E1123" i="6"/>
  <c r="E1134" i="6"/>
  <c r="E1147" i="6"/>
  <c r="E1155" i="6"/>
  <c r="E1174" i="6"/>
  <c r="E1195" i="6"/>
  <c r="E1275" i="6"/>
  <c r="F1359" i="6"/>
  <c r="F1440" i="6"/>
  <c r="E1813" i="6"/>
  <c r="E2248" i="6"/>
  <c r="F2496" i="6"/>
  <c r="F2489" i="6"/>
  <c r="F2482" i="6"/>
  <c r="F2475" i="6"/>
  <c r="F2468" i="6"/>
  <c r="F2461" i="6"/>
  <c r="F2454" i="6"/>
  <c r="F2447" i="6"/>
  <c r="F2440" i="6"/>
  <c r="F2433" i="6"/>
  <c r="F2495" i="6"/>
  <c r="F2488" i="6"/>
  <c r="F2481" i="6"/>
  <c r="F2474" i="6"/>
  <c r="F2467" i="6"/>
  <c r="F2460" i="6"/>
  <c r="F2453" i="6"/>
  <c r="F2446" i="6"/>
  <c r="F2439" i="6"/>
  <c r="F2432" i="6"/>
  <c r="F2500" i="6"/>
  <c r="F2493" i="6"/>
  <c r="F2486" i="6"/>
  <c r="F2479" i="6"/>
  <c r="F2472" i="6"/>
  <c r="F2465" i="6"/>
  <c r="F2499" i="6"/>
  <c r="F2473" i="6"/>
  <c r="F2452" i="6"/>
  <c r="F2430" i="6"/>
  <c r="F2476" i="6"/>
  <c r="F2457" i="6"/>
  <c r="F2441" i="6"/>
  <c r="F2436" i="6"/>
  <c r="F2421" i="6"/>
  <c r="F2414" i="6"/>
  <c r="F2407" i="6"/>
  <c r="F2400" i="6"/>
  <c r="F2485" i="6"/>
  <c r="F2431" i="6"/>
  <c r="F2487" i="6"/>
  <c r="F2483" i="6"/>
  <c r="F2477" i="6"/>
  <c r="F2427" i="6"/>
  <c r="F2420" i="6"/>
  <c r="F2409" i="6"/>
  <c r="F2411" i="6"/>
  <c r="F2469" i="6"/>
  <c r="F2458" i="6"/>
  <c r="F2450" i="6"/>
  <c r="F2412" i="6"/>
  <c r="F2401" i="6"/>
  <c r="F2398" i="6"/>
  <c r="F2391" i="6"/>
  <c r="F2384" i="6"/>
  <c r="F2498" i="6"/>
  <c r="F2494" i="6"/>
  <c r="F2442" i="6"/>
  <c r="F2413" i="6"/>
  <c r="F2402" i="6"/>
  <c r="F2429" i="6"/>
  <c r="F2425" i="6"/>
  <c r="F2388" i="6"/>
  <c r="F2408" i="6"/>
  <c r="F2403" i="6"/>
  <c r="F2395" i="6"/>
  <c r="F2389" i="6"/>
  <c r="F2380" i="6"/>
  <c r="F2373" i="6"/>
  <c r="F2366" i="6"/>
  <c r="F2478" i="6"/>
  <c r="F2470" i="6"/>
  <c r="F2455" i="6"/>
  <c r="F2444" i="6"/>
  <c r="F2406" i="6"/>
  <c r="F2390" i="6"/>
  <c r="F2497" i="6"/>
  <c r="F2462" i="6"/>
  <c r="F2448" i="6"/>
  <c r="F2437" i="6"/>
  <c r="F2417" i="6"/>
  <c r="F2396" i="6"/>
  <c r="F2379" i="6"/>
  <c r="F2372" i="6"/>
  <c r="F2365" i="6"/>
  <c r="F2434" i="6"/>
  <c r="F2410" i="6"/>
  <c r="F2386" i="6"/>
  <c r="F2357" i="6"/>
  <c r="F2350" i="6"/>
  <c r="F2343" i="6"/>
  <c r="F2336" i="6"/>
  <c r="F2329" i="6"/>
  <c r="F2322" i="6"/>
  <c r="F2315" i="6"/>
  <c r="F2308" i="6"/>
  <c r="F2301" i="6"/>
  <c r="F2294" i="6"/>
  <c r="F2287" i="6"/>
  <c r="F2280" i="6"/>
  <c r="F2273" i="6"/>
  <c r="F2492" i="6"/>
  <c r="F2480" i="6"/>
  <c r="F2397" i="6"/>
  <c r="F2394" i="6"/>
  <c r="F2367" i="6"/>
  <c r="F2449" i="6"/>
  <c r="F2399" i="6"/>
  <c r="F2392" i="6"/>
  <c r="F2356" i="6"/>
  <c r="F2349" i="6"/>
  <c r="F2342" i="6"/>
  <c r="F2335" i="6"/>
  <c r="F2328" i="6"/>
  <c r="F2321" i="6"/>
  <c r="F2314" i="6"/>
  <c r="F2307" i="6"/>
  <c r="F2300" i="6"/>
  <c r="F2293" i="6"/>
  <c r="F2286" i="6"/>
  <c r="F2279" i="6"/>
  <c r="F2272" i="6"/>
  <c r="F2491" i="6"/>
  <c r="F2484" i="6"/>
  <c r="F2405" i="6"/>
  <c r="F2368" i="6"/>
  <c r="F2338" i="6"/>
  <c r="F2319" i="6"/>
  <c r="F2289" i="6"/>
  <c r="F2270" i="6"/>
  <c r="F2359" i="6"/>
  <c r="F2354" i="6"/>
  <c r="F2339" i="6"/>
  <c r="F2320" i="6"/>
  <c r="F2309" i="6"/>
  <c r="F2290" i="6"/>
  <c r="F2271" i="6"/>
  <c r="F2265" i="6"/>
  <c r="F2258" i="6"/>
  <c r="F2251" i="6"/>
  <c r="F2244" i="6"/>
  <c r="F2237" i="6"/>
  <c r="F2230" i="6"/>
  <c r="F2435" i="6"/>
  <c r="F2426" i="6"/>
  <c r="F2378" i="6"/>
  <c r="F2371" i="6"/>
  <c r="F2340" i="6"/>
  <c r="F2310" i="6"/>
  <c r="F2291" i="6"/>
  <c r="F2471" i="6"/>
  <c r="F2422" i="6"/>
  <c r="F2418" i="6"/>
  <c r="F2393" i="6"/>
  <c r="F2341" i="6"/>
  <c r="F2334" i="6"/>
  <c r="F2327" i="6"/>
  <c r="F2283" i="6"/>
  <c r="F2276" i="6"/>
  <c r="F2269" i="6"/>
  <c r="F2264" i="6"/>
  <c r="F2253" i="6"/>
  <c r="F2234" i="6"/>
  <c r="F2227" i="6"/>
  <c r="F2220" i="6"/>
  <c r="F2213" i="6"/>
  <c r="F2206" i="6"/>
  <c r="F2199" i="6"/>
  <c r="F2331" i="6"/>
  <c r="F2324" i="6"/>
  <c r="F2317" i="6"/>
  <c r="F2255" i="6"/>
  <c r="F2236" i="6"/>
  <c r="F2226" i="6"/>
  <c r="F2219" i="6"/>
  <c r="F2212" i="6"/>
  <c r="F2205" i="6"/>
  <c r="F2198" i="6"/>
  <c r="F2375" i="6"/>
  <c r="F2362" i="6"/>
  <c r="F2348" i="6"/>
  <c r="F2311" i="6"/>
  <c r="F2304" i="6"/>
  <c r="F2297" i="6"/>
  <c r="F2256" i="6"/>
  <c r="F2245" i="6"/>
  <c r="F2463" i="6"/>
  <c r="F2377" i="6"/>
  <c r="F2284" i="6"/>
  <c r="F2277" i="6"/>
  <c r="F2257" i="6"/>
  <c r="F2246" i="6"/>
  <c r="F2381" i="6"/>
  <c r="F2363" i="6"/>
  <c r="F2352" i="6"/>
  <c r="F2316" i="6"/>
  <c r="F2282" i="6"/>
  <c r="F2278" i="6"/>
  <c r="F2274" i="6"/>
  <c r="F2254" i="6"/>
  <c r="F2243" i="6"/>
  <c r="F2228" i="6"/>
  <c r="F2201" i="6"/>
  <c r="F2196" i="6"/>
  <c r="F2189" i="6"/>
  <c r="F2182" i="6"/>
  <c r="F2175" i="6"/>
  <c r="F2168" i="6"/>
  <c r="F2161" i="6"/>
  <c r="F2428" i="6"/>
  <c r="F2360" i="6"/>
  <c r="F2268" i="6"/>
  <c r="F2260" i="6"/>
  <c r="F2235" i="6"/>
  <c r="F2232" i="6"/>
  <c r="F2229" i="6"/>
  <c r="F2222" i="6"/>
  <c r="F2203" i="6"/>
  <c r="F2195" i="6"/>
  <c r="F2188" i="6"/>
  <c r="F2181" i="6"/>
  <c r="F2174" i="6"/>
  <c r="F2167" i="6"/>
  <c r="F2160" i="6"/>
  <c r="F2459" i="6"/>
  <c r="F2443" i="6"/>
  <c r="F2416" i="6"/>
  <c r="F2345" i="6"/>
  <c r="F2266" i="6"/>
  <c r="F2263" i="6"/>
  <c r="F2238" i="6"/>
  <c r="F2223" i="6"/>
  <c r="F2204" i="6"/>
  <c r="F2374" i="6"/>
  <c r="F2333" i="6"/>
  <c r="F2325" i="6"/>
  <c r="F2241" i="6"/>
  <c r="F2224" i="6"/>
  <c r="F2194" i="6"/>
  <c r="F2187" i="6"/>
  <c r="F2180" i="6"/>
  <c r="F2173" i="6"/>
  <c r="F2166" i="6"/>
  <c r="F2159" i="6"/>
  <c r="F2292" i="6"/>
  <c r="F2267" i="6"/>
  <c r="F2217" i="6"/>
  <c r="F2191" i="6"/>
  <c r="F2186" i="6"/>
  <c r="F2169" i="6"/>
  <c r="F2164" i="6"/>
  <c r="F2156" i="6"/>
  <c r="F2149" i="6"/>
  <c r="F2142" i="6"/>
  <c r="F2135" i="6"/>
  <c r="F2128" i="6"/>
  <c r="F2445" i="6"/>
  <c r="F2419" i="6"/>
  <c r="F2306" i="6"/>
  <c r="F2303" i="6"/>
  <c r="F2247" i="6"/>
  <c r="F2200" i="6"/>
  <c r="F2275" i="6"/>
  <c r="F2197" i="6"/>
  <c r="F2192" i="6"/>
  <c r="F2170" i="6"/>
  <c r="F2165" i="6"/>
  <c r="F2155" i="6"/>
  <c r="F2148" i="6"/>
  <c r="F2141" i="6"/>
  <c r="F2134" i="6"/>
  <c r="F2127" i="6"/>
  <c r="F2120" i="6"/>
  <c r="F2113" i="6"/>
  <c r="F2106" i="6"/>
  <c r="F2099" i="6"/>
  <c r="F2092" i="6"/>
  <c r="F2085" i="6"/>
  <c r="F2078" i="6"/>
  <c r="F2071" i="6"/>
  <c r="F2064" i="6"/>
  <c r="F2057" i="6"/>
  <c r="F2050" i="6"/>
  <c r="F2043" i="6"/>
  <c r="F2036" i="6"/>
  <c r="F2029" i="6"/>
  <c r="F2022" i="6"/>
  <c r="F2015" i="6"/>
  <c r="F2008" i="6"/>
  <c r="F2001" i="6"/>
  <c r="F1994" i="6"/>
  <c r="F1987" i="6"/>
  <c r="F1980" i="6"/>
  <c r="F1973" i="6"/>
  <c r="F1966" i="6"/>
  <c r="F2466" i="6"/>
  <c r="F2424" i="6"/>
  <c r="F2383" i="6"/>
  <c r="F2347" i="6"/>
  <c r="F2305" i="6"/>
  <c r="F2209" i="6"/>
  <c r="F2382" i="6"/>
  <c r="F2323" i="6"/>
  <c r="F2296" i="6"/>
  <c r="F2288" i="6"/>
  <c r="F2262" i="6"/>
  <c r="F2215" i="6"/>
  <c r="F2179" i="6"/>
  <c r="F2172" i="6"/>
  <c r="F2162" i="6"/>
  <c r="F2157" i="6"/>
  <c r="F2152" i="6"/>
  <c r="F2147" i="6"/>
  <c r="F2130" i="6"/>
  <c r="F2125" i="6"/>
  <c r="F2118" i="6"/>
  <c r="F2107" i="6"/>
  <c r="F2088" i="6"/>
  <c r="F2069" i="6"/>
  <c r="F2058" i="6"/>
  <c r="F2039" i="6"/>
  <c r="F2020" i="6"/>
  <c r="F2009" i="6"/>
  <c r="F1990" i="6"/>
  <c r="F1971" i="6"/>
  <c r="F1962" i="6"/>
  <c r="F1955" i="6"/>
  <c r="F1948" i="6"/>
  <c r="F1941" i="6"/>
  <c r="F1934" i="6"/>
  <c r="F1927" i="6"/>
  <c r="F1920" i="6"/>
  <c r="F1913" i="6"/>
  <c r="F1906" i="6"/>
  <c r="F1899" i="6"/>
  <c r="F1892" i="6"/>
  <c r="F2415" i="6"/>
  <c r="F2330" i="6"/>
  <c r="F2249" i="6"/>
  <c r="F2202" i="6"/>
  <c r="F2184" i="6"/>
  <c r="F2177" i="6"/>
  <c r="F2153" i="6"/>
  <c r="F2136" i="6"/>
  <c r="F2131" i="6"/>
  <c r="F2126" i="6"/>
  <c r="F2109" i="6"/>
  <c r="F2090" i="6"/>
  <c r="F2079" i="6"/>
  <c r="F2060" i="6"/>
  <c r="F2041" i="6"/>
  <c r="F2030" i="6"/>
  <c r="F2011" i="6"/>
  <c r="F1992" i="6"/>
  <c r="F1981" i="6"/>
  <c r="F1961" i="6"/>
  <c r="F1954" i="6"/>
  <c r="F1947" i="6"/>
  <c r="F1940" i="6"/>
  <c r="F1933" i="6"/>
  <c r="F1926" i="6"/>
  <c r="F1919" i="6"/>
  <c r="F1912" i="6"/>
  <c r="F1905" i="6"/>
  <c r="F1898" i="6"/>
  <c r="F2490" i="6"/>
  <c r="F2358" i="6"/>
  <c r="F2295" i="6"/>
  <c r="F2240" i="6"/>
  <c r="F2231" i="6"/>
  <c r="F2110" i="6"/>
  <c r="F2091" i="6"/>
  <c r="F2080" i="6"/>
  <c r="F2061" i="6"/>
  <c r="F2042" i="6"/>
  <c r="F2031" i="6"/>
  <c r="F2012" i="6"/>
  <c r="F1993" i="6"/>
  <c r="F1982" i="6"/>
  <c r="F2353" i="6"/>
  <c r="F2326" i="6"/>
  <c r="F2318" i="6"/>
  <c r="F2158" i="6"/>
  <c r="F2154" i="6"/>
  <c r="F2137" i="6"/>
  <c r="F2132" i="6"/>
  <c r="F2111" i="6"/>
  <c r="F2100" i="6"/>
  <c r="F2081" i="6"/>
  <c r="F2062" i="6"/>
  <c r="F2051" i="6"/>
  <c r="F2032" i="6"/>
  <c r="F2013" i="6"/>
  <c r="F2002" i="6"/>
  <c r="F1983" i="6"/>
  <c r="F1960" i="6"/>
  <c r="F1953" i="6"/>
  <c r="F1946" i="6"/>
  <c r="F1939" i="6"/>
  <c r="F1932" i="6"/>
  <c r="F1925" i="6"/>
  <c r="F1918" i="6"/>
  <c r="F1911" i="6"/>
  <c r="F1904" i="6"/>
  <c r="F1897" i="6"/>
  <c r="F2464" i="6"/>
  <c r="F2337" i="6"/>
  <c r="F2299" i="6"/>
  <c r="F2176" i="6"/>
  <c r="F2171" i="6"/>
  <c r="F2145" i="6"/>
  <c r="F2138" i="6"/>
  <c r="F2121" i="6"/>
  <c r="F2093" i="6"/>
  <c r="F2065" i="6"/>
  <c r="F2040" i="6"/>
  <c r="F2037" i="6"/>
  <c r="F2004" i="6"/>
  <c r="F2376" i="6"/>
  <c r="F2096" i="6"/>
  <c r="F2068" i="6"/>
  <c r="F2063" i="6"/>
  <c r="F2035" i="6"/>
  <c r="F2007" i="6"/>
  <c r="F1979" i="6"/>
  <c r="F1888" i="6"/>
  <c r="F1881" i="6"/>
  <c r="F1874" i="6"/>
  <c r="F1867" i="6"/>
  <c r="F1860" i="6"/>
  <c r="F1853" i="6"/>
  <c r="F1846" i="6"/>
  <c r="F1839" i="6"/>
  <c r="F1832" i="6"/>
  <c r="F1825" i="6"/>
  <c r="F1818" i="6"/>
  <c r="F1811" i="6"/>
  <c r="F2183" i="6"/>
  <c r="F2178" i="6"/>
  <c r="F2150" i="6"/>
  <c r="F2143" i="6"/>
  <c r="F2102" i="6"/>
  <c r="F2074" i="6"/>
  <c r="F2046" i="6"/>
  <c r="F2021" i="6"/>
  <c r="F2018" i="6"/>
  <c r="F1985" i="6"/>
  <c r="F1965" i="6"/>
  <c r="F1943" i="6"/>
  <c r="F1938" i="6"/>
  <c r="F1921" i="6"/>
  <c r="F1916" i="6"/>
  <c r="F1894" i="6"/>
  <c r="F2313" i="6"/>
  <c r="F2298" i="6"/>
  <c r="F2261" i="6"/>
  <c r="F2218" i="6"/>
  <c r="F2105" i="6"/>
  <c r="F2077" i="6"/>
  <c r="F2052" i="6"/>
  <c r="F2049" i="6"/>
  <c r="F2024" i="6"/>
  <c r="F1996" i="6"/>
  <c r="F1968" i="6"/>
  <c r="F1887" i="6"/>
  <c r="F1880" i="6"/>
  <c r="F1873" i="6"/>
  <c r="F1866" i="6"/>
  <c r="F1859" i="6"/>
  <c r="F1852" i="6"/>
  <c r="F1845" i="6"/>
  <c r="F1838" i="6"/>
  <c r="F1831" i="6"/>
  <c r="F1824" i="6"/>
  <c r="F1817" i="6"/>
  <c r="F2451" i="6"/>
  <c r="F2387" i="6"/>
  <c r="F2346" i="6"/>
  <c r="F2239" i="6"/>
  <c r="F2211" i="6"/>
  <c r="F2119" i="6"/>
  <c r="F2104" i="6"/>
  <c r="F2067" i="6"/>
  <c r="F2034" i="6"/>
  <c r="F2010" i="6"/>
  <c r="F1999" i="6"/>
  <c r="F1997" i="6"/>
  <c r="F1995" i="6"/>
  <c r="F1989" i="6"/>
  <c r="F1969" i="6"/>
  <c r="F1951" i="6"/>
  <c r="F1909" i="6"/>
  <c r="F1886" i="6"/>
  <c r="F1875" i="6"/>
  <c r="F1856" i="6"/>
  <c r="F1837" i="6"/>
  <c r="F1826" i="6"/>
  <c r="F1801" i="6"/>
  <c r="F1794" i="6"/>
  <c r="F1787" i="6"/>
  <c r="F1780" i="6"/>
  <c r="F1773" i="6"/>
  <c r="F1766" i="6"/>
  <c r="F1759" i="6"/>
  <c r="F1752" i="6"/>
  <c r="F1745" i="6"/>
  <c r="F1738" i="6"/>
  <c r="F2423" i="6"/>
  <c r="F2233" i="6"/>
  <c r="F2117" i="6"/>
  <c r="F2115" i="6"/>
  <c r="F2084" i="6"/>
  <c r="F2082" i="6"/>
  <c r="F2047" i="6"/>
  <c r="F2045" i="6"/>
  <c r="F2014" i="6"/>
  <c r="F1967" i="6"/>
  <c r="F1937" i="6"/>
  <c r="F1901" i="6"/>
  <c r="F1876" i="6"/>
  <c r="F1857" i="6"/>
  <c r="F1827" i="6"/>
  <c r="F2210" i="6"/>
  <c r="F2133" i="6"/>
  <c r="F2108" i="6"/>
  <c r="F2097" i="6"/>
  <c r="F2095" i="6"/>
  <c r="F2027" i="6"/>
  <c r="F2025" i="6"/>
  <c r="F2023" i="6"/>
  <c r="F1929" i="6"/>
  <c r="F1877" i="6"/>
  <c r="F1858" i="6"/>
  <c r="F1847" i="6"/>
  <c r="F1828" i="6"/>
  <c r="F1800" i="6"/>
  <c r="F1793" i="6"/>
  <c r="F1786" i="6"/>
  <c r="F1779" i="6"/>
  <c r="F1772" i="6"/>
  <c r="F1765" i="6"/>
  <c r="F1758" i="6"/>
  <c r="F1751" i="6"/>
  <c r="F1744" i="6"/>
  <c r="F1737" i="6"/>
  <c r="F1730" i="6"/>
  <c r="F1723" i="6"/>
  <c r="F1716" i="6"/>
  <c r="F1709" i="6"/>
  <c r="F1702" i="6"/>
  <c r="F1695" i="6"/>
  <c r="F1688" i="6"/>
  <c r="F1681" i="6"/>
  <c r="F1674" i="6"/>
  <c r="F1667" i="6"/>
  <c r="F1660" i="6"/>
  <c r="F1653" i="6"/>
  <c r="F1646" i="6"/>
  <c r="F1639" i="6"/>
  <c r="F1632" i="6"/>
  <c r="F1625" i="6"/>
  <c r="F1618" i="6"/>
  <c r="F1611" i="6"/>
  <c r="F1604" i="6"/>
  <c r="F1597" i="6"/>
  <c r="F1590" i="6"/>
  <c r="F2385" i="6"/>
  <c r="F2361" i="6"/>
  <c r="F2214" i="6"/>
  <c r="F2112" i="6"/>
  <c r="F2075" i="6"/>
  <c r="F2073" i="6"/>
  <c r="F2038" i="6"/>
  <c r="F2005" i="6"/>
  <c r="F2003" i="6"/>
  <c r="F1957" i="6"/>
  <c r="F1915" i="6"/>
  <c r="F1896" i="6"/>
  <c r="F1878" i="6"/>
  <c r="F1848" i="6"/>
  <c r="F1829" i="6"/>
  <c r="F2351" i="6"/>
  <c r="F2054" i="6"/>
  <c r="F1984" i="6"/>
  <c r="F1976" i="6"/>
  <c r="F1930" i="6"/>
  <c r="F1928" i="6"/>
  <c r="F1893" i="6"/>
  <c r="F1891" i="6"/>
  <c r="F1869" i="6"/>
  <c r="F1841" i="6"/>
  <c r="F1813" i="6"/>
  <c r="F1807" i="6"/>
  <c r="F1790" i="6"/>
  <c r="F1771" i="6"/>
  <c r="F1760" i="6"/>
  <c r="F1741" i="6"/>
  <c r="F1729" i="6"/>
  <c r="F1728" i="6"/>
  <c r="F1727" i="6"/>
  <c r="F1726" i="6"/>
  <c r="F1725" i="6"/>
  <c r="F1724" i="6"/>
  <c r="F1680" i="6"/>
  <c r="F1679" i="6"/>
  <c r="F1678" i="6"/>
  <c r="F1677" i="6"/>
  <c r="F1676" i="6"/>
  <c r="F1675" i="6"/>
  <c r="F1631" i="6"/>
  <c r="F1630" i="6"/>
  <c r="F1629" i="6"/>
  <c r="F1628" i="6"/>
  <c r="F1627" i="6"/>
  <c r="F1626" i="6"/>
  <c r="F2344" i="6"/>
  <c r="F2285" i="6"/>
  <c r="F2026" i="6"/>
  <c r="F2017" i="6"/>
  <c r="F1945" i="6"/>
  <c r="F1910" i="6"/>
  <c r="F1908" i="6"/>
  <c r="F1883" i="6"/>
  <c r="F1855" i="6"/>
  <c r="F1850" i="6"/>
  <c r="F1822" i="6"/>
  <c r="F1792" i="6"/>
  <c r="F1781" i="6"/>
  <c r="F1762" i="6"/>
  <c r="F1743" i="6"/>
  <c r="F1732" i="6"/>
  <c r="F1731" i="6"/>
  <c r="F1687" i="6"/>
  <c r="F1686" i="6"/>
  <c r="F1685" i="6"/>
  <c r="F1684" i="6"/>
  <c r="F1683" i="6"/>
  <c r="F1682" i="6"/>
  <c r="F1638" i="6"/>
  <c r="F1637" i="6"/>
  <c r="F1636" i="6"/>
  <c r="F1635" i="6"/>
  <c r="F1634" i="6"/>
  <c r="F1633" i="6"/>
  <c r="F1589" i="6"/>
  <c r="F1588" i="6"/>
  <c r="F1587" i="6"/>
  <c r="F1586" i="6"/>
  <c r="F2370" i="6"/>
  <c r="F2207" i="6"/>
  <c r="F2185" i="6"/>
  <c r="F2140" i="6"/>
  <c r="F2114" i="6"/>
  <c r="F2083" i="6"/>
  <c r="F2016" i="6"/>
  <c r="F1986" i="6"/>
  <c r="F1978" i="6"/>
  <c r="F1970" i="6"/>
  <c r="F1958" i="6"/>
  <c r="F1956" i="6"/>
  <c r="F1949" i="6"/>
  <c r="F1889" i="6"/>
  <c r="F1861" i="6"/>
  <c r="F1833" i="6"/>
  <c r="F1782" i="6"/>
  <c r="F1763" i="6"/>
  <c r="F1733" i="6"/>
  <c r="F1585" i="6"/>
  <c r="F1578" i="6"/>
  <c r="F1571" i="6"/>
  <c r="F1564" i="6"/>
  <c r="F1557" i="6"/>
  <c r="F1550" i="6"/>
  <c r="F1543" i="6"/>
  <c r="F1536" i="6"/>
  <c r="F1529" i="6"/>
  <c r="F1522" i="6"/>
  <c r="F1515" i="6"/>
  <c r="F1508" i="6"/>
  <c r="F1501" i="6"/>
  <c r="F1494" i="6"/>
  <c r="F1487" i="6"/>
  <c r="F2281" i="6"/>
  <c r="F2139" i="6"/>
  <c r="F2076" i="6"/>
  <c r="F2056" i="6"/>
  <c r="F1963" i="6"/>
  <c r="F1935" i="6"/>
  <c r="F1907" i="6"/>
  <c r="F1885" i="6"/>
  <c r="F1865" i="6"/>
  <c r="F1849" i="6"/>
  <c r="F1783" i="6"/>
  <c r="F1776" i="6"/>
  <c r="F1769" i="6"/>
  <c r="F1742" i="6"/>
  <c r="F1697" i="6"/>
  <c r="F1693" i="6"/>
  <c r="F1662" i="6"/>
  <c r="F1658" i="6"/>
  <c r="F1623" i="6"/>
  <c r="F1593" i="6"/>
  <c r="F1582" i="6"/>
  <c r="F1572" i="6"/>
  <c r="F1563" i="6"/>
  <c r="F1552" i="6"/>
  <c r="F1533" i="6"/>
  <c r="F1523" i="6"/>
  <c r="F1514" i="6"/>
  <c r="F1503" i="6"/>
  <c r="F1481" i="6"/>
  <c r="F2312" i="6"/>
  <c r="F2221" i="6"/>
  <c r="F2087" i="6"/>
  <c r="F1821" i="6"/>
  <c r="F1819" i="6"/>
  <c r="F1736" i="6"/>
  <c r="F1719" i="6"/>
  <c r="F1715" i="6"/>
  <c r="F1689" i="6"/>
  <c r="F1654" i="6"/>
  <c r="F1650" i="6"/>
  <c r="F1619" i="6"/>
  <c r="F1615" i="6"/>
  <c r="F1584" i="6"/>
  <c r="F1573" i="6"/>
  <c r="F1554" i="6"/>
  <c r="F1544" i="6"/>
  <c r="F1535" i="6"/>
  <c r="F1524" i="6"/>
  <c r="F1505" i="6"/>
  <c r="F1495" i="6"/>
  <c r="F2094" i="6"/>
  <c r="F2086" i="6"/>
  <c r="F2048" i="6"/>
  <c r="F2028" i="6"/>
  <c r="F1835" i="6"/>
  <c r="F1815" i="6"/>
  <c r="F1809" i="6"/>
  <c r="F1804" i="6"/>
  <c r="F1797" i="6"/>
  <c r="F1753" i="6"/>
  <c r="F1746" i="6"/>
  <c r="F1739" i="6"/>
  <c r="F1698" i="6"/>
  <c r="F1694" i="6"/>
  <c r="F1663" i="6"/>
  <c r="F1659" i="6"/>
  <c r="F1624" i="6"/>
  <c r="F1598" i="6"/>
  <c r="F1594" i="6"/>
  <c r="F1574" i="6"/>
  <c r="F1555" i="6"/>
  <c r="F1525" i="6"/>
  <c r="F1506" i="6"/>
  <c r="F2404" i="6"/>
  <c r="F2151" i="6"/>
  <c r="F2101" i="6"/>
  <c r="F1975" i="6"/>
  <c r="F2456" i="6"/>
  <c r="F2259" i="6"/>
  <c r="F2116" i="6"/>
  <c r="F1977" i="6"/>
  <c r="F1959" i="6"/>
  <c r="F1914" i="6"/>
  <c r="F1903" i="6"/>
  <c r="F1754" i="6"/>
  <c r="F1706" i="6"/>
  <c r="F1701" i="6"/>
  <c r="F1691" i="6"/>
  <c r="F1668" i="6"/>
  <c r="F1643" i="6"/>
  <c r="F1620" i="6"/>
  <c r="F1595" i="6"/>
  <c r="F1547" i="6"/>
  <c r="F1540" i="6"/>
  <c r="F1496" i="6"/>
  <c r="F1489" i="6"/>
  <c r="F2122" i="6"/>
  <c r="F2089" i="6"/>
  <c r="F1924" i="6"/>
  <c r="F1917" i="6"/>
  <c r="F1882" i="6"/>
  <c r="F1864" i="6"/>
  <c r="F1844" i="6"/>
  <c r="F1834" i="6"/>
  <c r="F1734" i="6"/>
  <c r="F1696" i="6"/>
  <c r="F1648" i="6"/>
  <c r="F1610" i="6"/>
  <c r="F1600" i="6"/>
  <c r="F1537" i="6"/>
  <c r="F1530" i="6"/>
  <c r="F1527" i="6"/>
  <c r="F1520" i="6"/>
  <c r="F1513" i="6"/>
  <c r="F1486" i="6"/>
  <c r="F1480" i="6"/>
  <c r="F2355" i="6"/>
  <c r="F2252" i="6"/>
  <c r="F2190" i="6"/>
  <c r="F1931" i="6"/>
  <c r="F1879" i="6"/>
  <c r="F1799" i="6"/>
  <c r="F1770" i="6"/>
  <c r="F1699" i="6"/>
  <c r="F1651" i="6"/>
  <c r="F1605" i="6"/>
  <c r="F1603" i="6"/>
  <c r="F1581" i="6"/>
  <c r="F1507" i="6"/>
  <c r="F1500" i="6"/>
  <c r="F1493" i="6"/>
  <c r="F2438" i="6"/>
  <c r="F2066" i="6"/>
  <c r="F2055" i="6"/>
  <c r="F1991" i="6"/>
  <c r="F1884" i="6"/>
  <c r="F1854" i="6"/>
  <c r="F1836" i="6"/>
  <c r="F1816" i="6"/>
  <c r="F1777" i="6"/>
  <c r="F1761" i="6"/>
  <c r="F1750" i="6"/>
  <c r="F1714" i="6"/>
  <c r="F1704" i="6"/>
  <c r="F1671" i="6"/>
  <c r="F1666" i="6"/>
  <c r="F1656" i="6"/>
  <c r="F1608" i="6"/>
  <c r="F1575" i="6"/>
  <c r="F1568" i="6"/>
  <c r="F1561" i="6"/>
  <c r="F1534" i="6"/>
  <c r="F1517" i="6"/>
  <c r="F1510" i="6"/>
  <c r="F2332" i="6"/>
  <c r="F2250" i="6"/>
  <c r="F2072" i="6"/>
  <c r="F2033" i="6"/>
  <c r="F1950" i="6"/>
  <c r="F1923" i="6"/>
  <c r="F1895" i="6"/>
  <c r="F1851" i="6"/>
  <c r="F1788" i="6"/>
  <c r="F1784" i="6"/>
  <c r="F1757" i="6"/>
  <c r="F1707" i="6"/>
  <c r="F2369" i="6"/>
  <c r="F2242" i="6"/>
  <c r="F1988" i="6"/>
  <c r="F2070" i="6"/>
  <c r="F2053" i="6"/>
  <c r="F2044" i="6"/>
  <c r="F1964" i="6"/>
  <c r="F1952" i="6"/>
  <c r="F1922" i="6"/>
  <c r="F1748" i="6"/>
  <c r="F1740" i="6"/>
  <c r="F1711" i="6"/>
  <c r="F1670" i="6"/>
  <c r="F1644" i="6"/>
  <c r="F1621" i="6"/>
  <c r="F1612" i="6"/>
  <c r="F1509" i="6"/>
  <c r="F1499" i="6"/>
  <c r="F1491" i="6"/>
  <c r="F2216" i="6"/>
  <c r="F2019" i="6"/>
  <c r="F2000" i="6"/>
  <c r="F1900" i="6"/>
  <c r="F1862" i="6"/>
  <c r="F1842" i="6"/>
  <c r="F1830" i="6"/>
  <c r="F1764" i="6"/>
  <c r="F1721" i="6"/>
  <c r="F1700" i="6"/>
  <c r="F1690" i="6"/>
  <c r="F1614" i="6"/>
  <c r="F1558" i="6"/>
  <c r="F1556" i="6"/>
  <c r="F1548" i="6"/>
  <c r="F1485" i="6"/>
  <c r="F1473" i="6"/>
  <c r="F1452" i="6"/>
  <c r="F1451" i="6"/>
  <c r="F1450" i="6"/>
  <c r="F1449" i="6"/>
  <c r="F1448" i="6"/>
  <c r="F1447" i="6"/>
  <c r="F1403" i="6"/>
  <c r="F1402" i="6"/>
  <c r="F1401" i="6"/>
  <c r="F1400" i="6"/>
  <c r="F1399" i="6"/>
  <c r="F1398" i="6"/>
  <c r="F1354" i="6"/>
  <c r="F1353" i="6"/>
  <c r="F1352" i="6"/>
  <c r="F1351" i="6"/>
  <c r="F1350" i="6"/>
  <c r="F1349" i="6"/>
  <c r="F2129" i="6"/>
  <c r="F1944" i="6"/>
  <c r="F1798" i="6"/>
  <c r="F1795" i="6"/>
  <c r="F1713" i="6"/>
  <c r="F1609" i="6"/>
  <c r="F1570" i="6"/>
  <c r="F1566" i="6"/>
  <c r="F1562" i="6"/>
  <c r="F2123" i="6"/>
  <c r="F1972" i="6"/>
  <c r="F1843" i="6"/>
  <c r="F1775" i="6"/>
  <c r="F1747" i="6"/>
  <c r="F1567" i="6"/>
  <c r="F1545" i="6"/>
  <c r="F1538" i="6"/>
  <c r="F1492" i="6"/>
  <c r="F1483" i="6"/>
  <c r="F1476" i="6"/>
  <c r="F1453" i="6"/>
  <c r="F1441" i="6"/>
  <c r="F1431" i="6"/>
  <c r="F1419" i="6"/>
  <c r="F1409" i="6"/>
  <c r="F1397" i="6"/>
  <c r="F1386" i="6"/>
  <c r="F1364" i="6"/>
  <c r="F1341" i="6"/>
  <c r="F2208" i="6"/>
  <c r="F1936" i="6"/>
  <c r="F1863" i="6"/>
  <c r="F1768" i="6"/>
  <c r="F1703" i="6"/>
  <c r="F1649" i="6"/>
  <c r="F1569" i="6"/>
  <c r="F1722" i="6"/>
  <c r="F1712" i="6"/>
  <c r="F1669" i="6"/>
  <c r="F1616" i="6"/>
  <c r="F1613" i="6"/>
  <c r="F1579" i="6"/>
  <c r="F1559" i="6"/>
  <c r="F1531" i="6"/>
  <c r="F1454" i="6"/>
  <c r="F1443" i="6"/>
  <c r="F1432" i="6"/>
  <c r="F1421" i="6"/>
  <c r="F1388" i="6"/>
  <c r="F1366" i="6"/>
  <c r="F1355" i="6"/>
  <c r="F1343" i="6"/>
  <c r="F2163" i="6"/>
  <c r="F1872" i="6"/>
  <c r="F1778" i="6"/>
  <c r="F1672" i="6"/>
  <c r="F1640" i="6"/>
  <c r="F1528" i="6"/>
  <c r="F1526" i="6"/>
  <c r="F1479" i="6"/>
  <c r="F1468" i="6"/>
  <c r="F1462" i="6"/>
  <c r="F1455" i="6"/>
  <c r="F1444" i="6"/>
  <c r="F1422" i="6"/>
  <c r="F1411" i="6"/>
  <c r="F1389" i="6"/>
  <c r="F1377" i="6"/>
  <c r="F1367" i="6"/>
  <c r="F1344" i="6"/>
  <c r="F1328" i="6"/>
  <c r="F1321" i="6"/>
  <c r="F1314" i="6"/>
  <c r="F1307" i="6"/>
  <c r="F1300" i="6"/>
  <c r="F1293" i="6"/>
  <c r="F1286" i="6"/>
  <c r="F1279" i="6"/>
  <c r="F1272" i="6"/>
  <c r="F1265" i="6"/>
  <c r="F1258" i="6"/>
  <c r="F1251" i="6"/>
  <c r="F1244" i="6"/>
  <c r="F1237" i="6"/>
  <c r="F1230" i="6"/>
  <c r="F1223" i="6"/>
  <c r="F2146" i="6"/>
  <c r="F1942" i="6"/>
  <c r="F1812" i="6"/>
  <c r="F1789" i="6"/>
  <c r="F1735" i="6"/>
  <c r="F1692" i="6"/>
  <c r="F1657" i="6"/>
  <c r="F1622" i="6"/>
  <c r="F1607" i="6"/>
  <c r="F1601" i="6"/>
  <c r="F1576" i="6"/>
  <c r="F1549" i="6"/>
  <c r="F1542" i="6"/>
  <c r="F1498" i="6"/>
  <c r="F1477" i="6"/>
  <c r="F1456" i="6"/>
  <c r="F1445" i="6"/>
  <c r="F1433" i="6"/>
  <c r="F1423" i="6"/>
  <c r="F1378" i="6"/>
  <c r="F1368" i="6"/>
  <c r="F1356" i="6"/>
  <c r="F1345" i="6"/>
  <c r="F2193" i="6"/>
  <c r="F1902" i="6"/>
  <c r="F1868" i="6"/>
  <c r="F1814" i="6"/>
  <c r="F1708" i="6"/>
  <c r="F1652" i="6"/>
  <c r="F1642" i="6"/>
  <c r="F1592" i="6"/>
  <c r="F1560" i="6"/>
  <c r="F1478" i="6"/>
  <c r="F1446" i="6"/>
  <c r="F1420" i="6"/>
  <c r="F2302" i="6"/>
  <c r="F1755" i="6"/>
  <c r="F1665" i="6"/>
  <c r="F1541" i="6"/>
  <c r="F1502" i="6"/>
  <c r="F1472" i="6"/>
  <c r="F1460" i="6"/>
  <c r="F1435" i="6"/>
  <c r="F1429" i="6"/>
  <c r="F1415" i="6"/>
  <c r="F2225" i="6"/>
  <c r="F1890" i="6"/>
  <c r="F1805" i="6"/>
  <c r="F1641" i="6"/>
  <c r="F1596" i="6"/>
  <c r="F1470" i="6"/>
  <c r="F1463" i="6"/>
  <c r="F1458" i="6"/>
  <c r="F1438" i="6"/>
  <c r="F1424" i="6"/>
  <c r="F2364" i="6"/>
  <c r="F1810" i="6"/>
  <c r="F1655" i="6"/>
  <c r="F1511" i="6"/>
  <c r="F1488" i="6"/>
  <c r="F1390" i="6"/>
  <c r="F2103" i="6"/>
  <c r="F2006" i="6"/>
  <c r="F1645" i="6"/>
  <c r="F1504" i="6"/>
  <c r="F1482" i="6"/>
  <c r="F1427" i="6"/>
  <c r="F1413" i="6"/>
  <c r="F1410" i="6"/>
  <c r="F1407" i="6"/>
  <c r="F1387" i="6"/>
  <c r="F1384" i="6"/>
  <c r="F2248" i="6"/>
  <c r="F1796" i="6"/>
  <c r="F1546" i="6"/>
  <c r="F1474" i="6"/>
  <c r="F1436" i="6"/>
  <c r="F1408" i="6"/>
  <c r="F1381" i="6"/>
  <c r="F1379" i="6"/>
  <c r="F1360" i="6"/>
  <c r="F1301" i="6"/>
  <c r="F1278" i="6"/>
  <c r="F1277" i="6"/>
  <c r="F1276" i="6"/>
  <c r="F1275" i="6"/>
  <c r="F1274" i="6"/>
  <c r="F1229" i="6"/>
  <c r="F1228" i="6"/>
  <c r="F1227" i="6"/>
  <c r="F1226" i="6"/>
  <c r="F1225" i="6"/>
  <c r="F1673" i="6"/>
  <c r="F1412" i="6"/>
  <c r="F1406" i="6"/>
  <c r="F1374" i="6"/>
  <c r="F1369" i="6"/>
  <c r="F1329" i="6"/>
  <c r="F1285" i="6"/>
  <c r="F1284" i="6"/>
  <c r="F1283" i="6"/>
  <c r="F1282" i="6"/>
  <c r="F1281" i="6"/>
  <c r="F1236" i="6"/>
  <c r="F1235" i="6"/>
  <c r="F1234" i="6"/>
  <c r="F1233" i="6"/>
  <c r="F1232" i="6"/>
  <c r="F1802" i="6"/>
  <c r="F1785" i="6"/>
  <c r="F1718" i="6"/>
  <c r="F1710" i="6"/>
  <c r="F1602" i="6"/>
  <c r="F1519" i="6"/>
  <c r="F1484" i="6"/>
  <c r="F1404" i="6"/>
  <c r="F1363" i="6"/>
  <c r="F1340" i="6"/>
  <c r="F1324" i="6"/>
  <c r="F1319" i="6"/>
  <c r="F1302" i="6"/>
  <c r="F1297" i="6"/>
  <c r="F1287" i="6"/>
  <c r="F1238" i="6"/>
  <c r="F1218" i="6"/>
  <c r="F1211" i="6"/>
  <c r="F1204" i="6"/>
  <c r="F1197" i="6"/>
  <c r="F1190" i="6"/>
  <c r="F1183" i="6"/>
  <c r="F1176" i="6"/>
  <c r="F1169" i="6"/>
  <c r="F1162" i="6"/>
  <c r="F1155" i="6"/>
  <c r="F1148" i="6"/>
  <c r="F1141" i="6"/>
  <c r="F1134" i="6"/>
  <c r="F1127" i="6"/>
  <c r="F1120" i="6"/>
  <c r="F1113" i="6"/>
  <c r="F1106" i="6"/>
  <c r="F1099" i="6"/>
  <c r="F1092" i="6"/>
  <c r="F1085" i="6"/>
  <c r="F1078" i="6"/>
  <c r="F1071" i="6"/>
  <c r="F1064" i="6"/>
  <c r="F1057" i="6"/>
  <c r="F1050" i="6"/>
  <c r="F1043" i="6"/>
  <c r="F1036" i="6"/>
  <c r="F1029" i="6"/>
  <c r="F1022" i="6"/>
  <c r="F1015" i="6"/>
  <c r="F1008" i="6"/>
  <c r="F1001" i="6"/>
  <c r="F994" i="6"/>
  <c r="F987" i="6"/>
  <c r="F980" i="6"/>
  <c r="F973" i="6"/>
  <c r="F966" i="6"/>
  <c r="F959" i="6"/>
  <c r="F952" i="6"/>
  <c r="F945" i="6"/>
  <c r="F938" i="6"/>
  <c r="F931" i="6"/>
  <c r="F924" i="6"/>
  <c r="F917" i="6"/>
  <c r="F910" i="6"/>
  <c r="F2098" i="6"/>
  <c r="F1974" i="6"/>
  <c r="F1767" i="6"/>
  <c r="F1664" i="6"/>
  <c r="F1539" i="6"/>
  <c r="F1426" i="6"/>
  <c r="F1416" i="6"/>
  <c r="F1382" i="6"/>
  <c r="F1372" i="6"/>
  <c r="F1361" i="6"/>
  <c r="F1337" i="6"/>
  <c r="F1330" i="6"/>
  <c r="F1325" i="6"/>
  <c r="F1320" i="6"/>
  <c r="F1303" i="6"/>
  <c r="F1298" i="6"/>
  <c r="F1245" i="6"/>
  <c r="F1217" i="6"/>
  <c r="F1210" i="6"/>
  <c r="F1203" i="6"/>
  <c r="F1196" i="6"/>
  <c r="F1189" i="6"/>
  <c r="F1182" i="6"/>
  <c r="F1175" i="6"/>
  <c r="F1168" i="6"/>
  <c r="F1161" i="6"/>
  <c r="F1154" i="6"/>
  <c r="F1147" i="6"/>
  <c r="F1140" i="6"/>
  <c r="F1133" i="6"/>
  <c r="F1126" i="6"/>
  <c r="F1119" i="6"/>
  <c r="F1112" i="6"/>
  <c r="F1105" i="6"/>
  <c r="F1098" i="6"/>
  <c r="F1091" i="6"/>
  <c r="F1084" i="6"/>
  <c r="F1077" i="6"/>
  <c r="F1070" i="6"/>
  <c r="F1063" i="6"/>
  <c r="F1056" i="6"/>
  <c r="F1049" i="6"/>
  <c r="F1042" i="6"/>
  <c r="F1035" i="6"/>
  <c r="F1028" i="6"/>
  <c r="F1021" i="6"/>
  <c r="F1014" i="6"/>
  <c r="F1007" i="6"/>
  <c r="F1000" i="6"/>
  <c r="F993" i="6"/>
  <c r="F986" i="6"/>
  <c r="F979" i="6"/>
  <c r="F972" i="6"/>
  <c r="F965" i="6"/>
  <c r="F958" i="6"/>
  <c r="F951" i="6"/>
  <c r="F944" i="6"/>
  <c r="F937" i="6"/>
  <c r="F930" i="6"/>
  <c r="F923" i="6"/>
  <c r="F916" i="6"/>
  <c r="F909" i="6"/>
  <c r="F902" i="6"/>
  <c r="F895" i="6"/>
  <c r="F888" i="6"/>
  <c r="F881" i="6"/>
  <c r="F874" i="6"/>
  <c r="F867" i="6"/>
  <c r="F860" i="6"/>
  <c r="F853" i="6"/>
  <c r="F846" i="6"/>
  <c r="F1808" i="6"/>
  <c r="F1518" i="6"/>
  <c r="F1365" i="6"/>
  <c r="F1269" i="6"/>
  <c r="F1256" i="6"/>
  <c r="F1246" i="6"/>
  <c r="F1191" i="6"/>
  <c r="F1142" i="6"/>
  <c r="F1093" i="6"/>
  <c r="F1044" i="6"/>
  <c r="F995" i="6"/>
  <c r="F946" i="6"/>
  <c r="F894" i="6"/>
  <c r="F878" i="6"/>
  <c r="F862" i="6"/>
  <c r="F845" i="6"/>
  <c r="F835" i="6"/>
  <c r="F828" i="6"/>
  <c r="F821" i="6"/>
  <c r="F814" i="6"/>
  <c r="F807" i="6"/>
  <c r="F800" i="6"/>
  <c r="F793" i="6"/>
  <c r="F786" i="6"/>
  <c r="F779" i="6"/>
  <c r="F772" i="6"/>
  <c r="F765" i="6"/>
  <c r="F758" i="6"/>
  <c r="F751" i="6"/>
  <c r="F744" i="6"/>
  <c r="F737" i="6"/>
  <c r="F730" i="6"/>
  <c r="F723" i="6"/>
  <c r="F716" i="6"/>
  <c r="F709" i="6"/>
  <c r="F702" i="6"/>
  <c r="F695" i="6"/>
  <c r="F688" i="6"/>
  <c r="F681" i="6"/>
  <c r="F674" i="6"/>
  <c r="F667" i="6"/>
  <c r="F660" i="6"/>
  <c r="F653" i="6"/>
  <c r="F646" i="6"/>
  <c r="F639" i="6"/>
  <c r="F632" i="6"/>
  <c r="F625" i="6"/>
  <c r="F618" i="6"/>
  <c r="F611" i="6"/>
  <c r="F604" i="6"/>
  <c r="F597" i="6"/>
  <c r="F590" i="6"/>
  <c r="F583" i="6"/>
  <c r="F576" i="6"/>
  <c r="F569" i="6"/>
  <c r="F562" i="6"/>
  <c r="F555" i="6"/>
  <c r="F548" i="6"/>
  <c r="F541" i="6"/>
  <c r="F534" i="6"/>
  <c r="F527" i="6"/>
  <c r="F520" i="6"/>
  <c r="F513" i="6"/>
  <c r="F506" i="6"/>
  <c r="F499" i="6"/>
  <c r="F492" i="6"/>
  <c r="F485" i="6"/>
  <c r="F478" i="6"/>
  <c r="F471" i="6"/>
  <c r="F464" i="6"/>
  <c r="F1871" i="6"/>
  <c r="F1840" i="6"/>
  <c r="F1823" i="6"/>
  <c r="F1806" i="6"/>
  <c r="F1661" i="6"/>
  <c r="F1599" i="6"/>
  <c r="F1490" i="6"/>
  <c r="F1428" i="6"/>
  <c r="F1418" i="6"/>
  <c r="F1393" i="6"/>
  <c r="F1376" i="6"/>
  <c r="F1358" i="6"/>
  <c r="F1331" i="6"/>
  <c r="F1266" i="6"/>
  <c r="F1243" i="6"/>
  <c r="F1213" i="6"/>
  <c r="F1208" i="6"/>
  <c r="F1186" i="6"/>
  <c r="F1181" i="6"/>
  <c r="F1164" i="6"/>
  <c r="F1159" i="6"/>
  <c r="F1137" i="6"/>
  <c r="F1132" i="6"/>
  <c r="F1115" i="6"/>
  <c r="F1110" i="6"/>
  <c r="F1088" i="6"/>
  <c r="F1083" i="6"/>
  <c r="F1066" i="6"/>
  <c r="F1061" i="6"/>
  <c r="F1039" i="6"/>
  <c r="F1034" i="6"/>
  <c r="F1017" i="6"/>
  <c r="F1012" i="6"/>
  <c r="F990" i="6"/>
  <c r="F985" i="6"/>
  <c r="F968" i="6"/>
  <c r="F963" i="6"/>
  <c r="F941" i="6"/>
  <c r="F936" i="6"/>
  <c r="F919" i="6"/>
  <c r="F914" i="6"/>
  <c r="F893" i="6"/>
  <c r="F877" i="6"/>
  <c r="F861" i="6"/>
  <c r="F844" i="6"/>
  <c r="F1580" i="6"/>
  <c r="F1532" i="6"/>
  <c r="F1469" i="6"/>
  <c r="F1347" i="6"/>
  <c r="F1333" i="6"/>
  <c r="F1263" i="6"/>
  <c r="F1253" i="6"/>
  <c r="F1250" i="6"/>
  <c r="F1219" i="6"/>
  <c r="F1170" i="6"/>
  <c r="F1121" i="6"/>
  <c r="F1072" i="6"/>
  <c r="F1023" i="6"/>
  <c r="F974" i="6"/>
  <c r="F925" i="6"/>
  <c r="F908" i="6"/>
  <c r="F892" i="6"/>
  <c r="F876" i="6"/>
  <c r="F859" i="6"/>
  <c r="F843" i="6"/>
  <c r="F834" i="6"/>
  <c r="F827" i="6"/>
  <c r="F820" i="6"/>
  <c r="F813" i="6"/>
  <c r="F806" i="6"/>
  <c r="F799" i="6"/>
  <c r="F792" i="6"/>
  <c r="F785" i="6"/>
  <c r="F778" i="6"/>
  <c r="F771" i="6"/>
  <c r="F764" i="6"/>
  <c r="F757" i="6"/>
  <c r="F750" i="6"/>
  <c r="F743" i="6"/>
  <c r="F736" i="6"/>
  <c r="F729" i="6"/>
  <c r="F722" i="6"/>
  <c r="F715" i="6"/>
  <c r="F708" i="6"/>
  <c r="F701" i="6"/>
  <c r="F694" i="6"/>
  <c r="F687" i="6"/>
  <c r="F1870" i="6"/>
  <c r="F1820" i="6"/>
  <c r="F1791" i="6"/>
  <c r="F1756" i="6"/>
  <c r="F1465" i="6"/>
  <c r="F1414" i="6"/>
  <c r="F1383" i="6"/>
  <c r="F1380" i="6"/>
  <c r="F1371" i="6"/>
  <c r="F1339" i="6"/>
  <c r="F1335" i="6"/>
  <c r="F1312" i="6"/>
  <c r="F1305" i="6"/>
  <c r="F1295" i="6"/>
  <c r="F1290" i="6"/>
  <c r="F1273" i="6"/>
  <c r="F1240" i="6"/>
  <c r="F1214" i="6"/>
  <c r="F1209" i="6"/>
  <c r="F1192" i="6"/>
  <c r="F1187" i="6"/>
  <c r="F1165" i="6"/>
  <c r="F1160" i="6"/>
  <c r="F1143" i="6"/>
  <c r="F1138" i="6"/>
  <c r="F1116" i="6"/>
  <c r="F1111" i="6"/>
  <c r="F1094" i="6"/>
  <c r="F1089" i="6"/>
  <c r="F1067" i="6"/>
  <c r="F1062" i="6"/>
  <c r="F1045" i="6"/>
  <c r="F1040" i="6"/>
  <c r="F1018" i="6"/>
  <c r="F1013" i="6"/>
  <c r="F996" i="6"/>
  <c r="F991" i="6"/>
  <c r="F969" i="6"/>
  <c r="F964" i="6"/>
  <c r="F947" i="6"/>
  <c r="F942" i="6"/>
  <c r="F920" i="6"/>
  <c r="F915" i="6"/>
  <c r="F907" i="6"/>
  <c r="F891" i="6"/>
  <c r="F875" i="6"/>
  <c r="F858" i="6"/>
  <c r="F842" i="6"/>
  <c r="F1803" i="6"/>
  <c r="F1720" i="6"/>
  <c r="F1606" i="6"/>
  <c r="F1437" i="6"/>
  <c r="F1323" i="6"/>
  <c r="F1318" i="6"/>
  <c r="F1313" i="6"/>
  <c r="F1294" i="6"/>
  <c r="F1086" i="6"/>
  <c r="F1079" i="6"/>
  <c r="F918" i="6"/>
  <c r="F911" i="6"/>
  <c r="F855" i="6"/>
  <c r="F838" i="6"/>
  <c r="F833" i="6"/>
  <c r="F816" i="6"/>
  <c r="F811" i="6"/>
  <c r="F794" i="6"/>
  <c r="F789" i="6"/>
  <c r="F784" i="6"/>
  <c r="F767" i="6"/>
  <c r="F762" i="6"/>
  <c r="F745" i="6"/>
  <c r="F740" i="6"/>
  <c r="F735" i="6"/>
  <c r="F718" i="6"/>
  <c r="F713" i="6"/>
  <c r="F696" i="6"/>
  <c r="F691" i="6"/>
  <c r="F686" i="6"/>
  <c r="F679" i="6"/>
  <c r="F663" i="6"/>
  <c r="F647" i="6"/>
  <c r="F630" i="6"/>
  <c r="F614" i="6"/>
  <c r="F598" i="6"/>
  <c r="F581" i="6"/>
  <c r="F565" i="6"/>
  <c r="F549" i="6"/>
  <c r="F532" i="6"/>
  <c r="F516" i="6"/>
  <c r="F500" i="6"/>
  <c r="F483" i="6"/>
  <c r="F467" i="6"/>
  <c r="F1466" i="6"/>
  <c r="F1442" i="6"/>
  <c r="F1405" i="6"/>
  <c r="F1338" i="6"/>
  <c r="F1327" i="6"/>
  <c r="F1308" i="6"/>
  <c r="F1216" i="6"/>
  <c r="F1206" i="6"/>
  <c r="F1199" i="6"/>
  <c r="F1158" i="6"/>
  <c r="F1151" i="6"/>
  <c r="F1144" i="6"/>
  <c r="F1103" i="6"/>
  <c r="F1096" i="6"/>
  <c r="F1055" i="6"/>
  <c r="F1048" i="6"/>
  <c r="F1041" i="6"/>
  <c r="F1038" i="6"/>
  <c r="F1031" i="6"/>
  <c r="F1024" i="6"/>
  <c r="F983" i="6"/>
  <c r="F976" i="6"/>
  <c r="F935" i="6"/>
  <c r="F928" i="6"/>
  <c r="F921" i="6"/>
  <c r="F905" i="6"/>
  <c r="F896" i="6"/>
  <c r="F884" i="6"/>
  <c r="F872" i="6"/>
  <c r="F863" i="6"/>
  <c r="F851" i="6"/>
  <c r="F678" i="6"/>
  <c r="F662" i="6"/>
  <c r="F645" i="6"/>
  <c r="F629" i="6"/>
  <c r="F613" i="6"/>
  <c r="F596" i="6"/>
  <c r="F580" i="6"/>
  <c r="F564" i="6"/>
  <c r="F547" i="6"/>
  <c r="F531" i="6"/>
  <c r="F515" i="6"/>
  <c r="F1647" i="6"/>
  <c r="F1471" i="6"/>
  <c r="F1391" i="6"/>
  <c r="F1315" i="6"/>
  <c r="F1296" i="6"/>
  <c r="F1257" i="6"/>
  <c r="F1247" i="6"/>
  <c r="F1163" i="6"/>
  <c r="F1156" i="6"/>
  <c r="F1149" i="6"/>
  <c r="F988" i="6"/>
  <c r="F981" i="6"/>
  <c r="F901" i="6"/>
  <c r="F880" i="6"/>
  <c r="F839" i="6"/>
  <c r="F822" i="6"/>
  <c r="F817" i="6"/>
  <c r="F812" i="6"/>
  <c r="F795" i="6"/>
  <c r="F790" i="6"/>
  <c r="F773" i="6"/>
  <c r="F768" i="6"/>
  <c r="F763" i="6"/>
  <c r="F746" i="6"/>
  <c r="F741" i="6"/>
  <c r="F724" i="6"/>
  <c r="F719" i="6"/>
  <c r="F714" i="6"/>
  <c r="F697" i="6"/>
  <c r="F692" i="6"/>
  <c r="F677" i="6"/>
  <c r="F661" i="6"/>
  <c r="F644" i="6"/>
  <c r="F628" i="6"/>
  <c r="F612" i="6"/>
  <c r="F595" i="6"/>
  <c r="F579" i="6"/>
  <c r="F563" i="6"/>
  <c r="F546" i="6"/>
  <c r="F530" i="6"/>
  <c r="F514" i="6"/>
  <c r="F1717" i="6"/>
  <c r="F1591" i="6"/>
  <c r="F1565" i="6"/>
  <c r="F1332" i="6"/>
  <c r="F1310" i="6"/>
  <c r="F1291" i="6"/>
  <c r="F1241" i="6"/>
  <c r="F1180" i="6"/>
  <c r="F1173" i="6"/>
  <c r="F1166" i="6"/>
  <c r="F1125" i="6"/>
  <c r="F1118" i="6"/>
  <c r="F1108" i="6"/>
  <c r="F1101" i="6"/>
  <c r="F1060" i="6"/>
  <c r="F1053" i="6"/>
  <c r="F1046" i="6"/>
  <c r="F1005" i="6"/>
  <c r="F998" i="6"/>
  <c r="F957" i="6"/>
  <c r="F950" i="6"/>
  <c r="F943" i="6"/>
  <c r="F940" i="6"/>
  <c r="F933" i="6"/>
  <c r="F926" i="6"/>
  <c r="F889" i="6"/>
  <c r="F868" i="6"/>
  <c r="F856" i="6"/>
  <c r="F847" i="6"/>
  <c r="F676" i="6"/>
  <c r="F659" i="6"/>
  <c r="F643" i="6"/>
  <c r="F627" i="6"/>
  <c r="F610" i="6"/>
  <c r="F594" i="6"/>
  <c r="F578" i="6"/>
  <c r="F561" i="6"/>
  <c r="F545" i="6"/>
  <c r="F529" i="6"/>
  <c r="F512" i="6"/>
  <c r="F2144" i="6"/>
  <c r="F1553" i="6"/>
  <c r="F1521" i="6"/>
  <c r="F1512" i="6"/>
  <c r="F1459" i="6"/>
  <c r="F1394" i="6"/>
  <c r="F1317" i="6"/>
  <c r="F1289" i="6"/>
  <c r="F1259" i="6"/>
  <c r="F1239" i="6"/>
  <c r="F1202" i="6"/>
  <c r="F1195" i="6"/>
  <c r="F1188" i="6"/>
  <c r="F1185" i="6"/>
  <c r="F1178" i="6"/>
  <c r="F1171" i="6"/>
  <c r="F1130" i="6"/>
  <c r="F1123" i="6"/>
  <c r="F1082" i="6"/>
  <c r="F1075" i="6"/>
  <c r="F1068" i="6"/>
  <c r="F1027" i="6"/>
  <c r="F1020" i="6"/>
  <c r="F1010" i="6"/>
  <c r="F1003" i="6"/>
  <c r="F962" i="6"/>
  <c r="F955" i="6"/>
  <c r="F948" i="6"/>
  <c r="F840" i="6"/>
  <c r="F673" i="6"/>
  <c r="F657" i="6"/>
  <c r="F641" i="6"/>
  <c r="F624" i="6"/>
  <c r="F608" i="6"/>
  <c r="F592" i="6"/>
  <c r="F575" i="6"/>
  <c r="F559" i="6"/>
  <c r="F543" i="6"/>
  <c r="F526" i="6"/>
  <c r="F510" i="6"/>
  <c r="F494" i="6"/>
  <c r="F477" i="6"/>
  <c r="F461" i="6"/>
  <c r="F452" i="6"/>
  <c r="F445" i="6"/>
  <c r="F438" i="6"/>
  <c r="F431" i="6"/>
  <c r="F424" i="6"/>
  <c r="F417" i="6"/>
  <c r="F410" i="6"/>
  <c r="F403" i="6"/>
  <c r="F396" i="6"/>
  <c r="E8" i="6"/>
  <c r="E15" i="6"/>
  <c r="E22" i="6"/>
  <c r="E29" i="6"/>
  <c r="E36" i="6"/>
  <c r="E43" i="6"/>
  <c r="E50" i="6"/>
  <c r="E57" i="6"/>
  <c r="E64" i="6"/>
  <c r="E71" i="6"/>
  <c r="E78" i="6"/>
  <c r="E85" i="6"/>
  <c r="E92" i="6"/>
  <c r="E99" i="6"/>
  <c r="E106" i="6"/>
  <c r="E113" i="6"/>
  <c r="E120" i="6"/>
  <c r="E127" i="6"/>
  <c r="E134" i="6"/>
  <c r="E141" i="6"/>
  <c r="E148" i="6"/>
  <c r="E155" i="6"/>
  <c r="E162" i="6"/>
  <c r="E169" i="6"/>
  <c r="E176" i="6"/>
  <c r="E183" i="6"/>
  <c r="E190" i="6"/>
  <c r="E197" i="6"/>
  <c r="E204" i="6"/>
  <c r="E211" i="6"/>
  <c r="E218" i="6"/>
  <c r="E225" i="6"/>
  <c r="E232" i="6"/>
  <c r="E239" i="6"/>
  <c r="E246" i="6"/>
  <c r="E253" i="6"/>
  <c r="E260" i="6"/>
  <c r="E267" i="6"/>
  <c r="E274" i="6"/>
  <c r="E281" i="6"/>
  <c r="E288" i="6"/>
  <c r="E295" i="6"/>
  <c r="E302" i="6"/>
  <c r="E309" i="6"/>
  <c r="E316" i="6"/>
  <c r="E323" i="6"/>
  <c r="E330" i="6"/>
  <c r="E337" i="6"/>
  <c r="E344" i="6"/>
  <c r="E351" i="6"/>
  <c r="E358" i="6"/>
  <c r="E365" i="6"/>
  <c r="E372" i="6"/>
  <c r="E379" i="6"/>
  <c r="E386" i="6"/>
  <c r="F393" i="6"/>
  <c r="F394" i="6"/>
  <c r="F395" i="6"/>
  <c r="E439" i="6"/>
  <c r="E440" i="6"/>
  <c r="F441" i="6"/>
  <c r="F442" i="6"/>
  <c r="F443" i="6"/>
  <c r="F444" i="6"/>
  <c r="F465" i="6"/>
  <c r="E476" i="6"/>
  <c r="E486" i="6"/>
  <c r="F487" i="6"/>
  <c r="E498" i="6"/>
  <c r="F505" i="6"/>
  <c r="F521" i="6"/>
  <c r="E540" i="6"/>
  <c r="E559" i="6"/>
  <c r="E568" i="6"/>
  <c r="E587" i="6"/>
  <c r="F603" i="6"/>
  <c r="E606" i="6"/>
  <c r="F622" i="6"/>
  <c r="F631" i="6"/>
  <c r="E634" i="6"/>
  <c r="F650" i="6"/>
  <c r="F669" i="6"/>
  <c r="F739" i="6"/>
  <c r="F754" i="6"/>
  <c r="F756" i="6"/>
  <c r="E760" i="6"/>
  <c r="E775" i="6"/>
  <c r="E777" i="6"/>
  <c r="E842" i="6"/>
  <c r="F848" i="6"/>
  <c r="F852" i="6"/>
  <c r="F887" i="6"/>
  <c r="E889" i="6"/>
  <c r="F913" i="6"/>
  <c r="E915" i="6"/>
  <c r="F934" i="6"/>
  <c r="E942" i="6"/>
  <c r="F961" i="6"/>
  <c r="F982" i="6"/>
  <c r="F1006" i="6"/>
  <c r="E1014" i="6"/>
  <c r="F1033" i="6"/>
  <c r="E1035" i="6"/>
  <c r="F1051" i="6"/>
  <c r="F1054" i="6"/>
  <c r="E1062" i="6"/>
  <c r="F1081" i="6"/>
  <c r="F1102" i="6"/>
  <c r="F1129" i="6"/>
  <c r="F1150" i="6"/>
  <c r="F1153" i="6"/>
  <c r="F1174" i="6"/>
  <c r="E1182" i="6"/>
  <c r="F1201" i="6"/>
  <c r="E1238" i="6"/>
  <c r="E1305" i="6"/>
  <c r="F1395" i="6"/>
  <c r="E1456" i="6"/>
  <c r="F1497" i="6"/>
  <c r="E1542" i="6"/>
  <c r="E1642" i="6"/>
  <c r="L25" i="6" l="1"/>
  <c r="M451" i="6"/>
  <c r="N451" i="6" s="1"/>
  <c r="M46" i="6"/>
  <c r="N46" i="6" s="1"/>
  <c r="M351" i="6"/>
  <c r="N351" i="6" s="1"/>
  <c r="L857" i="6"/>
  <c r="L361" i="6"/>
  <c r="M1106" i="6"/>
  <c r="N1106" i="6" s="1"/>
  <c r="L67" i="6"/>
  <c r="L544" i="6"/>
  <c r="L721" i="6"/>
  <c r="O721" i="6" s="1"/>
  <c r="M669" i="6"/>
  <c r="N669" i="6" s="1"/>
  <c r="M1023" i="6"/>
  <c r="N1023" i="6" s="1"/>
  <c r="L21" i="6"/>
  <c r="O21" i="6" s="1"/>
  <c r="L654" i="6"/>
  <c r="O654" i="6" s="1"/>
  <c r="M1083" i="6"/>
  <c r="N1083" i="6" s="1"/>
  <c r="M1085" i="6"/>
  <c r="N1085" i="6" s="1"/>
  <c r="L365" i="6"/>
  <c r="O365" i="6" s="1"/>
  <c r="M1010" i="6"/>
  <c r="N1010" i="6" s="1"/>
  <c r="L159" i="6"/>
  <c r="O159" i="6" s="1"/>
  <c r="L1113" i="6"/>
  <c r="O1113" i="6" s="1"/>
  <c r="M288" i="6"/>
  <c r="N288" i="6" s="1"/>
  <c r="M915" i="6"/>
  <c r="N915" i="6" s="1"/>
  <c r="M975" i="6"/>
  <c r="N975" i="6" s="1"/>
  <c r="L222" i="6"/>
  <c r="O222" i="6" s="1"/>
  <c r="L975" i="6"/>
  <c r="M481" i="6"/>
  <c r="N481" i="6" s="1"/>
  <c r="M1121" i="6"/>
  <c r="N1121" i="6" s="1"/>
  <c r="M544" i="6"/>
  <c r="N544" i="6" s="1"/>
  <c r="L915" i="6"/>
  <c r="M974" i="6"/>
  <c r="N974" i="6" s="1"/>
  <c r="L249" i="6"/>
  <c r="M193" i="6"/>
  <c r="N193" i="6" s="1"/>
  <c r="M162" i="6"/>
  <c r="N162" i="6" s="1"/>
  <c r="M186" i="6"/>
  <c r="N186" i="6" s="1"/>
  <c r="L162" i="6"/>
  <c r="O162" i="6" s="1"/>
  <c r="L46" i="6"/>
  <c r="O46" i="6" s="1"/>
  <c r="M1107" i="6"/>
  <c r="N1107" i="6" s="1"/>
  <c r="M421" i="6"/>
  <c r="N421" i="6" s="1"/>
  <c r="L419" i="6"/>
  <c r="M916" i="6"/>
  <c r="N916" i="6" s="1"/>
  <c r="L391" i="6"/>
  <c r="O391" i="6" s="1"/>
  <c r="M965" i="6"/>
  <c r="N965" i="6" s="1"/>
  <c r="M835" i="6"/>
  <c r="N835" i="6" s="1"/>
  <c r="L228" i="6"/>
  <c r="O228" i="6" s="1"/>
  <c r="L1010" i="6"/>
  <c r="O1010" i="6" s="1"/>
  <c r="M342" i="6"/>
  <c r="N342" i="6" s="1"/>
  <c r="L335" i="6"/>
  <c r="O335" i="6" s="1"/>
  <c r="L158" i="6"/>
  <c r="O158" i="6" s="1"/>
  <c r="L256" i="6"/>
  <c r="O256" i="6" s="1"/>
  <c r="L903" i="6"/>
  <c r="O903" i="6" s="1"/>
  <c r="M895" i="6"/>
  <c r="N895" i="6" s="1"/>
  <c r="M903" i="6"/>
  <c r="N903" i="6" s="1"/>
  <c r="M190" i="6"/>
  <c r="N190" i="6" s="1"/>
  <c r="M350" i="6"/>
  <c r="N350" i="6" s="1"/>
  <c r="L839" i="6"/>
  <c r="O839" i="6" s="1"/>
  <c r="L295" i="6"/>
  <c r="M197" i="6"/>
  <c r="N197" i="6" s="1"/>
  <c r="M295" i="6"/>
  <c r="N295" i="6" s="1"/>
  <c r="L323" i="6"/>
  <c r="O323" i="6" s="1"/>
  <c r="L566" i="6"/>
  <c r="O566" i="6" s="1"/>
  <c r="L700" i="6"/>
  <c r="O700" i="6" s="1"/>
  <c r="L74" i="6"/>
  <c r="O74" i="6" s="1"/>
  <c r="L1209" i="6"/>
  <c r="M839" i="6"/>
  <c r="N839" i="6" s="1"/>
  <c r="L421" i="6"/>
  <c r="O421" i="6" s="1"/>
  <c r="M572" i="6"/>
  <c r="N572" i="6" s="1"/>
  <c r="M744" i="6"/>
  <c r="N744" i="6" s="1"/>
  <c r="L638" i="6"/>
  <c r="O638" i="6" s="1"/>
  <c r="L190" i="6"/>
  <c r="O190" i="6" s="1"/>
  <c r="M92" i="6"/>
  <c r="N92" i="6" s="1"/>
  <c r="M512" i="6"/>
  <c r="N512" i="6" s="1"/>
  <c r="L326" i="6"/>
  <c r="L43" i="6"/>
  <c r="L1204" i="6"/>
  <c r="M315" i="6"/>
  <c r="N315" i="6" s="1"/>
  <c r="L835" i="6"/>
  <c r="O835" i="6" s="1"/>
  <c r="L1015" i="6"/>
  <c r="O1015" i="6" s="1"/>
  <c r="L965" i="6"/>
  <c r="M181" i="6"/>
  <c r="N181" i="6" s="1"/>
  <c r="L116" i="6"/>
  <c r="L312" i="6"/>
  <c r="O312" i="6" s="1"/>
  <c r="L413" i="6"/>
  <c r="O413" i="6" s="1"/>
  <c r="L103" i="6"/>
  <c r="O103" i="6" s="1"/>
  <c r="L299" i="6"/>
  <c r="O1204" i="6"/>
  <c r="L33" i="6"/>
  <c r="O33" i="6" s="1"/>
  <c r="L572" i="6"/>
  <c r="O572" i="6" s="1"/>
  <c r="L812" i="6"/>
  <c r="O812" i="6" s="1"/>
  <c r="M222" i="6"/>
  <c r="N222" i="6" s="1"/>
  <c r="M592" i="6"/>
  <c r="N592" i="6" s="1"/>
  <c r="P1450" i="6"/>
  <c r="M907" i="6"/>
  <c r="N907" i="6" s="1"/>
  <c r="L861" i="6"/>
  <c r="O861" i="6" s="1"/>
  <c r="L287" i="6"/>
  <c r="O287" i="6" s="1"/>
  <c r="L315" i="6"/>
  <c r="O315" i="6" s="1"/>
  <c r="M1176" i="6"/>
  <c r="M566" i="6"/>
  <c r="N566" i="6" s="1"/>
  <c r="M400" i="6"/>
  <c r="N400" i="6" s="1"/>
  <c r="L123" i="6"/>
  <c r="M25" i="6"/>
  <c r="N25" i="6" s="1"/>
  <c r="L451" i="6"/>
  <c r="O451" i="6" s="1"/>
  <c r="M182" i="6"/>
  <c r="N182" i="6" s="1"/>
  <c r="L229" i="6"/>
  <c r="O229" i="6" s="1"/>
  <c r="M996" i="6"/>
  <c r="N996" i="6" s="1"/>
  <c r="M785" i="6"/>
  <c r="N785" i="6" s="1"/>
  <c r="L907" i="6"/>
  <c r="O907" i="6" s="1"/>
  <c r="L197" i="6"/>
  <c r="O197" i="6" s="1"/>
  <c r="M413" i="6"/>
  <c r="N413" i="6" s="1"/>
  <c r="N1204" i="6"/>
  <c r="M228" i="6"/>
  <c r="N228" i="6" s="1"/>
  <c r="N1176" i="6"/>
  <c r="M42" i="6"/>
  <c r="N42" i="6" s="1"/>
  <c r="M335" i="6"/>
  <c r="N335" i="6" s="1"/>
  <c r="M54" i="6"/>
  <c r="N54" i="6" s="1"/>
  <c r="O1176" i="6"/>
  <c r="M327" i="6"/>
  <c r="N327" i="6" s="1"/>
  <c r="L246" i="6"/>
  <c r="L694" i="6"/>
  <c r="O694" i="6" s="1"/>
  <c r="M291" i="6"/>
  <c r="N291" i="6" s="1"/>
  <c r="M167" i="6"/>
  <c r="N167" i="6" s="1"/>
  <c r="L512" i="6"/>
  <c r="L281" i="6"/>
  <c r="O281" i="6" s="1"/>
  <c r="M674" i="6"/>
  <c r="N674" i="6" s="1"/>
  <c r="M99" i="6"/>
  <c r="N99" i="6" s="1"/>
  <c r="M792" i="6"/>
  <c r="N792" i="6" s="1"/>
  <c r="M888" i="6"/>
  <c r="N888" i="6" s="1"/>
  <c r="O1162" i="6"/>
  <c r="L888" i="6"/>
  <c r="O888" i="6" s="1"/>
  <c r="L1161" i="6"/>
  <c r="P1162" i="6"/>
  <c r="M736" i="6"/>
  <c r="N736" i="6" s="1"/>
  <c r="N1161" i="6"/>
  <c r="M770" i="6"/>
  <c r="N770" i="6" s="1"/>
  <c r="M175" i="6"/>
  <c r="N175" i="6" s="1"/>
  <c r="M376" i="6"/>
  <c r="N376" i="6" s="1"/>
  <c r="M660" i="6"/>
  <c r="N660" i="6" s="1"/>
  <c r="M1111" i="6"/>
  <c r="N1111" i="6" s="1"/>
  <c r="M4" i="6"/>
  <c r="N4" i="6" s="1"/>
  <c r="P1135" i="6"/>
  <c r="M419" i="6"/>
  <c r="N419" i="6" s="1"/>
  <c r="L62" i="6"/>
  <c r="O62" i="6" s="1"/>
  <c r="M980" i="6"/>
  <c r="N980" i="6" s="1"/>
  <c r="O1202" i="6"/>
  <c r="L63" i="6"/>
  <c r="O63" i="6" s="1"/>
  <c r="M764" i="6"/>
  <c r="N764" i="6" s="1"/>
  <c r="L1285" i="6"/>
  <c r="N1382" i="6"/>
  <c r="M369" i="6"/>
  <c r="N369" i="6" s="1"/>
  <c r="M500" i="6"/>
  <c r="N500" i="6" s="1"/>
  <c r="M405" i="6"/>
  <c r="N405" i="6" s="1"/>
  <c r="M35" i="6"/>
  <c r="N35" i="6" s="1"/>
  <c r="L55" i="6"/>
  <c r="O55" i="6" s="1"/>
  <c r="L183" i="6"/>
  <c r="O183" i="6" s="1"/>
  <c r="M857" i="6"/>
  <c r="N857" i="6" s="1"/>
  <c r="M116" i="6"/>
  <c r="N116" i="6" s="1"/>
  <c r="M299" i="6"/>
  <c r="N299" i="6" s="1"/>
  <c r="L1143" i="6"/>
  <c r="M78" i="6"/>
  <c r="N78" i="6" s="1"/>
  <c r="L493" i="6"/>
  <c r="O493" i="6" s="1"/>
  <c r="M1143" i="6"/>
  <c r="M34" i="6"/>
  <c r="N34" i="6" s="1"/>
  <c r="M183" i="6"/>
  <c r="N183" i="6" s="1"/>
  <c r="L764" i="6"/>
  <c r="L818" i="6"/>
  <c r="M1285" i="6"/>
  <c r="O1143" i="6"/>
  <c r="M514" i="6"/>
  <c r="N514" i="6" s="1"/>
  <c r="M18" i="6"/>
  <c r="N18" i="6" s="1"/>
  <c r="L1020" i="6"/>
  <c r="O1020" i="6" s="1"/>
  <c r="L61" i="6"/>
  <c r="O61" i="6" s="1"/>
  <c r="P1143" i="6"/>
  <c r="M517" i="6"/>
  <c r="N517" i="6" s="1"/>
  <c r="L582" i="6"/>
  <c r="O582" i="6" s="1"/>
  <c r="L166" i="6"/>
  <c r="O166" i="6" s="1"/>
  <c r="M1113" i="6"/>
  <c r="N1113" i="6" s="1"/>
  <c r="L1107" i="6"/>
  <c r="O1107" i="6" s="1"/>
  <c r="M120" i="6"/>
  <c r="N120" i="6" s="1"/>
  <c r="L670" i="6"/>
  <c r="O670" i="6" s="1"/>
  <c r="M670" i="6"/>
  <c r="N670" i="6" s="1"/>
  <c r="L336" i="6"/>
  <c r="O336" i="6" s="1"/>
  <c r="L960" i="6"/>
  <c r="L280" i="6"/>
  <c r="O280" i="6" s="1"/>
  <c r="L28" i="6"/>
  <c r="O28" i="6" s="1"/>
  <c r="M939" i="6"/>
  <c r="N939" i="6" s="1"/>
  <c r="L194" i="6"/>
  <c r="O194" i="6" s="1"/>
  <c r="L517" i="6"/>
  <c r="L939" i="6"/>
  <c r="O939" i="6" s="1"/>
  <c r="L120" i="6"/>
  <c r="O120" i="6" s="1"/>
  <c r="M1090" i="6"/>
  <c r="N1090" i="6" s="1"/>
  <c r="M960" i="6"/>
  <c r="N960" i="6" s="1"/>
  <c r="M582" i="6"/>
  <c r="N582" i="6" s="1"/>
  <c r="L214" i="6"/>
  <c r="O214" i="6" s="1"/>
  <c r="L1203" i="6"/>
  <c r="M1203" i="6"/>
  <c r="L84" i="6"/>
  <c r="O84" i="6" s="1"/>
  <c r="M319" i="6"/>
  <c r="N319" i="6" s="1"/>
  <c r="L78" i="6"/>
  <c r="O78" i="6" s="1"/>
  <c r="M654" i="6"/>
  <c r="N654" i="6" s="1"/>
  <c r="L481" i="6"/>
  <c r="O481" i="6" s="1"/>
  <c r="L660" i="6"/>
  <c r="O660" i="6" s="1"/>
  <c r="L906" i="6"/>
  <c r="L592" i="6"/>
  <c r="O592" i="6" s="1"/>
  <c r="L1083" i="6"/>
  <c r="O1083" i="6" s="1"/>
  <c r="N1135" i="6"/>
  <c r="P1203" i="6"/>
  <c r="L1090" i="6"/>
  <c r="O1090" i="6" s="1"/>
  <c r="L993" i="6"/>
  <c r="O993" i="6" s="1"/>
  <c r="L405" i="6"/>
  <c r="O1135" i="6"/>
  <c r="L1121" i="6"/>
  <c r="O1121" i="6" s="1"/>
  <c r="L92" i="6"/>
  <c r="O92" i="6" s="1"/>
  <c r="L252" i="6"/>
  <c r="O252" i="6" s="1"/>
  <c r="L974" i="6"/>
  <c r="O974" i="6" s="1"/>
  <c r="L1106" i="6"/>
  <c r="O1106" i="6" s="1"/>
  <c r="M249" i="6"/>
  <c r="N249" i="6" s="1"/>
  <c r="L845" i="6"/>
  <c r="O845" i="6" s="1"/>
  <c r="L895" i="6"/>
  <c r="M361" i="6"/>
  <c r="N361" i="6" s="1"/>
  <c r="M392" i="6"/>
  <c r="N392" i="6" s="1"/>
  <c r="L560" i="6"/>
  <c r="O560" i="6" s="1"/>
  <c r="L127" i="6"/>
  <c r="O127" i="6" s="1"/>
  <c r="M256" i="6"/>
  <c r="N256" i="6" s="1"/>
  <c r="L132" i="6"/>
  <c r="O132" i="6" s="1"/>
  <c r="M560" i="6"/>
  <c r="N560" i="6" s="1"/>
  <c r="L351" i="6"/>
  <c r="O351" i="6" s="1"/>
  <c r="M993" i="6"/>
  <c r="N993" i="6" s="1"/>
  <c r="L202" i="6"/>
  <c r="O202" i="6" s="1"/>
  <c r="M159" i="6"/>
  <c r="N159" i="6" s="1"/>
  <c r="M33" i="6"/>
  <c r="N33" i="6" s="1"/>
  <c r="M377" i="6"/>
  <c r="N377" i="6" s="1"/>
  <c r="M1015" i="6"/>
  <c r="N1015" i="6" s="1"/>
  <c r="M459" i="6"/>
  <c r="N459" i="6" s="1"/>
  <c r="M257" i="6"/>
  <c r="N257" i="6" s="1"/>
  <c r="M273" i="6"/>
  <c r="N273" i="6" s="1"/>
  <c r="M13" i="6"/>
  <c r="N13" i="6" s="1"/>
  <c r="N1537" i="6"/>
  <c r="N1450" i="6"/>
  <c r="L238" i="6"/>
  <c r="O238" i="6" s="1"/>
  <c r="M853" i="6"/>
  <c r="N853" i="6" s="1"/>
  <c r="M596" i="6"/>
  <c r="N596" i="6" s="1"/>
  <c r="L1537" i="6"/>
  <c r="L1450" i="6"/>
  <c r="O1537" i="6"/>
  <c r="O1450" i="6"/>
  <c r="L288" i="6"/>
  <c r="O288" i="6" s="1"/>
  <c r="L385" i="6"/>
  <c r="O385" i="6" s="1"/>
  <c r="M210" i="6"/>
  <c r="N210" i="6" s="1"/>
  <c r="L596" i="6"/>
  <c r="O596" i="6" s="1"/>
  <c r="L22" i="6"/>
  <c r="O22" i="6" s="1"/>
  <c r="L533" i="6"/>
  <c r="L273" i="6"/>
  <c r="O273" i="6" s="1"/>
  <c r="M166" i="6"/>
  <c r="N166" i="6" s="1"/>
  <c r="M943" i="6"/>
  <c r="N943" i="6" s="1"/>
  <c r="M300" i="6"/>
  <c r="N300" i="6" s="1"/>
  <c r="M700" i="6"/>
  <c r="N700" i="6" s="1"/>
  <c r="M818" i="6"/>
  <c r="N818" i="6" s="1"/>
  <c r="M698" i="6"/>
  <c r="N698" i="6" s="1"/>
  <c r="L424" i="6"/>
  <c r="O424" i="6" s="1"/>
  <c r="M365" i="6"/>
  <c r="N365" i="6" s="1"/>
  <c r="M95" i="6"/>
  <c r="N95" i="6" s="1"/>
  <c r="M490" i="6"/>
  <c r="N490" i="6" s="1"/>
  <c r="L454" i="6"/>
  <c r="O454" i="6" s="1"/>
  <c r="M320" i="6"/>
  <c r="N320" i="6" s="1"/>
  <c r="M803" i="6"/>
  <c r="N803" i="6" s="1"/>
  <c r="M471" i="6"/>
  <c r="N471" i="6" s="1"/>
  <c r="M326" i="6"/>
  <c r="N326" i="6" s="1"/>
  <c r="M63" i="6"/>
  <c r="N63" i="6" s="1"/>
  <c r="M469" i="6"/>
  <c r="N469" i="6" s="1"/>
  <c r="L642" i="6"/>
  <c r="O642" i="6" s="1"/>
  <c r="L230" i="6"/>
  <c r="O230" i="6" s="1"/>
  <c r="M1020" i="6"/>
  <c r="N1020" i="6" s="1"/>
  <c r="M510" i="6"/>
  <c r="N510" i="6" s="1"/>
  <c r="L102" i="6"/>
  <c r="O102" i="6" s="1"/>
  <c r="M906" i="6"/>
  <c r="N906" i="6" s="1"/>
  <c r="M214" i="6"/>
  <c r="N214" i="6" s="1"/>
  <c r="L111" i="6"/>
  <c r="O111" i="6" s="1"/>
  <c r="L42" i="6"/>
  <c r="O42" i="6" s="1"/>
  <c r="L2125" i="6"/>
  <c r="L236" i="6"/>
  <c r="O236" i="6" s="1"/>
  <c r="M328" i="6"/>
  <c r="N328" i="6" s="1"/>
  <c r="M138" i="6"/>
  <c r="N138" i="6" s="1"/>
  <c r="M209" i="6"/>
  <c r="N209" i="6" s="1"/>
  <c r="M411" i="6"/>
  <c r="N411" i="6" s="1"/>
  <c r="M91" i="6"/>
  <c r="N91" i="6" s="1"/>
  <c r="M111" i="6"/>
  <c r="N111" i="6" s="1"/>
  <c r="L988" i="6"/>
  <c r="L154" i="6"/>
  <c r="O154" i="6" s="1"/>
  <c r="M280" i="6"/>
  <c r="N280" i="6" s="1"/>
  <c r="M132" i="6"/>
  <c r="N132" i="6" s="1"/>
  <c r="L669" i="6"/>
  <c r="O669" i="6" s="1"/>
  <c r="M406" i="6"/>
  <c r="N406" i="6" s="1"/>
  <c r="M491" i="6"/>
  <c r="N491" i="6" s="1"/>
  <c r="M416" i="6"/>
  <c r="N416" i="6" s="1"/>
  <c r="M41" i="6"/>
  <c r="N41" i="6" s="1"/>
  <c r="L99" i="6"/>
  <c r="O99" i="6" s="1"/>
  <c r="M174" i="6"/>
  <c r="N174" i="6" s="1"/>
  <c r="L736" i="6"/>
  <c r="M147" i="6"/>
  <c r="N147" i="6" s="1"/>
  <c r="L377" i="6"/>
  <c r="O377" i="6" s="1"/>
  <c r="L370" i="6"/>
  <c r="L165" i="6"/>
  <c r="O165" i="6" s="1"/>
  <c r="L146" i="6"/>
  <c r="O146" i="6" s="1"/>
  <c r="M856" i="6"/>
  <c r="N856" i="6" s="1"/>
  <c r="M1001" i="6"/>
  <c r="N1001" i="6" s="1"/>
  <c r="L510" i="6"/>
  <c r="L886" i="6"/>
  <c r="O886" i="6" s="1"/>
  <c r="L856" i="6"/>
  <c r="O856" i="6" s="1"/>
  <c r="M368" i="6"/>
  <c r="N368" i="6" s="1"/>
  <c r="L1001" i="6"/>
  <c r="O1001" i="6" s="1"/>
  <c r="M610" i="6"/>
  <c r="N610" i="6" s="1"/>
  <c r="M642" i="6"/>
  <c r="N642" i="6" s="1"/>
  <c r="L610" i="6"/>
  <c r="O610" i="6" s="1"/>
  <c r="L95" i="6"/>
  <c r="L358" i="6"/>
  <c r="O358" i="6" s="1"/>
  <c r="L245" i="6"/>
  <c r="O245" i="6" s="1"/>
  <c r="M217" i="6"/>
  <c r="N217" i="6" s="1"/>
  <c r="M307" i="6"/>
  <c r="N307" i="6" s="1"/>
  <c r="M362" i="6"/>
  <c r="N362" i="6" s="1"/>
  <c r="L175" i="6"/>
  <c r="O175" i="6" s="1"/>
  <c r="M102" i="6"/>
  <c r="N102" i="6" s="1"/>
  <c r="L1382" i="6"/>
  <c r="M323" i="6"/>
  <c r="N323" i="6" s="1"/>
  <c r="L357" i="6"/>
  <c r="O357" i="6" s="1"/>
  <c r="L744" i="6"/>
  <c r="O744" i="6" s="1"/>
  <c r="M104" i="6"/>
  <c r="N104" i="6" s="1"/>
  <c r="L167" i="6"/>
  <c r="O167" i="6" s="1"/>
  <c r="M62" i="6"/>
  <c r="N62" i="6" s="1"/>
  <c r="L372" i="6"/>
  <c r="O372" i="6" s="1"/>
  <c r="L244" i="6"/>
  <c r="O244" i="6" s="1"/>
  <c r="M747" i="6"/>
  <c r="N747" i="6" s="1"/>
  <c r="L1052" i="6"/>
  <c r="O1052" i="6" s="1"/>
  <c r="M75" i="6"/>
  <c r="N75" i="6" s="1"/>
  <c r="M50" i="6"/>
  <c r="N50" i="6" s="1"/>
  <c r="M155" i="6"/>
  <c r="N155" i="6" s="1"/>
  <c r="M253" i="6"/>
  <c r="N253" i="6" s="1"/>
  <c r="M540" i="6"/>
  <c r="N540" i="6" s="1"/>
  <c r="L1085" i="6"/>
  <c r="O1085" i="6" s="1"/>
  <c r="M358" i="6"/>
  <c r="N358" i="6" s="1"/>
  <c r="L18" i="6"/>
  <c r="O18" i="6" s="1"/>
  <c r="L459" i="6"/>
  <c r="O459" i="6" s="1"/>
  <c r="L201" i="6"/>
  <c r="L803" i="6"/>
  <c r="L1135" i="6"/>
  <c r="M370" i="6"/>
  <c r="N370" i="6" s="1"/>
  <c r="M264" i="6"/>
  <c r="N264" i="6" s="1"/>
  <c r="L50" i="6"/>
  <c r="L316" i="6"/>
  <c r="O316" i="6" s="1"/>
  <c r="P1176" i="6"/>
  <c r="M202" i="6"/>
  <c r="N202" i="6" s="1"/>
  <c r="N1203" i="6"/>
  <c r="P1382" i="6"/>
  <c r="M83" i="6"/>
  <c r="N83" i="6" s="1"/>
  <c r="L327" i="6"/>
  <c r="M55" i="6"/>
  <c r="N55" i="6" s="1"/>
  <c r="P1585" i="6"/>
  <c r="M1157" i="6"/>
  <c r="M692" i="6"/>
  <c r="N692" i="6" s="1"/>
  <c r="M454" i="6"/>
  <c r="N454" i="6" s="1"/>
  <c r="M1585" i="6"/>
  <c r="O1157" i="6"/>
  <c r="L1023" i="6"/>
  <c r="O1023" i="6" s="1"/>
  <c r="M245" i="6"/>
  <c r="N245" i="6" s="1"/>
  <c r="L490" i="6"/>
  <c r="O490" i="6" s="1"/>
  <c r="L980" i="6"/>
  <c r="M201" i="6"/>
  <c r="N201" i="6" s="1"/>
  <c r="M1084" i="6"/>
  <c r="N1084" i="6" s="1"/>
  <c r="L461" i="6"/>
  <c r="O461" i="6" s="1"/>
  <c r="L747" i="6"/>
  <c r="O747" i="6" s="1"/>
  <c r="L853" i="6"/>
  <c r="O853" i="6" s="1"/>
  <c r="L916" i="6"/>
  <c r="N1209" i="6"/>
  <c r="M1162" i="6"/>
  <c r="L334" i="6"/>
  <c r="O334" i="6" s="1"/>
  <c r="M658" i="6"/>
  <c r="N658" i="6" s="1"/>
  <c r="M441" i="6"/>
  <c r="N441" i="6" s="1"/>
  <c r="L506" i="6"/>
  <c r="L878" i="6"/>
  <c r="O878" i="6" s="1"/>
  <c r="L1111" i="6"/>
  <c r="O1111" i="6" s="1"/>
  <c r="L182" i="6"/>
  <c r="O182" i="6" s="1"/>
  <c r="M84" i="6"/>
  <c r="N84" i="6" s="1"/>
  <c r="M424" i="6"/>
  <c r="N424" i="6" s="1"/>
  <c r="L260" i="6"/>
  <c r="O260" i="6" s="1"/>
  <c r="M151" i="6"/>
  <c r="N151" i="6" s="1"/>
  <c r="L265" i="6"/>
  <c r="M776" i="6"/>
  <c r="N776" i="6" s="1"/>
  <c r="M308" i="6"/>
  <c r="N308" i="6" s="1"/>
  <c r="M263" i="6"/>
  <c r="N263" i="6" s="1"/>
  <c r="M580" i="6"/>
  <c r="N580" i="6" s="1"/>
  <c r="L263" i="6"/>
  <c r="O263" i="6" s="1"/>
  <c r="L54" i="6"/>
  <c r="L727" i="6"/>
  <c r="O727" i="6" s="1"/>
  <c r="L308" i="6"/>
  <c r="O308" i="6" s="1"/>
  <c r="L514" i="6"/>
  <c r="L148" i="6"/>
  <c r="M272" i="6"/>
  <c r="N272" i="6" s="1"/>
  <c r="L792" i="6"/>
  <c r="P400" i="6"/>
  <c r="P327" i="6"/>
  <c r="M22" i="6"/>
  <c r="N22" i="6" s="1"/>
  <c r="M218" i="6"/>
  <c r="N218" i="6" s="1"/>
  <c r="M316" i="6"/>
  <c r="N316" i="6" s="1"/>
  <c r="M852" i="6"/>
  <c r="N852" i="6" s="1"/>
  <c r="M1052" i="6"/>
  <c r="N1052" i="6" s="1"/>
  <c r="L279" i="6"/>
  <c r="O279" i="6" s="1"/>
  <c r="L257" i="6"/>
  <c r="O257" i="6" s="1"/>
  <c r="L658" i="6"/>
  <c r="O658" i="6" s="1"/>
  <c r="M189" i="6"/>
  <c r="N189" i="6" s="1"/>
  <c r="L996" i="6"/>
  <c r="O996" i="6" s="1"/>
  <c r="L13" i="6"/>
  <c r="O13" i="6" s="1"/>
  <c r="M74" i="6"/>
  <c r="N74" i="6" s="1"/>
  <c r="L284" i="6"/>
  <c r="M312" i="6"/>
  <c r="N312" i="6" s="1"/>
  <c r="L674" i="6"/>
  <c r="O674" i="6" s="1"/>
  <c r="M506" i="6"/>
  <c r="N506" i="6" s="1"/>
  <c r="M620" i="6"/>
  <c r="N620" i="6" s="1"/>
  <c r="M334" i="6"/>
  <c r="N334" i="6" s="1"/>
  <c r="L626" i="6"/>
  <c r="O626" i="6" s="1"/>
  <c r="L75" i="6"/>
  <c r="O75" i="6" s="1"/>
  <c r="L253" i="6"/>
  <c r="O253" i="6" s="1"/>
  <c r="P197" i="6"/>
  <c r="L83" i="6"/>
  <c r="O83" i="6" s="1"/>
  <c r="N1507" i="6"/>
  <c r="M230" i="6"/>
  <c r="N230" i="6" s="1"/>
  <c r="M238" i="6"/>
  <c r="N238" i="6" s="1"/>
  <c r="M158" i="6"/>
  <c r="N158" i="6" s="1"/>
  <c r="M403" i="6"/>
  <c r="N403" i="6" s="1"/>
  <c r="M626" i="6"/>
  <c r="N626" i="6" s="1"/>
  <c r="M43" i="6"/>
  <c r="N43" i="6" s="1"/>
  <c r="M845" i="6"/>
  <c r="N845" i="6" s="1"/>
  <c r="L620" i="6"/>
  <c r="O620" i="6" s="1"/>
  <c r="L1037" i="6"/>
  <c r="O1037" i="6" s="1"/>
  <c r="L82" i="6"/>
  <c r="O82" i="6" s="1"/>
  <c r="L588" i="6"/>
  <c r="O588" i="6" s="1"/>
  <c r="L526" i="6"/>
  <c r="O526" i="6" s="1"/>
  <c r="L403" i="6"/>
  <c r="L217" i="6"/>
  <c r="O217" i="6" s="1"/>
  <c r="P1285" i="6"/>
  <c r="L104" i="6"/>
  <c r="L1162" i="6"/>
  <c r="L189" i="6"/>
  <c r="M148" i="6"/>
  <c r="N148" i="6" s="1"/>
  <c r="M246" i="6"/>
  <c r="N246" i="6" s="1"/>
  <c r="M414" i="6"/>
  <c r="N414" i="6" s="1"/>
  <c r="M861" i="6"/>
  <c r="N861" i="6" s="1"/>
  <c r="L4" i="6"/>
  <c r="O4" i="6" s="1"/>
  <c r="L411" i="6"/>
  <c r="O411" i="6" s="1"/>
  <c r="L1056" i="6"/>
  <c r="O1056" i="6" s="1"/>
  <c r="M279" i="6"/>
  <c r="N279" i="6" s="1"/>
  <c r="L71" i="6"/>
  <c r="O71" i="6" s="1"/>
  <c r="L139" i="6"/>
  <c r="O139" i="6" s="1"/>
  <c r="O1285" i="6"/>
  <c r="N1585" i="6"/>
  <c r="L1157" i="6"/>
  <c r="L300" i="6"/>
  <c r="O300" i="6" s="1"/>
  <c r="M1037" i="6"/>
  <c r="N1037" i="6" s="1"/>
  <c r="L392" i="6"/>
  <c r="O392" i="6" s="1"/>
  <c r="P1121" i="6"/>
  <c r="M71" i="6"/>
  <c r="N71" i="6" s="1"/>
  <c r="M988" i="6"/>
  <c r="N988" i="6" s="1"/>
  <c r="L221" i="6"/>
  <c r="O221" i="6" s="1"/>
  <c r="L319" i="6"/>
  <c r="O319" i="6" s="1"/>
  <c r="L12" i="6"/>
  <c r="O12" i="6" s="1"/>
  <c r="L110" i="6"/>
  <c r="M391" i="6"/>
  <c r="N391" i="6" s="1"/>
  <c r="M357" i="6"/>
  <c r="N357" i="6" s="1"/>
  <c r="L34" i="6"/>
  <c r="O34" i="6" s="1"/>
  <c r="M1161" i="6"/>
  <c r="M284" i="6"/>
  <c r="N284" i="6" s="1"/>
  <c r="L1585" i="6"/>
  <c r="L1263" i="6"/>
  <c r="O1382" i="6"/>
  <c r="N1157" i="6"/>
  <c r="M61" i="6"/>
  <c r="N61" i="6" s="1"/>
  <c r="L29" i="6"/>
  <c r="O29" i="6" s="1"/>
  <c r="M727" i="6"/>
  <c r="N727" i="6" s="1"/>
  <c r="M372" i="6"/>
  <c r="N372" i="6" s="1"/>
  <c r="L692" i="6"/>
  <c r="O692" i="6" s="1"/>
  <c r="P1263" i="6"/>
  <c r="M124" i="6"/>
  <c r="N124" i="6" s="1"/>
  <c r="M721" i="6"/>
  <c r="N721" i="6" s="1"/>
  <c r="M281" i="6"/>
  <c r="N281" i="6" s="1"/>
  <c r="M1056" i="6"/>
  <c r="N1056" i="6" s="1"/>
  <c r="M812" i="6"/>
  <c r="N812" i="6" s="1"/>
  <c r="L41" i="6"/>
  <c r="O41" i="6" s="1"/>
  <c r="L471" i="6"/>
  <c r="O471" i="6" s="1"/>
  <c r="L469" i="6"/>
  <c r="O469" i="6" s="1"/>
  <c r="L320" i="6"/>
  <c r="O320" i="6" s="1"/>
  <c r="L540" i="6"/>
  <c r="O540" i="6" s="1"/>
  <c r="L624" i="6"/>
  <c r="O624" i="6" s="1"/>
  <c r="L785" i="6"/>
  <c r="O785" i="6" s="1"/>
  <c r="L608" i="6"/>
  <c r="O608" i="6" s="1"/>
  <c r="L342" i="6"/>
  <c r="O342" i="6" s="1"/>
  <c r="L307" i="6"/>
  <c r="O307" i="6" s="1"/>
  <c r="O1161" i="6"/>
  <c r="M1263" i="6"/>
  <c r="L35" i="6"/>
  <c r="O35" i="6" s="1"/>
  <c r="M139" i="6"/>
  <c r="N139" i="6" s="1"/>
  <c r="L225" i="6"/>
  <c r="O225" i="6" s="1"/>
  <c r="L140" i="6"/>
  <c r="P119" i="6"/>
  <c r="M347" i="6"/>
  <c r="N347" i="6" s="1"/>
  <c r="M103" i="6"/>
  <c r="N103" i="6" s="1"/>
  <c r="P764" i="6"/>
  <c r="P566" i="6"/>
  <c r="P320" i="6"/>
  <c r="P222" i="6"/>
  <c r="O26" i="6"/>
  <c r="L53" i="6"/>
  <c r="O53" i="6" s="1"/>
  <c r="L347" i="6"/>
  <c r="O347" i="6" s="1"/>
  <c r="L491" i="6"/>
  <c r="O491" i="6" s="1"/>
  <c r="L174" i="6"/>
  <c r="O174" i="6" s="1"/>
  <c r="M1507" i="6"/>
  <c r="L580" i="6"/>
  <c r="O580" i="6" s="1"/>
  <c r="O1263" i="6"/>
  <c r="M221" i="6"/>
  <c r="N221" i="6" s="1"/>
  <c r="L414" i="6"/>
  <c r="O414" i="6" s="1"/>
  <c r="L441" i="6"/>
  <c r="M526" i="6"/>
  <c r="N526" i="6" s="1"/>
  <c r="M608" i="6"/>
  <c r="N608" i="6" s="1"/>
  <c r="M28" i="6"/>
  <c r="N28" i="6" s="1"/>
  <c r="M542" i="6"/>
  <c r="N542" i="6" s="1"/>
  <c r="O1209" i="6"/>
  <c r="N1202" i="6"/>
  <c r="M112" i="6"/>
  <c r="N112" i="6" s="1"/>
  <c r="M225" i="6"/>
  <c r="N225" i="6" s="1"/>
  <c r="P139" i="6"/>
  <c r="P744" i="6"/>
  <c r="L1035" i="6"/>
  <c r="O1035" i="6" s="1"/>
  <c r="P812" i="6"/>
  <c r="L852" i="6"/>
  <c r="O852" i="6" s="1"/>
  <c r="L943" i="6"/>
  <c r="O943" i="6" s="1"/>
  <c r="L119" i="6"/>
  <c r="L272" i="6"/>
  <c r="O272" i="6" s="1"/>
  <c r="M1209" i="6"/>
  <c r="M1202" i="6"/>
  <c r="M576" i="6"/>
  <c r="N576" i="6" s="1"/>
  <c r="M67" i="6"/>
  <c r="N67" i="6" s="1"/>
  <c r="P237" i="6"/>
  <c r="M119" i="6"/>
  <c r="N119" i="6" s="1"/>
  <c r="M938" i="6"/>
  <c r="N938" i="6" s="1"/>
  <c r="L193" i="6"/>
  <c r="L291" i="6"/>
  <c r="O291" i="6" s="1"/>
  <c r="L604" i="6"/>
  <c r="O604" i="6" s="1"/>
  <c r="L376" i="6"/>
  <c r="O376" i="6" s="1"/>
  <c r="L938" i="6"/>
  <c r="O938" i="6" s="1"/>
  <c r="L218" i="6"/>
  <c r="O218" i="6" s="1"/>
  <c r="P1083" i="6"/>
  <c r="L383" i="6"/>
  <c r="L542" i="6"/>
  <c r="L155" i="6"/>
  <c r="O155" i="6" s="1"/>
  <c r="M237" i="6"/>
  <c r="N237" i="6" s="1"/>
  <c r="P1056" i="6"/>
  <c r="P1015" i="6"/>
  <c r="L90" i="6"/>
  <c r="L416" i="6"/>
  <c r="O416" i="6" s="1"/>
  <c r="M244" i="6"/>
  <c r="N244" i="6" s="1"/>
  <c r="L1140" i="6"/>
  <c r="M123" i="6"/>
  <c r="N123" i="6" s="1"/>
  <c r="L1034" i="6"/>
  <c r="O1034" i="6" s="1"/>
  <c r="M604" i="6"/>
  <c r="N604" i="6" s="1"/>
  <c r="M383" i="6"/>
  <c r="N383" i="6" s="1"/>
  <c r="M1140" i="6"/>
  <c r="P469" i="6"/>
  <c r="P996" i="6"/>
  <c r="M260" i="6"/>
  <c r="N260" i="6" s="1"/>
  <c r="M878" i="6"/>
  <c r="N878" i="6" s="1"/>
  <c r="L576" i="6"/>
  <c r="O576" i="6" s="1"/>
  <c r="L147" i="6"/>
  <c r="L237" i="6"/>
  <c r="O237" i="6" s="1"/>
  <c r="N1140" i="6"/>
  <c r="O1507" i="6"/>
  <c r="M694" i="6"/>
  <c r="N694" i="6" s="1"/>
  <c r="O1741" i="6"/>
  <c r="M12" i="6"/>
  <c r="N12" i="6" s="1"/>
  <c r="P542" i="6"/>
  <c r="P861" i="6"/>
  <c r="P576" i="6"/>
  <c r="P500" i="6"/>
  <c r="M165" i="6"/>
  <c r="N165" i="6" s="1"/>
  <c r="L1084" i="6"/>
  <c r="O1084" i="6" s="1"/>
  <c r="O1140" i="6"/>
  <c r="P1507" i="6"/>
  <c r="L1741" i="6"/>
  <c r="P441" i="6"/>
  <c r="P727" i="6"/>
  <c r="P888" i="6"/>
  <c r="M1035" i="6"/>
  <c r="N1035" i="6" s="1"/>
  <c r="L479" i="6"/>
  <c r="O479" i="6" s="1"/>
  <c r="L406" i="6"/>
  <c r="O406" i="6" s="1"/>
  <c r="M252" i="6"/>
  <c r="N252" i="6" s="1"/>
  <c r="M343" i="6"/>
  <c r="N343" i="6" s="1"/>
  <c r="L476" i="6"/>
  <c r="O476" i="6" s="1"/>
  <c r="M354" i="6"/>
  <c r="N354" i="6" s="1"/>
  <c r="M82" i="6"/>
  <c r="N82" i="6" s="1"/>
  <c r="M452" i="6"/>
  <c r="N452" i="6" s="1"/>
  <c r="L173" i="6"/>
  <c r="L271" i="6"/>
  <c r="O271" i="6" s="1"/>
  <c r="L369" i="6"/>
  <c r="O369" i="6" s="1"/>
  <c r="P1741" i="6"/>
  <c r="M449" i="6"/>
  <c r="N449" i="6" s="1"/>
  <c r="M688" i="6"/>
  <c r="N688" i="6" s="1"/>
  <c r="L770" i="6"/>
  <c r="O770" i="6" s="1"/>
  <c r="L688" i="6"/>
  <c r="O688" i="6" s="1"/>
  <c r="M624" i="6"/>
  <c r="N624" i="6" s="1"/>
  <c r="M173" i="6"/>
  <c r="N173" i="6" s="1"/>
  <c r="M479" i="6"/>
  <c r="N479" i="6" s="1"/>
  <c r="L292" i="6"/>
  <c r="O292" i="6" s="1"/>
  <c r="M385" i="6"/>
  <c r="N385" i="6" s="1"/>
  <c r="P385" i="6"/>
  <c r="L5" i="6"/>
  <c r="O5" i="6" s="1"/>
  <c r="L776" i="6"/>
  <c r="O776" i="6" s="1"/>
  <c r="L384" i="6"/>
  <c r="O384" i="6" s="1"/>
  <c r="M1603" i="6"/>
  <c r="M5" i="6"/>
  <c r="N5" i="6" s="1"/>
  <c r="L210" i="6"/>
  <c r="O210" i="6" s="1"/>
  <c r="P1603" i="6"/>
  <c r="M874" i="6"/>
  <c r="N874" i="6" s="1"/>
  <c r="M533" i="6"/>
  <c r="N533" i="6" s="1"/>
  <c r="L130" i="6"/>
  <c r="O130" i="6" s="1"/>
  <c r="M130" i="6"/>
  <c r="N130" i="6" s="1"/>
  <c r="O1603" i="6"/>
  <c r="M1148" i="6"/>
  <c r="M292" i="6"/>
  <c r="N292" i="6" s="1"/>
  <c r="M384" i="6"/>
  <c r="N384" i="6" s="1"/>
  <c r="M236" i="6"/>
  <c r="N236" i="6" s="1"/>
  <c r="L1603" i="6"/>
  <c r="N1148" i="6"/>
  <c r="M29" i="6"/>
  <c r="N29" i="6" s="1"/>
  <c r="L131" i="6"/>
  <c r="O131" i="6" s="1"/>
  <c r="L452" i="6"/>
  <c r="L343" i="6"/>
  <c r="M140" i="6"/>
  <c r="N140" i="6" s="1"/>
  <c r="L1148" i="6"/>
  <c r="M476" i="6"/>
  <c r="N476" i="6" s="1"/>
  <c r="L124" i="6"/>
  <c r="O124" i="6" s="1"/>
  <c r="P449" i="6"/>
  <c r="L70" i="6"/>
  <c r="O70" i="6" s="1"/>
  <c r="L151" i="6"/>
  <c r="O151" i="6" s="1"/>
  <c r="L138" i="6"/>
  <c r="O138" i="6" s="1"/>
  <c r="O1148" i="6"/>
  <c r="P624" i="6"/>
  <c r="L874" i="6"/>
  <c r="O874" i="6" s="1"/>
  <c r="L354" i="6"/>
  <c r="O354" i="6" s="1"/>
  <c r="M53" i="6"/>
  <c r="N53" i="6" s="1"/>
  <c r="O1133" i="6"/>
  <c r="M598" i="6"/>
  <c r="N598" i="6" s="1"/>
  <c r="L500" i="6"/>
  <c r="M90" i="6"/>
  <c r="N90" i="6" s="1"/>
  <c r="N1133" i="6"/>
  <c r="M1034" i="6"/>
  <c r="N1034" i="6" s="1"/>
  <c r="L598" i="6"/>
  <c r="O598" i="6" s="1"/>
  <c r="L368" i="6"/>
  <c r="O368" i="6" s="1"/>
  <c r="M638" i="6"/>
  <c r="N638" i="6" s="1"/>
  <c r="L698" i="6"/>
  <c r="O698" i="6" s="1"/>
  <c r="M336" i="6"/>
  <c r="N336" i="6" s="1"/>
  <c r="O2125" i="6"/>
  <c r="P1156" i="6"/>
  <c r="P1475" i="6"/>
  <c r="P2125" i="6"/>
  <c r="M154" i="6"/>
  <c r="N154" i="6" s="1"/>
  <c r="M1667" i="6"/>
  <c r="L1667" i="6"/>
  <c r="M70" i="6"/>
  <c r="N70" i="6" s="1"/>
  <c r="L209" i="6"/>
  <c r="O209" i="6" s="1"/>
  <c r="M461" i="6"/>
  <c r="N461" i="6" s="1"/>
  <c r="L14" i="6"/>
  <c r="O14" i="6" s="1"/>
  <c r="M1741" i="6"/>
  <c r="L400" i="6"/>
  <c r="O400" i="6" s="1"/>
  <c r="M146" i="6"/>
  <c r="N146" i="6" s="1"/>
  <c r="M588" i="6"/>
  <c r="N588" i="6" s="1"/>
  <c r="M265" i="6"/>
  <c r="N265" i="6" s="1"/>
  <c r="M110" i="6"/>
  <c r="N110" i="6" s="1"/>
  <c r="L112" i="6"/>
  <c r="O112" i="6" s="1"/>
  <c r="M229" i="6"/>
  <c r="N229" i="6" s="1"/>
  <c r="M271" i="6"/>
  <c r="N271" i="6" s="1"/>
  <c r="M287" i="6"/>
  <c r="N287" i="6" s="1"/>
  <c r="M14" i="6"/>
  <c r="N14" i="6" s="1"/>
  <c r="L1156" i="6"/>
  <c r="M1475" i="6"/>
  <c r="L186" i="6"/>
  <c r="O186" i="6" s="1"/>
  <c r="M1156" i="6"/>
  <c r="M131" i="6"/>
  <c r="N131" i="6" s="1"/>
  <c r="N1475" i="6"/>
  <c r="P1133" i="6"/>
  <c r="N1667" i="6"/>
  <c r="P1202" i="6"/>
  <c r="M2125" i="6"/>
  <c r="N1156" i="6"/>
  <c r="O1475" i="6"/>
  <c r="L1133" i="6"/>
  <c r="L328" i="6"/>
  <c r="O328" i="6" s="1"/>
  <c r="M493" i="6"/>
  <c r="N493" i="6" s="1"/>
  <c r="O1667" i="6"/>
  <c r="P965" i="6"/>
  <c r="P490" i="6"/>
  <c r="P300" i="6"/>
  <c r="P202" i="6"/>
  <c r="P159" i="6"/>
  <c r="P61" i="6"/>
  <c r="L591" i="6"/>
  <c r="O591" i="6" s="1"/>
  <c r="M591" i="6"/>
  <c r="N591" i="6" s="1"/>
  <c r="P591" i="6"/>
  <c r="M507" i="6"/>
  <c r="N507" i="6" s="1"/>
  <c r="L507" i="6"/>
  <c r="P507" i="6"/>
  <c r="L393" i="6"/>
  <c r="O393" i="6" s="1"/>
  <c r="P393" i="6"/>
  <c r="M393" i="6"/>
  <c r="N393" i="6" s="1"/>
  <c r="M96" i="6"/>
  <c r="N96" i="6" s="1"/>
  <c r="L96" i="6"/>
  <c r="O96" i="6" s="1"/>
  <c r="P96" i="6"/>
  <c r="P64" i="6"/>
  <c r="L64" i="6"/>
  <c r="O64" i="6" s="1"/>
  <c r="M64" i="6"/>
  <c r="N64" i="6" s="1"/>
  <c r="P357" i="6"/>
  <c r="M340" i="6"/>
  <c r="N340" i="6" s="1"/>
  <c r="L340" i="6"/>
  <c r="O340" i="6" s="1"/>
  <c r="P340" i="6"/>
  <c r="P274" i="6"/>
  <c r="L274" i="6"/>
  <c r="O274" i="6" s="1"/>
  <c r="M274" i="6"/>
  <c r="N274" i="6" s="1"/>
  <c r="M242" i="6"/>
  <c r="N242" i="6" s="1"/>
  <c r="L242" i="6"/>
  <c r="O242" i="6" s="1"/>
  <c r="P242" i="6"/>
  <c r="P2177" i="6"/>
  <c r="N2177" i="6"/>
  <c r="M2177" i="6"/>
  <c r="L2177" i="6"/>
  <c r="O2177" i="6"/>
  <c r="M420" i="6"/>
  <c r="N420" i="6" s="1"/>
  <c r="L420" i="6"/>
  <c r="P420" i="6"/>
  <c r="P313" i="6"/>
  <c r="M313" i="6"/>
  <c r="N313" i="6" s="1"/>
  <c r="L313" i="6"/>
  <c r="O313" i="6" s="1"/>
  <c r="P286" i="6"/>
  <c r="M286" i="6"/>
  <c r="N286" i="6" s="1"/>
  <c r="L286" i="6"/>
  <c r="O286" i="6" s="1"/>
  <c r="P426" i="6"/>
  <c r="M426" i="6"/>
  <c r="N426" i="6" s="1"/>
  <c r="L426" i="6"/>
  <c r="O426" i="6" s="1"/>
  <c r="P208" i="6"/>
  <c r="L208" i="6"/>
  <c r="O208" i="6" s="1"/>
  <c r="M208" i="6"/>
  <c r="N208" i="6" s="1"/>
  <c r="P295" i="6"/>
  <c r="P148" i="6"/>
  <c r="P391" i="6"/>
  <c r="P54" i="6"/>
  <c r="L1390" i="6"/>
  <c r="P1390" i="6"/>
  <c r="O1390" i="6"/>
  <c r="N1390" i="6"/>
  <c r="M1390" i="6"/>
  <c r="P425" i="6"/>
  <c r="M425" i="6"/>
  <c r="N425" i="6" s="1"/>
  <c r="L425" i="6"/>
  <c r="P355" i="6"/>
  <c r="M355" i="6"/>
  <c r="N355" i="6" s="1"/>
  <c r="L355" i="6"/>
  <c r="O355" i="6" s="1"/>
  <c r="P154" i="6"/>
  <c r="O1220" i="6"/>
  <c r="N1220" i="6"/>
  <c r="P1220" i="6"/>
  <c r="M1220" i="6"/>
  <c r="L1220" i="6"/>
  <c r="P855" i="6"/>
  <c r="L855" i="6"/>
  <c r="O855" i="6" s="1"/>
  <c r="M855" i="6"/>
  <c r="N855" i="6" s="1"/>
  <c r="M523" i="6"/>
  <c r="N523" i="6" s="1"/>
  <c r="L523" i="6"/>
  <c r="P523" i="6"/>
  <c r="P176" i="6"/>
  <c r="M176" i="6"/>
  <c r="N176" i="6" s="1"/>
  <c r="L176" i="6"/>
  <c r="O176" i="6" s="1"/>
  <c r="M144" i="6"/>
  <c r="N144" i="6" s="1"/>
  <c r="L144" i="6"/>
  <c r="P144" i="6"/>
  <c r="M76" i="6"/>
  <c r="N76" i="6" s="1"/>
  <c r="P76" i="6"/>
  <c r="L76" i="6"/>
  <c r="O76" i="6" s="1"/>
  <c r="M39" i="6"/>
  <c r="N39" i="6" s="1"/>
  <c r="L39" i="6"/>
  <c r="O39" i="6" s="1"/>
  <c r="P39" i="6"/>
  <c r="P654" i="6"/>
  <c r="N1251" i="6"/>
  <c r="L1251" i="6"/>
  <c r="P1251" i="6"/>
  <c r="O1251" i="6"/>
  <c r="M1251" i="6"/>
  <c r="M1132" i="6"/>
  <c r="L1132" i="6"/>
  <c r="P1132" i="6"/>
  <c r="O1132" i="6"/>
  <c r="N1132" i="6"/>
  <c r="P196" i="6"/>
  <c r="M196" i="6"/>
  <c r="N196" i="6" s="1"/>
  <c r="L196" i="6"/>
  <c r="O196" i="6" s="1"/>
  <c r="P97" i="6"/>
  <c r="L97" i="6"/>
  <c r="O97" i="6" s="1"/>
  <c r="M97" i="6"/>
  <c r="N97" i="6" s="1"/>
  <c r="P28" i="6"/>
  <c r="P677" i="6"/>
  <c r="M677" i="6"/>
  <c r="N677" i="6" s="1"/>
  <c r="L677" i="6"/>
  <c r="O677" i="6" s="1"/>
  <c r="M349" i="6"/>
  <c r="N349" i="6" s="1"/>
  <c r="L349" i="6"/>
  <c r="O349" i="6" s="1"/>
  <c r="P349" i="6"/>
  <c r="P55" i="6"/>
  <c r="P14" i="6"/>
  <c r="P1113" i="6"/>
  <c r="L509" i="6"/>
  <c r="O509" i="6" s="1"/>
  <c r="P509" i="6"/>
  <c r="M509" i="6"/>
  <c r="N509" i="6" s="1"/>
  <c r="P301" i="6"/>
  <c r="M301" i="6"/>
  <c r="N301" i="6" s="1"/>
  <c r="L301" i="6"/>
  <c r="O301" i="6" s="1"/>
  <c r="P1073" i="6"/>
  <c r="L1073" i="6"/>
  <c r="O1073" i="6" s="1"/>
  <c r="M1073" i="6"/>
  <c r="N1073" i="6" s="1"/>
  <c r="M207" i="6"/>
  <c r="N207" i="6" s="1"/>
  <c r="L207" i="6"/>
  <c r="O207" i="6" s="1"/>
  <c r="P207" i="6"/>
  <c r="P572" i="6"/>
  <c r="P264" i="6"/>
  <c r="O264" i="6"/>
  <c r="P239" i="6"/>
  <c r="M239" i="6"/>
  <c r="N239" i="6" s="1"/>
  <c r="L239" i="6"/>
  <c r="O239" i="6" s="1"/>
  <c r="P939" i="6"/>
  <c r="P818" i="6"/>
  <c r="P856" i="6"/>
  <c r="P384" i="6"/>
  <c r="M589" i="6"/>
  <c r="N589" i="6" s="1"/>
  <c r="L589" i="6"/>
  <c r="O589" i="6" s="1"/>
  <c r="P589" i="6"/>
  <c r="P1045" i="6"/>
  <c r="M1045" i="6"/>
  <c r="N1045" i="6" s="1"/>
  <c r="L1045" i="6"/>
  <c r="O1045" i="6" s="1"/>
  <c r="M382" i="6"/>
  <c r="N382" i="6" s="1"/>
  <c r="L382" i="6"/>
  <c r="O382" i="6" s="1"/>
  <c r="P382" i="6"/>
  <c r="P434" i="6"/>
  <c r="M434" i="6"/>
  <c r="N434" i="6" s="1"/>
  <c r="L434" i="6"/>
  <c r="O434" i="6" s="1"/>
  <c r="P736" i="6"/>
  <c r="P308" i="6"/>
  <c r="P512" i="6"/>
  <c r="P988" i="6"/>
  <c r="P604" i="6"/>
  <c r="P1084" i="6"/>
  <c r="P638" i="6"/>
  <c r="P454" i="6"/>
  <c r="P377" i="6"/>
  <c r="P279" i="6"/>
  <c r="P181" i="6"/>
  <c r="O181" i="6"/>
  <c r="P334" i="6"/>
  <c r="P236" i="6"/>
  <c r="P138" i="6"/>
  <c r="P1178" i="6"/>
  <c r="N1178" i="6"/>
  <c r="O1178" i="6"/>
  <c r="M1178" i="6"/>
  <c r="L1178" i="6"/>
  <c r="M293" i="6"/>
  <c r="N293" i="6" s="1"/>
  <c r="P293" i="6"/>
  <c r="L293" i="6"/>
  <c r="O293" i="6" s="1"/>
  <c r="P195" i="6"/>
  <c r="M195" i="6"/>
  <c r="N195" i="6" s="1"/>
  <c r="L195" i="6"/>
  <c r="O195" i="6" s="1"/>
  <c r="P670" i="6"/>
  <c r="M639" i="6"/>
  <c r="N639" i="6" s="1"/>
  <c r="L639" i="6"/>
  <c r="O639" i="6" s="1"/>
  <c r="P639" i="6"/>
  <c r="M824" i="6"/>
  <c r="N824" i="6" s="1"/>
  <c r="L824" i="6"/>
  <c r="O824" i="6" s="1"/>
  <c r="P824" i="6"/>
  <c r="P371" i="6"/>
  <c r="M371" i="6"/>
  <c r="N371" i="6" s="1"/>
  <c r="L371" i="6"/>
  <c r="O371" i="6" s="1"/>
  <c r="P337" i="6"/>
  <c r="M337" i="6"/>
  <c r="N337" i="6" s="1"/>
  <c r="L337" i="6"/>
  <c r="P125" i="6"/>
  <c r="M125" i="6"/>
  <c r="N125" i="6" s="1"/>
  <c r="L125" i="6"/>
  <c r="O125" i="6" s="1"/>
  <c r="P21" i="6"/>
  <c r="O1549" i="6"/>
  <c r="N1549" i="6"/>
  <c r="P1549" i="6"/>
  <c r="M1549" i="6"/>
  <c r="L1549" i="6"/>
  <c r="M563" i="6"/>
  <c r="N563" i="6" s="1"/>
  <c r="L563" i="6"/>
  <c r="O563" i="6" s="1"/>
  <c r="P563" i="6"/>
  <c r="P257" i="6"/>
  <c r="P71" i="6"/>
  <c r="O25" i="6"/>
  <c r="P75" i="6"/>
  <c r="O1210" i="6"/>
  <c r="N1210" i="6"/>
  <c r="M1210" i="6"/>
  <c r="L1210" i="6"/>
  <c r="P1210" i="6"/>
  <c r="L1245" i="6"/>
  <c r="N1245" i="6"/>
  <c r="M1245" i="6"/>
  <c r="P1245" i="6"/>
  <c r="O1245" i="6"/>
  <c r="P577" i="6"/>
  <c r="M577" i="6"/>
  <c r="N577" i="6" s="1"/>
  <c r="L577" i="6"/>
  <c r="O577" i="6" s="1"/>
  <c r="M492" i="6"/>
  <c r="N492" i="6" s="1"/>
  <c r="L492" i="6"/>
  <c r="O492" i="6" s="1"/>
  <c r="P492" i="6"/>
  <c r="M868" i="6"/>
  <c r="N868" i="6" s="1"/>
  <c r="L868" i="6"/>
  <c r="O868" i="6" s="1"/>
  <c r="P868" i="6"/>
  <c r="M445" i="6"/>
  <c r="N445" i="6" s="1"/>
  <c r="L445" i="6"/>
  <c r="O445" i="6" s="1"/>
  <c r="P445" i="6"/>
  <c r="P771" i="6"/>
  <c r="M771" i="6"/>
  <c r="N771" i="6" s="1"/>
  <c r="L771" i="6"/>
  <c r="O771" i="6" s="1"/>
  <c r="M1216" i="6"/>
  <c r="P1216" i="6"/>
  <c r="O1216" i="6"/>
  <c r="N1216" i="6"/>
  <c r="L1216" i="6"/>
  <c r="L475" i="6"/>
  <c r="O475" i="6" s="1"/>
  <c r="P475" i="6"/>
  <c r="M475" i="6"/>
  <c r="N475" i="6" s="1"/>
  <c r="M813" i="6"/>
  <c r="N813" i="6" s="1"/>
  <c r="L813" i="6"/>
  <c r="P813" i="6"/>
  <c r="P23" i="6"/>
  <c r="L23" i="6"/>
  <c r="O23" i="6" s="1"/>
  <c r="M23" i="6"/>
  <c r="N23" i="6" s="1"/>
  <c r="P121" i="6"/>
  <c r="L121" i="6"/>
  <c r="O121" i="6" s="1"/>
  <c r="M121" i="6"/>
  <c r="N121" i="6" s="1"/>
  <c r="P219" i="6"/>
  <c r="L219" i="6"/>
  <c r="M219" i="6"/>
  <c r="N219" i="6" s="1"/>
  <c r="P317" i="6"/>
  <c r="L317" i="6"/>
  <c r="O317" i="6" s="1"/>
  <c r="M317" i="6"/>
  <c r="N317" i="6" s="1"/>
  <c r="M474" i="6"/>
  <c r="N474" i="6" s="1"/>
  <c r="P474" i="6"/>
  <c r="L474" i="6"/>
  <c r="O474" i="6" s="1"/>
  <c r="P716" i="6"/>
  <c r="M716" i="6"/>
  <c r="N716" i="6" s="1"/>
  <c r="L716" i="6"/>
  <c r="O716" i="6" s="1"/>
  <c r="O1405" i="6"/>
  <c r="N1405" i="6"/>
  <c r="M1405" i="6"/>
  <c r="L1405" i="6"/>
  <c r="P1405" i="6"/>
  <c r="P527" i="6"/>
  <c r="M527" i="6"/>
  <c r="N527" i="6" s="1"/>
  <c r="L527" i="6"/>
  <c r="O527" i="6" s="1"/>
  <c r="M844" i="6"/>
  <c r="N844" i="6" s="1"/>
  <c r="L844" i="6"/>
  <c r="O844" i="6" s="1"/>
  <c r="P844" i="6"/>
  <c r="P1260" i="6"/>
  <c r="N1260" i="6"/>
  <c r="M1260" i="6"/>
  <c r="O1260" i="6"/>
  <c r="L1260" i="6"/>
  <c r="M59" i="6"/>
  <c r="N59" i="6" s="1"/>
  <c r="L59" i="6"/>
  <c r="O59" i="6" s="1"/>
  <c r="P59" i="6"/>
  <c r="M157" i="6"/>
  <c r="N157" i="6" s="1"/>
  <c r="L157" i="6"/>
  <c r="O157" i="6" s="1"/>
  <c r="P157" i="6"/>
  <c r="M255" i="6"/>
  <c r="N255" i="6" s="1"/>
  <c r="L255" i="6"/>
  <c r="O255" i="6" s="1"/>
  <c r="P255" i="6"/>
  <c r="M353" i="6"/>
  <c r="N353" i="6" s="1"/>
  <c r="L353" i="6"/>
  <c r="P353" i="6"/>
  <c r="M539" i="6"/>
  <c r="N539" i="6" s="1"/>
  <c r="L539" i="6"/>
  <c r="O539" i="6" s="1"/>
  <c r="P539" i="6"/>
  <c r="M877" i="6"/>
  <c r="N877" i="6" s="1"/>
  <c r="L877" i="6"/>
  <c r="P877" i="6"/>
  <c r="P532" i="6"/>
  <c r="M532" i="6"/>
  <c r="N532" i="6" s="1"/>
  <c r="L532" i="6"/>
  <c r="M691" i="6"/>
  <c r="N691" i="6" s="1"/>
  <c r="L691" i="6"/>
  <c r="O691" i="6" s="1"/>
  <c r="P691" i="6"/>
  <c r="P833" i="6"/>
  <c r="M833" i="6"/>
  <c r="N833" i="6" s="1"/>
  <c r="L833" i="6"/>
  <c r="O833" i="6" s="1"/>
  <c r="M1436" i="6"/>
  <c r="O1436" i="6"/>
  <c r="L1436" i="6"/>
  <c r="P1436" i="6"/>
  <c r="N1436" i="6"/>
  <c r="P600" i="6"/>
  <c r="M600" i="6"/>
  <c r="N600" i="6" s="1"/>
  <c r="L600" i="6"/>
  <c r="O600" i="6" s="1"/>
  <c r="P756" i="6"/>
  <c r="M756" i="6"/>
  <c r="N756" i="6" s="1"/>
  <c r="L756" i="6"/>
  <c r="O756" i="6" s="1"/>
  <c r="P1192" i="6"/>
  <c r="N1192" i="6"/>
  <c r="O1192" i="6"/>
  <c r="M1192" i="6"/>
  <c r="L1192" i="6"/>
  <c r="P633" i="6"/>
  <c r="M633" i="6"/>
  <c r="N633" i="6" s="1"/>
  <c r="L633" i="6"/>
  <c r="O633" i="6" s="1"/>
  <c r="M1062" i="6"/>
  <c r="N1062" i="6" s="1"/>
  <c r="L1062" i="6"/>
  <c r="O1062" i="6" s="1"/>
  <c r="P1062" i="6"/>
  <c r="N1377" i="6"/>
  <c r="M1377" i="6"/>
  <c r="L1377" i="6"/>
  <c r="P1377" i="6"/>
  <c r="O1377" i="6"/>
  <c r="P634" i="6"/>
  <c r="L634" i="6"/>
  <c r="O634" i="6" s="1"/>
  <c r="M634" i="6"/>
  <c r="N634" i="6" s="1"/>
  <c r="P777" i="6"/>
  <c r="M777" i="6"/>
  <c r="N777" i="6" s="1"/>
  <c r="L777" i="6"/>
  <c r="P1122" i="6"/>
  <c r="M1122" i="6"/>
  <c r="N1122" i="6" s="1"/>
  <c r="L1122" i="6"/>
  <c r="O1122" i="6" s="1"/>
  <c r="P457" i="6"/>
  <c r="M457" i="6"/>
  <c r="N457" i="6" s="1"/>
  <c r="L457" i="6"/>
  <c r="O457" i="6" s="1"/>
  <c r="P846" i="6"/>
  <c r="M846" i="6"/>
  <c r="N846" i="6" s="1"/>
  <c r="L846" i="6"/>
  <c r="P1064" i="6"/>
  <c r="L1064" i="6"/>
  <c r="O1064" i="6" s="1"/>
  <c r="M1064" i="6"/>
  <c r="N1064" i="6" s="1"/>
  <c r="M1830" i="6"/>
  <c r="L1830" i="6"/>
  <c r="O1830" i="6"/>
  <c r="P1830" i="6"/>
  <c r="N1830" i="6"/>
  <c r="P780" i="6"/>
  <c r="L780" i="6"/>
  <c r="M780" i="6"/>
  <c r="N780" i="6" s="1"/>
  <c r="P968" i="6"/>
  <c r="L968" i="6"/>
  <c r="M968" i="6"/>
  <c r="N968" i="6" s="1"/>
  <c r="N1425" i="6"/>
  <c r="O1425" i="6"/>
  <c r="L1425" i="6"/>
  <c r="P1425" i="6"/>
  <c r="M1425" i="6"/>
  <c r="P973" i="6"/>
  <c r="M973" i="6"/>
  <c r="N973" i="6" s="1"/>
  <c r="L973" i="6"/>
  <c r="P1142" i="6"/>
  <c r="M1142" i="6"/>
  <c r="L1142" i="6"/>
  <c r="O1142" i="6"/>
  <c r="N1142" i="6"/>
  <c r="L1699" i="6"/>
  <c r="N1699" i="6"/>
  <c r="O1699" i="6"/>
  <c r="M1699" i="6"/>
  <c r="P1699" i="6"/>
  <c r="P760" i="6"/>
  <c r="M760" i="6"/>
  <c r="N760" i="6" s="1"/>
  <c r="L760" i="6"/>
  <c r="P882" i="6"/>
  <c r="M882" i="6"/>
  <c r="N882" i="6" s="1"/>
  <c r="L882" i="6"/>
  <c r="O882" i="6" s="1"/>
  <c r="N1712" i="6"/>
  <c r="M1712" i="6"/>
  <c r="P1712" i="6"/>
  <c r="O1712" i="6"/>
  <c r="L1712" i="6"/>
  <c r="P1016" i="6"/>
  <c r="L1016" i="6"/>
  <c r="O1016" i="6" s="1"/>
  <c r="M1016" i="6"/>
  <c r="N1016" i="6" s="1"/>
  <c r="P1190" i="6"/>
  <c r="M1190" i="6"/>
  <c r="L1190" i="6"/>
  <c r="O1190" i="6"/>
  <c r="N1190" i="6"/>
  <c r="N1229" i="6"/>
  <c r="M1229" i="6"/>
  <c r="L1229" i="6"/>
  <c r="P1229" i="6"/>
  <c r="O1229" i="6"/>
  <c r="O1438" i="6"/>
  <c r="N1438" i="6"/>
  <c r="M1438" i="6"/>
  <c r="L1438" i="6"/>
  <c r="P1438" i="6"/>
  <c r="O1388" i="6"/>
  <c r="N1388" i="6"/>
  <c r="M1388" i="6"/>
  <c r="L1388" i="6"/>
  <c r="P1388" i="6"/>
  <c r="L969" i="6"/>
  <c r="P969" i="6"/>
  <c r="M969" i="6"/>
  <c r="N969" i="6" s="1"/>
  <c r="L1067" i="6"/>
  <c r="O1067" i="6" s="1"/>
  <c r="M1067" i="6"/>
  <c r="N1067" i="6" s="1"/>
  <c r="P1067" i="6"/>
  <c r="O1165" i="6"/>
  <c r="N1165" i="6"/>
  <c r="L1165" i="6"/>
  <c r="P1165" i="6"/>
  <c r="M1165" i="6"/>
  <c r="O1638" i="6"/>
  <c r="M1638" i="6"/>
  <c r="L1638" i="6"/>
  <c r="P1638" i="6"/>
  <c r="N1638" i="6"/>
  <c r="M998" i="6"/>
  <c r="N998" i="6" s="1"/>
  <c r="L998" i="6"/>
  <c r="O998" i="6" s="1"/>
  <c r="P998" i="6"/>
  <c r="M1096" i="6"/>
  <c r="N1096" i="6" s="1"/>
  <c r="L1096" i="6"/>
  <c r="O1096" i="6" s="1"/>
  <c r="P1096" i="6"/>
  <c r="O1194" i="6"/>
  <c r="M1194" i="6"/>
  <c r="L1194" i="6"/>
  <c r="P1194" i="6"/>
  <c r="N1194" i="6"/>
  <c r="O1403" i="6"/>
  <c r="M1403" i="6"/>
  <c r="L1403" i="6"/>
  <c r="P1403" i="6"/>
  <c r="N1403" i="6"/>
  <c r="N1856" i="6"/>
  <c r="M1856" i="6"/>
  <c r="L1856" i="6"/>
  <c r="P1856" i="6"/>
  <c r="O1856" i="6"/>
  <c r="O1544" i="6"/>
  <c r="M1544" i="6"/>
  <c r="P1544" i="6"/>
  <c r="N1544" i="6"/>
  <c r="L1544" i="6"/>
  <c r="L1629" i="6"/>
  <c r="N1629" i="6"/>
  <c r="P1629" i="6"/>
  <c r="O1629" i="6"/>
  <c r="M1629" i="6"/>
  <c r="P1342" i="6"/>
  <c r="N1342" i="6"/>
  <c r="O1342" i="6"/>
  <c r="L1342" i="6"/>
  <c r="M1342" i="6"/>
  <c r="M1764" i="6"/>
  <c r="O1764" i="6"/>
  <c r="N1764" i="6"/>
  <c r="P1764" i="6"/>
  <c r="L1764" i="6"/>
  <c r="N1684" i="6"/>
  <c r="M1684" i="6"/>
  <c r="O1684" i="6"/>
  <c r="L1684" i="6"/>
  <c r="P1684" i="6"/>
  <c r="M1373" i="6"/>
  <c r="N1373" i="6"/>
  <c r="P1373" i="6"/>
  <c r="O1373" i="6"/>
  <c r="L1373" i="6"/>
  <c r="P1908" i="6"/>
  <c r="N1908" i="6"/>
  <c r="M1908" i="6"/>
  <c r="L1908" i="6"/>
  <c r="O1908" i="6"/>
  <c r="O1241" i="6"/>
  <c r="L1241" i="6"/>
  <c r="P1241" i="6"/>
  <c r="N1241" i="6"/>
  <c r="M1241" i="6"/>
  <c r="P1383" i="6"/>
  <c r="O1383" i="6"/>
  <c r="N1383" i="6"/>
  <c r="M1383" i="6"/>
  <c r="L1383" i="6"/>
  <c r="P1929" i="6"/>
  <c r="N1929" i="6"/>
  <c r="M1929" i="6"/>
  <c r="L1929" i="6"/>
  <c r="O1929" i="6"/>
  <c r="L1487" i="6"/>
  <c r="O1487" i="6"/>
  <c r="N1487" i="6"/>
  <c r="M1487" i="6"/>
  <c r="P1487" i="6"/>
  <c r="M1482" i="6"/>
  <c r="L1482" i="6"/>
  <c r="P1482" i="6"/>
  <c r="O1482" i="6"/>
  <c r="N1482" i="6"/>
  <c r="P1812" i="6"/>
  <c r="N1812" i="6"/>
  <c r="M1812" i="6"/>
  <c r="L1812" i="6"/>
  <c r="O1812" i="6"/>
  <c r="P2189" i="6"/>
  <c r="O2189" i="6"/>
  <c r="N2189" i="6"/>
  <c r="M2189" i="6"/>
  <c r="L2189" i="6"/>
  <c r="N1729" i="6"/>
  <c r="L1729" i="6"/>
  <c r="O1729" i="6"/>
  <c r="M1729" i="6"/>
  <c r="P1729" i="6"/>
  <c r="L2165" i="6"/>
  <c r="N2165" i="6"/>
  <c r="P2165" i="6"/>
  <c r="O2165" i="6"/>
  <c r="M2165" i="6"/>
  <c r="N1726" i="6"/>
  <c r="M1726" i="6"/>
  <c r="P1726" i="6"/>
  <c r="O1726" i="6"/>
  <c r="L1726" i="6"/>
  <c r="P1617" i="6"/>
  <c r="O1617" i="6"/>
  <c r="N1617" i="6"/>
  <c r="M1617" i="6"/>
  <c r="L1617" i="6"/>
  <c r="P1529" i="6"/>
  <c r="N1529" i="6"/>
  <c r="M1529" i="6"/>
  <c r="O1529" i="6"/>
  <c r="L1529" i="6"/>
  <c r="O2041" i="6"/>
  <c r="N2041" i="6"/>
  <c r="M2041" i="6"/>
  <c r="L2041" i="6"/>
  <c r="P2041" i="6"/>
  <c r="P1542" i="6"/>
  <c r="O1542" i="6"/>
  <c r="N1542" i="6"/>
  <c r="M1542" i="6"/>
  <c r="L1542" i="6"/>
  <c r="L1793" i="6"/>
  <c r="P1793" i="6"/>
  <c r="O1793" i="6"/>
  <c r="N1793" i="6"/>
  <c r="M1793" i="6"/>
  <c r="P1972" i="6"/>
  <c r="O1972" i="6"/>
  <c r="N1972" i="6"/>
  <c r="M1972" i="6"/>
  <c r="L1972" i="6"/>
  <c r="L1688" i="6"/>
  <c r="N1688" i="6"/>
  <c r="O1688" i="6"/>
  <c r="P1688" i="6"/>
  <c r="M1688" i="6"/>
  <c r="M2413" i="6"/>
  <c r="P2413" i="6"/>
  <c r="O2413" i="6"/>
  <c r="L2413" i="6"/>
  <c r="N2413" i="6"/>
  <c r="N1700" i="6"/>
  <c r="L1700" i="6"/>
  <c r="P1700" i="6"/>
  <c r="O1700" i="6"/>
  <c r="M1700" i="6"/>
  <c r="O1966" i="6"/>
  <c r="M1966" i="6"/>
  <c r="L1966" i="6"/>
  <c r="P1966" i="6"/>
  <c r="N1966" i="6"/>
  <c r="L1672" i="6"/>
  <c r="P1672" i="6"/>
  <c r="O1672" i="6"/>
  <c r="N1672" i="6"/>
  <c r="M1672" i="6"/>
  <c r="P1789" i="6"/>
  <c r="N1789" i="6"/>
  <c r="M1789" i="6"/>
  <c r="O1789" i="6"/>
  <c r="L1789" i="6"/>
  <c r="O1371" i="6"/>
  <c r="L1371" i="6"/>
  <c r="N1371" i="6"/>
  <c r="M1371" i="6"/>
  <c r="P1371" i="6"/>
  <c r="O1469" i="6"/>
  <c r="N1469" i="6"/>
  <c r="L1469" i="6"/>
  <c r="M1469" i="6"/>
  <c r="P1469" i="6"/>
  <c r="O1567" i="6"/>
  <c r="N1567" i="6"/>
  <c r="M1567" i="6"/>
  <c r="P1567" i="6"/>
  <c r="L1567" i="6"/>
  <c r="P1950" i="6"/>
  <c r="N1950" i="6"/>
  <c r="M1950" i="6"/>
  <c r="L1950" i="6"/>
  <c r="O1950" i="6"/>
  <c r="O1407" i="6"/>
  <c r="M1407" i="6"/>
  <c r="P1407" i="6"/>
  <c r="N1407" i="6"/>
  <c r="L1407" i="6"/>
  <c r="O1505" i="6"/>
  <c r="M1505" i="6"/>
  <c r="L1505" i="6"/>
  <c r="P1505" i="6"/>
  <c r="N1505" i="6"/>
  <c r="O1832" i="6"/>
  <c r="N1832" i="6"/>
  <c r="M1832" i="6"/>
  <c r="L1832" i="6"/>
  <c r="P1832" i="6"/>
  <c r="P1606" i="6"/>
  <c r="O1606" i="6"/>
  <c r="N1606" i="6"/>
  <c r="L1606" i="6"/>
  <c r="M1606" i="6"/>
  <c r="P1704" i="6"/>
  <c r="O1704" i="6"/>
  <c r="N1704" i="6"/>
  <c r="L1704" i="6"/>
  <c r="M1704" i="6"/>
  <c r="P1802" i="6"/>
  <c r="O1802" i="6"/>
  <c r="N1802" i="6"/>
  <c r="M1802" i="6"/>
  <c r="L1802" i="6"/>
  <c r="M2238" i="6"/>
  <c r="L2238" i="6"/>
  <c r="P2238" i="6"/>
  <c r="O2238" i="6"/>
  <c r="N2238" i="6"/>
  <c r="N1814" i="6"/>
  <c r="M1814" i="6"/>
  <c r="L1814" i="6"/>
  <c r="P1814" i="6"/>
  <c r="O1814" i="6"/>
  <c r="N2178" i="6"/>
  <c r="L2178" i="6"/>
  <c r="P2178" i="6"/>
  <c r="O2178" i="6"/>
  <c r="M2178" i="6"/>
  <c r="N1909" i="6"/>
  <c r="L1909" i="6"/>
  <c r="O1909" i="6"/>
  <c r="M1909" i="6"/>
  <c r="P1909" i="6"/>
  <c r="P2159" i="6"/>
  <c r="L2159" i="6"/>
  <c r="O2159" i="6"/>
  <c r="N2159" i="6"/>
  <c r="M2159" i="6"/>
  <c r="P1876" i="6"/>
  <c r="O1876" i="6"/>
  <c r="N1876" i="6"/>
  <c r="M1876" i="6"/>
  <c r="L1876" i="6"/>
  <c r="N2332" i="6"/>
  <c r="L2332" i="6"/>
  <c r="M2332" i="6"/>
  <c r="P2332" i="6"/>
  <c r="O2332" i="6"/>
  <c r="M2062" i="6"/>
  <c r="O2062" i="6"/>
  <c r="N2062" i="6"/>
  <c r="L2062" i="6"/>
  <c r="P2062" i="6"/>
  <c r="N2112" i="6"/>
  <c r="L2112" i="6"/>
  <c r="P2112" i="6"/>
  <c r="O2112" i="6"/>
  <c r="M2112" i="6"/>
  <c r="M2117" i="6"/>
  <c r="L2117" i="6"/>
  <c r="P2117" i="6"/>
  <c r="O2117" i="6"/>
  <c r="N2117" i="6"/>
  <c r="P1921" i="6"/>
  <c r="O1921" i="6"/>
  <c r="N1921" i="6"/>
  <c r="L1921" i="6"/>
  <c r="M1921" i="6"/>
  <c r="N2141" i="6"/>
  <c r="M2141" i="6"/>
  <c r="L2141" i="6"/>
  <c r="P2141" i="6"/>
  <c r="O2141" i="6"/>
  <c r="P2009" i="6"/>
  <c r="O2009" i="6"/>
  <c r="N2009" i="6"/>
  <c r="M2009" i="6"/>
  <c r="L2009" i="6"/>
  <c r="P1988" i="6"/>
  <c r="O1988" i="6"/>
  <c r="N1988" i="6"/>
  <c r="M1988" i="6"/>
  <c r="L1988" i="6"/>
  <c r="P1975" i="6"/>
  <c r="O1975" i="6"/>
  <c r="M1975" i="6"/>
  <c r="N1975" i="6"/>
  <c r="L1975" i="6"/>
  <c r="P2073" i="6"/>
  <c r="O2073" i="6"/>
  <c r="M2073" i="6"/>
  <c r="L2073" i="6"/>
  <c r="N2073" i="6"/>
  <c r="P2175" i="6"/>
  <c r="N2175" i="6"/>
  <c r="L2175" i="6"/>
  <c r="O2175" i="6"/>
  <c r="M2175" i="6"/>
  <c r="O1983" i="6"/>
  <c r="N1983" i="6"/>
  <c r="M1983" i="6"/>
  <c r="P1983" i="6"/>
  <c r="L1983" i="6"/>
  <c r="O2081" i="6"/>
  <c r="N2081" i="6"/>
  <c r="M2081" i="6"/>
  <c r="P2081" i="6"/>
  <c r="L2081" i="6"/>
  <c r="O2250" i="6"/>
  <c r="N2250" i="6"/>
  <c r="M2250" i="6"/>
  <c r="P2250" i="6"/>
  <c r="L2250" i="6"/>
  <c r="N2471" i="6"/>
  <c r="L2471" i="6"/>
  <c r="O2471" i="6"/>
  <c r="M2471" i="6"/>
  <c r="P2471" i="6"/>
  <c r="L2284" i="6"/>
  <c r="O2284" i="6"/>
  <c r="N2284" i="6"/>
  <c r="M2284" i="6"/>
  <c r="P2284" i="6"/>
  <c r="O2314" i="6"/>
  <c r="N2314" i="6"/>
  <c r="M2314" i="6"/>
  <c r="L2314" i="6"/>
  <c r="P2314" i="6"/>
  <c r="P2214" i="6"/>
  <c r="O2214" i="6"/>
  <c r="M2214" i="6"/>
  <c r="L2214" i="6"/>
  <c r="N2214" i="6"/>
  <c r="N2269" i="6"/>
  <c r="L2269" i="6"/>
  <c r="P2269" i="6"/>
  <c r="O2269" i="6"/>
  <c r="M2269" i="6"/>
  <c r="P2232" i="6"/>
  <c r="O2232" i="6"/>
  <c r="N2232" i="6"/>
  <c r="L2232" i="6"/>
  <c r="M2232" i="6"/>
  <c r="M2461" i="6"/>
  <c r="P2461" i="6"/>
  <c r="O2461" i="6"/>
  <c r="N2461" i="6"/>
  <c r="L2461" i="6"/>
  <c r="O2261" i="6"/>
  <c r="N2261" i="6"/>
  <c r="M2261" i="6"/>
  <c r="P2261" i="6"/>
  <c r="L2261" i="6"/>
  <c r="P2281" i="6"/>
  <c r="O2281" i="6"/>
  <c r="M2281" i="6"/>
  <c r="L2281" i="6"/>
  <c r="N2281" i="6"/>
  <c r="P2367" i="6"/>
  <c r="O2367" i="6"/>
  <c r="N2367" i="6"/>
  <c r="M2367" i="6"/>
  <c r="L2367" i="6"/>
  <c r="M2396" i="6"/>
  <c r="L2396" i="6"/>
  <c r="P2396" i="6"/>
  <c r="O2396" i="6"/>
  <c r="N2396" i="6"/>
  <c r="P2442" i="6"/>
  <c r="N2442" i="6"/>
  <c r="M2442" i="6"/>
  <c r="L2442" i="6"/>
  <c r="O2442" i="6"/>
  <c r="P2477" i="6"/>
  <c r="N2477" i="6"/>
  <c r="M2477" i="6"/>
  <c r="O2477" i="6"/>
  <c r="L2477" i="6"/>
  <c r="P2435" i="6"/>
  <c r="N2435" i="6"/>
  <c r="M2435" i="6"/>
  <c r="L2435" i="6"/>
  <c r="O2435" i="6"/>
  <c r="O2410" i="6"/>
  <c r="N2410" i="6"/>
  <c r="M2410" i="6"/>
  <c r="P2410" i="6"/>
  <c r="L2410" i="6"/>
  <c r="O2446" i="6"/>
  <c r="L2446" i="6"/>
  <c r="P2446" i="6"/>
  <c r="N2446" i="6"/>
  <c r="M2446" i="6"/>
  <c r="P2469" i="6"/>
  <c r="O2469" i="6"/>
  <c r="L2469" i="6"/>
  <c r="N2469" i="6"/>
  <c r="M2469" i="6"/>
  <c r="P253" i="6"/>
  <c r="P852" i="6"/>
  <c r="M964" i="6"/>
  <c r="N964" i="6" s="1"/>
  <c r="L964" i="6"/>
  <c r="O964" i="6" s="1"/>
  <c r="P964" i="6"/>
  <c r="M541" i="6"/>
  <c r="N541" i="6" s="1"/>
  <c r="L541" i="6"/>
  <c r="P541" i="6"/>
  <c r="P278" i="6"/>
  <c r="M278" i="6"/>
  <c r="N278" i="6" s="1"/>
  <c r="L278" i="6"/>
  <c r="O278" i="6" s="1"/>
  <c r="P1253" i="6"/>
  <c r="N1253" i="6"/>
  <c r="L1253" i="6"/>
  <c r="O1253" i="6"/>
  <c r="M1253" i="6"/>
  <c r="P886" i="6"/>
  <c r="P186" i="6"/>
  <c r="P411" i="6"/>
  <c r="O361" i="6"/>
  <c r="L442" i="6"/>
  <c r="O442" i="6" s="1"/>
  <c r="P442" i="6"/>
  <c r="M442" i="6"/>
  <c r="N442" i="6" s="1"/>
  <c r="P627" i="6"/>
  <c r="M627" i="6"/>
  <c r="N627" i="6" s="1"/>
  <c r="L627" i="6"/>
  <c r="O627" i="6" s="1"/>
  <c r="M444" i="6"/>
  <c r="N444" i="6" s="1"/>
  <c r="P444" i="6"/>
  <c r="L444" i="6"/>
  <c r="O444" i="6" s="1"/>
  <c r="P114" i="6"/>
  <c r="L114" i="6"/>
  <c r="O114" i="6" s="1"/>
  <c r="M114" i="6"/>
  <c r="N114" i="6" s="1"/>
  <c r="P508" i="6"/>
  <c r="M508" i="6"/>
  <c r="N508" i="6" s="1"/>
  <c r="L508" i="6"/>
  <c r="O508" i="6" s="1"/>
  <c r="M346" i="6"/>
  <c r="N346" i="6" s="1"/>
  <c r="L346" i="6"/>
  <c r="O346" i="6" s="1"/>
  <c r="P346" i="6"/>
  <c r="P599" i="6"/>
  <c r="M599" i="6"/>
  <c r="N599" i="6" s="1"/>
  <c r="L599" i="6"/>
  <c r="O599" i="6" s="1"/>
  <c r="P618" i="6"/>
  <c r="L618" i="6"/>
  <c r="O618" i="6" s="1"/>
  <c r="M618" i="6"/>
  <c r="N618" i="6" s="1"/>
  <c r="P773" i="6"/>
  <c r="M773" i="6"/>
  <c r="N773" i="6" s="1"/>
  <c r="L773" i="6"/>
  <c r="O773" i="6" s="1"/>
  <c r="N1689" i="6"/>
  <c r="M1689" i="6"/>
  <c r="L1689" i="6"/>
  <c r="P1689" i="6"/>
  <c r="O1689" i="6"/>
  <c r="L962" i="6"/>
  <c r="O962" i="6" s="1"/>
  <c r="M962" i="6"/>
  <c r="N962" i="6" s="1"/>
  <c r="P962" i="6"/>
  <c r="O1187" i="6"/>
  <c r="M1187" i="6"/>
  <c r="L1187" i="6"/>
  <c r="P1187" i="6"/>
  <c r="N1187" i="6"/>
  <c r="P1709" i="6"/>
  <c r="N1709" i="6"/>
  <c r="M1709" i="6"/>
  <c r="O1709" i="6"/>
  <c r="L1709" i="6"/>
  <c r="P1361" i="6"/>
  <c r="O1361" i="6"/>
  <c r="N1361" i="6"/>
  <c r="L1361" i="6"/>
  <c r="M1361" i="6"/>
  <c r="L1706" i="6"/>
  <c r="P1706" i="6"/>
  <c r="N1706" i="6"/>
  <c r="M1706" i="6"/>
  <c r="O1706" i="6"/>
  <c r="P1523" i="6"/>
  <c r="O1523" i="6"/>
  <c r="N1523" i="6"/>
  <c r="M1523" i="6"/>
  <c r="L1523" i="6"/>
  <c r="P1780" i="6"/>
  <c r="O1780" i="6"/>
  <c r="N1780" i="6"/>
  <c r="M1780" i="6"/>
  <c r="L1780" i="6"/>
  <c r="L1777" i="6"/>
  <c r="P1777" i="6"/>
  <c r="O1777" i="6"/>
  <c r="M1777" i="6"/>
  <c r="N1777" i="6"/>
  <c r="L1904" i="6"/>
  <c r="O1904" i="6"/>
  <c r="M1904" i="6"/>
  <c r="P1904" i="6"/>
  <c r="N1904" i="6"/>
  <c r="O2098" i="6"/>
  <c r="N2098" i="6"/>
  <c r="M2098" i="6"/>
  <c r="P2098" i="6"/>
  <c r="L2098" i="6"/>
  <c r="O1976" i="6"/>
  <c r="N1976" i="6"/>
  <c r="M1976" i="6"/>
  <c r="L1976" i="6"/>
  <c r="P1976" i="6"/>
  <c r="P2371" i="6"/>
  <c r="L2371" i="6"/>
  <c r="O2371" i="6"/>
  <c r="N2371" i="6"/>
  <c r="M2371" i="6"/>
  <c r="P265" i="6"/>
  <c r="P167" i="6"/>
  <c r="P1037" i="6"/>
  <c r="P533" i="6"/>
  <c r="P378" i="6"/>
  <c r="L378" i="6"/>
  <c r="O378" i="6" s="1"/>
  <c r="M378" i="6"/>
  <c r="N378" i="6" s="1"/>
  <c r="M1380" i="6"/>
  <c r="P1380" i="6"/>
  <c r="N1380" i="6"/>
  <c r="L1380" i="6"/>
  <c r="O1380" i="6"/>
  <c r="P526" i="6"/>
  <c r="P392" i="6"/>
  <c r="P1042" i="6"/>
  <c r="L1042" i="6"/>
  <c r="O1042" i="6" s="1"/>
  <c r="M1042" i="6"/>
  <c r="N1042" i="6" s="1"/>
  <c r="M455" i="6"/>
  <c r="N455" i="6" s="1"/>
  <c r="P455" i="6"/>
  <c r="L455" i="6"/>
  <c r="O455" i="6" s="1"/>
  <c r="L285" i="6"/>
  <c r="O285" i="6" s="1"/>
  <c r="P285" i="6"/>
  <c r="M285" i="6"/>
  <c r="N285" i="6" s="1"/>
  <c r="M187" i="6"/>
  <c r="N187" i="6" s="1"/>
  <c r="P187" i="6"/>
  <c r="L187" i="6"/>
  <c r="O187" i="6" s="1"/>
  <c r="P47" i="6"/>
  <c r="M47" i="6"/>
  <c r="N47" i="6" s="1"/>
  <c r="L47" i="6"/>
  <c r="O47" i="6" s="1"/>
  <c r="P15" i="6"/>
  <c r="L15" i="6"/>
  <c r="M15" i="6"/>
  <c r="N15" i="6" s="1"/>
  <c r="P1090" i="6"/>
  <c r="L573" i="6"/>
  <c r="O573" i="6" s="1"/>
  <c r="M573" i="6"/>
  <c r="N573" i="6" s="1"/>
  <c r="P573" i="6"/>
  <c r="L503" i="6"/>
  <c r="O503" i="6" s="1"/>
  <c r="M503" i="6"/>
  <c r="N503" i="6" s="1"/>
  <c r="P503" i="6"/>
  <c r="P168" i="6"/>
  <c r="M168" i="6"/>
  <c r="N168" i="6" s="1"/>
  <c r="L168" i="6"/>
  <c r="O168" i="6" s="1"/>
  <c r="P27" i="6"/>
  <c r="M27" i="6"/>
  <c r="N27" i="6" s="1"/>
  <c r="L27" i="6"/>
  <c r="O27" i="6" s="1"/>
  <c r="O1444" i="6"/>
  <c r="M1444" i="6"/>
  <c r="L1444" i="6"/>
  <c r="P1444" i="6"/>
  <c r="N1444" i="6"/>
  <c r="P814" i="6"/>
  <c r="M814" i="6"/>
  <c r="N814" i="6" s="1"/>
  <c r="L814" i="6"/>
  <c r="L1370" i="6"/>
  <c r="O1370" i="6"/>
  <c r="M1370" i="6"/>
  <c r="P1370" i="6"/>
  <c r="N1370" i="6"/>
  <c r="P890" i="6"/>
  <c r="M890" i="6"/>
  <c r="N890" i="6" s="1"/>
  <c r="L890" i="6"/>
  <c r="O890" i="6" s="1"/>
  <c r="P243" i="6"/>
  <c r="M243" i="6"/>
  <c r="N243" i="6" s="1"/>
  <c r="L243" i="6"/>
  <c r="O243" i="6" s="1"/>
  <c r="L872" i="6"/>
  <c r="P872" i="6"/>
  <c r="M872" i="6"/>
  <c r="N872" i="6" s="1"/>
  <c r="P446" i="6"/>
  <c r="M446" i="6"/>
  <c r="N446" i="6" s="1"/>
  <c r="L446" i="6"/>
  <c r="O446" i="6" s="1"/>
  <c r="M786" i="6"/>
  <c r="N786" i="6" s="1"/>
  <c r="L786" i="6"/>
  <c r="O786" i="6" s="1"/>
  <c r="P786" i="6"/>
  <c r="M1256" i="6"/>
  <c r="P1256" i="6"/>
  <c r="N1256" i="6"/>
  <c r="L1256" i="6"/>
  <c r="O1256" i="6"/>
  <c r="P487" i="6"/>
  <c r="L487" i="6"/>
  <c r="O487" i="6" s="1"/>
  <c r="M487" i="6"/>
  <c r="N487" i="6" s="1"/>
  <c r="L860" i="6"/>
  <c r="O860" i="6" s="1"/>
  <c r="M860" i="6"/>
  <c r="N860" i="6" s="1"/>
  <c r="P860" i="6"/>
  <c r="P30" i="6"/>
  <c r="L30" i="6"/>
  <c r="O30" i="6" s="1"/>
  <c r="M30" i="6"/>
  <c r="N30" i="6" s="1"/>
  <c r="P128" i="6"/>
  <c r="L128" i="6"/>
  <c r="O128" i="6" s="1"/>
  <c r="M128" i="6"/>
  <c r="N128" i="6" s="1"/>
  <c r="P226" i="6"/>
  <c r="L226" i="6"/>
  <c r="O226" i="6" s="1"/>
  <c r="M226" i="6"/>
  <c r="N226" i="6" s="1"/>
  <c r="P324" i="6"/>
  <c r="L324" i="6"/>
  <c r="O324" i="6" s="1"/>
  <c r="M324" i="6"/>
  <c r="N324" i="6" s="1"/>
  <c r="M486" i="6"/>
  <c r="N486" i="6" s="1"/>
  <c r="P486" i="6"/>
  <c r="L486" i="6"/>
  <c r="O486" i="6" s="1"/>
  <c r="M817" i="6"/>
  <c r="N817" i="6" s="1"/>
  <c r="L817" i="6"/>
  <c r="P817" i="6"/>
  <c r="P1433" i="6"/>
  <c r="N1433" i="6"/>
  <c r="M1433" i="6"/>
  <c r="O1433" i="6"/>
  <c r="L1433" i="6"/>
  <c r="M546" i="6"/>
  <c r="N546" i="6" s="1"/>
  <c r="P546" i="6"/>
  <c r="L546" i="6"/>
  <c r="O546" i="6" s="1"/>
  <c r="M910" i="6"/>
  <c r="N910" i="6" s="1"/>
  <c r="L910" i="6"/>
  <c r="O910" i="6" s="1"/>
  <c r="P910" i="6"/>
  <c r="P1266" i="6"/>
  <c r="O1266" i="6"/>
  <c r="M1266" i="6"/>
  <c r="N1266" i="6"/>
  <c r="L1266" i="6"/>
  <c r="M66" i="6"/>
  <c r="N66" i="6" s="1"/>
  <c r="L66" i="6"/>
  <c r="P66" i="6"/>
  <c r="M164" i="6"/>
  <c r="N164" i="6" s="1"/>
  <c r="L164" i="6"/>
  <c r="O164" i="6" s="1"/>
  <c r="P164" i="6"/>
  <c r="M262" i="6"/>
  <c r="N262" i="6" s="1"/>
  <c r="L262" i="6"/>
  <c r="O262" i="6" s="1"/>
  <c r="P262" i="6"/>
  <c r="M360" i="6"/>
  <c r="N360" i="6" s="1"/>
  <c r="L360" i="6"/>
  <c r="O360" i="6" s="1"/>
  <c r="P360" i="6"/>
  <c r="P549" i="6"/>
  <c r="M549" i="6"/>
  <c r="N549" i="6" s="1"/>
  <c r="L549" i="6"/>
  <c r="O549" i="6" s="1"/>
  <c r="M1235" i="6"/>
  <c r="N1235" i="6"/>
  <c r="L1235" i="6"/>
  <c r="O1235" i="6"/>
  <c r="P1235" i="6"/>
  <c r="P548" i="6"/>
  <c r="M548" i="6"/>
  <c r="N548" i="6" s="1"/>
  <c r="L548" i="6"/>
  <c r="O548" i="6" s="1"/>
  <c r="M708" i="6"/>
  <c r="N708" i="6" s="1"/>
  <c r="L708" i="6"/>
  <c r="O708" i="6" s="1"/>
  <c r="P708" i="6"/>
  <c r="M838" i="6"/>
  <c r="N838" i="6" s="1"/>
  <c r="L838" i="6"/>
  <c r="O838" i="6" s="1"/>
  <c r="P838" i="6"/>
  <c r="L1644" i="6"/>
  <c r="P1644" i="6"/>
  <c r="O1644" i="6"/>
  <c r="N1644" i="6"/>
  <c r="M1644" i="6"/>
  <c r="P616" i="6"/>
  <c r="M616" i="6"/>
  <c r="N616" i="6" s="1"/>
  <c r="L616" i="6"/>
  <c r="O616" i="6" s="1"/>
  <c r="P906" i="6"/>
  <c r="P510" i="6"/>
  <c r="P218" i="6"/>
  <c r="P362" i="6"/>
  <c r="O362" i="6"/>
  <c r="P356" i="6"/>
  <c r="L356" i="6"/>
  <c r="O356" i="6" s="1"/>
  <c r="M356" i="6"/>
  <c r="N356" i="6" s="1"/>
  <c r="P370" i="6"/>
  <c r="P281" i="6"/>
  <c r="P514" i="6"/>
  <c r="P874" i="6"/>
  <c r="P793" i="6"/>
  <c r="O793" i="6"/>
  <c r="O857" i="6"/>
  <c r="L545" i="6"/>
  <c r="O545" i="6" s="1"/>
  <c r="P545" i="6"/>
  <c r="M545" i="6"/>
  <c r="N545" i="6" s="1"/>
  <c r="P1080" i="6"/>
  <c r="M1080" i="6"/>
  <c r="N1080" i="6" s="1"/>
  <c r="L1080" i="6"/>
  <c r="O1080" i="6" s="1"/>
  <c r="P100" i="6"/>
  <c r="L100" i="6"/>
  <c r="O100" i="6" s="1"/>
  <c r="M100" i="6"/>
  <c r="N100" i="6" s="1"/>
  <c r="L656" i="6"/>
  <c r="O656" i="6" s="1"/>
  <c r="P656" i="6"/>
  <c r="M656" i="6"/>
  <c r="N656" i="6" s="1"/>
  <c r="P1198" i="6"/>
  <c r="N1198" i="6"/>
  <c r="O1198" i="6"/>
  <c r="M1198" i="6"/>
  <c r="L1198" i="6"/>
  <c r="M332" i="6"/>
  <c r="N332" i="6" s="1"/>
  <c r="L332" i="6"/>
  <c r="O332" i="6" s="1"/>
  <c r="P332" i="6"/>
  <c r="P499" i="6"/>
  <c r="L499" i="6"/>
  <c r="M499" i="6"/>
  <c r="N499" i="6" s="1"/>
  <c r="P350" i="6"/>
  <c r="P895" i="6"/>
  <c r="P721" i="6"/>
  <c r="O67" i="6"/>
  <c r="P36" i="6"/>
  <c r="M36" i="6"/>
  <c r="N36" i="6" s="1"/>
  <c r="L36" i="6"/>
  <c r="O36" i="6" s="1"/>
  <c r="M579" i="6"/>
  <c r="N579" i="6" s="1"/>
  <c r="L579" i="6"/>
  <c r="O579" i="6" s="1"/>
  <c r="P579" i="6"/>
  <c r="P251" i="6"/>
  <c r="M251" i="6"/>
  <c r="N251" i="6" s="1"/>
  <c r="L251" i="6"/>
  <c r="O251" i="6" s="1"/>
  <c r="M1197" i="6"/>
  <c r="L1197" i="6"/>
  <c r="P1197" i="6"/>
  <c r="O1197" i="6"/>
  <c r="N1197" i="6"/>
  <c r="P310" i="6"/>
  <c r="L310" i="6"/>
  <c r="M310" i="6"/>
  <c r="N310" i="6" s="1"/>
  <c r="M52" i="6"/>
  <c r="N52" i="6" s="1"/>
  <c r="L52" i="6"/>
  <c r="O52" i="6" s="1"/>
  <c r="P52" i="6"/>
  <c r="P516" i="6"/>
  <c r="M516" i="6"/>
  <c r="N516" i="6" s="1"/>
  <c r="L516" i="6"/>
  <c r="O516" i="6" s="1"/>
  <c r="P1031" i="6"/>
  <c r="M1031" i="6"/>
  <c r="N1031" i="6" s="1"/>
  <c r="L1031" i="6"/>
  <c r="O1031" i="6" s="1"/>
  <c r="P772" i="6"/>
  <c r="L772" i="6"/>
  <c r="O772" i="6" s="1"/>
  <c r="M772" i="6"/>
  <c r="N772" i="6" s="1"/>
  <c r="L1594" i="6"/>
  <c r="N1594" i="6"/>
  <c r="P1594" i="6"/>
  <c r="O1594" i="6"/>
  <c r="M1594" i="6"/>
  <c r="P866" i="6"/>
  <c r="L866" i="6"/>
  <c r="O866" i="6" s="1"/>
  <c r="M866" i="6"/>
  <c r="N866" i="6" s="1"/>
  <c r="P1431" i="6"/>
  <c r="O1431" i="6"/>
  <c r="N1431" i="6"/>
  <c r="L1431" i="6"/>
  <c r="M1431" i="6"/>
  <c r="M1089" i="6"/>
  <c r="N1089" i="6" s="1"/>
  <c r="L1089" i="6"/>
  <c r="O1089" i="6" s="1"/>
  <c r="P1089" i="6"/>
  <c r="O1341" i="6"/>
  <c r="M1341" i="6"/>
  <c r="L1341" i="6"/>
  <c r="N1341" i="6"/>
  <c r="P1341" i="6"/>
  <c r="P1894" i="6"/>
  <c r="N1894" i="6"/>
  <c r="M1894" i="6"/>
  <c r="L1894" i="6"/>
  <c r="O1894" i="6"/>
  <c r="N2145" i="6"/>
  <c r="M2145" i="6"/>
  <c r="L2145" i="6"/>
  <c r="P2145" i="6"/>
  <c r="O2145" i="6"/>
  <c r="P1786" i="6"/>
  <c r="N1786" i="6"/>
  <c r="M1786" i="6"/>
  <c r="O1786" i="6"/>
  <c r="L1786" i="6"/>
  <c r="O1364" i="6"/>
  <c r="P1364" i="6"/>
  <c r="M1364" i="6"/>
  <c r="L1364" i="6"/>
  <c r="N1364" i="6"/>
  <c r="P1599" i="6"/>
  <c r="O1599" i="6"/>
  <c r="L1599" i="6"/>
  <c r="M1599" i="6"/>
  <c r="N1599" i="6"/>
  <c r="N2171" i="6"/>
  <c r="L2171" i="6"/>
  <c r="M2171" i="6"/>
  <c r="P2171" i="6"/>
  <c r="O2171" i="6"/>
  <c r="P2084" i="6"/>
  <c r="N2084" i="6"/>
  <c r="M2084" i="6"/>
  <c r="L2084" i="6"/>
  <c r="O2084" i="6"/>
  <c r="P2066" i="6"/>
  <c r="O2066" i="6"/>
  <c r="N2066" i="6"/>
  <c r="M2066" i="6"/>
  <c r="L2066" i="6"/>
  <c r="M2257" i="6"/>
  <c r="O2257" i="6"/>
  <c r="N2257" i="6"/>
  <c r="L2257" i="6"/>
  <c r="P2257" i="6"/>
  <c r="M2420" i="6"/>
  <c r="L2420" i="6"/>
  <c r="P2420" i="6"/>
  <c r="O2420" i="6"/>
  <c r="N2420" i="6"/>
  <c r="P2431" i="6"/>
  <c r="N2431" i="6"/>
  <c r="M2431" i="6"/>
  <c r="L2431" i="6"/>
  <c r="O2431" i="6"/>
  <c r="P2462" i="6"/>
  <c r="O2462" i="6"/>
  <c r="N2462" i="6"/>
  <c r="M2462" i="6"/>
  <c r="L2462" i="6"/>
  <c r="P596" i="6"/>
  <c r="P26" i="6"/>
  <c r="P932" i="6"/>
  <c r="M932" i="6"/>
  <c r="N932" i="6" s="1"/>
  <c r="L932" i="6"/>
  <c r="O932" i="6" s="1"/>
  <c r="M417" i="6"/>
  <c r="N417" i="6" s="1"/>
  <c r="L417" i="6"/>
  <c r="O417" i="6" s="1"/>
  <c r="P417" i="6"/>
  <c r="L673" i="6"/>
  <c r="O673" i="6" s="1"/>
  <c r="M673" i="6"/>
  <c r="N673" i="6" s="1"/>
  <c r="P673" i="6"/>
  <c r="M389" i="6"/>
  <c r="N389" i="6" s="1"/>
  <c r="L389" i="6"/>
  <c r="O389" i="6" s="1"/>
  <c r="P389" i="6"/>
  <c r="P907" i="6"/>
  <c r="P1010" i="6"/>
  <c r="P915" i="6"/>
  <c r="P110" i="6"/>
  <c r="P1028" i="6"/>
  <c r="M1028" i="6"/>
  <c r="N1028" i="6" s="1"/>
  <c r="L1028" i="6"/>
  <c r="O1028" i="6" s="1"/>
  <c r="P344" i="6"/>
  <c r="M344" i="6"/>
  <c r="N344" i="6" s="1"/>
  <c r="L344" i="6"/>
  <c r="O344" i="6" s="1"/>
  <c r="P287" i="6"/>
  <c r="P588" i="6"/>
  <c r="M470" i="6"/>
  <c r="N470" i="6" s="1"/>
  <c r="L470" i="6"/>
  <c r="O470" i="6" s="1"/>
  <c r="P470" i="6"/>
  <c r="P68" i="6"/>
  <c r="M68" i="6"/>
  <c r="N68" i="6" s="1"/>
  <c r="L68" i="6"/>
  <c r="O68" i="6" s="1"/>
  <c r="P70" i="6"/>
  <c r="L531" i="6"/>
  <c r="M531" i="6"/>
  <c r="N531" i="6" s="1"/>
  <c r="P531" i="6"/>
  <c r="P390" i="6"/>
  <c r="L390" i="6"/>
  <c r="O390" i="6" s="1"/>
  <c r="M390" i="6"/>
  <c r="N390" i="6" s="1"/>
  <c r="P161" i="6"/>
  <c r="M161" i="6"/>
  <c r="N161" i="6" s="1"/>
  <c r="L161" i="6"/>
  <c r="M11" i="6"/>
  <c r="N11" i="6" s="1"/>
  <c r="L11" i="6"/>
  <c r="O11" i="6" s="1"/>
  <c r="P11" i="6"/>
  <c r="P876" i="6"/>
  <c r="M876" i="6"/>
  <c r="N876" i="6" s="1"/>
  <c r="L876" i="6"/>
  <c r="O876" i="6" s="1"/>
  <c r="P447" i="6"/>
  <c r="M447" i="6"/>
  <c r="N447" i="6" s="1"/>
  <c r="L447" i="6"/>
  <c r="P862" i="6"/>
  <c r="M862" i="6"/>
  <c r="N862" i="6" s="1"/>
  <c r="L862" i="6"/>
  <c r="O862" i="6" s="1"/>
  <c r="M1284" i="6"/>
  <c r="P1284" i="6"/>
  <c r="O1284" i="6"/>
  <c r="N1284" i="6"/>
  <c r="L1284" i="6"/>
  <c r="P498" i="6"/>
  <c r="M498" i="6"/>
  <c r="N498" i="6" s="1"/>
  <c r="L498" i="6"/>
  <c r="L885" i="6"/>
  <c r="O885" i="6" s="1"/>
  <c r="M885" i="6"/>
  <c r="N885" i="6" s="1"/>
  <c r="P885" i="6"/>
  <c r="P37" i="6"/>
  <c r="L37" i="6"/>
  <c r="O37" i="6" s="1"/>
  <c r="M37" i="6"/>
  <c r="N37" i="6" s="1"/>
  <c r="P135" i="6"/>
  <c r="L135" i="6"/>
  <c r="O135" i="6" s="1"/>
  <c r="M135" i="6"/>
  <c r="N135" i="6" s="1"/>
  <c r="P233" i="6"/>
  <c r="L233" i="6"/>
  <c r="O233" i="6" s="1"/>
  <c r="M233" i="6"/>
  <c r="N233" i="6" s="1"/>
  <c r="P331" i="6"/>
  <c r="L331" i="6"/>
  <c r="O331" i="6" s="1"/>
  <c r="M331" i="6"/>
  <c r="N331" i="6" s="1"/>
  <c r="L497" i="6"/>
  <c r="O497" i="6" s="1"/>
  <c r="P497" i="6"/>
  <c r="M497" i="6"/>
  <c r="N497" i="6" s="1"/>
  <c r="P819" i="6"/>
  <c r="M819" i="6"/>
  <c r="N819" i="6" s="1"/>
  <c r="L819" i="6"/>
  <c r="O819" i="6" s="1"/>
  <c r="P1454" i="6"/>
  <c r="O1454" i="6"/>
  <c r="M1454" i="6"/>
  <c r="N1454" i="6"/>
  <c r="L1454" i="6"/>
  <c r="M555" i="6"/>
  <c r="N555" i="6" s="1"/>
  <c r="L555" i="6"/>
  <c r="O555" i="6" s="1"/>
  <c r="P555" i="6"/>
  <c r="M931" i="6"/>
  <c r="N931" i="6" s="1"/>
  <c r="L931" i="6"/>
  <c r="P931" i="6"/>
  <c r="P1288" i="6"/>
  <c r="O1288" i="6"/>
  <c r="M1288" i="6"/>
  <c r="L1288" i="6"/>
  <c r="N1288" i="6"/>
  <c r="M73" i="6"/>
  <c r="N73" i="6" s="1"/>
  <c r="L73" i="6"/>
  <c r="O73" i="6" s="1"/>
  <c r="P73" i="6"/>
  <c r="M171" i="6"/>
  <c r="N171" i="6" s="1"/>
  <c r="L171" i="6"/>
  <c r="O171" i="6" s="1"/>
  <c r="P171" i="6"/>
  <c r="M269" i="6"/>
  <c r="N269" i="6" s="1"/>
  <c r="L269" i="6"/>
  <c r="O269" i="6" s="1"/>
  <c r="P269" i="6"/>
  <c r="M367" i="6"/>
  <c r="N367" i="6" s="1"/>
  <c r="L367" i="6"/>
  <c r="O367" i="6" s="1"/>
  <c r="P367" i="6"/>
  <c r="L558" i="6"/>
  <c r="O558" i="6" s="1"/>
  <c r="P558" i="6"/>
  <c r="M558" i="6"/>
  <c r="N558" i="6" s="1"/>
  <c r="M1291" i="6"/>
  <c r="P1291" i="6"/>
  <c r="O1291" i="6"/>
  <c r="N1291" i="6"/>
  <c r="L1291" i="6"/>
  <c r="P564" i="6"/>
  <c r="L564" i="6"/>
  <c r="O564" i="6" s="1"/>
  <c r="M564" i="6"/>
  <c r="N564" i="6" s="1"/>
  <c r="L713" i="6"/>
  <c r="O713" i="6" s="1"/>
  <c r="P713" i="6"/>
  <c r="M713" i="6"/>
  <c r="N713" i="6" s="1"/>
  <c r="L843" i="6"/>
  <c r="P843" i="6"/>
  <c r="M843" i="6"/>
  <c r="N843" i="6" s="1"/>
  <c r="P1715" i="6"/>
  <c r="O1715" i="6"/>
  <c r="N1715" i="6"/>
  <c r="M1715" i="6"/>
  <c r="L1715" i="6"/>
  <c r="P632" i="6"/>
  <c r="L632" i="6"/>
  <c r="O632" i="6" s="1"/>
  <c r="M632" i="6"/>
  <c r="N632" i="6" s="1"/>
  <c r="P778" i="6"/>
  <c r="M778" i="6"/>
  <c r="N778" i="6" s="1"/>
  <c r="L778" i="6"/>
  <c r="P1206" i="6"/>
  <c r="N1206" i="6"/>
  <c r="O1206" i="6"/>
  <c r="M1206" i="6"/>
  <c r="L1206" i="6"/>
  <c r="P666" i="6"/>
  <c r="M666" i="6"/>
  <c r="N666" i="6" s="1"/>
  <c r="L666" i="6"/>
  <c r="O666" i="6" s="1"/>
  <c r="P1072" i="6"/>
  <c r="M1072" i="6"/>
  <c r="N1072" i="6" s="1"/>
  <c r="L1072" i="6"/>
  <c r="O1072" i="6" s="1"/>
  <c r="O1787" i="6"/>
  <c r="N1787" i="6"/>
  <c r="L1787" i="6"/>
  <c r="M1787" i="6"/>
  <c r="P1787" i="6"/>
  <c r="P651" i="6"/>
  <c r="L651" i="6"/>
  <c r="O651" i="6" s="1"/>
  <c r="M651" i="6"/>
  <c r="N651" i="6" s="1"/>
  <c r="P799" i="6"/>
  <c r="M799" i="6"/>
  <c r="N799" i="6" s="1"/>
  <c r="L799" i="6"/>
  <c r="O799" i="6" s="1"/>
  <c r="P1258" i="6"/>
  <c r="N1258" i="6"/>
  <c r="M1258" i="6"/>
  <c r="O1258" i="6"/>
  <c r="L1258" i="6"/>
  <c r="L489" i="6"/>
  <c r="P489" i="6"/>
  <c r="M489" i="6"/>
  <c r="N489" i="6" s="1"/>
  <c r="M870" i="6"/>
  <c r="N870" i="6" s="1"/>
  <c r="L870" i="6"/>
  <c r="O870" i="6" s="1"/>
  <c r="P870" i="6"/>
  <c r="M1112" i="6"/>
  <c r="N1112" i="6" s="1"/>
  <c r="L1112" i="6"/>
  <c r="O1112" i="6" s="1"/>
  <c r="P1112" i="6"/>
  <c r="P696" i="6"/>
  <c r="M696" i="6"/>
  <c r="N696" i="6" s="1"/>
  <c r="L696" i="6"/>
  <c r="O696" i="6" s="1"/>
  <c r="P794" i="6"/>
  <c r="L794" i="6"/>
  <c r="M794" i="6"/>
  <c r="N794" i="6" s="1"/>
  <c r="P1066" i="6"/>
  <c r="L1066" i="6"/>
  <c r="O1066" i="6" s="1"/>
  <c r="M1066" i="6"/>
  <c r="N1066" i="6" s="1"/>
  <c r="P1639" i="6"/>
  <c r="O1639" i="6"/>
  <c r="N1639" i="6"/>
  <c r="M1639" i="6"/>
  <c r="L1639" i="6"/>
  <c r="P995" i="6"/>
  <c r="L995" i="6"/>
  <c r="O995" i="6" s="1"/>
  <c r="M995" i="6"/>
  <c r="N995" i="6" s="1"/>
  <c r="P1169" i="6"/>
  <c r="O1169" i="6"/>
  <c r="N1169" i="6"/>
  <c r="L1169" i="6"/>
  <c r="M1169" i="6"/>
  <c r="O1891" i="6"/>
  <c r="N1891" i="6"/>
  <c r="M1891" i="6"/>
  <c r="P1891" i="6"/>
  <c r="L1891" i="6"/>
  <c r="P774" i="6"/>
  <c r="M774" i="6"/>
  <c r="N774" i="6" s="1"/>
  <c r="L774" i="6"/>
  <c r="O774" i="6" s="1"/>
  <c r="P940" i="6"/>
  <c r="L940" i="6"/>
  <c r="O940" i="6" s="1"/>
  <c r="M940" i="6"/>
  <c r="N940" i="6" s="1"/>
  <c r="P867" i="6"/>
  <c r="M867" i="6"/>
  <c r="N867" i="6" s="1"/>
  <c r="L867" i="6"/>
  <c r="P1043" i="6"/>
  <c r="L1043" i="6"/>
  <c r="O1043" i="6" s="1"/>
  <c r="M1043" i="6"/>
  <c r="N1043" i="6" s="1"/>
  <c r="P1212" i="6"/>
  <c r="O1212" i="6"/>
  <c r="N1212" i="6"/>
  <c r="M1212" i="6"/>
  <c r="L1212" i="6"/>
  <c r="P1231" i="6"/>
  <c r="O1231" i="6"/>
  <c r="N1231" i="6"/>
  <c r="M1231" i="6"/>
  <c r="L1231" i="6"/>
  <c r="M1556" i="6"/>
  <c r="N1556" i="6"/>
  <c r="P1556" i="6"/>
  <c r="O1556" i="6"/>
  <c r="L1556" i="6"/>
  <c r="N1424" i="6"/>
  <c r="M1424" i="6"/>
  <c r="P1424" i="6"/>
  <c r="L1424" i="6"/>
  <c r="O1424" i="6"/>
  <c r="L983" i="6"/>
  <c r="O983" i="6" s="1"/>
  <c r="M983" i="6"/>
  <c r="N983" i="6" s="1"/>
  <c r="P983" i="6"/>
  <c r="L1081" i="6"/>
  <c r="O1081" i="6" s="1"/>
  <c r="P1081" i="6"/>
  <c r="M1081" i="6"/>
  <c r="N1081" i="6" s="1"/>
  <c r="O1179" i="6"/>
  <c r="N1179" i="6"/>
  <c r="L1179" i="6"/>
  <c r="M1179" i="6"/>
  <c r="P1179" i="6"/>
  <c r="M914" i="6"/>
  <c r="N914" i="6" s="1"/>
  <c r="L914" i="6"/>
  <c r="P914" i="6"/>
  <c r="M1012" i="6"/>
  <c r="N1012" i="6" s="1"/>
  <c r="L1012" i="6"/>
  <c r="O1012" i="6" s="1"/>
  <c r="P1012" i="6"/>
  <c r="M1110" i="6"/>
  <c r="N1110" i="6" s="1"/>
  <c r="L1110" i="6"/>
  <c r="O1110" i="6" s="1"/>
  <c r="P1110" i="6"/>
  <c r="O1208" i="6"/>
  <c r="M1208" i="6"/>
  <c r="L1208" i="6"/>
  <c r="P1208" i="6"/>
  <c r="N1208" i="6"/>
  <c r="M1415" i="6"/>
  <c r="O1415" i="6"/>
  <c r="N1415" i="6"/>
  <c r="L1415" i="6"/>
  <c r="P1415" i="6"/>
  <c r="L2217" i="6"/>
  <c r="O2217" i="6"/>
  <c r="N2217" i="6"/>
  <c r="M2217" i="6"/>
  <c r="P2217" i="6"/>
  <c r="O1766" i="6"/>
  <c r="M1766" i="6"/>
  <c r="L1766" i="6"/>
  <c r="P1766" i="6"/>
  <c r="N1766" i="6"/>
  <c r="O1851" i="6"/>
  <c r="N1851" i="6"/>
  <c r="M1851" i="6"/>
  <c r="L1851" i="6"/>
  <c r="P1851" i="6"/>
  <c r="N1375" i="6"/>
  <c r="O1375" i="6"/>
  <c r="M1375" i="6"/>
  <c r="P1375" i="6"/>
  <c r="L1375" i="6"/>
  <c r="M2092" i="6"/>
  <c r="P2092" i="6"/>
  <c r="O2092" i="6"/>
  <c r="N2092" i="6"/>
  <c r="L2092" i="6"/>
  <c r="P1913" i="6"/>
  <c r="O1913" i="6"/>
  <c r="N1913" i="6"/>
  <c r="M1913" i="6"/>
  <c r="L1913" i="6"/>
  <c r="L1418" i="6"/>
  <c r="P1418" i="6"/>
  <c r="O1418" i="6"/>
  <c r="N1418" i="6"/>
  <c r="M1418" i="6"/>
  <c r="L2042" i="6"/>
  <c r="P2042" i="6"/>
  <c r="O2042" i="6"/>
  <c r="N2042" i="6"/>
  <c r="M2042" i="6"/>
  <c r="O1255" i="6"/>
  <c r="L1255" i="6"/>
  <c r="P1255" i="6"/>
  <c r="M1255" i="6"/>
  <c r="N1255" i="6"/>
  <c r="L1416" i="6"/>
  <c r="P1416" i="6"/>
  <c r="O1416" i="6"/>
  <c r="N1416" i="6"/>
  <c r="M1416" i="6"/>
  <c r="N1593" i="6"/>
  <c r="M1593" i="6"/>
  <c r="P1593" i="6"/>
  <c r="O1593" i="6"/>
  <c r="L1593" i="6"/>
  <c r="O1591" i="6"/>
  <c r="N1591" i="6"/>
  <c r="P1591" i="6"/>
  <c r="M1591" i="6"/>
  <c r="L1591" i="6"/>
  <c r="P1535" i="6"/>
  <c r="O1535" i="6"/>
  <c r="N1535" i="6"/>
  <c r="M1535" i="6"/>
  <c r="L1535" i="6"/>
  <c r="O2113" i="6"/>
  <c r="M2113" i="6"/>
  <c r="L2113" i="6"/>
  <c r="P2113" i="6"/>
  <c r="N2113" i="6"/>
  <c r="M1506" i="6"/>
  <c r="P1506" i="6"/>
  <c r="O1506" i="6"/>
  <c r="N1506" i="6"/>
  <c r="L1506" i="6"/>
  <c r="M1745" i="6"/>
  <c r="N1745" i="6"/>
  <c r="P1745" i="6"/>
  <c r="O1745" i="6"/>
  <c r="L1745" i="6"/>
  <c r="N2290" i="6"/>
  <c r="L2290" i="6"/>
  <c r="P2290" i="6"/>
  <c r="O2290" i="6"/>
  <c r="M2290" i="6"/>
  <c r="L1756" i="6"/>
  <c r="P1756" i="6"/>
  <c r="N1756" i="6"/>
  <c r="M1756" i="6"/>
  <c r="O1756" i="6"/>
  <c r="L1650" i="6"/>
  <c r="N1650" i="6"/>
  <c r="P1650" i="6"/>
  <c r="O1650" i="6"/>
  <c r="M1650" i="6"/>
  <c r="O1543" i="6"/>
  <c r="N1543" i="6"/>
  <c r="P1543" i="6"/>
  <c r="M1543" i="6"/>
  <c r="L1543" i="6"/>
  <c r="L2153" i="6"/>
  <c r="P2153" i="6"/>
  <c r="O2153" i="6"/>
  <c r="N2153" i="6"/>
  <c r="M2153" i="6"/>
  <c r="L1597" i="6"/>
  <c r="O1597" i="6"/>
  <c r="N1597" i="6"/>
  <c r="P1597" i="6"/>
  <c r="M1597" i="6"/>
  <c r="P1800" i="6"/>
  <c r="O1800" i="6"/>
  <c r="N1800" i="6"/>
  <c r="M1800" i="6"/>
  <c r="L1800" i="6"/>
  <c r="P2147" i="6"/>
  <c r="O2147" i="6"/>
  <c r="N2147" i="6"/>
  <c r="M2147" i="6"/>
  <c r="L2147" i="6"/>
  <c r="L1727" i="6"/>
  <c r="N1727" i="6"/>
  <c r="M1727" i="6"/>
  <c r="P1727" i="6"/>
  <c r="O1727" i="6"/>
  <c r="P1501" i="6"/>
  <c r="O1501" i="6"/>
  <c r="N1501" i="6"/>
  <c r="M1501" i="6"/>
  <c r="L1501" i="6"/>
  <c r="L1731" i="6"/>
  <c r="P1731" i="6"/>
  <c r="O1731" i="6"/>
  <c r="N1731" i="6"/>
  <c r="M1731" i="6"/>
  <c r="N2002" i="6"/>
  <c r="M2002" i="6"/>
  <c r="L2002" i="6"/>
  <c r="O2002" i="6"/>
  <c r="P2002" i="6"/>
  <c r="P1674" i="6"/>
  <c r="O1674" i="6"/>
  <c r="M1674" i="6"/>
  <c r="L1674" i="6"/>
  <c r="N1674" i="6"/>
  <c r="M1810" i="6"/>
  <c r="L1810" i="6"/>
  <c r="P1810" i="6"/>
  <c r="N1810" i="6"/>
  <c r="O1810" i="6"/>
  <c r="O1385" i="6"/>
  <c r="P1385" i="6"/>
  <c r="L1385" i="6"/>
  <c r="N1385" i="6"/>
  <c r="M1385" i="6"/>
  <c r="O1483" i="6"/>
  <c r="P1483" i="6"/>
  <c r="N1483" i="6"/>
  <c r="M1483" i="6"/>
  <c r="L1483" i="6"/>
  <c r="O1581" i="6"/>
  <c r="N1581" i="6"/>
  <c r="P1581" i="6"/>
  <c r="M1581" i="6"/>
  <c r="L1581" i="6"/>
  <c r="L2172" i="6"/>
  <c r="P2172" i="6"/>
  <c r="O2172" i="6"/>
  <c r="N2172" i="6"/>
  <c r="M2172" i="6"/>
  <c r="O1421" i="6"/>
  <c r="M1421" i="6"/>
  <c r="L1421" i="6"/>
  <c r="N1421" i="6"/>
  <c r="P1421" i="6"/>
  <c r="O1519" i="6"/>
  <c r="M1519" i="6"/>
  <c r="L1519" i="6"/>
  <c r="N1519" i="6"/>
  <c r="P1519" i="6"/>
  <c r="P1888" i="6"/>
  <c r="N1888" i="6"/>
  <c r="M1888" i="6"/>
  <c r="O1888" i="6"/>
  <c r="L1888" i="6"/>
  <c r="P1620" i="6"/>
  <c r="O1620" i="6"/>
  <c r="N1620" i="6"/>
  <c r="L1620" i="6"/>
  <c r="M1620" i="6"/>
  <c r="P1718" i="6"/>
  <c r="O1718" i="6"/>
  <c r="N1718" i="6"/>
  <c r="M1718" i="6"/>
  <c r="L1718" i="6"/>
  <c r="N1835" i="6"/>
  <c r="M1835" i="6"/>
  <c r="L1835" i="6"/>
  <c r="P1835" i="6"/>
  <c r="O1835" i="6"/>
  <c r="L1815" i="6"/>
  <c r="P1815" i="6"/>
  <c r="O1815" i="6"/>
  <c r="M1815" i="6"/>
  <c r="N1815" i="6"/>
  <c r="P1844" i="6"/>
  <c r="O1844" i="6"/>
  <c r="N1844" i="6"/>
  <c r="L1844" i="6"/>
  <c r="M1844" i="6"/>
  <c r="L1843" i="6"/>
  <c r="P1843" i="6"/>
  <c r="O1843" i="6"/>
  <c r="N1843" i="6"/>
  <c r="M1843" i="6"/>
  <c r="L1931" i="6"/>
  <c r="P1931" i="6"/>
  <c r="O1931" i="6"/>
  <c r="N1931" i="6"/>
  <c r="M1931" i="6"/>
  <c r="N2188" i="6"/>
  <c r="M2188" i="6"/>
  <c r="L2188" i="6"/>
  <c r="O2188" i="6"/>
  <c r="P2188" i="6"/>
  <c r="P1890" i="6"/>
  <c r="O1890" i="6"/>
  <c r="N1890" i="6"/>
  <c r="M1890" i="6"/>
  <c r="L1890" i="6"/>
  <c r="P2374" i="6"/>
  <c r="O2374" i="6"/>
  <c r="N2374" i="6"/>
  <c r="L2374" i="6"/>
  <c r="M2374" i="6"/>
  <c r="P2118" i="6"/>
  <c r="M2118" i="6"/>
  <c r="O2118" i="6"/>
  <c r="N2118" i="6"/>
  <c r="L2118" i="6"/>
  <c r="L2186" i="6"/>
  <c r="M2186" i="6"/>
  <c r="N2186" i="6"/>
  <c r="O2186" i="6"/>
  <c r="P2186" i="6"/>
  <c r="L2204" i="6"/>
  <c r="P2204" i="6"/>
  <c r="O2204" i="6"/>
  <c r="N2204" i="6"/>
  <c r="M2204" i="6"/>
  <c r="P1935" i="6"/>
  <c r="O1935" i="6"/>
  <c r="N1935" i="6"/>
  <c r="M1935" i="6"/>
  <c r="L1935" i="6"/>
  <c r="L2160" i="6"/>
  <c r="P2160" i="6"/>
  <c r="O2160" i="6"/>
  <c r="N2160" i="6"/>
  <c r="M2160" i="6"/>
  <c r="M2047" i="6"/>
  <c r="L2047" i="6"/>
  <c r="P2047" i="6"/>
  <c r="O2047" i="6"/>
  <c r="N2047" i="6"/>
  <c r="M2026" i="6"/>
  <c r="L2026" i="6"/>
  <c r="P2026" i="6"/>
  <c r="O2026" i="6"/>
  <c r="N2026" i="6"/>
  <c r="P1989" i="6"/>
  <c r="O1989" i="6"/>
  <c r="N1989" i="6"/>
  <c r="M1989" i="6"/>
  <c r="L1989" i="6"/>
  <c r="P2087" i="6"/>
  <c r="O2087" i="6"/>
  <c r="N2087" i="6"/>
  <c r="L2087" i="6"/>
  <c r="M2087" i="6"/>
  <c r="N2185" i="6"/>
  <c r="L2185" i="6"/>
  <c r="P2185" i="6"/>
  <c r="O2185" i="6"/>
  <c r="M2185" i="6"/>
  <c r="O1997" i="6"/>
  <c r="N1997" i="6"/>
  <c r="M1997" i="6"/>
  <c r="P1997" i="6"/>
  <c r="L1997" i="6"/>
  <c r="O2095" i="6"/>
  <c r="N2095" i="6"/>
  <c r="M2095" i="6"/>
  <c r="P2095" i="6"/>
  <c r="L2095" i="6"/>
  <c r="P2357" i="6"/>
  <c r="O2357" i="6"/>
  <c r="N2357" i="6"/>
  <c r="L2357" i="6"/>
  <c r="M2357" i="6"/>
  <c r="P2211" i="6"/>
  <c r="O2211" i="6"/>
  <c r="M2211" i="6"/>
  <c r="N2211" i="6"/>
  <c r="L2211" i="6"/>
  <c r="N2209" i="6"/>
  <c r="L2209" i="6"/>
  <c r="P2209" i="6"/>
  <c r="O2209" i="6"/>
  <c r="M2209" i="6"/>
  <c r="L2322" i="6"/>
  <c r="O2322" i="6"/>
  <c r="N2322" i="6"/>
  <c r="M2322" i="6"/>
  <c r="P2322" i="6"/>
  <c r="P2228" i="6"/>
  <c r="O2228" i="6"/>
  <c r="N2228" i="6"/>
  <c r="L2228" i="6"/>
  <c r="M2228" i="6"/>
  <c r="O2320" i="6"/>
  <c r="N2320" i="6"/>
  <c r="M2320" i="6"/>
  <c r="L2320" i="6"/>
  <c r="P2320" i="6"/>
  <c r="P2246" i="6"/>
  <c r="O2246" i="6"/>
  <c r="N2246" i="6"/>
  <c r="L2246" i="6"/>
  <c r="M2246" i="6"/>
  <c r="P2307" i="6"/>
  <c r="N2307" i="6"/>
  <c r="M2307" i="6"/>
  <c r="L2307" i="6"/>
  <c r="O2307" i="6"/>
  <c r="P2287" i="6"/>
  <c r="O2287" i="6"/>
  <c r="N2287" i="6"/>
  <c r="M2287" i="6"/>
  <c r="L2287" i="6"/>
  <c r="P2295" i="6"/>
  <c r="O2295" i="6"/>
  <c r="N2295" i="6"/>
  <c r="M2295" i="6"/>
  <c r="L2295" i="6"/>
  <c r="M2377" i="6"/>
  <c r="L2377" i="6"/>
  <c r="N2377" i="6"/>
  <c r="P2377" i="6"/>
  <c r="O2377" i="6"/>
  <c r="N2496" i="6"/>
  <c r="M2496" i="6"/>
  <c r="P2496" i="6"/>
  <c r="L2496" i="6"/>
  <c r="O2496" i="6"/>
  <c r="P2422" i="6"/>
  <c r="O2422" i="6"/>
  <c r="N2422" i="6"/>
  <c r="L2422" i="6"/>
  <c r="M2422" i="6"/>
  <c r="L2430" i="6"/>
  <c r="P2430" i="6"/>
  <c r="O2430" i="6"/>
  <c r="N2430" i="6"/>
  <c r="M2430" i="6"/>
  <c r="N2457" i="6"/>
  <c r="L2457" i="6"/>
  <c r="O2457" i="6"/>
  <c r="M2457" i="6"/>
  <c r="P2457" i="6"/>
  <c r="O2424" i="6"/>
  <c r="N2424" i="6"/>
  <c r="M2424" i="6"/>
  <c r="P2424" i="6"/>
  <c r="L2424" i="6"/>
  <c r="O2460" i="6"/>
  <c r="M2460" i="6"/>
  <c r="L2460" i="6"/>
  <c r="P2460" i="6"/>
  <c r="N2460" i="6"/>
  <c r="P2483" i="6"/>
  <c r="O2483" i="6"/>
  <c r="L2483" i="6"/>
  <c r="N2483" i="6"/>
  <c r="M2483" i="6"/>
  <c r="P642" i="6"/>
  <c r="P166" i="6"/>
  <c r="P839" i="6"/>
  <c r="P307" i="6"/>
  <c r="P452" i="6"/>
  <c r="P131" i="6"/>
  <c r="P506" i="6"/>
  <c r="P363" i="6"/>
  <c r="M363" i="6"/>
  <c r="N363" i="6" s="1"/>
  <c r="L363" i="6"/>
  <c r="O363" i="6" s="1"/>
  <c r="P798" i="6"/>
  <c r="M798" i="6"/>
  <c r="N798" i="6" s="1"/>
  <c r="L798" i="6"/>
  <c r="O798" i="6" s="1"/>
  <c r="L714" i="6"/>
  <c r="O714" i="6" s="1"/>
  <c r="M714" i="6"/>
  <c r="N714" i="6" s="1"/>
  <c r="P714" i="6"/>
  <c r="M248" i="6"/>
  <c r="N248" i="6" s="1"/>
  <c r="L248" i="6"/>
  <c r="P248" i="6"/>
  <c r="M828" i="6"/>
  <c r="N828" i="6" s="1"/>
  <c r="L828" i="6"/>
  <c r="P828" i="6"/>
  <c r="M1055" i="6"/>
  <c r="N1055" i="6" s="1"/>
  <c r="P1055" i="6"/>
  <c r="L1055" i="6"/>
  <c r="O1055" i="6" s="1"/>
  <c r="P450" i="6"/>
  <c r="M450" i="6"/>
  <c r="N450" i="6" s="1"/>
  <c r="L450" i="6"/>
  <c r="O450" i="6" s="1"/>
  <c r="P1356" i="6"/>
  <c r="N1356" i="6"/>
  <c r="M1356" i="6"/>
  <c r="L1356" i="6"/>
  <c r="O1356" i="6"/>
  <c r="M999" i="6"/>
  <c r="N999" i="6" s="1"/>
  <c r="P999" i="6"/>
  <c r="L999" i="6"/>
  <c r="O999" i="6" s="1"/>
  <c r="L1060" i="6"/>
  <c r="O1060" i="6" s="1"/>
  <c r="P1060" i="6"/>
  <c r="M1060" i="6"/>
  <c r="N1060" i="6" s="1"/>
  <c r="M1401" i="6"/>
  <c r="L1401" i="6"/>
  <c r="P1401" i="6"/>
  <c r="O1401" i="6"/>
  <c r="N1401" i="6"/>
  <c r="P1517" i="6"/>
  <c r="L1517" i="6"/>
  <c r="N1517" i="6"/>
  <c r="O1517" i="6"/>
  <c r="M1517" i="6"/>
  <c r="P1480" i="6"/>
  <c r="O1480" i="6"/>
  <c r="M1480" i="6"/>
  <c r="L1480" i="6"/>
  <c r="N1480" i="6"/>
  <c r="P1716" i="6"/>
  <c r="O1716" i="6"/>
  <c r="M1716" i="6"/>
  <c r="L1716" i="6"/>
  <c r="N1716" i="6"/>
  <c r="P1946" i="6"/>
  <c r="O1946" i="6"/>
  <c r="L1946" i="6"/>
  <c r="N1946" i="6"/>
  <c r="M1946" i="6"/>
  <c r="L1671" i="6"/>
  <c r="P1671" i="6"/>
  <c r="O1671" i="6"/>
  <c r="N1671" i="6"/>
  <c r="M1671" i="6"/>
  <c r="O1400" i="6"/>
  <c r="M1400" i="6"/>
  <c r="N1400" i="6"/>
  <c r="L1400" i="6"/>
  <c r="P1400" i="6"/>
  <c r="P2194" i="6"/>
  <c r="O2194" i="6"/>
  <c r="N2194" i="6"/>
  <c r="M2194" i="6"/>
  <c r="L2194" i="6"/>
  <c r="O2271" i="6"/>
  <c r="N2271" i="6"/>
  <c r="M2271" i="6"/>
  <c r="P2271" i="6"/>
  <c r="L2271" i="6"/>
  <c r="M1998" i="6"/>
  <c r="L1998" i="6"/>
  <c r="P1998" i="6"/>
  <c r="O1998" i="6"/>
  <c r="N1998" i="6"/>
  <c r="P2196" i="6"/>
  <c r="O2196" i="6"/>
  <c r="N2196" i="6"/>
  <c r="M2196" i="6"/>
  <c r="L2196" i="6"/>
  <c r="P2365" i="6"/>
  <c r="O2365" i="6"/>
  <c r="N2365" i="6"/>
  <c r="M2365" i="6"/>
  <c r="L2365" i="6"/>
  <c r="L2465" i="6"/>
  <c r="M2465" i="6"/>
  <c r="O2465" i="6"/>
  <c r="P2465" i="6"/>
  <c r="N2465" i="6"/>
  <c r="O2439" i="6"/>
  <c r="P2439" i="6"/>
  <c r="L2439" i="6"/>
  <c r="N2439" i="6"/>
  <c r="M2439" i="6"/>
  <c r="P1034" i="6"/>
  <c r="P146" i="6"/>
  <c r="P103" i="6"/>
  <c r="P211" i="6"/>
  <c r="L211" i="6"/>
  <c r="O211" i="6" s="1"/>
  <c r="M211" i="6"/>
  <c r="N211" i="6" s="1"/>
  <c r="P329" i="6"/>
  <c r="M329" i="6"/>
  <c r="N329" i="6" s="1"/>
  <c r="L329" i="6"/>
  <c r="O329" i="6" s="1"/>
  <c r="P223" i="6"/>
  <c r="M223" i="6"/>
  <c r="N223" i="6" s="1"/>
  <c r="L223" i="6"/>
  <c r="O223" i="6" s="1"/>
  <c r="P611" i="6"/>
  <c r="L611" i="6"/>
  <c r="O611" i="6" s="1"/>
  <c r="M611" i="6"/>
  <c r="N611" i="6" s="1"/>
  <c r="M901" i="6"/>
  <c r="N901" i="6" s="1"/>
  <c r="L901" i="6"/>
  <c r="O901" i="6" s="1"/>
  <c r="P901" i="6"/>
  <c r="P44" i="6"/>
  <c r="L44" i="6"/>
  <c r="M44" i="6"/>
  <c r="N44" i="6" s="1"/>
  <c r="P543" i="6"/>
  <c r="M543" i="6"/>
  <c r="N543" i="6" s="1"/>
  <c r="L543" i="6"/>
  <c r="P958" i="6"/>
  <c r="M958" i="6"/>
  <c r="N958" i="6" s="1"/>
  <c r="L958" i="6"/>
  <c r="M276" i="6"/>
  <c r="N276" i="6" s="1"/>
  <c r="L276" i="6"/>
  <c r="O276" i="6" s="1"/>
  <c r="P276" i="6"/>
  <c r="M1298" i="6"/>
  <c r="O1298" i="6"/>
  <c r="L1298" i="6"/>
  <c r="P1298" i="6"/>
  <c r="N1298" i="6"/>
  <c r="P1818" i="6"/>
  <c r="O1818" i="6"/>
  <c r="N1818" i="6"/>
  <c r="M1818" i="6"/>
  <c r="L1818" i="6"/>
  <c r="P682" i="6"/>
  <c r="M682" i="6"/>
  <c r="N682" i="6" s="1"/>
  <c r="L682" i="6"/>
  <c r="O682" i="6" s="1"/>
  <c r="L804" i="6"/>
  <c r="P804" i="6"/>
  <c r="M804" i="6"/>
  <c r="N804" i="6" s="1"/>
  <c r="M1153" i="6"/>
  <c r="L1153" i="6"/>
  <c r="P1153" i="6"/>
  <c r="O1153" i="6"/>
  <c r="N1153" i="6"/>
  <c r="P1710" i="6"/>
  <c r="N1710" i="6"/>
  <c r="M1710" i="6"/>
  <c r="O1710" i="6"/>
  <c r="L1710" i="6"/>
  <c r="P781" i="6"/>
  <c r="M781" i="6"/>
  <c r="N781" i="6" s="1"/>
  <c r="L781" i="6"/>
  <c r="P1217" i="6"/>
  <c r="O1217" i="6"/>
  <c r="N1217" i="6"/>
  <c r="L1217" i="6"/>
  <c r="M1217" i="6"/>
  <c r="P1524" i="6"/>
  <c r="L1524" i="6"/>
  <c r="N1524" i="6"/>
  <c r="O1524" i="6"/>
  <c r="M1524" i="6"/>
  <c r="O1186" i="6"/>
  <c r="N1186" i="6"/>
  <c r="L1186" i="6"/>
  <c r="M1186" i="6"/>
  <c r="P1186" i="6"/>
  <c r="O1215" i="6"/>
  <c r="M1215" i="6"/>
  <c r="L1215" i="6"/>
  <c r="N1215" i="6"/>
  <c r="P1215" i="6"/>
  <c r="O1881" i="6"/>
  <c r="N1881" i="6"/>
  <c r="M1881" i="6"/>
  <c r="L1881" i="6"/>
  <c r="P1881" i="6"/>
  <c r="P2398" i="6"/>
  <c r="O2398" i="6"/>
  <c r="N2398" i="6"/>
  <c r="L2398" i="6"/>
  <c r="M2398" i="6"/>
  <c r="N2149" i="6"/>
  <c r="L2149" i="6"/>
  <c r="P2149" i="6"/>
  <c r="O2149" i="6"/>
  <c r="M2149" i="6"/>
  <c r="N1656" i="6"/>
  <c r="M1656" i="6"/>
  <c r="P1656" i="6"/>
  <c r="L1656" i="6"/>
  <c r="O1656" i="6"/>
  <c r="M1513" i="6"/>
  <c r="P1513" i="6"/>
  <c r="O1513" i="6"/>
  <c r="L1513" i="6"/>
  <c r="N1513" i="6"/>
  <c r="P1660" i="6"/>
  <c r="N1660" i="6"/>
  <c r="M1660" i="6"/>
  <c r="L1660" i="6"/>
  <c r="O1660" i="6"/>
  <c r="L1601" i="6"/>
  <c r="N1601" i="6"/>
  <c r="P1601" i="6"/>
  <c r="O1601" i="6"/>
  <c r="M1601" i="6"/>
  <c r="N1755" i="6"/>
  <c r="L1755" i="6"/>
  <c r="O1755" i="6"/>
  <c r="P1755" i="6"/>
  <c r="M1755" i="6"/>
  <c r="N1765" i="6"/>
  <c r="L1765" i="6"/>
  <c r="O1765" i="6"/>
  <c r="M1765" i="6"/>
  <c r="P1765" i="6"/>
  <c r="P1819" i="6"/>
  <c r="M1819" i="6"/>
  <c r="N1819" i="6"/>
  <c r="O1819" i="6"/>
  <c r="L1819" i="6"/>
  <c r="L1749" i="6"/>
  <c r="P1749" i="6"/>
  <c r="O1749" i="6"/>
  <c r="N1749" i="6"/>
  <c r="M1749" i="6"/>
  <c r="O1526" i="6"/>
  <c r="M1526" i="6"/>
  <c r="L1526" i="6"/>
  <c r="N1526" i="6"/>
  <c r="P1526" i="6"/>
  <c r="P1725" i="6"/>
  <c r="O1725" i="6"/>
  <c r="N1725" i="6"/>
  <c r="L1725" i="6"/>
  <c r="M1725" i="6"/>
  <c r="N1863" i="6"/>
  <c r="M1863" i="6"/>
  <c r="L1863" i="6"/>
  <c r="P1863" i="6"/>
  <c r="O1863" i="6"/>
  <c r="M2212" i="6"/>
  <c r="L2212" i="6"/>
  <c r="P2212" i="6"/>
  <c r="O2212" i="6"/>
  <c r="N2212" i="6"/>
  <c r="P2128" i="6"/>
  <c r="N2128" i="6"/>
  <c r="M2128" i="6"/>
  <c r="L2128" i="6"/>
  <c r="O2128" i="6"/>
  <c r="P2167" i="6"/>
  <c r="O2167" i="6"/>
  <c r="N2167" i="6"/>
  <c r="M2167" i="6"/>
  <c r="L2167" i="6"/>
  <c r="P1996" i="6"/>
  <c r="O1996" i="6"/>
  <c r="M1996" i="6"/>
  <c r="L1996" i="6"/>
  <c r="N1996" i="6"/>
  <c r="O2004" i="6"/>
  <c r="N2004" i="6"/>
  <c r="M2004" i="6"/>
  <c r="L2004" i="6"/>
  <c r="P2004" i="6"/>
  <c r="L2235" i="6"/>
  <c r="P2235" i="6"/>
  <c r="O2235" i="6"/>
  <c r="N2235" i="6"/>
  <c r="M2235" i="6"/>
  <c r="O2243" i="6"/>
  <c r="M2243" i="6"/>
  <c r="L2243" i="6"/>
  <c r="P2243" i="6"/>
  <c r="N2243" i="6"/>
  <c r="L2326" i="6"/>
  <c r="P2326" i="6"/>
  <c r="O2326" i="6"/>
  <c r="M2326" i="6"/>
  <c r="N2326" i="6"/>
  <c r="O2369" i="6"/>
  <c r="N2369" i="6"/>
  <c r="M2369" i="6"/>
  <c r="L2369" i="6"/>
  <c r="P2369" i="6"/>
  <c r="P698" i="6"/>
  <c r="P1085" i="6"/>
  <c r="P292" i="6"/>
  <c r="O1293" i="6"/>
  <c r="M1293" i="6"/>
  <c r="L1293" i="6"/>
  <c r="N1293" i="6"/>
  <c r="P1293" i="6"/>
  <c r="M894" i="6"/>
  <c r="N894" i="6" s="1"/>
  <c r="L894" i="6"/>
  <c r="O894" i="6" s="1"/>
  <c r="P894" i="6"/>
  <c r="L559" i="6"/>
  <c r="O559" i="6" s="1"/>
  <c r="M559" i="6"/>
  <c r="N559" i="6" s="1"/>
  <c r="P559" i="6"/>
  <c r="P258" i="6"/>
  <c r="M258" i="6"/>
  <c r="N258" i="6" s="1"/>
  <c r="L258" i="6"/>
  <c r="P56" i="6"/>
  <c r="M56" i="6"/>
  <c r="N56" i="6" s="1"/>
  <c r="L56" i="6"/>
  <c r="O56" i="6" s="1"/>
  <c r="L687" i="6"/>
  <c r="O687" i="6" s="1"/>
  <c r="M687" i="6"/>
  <c r="N687" i="6" s="1"/>
  <c r="P687" i="6"/>
  <c r="P141" i="6"/>
  <c r="M141" i="6"/>
  <c r="N141" i="6" s="1"/>
  <c r="L141" i="6"/>
  <c r="O141" i="6" s="1"/>
  <c r="P399" i="6"/>
  <c r="M399" i="6"/>
  <c r="N399" i="6" s="1"/>
  <c r="L399" i="6"/>
  <c r="M60" i="6"/>
  <c r="N60" i="6" s="1"/>
  <c r="L60" i="6"/>
  <c r="O60" i="6" s="1"/>
  <c r="P60" i="6"/>
  <c r="M768" i="6"/>
  <c r="N768" i="6" s="1"/>
  <c r="L768" i="6"/>
  <c r="O768" i="6" s="1"/>
  <c r="P768" i="6"/>
  <c r="P267" i="6"/>
  <c r="L267" i="6"/>
  <c r="O267" i="6" s="1"/>
  <c r="M267" i="6"/>
  <c r="N267" i="6" s="1"/>
  <c r="P106" i="6"/>
  <c r="M106" i="6"/>
  <c r="N106" i="6" s="1"/>
  <c r="L106" i="6"/>
  <c r="O106" i="6" s="1"/>
  <c r="N1240" i="6"/>
  <c r="L1240" i="6"/>
  <c r="P1240" i="6"/>
  <c r="O1240" i="6"/>
  <c r="M1240" i="6"/>
  <c r="P488" i="6"/>
  <c r="M488" i="6"/>
  <c r="N488" i="6" s="1"/>
  <c r="L488" i="6"/>
  <c r="O488" i="6" s="1"/>
  <c r="P905" i="6"/>
  <c r="M905" i="6"/>
  <c r="N905" i="6" s="1"/>
  <c r="L905" i="6"/>
  <c r="M1387" i="6"/>
  <c r="O1387" i="6"/>
  <c r="P1387" i="6"/>
  <c r="N1387" i="6"/>
  <c r="L1387" i="6"/>
  <c r="P578" i="6"/>
  <c r="M578" i="6"/>
  <c r="N578" i="6" s="1"/>
  <c r="L578" i="6"/>
  <c r="O578" i="6" s="1"/>
  <c r="P1091" i="6"/>
  <c r="L1091" i="6"/>
  <c r="O1091" i="6" s="1"/>
  <c r="M1091" i="6"/>
  <c r="N1091" i="6" s="1"/>
  <c r="P51" i="6"/>
  <c r="L51" i="6"/>
  <c r="O51" i="6" s="1"/>
  <c r="M51" i="6"/>
  <c r="N51" i="6" s="1"/>
  <c r="P149" i="6"/>
  <c r="L149" i="6"/>
  <c r="O149" i="6" s="1"/>
  <c r="M149" i="6"/>
  <c r="N149" i="6" s="1"/>
  <c r="P247" i="6"/>
  <c r="L247" i="6"/>
  <c r="M247" i="6"/>
  <c r="N247" i="6" s="1"/>
  <c r="P345" i="6"/>
  <c r="L345" i="6"/>
  <c r="O345" i="6" s="1"/>
  <c r="M345" i="6"/>
  <c r="N345" i="6" s="1"/>
  <c r="P562" i="6"/>
  <c r="L562" i="6"/>
  <c r="O562" i="6" s="1"/>
  <c r="M562" i="6"/>
  <c r="N562" i="6" s="1"/>
  <c r="M889" i="6"/>
  <c r="N889" i="6" s="1"/>
  <c r="L889" i="6"/>
  <c r="O889" i="6" s="1"/>
  <c r="P889" i="6"/>
  <c r="O1730" i="6"/>
  <c r="N1730" i="6"/>
  <c r="P1730" i="6"/>
  <c r="M1730" i="6"/>
  <c r="L1730" i="6"/>
  <c r="M593" i="6"/>
  <c r="N593" i="6" s="1"/>
  <c r="L593" i="6"/>
  <c r="O593" i="6" s="1"/>
  <c r="P593" i="6"/>
  <c r="M979" i="6"/>
  <c r="N979" i="6" s="1"/>
  <c r="L979" i="6"/>
  <c r="O979" i="6" s="1"/>
  <c r="P979" i="6"/>
  <c r="P1411" i="6"/>
  <c r="O1411" i="6"/>
  <c r="M1411" i="6"/>
  <c r="L1411" i="6"/>
  <c r="N1411" i="6"/>
  <c r="M87" i="6"/>
  <c r="N87" i="6" s="1"/>
  <c r="L87" i="6"/>
  <c r="O87" i="6" s="1"/>
  <c r="P87" i="6"/>
  <c r="M185" i="6"/>
  <c r="N185" i="6" s="1"/>
  <c r="L185" i="6"/>
  <c r="O185" i="6" s="1"/>
  <c r="P185" i="6"/>
  <c r="M283" i="6"/>
  <c r="N283" i="6" s="1"/>
  <c r="L283" i="6"/>
  <c r="O283" i="6" s="1"/>
  <c r="P283" i="6"/>
  <c r="M381" i="6"/>
  <c r="N381" i="6" s="1"/>
  <c r="L381" i="6"/>
  <c r="P381" i="6"/>
  <c r="L615" i="6"/>
  <c r="O615" i="6" s="1"/>
  <c r="P615" i="6"/>
  <c r="M615" i="6"/>
  <c r="N615" i="6" s="1"/>
  <c r="N1426" i="6"/>
  <c r="P1426" i="6"/>
  <c r="M1426" i="6"/>
  <c r="L1426" i="6"/>
  <c r="O1426" i="6"/>
  <c r="P581" i="6"/>
  <c r="M581" i="6"/>
  <c r="N581" i="6" s="1"/>
  <c r="L581" i="6"/>
  <c r="O581" i="6" s="1"/>
  <c r="M735" i="6"/>
  <c r="N735" i="6" s="1"/>
  <c r="L735" i="6"/>
  <c r="O735" i="6" s="1"/>
  <c r="P735" i="6"/>
  <c r="P926" i="6"/>
  <c r="M926" i="6"/>
  <c r="N926" i="6" s="1"/>
  <c r="L926" i="6"/>
  <c r="O926" i="6" s="1"/>
  <c r="P1964" i="6"/>
  <c r="N1964" i="6"/>
  <c r="M1964" i="6"/>
  <c r="L1964" i="6"/>
  <c r="O1964" i="6"/>
  <c r="P649" i="6"/>
  <c r="M649" i="6"/>
  <c r="N649" i="6" s="1"/>
  <c r="L649" i="6"/>
  <c r="O649" i="6" s="1"/>
  <c r="P800" i="6"/>
  <c r="M800" i="6"/>
  <c r="N800" i="6" s="1"/>
  <c r="L800" i="6"/>
  <c r="N1604" i="6"/>
  <c r="L1604" i="6"/>
  <c r="P1604" i="6"/>
  <c r="O1604" i="6"/>
  <c r="M1604" i="6"/>
  <c r="P842" i="6"/>
  <c r="M842" i="6"/>
  <c r="N842" i="6" s="1"/>
  <c r="L842" i="6"/>
  <c r="O842" i="6" s="1"/>
  <c r="P1086" i="6"/>
  <c r="M1086" i="6"/>
  <c r="N1086" i="6" s="1"/>
  <c r="L1086" i="6"/>
  <c r="O1086" i="6" s="1"/>
  <c r="O2085" i="6"/>
  <c r="N2085" i="6"/>
  <c r="M2085" i="6"/>
  <c r="P2085" i="6"/>
  <c r="L2085" i="6"/>
  <c r="P683" i="6"/>
  <c r="L683" i="6"/>
  <c r="O683" i="6" s="1"/>
  <c r="M683" i="6"/>
  <c r="N683" i="6" s="1"/>
  <c r="P821" i="6"/>
  <c r="M821" i="6"/>
  <c r="N821" i="6" s="1"/>
  <c r="L821" i="6"/>
  <c r="O821" i="6" s="1"/>
  <c r="M1534" i="6"/>
  <c r="L1534" i="6"/>
  <c r="O1534" i="6"/>
  <c r="P1534" i="6"/>
  <c r="N1534" i="6"/>
  <c r="P521" i="6"/>
  <c r="M521" i="6"/>
  <c r="N521" i="6" s="1"/>
  <c r="L521" i="6"/>
  <c r="P891" i="6"/>
  <c r="M891" i="6"/>
  <c r="N891" i="6" s="1"/>
  <c r="L891" i="6"/>
  <c r="M1160" i="6"/>
  <c r="L1160" i="6"/>
  <c r="P1160" i="6"/>
  <c r="O1160" i="6"/>
  <c r="N1160" i="6"/>
  <c r="P710" i="6"/>
  <c r="M710" i="6"/>
  <c r="N710" i="6" s="1"/>
  <c r="L710" i="6"/>
  <c r="O710" i="6" s="1"/>
  <c r="P808" i="6"/>
  <c r="M808" i="6"/>
  <c r="N808" i="6" s="1"/>
  <c r="L808" i="6"/>
  <c r="O808" i="6" s="1"/>
  <c r="P1164" i="6"/>
  <c r="N1164" i="6"/>
  <c r="O1164" i="6"/>
  <c r="M1164" i="6"/>
  <c r="L1164" i="6"/>
  <c r="P848" i="6"/>
  <c r="L848" i="6"/>
  <c r="M848" i="6"/>
  <c r="N848" i="6" s="1"/>
  <c r="M1022" i="6"/>
  <c r="N1022" i="6" s="1"/>
  <c r="L1022" i="6"/>
  <c r="O1022" i="6" s="1"/>
  <c r="P1022" i="6"/>
  <c r="P1191" i="6"/>
  <c r="N1191" i="6"/>
  <c r="M1191" i="6"/>
  <c r="L1191" i="6"/>
  <c r="O1191" i="6"/>
  <c r="P690" i="6"/>
  <c r="M690" i="6"/>
  <c r="N690" i="6" s="1"/>
  <c r="L690" i="6"/>
  <c r="O690" i="6" s="1"/>
  <c r="P788" i="6"/>
  <c r="M788" i="6"/>
  <c r="N788" i="6" s="1"/>
  <c r="L788" i="6"/>
  <c r="O788" i="6" s="1"/>
  <c r="P1038" i="6"/>
  <c r="M1038" i="6"/>
  <c r="N1038" i="6" s="1"/>
  <c r="L1038" i="6"/>
  <c r="O1038" i="6" s="1"/>
  <c r="P884" i="6"/>
  <c r="M884" i="6"/>
  <c r="N884" i="6" s="1"/>
  <c r="L884" i="6"/>
  <c r="O884" i="6" s="1"/>
  <c r="P1065" i="6"/>
  <c r="L1065" i="6"/>
  <c r="O1065" i="6" s="1"/>
  <c r="M1065" i="6"/>
  <c r="N1065" i="6" s="1"/>
  <c r="P1265" i="6"/>
  <c r="O1265" i="6"/>
  <c r="M1265" i="6"/>
  <c r="L1265" i="6"/>
  <c r="N1265" i="6"/>
  <c r="M1277" i="6"/>
  <c r="N1277" i="6"/>
  <c r="L1277" i="6"/>
  <c r="P1277" i="6"/>
  <c r="O1277" i="6"/>
  <c r="O1222" i="6"/>
  <c r="P1222" i="6"/>
  <c r="L1222" i="6"/>
  <c r="N1222" i="6"/>
  <c r="M1222" i="6"/>
  <c r="P1680" i="6"/>
  <c r="O1680" i="6"/>
  <c r="N1680" i="6"/>
  <c r="M1680" i="6"/>
  <c r="L1680" i="6"/>
  <c r="L997" i="6"/>
  <c r="O997" i="6" s="1"/>
  <c r="P997" i="6"/>
  <c r="M997" i="6"/>
  <c r="N997" i="6" s="1"/>
  <c r="L1095" i="6"/>
  <c r="O1095" i="6" s="1"/>
  <c r="P1095" i="6"/>
  <c r="M1095" i="6"/>
  <c r="N1095" i="6" s="1"/>
  <c r="O1193" i="6"/>
  <c r="N1193" i="6"/>
  <c r="L1193" i="6"/>
  <c r="M1193" i="6"/>
  <c r="P1193" i="6"/>
  <c r="M928" i="6"/>
  <c r="N928" i="6" s="1"/>
  <c r="L928" i="6"/>
  <c r="O928" i="6" s="1"/>
  <c r="P928" i="6"/>
  <c r="M1026" i="6"/>
  <c r="N1026" i="6" s="1"/>
  <c r="L1026" i="6"/>
  <c r="O1026" i="6" s="1"/>
  <c r="P1026" i="6"/>
  <c r="M1124" i="6"/>
  <c r="N1124" i="6" s="1"/>
  <c r="L1124" i="6"/>
  <c r="O1124" i="6" s="1"/>
  <c r="P1124" i="6"/>
  <c r="N1261" i="6"/>
  <c r="O1261" i="6"/>
  <c r="M1261" i="6"/>
  <c r="P1261" i="6"/>
  <c r="L1261" i="6"/>
  <c r="L1595" i="6"/>
  <c r="O1595" i="6"/>
  <c r="N1595" i="6"/>
  <c r="M1595" i="6"/>
  <c r="P1595" i="6"/>
  <c r="N1514" i="6"/>
  <c r="M1514" i="6"/>
  <c r="L1514" i="6"/>
  <c r="P1514" i="6"/>
  <c r="O1514" i="6"/>
  <c r="P1901" i="6"/>
  <c r="N1901" i="6"/>
  <c r="M1901" i="6"/>
  <c r="L1901" i="6"/>
  <c r="O1901" i="6"/>
  <c r="P1295" i="6"/>
  <c r="O1295" i="6"/>
  <c r="N1295" i="6"/>
  <c r="L1295" i="6"/>
  <c r="M1295" i="6"/>
  <c r="M1408" i="6"/>
  <c r="O1408" i="6"/>
  <c r="N1408" i="6"/>
  <c r="L1408" i="6"/>
  <c r="P1408" i="6"/>
  <c r="M1352" i="6"/>
  <c r="L1352" i="6"/>
  <c r="P1352" i="6"/>
  <c r="O1352" i="6"/>
  <c r="N1352" i="6"/>
  <c r="O1303" i="6"/>
  <c r="N1303" i="6"/>
  <c r="M1303" i="6"/>
  <c r="P1303" i="6"/>
  <c r="L1303" i="6"/>
  <c r="L1460" i="6"/>
  <c r="N1460" i="6"/>
  <c r="M1460" i="6"/>
  <c r="P1460" i="6"/>
  <c r="O1460" i="6"/>
  <c r="L1664" i="6"/>
  <c r="P1664" i="6"/>
  <c r="O1664" i="6"/>
  <c r="N1664" i="6"/>
  <c r="M1664" i="6"/>
  <c r="O1269" i="6"/>
  <c r="L1269" i="6"/>
  <c r="N1269" i="6"/>
  <c r="M1269" i="6"/>
  <c r="P1269" i="6"/>
  <c r="L1459" i="6"/>
  <c r="M1459" i="6"/>
  <c r="P1459" i="6"/>
  <c r="O1459" i="6"/>
  <c r="N1459" i="6"/>
  <c r="N1651" i="6"/>
  <c r="L1651" i="6"/>
  <c r="P1651" i="6"/>
  <c r="M1651" i="6"/>
  <c r="O1651" i="6"/>
  <c r="N1734" i="6"/>
  <c r="L1734" i="6"/>
  <c r="M1734" i="6"/>
  <c r="P1734" i="6"/>
  <c r="O1734" i="6"/>
  <c r="L1598" i="6"/>
  <c r="O1598" i="6"/>
  <c r="N1598" i="6"/>
  <c r="M1598" i="6"/>
  <c r="P1598" i="6"/>
  <c r="L2132" i="6"/>
  <c r="N2132" i="6"/>
  <c r="P2132" i="6"/>
  <c r="O2132" i="6"/>
  <c r="M2132" i="6"/>
  <c r="N1557" i="6"/>
  <c r="L1557" i="6"/>
  <c r="M1557" i="6"/>
  <c r="P1557" i="6"/>
  <c r="O1557" i="6"/>
  <c r="L1763" i="6"/>
  <c r="M1763" i="6"/>
  <c r="P1763" i="6"/>
  <c r="N1763" i="6"/>
  <c r="O1763" i="6"/>
  <c r="M1485" i="6"/>
  <c r="P1485" i="6"/>
  <c r="O1485" i="6"/>
  <c r="L1485" i="6"/>
  <c r="N1485" i="6"/>
  <c r="O1785" i="6"/>
  <c r="M1785" i="6"/>
  <c r="L1785" i="6"/>
  <c r="P1785" i="6"/>
  <c r="N1785" i="6"/>
  <c r="P1665" i="6"/>
  <c r="O1665" i="6"/>
  <c r="N1665" i="6"/>
  <c r="M1665" i="6"/>
  <c r="L1665" i="6"/>
  <c r="L1693" i="6"/>
  <c r="N1693" i="6"/>
  <c r="M1693" i="6"/>
  <c r="O1693" i="6"/>
  <c r="P1693" i="6"/>
  <c r="M2391" i="6"/>
  <c r="L2391" i="6"/>
  <c r="P2391" i="6"/>
  <c r="O2391" i="6"/>
  <c r="N2391" i="6"/>
  <c r="N1614" i="6"/>
  <c r="M1614" i="6"/>
  <c r="P1614" i="6"/>
  <c r="O1614" i="6"/>
  <c r="L1614" i="6"/>
  <c r="P674" i="6"/>
  <c r="P1020" i="6"/>
  <c r="P688" i="6"/>
  <c r="P1728" i="6"/>
  <c r="O1728" i="6"/>
  <c r="M1728" i="6"/>
  <c r="L1728" i="6"/>
  <c r="N1728" i="6"/>
  <c r="M397" i="6"/>
  <c r="N397" i="6" s="1"/>
  <c r="L397" i="6"/>
  <c r="O397" i="6" s="1"/>
  <c r="P397" i="6"/>
  <c r="H67" i="3"/>
  <c r="I50" i="3"/>
  <c r="J47" i="3"/>
  <c r="J33" i="3"/>
  <c r="J19" i="3"/>
  <c r="J58" i="3"/>
  <c r="P2" i="6"/>
  <c r="J44" i="3"/>
  <c r="J55" i="3"/>
  <c r="I44" i="3"/>
  <c r="H33" i="3"/>
  <c r="J27" i="3"/>
  <c r="J66" i="3"/>
  <c r="H44" i="3"/>
  <c r="L2" i="6"/>
  <c r="O2" i="6" s="1"/>
  <c r="J102" i="3"/>
  <c r="J88" i="3"/>
  <c r="H66" i="3"/>
  <c r="I63" i="3"/>
  <c r="J46" i="3"/>
  <c r="J18" i="3"/>
  <c r="J101" i="3"/>
  <c r="J68" i="3"/>
  <c r="H56" i="3"/>
  <c r="J162" i="3"/>
  <c r="J118" i="3"/>
  <c r="C6" i="4"/>
  <c r="J25" i="3"/>
  <c r="J82" i="3"/>
  <c r="J39" i="3"/>
  <c r="M2" i="6"/>
  <c r="N2" i="6" s="1"/>
  <c r="J77" i="3"/>
  <c r="J56" i="3"/>
  <c r="J8" i="3"/>
  <c r="H55" i="3"/>
  <c r="P326" i="6"/>
  <c r="P263" i="6"/>
  <c r="J50" i="3"/>
  <c r="I24" i="3"/>
  <c r="P413" i="6"/>
  <c r="P41" i="6"/>
  <c r="J62" i="3"/>
  <c r="P421" i="6"/>
  <c r="P228" i="6"/>
  <c r="P12" i="6"/>
  <c r="J11" i="3"/>
  <c r="P193" i="6"/>
  <c r="J84" i="3"/>
  <c r="I10" i="3"/>
  <c r="J93" i="3"/>
  <c r="P368" i="6"/>
  <c r="P53" i="6"/>
  <c r="J15" i="3"/>
  <c r="P256" i="6"/>
  <c r="P111" i="6"/>
  <c r="J67" i="3"/>
  <c r="P165" i="6"/>
  <c r="I15" i="3"/>
  <c r="J40" i="3"/>
  <c r="P13" i="6"/>
  <c r="P291" i="6"/>
  <c r="J63" i="3"/>
  <c r="H63" i="3"/>
  <c r="P130" i="6"/>
  <c r="P90" i="6"/>
  <c r="P74" i="6"/>
  <c r="P102" i="6"/>
  <c r="P43" i="6"/>
  <c r="P25" i="6"/>
  <c r="P214" i="6"/>
  <c r="P221" i="6"/>
  <c r="P116" i="6"/>
  <c r="P155" i="6"/>
  <c r="P347" i="6"/>
  <c r="P419" i="6"/>
  <c r="P582" i="6"/>
  <c r="P158" i="6"/>
  <c r="P35" i="6"/>
  <c r="P770" i="6"/>
  <c r="P95" i="6"/>
  <c r="P238" i="6"/>
  <c r="P62" i="6"/>
  <c r="P273" i="6"/>
  <c r="P560" i="6"/>
  <c r="P91" i="6"/>
  <c r="P151" i="6"/>
  <c r="P67" i="6"/>
  <c r="P481" i="6"/>
  <c r="P4" i="6"/>
  <c r="P5" i="6"/>
  <c r="P162" i="6"/>
  <c r="P361" i="6"/>
  <c r="P140" i="6"/>
  <c r="P312" i="6"/>
  <c r="P42" i="6"/>
  <c r="P210" i="6"/>
  <c r="P372" i="6"/>
  <c r="P112" i="6"/>
  <c r="P83" i="6"/>
  <c r="P246" i="6"/>
  <c r="P249" i="6"/>
  <c r="P50" i="6"/>
  <c r="P406" i="6"/>
  <c r="P479" i="6"/>
  <c r="P857" i="6"/>
  <c r="P22" i="6"/>
  <c r="P120" i="6"/>
  <c r="P123" i="6"/>
  <c r="P175" i="6"/>
  <c r="P517" i="6"/>
  <c r="P189" i="6"/>
  <c r="P217" i="6"/>
  <c r="P351" i="6"/>
  <c r="P316" i="6"/>
  <c r="P776" i="6"/>
  <c r="P491" i="6"/>
  <c r="P1052" i="6"/>
  <c r="P183" i="6"/>
  <c r="P225" i="6"/>
  <c r="P127" i="6"/>
  <c r="P315" i="6"/>
  <c r="P626" i="6"/>
  <c r="P18" i="6"/>
  <c r="P280" i="6"/>
  <c r="P747" i="6"/>
  <c r="P245" i="6"/>
  <c r="P104" i="6"/>
  <c r="P354" i="6"/>
  <c r="P416" i="6"/>
  <c r="P99" i="6"/>
  <c r="P620" i="6"/>
  <c r="P323" i="6"/>
  <c r="P658" i="6"/>
  <c r="P34" i="6"/>
  <c r="P182" i="6"/>
  <c r="P319" i="6"/>
  <c r="P46" i="6"/>
  <c r="P84" i="6"/>
  <c r="P63" i="6"/>
  <c r="P803" i="6"/>
  <c r="P493" i="6"/>
  <c r="P336" i="6"/>
  <c r="P190" i="6"/>
  <c r="P414" i="6"/>
  <c r="P1238" i="6"/>
  <c r="O1238" i="6"/>
  <c r="N1238" i="6"/>
  <c r="M1238" i="6"/>
  <c r="L1238" i="6"/>
  <c r="P663" i="6"/>
  <c r="M663" i="6"/>
  <c r="N663" i="6" s="1"/>
  <c r="L663" i="6"/>
  <c r="O663" i="6" s="1"/>
  <c r="P853" i="6"/>
  <c r="P272" i="6"/>
  <c r="M1326" i="6"/>
  <c r="O1326" i="6"/>
  <c r="N1326" i="6"/>
  <c r="L1326" i="6"/>
  <c r="P1326" i="6"/>
  <c r="P680" i="6"/>
  <c r="M680" i="6"/>
  <c r="N680" i="6" s="1"/>
  <c r="L680" i="6"/>
  <c r="O680" i="6" s="1"/>
  <c r="P749" i="6"/>
  <c r="M749" i="6"/>
  <c r="N749" i="6" s="1"/>
  <c r="L749" i="6"/>
  <c r="L769" i="6"/>
  <c r="M769" i="6"/>
  <c r="N769" i="6" s="1"/>
  <c r="P769" i="6"/>
  <c r="P212" i="6"/>
  <c r="L212" i="6"/>
  <c r="M212" i="6"/>
  <c r="N212" i="6" s="1"/>
  <c r="M840" i="6"/>
  <c r="N840" i="6" s="1"/>
  <c r="L840" i="6"/>
  <c r="O840" i="6" s="1"/>
  <c r="P840" i="6"/>
  <c r="P530" i="6"/>
  <c r="L530" i="6"/>
  <c r="M530" i="6"/>
  <c r="N530" i="6" s="1"/>
  <c r="P751" i="6"/>
  <c r="M751" i="6"/>
  <c r="N751" i="6" s="1"/>
  <c r="L751" i="6"/>
  <c r="P961" i="6"/>
  <c r="M961" i="6"/>
  <c r="N961" i="6" s="1"/>
  <c r="L961" i="6"/>
  <c r="P919" i="6"/>
  <c r="M919" i="6"/>
  <c r="N919" i="6" s="1"/>
  <c r="L919" i="6"/>
  <c r="O919" i="6" s="1"/>
  <c r="P753" i="6"/>
  <c r="M753" i="6"/>
  <c r="N753" i="6" s="1"/>
  <c r="L753" i="6"/>
  <c r="P1168" i="6"/>
  <c r="O1168" i="6"/>
  <c r="N1168" i="6"/>
  <c r="M1168" i="6"/>
  <c r="L1168" i="6"/>
  <c r="O1158" i="6"/>
  <c r="N1158" i="6"/>
  <c r="L1158" i="6"/>
  <c r="P1158" i="6"/>
  <c r="M1158" i="6"/>
  <c r="P1717" i="6"/>
  <c r="O1717" i="6"/>
  <c r="N1717" i="6"/>
  <c r="M1717" i="6"/>
  <c r="L1717" i="6"/>
  <c r="P1363" i="6"/>
  <c r="O1363" i="6"/>
  <c r="M1363" i="6"/>
  <c r="L1363" i="6"/>
  <c r="N1363" i="6"/>
  <c r="M2321" i="6"/>
  <c r="O2321" i="6"/>
  <c r="N2321" i="6"/>
  <c r="L2321" i="6"/>
  <c r="P2321" i="6"/>
  <c r="P1612" i="6"/>
  <c r="N1612" i="6"/>
  <c r="M1612" i="6"/>
  <c r="O1612" i="6"/>
  <c r="L1612" i="6"/>
  <c r="M2205" i="6"/>
  <c r="P2205" i="6"/>
  <c r="O2205" i="6"/>
  <c r="N2205" i="6"/>
  <c r="L2205" i="6"/>
  <c r="O1462" i="6"/>
  <c r="L1462" i="6"/>
  <c r="N1462" i="6"/>
  <c r="M1462" i="6"/>
  <c r="P1462" i="6"/>
  <c r="O1498" i="6"/>
  <c r="M1498" i="6"/>
  <c r="L1498" i="6"/>
  <c r="N1498" i="6"/>
  <c r="P1498" i="6"/>
  <c r="O2329" i="6"/>
  <c r="N2329" i="6"/>
  <c r="M2329" i="6"/>
  <c r="P2329" i="6"/>
  <c r="L2329" i="6"/>
  <c r="O2034" i="6"/>
  <c r="M2034" i="6"/>
  <c r="L2034" i="6"/>
  <c r="P2034" i="6"/>
  <c r="N2034" i="6"/>
  <c r="M1977" i="6"/>
  <c r="L1977" i="6"/>
  <c r="P1977" i="6"/>
  <c r="O1977" i="6"/>
  <c r="N1977" i="6"/>
  <c r="O2074" i="6"/>
  <c r="N2074" i="6"/>
  <c r="M2074" i="6"/>
  <c r="L2074" i="6"/>
  <c r="P2074" i="6"/>
  <c r="P2207" i="6"/>
  <c r="O2207" i="6"/>
  <c r="M2207" i="6"/>
  <c r="L2207" i="6"/>
  <c r="N2207" i="6"/>
  <c r="O2254" i="6"/>
  <c r="N2254" i="6"/>
  <c r="M2254" i="6"/>
  <c r="L2254" i="6"/>
  <c r="P2254" i="6"/>
  <c r="M2447" i="6"/>
  <c r="P2447" i="6"/>
  <c r="O2447" i="6"/>
  <c r="L2447" i="6"/>
  <c r="N2447" i="6"/>
  <c r="P580" i="6"/>
  <c r="P147" i="6"/>
  <c r="P835" i="6"/>
  <c r="P342" i="6"/>
  <c r="P299" i="6"/>
  <c r="P1267" i="6"/>
  <c r="O1267" i="6"/>
  <c r="M1267" i="6"/>
  <c r="L1267" i="6"/>
  <c r="N1267" i="6"/>
  <c r="M719" i="6"/>
  <c r="N719" i="6" s="1"/>
  <c r="L719" i="6"/>
  <c r="O719" i="6" s="1"/>
  <c r="P719" i="6"/>
  <c r="P309" i="6"/>
  <c r="M309" i="6"/>
  <c r="N309" i="6" s="1"/>
  <c r="L309" i="6"/>
  <c r="O309" i="6" s="1"/>
  <c r="M179" i="6"/>
  <c r="N179" i="6" s="1"/>
  <c r="L179" i="6"/>
  <c r="O179" i="6" s="1"/>
  <c r="P179" i="6"/>
  <c r="M1188" i="6"/>
  <c r="O1188" i="6"/>
  <c r="N1188" i="6"/>
  <c r="L1188" i="6"/>
  <c r="P1188" i="6"/>
  <c r="L807" i="6"/>
  <c r="M807" i="6"/>
  <c r="N807" i="6" s="1"/>
  <c r="P807" i="6"/>
  <c r="M1319" i="6"/>
  <c r="L1319" i="6"/>
  <c r="P1319" i="6"/>
  <c r="O1319" i="6"/>
  <c r="N1319" i="6"/>
  <c r="P142" i="6"/>
  <c r="L142" i="6"/>
  <c r="M142" i="6"/>
  <c r="N142" i="6" s="1"/>
  <c r="L834" i="6"/>
  <c r="M834" i="6"/>
  <c r="N834" i="6" s="1"/>
  <c r="P834" i="6"/>
  <c r="M80" i="6"/>
  <c r="N80" i="6" s="1"/>
  <c r="L80" i="6"/>
  <c r="P80" i="6"/>
  <c r="P612" i="6"/>
  <c r="M612" i="6"/>
  <c r="N612" i="6" s="1"/>
  <c r="L612" i="6"/>
  <c r="O612" i="6" s="1"/>
  <c r="M909" i="6"/>
  <c r="N909" i="6" s="1"/>
  <c r="L909" i="6"/>
  <c r="P909" i="6"/>
  <c r="P1384" i="6"/>
  <c r="O1384" i="6"/>
  <c r="N1384" i="6"/>
  <c r="M1384" i="6"/>
  <c r="L1384" i="6"/>
  <c r="P667" i="6"/>
  <c r="L667" i="6"/>
  <c r="O667" i="6" s="1"/>
  <c r="M667" i="6"/>
  <c r="N667" i="6" s="1"/>
  <c r="P879" i="6"/>
  <c r="M879" i="6"/>
  <c r="N879" i="6" s="1"/>
  <c r="L879" i="6"/>
  <c r="O879" i="6" s="1"/>
  <c r="P801" i="6"/>
  <c r="M801" i="6"/>
  <c r="N801" i="6" s="1"/>
  <c r="L801" i="6"/>
  <c r="M1174" i="6"/>
  <c r="P1174" i="6"/>
  <c r="N1174" i="6"/>
  <c r="L1174" i="6"/>
  <c r="O1174" i="6"/>
  <c r="P989" i="6"/>
  <c r="M989" i="6"/>
  <c r="N989" i="6" s="1"/>
  <c r="L989" i="6"/>
  <c r="P1232" i="6"/>
  <c r="O1232" i="6"/>
  <c r="L1232" i="6"/>
  <c r="N1232" i="6"/>
  <c r="M1232" i="6"/>
  <c r="L990" i="6"/>
  <c r="P990" i="6"/>
  <c r="M990" i="6"/>
  <c r="N990" i="6" s="1"/>
  <c r="M921" i="6"/>
  <c r="N921" i="6" s="1"/>
  <c r="L921" i="6"/>
  <c r="P921" i="6"/>
  <c r="N1465" i="6"/>
  <c r="P1465" i="6"/>
  <c r="O1465" i="6"/>
  <c r="M1465" i="6"/>
  <c r="L1465" i="6"/>
  <c r="O1398" i="6"/>
  <c r="N1398" i="6"/>
  <c r="L1398" i="6"/>
  <c r="P1398" i="6"/>
  <c r="M1398" i="6"/>
  <c r="P1451" i="6"/>
  <c r="O1451" i="6"/>
  <c r="N1451" i="6"/>
  <c r="M1451" i="6"/>
  <c r="L1451" i="6"/>
  <c r="P1439" i="6"/>
  <c r="O1439" i="6"/>
  <c r="N1439" i="6"/>
  <c r="M1439" i="6"/>
  <c r="L1439" i="6"/>
  <c r="P1589" i="6"/>
  <c r="O1589" i="6"/>
  <c r="N1589" i="6"/>
  <c r="M1589" i="6"/>
  <c r="L1589" i="6"/>
  <c r="P1479" i="6"/>
  <c r="N1479" i="6"/>
  <c r="M1479" i="6"/>
  <c r="O1479" i="6"/>
  <c r="L1479" i="6"/>
  <c r="N2166" i="6"/>
  <c r="M2166" i="6"/>
  <c r="L2166" i="6"/>
  <c r="P2166" i="6"/>
  <c r="O2166" i="6"/>
  <c r="P2161" i="6"/>
  <c r="N2161" i="6"/>
  <c r="M2161" i="6"/>
  <c r="L2161" i="6"/>
  <c r="O2161" i="6"/>
  <c r="L2072" i="6"/>
  <c r="P2072" i="6"/>
  <c r="O2072" i="6"/>
  <c r="N2072" i="6"/>
  <c r="M2072" i="6"/>
  <c r="O1392" i="6"/>
  <c r="N1392" i="6"/>
  <c r="L1392" i="6"/>
  <c r="M1392" i="6"/>
  <c r="P1392" i="6"/>
  <c r="L2333" i="6"/>
  <c r="O2333" i="6"/>
  <c r="N2333" i="6"/>
  <c r="M2333" i="6"/>
  <c r="P2333" i="6"/>
  <c r="L1924" i="6"/>
  <c r="P1924" i="6"/>
  <c r="O1924" i="6"/>
  <c r="N1924" i="6"/>
  <c r="M1924" i="6"/>
  <c r="O1846" i="6"/>
  <c r="N1846" i="6"/>
  <c r="M1846" i="6"/>
  <c r="L1846" i="6"/>
  <c r="P1846" i="6"/>
  <c r="P1854" i="6"/>
  <c r="O1854" i="6"/>
  <c r="N1854" i="6"/>
  <c r="M1854" i="6"/>
  <c r="L1854" i="6"/>
  <c r="O1898" i="6"/>
  <c r="M1898" i="6"/>
  <c r="L1898" i="6"/>
  <c r="P1898" i="6"/>
  <c r="N1898" i="6"/>
  <c r="N2206" i="6"/>
  <c r="L2206" i="6"/>
  <c r="P2206" i="6"/>
  <c r="M2206" i="6"/>
  <c r="O2206" i="6"/>
  <c r="P2058" i="6"/>
  <c r="N2058" i="6"/>
  <c r="M2058" i="6"/>
  <c r="L2058" i="6"/>
  <c r="O2058" i="6"/>
  <c r="P2094" i="6"/>
  <c r="O2094" i="6"/>
  <c r="M2094" i="6"/>
  <c r="L2094" i="6"/>
  <c r="N2094" i="6"/>
  <c r="O2102" i="6"/>
  <c r="N2102" i="6"/>
  <c r="M2102" i="6"/>
  <c r="L2102" i="6"/>
  <c r="P2102" i="6"/>
  <c r="P2220" i="6"/>
  <c r="M2220" i="6"/>
  <c r="O2220" i="6"/>
  <c r="L2220" i="6"/>
  <c r="N2220" i="6"/>
  <c r="O2361" i="6"/>
  <c r="L2361" i="6"/>
  <c r="P2361" i="6"/>
  <c r="N2361" i="6"/>
  <c r="M2361" i="6"/>
  <c r="P2302" i="6"/>
  <c r="O2302" i="6"/>
  <c r="N2302" i="6"/>
  <c r="M2302" i="6"/>
  <c r="L2302" i="6"/>
  <c r="P2467" i="6"/>
  <c r="O2467" i="6"/>
  <c r="M2467" i="6"/>
  <c r="L2467" i="6"/>
  <c r="N2467" i="6"/>
  <c r="P669" i="6"/>
  <c r="P1023" i="6"/>
  <c r="P335" i="6"/>
  <c r="L664" i="6"/>
  <c r="O664" i="6" s="1"/>
  <c r="M664" i="6"/>
  <c r="N664" i="6" s="1"/>
  <c r="P664" i="6"/>
  <c r="P592" i="6"/>
  <c r="P1035" i="6"/>
  <c r="P451" i="6"/>
  <c r="P544" i="6"/>
  <c r="P328" i="6"/>
  <c r="P230" i="6"/>
  <c r="P132" i="6"/>
  <c r="P383" i="6"/>
  <c r="P1128" i="6"/>
  <c r="M1128" i="6"/>
  <c r="N1128" i="6" s="1"/>
  <c r="L1128" i="6"/>
  <c r="L709" i="6"/>
  <c r="O709" i="6" s="1"/>
  <c r="P709" i="6"/>
  <c r="M709" i="6"/>
  <c r="N709" i="6" s="1"/>
  <c r="P78" i="6"/>
  <c r="M160" i="6"/>
  <c r="N160" i="6" s="1"/>
  <c r="P160" i="6"/>
  <c r="L160" i="6"/>
  <c r="P215" i="6"/>
  <c r="M215" i="6"/>
  <c r="N215" i="6" s="1"/>
  <c r="L215" i="6"/>
  <c r="O215" i="6" s="1"/>
  <c r="M1063" i="6"/>
  <c r="N1063" i="6" s="1"/>
  <c r="L1063" i="6"/>
  <c r="O1063" i="6" s="1"/>
  <c r="P1063" i="6"/>
  <c r="P700" i="6"/>
  <c r="P288" i="6"/>
  <c r="P343" i="6"/>
  <c r="M1041" i="6"/>
  <c r="N1041" i="6" s="1"/>
  <c r="L1041" i="6"/>
  <c r="O1041" i="6" s="1"/>
  <c r="P1041" i="6"/>
  <c r="M109" i="6"/>
  <c r="N109" i="6" s="1"/>
  <c r="L109" i="6"/>
  <c r="O109" i="6" s="1"/>
  <c r="P109" i="6"/>
  <c r="P960" i="6"/>
  <c r="O1183" i="6"/>
  <c r="N1183" i="6"/>
  <c r="M1183" i="6"/>
  <c r="L1183" i="6"/>
  <c r="P1183" i="6"/>
  <c r="L748" i="6"/>
  <c r="P748" i="6"/>
  <c r="M748" i="6"/>
  <c r="N748" i="6" s="1"/>
  <c r="M439" i="6"/>
  <c r="N439" i="6" s="1"/>
  <c r="P439" i="6"/>
  <c r="L439" i="6"/>
  <c r="P198" i="6"/>
  <c r="L198" i="6"/>
  <c r="M198" i="6"/>
  <c r="N198" i="6" s="1"/>
  <c r="L496" i="6"/>
  <c r="O496" i="6" s="1"/>
  <c r="P496" i="6"/>
  <c r="M496" i="6"/>
  <c r="N496" i="6" s="1"/>
  <c r="M38" i="6"/>
  <c r="N38" i="6" s="1"/>
  <c r="L38" i="6"/>
  <c r="O38" i="6" s="1"/>
  <c r="P38" i="6"/>
  <c r="M234" i="6"/>
  <c r="N234" i="6" s="1"/>
  <c r="L234" i="6"/>
  <c r="P234" i="6"/>
  <c r="L758" i="6"/>
  <c r="O758" i="6" s="1"/>
  <c r="P758" i="6"/>
  <c r="M758" i="6"/>
  <c r="N758" i="6" s="1"/>
  <c r="P567" i="6"/>
  <c r="M567" i="6"/>
  <c r="N567" i="6" s="1"/>
  <c r="L567" i="6"/>
  <c r="O567" i="6" s="1"/>
  <c r="P993" i="6"/>
  <c r="P33" i="6"/>
  <c r="P841" i="6"/>
  <c r="M841" i="6"/>
  <c r="N841" i="6" s="1"/>
  <c r="L841" i="6"/>
  <c r="P471" i="6"/>
  <c r="P465" i="6"/>
  <c r="M465" i="6"/>
  <c r="N465" i="6" s="1"/>
  <c r="L465" i="6"/>
  <c r="O465" i="6" s="1"/>
  <c r="P464" i="6"/>
  <c r="M464" i="6"/>
  <c r="N464" i="6" s="1"/>
  <c r="L464" i="6"/>
  <c r="M150" i="6"/>
  <c r="N150" i="6" s="1"/>
  <c r="L150" i="6"/>
  <c r="O150" i="6" s="1"/>
  <c r="P150" i="6"/>
  <c r="P686" i="6"/>
  <c r="M686" i="6"/>
  <c r="N686" i="6" s="1"/>
  <c r="L686" i="6"/>
  <c r="O686" i="6" s="1"/>
  <c r="P617" i="6"/>
  <c r="M617" i="6"/>
  <c r="N617" i="6" s="1"/>
  <c r="L617" i="6"/>
  <c r="O617" i="6" s="1"/>
  <c r="P668" i="6"/>
  <c r="M668" i="6"/>
  <c r="N668" i="6" s="1"/>
  <c r="L668" i="6"/>
  <c r="O668" i="6" s="1"/>
  <c r="P951" i="6"/>
  <c r="M951" i="6"/>
  <c r="N951" i="6" s="1"/>
  <c r="L951" i="6"/>
  <c r="M1555" i="6"/>
  <c r="P1555" i="6"/>
  <c r="O1555" i="6"/>
  <c r="N1555" i="6"/>
  <c r="L1555" i="6"/>
  <c r="P1381" i="6"/>
  <c r="O1381" i="6"/>
  <c r="M1381" i="6"/>
  <c r="L1381" i="6"/>
  <c r="N1381" i="6"/>
  <c r="P1609" i="6"/>
  <c r="N1609" i="6"/>
  <c r="M1609" i="6"/>
  <c r="L1609" i="6"/>
  <c r="O1609" i="6"/>
  <c r="M1446" i="6"/>
  <c r="O1446" i="6"/>
  <c r="N1446" i="6"/>
  <c r="L1446" i="6"/>
  <c r="P1446" i="6"/>
  <c r="N1649" i="6"/>
  <c r="M1649" i="6"/>
  <c r="L1649" i="6"/>
  <c r="P1649" i="6"/>
  <c r="O1649" i="6"/>
  <c r="L1808" i="6"/>
  <c r="M1808" i="6"/>
  <c r="P1808" i="6"/>
  <c r="N1808" i="6"/>
  <c r="O1808" i="6"/>
  <c r="N2014" i="6"/>
  <c r="L2014" i="6"/>
  <c r="M2014" i="6"/>
  <c r="P2014" i="6"/>
  <c r="O2014" i="6"/>
  <c r="L1696" i="6"/>
  <c r="N1696" i="6"/>
  <c r="M1696" i="6"/>
  <c r="O1696" i="6"/>
  <c r="P1696" i="6"/>
  <c r="O1560" i="6"/>
  <c r="N1560" i="6"/>
  <c r="P1560" i="6"/>
  <c r="M1560" i="6"/>
  <c r="L1560" i="6"/>
  <c r="P1697" i="6"/>
  <c r="O1697" i="6"/>
  <c r="L1697" i="6"/>
  <c r="N1697" i="6"/>
  <c r="M1697" i="6"/>
  <c r="P2133" i="6"/>
  <c r="N2133" i="6"/>
  <c r="M2133" i="6"/>
  <c r="L2133" i="6"/>
  <c r="O2133" i="6"/>
  <c r="N2124" i="6"/>
  <c r="M2124" i="6"/>
  <c r="L2124" i="6"/>
  <c r="O2124" i="6"/>
  <c r="P2124" i="6"/>
  <c r="L2158" i="6"/>
  <c r="N2158" i="6"/>
  <c r="O2158" i="6"/>
  <c r="M2158" i="6"/>
  <c r="P2158" i="6"/>
  <c r="L2265" i="6"/>
  <c r="P2265" i="6"/>
  <c r="O2265" i="6"/>
  <c r="N2265" i="6"/>
  <c r="M2265" i="6"/>
  <c r="M2426" i="6"/>
  <c r="P2426" i="6"/>
  <c r="O2426" i="6"/>
  <c r="N2426" i="6"/>
  <c r="L2426" i="6"/>
  <c r="P598" i="6"/>
  <c r="P974" i="6"/>
  <c r="P980" i="6"/>
  <c r="L1791" i="6"/>
  <c r="P1791" i="6"/>
  <c r="N1791" i="6"/>
  <c r="M1791" i="6"/>
  <c r="O1791" i="6"/>
  <c r="M902" i="6"/>
  <c r="N902" i="6" s="1"/>
  <c r="L902" i="6"/>
  <c r="O902" i="6" s="1"/>
  <c r="P902" i="6"/>
  <c r="M525" i="6"/>
  <c r="N525" i="6" s="1"/>
  <c r="L525" i="6"/>
  <c r="O525" i="6" s="1"/>
  <c r="P525" i="6"/>
  <c r="P113" i="6"/>
  <c r="M113" i="6"/>
  <c r="N113" i="6" s="1"/>
  <c r="L113" i="6"/>
  <c r="M623" i="6"/>
  <c r="N623" i="6" s="1"/>
  <c r="L623" i="6"/>
  <c r="O623" i="6" s="1"/>
  <c r="P623" i="6"/>
  <c r="M661" i="6"/>
  <c r="N661" i="6" s="1"/>
  <c r="L661" i="6"/>
  <c r="O661" i="6" s="1"/>
  <c r="P661" i="6"/>
  <c r="M235" i="6"/>
  <c r="N235" i="6" s="1"/>
  <c r="L235" i="6"/>
  <c r="P235" i="6"/>
  <c r="P925" i="6"/>
  <c r="M925" i="6"/>
  <c r="N925" i="6" s="1"/>
  <c r="L925" i="6"/>
  <c r="L524" i="6"/>
  <c r="O524" i="6" s="1"/>
  <c r="M524" i="6"/>
  <c r="N524" i="6" s="1"/>
  <c r="P524" i="6"/>
  <c r="P338" i="6"/>
  <c r="L338" i="6"/>
  <c r="M338" i="6"/>
  <c r="N338" i="6" s="1"/>
  <c r="M574" i="6"/>
  <c r="N574" i="6" s="1"/>
  <c r="L574" i="6"/>
  <c r="O574" i="6" s="1"/>
  <c r="P574" i="6"/>
  <c r="M178" i="6"/>
  <c r="N178" i="6" s="1"/>
  <c r="L178" i="6"/>
  <c r="P178" i="6"/>
  <c r="P565" i="6"/>
  <c r="M565" i="6"/>
  <c r="N565" i="6" s="1"/>
  <c r="L565" i="6"/>
  <c r="O565" i="6" s="1"/>
  <c r="P648" i="6"/>
  <c r="L648" i="6"/>
  <c r="O648" i="6" s="1"/>
  <c r="M648" i="6"/>
  <c r="N648" i="6" s="1"/>
  <c r="P1079" i="6"/>
  <c r="M1079" i="6"/>
  <c r="N1079" i="6" s="1"/>
  <c r="L1079" i="6"/>
  <c r="O1079" i="6" s="1"/>
  <c r="P505" i="6"/>
  <c r="M505" i="6"/>
  <c r="N505" i="6" s="1"/>
  <c r="L505" i="6"/>
  <c r="O505" i="6" s="1"/>
  <c r="P1115" i="6"/>
  <c r="L1115" i="6"/>
  <c r="O1115" i="6" s="1"/>
  <c r="M1115" i="6"/>
  <c r="N1115" i="6" s="1"/>
  <c r="N1965" i="6"/>
  <c r="L1965" i="6"/>
  <c r="O1965" i="6"/>
  <c r="M1965" i="6"/>
  <c r="P1965" i="6"/>
  <c r="M1048" i="6"/>
  <c r="N1048" i="6" s="1"/>
  <c r="P1048" i="6"/>
  <c r="L1048" i="6"/>
  <c r="O1048" i="6" s="1"/>
  <c r="M1019" i="6"/>
  <c r="N1019" i="6" s="1"/>
  <c r="L1019" i="6"/>
  <c r="O1019" i="6" s="1"/>
  <c r="P1019" i="6"/>
  <c r="P1747" i="6"/>
  <c r="N1747" i="6"/>
  <c r="M1747" i="6"/>
  <c r="O1747" i="6"/>
  <c r="L1747" i="6"/>
  <c r="P2402" i="6"/>
  <c r="O2402" i="6"/>
  <c r="M2402" i="6"/>
  <c r="N2402" i="6"/>
  <c r="L2402" i="6"/>
  <c r="P358" i="6"/>
  <c r="P610" i="6"/>
  <c r="P792" i="6"/>
  <c r="L1695" i="6"/>
  <c r="O1695" i="6"/>
  <c r="N1695" i="6"/>
  <c r="P1695" i="6"/>
  <c r="M1695" i="6"/>
  <c r="P6" i="6"/>
  <c r="M6" i="6"/>
  <c r="N6" i="6" s="1"/>
  <c r="L6" i="6"/>
  <c r="P424" i="6"/>
  <c r="P660" i="6"/>
  <c r="P1001" i="6"/>
  <c r="P376" i="6"/>
  <c r="P82" i="6"/>
  <c r="O1500" i="6"/>
  <c r="N1500" i="6"/>
  <c r="P1500" i="6"/>
  <c r="M1500" i="6"/>
  <c r="L1500" i="6"/>
  <c r="P557" i="6"/>
  <c r="M557" i="6"/>
  <c r="N557" i="6" s="1"/>
  <c r="L557" i="6"/>
  <c r="O557" i="6" s="1"/>
  <c r="P476" i="6"/>
  <c r="P938" i="6"/>
  <c r="P260" i="6"/>
  <c r="L1694" i="6"/>
  <c r="N1694" i="6"/>
  <c r="O1694" i="6"/>
  <c r="M1694" i="6"/>
  <c r="P1694" i="6"/>
  <c r="L657" i="6"/>
  <c r="O657" i="6" s="1"/>
  <c r="M657" i="6"/>
  <c r="N657" i="6" s="1"/>
  <c r="P657" i="6"/>
  <c r="P540" i="6"/>
  <c r="P252" i="6"/>
  <c r="N1355" i="6"/>
  <c r="L1355" i="6"/>
  <c r="P1355" i="6"/>
  <c r="O1355" i="6"/>
  <c r="M1355" i="6"/>
  <c r="P1205" i="6"/>
  <c r="O1205" i="6"/>
  <c r="N1205" i="6"/>
  <c r="M1205" i="6"/>
  <c r="L1205" i="6"/>
  <c r="P494" i="6"/>
  <c r="M494" i="6"/>
  <c r="N494" i="6" s="1"/>
  <c r="L494" i="6"/>
  <c r="O494" i="6" s="1"/>
  <c r="P7" i="6"/>
  <c r="M7" i="6"/>
  <c r="N7" i="6" s="1"/>
  <c r="L7" i="6"/>
  <c r="P692" i="6"/>
  <c r="P204" i="6"/>
  <c r="L204" i="6"/>
  <c r="M204" i="6"/>
  <c r="N204" i="6" s="1"/>
  <c r="P48" i="6"/>
  <c r="M48" i="6"/>
  <c r="N48" i="6" s="1"/>
  <c r="L48" i="6"/>
  <c r="P365" i="6"/>
  <c r="P1058" i="6"/>
  <c r="M1058" i="6"/>
  <c r="N1058" i="6" s="1"/>
  <c r="L1058" i="6"/>
  <c r="O1058" i="6" s="1"/>
  <c r="L790" i="6"/>
  <c r="M790" i="6"/>
  <c r="N790" i="6" s="1"/>
  <c r="P790" i="6"/>
  <c r="P284" i="6"/>
  <c r="P92" i="6"/>
  <c r="P209" i="6"/>
  <c r="P203" i="6"/>
  <c r="M203" i="6"/>
  <c r="N203" i="6" s="1"/>
  <c r="L203" i="6"/>
  <c r="O203" i="6" s="1"/>
  <c r="P943" i="6"/>
  <c r="P641" i="6"/>
  <c r="L641" i="6"/>
  <c r="O641" i="6" s="1"/>
  <c r="M641" i="6"/>
  <c r="N641" i="6" s="1"/>
  <c r="P917" i="6"/>
  <c r="M917" i="6"/>
  <c r="N917" i="6" s="1"/>
  <c r="L917" i="6"/>
  <c r="M305" i="6"/>
  <c r="N305" i="6" s="1"/>
  <c r="L305" i="6"/>
  <c r="O305" i="6" s="1"/>
  <c r="P305" i="6"/>
  <c r="M513" i="6"/>
  <c r="N513" i="6" s="1"/>
  <c r="L513" i="6"/>
  <c r="O513" i="6" s="1"/>
  <c r="P513" i="6"/>
  <c r="P676" i="6"/>
  <c r="L676" i="6"/>
  <c r="O676" i="6" s="1"/>
  <c r="M676" i="6"/>
  <c r="N676" i="6" s="1"/>
  <c r="P695" i="6"/>
  <c r="M695" i="6"/>
  <c r="N695" i="6" s="1"/>
  <c r="L695" i="6"/>
  <c r="O695" i="6" s="1"/>
  <c r="P296" i="6"/>
  <c r="L296" i="6"/>
  <c r="O296" i="6" s="1"/>
  <c r="M296" i="6"/>
  <c r="N296" i="6" s="1"/>
  <c r="M737" i="6"/>
  <c r="N737" i="6" s="1"/>
  <c r="L737" i="6"/>
  <c r="O737" i="6" s="1"/>
  <c r="P737" i="6"/>
  <c r="M136" i="6"/>
  <c r="N136" i="6" s="1"/>
  <c r="L136" i="6"/>
  <c r="O136" i="6" s="1"/>
  <c r="P136" i="6"/>
  <c r="P495" i="6"/>
  <c r="L495" i="6"/>
  <c r="O495" i="6" s="1"/>
  <c r="M495" i="6"/>
  <c r="N495" i="6" s="1"/>
  <c r="P806" i="6"/>
  <c r="M806" i="6"/>
  <c r="N806" i="6" s="1"/>
  <c r="L806" i="6"/>
  <c r="O806" i="6" s="1"/>
  <c r="P903" i="6"/>
  <c r="P229" i="6"/>
  <c r="M936" i="6"/>
  <c r="N936" i="6" s="1"/>
  <c r="P936" i="6"/>
  <c r="L936" i="6"/>
  <c r="P231" i="6"/>
  <c r="M231" i="6"/>
  <c r="N231" i="6" s="1"/>
  <c r="L231" i="6"/>
  <c r="M1013" i="6"/>
  <c r="N1013" i="6" s="1"/>
  <c r="L1013" i="6"/>
  <c r="O1013" i="6" s="1"/>
  <c r="P1013" i="6"/>
  <c r="P1100" i="6"/>
  <c r="M1100" i="6"/>
  <c r="N1100" i="6" s="1"/>
  <c r="L1100" i="6"/>
  <c r="O1100" i="6" s="1"/>
  <c r="P765" i="6"/>
  <c r="M765" i="6"/>
  <c r="N765" i="6" s="1"/>
  <c r="L765" i="6"/>
  <c r="P16" i="6"/>
  <c r="L16" i="6"/>
  <c r="O16" i="6" s="1"/>
  <c r="M16" i="6"/>
  <c r="N16" i="6" s="1"/>
  <c r="O1320" i="6"/>
  <c r="M1320" i="6"/>
  <c r="L1320" i="6"/>
  <c r="P1320" i="6"/>
  <c r="N1320" i="6"/>
  <c r="N1247" i="6"/>
  <c r="L1247" i="6"/>
  <c r="O1247" i="6"/>
  <c r="M1247" i="6"/>
  <c r="P1247" i="6"/>
  <c r="M873" i="6"/>
  <c r="N873" i="6" s="1"/>
  <c r="L873" i="6"/>
  <c r="P873" i="6"/>
  <c r="M1329" i="6"/>
  <c r="L1329" i="6"/>
  <c r="P1329" i="6"/>
  <c r="O1329" i="6"/>
  <c r="N1329" i="6"/>
  <c r="L1368" i="6"/>
  <c r="M1368" i="6"/>
  <c r="P1368" i="6"/>
  <c r="N1368" i="6"/>
  <c r="O1368" i="6"/>
  <c r="M1057" i="6"/>
  <c r="N1057" i="6" s="1"/>
  <c r="L1057" i="6"/>
  <c r="O1057" i="6" s="1"/>
  <c r="P1057" i="6"/>
  <c r="M1125" i="6"/>
  <c r="N1125" i="6" s="1"/>
  <c r="L1125" i="6"/>
  <c r="O1125" i="6" s="1"/>
  <c r="P1125" i="6"/>
  <c r="M1228" i="6"/>
  <c r="P1228" i="6"/>
  <c r="O1228" i="6"/>
  <c r="N1228" i="6"/>
  <c r="L1228" i="6"/>
  <c r="M991" i="6"/>
  <c r="N991" i="6" s="1"/>
  <c r="L991" i="6"/>
  <c r="P991" i="6"/>
  <c r="O1579" i="6"/>
  <c r="N1579" i="6"/>
  <c r="P1579" i="6"/>
  <c r="M1579" i="6"/>
  <c r="L1579" i="6"/>
  <c r="O1234" i="6"/>
  <c r="L1234" i="6"/>
  <c r="P1234" i="6"/>
  <c r="N1234" i="6"/>
  <c r="M1234" i="6"/>
  <c r="P2173" i="6"/>
  <c r="O2173" i="6"/>
  <c r="N2173" i="6"/>
  <c r="M2173" i="6"/>
  <c r="L2173" i="6"/>
  <c r="P1502" i="6"/>
  <c r="O1502" i="6"/>
  <c r="M1502" i="6"/>
  <c r="N1502" i="6"/>
  <c r="L1502" i="6"/>
  <c r="P1666" i="6"/>
  <c r="O1666" i="6"/>
  <c r="N1666" i="6"/>
  <c r="M1666" i="6"/>
  <c r="L1666" i="6"/>
  <c r="N1960" i="6"/>
  <c r="M1960" i="6"/>
  <c r="L1960" i="6"/>
  <c r="O1960" i="6"/>
  <c r="P1960" i="6"/>
  <c r="P1943" i="6"/>
  <c r="N1943" i="6"/>
  <c r="M1943" i="6"/>
  <c r="L1943" i="6"/>
  <c r="O1943" i="6"/>
  <c r="P1795" i="6"/>
  <c r="O1795" i="6"/>
  <c r="N1795" i="6"/>
  <c r="L1795" i="6"/>
  <c r="M1795" i="6"/>
  <c r="P1869" i="6"/>
  <c r="O1869" i="6"/>
  <c r="N1869" i="6"/>
  <c r="M1869" i="6"/>
  <c r="L1869" i="6"/>
  <c r="P1914" i="6"/>
  <c r="O1914" i="6"/>
  <c r="N1914" i="6"/>
  <c r="M1914" i="6"/>
  <c r="L1914" i="6"/>
  <c r="P1968" i="6"/>
  <c r="O1968" i="6"/>
  <c r="N1968" i="6"/>
  <c r="M1968" i="6"/>
  <c r="L1968" i="6"/>
  <c r="M2404" i="6"/>
  <c r="L2404" i="6"/>
  <c r="O2404" i="6"/>
  <c r="P2404" i="6"/>
  <c r="N2404" i="6"/>
  <c r="P2242" i="6"/>
  <c r="O2242" i="6"/>
  <c r="N2242" i="6"/>
  <c r="M2242" i="6"/>
  <c r="L2242" i="6"/>
  <c r="P2274" i="6"/>
  <c r="O2274" i="6"/>
  <c r="M2274" i="6"/>
  <c r="L2274" i="6"/>
  <c r="N2274" i="6"/>
  <c r="O2403" i="6"/>
  <c r="N2403" i="6"/>
  <c r="M2403" i="6"/>
  <c r="P2403" i="6"/>
  <c r="L2403" i="6"/>
  <c r="P403" i="6"/>
  <c r="P785" i="6"/>
  <c r="P244" i="6"/>
  <c r="P201" i="6"/>
  <c r="M409" i="6"/>
  <c r="N409" i="6" s="1"/>
  <c r="P409" i="6"/>
  <c r="L409" i="6"/>
  <c r="M277" i="6"/>
  <c r="N277" i="6" s="1"/>
  <c r="L277" i="6"/>
  <c r="P277" i="6"/>
  <c r="P19" i="6"/>
  <c r="M19" i="6"/>
  <c r="N19" i="6" s="1"/>
  <c r="L19" i="6"/>
  <c r="P459" i="6"/>
  <c r="L477" i="6"/>
  <c r="O477" i="6" s="1"/>
  <c r="P477" i="6"/>
  <c r="M477" i="6"/>
  <c r="N477" i="6" s="1"/>
  <c r="M971" i="6"/>
  <c r="N971" i="6" s="1"/>
  <c r="P971" i="6"/>
  <c r="L971" i="6"/>
  <c r="O971" i="6" s="1"/>
  <c r="P240" i="6"/>
  <c r="L240" i="6"/>
  <c r="M240" i="6"/>
  <c r="N240" i="6" s="1"/>
  <c r="M1576" i="6"/>
  <c r="N1576" i="6"/>
  <c r="P1576" i="6"/>
  <c r="O1576" i="6"/>
  <c r="L1576" i="6"/>
  <c r="P1349" i="6"/>
  <c r="N1349" i="6"/>
  <c r="M1349" i="6"/>
  <c r="L1349" i="6"/>
  <c r="O1349" i="6"/>
  <c r="M374" i="6"/>
  <c r="N374" i="6" s="1"/>
  <c r="L374" i="6"/>
  <c r="P374" i="6"/>
  <c r="P730" i="6"/>
  <c r="M730" i="6"/>
  <c r="N730" i="6" s="1"/>
  <c r="L730" i="6"/>
  <c r="O730" i="6" s="1"/>
  <c r="L783" i="6"/>
  <c r="O783" i="6" s="1"/>
  <c r="P783" i="6"/>
  <c r="M783" i="6"/>
  <c r="N783" i="6" s="1"/>
  <c r="P2022" i="6"/>
  <c r="O2022" i="6"/>
  <c r="N2022" i="6"/>
  <c r="L2022" i="6"/>
  <c r="M2022" i="6"/>
  <c r="N1402" i="6"/>
  <c r="L1402" i="6"/>
  <c r="O1402" i="6"/>
  <c r="M1402" i="6"/>
  <c r="P1402" i="6"/>
  <c r="P703" i="6"/>
  <c r="M703" i="6"/>
  <c r="N703" i="6" s="1"/>
  <c r="L703" i="6"/>
  <c r="O703" i="6" s="1"/>
  <c r="M1000" i="6"/>
  <c r="N1000" i="6" s="1"/>
  <c r="L1000" i="6"/>
  <c r="O1000" i="6" s="1"/>
  <c r="P1000" i="6"/>
  <c r="P883" i="6"/>
  <c r="M883" i="6"/>
  <c r="N883" i="6" s="1"/>
  <c r="L883" i="6"/>
  <c r="O883" i="6" s="1"/>
  <c r="M1221" i="6"/>
  <c r="O1221" i="6"/>
  <c r="P1221" i="6"/>
  <c r="N1221" i="6"/>
  <c r="L1221" i="6"/>
  <c r="L1088" i="6"/>
  <c r="O1088" i="6" s="1"/>
  <c r="M1088" i="6"/>
  <c r="N1088" i="6" s="1"/>
  <c r="P1088" i="6"/>
  <c r="M1117" i="6"/>
  <c r="N1117" i="6" s="1"/>
  <c r="L1117" i="6"/>
  <c r="P1117" i="6"/>
  <c r="N1466" i="6"/>
  <c r="P1466" i="6"/>
  <c r="M1466" i="6"/>
  <c r="L1466" i="6"/>
  <c r="O1466" i="6"/>
  <c r="L1784" i="6"/>
  <c r="N1784" i="6"/>
  <c r="P1784" i="6"/>
  <c r="M1784" i="6"/>
  <c r="O1784" i="6"/>
  <c r="O1296" i="6"/>
  <c r="N1296" i="6"/>
  <c r="M1296" i="6"/>
  <c r="P1296" i="6"/>
  <c r="L1296" i="6"/>
  <c r="O1262" i="6"/>
  <c r="L1262" i="6"/>
  <c r="P1262" i="6"/>
  <c r="N1262" i="6"/>
  <c r="M1262" i="6"/>
  <c r="N1642" i="6"/>
  <c r="M1642" i="6"/>
  <c r="O1642" i="6"/>
  <c r="P1642" i="6"/>
  <c r="L1642" i="6"/>
  <c r="P2170" i="6"/>
  <c r="N2170" i="6"/>
  <c r="M2170" i="6"/>
  <c r="L2170" i="6"/>
  <c r="O2170" i="6"/>
  <c r="N1783" i="6"/>
  <c r="L1783" i="6"/>
  <c r="O1783" i="6"/>
  <c r="M1783" i="6"/>
  <c r="P1783" i="6"/>
  <c r="L1645" i="6"/>
  <c r="P1645" i="6"/>
  <c r="O1645" i="6"/>
  <c r="N1645" i="6"/>
  <c r="M1645" i="6"/>
  <c r="P1803" i="6"/>
  <c r="N1803" i="6"/>
  <c r="M1803" i="6"/>
  <c r="O1803" i="6"/>
  <c r="L1803" i="6"/>
  <c r="M1520" i="6"/>
  <c r="P1520" i="6"/>
  <c r="O1520" i="6"/>
  <c r="N1520" i="6"/>
  <c r="L1520" i="6"/>
  <c r="P1675" i="6"/>
  <c r="L1675" i="6"/>
  <c r="O1675" i="6"/>
  <c r="N1675" i="6"/>
  <c r="M1675" i="6"/>
  <c r="O1490" i="6"/>
  <c r="N1490" i="6"/>
  <c r="M1490" i="6"/>
  <c r="L1490" i="6"/>
  <c r="P1490" i="6"/>
  <c r="O1428" i="6"/>
  <c r="M1428" i="6"/>
  <c r="P1428" i="6"/>
  <c r="N1428" i="6"/>
  <c r="L1428" i="6"/>
  <c r="P1627" i="6"/>
  <c r="O1627" i="6"/>
  <c r="M1627" i="6"/>
  <c r="L1627" i="6"/>
  <c r="N1627" i="6"/>
  <c r="P1826" i="6"/>
  <c r="O1826" i="6"/>
  <c r="N1826" i="6"/>
  <c r="L1826" i="6"/>
  <c r="M1826" i="6"/>
  <c r="P1948" i="6"/>
  <c r="O1948" i="6"/>
  <c r="M1948" i="6"/>
  <c r="L1948" i="6"/>
  <c r="N1948" i="6"/>
  <c r="P1936" i="6"/>
  <c r="N1936" i="6"/>
  <c r="M1936" i="6"/>
  <c r="L1936" i="6"/>
  <c r="O1936" i="6"/>
  <c r="L2305" i="6"/>
  <c r="P2305" i="6"/>
  <c r="O2305" i="6"/>
  <c r="N2305" i="6"/>
  <c r="M2305" i="6"/>
  <c r="P1942" i="6"/>
  <c r="O1942" i="6"/>
  <c r="N1942" i="6"/>
  <c r="M1942" i="6"/>
  <c r="L1942" i="6"/>
  <c r="P2037" i="6"/>
  <c r="O2037" i="6"/>
  <c r="N2037" i="6"/>
  <c r="M2037" i="6"/>
  <c r="L2037" i="6"/>
  <c r="L2203" i="6"/>
  <c r="O2203" i="6"/>
  <c r="N2203" i="6"/>
  <c r="M2203" i="6"/>
  <c r="P2203" i="6"/>
  <c r="N2360" i="6"/>
  <c r="M2360" i="6"/>
  <c r="L2360" i="6"/>
  <c r="P2360" i="6"/>
  <c r="O2360" i="6"/>
  <c r="P2324" i="6"/>
  <c r="N2324" i="6"/>
  <c r="M2324" i="6"/>
  <c r="O2324" i="6"/>
  <c r="L2324" i="6"/>
  <c r="P2253" i="6"/>
  <c r="O2253" i="6"/>
  <c r="N2253" i="6"/>
  <c r="M2253" i="6"/>
  <c r="L2253" i="6"/>
  <c r="P2296" i="6"/>
  <c r="N2296" i="6"/>
  <c r="M2296" i="6"/>
  <c r="L2296" i="6"/>
  <c r="O2296" i="6"/>
  <c r="M2389" i="6"/>
  <c r="P2389" i="6"/>
  <c r="O2389" i="6"/>
  <c r="L2389" i="6"/>
  <c r="N2389" i="6"/>
  <c r="M2411" i="6"/>
  <c r="L2411" i="6"/>
  <c r="P2411" i="6"/>
  <c r="N2411" i="6"/>
  <c r="O2411" i="6"/>
  <c r="O2387" i="6"/>
  <c r="N2387" i="6"/>
  <c r="P2387" i="6"/>
  <c r="M2387" i="6"/>
  <c r="L2387" i="6"/>
  <c r="O2445" i="6"/>
  <c r="M2445" i="6"/>
  <c r="L2445" i="6"/>
  <c r="P2445" i="6"/>
  <c r="N2445" i="6"/>
  <c r="P2490" i="6"/>
  <c r="O2490" i="6"/>
  <c r="L2490" i="6"/>
  <c r="N2490" i="6"/>
  <c r="M2490" i="6"/>
  <c r="P1111" i="6"/>
  <c r="P694" i="6"/>
  <c r="P845" i="6"/>
  <c r="P405" i="6"/>
  <c r="P194" i="6"/>
  <c r="P608" i="6"/>
  <c r="P878" i="6"/>
  <c r="P1106" i="6"/>
  <c r="O350" i="6"/>
  <c r="P1107" i="6"/>
  <c r="O449" i="6"/>
  <c r="P369" i="6"/>
  <c r="P271" i="6"/>
  <c r="P173" i="6"/>
  <c r="M987" i="6"/>
  <c r="N987" i="6" s="1"/>
  <c r="L987" i="6"/>
  <c r="P987" i="6"/>
  <c r="P29" i="6"/>
  <c r="P461" i="6"/>
  <c r="P655" i="6"/>
  <c r="M655" i="6"/>
  <c r="N655" i="6" s="1"/>
  <c r="L655" i="6"/>
  <c r="O655" i="6" s="1"/>
  <c r="L607" i="6"/>
  <c r="O607" i="6" s="1"/>
  <c r="M607" i="6"/>
  <c r="N607" i="6" s="1"/>
  <c r="P607" i="6"/>
  <c r="P152" i="6"/>
  <c r="M152" i="6"/>
  <c r="N152" i="6" s="1"/>
  <c r="L152" i="6"/>
  <c r="M775" i="6"/>
  <c r="N775" i="6" s="1"/>
  <c r="L775" i="6"/>
  <c r="O775" i="6" s="1"/>
  <c r="P775" i="6"/>
  <c r="L671" i="6"/>
  <c r="O671" i="6" s="1"/>
  <c r="M671" i="6"/>
  <c r="N671" i="6" s="1"/>
  <c r="P671" i="6"/>
  <c r="L458" i="6"/>
  <c r="O458" i="6" s="1"/>
  <c r="P458" i="6"/>
  <c r="M458" i="6"/>
  <c r="N458" i="6" s="1"/>
  <c r="P386" i="6"/>
  <c r="M386" i="6"/>
  <c r="N386" i="6" s="1"/>
  <c r="L386" i="6"/>
  <c r="P348" i="6"/>
  <c r="M348" i="6"/>
  <c r="N348" i="6" s="1"/>
  <c r="L348" i="6"/>
  <c r="P321" i="6"/>
  <c r="M321" i="6"/>
  <c r="N321" i="6" s="1"/>
  <c r="L321" i="6"/>
  <c r="P916" i="6"/>
  <c r="N1250" i="6"/>
  <c r="L1250" i="6"/>
  <c r="M1250" i="6"/>
  <c r="O1250" i="6"/>
  <c r="P1250" i="6"/>
  <c r="L643" i="6"/>
  <c r="O643" i="6" s="1"/>
  <c r="M643" i="6"/>
  <c r="N643" i="6" s="1"/>
  <c r="P643" i="6"/>
  <c r="P216" i="6"/>
  <c r="M216" i="6"/>
  <c r="N216" i="6" s="1"/>
  <c r="L216" i="6"/>
  <c r="O216" i="6" s="1"/>
  <c r="P134" i="6"/>
  <c r="M134" i="6"/>
  <c r="N134" i="6" s="1"/>
  <c r="L134" i="6"/>
  <c r="O134" i="6" s="1"/>
  <c r="P69" i="6"/>
  <c r="L69" i="6"/>
  <c r="O69" i="6" s="1"/>
  <c r="M69" i="6"/>
  <c r="N69" i="6" s="1"/>
  <c r="P975" i="6"/>
  <c r="P174" i="6"/>
  <c r="P124" i="6"/>
  <c r="M761" i="6"/>
  <c r="N761" i="6" s="1"/>
  <c r="L761" i="6"/>
  <c r="O761" i="6" s="1"/>
  <c r="P761" i="6"/>
  <c r="P1199" i="6"/>
  <c r="N1199" i="6"/>
  <c r="M1199" i="6"/>
  <c r="L1199" i="6"/>
  <c r="O1199" i="6"/>
  <c r="L650" i="6"/>
  <c r="O650" i="6" s="1"/>
  <c r="P650" i="6"/>
  <c r="M650" i="6"/>
  <c r="N650" i="6" s="1"/>
  <c r="M1069" i="6"/>
  <c r="N1069" i="6" s="1"/>
  <c r="P1069" i="6"/>
  <c r="L1069" i="6"/>
  <c r="O1069" i="6" s="1"/>
  <c r="O1409" i="6"/>
  <c r="N1409" i="6"/>
  <c r="L1409" i="6"/>
  <c r="P1409" i="6"/>
  <c r="M1409" i="6"/>
  <c r="P635" i="6"/>
  <c r="M635" i="6"/>
  <c r="N635" i="6" s="1"/>
  <c r="L635" i="6"/>
  <c r="O635" i="6" s="1"/>
  <c r="M782" i="6"/>
  <c r="N782" i="6" s="1"/>
  <c r="L782" i="6"/>
  <c r="P782" i="6"/>
  <c r="P1129" i="6"/>
  <c r="M1129" i="6"/>
  <c r="N1129" i="6" s="1"/>
  <c r="L1129" i="6"/>
  <c r="P472" i="6"/>
  <c r="M472" i="6"/>
  <c r="N472" i="6" s="1"/>
  <c r="L472" i="6"/>
  <c r="L858" i="6"/>
  <c r="P858" i="6"/>
  <c r="M858" i="6"/>
  <c r="N858" i="6" s="1"/>
  <c r="M1105" i="6"/>
  <c r="N1105" i="6" s="1"/>
  <c r="L1105" i="6"/>
  <c r="O1105" i="6" s="1"/>
  <c r="P1105" i="6"/>
  <c r="P689" i="6"/>
  <c r="M689" i="6"/>
  <c r="N689" i="6" s="1"/>
  <c r="L689" i="6"/>
  <c r="O689" i="6" s="1"/>
  <c r="P787" i="6"/>
  <c r="M787" i="6"/>
  <c r="N787" i="6" s="1"/>
  <c r="L787" i="6"/>
  <c r="P1017" i="6"/>
  <c r="M1017" i="6"/>
  <c r="N1017" i="6" s="1"/>
  <c r="L1017" i="6"/>
  <c r="O1017" i="6" s="1"/>
  <c r="M1562" i="6"/>
  <c r="P1562" i="6"/>
  <c r="O1562" i="6"/>
  <c r="N1562" i="6"/>
  <c r="L1562" i="6"/>
  <c r="M978" i="6"/>
  <c r="N978" i="6" s="1"/>
  <c r="P978" i="6"/>
  <c r="L978" i="6"/>
  <c r="O1147" i="6"/>
  <c r="N1147" i="6"/>
  <c r="M1147" i="6"/>
  <c r="L1147" i="6"/>
  <c r="P1147" i="6"/>
  <c r="P1840" i="6"/>
  <c r="L1840" i="6"/>
  <c r="O1840" i="6"/>
  <c r="N1840" i="6"/>
  <c r="M1840" i="6"/>
  <c r="P767" i="6"/>
  <c r="M767" i="6"/>
  <c r="N767" i="6" s="1"/>
  <c r="L767" i="6"/>
  <c r="L899" i="6"/>
  <c r="P899" i="6"/>
  <c r="M899" i="6"/>
  <c r="N899" i="6" s="1"/>
  <c r="P851" i="6"/>
  <c r="M851" i="6"/>
  <c r="N851" i="6" s="1"/>
  <c r="L851" i="6"/>
  <c r="O851" i="6" s="1"/>
  <c r="P1021" i="6"/>
  <c r="M1021" i="6"/>
  <c r="N1021" i="6" s="1"/>
  <c r="L1021" i="6"/>
  <c r="O1021" i="6" s="1"/>
  <c r="M1195" i="6"/>
  <c r="P1195" i="6"/>
  <c r="O1195" i="6"/>
  <c r="N1195" i="6"/>
  <c r="L1195" i="6"/>
  <c r="L1230" i="6"/>
  <c r="P1230" i="6"/>
  <c r="N1230" i="6"/>
  <c r="M1230" i="6"/>
  <c r="O1230" i="6"/>
  <c r="P1473" i="6"/>
  <c r="L1473" i="6"/>
  <c r="O1473" i="6"/>
  <c r="M1473" i="6"/>
  <c r="N1473" i="6"/>
  <c r="L1412" i="6"/>
  <c r="N1412" i="6"/>
  <c r="O1412" i="6"/>
  <c r="M1412" i="6"/>
  <c r="P1412" i="6"/>
  <c r="L976" i="6"/>
  <c r="O976" i="6" s="1"/>
  <c r="P976" i="6"/>
  <c r="M976" i="6"/>
  <c r="N976" i="6" s="1"/>
  <c r="L1074" i="6"/>
  <c r="O1074" i="6" s="1"/>
  <c r="P1074" i="6"/>
  <c r="M1074" i="6"/>
  <c r="N1074" i="6" s="1"/>
  <c r="O1172" i="6"/>
  <c r="N1172" i="6"/>
  <c r="L1172" i="6"/>
  <c r="P1172" i="6"/>
  <c r="M1172" i="6"/>
  <c r="P1659" i="6"/>
  <c r="N1659" i="6"/>
  <c r="M1659" i="6"/>
  <c r="O1659" i="6"/>
  <c r="L1659" i="6"/>
  <c r="M1005" i="6"/>
  <c r="N1005" i="6" s="1"/>
  <c r="L1005" i="6"/>
  <c r="O1005" i="6" s="1"/>
  <c r="P1005" i="6"/>
  <c r="M1103" i="6"/>
  <c r="N1103" i="6" s="1"/>
  <c r="L1103" i="6"/>
  <c r="O1103" i="6" s="1"/>
  <c r="P1103" i="6"/>
  <c r="O1201" i="6"/>
  <c r="M1201" i="6"/>
  <c r="L1201" i="6"/>
  <c r="P1201" i="6"/>
  <c r="N1201" i="6"/>
  <c r="P1410" i="6"/>
  <c r="N1410" i="6"/>
  <c r="M1410" i="6"/>
  <c r="O1410" i="6"/>
  <c r="L1410" i="6"/>
  <c r="P1919" i="6"/>
  <c r="O1919" i="6"/>
  <c r="N1919" i="6"/>
  <c r="M1919" i="6"/>
  <c r="L1919" i="6"/>
  <c r="N1679" i="6"/>
  <c r="M1679" i="6"/>
  <c r="L1679" i="6"/>
  <c r="O1679" i="6"/>
  <c r="P1679" i="6"/>
  <c r="N1702" i="6"/>
  <c r="L1702" i="6"/>
  <c r="P1702" i="6"/>
  <c r="O1702" i="6"/>
  <c r="M1702" i="6"/>
  <c r="P1353" i="6"/>
  <c r="O1353" i="6"/>
  <c r="M1353" i="6"/>
  <c r="N1353" i="6"/>
  <c r="L1353" i="6"/>
  <c r="P1861" i="6"/>
  <c r="N1861" i="6"/>
  <c r="M1861" i="6"/>
  <c r="L1861" i="6"/>
  <c r="O1861" i="6"/>
  <c r="P1768" i="6"/>
  <c r="N1768" i="6"/>
  <c r="M1768" i="6"/>
  <c r="O1768" i="6"/>
  <c r="L1768" i="6"/>
  <c r="P1396" i="6"/>
  <c r="N1396" i="6"/>
  <c r="O1396" i="6"/>
  <c r="M1396" i="6"/>
  <c r="L1396" i="6"/>
  <c r="P2027" i="6"/>
  <c r="O2027" i="6"/>
  <c r="M2027" i="6"/>
  <c r="L2027" i="6"/>
  <c r="N2027" i="6"/>
  <c r="O1248" i="6"/>
  <c r="L1248" i="6"/>
  <c r="M1248" i="6"/>
  <c r="P1248" i="6"/>
  <c r="N1248" i="6"/>
  <c r="M1394" i="6"/>
  <c r="P1394" i="6"/>
  <c r="O1394" i="6"/>
  <c r="N1394" i="6"/>
  <c r="L1394" i="6"/>
  <c r="M2005" i="6"/>
  <c r="L2005" i="6"/>
  <c r="P2005" i="6"/>
  <c r="N2005" i="6"/>
  <c r="O2005" i="6"/>
  <c r="P1495" i="6"/>
  <c r="O1495" i="6"/>
  <c r="M1495" i="6"/>
  <c r="N1495" i="6"/>
  <c r="L1495" i="6"/>
  <c r="M1527" i="6"/>
  <c r="N1527" i="6"/>
  <c r="P1527" i="6"/>
  <c r="L1527" i="6"/>
  <c r="O1527" i="6"/>
  <c r="O1866" i="6"/>
  <c r="N1866" i="6"/>
  <c r="P1866" i="6"/>
  <c r="M1866" i="6"/>
  <c r="L1866" i="6"/>
  <c r="M1499" i="6"/>
  <c r="P1499" i="6"/>
  <c r="N1499" i="6"/>
  <c r="L1499" i="6"/>
  <c r="O1499" i="6"/>
  <c r="O1736" i="6"/>
  <c r="M1736" i="6"/>
  <c r="L1736" i="6"/>
  <c r="P1736" i="6"/>
  <c r="N1736" i="6"/>
  <c r="P2182" i="6"/>
  <c r="L2182" i="6"/>
  <c r="N2182" i="6"/>
  <c r="O2182" i="6"/>
  <c r="M2182" i="6"/>
  <c r="O1738" i="6"/>
  <c r="N1738" i="6"/>
  <c r="P1738" i="6"/>
  <c r="M1738" i="6"/>
  <c r="L1738" i="6"/>
  <c r="L1640" i="6"/>
  <c r="P1640" i="6"/>
  <c r="O1640" i="6"/>
  <c r="M1640" i="6"/>
  <c r="N1640" i="6"/>
  <c r="L1536" i="6"/>
  <c r="O1536" i="6"/>
  <c r="M1536" i="6"/>
  <c r="P1536" i="6"/>
  <c r="N1536" i="6"/>
  <c r="P2106" i="6"/>
  <c r="O2106" i="6"/>
  <c r="N2106" i="6"/>
  <c r="M2106" i="6"/>
  <c r="L2106" i="6"/>
  <c r="N1572" i="6"/>
  <c r="M1572" i="6"/>
  <c r="L1572" i="6"/>
  <c r="P1572" i="6"/>
  <c r="O1572" i="6"/>
  <c r="P1796" i="6"/>
  <c r="N1796" i="6"/>
  <c r="M1796" i="6"/>
  <c r="O1796" i="6"/>
  <c r="L1796" i="6"/>
  <c r="O2083" i="6"/>
  <c r="M2083" i="6"/>
  <c r="L2083" i="6"/>
  <c r="P2083" i="6"/>
  <c r="N2083" i="6"/>
  <c r="L1692" i="6"/>
  <c r="P1692" i="6"/>
  <c r="O1692" i="6"/>
  <c r="N1692" i="6"/>
  <c r="M1692" i="6"/>
  <c r="N1468" i="6"/>
  <c r="O1468" i="6"/>
  <c r="L1468" i="6"/>
  <c r="M1468" i="6"/>
  <c r="P1468" i="6"/>
  <c r="L1713" i="6"/>
  <c r="P1713" i="6"/>
  <c r="O1713" i="6"/>
  <c r="M1713" i="6"/>
  <c r="N1713" i="6"/>
  <c r="M1994" i="6"/>
  <c r="P1994" i="6"/>
  <c r="O1994" i="6"/>
  <c r="N1994" i="6"/>
  <c r="L1994" i="6"/>
  <c r="O1673" i="6"/>
  <c r="M1673" i="6"/>
  <c r="L1673" i="6"/>
  <c r="P1673" i="6"/>
  <c r="N1673" i="6"/>
  <c r="P1799" i="6"/>
  <c r="O1799" i="6"/>
  <c r="N1799" i="6"/>
  <c r="M1799" i="6"/>
  <c r="L1799" i="6"/>
  <c r="O1378" i="6"/>
  <c r="N1378" i="6"/>
  <c r="P1378" i="6"/>
  <c r="M1378" i="6"/>
  <c r="L1378" i="6"/>
  <c r="O1476" i="6"/>
  <c r="M1476" i="6"/>
  <c r="P1476" i="6"/>
  <c r="L1476" i="6"/>
  <c r="N1476" i="6"/>
  <c r="O1574" i="6"/>
  <c r="N1574" i="6"/>
  <c r="L1574" i="6"/>
  <c r="M1574" i="6"/>
  <c r="P1574" i="6"/>
  <c r="P2020" i="6"/>
  <c r="O2020" i="6"/>
  <c r="N2020" i="6"/>
  <c r="M2020" i="6"/>
  <c r="L2020" i="6"/>
  <c r="O1414" i="6"/>
  <c r="M1414" i="6"/>
  <c r="P1414" i="6"/>
  <c r="L1414" i="6"/>
  <c r="N1414" i="6"/>
  <c r="O1512" i="6"/>
  <c r="M1512" i="6"/>
  <c r="L1512" i="6"/>
  <c r="P1512" i="6"/>
  <c r="N1512" i="6"/>
  <c r="M1860" i="6"/>
  <c r="L1860" i="6"/>
  <c r="P1860" i="6"/>
  <c r="O1860" i="6"/>
  <c r="N1860" i="6"/>
  <c r="P1613" i="6"/>
  <c r="O1613" i="6"/>
  <c r="N1613" i="6"/>
  <c r="M1613" i="6"/>
  <c r="L1613" i="6"/>
  <c r="P1711" i="6"/>
  <c r="O1711" i="6"/>
  <c r="N1711" i="6"/>
  <c r="M1711" i="6"/>
  <c r="L1711" i="6"/>
  <c r="M1816" i="6"/>
  <c r="L1816" i="6"/>
  <c r="P1816" i="6"/>
  <c r="O1816" i="6"/>
  <c r="N1816" i="6"/>
  <c r="P2285" i="6"/>
  <c r="O2285" i="6"/>
  <c r="N2285" i="6"/>
  <c r="M2285" i="6"/>
  <c r="L2285" i="6"/>
  <c r="P1825" i="6"/>
  <c r="L1825" i="6"/>
  <c r="O1825" i="6"/>
  <c r="M1825" i="6"/>
  <c r="N1825" i="6"/>
  <c r="P1824" i="6"/>
  <c r="O1824" i="6"/>
  <c r="N1824" i="6"/>
  <c r="M1824" i="6"/>
  <c r="L1824" i="6"/>
  <c r="O1926" i="6"/>
  <c r="M1926" i="6"/>
  <c r="L1926" i="6"/>
  <c r="N1926" i="6"/>
  <c r="P1926" i="6"/>
  <c r="N2164" i="6"/>
  <c r="L2164" i="6"/>
  <c r="M2164" i="6"/>
  <c r="P2164" i="6"/>
  <c r="O2164" i="6"/>
  <c r="P1883" i="6"/>
  <c r="O1883" i="6"/>
  <c r="N1883" i="6"/>
  <c r="L1883" i="6"/>
  <c r="M1883" i="6"/>
  <c r="L2347" i="6"/>
  <c r="N2347" i="6"/>
  <c r="P2347" i="6"/>
  <c r="O2347" i="6"/>
  <c r="M2347" i="6"/>
  <c r="P2090" i="6"/>
  <c r="O2090" i="6"/>
  <c r="N2090" i="6"/>
  <c r="L2090" i="6"/>
  <c r="M2090" i="6"/>
  <c r="P2135" i="6"/>
  <c r="N2135" i="6"/>
  <c r="M2135" i="6"/>
  <c r="L2135" i="6"/>
  <c r="O2135" i="6"/>
  <c r="N2202" i="6"/>
  <c r="L2202" i="6"/>
  <c r="P2202" i="6"/>
  <c r="M2202" i="6"/>
  <c r="O2202" i="6"/>
  <c r="P1928" i="6"/>
  <c r="O1928" i="6"/>
  <c r="N1928" i="6"/>
  <c r="M1928" i="6"/>
  <c r="L1928" i="6"/>
  <c r="L2146" i="6"/>
  <c r="P2146" i="6"/>
  <c r="O2146" i="6"/>
  <c r="N2146" i="6"/>
  <c r="M2146" i="6"/>
  <c r="P2028" i="6"/>
  <c r="O2028" i="6"/>
  <c r="M2028" i="6"/>
  <c r="L2028" i="6"/>
  <c r="N2028" i="6"/>
  <c r="P2007" i="6"/>
  <c r="O2007" i="6"/>
  <c r="N2007" i="6"/>
  <c r="M2007" i="6"/>
  <c r="L2007" i="6"/>
  <c r="P1982" i="6"/>
  <c r="O1982" i="6"/>
  <c r="N1982" i="6"/>
  <c r="M1982" i="6"/>
  <c r="L1982" i="6"/>
  <c r="P2080" i="6"/>
  <c r="O2080" i="6"/>
  <c r="M2080" i="6"/>
  <c r="L2080" i="6"/>
  <c r="N2080" i="6"/>
  <c r="P2180" i="6"/>
  <c r="N2180" i="6"/>
  <c r="M2180" i="6"/>
  <c r="L2180" i="6"/>
  <c r="O2180" i="6"/>
  <c r="O1990" i="6"/>
  <c r="N1990" i="6"/>
  <c r="M1990" i="6"/>
  <c r="P1990" i="6"/>
  <c r="L1990" i="6"/>
  <c r="O2088" i="6"/>
  <c r="N2088" i="6"/>
  <c r="M2088" i="6"/>
  <c r="P2088" i="6"/>
  <c r="L2088" i="6"/>
  <c r="P2334" i="6"/>
  <c r="O2334" i="6"/>
  <c r="N2334" i="6"/>
  <c r="M2334" i="6"/>
  <c r="L2334" i="6"/>
  <c r="P2201" i="6"/>
  <c r="N2201" i="6"/>
  <c r="M2201" i="6"/>
  <c r="L2201" i="6"/>
  <c r="O2201" i="6"/>
  <c r="L2292" i="6"/>
  <c r="P2292" i="6"/>
  <c r="O2292" i="6"/>
  <c r="N2292" i="6"/>
  <c r="M2292" i="6"/>
  <c r="N2318" i="6"/>
  <c r="L2318" i="6"/>
  <c r="O2318" i="6"/>
  <c r="M2318" i="6"/>
  <c r="P2318" i="6"/>
  <c r="P2221" i="6"/>
  <c r="O2221" i="6"/>
  <c r="N2221" i="6"/>
  <c r="M2221" i="6"/>
  <c r="L2221" i="6"/>
  <c r="N2313" i="6"/>
  <c r="M2313" i="6"/>
  <c r="L2313" i="6"/>
  <c r="O2313" i="6"/>
  <c r="P2313" i="6"/>
  <c r="P2239" i="6"/>
  <c r="O2239" i="6"/>
  <c r="N2239" i="6"/>
  <c r="L2239" i="6"/>
  <c r="M2239" i="6"/>
  <c r="L2277" i="6"/>
  <c r="M2277" i="6"/>
  <c r="P2277" i="6"/>
  <c r="O2277" i="6"/>
  <c r="N2277" i="6"/>
  <c r="N2276" i="6"/>
  <c r="L2276" i="6"/>
  <c r="P2276" i="6"/>
  <c r="O2276" i="6"/>
  <c r="M2276" i="6"/>
  <c r="P2288" i="6"/>
  <c r="O2288" i="6"/>
  <c r="M2288" i="6"/>
  <c r="L2288" i="6"/>
  <c r="N2288" i="6"/>
  <c r="P2372" i="6"/>
  <c r="O2372" i="6"/>
  <c r="N2372" i="6"/>
  <c r="M2372" i="6"/>
  <c r="L2372" i="6"/>
  <c r="P2421" i="6"/>
  <c r="O2421" i="6"/>
  <c r="M2421" i="6"/>
  <c r="L2421" i="6"/>
  <c r="N2421" i="6"/>
  <c r="L2500" i="6"/>
  <c r="O2500" i="6"/>
  <c r="N2500" i="6"/>
  <c r="M2500" i="6"/>
  <c r="P2500" i="6"/>
  <c r="M2418" i="6"/>
  <c r="L2418" i="6"/>
  <c r="P2418" i="6"/>
  <c r="O2418" i="6"/>
  <c r="N2418" i="6"/>
  <c r="N2443" i="6"/>
  <c r="L2443" i="6"/>
  <c r="O2443" i="6"/>
  <c r="M2443" i="6"/>
  <c r="P2443" i="6"/>
  <c r="O2417" i="6"/>
  <c r="N2417" i="6"/>
  <c r="M2417" i="6"/>
  <c r="P2417" i="6"/>
  <c r="L2417" i="6"/>
  <c r="O2453" i="6"/>
  <c r="N2453" i="6"/>
  <c r="L2453" i="6"/>
  <c r="P2453" i="6"/>
  <c r="M2453" i="6"/>
  <c r="P2476" i="6"/>
  <c r="O2476" i="6"/>
  <c r="L2476" i="6"/>
  <c r="N2476" i="6"/>
  <c r="M2476" i="6"/>
  <c r="M478" i="6"/>
  <c r="N478" i="6" s="1"/>
  <c r="L478" i="6"/>
  <c r="P478" i="6"/>
  <c r="P322" i="6"/>
  <c r="M322" i="6"/>
  <c r="N322" i="6" s="1"/>
  <c r="L322" i="6"/>
  <c r="M32" i="6"/>
  <c r="N32" i="6" s="1"/>
  <c r="L32" i="6"/>
  <c r="P32" i="6"/>
  <c r="O1817" i="6"/>
  <c r="M1817" i="6"/>
  <c r="L1817" i="6"/>
  <c r="P1817" i="6"/>
  <c r="N1817" i="6"/>
  <c r="M1492" i="6"/>
  <c r="O1492" i="6"/>
  <c r="L1492" i="6"/>
  <c r="P1492" i="6"/>
  <c r="N1492" i="6"/>
  <c r="N1762" i="6"/>
  <c r="L1762" i="6"/>
  <c r="P1762" i="6"/>
  <c r="M1762" i="6"/>
  <c r="O1762" i="6"/>
  <c r="P1531" i="6"/>
  <c r="O1531" i="6"/>
  <c r="L1531" i="6"/>
  <c r="N1531" i="6"/>
  <c r="M1531" i="6"/>
  <c r="P1772" i="6"/>
  <c r="O1772" i="6"/>
  <c r="M1772" i="6"/>
  <c r="L1772" i="6"/>
  <c r="N1772" i="6"/>
  <c r="M2111" i="6"/>
  <c r="P2111" i="6"/>
  <c r="O2111" i="6"/>
  <c r="N2111" i="6"/>
  <c r="L2111" i="6"/>
  <c r="N1719" i="6"/>
  <c r="M1719" i="6"/>
  <c r="O1719" i="6"/>
  <c r="L1719" i="6"/>
  <c r="P1719" i="6"/>
  <c r="P1847" i="6"/>
  <c r="O1847" i="6"/>
  <c r="N1847" i="6"/>
  <c r="M1847" i="6"/>
  <c r="L1847" i="6"/>
  <c r="O1399" i="6"/>
  <c r="L1399" i="6"/>
  <c r="P1399" i="6"/>
  <c r="N1399" i="6"/>
  <c r="M1399" i="6"/>
  <c r="O1497" i="6"/>
  <c r="N1497" i="6"/>
  <c r="M1497" i="6"/>
  <c r="L1497" i="6"/>
  <c r="P1497" i="6"/>
  <c r="L1779" i="6"/>
  <c r="M1779" i="6"/>
  <c r="O1779" i="6"/>
  <c r="P1779" i="6"/>
  <c r="N1779" i="6"/>
  <c r="O1337" i="6"/>
  <c r="M1337" i="6"/>
  <c r="P1337" i="6"/>
  <c r="L1337" i="6"/>
  <c r="N1337" i="6"/>
  <c r="O1435" i="6"/>
  <c r="M1435" i="6"/>
  <c r="L1435" i="6"/>
  <c r="P1435" i="6"/>
  <c r="N1435" i="6"/>
  <c r="O1533" i="6"/>
  <c r="M1533" i="6"/>
  <c r="L1533" i="6"/>
  <c r="N1533" i="6"/>
  <c r="P1533" i="6"/>
  <c r="M1961" i="6"/>
  <c r="L1961" i="6"/>
  <c r="P1961" i="6"/>
  <c r="O1961" i="6"/>
  <c r="N1961" i="6"/>
  <c r="P1634" i="6"/>
  <c r="O1634" i="6"/>
  <c r="M1634" i="6"/>
  <c r="L1634" i="6"/>
  <c r="N1634" i="6"/>
  <c r="P1732" i="6"/>
  <c r="O1732" i="6"/>
  <c r="M1732" i="6"/>
  <c r="L1732" i="6"/>
  <c r="N1732" i="6"/>
  <c r="P1865" i="6"/>
  <c r="O1865" i="6"/>
  <c r="M1865" i="6"/>
  <c r="L1865" i="6"/>
  <c r="N1865" i="6"/>
  <c r="O1845" i="6"/>
  <c r="M1845" i="6"/>
  <c r="L1845" i="6"/>
  <c r="P1845" i="6"/>
  <c r="N1845" i="6"/>
  <c r="P1874" i="6"/>
  <c r="O1874" i="6"/>
  <c r="M1874" i="6"/>
  <c r="L1874" i="6"/>
  <c r="N1874" i="6"/>
  <c r="P1873" i="6"/>
  <c r="O1873" i="6"/>
  <c r="M1873" i="6"/>
  <c r="L1873" i="6"/>
  <c r="N1873" i="6"/>
  <c r="O1953" i="6"/>
  <c r="N1953" i="6"/>
  <c r="P1953" i="6"/>
  <c r="L1953" i="6"/>
  <c r="M1953" i="6"/>
  <c r="P1806" i="6"/>
  <c r="O1806" i="6"/>
  <c r="N1806" i="6"/>
  <c r="M1806" i="6"/>
  <c r="L1806" i="6"/>
  <c r="M1984" i="6"/>
  <c r="L1984" i="6"/>
  <c r="N1984" i="6"/>
  <c r="P1984" i="6"/>
  <c r="O1984" i="6"/>
  <c r="L1903" i="6"/>
  <c r="P1903" i="6"/>
  <c r="N1903" i="6"/>
  <c r="M1903" i="6"/>
  <c r="O1903" i="6"/>
  <c r="N2152" i="6"/>
  <c r="M2152" i="6"/>
  <c r="L2152" i="6"/>
  <c r="P2152" i="6"/>
  <c r="O2152" i="6"/>
  <c r="M2355" i="6"/>
  <c r="L2355" i="6"/>
  <c r="P2355" i="6"/>
  <c r="O2355" i="6"/>
  <c r="N2355" i="6"/>
  <c r="P2215" i="6"/>
  <c r="N2215" i="6"/>
  <c r="M2215" i="6"/>
  <c r="L2215" i="6"/>
  <c r="O2215" i="6"/>
  <c r="P1949" i="6"/>
  <c r="O1949" i="6"/>
  <c r="N1949" i="6"/>
  <c r="M1949" i="6"/>
  <c r="L1949" i="6"/>
  <c r="L2224" i="6"/>
  <c r="M2224" i="6"/>
  <c r="P2224" i="6"/>
  <c r="O2224" i="6"/>
  <c r="N2224" i="6"/>
  <c r="P2077" i="6"/>
  <c r="L2077" i="6"/>
  <c r="O2077" i="6"/>
  <c r="N2077" i="6"/>
  <c r="M2077" i="6"/>
  <c r="P2056" i="6"/>
  <c r="O2056" i="6"/>
  <c r="N2056" i="6"/>
  <c r="M2056" i="6"/>
  <c r="L2056" i="6"/>
  <c r="P2003" i="6"/>
  <c r="O2003" i="6"/>
  <c r="M2003" i="6"/>
  <c r="L2003" i="6"/>
  <c r="N2003" i="6"/>
  <c r="P2101" i="6"/>
  <c r="O2101" i="6"/>
  <c r="N2101" i="6"/>
  <c r="M2101" i="6"/>
  <c r="L2101" i="6"/>
  <c r="P2230" i="6"/>
  <c r="N2230" i="6"/>
  <c r="M2230" i="6"/>
  <c r="L2230" i="6"/>
  <c r="O2230" i="6"/>
  <c r="O2011" i="6"/>
  <c r="N2011" i="6"/>
  <c r="M2011" i="6"/>
  <c r="P2011" i="6"/>
  <c r="L2011" i="6"/>
  <c r="O2109" i="6"/>
  <c r="N2109" i="6"/>
  <c r="M2109" i="6"/>
  <c r="P2109" i="6"/>
  <c r="L2109" i="6"/>
  <c r="N2482" i="6"/>
  <c r="M2482" i="6"/>
  <c r="P2482" i="6"/>
  <c r="O2482" i="6"/>
  <c r="L2482" i="6"/>
  <c r="N2475" i="6"/>
  <c r="M2475" i="6"/>
  <c r="P2475" i="6"/>
  <c r="O2475" i="6"/>
  <c r="L2475" i="6"/>
  <c r="L2270" i="6"/>
  <c r="M2270" i="6"/>
  <c r="P2270" i="6"/>
  <c r="O2270" i="6"/>
  <c r="N2270" i="6"/>
  <c r="L2340" i="6"/>
  <c r="P2340" i="6"/>
  <c r="O2340" i="6"/>
  <c r="M2340" i="6"/>
  <c r="N2340" i="6"/>
  <c r="M2262" i="6"/>
  <c r="L2262" i="6"/>
  <c r="O2262" i="6"/>
  <c r="N2262" i="6"/>
  <c r="P2262" i="6"/>
  <c r="L2458" i="6"/>
  <c r="N2458" i="6"/>
  <c r="M2458" i="6"/>
  <c r="O2458" i="6"/>
  <c r="P2458" i="6"/>
  <c r="P2260" i="6"/>
  <c r="O2260" i="6"/>
  <c r="N2260" i="6"/>
  <c r="M2260" i="6"/>
  <c r="L2260" i="6"/>
  <c r="M2370" i="6"/>
  <c r="L2370" i="6"/>
  <c r="P2370" i="6"/>
  <c r="O2370" i="6"/>
  <c r="N2370" i="6"/>
  <c r="P2306" i="6"/>
  <c r="N2306" i="6"/>
  <c r="M2306" i="6"/>
  <c r="L2306" i="6"/>
  <c r="O2306" i="6"/>
  <c r="P2309" i="6"/>
  <c r="O2309" i="6"/>
  <c r="N2309" i="6"/>
  <c r="L2309" i="6"/>
  <c r="M2309" i="6"/>
  <c r="L2412" i="6"/>
  <c r="P2412" i="6"/>
  <c r="O2412" i="6"/>
  <c r="N2412" i="6"/>
  <c r="M2412" i="6"/>
  <c r="M2433" i="6"/>
  <c r="P2433" i="6"/>
  <c r="O2433" i="6"/>
  <c r="N2433" i="6"/>
  <c r="L2433" i="6"/>
  <c r="O2376" i="6"/>
  <c r="N2376" i="6"/>
  <c r="M2376" i="6"/>
  <c r="L2376" i="6"/>
  <c r="P2376" i="6"/>
  <c r="O2394" i="6"/>
  <c r="N2394" i="6"/>
  <c r="M2394" i="6"/>
  <c r="L2394" i="6"/>
  <c r="P2394" i="6"/>
  <c r="P2409" i="6"/>
  <c r="O2409" i="6"/>
  <c r="L2409" i="6"/>
  <c r="N2409" i="6"/>
  <c r="M2409" i="6"/>
  <c r="N2450" i="6"/>
  <c r="L2450" i="6"/>
  <c r="P2450" i="6"/>
  <c r="O2450" i="6"/>
  <c r="M2450" i="6"/>
  <c r="P2474" i="6"/>
  <c r="O2474" i="6"/>
  <c r="M2474" i="6"/>
  <c r="N2474" i="6"/>
  <c r="L2474" i="6"/>
  <c r="P2497" i="6"/>
  <c r="O2497" i="6"/>
  <c r="L2497" i="6"/>
  <c r="N2497" i="6"/>
  <c r="M2497" i="6"/>
  <c r="P953" i="6"/>
  <c r="L953" i="6"/>
  <c r="M953" i="6"/>
  <c r="N953" i="6" s="1"/>
  <c r="M200" i="6"/>
  <c r="N200" i="6" s="1"/>
  <c r="L200" i="6"/>
  <c r="O200" i="6" s="1"/>
  <c r="P200" i="6"/>
  <c r="P98" i="6"/>
  <c r="L98" i="6"/>
  <c r="O98" i="6" s="1"/>
  <c r="M98" i="6"/>
  <c r="N98" i="6" s="1"/>
  <c r="P561" i="6"/>
  <c r="M561" i="6"/>
  <c r="N561" i="6" s="1"/>
  <c r="L561" i="6"/>
  <c r="O561" i="6" s="1"/>
  <c r="P153" i="6"/>
  <c r="M153" i="6"/>
  <c r="N153" i="6" s="1"/>
  <c r="L153" i="6"/>
  <c r="P57" i="6"/>
  <c r="M57" i="6"/>
  <c r="N57" i="6" s="1"/>
  <c r="L57" i="6"/>
  <c r="O57" i="6" s="1"/>
  <c r="O1315" i="6"/>
  <c r="M1315" i="6"/>
  <c r="L1315" i="6"/>
  <c r="P1315" i="6"/>
  <c r="N1315" i="6"/>
  <c r="L528" i="6"/>
  <c r="M528" i="6"/>
  <c r="N528" i="6" s="1"/>
  <c r="P528" i="6"/>
  <c r="P912" i="6"/>
  <c r="M912" i="6"/>
  <c r="N912" i="6" s="1"/>
  <c r="L912" i="6"/>
  <c r="O912" i="6" s="1"/>
  <c r="P1521" i="6"/>
  <c r="N1521" i="6"/>
  <c r="M1521" i="6"/>
  <c r="L1521" i="6"/>
  <c r="O1521" i="6"/>
  <c r="P606" i="6"/>
  <c r="M606" i="6"/>
  <c r="N606" i="6" s="1"/>
  <c r="L606" i="6"/>
  <c r="O606" i="6" s="1"/>
  <c r="M1139" i="6"/>
  <c r="O1139" i="6"/>
  <c r="N1139" i="6"/>
  <c r="L1139" i="6"/>
  <c r="P1139" i="6"/>
  <c r="P58" i="6"/>
  <c r="L58" i="6"/>
  <c r="O58" i="6" s="1"/>
  <c r="M58" i="6"/>
  <c r="N58" i="6" s="1"/>
  <c r="P156" i="6"/>
  <c r="L156" i="6"/>
  <c r="M156" i="6"/>
  <c r="N156" i="6" s="1"/>
  <c r="P254" i="6"/>
  <c r="L254" i="6"/>
  <c r="M254" i="6"/>
  <c r="N254" i="6" s="1"/>
  <c r="P352" i="6"/>
  <c r="L352" i="6"/>
  <c r="M352" i="6"/>
  <c r="N352" i="6" s="1"/>
  <c r="P571" i="6"/>
  <c r="M571" i="6"/>
  <c r="N571" i="6" s="1"/>
  <c r="L571" i="6"/>
  <c r="O571" i="6" s="1"/>
  <c r="L893" i="6"/>
  <c r="M893" i="6"/>
  <c r="N893" i="6" s="1"/>
  <c r="P893" i="6"/>
  <c r="M430" i="6"/>
  <c r="N430" i="6" s="1"/>
  <c r="P430" i="6"/>
  <c r="L430" i="6"/>
  <c r="M621" i="6"/>
  <c r="N621" i="6" s="1"/>
  <c r="L621" i="6"/>
  <c r="O621" i="6" s="1"/>
  <c r="P621" i="6"/>
  <c r="M1006" i="6"/>
  <c r="N1006" i="6" s="1"/>
  <c r="P1006" i="6"/>
  <c r="L1006" i="6"/>
  <c r="O1006" i="6" s="1"/>
  <c r="L1685" i="6"/>
  <c r="M1685" i="6"/>
  <c r="O1685" i="6"/>
  <c r="N1685" i="6"/>
  <c r="P1685" i="6"/>
  <c r="M94" i="6"/>
  <c r="N94" i="6" s="1"/>
  <c r="L94" i="6"/>
  <c r="P94" i="6"/>
  <c r="M192" i="6"/>
  <c r="N192" i="6" s="1"/>
  <c r="L192" i="6"/>
  <c r="P192" i="6"/>
  <c r="M290" i="6"/>
  <c r="N290" i="6" s="1"/>
  <c r="L290" i="6"/>
  <c r="P290" i="6"/>
  <c r="M388" i="6"/>
  <c r="N388" i="6" s="1"/>
  <c r="L388" i="6"/>
  <c r="O388" i="6" s="1"/>
  <c r="P388" i="6"/>
  <c r="L640" i="6"/>
  <c r="O640" i="6" s="1"/>
  <c r="P640" i="6"/>
  <c r="M640" i="6"/>
  <c r="N640" i="6" s="1"/>
  <c r="M1464" i="6"/>
  <c r="N1464" i="6"/>
  <c r="P1464" i="6"/>
  <c r="L1464" i="6"/>
  <c r="O1464" i="6"/>
  <c r="P597" i="6"/>
  <c r="M597" i="6"/>
  <c r="N597" i="6" s="1"/>
  <c r="L597" i="6"/>
  <c r="O597" i="6" s="1"/>
  <c r="M740" i="6"/>
  <c r="N740" i="6" s="1"/>
  <c r="L740" i="6"/>
  <c r="P740" i="6"/>
  <c r="P933" i="6"/>
  <c r="M933" i="6"/>
  <c r="N933" i="6" s="1"/>
  <c r="L933" i="6"/>
  <c r="P501" i="6"/>
  <c r="L501" i="6"/>
  <c r="M501" i="6"/>
  <c r="N501" i="6" s="1"/>
  <c r="P665" i="6"/>
  <c r="M665" i="6"/>
  <c r="N665" i="6" s="1"/>
  <c r="L665" i="6"/>
  <c r="O665" i="6" s="1"/>
  <c r="M805" i="6"/>
  <c r="N805" i="6" s="1"/>
  <c r="L805" i="6"/>
  <c r="O805" i="6" s="1"/>
  <c r="P805" i="6"/>
  <c r="P1897" i="6"/>
  <c r="O1897" i="6"/>
  <c r="N1897" i="6"/>
  <c r="L1897" i="6"/>
  <c r="M1897" i="6"/>
  <c r="M863" i="6"/>
  <c r="N863" i="6" s="1"/>
  <c r="P863" i="6"/>
  <c r="L863" i="6"/>
  <c r="P1127" i="6"/>
  <c r="M1127" i="6"/>
  <c r="N1127" i="6" s="1"/>
  <c r="L1127" i="6"/>
  <c r="P520" i="6"/>
  <c r="L520" i="6"/>
  <c r="M520" i="6"/>
  <c r="N520" i="6" s="1"/>
  <c r="M684" i="6"/>
  <c r="N684" i="6" s="1"/>
  <c r="L684" i="6"/>
  <c r="O684" i="6" s="1"/>
  <c r="P684" i="6"/>
  <c r="M826" i="6"/>
  <c r="N826" i="6" s="1"/>
  <c r="L826" i="6"/>
  <c r="P826" i="6"/>
  <c r="L394" i="6"/>
  <c r="M394" i="6"/>
  <c r="N394" i="6" s="1"/>
  <c r="P394" i="6"/>
  <c r="L538" i="6"/>
  <c r="P538" i="6"/>
  <c r="M538" i="6"/>
  <c r="N538" i="6" s="1"/>
  <c r="P930" i="6"/>
  <c r="M930" i="6"/>
  <c r="N930" i="6" s="1"/>
  <c r="L930" i="6"/>
  <c r="M1167" i="6"/>
  <c r="P1167" i="6"/>
  <c r="O1167" i="6"/>
  <c r="N1167" i="6"/>
  <c r="L1167" i="6"/>
  <c r="P717" i="6"/>
  <c r="M717" i="6"/>
  <c r="N717" i="6" s="1"/>
  <c r="L717" i="6"/>
  <c r="O717" i="6" s="1"/>
  <c r="P815" i="6"/>
  <c r="M815" i="6"/>
  <c r="N815" i="6" s="1"/>
  <c r="L815" i="6"/>
  <c r="P1213" i="6"/>
  <c r="N1213" i="6"/>
  <c r="O1213" i="6"/>
  <c r="M1213" i="6"/>
  <c r="L1213" i="6"/>
  <c r="P849" i="6"/>
  <c r="M849" i="6"/>
  <c r="N849" i="6" s="1"/>
  <c r="L849" i="6"/>
  <c r="M1027" i="6"/>
  <c r="N1027" i="6" s="1"/>
  <c r="L1027" i="6"/>
  <c r="O1027" i="6" s="1"/>
  <c r="P1027" i="6"/>
  <c r="P1196" i="6"/>
  <c r="O1196" i="6"/>
  <c r="L1196" i="6"/>
  <c r="N1196" i="6"/>
  <c r="M1196" i="6"/>
  <c r="P697" i="6"/>
  <c r="M697" i="6"/>
  <c r="N697" i="6" s="1"/>
  <c r="L697" i="6"/>
  <c r="O697" i="6" s="1"/>
  <c r="P795" i="6"/>
  <c r="M795" i="6"/>
  <c r="N795" i="6" s="1"/>
  <c r="L795" i="6"/>
  <c r="P1087" i="6"/>
  <c r="M1087" i="6"/>
  <c r="N1087" i="6" s="1"/>
  <c r="L1087" i="6"/>
  <c r="O1087" i="6" s="1"/>
  <c r="P900" i="6"/>
  <c r="M900" i="6"/>
  <c r="N900" i="6" s="1"/>
  <c r="L900" i="6"/>
  <c r="P1070" i="6"/>
  <c r="M1070" i="6"/>
  <c r="N1070" i="6" s="1"/>
  <c r="L1070" i="6"/>
  <c r="O1070" i="6" s="1"/>
  <c r="N1282" i="6"/>
  <c r="P1282" i="6"/>
  <c r="L1282" i="6"/>
  <c r="O1282" i="6"/>
  <c r="M1282" i="6"/>
  <c r="P1278" i="6"/>
  <c r="O1278" i="6"/>
  <c r="L1278" i="6"/>
  <c r="N1278" i="6"/>
  <c r="M1278" i="6"/>
  <c r="O1223" i="6"/>
  <c r="N1223" i="6"/>
  <c r="M1223" i="6"/>
  <c r="L1223" i="6"/>
  <c r="P1223" i="6"/>
  <c r="P2070" i="6"/>
  <c r="O2070" i="6"/>
  <c r="N2070" i="6"/>
  <c r="M2070" i="6"/>
  <c r="L2070" i="6"/>
  <c r="L1004" i="6"/>
  <c r="O1004" i="6" s="1"/>
  <c r="P1004" i="6"/>
  <c r="M1004" i="6"/>
  <c r="N1004" i="6" s="1"/>
  <c r="L1102" i="6"/>
  <c r="O1102" i="6" s="1"/>
  <c r="P1102" i="6"/>
  <c r="M1102" i="6"/>
  <c r="N1102" i="6" s="1"/>
  <c r="O1200" i="6"/>
  <c r="N1200" i="6"/>
  <c r="L1200" i="6"/>
  <c r="P1200" i="6"/>
  <c r="M1200" i="6"/>
  <c r="M935" i="6"/>
  <c r="N935" i="6" s="1"/>
  <c r="L935" i="6"/>
  <c r="P935" i="6"/>
  <c r="M1033" i="6"/>
  <c r="N1033" i="6" s="1"/>
  <c r="L1033" i="6"/>
  <c r="O1033" i="6" s="1"/>
  <c r="P1033" i="6"/>
  <c r="M1131" i="6"/>
  <c r="N1131" i="6" s="1"/>
  <c r="L1131" i="6"/>
  <c r="P1131" i="6"/>
  <c r="P1300" i="6"/>
  <c r="N1300" i="6"/>
  <c r="O1300" i="6"/>
  <c r="L1300" i="6"/>
  <c r="M1300" i="6"/>
  <c r="P2142" i="6"/>
  <c r="O2142" i="6"/>
  <c r="N2142" i="6"/>
  <c r="M2142" i="6"/>
  <c r="L2142" i="6"/>
  <c r="P1563" i="6"/>
  <c r="O1563" i="6"/>
  <c r="N1563" i="6"/>
  <c r="M1563" i="6"/>
  <c r="L1563" i="6"/>
  <c r="L1974" i="6"/>
  <c r="M1974" i="6"/>
  <c r="P1974" i="6"/>
  <c r="O1974" i="6"/>
  <c r="N1974" i="6"/>
  <c r="P1302" i="6"/>
  <c r="O1302" i="6"/>
  <c r="N1302" i="6"/>
  <c r="M1302" i="6"/>
  <c r="L1302" i="6"/>
  <c r="P1430" i="6"/>
  <c r="O1430" i="6"/>
  <c r="M1430" i="6"/>
  <c r="L1430" i="6"/>
  <c r="N1430" i="6"/>
  <c r="N1374" i="6"/>
  <c r="P1374" i="6"/>
  <c r="L1374" i="6"/>
  <c r="O1374" i="6"/>
  <c r="M1374" i="6"/>
  <c r="O1310" i="6"/>
  <c r="N1310" i="6"/>
  <c r="M1310" i="6"/>
  <c r="P1310" i="6"/>
  <c r="L1310" i="6"/>
  <c r="O1481" i="6"/>
  <c r="N1481" i="6"/>
  <c r="L1481" i="6"/>
  <c r="P1481" i="6"/>
  <c r="M1481" i="6"/>
  <c r="P1823" i="6"/>
  <c r="O1823" i="6"/>
  <c r="N1823" i="6"/>
  <c r="M1823" i="6"/>
  <c r="L1823" i="6"/>
  <c r="O1276" i="6"/>
  <c r="L1276" i="6"/>
  <c r="P1276" i="6"/>
  <c r="N1276" i="6"/>
  <c r="M1276" i="6"/>
  <c r="N1590" i="6"/>
  <c r="L1590" i="6"/>
  <c r="P1590" i="6"/>
  <c r="O1590" i="6"/>
  <c r="M1590" i="6"/>
  <c r="N1748" i="6"/>
  <c r="L1748" i="6"/>
  <c r="P1748" i="6"/>
  <c r="O1748" i="6"/>
  <c r="M1748" i="6"/>
  <c r="P1737" i="6"/>
  <c r="N1737" i="6"/>
  <c r="M1737" i="6"/>
  <c r="O1737" i="6"/>
  <c r="L1737" i="6"/>
  <c r="N1605" i="6"/>
  <c r="L1605" i="6"/>
  <c r="O1605" i="6"/>
  <c r="M1605" i="6"/>
  <c r="P1605" i="6"/>
  <c r="N1743" i="6"/>
  <c r="L1743" i="6"/>
  <c r="M1743" i="6"/>
  <c r="P1743" i="6"/>
  <c r="O1743" i="6"/>
  <c r="N1564" i="6"/>
  <c r="L1564" i="6"/>
  <c r="M1564" i="6"/>
  <c r="O1564" i="6"/>
  <c r="P1564" i="6"/>
  <c r="N1790" i="6"/>
  <c r="L1790" i="6"/>
  <c r="O1790" i="6"/>
  <c r="M1790" i="6"/>
  <c r="P1790" i="6"/>
  <c r="P1489" i="6"/>
  <c r="N1489" i="6"/>
  <c r="L1489" i="6"/>
  <c r="O1489" i="6"/>
  <c r="M1489" i="6"/>
  <c r="L1829" i="6"/>
  <c r="M1829" i="6"/>
  <c r="O1829" i="6"/>
  <c r="N1829" i="6"/>
  <c r="P1829" i="6"/>
  <c r="N1698" i="6"/>
  <c r="M1698" i="6"/>
  <c r="L1698" i="6"/>
  <c r="P1698" i="6"/>
  <c r="O1698" i="6"/>
  <c r="N1703" i="6"/>
  <c r="L1703" i="6"/>
  <c r="O1703" i="6"/>
  <c r="P1703" i="6"/>
  <c r="M1703" i="6"/>
  <c r="N1951" i="6"/>
  <c r="L1951" i="6"/>
  <c r="P1951" i="6"/>
  <c r="O1951" i="6"/>
  <c r="M1951" i="6"/>
  <c r="N1632" i="6"/>
  <c r="L1632" i="6"/>
  <c r="O1632" i="6"/>
  <c r="M1632" i="6"/>
  <c r="P1632" i="6"/>
  <c r="P1833" i="6"/>
  <c r="O1833" i="6"/>
  <c r="N1833" i="6"/>
  <c r="M1833" i="6"/>
  <c r="L1833" i="6"/>
  <c r="P1503" i="6"/>
  <c r="M1503" i="6"/>
  <c r="O1503" i="6"/>
  <c r="L1503" i="6"/>
  <c r="N1503" i="6"/>
  <c r="N1839" i="6"/>
  <c r="L1839" i="6"/>
  <c r="M1839" i="6"/>
  <c r="P1839" i="6"/>
  <c r="O1839" i="6"/>
  <c r="P1550" i="6"/>
  <c r="O1550" i="6"/>
  <c r="M1550" i="6"/>
  <c r="N1550" i="6"/>
  <c r="L1550" i="6"/>
  <c r="P1775" i="6"/>
  <c r="N1775" i="6"/>
  <c r="M1775" i="6"/>
  <c r="O1775" i="6"/>
  <c r="L1775" i="6"/>
  <c r="N2301" i="6"/>
  <c r="L2301" i="6"/>
  <c r="P2301" i="6"/>
  <c r="O2301" i="6"/>
  <c r="M2301" i="6"/>
  <c r="L1720" i="6"/>
  <c r="M1720" i="6"/>
  <c r="P1720" i="6"/>
  <c r="O1720" i="6"/>
  <c r="N1720" i="6"/>
  <c r="P1852" i="6"/>
  <c r="O1852" i="6"/>
  <c r="N1852" i="6"/>
  <c r="M1852" i="6"/>
  <c r="L1852" i="6"/>
  <c r="O1406" i="6"/>
  <c r="P1406" i="6"/>
  <c r="N1406" i="6"/>
  <c r="M1406" i="6"/>
  <c r="L1406" i="6"/>
  <c r="O1504" i="6"/>
  <c r="N1504" i="6"/>
  <c r="M1504" i="6"/>
  <c r="L1504" i="6"/>
  <c r="P1504" i="6"/>
  <c r="L1798" i="6"/>
  <c r="P1798" i="6"/>
  <c r="N1798" i="6"/>
  <c r="M1798" i="6"/>
  <c r="O1798" i="6"/>
  <c r="O1344" i="6"/>
  <c r="M1344" i="6"/>
  <c r="N1344" i="6"/>
  <c r="L1344" i="6"/>
  <c r="P1344" i="6"/>
  <c r="O1442" i="6"/>
  <c r="M1442" i="6"/>
  <c r="P1442" i="6"/>
  <c r="L1442" i="6"/>
  <c r="N1442" i="6"/>
  <c r="O1540" i="6"/>
  <c r="M1540" i="6"/>
  <c r="L1540" i="6"/>
  <c r="P1540" i="6"/>
  <c r="N1540" i="6"/>
  <c r="L1993" i="6"/>
  <c r="O1993" i="6"/>
  <c r="N1993" i="6"/>
  <c r="M1993" i="6"/>
  <c r="P1993" i="6"/>
  <c r="P1641" i="6"/>
  <c r="O1641" i="6"/>
  <c r="N1641" i="6"/>
  <c r="M1641" i="6"/>
  <c r="L1641" i="6"/>
  <c r="P1739" i="6"/>
  <c r="O1739" i="6"/>
  <c r="N1739" i="6"/>
  <c r="M1739" i="6"/>
  <c r="L1739" i="6"/>
  <c r="N1884" i="6"/>
  <c r="M1884" i="6"/>
  <c r="L1884" i="6"/>
  <c r="P1884" i="6"/>
  <c r="O1884" i="6"/>
  <c r="L1864" i="6"/>
  <c r="M1864" i="6"/>
  <c r="P1864" i="6"/>
  <c r="O1864" i="6"/>
  <c r="N1864" i="6"/>
  <c r="P1892" i="6"/>
  <c r="O1892" i="6"/>
  <c r="M1892" i="6"/>
  <c r="L1892" i="6"/>
  <c r="N1892" i="6"/>
  <c r="P1906" i="6"/>
  <c r="O1906" i="6"/>
  <c r="N1906" i="6"/>
  <c r="M1906" i="6"/>
  <c r="L1906" i="6"/>
  <c r="N1958" i="6"/>
  <c r="L1958" i="6"/>
  <c r="P1958" i="6"/>
  <c r="O1958" i="6"/>
  <c r="M1958" i="6"/>
  <c r="P1813" i="6"/>
  <c r="O1813" i="6"/>
  <c r="N1813" i="6"/>
  <c r="M1813" i="6"/>
  <c r="L1813" i="6"/>
  <c r="M2012" i="6"/>
  <c r="L2012" i="6"/>
  <c r="N2012" i="6"/>
  <c r="P2012" i="6"/>
  <c r="O2012" i="6"/>
  <c r="P1920" i="6"/>
  <c r="O1920" i="6"/>
  <c r="M1920" i="6"/>
  <c r="L1920" i="6"/>
  <c r="N1920" i="6"/>
  <c r="L2181" i="6"/>
  <c r="O2181" i="6"/>
  <c r="M2181" i="6"/>
  <c r="P2181" i="6"/>
  <c r="N2181" i="6"/>
  <c r="M1970" i="6"/>
  <c r="L1970" i="6"/>
  <c r="P1970" i="6"/>
  <c r="O1970" i="6"/>
  <c r="N1970" i="6"/>
  <c r="P2249" i="6"/>
  <c r="N2249" i="6"/>
  <c r="M2249" i="6"/>
  <c r="L2249" i="6"/>
  <c r="O2249" i="6"/>
  <c r="P1956" i="6"/>
  <c r="O1956" i="6"/>
  <c r="N1956" i="6"/>
  <c r="M1956" i="6"/>
  <c r="L1956" i="6"/>
  <c r="P2226" i="6"/>
  <c r="N2226" i="6"/>
  <c r="M2226" i="6"/>
  <c r="L2226" i="6"/>
  <c r="O2226" i="6"/>
  <c r="M2096" i="6"/>
  <c r="L2096" i="6"/>
  <c r="P2096" i="6"/>
  <c r="N2096" i="6"/>
  <c r="O2096" i="6"/>
  <c r="M2075" i="6"/>
  <c r="L2075" i="6"/>
  <c r="P2075" i="6"/>
  <c r="O2075" i="6"/>
  <c r="N2075" i="6"/>
  <c r="P2010" i="6"/>
  <c r="O2010" i="6"/>
  <c r="N2010" i="6"/>
  <c r="M2010" i="6"/>
  <c r="L2010" i="6"/>
  <c r="P2108" i="6"/>
  <c r="O2108" i="6"/>
  <c r="M2108" i="6"/>
  <c r="L2108" i="6"/>
  <c r="N2108" i="6"/>
  <c r="P2245" i="6"/>
  <c r="O2245" i="6"/>
  <c r="M2245" i="6"/>
  <c r="L2245" i="6"/>
  <c r="N2245" i="6"/>
  <c r="O2018" i="6"/>
  <c r="N2018" i="6"/>
  <c r="M2018" i="6"/>
  <c r="P2018" i="6"/>
  <c r="L2018" i="6"/>
  <c r="O2116" i="6"/>
  <c r="N2116" i="6"/>
  <c r="M2116" i="6"/>
  <c r="P2116" i="6"/>
  <c r="L2116" i="6"/>
  <c r="P2184" i="6"/>
  <c r="N2184" i="6"/>
  <c r="M2184" i="6"/>
  <c r="L2184" i="6"/>
  <c r="O2184" i="6"/>
  <c r="L2486" i="6"/>
  <c r="P2486" i="6"/>
  <c r="O2486" i="6"/>
  <c r="N2486" i="6"/>
  <c r="M2486" i="6"/>
  <c r="N2304" i="6"/>
  <c r="L2304" i="6"/>
  <c r="P2304" i="6"/>
  <c r="O2304" i="6"/>
  <c r="M2304" i="6"/>
  <c r="M2350" i="6"/>
  <c r="L2350" i="6"/>
  <c r="O2350" i="6"/>
  <c r="N2350" i="6"/>
  <c r="P2350" i="6"/>
  <c r="P2286" i="6"/>
  <c r="O2286" i="6"/>
  <c r="M2286" i="6"/>
  <c r="L2286" i="6"/>
  <c r="N2286" i="6"/>
  <c r="N2464" i="6"/>
  <c r="L2464" i="6"/>
  <c r="P2464" i="6"/>
  <c r="O2464" i="6"/>
  <c r="M2464" i="6"/>
  <c r="P2267" i="6"/>
  <c r="O2267" i="6"/>
  <c r="L2267" i="6"/>
  <c r="N2267" i="6"/>
  <c r="M2267" i="6"/>
  <c r="L2373" i="6"/>
  <c r="P2373" i="6"/>
  <c r="O2373" i="6"/>
  <c r="N2373" i="6"/>
  <c r="M2373" i="6"/>
  <c r="N2325" i="6"/>
  <c r="L2325" i="6"/>
  <c r="P2325" i="6"/>
  <c r="O2325" i="6"/>
  <c r="M2325" i="6"/>
  <c r="P2316" i="6"/>
  <c r="O2316" i="6"/>
  <c r="N2316" i="6"/>
  <c r="M2316" i="6"/>
  <c r="L2316" i="6"/>
  <c r="N2414" i="6"/>
  <c r="L2414" i="6"/>
  <c r="M2414" i="6"/>
  <c r="P2414" i="6"/>
  <c r="O2414" i="6"/>
  <c r="L2444" i="6"/>
  <c r="P2444" i="6"/>
  <c r="O2444" i="6"/>
  <c r="M2444" i="6"/>
  <c r="N2444" i="6"/>
  <c r="O2383" i="6"/>
  <c r="N2383" i="6"/>
  <c r="M2383" i="6"/>
  <c r="L2383" i="6"/>
  <c r="P2383" i="6"/>
  <c r="O2438" i="6"/>
  <c r="N2438" i="6"/>
  <c r="M2438" i="6"/>
  <c r="P2438" i="6"/>
  <c r="L2438" i="6"/>
  <c r="P2416" i="6"/>
  <c r="O2416" i="6"/>
  <c r="N2416" i="6"/>
  <c r="M2416" i="6"/>
  <c r="L2416" i="6"/>
  <c r="N2478" i="6"/>
  <c r="L2478" i="6"/>
  <c r="P2478" i="6"/>
  <c r="O2478" i="6"/>
  <c r="M2478" i="6"/>
  <c r="P2481" i="6"/>
  <c r="O2481" i="6"/>
  <c r="M2481" i="6"/>
  <c r="N2481" i="6"/>
  <c r="L2481" i="6"/>
  <c r="P522" i="6"/>
  <c r="M522" i="6"/>
  <c r="N522" i="6" s="1"/>
  <c r="L522" i="6"/>
  <c r="M418" i="6"/>
  <c r="N418" i="6" s="1"/>
  <c r="L418" i="6"/>
  <c r="O418" i="6" s="1"/>
  <c r="P418" i="6"/>
  <c r="M314" i="6"/>
  <c r="N314" i="6" s="1"/>
  <c r="L314" i="6"/>
  <c r="O314" i="6" s="1"/>
  <c r="P314" i="6"/>
  <c r="P232" i="6"/>
  <c r="M232" i="6"/>
  <c r="N232" i="6" s="1"/>
  <c r="L232" i="6"/>
  <c r="P126" i="6"/>
  <c r="M126" i="6"/>
  <c r="N126" i="6" s="1"/>
  <c r="L126" i="6"/>
  <c r="O126" i="6" s="1"/>
  <c r="P20" i="6"/>
  <c r="L20" i="6"/>
  <c r="M20" i="6"/>
  <c r="N20" i="6" s="1"/>
  <c r="M742" i="6"/>
  <c r="N742" i="6" s="1"/>
  <c r="L742" i="6"/>
  <c r="P742" i="6"/>
  <c r="L460" i="6"/>
  <c r="O460" i="6" s="1"/>
  <c r="P460" i="6"/>
  <c r="M460" i="6"/>
  <c r="N460" i="6" s="1"/>
  <c r="P266" i="6"/>
  <c r="M266" i="6"/>
  <c r="N266" i="6" s="1"/>
  <c r="L266" i="6"/>
  <c r="O266" i="6" s="1"/>
  <c r="P105" i="6"/>
  <c r="M105" i="6"/>
  <c r="N105" i="6" s="1"/>
  <c r="L105" i="6"/>
  <c r="O105" i="6" s="1"/>
  <c r="L482" i="6"/>
  <c r="M482" i="6"/>
  <c r="N482" i="6" s="1"/>
  <c r="P482" i="6"/>
  <c r="M270" i="6"/>
  <c r="N270" i="6" s="1"/>
  <c r="L270" i="6"/>
  <c r="P270" i="6"/>
  <c r="P188" i="6"/>
  <c r="L188" i="6"/>
  <c r="O188" i="6" s="1"/>
  <c r="M188" i="6"/>
  <c r="N188" i="6" s="1"/>
  <c r="P341" i="6"/>
  <c r="M341" i="6"/>
  <c r="N341" i="6" s="1"/>
  <c r="L341" i="6"/>
  <c r="O341" i="6" s="1"/>
  <c r="M1488" i="6"/>
  <c r="P1488" i="6"/>
  <c r="O1488" i="6"/>
  <c r="L1488" i="6"/>
  <c r="N1488" i="6"/>
  <c r="L547" i="6"/>
  <c r="O547" i="6" s="1"/>
  <c r="M547" i="6"/>
  <c r="N547" i="6" s="1"/>
  <c r="P547" i="6"/>
  <c r="M957" i="6"/>
  <c r="N957" i="6" s="1"/>
  <c r="L957" i="6"/>
  <c r="P957" i="6"/>
  <c r="P1573" i="6"/>
  <c r="O1573" i="6"/>
  <c r="N1573" i="6"/>
  <c r="M1573" i="6"/>
  <c r="L1573" i="6"/>
  <c r="L625" i="6"/>
  <c r="O625" i="6" s="1"/>
  <c r="P625" i="6"/>
  <c r="M625" i="6"/>
  <c r="N625" i="6" s="1"/>
  <c r="P1211" i="6"/>
  <c r="O1211" i="6"/>
  <c r="N1211" i="6"/>
  <c r="L1211" i="6"/>
  <c r="M1211" i="6"/>
  <c r="P65" i="6"/>
  <c r="L65" i="6"/>
  <c r="O65" i="6" s="1"/>
  <c r="M65" i="6"/>
  <c r="N65" i="6" s="1"/>
  <c r="P163" i="6"/>
  <c r="L163" i="6"/>
  <c r="O163" i="6" s="1"/>
  <c r="M163" i="6"/>
  <c r="N163" i="6" s="1"/>
  <c r="P261" i="6"/>
  <c r="L261" i="6"/>
  <c r="M261" i="6"/>
  <c r="N261" i="6" s="1"/>
  <c r="P359" i="6"/>
  <c r="L359" i="6"/>
  <c r="O359" i="6" s="1"/>
  <c r="M359" i="6"/>
  <c r="N359" i="6" s="1"/>
  <c r="M590" i="6"/>
  <c r="N590" i="6" s="1"/>
  <c r="L590" i="6"/>
  <c r="O590" i="6" s="1"/>
  <c r="P590" i="6"/>
  <c r="P982" i="6"/>
  <c r="M982" i="6"/>
  <c r="N982" i="6" s="1"/>
  <c r="L982" i="6"/>
  <c r="P431" i="6"/>
  <c r="M431" i="6"/>
  <c r="N431" i="6" s="1"/>
  <c r="L431" i="6"/>
  <c r="O431" i="6" s="1"/>
  <c r="P631" i="6"/>
  <c r="M631" i="6"/>
  <c r="N631" i="6" s="1"/>
  <c r="L631" i="6"/>
  <c r="O631" i="6" s="1"/>
  <c r="P1030" i="6"/>
  <c r="M1030" i="6"/>
  <c r="N1030" i="6" s="1"/>
  <c r="L1030" i="6"/>
  <c r="O1030" i="6" s="1"/>
  <c r="M3" i="6"/>
  <c r="N3" i="6" s="1"/>
  <c r="L3" i="6"/>
  <c r="P3" i="6"/>
  <c r="M101" i="6"/>
  <c r="N101" i="6" s="1"/>
  <c r="L101" i="6"/>
  <c r="O101" i="6" s="1"/>
  <c r="P101" i="6"/>
  <c r="M199" i="6"/>
  <c r="N199" i="6" s="1"/>
  <c r="L199" i="6"/>
  <c r="P199" i="6"/>
  <c r="M297" i="6"/>
  <c r="N297" i="6" s="1"/>
  <c r="L297" i="6"/>
  <c r="P297" i="6"/>
  <c r="P427" i="6"/>
  <c r="M427" i="6"/>
  <c r="N427" i="6" s="1"/>
  <c r="L427" i="6"/>
  <c r="O427" i="6" s="1"/>
  <c r="P659" i="6"/>
  <c r="L659" i="6"/>
  <c r="O659" i="6" s="1"/>
  <c r="M659" i="6"/>
  <c r="N659" i="6" s="1"/>
  <c r="M1583" i="6"/>
  <c r="P1583" i="6"/>
  <c r="O1583" i="6"/>
  <c r="N1583" i="6"/>
  <c r="L1583" i="6"/>
  <c r="P613" i="6"/>
  <c r="M613" i="6"/>
  <c r="N613" i="6" s="1"/>
  <c r="L613" i="6"/>
  <c r="O613" i="6" s="1"/>
  <c r="P757" i="6"/>
  <c r="L757" i="6"/>
  <c r="O757" i="6" s="1"/>
  <c r="M757" i="6"/>
  <c r="N757" i="6" s="1"/>
  <c r="P1094" i="6"/>
  <c r="M1094" i="6"/>
  <c r="N1094" i="6" s="1"/>
  <c r="L1094" i="6"/>
  <c r="O1094" i="6" s="1"/>
  <c r="P502" i="6"/>
  <c r="M502" i="6"/>
  <c r="N502" i="6" s="1"/>
  <c r="L502" i="6"/>
  <c r="O502" i="6" s="1"/>
  <c r="P681" i="6"/>
  <c r="M681" i="6"/>
  <c r="N681" i="6" s="1"/>
  <c r="L681" i="6"/>
  <c r="O681" i="6" s="1"/>
  <c r="M810" i="6"/>
  <c r="N810" i="6" s="1"/>
  <c r="L810" i="6"/>
  <c r="P810" i="6"/>
  <c r="N2154" i="6"/>
  <c r="L2154" i="6"/>
  <c r="P2154" i="6"/>
  <c r="O2154" i="6"/>
  <c r="M2154" i="6"/>
  <c r="P904" i="6"/>
  <c r="L904" i="6"/>
  <c r="M904" i="6"/>
  <c r="N904" i="6" s="1"/>
  <c r="O1134" i="6"/>
  <c r="N1134" i="6"/>
  <c r="M1134" i="6"/>
  <c r="L1134" i="6"/>
  <c r="P1134" i="6"/>
  <c r="P536" i="6"/>
  <c r="L536" i="6"/>
  <c r="M536" i="6"/>
  <c r="N536" i="6" s="1"/>
  <c r="P701" i="6"/>
  <c r="M701" i="6"/>
  <c r="N701" i="6" s="1"/>
  <c r="L701" i="6"/>
  <c r="O701" i="6" s="1"/>
  <c r="M831" i="6"/>
  <c r="N831" i="6" s="1"/>
  <c r="L831" i="6"/>
  <c r="P831" i="6"/>
  <c r="P401" i="6"/>
  <c r="M401" i="6"/>
  <c r="N401" i="6" s="1"/>
  <c r="L401" i="6"/>
  <c r="O401" i="6" s="1"/>
  <c r="P554" i="6"/>
  <c r="M554" i="6"/>
  <c r="N554" i="6" s="1"/>
  <c r="L554" i="6"/>
  <c r="O554" i="6" s="1"/>
  <c r="M937" i="6"/>
  <c r="N937" i="6" s="1"/>
  <c r="L937" i="6"/>
  <c r="O937" i="6" s="1"/>
  <c r="P937" i="6"/>
  <c r="P1170" i="6"/>
  <c r="O1170" i="6"/>
  <c r="M1170" i="6"/>
  <c r="L1170" i="6"/>
  <c r="N1170" i="6"/>
  <c r="P724" i="6"/>
  <c r="M724" i="6"/>
  <c r="N724" i="6" s="1"/>
  <c r="L724" i="6"/>
  <c r="O724" i="6" s="1"/>
  <c r="P822" i="6"/>
  <c r="M822" i="6"/>
  <c r="N822" i="6" s="1"/>
  <c r="L822" i="6"/>
  <c r="O822" i="6" s="1"/>
  <c r="N1226" i="6"/>
  <c r="P1226" i="6"/>
  <c r="O1226" i="6"/>
  <c r="M1226" i="6"/>
  <c r="L1226" i="6"/>
  <c r="P865" i="6"/>
  <c r="M865" i="6"/>
  <c r="N865" i="6" s="1"/>
  <c r="L865" i="6"/>
  <c r="O865" i="6" s="1"/>
  <c r="P1044" i="6"/>
  <c r="M1044" i="6"/>
  <c r="N1044" i="6" s="1"/>
  <c r="L1044" i="6"/>
  <c r="O1044" i="6" s="1"/>
  <c r="P1218" i="6"/>
  <c r="O1218" i="6"/>
  <c r="M1218" i="6"/>
  <c r="L1218" i="6"/>
  <c r="N1218" i="6"/>
  <c r="P704" i="6"/>
  <c r="M704" i="6"/>
  <c r="N704" i="6" s="1"/>
  <c r="L704" i="6"/>
  <c r="O704" i="6" s="1"/>
  <c r="P802" i="6"/>
  <c r="M802" i="6"/>
  <c r="N802" i="6" s="1"/>
  <c r="L802" i="6"/>
  <c r="P1136" i="6"/>
  <c r="N1136" i="6"/>
  <c r="O1136" i="6"/>
  <c r="L1136" i="6"/>
  <c r="M1136" i="6"/>
  <c r="P918" i="6"/>
  <c r="M918" i="6"/>
  <c r="N918" i="6" s="1"/>
  <c r="L918" i="6"/>
  <c r="P1092" i="6"/>
  <c r="M1092" i="6"/>
  <c r="N1092" i="6" s="1"/>
  <c r="L1092" i="6"/>
  <c r="O1092" i="6" s="1"/>
  <c r="O1299" i="6"/>
  <c r="N1299" i="6"/>
  <c r="L1299" i="6"/>
  <c r="P1299" i="6"/>
  <c r="M1299" i="6"/>
  <c r="N1279" i="6"/>
  <c r="M1279" i="6"/>
  <c r="L1279" i="6"/>
  <c r="P1279" i="6"/>
  <c r="O1279" i="6"/>
  <c r="O1224" i="6"/>
  <c r="N1224" i="6"/>
  <c r="M1224" i="6"/>
  <c r="L1224" i="6"/>
  <c r="P1224" i="6"/>
  <c r="L913" i="6"/>
  <c r="P913" i="6"/>
  <c r="M913" i="6"/>
  <c r="N913" i="6" s="1"/>
  <c r="L1011" i="6"/>
  <c r="O1011" i="6" s="1"/>
  <c r="M1011" i="6"/>
  <c r="N1011" i="6" s="1"/>
  <c r="P1011" i="6"/>
  <c r="L1109" i="6"/>
  <c r="O1109" i="6" s="1"/>
  <c r="P1109" i="6"/>
  <c r="M1109" i="6"/>
  <c r="N1109" i="6" s="1"/>
  <c r="O1207" i="6"/>
  <c r="N1207" i="6"/>
  <c r="L1207" i="6"/>
  <c r="P1207" i="6"/>
  <c r="M1207" i="6"/>
  <c r="M942" i="6"/>
  <c r="N942" i="6" s="1"/>
  <c r="L942" i="6"/>
  <c r="P942" i="6"/>
  <c r="M1040" i="6"/>
  <c r="N1040" i="6" s="1"/>
  <c r="L1040" i="6"/>
  <c r="O1040" i="6" s="1"/>
  <c r="P1040" i="6"/>
  <c r="O1138" i="6"/>
  <c r="M1138" i="6"/>
  <c r="L1138" i="6"/>
  <c r="P1138" i="6"/>
  <c r="N1138" i="6"/>
  <c r="M1305" i="6"/>
  <c r="P1305" i="6"/>
  <c r="N1305" i="6"/>
  <c r="L1305" i="6"/>
  <c r="O1305" i="6"/>
  <c r="L2378" i="6"/>
  <c r="M2378" i="6"/>
  <c r="O2378" i="6"/>
  <c r="N2378" i="6"/>
  <c r="P2378" i="6"/>
  <c r="P1566" i="6"/>
  <c r="L1566" i="6"/>
  <c r="O1566" i="6"/>
  <c r="N1566" i="6"/>
  <c r="M1566" i="6"/>
  <c r="L1417" i="6"/>
  <c r="P1417" i="6"/>
  <c r="O1417" i="6"/>
  <c r="N1417" i="6"/>
  <c r="M1417" i="6"/>
  <c r="P1309" i="6"/>
  <c r="O1309" i="6"/>
  <c r="M1309" i="6"/>
  <c r="N1309" i="6"/>
  <c r="L1309" i="6"/>
  <c r="P1453" i="6"/>
  <c r="N1453" i="6"/>
  <c r="M1453" i="6"/>
  <c r="O1453" i="6"/>
  <c r="L1453" i="6"/>
  <c r="P1397" i="6"/>
  <c r="O1397" i="6"/>
  <c r="N1397" i="6"/>
  <c r="M1397" i="6"/>
  <c r="L1397" i="6"/>
  <c r="O1317" i="6"/>
  <c r="N1317" i="6"/>
  <c r="M1317" i="6"/>
  <c r="P1317" i="6"/>
  <c r="L1317" i="6"/>
  <c r="O1494" i="6"/>
  <c r="N1494" i="6"/>
  <c r="M1494" i="6"/>
  <c r="L1494" i="6"/>
  <c r="P1494" i="6"/>
  <c r="N1828" i="6"/>
  <c r="M1828" i="6"/>
  <c r="L1828" i="6"/>
  <c r="P1828" i="6"/>
  <c r="O1828" i="6"/>
  <c r="O1283" i="6"/>
  <c r="L1283" i="6"/>
  <c r="P1283" i="6"/>
  <c r="N1283" i="6"/>
  <c r="M1283" i="6"/>
  <c r="P1611" i="6"/>
  <c r="N1611" i="6"/>
  <c r="M1611" i="6"/>
  <c r="O1611" i="6"/>
  <c r="L1611" i="6"/>
  <c r="N1804" i="6"/>
  <c r="L1804" i="6"/>
  <c r="O1804" i="6"/>
  <c r="M1804" i="6"/>
  <c r="P1804" i="6"/>
  <c r="P1751" i="6"/>
  <c r="O1751" i="6"/>
  <c r="M1751" i="6"/>
  <c r="L1751" i="6"/>
  <c r="N1751" i="6"/>
  <c r="P1619" i="6"/>
  <c r="O1619" i="6"/>
  <c r="N1619" i="6"/>
  <c r="L1619" i="6"/>
  <c r="M1619" i="6"/>
  <c r="L1752" i="6"/>
  <c r="P1752" i="6"/>
  <c r="M1752" i="6"/>
  <c r="O1752" i="6"/>
  <c r="N1752" i="6"/>
  <c r="L1587" i="6"/>
  <c r="P1587" i="6"/>
  <c r="O1587" i="6"/>
  <c r="M1587" i="6"/>
  <c r="N1587" i="6"/>
  <c r="O1792" i="6"/>
  <c r="N1792" i="6"/>
  <c r="P1792" i="6"/>
  <c r="M1792" i="6"/>
  <c r="L1792" i="6"/>
  <c r="P1496" i="6"/>
  <c r="O1496" i="6"/>
  <c r="M1496" i="6"/>
  <c r="N1496" i="6"/>
  <c r="L1496" i="6"/>
  <c r="N1842" i="6"/>
  <c r="M1842" i="6"/>
  <c r="L1842" i="6"/>
  <c r="P1842" i="6"/>
  <c r="O1842" i="6"/>
  <c r="P1708" i="6"/>
  <c r="N1708" i="6"/>
  <c r="M1708" i="6"/>
  <c r="O1708" i="6"/>
  <c r="L1708" i="6"/>
  <c r="P1778" i="6"/>
  <c r="O1778" i="6"/>
  <c r="N1778" i="6"/>
  <c r="L1778" i="6"/>
  <c r="M1778" i="6"/>
  <c r="P1986" i="6"/>
  <c r="N1986" i="6"/>
  <c r="M1986" i="6"/>
  <c r="L1986" i="6"/>
  <c r="O1986" i="6"/>
  <c r="L1636" i="6"/>
  <c r="O1636" i="6"/>
  <c r="N1636" i="6"/>
  <c r="M1636" i="6"/>
  <c r="P1636" i="6"/>
  <c r="P1837" i="6"/>
  <c r="O1837" i="6"/>
  <c r="N1837" i="6"/>
  <c r="M1837" i="6"/>
  <c r="L1837" i="6"/>
  <c r="P1522" i="6"/>
  <c r="O1522" i="6"/>
  <c r="N1522" i="6"/>
  <c r="L1522" i="6"/>
  <c r="M1522" i="6"/>
  <c r="L1859" i="6"/>
  <c r="O1859" i="6"/>
  <c r="N1859" i="6"/>
  <c r="M1859" i="6"/>
  <c r="P1859" i="6"/>
  <c r="M1569" i="6"/>
  <c r="P1569" i="6"/>
  <c r="O1569" i="6"/>
  <c r="N1569" i="6"/>
  <c r="L1569" i="6"/>
  <c r="P1782" i="6"/>
  <c r="N1782" i="6"/>
  <c r="M1782" i="6"/>
  <c r="O1782" i="6"/>
  <c r="L1782" i="6"/>
  <c r="N1621" i="6"/>
  <c r="M1621" i="6"/>
  <c r="P1621" i="6"/>
  <c r="L1621" i="6"/>
  <c r="O1621" i="6"/>
  <c r="P1721" i="6"/>
  <c r="N1721" i="6"/>
  <c r="M1721" i="6"/>
  <c r="L1721" i="6"/>
  <c r="O1721" i="6"/>
  <c r="N1880" i="6"/>
  <c r="M1880" i="6"/>
  <c r="L1880" i="6"/>
  <c r="P1880" i="6"/>
  <c r="O1880" i="6"/>
  <c r="O1413" i="6"/>
  <c r="M1413" i="6"/>
  <c r="P1413" i="6"/>
  <c r="N1413" i="6"/>
  <c r="L1413" i="6"/>
  <c r="O1511" i="6"/>
  <c r="N1511" i="6"/>
  <c r="P1511" i="6"/>
  <c r="M1511" i="6"/>
  <c r="L1511" i="6"/>
  <c r="N1821" i="6"/>
  <c r="M1821" i="6"/>
  <c r="L1821" i="6"/>
  <c r="O1821" i="6"/>
  <c r="P1821" i="6"/>
  <c r="O1351" i="6"/>
  <c r="M1351" i="6"/>
  <c r="P1351" i="6"/>
  <c r="N1351" i="6"/>
  <c r="L1351" i="6"/>
  <c r="O1449" i="6"/>
  <c r="M1449" i="6"/>
  <c r="P1449" i="6"/>
  <c r="N1449" i="6"/>
  <c r="L1449" i="6"/>
  <c r="O1547" i="6"/>
  <c r="M1547" i="6"/>
  <c r="L1547" i="6"/>
  <c r="N1547" i="6"/>
  <c r="P1547" i="6"/>
  <c r="L2148" i="6"/>
  <c r="N2148" i="6"/>
  <c r="M2148" i="6"/>
  <c r="O2148" i="6"/>
  <c r="P2148" i="6"/>
  <c r="P1648" i="6"/>
  <c r="O1648" i="6"/>
  <c r="L1648" i="6"/>
  <c r="N1648" i="6"/>
  <c r="M1648" i="6"/>
  <c r="P1746" i="6"/>
  <c r="O1746" i="6"/>
  <c r="N1746" i="6"/>
  <c r="L1746" i="6"/>
  <c r="M1746" i="6"/>
  <c r="N1895" i="6"/>
  <c r="L1895" i="6"/>
  <c r="M1895" i="6"/>
  <c r="P1895" i="6"/>
  <c r="O1895" i="6"/>
  <c r="P1875" i="6"/>
  <c r="M1875" i="6"/>
  <c r="O1875" i="6"/>
  <c r="L1875" i="6"/>
  <c r="N1875" i="6"/>
  <c r="L1917" i="6"/>
  <c r="M1917" i="6"/>
  <c r="N1917" i="6"/>
  <c r="P1917" i="6"/>
  <c r="O1917" i="6"/>
  <c r="L1971" i="6"/>
  <c r="O1971" i="6"/>
  <c r="P1971" i="6"/>
  <c r="N1971" i="6"/>
  <c r="M1971" i="6"/>
  <c r="O1987" i="6"/>
  <c r="N1987" i="6"/>
  <c r="M1987" i="6"/>
  <c r="L1987" i="6"/>
  <c r="P1987" i="6"/>
  <c r="P1820" i="6"/>
  <c r="O1820" i="6"/>
  <c r="N1820" i="6"/>
  <c r="M1820" i="6"/>
  <c r="L1820" i="6"/>
  <c r="M2040" i="6"/>
  <c r="L2040" i="6"/>
  <c r="P2040" i="6"/>
  <c r="O2040" i="6"/>
  <c r="N2040" i="6"/>
  <c r="P1925" i="6"/>
  <c r="N1925" i="6"/>
  <c r="L1925" i="6"/>
  <c r="O1925" i="6"/>
  <c r="M1925" i="6"/>
  <c r="O2236" i="6"/>
  <c r="N2236" i="6"/>
  <c r="M2236" i="6"/>
  <c r="P2236" i="6"/>
  <c r="L2236" i="6"/>
  <c r="M1981" i="6"/>
  <c r="P1981" i="6"/>
  <c r="N1981" i="6"/>
  <c r="L1981" i="6"/>
  <c r="O1981" i="6"/>
  <c r="N2258" i="6"/>
  <c r="L2258" i="6"/>
  <c r="P2258" i="6"/>
  <c r="M2258" i="6"/>
  <c r="O2258" i="6"/>
  <c r="P1963" i="6"/>
  <c r="O1963" i="6"/>
  <c r="N1963" i="6"/>
  <c r="L1963" i="6"/>
  <c r="M1963" i="6"/>
  <c r="M2234" i="6"/>
  <c r="L2234" i="6"/>
  <c r="O2234" i="6"/>
  <c r="P2234" i="6"/>
  <c r="N2234" i="6"/>
  <c r="P2107" i="6"/>
  <c r="O2107" i="6"/>
  <c r="N2107" i="6"/>
  <c r="M2107" i="6"/>
  <c r="L2107" i="6"/>
  <c r="P2086" i="6"/>
  <c r="O2086" i="6"/>
  <c r="N2086" i="6"/>
  <c r="M2086" i="6"/>
  <c r="L2086" i="6"/>
  <c r="P2017" i="6"/>
  <c r="O2017" i="6"/>
  <c r="N2017" i="6"/>
  <c r="M2017" i="6"/>
  <c r="L2017" i="6"/>
  <c r="P2115" i="6"/>
  <c r="O2115" i="6"/>
  <c r="N2115" i="6"/>
  <c r="M2115" i="6"/>
  <c r="L2115" i="6"/>
  <c r="N2339" i="6"/>
  <c r="L2339" i="6"/>
  <c r="P2339" i="6"/>
  <c r="O2339" i="6"/>
  <c r="M2339" i="6"/>
  <c r="O2025" i="6"/>
  <c r="N2025" i="6"/>
  <c r="M2025" i="6"/>
  <c r="L2025" i="6"/>
  <c r="P2025" i="6"/>
  <c r="P2123" i="6"/>
  <c r="O2123" i="6"/>
  <c r="N2123" i="6"/>
  <c r="M2123" i="6"/>
  <c r="L2123" i="6"/>
  <c r="N2216" i="6"/>
  <c r="L2216" i="6"/>
  <c r="P2216" i="6"/>
  <c r="M2216" i="6"/>
  <c r="O2216" i="6"/>
  <c r="P2162" i="6"/>
  <c r="O2162" i="6"/>
  <c r="N2162" i="6"/>
  <c r="M2162" i="6"/>
  <c r="L2162" i="6"/>
  <c r="L2312" i="6"/>
  <c r="M2312" i="6"/>
  <c r="P2312" i="6"/>
  <c r="O2312" i="6"/>
  <c r="N2312" i="6"/>
  <c r="P2385" i="6"/>
  <c r="O2385" i="6"/>
  <c r="N2385" i="6"/>
  <c r="M2385" i="6"/>
  <c r="L2385" i="6"/>
  <c r="M2293" i="6"/>
  <c r="L2293" i="6"/>
  <c r="P2293" i="6"/>
  <c r="O2293" i="6"/>
  <c r="N2293" i="6"/>
  <c r="P2491" i="6"/>
  <c r="N2491" i="6"/>
  <c r="M2491" i="6"/>
  <c r="L2491" i="6"/>
  <c r="O2491" i="6"/>
  <c r="P2268" i="6"/>
  <c r="N2268" i="6"/>
  <c r="M2268" i="6"/>
  <c r="O2268" i="6"/>
  <c r="L2268" i="6"/>
  <c r="M2380" i="6"/>
  <c r="L2380" i="6"/>
  <c r="P2380" i="6"/>
  <c r="O2380" i="6"/>
  <c r="N2380" i="6"/>
  <c r="P2336" i="6"/>
  <c r="O2336" i="6"/>
  <c r="N2336" i="6"/>
  <c r="M2336" i="6"/>
  <c r="L2336" i="6"/>
  <c r="P2323" i="6"/>
  <c r="O2323" i="6"/>
  <c r="M2323" i="6"/>
  <c r="L2323" i="6"/>
  <c r="N2323" i="6"/>
  <c r="P2452" i="6"/>
  <c r="O2452" i="6"/>
  <c r="N2452" i="6"/>
  <c r="M2452" i="6"/>
  <c r="L2452" i="6"/>
  <c r="P2470" i="6"/>
  <c r="N2470" i="6"/>
  <c r="M2470" i="6"/>
  <c r="O2470" i="6"/>
  <c r="L2470" i="6"/>
  <c r="P2386" i="6"/>
  <c r="O2386" i="6"/>
  <c r="N2386" i="6"/>
  <c r="L2386" i="6"/>
  <c r="M2386" i="6"/>
  <c r="P2449" i="6"/>
  <c r="N2449" i="6"/>
  <c r="M2449" i="6"/>
  <c r="O2449" i="6"/>
  <c r="L2449" i="6"/>
  <c r="P2423" i="6"/>
  <c r="O2423" i="6"/>
  <c r="L2423" i="6"/>
  <c r="N2423" i="6"/>
  <c r="M2423" i="6"/>
  <c r="O2459" i="6"/>
  <c r="P2459" i="6"/>
  <c r="N2459" i="6"/>
  <c r="M2459" i="6"/>
  <c r="L2459" i="6"/>
  <c r="P2488" i="6"/>
  <c r="O2488" i="6"/>
  <c r="M2488" i="6"/>
  <c r="N2488" i="6"/>
  <c r="L2488" i="6"/>
  <c r="M1181" i="6"/>
  <c r="P1181" i="6"/>
  <c r="N1181" i="6"/>
  <c r="O1181" i="6"/>
  <c r="L1181" i="6"/>
  <c r="P820" i="6"/>
  <c r="M820" i="6"/>
  <c r="N820" i="6" s="1"/>
  <c r="L820" i="6"/>
  <c r="O820" i="6" s="1"/>
  <c r="M375" i="6"/>
  <c r="N375" i="6" s="1"/>
  <c r="L375" i="6"/>
  <c r="O375" i="6" s="1"/>
  <c r="P375" i="6"/>
  <c r="L1458" i="6"/>
  <c r="O1458" i="6"/>
  <c r="N1458" i="6"/>
  <c r="M1458" i="6"/>
  <c r="P1458" i="6"/>
  <c r="M1155" i="6"/>
  <c r="L1155" i="6"/>
  <c r="P1155" i="6"/>
  <c r="O1155" i="6"/>
  <c r="N1155" i="6"/>
  <c r="P133" i="6"/>
  <c r="M133" i="6"/>
  <c r="N133" i="6" s="1"/>
  <c r="L133" i="6"/>
  <c r="P453" i="6"/>
  <c r="M453" i="6"/>
  <c r="N453" i="6" s="1"/>
  <c r="L453" i="6"/>
  <c r="O453" i="6" s="1"/>
  <c r="P302" i="6"/>
  <c r="M302" i="6"/>
  <c r="N302" i="6" s="1"/>
  <c r="L302" i="6"/>
  <c r="P77" i="6"/>
  <c r="L77" i="6"/>
  <c r="M77" i="6"/>
  <c r="N77" i="6" s="1"/>
  <c r="M645" i="6"/>
  <c r="N645" i="6" s="1"/>
  <c r="L645" i="6"/>
  <c r="O645" i="6" s="1"/>
  <c r="P645" i="6"/>
  <c r="L468" i="6"/>
  <c r="M468" i="6"/>
  <c r="N468" i="6" s="1"/>
  <c r="P468" i="6"/>
  <c r="P379" i="6"/>
  <c r="M379" i="6"/>
  <c r="N379" i="6" s="1"/>
  <c r="L379" i="6"/>
  <c r="P145" i="6"/>
  <c r="M145" i="6"/>
  <c r="N145" i="6" s="1"/>
  <c r="L145" i="6"/>
  <c r="N1654" i="6"/>
  <c r="L1654" i="6"/>
  <c r="P1654" i="6"/>
  <c r="O1654" i="6"/>
  <c r="M1654" i="6"/>
  <c r="M556" i="6"/>
  <c r="N556" i="6" s="1"/>
  <c r="L556" i="6"/>
  <c r="O556" i="6" s="1"/>
  <c r="P556" i="6"/>
  <c r="P981" i="6"/>
  <c r="M981" i="6"/>
  <c r="N981" i="6" s="1"/>
  <c r="L981" i="6"/>
  <c r="P1682" i="6"/>
  <c r="N1682" i="6"/>
  <c r="M1682" i="6"/>
  <c r="O1682" i="6"/>
  <c r="L1682" i="6"/>
  <c r="P644" i="6"/>
  <c r="M644" i="6"/>
  <c r="N644" i="6" s="1"/>
  <c r="L644" i="6"/>
  <c r="O644" i="6" s="1"/>
  <c r="L1244" i="6"/>
  <c r="P1244" i="6"/>
  <c r="O1244" i="6"/>
  <c r="N1244" i="6"/>
  <c r="M1244" i="6"/>
  <c r="P72" i="6"/>
  <c r="L72" i="6"/>
  <c r="M72" i="6"/>
  <c r="N72" i="6" s="1"/>
  <c r="P170" i="6"/>
  <c r="L170" i="6"/>
  <c r="M170" i="6"/>
  <c r="N170" i="6" s="1"/>
  <c r="P268" i="6"/>
  <c r="L268" i="6"/>
  <c r="M268" i="6"/>
  <c r="N268" i="6" s="1"/>
  <c r="P366" i="6"/>
  <c r="L366" i="6"/>
  <c r="M366" i="6"/>
  <c r="N366" i="6" s="1"/>
  <c r="L609" i="6"/>
  <c r="O609" i="6" s="1"/>
  <c r="P609" i="6"/>
  <c r="M609" i="6"/>
  <c r="N609" i="6" s="1"/>
  <c r="P1003" i="6"/>
  <c r="M1003" i="6"/>
  <c r="N1003" i="6" s="1"/>
  <c r="L1003" i="6"/>
  <c r="O1003" i="6" s="1"/>
  <c r="P432" i="6"/>
  <c r="M432" i="6"/>
  <c r="N432" i="6" s="1"/>
  <c r="L432" i="6"/>
  <c r="L675" i="6"/>
  <c r="O675" i="6" s="1"/>
  <c r="M675" i="6"/>
  <c r="N675" i="6" s="1"/>
  <c r="P675" i="6"/>
  <c r="P1051" i="6"/>
  <c r="M1051" i="6"/>
  <c r="N1051" i="6" s="1"/>
  <c r="L1051" i="6"/>
  <c r="O1051" i="6" s="1"/>
  <c r="M10" i="6"/>
  <c r="N10" i="6" s="1"/>
  <c r="L10" i="6"/>
  <c r="O10" i="6" s="1"/>
  <c r="P10" i="6"/>
  <c r="M108" i="6"/>
  <c r="N108" i="6" s="1"/>
  <c r="L108" i="6"/>
  <c r="O108" i="6" s="1"/>
  <c r="P108" i="6"/>
  <c r="M206" i="6"/>
  <c r="N206" i="6" s="1"/>
  <c r="L206" i="6"/>
  <c r="O206" i="6" s="1"/>
  <c r="P206" i="6"/>
  <c r="M304" i="6"/>
  <c r="N304" i="6" s="1"/>
  <c r="L304" i="6"/>
  <c r="P304" i="6"/>
  <c r="L428" i="6"/>
  <c r="O428" i="6" s="1"/>
  <c r="P428" i="6"/>
  <c r="M428" i="6"/>
  <c r="N428" i="6" s="1"/>
  <c r="L678" i="6"/>
  <c r="O678" i="6" s="1"/>
  <c r="P678" i="6"/>
  <c r="M678" i="6"/>
  <c r="N678" i="6" s="1"/>
  <c r="P2016" i="6"/>
  <c r="N2016" i="6"/>
  <c r="M2016" i="6"/>
  <c r="L2016" i="6"/>
  <c r="O2016" i="6"/>
  <c r="P614" i="6"/>
  <c r="M614" i="6"/>
  <c r="N614" i="6" s="1"/>
  <c r="L614" i="6"/>
  <c r="O614" i="6" s="1"/>
  <c r="L762" i="6"/>
  <c r="P762" i="6"/>
  <c r="M762" i="6"/>
  <c r="N762" i="6" s="1"/>
  <c r="P1101" i="6"/>
  <c r="M1101" i="6"/>
  <c r="N1101" i="6" s="1"/>
  <c r="L1101" i="6"/>
  <c r="O1101" i="6" s="1"/>
  <c r="P518" i="6"/>
  <c r="M518" i="6"/>
  <c r="N518" i="6" s="1"/>
  <c r="L518" i="6"/>
  <c r="L685" i="6"/>
  <c r="O685" i="6" s="1"/>
  <c r="M685" i="6"/>
  <c r="N685" i="6" s="1"/>
  <c r="P685" i="6"/>
  <c r="L827" i="6"/>
  <c r="P827" i="6"/>
  <c r="M827" i="6"/>
  <c r="N827" i="6" s="1"/>
  <c r="P519" i="6"/>
  <c r="M519" i="6"/>
  <c r="N519" i="6" s="1"/>
  <c r="L519" i="6"/>
  <c r="P911" i="6"/>
  <c r="M911" i="6"/>
  <c r="N911" i="6" s="1"/>
  <c r="L911" i="6"/>
  <c r="P1175" i="6"/>
  <c r="O1175" i="6"/>
  <c r="N1175" i="6"/>
  <c r="M1175" i="6"/>
  <c r="L1175" i="6"/>
  <c r="P537" i="6"/>
  <c r="M537" i="6"/>
  <c r="N537" i="6" s="1"/>
  <c r="L537" i="6"/>
  <c r="O537" i="6" s="1"/>
  <c r="L706" i="6"/>
  <c r="O706" i="6" s="1"/>
  <c r="M706" i="6"/>
  <c r="N706" i="6" s="1"/>
  <c r="P706" i="6"/>
  <c r="M854" i="6"/>
  <c r="N854" i="6" s="1"/>
  <c r="L854" i="6"/>
  <c r="P854" i="6"/>
  <c r="P408" i="6"/>
  <c r="M408" i="6"/>
  <c r="N408" i="6" s="1"/>
  <c r="L408" i="6"/>
  <c r="P570" i="6"/>
  <c r="M570" i="6"/>
  <c r="N570" i="6" s="1"/>
  <c r="L570" i="6"/>
  <c r="O570" i="6" s="1"/>
  <c r="P944" i="6"/>
  <c r="L944" i="6"/>
  <c r="M944" i="6"/>
  <c r="N944" i="6" s="1"/>
  <c r="P1177" i="6"/>
  <c r="M1177" i="6"/>
  <c r="L1177" i="6"/>
  <c r="O1177" i="6"/>
  <c r="N1177" i="6"/>
  <c r="P731" i="6"/>
  <c r="L731" i="6"/>
  <c r="O731" i="6" s="1"/>
  <c r="M731" i="6"/>
  <c r="N731" i="6" s="1"/>
  <c r="P829" i="6"/>
  <c r="L829" i="6"/>
  <c r="M829" i="6"/>
  <c r="N829" i="6" s="1"/>
  <c r="O1236" i="6"/>
  <c r="N1236" i="6"/>
  <c r="L1236" i="6"/>
  <c r="P1236" i="6"/>
  <c r="M1236" i="6"/>
  <c r="P881" i="6"/>
  <c r="L881" i="6"/>
  <c r="O881" i="6" s="1"/>
  <c r="M881" i="6"/>
  <c r="N881" i="6" s="1"/>
  <c r="P1049" i="6"/>
  <c r="L1049" i="6"/>
  <c r="O1049" i="6" s="1"/>
  <c r="M1049" i="6"/>
  <c r="N1049" i="6" s="1"/>
  <c r="N1289" i="6"/>
  <c r="O1289" i="6"/>
  <c r="M1289" i="6"/>
  <c r="L1289" i="6"/>
  <c r="P1289" i="6"/>
  <c r="P711" i="6"/>
  <c r="M711" i="6"/>
  <c r="N711" i="6" s="1"/>
  <c r="L711" i="6"/>
  <c r="O711" i="6" s="1"/>
  <c r="P809" i="6"/>
  <c r="M809" i="6"/>
  <c r="N809" i="6" s="1"/>
  <c r="L809" i="6"/>
  <c r="O809" i="6" s="1"/>
  <c r="P1185" i="6"/>
  <c r="N1185" i="6"/>
  <c r="L1185" i="6"/>
  <c r="O1185" i="6"/>
  <c r="M1185" i="6"/>
  <c r="P923" i="6"/>
  <c r="L923" i="6"/>
  <c r="M923" i="6"/>
  <c r="N923" i="6" s="1"/>
  <c r="M1097" i="6"/>
  <c r="N1097" i="6" s="1"/>
  <c r="P1097" i="6"/>
  <c r="L1097" i="6"/>
  <c r="O1097" i="6" s="1"/>
  <c r="O1348" i="6"/>
  <c r="M1348" i="6"/>
  <c r="L1348" i="6"/>
  <c r="P1348" i="6"/>
  <c r="N1348" i="6"/>
  <c r="L1280" i="6"/>
  <c r="P1280" i="6"/>
  <c r="O1280" i="6"/>
  <c r="M1280" i="6"/>
  <c r="N1280" i="6"/>
  <c r="P1225" i="6"/>
  <c r="O1225" i="6"/>
  <c r="L1225" i="6"/>
  <c r="M1225" i="6"/>
  <c r="N1225" i="6"/>
  <c r="L920" i="6"/>
  <c r="M920" i="6"/>
  <c r="N920" i="6" s="1"/>
  <c r="P920" i="6"/>
  <c r="L1018" i="6"/>
  <c r="O1018" i="6" s="1"/>
  <c r="M1018" i="6"/>
  <c r="N1018" i="6" s="1"/>
  <c r="P1018" i="6"/>
  <c r="L1116" i="6"/>
  <c r="O1116" i="6" s="1"/>
  <c r="P1116" i="6"/>
  <c r="M1116" i="6"/>
  <c r="N1116" i="6" s="1"/>
  <c r="O1214" i="6"/>
  <c r="N1214" i="6"/>
  <c r="L1214" i="6"/>
  <c r="P1214" i="6"/>
  <c r="M1214" i="6"/>
  <c r="M949" i="6"/>
  <c r="N949" i="6" s="1"/>
  <c r="L949" i="6"/>
  <c r="O949" i="6" s="1"/>
  <c r="P949" i="6"/>
  <c r="M1047" i="6"/>
  <c r="N1047" i="6" s="1"/>
  <c r="L1047" i="6"/>
  <c r="O1047" i="6" s="1"/>
  <c r="P1047" i="6"/>
  <c r="O1145" i="6"/>
  <c r="M1145" i="6"/>
  <c r="L1145" i="6"/>
  <c r="P1145" i="6"/>
  <c r="N1145" i="6"/>
  <c r="P1322" i="6"/>
  <c r="N1322" i="6"/>
  <c r="M1322" i="6"/>
  <c r="L1322" i="6"/>
  <c r="O1322" i="6"/>
  <c r="P1395" i="6"/>
  <c r="O1395" i="6"/>
  <c r="L1395" i="6"/>
  <c r="N1395" i="6"/>
  <c r="M1395" i="6"/>
  <c r="P1578" i="6"/>
  <c r="N1578" i="6"/>
  <c r="M1578" i="6"/>
  <c r="L1578" i="6"/>
  <c r="O1578" i="6"/>
  <c r="P1437" i="6"/>
  <c r="N1437" i="6"/>
  <c r="M1437" i="6"/>
  <c r="L1437" i="6"/>
  <c r="O1437" i="6"/>
  <c r="P1316" i="6"/>
  <c r="O1316" i="6"/>
  <c r="N1316" i="6"/>
  <c r="L1316" i="6"/>
  <c r="M1316" i="6"/>
  <c r="L1461" i="6"/>
  <c r="O1461" i="6"/>
  <c r="N1461" i="6"/>
  <c r="M1461" i="6"/>
  <c r="P1461" i="6"/>
  <c r="L1419" i="6"/>
  <c r="O1419" i="6"/>
  <c r="N1419" i="6"/>
  <c r="M1419" i="6"/>
  <c r="P1419" i="6"/>
  <c r="O1324" i="6"/>
  <c r="N1324" i="6"/>
  <c r="M1324" i="6"/>
  <c r="L1324" i="6"/>
  <c r="P1324" i="6"/>
  <c r="P1515" i="6"/>
  <c r="O1515" i="6"/>
  <c r="L1515" i="6"/>
  <c r="M1515" i="6"/>
  <c r="N1515" i="6"/>
  <c r="L1878" i="6"/>
  <c r="O1878" i="6"/>
  <c r="M1878" i="6"/>
  <c r="P1878" i="6"/>
  <c r="N1878" i="6"/>
  <c r="O1290" i="6"/>
  <c r="L1290" i="6"/>
  <c r="M1290" i="6"/>
  <c r="P1290" i="6"/>
  <c r="N1290" i="6"/>
  <c r="L1646" i="6"/>
  <c r="M1646" i="6"/>
  <c r="O1646" i="6"/>
  <c r="N1646" i="6"/>
  <c r="P1646" i="6"/>
  <c r="P1838" i="6"/>
  <c r="O1838" i="6"/>
  <c r="N1838" i="6"/>
  <c r="M1838" i="6"/>
  <c r="L1838" i="6"/>
  <c r="P1773" i="6"/>
  <c r="O1773" i="6"/>
  <c r="N1773" i="6"/>
  <c r="L1773" i="6"/>
  <c r="M1773" i="6"/>
  <c r="N1628" i="6"/>
  <c r="M1628" i="6"/>
  <c r="P1628" i="6"/>
  <c r="O1628" i="6"/>
  <c r="L1628" i="6"/>
  <c r="P1754" i="6"/>
  <c r="N1754" i="6"/>
  <c r="M1754" i="6"/>
  <c r="O1754" i="6"/>
  <c r="L1754" i="6"/>
  <c r="P1610" i="6"/>
  <c r="N1610" i="6"/>
  <c r="M1610" i="6"/>
  <c r="O1610" i="6"/>
  <c r="L1610" i="6"/>
  <c r="M1809" i="6"/>
  <c r="L1809" i="6"/>
  <c r="O1809" i="6"/>
  <c r="P1809" i="6"/>
  <c r="N1809" i="6"/>
  <c r="O1577" i="6"/>
  <c r="M1577" i="6"/>
  <c r="L1577" i="6"/>
  <c r="P1577" i="6"/>
  <c r="N1577" i="6"/>
  <c r="P1872" i="6"/>
  <c r="O1872" i="6"/>
  <c r="N1872" i="6"/>
  <c r="M1872" i="6"/>
  <c r="L1872" i="6"/>
  <c r="N1776" i="6"/>
  <c r="L1776" i="6"/>
  <c r="O1776" i="6"/>
  <c r="M1776" i="6"/>
  <c r="P1776" i="6"/>
  <c r="M1794" i="6"/>
  <c r="N1794" i="6"/>
  <c r="P1794" i="6"/>
  <c r="L1794" i="6"/>
  <c r="O1794" i="6"/>
  <c r="N2063" i="6"/>
  <c r="L2063" i="6"/>
  <c r="M2063" i="6"/>
  <c r="P2063" i="6"/>
  <c r="O2063" i="6"/>
  <c r="N1701" i="6"/>
  <c r="L1701" i="6"/>
  <c r="P1701" i="6"/>
  <c r="M1701" i="6"/>
  <c r="O1701" i="6"/>
  <c r="P1853" i="6"/>
  <c r="O1853" i="6"/>
  <c r="N1853" i="6"/>
  <c r="L1853" i="6"/>
  <c r="M1853" i="6"/>
  <c r="M1541" i="6"/>
  <c r="L1541" i="6"/>
  <c r="O1541" i="6"/>
  <c r="P1541" i="6"/>
  <c r="N1541" i="6"/>
  <c r="M1879" i="6"/>
  <c r="L1879" i="6"/>
  <c r="O1879" i="6"/>
  <c r="N1879" i="6"/>
  <c r="P1879" i="6"/>
  <c r="P1580" i="6"/>
  <c r="O1580" i="6"/>
  <c r="M1580" i="6"/>
  <c r="L1580" i="6"/>
  <c r="N1580" i="6"/>
  <c r="N1867" i="6"/>
  <c r="L1867" i="6"/>
  <c r="P1867" i="6"/>
  <c r="O1867" i="6"/>
  <c r="M1867" i="6"/>
  <c r="L1622" i="6"/>
  <c r="P1622" i="6"/>
  <c r="O1622" i="6"/>
  <c r="N1622" i="6"/>
  <c r="M1622" i="6"/>
  <c r="P1722" i="6"/>
  <c r="M1722" i="6"/>
  <c r="L1722" i="6"/>
  <c r="O1722" i="6"/>
  <c r="N1722" i="6"/>
  <c r="P2035" i="6"/>
  <c r="N2035" i="6"/>
  <c r="M2035" i="6"/>
  <c r="L2035" i="6"/>
  <c r="O2035" i="6"/>
  <c r="O1420" i="6"/>
  <c r="L1420" i="6"/>
  <c r="P1420" i="6"/>
  <c r="N1420" i="6"/>
  <c r="M1420" i="6"/>
  <c r="O1518" i="6"/>
  <c r="N1518" i="6"/>
  <c r="M1518" i="6"/>
  <c r="P1518" i="6"/>
  <c r="L1518" i="6"/>
  <c r="N1849" i="6"/>
  <c r="M1849" i="6"/>
  <c r="L1849" i="6"/>
  <c r="O1849" i="6"/>
  <c r="P1849" i="6"/>
  <c r="O1358" i="6"/>
  <c r="M1358" i="6"/>
  <c r="N1358" i="6"/>
  <c r="L1358" i="6"/>
  <c r="P1358" i="6"/>
  <c r="O1456" i="6"/>
  <c r="M1456" i="6"/>
  <c r="P1456" i="6"/>
  <c r="L1456" i="6"/>
  <c r="N1456" i="6"/>
  <c r="O1554" i="6"/>
  <c r="M1554" i="6"/>
  <c r="L1554" i="6"/>
  <c r="P1554" i="6"/>
  <c r="N1554" i="6"/>
  <c r="P2168" i="6"/>
  <c r="O2168" i="6"/>
  <c r="N2168" i="6"/>
  <c r="L2168" i="6"/>
  <c r="M2168" i="6"/>
  <c r="P1655" i="6"/>
  <c r="O1655" i="6"/>
  <c r="N1655" i="6"/>
  <c r="L1655" i="6"/>
  <c r="M1655" i="6"/>
  <c r="P1753" i="6"/>
  <c r="O1753" i="6"/>
  <c r="L1753" i="6"/>
  <c r="N1753" i="6"/>
  <c r="M1753" i="6"/>
  <c r="M1912" i="6"/>
  <c r="L1912" i="6"/>
  <c r="P1912" i="6"/>
  <c r="N1912" i="6"/>
  <c r="O1912" i="6"/>
  <c r="L1945" i="6"/>
  <c r="O1945" i="6"/>
  <c r="N1945" i="6"/>
  <c r="M1945" i="6"/>
  <c r="P1945" i="6"/>
  <c r="P1934" i="6"/>
  <c r="M1934" i="6"/>
  <c r="L1934" i="6"/>
  <c r="N1934" i="6"/>
  <c r="O1934" i="6"/>
  <c r="M1991" i="6"/>
  <c r="L1991" i="6"/>
  <c r="O1991" i="6"/>
  <c r="N1991" i="6"/>
  <c r="P1991" i="6"/>
  <c r="O2015" i="6"/>
  <c r="M2015" i="6"/>
  <c r="L2015" i="6"/>
  <c r="P2015" i="6"/>
  <c r="N2015" i="6"/>
  <c r="P1827" i="6"/>
  <c r="O1827" i="6"/>
  <c r="N1827" i="6"/>
  <c r="M1827" i="6"/>
  <c r="L1827" i="6"/>
  <c r="P2065" i="6"/>
  <c r="N2065" i="6"/>
  <c r="M2065" i="6"/>
  <c r="L2065" i="6"/>
  <c r="O2065" i="6"/>
  <c r="N1930" i="6"/>
  <c r="L1930" i="6"/>
  <c r="P1930" i="6"/>
  <c r="O1930" i="6"/>
  <c r="M1930" i="6"/>
  <c r="M2266" i="6"/>
  <c r="P2266" i="6"/>
  <c r="L2266" i="6"/>
  <c r="N2266" i="6"/>
  <c r="O2266" i="6"/>
  <c r="P2000" i="6"/>
  <c r="O2000" i="6"/>
  <c r="N2000" i="6"/>
  <c r="M2000" i="6"/>
  <c r="L2000" i="6"/>
  <c r="P2349" i="6"/>
  <c r="O2349" i="6"/>
  <c r="N2349" i="6"/>
  <c r="L2349" i="6"/>
  <c r="M2349" i="6"/>
  <c r="N1980" i="6"/>
  <c r="M1980" i="6"/>
  <c r="L1980" i="6"/>
  <c r="P1980" i="6"/>
  <c r="O1980" i="6"/>
  <c r="O2259" i="6"/>
  <c r="M2259" i="6"/>
  <c r="L2259" i="6"/>
  <c r="P2259" i="6"/>
  <c r="N2259" i="6"/>
  <c r="P2191" i="6"/>
  <c r="N2191" i="6"/>
  <c r="M2191" i="6"/>
  <c r="L2191" i="6"/>
  <c r="O2191" i="6"/>
  <c r="P2105" i="6"/>
  <c r="O2105" i="6"/>
  <c r="N2105" i="6"/>
  <c r="L2105" i="6"/>
  <c r="M2105" i="6"/>
  <c r="P2024" i="6"/>
  <c r="O2024" i="6"/>
  <c r="M2024" i="6"/>
  <c r="L2024" i="6"/>
  <c r="N2024" i="6"/>
  <c r="P2122" i="6"/>
  <c r="O2122" i="6"/>
  <c r="N2122" i="6"/>
  <c r="L2122" i="6"/>
  <c r="M2122" i="6"/>
  <c r="M2342" i="6"/>
  <c r="L2342" i="6"/>
  <c r="P2342" i="6"/>
  <c r="N2342" i="6"/>
  <c r="O2342" i="6"/>
  <c r="O2032" i="6"/>
  <c r="N2032" i="6"/>
  <c r="M2032" i="6"/>
  <c r="P2032" i="6"/>
  <c r="L2032" i="6"/>
  <c r="P2130" i="6"/>
  <c r="O2130" i="6"/>
  <c r="N2130" i="6"/>
  <c r="M2130" i="6"/>
  <c r="L2130" i="6"/>
  <c r="P2219" i="6"/>
  <c r="O2219" i="6"/>
  <c r="M2219" i="6"/>
  <c r="L2219" i="6"/>
  <c r="N2219" i="6"/>
  <c r="P2169" i="6"/>
  <c r="O2169" i="6"/>
  <c r="N2169" i="6"/>
  <c r="L2169" i="6"/>
  <c r="M2169" i="6"/>
  <c r="L2354" i="6"/>
  <c r="P2354" i="6"/>
  <c r="N2354" i="6"/>
  <c r="M2354" i="6"/>
  <c r="O2354" i="6"/>
  <c r="N2244" i="6"/>
  <c r="L2244" i="6"/>
  <c r="P2244" i="6"/>
  <c r="O2244" i="6"/>
  <c r="M2244" i="6"/>
  <c r="N2300" i="6"/>
  <c r="M2300" i="6"/>
  <c r="L2300" i="6"/>
  <c r="P2300" i="6"/>
  <c r="O2300" i="6"/>
  <c r="P2251" i="6"/>
  <c r="O2251" i="6"/>
  <c r="N2251" i="6"/>
  <c r="M2251" i="6"/>
  <c r="L2251" i="6"/>
  <c r="O2278" i="6"/>
  <c r="N2278" i="6"/>
  <c r="M2278" i="6"/>
  <c r="P2278" i="6"/>
  <c r="L2278" i="6"/>
  <c r="O2392" i="6"/>
  <c r="N2392" i="6"/>
  <c r="M2392" i="6"/>
  <c r="L2392" i="6"/>
  <c r="P2392" i="6"/>
  <c r="P2345" i="6"/>
  <c r="N2345" i="6"/>
  <c r="M2345" i="6"/>
  <c r="O2345" i="6"/>
  <c r="L2345" i="6"/>
  <c r="P2330" i="6"/>
  <c r="O2330" i="6"/>
  <c r="N2330" i="6"/>
  <c r="M2330" i="6"/>
  <c r="L2330" i="6"/>
  <c r="P2352" i="6"/>
  <c r="O2352" i="6"/>
  <c r="N2352" i="6"/>
  <c r="M2352" i="6"/>
  <c r="L2352" i="6"/>
  <c r="N2492" i="6"/>
  <c r="L2492" i="6"/>
  <c r="P2492" i="6"/>
  <c r="M2492" i="6"/>
  <c r="O2492" i="6"/>
  <c r="P2399" i="6"/>
  <c r="L2399" i="6"/>
  <c r="O2399" i="6"/>
  <c r="N2399" i="6"/>
  <c r="M2399" i="6"/>
  <c r="L2479" i="6"/>
  <c r="N2479" i="6"/>
  <c r="P2479" i="6"/>
  <c r="O2479" i="6"/>
  <c r="M2479" i="6"/>
  <c r="N2429" i="6"/>
  <c r="L2429" i="6"/>
  <c r="P2429" i="6"/>
  <c r="O2429" i="6"/>
  <c r="M2429" i="6"/>
  <c r="O2466" i="6"/>
  <c r="P2466" i="6"/>
  <c r="N2466" i="6"/>
  <c r="L2466" i="6"/>
  <c r="M2466" i="6"/>
  <c r="P2495" i="6"/>
  <c r="O2495" i="6"/>
  <c r="M2495" i="6"/>
  <c r="N2495" i="6"/>
  <c r="L2495" i="6"/>
  <c r="L456" i="6"/>
  <c r="O456" i="6" s="1"/>
  <c r="M456" i="6"/>
  <c r="N456" i="6" s="1"/>
  <c r="P456" i="6"/>
  <c r="L410" i="6"/>
  <c r="M410" i="6"/>
  <c r="N410" i="6" s="1"/>
  <c r="P410" i="6"/>
  <c r="P306" i="6"/>
  <c r="M306" i="6"/>
  <c r="N306" i="6" s="1"/>
  <c r="L306" i="6"/>
  <c r="O306" i="6" s="1"/>
  <c r="O91" i="6"/>
  <c r="L407" i="6"/>
  <c r="O407" i="6" s="1"/>
  <c r="M407" i="6"/>
  <c r="N407" i="6" s="1"/>
  <c r="P407" i="6"/>
  <c r="P180" i="6"/>
  <c r="L180" i="6"/>
  <c r="M180" i="6"/>
  <c r="N180" i="6" s="1"/>
  <c r="P595" i="6"/>
  <c r="M595" i="6"/>
  <c r="N595" i="6" s="1"/>
  <c r="L595" i="6"/>
  <c r="O595" i="6" s="1"/>
  <c r="M423" i="6"/>
  <c r="N423" i="6" s="1"/>
  <c r="P423" i="6"/>
  <c r="L423" i="6"/>
  <c r="M333" i="6"/>
  <c r="N333" i="6" s="1"/>
  <c r="L333" i="6"/>
  <c r="P333" i="6"/>
  <c r="P89" i="6"/>
  <c r="M89" i="6"/>
  <c r="N89" i="6" s="1"/>
  <c r="L89" i="6"/>
  <c r="O89" i="6" s="1"/>
  <c r="O2064" i="6"/>
  <c r="M2064" i="6"/>
  <c r="L2064" i="6"/>
  <c r="P2064" i="6"/>
  <c r="N2064" i="6"/>
  <c r="L575" i="6"/>
  <c r="O575" i="6" s="1"/>
  <c r="M575" i="6"/>
  <c r="N575" i="6" s="1"/>
  <c r="P575" i="6"/>
  <c r="M1029" i="6"/>
  <c r="N1029" i="6" s="1"/>
  <c r="L1029" i="6"/>
  <c r="O1029" i="6" s="1"/>
  <c r="P1029" i="6"/>
  <c r="N1923" i="6"/>
  <c r="L1923" i="6"/>
  <c r="O1923" i="6"/>
  <c r="M1923" i="6"/>
  <c r="P1923" i="6"/>
  <c r="M653" i="6"/>
  <c r="N653" i="6" s="1"/>
  <c r="L653" i="6"/>
  <c r="O653" i="6" s="1"/>
  <c r="P653" i="6"/>
  <c r="M1312" i="6"/>
  <c r="L1312" i="6"/>
  <c r="P1312" i="6"/>
  <c r="N1312" i="6"/>
  <c r="O1312" i="6"/>
  <c r="P79" i="6"/>
  <c r="L79" i="6"/>
  <c r="M79" i="6"/>
  <c r="N79" i="6" s="1"/>
  <c r="P177" i="6"/>
  <c r="L177" i="6"/>
  <c r="O177" i="6" s="1"/>
  <c r="M177" i="6"/>
  <c r="N177" i="6" s="1"/>
  <c r="P275" i="6"/>
  <c r="L275" i="6"/>
  <c r="O275" i="6" s="1"/>
  <c r="M275" i="6"/>
  <c r="N275" i="6" s="1"/>
  <c r="P373" i="6"/>
  <c r="L373" i="6"/>
  <c r="O373" i="6" s="1"/>
  <c r="M373" i="6"/>
  <c r="N373" i="6" s="1"/>
  <c r="P628" i="6"/>
  <c r="M628" i="6"/>
  <c r="N628" i="6" s="1"/>
  <c r="L628" i="6"/>
  <c r="O628" i="6" s="1"/>
  <c r="M1118" i="6"/>
  <c r="N1118" i="6" s="1"/>
  <c r="P1118" i="6"/>
  <c r="L1118" i="6"/>
  <c r="O1118" i="6" s="1"/>
  <c r="P433" i="6"/>
  <c r="M433" i="6"/>
  <c r="N433" i="6" s="1"/>
  <c r="L433" i="6"/>
  <c r="O433" i="6" s="1"/>
  <c r="M705" i="6"/>
  <c r="N705" i="6" s="1"/>
  <c r="L705" i="6"/>
  <c r="O705" i="6" s="1"/>
  <c r="P705" i="6"/>
  <c r="P1078" i="6"/>
  <c r="M1078" i="6"/>
  <c r="N1078" i="6" s="1"/>
  <c r="L1078" i="6"/>
  <c r="O1078" i="6" s="1"/>
  <c r="M17" i="6"/>
  <c r="N17" i="6" s="1"/>
  <c r="L17" i="6"/>
  <c r="O17" i="6" s="1"/>
  <c r="P17" i="6"/>
  <c r="M115" i="6"/>
  <c r="N115" i="6" s="1"/>
  <c r="L115" i="6"/>
  <c r="P115" i="6"/>
  <c r="M213" i="6"/>
  <c r="N213" i="6" s="1"/>
  <c r="L213" i="6"/>
  <c r="P213" i="6"/>
  <c r="M311" i="6"/>
  <c r="N311" i="6" s="1"/>
  <c r="L311" i="6"/>
  <c r="O311" i="6" s="1"/>
  <c r="P311" i="6"/>
  <c r="P462" i="6"/>
  <c r="M462" i="6"/>
  <c r="N462" i="6" s="1"/>
  <c r="L462" i="6"/>
  <c r="O462" i="6" s="1"/>
  <c r="M726" i="6"/>
  <c r="N726" i="6" s="1"/>
  <c r="L726" i="6"/>
  <c r="O726" i="6" s="1"/>
  <c r="P726" i="6"/>
  <c r="P466" i="6"/>
  <c r="M466" i="6"/>
  <c r="N466" i="6" s="1"/>
  <c r="L466" i="6"/>
  <c r="P630" i="6"/>
  <c r="L630" i="6"/>
  <c r="O630" i="6" s="1"/>
  <c r="M630" i="6"/>
  <c r="N630" i="6" s="1"/>
  <c r="P779" i="6"/>
  <c r="M779" i="6"/>
  <c r="N779" i="6" s="1"/>
  <c r="L779" i="6"/>
  <c r="P1108" i="6"/>
  <c r="M1108" i="6"/>
  <c r="N1108" i="6" s="1"/>
  <c r="L1108" i="6"/>
  <c r="O1108" i="6" s="1"/>
  <c r="P534" i="6"/>
  <c r="M534" i="6"/>
  <c r="N534" i="6" s="1"/>
  <c r="L534" i="6"/>
  <c r="M702" i="6"/>
  <c r="N702" i="6" s="1"/>
  <c r="L702" i="6"/>
  <c r="O702" i="6" s="1"/>
  <c r="P702" i="6"/>
  <c r="L832" i="6"/>
  <c r="P832" i="6"/>
  <c r="M832" i="6"/>
  <c r="N832" i="6" s="1"/>
  <c r="P535" i="6"/>
  <c r="M535" i="6"/>
  <c r="N535" i="6" s="1"/>
  <c r="L535" i="6"/>
  <c r="M952" i="6"/>
  <c r="N952" i="6" s="1"/>
  <c r="L952" i="6"/>
  <c r="P952" i="6"/>
  <c r="M1182" i="6"/>
  <c r="L1182" i="6"/>
  <c r="P1182" i="6"/>
  <c r="O1182" i="6"/>
  <c r="N1182" i="6"/>
  <c r="P553" i="6"/>
  <c r="L553" i="6"/>
  <c r="O553" i="6" s="1"/>
  <c r="M553" i="6"/>
  <c r="N553" i="6" s="1"/>
  <c r="M723" i="6"/>
  <c r="N723" i="6" s="1"/>
  <c r="L723" i="6"/>
  <c r="O723" i="6" s="1"/>
  <c r="P723" i="6"/>
  <c r="P875" i="6"/>
  <c r="M875" i="6"/>
  <c r="N875" i="6" s="1"/>
  <c r="L875" i="6"/>
  <c r="O875" i="6" s="1"/>
  <c r="M415" i="6"/>
  <c r="N415" i="6" s="1"/>
  <c r="L415" i="6"/>
  <c r="P415" i="6"/>
  <c r="L587" i="6"/>
  <c r="O587" i="6" s="1"/>
  <c r="P587" i="6"/>
  <c r="M587" i="6"/>
  <c r="N587" i="6" s="1"/>
  <c r="M985" i="6"/>
  <c r="N985" i="6" s="1"/>
  <c r="P985" i="6"/>
  <c r="L985" i="6"/>
  <c r="P1184" i="6"/>
  <c r="O1184" i="6"/>
  <c r="N1184" i="6"/>
  <c r="L1184" i="6"/>
  <c r="M1184" i="6"/>
  <c r="P738" i="6"/>
  <c r="M738" i="6"/>
  <c r="N738" i="6" s="1"/>
  <c r="L738" i="6"/>
  <c r="P836" i="6"/>
  <c r="M836" i="6"/>
  <c r="N836" i="6" s="1"/>
  <c r="L836" i="6"/>
  <c r="P1246" i="6"/>
  <c r="L1246" i="6"/>
  <c r="O1246" i="6"/>
  <c r="N1246" i="6"/>
  <c r="M1246" i="6"/>
  <c r="P897" i="6"/>
  <c r="L897" i="6"/>
  <c r="M897" i="6"/>
  <c r="N897" i="6" s="1"/>
  <c r="P1071" i="6"/>
  <c r="M1071" i="6"/>
  <c r="N1071" i="6" s="1"/>
  <c r="L1071" i="6"/>
  <c r="O1071" i="6" s="1"/>
  <c r="M1314" i="6"/>
  <c r="P1314" i="6"/>
  <c r="O1314" i="6"/>
  <c r="N1314" i="6"/>
  <c r="L1314" i="6"/>
  <c r="P718" i="6"/>
  <c r="M718" i="6"/>
  <c r="N718" i="6" s="1"/>
  <c r="L718" i="6"/>
  <c r="O718" i="6" s="1"/>
  <c r="P816" i="6"/>
  <c r="M816" i="6"/>
  <c r="N816" i="6" s="1"/>
  <c r="L816" i="6"/>
  <c r="P1239" i="6"/>
  <c r="N1239" i="6"/>
  <c r="M1239" i="6"/>
  <c r="L1239" i="6"/>
  <c r="O1239" i="6"/>
  <c r="P945" i="6"/>
  <c r="M945" i="6"/>
  <c r="N945" i="6" s="1"/>
  <c r="L945" i="6"/>
  <c r="P1114" i="6"/>
  <c r="L1114" i="6"/>
  <c r="O1114" i="6" s="1"/>
  <c r="M1114" i="6"/>
  <c r="N1114" i="6" s="1"/>
  <c r="M1391" i="6"/>
  <c r="P1391" i="6"/>
  <c r="O1391" i="6"/>
  <c r="N1391" i="6"/>
  <c r="L1391" i="6"/>
  <c r="P1281" i="6"/>
  <c r="O1281" i="6"/>
  <c r="N1281" i="6"/>
  <c r="M1281" i="6"/>
  <c r="L1281" i="6"/>
  <c r="M1270" i="6"/>
  <c r="O1270" i="6"/>
  <c r="P1270" i="6"/>
  <c r="N1270" i="6"/>
  <c r="L1270" i="6"/>
  <c r="L927" i="6"/>
  <c r="O927" i="6" s="1"/>
  <c r="P927" i="6"/>
  <c r="M927" i="6"/>
  <c r="N927" i="6" s="1"/>
  <c r="L1025" i="6"/>
  <c r="O1025" i="6" s="1"/>
  <c r="P1025" i="6"/>
  <c r="M1025" i="6"/>
  <c r="N1025" i="6" s="1"/>
  <c r="L1123" i="6"/>
  <c r="O1123" i="6" s="1"/>
  <c r="P1123" i="6"/>
  <c r="M1123" i="6"/>
  <c r="N1123" i="6" s="1"/>
  <c r="N1268" i="6"/>
  <c r="P1268" i="6"/>
  <c r="M1268" i="6"/>
  <c r="O1268" i="6"/>
  <c r="L1268" i="6"/>
  <c r="M956" i="6"/>
  <c r="N956" i="6" s="1"/>
  <c r="L956" i="6"/>
  <c r="P956" i="6"/>
  <c r="M1054" i="6"/>
  <c r="N1054" i="6" s="1"/>
  <c r="L1054" i="6"/>
  <c r="O1054" i="6" s="1"/>
  <c r="P1054" i="6"/>
  <c r="O1152" i="6"/>
  <c r="M1152" i="6"/>
  <c r="L1152" i="6"/>
  <c r="P1152" i="6"/>
  <c r="N1152" i="6"/>
  <c r="P1327" i="6"/>
  <c r="N1327" i="6"/>
  <c r="O1327" i="6"/>
  <c r="M1327" i="6"/>
  <c r="L1327" i="6"/>
  <c r="O1530" i="6"/>
  <c r="N1530" i="6"/>
  <c r="P1530" i="6"/>
  <c r="L1530" i="6"/>
  <c r="M1530" i="6"/>
  <c r="N1586" i="6"/>
  <c r="M1586" i="6"/>
  <c r="P1586" i="6"/>
  <c r="L1586" i="6"/>
  <c r="O1586" i="6"/>
  <c r="P1440" i="6"/>
  <c r="O1440" i="6"/>
  <c r="M1440" i="6"/>
  <c r="L1440" i="6"/>
  <c r="N1440" i="6"/>
  <c r="P1323" i="6"/>
  <c r="O1323" i="6"/>
  <c r="N1323" i="6"/>
  <c r="M1323" i="6"/>
  <c r="L1323" i="6"/>
  <c r="P1472" i="6"/>
  <c r="O1472" i="6"/>
  <c r="N1472" i="6"/>
  <c r="M1472" i="6"/>
  <c r="L1472" i="6"/>
  <c r="M1429" i="6"/>
  <c r="P1429" i="6"/>
  <c r="O1429" i="6"/>
  <c r="N1429" i="6"/>
  <c r="L1429" i="6"/>
  <c r="M1331" i="6"/>
  <c r="P1331" i="6"/>
  <c r="O1331" i="6"/>
  <c r="L1331" i="6"/>
  <c r="N1331" i="6"/>
  <c r="P1538" i="6"/>
  <c r="N1538" i="6"/>
  <c r="L1538" i="6"/>
  <c r="O1538" i="6"/>
  <c r="M1538" i="6"/>
  <c r="P1922" i="6"/>
  <c r="N1922" i="6"/>
  <c r="M1922" i="6"/>
  <c r="L1922" i="6"/>
  <c r="O1922" i="6"/>
  <c r="O1297" i="6"/>
  <c r="M1297" i="6"/>
  <c r="L1297" i="6"/>
  <c r="P1297" i="6"/>
  <c r="N1297" i="6"/>
  <c r="P1733" i="6"/>
  <c r="N1733" i="6"/>
  <c r="M1733" i="6"/>
  <c r="O1733" i="6"/>
  <c r="L1733" i="6"/>
  <c r="P1933" i="6"/>
  <c r="O1933" i="6"/>
  <c r="N1933" i="6"/>
  <c r="M1933" i="6"/>
  <c r="L1933" i="6"/>
  <c r="P1889" i="6"/>
  <c r="L1889" i="6"/>
  <c r="M1889" i="6"/>
  <c r="O1889" i="6"/>
  <c r="N1889" i="6"/>
  <c r="L1647" i="6"/>
  <c r="P1647" i="6"/>
  <c r="N1647" i="6"/>
  <c r="M1647" i="6"/>
  <c r="O1647" i="6"/>
  <c r="L1770" i="6"/>
  <c r="M1770" i="6"/>
  <c r="N1770" i="6"/>
  <c r="O1770" i="6"/>
  <c r="P1770" i="6"/>
  <c r="L1615" i="6"/>
  <c r="P1615" i="6"/>
  <c r="O1615" i="6"/>
  <c r="N1615" i="6"/>
  <c r="M1615" i="6"/>
  <c r="M1811" i="6"/>
  <c r="L1811" i="6"/>
  <c r="N1811" i="6"/>
  <c r="O1811" i="6"/>
  <c r="P1811" i="6"/>
  <c r="M1584" i="6"/>
  <c r="O1584" i="6"/>
  <c r="N1584" i="6"/>
  <c r="L1584" i="6"/>
  <c r="P1584" i="6"/>
  <c r="P2335" i="6"/>
  <c r="O2335" i="6"/>
  <c r="M2335" i="6"/>
  <c r="L2335" i="6"/>
  <c r="N2335" i="6"/>
  <c r="N1801" i="6"/>
  <c r="L1801" i="6"/>
  <c r="O1801" i="6"/>
  <c r="P1801" i="6"/>
  <c r="M1801" i="6"/>
  <c r="N1807" i="6"/>
  <c r="M1807" i="6"/>
  <c r="P1807" i="6"/>
  <c r="O1807" i="6"/>
  <c r="L1807" i="6"/>
  <c r="P2134" i="6"/>
  <c r="O2134" i="6"/>
  <c r="N2134" i="6"/>
  <c r="M2134" i="6"/>
  <c r="L2134" i="6"/>
  <c r="N1705" i="6"/>
  <c r="M1705" i="6"/>
  <c r="P1705" i="6"/>
  <c r="L1705" i="6"/>
  <c r="O1705" i="6"/>
  <c r="L1857" i="6"/>
  <c r="P1857" i="6"/>
  <c r="O1857" i="6"/>
  <c r="N1857" i="6"/>
  <c r="M1857" i="6"/>
  <c r="P1552" i="6"/>
  <c r="O1552" i="6"/>
  <c r="N1552" i="6"/>
  <c r="M1552" i="6"/>
  <c r="L1552" i="6"/>
  <c r="M2013" i="6"/>
  <c r="O2013" i="6"/>
  <c r="N2013" i="6"/>
  <c r="L2013" i="6"/>
  <c r="P2013" i="6"/>
  <c r="L1596" i="6"/>
  <c r="P1596" i="6"/>
  <c r="O1596" i="6"/>
  <c r="N1596" i="6"/>
  <c r="M1596" i="6"/>
  <c r="O1887" i="6"/>
  <c r="N1887" i="6"/>
  <c r="P1887" i="6"/>
  <c r="M1887" i="6"/>
  <c r="L1887" i="6"/>
  <c r="L1623" i="6"/>
  <c r="N1623" i="6"/>
  <c r="P1623" i="6"/>
  <c r="O1623" i="6"/>
  <c r="M1623" i="6"/>
  <c r="P1723" i="6"/>
  <c r="O1723" i="6"/>
  <c r="M1723" i="6"/>
  <c r="N1723" i="6"/>
  <c r="L1723" i="6"/>
  <c r="N2044" i="6"/>
  <c r="L2044" i="6"/>
  <c r="P2044" i="6"/>
  <c r="O2044" i="6"/>
  <c r="M2044" i="6"/>
  <c r="O1427" i="6"/>
  <c r="N1427" i="6"/>
  <c r="P1427" i="6"/>
  <c r="M1427" i="6"/>
  <c r="L1427" i="6"/>
  <c r="O1525" i="6"/>
  <c r="N1525" i="6"/>
  <c r="P1525" i="6"/>
  <c r="M1525" i="6"/>
  <c r="L1525" i="6"/>
  <c r="N1877" i="6"/>
  <c r="M1877" i="6"/>
  <c r="L1877" i="6"/>
  <c r="P1877" i="6"/>
  <c r="O1877" i="6"/>
  <c r="O1365" i="6"/>
  <c r="M1365" i="6"/>
  <c r="N1365" i="6"/>
  <c r="L1365" i="6"/>
  <c r="P1365" i="6"/>
  <c r="O1463" i="6"/>
  <c r="M1463" i="6"/>
  <c r="L1463" i="6"/>
  <c r="P1463" i="6"/>
  <c r="N1463" i="6"/>
  <c r="O1561" i="6"/>
  <c r="M1561" i="6"/>
  <c r="L1561" i="6"/>
  <c r="P1561" i="6"/>
  <c r="N1561" i="6"/>
  <c r="O2264" i="6"/>
  <c r="N2264" i="6"/>
  <c r="M2264" i="6"/>
  <c r="P2264" i="6"/>
  <c r="L2264" i="6"/>
  <c r="P1662" i="6"/>
  <c r="O1662" i="6"/>
  <c r="N1662" i="6"/>
  <c r="M1662" i="6"/>
  <c r="L1662" i="6"/>
  <c r="P1760" i="6"/>
  <c r="O1760" i="6"/>
  <c r="L1760" i="6"/>
  <c r="N1760" i="6"/>
  <c r="M1760" i="6"/>
  <c r="N1937" i="6"/>
  <c r="L1937" i="6"/>
  <c r="O1937" i="6"/>
  <c r="M1937" i="6"/>
  <c r="P1937" i="6"/>
  <c r="P1962" i="6"/>
  <c r="O1962" i="6"/>
  <c r="N1962" i="6"/>
  <c r="M1962" i="6"/>
  <c r="L1962" i="6"/>
  <c r="L1959" i="6"/>
  <c r="O1959" i="6"/>
  <c r="N1959" i="6"/>
  <c r="M1959" i="6"/>
  <c r="P1959" i="6"/>
  <c r="L2021" i="6"/>
  <c r="N2021" i="6"/>
  <c r="O2021" i="6"/>
  <c r="P2021" i="6"/>
  <c r="M2021" i="6"/>
  <c r="M2043" i="6"/>
  <c r="P2043" i="6"/>
  <c r="O2043" i="6"/>
  <c r="L2043" i="6"/>
  <c r="N2043" i="6"/>
  <c r="P1834" i="6"/>
  <c r="O1834" i="6"/>
  <c r="N1834" i="6"/>
  <c r="L1834" i="6"/>
  <c r="M1834" i="6"/>
  <c r="P2076" i="6"/>
  <c r="O2076" i="6"/>
  <c r="N2076" i="6"/>
  <c r="M2076" i="6"/>
  <c r="L2076" i="6"/>
  <c r="P1947" i="6"/>
  <c r="O1947" i="6"/>
  <c r="N1947" i="6"/>
  <c r="L1947" i="6"/>
  <c r="M1947" i="6"/>
  <c r="N2343" i="6"/>
  <c r="M2343" i="6"/>
  <c r="L2343" i="6"/>
  <c r="P2343" i="6"/>
  <c r="O2343" i="6"/>
  <c r="M2019" i="6"/>
  <c r="L2019" i="6"/>
  <c r="P2019" i="6"/>
  <c r="O2019" i="6"/>
  <c r="N2019" i="6"/>
  <c r="M2362" i="6"/>
  <c r="L2362" i="6"/>
  <c r="O2362" i="6"/>
  <c r="P2362" i="6"/>
  <c r="N2362" i="6"/>
  <c r="M1999" i="6"/>
  <c r="L1999" i="6"/>
  <c r="P1999" i="6"/>
  <c r="N1999" i="6"/>
  <c r="O1999" i="6"/>
  <c r="N2283" i="6"/>
  <c r="L2283" i="6"/>
  <c r="M2283" i="6"/>
  <c r="P2283" i="6"/>
  <c r="O2283" i="6"/>
  <c r="O2198" i="6"/>
  <c r="N2198" i="6"/>
  <c r="M2198" i="6"/>
  <c r="P2198" i="6"/>
  <c r="L2198" i="6"/>
  <c r="P2229" i="6"/>
  <c r="N2229" i="6"/>
  <c r="M2229" i="6"/>
  <c r="L2229" i="6"/>
  <c r="O2229" i="6"/>
  <c r="P2031" i="6"/>
  <c r="O2031" i="6"/>
  <c r="N2031" i="6"/>
  <c r="M2031" i="6"/>
  <c r="L2031" i="6"/>
  <c r="P2129" i="6"/>
  <c r="O2129" i="6"/>
  <c r="N2129" i="6"/>
  <c r="L2129" i="6"/>
  <c r="M2129" i="6"/>
  <c r="P2163" i="6"/>
  <c r="N2163" i="6"/>
  <c r="M2163" i="6"/>
  <c r="L2163" i="6"/>
  <c r="O2163" i="6"/>
  <c r="O2039" i="6"/>
  <c r="N2039" i="6"/>
  <c r="M2039" i="6"/>
  <c r="P2039" i="6"/>
  <c r="L2039" i="6"/>
  <c r="P2137" i="6"/>
  <c r="O2137" i="6"/>
  <c r="N2137" i="6"/>
  <c r="M2137" i="6"/>
  <c r="L2137" i="6"/>
  <c r="P2222" i="6"/>
  <c r="N2222" i="6"/>
  <c r="M2222" i="6"/>
  <c r="O2222" i="6"/>
  <c r="L2222" i="6"/>
  <c r="P2176" i="6"/>
  <c r="O2176" i="6"/>
  <c r="N2176" i="6"/>
  <c r="M2176" i="6"/>
  <c r="L2176" i="6"/>
  <c r="M2363" i="6"/>
  <c r="N2363" i="6"/>
  <c r="L2363" i="6"/>
  <c r="O2363" i="6"/>
  <c r="P2363" i="6"/>
  <c r="L2263" i="6"/>
  <c r="N2263" i="6"/>
  <c r="M2263" i="6"/>
  <c r="O2263" i="6"/>
  <c r="P2263" i="6"/>
  <c r="P2303" i="6"/>
  <c r="N2303" i="6"/>
  <c r="M2303" i="6"/>
  <c r="L2303" i="6"/>
  <c r="O2303" i="6"/>
  <c r="O2272" i="6"/>
  <c r="N2272" i="6"/>
  <c r="M2272" i="6"/>
  <c r="L2272" i="6"/>
  <c r="P2272" i="6"/>
  <c r="N2297" i="6"/>
  <c r="L2297" i="6"/>
  <c r="P2297" i="6"/>
  <c r="O2297" i="6"/>
  <c r="M2297" i="6"/>
  <c r="O2397" i="6"/>
  <c r="N2397" i="6"/>
  <c r="M2397" i="6"/>
  <c r="L2397" i="6"/>
  <c r="P2397" i="6"/>
  <c r="O2390" i="6"/>
  <c r="N2390" i="6"/>
  <c r="M2390" i="6"/>
  <c r="L2390" i="6"/>
  <c r="P2390" i="6"/>
  <c r="P2337" i="6"/>
  <c r="O2337" i="6"/>
  <c r="M2337" i="6"/>
  <c r="N2337" i="6"/>
  <c r="L2337" i="6"/>
  <c r="P2359" i="6"/>
  <c r="O2359" i="6"/>
  <c r="N2359" i="6"/>
  <c r="M2359" i="6"/>
  <c r="L2359" i="6"/>
  <c r="P2368" i="6"/>
  <c r="O2368" i="6"/>
  <c r="N2368" i="6"/>
  <c r="M2368" i="6"/>
  <c r="L2368" i="6"/>
  <c r="N2468" i="6"/>
  <c r="M2468" i="6"/>
  <c r="L2468" i="6"/>
  <c r="P2468" i="6"/>
  <c r="O2468" i="6"/>
  <c r="N2485" i="6"/>
  <c r="L2485" i="6"/>
  <c r="O2485" i="6"/>
  <c r="P2485" i="6"/>
  <c r="M2485" i="6"/>
  <c r="L2451" i="6"/>
  <c r="P2451" i="6"/>
  <c r="O2451" i="6"/>
  <c r="N2451" i="6"/>
  <c r="M2451" i="6"/>
  <c r="O2473" i="6"/>
  <c r="L2473" i="6"/>
  <c r="N2473" i="6"/>
  <c r="M2473" i="6"/>
  <c r="P2473" i="6"/>
  <c r="P2427" i="6"/>
  <c r="O2427" i="6"/>
  <c r="N2427" i="6"/>
  <c r="M2427" i="6"/>
  <c r="L2427" i="6"/>
  <c r="P8" i="6"/>
  <c r="M8" i="6"/>
  <c r="N8" i="6" s="1"/>
  <c r="L8" i="6"/>
  <c r="O8" i="6" s="1"/>
  <c r="P412" i="6"/>
  <c r="L412" i="6"/>
  <c r="O412" i="6" s="1"/>
  <c r="M412" i="6"/>
  <c r="N412" i="6" s="1"/>
  <c r="P85" i="6"/>
  <c r="M85" i="6"/>
  <c r="N85" i="6" s="1"/>
  <c r="L85" i="6"/>
  <c r="M715" i="6"/>
  <c r="N715" i="6" s="1"/>
  <c r="L715" i="6"/>
  <c r="O715" i="6" s="1"/>
  <c r="P715" i="6"/>
  <c r="P259" i="6"/>
  <c r="L259" i="6"/>
  <c r="O259" i="6" s="1"/>
  <c r="M259" i="6"/>
  <c r="N259" i="6" s="1"/>
  <c r="M137" i="6"/>
  <c r="N137" i="6" s="1"/>
  <c r="L137" i="6"/>
  <c r="P137" i="6"/>
  <c r="P40" i="6"/>
  <c r="M40" i="6"/>
  <c r="N40" i="6" s="1"/>
  <c r="L40" i="6"/>
  <c r="M395" i="6"/>
  <c r="N395" i="6" s="1"/>
  <c r="P395" i="6"/>
  <c r="L395" i="6"/>
  <c r="L594" i="6"/>
  <c r="O594" i="6" s="1"/>
  <c r="P594" i="6"/>
  <c r="M594" i="6"/>
  <c r="N594" i="6" s="1"/>
  <c r="P1059" i="6"/>
  <c r="L1059" i="6"/>
  <c r="O1059" i="6" s="1"/>
  <c r="M1059" i="6"/>
  <c r="N1059" i="6" s="1"/>
  <c r="M437" i="6"/>
  <c r="N437" i="6" s="1"/>
  <c r="P437" i="6"/>
  <c r="L437" i="6"/>
  <c r="O437" i="6" s="1"/>
  <c r="M672" i="6"/>
  <c r="N672" i="6" s="1"/>
  <c r="L672" i="6"/>
  <c r="O672" i="6" s="1"/>
  <c r="P672" i="6"/>
  <c r="P1389" i="6"/>
  <c r="O1389" i="6"/>
  <c r="M1389" i="6"/>
  <c r="N1389" i="6"/>
  <c r="L1389" i="6"/>
  <c r="P86" i="6"/>
  <c r="L86" i="6"/>
  <c r="O86" i="6" s="1"/>
  <c r="M86" i="6"/>
  <c r="N86" i="6" s="1"/>
  <c r="P184" i="6"/>
  <c r="L184" i="6"/>
  <c r="O184" i="6" s="1"/>
  <c r="M184" i="6"/>
  <c r="N184" i="6" s="1"/>
  <c r="P282" i="6"/>
  <c r="L282" i="6"/>
  <c r="O282" i="6" s="1"/>
  <c r="M282" i="6"/>
  <c r="N282" i="6" s="1"/>
  <c r="P380" i="6"/>
  <c r="L380" i="6"/>
  <c r="O380" i="6" s="1"/>
  <c r="M380" i="6"/>
  <c r="N380" i="6" s="1"/>
  <c r="M637" i="6"/>
  <c r="N637" i="6" s="1"/>
  <c r="L637" i="6"/>
  <c r="O637" i="6" s="1"/>
  <c r="P637" i="6"/>
  <c r="P1150" i="6"/>
  <c r="N1150" i="6"/>
  <c r="M1150" i="6"/>
  <c r="L1150" i="6"/>
  <c r="O1150" i="6"/>
  <c r="P463" i="6"/>
  <c r="M463" i="6"/>
  <c r="N463" i="6" s="1"/>
  <c r="L463" i="6"/>
  <c r="O463" i="6" s="1"/>
  <c r="L720" i="6"/>
  <c r="O720" i="6" s="1"/>
  <c r="M720" i="6"/>
  <c r="N720" i="6" s="1"/>
  <c r="P720" i="6"/>
  <c r="M1099" i="6"/>
  <c r="N1099" i="6" s="1"/>
  <c r="L1099" i="6"/>
  <c r="O1099" i="6" s="1"/>
  <c r="P1099" i="6"/>
  <c r="M24" i="6"/>
  <c r="N24" i="6" s="1"/>
  <c r="L24" i="6"/>
  <c r="O24" i="6" s="1"/>
  <c r="P24" i="6"/>
  <c r="M122" i="6"/>
  <c r="N122" i="6" s="1"/>
  <c r="L122" i="6"/>
  <c r="O122" i="6" s="1"/>
  <c r="P122" i="6"/>
  <c r="M220" i="6"/>
  <c r="N220" i="6" s="1"/>
  <c r="L220" i="6"/>
  <c r="P220" i="6"/>
  <c r="M318" i="6"/>
  <c r="N318" i="6" s="1"/>
  <c r="L318" i="6"/>
  <c r="P318" i="6"/>
  <c r="P473" i="6"/>
  <c r="L473" i="6"/>
  <c r="M473" i="6"/>
  <c r="N473" i="6" s="1"/>
  <c r="L741" i="6"/>
  <c r="O741" i="6" s="1"/>
  <c r="P741" i="6"/>
  <c r="M741" i="6"/>
  <c r="N741" i="6" s="1"/>
  <c r="P467" i="6"/>
  <c r="M467" i="6"/>
  <c r="N467" i="6" s="1"/>
  <c r="L467" i="6"/>
  <c r="O467" i="6" s="1"/>
  <c r="P646" i="6"/>
  <c r="M646" i="6"/>
  <c r="N646" i="6" s="1"/>
  <c r="L646" i="6"/>
  <c r="O646" i="6" s="1"/>
  <c r="M784" i="6"/>
  <c r="N784" i="6" s="1"/>
  <c r="L784" i="6"/>
  <c r="P784" i="6"/>
  <c r="N1237" i="6"/>
  <c r="M1237" i="6"/>
  <c r="L1237" i="6"/>
  <c r="P1237" i="6"/>
  <c r="O1237" i="6"/>
  <c r="P550" i="6"/>
  <c r="M550" i="6"/>
  <c r="N550" i="6" s="1"/>
  <c r="L550" i="6"/>
  <c r="P707" i="6"/>
  <c r="M707" i="6"/>
  <c r="N707" i="6" s="1"/>
  <c r="L707" i="6"/>
  <c r="O707" i="6" s="1"/>
  <c r="P859" i="6"/>
  <c r="M859" i="6"/>
  <c r="N859" i="6" s="1"/>
  <c r="L859" i="6"/>
  <c r="O859" i="6" s="1"/>
  <c r="L552" i="6"/>
  <c r="O552" i="6" s="1"/>
  <c r="P552" i="6"/>
  <c r="M552" i="6"/>
  <c r="N552" i="6" s="1"/>
  <c r="M959" i="6"/>
  <c r="N959" i="6" s="1"/>
  <c r="L959" i="6"/>
  <c r="P959" i="6"/>
  <c r="P1189" i="6"/>
  <c r="O1189" i="6"/>
  <c r="N1189" i="6"/>
  <c r="M1189" i="6"/>
  <c r="L1189" i="6"/>
  <c r="P569" i="6"/>
  <c r="L569" i="6"/>
  <c r="O569" i="6" s="1"/>
  <c r="M569" i="6"/>
  <c r="N569" i="6" s="1"/>
  <c r="M728" i="6"/>
  <c r="N728" i="6" s="1"/>
  <c r="P728" i="6"/>
  <c r="L728" i="6"/>
  <c r="O728" i="6" s="1"/>
  <c r="M887" i="6"/>
  <c r="N887" i="6" s="1"/>
  <c r="L887" i="6"/>
  <c r="P887" i="6"/>
  <c r="P422" i="6"/>
  <c r="M422" i="6"/>
  <c r="N422" i="6" s="1"/>
  <c r="L422" i="6"/>
  <c r="O422" i="6" s="1"/>
  <c r="P603" i="6"/>
  <c r="M603" i="6"/>
  <c r="N603" i="6" s="1"/>
  <c r="L603" i="6"/>
  <c r="O603" i="6" s="1"/>
  <c r="M992" i="6"/>
  <c r="N992" i="6" s="1"/>
  <c r="L992" i="6"/>
  <c r="P992" i="6"/>
  <c r="N1254" i="6"/>
  <c r="O1254" i="6"/>
  <c r="L1254" i="6"/>
  <c r="P1254" i="6"/>
  <c r="M1254" i="6"/>
  <c r="P745" i="6"/>
  <c r="M745" i="6"/>
  <c r="N745" i="6" s="1"/>
  <c r="L745" i="6"/>
  <c r="O745" i="6" s="1"/>
  <c r="P847" i="6"/>
  <c r="L847" i="6"/>
  <c r="M847" i="6"/>
  <c r="N847" i="6" s="1"/>
  <c r="M1249" i="6"/>
  <c r="N1249" i="6"/>
  <c r="P1249" i="6"/>
  <c r="O1249" i="6"/>
  <c r="L1249" i="6"/>
  <c r="P898" i="6"/>
  <c r="M898" i="6"/>
  <c r="N898" i="6" s="1"/>
  <c r="L898" i="6"/>
  <c r="O898" i="6" s="1"/>
  <c r="M1076" i="6"/>
  <c r="N1076" i="6" s="1"/>
  <c r="P1076" i="6"/>
  <c r="L1076" i="6"/>
  <c r="O1076" i="6" s="1"/>
  <c r="O1321" i="6"/>
  <c r="N1321" i="6"/>
  <c r="L1321" i="6"/>
  <c r="P1321" i="6"/>
  <c r="M1321" i="6"/>
  <c r="P725" i="6"/>
  <c r="M725" i="6"/>
  <c r="N725" i="6" s="1"/>
  <c r="L725" i="6"/>
  <c r="O725" i="6" s="1"/>
  <c r="P823" i="6"/>
  <c r="M823" i="6"/>
  <c r="N823" i="6" s="1"/>
  <c r="L823" i="6"/>
  <c r="M1242" i="6"/>
  <c r="P1242" i="6"/>
  <c r="O1242" i="6"/>
  <c r="N1242" i="6"/>
  <c r="L1242" i="6"/>
  <c r="M950" i="6"/>
  <c r="N950" i="6" s="1"/>
  <c r="P950" i="6"/>
  <c r="L950" i="6"/>
  <c r="O950" i="6" s="1"/>
  <c r="P1119" i="6"/>
  <c r="M1119" i="6"/>
  <c r="N1119" i="6" s="1"/>
  <c r="L1119" i="6"/>
  <c r="O1119" i="6" s="1"/>
  <c r="P1432" i="6"/>
  <c r="N1432" i="6"/>
  <c r="M1432" i="6"/>
  <c r="L1432" i="6"/>
  <c r="O1432" i="6"/>
  <c r="M1346" i="6"/>
  <c r="L1346" i="6"/>
  <c r="P1346" i="6"/>
  <c r="O1346" i="6"/>
  <c r="N1346" i="6"/>
  <c r="O1271" i="6"/>
  <c r="P1271" i="6"/>
  <c r="N1271" i="6"/>
  <c r="M1271" i="6"/>
  <c r="L1271" i="6"/>
  <c r="L934" i="6"/>
  <c r="O934" i="6" s="1"/>
  <c r="P934" i="6"/>
  <c r="M934" i="6"/>
  <c r="N934" i="6" s="1"/>
  <c r="L1032" i="6"/>
  <c r="O1032" i="6" s="1"/>
  <c r="P1032" i="6"/>
  <c r="M1032" i="6"/>
  <c r="N1032" i="6" s="1"/>
  <c r="L1130" i="6"/>
  <c r="O1130" i="6" s="1"/>
  <c r="M1130" i="6"/>
  <c r="N1130" i="6" s="1"/>
  <c r="P1130" i="6"/>
  <c r="P1301" i="6"/>
  <c r="O1301" i="6"/>
  <c r="N1301" i="6"/>
  <c r="M1301" i="6"/>
  <c r="L1301" i="6"/>
  <c r="M963" i="6"/>
  <c r="N963" i="6" s="1"/>
  <c r="L963" i="6"/>
  <c r="O963" i="6" s="1"/>
  <c r="P963" i="6"/>
  <c r="M1061" i="6"/>
  <c r="N1061" i="6" s="1"/>
  <c r="L1061" i="6"/>
  <c r="O1061" i="6" s="1"/>
  <c r="P1061" i="6"/>
  <c r="O1159" i="6"/>
  <c r="M1159" i="6"/>
  <c r="L1159" i="6"/>
  <c r="P1159" i="6"/>
  <c r="N1159" i="6"/>
  <c r="M1345" i="6"/>
  <c r="N1345" i="6"/>
  <c r="L1345" i="6"/>
  <c r="P1345" i="6"/>
  <c r="O1345" i="6"/>
  <c r="M1548" i="6"/>
  <c r="P1548" i="6"/>
  <c r="N1548" i="6"/>
  <c r="L1548" i="6"/>
  <c r="O1548" i="6"/>
  <c r="P1618" i="6"/>
  <c r="O1618" i="6"/>
  <c r="M1618" i="6"/>
  <c r="L1618" i="6"/>
  <c r="N1618" i="6"/>
  <c r="M1443" i="6"/>
  <c r="N1443" i="6"/>
  <c r="P1443" i="6"/>
  <c r="O1443" i="6"/>
  <c r="L1443" i="6"/>
  <c r="P1330" i="6"/>
  <c r="O1330" i="6"/>
  <c r="N1330" i="6"/>
  <c r="L1330" i="6"/>
  <c r="M1330" i="6"/>
  <c r="P1559" i="6"/>
  <c r="N1559" i="6"/>
  <c r="M1559" i="6"/>
  <c r="O1559" i="6"/>
  <c r="L1559" i="6"/>
  <c r="O1452" i="6"/>
  <c r="N1452" i="6"/>
  <c r="L1452" i="6"/>
  <c r="P1452" i="6"/>
  <c r="M1452" i="6"/>
  <c r="P1332" i="6"/>
  <c r="O1332" i="6"/>
  <c r="N1332" i="6"/>
  <c r="M1332" i="6"/>
  <c r="L1332" i="6"/>
  <c r="P1545" i="6"/>
  <c r="O1545" i="6"/>
  <c r="N1545" i="6"/>
  <c r="M1545" i="6"/>
  <c r="L1545" i="6"/>
  <c r="P1992" i="6"/>
  <c r="O1992" i="6"/>
  <c r="N1992" i="6"/>
  <c r="M1992" i="6"/>
  <c r="L1992" i="6"/>
  <c r="O1304" i="6"/>
  <c r="M1304" i="6"/>
  <c r="L1304" i="6"/>
  <c r="N1304" i="6"/>
  <c r="P1304" i="6"/>
  <c r="P1761" i="6"/>
  <c r="N1761" i="6"/>
  <c r="M1761" i="6"/>
  <c r="O1761" i="6"/>
  <c r="L1761" i="6"/>
  <c r="P1978" i="6"/>
  <c r="O1978" i="6"/>
  <c r="N1978" i="6"/>
  <c r="M1978" i="6"/>
  <c r="L1978" i="6"/>
  <c r="P1905" i="6"/>
  <c r="O1905" i="6"/>
  <c r="N1905" i="6"/>
  <c r="M1905" i="6"/>
  <c r="L1905" i="6"/>
  <c r="N1677" i="6"/>
  <c r="M1677" i="6"/>
  <c r="O1677" i="6"/>
  <c r="P1677" i="6"/>
  <c r="L1677" i="6"/>
  <c r="N1831" i="6"/>
  <c r="M1831" i="6"/>
  <c r="L1831" i="6"/>
  <c r="O1831" i="6"/>
  <c r="P1831" i="6"/>
  <c r="L1633" i="6"/>
  <c r="P1633" i="6"/>
  <c r="O1633" i="6"/>
  <c r="M1633" i="6"/>
  <c r="N1633" i="6"/>
  <c r="P1882" i="6"/>
  <c r="O1882" i="6"/>
  <c r="N1882" i="6"/>
  <c r="M1882" i="6"/>
  <c r="L1882" i="6"/>
  <c r="N1607" i="6"/>
  <c r="M1607" i="6"/>
  <c r="P1607" i="6"/>
  <c r="L1607" i="6"/>
  <c r="O1607" i="6"/>
  <c r="O1509" i="6"/>
  <c r="M1509" i="6"/>
  <c r="L1509" i="6"/>
  <c r="P1509" i="6"/>
  <c r="N1509" i="6"/>
  <c r="L1805" i="6"/>
  <c r="O1805" i="6"/>
  <c r="N1805" i="6"/>
  <c r="P1805" i="6"/>
  <c r="M1805" i="6"/>
  <c r="L1822" i="6"/>
  <c r="P1822" i="6"/>
  <c r="O1822" i="6"/>
  <c r="N1822" i="6"/>
  <c r="M1822" i="6"/>
  <c r="L2139" i="6"/>
  <c r="P2139" i="6"/>
  <c r="O2139" i="6"/>
  <c r="N2139" i="6"/>
  <c r="M2139" i="6"/>
  <c r="P1714" i="6"/>
  <c r="O1714" i="6"/>
  <c r="N1714" i="6"/>
  <c r="M1714" i="6"/>
  <c r="L1714" i="6"/>
  <c r="L1871" i="6"/>
  <c r="P1871" i="6"/>
  <c r="O1871" i="6"/>
  <c r="N1871" i="6"/>
  <c r="M1871" i="6"/>
  <c r="O1571" i="6"/>
  <c r="N1571" i="6"/>
  <c r="M1571" i="6"/>
  <c r="L1571" i="6"/>
  <c r="P1571" i="6"/>
  <c r="M2033" i="6"/>
  <c r="L2033" i="6"/>
  <c r="N2033" i="6"/>
  <c r="P2033" i="6"/>
  <c r="O2033" i="6"/>
  <c r="N1600" i="6"/>
  <c r="M1600" i="6"/>
  <c r="L1600" i="6"/>
  <c r="P1600" i="6"/>
  <c r="O1600" i="6"/>
  <c r="L1910" i="6"/>
  <c r="O1910" i="6"/>
  <c r="N1910" i="6"/>
  <c r="M1910" i="6"/>
  <c r="P1910" i="6"/>
  <c r="P1624" i="6"/>
  <c r="O1624" i="6"/>
  <c r="N1624" i="6"/>
  <c r="M1624" i="6"/>
  <c r="L1624" i="6"/>
  <c r="P1724" i="6"/>
  <c r="N1724" i="6"/>
  <c r="O1724" i="6"/>
  <c r="M1724" i="6"/>
  <c r="L1724" i="6"/>
  <c r="O1336" i="6"/>
  <c r="P1336" i="6"/>
  <c r="N1336" i="6"/>
  <c r="M1336" i="6"/>
  <c r="L1336" i="6"/>
  <c r="O1434" i="6"/>
  <c r="P1434" i="6"/>
  <c r="N1434" i="6"/>
  <c r="M1434" i="6"/>
  <c r="L1434" i="6"/>
  <c r="O1532" i="6"/>
  <c r="N1532" i="6"/>
  <c r="P1532" i="6"/>
  <c r="M1532" i="6"/>
  <c r="L1532" i="6"/>
  <c r="N1902" i="6"/>
  <c r="L1902" i="6"/>
  <c r="P1902" i="6"/>
  <c r="O1902" i="6"/>
  <c r="M1902" i="6"/>
  <c r="O1372" i="6"/>
  <c r="M1372" i="6"/>
  <c r="L1372" i="6"/>
  <c r="P1372" i="6"/>
  <c r="N1372" i="6"/>
  <c r="O1470" i="6"/>
  <c r="M1470" i="6"/>
  <c r="P1470" i="6"/>
  <c r="N1470" i="6"/>
  <c r="L1470" i="6"/>
  <c r="O1568" i="6"/>
  <c r="M1568" i="6"/>
  <c r="L1568" i="6"/>
  <c r="N1568" i="6"/>
  <c r="P1568" i="6"/>
  <c r="P2227" i="6"/>
  <c r="O2227" i="6"/>
  <c r="N2227" i="6"/>
  <c r="M2227" i="6"/>
  <c r="L2227" i="6"/>
  <c r="P1669" i="6"/>
  <c r="O1669" i="6"/>
  <c r="M1669" i="6"/>
  <c r="L1669" i="6"/>
  <c r="N1669" i="6"/>
  <c r="P1767" i="6"/>
  <c r="O1767" i="6"/>
  <c r="N1767" i="6"/>
  <c r="M1767" i="6"/>
  <c r="L1767" i="6"/>
  <c r="L1954" i="6"/>
  <c r="O1954" i="6"/>
  <c r="M1954" i="6"/>
  <c r="P1954" i="6"/>
  <c r="N1954" i="6"/>
  <c r="P2008" i="6"/>
  <c r="O2008" i="6"/>
  <c r="N2008" i="6"/>
  <c r="M2008" i="6"/>
  <c r="L2008" i="6"/>
  <c r="O1985" i="6"/>
  <c r="M1985" i="6"/>
  <c r="L1985" i="6"/>
  <c r="P1985" i="6"/>
  <c r="N1985" i="6"/>
  <c r="M2054" i="6"/>
  <c r="L2054" i="6"/>
  <c r="P2054" i="6"/>
  <c r="N2054" i="6"/>
  <c r="O2054" i="6"/>
  <c r="M2071" i="6"/>
  <c r="L2071" i="6"/>
  <c r="P2071" i="6"/>
  <c r="O2071" i="6"/>
  <c r="N2071" i="6"/>
  <c r="P1841" i="6"/>
  <c r="O1841" i="6"/>
  <c r="N1841" i="6"/>
  <c r="M1841" i="6"/>
  <c r="L1841" i="6"/>
  <c r="N2093" i="6"/>
  <c r="L2093" i="6"/>
  <c r="O2093" i="6"/>
  <c r="P2093" i="6"/>
  <c r="M2093" i="6"/>
  <c r="L1952" i="6"/>
  <c r="O1952" i="6"/>
  <c r="N1952" i="6"/>
  <c r="M1952" i="6"/>
  <c r="P1952" i="6"/>
  <c r="M2348" i="6"/>
  <c r="L2348" i="6"/>
  <c r="P2348" i="6"/>
  <c r="O2348" i="6"/>
  <c r="N2348" i="6"/>
  <c r="N2030" i="6"/>
  <c r="M2030" i="6"/>
  <c r="L2030" i="6"/>
  <c r="O2030" i="6"/>
  <c r="P2030" i="6"/>
  <c r="P2379" i="6"/>
  <c r="O2379" i="6"/>
  <c r="M2379" i="6"/>
  <c r="L2379" i="6"/>
  <c r="N2379" i="6"/>
  <c r="O2029" i="6"/>
  <c r="N2029" i="6"/>
  <c r="M2029" i="6"/>
  <c r="L2029" i="6"/>
  <c r="P2029" i="6"/>
  <c r="L2291" i="6"/>
  <c r="P2291" i="6"/>
  <c r="N2291" i="6"/>
  <c r="M2291" i="6"/>
  <c r="O2291" i="6"/>
  <c r="P2213" i="6"/>
  <c r="O2213" i="6"/>
  <c r="M2213" i="6"/>
  <c r="N2213" i="6"/>
  <c r="L2213" i="6"/>
  <c r="L2256" i="6"/>
  <c r="P2256" i="6"/>
  <c r="O2256" i="6"/>
  <c r="N2256" i="6"/>
  <c r="M2256" i="6"/>
  <c r="P2038" i="6"/>
  <c r="O2038" i="6"/>
  <c r="M2038" i="6"/>
  <c r="L2038" i="6"/>
  <c r="N2038" i="6"/>
  <c r="P2136" i="6"/>
  <c r="O2136" i="6"/>
  <c r="L2136" i="6"/>
  <c r="N2136" i="6"/>
  <c r="M2136" i="6"/>
  <c r="N2225" i="6"/>
  <c r="L2225" i="6"/>
  <c r="P2225" i="6"/>
  <c r="O2225" i="6"/>
  <c r="M2225" i="6"/>
  <c r="O2046" i="6"/>
  <c r="N2046" i="6"/>
  <c r="M2046" i="6"/>
  <c r="P2046" i="6"/>
  <c r="L2046" i="6"/>
  <c r="P2144" i="6"/>
  <c r="O2144" i="6"/>
  <c r="N2144" i="6"/>
  <c r="M2144" i="6"/>
  <c r="L2144" i="6"/>
  <c r="M2248" i="6"/>
  <c r="L2248" i="6"/>
  <c r="O2248" i="6"/>
  <c r="P2248" i="6"/>
  <c r="N2248" i="6"/>
  <c r="P2183" i="6"/>
  <c r="O2183" i="6"/>
  <c r="N2183" i="6"/>
  <c r="M2183" i="6"/>
  <c r="L2183" i="6"/>
  <c r="P2199" i="6"/>
  <c r="O2199" i="6"/>
  <c r="N2199" i="6"/>
  <c r="M2199" i="6"/>
  <c r="L2199" i="6"/>
  <c r="L2273" i="6"/>
  <c r="P2273" i="6"/>
  <c r="O2273" i="6"/>
  <c r="M2273" i="6"/>
  <c r="N2273" i="6"/>
  <c r="P2310" i="6"/>
  <c r="N2310" i="6"/>
  <c r="M2310" i="6"/>
  <c r="L2310" i="6"/>
  <c r="O2310" i="6"/>
  <c r="P2275" i="6"/>
  <c r="N2275" i="6"/>
  <c r="M2275" i="6"/>
  <c r="O2275" i="6"/>
  <c r="L2275" i="6"/>
  <c r="N2308" i="6"/>
  <c r="L2308" i="6"/>
  <c r="P2308" i="6"/>
  <c r="O2308" i="6"/>
  <c r="M2308" i="6"/>
  <c r="L2472" i="6"/>
  <c r="P2472" i="6"/>
  <c r="O2472" i="6"/>
  <c r="N2472" i="6"/>
  <c r="M2472" i="6"/>
  <c r="O2406" i="6"/>
  <c r="N2406" i="6"/>
  <c r="M2406" i="6"/>
  <c r="P2406" i="6"/>
  <c r="L2406" i="6"/>
  <c r="P2344" i="6"/>
  <c r="O2344" i="6"/>
  <c r="N2344" i="6"/>
  <c r="M2344" i="6"/>
  <c r="L2344" i="6"/>
  <c r="O2401" i="6"/>
  <c r="N2401" i="6"/>
  <c r="M2401" i="6"/>
  <c r="L2401" i="6"/>
  <c r="P2401" i="6"/>
  <c r="P2375" i="6"/>
  <c r="O2375" i="6"/>
  <c r="N2375" i="6"/>
  <c r="M2375" i="6"/>
  <c r="L2375" i="6"/>
  <c r="P2498" i="6"/>
  <c r="N2498" i="6"/>
  <c r="M2498" i="6"/>
  <c r="O2498" i="6"/>
  <c r="L2498" i="6"/>
  <c r="N2489" i="6"/>
  <c r="M2489" i="6"/>
  <c r="P2489" i="6"/>
  <c r="O2489" i="6"/>
  <c r="L2489" i="6"/>
  <c r="L2493" i="6"/>
  <c r="N2493" i="6"/>
  <c r="M2493" i="6"/>
  <c r="P2493" i="6"/>
  <c r="O2493" i="6"/>
  <c r="O2480" i="6"/>
  <c r="P2480" i="6"/>
  <c r="N2480" i="6"/>
  <c r="M2480" i="6"/>
  <c r="L2480" i="6"/>
  <c r="P2434" i="6"/>
  <c r="O2434" i="6"/>
  <c r="M2434" i="6"/>
  <c r="L2434" i="6"/>
  <c r="N2434" i="6"/>
  <c r="L448" i="6"/>
  <c r="P448" i="6"/>
  <c r="M448" i="6"/>
  <c r="N448" i="6" s="1"/>
  <c r="M402" i="6"/>
  <c r="N402" i="6" s="1"/>
  <c r="L402" i="6"/>
  <c r="P402" i="6"/>
  <c r="M298" i="6"/>
  <c r="N298" i="6" s="1"/>
  <c r="L298" i="6"/>
  <c r="P298" i="6"/>
  <c r="M118" i="6"/>
  <c r="N118" i="6" s="1"/>
  <c r="L118" i="6"/>
  <c r="P118" i="6"/>
  <c r="P49" i="6"/>
  <c r="M49" i="6"/>
  <c r="N49" i="6" s="1"/>
  <c r="L49" i="6"/>
  <c r="O49" i="6" s="1"/>
  <c r="O1154" i="6"/>
  <c r="N1154" i="6"/>
  <c r="M1154" i="6"/>
  <c r="L1154" i="6"/>
  <c r="P1154" i="6"/>
  <c r="M922" i="6"/>
  <c r="N922" i="6" s="1"/>
  <c r="P922" i="6"/>
  <c r="L922" i="6"/>
  <c r="M172" i="6"/>
  <c r="N172" i="6" s="1"/>
  <c r="L172" i="6"/>
  <c r="O172" i="6" s="1"/>
  <c r="P172" i="6"/>
  <c r="L1886" i="6"/>
  <c r="O1886" i="6"/>
  <c r="N1886" i="6"/>
  <c r="P1886" i="6"/>
  <c r="M1886" i="6"/>
  <c r="M1104" i="6"/>
  <c r="N1104" i="6" s="1"/>
  <c r="P1104" i="6"/>
  <c r="L1104" i="6"/>
  <c r="O1104" i="6" s="1"/>
  <c r="M1008" i="6"/>
  <c r="N1008" i="6" s="1"/>
  <c r="L1008" i="6"/>
  <c r="O1008" i="6" s="1"/>
  <c r="P1008" i="6"/>
  <c r="P396" i="6"/>
  <c r="M396" i="6"/>
  <c r="N396" i="6" s="1"/>
  <c r="L396" i="6"/>
  <c r="O396" i="6" s="1"/>
  <c r="L622" i="6"/>
  <c r="O622" i="6" s="1"/>
  <c r="M622" i="6"/>
  <c r="N622" i="6" s="1"/>
  <c r="P622" i="6"/>
  <c r="M1077" i="6"/>
  <c r="N1077" i="6" s="1"/>
  <c r="L1077" i="6"/>
  <c r="O1077" i="6" s="1"/>
  <c r="P1077" i="6"/>
  <c r="P438" i="6"/>
  <c r="M438" i="6"/>
  <c r="N438" i="6" s="1"/>
  <c r="L438" i="6"/>
  <c r="O438" i="6" s="1"/>
  <c r="M693" i="6"/>
  <c r="N693" i="6" s="1"/>
  <c r="L693" i="6"/>
  <c r="O693" i="6" s="1"/>
  <c r="P693" i="6"/>
  <c r="N1447" i="6"/>
  <c r="L1447" i="6"/>
  <c r="P1447" i="6"/>
  <c r="M1447" i="6"/>
  <c r="O1447" i="6"/>
  <c r="P93" i="6"/>
  <c r="L93" i="6"/>
  <c r="O93" i="6" s="1"/>
  <c r="M93" i="6"/>
  <c r="N93" i="6" s="1"/>
  <c r="P191" i="6"/>
  <c r="L191" i="6"/>
  <c r="O191" i="6" s="1"/>
  <c r="M191" i="6"/>
  <c r="N191" i="6" s="1"/>
  <c r="P289" i="6"/>
  <c r="L289" i="6"/>
  <c r="O289" i="6" s="1"/>
  <c r="M289" i="6"/>
  <c r="N289" i="6" s="1"/>
  <c r="P387" i="6"/>
  <c r="L387" i="6"/>
  <c r="M387" i="6"/>
  <c r="N387" i="6" s="1"/>
  <c r="P647" i="6"/>
  <c r="M647" i="6"/>
  <c r="N647" i="6" s="1"/>
  <c r="L647" i="6"/>
  <c r="O647" i="6" s="1"/>
  <c r="P1171" i="6"/>
  <c r="N1171" i="6"/>
  <c r="O1171" i="6"/>
  <c r="M1171" i="6"/>
  <c r="L1171" i="6"/>
  <c r="P485" i="6"/>
  <c r="M485" i="6"/>
  <c r="N485" i="6" s="1"/>
  <c r="L485" i="6"/>
  <c r="O485" i="6" s="1"/>
  <c r="P722" i="6"/>
  <c r="M722" i="6"/>
  <c r="N722" i="6" s="1"/>
  <c r="L722" i="6"/>
  <c r="O722" i="6" s="1"/>
  <c r="P1126" i="6"/>
  <c r="M1126" i="6"/>
  <c r="N1126" i="6" s="1"/>
  <c r="L1126" i="6"/>
  <c r="O1126" i="6" s="1"/>
  <c r="M31" i="6"/>
  <c r="N31" i="6" s="1"/>
  <c r="L31" i="6"/>
  <c r="O31" i="6" s="1"/>
  <c r="P31" i="6"/>
  <c r="M129" i="6"/>
  <c r="N129" i="6" s="1"/>
  <c r="L129" i="6"/>
  <c r="P129" i="6"/>
  <c r="M227" i="6"/>
  <c r="N227" i="6" s="1"/>
  <c r="L227" i="6"/>
  <c r="O227" i="6" s="1"/>
  <c r="P227" i="6"/>
  <c r="M325" i="6"/>
  <c r="N325" i="6" s="1"/>
  <c r="L325" i="6"/>
  <c r="O325" i="6" s="1"/>
  <c r="P325" i="6"/>
  <c r="P484" i="6"/>
  <c r="L484" i="6"/>
  <c r="M484" i="6"/>
  <c r="N484" i="6" s="1"/>
  <c r="P743" i="6"/>
  <c r="M743" i="6"/>
  <c r="N743" i="6" s="1"/>
  <c r="L743" i="6"/>
  <c r="O743" i="6" s="1"/>
  <c r="P483" i="6"/>
  <c r="M483" i="6"/>
  <c r="N483" i="6" s="1"/>
  <c r="L483" i="6"/>
  <c r="O483" i="6" s="1"/>
  <c r="P662" i="6"/>
  <c r="M662" i="6"/>
  <c r="N662" i="6" s="1"/>
  <c r="L662" i="6"/>
  <c r="O662" i="6" s="1"/>
  <c r="M789" i="6"/>
  <c r="N789" i="6" s="1"/>
  <c r="L789" i="6"/>
  <c r="P789" i="6"/>
  <c r="L1243" i="6"/>
  <c r="P1243" i="6"/>
  <c r="O1243" i="6"/>
  <c r="N1243" i="6"/>
  <c r="M1243" i="6"/>
  <c r="P551" i="6"/>
  <c r="M551" i="6"/>
  <c r="N551" i="6" s="1"/>
  <c r="L551" i="6"/>
  <c r="O551" i="6" s="1"/>
  <c r="M712" i="6"/>
  <c r="N712" i="6" s="1"/>
  <c r="L712" i="6"/>
  <c r="O712" i="6" s="1"/>
  <c r="P712" i="6"/>
  <c r="L871" i="6"/>
  <c r="M871" i="6"/>
  <c r="N871" i="6" s="1"/>
  <c r="P871" i="6"/>
  <c r="P568" i="6"/>
  <c r="M568" i="6"/>
  <c r="N568" i="6" s="1"/>
  <c r="L568" i="6"/>
  <c r="O568" i="6" s="1"/>
  <c r="P966" i="6"/>
  <c r="M966" i="6"/>
  <c r="N966" i="6" s="1"/>
  <c r="L966" i="6"/>
  <c r="O966" i="6" s="1"/>
  <c r="O1294" i="6"/>
  <c r="N1294" i="6"/>
  <c r="L1294" i="6"/>
  <c r="P1294" i="6"/>
  <c r="M1294" i="6"/>
  <c r="P585" i="6"/>
  <c r="L585" i="6"/>
  <c r="O585" i="6" s="1"/>
  <c r="M585" i="6"/>
  <c r="N585" i="6" s="1"/>
  <c r="M733" i="6"/>
  <c r="N733" i="6" s="1"/>
  <c r="L733" i="6"/>
  <c r="O733" i="6" s="1"/>
  <c r="P733" i="6"/>
  <c r="P908" i="6"/>
  <c r="M908" i="6"/>
  <c r="N908" i="6" s="1"/>
  <c r="L908" i="6"/>
  <c r="O908" i="6" s="1"/>
  <c r="P429" i="6"/>
  <c r="L429" i="6"/>
  <c r="M429" i="6"/>
  <c r="N429" i="6" s="1"/>
  <c r="P619" i="6"/>
  <c r="M619" i="6"/>
  <c r="N619" i="6" s="1"/>
  <c r="L619" i="6"/>
  <c r="O619" i="6" s="1"/>
  <c r="P1002" i="6"/>
  <c r="M1002" i="6"/>
  <c r="N1002" i="6" s="1"/>
  <c r="L1002" i="6"/>
  <c r="O1002" i="6" s="1"/>
  <c r="P1264" i="6"/>
  <c r="O1264" i="6"/>
  <c r="M1264" i="6"/>
  <c r="N1264" i="6"/>
  <c r="L1264" i="6"/>
  <c r="P752" i="6"/>
  <c r="M752" i="6"/>
  <c r="N752" i="6" s="1"/>
  <c r="L752" i="6"/>
  <c r="O752" i="6" s="1"/>
  <c r="L864" i="6"/>
  <c r="P864" i="6"/>
  <c r="M864" i="6"/>
  <c r="N864" i="6" s="1"/>
  <c r="P1259" i="6"/>
  <c r="N1259" i="6"/>
  <c r="M1259" i="6"/>
  <c r="O1259" i="6"/>
  <c r="L1259" i="6"/>
  <c r="M924" i="6"/>
  <c r="N924" i="6" s="1"/>
  <c r="L924" i="6"/>
  <c r="P924" i="6"/>
  <c r="P1093" i="6"/>
  <c r="M1093" i="6"/>
  <c r="N1093" i="6" s="1"/>
  <c r="L1093" i="6"/>
  <c r="O1093" i="6" s="1"/>
  <c r="P1354" i="6"/>
  <c r="M1354" i="6"/>
  <c r="L1354" i="6"/>
  <c r="O1354" i="6"/>
  <c r="N1354" i="6"/>
  <c r="P732" i="6"/>
  <c r="M732" i="6"/>
  <c r="N732" i="6" s="1"/>
  <c r="L732" i="6"/>
  <c r="O732" i="6" s="1"/>
  <c r="P830" i="6"/>
  <c r="M830" i="6"/>
  <c r="N830" i="6" s="1"/>
  <c r="L830" i="6"/>
  <c r="O830" i="6" s="1"/>
  <c r="N1252" i="6"/>
  <c r="L1252" i="6"/>
  <c r="P1252" i="6"/>
  <c r="O1252" i="6"/>
  <c r="M1252" i="6"/>
  <c r="P967" i="6"/>
  <c r="M967" i="6"/>
  <c r="N967" i="6" s="1"/>
  <c r="L967" i="6"/>
  <c r="P1141" i="6"/>
  <c r="O1141" i="6"/>
  <c r="N1141" i="6"/>
  <c r="M1141" i="6"/>
  <c r="L1141" i="6"/>
  <c r="N1565" i="6"/>
  <c r="M1565" i="6"/>
  <c r="L1565" i="6"/>
  <c r="P1565" i="6"/>
  <c r="O1565" i="6"/>
  <c r="O1360" i="6"/>
  <c r="N1360" i="6"/>
  <c r="M1360" i="6"/>
  <c r="P1360" i="6"/>
  <c r="L1360" i="6"/>
  <c r="O1272" i="6"/>
  <c r="P1272" i="6"/>
  <c r="L1272" i="6"/>
  <c r="N1272" i="6"/>
  <c r="M1272" i="6"/>
  <c r="L941" i="6"/>
  <c r="O941" i="6" s="1"/>
  <c r="P941" i="6"/>
  <c r="M941" i="6"/>
  <c r="N941" i="6" s="1"/>
  <c r="L1039" i="6"/>
  <c r="O1039" i="6" s="1"/>
  <c r="P1039" i="6"/>
  <c r="M1039" i="6"/>
  <c r="N1039" i="6" s="1"/>
  <c r="O1137" i="6"/>
  <c r="N1137" i="6"/>
  <c r="L1137" i="6"/>
  <c r="M1137" i="6"/>
  <c r="P1137" i="6"/>
  <c r="P1306" i="6"/>
  <c r="M1306" i="6"/>
  <c r="L1306" i="6"/>
  <c r="O1306" i="6"/>
  <c r="N1306" i="6"/>
  <c r="M970" i="6"/>
  <c r="N970" i="6" s="1"/>
  <c r="L970" i="6"/>
  <c r="P970" i="6"/>
  <c r="M1068" i="6"/>
  <c r="N1068" i="6" s="1"/>
  <c r="L1068" i="6"/>
  <c r="O1068" i="6" s="1"/>
  <c r="P1068" i="6"/>
  <c r="O1166" i="6"/>
  <c r="M1166" i="6"/>
  <c r="L1166" i="6"/>
  <c r="N1166" i="6"/>
  <c r="P1166" i="6"/>
  <c r="M1359" i="6"/>
  <c r="P1359" i="6"/>
  <c r="N1359" i="6"/>
  <c r="L1359" i="6"/>
  <c r="O1359" i="6"/>
  <c r="P1551" i="6"/>
  <c r="O1551" i="6"/>
  <c r="N1551" i="6"/>
  <c r="M1551" i="6"/>
  <c r="L1551" i="6"/>
  <c r="L1744" i="6"/>
  <c r="P1744" i="6"/>
  <c r="O1744" i="6"/>
  <c r="N1744" i="6"/>
  <c r="M1744" i="6"/>
  <c r="M1457" i="6"/>
  <c r="O1457" i="6"/>
  <c r="L1457" i="6"/>
  <c r="P1457" i="6"/>
  <c r="N1457" i="6"/>
  <c r="M1338" i="6"/>
  <c r="O1338" i="6"/>
  <c r="N1338" i="6"/>
  <c r="P1338" i="6"/>
  <c r="L1338" i="6"/>
  <c r="P1616" i="6"/>
  <c r="O1616" i="6"/>
  <c r="M1616" i="6"/>
  <c r="N1616" i="6"/>
  <c r="L1616" i="6"/>
  <c r="N1467" i="6"/>
  <c r="P1467" i="6"/>
  <c r="O1467" i="6"/>
  <c r="M1467" i="6"/>
  <c r="L1467" i="6"/>
  <c r="P1333" i="6"/>
  <c r="O1333" i="6"/>
  <c r="L1333" i="6"/>
  <c r="M1333" i="6"/>
  <c r="N1333" i="6"/>
  <c r="L1608" i="6"/>
  <c r="P1608" i="6"/>
  <c r="N1608" i="6"/>
  <c r="M1608" i="6"/>
  <c r="O1608" i="6"/>
  <c r="O2055" i="6"/>
  <c r="N2055" i="6"/>
  <c r="M2055" i="6"/>
  <c r="P2055" i="6"/>
  <c r="L2055" i="6"/>
  <c r="O1311" i="6"/>
  <c r="M1311" i="6"/>
  <c r="L1311" i="6"/>
  <c r="P1311" i="6"/>
  <c r="N1311" i="6"/>
  <c r="N1797" i="6"/>
  <c r="L1797" i="6"/>
  <c r="P1797" i="6"/>
  <c r="M1797" i="6"/>
  <c r="O1797" i="6"/>
  <c r="P2156" i="6"/>
  <c r="O2156" i="6"/>
  <c r="N2156" i="6"/>
  <c r="M2156" i="6"/>
  <c r="L2156" i="6"/>
  <c r="P1957" i="6"/>
  <c r="N1957" i="6"/>
  <c r="M1957" i="6"/>
  <c r="L1957" i="6"/>
  <c r="O1957" i="6"/>
  <c r="P1686" i="6"/>
  <c r="N1686" i="6"/>
  <c r="M1686" i="6"/>
  <c r="O1686" i="6"/>
  <c r="L1686" i="6"/>
  <c r="L1836" i="6"/>
  <c r="M1836" i="6"/>
  <c r="O1836" i="6"/>
  <c r="N1836" i="6"/>
  <c r="P1836" i="6"/>
  <c r="P1658" i="6"/>
  <c r="N1658" i="6"/>
  <c r="M1658" i="6"/>
  <c r="O1658" i="6"/>
  <c r="L1658" i="6"/>
  <c r="P2050" i="6"/>
  <c r="O2050" i="6"/>
  <c r="N2050" i="6"/>
  <c r="L2050" i="6"/>
  <c r="M2050" i="6"/>
  <c r="O1630" i="6"/>
  <c r="N1630" i="6"/>
  <c r="L1630" i="6"/>
  <c r="P1630" i="6"/>
  <c r="M1630" i="6"/>
  <c r="P1516" i="6"/>
  <c r="N1516" i="6"/>
  <c r="O1516" i="6"/>
  <c r="M1516" i="6"/>
  <c r="L1516" i="6"/>
  <c r="P1955" i="6"/>
  <c r="O1955" i="6"/>
  <c r="N1955" i="6"/>
  <c r="M1955" i="6"/>
  <c r="L1955" i="6"/>
  <c r="N1870" i="6"/>
  <c r="M1870" i="6"/>
  <c r="L1870" i="6"/>
  <c r="O1870" i="6"/>
  <c r="P1870" i="6"/>
  <c r="N2294" i="6"/>
  <c r="M2294" i="6"/>
  <c r="L2294" i="6"/>
  <c r="P2294" i="6"/>
  <c r="O2294" i="6"/>
  <c r="L1735" i="6"/>
  <c r="N1735" i="6"/>
  <c r="P1735" i="6"/>
  <c r="O1735" i="6"/>
  <c r="M1735" i="6"/>
  <c r="L1896" i="6"/>
  <c r="O1896" i="6"/>
  <c r="N1896" i="6"/>
  <c r="M1896" i="6"/>
  <c r="P1896" i="6"/>
  <c r="O1588" i="6"/>
  <c r="N1588" i="6"/>
  <c r="M1588" i="6"/>
  <c r="L1588" i="6"/>
  <c r="P1588" i="6"/>
  <c r="M2103" i="6"/>
  <c r="L2103" i="6"/>
  <c r="P2103" i="6"/>
  <c r="N2103" i="6"/>
  <c r="O2103" i="6"/>
  <c r="N1631" i="6"/>
  <c r="M1631" i="6"/>
  <c r="L1631" i="6"/>
  <c r="P1631" i="6"/>
  <c r="O1631" i="6"/>
  <c r="N1916" i="6"/>
  <c r="L1916" i="6"/>
  <c r="P1916" i="6"/>
  <c r="O1916" i="6"/>
  <c r="M1916" i="6"/>
  <c r="N1625" i="6"/>
  <c r="L1625" i="6"/>
  <c r="P1625" i="6"/>
  <c r="M1625" i="6"/>
  <c r="O1625" i="6"/>
  <c r="P1740" i="6"/>
  <c r="N1740" i="6"/>
  <c r="M1740" i="6"/>
  <c r="O1740" i="6"/>
  <c r="L1740" i="6"/>
  <c r="O1343" i="6"/>
  <c r="L1343" i="6"/>
  <c r="P1343" i="6"/>
  <c r="N1343" i="6"/>
  <c r="M1343" i="6"/>
  <c r="O1441" i="6"/>
  <c r="L1441" i="6"/>
  <c r="P1441" i="6"/>
  <c r="N1441" i="6"/>
  <c r="M1441" i="6"/>
  <c r="O1539" i="6"/>
  <c r="N1539" i="6"/>
  <c r="M1539" i="6"/>
  <c r="L1539" i="6"/>
  <c r="P1539" i="6"/>
  <c r="M1932" i="6"/>
  <c r="L1932" i="6"/>
  <c r="N1932" i="6"/>
  <c r="O1932" i="6"/>
  <c r="P1932" i="6"/>
  <c r="O1379" i="6"/>
  <c r="M1379" i="6"/>
  <c r="P1379" i="6"/>
  <c r="L1379" i="6"/>
  <c r="N1379" i="6"/>
  <c r="O1477" i="6"/>
  <c r="M1477" i="6"/>
  <c r="P1477" i="6"/>
  <c r="N1477" i="6"/>
  <c r="L1477" i="6"/>
  <c r="O1575" i="6"/>
  <c r="M1575" i="6"/>
  <c r="L1575" i="6"/>
  <c r="N1575" i="6"/>
  <c r="P1575" i="6"/>
  <c r="O2231" i="6"/>
  <c r="N2231" i="6"/>
  <c r="M2231" i="6"/>
  <c r="P2231" i="6"/>
  <c r="L2231" i="6"/>
  <c r="P1676" i="6"/>
  <c r="O1676" i="6"/>
  <c r="M1676" i="6"/>
  <c r="L1676" i="6"/>
  <c r="N1676" i="6"/>
  <c r="P1774" i="6"/>
  <c r="O1774" i="6"/>
  <c r="L1774" i="6"/>
  <c r="M1774" i="6"/>
  <c r="N1774" i="6"/>
  <c r="P1967" i="6"/>
  <c r="N1967" i="6"/>
  <c r="M1967" i="6"/>
  <c r="L1967" i="6"/>
  <c r="O1967" i="6"/>
  <c r="M2082" i="6"/>
  <c r="L2082" i="6"/>
  <c r="N2082" i="6"/>
  <c r="O2082" i="6"/>
  <c r="P2082" i="6"/>
  <c r="O2069" i="6"/>
  <c r="N2069" i="6"/>
  <c r="M2069" i="6"/>
  <c r="L2069" i="6"/>
  <c r="P2069" i="6"/>
  <c r="M2089" i="6"/>
  <c r="L2089" i="6"/>
  <c r="P2089" i="6"/>
  <c r="O2089" i="6"/>
  <c r="N2089" i="6"/>
  <c r="O2099" i="6"/>
  <c r="N2099" i="6"/>
  <c r="M2099" i="6"/>
  <c r="L2099" i="6"/>
  <c r="P2099" i="6"/>
  <c r="P1848" i="6"/>
  <c r="O1848" i="6"/>
  <c r="N1848" i="6"/>
  <c r="M1848" i="6"/>
  <c r="L1848" i="6"/>
  <c r="L2121" i="6"/>
  <c r="N2121" i="6"/>
  <c r="M2121" i="6"/>
  <c r="P2121" i="6"/>
  <c r="O2121" i="6"/>
  <c r="M1973" i="6"/>
  <c r="N1973" i="6"/>
  <c r="O1973" i="6"/>
  <c r="L1973" i="6"/>
  <c r="P1973" i="6"/>
  <c r="N1995" i="6"/>
  <c r="L1995" i="6"/>
  <c r="O1995" i="6"/>
  <c r="P1995" i="6"/>
  <c r="M1995" i="6"/>
  <c r="L2049" i="6"/>
  <c r="N2049" i="6"/>
  <c r="M2049" i="6"/>
  <c r="P2049" i="6"/>
  <c r="O2049" i="6"/>
  <c r="P1893" i="6"/>
  <c r="O1893" i="6"/>
  <c r="N1893" i="6"/>
  <c r="M1893" i="6"/>
  <c r="L1893" i="6"/>
  <c r="P2048" i="6"/>
  <c r="L2048" i="6"/>
  <c r="N2048" i="6"/>
  <c r="M2048" i="6"/>
  <c r="O2048" i="6"/>
  <c r="P2299" i="6"/>
  <c r="N2299" i="6"/>
  <c r="M2299" i="6"/>
  <c r="L2299" i="6"/>
  <c r="O2299" i="6"/>
  <c r="P2315" i="6"/>
  <c r="O2315" i="6"/>
  <c r="N2315" i="6"/>
  <c r="L2315" i="6"/>
  <c r="M2315" i="6"/>
  <c r="N2311" i="6"/>
  <c r="L2311" i="6"/>
  <c r="O2311" i="6"/>
  <c r="P2311" i="6"/>
  <c r="M2311" i="6"/>
  <c r="P2045" i="6"/>
  <c r="O2045" i="6"/>
  <c r="M2045" i="6"/>
  <c r="L2045" i="6"/>
  <c r="N2045" i="6"/>
  <c r="P2143" i="6"/>
  <c r="O2143" i="6"/>
  <c r="L2143" i="6"/>
  <c r="M2143" i="6"/>
  <c r="N2143" i="6"/>
  <c r="M2241" i="6"/>
  <c r="L2241" i="6"/>
  <c r="P2241" i="6"/>
  <c r="O2241" i="6"/>
  <c r="N2241" i="6"/>
  <c r="O2053" i="6"/>
  <c r="N2053" i="6"/>
  <c r="M2053" i="6"/>
  <c r="L2053" i="6"/>
  <c r="P2053" i="6"/>
  <c r="P2151" i="6"/>
  <c r="O2151" i="6"/>
  <c r="N2151" i="6"/>
  <c r="M2151" i="6"/>
  <c r="L2151" i="6"/>
  <c r="P2252" i="6"/>
  <c r="O2252" i="6"/>
  <c r="M2252" i="6"/>
  <c r="L2252" i="6"/>
  <c r="N2252" i="6"/>
  <c r="P2190" i="6"/>
  <c r="O2190" i="6"/>
  <c r="N2190" i="6"/>
  <c r="M2190" i="6"/>
  <c r="L2190" i="6"/>
  <c r="P2208" i="6"/>
  <c r="N2208" i="6"/>
  <c r="M2208" i="6"/>
  <c r="O2208" i="6"/>
  <c r="L2208" i="6"/>
  <c r="P2280" i="6"/>
  <c r="O2280" i="6"/>
  <c r="N2280" i="6"/>
  <c r="M2280" i="6"/>
  <c r="L2280" i="6"/>
  <c r="N2353" i="6"/>
  <c r="M2353" i="6"/>
  <c r="L2353" i="6"/>
  <c r="P2353" i="6"/>
  <c r="O2353" i="6"/>
  <c r="O2279" i="6"/>
  <c r="N2279" i="6"/>
  <c r="M2279" i="6"/>
  <c r="P2279" i="6"/>
  <c r="L2279" i="6"/>
  <c r="P2317" i="6"/>
  <c r="N2317" i="6"/>
  <c r="M2317" i="6"/>
  <c r="L2317" i="6"/>
  <c r="O2317" i="6"/>
  <c r="O2233" i="6"/>
  <c r="N2233" i="6"/>
  <c r="M2233" i="6"/>
  <c r="P2233" i="6"/>
  <c r="L2233" i="6"/>
  <c r="O2415" i="6"/>
  <c r="M2415" i="6"/>
  <c r="L2415" i="6"/>
  <c r="P2415" i="6"/>
  <c r="N2415" i="6"/>
  <c r="P2351" i="6"/>
  <c r="O2351" i="6"/>
  <c r="N2351" i="6"/>
  <c r="M2351" i="6"/>
  <c r="L2351" i="6"/>
  <c r="P2428" i="6"/>
  <c r="N2428" i="6"/>
  <c r="M2428" i="6"/>
  <c r="L2428" i="6"/>
  <c r="O2428" i="6"/>
  <c r="P2382" i="6"/>
  <c r="O2382" i="6"/>
  <c r="N2382" i="6"/>
  <c r="M2382" i="6"/>
  <c r="L2382" i="6"/>
  <c r="P2393" i="6"/>
  <c r="O2393" i="6"/>
  <c r="N2393" i="6"/>
  <c r="M2393" i="6"/>
  <c r="L2393" i="6"/>
  <c r="O2388" i="6"/>
  <c r="M2388" i="6"/>
  <c r="L2388" i="6"/>
  <c r="P2388" i="6"/>
  <c r="N2388" i="6"/>
  <c r="M2440" i="6"/>
  <c r="P2440" i="6"/>
  <c r="O2440" i="6"/>
  <c r="N2440" i="6"/>
  <c r="L2440" i="6"/>
  <c r="O2487" i="6"/>
  <c r="P2487" i="6"/>
  <c r="N2487" i="6"/>
  <c r="M2487" i="6"/>
  <c r="L2487" i="6"/>
  <c r="P2441" i="6"/>
  <c r="O2441" i="6"/>
  <c r="N2441" i="6"/>
  <c r="M2441" i="6"/>
  <c r="L2441" i="6"/>
  <c r="P330" i="6"/>
  <c r="M330" i="6"/>
  <c r="N330" i="6" s="1"/>
  <c r="L330" i="6"/>
  <c r="O330" i="6" s="1"/>
  <c r="P224" i="6"/>
  <c r="M224" i="6"/>
  <c r="N224" i="6" s="1"/>
  <c r="L224" i="6"/>
  <c r="O224" i="6" s="1"/>
  <c r="M81" i="6"/>
  <c r="N81" i="6" s="1"/>
  <c r="L81" i="6"/>
  <c r="P81" i="6"/>
  <c r="L729" i="6"/>
  <c r="O729" i="6" s="1"/>
  <c r="P729" i="6"/>
  <c r="M729" i="6"/>
  <c r="N729" i="6" s="1"/>
  <c r="L892" i="6"/>
  <c r="O892" i="6" s="1"/>
  <c r="P892" i="6"/>
  <c r="M892" i="6"/>
  <c r="N892" i="6" s="1"/>
  <c r="P584" i="6"/>
  <c r="M584" i="6"/>
  <c r="N584" i="6" s="1"/>
  <c r="L584" i="6"/>
  <c r="O584" i="6" s="1"/>
  <c r="P1007" i="6"/>
  <c r="M1007" i="6"/>
  <c r="N1007" i="6" s="1"/>
  <c r="L1007" i="6"/>
  <c r="O1007" i="6" s="1"/>
  <c r="P1308" i="6"/>
  <c r="O1308" i="6"/>
  <c r="N1308" i="6"/>
  <c r="M1308" i="6"/>
  <c r="L1308" i="6"/>
  <c r="P586" i="6"/>
  <c r="M586" i="6"/>
  <c r="N586" i="6" s="1"/>
  <c r="L586" i="6"/>
  <c r="O586" i="6" s="1"/>
  <c r="P750" i="6"/>
  <c r="M750" i="6"/>
  <c r="N750" i="6" s="1"/>
  <c r="L750" i="6"/>
  <c r="P947" i="6"/>
  <c r="L947" i="6"/>
  <c r="M947" i="6"/>
  <c r="N947" i="6" s="1"/>
  <c r="L436" i="6"/>
  <c r="O436" i="6" s="1"/>
  <c r="P436" i="6"/>
  <c r="M436" i="6"/>
  <c r="N436" i="6" s="1"/>
  <c r="L636" i="6"/>
  <c r="O636" i="6" s="1"/>
  <c r="P636" i="6"/>
  <c r="M636" i="6"/>
  <c r="N636" i="6" s="1"/>
  <c r="P1009" i="6"/>
  <c r="M1009" i="6"/>
  <c r="N1009" i="6" s="1"/>
  <c r="L1009" i="6"/>
  <c r="O1009" i="6" s="1"/>
  <c r="N1347" i="6"/>
  <c r="L1347" i="6"/>
  <c r="P1347" i="6"/>
  <c r="O1347" i="6"/>
  <c r="M1347" i="6"/>
  <c r="P759" i="6"/>
  <c r="M759" i="6"/>
  <c r="N759" i="6" s="1"/>
  <c r="L759" i="6"/>
  <c r="P880" i="6"/>
  <c r="M880" i="6"/>
  <c r="N880" i="6" s="1"/>
  <c r="L880" i="6"/>
  <c r="O880" i="6" s="1"/>
  <c r="P1286" i="6"/>
  <c r="N1286" i="6"/>
  <c r="M1286" i="6"/>
  <c r="O1286" i="6"/>
  <c r="L1286" i="6"/>
  <c r="M929" i="6"/>
  <c r="N929" i="6" s="1"/>
  <c r="P929" i="6"/>
  <c r="L929" i="6"/>
  <c r="O929" i="6" s="1"/>
  <c r="P1098" i="6"/>
  <c r="M1098" i="6"/>
  <c r="N1098" i="6" s="1"/>
  <c r="L1098" i="6"/>
  <c r="O1098" i="6" s="1"/>
  <c r="L1367" i="6"/>
  <c r="P1367" i="6"/>
  <c r="O1367" i="6"/>
  <c r="M1367" i="6"/>
  <c r="N1367" i="6"/>
  <c r="P739" i="6"/>
  <c r="M739" i="6"/>
  <c r="N739" i="6" s="1"/>
  <c r="L739" i="6"/>
  <c r="P837" i="6"/>
  <c r="M837" i="6"/>
  <c r="N837" i="6" s="1"/>
  <c r="L837" i="6"/>
  <c r="M1292" i="6"/>
  <c r="P1292" i="6"/>
  <c r="O1292" i="6"/>
  <c r="N1292" i="6"/>
  <c r="L1292" i="6"/>
  <c r="P972" i="6"/>
  <c r="M972" i="6"/>
  <c r="N972" i="6" s="1"/>
  <c r="L972" i="6"/>
  <c r="M1146" i="6"/>
  <c r="P1146" i="6"/>
  <c r="O1146" i="6"/>
  <c r="L1146" i="6"/>
  <c r="N1146" i="6"/>
  <c r="N1691" i="6"/>
  <c r="M1691" i="6"/>
  <c r="P1691" i="6"/>
  <c r="L1691" i="6"/>
  <c r="O1691" i="6"/>
  <c r="M1366" i="6"/>
  <c r="L1366" i="6"/>
  <c r="P1366" i="6"/>
  <c r="N1366" i="6"/>
  <c r="O1366" i="6"/>
  <c r="O1273" i="6"/>
  <c r="N1273" i="6"/>
  <c r="M1273" i="6"/>
  <c r="L1273" i="6"/>
  <c r="P1273" i="6"/>
  <c r="L948" i="6"/>
  <c r="P948" i="6"/>
  <c r="M948" i="6"/>
  <c r="N948" i="6" s="1"/>
  <c r="L1046" i="6"/>
  <c r="O1046" i="6" s="1"/>
  <c r="P1046" i="6"/>
  <c r="M1046" i="6"/>
  <c r="N1046" i="6" s="1"/>
  <c r="O1144" i="6"/>
  <c r="N1144" i="6"/>
  <c r="L1144" i="6"/>
  <c r="P1144" i="6"/>
  <c r="M1144" i="6"/>
  <c r="P1328" i="6"/>
  <c r="O1328" i="6"/>
  <c r="N1328" i="6"/>
  <c r="M1328" i="6"/>
  <c r="L1328" i="6"/>
  <c r="M977" i="6"/>
  <c r="N977" i="6" s="1"/>
  <c r="L977" i="6"/>
  <c r="P977" i="6"/>
  <c r="M1075" i="6"/>
  <c r="N1075" i="6" s="1"/>
  <c r="L1075" i="6"/>
  <c r="O1075" i="6" s="1"/>
  <c r="P1075" i="6"/>
  <c r="O1173" i="6"/>
  <c r="M1173" i="6"/>
  <c r="L1173" i="6"/>
  <c r="P1173" i="6"/>
  <c r="N1173" i="6"/>
  <c r="P1362" i="6"/>
  <c r="O1362" i="6"/>
  <c r="N1362" i="6"/>
  <c r="M1362" i="6"/>
  <c r="L1362" i="6"/>
  <c r="O1558" i="6"/>
  <c r="M1558" i="6"/>
  <c r="L1558" i="6"/>
  <c r="P1558" i="6"/>
  <c r="N1558" i="6"/>
  <c r="L1850" i="6"/>
  <c r="N1850" i="6"/>
  <c r="M1850" i="6"/>
  <c r="O1850" i="6"/>
  <c r="P1850" i="6"/>
  <c r="P1474" i="6"/>
  <c r="O1474" i="6"/>
  <c r="M1474" i="6"/>
  <c r="L1474" i="6"/>
  <c r="N1474" i="6"/>
  <c r="P1339" i="6"/>
  <c r="O1339" i="6"/>
  <c r="N1339" i="6"/>
  <c r="M1339" i="6"/>
  <c r="L1339" i="6"/>
  <c r="N1652" i="6"/>
  <c r="L1652" i="6"/>
  <c r="P1652" i="6"/>
  <c r="M1652" i="6"/>
  <c r="O1652" i="6"/>
  <c r="N1508" i="6"/>
  <c r="L1508" i="6"/>
  <c r="P1508" i="6"/>
  <c r="O1508" i="6"/>
  <c r="M1508" i="6"/>
  <c r="P1334" i="6"/>
  <c r="O1334" i="6"/>
  <c r="M1334" i="6"/>
  <c r="N1334" i="6"/>
  <c r="L1334" i="6"/>
  <c r="L1637" i="6"/>
  <c r="M1637" i="6"/>
  <c r="N1637" i="6"/>
  <c r="P1637" i="6"/>
  <c r="O1637" i="6"/>
  <c r="P2120" i="6"/>
  <c r="N2120" i="6"/>
  <c r="L2120" i="6"/>
  <c r="O2120" i="6"/>
  <c r="M2120" i="6"/>
  <c r="O1318" i="6"/>
  <c r="M1318" i="6"/>
  <c r="L1318" i="6"/>
  <c r="P1318" i="6"/>
  <c r="N1318" i="6"/>
  <c r="L1858" i="6"/>
  <c r="P1858" i="6"/>
  <c r="O1858" i="6"/>
  <c r="M1858" i="6"/>
  <c r="N1858" i="6"/>
  <c r="P2195" i="6"/>
  <c r="O2195" i="6"/>
  <c r="N2195" i="6"/>
  <c r="M2195" i="6"/>
  <c r="L2195" i="6"/>
  <c r="O2036" i="6"/>
  <c r="N2036" i="6"/>
  <c r="M2036" i="6"/>
  <c r="P2036" i="6"/>
  <c r="L2036" i="6"/>
  <c r="O1757" i="6"/>
  <c r="N1757" i="6"/>
  <c r="P1757" i="6"/>
  <c r="L1757" i="6"/>
  <c r="M1757" i="6"/>
  <c r="P1927" i="6"/>
  <c r="O1927" i="6"/>
  <c r="N1927" i="6"/>
  <c r="M1927" i="6"/>
  <c r="L1927" i="6"/>
  <c r="N1663" i="6"/>
  <c r="M1663" i="6"/>
  <c r="P1663" i="6"/>
  <c r="O1663" i="6"/>
  <c r="L1663" i="6"/>
  <c r="P2100" i="6"/>
  <c r="O2100" i="6"/>
  <c r="N2100" i="6"/>
  <c r="M2100" i="6"/>
  <c r="L2100" i="6"/>
  <c r="P1668" i="6"/>
  <c r="O1668" i="6"/>
  <c r="L1668" i="6"/>
  <c r="N1668" i="6"/>
  <c r="M1668" i="6"/>
  <c r="P1570" i="6"/>
  <c r="L1570" i="6"/>
  <c r="O1570" i="6"/>
  <c r="N1570" i="6"/>
  <c r="M1570" i="6"/>
  <c r="P2057" i="6"/>
  <c r="O2057" i="6"/>
  <c r="N2057" i="6"/>
  <c r="L2057" i="6"/>
  <c r="M2057" i="6"/>
  <c r="L1885" i="6"/>
  <c r="O1885" i="6"/>
  <c r="M1885" i="6"/>
  <c r="P1885" i="6"/>
  <c r="N1885" i="6"/>
  <c r="M2454" i="6"/>
  <c r="N2454" i="6"/>
  <c r="L2454" i="6"/>
  <c r="P2454" i="6"/>
  <c r="O2454" i="6"/>
  <c r="L1742" i="6"/>
  <c r="N1742" i="6"/>
  <c r="P1742" i="6"/>
  <c r="O1742" i="6"/>
  <c r="M1742" i="6"/>
  <c r="O1918" i="6"/>
  <c r="N1918" i="6"/>
  <c r="M1918" i="6"/>
  <c r="L1918" i="6"/>
  <c r="P1918" i="6"/>
  <c r="N1653" i="6"/>
  <c r="L1653" i="6"/>
  <c r="O1653" i="6"/>
  <c r="P1653" i="6"/>
  <c r="M1653" i="6"/>
  <c r="P2114" i="6"/>
  <c r="N2114" i="6"/>
  <c r="M2114" i="6"/>
  <c r="L2114" i="6"/>
  <c r="O2114" i="6"/>
  <c r="N1635" i="6"/>
  <c r="M1635" i="6"/>
  <c r="P1635" i="6"/>
  <c r="L1635" i="6"/>
  <c r="O1635" i="6"/>
  <c r="L1938" i="6"/>
  <c r="P1938" i="6"/>
  <c r="O1938" i="6"/>
  <c r="N1938" i="6"/>
  <c r="M1938" i="6"/>
  <c r="O1626" i="6"/>
  <c r="N1626" i="6"/>
  <c r="M1626" i="6"/>
  <c r="L1626" i="6"/>
  <c r="P1626" i="6"/>
  <c r="N1750" i="6"/>
  <c r="L1750" i="6"/>
  <c r="O1750" i="6"/>
  <c r="M1750" i="6"/>
  <c r="P1750" i="6"/>
  <c r="O1350" i="6"/>
  <c r="P1350" i="6"/>
  <c r="N1350" i="6"/>
  <c r="M1350" i="6"/>
  <c r="L1350" i="6"/>
  <c r="O1448" i="6"/>
  <c r="P1448" i="6"/>
  <c r="M1448" i="6"/>
  <c r="L1448" i="6"/>
  <c r="N1448" i="6"/>
  <c r="O1546" i="6"/>
  <c r="N1546" i="6"/>
  <c r="M1546" i="6"/>
  <c r="P1546" i="6"/>
  <c r="L1546" i="6"/>
  <c r="M1939" i="6"/>
  <c r="L1939" i="6"/>
  <c r="O1939" i="6"/>
  <c r="P1939" i="6"/>
  <c r="N1939" i="6"/>
  <c r="O1386" i="6"/>
  <c r="M1386" i="6"/>
  <c r="P1386" i="6"/>
  <c r="N1386" i="6"/>
  <c r="L1386" i="6"/>
  <c r="O1484" i="6"/>
  <c r="M1484" i="6"/>
  <c r="P1484" i="6"/>
  <c r="N1484" i="6"/>
  <c r="L1484" i="6"/>
  <c r="O1582" i="6"/>
  <c r="M1582" i="6"/>
  <c r="L1582" i="6"/>
  <c r="N1582" i="6"/>
  <c r="P1582" i="6"/>
  <c r="M2255" i="6"/>
  <c r="L2255" i="6"/>
  <c r="O2255" i="6"/>
  <c r="N2255" i="6"/>
  <c r="P2255" i="6"/>
  <c r="P1683" i="6"/>
  <c r="O1683" i="6"/>
  <c r="M1683" i="6"/>
  <c r="N1683" i="6"/>
  <c r="L1683" i="6"/>
  <c r="P1781" i="6"/>
  <c r="O1781" i="6"/>
  <c r="M1781" i="6"/>
  <c r="L1781" i="6"/>
  <c r="N1781" i="6"/>
  <c r="N2138" i="6"/>
  <c r="M2138" i="6"/>
  <c r="L2138" i="6"/>
  <c r="P2138" i="6"/>
  <c r="O2138" i="6"/>
  <c r="N2119" i="6"/>
  <c r="M2119" i="6"/>
  <c r="L2119" i="6"/>
  <c r="P2119" i="6"/>
  <c r="O2119" i="6"/>
  <c r="N2131" i="6"/>
  <c r="M2131" i="6"/>
  <c r="L2131" i="6"/>
  <c r="O2131" i="6"/>
  <c r="P2131" i="6"/>
  <c r="L2091" i="6"/>
  <c r="N2091" i="6"/>
  <c r="M2091" i="6"/>
  <c r="O2091" i="6"/>
  <c r="P2091" i="6"/>
  <c r="O2104" i="6"/>
  <c r="N2104" i="6"/>
  <c r="M2104" i="6"/>
  <c r="P2104" i="6"/>
  <c r="L2104" i="6"/>
  <c r="P1855" i="6"/>
  <c r="O1855" i="6"/>
  <c r="N1855" i="6"/>
  <c r="M1855" i="6"/>
  <c r="L1855" i="6"/>
  <c r="P2140" i="6"/>
  <c r="N2140" i="6"/>
  <c r="M2140" i="6"/>
  <c r="L2140" i="6"/>
  <c r="O2140" i="6"/>
  <c r="M2001" i="6"/>
  <c r="L2001" i="6"/>
  <c r="P2001" i="6"/>
  <c r="N2001" i="6"/>
  <c r="O2001" i="6"/>
  <c r="L2023" i="6"/>
  <c r="M2023" i="6"/>
  <c r="P2023" i="6"/>
  <c r="O2023" i="6"/>
  <c r="N2023" i="6"/>
  <c r="M2068" i="6"/>
  <c r="L2068" i="6"/>
  <c r="P2068" i="6"/>
  <c r="O2068" i="6"/>
  <c r="N2068" i="6"/>
  <c r="P1900" i="6"/>
  <c r="O1900" i="6"/>
  <c r="N1900" i="6"/>
  <c r="M1900" i="6"/>
  <c r="L1900" i="6"/>
  <c r="P2078" i="6"/>
  <c r="O2078" i="6"/>
  <c r="N2078" i="6"/>
  <c r="M2078" i="6"/>
  <c r="L2078" i="6"/>
  <c r="L2341" i="6"/>
  <c r="P2341" i="6"/>
  <c r="N2341" i="6"/>
  <c r="M2341" i="6"/>
  <c r="O2341" i="6"/>
  <c r="P2338" i="6"/>
  <c r="N2338" i="6"/>
  <c r="M2338" i="6"/>
  <c r="O2338" i="6"/>
  <c r="L2338" i="6"/>
  <c r="L2319" i="6"/>
  <c r="P2319" i="6"/>
  <c r="O2319" i="6"/>
  <c r="M2319" i="6"/>
  <c r="N2319" i="6"/>
  <c r="P2052" i="6"/>
  <c r="O2052" i="6"/>
  <c r="M2052" i="6"/>
  <c r="L2052" i="6"/>
  <c r="N2052" i="6"/>
  <c r="P2150" i="6"/>
  <c r="O2150" i="6"/>
  <c r="N2150" i="6"/>
  <c r="M2150" i="6"/>
  <c r="L2150" i="6"/>
  <c r="M2328" i="6"/>
  <c r="L2328" i="6"/>
  <c r="P2328" i="6"/>
  <c r="N2328" i="6"/>
  <c r="O2328" i="6"/>
  <c r="O2060" i="6"/>
  <c r="N2060" i="6"/>
  <c r="M2060" i="6"/>
  <c r="L2060" i="6"/>
  <c r="P2060" i="6"/>
  <c r="L2174" i="6"/>
  <c r="M2174" i="6"/>
  <c r="P2174" i="6"/>
  <c r="O2174" i="6"/>
  <c r="N2174" i="6"/>
  <c r="L2298" i="6"/>
  <c r="P2298" i="6"/>
  <c r="N2298" i="6"/>
  <c r="M2298" i="6"/>
  <c r="O2298" i="6"/>
  <c r="P2197" i="6"/>
  <c r="O2197" i="6"/>
  <c r="N2197" i="6"/>
  <c r="M2197" i="6"/>
  <c r="L2197" i="6"/>
  <c r="P2218" i="6"/>
  <c r="O2218" i="6"/>
  <c r="N2218" i="6"/>
  <c r="M2218" i="6"/>
  <c r="L2218" i="6"/>
  <c r="O2356" i="6"/>
  <c r="N2356" i="6"/>
  <c r="M2356" i="6"/>
  <c r="P2356" i="6"/>
  <c r="L2356" i="6"/>
  <c r="P2384" i="6"/>
  <c r="O2384" i="6"/>
  <c r="N2384" i="6"/>
  <c r="M2384" i="6"/>
  <c r="L2384" i="6"/>
  <c r="P2282" i="6"/>
  <c r="N2282" i="6"/>
  <c r="M2282" i="6"/>
  <c r="O2282" i="6"/>
  <c r="L2282" i="6"/>
  <c r="O2327" i="6"/>
  <c r="M2327" i="6"/>
  <c r="L2327" i="6"/>
  <c r="P2327" i="6"/>
  <c r="N2327" i="6"/>
  <c r="O2240" i="6"/>
  <c r="N2240" i="6"/>
  <c r="M2240" i="6"/>
  <c r="P2240" i="6"/>
  <c r="L2240" i="6"/>
  <c r="P2463" i="6"/>
  <c r="N2463" i="6"/>
  <c r="M2463" i="6"/>
  <c r="O2463" i="6"/>
  <c r="L2463" i="6"/>
  <c r="P2358" i="6"/>
  <c r="O2358" i="6"/>
  <c r="M2358" i="6"/>
  <c r="N2358" i="6"/>
  <c r="L2358" i="6"/>
  <c r="L2437" i="6"/>
  <c r="M2437" i="6"/>
  <c r="P2437" i="6"/>
  <c r="O2437" i="6"/>
  <c r="N2437" i="6"/>
  <c r="P2405" i="6"/>
  <c r="N2405" i="6"/>
  <c r="M2405" i="6"/>
  <c r="L2405" i="6"/>
  <c r="O2405" i="6"/>
  <c r="P2400" i="6"/>
  <c r="O2400" i="6"/>
  <c r="N2400" i="6"/>
  <c r="L2400" i="6"/>
  <c r="M2400" i="6"/>
  <c r="O2395" i="6"/>
  <c r="M2395" i="6"/>
  <c r="L2395" i="6"/>
  <c r="P2395" i="6"/>
  <c r="N2395" i="6"/>
  <c r="P2456" i="6"/>
  <c r="N2456" i="6"/>
  <c r="M2456" i="6"/>
  <c r="L2456" i="6"/>
  <c r="O2456" i="6"/>
  <c r="O2494" i="6"/>
  <c r="M2494" i="6"/>
  <c r="L2494" i="6"/>
  <c r="N2494" i="6"/>
  <c r="P2494" i="6"/>
  <c r="P2448" i="6"/>
  <c r="O2448" i="6"/>
  <c r="L2448" i="6"/>
  <c r="N2448" i="6"/>
  <c r="M2448" i="6"/>
  <c r="L797" i="6"/>
  <c r="P797" i="6"/>
  <c r="M797" i="6"/>
  <c r="N797" i="6" s="1"/>
  <c r="P1257" i="6"/>
  <c r="N1257" i="6"/>
  <c r="M1257" i="6"/>
  <c r="O1257" i="6"/>
  <c r="L1257" i="6"/>
  <c r="M986" i="6"/>
  <c r="N986" i="6" s="1"/>
  <c r="L986" i="6"/>
  <c r="P986" i="6"/>
  <c r="M605" i="6"/>
  <c r="N605" i="6" s="1"/>
  <c r="L605" i="6"/>
  <c r="O605" i="6" s="1"/>
  <c r="P605" i="6"/>
  <c r="P404" i="6"/>
  <c r="L404" i="6"/>
  <c r="O404" i="6" s="1"/>
  <c r="M404" i="6"/>
  <c r="N404" i="6" s="1"/>
  <c r="P250" i="6"/>
  <c r="M250" i="6"/>
  <c r="N250" i="6" s="1"/>
  <c r="L250" i="6"/>
  <c r="O250" i="6" s="1"/>
  <c r="M88" i="6"/>
  <c r="N88" i="6" s="1"/>
  <c r="L88" i="6"/>
  <c r="P88" i="6"/>
  <c r="M791" i="6"/>
  <c r="N791" i="6" s="1"/>
  <c r="L791" i="6"/>
  <c r="P791" i="6"/>
  <c r="P117" i="6"/>
  <c r="M117" i="6"/>
  <c r="N117" i="6" s="1"/>
  <c r="L117" i="6"/>
  <c r="O117" i="6" s="1"/>
  <c r="M1036" i="6"/>
  <c r="N1036" i="6" s="1"/>
  <c r="L1036" i="6"/>
  <c r="O1036" i="6" s="1"/>
  <c r="P1036" i="6"/>
  <c r="P529" i="6"/>
  <c r="M529" i="6"/>
  <c r="N529" i="6" s="1"/>
  <c r="L529" i="6"/>
  <c r="P480" i="6"/>
  <c r="L480" i="6"/>
  <c r="M480" i="6"/>
  <c r="N480" i="6" s="1"/>
  <c r="P294" i="6"/>
  <c r="M294" i="6"/>
  <c r="N294" i="6" s="1"/>
  <c r="L294" i="6"/>
  <c r="O294" i="6" s="1"/>
  <c r="N1233" i="6"/>
  <c r="O1233" i="6"/>
  <c r="M1233" i="6"/>
  <c r="L1233" i="6"/>
  <c r="P1233" i="6"/>
  <c r="L629" i="6"/>
  <c r="O629" i="6" s="1"/>
  <c r="M629" i="6"/>
  <c r="N629" i="6" s="1"/>
  <c r="P629" i="6"/>
  <c r="P364" i="6"/>
  <c r="M364" i="6"/>
  <c r="N364" i="6" s="1"/>
  <c r="L364" i="6"/>
  <c r="P169" i="6"/>
  <c r="M169" i="6"/>
  <c r="N169" i="6" s="1"/>
  <c r="L169" i="6"/>
  <c r="O169" i="6" s="1"/>
  <c r="L763" i="6"/>
  <c r="O763" i="6" s="1"/>
  <c r="P763" i="6"/>
  <c r="M763" i="6"/>
  <c r="N763" i="6" s="1"/>
  <c r="P398" i="6"/>
  <c r="L398" i="6"/>
  <c r="M398" i="6"/>
  <c r="N398" i="6" s="1"/>
  <c r="M754" i="6"/>
  <c r="N754" i="6" s="1"/>
  <c r="L754" i="6"/>
  <c r="O754" i="6" s="1"/>
  <c r="P754" i="6"/>
  <c r="P1149" i="6"/>
  <c r="M1149" i="6"/>
  <c r="L1149" i="6"/>
  <c r="O1149" i="6"/>
  <c r="N1149" i="6"/>
  <c r="P440" i="6"/>
  <c r="L440" i="6"/>
  <c r="M440" i="6"/>
  <c r="N440" i="6" s="1"/>
  <c r="M796" i="6"/>
  <c r="N796" i="6" s="1"/>
  <c r="L796" i="6"/>
  <c r="P796" i="6"/>
  <c r="P9" i="6"/>
  <c r="L9" i="6"/>
  <c r="O9" i="6" s="1"/>
  <c r="M9" i="6"/>
  <c r="N9" i="6" s="1"/>
  <c r="P107" i="6"/>
  <c r="L107" i="6"/>
  <c r="M107" i="6"/>
  <c r="N107" i="6" s="1"/>
  <c r="P205" i="6"/>
  <c r="L205" i="6"/>
  <c r="O205" i="6" s="1"/>
  <c r="M205" i="6"/>
  <c r="N205" i="6" s="1"/>
  <c r="P303" i="6"/>
  <c r="L303" i="6"/>
  <c r="O303" i="6" s="1"/>
  <c r="M303" i="6"/>
  <c r="N303" i="6" s="1"/>
  <c r="L435" i="6"/>
  <c r="O435" i="6" s="1"/>
  <c r="P435" i="6"/>
  <c r="M435" i="6"/>
  <c r="N435" i="6" s="1"/>
  <c r="L699" i="6"/>
  <c r="O699" i="6" s="1"/>
  <c r="P699" i="6"/>
  <c r="M699" i="6"/>
  <c r="N699" i="6" s="1"/>
  <c r="N1275" i="6"/>
  <c r="P1275" i="6"/>
  <c r="L1275" i="6"/>
  <c r="M1275" i="6"/>
  <c r="O1275" i="6"/>
  <c r="P504" i="6"/>
  <c r="L504" i="6"/>
  <c r="M504" i="6"/>
  <c r="N504" i="6" s="1"/>
  <c r="L825" i="6"/>
  <c r="O825" i="6" s="1"/>
  <c r="P825" i="6"/>
  <c r="M825" i="6"/>
  <c r="N825" i="6" s="1"/>
  <c r="P1219" i="6"/>
  <c r="O1219" i="6"/>
  <c r="N1219" i="6"/>
  <c r="M1219" i="6"/>
  <c r="L1219" i="6"/>
  <c r="M45" i="6"/>
  <c r="N45" i="6" s="1"/>
  <c r="L45" i="6"/>
  <c r="P45" i="6"/>
  <c r="M143" i="6"/>
  <c r="N143" i="6" s="1"/>
  <c r="L143" i="6"/>
  <c r="O143" i="6" s="1"/>
  <c r="P143" i="6"/>
  <c r="M241" i="6"/>
  <c r="N241" i="6" s="1"/>
  <c r="L241" i="6"/>
  <c r="P241" i="6"/>
  <c r="M339" i="6"/>
  <c r="N339" i="6" s="1"/>
  <c r="L339" i="6"/>
  <c r="O339" i="6" s="1"/>
  <c r="P339" i="6"/>
  <c r="P511" i="6"/>
  <c r="M511" i="6"/>
  <c r="N511" i="6" s="1"/>
  <c r="L511" i="6"/>
  <c r="O511" i="6" s="1"/>
  <c r="P869" i="6"/>
  <c r="M869" i="6"/>
  <c r="N869" i="6" s="1"/>
  <c r="L869" i="6"/>
  <c r="P515" i="6"/>
  <c r="M515" i="6"/>
  <c r="N515" i="6" s="1"/>
  <c r="L515" i="6"/>
  <c r="P679" i="6"/>
  <c r="M679" i="6"/>
  <c r="N679" i="6" s="1"/>
  <c r="L679" i="6"/>
  <c r="O679" i="6" s="1"/>
  <c r="L811" i="6"/>
  <c r="O811" i="6" s="1"/>
  <c r="M811" i="6"/>
  <c r="N811" i="6" s="1"/>
  <c r="P811" i="6"/>
  <c r="N1287" i="6"/>
  <c r="M1287" i="6"/>
  <c r="L1287" i="6"/>
  <c r="P1287" i="6"/>
  <c r="O1287" i="6"/>
  <c r="P583" i="6"/>
  <c r="L583" i="6"/>
  <c r="O583" i="6" s="1"/>
  <c r="M583" i="6"/>
  <c r="N583" i="6" s="1"/>
  <c r="L734" i="6"/>
  <c r="O734" i="6" s="1"/>
  <c r="P734" i="6"/>
  <c r="M734" i="6"/>
  <c r="N734" i="6" s="1"/>
  <c r="P1024" i="6"/>
  <c r="M1024" i="6"/>
  <c r="N1024" i="6" s="1"/>
  <c r="L1024" i="6"/>
  <c r="O1024" i="6" s="1"/>
  <c r="L601" i="6"/>
  <c r="O601" i="6" s="1"/>
  <c r="P601" i="6"/>
  <c r="M601" i="6"/>
  <c r="N601" i="6" s="1"/>
  <c r="M1014" i="6"/>
  <c r="N1014" i="6" s="1"/>
  <c r="L1014" i="6"/>
  <c r="O1014" i="6" s="1"/>
  <c r="P1014" i="6"/>
  <c r="P1313" i="6"/>
  <c r="L1313" i="6"/>
  <c r="N1313" i="6"/>
  <c r="M1313" i="6"/>
  <c r="O1313" i="6"/>
  <c r="P602" i="6"/>
  <c r="L602" i="6"/>
  <c r="O602" i="6" s="1"/>
  <c r="M602" i="6"/>
  <c r="N602" i="6" s="1"/>
  <c r="L755" i="6"/>
  <c r="O755" i="6" s="1"/>
  <c r="P755" i="6"/>
  <c r="M755" i="6"/>
  <c r="N755" i="6" s="1"/>
  <c r="P954" i="6"/>
  <c r="M954" i="6"/>
  <c r="N954" i="6" s="1"/>
  <c r="L954" i="6"/>
  <c r="M443" i="6"/>
  <c r="N443" i="6" s="1"/>
  <c r="L443" i="6"/>
  <c r="P443" i="6"/>
  <c r="P652" i="6"/>
  <c r="M652" i="6"/>
  <c r="N652" i="6" s="1"/>
  <c r="L652" i="6"/>
  <c r="O652" i="6" s="1"/>
  <c r="P1050" i="6"/>
  <c r="M1050" i="6"/>
  <c r="N1050" i="6" s="1"/>
  <c r="L1050" i="6"/>
  <c r="O1050" i="6" s="1"/>
  <c r="P1486" i="6"/>
  <c r="O1486" i="6"/>
  <c r="N1486" i="6"/>
  <c r="M1486" i="6"/>
  <c r="L1486" i="6"/>
  <c r="P766" i="6"/>
  <c r="M766" i="6"/>
  <c r="N766" i="6" s="1"/>
  <c r="L766" i="6"/>
  <c r="O766" i="6" s="1"/>
  <c r="P896" i="6"/>
  <c r="M896" i="6"/>
  <c r="N896" i="6" s="1"/>
  <c r="L896" i="6"/>
  <c r="P1307" i="6"/>
  <c r="N1307" i="6"/>
  <c r="O1307" i="6"/>
  <c r="M1307" i="6"/>
  <c r="L1307" i="6"/>
  <c r="P946" i="6"/>
  <c r="L946" i="6"/>
  <c r="M946" i="6"/>
  <c r="N946" i="6" s="1"/>
  <c r="M1120" i="6"/>
  <c r="N1120" i="6" s="1"/>
  <c r="L1120" i="6"/>
  <c r="O1120" i="6" s="1"/>
  <c r="P1120" i="6"/>
  <c r="L1369" i="6"/>
  <c r="N1369" i="6"/>
  <c r="M1369" i="6"/>
  <c r="P1369" i="6"/>
  <c r="O1369" i="6"/>
  <c r="P746" i="6"/>
  <c r="M746" i="6"/>
  <c r="N746" i="6" s="1"/>
  <c r="L746" i="6"/>
  <c r="O746" i="6" s="1"/>
  <c r="L850" i="6"/>
  <c r="P850" i="6"/>
  <c r="M850" i="6"/>
  <c r="N850" i="6" s="1"/>
  <c r="L1445" i="6"/>
  <c r="O1445" i="6"/>
  <c r="N1445" i="6"/>
  <c r="M1445" i="6"/>
  <c r="P1445" i="6"/>
  <c r="P994" i="6"/>
  <c r="L994" i="6"/>
  <c r="O994" i="6" s="1"/>
  <c r="M994" i="6"/>
  <c r="N994" i="6" s="1"/>
  <c r="P1163" i="6"/>
  <c r="L1163" i="6"/>
  <c r="O1163" i="6"/>
  <c r="N1163" i="6"/>
  <c r="M1163" i="6"/>
  <c r="P1915" i="6"/>
  <c r="N1915" i="6"/>
  <c r="M1915" i="6"/>
  <c r="L1915" i="6"/>
  <c r="O1915" i="6"/>
  <c r="P1404" i="6"/>
  <c r="N1404" i="6"/>
  <c r="M1404" i="6"/>
  <c r="L1404" i="6"/>
  <c r="O1404" i="6"/>
  <c r="P1274" i="6"/>
  <c r="O1274" i="6"/>
  <c r="N1274" i="6"/>
  <c r="M1274" i="6"/>
  <c r="L1274" i="6"/>
  <c r="L955" i="6"/>
  <c r="P955" i="6"/>
  <c r="M955" i="6"/>
  <c r="N955" i="6" s="1"/>
  <c r="L1053" i="6"/>
  <c r="O1053" i="6" s="1"/>
  <c r="P1053" i="6"/>
  <c r="M1053" i="6"/>
  <c r="N1053" i="6" s="1"/>
  <c r="O1151" i="6"/>
  <c r="N1151" i="6"/>
  <c r="L1151" i="6"/>
  <c r="P1151" i="6"/>
  <c r="M1151" i="6"/>
  <c r="M1422" i="6"/>
  <c r="N1422" i="6"/>
  <c r="O1422" i="6"/>
  <c r="L1422" i="6"/>
  <c r="P1422" i="6"/>
  <c r="M984" i="6"/>
  <c r="N984" i="6" s="1"/>
  <c r="L984" i="6"/>
  <c r="P984" i="6"/>
  <c r="M1082" i="6"/>
  <c r="N1082" i="6" s="1"/>
  <c r="L1082" i="6"/>
  <c r="O1082" i="6" s="1"/>
  <c r="P1082" i="6"/>
  <c r="O1180" i="6"/>
  <c r="M1180" i="6"/>
  <c r="L1180" i="6"/>
  <c r="N1180" i="6"/>
  <c r="P1180" i="6"/>
  <c r="N1376" i="6"/>
  <c r="P1376" i="6"/>
  <c r="M1376" i="6"/>
  <c r="L1376" i="6"/>
  <c r="O1376" i="6"/>
  <c r="P1707" i="6"/>
  <c r="N1707" i="6"/>
  <c r="M1707" i="6"/>
  <c r="L1707" i="6"/>
  <c r="O1707" i="6"/>
  <c r="N1423" i="6"/>
  <c r="L1423" i="6"/>
  <c r="O1423" i="6"/>
  <c r="P1423" i="6"/>
  <c r="M1423" i="6"/>
  <c r="O1528" i="6"/>
  <c r="M1528" i="6"/>
  <c r="L1528" i="6"/>
  <c r="P1528" i="6"/>
  <c r="N1528" i="6"/>
  <c r="P1340" i="6"/>
  <c r="O1340" i="6"/>
  <c r="N1340" i="6"/>
  <c r="M1340" i="6"/>
  <c r="L1340" i="6"/>
  <c r="P1687" i="6"/>
  <c r="O1687" i="6"/>
  <c r="N1687" i="6"/>
  <c r="M1687" i="6"/>
  <c r="L1687" i="6"/>
  <c r="P1510" i="6"/>
  <c r="N1510" i="6"/>
  <c r="M1510" i="6"/>
  <c r="O1510" i="6"/>
  <c r="L1510" i="6"/>
  <c r="P1335" i="6"/>
  <c r="O1335" i="6"/>
  <c r="N1335" i="6"/>
  <c r="L1335" i="6"/>
  <c r="M1335" i="6"/>
  <c r="L1643" i="6"/>
  <c r="P1643" i="6"/>
  <c r="O1643" i="6"/>
  <c r="N1643" i="6"/>
  <c r="M1643" i="6"/>
  <c r="O1227" i="6"/>
  <c r="L1227" i="6"/>
  <c r="M1227" i="6"/>
  <c r="P1227" i="6"/>
  <c r="N1227" i="6"/>
  <c r="O1325" i="6"/>
  <c r="M1325" i="6"/>
  <c r="L1325" i="6"/>
  <c r="N1325" i="6"/>
  <c r="P1325" i="6"/>
  <c r="P1868" i="6"/>
  <c r="N1868" i="6"/>
  <c r="M1868" i="6"/>
  <c r="O1868" i="6"/>
  <c r="L1868" i="6"/>
  <c r="M1471" i="6"/>
  <c r="P1471" i="6"/>
  <c r="O1471" i="6"/>
  <c r="L1471" i="6"/>
  <c r="N1471" i="6"/>
  <c r="M2061" i="6"/>
  <c r="L2061" i="6"/>
  <c r="P2061" i="6"/>
  <c r="O2061" i="6"/>
  <c r="N2061" i="6"/>
  <c r="O1771" i="6"/>
  <c r="N1771" i="6"/>
  <c r="P1771" i="6"/>
  <c r="M1771" i="6"/>
  <c r="L1771" i="6"/>
  <c r="N2127" i="6"/>
  <c r="L2127" i="6"/>
  <c r="P2127" i="6"/>
  <c r="O2127" i="6"/>
  <c r="M2127" i="6"/>
  <c r="M1681" i="6"/>
  <c r="N1681" i="6"/>
  <c r="P1681" i="6"/>
  <c r="O1681" i="6"/>
  <c r="L1681" i="6"/>
  <c r="M2110" i="6"/>
  <c r="L2110" i="6"/>
  <c r="P2110" i="6"/>
  <c r="O2110" i="6"/>
  <c r="N2110" i="6"/>
  <c r="L1678" i="6"/>
  <c r="P1678" i="6"/>
  <c r="O1678" i="6"/>
  <c r="N1678" i="6"/>
  <c r="M1678" i="6"/>
  <c r="N1602" i="6"/>
  <c r="L1602" i="6"/>
  <c r="P1602" i="6"/>
  <c r="M1602" i="6"/>
  <c r="O1602" i="6"/>
  <c r="M1478" i="6"/>
  <c r="P1478" i="6"/>
  <c r="O1478" i="6"/>
  <c r="N1478" i="6"/>
  <c r="L1478" i="6"/>
  <c r="L1911" i="6"/>
  <c r="P1911" i="6"/>
  <c r="O1911" i="6"/>
  <c r="M1911" i="6"/>
  <c r="N1911" i="6"/>
  <c r="P1493" i="6"/>
  <c r="O1493" i="6"/>
  <c r="N1493" i="6"/>
  <c r="L1493" i="6"/>
  <c r="M1493" i="6"/>
  <c r="P1759" i="6"/>
  <c r="M1759" i="6"/>
  <c r="L1759" i="6"/>
  <c r="N1759" i="6"/>
  <c r="O1759" i="6"/>
  <c r="O1940" i="6"/>
  <c r="N1940" i="6"/>
  <c r="M1940" i="6"/>
  <c r="P1940" i="6"/>
  <c r="L1940" i="6"/>
  <c r="L1657" i="6"/>
  <c r="P1657" i="6"/>
  <c r="N1657" i="6"/>
  <c r="M1657" i="6"/>
  <c r="O1657" i="6"/>
  <c r="N2192" i="6"/>
  <c r="L2192" i="6"/>
  <c r="P2192" i="6"/>
  <c r="O2192" i="6"/>
  <c r="M2192" i="6"/>
  <c r="P1661" i="6"/>
  <c r="N1661" i="6"/>
  <c r="M1661" i="6"/>
  <c r="L1661" i="6"/>
  <c r="O1661" i="6"/>
  <c r="N1944" i="6"/>
  <c r="L1944" i="6"/>
  <c r="P1944" i="6"/>
  <c r="M1944" i="6"/>
  <c r="O1944" i="6"/>
  <c r="N1670" i="6"/>
  <c r="M1670" i="6"/>
  <c r="P1670" i="6"/>
  <c r="O1670" i="6"/>
  <c r="L1670" i="6"/>
  <c r="N1769" i="6"/>
  <c r="L1769" i="6"/>
  <c r="P1769" i="6"/>
  <c r="O1769" i="6"/>
  <c r="M1769" i="6"/>
  <c r="O1357" i="6"/>
  <c r="L1357" i="6"/>
  <c r="P1357" i="6"/>
  <c r="N1357" i="6"/>
  <c r="M1357" i="6"/>
  <c r="O1455" i="6"/>
  <c r="L1455" i="6"/>
  <c r="N1455" i="6"/>
  <c r="M1455" i="6"/>
  <c r="P1455" i="6"/>
  <c r="O1553" i="6"/>
  <c r="N1553" i="6"/>
  <c r="P1553" i="6"/>
  <c r="M1553" i="6"/>
  <c r="L1553" i="6"/>
  <c r="P1941" i="6"/>
  <c r="O1941" i="6"/>
  <c r="N1941" i="6"/>
  <c r="M1941" i="6"/>
  <c r="L1941" i="6"/>
  <c r="O1393" i="6"/>
  <c r="M1393" i="6"/>
  <c r="N1393" i="6"/>
  <c r="L1393" i="6"/>
  <c r="P1393" i="6"/>
  <c r="O1491" i="6"/>
  <c r="M1491" i="6"/>
  <c r="L1491" i="6"/>
  <c r="P1491" i="6"/>
  <c r="N1491" i="6"/>
  <c r="P1758" i="6"/>
  <c r="O1758" i="6"/>
  <c r="N1758" i="6"/>
  <c r="M1758" i="6"/>
  <c r="L1758" i="6"/>
  <c r="P1592" i="6"/>
  <c r="O1592" i="6"/>
  <c r="N1592" i="6"/>
  <c r="M1592" i="6"/>
  <c r="L1592" i="6"/>
  <c r="P1690" i="6"/>
  <c r="O1690" i="6"/>
  <c r="N1690" i="6"/>
  <c r="L1690" i="6"/>
  <c r="M1690" i="6"/>
  <c r="P1788" i="6"/>
  <c r="O1788" i="6"/>
  <c r="M1788" i="6"/>
  <c r="L1788" i="6"/>
  <c r="N1788" i="6"/>
  <c r="L2187" i="6"/>
  <c r="P2187" i="6"/>
  <c r="N2187" i="6"/>
  <c r="M2187" i="6"/>
  <c r="O2187" i="6"/>
  <c r="N2223" i="6"/>
  <c r="L2223" i="6"/>
  <c r="M2223" i="6"/>
  <c r="P2223" i="6"/>
  <c r="O2223" i="6"/>
  <c r="P2155" i="6"/>
  <c r="N2155" i="6"/>
  <c r="M2155" i="6"/>
  <c r="L2155" i="6"/>
  <c r="O2155" i="6"/>
  <c r="P1899" i="6"/>
  <c r="N1899" i="6"/>
  <c r="M1899" i="6"/>
  <c r="L1899" i="6"/>
  <c r="O1899" i="6"/>
  <c r="L2126" i="6"/>
  <c r="N2126" i="6"/>
  <c r="M2126" i="6"/>
  <c r="P2126" i="6"/>
  <c r="O2126" i="6"/>
  <c r="P1862" i="6"/>
  <c r="O1862" i="6"/>
  <c r="N1862" i="6"/>
  <c r="M1862" i="6"/>
  <c r="L1862" i="6"/>
  <c r="L2193" i="6"/>
  <c r="N2193" i="6"/>
  <c r="M2193" i="6"/>
  <c r="P2193" i="6"/>
  <c r="O2193" i="6"/>
  <c r="O2006" i="6"/>
  <c r="N2006" i="6"/>
  <c r="M2006" i="6"/>
  <c r="P2006" i="6"/>
  <c r="L2006" i="6"/>
  <c r="N2051" i="6"/>
  <c r="M2051" i="6"/>
  <c r="L2051" i="6"/>
  <c r="P2051" i="6"/>
  <c r="O2051" i="6"/>
  <c r="P2079" i="6"/>
  <c r="O2079" i="6"/>
  <c r="N2079" i="6"/>
  <c r="M2079" i="6"/>
  <c r="L2079" i="6"/>
  <c r="P1907" i="6"/>
  <c r="O1907" i="6"/>
  <c r="N1907" i="6"/>
  <c r="M1907" i="6"/>
  <c r="L1907" i="6"/>
  <c r="O2097" i="6"/>
  <c r="N2097" i="6"/>
  <c r="M2097" i="6"/>
  <c r="L2097" i="6"/>
  <c r="P2097" i="6"/>
  <c r="P1979" i="6"/>
  <c r="O1979" i="6"/>
  <c r="M1979" i="6"/>
  <c r="L1979" i="6"/>
  <c r="N1979" i="6"/>
  <c r="P2381" i="6"/>
  <c r="O2381" i="6"/>
  <c r="N2381" i="6"/>
  <c r="M2381" i="6"/>
  <c r="L2381" i="6"/>
  <c r="O2364" i="6"/>
  <c r="N2364" i="6"/>
  <c r="M2364" i="6"/>
  <c r="L2364" i="6"/>
  <c r="P2364" i="6"/>
  <c r="P2059" i="6"/>
  <c r="O2059" i="6"/>
  <c r="N2059" i="6"/>
  <c r="L2059" i="6"/>
  <c r="M2059" i="6"/>
  <c r="L2157" i="6"/>
  <c r="N2157" i="6"/>
  <c r="M2157" i="6"/>
  <c r="O2157" i="6"/>
  <c r="P2157" i="6"/>
  <c r="O1969" i="6"/>
  <c r="N1969" i="6"/>
  <c r="M1969" i="6"/>
  <c r="P1969" i="6"/>
  <c r="L1969" i="6"/>
  <c r="O2067" i="6"/>
  <c r="N2067" i="6"/>
  <c r="M2067" i="6"/>
  <c r="P2067" i="6"/>
  <c r="L2067" i="6"/>
  <c r="L2179" i="6"/>
  <c r="P2179" i="6"/>
  <c r="N2179" i="6"/>
  <c r="O2179" i="6"/>
  <c r="M2179" i="6"/>
  <c r="P2331" i="6"/>
  <c r="N2331" i="6"/>
  <c r="M2331" i="6"/>
  <c r="O2331" i="6"/>
  <c r="L2331" i="6"/>
  <c r="L2210" i="6"/>
  <c r="P2210" i="6"/>
  <c r="O2210" i="6"/>
  <c r="N2210" i="6"/>
  <c r="M2210" i="6"/>
  <c r="L2237" i="6"/>
  <c r="N2237" i="6"/>
  <c r="O2237" i="6"/>
  <c r="P2237" i="6"/>
  <c r="M2237" i="6"/>
  <c r="P2200" i="6"/>
  <c r="O2200" i="6"/>
  <c r="M2200" i="6"/>
  <c r="L2200" i="6"/>
  <c r="N2200" i="6"/>
  <c r="N2436" i="6"/>
  <c r="L2436" i="6"/>
  <c r="M2436" i="6"/>
  <c r="P2436" i="6"/>
  <c r="O2436" i="6"/>
  <c r="P2289" i="6"/>
  <c r="N2289" i="6"/>
  <c r="M2289" i="6"/>
  <c r="O2289" i="6"/>
  <c r="L2289" i="6"/>
  <c r="N2346" i="6"/>
  <c r="L2346" i="6"/>
  <c r="P2346" i="6"/>
  <c r="O2346" i="6"/>
  <c r="M2346" i="6"/>
  <c r="O2247" i="6"/>
  <c r="N2247" i="6"/>
  <c r="M2247" i="6"/>
  <c r="P2247" i="6"/>
  <c r="L2247" i="6"/>
  <c r="N2499" i="6"/>
  <c r="L2499" i="6"/>
  <c r="P2499" i="6"/>
  <c r="O2499" i="6"/>
  <c r="M2499" i="6"/>
  <c r="M2425" i="6"/>
  <c r="L2425" i="6"/>
  <c r="O2425" i="6"/>
  <c r="N2425" i="6"/>
  <c r="P2425" i="6"/>
  <c r="P2366" i="6"/>
  <c r="N2366" i="6"/>
  <c r="L2366" i="6"/>
  <c r="O2366" i="6"/>
  <c r="M2366" i="6"/>
  <c r="P2408" i="6"/>
  <c r="O2408" i="6"/>
  <c r="L2408" i="6"/>
  <c r="N2408" i="6"/>
  <c r="M2408" i="6"/>
  <c r="P2419" i="6"/>
  <c r="O2419" i="6"/>
  <c r="N2419" i="6"/>
  <c r="M2419" i="6"/>
  <c r="L2419" i="6"/>
  <c r="P2407" i="6"/>
  <c r="O2407" i="6"/>
  <c r="N2407" i="6"/>
  <c r="M2407" i="6"/>
  <c r="L2407" i="6"/>
  <c r="P2484" i="6"/>
  <c r="N2484" i="6"/>
  <c r="M2484" i="6"/>
  <c r="O2484" i="6"/>
  <c r="L2484" i="6"/>
  <c r="O2432" i="6"/>
  <c r="M2432" i="6"/>
  <c r="L2432" i="6"/>
  <c r="P2432" i="6"/>
  <c r="N2432" i="6"/>
  <c r="P2455" i="6"/>
  <c r="O2455" i="6"/>
  <c r="N2455" i="6"/>
  <c r="L2455" i="6"/>
  <c r="M2455" i="6"/>
  <c r="O841" i="6" l="1"/>
  <c r="O815" i="6"/>
  <c r="O817" i="6"/>
  <c r="O804" i="6"/>
  <c r="O831" i="6"/>
  <c r="O933" i="6"/>
  <c r="O736" i="6"/>
  <c r="O510" i="6"/>
  <c r="O818" i="6"/>
  <c r="O794" i="6"/>
  <c r="O980" i="6"/>
  <c r="O787" i="6"/>
  <c r="O988" i="6"/>
  <c r="O814" i="6"/>
  <c r="O506" i="6"/>
  <c r="O973" i="6"/>
  <c r="O914" i="6"/>
  <c r="O975" i="6"/>
  <c r="O781" i="6"/>
  <c r="O778" i="6"/>
  <c r="O904" i="6"/>
  <c r="O544" i="6"/>
  <c r="O984" i="6"/>
  <c r="O500" i="6"/>
  <c r="O961" i="6"/>
  <c r="O967" i="6"/>
  <c r="O499" i="6"/>
  <c r="O535" i="6"/>
  <c r="G99" i="3"/>
  <c r="I75" i="3"/>
  <c r="O946" i="6"/>
  <c r="G122" i="3"/>
  <c r="O916" i="6"/>
  <c r="O484" i="6"/>
  <c r="O533" i="6"/>
  <c r="I107" i="3"/>
  <c r="G199" i="3"/>
  <c r="O895" i="6"/>
  <c r="O985" i="6"/>
  <c r="G85" i="3"/>
  <c r="O1117" i="6"/>
  <c r="I108" i="3"/>
  <c r="O958" i="6"/>
  <c r="O990" i="6"/>
  <c r="O846" i="6"/>
  <c r="O968" i="6"/>
  <c r="O403" i="6"/>
  <c r="O521" i="6"/>
  <c r="O924" i="6"/>
  <c r="O523" i="6"/>
  <c r="O466" i="6"/>
  <c r="H45" i="3"/>
  <c r="O1127" i="6"/>
  <c r="H125" i="3"/>
  <c r="G81" i="3"/>
  <c r="O1129" i="6"/>
  <c r="O965" i="6"/>
  <c r="O518" i="6"/>
  <c r="O1128" i="6"/>
  <c r="J189" i="3"/>
  <c r="O541" i="6"/>
  <c r="O791" i="6"/>
  <c r="O920" i="6"/>
  <c r="G189" i="3"/>
  <c r="G106" i="3"/>
  <c r="H36" i="3"/>
  <c r="G55" i="3"/>
  <c r="H136" i="3"/>
  <c r="G108" i="3"/>
  <c r="H16" i="3"/>
  <c r="J28" i="3"/>
  <c r="O925" i="6"/>
  <c r="I185" i="3"/>
  <c r="H39" i="3"/>
  <c r="I174" i="3"/>
  <c r="I154" i="3"/>
  <c r="O960" i="6"/>
  <c r="J143" i="3"/>
  <c r="J181" i="3"/>
  <c r="O858" i="6"/>
  <c r="J32" i="3"/>
  <c r="J17" i="3"/>
  <c r="G79" i="3"/>
  <c r="H141" i="3"/>
  <c r="J52" i="3"/>
  <c r="I98" i="3"/>
  <c r="O931" i="6"/>
  <c r="O952" i="6"/>
  <c r="J111" i="3"/>
  <c r="J165" i="3"/>
  <c r="G162" i="3"/>
  <c r="O792" i="6"/>
  <c r="I179" i="3"/>
  <c r="I95" i="3"/>
  <c r="H40" i="3"/>
  <c r="G89" i="3"/>
  <c r="G178" i="3"/>
  <c r="H147" i="3"/>
  <c r="J95" i="3"/>
  <c r="I9" i="3"/>
  <c r="I21" i="3"/>
  <c r="G31" i="3"/>
  <c r="G188" i="3"/>
  <c r="J151" i="3"/>
  <c r="G163" i="3"/>
  <c r="O951" i="6"/>
  <c r="J177" i="3"/>
  <c r="I72" i="3"/>
  <c r="H178" i="3"/>
  <c r="H124" i="3"/>
  <c r="J60" i="3"/>
  <c r="O991" i="6"/>
  <c r="G33" i="3"/>
  <c r="G51" i="3"/>
  <c r="H14" i="3"/>
  <c r="J14" i="3"/>
  <c r="J112" i="3"/>
  <c r="I71" i="3"/>
  <c r="H69" i="3"/>
  <c r="J140" i="3"/>
  <c r="G76" i="3"/>
  <c r="I60" i="3"/>
  <c r="H42" i="3"/>
  <c r="O447" i="6"/>
  <c r="J91" i="3"/>
  <c r="I126" i="3"/>
  <c r="O370" i="6"/>
  <c r="O827" i="6"/>
  <c r="H207" i="3"/>
  <c r="I73" i="3"/>
  <c r="H83" i="3"/>
  <c r="H59" i="3"/>
  <c r="I68" i="3"/>
  <c r="O959" i="6"/>
  <c r="I181" i="3"/>
  <c r="H179" i="3"/>
  <c r="G153" i="3"/>
  <c r="I74" i="3"/>
  <c r="I89" i="3"/>
  <c r="O517" i="6"/>
  <c r="H202" i="3"/>
  <c r="G211" i="3"/>
  <c r="H149" i="3"/>
  <c r="H91" i="3"/>
  <c r="G167" i="3"/>
  <c r="O498" i="6"/>
  <c r="J160" i="3"/>
  <c r="O969" i="6"/>
  <c r="J73" i="3"/>
  <c r="H84" i="3"/>
  <c r="J89" i="3"/>
  <c r="H205" i="3"/>
  <c r="G17" i="3"/>
  <c r="J76" i="3"/>
  <c r="I27" i="3"/>
  <c r="I166" i="3"/>
  <c r="O326" i="6"/>
  <c r="J149" i="3"/>
  <c r="G207" i="3"/>
  <c r="H161" i="3"/>
  <c r="O249" i="6"/>
  <c r="G46" i="3"/>
  <c r="J199" i="3"/>
  <c r="G105" i="3"/>
  <c r="H73" i="3"/>
  <c r="I207" i="3"/>
  <c r="H81" i="3"/>
  <c r="J34" i="3"/>
  <c r="G56" i="3"/>
  <c r="G94" i="3"/>
  <c r="O419" i="6"/>
  <c r="H99" i="3"/>
  <c r="G131" i="3"/>
  <c r="H5" i="3"/>
  <c r="G123" i="3"/>
  <c r="G35" i="3"/>
  <c r="I133" i="3"/>
  <c r="G158" i="3"/>
  <c r="J126" i="3"/>
  <c r="O295" i="6"/>
  <c r="H78" i="3"/>
  <c r="H43" i="3"/>
  <c r="J106" i="3"/>
  <c r="O299" i="6"/>
  <c r="O284" i="6"/>
  <c r="H64" i="3"/>
  <c r="G148" i="3"/>
  <c r="G149" i="3"/>
  <c r="I36" i="3"/>
  <c r="I22" i="3"/>
  <c r="O441" i="6"/>
  <c r="H112" i="3"/>
  <c r="I93" i="3"/>
  <c r="G130" i="3"/>
  <c r="G115" i="3"/>
  <c r="O123" i="6"/>
  <c r="H148" i="3"/>
  <c r="I162" i="3"/>
  <c r="H52" i="3"/>
  <c r="G42" i="3"/>
  <c r="I122" i="3"/>
  <c r="H187" i="3"/>
  <c r="O519" i="6"/>
  <c r="H88" i="3"/>
  <c r="O43" i="6"/>
  <c r="J186" i="3"/>
  <c r="O201" i="6"/>
  <c r="I210" i="3"/>
  <c r="O246" i="6"/>
  <c r="H86" i="3"/>
  <c r="J96" i="3"/>
  <c r="J29" i="3"/>
  <c r="H9" i="3"/>
  <c r="O405" i="6"/>
  <c r="H60" i="3"/>
  <c r="H8" i="3"/>
  <c r="G7" i="3"/>
  <c r="O116" i="6"/>
  <c r="O50" i="6"/>
  <c r="O140" i="6"/>
  <c r="I170" i="3"/>
  <c r="G77" i="3"/>
  <c r="I49" i="3"/>
  <c r="G32" i="3"/>
  <c r="G102" i="3"/>
  <c r="G8" i="3"/>
  <c r="O110" i="6"/>
  <c r="J9" i="3"/>
  <c r="I80" i="3"/>
  <c r="J85" i="3"/>
  <c r="J49" i="3"/>
  <c r="I85" i="3"/>
  <c r="O512" i="6"/>
  <c r="H127" i="3"/>
  <c r="H46" i="3"/>
  <c r="H140" i="3"/>
  <c r="G166" i="3"/>
  <c r="G104" i="3"/>
  <c r="I48" i="3"/>
  <c r="J90" i="3"/>
  <c r="J54" i="3"/>
  <c r="G190" i="3"/>
  <c r="H21" i="3"/>
  <c r="G66" i="3"/>
  <c r="J36" i="3"/>
  <c r="O452" i="6"/>
  <c r="O95" i="6"/>
  <c r="H177" i="3"/>
  <c r="O343" i="6"/>
  <c r="O147" i="6"/>
  <c r="I31" i="3"/>
  <c r="G49" i="3"/>
  <c r="I5" i="3"/>
  <c r="I87" i="3"/>
  <c r="J148" i="3"/>
  <c r="J30" i="3"/>
  <c r="J124" i="3"/>
  <c r="H109" i="3"/>
  <c r="O148" i="6"/>
  <c r="J161" i="3"/>
  <c r="G91" i="3"/>
  <c r="H106" i="3"/>
  <c r="H48" i="3"/>
  <c r="J183" i="3"/>
  <c r="H35" i="3"/>
  <c r="G179" i="3"/>
  <c r="I131" i="3"/>
  <c r="G202" i="3"/>
  <c r="G59" i="3"/>
  <c r="O54" i="6"/>
  <c r="G96" i="3"/>
  <c r="G143" i="3"/>
  <c r="O119" i="6"/>
  <c r="I143" i="3"/>
  <c r="I135" i="3"/>
  <c r="I51" i="3"/>
  <c r="J138" i="3"/>
  <c r="G52" i="3"/>
  <c r="J70" i="3"/>
  <c r="G124" i="3"/>
  <c r="G208" i="3"/>
  <c r="O173" i="6"/>
  <c r="J48" i="3"/>
  <c r="J159" i="3"/>
  <c r="G50" i="3"/>
  <c r="H50" i="3"/>
  <c r="G21" i="3"/>
  <c r="G165" i="3"/>
  <c r="H145" i="3"/>
  <c r="J184" i="3"/>
  <c r="I163" i="3"/>
  <c r="G182" i="3"/>
  <c r="H30" i="3"/>
  <c r="J94" i="3"/>
  <c r="G160" i="3"/>
  <c r="I81" i="3"/>
  <c r="H58" i="3"/>
  <c r="H71" i="3"/>
  <c r="O189" i="6"/>
  <c r="O383" i="6"/>
  <c r="G113" i="3"/>
  <c r="O764" i="6"/>
  <c r="I130" i="3"/>
  <c r="I6" i="3"/>
  <c r="H97" i="3"/>
  <c r="J130" i="3"/>
  <c r="G150" i="3"/>
  <c r="I124" i="3"/>
  <c r="I138" i="3"/>
  <c r="O538" i="6"/>
  <c r="I28" i="3"/>
  <c r="O15" i="6"/>
  <c r="G125" i="3"/>
  <c r="G10" i="3"/>
  <c r="H37" i="3"/>
  <c r="J209" i="3"/>
  <c r="I23" i="3"/>
  <c r="H10" i="3"/>
  <c r="I102" i="3"/>
  <c r="H186" i="3"/>
  <c r="J74" i="3"/>
  <c r="H170" i="3"/>
  <c r="O530" i="6"/>
  <c r="I121" i="3"/>
  <c r="I62" i="3"/>
  <c r="I120" i="3"/>
  <c r="O142" i="6"/>
  <c r="H72" i="3"/>
  <c r="O90" i="6"/>
  <c r="O270" i="6"/>
  <c r="H27" i="3"/>
  <c r="H191" i="3"/>
  <c r="H54" i="3"/>
  <c r="G80" i="3"/>
  <c r="J194" i="3"/>
  <c r="I167" i="3"/>
  <c r="J110" i="3"/>
  <c r="O871" i="6"/>
  <c r="I193" i="3"/>
  <c r="I64" i="3"/>
  <c r="G62" i="3"/>
  <c r="I7" i="3"/>
  <c r="G111" i="3"/>
  <c r="O504" i="6"/>
  <c r="J51" i="3"/>
  <c r="I55" i="3"/>
  <c r="I212" i="3"/>
  <c r="I161" i="3"/>
  <c r="H169" i="3"/>
  <c r="I134" i="3"/>
  <c r="O795" i="6"/>
  <c r="O193" i="6"/>
  <c r="O992" i="6"/>
  <c r="I141" i="3"/>
  <c r="J100" i="3"/>
  <c r="J38" i="3"/>
  <c r="O954" i="6"/>
  <c r="H158" i="3"/>
  <c r="O1131" i="6"/>
  <c r="G176" i="3"/>
  <c r="J163" i="3"/>
  <c r="G45" i="3"/>
  <c r="H89" i="3"/>
  <c r="G103" i="3"/>
  <c r="H26" i="3"/>
  <c r="I152" i="3"/>
  <c r="G83" i="3"/>
  <c r="I92" i="3"/>
  <c r="O379" i="6"/>
  <c r="G54" i="3"/>
  <c r="J5" i="3"/>
  <c r="H197" i="3"/>
  <c r="I111" i="3"/>
  <c r="G126" i="3"/>
  <c r="I168" i="3"/>
  <c r="I18" i="3"/>
  <c r="H208" i="3"/>
  <c r="I84" i="3"/>
  <c r="H121" i="3"/>
  <c r="H18" i="3"/>
  <c r="H131" i="3"/>
  <c r="O834" i="6"/>
  <c r="G133" i="3"/>
  <c r="J115" i="3"/>
  <c r="H174" i="3"/>
  <c r="H206" i="3"/>
  <c r="H118" i="3"/>
  <c r="H15" i="3"/>
  <c r="O430" i="6"/>
  <c r="O104" i="6"/>
  <c r="H157" i="3"/>
  <c r="G137" i="3"/>
  <c r="J145" i="3"/>
  <c r="G141" i="3"/>
  <c r="H182" i="3"/>
  <c r="O399" i="6"/>
  <c r="G186" i="3"/>
  <c r="J128" i="3"/>
  <c r="I39" i="3"/>
  <c r="I76" i="3"/>
  <c r="J86" i="3"/>
  <c r="H137" i="3"/>
  <c r="O897" i="6"/>
  <c r="H155" i="3"/>
  <c r="O534" i="6"/>
  <c r="I188" i="3"/>
  <c r="I97" i="3"/>
  <c r="I59" i="3"/>
  <c r="I132" i="3"/>
  <c r="J121" i="3"/>
  <c r="I157" i="3"/>
  <c r="H100" i="3"/>
  <c r="H159" i="3"/>
  <c r="I159" i="3"/>
  <c r="O760" i="6"/>
  <c r="G154" i="3"/>
  <c r="G109" i="3"/>
  <c r="O807" i="6"/>
  <c r="J193" i="3"/>
  <c r="J53" i="3"/>
  <c r="H129" i="3"/>
  <c r="O394" i="6"/>
  <c r="G170" i="3"/>
  <c r="I45" i="3"/>
  <c r="O790" i="6"/>
  <c r="G69" i="3"/>
  <c r="I169" i="3"/>
  <c r="J21" i="3"/>
  <c r="G34" i="3"/>
  <c r="I118" i="3"/>
  <c r="H24" i="3"/>
  <c r="J116" i="3"/>
  <c r="G93" i="3"/>
  <c r="O327" i="6"/>
  <c r="G19" i="3"/>
  <c r="I38" i="3"/>
  <c r="O107" i="6"/>
  <c r="I211" i="3"/>
  <c r="I204" i="3"/>
  <c r="J10" i="3"/>
  <c r="G180" i="3"/>
  <c r="G159" i="3"/>
  <c r="I41" i="3"/>
  <c r="J164" i="3"/>
  <c r="O863" i="6"/>
  <c r="O290" i="6"/>
  <c r="I197" i="3"/>
  <c r="G29" i="3"/>
  <c r="J155" i="3"/>
  <c r="H65" i="3"/>
  <c r="J7" i="3"/>
  <c r="H160" i="3"/>
  <c r="J157" i="3"/>
  <c r="I123" i="3"/>
  <c r="O542" i="6"/>
  <c r="O180" i="6"/>
  <c r="O750" i="6"/>
  <c r="J83" i="3"/>
  <c r="H75" i="3"/>
  <c r="O402" i="6"/>
  <c r="G90" i="3"/>
  <c r="J197" i="3"/>
  <c r="I192" i="3"/>
  <c r="O749" i="6"/>
  <c r="I115" i="3"/>
  <c r="I172" i="3"/>
  <c r="G72" i="3"/>
  <c r="G15" i="3"/>
  <c r="G38" i="3"/>
  <c r="G171" i="3"/>
  <c r="H150" i="3"/>
  <c r="I209" i="3"/>
  <c r="I114" i="3"/>
  <c r="I19" i="3"/>
  <c r="G78" i="3"/>
  <c r="I150" i="3"/>
  <c r="O813" i="6"/>
  <c r="I160" i="3"/>
  <c r="J136" i="3"/>
  <c r="H20" i="3"/>
  <c r="O948" i="6"/>
  <c r="I26" i="3"/>
  <c r="H34" i="3"/>
  <c r="O482" i="6"/>
  <c r="G26" i="3"/>
  <c r="H98" i="3"/>
  <c r="H185" i="3"/>
  <c r="G73" i="3"/>
  <c r="H28" i="3"/>
  <c r="J203" i="3"/>
  <c r="I82" i="3"/>
  <c r="G12" i="3"/>
  <c r="I65" i="3"/>
  <c r="I164" i="3"/>
  <c r="J179" i="3"/>
  <c r="J79" i="3"/>
  <c r="H117" i="3"/>
  <c r="H22" i="3"/>
  <c r="G140" i="3"/>
  <c r="J176" i="3"/>
  <c r="H142" i="3"/>
  <c r="G119" i="3"/>
  <c r="I158" i="3"/>
  <c r="J37" i="3"/>
  <c r="H70" i="3"/>
  <c r="I183" i="3"/>
  <c r="G61" i="3"/>
  <c r="I16" i="3"/>
  <c r="J153" i="3"/>
  <c r="I53" i="3"/>
  <c r="I182" i="3"/>
  <c r="H165" i="3"/>
  <c r="G184" i="3"/>
  <c r="H168" i="3"/>
  <c r="H82" i="3"/>
  <c r="J99" i="3"/>
  <c r="H110" i="3"/>
  <c r="I175" i="3"/>
  <c r="G22" i="3"/>
  <c r="I103" i="3"/>
  <c r="I33" i="3"/>
  <c r="J150" i="3"/>
  <c r="J156" i="3"/>
  <c r="G191" i="3"/>
  <c r="G87" i="3"/>
  <c r="J97" i="3"/>
  <c r="G40" i="3"/>
  <c r="I58" i="3"/>
  <c r="O192" i="6"/>
  <c r="J114" i="3"/>
  <c r="J45" i="3"/>
  <c r="I32" i="3"/>
  <c r="H41" i="3"/>
  <c r="J120" i="3"/>
  <c r="I104" i="3"/>
  <c r="J123" i="3"/>
  <c r="I83" i="3"/>
  <c r="H95" i="3"/>
  <c r="I146" i="3"/>
  <c r="G100" i="3"/>
  <c r="H128" i="3"/>
  <c r="H209" i="3"/>
  <c r="O410" i="6"/>
  <c r="J69" i="3"/>
  <c r="O398" i="6"/>
  <c r="G43" i="3"/>
  <c r="I105" i="3"/>
  <c r="O81" i="6"/>
  <c r="O536" i="6"/>
  <c r="O520" i="6"/>
  <c r="O740" i="6"/>
  <c r="O528" i="6"/>
  <c r="O322" i="6"/>
  <c r="O277" i="6"/>
  <c r="O113" i="6"/>
  <c r="J168" i="3"/>
  <c r="G16" i="3"/>
  <c r="H77" i="3"/>
  <c r="I203" i="3"/>
  <c r="I30" i="3"/>
  <c r="J103" i="3"/>
  <c r="O915" i="6"/>
  <c r="I67" i="3"/>
  <c r="I206" i="3"/>
  <c r="I116" i="3"/>
  <c r="H175" i="3"/>
  <c r="H173" i="3"/>
  <c r="I145" i="3"/>
  <c r="O532" i="6"/>
  <c r="G28" i="3"/>
  <c r="G101" i="3"/>
  <c r="G152" i="3"/>
  <c r="O769" i="6"/>
  <c r="G155" i="3"/>
  <c r="G60" i="3"/>
  <c r="H130" i="3"/>
  <c r="I208" i="3"/>
  <c r="J24" i="3"/>
  <c r="G64" i="3"/>
  <c r="I173" i="3"/>
  <c r="J172" i="3"/>
  <c r="O425" i="6"/>
  <c r="H195" i="3"/>
  <c r="O232" i="6"/>
  <c r="J180" i="3"/>
  <c r="G13" i="3"/>
  <c r="I137" i="3"/>
  <c r="J71" i="3"/>
  <c r="I178" i="3"/>
  <c r="H101" i="3"/>
  <c r="I125" i="3"/>
  <c r="O877" i="6"/>
  <c r="H74" i="3"/>
  <c r="J134" i="3"/>
  <c r="O144" i="6"/>
  <c r="O850" i="6"/>
  <c r="O869" i="6"/>
  <c r="O88" i="6"/>
  <c r="O986" i="6"/>
  <c r="O759" i="6"/>
  <c r="I46" i="3"/>
  <c r="O810" i="6"/>
  <c r="O199" i="6"/>
  <c r="O899" i="6"/>
  <c r="H79" i="3"/>
  <c r="O374" i="6"/>
  <c r="O765" i="6"/>
  <c r="O231" i="6"/>
  <c r="O338" i="6"/>
  <c r="H90" i="3"/>
  <c r="H85" i="3"/>
  <c r="G172" i="3"/>
  <c r="G74" i="3"/>
  <c r="J169" i="3"/>
  <c r="G197" i="3"/>
  <c r="J210" i="3"/>
  <c r="I147" i="3"/>
  <c r="G173" i="3"/>
  <c r="J125" i="3"/>
  <c r="G25" i="3"/>
  <c r="J142" i="3"/>
  <c r="O867" i="6"/>
  <c r="O529" i="6"/>
  <c r="O298" i="6"/>
  <c r="J196" i="3"/>
  <c r="O762" i="6"/>
  <c r="I106" i="3"/>
  <c r="O753" i="6"/>
  <c r="H93" i="3"/>
  <c r="H115" i="3"/>
  <c r="I180" i="3"/>
  <c r="H133" i="3"/>
  <c r="G30" i="3"/>
  <c r="G44" i="3"/>
  <c r="K44" i="3" s="1"/>
  <c r="I79" i="3"/>
  <c r="J205" i="3"/>
  <c r="I127" i="3"/>
  <c r="J139" i="3"/>
  <c r="H123" i="3"/>
  <c r="O543" i="6"/>
  <c r="O803" i="6"/>
  <c r="I177" i="3"/>
  <c r="J81" i="3"/>
  <c r="O204" i="6"/>
  <c r="H138" i="3"/>
  <c r="J127" i="3"/>
  <c r="J141" i="3"/>
  <c r="G203" i="3"/>
  <c r="H194" i="3"/>
  <c r="J20" i="3"/>
  <c r="G48" i="3"/>
  <c r="J191" i="3"/>
  <c r="H31" i="3"/>
  <c r="H57" i="3"/>
  <c r="G88" i="3"/>
  <c r="J204" i="3"/>
  <c r="G136" i="3"/>
  <c r="H212" i="3"/>
  <c r="I61" i="3"/>
  <c r="G151" i="3"/>
  <c r="J131" i="3"/>
  <c r="J202" i="3"/>
  <c r="H210" i="3"/>
  <c r="H132" i="3"/>
  <c r="J201" i="3"/>
  <c r="O473" i="6"/>
  <c r="O796" i="6"/>
  <c r="J175" i="3"/>
  <c r="O947" i="6"/>
  <c r="O789" i="6"/>
  <c r="O79" i="6"/>
  <c r="O923" i="6"/>
  <c r="G14" i="3"/>
  <c r="G168" i="3"/>
  <c r="O978" i="6"/>
  <c r="G82" i="3"/>
  <c r="H211" i="3"/>
  <c r="H163" i="3"/>
  <c r="H167" i="3"/>
  <c r="I34" i="3"/>
  <c r="I109" i="3"/>
  <c r="G205" i="3"/>
  <c r="J65" i="3"/>
  <c r="G6" i="3"/>
  <c r="I149" i="3"/>
  <c r="H114" i="3"/>
  <c r="G39" i="3"/>
  <c r="O337" i="6"/>
  <c r="H61" i="3"/>
  <c r="I198" i="3"/>
  <c r="O550" i="6"/>
  <c r="O816" i="6"/>
  <c r="H146" i="3"/>
  <c r="O982" i="6"/>
  <c r="G198" i="3"/>
  <c r="I86" i="3"/>
  <c r="G145" i="3"/>
  <c r="G157" i="3"/>
  <c r="H113" i="3"/>
  <c r="I70" i="3"/>
  <c r="I200" i="3"/>
  <c r="G110" i="3"/>
  <c r="H154" i="3"/>
  <c r="G27" i="3"/>
  <c r="G117" i="3"/>
  <c r="J13" i="3"/>
  <c r="H162" i="3"/>
  <c r="J61" i="3"/>
  <c r="J173" i="3"/>
  <c r="J192" i="3"/>
  <c r="I187" i="3"/>
  <c r="J23" i="3"/>
  <c r="I77" i="3"/>
  <c r="I195" i="3"/>
  <c r="H122" i="3"/>
  <c r="J211" i="3"/>
  <c r="G68" i="3"/>
  <c r="J137" i="3"/>
  <c r="J119" i="3"/>
  <c r="I94" i="3"/>
  <c r="G118" i="3"/>
  <c r="I155" i="3"/>
  <c r="I91" i="3"/>
  <c r="G181" i="3"/>
  <c r="J122" i="3"/>
  <c r="J170" i="3"/>
  <c r="I176" i="3"/>
  <c r="H120" i="3"/>
  <c r="O443" i="6"/>
  <c r="G138" i="3"/>
  <c r="O945" i="6"/>
  <c r="J146" i="3"/>
  <c r="G121" i="3"/>
  <c r="O522" i="6"/>
  <c r="J208" i="3"/>
  <c r="G212" i="3"/>
  <c r="G128" i="3"/>
  <c r="G116" i="3"/>
  <c r="H107" i="3"/>
  <c r="G206" i="3"/>
  <c r="G147" i="3"/>
  <c r="J166" i="3"/>
  <c r="I35" i="3"/>
  <c r="G97" i="3"/>
  <c r="H19" i="3"/>
  <c r="G92" i="3"/>
  <c r="G95" i="3"/>
  <c r="I78" i="3"/>
  <c r="G11" i="3"/>
  <c r="I199" i="3"/>
  <c r="O911" i="6"/>
  <c r="O304" i="6"/>
  <c r="J207" i="3"/>
  <c r="J75" i="3"/>
  <c r="J6" i="3"/>
  <c r="O409" i="6"/>
  <c r="J41" i="3"/>
  <c r="G183" i="3"/>
  <c r="J158" i="3"/>
  <c r="H49" i="3"/>
  <c r="H12" i="3"/>
  <c r="H126" i="3"/>
  <c r="H135" i="3"/>
  <c r="J87" i="3"/>
  <c r="H17" i="3"/>
  <c r="G132" i="3"/>
  <c r="G169" i="3"/>
  <c r="I171" i="3"/>
  <c r="H38" i="3"/>
  <c r="G195" i="3"/>
  <c r="I100" i="3"/>
  <c r="H176" i="3"/>
  <c r="J72" i="3"/>
  <c r="O905" i="6"/>
  <c r="J174" i="3"/>
  <c r="O480" i="6"/>
  <c r="O797" i="6"/>
  <c r="O864" i="6"/>
  <c r="I202" i="3"/>
  <c r="O318" i="6"/>
  <c r="O137" i="6"/>
  <c r="O333" i="6"/>
  <c r="I142" i="3"/>
  <c r="H156" i="3"/>
  <c r="O297" i="6"/>
  <c r="H68" i="3"/>
  <c r="O742" i="6"/>
  <c r="O893" i="6"/>
  <c r="I13" i="3"/>
  <c r="H198" i="3"/>
  <c r="I88" i="3"/>
  <c r="J59" i="3"/>
  <c r="G24" i="3"/>
  <c r="I37" i="3"/>
  <c r="G63" i="3"/>
  <c r="K63" i="3" s="1"/>
  <c r="H87" i="3"/>
  <c r="H139" i="3"/>
  <c r="I56" i="3"/>
  <c r="J57" i="3"/>
  <c r="G41" i="3"/>
  <c r="J200" i="3"/>
  <c r="H103" i="3"/>
  <c r="H201" i="3"/>
  <c r="G84" i="3"/>
  <c r="G196" i="3"/>
  <c r="H76" i="3"/>
  <c r="I42" i="3"/>
  <c r="O515" i="6"/>
  <c r="J105" i="3"/>
  <c r="O448" i="6"/>
  <c r="H116" i="3"/>
  <c r="J185" i="3"/>
  <c r="O957" i="6"/>
  <c r="O478" i="6"/>
  <c r="G5" i="3"/>
  <c r="O235" i="6"/>
  <c r="G112" i="3"/>
  <c r="G129" i="3"/>
  <c r="G107" i="3"/>
  <c r="H196" i="3"/>
  <c r="G86" i="3"/>
  <c r="J109" i="3"/>
  <c r="H143" i="3"/>
  <c r="J35" i="3"/>
  <c r="H153" i="3"/>
  <c r="I69" i="3"/>
  <c r="I139" i="3"/>
  <c r="I201" i="3"/>
  <c r="H11" i="3"/>
  <c r="O906" i="6"/>
  <c r="G114" i="3"/>
  <c r="O956" i="6"/>
  <c r="I191" i="3"/>
  <c r="I8" i="3"/>
  <c r="I151" i="3"/>
  <c r="H119" i="3"/>
  <c r="J98" i="3"/>
  <c r="I186" i="3"/>
  <c r="I43" i="3"/>
  <c r="G144" i="3"/>
  <c r="H144" i="3"/>
  <c r="I12" i="3"/>
  <c r="J188" i="3"/>
  <c r="I119" i="3"/>
  <c r="I153" i="3"/>
  <c r="I117" i="3"/>
  <c r="O514" i="6"/>
  <c r="G134" i="3"/>
  <c r="O507" i="6"/>
  <c r="J152" i="3"/>
  <c r="G36" i="3"/>
  <c r="I196" i="3"/>
  <c r="J135" i="3"/>
  <c r="O779" i="6"/>
  <c r="H47" i="3"/>
  <c r="O802" i="6"/>
  <c r="J195" i="3"/>
  <c r="G210" i="3"/>
  <c r="G194" i="3"/>
  <c r="I194" i="3"/>
  <c r="I54" i="3"/>
  <c r="G58" i="3"/>
  <c r="G142" i="3"/>
  <c r="I136" i="3"/>
  <c r="I17" i="3"/>
  <c r="G161" i="3"/>
  <c r="G65" i="3"/>
  <c r="I57" i="3"/>
  <c r="G175" i="3"/>
  <c r="H104" i="3"/>
  <c r="G139" i="3"/>
  <c r="J16" i="3"/>
  <c r="H134" i="3"/>
  <c r="J117" i="3"/>
  <c r="G57" i="3"/>
  <c r="O381" i="6"/>
  <c r="O265" i="6"/>
  <c r="H23" i="3"/>
  <c r="H200" i="3"/>
  <c r="C22" i="1"/>
  <c r="C21" i="1"/>
  <c r="C20" i="1"/>
  <c r="C17" i="1"/>
  <c r="C13" i="1"/>
  <c r="C26" i="1"/>
  <c r="C30" i="1"/>
  <c r="C18" i="1"/>
  <c r="C24" i="1"/>
  <c r="C15" i="1"/>
  <c r="C25" i="1"/>
  <c r="C29" i="1"/>
  <c r="C28" i="1"/>
  <c r="C16" i="1"/>
  <c r="C12" i="1"/>
  <c r="O748" i="6"/>
  <c r="H199" i="3"/>
  <c r="H6" i="3"/>
  <c r="J171" i="3"/>
  <c r="H29" i="3"/>
  <c r="G135" i="3"/>
  <c r="J42" i="3"/>
  <c r="I25" i="3"/>
  <c r="J64" i="3"/>
  <c r="G18" i="3"/>
  <c r="J92" i="3"/>
  <c r="H166" i="3"/>
  <c r="H62" i="3"/>
  <c r="I40" i="3"/>
  <c r="I189" i="3"/>
  <c r="G75" i="3"/>
  <c r="I156" i="3"/>
  <c r="G204" i="3"/>
  <c r="H92" i="3"/>
  <c r="G193" i="3"/>
  <c r="I47" i="3"/>
  <c r="G70" i="3"/>
  <c r="O843" i="6"/>
  <c r="O872" i="6"/>
  <c r="O440" i="6"/>
  <c r="O922" i="6"/>
  <c r="O85" i="6"/>
  <c r="O415" i="6"/>
  <c r="O432" i="6"/>
  <c r="O77" i="6"/>
  <c r="O942" i="6"/>
  <c r="O935" i="6"/>
  <c r="O152" i="6"/>
  <c r="O240" i="6"/>
  <c r="O160" i="6"/>
  <c r="G177" i="3"/>
  <c r="H102" i="3"/>
  <c r="I129" i="3"/>
  <c r="H181" i="3"/>
  <c r="G174" i="3"/>
  <c r="H51" i="3"/>
  <c r="J107" i="3"/>
  <c r="J26" i="3"/>
  <c r="I96" i="3"/>
  <c r="I144" i="3"/>
  <c r="H94" i="3"/>
  <c r="J144" i="3"/>
  <c r="H192" i="3"/>
  <c r="J80" i="3"/>
  <c r="J178" i="3"/>
  <c r="J198" i="3"/>
  <c r="H25" i="3"/>
  <c r="O891" i="6"/>
  <c r="O800" i="6"/>
  <c r="O247" i="6"/>
  <c r="O489" i="6"/>
  <c r="O531" i="6"/>
  <c r="O366" i="6"/>
  <c r="O900" i="6"/>
  <c r="J78" i="3"/>
  <c r="H204" i="3"/>
  <c r="O780" i="6"/>
  <c r="O213" i="6"/>
  <c r="O423" i="6"/>
  <c r="O472" i="6"/>
  <c r="O7" i="6"/>
  <c r="O429" i="6"/>
  <c r="O849" i="6"/>
  <c r="O48" i="6"/>
  <c r="O751" i="6"/>
  <c r="H180" i="3"/>
  <c r="J12" i="3"/>
  <c r="G9" i="3"/>
  <c r="J129" i="3"/>
  <c r="H13" i="3"/>
  <c r="J113" i="3"/>
  <c r="H188" i="3"/>
  <c r="I165" i="3"/>
  <c r="G187" i="3"/>
  <c r="G120" i="3"/>
  <c r="G67" i="3"/>
  <c r="O848" i="6"/>
  <c r="O310" i="6"/>
  <c r="O219" i="6"/>
  <c r="O420" i="6"/>
  <c r="O387" i="6"/>
  <c r="O930" i="6"/>
  <c r="O254" i="6"/>
  <c r="O836" i="6"/>
  <c r="J167" i="3"/>
  <c r="O408" i="6"/>
  <c r="O94" i="6"/>
  <c r="O19" i="6"/>
  <c r="O936" i="6"/>
  <c r="O917" i="6"/>
  <c r="O178" i="6"/>
  <c r="O234" i="6"/>
  <c r="O198" i="6"/>
  <c r="O989" i="6"/>
  <c r="O80" i="6"/>
  <c r="O212" i="6"/>
  <c r="J190" i="3"/>
  <c r="G146" i="3"/>
  <c r="G185" i="3"/>
  <c r="I112" i="3"/>
  <c r="J22" i="3"/>
  <c r="H96" i="3"/>
  <c r="G192" i="3"/>
  <c r="I14" i="3"/>
  <c r="J182" i="3"/>
  <c r="I66" i="3"/>
  <c r="H108" i="3"/>
  <c r="J212" i="3"/>
  <c r="J187" i="3"/>
  <c r="O44" i="6"/>
  <c r="O161" i="6"/>
  <c r="H7" i="3"/>
  <c r="O241" i="6"/>
  <c r="O364" i="6"/>
  <c r="O801" i="6"/>
  <c r="J147" i="3"/>
  <c r="O72" i="6"/>
  <c r="O133" i="6"/>
  <c r="O918" i="6"/>
  <c r="H152" i="3"/>
  <c r="G156" i="3"/>
  <c r="O823" i="6"/>
  <c r="O395" i="6"/>
  <c r="O348" i="6"/>
  <c r="O837" i="6"/>
  <c r="O970" i="6"/>
  <c r="O118" i="6"/>
  <c r="O847" i="6"/>
  <c r="O887" i="6"/>
  <c r="O832" i="6"/>
  <c r="O829" i="6"/>
  <c r="O854" i="6"/>
  <c r="O468" i="6"/>
  <c r="O302" i="6"/>
  <c r="O386" i="6"/>
  <c r="O921" i="6"/>
  <c r="O909" i="6"/>
  <c r="H111" i="3"/>
  <c r="H172" i="3"/>
  <c r="I205" i="3"/>
  <c r="I101" i="3"/>
  <c r="H171" i="3"/>
  <c r="G71" i="3"/>
  <c r="G209" i="3"/>
  <c r="G47" i="3"/>
  <c r="I128" i="3"/>
  <c r="I190" i="3"/>
  <c r="O258" i="6"/>
  <c r="O66" i="6"/>
  <c r="O777" i="6"/>
  <c r="O353" i="6"/>
  <c r="O248" i="6"/>
  <c r="O220" i="6"/>
  <c r="O40" i="6"/>
  <c r="O115" i="6"/>
  <c r="O944" i="6"/>
  <c r="D21" i="1" s="1"/>
  <c r="D59" i="2" s="1"/>
  <c r="O268" i="6"/>
  <c r="O981" i="6"/>
  <c r="O913" i="6"/>
  <c r="O156" i="6"/>
  <c r="O987" i="6"/>
  <c r="O6" i="6"/>
  <c r="H32" i="3"/>
  <c r="H189" i="3"/>
  <c r="J133" i="3"/>
  <c r="J104" i="3"/>
  <c r="H203" i="3"/>
  <c r="H183" i="3"/>
  <c r="I29" i="3"/>
  <c r="G127" i="3"/>
  <c r="G23" i="3"/>
  <c r="H105" i="3"/>
  <c r="H164" i="3"/>
  <c r="C7" i="4"/>
  <c r="H193" i="3"/>
  <c r="O828" i="6"/>
  <c r="O501" i="6"/>
  <c r="J154" i="3"/>
  <c r="O977" i="6"/>
  <c r="O738" i="6"/>
  <c r="O153" i="6"/>
  <c r="O953" i="6"/>
  <c r="O32" i="6"/>
  <c r="O767" i="6"/>
  <c r="O873" i="6"/>
  <c r="G20" i="3"/>
  <c r="I113" i="3"/>
  <c r="J31" i="3"/>
  <c r="G201" i="3"/>
  <c r="I184" i="3"/>
  <c r="G98" i="3"/>
  <c r="I148" i="3"/>
  <c r="H190" i="3"/>
  <c r="O896" i="6"/>
  <c r="O784" i="6"/>
  <c r="I99" i="3"/>
  <c r="I20" i="3"/>
  <c r="G164" i="3"/>
  <c r="J43" i="3"/>
  <c r="I140" i="3"/>
  <c r="J108" i="3"/>
  <c r="J206" i="3"/>
  <c r="G53" i="3"/>
  <c r="H53" i="3"/>
  <c r="H151" i="3"/>
  <c r="O464" i="6"/>
  <c r="I90" i="3"/>
  <c r="H184" i="3"/>
  <c r="O20" i="6"/>
  <c r="O826" i="6"/>
  <c r="O955" i="6"/>
  <c r="O972" i="6"/>
  <c r="O129" i="6"/>
  <c r="O145" i="6"/>
  <c r="O3" i="6"/>
  <c r="O782" i="6"/>
  <c r="I110" i="3"/>
  <c r="I11" i="3"/>
  <c r="O261" i="6"/>
  <c r="O739" i="6"/>
  <c r="O352" i="6"/>
  <c r="O439" i="6"/>
  <c r="G37" i="3"/>
  <c r="J132" i="3"/>
  <c r="G200" i="3"/>
  <c r="I52" i="3"/>
  <c r="H80" i="3"/>
  <c r="O45" i="6"/>
  <c r="O170" i="6"/>
  <c r="O321" i="6"/>
  <c r="G21" i="1" l="1"/>
  <c r="I21" i="1" s="1"/>
  <c r="D13" i="1"/>
  <c r="D51" i="2" s="1"/>
  <c r="M13" i="1"/>
  <c r="N13" i="1" s="1"/>
  <c r="G13" i="1"/>
  <c r="I13" i="1" s="1"/>
  <c r="G26" i="1"/>
  <c r="I26" i="1" s="1"/>
  <c r="J13" i="1"/>
  <c r="K13" i="1" s="1"/>
  <c r="M22" i="1"/>
  <c r="O22" i="1" s="1"/>
  <c r="D22" i="1"/>
  <c r="D60" i="2" s="1"/>
  <c r="D26" i="1"/>
  <c r="D64" i="2" s="1"/>
  <c r="J22" i="1"/>
  <c r="L22" i="1" s="1"/>
  <c r="G22" i="1"/>
  <c r="I22" i="1" s="1"/>
  <c r="J21" i="1"/>
  <c r="K21" i="1" s="1"/>
  <c r="M26" i="1"/>
  <c r="O26" i="1" s="1"/>
  <c r="J18" i="1"/>
  <c r="L18" i="1" s="1"/>
  <c r="G18" i="1"/>
  <c r="I18" i="1" s="1"/>
  <c r="D29" i="1"/>
  <c r="D67" i="2" s="1"/>
  <c r="D17" i="1"/>
  <c r="D55" i="2" s="1"/>
  <c r="D18" i="1"/>
  <c r="D56" i="2" s="1"/>
  <c r="K55" i="3"/>
  <c r="M18" i="1"/>
  <c r="N18" i="1" s="1"/>
  <c r="J29" i="1"/>
  <c r="L29" i="1" s="1"/>
  <c r="K33" i="3"/>
  <c r="K89" i="3"/>
  <c r="D30" i="1"/>
  <c r="D68" i="2" s="1"/>
  <c r="M30" i="1"/>
  <c r="O30" i="1" s="1"/>
  <c r="J17" i="1"/>
  <c r="K17" i="1" s="1"/>
  <c r="J30" i="1"/>
  <c r="L30" i="1" s="1"/>
  <c r="G17" i="1"/>
  <c r="H17" i="1" s="1"/>
  <c r="M17" i="1"/>
  <c r="O17" i="1" s="1"/>
  <c r="K56" i="3"/>
  <c r="K73" i="3"/>
  <c r="K207" i="3"/>
  <c r="K72" i="3"/>
  <c r="K68" i="3"/>
  <c r="K76" i="3"/>
  <c r="K165" i="3"/>
  <c r="K149" i="3"/>
  <c r="K162" i="3"/>
  <c r="K36" i="3"/>
  <c r="K60" i="3"/>
  <c r="K179" i="3"/>
  <c r="K9" i="3"/>
  <c r="K8" i="3"/>
  <c r="K133" i="3"/>
  <c r="K124" i="3"/>
  <c r="K66" i="3"/>
  <c r="M25" i="1"/>
  <c r="N25" i="1" s="1"/>
  <c r="K85" i="3"/>
  <c r="K95" i="3"/>
  <c r="K46" i="3"/>
  <c r="K99" i="3"/>
  <c r="M15" i="1"/>
  <c r="N15" i="1" s="1"/>
  <c r="G28" i="1"/>
  <c r="H28" i="1" s="1"/>
  <c r="K161" i="3"/>
  <c r="K186" i="3"/>
  <c r="K181" i="3"/>
  <c r="K52" i="3"/>
  <c r="K170" i="3"/>
  <c r="K62" i="3"/>
  <c r="K59" i="3"/>
  <c r="K64" i="3"/>
  <c r="K148" i="3"/>
  <c r="K91" i="3"/>
  <c r="K106" i="3"/>
  <c r="K177" i="3"/>
  <c r="K19" i="3"/>
  <c r="K49" i="3"/>
  <c r="K50" i="3"/>
  <c r="K51" i="3"/>
  <c r="K48" i="3"/>
  <c r="K27" i="3"/>
  <c r="K130" i="3"/>
  <c r="K10" i="3"/>
  <c r="K159" i="3"/>
  <c r="K21" i="3"/>
  <c r="K69" i="3"/>
  <c r="K143" i="3"/>
  <c r="K45" i="3"/>
  <c r="M29" i="1"/>
  <c r="N29" i="1" s="1"/>
  <c r="D25" i="1"/>
  <c r="D63" i="2" s="1"/>
  <c r="K163" i="3"/>
  <c r="K97" i="3"/>
  <c r="K191" i="3"/>
  <c r="K111" i="3"/>
  <c r="K5" i="3"/>
  <c r="K100" i="3"/>
  <c r="K18" i="3"/>
  <c r="K81" i="3"/>
  <c r="K197" i="3"/>
  <c r="K183" i="3"/>
  <c r="K114" i="3"/>
  <c r="J16" i="1"/>
  <c r="L16" i="1" s="1"/>
  <c r="K54" i="3"/>
  <c r="K139" i="3"/>
  <c r="K88" i="3"/>
  <c r="G25" i="1"/>
  <c r="I25" i="1" s="1"/>
  <c r="K102" i="3"/>
  <c r="K74" i="3"/>
  <c r="K93" i="3"/>
  <c r="K126" i="3"/>
  <c r="K118" i="3"/>
  <c r="K157" i="3"/>
  <c r="K90" i="3"/>
  <c r="K98" i="3"/>
  <c r="K82" i="3"/>
  <c r="K145" i="3"/>
  <c r="J25" i="1"/>
  <c r="L25" i="1" s="1"/>
  <c r="K188" i="3"/>
  <c r="K32" i="3"/>
  <c r="K84" i="3"/>
  <c r="K210" i="3"/>
  <c r="K158" i="3"/>
  <c r="K71" i="3"/>
  <c r="K175" i="3"/>
  <c r="K131" i="3"/>
  <c r="K123" i="3"/>
  <c r="K160" i="3"/>
  <c r="K35" i="3"/>
  <c r="K141" i="3"/>
  <c r="J26" i="1"/>
  <c r="K26" i="1" s="1"/>
  <c r="K24" i="3"/>
  <c r="K155" i="3"/>
  <c r="K28" i="3"/>
  <c r="K83" i="3"/>
  <c r="K15" i="3"/>
  <c r="K16" i="3"/>
  <c r="K150" i="3"/>
  <c r="K22" i="3"/>
  <c r="K121" i="3"/>
  <c r="K110" i="3"/>
  <c r="J15" i="1"/>
  <c r="L15" i="1" s="1"/>
  <c r="K178" i="3"/>
  <c r="K34" i="3"/>
  <c r="K185" i="3"/>
  <c r="K135" i="3"/>
  <c r="K78" i="3"/>
  <c r="K94" i="3"/>
  <c r="K39" i="3"/>
  <c r="K11" i="3"/>
  <c r="K182" i="3"/>
  <c r="K127" i="3"/>
  <c r="K209" i="3"/>
  <c r="K136" i="3"/>
  <c r="K115" i="3"/>
  <c r="K57" i="3"/>
  <c r="K201" i="3"/>
  <c r="K137" i="3"/>
  <c r="K26" i="3"/>
  <c r="K31" i="3"/>
  <c r="K140" i="3"/>
  <c r="K205" i="3"/>
  <c r="K112" i="3"/>
  <c r="K40" i="3"/>
  <c r="K146" i="3"/>
  <c r="J24" i="1"/>
  <c r="K24" i="1" s="1"/>
  <c r="K167" i="3"/>
  <c r="K174" i="3"/>
  <c r="K172" i="3"/>
  <c r="K208" i="3"/>
  <c r="K176" i="3"/>
  <c r="K173" i="3"/>
  <c r="K103" i="3"/>
  <c r="K198" i="3"/>
  <c r="G16" i="1"/>
  <c r="H16" i="1" s="1"/>
  <c r="K119" i="3"/>
  <c r="K109" i="3"/>
  <c r="K169" i="3"/>
  <c r="K77" i="3"/>
  <c r="K86" i="3"/>
  <c r="K105" i="3"/>
  <c r="K58" i="3"/>
  <c r="K196" i="3"/>
  <c r="J28" i="1"/>
  <c r="L28" i="1" s="1"/>
  <c r="K67" i="3"/>
  <c r="K180" i="3"/>
  <c r="K101" i="3"/>
  <c r="K12" i="3"/>
  <c r="K104" i="3"/>
  <c r="K147" i="3"/>
  <c r="K7" i="3"/>
  <c r="K75" i="3"/>
  <c r="K199" i="3"/>
  <c r="K65" i="3"/>
  <c r="K153" i="3"/>
  <c r="K116" i="3"/>
  <c r="K41" i="3"/>
  <c r="K138" i="3"/>
  <c r="K211" i="3"/>
  <c r="K61" i="3"/>
  <c r="K142" i="3"/>
  <c r="G30" i="1"/>
  <c r="K23" i="3"/>
  <c r="M28" i="1"/>
  <c r="N28" i="1" s="1"/>
  <c r="K168" i="3"/>
  <c r="G20" i="1"/>
  <c r="K212" i="3"/>
  <c r="G29" i="1"/>
  <c r="I29" i="1" s="1"/>
  <c r="K132" i="3"/>
  <c r="K37" i="3"/>
  <c r="K128" i="3"/>
  <c r="K152" i="3"/>
  <c r="K13" i="3"/>
  <c r="K17" i="3"/>
  <c r="K87" i="3"/>
  <c r="K38" i="3"/>
  <c r="K195" i="3"/>
  <c r="K30" i="3"/>
  <c r="K125" i="3"/>
  <c r="K79" i="3"/>
  <c r="K134" i="3"/>
  <c r="K202" i="3"/>
  <c r="K122" i="3"/>
  <c r="K6" i="3"/>
  <c r="K117" i="3"/>
  <c r="K194" i="3"/>
  <c r="K154" i="3"/>
  <c r="K166" i="3"/>
  <c r="K43" i="3"/>
  <c r="K200" i="3"/>
  <c r="K120" i="3"/>
  <c r="K92" i="3"/>
  <c r="D20" i="1"/>
  <c r="E20" i="1" s="1"/>
  <c r="M20" i="1"/>
  <c r="D28" i="1"/>
  <c r="D66" i="2" s="1"/>
  <c r="M24" i="1"/>
  <c r="D16" i="1"/>
  <c r="D54" i="2" s="1"/>
  <c r="D15" i="1"/>
  <c r="F15" i="1" s="1"/>
  <c r="M21" i="1"/>
  <c r="N21" i="1" s="1"/>
  <c r="K206" i="3"/>
  <c r="M16" i="1"/>
  <c r="K70" i="3"/>
  <c r="M12" i="1"/>
  <c r="N12" i="1" s="1"/>
  <c r="K42" i="3"/>
  <c r="G12" i="1"/>
  <c r="I12" i="1" s="1"/>
  <c r="K107" i="3"/>
  <c r="K203" i="3"/>
  <c r="D24" i="1"/>
  <c r="F24" i="1" s="1"/>
  <c r="K14" i="3"/>
  <c r="G15" i="1"/>
  <c r="I15" i="1" s="1"/>
  <c r="J12" i="1"/>
  <c r="K151" i="3"/>
  <c r="D12" i="1"/>
  <c r="J20" i="1"/>
  <c r="G24" i="1"/>
  <c r="K113" i="3"/>
  <c r="K96" i="3"/>
  <c r="K25" i="3"/>
  <c r="K189" i="3"/>
  <c r="K80" i="3"/>
  <c r="K184" i="3"/>
  <c r="K156" i="3"/>
  <c r="K129" i="3"/>
  <c r="K190" i="3"/>
  <c r="K108" i="3"/>
  <c r="K29" i="3"/>
  <c r="K144" i="3"/>
  <c r="K171" i="3"/>
  <c r="K192" i="3"/>
  <c r="C14" i="1"/>
  <c r="C53" i="2"/>
  <c r="C56" i="2"/>
  <c r="K164" i="3"/>
  <c r="C68" i="2"/>
  <c r="K204" i="3"/>
  <c r="H26" i="1"/>
  <c r="C64" i="2"/>
  <c r="K193" i="3"/>
  <c r="K20" i="3"/>
  <c r="C51" i="2"/>
  <c r="E13" i="1"/>
  <c r="F13" i="1"/>
  <c r="K47" i="3"/>
  <c r="C55" i="2"/>
  <c r="C62" i="2"/>
  <c r="C23" i="1"/>
  <c r="C11" i="1"/>
  <c r="C50" i="2"/>
  <c r="C19" i="1"/>
  <c r="C58" i="2"/>
  <c r="K187" i="3"/>
  <c r="C59" i="2"/>
  <c r="F21" i="1"/>
  <c r="E21" i="1"/>
  <c r="C54" i="2"/>
  <c r="C60" i="2"/>
  <c r="C63" i="2"/>
  <c r="K53" i="3"/>
  <c r="C66" i="2"/>
  <c r="C27" i="1"/>
  <c r="C67" i="2"/>
  <c r="L13" i="1" l="1"/>
  <c r="H13" i="1"/>
  <c r="H21" i="1"/>
  <c r="O13" i="1"/>
  <c r="J11" i="1"/>
  <c r="L11" i="1" s="1"/>
  <c r="N22" i="1"/>
  <c r="P13" i="1"/>
  <c r="E22" i="1"/>
  <c r="F22" i="1"/>
  <c r="E26" i="1"/>
  <c r="F26" i="1"/>
  <c r="K22" i="1"/>
  <c r="J19" i="1"/>
  <c r="L19" i="1" s="1"/>
  <c r="L21" i="1"/>
  <c r="K18" i="1"/>
  <c r="P22" i="1"/>
  <c r="H22" i="1"/>
  <c r="G19" i="1"/>
  <c r="I19" i="1" s="1"/>
  <c r="F17" i="1"/>
  <c r="H18" i="1"/>
  <c r="N26" i="1"/>
  <c r="E18" i="1"/>
  <c r="F18" i="1"/>
  <c r="F29" i="1"/>
  <c r="E29" i="1"/>
  <c r="K29" i="1"/>
  <c r="O18" i="1"/>
  <c r="E17" i="1"/>
  <c r="N30" i="1"/>
  <c r="P18" i="1"/>
  <c r="I17" i="1"/>
  <c r="F30" i="1"/>
  <c r="K30" i="1"/>
  <c r="L17" i="1"/>
  <c r="N17" i="1"/>
  <c r="P30" i="1"/>
  <c r="E30" i="1"/>
  <c r="P17" i="1"/>
  <c r="O15" i="1"/>
  <c r="M23" i="1"/>
  <c r="O23" i="1" s="1"/>
  <c r="I28" i="1"/>
  <c r="O25" i="1"/>
  <c r="M14" i="1"/>
  <c r="O14" i="1" s="1"/>
  <c r="H25" i="1"/>
  <c r="K16" i="1"/>
  <c r="F25" i="1"/>
  <c r="E25" i="1"/>
  <c r="I16" i="1"/>
  <c r="O29" i="1"/>
  <c r="O28" i="1"/>
  <c r="K20" i="1"/>
  <c r="P25" i="1"/>
  <c r="L20" i="1"/>
  <c r="M19" i="1"/>
  <c r="O19" i="1" s="1"/>
  <c r="P26" i="1"/>
  <c r="K25" i="1"/>
  <c r="L24" i="1"/>
  <c r="L26" i="1"/>
  <c r="J14" i="1"/>
  <c r="K14" i="1" s="1"/>
  <c r="F41" i="1" s="1"/>
  <c r="J23" i="1"/>
  <c r="K15" i="1"/>
  <c r="M27" i="1"/>
  <c r="N27" i="1" s="1"/>
  <c r="G44" i="1" s="1"/>
  <c r="P24" i="1"/>
  <c r="H30" i="1"/>
  <c r="O24" i="1"/>
  <c r="I20" i="1"/>
  <c r="J27" i="1"/>
  <c r="K27" i="1" s="1"/>
  <c r="F44" i="1" s="1"/>
  <c r="K28" i="1"/>
  <c r="H29" i="1"/>
  <c r="F20" i="1"/>
  <c r="G27" i="1"/>
  <c r="H27" i="1" s="1"/>
  <c r="E44" i="1" s="1"/>
  <c r="D58" i="2"/>
  <c r="G58" i="2" s="1"/>
  <c r="I30" i="1"/>
  <c r="H20" i="1"/>
  <c r="D19" i="1"/>
  <c r="D57" i="2" s="1"/>
  <c r="E28" i="1"/>
  <c r="P29" i="1"/>
  <c r="D23" i="1"/>
  <c r="D61" i="2" s="1"/>
  <c r="N24" i="1"/>
  <c r="D14" i="1"/>
  <c r="D52" i="2" s="1"/>
  <c r="O20" i="1"/>
  <c r="G14" i="1"/>
  <c r="P15" i="1"/>
  <c r="N20" i="1"/>
  <c r="P28" i="1"/>
  <c r="D27" i="1"/>
  <c r="D65" i="2" s="1"/>
  <c r="E24" i="1"/>
  <c r="P12" i="1"/>
  <c r="D62" i="2"/>
  <c r="E62" i="2" s="1"/>
  <c r="F62" i="2" s="1"/>
  <c r="F28" i="1"/>
  <c r="D50" i="2"/>
  <c r="G50" i="2" s="1"/>
  <c r="M11" i="1"/>
  <c r="P21" i="1"/>
  <c r="E12" i="1"/>
  <c r="D11" i="1"/>
  <c r="F11" i="1" s="1"/>
  <c r="P16" i="1"/>
  <c r="F12" i="1"/>
  <c r="O16" i="1"/>
  <c r="F16" i="1"/>
  <c r="O12" i="1"/>
  <c r="H12" i="1"/>
  <c r="I24" i="1"/>
  <c r="O21" i="1"/>
  <c r="G23" i="1"/>
  <c r="N16" i="1"/>
  <c r="G11" i="1"/>
  <c r="I11" i="1" s="1"/>
  <c r="H24" i="1"/>
  <c r="K12" i="1"/>
  <c r="L12" i="1"/>
  <c r="E15" i="1"/>
  <c r="H15" i="1"/>
  <c r="P20" i="1"/>
  <c r="D53" i="2"/>
  <c r="G53" i="2" s="1"/>
  <c r="E16" i="1"/>
  <c r="G63" i="2"/>
  <c r="E63" i="2"/>
  <c r="F63" i="2" s="1"/>
  <c r="G51" i="2"/>
  <c r="E51" i="2"/>
  <c r="F51" i="2" s="1"/>
  <c r="C42" i="1"/>
  <c r="C57" i="2"/>
  <c r="C52" i="2"/>
  <c r="C41" i="1"/>
  <c r="G56" i="2"/>
  <c r="E56" i="2"/>
  <c r="F56" i="2" s="1"/>
  <c r="G67" i="2"/>
  <c r="E67" i="2"/>
  <c r="F67" i="2" s="1"/>
  <c r="E55" i="2"/>
  <c r="F55" i="2" s="1"/>
  <c r="G55" i="2"/>
  <c r="G60" i="2"/>
  <c r="E60" i="2"/>
  <c r="F60" i="2" s="1"/>
  <c r="C61" i="2"/>
  <c r="C43" i="1"/>
  <c r="C40" i="1"/>
  <c r="C49" i="2"/>
  <c r="C31" i="1"/>
  <c r="C44" i="1"/>
  <c r="C65" i="2"/>
  <c r="G66" i="2"/>
  <c r="E66" i="2"/>
  <c r="F66" i="2" s="1"/>
  <c r="G59" i="2"/>
  <c r="E59" i="2"/>
  <c r="F59" i="2" s="1"/>
  <c r="E64" i="2"/>
  <c r="F64" i="2" s="1"/>
  <c r="G64" i="2"/>
  <c r="E54" i="2"/>
  <c r="F54" i="2" s="1"/>
  <c r="G54" i="2"/>
  <c r="E68" i="2"/>
  <c r="F68" i="2" s="1"/>
  <c r="G68" i="2"/>
  <c r="K11" i="1" l="1"/>
  <c r="F40" i="1" s="1"/>
  <c r="K19" i="1"/>
  <c r="F42" i="1" s="1"/>
  <c r="H19" i="1"/>
  <c r="E42" i="1" s="1"/>
  <c r="N14" i="1"/>
  <c r="G41" i="1" s="1"/>
  <c r="N23" i="1"/>
  <c r="G43" i="1" s="1"/>
  <c r="F14" i="1"/>
  <c r="I27" i="1"/>
  <c r="J31" i="1"/>
  <c r="D33" i="2" s="1"/>
  <c r="L14" i="1"/>
  <c r="N19" i="1"/>
  <c r="G42" i="1" s="1"/>
  <c r="L27" i="1"/>
  <c r="P14" i="1"/>
  <c r="H41" i="1" s="1"/>
  <c r="O27" i="1"/>
  <c r="L23" i="1"/>
  <c r="M31" i="1"/>
  <c r="D34" i="2" s="1"/>
  <c r="K23" i="1"/>
  <c r="F43" i="1" s="1"/>
  <c r="G62" i="2"/>
  <c r="E14" i="1"/>
  <c r="D41" i="1" s="1"/>
  <c r="P27" i="1"/>
  <c r="H44" i="1" s="1"/>
  <c r="N11" i="1"/>
  <c r="G40" i="1" s="1"/>
  <c r="E27" i="1"/>
  <c r="D44" i="1" s="1"/>
  <c r="F27" i="1"/>
  <c r="E23" i="1"/>
  <c r="D43" i="1" s="1"/>
  <c r="P23" i="1"/>
  <c r="H43" i="1" s="1"/>
  <c r="P19" i="1"/>
  <c r="H42" i="1" s="1"/>
  <c r="F23" i="1"/>
  <c r="E19" i="1"/>
  <c r="D42" i="1" s="1"/>
  <c r="E58" i="2"/>
  <c r="F58" i="2" s="1"/>
  <c r="F19" i="1"/>
  <c r="H14" i="1"/>
  <c r="E41" i="1" s="1"/>
  <c r="I23" i="1"/>
  <c r="H23" i="1"/>
  <c r="E43" i="1" s="1"/>
  <c r="I14" i="1"/>
  <c r="P11" i="1"/>
  <c r="H40" i="1" s="1"/>
  <c r="O11" i="1"/>
  <c r="D31" i="1"/>
  <c r="E31" i="1" s="1"/>
  <c r="H11" i="1"/>
  <c r="E40" i="1" s="1"/>
  <c r="G31" i="1"/>
  <c r="D32" i="2" s="1"/>
  <c r="E50" i="2"/>
  <c r="F50" i="2" s="1"/>
  <c r="D49" i="2"/>
  <c r="G49" i="2" s="1"/>
  <c r="E11" i="1"/>
  <c r="D40" i="1" s="1"/>
  <c r="E53" i="2"/>
  <c r="F53" i="2" s="1"/>
  <c r="G65" i="2"/>
  <c r="E65" i="2"/>
  <c r="F65" i="2" s="1"/>
  <c r="G57" i="2"/>
  <c r="E57" i="2"/>
  <c r="F57" i="2" s="1"/>
  <c r="E52" i="2"/>
  <c r="F52" i="2" s="1"/>
  <c r="G52" i="2"/>
  <c r="E61" i="2"/>
  <c r="F61" i="2" s="1"/>
  <c r="G61" i="2"/>
  <c r="C33" i="2"/>
  <c r="C45" i="1"/>
  <c r="C32" i="2"/>
  <c r="B6" i="1"/>
  <c r="C69" i="2"/>
  <c r="C31" i="2"/>
  <c r="C34" i="2"/>
  <c r="L31" i="1" l="1"/>
  <c r="K31" i="1"/>
  <c r="F45" i="1" s="1"/>
  <c r="N31" i="1"/>
  <c r="J6" i="1" s="1"/>
  <c r="P31" i="1"/>
  <c r="L6" i="1" s="1"/>
  <c r="H31" i="1"/>
  <c r="E45" i="1" s="1"/>
  <c r="O31" i="1"/>
  <c r="I31" i="1"/>
  <c r="F31" i="1"/>
  <c r="D69" i="2"/>
  <c r="G69" i="2" s="1"/>
  <c r="D31" i="2"/>
  <c r="D35" i="2" s="1"/>
  <c r="E49" i="2"/>
  <c r="F49" i="2" s="1"/>
  <c r="C35" i="2"/>
  <c r="G32" i="2"/>
  <c r="E32" i="2"/>
  <c r="F32" i="2" s="1"/>
  <c r="D45" i="1"/>
  <c r="D6" i="1"/>
  <c r="G34" i="2"/>
  <c r="E34" i="2"/>
  <c r="F34" i="2" s="1"/>
  <c r="E33" i="2"/>
  <c r="F33" i="2" s="1"/>
  <c r="G33" i="2"/>
  <c r="H6" i="1" l="1"/>
  <c r="F6" i="1"/>
  <c r="H45" i="1"/>
  <c r="G45" i="1"/>
  <c r="G31" i="2"/>
  <c r="C44" i="2" s="1"/>
  <c r="E31" i="2"/>
  <c r="F31" i="2" s="1"/>
  <c r="E69" i="2"/>
  <c r="F69" i="2" s="1"/>
  <c r="G35" i="2"/>
  <c r="E35" i="2"/>
  <c r="F35" i="2" s="1"/>
  <c r="C38" i="2" l="1"/>
  <c r="H76" i="2" s="1"/>
  <c r="I76" i="2" s="1"/>
  <c r="H75" i="2"/>
  <c r="N8" i="1" l="1"/>
  <c r="C39" i="2"/>
  <c r="C40" i="2"/>
  <c r="C42" i="2" s="1"/>
  <c r="C43" i="2" s="1"/>
  <c r="J76" i="2"/>
  <c r="J82" i="2" s="1"/>
  <c r="I75" i="2"/>
  <c r="J75" i="2"/>
  <c r="K75" i="2" s="1"/>
  <c r="K76" i="2" l="1"/>
  <c r="K82" i="2" s="1"/>
  <c r="N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500-000001000000}">
      <text>
        <r>
          <rPr>
            <sz val="10"/>
            <rFont val="Arial"/>
            <family val="2"/>
          </rPr>
          <t>All columns are formulas reading SPOT_Import by header name. Do not type here — load or paste into SPOT_Import instead.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Landing sheet. Either the Power Query "SPOT_Feed" loads here (see Live Data sheet), or paste a SPOT/DWAPI export here with its headers in row 1. Column order does not matter; headers must match.</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DDA48-40A3-429B-82B5-10BBD0040F5F}" keepAlive="1" name="Query - SPOT_Feed" description="Connection to the 'SPOT_Feed' query in the workbook." type="5" refreshedVersion="8" background="1" saveData="1">
    <dbPr connection="Provider=Microsoft.Mashup.OleDb.1;Data Source=$Workbook$;Location=SPOT_Feed;Extended Properties=&quot;&quot;" command="SELECT * FROM [SPOT_Feed]"/>
  </connection>
</connections>
</file>

<file path=xl/sharedStrings.xml><?xml version="1.0" encoding="utf-8"?>
<sst xmlns="http://schemas.openxmlformats.org/spreadsheetml/2006/main" count="11740" uniqueCount="1864">
  <si>
    <t>Reporting period</t>
  </si>
  <si>
    <t>Upload month counted (YYYY-MM)</t>
  </si>
  <si>
    <t>2026-09</t>
  </si>
  <si>
    <t>Expected Sites</t>
  </si>
  <si>
    <t>C&amp;T</t>
  </si>
  <si>
    <t>HTS</t>
  </si>
  <si>
    <t>MNCH</t>
  </si>
  <si>
    <t>PrEP</t>
  </si>
  <si>
    <t>Overall</t>
  </si>
  <si>
    <t>FAA M22 tier</t>
  </si>
  <si>
    <t>Cluster / County</t>
  </si>
  <si>
    <t>Expected Sites (C&amp;T)</t>
  </si>
  <si>
    <t>Care &amp; Treatment</t>
  </si>
  <si>
    <t>Overall % (all 4 dockets)</t>
  </si>
  <si>
    <t>Uploaded</t>
  </si>
  <si>
    <t>% Uploaded</t>
  </si>
  <si>
    <t>Pending</t>
  </si>
  <si>
    <t>Cluster 1</t>
  </si>
  <si>
    <t xml:space="preserve">   Meru</t>
  </si>
  <si>
    <t xml:space="preserve">   Laikipia</t>
  </si>
  <si>
    <t>Cluster 2</t>
  </si>
  <si>
    <t xml:space="preserve">   Embu</t>
  </si>
  <si>
    <t xml:space="preserve">   Tharaka-Nithi</t>
  </si>
  <si>
    <t xml:space="preserve">   Kirinyaga</t>
  </si>
  <si>
    <t xml:space="preserve">   Nyeri</t>
  </si>
  <si>
    <t>Cluster 3</t>
  </si>
  <si>
    <t xml:space="preserve">   Kiambu</t>
  </si>
  <si>
    <t xml:space="preserve">   Murang'a</t>
  </si>
  <si>
    <t xml:space="preserve">   Kajiado</t>
  </si>
  <si>
    <t>Cluster 4</t>
  </si>
  <si>
    <t xml:space="preserve">   Nyandarua</t>
  </si>
  <si>
    <t xml:space="preserve">   Narok</t>
  </si>
  <si>
    <t xml:space="preserve">   Nakuru</t>
  </si>
  <si>
    <t>Cluster 5</t>
  </si>
  <si>
    <t xml:space="preserve">   Kitui</t>
  </si>
  <si>
    <t xml:space="preserve">   Makueni</t>
  </si>
  <si>
    <t xml:space="preserve">   Machakos</t>
  </si>
  <si>
    <t>CHAK DARAJA TOTAL</t>
  </si>
  <si>
    <t>CLUSTER COMPARISON — % of expected sites uploaded</t>
  </si>
  <si>
    <t>Cluster</t>
  </si>
  <si>
    <t>Overall %</t>
  </si>
  <si>
    <t>Chak Daraja</t>
  </si>
  <si>
    <t>—</t>
  </si>
  <si>
    <t>FAA MILESTONE LINK — DWAPI UPLOADS vs PAYMENT</t>
  </si>
  <si>
    <t>Links the cluster upload tracker to the FAA milestone on electronic reporting, and shows the payment tier the current upload rate would earn.</t>
  </si>
  <si>
    <t>A. Milestone details (from FAA plan)</t>
  </si>
  <si>
    <t>Milestone ID</t>
  </si>
  <si>
    <t>← change to link another milestone ID from the FAA plan</t>
  </si>
  <si>
    <t>Milestone name</t>
  </si>
  <si>
    <t>Description</t>
  </si>
  <si>
    <t>Data source</t>
  </si>
  <si>
    <t>Verification method</t>
  </si>
  <si>
    <t>Achievement threshold</t>
  </si>
  <si>
    <t>Payment scale</t>
  </si>
  <si>
    <t>Frequency</t>
  </si>
  <si>
    <t>Type / Tier</t>
  </si>
  <si>
    <t>Verified by</t>
  </si>
  <si>
    <t>Max annual payment ($)</t>
  </si>
  <si>
    <t>B. Payment tiers (from the FAA payment scale — edit if renegotiated)</t>
  </si>
  <si>
    <t>Minimum reporting rate</t>
  </si>
  <si>
    <t>Payment %</t>
  </si>
  <si>
    <t>Tier label</t>
  </si>
  <si>
    <t>No payment (&lt;80%)</t>
  </si>
  <si>
    <t>50% payment (80–89%)</t>
  </si>
  <si>
    <t>80% payment (90–94%)</t>
  </si>
  <si>
    <t>Full payment (≥95%)</t>
  </si>
  <si>
    <t>Read as: a rate at or above the minimum earns that payment %. Lookup uses the highest tier met.</t>
  </si>
  <si>
    <t>C. Current period — performance against the milestone</t>
  </si>
  <si>
    <t>Upload month</t>
  </si>
  <si>
    <t>Measure used for payment</t>
  </si>
  <si>
    <t>← pick which upload rate GOR will treat as "HIV facilities reporting electronically" (C&amp;T = NDWH C&amp;T facility reporting rate)</t>
  </si>
  <si>
    <t>Docket</t>
  </si>
  <si>
    <t>Sites Uploaded</t>
  </si>
  <si>
    <t>Reporting Rate</t>
  </si>
  <si>
    <t>Payment Tier</t>
  </si>
  <si>
    <t>Sites still needed for 95%</t>
  </si>
  <si>
    <t>RESULT FOR THIS MILESTONE</t>
  </si>
  <si>
    <t>Reporting rate (selected measure)</t>
  </si>
  <si>
    <t>Payment tier earned</t>
  </si>
  <si>
    <t>Payment % earned</t>
  </si>
  <si>
    <t>Reference monthly max payment ($) — M2–M6 rate</t>
  </si>
  <si>
    <t>Indicative payment at this rate ($)</t>
  </si>
  <si>
    <t>Amount at risk ($)</t>
  </si>
  <si>
    <t>Sites still needed to reach 95%</t>
  </si>
  <si>
    <t>August 2026 is before the award start (1-Sep-2026), so it is a baseline: the first paid month (M1 = September performance) is uploaded in October 2026.</t>
  </si>
  <si>
    <t>D. Cluster / county readiness for the 95% threshold (selected measure)</t>
  </si>
  <si>
    <t>Payment Tier if judged alone</t>
  </si>
  <si>
    <t>Sites needed for 95%</t>
  </si>
  <si>
    <t>E. Monthly payment tracker for this milestone (award year 1)</t>
  </si>
  <si>
    <t>Record each month's final rate in the blue "Recorded rate" column once GOR verifies it. Until then, the month matching the upload month in the Cluster Summary shows the live rate.</t>
  </si>
  <si>
    <t>Payment Month</t>
  </si>
  <si>
    <t>Performance Period</t>
  </si>
  <si>
    <t>DWAPI Upload Month</t>
  </si>
  <si>
    <t>Data Due to GOR</t>
  </si>
  <si>
    <t>Max Payment ($)</t>
  </si>
  <si>
    <t>Recorded rate (enter)</t>
  </si>
  <si>
    <t>Rate used</t>
  </si>
  <si>
    <t>Expected Payment ($)</t>
  </si>
  <si>
    <t>Amount at Risk ($)</t>
  </si>
  <si>
    <t>Baseline</t>
  </si>
  <si>
    <t>Aug 2026</t>
  </si>
  <si>
    <t>M1</t>
  </si>
  <si>
    <t>Sep 2026</t>
  </si>
  <si>
    <t>2026-10</t>
  </si>
  <si>
    <t>M2</t>
  </si>
  <si>
    <t>Oct 2026</t>
  </si>
  <si>
    <t>2026-11</t>
  </si>
  <si>
    <t>M3</t>
  </si>
  <si>
    <t>Nov 2026</t>
  </si>
  <si>
    <t>2026-12</t>
  </si>
  <si>
    <t>M4</t>
  </si>
  <si>
    <t>Dec 2026</t>
  </si>
  <si>
    <t>2027-01</t>
  </si>
  <si>
    <t>M5</t>
  </si>
  <si>
    <t>Jan 2027</t>
  </si>
  <si>
    <t>2027-02</t>
  </si>
  <si>
    <t>M6</t>
  </si>
  <si>
    <t>Feb 2027</t>
  </si>
  <si>
    <t>2027-03</t>
  </si>
  <si>
    <t>Total (M1–M6)</t>
  </si>
  <si>
    <t>Check: M1–M6 max total should equal the FAA max annual payment →</t>
  </si>
  <si>
    <t>FACILITY UPLOAD STATUS</t>
  </si>
  <si>
    <t>County</t>
  </si>
  <si>
    <t>Sub-county</t>
  </si>
  <si>
    <t>MFL Code</t>
  </si>
  <si>
    <t>Facility</t>
  </si>
  <si>
    <t>Partner</t>
  </si>
  <si>
    <t>Dockets Pending</t>
  </si>
  <si>
    <t>Meru</t>
  </si>
  <si>
    <t>Buuri</t>
  </si>
  <si>
    <t>Kibirichia Sub-District Hospital</t>
  </si>
  <si>
    <t>USAID Jamii Tekelezi</t>
  </si>
  <si>
    <t>Kiirua Dispensary</t>
  </si>
  <si>
    <t>Lewa Downs Dispensary</t>
  </si>
  <si>
    <t>Mboroga Dispensary</t>
  </si>
  <si>
    <t>Naari Health Centre</t>
  </si>
  <si>
    <t>Ontulili Dispensary</t>
  </si>
  <si>
    <t>Ruiri Rural Health Demonstration Centre</t>
  </si>
  <si>
    <t>St Theresa Hospital (Kiirua)</t>
  </si>
  <si>
    <t>Timau Sub-County Hospital</t>
  </si>
  <si>
    <t>Igembe Central</t>
  </si>
  <si>
    <t>Kangeta Heaith Centre</t>
  </si>
  <si>
    <t>Kawiru Dispensary</t>
  </si>
  <si>
    <t>Kina Dispensary</t>
  </si>
  <si>
    <t>Nthambiro Dispensary</t>
  </si>
  <si>
    <t>Tuuru Catholic Health Centre</t>
  </si>
  <si>
    <t>Igembe North</t>
  </si>
  <si>
    <t>Kaelo Dispensary</t>
  </si>
  <si>
    <t>Laare Health Centre</t>
  </si>
  <si>
    <t>CHAK CHAP STAWISHA</t>
  </si>
  <si>
    <t>Mutuati Sub-County Hospital</t>
  </si>
  <si>
    <t>Theere Health Centre</t>
  </si>
  <si>
    <t>Igembe South</t>
  </si>
  <si>
    <t>Akachiu Health Centre</t>
  </si>
  <si>
    <t>HWWK Maua Dice</t>
  </si>
  <si>
    <t>Kiraone Dispensary</t>
  </si>
  <si>
    <t>Maua Methodist Hospital</t>
  </si>
  <si>
    <t>Mutiokiama Health Centre</t>
  </si>
  <si>
    <t>Nyambene District Hospital</t>
  </si>
  <si>
    <t>Imenti Central</t>
  </si>
  <si>
    <t>Gatimbi Health Centre</t>
  </si>
  <si>
    <t>Githongo District Hospital</t>
  </si>
  <si>
    <t>Kaongo Health Centre</t>
  </si>
  <si>
    <t>Imenti North</t>
  </si>
  <si>
    <t>Chugu Dispensary</t>
  </si>
  <si>
    <t>Family Care Medical Centre (Meru)</t>
  </si>
  <si>
    <t>Gakoromone Dispensary</t>
  </si>
  <si>
    <t>Giaki Sub-District Hospital</t>
  </si>
  <si>
    <t>Gitoro Dispensary</t>
  </si>
  <si>
    <t>Igoki Dispensary</t>
  </si>
  <si>
    <t>Imenti North Dice (Meru)</t>
  </si>
  <si>
    <t>Kathithi Dispensary</t>
  </si>
  <si>
    <t>Kiburine Dispensary</t>
  </si>
  <si>
    <t>Kinoru Dispensary</t>
  </si>
  <si>
    <t>Meru District hospital</t>
  </si>
  <si>
    <t>Imenti South</t>
  </si>
  <si>
    <t>Consolata Hospital (Nkubu)</t>
  </si>
  <si>
    <t>Ithimbari Dispensary</t>
  </si>
  <si>
    <t>Kanyakine District Hospital</t>
  </si>
  <si>
    <t>Kathigu Health Centre</t>
  </si>
  <si>
    <t>Kieni Kia Ndege Dispensary</t>
  </si>
  <si>
    <t>Kinoro Sub-District Hospital</t>
  </si>
  <si>
    <t>Kionyo Dispensary (Imenti South)</t>
  </si>
  <si>
    <t>Kirogine Dispensary</t>
  </si>
  <si>
    <t>Mikumbune Sub-District Hospital</t>
  </si>
  <si>
    <t>Mitunguu Dispensary</t>
  </si>
  <si>
    <t>Nkubu Dispensary</t>
  </si>
  <si>
    <t>St Ann Hospital</t>
  </si>
  <si>
    <t>Uruku Health Centre</t>
  </si>
  <si>
    <t>Tigania East</t>
  </si>
  <si>
    <t>Karama Dispensary</t>
  </si>
  <si>
    <t>Kiguchwa Dispensary</t>
  </si>
  <si>
    <t>Kunati Health Centre</t>
  </si>
  <si>
    <t>Mikinduri Sub-District Hospial</t>
  </si>
  <si>
    <t>Muthara Sub-District Hospital</t>
  </si>
  <si>
    <t>St John of God Hospital Tigania</t>
  </si>
  <si>
    <t>Tigania West</t>
  </si>
  <si>
    <t>Amugaa Health Centre</t>
  </si>
  <si>
    <t>Kunene Dispensary</t>
  </si>
  <si>
    <t>Mbeu Sub-District Hospital</t>
  </si>
  <si>
    <t>Miathene District Hospital</t>
  </si>
  <si>
    <t>Mutionjuri Health Centre</t>
  </si>
  <si>
    <t>Mweronkaga Dispensary</t>
  </si>
  <si>
    <t>Uringu Health Centre</t>
  </si>
  <si>
    <t>Laikipia</t>
  </si>
  <si>
    <t>Laikipia East</t>
  </si>
  <si>
    <t>Mother Angela Huruma Hospital</t>
  </si>
  <si>
    <t>Embu</t>
  </si>
  <si>
    <t>Manyatta</t>
  </si>
  <si>
    <t>Dallas Dispensary</t>
  </si>
  <si>
    <t>Embu Children Hospital</t>
  </si>
  <si>
    <t>Embu Provincial General Hospital</t>
  </si>
  <si>
    <t>Kairuri Health Centre</t>
  </si>
  <si>
    <t>Karau Health Centre</t>
  </si>
  <si>
    <t>Kibugu Health Centre</t>
  </si>
  <si>
    <t>Kithimu Dispensary</t>
  </si>
  <si>
    <t>Makengi Dispensary (Embu)</t>
  </si>
  <si>
    <t>Nembure Health Centre</t>
  </si>
  <si>
    <t>Mbeere North</t>
  </si>
  <si>
    <t>Ishiara Sub-District Hospital</t>
  </si>
  <si>
    <t>Kamumu Dispensary</t>
  </si>
  <si>
    <t>Kanyuambora Dispensary</t>
  </si>
  <si>
    <t>Kathanje Dispensary</t>
  </si>
  <si>
    <t>Kiambere Dam Dispensary</t>
  </si>
  <si>
    <t>Kirie Dispensary</t>
  </si>
  <si>
    <t>Mbeere District Hospital</t>
  </si>
  <si>
    <t>Mbeere South</t>
  </si>
  <si>
    <t>Gachuriri Dispensary</t>
  </si>
  <si>
    <t>Gategi Health Centre</t>
  </si>
  <si>
    <t>Kiambere Health Centre</t>
  </si>
  <si>
    <t>Kiamuringa Dispensary</t>
  </si>
  <si>
    <t>Kiritiri Health Centre</t>
  </si>
  <si>
    <t>Kitololoni Catholic Dispensary</t>
  </si>
  <si>
    <t>Makima Dispensary</t>
  </si>
  <si>
    <t>Nganduri Dispensary</t>
  </si>
  <si>
    <t>Rwika Dispensary</t>
  </si>
  <si>
    <t>Wachoro Dispensary</t>
  </si>
  <si>
    <t>Runyenjes</t>
  </si>
  <si>
    <t>Acef Ena Health Centre</t>
  </si>
  <si>
    <t>Consolata Kyeni Hospital</t>
  </si>
  <si>
    <t>Kanja Health Centre</t>
  </si>
  <si>
    <t>Karurumo Rhtc</t>
  </si>
  <si>
    <t>Kianjokoma Sub-District Hospital</t>
  </si>
  <si>
    <t>Kigumo Health center</t>
  </si>
  <si>
    <t>Nthagaiya Catholic Dispensary</t>
  </si>
  <si>
    <t>Runyenjes District Hospital</t>
  </si>
  <si>
    <t>Ugweri Dispensary</t>
  </si>
  <si>
    <t>Tharaka-Nithi</t>
  </si>
  <si>
    <t>CHUKA</t>
  </si>
  <si>
    <t>Kiangondu Dispensary</t>
  </si>
  <si>
    <t>Chuka</t>
  </si>
  <si>
    <t>Chuka District Hospital</t>
  </si>
  <si>
    <t>Kambandi Dispensary</t>
  </si>
  <si>
    <t>Kibugua Health Centre</t>
  </si>
  <si>
    <t>Mpukoni Health Centre</t>
  </si>
  <si>
    <t>Mukuuni Dispensary</t>
  </si>
  <si>
    <t>Igambangombe</t>
  </si>
  <si>
    <t>Kaanwa Dispensary</t>
  </si>
  <si>
    <t>Kajuki Health Centre</t>
  </si>
  <si>
    <t>MWIMBI</t>
  </si>
  <si>
    <t>Chogoria (PCEA) Hospital</t>
  </si>
  <si>
    <t>Muthambi</t>
  </si>
  <si>
    <t>Muthambi Health Centre</t>
  </si>
  <si>
    <t>Mwimbi</t>
  </si>
  <si>
    <t>Baragu Health Centre</t>
  </si>
  <si>
    <t>Kiamuchairu Health Centre</t>
  </si>
  <si>
    <t>Magutuni District Hospital</t>
  </si>
  <si>
    <t>Mukui Health Centre</t>
  </si>
  <si>
    <t>THARAKA SOUTH</t>
  </si>
  <si>
    <t>St Orsola Mission Hospital</t>
  </si>
  <si>
    <t>Tunyai Health centre</t>
  </si>
  <si>
    <t>Tharaka North</t>
  </si>
  <si>
    <t>Gatunga Model Health Centre</t>
  </si>
  <si>
    <t>Kathangacini Dispensary</t>
  </si>
  <si>
    <t>Mukothima Health Centre</t>
  </si>
  <si>
    <t>Thanantu Faith Clinic Dispensary</t>
  </si>
  <si>
    <t>Tharaka South</t>
  </si>
  <si>
    <t>Gatunga Health Centre</t>
  </si>
  <si>
    <t>Kibunga sub-district Hospital (Tharaka Nithi)</t>
  </si>
  <si>
    <t>Tharaka District Hospital</t>
  </si>
  <si>
    <t>Kirinyaga</t>
  </si>
  <si>
    <t>Kirinyaga North/Mwea West</t>
  </si>
  <si>
    <t>Mwea Mission (Our Lady Of Lourdes) Hospital</t>
  </si>
  <si>
    <t>St Teresa Catholic Dispensary</t>
  </si>
  <si>
    <t>Kirinyaga West</t>
  </si>
  <si>
    <t>Gatithi Dispensary</t>
  </si>
  <si>
    <t>Kagio Catholic Dispensary (Mary Immucate Catholic Dispensary)</t>
  </si>
  <si>
    <t>Nyeri</t>
  </si>
  <si>
    <t>Mathira West</t>
  </si>
  <si>
    <t>Tumutumu (PCEA) Hospital</t>
  </si>
  <si>
    <t>Nyeri Central</t>
  </si>
  <si>
    <t>Consolata Mission Hospital (Mathari)</t>
  </si>
  <si>
    <t>Kiambu</t>
  </si>
  <si>
    <t>Githunguri</t>
  </si>
  <si>
    <t>Holy Family Mission Hospital Githunguri</t>
  </si>
  <si>
    <t>Kiambaa</t>
  </si>
  <si>
    <t>Sacred Heart Dispensary</t>
  </si>
  <si>
    <t>Kiambu Town</t>
  </si>
  <si>
    <t>Tinganga Catholic Dispensary</t>
  </si>
  <si>
    <t>Kikuyu</t>
  </si>
  <si>
    <t>Kikuyu (PCEA) Hospital</t>
  </si>
  <si>
    <t>Lari</t>
  </si>
  <si>
    <t>Kijabe (AIC) Hospital</t>
  </si>
  <si>
    <t>Kijabe (AIC) Hospital Marira Medical Clinic</t>
  </si>
  <si>
    <t>Limuru</t>
  </si>
  <si>
    <t>Holy Cross Dispensary</t>
  </si>
  <si>
    <t>Nazareth Hospital</t>
  </si>
  <si>
    <t>St Charles Lwanga Dispensary</t>
  </si>
  <si>
    <t>Ruiru</t>
  </si>
  <si>
    <t>Nazareth Hospital (Ruiru)</t>
  </si>
  <si>
    <t>St Joseph Catholic Dispensary (Ruiru)</t>
  </si>
  <si>
    <t>Murang'a</t>
  </si>
  <si>
    <t>Kandara</t>
  </si>
  <si>
    <t>Githumu Hospital</t>
  </si>
  <si>
    <t>Kajiado</t>
  </si>
  <si>
    <t>Kajiado West</t>
  </si>
  <si>
    <t>St Mary Health Centre (Kiserian)</t>
  </si>
  <si>
    <t>Nyandarua</t>
  </si>
  <si>
    <t>Kinangop</t>
  </si>
  <si>
    <t>Bamboo Health Centre</t>
  </si>
  <si>
    <t>Engineer District Hospital</t>
  </si>
  <si>
    <t>Heni Health Centre</t>
  </si>
  <si>
    <t>Karangatha Health Centre</t>
  </si>
  <si>
    <t>Murungaru Health Centre</t>
  </si>
  <si>
    <t>Nandarasi Dispensary</t>
  </si>
  <si>
    <t>Ndunyu Njeru Dispensary</t>
  </si>
  <si>
    <t>Njabini Catholic Dispensary</t>
  </si>
  <si>
    <t>Njabini Health Centre</t>
  </si>
  <si>
    <t>North Kinangop Catholic Hospital</t>
  </si>
  <si>
    <t>Weru Health Centre (Nyandarua South)</t>
  </si>
  <si>
    <t>Kipipiri</t>
  </si>
  <si>
    <t>Geta Bush Health centre</t>
  </si>
  <si>
    <t>Manunga Health Centre</t>
  </si>
  <si>
    <t>Ndemi Health Centre</t>
  </si>
  <si>
    <t>Old Mawingu Health Centre</t>
  </si>
  <si>
    <t>Turasha Dispensary</t>
  </si>
  <si>
    <t>Wanjohi Health Centre</t>
  </si>
  <si>
    <t>Ndaragwa</t>
  </si>
  <si>
    <t>Baari Health centre</t>
  </si>
  <si>
    <t>Kahembe Health Centre</t>
  </si>
  <si>
    <t>Leshau Pondo Health Centre</t>
  </si>
  <si>
    <t>Ndaragwa Health Centre</t>
  </si>
  <si>
    <t>Shamata Health Centre</t>
  </si>
  <si>
    <t>Subuku Dispensary (Nyandarua North)</t>
  </si>
  <si>
    <t>Oljororok</t>
  </si>
  <si>
    <t>Chamuka Dispensary</t>
  </si>
  <si>
    <t>Gatimu Health Centre</t>
  </si>
  <si>
    <t>Kasuku Health Centre</t>
  </si>
  <si>
    <t>Ngano Health Centre</t>
  </si>
  <si>
    <t>Olborosat Dispensary</t>
  </si>
  <si>
    <t>Silibwet Health Centre (Nyandarua West)</t>
  </si>
  <si>
    <t>Olkalou</t>
  </si>
  <si>
    <t>JM Kariuki County Memorial Hospital (Olkalou)</t>
  </si>
  <si>
    <t>Kaimbaga Dispensary</t>
  </si>
  <si>
    <t>Mirangine Health Centre</t>
  </si>
  <si>
    <t>New Mawingu Health Centre</t>
  </si>
  <si>
    <t>New Tumaini  Health Centre</t>
  </si>
  <si>
    <t>Ngorika Dispensary</t>
  </si>
  <si>
    <t>St Mathews and Sarah Dispensary</t>
  </si>
  <si>
    <t>Narok</t>
  </si>
  <si>
    <t>Narok South</t>
  </si>
  <si>
    <t>Ewaso Ngiro Health Centre</t>
  </si>
  <si>
    <t>St Elizabeth Health Centre</t>
  </si>
  <si>
    <t>Narok West</t>
  </si>
  <si>
    <t>CMF Aitong Health Centre</t>
  </si>
  <si>
    <t>Mararianta Dispensary</t>
  </si>
  <si>
    <t>Talek Health Centre</t>
  </si>
  <si>
    <t>Nakuru</t>
  </si>
  <si>
    <t>Naivasha</t>
  </si>
  <si>
    <t>Naivasha (AIC) Medical Centre</t>
  </si>
  <si>
    <t>Kitui</t>
  </si>
  <si>
    <t>Kitui Central</t>
  </si>
  <si>
    <t>Mulango (AIC) Health Centre</t>
  </si>
  <si>
    <t>Mulutu Mission Dispensary</t>
  </si>
  <si>
    <t>Kitui East</t>
  </si>
  <si>
    <t>AIC Zombe  Dispensary</t>
  </si>
  <si>
    <t>Mutito Catholic Dispensary</t>
  </si>
  <si>
    <t>Kitui Rural</t>
  </si>
  <si>
    <t>St Joseph Kavisuni Health Centre</t>
  </si>
  <si>
    <t>Kitui South</t>
  </si>
  <si>
    <t>Athi Mission Clinic</t>
  </si>
  <si>
    <t>Faith Nursing Home (Ikutha)</t>
  </si>
  <si>
    <t>Kaliani Dispensary</t>
  </si>
  <si>
    <t>Kanziku Health Centre</t>
  </si>
  <si>
    <t>Kasaala Health Centre</t>
  </si>
  <si>
    <t>Katilini Health Centre</t>
  </si>
  <si>
    <t>Katyethoka Health Centre</t>
  </si>
  <si>
    <t>Mutomo Mission Hospital</t>
  </si>
  <si>
    <t>Mwingi North</t>
  </si>
  <si>
    <t>Katakani Dispensary</t>
  </si>
  <si>
    <t>Makueni</t>
  </si>
  <si>
    <t>Kaiti</t>
  </si>
  <si>
    <t>Kikoko Mission Hospital</t>
  </si>
  <si>
    <t>Kibwezi East</t>
  </si>
  <si>
    <t>Kambu Catholic Dispensary</t>
  </si>
  <si>
    <t>PCEA Kasasule Dispensary</t>
  </si>
  <si>
    <t>Kibwezi West</t>
  </si>
  <si>
    <t>Mbitini Catholic Dispensary</t>
  </si>
  <si>
    <t>AIC Kalamba Dispensary</t>
  </si>
  <si>
    <t>Makueni Catholic Dispensary</t>
  </si>
  <si>
    <t>Machakos</t>
  </si>
  <si>
    <t>Athi River</t>
  </si>
  <si>
    <t>St Assisi Sisters of Mary Immaculate Nursing Home</t>
  </si>
  <si>
    <t>Masinga</t>
  </si>
  <si>
    <t>D Comboni Mission</t>
  </si>
  <si>
    <t>Matungulu</t>
  </si>
  <si>
    <t>St Mark Maternity</t>
  </si>
  <si>
    <t>Yatta</t>
  </si>
  <si>
    <t>Matuu Mission Health Centre</t>
  </si>
  <si>
    <t>LIVE DATA CONNECTION — SPOT / DWAPI</t>
  </si>
  <si>
    <t>Option 1 (active): the tracker reads the newest SPOT export saved in one folder. Click Data → Refresh All and every sheet updates.</t>
  </si>
  <si>
    <t>1. Settings</t>
  </si>
  <si>
    <t>SPOT export folder (full path)</t>
  </si>
  <si>
    <t>Rows currently loaded</t>
  </si>
  <si>
    <t>Upload months present</t>
  </si>
  <si>
    <t>Source file loaded</t>
  </si>
  <si>
    <t>2. Column check (SPOT_Import headers)</t>
  </si>
  <si>
    <t>Tracker field</t>
  </si>
  <si>
    <t>Column # in SPOT_Import</t>
  </si>
  <si>
    <t>Status</t>
  </si>
  <si>
    <t>Code</t>
  </si>
  <si>
    <t>Expected</t>
  </si>
  <si>
    <t>Received</t>
  </si>
  <si>
    <t>Updated</t>
  </si>
  <si>
    <t>logDate</t>
  </si>
  <si>
    <t>3. One-time setup in Excel (about 5 minutes, Excel 2016 / Microsoft 365 on Windows)</t>
  </si>
  <si>
    <t>Step 1</t>
  </si>
  <si>
    <t>Create a folder for SPOT exports (e.g. Documents\SPOT Exports) and type its full path in the yellow cell C5 above.</t>
  </si>
  <si>
    <t>Step 2</t>
  </si>
  <si>
    <t>Download the facility upload list from SPOT as usual and save it in that folder (.xlsx or .csv). Keep old files if you like — the newest one is used.</t>
  </si>
  <si>
    <t>Step 3</t>
  </si>
  <si>
    <t>In Excel: Data → Get Data → From Other Sources → Blank Query. In the Power Query window click Advanced Editor.</t>
  </si>
  <si>
    <t>Step 4</t>
  </si>
  <si>
    <t>Delete everything in the editor, paste the code in section 4 below (cells B36:B68, or the SPOT_Feed_PowerQuery.txt file), click Done. Rename the query (right pane) to SPOT_Feed.</t>
  </si>
  <si>
    <t>Step 5</t>
  </si>
  <si>
    <t>If asked about privacy levels, choose "Ignore Privacy Levels" (both sources are your own files) or set both to Organizational.</t>
  </si>
  <si>
    <t>Step 6</t>
  </si>
  <si>
    <t>Home → Close &amp; Load To… → Table → Existing worksheet → =SPOT_Import!$A$1. Say OK to replace the sample August data on that sheet.</t>
  </si>
  <si>
    <t>Step 7</t>
  </si>
  <si>
    <t>Data → Queries &amp; Connections → right-click SPOT_Feed → Properties → tick "Refresh data when opening the file" (optional: "Refresh every 60 minutes").</t>
  </si>
  <si>
    <t>Step 8</t>
  </si>
  <si>
    <t>From then on: save the new SPOT export in the folder → Data → Refresh All. Set the reporting period and upload month (yellow cells) on Cluster Summary.</t>
  </si>
  <si>
    <t>Step 9</t>
  </si>
  <si>
    <t>Check section 2 above shows "✓ found" for every field. If SPOT renames a column, fix the header in SPOT_Import or the name list in the query.</t>
  </si>
  <si>
    <t>4. Power Query code (SPOT_Feed) — copy cells B36 to B68 into the Advanced Editor</t>
  </si>
  <si>
    <t>// ===== SPOT_Feed : loads the newest SPOT / DWAPI export from the folder named in the cell "SpotFolder" =====</t>
  </si>
  <si>
    <t>let</t>
  </si>
  <si>
    <t xml:space="preserve">    FolderPath = Text.Trim(Text.From(Excel.CurrentWorkbook(){[Name="SpotFolder"]}[Content]{0}[Column1])),</t>
  </si>
  <si>
    <t xml:space="preserve">    Files      = Folder.Files(FolderPath),</t>
  </si>
  <si>
    <t xml:space="preserve">    Usable     = Table.SelectRows(Files, each List.Contains({".xlsx", ".xls", ".csv"}, Text.Lower([Extension]))</t>
  </si>
  <si>
    <t xml:space="preserve">                                         and not Text.StartsWith([Name], "~$")),</t>
  </si>
  <si>
    <t xml:space="preserve">    Latest     = Table.First(Table.Sort(Usable, {{"Date modified", Order.Descending}})),</t>
  </si>
  <si>
    <t xml:space="preserve">    Raw =</t>
  </si>
  <si>
    <t xml:space="preserve">        if Text.Lower(Latest[Extension]) = ".csv" then</t>
  </si>
  <si>
    <t xml:space="preserve">            Table.PromoteHeaders(</t>
  </si>
  <si>
    <t xml:space="preserve">                Csv.Document(Latest[Content], [Delimiter = ",", Encoding = 65001, QuoteStyle = QuoteStyle.Csv]),</t>
  </si>
  <si>
    <t xml:space="preserve">                [PromoteAllScalars = true])</t>
  </si>
  <si>
    <t xml:space="preserve">        else</t>
  </si>
  <si>
    <t xml:space="preserve">            let</t>
  </si>
  <si>
    <t xml:space="preserve">                Book   = Excel.Workbook(Latest[Content], true),</t>
  </si>
  <si>
    <t xml:space="preserve">                Sheets = Table.SelectRows(Book, each [Kind] = "Sheet"),</t>
  </si>
  <si>
    <t xml:space="preserve">                Named  = Table.SelectRows(Sheets, each Text.Lower([Name]) = "data"),</t>
  </si>
  <si>
    <t xml:space="preserve">                Pick   = if Table.RowCount(Named) &gt; 0 then Named{0} else Sheets{0}</t>
  </si>
  <si>
    <t xml:space="preserve">            in</t>
  </si>
  <si>
    <t xml:space="preserve">                Pick[Data],</t>
  </si>
  <si>
    <t xml:space="preserve">    Trimmed    = Table.TransformColumnNames(Raw, Text.Trim),</t>
  </si>
  <si>
    <t xml:space="preserve">    Wanted     = {"Code", "Facility", "County", "Sub-county", "Partner", "Docket",</t>
  </si>
  <si>
    <t xml:space="preserve">                  "Expected", "Received", "Status", "Updated", "logDate"},</t>
  </si>
  <si>
    <t xml:space="preserve">    Selected   = Table.SelectColumns(Trimmed, Wanted, MissingField.UseNull),</t>
  </si>
  <si>
    <t xml:space="preserve">    DatesText  = Table.TransformColumns(Selected, {</t>
  </si>
  <si>
    <t xml:space="preserve">                    {"Updated", each if _ is datetime then DateTime.ToText(_, "yyyy-MM-dd HH:mm:ss") else _},</t>
  </si>
  <si>
    <t xml:space="preserve">                    {"logDate", each if _ is datetime then DateTime.ToText(_, "yyyy-MM-dd HH:mm:ss") else _}}),</t>
  </si>
  <si>
    <t xml:space="preserve">    HasCode    = Table.SelectRows(DatesText, each [Code] &lt;&gt; null and Text.Trim(Text.From([Code])) &lt;&gt; ""),</t>
  </si>
  <si>
    <t xml:space="preserve">    Typed      = Table.TransformColumnTypes(HasCode, {{"Code", Int64.Type}, {"Expected", Int64.Type},</t>
  </si>
  <si>
    <t xml:space="preserve">                    {"Received", Int64.Type}, {"Updated", type text}, {"logDate", type text}}, "en-US"),</t>
  </si>
  <si>
    <t xml:space="preserve">    WithSource = Table.AddColumn(Typed, "Source File", each Latest[Name], type text)</t>
  </si>
  <si>
    <t>in</t>
  </si>
  <si>
    <t xml:space="preserve">    WithSource</t>
  </si>
  <si>
    <t>5. Option 2 — direct link to SPOT (status: pending)</t>
  </si>
  <si>
    <t>• spot.kenyahmis.org did not load when tested on 01-Oct-2026, so its data endpoint could not be identified yet.</t>
  </si>
  <si>
    <t>• Once SPOT loads, the endpoint the dashboard uses will be captured and SPOT_Feed will be switched from "newest file in folder" to "web query" — no other sheet changes.</t>
  </si>
  <si>
    <t>• KHIS (hiskenya.org, DHIS2) reporting rates can be added the same way as a second query; you enter your own KHIS login in Excel's credential prompt.</t>
  </si>
  <si>
    <t>Cluster Map — edit here if a county moves cluster</t>
  </si>
  <si>
    <t>County (as in DWAPI, upper case)</t>
  </si>
  <si>
    <t>County label</t>
  </si>
  <si>
    <t>MERU</t>
  </si>
  <si>
    <t>LAIKIPIA</t>
  </si>
  <si>
    <t>EMBU</t>
  </si>
  <si>
    <t>THARAKA-NITHI</t>
  </si>
  <si>
    <t>KIRINYAGA</t>
  </si>
  <si>
    <t>NYERI</t>
  </si>
  <si>
    <t>KIAMBU</t>
  </si>
  <si>
    <t>MURANG'A</t>
  </si>
  <si>
    <t>KAJIADO</t>
  </si>
  <si>
    <t>NYANDARUA</t>
  </si>
  <si>
    <t>NAROK</t>
  </si>
  <si>
    <t>NAKURU</t>
  </si>
  <si>
    <t>KITUI</t>
  </si>
  <si>
    <t>MAKUENI</t>
  </si>
  <si>
    <t>MACHAKOS</t>
  </si>
  <si>
    <t>Source: cluster/county allocation from the "Site Census" sheet of IMPROVED VERSION.xlsx. Blue text = editable inputs.</t>
  </si>
  <si>
    <t>Upload Month</t>
  </si>
  <si>
    <t>County (clean)</t>
  </si>
  <si>
    <t>Upload Count Flag</t>
  </si>
  <si>
    <t>Expected Site Flag</t>
  </si>
  <si>
    <t>Source File</t>
  </si>
  <si>
    <t>Complete</t>
  </si>
  <si>
    <t>Incomplete</t>
  </si>
  <si>
    <t>PREP</t>
  </si>
  <si>
    <t>2026-09-11T10:02:24.000Z</t>
  </si>
  <si>
    <t>2026-09-11T09:33:19.000Z</t>
  </si>
  <si>
    <t>Kibirichia Sub-district Hospital</t>
  </si>
  <si>
    <t>Kionyo Dispensary</t>
  </si>
  <si>
    <t>2026-09-09T08:06:08.000Z</t>
  </si>
  <si>
    <t>Karama Health Centre</t>
  </si>
  <si>
    <t>2026-09-08T14:08:18.000Z</t>
  </si>
  <si>
    <t>Chamuka (CDF) Dispensary</t>
  </si>
  <si>
    <t>St Theresa Kiirua Hospital (Kiirua)</t>
  </si>
  <si>
    <t>2026-09-08T08:07:33.000Z</t>
  </si>
  <si>
    <t>2026-09-08T08:07:28.000Z</t>
  </si>
  <si>
    <t>2026-09-08T06:00:13.000Z</t>
  </si>
  <si>
    <t>2026-09-07T13:03:19.000Z</t>
  </si>
  <si>
    <t>Timau Sub-District Hospital</t>
  </si>
  <si>
    <t>2026-09-07T12:14:02.000Z</t>
  </si>
  <si>
    <t>Kangeta Health Centre</t>
  </si>
  <si>
    <t>2026-09-07T08:38:53.000Z</t>
  </si>
  <si>
    <t>2026-09-07T08:38:45.000Z</t>
  </si>
  <si>
    <t>2026-09-07T08:38:24.000Z</t>
  </si>
  <si>
    <t>Geta Bush Health Centre</t>
  </si>
  <si>
    <t>Chuka County Refferal Hospital</t>
  </si>
  <si>
    <t>2026-09-04T11:57:18.000Z</t>
  </si>
  <si>
    <t>2026-09-04T11:57:08.000Z</t>
  </si>
  <si>
    <t>Kigumo Dispensary</t>
  </si>
  <si>
    <t>HOPE worldwide Kenya MAUA DICE</t>
  </si>
  <si>
    <t>Mutuati Sub-District Hospital</t>
  </si>
  <si>
    <t>2026-09-04T09:28:26.000Z</t>
  </si>
  <si>
    <t>New Tumaini Health Centre</t>
  </si>
  <si>
    <t>Marps Clinic (Meru)</t>
  </si>
  <si>
    <t>St. John of God Hospital Tigania</t>
  </si>
  <si>
    <t>2026-09-03T09:45:33.000Z</t>
  </si>
  <si>
    <t>Silibwet Health Centre (Nyandaruawest)</t>
  </si>
  <si>
    <t>Kibunga sub-district Hospital</t>
  </si>
  <si>
    <t>Kiirua Health Centre</t>
  </si>
  <si>
    <t>2026-09-02T09:58:31.000Z</t>
  </si>
  <si>
    <t>2026-09-02T09:37:03.000Z</t>
  </si>
  <si>
    <t>2026-09-02T08:40:40.000Z</t>
  </si>
  <si>
    <t>2026-09-02T08:32:04.000Z</t>
  </si>
  <si>
    <t>2026-09-02T08:28:54.000Z</t>
  </si>
  <si>
    <t>2026-09-02T08:12:40.000Z</t>
  </si>
  <si>
    <t>2026-09-02T07:50:54.000Z</t>
  </si>
  <si>
    <t>Ugweri Disp</t>
  </si>
  <si>
    <t>2026-09-01T13:24:26.000Z</t>
  </si>
  <si>
    <t>2026-09-01T12:48:07.000Z</t>
  </si>
  <si>
    <t>2026-09-01T12:14:37.000Z</t>
  </si>
  <si>
    <t>2026-09-01T12:14:05.000Z</t>
  </si>
  <si>
    <t>2026-09-01T12:13:20.000Z</t>
  </si>
  <si>
    <t>Baari Health Centre</t>
  </si>
  <si>
    <t>2026-09-01T09:25:55.000Z</t>
  </si>
  <si>
    <t>2026-08-06T12:40:34.000Z</t>
  </si>
  <si>
    <t>Karurumo RHTC</t>
  </si>
  <si>
    <t>2026-08-05T08:38:43.000Z</t>
  </si>
  <si>
    <t>2026-08-04T12:06:37.000Z</t>
  </si>
  <si>
    <t>2026-08-04T08:58:26.000Z</t>
  </si>
  <si>
    <t>2026-08-03T10:48:23.000Z</t>
  </si>
  <si>
    <t>2026-05-06T11:12:56.000Z</t>
  </si>
  <si>
    <t>2026-05-05T10:17:14.000Z</t>
  </si>
  <si>
    <t>2026-04-09T14:14:54.000Z</t>
  </si>
  <si>
    <t>2025-04-14T05:50:25.000Z</t>
  </si>
  <si>
    <t>CRS</t>
  </si>
  <si>
    <t>2023-04-14T10:40:03.000Z</t>
  </si>
  <si>
    <t>2023-04-14T10:14:50.000Z</t>
  </si>
  <si>
    <t>2023-04-14T09:36:16.000Z</t>
  </si>
  <si>
    <t>2023-04-14T08:54:34.000Z</t>
  </si>
  <si>
    <t>2023-04-13T13:24:37.000Z</t>
  </si>
  <si>
    <t>2023-04-13T09:08:57.000Z</t>
  </si>
  <si>
    <t>2023-04-13T08:56:11.000Z</t>
  </si>
  <si>
    <t>2023-04-12T09:45:16.000Z</t>
  </si>
  <si>
    <t>2023-04-12T09:04:22.000Z</t>
  </si>
  <si>
    <t>2023-04-12T06:42:49.000Z</t>
  </si>
  <si>
    <t>2023-04-11T13:16:04.000Z</t>
  </si>
  <si>
    <t>2023-04-11T10:41:58.000Z</t>
  </si>
  <si>
    <t>2023-04-11T07:09:56.000Z</t>
  </si>
  <si>
    <t>2023-04-07T13:51:57.000Z</t>
  </si>
  <si>
    <t>2023-04-07T12:21:11.000Z</t>
  </si>
  <si>
    <t>2023-04-07T08:23:09.000Z</t>
  </si>
  <si>
    <t>2023-04-06T14:44:28.000Z</t>
  </si>
  <si>
    <t>2023-04-06T13:52:27.000Z</t>
  </si>
  <si>
    <t>2023-04-06T13:35:40.000Z</t>
  </si>
  <si>
    <t>2023-04-06T13:27:46.000Z</t>
  </si>
  <si>
    <t>2023-04-06T13:17:38.000Z</t>
  </si>
  <si>
    <t>2023-04-06T13:13:54.000Z</t>
  </si>
  <si>
    <t>2023-04-06T12:52:06.000Z</t>
  </si>
  <si>
    <t>2023-04-06T12:42:02.000Z</t>
  </si>
  <si>
    <t>2023-04-06T12:34:35.000Z</t>
  </si>
  <si>
    <t>2023-04-06T11:22:26.000Z</t>
  </si>
  <si>
    <t>2023-04-06T11:14:37.000Z</t>
  </si>
  <si>
    <t>2023-04-06T10:14:05.000Z</t>
  </si>
  <si>
    <t>2023-04-06T10:03:14.000Z</t>
  </si>
  <si>
    <t>2023-04-06T09:39:18.000Z</t>
  </si>
  <si>
    <t>2023-04-06T09:06:44.000Z</t>
  </si>
  <si>
    <t>2023-04-06T08:32:18.000Z</t>
  </si>
  <si>
    <t>2023-04-06T05:33:26.000Z</t>
  </si>
  <si>
    <t>2023-04-05T14:45:09.000Z</t>
  </si>
  <si>
    <t>2023-04-05T14:28:03.000Z</t>
  </si>
  <si>
    <t>2023-04-05T14:08:21.000Z</t>
  </si>
  <si>
    <t>2023-04-05T12:18:41.000Z</t>
  </si>
  <si>
    <t>2023-04-05T11:51:18.000Z</t>
  </si>
  <si>
    <t>2023-04-05T11:34:02.000Z</t>
  </si>
  <si>
    <t>2023-04-05T11:09:37.000Z</t>
  </si>
  <si>
    <t>2023-04-05T11:07:58.000Z</t>
  </si>
  <si>
    <t>2023-04-05T10:02:37.000Z</t>
  </si>
  <si>
    <t>2023-04-05T08:44:35.000Z</t>
  </si>
  <si>
    <t>2023-04-05T07:59:55.000Z</t>
  </si>
  <si>
    <t>2023-04-05T07:41:08.000Z</t>
  </si>
  <si>
    <t>2023-04-05T07:13:54.000Z</t>
  </si>
  <si>
    <t>2023-04-05T06:17:39.000Z</t>
  </si>
  <si>
    <t>2023-04-04T16:18:22.000Z</t>
  </si>
  <si>
    <t>2023-04-04T14:56:07.000Z</t>
  </si>
  <si>
    <t>2023-04-04T14:54:24.000Z</t>
  </si>
  <si>
    <t>2023-04-04T14:54:10.000Z</t>
  </si>
  <si>
    <t>2023-04-04T14:20:58.000Z</t>
  </si>
  <si>
    <t>2023-04-04T14:11:07.000Z</t>
  </si>
  <si>
    <t>2023-04-04T13:53:53.000Z</t>
  </si>
  <si>
    <t>2023-04-04T13:27:50.000Z</t>
  </si>
  <si>
    <t>2023-04-04T13:00:15.000Z</t>
  </si>
  <si>
    <t>2023-04-04T12:12:21.000Z</t>
  </si>
  <si>
    <t>2023-04-04T11:14:31.000Z</t>
  </si>
  <si>
    <t>2023-04-04T10:40:16.000Z</t>
  </si>
  <si>
    <t>2023-04-04T09:29:38.000Z</t>
  </si>
  <si>
    <t>2023-04-04T08:27:52.000Z</t>
  </si>
  <si>
    <t>2023-04-04T08:15:14.000Z</t>
  </si>
  <si>
    <t>2023-04-04T07:57:21.000Z</t>
  </si>
  <si>
    <t>2023-04-04T07:20:33.000Z</t>
  </si>
  <si>
    <t>2023-04-04T05:24:18.000Z</t>
  </si>
  <si>
    <t>2023-04-03T13:59:30.000Z</t>
  </si>
  <si>
    <t>2023-04-03T13:32:57.000Z</t>
  </si>
  <si>
    <t>2023-04-03T13:31:24.000Z</t>
  </si>
  <si>
    <t>2023-04-03T10:45:43.000Z</t>
  </si>
  <si>
    <t>2023-04-03T09:56:56.000Z</t>
  </si>
  <si>
    <t>2023-04-03T08:59:17.000Z</t>
  </si>
  <si>
    <t>2023-04-03T08:24:33.000Z</t>
  </si>
  <si>
    <t>2023-04-01T10:37:46.000Z</t>
  </si>
  <si>
    <t>2023-03-31T14:19:20.000Z</t>
  </si>
  <si>
    <t>2023-03-15T08:27:08.000Z</t>
  </si>
  <si>
    <t>2023-03-14T09:13:32.000Z</t>
  </si>
  <si>
    <t>2023-03-13T13:22:38.000Z</t>
  </si>
  <si>
    <t>2023-03-13T12:16:51.000Z</t>
  </si>
  <si>
    <t>2023-03-13T08:32:34.000Z</t>
  </si>
  <si>
    <t>2023-03-10T13:21:48.000Z</t>
  </si>
  <si>
    <t>2023-03-10T11:55:43.000Z</t>
  </si>
  <si>
    <t>2023-03-10T07:46:26.000Z</t>
  </si>
  <si>
    <t>2023-03-10T07:13:52.000Z</t>
  </si>
  <si>
    <t>2023-03-09T13:23:08.000Z</t>
  </si>
  <si>
    <t>2023-03-09T09:22:08.000Z</t>
  </si>
  <si>
    <t>2023-03-07T13:27:35.000Z</t>
  </si>
  <si>
    <t>2023-03-06T20:10:56.000Z</t>
  </si>
  <si>
    <t>2023-03-06T13:02:38.000Z</t>
  </si>
  <si>
    <t>2023-03-06T11:49:13.000Z</t>
  </si>
  <si>
    <t>2023-03-03T09:45:56.000Z</t>
  </si>
  <si>
    <t>2023-03-01T11:50:28.000Z</t>
  </si>
  <si>
    <t>2023-03-01T07:56:15.000Z</t>
  </si>
  <si>
    <t>PKV</t>
  </si>
  <si>
    <t>2023-02-09T14:34:56.000Z</t>
  </si>
  <si>
    <t>2023-02-09T12:19:01.000Z</t>
  </si>
  <si>
    <t>2023-02-09T10:38:05.000Z</t>
  </si>
  <si>
    <t>2023-02-09T08:39:50.000Z</t>
  </si>
  <si>
    <t>2023-02-09T08:09:31.000Z</t>
  </si>
  <si>
    <t>2023-02-09T05:27:44.000Z</t>
  </si>
  <si>
    <t>2023-02-08T15:21:18.000Z</t>
  </si>
  <si>
    <t>2023-02-08T13:07:39.000Z</t>
  </si>
  <si>
    <t>2023-02-08T13:00:17.000Z</t>
  </si>
  <si>
    <t>2023-02-08T09:39:49.000Z</t>
  </si>
  <si>
    <t>2023-02-08T07:57:51.000Z</t>
  </si>
  <si>
    <t>2023-02-08T06:56:33.000Z</t>
  </si>
  <si>
    <t>2023-02-07T22:15:46.000Z</t>
  </si>
  <si>
    <t>2023-02-07T13:23:08.000Z</t>
  </si>
  <si>
    <t>2023-02-07T12:25:51.000Z</t>
  </si>
  <si>
    <t>2023-02-07T11:57:31.000Z</t>
  </si>
  <si>
    <t>2023-02-07T11:19:05.000Z</t>
  </si>
  <si>
    <t>2023-02-07T10:06:33.000Z</t>
  </si>
  <si>
    <t>2023-02-07T09:32:44.000Z</t>
  </si>
  <si>
    <t>2023-02-07T07:51:08.000Z</t>
  </si>
  <si>
    <t>2023-02-06T14:33:09.000Z</t>
  </si>
  <si>
    <t>2023-02-06T13:16:09.000Z</t>
  </si>
  <si>
    <t>2023-02-06T13:12:29.000Z</t>
  </si>
  <si>
    <t>2023-02-06T13:09:49.000Z</t>
  </si>
  <si>
    <t>2023-02-06T12:47:25.000Z</t>
  </si>
  <si>
    <t>2023-02-06T12:31:01.000Z</t>
  </si>
  <si>
    <t>2023-02-06T10:40:41.000Z</t>
  </si>
  <si>
    <t>2023-02-06T08:16:29.000Z</t>
  </si>
  <si>
    <t>2023-02-06T07:57:29.000Z</t>
  </si>
  <si>
    <t>2023-02-04T09:59:22.000Z</t>
  </si>
  <si>
    <t>2023-02-03T15:05:50.000Z</t>
  </si>
  <si>
    <t>2023-02-03T13:29:39.000Z</t>
  </si>
  <si>
    <t>2023-02-03T12:54:05.000Z</t>
  </si>
  <si>
    <t>2023-02-03T12:42:56.000Z</t>
  </si>
  <si>
    <t>2023-02-03T12:42:06.000Z</t>
  </si>
  <si>
    <t>2023-02-03T12:36:12.000Z</t>
  </si>
  <si>
    <t>2023-02-03T12:35:39.000Z</t>
  </si>
  <si>
    <t>2023-02-03T12:34:52.000Z</t>
  </si>
  <si>
    <t>2023-02-03T11:05:33.000Z</t>
  </si>
  <si>
    <t>2023-02-03T10:57:50.000Z</t>
  </si>
  <si>
    <t>2023-02-03T10:22:10.000Z</t>
  </si>
  <si>
    <t>2023-02-03T09:40:56.000Z</t>
  </si>
  <si>
    <t>2023-02-03T09:24:39.000Z</t>
  </si>
  <si>
    <t>2023-02-03T09:12:47.000Z</t>
  </si>
  <si>
    <t>2023-02-03T06:46:21.000Z</t>
  </si>
  <si>
    <t>2023-02-02T16:13:46.000Z</t>
  </si>
  <si>
    <t>2023-02-02T15:29:29.000Z</t>
  </si>
  <si>
    <t>2023-02-02T13:55:21.000Z</t>
  </si>
  <si>
    <t>2023-02-02T13:40:15.000Z</t>
  </si>
  <si>
    <t>2023-02-02T12:52:06.000Z</t>
  </si>
  <si>
    <t>2023-02-02T12:29:21.000Z</t>
  </si>
  <si>
    <t>2023-02-02T12:28:27.000Z</t>
  </si>
  <si>
    <t>2023-02-02T12:26:02.000Z</t>
  </si>
  <si>
    <t>2023-02-02T12:23:28.000Z</t>
  </si>
  <si>
    <t>2023-02-02T10:57:03.000Z</t>
  </si>
  <si>
    <t>2023-02-02T10:48:48.000Z</t>
  </si>
  <si>
    <t>2023-02-02T10:28:58.000Z</t>
  </si>
  <si>
    <t>2023-02-02T10:28:05.000Z</t>
  </si>
  <si>
    <t>2023-02-02T10:18:38.000Z</t>
  </si>
  <si>
    <t>2023-02-02T10:04:05.000Z</t>
  </si>
  <si>
    <t>2023-02-02T09:59:59.000Z</t>
  </si>
  <si>
    <t>2023-02-02T08:38:41.000Z</t>
  </si>
  <si>
    <t>2023-02-02T08:33:38.000Z</t>
  </si>
  <si>
    <t>2023-02-02T07:21:25.000Z</t>
  </si>
  <si>
    <t>2023-02-01T15:00:45.000Z</t>
  </si>
  <si>
    <t>2023-02-01T14:27:25.000Z</t>
  </si>
  <si>
    <t>2023-02-01T12:48:06.000Z</t>
  </si>
  <si>
    <t>2023-02-01T12:27:27.000Z</t>
  </si>
  <si>
    <t>2023-02-01T12:18:53.000Z</t>
  </si>
  <si>
    <t>2023-02-01T12:12:23.000Z</t>
  </si>
  <si>
    <t>2023-02-01T11:45:35.000Z</t>
  </si>
  <si>
    <t>2023-02-01T11:39:32.000Z</t>
  </si>
  <si>
    <t>2023-02-01T11:31:42.000Z</t>
  </si>
  <si>
    <t>2023-02-01T10:45:00.000Z</t>
  </si>
  <si>
    <t>2023-02-01T10:36:17.000Z</t>
  </si>
  <si>
    <t>2023-02-01T09:43:06.000Z</t>
  </si>
  <si>
    <t>2023-02-01T08:41:37.000Z</t>
  </si>
  <si>
    <t>2023-02-01T08:29:05.000Z</t>
  </si>
  <si>
    <t>2023-02-01T07:47:42.000Z</t>
  </si>
  <si>
    <t>2023-01-19T15:35:19.000Z</t>
  </si>
  <si>
    <t>2023-01-19T10:11:10.000Z</t>
  </si>
  <si>
    <t>2022-12-09T11:47:19.000Z</t>
  </si>
  <si>
    <t>2022-12-09T08:32:14.000Z</t>
  </si>
  <si>
    <t>2022-11-10T11:33:09.000Z</t>
  </si>
  <si>
    <t>2022-11-08T14:02:52.000Z</t>
  </si>
  <si>
    <t>2022-11-08T13:05:40.000Z</t>
  </si>
  <si>
    <t>2022-11-07T10:48:59.000Z</t>
  </si>
  <si>
    <t>2022-11-07T06:38:32.000Z</t>
  </si>
  <si>
    <t>2022-11-04T06:30:13.000Z</t>
  </si>
  <si>
    <t>2022-11-03T10:40:02.000Z</t>
  </si>
  <si>
    <t>2022-11-03T09:31:56.000Z</t>
  </si>
  <si>
    <t>2022-11-03T08:28:16.000Z</t>
  </si>
  <si>
    <t>2022-11-02T12:32:14.000Z</t>
  </si>
  <si>
    <t>2022-10-05T11:14:53.000Z</t>
  </si>
  <si>
    <t>2022-07-07T08:49:08.000Z</t>
  </si>
  <si>
    <t>2021-07-06T09:18:12.000Z</t>
  </si>
  <si>
    <t>THARAKA - NITHI</t>
  </si>
  <si>
    <t>Huruma Health Centre (Laikipia East)</t>
  </si>
  <si>
    <t>Holy family Catholic Hospital (Githunguri)</t>
  </si>
  <si>
    <t>2026-09-10T12:49:57.000Z</t>
  </si>
  <si>
    <t>Zombe (AIC) Health Centre</t>
  </si>
  <si>
    <t>Consolata Mission Hospital (Nkubu)</t>
  </si>
  <si>
    <t>2026-09-09T12:45:21.000Z</t>
  </si>
  <si>
    <t>2026-09-07T13:17:09.000Z</t>
  </si>
  <si>
    <t>2026-09-04T11:14:02.000Z</t>
  </si>
  <si>
    <t>2026-09-04T11:13:06.000Z</t>
  </si>
  <si>
    <t>Our Lady of Lourdes Mutomo  Hospital</t>
  </si>
  <si>
    <t>2026-09-04T08:27:35.000Z</t>
  </si>
  <si>
    <t>St Mark Medical Clinic - Tala</t>
  </si>
  <si>
    <t>2026-09-03T07:48:40.000Z</t>
  </si>
  <si>
    <t>2026-09-01T10:23:17.000Z</t>
  </si>
  <si>
    <t>2026-09-01T08:54:05.000Z</t>
  </si>
  <si>
    <t>2026-08-06T05:47:11.000Z</t>
  </si>
  <si>
    <t>2026-08-04T10:30:45.000Z</t>
  </si>
  <si>
    <t>2026-08-04T10:17:30.000Z</t>
  </si>
  <si>
    <t>Kagio Catholic Dispensary (Mary Immucate Catholic</t>
  </si>
  <si>
    <t>Cmf Aitong Health Centre</t>
  </si>
  <si>
    <t>Mwea Mission (Our Lady of Lourdes) Hospital</t>
  </si>
  <si>
    <t>2023-04-13T07:56:19.000Z</t>
  </si>
  <si>
    <t>2023-04-11T10:17:18.000Z</t>
  </si>
  <si>
    <t>2023-04-06T10:43:05.000Z</t>
  </si>
  <si>
    <t>2023-04-06T10:16:20.000Z</t>
  </si>
  <si>
    <t>2023-04-06T08:06:03.000Z</t>
  </si>
  <si>
    <t>2023-04-05T17:21:45.000Z</t>
  </si>
  <si>
    <t>2023-04-05T10:44:25.000Z</t>
  </si>
  <si>
    <t>2023-04-05T10:31:31.000Z</t>
  </si>
  <si>
    <t>2023-04-05T07:52:42.000Z</t>
  </si>
  <si>
    <t>2023-04-04T19:21:26.000Z</t>
  </si>
  <si>
    <t>2023-04-04T15:16:05.000Z</t>
  </si>
  <si>
    <t>2023-04-04T14:07:39.000Z</t>
  </si>
  <si>
    <t>2023-04-04T13:21:25.000Z</t>
  </si>
  <si>
    <t>2023-04-04T12:27:05.000Z</t>
  </si>
  <si>
    <t>2023-04-04T10:40:20.000Z</t>
  </si>
  <si>
    <t>2023-04-04T10:18:37.000Z</t>
  </si>
  <si>
    <t>2023-04-04T10:10:01.000Z</t>
  </si>
  <si>
    <t>2023-04-04T09:22:51.000Z</t>
  </si>
  <si>
    <t>2023-04-04T08:53:49.000Z</t>
  </si>
  <si>
    <t>2023-04-04T08:13:37.000Z</t>
  </si>
  <si>
    <t>2023-04-04T08:04:59.000Z</t>
  </si>
  <si>
    <t>2023-04-04T06:43:42.000Z</t>
  </si>
  <si>
    <t>2023-04-04T06:36:50.000Z</t>
  </si>
  <si>
    <t>2023-04-04T06:26:29.000Z</t>
  </si>
  <si>
    <t>2023-04-04T04:27:14.000Z</t>
  </si>
  <si>
    <t>2023-04-03T19:07:04.000Z</t>
  </si>
  <si>
    <t>2023-04-03T18:08:42.000Z</t>
  </si>
  <si>
    <t>2023-04-03T17:02:13.000Z</t>
  </si>
  <si>
    <t>2023-04-03T15:27:43.000Z</t>
  </si>
  <si>
    <t>2023-04-03T13:44:58.000Z</t>
  </si>
  <si>
    <t>2023-04-03T13:39:57.000Z</t>
  </si>
  <si>
    <t>2023-04-03T12:58:46.000Z</t>
  </si>
  <si>
    <t>2023-04-03T12:41:18.000Z</t>
  </si>
  <si>
    <t>2023-04-03T12:24:10.000Z</t>
  </si>
  <si>
    <t>2023-04-03T11:49:45.000Z</t>
  </si>
  <si>
    <t>2023-04-03T09:36:33.000Z</t>
  </si>
  <si>
    <t>2023-04-03T09:34:06.000Z</t>
  </si>
  <si>
    <t>2023-04-03T09:31:47.000Z</t>
  </si>
  <si>
    <t>2023-04-03T08:41:55.000Z</t>
  </si>
  <si>
    <t>2023-04-03T07:33:55.000Z</t>
  </si>
  <si>
    <t>2023-04-03T06:34:33.000Z</t>
  </si>
  <si>
    <t>2023-04-03T05:55:02.000Z</t>
  </si>
  <si>
    <t>2023-04-03T05:53:48.000Z</t>
  </si>
  <si>
    <t>2023-04-02T20:08:17.000Z</t>
  </si>
  <si>
    <t>2023-04-01T16:41:30.000Z</t>
  </si>
  <si>
    <t>2023-04-01T10:53:15.000Z</t>
  </si>
  <si>
    <t>2023-04-01T10:28:05.000Z</t>
  </si>
  <si>
    <t>2023-04-01T10:05:14.000Z</t>
  </si>
  <si>
    <t>2023-04-01T09:53:10.000Z</t>
  </si>
  <si>
    <t>2023-04-01T09:37:03.000Z</t>
  </si>
  <si>
    <t>2023-04-01T07:45:19.000Z</t>
  </si>
  <si>
    <t>2023-04-01T07:39:39.000Z</t>
  </si>
  <si>
    <t>2023-04-01T06:17:08.000Z</t>
  </si>
  <si>
    <t>2023-04-01T04:48:04.000Z</t>
  </si>
  <si>
    <t>2023-03-28T13:42:45.000Z</t>
  </si>
  <si>
    <t>2023-03-05T18:44:27.000Z</t>
  </si>
  <si>
    <t>2023-03-03T09:59:24.000Z</t>
  </si>
  <si>
    <t>2023-03-03T08:58:53.000Z</t>
  </si>
  <si>
    <t>2023-03-03T05:52:55.000Z</t>
  </si>
  <si>
    <t>2023-03-02T06:28:37.000Z</t>
  </si>
  <si>
    <t>2023-03-01T09:56:16.000Z</t>
  </si>
  <si>
    <t>2023-03-01T09:19:03.000Z</t>
  </si>
  <si>
    <t>2023-02-09T06:16:35.000Z</t>
  </si>
  <si>
    <t>2023-02-07T13:34:10.000Z</t>
  </si>
  <si>
    <t>2023-02-07T08:00:33.000Z</t>
  </si>
  <si>
    <t>2023-02-07T06:26:30.000Z</t>
  </si>
  <si>
    <t>2023-02-06T15:06:24.000Z</t>
  </si>
  <si>
    <t>2023-02-06T13:24:20.000Z</t>
  </si>
  <si>
    <t>2023-02-06T11:24:36.000Z</t>
  </si>
  <si>
    <t>2023-02-06T09:47:47.000Z</t>
  </si>
  <si>
    <t>2023-02-06T07:55:25.000Z</t>
  </si>
  <si>
    <t>2023-02-04T16:07:59.000Z</t>
  </si>
  <si>
    <t>2023-02-04T08:32:00.000Z</t>
  </si>
  <si>
    <t>2023-02-04T08:11:05.000Z</t>
  </si>
  <si>
    <t>2023-02-04T07:02:58.000Z</t>
  </si>
  <si>
    <t>2023-02-03T16:05:06.000Z</t>
  </si>
  <si>
    <t>2023-02-03T15:23:28.000Z</t>
  </si>
  <si>
    <t>2023-02-03T14:07:58.000Z</t>
  </si>
  <si>
    <t>2023-02-03T11:59:51.000Z</t>
  </si>
  <si>
    <t>2023-02-03T11:58:01.000Z</t>
  </si>
  <si>
    <t>2023-02-03T11:48:15.000Z</t>
  </si>
  <si>
    <t>2023-02-03T08:08:37.000Z</t>
  </si>
  <si>
    <t>2023-02-02T13:47:27.000Z</t>
  </si>
  <si>
    <t>2023-02-02T13:12:25.000Z</t>
  </si>
  <si>
    <t>2023-02-02T12:15:21.000Z</t>
  </si>
  <si>
    <t>2023-02-02T11:38:52.000Z</t>
  </si>
  <si>
    <t>2023-02-02T11:19:57.000Z</t>
  </si>
  <si>
    <t>2023-02-02T09:08:47.000Z</t>
  </si>
  <si>
    <t>2023-02-02T07:43:33.000Z</t>
  </si>
  <si>
    <t>2023-02-02T07:35:20.000Z</t>
  </si>
  <si>
    <t>2023-02-02T07:17:14.000Z</t>
  </si>
  <si>
    <t>2023-02-02T05:39:25.000Z</t>
  </si>
  <si>
    <t>2023-02-02T02:49:48.000Z</t>
  </si>
  <si>
    <t>2023-02-01T14:58:10.000Z</t>
  </si>
  <si>
    <t>2023-02-01T13:35:25.000Z</t>
  </si>
  <si>
    <t>2023-02-01T12:58:23.000Z</t>
  </si>
  <si>
    <t>2023-02-01T12:53:55.000Z</t>
  </si>
  <si>
    <t>2023-02-01T09:07:15.000Z</t>
  </si>
  <si>
    <t>2023-02-01T09:03:49.000Z</t>
  </si>
  <si>
    <t>2023-02-01T08:29:49.000Z</t>
  </si>
  <si>
    <t>2023-02-01T06:17:34.000Z</t>
  </si>
  <si>
    <t>2023-02-01T05:48:53.000Z</t>
  </si>
  <si>
    <t>2023-01-19T18:21:56.000Z</t>
  </si>
  <si>
    <t>2022-11-14T13:46:41.000Z</t>
  </si>
  <si>
    <t>2022-11-07T10:56:38.000Z</t>
  </si>
  <si>
    <t>2022-11-04T08:13:43.000Z</t>
  </si>
  <si>
    <t>2022-11-04T06:53:50.000Z</t>
  </si>
  <si>
    <t>2022-11-04T06:14:15.000Z</t>
  </si>
  <si>
    <t>2022-11-03T19:22:05.000Z</t>
  </si>
  <si>
    <t>2022-11-03T10:09:36.000Z</t>
  </si>
  <si>
    <t>2022-11-02T06:46:26.000Z</t>
  </si>
  <si>
    <t>2022-11-02T06:06:14.000Z</t>
  </si>
  <si>
    <t>2022-11-01T12:06:22.000Z</t>
  </si>
  <si>
    <t>2022-11-01T09:21:47.000Z</t>
  </si>
  <si>
    <t>2022-11-01T06:37:25.000Z</t>
  </si>
  <si>
    <t>2022-10-31T21:14:17.000Z</t>
  </si>
  <si>
    <t>2022-10-05T07:16:58.000Z</t>
  </si>
  <si>
    <t>2022-10-04T06:38:26.000Z</t>
  </si>
  <si>
    <t>2022-10-01T10:01:47.000Z</t>
  </si>
  <si>
    <t>2022-09-27T13:36:44.000Z</t>
  </si>
  <si>
    <t>2022-08-08T12:11:36.000Z</t>
  </si>
  <si>
    <t>2022-08-01T13:03:56.000Z</t>
  </si>
  <si>
    <t>2022-08-01T10:45:29.000Z</t>
  </si>
  <si>
    <t>2022-08-01T09:19:22.000Z</t>
  </si>
  <si>
    <t>FAA Milestone Plan — reference copy (CHAK)</t>
  </si>
  <si>
    <t>Source: FAA_Monthly_Milestone_Plan_w_PaySched_CHAK_Revised 1.xlsx → Milestones_DataEntry (rows 3–28) and Payment Schedule_M1…M5 / V1 Final Pay. Values copied on 01-Oct-2026; re-paste here if the FAA plan is revised.</t>
  </si>
  <si>
    <t>Milestone Name</t>
  </si>
  <si>
    <t>Country</t>
  </si>
  <si>
    <t>Implementing Entity</t>
  </si>
  <si>
    <t>Milestone Description</t>
  </si>
  <si>
    <t>Data Source(s)</t>
  </si>
  <si>
    <t>Data Location</t>
  </si>
  <si>
    <t>Verification Method</t>
  </si>
  <si>
    <t>Milestone Achievement Thresholds</t>
  </si>
  <si>
    <t>Payment Scale per Achievement Threshold</t>
  </si>
  <si>
    <t>Verification &amp; Payment Frequency</t>
  </si>
  <si>
    <t>Estimated Due Date for One-Time Payments</t>
  </si>
  <si>
    <t>Max Quarterly Payment ($)</t>
  </si>
  <si>
    <t>Max Monthly Payment ($) M1</t>
  </si>
  <si>
    <t>Max Monthly Payment ($) M2</t>
  </si>
  <si>
    <t>Max Monthly Payment ($) M3</t>
  </si>
  <si>
    <t>Max Monthly Payment ($) M4</t>
  </si>
  <si>
    <t>Max Monthly Payment ($) M5</t>
  </si>
  <si>
    <t>Max Monthly Payment ($) M6</t>
  </si>
  <si>
    <t>Max Annual Payment ($)</t>
  </si>
  <si>
    <t>Entity Verification</t>
  </si>
  <si>
    <t>Milestone Type</t>
  </si>
  <si>
    <t>Data Due to GOR M1</t>
  </si>
  <si>
    <t>Data Due to GOR M2</t>
  </si>
  <si>
    <t>Data Due to GOR M3</t>
  </si>
  <si>
    <t>Data Due to GOR M4</t>
  </si>
  <si>
    <t>Data Due to GOR M5</t>
  </si>
  <si>
    <t>Data Due to GOR M6</t>
  </si>
  <si>
    <t>Milestone Plan and Workplan</t>
  </si>
  <si>
    <t>Kenya</t>
  </si>
  <si>
    <t>Christian Health Association of Kenya</t>
  </si>
  <si>
    <t>Consolidated milestone plan and semi-annual workplan submitted and approved by GOR.</t>
  </si>
  <si>
    <t>Signed milestone plan and semi- annual workplan Email to GOR</t>
  </si>
  <si>
    <t>Other System Program Work Plan Repository</t>
  </si>
  <si>
    <t>GOR desk review
Email correspondence</t>
  </si>
  <si>
    <t>A milestone plan and workplan that meets all 
requirements and is deemed approved by GOR</t>
  </si>
  <si>
    <t>100% payment if milestone plan and workplan meets 
requirements
0% payment if milestone plan and workplan does not 
meet all requirements</t>
  </si>
  <si>
    <t>One Time</t>
  </si>
  <si>
    <t>USG Staff</t>
  </si>
  <si>
    <t>PM</t>
  </si>
  <si>
    <t>Program Personnel</t>
  </si>
  <si>
    <t>Program personnel hired and onboarded (key personnel and other program staff)</t>
  </si>
  <si>
    <t>Personnel onboarding report mailed to GOR    Recruitment and HR reports</t>
  </si>
  <si>
    <t>Other System Human resorce personel file</t>
  </si>
  <si>
    <t>HR report review
Email correspondence</t>
  </si>
  <si>
    <t>Onboarded staff plan and report submitted</t>
  </si>
  <si>
    <t>100% payment if onboarded staffing report is submitted</t>
  </si>
  <si>
    <t>MEL Plan &amp;  Data Quality Assurance (DQA) Protocol</t>
  </si>
  <si>
    <t>Monitoring, Evaluation and Learning (MEL) Plan finalized, including indicator reference sheets and data flow maps, integrated Data Quality Assurance (DQA) protocol</t>
  </si>
  <si>
    <t>MEL Plan and DQA protocol 
emailed to GOR</t>
  </si>
  <si>
    <t>Other System Organization Quality Management System (Sharepoint)</t>
  </si>
  <si>
    <t>MEL Plan and DQA protocol meet all 
requirements and are deemed approved</t>
  </si>
  <si>
    <t>100% payment if MEL Plan and DQA protocol 
are submitted and deemed approved
0% payment if not</t>
  </si>
  <si>
    <t>Risk Analysis, Security Plan &amp; IT Security Audit</t>
  </si>
  <si>
    <t xml:space="preserve">Risk Analysis and Security Plan covering internal and external risks and mitigation actions, and IT security audit </t>
  </si>
  <si>
    <t>Risk Analysis and Security Plan, and IT security audit report, emailed to GOR</t>
  </si>
  <si>
    <t>Other System Organization Quality Management System(Sharepoint)</t>
  </si>
  <si>
    <t>GOR desk review
Email correspondence</t>
  </si>
  <si>
    <t>Risk Analysis and Security Plan, and IT security audit, that meet all requirements and are deemed approved</t>
  </si>
  <si>
    <t>100% payment if the Risk Analysis/Security Plan and IT security audit are submitted and deemed approved
0% payment if not</t>
  </si>
  <si>
    <t>Performance Reports</t>
  </si>
  <si>
    <t>Monthly performance report covering technical and financial progress against all approved milestones.</t>
  </si>
  <si>
    <t xml:space="preserve">KHIS Aggregate - Integrated HIV Dashboard
Program reports submitted to GOR  </t>
  </si>
  <si>
    <t>Government System   KHIS Aggregate system
Other System Program MEL Repository</t>
  </si>
  <si>
    <t>Approved performance reports</t>
  </si>
  <si>
    <t>100% payment if the Monthly performance reports are submitted
submitted and approved</t>
  </si>
  <si>
    <t>Monthly</t>
  </si>
  <si>
    <t>HIV Case Identification</t>
  </si>
  <si>
    <t xml:space="preserve">High-yield, targeted and integrated HIV testing services implemented across supported public and faith-based facilities. </t>
  </si>
  <si>
    <t>KHIS Aggregate Integrated HIV Dashboard; TaifaCare EMR; program HTS reports</t>
  </si>
  <si>
    <t xml:space="preserve">Government Systems  KHIS Aggregate system, Program reports </t>
  </si>
  <si>
    <t>GOR -system extraction from KHIS/TaifaCare  and desk review of program HIV testing reports</t>
  </si>
  <si>
    <t xml:space="preserve">Target: Number tested-129,507 (expected yield 1.4%-1,838) . 
Monthly testing target: 21,584
Monthly Identification target: 306                                                                                                                                       </t>
  </si>
  <si>
    <t>100%  payment when &gt;95%  of targets are met 
90% payment when 90- 95% targets are met 
80% payment when 80- 89% targets are met
70%  payment when 70- 79% Targets are met
 No payment if perfomance is below 70%</t>
  </si>
  <si>
    <t>Tier 1</t>
  </si>
  <si>
    <t>Linkage of HIV Positive Clients to ART</t>
  </si>
  <si>
    <t>Proportion of newly diagnosed  HIV Positive clients linked to care and initiated on ART</t>
  </si>
  <si>
    <t>KHIS Aggregate intergrated HIV Dashaboard; TaifaCare(KenyaEMR); program HTS reports</t>
  </si>
  <si>
    <t>KHIS Aggregate system, Program MEL Repository</t>
  </si>
  <si>
    <t>GOR -system extraction from KHIS/TaifaCare  and desk review of program HIV  linkage to ART reports</t>
  </si>
  <si>
    <t xml:space="preserve">Target: ≥95% of clients newly identified HIV positive linked to ART </t>
  </si>
  <si>
    <t>100% payment when proxy Linkage to ART is  ≥95%; 
90% payment when linkage is 85%–94%; 
80% payment when linkage is  75%–84%;                                                                                                                                                                           
 No payment if linkage is below 75%</t>
  </si>
  <si>
    <t>Tier 2</t>
  </si>
  <si>
    <t>PrEP Initiation</t>
  </si>
  <si>
    <t>PrEP initiation for eligible clients</t>
  </si>
  <si>
    <t>KHIS Aggregate Dashboards; TaifaCare(KenyaEMR); program PrEP reports</t>
  </si>
  <si>
    <t>KHIS Aggregate system, National data Warehousing (NDWH)</t>
  </si>
  <si>
    <t>GOR -system extraction from KHIS/TaifaCare  and desk review of program PrEP reports</t>
  </si>
  <si>
    <t>Target: 2,918 eligible individuals initiated on PrEP within the six-month reporting period
Monthly target: 486</t>
  </si>
  <si>
    <t>100%  payment when &gt;95%  of targets are met 
90% payment when 90- 95% targets are met 
80% payment when 80- 89% targets are met
70%  payment when 70- 79% Targets are met
 No payment if  perfomance is below 70%</t>
  </si>
  <si>
    <t>HIV Care, Treatment Continuity &amp; Retention</t>
  </si>
  <si>
    <t xml:space="preserve">Reduced interruption in treatment and sustained retention on ART
</t>
  </si>
  <si>
    <t>TaifaCare(KenyaEMR); KHIS; NDWH; program reports</t>
  </si>
  <si>
    <t>GOR desk review of program reports, system extraction from NDWH</t>
  </si>
  <si>
    <t>Target: Monthly interruption in treatment (IIT) less than 2.0% of all patients on ART</t>
  </si>
  <si>
    <t>100% payment: IIT &lt;2.0% 
80% payment: IIT ≥2.0% to &lt;3.0% 
50% payment: IIT ≥3.0% to &lt;3.5%, 
No payment: IIT ≥3.5%</t>
  </si>
  <si>
    <t>Hybrid (USG + Third Party Firm)</t>
  </si>
  <si>
    <t>Differentiated Service Delivery (DSD) Enrollment and Referral</t>
  </si>
  <si>
    <t>DSD  categorization and enrollment into appropriate DSD models for all PLHIV</t>
  </si>
  <si>
    <t>TaifaCare(KenyaEMR); KHIS; NDWH, DSD enrollment registers and reports</t>
  </si>
  <si>
    <t>Target: ≥90% of PLHIV  enrolled in an appropriate DSD model</t>
  </si>
  <si>
    <t>100% payment:  ≥90% enrolment
80% payment: 70%–89% enrolment
50% payment: 50%–69%.enrolment
No payment: &lt;50%.enrolment</t>
  </si>
  <si>
    <t>Advanced HIV Disease (AHD) identification and evaluation</t>
  </si>
  <si>
    <t>Proportion of adult PLHIV at risk of AHD who are screened for AHD using CD4 cell count or WHO staging criteria.</t>
  </si>
  <si>
    <t>TaifaCare EMR, KHIS, NDWH</t>
  </si>
  <si>
    <t>Government Systems-KHIS Aggregate system, NDW</t>
  </si>
  <si>
    <t>GOR desk review of EMR data</t>
  </si>
  <si>
    <t>Target: ≥90% of adult PLHIV at risk of AHD are identified and evaluated for AHD using CD4 cell count or WHO staging criteria</t>
  </si>
  <si>
    <t>100% payment: ≥90% adult PLHIV at risk of AHD identified and evaluated
80% payment: 70–89%; 
50% payment: 60–69%; 
No payment: &lt;60%</t>
  </si>
  <si>
    <t>Integrated eVTP Services Cascade</t>
  </si>
  <si>
    <t xml:space="preserve">Proportion of HIV exposed infants receiving EID testing as per national algorithm </t>
  </si>
  <si>
    <t>KHIS2/TaifaCare EMR, EID register</t>
  </si>
  <si>
    <t>Government System   KHIS Aggregate system</t>
  </si>
  <si>
    <t>GOR desk review of NASCOP EID website, service delivery point registers, program reports and EMR data.</t>
  </si>
  <si>
    <t xml:space="preserve">Target: &gt;95% HIV-exposed infants receive EID testing as per the national EID algorithm
</t>
  </si>
  <si>
    <t>100% payment when EID testing  is  ≥95%; 
90% payment  85%–94%; 
80% payment  75%–84%;                                                                                                                                                                           
 No payment if  below 75%</t>
  </si>
  <si>
    <t>eVTP Systems Strengthening and Governance</t>
  </si>
  <si>
    <t>County eVTP systems strengthened through functional taskforces</t>
  </si>
  <si>
    <t>County eVTP Taskforce meeting minutes; Supportive supervision and mentorship reports; Performance review meeting reports; CQI reports; KHIS2/TaifaCare EMR dashboards.</t>
  </si>
  <si>
    <t>GOR desk review of eVTP taskforce meeting minutes, performance review meeting reports</t>
  </si>
  <si>
    <t>Target:   ≥10 of 15 counties with a functional eVTP taskforce holding at least one meeting per quarter</t>
  </si>
  <si>
    <t>100% payment when &gt;10 counties have a functional taskforce
80% payment when  ≥5 counties have a functional taskforce
No payment when  &lt; 4 counties have a functional taskforce</t>
  </si>
  <si>
    <t>Quarterly</t>
  </si>
  <si>
    <t>TB/HIV Case Identification</t>
  </si>
  <si>
    <t>Conduct TB screening for all PLHIV at each clinical visit using the WHO 4SS tool or chest X-ray, as applicable</t>
  </si>
  <si>
    <t>TaifaCare EMR, Presumptive TB register, TIBU</t>
  </si>
  <si>
    <t>Government Systems-KHIS Aggregate system</t>
  </si>
  <si>
    <t>GOR desk review of aggregate program reports and EMR data</t>
  </si>
  <si>
    <t xml:space="preserve">
≥90% of PLHIV screened for TB</t>
  </si>
  <si>
    <t>100% payment when screening is &gt;90%
80% payment when screening is 80–89% 
50% payment when performance is 60–69%  
No payment when performance falls below these ranges</t>
  </si>
  <si>
    <t>TB Preventive Therapy</t>
  </si>
  <si>
    <t>Provide TB Preventive Therapy (TPT) to eligible PLHIV after active TB is ruled out</t>
  </si>
  <si>
    <t>TaifaCare EMR, Presumptive TB register, TIBU, TPT registers</t>
  </si>
  <si>
    <t>Proportion of eligible PLHIV initiated on TPT-90%</t>
  </si>
  <si>
    <t>100%  payment when &gt;90%  of Monthly targets are met 
90% payment when 80- 90% targets are met 
80% payment when 70- 79% targets are met
70%  payment when 60- 69% Targets are met
 No payment if perfomance is below 60%</t>
  </si>
  <si>
    <t>Viral Load Suppression</t>
  </si>
  <si>
    <t xml:space="preserve">Percentage of people living with HIV on ART with a documented suppressed viral load </t>
  </si>
  <si>
    <t>TaifaCare EMR; KHIS2 VL/EID dashboard; NDWH reports</t>
  </si>
  <si>
    <t>Desk review of VL/EID, DHIS2 and TaifaCare VL dashboards with a 2-quarter measurement lag, with on-site spot-check verification</t>
  </si>
  <si>
    <t>Target: ≥95% viral load suppression among PLHIV with a documented VL result</t>
  </si>
  <si>
    <t>100% payment: ≥95% VL suppression; 
80% payment: 80–94%; 
50% payment: 60–79%; 
No payment: &lt;60%</t>
  </si>
  <si>
    <t>County Transition Coordination Working Groups (CTCWGs)</t>
  </si>
  <si>
    <t>County Transition Coordination Working Groups (CTCWGs) fully onboarded with approved Terms of Reference and transition progress scorecard</t>
  </si>
  <si>
    <t>Appointment letters; Terms of Reference; CTCWG meeting minutes, transition scorecard</t>
  </si>
  <si>
    <t>Other System-Program MEL Repository</t>
  </si>
  <si>
    <t>GOR desk review of CTCWG appointment letters, TORs and meeting minutes, transition scorecards</t>
  </si>
  <si>
    <t>Target: County specific transition progress scorecard available</t>
  </si>
  <si>
    <t>100% payment: 4 of 4 counties; 
80% payment: 3 of 4 counties; 
50% payment: 2 of 4 counties; 
No payment: ≤1 county</t>
  </si>
  <si>
    <t>Health Financing : SHA Enrollment</t>
  </si>
  <si>
    <t xml:space="preserve">Voluntary enrollment of PLHIV in the Social Health Authority (SHA) </t>
  </si>
  <si>
    <t>Program reports; SHA enrollment records</t>
  </si>
  <si>
    <t>Government Systems-KenyaEMR</t>
  </si>
  <si>
    <t>GOR desk review of program reports and SHA enrollment data against TX_CURR</t>
  </si>
  <si>
    <t>Target: SHA enrollment 31,000</t>
  </si>
  <si>
    <t>100% payment: SHA enrollment ≥90% of target
80% payment: 75–89% of target
50% payment: 50–74% of target
No payment: &lt;50% of target</t>
  </si>
  <si>
    <t>Health Financing: Budget Advocacy</t>
  </si>
  <si>
    <t>County budget advocacy (aligned to MTEF budget-making cycle) resulting in budegt allocations for integrated HIV service delivery and the 35% county health allocation benchmark</t>
  </si>
  <si>
    <t>Program reports; county budget/MTEF documentation, CIDPs, AWPs</t>
  </si>
  <si>
    <t xml:space="preserve">Other System-CIDPs, health department workplan </t>
  </si>
  <si>
    <t>GOR desk review of program reports, CIDPs, AWPs</t>
  </si>
  <si>
    <t>Target: 100% of CIDPs and AWPs contain budget earmarks for sustaining TB/HIV service provision</t>
  </si>
  <si>
    <t xml:space="preserve">Laboratory Quality 
Assurance </t>
  </si>
  <si>
    <t xml:space="preserve">Support Laboratory-based and point-of-care HIV testing  External Quality Assurance/Proficiency Testing (PT) </t>
  </si>
  <si>
    <t>Kenya National External Quality Assessment  Scheme; program reports</t>
  </si>
  <si>
    <t>Government Systems-KNEQAS dashboard
Other systems_-Program MEL repository</t>
  </si>
  <si>
    <t>GOR Desk review of PT scheme results and program reports</t>
  </si>
  <si>
    <t>&gt;90% of testing sites pass Proficiency Testing (PT)</t>
  </si>
  <si>
    <t xml:space="preserve">100% payment  PT pass rate  ≥90% 
80% payment: 80–89% 
50% payment: 70–79% 
No payment: below 70% </t>
  </si>
  <si>
    <t xml:space="preserve">Commodity Security </t>
  </si>
  <si>
    <t>Support commodity security through monthly HIV commodity reporting for ARVs, TB medicines and laboratory commodities.</t>
  </si>
  <si>
    <t>KHIS commodity reports</t>
  </si>
  <si>
    <t>Desk review of KHIS commodity submission logs</t>
  </si>
  <si>
    <t xml:space="preserve">≥90% of health facilities submitting monthly commodity reports </t>
  </si>
  <si>
    <t xml:space="preserve">100% payment: stock-reporting rate ≥90% 
80% payment: 80–89% 
50% payment: 70–79% 
No payment: below 70% </t>
  </si>
  <si>
    <t>Digital Health Systems 
&amp; Electronic Reporting Coverage, Data Systems</t>
  </si>
  <si>
    <t xml:space="preserve">Electronic reporting of HIV service data through TaifaCare EMR, automated exchange to the National Data Warehouse and KHIS </t>
  </si>
  <si>
    <t>National Data Warehouse (NDWH); KHIS</t>
  </si>
  <si>
    <t>Desk review of the National Data Warehouse system-generated facility reporting-rate dashboard and KHIS reporting completeness; district Data Quality Assessment (DQA)</t>
  </si>
  <si>
    <t>≥95% of HIV facilities reporting electronically</t>
  </si>
  <si>
    <t xml:space="preserve">100% payment: ≥95% reporting 
80% payment: 90–94% reporting 
50% payment: 80–89% reporting 
No payment: &lt;80% reporting </t>
  </si>
  <si>
    <t xml:space="preserve">Outbreak Detection,  Readiness and Surveillance </t>
  </si>
  <si>
    <t xml:space="preserve">Functional County outbreak and  disease surveillance coordination unit established with a county integrated disease response protocol in the four Track A counties (Meru, Embu, Nyandarua, Tharaka Nithi). </t>
  </si>
  <si>
    <t>Meeting minutes; TORs;  readiness checklists; response protocol</t>
  </si>
  <si>
    <t>GOR desk review of TORs,  meeting minutes, response protocol</t>
  </si>
  <si>
    <t>Target: functional structures with TORs and at least 1 meeting in all 4 Track A counties</t>
  </si>
  <si>
    <t xml:space="preserve">HRH Rationalization </t>
  </si>
  <si>
    <t>Technical HRH cadres rationalized and mapped to Public Service Commission schemes of service with harmonized pay scales</t>
  </si>
  <si>
    <t>HR records, program reports</t>
  </si>
  <si>
    <t>GOR desk review of HR records and program reports</t>
  </si>
  <si>
    <t>Target: HRH cadres rationalized/mapped in 15 of 15 counties</t>
  </si>
  <si>
    <t xml:space="preserve">100% Payment: 100% HRH mapped in  ≥12 counties 
80% payment:  9–11 counties
50% payment: 5–8 counties
No payment: &lt;5 counties </t>
  </si>
  <si>
    <t>Implementation of CMaT Model</t>
  </si>
  <si>
    <t>County-led CMAT model implementation for integrated HIV service delivery</t>
  </si>
  <si>
    <t>CMAT workplans and site visit reports</t>
  </si>
  <si>
    <t>GOR desk review of program and CMAT implementation reports</t>
  </si>
  <si>
    <t>Target: CMaT implemented in 15 of 15 counties</t>
  </si>
  <si>
    <t xml:space="preserve">100% Payment: 100% CMaT implementation in  ≥12 counties 
80% payment:  9–11 counties
50% payment: 5–8 counties
No payment: &lt;5 counties </t>
  </si>
  <si>
    <t>Strengthened Health 
Workforce Capacity</t>
  </si>
  <si>
    <t>Health workforce capacity strengthened to deliver integrated HIV services through competency-based training, onsite clinical mentorship, and continuous quality improvement.</t>
  </si>
  <si>
    <t>Pre/post-test results, mentorship reports</t>
  </si>
  <si>
    <t>GOR desk review of training reports, thematic quality improvement plans, program reports</t>
  </si>
  <si>
    <t xml:space="preserve">Healthcare workers in 80% of program supported facilities reached  with capacity building initiatives </t>
  </si>
  <si>
    <t>100% payment for ≥80% facilities reached
80% payment for 70–79% achievement; 
50% payment for 60–69% achievement;
No payment for &lt;60% achievement.</t>
  </si>
  <si>
    <t>W:\Dwapi Uploads\SPOT Exports</t>
  </si>
  <si>
    <t>2026-10-05T17:51:05.000Z</t>
  </si>
  <si>
    <t>download (39).csv</t>
  </si>
  <si>
    <t>2026-10-05T17:50:55.000Z</t>
  </si>
  <si>
    <t>2026-10-05T17:29:50.000Z</t>
  </si>
  <si>
    <t>2026-10-05T17:24:57.000Z</t>
  </si>
  <si>
    <t>2026-10-05T17:24:44.000Z</t>
  </si>
  <si>
    <t>2026-10-05T17:24:19.000Z</t>
  </si>
  <si>
    <t>2026-10-05T17:04:02.000Z</t>
  </si>
  <si>
    <t>2026-10-05T15:23:32.000Z</t>
  </si>
  <si>
    <t>2026-10-05T14:56:15.000Z</t>
  </si>
  <si>
    <t>2026-10-05T14:56:07.000Z</t>
  </si>
  <si>
    <t>2026-10-05T14:55:33.000Z</t>
  </si>
  <si>
    <t>2026-10-05T14:44:16.000Z</t>
  </si>
  <si>
    <t>2026-10-05T14:44:06.000Z</t>
  </si>
  <si>
    <t>2026-10-05T14:43:43.000Z</t>
  </si>
  <si>
    <t>2026-10-05T14:32:28.000Z</t>
  </si>
  <si>
    <t>2026-10-05T14:21:05.000Z</t>
  </si>
  <si>
    <t>2026-10-05T14:06:25.000Z</t>
  </si>
  <si>
    <t>2026-10-05T14:05:58.000Z</t>
  </si>
  <si>
    <t>2026-10-05T14:00:45.000Z</t>
  </si>
  <si>
    <t>2026-10-05T14:00:32.000Z</t>
  </si>
  <si>
    <t>2026-10-05T13:57:28.000Z</t>
  </si>
  <si>
    <t>2026-10-05T13:41:43.000Z</t>
  </si>
  <si>
    <t>2026-10-05T13:25:36.000Z</t>
  </si>
  <si>
    <t>2026-10-05T12:50:56.000Z</t>
  </si>
  <si>
    <t>2026-10-05T12:22:41.000Z</t>
  </si>
  <si>
    <t>2026-10-05T12:22:25.000Z</t>
  </si>
  <si>
    <t>2026-10-05T12:22:06.000Z</t>
  </si>
  <si>
    <t>2026-10-05T12:12:46.000Z</t>
  </si>
  <si>
    <t>2026-10-05T12:11:49.000Z</t>
  </si>
  <si>
    <t>2026-10-05T12:07:36.000Z</t>
  </si>
  <si>
    <t>2026-10-05T12:00:46.000Z</t>
  </si>
  <si>
    <t>2026-10-05T11:59:23.000Z</t>
  </si>
  <si>
    <t>2026-10-05T11:57:07.000Z</t>
  </si>
  <si>
    <t>2026-10-05T11:51:21.000Z</t>
  </si>
  <si>
    <t>2026-10-05T11:47:03.000Z</t>
  </si>
  <si>
    <t>2026-10-05T11:46:49.000Z</t>
  </si>
  <si>
    <t>2026-10-05T11:34:23.000Z</t>
  </si>
  <si>
    <t>2026-10-05T11:33:27.000Z</t>
  </si>
  <si>
    <t>2026-10-05T11:25:35.000Z</t>
  </si>
  <si>
    <t>2026-10-05T11:15:37.000Z</t>
  </si>
  <si>
    <t>2026-10-05T11:15:28.000Z</t>
  </si>
  <si>
    <t>2026-10-05T11:13:46.000Z</t>
  </si>
  <si>
    <t>2026-10-05T11:11:12.000Z</t>
  </si>
  <si>
    <t>2026-10-05T11:10:48.000Z</t>
  </si>
  <si>
    <t>2026-10-05T10:55:43.000Z</t>
  </si>
  <si>
    <t>2026-10-05T10:50:51.000Z</t>
  </si>
  <si>
    <t>2026-10-05T10:38:41.000Z</t>
  </si>
  <si>
    <t>2026-10-05T10:35:24.000Z</t>
  </si>
  <si>
    <t>2026-10-05T10:32:39.000Z</t>
  </si>
  <si>
    <t>2026-10-05T10:32:20.000Z</t>
  </si>
  <si>
    <t>2026-10-05T10:32:07.000Z</t>
  </si>
  <si>
    <t>2026-10-05T10:17:01.000Z</t>
  </si>
  <si>
    <t>2026-10-05T10:04:38.000Z</t>
  </si>
  <si>
    <t>2026-10-05T10:03:18.000Z</t>
  </si>
  <si>
    <t>2026-10-05T10:00:56.000Z</t>
  </si>
  <si>
    <t>2026-10-05T10:00:37.000Z</t>
  </si>
  <si>
    <t>2026-10-05T10:00:29.000Z</t>
  </si>
  <si>
    <t>2026-10-05T10:00:15.000Z</t>
  </si>
  <si>
    <t>2026-10-05T09:58:06.000Z</t>
  </si>
  <si>
    <t>2026-10-05T09:50:00.000Z</t>
  </si>
  <si>
    <t>2026-10-05T09:26:25.000Z</t>
  </si>
  <si>
    <t>2026-10-05T09:21:27.000Z</t>
  </si>
  <si>
    <t>2026-10-05T09:07:35.000Z</t>
  </si>
  <si>
    <t>2026-10-05T09:07:22.000Z</t>
  </si>
  <si>
    <t>2026-10-05T09:07:07.000Z</t>
  </si>
  <si>
    <t>2026-10-05T08:48:11.000Z</t>
  </si>
  <si>
    <t>2026-10-05T08:44:52.000Z</t>
  </si>
  <si>
    <t>2026-10-05T08:37:18.000Z</t>
  </si>
  <si>
    <t>2026-10-05T08:37:07.000Z</t>
  </si>
  <si>
    <t>2026-10-05T08:36:59.000Z</t>
  </si>
  <si>
    <t>2026-10-05T08:29:37.000Z</t>
  </si>
  <si>
    <t>2026-10-05T08:29:28.000Z</t>
  </si>
  <si>
    <t>2026-10-05T08:28:33.000Z</t>
  </si>
  <si>
    <t>2026-10-05T08:13:18.000Z</t>
  </si>
  <si>
    <t>2026-10-05T08:08:24.000Z</t>
  </si>
  <si>
    <t>2026-10-05T08:08:10.000Z</t>
  </si>
  <si>
    <t>2026-10-05T08:07:44.000Z</t>
  </si>
  <si>
    <t>2026-10-05T08:06:33.000Z</t>
  </si>
  <si>
    <t>2026-10-05T07:47:26.000Z</t>
  </si>
  <si>
    <t>2026-10-05T06:44:07.000Z</t>
  </si>
  <si>
    <t>2026-10-05T06:43:58.000Z</t>
  </si>
  <si>
    <t>2026-10-05T06:43:48.000Z</t>
  </si>
  <si>
    <t>2026-10-05T06:37:43.000Z</t>
  </si>
  <si>
    <t>2026-10-05T06:37:23.000Z</t>
  </si>
  <si>
    <t>2026-10-05T06:37:13.000Z</t>
  </si>
  <si>
    <t>2026-10-05T06:37:06.000Z</t>
  </si>
  <si>
    <t>2026-10-05T06:14:14.000Z</t>
  </si>
  <si>
    <t>2026-10-05T06:00:34.000Z</t>
  </si>
  <si>
    <t>2026-10-05T05:33:51.000Z</t>
  </si>
  <si>
    <t>2026-10-05T05:33:38.000Z</t>
  </si>
  <si>
    <t>2026-10-05T05:33:21.000Z</t>
  </si>
  <si>
    <t>2026-10-05T05:16:28.000Z</t>
  </si>
  <si>
    <t>2026-10-05T05:16:17.000Z</t>
  </si>
  <si>
    <t>2026-10-05T05:15:08.000Z</t>
  </si>
  <si>
    <t>2026-10-05T05:11:04.000Z</t>
  </si>
  <si>
    <t>2026-10-05T05:01:18.000Z</t>
  </si>
  <si>
    <t>2026-10-04T11:28:14.000Z</t>
  </si>
  <si>
    <t>2026-10-04T11:27:24.000Z</t>
  </si>
  <si>
    <t>2026-10-04T11:26:33.000Z</t>
  </si>
  <si>
    <t>2026-10-04T11:02:47.000Z</t>
  </si>
  <si>
    <t>2026-10-03T18:13:56.000Z</t>
  </si>
  <si>
    <t>2026-10-03T18:13:33.000Z</t>
  </si>
  <si>
    <t>2026-10-03T18:11:52.000Z</t>
  </si>
  <si>
    <t>2026-10-03T17:58:49.000Z</t>
  </si>
  <si>
    <t>2026-10-03T17:58:09.000Z</t>
  </si>
  <si>
    <t>2026-10-03T17:57:02.000Z</t>
  </si>
  <si>
    <t>2026-10-03T17:38:17.000Z</t>
  </si>
  <si>
    <t>2026-10-02T20:35:18.000Z</t>
  </si>
  <si>
    <t>2026-10-02T20:34:57.000Z</t>
  </si>
  <si>
    <t>2026-10-02T20:34:37.000Z</t>
  </si>
  <si>
    <t>2026-10-02T20:15:53.000Z</t>
  </si>
  <si>
    <t>2026-10-02T20:09:34.000Z</t>
  </si>
  <si>
    <t>2026-10-02T20:07:56.000Z</t>
  </si>
  <si>
    <t>2026-10-02T20:07:04.000Z</t>
  </si>
  <si>
    <t>2026-10-02T19:46:56.000Z</t>
  </si>
  <si>
    <t>2026-10-02T09:12:53.000Z</t>
  </si>
  <si>
    <t>2026-10-02T09:12:19.000Z</t>
  </si>
  <si>
    <t>2026-10-02T09:12:11.000Z</t>
  </si>
  <si>
    <t>2026-10-01T18:17:13.000Z</t>
  </si>
  <si>
    <t>2026-10-01T18:16:49.000Z</t>
  </si>
  <si>
    <t>2026-10-01T18:15:51.000Z</t>
  </si>
  <si>
    <t>2026-10-01T17:41:44.000Z</t>
  </si>
  <si>
    <t>2026-10-01T17:39:58.000Z</t>
  </si>
  <si>
    <t>2026-10-01T17:37:16.000Z</t>
  </si>
  <si>
    <t>2026-10-01T17:33:01.000Z</t>
  </si>
  <si>
    <t>2026-10-01T17:09:39.000Z</t>
  </si>
  <si>
    <t>2026-10-01T14:36:23.000Z</t>
  </si>
  <si>
    <t>2026-10-01T14:35:48.000Z</t>
  </si>
  <si>
    <t>2026-10-01T14:31:50.000Z</t>
  </si>
  <si>
    <t>2026-10-01T13:59:19.000Z</t>
  </si>
  <si>
    <t>2026-10-01T13:30:34.000Z</t>
  </si>
  <si>
    <t>2026-10-01T13:29:19.000Z</t>
  </si>
  <si>
    <t>2026-10-01T13:28:36.000Z</t>
  </si>
  <si>
    <t>2026-10-01T13:21:32.000Z</t>
  </si>
  <si>
    <t>2026-10-01T13:19:37.000Z</t>
  </si>
  <si>
    <t>2026-10-01T13:06:36.000Z</t>
  </si>
  <si>
    <t>2026-10-01T12:48:23.000Z</t>
  </si>
  <si>
    <t>2026-10-01T12:43:46.000Z</t>
  </si>
  <si>
    <t>2026-10-01T12:42:29.000Z</t>
  </si>
  <si>
    <t>2026-10-01T12:42:20.000Z</t>
  </si>
  <si>
    <t>2026-10-01T12:42:09.000Z</t>
  </si>
  <si>
    <t>2026-10-01T12:41:22.000Z</t>
  </si>
  <si>
    <t>2026-10-01T12:41:08.000Z</t>
  </si>
  <si>
    <t>2026-10-01T12:39:24.000Z</t>
  </si>
  <si>
    <t>2026-10-01T12:38:56.000Z</t>
  </si>
  <si>
    <t>2026-10-01T12:38:24.000Z</t>
  </si>
  <si>
    <t>2026-10-01T12:36:13.000Z</t>
  </si>
  <si>
    <t>2026-10-01T12:36:05.000Z</t>
  </si>
  <si>
    <t>2026-10-01T12:35:59.000Z</t>
  </si>
  <si>
    <t>2026-10-01T12:23:16.000Z</t>
  </si>
  <si>
    <t>2026-10-01T12:19:58.000Z</t>
  </si>
  <si>
    <t>2026-10-01T12:17:49.000Z</t>
  </si>
  <si>
    <t>2026-10-01T12:16:26.000Z</t>
  </si>
  <si>
    <t>2026-10-01T11:59:42.000Z</t>
  </si>
  <si>
    <t>2026-10-01T11:57:21.000Z</t>
  </si>
  <si>
    <t>2026-10-01T11:06:59.000Z</t>
  </si>
  <si>
    <t>2026-10-01T11:06:31.000Z</t>
  </si>
  <si>
    <t>2026-10-01T10:58:37.000Z</t>
  </si>
  <si>
    <t>2026-10-01T10:47:40.000Z</t>
  </si>
  <si>
    <t>2026-10-01T10:47:25.000Z</t>
  </si>
  <si>
    <t>2026-10-01T10:24:25.000Z</t>
  </si>
  <si>
    <t>2026-10-01T10:22:46.000Z</t>
  </si>
  <si>
    <t>2026-10-01T10:19:41.000Z</t>
  </si>
  <si>
    <t>2026-10-01T10:18:57.000Z</t>
  </si>
  <si>
    <t>2026-10-01T10:18:26.000Z</t>
  </si>
  <si>
    <t>2026-10-01T10:18:16.000Z</t>
  </si>
  <si>
    <t>2026-10-01T09:59:13.000Z</t>
  </si>
  <si>
    <t>2026-10-01T09:59:07.000Z</t>
  </si>
  <si>
    <t>2026-10-01T08:15:12.000Z</t>
  </si>
  <si>
    <t>2026-10-01T08:15:01.000Z</t>
  </si>
  <si>
    <t>2026-10-01T08:08:28.000Z</t>
  </si>
  <si>
    <t>2026-09-30T13:35:39.000Z</t>
  </si>
  <si>
    <t>2026-09-30T13:35:12.000Z</t>
  </si>
  <si>
    <t>2026-09-30T13:34:48.000Z</t>
  </si>
  <si>
    <t/>
  </si>
  <si>
    <t>2026-10-06T06:30:45.000Z</t>
  </si>
  <si>
    <t>2026-10-06T04:59:51.000Z</t>
  </si>
  <si>
    <t>2026-10-06T04:57:15.000Z</t>
  </si>
  <si>
    <t>2026-10-06T04:56:02.000Z</t>
  </si>
  <si>
    <t>2026-10-06T04:44:29.000Z</t>
  </si>
  <si>
    <t>2026-10-05T20:48:40.000Z</t>
  </si>
  <si>
    <t>2026-10-05T20:47:59.000Z</t>
  </si>
  <si>
    <t>2026-10-05T20:47:14.000Z</t>
  </si>
  <si>
    <t>2026-10-05T20:28:08.000Z</t>
  </si>
  <si>
    <t>2026-10-05T16:26:18.000Z</t>
  </si>
  <si>
    <t>2026-10-05T16:09:08.000Z</t>
  </si>
  <si>
    <t>2026-10-05T16:03:57.000Z</t>
  </si>
  <si>
    <t>2026-10-05T14:07:19.000Z</t>
  </si>
  <si>
    <t>2026-10-05T14:04:49.000Z</t>
  </si>
  <si>
    <t>2026-10-05T14:01:55.000Z</t>
  </si>
  <si>
    <t>2026-10-05T14:00:50.000Z</t>
  </si>
  <si>
    <t>2026-10-05T13:58:25.000Z</t>
  </si>
  <si>
    <t>2026-10-05T13:54:55.000Z</t>
  </si>
  <si>
    <t>2026-10-05T13:49:27.000Z</t>
  </si>
  <si>
    <t>2026-10-05T13:48:16.000Z</t>
  </si>
  <si>
    <t>2026-10-05T13:46:14.000Z</t>
  </si>
  <si>
    <t>2026-10-05T13:34:32.000Z</t>
  </si>
  <si>
    <t>2026-10-05T13:34:30.000Z</t>
  </si>
  <si>
    <t>2026-10-05T13:22:40.000Z</t>
  </si>
  <si>
    <t>2026-10-05T12:16:15.000Z</t>
  </si>
  <si>
    <t>2026-10-05T09:51:37.000Z</t>
  </si>
  <si>
    <t>2026-10-05T09:50:01.000Z</t>
  </si>
  <si>
    <t>2026-10-05T09:47:43.000Z</t>
  </si>
  <si>
    <t>2026-10-05T09:42:18.000Z</t>
  </si>
  <si>
    <t>2026-10-05T09:34:24.000Z</t>
  </si>
  <si>
    <t>2026-10-05T08:56:10.000Z</t>
  </si>
  <si>
    <t>2026-10-05T08:54:36.000Z</t>
  </si>
  <si>
    <t>2026-10-05T08:38:49.000Z</t>
  </si>
  <si>
    <t>2026-10-05T08:36:42.000Z</t>
  </si>
  <si>
    <t>2026-10-05T08:36:29.000Z</t>
  </si>
  <si>
    <t>2026-10-05T08:04:19.000Z</t>
  </si>
  <si>
    <t>2026-10-05T08:01:59.000Z</t>
  </si>
  <si>
    <t>2026-10-05T07:49:56.000Z</t>
  </si>
  <si>
    <t>2026-10-05T07:49:12.000Z</t>
  </si>
  <si>
    <t>2026-10-05T07:48:11.000Z</t>
  </si>
  <si>
    <t>2026-10-05T07:00:22.000Z</t>
  </si>
  <si>
    <t>2026-10-05T06:38:29.000Z</t>
  </si>
  <si>
    <t>2026-10-05T05:57:53.000Z</t>
  </si>
  <si>
    <t>2026-10-05T05:56:28.000Z</t>
  </si>
  <si>
    <t>2026-10-05T05:54:19.000Z</t>
  </si>
  <si>
    <t>2026-10-04T20:50:58.000Z</t>
  </si>
  <si>
    <t>2026-10-04T20:06:04.000Z</t>
  </si>
  <si>
    <t>2026-10-04T19:07:32.000Z</t>
  </si>
  <si>
    <t>2026-10-04T18:30:40.000Z</t>
  </si>
  <si>
    <t>2026-10-04T18:22:10.000Z</t>
  </si>
  <si>
    <t>2026-10-04T18:21:05.000Z</t>
  </si>
  <si>
    <t>2026-10-04T18:19:58.000Z</t>
  </si>
  <si>
    <t>2026-10-04T17:42:30.000Z</t>
  </si>
  <si>
    <t>2026-10-04T13:47:38.000Z</t>
  </si>
  <si>
    <t>2026-10-04T13:33:30.000Z</t>
  </si>
  <si>
    <t>2026-10-04T11:08:54.000Z</t>
  </si>
  <si>
    <t>2026-10-03T22:15:09.000Z</t>
  </si>
  <si>
    <t>2026-10-03T22:12:59.000Z</t>
  </si>
  <si>
    <t>2026-10-03T22:10:05.000Z</t>
  </si>
  <si>
    <t>2026-10-03T17:43:17.000Z</t>
  </si>
  <si>
    <t>2026-10-03T17:42:33.000Z</t>
  </si>
  <si>
    <t>2026-10-03T17:40:29.000Z</t>
  </si>
  <si>
    <t>2026-10-03T16:50:32.000Z</t>
  </si>
  <si>
    <t>2026-10-03T15:04:43.000Z</t>
  </si>
  <si>
    <t>2026-10-03T10:14:23.000Z</t>
  </si>
  <si>
    <t>2026-10-03T08:44:11.000Z</t>
  </si>
  <si>
    <t>2026-10-03T08:25:34.000Z</t>
  </si>
  <si>
    <t>2026-10-03T08:23:52.000Z</t>
  </si>
  <si>
    <t>2026-10-03T08:21:38.000Z</t>
  </si>
  <si>
    <t>2026-10-03T08:16:17.000Z</t>
  </si>
  <si>
    <t>2026-10-03T06:49:08.000Z</t>
  </si>
  <si>
    <t>2026-10-03T06:09:23.000Z</t>
  </si>
  <si>
    <t>2026-10-01T10:27:14.000Z</t>
  </si>
  <si>
    <t>2026-10-01T10:19:16.000Z</t>
  </si>
  <si>
    <t>2026-10-01T10:18:46.000Z</t>
  </si>
  <si>
    <t>2026-10-01T10:17:39.000Z</t>
  </si>
  <si>
    <t>2026-10-01T10:17:32.000Z</t>
  </si>
  <si>
    <t>2026-10-01T10:07:32.000Z</t>
  </si>
  <si>
    <t>2026-10-01T09:58:52.000Z</t>
  </si>
  <si>
    <t>2026-10-01T06:24:26.000Z</t>
  </si>
  <si>
    <t>2026-10-01T06:02:06.000Z</t>
  </si>
  <si>
    <t>2026-10-01T03:15:53.000Z</t>
  </si>
  <si>
    <t>2026-10-01T02:55:22.000Z</t>
  </si>
  <si>
    <t>2026-10-07T07:37:22.000Z</t>
  </si>
  <si>
    <t>In Progress</t>
  </si>
  <si>
    <t>2026-10-07T07:21:30.000Z</t>
  </si>
  <si>
    <t>2026-10-07T07:21:09.000Z</t>
  </si>
  <si>
    <t>2026-10-07T07:20:24.000Z</t>
  </si>
  <si>
    <t>2026-10-07T07:13:16.000Z</t>
  </si>
  <si>
    <t>2026-10-07T07:06:14.000Z</t>
  </si>
  <si>
    <t>2026-10-07T06:36:18.000Z</t>
  </si>
  <si>
    <t>2026-10-07T06:35:13.000Z</t>
  </si>
  <si>
    <t>2026-10-07T06:34:11.000Z</t>
  </si>
  <si>
    <t>2026-10-06T14:55:57.000Z</t>
  </si>
  <si>
    <t>2026-10-06T14:55:49.000Z</t>
  </si>
  <si>
    <t>2026-10-06T14:55:33.000Z</t>
  </si>
  <si>
    <t>2026-10-06T14:33:08.000Z</t>
  </si>
  <si>
    <t>2026-10-06T14:10:30.000Z</t>
  </si>
  <si>
    <t>2026-10-06T14:10:12.000Z</t>
  </si>
  <si>
    <t>2026-10-06T14:09:45.000Z</t>
  </si>
  <si>
    <t>2026-10-06T13:38:46.000Z</t>
  </si>
  <si>
    <t>2026-10-06T13:29:19.000Z</t>
  </si>
  <si>
    <t>2026-10-06T13:28:03.000Z</t>
  </si>
  <si>
    <t>2026-10-06T13:28:00.000Z</t>
  </si>
  <si>
    <t>2026-10-06T13:27:58.000Z</t>
  </si>
  <si>
    <t>2026-10-06T13:05:42.000Z</t>
  </si>
  <si>
    <t>2026-10-06T13:04:38.000Z</t>
  </si>
  <si>
    <t>2026-10-06T13:04:24.000Z</t>
  </si>
  <si>
    <t>2026-10-06T13:04:12.000Z</t>
  </si>
  <si>
    <t>2026-10-06T12:46:51.000Z</t>
  </si>
  <si>
    <t>2026-10-06T12:42:31.000Z</t>
  </si>
  <si>
    <t>2026-10-06T12:41:58.000Z</t>
  </si>
  <si>
    <t>2026-10-06T12:40:54.000Z</t>
  </si>
  <si>
    <t>2026-10-06T12:17:03.000Z</t>
  </si>
  <si>
    <t>2026-10-06T11:42:09.000Z</t>
  </si>
  <si>
    <t>2026-10-06T11:41:03.000Z</t>
  </si>
  <si>
    <t>2026-10-06T11:39:40.000Z</t>
  </si>
  <si>
    <t>2026-10-06T11:33:45.000Z</t>
  </si>
  <si>
    <t>2026-10-06T11:33:35.000Z</t>
  </si>
  <si>
    <t>2026-10-06T11:33:26.000Z</t>
  </si>
  <si>
    <t>2026-10-06T11:33:08.000Z</t>
  </si>
  <si>
    <t>2026-10-06T11:33:03.000Z</t>
  </si>
  <si>
    <t>2026-10-06T11:32:54.000Z</t>
  </si>
  <si>
    <t>2026-10-06T11:32:47.000Z</t>
  </si>
  <si>
    <t>2026-10-06T11:23:08.000Z</t>
  </si>
  <si>
    <t>2026-10-06T11:14:10.000Z</t>
  </si>
  <si>
    <t>2026-10-06T11:10:26.000Z</t>
  </si>
  <si>
    <t>2026-10-06T11:07:05.000Z</t>
  </si>
  <si>
    <t>2026-10-06T09:47:40.000Z</t>
  </si>
  <si>
    <t>2026-10-06T09:47:07.000Z</t>
  </si>
  <si>
    <t>2026-10-06T09:40:21.000Z</t>
  </si>
  <si>
    <t>2026-10-06T09:24:39.000Z</t>
  </si>
  <si>
    <t>2026-10-06T09:23:55.000Z</t>
  </si>
  <si>
    <t>2026-10-06T09:20:05.000Z</t>
  </si>
  <si>
    <t>2026-10-06T09:19:57.000Z</t>
  </si>
  <si>
    <t>2026-10-06T09:19:37.000Z</t>
  </si>
  <si>
    <t>2026-10-06T09:14:39.000Z</t>
  </si>
  <si>
    <t>2026-10-06T09:09:29.000Z</t>
  </si>
  <si>
    <t>2026-10-06T09:07:32.000Z</t>
  </si>
  <si>
    <t>2026-10-06T09:07:11.000Z</t>
  </si>
  <si>
    <t>2026-10-06T09:06:47.000Z</t>
  </si>
  <si>
    <t>2026-10-06T09:05:39.000Z</t>
  </si>
  <si>
    <t>2026-10-06T08:56:23.000Z</t>
  </si>
  <si>
    <t>2026-10-06T08:55:22.000Z</t>
  </si>
  <si>
    <t>2026-10-06T08:40:17.000Z</t>
  </si>
  <si>
    <t>2026-10-06T08:37:00.000Z</t>
  </si>
  <si>
    <t>2026-10-06T08:00:40.000Z</t>
  </si>
  <si>
    <t>2026-10-06T07:34:30.000Z</t>
  </si>
  <si>
    <t>2026-10-06T07:17:20.000Z</t>
  </si>
  <si>
    <t>2026-10-06T07:17:08.000Z</t>
  </si>
  <si>
    <t>2026-10-06T07:16:39.000Z</t>
  </si>
  <si>
    <t>2026-10-06T07:01:55.000Z</t>
  </si>
  <si>
    <t>2026-10-06T07:01:45.000Z</t>
  </si>
  <si>
    <t>2026-10-06T07:01:23.000Z</t>
  </si>
  <si>
    <t>2026-10-06T06:49:50.000Z</t>
  </si>
  <si>
    <t>2026-10-02T12:52:36.000Z</t>
  </si>
  <si>
    <t>2026-10-02T12:52:19.000Z</t>
  </si>
  <si>
    <t>2026-10-07T07:13:25.000Z</t>
  </si>
  <si>
    <t>2026-10-07T07:12:51.000Z</t>
  </si>
  <si>
    <t>2026-10-07T07:11:27.000Z</t>
  </si>
  <si>
    <t>2026-10-07T06:50:21.000Z</t>
  </si>
  <si>
    <t>2026-10-07T06:20:30.000Z</t>
  </si>
  <si>
    <t>2026-10-07T05:28:28.000Z</t>
  </si>
  <si>
    <t>2026-10-07T05:16:42.000Z</t>
  </si>
  <si>
    <t>2026-10-06T14:31:28.000Z</t>
  </si>
  <si>
    <t>2026-10-06T14:30:39.000Z</t>
  </si>
  <si>
    <t>2026-10-06T07:42:55.000Z</t>
  </si>
  <si>
    <t>2026-10-06T07:25:37.000Z</t>
  </si>
  <si>
    <t>2026-10-06T06:32:55.000Z</t>
  </si>
  <si>
    <t>2026-10-06T06:22:51.000Z</t>
  </si>
  <si>
    <t>2026-10-07T12:46:44.000Z</t>
  </si>
  <si>
    <t>2026-10-07T12:46:34.000Z</t>
  </si>
  <si>
    <t>2026-10-07T12:27:37.000Z</t>
  </si>
  <si>
    <t>2026-10-07T12:26:43.000Z</t>
  </si>
  <si>
    <t>2026-10-07T12:26:09.000Z</t>
  </si>
  <si>
    <t>2026-10-07T12:26:07.000Z</t>
  </si>
  <si>
    <t>2026-10-07T12:25:49.000Z</t>
  </si>
  <si>
    <t>2026-10-07T12:25:12.000Z</t>
  </si>
  <si>
    <t>2026-10-07T12:23:37.000Z</t>
  </si>
  <si>
    <t>2026-10-07T12:22:53.000Z</t>
  </si>
  <si>
    <t>2026-10-07T12:12:55.000Z</t>
  </si>
  <si>
    <t>2026-10-07T12:12:30.000Z</t>
  </si>
  <si>
    <t>2026-10-07T12:12:09.000Z</t>
  </si>
  <si>
    <t>2026-10-07T12:05:16.000Z</t>
  </si>
  <si>
    <t>2026-10-07T12:03:08.000Z</t>
  </si>
  <si>
    <t>2026-10-07T12:00:11.000Z</t>
  </si>
  <si>
    <t>2026-10-07T11:56:55.000Z</t>
  </si>
  <si>
    <t>2026-10-07T11:48:50.000Z</t>
  </si>
  <si>
    <t>2026-10-07T11:48:08.000Z</t>
  </si>
  <si>
    <t>2026-10-07T11:48:01.000Z</t>
  </si>
  <si>
    <t>2026-10-07T11:47:45.000Z</t>
  </si>
  <si>
    <t>2026-10-07T11:33:02.000Z</t>
  </si>
  <si>
    <t>2026-10-07T11:21:33.000Z</t>
  </si>
  <si>
    <t>2026-10-07T11:21:26.000Z</t>
  </si>
  <si>
    <t>2026-10-07T11:21:11.000Z</t>
  </si>
  <si>
    <t>2026-10-07T10:53:29.000Z</t>
  </si>
  <si>
    <t>2026-10-07T10:49:32.000Z</t>
  </si>
  <si>
    <t>2026-10-07T10:49:21.000Z</t>
  </si>
  <si>
    <t>2026-10-07T10:49:13.000Z</t>
  </si>
  <si>
    <t>2026-10-07T10:39:54.000Z</t>
  </si>
  <si>
    <t>2026-10-07T10:38:38.000Z</t>
  </si>
  <si>
    <t>2026-10-07T10:36:46.000Z</t>
  </si>
  <si>
    <t>2026-10-07T10:08:29.000Z</t>
  </si>
  <si>
    <t>2026-10-07T09:24:27.000Z</t>
  </si>
  <si>
    <t>2026-10-07T09:24:08.000Z</t>
  </si>
  <si>
    <t>2026-10-07T09:23:46.000Z</t>
  </si>
  <si>
    <t>2026-10-07T09:20:38.000Z</t>
  </si>
  <si>
    <t>2026-10-07T09:19:57.000Z</t>
  </si>
  <si>
    <t>2026-10-07T09:19:33.000Z</t>
  </si>
  <si>
    <t>2026-10-07T09:01:35.000Z</t>
  </si>
  <si>
    <t>2026-10-07T08:55:40.000Z</t>
  </si>
  <si>
    <t>2026-10-07T08:55:33.000Z</t>
  </si>
  <si>
    <t>2026-10-07T08:55:30.000Z</t>
  </si>
  <si>
    <t>2026-10-07T08:53:54.000Z</t>
  </si>
  <si>
    <t>2026-10-07T08:51:25.000Z</t>
  </si>
  <si>
    <t>2026-10-07T08:51:09.000Z</t>
  </si>
  <si>
    <t>2026-10-07T08:44:08.000Z</t>
  </si>
  <si>
    <t>2026-10-07T08:43:54.000Z</t>
  </si>
  <si>
    <t>2026-10-07T08:43:14.000Z</t>
  </si>
  <si>
    <t>2026-10-07T08:30:34.000Z</t>
  </si>
  <si>
    <t>2026-10-07T08:29:46.000Z</t>
  </si>
  <si>
    <t>2026-10-07T08:20:31.000Z</t>
  </si>
  <si>
    <t>2026-10-07T08:20:28.000Z</t>
  </si>
  <si>
    <t>2026-10-07T08:09:19.000Z</t>
  </si>
  <si>
    <t>2026-10-07T08:09:03.000Z</t>
  </si>
  <si>
    <t>2026-10-07T08:07:33.000Z</t>
  </si>
  <si>
    <t>2026-10-07T07:56:22.000Z</t>
  </si>
  <si>
    <t>2026-10-07T13:11:45.000Z</t>
  </si>
  <si>
    <t>2026-10-07T13:09:46.000Z</t>
  </si>
  <si>
    <t>2026-10-07T13:08:00.000Z</t>
  </si>
  <si>
    <t>2026-10-07T12:21:18.000Z</t>
  </si>
  <si>
    <t>2026-10-07T12:16:13.000Z</t>
  </si>
  <si>
    <t>2026-10-07T11:58:58.000Z</t>
  </si>
  <si>
    <t>2026-10-07T11:51:00.000Z</t>
  </si>
  <si>
    <t>2026-10-07T11:40:38.000Z</t>
  </si>
  <si>
    <t>2026-10-07T11:34:45.000Z</t>
  </si>
  <si>
    <t>2026-10-07T11:33:52.000Z</t>
  </si>
  <si>
    <t>2026-10-07T10:48:26.000Z</t>
  </si>
  <si>
    <t>2026-10-07T10:47:08.000Z</t>
  </si>
  <si>
    <t>2026-10-07T10:44:31.000Z</t>
  </si>
  <si>
    <t>2026-10-07T10:33:27.000Z</t>
  </si>
  <si>
    <t>2026-10-07T09:39:45.000Z</t>
  </si>
  <si>
    <t>2026-10-07T09:38:43.000Z</t>
  </si>
  <si>
    <t>2026-10-07T09:31:21.000Z</t>
  </si>
  <si>
    <t>2026-10-07T09:09:25.000Z</t>
  </si>
  <si>
    <t>2026-10-08T01:35:51.000Z</t>
  </si>
  <si>
    <t>2026-10-07T16:40:04.000Z</t>
  </si>
  <si>
    <t>2026-10-07T16:33:20.000Z</t>
  </si>
  <si>
    <t>2026-10-07T15:45:32.000Z</t>
  </si>
  <si>
    <t>2026-10-07T15:45:06.000Z</t>
  </si>
  <si>
    <t>2026-10-07T15:24:54.000Z</t>
  </si>
  <si>
    <t>2026-10-07T13:52:53.000Z</t>
  </si>
  <si>
    <t>2026-10-07T13:52:13.000Z</t>
  </si>
  <si>
    <t>2026-10-07T13:51:42.000Z</t>
  </si>
  <si>
    <t>2026-10-07T13:40:20.000Z</t>
  </si>
  <si>
    <t>2026-10-08T09:21:17.000Z</t>
  </si>
  <si>
    <t>2026-10-08T09:20:02.000Z</t>
  </si>
  <si>
    <t>2026-10-08T09:15:52.000Z</t>
  </si>
  <si>
    <t>2026-10-08T09:10:47.000Z</t>
  </si>
  <si>
    <t>2026-10-08T09:05:12.000Z</t>
  </si>
  <si>
    <t>2026-10-08T09:03:49.000Z</t>
  </si>
  <si>
    <t>2026-10-08T08:32:17.000Z</t>
  </si>
  <si>
    <t>2026-10-08T08:16:53.000Z</t>
  </si>
  <si>
    <t>2026-10-08T08:16:07.000Z</t>
  </si>
  <si>
    <t>2026-10-08T08:15:46.000Z</t>
  </si>
  <si>
    <t>2026-10-08T08:15:13.000Z</t>
  </si>
  <si>
    <t>2026-10-08T08:03:24.000Z</t>
  </si>
  <si>
    <t>2026-10-08T07:50:29.000Z</t>
  </si>
  <si>
    <t>2026-10-08T07:43:33.000Z</t>
  </si>
  <si>
    <t>2026-10-08T07:38:41.000Z</t>
  </si>
  <si>
    <t>2026-10-08T07:29:05.000Z</t>
  </si>
  <si>
    <t>2026-10-08T07:26:24.000Z</t>
  </si>
  <si>
    <t>2026-10-08T07:00:29.000Z</t>
  </si>
  <si>
    <t>2026-10-08T06:59:47.000Z</t>
  </si>
  <si>
    <t>2026-10-08T06:59:06.000Z</t>
  </si>
  <si>
    <t>2026-10-08T06:45:05.000Z</t>
  </si>
  <si>
    <t>2026-10-08T06:41:07.000Z</t>
  </si>
  <si>
    <t>2026-10-08T06:35:41.000Z</t>
  </si>
  <si>
    <t>2026-10-08T06:35:31.000Z</t>
  </si>
  <si>
    <t>2026-10-08T06:34:43.000Z</t>
  </si>
  <si>
    <t>2026-10-08T06:32:26.000Z</t>
  </si>
  <si>
    <t>2026-10-08T06:08:53.000Z</t>
  </si>
  <si>
    <t>2026-10-06T06:50:57.000Z</t>
  </si>
  <si>
    <t>2026-10-06T06:50:51.000Z</t>
  </si>
  <si>
    <t>2026-10-06T06:48:13.000Z</t>
  </si>
  <si>
    <t>2026-10-01T08:03:55.000Z</t>
  </si>
  <si>
    <t>2026-10-01T08:03:33.000Z</t>
  </si>
  <si>
    <t>2026-10-01T08:03:25.000Z</t>
  </si>
  <si>
    <t>2026-10-08T08:17:40.000Z</t>
  </si>
  <si>
    <t>2026-10-08T08:16:20.000Z</t>
  </si>
  <si>
    <t>2026-10-08T08:15:08.000Z</t>
  </si>
  <si>
    <t>2026-10-08T07:59:01.000Z</t>
  </si>
  <si>
    <t>2026-10-08T10:35:13.000Z</t>
  </si>
  <si>
    <t>2026-10-08T10:34:23.000Z</t>
  </si>
  <si>
    <t>2026-10-08T10:25:30.000Z</t>
  </si>
  <si>
    <t>2026-10-08T10:24:00.000Z</t>
  </si>
  <si>
    <t>2026-10-08T10:01:43.000Z</t>
  </si>
  <si>
    <t>2026-10-08T10:00:59.000Z</t>
  </si>
  <si>
    <t>2026-10-08T10:00:53.000Z</t>
  </si>
  <si>
    <t>2026-10-08T10:00:32.000Z</t>
  </si>
  <si>
    <t>2026-10-08T09:57:47.000Z</t>
  </si>
  <si>
    <t>2026-10-08T09:52:37.000Z</t>
  </si>
  <si>
    <t>2026-10-08T09:52:28.000Z</t>
  </si>
  <si>
    <t>2026-10-08T09:46:21.000Z</t>
  </si>
  <si>
    <t>2026-10-08T09:46:20.000Z</t>
  </si>
  <si>
    <t>2026-10-08T09:46:18.000Z</t>
  </si>
  <si>
    <t>2026-10-08T09:21:59.000Z</t>
  </si>
  <si>
    <t>2026-10-08T09:15:49.000Z</t>
  </si>
  <si>
    <t>2026-10-08T09:15:46.000Z</t>
  </si>
  <si>
    <t>2026-10-08T09:07:47.000Z</t>
  </si>
  <si>
    <t>2026-10-08T09:03:15.000Z</t>
  </si>
  <si>
    <t>2026-10-08T09:03:14.000Z</t>
  </si>
  <si>
    <t>2026-10-08T09:46:33.000Z</t>
  </si>
  <si>
    <t>2026-10-08T09:46:17.000Z</t>
  </si>
  <si>
    <t>2026-10-08T09:37:21.000Z</t>
  </si>
  <si>
    <t>2026-10-08T09:28:46.000Z</t>
  </si>
  <si>
    <t>2026-10-08T09:27:59.000Z</t>
  </si>
  <si>
    <t>2026-10-08T09:03:16.000Z</t>
  </si>
  <si>
    <t>2026-10-12T05:58:43.000Z</t>
  </si>
  <si>
    <t>2026-10-12T05:58:30.000Z</t>
  </si>
  <si>
    <t>2026-10-12T05:58:07.000Z</t>
  </si>
  <si>
    <t>2026-10-10T13:10:38.000Z</t>
  </si>
  <si>
    <t>2026-10-10T13:09:59.000Z</t>
  </si>
  <si>
    <t>2026-10-10T13:09:39.000Z</t>
  </si>
  <si>
    <t>2026-10-10T12:51:56.000Z</t>
  </si>
  <si>
    <t>2026-10-10T11:21:48.000Z</t>
  </si>
  <si>
    <t>2026-10-10T10:53:35.000Z</t>
  </si>
  <si>
    <t>2026-10-10T09:37:59.000Z</t>
  </si>
  <si>
    <t>2026-10-10T09:33:44.000Z</t>
  </si>
  <si>
    <t>2026-10-09T13:31:37.000Z</t>
  </si>
  <si>
    <t>2026-10-09T13:05:57.000Z</t>
  </si>
  <si>
    <t>2026-10-09T13:05:30.000Z</t>
  </si>
  <si>
    <t>2026-10-09T13:05:04.000Z</t>
  </si>
  <si>
    <t>2026-10-09T12:48:49.000Z</t>
  </si>
  <si>
    <t>2026-10-09T12:48:07.000Z</t>
  </si>
  <si>
    <t>2026-10-09T12:42:30.000Z</t>
  </si>
  <si>
    <t>2026-10-09T12:27:32.000Z</t>
  </si>
  <si>
    <t>2026-10-09T12:26:37.000Z</t>
  </si>
  <si>
    <t>2026-10-09T12:24:09.000Z</t>
  </si>
  <si>
    <t>2026-10-09T12:22:54.000Z</t>
  </si>
  <si>
    <t>2026-10-09T12:22:45.000Z</t>
  </si>
  <si>
    <t>2026-10-09T12:11:32.000Z</t>
  </si>
  <si>
    <t>2026-10-09T12:11:22.000Z</t>
  </si>
  <si>
    <t>2026-10-09T12:11:14.000Z</t>
  </si>
  <si>
    <t>2026-10-09T12:03:59.000Z</t>
  </si>
  <si>
    <t>2026-10-09T11:58:35.000Z</t>
  </si>
  <si>
    <t>2026-10-09T11:56:50.000Z</t>
  </si>
  <si>
    <t>2026-10-09T11:34:50.000Z</t>
  </si>
  <si>
    <t>2026-10-09T10:46:05.000Z</t>
  </si>
  <si>
    <t>2026-10-09T10:45:46.000Z</t>
  </si>
  <si>
    <t>2026-10-09T10:40:16.000Z</t>
  </si>
  <si>
    <t>2026-10-09T10:22:38.000Z</t>
  </si>
  <si>
    <t>2026-10-09T10:22:05.000Z</t>
  </si>
  <si>
    <t>2026-10-09T10:21:29.000Z</t>
  </si>
  <si>
    <t>2026-10-09T10:20:44.000Z</t>
  </si>
  <si>
    <t>2026-10-09T10:01:39.000Z</t>
  </si>
  <si>
    <t>2026-10-09T09:14:19.000Z</t>
  </si>
  <si>
    <t>2026-10-09T09:14:03.000Z</t>
  </si>
  <si>
    <t>2026-10-09T09:13:54.000Z</t>
  </si>
  <si>
    <t>2026-10-09T09:13:44.000Z</t>
  </si>
  <si>
    <t>2026-10-09T08:50:08.000Z</t>
  </si>
  <si>
    <t>2026-10-09T08:50:05.000Z</t>
  </si>
  <si>
    <t>2026-10-09T08:30:30.000Z</t>
  </si>
  <si>
    <t>2026-10-09T08:19:58.000Z</t>
  </si>
  <si>
    <t>2026-10-09T08:14:05.000Z</t>
  </si>
  <si>
    <t>2026-10-09T08:13:46.000Z</t>
  </si>
  <si>
    <t>2026-10-09T07:58:38.000Z</t>
  </si>
  <si>
    <t>2026-10-09T07:55:41.000Z</t>
  </si>
  <si>
    <t>2026-10-09T07:54:18.000Z</t>
  </si>
  <si>
    <t>2026-10-09T07:52:29.000Z</t>
  </si>
  <si>
    <t>2026-10-09T07:37:03.000Z</t>
  </si>
  <si>
    <t>2026-10-09T07:24:22.000Z</t>
  </si>
  <si>
    <t>2026-10-09T07:23:13.000Z</t>
  </si>
  <si>
    <t>2026-10-09T07:03:49.000Z</t>
  </si>
  <si>
    <t>2026-10-09T06:55:35.000Z</t>
  </si>
  <si>
    <t>2026-10-09T05:55:02.000Z</t>
  </si>
  <si>
    <t>2026-10-09T05:16:55.000Z</t>
  </si>
  <si>
    <t>2026-10-09T05:07:52.000Z</t>
  </si>
  <si>
    <t>2026-10-08T19:20:41.000Z</t>
  </si>
  <si>
    <t>2026-10-08T19:19:43.000Z</t>
  </si>
  <si>
    <t>2026-10-08T19:19:39.000Z</t>
  </si>
  <si>
    <t>2026-10-08T18:56:34.000Z</t>
  </si>
  <si>
    <t>2026-10-08T16:40:40.000Z</t>
  </si>
  <si>
    <t>2026-10-08T16:26:12.000Z</t>
  </si>
  <si>
    <t>2026-10-08T15:05:24.000Z</t>
  </si>
  <si>
    <t>2026-10-08T14:32:52.000Z</t>
  </si>
  <si>
    <t>2026-10-08T14:32:44.000Z</t>
  </si>
  <si>
    <t>2026-10-08T14:32:37.000Z</t>
  </si>
  <si>
    <t>2026-10-08T13:33:02.000Z</t>
  </si>
  <si>
    <t>2026-10-08T12:56:19.000Z</t>
  </si>
  <si>
    <t>2026-10-08T12:55:37.000Z</t>
  </si>
  <si>
    <t>2026-10-08T12:33:16.000Z</t>
  </si>
  <si>
    <t>2026-10-08T12:32:06.000Z</t>
  </si>
  <si>
    <t>2026-10-08T12:31:43.000Z</t>
  </si>
  <si>
    <t>2026-10-08T12:30:47.000Z</t>
  </si>
  <si>
    <t>2026-10-08T12:30:41.000Z</t>
  </si>
  <si>
    <t>2026-10-08T12:30:33.000Z</t>
  </si>
  <si>
    <t>2026-10-08T12:30:32.000Z</t>
  </si>
  <si>
    <t>2026-10-08T12:30:12.000Z</t>
  </si>
  <si>
    <t>2026-10-08T12:28:05.000Z</t>
  </si>
  <si>
    <t>2026-10-08T12:26:32.000Z</t>
  </si>
  <si>
    <t>2026-10-08T12:09:56.000Z</t>
  </si>
  <si>
    <t>2026-10-08T12:06:25.000Z</t>
  </si>
  <si>
    <t>2026-10-08T11:50:49.000Z</t>
  </si>
  <si>
    <t>2026-10-08T11:40:06.000Z</t>
  </si>
  <si>
    <t>2026-10-08T11:38:15.000Z</t>
  </si>
  <si>
    <t>2026-10-08T11:23:38.000Z</t>
  </si>
  <si>
    <t>2026-10-08T11:23:31.000Z</t>
  </si>
  <si>
    <t>2026-10-08T11:07:47.000Z</t>
  </si>
  <si>
    <t>2026-10-08T11:04:35.000Z</t>
  </si>
  <si>
    <t>2026-10-08T11:03:04.000Z</t>
  </si>
  <si>
    <t>2026-10-08T10:35:36.000Z</t>
  </si>
  <si>
    <t>2026-10-07T09:32:24.000Z</t>
  </si>
  <si>
    <t>2026-10-07T09:32:17.000Z</t>
  </si>
  <si>
    <t>2026-10-07T09:32:07.000Z</t>
  </si>
  <si>
    <t>2026-10-11T19:20:34.000Z</t>
  </si>
  <si>
    <t>2026-10-11T16:20:35.000Z</t>
  </si>
  <si>
    <t>2026-10-11T16:10:55.000Z</t>
  </si>
  <si>
    <t>2026-10-11T16:09:05.000Z</t>
  </si>
  <si>
    <t>2026-10-10T10:35:25.000Z</t>
  </si>
  <si>
    <t>2026-10-10T10:34:49.000Z</t>
  </si>
  <si>
    <t>2026-10-10T10:34:22.000Z</t>
  </si>
  <si>
    <t>2026-10-10T10:18:31.000Z</t>
  </si>
  <si>
    <t>2026-10-10T08:46:28.000Z</t>
  </si>
  <si>
    <t>2026-10-09T15:11:59.000Z</t>
  </si>
  <si>
    <t>2026-10-09T15:07:45.000Z</t>
  </si>
  <si>
    <t>2026-10-09T15:06:07.000Z</t>
  </si>
  <si>
    <t>2026-10-09T14:56:01.000Z</t>
  </si>
  <si>
    <t>2026-10-09T13:12:14.000Z</t>
  </si>
  <si>
    <t>2026-10-09T11:45:58.000Z</t>
  </si>
  <si>
    <t>2026-10-09T11:24:36.000Z</t>
  </si>
  <si>
    <t>2026-10-09T11:22:30.000Z</t>
  </si>
  <si>
    <t>2026-10-09T08:59:51.000Z</t>
  </si>
  <si>
    <t>2026-10-09T08:54:23.000Z</t>
  </si>
  <si>
    <t>2026-10-09T07:16:47.000Z</t>
  </si>
  <si>
    <t>2026-10-09T06:54:08.000Z</t>
  </si>
  <si>
    <t>2026-10-09T06:51:24.000Z</t>
  </si>
  <si>
    <t>2026-10-09T06:45:14.000Z</t>
  </si>
  <si>
    <t>2026-10-09T06:44:01.000Z</t>
  </si>
  <si>
    <t>2026-10-09T06:38:21.000Z</t>
  </si>
  <si>
    <t>2026-10-09T05:48:25.000Z</t>
  </si>
  <si>
    <t>2026-10-08T16:51:49.000Z</t>
  </si>
  <si>
    <t>2026-10-08T16:24:58.000Z</t>
  </si>
  <si>
    <t>2026-10-08T15:33:35.000Z</t>
  </si>
  <si>
    <t>2026-10-08T15:33:11.000Z</t>
  </si>
  <si>
    <t>2026-10-08T15:32:49.000Z</t>
  </si>
  <si>
    <t>2026-10-08T15:17:58.000Z</t>
  </si>
  <si>
    <t>2026-10-08T13:14:41.000Z</t>
  </si>
  <si>
    <t>2026-10-08T13:14:17.000Z</t>
  </si>
  <si>
    <t>2026-10-08T13:13:45.000Z</t>
  </si>
  <si>
    <t>2026-10-08T13:02:31.000Z</t>
  </si>
  <si>
    <t>2026-10-08T13:01:37.000Z</t>
  </si>
  <si>
    <t>2026-10-08T13:00:32.000Z</t>
  </si>
  <si>
    <t>2026-10-08T12:55:33.000Z</t>
  </si>
  <si>
    <t>2026-10-08T12:51:21.000Z</t>
  </si>
  <si>
    <t>2026-10-08T12:38:03.000Z</t>
  </si>
  <si>
    <t>2026-10-08T12:36:21.000Z</t>
  </si>
  <si>
    <t>2026-10-08T12:33:00.000Z</t>
  </si>
  <si>
    <t>2026-10-08T12:32:27.000Z</t>
  </si>
  <si>
    <t>2026-10-08T12:28:55.000Z</t>
  </si>
  <si>
    <t>2026-10-08T12:20:57.000Z</t>
  </si>
  <si>
    <t>2026-10-08T11:37:50.000Z</t>
  </si>
  <si>
    <t>2026-10-08T11:35:32.000Z</t>
  </si>
  <si>
    <t>2026-10-08T11:32:55.000Z</t>
  </si>
  <si>
    <t>2026-10-08T10:53:52.000Z</t>
  </si>
  <si>
    <t>2026-10-12T08:42:39.000Z</t>
  </si>
  <si>
    <t>2026-10-12T07:21:38.000Z</t>
  </si>
  <si>
    <t>2026-10-12T08:10:51.000Z</t>
  </si>
  <si>
    <t>2026-10-12T08:02:07.000Z</t>
  </si>
  <si>
    <t>2026-10-12T08:00:59.000Z</t>
  </si>
  <si>
    <t>2026-10-12T07:59:16.000Z</t>
  </si>
  <si>
    <t>2026-10-12T07:47:30.000Z</t>
  </si>
  <si>
    <t>2026-10-12T06:56:29.000Z</t>
  </si>
  <si>
    <t>2026-10-12T06:56:15.000Z</t>
  </si>
  <si>
    <t>2026-10-12T17:55:43.000Z</t>
  </si>
  <si>
    <t>2026-10-12T17:15:14.000Z</t>
  </si>
  <si>
    <t>2026-10-12T13:02:21.000Z</t>
  </si>
  <si>
    <t>2026-10-12T13:02:09.000Z</t>
  </si>
  <si>
    <t>2026-10-12T13:01:54.000Z</t>
  </si>
  <si>
    <t>2026-10-12T12:37:08.000Z</t>
  </si>
  <si>
    <t>2026-10-12T12:21:19.000Z</t>
  </si>
  <si>
    <t>2026-10-12T12:06:15.000Z</t>
  </si>
  <si>
    <t>2026-10-12T11:55:26.000Z</t>
  </si>
  <si>
    <t>2026-10-12T11:40:39.000Z</t>
  </si>
  <si>
    <t>2026-10-12T11:40:31.000Z</t>
  </si>
  <si>
    <t>2026-10-12T11:40:22.000Z</t>
  </si>
  <si>
    <t>2026-10-12T11:29:46.000Z</t>
  </si>
  <si>
    <t>2026-10-12T11:24:47.000Z</t>
  </si>
  <si>
    <t>2026-10-12T11:06:59.000Z</t>
  </si>
  <si>
    <t>2026-10-12T10:04:37.000Z</t>
  </si>
  <si>
    <t>2026-10-12T10:04:08.000Z</t>
  </si>
  <si>
    <t>2026-10-12T10:02:20.000Z</t>
  </si>
  <si>
    <t>2026-10-12T09:46:47.000Z</t>
  </si>
  <si>
    <t>2026-10-12T09:25:25.000Z</t>
  </si>
  <si>
    <t>2026-10-12T09:05:35.000Z</t>
  </si>
  <si>
    <t>2026-10-13T08:09:07.000Z</t>
  </si>
  <si>
    <t>2026-10-13T07:35:23.000Z</t>
  </si>
  <si>
    <t>2026-10-13T07:01:40.000Z</t>
  </si>
  <si>
    <t>2026-10-13T06:54:49.000Z</t>
  </si>
  <si>
    <t>2026-10-13T09:56:58.000Z</t>
  </si>
  <si>
    <t>2026-10-13T10:19:00.000Z</t>
  </si>
  <si>
    <t>2026-10-13T10:18:37.000Z</t>
  </si>
  <si>
    <t>2026-10-13T10:18:20.000Z</t>
  </si>
  <si>
    <t>2026-10-13T09:53:15.000Z</t>
  </si>
  <si>
    <t>2026-10-13T09:50:40.000Z</t>
  </si>
  <si>
    <t>2026-10-13T12:27:24.000Z</t>
  </si>
  <si>
    <t>2026-10-13T12:26:36.000Z</t>
  </si>
  <si>
    <t>2026-10-13T12:25:54.000Z</t>
  </si>
  <si>
    <t>2026-10-13T12:23:56.000Z</t>
  </si>
  <si>
    <t>2026-10-13T12:21:50.000Z</t>
  </si>
  <si>
    <t>2026-10-13T12:13:59.000Z</t>
  </si>
  <si>
    <t>2026-10-13T12:13:25.000Z</t>
  </si>
  <si>
    <t>2026-10-13T12:00:15.000Z</t>
  </si>
  <si>
    <t>2026-10-13T11:24:13.000Z</t>
  </si>
  <si>
    <t>2026-10-13T11:23:43.000Z</t>
  </si>
  <si>
    <t>2026-10-13T11:22:33.000Z</t>
  </si>
  <si>
    <t>2026-10-13T10:59:59.000Z</t>
  </si>
  <si>
    <t>2026-10-13T21:32:33.000Z</t>
  </si>
  <si>
    <t>2026-10-13T21:31:48.000Z</t>
  </si>
  <si>
    <t>2026-10-13T21:31:08.000Z</t>
  </si>
  <si>
    <t>2026-10-13T21:04:12.000Z</t>
  </si>
  <si>
    <t>2026-10-13T20:10:47.000Z</t>
  </si>
  <si>
    <t>2026-10-13T20:10:24.000Z</t>
  </si>
  <si>
    <t>2026-10-13T20:09:11.000Z</t>
  </si>
  <si>
    <t>2026-10-13T19:45:27.000Z</t>
  </si>
  <si>
    <t>2026-10-13T19:19:36.000Z</t>
  </si>
  <si>
    <t>2026-10-13T19:19:10.000Z</t>
  </si>
  <si>
    <t>2026-10-13T19:18:33.000Z</t>
  </si>
  <si>
    <t>2026-10-13T19:16:24.000Z</t>
  </si>
  <si>
    <t>2026-10-13T19:16:14.000Z</t>
  </si>
  <si>
    <t>2026-10-13T19:15:45.000Z</t>
  </si>
  <si>
    <t>2026-10-13T18:55:09.000Z</t>
  </si>
  <si>
    <t>2026-10-13T18:45:21.000Z</t>
  </si>
  <si>
    <t>2026-10-14T07:53:24.000Z</t>
  </si>
  <si>
    <t>2026-10-14T07:26:41.000Z</t>
  </si>
  <si>
    <t>2026-10-14T08:24:08.000Z</t>
  </si>
  <si>
    <t>2026-10-14T08:23:52.000Z</t>
  </si>
  <si>
    <t>2026-10-14T08:23:16.000Z</t>
  </si>
  <si>
    <t>2026-10-14T07:56:49.000Z</t>
  </si>
  <si>
    <t>2026-10-14T07:01:52.000Z</t>
  </si>
  <si>
    <t>2026-10-14T06:52:23.000Z</t>
  </si>
  <si>
    <t>2026-10-14T06:51:57.000Z</t>
  </si>
  <si>
    <t>2026-10-14T06:51:24.000Z</t>
  </si>
  <si>
    <t>2026-10-14T06:17:56.000Z</t>
  </si>
  <si>
    <t>2026-10-14T09:19:24.000Z</t>
  </si>
  <si>
    <t>2026-10-14T09:19:00.000Z</t>
  </si>
  <si>
    <t>2026-10-14T09:17:48.000Z</t>
  </si>
  <si>
    <t>2026-10-14T08:38:32.000Z</t>
  </si>
  <si>
    <t>2026-10-14T09:40:50.000Z</t>
  </si>
  <si>
    <t>2026-10-14T09:40:31.000Z</t>
  </si>
  <si>
    <t>2026-10-14T09:39:50.000Z</t>
  </si>
  <si>
    <t>2026-10-14T09:14:50.000Z</t>
  </si>
  <si>
    <t>2026-10-14T10:43:38.000Z</t>
  </si>
  <si>
    <t>2026-10-14T10:43:25.000Z</t>
  </si>
  <si>
    <t>2026-10-14T10:43:04.000Z</t>
  </si>
  <si>
    <t>2026-10-14T10:42:27.000Z</t>
  </si>
  <si>
    <t>2026-10-14T10:41:55.000Z</t>
  </si>
  <si>
    <t>2026-10-14T10:41:32.000Z</t>
  </si>
  <si>
    <t>2026-10-14T10:40:36.000Z</t>
  </si>
  <si>
    <t>2026-10-14T10:15:54.000Z</t>
  </si>
  <si>
    <t>2026-10-14T10:11:38.000Z</t>
  </si>
  <si>
    <t>2026-10-14T11:41:02.000Z</t>
  </si>
  <si>
    <t>2026-10-14T11:40:51.000Z</t>
  </si>
  <si>
    <t>2026-10-14T11:39:32.000Z</t>
  </si>
  <si>
    <t>2026-10-14T11:14:16.000Z</t>
  </si>
  <si>
    <t>2026-10-14T18:22:10.000Z</t>
  </si>
  <si>
    <t>2026-10-15T07:30:32.000Z</t>
  </si>
  <si>
    <t>2026-10-15T07:29:57.000Z</t>
  </si>
  <si>
    <t>2026-10-15T07:29:00.000Z</t>
  </si>
  <si>
    <t>2026-10-15T06:52:54.000Z</t>
  </si>
  <si>
    <t>2026-10-14T21:37:12.000Z</t>
  </si>
  <si>
    <t>2026-10-14T19:28:17.000Z</t>
  </si>
  <si>
    <t>2026-10-14T19:28:00.000Z</t>
  </si>
  <si>
    <t>2026-10-14T19:26:49.000Z</t>
  </si>
  <si>
    <t>2026-10-14T18:59:14.000Z</t>
  </si>
  <si>
    <t>2026-10-14T18:14:49.000Z</t>
  </si>
  <si>
    <t>2026-10-14T18:14:36.000Z</t>
  </si>
  <si>
    <t>2026-10-14T18:14:24.000Z</t>
  </si>
  <si>
    <t>2026-10-14T17:50:54.000Z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</si>
</sst>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dd\-mmm\-yyyy"/>
  </numFmts>
  <fonts count="33" x14ac:knownFonts="1">
    <font>
      <sz val="11"/>
      <color theme="1"/>
      <name val="Calibri"/>
      <family val="2"/>
      <charset val="1"/>
    </font>
    <font>
      <sz val="10"/>
      <name val="Arial"/>
      <family val="2"/>
    </font>
    <font>
      <b/>
      <sz val="16"/>
      <color rgb="FF1F3864"/>
      <name val="Arial"/>
      <family val="2"/>
    </font>
    <font>
      <i/>
      <sz val="10"/>
      <color rgb="FF595959"/>
      <name val="Arial"/>
      <family val="2"/>
    </font>
    <font>
      <b/>
      <sz val="10"/>
      <color rgb="FF000000"/>
      <name val="Arial"/>
      <family val="2"/>
    </font>
    <font>
      <sz val="10"/>
      <color rgb="FF0000FF"/>
      <name val="Arial"/>
      <family val="2"/>
    </font>
    <font>
      <i/>
      <sz val="9"/>
      <color rgb="FF595959"/>
      <name val="Arial"/>
      <family val="2"/>
    </font>
    <font>
      <b/>
      <sz val="10"/>
      <color rgb="FFFFFFFF"/>
      <name val="Arial"/>
      <family val="2"/>
    </font>
    <font>
      <b/>
      <sz val="18"/>
      <color rgb="FF1F3864"/>
      <name val="Arial"/>
      <family val="2"/>
    </font>
    <font>
      <b/>
      <sz val="18"/>
      <color rgb="FFC55A11"/>
      <name val="Arial"/>
      <family val="2"/>
    </font>
    <font>
      <i/>
      <sz val="8"/>
      <color rgb="FF595959"/>
      <name val="Arial"/>
      <family val="2"/>
    </font>
    <font>
      <b/>
      <sz val="10"/>
      <color rgb="FF1F3864"/>
      <name val="Arial"/>
      <family val="2"/>
    </font>
    <font>
      <sz val="10"/>
      <color rgb="FF000000"/>
      <name val="Arial"/>
      <family val="2"/>
    </font>
    <font>
      <b/>
      <sz val="9"/>
      <color rgb="FF595959"/>
      <name val="Arial"/>
      <family val="2"/>
    </font>
    <font>
      <b/>
      <sz val="12"/>
      <color rgb="FF1F3864"/>
      <name val="Arial"/>
      <family val="2"/>
    </font>
    <font>
      <b/>
      <sz val="11"/>
      <name val="Arial"/>
      <family val="2"/>
    </font>
    <font>
      <sz val="11"/>
      <name val="Arial"/>
      <family val="2"/>
    </font>
    <font>
      <b/>
      <sz val="10"/>
      <color rgb="FF0000FF"/>
      <name val="Arial"/>
      <family val="2"/>
    </font>
    <font>
      <sz val="10"/>
      <color rgb="FF008000"/>
      <name val="Arial"/>
      <family val="2"/>
    </font>
    <font>
      <sz val="11"/>
      <color rgb="FF0000FF"/>
      <name val="Arial"/>
      <family val="2"/>
    </font>
    <font>
      <sz val="11"/>
      <color rgb="FF008000"/>
      <name val="Arial"/>
      <family val="2"/>
    </font>
    <font>
      <i/>
      <sz val="9"/>
      <color rgb="FFC55A11"/>
      <name val="Arial"/>
      <family val="2"/>
    </font>
    <font>
      <b/>
      <sz val="11"/>
      <color rgb="FF000000"/>
      <name val="Arial"/>
      <family val="2"/>
    </font>
    <font>
      <sz val="11"/>
      <color rgb="FF000000"/>
      <name val="Arial"/>
      <family val="2"/>
    </font>
    <font>
      <b/>
      <sz val="10"/>
      <color rgb="FF008000"/>
      <name val="Arial"/>
      <family val="2"/>
    </font>
    <font>
      <b/>
      <sz val="14"/>
      <color rgb="FF1F3864"/>
      <name val="Arial"/>
      <family val="2"/>
    </font>
    <font>
      <sz val="9"/>
      <name val="Arial"/>
      <family val="2"/>
    </font>
    <font>
      <sz val="10"/>
      <color rgb="FF1F3864"/>
      <name val="Arial"/>
      <family val="2"/>
    </font>
    <font>
      <b/>
      <sz val="10"/>
      <color rgb="FF548235"/>
      <name val="Arial"/>
      <family val="2"/>
    </font>
    <font>
      <sz val="9"/>
      <color rgb="FF1F3864"/>
      <name val="Consolas"/>
      <family val="3"/>
    </font>
    <font>
      <sz val="9"/>
      <color rgb="FF000000"/>
      <name val="Arial"/>
      <family val="2"/>
    </font>
    <font>
      <sz val="9"/>
      <color rgb="FF595959"/>
      <name val="Arial"/>
      <family val="2"/>
    </font>
    <font>
      <sz val="9"/>
      <color rgb="FF0000FF"/>
      <name val="Arial"/>
      <family val="2"/>
    </font>
  </fonts>
  <fills count="13">
    <fill>
      <patternFill patternType="none"/>
    </fill>
    <fill>
      <patternFill patternType="gray125"/>
    </fill>
    <fill>
      <patternFill patternType="solid">
        <fgColor rgb="FFFFFF00"/>
        <bgColor rgb="FFFFFF00"/>
      </patternFill>
    </fill>
    <fill>
      <patternFill patternType="solid">
        <fgColor rgb="FF2F5597"/>
        <bgColor rgb="FF1F3864"/>
      </patternFill>
    </fill>
    <fill>
      <patternFill patternType="solid">
        <fgColor rgb="FFC55A11"/>
        <bgColor rgb="FF9C5700"/>
      </patternFill>
    </fill>
    <fill>
      <patternFill patternType="solid">
        <fgColor rgb="FFD9E2F3"/>
        <bgColor rgb="FFD9D9D9"/>
      </patternFill>
    </fill>
    <fill>
      <patternFill patternType="solid">
        <fgColor rgb="FFFBE5D6"/>
        <bgColor rgb="FFFFF2CC"/>
      </patternFill>
    </fill>
    <fill>
      <patternFill patternType="solid">
        <fgColor rgb="FF1F3864"/>
        <bgColor rgb="FF333333"/>
      </patternFill>
    </fill>
    <fill>
      <patternFill patternType="solid">
        <fgColor rgb="FFFFF2CC"/>
        <bgColor rgb="FFFBE5D6"/>
      </patternFill>
    </fill>
    <fill>
      <patternFill patternType="solid">
        <fgColor rgb="FFF2F2F2"/>
        <bgColor rgb="FFFFFFFF"/>
      </patternFill>
    </fill>
    <fill>
      <patternFill patternType="solid">
        <fgColor rgb="FF7F7F7F"/>
        <bgColor rgb="FF878787"/>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82">
    <xf numFmtId="0" fontId="0" fillId="0" borderId="0" xfId="0"/>
    <xf numFmtId="0" fontId="7" fillId="7"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7" fillId="3" borderId="1" xfId="0" applyFont="1" applyFill="1" applyBorder="1" applyAlignment="1">
      <alignment horizontal="center" vertical="center" wrapText="1"/>
    </xf>
    <xf numFmtId="0" fontId="11" fillId="5" borderId="1" xfId="0" applyFont="1" applyFill="1" applyBorder="1" applyAlignment="1">
      <alignment horizontal="left" vertical="center"/>
    </xf>
    <xf numFmtId="0" fontId="11" fillId="5" borderId="1" xfId="0" applyFont="1" applyFill="1" applyBorder="1" applyAlignment="1">
      <alignment horizontal="center" vertical="center"/>
    </xf>
    <xf numFmtId="164" fontId="11" fillId="5" borderId="1" xfId="0" applyNumberFormat="1" applyFont="1" applyFill="1" applyBorder="1" applyAlignment="1">
      <alignment horizontal="center" vertic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164" fontId="12" fillId="0" borderId="1" xfId="0" applyNumberFormat="1" applyFont="1" applyBorder="1" applyAlignment="1">
      <alignment horizontal="center" vertical="center"/>
    </xf>
    <xf numFmtId="0" fontId="7" fillId="7" borderId="1" xfId="0" applyFont="1" applyFill="1" applyBorder="1" applyAlignment="1">
      <alignment horizontal="left" vertical="center"/>
    </xf>
    <xf numFmtId="0" fontId="7" fillId="7" borderId="1" xfId="0" applyFont="1" applyFill="1" applyBorder="1" applyAlignment="1">
      <alignment horizontal="center" vertical="center"/>
    </xf>
    <xf numFmtId="164" fontId="7" fillId="7" borderId="1" xfId="0" applyNumberFormat="1" applyFont="1" applyFill="1" applyBorder="1" applyAlignment="1">
      <alignment horizontal="center" vertical="center"/>
    </xf>
    <xf numFmtId="0" fontId="13" fillId="0" borderId="0" xfId="0" applyFont="1" applyAlignment="1">
      <alignment vertical="center"/>
    </xf>
    <xf numFmtId="0" fontId="6" fillId="0" borderId="0" xfId="0" applyFont="1" applyAlignment="1">
      <alignment vertical="center"/>
    </xf>
    <xf numFmtId="0" fontId="14" fillId="0" borderId="0" xfId="0" applyFont="1" applyAlignment="1">
      <alignment vertical="center"/>
    </xf>
    <xf numFmtId="0" fontId="15" fillId="0" borderId="1" xfId="0" applyFont="1" applyBorder="1" applyAlignment="1">
      <alignment horizontal="left"/>
    </xf>
    <xf numFmtId="0" fontId="16" fillId="0" borderId="1" xfId="0" applyFont="1" applyBorder="1" applyAlignment="1">
      <alignment horizontal="center"/>
    </xf>
    <xf numFmtId="164" fontId="16" fillId="0" borderId="1" xfId="0" applyNumberFormat="1" applyFont="1" applyBorder="1" applyAlignment="1">
      <alignment horizontal="center"/>
    </xf>
    <xf numFmtId="0" fontId="17" fillId="2" borderId="0" xfId="0" applyFont="1" applyFill="1" applyAlignment="1">
      <alignment horizontal="center" vertical="center"/>
    </xf>
    <xf numFmtId="9" fontId="19" fillId="0" borderId="1" xfId="0" applyNumberFormat="1" applyFont="1" applyBorder="1" applyAlignment="1">
      <alignment horizontal="center"/>
    </xf>
    <xf numFmtId="0" fontId="19" fillId="0" borderId="1" xfId="0" applyFont="1" applyBorder="1" applyAlignment="1">
      <alignment horizontal="left"/>
    </xf>
    <xf numFmtId="0" fontId="18" fillId="0" borderId="0" xfId="0" applyFont="1" applyAlignment="1">
      <alignment vertical="center"/>
    </xf>
    <xf numFmtId="0" fontId="20" fillId="0" borderId="1" xfId="0" applyFont="1" applyBorder="1" applyAlignment="1">
      <alignment horizontal="center"/>
    </xf>
    <xf numFmtId="0" fontId="16" fillId="0" borderId="1" xfId="0" applyFont="1" applyBorder="1" applyAlignment="1">
      <alignment horizontal="left"/>
    </xf>
    <xf numFmtId="164" fontId="15" fillId="0" borderId="1" xfId="0" applyNumberFormat="1" applyFont="1" applyBorder="1" applyAlignment="1">
      <alignment horizontal="center"/>
    </xf>
    <xf numFmtId="0" fontId="15" fillId="0" borderId="1" xfId="0" applyFont="1" applyBorder="1" applyAlignment="1">
      <alignment horizontal="center"/>
    </xf>
    <xf numFmtId="9" fontId="11" fillId="5" borderId="1" xfId="0" applyNumberFormat="1" applyFont="1" applyFill="1" applyBorder="1" applyAlignment="1">
      <alignment horizontal="center" vertical="center"/>
    </xf>
    <xf numFmtId="165" fontId="11" fillId="5" borderId="1" xfId="0" applyNumberFormat="1" applyFont="1" applyFill="1" applyBorder="1" applyAlignment="1">
      <alignment horizontal="center" vertical="center"/>
    </xf>
    <xf numFmtId="1" fontId="11" fillId="5" borderId="1" xfId="0" applyNumberFormat="1" applyFont="1" applyFill="1" applyBorder="1" applyAlignment="1">
      <alignment horizontal="center" vertical="center"/>
    </xf>
    <xf numFmtId="0" fontId="21" fillId="0" borderId="0" xfId="0" applyFont="1" applyAlignment="1">
      <alignment vertical="center"/>
    </xf>
    <xf numFmtId="0" fontId="22" fillId="0" borderId="1" xfId="0" applyFont="1" applyBorder="1" applyAlignment="1">
      <alignment horizontal="left"/>
    </xf>
    <xf numFmtId="0" fontId="19" fillId="0" borderId="1" xfId="0" applyFont="1" applyBorder="1" applyAlignment="1">
      <alignment horizontal="center"/>
    </xf>
    <xf numFmtId="166" fontId="20" fillId="0" borderId="1" xfId="0" applyNumberFormat="1" applyFont="1" applyBorder="1" applyAlignment="1">
      <alignment horizontal="center"/>
    </xf>
    <xf numFmtId="165" fontId="20" fillId="0" borderId="1" xfId="0" applyNumberFormat="1" applyFont="1" applyBorder="1" applyAlignment="1">
      <alignment horizontal="center"/>
    </xf>
    <xf numFmtId="164" fontId="19" fillId="8" borderId="1" xfId="0" applyNumberFormat="1" applyFont="1" applyFill="1" applyBorder="1" applyAlignment="1">
      <alignment horizontal="center"/>
    </xf>
    <xf numFmtId="164" fontId="23" fillId="0" borderId="1" xfId="0" applyNumberFormat="1" applyFont="1" applyBorder="1" applyAlignment="1">
      <alignment horizontal="center"/>
    </xf>
    <xf numFmtId="0" fontId="23" fillId="0" borderId="1" xfId="0" applyFont="1" applyBorder="1" applyAlignment="1">
      <alignment horizontal="center"/>
    </xf>
    <xf numFmtId="165" fontId="23" fillId="0" borderId="1" xfId="0" applyNumberFormat="1" applyFont="1" applyBorder="1" applyAlignment="1">
      <alignment horizontal="center"/>
    </xf>
    <xf numFmtId="165" fontId="7" fillId="7" borderId="1" xfId="0" applyNumberFormat="1" applyFont="1" applyFill="1" applyBorder="1" applyAlignment="1">
      <alignment horizontal="center" vertical="center"/>
    </xf>
    <xf numFmtId="0" fontId="24" fillId="0" borderId="0" xfId="0" applyFont="1" applyAlignment="1">
      <alignment horizontal="center" vertical="center"/>
    </xf>
    <xf numFmtId="0" fontId="25" fillId="0" borderId="0" xfId="0" applyFont="1" applyAlignment="1">
      <alignment vertical="center"/>
    </xf>
    <xf numFmtId="0" fontId="26" fillId="0" borderId="1" xfId="0" applyFont="1" applyBorder="1" applyAlignment="1">
      <alignment horizontal="left"/>
    </xf>
    <xf numFmtId="0" fontId="26" fillId="0" borderId="1" xfId="0" applyFont="1" applyBorder="1" applyAlignment="1">
      <alignment horizontal="center"/>
    </xf>
    <xf numFmtId="0" fontId="11" fillId="0" borderId="0" xfId="0" applyFont="1" applyAlignment="1">
      <alignment horizontal="left" vertical="center"/>
    </xf>
    <xf numFmtId="0" fontId="27" fillId="0" borderId="0" xfId="0" applyFont="1" applyAlignment="1">
      <alignment vertical="center"/>
    </xf>
    <xf numFmtId="0" fontId="28" fillId="0" borderId="0" xfId="0" applyFont="1" applyAlignment="1">
      <alignment vertical="center"/>
    </xf>
    <xf numFmtId="0" fontId="29" fillId="9" borderId="0" xfId="0" applyFont="1" applyFill="1"/>
    <xf numFmtId="0" fontId="7" fillId="3" borderId="0" xfId="0" applyFont="1" applyFill="1" applyAlignment="1">
      <alignment vertical="center"/>
    </xf>
    <xf numFmtId="0" fontId="5" fillId="0" borderId="1" xfId="0" applyFont="1" applyBorder="1" applyAlignment="1">
      <alignment vertical="center"/>
    </xf>
    <xf numFmtId="0" fontId="7" fillId="10" borderId="0" xfId="0" applyFont="1" applyFill="1" applyAlignment="1">
      <alignment horizontal="center" vertical="center" wrapText="1"/>
    </xf>
    <xf numFmtId="0" fontId="30" fillId="0" borderId="0" xfId="0" applyFont="1"/>
    <xf numFmtId="0" fontId="31" fillId="0" borderId="0" xfId="0" applyFont="1"/>
    <xf numFmtId="0" fontId="7" fillId="4" borderId="0" xfId="0" applyFont="1" applyFill="1" applyAlignment="1">
      <alignment horizontal="center" vertical="center"/>
    </xf>
    <xf numFmtId="0" fontId="32" fillId="0" borderId="1" xfId="0" applyFont="1" applyBorder="1" applyAlignment="1">
      <alignment vertical="top"/>
    </xf>
    <xf numFmtId="0" fontId="32" fillId="0" borderId="1" xfId="0" applyFont="1" applyBorder="1" applyAlignment="1">
      <alignment vertical="top" wrapText="1"/>
    </xf>
    <xf numFmtId="166" fontId="32" fillId="0" borderId="1" xfId="0" applyNumberFormat="1" applyFont="1" applyBorder="1" applyAlignment="1">
      <alignment vertical="top"/>
    </xf>
    <xf numFmtId="3" fontId="32" fillId="0" borderId="1" xfId="0" applyNumberFormat="1" applyFont="1" applyBorder="1" applyAlignment="1">
      <alignment vertical="top"/>
    </xf>
    <xf numFmtId="166" fontId="32" fillId="0" borderId="1" xfId="0" applyNumberFormat="1" applyFont="1" applyBorder="1"/>
    <xf numFmtId="0" fontId="26" fillId="0" borderId="0" xfId="0" applyFont="1"/>
    <xf numFmtId="0" fontId="26" fillId="11" borderId="1" xfId="0" applyFont="1" applyFill="1" applyBorder="1" applyAlignment="1">
      <alignment horizontal="left"/>
    </xf>
    <xf numFmtId="0" fontId="26" fillId="12" borderId="1" xfId="0" applyFont="1" applyFill="1" applyBorder="1" applyAlignment="1">
      <alignment horizontal="left"/>
    </xf>
    <xf numFmtId="0" fontId="7" fillId="4" borderId="1" xfId="0" applyFont="1" applyFill="1" applyBorder="1" applyAlignment="1">
      <alignment horizontal="center" vertical="center"/>
    </xf>
    <xf numFmtId="164" fontId="8" fillId="5" borderId="1" xfId="0" applyNumberFormat="1" applyFont="1" applyFill="1" applyBorder="1" applyAlignment="1">
      <alignment horizontal="center" vertical="center"/>
    </xf>
    <xf numFmtId="17" fontId="5" fillId="2" borderId="0" xfId="0" applyNumberFormat="1" applyFont="1" applyFill="1" applyAlignment="1">
      <alignment horizontal="center" vertical="center"/>
    </xf>
    <xf numFmtId="0" fontId="5" fillId="2" borderId="0" xfId="0" applyFont="1" applyFill="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7" borderId="1" xfId="0" applyFont="1" applyFill="1" applyBorder="1" applyAlignment="1">
      <alignment horizontal="center" vertical="center" wrapText="1"/>
    </xf>
    <xf numFmtId="0" fontId="2" fillId="0" borderId="0" xfId="0" applyFont="1" applyAlignment="1">
      <alignment horizontal="center" vertical="center" wrapText="1"/>
    </xf>
    <xf numFmtId="9" fontId="9" fillId="6" borderId="1" xfId="0" applyNumberFormat="1" applyFont="1" applyFill="1" applyBorder="1" applyAlignment="1">
      <alignment horizontal="center" vertical="center"/>
    </xf>
    <xf numFmtId="0" fontId="10" fillId="0" borderId="0" xfId="0" applyFont="1" applyAlignment="1">
      <alignment horizontal="center" vertical="center"/>
    </xf>
    <xf numFmtId="1" fontId="8" fillId="5" borderId="1" xfId="0" applyNumberFormat="1" applyFont="1" applyFill="1" applyBorder="1" applyAlignment="1">
      <alignment horizontal="center" vertical="center"/>
    </xf>
    <xf numFmtId="0" fontId="18" fillId="0" borderId="0" xfId="0" applyFont="1" applyAlignment="1">
      <alignment vertical="center" wrapText="1"/>
    </xf>
    <xf numFmtId="0" fontId="7" fillId="4" borderId="0" xfId="0" applyFont="1" applyFill="1" applyAlignment="1">
      <alignment vertical="center"/>
    </xf>
    <xf numFmtId="165" fontId="18" fillId="0" borderId="0" xfId="0" applyNumberFormat="1" applyFont="1" applyAlignment="1">
      <alignment vertical="center" wrapText="1"/>
    </xf>
    <xf numFmtId="0" fontId="5" fillId="2" borderId="0" xfId="0" applyFont="1" applyFill="1" applyAlignment="1">
      <alignment vertical="center"/>
    </xf>
    <xf numFmtId="0" fontId="12" fillId="0" borderId="0" xfId="0" applyFont="1" applyAlignment="1">
      <alignment vertical="center" wrapText="1"/>
    </xf>
  </cellXfs>
  <cellStyles count="1">
    <cellStyle name="Normal" xfId="0" builtinId="0"/>
  </cellStyles>
  <dxfs count="49">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ont>
        <sz val="9"/>
        <color auto="1"/>
        <name val="Arial"/>
        <family val="2"/>
      </font>
      <numFmt numFmtId="0" formatCode="General"/>
    </dxf>
    <dxf>
      <fill>
        <patternFill>
          <bgColor rgb="FFFFC7CE"/>
        </patternFill>
      </fill>
    </dxf>
    <dxf>
      <fill>
        <patternFill>
          <bgColor rgb="FFC6EFCE"/>
        </patternFill>
      </fill>
    </dxf>
    <dxf>
      <font>
        <b/>
        <color rgb="FF9C0006"/>
        <name val="Arial"/>
        <charset val="1"/>
      </font>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font>
        <b/>
        <i val="0"/>
        <strike val="0"/>
        <condense val="0"/>
        <extend val="0"/>
        <outline val="0"/>
        <shadow val="0"/>
        <u val="none"/>
        <vertAlign val="baseline"/>
        <sz val="10"/>
        <color rgb="FFFFFFFF"/>
        <name val="Arial"/>
        <family val="2"/>
        <scheme val="none"/>
      </font>
      <fill>
        <patternFill patternType="solid">
          <fgColor rgb="FF9C5700"/>
          <bgColor rgb="FFC55A11"/>
        </patternFill>
      </fill>
      <alignment horizontal="center" vertical="center"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7F7F7F"/>
      <rgbColor rgb="FF8FAADC"/>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EB9C"/>
      <rgbColor rgb="FF99CCFF"/>
      <rgbColor rgb="FFFBE5D6"/>
      <rgbColor rgb="FFCC99FF"/>
      <rgbColor rgb="FFFFC7CE"/>
      <rgbColor rgb="FF3366FF"/>
      <rgbColor rgb="FF33CCCC"/>
      <rgbColor rgb="FF99CC00"/>
      <rgbColor rgb="FFFFCC00"/>
      <rgbColor rgb="FFFF9900"/>
      <rgbColor rgb="FFC55A11"/>
      <rgbColor rgb="FF595959"/>
      <rgbColor rgb="FF878787"/>
      <rgbColor rgb="FF1F3864"/>
      <rgbColor rgb="FF339966"/>
      <rgbColor rgb="FF006100"/>
      <rgbColor rgb="FF333300"/>
      <rgbColor rgb="FF9C57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4F01E1-FB16-4EA8-8457-31885E20B5EB}" autoFormatId="16" applyNumberFormats="0" applyBorderFormats="0" applyFontFormats="0" applyPatternFormats="0" applyAlignmentFormats="0" applyWidthHeightFormats="0">
  <queryTableRefresh nextId="13">
    <queryTableFields count="12">
      <queryTableField id="1" name="Code" tableColumnId="1"/>
      <queryTableField id="2" name="Facility" tableColumnId="2"/>
      <queryTableField id="3" name="County" tableColumnId="3"/>
      <queryTableField id="4" name="Sub-county" tableColumnId="4"/>
      <queryTableField id="5" name="Partner" tableColumnId="5"/>
      <queryTableField id="6" name="Docket" tableColumnId="6"/>
      <queryTableField id="7" name="Expected" tableColumnId="7"/>
      <queryTableField id="8" name="Received" tableColumnId="8"/>
      <queryTableField id="9" name="Status" tableColumnId="9"/>
      <queryTableField id="10" name="Updated" tableColumnId="10"/>
      <queryTableField id="11" name="logDate" tableColumnId="11"/>
      <queryTableField id="12" name="Source Fil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4DF736-9DFD-49DD-82C3-85A0126FDA9F}" name="SPOT_Feed" displayName="SPOT_Feed" ref="A1:L1116" tableType="queryTable" totalsRowShown="0" headerRowDxfId="48">
  <autoFilter ref="A1:L1116" xr:uid="{C14DF736-9DFD-49DD-82C3-85A0126FDA9F}"/>
  <tableColumns count="12">
    <tableColumn id="1" xr3:uid="{EE1F8BF5-6B47-4179-98F4-C28784EEF8BD}" uniqueName="1" name="Code" queryTableFieldId="1"/>
    <tableColumn id="2" xr3:uid="{8C32C636-D3FC-4CD6-860A-9C957A685A2E}" uniqueName="2" name="Facility" queryTableFieldId="2" dataDxfId="8"/>
    <tableColumn id="3" xr3:uid="{8BA947A8-F737-434A-B02F-74FE4A19ED12}" uniqueName="3" name="County" queryTableFieldId="3" dataDxfId="7"/>
    <tableColumn id="4" xr3:uid="{6E35B51D-5454-4AE8-936B-DAAA4ADEA795}" uniqueName="4" name="Sub-county" queryTableFieldId="4" dataDxfId="6"/>
    <tableColumn id="5" xr3:uid="{16E11F19-64A9-493F-A8D0-4CC45E2A6F34}" uniqueName="5" name="Partner" queryTableFieldId="5" dataDxfId="5"/>
    <tableColumn id="6" xr3:uid="{C9922EC2-93D2-44D7-BE7A-E2F7093D25FE}" uniqueName="6" name="Docket" queryTableFieldId="6" dataDxfId="4"/>
    <tableColumn id="7" xr3:uid="{0E8364DC-FF30-40F6-98A9-DB8E594744F6}" uniqueName="7" name="Expected" queryTableFieldId="7"/>
    <tableColumn id="8" xr3:uid="{C4ACCDA3-1C41-45EE-AD24-17C753A9654F}" uniqueName="8" name="Received" queryTableFieldId="8"/>
    <tableColumn id="9" xr3:uid="{40A4791B-7643-44C8-84B5-57998C0C7E96}" uniqueName="9" name="Status" queryTableFieldId="9" dataDxfId="3"/>
    <tableColumn id="10" xr3:uid="{72CBFE80-3798-45BE-B653-98232B66DCE7}" uniqueName="10" name="Updated" queryTableFieldId="10" dataDxfId="2"/>
    <tableColumn id="11" xr3:uid="{C93FC977-85A3-41AC-A76A-C0078C93C0D3}" uniqueName="11" name="logDate" queryTableFieldId="11" dataDxfId="1"/>
    <tableColumn id="12" xr3:uid="{92A9B734-8C41-4AAC-ABA9-13F54B9FD93A}" uniqueName="12" name="Source File"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warus\Downloads\UJTP_DWAPI_Cluster_Tracker_August_2026.xlsx"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1:P45"/>
  <sheetViews>
    <sheetView showGridLines="0" tabSelected="1" zoomScale="90" zoomScaleNormal="90" workbookViewId="0">
      <pane xSplit="2" ySplit="10" topLeftCell="C11" activePane="bottomRight" state="frozen"/>
      <selection pane="topRight" activeCell="C1" sqref="C1"/>
      <selection pane="bottomLeft" activeCell="A13" sqref="A13"/>
      <selection pane="bottomRight" activeCell="D15" sqref="D15"/>
    </sheetView>
  </sheetViews>
  <sheetFormatPr defaultColWidth="8.6328125" defaultRowHeight="14.5" x14ac:dyDescent="0.35"/>
  <cols>
    <col min="1" max="1" width="2" customWidth="1"/>
    <col min="2" max="2" width="24" customWidth="1"/>
    <col min="3" max="3" width="11" customWidth="1"/>
    <col min="4" max="15" width="10.54296875" customWidth="1"/>
    <col min="16" max="17" width="12" customWidth="1"/>
  </cols>
  <sheetData>
    <row r="1" spans="2:16" ht="55.5" customHeight="1" x14ac:dyDescent="0.35">
      <c r="B1" s="73" t="s">
        <v>1079</v>
      </c>
      <c r="C1" s="73"/>
      <c r="D1" s="73"/>
      <c r="E1" s="73"/>
      <c r="F1" s="73"/>
      <c r="G1" s="73"/>
      <c r="H1" s="73"/>
      <c r="I1" s="73"/>
      <c r="J1" s="73"/>
      <c r="K1" s="73"/>
      <c r="L1" s="73"/>
      <c r="M1" s="73"/>
      <c r="N1" s="73"/>
      <c r="O1" s="73"/>
      <c r="P1" s="73"/>
    </row>
    <row r="2" spans="2:16" ht="15" customHeight="1" x14ac:dyDescent="0.35">
      <c r="B2" s="5" t="s">
        <v>0</v>
      </c>
      <c r="D2" s="67">
        <v>46266</v>
      </c>
      <c r="E2" s="68"/>
    </row>
    <row r="3" spans="2:16" x14ac:dyDescent="0.35">
      <c r="B3" s="5" t="s">
        <v>1</v>
      </c>
      <c r="D3" s="68" t="s">
        <v>103</v>
      </c>
      <c r="E3" s="68"/>
    </row>
    <row r="5" spans="2:16" x14ac:dyDescent="0.35">
      <c r="B5" s="69" t="s">
        <v>3</v>
      </c>
      <c r="C5" s="69"/>
      <c r="D5" s="69" t="s">
        <v>4</v>
      </c>
      <c r="E5" s="69"/>
      <c r="F5" s="69" t="s">
        <v>5</v>
      </c>
      <c r="G5" s="69"/>
      <c r="H5" s="70" t="s">
        <v>6</v>
      </c>
      <c r="I5" s="71"/>
      <c r="J5" s="70" t="s">
        <v>7</v>
      </c>
      <c r="K5" s="71"/>
      <c r="L5" s="69" t="s">
        <v>8</v>
      </c>
      <c r="M5" s="69"/>
      <c r="N5" s="65" t="s">
        <v>9</v>
      </c>
      <c r="O5" s="65"/>
    </row>
    <row r="6" spans="2:16" x14ac:dyDescent="0.35">
      <c r="B6" s="76">
        <f>C31</f>
        <v>208</v>
      </c>
      <c r="C6" s="76"/>
      <c r="D6" s="66">
        <f>E31</f>
        <v>1</v>
      </c>
      <c r="E6" s="66"/>
      <c r="F6" s="66">
        <f>H31</f>
        <v>0.92788461538461542</v>
      </c>
      <c r="G6" s="66"/>
      <c r="H6" s="66">
        <f>K31</f>
        <v>0.86057692307692313</v>
      </c>
      <c r="I6" s="66"/>
      <c r="J6" s="66">
        <f>N31</f>
        <v>0.78846153846153844</v>
      </c>
      <c r="K6" s="66"/>
      <c r="L6" s="66">
        <f>P31</f>
        <v>0.89423076923076927</v>
      </c>
      <c r="M6" s="66"/>
      <c r="N6" s="74">
        <f>'FAA Milestone Link'!C40</f>
        <v>1</v>
      </c>
      <c r="O6" s="74"/>
    </row>
    <row r="7" spans="2:16" x14ac:dyDescent="0.35">
      <c r="B7" s="76"/>
      <c r="C7" s="76"/>
      <c r="D7" s="66"/>
      <c r="E7" s="66"/>
      <c r="F7" s="66"/>
      <c r="G7" s="66"/>
      <c r="H7" s="66"/>
      <c r="I7" s="66"/>
      <c r="J7" s="66"/>
      <c r="K7" s="66"/>
      <c r="L7" s="66"/>
      <c r="M7" s="66"/>
      <c r="N7" s="74"/>
      <c r="O7" s="74"/>
    </row>
    <row r="8" spans="2:16" x14ac:dyDescent="0.35">
      <c r="N8" s="75" t="str">
        <f>"("&amp;'FAA Milestone Link'!C28&amp;" rate "&amp;TEXT('FAA Milestone Link'!C38,"0.0%")&amp;")"</f>
        <v>(C&amp;T rate 100.0%)</v>
      </c>
      <c r="O8" s="75"/>
    </row>
    <row r="9" spans="2:16" ht="21.75" customHeight="1" x14ac:dyDescent="0.35">
      <c r="B9" s="72" t="s">
        <v>10</v>
      </c>
      <c r="C9" s="72" t="s">
        <v>11</v>
      </c>
      <c r="D9" s="72" t="s">
        <v>12</v>
      </c>
      <c r="E9" s="72"/>
      <c r="F9" s="72"/>
      <c r="G9" s="72" t="s">
        <v>5</v>
      </c>
      <c r="H9" s="72"/>
      <c r="I9" s="72"/>
      <c r="J9" s="72" t="s">
        <v>6</v>
      </c>
      <c r="K9" s="72"/>
      <c r="L9" s="72"/>
      <c r="M9" s="72" t="s">
        <v>7</v>
      </c>
      <c r="N9" s="72"/>
      <c r="O9" s="72"/>
      <c r="P9" s="72" t="s">
        <v>13</v>
      </c>
    </row>
    <row r="10" spans="2:16" ht="27.75" customHeight="1" x14ac:dyDescent="0.35">
      <c r="B10" s="72"/>
      <c r="C10" s="72"/>
      <c r="D10" s="6" t="s">
        <v>14</v>
      </c>
      <c r="E10" s="6" t="s">
        <v>15</v>
      </c>
      <c r="F10" s="6" t="s">
        <v>16</v>
      </c>
      <c r="G10" s="6" t="s">
        <v>14</v>
      </c>
      <c r="H10" s="6" t="s">
        <v>15</v>
      </c>
      <c r="I10" s="6" t="s">
        <v>16</v>
      </c>
      <c r="J10" s="6" t="s">
        <v>14</v>
      </c>
      <c r="K10" s="6" t="s">
        <v>15</v>
      </c>
      <c r="L10" s="6" t="s">
        <v>16</v>
      </c>
      <c r="M10" s="6" t="s">
        <v>14</v>
      </c>
      <c r="N10" s="6" t="s">
        <v>15</v>
      </c>
      <c r="O10" s="6" t="s">
        <v>16</v>
      </c>
      <c r="P10" s="72"/>
    </row>
    <row r="11" spans="2:16" x14ac:dyDescent="0.35">
      <c r="B11" s="7" t="s">
        <v>17</v>
      </c>
      <c r="C11" s="8">
        <f>C12+C13</f>
        <v>65</v>
      </c>
      <c r="D11" s="8">
        <f>D12+D13</f>
        <v>65</v>
      </c>
      <c r="E11" s="9">
        <f t="shared" ref="E11:E31" si="0">IF(C11=0,0,D11/C11)</f>
        <v>1</v>
      </c>
      <c r="F11" s="8">
        <f t="shared" ref="F11:F31" si="1">MAX(C11-D11,0)</f>
        <v>0</v>
      </c>
      <c r="G11" s="8">
        <f>G12+G13</f>
        <v>57</v>
      </c>
      <c r="H11" s="9">
        <f t="shared" ref="H11:H31" si="2">IF(C11=0,0,G11/C11)</f>
        <v>0.87692307692307692</v>
      </c>
      <c r="I11" s="8">
        <f t="shared" ref="I11:I31" si="3">MAX(C11-G11,0)</f>
        <v>8</v>
      </c>
      <c r="J11" s="8">
        <f>J12+J13</f>
        <v>55</v>
      </c>
      <c r="K11" s="9">
        <f t="shared" ref="K11:K31" si="4">IF(C11=0,0,J11/C11)</f>
        <v>0.84615384615384615</v>
      </c>
      <c r="L11" s="8">
        <f t="shared" ref="L11:L31" si="5">MAX(C11-J11,0)</f>
        <v>10</v>
      </c>
      <c r="M11" s="8">
        <f>M12+M13</f>
        <v>38</v>
      </c>
      <c r="N11" s="9">
        <f t="shared" ref="N11:N31" si="6">IF(C11=0,0,M11/C11)</f>
        <v>0.58461538461538465</v>
      </c>
      <c r="O11" s="8">
        <f t="shared" ref="O11:O31" si="7">MAX(C11-M11,0)</f>
        <v>27</v>
      </c>
      <c r="P11" s="9">
        <f t="shared" ref="P11:P31" si="8">IF(C11=0,0,(D11+G11+J11+M11)/(C11*4))</f>
        <v>0.82692307692307687</v>
      </c>
    </row>
    <row r="12" spans="2:16" x14ac:dyDescent="0.35">
      <c r="B12" s="10" t="s">
        <v>18</v>
      </c>
      <c r="C12" s="11">
        <f>SUMIFS(Data!$P$2:$P$2500,Data!$N$2:$N$2500,"Cluster 1",Data!$M$2:$M$2500,"MERU")</f>
        <v>64</v>
      </c>
      <c r="D12" s="11">
        <f>SUMIFS(Data!$O$2:$O$2500,Data!$F$2:$F$2500,"C&amp;T",Data!$N$2:$N$2500,"Cluster 1",Data!$M$2:$M$2500,"MERU",Data!$L$2:$L$2500,$D$3)</f>
        <v>64</v>
      </c>
      <c r="E12" s="12">
        <f t="shared" si="0"/>
        <v>1</v>
      </c>
      <c r="F12" s="11">
        <f t="shared" si="1"/>
        <v>0</v>
      </c>
      <c r="G12" s="11">
        <f>SUMIFS(Data!$O$2:$O$2500,Data!$F$2:$F$2500,"HTS",Data!$N$2:$N$2500,"Cluster 1",Data!$M$2:$M$2500,"MERU",Data!$L$2:$L$2500,$D$3)</f>
        <v>56</v>
      </c>
      <c r="H12" s="12">
        <f t="shared" si="2"/>
        <v>0.875</v>
      </c>
      <c r="I12" s="11">
        <f t="shared" si="3"/>
        <v>8</v>
      </c>
      <c r="J12" s="11">
        <f>SUMIFS(Data!$O$2:$O$2500,Data!$F$2:$F$2500,"MNCH",Data!$N$2:$N$2500,"Cluster 1",Data!$M$2:$M$2500,"MERU",Data!$L$2:$L$2500,$D$3)</f>
        <v>54</v>
      </c>
      <c r="K12" s="12">
        <f t="shared" si="4"/>
        <v>0.84375</v>
      </c>
      <c r="L12" s="11">
        <f t="shared" si="5"/>
        <v>10</v>
      </c>
      <c r="M12" s="11">
        <f>SUMIFS(Data!$O$2:$O$2500,Data!$F$2:$F$2500,"PREP",Data!$N$2:$N$2500,"Cluster 1",Data!$M$2:$M$2500,"MERU",Data!$L$2:$L$2500,$D$3)</f>
        <v>37</v>
      </c>
      <c r="N12" s="12">
        <f t="shared" si="6"/>
        <v>0.578125</v>
      </c>
      <c r="O12" s="11">
        <f t="shared" si="7"/>
        <v>27</v>
      </c>
      <c r="P12" s="12">
        <f t="shared" si="8"/>
        <v>0.82421875</v>
      </c>
    </row>
    <row r="13" spans="2:16" x14ac:dyDescent="0.35">
      <c r="B13" s="10" t="s">
        <v>19</v>
      </c>
      <c r="C13" s="11">
        <f>SUMIFS(Data!$P$2:$P$2500,Data!$N$2:$N$2500,"Cluster 1",Data!$M$2:$M$2500,"LAIKIPIA")</f>
        <v>1</v>
      </c>
      <c r="D13" s="11">
        <f>SUMIFS(Data!$O$2:$O$2500,Data!$F$2:$F$2500,"C&amp;T",Data!$N$2:$N$2500,"Cluster 1",Data!$M$2:$M$2500,"LAIKIPIA",Data!$L$2:$L$2500,$D$3)</f>
        <v>1</v>
      </c>
      <c r="E13" s="12">
        <f t="shared" si="0"/>
        <v>1</v>
      </c>
      <c r="F13" s="11">
        <f t="shared" si="1"/>
        <v>0</v>
      </c>
      <c r="G13" s="11">
        <f>SUMIFS(Data!$O$2:$O$2500,Data!$F$2:$F$2500,"HTS",Data!$N$2:$N$2500,"Cluster 1",Data!$M$2:$M$2500,"LAIKIPIA",Data!$L$2:$L$2500,$D$3)</f>
        <v>1</v>
      </c>
      <c r="H13" s="12">
        <f t="shared" si="2"/>
        <v>1</v>
      </c>
      <c r="I13" s="11">
        <f t="shared" si="3"/>
        <v>0</v>
      </c>
      <c r="J13" s="11">
        <f>SUMIFS(Data!$O$2:$O$2500,Data!$F$2:$F$2500,"MNCH",Data!$N$2:$N$2500,"Cluster 1",Data!$M$2:$M$2500,"LAIKIPIA",Data!$L$2:$L$2500,$D$3)</f>
        <v>1</v>
      </c>
      <c r="K13" s="12">
        <f t="shared" si="4"/>
        <v>1</v>
      </c>
      <c r="L13" s="11">
        <f t="shared" si="5"/>
        <v>0</v>
      </c>
      <c r="M13" s="11">
        <f>SUMIFS(Data!$O$2:$O$2500,Data!$F$2:$F$2500,"PREP",Data!$N$2:$N$2500,"Cluster 1",Data!$M$2:$M$2500,"LAIKIPIA",Data!$L$2:$L$2500,$D$3)</f>
        <v>1</v>
      </c>
      <c r="N13" s="12">
        <f t="shared" si="6"/>
        <v>1</v>
      </c>
      <c r="O13" s="11">
        <f t="shared" si="7"/>
        <v>0</v>
      </c>
      <c r="P13" s="12">
        <f t="shared" si="8"/>
        <v>1</v>
      </c>
    </row>
    <row r="14" spans="2:16" x14ac:dyDescent="0.35">
      <c r="B14" s="7" t="s">
        <v>20</v>
      </c>
      <c r="C14" s="8">
        <f>C15+C16+C17+C18</f>
        <v>64</v>
      </c>
      <c r="D14" s="8">
        <f>D15+D16+D17+D18</f>
        <v>64</v>
      </c>
      <c r="E14" s="9">
        <f t="shared" si="0"/>
        <v>1</v>
      </c>
      <c r="F14" s="8">
        <f t="shared" si="1"/>
        <v>0</v>
      </c>
      <c r="G14" s="8">
        <f>G15+G16+G17+G18</f>
        <v>60</v>
      </c>
      <c r="H14" s="9">
        <f t="shared" si="2"/>
        <v>0.9375</v>
      </c>
      <c r="I14" s="8">
        <f t="shared" si="3"/>
        <v>4</v>
      </c>
      <c r="J14" s="8">
        <f>J15+J16+J17+J18</f>
        <v>53</v>
      </c>
      <c r="K14" s="9">
        <f t="shared" si="4"/>
        <v>0.828125</v>
      </c>
      <c r="L14" s="8">
        <f t="shared" si="5"/>
        <v>11</v>
      </c>
      <c r="M14" s="8">
        <f>M15+M16+M17+M18</f>
        <v>51</v>
      </c>
      <c r="N14" s="9">
        <f t="shared" si="6"/>
        <v>0.796875</v>
      </c>
      <c r="O14" s="8">
        <f t="shared" si="7"/>
        <v>13</v>
      </c>
      <c r="P14" s="9">
        <f t="shared" si="8"/>
        <v>0.890625</v>
      </c>
    </row>
    <row r="15" spans="2:16" x14ac:dyDescent="0.35">
      <c r="B15" s="10" t="s">
        <v>21</v>
      </c>
      <c r="C15" s="11">
        <f>SUMIFS(Data!$P$2:$P$2500,Data!$N$2:$N$2500,"Cluster 2",Data!$M$2:$M$2500,"EMBU")</f>
        <v>35</v>
      </c>
      <c r="D15" s="11">
        <f>SUMIFS(Data!$O$2:$O$2500,Data!$F$2:$F$2500,"C&amp;T",Data!$N$2:$N$2500,"Cluster 2",Data!$M$2:$M$2500,"EMBU",Data!$L$2:$L$2500,$D$3)</f>
        <v>35</v>
      </c>
      <c r="E15" s="12">
        <f t="shared" si="0"/>
        <v>1</v>
      </c>
      <c r="F15" s="11">
        <f t="shared" si="1"/>
        <v>0</v>
      </c>
      <c r="G15" s="11">
        <f>SUMIFS(Data!$O$2:$O$2500,Data!$F$2:$F$2500,"HTS",Data!$N$2:$N$2500,"Cluster 2",Data!$M$2:$M$2500,"EMBU",Data!$L$2:$L$2500,$D$3)</f>
        <v>32</v>
      </c>
      <c r="H15" s="12">
        <f t="shared" si="2"/>
        <v>0.91428571428571426</v>
      </c>
      <c r="I15" s="11">
        <f t="shared" si="3"/>
        <v>3</v>
      </c>
      <c r="J15" s="11">
        <f>SUMIFS(Data!$O$2:$O$2500,Data!$F$2:$F$2500,"MNCH",Data!$N$2:$N$2500,"Cluster 2",Data!$M$2:$M$2500,"EMBU",Data!$L$2:$L$2500,$D$3)</f>
        <v>26</v>
      </c>
      <c r="K15" s="12">
        <f t="shared" si="4"/>
        <v>0.74285714285714288</v>
      </c>
      <c r="L15" s="11">
        <f t="shared" si="5"/>
        <v>9</v>
      </c>
      <c r="M15" s="11">
        <f>SUMIFS(Data!$O$2:$O$2500,Data!$F$2:$F$2500,"PREP",Data!$N$2:$N$2500,"Cluster 2",Data!$M$2:$M$2500,"EMBU",Data!$L$2:$L$2500,$D$3)</f>
        <v>26</v>
      </c>
      <c r="N15" s="12">
        <f t="shared" si="6"/>
        <v>0.74285714285714288</v>
      </c>
      <c r="O15" s="11">
        <f t="shared" si="7"/>
        <v>9</v>
      </c>
      <c r="P15" s="12">
        <f t="shared" si="8"/>
        <v>0.85</v>
      </c>
    </row>
    <row r="16" spans="2:16" x14ac:dyDescent="0.35">
      <c r="B16" s="10" t="s">
        <v>22</v>
      </c>
      <c r="C16" s="11">
        <f>SUMIFS(Data!$P$2:$P$2500,Data!$N$2:$N$2500,"Cluster 2",Data!$M$2:$M$2500,"THARAKA-NITHI")</f>
        <v>23</v>
      </c>
      <c r="D16" s="11">
        <f>SUMIFS(Data!$O$2:$O$2500,Data!$F$2:$F$2500,"C&amp;T",Data!$N$2:$N$2500,"Cluster 2",Data!$M$2:$M$2500,"THARAKA-NITHI",Data!$L$2:$L$2500,$D$3)</f>
        <v>23</v>
      </c>
      <c r="E16" s="12">
        <f t="shared" si="0"/>
        <v>1</v>
      </c>
      <c r="F16" s="11">
        <f t="shared" si="1"/>
        <v>0</v>
      </c>
      <c r="G16" s="11">
        <f>SUMIFS(Data!$O$2:$O$2500,Data!$F$2:$F$2500,"HTS",Data!$N$2:$N$2500,"Cluster 2",Data!$M$2:$M$2500,"THARAKA-NITHI",Data!$L$2:$L$2500,$D$3)</f>
        <v>22</v>
      </c>
      <c r="H16" s="12">
        <f t="shared" si="2"/>
        <v>0.95652173913043481</v>
      </c>
      <c r="I16" s="11">
        <f t="shared" si="3"/>
        <v>1</v>
      </c>
      <c r="J16" s="11">
        <f>SUMIFS(Data!$O$2:$O$2500,Data!$F$2:$F$2500,"MNCH",Data!$N$2:$N$2500,"Cluster 2",Data!$M$2:$M$2500,"THARAKA-NITHI",Data!$L$2:$L$2500,$D$3)</f>
        <v>21</v>
      </c>
      <c r="K16" s="12">
        <f t="shared" si="4"/>
        <v>0.91304347826086951</v>
      </c>
      <c r="L16" s="11">
        <f t="shared" si="5"/>
        <v>2</v>
      </c>
      <c r="M16" s="11">
        <f>SUMIFS(Data!$O$2:$O$2500,Data!$F$2:$F$2500,"PREP",Data!$N$2:$N$2500,"Cluster 2",Data!$M$2:$M$2500,"THARAKA-NITHI",Data!$L$2:$L$2500,$D$3)</f>
        <v>19</v>
      </c>
      <c r="N16" s="12">
        <f t="shared" si="6"/>
        <v>0.82608695652173914</v>
      </c>
      <c r="O16" s="11">
        <f t="shared" si="7"/>
        <v>4</v>
      </c>
      <c r="P16" s="12">
        <f t="shared" si="8"/>
        <v>0.92391304347826086</v>
      </c>
    </row>
    <row r="17" spans="2:16" x14ac:dyDescent="0.35">
      <c r="B17" s="10" t="s">
        <v>23</v>
      </c>
      <c r="C17" s="11">
        <f>SUMIFS(Data!$P$2:$P$2500,Data!$N$2:$N$2500,"Cluster 2",Data!$M$2:$M$2500,"KIRINYAGA")</f>
        <v>4</v>
      </c>
      <c r="D17" s="11">
        <f>SUMIFS(Data!$O$2:$O$2500,Data!$F$2:$F$2500,"C&amp;T",Data!$N$2:$N$2500,"Cluster 2",Data!$M$2:$M$2500,"KIRINYAGA",Data!$L$2:$L$2500,$D$3)</f>
        <v>4</v>
      </c>
      <c r="E17" s="12">
        <f t="shared" si="0"/>
        <v>1</v>
      </c>
      <c r="F17" s="11">
        <f t="shared" si="1"/>
        <v>0</v>
      </c>
      <c r="G17" s="11">
        <f>SUMIFS(Data!$O$2:$O$2500,Data!$F$2:$F$2500,"HTS",Data!$N$2:$N$2500,"Cluster 2",Data!$M$2:$M$2500,"KIRINYAGA",Data!$L$2:$L$2500,$D$3)</f>
        <v>4</v>
      </c>
      <c r="H17" s="12">
        <f t="shared" si="2"/>
        <v>1</v>
      </c>
      <c r="I17" s="11">
        <f t="shared" si="3"/>
        <v>0</v>
      </c>
      <c r="J17" s="11">
        <f>SUMIFS(Data!$O$2:$O$2500,Data!$F$2:$F$2500,"MNCH",Data!$N$2:$N$2500,"Cluster 2",Data!$M$2:$M$2500,"KIRINYAGA",Data!$L$2:$L$2500,$D$3)</f>
        <v>4</v>
      </c>
      <c r="K17" s="12">
        <f t="shared" si="4"/>
        <v>1</v>
      </c>
      <c r="L17" s="11">
        <f t="shared" si="5"/>
        <v>0</v>
      </c>
      <c r="M17" s="11">
        <f>SUMIFS(Data!$O$2:$O$2500,Data!$F$2:$F$2500,"PREP",Data!$N$2:$N$2500,"Cluster 2",Data!$M$2:$M$2500,"KIRINYAGA",Data!$L$2:$L$2500,$D$3)</f>
        <v>4</v>
      </c>
      <c r="N17" s="12">
        <f t="shared" si="6"/>
        <v>1</v>
      </c>
      <c r="O17" s="11">
        <f t="shared" si="7"/>
        <v>0</v>
      </c>
      <c r="P17" s="12">
        <f t="shared" si="8"/>
        <v>1</v>
      </c>
    </row>
    <row r="18" spans="2:16" x14ac:dyDescent="0.35">
      <c r="B18" s="10" t="s">
        <v>24</v>
      </c>
      <c r="C18" s="11">
        <f>SUMIFS(Data!$P$2:$P$2500,Data!$N$2:$N$2500,"Cluster 2",Data!$M$2:$M$2500,"NYERI")</f>
        <v>2</v>
      </c>
      <c r="D18" s="11">
        <f>SUMIFS(Data!$O$2:$O$2500,Data!$F$2:$F$2500,"C&amp;T",Data!$N$2:$N$2500,"Cluster 2",Data!$M$2:$M$2500,"NYERI",Data!$L$2:$L$2500,$D$3)</f>
        <v>2</v>
      </c>
      <c r="E18" s="12">
        <f t="shared" si="0"/>
        <v>1</v>
      </c>
      <c r="F18" s="11">
        <f t="shared" si="1"/>
        <v>0</v>
      </c>
      <c r="G18" s="11">
        <f>SUMIFS(Data!$O$2:$O$2500,Data!$F$2:$F$2500,"HTS",Data!$N$2:$N$2500,"Cluster 2",Data!$M$2:$M$2500,"NYERI",Data!$L$2:$L$2500,$D$3)</f>
        <v>2</v>
      </c>
      <c r="H18" s="12">
        <f t="shared" si="2"/>
        <v>1</v>
      </c>
      <c r="I18" s="11">
        <f t="shared" si="3"/>
        <v>0</v>
      </c>
      <c r="J18" s="11">
        <f>SUMIFS(Data!$O$2:$O$2500,Data!$F$2:$F$2500,"MNCH",Data!$N$2:$N$2500,"Cluster 2",Data!$M$2:$M$2500,"NYERI",Data!$L$2:$L$2500,$D$3)</f>
        <v>2</v>
      </c>
      <c r="K18" s="12">
        <f t="shared" si="4"/>
        <v>1</v>
      </c>
      <c r="L18" s="11">
        <f t="shared" si="5"/>
        <v>0</v>
      </c>
      <c r="M18" s="11">
        <f>SUMIFS(Data!$O$2:$O$2500,Data!$F$2:$F$2500,"PREP",Data!$N$2:$N$2500,"Cluster 2",Data!$M$2:$M$2500,"NYERI",Data!$L$2:$L$2500,$D$3)</f>
        <v>2</v>
      </c>
      <c r="N18" s="12">
        <f t="shared" si="6"/>
        <v>1</v>
      </c>
      <c r="O18" s="11">
        <f t="shared" si="7"/>
        <v>0</v>
      </c>
      <c r="P18" s="12">
        <f t="shared" si="8"/>
        <v>1</v>
      </c>
    </row>
    <row r="19" spans="2:16" x14ac:dyDescent="0.35">
      <c r="B19" s="7" t="s">
        <v>25</v>
      </c>
      <c r="C19" s="8">
        <f>C20+C21+C22</f>
        <v>13</v>
      </c>
      <c r="D19" s="8">
        <f>D20+D21+D22</f>
        <v>13</v>
      </c>
      <c r="E19" s="9">
        <f t="shared" si="0"/>
        <v>1</v>
      </c>
      <c r="F19" s="8">
        <f t="shared" si="1"/>
        <v>0</v>
      </c>
      <c r="G19" s="8">
        <f>G20+G21+G22</f>
        <v>13</v>
      </c>
      <c r="H19" s="9">
        <f t="shared" si="2"/>
        <v>1</v>
      </c>
      <c r="I19" s="8">
        <f t="shared" si="3"/>
        <v>0</v>
      </c>
      <c r="J19" s="8">
        <f>J20+J21+J22</f>
        <v>12</v>
      </c>
      <c r="K19" s="9">
        <f t="shared" si="4"/>
        <v>0.92307692307692313</v>
      </c>
      <c r="L19" s="8">
        <f t="shared" si="5"/>
        <v>1</v>
      </c>
      <c r="M19" s="8">
        <f>M20+M21+M22</f>
        <v>13</v>
      </c>
      <c r="N19" s="9">
        <f t="shared" si="6"/>
        <v>1</v>
      </c>
      <c r="O19" s="8">
        <f t="shared" si="7"/>
        <v>0</v>
      </c>
      <c r="P19" s="9">
        <f t="shared" si="8"/>
        <v>0.98076923076923073</v>
      </c>
    </row>
    <row r="20" spans="2:16" x14ac:dyDescent="0.35">
      <c r="B20" s="10" t="s">
        <v>26</v>
      </c>
      <c r="C20" s="11">
        <f>SUMIFS(Data!$P$2:$P$2500,Data!$N$2:$N$2500,"Cluster 3",Data!$M$2:$M$2500,"KIAMBU")</f>
        <v>11</v>
      </c>
      <c r="D20" s="11">
        <f>SUMIFS(Data!$O$2:$O$2500,Data!$F$2:$F$2500,"C&amp;T",Data!$N$2:$N$2500,"Cluster 3",Data!$M$2:$M$2500,"KIAMBU",Data!$L$2:$L$2500,$D$3)</f>
        <v>11</v>
      </c>
      <c r="E20" s="12">
        <f t="shared" si="0"/>
        <v>1</v>
      </c>
      <c r="F20" s="11">
        <f t="shared" si="1"/>
        <v>0</v>
      </c>
      <c r="G20" s="11">
        <f>SUMIFS(Data!$O$2:$O$2500,Data!$F$2:$F$2500,"HTS",Data!$N$2:$N$2500,"Cluster 3",Data!$M$2:$M$2500,"KIAMBU",Data!$L$2:$L$2500,$D$3)</f>
        <v>11</v>
      </c>
      <c r="H20" s="12">
        <f t="shared" si="2"/>
        <v>1</v>
      </c>
      <c r="I20" s="11">
        <f t="shared" si="3"/>
        <v>0</v>
      </c>
      <c r="J20" s="11">
        <f>SUMIFS(Data!$O$2:$O$2500,Data!$F$2:$F$2500,"MNCH",Data!$N$2:$N$2500,"Cluster 3",Data!$M$2:$M$2500,"KIAMBU",Data!$L$2:$L$2500,$D$3)</f>
        <v>10</v>
      </c>
      <c r="K20" s="12">
        <f t="shared" si="4"/>
        <v>0.90909090909090906</v>
      </c>
      <c r="L20" s="11">
        <f t="shared" si="5"/>
        <v>1</v>
      </c>
      <c r="M20" s="11">
        <f>SUMIFS(Data!$O$2:$O$2500,Data!$F$2:$F$2500,"PREP",Data!$N$2:$N$2500,"Cluster 3",Data!$M$2:$M$2500,"KIAMBU",Data!$L$2:$L$2500,$D$3)</f>
        <v>11</v>
      </c>
      <c r="N20" s="12">
        <f t="shared" si="6"/>
        <v>1</v>
      </c>
      <c r="O20" s="11">
        <f t="shared" si="7"/>
        <v>0</v>
      </c>
      <c r="P20" s="12">
        <f t="shared" si="8"/>
        <v>0.97727272727272729</v>
      </c>
    </row>
    <row r="21" spans="2:16" x14ac:dyDescent="0.35">
      <c r="B21" s="10" t="s">
        <v>27</v>
      </c>
      <c r="C21" s="11">
        <f>SUMIFS(Data!$P$2:$P$2500,Data!$N$2:$N$2500,"Cluster 3",Data!$M$2:$M$2500,"MURANG'A")</f>
        <v>1</v>
      </c>
      <c r="D21" s="11">
        <f>SUMIFS(Data!$O$2:$O$2500,Data!$F$2:$F$2500,"C&amp;T",Data!$N$2:$N$2500,"Cluster 3",Data!$M$2:$M$2500,"MURANG'A",Data!$L$2:$L$2500,$D$3)</f>
        <v>1</v>
      </c>
      <c r="E21" s="12">
        <f t="shared" si="0"/>
        <v>1</v>
      </c>
      <c r="F21" s="11">
        <f t="shared" si="1"/>
        <v>0</v>
      </c>
      <c r="G21" s="11">
        <f>SUMIFS(Data!$O$2:$O$2500,Data!$F$2:$F$2500,"HTS",Data!$N$2:$N$2500,"Cluster 3",Data!$M$2:$M$2500,"MURANG'A",Data!$L$2:$L$2500,$D$3)</f>
        <v>1</v>
      </c>
      <c r="H21" s="12">
        <f t="shared" si="2"/>
        <v>1</v>
      </c>
      <c r="I21" s="11">
        <f t="shared" si="3"/>
        <v>0</v>
      </c>
      <c r="J21" s="11">
        <f>SUMIFS(Data!$O$2:$O$2500,Data!$F$2:$F$2500,"MNCH",Data!$N$2:$N$2500,"Cluster 3",Data!$M$2:$M$2500,"MURANG'A",Data!$L$2:$L$2500,$D$3)</f>
        <v>1</v>
      </c>
      <c r="K21" s="12">
        <f t="shared" si="4"/>
        <v>1</v>
      </c>
      <c r="L21" s="11">
        <f t="shared" si="5"/>
        <v>0</v>
      </c>
      <c r="M21" s="11">
        <f>SUMIFS(Data!$O$2:$O$2500,Data!$F$2:$F$2500,"PREP",Data!$N$2:$N$2500,"Cluster 3",Data!$M$2:$M$2500,"MURANG'A",Data!$L$2:$L$2500,$D$3)</f>
        <v>1</v>
      </c>
      <c r="N21" s="12">
        <f t="shared" si="6"/>
        <v>1</v>
      </c>
      <c r="O21" s="11">
        <f t="shared" si="7"/>
        <v>0</v>
      </c>
      <c r="P21" s="12">
        <f t="shared" si="8"/>
        <v>1</v>
      </c>
    </row>
    <row r="22" spans="2:16" x14ac:dyDescent="0.35">
      <c r="B22" s="10" t="s">
        <v>28</v>
      </c>
      <c r="C22" s="11">
        <f>SUMIFS(Data!$P$2:$P$2500,Data!$N$2:$N$2500,"Cluster 3",Data!$M$2:$M$2500,"KAJIADO")</f>
        <v>1</v>
      </c>
      <c r="D22" s="11">
        <f>SUMIFS(Data!$O$2:$O$2500,Data!$F$2:$F$2500,"C&amp;T",Data!$N$2:$N$2500,"Cluster 3",Data!$M$2:$M$2500,"KAJIADO",Data!$L$2:$L$2500,$D$3)</f>
        <v>1</v>
      </c>
      <c r="E22" s="12">
        <f t="shared" si="0"/>
        <v>1</v>
      </c>
      <c r="F22" s="11">
        <f t="shared" si="1"/>
        <v>0</v>
      </c>
      <c r="G22" s="11">
        <f>SUMIFS(Data!$O$2:$O$2500,Data!$F$2:$F$2500,"HTS",Data!$N$2:$N$2500,"Cluster 3",Data!$M$2:$M$2500,"KAJIADO",Data!$L$2:$L$2500,$D$3)</f>
        <v>1</v>
      </c>
      <c r="H22" s="12">
        <f t="shared" si="2"/>
        <v>1</v>
      </c>
      <c r="I22" s="11">
        <f t="shared" si="3"/>
        <v>0</v>
      </c>
      <c r="J22" s="11">
        <f>SUMIFS(Data!$O$2:$O$2500,Data!$F$2:$F$2500,"MNCH",Data!$N$2:$N$2500,"Cluster 3",Data!$M$2:$M$2500,"KAJIADO",Data!$L$2:$L$2500,$D$3)</f>
        <v>1</v>
      </c>
      <c r="K22" s="12">
        <f t="shared" si="4"/>
        <v>1</v>
      </c>
      <c r="L22" s="11">
        <f t="shared" si="5"/>
        <v>0</v>
      </c>
      <c r="M22" s="11">
        <f>SUMIFS(Data!$O$2:$O$2500,Data!$F$2:$F$2500,"PREP",Data!$N$2:$N$2500,"Cluster 3",Data!$M$2:$M$2500,"KAJIADO",Data!$L$2:$L$2500,$D$3)</f>
        <v>1</v>
      </c>
      <c r="N22" s="12">
        <f t="shared" si="6"/>
        <v>1</v>
      </c>
      <c r="O22" s="11">
        <f t="shared" si="7"/>
        <v>0</v>
      </c>
      <c r="P22" s="12">
        <f t="shared" si="8"/>
        <v>1</v>
      </c>
    </row>
    <row r="23" spans="2:16" x14ac:dyDescent="0.35">
      <c r="B23" s="7" t="s">
        <v>29</v>
      </c>
      <c r="C23" s="8">
        <f>C24+C25+C26</f>
        <v>42</v>
      </c>
      <c r="D23" s="8">
        <f>D24+D25+D26</f>
        <v>42</v>
      </c>
      <c r="E23" s="9">
        <f t="shared" si="0"/>
        <v>1</v>
      </c>
      <c r="F23" s="8">
        <f t="shared" si="1"/>
        <v>0</v>
      </c>
      <c r="G23" s="8">
        <f>G24+G25+G26</f>
        <v>39</v>
      </c>
      <c r="H23" s="9">
        <f t="shared" si="2"/>
        <v>0.9285714285714286</v>
      </c>
      <c r="I23" s="8">
        <f t="shared" si="3"/>
        <v>3</v>
      </c>
      <c r="J23" s="8">
        <f>J24+J25+J26</f>
        <v>39</v>
      </c>
      <c r="K23" s="9">
        <f t="shared" si="4"/>
        <v>0.9285714285714286</v>
      </c>
      <c r="L23" s="8">
        <f t="shared" si="5"/>
        <v>3</v>
      </c>
      <c r="M23" s="8">
        <f>M24+M25+M26</f>
        <v>39</v>
      </c>
      <c r="N23" s="9">
        <f t="shared" si="6"/>
        <v>0.9285714285714286</v>
      </c>
      <c r="O23" s="8">
        <f t="shared" si="7"/>
        <v>3</v>
      </c>
      <c r="P23" s="9">
        <f t="shared" si="8"/>
        <v>0.9464285714285714</v>
      </c>
    </row>
    <row r="24" spans="2:16" x14ac:dyDescent="0.35">
      <c r="B24" s="10" t="s">
        <v>30</v>
      </c>
      <c r="C24" s="11">
        <f>SUMIFS(Data!$P$2:$P$2500,Data!$N$2:$N$2500,"Cluster 4",Data!$M$2:$M$2500,"NYANDARUA")</f>
        <v>36</v>
      </c>
      <c r="D24" s="11">
        <f>SUMIFS(Data!$O$2:$O$2500,Data!$F$2:$F$2500,"C&amp;T",Data!$N$2:$N$2500,"Cluster 4",Data!$M$2:$M$2500,"NYANDARUA",Data!$L$2:$L$2500,$D$3)</f>
        <v>36</v>
      </c>
      <c r="E24" s="12">
        <f t="shared" si="0"/>
        <v>1</v>
      </c>
      <c r="F24" s="11">
        <f t="shared" si="1"/>
        <v>0</v>
      </c>
      <c r="G24" s="11">
        <f>SUMIFS(Data!$O$2:$O$2500,Data!$F$2:$F$2500,"HTS",Data!$N$2:$N$2500,"Cluster 4",Data!$M$2:$M$2500,"NYANDARUA",Data!$L$2:$L$2500,$D$3)</f>
        <v>33</v>
      </c>
      <c r="H24" s="12">
        <f t="shared" si="2"/>
        <v>0.91666666666666663</v>
      </c>
      <c r="I24" s="11">
        <f t="shared" si="3"/>
        <v>3</v>
      </c>
      <c r="J24" s="11">
        <f>SUMIFS(Data!$O$2:$O$2500,Data!$F$2:$F$2500,"MNCH",Data!$N$2:$N$2500,"Cluster 4",Data!$M$2:$M$2500,"NYANDARUA",Data!$L$2:$L$2500,$D$3)</f>
        <v>34</v>
      </c>
      <c r="K24" s="12">
        <f t="shared" si="4"/>
        <v>0.94444444444444442</v>
      </c>
      <c r="L24" s="11">
        <f t="shared" si="5"/>
        <v>2</v>
      </c>
      <c r="M24" s="11">
        <f>SUMIFS(Data!$O$2:$O$2500,Data!$F$2:$F$2500,"PREP",Data!$N$2:$N$2500,"Cluster 4",Data!$M$2:$M$2500,"NYANDARUA",Data!$L$2:$L$2500,$D$3)</f>
        <v>33</v>
      </c>
      <c r="N24" s="12">
        <f t="shared" si="6"/>
        <v>0.91666666666666663</v>
      </c>
      <c r="O24" s="11">
        <f t="shared" si="7"/>
        <v>3</v>
      </c>
      <c r="P24" s="12">
        <f t="shared" si="8"/>
        <v>0.94444444444444442</v>
      </c>
    </row>
    <row r="25" spans="2:16" x14ac:dyDescent="0.35">
      <c r="B25" s="10" t="s">
        <v>31</v>
      </c>
      <c r="C25" s="11">
        <f>SUMIFS(Data!$P$2:$P$2500,Data!$N$2:$N$2500,"Cluster 4",Data!$M$2:$M$2500,"NAROK")</f>
        <v>5</v>
      </c>
      <c r="D25" s="11">
        <f>SUMIFS(Data!$O$2:$O$2500,Data!$F$2:$F$2500,"C&amp;T",Data!$N$2:$N$2500,"Cluster 4",Data!$M$2:$M$2500,"NAROK",Data!$L$2:$L$2500,$D$3)</f>
        <v>5</v>
      </c>
      <c r="E25" s="12">
        <f t="shared" si="0"/>
        <v>1</v>
      </c>
      <c r="F25" s="11">
        <f t="shared" si="1"/>
        <v>0</v>
      </c>
      <c r="G25" s="11">
        <f>SUMIFS(Data!$O$2:$O$2500,Data!$F$2:$F$2500,"HTS",Data!$N$2:$N$2500,"Cluster 4",Data!$M$2:$M$2500,"NAROK",Data!$L$2:$L$2500,$D$3)</f>
        <v>5</v>
      </c>
      <c r="H25" s="12">
        <f t="shared" si="2"/>
        <v>1</v>
      </c>
      <c r="I25" s="11">
        <f t="shared" si="3"/>
        <v>0</v>
      </c>
      <c r="J25" s="11">
        <f>SUMIFS(Data!$O$2:$O$2500,Data!$F$2:$F$2500,"MNCH",Data!$N$2:$N$2500,"Cluster 4",Data!$M$2:$M$2500,"NAROK",Data!$L$2:$L$2500,$D$3)</f>
        <v>4</v>
      </c>
      <c r="K25" s="12">
        <f t="shared" si="4"/>
        <v>0.8</v>
      </c>
      <c r="L25" s="11">
        <f t="shared" si="5"/>
        <v>1</v>
      </c>
      <c r="M25" s="11">
        <f>SUMIFS(Data!$O$2:$O$2500,Data!$F$2:$F$2500,"PREP",Data!$N$2:$N$2500,"Cluster 4",Data!$M$2:$M$2500,"NAROK",Data!$L$2:$L$2500,$D$3)</f>
        <v>5</v>
      </c>
      <c r="N25" s="12">
        <f t="shared" si="6"/>
        <v>1</v>
      </c>
      <c r="O25" s="11">
        <f t="shared" si="7"/>
        <v>0</v>
      </c>
      <c r="P25" s="12">
        <f t="shared" si="8"/>
        <v>0.95</v>
      </c>
    </row>
    <row r="26" spans="2:16" x14ac:dyDescent="0.35">
      <c r="B26" s="10" t="s">
        <v>32</v>
      </c>
      <c r="C26" s="11">
        <f>SUMIFS(Data!$P$2:$P$2500,Data!$N$2:$N$2500,"Cluster 4",Data!$M$2:$M$2500,"NAKURU")</f>
        <v>1</v>
      </c>
      <c r="D26" s="11">
        <f>SUMIFS(Data!$O$2:$O$2500,Data!$F$2:$F$2500,"C&amp;T",Data!$N$2:$N$2500,"Cluster 4",Data!$M$2:$M$2500,"NAKURU",Data!$L$2:$L$2500,$D$3)</f>
        <v>1</v>
      </c>
      <c r="E26" s="12">
        <f t="shared" si="0"/>
        <v>1</v>
      </c>
      <c r="F26" s="11">
        <f t="shared" si="1"/>
        <v>0</v>
      </c>
      <c r="G26" s="11">
        <f>SUMIFS(Data!$O$2:$O$2500,Data!$F$2:$F$2500,"HTS",Data!$N$2:$N$2500,"Cluster 4",Data!$M$2:$M$2500,"NAKURU",Data!$L$2:$L$2500,$D$3)</f>
        <v>1</v>
      </c>
      <c r="H26" s="12">
        <f t="shared" si="2"/>
        <v>1</v>
      </c>
      <c r="I26" s="11">
        <f t="shared" si="3"/>
        <v>0</v>
      </c>
      <c r="J26" s="11">
        <f>SUMIFS(Data!$O$2:$O$2500,Data!$F$2:$F$2500,"MNCH",Data!$N$2:$N$2500,"Cluster 4",Data!$M$2:$M$2500,"NAKURU",Data!$L$2:$L$2500,$D$3)</f>
        <v>1</v>
      </c>
      <c r="K26" s="12">
        <f t="shared" si="4"/>
        <v>1</v>
      </c>
      <c r="L26" s="11">
        <f t="shared" si="5"/>
        <v>0</v>
      </c>
      <c r="M26" s="11">
        <f>SUMIFS(Data!$O$2:$O$2500,Data!$F$2:$F$2500,"PREP",Data!$N$2:$N$2500,"Cluster 4",Data!$M$2:$M$2500,"NAKURU",Data!$L$2:$L$2500,$D$3)</f>
        <v>1</v>
      </c>
      <c r="N26" s="12">
        <f t="shared" si="6"/>
        <v>1</v>
      </c>
      <c r="O26" s="11">
        <f t="shared" si="7"/>
        <v>0</v>
      </c>
      <c r="P26" s="12">
        <f t="shared" si="8"/>
        <v>1</v>
      </c>
    </row>
    <row r="27" spans="2:16" x14ac:dyDescent="0.35">
      <c r="B27" s="7" t="s">
        <v>33</v>
      </c>
      <c r="C27" s="8">
        <f>C28+C29+C30</f>
        <v>24</v>
      </c>
      <c r="D27" s="8">
        <f>D28+D29+D30</f>
        <v>24</v>
      </c>
      <c r="E27" s="9">
        <f t="shared" si="0"/>
        <v>1</v>
      </c>
      <c r="F27" s="8">
        <f t="shared" si="1"/>
        <v>0</v>
      </c>
      <c r="G27" s="8">
        <f>G28+G29+G30</f>
        <v>24</v>
      </c>
      <c r="H27" s="9">
        <f t="shared" si="2"/>
        <v>1</v>
      </c>
      <c r="I27" s="8">
        <f t="shared" si="3"/>
        <v>0</v>
      </c>
      <c r="J27" s="8">
        <f>J28+J29+J30</f>
        <v>20</v>
      </c>
      <c r="K27" s="9">
        <f t="shared" si="4"/>
        <v>0.83333333333333337</v>
      </c>
      <c r="L27" s="8">
        <f t="shared" si="5"/>
        <v>4</v>
      </c>
      <c r="M27" s="8">
        <f>M28+M29+M30</f>
        <v>23</v>
      </c>
      <c r="N27" s="9">
        <f t="shared" si="6"/>
        <v>0.95833333333333337</v>
      </c>
      <c r="O27" s="8">
        <f t="shared" si="7"/>
        <v>1</v>
      </c>
      <c r="P27" s="9">
        <f t="shared" si="8"/>
        <v>0.94791666666666663</v>
      </c>
    </row>
    <row r="28" spans="2:16" x14ac:dyDescent="0.35">
      <c r="B28" s="10" t="s">
        <v>34</v>
      </c>
      <c r="C28" s="11">
        <f>SUMIFS(Data!$P$2:$P$2500,Data!$N$2:$N$2500,"Cluster 5",Data!$M$2:$M$2500,"KITUI")</f>
        <v>14</v>
      </c>
      <c r="D28" s="11">
        <f>SUMIFS(Data!$O$2:$O$2500,Data!$F$2:$F$2500,"C&amp;T",Data!$N$2:$N$2500,"Cluster 5",Data!$M$2:$M$2500,"KITUI",Data!$L$2:$L$2500,$D$3)</f>
        <v>14</v>
      </c>
      <c r="E28" s="12">
        <f t="shared" si="0"/>
        <v>1</v>
      </c>
      <c r="F28" s="11">
        <f t="shared" si="1"/>
        <v>0</v>
      </c>
      <c r="G28" s="11">
        <f>SUMIFS(Data!$O$2:$O$2500,Data!$F$2:$F$2500,"HTS",Data!$N$2:$N$2500,"Cluster 5",Data!$M$2:$M$2500,"KITUI",Data!$L$2:$L$2500,$D$3)</f>
        <v>14</v>
      </c>
      <c r="H28" s="12">
        <f t="shared" si="2"/>
        <v>1</v>
      </c>
      <c r="I28" s="11">
        <f t="shared" si="3"/>
        <v>0</v>
      </c>
      <c r="J28" s="11">
        <f>SUMIFS(Data!$O$2:$O$2500,Data!$F$2:$F$2500,"MNCH",Data!$N$2:$N$2500,"Cluster 5",Data!$M$2:$M$2500,"KITUI",Data!$L$2:$L$2500,$D$3)</f>
        <v>11</v>
      </c>
      <c r="K28" s="12">
        <f t="shared" si="4"/>
        <v>0.7857142857142857</v>
      </c>
      <c r="L28" s="11">
        <f t="shared" si="5"/>
        <v>3</v>
      </c>
      <c r="M28" s="11">
        <f>SUMIFS(Data!$O$2:$O$2500,Data!$F$2:$F$2500,"PREP",Data!$N$2:$N$2500,"Cluster 5",Data!$M$2:$M$2500,"KITUI",Data!$L$2:$L$2500,$D$3)</f>
        <v>13</v>
      </c>
      <c r="N28" s="12">
        <f t="shared" si="6"/>
        <v>0.9285714285714286</v>
      </c>
      <c r="O28" s="11">
        <f t="shared" si="7"/>
        <v>1</v>
      </c>
      <c r="P28" s="12">
        <f t="shared" si="8"/>
        <v>0.9285714285714286</v>
      </c>
    </row>
    <row r="29" spans="2:16" x14ac:dyDescent="0.35">
      <c r="B29" s="10" t="s">
        <v>35</v>
      </c>
      <c r="C29" s="11">
        <f>SUMIFS(Data!$P$2:$P$2500,Data!$N$2:$N$2500,"Cluster 5",Data!$M$2:$M$2500,"MAKUENI")</f>
        <v>6</v>
      </c>
      <c r="D29" s="11">
        <f>SUMIFS(Data!$O$2:$O$2500,Data!$F$2:$F$2500,"C&amp;T",Data!$N$2:$N$2500,"Cluster 5",Data!$M$2:$M$2500,"MAKUENI",Data!$L$2:$L$2500,$D$3)</f>
        <v>6</v>
      </c>
      <c r="E29" s="12">
        <f t="shared" si="0"/>
        <v>1</v>
      </c>
      <c r="F29" s="11">
        <f t="shared" si="1"/>
        <v>0</v>
      </c>
      <c r="G29" s="11">
        <f>SUMIFS(Data!$O$2:$O$2500,Data!$F$2:$F$2500,"HTS",Data!$N$2:$N$2500,"Cluster 5",Data!$M$2:$M$2500,"MAKUENI",Data!$L$2:$L$2500,$D$3)</f>
        <v>6</v>
      </c>
      <c r="H29" s="12">
        <f t="shared" si="2"/>
        <v>1</v>
      </c>
      <c r="I29" s="11">
        <f t="shared" si="3"/>
        <v>0</v>
      </c>
      <c r="J29" s="11">
        <f>SUMIFS(Data!$O$2:$O$2500,Data!$F$2:$F$2500,"MNCH",Data!$N$2:$N$2500,"Cluster 5",Data!$M$2:$M$2500,"MAKUENI",Data!$L$2:$L$2500,$D$3)</f>
        <v>5</v>
      </c>
      <c r="K29" s="12">
        <f t="shared" si="4"/>
        <v>0.83333333333333337</v>
      </c>
      <c r="L29" s="11">
        <f t="shared" si="5"/>
        <v>1</v>
      </c>
      <c r="M29" s="11">
        <f>SUMIFS(Data!$O$2:$O$2500,Data!$F$2:$F$2500,"PREP",Data!$N$2:$N$2500,"Cluster 5",Data!$M$2:$M$2500,"MAKUENI",Data!$L$2:$L$2500,$D$3)</f>
        <v>6</v>
      </c>
      <c r="N29" s="12">
        <f t="shared" si="6"/>
        <v>1</v>
      </c>
      <c r="O29" s="11">
        <f t="shared" si="7"/>
        <v>0</v>
      </c>
      <c r="P29" s="12">
        <f t="shared" si="8"/>
        <v>0.95833333333333337</v>
      </c>
    </row>
    <row r="30" spans="2:16" x14ac:dyDescent="0.35">
      <c r="B30" s="10" t="s">
        <v>36</v>
      </c>
      <c r="C30" s="11">
        <f>SUMIFS(Data!$P$2:$P$2500,Data!$N$2:$N$2500,"Cluster 5",Data!$M$2:$M$2500,"MACHAKOS")</f>
        <v>4</v>
      </c>
      <c r="D30" s="11">
        <f>SUMIFS(Data!$O$2:$O$2500,Data!$F$2:$F$2500,"C&amp;T",Data!$N$2:$N$2500,"Cluster 5",Data!$M$2:$M$2500,"MACHAKOS",Data!$L$2:$L$2500,$D$3)</f>
        <v>4</v>
      </c>
      <c r="E30" s="12">
        <f t="shared" si="0"/>
        <v>1</v>
      </c>
      <c r="F30" s="11">
        <f t="shared" si="1"/>
        <v>0</v>
      </c>
      <c r="G30" s="11">
        <f>SUMIFS(Data!$O$2:$O$2500,Data!$F$2:$F$2500,"HTS",Data!$N$2:$N$2500,"Cluster 5",Data!$M$2:$M$2500,"MACHAKOS",Data!$L$2:$L$2500,$D$3)</f>
        <v>4</v>
      </c>
      <c r="H30" s="12">
        <f t="shared" si="2"/>
        <v>1</v>
      </c>
      <c r="I30" s="11">
        <f t="shared" si="3"/>
        <v>0</v>
      </c>
      <c r="J30" s="11">
        <f>SUMIFS(Data!$O$2:$O$2500,Data!$F$2:$F$2500,"MNCH",Data!$N$2:$N$2500,"Cluster 5",Data!$M$2:$M$2500,"MACHAKOS",Data!$L$2:$L$2500,$D$3)</f>
        <v>4</v>
      </c>
      <c r="K30" s="12">
        <f t="shared" si="4"/>
        <v>1</v>
      </c>
      <c r="L30" s="11">
        <f t="shared" si="5"/>
        <v>0</v>
      </c>
      <c r="M30" s="11">
        <f>SUMIFS(Data!$O$2:$O$2500,Data!$F$2:$F$2500,"PREP",Data!$N$2:$N$2500,"Cluster 5",Data!$M$2:$M$2500,"MACHAKOS",Data!$L$2:$L$2500,$D$3)</f>
        <v>4</v>
      </c>
      <c r="N30" s="12">
        <f t="shared" si="6"/>
        <v>1</v>
      </c>
      <c r="O30" s="11">
        <f t="shared" si="7"/>
        <v>0</v>
      </c>
      <c r="P30" s="12">
        <f t="shared" si="8"/>
        <v>1</v>
      </c>
    </row>
    <row r="31" spans="2:16" x14ac:dyDescent="0.35">
      <c r="B31" s="13" t="s">
        <v>37</v>
      </c>
      <c r="C31" s="14">
        <f>C11+C14+C19+C23+C27</f>
        <v>208</v>
      </c>
      <c r="D31" s="14">
        <f>D11+D14+D19+D23+D27</f>
        <v>208</v>
      </c>
      <c r="E31" s="15">
        <f t="shared" si="0"/>
        <v>1</v>
      </c>
      <c r="F31" s="14">
        <f t="shared" si="1"/>
        <v>0</v>
      </c>
      <c r="G31" s="14">
        <f>G11+G14+G19+G23+G27</f>
        <v>193</v>
      </c>
      <c r="H31" s="15">
        <f t="shared" si="2"/>
        <v>0.92788461538461542</v>
      </c>
      <c r="I31" s="14">
        <f t="shared" si="3"/>
        <v>15</v>
      </c>
      <c r="J31" s="14">
        <f>J11+J14+J19+J23+J27</f>
        <v>179</v>
      </c>
      <c r="K31" s="15">
        <f t="shared" si="4"/>
        <v>0.86057692307692313</v>
      </c>
      <c r="L31" s="14">
        <f t="shared" si="5"/>
        <v>29</v>
      </c>
      <c r="M31" s="14">
        <f>M11+M14+M19+M23+M27</f>
        <v>164</v>
      </c>
      <c r="N31" s="15">
        <f t="shared" si="6"/>
        <v>0.78846153846153844</v>
      </c>
      <c r="O31" s="14">
        <f t="shared" si="7"/>
        <v>44</v>
      </c>
      <c r="P31" s="15">
        <f t="shared" si="8"/>
        <v>0.89423076923076927</v>
      </c>
    </row>
    <row r="32" spans="2:16" x14ac:dyDescent="0.35">
      <c r="B32" s="16"/>
    </row>
    <row r="33" spans="2:8" x14ac:dyDescent="0.35">
      <c r="B33" s="17"/>
    </row>
    <row r="34" spans="2:8" x14ac:dyDescent="0.35">
      <c r="B34" s="17"/>
    </row>
    <row r="35" spans="2:8" x14ac:dyDescent="0.35">
      <c r="B35" s="17"/>
    </row>
    <row r="38" spans="2:8" ht="15.5" x14ac:dyDescent="0.35">
      <c r="B38" s="18" t="s">
        <v>38</v>
      </c>
    </row>
    <row r="39" spans="2:8" ht="27.75" customHeight="1" x14ac:dyDescent="0.35">
      <c r="B39" s="1" t="s">
        <v>39</v>
      </c>
      <c r="C39" s="1" t="s">
        <v>3</v>
      </c>
      <c r="D39" s="1" t="s">
        <v>12</v>
      </c>
      <c r="E39" s="1" t="s">
        <v>5</v>
      </c>
      <c r="F39" s="1" t="s">
        <v>6</v>
      </c>
      <c r="G39" s="1" t="s">
        <v>7</v>
      </c>
      <c r="H39" s="1" t="s">
        <v>40</v>
      </c>
    </row>
    <row r="40" spans="2:8" x14ac:dyDescent="0.35">
      <c r="B40" s="19" t="str">
        <f>B11</f>
        <v>Cluster 1</v>
      </c>
      <c r="C40" s="20">
        <f>C11</f>
        <v>65</v>
      </c>
      <c r="D40" s="21">
        <f>E11</f>
        <v>1</v>
      </c>
      <c r="E40" s="21">
        <f>H11</f>
        <v>0.87692307692307692</v>
      </c>
      <c r="F40" s="21">
        <f>K11</f>
        <v>0.84615384615384615</v>
      </c>
      <c r="G40" s="21">
        <f>N11</f>
        <v>0.58461538461538465</v>
      </c>
      <c r="H40" s="21">
        <f>P11</f>
        <v>0.82692307692307687</v>
      </c>
    </row>
    <row r="41" spans="2:8" x14ac:dyDescent="0.35">
      <c r="B41" s="19" t="str">
        <f>B14</f>
        <v>Cluster 2</v>
      </c>
      <c r="C41" s="20">
        <f>C14</f>
        <v>64</v>
      </c>
      <c r="D41" s="21">
        <f>E14</f>
        <v>1</v>
      </c>
      <c r="E41" s="21">
        <f>H14</f>
        <v>0.9375</v>
      </c>
      <c r="F41" s="21">
        <f>K14</f>
        <v>0.828125</v>
      </c>
      <c r="G41" s="21">
        <f>N14</f>
        <v>0.796875</v>
      </c>
      <c r="H41" s="21">
        <f>P14</f>
        <v>0.890625</v>
      </c>
    </row>
    <row r="42" spans="2:8" x14ac:dyDescent="0.35">
      <c r="B42" s="19" t="str">
        <f>B19</f>
        <v>Cluster 3</v>
      </c>
      <c r="C42" s="20">
        <f>C19</f>
        <v>13</v>
      </c>
      <c r="D42" s="21">
        <f>E19</f>
        <v>1</v>
      </c>
      <c r="E42" s="21">
        <f>H19</f>
        <v>1</v>
      </c>
      <c r="F42" s="21">
        <f>K19</f>
        <v>0.92307692307692313</v>
      </c>
      <c r="G42" s="21">
        <f>N19</f>
        <v>1</v>
      </c>
      <c r="H42" s="21">
        <f>P19</f>
        <v>0.98076923076923073</v>
      </c>
    </row>
    <row r="43" spans="2:8" x14ac:dyDescent="0.35">
      <c r="B43" s="19" t="str">
        <f>B23</f>
        <v>Cluster 4</v>
      </c>
      <c r="C43" s="20">
        <f>C23</f>
        <v>42</v>
      </c>
      <c r="D43" s="21">
        <f>E23</f>
        <v>1</v>
      </c>
      <c r="E43" s="21">
        <f>H23</f>
        <v>0.9285714285714286</v>
      </c>
      <c r="F43" s="21">
        <f>K23</f>
        <v>0.9285714285714286</v>
      </c>
      <c r="G43" s="21">
        <f>N23</f>
        <v>0.9285714285714286</v>
      </c>
      <c r="H43" s="21">
        <f>P23</f>
        <v>0.9464285714285714</v>
      </c>
    </row>
    <row r="44" spans="2:8" x14ac:dyDescent="0.35">
      <c r="B44" s="19" t="str">
        <f>B27</f>
        <v>Cluster 5</v>
      </c>
      <c r="C44" s="20">
        <f>C27</f>
        <v>24</v>
      </c>
      <c r="D44" s="21">
        <f>E27</f>
        <v>1</v>
      </c>
      <c r="E44" s="21">
        <f>H27</f>
        <v>1</v>
      </c>
      <c r="F44" s="21">
        <f>K27</f>
        <v>0.83333333333333337</v>
      </c>
      <c r="G44" s="21">
        <f>N27</f>
        <v>0.95833333333333337</v>
      </c>
      <c r="H44" s="21">
        <f>P27</f>
        <v>0.94791666666666663</v>
      </c>
    </row>
    <row r="45" spans="2:8" x14ac:dyDescent="0.35">
      <c r="B45" s="13" t="s">
        <v>41</v>
      </c>
      <c r="C45" s="14">
        <f>C31</f>
        <v>208</v>
      </c>
      <c r="D45" s="15">
        <f>E31</f>
        <v>1</v>
      </c>
      <c r="E45" s="15">
        <f>H31</f>
        <v>0.92788461538461542</v>
      </c>
      <c r="F45" s="15">
        <f>K31</f>
        <v>0.86057692307692313</v>
      </c>
      <c r="G45" s="15">
        <f>N31</f>
        <v>0.78846153846153844</v>
      </c>
      <c r="H45" s="15">
        <f>P31</f>
        <v>0.89423076923076927</v>
      </c>
    </row>
  </sheetData>
  <mergeCells count="25">
    <mergeCell ref="P9:P10"/>
    <mergeCell ref="B1:P1"/>
    <mergeCell ref="L6:M7"/>
    <mergeCell ref="N6:O7"/>
    <mergeCell ref="N8:O8"/>
    <mergeCell ref="B9:B10"/>
    <mergeCell ref="C9:C10"/>
    <mergeCell ref="D9:F9"/>
    <mergeCell ref="G9:I9"/>
    <mergeCell ref="J9:L9"/>
    <mergeCell ref="M9:O9"/>
    <mergeCell ref="B6:C7"/>
    <mergeCell ref="D6:E7"/>
    <mergeCell ref="F6:G7"/>
    <mergeCell ref="H6:I7"/>
    <mergeCell ref="B5:C5"/>
    <mergeCell ref="N5:O5"/>
    <mergeCell ref="J6:K7"/>
    <mergeCell ref="D2:E2"/>
    <mergeCell ref="D3:E3"/>
    <mergeCell ref="D5:E5"/>
    <mergeCell ref="F5:G5"/>
    <mergeCell ref="H5:I5"/>
    <mergeCell ref="J5:K5"/>
    <mergeCell ref="L5:M5"/>
  </mergeCells>
  <conditionalFormatting sqref="D40:H44">
    <cfRule type="cellIs" dxfId="47" priority="23" operator="greaterThanOrEqual">
      <formula>0.95</formula>
    </cfRule>
    <cfRule type="cellIs" dxfId="46" priority="24" operator="between">
      <formula>0.8</formula>
      <formula>0.9499999</formula>
    </cfRule>
    <cfRule type="cellIs" dxfId="45" priority="25" operator="lessThan">
      <formula>0.8</formula>
    </cfRule>
  </conditionalFormatting>
  <conditionalFormatting sqref="D6:M6">
    <cfRule type="cellIs" dxfId="44" priority="20" operator="greaterThanOrEqual">
      <formula>0.95</formula>
    </cfRule>
    <cfRule type="cellIs" dxfId="43" priority="21" operator="between">
      <formula>0.8</formula>
      <formula>0.9499999</formula>
    </cfRule>
    <cfRule type="cellIs" dxfId="42" priority="22" operator="lessThan">
      <formula>0.8</formula>
    </cfRule>
  </conditionalFormatting>
  <conditionalFormatting sqref="E11:E31">
    <cfRule type="cellIs" dxfId="41" priority="2" operator="greaterThanOrEqual">
      <formula>0.95</formula>
    </cfRule>
    <cfRule type="cellIs" dxfId="40" priority="3" operator="between">
      <formula>0.8</formula>
      <formula>0.9499999</formula>
    </cfRule>
    <cfRule type="cellIs" dxfId="39" priority="4" operator="lessThan">
      <formula>0.8</formula>
    </cfRule>
  </conditionalFormatting>
  <conditionalFormatting sqref="H11:H31">
    <cfRule type="cellIs" dxfId="38" priority="8" operator="greaterThanOrEqual">
      <formula>0.95</formula>
    </cfRule>
    <cfRule type="cellIs" dxfId="37" priority="9" operator="between">
      <formula>0.8</formula>
      <formula>0.9499999</formula>
    </cfRule>
    <cfRule type="cellIs" dxfId="36" priority="10" operator="lessThan">
      <formula>0.8</formula>
    </cfRule>
  </conditionalFormatting>
  <conditionalFormatting sqref="K11:K31">
    <cfRule type="cellIs" dxfId="35" priority="11" operator="greaterThanOrEqual">
      <formula>0.95</formula>
    </cfRule>
    <cfRule type="cellIs" dxfId="34" priority="12" operator="between">
      <formula>0.8</formula>
      <formula>0.9499999</formula>
    </cfRule>
    <cfRule type="cellIs" dxfId="33" priority="13" operator="lessThan">
      <formula>0.8</formula>
    </cfRule>
  </conditionalFormatting>
  <conditionalFormatting sqref="N11:N31">
    <cfRule type="cellIs" dxfId="32" priority="14" operator="greaterThanOrEqual">
      <formula>0.95</formula>
    </cfRule>
    <cfRule type="cellIs" dxfId="31" priority="15" operator="between">
      <formula>0.8</formula>
      <formula>0.9499999</formula>
    </cfRule>
    <cfRule type="cellIs" dxfId="30" priority="16" operator="lessThan">
      <formula>0.8</formula>
    </cfRule>
  </conditionalFormatting>
  <conditionalFormatting sqref="P11:P31">
    <cfRule type="cellIs" dxfId="29" priority="17" operator="greaterThanOrEqual">
      <formula>0.95</formula>
    </cfRule>
    <cfRule type="cellIs" dxfId="28" priority="18" operator="between">
      <formula>0.8</formula>
      <formula>0.9499999</formula>
    </cfRule>
    <cfRule type="cellIs" dxfId="27" priority="19" operator="lessThan">
      <formula>0.8</formula>
    </cfRule>
  </conditionalFormatting>
  <hyperlinks>
    <hyperlink ref="N8" r:id="rId1" location="'FAA%20Milestone%20Link'!A1" display="file:///mnt/user-data/outputs/UJTP_DWAPI_Cluster_Tracker_August_2026.xlsx#'FAA Milestone Link'!A1" xr:uid="{00000000-0004-0000-0000-000000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pageSetUpPr fitToPage="1"/>
  </sheetPr>
  <dimension ref="B1:K83"/>
  <sheetViews>
    <sheetView showGridLines="0" topLeftCell="A67" zoomScaleNormal="100" workbookViewId="0">
      <selection activeCell="F82" sqref="F82"/>
    </sheetView>
  </sheetViews>
  <sheetFormatPr defaultColWidth="8.6328125" defaultRowHeight="14.5" x14ac:dyDescent="0.35"/>
  <cols>
    <col min="1" max="1" width="2" customWidth="1"/>
    <col min="2" max="2" width="34" customWidth="1"/>
    <col min="3" max="3" width="16" customWidth="1"/>
    <col min="4" max="4" width="14" customWidth="1"/>
    <col min="5" max="5" width="15" customWidth="1"/>
    <col min="6" max="6" width="22" customWidth="1"/>
    <col min="7" max="7" width="15" customWidth="1"/>
    <col min="8" max="8" width="12" customWidth="1"/>
    <col min="9" max="9" width="24" customWidth="1"/>
    <col min="10" max="10" width="16" customWidth="1"/>
    <col min="11" max="11" width="14" customWidth="1"/>
  </cols>
  <sheetData>
    <row r="1" spans="2:10" ht="20" x14ac:dyDescent="0.35">
      <c r="B1" s="3" t="s">
        <v>43</v>
      </c>
    </row>
    <row r="2" spans="2:10" x14ac:dyDescent="0.35">
      <c r="B2" s="4" t="s">
        <v>44</v>
      </c>
    </row>
    <row r="4" spans="2:10" ht="15.5" x14ac:dyDescent="0.35">
      <c r="B4" s="18" t="s">
        <v>45</v>
      </c>
    </row>
    <row r="5" spans="2:10" x14ac:dyDescent="0.35">
      <c r="B5" s="5" t="s">
        <v>46</v>
      </c>
      <c r="C5" s="22">
        <v>22</v>
      </c>
      <c r="D5" s="17" t="s">
        <v>47</v>
      </c>
    </row>
    <row r="6" spans="2:10" ht="15.75" customHeight="1" x14ac:dyDescent="0.35">
      <c r="B6" s="5" t="s">
        <v>48</v>
      </c>
      <c r="C6" s="77" t="str">
        <f>IFERROR(INDEX('FAA Milestones'!$B$5:$B$30,MATCH($C$5,'FAA Milestones'!$A$5:$A$30,0)),"")</f>
        <v>Digital Health Systems 
&amp; Electronic Reporting Coverage, Data Systems</v>
      </c>
      <c r="D6" s="77"/>
      <c r="E6" s="77"/>
      <c r="F6" s="77"/>
      <c r="G6" s="77"/>
      <c r="H6" s="77"/>
      <c r="I6" s="77"/>
      <c r="J6" s="77"/>
    </row>
    <row r="7" spans="2:10" ht="30" customHeight="1" x14ac:dyDescent="0.35">
      <c r="B7" s="5" t="s">
        <v>49</v>
      </c>
      <c r="C7" s="77" t="str">
        <f>IFERROR(INDEX('FAA Milestones'!$E$5:$E$30,MATCH($C$5,'FAA Milestones'!$A$5:$A$30,0)),"")</f>
        <v xml:space="preserve">Electronic reporting of HIV service data through TaifaCare EMR, automated exchange to the National Data Warehouse and KHIS </v>
      </c>
      <c r="D7" s="77"/>
      <c r="E7" s="77"/>
      <c r="F7" s="77"/>
      <c r="G7" s="77"/>
      <c r="H7" s="77"/>
      <c r="I7" s="77"/>
      <c r="J7" s="77"/>
    </row>
    <row r="8" spans="2:10" ht="15.75" customHeight="1" x14ac:dyDescent="0.35">
      <c r="B8" s="5" t="s">
        <v>50</v>
      </c>
      <c r="C8" s="77" t="str">
        <f>IFERROR(INDEX('FAA Milestones'!$F$5:$F$30,MATCH($C$5,'FAA Milestones'!$A$5:$A$30,0)),"")</f>
        <v>National Data Warehouse (NDWH); KHIS</v>
      </c>
      <c r="D8" s="77"/>
      <c r="E8" s="77"/>
      <c r="F8" s="77"/>
      <c r="G8" s="77"/>
      <c r="H8" s="77"/>
      <c r="I8" s="77"/>
      <c r="J8" s="77"/>
    </row>
    <row r="9" spans="2:10" ht="30" customHeight="1" x14ac:dyDescent="0.35">
      <c r="B9" s="5" t="s">
        <v>51</v>
      </c>
      <c r="C9" s="77" t="str">
        <f>IFERROR(INDEX('FAA Milestones'!$H$5:$H$30,MATCH($C$5,'FAA Milestones'!$A$5:$A$30,0)),"")</f>
        <v>Desk review of the National Data Warehouse system-generated facility reporting-rate dashboard and KHIS reporting completeness; district Data Quality Assessment (DQA)</v>
      </c>
      <c r="D9" s="77"/>
      <c r="E9" s="77"/>
      <c r="F9" s="77"/>
      <c r="G9" s="77"/>
      <c r="H9" s="77"/>
      <c r="I9" s="77"/>
      <c r="J9" s="77"/>
    </row>
    <row r="10" spans="2:10" ht="15.75" customHeight="1" x14ac:dyDescent="0.35">
      <c r="B10" s="5" t="s">
        <v>52</v>
      </c>
      <c r="C10" s="77" t="str">
        <f>IFERROR(INDEX('FAA Milestones'!$I$5:$I$30,MATCH($C$5,'FAA Milestones'!$A$5:$A$30,0)),"")</f>
        <v>≥95% of HIV facilities reporting electronically</v>
      </c>
      <c r="D10" s="77"/>
      <c r="E10" s="77"/>
      <c r="F10" s="77"/>
      <c r="G10" s="77"/>
      <c r="H10" s="77"/>
      <c r="I10" s="77"/>
      <c r="J10" s="77"/>
    </row>
    <row r="11" spans="2:10" ht="57.75" customHeight="1" x14ac:dyDescent="0.35">
      <c r="B11" s="5" t="s">
        <v>53</v>
      </c>
      <c r="C11" s="77" t="str">
        <f>IFERROR(INDEX('FAA Milestones'!$J$5:$J$30,MATCH($C$5,'FAA Milestones'!$A$5:$A$30,0)),"")</f>
        <v xml:space="preserve">100% payment: ≥95% reporting 
80% payment: 90–94% reporting 
50% payment: 80–89% reporting 
No payment: &lt;80% reporting </v>
      </c>
      <c r="D11" s="77"/>
      <c r="E11" s="77"/>
      <c r="F11" s="77"/>
      <c r="G11" s="77"/>
      <c r="H11" s="77"/>
      <c r="I11" s="77"/>
      <c r="J11" s="77"/>
    </row>
    <row r="12" spans="2:10" ht="15.75" customHeight="1" x14ac:dyDescent="0.35">
      <c r="B12" s="5" t="s">
        <v>54</v>
      </c>
      <c r="C12" s="77" t="str">
        <f>IFERROR(INDEX('FAA Milestones'!$K$5:$K$30,MATCH($C$5,'FAA Milestones'!$A$5:$A$30,0)),"")</f>
        <v>Monthly</v>
      </c>
      <c r="D12" s="77"/>
      <c r="E12" s="77"/>
      <c r="F12" s="77"/>
      <c r="G12" s="77"/>
      <c r="H12" s="77"/>
      <c r="I12" s="77"/>
      <c r="J12" s="77"/>
    </row>
    <row r="13" spans="2:10" ht="15.75" customHeight="1" x14ac:dyDescent="0.35">
      <c r="B13" s="5" t="s">
        <v>55</v>
      </c>
      <c r="C13" s="77" t="str">
        <f>IFERROR(INDEX('FAA Milestones'!$V$5:$V$30,MATCH($C$5,'FAA Milestones'!$A$5:$A$30,0)),"")</f>
        <v>Tier 2</v>
      </c>
      <c r="D13" s="77"/>
      <c r="E13" s="77"/>
      <c r="F13" s="77"/>
      <c r="G13" s="77"/>
      <c r="H13" s="77"/>
      <c r="I13" s="77"/>
      <c r="J13" s="77"/>
    </row>
    <row r="14" spans="2:10" ht="15.75" customHeight="1" x14ac:dyDescent="0.35">
      <c r="B14" s="5" t="s">
        <v>56</v>
      </c>
      <c r="C14" s="77" t="str">
        <f>IFERROR(INDEX('FAA Milestones'!$U$5:$U$30,MATCH($C$5,'FAA Milestones'!$A$5:$A$30,0)),"")</f>
        <v>Hybrid (USG + Third Party Firm)</v>
      </c>
      <c r="D14" s="77"/>
      <c r="E14" s="77"/>
      <c r="F14" s="77"/>
      <c r="G14" s="77"/>
      <c r="H14" s="77"/>
      <c r="I14" s="77"/>
      <c r="J14" s="77"/>
    </row>
    <row r="15" spans="2:10" ht="15.75" customHeight="1" x14ac:dyDescent="0.35">
      <c r="B15" s="5" t="s">
        <v>57</v>
      </c>
      <c r="C15" s="79">
        <f>IFERROR(INDEX('FAA Milestones'!$T$5:$T$30,MATCH($C$5,'FAA Milestones'!$A$5:$A$30,0)),"")</f>
        <v>269684</v>
      </c>
      <c r="D15" s="79"/>
      <c r="E15" s="79"/>
      <c r="F15" s="79"/>
      <c r="G15" s="79"/>
      <c r="H15" s="79"/>
      <c r="I15" s="79"/>
      <c r="J15" s="79"/>
    </row>
    <row r="17" spans="2:7" ht="15.5" x14ac:dyDescent="0.35">
      <c r="B17" s="18" t="s">
        <v>58</v>
      </c>
    </row>
    <row r="18" spans="2:7" x14ac:dyDescent="0.35">
      <c r="B18" s="2" t="s">
        <v>59</v>
      </c>
      <c r="C18" s="2" t="s">
        <v>60</v>
      </c>
      <c r="D18" s="2" t="s">
        <v>61</v>
      </c>
    </row>
    <row r="19" spans="2:7" x14ac:dyDescent="0.35">
      <c r="B19" s="23">
        <v>0</v>
      </c>
      <c r="C19" s="23">
        <v>0</v>
      </c>
      <c r="D19" s="24" t="s">
        <v>62</v>
      </c>
    </row>
    <row r="20" spans="2:7" x14ac:dyDescent="0.35">
      <c r="B20" s="23">
        <v>0.8</v>
      </c>
      <c r="C20" s="23">
        <v>0.5</v>
      </c>
      <c r="D20" s="24" t="s">
        <v>63</v>
      </c>
    </row>
    <row r="21" spans="2:7" x14ac:dyDescent="0.35">
      <c r="B21" s="23">
        <v>0.9</v>
      </c>
      <c r="C21" s="23">
        <v>0.8</v>
      </c>
      <c r="D21" s="24" t="s">
        <v>64</v>
      </c>
    </row>
    <row r="22" spans="2:7" x14ac:dyDescent="0.35">
      <c r="B22" s="23">
        <v>0.95</v>
      </c>
      <c r="C22" s="23">
        <v>1</v>
      </c>
      <c r="D22" s="24" t="s">
        <v>65</v>
      </c>
    </row>
    <row r="23" spans="2:7" x14ac:dyDescent="0.35">
      <c r="B23" s="17" t="s">
        <v>66</v>
      </c>
    </row>
    <row r="25" spans="2:7" ht="15.5" x14ac:dyDescent="0.35">
      <c r="B25" s="18" t="s">
        <v>67</v>
      </c>
    </row>
    <row r="26" spans="2:7" x14ac:dyDescent="0.35">
      <c r="B26" s="5" t="s">
        <v>0</v>
      </c>
      <c r="C26" s="25">
        <f>'Cluster Summary'!D2</f>
        <v>46266</v>
      </c>
    </row>
    <row r="27" spans="2:7" x14ac:dyDescent="0.35">
      <c r="B27" s="5" t="s">
        <v>68</v>
      </c>
      <c r="C27" s="25" t="str">
        <f>'Cluster Summary'!D3</f>
        <v>2026-10</v>
      </c>
    </row>
    <row r="28" spans="2:7" x14ac:dyDescent="0.35">
      <c r="B28" s="5" t="s">
        <v>69</v>
      </c>
      <c r="C28" s="22" t="s">
        <v>4</v>
      </c>
      <c r="D28" s="17" t="s">
        <v>70</v>
      </c>
    </row>
    <row r="30" spans="2:7" ht="30" customHeight="1" x14ac:dyDescent="0.35">
      <c r="B30" s="1" t="s">
        <v>71</v>
      </c>
      <c r="C30" s="1" t="s">
        <v>3</v>
      </c>
      <c r="D30" s="1" t="s">
        <v>72</v>
      </c>
      <c r="E30" s="1" t="s">
        <v>73</v>
      </c>
      <c r="F30" s="1" t="s">
        <v>74</v>
      </c>
      <c r="G30" s="1" t="s">
        <v>75</v>
      </c>
    </row>
    <row r="31" spans="2:7" x14ac:dyDescent="0.35">
      <c r="B31" s="19" t="s">
        <v>4</v>
      </c>
      <c r="C31" s="26">
        <f>'Cluster Summary'!C31</f>
        <v>208</v>
      </c>
      <c r="D31" s="26">
        <f>'Cluster Summary'!D31</f>
        <v>208</v>
      </c>
      <c r="E31" s="21">
        <f>IF(C31=0,0,D31/C31)</f>
        <v>1</v>
      </c>
      <c r="F31" s="27" t="str">
        <f>INDEX($D$19:$D$22,MATCH(E31,$B$19:$B$22,1))</f>
        <v>Full payment (≥95%)</v>
      </c>
      <c r="G31" s="20">
        <f>MAX(0,ROUNDUP($B$22*C31,0)-D31)</f>
        <v>0</v>
      </c>
    </row>
    <row r="32" spans="2:7" x14ac:dyDescent="0.35">
      <c r="B32" s="19" t="s">
        <v>5</v>
      </c>
      <c r="C32" s="26">
        <f>'Cluster Summary'!C31</f>
        <v>208</v>
      </c>
      <c r="D32" s="26">
        <f>'Cluster Summary'!G31</f>
        <v>193</v>
      </c>
      <c r="E32" s="21">
        <f>IF(C32=0,0,D32/C32)</f>
        <v>0.92788461538461542</v>
      </c>
      <c r="F32" s="27" t="str">
        <f>INDEX($D$19:$D$22,MATCH(E32,$B$19:$B$22,1))</f>
        <v>80% payment (90–94%)</v>
      </c>
      <c r="G32" s="20">
        <f>MAX(0,ROUNDUP($B$22*C32,0)-D32)</f>
        <v>5</v>
      </c>
    </row>
    <row r="33" spans="2:7" x14ac:dyDescent="0.35">
      <c r="B33" s="19" t="s">
        <v>6</v>
      </c>
      <c r="C33" s="26">
        <f>'Cluster Summary'!C31</f>
        <v>208</v>
      </c>
      <c r="D33" s="26">
        <f>'Cluster Summary'!J31</f>
        <v>179</v>
      </c>
      <c r="E33" s="21">
        <f>IF(C33=0,0,D33/C33)</f>
        <v>0.86057692307692313</v>
      </c>
      <c r="F33" s="27" t="str">
        <f>INDEX($D$19:$D$22,MATCH(E33,$B$19:$B$22,1))</f>
        <v>50% payment (80–89%)</v>
      </c>
      <c r="G33" s="20">
        <f>MAX(0,ROUNDUP($B$22*C33,0)-D33)</f>
        <v>19</v>
      </c>
    </row>
    <row r="34" spans="2:7" x14ac:dyDescent="0.35">
      <c r="B34" s="19" t="s">
        <v>7</v>
      </c>
      <c r="C34" s="26">
        <f>'Cluster Summary'!C31</f>
        <v>208</v>
      </c>
      <c r="D34" s="26">
        <f>'Cluster Summary'!M31</f>
        <v>164</v>
      </c>
      <c r="E34" s="21">
        <f>IF(C34=0,0,D34/C34)</f>
        <v>0.78846153846153844</v>
      </c>
      <c r="F34" s="27" t="str">
        <f>INDEX($D$19:$D$22,MATCH(E34,$B$19:$B$22,1))</f>
        <v>No payment (&lt;80%)</v>
      </c>
      <c r="G34" s="20">
        <f>MAX(0,ROUNDUP($B$22*C34,0)-D34)</f>
        <v>34</v>
      </c>
    </row>
    <row r="35" spans="2:7" x14ac:dyDescent="0.35">
      <c r="B35" s="19" t="s">
        <v>8</v>
      </c>
      <c r="C35" s="26">
        <f>SUM(C31:C34)</f>
        <v>832</v>
      </c>
      <c r="D35" s="26">
        <f>SUM(D31:D34)</f>
        <v>744</v>
      </c>
      <c r="E35" s="28">
        <f>IF(C35=0,0,D35/C35)</f>
        <v>0.89423076923076927</v>
      </c>
      <c r="F35" s="19" t="str">
        <f>INDEX($D$19:$D$22,MATCH(E35,$B$19:$B$22,1))</f>
        <v>50% payment (80–89%)</v>
      </c>
      <c r="G35" s="29">
        <f>MAX(0,ROUNDUP($B$22*C35,0)-D35)</f>
        <v>47</v>
      </c>
    </row>
    <row r="37" spans="2:7" x14ac:dyDescent="0.35">
      <c r="B37" s="78" t="s">
        <v>76</v>
      </c>
      <c r="C37" s="78"/>
      <c r="D37" s="78"/>
      <c r="E37" s="78"/>
      <c r="F37" s="78"/>
      <c r="G37" s="78"/>
    </row>
    <row r="38" spans="2:7" x14ac:dyDescent="0.35">
      <c r="B38" s="5" t="s">
        <v>77</v>
      </c>
      <c r="C38" s="9">
        <f>INDEX($E$31:$E$35,MATCH($C$28,$B$31:$B$35,0))</f>
        <v>1</v>
      </c>
    </row>
    <row r="39" spans="2:7" x14ac:dyDescent="0.35">
      <c r="B39" s="5" t="s">
        <v>78</v>
      </c>
      <c r="C39" s="8" t="str">
        <f>INDEX($D$19:$D$22,MATCH(C38,$B$19:$B$22,1))</f>
        <v>Full payment (≥95%)</v>
      </c>
    </row>
    <row r="40" spans="2:7" x14ac:dyDescent="0.35">
      <c r="B40" s="5" t="s">
        <v>79</v>
      </c>
      <c r="C40" s="30">
        <f>INDEX($C$19:$C$22,MATCH(C38,$B$19:$B$22,1))</f>
        <v>1</v>
      </c>
    </row>
    <row r="41" spans="2:7" x14ac:dyDescent="0.35">
      <c r="B41" s="5" t="s">
        <v>80</v>
      </c>
      <c r="C41" s="31">
        <f>IFERROR(INDEX('FAA Milestones'!$O$5:$O$30,MATCH($C$5,'FAA Milestones'!$A$5:$A$30,0)),0)</f>
        <v>44900</v>
      </c>
    </row>
    <row r="42" spans="2:7" x14ac:dyDescent="0.35">
      <c r="B42" s="5" t="s">
        <v>81</v>
      </c>
      <c r="C42" s="31">
        <f>C40*C41</f>
        <v>44900</v>
      </c>
    </row>
    <row r="43" spans="2:7" x14ac:dyDescent="0.35">
      <c r="B43" s="5" t="s">
        <v>82</v>
      </c>
      <c r="C43" s="31">
        <f>C41-C42</f>
        <v>0</v>
      </c>
    </row>
    <row r="44" spans="2:7" x14ac:dyDescent="0.35">
      <c r="B44" s="5" t="s">
        <v>83</v>
      </c>
      <c r="C44" s="32">
        <f>INDEX($G$31:$G$35,MATCH($C$28,$B$31:$B$35,0))</f>
        <v>0</v>
      </c>
    </row>
    <row r="45" spans="2:7" x14ac:dyDescent="0.35">
      <c r="B45" s="33" t="s">
        <v>84</v>
      </c>
    </row>
    <row r="47" spans="2:7" ht="15.5" x14ac:dyDescent="0.35">
      <c r="B47" s="18" t="s">
        <v>85</v>
      </c>
    </row>
    <row r="48" spans="2:7" ht="30" customHeight="1" x14ac:dyDescent="0.35">
      <c r="B48" s="1" t="s">
        <v>10</v>
      </c>
      <c r="C48" s="1" t="s">
        <v>3</v>
      </c>
      <c r="D48" s="1" t="s">
        <v>72</v>
      </c>
      <c r="E48" s="1" t="s">
        <v>73</v>
      </c>
      <c r="F48" s="1" t="s">
        <v>86</v>
      </c>
      <c r="G48" s="1" t="s">
        <v>87</v>
      </c>
    </row>
    <row r="49" spans="2:7" x14ac:dyDescent="0.35">
      <c r="B49" s="7" t="str">
        <f>'Cluster Summary'!B11</f>
        <v>Cluster 1</v>
      </c>
      <c r="C49" s="8">
        <f>IF($C$28="Overall",'Cluster Summary'!C11*4,'Cluster Summary'!C11)</f>
        <v>65</v>
      </c>
      <c r="D49" s="8">
        <f>CHOOSE(MATCH($C$28,{"C&amp;T","HTS","MNCH","PrEP","Overall"},0),'Cluster Summary'!D11,'Cluster Summary'!G11,'Cluster Summary'!J11,'Cluster Summary'!M11,'Cluster Summary'!D11+'Cluster Summary'!G11+'Cluster Summary'!J11+'Cluster Summary'!M11)</f>
        <v>65</v>
      </c>
      <c r="E49" s="9">
        <f t="shared" ref="E49:E69" si="0">IF(C49=0,0,D49/C49)</f>
        <v>1</v>
      </c>
      <c r="F49" s="7" t="str">
        <f t="shared" ref="F49:F69" si="1">INDEX($D$19:$D$22,MATCH(E49,$B$19:$B$22,1))</f>
        <v>Full payment (≥95%)</v>
      </c>
      <c r="G49" s="8">
        <f t="shared" ref="G49:G69" si="2">MAX(0,ROUNDUP($B$22*C49,0)-D49)</f>
        <v>0</v>
      </c>
    </row>
    <row r="50" spans="2:7" x14ac:dyDescent="0.35">
      <c r="B50" s="10" t="str">
        <f>'Cluster Summary'!B12</f>
        <v xml:space="preserve">   Meru</v>
      </c>
      <c r="C50" s="11">
        <f>IF($C$28="Overall",'Cluster Summary'!C12*4,'Cluster Summary'!C12)</f>
        <v>64</v>
      </c>
      <c r="D50" s="11">
        <f>CHOOSE(MATCH($C$28,{"C&amp;T","HTS","MNCH","PrEP","Overall"},0),'Cluster Summary'!D12,'Cluster Summary'!G12,'Cluster Summary'!J12,'Cluster Summary'!M12,'Cluster Summary'!D12+'Cluster Summary'!G12+'Cluster Summary'!J12+'Cluster Summary'!M12)</f>
        <v>64</v>
      </c>
      <c r="E50" s="12">
        <f t="shared" si="0"/>
        <v>1</v>
      </c>
      <c r="F50" s="10" t="str">
        <f t="shared" si="1"/>
        <v>Full payment (≥95%)</v>
      </c>
      <c r="G50" s="11">
        <f t="shared" si="2"/>
        <v>0</v>
      </c>
    </row>
    <row r="51" spans="2:7" x14ac:dyDescent="0.35">
      <c r="B51" s="10" t="str">
        <f>'Cluster Summary'!B13</f>
        <v xml:space="preserve">   Laikipia</v>
      </c>
      <c r="C51" s="11">
        <f>IF($C$28="Overall",'Cluster Summary'!C13*4,'Cluster Summary'!C13)</f>
        <v>1</v>
      </c>
      <c r="D51" s="11">
        <f>CHOOSE(MATCH($C$28,{"C&amp;T","HTS","MNCH","PrEP","Overall"},0),'Cluster Summary'!D13,'Cluster Summary'!G13,'Cluster Summary'!J13,'Cluster Summary'!M13,'Cluster Summary'!D13+'Cluster Summary'!G13+'Cluster Summary'!J13+'Cluster Summary'!M13)</f>
        <v>1</v>
      </c>
      <c r="E51" s="12">
        <f t="shared" si="0"/>
        <v>1</v>
      </c>
      <c r="F51" s="10" t="str">
        <f t="shared" si="1"/>
        <v>Full payment (≥95%)</v>
      </c>
      <c r="G51" s="11">
        <f t="shared" si="2"/>
        <v>0</v>
      </c>
    </row>
    <row r="52" spans="2:7" x14ac:dyDescent="0.35">
      <c r="B52" s="7" t="str">
        <f>'Cluster Summary'!B14</f>
        <v>Cluster 2</v>
      </c>
      <c r="C52" s="8">
        <f>IF($C$28="Overall",'Cluster Summary'!C14*4,'Cluster Summary'!C14)</f>
        <v>64</v>
      </c>
      <c r="D52" s="8">
        <f>CHOOSE(MATCH($C$28,{"C&amp;T","HTS","MNCH","PrEP","Overall"},0),'Cluster Summary'!D14,'Cluster Summary'!G14,'Cluster Summary'!J14,'Cluster Summary'!M14,'Cluster Summary'!D14+'Cluster Summary'!G14+'Cluster Summary'!J14+'Cluster Summary'!M14)</f>
        <v>64</v>
      </c>
      <c r="E52" s="9">
        <f t="shared" si="0"/>
        <v>1</v>
      </c>
      <c r="F52" s="7" t="str">
        <f t="shared" si="1"/>
        <v>Full payment (≥95%)</v>
      </c>
      <c r="G52" s="8">
        <f t="shared" si="2"/>
        <v>0</v>
      </c>
    </row>
    <row r="53" spans="2:7" x14ac:dyDescent="0.35">
      <c r="B53" s="10" t="str">
        <f>'Cluster Summary'!B15</f>
        <v xml:space="preserve">   Embu</v>
      </c>
      <c r="C53" s="11">
        <f>IF($C$28="Overall",'Cluster Summary'!C15*4,'Cluster Summary'!C15)</f>
        <v>35</v>
      </c>
      <c r="D53" s="11">
        <f>CHOOSE(MATCH($C$28,{"C&amp;T","HTS","MNCH","PrEP","Overall"},0),'Cluster Summary'!D15,'Cluster Summary'!G15,'Cluster Summary'!J15,'Cluster Summary'!M15,'Cluster Summary'!D15+'Cluster Summary'!G15+'Cluster Summary'!J15+'Cluster Summary'!M15)</f>
        <v>35</v>
      </c>
      <c r="E53" s="12">
        <f t="shared" si="0"/>
        <v>1</v>
      </c>
      <c r="F53" s="10" t="str">
        <f t="shared" si="1"/>
        <v>Full payment (≥95%)</v>
      </c>
      <c r="G53" s="11">
        <f t="shared" si="2"/>
        <v>0</v>
      </c>
    </row>
    <row r="54" spans="2:7" x14ac:dyDescent="0.35">
      <c r="B54" s="10" t="str">
        <f>'Cluster Summary'!B16</f>
        <v xml:space="preserve">   Tharaka-Nithi</v>
      </c>
      <c r="C54" s="11">
        <f>IF($C$28="Overall",'Cluster Summary'!C16*4,'Cluster Summary'!C16)</f>
        <v>23</v>
      </c>
      <c r="D54" s="11">
        <f>CHOOSE(MATCH($C$28,{"C&amp;T","HTS","MNCH","PrEP","Overall"},0),'Cluster Summary'!D16,'Cluster Summary'!G16,'Cluster Summary'!J16,'Cluster Summary'!M16,'Cluster Summary'!D16+'Cluster Summary'!G16+'Cluster Summary'!J16+'Cluster Summary'!M16)</f>
        <v>23</v>
      </c>
      <c r="E54" s="12">
        <f t="shared" si="0"/>
        <v>1</v>
      </c>
      <c r="F54" s="10" t="str">
        <f t="shared" si="1"/>
        <v>Full payment (≥95%)</v>
      </c>
      <c r="G54" s="11">
        <f t="shared" si="2"/>
        <v>0</v>
      </c>
    </row>
    <row r="55" spans="2:7" x14ac:dyDescent="0.35">
      <c r="B55" s="10" t="str">
        <f>'Cluster Summary'!B17</f>
        <v xml:space="preserve">   Kirinyaga</v>
      </c>
      <c r="C55" s="11">
        <f>IF($C$28="Overall",'Cluster Summary'!C17*4,'Cluster Summary'!C17)</f>
        <v>4</v>
      </c>
      <c r="D55" s="11">
        <f>CHOOSE(MATCH($C$28,{"C&amp;T","HTS","MNCH","PrEP","Overall"},0),'Cluster Summary'!D17,'Cluster Summary'!G17,'Cluster Summary'!J17,'Cluster Summary'!M17,'Cluster Summary'!D17+'Cluster Summary'!G17+'Cluster Summary'!J17+'Cluster Summary'!M17)</f>
        <v>4</v>
      </c>
      <c r="E55" s="12">
        <f t="shared" si="0"/>
        <v>1</v>
      </c>
      <c r="F55" s="10" t="str">
        <f t="shared" si="1"/>
        <v>Full payment (≥95%)</v>
      </c>
      <c r="G55" s="11">
        <f t="shared" si="2"/>
        <v>0</v>
      </c>
    </row>
    <row r="56" spans="2:7" x14ac:dyDescent="0.35">
      <c r="B56" s="10" t="str">
        <f>'Cluster Summary'!B18</f>
        <v xml:space="preserve">   Nyeri</v>
      </c>
      <c r="C56" s="11">
        <f>IF($C$28="Overall",'Cluster Summary'!C18*4,'Cluster Summary'!C18)</f>
        <v>2</v>
      </c>
      <c r="D56" s="11">
        <f>CHOOSE(MATCH($C$28,{"C&amp;T","HTS","MNCH","PrEP","Overall"},0),'Cluster Summary'!D18,'Cluster Summary'!G18,'Cluster Summary'!J18,'Cluster Summary'!M18,'Cluster Summary'!D18+'Cluster Summary'!G18+'Cluster Summary'!J18+'Cluster Summary'!M18)</f>
        <v>2</v>
      </c>
      <c r="E56" s="12">
        <f t="shared" si="0"/>
        <v>1</v>
      </c>
      <c r="F56" s="10" t="str">
        <f t="shared" si="1"/>
        <v>Full payment (≥95%)</v>
      </c>
      <c r="G56" s="11">
        <f t="shared" si="2"/>
        <v>0</v>
      </c>
    </row>
    <row r="57" spans="2:7" x14ac:dyDescent="0.35">
      <c r="B57" s="7" t="str">
        <f>'Cluster Summary'!B19</f>
        <v>Cluster 3</v>
      </c>
      <c r="C57" s="8">
        <f>IF($C$28="Overall",'Cluster Summary'!C19*4,'Cluster Summary'!C19)</f>
        <v>13</v>
      </c>
      <c r="D57" s="8">
        <f>CHOOSE(MATCH($C$28,{"C&amp;T","HTS","MNCH","PrEP","Overall"},0),'Cluster Summary'!D19,'Cluster Summary'!G19,'Cluster Summary'!J19,'Cluster Summary'!M19,'Cluster Summary'!D19+'Cluster Summary'!G19+'Cluster Summary'!J19+'Cluster Summary'!M19)</f>
        <v>13</v>
      </c>
      <c r="E57" s="9">
        <f t="shared" si="0"/>
        <v>1</v>
      </c>
      <c r="F57" s="7" t="str">
        <f t="shared" si="1"/>
        <v>Full payment (≥95%)</v>
      </c>
      <c r="G57" s="8">
        <f t="shared" si="2"/>
        <v>0</v>
      </c>
    </row>
    <row r="58" spans="2:7" x14ac:dyDescent="0.35">
      <c r="B58" s="10" t="str">
        <f>'Cluster Summary'!B20</f>
        <v xml:space="preserve">   Kiambu</v>
      </c>
      <c r="C58" s="11">
        <f>IF($C$28="Overall",'Cluster Summary'!C20*4,'Cluster Summary'!C20)</f>
        <v>11</v>
      </c>
      <c r="D58" s="11">
        <f>CHOOSE(MATCH($C$28,{"C&amp;T","HTS","MNCH","PrEP","Overall"},0),'Cluster Summary'!D20,'Cluster Summary'!G20,'Cluster Summary'!J20,'Cluster Summary'!M20,'Cluster Summary'!D20+'Cluster Summary'!G20+'Cluster Summary'!J20+'Cluster Summary'!M20)</f>
        <v>11</v>
      </c>
      <c r="E58" s="12">
        <f t="shared" si="0"/>
        <v>1</v>
      </c>
      <c r="F58" s="10" t="str">
        <f t="shared" si="1"/>
        <v>Full payment (≥95%)</v>
      </c>
      <c r="G58" s="11">
        <f t="shared" si="2"/>
        <v>0</v>
      </c>
    </row>
    <row r="59" spans="2:7" x14ac:dyDescent="0.35">
      <c r="B59" s="10" t="str">
        <f>'Cluster Summary'!B21</f>
        <v xml:space="preserve">   Murang'a</v>
      </c>
      <c r="C59" s="11">
        <f>IF($C$28="Overall",'Cluster Summary'!C21*4,'Cluster Summary'!C21)</f>
        <v>1</v>
      </c>
      <c r="D59" s="11">
        <f>CHOOSE(MATCH($C$28,{"C&amp;T","HTS","MNCH","PrEP","Overall"},0),'Cluster Summary'!D21,'Cluster Summary'!G21,'Cluster Summary'!J21,'Cluster Summary'!M21,'Cluster Summary'!D21+'Cluster Summary'!G21+'Cluster Summary'!J21+'Cluster Summary'!M21)</f>
        <v>1</v>
      </c>
      <c r="E59" s="12">
        <f t="shared" si="0"/>
        <v>1</v>
      </c>
      <c r="F59" s="10" t="str">
        <f t="shared" si="1"/>
        <v>Full payment (≥95%)</v>
      </c>
      <c r="G59" s="11">
        <f t="shared" si="2"/>
        <v>0</v>
      </c>
    </row>
    <row r="60" spans="2:7" x14ac:dyDescent="0.35">
      <c r="B60" s="10" t="str">
        <f>'Cluster Summary'!B22</f>
        <v xml:space="preserve">   Kajiado</v>
      </c>
      <c r="C60" s="11">
        <f>IF($C$28="Overall",'Cluster Summary'!C22*4,'Cluster Summary'!C22)</f>
        <v>1</v>
      </c>
      <c r="D60" s="11">
        <f>CHOOSE(MATCH($C$28,{"C&amp;T","HTS","MNCH","PrEP","Overall"},0),'Cluster Summary'!D22,'Cluster Summary'!G22,'Cluster Summary'!J22,'Cluster Summary'!M22,'Cluster Summary'!D22+'Cluster Summary'!G22+'Cluster Summary'!J22+'Cluster Summary'!M22)</f>
        <v>1</v>
      </c>
      <c r="E60" s="12">
        <f t="shared" si="0"/>
        <v>1</v>
      </c>
      <c r="F60" s="10" t="str">
        <f t="shared" si="1"/>
        <v>Full payment (≥95%)</v>
      </c>
      <c r="G60" s="11">
        <f t="shared" si="2"/>
        <v>0</v>
      </c>
    </row>
    <row r="61" spans="2:7" x14ac:dyDescent="0.35">
      <c r="B61" s="7" t="str">
        <f>'Cluster Summary'!B23</f>
        <v>Cluster 4</v>
      </c>
      <c r="C61" s="8">
        <f>IF($C$28="Overall",'Cluster Summary'!C23*4,'Cluster Summary'!C23)</f>
        <v>42</v>
      </c>
      <c r="D61" s="8">
        <f>CHOOSE(MATCH($C$28,{"C&amp;T","HTS","MNCH","PrEP","Overall"},0),'Cluster Summary'!D23,'Cluster Summary'!G23,'Cluster Summary'!J23,'Cluster Summary'!M23,'Cluster Summary'!D23+'Cluster Summary'!G23+'Cluster Summary'!J23+'Cluster Summary'!M23)</f>
        <v>42</v>
      </c>
      <c r="E61" s="9">
        <f t="shared" si="0"/>
        <v>1</v>
      </c>
      <c r="F61" s="7" t="str">
        <f t="shared" si="1"/>
        <v>Full payment (≥95%)</v>
      </c>
      <c r="G61" s="8">
        <f t="shared" si="2"/>
        <v>0</v>
      </c>
    </row>
    <row r="62" spans="2:7" x14ac:dyDescent="0.35">
      <c r="B62" s="10" t="str">
        <f>'Cluster Summary'!B24</f>
        <v xml:space="preserve">   Nyandarua</v>
      </c>
      <c r="C62" s="11">
        <f>IF($C$28="Overall",'Cluster Summary'!C24*4,'Cluster Summary'!C24)</f>
        <v>36</v>
      </c>
      <c r="D62" s="11">
        <f>CHOOSE(MATCH($C$28,{"C&amp;T","HTS","MNCH","PrEP","Overall"},0),'Cluster Summary'!D24,'Cluster Summary'!G24,'Cluster Summary'!J24,'Cluster Summary'!M24,'Cluster Summary'!D24+'Cluster Summary'!G24+'Cluster Summary'!J24+'Cluster Summary'!M24)</f>
        <v>36</v>
      </c>
      <c r="E62" s="12">
        <f t="shared" si="0"/>
        <v>1</v>
      </c>
      <c r="F62" s="10" t="str">
        <f t="shared" si="1"/>
        <v>Full payment (≥95%)</v>
      </c>
      <c r="G62" s="11">
        <f t="shared" si="2"/>
        <v>0</v>
      </c>
    </row>
    <row r="63" spans="2:7" x14ac:dyDescent="0.35">
      <c r="B63" s="10" t="str">
        <f>'Cluster Summary'!B25</f>
        <v xml:space="preserve">   Narok</v>
      </c>
      <c r="C63" s="11">
        <f>IF($C$28="Overall",'Cluster Summary'!C25*4,'Cluster Summary'!C25)</f>
        <v>5</v>
      </c>
      <c r="D63" s="11">
        <f>CHOOSE(MATCH($C$28,{"C&amp;T","HTS","MNCH","PrEP","Overall"},0),'Cluster Summary'!D25,'Cluster Summary'!G25,'Cluster Summary'!J25,'Cluster Summary'!M25,'Cluster Summary'!D25+'Cluster Summary'!G25+'Cluster Summary'!J25+'Cluster Summary'!M25)</f>
        <v>5</v>
      </c>
      <c r="E63" s="12">
        <f t="shared" si="0"/>
        <v>1</v>
      </c>
      <c r="F63" s="10" t="str">
        <f t="shared" si="1"/>
        <v>Full payment (≥95%)</v>
      </c>
      <c r="G63" s="11">
        <f t="shared" si="2"/>
        <v>0</v>
      </c>
    </row>
    <row r="64" spans="2:7" x14ac:dyDescent="0.35">
      <c r="B64" s="10" t="str">
        <f>'Cluster Summary'!B26</f>
        <v xml:space="preserve">   Nakuru</v>
      </c>
      <c r="C64" s="11">
        <f>IF($C$28="Overall",'Cluster Summary'!C26*4,'Cluster Summary'!C26)</f>
        <v>1</v>
      </c>
      <c r="D64" s="11">
        <f>CHOOSE(MATCH($C$28,{"C&amp;T","HTS","MNCH","PrEP","Overall"},0),'Cluster Summary'!D26,'Cluster Summary'!G26,'Cluster Summary'!J26,'Cluster Summary'!M26,'Cluster Summary'!D26+'Cluster Summary'!G26+'Cluster Summary'!J26+'Cluster Summary'!M26)</f>
        <v>1</v>
      </c>
      <c r="E64" s="12">
        <f t="shared" si="0"/>
        <v>1</v>
      </c>
      <c r="F64" s="10" t="str">
        <f t="shared" si="1"/>
        <v>Full payment (≥95%)</v>
      </c>
      <c r="G64" s="11">
        <f t="shared" si="2"/>
        <v>0</v>
      </c>
    </row>
    <row r="65" spans="2:11" x14ac:dyDescent="0.35">
      <c r="B65" s="7" t="str">
        <f>'Cluster Summary'!B27</f>
        <v>Cluster 5</v>
      </c>
      <c r="C65" s="8">
        <f>IF($C$28="Overall",'Cluster Summary'!C27*4,'Cluster Summary'!C27)</f>
        <v>24</v>
      </c>
      <c r="D65" s="8">
        <f>CHOOSE(MATCH($C$28,{"C&amp;T","HTS","MNCH","PrEP","Overall"},0),'Cluster Summary'!D27,'Cluster Summary'!G27,'Cluster Summary'!J27,'Cluster Summary'!M27,'Cluster Summary'!D27+'Cluster Summary'!G27+'Cluster Summary'!J27+'Cluster Summary'!M27)</f>
        <v>24</v>
      </c>
      <c r="E65" s="9">
        <f t="shared" si="0"/>
        <v>1</v>
      </c>
      <c r="F65" s="7" t="str">
        <f t="shared" si="1"/>
        <v>Full payment (≥95%)</v>
      </c>
      <c r="G65" s="8">
        <f t="shared" si="2"/>
        <v>0</v>
      </c>
    </row>
    <row r="66" spans="2:11" x14ac:dyDescent="0.35">
      <c r="B66" s="10" t="str">
        <f>'Cluster Summary'!B28</f>
        <v xml:space="preserve">   Kitui</v>
      </c>
      <c r="C66" s="11">
        <f>IF($C$28="Overall",'Cluster Summary'!C28*4,'Cluster Summary'!C28)</f>
        <v>14</v>
      </c>
      <c r="D66" s="11">
        <f>CHOOSE(MATCH($C$28,{"C&amp;T","HTS","MNCH","PrEP","Overall"},0),'Cluster Summary'!D28,'Cluster Summary'!G28,'Cluster Summary'!J28,'Cluster Summary'!M28,'Cluster Summary'!D28+'Cluster Summary'!G28+'Cluster Summary'!J28+'Cluster Summary'!M28)</f>
        <v>14</v>
      </c>
      <c r="E66" s="12">
        <f t="shared" si="0"/>
        <v>1</v>
      </c>
      <c r="F66" s="10" t="str">
        <f t="shared" si="1"/>
        <v>Full payment (≥95%)</v>
      </c>
      <c r="G66" s="11">
        <f t="shared" si="2"/>
        <v>0</v>
      </c>
    </row>
    <row r="67" spans="2:11" x14ac:dyDescent="0.35">
      <c r="B67" s="10" t="str">
        <f>'Cluster Summary'!B29</f>
        <v xml:space="preserve">   Makueni</v>
      </c>
      <c r="C67" s="11">
        <f>IF($C$28="Overall",'Cluster Summary'!C29*4,'Cluster Summary'!C29)</f>
        <v>6</v>
      </c>
      <c r="D67" s="11">
        <f>CHOOSE(MATCH($C$28,{"C&amp;T","HTS","MNCH","PrEP","Overall"},0),'Cluster Summary'!D29,'Cluster Summary'!G29,'Cluster Summary'!J29,'Cluster Summary'!M29,'Cluster Summary'!D29+'Cluster Summary'!G29+'Cluster Summary'!J29+'Cluster Summary'!M29)</f>
        <v>6</v>
      </c>
      <c r="E67" s="12">
        <f t="shared" si="0"/>
        <v>1</v>
      </c>
      <c r="F67" s="10" t="str">
        <f t="shared" si="1"/>
        <v>Full payment (≥95%)</v>
      </c>
      <c r="G67" s="11">
        <f t="shared" si="2"/>
        <v>0</v>
      </c>
    </row>
    <row r="68" spans="2:11" x14ac:dyDescent="0.35">
      <c r="B68" s="10" t="str">
        <f>'Cluster Summary'!B30</f>
        <v xml:space="preserve">   Machakos</v>
      </c>
      <c r="C68" s="11">
        <f>IF($C$28="Overall",'Cluster Summary'!C30*4,'Cluster Summary'!C30)</f>
        <v>4</v>
      </c>
      <c r="D68" s="11">
        <f>CHOOSE(MATCH($C$28,{"C&amp;T","HTS","MNCH","PrEP","Overall"},0),'Cluster Summary'!D30,'Cluster Summary'!G30,'Cluster Summary'!J30,'Cluster Summary'!M30,'Cluster Summary'!D30+'Cluster Summary'!G30+'Cluster Summary'!J30+'Cluster Summary'!M30)</f>
        <v>4</v>
      </c>
      <c r="E68" s="12">
        <f t="shared" si="0"/>
        <v>1</v>
      </c>
      <c r="F68" s="10" t="str">
        <f t="shared" si="1"/>
        <v>Full payment (≥95%)</v>
      </c>
      <c r="G68" s="11">
        <f t="shared" si="2"/>
        <v>0</v>
      </c>
    </row>
    <row r="69" spans="2:11" x14ac:dyDescent="0.35">
      <c r="B69" s="13" t="str">
        <f>'Cluster Summary'!B31</f>
        <v>CHAK DARAJA TOTAL</v>
      </c>
      <c r="C69" s="14">
        <f>IF($C$28="Overall",'Cluster Summary'!C31*4,'Cluster Summary'!C31)</f>
        <v>208</v>
      </c>
      <c r="D69" s="14">
        <f>CHOOSE(MATCH($C$28,{"C&amp;T","HTS","MNCH","PrEP","Overall"},0),'Cluster Summary'!D31,'Cluster Summary'!G31,'Cluster Summary'!J31,'Cluster Summary'!M31,'Cluster Summary'!D31+'Cluster Summary'!G31+'Cluster Summary'!J31+'Cluster Summary'!M31)</f>
        <v>208</v>
      </c>
      <c r="E69" s="15">
        <f t="shared" si="0"/>
        <v>1</v>
      </c>
      <c r="F69" s="13" t="str">
        <f t="shared" si="1"/>
        <v>Full payment (≥95%)</v>
      </c>
      <c r="G69" s="14">
        <f t="shared" si="2"/>
        <v>0</v>
      </c>
    </row>
    <row r="72" spans="2:11" ht="15.5" x14ac:dyDescent="0.35">
      <c r="B72" s="18" t="s">
        <v>88</v>
      </c>
    </row>
    <row r="73" spans="2:11" x14ac:dyDescent="0.35">
      <c r="B73" s="17" t="s">
        <v>89</v>
      </c>
    </row>
    <row r="74" spans="2:11" ht="30" customHeight="1" x14ac:dyDescent="0.35">
      <c r="B74" s="1" t="s">
        <v>90</v>
      </c>
      <c r="C74" s="1" t="s">
        <v>91</v>
      </c>
      <c r="D74" s="1" t="s">
        <v>92</v>
      </c>
      <c r="E74" s="1" t="s">
        <v>93</v>
      </c>
      <c r="F74" s="1" t="s">
        <v>94</v>
      </c>
      <c r="G74" s="1" t="s">
        <v>95</v>
      </c>
      <c r="H74" s="1" t="s">
        <v>96</v>
      </c>
      <c r="I74" s="1" t="s">
        <v>74</v>
      </c>
      <c r="J74" s="1" t="s">
        <v>97</v>
      </c>
      <c r="K74" s="1" t="s">
        <v>98</v>
      </c>
    </row>
    <row r="75" spans="2:11" x14ac:dyDescent="0.35">
      <c r="B75" s="34" t="s">
        <v>99</v>
      </c>
      <c r="C75" s="35" t="s">
        <v>100</v>
      </c>
      <c r="D75" s="35" t="s">
        <v>2</v>
      </c>
      <c r="E75" s="36" t="s">
        <v>42</v>
      </c>
      <c r="F75" s="37">
        <v>0</v>
      </c>
      <c r="G75" s="38"/>
      <c r="H75" s="39" t="str">
        <f>IF(G75&lt;&gt;"",G75,IF(D75='Cluster Summary'!$D$3,$C$38,""))</f>
        <v/>
      </c>
      <c r="I75" s="40" t="str">
        <f t="shared" ref="I75:I81" si="3">IF(H75="","Not yet reported",INDEX($D$19:$D$22,MATCH(H75,$B$19:$B$22,1)))</f>
        <v>Not yet reported</v>
      </c>
      <c r="J75" s="41" t="str">
        <f t="shared" ref="J75:J81" si="4">IF(H75="","",F75*INDEX($C$19:$C$22,MATCH(H75,$B$19:$B$22,1)))</f>
        <v/>
      </c>
      <c r="K75" s="41" t="str">
        <f t="shared" ref="K75:K81" si="5">IF(H75="","",F75-J75)</f>
        <v/>
      </c>
    </row>
    <row r="76" spans="2:11" x14ac:dyDescent="0.35">
      <c r="B76" s="34" t="s">
        <v>101</v>
      </c>
      <c r="C76" s="35" t="s">
        <v>102</v>
      </c>
      <c r="D76" s="35" t="s">
        <v>103</v>
      </c>
      <c r="E76" s="36">
        <f>IFERROR(INDEX('FAA Milestones'!$W$5:$W$30,MATCH($C$5,'FAA Milestones'!$A$5:$A$30,0)),"")</f>
        <v>46316</v>
      </c>
      <c r="F76" s="37">
        <f>IFERROR(INDEX('FAA Milestones'!$N$5:$N$30,MATCH($C$5,'FAA Milestones'!$A$5:$A$30,0)),0)</f>
        <v>45184</v>
      </c>
      <c r="G76" s="38"/>
      <c r="H76" s="39">
        <f>IF(G76&lt;&gt;"",G76,IF(D76='Cluster Summary'!$D$3,$C$38,""))</f>
        <v>1</v>
      </c>
      <c r="I76" s="40" t="str">
        <f t="shared" si="3"/>
        <v>Full payment (≥95%)</v>
      </c>
      <c r="J76" s="41">
        <f t="shared" si="4"/>
        <v>45184</v>
      </c>
      <c r="K76" s="41">
        <f t="shared" si="5"/>
        <v>0</v>
      </c>
    </row>
    <row r="77" spans="2:11" x14ac:dyDescent="0.35">
      <c r="B77" s="34" t="s">
        <v>104</v>
      </c>
      <c r="C77" s="35" t="s">
        <v>105</v>
      </c>
      <c r="D77" s="35" t="s">
        <v>106</v>
      </c>
      <c r="E77" s="36">
        <f>IFERROR(INDEX('FAA Milestones'!$X$5:$X$30,MATCH($C$5,'FAA Milestones'!$A$5:$A$30,0)),"")</f>
        <v>46346</v>
      </c>
      <c r="F77" s="37">
        <f>IFERROR(INDEX('FAA Milestones'!$O$5:$O$30,MATCH($C$5,'FAA Milestones'!$A$5:$A$30,0)),0)</f>
        <v>44900</v>
      </c>
      <c r="G77" s="38"/>
      <c r="H77" s="39" t="str">
        <f>IF(G77&lt;&gt;"",G77,IF(D77='Cluster Summary'!$D$3,$C$38,""))</f>
        <v/>
      </c>
      <c r="I77" s="40" t="str">
        <f t="shared" si="3"/>
        <v>Not yet reported</v>
      </c>
      <c r="J77" s="41" t="str">
        <f t="shared" si="4"/>
        <v/>
      </c>
      <c r="K77" s="41" t="str">
        <f t="shared" si="5"/>
        <v/>
      </c>
    </row>
    <row r="78" spans="2:11" x14ac:dyDescent="0.35">
      <c r="B78" s="34" t="s">
        <v>107</v>
      </c>
      <c r="C78" s="35" t="s">
        <v>108</v>
      </c>
      <c r="D78" s="35" t="s">
        <v>109</v>
      </c>
      <c r="E78" s="36">
        <f>IFERROR(INDEX('FAA Milestones'!$Y$5:$Y$30,MATCH($C$5,'FAA Milestones'!$A$5:$A$30,0)),"")</f>
        <v>46374</v>
      </c>
      <c r="F78" s="37">
        <f>IFERROR(INDEX('FAA Milestones'!$P$5:$P$30,MATCH($C$5,'FAA Milestones'!$A$5:$A$30,0)),0)</f>
        <v>44900</v>
      </c>
      <c r="G78" s="38"/>
      <c r="H78" s="39" t="str">
        <f>IF(G78&lt;&gt;"",G78,IF(D78='Cluster Summary'!$D$3,$C$38,""))</f>
        <v/>
      </c>
      <c r="I78" s="40" t="str">
        <f t="shared" si="3"/>
        <v>Not yet reported</v>
      </c>
      <c r="J78" s="41" t="str">
        <f t="shared" si="4"/>
        <v/>
      </c>
      <c r="K78" s="41" t="str">
        <f t="shared" si="5"/>
        <v/>
      </c>
    </row>
    <row r="79" spans="2:11" x14ac:dyDescent="0.35">
      <c r="B79" s="34" t="s">
        <v>110</v>
      </c>
      <c r="C79" s="35" t="s">
        <v>111</v>
      </c>
      <c r="D79" s="35" t="s">
        <v>112</v>
      </c>
      <c r="E79" s="36">
        <f>IFERROR(INDEX('FAA Milestones'!$Z$5:$Z$30,MATCH($C$5,'FAA Milestones'!$A$5:$A$30,0)),"")</f>
        <v>46407</v>
      </c>
      <c r="F79" s="37">
        <f>IFERROR(INDEX('FAA Milestones'!$Q$5:$Q$30,MATCH($C$5,'FAA Milestones'!$A$5:$A$30,0)),0)</f>
        <v>44900</v>
      </c>
      <c r="G79" s="38"/>
      <c r="H79" s="39" t="str">
        <f>IF(G79&lt;&gt;"",G79,IF(D79='Cluster Summary'!$D$3,$C$38,""))</f>
        <v/>
      </c>
      <c r="I79" s="40" t="str">
        <f t="shared" si="3"/>
        <v>Not yet reported</v>
      </c>
      <c r="J79" s="41" t="str">
        <f t="shared" si="4"/>
        <v/>
      </c>
      <c r="K79" s="41" t="str">
        <f t="shared" si="5"/>
        <v/>
      </c>
    </row>
    <row r="80" spans="2:11" x14ac:dyDescent="0.35">
      <c r="B80" s="34" t="s">
        <v>113</v>
      </c>
      <c r="C80" s="35" t="s">
        <v>114</v>
      </c>
      <c r="D80" s="35" t="s">
        <v>115</v>
      </c>
      <c r="E80" s="36">
        <f>IFERROR(INDEX('FAA Milestones'!$AA$5:$AA$30,MATCH($C$5,'FAA Milestones'!$A$5:$A$30,0)),"")</f>
        <v>46437</v>
      </c>
      <c r="F80" s="37">
        <f>IFERROR(INDEX('FAA Milestones'!$R$5:$R$30,MATCH($C$5,'FAA Milestones'!$A$5:$A$30,0)),0)</f>
        <v>44900</v>
      </c>
      <c r="G80" s="38"/>
      <c r="H80" s="39" t="str">
        <f>IF(G80&lt;&gt;"",G80,IF(D80='Cluster Summary'!$D$3,$C$38,""))</f>
        <v/>
      </c>
      <c r="I80" s="40" t="str">
        <f t="shared" si="3"/>
        <v>Not yet reported</v>
      </c>
      <c r="J80" s="41" t="str">
        <f t="shared" si="4"/>
        <v/>
      </c>
      <c r="K80" s="41" t="str">
        <f t="shared" si="5"/>
        <v/>
      </c>
    </row>
    <row r="81" spans="2:11" x14ac:dyDescent="0.35">
      <c r="B81" s="34" t="s">
        <v>116</v>
      </c>
      <c r="C81" s="35" t="s">
        <v>117</v>
      </c>
      <c r="D81" s="35" t="s">
        <v>118</v>
      </c>
      <c r="E81" s="36">
        <f>IFERROR(INDEX('FAA Milestones'!$AB$5:$AB$30,MATCH($C$5,'FAA Milestones'!$A$5:$A$30,0)),"")</f>
        <v>46465</v>
      </c>
      <c r="F81" s="37">
        <f>IFERROR(INDEX('FAA Milestones'!$S$5:$S$30,MATCH($C$5,'FAA Milestones'!$A$5:$A$30,0)),0)</f>
        <v>44900</v>
      </c>
      <c r="G81" s="38"/>
      <c r="H81" s="39" t="str">
        <f>IF(G81&lt;&gt;"",G81,IF(D81='Cluster Summary'!$D$3,$C$38,""))</f>
        <v/>
      </c>
      <c r="I81" s="40" t="str">
        <f t="shared" si="3"/>
        <v>Not yet reported</v>
      </c>
      <c r="J81" s="41" t="str">
        <f t="shared" si="4"/>
        <v/>
      </c>
      <c r="K81" s="41" t="str">
        <f t="shared" si="5"/>
        <v/>
      </c>
    </row>
    <row r="82" spans="2:11" x14ac:dyDescent="0.35">
      <c r="B82" s="13" t="s">
        <v>119</v>
      </c>
      <c r="C82" s="14"/>
      <c r="D82" s="14"/>
      <c r="E82" s="14"/>
      <c r="F82" s="42">
        <f>SUM(F76:F81)</f>
        <v>269684</v>
      </c>
      <c r="G82" s="14"/>
      <c r="H82" s="14"/>
      <c r="I82" s="14"/>
      <c r="J82" s="42">
        <f>SUM(J76:J81)</f>
        <v>45184</v>
      </c>
      <c r="K82" s="42">
        <f>SUM(K76:K81)</f>
        <v>0</v>
      </c>
    </row>
    <row r="83" spans="2:11" x14ac:dyDescent="0.35">
      <c r="B83" s="17" t="s">
        <v>120</v>
      </c>
      <c r="F83" s="43" t="str">
        <f>IF(F82=C15,"✓ matches","✗ differs")</f>
        <v>✓ matches</v>
      </c>
    </row>
  </sheetData>
  <mergeCells count="11">
    <mergeCell ref="B37:G37"/>
    <mergeCell ref="C11:J11"/>
    <mergeCell ref="C12:J12"/>
    <mergeCell ref="C13:J13"/>
    <mergeCell ref="C14:J14"/>
    <mergeCell ref="C15:J15"/>
    <mergeCell ref="C6:J6"/>
    <mergeCell ref="C7:J7"/>
    <mergeCell ref="C8:J8"/>
    <mergeCell ref="C9:J9"/>
    <mergeCell ref="C10:J10"/>
  </mergeCells>
  <conditionalFormatting sqref="C38">
    <cfRule type="cellIs" dxfId="26" priority="5" operator="greaterThanOrEqual">
      <formula>0.95</formula>
    </cfRule>
    <cfRule type="cellIs" dxfId="25" priority="6" operator="between">
      <formula>0.8</formula>
      <formula>0.9499999</formula>
    </cfRule>
    <cfRule type="cellIs" dxfId="24" priority="7" operator="lessThan">
      <formula>0.8</formula>
    </cfRule>
  </conditionalFormatting>
  <conditionalFormatting sqref="E31:E35">
    <cfRule type="cellIs" dxfId="23" priority="2" operator="greaterThanOrEqual">
      <formula>0.95</formula>
    </cfRule>
    <cfRule type="cellIs" dxfId="22" priority="3" operator="between">
      <formula>0.8</formula>
      <formula>0.9499999</formula>
    </cfRule>
    <cfRule type="cellIs" dxfId="21" priority="4" operator="lessThan">
      <formula>0.8</formula>
    </cfRule>
  </conditionalFormatting>
  <conditionalFormatting sqref="E49:E69">
    <cfRule type="cellIs" dxfId="20" priority="8" operator="greaterThanOrEqual">
      <formula>0.95</formula>
    </cfRule>
    <cfRule type="cellIs" dxfId="19" priority="9" operator="between">
      <formula>0.8</formula>
      <formula>0.9499999</formula>
    </cfRule>
    <cfRule type="cellIs" dxfId="18" priority="10" operator="lessThan">
      <formula>0.8</formula>
    </cfRule>
  </conditionalFormatting>
  <conditionalFormatting sqref="H75:H81">
    <cfRule type="cellIs" dxfId="17" priority="11" operator="greaterThanOrEqual">
      <formula>0.95</formula>
    </cfRule>
    <cfRule type="cellIs" dxfId="16" priority="12" operator="between">
      <formula>0.8</formula>
      <formula>0.9499999</formula>
    </cfRule>
    <cfRule type="cellIs" dxfId="15" priority="13" operator="lessThan">
      <formula>0.8</formula>
    </cfRule>
  </conditionalFormatting>
  <dataValidations count="1">
    <dataValidation type="list" sqref="C28" xr:uid="{00000000-0002-0000-0100-000000000000}">
      <formula1>"C&amp;T,HTS,MNCH,PrEP,Overall"</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sheetPr>
  <dimension ref="A1:K212"/>
  <sheetViews>
    <sheetView showGridLines="0" zoomScaleNormal="100" workbookViewId="0">
      <pane xSplit="4" ySplit="4" topLeftCell="E35" activePane="bottomRight" state="frozen"/>
      <selection pane="topRight" activeCell="E1" sqref="E1"/>
      <selection pane="bottomLeft" activeCell="A5" sqref="A5"/>
      <selection pane="bottomRight" activeCell="C220" sqref="C220"/>
    </sheetView>
  </sheetViews>
  <sheetFormatPr defaultColWidth="8.6328125" defaultRowHeight="14.5" x14ac:dyDescent="0.35"/>
  <cols>
    <col min="1" max="1" width="10" customWidth="1"/>
    <col min="2" max="2" width="14" customWidth="1"/>
    <col min="3" max="3" width="22" customWidth="1"/>
    <col min="4" max="4" width="9" customWidth="1"/>
    <col min="5" max="5" width="40" customWidth="1"/>
    <col min="6" max="6" width="22" customWidth="1"/>
    <col min="7" max="7" width="12" customWidth="1"/>
    <col min="8" max="11" width="10" customWidth="1"/>
  </cols>
  <sheetData>
    <row r="1" spans="1:11" ht="18" x14ac:dyDescent="0.35">
      <c r="A1" s="44" t="s">
        <v>121</v>
      </c>
    </row>
    <row r="2" spans="1:11" x14ac:dyDescent="0.35">
      <c r="A2" s="17" t="str">
        <f>"Upload month: "&amp;'Cluster Summary'!D3&amp;"   |   Complete = uploaded &amp; complete · Incomplete = uploaded but flagged incomplete · Pending = not uploaded · N/A = docket not offered"</f>
        <v>Upload month: 2026-10   |   Complete = uploaded &amp; complete · Incomplete = uploaded but flagged incomplete · Pending = not uploaded · N/A = docket not offered</v>
      </c>
    </row>
    <row r="4" spans="1:11" ht="26" x14ac:dyDescent="0.35">
      <c r="A4" s="1" t="s">
        <v>39</v>
      </c>
      <c r="B4" s="1" t="s">
        <v>122</v>
      </c>
      <c r="C4" s="1" t="s">
        <v>123</v>
      </c>
      <c r="D4" s="1" t="s">
        <v>124</v>
      </c>
      <c r="E4" s="1" t="s">
        <v>125</v>
      </c>
      <c r="F4" s="1" t="s">
        <v>126</v>
      </c>
      <c r="G4" s="1" t="s">
        <v>12</v>
      </c>
      <c r="H4" s="1" t="s">
        <v>5</v>
      </c>
      <c r="I4" s="1" t="s">
        <v>6</v>
      </c>
      <c r="J4" s="1" t="s">
        <v>7</v>
      </c>
      <c r="K4" s="1" t="s">
        <v>127</v>
      </c>
    </row>
    <row r="5" spans="1:11" x14ac:dyDescent="0.35">
      <c r="A5" s="45" t="s">
        <v>17</v>
      </c>
      <c r="B5" s="45" t="s">
        <v>128</v>
      </c>
      <c r="C5" s="45" t="s">
        <v>129</v>
      </c>
      <c r="D5" s="46">
        <v>12282</v>
      </c>
      <c r="E5" s="45" t="s">
        <v>130</v>
      </c>
      <c r="F5" s="45" t="s">
        <v>131</v>
      </c>
      <c r="G5" s="46" t="str">
        <f>IF(COUNTIFS(Data!$A:$A,$D5,Data!$F:$F,"C&amp;T")=0,"N/A",IF(COUNTIFS(Data!$A:$A,$D5,Data!$F:$F,"C&amp;T",Data!$L:$L,'Cluster Summary'!$D$3,Data!$I:$I,"Complete")&gt;0,"Complete",IF(COUNTIFS(Data!$A:$A,$D5,Data!$F:$F,"C&amp;T",Data!$L:$L,'Cluster Summary'!$D$3)&gt;0,"Incomplete","Pending")))</f>
        <v>Complete</v>
      </c>
      <c r="H5" s="46" t="str">
        <f>IF(COUNTIFS(Data!$A:$A,$D5,Data!$F:$F,"HTS")=0,"N/A",IF(COUNTIFS(Data!$A:$A,$D5,Data!$F:$F,"HTS",Data!$L:$L,'Cluster Summary'!$D$3,Data!$I:$I,"Complete")&gt;0,"Complete",IF(COUNTIFS(Data!$A:$A,$D5,Data!$F:$F,"HTS",Data!$L:$L,'Cluster Summary'!$D$3)&gt;0,"Incomplete","Pending")))</f>
        <v>Complete</v>
      </c>
      <c r="I5" s="46" t="str">
        <f>IF(COUNTIFS(Data!$A:$A,$D5,Data!$F:$F,"MNCH")=0,"N/A",IF(COUNTIFS(Data!$A:$A,$D5,Data!$F:$F,"MNCH",Data!$L:$L,'Cluster Summary'!$D$3,Data!$I:$I,"Complete")&gt;0,"Complete",IF(COUNTIFS(Data!$A:$A,$D5,Data!$F:$F,"MNCH",Data!$L:$L,'Cluster Summary'!$D$3)&gt;0,"Incomplete","Pending")))</f>
        <v>Complete</v>
      </c>
      <c r="J5" s="46" t="str">
        <f>IF(COUNTIFS(Data!$A:$A,$D5,Data!$F:$F,"PREP")=0,"N/A",IF(COUNTIFS(Data!$A:$A,$D5,Data!$F:$F,"PREP",Data!$L:$L,'Cluster Summary'!$D$3,Data!$I:$I,"Complete")&gt;0,"Complete",IF(COUNTIFS(Data!$A:$A,$D5,Data!$F:$F,"PREP",Data!$L:$L,'Cluster Summary'!$D$3)&gt;0,"Incomplete","Pending")))</f>
        <v>Complete</v>
      </c>
      <c r="K5" s="46">
        <f t="shared" ref="K5:K68" si="0">COUNTIF(G5:J5,"Pending")</f>
        <v>0</v>
      </c>
    </row>
    <row r="6" spans="1:11" x14ac:dyDescent="0.35">
      <c r="A6" s="45" t="s">
        <v>17</v>
      </c>
      <c r="B6" s="45" t="s">
        <v>128</v>
      </c>
      <c r="C6" s="45" t="s">
        <v>129</v>
      </c>
      <c r="D6" s="46">
        <v>12302</v>
      </c>
      <c r="E6" s="45" t="s">
        <v>132</v>
      </c>
      <c r="F6" s="45" t="s">
        <v>131</v>
      </c>
      <c r="G6" s="46" t="str">
        <f>IF(COUNTIFS(Data!$A:$A,$D6,Data!$F:$F,"C&amp;T")=0,"N/A",IF(COUNTIFS(Data!$A:$A,$D6,Data!$F:$F,"C&amp;T",Data!$L:$L,'Cluster Summary'!$D$3,Data!$I:$I,"Complete")&gt;0,"Complete",IF(COUNTIFS(Data!$A:$A,$D6,Data!$F:$F,"C&amp;T",Data!$L:$L,'Cluster Summary'!$D$3)&gt;0,"Incomplete","Pending")))</f>
        <v>Complete</v>
      </c>
      <c r="H6" s="46" t="str">
        <f>IF(COUNTIFS(Data!$A:$A,$D6,Data!$F:$F,"HTS")=0,"N/A",IF(COUNTIFS(Data!$A:$A,$D6,Data!$F:$F,"HTS",Data!$L:$L,'Cluster Summary'!$D$3,Data!$I:$I,"Complete")&gt;0,"Complete",IF(COUNTIFS(Data!$A:$A,$D6,Data!$F:$F,"HTS",Data!$L:$L,'Cluster Summary'!$D$3)&gt;0,"Incomplete","Pending")))</f>
        <v>Complete</v>
      </c>
      <c r="I6" s="46" t="str">
        <f>IF(COUNTIFS(Data!$A:$A,$D6,Data!$F:$F,"MNCH")=0,"N/A",IF(COUNTIFS(Data!$A:$A,$D6,Data!$F:$F,"MNCH",Data!$L:$L,'Cluster Summary'!$D$3,Data!$I:$I,"Complete")&gt;0,"Complete",IF(COUNTIFS(Data!$A:$A,$D6,Data!$F:$F,"MNCH",Data!$L:$L,'Cluster Summary'!$D$3)&gt;0,"Incomplete","Pending")))</f>
        <v>Incomplete</v>
      </c>
      <c r="J6" s="46" t="str">
        <f>IF(COUNTIFS(Data!$A:$A,$D6,Data!$F:$F,"PREP")=0,"N/A",IF(COUNTIFS(Data!$A:$A,$D6,Data!$F:$F,"PREP",Data!$L:$L,'Cluster Summary'!$D$3,Data!$I:$I,"Complete")&gt;0,"Complete",IF(COUNTIFS(Data!$A:$A,$D6,Data!$F:$F,"PREP",Data!$L:$L,'Cluster Summary'!$D$3)&gt;0,"Incomplete","Pending")))</f>
        <v>Incomplete</v>
      </c>
      <c r="K6" s="46">
        <f t="shared" si="0"/>
        <v>0</v>
      </c>
    </row>
    <row r="7" spans="1:11" x14ac:dyDescent="0.35">
      <c r="A7" s="45" t="s">
        <v>17</v>
      </c>
      <c r="B7" s="45" t="s">
        <v>128</v>
      </c>
      <c r="C7" s="45" t="s">
        <v>129</v>
      </c>
      <c r="D7" s="46">
        <v>12426</v>
      </c>
      <c r="E7" s="45" t="s">
        <v>133</v>
      </c>
      <c r="F7" s="45" t="s">
        <v>131</v>
      </c>
      <c r="G7" s="46" t="str">
        <f>IF(COUNTIFS(Data!$A:$A,$D7,Data!$F:$F,"C&amp;T")=0,"N/A",IF(COUNTIFS(Data!$A:$A,$D7,Data!$F:$F,"C&amp;T",Data!$L:$L,'Cluster Summary'!$D$3,Data!$I:$I,"Complete")&gt;0,"Complete",IF(COUNTIFS(Data!$A:$A,$D7,Data!$F:$F,"C&amp;T",Data!$L:$L,'Cluster Summary'!$D$3)&gt;0,"Incomplete","Pending")))</f>
        <v>Complete</v>
      </c>
      <c r="H7" s="46" t="str">
        <f>IF(COUNTIFS(Data!$A:$A,$D7,Data!$F:$F,"HTS")=0,"N/A",IF(COUNTIFS(Data!$A:$A,$D7,Data!$F:$F,"HTS",Data!$L:$L,'Cluster Summary'!$D$3,Data!$I:$I,"Complete")&gt;0,"Complete",IF(COUNTIFS(Data!$A:$A,$D7,Data!$F:$F,"HTS",Data!$L:$L,'Cluster Summary'!$D$3)&gt;0,"Incomplete","Pending")))</f>
        <v>Complete</v>
      </c>
      <c r="I7" s="46" t="str">
        <f>IF(COUNTIFS(Data!$A:$A,$D7,Data!$F:$F,"MNCH")=0,"N/A",IF(COUNTIFS(Data!$A:$A,$D7,Data!$F:$F,"MNCH",Data!$L:$L,'Cluster Summary'!$D$3,Data!$I:$I,"Complete")&gt;0,"Complete",IF(COUNTIFS(Data!$A:$A,$D7,Data!$F:$F,"MNCH",Data!$L:$L,'Cluster Summary'!$D$3)&gt;0,"Incomplete","Pending")))</f>
        <v>Complete</v>
      </c>
      <c r="J7" s="46" t="str">
        <f>IF(COUNTIFS(Data!$A:$A,$D7,Data!$F:$F,"PREP")=0,"N/A",IF(COUNTIFS(Data!$A:$A,$D7,Data!$F:$F,"PREP",Data!$L:$L,'Cluster Summary'!$D$3,Data!$I:$I,"Complete")&gt;0,"Complete",IF(COUNTIFS(Data!$A:$A,$D7,Data!$F:$F,"PREP",Data!$L:$L,'Cluster Summary'!$D$3)&gt;0,"Incomplete","Pending")))</f>
        <v>Complete</v>
      </c>
      <c r="K7" s="46">
        <f t="shared" si="0"/>
        <v>0</v>
      </c>
    </row>
    <row r="8" spans="1:11" x14ac:dyDescent="0.35">
      <c r="A8" s="45" t="s">
        <v>17</v>
      </c>
      <c r="B8" s="45" t="s">
        <v>128</v>
      </c>
      <c r="C8" s="45" t="s">
        <v>129</v>
      </c>
      <c r="D8" s="46">
        <v>17287</v>
      </c>
      <c r="E8" s="45" t="s">
        <v>134</v>
      </c>
      <c r="F8" s="45" t="s">
        <v>131</v>
      </c>
      <c r="G8" s="46" t="str">
        <f>IF(COUNTIFS(Data!$A:$A,$D8,Data!$F:$F,"C&amp;T")=0,"N/A",IF(COUNTIFS(Data!$A:$A,$D8,Data!$F:$F,"C&amp;T",Data!$L:$L,'Cluster Summary'!$D$3,Data!$I:$I,"Complete")&gt;0,"Complete",IF(COUNTIFS(Data!$A:$A,$D8,Data!$F:$F,"C&amp;T",Data!$L:$L,'Cluster Summary'!$D$3)&gt;0,"Incomplete","Pending")))</f>
        <v>Complete</v>
      </c>
      <c r="H8" s="46" t="str">
        <f>IF(COUNTIFS(Data!$A:$A,$D8,Data!$F:$F,"HTS")=0,"N/A",IF(COUNTIFS(Data!$A:$A,$D8,Data!$F:$F,"HTS",Data!$L:$L,'Cluster Summary'!$D$3,Data!$I:$I,"Complete")&gt;0,"Complete",IF(COUNTIFS(Data!$A:$A,$D8,Data!$F:$F,"HTS",Data!$L:$L,'Cluster Summary'!$D$3)&gt;0,"Incomplete","Pending")))</f>
        <v>Complete</v>
      </c>
      <c r="I8" s="46" t="str">
        <f>IF(COUNTIFS(Data!$A:$A,$D8,Data!$F:$F,"MNCH")=0,"N/A",IF(COUNTIFS(Data!$A:$A,$D8,Data!$F:$F,"MNCH",Data!$L:$L,'Cluster Summary'!$D$3,Data!$I:$I,"Complete")&gt;0,"Complete",IF(COUNTIFS(Data!$A:$A,$D8,Data!$F:$F,"MNCH",Data!$L:$L,'Cluster Summary'!$D$3)&gt;0,"Incomplete","Pending")))</f>
        <v>Complete</v>
      </c>
      <c r="J8" s="46" t="str">
        <f>IF(COUNTIFS(Data!$A:$A,$D8,Data!$F:$F,"PREP")=0,"N/A",IF(COUNTIFS(Data!$A:$A,$D8,Data!$F:$F,"PREP",Data!$L:$L,'Cluster Summary'!$D$3,Data!$I:$I,"Complete")&gt;0,"Complete",IF(COUNTIFS(Data!$A:$A,$D8,Data!$F:$F,"PREP",Data!$L:$L,'Cluster Summary'!$D$3)&gt;0,"Incomplete","Pending")))</f>
        <v>N/A</v>
      </c>
      <c r="K8" s="46">
        <f t="shared" si="0"/>
        <v>0</v>
      </c>
    </row>
    <row r="9" spans="1:11" x14ac:dyDescent="0.35">
      <c r="A9" s="45" t="s">
        <v>17</v>
      </c>
      <c r="B9" s="45" t="s">
        <v>128</v>
      </c>
      <c r="C9" s="45" t="s">
        <v>129</v>
      </c>
      <c r="D9" s="46">
        <v>12631</v>
      </c>
      <c r="E9" s="45" t="s">
        <v>135</v>
      </c>
      <c r="F9" s="45" t="s">
        <v>131</v>
      </c>
      <c r="G9" s="46" t="str">
        <f>IF(COUNTIFS(Data!$A:$A,$D9,Data!$F:$F,"C&amp;T")=0,"N/A",IF(COUNTIFS(Data!$A:$A,$D9,Data!$F:$F,"C&amp;T",Data!$L:$L,'Cluster Summary'!$D$3,Data!$I:$I,"Complete")&gt;0,"Complete",IF(COUNTIFS(Data!$A:$A,$D9,Data!$F:$F,"C&amp;T",Data!$L:$L,'Cluster Summary'!$D$3)&gt;0,"Incomplete","Pending")))</f>
        <v>Complete</v>
      </c>
      <c r="H9" s="46" t="str">
        <f>IF(COUNTIFS(Data!$A:$A,$D9,Data!$F:$F,"HTS")=0,"N/A",IF(COUNTIFS(Data!$A:$A,$D9,Data!$F:$F,"HTS",Data!$L:$L,'Cluster Summary'!$D$3,Data!$I:$I,"Complete")&gt;0,"Complete",IF(COUNTIFS(Data!$A:$A,$D9,Data!$F:$F,"HTS",Data!$L:$L,'Cluster Summary'!$D$3)&gt;0,"Incomplete","Pending")))</f>
        <v>Complete</v>
      </c>
      <c r="I9" s="46" t="str">
        <f>IF(COUNTIFS(Data!$A:$A,$D9,Data!$F:$F,"MNCH")=0,"N/A",IF(COUNTIFS(Data!$A:$A,$D9,Data!$F:$F,"MNCH",Data!$L:$L,'Cluster Summary'!$D$3,Data!$I:$I,"Complete")&gt;0,"Complete",IF(COUNTIFS(Data!$A:$A,$D9,Data!$F:$F,"MNCH",Data!$L:$L,'Cluster Summary'!$D$3)&gt;0,"Incomplete","Pending")))</f>
        <v>Complete</v>
      </c>
      <c r="J9" s="46" t="str">
        <f>IF(COUNTIFS(Data!$A:$A,$D9,Data!$F:$F,"PREP")=0,"N/A",IF(COUNTIFS(Data!$A:$A,$D9,Data!$F:$F,"PREP",Data!$L:$L,'Cluster Summary'!$D$3,Data!$I:$I,"Complete")&gt;0,"Complete",IF(COUNTIFS(Data!$A:$A,$D9,Data!$F:$F,"PREP",Data!$L:$L,'Cluster Summary'!$D$3)&gt;0,"Incomplete","Pending")))</f>
        <v>Pending</v>
      </c>
      <c r="K9" s="46">
        <f t="shared" si="0"/>
        <v>1</v>
      </c>
    </row>
    <row r="10" spans="1:11" x14ac:dyDescent="0.35">
      <c r="A10" s="45" t="s">
        <v>17</v>
      </c>
      <c r="B10" s="45" t="s">
        <v>128</v>
      </c>
      <c r="C10" s="45" t="s">
        <v>129</v>
      </c>
      <c r="D10" s="46">
        <v>12700</v>
      </c>
      <c r="E10" s="45" t="s">
        <v>136</v>
      </c>
      <c r="F10" s="45" t="s">
        <v>131</v>
      </c>
      <c r="G10" s="46" t="str">
        <f>IF(COUNTIFS(Data!$A:$A,$D10,Data!$F:$F,"C&amp;T")=0,"N/A",IF(COUNTIFS(Data!$A:$A,$D10,Data!$F:$F,"C&amp;T",Data!$L:$L,'Cluster Summary'!$D$3,Data!$I:$I,"Complete")&gt;0,"Complete",IF(COUNTIFS(Data!$A:$A,$D10,Data!$F:$F,"C&amp;T",Data!$L:$L,'Cluster Summary'!$D$3)&gt;0,"Incomplete","Pending")))</f>
        <v>Complete</v>
      </c>
      <c r="H10" s="46" t="str">
        <f>IF(COUNTIFS(Data!$A:$A,$D10,Data!$F:$F,"HTS")=0,"N/A",IF(COUNTIFS(Data!$A:$A,$D10,Data!$F:$F,"HTS",Data!$L:$L,'Cluster Summary'!$D$3,Data!$I:$I,"Complete")&gt;0,"Complete",IF(COUNTIFS(Data!$A:$A,$D10,Data!$F:$F,"HTS",Data!$L:$L,'Cluster Summary'!$D$3)&gt;0,"Incomplete","Pending")))</f>
        <v>Complete</v>
      </c>
      <c r="I10" s="46" t="str">
        <f>IF(COUNTIFS(Data!$A:$A,$D10,Data!$F:$F,"MNCH")=0,"N/A",IF(COUNTIFS(Data!$A:$A,$D10,Data!$F:$F,"MNCH",Data!$L:$L,'Cluster Summary'!$D$3,Data!$I:$I,"Complete")&gt;0,"Complete",IF(COUNTIFS(Data!$A:$A,$D10,Data!$F:$F,"MNCH",Data!$L:$L,'Cluster Summary'!$D$3)&gt;0,"Incomplete","Pending")))</f>
        <v>N/A</v>
      </c>
      <c r="J10" s="46" t="str">
        <f>IF(COUNTIFS(Data!$A:$A,$D10,Data!$F:$F,"PREP")=0,"N/A",IF(COUNTIFS(Data!$A:$A,$D10,Data!$F:$F,"PREP",Data!$L:$L,'Cluster Summary'!$D$3,Data!$I:$I,"Complete")&gt;0,"Complete",IF(COUNTIFS(Data!$A:$A,$D10,Data!$F:$F,"PREP",Data!$L:$L,'Cluster Summary'!$D$3)&gt;0,"Incomplete","Pending")))</f>
        <v>Pending</v>
      </c>
      <c r="K10" s="46">
        <f t="shared" si="0"/>
        <v>1</v>
      </c>
    </row>
    <row r="11" spans="1:11" x14ac:dyDescent="0.35">
      <c r="A11" s="45" t="s">
        <v>17</v>
      </c>
      <c r="B11" s="45" t="s">
        <v>128</v>
      </c>
      <c r="C11" s="45" t="s">
        <v>129</v>
      </c>
      <c r="D11" s="46">
        <v>12717</v>
      </c>
      <c r="E11" s="45" t="s">
        <v>137</v>
      </c>
      <c r="F11" s="45" t="s">
        <v>131</v>
      </c>
      <c r="G11" s="46" t="str">
        <f>IF(COUNTIFS(Data!$A:$A,$D11,Data!$F:$F,"C&amp;T")=0,"N/A",IF(COUNTIFS(Data!$A:$A,$D11,Data!$F:$F,"C&amp;T",Data!$L:$L,'Cluster Summary'!$D$3,Data!$I:$I,"Complete")&gt;0,"Complete",IF(COUNTIFS(Data!$A:$A,$D11,Data!$F:$F,"C&amp;T",Data!$L:$L,'Cluster Summary'!$D$3)&gt;0,"Incomplete","Pending")))</f>
        <v>Complete</v>
      </c>
      <c r="H11" s="46" t="str">
        <f>IF(COUNTIFS(Data!$A:$A,$D11,Data!$F:$F,"HTS")=0,"N/A",IF(COUNTIFS(Data!$A:$A,$D11,Data!$F:$F,"HTS",Data!$L:$L,'Cluster Summary'!$D$3,Data!$I:$I,"Complete")&gt;0,"Complete",IF(COUNTIFS(Data!$A:$A,$D11,Data!$F:$F,"HTS",Data!$L:$L,'Cluster Summary'!$D$3)&gt;0,"Incomplete","Pending")))</f>
        <v>Complete</v>
      </c>
      <c r="I11" s="46" t="str">
        <f>IF(COUNTIFS(Data!$A:$A,$D11,Data!$F:$F,"MNCH")=0,"N/A",IF(COUNTIFS(Data!$A:$A,$D11,Data!$F:$F,"MNCH",Data!$L:$L,'Cluster Summary'!$D$3,Data!$I:$I,"Complete")&gt;0,"Complete",IF(COUNTIFS(Data!$A:$A,$D11,Data!$F:$F,"MNCH",Data!$L:$L,'Cluster Summary'!$D$3)&gt;0,"Incomplete","Pending")))</f>
        <v>Complete</v>
      </c>
      <c r="J11" s="46" t="str">
        <f>IF(COUNTIFS(Data!$A:$A,$D11,Data!$F:$F,"PREP")=0,"N/A",IF(COUNTIFS(Data!$A:$A,$D11,Data!$F:$F,"PREP",Data!$L:$L,'Cluster Summary'!$D$3,Data!$I:$I,"Complete")&gt;0,"Complete",IF(COUNTIFS(Data!$A:$A,$D11,Data!$F:$F,"PREP",Data!$L:$L,'Cluster Summary'!$D$3)&gt;0,"Incomplete","Pending")))</f>
        <v>N/A</v>
      </c>
      <c r="K11" s="46">
        <f t="shared" si="0"/>
        <v>0</v>
      </c>
    </row>
    <row r="12" spans="1:11" x14ac:dyDescent="0.35">
      <c r="A12" s="45" t="s">
        <v>17</v>
      </c>
      <c r="B12" s="45" t="s">
        <v>128</v>
      </c>
      <c r="C12" s="45" t="s">
        <v>129</v>
      </c>
      <c r="D12" s="46">
        <v>12303</v>
      </c>
      <c r="E12" s="45" t="s">
        <v>138</v>
      </c>
      <c r="F12" s="45" t="s">
        <v>131</v>
      </c>
      <c r="G12" s="46" t="str">
        <f>IF(COUNTIFS(Data!$A:$A,$D12,Data!$F:$F,"C&amp;T")=0,"N/A",IF(COUNTIFS(Data!$A:$A,$D12,Data!$F:$F,"C&amp;T",Data!$L:$L,'Cluster Summary'!$D$3,Data!$I:$I,"Complete")&gt;0,"Complete",IF(COUNTIFS(Data!$A:$A,$D12,Data!$F:$F,"C&amp;T",Data!$L:$L,'Cluster Summary'!$D$3)&gt;0,"Incomplete","Pending")))</f>
        <v>Complete</v>
      </c>
      <c r="H12" s="46" t="str">
        <f>IF(COUNTIFS(Data!$A:$A,$D12,Data!$F:$F,"HTS")=0,"N/A",IF(COUNTIFS(Data!$A:$A,$D12,Data!$F:$F,"HTS",Data!$L:$L,'Cluster Summary'!$D$3,Data!$I:$I,"Complete")&gt;0,"Complete",IF(COUNTIFS(Data!$A:$A,$D12,Data!$F:$F,"HTS",Data!$L:$L,'Cluster Summary'!$D$3)&gt;0,"Incomplete","Pending")))</f>
        <v>Complete</v>
      </c>
      <c r="I12" s="46" t="str">
        <f>IF(COUNTIFS(Data!$A:$A,$D12,Data!$F:$F,"MNCH")=0,"N/A",IF(COUNTIFS(Data!$A:$A,$D12,Data!$F:$F,"MNCH",Data!$L:$L,'Cluster Summary'!$D$3,Data!$I:$I,"Complete")&gt;0,"Complete",IF(COUNTIFS(Data!$A:$A,$D12,Data!$F:$F,"MNCH",Data!$L:$L,'Cluster Summary'!$D$3)&gt;0,"Incomplete","Pending")))</f>
        <v>Complete</v>
      </c>
      <c r="J12" s="46" t="str">
        <f>IF(COUNTIFS(Data!$A:$A,$D12,Data!$F:$F,"PREP")=0,"N/A",IF(COUNTIFS(Data!$A:$A,$D12,Data!$F:$F,"PREP",Data!$L:$L,'Cluster Summary'!$D$3,Data!$I:$I,"Complete")&gt;0,"Complete",IF(COUNTIFS(Data!$A:$A,$D12,Data!$F:$F,"PREP",Data!$L:$L,'Cluster Summary'!$D$3)&gt;0,"Incomplete","Pending")))</f>
        <v>Complete</v>
      </c>
      <c r="K12" s="46">
        <f t="shared" si="0"/>
        <v>0</v>
      </c>
    </row>
    <row r="13" spans="1:11" x14ac:dyDescent="0.35">
      <c r="A13" s="45" t="s">
        <v>17</v>
      </c>
      <c r="B13" s="45" t="s">
        <v>128</v>
      </c>
      <c r="C13" s="45" t="s">
        <v>129</v>
      </c>
      <c r="D13" s="46">
        <v>12802</v>
      </c>
      <c r="E13" s="45" t="s">
        <v>139</v>
      </c>
      <c r="F13" s="45" t="s">
        <v>131</v>
      </c>
      <c r="G13" s="46" t="str">
        <f>IF(COUNTIFS(Data!$A:$A,$D13,Data!$F:$F,"C&amp;T")=0,"N/A",IF(COUNTIFS(Data!$A:$A,$D13,Data!$F:$F,"C&amp;T",Data!$L:$L,'Cluster Summary'!$D$3,Data!$I:$I,"Complete")&gt;0,"Complete",IF(COUNTIFS(Data!$A:$A,$D13,Data!$F:$F,"C&amp;T",Data!$L:$L,'Cluster Summary'!$D$3)&gt;0,"Incomplete","Pending")))</f>
        <v>Complete</v>
      </c>
      <c r="H13" s="46" t="str">
        <f>IF(COUNTIFS(Data!$A:$A,$D13,Data!$F:$F,"HTS")=0,"N/A",IF(COUNTIFS(Data!$A:$A,$D13,Data!$F:$F,"HTS",Data!$L:$L,'Cluster Summary'!$D$3,Data!$I:$I,"Complete")&gt;0,"Complete",IF(COUNTIFS(Data!$A:$A,$D13,Data!$F:$F,"HTS",Data!$L:$L,'Cluster Summary'!$D$3)&gt;0,"Incomplete","Pending")))</f>
        <v>Complete</v>
      </c>
      <c r="I13" s="46" t="str">
        <f>IF(COUNTIFS(Data!$A:$A,$D13,Data!$F:$F,"MNCH")=0,"N/A",IF(COUNTIFS(Data!$A:$A,$D13,Data!$F:$F,"MNCH",Data!$L:$L,'Cluster Summary'!$D$3,Data!$I:$I,"Complete")&gt;0,"Complete",IF(COUNTIFS(Data!$A:$A,$D13,Data!$F:$F,"MNCH",Data!$L:$L,'Cluster Summary'!$D$3)&gt;0,"Incomplete","Pending")))</f>
        <v>Complete</v>
      </c>
      <c r="J13" s="46" t="str">
        <f>IF(COUNTIFS(Data!$A:$A,$D13,Data!$F:$F,"PREP")=0,"N/A",IF(COUNTIFS(Data!$A:$A,$D13,Data!$F:$F,"PREP",Data!$L:$L,'Cluster Summary'!$D$3,Data!$I:$I,"Complete")&gt;0,"Complete",IF(COUNTIFS(Data!$A:$A,$D13,Data!$F:$F,"PREP",Data!$L:$L,'Cluster Summary'!$D$3)&gt;0,"Incomplete","Pending")))</f>
        <v>Complete</v>
      </c>
      <c r="K13" s="46">
        <f t="shared" si="0"/>
        <v>0</v>
      </c>
    </row>
    <row r="14" spans="1:11" x14ac:dyDescent="0.35">
      <c r="A14" s="45" t="s">
        <v>17</v>
      </c>
      <c r="B14" s="45" t="s">
        <v>128</v>
      </c>
      <c r="C14" s="45" t="s">
        <v>140</v>
      </c>
      <c r="D14" s="46">
        <v>12174</v>
      </c>
      <c r="E14" s="45" t="s">
        <v>141</v>
      </c>
      <c r="F14" s="45" t="s">
        <v>131</v>
      </c>
      <c r="G14" s="46" t="str">
        <f>IF(COUNTIFS(Data!$A:$A,$D14,Data!$F:$F,"C&amp;T")=0,"N/A",IF(COUNTIFS(Data!$A:$A,$D14,Data!$F:$F,"C&amp;T",Data!$L:$L,'Cluster Summary'!$D$3,Data!$I:$I,"Complete")&gt;0,"Complete",IF(COUNTIFS(Data!$A:$A,$D14,Data!$F:$F,"C&amp;T",Data!$L:$L,'Cluster Summary'!$D$3)&gt;0,"Incomplete","Pending")))</f>
        <v>Complete</v>
      </c>
      <c r="H14" s="46" t="str">
        <f>IF(COUNTIFS(Data!$A:$A,$D14,Data!$F:$F,"HTS")=0,"N/A",IF(COUNTIFS(Data!$A:$A,$D14,Data!$F:$F,"HTS",Data!$L:$L,'Cluster Summary'!$D$3,Data!$I:$I,"Complete")&gt;0,"Complete",IF(COUNTIFS(Data!$A:$A,$D14,Data!$F:$F,"HTS",Data!$L:$L,'Cluster Summary'!$D$3)&gt;0,"Incomplete","Pending")))</f>
        <v>Complete</v>
      </c>
      <c r="I14" s="46" t="str">
        <f>IF(COUNTIFS(Data!$A:$A,$D14,Data!$F:$F,"MNCH")=0,"N/A",IF(COUNTIFS(Data!$A:$A,$D14,Data!$F:$F,"MNCH",Data!$L:$L,'Cluster Summary'!$D$3,Data!$I:$I,"Complete")&gt;0,"Complete",IF(COUNTIFS(Data!$A:$A,$D14,Data!$F:$F,"MNCH",Data!$L:$L,'Cluster Summary'!$D$3)&gt;0,"Incomplete","Pending")))</f>
        <v>Complete</v>
      </c>
      <c r="J14" s="46" t="str">
        <f>IF(COUNTIFS(Data!$A:$A,$D14,Data!$F:$F,"PREP")=0,"N/A",IF(COUNTIFS(Data!$A:$A,$D14,Data!$F:$F,"PREP",Data!$L:$L,'Cluster Summary'!$D$3,Data!$I:$I,"Complete")&gt;0,"Complete",IF(COUNTIFS(Data!$A:$A,$D14,Data!$F:$F,"PREP",Data!$L:$L,'Cluster Summary'!$D$3)&gt;0,"Incomplete","Pending")))</f>
        <v>Pending</v>
      </c>
      <c r="K14" s="46">
        <f t="shared" si="0"/>
        <v>1</v>
      </c>
    </row>
    <row r="15" spans="1:11" x14ac:dyDescent="0.35">
      <c r="A15" s="45" t="s">
        <v>17</v>
      </c>
      <c r="B15" s="45" t="s">
        <v>128</v>
      </c>
      <c r="C15" s="45" t="s">
        <v>140</v>
      </c>
      <c r="D15" s="46">
        <v>17262</v>
      </c>
      <c r="E15" s="45" t="s">
        <v>142</v>
      </c>
      <c r="F15" s="45" t="s">
        <v>131</v>
      </c>
      <c r="G15" s="46" t="str">
        <f>IF(COUNTIFS(Data!$A:$A,$D15,Data!$F:$F,"C&amp;T")=0,"N/A",IF(COUNTIFS(Data!$A:$A,$D15,Data!$F:$F,"C&amp;T",Data!$L:$L,'Cluster Summary'!$D$3,Data!$I:$I,"Complete")&gt;0,"Complete",IF(COUNTIFS(Data!$A:$A,$D15,Data!$F:$F,"C&amp;T",Data!$L:$L,'Cluster Summary'!$D$3)&gt;0,"Incomplete","Pending")))</f>
        <v>Complete</v>
      </c>
      <c r="H15" s="46" t="str">
        <f>IF(COUNTIFS(Data!$A:$A,$D15,Data!$F:$F,"HTS")=0,"N/A",IF(COUNTIFS(Data!$A:$A,$D15,Data!$F:$F,"HTS",Data!$L:$L,'Cluster Summary'!$D$3,Data!$I:$I,"Complete")&gt;0,"Complete",IF(COUNTIFS(Data!$A:$A,$D15,Data!$F:$F,"HTS",Data!$L:$L,'Cluster Summary'!$D$3)&gt;0,"Incomplete","Pending")))</f>
        <v>Complete</v>
      </c>
      <c r="I15" s="46" t="str">
        <f>IF(COUNTIFS(Data!$A:$A,$D15,Data!$F:$F,"MNCH")=0,"N/A",IF(COUNTIFS(Data!$A:$A,$D15,Data!$F:$F,"MNCH",Data!$L:$L,'Cluster Summary'!$D$3,Data!$I:$I,"Complete")&gt;0,"Complete",IF(COUNTIFS(Data!$A:$A,$D15,Data!$F:$F,"MNCH",Data!$L:$L,'Cluster Summary'!$D$3)&gt;0,"Incomplete","Pending")))</f>
        <v>N/A</v>
      </c>
      <c r="J15" s="46" t="str">
        <f>IF(COUNTIFS(Data!$A:$A,$D15,Data!$F:$F,"PREP")=0,"N/A",IF(COUNTIFS(Data!$A:$A,$D15,Data!$F:$F,"PREP",Data!$L:$L,'Cluster Summary'!$D$3,Data!$I:$I,"Complete")&gt;0,"Complete",IF(COUNTIFS(Data!$A:$A,$D15,Data!$F:$F,"PREP",Data!$L:$L,'Cluster Summary'!$D$3)&gt;0,"Incomplete","Pending")))</f>
        <v>N/A</v>
      </c>
      <c r="K15" s="46">
        <f t="shared" si="0"/>
        <v>0</v>
      </c>
    </row>
    <row r="16" spans="1:11" x14ac:dyDescent="0.35">
      <c r="A16" s="45" t="s">
        <v>17</v>
      </c>
      <c r="B16" s="45" t="s">
        <v>128</v>
      </c>
      <c r="C16" s="45" t="s">
        <v>140</v>
      </c>
      <c r="D16" s="46">
        <v>12319</v>
      </c>
      <c r="E16" s="45" t="s">
        <v>143</v>
      </c>
      <c r="F16" s="45" t="s">
        <v>131</v>
      </c>
      <c r="G16" s="46" t="str">
        <f>IF(COUNTIFS(Data!$A:$A,$D16,Data!$F:$F,"C&amp;T")=0,"N/A",IF(COUNTIFS(Data!$A:$A,$D16,Data!$F:$F,"C&amp;T",Data!$L:$L,'Cluster Summary'!$D$3,Data!$I:$I,"Complete")&gt;0,"Complete",IF(COUNTIFS(Data!$A:$A,$D16,Data!$F:$F,"C&amp;T",Data!$L:$L,'Cluster Summary'!$D$3)&gt;0,"Incomplete","Pending")))</f>
        <v>Complete</v>
      </c>
      <c r="H16" s="46" t="str">
        <f>IF(COUNTIFS(Data!$A:$A,$D16,Data!$F:$F,"HTS")=0,"N/A",IF(COUNTIFS(Data!$A:$A,$D16,Data!$F:$F,"HTS",Data!$L:$L,'Cluster Summary'!$D$3,Data!$I:$I,"Complete")&gt;0,"Complete",IF(COUNTIFS(Data!$A:$A,$D16,Data!$F:$F,"HTS",Data!$L:$L,'Cluster Summary'!$D$3)&gt;0,"Incomplete","Pending")))</f>
        <v>Complete</v>
      </c>
      <c r="I16" s="46" t="str">
        <f>IF(COUNTIFS(Data!$A:$A,$D16,Data!$F:$F,"MNCH")=0,"N/A",IF(COUNTIFS(Data!$A:$A,$D16,Data!$F:$F,"MNCH",Data!$L:$L,'Cluster Summary'!$D$3,Data!$I:$I,"Complete")&gt;0,"Complete",IF(COUNTIFS(Data!$A:$A,$D16,Data!$F:$F,"MNCH",Data!$L:$L,'Cluster Summary'!$D$3)&gt;0,"Incomplete","Pending")))</f>
        <v>Complete</v>
      </c>
      <c r="J16" s="46" t="str">
        <f>IF(COUNTIFS(Data!$A:$A,$D16,Data!$F:$F,"PREP")=0,"N/A",IF(COUNTIFS(Data!$A:$A,$D16,Data!$F:$F,"PREP",Data!$L:$L,'Cluster Summary'!$D$3,Data!$I:$I,"Complete")&gt;0,"Complete",IF(COUNTIFS(Data!$A:$A,$D16,Data!$F:$F,"PREP",Data!$L:$L,'Cluster Summary'!$D$3)&gt;0,"Incomplete","Pending")))</f>
        <v>Complete</v>
      </c>
      <c r="K16" s="46">
        <f t="shared" si="0"/>
        <v>0</v>
      </c>
    </row>
    <row r="17" spans="1:11" x14ac:dyDescent="0.35">
      <c r="A17" s="45" t="s">
        <v>17</v>
      </c>
      <c r="B17" s="45" t="s">
        <v>128</v>
      </c>
      <c r="C17" s="45" t="s">
        <v>140</v>
      </c>
      <c r="D17" s="46">
        <v>12675</v>
      </c>
      <c r="E17" s="45" t="s">
        <v>144</v>
      </c>
      <c r="F17" s="45" t="s">
        <v>131</v>
      </c>
      <c r="G17" s="46" t="str">
        <f>IF(COUNTIFS(Data!$A:$A,$D17,Data!$F:$F,"C&amp;T")=0,"N/A",IF(COUNTIFS(Data!$A:$A,$D17,Data!$F:$F,"C&amp;T",Data!$L:$L,'Cluster Summary'!$D$3,Data!$I:$I,"Complete")&gt;0,"Complete",IF(COUNTIFS(Data!$A:$A,$D17,Data!$F:$F,"C&amp;T",Data!$L:$L,'Cluster Summary'!$D$3)&gt;0,"Incomplete","Pending")))</f>
        <v>Complete</v>
      </c>
      <c r="H17" s="46" t="str">
        <f>IF(COUNTIFS(Data!$A:$A,$D17,Data!$F:$F,"HTS")=0,"N/A",IF(COUNTIFS(Data!$A:$A,$D17,Data!$F:$F,"HTS",Data!$L:$L,'Cluster Summary'!$D$3,Data!$I:$I,"Complete")&gt;0,"Complete",IF(COUNTIFS(Data!$A:$A,$D17,Data!$F:$F,"HTS",Data!$L:$L,'Cluster Summary'!$D$3)&gt;0,"Incomplete","Pending")))</f>
        <v>Complete</v>
      </c>
      <c r="I17" s="46" t="str">
        <f>IF(COUNTIFS(Data!$A:$A,$D17,Data!$F:$F,"MNCH")=0,"N/A",IF(COUNTIFS(Data!$A:$A,$D17,Data!$F:$F,"MNCH",Data!$L:$L,'Cluster Summary'!$D$3,Data!$I:$I,"Complete")&gt;0,"Complete",IF(COUNTIFS(Data!$A:$A,$D17,Data!$F:$F,"MNCH",Data!$L:$L,'Cluster Summary'!$D$3)&gt;0,"Incomplete","Pending")))</f>
        <v>Complete</v>
      </c>
      <c r="J17" s="46" t="str">
        <f>IF(COUNTIFS(Data!$A:$A,$D17,Data!$F:$F,"PREP")=0,"N/A",IF(COUNTIFS(Data!$A:$A,$D17,Data!$F:$F,"PREP",Data!$L:$L,'Cluster Summary'!$D$3,Data!$I:$I,"Complete")&gt;0,"Complete",IF(COUNTIFS(Data!$A:$A,$D17,Data!$F:$F,"PREP",Data!$L:$L,'Cluster Summary'!$D$3)&gt;0,"Incomplete","Pending")))</f>
        <v>Pending</v>
      </c>
      <c r="K17" s="46">
        <f t="shared" si="0"/>
        <v>1</v>
      </c>
    </row>
    <row r="18" spans="1:11" x14ac:dyDescent="0.35">
      <c r="A18" s="45" t="s">
        <v>17</v>
      </c>
      <c r="B18" s="45" t="s">
        <v>128</v>
      </c>
      <c r="C18" s="45" t="s">
        <v>140</v>
      </c>
      <c r="D18" s="46">
        <v>12816</v>
      </c>
      <c r="E18" s="45" t="s">
        <v>145</v>
      </c>
      <c r="F18" s="45" t="s">
        <v>131</v>
      </c>
      <c r="G18" s="46" t="str">
        <f>IF(COUNTIFS(Data!$A:$A,$D18,Data!$F:$F,"C&amp;T")=0,"N/A",IF(COUNTIFS(Data!$A:$A,$D18,Data!$F:$F,"C&amp;T",Data!$L:$L,'Cluster Summary'!$D$3,Data!$I:$I,"Complete")&gt;0,"Complete",IF(COUNTIFS(Data!$A:$A,$D18,Data!$F:$F,"C&amp;T",Data!$L:$L,'Cluster Summary'!$D$3)&gt;0,"Incomplete","Pending")))</f>
        <v>Complete</v>
      </c>
      <c r="H18" s="46" t="str">
        <f>IF(COUNTIFS(Data!$A:$A,$D18,Data!$F:$F,"HTS")=0,"N/A",IF(COUNTIFS(Data!$A:$A,$D18,Data!$F:$F,"HTS",Data!$L:$L,'Cluster Summary'!$D$3,Data!$I:$I,"Complete")&gt;0,"Complete",IF(COUNTIFS(Data!$A:$A,$D18,Data!$F:$F,"HTS",Data!$L:$L,'Cluster Summary'!$D$3)&gt;0,"Incomplete","Pending")))</f>
        <v>Complete</v>
      </c>
      <c r="I18" s="46" t="str">
        <f>IF(COUNTIFS(Data!$A:$A,$D18,Data!$F:$F,"MNCH")=0,"N/A",IF(COUNTIFS(Data!$A:$A,$D18,Data!$F:$F,"MNCH",Data!$L:$L,'Cluster Summary'!$D$3,Data!$I:$I,"Complete")&gt;0,"Complete",IF(COUNTIFS(Data!$A:$A,$D18,Data!$F:$F,"MNCH",Data!$L:$L,'Cluster Summary'!$D$3)&gt;0,"Incomplete","Pending")))</f>
        <v>Incomplete</v>
      </c>
      <c r="J18" s="46" t="str">
        <f>IF(COUNTIFS(Data!$A:$A,$D18,Data!$F:$F,"PREP")=0,"N/A",IF(COUNTIFS(Data!$A:$A,$D18,Data!$F:$F,"PREP",Data!$L:$L,'Cluster Summary'!$D$3,Data!$I:$I,"Complete")&gt;0,"Complete",IF(COUNTIFS(Data!$A:$A,$D18,Data!$F:$F,"PREP",Data!$L:$L,'Cluster Summary'!$D$3)&gt;0,"Incomplete","Pending")))</f>
        <v>N/A</v>
      </c>
      <c r="K18" s="46">
        <f t="shared" si="0"/>
        <v>0</v>
      </c>
    </row>
    <row r="19" spans="1:11" x14ac:dyDescent="0.35">
      <c r="A19" s="45" t="s">
        <v>17</v>
      </c>
      <c r="B19" s="45" t="s">
        <v>128</v>
      </c>
      <c r="C19" s="45" t="s">
        <v>146</v>
      </c>
      <c r="D19" s="46">
        <v>17381</v>
      </c>
      <c r="E19" s="45" t="s">
        <v>147</v>
      </c>
      <c r="F19" s="45" t="s">
        <v>131</v>
      </c>
      <c r="G19" s="46" t="str">
        <f>IF(COUNTIFS(Data!$A:$A,$D19,Data!$F:$F,"C&amp;T")=0,"N/A",IF(COUNTIFS(Data!$A:$A,$D19,Data!$F:$F,"C&amp;T",Data!$L:$L,'Cluster Summary'!$D$3,Data!$I:$I,"Complete")&gt;0,"Complete",IF(COUNTIFS(Data!$A:$A,$D19,Data!$F:$F,"C&amp;T",Data!$L:$L,'Cluster Summary'!$D$3)&gt;0,"Incomplete","Pending")))</f>
        <v>Complete</v>
      </c>
      <c r="H19" s="46" t="str">
        <f>IF(COUNTIFS(Data!$A:$A,$D19,Data!$F:$F,"HTS")=0,"N/A",IF(COUNTIFS(Data!$A:$A,$D19,Data!$F:$F,"HTS",Data!$L:$L,'Cluster Summary'!$D$3,Data!$I:$I,"Complete")&gt;0,"Complete",IF(COUNTIFS(Data!$A:$A,$D19,Data!$F:$F,"HTS",Data!$L:$L,'Cluster Summary'!$D$3)&gt;0,"Incomplete","Pending")))</f>
        <v>Complete</v>
      </c>
      <c r="I19" s="46" t="str">
        <f>IF(COUNTIFS(Data!$A:$A,$D19,Data!$F:$F,"MNCH")=0,"N/A",IF(COUNTIFS(Data!$A:$A,$D19,Data!$F:$F,"MNCH",Data!$L:$L,'Cluster Summary'!$D$3,Data!$I:$I,"Complete")&gt;0,"Complete",IF(COUNTIFS(Data!$A:$A,$D19,Data!$F:$F,"MNCH",Data!$L:$L,'Cluster Summary'!$D$3)&gt;0,"Incomplete","Pending")))</f>
        <v>Complete</v>
      </c>
      <c r="J19" s="46" t="str">
        <f>IF(COUNTIFS(Data!$A:$A,$D19,Data!$F:$F,"PREP")=0,"N/A",IF(COUNTIFS(Data!$A:$A,$D19,Data!$F:$F,"PREP",Data!$L:$L,'Cluster Summary'!$D$3,Data!$I:$I,"Complete")&gt;0,"Complete",IF(COUNTIFS(Data!$A:$A,$D19,Data!$F:$F,"PREP",Data!$L:$L,'Cluster Summary'!$D$3)&gt;0,"Incomplete","Pending")))</f>
        <v>N/A</v>
      </c>
      <c r="K19" s="46">
        <f t="shared" si="0"/>
        <v>0</v>
      </c>
    </row>
    <row r="20" spans="1:11" x14ac:dyDescent="0.35">
      <c r="A20" s="45" t="s">
        <v>17</v>
      </c>
      <c r="B20" s="45" t="s">
        <v>128</v>
      </c>
      <c r="C20" s="45" t="s">
        <v>146</v>
      </c>
      <c r="D20" s="46">
        <v>12422</v>
      </c>
      <c r="E20" s="45" t="s">
        <v>148</v>
      </c>
      <c r="F20" s="45" t="s">
        <v>149</v>
      </c>
      <c r="G20" s="46" t="str">
        <f>IF(COUNTIFS(Data!$A:$A,$D20,Data!$F:$F,"C&amp;T")=0,"N/A",IF(COUNTIFS(Data!$A:$A,$D20,Data!$F:$F,"C&amp;T",Data!$L:$L,'Cluster Summary'!$D$3,Data!$I:$I,"Complete")&gt;0,"Complete",IF(COUNTIFS(Data!$A:$A,$D20,Data!$F:$F,"C&amp;T",Data!$L:$L,'Cluster Summary'!$D$3)&gt;0,"Incomplete","Pending")))</f>
        <v>Complete</v>
      </c>
      <c r="H20" s="46" t="str">
        <f>IF(COUNTIFS(Data!$A:$A,$D20,Data!$F:$F,"HTS")=0,"N/A",IF(COUNTIFS(Data!$A:$A,$D20,Data!$F:$F,"HTS",Data!$L:$L,'Cluster Summary'!$D$3,Data!$I:$I,"Complete")&gt;0,"Complete",IF(COUNTIFS(Data!$A:$A,$D20,Data!$F:$F,"HTS",Data!$L:$L,'Cluster Summary'!$D$3)&gt;0,"Incomplete","Pending")))</f>
        <v>Complete</v>
      </c>
      <c r="I20" s="46" t="str">
        <f>IF(COUNTIFS(Data!$A:$A,$D20,Data!$F:$F,"MNCH")=0,"N/A",IF(COUNTIFS(Data!$A:$A,$D20,Data!$F:$F,"MNCH",Data!$L:$L,'Cluster Summary'!$D$3,Data!$I:$I,"Complete")&gt;0,"Complete",IF(COUNTIFS(Data!$A:$A,$D20,Data!$F:$F,"MNCH",Data!$L:$L,'Cluster Summary'!$D$3)&gt;0,"Incomplete","Pending")))</f>
        <v>Incomplete</v>
      </c>
      <c r="J20" s="46" t="str">
        <f>IF(COUNTIFS(Data!$A:$A,$D20,Data!$F:$F,"PREP")=0,"N/A",IF(COUNTIFS(Data!$A:$A,$D20,Data!$F:$F,"PREP",Data!$L:$L,'Cluster Summary'!$D$3,Data!$I:$I,"Complete")&gt;0,"Complete",IF(COUNTIFS(Data!$A:$A,$D20,Data!$F:$F,"PREP",Data!$L:$L,'Cluster Summary'!$D$3)&gt;0,"Incomplete","Pending")))</f>
        <v>Complete</v>
      </c>
      <c r="K20" s="46">
        <f t="shared" si="0"/>
        <v>0</v>
      </c>
    </row>
    <row r="21" spans="1:11" x14ac:dyDescent="0.35">
      <c r="A21" s="45" t="s">
        <v>17</v>
      </c>
      <c r="B21" s="45" t="s">
        <v>128</v>
      </c>
      <c r="C21" s="45" t="s">
        <v>146</v>
      </c>
      <c r="D21" s="46">
        <v>12605</v>
      </c>
      <c r="E21" s="45" t="s">
        <v>150</v>
      </c>
      <c r="F21" s="45" t="s">
        <v>131</v>
      </c>
      <c r="G21" s="46" t="str">
        <f>IF(COUNTIFS(Data!$A:$A,$D21,Data!$F:$F,"C&amp;T")=0,"N/A",IF(COUNTIFS(Data!$A:$A,$D21,Data!$F:$F,"C&amp;T",Data!$L:$L,'Cluster Summary'!$D$3,Data!$I:$I,"Complete")&gt;0,"Complete",IF(COUNTIFS(Data!$A:$A,$D21,Data!$F:$F,"C&amp;T",Data!$L:$L,'Cluster Summary'!$D$3)&gt;0,"Incomplete","Pending")))</f>
        <v>Complete</v>
      </c>
      <c r="H21" s="46" t="str">
        <f>IF(COUNTIFS(Data!$A:$A,$D21,Data!$F:$F,"HTS")=0,"N/A",IF(COUNTIFS(Data!$A:$A,$D21,Data!$F:$F,"HTS",Data!$L:$L,'Cluster Summary'!$D$3,Data!$I:$I,"Complete")&gt;0,"Complete",IF(COUNTIFS(Data!$A:$A,$D21,Data!$F:$F,"HTS",Data!$L:$L,'Cluster Summary'!$D$3)&gt;0,"Incomplete","Pending")))</f>
        <v>Complete</v>
      </c>
      <c r="I21" s="46" t="str">
        <f>IF(COUNTIFS(Data!$A:$A,$D21,Data!$F:$F,"MNCH")=0,"N/A",IF(COUNTIFS(Data!$A:$A,$D21,Data!$F:$F,"MNCH",Data!$L:$L,'Cluster Summary'!$D$3,Data!$I:$I,"Complete")&gt;0,"Complete",IF(COUNTIFS(Data!$A:$A,$D21,Data!$F:$F,"MNCH",Data!$L:$L,'Cluster Summary'!$D$3)&gt;0,"Incomplete","Pending")))</f>
        <v>Complete</v>
      </c>
      <c r="J21" s="46" t="str">
        <f>IF(COUNTIFS(Data!$A:$A,$D21,Data!$F:$F,"PREP")=0,"N/A",IF(COUNTIFS(Data!$A:$A,$D21,Data!$F:$F,"PREP",Data!$L:$L,'Cluster Summary'!$D$3,Data!$I:$I,"Complete")&gt;0,"Complete",IF(COUNTIFS(Data!$A:$A,$D21,Data!$F:$F,"PREP",Data!$L:$L,'Cluster Summary'!$D$3)&gt;0,"Incomplete","Pending")))</f>
        <v>Complete</v>
      </c>
      <c r="K21" s="46">
        <f t="shared" si="0"/>
        <v>0</v>
      </c>
    </row>
    <row r="22" spans="1:11" x14ac:dyDescent="0.35">
      <c r="A22" s="45" t="s">
        <v>17</v>
      </c>
      <c r="B22" s="45" t="s">
        <v>128</v>
      </c>
      <c r="C22" s="45" t="s">
        <v>146</v>
      </c>
      <c r="D22" s="46">
        <v>16555</v>
      </c>
      <c r="E22" s="45" t="s">
        <v>151</v>
      </c>
      <c r="F22" s="45" t="s">
        <v>131</v>
      </c>
      <c r="G22" s="46" t="str">
        <f>IF(COUNTIFS(Data!$A:$A,$D22,Data!$F:$F,"C&amp;T")=0,"N/A",IF(COUNTIFS(Data!$A:$A,$D22,Data!$F:$F,"C&amp;T",Data!$L:$L,'Cluster Summary'!$D$3,Data!$I:$I,"Complete")&gt;0,"Complete",IF(COUNTIFS(Data!$A:$A,$D22,Data!$F:$F,"C&amp;T",Data!$L:$L,'Cluster Summary'!$D$3)&gt;0,"Incomplete","Pending")))</f>
        <v>Complete</v>
      </c>
      <c r="H22" s="46" t="str">
        <f>IF(COUNTIFS(Data!$A:$A,$D22,Data!$F:$F,"HTS")=0,"N/A",IF(COUNTIFS(Data!$A:$A,$D22,Data!$F:$F,"HTS",Data!$L:$L,'Cluster Summary'!$D$3,Data!$I:$I,"Complete")&gt;0,"Complete",IF(COUNTIFS(Data!$A:$A,$D22,Data!$F:$F,"HTS",Data!$L:$L,'Cluster Summary'!$D$3)&gt;0,"Incomplete","Pending")))</f>
        <v>Incomplete</v>
      </c>
      <c r="I22" s="46" t="str">
        <f>IF(COUNTIFS(Data!$A:$A,$D22,Data!$F:$F,"MNCH")=0,"N/A",IF(COUNTIFS(Data!$A:$A,$D22,Data!$F:$F,"MNCH",Data!$L:$L,'Cluster Summary'!$D$3,Data!$I:$I,"Complete")&gt;0,"Complete",IF(COUNTIFS(Data!$A:$A,$D22,Data!$F:$F,"MNCH",Data!$L:$L,'Cluster Summary'!$D$3)&gt;0,"Incomplete","Pending")))</f>
        <v>Complete</v>
      </c>
      <c r="J22" s="46" t="str">
        <f>IF(COUNTIFS(Data!$A:$A,$D22,Data!$F:$F,"PREP")=0,"N/A",IF(COUNTIFS(Data!$A:$A,$D22,Data!$F:$F,"PREP",Data!$L:$L,'Cluster Summary'!$D$3,Data!$I:$I,"Complete")&gt;0,"Complete",IF(COUNTIFS(Data!$A:$A,$D22,Data!$F:$F,"PREP",Data!$L:$L,'Cluster Summary'!$D$3)&gt;0,"Incomplete","Pending")))</f>
        <v>Complete</v>
      </c>
      <c r="K22" s="46">
        <f t="shared" si="0"/>
        <v>0</v>
      </c>
    </row>
    <row r="23" spans="1:11" x14ac:dyDescent="0.35">
      <c r="A23" s="45" t="s">
        <v>17</v>
      </c>
      <c r="B23" s="45" t="s">
        <v>128</v>
      </c>
      <c r="C23" s="45" t="s">
        <v>152</v>
      </c>
      <c r="D23" s="46">
        <v>11923</v>
      </c>
      <c r="E23" s="45" t="s">
        <v>153</v>
      </c>
      <c r="F23" s="45" t="s">
        <v>131</v>
      </c>
      <c r="G23" s="46" t="str">
        <f>IF(COUNTIFS(Data!$A:$A,$D23,Data!$F:$F,"C&amp;T")=0,"N/A",IF(COUNTIFS(Data!$A:$A,$D23,Data!$F:$F,"C&amp;T",Data!$L:$L,'Cluster Summary'!$D$3,Data!$I:$I,"Complete")&gt;0,"Complete",IF(COUNTIFS(Data!$A:$A,$D23,Data!$F:$F,"C&amp;T",Data!$L:$L,'Cluster Summary'!$D$3)&gt;0,"Incomplete","Pending")))</f>
        <v>Complete</v>
      </c>
      <c r="H23" s="46" t="str">
        <f>IF(COUNTIFS(Data!$A:$A,$D23,Data!$F:$F,"HTS")=0,"N/A",IF(COUNTIFS(Data!$A:$A,$D23,Data!$F:$F,"HTS",Data!$L:$L,'Cluster Summary'!$D$3,Data!$I:$I,"Complete")&gt;0,"Complete",IF(COUNTIFS(Data!$A:$A,$D23,Data!$F:$F,"HTS",Data!$L:$L,'Cluster Summary'!$D$3)&gt;0,"Incomplete","Pending")))</f>
        <v>Complete</v>
      </c>
      <c r="I23" s="46" t="str">
        <f>IF(COUNTIFS(Data!$A:$A,$D23,Data!$F:$F,"MNCH")=0,"N/A",IF(COUNTIFS(Data!$A:$A,$D23,Data!$F:$F,"MNCH",Data!$L:$L,'Cluster Summary'!$D$3,Data!$I:$I,"Complete")&gt;0,"Complete",IF(COUNTIFS(Data!$A:$A,$D23,Data!$F:$F,"MNCH",Data!$L:$L,'Cluster Summary'!$D$3)&gt;0,"Incomplete","Pending")))</f>
        <v>Incomplete</v>
      </c>
      <c r="J23" s="46" t="str">
        <f>IF(COUNTIFS(Data!$A:$A,$D23,Data!$F:$F,"PREP")=0,"N/A",IF(COUNTIFS(Data!$A:$A,$D23,Data!$F:$F,"PREP",Data!$L:$L,'Cluster Summary'!$D$3,Data!$I:$I,"Complete")&gt;0,"Complete",IF(COUNTIFS(Data!$A:$A,$D23,Data!$F:$F,"PREP",Data!$L:$L,'Cluster Summary'!$D$3)&gt;0,"Incomplete","Pending")))</f>
        <v>Complete</v>
      </c>
      <c r="K23" s="46">
        <f t="shared" si="0"/>
        <v>0</v>
      </c>
    </row>
    <row r="24" spans="1:11" x14ac:dyDescent="0.35">
      <c r="A24" s="45" t="s">
        <v>17</v>
      </c>
      <c r="B24" s="45" t="s">
        <v>128</v>
      </c>
      <c r="C24" s="45" t="s">
        <v>152</v>
      </c>
      <c r="D24" s="46">
        <v>24622</v>
      </c>
      <c r="E24" s="45" t="s">
        <v>154</v>
      </c>
      <c r="F24" s="45" t="s">
        <v>131</v>
      </c>
      <c r="G24" s="46" t="str">
        <f>IF(COUNTIFS(Data!$A:$A,$D24,Data!$F:$F,"C&amp;T")=0,"N/A",IF(COUNTIFS(Data!$A:$A,$D24,Data!$F:$F,"C&amp;T",Data!$L:$L,'Cluster Summary'!$D$3,Data!$I:$I,"Complete")&gt;0,"Complete",IF(COUNTIFS(Data!$A:$A,$D24,Data!$F:$F,"C&amp;T",Data!$L:$L,'Cluster Summary'!$D$3)&gt;0,"Incomplete","Pending")))</f>
        <v>Complete</v>
      </c>
      <c r="H24" s="46" t="str">
        <f>IF(COUNTIFS(Data!$A:$A,$D24,Data!$F:$F,"HTS")=0,"N/A",IF(COUNTIFS(Data!$A:$A,$D24,Data!$F:$F,"HTS",Data!$L:$L,'Cluster Summary'!$D$3,Data!$I:$I,"Complete")&gt;0,"Complete",IF(COUNTIFS(Data!$A:$A,$D24,Data!$F:$F,"HTS",Data!$L:$L,'Cluster Summary'!$D$3)&gt;0,"Incomplete","Pending")))</f>
        <v>Complete</v>
      </c>
      <c r="I24" s="46" t="str">
        <f>IF(COUNTIFS(Data!$A:$A,$D24,Data!$F:$F,"MNCH")=0,"N/A",IF(COUNTIFS(Data!$A:$A,$D24,Data!$F:$F,"MNCH",Data!$L:$L,'Cluster Summary'!$D$3,Data!$I:$I,"Complete")&gt;0,"Complete",IF(COUNTIFS(Data!$A:$A,$D24,Data!$F:$F,"MNCH",Data!$L:$L,'Cluster Summary'!$D$3)&gt;0,"Incomplete","Pending")))</f>
        <v>N/A</v>
      </c>
      <c r="J24" s="46" t="str">
        <f>IF(COUNTIFS(Data!$A:$A,$D24,Data!$F:$F,"PREP")=0,"N/A",IF(COUNTIFS(Data!$A:$A,$D24,Data!$F:$F,"PREP",Data!$L:$L,'Cluster Summary'!$D$3,Data!$I:$I,"Complete")&gt;0,"Complete",IF(COUNTIFS(Data!$A:$A,$D24,Data!$F:$F,"PREP",Data!$L:$L,'Cluster Summary'!$D$3)&gt;0,"Incomplete","Pending")))</f>
        <v>Complete</v>
      </c>
      <c r="K24" s="46">
        <f t="shared" si="0"/>
        <v>0</v>
      </c>
    </row>
    <row r="25" spans="1:11" x14ac:dyDescent="0.35">
      <c r="A25" s="45" t="s">
        <v>17</v>
      </c>
      <c r="B25" s="45" t="s">
        <v>128</v>
      </c>
      <c r="C25" s="45" t="s">
        <v>152</v>
      </c>
      <c r="D25" s="46">
        <v>17003</v>
      </c>
      <c r="E25" s="45" t="s">
        <v>155</v>
      </c>
      <c r="F25" s="45" t="s">
        <v>131</v>
      </c>
      <c r="G25" s="46" t="str">
        <f>IF(COUNTIFS(Data!$A:$A,$D25,Data!$F:$F,"C&amp;T")=0,"N/A",IF(COUNTIFS(Data!$A:$A,$D25,Data!$F:$F,"C&amp;T",Data!$L:$L,'Cluster Summary'!$D$3,Data!$I:$I,"Complete")&gt;0,"Complete",IF(COUNTIFS(Data!$A:$A,$D25,Data!$F:$F,"C&amp;T",Data!$L:$L,'Cluster Summary'!$D$3)&gt;0,"Incomplete","Pending")))</f>
        <v>Complete</v>
      </c>
      <c r="H25" s="46" t="str">
        <f>IF(COUNTIFS(Data!$A:$A,$D25,Data!$F:$F,"HTS")=0,"N/A",IF(COUNTIFS(Data!$A:$A,$D25,Data!$F:$F,"HTS",Data!$L:$L,'Cluster Summary'!$D$3,Data!$I:$I,"Complete")&gt;0,"Complete",IF(COUNTIFS(Data!$A:$A,$D25,Data!$F:$F,"HTS",Data!$L:$L,'Cluster Summary'!$D$3)&gt;0,"Incomplete","Pending")))</f>
        <v>Complete</v>
      </c>
      <c r="I25" s="46" t="str">
        <f>IF(COUNTIFS(Data!$A:$A,$D25,Data!$F:$F,"MNCH")=0,"N/A",IF(COUNTIFS(Data!$A:$A,$D25,Data!$F:$F,"MNCH",Data!$L:$L,'Cluster Summary'!$D$3,Data!$I:$I,"Complete")&gt;0,"Complete",IF(COUNTIFS(Data!$A:$A,$D25,Data!$F:$F,"MNCH",Data!$L:$L,'Cluster Summary'!$D$3)&gt;0,"Incomplete","Pending")))</f>
        <v>Complete</v>
      </c>
      <c r="J25" s="46" t="str">
        <f>IF(COUNTIFS(Data!$A:$A,$D25,Data!$F:$F,"PREP")=0,"N/A",IF(COUNTIFS(Data!$A:$A,$D25,Data!$F:$F,"PREP",Data!$L:$L,'Cluster Summary'!$D$3,Data!$I:$I,"Complete")&gt;0,"Complete",IF(COUNTIFS(Data!$A:$A,$D25,Data!$F:$F,"PREP",Data!$L:$L,'Cluster Summary'!$D$3)&gt;0,"Incomplete","Pending")))</f>
        <v>N/A</v>
      </c>
      <c r="K25" s="46">
        <f t="shared" si="0"/>
        <v>0</v>
      </c>
    </row>
    <row r="26" spans="1:11" x14ac:dyDescent="0.35">
      <c r="A26" s="45" t="s">
        <v>17</v>
      </c>
      <c r="B26" s="45" t="s">
        <v>128</v>
      </c>
      <c r="C26" s="45" t="s">
        <v>152</v>
      </c>
      <c r="D26" s="46">
        <v>12492</v>
      </c>
      <c r="E26" s="45" t="s">
        <v>156</v>
      </c>
      <c r="F26" s="45" t="s">
        <v>149</v>
      </c>
      <c r="G26" s="46" t="str">
        <f>IF(COUNTIFS(Data!$A:$A,$D26,Data!$F:$F,"C&amp;T")=0,"N/A",IF(COUNTIFS(Data!$A:$A,$D26,Data!$F:$F,"C&amp;T",Data!$L:$L,'Cluster Summary'!$D$3,Data!$I:$I,"Complete")&gt;0,"Complete",IF(COUNTIFS(Data!$A:$A,$D26,Data!$F:$F,"C&amp;T",Data!$L:$L,'Cluster Summary'!$D$3)&gt;0,"Incomplete","Pending")))</f>
        <v>Complete</v>
      </c>
      <c r="H26" s="46" t="str">
        <f>IF(COUNTIFS(Data!$A:$A,$D26,Data!$F:$F,"HTS")=0,"N/A",IF(COUNTIFS(Data!$A:$A,$D26,Data!$F:$F,"HTS",Data!$L:$L,'Cluster Summary'!$D$3,Data!$I:$I,"Complete")&gt;0,"Complete",IF(COUNTIFS(Data!$A:$A,$D26,Data!$F:$F,"HTS",Data!$L:$L,'Cluster Summary'!$D$3)&gt;0,"Incomplete","Pending")))</f>
        <v>Complete</v>
      </c>
      <c r="I26" s="46" t="str">
        <f>IF(COUNTIFS(Data!$A:$A,$D26,Data!$F:$F,"MNCH")=0,"N/A",IF(COUNTIFS(Data!$A:$A,$D26,Data!$F:$F,"MNCH",Data!$L:$L,'Cluster Summary'!$D$3,Data!$I:$I,"Complete")&gt;0,"Complete",IF(COUNTIFS(Data!$A:$A,$D26,Data!$F:$F,"MNCH",Data!$L:$L,'Cluster Summary'!$D$3)&gt;0,"Incomplete","Pending")))</f>
        <v>Incomplete</v>
      </c>
      <c r="J26" s="46" t="str">
        <f>IF(COUNTIFS(Data!$A:$A,$D26,Data!$F:$F,"PREP")=0,"N/A",IF(COUNTIFS(Data!$A:$A,$D26,Data!$F:$F,"PREP",Data!$L:$L,'Cluster Summary'!$D$3,Data!$I:$I,"Complete")&gt;0,"Complete",IF(COUNTIFS(Data!$A:$A,$D26,Data!$F:$F,"PREP",Data!$L:$L,'Cluster Summary'!$D$3)&gt;0,"Incomplete","Pending")))</f>
        <v>Complete</v>
      </c>
      <c r="K26" s="46">
        <f t="shared" si="0"/>
        <v>0</v>
      </c>
    </row>
    <row r="27" spans="1:11" x14ac:dyDescent="0.35">
      <c r="A27" s="45" t="s">
        <v>17</v>
      </c>
      <c r="B27" s="45" t="s">
        <v>128</v>
      </c>
      <c r="C27" s="45" t="s">
        <v>152</v>
      </c>
      <c r="D27" s="46">
        <v>17379</v>
      </c>
      <c r="E27" s="45" t="s">
        <v>157</v>
      </c>
      <c r="F27" s="45" t="s">
        <v>131</v>
      </c>
      <c r="G27" s="46" t="str">
        <f>IF(COUNTIFS(Data!$A:$A,$D27,Data!$F:$F,"C&amp;T")=0,"N/A",IF(COUNTIFS(Data!$A:$A,$D27,Data!$F:$F,"C&amp;T",Data!$L:$L,'Cluster Summary'!$D$3,Data!$I:$I,"Complete")&gt;0,"Complete",IF(COUNTIFS(Data!$A:$A,$D27,Data!$F:$F,"C&amp;T",Data!$L:$L,'Cluster Summary'!$D$3)&gt;0,"Incomplete","Pending")))</f>
        <v>Complete</v>
      </c>
      <c r="H27" s="46" t="str">
        <f>IF(COUNTIFS(Data!$A:$A,$D27,Data!$F:$F,"HTS")=0,"N/A",IF(COUNTIFS(Data!$A:$A,$D27,Data!$F:$F,"HTS",Data!$L:$L,'Cluster Summary'!$D$3,Data!$I:$I,"Complete")&gt;0,"Complete",IF(COUNTIFS(Data!$A:$A,$D27,Data!$F:$F,"HTS",Data!$L:$L,'Cluster Summary'!$D$3)&gt;0,"Incomplete","Pending")))</f>
        <v>Complete</v>
      </c>
      <c r="I27" s="46" t="str">
        <f>IF(COUNTIFS(Data!$A:$A,$D27,Data!$F:$F,"MNCH")=0,"N/A",IF(COUNTIFS(Data!$A:$A,$D27,Data!$F:$F,"MNCH",Data!$L:$L,'Cluster Summary'!$D$3,Data!$I:$I,"Complete")&gt;0,"Complete",IF(COUNTIFS(Data!$A:$A,$D27,Data!$F:$F,"MNCH",Data!$L:$L,'Cluster Summary'!$D$3)&gt;0,"Incomplete","Pending")))</f>
        <v>Complete</v>
      </c>
      <c r="J27" s="46" t="str">
        <f>IF(COUNTIFS(Data!$A:$A,$D27,Data!$F:$F,"PREP")=0,"N/A",IF(COUNTIFS(Data!$A:$A,$D27,Data!$F:$F,"PREP",Data!$L:$L,'Cluster Summary'!$D$3,Data!$I:$I,"Complete")&gt;0,"Complete",IF(COUNTIFS(Data!$A:$A,$D27,Data!$F:$F,"PREP",Data!$L:$L,'Cluster Summary'!$D$3)&gt;0,"Incomplete","Pending")))</f>
        <v>N/A</v>
      </c>
      <c r="K27" s="46">
        <f t="shared" si="0"/>
        <v>0</v>
      </c>
    </row>
    <row r="28" spans="1:11" x14ac:dyDescent="0.35">
      <c r="A28" s="45" t="s">
        <v>17</v>
      </c>
      <c r="B28" s="45" t="s">
        <v>128</v>
      </c>
      <c r="C28" s="45" t="s">
        <v>152</v>
      </c>
      <c r="D28" s="46">
        <v>12684</v>
      </c>
      <c r="E28" s="45" t="s">
        <v>158</v>
      </c>
      <c r="F28" s="45" t="s">
        <v>131</v>
      </c>
      <c r="G28" s="46" t="str">
        <f>IF(COUNTIFS(Data!$A:$A,$D28,Data!$F:$F,"C&amp;T")=0,"N/A",IF(COUNTIFS(Data!$A:$A,$D28,Data!$F:$F,"C&amp;T",Data!$L:$L,'Cluster Summary'!$D$3,Data!$I:$I,"Complete")&gt;0,"Complete",IF(COUNTIFS(Data!$A:$A,$D28,Data!$F:$F,"C&amp;T",Data!$L:$L,'Cluster Summary'!$D$3)&gt;0,"Incomplete","Pending")))</f>
        <v>Complete</v>
      </c>
      <c r="H28" s="46" t="str">
        <f>IF(COUNTIFS(Data!$A:$A,$D28,Data!$F:$F,"HTS")=0,"N/A",IF(COUNTIFS(Data!$A:$A,$D28,Data!$F:$F,"HTS",Data!$L:$L,'Cluster Summary'!$D$3,Data!$I:$I,"Complete")&gt;0,"Complete",IF(COUNTIFS(Data!$A:$A,$D28,Data!$F:$F,"HTS",Data!$L:$L,'Cluster Summary'!$D$3)&gt;0,"Incomplete","Pending")))</f>
        <v>Complete</v>
      </c>
      <c r="I28" s="46" t="str">
        <f>IF(COUNTIFS(Data!$A:$A,$D28,Data!$F:$F,"MNCH")=0,"N/A",IF(COUNTIFS(Data!$A:$A,$D28,Data!$F:$F,"MNCH",Data!$L:$L,'Cluster Summary'!$D$3,Data!$I:$I,"Complete")&gt;0,"Complete",IF(COUNTIFS(Data!$A:$A,$D28,Data!$F:$F,"MNCH",Data!$L:$L,'Cluster Summary'!$D$3)&gt;0,"Incomplete","Pending")))</f>
        <v>Complete</v>
      </c>
      <c r="J28" s="46" t="str">
        <f>IF(COUNTIFS(Data!$A:$A,$D28,Data!$F:$F,"PREP")=0,"N/A",IF(COUNTIFS(Data!$A:$A,$D28,Data!$F:$F,"PREP",Data!$L:$L,'Cluster Summary'!$D$3,Data!$I:$I,"Complete")&gt;0,"Complete",IF(COUNTIFS(Data!$A:$A,$D28,Data!$F:$F,"PREP",Data!$L:$L,'Cluster Summary'!$D$3)&gt;0,"Incomplete","Pending")))</f>
        <v>Complete</v>
      </c>
      <c r="K28" s="46">
        <f t="shared" si="0"/>
        <v>0</v>
      </c>
    </row>
    <row r="29" spans="1:11" x14ac:dyDescent="0.35">
      <c r="A29" s="45" t="s">
        <v>17</v>
      </c>
      <c r="B29" s="45" t="s">
        <v>128</v>
      </c>
      <c r="C29" s="45" t="s">
        <v>159</v>
      </c>
      <c r="D29" s="46">
        <v>12031</v>
      </c>
      <c r="E29" s="45" t="s">
        <v>160</v>
      </c>
      <c r="F29" s="45" t="s">
        <v>131</v>
      </c>
      <c r="G29" s="46" t="str">
        <f>IF(COUNTIFS(Data!$A:$A,$D29,Data!$F:$F,"C&amp;T")=0,"N/A",IF(COUNTIFS(Data!$A:$A,$D29,Data!$F:$F,"C&amp;T",Data!$L:$L,'Cluster Summary'!$D$3,Data!$I:$I,"Complete")&gt;0,"Complete",IF(COUNTIFS(Data!$A:$A,$D29,Data!$F:$F,"C&amp;T",Data!$L:$L,'Cluster Summary'!$D$3)&gt;0,"Incomplete","Pending")))</f>
        <v>Complete</v>
      </c>
      <c r="H29" s="46" t="str">
        <f>IF(COUNTIFS(Data!$A:$A,$D29,Data!$F:$F,"HTS")=0,"N/A",IF(COUNTIFS(Data!$A:$A,$D29,Data!$F:$F,"HTS",Data!$L:$L,'Cluster Summary'!$D$3,Data!$I:$I,"Complete")&gt;0,"Complete",IF(COUNTIFS(Data!$A:$A,$D29,Data!$F:$F,"HTS",Data!$L:$L,'Cluster Summary'!$D$3)&gt;0,"Incomplete","Pending")))</f>
        <v>Complete</v>
      </c>
      <c r="I29" s="46" t="str">
        <f>IF(COUNTIFS(Data!$A:$A,$D29,Data!$F:$F,"MNCH")=0,"N/A",IF(COUNTIFS(Data!$A:$A,$D29,Data!$F:$F,"MNCH",Data!$L:$L,'Cluster Summary'!$D$3,Data!$I:$I,"Complete")&gt;0,"Complete",IF(COUNTIFS(Data!$A:$A,$D29,Data!$F:$F,"MNCH",Data!$L:$L,'Cluster Summary'!$D$3)&gt;0,"Incomplete","Pending")))</f>
        <v>Complete</v>
      </c>
      <c r="J29" s="46" t="str">
        <f>IF(COUNTIFS(Data!$A:$A,$D29,Data!$F:$F,"PREP")=0,"N/A",IF(COUNTIFS(Data!$A:$A,$D29,Data!$F:$F,"PREP",Data!$L:$L,'Cluster Summary'!$D$3,Data!$I:$I,"Complete")&gt;0,"Complete",IF(COUNTIFS(Data!$A:$A,$D29,Data!$F:$F,"PREP",Data!$L:$L,'Cluster Summary'!$D$3)&gt;0,"Incomplete","Pending")))</f>
        <v>Complete</v>
      </c>
      <c r="K29" s="46">
        <f t="shared" si="0"/>
        <v>0</v>
      </c>
    </row>
    <row r="30" spans="1:11" x14ac:dyDescent="0.35">
      <c r="A30" s="45" t="s">
        <v>17</v>
      </c>
      <c r="B30" s="45" t="s">
        <v>128</v>
      </c>
      <c r="C30" s="45" t="s">
        <v>159</v>
      </c>
      <c r="D30" s="46">
        <v>12041</v>
      </c>
      <c r="E30" s="45" t="s">
        <v>161</v>
      </c>
      <c r="F30" s="45" t="s">
        <v>131</v>
      </c>
      <c r="G30" s="46" t="str">
        <f>IF(COUNTIFS(Data!$A:$A,$D30,Data!$F:$F,"C&amp;T")=0,"N/A",IF(COUNTIFS(Data!$A:$A,$D30,Data!$F:$F,"C&amp;T",Data!$L:$L,'Cluster Summary'!$D$3,Data!$I:$I,"Complete")&gt;0,"Complete",IF(COUNTIFS(Data!$A:$A,$D30,Data!$F:$F,"C&amp;T",Data!$L:$L,'Cluster Summary'!$D$3)&gt;0,"Incomplete","Pending")))</f>
        <v>Complete</v>
      </c>
      <c r="H30" s="46" t="str">
        <f>IF(COUNTIFS(Data!$A:$A,$D30,Data!$F:$F,"HTS")=0,"N/A",IF(COUNTIFS(Data!$A:$A,$D30,Data!$F:$F,"HTS",Data!$L:$L,'Cluster Summary'!$D$3,Data!$I:$I,"Complete")&gt;0,"Complete",IF(COUNTIFS(Data!$A:$A,$D30,Data!$F:$F,"HTS",Data!$L:$L,'Cluster Summary'!$D$3)&gt;0,"Incomplete","Pending")))</f>
        <v>Complete</v>
      </c>
      <c r="I30" s="46" t="str">
        <f>IF(COUNTIFS(Data!$A:$A,$D30,Data!$F:$F,"MNCH")=0,"N/A",IF(COUNTIFS(Data!$A:$A,$D30,Data!$F:$F,"MNCH",Data!$L:$L,'Cluster Summary'!$D$3,Data!$I:$I,"Complete")&gt;0,"Complete",IF(COUNTIFS(Data!$A:$A,$D30,Data!$F:$F,"MNCH",Data!$L:$L,'Cluster Summary'!$D$3)&gt;0,"Incomplete","Pending")))</f>
        <v>Complete</v>
      </c>
      <c r="J30" s="46" t="str">
        <f>IF(COUNTIFS(Data!$A:$A,$D30,Data!$F:$F,"PREP")=0,"N/A",IF(COUNTIFS(Data!$A:$A,$D30,Data!$F:$F,"PREP",Data!$L:$L,'Cluster Summary'!$D$3,Data!$I:$I,"Complete")&gt;0,"Complete",IF(COUNTIFS(Data!$A:$A,$D30,Data!$F:$F,"PREP",Data!$L:$L,'Cluster Summary'!$D$3)&gt;0,"Incomplete","Pending")))</f>
        <v>Pending</v>
      </c>
      <c r="K30" s="46">
        <f t="shared" si="0"/>
        <v>1</v>
      </c>
    </row>
    <row r="31" spans="1:11" x14ac:dyDescent="0.35">
      <c r="A31" s="45" t="s">
        <v>17</v>
      </c>
      <c r="B31" s="45" t="s">
        <v>128</v>
      </c>
      <c r="C31" s="45" t="s">
        <v>159</v>
      </c>
      <c r="D31" s="46">
        <v>12192</v>
      </c>
      <c r="E31" s="45" t="s">
        <v>162</v>
      </c>
      <c r="F31" s="45" t="s">
        <v>131</v>
      </c>
      <c r="G31" s="46" t="str">
        <f>IF(COUNTIFS(Data!$A:$A,$D31,Data!$F:$F,"C&amp;T")=0,"N/A",IF(COUNTIFS(Data!$A:$A,$D31,Data!$F:$F,"C&amp;T",Data!$L:$L,'Cluster Summary'!$D$3,Data!$I:$I,"Complete")&gt;0,"Complete",IF(COUNTIFS(Data!$A:$A,$D31,Data!$F:$F,"C&amp;T",Data!$L:$L,'Cluster Summary'!$D$3)&gt;0,"Incomplete","Pending")))</f>
        <v>Complete</v>
      </c>
      <c r="H31" s="46" t="str">
        <f>IF(COUNTIFS(Data!$A:$A,$D31,Data!$F:$F,"HTS")=0,"N/A",IF(COUNTIFS(Data!$A:$A,$D31,Data!$F:$F,"HTS",Data!$L:$L,'Cluster Summary'!$D$3,Data!$I:$I,"Complete")&gt;0,"Complete",IF(COUNTIFS(Data!$A:$A,$D31,Data!$F:$F,"HTS",Data!$L:$L,'Cluster Summary'!$D$3)&gt;0,"Incomplete","Pending")))</f>
        <v>Incomplete</v>
      </c>
      <c r="I31" s="46" t="str">
        <f>IF(COUNTIFS(Data!$A:$A,$D31,Data!$F:$F,"MNCH")=0,"N/A",IF(COUNTIFS(Data!$A:$A,$D31,Data!$F:$F,"MNCH",Data!$L:$L,'Cluster Summary'!$D$3,Data!$I:$I,"Complete")&gt;0,"Complete",IF(COUNTIFS(Data!$A:$A,$D31,Data!$F:$F,"MNCH",Data!$L:$L,'Cluster Summary'!$D$3)&gt;0,"Incomplete","Pending")))</f>
        <v>Pending</v>
      </c>
      <c r="J31" s="46" t="str">
        <f>IF(COUNTIFS(Data!$A:$A,$D31,Data!$F:$F,"PREP")=0,"N/A",IF(COUNTIFS(Data!$A:$A,$D31,Data!$F:$F,"PREP",Data!$L:$L,'Cluster Summary'!$D$3,Data!$I:$I,"Complete")&gt;0,"Complete",IF(COUNTIFS(Data!$A:$A,$D31,Data!$F:$F,"PREP",Data!$L:$L,'Cluster Summary'!$D$3)&gt;0,"Incomplete","Pending")))</f>
        <v>Incomplete</v>
      </c>
      <c r="K31" s="46">
        <f t="shared" si="0"/>
        <v>1</v>
      </c>
    </row>
    <row r="32" spans="1:11" x14ac:dyDescent="0.35">
      <c r="A32" s="45" t="s">
        <v>17</v>
      </c>
      <c r="B32" s="45" t="s">
        <v>128</v>
      </c>
      <c r="C32" s="45" t="s">
        <v>163</v>
      </c>
      <c r="D32" s="46">
        <v>11971</v>
      </c>
      <c r="E32" s="45" t="s">
        <v>164</v>
      </c>
      <c r="F32" s="45" t="s">
        <v>131</v>
      </c>
      <c r="G32" s="46" t="str">
        <f>IF(COUNTIFS(Data!$A:$A,$D32,Data!$F:$F,"C&amp;T")=0,"N/A",IF(COUNTIFS(Data!$A:$A,$D32,Data!$F:$F,"C&amp;T",Data!$L:$L,'Cluster Summary'!$D$3,Data!$I:$I,"Complete")&gt;0,"Complete",IF(COUNTIFS(Data!$A:$A,$D32,Data!$F:$F,"C&amp;T",Data!$L:$L,'Cluster Summary'!$D$3)&gt;0,"Incomplete","Pending")))</f>
        <v>Complete</v>
      </c>
      <c r="H32" s="46" t="str">
        <f>IF(COUNTIFS(Data!$A:$A,$D32,Data!$F:$F,"HTS")=0,"N/A",IF(COUNTIFS(Data!$A:$A,$D32,Data!$F:$F,"HTS",Data!$L:$L,'Cluster Summary'!$D$3,Data!$I:$I,"Complete")&gt;0,"Complete",IF(COUNTIFS(Data!$A:$A,$D32,Data!$F:$F,"HTS",Data!$L:$L,'Cluster Summary'!$D$3)&gt;0,"Incomplete","Pending")))</f>
        <v>Complete</v>
      </c>
      <c r="I32" s="46" t="str">
        <f>IF(COUNTIFS(Data!$A:$A,$D32,Data!$F:$F,"MNCH")=0,"N/A",IF(COUNTIFS(Data!$A:$A,$D32,Data!$F:$F,"MNCH",Data!$L:$L,'Cluster Summary'!$D$3,Data!$I:$I,"Complete")&gt;0,"Complete",IF(COUNTIFS(Data!$A:$A,$D32,Data!$F:$F,"MNCH",Data!$L:$L,'Cluster Summary'!$D$3)&gt;0,"Incomplete","Pending")))</f>
        <v>Incomplete</v>
      </c>
      <c r="J32" s="46" t="str">
        <f>IF(COUNTIFS(Data!$A:$A,$D32,Data!$F:$F,"PREP")=0,"N/A",IF(COUNTIFS(Data!$A:$A,$D32,Data!$F:$F,"PREP",Data!$L:$L,'Cluster Summary'!$D$3,Data!$I:$I,"Complete")&gt;0,"Complete",IF(COUNTIFS(Data!$A:$A,$D32,Data!$F:$F,"PREP",Data!$L:$L,'Cluster Summary'!$D$3)&gt;0,"Incomplete","Pending")))</f>
        <v>Incomplete</v>
      </c>
      <c r="K32" s="46">
        <f t="shared" si="0"/>
        <v>0</v>
      </c>
    </row>
    <row r="33" spans="1:11" x14ac:dyDescent="0.35">
      <c r="A33" s="45" t="s">
        <v>17</v>
      </c>
      <c r="B33" s="45" t="s">
        <v>128</v>
      </c>
      <c r="C33" s="45" t="s">
        <v>163</v>
      </c>
      <c r="D33" s="46">
        <v>12015</v>
      </c>
      <c r="E33" s="45" t="s">
        <v>165</v>
      </c>
      <c r="F33" s="45" t="s">
        <v>131</v>
      </c>
      <c r="G33" s="46" t="str">
        <f>IF(COUNTIFS(Data!$A:$A,$D33,Data!$F:$F,"C&amp;T")=0,"N/A",IF(COUNTIFS(Data!$A:$A,$D33,Data!$F:$F,"C&amp;T",Data!$L:$L,'Cluster Summary'!$D$3,Data!$I:$I,"Complete")&gt;0,"Complete",IF(COUNTIFS(Data!$A:$A,$D33,Data!$F:$F,"C&amp;T",Data!$L:$L,'Cluster Summary'!$D$3)&gt;0,"Incomplete","Pending")))</f>
        <v>Complete</v>
      </c>
      <c r="H33" s="46" t="str">
        <f>IF(COUNTIFS(Data!$A:$A,$D33,Data!$F:$F,"HTS")=0,"N/A",IF(COUNTIFS(Data!$A:$A,$D33,Data!$F:$F,"HTS",Data!$L:$L,'Cluster Summary'!$D$3,Data!$I:$I,"Complete")&gt;0,"Complete",IF(COUNTIFS(Data!$A:$A,$D33,Data!$F:$F,"HTS",Data!$L:$L,'Cluster Summary'!$D$3)&gt;0,"Incomplete","Pending")))</f>
        <v>N/A</v>
      </c>
      <c r="I33" s="46" t="str">
        <f>IF(COUNTIFS(Data!$A:$A,$D33,Data!$F:$F,"MNCH")=0,"N/A",IF(COUNTIFS(Data!$A:$A,$D33,Data!$F:$F,"MNCH",Data!$L:$L,'Cluster Summary'!$D$3,Data!$I:$I,"Complete")&gt;0,"Complete",IF(COUNTIFS(Data!$A:$A,$D33,Data!$F:$F,"MNCH",Data!$L:$L,'Cluster Summary'!$D$3)&gt;0,"Incomplete","Pending")))</f>
        <v>Complete</v>
      </c>
      <c r="J33" s="46" t="str">
        <f>IF(COUNTIFS(Data!$A:$A,$D33,Data!$F:$F,"PREP")=0,"N/A",IF(COUNTIFS(Data!$A:$A,$D33,Data!$F:$F,"PREP",Data!$L:$L,'Cluster Summary'!$D$3,Data!$I:$I,"Complete")&gt;0,"Complete",IF(COUNTIFS(Data!$A:$A,$D33,Data!$F:$F,"PREP",Data!$L:$L,'Cluster Summary'!$D$3)&gt;0,"Incomplete","Pending")))</f>
        <v>N/A</v>
      </c>
      <c r="K33" s="46">
        <f t="shared" si="0"/>
        <v>0</v>
      </c>
    </row>
    <row r="34" spans="1:11" x14ac:dyDescent="0.35">
      <c r="A34" s="45" t="s">
        <v>17</v>
      </c>
      <c r="B34" s="45" t="s">
        <v>128</v>
      </c>
      <c r="C34" s="45" t="s">
        <v>163</v>
      </c>
      <c r="D34" s="46">
        <v>12027</v>
      </c>
      <c r="E34" s="45" t="s">
        <v>166</v>
      </c>
      <c r="F34" s="45" t="s">
        <v>131</v>
      </c>
      <c r="G34" s="46" t="str">
        <f>IF(COUNTIFS(Data!$A:$A,$D34,Data!$F:$F,"C&amp;T")=0,"N/A",IF(COUNTIFS(Data!$A:$A,$D34,Data!$F:$F,"C&amp;T",Data!$L:$L,'Cluster Summary'!$D$3,Data!$I:$I,"Complete")&gt;0,"Complete",IF(COUNTIFS(Data!$A:$A,$D34,Data!$F:$F,"C&amp;T",Data!$L:$L,'Cluster Summary'!$D$3)&gt;0,"Incomplete","Pending")))</f>
        <v>Complete</v>
      </c>
      <c r="H34" s="46" t="str">
        <f>IF(COUNTIFS(Data!$A:$A,$D34,Data!$F:$F,"HTS")=0,"N/A",IF(COUNTIFS(Data!$A:$A,$D34,Data!$F:$F,"HTS",Data!$L:$L,'Cluster Summary'!$D$3,Data!$I:$I,"Complete")&gt;0,"Complete",IF(COUNTIFS(Data!$A:$A,$D34,Data!$F:$F,"HTS",Data!$L:$L,'Cluster Summary'!$D$3)&gt;0,"Incomplete","Pending")))</f>
        <v>Complete</v>
      </c>
      <c r="I34" s="46" t="str">
        <f>IF(COUNTIFS(Data!$A:$A,$D34,Data!$F:$F,"MNCH")=0,"N/A",IF(COUNTIFS(Data!$A:$A,$D34,Data!$F:$F,"MNCH",Data!$L:$L,'Cluster Summary'!$D$3,Data!$I:$I,"Complete")&gt;0,"Complete",IF(COUNTIFS(Data!$A:$A,$D34,Data!$F:$F,"MNCH",Data!$L:$L,'Cluster Summary'!$D$3)&gt;0,"Incomplete","Pending")))</f>
        <v>Complete</v>
      </c>
      <c r="J34" s="46" t="str">
        <f>IF(COUNTIFS(Data!$A:$A,$D34,Data!$F:$F,"PREP")=0,"N/A",IF(COUNTIFS(Data!$A:$A,$D34,Data!$F:$F,"PREP",Data!$L:$L,'Cluster Summary'!$D$3,Data!$I:$I,"Complete")&gt;0,"Complete",IF(COUNTIFS(Data!$A:$A,$D34,Data!$F:$F,"PREP",Data!$L:$L,'Cluster Summary'!$D$3)&gt;0,"Incomplete","Pending")))</f>
        <v>Complete</v>
      </c>
      <c r="K34" s="46">
        <f t="shared" si="0"/>
        <v>0</v>
      </c>
    </row>
    <row r="35" spans="1:11" x14ac:dyDescent="0.35">
      <c r="A35" s="45" t="s">
        <v>17</v>
      </c>
      <c r="B35" s="45" t="s">
        <v>128</v>
      </c>
      <c r="C35" s="45" t="s">
        <v>163</v>
      </c>
      <c r="D35" s="46">
        <v>12036</v>
      </c>
      <c r="E35" s="45" t="s">
        <v>167</v>
      </c>
      <c r="F35" s="45" t="s">
        <v>131</v>
      </c>
      <c r="G35" s="46" t="str">
        <f>IF(COUNTIFS(Data!$A:$A,$D35,Data!$F:$F,"C&amp;T")=0,"N/A",IF(COUNTIFS(Data!$A:$A,$D35,Data!$F:$F,"C&amp;T",Data!$L:$L,'Cluster Summary'!$D$3,Data!$I:$I,"Complete")&gt;0,"Complete",IF(COUNTIFS(Data!$A:$A,$D35,Data!$F:$F,"C&amp;T",Data!$L:$L,'Cluster Summary'!$D$3)&gt;0,"Incomplete","Pending")))</f>
        <v>Complete</v>
      </c>
      <c r="H35" s="46" t="str">
        <f>IF(COUNTIFS(Data!$A:$A,$D35,Data!$F:$F,"HTS")=0,"N/A",IF(COUNTIFS(Data!$A:$A,$D35,Data!$F:$F,"HTS",Data!$L:$L,'Cluster Summary'!$D$3,Data!$I:$I,"Complete")&gt;0,"Complete",IF(COUNTIFS(Data!$A:$A,$D35,Data!$F:$F,"HTS",Data!$L:$L,'Cluster Summary'!$D$3)&gt;0,"Incomplete","Pending")))</f>
        <v>Complete</v>
      </c>
      <c r="I35" s="46" t="str">
        <f>IF(COUNTIFS(Data!$A:$A,$D35,Data!$F:$F,"MNCH")=0,"N/A",IF(COUNTIFS(Data!$A:$A,$D35,Data!$F:$F,"MNCH",Data!$L:$L,'Cluster Summary'!$D$3,Data!$I:$I,"Complete")&gt;0,"Complete",IF(COUNTIFS(Data!$A:$A,$D35,Data!$F:$F,"MNCH",Data!$L:$L,'Cluster Summary'!$D$3)&gt;0,"Incomplete","Pending")))</f>
        <v>Complete</v>
      </c>
      <c r="J35" s="46" t="str">
        <f>IF(COUNTIFS(Data!$A:$A,$D35,Data!$F:$F,"PREP")=0,"N/A",IF(COUNTIFS(Data!$A:$A,$D35,Data!$F:$F,"PREP",Data!$L:$L,'Cluster Summary'!$D$3,Data!$I:$I,"Complete")&gt;0,"Complete",IF(COUNTIFS(Data!$A:$A,$D35,Data!$F:$F,"PREP",Data!$L:$L,'Cluster Summary'!$D$3)&gt;0,"Incomplete","Pending")))</f>
        <v>Complete</v>
      </c>
      <c r="K35" s="46">
        <f t="shared" si="0"/>
        <v>0</v>
      </c>
    </row>
    <row r="36" spans="1:11" x14ac:dyDescent="0.35">
      <c r="A36" s="45" t="s">
        <v>17</v>
      </c>
      <c r="B36" s="45" t="s">
        <v>128</v>
      </c>
      <c r="C36" s="45" t="s">
        <v>163</v>
      </c>
      <c r="D36" s="46">
        <v>12044</v>
      </c>
      <c r="E36" s="45" t="s">
        <v>168</v>
      </c>
      <c r="F36" s="45" t="s">
        <v>131</v>
      </c>
      <c r="G36" s="46" t="str">
        <f>IF(COUNTIFS(Data!$A:$A,$D36,Data!$F:$F,"C&amp;T")=0,"N/A",IF(COUNTIFS(Data!$A:$A,$D36,Data!$F:$F,"C&amp;T",Data!$L:$L,'Cluster Summary'!$D$3,Data!$I:$I,"Complete")&gt;0,"Complete",IF(COUNTIFS(Data!$A:$A,$D36,Data!$F:$F,"C&amp;T",Data!$L:$L,'Cluster Summary'!$D$3)&gt;0,"Incomplete","Pending")))</f>
        <v>Complete</v>
      </c>
      <c r="H36" s="46" t="str">
        <f>IF(COUNTIFS(Data!$A:$A,$D36,Data!$F:$F,"HTS")=0,"N/A",IF(COUNTIFS(Data!$A:$A,$D36,Data!$F:$F,"HTS",Data!$L:$L,'Cluster Summary'!$D$3,Data!$I:$I,"Complete")&gt;0,"Complete",IF(COUNTIFS(Data!$A:$A,$D36,Data!$F:$F,"HTS",Data!$L:$L,'Cluster Summary'!$D$3)&gt;0,"Incomplete","Pending")))</f>
        <v>Complete</v>
      </c>
      <c r="I36" s="46" t="str">
        <f>IF(COUNTIFS(Data!$A:$A,$D36,Data!$F:$F,"MNCH")=0,"N/A",IF(COUNTIFS(Data!$A:$A,$D36,Data!$F:$F,"MNCH",Data!$L:$L,'Cluster Summary'!$D$3,Data!$I:$I,"Complete")&gt;0,"Complete",IF(COUNTIFS(Data!$A:$A,$D36,Data!$F:$F,"MNCH",Data!$L:$L,'Cluster Summary'!$D$3)&gt;0,"Incomplete","Pending")))</f>
        <v>Complete</v>
      </c>
      <c r="J36" s="46" t="str">
        <f>IF(COUNTIFS(Data!$A:$A,$D36,Data!$F:$F,"PREP")=0,"N/A",IF(COUNTIFS(Data!$A:$A,$D36,Data!$F:$F,"PREP",Data!$L:$L,'Cluster Summary'!$D$3,Data!$I:$I,"Complete")&gt;0,"Complete",IF(COUNTIFS(Data!$A:$A,$D36,Data!$F:$F,"PREP",Data!$L:$L,'Cluster Summary'!$D$3)&gt;0,"Incomplete","Pending")))</f>
        <v>Complete</v>
      </c>
      <c r="K36" s="46">
        <f t="shared" si="0"/>
        <v>0</v>
      </c>
    </row>
    <row r="37" spans="1:11" x14ac:dyDescent="0.35">
      <c r="A37" s="45" t="s">
        <v>17</v>
      </c>
      <c r="B37" s="45" t="s">
        <v>128</v>
      </c>
      <c r="C37" s="45" t="s">
        <v>163</v>
      </c>
      <c r="D37" s="46">
        <v>12071</v>
      </c>
      <c r="E37" s="45" t="s">
        <v>169</v>
      </c>
      <c r="F37" s="45" t="s">
        <v>131</v>
      </c>
      <c r="G37" s="46" t="str">
        <f>IF(COUNTIFS(Data!$A:$A,$D37,Data!$F:$F,"C&amp;T")=0,"N/A",IF(COUNTIFS(Data!$A:$A,$D37,Data!$F:$F,"C&amp;T",Data!$L:$L,'Cluster Summary'!$D$3,Data!$I:$I,"Complete")&gt;0,"Complete",IF(COUNTIFS(Data!$A:$A,$D37,Data!$F:$F,"C&amp;T",Data!$L:$L,'Cluster Summary'!$D$3)&gt;0,"Incomplete","Pending")))</f>
        <v>Complete</v>
      </c>
      <c r="H37" s="46" t="str">
        <f>IF(COUNTIFS(Data!$A:$A,$D37,Data!$F:$F,"HTS")=0,"N/A",IF(COUNTIFS(Data!$A:$A,$D37,Data!$F:$F,"HTS",Data!$L:$L,'Cluster Summary'!$D$3,Data!$I:$I,"Complete")&gt;0,"Complete",IF(COUNTIFS(Data!$A:$A,$D37,Data!$F:$F,"HTS",Data!$L:$L,'Cluster Summary'!$D$3)&gt;0,"Incomplete","Pending")))</f>
        <v>Complete</v>
      </c>
      <c r="I37" s="46" t="str">
        <f>IF(COUNTIFS(Data!$A:$A,$D37,Data!$F:$F,"MNCH")=0,"N/A",IF(COUNTIFS(Data!$A:$A,$D37,Data!$F:$F,"MNCH",Data!$L:$L,'Cluster Summary'!$D$3,Data!$I:$I,"Complete")&gt;0,"Complete",IF(COUNTIFS(Data!$A:$A,$D37,Data!$F:$F,"MNCH",Data!$L:$L,'Cluster Summary'!$D$3)&gt;0,"Incomplete","Pending")))</f>
        <v>Complete</v>
      </c>
      <c r="J37" s="46" t="str">
        <f>IF(COUNTIFS(Data!$A:$A,$D37,Data!$F:$F,"PREP")=0,"N/A",IF(COUNTIFS(Data!$A:$A,$D37,Data!$F:$F,"PREP",Data!$L:$L,'Cluster Summary'!$D$3,Data!$I:$I,"Complete")&gt;0,"Complete",IF(COUNTIFS(Data!$A:$A,$D37,Data!$F:$F,"PREP",Data!$L:$L,'Cluster Summary'!$D$3)&gt;0,"Incomplete","Pending")))</f>
        <v>Complete</v>
      </c>
      <c r="K37" s="46">
        <f t="shared" si="0"/>
        <v>0</v>
      </c>
    </row>
    <row r="38" spans="1:11" x14ac:dyDescent="0.35">
      <c r="A38" s="45" t="s">
        <v>17</v>
      </c>
      <c r="B38" s="45" t="s">
        <v>128</v>
      </c>
      <c r="C38" s="45" t="s">
        <v>163</v>
      </c>
      <c r="D38" s="46">
        <v>19879</v>
      </c>
      <c r="E38" s="45" t="s">
        <v>170</v>
      </c>
      <c r="F38" s="45" t="s">
        <v>131</v>
      </c>
      <c r="G38" s="46" t="str">
        <f>IF(COUNTIFS(Data!$A:$A,$D38,Data!$F:$F,"C&amp;T")=0,"N/A",IF(COUNTIFS(Data!$A:$A,$D38,Data!$F:$F,"C&amp;T",Data!$L:$L,'Cluster Summary'!$D$3,Data!$I:$I,"Complete")&gt;0,"Complete",IF(COUNTIFS(Data!$A:$A,$D38,Data!$F:$F,"C&amp;T",Data!$L:$L,'Cluster Summary'!$D$3)&gt;0,"Incomplete","Pending")))</f>
        <v>Complete</v>
      </c>
      <c r="H38" s="46" t="str">
        <f>IF(COUNTIFS(Data!$A:$A,$D38,Data!$F:$F,"HTS")=0,"N/A",IF(COUNTIFS(Data!$A:$A,$D38,Data!$F:$F,"HTS",Data!$L:$L,'Cluster Summary'!$D$3,Data!$I:$I,"Complete")&gt;0,"Complete",IF(COUNTIFS(Data!$A:$A,$D38,Data!$F:$F,"HTS",Data!$L:$L,'Cluster Summary'!$D$3)&gt;0,"Incomplete","Pending")))</f>
        <v>Complete</v>
      </c>
      <c r="I38" s="46" t="str">
        <f>IF(COUNTIFS(Data!$A:$A,$D38,Data!$F:$F,"MNCH")=0,"N/A",IF(COUNTIFS(Data!$A:$A,$D38,Data!$F:$F,"MNCH",Data!$L:$L,'Cluster Summary'!$D$3,Data!$I:$I,"Complete")&gt;0,"Complete",IF(COUNTIFS(Data!$A:$A,$D38,Data!$F:$F,"MNCH",Data!$L:$L,'Cluster Summary'!$D$3)&gt;0,"Incomplete","Pending")))</f>
        <v>Complete</v>
      </c>
      <c r="J38" s="46" t="str">
        <f>IF(COUNTIFS(Data!$A:$A,$D38,Data!$F:$F,"PREP")=0,"N/A",IF(COUNTIFS(Data!$A:$A,$D38,Data!$F:$F,"PREP",Data!$L:$L,'Cluster Summary'!$D$3,Data!$I:$I,"Complete")&gt;0,"Complete",IF(COUNTIFS(Data!$A:$A,$D38,Data!$F:$F,"PREP",Data!$L:$L,'Cluster Summary'!$D$3)&gt;0,"Incomplete","Pending")))</f>
        <v>Complete</v>
      </c>
      <c r="K38" s="46">
        <f t="shared" si="0"/>
        <v>0</v>
      </c>
    </row>
    <row r="39" spans="1:11" x14ac:dyDescent="0.35">
      <c r="A39" s="45" t="s">
        <v>17</v>
      </c>
      <c r="B39" s="45" t="s">
        <v>128</v>
      </c>
      <c r="C39" s="45" t="s">
        <v>163</v>
      </c>
      <c r="D39" s="46">
        <v>12234</v>
      </c>
      <c r="E39" s="45" t="s">
        <v>171</v>
      </c>
      <c r="F39" s="45" t="s">
        <v>131</v>
      </c>
      <c r="G39" s="46" t="str">
        <f>IF(COUNTIFS(Data!$A:$A,$D39,Data!$F:$F,"C&amp;T")=0,"N/A",IF(COUNTIFS(Data!$A:$A,$D39,Data!$F:$F,"C&amp;T",Data!$L:$L,'Cluster Summary'!$D$3,Data!$I:$I,"Complete")&gt;0,"Complete",IF(COUNTIFS(Data!$A:$A,$D39,Data!$F:$F,"C&amp;T",Data!$L:$L,'Cluster Summary'!$D$3)&gt;0,"Incomplete","Pending")))</f>
        <v>Complete</v>
      </c>
      <c r="H39" s="46" t="str">
        <f>IF(COUNTIFS(Data!$A:$A,$D39,Data!$F:$F,"HTS")=0,"N/A",IF(COUNTIFS(Data!$A:$A,$D39,Data!$F:$F,"HTS",Data!$L:$L,'Cluster Summary'!$D$3,Data!$I:$I,"Complete")&gt;0,"Complete",IF(COUNTIFS(Data!$A:$A,$D39,Data!$F:$F,"HTS",Data!$L:$L,'Cluster Summary'!$D$3)&gt;0,"Incomplete","Pending")))</f>
        <v>Complete</v>
      </c>
      <c r="I39" s="46" t="str">
        <f>IF(COUNTIFS(Data!$A:$A,$D39,Data!$F:$F,"MNCH")=0,"N/A",IF(COUNTIFS(Data!$A:$A,$D39,Data!$F:$F,"MNCH",Data!$L:$L,'Cluster Summary'!$D$3,Data!$I:$I,"Complete")&gt;0,"Complete",IF(COUNTIFS(Data!$A:$A,$D39,Data!$F:$F,"MNCH",Data!$L:$L,'Cluster Summary'!$D$3)&gt;0,"Incomplete","Pending")))</f>
        <v>Incomplete</v>
      </c>
      <c r="J39" s="46" t="str">
        <f>IF(COUNTIFS(Data!$A:$A,$D39,Data!$F:$F,"PREP")=0,"N/A",IF(COUNTIFS(Data!$A:$A,$D39,Data!$F:$F,"PREP",Data!$L:$L,'Cluster Summary'!$D$3,Data!$I:$I,"Complete")&gt;0,"Complete",IF(COUNTIFS(Data!$A:$A,$D39,Data!$F:$F,"PREP",Data!$L:$L,'Cluster Summary'!$D$3)&gt;0,"Incomplete","Pending")))</f>
        <v>N/A</v>
      </c>
      <c r="K39" s="46">
        <f t="shared" si="0"/>
        <v>0</v>
      </c>
    </row>
    <row r="40" spans="1:11" x14ac:dyDescent="0.35">
      <c r="A40" s="45" t="s">
        <v>17</v>
      </c>
      <c r="B40" s="45" t="s">
        <v>128</v>
      </c>
      <c r="C40" s="45" t="s">
        <v>163</v>
      </c>
      <c r="D40" s="46">
        <v>12290</v>
      </c>
      <c r="E40" s="45" t="s">
        <v>172</v>
      </c>
      <c r="F40" s="45" t="s">
        <v>131</v>
      </c>
      <c r="G40" s="46" t="str">
        <f>IF(COUNTIFS(Data!$A:$A,$D40,Data!$F:$F,"C&amp;T")=0,"N/A",IF(COUNTIFS(Data!$A:$A,$D40,Data!$F:$F,"C&amp;T",Data!$L:$L,'Cluster Summary'!$D$3,Data!$I:$I,"Complete")&gt;0,"Complete",IF(COUNTIFS(Data!$A:$A,$D40,Data!$F:$F,"C&amp;T",Data!$L:$L,'Cluster Summary'!$D$3)&gt;0,"Incomplete","Pending")))</f>
        <v>Complete</v>
      </c>
      <c r="H40" s="46" t="str">
        <f>IF(COUNTIFS(Data!$A:$A,$D40,Data!$F:$F,"HTS")=0,"N/A",IF(COUNTIFS(Data!$A:$A,$D40,Data!$F:$F,"HTS",Data!$L:$L,'Cluster Summary'!$D$3,Data!$I:$I,"Complete")&gt;0,"Complete",IF(COUNTIFS(Data!$A:$A,$D40,Data!$F:$F,"HTS",Data!$L:$L,'Cluster Summary'!$D$3)&gt;0,"Incomplete","Pending")))</f>
        <v>Complete</v>
      </c>
      <c r="I40" s="46" t="str">
        <f>IF(COUNTIFS(Data!$A:$A,$D40,Data!$F:$F,"MNCH")=0,"N/A",IF(COUNTIFS(Data!$A:$A,$D40,Data!$F:$F,"MNCH",Data!$L:$L,'Cluster Summary'!$D$3,Data!$I:$I,"Complete")&gt;0,"Complete",IF(COUNTIFS(Data!$A:$A,$D40,Data!$F:$F,"MNCH",Data!$L:$L,'Cluster Summary'!$D$3)&gt;0,"Incomplete","Pending")))</f>
        <v>Complete</v>
      </c>
      <c r="J40" s="46" t="str">
        <f>IF(COUNTIFS(Data!$A:$A,$D40,Data!$F:$F,"PREP")=0,"N/A",IF(COUNTIFS(Data!$A:$A,$D40,Data!$F:$F,"PREP",Data!$L:$L,'Cluster Summary'!$D$3,Data!$I:$I,"Complete")&gt;0,"Complete",IF(COUNTIFS(Data!$A:$A,$D40,Data!$F:$F,"PREP",Data!$L:$L,'Cluster Summary'!$D$3)&gt;0,"Incomplete","Pending")))</f>
        <v>N/A</v>
      </c>
      <c r="K40" s="46">
        <f t="shared" si="0"/>
        <v>0</v>
      </c>
    </row>
    <row r="41" spans="1:11" x14ac:dyDescent="0.35">
      <c r="A41" s="45" t="s">
        <v>17</v>
      </c>
      <c r="B41" s="45" t="s">
        <v>128</v>
      </c>
      <c r="C41" s="45" t="s">
        <v>163</v>
      </c>
      <c r="D41" s="46">
        <v>12326</v>
      </c>
      <c r="E41" s="45" t="s">
        <v>173</v>
      </c>
      <c r="F41" s="45" t="s">
        <v>131</v>
      </c>
      <c r="G41" s="46" t="str">
        <f>IF(COUNTIFS(Data!$A:$A,$D41,Data!$F:$F,"C&amp;T")=0,"N/A",IF(COUNTIFS(Data!$A:$A,$D41,Data!$F:$F,"C&amp;T",Data!$L:$L,'Cluster Summary'!$D$3,Data!$I:$I,"Complete")&gt;0,"Complete",IF(COUNTIFS(Data!$A:$A,$D41,Data!$F:$F,"C&amp;T",Data!$L:$L,'Cluster Summary'!$D$3)&gt;0,"Incomplete","Pending")))</f>
        <v>Complete</v>
      </c>
      <c r="H41" s="46" t="str">
        <f>IF(COUNTIFS(Data!$A:$A,$D41,Data!$F:$F,"HTS")=0,"N/A",IF(COUNTIFS(Data!$A:$A,$D41,Data!$F:$F,"HTS",Data!$L:$L,'Cluster Summary'!$D$3,Data!$I:$I,"Complete")&gt;0,"Complete",IF(COUNTIFS(Data!$A:$A,$D41,Data!$F:$F,"HTS",Data!$L:$L,'Cluster Summary'!$D$3)&gt;0,"Incomplete","Pending")))</f>
        <v>Complete</v>
      </c>
      <c r="I41" s="46" t="str">
        <f>IF(COUNTIFS(Data!$A:$A,$D41,Data!$F:$F,"MNCH")=0,"N/A",IF(COUNTIFS(Data!$A:$A,$D41,Data!$F:$F,"MNCH",Data!$L:$L,'Cluster Summary'!$D$3,Data!$I:$I,"Complete")&gt;0,"Complete",IF(COUNTIFS(Data!$A:$A,$D41,Data!$F:$F,"MNCH",Data!$L:$L,'Cluster Summary'!$D$3)&gt;0,"Incomplete","Pending")))</f>
        <v>Complete</v>
      </c>
      <c r="J41" s="46" t="str">
        <f>IF(COUNTIFS(Data!$A:$A,$D41,Data!$F:$F,"PREP")=0,"N/A",IF(COUNTIFS(Data!$A:$A,$D41,Data!$F:$F,"PREP",Data!$L:$L,'Cluster Summary'!$D$3,Data!$I:$I,"Complete")&gt;0,"Complete",IF(COUNTIFS(Data!$A:$A,$D41,Data!$F:$F,"PREP",Data!$L:$L,'Cluster Summary'!$D$3)&gt;0,"Incomplete","Pending")))</f>
        <v>Complete</v>
      </c>
      <c r="K41" s="46">
        <f t="shared" si="0"/>
        <v>0</v>
      </c>
    </row>
    <row r="42" spans="1:11" x14ac:dyDescent="0.35">
      <c r="A42" s="45" t="s">
        <v>17</v>
      </c>
      <c r="B42" s="45" t="s">
        <v>128</v>
      </c>
      <c r="C42" s="45" t="s">
        <v>163</v>
      </c>
      <c r="D42" s="46">
        <v>12516</v>
      </c>
      <c r="E42" s="45" t="s">
        <v>174</v>
      </c>
      <c r="F42" s="45" t="s">
        <v>131</v>
      </c>
      <c r="G42" s="46" t="str">
        <f>IF(COUNTIFS(Data!$A:$A,$D42,Data!$F:$F,"C&amp;T")=0,"N/A",IF(COUNTIFS(Data!$A:$A,$D42,Data!$F:$F,"C&amp;T",Data!$L:$L,'Cluster Summary'!$D$3,Data!$I:$I,"Complete")&gt;0,"Complete",IF(COUNTIFS(Data!$A:$A,$D42,Data!$F:$F,"C&amp;T",Data!$L:$L,'Cluster Summary'!$D$3)&gt;0,"Incomplete","Pending")))</f>
        <v>Incomplete</v>
      </c>
      <c r="H42" s="46" t="str">
        <f>IF(COUNTIFS(Data!$A:$A,$D42,Data!$F:$F,"HTS")=0,"N/A",IF(COUNTIFS(Data!$A:$A,$D42,Data!$F:$F,"HTS",Data!$L:$L,'Cluster Summary'!$D$3,Data!$I:$I,"Complete")&gt;0,"Complete",IF(COUNTIFS(Data!$A:$A,$D42,Data!$F:$F,"HTS",Data!$L:$L,'Cluster Summary'!$D$3)&gt;0,"Incomplete","Pending")))</f>
        <v>Complete</v>
      </c>
      <c r="I42" s="46" t="str">
        <f>IF(COUNTIFS(Data!$A:$A,$D42,Data!$F:$F,"MNCH")=0,"N/A",IF(COUNTIFS(Data!$A:$A,$D42,Data!$F:$F,"MNCH",Data!$L:$L,'Cluster Summary'!$D$3,Data!$I:$I,"Complete")&gt;0,"Complete",IF(COUNTIFS(Data!$A:$A,$D42,Data!$F:$F,"MNCH",Data!$L:$L,'Cluster Summary'!$D$3)&gt;0,"Incomplete","Pending")))</f>
        <v>Complete</v>
      </c>
      <c r="J42" s="46" t="str">
        <f>IF(COUNTIFS(Data!$A:$A,$D42,Data!$F:$F,"PREP")=0,"N/A",IF(COUNTIFS(Data!$A:$A,$D42,Data!$F:$F,"PREP",Data!$L:$L,'Cluster Summary'!$D$3,Data!$I:$I,"Complete")&gt;0,"Complete",IF(COUNTIFS(Data!$A:$A,$D42,Data!$F:$F,"PREP",Data!$L:$L,'Cluster Summary'!$D$3)&gt;0,"Incomplete","Pending")))</f>
        <v>Incomplete</v>
      </c>
      <c r="K42" s="46">
        <f t="shared" si="0"/>
        <v>0</v>
      </c>
    </row>
    <row r="43" spans="1:11" x14ac:dyDescent="0.35">
      <c r="A43" s="45" t="s">
        <v>17</v>
      </c>
      <c r="B43" s="45" t="s">
        <v>128</v>
      </c>
      <c r="C43" s="45" t="s">
        <v>175</v>
      </c>
      <c r="D43" s="46">
        <v>11976</v>
      </c>
      <c r="E43" s="45" t="s">
        <v>176</v>
      </c>
      <c r="F43" s="45" t="s">
        <v>149</v>
      </c>
      <c r="G43" s="46" t="str">
        <f>IF(COUNTIFS(Data!$A:$A,$D43,Data!$F:$F,"C&amp;T")=0,"N/A",IF(COUNTIFS(Data!$A:$A,$D43,Data!$F:$F,"C&amp;T",Data!$L:$L,'Cluster Summary'!$D$3,Data!$I:$I,"Complete")&gt;0,"Complete",IF(COUNTIFS(Data!$A:$A,$D43,Data!$F:$F,"C&amp;T",Data!$L:$L,'Cluster Summary'!$D$3)&gt;0,"Incomplete","Pending")))</f>
        <v>Complete</v>
      </c>
      <c r="H43" s="46" t="str">
        <f>IF(COUNTIFS(Data!$A:$A,$D43,Data!$F:$F,"HTS")=0,"N/A",IF(COUNTIFS(Data!$A:$A,$D43,Data!$F:$F,"HTS",Data!$L:$L,'Cluster Summary'!$D$3,Data!$I:$I,"Complete")&gt;0,"Complete",IF(COUNTIFS(Data!$A:$A,$D43,Data!$F:$F,"HTS",Data!$L:$L,'Cluster Summary'!$D$3)&gt;0,"Incomplete","Pending")))</f>
        <v>Complete</v>
      </c>
      <c r="I43" s="46" t="str">
        <f>IF(COUNTIFS(Data!$A:$A,$D43,Data!$F:$F,"MNCH")=0,"N/A",IF(COUNTIFS(Data!$A:$A,$D43,Data!$F:$F,"MNCH",Data!$L:$L,'Cluster Summary'!$D$3,Data!$I:$I,"Complete")&gt;0,"Complete",IF(COUNTIFS(Data!$A:$A,$D43,Data!$F:$F,"MNCH",Data!$L:$L,'Cluster Summary'!$D$3)&gt;0,"Incomplete","Pending")))</f>
        <v>Incomplete</v>
      </c>
      <c r="J43" s="46" t="str">
        <f>IF(COUNTIFS(Data!$A:$A,$D43,Data!$F:$F,"PREP")=0,"N/A",IF(COUNTIFS(Data!$A:$A,$D43,Data!$F:$F,"PREP",Data!$L:$L,'Cluster Summary'!$D$3,Data!$I:$I,"Complete")&gt;0,"Complete",IF(COUNTIFS(Data!$A:$A,$D43,Data!$F:$F,"PREP",Data!$L:$L,'Cluster Summary'!$D$3)&gt;0,"Incomplete","Pending")))</f>
        <v>Complete</v>
      </c>
      <c r="K43" s="46">
        <f t="shared" si="0"/>
        <v>0</v>
      </c>
    </row>
    <row r="44" spans="1:11" x14ac:dyDescent="0.35">
      <c r="A44" s="45" t="s">
        <v>17</v>
      </c>
      <c r="B44" s="45" t="s">
        <v>128</v>
      </c>
      <c r="C44" s="45" t="s">
        <v>175</v>
      </c>
      <c r="D44" s="46">
        <v>12097</v>
      </c>
      <c r="E44" s="45" t="s">
        <v>177</v>
      </c>
      <c r="F44" s="45" t="s">
        <v>131</v>
      </c>
      <c r="G44" s="46" t="str">
        <f>IF(COUNTIFS(Data!$A:$A,$D44,Data!$F:$F,"C&amp;T")=0,"N/A",IF(COUNTIFS(Data!$A:$A,$D44,Data!$F:$F,"C&amp;T",Data!$L:$L,'Cluster Summary'!$D$3,Data!$I:$I,"Complete")&gt;0,"Complete",IF(COUNTIFS(Data!$A:$A,$D44,Data!$F:$F,"C&amp;T",Data!$L:$L,'Cluster Summary'!$D$3)&gt;0,"Incomplete","Pending")))</f>
        <v>Complete</v>
      </c>
      <c r="H44" s="46" t="str">
        <f>IF(COUNTIFS(Data!$A:$A,$D44,Data!$F:$F,"HTS")=0,"N/A",IF(COUNTIFS(Data!$A:$A,$D44,Data!$F:$F,"HTS",Data!$L:$L,'Cluster Summary'!$D$3,Data!$I:$I,"Complete")&gt;0,"Complete",IF(COUNTIFS(Data!$A:$A,$D44,Data!$F:$F,"HTS",Data!$L:$L,'Cluster Summary'!$D$3)&gt;0,"Incomplete","Pending")))</f>
        <v>N/A</v>
      </c>
      <c r="I44" s="46" t="str">
        <f>IF(COUNTIFS(Data!$A:$A,$D44,Data!$F:$F,"MNCH")=0,"N/A",IF(COUNTIFS(Data!$A:$A,$D44,Data!$F:$F,"MNCH",Data!$L:$L,'Cluster Summary'!$D$3,Data!$I:$I,"Complete")&gt;0,"Complete",IF(COUNTIFS(Data!$A:$A,$D44,Data!$F:$F,"MNCH",Data!$L:$L,'Cluster Summary'!$D$3)&gt;0,"Incomplete","Pending")))</f>
        <v>N/A</v>
      </c>
      <c r="J44" s="46" t="str">
        <f>IF(COUNTIFS(Data!$A:$A,$D44,Data!$F:$F,"PREP")=0,"N/A",IF(COUNTIFS(Data!$A:$A,$D44,Data!$F:$F,"PREP",Data!$L:$L,'Cluster Summary'!$D$3,Data!$I:$I,"Complete")&gt;0,"Complete",IF(COUNTIFS(Data!$A:$A,$D44,Data!$F:$F,"PREP",Data!$L:$L,'Cluster Summary'!$D$3)&gt;0,"Incomplete","Pending")))</f>
        <v>N/A</v>
      </c>
      <c r="K44" s="46">
        <f t="shared" si="0"/>
        <v>0</v>
      </c>
    </row>
    <row r="45" spans="1:11" x14ac:dyDescent="0.35">
      <c r="A45" s="45" t="s">
        <v>17</v>
      </c>
      <c r="B45" s="45" t="s">
        <v>128</v>
      </c>
      <c r="C45" s="45" t="s">
        <v>175</v>
      </c>
      <c r="D45" s="46">
        <v>12181</v>
      </c>
      <c r="E45" s="45" t="s">
        <v>178</v>
      </c>
      <c r="F45" s="45" t="s">
        <v>131</v>
      </c>
      <c r="G45" s="46" t="str">
        <f>IF(COUNTIFS(Data!$A:$A,$D45,Data!$F:$F,"C&amp;T")=0,"N/A",IF(COUNTIFS(Data!$A:$A,$D45,Data!$F:$F,"C&amp;T",Data!$L:$L,'Cluster Summary'!$D$3,Data!$I:$I,"Complete")&gt;0,"Complete",IF(COUNTIFS(Data!$A:$A,$D45,Data!$F:$F,"C&amp;T",Data!$L:$L,'Cluster Summary'!$D$3)&gt;0,"Incomplete","Pending")))</f>
        <v>Complete</v>
      </c>
      <c r="H45" s="46" t="str">
        <f>IF(COUNTIFS(Data!$A:$A,$D45,Data!$F:$F,"HTS")=0,"N/A",IF(COUNTIFS(Data!$A:$A,$D45,Data!$F:$F,"HTS",Data!$L:$L,'Cluster Summary'!$D$3,Data!$I:$I,"Complete")&gt;0,"Complete",IF(COUNTIFS(Data!$A:$A,$D45,Data!$F:$F,"HTS",Data!$L:$L,'Cluster Summary'!$D$3)&gt;0,"Incomplete","Pending")))</f>
        <v>Complete</v>
      </c>
      <c r="I45" s="46" t="str">
        <f>IF(COUNTIFS(Data!$A:$A,$D45,Data!$F:$F,"MNCH")=0,"N/A",IF(COUNTIFS(Data!$A:$A,$D45,Data!$F:$F,"MNCH",Data!$L:$L,'Cluster Summary'!$D$3,Data!$I:$I,"Complete")&gt;0,"Complete",IF(COUNTIFS(Data!$A:$A,$D45,Data!$F:$F,"MNCH",Data!$L:$L,'Cluster Summary'!$D$3)&gt;0,"Incomplete","Pending")))</f>
        <v>Complete</v>
      </c>
      <c r="J45" s="46" t="str">
        <f>IF(COUNTIFS(Data!$A:$A,$D45,Data!$F:$F,"PREP")=0,"N/A",IF(COUNTIFS(Data!$A:$A,$D45,Data!$F:$F,"PREP",Data!$L:$L,'Cluster Summary'!$D$3,Data!$I:$I,"Complete")&gt;0,"Complete",IF(COUNTIFS(Data!$A:$A,$D45,Data!$F:$F,"PREP",Data!$L:$L,'Cluster Summary'!$D$3)&gt;0,"Incomplete","Pending")))</f>
        <v>Incomplete</v>
      </c>
      <c r="K45" s="46">
        <f t="shared" si="0"/>
        <v>0</v>
      </c>
    </row>
    <row r="46" spans="1:11" x14ac:dyDescent="0.35">
      <c r="A46" s="45" t="s">
        <v>17</v>
      </c>
      <c r="B46" s="45" t="s">
        <v>128</v>
      </c>
      <c r="C46" s="45" t="s">
        <v>175</v>
      </c>
      <c r="D46" s="46">
        <v>12232</v>
      </c>
      <c r="E46" s="45" t="s">
        <v>179</v>
      </c>
      <c r="F46" s="45" t="s">
        <v>131</v>
      </c>
      <c r="G46" s="46" t="str">
        <f>IF(COUNTIFS(Data!$A:$A,$D46,Data!$F:$F,"C&amp;T")=0,"N/A",IF(COUNTIFS(Data!$A:$A,$D46,Data!$F:$F,"C&amp;T",Data!$L:$L,'Cluster Summary'!$D$3,Data!$I:$I,"Complete")&gt;0,"Complete",IF(COUNTIFS(Data!$A:$A,$D46,Data!$F:$F,"C&amp;T",Data!$L:$L,'Cluster Summary'!$D$3)&gt;0,"Incomplete","Pending")))</f>
        <v>Complete</v>
      </c>
      <c r="H46" s="46" t="str">
        <f>IF(COUNTIFS(Data!$A:$A,$D46,Data!$F:$F,"HTS")=0,"N/A",IF(COUNTIFS(Data!$A:$A,$D46,Data!$F:$F,"HTS",Data!$L:$L,'Cluster Summary'!$D$3,Data!$I:$I,"Complete")&gt;0,"Complete",IF(COUNTIFS(Data!$A:$A,$D46,Data!$F:$F,"HTS",Data!$L:$L,'Cluster Summary'!$D$3)&gt;0,"Incomplete","Pending")))</f>
        <v>Pending</v>
      </c>
      <c r="I46" s="46" t="str">
        <f>IF(COUNTIFS(Data!$A:$A,$D46,Data!$F:$F,"MNCH")=0,"N/A",IF(COUNTIFS(Data!$A:$A,$D46,Data!$F:$F,"MNCH",Data!$L:$L,'Cluster Summary'!$D$3,Data!$I:$I,"Complete")&gt;0,"Complete",IF(COUNTIFS(Data!$A:$A,$D46,Data!$F:$F,"MNCH",Data!$L:$L,'Cluster Summary'!$D$3)&gt;0,"Incomplete","Pending")))</f>
        <v>Pending</v>
      </c>
      <c r="J46" s="46" t="str">
        <f>IF(COUNTIFS(Data!$A:$A,$D46,Data!$F:$F,"PREP")=0,"N/A",IF(COUNTIFS(Data!$A:$A,$D46,Data!$F:$F,"PREP",Data!$L:$L,'Cluster Summary'!$D$3,Data!$I:$I,"Complete")&gt;0,"Complete",IF(COUNTIFS(Data!$A:$A,$D46,Data!$F:$F,"PREP",Data!$L:$L,'Cluster Summary'!$D$3)&gt;0,"Incomplete","Pending")))</f>
        <v>N/A</v>
      </c>
      <c r="K46" s="46">
        <f t="shared" si="0"/>
        <v>2</v>
      </c>
    </row>
    <row r="47" spans="1:11" x14ac:dyDescent="0.35">
      <c r="A47" s="45" t="s">
        <v>17</v>
      </c>
      <c r="B47" s="45" t="s">
        <v>128</v>
      </c>
      <c r="C47" s="45" t="s">
        <v>175</v>
      </c>
      <c r="D47" s="46">
        <v>12296</v>
      </c>
      <c r="E47" s="45" t="s">
        <v>180</v>
      </c>
      <c r="F47" s="45" t="s">
        <v>131</v>
      </c>
      <c r="G47" s="46" t="str">
        <f>IF(COUNTIFS(Data!$A:$A,$D47,Data!$F:$F,"C&amp;T")=0,"N/A",IF(COUNTIFS(Data!$A:$A,$D47,Data!$F:$F,"C&amp;T",Data!$L:$L,'Cluster Summary'!$D$3,Data!$I:$I,"Complete")&gt;0,"Complete",IF(COUNTIFS(Data!$A:$A,$D47,Data!$F:$F,"C&amp;T",Data!$L:$L,'Cluster Summary'!$D$3)&gt;0,"Incomplete","Pending")))</f>
        <v>Complete</v>
      </c>
      <c r="H47" s="46" t="str">
        <f>IF(COUNTIFS(Data!$A:$A,$D47,Data!$F:$F,"HTS")=0,"N/A",IF(COUNTIFS(Data!$A:$A,$D47,Data!$F:$F,"HTS",Data!$L:$L,'Cluster Summary'!$D$3,Data!$I:$I,"Complete")&gt;0,"Complete",IF(COUNTIFS(Data!$A:$A,$D47,Data!$F:$F,"HTS",Data!$L:$L,'Cluster Summary'!$D$3)&gt;0,"Incomplete","Pending")))</f>
        <v>Complete</v>
      </c>
      <c r="I47" s="46" t="str">
        <f>IF(COUNTIFS(Data!$A:$A,$D47,Data!$F:$F,"MNCH")=0,"N/A",IF(COUNTIFS(Data!$A:$A,$D47,Data!$F:$F,"MNCH",Data!$L:$L,'Cluster Summary'!$D$3,Data!$I:$I,"Complete")&gt;0,"Complete",IF(COUNTIFS(Data!$A:$A,$D47,Data!$F:$F,"MNCH",Data!$L:$L,'Cluster Summary'!$D$3)&gt;0,"Incomplete","Pending")))</f>
        <v>Incomplete</v>
      </c>
      <c r="J47" s="46" t="str">
        <f>IF(COUNTIFS(Data!$A:$A,$D47,Data!$F:$F,"PREP")=0,"N/A",IF(COUNTIFS(Data!$A:$A,$D47,Data!$F:$F,"PREP",Data!$L:$L,'Cluster Summary'!$D$3,Data!$I:$I,"Complete")&gt;0,"Complete",IF(COUNTIFS(Data!$A:$A,$D47,Data!$F:$F,"PREP",Data!$L:$L,'Cluster Summary'!$D$3)&gt;0,"Incomplete","Pending")))</f>
        <v>N/A</v>
      </c>
      <c r="K47" s="46">
        <f t="shared" si="0"/>
        <v>0</v>
      </c>
    </row>
    <row r="48" spans="1:11" x14ac:dyDescent="0.35">
      <c r="A48" s="45" t="s">
        <v>17</v>
      </c>
      <c r="B48" s="45" t="s">
        <v>128</v>
      </c>
      <c r="C48" s="45" t="s">
        <v>175</v>
      </c>
      <c r="D48" s="46">
        <v>12325</v>
      </c>
      <c r="E48" s="45" t="s">
        <v>181</v>
      </c>
      <c r="F48" s="45" t="s">
        <v>131</v>
      </c>
      <c r="G48" s="46" t="str">
        <f>IF(COUNTIFS(Data!$A:$A,$D48,Data!$F:$F,"C&amp;T")=0,"N/A",IF(COUNTIFS(Data!$A:$A,$D48,Data!$F:$F,"C&amp;T",Data!$L:$L,'Cluster Summary'!$D$3,Data!$I:$I,"Complete")&gt;0,"Complete",IF(COUNTIFS(Data!$A:$A,$D48,Data!$F:$F,"C&amp;T",Data!$L:$L,'Cluster Summary'!$D$3)&gt;0,"Incomplete","Pending")))</f>
        <v>Complete</v>
      </c>
      <c r="H48" s="46" t="str">
        <f>IF(COUNTIFS(Data!$A:$A,$D48,Data!$F:$F,"HTS")=0,"N/A",IF(COUNTIFS(Data!$A:$A,$D48,Data!$F:$F,"HTS",Data!$L:$L,'Cluster Summary'!$D$3,Data!$I:$I,"Complete")&gt;0,"Complete",IF(COUNTIFS(Data!$A:$A,$D48,Data!$F:$F,"HTS",Data!$L:$L,'Cluster Summary'!$D$3)&gt;0,"Incomplete","Pending")))</f>
        <v>Complete</v>
      </c>
      <c r="I48" s="46" t="str">
        <f>IF(COUNTIFS(Data!$A:$A,$D48,Data!$F:$F,"MNCH")=0,"N/A",IF(COUNTIFS(Data!$A:$A,$D48,Data!$F:$F,"MNCH",Data!$L:$L,'Cluster Summary'!$D$3,Data!$I:$I,"Complete")&gt;0,"Complete",IF(COUNTIFS(Data!$A:$A,$D48,Data!$F:$F,"MNCH",Data!$L:$L,'Cluster Summary'!$D$3)&gt;0,"Incomplete","Pending")))</f>
        <v>Complete</v>
      </c>
      <c r="J48" s="46" t="str">
        <f>IF(COUNTIFS(Data!$A:$A,$D48,Data!$F:$F,"PREP")=0,"N/A",IF(COUNTIFS(Data!$A:$A,$D48,Data!$F:$F,"PREP",Data!$L:$L,'Cluster Summary'!$D$3,Data!$I:$I,"Complete")&gt;0,"Complete",IF(COUNTIFS(Data!$A:$A,$D48,Data!$F:$F,"PREP",Data!$L:$L,'Cluster Summary'!$D$3)&gt;0,"Incomplete","Pending")))</f>
        <v>Complete</v>
      </c>
      <c r="K48" s="46">
        <f t="shared" si="0"/>
        <v>0</v>
      </c>
    </row>
    <row r="49" spans="1:11" x14ac:dyDescent="0.35">
      <c r="A49" s="45" t="s">
        <v>17</v>
      </c>
      <c r="B49" s="45" t="s">
        <v>128</v>
      </c>
      <c r="C49" s="45" t="s">
        <v>175</v>
      </c>
      <c r="D49" s="46">
        <v>12328</v>
      </c>
      <c r="E49" s="45" t="s">
        <v>182</v>
      </c>
      <c r="F49" s="45" t="s">
        <v>131</v>
      </c>
      <c r="G49" s="46" t="str">
        <f>IF(COUNTIFS(Data!$A:$A,$D49,Data!$F:$F,"C&amp;T")=0,"N/A",IF(COUNTIFS(Data!$A:$A,$D49,Data!$F:$F,"C&amp;T",Data!$L:$L,'Cluster Summary'!$D$3,Data!$I:$I,"Complete")&gt;0,"Complete",IF(COUNTIFS(Data!$A:$A,$D49,Data!$F:$F,"C&amp;T",Data!$L:$L,'Cluster Summary'!$D$3)&gt;0,"Incomplete","Pending")))</f>
        <v>Complete</v>
      </c>
      <c r="H49" s="46" t="str">
        <f>IF(COUNTIFS(Data!$A:$A,$D49,Data!$F:$F,"HTS")=0,"N/A",IF(COUNTIFS(Data!$A:$A,$D49,Data!$F:$F,"HTS",Data!$L:$L,'Cluster Summary'!$D$3,Data!$I:$I,"Complete")&gt;0,"Complete",IF(COUNTIFS(Data!$A:$A,$D49,Data!$F:$F,"HTS",Data!$L:$L,'Cluster Summary'!$D$3)&gt;0,"Incomplete","Pending")))</f>
        <v>Complete</v>
      </c>
      <c r="I49" s="46" t="str">
        <f>IF(COUNTIFS(Data!$A:$A,$D49,Data!$F:$F,"MNCH")=0,"N/A",IF(COUNTIFS(Data!$A:$A,$D49,Data!$F:$F,"MNCH",Data!$L:$L,'Cluster Summary'!$D$3,Data!$I:$I,"Complete")&gt;0,"Complete",IF(COUNTIFS(Data!$A:$A,$D49,Data!$F:$F,"MNCH",Data!$L:$L,'Cluster Summary'!$D$3)&gt;0,"Incomplete","Pending")))</f>
        <v>Complete</v>
      </c>
      <c r="J49" s="46" t="str">
        <f>IF(COUNTIFS(Data!$A:$A,$D49,Data!$F:$F,"PREP")=0,"N/A",IF(COUNTIFS(Data!$A:$A,$D49,Data!$F:$F,"PREP",Data!$L:$L,'Cluster Summary'!$D$3,Data!$I:$I,"Complete")&gt;0,"Complete",IF(COUNTIFS(Data!$A:$A,$D49,Data!$F:$F,"PREP",Data!$L:$L,'Cluster Summary'!$D$3)&gt;0,"Incomplete","Pending")))</f>
        <v>Complete</v>
      </c>
      <c r="K49" s="46">
        <f t="shared" si="0"/>
        <v>0</v>
      </c>
    </row>
    <row r="50" spans="1:11" x14ac:dyDescent="0.35">
      <c r="A50" s="45" t="s">
        <v>17</v>
      </c>
      <c r="B50" s="45" t="s">
        <v>128</v>
      </c>
      <c r="C50" s="45" t="s">
        <v>175</v>
      </c>
      <c r="D50" s="46">
        <v>12337</v>
      </c>
      <c r="E50" s="45" t="s">
        <v>183</v>
      </c>
      <c r="F50" s="45" t="s">
        <v>131</v>
      </c>
      <c r="G50" s="46" t="str">
        <f>IF(COUNTIFS(Data!$A:$A,$D50,Data!$F:$F,"C&amp;T")=0,"N/A",IF(COUNTIFS(Data!$A:$A,$D50,Data!$F:$F,"C&amp;T",Data!$L:$L,'Cluster Summary'!$D$3,Data!$I:$I,"Complete")&gt;0,"Complete",IF(COUNTIFS(Data!$A:$A,$D50,Data!$F:$F,"C&amp;T",Data!$L:$L,'Cluster Summary'!$D$3)&gt;0,"Incomplete","Pending")))</f>
        <v>Complete</v>
      </c>
      <c r="H50" s="46" t="str">
        <f>IF(COUNTIFS(Data!$A:$A,$D50,Data!$F:$F,"HTS")=0,"N/A",IF(COUNTIFS(Data!$A:$A,$D50,Data!$F:$F,"HTS",Data!$L:$L,'Cluster Summary'!$D$3,Data!$I:$I,"Complete")&gt;0,"Complete",IF(COUNTIFS(Data!$A:$A,$D50,Data!$F:$F,"HTS",Data!$L:$L,'Cluster Summary'!$D$3)&gt;0,"Incomplete","Pending")))</f>
        <v>Complete</v>
      </c>
      <c r="I50" s="46" t="str">
        <f>IF(COUNTIFS(Data!$A:$A,$D50,Data!$F:$F,"MNCH")=0,"N/A",IF(COUNTIFS(Data!$A:$A,$D50,Data!$F:$F,"MNCH",Data!$L:$L,'Cluster Summary'!$D$3,Data!$I:$I,"Complete")&gt;0,"Complete",IF(COUNTIFS(Data!$A:$A,$D50,Data!$F:$F,"MNCH",Data!$L:$L,'Cluster Summary'!$D$3)&gt;0,"Incomplete","Pending")))</f>
        <v>N/A</v>
      </c>
      <c r="J50" s="46" t="str">
        <f>IF(COUNTIFS(Data!$A:$A,$D50,Data!$F:$F,"PREP")=0,"N/A",IF(COUNTIFS(Data!$A:$A,$D50,Data!$F:$F,"PREP",Data!$L:$L,'Cluster Summary'!$D$3,Data!$I:$I,"Complete")&gt;0,"Complete",IF(COUNTIFS(Data!$A:$A,$D50,Data!$F:$F,"PREP",Data!$L:$L,'Cluster Summary'!$D$3)&gt;0,"Incomplete","Pending")))</f>
        <v>N/A</v>
      </c>
      <c r="K50" s="46">
        <f t="shared" si="0"/>
        <v>0</v>
      </c>
    </row>
    <row r="51" spans="1:11" x14ac:dyDescent="0.35">
      <c r="A51" s="45" t="s">
        <v>17</v>
      </c>
      <c r="B51" s="45" t="s">
        <v>128</v>
      </c>
      <c r="C51" s="45" t="s">
        <v>175</v>
      </c>
      <c r="D51" s="46">
        <v>12526</v>
      </c>
      <c r="E51" s="45" t="s">
        <v>184</v>
      </c>
      <c r="F51" s="45" t="s">
        <v>131</v>
      </c>
      <c r="G51" s="46" t="str">
        <f>IF(COUNTIFS(Data!$A:$A,$D51,Data!$F:$F,"C&amp;T")=0,"N/A",IF(COUNTIFS(Data!$A:$A,$D51,Data!$F:$F,"C&amp;T",Data!$L:$L,'Cluster Summary'!$D$3,Data!$I:$I,"Complete")&gt;0,"Complete",IF(COUNTIFS(Data!$A:$A,$D51,Data!$F:$F,"C&amp;T",Data!$L:$L,'Cluster Summary'!$D$3)&gt;0,"Incomplete","Pending")))</f>
        <v>Complete</v>
      </c>
      <c r="H51" s="46" t="str">
        <f>IF(COUNTIFS(Data!$A:$A,$D51,Data!$F:$F,"HTS")=0,"N/A",IF(COUNTIFS(Data!$A:$A,$D51,Data!$F:$F,"HTS",Data!$L:$L,'Cluster Summary'!$D$3,Data!$I:$I,"Complete")&gt;0,"Complete",IF(COUNTIFS(Data!$A:$A,$D51,Data!$F:$F,"HTS",Data!$L:$L,'Cluster Summary'!$D$3)&gt;0,"Incomplete","Pending")))</f>
        <v>Complete</v>
      </c>
      <c r="I51" s="46" t="str">
        <f>IF(COUNTIFS(Data!$A:$A,$D51,Data!$F:$F,"MNCH")=0,"N/A",IF(COUNTIFS(Data!$A:$A,$D51,Data!$F:$F,"MNCH",Data!$L:$L,'Cluster Summary'!$D$3,Data!$I:$I,"Complete")&gt;0,"Complete",IF(COUNTIFS(Data!$A:$A,$D51,Data!$F:$F,"MNCH",Data!$L:$L,'Cluster Summary'!$D$3)&gt;0,"Incomplete","Pending")))</f>
        <v>Pending</v>
      </c>
      <c r="J51" s="46" t="str">
        <f>IF(COUNTIFS(Data!$A:$A,$D51,Data!$F:$F,"PREP")=0,"N/A",IF(COUNTIFS(Data!$A:$A,$D51,Data!$F:$F,"PREP",Data!$L:$L,'Cluster Summary'!$D$3,Data!$I:$I,"Complete")&gt;0,"Complete",IF(COUNTIFS(Data!$A:$A,$D51,Data!$F:$F,"PREP",Data!$L:$L,'Cluster Summary'!$D$3)&gt;0,"Incomplete","Pending")))</f>
        <v>Incomplete</v>
      </c>
      <c r="K51" s="46">
        <f t="shared" si="0"/>
        <v>1</v>
      </c>
    </row>
    <row r="52" spans="1:11" x14ac:dyDescent="0.35">
      <c r="A52" s="45" t="s">
        <v>17</v>
      </c>
      <c r="B52" s="45" t="s">
        <v>128</v>
      </c>
      <c r="C52" s="45" t="s">
        <v>175</v>
      </c>
      <c r="D52" s="46">
        <v>12534</v>
      </c>
      <c r="E52" s="45" t="s">
        <v>185</v>
      </c>
      <c r="F52" s="45" t="s">
        <v>131</v>
      </c>
      <c r="G52" s="46" t="str">
        <f>IF(COUNTIFS(Data!$A:$A,$D52,Data!$F:$F,"C&amp;T")=0,"N/A",IF(COUNTIFS(Data!$A:$A,$D52,Data!$F:$F,"C&amp;T",Data!$L:$L,'Cluster Summary'!$D$3,Data!$I:$I,"Complete")&gt;0,"Complete",IF(COUNTIFS(Data!$A:$A,$D52,Data!$F:$F,"C&amp;T",Data!$L:$L,'Cluster Summary'!$D$3)&gt;0,"Incomplete","Pending")))</f>
        <v>Complete</v>
      </c>
      <c r="H52" s="46" t="str">
        <f>IF(COUNTIFS(Data!$A:$A,$D52,Data!$F:$F,"HTS")=0,"N/A",IF(COUNTIFS(Data!$A:$A,$D52,Data!$F:$F,"HTS",Data!$L:$L,'Cluster Summary'!$D$3,Data!$I:$I,"Complete")&gt;0,"Complete",IF(COUNTIFS(Data!$A:$A,$D52,Data!$F:$F,"HTS",Data!$L:$L,'Cluster Summary'!$D$3)&gt;0,"Incomplete","Pending")))</f>
        <v>Complete</v>
      </c>
      <c r="I52" s="46" t="str">
        <f>IF(COUNTIFS(Data!$A:$A,$D52,Data!$F:$F,"MNCH")=0,"N/A",IF(COUNTIFS(Data!$A:$A,$D52,Data!$F:$F,"MNCH",Data!$L:$L,'Cluster Summary'!$D$3,Data!$I:$I,"Complete")&gt;0,"Complete",IF(COUNTIFS(Data!$A:$A,$D52,Data!$F:$F,"MNCH",Data!$L:$L,'Cluster Summary'!$D$3)&gt;0,"Incomplete","Pending")))</f>
        <v>Complete</v>
      </c>
      <c r="J52" s="46" t="str">
        <f>IF(COUNTIFS(Data!$A:$A,$D52,Data!$F:$F,"PREP")=0,"N/A",IF(COUNTIFS(Data!$A:$A,$D52,Data!$F:$F,"PREP",Data!$L:$L,'Cluster Summary'!$D$3,Data!$I:$I,"Complete")&gt;0,"Complete",IF(COUNTIFS(Data!$A:$A,$D52,Data!$F:$F,"PREP",Data!$L:$L,'Cluster Summary'!$D$3)&gt;0,"Incomplete","Pending")))</f>
        <v>Complete</v>
      </c>
      <c r="K52" s="46">
        <f t="shared" si="0"/>
        <v>0</v>
      </c>
    </row>
    <row r="53" spans="1:11" x14ac:dyDescent="0.35">
      <c r="A53" s="45" t="s">
        <v>17</v>
      </c>
      <c r="B53" s="45" t="s">
        <v>128</v>
      </c>
      <c r="C53" s="45" t="s">
        <v>175</v>
      </c>
      <c r="D53" s="46">
        <v>12666</v>
      </c>
      <c r="E53" s="45" t="s">
        <v>186</v>
      </c>
      <c r="F53" s="45" t="s">
        <v>131</v>
      </c>
      <c r="G53" s="46" t="str">
        <f>IF(COUNTIFS(Data!$A:$A,$D53,Data!$F:$F,"C&amp;T")=0,"N/A",IF(COUNTIFS(Data!$A:$A,$D53,Data!$F:$F,"C&amp;T",Data!$L:$L,'Cluster Summary'!$D$3,Data!$I:$I,"Complete")&gt;0,"Complete",IF(COUNTIFS(Data!$A:$A,$D53,Data!$F:$F,"C&amp;T",Data!$L:$L,'Cluster Summary'!$D$3)&gt;0,"Incomplete","Pending")))</f>
        <v>Complete</v>
      </c>
      <c r="H53" s="46" t="str">
        <f>IF(COUNTIFS(Data!$A:$A,$D53,Data!$F:$F,"HTS")=0,"N/A",IF(COUNTIFS(Data!$A:$A,$D53,Data!$F:$F,"HTS",Data!$L:$L,'Cluster Summary'!$D$3,Data!$I:$I,"Complete")&gt;0,"Complete",IF(COUNTIFS(Data!$A:$A,$D53,Data!$F:$F,"HTS",Data!$L:$L,'Cluster Summary'!$D$3)&gt;0,"Incomplete","Pending")))</f>
        <v>Complete</v>
      </c>
      <c r="I53" s="46" t="str">
        <f>IF(COUNTIFS(Data!$A:$A,$D53,Data!$F:$F,"MNCH")=0,"N/A",IF(COUNTIFS(Data!$A:$A,$D53,Data!$F:$F,"MNCH",Data!$L:$L,'Cluster Summary'!$D$3,Data!$I:$I,"Complete")&gt;0,"Complete",IF(COUNTIFS(Data!$A:$A,$D53,Data!$F:$F,"MNCH",Data!$L:$L,'Cluster Summary'!$D$3)&gt;0,"Incomplete","Pending")))</f>
        <v>Complete</v>
      </c>
      <c r="J53" s="46" t="str">
        <f>IF(COUNTIFS(Data!$A:$A,$D53,Data!$F:$F,"PREP")=0,"N/A",IF(COUNTIFS(Data!$A:$A,$D53,Data!$F:$F,"PREP",Data!$L:$L,'Cluster Summary'!$D$3,Data!$I:$I,"Complete")&gt;0,"Complete",IF(COUNTIFS(Data!$A:$A,$D53,Data!$F:$F,"PREP",Data!$L:$L,'Cluster Summary'!$D$3)&gt;0,"Incomplete","Pending")))</f>
        <v>Complete</v>
      </c>
      <c r="K53" s="46">
        <f t="shared" si="0"/>
        <v>0</v>
      </c>
    </row>
    <row r="54" spans="1:11" x14ac:dyDescent="0.35">
      <c r="A54" s="45" t="s">
        <v>17</v>
      </c>
      <c r="B54" s="45" t="s">
        <v>128</v>
      </c>
      <c r="C54" s="45" t="s">
        <v>175</v>
      </c>
      <c r="D54" s="46">
        <v>12743</v>
      </c>
      <c r="E54" s="45" t="s">
        <v>187</v>
      </c>
      <c r="F54" s="45" t="s">
        <v>149</v>
      </c>
      <c r="G54" s="46" t="str">
        <f>IF(COUNTIFS(Data!$A:$A,$D54,Data!$F:$F,"C&amp;T")=0,"N/A",IF(COUNTIFS(Data!$A:$A,$D54,Data!$F:$F,"C&amp;T",Data!$L:$L,'Cluster Summary'!$D$3,Data!$I:$I,"Complete")&gt;0,"Complete",IF(COUNTIFS(Data!$A:$A,$D54,Data!$F:$F,"C&amp;T",Data!$L:$L,'Cluster Summary'!$D$3)&gt;0,"Incomplete","Pending")))</f>
        <v>Complete</v>
      </c>
      <c r="H54" s="46" t="str">
        <f>IF(COUNTIFS(Data!$A:$A,$D54,Data!$F:$F,"HTS")=0,"N/A",IF(COUNTIFS(Data!$A:$A,$D54,Data!$F:$F,"HTS",Data!$L:$L,'Cluster Summary'!$D$3,Data!$I:$I,"Complete")&gt;0,"Complete",IF(COUNTIFS(Data!$A:$A,$D54,Data!$F:$F,"HTS",Data!$L:$L,'Cluster Summary'!$D$3)&gt;0,"Incomplete","Pending")))</f>
        <v>Complete</v>
      </c>
      <c r="I54" s="46" t="str">
        <f>IF(COUNTIFS(Data!$A:$A,$D54,Data!$F:$F,"MNCH")=0,"N/A",IF(COUNTIFS(Data!$A:$A,$D54,Data!$F:$F,"MNCH",Data!$L:$L,'Cluster Summary'!$D$3,Data!$I:$I,"Complete")&gt;0,"Complete",IF(COUNTIFS(Data!$A:$A,$D54,Data!$F:$F,"MNCH",Data!$L:$L,'Cluster Summary'!$D$3)&gt;0,"Incomplete","Pending")))</f>
        <v>Complete</v>
      </c>
      <c r="J54" s="46" t="str">
        <f>IF(COUNTIFS(Data!$A:$A,$D54,Data!$F:$F,"PREP")=0,"N/A",IF(COUNTIFS(Data!$A:$A,$D54,Data!$F:$F,"PREP",Data!$L:$L,'Cluster Summary'!$D$3,Data!$I:$I,"Complete")&gt;0,"Complete",IF(COUNTIFS(Data!$A:$A,$D54,Data!$F:$F,"PREP",Data!$L:$L,'Cluster Summary'!$D$3)&gt;0,"Incomplete","Pending")))</f>
        <v>Complete</v>
      </c>
      <c r="K54" s="46">
        <f t="shared" si="0"/>
        <v>0</v>
      </c>
    </row>
    <row r="55" spans="1:11" x14ac:dyDescent="0.35">
      <c r="A55" s="45" t="s">
        <v>17</v>
      </c>
      <c r="B55" s="45" t="s">
        <v>128</v>
      </c>
      <c r="C55" s="45" t="s">
        <v>175</v>
      </c>
      <c r="D55" s="46">
        <v>12831</v>
      </c>
      <c r="E55" s="45" t="s">
        <v>188</v>
      </c>
      <c r="F55" s="45" t="s">
        <v>131</v>
      </c>
      <c r="G55" s="46" t="str">
        <f>IF(COUNTIFS(Data!$A:$A,$D55,Data!$F:$F,"C&amp;T")=0,"N/A",IF(COUNTIFS(Data!$A:$A,$D55,Data!$F:$F,"C&amp;T",Data!$L:$L,'Cluster Summary'!$D$3,Data!$I:$I,"Complete")&gt;0,"Complete",IF(COUNTIFS(Data!$A:$A,$D55,Data!$F:$F,"C&amp;T",Data!$L:$L,'Cluster Summary'!$D$3)&gt;0,"Incomplete","Pending")))</f>
        <v>Complete</v>
      </c>
      <c r="H55" s="46" t="str">
        <f>IF(COUNTIFS(Data!$A:$A,$D55,Data!$F:$F,"HTS")=0,"N/A",IF(COUNTIFS(Data!$A:$A,$D55,Data!$F:$F,"HTS",Data!$L:$L,'Cluster Summary'!$D$3,Data!$I:$I,"Complete")&gt;0,"Complete",IF(COUNTIFS(Data!$A:$A,$D55,Data!$F:$F,"HTS",Data!$L:$L,'Cluster Summary'!$D$3)&gt;0,"Incomplete","Pending")))</f>
        <v>N/A</v>
      </c>
      <c r="I55" s="46" t="str">
        <f>IF(COUNTIFS(Data!$A:$A,$D55,Data!$F:$F,"MNCH")=0,"N/A",IF(COUNTIFS(Data!$A:$A,$D55,Data!$F:$F,"MNCH",Data!$L:$L,'Cluster Summary'!$D$3,Data!$I:$I,"Complete")&gt;0,"Complete",IF(COUNTIFS(Data!$A:$A,$D55,Data!$F:$F,"MNCH",Data!$L:$L,'Cluster Summary'!$D$3)&gt;0,"Incomplete","Pending")))</f>
        <v>Incomplete</v>
      </c>
      <c r="J55" s="46" t="str">
        <f>IF(COUNTIFS(Data!$A:$A,$D55,Data!$F:$F,"PREP")=0,"N/A",IF(COUNTIFS(Data!$A:$A,$D55,Data!$F:$F,"PREP",Data!$L:$L,'Cluster Summary'!$D$3,Data!$I:$I,"Complete")&gt;0,"Complete",IF(COUNTIFS(Data!$A:$A,$D55,Data!$F:$F,"PREP",Data!$L:$L,'Cluster Summary'!$D$3)&gt;0,"Incomplete","Pending")))</f>
        <v>N/A</v>
      </c>
      <c r="K55" s="46">
        <f t="shared" si="0"/>
        <v>0</v>
      </c>
    </row>
    <row r="56" spans="1:11" x14ac:dyDescent="0.35">
      <c r="A56" s="45" t="s">
        <v>17</v>
      </c>
      <c r="B56" s="45" t="s">
        <v>128</v>
      </c>
      <c r="C56" s="45" t="s">
        <v>189</v>
      </c>
      <c r="D56" s="46">
        <v>12195</v>
      </c>
      <c r="E56" s="45" t="s">
        <v>190</v>
      </c>
      <c r="F56" s="45" t="s">
        <v>131</v>
      </c>
      <c r="G56" s="46" t="str">
        <f>IF(COUNTIFS(Data!$A:$A,$D56,Data!$F:$F,"C&amp;T")=0,"N/A",IF(COUNTIFS(Data!$A:$A,$D56,Data!$F:$F,"C&amp;T",Data!$L:$L,'Cluster Summary'!$D$3,Data!$I:$I,"Complete")&gt;0,"Complete",IF(COUNTIFS(Data!$A:$A,$D56,Data!$F:$F,"C&amp;T",Data!$L:$L,'Cluster Summary'!$D$3)&gt;0,"Incomplete","Pending")))</f>
        <v>Complete</v>
      </c>
      <c r="H56" s="46" t="str">
        <f>IF(COUNTIFS(Data!$A:$A,$D56,Data!$F:$F,"HTS")=0,"N/A",IF(COUNTIFS(Data!$A:$A,$D56,Data!$F:$F,"HTS",Data!$L:$L,'Cluster Summary'!$D$3,Data!$I:$I,"Complete")&gt;0,"Complete",IF(COUNTIFS(Data!$A:$A,$D56,Data!$F:$F,"HTS",Data!$L:$L,'Cluster Summary'!$D$3)&gt;0,"Incomplete","Pending")))</f>
        <v>N/A</v>
      </c>
      <c r="I56" s="46" t="str">
        <f>IF(COUNTIFS(Data!$A:$A,$D56,Data!$F:$F,"MNCH")=0,"N/A",IF(COUNTIFS(Data!$A:$A,$D56,Data!$F:$F,"MNCH",Data!$L:$L,'Cluster Summary'!$D$3,Data!$I:$I,"Complete")&gt;0,"Complete",IF(COUNTIFS(Data!$A:$A,$D56,Data!$F:$F,"MNCH",Data!$L:$L,'Cluster Summary'!$D$3)&gt;0,"Incomplete","Pending")))</f>
        <v>Incomplete</v>
      </c>
      <c r="J56" s="46" t="str">
        <f>IF(COUNTIFS(Data!$A:$A,$D56,Data!$F:$F,"PREP")=0,"N/A",IF(COUNTIFS(Data!$A:$A,$D56,Data!$F:$F,"PREP",Data!$L:$L,'Cluster Summary'!$D$3,Data!$I:$I,"Complete")&gt;0,"Complete",IF(COUNTIFS(Data!$A:$A,$D56,Data!$F:$F,"PREP",Data!$L:$L,'Cluster Summary'!$D$3)&gt;0,"Incomplete","Pending")))</f>
        <v>N/A</v>
      </c>
      <c r="K56" s="46">
        <f t="shared" si="0"/>
        <v>0</v>
      </c>
    </row>
    <row r="57" spans="1:11" x14ac:dyDescent="0.35">
      <c r="A57" s="45" t="s">
        <v>17</v>
      </c>
      <c r="B57" s="45" t="s">
        <v>128</v>
      </c>
      <c r="C57" s="45" t="s">
        <v>189</v>
      </c>
      <c r="D57" s="46">
        <v>16235</v>
      </c>
      <c r="E57" s="45" t="s">
        <v>191</v>
      </c>
      <c r="F57" s="45" t="s">
        <v>131</v>
      </c>
      <c r="G57" s="46" t="str">
        <f>IF(COUNTIFS(Data!$A:$A,$D57,Data!$F:$F,"C&amp;T")=0,"N/A",IF(COUNTIFS(Data!$A:$A,$D57,Data!$F:$F,"C&amp;T",Data!$L:$L,'Cluster Summary'!$D$3,Data!$I:$I,"Complete")&gt;0,"Complete",IF(COUNTIFS(Data!$A:$A,$D57,Data!$F:$F,"C&amp;T",Data!$L:$L,'Cluster Summary'!$D$3)&gt;0,"Incomplete","Pending")))</f>
        <v>Complete</v>
      </c>
      <c r="H57" s="46" t="str">
        <f>IF(COUNTIFS(Data!$A:$A,$D57,Data!$F:$F,"HTS")=0,"N/A",IF(COUNTIFS(Data!$A:$A,$D57,Data!$F:$F,"HTS",Data!$L:$L,'Cluster Summary'!$D$3,Data!$I:$I,"Complete")&gt;0,"Complete",IF(COUNTIFS(Data!$A:$A,$D57,Data!$F:$F,"HTS",Data!$L:$L,'Cluster Summary'!$D$3)&gt;0,"Incomplete","Pending")))</f>
        <v>Incomplete</v>
      </c>
      <c r="I57" s="46" t="str">
        <f>IF(COUNTIFS(Data!$A:$A,$D57,Data!$F:$F,"MNCH")=0,"N/A",IF(COUNTIFS(Data!$A:$A,$D57,Data!$F:$F,"MNCH",Data!$L:$L,'Cluster Summary'!$D$3,Data!$I:$I,"Complete")&gt;0,"Complete",IF(COUNTIFS(Data!$A:$A,$D57,Data!$F:$F,"MNCH",Data!$L:$L,'Cluster Summary'!$D$3)&gt;0,"Incomplete","Pending")))</f>
        <v>Complete</v>
      </c>
      <c r="J57" s="46" t="str">
        <f>IF(COUNTIFS(Data!$A:$A,$D57,Data!$F:$F,"PREP")=0,"N/A",IF(COUNTIFS(Data!$A:$A,$D57,Data!$F:$F,"PREP",Data!$L:$L,'Cluster Summary'!$D$3,Data!$I:$I,"Complete")&gt;0,"Complete",IF(COUNTIFS(Data!$A:$A,$D57,Data!$F:$F,"PREP",Data!$L:$L,'Cluster Summary'!$D$3)&gt;0,"Incomplete","Pending")))</f>
        <v>Complete</v>
      </c>
      <c r="K57" s="46">
        <f t="shared" si="0"/>
        <v>0</v>
      </c>
    </row>
    <row r="58" spans="1:11" x14ac:dyDescent="0.35">
      <c r="A58" s="45" t="s">
        <v>17</v>
      </c>
      <c r="B58" s="45" t="s">
        <v>128</v>
      </c>
      <c r="C58" s="45" t="s">
        <v>189</v>
      </c>
      <c r="D58" s="46">
        <v>12390</v>
      </c>
      <c r="E58" s="45" t="s">
        <v>192</v>
      </c>
      <c r="F58" s="45" t="s">
        <v>131</v>
      </c>
      <c r="G58" s="46" t="str">
        <f>IF(COUNTIFS(Data!$A:$A,$D58,Data!$F:$F,"C&amp;T")=0,"N/A",IF(COUNTIFS(Data!$A:$A,$D58,Data!$F:$F,"C&amp;T",Data!$L:$L,'Cluster Summary'!$D$3,Data!$I:$I,"Complete")&gt;0,"Complete",IF(COUNTIFS(Data!$A:$A,$D58,Data!$F:$F,"C&amp;T",Data!$L:$L,'Cluster Summary'!$D$3)&gt;0,"Incomplete","Pending")))</f>
        <v>Complete</v>
      </c>
      <c r="H58" s="46" t="str">
        <f>IF(COUNTIFS(Data!$A:$A,$D58,Data!$F:$F,"HTS")=0,"N/A",IF(COUNTIFS(Data!$A:$A,$D58,Data!$F:$F,"HTS",Data!$L:$L,'Cluster Summary'!$D$3,Data!$I:$I,"Complete")&gt;0,"Complete",IF(COUNTIFS(Data!$A:$A,$D58,Data!$F:$F,"HTS",Data!$L:$L,'Cluster Summary'!$D$3)&gt;0,"Incomplete","Pending")))</f>
        <v>Complete</v>
      </c>
      <c r="I58" s="46" t="str">
        <f>IF(COUNTIFS(Data!$A:$A,$D58,Data!$F:$F,"MNCH")=0,"N/A",IF(COUNTIFS(Data!$A:$A,$D58,Data!$F:$F,"MNCH",Data!$L:$L,'Cluster Summary'!$D$3,Data!$I:$I,"Complete")&gt;0,"Complete",IF(COUNTIFS(Data!$A:$A,$D58,Data!$F:$F,"MNCH",Data!$L:$L,'Cluster Summary'!$D$3)&gt;0,"Incomplete","Pending")))</f>
        <v>Complete</v>
      </c>
      <c r="J58" s="46" t="str">
        <f>IF(COUNTIFS(Data!$A:$A,$D58,Data!$F:$F,"PREP")=0,"N/A",IF(COUNTIFS(Data!$A:$A,$D58,Data!$F:$F,"PREP",Data!$L:$L,'Cluster Summary'!$D$3,Data!$I:$I,"Complete")&gt;0,"Complete",IF(COUNTIFS(Data!$A:$A,$D58,Data!$F:$F,"PREP",Data!$L:$L,'Cluster Summary'!$D$3)&gt;0,"Incomplete","Pending")))</f>
        <v>N/A</v>
      </c>
      <c r="K58" s="46">
        <f t="shared" si="0"/>
        <v>0</v>
      </c>
    </row>
    <row r="59" spans="1:11" x14ac:dyDescent="0.35">
      <c r="A59" s="45" t="s">
        <v>17</v>
      </c>
      <c r="B59" s="45" t="s">
        <v>128</v>
      </c>
      <c r="C59" s="45" t="s">
        <v>189</v>
      </c>
      <c r="D59" s="46">
        <v>12525</v>
      </c>
      <c r="E59" s="45" t="s">
        <v>193</v>
      </c>
      <c r="F59" s="45" t="s">
        <v>131</v>
      </c>
      <c r="G59" s="46" t="str">
        <f>IF(COUNTIFS(Data!$A:$A,$D59,Data!$F:$F,"C&amp;T")=0,"N/A",IF(COUNTIFS(Data!$A:$A,$D59,Data!$F:$F,"C&amp;T",Data!$L:$L,'Cluster Summary'!$D$3,Data!$I:$I,"Complete")&gt;0,"Complete",IF(COUNTIFS(Data!$A:$A,$D59,Data!$F:$F,"C&amp;T",Data!$L:$L,'Cluster Summary'!$D$3)&gt;0,"Incomplete","Pending")))</f>
        <v>Complete</v>
      </c>
      <c r="H59" s="46" t="str">
        <f>IF(COUNTIFS(Data!$A:$A,$D59,Data!$F:$F,"HTS")=0,"N/A",IF(COUNTIFS(Data!$A:$A,$D59,Data!$F:$F,"HTS",Data!$L:$L,'Cluster Summary'!$D$3,Data!$I:$I,"Complete")&gt;0,"Complete",IF(COUNTIFS(Data!$A:$A,$D59,Data!$F:$F,"HTS",Data!$L:$L,'Cluster Summary'!$D$3)&gt;0,"Incomplete","Pending")))</f>
        <v>Complete</v>
      </c>
      <c r="I59" s="46" t="str">
        <f>IF(COUNTIFS(Data!$A:$A,$D59,Data!$F:$F,"MNCH")=0,"N/A",IF(COUNTIFS(Data!$A:$A,$D59,Data!$F:$F,"MNCH",Data!$L:$L,'Cluster Summary'!$D$3,Data!$I:$I,"Complete")&gt;0,"Complete",IF(COUNTIFS(Data!$A:$A,$D59,Data!$F:$F,"MNCH",Data!$L:$L,'Cluster Summary'!$D$3)&gt;0,"Incomplete","Pending")))</f>
        <v>Complete</v>
      </c>
      <c r="J59" s="46" t="str">
        <f>IF(COUNTIFS(Data!$A:$A,$D59,Data!$F:$F,"PREP")=0,"N/A",IF(COUNTIFS(Data!$A:$A,$D59,Data!$F:$F,"PREP",Data!$L:$L,'Cluster Summary'!$D$3,Data!$I:$I,"Complete")&gt;0,"Complete",IF(COUNTIFS(Data!$A:$A,$D59,Data!$F:$F,"PREP",Data!$L:$L,'Cluster Summary'!$D$3)&gt;0,"Incomplete","Pending")))</f>
        <v>Complete</v>
      </c>
      <c r="K59" s="46">
        <f t="shared" si="0"/>
        <v>0</v>
      </c>
    </row>
    <row r="60" spans="1:11" x14ac:dyDescent="0.35">
      <c r="A60" s="45" t="s">
        <v>17</v>
      </c>
      <c r="B60" s="45" t="s">
        <v>128</v>
      </c>
      <c r="C60" s="45" t="s">
        <v>189</v>
      </c>
      <c r="D60" s="46">
        <v>12591</v>
      </c>
      <c r="E60" s="45" t="s">
        <v>194</v>
      </c>
      <c r="F60" s="45" t="s">
        <v>131</v>
      </c>
      <c r="G60" s="46" t="str">
        <f>IF(COUNTIFS(Data!$A:$A,$D60,Data!$F:$F,"C&amp;T")=0,"N/A",IF(COUNTIFS(Data!$A:$A,$D60,Data!$F:$F,"C&amp;T",Data!$L:$L,'Cluster Summary'!$D$3,Data!$I:$I,"Complete")&gt;0,"Complete",IF(COUNTIFS(Data!$A:$A,$D60,Data!$F:$F,"C&amp;T",Data!$L:$L,'Cluster Summary'!$D$3)&gt;0,"Incomplete","Pending")))</f>
        <v>Complete</v>
      </c>
      <c r="H60" s="46" t="str">
        <f>IF(COUNTIFS(Data!$A:$A,$D60,Data!$F:$F,"HTS")=0,"N/A",IF(COUNTIFS(Data!$A:$A,$D60,Data!$F:$F,"HTS",Data!$L:$L,'Cluster Summary'!$D$3,Data!$I:$I,"Complete")&gt;0,"Complete",IF(COUNTIFS(Data!$A:$A,$D60,Data!$F:$F,"HTS",Data!$L:$L,'Cluster Summary'!$D$3)&gt;0,"Incomplete","Pending")))</f>
        <v>Complete</v>
      </c>
      <c r="I60" s="46" t="str">
        <f>IF(COUNTIFS(Data!$A:$A,$D60,Data!$F:$F,"MNCH")=0,"N/A",IF(COUNTIFS(Data!$A:$A,$D60,Data!$F:$F,"MNCH",Data!$L:$L,'Cluster Summary'!$D$3,Data!$I:$I,"Complete")&gt;0,"Complete",IF(COUNTIFS(Data!$A:$A,$D60,Data!$F:$F,"MNCH",Data!$L:$L,'Cluster Summary'!$D$3)&gt;0,"Incomplete","Pending")))</f>
        <v>Complete</v>
      </c>
      <c r="J60" s="46" t="str">
        <f>IF(COUNTIFS(Data!$A:$A,$D60,Data!$F:$F,"PREP")=0,"N/A",IF(COUNTIFS(Data!$A:$A,$D60,Data!$F:$F,"PREP",Data!$L:$L,'Cluster Summary'!$D$3,Data!$I:$I,"Complete")&gt;0,"Complete",IF(COUNTIFS(Data!$A:$A,$D60,Data!$F:$F,"PREP",Data!$L:$L,'Cluster Summary'!$D$3)&gt;0,"Incomplete","Pending")))</f>
        <v>Complete</v>
      </c>
      <c r="K60" s="46">
        <f t="shared" si="0"/>
        <v>0</v>
      </c>
    </row>
    <row r="61" spans="1:11" x14ac:dyDescent="0.35">
      <c r="A61" s="45" t="s">
        <v>17</v>
      </c>
      <c r="B61" s="45" t="s">
        <v>128</v>
      </c>
      <c r="C61" s="45" t="s">
        <v>189</v>
      </c>
      <c r="D61" s="46">
        <v>12799</v>
      </c>
      <c r="E61" s="45" t="s">
        <v>195</v>
      </c>
      <c r="F61" s="45" t="s">
        <v>131</v>
      </c>
      <c r="G61" s="46" t="str">
        <f>IF(COUNTIFS(Data!$A:$A,$D61,Data!$F:$F,"C&amp;T")=0,"N/A",IF(COUNTIFS(Data!$A:$A,$D61,Data!$F:$F,"C&amp;T",Data!$L:$L,'Cluster Summary'!$D$3,Data!$I:$I,"Complete")&gt;0,"Complete",IF(COUNTIFS(Data!$A:$A,$D61,Data!$F:$F,"C&amp;T",Data!$L:$L,'Cluster Summary'!$D$3)&gt;0,"Incomplete","Pending")))</f>
        <v>Complete</v>
      </c>
      <c r="H61" s="46" t="str">
        <f>IF(COUNTIFS(Data!$A:$A,$D61,Data!$F:$F,"HTS")=0,"N/A",IF(COUNTIFS(Data!$A:$A,$D61,Data!$F:$F,"HTS",Data!$L:$L,'Cluster Summary'!$D$3,Data!$I:$I,"Complete")&gt;0,"Complete",IF(COUNTIFS(Data!$A:$A,$D61,Data!$F:$F,"HTS",Data!$L:$L,'Cluster Summary'!$D$3)&gt;0,"Incomplete","Pending")))</f>
        <v>Incomplete</v>
      </c>
      <c r="I61" s="46" t="str">
        <f>IF(COUNTIFS(Data!$A:$A,$D61,Data!$F:$F,"MNCH")=0,"N/A",IF(COUNTIFS(Data!$A:$A,$D61,Data!$F:$F,"MNCH",Data!$L:$L,'Cluster Summary'!$D$3,Data!$I:$I,"Complete")&gt;0,"Complete",IF(COUNTIFS(Data!$A:$A,$D61,Data!$F:$F,"MNCH",Data!$L:$L,'Cluster Summary'!$D$3)&gt;0,"Incomplete","Pending")))</f>
        <v>Complete</v>
      </c>
      <c r="J61" s="46" t="str">
        <f>IF(COUNTIFS(Data!$A:$A,$D61,Data!$F:$F,"PREP")=0,"N/A",IF(COUNTIFS(Data!$A:$A,$D61,Data!$F:$F,"PREP",Data!$L:$L,'Cluster Summary'!$D$3,Data!$I:$I,"Complete")&gt;0,"Complete",IF(COUNTIFS(Data!$A:$A,$D61,Data!$F:$F,"PREP",Data!$L:$L,'Cluster Summary'!$D$3)&gt;0,"Incomplete","Pending")))</f>
        <v>Incomplete</v>
      </c>
      <c r="K61" s="46">
        <f t="shared" si="0"/>
        <v>0</v>
      </c>
    </row>
    <row r="62" spans="1:11" x14ac:dyDescent="0.35">
      <c r="A62" s="45" t="s">
        <v>17</v>
      </c>
      <c r="B62" s="45" t="s">
        <v>128</v>
      </c>
      <c r="C62" s="45" t="s">
        <v>196</v>
      </c>
      <c r="D62" s="46">
        <v>11928</v>
      </c>
      <c r="E62" s="45" t="s">
        <v>197</v>
      </c>
      <c r="F62" s="45" t="s">
        <v>131</v>
      </c>
      <c r="G62" s="46" t="str">
        <f>IF(COUNTIFS(Data!$A:$A,$D62,Data!$F:$F,"C&amp;T")=0,"N/A",IF(COUNTIFS(Data!$A:$A,$D62,Data!$F:$F,"C&amp;T",Data!$L:$L,'Cluster Summary'!$D$3,Data!$I:$I,"Complete")&gt;0,"Complete",IF(COUNTIFS(Data!$A:$A,$D62,Data!$F:$F,"C&amp;T",Data!$L:$L,'Cluster Summary'!$D$3)&gt;0,"Incomplete","Pending")))</f>
        <v>Complete</v>
      </c>
      <c r="H62" s="46" t="str">
        <f>IF(COUNTIFS(Data!$A:$A,$D62,Data!$F:$F,"HTS")=0,"N/A",IF(COUNTIFS(Data!$A:$A,$D62,Data!$F:$F,"HTS",Data!$L:$L,'Cluster Summary'!$D$3,Data!$I:$I,"Complete")&gt;0,"Complete",IF(COUNTIFS(Data!$A:$A,$D62,Data!$F:$F,"HTS",Data!$L:$L,'Cluster Summary'!$D$3)&gt;0,"Incomplete","Pending")))</f>
        <v>Complete</v>
      </c>
      <c r="I62" s="46" t="str">
        <f>IF(COUNTIFS(Data!$A:$A,$D62,Data!$F:$F,"MNCH")=0,"N/A",IF(COUNTIFS(Data!$A:$A,$D62,Data!$F:$F,"MNCH",Data!$L:$L,'Cluster Summary'!$D$3,Data!$I:$I,"Complete")&gt;0,"Complete",IF(COUNTIFS(Data!$A:$A,$D62,Data!$F:$F,"MNCH",Data!$L:$L,'Cluster Summary'!$D$3)&gt;0,"Incomplete","Pending")))</f>
        <v>Pending</v>
      </c>
      <c r="J62" s="46" t="str">
        <f>IF(COUNTIFS(Data!$A:$A,$D62,Data!$F:$F,"PREP")=0,"N/A",IF(COUNTIFS(Data!$A:$A,$D62,Data!$F:$F,"PREP",Data!$L:$L,'Cluster Summary'!$D$3,Data!$I:$I,"Complete")&gt;0,"Complete",IF(COUNTIFS(Data!$A:$A,$D62,Data!$F:$F,"PREP",Data!$L:$L,'Cluster Summary'!$D$3)&gt;0,"Incomplete","Pending")))</f>
        <v>N/A</v>
      </c>
      <c r="K62" s="46">
        <f t="shared" si="0"/>
        <v>1</v>
      </c>
    </row>
    <row r="63" spans="1:11" x14ac:dyDescent="0.35">
      <c r="A63" s="45" t="s">
        <v>17</v>
      </c>
      <c r="B63" s="45" t="s">
        <v>128</v>
      </c>
      <c r="C63" s="45" t="s">
        <v>196</v>
      </c>
      <c r="D63" s="46">
        <v>12391</v>
      </c>
      <c r="E63" s="45" t="s">
        <v>198</v>
      </c>
      <c r="F63" s="45" t="s">
        <v>131</v>
      </c>
      <c r="G63" s="46" t="str">
        <f>IF(COUNTIFS(Data!$A:$A,$D63,Data!$F:$F,"C&amp;T")=0,"N/A",IF(COUNTIFS(Data!$A:$A,$D63,Data!$F:$F,"C&amp;T",Data!$L:$L,'Cluster Summary'!$D$3,Data!$I:$I,"Complete")&gt;0,"Complete",IF(COUNTIFS(Data!$A:$A,$D63,Data!$F:$F,"C&amp;T",Data!$L:$L,'Cluster Summary'!$D$3)&gt;0,"Incomplete","Pending")))</f>
        <v>Complete</v>
      </c>
      <c r="H63" s="46" t="str">
        <f>IF(COUNTIFS(Data!$A:$A,$D63,Data!$F:$F,"HTS")=0,"N/A",IF(COUNTIFS(Data!$A:$A,$D63,Data!$F:$F,"HTS",Data!$L:$L,'Cluster Summary'!$D$3,Data!$I:$I,"Complete")&gt;0,"Complete",IF(COUNTIFS(Data!$A:$A,$D63,Data!$F:$F,"HTS",Data!$L:$L,'Cluster Summary'!$D$3)&gt;0,"Incomplete","Pending")))</f>
        <v>N/A</v>
      </c>
      <c r="I63" s="46" t="str">
        <f>IF(COUNTIFS(Data!$A:$A,$D63,Data!$F:$F,"MNCH")=0,"N/A",IF(COUNTIFS(Data!$A:$A,$D63,Data!$F:$F,"MNCH",Data!$L:$L,'Cluster Summary'!$D$3,Data!$I:$I,"Complete")&gt;0,"Complete",IF(COUNTIFS(Data!$A:$A,$D63,Data!$F:$F,"MNCH",Data!$L:$L,'Cluster Summary'!$D$3)&gt;0,"Incomplete","Pending")))</f>
        <v>N/A</v>
      </c>
      <c r="J63" s="46" t="str">
        <f>IF(COUNTIFS(Data!$A:$A,$D63,Data!$F:$F,"PREP")=0,"N/A",IF(COUNTIFS(Data!$A:$A,$D63,Data!$F:$F,"PREP",Data!$L:$L,'Cluster Summary'!$D$3,Data!$I:$I,"Complete")&gt;0,"Complete",IF(COUNTIFS(Data!$A:$A,$D63,Data!$F:$F,"PREP",Data!$L:$L,'Cluster Summary'!$D$3)&gt;0,"Incomplete","Pending")))</f>
        <v>N/A</v>
      </c>
      <c r="K63" s="46">
        <f t="shared" si="0"/>
        <v>0</v>
      </c>
    </row>
    <row r="64" spans="1:11" x14ac:dyDescent="0.35">
      <c r="A64" s="45" t="s">
        <v>17</v>
      </c>
      <c r="B64" s="45" t="s">
        <v>128</v>
      </c>
      <c r="C64" s="45" t="s">
        <v>196</v>
      </c>
      <c r="D64" s="46">
        <v>12500</v>
      </c>
      <c r="E64" s="45" t="s">
        <v>199</v>
      </c>
      <c r="F64" s="45" t="s">
        <v>131</v>
      </c>
      <c r="G64" s="46" t="str">
        <f>IF(COUNTIFS(Data!$A:$A,$D64,Data!$F:$F,"C&amp;T")=0,"N/A",IF(COUNTIFS(Data!$A:$A,$D64,Data!$F:$F,"C&amp;T",Data!$L:$L,'Cluster Summary'!$D$3,Data!$I:$I,"Complete")&gt;0,"Complete",IF(COUNTIFS(Data!$A:$A,$D64,Data!$F:$F,"C&amp;T",Data!$L:$L,'Cluster Summary'!$D$3)&gt;0,"Incomplete","Pending")))</f>
        <v>Complete</v>
      </c>
      <c r="H64" s="46" t="str">
        <f>IF(COUNTIFS(Data!$A:$A,$D64,Data!$F:$F,"HTS")=0,"N/A",IF(COUNTIFS(Data!$A:$A,$D64,Data!$F:$F,"HTS",Data!$L:$L,'Cluster Summary'!$D$3,Data!$I:$I,"Complete")&gt;0,"Complete",IF(COUNTIFS(Data!$A:$A,$D64,Data!$F:$F,"HTS",Data!$L:$L,'Cluster Summary'!$D$3)&gt;0,"Incomplete","Pending")))</f>
        <v>Complete</v>
      </c>
      <c r="I64" s="46" t="str">
        <f>IF(COUNTIFS(Data!$A:$A,$D64,Data!$F:$F,"MNCH")=0,"N/A",IF(COUNTIFS(Data!$A:$A,$D64,Data!$F:$F,"MNCH",Data!$L:$L,'Cluster Summary'!$D$3,Data!$I:$I,"Complete")&gt;0,"Complete",IF(COUNTIFS(Data!$A:$A,$D64,Data!$F:$F,"MNCH",Data!$L:$L,'Cluster Summary'!$D$3)&gt;0,"Incomplete","Pending")))</f>
        <v>Complete</v>
      </c>
      <c r="J64" s="46" t="str">
        <f>IF(COUNTIFS(Data!$A:$A,$D64,Data!$F:$F,"PREP")=0,"N/A",IF(COUNTIFS(Data!$A:$A,$D64,Data!$F:$F,"PREP",Data!$L:$L,'Cluster Summary'!$D$3,Data!$I:$I,"Complete")&gt;0,"Complete",IF(COUNTIFS(Data!$A:$A,$D64,Data!$F:$F,"PREP",Data!$L:$L,'Cluster Summary'!$D$3)&gt;0,"Incomplete","Pending")))</f>
        <v>Complete</v>
      </c>
      <c r="K64" s="46">
        <f t="shared" si="0"/>
        <v>0</v>
      </c>
    </row>
    <row r="65" spans="1:11" x14ac:dyDescent="0.35">
      <c r="A65" s="45" t="s">
        <v>17</v>
      </c>
      <c r="B65" s="45" t="s">
        <v>128</v>
      </c>
      <c r="C65" s="45" t="s">
        <v>196</v>
      </c>
      <c r="D65" s="46">
        <v>16234</v>
      </c>
      <c r="E65" s="45" t="s">
        <v>200</v>
      </c>
      <c r="F65" s="45" t="s">
        <v>131</v>
      </c>
      <c r="G65" s="46" t="str">
        <f>IF(COUNTIFS(Data!$A:$A,$D65,Data!$F:$F,"C&amp;T")=0,"N/A",IF(COUNTIFS(Data!$A:$A,$D65,Data!$F:$F,"C&amp;T",Data!$L:$L,'Cluster Summary'!$D$3,Data!$I:$I,"Complete")&gt;0,"Complete",IF(COUNTIFS(Data!$A:$A,$D65,Data!$F:$F,"C&amp;T",Data!$L:$L,'Cluster Summary'!$D$3)&gt;0,"Incomplete","Pending")))</f>
        <v>Complete</v>
      </c>
      <c r="H65" s="46" t="str">
        <f>IF(COUNTIFS(Data!$A:$A,$D65,Data!$F:$F,"HTS")=0,"N/A",IF(COUNTIFS(Data!$A:$A,$D65,Data!$F:$F,"HTS",Data!$L:$L,'Cluster Summary'!$D$3,Data!$I:$I,"Complete")&gt;0,"Complete",IF(COUNTIFS(Data!$A:$A,$D65,Data!$F:$F,"HTS",Data!$L:$L,'Cluster Summary'!$D$3)&gt;0,"Incomplete","Pending")))</f>
        <v>Complete</v>
      </c>
      <c r="I65" s="46" t="str">
        <f>IF(COUNTIFS(Data!$A:$A,$D65,Data!$F:$F,"MNCH")=0,"N/A",IF(COUNTIFS(Data!$A:$A,$D65,Data!$F:$F,"MNCH",Data!$L:$L,'Cluster Summary'!$D$3,Data!$I:$I,"Complete")&gt;0,"Complete",IF(COUNTIFS(Data!$A:$A,$D65,Data!$F:$F,"MNCH",Data!$L:$L,'Cluster Summary'!$D$3)&gt;0,"Incomplete","Pending")))</f>
        <v>Complete</v>
      </c>
      <c r="J65" s="46" t="str">
        <f>IF(COUNTIFS(Data!$A:$A,$D65,Data!$F:$F,"PREP")=0,"N/A",IF(COUNTIFS(Data!$A:$A,$D65,Data!$F:$F,"PREP",Data!$L:$L,'Cluster Summary'!$D$3,Data!$I:$I,"Complete")&gt;0,"Complete",IF(COUNTIFS(Data!$A:$A,$D65,Data!$F:$F,"PREP",Data!$L:$L,'Cluster Summary'!$D$3)&gt;0,"Incomplete","Pending")))</f>
        <v>Incomplete</v>
      </c>
      <c r="K65" s="46">
        <f t="shared" si="0"/>
        <v>0</v>
      </c>
    </row>
    <row r="66" spans="1:11" x14ac:dyDescent="0.35">
      <c r="A66" s="45" t="s">
        <v>17</v>
      </c>
      <c r="B66" s="45" t="s">
        <v>128</v>
      </c>
      <c r="C66" s="45" t="s">
        <v>196</v>
      </c>
      <c r="D66" s="46">
        <v>12598</v>
      </c>
      <c r="E66" s="45" t="s">
        <v>201</v>
      </c>
      <c r="F66" s="45" t="s">
        <v>131</v>
      </c>
      <c r="G66" s="46" t="str">
        <f>IF(COUNTIFS(Data!$A:$A,$D66,Data!$F:$F,"C&amp;T")=0,"N/A",IF(COUNTIFS(Data!$A:$A,$D66,Data!$F:$F,"C&amp;T",Data!$L:$L,'Cluster Summary'!$D$3,Data!$I:$I,"Complete")&gt;0,"Complete",IF(COUNTIFS(Data!$A:$A,$D66,Data!$F:$F,"C&amp;T",Data!$L:$L,'Cluster Summary'!$D$3)&gt;0,"Incomplete","Pending")))</f>
        <v>Complete</v>
      </c>
      <c r="H66" s="46" t="str">
        <f>IF(COUNTIFS(Data!$A:$A,$D66,Data!$F:$F,"HTS")=0,"N/A",IF(COUNTIFS(Data!$A:$A,$D66,Data!$F:$F,"HTS",Data!$L:$L,'Cluster Summary'!$D$3,Data!$I:$I,"Complete")&gt;0,"Complete",IF(COUNTIFS(Data!$A:$A,$D66,Data!$F:$F,"HTS",Data!$L:$L,'Cluster Summary'!$D$3)&gt;0,"Incomplete","Pending")))</f>
        <v>N/A</v>
      </c>
      <c r="I66" s="46" t="str">
        <f>IF(COUNTIFS(Data!$A:$A,$D66,Data!$F:$F,"MNCH")=0,"N/A",IF(COUNTIFS(Data!$A:$A,$D66,Data!$F:$F,"MNCH",Data!$L:$L,'Cluster Summary'!$D$3,Data!$I:$I,"Complete")&gt;0,"Complete",IF(COUNTIFS(Data!$A:$A,$D66,Data!$F:$F,"MNCH",Data!$L:$L,'Cluster Summary'!$D$3)&gt;0,"Incomplete","Pending")))</f>
        <v>Complete</v>
      </c>
      <c r="J66" s="46" t="str">
        <f>IF(COUNTIFS(Data!$A:$A,$D66,Data!$F:$F,"PREP")=0,"N/A",IF(COUNTIFS(Data!$A:$A,$D66,Data!$F:$F,"PREP",Data!$L:$L,'Cluster Summary'!$D$3,Data!$I:$I,"Complete")&gt;0,"Complete",IF(COUNTIFS(Data!$A:$A,$D66,Data!$F:$F,"PREP",Data!$L:$L,'Cluster Summary'!$D$3)&gt;0,"Incomplete","Pending")))</f>
        <v>N/A</v>
      </c>
      <c r="K66" s="46">
        <f t="shared" si="0"/>
        <v>0</v>
      </c>
    </row>
    <row r="67" spans="1:11" x14ac:dyDescent="0.35">
      <c r="A67" s="45" t="s">
        <v>17</v>
      </c>
      <c r="B67" s="45" t="s">
        <v>128</v>
      </c>
      <c r="C67" s="45" t="s">
        <v>196</v>
      </c>
      <c r="D67" s="46">
        <v>12625</v>
      </c>
      <c r="E67" s="45" t="s">
        <v>202</v>
      </c>
      <c r="F67" s="45" t="s">
        <v>131</v>
      </c>
      <c r="G67" s="46" t="str">
        <f>IF(COUNTIFS(Data!$A:$A,$D67,Data!$F:$F,"C&amp;T")=0,"N/A",IF(COUNTIFS(Data!$A:$A,$D67,Data!$F:$F,"C&amp;T",Data!$L:$L,'Cluster Summary'!$D$3,Data!$I:$I,"Complete")&gt;0,"Complete",IF(COUNTIFS(Data!$A:$A,$D67,Data!$F:$F,"C&amp;T",Data!$L:$L,'Cluster Summary'!$D$3)&gt;0,"Incomplete","Pending")))</f>
        <v>Complete</v>
      </c>
      <c r="H67" s="46" t="str">
        <f>IF(COUNTIFS(Data!$A:$A,$D67,Data!$F:$F,"HTS")=0,"N/A",IF(COUNTIFS(Data!$A:$A,$D67,Data!$F:$F,"HTS",Data!$L:$L,'Cluster Summary'!$D$3,Data!$I:$I,"Complete")&gt;0,"Complete",IF(COUNTIFS(Data!$A:$A,$D67,Data!$F:$F,"HTS",Data!$L:$L,'Cluster Summary'!$D$3)&gt;0,"Incomplete","Pending")))</f>
        <v>N/A</v>
      </c>
      <c r="I67" s="46" t="str">
        <f>IF(COUNTIFS(Data!$A:$A,$D67,Data!$F:$F,"MNCH")=0,"N/A",IF(COUNTIFS(Data!$A:$A,$D67,Data!$F:$F,"MNCH",Data!$L:$L,'Cluster Summary'!$D$3,Data!$I:$I,"Complete")&gt;0,"Complete",IF(COUNTIFS(Data!$A:$A,$D67,Data!$F:$F,"MNCH",Data!$L:$L,'Cluster Summary'!$D$3)&gt;0,"Incomplete","Pending")))</f>
        <v>Incomplete</v>
      </c>
      <c r="J67" s="46" t="str">
        <f>IF(COUNTIFS(Data!$A:$A,$D67,Data!$F:$F,"PREP")=0,"N/A",IF(COUNTIFS(Data!$A:$A,$D67,Data!$F:$F,"PREP",Data!$L:$L,'Cluster Summary'!$D$3,Data!$I:$I,"Complete")&gt;0,"Complete",IF(COUNTIFS(Data!$A:$A,$D67,Data!$F:$F,"PREP",Data!$L:$L,'Cluster Summary'!$D$3)&gt;0,"Incomplete","Pending")))</f>
        <v>N/A</v>
      </c>
      <c r="K67" s="46">
        <f t="shared" si="0"/>
        <v>0</v>
      </c>
    </row>
    <row r="68" spans="1:11" x14ac:dyDescent="0.35">
      <c r="A68" s="45" t="s">
        <v>17</v>
      </c>
      <c r="B68" s="45" t="s">
        <v>128</v>
      </c>
      <c r="C68" s="45" t="s">
        <v>196</v>
      </c>
      <c r="D68" s="46">
        <v>12829</v>
      </c>
      <c r="E68" s="45" t="s">
        <v>203</v>
      </c>
      <c r="F68" s="45" t="s">
        <v>131</v>
      </c>
      <c r="G68" s="46" t="str">
        <f>IF(COUNTIFS(Data!$A:$A,$D68,Data!$F:$F,"C&amp;T")=0,"N/A",IF(COUNTIFS(Data!$A:$A,$D68,Data!$F:$F,"C&amp;T",Data!$L:$L,'Cluster Summary'!$D$3,Data!$I:$I,"Complete")&gt;0,"Complete",IF(COUNTIFS(Data!$A:$A,$D68,Data!$F:$F,"C&amp;T",Data!$L:$L,'Cluster Summary'!$D$3)&gt;0,"Incomplete","Pending")))</f>
        <v>Complete</v>
      </c>
      <c r="H68" s="46" t="str">
        <f>IF(COUNTIFS(Data!$A:$A,$D68,Data!$F:$F,"HTS")=0,"N/A",IF(COUNTIFS(Data!$A:$A,$D68,Data!$F:$F,"HTS",Data!$L:$L,'Cluster Summary'!$D$3,Data!$I:$I,"Complete")&gt;0,"Complete",IF(COUNTIFS(Data!$A:$A,$D68,Data!$F:$F,"HTS",Data!$L:$L,'Cluster Summary'!$D$3)&gt;0,"Incomplete","Pending")))</f>
        <v>Complete</v>
      </c>
      <c r="I68" s="46" t="str">
        <f>IF(COUNTIFS(Data!$A:$A,$D68,Data!$F:$F,"MNCH")=0,"N/A",IF(COUNTIFS(Data!$A:$A,$D68,Data!$F:$F,"MNCH",Data!$L:$L,'Cluster Summary'!$D$3,Data!$I:$I,"Complete")&gt;0,"Complete",IF(COUNTIFS(Data!$A:$A,$D68,Data!$F:$F,"MNCH",Data!$L:$L,'Cluster Summary'!$D$3)&gt;0,"Incomplete","Pending")))</f>
        <v>Incomplete</v>
      </c>
      <c r="J68" s="46" t="str">
        <f>IF(COUNTIFS(Data!$A:$A,$D68,Data!$F:$F,"PREP")=0,"N/A",IF(COUNTIFS(Data!$A:$A,$D68,Data!$F:$F,"PREP",Data!$L:$L,'Cluster Summary'!$D$3,Data!$I:$I,"Complete")&gt;0,"Complete",IF(COUNTIFS(Data!$A:$A,$D68,Data!$F:$F,"PREP",Data!$L:$L,'Cluster Summary'!$D$3)&gt;0,"Incomplete","Pending")))</f>
        <v>N/A</v>
      </c>
      <c r="K68" s="46">
        <f t="shared" si="0"/>
        <v>0</v>
      </c>
    </row>
    <row r="69" spans="1:11" x14ac:dyDescent="0.35">
      <c r="A69" s="45" t="s">
        <v>17</v>
      </c>
      <c r="B69" s="45" t="s">
        <v>204</v>
      </c>
      <c r="C69" s="45" t="s">
        <v>205</v>
      </c>
      <c r="D69" s="46">
        <v>14553</v>
      </c>
      <c r="E69" s="45" t="s">
        <v>206</v>
      </c>
      <c r="F69" s="45" t="s">
        <v>149</v>
      </c>
      <c r="G69" s="46" t="str">
        <f>IF(COUNTIFS(Data!$A:$A,$D69,Data!$F:$F,"C&amp;T")=0,"N/A",IF(COUNTIFS(Data!$A:$A,$D69,Data!$F:$F,"C&amp;T",Data!$L:$L,'Cluster Summary'!$D$3,Data!$I:$I,"Complete")&gt;0,"Complete",IF(COUNTIFS(Data!$A:$A,$D69,Data!$F:$F,"C&amp;T",Data!$L:$L,'Cluster Summary'!$D$3)&gt;0,"Incomplete","Pending")))</f>
        <v>Complete</v>
      </c>
      <c r="H69" s="46" t="str">
        <f>IF(COUNTIFS(Data!$A:$A,$D69,Data!$F:$F,"HTS")=0,"N/A",IF(COUNTIFS(Data!$A:$A,$D69,Data!$F:$F,"HTS",Data!$L:$L,'Cluster Summary'!$D$3,Data!$I:$I,"Complete")&gt;0,"Complete",IF(COUNTIFS(Data!$A:$A,$D69,Data!$F:$F,"HTS",Data!$L:$L,'Cluster Summary'!$D$3)&gt;0,"Incomplete","Pending")))</f>
        <v>Complete</v>
      </c>
      <c r="I69" s="46" t="str">
        <f>IF(COUNTIFS(Data!$A:$A,$D69,Data!$F:$F,"MNCH")=0,"N/A",IF(COUNTIFS(Data!$A:$A,$D69,Data!$F:$F,"MNCH",Data!$L:$L,'Cluster Summary'!$D$3,Data!$I:$I,"Complete")&gt;0,"Complete",IF(COUNTIFS(Data!$A:$A,$D69,Data!$F:$F,"MNCH",Data!$L:$L,'Cluster Summary'!$D$3)&gt;0,"Incomplete","Pending")))</f>
        <v>Incomplete</v>
      </c>
      <c r="J69" s="46" t="str">
        <f>IF(COUNTIFS(Data!$A:$A,$D69,Data!$F:$F,"PREP")=0,"N/A",IF(COUNTIFS(Data!$A:$A,$D69,Data!$F:$F,"PREP",Data!$L:$L,'Cluster Summary'!$D$3,Data!$I:$I,"Complete")&gt;0,"Complete",IF(COUNTIFS(Data!$A:$A,$D69,Data!$F:$F,"PREP",Data!$L:$L,'Cluster Summary'!$D$3)&gt;0,"Incomplete","Pending")))</f>
        <v>Incomplete</v>
      </c>
      <c r="K69" s="46">
        <f t="shared" ref="K69:K132" si="1">COUNTIF(G69:J69,"Pending")</f>
        <v>0</v>
      </c>
    </row>
    <row r="70" spans="1:11" x14ac:dyDescent="0.35">
      <c r="A70" s="45" t="s">
        <v>20</v>
      </c>
      <c r="B70" s="45" t="s">
        <v>207</v>
      </c>
      <c r="C70" s="45" t="s">
        <v>208</v>
      </c>
      <c r="D70" s="46">
        <v>11984</v>
      </c>
      <c r="E70" s="45" t="s">
        <v>209</v>
      </c>
      <c r="F70" s="45" t="s">
        <v>131</v>
      </c>
      <c r="G70" s="46" t="str">
        <f>IF(COUNTIFS(Data!$A:$A,$D70,Data!$F:$F,"C&amp;T")=0,"N/A",IF(COUNTIFS(Data!$A:$A,$D70,Data!$F:$F,"C&amp;T",Data!$L:$L,'Cluster Summary'!$D$3,Data!$I:$I,"Complete")&gt;0,"Complete",IF(COUNTIFS(Data!$A:$A,$D70,Data!$F:$F,"C&amp;T",Data!$L:$L,'Cluster Summary'!$D$3)&gt;0,"Incomplete","Pending")))</f>
        <v>Complete</v>
      </c>
      <c r="H70" s="46" t="str">
        <f>IF(COUNTIFS(Data!$A:$A,$D70,Data!$F:$F,"HTS")=0,"N/A",IF(COUNTIFS(Data!$A:$A,$D70,Data!$F:$F,"HTS",Data!$L:$L,'Cluster Summary'!$D$3,Data!$I:$I,"Complete")&gt;0,"Complete",IF(COUNTIFS(Data!$A:$A,$D70,Data!$F:$F,"HTS",Data!$L:$L,'Cluster Summary'!$D$3)&gt;0,"Incomplete","Pending")))</f>
        <v>Complete</v>
      </c>
      <c r="I70" s="46" t="str">
        <f>IF(COUNTIFS(Data!$A:$A,$D70,Data!$F:$F,"MNCH")=0,"N/A",IF(COUNTIFS(Data!$A:$A,$D70,Data!$F:$F,"MNCH",Data!$L:$L,'Cluster Summary'!$D$3,Data!$I:$I,"Complete")&gt;0,"Complete",IF(COUNTIFS(Data!$A:$A,$D70,Data!$F:$F,"MNCH",Data!$L:$L,'Cluster Summary'!$D$3)&gt;0,"Incomplete","Pending")))</f>
        <v>Complete</v>
      </c>
      <c r="J70" s="46" t="str">
        <f>IF(COUNTIFS(Data!$A:$A,$D70,Data!$F:$F,"PREP")=0,"N/A",IF(COUNTIFS(Data!$A:$A,$D70,Data!$F:$F,"PREP",Data!$L:$L,'Cluster Summary'!$D$3,Data!$I:$I,"Complete")&gt;0,"Complete",IF(COUNTIFS(Data!$A:$A,$D70,Data!$F:$F,"PREP",Data!$L:$L,'Cluster Summary'!$D$3)&gt;0,"Incomplete","Pending")))</f>
        <v>Complete</v>
      </c>
      <c r="K70" s="46">
        <f t="shared" si="1"/>
        <v>0</v>
      </c>
    </row>
    <row r="71" spans="1:11" x14ac:dyDescent="0.35">
      <c r="A71" s="45" t="s">
        <v>20</v>
      </c>
      <c r="B71" s="45" t="s">
        <v>207</v>
      </c>
      <c r="C71" s="45" t="s">
        <v>208</v>
      </c>
      <c r="D71" s="46">
        <v>12790</v>
      </c>
      <c r="E71" s="45" t="s">
        <v>210</v>
      </c>
      <c r="F71" s="45" t="s">
        <v>131</v>
      </c>
      <c r="G71" s="46" t="str">
        <f>IF(COUNTIFS(Data!$A:$A,$D71,Data!$F:$F,"C&amp;T")=0,"N/A",IF(COUNTIFS(Data!$A:$A,$D71,Data!$F:$F,"C&amp;T",Data!$L:$L,'Cluster Summary'!$D$3,Data!$I:$I,"Complete")&gt;0,"Complete",IF(COUNTIFS(Data!$A:$A,$D71,Data!$F:$F,"C&amp;T",Data!$L:$L,'Cluster Summary'!$D$3)&gt;0,"Incomplete","Pending")))</f>
        <v>Complete</v>
      </c>
      <c r="H71" s="46" t="str">
        <f>IF(COUNTIFS(Data!$A:$A,$D71,Data!$F:$F,"HTS")=0,"N/A",IF(COUNTIFS(Data!$A:$A,$D71,Data!$F:$F,"HTS",Data!$L:$L,'Cluster Summary'!$D$3,Data!$I:$I,"Complete")&gt;0,"Complete",IF(COUNTIFS(Data!$A:$A,$D71,Data!$F:$F,"HTS",Data!$L:$L,'Cluster Summary'!$D$3)&gt;0,"Incomplete","Pending")))</f>
        <v>Incomplete</v>
      </c>
      <c r="I71" s="46" t="str">
        <f>IF(COUNTIFS(Data!$A:$A,$D71,Data!$F:$F,"MNCH")=0,"N/A",IF(COUNTIFS(Data!$A:$A,$D71,Data!$F:$F,"MNCH",Data!$L:$L,'Cluster Summary'!$D$3,Data!$I:$I,"Complete")&gt;0,"Complete",IF(COUNTIFS(Data!$A:$A,$D71,Data!$F:$F,"MNCH",Data!$L:$L,'Cluster Summary'!$D$3)&gt;0,"Incomplete","Pending")))</f>
        <v>Incomplete</v>
      </c>
      <c r="J71" s="46" t="str">
        <f>IF(COUNTIFS(Data!$A:$A,$D71,Data!$F:$F,"PREP")=0,"N/A",IF(COUNTIFS(Data!$A:$A,$D71,Data!$F:$F,"PREP",Data!$L:$L,'Cluster Summary'!$D$3,Data!$I:$I,"Complete")&gt;0,"Complete",IF(COUNTIFS(Data!$A:$A,$D71,Data!$F:$F,"PREP",Data!$L:$L,'Cluster Summary'!$D$3)&gt;0,"Incomplete","Pending")))</f>
        <v>Complete</v>
      </c>
      <c r="K71" s="46">
        <f t="shared" si="1"/>
        <v>0</v>
      </c>
    </row>
    <row r="72" spans="1:11" x14ac:dyDescent="0.35">
      <c r="A72" s="45" t="s">
        <v>20</v>
      </c>
      <c r="B72" s="45" t="s">
        <v>207</v>
      </c>
      <c r="C72" s="45" t="s">
        <v>208</v>
      </c>
      <c r="D72" s="46">
        <v>12004</v>
      </c>
      <c r="E72" s="45" t="s">
        <v>211</v>
      </c>
      <c r="F72" s="45" t="s">
        <v>131</v>
      </c>
      <c r="G72" s="46" t="str">
        <f>IF(COUNTIFS(Data!$A:$A,$D72,Data!$F:$F,"C&amp;T")=0,"N/A",IF(COUNTIFS(Data!$A:$A,$D72,Data!$F:$F,"C&amp;T",Data!$L:$L,'Cluster Summary'!$D$3,Data!$I:$I,"Complete")&gt;0,"Complete",IF(COUNTIFS(Data!$A:$A,$D72,Data!$F:$F,"C&amp;T",Data!$L:$L,'Cluster Summary'!$D$3)&gt;0,"Incomplete","Pending")))</f>
        <v>Complete</v>
      </c>
      <c r="H72" s="46" t="str">
        <f>IF(COUNTIFS(Data!$A:$A,$D72,Data!$F:$F,"HTS")=0,"N/A",IF(COUNTIFS(Data!$A:$A,$D72,Data!$F:$F,"HTS",Data!$L:$L,'Cluster Summary'!$D$3,Data!$I:$I,"Complete")&gt;0,"Complete",IF(COUNTIFS(Data!$A:$A,$D72,Data!$F:$F,"HTS",Data!$L:$L,'Cluster Summary'!$D$3)&gt;0,"Incomplete","Pending")))</f>
        <v>Complete</v>
      </c>
      <c r="I72" s="46" t="str">
        <f>IF(COUNTIFS(Data!$A:$A,$D72,Data!$F:$F,"MNCH")=0,"N/A",IF(COUNTIFS(Data!$A:$A,$D72,Data!$F:$F,"MNCH",Data!$L:$L,'Cluster Summary'!$D$3,Data!$I:$I,"Complete")&gt;0,"Complete",IF(COUNTIFS(Data!$A:$A,$D72,Data!$F:$F,"MNCH",Data!$L:$L,'Cluster Summary'!$D$3)&gt;0,"Incomplete","Pending")))</f>
        <v>Complete</v>
      </c>
      <c r="J72" s="46" t="str">
        <f>IF(COUNTIFS(Data!$A:$A,$D72,Data!$F:$F,"PREP")=0,"N/A",IF(COUNTIFS(Data!$A:$A,$D72,Data!$F:$F,"PREP",Data!$L:$L,'Cluster Summary'!$D$3,Data!$I:$I,"Complete")&gt;0,"Complete",IF(COUNTIFS(Data!$A:$A,$D72,Data!$F:$F,"PREP",Data!$L:$L,'Cluster Summary'!$D$3)&gt;0,"Incomplete","Pending")))</f>
        <v>Complete</v>
      </c>
      <c r="K72" s="46">
        <f t="shared" si="1"/>
        <v>0</v>
      </c>
    </row>
    <row r="73" spans="1:11" x14ac:dyDescent="0.35">
      <c r="A73" s="45" t="s">
        <v>20</v>
      </c>
      <c r="B73" s="45" t="s">
        <v>207</v>
      </c>
      <c r="C73" s="45" t="s">
        <v>208</v>
      </c>
      <c r="D73" s="46">
        <v>12130</v>
      </c>
      <c r="E73" s="45" t="s">
        <v>212</v>
      </c>
      <c r="F73" s="45" t="s">
        <v>131</v>
      </c>
      <c r="G73" s="46" t="str">
        <f>IF(COUNTIFS(Data!$A:$A,$D73,Data!$F:$F,"C&amp;T")=0,"N/A",IF(COUNTIFS(Data!$A:$A,$D73,Data!$F:$F,"C&amp;T",Data!$L:$L,'Cluster Summary'!$D$3,Data!$I:$I,"Complete")&gt;0,"Complete",IF(COUNTIFS(Data!$A:$A,$D73,Data!$F:$F,"C&amp;T",Data!$L:$L,'Cluster Summary'!$D$3)&gt;0,"Incomplete","Pending")))</f>
        <v>Complete</v>
      </c>
      <c r="H73" s="46" t="str">
        <f>IF(COUNTIFS(Data!$A:$A,$D73,Data!$F:$F,"HTS")=0,"N/A",IF(COUNTIFS(Data!$A:$A,$D73,Data!$F:$F,"HTS",Data!$L:$L,'Cluster Summary'!$D$3,Data!$I:$I,"Complete")&gt;0,"Complete",IF(COUNTIFS(Data!$A:$A,$D73,Data!$F:$F,"HTS",Data!$L:$L,'Cluster Summary'!$D$3)&gt;0,"Incomplete","Pending")))</f>
        <v>Complete</v>
      </c>
      <c r="I73" s="46" t="str">
        <f>IF(COUNTIFS(Data!$A:$A,$D73,Data!$F:$F,"MNCH")=0,"N/A",IF(COUNTIFS(Data!$A:$A,$D73,Data!$F:$F,"MNCH",Data!$L:$L,'Cluster Summary'!$D$3,Data!$I:$I,"Complete")&gt;0,"Complete",IF(COUNTIFS(Data!$A:$A,$D73,Data!$F:$F,"MNCH",Data!$L:$L,'Cluster Summary'!$D$3)&gt;0,"Incomplete","Pending")))</f>
        <v>Complete</v>
      </c>
      <c r="J73" s="46" t="str">
        <f>IF(COUNTIFS(Data!$A:$A,$D73,Data!$F:$F,"PREP")=0,"N/A",IF(COUNTIFS(Data!$A:$A,$D73,Data!$F:$F,"PREP",Data!$L:$L,'Cluster Summary'!$D$3,Data!$I:$I,"Complete")&gt;0,"Complete",IF(COUNTIFS(Data!$A:$A,$D73,Data!$F:$F,"PREP",Data!$L:$L,'Cluster Summary'!$D$3)&gt;0,"Incomplete","Pending")))</f>
        <v>Complete</v>
      </c>
      <c r="K73" s="46">
        <f t="shared" si="1"/>
        <v>0</v>
      </c>
    </row>
    <row r="74" spans="1:11" x14ac:dyDescent="0.35">
      <c r="A74" s="45" t="s">
        <v>20</v>
      </c>
      <c r="B74" s="45" t="s">
        <v>207</v>
      </c>
      <c r="C74" s="45" t="s">
        <v>208</v>
      </c>
      <c r="D74" s="46">
        <v>12198</v>
      </c>
      <c r="E74" s="45" t="s">
        <v>213</v>
      </c>
      <c r="F74" s="45" t="s">
        <v>131</v>
      </c>
      <c r="G74" s="46" t="str">
        <f>IF(COUNTIFS(Data!$A:$A,$D74,Data!$F:$F,"C&amp;T")=0,"N/A",IF(COUNTIFS(Data!$A:$A,$D74,Data!$F:$F,"C&amp;T",Data!$L:$L,'Cluster Summary'!$D$3,Data!$I:$I,"Complete")&gt;0,"Complete",IF(COUNTIFS(Data!$A:$A,$D74,Data!$F:$F,"C&amp;T",Data!$L:$L,'Cluster Summary'!$D$3)&gt;0,"Incomplete","Pending")))</f>
        <v>Complete</v>
      </c>
      <c r="H74" s="46" t="str">
        <f>IF(COUNTIFS(Data!$A:$A,$D74,Data!$F:$F,"HTS")=0,"N/A",IF(COUNTIFS(Data!$A:$A,$D74,Data!$F:$F,"HTS",Data!$L:$L,'Cluster Summary'!$D$3,Data!$I:$I,"Complete")&gt;0,"Complete",IF(COUNTIFS(Data!$A:$A,$D74,Data!$F:$F,"HTS",Data!$L:$L,'Cluster Summary'!$D$3)&gt;0,"Incomplete","Pending")))</f>
        <v>Pending</v>
      </c>
      <c r="I74" s="46" t="str">
        <f>IF(COUNTIFS(Data!$A:$A,$D74,Data!$F:$F,"MNCH")=0,"N/A",IF(COUNTIFS(Data!$A:$A,$D74,Data!$F:$F,"MNCH",Data!$L:$L,'Cluster Summary'!$D$3,Data!$I:$I,"Complete")&gt;0,"Complete",IF(COUNTIFS(Data!$A:$A,$D74,Data!$F:$F,"MNCH",Data!$L:$L,'Cluster Summary'!$D$3)&gt;0,"Incomplete","Pending")))</f>
        <v>Pending</v>
      </c>
      <c r="J74" s="46" t="str">
        <f>IF(COUNTIFS(Data!$A:$A,$D74,Data!$F:$F,"PREP")=0,"N/A",IF(COUNTIFS(Data!$A:$A,$D74,Data!$F:$F,"PREP",Data!$L:$L,'Cluster Summary'!$D$3,Data!$I:$I,"Complete")&gt;0,"Complete",IF(COUNTIFS(Data!$A:$A,$D74,Data!$F:$F,"PREP",Data!$L:$L,'Cluster Summary'!$D$3)&gt;0,"Incomplete","Pending")))</f>
        <v>Pending</v>
      </c>
      <c r="K74" s="46">
        <f t="shared" si="1"/>
        <v>3</v>
      </c>
    </row>
    <row r="75" spans="1:11" x14ac:dyDescent="0.35">
      <c r="A75" s="45" t="s">
        <v>20</v>
      </c>
      <c r="B75" s="45" t="s">
        <v>207</v>
      </c>
      <c r="C75" s="45" t="s">
        <v>208</v>
      </c>
      <c r="D75" s="46">
        <v>12287</v>
      </c>
      <c r="E75" s="45" t="s">
        <v>214</v>
      </c>
      <c r="F75" s="45" t="s">
        <v>131</v>
      </c>
      <c r="G75" s="46" t="str">
        <f>IF(COUNTIFS(Data!$A:$A,$D75,Data!$F:$F,"C&amp;T")=0,"N/A",IF(COUNTIFS(Data!$A:$A,$D75,Data!$F:$F,"C&amp;T",Data!$L:$L,'Cluster Summary'!$D$3,Data!$I:$I,"Complete")&gt;0,"Complete",IF(COUNTIFS(Data!$A:$A,$D75,Data!$F:$F,"C&amp;T",Data!$L:$L,'Cluster Summary'!$D$3)&gt;0,"Incomplete","Pending")))</f>
        <v>Complete</v>
      </c>
      <c r="H75" s="46" t="str">
        <f>IF(COUNTIFS(Data!$A:$A,$D75,Data!$F:$F,"HTS")=0,"N/A",IF(COUNTIFS(Data!$A:$A,$D75,Data!$F:$F,"HTS",Data!$L:$L,'Cluster Summary'!$D$3,Data!$I:$I,"Complete")&gt;0,"Complete",IF(COUNTIFS(Data!$A:$A,$D75,Data!$F:$F,"HTS",Data!$L:$L,'Cluster Summary'!$D$3)&gt;0,"Incomplete","Pending")))</f>
        <v>Complete</v>
      </c>
      <c r="I75" s="46" t="str">
        <f>IF(COUNTIFS(Data!$A:$A,$D75,Data!$F:$F,"MNCH")=0,"N/A",IF(COUNTIFS(Data!$A:$A,$D75,Data!$F:$F,"MNCH",Data!$L:$L,'Cluster Summary'!$D$3,Data!$I:$I,"Complete")&gt;0,"Complete",IF(COUNTIFS(Data!$A:$A,$D75,Data!$F:$F,"MNCH",Data!$L:$L,'Cluster Summary'!$D$3)&gt;0,"Incomplete","Pending")))</f>
        <v>Complete</v>
      </c>
      <c r="J75" s="46" t="str">
        <f>IF(COUNTIFS(Data!$A:$A,$D75,Data!$F:$F,"PREP")=0,"N/A",IF(COUNTIFS(Data!$A:$A,$D75,Data!$F:$F,"PREP",Data!$L:$L,'Cluster Summary'!$D$3,Data!$I:$I,"Complete")&gt;0,"Complete",IF(COUNTIFS(Data!$A:$A,$D75,Data!$F:$F,"PREP",Data!$L:$L,'Cluster Summary'!$D$3)&gt;0,"Incomplete","Pending")))</f>
        <v>Complete</v>
      </c>
      <c r="K75" s="46">
        <f t="shared" si="1"/>
        <v>0</v>
      </c>
    </row>
    <row r="76" spans="1:11" x14ac:dyDescent="0.35">
      <c r="A76" s="45" t="s">
        <v>20</v>
      </c>
      <c r="B76" s="45" t="s">
        <v>207</v>
      </c>
      <c r="C76" s="45" t="s">
        <v>208</v>
      </c>
      <c r="D76" s="46">
        <v>12359</v>
      </c>
      <c r="E76" s="45" t="s">
        <v>215</v>
      </c>
      <c r="F76" s="45" t="s">
        <v>131</v>
      </c>
      <c r="G76" s="46" t="str">
        <f>IF(COUNTIFS(Data!$A:$A,$D76,Data!$F:$F,"C&amp;T")=0,"N/A",IF(COUNTIFS(Data!$A:$A,$D76,Data!$F:$F,"C&amp;T",Data!$L:$L,'Cluster Summary'!$D$3,Data!$I:$I,"Complete")&gt;0,"Complete",IF(COUNTIFS(Data!$A:$A,$D76,Data!$F:$F,"C&amp;T",Data!$L:$L,'Cluster Summary'!$D$3)&gt;0,"Incomplete","Pending")))</f>
        <v>Complete</v>
      </c>
      <c r="H76" s="46" t="str">
        <f>IF(COUNTIFS(Data!$A:$A,$D76,Data!$F:$F,"HTS")=0,"N/A",IF(COUNTIFS(Data!$A:$A,$D76,Data!$F:$F,"HTS",Data!$L:$L,'Cluster Summary'!$D$3,Data!$I:$I,"Complete")&gt;0,"Complete",IF(COUNTIFS(Data!$A:$A,$D76,Data!$F:$F,"HTS",Data!$L:$L,'Cluster Summary'!$D$3)&gt;0,"Incomplete","Pending")))</f>
        <v>Complete</v>
      </c>
      <c r="I76" s="46" t="str">
        <f>IF(COUNTIFS(Data!$A:$A,$D76,Data!$F:$F,"MNCH")=0,"N/A",IF(COUNTIFS(Data!$A:$A,$D76,Data!$F:$F,"MNCH",Data!$L:$L,'Cluster Summary'!$D$3,Data!$I:$I,"Complete")&gt;0,"Complete",IF(COUNTIFS(Data!$A:$A,$D76,Data!$F:$F,"MNCH",Data!$L:$L,'Cluster Summary'!$D$3)&gt;0,"Incomplete","Pending")))</f>
        <v>Incomplete</v>
      </c>
      <c r="J76" s="46" t="str">
        <f>IF(COUNTIFS(Data!$A:$A,$D76,Data!$F:$F,"PREP")=0,"N/A",IF(COUNTIFS(Data!$A:$A,$D76,Data!$F:$F,"PREP",Data!$L:$L,'Cluster Summary'!$D$3,Data!$I:$I,"Complete")&gt;0,"Complete",IF(COUNTIFS(Data!$A:$A,$D76,Data!$F:$F,"PREP",Data!$L:$L,'Cluster Summary'!$D$3)&gt;0,"Incomplete","Pending")))</f>
        <v>Incomplete</v>
      </c>
      <c r="K76" s="46">
        <f t="shared" si="1"/>
        <v>0</v>
      </c>
    </row>
    <row r="77" spans="1:11" x14ac:dyDescent="0.35">
      <c r="A77" s="45" t="s">
        <v>20</v>
      </c>
      <c r="B77" s="45" t="s">
        <v>207</v>
      </c>
      <c r="C77" s="45" t="s">
        <v>208</v>
      </c>
      <c r="D77" s="46">
        <v>12453</v>
      </c>
      <c r="E77" s="45" t="s">
        <v>216</v>
      </c>
      <c r="F77" s="45" t="s">
        <v>131</v>
      </c>
      <c r="G77" s="46" t="str">
        <f>IF(COUNTIFS(Data!$A:$A,$D77,Data!$F:$F,"C&amp;T")=0,"N/A",IF(COUNTIFS(Data!$A:$A,$D77,Data!$F:$F,"C&amp;T",Data!$L:$L,'Cluster Summary'!$D$3,Data!$I:$I,"Complete")&gt;0,"Complete",IF(COUNTIFS(Data!$A:$A,$D77,Data!$F:$F,"C&amp;T",Data!$L:$L,'Cluster Summary'!$D$3)&gt;0,"Incomplete","Pending")))</f>
        <v>Complete</v>
      </c>
      <c r="H77" s="46" t="str">
        <f>IF(COUNTIFS(Data!$A:$A,$D77,Data!$F:$F,"HTS")=0,"N/A",IF(COUNTIFS(Data!$A:$A,$D77,Data!$F:$F,"HTS",Data!$L:$L,'Cluster Summary'!$D$3,Data!$I:$I,"Complete")&gt;0,"Complete",IF(COUNTIFS(Data!$A:$A,$D77,Data!$F:$F,"HTS",Data!$L:$L,'Cluster Summary'!$D$3)&gt;0,"Incomplete","Pending")))</f>
        <v>Complete</v>
      </c>
      <c r="I77" s="46" t="str">
        <f>IF(COUNTIFS(Data!$A:$A,$D77,Data!$F:$F,"MNCH")=0,"N/A",IF(COUNTIFS(Data!$A:$A,$D77,Data!$F:$F,"MNCH",Data!$L:$L,'Cluster Summary'!$D$3,Data!$I:$I,"Complete")&gt;0,"Complete",IF(COUNTIFS(Data!$A:$A,$D77,Data!$F:$F,"MNCH",Data!$L:$L,'Cluster Summary'!$D$3)&gt;0,"Incomplete","Pending")))</f>
        <v>Complete</v>
      </c>
      <c r="J77" s="46" t="str">
        <f>IF(COUNTIFS(Data!$A:$A,$D77,Data!$F:$F,"PREP")=0,"N/A",IF(COUNTIFS(Data!$A:$A,$D77,Data!$F:$F,"PREP",Data!$L:$L,'Cluster Summary'!$D$3,Data!$I:$I,"Complete")&gt;0,"Complete",IF(COUNTIFS(Data!$A:$A,$D77,Data!$F:$F,"PREP",Data!$L:$L,'Cluster Summary'!$D$3)&gt;0,"Incomplete","Pending")))</f>
        <v>N/A</v>
      </c>
      <c r="K77" s="46">
        <f t="shared" si="1"/>
        <v>0</v>
      </c>
    </row>
    <row r="78" spans="1:11" x14ac:dyDescent="0.35">
      <c r="A78" s="45" t="s">
        <v>20</v>
      </c>
      <c r="B78" s="45" t="s">
        <v>207</v>
      </c>
      <c r="C78" s="45" t="s">
        <v>208</v>
      </c>
      <c r="D78" s="46">
        <v>12642</v>
      </c>
      <c r="E78" s="45" t="s">
        <v>217</v>
      </c>
      <c r="F78" s="45" t="s">
        <v>131</v>
      </c>
      <c r="G78" s="46" t="str">
        <f>IF(COUNTIFS(Data!$A:$A,$D78,Data!$F:$F,"C&amp;T")=0,"N/A",IF(COUNTIFS(Data!$A:$A,$D78,Data!$F:$F,"C&amp;T",Data!$L:$L,'Cluster Summary'!$D$3,Data!$I:$I,"Complete")&gt;0,"Complete",IF(COUNTIFS(Data!$A:$A,$D78,Data!$F:$F,"C&amp;T",Data!$L:$L,'Cluster Summary'!$D$3)&gt;0,"Incomplete","Pending")))</f>
        <v>Complete</v>
      </c>
      <c r="H78" s="46" t="str">
        <f>IF(COUNTIFS(Data!$A:$A,$D78,Data!$F:$F,"HTS")=0,"N/A",IF(COUNTIFS(Data!$A:$A,$D78,Data!$F:$F,"HTS",Data!$L:$L,'Cluster Summary'!$D$3,Data!$I:$I,"Complete")&gt;0,"Complete",IF(COUNTIFS(Data!$A:$A,$D78,Data!$F:$F,"HTS",Data!$L:$L,'Cluster Summary'!$D$3)&gt;0,"Incomplete","Pending")))</f>
        <v>Complete</v>
      </c>
      <c r="I78" s="46" t="str">
        <f>IF(COUNTIFS(Data!$A:$A,$D78,Data!$F:$F,"MNCH")=0,"N/A",IF(COUNTIFS(Data!$A:$A,$D78,Data!$F:$F,"MNCH",Data!$L:$L,'Cluster Summary'!$D$3,Data!$I:$I,"Complete")&gt;0,"Complete",IF(COUNTIFS(Data!$A:$A,$D78,Data!$F:$F,"MNCH",Data!$L:$L,'Cluster Summary'!$D$3)&gt;0,"Incomplete","Pending")))</f>
        <v>Complete</v>
      </c>
      <c r="J78" s="46" t="str">
        <f>IF(COUNTIFS(Data!$A:$A,$D78,Data!$F:$F,"PREP")=0,"N/A",IF(COUNTIFS(Data!$A:$A,$D78,Data!$F:$F,"PREP",Data!$L:$L,'Cluster Summary'!$D$3,Data!$I:$I,"Complete")&gt;0,"Complete",IF(COUNTIFS(Data!$A:$A,$D78,Data!$F:$F,"PREP",Data!$L:$L,'Cluster Summary'!$D$3)&gt;0,"Incomplete","Pending")))</f>
        <v>Complete</v>
      </c>
      <c r="K78" s="46">
        <f t="shared" si="1"/>
        <v>0</v>
      </c>
    </row>
    <row r="79" spans="1:11" x14ac:dyDescent="0.35">
      <c r="A79" s="45" t="s">
        <v>20</v>
      </c>
      <c r="B79" s="45" t="s">
        <v>207</v>
      </c>
      <c r="C79" s="45" t="s">
        <v>218</v>
      </c>
      <c r="D79" s="46">
        <v>16464</v>
      </c>
      <c r="E79" s="45" t="s">
        <v>219</v>
      </c>
      <c r="F79" s="45" t="s">
        <v>131</v>
      </c>
      <c r="G79" s="46" t="str">
        <f>IF(COUNTIFS(Data!$A:$A,$D79,Data!$F:$F,"C&amp;T")=0,"N/A",IF(COUNTIFS(Data!$A:$A,$D79,Data!$F:$F,"C&amp;T",Data!$L:$L,'Cluster Summary'!$D$3,Data!$I:$I,"Complete")&gt;0,"Complete",IF(COUNTIFS(Data!$A:$A,$D79,Data!$F:$F,"C&amp;T",Data!$L:$L,'Cluster Summary'!$D$3)&gt;0,"Incomplete","Pending")))</f>
        <v>Complete</v>
      </c>
      <c r="H79" s="46" t="str">
        <f>IF(COUNTIFS(Data!$A:$A,$D79,Data!$F:$F,"HTS")=0,"N/A",IF(COUNTIFS(Data!$A:$A,$D79,Data!$F:$F,"HTS",Data!$L:$L,'Cluster Summary'!$D$3,Data!$I:$I,"Complete")&gt;0,"Complete",IF(COUNTIFS(Data!$A:$A,$D79,Data!$F:$F,"HTS",Data!$L:$L,'Cluster Summary'!$D$3)&gt;0,"Incomplete","Pending")))</f>
        <v>Complete</v>
      </c>
      <c r="I79" s="46" t="str">
        <f>IF(COUNTIFS(Data!$A:$A,$D79,Data!$F:$F,"MNCH")=0,"N/A",IF(COUNTIFS(Data!$A:$A,$D79,Data!$F:$F,"MNCH",Data!$L:$L,'Cluster Summary'!$D$3,Data!$I:$I,"Complete")&gt;0,"Complete",IF(COUNTIFS(Data!$A:$A,$D79,Data!$F:$F,"MNCH",Data!$L:$L,'Cluster Summary'!$D$3)&gt;0,"Incomplete","Pending")))</f>
        <v>Complete</v>
      </c>
      <c r="J79" s="46" t="str">
        <f>IF(COUNTIFS(Data!$A:$A,$D79,Data!$F:$F,"PREP")=0,"N/A",IF(COUNTIFS(Data!$A:$A,$D79,Data!$F:$F,"PREP",Data!$L:$L,'Cluster Summary'!$D$3,Data!$I:$I,"Complete")&gt;0,"Complete",IF(COUNTIFS(Data!$A:$A,$D79,Data!$F:$F,"PREP",Data!$L:$L,'Cluster Summary'!$D$3)&gt;0,"Incomplete","Pending")))</f>
        <v>Complete</v>
      </c>
      <c r="K79" s="46">
        <f t="shared" si="1"/>
        <v>0</v>
      </c>
    </row>
    <row r="80" spans="1:11" x14ac:dyDescent="0.35">
      <c r="A80" s="45" t="s">
        <v>20</v>
      </c>
      <c r="B80" s="45" t="s">
        <v>207</v>
      </c>
      <c r="C80" s="45" t="s">
        <v>218</v>
      </c>
      <c r="D80" s="46">
        <v>12164</v>
      </c>
      <c r="E80" s="45" t="s">
        <v>220</v>
      </c>
      <c r="F80" s="45" t="s">
        <v>131</v>
      </c>
      <c r="G80" s="46" t="str">
        <f>IF(COUNTIFS(Data!$A:$A,$D80,Data!$F:$F,"C&amp;T")=0,"N/A",IF(COUNTIFS(Data!$A:$A,$D80,Data!$F:$F,"C&amp;T",Data!$L:$L,'Cluster Summary'!$D$3,Data!$I:$I,"Complete")&gt;0,"Complete",IF(COUNTIFS(Data!$A:$A,$D80,Data!$F:$F,"C&amp;T",Data!$L:$L,'Cluster Summary'!$D$3)&gt;0,"Incomplete","Pending")))</f>
        <v>Complete</v>
      </c>
      <c r="H80" s="46" t="str">
        <f>IF(COUNTIFS(Data!$A:$A,$D80,Data!$F:$F,"HTS")=0,"N/A",IF(COUNTIFS(Data!$A:$A,$D80,Data!$F:$F,"HTS",Data!$L:$L,'Cluster Summary'!$D$3,Data!$I:$I,"Complete")&gt;0,"Complete",IF(COUNTIFS(Data!$A:$A,$D80,Data!$F:$F,"HTS",Data!$L:$L,'Cluster Summary'!$D$3)&gt;0,"Incomplete","Pending")))</f>
        <v>Complete</v>
      </c>
      <c r="I80" s="46" t="str">
        <f>IF(COUNTIFS(Data!$A:$A,$D80,Data!$F:$F,"MNCH")=0,"N/A",IF(COUNTIFS(Data!$A:$A,$D80,Data!$F:$F,"MNCH",Data!$L:$L,'Cluster Summary'!$D$3,Data!$I:$I,"Complete")&gt;0,"Complete",IF(COUNTIFS(Data!$A:$A,$D80,Data!$F:$F,"MNCH",Data!$L:$L,'Cluster Summary'!$D$3)&gt;0,"Incomplete","Pending")))</f>
        <v>Complete</v>
      </c>
      <c r="J80" s="46" t="str">
        <f>IF(COUNTIFS(Data!$A:$A,$D80,Data!$F:$F,"PREP")=0,"N/A",IF(COUNTIFS(Data!$A:$A,$D80,Data!$F:$F,"PREP",Data!$L:$L,'Cluster Summary'!$D$3,Data!$I:$I,"Complete")&gt;0,"Complete",IF(COUNTIFS(Data!$A:$A,$D80,Data!$F:$F,"PREP",Data!$L:$L,'Cluster Summary'!$D$3)&gt;0,"Incomplete","Pending")))</f>
        <v>Complete</v>
      </c>
      <c r="K80" s="46">
        <f t="shared" si="1"/>
        <v>0</v>
      </c>
    </row>
    <row r="81" spans="1:11" x14ac:dyDescent="0.35">
      <c r="A81" s="45" t="s">
        <v>20</v>
      </c>
      <c r="B81" s="45" t="s">
        <v>207</v>
      </c>
      <c r="C81" s="45" t="s">
        <v>218</v>
      </c>
      <c r="D81" s="46">
        <v>12185</v>
      </c>
      <c r="E81" s="45" t="s">
        <v>221</v>
      </c>
      <c r="F81" s="45" t="s">
        <v>131</v>
      </c>
      <c r="G81" s="46" t="str">
        <f>IF(COUNTIFS(Data!$A:$A,$D81,Data!$F:$F,"C&amp;T")=0,"N/A",IF(COUNTIFS(Data!$A:$A,$D81,Data!$F:$F,"C&amp;T",Data!$L:$L,'Cluster Summary'!$D$3,Data!$I:$I,"Complete")&gt;0,"Complete",IF(COUNTIFS(Data!$A:$A,$D81,Data!$F:$F,"C&amp;T",Data!$L:$L,'Cluster Summary'!$D$3)&gt;0,"Incomplete","Pending")))</f>
        <v>Complete</v>
      </c>
      <c r="H81" s="46" t="str">
        <f>IF(COUNTIFS(Data!$A:$A,$D81,Data!$F:$F,"HTS")=0,"N/A",IF(COUNTIFS(Data!$A:$A,$D81,Data!$F:$F,"HTS",Data!$L:$L,'Cluster Summary'!$D$3,Data!$I:$I,"Complete")&gt;0,"Complete",IF(COUNTIFS(Data!$A:$A,$D81,Data!$F:$F,"HTS",Data!$L:$L,'Cluster Summary'!$D$3)&gt;0,"Incomplete","Pending")))</f>
        <v>Complete</v>
      </c>
      <c r="I81" s="46" t="str">
        <f>IF(COUNTIFS(Data!$A:$A,$D81,Data!$F:$F,"MNCH")=0,"N/A",IF(COUNTIFS(Data!$A:$A,$D81,Data!$F:$F,"MNCH",Data!$L:$L,'Cluster Summary'!$D$3,Data!$I:$I,"Complete")&gt;0,"Complete",IF(COUNTIFS(Data!$A:$A,$D81,Data!$F:$F,"MNCH",Data!$L:$L,'Cluster Summary'!$D$3)&gt;0,"Incomplete","Pending")))</f>
        <v>Complete</v>
      </c>
      <c r="J81" s="46" t="str">
        <f>IF(COUNTIFS(Data!$A:$A,$D81,Data!$F:$F,"PREP")=0,"N/A",IF(COUNTIFS(Data!$A:$A,$D81,Data!$F:$F,"PREP",Data!$L:$L,'Cluster Summary'!$D$3,Data!$I:$I,"Complete")&gt;0,"Complete",IF(COUNTIFS(Data!$A:$A,$D81,Data!$F:$F,"PREP",Data!$L:$L,'Cluster Summary'!$D$3)&gt;0,"Incomplete","Pending")))</f>
        <v>Complete</v>
      </c>
      <c r="K81" s="46">
        <f t="shared" si="1"/>
        <v>0</v>
      </c>
    </row>
    <row r="82" spans="1:11" x14ac:dyDescent="0.35">
      <c r="A82" s="45" t="s">
        <v>20</v>
      </c>
      <c r="B82" s="45" t="s">
        <v>207</v>
      </c>
      <c r="C82" s="45" t="s">
        <v>218</v>
      </c>
      <c r="D82" s="46">
        <v>12226</v>
      </c>
      <c r="E82" s="45" t="s">
        <v>222</v>
      </c>
      <c r="F82" s="45" t="s">
        <v>131</v>
      </c>
      <c r="G82" s="46" t="str">
        <f>IF(COUNTIFS(Data!$A:$A,$D82,Data!$F:$F,"C&amp;T")=0,"N/A",IF(COUNTIFS(Data!$A:$A,$D82,Data!$F:$F,"C&amp;T",Data!$L:$L,'Cluster Summary'!$D$3,Data!$I:$I,"Complete")&gt;0,"Complete",IF(COUNTIFS(Data!$A:$A,$D82,Data!$F:$F,"C&amp;T",Data!$L:$L,'Cluster Summary'!$D$3)&gt;0,"Incomplete","Pending")))</f>
        <v>Complete</v>
      </c>
      <c r="H82" s="46" t="str">
        <f>IF(COUNTIFS(Data!$A:$A,$D82,Data!$F:$F,"HTS")=0,"N/A",IF(COUNTIFS(Data!$A:$A,$D82,Data!$F:$F,"HTS",Data!$L:$L,'Cluster Summary'!$D$3,Data!$I:$I,"Complete")&gt;0,"Complete",IF(COUNTIFS(Data!$A:$A,$D82,Data!$F:$F,"HTS",Data!$L:$L,'Cluster Summary'!$D$3)&gt;0,"Incomplete","Pending")))</f>
        <v>Complete</v>
      </c>
      <c r="I82" s="46" t="str">
        <f>IF(COUNTIFS(Data!$A:$A,$D82,Data!$F:$F,"MNCH")=0,"N/A",IF(COUNTIFS(Data!$A:$A,$D82,Data!$F:$F,"MNCH",Data!$L:$L,'Cluster Summary'!$D$3,Data!$I:$I,"Complete")&gt;0,"Complete",IF(COUNTIFS(Data!$A:$A,$D82,Data!$F:$F,"MNCH",Data!$L:$L,'Cluster Summary'!$D$3)&gt;0,"Incomplete","Pending")))</f>
        <v>Pending</v>
      </c>
      <c r="J82" s="46" t="str">
        <f>IF(COUNTIFS(Data!$A:$A,$D82,Data!$F:$F,"PREP")=0,"N/A",IF(COUNTIFS(Data!$A:$A,$D82,Data!$F:$F,"PREP",Data!$L:$L,'Cluster Summary'!$D$3,Data!$I:$I,"Complete")&gt;0,"Complete",IF(COUNTIFS(Data!$A:$A,$D82,Data!$F:$F,"PREP",Data!$L:$L,'Cluster Summary'!$D$3)&gt;0,"Incomplete","Pending")))</f>
        <v>N/A</v>
      </c>
      <c r="K82" s="46">
        <f t="shared" si="1"/>
        <v>1</v>
      </c>
    </row>
    <row r="83" spans="1:11" x14ac:dyDescent="0.35">
      <c r="A83" s="45" t="s">
        <v>20</v>
      </c>
      <c r="B83" s="45" t="s">
        <v>207</v>
      </c>
      <c r="C83" s="45" t="s">
        <v>218</v>
      </c>
      <c r="D83" s="46">
        <v>12271</v>
      </c>
      <c r="E83" s="45" t="s">
        <v>223</v>
      </c>
      <c r="F83" s="45" t="s">
        <v>131</v>
      </c>
      <c r="G83" s="46" t="str">
        <f>IF(COUNTIFS(Data!$A:$A,$D83,Data!$F:$F,"C&amp;T")=0,"N/A",IF(COUNTIFS(Data!$A:$A,$D83,Data!$F:$F,"C&amp;T",Data!$L:$L,'Cluster Summary'!$D$3,Data!$I:$I,"Complete")&gt;0,"Complete",IF(COUNTIFS(Data!$A:$A,$D83,Data!$F:$F,"C&amp;T",Data!$L:$L,'Cluster Summary'!$D$3)&gt;0,"Incomplete","Pending")))</f>
        <v>Complete</v>
      </c>
      <c r="H83" s="46" t="str">
        <f>IF(COUNTIFS(Data!$A:$A,$D83,Data!$F:$F,"HTS")=0,"N/A",IF(COUNTIFS(Data!$A:$A,$D83,Data!$F:$F,"HTS",Data!$L:$L,'Cluster Summary'!$D$3,Data!$I:$I,"Complete")&gt;0,"Complete",IF(COUNTIFS(Data!$A:$A,$D83,Data!$F:$F,"HTS",Data!$L:$L,'Cluster Summary'!$D$3)&gt;0,"Incomplete","Pending")))</f>
        <v>Complete</v>
      </c>
      <c r="I83" s="46" t="str">
        <f>IF(COUNTIFS(Data!$A:$A,$D83,Data!$F:$F,"MNCH")=0,"N/A",IF(COUNTIFS(Data!$A:$A,$D83,Data!$F:$F,"MNCH",Data!$L:$L,'Cluster Summary'!$D$3,Data!$I:$I,"Complete")&gt;0,"Complete",IF(COUNTIFS(Data!$A:$A,$D83,Data!$F:$F,"MNCH",Data!$L:$L,'Cluster Summary'!$D$3)&gt;0,"Incomplete","Pending")))</f>
        <v>Complete</v>
      </c>
      <c r="J83" s="46" t="str">
        <f>IF(COUNTIFS(Data!$A:$A,$D83,Data!$F:$F,"PREP")=0,"N/A",IF(COUNTIFS(Data!$A:$A,$D83,Data!$F:$F,"PREP",Data!$L:$L,'Cluster Summary'!$D$3,Data!$I:$I,"Complete")&gt;0,"Complete",IF(COUNTIFS(Data!$A:$A,$D83,Data!$F:$F,"PREP",Data!$L:$L,'Cluster Summary'!$D$3)&gt;0,"Incomplete","Pending")))</f>
        <v>Incomplete</v>
      </c>
      <c r="K83" s="46">
        <f t="shared" si="1"/>
        <v>0</v>
      </c>
    </row>
    <row r="84" spans="1:11" x14ac:dyDescent="0.35">
      <c r="A84" s="45" t="s">
        <v>20</v>
      </c>
      <c r="B84" s="45" t="s">
        <v>207</v>
      </c>
      <c r="C84" s="45" t="s">
        <v>218</v>
      </c>
      <c r="D84" s="46">
        <v>12333</v>
      </c>
      <c r="E84" s="45" t="s">
        <v>224</v>
      </c>
      <c r="F84" s="45" t="s">
        <v>131</v>
      </c>
      <c r="G84" s="46" t="str">
        <f>IF(COUNTIFS(Data!$A:$A,$D84,Data!$F:$F,"C&amp;T")=0,"N/A",IF(COUNTIFS(Data!$A:$A,$D84,Data!$F:$F,"C&amp;T",Data!$L:$L,'Cluster Summary'!$D$3,Data!$I:$I,"Complete")&gt;0,"Complete",IF(COUNTIFS(Data!$A:$A,$D84,Data!$F:$F,"C&amp;T",Data!$L:$L,'Cluster Summary'!$D$3)&gt;0,"Incomplete","Pending")))</f>
        <v>Complete</v>
      </c>
      <c r="H84" s="46" t="str">
        <f>IF(COUNTIFS(Data!$A:$A,$D84,Data!$F:$F,"HTS")=0,"N/A",IF(COUNTIFS(Data!$A:$A,$D84,Data!$F:$F,"HTS",Data!$L:$L,'Cluster Summary'!$D$3,Data!$I:$I,"Complete")&gt;0,"Complete",IF(COUNTIFS(Data!$A:$A,$D84,Data!$F:$F,"HTS",Data!$L:$L,'Cluster Summary'!$D$3)&gt;0,"Incomplete","Pending")))</f>
        <v>Complete</v>
      </c>
      <c r="I84" s="46" t="str">
        <f>IF(COUNTIFS(Data!$A:$A,$D84,Data!$F:$F,"MNCH")=0,"N/A",IF(COUNTIFS(Data!$A:$A,$D84,Data!$F:$F,"MNCH",Data!$L:$L,'Cluster Summary'!$D$3,Data!$I:$I,"Complete")&gt;0,"Complete",IF(COUNTIFS(Data!$A:$A,$D84,Data!$F:$F,"MNCH",Data!$L:$L,'Cluster Summary'!$D$3)&gt;0,"Incomplete","Pending")))</f>
        <v>Complete</v>
      </c>
      <c r="J84" s="46" t="str">
        <f>IF(COUNTIFS(Data!$A:$A,$D84,Data!$F:$F,"PREP")=0,"N/A",IF(COUNTIFS(Data!$A:$A,$D84,Data!$F:$F,"PREP",Data!$L:$L,'Cluster Summary'!$D$3,Data!$I:$I,"Complete")&gt;0,"Complete",IF(COUNTIFS(Data!$A:$A,$D84,Data!$F:$F,"PREP",Data!$L:$L,'Cluster Summary'!$D$3)&gt;0,"Incomplete","Pending")))</f>
        <v>N/A</v>
      </c>
      <c r="K84" s="46">
        <f t="shared" si="1"/>
        <v>0</v>
      </c>
    </row>
    <row r="85" spans="1:11" x14ac:dyDescent="0.35">
      <c r="A85" s="45" t="s">
        <v>20</v>
      </c>
      <c r="B85" s="45" t="s">
        <v>207</v>
      </c>
      <c r="C85" s="45" t="s">
        <v>218</v>
      </c>
      <c r="D85" s="46">
        <v>16467</v>
      </c>
      <c r="E85" s="45" t="s">
        <v>225</v>
      </c>
      <c r="F85" s="45" t="s">
        <v>131</v>
      </c>
      <c r="G85" s="46" t="str">
        <f>IF(COUNTIFS(Data!$A:$A,$D85,Data!$F:$F,"C&amp;T")=0,"N/A",IF(COUNTIFS(Data!$A:$A,$D85,Data!$F:$F,"C&amp;T",Data!$L:$L,'Cluster Summary'!$D$3,Data!$I:$I,"Complete")&gt;0,"Complete",IF(COUNTIFS(Data!$A:$A,$D85,Data!$F:$F,"C&amp;T",Data!$L:$L,'Cluster Summary'!$D$3)&gt;0,"Incomplete","Pending")))</f>
        <v>Complete</v>
      </c>
      <c r="H85" s="46" t="str">
        <f>IF(COUNTIFS(Data!$A:$A,$D85,Data!$F:$F,"HTS")=0,"N/A",IF(COUNTIFS(Data!$A:$A,$D85,Data!$F:$F,"HTS",Data!$L:$L,'Cluster Summary'!$D$3,Data!$I:$I,"Complete")&gt;0,"Complete",IF(COUNTIFS(Data!$A:$A,$D85,Data!$F:$F,"HTS",Data!$L:$L,'Cluster Summary'!$D$3)&gt;0,"Incomplete","Pending")))</f>
        <v>Complete</v>
      </c>
      <c r="I85" s="46" t="str">
        <f>IF(COUNTIFS(Data!$A:$A,$D85,Data!$F:$F,"MNCH")=0,"N/A",IF(COUNTIFS(Data!$A:$A,$D85,Data!$F:$F,"MNCH",Data!$L:$L,'Cluster Summary'!$D$3,Data!$I:$I,"Complete")&gt;0,"Complete",IF(COUNTIFS(Data!$A:$A,$D85,Data!$F:$F,"MNCH",Data!$L:$L,'Cluster Summary'!$D$3)&gt;0,"Incomplete","Pending")))</f>
        <v>Complete</v>
      </c>
      <c r="J85" s="46" t="str">
        <f>IF(COUNTIFS(Data!$A:$A,$D85,Data!$F:$F,"PREP")=0,"N/A",IF(COUNTIFS(Data!$A:$A,$D85,Data!$F:$F,"PREP",Data!$L:$L,'Cluster Summary'!$D$3,Data!$I:$I,"Complete")&gt;0,"Complete",IF(COUNTIFS(Data!$A:$A,$D85,Data!$F:$F,"PREP",Data!$L:$L,'Cluster Summary'!$D$3)&gt;0,"Incomplete","Pending")))</f>
        <v>Incomplete</v>
      </c>
      <c r="K85" s="46">
        <f t="shared" si="1"/>
        <v>0</v>
      </c>
    </row>
    <row r="86" spans="1:11" x14ac:dyDescent="0.35">
      <c r="A86" s="45" t="s">
        <v>20</v>
      </c>
      <c r="B86" s="45" t="s">
        <v>207</v>
      </c>
      <c r="C86" s="45" t="s">
        <v>226</v>
      </c>
      <c r="D86" s="46">
        <v>12023</v>
      </c>
      <c r="E86" s="45" t="s">
        <v>227</v>
      </c>
      <c r="F86" s="45" t="s">
        <v>131</v>
      </c>
      <c r="G86" s="46" t="str">
        <f>IF(COUNTIFS(Data!$A:$A,$D86,Data!$F:$F,"C&amp;T")=0,"N/A",IF(COUNTIFS(Data!$A:$A,$D86,Data!$F:$F,"C&amp;T",Data!$L:$L,'Cluster Summary'!$D$3,Data!$I:$I,"Complete")&gt;0,"Complete",IF(COUNTIFS(Data!$A:$A,$D86,Data!$F:$F,"C&amp;T",Data!$L:$L,'Cluster Summary'!$D$3)&gt;0,"Incomplete","Pending")))</f>
        <v>Complete</v>
      </c>
      <c r="H86" s="46" t="str">
        <f>IF(COUNTIFS(Data!$A:$A,$D86,Data!$F:$F,"HTS")=0,"N/A",IF(COUNTIFS(Data!$A:$A,$D86,Data!$F:$F,"HTS",Data!$L:$L,'Cluster Summary'!$D$3,Data!$I:$I,"Complete")&gt;0,"Complete",IF(COUNTIFS(Data!$A:$A,$D86,Data!$F:$F,"HTS",Data!$L:$L,'Cluster Summary'!$D$3)&gt;0,"Incomplete","Pending")))</f>
        <v>Complete</v>
      </c>
      <c r="I86" s="46" t="str">
        <f>IF(COUNTIFS(Data!$A:$A,$D86,Data!$F:$F,"MNCH")=0,"N/A",IF(COUNTIFS(Data!$A:$A,$D86,Data!$F:$F,"MNCH",Data!$L:$L,'Cluster Summary'!$D$3,Data!$I:$I,"Complete")&gt;0,"Complete",IF(COUNTIFS(Data!$A:$A,$D86,Data!$F:$F,"MNCH",Data!$L:$L,'Cluster Summary'!$D$3)&gt;0,"Incomplete","Pending")))</f>
        <v>Pending</v>
      </c>
      <c r="J86" s="46" t="str">
        <f>IF(COUNTIFS(Data!$A:$A,$D86,Data!$F:$F,"PREP")=0,"N/A",IF(COUNTIFS(Data!$A:$A,$D86,Data!$F:$F,"PREP",Data!$L:$L,'Cluster Summary'!$D$3,Data!$I:$I,"Complete")&gt;0,"Complete",IF(COUNTIFS(Data!$A:$A,$D86,Data!$F:$F,"PREP",Data!$L:$L,'Cluster Summary'!$D$3)&gt;0,"Incomplete","Pending")))</f>
        <v>Pending</v>
      </c>
      <c r="K86" s="46">
        <f t="shared" si="1"/>
        <v>2</v>
      </c>
    </row>
    <row r="87" spans="1:11" x14ac:dyDescent="0.35">
      <c r="A87" s="45" t="s">
        <v>20</v>
      </c>
      <c r="B87" s="45" t="s">
        <v>207</v>
      </c>
      <c r="C87" s="45" t="s">
        <v>226</v>
      </c>
      <c r="D87" s="46">
        <v>16463</v>
      </c>
      <c r="E87" s="45" t="s">
        <v>228</v>
      </c>
      <c r="F87" s="45" t="s">
        <v>131</v>
      </c>
      <c r="G87" s="46" t="str">
        <f>IF(COUNTIFS(Data!$A:$A,$D87,Data!$F:$F,"C&amp;T")=0,"N/A",IF(COUNTIFS(Data!$A:$A,$D87,Data!$F:$F,"C&amp;T",Data!$L:$L,'Cluster Summary'!$D$3,Data!$I:$I,"Complete")&gt;0,"Complete",IF(COUNTIFS(Data!$A:$A,$D87,Data!$F:$F,"C&amp;T",Data!$L:$L,'Cluster Summary'!$D$3)&gt;0,"Incomplete","Pending")))</f>
        <v>Complete</v>
      </c>
      <c r="H87" s="46" t="str">
        <f>IF(COUNTIFS(Data!$A:$A,$D87,Data!$F:$F,"HTS")=0,"N/A",IF(COUNTIFS(Data!$A:$A,$D87,Data!$F:$F,"HTS",Data!$L:$L,'Cluster Summary'!$D$3,Data!$I:$I,"Complete")&gt;0,"Complete",IF(COUNTIFS(Data!$A:$A,$D87,Data!$F:$F,"HTS",Data!$L:$L,'Cluster Summary'!$D$3)&gt;0,"Incomplete","Pending")))</f>
        <v>Complete</v>
      </c>
      <c r="I87" s="46" t="str">
        <f>IF(COUNTIFS(Data!$A:$A,$D87,Data!$F:$F,"MNCH")=0,"N/A",IF(COUNTIFS(Data!$A:$A,$D87,Data!$F:$F,"MNCH",Data!$L:$L,'Cluster Summary'!$D$3,Data!$I:$I,"Complete")&gt;0,"Complete",IF(COUNTIFS(Data!$A:$A,$D87,Data!$F:$F,"MNCH",Data!$L:$L,'Cluster Summary'!$D$3)&gt;0,"Incomplete","Pending")))</f>
        <v>Pending</v>
      </c>
      <c r="J87" s="46" t="str">
        <f>IF(COUNTIFS(Data!$A:$A,$D87,Data!$F:$F,"PREP")=0,"N/A",IF(COUNTIFS(Data!$A:$A,$D87,Data!$F:$F,"PREP",Data!$L:$L,'Cluster Summary'!$D$3,Data!$I:$I,"Complete")&gt;0,"Complete",IF(COUNTIFS(Data!$A:$A,$D87,Data!$F:$F,"PREP",Data!$L:$L,'Cluster Summary'!$D$3)&gt;0,"Incomplete","Pending")))</f>
        <v>Complete</v>
      </c>
      <c r="K87" s="46">
        <f t="shared" si="1"/>
        <v>1</v>
      </c>
    </row>
    <row r="88" spans="1:11" x14ac:dyDescent="0.35">
      <c r="A88" s="45" t="s">
        <v>20</v>
      </c>
      <c r="B88" s="45" t="s">
        <v>207</v>
      </c>
      <c r="C88" s="45" t="s">
        <v>226</v>
      </c>
      <c r="D88" s="46">
        <v>16465</v>
      </c>
      <c r="E88" s="45" t="s">
        <v>229</v>
      </c>
      <c r="F88" s="45" t="s">
        <v>131</v>
      </c>
      <c r="G88" s="46" t="str">
        <f>IF(COUNTIFS(Data!$A:$A,$D88,Data!$F:$F,"C&amp;T")=0,"N/A",IF(COUNTIFS(Data!$A:$A,$D88,Data!$F:$F,"C&amp;T",Data!$L:$L,'Cluster Summary'!$D$3,Data!$I:$I,"Complete")&gt;0,"Complete",IF(COUNTIFS(Data!$A:$A,$D88,Data!$F:$F,"C&amp;T",Data!$L:$L,'Cluster Summary'!$D$3)&gt;0,"Incomplete","Pending")))</f>
        <v>Complete</v>
      </c>
      <c r="H88" s="46" t="str">
        <f>IF(COUNTIFS(Data!$A:$A,$D88,Data!$F:$F,"HTS")=0,"N/A",IF(COUNTIFS(Data!$A:$A,$D88,Data!$F:$F,"HTS",Data!$L:$L,'Cluster Summary'!$D$3,Data!$I:$I,"Complete")&gt;0,"Complete",IF(COUNTIFS(Data!$A:$A,$D88,Data!$F:$F,"HTS",Data!$L:$L,'Cluster Summary'!$D$3)&gt;0,"Incomplete","Pending")))</f>
        <v>Complete</v>
      </c>
      <c r="I88" s="46" t="str">
        <f>IF(COUNTIFS(Data!$A:$A,$D88,Data!$F:$F,"MNCH")=0,"N/A",IF(COUNTIFS(Data!$A:$A,$D88,Data!$F:$F,"MNCH",Data!$L:$L,'Cluster Summary'!$D$3,Data!$I:$I,"Complete")&gt;0,"Complete",IF(COUNTIFS(Data!$A:$A,$D88,Data!$F:$F,"MNCH",Data!$L:$L,'Cluster Summary'!$D$3)&gt;0,"Incomplete","Pending")))</f>
        <v>Complete</v>
      </c>
      <c r="J88" s="46" t="str">
        <f>IF(COUNTIFS(Data!$A:$A,$D88,Data!$F:$F,"PREP")=0,"N/A",IF(COUNTIFS(Data!$A:$A,$D88,Data!$F:$F,"PREP",Data!$L:$L,'Cluster Summary'!$D$3,Data!$I:$I,"Complete")&gt;0,"Complete",IF(COUNTIFS(Data!$A:$A,$D88,Data!$F:$F,"PREP",Data!$L:$L,'Cluster Summary'!$D$3)&gt;0,"Incomplete","Pending")))</f>
        <v>N/A</v>
      </c>
      <c r="K88" s="46">
        <f t="shared" si="1"/>
        <v>0</v>
      </c>
    </row>
    <row r="89" spans="1:11" x14ac:dyDescent="0.35">
      <c r="A89" s="45" t="s">
        <v>20</v>
      </c>
      <c r="B89" s="45" t="s">
        <v>207</v>
      </c>
      <c r="C89" s="45" t="s">
        <v>226</v>
      </c>
      <c r="D89" s="46">
        <v>12274</v>
      </c>
      <c r="E89" s="45" t="s">
        <v>230</v>
      </c>
      <c r="F89" s="45" t="s">
        <v>131</v>
      </c>
      <c r="G89" s="46" t="str">
        <f>IF(COUNTIFS(Data!$A:$A,$D89,Data!$F:$F,"C&amp;T")=0,"N/A",IF(COUNTIFS(Data!$A:$A,$D89,Data!$F:$F,"C&amp;T",Data!$L:$L,'Cluster Summary'!$D$3,Data!$I:$I,"Complete")&gt;0,"Complete",IF(COUNTIFS(Data!$A:$A,$D89,Data!$F:$F,"C&amp;T",Data!$L:$L,'Cluster Summary'!$D$3)&gt;0,"Incomplete","Pending")))</f>
        <v>Complete</v>
      </c>
      <c r="H89" s="46" t="str">
        <f>IF(COUNTIFS(Data!$A:$A,$D89,Data!$F:$F,"HTS")=0,"N/A",IF(COUNTIFS(Data!$A:$A,$D89,Data!$F:$F,"HTS",Data!$L:$L,'Cluster Summary'!$D$3,Data!$I:$I,"Complete")&gt;0,"Complete",IF(COUNTIFS(Data!$A:$A,$D89,Data!$F:$F,"HTS",Data!$L:$L,'Cluster Summary'!$D$3)&gt;0,"Incomplete","Pending")))</f>
        <v>Complete</v>
      </c>
      <c r="I89" s="46" t="str">
        <f>IF(COUNTIFS(Data!$A:$A,$D89,Data!$F:$F,"MNCH")=0,"N/A",IF(COUNTIFS(Data!$A:$A,$D89,Data!$F:$F,"MNCH",Data!$L:$L,'Cluster Summary'!$D$3,Data!$I:$I,"Complete")&gt;0,"Complete",IF(COUNTIFS(Data!$A:$A,$D89,Data!$F:$F,"MNCH",Data!$L:$L,'Cluster Summary'!$D$3)&gt;0,"Incomplete","Pending")))</f>
        <v>Complete</v>
      </c>
      <c r="J89" s="46" t="str">
        <f>IF(COUNTIFS(Data!$A:$A,$D89,Data!$F:$F,"PREP")=0,"N/A",IF(COUNTIFS(Data!$A:$A,$D89,Data!$F:$F,"PREP",Data!$L:$L,'Cluster Summary'!$D$3,Data!$I:$I,"Complete")&gt;0,"Complete",IF(COUNTIFS(Data!$A:$A,$D89,Data!$F:$F,"PREP",Data!$L:$L,'Cluster Summary'!$D$3)&gt;0,"Incomplete","Pending")))</f>
        <v>Complete</v>
      </c>
      <c r="K89" s="46">
        <f t="shared" si="1"/>
        <v>0</v>
      </c>
    </row>
    <row r="90" spans="1:11" x14ac:dyDescent="0.35">
      <c r="A90" s="45" t="s">
        <v>20</v>
      </c>
      <c r="B90" s="45" t="s">
        <v>207</v>
      </c>
      <c r="C90" s="45" t="s">
        <v>226</v>
      </c>
      <c r="D90" s="46">
        <v>16466</v>
      </c>
      <c r="E90" s="45" t="s">
        <v>231</v>
      </c>
      <c r="F90" s="45" t="s">
        <v>131</v>
      </c>
      <c r="G90" s="46" t="str">
        <f>IF(COUNTIFS(Data!$A:$A,$D90,Data!$F:$F,"C&amp;T")=0,"N/A",IF(COUNTIFS(Data!$A:$A,$D90,Data!$F:$F,"C&amp;T",Data!$L:$L,'Cluster Summary'!$D$3,Data!$I:$I,"Complete")&gt;0,"Complete",IF(COUNTIFS(Data!$A:$A,$D90,Data!$F:$F,"C&amp;T",Data!$L:$L,'Cluster Summary'!$D$3)&gt;0,"Incomplete","Pending")))</f>
        <v>Complete</v>
      </c>
      <c r="H90" s="46" t="str">
        <f>IF(COUNTIFS(Data!$A:$A,$D90,Data!$F:$F,"HTS")=0,"N/A",IF(COUNTIFS(Data!$A:$A,$D90,Data!$F:$F,"HTS",Data!$L:$L,'Cluster Summary'!$D$3,Data!$I:$I,"Complete")&gt;0,"Complete",IF(COUNTIFS(Data!$A:$A,$D90,Data!$F:$F,"HTS",Data!$L:$L,'Cluster Summary'!$D$3)&gt;0,"Incomplete","Pending")))</f>
        <v>Complete</v>
      </c>
      <c r="I90" s="46" t="str">
        <f>IF(COUNTIFS(Data!$A:$A,$D90,Data!$F:$F,"MNCH")=0,"N/A",IF(COUNTIFS(Data!$A:$A,$D90,Data!$F:$F,"MNCH",Data!$L:$L,'Cluster Summary'!$D$3,Data!$I:$I,"Complete")&gt;0,"Complete",IF(COUNTIFS(Data!$A:$A,$D90,Data!$F:$F,"MNCH",Data!$L:$L,'Cluster Summary'!$D$3)&gt;0,"Incomplete","Pending")))</f>
        <v>Complete</v>
      </c>
      <c r="J90" s="46" t="str">
        <f>IF(COUNTIFS(Data!$A:$A,$D90,Data!$F:$F,"PREP")=0,"N/A",IF(COUNTIFS(Data!$A:$A,$D90,Data!$F:$F,"PREP",Data!$L:$L,'Cluster Summary'!$D$3,Data!$I:$I,"Complete")&gt;0,"Complete",IF(COUNTIFS(Data!$A:$A,$D90,Data!$F:$F,"PREP",Data!$L:$L,'Cluster Summary'!$D$3)&gt;0,"Incomplete","Pending")))</f>
        <v>Incomplete</v>
      </c>
      <c r="K90" s="46">
        <f t="shared" si="1"/>
        <v>0</v>
      </c>
    </row>
    <row r="91" spans="1:11" x14ac:dyDescent="0.35">
      <c r="A91" s="45" t="s">
        <v>20</v>
      </c>
      <c r="B91" s="45" t="s">
        <v>207</v>
      </c>
      <c r="C91" s="45" t="s">
        <v>226</v>
      </c>
      <c r="D91" s="46">
        <v>22152</v>
      </c>
      <c r="E91" s="45" t="s">
        <v>232</v>
      </c>
      <c r="F91" s="45" t="s">
        <v>149</v>
      </c>
      <c r="G91" s="46" t="str">
        <f>IF(COUNTIFS(Data!$A:$A,$D91,Data!$F:$F,"C&amp;T")=0,"N/A",IF(COUNTIFS(Data!$A:$A,$D91,Data!$F:$F,"C&amp;T",Data!$L:$L,'Cluster Summary'!$D$3,Data!$I:$I,"Complete")&gt;0,"Complete",IF(COUNTIFS(Data!$A:$A,$D91,Data!$F:$F,"C&amp;T",Data!$L:$L,'Cluster Summary'!$D$3)&gt;0,"Incomplete","Pending")))</f>
        <v>Complete</v>
      </c>
      <c r="H91" s="46" t="str">
        <f>IF(COUNTIFS(Data!$A:$A,$D91,Data!$F:$F,"HTS")=0,"N/A",IF(COUNTIFS(Data!$A:$A,$D91,Data!$F:$F,"HTS",Data!$L:$L,'Cluster Summary'!$D$3,Data!$I:$I,"Complete")&gt;0,"Complete",IF(COUNTIFS(Data!$A:$A,$D91,Data!$F:$F,"HTS",Data!$L:$L,'Cluster Summary'!$D$3)&gt;0,"Incomplete","Pending")))</f>
        <v>Complete</v>
      </c>
      <c r="I91" s="46" t="str">
        <f>IF(COUNTIFS(Data!$A:$A,$D91,Data!$F:$F,"MNCH")=0,"N/A",IF(COUNTIFS(Data!$A:$A,$D91,Data!$F:$F,"MNCH",Data!$L:$L,'Cluster Summary'!$D$3,Data!$I:$I,"Complete")&gt;0,"Complete",IF(COUNTIFS(Data!$A:$A,$D91,Data!$F:$F,"MNCH",Data!$L:$L,'Cluster Summary'!$D$3)&gt;0,"Incomplete","Pending")))</f>
        <v>Complete</v>
      </c>
      <c r="J91" s="46" t="str">
        <f>IF(COUNTIFS(Data!$A:$A,$D91,Data!$F:$F,"PREP")=0,"N/A",IF(COUNTIFS(Data!$A:$A,$D91,Data!$F:$F,"PREP",Data!$L:$L,'Cluster Summary'!$D$3,Data!$I:$I,"Complete")&gt;0,"Complete",IF(COUNTIFS(Data!$A:$A,$D91,Data!$F:$F,"PREP",Data!$L:$L,'Cluster Summary'!$D$3)&gt;0,"Incomplete","Pending")))</f>
        <v>Complete</v>
      </c>
      <c r="K91" s="46">
        <f t="shared" si="1"/>
        <v>0</v>
      </c>
    </row>
    <row r="92" spans="1:11" x14ac:dyDescent="0.35">
      <c r="A92" s="45" t="s">
        <v>20</v>
      </c>
      <c r="B92" s="45" t="s">
        <v>207</v>
      </c>
      <c r="C92" s="45" t="s">
        <v>226</v>
      </c>
      <c r="D92" s="46">
        <v>12454</v>
      </c>
      <c r="E92" s="45" t="s">
        <v>233</v>
      </c>
      <c r="F92" s="45" t="s">
        <v>131</v>
      </c>
      <c r="G92" s="46" t="str">
        <f>IF(COUNTIFS(Data!$A:$A,$D92,Data!$F:$F,"C&amp;T")=0,"N/A",IF(COUNTIFS(Data!$A:$A,$D92,Data!$F:$F,"C&amp;T",Data!$L:$L,'Cluster Summary'!$D$3,Data!$I:$I,"Complete")&gt;0,"Complete",IF(COUNTIFS(Data!$A:$A,$D92,Data!$F:$F,"C&amp;T",Data!$L:$L,'Cluster Summary'!$D$3)&gt;0,"Incomplete","Pending")))</f>
        <v>Complete</v>
      </c>
      <c r="H92" s="46" t="str">
        <f>IF(COUNTIFS(Data!$A:$A,$D92,Data!$F:$F,"HTS")=0,"N/A",IF(COUNTIFS(Data!$A:$A,$D92,Data!$F:$F,"HTS",Data!$L:$L,'Cluster Summary'!$D$3,Data!$I:$I,"Complete")&gt;0,"Complete",IF(COUNTIFS(Data!$A:$A,$D92,Data!$F:$F,"HTS",Data!$L:$L,'Cluster Summary'!$D$3)&gt;0,"Incomplete","Pending")))</f>
        <v>Complete</v>
      </c>
      <c r="I92" s="46" t="str">
        <f>IF(COUNTIFS(Data!$A:$A,$D92,Data!$F:$F,"MNCH")=0,"N/A",IF(COUNTIFS(Data!$A:$A,$D92,Data!$F:$F,"MNCH",Data!$L:$L,'Cluster Summary'!$D$3,Data!$I:$I,"Complete")&gt;0,"Complete",IF(COUNTIFS(Data!$A:$A,$D92,Data!$F:$F,"MNCH",Data!$L:$L,'Cluster Summary'!$D$3)&gt;0,"Incomplete","Pending")))</f>
        <v>Complete</v>
      </c>
      <c r="J92" s="46" t="str">
        <f>IF(COUNTIFS(Data!$A:$A,$D92,Data!$F:$F,"PREP")=0,"N/A",IF(COUNTIFS(Data!$A:$A,$D92,Data!$F:$F,"PREP",Data!$L:$L,'Cluster Summary'!$D$3,Data!$I:$I,"Complete")&gt;0,"Complete",IF(COUNTIFS(Data!$A:$A,$D92,Data!$F:$F,"PREP",Data!$L:$L,'Cluster Summary'!$D$3)&gt;0,"Incomplete","Pending")))</f>
        <v>Complete</v>
      </c>
      <c r="K92" s="46">
        <f t="shared" si="1"/>
        <v>0</v>
      </c>
    </row>
    <row r="93" spans="1:11" x14ac:dyDescent="0.35">
      <c r="A93" s="45" t="s">
        <v>20</v>
      </c>
      <c r="B93" s="45" t="s">
        <v>207</v>
      </c>
      <c r="C93" s="45" t="s">
        <v>226</v>
      </c>
      <c r="D93" s="46">
        <v>12645</v>
      </c>
      <c r="E93" s="45" t="s">
        <v>234</v>
      </c>
      <c r="F93" s="45" t="s">
        <v>131</v>
      </c>
      <c r="G93" s="46" t="str">
        <f>IF(COUNTIFS(Data!$A:$A,$D93,Data!$F:$F,"C&amp;T")=0,"N/A",IF(COUNTIFS(Data!$A:$A,$D93,Data!$F:$F,"C&amp;T",Data!$L:$L,'Cluster Summary'!$D$3,Data!$I:$I,"Complete")&gt;0,"Complete",IF(COUNTIFS(Data!$A:$A,$D93,Data!$F:$F,"C&amp;T",Data!$L:$L,'Cluster Summary'!$D$3)&gt;0,"Incomplete","Pending")))</f>
        <v>Complete</v>
      </c>
      <c r="H93" s="46" t="str">
        <f>IF(COUNTIFS(Data!$A:$A,$D93,Data!$F:$F,"HTS")=0,"N/A",IF(COUNTIFS(Data!$A:$A,$D93,Data!$F:$F,"HTS",Data!$L:$L,'Cluster Summary'!$D$3,Data!$I:$I,"Complete")&gt;0,"Complete",IF(COUNTIFS(Data!$A:$A,$D93,Data!$F:$F,"HTS",Data!$L:$L,'Cluster Summary'!$D$3)&gt;0,"Incomplete","Pending")))</f>
        <v>Incomplete</v>
      </c>
      <c r="I93" s="46" t="str">
        <f>IF(COUNTIFS(Data!$A:$A,$D93,Data!$F:$F,"MNCH")=0,"N/A",IF(COUNTIFS(Data!$A:$A,$D93,Data!$F:$F,"MNCH",Data!$L:$L,'Cluster Summary'!$D$3,Data!$I:$I,"Complete")&gt;0,"Complete",IF(COUNTIFS(Data!$A:$A,$D93,Data!$F:$F,"MNCH",Data!$L:$L,'Cluster Summary'!$D$3)&gt;0,"Incomplete","Pending")))</f>
        <v>Pending</v>
      </c>
      <c r="J93" s="46" t="str">
        <f>IF(COUNTIFS(Data!$A:$A,$D93,Data!$F:$F,"PREP")=0,"N/A",IF(COUNTIFS(Data!$A:$A,$D93,Data!$F:$F,"PREP",Data!$L:$L,'Cluster Summary'!$D$3,Data!$I:$I,"Complete")&gt;0,"Complete",IF(COUNTIFS(Data!$A:$A,$D93,Data!$F:$F,"PREP",Data!$L:$L,'Cluster Summary'!$D$3)&gt;0,"Incomplete","Pending")))</f>
        <v>N/A</v>
      </c>
      <c r="K93" s="46">
        <f t="shared" si="1"/>
        <v>1</v>
      </c>
    </row>
    <row r="94" spans="1:11" x14ac:dyDescent="0.35">
      <c r="A94" s="45" t="s">
        <v>20</v>
      </c>
      <c r="B94" s="45" t="s">
        <v>207</v>
      </c>
      <c r="C94" s="45" t="s">
        <v>226</v>
      </c>
      <c r="D94" s="46">
        <v>12722</v>
      </c>
      <c r="E94" s="45" t="s">
        <v>235</v>
      </c>
      <c r="F94" s="45" t="s">
        <v>131</v>
      </c>
      <c r="G94" s="46" t="str">
        <f>IF(COUNTIFS(Data!$A:$A,$D94,Data!$F:$F,"C&amp;T")=0,"N/A",IF(COUNTIFS(Data!$A:$A,$D94,Data!$F:$F,"C&amp;T",Data!$L:$L,'Cluster Summary'!$D$3,Data!$I:$I,"Complete")&gt;0,"Complete",IF(COUNTIFS(Data!$A:$A,$D94,Data!$F:$F,"C&amp;T",Data!$L:$L,'Cluster Summary'!$D$3)&gt;0,"Incomplete","Pending")))</f>
        <v>Complete</v>
      </c>
      <c r="H94" s="46" t="str">
        <f>IF(COUNTIFS(Data!$A:$A,$D94,Data!$F:$F,"HTS")=0,"N/A",IF(COUNTIFS(Data!$A:$A,$D94,Data!$F:$F,"HTS",Data!$L:$L,'Cluster Summary'!$D$3,Data!$I:$I,"Complete")&gt;0,"Complete",IF(COUNTIFS(Data!$A:$A,$D94,Data!$F:$F,"HTS",Data!$L:$L,'Cluster Summary'!$D$3)&gt;0,"Incomplete","Pending")))</f>
        <v>Complete</v>
      </c>
      <c r="I94" s="46" t="str">
        <f>IF(COUNTIFS(Data!$A:$A,$D94,Data!$F:$F,"MNCH")=0,"N/A",IF(COUNTIFS(Data!$A:$A,$D94,Data!$F:$F,"MNCH",Data!$L:$L,'Cluster Summary'!$D$3,Data!$I:$I,"Complete")&gt;0,"Complete",IF(COUNTIFS(Data!$A:$A,$D94,Data!$F:$F,"MNCH",Data!$L:$L,'Cluster Summary'!$D$3)&gt;0,"Incomplete","Pending")))</f>
        <v>Pending</v>
      </c>
      <c r="J94" s="46" t="str">
        <f>IF(COUNTIFS(Data!$A:$A,$D94,Data!$F:$F,"PREP")=0,"N/A",IF(COUNTIFS(Data!$A:$A,$D94,Data!$F:$F,"PREP",Data!$L:$L,'Cluster Summary'!$D$3,Data!$I:$I,"Complete")&gt;0,"Complete",IF(COUNTIFS(Data!$A:$A,$D94,Data!$F:$F,"PREP",Data!$L:$L,'Cluster Summary'!$D$3)&gt;0,"Incomplete","Pending")))</f>
        <v>Complete</v>
      </c>
      <c r="K94" s="46">
        <f t="shared" si="1"/>
        <v>1</v>
      </c>
    </row>
    <row r="95" spans="1:11" x14ac:dyDescent="0.35">
      <c r="A95" s="45" t="s">
        <v>20</v>
      </c>
      <c r="B95" s="45" t="s">
        <v>207</v>
      </c>
      <c r="C95" s="45" t="s">
        <v>226</v>
      </c>
      <c r="D95" s="46">
        <v>12838</v>
      </c>
      <c r="E95" s="45" t="s">
        <v>236</v>
      </c>
      <c r="F95" s="45" t="s">
        <v>131</v>
      </c>
      <c r="G95" s="46" t="str">
        <f>IF(COUNTIFS(Data!$A:$A,$D95,Data!$F:$F,"C&amp;T")=0,"N/A",IF(COUNTIFS(Data!$A:$A,$D95,Data!$F:$F,"C&amp;T",Data!$L:$L,'Cluster Summary'!$D$3,Data!$I:$I,"Complete")&gt;0,"Complete",IF(COUNTIFS(Data!$A:$A,$D95,Data!$F:$F,"C&amp;T",Data!$L:$L,'Cluster Summary'!$D$3)&gt;0,"Incomplete","Pending")))</f>
        <v>Complete</v>
      </c>
      <c r="H95" s="46" t="str">
        <f>IF(COUNTIFS(Data!$A:$A,$D95,Data!$F:$F,"HTS")=0,"N/A",IF(COUNTIFS(Data!$A:$A,$D95,Data!$F:$F,"HTS",Data!$L:$L,'Cluster Summary'!$D$3,Data!$I:$I,"Complete")&gt;0,"Complete",IF(COUNTIFS(Data!$A:$A,$D95,Data!$F:$F,"HTS",Data!$L:$L,'Cluster Summary'!$D$3)&gt;0,"Incomplete","Pending")))</f>
        <v>Complete</v>
      </c>
      <c r="I95" s="46" t="str">
        <f>IF(COUNTIFS(Data!$A:$A,$D95,Data!$F:$F,"MNCH")=0,"N/A",IF(COUNTIFS(Data!$A:$A,$D95,Data!$F:$F,"MNCH",Data!$L:$L,'Cluster Summary'!$D$3,Data!$I:$I,"Complete")&gt;0,"Complete",IF(COUNTIFS(Data!$A:$A,$D95,Data!$F:$F,"MNCH",Data!$L:$L,'Cluster Summary'!$D$3)&gt;0,"Incomplete","Pending")))</f>
        <v>Complete</v>
      </c>
      <c r="J95" s="46" t="str">
        <f>IF(COUNTIFS(Data!$A:$A,$D95,Data!$F:$F,"PREP")=0,"N/A",IF(COUNTIFS(Data!$A:$A,$D95,Data!$F:$F,"PREP",Data!$L:$L,'Cluster Summary'!$D$3,Data!$I:$I,"Complete")&gt;0,"Complete",IF(COUNTIFS(Data!$A:$A,$D95,Data!$F:$F,"PREP",Data!$L:$L,'Cluster Summary'!$D$3)&gt;0,"Incomplete","Pending")))</f>
        <v>Complete</v>
      </c>
      <c r="K95" s="46">
        <f t="shared" si="1"/>
        <v>0</v>
      </c>
    </row>
    <row r="96" spans="1:11" x14ac:dyDescent="0.35">
      <c r="A96" s="45" t="s">
        <v>20</v>
      </c>
      <c r="B96" s="45" t="s">
        <v>207</v>
      </c>
      <c r="C96" s="45" t="s">
        <v>237</v>
      </c>
      <c r="D96" s="46">
        <v>12791</v>
      </c>
      <c r="E96" s="45" t="s">
        <v>238</v>
      </c>
      <c r="F96" s="45" t="s">
        <v>131</v>
      </c>
      <c r="G96" s="46" t="str">
        <f>IF(COUNTIFS(Data!$A:$A,$D96,Data!$F:$F,"C&amp;T")=0,"N/A",IF(COUNTIFS(Data!$A:$A,$D96,Data!$F:$F,"C&amp;T",Data!$L:$L,'Cluster Summary'!$D$3,Data!$I:$I,"Complete")&gt;0,"Complete",IF(COUNTIFS(Data!$A:$A,$D96,Data!$F:$F,"C&amp;T",Data!$L:$L,'Cluster Summary'!$D$3)&gt;0,"Incomplete","Pending")))</f>
        <v>Complete</v>
      </c>
      <c r="H96" s="46" t="str">
        <f>IF(COUNTIFS(Data!$A:$A,$D96,Data!$F:$F,"HTS")=0,"N/A",IF(COUNTIFS(Data!$A:$A,$D96,Data!$F:$F,"HTS",Data!$L:$L,'Cluster Summary'!$D$3,Data!$I:$I,"Complete")&gt;0,"Complete",IF(COUNTIFS(Data!$A:$A,$D96,Data!$F:$F,"HTS",Data!$L:$L,'Cluster Summary'!$D$3)&gt;0,"Incomplete","Pending")))</f>
        <v>Complete</v>
      </c>
      <c r="I96" s="46" t="str">
        <f>IF(COUNTIFS(Data!$A:$A,$D96,Data!$F:$F,"MNCH")=0,"N/A",IF(COUNTIFS(Data!$A:$A,$D96,Data!$F:$F,"MNCH",Data!$L:$L,'Cluster Summary'!$D$3,Data!$I:$I,"Complete")&gt;0,"Complete",IF(COUNTIFS(Data!$A:$A,$D96,Data!$F:$F,"MNCH",Data!$L:$L,'Cluster Summary'!$D$3)&gt;0,"Incomplete","Pending")))</f>
        <v>Complete</v>
      </c>
      <c r="J96" s="46" t="str">
        <f>IF(COUNTIFS(Data!$A:$A,$D96,Data!$F:$F,"PREP")=0,"N/A",IF(COUNTIFS(Data!$A:$A,$D96,Data!$F:$F,"PREP",Data!$L:$L,'Cluster Summary'!$D$3,Data!$I:$I,"Complete")&gt;0,"Complete",IF(COUNTIFS(Data!$A:$A,$D96,Data!$F:$F,"PREP",Data!$L:$L,'Cluster Summary'!$D$3)&gt;0,"Incomplete","Pending")))</f>
        <v>Complete</v>
      </c>
      <c r="K96" s="46">
        <f t="shared" si="1"/>
        <v>0</v>
      </c>
    </row>
    <row r="97" spans="1:11" x14ac:dyDescent="0.35">
      <c r="A97" s="45" t="s">
        <v>20</v>
      </c>
      <c r="B97" s="45" t="s">
        <v>207</v>
      </c>
      <c r="C97" s="45" t="s">
        <v>237</v>
      </c>
      <c r="D97" s="46">
        <v>12413</v>
      </c>
      <c r="E97" s="45" t="s">
        <v>239</v>
      </c>
      <c r="F97" s="45" t="s">
        <v>149</v>
      </c>
      <c r="G97" s="46" t="str">
        <f>IF(COUNTIFS(Data!$A:$A,$D97,Data!$F:$F,"C&amp;T")=0,"N/A",IF(COUNTIFS(Data!$A:$A,$D97,Data!$F:$F,"C&amp;T",Data!$L:$L,'Cluster Summary'!$D$3,Data!$I:$I,"Complete")&gt;0,"Complete",IF(COUNTIFS(Data!$A:$A,$D97,Data!$F:$F,"C&amp;T",Data!$L:$L,'Cluster Summary'!$D$3)&gt;0,"Incomplete","Pending")))</f>
        <v>Complete</v>
      </c>
      <c r="H97" s="46" t="str">
        <f>IF(COUNTIFS(Data!$A:$A,$D97,Data!$F:$F,"HTS")=0,"N/A",IF(COUNTIFS(Data!$A:$A,$D97,Data!$F:$F,"HTS",Data!$L:$L,'Cluster Summary'!$D$3,Data!$I:$I,"Complete")&gt;0,"Complete",IF(COUNTIFS(Data!$A:$A,$D97,Data!$F:$F,"HTS",Data!$L:$L,'Cluster Summary'!$D$3)&gt;0,"Incomplete","Pending")))</f>
        <v>Complete</v>
      </c>
      <c r="I97" s="46" t="str">
        <f>IF(COUNTIFS(Data!$A:$A,$D97,Data!$F:$F,"MNCH")=0,"N/A",IF(COUNTIFS(Data!$A:$A,$D97,Data!$F:$F,"MNCH",Data!$L:$L,'Cluster Summary'!$D$3,Data!$I:$I,"Complete")&gt;0,"Complete",IF(COUNTIFS(Data!$A:$A,$D97,Data!$F:$F,"MNCH",Data!$L:$L,'Cluster Summary'!$D$3)&gt;0,"Incomplete","Pending")))</f>
        <v>Complete</v>
      </c>
      <c r="J97" s="46" t="str">
        <f>IF(COUNTIFS(Data!$A:$A,$D97,Data!$F:$F,"PREP")=0,"N/A",IF(COUNTIFS(Data!$A:$A,$D97,Data!$F:$F,"PREP",Data!$L:$L,'Cluster Summary'!$D$3,Data!$I:$I,"Complete")&gt;0,"Complete",IF(COUNTIFS(Data!$A:$A,$D97,Data!$F:$F,"PREP",Data!$L:$L,'Cluster Summary'!$D$3)&gt;0,"Incomplete","Pending")))</f>
        <v>Incomplete</v>
      </c>
      <c r="K97" s="46">
        <f t="shared" si="1"/>
        <v>0</v>
      </c>
    </row>
    <row r="98" spans="1:11" x14ac:dyDescent="0.35">
      <c r="A98" s="45" t="s">
        <v>20</v>
      </c>
      <c r="B98" s="45" t="s">
        <v>207</v>
      </c>
      <c r="C98" s="45" t="s">
        <v>237</v>
      </c>
      <c r="D98" s="46">
        <v>12179</v>
      </c>
      <c r="E98" s="45" t="s">
        <v>240</v>
      </c>
      <c r="F98" s="45" t="s">
        <v>131</v>
      </c>
      <c r="G98" s="46" t="str">
        <f>IF(COUNTIFS(Data!$A:$A,$D98,Data!$F:$F,"C&amp;T")=0,"N/A",IF(COUNTIFS(Data!$A:$A,$D98,Data!$F:$F,"C&amp;T",Data!$L:$L,'Cluster Summary'!$D$3,Data!$I:$I,"Complete")&gt;0,"Complete",IF(COUNTIFS(Data!$A:$A,$D98,Data!$F:$F,"C&amp;T",Data!$L:$L,'Cluster Summary'!$D$3)&gt;0,"Incomplete","Pending")))</f>
        <v>Complete</v>
      </c>
      <c r="H98" s="46" t="str">
        <f>IF(COUNTIFS(Data!$A:$A,$D98,Data!$F:$F,"HTS")=0,"N/A",IF(COUNTIFS(Data!$A:$A,$D98,Data!$F:$F,"HTS",Data!$L:$L,'Cluster Summary'!$D$3,Data!$I:$I,"Complete")&gt;0,"Complete",IF(COUNTIFS(Data!$A:$A,$D98,Data!$F:$F,"HTS",Data!$L:$L,'Cluster Summary'!$D$3)&gt;0,"Incomplete","Pending")))</f>
        <v>Complete</v>
      </c>
      <c r="I98" s="46" t="str">
        <f>IF(COUNTIFS(Data!$A:$A,$D98,Data!$F:$F,"MNCH")=0,"N/A",IF(COUNTIFS(Data!$A:$A,$D98,Data!$F:$F,"MNCH",Data!$L:$L,'Cluster Summary'!$D$3,Data!$I:$I,"Complete")&gt;0,"Complete",IF(COUNTIFS(Data!$A:$A,$D98,Data!$F:$F,"MNCH",Data!$L:$L,'Cluster Summary'!$D$3)&gt;0,"Incomplete","Pending")))</f>
        <v>Incomplete</v>
      </c>
      <c r="J98" s="46" t="str">
        <f>IF(COUNTIFS(Data!$A:$A,$D98,Data!$F:$F,"PREP")=0,"N/A",IF(COUNTIFS(Data!$A:$A,$D98,Data!$F:$F,"PREP",Data!$L:$L,'Cluster Summary'!$D$3,Data!$I:$I,"Complete")&gt;0,"Complete",IF(COUNTIFS(Data!$A:$A,$D98,Data!$F:$F,"PREP",Data!$L:$L,'Cluster Summary'!$D$3)&gt;0,"Incomplete","Pending")))</f>
        <v>Incomplete</v>
      </c>
      <c r="K98" s="46">
        <f t="shared" si="1"/>
        <v>0</v>
      </c>
    </row>
    <row r="99" spans="1:11" x14ac:dyDescent="0.35">
      <c r="A99" s="45" t="s">
        <v>20</v>
      </c>
      <c r="B99" s="45" t="s">
        <v>207</v>
      </c>
      <c r="C99" s="45" t="s">
        <v>237</v>
      </c>
      <c r="D99" s="46">
        <v>12203</v>
      </c>
      <c r="E99" s="45" t="s">
        <v>241</v>
      </c>
      <c r="F99" s="45" t="s">
        <v>131</v>
      </c>
      <c r="G99" s="46" t="str">
        <f>IF(COUNTIFS(Data!$A:$A,$D99,Data!$F:$F,"C&amp;T")=0,"N/A",IF(COUNTIFS(Data!$A:$A,$D99,Data!$F:$F,"C&amp;T",Data!$L:$L,'Cluster Summary'!$D$3,Data!$I:$I,"Complete")&gt;0,"Complete",IF(COUNTIFS(Data!$A:$A,$D99,Data!$F:$F,"C&amp;T",Data!$L:$L,'Cluster Summary'!$D$3)&gt;0,"Incomplete","Pending")))</f>
        <v>Complete</v>
      </c>
      <c r="H99" s="46" t="str">
        <f>IF(COUNTIFS(Data!$A:$A,$D99,Data!$F:$F,"HTS")=0,"N/A",IF(COUNTIFS(Data!$A:$A,$D99,Data!$F:$F,"HTS",Data!$L:$L,'Cluster Summary'!$D$3,Data!$I:$I,"Complete")&gt;0,"Complete",IF(COUNTIFS(Data!$A:$A,$D99,Data!$F:$F,"HTS",Data!$L:$L,'Cluster Summary'!$D$3)&gt;0,"Incomplete","Pending")))</f>
        <v>Complete</v>
      </c>
      <c r="I99" s="46" t="str">
        <f>IF(COUNTIFS(Data!$A:$A,$D99,Data!$F:$F,"MNCH")=0,"N/A",IF(COUNTIFS(Data!$A:$A,$D99,Data!$F:$F,"MNCH",Data!$L:$L,'Cluster Summary'!$D$3,Data!$I:$I,"Complete")&gt;0,"Complete",IF(COUNTIFS(Data!$A:$A,$D99,Data!$F:$F,"MNCH",Data!$L:$L,'Cluster Summary'!$D$3)&gt;0,"Incomplete","Pending")))</f>
        <v>Complete</v>
      </c>
      <c r="J99" s="46" t="str">
        <f>IF(COUNTIFS(Data!$A:$A,$D99,Data!$F:$F,"PREP")=0,"N/A",IF(COUNTIFS(Data!$A:$A,$D99,Data!$F:$F,"PREP",Data!$L:$L,'Cluster Summary'!$D$3,Data!$I:$I,"Complete")&gt;0,"Complete",IF(COUNTIFS(Data!$A:$A,$D99,Data!$F:$F,"PREP",Data!$L:$L,'Cluster Summary'!$D$3)&gt;0,"Incomplete","Pending")))</f>
        <v>Complete</v>
      </c>
      <c r="K99" s="46">
        <f t="shared" si="1"/>
        <v>0</v>
      </c>
    </row>
    <row r="100" spans="1:11" x14ac:dyDescent="0.35">
      <c r="A100" s="45" t="s">
        <v>20</v>
      </c>
      <c r="B100" s="45" t="s">
        <v>207</v>
      </c>
      <c r="C100" s="45" t="s">
        <v>237</v>
      </c>
      <c r="D100" s="46">
        <v>12279</v>
      </c>
      <c r="E100" s="45" t="s">
        <v>242</v>
      </c>
      <c r="F100" s="45" t="s">
        <v>131</v>
      </c>
      <c r="G100" s="46" t="str">
        <f>IF(COUNTIFS(Data!$A:$A,$D100,Data!$F:$F,"C&amp;T")=0,"N/A",IF(COUNTIFS(Data!$A:$A,$D100,Data!$F:$F,"C&amp;T",Data!$L:$L,'Cluster Summary'!$D$3,Data!$I:$I,"Complete")&gt;0,"Complete",IF(COUNTIFS(Data!$A:$A,$D100,Data!$F:$F,"C&amp;T",Data!$L:$L,'Cluster Summary'!$D$3)&gt;0,"Incomplete","Pending")))</f>
        <v>Complete</v>
      </c>
      <c r="H100" s="46" t="str">
        <f>IF(COUNTIFS(Data!$A:$A,$D100,Data!$F:$F,"HTS")=0,"N/A",IF(COUNTIFS(Data!$A:$A,$D100,Data!$F:$F,"HTS",Data!$L:$L,'Cluster Summary'!$D$3,Data!$I:$I,"Complete")&gt;0,"Complete",IF(COUNTIFS(Data!$A:$A,$D100,Data!$F:$F,"HTS",Data!$L:$L,'Cluster Summary'!$D$3)&gt;0,"Incomplete","Pending")))</f>
        <v>Complete</v>
      </c>
      <c r="I100" s="46" t="str">
        <f>IF(COUNTIFS(Data!$A:$A,$D100,Data!$F:$F,"MNCH")=0,"N/A",IF(COUNTIFS(Data!$A:$A,$D100,Data!$F:$F,"MNCH",Data!$L:$L,'Cluster Summary'!$D$3,Data!$I:$I,"Complete")&gt;0,"Complete",IF(COUNTIFS(Data!$A:$A,$D100,Data!$F:$F,"MNCH",Data!$L:$L,'Cluster Summary'!$D$3)&gt;0,"Incomplete","Pending")))</f>
        <v>Incomplete</v>
      </c>
      <c r="J100" s="46" t="str">
        <f>IF(COUNTIFS(Data!$A:$A,$D100,Data!$F:$F,"PREP")=0,"N/A",IF(COUNTIFS(Data!$A:$A,$D100,Data!$F:$F,"PREP",Data!$L:$L,'Cluster Summary'!$D$3,Data!$I:$I,"Complete")&gt;0,"Complete",IF(COUNTIFS(Data!$A:$A,$D100,Data!$F:$F,"PREP",Data!$L:$L,'Cluster Summary'!$D$3)&gt;0,"Incomplete","Pending")))</f>
        <v>Incomplete</v>
      </c>
      <c r="K100" s="46">
        <f t="shared" si="1"/>
        <v>0</v>
      </c>
    </row>
    <row r="101" spans="1:11" x14ac:dyDescent="0.35">
      <c r="A101" s="45" t="s">
        <v>20</v>
      </c>
      <c r="B101" s="45" t="s">
        <v>207</v>
      </c>
      <c r="C101" s="45" t="s">
        <v>237</v>
      </c>
      <c r="D101" s="46">
        <v>12300</v>
      </c>
      <c r="E101" s="45" t="s">
        <v>243</v>
      </c>
      <c r="F101" s="45" t="s">
        <v>131</v>
      </c>
      <c r="G101" s="46" t="str">
        <f>IF(COUNTIFS(Data!$A:$A,$D101,Data!$F:$F,"C&amp;T")=0,"N/A",IF(COUNTIFS(Data!$A:$A,$D101,Data!$F:$F,"C&amp;T",Data!$L:$L,'Cluster Summary'!$D$3,Data!$I:$I,"Complete")&gt;0,"Complete",IF(COUNTIFS(Data!$A:$A,$D101,Data!$F:$F,"C&amp;T",Data!$L:$L,'Cluster Summary'!$D$3)&gt;0,"Incomplete","Pending")))</f>
        <v>Complete</v>
      </c>
      <c r="H101" s="46" t="str">
        <f>IF(COUNTIFS(Data!$A:$A,$D101,Data!$F:$F,"HTS")=0,"N/A",IF(COUNTIFS(Data!$A:$A,$D101,Data!$F:$F,"HTS",Data!$L:$L,'Cluster Summary'!$D$3,Data!$I:$I,"Complete")&gt;0,"Complete",IF(COUNTIFS(Data!$A:$A,$D101,Data!$F:$F,"HTS",Data!$L:$L,'Cluster Summary'!$D$3)&gt;0,"Incomplete","Pending")))</f>
        <v>Pending</v>
      </c>
      <c r="I101" s="46" t="str">
        <f>IF(COUNTIFS(Data!$A:$A,$D101,Data!$F:$F,"MNCH")=0,"N/A",IF(COUNTIFS(Data!$A:$A,$D101,Data!$F:$F,"MNCH",Data!$L:$L,'Cluster Summary'!$D$3,Data!$I:$I,"Complete")&gt;0,"Complete",IF(COUNTIFS(Data!$A:$A,$D101,Data!$F:$F,"MNCH",Data!$L:$L,'Cluster Summary'!$D$3)&gt;0,"Incomplete","Pending")))</f>
        <v>Pending</v>
      </c>
      <c r="J101" s="46" t="str">
        <f>IF(COUNTIFS(Data!$A:$A,$D101,Data!$F:$F,"PREP")=0,"N/A",IF(COUNTIFS(Data!$A:$A,$D101,Data!$F:$F,"PREP",Data!$L:$L,'Cluster Summary'!$D$3,Data!$I:$I,"Complete")&gt;0,"Complete",IF(COUNTIFS(Data!$A:$A,$D101,Data!$F:$F,"PREP",Data!$L:$L,'Cluster Summary'!$D$3)&gt;0,"Incomplete","Pending")))</f>
        <v>N/A</v>
      </c>
      <c r="K101" s="46">
        <f t="shared" si="1"/>
        <v>2</v>
      </c>
    </row>
    <row r="102" spans="1:11" x14ac:dyDescent="0.35">
      <c r="A102" s="45" t="s">
        <v>20</v>
      </c>
      <c r="B102" s="45" t="s">
        <v>207</v>
      </c>
      <c r="C102" s="45" t="s">
        <v>237</v>
      </c>
      <c r="D102" s="46">
        <v>12673</v>
      </c>
      <c r="E102" s="45" t="s">
        <v>244</v>
      </c>
      <c r="F102" s="45" t="s">
        <v>131</v>
      </c>
      <c r="G102" s="46" t="str">
        <f>IF(COUNTIFS(Data!$A:$A,$D102,Data!$F:$F,"C&amp;T")=0,"N/A",IF(COUNTIFS(Data!$A:$A,$D102,Data!$F:$F,"C&amp;T",Data!$L:$L,'Cluster Summary'!$D$3,Data!$I:$I,"Complete")&gt;0,"Complete",IF(COUNTIFS(Data!$A:$A,$D102,Data!$F:$F,"C&amp;T",Data!$L:$L,'Cluster Summary'!$D$3)&gt;0,"Incomplete","Pending")))</f>
        <v>Complete</v>
      </c>
      <c r="H102" s="46" t="str">
        <f>IF(COUNTIFS(Data!$A:$A,$D102,Data!$F:$F,"HTS")=0,"N/A",IF(COUNTIFS(Data!$A:$A,$D102,Data!$F:$F,"HTS",Data!$L:$L,'Cluster Summary'!$D$3,Data!$I:$I,"Complete")&gt;0,"Complete",IF(COUNTIFS(Data!$A:$A,$D102,Data!$F:$F,"HTS",Data!$L:$L,'Cluster Summary'!$D$3)&gt;0,"Incomplete","Pending")))</f>
        <v>Pending</v>
      </c>
      <c r="I102" s="46" t="str">
        <f>IF(COUNTIFS(Data!$A:$A,$D102,Data!$F:$F,"MNCH")=0,"N/A",IF(COUNTIFS(Data!$A:$A,$D102,Data!$F:$F,"MNCH",Data!$L:$L,'Cluster Summary'!$D$3,Data!$I:$I,"Complete")&gt;0,"Complete",IF(COUNTIFS(Data!$A:$A,$D102,Data!$F:$F,"MNCH",Data!$L:$L,'Cluster Summary'!$D$3)&gt;0,"Incomplete","Pending")))</f>
        <v>Pending</v>
      </c>
      <c r="J102" s="46" t="str">
        <f>IF(COUNTIFS(Data!$A:$A,$D102,Data!$F:$F,"PREP")=0,"N/A",IF(COUNTIFS(Data!$A:$A,$D102,Data!$F:$F,"PREP",Data!$L:$L,'Cluster Summary'!$D$3,Data!$I:$I,"Complete")&gt;0,"Complete",IF(COUNTIFS(Data!$A:$A,$D102,Data!$F:$F,"PREP",Data!$L:$L,'Cluster Summary'!$D$3)&gt;0,"Incomplete","Pending")))</f>
        <v>N/A</v>
      </c>
      <c r="K102" s="46">
        <f t="shared" si="1"/>
        <v>2</v>
      </c>
    </row>
    <row r="103" spans="1:11" x14ac:dyDescent="0.35">
      <c r="A103" s="45" t="s">
        <v>20</v>
      </c>
      <c r="B103" s="45" t="s">
        <v>207</v>
      </c>
      <c r="C103" s="45" t="s">
        <v>237</v>
      </c>
      <c r="D103" s="46">
        <v>12719</v>
      </c>
      <c r="E103" s="64" t="s">
        <v>245</v>
      </c>
      <c r="F103" s="45" t="s">
        <v>131</v>
      </c>
      <c r="G103" s="46" t="str">
        <f>IF(COUNTIFS(Data!$A:$A,$D103,Data!$F:$F,"C&amp;T")=0,"N/A",IF(COUNTIFS(Data!$A:$A,$D103,Data!$F:$F,"C&amp;T",Data!$L:$L,'Cluster Summary'!$D$3,Data!$I:$I,"Complete")&gt;0,"Complete",IF(COUNTIFS(Data!$A:$A,$D103,Data!$F:$F,"C&amp;T",Data!$L:$L,'Cluster Summary'!$D$3)&gt;0,"Incomplete","Pending")))</f>
        <v>Complete</v>
      </c>
      <c r="H103" s="46" t="str">
        <f>IF(COUNTIFS(Data!$A:$A,$D103,Data!$F:$F,"HTS")=0,"N/A",IF(COUNTIFS(Data!$A:$A,$D103,Data!$F:$F,"HTS",Data!$L:$L,'Cluster Summary'!$D$3,Data!$I:$I,"Complete")&gt;0,"Complete",IF(COUNTIFS(Data!$A:$A,$D103,Data!$F:$F,"HTS",Data!$L:$L,'Cluster Summary'!$D$3)&gt;0,"Incomplete","Pending")))</f>
        <v>Incomplete</v>
      </c>
      <c r="I103" s="46" t="str">
        <f>IF(COUNTIFS(Data!$A:$A,$D103,Data!$F:$F,"MNCH")=0,"N/A",IF(COUNTIFS(Data!$A:$A,$D103,Data!$F:$F,"MNCH",Data!$L:$L,'Cluster Summary'!$D$3,Data!$I:$I,"Complete")&gt;0,"Complete",IF(COUNTIFS(Data!$A:$A,$D103,Data!$F:$F,"MNCH",Data!$L:$L,'Cluster Summary'!$D$3)&gt;0,"Incomplete","Pending")))</f>
        <v>Complete</v>
      </c>
      <c r="J103" s="46" t="str">
        <f>IF(COUNTIFS(Data!$A:$A,$D103,Data!$F:$F,"PREP")=0,"N/A",IF(COUNTIFS(Data!$A:$A,$D103,Data!$F:$F,"PREP",Data!$L:$L,'Cluster Summary'!$D$3,Data!$I:$I,"Complete")&gt;0,"Complete",IF(COUNTIFS(Data!$A:$A,$D103,Data!$F:$F,"PREP",Data!$L:$L,'Cluster Summary'!$D$3)&gt;0,"Incomplete","Pending")))</f>
        <v>Incomplete</v>
      </c>
      <c r="K103" s="46">
        <f t="shared" si="1"/>
        <v>0</v>
      </c>
    </row>
    <row r="104" spans="1:11" x14ac:dyDescent="0.35">
      <c r="A104" s="45" t="s">
        <v>20</v>
      </c>
      <c r="B104" s="45" t="s">
        <v>207</v>
      </c>
      <c r="C104" s="45" t="s">
        <v>237</v>
      </c>
      <c r="D104" s="46">
        <v>12820</v>
      </c>
      <c r="E104" s="45" t="s">
        <v>246</v>
      </c>
      <c r="F104" s="45" t="s">
        <v>131</v>
      </c>
      <c r="G104" s="46" t="str">
        <f>IF(COUNTIFS(Data!$A:$A,$D104,Data!$F:$F,"C&amp;T")=0,"N/A",IF(COUNTIFS(Data!$A:$A,$D104,Data!$F:$F,"C&amp;T",Data!$L:$L,'Cluster Summary'!$D$3,Data!$I:$I,"Complete")&gt;0,"Complete",IF(COUNTIFS(Data!$A:$A,$D104,Data!$F:$F,"C&amp;T",Data!$L:$L,'Cluster Summary'!$D$3)&gt;0,"Incomplete","Pending")))</f>
        <v>Complete</v>
      </c>
      <c r="H104" s="46" t="str">
        <f>IF(COUNTIFS(Data!$A:$A,$D104,Data!$F:$F,"HTS")=0,"N/A",IF(COUNTIFS(Data!$A:$A,$D104,Data!$F:$F,"HTS",Data!$L:$L,'Cluster Summary'!$D$3,Data!$I:$I,"Complete")&gt;0,"Complete",IF(COUNTIFS(Data!$A:$A,$D104,Data!$F:$F,"HTS",Data!$L:$L,'Cluster Summary'!$D$3)&gt;0,"Incomplete","Pending")))</f>
        <v>Complete</v>
      </c>
      <c r="I104" s="46" t="str">
        <f>IF(COUNTIFS(Data!$A:$A,$D104,Data!$F:$F,"MNCH")=0,"N/A",IF(COUNTIFS(Data!$A:$A,$D104,Data!$F:$F,"MNCH",Data!$L:$L,'Cluster Summary'!$D$3,Data!$I:$I,"Complete")&gt;0,"Complete",IF(COUNTIFS(Data!$A:$A,$D104,Data!$F:$F,"MNCH",Data!$L:$L,'Cluster Summary'!$D$3)&gt;0,"Incomplete","Pending")))</f>
        <v>Pending</v>
      </c>
      <c r="J104" s="46" t="str">
        <f>IF(COUNTIFS(Data!$A:$A,$D104,Data!$F:$F,"PREP")=0,"N/A",IF(COUNTIFS(Data!$A:$A,$D104,Data!$F:$F,"PREP",Data!$L:$L,'Cluster Summary'!$D$3,Data!$I:$I,"Complete")&gt;0,"Complete",IF(COUNTIFS(Data!$A:$A,$D104,Data!$F:$F,"PREP",Data!$L:$L,'Cluster Summary'!$D$3)&gt;0,"Incomplete","Pending")))</f>
        <v>Incomplete</v>
      </c>
      <c r="K104" s="46">
        <f t="shared" si="1"/>
        <v>1</v>
      </c>
    </row>
    <row r="105" spans="1:11" x14ac:dyDescent="0.35">
      <c r="A105" s="45" t="s">
        <v>20</v>
      </c>
      <c r="B105" s="45" t="s">
        <v>247</v>
      </c>
      <c r="C105" s="45" t="s">
        <v>248</v>
      </c>
      <c r="D105" s="46">
        <v>12277</v>
      </c>
      <c r="E105" s="64" t="s">
        <v>249</v>
      </c>
      <c r="F105" s="45" t="s">
        <v>149</v>
      </c>
      <c r="G105" s="46" t="str">
        <f>IF(COUNTIFS(Data!$A:$A,$D105,Data!$F:$F,"C&amp;T")=0,"N/A",IF(COUNTIFS(Data!$A:$A,$D105,Data!$F:$F,"C&amp;T",Data!$L:$L,'Cluster Summary'!$D$3,Data!$I:$I,"Complete")&gt;0,"Complete",IF(COUNTIFS(Data!$A:$A,$D105,Data!$F:$F,"C&amp;T",Data!$L:$L,'Cluster Summary'!$D$3)&gt;0,"Incomplete","Pending")))</f>
        <v>Complete</v>
      </c>
      <c r="H105" s="46" t="str">
        <f>IF(COUNTIFS(Data!$A:$A,$D105,Data!$F:$F,"HTS")=0,"N/A",IF(COUNTIFS(Data!$A:$A,$D105,Data!$F:$F,"HTS",Data!$L:$L,'Cluster Summary'!$D$3,Data!$I:$I,"Complete")&gt;0,"Complete",IF(COUNTIFS(Data!$A:$A,$D105,Data!$F:$F,"HTS",Data!$L:$L,'Cluster Summary'!$D$3)&gt;0,"Incomplete","Pending")))</f>
        <v>Complete</v>
      </c>
      <c r="I105" s="46" t="str">
        <f>IF(COUNTIFS(Data!$A:$A,$D105,Data!$F:$F,"MNCH")=0,"N/A",IF(COUNTIFS(Data!$A:$A,$D105,Data!$F:$F,"MNCH",Data!$L:$L,'Cluster Summary'!$D$3,Data!$I:$I,"Complete")&gt;0,"Complete",IF(COUNTIFS(Data!$A:$A,$D105,Data!$F:$F,"MNCH",Data!$L:$L,'Cluster Summary'!$D$3)&gt;0,"Incomplete","Pending")))</f>
        <v>Complete</v>
      </c>
      <c r="J105" s="46" t="str">
        <f>IF(COUNTIFS(Data!$A:$A,$D105,Data!$F:$F,"PREP")=0,"N/A",IF(COUNTIFS(Data!$A:$A,$D105,Data!$F:$F,"PREP",Data!$L:$L,'Cluster Summary'!$D$3,Data!$I:$I,"Complete")&gt;0,"Complete",IF(COUNTIFS(Data!$A:$A,$D105,Data!$F:$F,"PREP",Data!$L:$L,'Cluster Summary'!$D$3)&gt;0,"Incomplete","Pending")))</f>
        <v>Incomplete</v>
      </c>
      <c r="K105" s="46">
        <f t="shared" si="1"/>
        <v>0</v>
      </c>
    </row>
    <row r="106" spans="1:11" x14ac:dyDescent="0.35">
      <c r="A106" s="45" t="s">
        <v>20</v>
      </c>
      <c r="B106" s="45" t="s">
        <v>247</v>
      </c>
      <c r="C106" s="45" t="s">
        <v>250</v>
      </c>
      <c r="D106" s="46">
        <v>11973</v>
      </c>
      <c r="E106" s="45" t="s">
        <v>251</v>
      </c>
      <c r="F106" s="45" t="s">
        <v>131</v>
      </c>
      <c r="G106" s="46" t="str">
        <f>IF(COUNTIFS(Data!$A:$A,$D106,Data!$F:$F,"C&amp;T")=0,"N/A",IF(COUNTIFS(Data!$A:$A,$D106,Data!$F:$F,"C&amp;T",Data!$L:$L,'Cluster Summary'!$D$3,Data!$I:$I,"Complete")&gt;0,"Complete",IF(COUNTIFS(Data!$A:$A,$D106,Data!$F:$F,"C&amp;T",Data!$L:$L,'Cluster Summary'!$D$3)&gt;0,"Incomplete","Pending")))</f>
        <v>Complete</v>
      </c>
      <c r="H106" s="46" t="str">
        <f>IF(COUNTIFS(Data!$A:$A,$D106,Data!$F:$F,"HTS")=0,"N/A",IF(COUNTIFS(Data!$A:$A,$D106,Data!$F:$F,"HTS",Data!$L:$L,'Cluster Summary'!$D$3,Data!$I:$I,"Complete")&gt;0,"Complete",IF(COUNTIFS(Data!$A:$A,$D106,Data!$F:$F,"HTS",Data!$L:$L,'Cluster Summary'!$D$3)&gt;0,"Incomplete","Pending")))</f>
        <v>Complete</v>
      </c>
      <c r="I106" s="46" t="str">
        <f>IF(COUNTIFS(Data!$A:$A,$D106,Data!$F:$F,"MNCH")=0,"N/A",IF(COUNTIFS(Data!$A:$A,$D106,Data!$F:$F,"MNCH",Data!$L:$L,'Cluster Summary'!$D$3,Data!$I:$I,"Complete")&gt;0,"Complete",IF(COUNTIFS(Data!$A:$A,$D106,Data!$F:$F,"MNCH",Data!$L:$L,'Cluster Summary'!$D$3)&gt;0,"Incomplete","Pending")))</f>
        <v>Complete</v>
      </c>
      <c r="J106" s="46" t="str">
        <f>IF(COUNTIFS(Data!$A:$A,$D106,Data!$F:$F,"PREP")=0,"N/A",IF(COUNTIFS(Data!$A:$A,$D106,Data!$F:$F,"PREP",Data!$L:$L,'Cluster Summary'!$D$3,Data!$I:$I,"Complete")&gt;0,"Complete",IF(COUNTIFS(Data!$A:$A,$D106,Data!$F:$F,"PREP",Data!$L:$L,'Cluster Summary'!$D$3)&gt;0,"Incomplete","Pending")))</f>
        <v>Incomplete</v>
      </c>
      <c r="K106" s="46">
        <f t="shared" si="1"/>
        <v>0</v>
      </c>
    </row>
    <row r="107" spans="1:11" x14ac:dyDescent="0.35">
      <c r="A107" s="45" t="s">
        <v>20</v>
      </c>
      <c r="B107" s="45" t="s">
        <v>247</v>
      </c>
      <c r="C107" s="45" t="s">
        <v>250</v>
      </c>
      <c r="D107" s="46">
        <v>12162</v>
      </c>
      <c r="E107" s="45" t="s">
        <v>252</v>
      </c>
      <c r="F107" s="45" t="s">
        <v>131</v>
      </c>
      <c r="G107" s="46" t="str">
        <f>IF(COUNTIFS(Data!$A:$A,$D107,Data!$F:$F,"C&amp;T")=0,"N/A",IF(COUNTIFS(Data!$A:$A,$D107,Data!$F:$F,"C&amp;T",Data!$L:$L,'Cluster Summary'!$D$3,Data!$I:$I,"Complete")&gt;0,"Complete",IF(COUNTIFS(Data!$A:$A,$D107,Data!$F:$F,"C&amp;T",Data!$L:$L,'Cluster Summary'!$D$3)&gt;0,"Incomplete","Pending")))</f>
        <v>Complete</v>
      </c>
      <c r="H107" s="46" t="str">
        <f>IF(COUNTIFS(Data!$A:$A,$D107,Data!$F:$F,"HTS")=0,"N/A",IF(COUNTIFS(Data!$A:$A,$D107,Data!$F:$F,"HTS",Data!$L:$L,'Cluster Summary'!$D$3,Data!$I:$I,"Complete")&gt;0,"Complete",IF(COUNTIFS(Data!$A:$A,$D107,Data!$F:$F,"HTS",Data!$L:$L,'Cluster Summary'!$D$3)&gt;0,"Incomplete","Pending")))</f>
        <v>Complete</v>
      </c>
      <c r="I107" s="46" t="str">
        <f>IF(COUNTIFS(Data!$A:$A,$D107,Data!$F:$F,"MNCH")=0,"N/A",IF(COUNTIFS(Data!$A:$A,$D107,Data!$F:$F,"MNCH",Data!$L:$L,'Cluster Summary'!$D$3,Data!$I:$I,"Complete")&gt;0,"Complete",IF(COUNTIFS(Data!$A:$A,$D107,Data!$F:$F,"MNCH",Data!$L:$L,'Cluster Summary'!$D$3)&gt;0,"Incomplete","Pending")))</f>
        <v>Complete</v>
      </c>
      <c r="J107" s="46" t="str">
        <f>IF(COUNTIFS(Data!$A:$A,$D107,Data!$F:$F,"PREP")=0,"N/A",IF(COUNTIFS(Data!$A:$A,$D107,Data!$F:$F,"PREP",Data!$L:$L,'Cluster Summary'!$D$3,Data!$I:$I,"Complete")&gt;0,"Complete",IF(COUNTIFS(Data!$A:$A,$D107,Data!$F:$F,"PREP",Data!$L:$L,'Cluster Summary'!$D$3)&gt;0,"Incomplete","Pending")))</f>
        <v>Complete</v>
      </c>
      <c r="K107" s="46">
        <f t="shared" si="1"/>
        <v>0</v>
      </c>
    </row>
    <row r="108" spans="1:11" x14ac:dyDescent="0.35">
      <c r="A108" s="45" t="s">
        <v>20</v>
      </c>
      <c r="B108" s="45" t="s">
        <v>247</v>
      </c>
      <c r="C108" s="45" t="s">
        <v>250</v>
      </c>
      <c r="D108" s="46">
        <v>12288</v>
      </c>
      <c r="E108" s="45" t="s">
        <v>253</v>
      </c>
      <c r="F108" s="45" t="s">
        <v>131</v>
      </c>
      <c r="G108" s="46" t="str">
        <f>IF(COUNTIFS(Data!$A:$A,$D108,Data!$F:$F,"C&amp;T")=0,"N/A",IF(COUNTIFS(Data!$A:$A,$D108,Data!$F:$F,"C&amp;T",Data!$L:$L,'Cluster Summary'!$D$3,Data!$I:$I,"Complete")&gt;0,"Complete",IF(COUNTIFS(Data!$A:$A,$D108,Data!$F:$F,"C&amp;T",Data!$L:$L,'Cluster Summary'!$D$3)&gt;0,"Incomplete","Pending")))</f>
        <v>Complete</v>
      </c>
      <c r="H108" s="46" t="str">
        <f>IF(COUNTIFS(Data!$A:$A,$D108,Data!$F:$F,"HTS")=0,"N/A",IF(COUNTIFS(Data!$A:$A,$D108,Data!$F:$F,"HTS",Data!$L:$L,'Cluster Summary'!$D$3,Data!$I:$I,"Complete")&gt;0,"Complete",IF(COUNTIFS(Data!$A:$A,$D108,Data!$F:$F,"HTS",Data!$L:$L,'Cluster Summary'!$D$3)&gt;0,"Incomplete","Pending")))</f>
        <v>Complete</v>
      </c>
      <c r="I108" s="46" t="str">
        <f>IF(COUNTIFS(Data!$A:$A,$D108,Data!$F:$F,"MNCH")=0,"N/A",IF(COUNTIFS(Data!$A:$A,$D108,Data!$F:$F,"MNCH",Data!$L:$L,'Cluster Summary'!$D$3,Data!$I:$I,"Complete")&gt;0,"Complete",IF(COUNTIFS(Data!$A:$A,$D108,Data!$F:$F,"MNCH",Data!$L:$L,'Cluster Summary'!$D$3)&gt;0,"Incomplete","Pending")))</f>
        <v>Complete</v>
      </c>
      <c r="J108" s="46" t="str">
        <f>IF(COUNTIFS(Data!$A:$A,$D108,Data!$F:$F,"PREP")=0,"N/A",IF(COUNTIFS(Data!$A:$A,$D108,Data!$F:$F,"PREP",Data!$L:$L,'Cluster Summary'!$D$3,Data!$I:$I,"Complete")&gt;0,"Complete",IF(COUNTIFS(Data!$A:$A,$D108,Data!$F:$F,"PREP",Data!$L:$L,'Cluster Summary'!$D$3)&gt;0,"Incomplete","Pending")))</f>
        <v>Complete</v>
      </c>
      <c r="K108" s="46">
        <f t="shared" si="1"/>
        <v>0</v>
      </c>
    </row>
    <row r="109" spans="1:11" x14ac:dyDescent="0.35">
      <c r="A109" s="45" t="s">
        <v>20</v>
      </c>
      <c r="B109" s="45" t="s">
        <v>247</v>
      </c>
      <c r="C109" s="45" t="s">
        <v>250</v>
      </c>
      <c r="D109" s="46">
        <v>12546</v>
      </c>
      <c r="E109" s="45" t="s">
        <v>254</v>
      </c>
      <c r="F109" s="45" t="s">
        <v>131</v>
      </c>
      <c r="G109" s="46" t="str">
        <f>IF(COUNTIFS(Data!$A:$A,$D109,Data!$F:$F,"C&amp;T")=0,"N/A",IF(COUNTIFS(Data!$A:$A,$D109,Data!$F:$F,"C&amp;T",Data!$L:$L,'Cluster Summary'!$D$3,Data!$I:$I,"Complete")&gt;0,"Complete",IF(COUNTIFS(Data!$A:$A,$D109,Data!$F:$F,"C&amp;T",Data!$L:$L,'Cluster Summary'!$D$3)&gt;0,"Incomplete","Pending")))</f>
        <v>Complete</v>
      </c>
      <c r="H109" s="46" t="str">
        <f>IF(COUNTIFS(Data!$A:$A,$D109,Data!$F:$F,"HTS")=0,"N/A",IF(COUNTIFS(Data!$A:$A,$D109,Data!$F:$F,"HTS",Data!$L:$L,'Cluster Summary'!$D$3,Data!$I:$I,"Complete")&gt;0,"Complete",IF(COUNTIFS(Data!$A:$A,$D109,Data!$F:$F,"HTS",Data!$L:$L,'Cluster Summary'!$D$3)&gt;0,"Incomplete","Pending")))</f>
        <v>Complete</v>
      </c>
      <c r="I109" s="46" t="str">
        <f>IF(COUNTIFS(Data!$A:$A,$D109,Data!$F:$F,"MNCH")=0,"N/A",IF(COUNTIFS(Data!$A:$A,$D109,Data!$F:$F,"MNCH",Data!$L:$L,'Cluster Summary'!$D$3,Data!$I:$I,"Complete")&gt;0,"Complete",IF(COUNTIFS(Data!$A:$A,$D109,Data!$F:$F,"MNCH",Data!$L:$L,'Cluster Summary'!$D$3)&gt;0,"Incomplete","Pending")))</f>
        <v>Complete</v>
      </c>
      <c r="J109" s="46" t="str">
        <f>IF(COUNTIFS(Data!$A:$A,$D109,Data!$F:$F,"PREP")=0,"N/A",IF(COUNTIFS(Data!$A:$A,$D109,Data!$F:$F,"PREP",Data!$L:$L,'Cluster Summary'!$D$3,Data!$I:$I,"Complete")&gt;0,"Complete",IF(COUNTIFS(Data!$A:$A,$D109,Data!$F:$F,"PREP",Data!$L:$L,'Cluster Summary'!$D$3)&gt;0,"Incomplete","Pending")))</f>
        <v>Complete</v>
      </c>
      <c r="K109" s="46">
        <f t="shared" si="1"/>
        <v>0</v>
      </c>
    </row>
    <row r="110" spans="1:11" x14ac:dyDescent="0.35">
      <c r="A110" s="45" t="s">
        <v>20</v>
      </c>
      <c r="B110" s="45" t="s">
        <v>247</v>
      </c>
      <c r="C110" s="45" t="s">
        <v>250</v>
      </c>
      <c r="D110" s="46">
        <v>12563</v>
      </c>
      <c r="E110" s="45" t="s">
        <v>255</v>
      </c>
      <c r="F110" s="45" t="s">
        <v>131</v>
      </c>
      <c r="G110" s="46" t="str">
        <f>IF(COUNTIFS(Data!$A:$A,$D110,Data!$F:$F,"C&amp;T")=0,"N/A",IF(COUNTIFS(Data!$A:$A,$D110,Data!$F:$F,"C&amp;T",Data!$L:$L,'Cluster Summary'!$D$3,Data!$I:$I,"Complete")&gt;0,"Complete",IF(COUNTIFS(Data!$A:$A,$D110,Data!$F:$F,"C&amp;T",Data!$L:$L,'Cluster Summary'!$D$3)&gt;0,"Incomplete","Pending")))</f>
        <v>Complete</v>
      </c>
      <c r="H110" s="46" t="str">
        <f>IF(COUNTIFS(Data!$A:$A,$D110,Data!$F:$F,"HTS")=0,"N/A",IF(COUNTIFS(Data!$A:$A,$D110,Data!$F:$F,"HTS",Data!$L:$L,'Cluster Summary'!$D$3,Data!$I:$I,"Complete")&gt;0,"Complete",IF(COUNTIFS(Data!$A:$A,$D110,Data!$F:$F,"HTS",Data!$L:$L,'Cluster Summary'!$D$3)&gt;0,"Incomplete","Pending")))</f>
        <v>Complete</v>
      </c>
      <c r="I110" s="46" t="str">
        <f>IF(COUNTIFS(Data!$A:$A,$D110,Data!$F:$F,"MNCH")=0,"N/A",IF(COUNTIFS(Data!$A:$A,$D110,Data!$F:$F,"MNCH",Data!$L:$L,'Cluster Summary'!$D$3,Data!$I:$I,"Complete")&gt;0,"Complete",IF(COUNTIFS(Data!$A:$A,$D110,Data!$F:$F,"MNCH",Data!$L:$L,'Cluster Summary'!$D$3)&gt;0,"Incomplete","Pending")))</f>
        <v>Complete</v>
      </c>
      <c r="J110" s="46" t="str">
        <f>IF(COUNTIFS(Data!$A:$A,$D110,Data!$F:$F,"PREP")=0,"N/A",IF(COUNTIFS(Data!$A:$A,$D110,Data!$F:$F,"PREP",Data!$L:$L,'Cluster Summary'!$D$3,Data!$I:$I,"Complete")&gt;0,"Complete",IF(COUNTIFS(Data!$A:$A,$D110,Data!$F:$F,"PREP",Data!$L:$L,'Cluster Summary'!$D$3)&gt;0,"Incomplete","Pending")))</f>
        <v>Complete</v>
      </c>
      <c r="K110" s="46">
        <f t="shared" si="1"/>
        <v>0</v>
      </c>
    </row>
    <row r="111" spans="1:11" x14ac:dyDescent="0.35">
      <c r="A111" s="45" t="s">
        <v>20</v>
      </c>
      <c r="B111" s="45" t="s">
        <v>247</v>
      </c>
      <c r="C111" s="45" t="s">
        <v>256</v>
      </c>
      <c r="D111" s="46">
        <v>12119</v>
      </c>
      <c r="E111" s="45" t="s">
        <v>257</v>
      </c>
      <c r="F111" s="45" t="s">
        <v>131</v>
      </c>
      <c r="G111" s="46" t="str">
        <f>IF(COUNTIFS(Data!$A:$A,$D111,Data!$F:$F,"C&amp;T")=0,"N/A",IF(COUNTIFS(Data!$A:$A,$D111,Data!$F:$F,"C&amp;T",Data!$L:$L,'Cluster Summary'!$D$3,Data!$I:$I,"Complete")&gt;0,"Complete",IF(COUNTIFS(Data!$A:$A,$D111,Data!$F:$F,"C&amp;T",Data!$L:$L,'Cluster Summary'!$D$3)&gt;0,"Incomplete","Pending")))</f>
        <v>Complete</v>
      </c>
      <c r="H111" s="46" t="str">
        <f>IF(COUNTIFS(Data!$A:$A,$D111,Data!$F:$F,"HTS")=0,"N/A",IF(COUNTIFS(Data!$A:$A,$D111,Data!$F:$F,"HTS",Data!$L:$L,'Cluster Summary'!$D$3,Data!$I:$I,"Complete")&gt;0,"Complete",IF(COUNTIFS(Data!$A:$A,$D111,Data!$F:$F,"HTS",Data!$L:$L,'Cluster Summary'!$D$3)&gt;0,"Incomplete","Pending")))</f>
        <v>Complete</v>
      </c>
      <c r="I111" s="46" t="str">
        <f>IF(COUNTIFS(Data!$A:$A,$D111,Data!$F:$F,"MNCH")=0,"N/A",IF(COUNTIFS(Data!$A:$A,$D111,Data!$F:$F,"MNCH",Data!$L:$L,'Cluster Summary'!$D$3,Data!$I:$I,"Complete")&gt;0,"Complete",IF(COUNTIFS(Data!$A:$A,$D111,Data!$F:$F,"MNCH",Data!$L:$L,'Cluster Summary'!$D$3)&gt;0,"Incomplete","Pending")))</f>
        <v>Complete</v>
      </c>
      <c r="J111" s="46" t="str">
        <f>IF(COUNTIFS(Data!$A:$A,$D111,Data!$F:$F,"PREP")=0,"N/A",IF(COUNTIFS(Data!$A:$A,$D111,Data!$F:$F,"PREP",Data!$L:$L,'Cluster Summary'!$D$3,Data!$I:$I,"Complete")&gt;0,"Complete",IF(COUNTIFS(Data!$A:$A,$D111,Data!$F:$F,"PREP",Data!$L:$L,'Cluster Summary'!$D$3)&gt;0,"Incomplete","Pending")))</f>
        <v>Complete</v>
      </c>
      <c r="K111" s="46">
        <f t="shared" si="1"/>
        <v>0</v>
      </c>
    </row>
    <row r="112" spans="1:11" x14ac:dyDescent="0.35">
      <c r="A112" s="45" t="s">
        <v>20</v>
      </c>
      <c r="B112" s="45" t="s">
        <v>247</v>
      </c>
      <c r="C112" s="45" t="s">
        <v>256</v>
      </c>
      <c r="D112" s="46">
        <v>12132</v>
      </c>
      <c r="E112" s="45" t="s">
        <v>258</v>
      </c>
      <c r="F112" s="45" t="s">
        <v>131</v>
      </c>
      <c r="G112" s="46" t="str">
        <f>IF(COUNTIFS(Data!$A:$A,$D112,Data!$F:$F,"C&amp;T")=0,"N/A",IF(COUNTIFS(Data!$A:$A,$D112,Data!$F:$F,"C&amp;T",Data!$L:$L,'Cluster Summary'!$D$3,Data!$I:$I,"Complete")&gt;0,"Complete",IF(COUNTIFS(Data!$A:$A,$D112,Data!$F:$F,"C&amp;T",Data!$L:$L,'Cluster Summary'!$D$3)&gt;0,"Incomplete","Pending")))</f>
        <v>Complete</v>
      </c>
      <c r="H112" s="46" t="str">
        <f>IF(COUNTIFS(Data!$A:$A,$D112,Data!$F:$F,"HTS")=0,"N/A",IF(COUNTIFS(Data!$A:$A,$D112,Data!$F:$F,"HTS",Data!$L:$L,'Cluster Summary'!$D$3,Data!$I:$I,"Complete")&gt;0,"Complete",IF(COUNTIFS(Data!$A:$A,$D112,Data!$F:$F,"HTS",Data!$L:$L,'Cluster Summary'!$D$3)&gt;0,"Incomplete","Pending")))</f>
        <v>Complete</v>
      </c>
      <c r="I112" s="46" t="str">
        <f>IF(COUNTIFS(Data!$A:$A,$D112,Data!$F:$F,"MNCH")=0,"N/A",IF(COUNTIFS(Data!$A:$A,$D112,Data!$F:$F,"MNCH",Data!$L:$L,'Cluster Summary'!$D$3,Data!$I:$I,"Complete")&gt;0,"Complete",IF(COUNTIFS(Data!$A:$A,$D112,Data!$F:$F,"MNCH",Data!$L:$L,'Cluster Summary'!$D$3)&gt;0,"Incomplete","Pending")))</f>
        <v>Complete</v>
      </c>
      <c r="J112" s="46" t="str">
        <f>IF(COUNTIFS(Data!$A:$A,$D112,Data!$F:$F,"PREP")=0,"N/A",IF(COUNTIFS(Data!$A:$A,$D112,Data!$F:$F,"PREP",Data!$L:$L,'Cluster Summary'!$D$3,Data!$I:$I,"Complete")&gt;0,"Complete",IF(COUNTIFS(Data!$A:$A,$D112,Data!$F:$F,"PREP",Data!$L:$L,'Cluster Summary'!$D$3)&gt;0,"Incomplete","Pending")))</f>
        <v>Complete</v>
      </c>
      <c r="K112" s="46">
        <f t="shared" si="1"/>
        <v>0</v>
      </c>
    </row>
    <row r="113" spans="1:11" x14ac:dyDescent="0.35">
      <c r="A113" s="45" t="s">
        <v>20</v>
      </c>
      <c r="B113" s="45" t="s">
        <v>247</v>
      </c>
      <c r="C113" s="45" t="s">
        <v>259</v>
      </c>
      <c r="D113" s="46">
        <v>11970</v>
      </c>
      <c r="E113" s="45" t="s">
        <v>260</v>
      </c>
      <c r="F113" s="45" t="s">
        <v>149</v>
      </c>
      <c r="G113" s="46" t="str">
        <f>IF(COUNTIFS(Data!$A:$A,$D113,Data!$F:$F,"C&amp;T")=0,"N/A",IF(COUNTIFS(Data!$A:$A,$D113,Data!$F:$F,"C&amp;T",Data!$L:$L,'Cluster Summary'!$D$3,Data!$I:$I,"Complete")&gt;0,"Complete",IF(COUNTIFS(Data!$A:$A,$D113,Data!$F:$F,"C&amp;T",Data!$L:$L,'Cluster Summary'!$D$3)&gt;0,"Incomplete","Pending")))</f>
        <v>Complete</v>
      </c>
      <c r="H113" s="46" t="str">
        <f>IF(COUNTIFS(Data!$A:$A,$D113,Data!$F:$F,"HTS")=0,"N/A",IF(COUNTIFS(Data!$A:$A,$D113,Data!$F:$F,"HTS",Data!$L:$L,'Cluster Summary'!$D$3,Data!$I:$I,"Complete")&gt;0,"Complete",IF(COUNTIFS(Data!$A:$A,$D113,Data!$F:$F,"HTS",Data!$L:$L,'Cluster Summary'!$D$3)&gt;0,"Incomplete","Pending")))</f>
        <v>Complete</v>
      </c>
      <c r="I113" s="46" t="str">
        <f>IF(COUNTIFS(Data!$A:$A,$D113,Data!$F:$F,"MNCH")=0,"N/A",IF(COUNTIFS(Data!$A:$A,$D113,Data!$F:$F,"MNCH",Data!$L:$L,'Cluster Summary'!$D$3,Data!$I:$I,"Complete")&gt;0,"Complete",IF(COUNTIFS(Data!$A:$A,$D113,Data!$F:$F,"MNCH",Data!$L:$L,'Cluster Summary'!$D$3)&gt;0,"Incomplete","Pending")))</f>
        <v>Complete</v>
      </c>
      <c r="J113" s="46" t="str">
        <f>IF(COUNTIFS(Data!$A:$A,$D113,Data!$F:$F,"PREP")=0,"N/A",IF(COUNTIFS(Data!$A:$A,$D113,Data!$F:$F,"PREP",Data!$L:$L,'Cluster Summary'!$D$3,Data!$I:$I,"Complete")&gt;0,"Complete",IF(COUNTIFS(Data!$A:$A,$D113,Data!$F:$F,"PREP",Data!$L:$L,'Cluster Summary'!$D$3)&gt;0,"Incomplete","Pending")))</f>
        <v>Incomplete</v>
      </c>
      <c r="K113" s="46">
        <f t="shared" si="1"/>
        <v>0</v>
      </c>
    </row>
    <row r="114" spans="1:11" x14ac:dyDescent="0.35">
      <c r="A114" s="45" t="s">
        <v>20</v>
      </c>
      <c r="B114" s="45" t="s">
        <v>247</v>
      </c>
      <c r="C114" s="45" t="s">
        <v>261</v>
      </c>
      <c r="D114" s="46">
        <v>12589</v>
      </c>
      <c r="E114" s="45" t="s">
        <v>262</v>
      </c>
      <c r="F114" s="45" t="s">
        <v>131</v>
      </c>
      <c r="G114" s="46" t="str">
        <f>IF(COUNTIFS(Data!$A:$A,$D114,Data!$F:$F,"C&amp;T")=0,"N/A",IF(COUNTIFS(Data!$A:$A,$D114,Data!$F:$F,"C&amp;T",Data!$L:$L,'Cluster Summary'!$D$3,Data!$I:$I,"Complete")&gt;0,"Complete",IF(COUNTIFS(Data!$A:$A,$D114,Data!$F:$F,"C&amp;T",Data!$L:$L,'Cluster Summary'!$D$3)&gt;0,"Incomplete","Pending")))</f>
        <v>Complete</v>
      </c>
      <c r="H114" s="46" t="str">
        <f>IF(COUNTIFS(Data!$A:$A,$D114,Data!$F:$F,"HTS")=0,"N/A",IF(COUNTIFS(Data!$A:$A,$D114,Data!$F:$F,"HTS",Data!$L:$L,'Cluster Summary'!$D$3,Data!$I:$I,"Complete")&gt;0,"Complete",IF(COUNTIFS(Data!$A:$A,$D114,Data!$F:$F,"HTS",Data!$L:$L,'Cluster Summary'!$D$3)&gt;0,"Incomplete","Pending")))</f>
        <v>Complete</v>
      </c>
      <c r="I114" s="46" t="str">
        <f>IF(COUNTIFS(Data!$A:$A,$D114,Data!$F:$F,"MNCH")=0,"N/A",IF(COUNTIFS(Data!$A:$A,$D114,Data!$F:$F,"MNCH",Data!$L:$L,'Cluster Summary'!$D$3,Data!$I:$I,"Complete")&gt;0,"Complete",IF(COUNTIFS(Data!$A:$A,$D114,Data!$F:$F,"MNCH",Data!$L:$L,'Cluster Summary'!$D$3)&gt;0,"Incomplete","Pending")))</f>
        <v>Incomplete</v>
      </c>
      <c r="J114" s="46" t="str">
        <f>IF(COUNTIFS(Data!$A:$A,$D114,Data!$F:$F,"PREP")=0,"N/A",IF(COUNTIFS(Data!$A:$A,$D114,Data!$F:$F,"PREP",Data!$L:$L,'Cluster Summary'!$D$3,Data!$I:$I,"Complete")&gt;0,"Complete",IF(COUNTIFS(Data!$A:$A,$D114,Data!$F:$F,"PREP",Data!$L:$L,'Cluster Summary'!$D$3)&gt;0,"Incomplete","Pending")))</f>
        <v>Pending</v>
      </c>
      <c r="K114" s="46">
        <f t="shared" si="1"/>
        <v>1</v>
      </c>
    </row>
    <row r="115" spans="1:11" x14ac:dyDescent="0.35">
      <c r="A115" s="45" t="s">
        <v>20</v>
      </c>
      <c r="B115" s="45" t="s">
        <v>247</v>
      </c>
      <c r="C115" s="45" t="s">
        <v>263</v>
      </c>
      <c r="D115" s="46">
        <v>11942</v>
      </c>
      <c r="E115" s="45" t="s">
        <v>264</v>
      </c>
      <c r="F115" s="45" t="s">
        <v>131</v>
      </c>
      <c r="G115" s="46" t="str">
        <f>IF(COUNTIFS(Data!$A:$A,$D115,Data!$F:$F,"C&amp;T")=0,"N/A",IF(COUNTIFS(Data!$A:$A,$D115,Data!$F:$F,"C&amp;T",Data!$L:$L,'Cluster Summary'!$D$3,Data!$I:$I,"Complete")&gt;0,"Complete",IF(COUNTIFS(Data!$A:$A,$D115,Data!$F:$F,"C&amp;T",Data!$L:$L,'Cluster Summary'!$D$3)&gt;0,"Incomplete","Pending")))</f>
        <v>Complete</v>
      </c>
      <c r="H115" s="46" t="str">
        <f>IF(COUNTIFS(Data!$A:$A,$D115,Data!$F:$F,"HTS")=0,"N/A",IF(COUNTIFS(Data!$A:$A,$D115,Data!$F:$F,"HTS",Data!$L:$L,'Cluster Summary'!$D$3,Data!$I:$I,"Complete")&gt;0,"Complete",IF(COUNTIFS(Data!$A:$A,$D115,Data!$F:$F,"HTS",Data!$L:$L,'Cluster Summary'!$D$3)&gt;0,"Incomplete","Pending")))</f>
        <v>Pending</v>
      </c>
      <c r="I115" s="46" t="str">
        <f>IF(COUNTIFS(Data!$A:$A,$D115,Data!$F:$F,"MNCH")=0,"N/A",IF(COUNTIFS(Data!$A:$A,$D115,Data!$F:$F,"MNCH",Data!$L:$L,'Cluster Summary'!$D$3,Data!$I:$I,"Complete")&gt;0,"Complete",IF(COUNTIFS(Data!$A:$A,$D115,Data!$F:$F,"MNCH",Data!$L:$L,'Cluster Summary'!$D$3)&gt;0,"Incomplete","Pending")))</f>
        <v>Pending</v>
      </c>
      <c r="J115" s="46" t="str">
        <f>IF(COUNTIFS(Data!$A:$A,$D115,Data!$F:$F,"PREP")=0,"N/A",IF(COUNTIFS(Data!$A:$A,$D115,Data!$F:$F,"PREP",Data!$L:$L,'Cluster Summary'!$D$3,Data!$I:$I,"Complete")&gt;0,"Complete",IF(COUNTIFS(Data!$A:$A,$D115,Data!$F:$F,"PREP",Data!$L:$L,'Cluster Summary'!$D$3)&gt;0,"Incomplete","Pending")))</f>
        <v>Pending</v>
      </c>
      <c r="K115" s="46">
        <f t="shared" si="1"/>
        <v>3</v>
      </c>
    </row>
    <row r="116" spans="1:11" x14ac:dyDescent="0.35">
      <c r="A116" s="45" t="s">
        <v>20</v>
      </c>
      <c r="B116" s="45" t="s">
        <v>247</v>
      </c>
      <c r="C116" s="45" t="s">
        <v>263</v>
      </c>
      <c r="D116" s="46">
        <v>12272</v>
      </c>
      <c r="E116" s="45" t="s">
        <v>265</v>
      </c>
      <c r="F116" s="45" t="s">
        <v>131</v>
      </c>
      <c r="G116" s="46" t="str">
        <f>IF(COUNTIFS(Data!$A:$A,$D116,Data!$F:$F,"C&amp;T")=0,"N/A",IF(COUNTIFS(Data!$A:$A,$D116,Data!$F:$F,"C&amp;T",Data!$L:$L,'Cluster Summary'!$D$3,Data!$I:$I,"Complete")&gt;0,"Complete",IF(COUNTIFS(Data!$A:$A,$D116,Data!$F:$F,"C&amp;T",Data!$L:$L,'Cluster Summary'!$D$3)&gt;0,"Incomplete","Pending")))</f>
        <v>Complete</v>
      </c>
      <c r="H116" s="46" t="str">
        <f>IF(COUNTIFS(Data!$A:$A,$D116,Data!$F:$F,"HTS")=0,"N/A",IF(COUNTIFS(Data!$A:$A,$D116,Data!$F:$F,"HTS",Data!$L:$L,'Cluster Summary'!$D$3,Data!$I:$I,"Complete")&gt;0,"Complete",IF(COUNTIFS(Data!$A:$A,$D116,Data!$F:$F,"HTS",Data!$L:$L,'Cluster Summary'!$D$3)&gt;0,"Incomplete","Pending")))</f>
        <v>Complete</v>
      </c>
      <c r="I116" s="46" t="str">
        <f>IF(COUNTIFS(Data!$A:$A,$D116,Data!$F:$F,"MNCH")=0,"N/A",IF(COUNTIFS(Data!$A:$A,$D116,Data!$F:$F,"MNCH",Data!$L:$L,'Cluster Summary'!$D$3,Data!$I:$I,"Complete")&gt;0,"Complete",IF(COUNTIFS(Data!$A:$A,$D116,Data!$F:$F,"MNCH",Data!$L:$L,'Cluster Summary'!$D$3)&gt;0,"Incomplete","Pending")))</f>
        <v>Pending</v>
      </c>
      <c r="J116" s="46" t="str">
        <f>IF(COUNTIFS(Data!$A:$A,$D116,Data!$F:$F,"PREP")=0,"N/A",IF(COUNTIFS(Data!$A:$A,$D116,Data!$F:$F,"PREP",Data!$L:$L,'Cluster Summary'!$D$3,Data!$I:$I,"Complete")&gt;0,"Complete",IF(COUNTIFS(Data!$A:$A,$D116,Data!$F:$F,"PREP",Data!$L:$L,'Cluster Summary'!$D$3)&gt;0,"Incomplete","Pending")))</f>
        <v>Pending</v>
      </c>
      <c r="K116" s="46">
        <f t="shared" si="1"/>
        <v>2</v>
      </c>
    </row>
    <row r="117" spans="1:11" x14ac:dyDescent="0.35">
      <c r="A117" s="45" t="s">
        <v>20</v>
      </c>
      <c r="B117" s="45" t="s">
        <v>247</v>
      </c>
      <c r="C117" s="45" t="s">
        <v>263</v>
      </c>
      <c r="D117" s="46">
        <v>12445</v>
      </c>
      <c r="E117" s="45" t="s">
        <v>266</v>
      </c>
      <c r="F117" s="45" t="s">
        <v>131</v>
      </c>
      <c r="G117" s="46" t="str">
        <f>IF(COUNTIFS(Data!$A:$A,$D117,Data!$F:$F,"C&amp;T")=0,"N/A",IF(COUNTIFS(Data!$A:$A,$D117,Data!$F:$F,"C&amp;T",Data!$L:$L,'Cluster Summary'!$D$3,Data!$I:$I,"Complete")&gt;0,"Complete",IF(COUNTIFS(Data!$A:$A,$D117,Data!$F:$F,"C&amp;T",Data!$L:$L,'Cluster Summary'!$D$3)&gt;0,"Incomplete","Pending")))</f>
        <v>Complete</v>
      </c>
      <c r="H117" s="46" t="str">
        <f>IF(COUNTIFS(Data!$A:$A,$D117,Data!$F:$F,"HTS")=0,"N/A",IF(COUNTIFS(Data!$A:$A,$D117,Data!$F:$F,"HTS",Data!$L:$L,'Cluster Summary'!$D$3,Data!$I:$I,"Complete")&gt;0,"Complete",IF(COUNTIFS(Data!$A:$A,$D117,Data!$F:$F,"HTS",Data!$L:$L,'Cluster Summary'!$D$3)&gt;0,"Incomplete","Pending")))</f>
        <v>Complete</v>
      </c>
      <c r="I117" s="46" t="str">
        <f>IF(COUNTIFS(Data!$A:$A,$D117,Data!$F:$F,"MNCH")=0,"N/A",IF(COUNTIFS(Data!$A:$A,$D117,Data!$F:$F,"MNCH",Data!$L:$L,'Cluster Summary'!$D$3,Data!$I:$I,"Complete")&gt;0,"Complete",IF(COUNTIFS(Data!$A:$A,$D117,Data!$F:$F,"MNCH",Data!$L:$L,'Cluster Summary'!$D$3)&gt;0,"Incomplete","Pending")))</f>
        <v>Complete</v>
      </c>
      <c r="J117" s="46" t="str">
        <f>IF(COUNTIFS(Data!$A:$A,$D117,Data!$F:$F,"PREP")=0,"N/A",IF(COUNTIFS(Data!$A:$A,$D117,Data!$F:$F,"PREP",Data!$L:$L,'Cluster Summary'!$D$3,Data!$I:$I,"Complete")&gt;0,"Complete",IF(COUNTIFS(Data!$A:$A,$D117,Data!$F:$F,"PREP",Data!$L:$L,'Cluster Summary'!$D$3)&gt;0,"Incomplete","Pending")))</f>
        <v>Complete</v>
      </c>
      <c r="K117" s="46">
        <f t="shared" si="1"/>
        <v>0</v>
      </c>
    </row>
    <row r="118" spans="1:11" x14ac:dyDescent="0.35">
      <c r="A118" s="45" t="s">
        <v>20</v>
      </c>
      <c r="B118" s="45" t="s">
        <v>247</v>
      </c>
      <c r="C118" s="45" t="s">
        <v>263</v>
      </c>
      <c r="D118" s="46">
        <v>12561</v>
      </c>
      <c r="E118" s="45" t="s">
        <v>267</v>
      </c>
      <c r="F118" s="45" t="s">
        <v>131</v>
      </c>
      <c r="G118" s="46" t="str">
        <f>IF(COUNTIFS(Data!$A:$A,$D118,Data!$F:$F,"C&amp;T")=0,"N/A",IF(COUNTIFS(Data!$A:$A,$D118,Data!$F:$F,"C&amp;T",Data!$L:$L,'Cluster Summary'!$D$3,Data!$I:$I,"Complete")&gt;0,"Complete",IF(COUNTIFS(Data!$A:$A,$D118,Data!$F:$F,"C&amp;T",Data!$L:$L,'Cluster Summary'!$D$3)&gt;0,"Incomplete","Pending")))</f>
        <v>Complete</v>
      </c>
      <c r="H118" s="46" t="str">
        <f>IF(COUNTIFS(Data!$A:$A,$D118,Data!$F:$F,"HTS")=0,"N/A",IF(COUNTIFS(Data!$A:$A,$D118,Data!$F:$F,"HTS",Data!$L:$L,'Cluster Summary'!$D$3,Data!$I:$I,"Complete")&gt;0,"Complete",IF(COUNTIFS(Data!$A:$A,$D118,Data!$F:$F,"HTS",Data!$L:$L,'Cluster Summary'!$D$3)&gt;0,"Incomplete","Pending")))</f>
        <v>Complete</v>
      </c>
      <c r="I118" s="46" t="str">
        <f>IF(COUNTIFS(Data!$A:$A,$D118,Data!$F:$F,"MNCH")=0,"N/A",IF(COUNTIFS(Data!$A:$A,$D118,Data!$F:$F,"MNCH",Data!$L:$L,'Cluster Summary'!$D$3,Data!$I:$I,"Complete")&gt;0,"Complete",IF(COUNTIFS(Data!$A:$A,$D118,Data!$F:$F,"MNCH",Data!$L:$L,'Cluster Summary'!$D$3)&gt;0,"Incomplete","Pending")))</f>
        <v>Complete</v>
      </c>
      <c r="J118" s="46" t="str">
        <f>IF(COUNTIFS(Data!$A:$A,$D118,Data!$F:$F,"PREP")=0,"N/A",IF(COUNTIFS(Data!$A:$A,$D118,Data!$F:$F,"PREP",Data!$L:$L,'Cluster Summary'!$D$3,Data!$I:$I,"Complete")&gt;0,"Complete",IF(COUNTIFS(Data!$A:$A,$D118,Data!$F:$F,"PREP",Data!$L:$L,'Cluster Summary'!$D$3)&gt;0,"Incomplete","Pending")))</f>
        <v>N/A</v>
      </c>
      <c r="K118" s="46">
        <f t="shared" si="1"/>
        <v>0</v>
      </c>
    </row>
    <row r="119" spans="1:11" x14ac:dyDescent="0.35">
      <c r="A119" s="45" t="s">
        <v>20</v>
      </c>
      <c r="B119" s="45" t="s">
        <v>247</v>
      </c>
      <c r="C119" s="45" t="s">
        <v>268</v>
      </c>
      <c r="D119" s="46">
        <v>12769</v>
      </c>
      <c r="E119" s="45" t="s">
        <v>269</v>
      </c>
      <c r="F119" s="45" t="s">
        <v>149</v>
      </c>
      <c r="G119" s="46" t="str">
        <f>IF(COUNTIFS(Data!$A:$A,$D119,Data!$F:$F,"C&amp;T")=0,"N/A",IF(COUNTIFS(Data!$A:$A,$D119,Data!$F:$F,"C&amp;T",Data!$L:$L,'Cluster Summary'!$D$3,Data!$I:$I,"Complete")&gt;0,"Complete",IF(COUNTIFS(Data!$A:$A,$D119,Data!$F:$F,"C&amp;T",Data!$L:$L,'Cluster Summary'!$D$3)&gt;0,"Incomplete","Pending")))</f>
        <v>Complete</v>
      </c>
      <c r="H119" s="46" t="str">
        <f>IF(COUNTIFS(Data!$A:$A,$D119,Data!$F:$F,"HTS")=0,"N/A",IF(COUNTIFS(Data!$A:$A,$D119,Data!$F:$F,"HTS",Data!$L:$L,'Cluster Summary'!$D$3,Data!$I:$I,"Complete")&gt;0,"Complete",IF(COUNTIFS(Data!$A:$A,$D119,Data!$F:$F,"HTS",Data!$L:$L,'Cluster Summary'!$D$3)&gt;0,"Incomplete","Pending")))</f>
        <v>Complete</v>
      </c>
      <c r="I119" s="46" t="str">
        <f>IF(COUNTIFS(Data!$A:$A,$D119,Data!$F:$F,"MNCH")=0,"N/A",IF(COUNTIFS(Data!$A:$A,$D119,Data!$F:$F,"MNCH",Data!$L:$L,'Cluster Summary'!$D$3,Data!$I:$I,"Complete")&gt;0,"Complete",IF(COUNTIFS(Data!$A:$A,$D119,Data!$F:$F,"MNCH",Data!$L:$L,'Cluster Summary'!$D$3)&gt;0,"Incomplete","Pending")))</f>
        <v>Complete</v>
      </c>
      <c r="J119" s="46" t="str">
        <f>IF(COUNTIFS(Data!$A:$A,$D119,Data!$F:$F,"PREP")=0,"N/A",IF(COUNTIFS(Data!$A:$A,$D119,Data!$F:$F,"PREP",Data!$L:$L,'Cluster Summary'!$D$3,Data!$I:$I,"Complete")&gt;0,"Complete",IF(COUNTIFS(Data!$A:$A,$D119,Data!$F:$F,"PREP",Data!$L:$L,'Cluster Summary'!$D$3)&gt;0,"Incomplete","Pending")))</f>
        <v>Complete</v>
      </c>
      <c r="K119" s="46">
        <f t="shared" si="1"/>
        <v>0</v>
      </c>
    </row>
    <row r="120" spans="1:11" x14ac:dyDescent="0.35">
      <c r="A120" s="45" t="s">
        <v>20</v>
      </c>
      <c r="B120" s="45" t="s">
        <v>247</v>
      </c>
      <c r="C120" s="45" t="s">
        <v>268</v>
      </c>
      <c r="D120" s="46">
        <v>12813</v>
      </c>
      <c r="E120" s="64" t="s">
        <v>270</v>
      </c>
      <c r="F120" s="45" t="s">
        <v>149</v>
      </c>
      <c r="G120" s="46" t="str">
        <f>IF(COUNTIFS(Data!$A:$A,$D120,Data!$F:$F,"C&amp;T")=0,"N/A",IF(COUNTIFS(Data!$A:$A,$D120,Data!$F:$F,"C&amp;T",Data!$L:$L,'Cluster Summary'!$D$3,Data!$I:$I,"Complete")&gt;0,"Complete",IF(COUNTIFS(Data!$A:$A,$D120,Data!$F:$F,"C&amp;T",Data!$L:$L,'Cluster Summary'!$D$3)&gt;0,"Incomplete","Pending")))</f>
        <v>Complete</v>
      </c>
      <c r="H120" s="46" t="str">
        <f>IF(COUNTIFS(Data!$A:$A,$D120,Data!$F:$F,"HTS")=0,"N/A",IF(COUNTIFS(Data!$A:$A,$D120,Data!$F:$F,"HTS",Data!$L:$L,'Cluster Summary'!$D$3,Data!$I:$I,"Complete")&gt;0,"Complete",IF(COUNTIFS(Data!$A:$A,$D120,Data!$F:$F,"HTS",Data!$L:$L,'Cluster Summary'!$D$3)&gt;0,"Incomplete","Pending")))</f>
        <v>Complete</v>
      </c>
      <c r="I120" s="46" t="str">
        <f>IF(COUNTIFS(Data!$A:$A,$D120,Data!$F:$F,"MNCH")=0,"N/A",IF(COUNTIFS(Data!$A:$A,$D120,Data!$F:$F,"MNCH",Data!$L:$L,'Cluster Summary'!$D$3,Data!$I:$I,"Complete")&gt;0,"Complete",IF(COUNTIFS(Data!$A:$A,$D120,Data!$F:$F,"MNCH",Data!$L:$L,'Cluster Summary'!$D$3)&gt;0,"Incomplete","Pending")))</f>
        <v>Incomplete</v>
      </c>
      <c r="J120" s="46" t="str">
        <f>IF(COUNTIFS(Data!$A:$A,$D120,Data!$F:$F,"PREP")=0,"N/A",IF(COUNTIFS(Data!$A:$A,$D120,Data!$F:$F,"PREP",Data!$L:$L,'Cluster Summary'!$D$3,Data!$I:$I,"Complete")&gt;0,"Complete",IF(COUNTIFS(Data!$A:$A,$D120,Data!$F:$F,"PREP",Data!$L:$L,'Cluster Summary'!$D$3)&gt;0,"Incomplete","Pending")))</f>
        <v>Complete</v>
      </c>
      <c r="K120" s="46">
        <f t="shared" si="1"/>
        <v>0</v>
      </c>
    </row>
    <row r="121" spans="1:11" x14ac:dyDescent="0.35">
      <c r="A121" s="45" t="s">
        <v>20</v>
      </c>
      <c r="B121" s="45" t="s">
        <v>247</v>
      </c>
      <c r="C121" s="45" t="s">
        <v>271</v>
      </c>
      <c r="D121" s="46">
        <v>18080</v>
      </c>
      <c r="E121" s="45" t="s">
        <v>272</v>
      </c>
      <c r="F121" s="45" t="s">
        <v>131</v>
      </c>
      <c r="G121" s="46" t="str">
        <f>IF(COUNTIFS(Data!$A:$A,$D121,Data!$F:$F,"C&amp;T")=0,"N/A",IF(COUNTIFS(Data!$A:$A,$D121,Data!$F:$F,"C&amp;T",Data!$L:$L,'Cluster Summary'!$D$3,Data!$I:$I,"Complete")&gt;0,"Complete",IF(COUNTIFS(Data!$A:$A,$D121,Data!$F:$F,"C&amp;T",Data!$L:$L,'Cluster Summary'!$D$3)&gt;0,"Incomplete","Pending")))</f>
        <v>Complete</v>
      </c>
      <c r="H121" s="46" t="str">
        <f>IF(COUNTIFS(Data!$A:$A,$D121,Data!$F:$F,"HTS")=0,"N/A",IF(COUNTIFS(Data!$A:$A,$D121,Data!$F:$F,"HTS",Data!$L:$L,'Cluster Summary'!$D$3,Data!$I:$I,"Complete")&gt;0,"Complete",IF(COUNTIFS(Data!$A:$A,$D121,Data!$F:$F,"HTS",Data!$L:$L,'Cluster Summary'!$D$3)&gt;0,"Incomplete","Pending")))</f>
        <v>Complete</v>
      </c>
      <c r="I121" s="46" t="str">
        <f>IF(COUNTIFS(Data!$A:$A,$D121,Data!$F:$F,"MNCH")=0,"N/A",IF(COUNTIFS(Data!$A:$A,$D121,Data!$F:$F,"MNCH",Data!$L:$L,'Cluster Summary'!$D$3,Data!$I:$I,"Complete")&gt;0,"Complete",IF(COUNTIFS(Data!$A:$A,$D121,Data!$F:$F,"MNCH",Data!$L:$L,'Cluster Summary'!$D$3)&gt;0,"Incomplete","Pending")))</f>
        <v>Complete</v>
      </c>
      <c r="J121" s="46" t="str">
        <f>IF(COUNTIFS(Data!$A:$A,$D121,Data!$F:$F,"PREP")=0,"N/A",IF(COUNTIFS(Data!$A:$A,$D121,Data!$F:$F,"PREP",Data!$L:$L,'Cluster Summary'!$D$3,Data!$I:$I,"Complete")&gt;0,"Complete",IF(COUNTIFS(Data!$A:$A,$D121,Data!$F:$F,"PREP",Data!$L:$L,'Cluster Summary'!$D$3)&gt;0,"Incomplete","Pending")))</f>
        <v>Complete</v>
      </c>
      <c r="K121" s="46">
        <f t="shared" si="1"/>
        <v>0</v>
      </c>
    </row>
    <row r="122" spans="1:11" x14ac:dyDescent="0.35">
      <c r="A122" s="45" t="s">
        <v>20</v>
      </c>
      <c r="B122" s="45" t="s">
        <v>247</v>
      </c>
      <c r="C122" s="45" t="s">
        <v>271</v>
      </c>
      <c r="D122" s="46">
        <v>12222</v>
      </c>
      <c r="E122" s="45" t="s">
        <v>273</v>
      </c>
      <c r="F122" s="45" t="s">
        <v>131</v>
      </c>
      <c r="G122" s="46" t="str">
        <f>IF(COUNTIFS(Data!$A:$A,$D122,Data!$F:$F,"C&amp;T")=0,"N/A",IF(COUNTIFS(Data!$A:$A,$D122,Data!$F:$F,"C&amp;T",Data!$L:$L,'Cluster Summary'!$D$3,Data!$I:$I,"Complete")&gt;0,"Complete",IF(COUNTIFS(Data!$A:$A,$D122,Data!$F:$F,"C&amp;T",Data!$L:$L,'Cluster Summary'!$D$3)&gt;0,"Incomplete","Pending")))</f>
        <v>Complete</v>
      </c>
      <c r="H122" s="46" t="str">
        <f>IF(COUNTIFS(Data!$A:$A,$D122,Data!$F:$F,"HTS")=0,"N/A",IF(COUNTIFS(Data!$A:$A,$D122,Data!$F:$F,"HTS",Data!$L:$L,'Cluster Summary'!$D$3,Data!$I:$I,"Complete")&gt;0,"Complete",IF(COUNTIFS(Data!$A:$A,$D122,Data!$F:$F,"HTS",Data!$L:$L,'Cluster Summary'!$D$3)&gt;0,"Incomplete","Pending")))</f>
        <v>Complete</v>
      </c>
      <c r="I122" s="46" t="str">
        <f>IF(COUNTIFS(Data!$A:$A,$D122,Data!$F:$F,"MNCH")=0,"N/A",IF(COUNTIFS(Data!$A:$A,$D122,Data!$F:$F,"MNCH",Data!$L:$L,'Cluster Summary'!$D$3,Data!$I:$I,"Complete")&gt;0,"Complete",IF(COUNTIFS(Data!$A:$A,$D122,Data!$F:$F,"MNCH",Data!$L:$L,'Cluster Summary'!$D$3)&gt;0,"Incomplete","Pending")))</f>
        <v>Complete</v>
      </c>
      <c r="J122" s="46" t="str">
        <f>IF(COUNTIFS(Data!$A:$A,$D122,Data!$F:$F,"PREP")=0,"N/A",IF(COUNTIFS(Data!$A:$A,$D122,Data!$F:$F,"PREP",Data!$L:$L,'Cluster Summary'!$D$3,Data!$I:$I,"Complete")&gt;0,"Complete",IF(COUNTIFS(Data!$A:$A,$D122,Data!$F:$F,"PREP",Data!$L:$L,'Cluster Summary'!$D$3)&gt;0,"Incomplete","Pending")))</f>
        <v>Complete</v>
      </c>
      <c r="K122" s="46">
        <f t="shared" si="1"/>
        <v>0</v>
      </c>
    </row>
    <row r="123" spans="1:11" x14ac:dyDescent="0.35">
      <c r="A123" s="45" t="s">
        <v>20</v>
      </c>
      <c r="B123" s="45" t="s">
        <v>247</v>
      </c>
      <c r="C123" s="45" t="s">
        <v>271</v>
      </c>
      <c r="D123" s="46">
        <v>12560</v>
      </c>
      <c r="E123" s="45" t="s">
        <v>274</v>
      </c>
      <c r="F123" s="45" t="s">
        <v>131</v>
      </c>
      <c r="G123" s="46" t="str">
        <f>IF(COUNTIFS(Data!$A:$A,$D123,Data!$F:$F,"C&amp;T")=0,"N/A",IF(COUNTIFS(Data!$A:$A,$D123,Data!$F:$F,"C&amp;T",Data!$L:$L,'Cluster Summary'!$D$3,Data!$I:$I,"Complete")&gt;0,"Complete",IF(COUNTIFS(Data!$A:$A,$D123,Data!$F:$F,"C&amp;T",Data!$L:$L,'Cluster Summary'!$D$3)&gt;0,"Incomplete","Pending")))</f>
        <v>Complete</v>
      </c>
      <c r="H123" s="46" t="str">
        <f>IF(COUNTIFS(Data!$A:$A,$D123,Data!$F:$F,"HTS")=0,"N/A",IF(COUNTIFS(Data!$A:$A,$D123,Data!$F:$F,"HTS",Data!$L:$L,'Cluster Summary'!$D$3,Data!$I:$I,"Complete")&gt;0,"Complete",IF(COUNTIFS(Data!$A:$A,$D123,Data!$F:$F,"HTS",Data!$L:$L,'Cluster Summary'!$D$3)&gt;0,"Incomplete","Pending")))</f>
        <v>Complete</v>
      </c>
      <c r="I123" s="46" t="str">
        <f>IF(COUNTIFS(Data!$A:$A,$D123,Data!$F:$F,"MNCH")=0,"N/A",IF(COUNTIFS(Data!$A:$A,$D123,Data!$F:$F,"MNCH",Data!$L:$L,'Cluster Summary'!$D$3,Data!$I:$I,"Complete")&gt;0,"Complete",IF(COUNTIFS(Data!$A:$A,$D123,Data!$F:$F,"MNCH",Data!$L:$L,'Cluster Summary'!$D$3)&gt;0,"Incomplete","Pending")))</f>
        <v>Incomplete</v>
      </c>
      <c r="J123" s="46" t="str">
        <f>IF(COUNTIFS(Data!$A:$A,$D123,Data!$F:$F,"PREP")=0,"N/A",IF(COUNTIFS(Data!$A:$A,$D123,Data!$F:$F,"PREP",Data!$L:$L,'Cluster Summary'!$D$3,Data!$I:$I,"Complete")&gt;0,"Complete",IF(COUNTIFS(Data!$A:$A,$D123,Data!$F:$F,"PREP",Data!$L:$L,'Cluster Summary'!$D$3)&gt;0,"Incomplete","Pending")))</f>
        <v>Complete</v>
      </c>
      <c r="K123" s="46">
        <f t="shared" si="1"/>
        <v>0</v>
      </c>
    </row>
    <row r="124" spans="1:11" x14ac:dyDescent="0.35">
      <c r="A124" s="45" t="s">
        <v>20</v>
      </c>
      <c r="B124" s="45" t="s">
        <v>247</v>
      </c>
      <c r="C124" s="45" t="s">
        <v>271</v>
      </c>
      <c r="D124" s="46">
        <v>12793</v>
      </c>
      <c r="E124" s="45" t="s">
        <v>275</v>
      </c>
      <c r="F124" s="45" t="s">
        <v>131</v>
      </c>
      <c r="G124" s="46" t="str">
        <f>IF(COUNTIFS(Data!$A:$A,$D124,Data!$F:$F,"C&amp;T")=0,"N/A",IF(COUNTIFS(Data!$A:$A,$D124,Data!$F:$F,"C&amp;T",Data!$L:$L,'Cluster Summary'!$D$3,Data!$I:$I,"Complete")&gt;0,"Complete",IF(COUNTIFS(Data!$A:$A,$D124,Data!$F:$F,"C&amp;T",Data!$L:$L,'Cluster Summary'!$D$3)&gt;0,"Incomplete","Pending")))</f>
        <v>Complete</v>
      </c>
      <c r="H124" s="46" t="str">
        <f>IF(COUNTIFS(Data!$A:$A,$D124,Data!$F:$F,"HTS")=0,"N/A",IF(COUNTIFS(Data!$A:$A,$D124,Data!$F:$F,"HTS",Data!$L:$L,'Cluster Summary'!$D$3,Data!$I:$I,"Complete")&gt;0,"Complete",IF(COUNTIFS(Data!$A:$A,$D124,Data!$F:$F,"HTS",Data!$L:$L,'Cluster Summary'!$D$3)&gt;0,"Incomplete","Pending")))</f>
        <v>Incomplete</v>
      </c>
      <c r="I124" s="46" t="str">
        <f>IF(COUNTIFS(Data!$A:$A,$D124,Data!$F:$F,"MNCH")=0,"N/A",IF(COUNTIFS(Data!$A:$A,$D124,Data!$F:$F,"MNCH",Data!$L:$L,'Cluster Summary'!$D$3,Data!$I:$I,"Complete")&gt;0,"Complete",IF(COUNTIFS(Data!$A:$A,$D124,Data!$F:$F,"MNCH",Data!$L:$L,'Cluster Summary'!$D$3)&gt;0,"Incomplete","Pending")))</f>
        <v>Incomplete</v>
      </c>
      <c r="J124" s="46" t="str">
        <f>IF(COUNTIFS(Data!$A:$A,$D124,Data!$F:$F,"PREP")=0,"N/A",IF(COUNTIFS(Data!$A:$A,$D124,Data!$F:$F,"PREP",Data!$L:$L,'Cluster Summary'!$D$3,Data!$I:$I,"Complete")&gt;0,"Complete",IF(COUNTIFS(Data!$A:$A,$D124,Data!$F:$F,"PREP",Data!$L:$L,'Cluster Summary'!$D$3)&gt;0,"Incomplete","Pending")))</f>
        <v>Incomplete</v>
      </c>
      <c r="K124" s="46">
        <f t="shared" si="1"/>
        <v>0</v>
      </c>
    </row>
    <row r="125" spans="1:11" x14ac:dyDescent="0.35">
      <c r="A125" s="45" t="s">
        <v>20</v>
      </c>
      <c r="B125" s="45" t="s">
        <v>247</v>
      </c>
      <c r="C125" s="45" t="s">
        <v>276</v>
      </c>
      <c r="D125" s="46">
        <v>12034</v>
      </c>
      <c r="E125" s="45" t="s">
        <v>277</v>
      </c>
      <c r="F125" s="45" t="s">
        <v>131</v>
      </c>
      <c r="G125" s="46" t="str">
        <f>IF(COUNTIFS(Data!$A:$A,$D125,Data!$F:$F,"C&amp;T")=0,"N/A",IF(COUNTIFS(Data!$A:$A,$D125,Data!$F:$F,"C&amp;T",Data!$L:$L,'Cluster Summary'!$D$3,Data!$I:$I,"Complete")&gt;0,"Complete",IF(COUNTIFS(Data!$A:$A,$D125,Data!$F:$F,"C&amp;T",Data!$L:$L,'Cluster Summary'!$D$3)&gt;0,"Incomplete","Pending")))</f>
        <v>Complete</v>
      </c>
      <c r="H125" s="46" t="str">
        <f>IF(COUNTIFS(Data!$A:$A,$D125,Data!$F:$F,"HTS")=0,"N/A",IF(COUNTIFS(Data!$A:$A,$D125,Data!$F:$F,"HTS",Data!$L:$L,'Cluster Summary'!$D$3,Data!$I:$I,"Complete")&gt;0,"Complete",IF(COUNTIFS(Data!$A:$A,$D125,Data!$F:$F,"HTS",Data!$L:$L,'Cluster Summary'!$D$3)&gt;0,"Incomplete","Pending")))</f>
        <v>Incomplete</v>
      </c>
      <c r="I125" s="46" t="str">
        <f>IF(COUNTIFS(Data!$A:$A,$D125,Data!$F:$F,"MNCH")=0,"N/A",IF(COUNTIFS(Data!$A:$A,$D125,Data!$F:$F,"MNCH",Data!$L:$L,'Cluster Summary'!$D$3,Data!$I:$I,"Complete")&gt;0,"Complete",IF(COUNTIFS(Data!$A:$A,$D125,Data!$F:$F,"MNCH",Data!$L:$L,'Cluster Summary'!$D$3)&gt;0,"Incomplete","Pending")))</f>
        <v>Incomplete</v>
      </c>
      <c r="J125" s="46" t="str">
        <f>IF(COUNTIFS(Data!$A:$A,$D125,Data!$F:$F,"PREP")=0,"N/A",IF(COUNTIFS(Data!$A:$A,$D125,Data!$F:$F,"PREP",Data!$L:$L,'Cluster Summary'!$D$3,Data!$I:$I,"Complete")&gt;0,"Complete",IF(COUNTIFS(Data!$A:$A,$D125,Data!$F:$F,"PREP",Data!$L:$L,'Cluster Summary'!$D$3)&gt;0,"Incomplete","Pending")))</f>
        <v>Incomplete</v>
      </c>
      <c r="K125" s="46">
        <f t="shared" si="1"/>
        <v>0</v>
      </c>
    </row>
    <row r="126" spans="1:11" x14ac:dyDescent="0.35">
      <c r="A126" s="45" t="s">
        <v>20</v>
      </c>
      <c r="B126" s="45" t="s">
        <v>247</v>
      </c>
      <c r="C126" s="45" t="s">
        <v>276</v>
      </c>
      <c r="D126" s="46">
        <v>23887</v>
      </c>
      <c r="E126" s="45" t="s">
        <v>278</v>
      </c>
      <c r="F126" s="45" t="s">
        <v>131</v>
      </c>
      <c r="G126" s="46" t="str">
        <f>IF(COUNTIFS(Data!$A:$A,$D126,Data!$F:$F,"C&amp;T")=0,"N/A",IF(COUNTIFS(Data!$A:$A,$D126,Data!$F:$F,"C&amp;T",Data!$L:$L,'Cluster Summary'!$D$3,Data!$I:$I,"Complete")&gt;0,"Complete",IF(COUNTIFS(Data!$A:$A,$D126,Data!$F:$F,"C&amp;T",Data!$L:$L,'Cluster Summary'!$D$3)&gt;0,"Incomplete","Pending")))</f>
        <v>Complete</v>
      </c>
      <c r="H126" s="46" t="str">
        <f>IF(COUNTIFS(Data!$A:$A,$D126,Data!$F:$F,"HTS")=0,"N/A",IF(COUNTIFS(Data!$A:$A,$D126,Data!$F:$F,"HTS",Data!$L:$L,'Cluster Summary'!$D$3,Data!$I:$I,"Complete")&gt;0,"Complete",IF(COUNTIFS(Data!$A:$A,$D126,Data!$F:$F,"HTS",Data!$L:$L,'Cluster Summary'!$D$3)&gt;0,"Incomplete","Pending")))</f>
        <v>Complete</v>
      </c>
      <c r="I126" s="46" t="str">
        <f>IF(COUNTIFS(Data!$A:$A,$D126,Data!$F:$F,"MNCH")=0,"N/A",IF(COUNTIFS(Data!$A:$A,$D126,Data!$F:$F,"MNCH",Data!$L:$L,'Cluster Summary'!$D$3,Data!$I:$I,"Complete")&gt;0,"Complete",IF(COUNTIFS(Data!$A:$A,$D126,Data!$F:$F,"MNCH",Data!$L:$L,'Cluster Summary'!$D$3)&gt;0,"Incomplete","Pending")))</f>
        <v>Incomplete</v>
      </c>
      <c r="J126" s="46" t="str">
        <f>IF(COUNTIFS(Data!$A:$A,$D126,Data!$F:$F,"PREP")=0,"N/A",IF(COUNTIFS(Data!$A:$A,$D126,Data!$F:$F,"PREP",Data!$L:$L,'Cluster Summary'!$D$3,Data!$I:$I,"Complete")&gt;0,"Complete",IF(COUNTIFS(Data!$A:$A,$D126,Data!$F:$F,"PREP",Data!$L:$L,'Cluster Summary'!$D$3)&gt;0,"Incomplete","Pending")))</f>
        <v>Incomplete</v>
      </c>
      <c r="K126" s="46">
        <f t="shared" si="1"/>
        <v>0</v>
      </c>
    </row>
    <row r="127" spans="1:11" x14ac:dyDescent="0.35">
      <c r="A127" s="45" t="s">
        <v>20</v>
      </c>
      <c r="B127" s="45" t="s">
        <v>247</v>
      </c>
      <c r="C127" s="45" t="s">
        <v>276</v>
      </c>
      <c r="D127" s="46">
        <v>12795</v>
      </c>
      <c r="E127" s="45" t="s">
        <v>279</v>
      </c>
      <c r="F127" s="45" t="s">
        <v>131</v>
      </c>
      <c r="G127" s="46" t="str">
        <f>IF(COUNTIFS(Data!$A:$A,$D127,Data!$F:$F,"C&amp;T")=0,"N/A",IF(COUNTIFS(Data!$A:$A,$D127,Data!$F:$F,"C&amp;T",Data!$L:$L,'Cluster Summary'!$D$3,Data!$I:$I,"Complete")&gt;0,"Complete",IF(COUNTIFS(Data!$A:$A,$D127,Data!$F:$F,"C&amp;T",Data!$L:$L,'Cluster Summary'!$D$3)&gt;0,"Incomplete","Pending")))</f>
        <v>Complete</v>
      </c>
      <c r="H127" s="46" t="str">
        <f>IF(COUNTIFS(Data!$A:$A,$D127,Data!$F:$F,"HTS")=0,"N/A",IF(COUNTIFS(Data!$A:$A,$D127,Data!$F:$F,"HTS",Data!$L:$L,'Cluster Summary'!$D$3,Data!$I:$I,"Complete")&gt;0,"Complete",IF(COUNTIFS(Data!$A:$A,$D127,Data!$F:$F,"HTS",Data!$L:$L,'Cluster Summary'!$D$3)&gt;0,"Incomplete","Pending")))</f>
        <v>Complete</v>
      </c>
      <c r="I127" s="46" t="str">
        <f>IF(COUNTIFS(Data!$A:$A,$D127,Data!$F:$F,"MNCH")=0,"N/A",IF(COUNTIFS(Data!$A:$A,$D127,Data!$F:$F,"MNCH",Data!$L:$L,'Cluster Summary'!$D$3,Data!$I:$I,"Complete")&gt;0,"Complete",IF(COUNTIFS(Data!$A:$A,$D127,Data!$F:$F,"MNCH",Data!$L:$L,'Cluster Summary'!$D$3)&gt;0,"Incomplete","Pending")))</f>
        <v>Complete</v>
      </c>
      <c r="J127" s="46" t="str">
        <f>IF(COUNTIFS(Data!$A:$A,$D127,Data!$F:$F,"PREP")=0,"N/A",IF(COUNTIFS(Data!$A:$A,$D127,Data!$F:$F,"PREP",Data!$L:$L,'Cluster Summary'!$D$3,Data!$I:$I,"Complete")&gt;0,"Complete",IF(COUNTIFS(Data!$A:$A,$D127,Data!$F:$F,"PREP",Data!$L:$L,'Cluster Summary'!$D$3)&gt;0,"Incomplete","Pending")))</f>
        <v>Complete</v>
      </c>
      <c r="K127" s="46">
        <f t="shared" si="1"/>
        <v>0</v>
      </c>
    </row>
    <row r="128" spans="1:11" x14ac:dyDescent="0.35">
      <c r="A128" s="45" t="s">
        <v>20</v>
      </c>
      <c r="B128" s="45" t="s">
        <v>280</v>
      </c>
      <c r="C128" s="45" t="s">
        <v>281</v>
      </c>
      <c r="D128" s="46">
        <v>10808</v>
      </c>
      <c r="E128" s="64" t="s">
        <v>282</v>
      </c>
      <c r="F128" s="45" t="s">
        <v>149</v>
      </c>
      <c r="G128" s="46" t="str">
        <f>IF(COUNTIFS(Data!$A:$A,$D128,Data!$F:$F,"C&amp;T")=0,"N/A",IF(COUNTIFS(Data!$A:$A,$D128,Data!$F:$F,"C&amp;T",Data!$L:$L,'Cluster Summary'!$D$3,Data!$I:$I,"Complete")&gt;0,"Complete",IF(COUNTIFS(Data!$A:$A,$D128,Data!$F:$F,"C&amp;T",Data!$L:$L,'Cluster Summary'!$D$3)&gt;0,"Incomplete","Pending")))</f>
        <v>Complete</v>
      </c>
      <c r="H128" s="46" t="str">
        <f>IF(COUNTIFS(Data!$A:$A,$D128,Data!$F:$F,"HTS")=0,"N/A",IF(COUNTIFS(Data!$A:$A,$D128,Data!$F:$F,"HTS",Data!$L:$L,'Cluster Summary'!$D$3,Data!$I:$I,"Complete")&gt;0,"Complete",IF(COUNTIFS(Data!$A:$A,$D128,Data!$F:$F,"HTS",Data!$L:$L,'Cluster Summary'!$D$3)&gt;0,"Incomplete","Pending")))</f>
        <v>Complete</v>
      </c>
      <c r="I128" s="46" t="str">
        <f>IF(COUNTIFS(Data!$A:$A,$D128,Data!$F:$F,"MNCH")=0,"N/A",IF(COUNTIFS(Data!$A:$A,$D128,Data!$F:$F,"MNCH",Data!$L:$L,'Cluster Summary'!$D$3,Data!$I:$I,"Complete")&gt;0,"Complete",IF(COUNTIFS(Data!$A:$A,$D128,Data!$F:$F,"MNCH",Data!$L:$L,'Cluster Summary'!$D$3)&gt;0,"Incomplete","Pending")))</f>
        <v>Incomplete</v>
      </c>
      <c r="J128" s="46" t="str">
        <f>IF(COUNTIFS(Data!$A:$A,$D128,Data!$F:$F,"PREP")=0,"N/A",IF(COUNTIFS(Data!$A:$A,$D128,Data!$F:$F,"PREP",Data!$L:$L,'Cluster Summary'!$D$3,Data!$I:$I,"Complete")&gt;0,"Complete",IF(COUNTIFS(Data!$A:$A,$D128,Data!$F:$F,"PREP",Data!$L:$L,'Cluster Summary'!$D$3)&gt;0,"Incomplete","Pending")))</f>
        <v>Incomplete</v>
      </c>
      <c r="K128" s="46">
        <f t="shared" si="1"/>
        <v>0</v>
      </c>
    </row>
    <row r="129" spans="1:11" x14ac:dyDescent="0.35">
      <c r="A129" s="45" t="s">
        <v>20</v>
      </c>
      <c r="B129" s="45" t="s">
        <v>280</v>
      </c>
      <c r="C129" s="45" t="s">
        <v>281</v>
      </c>
      <c r="D129" s="46">
        <v>11069</v>
      </c>
      <c r="E129" s="45" t="s">
        <v>283</v>
      </c>
      <c r="F129" s="45" t="s">
        <v>149</v>
      </c>
      <c r="G129" s="46" t="str">
        <f>IF(COUNTIFS(Data!$A:$A,$D129,Data!$F:$F,"C&amp;T")=0,"N/A",IF(COUNTIFS(Data!$A:$A,$D129,Data!$F:$F,"C&amp;T",Data!$L:$L,'Cluster Summary'!$D$3,Data!$I:$I,"Complete")&gt;0,"Complete",IF(COUNTIFS(Data!$A:$A,$D129,Data!$F:$F,"C&amp;T",Data!$L:$L,'Cluster Summary'!$D$3)&gt;0,"Incomplete","Pending")))</f>
        <v>Complete</v>
      </c>
      <c r="H129" s="46" t="str">
        <f>IF(COUNTIFS(Data!$A:$A,$D129,Data!$F:$F,"HTS")=0,"N/A",IF(COUNTIFS(Data!$A:$A,$D129,Data!$F:$F,"HTS",Data!$L:$L,'Cluster Summary'!$D$3,Data!$I:$I,"Complete")&gt;0,"Complete",IF(COUNTIFS(Data!$A:$A,$D129,Data!$F:$F,"HTS",Data!$L:$L,'Cluster Summary'!$D$3)&gt;0,"Incomplete","Pending")))</f>
        <v>Complete</v>
      </c>
      <c r="I129" s="46" t="str">
        <f>IF(COUNTIFS(Data!$A:$A,$D129,Data!$F:$F,"MNCH")=0,"N/A",IF(COUNTIFS(Data!$A:$A,$D129,Data!$F:$F,"MNCH",Data!$L:$L,'Cluster Summary'!$D$3,Data!$I:$I,"Complete")&gt;0,"Complete",IF(COUNTIFS(Data!$A:$A,$D129,Data!$F:$F,"MNCH",Data!$L:$L,'Cluster Summary'!$D$3)&gt;0,"Incomplete","Pending")))</f>
        <v>Complete</v>
      </c>
      <c r="J129" s="46" t="str">
        <f>IF(COUNTIFS(Data!$A:$A,$D129,Data!$F:$F,"PREP")=0,"N/A",IF(COUNTIFS(Data!$A:$A,$D129,Data!$F:$F,"PREP",Data!$L:$L,'Cluster Summary'!$D$3,Data!$I:$I,"Complete")&gt;0,"Complete",IF(COUNTIFS(Data!$A:$A,$D129,Data!$F:$F,"PREP",Data!$L:$L,'Cluster Summary'!$D$3)&gt;0,"Incomplete","Pending")))</f>
        <v>Incomplete</v>
      </c>
      <c r="K129" s="46">
        <f t="shared" si="1"/>
        <v>0</v>
      </c>
    </row>
    <row r="130" spans="1:11" x14ac:dyDescent="0.35">
      <c r="A130" s="45" t="s">
        <v>20</v>
      </c>
      <c r="B130" s="45" t="s">
        <v>280</v>
      </c>
      <c r="C130" s="45" t="s">
        <v>284</v>
      </c>
      <c r="D130" s="46">
        <v>10221</v>
      </c>
      <c r="E130" s="45" t="s">
        <v>285</v>
      </c>
      <c r="F130" s="45" t="s">
        <v>149</v>
      </c>
      <c r="G130" s="46" t="str">
        <f>IF(COUNTIFS(Data!$A:$A,$D130,Data!$F:$F,"C&amp;T")=0,"N/A",IF(COUNTIFS(Data!$A:$A,$D130,Data!$F:$F,"C&amp;T",Data!$L:$L,'Cluster Summary'!$D$3,Data!$I:$I,"Complete")&gt;0,"Complete",IF(COUNTIFS(Data!$A:$A,$D130,Data!$F:$F,"C&amp;T",Data!$L:$L,'Cluster Summary'!$D$3)&gt;0,"Incomplete","Pending")))</f>
        <v>Complete</v>
      </c>
      <c r="H130" s="46" t="str">
        <f>IF(COUNTIFS(Data!$A:$A,$D130,Data!$F:$F,"HTS")=0,"N/A",IF(COUNTIFS(Data!$A:$A,$D130,Data!$F:$F,"HTS",Data!$L:$L,'Cluster Summary'!$D$3,Data!$I:$I,"Complete")&gt;0,"Complete",IF(COUNTIFS(Data!$A:$A,$D130,Data!$F:$F,"HTS",Data!$L:$L,'Cluster Summary'!$D$3)&gt;0,"Incomplete","Pending")))</f>
        <v>Complete</v>
      </c>
      <c r="I130" s="46" t="str">
        <f>IF(COUNTIFS(Data!$A:$A,$D130,Data!$F:$F,"MNCH")=0,"N/A",IF(COUNTIFS(Data!$A:$A,$D130,Data!$F:$F,"MNCH",Data!$L:$L,'Cluster Summary'!$D$3,Data!$I:$I,"Complete")&gt;0,"Complete",IF(COUNTIFS(Data!$A:$A,$D130,Data!$F:$F,"MNCH",Data!$L:$L,'Cluster Summary'!$D$3)&gt;0,"Incomplete","Pending")))</f>
        <v>Complete</v>
      </c>
      <c r="J130" s="46" t="str">
        <f>IF(COUNTIFS(Data!$A:$A,$D130,Data!$F:$F,"PREP")=0,"N/A",IF(COUNTIFS(Data!$A:$A,$D130,Data!$F:$F,"PREP",Data!$L:$L,'Cluster Summary'!$D$3,Data!$I:$I,"Complete")&gt;0,"Complete",IF(COUNTIFS(Data!$A:$A,$D130,Data!$F:$F,"PREP",Data!$L:$L,'Cluster Summary'!$D$3)&gt;0,"Incomplete","Pending")))</f>
        <v>Complete</v>
      </c>
      <c r="K130" s="46">
        <f t="shared" si="1"/>
        <v>0</v>
      </c>
    </row>
    <row r="131" spans="1:11" x14ac:dyDescent="0.35">
      <c r="A131" s="45" t="s">
        <v>20</v>
      </c>
      <c r="B131" s="45" t="s">
        <v>280</v>
      </c>
      <c r="C131" s="45" t="s">
        <v>284</v>
      </c>
      <c r="D131" s="46">
        <v>10398</v>
      </c>
      <c r="E131" s="64" t="s">
        <v>286</v>
      </c>
      <c r="F131" s="45" t="s">
        <v>149</v>
      </c>
      <c r="G131" s="46" t="str">
        <f>IF(COUNTIFS(Data!$A:$A,$D131,Data!$F:$F,"C&amp;T")=0,"N/A",IF(COUNTIFS(Data!$A:$A,$D131,Data!$F:$F,"C&amp;T",Data!$L:$L,'Cluster Summary'!$D$3,Data!$I:$I,"Complete")&gt;0,"Complete",IF(COUNTIFS(Data!$A:$A,$D131,Data!$F:$F,"C&amp;T",Data!$L:$L,'Cluster Summary'!$D$3)&gt;0,"Incomplete","Pending")))</f>
        <v>Complete</v>
      </c>
      <c r="H131" s="46" t="str">
        <f>IF(COUNTIFS(Data!$A:$A,$D131,Data!$F:$F,"HTS")=0,"N/A",IF(COUNTIFS(Data!$A:$A,$D131,Data!$F:$F,"HTS",Data!$L:$L,'Cluster Summary'!$D$3,Data!$I:$I,"Complete")&gt;0,"Complete",IF(COUNTIFS(Data!$A:$A,$D131,Data!$F:$F,"HTS",Data!$L:$L,'Cluster Summary'!$D$3)&gt;0,"Incomplete","Pending")))</f>
        <v>Incomplete</v>
      </c>
      <c r="I131" s="46" t="str">
        <f>IF(COUNTIFS(Data!$A:$A,$D131,Data!$F:$F,"MNCH")=0,"N/A",IF(COUNTIFS(Data!$A:$A,$D131,Data!$F:$F,"MNCH",Data!$L:$L,'Cluster Summary'!$D$3,Data!$I:$I,"Complete")&gt;0,"Complete",IF(COUNTIFS(Data!$A:$A,$D131,Data!$F:$F,"MNCH",Data!$L:$L,'Cluster Summary'!$D$3)&gt;0,"Incomplete","Pending")))</f>
        <v>Complete</v>
      </c>
      <c r="J131" s="46" t="str">
        <f>IF(COUNTIFS(Data!$A:$A,$D131,Data!$F:$F,"PREP")=0,"N/A",IF(COUNTIFS(Data!$A:$A,$D131,Data!$F:$F,"PREP",Data!$L:$L,'Cluster Summary'!$D$3,Data!$I:$I,"Complete")&gt;0,"Complete",IF(COUNTIFS(Data!$A:$A,$D131,Data!$F:$F,"PREP",Data!$L:$L,'Cluster Summary'!$D$3)&gt;0,"Incomplete","Pending")))</f>
        <v>Incomplete</v>
      </c>
      <c r="K131" s="46">
        <f t="shared" si="1"/>
        <v>0</v>
      </c>
    </row>
    <row r="132" spans="1:11" x14ac:dyDescent="0.35">
      <c r="A132" s="45" t="s">
        <v>20</v>
      </c>
      <c r="B132" s="45" t="s">
        <v>287</v>
      </c>
      <c r="C132" s="45" t="s">
        <v>288</v>
      </c>
      <c r="D132" s="46">
        <v>11124</v>
      </c>
      <c r="E132" s="45" t="s">
        <v>289</v>
      </c>
      <c r="F132" s="45" t="s">
        <v>149</v>
      </c>
      <c r="G132" s="46" t="str">
        <f>IF(COUNTIFS(Data!$A:$A,$D132,Data!$F:$F,"C&amp;T")=0,"N/A",IF(COUNTIFS(Data!$A:$A,$D132,Data!$F:$F,"C&amp;T",Data!$L:$L,'Cluster Summary'!$D$3,Data!$I:$I,"Complete")&gt;0,"Complete",IF(COUNTIFS(Data!$A:$A,$D132,Data!$F:$F,"C&amp;T",Data!$L:$L,'Cluster Summary'!$D$3)&gt;0,"Incomplete","Pending")))</f>
        <v>Complete</v>
      </c>
      <c r="H132" s="46" t="str">
        <f>IF(COUNTIFS(Data!$A:$A,$D132,Data!$F:$F,"HTS")=0,"N/A",IF(COUNTIFS(Data!$A:$A,$D132,Data!$F:$F,"HTS",Data!$L:$L,'Cluster Summary'!$D$3,Data!$I:$I,"Complete")&gt;0,"Complete",IF(COUNTIFS(Data!$A:$A,$D132,Data!$F:$F,"HTS",Data!$L:$L,'Cluster Summary'!$D$3)&gt;0,"Incomplete","Pending")))</f>
        <v>Complete</v>
      </c>
      <c r="I132" s="46" t="str">
        <f>IF(COUNTIFS(Data!$A:$A,$D132,Data!$F:$F,"MNCH")=0,"N/A",IF(COUNTIFS(Data!$A:$A,$D132,Data!$F:$F,"MNCH",Data!$L:$L,'Cluster Summary'!$D$3,Data!$I:$I,"Complete")&gt;0,"Complete",IF(COUNTIFS(Data!$A:$A,$D132,Data!$F:$F,"MNCH",Data!$L:$L,'Cluster Summary'!$D$3)&gt;0,"Incomplete","Pending")))</f>
        <v>Complete</v>
      </c>
      <c r="J132" s="46" t="str">
        <f>IF(COUNTIFS(Data!$A:$A,$D132,Data!$F:$F,"PREP")=0,"N/A",IF(COUNTIFS(Data!$A:$A,$D132,Data!$F:$F,"PREP",Data!$L:$L,'Cluster Summary'!$D$3,Data!$I:$I,"Complete")&gt;0,"Complete",IF(COUNTIFS(Data!$A:$A,$D132,Data!$F:$F,"PREP",Data!$L:$L,'Cluster Summary'!$D$3)&gt;0,"Incomplete","Pending")))</f>
        <v>Complete</v>
      </c>
      <c r="K132" s="46">
        <f t="shared" si="1"/>
        <v>0</v>
      </c>
    </row>
    <row r="133" spans="1:11" x14ac:dyDescent="0.35">
      <c r="A133" s="45" t="s">
        <v>20</v>
      </c>
      <c r="B133" s="45" t="s">
        <v>287</v>
      </c>
      <c r="C133" s="45" t="s">
        <v>290</v>
      </c>
      <c r="D133" s="46">
        <v>10100</v>
      </c>
      <c r="E133" s="45" t="s">
        <v>291</v>
      </c>
      <c r="F133" s="45" t="s">
        <v>149</v>
      </c>
      <c r="G133" s="46" t="str">
        <f>IF(COUNTIFS(Data!$A:$A,$D133,Data!$F:$F,"C&amp;T")=0,"N/A",IF(COUNTIFS(Data!$A:$A,$D133,Data!$F:$F,"C&amp;T",Data!$L:$L,'Cluster Summary'!$D$3,Data!$I:$I,"Complete")&gt;0,"Complete",IF(COUNTIFS(Data!$A:$A,$D133,Data!$F:$F,"C&amp;T",Data!$L:$L,'Cluster Summary'!$D$3)&gt;0,"Incomplete","Pending")))</f>
        <v>Complete</v>
      </c>
      <c r="H133" s="46" t="str">
        <f>IF(COUNTIFS(Data!$A:$A,$D133,Data!$F:$F,"HTS")=0,"N/A",IF(COUNTIFS(Data!$A:$A,$D133,Data!$F:$F,"HTS",Data!$L:$L,'Cluster Summary'!$D$3,Data!$I:$I,"Complete")&gt;0,"Complete",IF(COUNTIFS(Data!$A:$A,$D133,Data!$F:$F,"HTS",Data!$L:$L,'Cluster Summary'!$D$3)&gt;0,"Incomplete","Pending")))</f>
        <v>Complete</v>
      </c>
      <c r="I133" s="46" t="str">
        <f>IF(COUNTIFS(Data!$A:$A,$D133,Data!$F:$F,"MNCH")=0,"N/A",IF(COUNTIFS(Data!$A:$A,$D133,Data!$F:$F,"MNCH",Data!$L:$L,'Cluster Summary'!$D$3,Data!$I:$I,"Complete")&gt;0,"Complete",IF(COUNTIFS(Data!$A:$A,$D133,Data!$F:$F,"MNCH",Data!$L:$L,'Cluster Summary'!$D$3)&gt;0,"Incomplete","Pending")))</f>
        <v>Complete</v>
      </c>
      <c r="J133" s="46" t="str">
        <f>IF(COUNTIFS(Data!$A:$A,$D133,Data!$F:$F,"PREP")=0,"N/A",IF(COUNTIFS(Data!$A:$A,$D133,Data!$F:$F,"PREP",Data!$L:$L,'Cluster Summary'!$D$3,Data!$I:$I,"Complete")&gt;0,"Complete",IF(COUNTIFS(Data!$A:$A,$D133,Data!$F:$F,"PREP",Data!$L:$L,'Cluster Summary'!$D$3)&gt;0,"Incomplete","Pending")))</f>
        <v>Complete</v>
      </c>
      <c r="K133" s="46">
        <f t="shared" ref="K133:K196" si="2">COUNTIF(G133:J133,"Pending")</f>
        <v>0</v>
      </c>
    </row>
    <row r="134" spans="1:11" x14ac:dyDescent="0.35">
      <c r="A134" s="45" t="s">
        <v>25</v>
      </c>
      <c r="B134" s="45" t="s">
        <v>292</v>
      </c>
      <c r="C134" s="45" t="s">
        <v>293</v>
      </c>
      <c r="D134" s="46">
        <v>19963</v>
      </c>
      <c r="E134" s="45" t="s">
        <v>294</v>
      </c>
      <c r="F134" s="45" t="s">
        <v>149</v>
      </c>
      <c r="G134" s="46" t="str">
        <f>IF(COUNTIFS(Data!$A:$A,$D134,Data!$F:$F,"C&amp;T")=0,"N/A",IF(COUNTIFS(Data!$A:$A,$D134,Data!$F:$F,"C&amp;T",Data!$L:$L,'Cluster Summary'!$D$3,Data!$I:$I,"Complete")&gt;0,"Complete",IF(COUNTIFS(Data!$A:$A,$D134,Data!$F:$F,"C&amp;T",Data!$L:$L,'Cluster Summary'!$D$3)&gt;0,"Incomplete","Pending")))</f>
        <v>Complete</v>
      </c>
      <c r="H134" s="46" t="str">
        <f>IF(COUNTIFS(Data!$A:$A,$D134,Data!$F:$F,"HTS")=0,"N/A",IF(COUNTIFS(Data!$A:$A,$D134,Data!$F:$F,"HTS",Data!$L:$L,'Cluster Summary'!$D$3,Data!$I:$I,"Complete")&gt;0,"Complete",IF(COUNTIFS(Data!$A:$A,$D134,Data!$F:$F,"HTS",Data!$L:$L,'Cluster Summary'!$D$3)&gt;0,"Incomplete","Pending")))</f>
        <v>Complete</v>
      </c>
      <c r="I134" s="46" t="str">
        <f>IF(COUNTIFS(Data!$A:$A,$D134,Data!$F:$F,"MNCH")=0,"N/A",IF(COUNTIFS(Data!$A:$A,$D134,Data!$F:$F,"MNCH",Data!$L:$L,'Cluster Summary'!$D$3,Data!$I:$I,"Complete")&gt;0,"Complete",IF(COUNTIFS(Data!$A:$A,$D134,Data!$F:$F,"MNCH",Data!$L:$L,'Cluster Summary'!$D$3)&gt;0,"Incomplete","Pending")))</f>
        <v>Complete</v>
      </c>
      <c r="J134" s="46" t="str">
        <f>IF(COUNTIFS(Data!$A:$A,$D134,Data!$F:$F,"PREP")=0,"N/A",IF(COUNTIFS(Data!$A:$A,$D134,Data!$F:$F,"PREP",Data!$L:$L,'Cluster Summary'!$D$3,Data!$I:$I,"Complete")&gt;0,"Complete",IF(COUNTIFS(Data!$A:$A,$D134,Data!$F:$F,"PREP",Data!$L:$L,'Cluster Summary'!$D$3)&gt;0,"Incomplete","Pending")))</f>
        <v>Complete</v>
      </c>
      <c r="K134" s="46">
        <f t="shared" si="2"/>
        <v>0</v>
      </c>
    </row>
    <row r="135" spans="1:11" x14ac:dyDescent="0.35">
      <c r="A135" s="45" t="s">
        <v>25</v>
      </c>
      <c r="B135" s="45" t="s">
        <v>292</v>
      </c>
      <c r="C135" s="45" t="s">
        <v>295</v>
      </c>
      <c r="D135" s="46">
        <v>10988</v>
      </c>
      <c r="E135" s="45" t="s">
        <v>296</v>
      </c>
      <c r="F135" s="45" t="s">
        <v>149</v>
      </c>
      <c r="G135" s="46" t="str">
        <f>IF(COUNTIFS(Data!$A:$A,$D135,Data!$F:$F,"C&amp;T")=0,"N/A",IF(COUNTIFS(Data!$A:$A,$D135,Data!$F:$F,"C&amp;T",Data!$L:$L,'Cluster Summary'!$D$3,Data!$I:$I,"Complete")&gt;0,"Complete",IF(COUNTIFS(Data!$A:$A,$D135,Data!$F:$F,"C&amp;T",Data!$L:$L,'Cluster Summary'!$D$3)&gt;0,"Incomplete","Pending")))</f>
        <v>Complete</v>
      </c>
      <c r="H135" s="46" t="str">
        <f>IF(COUNTIFS(Data!$A:$A,$D135,Data!$F:$F,"HTS")=0,"N/A",IF(COUNTIFS(Data!$A:$A,$D135,Data!$F:$F,"HTS",Data!$L:$L,'Cluster Summary'!$D$3,Data!$I:$I,"Complete")&gt;0,"Complete",IF(COUNTIFS(Data!$A:$A,$D135,Data!$F:$F,"HTS",Data!$L:$L,'Cluster Summary'!$D$3)&gt;0,"Incomplete","Pending")))</f>
        <v>Complete</v>
      </c>
      <c r="I135" s="46" t="str">
        <f>IF(COUNTIFS(Data!$A:$A,$D135,Data!$F:$F,"MNCH")=0,"N/A",IF(COUNTIFS(Data!$A:$A,$D135,Data!$F:$F,"MNCH",Data!$L:$L,'Cluster Summary'!$D$3,Data!$I:$I,"Complete")&gt;0,"Complete",IF(COUNTIFS(Data!$A:$A,$D135,Data!$F:$F,"MNCH",Data!$L:$L,'Cluster Summary'!$D$3)&gt;0,"Incomplete","Pending")))</f>
        <v>Complete</v>
      </c>
      <c r="J135" s="46" t="str">
        <f>IF(COUNTIFS(Data!$A:$A,$D135,Data!$F:$F,"PREP")=0,"N/A",IF(COUNTIFS(Data!$A:$A,$D135,Data!$F:$F,"PREP",Data!$L:$L,'Cluster Summary'!$D$3,Data!$I:$I,"Complete")&gt;0,"Complete",IF(COUNTIFS(Data!$A:$A,$D135,Data!$F:$F,"PREP",Data!$L:$L,'Cluster Summary'!$D$3)&gt;0,"Incomplete","Pending")))</f>
        <v>Incomplete</v>
      </c>
      <c r="K135" s="46">
        <f t="shared" si="2"/>
        <v>0</v>
      </c>
    </row>
    <row r="136" spans="1:11" x14ac:dyDescent="0.35">
      <c r="A136" s="45" t="s">
        <v>25</v>
      </c>
      <c r="B136" s="45" t="s">
        <v>292</v>
      </c>
      <c r="C136" s="45" t="s">
        <v>297</v>
      </c>
      <c r="D136" s="46">
        <v>17094</v>
      </c>
      <c r="E136" s="45" t="s">
        <v>298</v>
      </c>
      <c r="F136" s="45" t="s">
        <v>149</v>
      </c>
      <c r="G136" s="46" t="str">
        <f>IF(COUNTIFS(Data!$A:$A,$D136,Data!$F:$F,"C&amp;T")=0,"N/A",IF(COUNTIFS(Data!$A:$A,$D136,Data!$F:$F,"C&amp;T",Data!$L:$L,'Cluster Summary'!$D$3,Data!$I:$I,"Complete")&gt;0,"Complete",IF(COUNTIFS(Data!$A:$A,$D136,Data!$F:$F,"C&amp;T",Data!$L:$L,'Cluster Summary'!$D$3)&gt;0,"Incomplete","Pending")))</f>
        <v>Complete</v>
      </c>
      <c r="H136" s="46" t="str">
        <f>IF(COUNTIFS(Data!$A:$A,$D136,Data!$F:$F,"HTS")=0,"N/A",IF(COUNTIFS(Data!$A:$A,$D136,Data!$F:$F,"HTS",Data!$L:$L,'Cluster Summary'!$D$3,Data!$I:$I,"Complete")&gt;0,"Complete",IF(COUNTIFS(Data!$A:$A,$D136,Data!$F:$F,"HTS",Data!$L:$L,'Cluster Summary'!$D$3)&gt;0,"Incomplete","Pending")))</f>
        <v>Complete</v>
      </c>
      <c r="I136" s="46" t="str">
        <f>IF(COUNTIFS(Data!$A:$A,$D136,Data!$F:$F,"MNCH")=0,"N/A",IF(COUNTIFS(Data!$A:$A,$D136,Data!$F:$F,"MNCH",Data!$L:$L,'Cluster Summary'!$D$3,Data!$I:$I,"Complete")&gt;0,"Complete",IF(COUNTIFS(Data!$A:$A,$D136,Data!$F:$F,"MNCH",Data!$L:$L,'Cluster Summary'!$D$3)&gt;0,"Incomplete","Pending")))</f>
        <v>Complete</v>
      </c>
      <c r="J136" s="46" t="str">
        <f>IF(COUNTIFS(Data!$A:$A,$D136,Data!$F:$F,"PREP")=0,"N/A",IF(COUNTIFS(Data!$A:$A,$D136,Data!$F:$F,"PREP",Data!$L:$L,'Cluster Summary'!$D$3,Data!$I:$I,"Complete")&gt;0,"Complete",IF(COUNTIFS(Data!$A:$A,$D136,Data!$F:$F,"PREP",Data!$L:$L,'Cluster Summary'!$D$3)&gt;0,"Incomplete","Pending")))</f>
        <v>Complete</v>
      </c>
      <c r="K136" s="46">
        <f t="shared" si="2"/>
        <v>0</v>
      </c>
    </row>
    <row r="137" spans="1:11" x14ac:dyDescent="0.35">
      <c r="A137" s="45" t="s">
        <v>25</v>
      </c>
      <c r="B137" s="45" t="s">
        <v>292</v>
      </c>
      <c r="C137" s="45" t="s">
        <v>299</v>
      </c>
      <c r="D137" s="46">
        <v>10603</v>
      </c>
      <c r="E137" s="45" t="s">
        <v>300</v>
      </c>
      <c r="F137" s="45" t="s">
        <v>149</v>
      </c>
      <c r="G137" s="46" t="str">
        <f>IF(COUNTIFS(Data!$A:$A,$D137,Data!$F:$F,"C&amp;T")=0,"N/A",IF(COUNTIFS(Data!$A:$A,$D137,Data!$F:$F,"C&amp;T",Data!$L:$L,'Cluster Summary'!$D$3,Data!$I:$I,"Complete")&gt;0,"Complete",IF(COUNTIFS(Data!$A:$A,$D137,Data!$F:$F,"C&amp;T",Data!$L:$L,'Cluster Summary'!$D$3)&gt;0,"Incomplete","Pending")))</f>
        <v>Complete</v>
      </c>
      <c r="H137" s="46" t="str">
        <f>IF(COUNTIFS(Data!$A:$A,$D137,Data!$F:$F,"HTS")=0,"N/A",IF(COUNTIFS(Data!$A:$A,$D137,Data!$F:$F,"HTS",Data!$L:$L,'Cluster Summary'!$D$3,Data!$I:$I,"Complete")&gt;0,"Complete",IF(COUNTIFS(Data!$A:$A,$D137,Data!$F:$F,"HTS",Data!$L:$L,'Cluster Summary'!$D$3)&gt;0,"Incomplete","Pending")))</f>
        <v>Complete</v>
      </c>
      <c r="I137" s="46" t="str">
        <f>IF(COUNTIFS(Data!$A:$A,$D137,Data!$F:$F,"MNCH")=0,"N/A",IF(COUNTIFS(Data!$A:$A,$D137,Data!$F:$F,"MNCH",Data!$L:$L,'Cluster Summary'!$D$3,Data!$I:$I,"Complete")&gt;0,"Complete",IF(COUNTIFS(Data!$A:$A,$D137,Data!$F:$F,"MNCH",Data!$L:$L,'Cluster Summary'!$D$3)&gt;0,"Incomplete","Pending")))</f>
        <v>Complete</v>
      </c>
      <c r="J137" s="46" t="str">
        <f>IF(COUNTIFS(Data!$A:$A,$D137,Data!$F:$F,"PREP")=0,"N/A",IF(COUNTIFS(Data!$A:$A,$D137,Data!$F:$F,"PREP",Data!$L:$L,'Cluster Summary'!$D$3,Data!$I:$I,"Complete")&gt;0,"Complete",IF(COUNTIFS(Data!$A:$A,$D137,Data!$F:$F,"PREP",Data!$L:$L,'Cluster Summary'!$D$3)&gt;0,"Incomplete","Pending")))</f>
        <v>Incomplete</v>
      </c>
      <c r="K137" s="46">
        <f t="shared" si="2"/>
        <v>0</v>
      </c>
    </row>
    <row r="138" spans="1:11" x14ac:dyDescent="0.35">
      <c r="A138" s="45" t="s">
        <v>25</v>
      </c>
      <c r="B138" s="45" t="s">
        <v>292</v>
      </c>
      <c r="C138" s="45" t="s">
        <v>301</v>
      </c>
      <c r="D138" s="46">
        <v>10602</v>
      </c>
      <c r="E138" s="45" t="s">
        <v>302</v>
      </c>
      <c r="F138" s="45" t="s">
        <v>149</v>
      </c>
      <c r="G138" s="46" t="str">
        <f>IF(COUNTIFS(Data!$A:$A,$D138,Data!$F:$F,"C&amp;T")=0,"N/A",IF(COUNTIFS(Data!$A:$A,$D138,Data!$F:$F,"C&amp;T",Data!$L:$L,'Cluster Summary'!$D$3,Data!$I:$I,"Complete")&gt;0,"Complete",IF(COUNTIFS(Data!$A:$A,$D138,Data!$F:$F,"C&amp;T",Data!$L:$L,'Cluster Summary'!$D$3)&gt;0,"Incomplete","Pending")))</f>
        <v>Complete</v>
      </c>
      <c r="H138" s="46" t="str">
        <f>IF(COUNTIFS(Data!$A:$A,$D138,Data!$F:$F,"HTS")=0,"N/A",IF(COUNTIFS(Data!$A:$A,$D138,Data!$F:$F,"HTS",Data!$L:$L,'Cluster Summary'!$D$3,Data!$I:$I,"Complete")&gt;0,"Complete",IF(COUNTIFS(Data!$A:$A,$D138,Data!$F:$F,"HTS",Data!$L:$L,'Cluster Summary'!$D$3)&gt;0,"Incomplete","Pending")))</f>
        <v>Complete</v>
      </c>
      <c r="I138" s="46" t="str">
        <f>IF(COUNTIFS(Data!$A:$A,$D138,Data!$F:$F,"MNCH")=0,"N/A",IF(COUNTIFS(Data!$A:$A,$D138,Data!$F:$F,"MNCH",Data!$L:$L,'Cluster Summary'!$D$3,Data!$I:$I,"Complete")&gt;0,"Complete",IF(COUNTIFS(Data!$A:$A,$D138,Data!$F:$F,"MNCH",Data!$L:$L,'Cluster Summary'!$D$3)&gt;0,"Incomplete","Pending")))</f>
        <v>Complete</v>
      </c>
      <c r="J138" s="46" t="str">
        <f>IF(COUNTIFS(Data!$A:$A,$D138,Data!$F:$F,"PREP")=0,"N/A",IF(COUNTIFS(Data!$A:$A,$D138,Data!$F:$F,"PREP",Data!$L:$L,'Cluster Summary'!$D$3,Data!$I:$I,"Complete")&gt;0,"Complete",IF(COUNTIFS(Data!$A:$A,$D138,Data!$F:$F,"PREP",Data!$L:$L,'Cluster Summary'!$D$3)&gt;0,"Incomplete","Pending")))</f>
        <v>Incomplete</v>
      </c>
      <c r="K138" s="46">
        <f t="shared" si="2"/>
        <v>0</v>
      </c>
    </row>
    <row r="139" spans="1:11" x14ac:dyDescent="0.35">
      <c r="A139" s="45" t="s">
        <v>25</v>
      </c>
      <c r="B139" s="45" t="s">
        <v>292</v>
      </c>
      <c r="C139" s="45" t="s">
        <v>301</v>
      </c>
      <c r="D139" s="46">
        <v>10693</v>
      </c>
      <c r="E139" s="45" t="s">
        <v>303</v>
      </c>
      <c r="F139" s="45" t="s">
        <v>149</v>
      </c>
      <c r="G139" s="46" t="str">
        <f>IF(COUNTIFS(Data!$A:$A,$D139,Data!$F:$F,"C&amp;T")=0,"N/A",IF(COUNTIFS(Data!$A:$A,$D139,Data!$F:$F,"C&amp;T",Data!$L:$L,'Cluster Summary'!$D$3,Data!$I:$I,"Complete")&gt;0,"Complete",IF(COUNTIFS(Data!$A:$A,$D139,Data!$F:$F,"C&amp;T",Data!$L:$L,'Cluster Summary'!$D$3)&gt;0,"Incomplete","Pending")))</f>
        <v>Complete</v>
      </c>
      <c r="H139" s="46" t="str">
        <f>IF(COUNTIFS(Data!$A:$A,$D139,Data!$F:$F,"HTS")=0,"N/A",IF(COUNTIFS(Data!$A:$A,$D139,Data!$F:$F,"HTS",Data!$L:$L,'Cluster Summary'!$D$3,Data!$I:$I,"Complete")&gt;0,"Complete",IF(COUNTIFS(Data!$A:$A,$D139,Data!$F:$F,"HTS",Data!$L:$L,'Cluster Summary'!$D$3)&gt;0,"Incomplete","Pending")))</f>
        <v>Complete</v>
      </c>
      <c r="I139" s="46" t="str">
        <f>IF(COUNTIFS(Data!$A:$A,$D139,Data!$F:$F,"MNCH")=0,"N/A",IF(COUNTIFS(Data!$A:$A,$D139,Data!$F:$F,"MNCH",Data!$L:$L,'Cluster Summary'!$D$3,Data!$I:$I,"Complete")&gt;0,"Complete",IF(COUNTIFS(Data!$A:$A,$D139,Data!$F:$F,"MNCH",Data!$L:$L,'Cluster Summary'!$D$3)&gt;0,"Incomplete","Pending")))</f>
        <v>Complete</v>
      </c>
      <c r="J139" s="46" t="str">
        <f>IF(COUNTIFS(Data!$A:$A,$D139,Data!$F:$F,"PREP")=0,"N/A",IF(COUNTIFS(Data!$A:$A,$D139,Data!$F:$F,"PREP",Data!$L:$L,'Cluster Summary'!$D$3,Data!$I:$I,"Complete")&gt;0,"Complete",IF(COUNTIFS(Data!$A:$A,$D139,Data!$F:$F,"PREP",Data!$L:$L,'Cluster Summary'!$D$3)&gt;0,"Incomplete","Pending")))</f>
        <v>Complete</v>
      </c>
      <c r="K139" s="46">
        <f t="shared" si="2"/>
        <v>0</v>
      </c>
    </row>
    <row r="140" spans="1:11" x14ac:dyDescent="0.35">
      <c r="A140" s="45" t="s">
        <v>25</v>
      </c>
      <c r="B140" s="45" t="s">
        <v>292</v>
      </c>
      <c r="C140" s="45" t="s">
        <v>304</v>
      </c>
      <c r="D140" s="46">
        <v>10321</v>
      </c>
      <c r="E140" s="45" t="s">
        <v>305</v>
      </c>
      <c r="F140" s="45" t="s">
        <v>149</v>
      </c>
      <c r="G140" s="46" t="str">
        <f>IF(COUNTIFS(Data!$A:$A,$D140,Data!$F:$F,"C&amp;T")=0,"N/A",IF(COUNTIFS(Data!$A:$A,$D140,Data!$F:$F,"C&amp;T",Data!$L:$L,'Cluster Summary'!$D$3,Data!$I:$I,"Complete")&gt;0,"Complete",IF(COUNTIFS(Data!$A:$A,$D140,Data!$F:$F,"C&amp;T",Data!$L:$L,'Cluster Summary'!$D$3)&gt;0,"Incomplete","Pending")))</f>
        <v>Complete</v>
      </c>
      <c r="H140" s="46" t="str">
        <f>IF(COUNTIFS(Data!$A:$A,$D140,Data!$F:$F,"HTS")=0,"N/A",IF(COUNTIFS(Data!$A:$A,$D140,Data!$F:$F,"HTS",Data!$L:$L,'Cluster Summary'!$D$3,Data!$I:$I,"Complete")&gt;0,"Complete",IF(COUNTIFS(Data!$A:$A,$D140,Data!$F:$F,"HTS",Data!$L:$L,'Cluster Summary'!$D$3)&gt;0,"Incomplete","Pending")))</f>
        <v>Complete</v>
      </c>
      <c r="I140" s="46" t="str">
        <f>IF(COUNTIFS(Data!$A:$A,$D140,Data!$F:$F,"MNCH")=0,"N/A",IF(COUNTIFS(Data!$A:$A,$D140,Data!$F:$F,"MNCH",Data!$L:$L,'Cluster Summary'!$D$3,Data!$I:$I,"Complete")&gt;0,"Complete",IF(COUNTIFS(Data!$A:$A,$D140,Data!$F:$F,"MNCH",Data!$L:$L,'Cluster Summary'!$D$3)&gt;0,"Incomplete","Pending")))</f>
        <v>Complete</v>
      </c>
      <c r="J140" s="46" t="str">
        <f>IF(COUNTIFS(Data!$A:$A,$D140,Data!$F:$F,"PREP")=0,"N/A",IF(COUNTIFS(Data!$A:$A,$D140,Data!$F:$F,"PREP",Data!$L:$L,'Cluster Summary'!$D$3,Data!$I:$I,"Complete")&gt;0,"Complete",IF(COUNTIFS(Data!$A:$A,$D140,Data!$F:$F,"PREP",Data!$L:$L,'Cluster Summary'!$D$3)&gt;0,"Incomplete","Pending")))</f>
        <v>Complete</v>
      </c>
      <c r="K140" s="46">
        <f t="shared" si="2"/>
        <v>0</v>
      </c>
    </row>
    <row r="141" spans="1:11" x14ac:dyDescent="0.35">
      <c r="A141" s="45" t="s">
        <v>25</v>
      </c>
      <c r="B141" s="45" t="s">
        <v>292</v>
      </c>
      <c r="C141" s="45" t="s">
        <v>304</v>
      </c>
      <c r="D141" s="46">
        <v>10825</v>
      </c>
      <c r="E141" s="45" t="s">
        <v>306</v>
      </c>
      <c r="F141" s="45" t="s">
        <v>149</v>
      </c>
      <c r="G141" s="46" t="str">
        <f>IF(COUNTIFS(Data!$A:$A,$D141,Data!$F:$F,"C&amp;T")=0,"N/A",IF(COUNTIFS(Data!$A:$A,$D141,Data!$F:$F,"C&amp;T",Data!$L:$L,'Cluster Summary'!$D$3,Data!$I:$I,"Complete")&gt;0,"Complete",IF(COUNTIFS(Data!$A:$A,$D141,Data!$F:$F,"C&amp;T",Data!$L:$L,'Cluster Summary'!$D$3)&gt;0,"Incomplete","Pending")))</f>
        <v>Complete</v>
      </c>
      <c r="H141" s="46" t="str">
        <f>IF(COUNTIFS(Data!$A:$A,$D141,Data!$F:$F,"HTS")=0,"N/A",IF(COUNTIFS(Data!$A:$A,$D141,Data!$F:$F,"HTS",Data!$L:$L,'Cluster Summary'!$D$3,Data!$I:$I,"Complete")&gt;0,"Complete",IF(COUNTIFS(Data!$A:$A,$D141,Data!$F:$F,"HTS",Data!$L:$L,'Cluster Summary'!$D$3)&gt;0,"Incomplete","Pending")))</f>
        <v>Complete</v>
      </c>
      <c r="I141" s="46" t="str">
        <f>IF(COUNTIFS(Data!$A:$A,$D141,Data!$F:$F,"MNCH")=0,"N/A",IF(COUNTIFS(Data!$A:$A,$D141,Data!$F:$F,"MNCH",Data!$L:$L,'Cluster Summary'!$D$3,Data!$I:$I,"Complete")&gt;0,"Complete",IF(COUNTIFS(Data!$A:$A,$D141,Data!$F:$F,"MNCH",Data!$L:$L,'Cluster Summary'!$D$3)&gt;0,"Incomplete","Pending")))</f>
        <v>Pending</v>
      </c>
      <c r="J141" s="46" t="str">
        <f>IF(COUNTIFS(Data!$A:$A,$D141,Data!$F:$F,"PREP")=0,"N/A",IF(COUNTIFS(Data!$A:$A,$D141,Data!$F:$F,"PREP",Data!$L:$L,'Cluster Summary'!$D$3,Data!$I:$I,"Complete")&gt;0,"Complete",IF(COUNTIFS(Data!$A:$A,$D141,Data!$F:$F,"PREP",Data!$L:$L,'Cluster Summary'!$D$3)&gt;0,"Incomplete","Pending")))</f>
        <v>Complete</v>
      </c>
      <c r="K141" s="46">
        <f t="shared" si="2"/>
        <v>1</v>
      </c>
    </row>
    <row r="142" spans="1:11" x14ac:dyDescent="0.35">
      <c r="A142" s="45" t="s">
        <v>25</v>
      </c>
      <c r="B142" s="45" t="s">
        <v>292</v>
      </c>
      <c r="C142" s="45" t="s">
        <v>304</v>
      </c>
      <c r="D142" s="46">
        <v>11030</v>
      </c>
      <c r="E142" s="45" t="s">
        <v>307</v>
      </c>
      <c r="F142" s="45" t="s">
        <v>149</v>
      </c>
      <c r="G142" s="46" t="str">
        <f>IF(COUNTIFS(Data!$A:$A,$D142,Data!$F:$F,"C&amp;T")=0,"N/A",IF(COUNTIFS(Data!$A:$A,$D142,Data!$F:$F,"C&amp;T",Data!$L:$L,'Cluster Summary'!$D$3,Data!$I:$I,"Complete")&gt;0,"Complete",IF(COUNTIFS(Data!$A:$A,$D142,Data!$F:$F,"C&amp;T",Data!$L:$L,'Cluster Summary'!$D$3)&gt;0,"Incomplete","Pending")))</f>
        <v>Complete</v>
      </c>
      <c r="H142" s="46" t="str">
        <f>IF(COUNTIFS(Data!$A:$A,$D142,Data!$F:$F,"HTS")=0,"N/A",IF(COUNTIFS(Data!$A:$A,$D142,Data!$F:$F,"HTS",Data!$L:$L,'Cluster Summary'!$D$3,Data!$I:$I,"Complete")&gt;0,"Complete",IF(COUNTIFS(Data!$A:$A,$D142,Data!$F:$F,"HTS",Data!$L:$L,'Cluster Summary'!$D$3)&gt;0,"Incomplete","Pending")))</f>
        <v>Complete</v>
      </c>
      <c r="I142" s="46" t="str">
        <f>IF(COUNTIFS(Data!$A:$A,$D142,Data!$F:$F,"MNCH")=0,"N/A",IF(COUNTIFS(Data!$A:$A,$D142,Data!$F:$F,"MNCH",Data!$L:$L,'Cluster Summary'!$D$3,Data!$I:$I,"Complete")&gt;0,"Complete",IF(COUNTIFS(Data!$A:$A,$D142,Data!$F:$F,"MNCH",Data!$L:$L,'Cluster Summary'!$D$3)&gt;0,"Incomplete","Pending")))</f>
        <v>Incomplete</v>
      </c>
      <c r="J142" s="46" t="str">
        <f>IF(COUNTIFS(Data!$A:$A,$D142,Data!$F:$F,"PREP")=0,"N/A",IF(COUNTIFS(Data!$A:$A,$D142,Data!$F:$F,"PREP",Data!$L:$L,'Cluster Summary'!$D$3,Data!$I:$I,"Complete")&gt;0,"Complete",IF(COUNTIFS(Data!$A:$A,$D142,Data!$F:$F,"PREP",Data!$L:$L,'Cluster Summary'!$D$3)&gt;0,"Incomplete","Pending")))</f>
        <v>Incomplete</v>
      </c>
      <c r="K142" s="46">
        <f t="shared" si="2"/>
        <v>0</v>
      </c>
    </row>
    <row r="143" spans="1:11" x14ac:dyDescent="0.35">
      <c r="A143" s="45" t="s">
        <v>25</v>
      </c>
      <c r="B143" s="45" t="s">
        <v>292</v>
      </c>
      <c r="C143" s="45" t="s">
        <v>308</v>
      </c>
      <c r="D143" s="46">
        <v>17490</v>
      </c>
      <c r="E143" s="45" t="s">
        <v>309</v>
      </c>
      <c r="F143" s="45" t="s">
        <v>149</v>
      </c>
      <c r="G143" s="46" t="str">
        <f>IF(COUNTIFS(Data!$A:$A,$D143,Data!$F:$F,"C&amp;T")=0,"N/A",IF(COUNTIFS(Data!$A:$A,$D143,Data!$F:$F,"C&amp;T",Data!$L:$L,'Cluster Summary'!$D$3,Data!$I:$I,"Complete")&gt;0,"Complete",IF(COUNTIFS(Data!$A:$A,$D143,Data!$F:$F,"C&amp;T",Data!$L:$L,'Cluster Summary'!$D$3)&gt;0,"Incomplete","Pending")))</f>
        <v>Complete</v>
      </c>
      <c r="H143" s="46" t="str">
        <f>IF(COUNTIFS(Data!$A:$A,$D143,Data!$F:$F,"HTS")=0,"N/A",IF(COUNTIFS(Data!$A:$A,$D143,Data!$F:$F,"HTS",Data!$L:$L,'Cluster Summary'!$D$3,Data!$I:$I,"Complete")&gt;0,"Complete",IF(COUNTIFS(Data!$A:$A,$D143,Data!$F:$F,"HTS",Data!$L:$L,'Cluster Summary'!$D$3)&gt;0,"Incomplete","Pending")))</f>
        <v>Complete</v>
      </c>
      <c r="I143" s="46" t="str">
        <f>IF(COUNTIFS(Data!$A:$A,$D143,Data!$F:$F,"MNCH")=0,"N/A",IF(COUNTIFS(Data!$A:$A,$D143,Data!$F:$F,"MNCH",Data!$L:$L,'Cluster Summary'!$D$3,Data!$I:$I,"Complete")&gt;0,"Complete",IF(COUNTIFS(Data!$A:$A,$D143,Data!$F:$F,"MNCH",Data!$L:$L,'Cluster Summary'!$D$3)&gt;0,"Incomplete","Pending")))</f>
        <v>Complete</v>
      </c>
      <c r="J143" s="46" t="str">
        <f>IF(COUNTIFS(Data!$A:$A,$D143,Data!$F:$F,"PREP")=0,"N/A",IF(COUNTIFS(Data!$A:$A,$D143,Data!$F:$F,"PREP",Data!$L:$L,'Cluster Summary'!$D$3,Data!$I:$I,"Complete")&gt;0,"Complete",IF(COUNTIFS(Data!$A:$A,$D143,Data!$F:$F,"PREP",Data!$L:$L,'Cluster Summary'!$D$3)&gt;0,"Incomplete","Pending")))</f>
        <v>Complete</v>
      </c>
      <c r="K143" s="46">
        <f t="shared" si="2"/>
        <v>0</v>
      </c>
    </row>
    <row r="144" spans="1:11" x14ac:dyDescent="0.35">
      <c r="A144" s="45" t="s">
        <v>25</v>
      </c>
      <c r="B144" s="45" t="s">
        <v>292</v>
      </c>
      <c r="C144" s="45" t="s">
        <v>308</v>
      </c>
      <c r="D144" s="46">
        <v>11041</v>
      </c>
      <c r="E144" s="45" t="s">
        <v>310</v>
      </c>
      <c r="F144" s="45" t="s">
        <v>149</v>
      </c>
      <c r="G144" s="46" t="str">
        <f>IF(COUNTIFS(Data!$A:$A,$D144,Data!$F:$F,"C&amp;T")=0,"N/A",IF(COUNTIFS(Data!$A:$A,$D144,Data!$F:$F,"C&amp;T",Data!$L:$L,'Cluster Summary'!$D$3,Data!$I:$I,"Complete")&gt;0,"Complete",IF(COUNTIFS(Data!$A:$A,$D144,Data!$F:$F,"C&amp;T",Data!$L:$L,'Cluster Summary'!$D$3)&gt;0,"Incomplete","Pending")))</f>
        <v>Complete</v>
      </c>
      <c r="H144" s="46" t="str">
        <f>IF(COUNTIFS(Data!$A:$A,$D144,Data!$F:$F,"HTS")=0,"N/A",IF(COUNTIFS(Data!$A:$A,$D144,Data!$F:$F,"HTS",Data!$L:$L,'Cluster Summary'!$D$3,Data!$I:$I,"Complete")&gt;0,"Complete",IF(COUNTIFS(Data!$A:$A,$D144,Data!$F:$F,"HTS",Data!$L:$L,'Cluster Summary'!$D$3)&gt;0,"Incomplete","Pending")))</f>
        <v>Complete</v>
      </c>
      <c r="I144" s="46" t="str">
        <f>IF(COUNTIFS(Data!$A:$A,$D144,Data!$F:$F,"MNCH")=0,"N/A",IF(COUNTIFS(Data!$A:$A,$D144,Data!$F:$F,"MNCH",Data!$L:$L,'Cluster Summary'!$D$3,Data!$I:$I,"Complete")&gt;0,"Complete",IF(COUNTIFS(Data!$A:$A,$D144,Data!$F:$F,"MNCH",Data!$L:$L,'Cluster Summary'!$D$3)&gt;0,"Incomplete","Pending")))</f>
        <v>Complete</v>
      </c>
      <c r="J144" s="46" t="str">
        <f>IF(COUNTIFS(Data!$A:$A,$D144,Data!$F:$F,"PREP")=0,"N/A",IF(COUNTIFS(Data!$A:$A,$D144,Data!$F:$F,"PREP",Data!$L:$L,'Cluster Summary'!$D$3,Data!$I:$I,"Complete")&gt;0,"Complete",IF(COUNTIFS(Data!$A:$A,$D144,Data!$F:$F,"PREP",Data!$L:$L,'Cluster Summary'!$D$3)&gt;0,"Incomplete","Pending")))</f>
        <v>Complete</v>
      </c>
      <c r="K144" s="46">
        <f t="shared" si="2"/>
        <v>0</v>
      </c>
    </row>
    <row r="145" spans="1:11" x14ac:dyDescent="0.35">
      <c r="A145" s="45" t="s">
        <v>25</v>
      </c>
      <c r="B145" s="45" t="s">
        <v>311</v>
      </c>
      <c r="C145" s="45" t="s">
        <v>312</v>
      </c>
      <c r="D145" s="46">
        <v>10267</v>
      </c>
      <c r="E145" s="45" t="s">
        <v>313</v>
      </c>
      <c r="F145" s="45" t="s">
        <v>149</v>
      </c>
      <c r="G145" s="46" t="str">
        <f>IF(COUNTIFS(Data!$A:$A,$D145,Data!$F:$F,"C&amp;T")=0,"N/A",IF(COUNTIFS(Data!$A:$A,$D145,Data!$F:$F,"C&amp;T",Data!$L:$L,'Cluster Summary'!$D$3,Data!$I:$I,"Complete")&gt;0,"Complete",IF(COUNTIFS(Data!$A:$A,$D145,Data!$F:$F,"C&amp;T",Data!$L:$L,'Cluster Summary'!$D$3)&gt;0,"Incomplete","Pending")))</f>
        <v>Complete</v>
      </c>
      <c r="H145" s="46" t="str">
        <f>IF(COUNTIFS(Data!$A:$A,$D145,Data!$F:$F,"HTS")=0,"N/A",IF(COUNTIFS(Data!$A:$A,$D145,Data!$F:$F,"HTS",Data!$L:$L,'Cluster Summary'!$D$3,Data!$I:$I,"Complete")&gt;0,"Complete",IF(COUNTIFS(Data!$A:$A,$D145,Data!$F:$F,"HTS",Data!$L:$L,'Cluster Summary'!$D$3)&gt;0,"Incomplete","Pending")))</f>
        <v>Complete</v>
      </c>
      <c r="I145" s="46" t="str">
        <f>IF(COUNTIFS(Data!$A:$A,$D145,Data!$F:$F,"MNCH")=0,"N/A",IF(COUNTIFS(Data!$A:$A,$D145,Data!$F:$F,"MNCH",Data!$L:$L,'Cluster Summary'!$D$3,Data!$I:$I,"Complete")&gt;0,"Complete",IF(COUNTIFS(Data!$A:$A,$D145,Data!$F:$F,"MNCH",Data!$L:$L,'Cluster Summary'!$D$3)&gt;0,"Incomplete","Pending")))</f>
        <v>Complete</v>
      </c>
      <c r="J145" s="46" t="str">
        <f>IF(COUNTIFS(Data!$A:$A,$D145,Data!$F:$F,"PREP")=0,"N/A",IF(COUNTIFS(Data!$A:$A,$D145,Data!$F:$F,"PREP",Data!$L:$L,'Cluster Summary'!$D$3,Data!$I:$I,"Complete")&gt;0,"Complete",IF(COUNTIFS(Data!$A:$A,$D145,Data!$F:$F,"PREP",Data!$L:$L,'Cluster Summary'!$D$3)&gt;0,"Incomplete","Pending")))</f>
        <v>Complete</v>
      </c>
      <c r="K145" s="46">
        <f t="shared" si="2"/>
        <v>0</v>
      </c>
    </row>
    <row r="146" spans="1:11" x14ac:dyDescent="0.35">
      <c r="A146" s="45" t="s">
        <v>25</v>
      </c>
      <c r="B146" s="45" t="s">
        <v>314</v>
      </c>
      <c r="C146" s="45" t="s">
        <v>315</v>
      </c>
      <c r="D146" s="46">
        <v>15652</v>
      </c>
      <c r="E146" s="45" t="s">
        <v>316</v>
      </c>
      <c r="F146" s="45" t="s">
        <v>149</v>
      </c>
      <c r="G146" s="46" t="str">
        <f>IF(COUNTIFS(Data!$A:$A,$D146,Data!$F:$F,"C&amp;T")=0,"N/A",IF(COUNTIFS(Data!$A:$A,$D146,Data!$F:$F,"C&amp;T",Data!$L:$L,'Cluster Summary'!$D$3,Data!$I:$I,"Complete")&gt;0,"Complete",IF(COUNTIFS(Data!$A:$A,$D146,Data!$F:$F,"C&amp;T",Data!$L:$L,'Cluster Summary'!$D$3)&gt;0,"Incomplete","Pending")))</f>
        <v>Complete</v>
      </c>
      <c r="H146" s="46" t="str">
        <f>IF(COUNTIFS(Data!$A:$A,$D146,Data!$F:$F,"HTS")=0,"N/A",IF(COUNTIFS(Data!$A:$A,$D146,Data!$F:$F,"HTS",Data!$L:$L,'Cluster Summary'!$D$3,Data!$I:$I,"Complete")&gt;0,"Complete",IF(COUNTIFS(Data!$A:$A,$D146,Data!$F:$F,"HTS",Data!$L:$L,'Cluster Summary'!$D$3)&gt;0,"Incomplete","Pending")))</f>
        <v>Complete</v>
      </c>
      <c r="I146" s="46" t="str">
        <f>IF(COUNTIFS(Data!$A:$A,$D146,Data!$F:$F,"MNCH")=0,"N/A",IF(COUNTIFS(Data!$A:$A,$D146,Data!$F:$F,"MNCH",Data!$L:$L,'Cluster Summary'!$D$3,Data!$I:$I,"Complete")&gt;0,"Complete",IF(COUNTIFS(Data!$A:$A,$D146,Data!$F:$F,"MNCH",Data!$L:$L,'Cluster Summary'!$D$3)&gt;0,"Incomplete","Pending")))</f>
        <v>Complete</v>
      </c>
      <c r="J146" s="46" t="str">
        <f>IF(COUNTIFS(Data!$A:$A,$D146,Data!$F:$F,"PREP")=0,"N/A",IF(COUNTIFS(Data!$A:$A,$D146,Data!$F:$F,"PREP",Data!$L:$L,'Cluster Summary'!$D$3,Data!$I:$I,"Complete")&gt;0,"Complete",IF(COUNTIFS(Data!$A:$A,$D146,Data!$F:$F,"PREP",Data!$L:$L,'Cluster Summary'!$D$3)&gt;0,"Incomplete","Pending")))</f>
        <v>Incomplete</v>
      </c>
      <c r="K146" s="46">
        <f t="shared" si="2"/>
        <v>0</v>
      </c>
    </row>
    <row r="147" spans="1:11" x14ac:dyDescent="0.35">
      <c r="A147" s="45" t="s">
        <v>29</v>
      </c>
      <c r="B147" s="45" t="s">
        <v>317</v>
      </c>
      <c r="C147" s="45" t="s">
        <v>318</v>
      </c>
      <c r="D147" s="46">
        <v>10044</v>
      </c>
      <c r="E147" s="45" t="s">
        <v>319</v>
      </c>
      <c r="F147" s="45" t="s">
        <v>131</v>
      </c>
      <c r="G147" s="46" t="str">
        <f>IF(COUNTIFS(Data!$A:$A,$D147,Data!$F:$F,"C&amp;T")=0,"N/A",IF(COUNTIFS(Data!$A:$A,$D147,Data!$F:$F,"C&amp;T",Data!$L:$L,'Cluster Summary'!$D$3,Data!$I:$I,"Complete")&gt;0,"Complete",IF(COUNTIFS(Data!$A:$A,$D147,Data!$F:$F,"C&amp;T",Data!$L:$L,'Cluster Summary'!$D$3)&gt;0,"Incomplete","Pending")))</f>
        <v>Complete</v>
      </c>
      <c r="H147" s="46" t="str">
        <f>IF(COUNTIFS(Data!$A:$A,$D147,Data!$F:$F,"HTS")=0,"N/A",IF(COUNTIFS(Data!$A:$A,$D147,Data!$F:$F,"HTS",Data!$L:$L,'Cluster Summary'!$D$3,Data!$I:$I,"Complete")&gt;0,"Complete",IF(COUNTIFS(Data!$A:$A,$D147,Data!$F:$F,"HTS",Data!$L:$L,'Cluster Summary'!$D$3)&gt;0,"Incomplete","Pending")))</f>
        <v>Complete</v>
      </c>
      <c r="I147" s="46" t="str">
        <f>IF(COUNTIFS(Data!$A:$A,$D147,Data!$F:$F,"MNCH")=0,"N/A",IF(COUNTIFS(Data!$A:$A,$D147,Data!$F:$F,"MNCH",Data!$L:$L,'Cluster Summary'!$D$3,Data!$I:$I,"Complete")&gt;0,"Complete",IF(COUNTIFS(Data!$A:$A,$D147,Data!$F:$F,"MNCH",Data!$L:$L,'Cluster Summary'!$D$3)&gt;0,"Incomplete","Pending")))</f>
        <v>Complete</v>
      </c>
      <c r="J147" s="46" t="str">
        <f>IF(COUNTIFS(Data!$A:$A,$D147,Data!$F:$F,"PREP")=0,"N/A",IF(COUNTIFS(Data!$A:$A,$D147,Data!$F:$F,"PREP",Data!$L:$L,'Cluster Summary'!$D$3,Data!$I:$I,"Complete")&gt;0,"Complete",IF(COUNTIFS(Data!$A:$A,$D147,Data!$F:$F,"PREP",Data!$L:$L,'Cluster Summary'!$D$3)&gt;0,"Incomplete","Pending")))</f>
        <v>Complete</v>
      </c>
      <c r="K147" s="46">
        <f t="shared" si="2"/>
        <v>0</v>
      </c>
    </row>
    <row r="148" spans="1:11" x14ac:dyDescent="0.35">
      <c r="A148" s="45" t="s">
        <v>29</v>
      </c>
      <c r="B148" s="45" t="s">
        <v>317</v>
      </c>
      <c r="C148" s="45" t="s">
        <v>318</v>
      </c>
      <c r="D148" s="46">
        <v>10171</v>
      </c>
      <c r="E148" s="45" t="s">
        <v>320</v>
      </c>
      <c r="F148" s="45" t="s">
        <v>131</v>
      </c>
      <c r="G148" s="46" t="str">
        <f>IF(COUNTIFS(Data!$A:$A,$D148,Data!$F:$F,"C&amp;T")=0,"N/A",IF(COUNTIFS(Data!$A:$A,$D148,Data!$F:$F,"C&amp;T",Data!$L:$L,'Cluster Summary'!$D$3,Data!$I:$I,"Complete")&gt;0,"Complete",IF(COUNTIFS(Data!$A:$A,$D148,Data!$F:$F,"C&amp;T",Data!$L:$L,'Cluster Summary'!$D$3)&gt;0,"Incomplete","Pending")))</f>
        <v>Complete</v>
      </c>
      <c r="H148" s="46" t="str">
        <f>IF(COUNTIFS(Data!$A:$A,$D148,Data!$F:$F,"HTS")=0,"N/A",IF(COUNTIFS(Data!$A:$A,$D148,Data!$F:$F,"HTS",Data!$L:$L,'Cluster Summary'!$D$3,Data!$I:$I,"Complete")&gt;0,"Complete",IF(COUNTIFS(Data!$A:$A,$D148,Data!$F:$F,"HTS",Data!$L:$L,'Cluster Summary'!$D$3)&gt;0,"Incomplete","Pending")))</f>
        <v>Complete</v>
      </c>
      <c r="I148" s="46" t="str">
        <f>IF(COUNTIFS(Data!$A:$A,$D148,Data!$F:$F,"MNCH")=0,"N/A",IF(COUNTIFS(Data!$A:$A,$D148,Data!$F:$F,"MNCH",Data!$L:$L,'Cluster Summary'!$D$3,Data!$I:$I,"Complete")&gt;0,"Complete",IF(COUNTIFS(Data!$A:$A,$D148,Data!$F:$F,"MNCH",Data!$L:$L,'Cluster Summary'!$D$3)&gt;0,"Incomplete","Pending")))</f>
        <v>Complete</v>
      </c>
      <c r="J148" s="46" t="str">
        <f>IF(COUNTIFS(Data!$A:$A,$D148,Data!$F:$F,"PREP")=0,"N/A",IF(COUNTIFS(Data!$A:$A,$D148,Data!$F:$F,"PREP",Data!$L:$L,'Cluster Summary'!$D$3,Data!$I:$I,"Complete")&gt;0,"Complete",IF(COUNTIFS(Data!$A:$A,$D148,Data!$F:$F,"PREP",Data!$L:$L,'Cluster Summary'!$D$3)&gt;0,"Incomplete","Pending")))</f>
        <v>Complete</v>
      </c>
      <c r="K148" s="46">
        <f t="shared" si="2"/>
        <v>0</v>
      </c>
    </row>
    <row r="149" spans="1:11" x14ac:dyDescent="0.35">
      <c r="A149" s="45" t="s">
        <v>29</v>
      </c>
      <c r="B149" s="45" t="s">
        <v>317</v>
      </c>
      <c r="C149" s="45" t="s">
        <v>318</v>
      </c>
      <c r="D149" s="46">
        <v>10312</v>
      </c>
      <c r="E149" s="45" t="s">
        <v>321</v>
      </c>
      <c r="F149" s="45" t="s">
        <v>131</v>
      </c>
      <c r="G149" s="46" t="str">
        <f>IF(COUNTIFS(Data!$A:$A,$D149,Data!$F:$F,"C&amp;T")=0,"N/A",IF(COUNTIFS(Data!$A:$A,$D149,Data!$F:$F,"C&amp;T",Data!$L:$L,'Cluster Summary'!$D$3,Data!$I:$I,"Complete")&gt;0,"Complete",IF(COUNTIFS(Data!$A:$A,$D149,Data!$F:$F,"C&amp;T",Data!$L:$L,'Cluster Summary'!$D$3)&gt;0,"Incomplete","Pending")))</f>
        <v>Complete</v>
      </c>
      <c r="H149" s="46" t="str">
        <f>IF(COUNTIFS(Data!$A:$A,$D149,Data!$F:$F,"HTS")=0,"N/A",IF(COUNTIFS(Data!$A:$A,$D149,Data!$F:$F,"HTS",Data!$L:$L,'Cluster Summary'!$D$3,Data!$I:$I,"Complete")&gt;0,"Complete",IF(COUNTIFS(Data!$A:$A,$D149,Data!$F:$F,"HTS",Data!$L:$L,'Cluster Summary'!$D$3)&gt;0,"Incomplete","Pending")))</f>
        <v>Complete</v>
      </c>
      <c r="I149" s="46" t="str">
        <f>IF(COUNTIFS(Data!$A:$A,$D149,Data!$F:$F,"MNCH")=0,"N/A",IF(COUNTIFS(Data!$A:$A,$D149,Data!$F:$F,"MNCH",Data!$L:$L,'Cluster Summary'!$D$3,Data!$I:$I,"Complete")&gt;0,"Complete",IF(COUNTIFS(Data!$A:$A,$D149,Data!$F:$F,"MNCH",Data!$L:$L,'Cluster Summary'!$D$3)&gt;0,"Incomplete","Pending")))</f>
        <v>Complete</v>
      </c>
      <c r="J149" s="46" t="str">
        <f>IF(COUNTIFS(Data!$A:$A,$D149,Data!$F:$F,"PREP")=0,"N/A",IF(COUNTIFS(Data!$A:$A,$D149,Data!$F:$F,"PREP",Data!$L:$L,'Cluster Summary'!$D$3,Data!$I:$I,"Complete")&gt;0,"Complete",IF(COUNTIFS(Data!$A:$A,$D149,Data!$F:$F,"PREP",Data!$L:$L,'Cluster Summary'!$D$3)&gt;0,"Incomplete","Pending")))</f>
        <v>Complete</v>
      </c>
      <c r="K149" s="46">
        <f t="shared" si="2"/>
        <v>0</v>
      </c>
    </row>
    <row r="150" spans="1:11" x14ac:dyDescent="0.35">
      <c r="A150" s="45" t="s">
        <v>29</v>
      </c>
      <c r="B150" s="45" t="s">
        <v>317</v>
      </c>
      <c r="C150" s="45" t="s">
        <v>318</v>
      </c>
      <c r="D150" s="46">
        <v>10481</v>
      </c>
      <c r="E150" s="45" t="s">
        <v>322</v>
      </c>
      <c r="F150" s="45" t="s">
        <v>131</v>
      </c>
      <c r="G150" s="46" t="str">
        <f>IF(COUNTIFS(Data!$A:$A,$D150,Data!$F:$F,"C&amp;T")=0,"N/A",IF(COUNTIFS(Data!$A:$A,$D150,Data!$F:$F,"C&amp;T",Data!$L:$L,'Cluster Summary'!$D$3,Data!$I:$I,"Complete")&gt;0,"Complete",IF(COUNTIFS(Data!$A:$A,$D150,Data!$F:$F,"C&amp;T",Data!$L:$L,'Cluster Summary'!$D$3)&gt;0,"Incomplete","Pending")))</f>
        <v>Incomplete</v>
      </c>
      <c r="H150" s="46" t="str">
        <f>IF(COUNTIFS(Data!$A:$A,$D150,Data!$F:$F,"HTS")=0,"N/A",IF(COUNTIFS(Data!$A:$A,$D150,Data!$F:$F,"HTS",Data!$L:$L,'Cluster Summary'!$D$3,Data!$I:$I,"Complete")&gt;0,"Complete",IF(COUNTIFS(Data!$A:$A,$D150,Data!$F:$F,"HTS",Data!$L:$L,'Cluster Summary'!$D$3)&gt;0,"Incomplete","Pending")))</f>
        <v>Complete</v>
      </c>
      <c r="I150" s="46" t="str">
        <f>IF(COUNTIFS(Data!$A:$A,$D150,Data!$F:$F,"MNCH")=0,"N/A",IF(COUNTIFS(Data!$A:$A,$D150,Data!$F:$F,"MNCH",Data!$L:$L,'Cluster Summary'!$D$3,Data!$I:$I,"Complete")&gt;0,"Complete",IF(COUNTIFS(Data!$A:$A,$D150,Data!$F:$F,"MNCH",Data!$L:$L,'Cluster Summary'!$D$3)&gt;0,"Incomplete","Pending")))</f>
        <v>Complete</v>
      </c>
      <c r="J150" s="46" t="str">
        <f>IF(COUNTIFS(Data!$A:$A,$D150,Data!$F:$F,"PREP")=0,"N/A",IF(COUNTIFS(Data!$A:$A,$D150,Data!$F:$F,"PREP",Data!$L:$L,'Cluster Summary'!$D$3,Data!$I:$I,"Complete")&gt;0,"Complete",IF(COUNTIFS(Data!$A:$A,$D150,Data!$F:$F,"PREP",Data!$L:$L,'Cluster Summary'!$D$3)&gt;0,"Incomplete","Pending")))</f>
        <v>Complete</v>
      </c>
      <c r="K150" s="46">
        <f t="shared" si="2"/>
        <v>0</v>
      </c>
    </row>
    <row r="151" spans="1:11" x14ac:dyDescent="0.35">
      <c r="A151" s="45" t="s">
        <v>29</v>
      </c>
      <c r="B151" s="45" t="s">
        <v>317</v>
      </c>
      <c r="C151" s="45" t="s">
        <v>318</v>
      </c>
      <c r="D151" s="46">
        <v>10786</v>
      </c>
      <c r="E151" s="45" t="s">
        <v>323</v>
      </c>
      <c r="F151" s="45" t="s">
        <v>131</v>
      </c>
      <c r="G151" s="46" t="str">
        <f>IF(COUNTIFS(Data!$A:$A,$D151,Data!$F:$F,"C&amp;T")=0,"N/A",IF(COUNTIFS(Data!$A:$A,$D151,Data!$F:$F,"C&amp;T",Data!$L:$L,'Cluster Summary'!$D$3,Data!$I:$I,"Complete")&gt;0,"Complete",IF(COUNTIFS(Data!$A:$A,$D151,Data!$F:$F,"C&amp;T",Data!$L:$L,'Cluster Summary'!$D$3)&gt;0,"Incomplete","Pending")))</f>
        <v>Complete</v>
      </c>
      <c r="H151" s="46" t="str">
        <f>IF(COUNTIFS(Data!$A:$A,$D151,Data!$F:$F,"HTS")=0,"N/A",IF(COUNTIFS(Data!$A:$A,$D151,Data!$F:$F,"HTS",Data!$L:$L,'Cluster Summary'!$D$3,Data!$I:$I,"Complete")&gt;0,"Complete",IF(COUNTIFS(Data!$A:$A,$D151,Data!$F:$F,"HTS",Data!$L:$L,'Cluster Summary'!$D$3)&gt;0,"Incomplete","Pending")))</f>
        <v>Pending</v>
      </c>
      <c r="I151" s="46" t="str">
        <f>IF(COUNTIFS(Data!$A:$A,$D151,Data!$F:$F,"MNCH")=0,"N/A",IF(COUNTIFS(Data!$A:$A,$D151,Data!$F:$F,"MNCH",Data!$L:$L,'Cluster Summary'!$D$3,Data!$I:$I,"Complete")&gt;0,"Complete",IF(COUNTIFS(Data!$A:$A,$D151,Data!$F:$F,"MNCH",Data!$L:$L,'Cluster Summary'!$D$3)&gt;0,"Incomplete","Pending")))</f>
        <v>Complete</v>
      </c>
      <c r="J151" s="46" t="str">
        <f>IF(COUNTIFS(Data!$A:$A,$D151,Data!$F:$F,"PREP")=0,"N/A",IF(COUNTIFS(Data!$A:$A,$D151,Data!$F:$F,"PREP",Data!$L:$L,'Cluster Summary'!$D$3,Data!$I:$I,"Complete")&gt;0,"Complete",IF(COUNTIFS(Data!$A:$A,$D151,Data!$F:$F,"PREP",Data!$L:$L,'Cluster Summary'!$D$3)&gt;0,"Incomplete","Pending")))</f>
        <v>Complete</v>
      </c>
      <c r="K151" s="46">
        <f t="shared" si="2"/>
        <v>1</v>
      </c>
    </row>
    <row r="152" spans="1:11" x14ac:dyDescent="0.35">
      <c r="A152" s="45" t="s">
        <v>29</v>
      </c>
      <c r="B152" s="45" t="s">
        <v>317</v>
      </c>
      <c r="C152" s="45" t="s">
        <v>318</v>
      </c>
      <c r="D152" s="46">
        <v>10820</v>
      </c>
      <c r="E152" s="45" t="s">
        <v>324</v>
      </c>
      <c r="F152" s="45" t="s">
        <v>131</v>
      </c>
      <c r="G152" s="46" t="str">
        <f>IF(COUNTIFS(Data!$A:$A,$D152,Data!$F:$F,"C&amp;T")=0,"N/A",IF(COUNTIFS(Data!$A:$A,$D152,Data!$F:$F,"C&amp;T",Data!$L:$L,'Cluster Summary'!$D$3,Data!$I:$I,"Complete")&gt;0,"Complete",IF(COUNTIFS(Data!$A:$A,$D152,Data!$F:$F,"C&amp;T",Data!$L:$L,'Cluster Summary'!$D$3)&gt;0,"Incomplete","Pending")))</f>
        <v>Complete</v>
      </c>
      <c r="H152" s="46" t="str">
        <f>IF(COUNTIFS(Data!$A:$A,$D152,Data!$F:$F,"HTS")=0,"N/A",IF(COUNTIFS(Data!$A:$A,$D152,Data!$F:$F,"HTS",Data!$L:$L,'Cluster Summary'!$D$3,Data!$I:$I,"Complete")&gt;0,"Complete",IF(COUNTIFS(Data!$A:$A,$D152,Data!$F:$F,"HTS",Data!$L:$L,'Cluster Summary'!$D$3)&gt;0,"Incomplete","Pending")))</f>
        <v>Complete</v>
      </c>
      <c r="I152" s="46" t="str">
        <f>IF(COUNTIFS(Data!$A:$A,$D152,Data!$F:$F,"MNCH")=0,"N/A",IF(COUNTIFS(Data!$A:$A,$D152,Data!$F:$F,"MNCH",Data!$L:$L,'Cluster Summary'!$D$3,Data!$I:$I,"Complete")&gt;0,"Complete",IF(COUNTIFS(Data!$A:$A,$D152,Data!$F:$F,"MNCH",Data!$L:$L,'Cluster Summary'!$D$3)&gt;0,"Incomplete","Pending")))</f>
        <v>Incomplete</v>
      </c>
      <c r="J152" s="46" t="str">
        <f>IF(COUNTIFS(Data!$A:$A,$D152,Data!$F:$F,"PREP")=0,"N/A",IF(COUNTIFS(Data!$A:$A,$D152,Data!$F:$F,"PREP",Data!$L:$L,'Cluster Summary'!$D$3,Data!$I:$I,"Complete")&gt;0,"Complete",IF(COUNTIFS(Data!$A:$A,$D152,Data!$F:$F,"PREP",Data!$L:$L,'Cluster Summary'!$D$3)&gt;0,"Incomplete","Pending")))</f>
        <v>Incomplete</v>
      </c>
      <c r="K152" s="46">
        <f t="shared" si="2"/>
        <v>0</v>
      </c>
    </row>
    <row r="153" spans="1:11" x14ac:dyDescent="0.35">
      <c r="A153" s="45" t="s">
        <v>29</v>
      </c>
      <c r="B153" s="45" t="s">
        <v>317</v>
      </c>
      <c r="C153" s="45" t="s">
        <v>318</v>
      </c>
      <c r="D153" s="46">
        <v>10840</v>
      </c>
      <c r="E153" s="45" t="s">
        <v>325</v>
      </c>
      <c r="F153" s="45" t="s">
        <v>131</v>
      </c>
      <c r="G153" s="46" t="str">
        <f>IF(COUNTIFS(Data!$A:$A,$D153,Data!$F:$F,"C&amp;T")=0,"N/A",IF(COUNTIFS(Data!$A:$A,$D153,Data!$F:$F,"C&amp;T",Data!$L:$L,'Cluster Summary'!$D$3,Data!$I:$I,"Complete")&gt;0,"Complete",IF(COUNTIFS(Data!$A:$A,$D153,Data!$F:$F,"C&amp;T",Data!$L:$L,'Cluster Summary'!$D$3)&gt;0,"Incomplete","Pending")))</f>
        <v>Complete</v>
      </c>
      <c r="H153" s="46" t="str">
        <f>IF(COUNTIFS(Data!$A:$A,$D153,Data!$F:$F,"HTS")=0,"N/A",IF(COUNTIFS(Data!$A:$A,$D153,Data!$F:$F,"HTS",Data!$L:$L,'Cluster Summary'!$D$3,Data!$I:$I,"Complete")&gt;0,"Complete",IF(COUNTIFS(Data!$A:$A,$D153,Data!$F:$F,"HTS",Data!$L:$L,'Cluster Summary'!$D$3)&gt;0,"Incomplete","Pending")))</f>
        <v>Complete</v>
      </c>
      <c r="I153" s="46" t="str">
        <f>IF(COUNTIFS(Data!$A:$A,$D153,Data!$F:$F,"MNCH")=0,"N/A",IF(COUNTIFS(Data!$A:$A,$D153,Data!$F:$F,"MNCH",Data!$L:$L,'Cluster Summary'!$D$3,Data!$I:$I,"Complete")&gt;0,"Complete",IF(COUNTIFS(Data!$A:$A,$D153,Data!$F:$F,"MNCH",Data!$L:$L,'Cluster Summary'!$D$3)&gt;0,"Incomplete","Pending")))</f>
        <v>Complete</v>
      </c>
      <c r="J153" s="46" t="str">
        <f>IF(COUNTIFS(Data!$A:$A,$D153,Data!$F:$F,"PREP")=0,"N/A",IF(COUNTIFS(Data!$A:$A,$D153,Data!$F:$F,"PREP",Data!$L:$L,'Cluster Summary'!$D$3,Data!$I:$I,"Complete")&gt;0,"Complete",IF(COUNTIFS(Data!$A:$A,$D153,Data!$F:$F,"PREP",Data!$L:$L,'Cluster Summary'!$D$3)&gt;0,"Incomplete","Pending")))</f>
        <v>Complete</v>
      </c>
      <c r="K153" s="46">
        <f t="shared" si="2"/>
        <v>0</v>
      </c>
    </row>
    <row r="154" spans="1:11" x14ac:dyDescent="0.35">
      <c r="A154" s="45" t="s">
        <v>29</v>
      </c>
      <c r="B154" s="45" t="s">
        <v>317</v>
      </c>
      <c r="C154" s="45" t="s">
        <v>318</v>
      </c>
      <c r="D154" s="46">
        <v>17560</v>
      </c>
      <c r="E154" s="45" t="s">
        <v>326</v>
      </c>
      <c r="F154" s="45" t="s">
        <v>149</v>
      </c>
      <c r="G154" s="46" t="str">
        <f>IF(COUNTIFS(Data!$A:$A,$D154,Data!$F:$F,"C&amp;T")=0,"N/A",IF(COUNTIFS(Data!$A:$A,$D154,Data!$F:$F,"C&amp;T",Data!$L:$L,'Cluster Summary'!$D$3,Data!$I:$I,"Complete")&gt;0,"Complete",IF(COUNTIFS(Data!$A:$A,$D154,Data!$F:$F,"C&amp;T",Data!$L:$L,'Cluster Summary'!$D$3)&gt;0,"Incomplete","Pending")))</f>
        <v>Complete</v>
      </c>
      <c r="H154" s="46" t="str">
        <f>IF(COUNTIFS(Data!$A:$A,$D154,Data!$F:$F,"HTS")=0,"N/A",IF(COUNTIFS(Data!$A:$A,$D154,Data!$F:$F,"HTS",Data!$L:$L,'Cluster Summary'!$D$3,Data!$I:$I,"Complete")&gt;0,"Complete",IF(COUNTIFS(Data!$A:$A,$D154,Data!$F:$F,"HTS",Data!$L:$L,'Cluster Summary'!$D$3)&gt;0,"Incomplete","Pending")))</f>
        <v>Complete</v>
      </c>
      <c r="I154" s="46" t="str">
        <f>IF(COUNTIFS(Data!$A:$A,$D154,Data!$F:$F,"MNCH")=0,"N/A",IF(COUNTIFS(Data!$A:$A,$D154,Data!$F:$F,"MNCH",Data!$L:$L,'Cluster Summary'!$D$3,Data!$I:$I,"Complete")&gt;0,"Complete",IF(COUNTIFS(Data!$A:$A,$D154,Data!$F:$F,"MNCH",Data!$L:$L,'Cluster Summary'!$D$3)&gt;0,"Incomplete","Pending")))</f>
        <v>Complete</v>
      </c>
      <c r="J154" s="46" t="str">
        <f>IF(COUNTIFS(Data!$A:$A,$D154,Data!$F:$F,"PREP")=0,"N/A",IF(COUNTIFS(Data!$A:$A,$D154,Data!$F:$F,"PREP",Data!$L:$L,'Cluster Summary'!$D$3,Data!$I:$I,"Complete")&gt;0,"Complete",IF(COUNTIFS(Data!$A:$A,$D154,Data!$F:$F,"PREP",Data!$L:$L,'Cluster Summary'!$D$3)&gt;0,"Incomplete","Pending")))</f>
        <v>Complete</v>
      </c>
      <c r="K154" s="46">
        <f t="shared" si="2"/>
        <v>0</v>
      </c>
    </row>
    <row r="155" spans="1:11" x14ac:dyDescent="0.35">
      <c r="A155" s="45" t="s">
        <v>29</v>
      </c>
      <c r="B155" s="45" t="s">
        <v>317</v>
      </c>
      <c r="C155" s="45" t="s">
        <v>318</v>
      </c>
      <c r="D155" s="46">
        <v>10878</v>
      </c>
      <c r="E155" s="45" t="s">
        <v>327</v>
      </c>
      <c r="F155" s="45" t="s">
        <v>131</v>
      </c>
      <c r="G155" s="46" t="str">
        <f>IF(COUNTIFS(Data!$A:$A,$D155,Data!$F:$F,"C&amp;T")=0,"N/A",IF(COUNTIFS(Data!$A:$A,$D155,Data!$F:$F,"C&amp;T",Data!$L:$L,'Cluster Summary'!$D$3,Data!$I:$I,"Complete")&gt;0,"Complete",IF(COUNTIFS(Data!$A:$A,$D155,Data!$F:$F,"C&amp;T",Data!$L:$L,'Cluster Summary'!$D$3)&gt;0,"Incomplete","Pending")))</f>
        <v>Complete</v>
      </c>
      <c r="H155" s="46" t="str">
        <f>IF(COUNTIFS(Data!$A:$A,$D155,Data!$F:$F,"HTS")=0,"N/A",IF(COUNTIFS(Data!$A:$A,$D155,Data!$F:$F,"HTS",Data!$L:$L,'Cluster Summary'!$D$3,Data!$I:$I,"Complete")&gt;0,"Complete",IF(COUNTIFS(Data!$A:$A,$D155,Data!$F:$F,"HTS",Data!$L:$L,'Cluster Summary'!$D$3)&gt;0,"Incomplete","Pending")))</f>
        <v>Complete</v>
      </c>
      <c r="I155" s="46" t="str">
        <f>IF(COUNTIFS(Data!$A:$A,$D155,Data!$F:$F,"MNCH")=0,"N/A",IF(COUNTIFS(Data!$A:$A,$D155,Data!$F:$F,"MNCH",Data!$L:$L,'Cluster Summary'!$D$3,Data!$I:$I,"Complete")&gt;0,"Complete",IF(COUNTIFS(Data!$A:$A,$D155,Data!$F:$F,"MNCH",Data!$L:$L,'Cluster Summary'!$D$3)&gt;0,"Incomplete","Pending")))</f>
        <v>Complete</v>
      </c>
      <c r="J155" s="46" t="str">
        <f>IF(COUNTIFS(Data!$A:$A,$D155,Data!$F:$F,"PREP")=0,"N/A",IF(COUNTIFS(Data!$A:$A,$D155,Data!$F:$F,"PREP",Data!$L:$L,'Cluster Summary'!$D$3,Data!$I:$I,"Complete")&gt;0,"Complete",IF(COUNTIFS(Data!$A:$A,$D155,Data!$F:$F,"PREP",Data!$L:$L,'Cluster Summary'!$D$3)&gt;0,"Incomplete","Pending")))</f>
        <v>Incomplete</v>
      </c>
      <c r="K155" s="46">
        <f t="shared" si="2"/>
        <v>0</v>
      </c>
    </row>
    <row r="156" spans="1:11" x14ac:dyDescent="0.35">
      <c r="A156" s="45" t="s">
        <v>29</v>
      </c>
      <c r="B156" s="45" t="s">
        <v>317</v>
      </c>
      <c r="C156" s="45" t="s">
        <v>318</v>
      </c>
      <c r="D156" s="46">
        <v>10887</v>
      </c>
      <c r="E156" s="64" t="s">
        <v>328</v>
      </c>
      <c r="F156" s="45" t="s">
        <v>149</v>
      </c>
      <c r="G156" s="46" t="str">
        <f>IF(COUNTIFS(Data!$A:$A,$D156,Data!$F:$F,"C&amp;T")=0,"N/A",IF(COUNTIFS(Data!$A:$A,$D156,Data!$F:$F,"C&amp;T",Data!$L:$L,'Cluster Summary'!$D$3,Data!$I:$I,"Complete")&gt;0,"Complete",IF(COUNTIFS(Data!$A:$A,$D156,Data!$F:$F,"C&amp;T",Data!$L:$L,'Cluster Summary'!$D$3)&gt;0,"Incomplete","Pending")))</f>
        <v>Complete</v>
      </c>
      <c r="H156" s="46" t="str">
        <f>IF(COUNTIFS(Data!$A:$A,$D156,Data!$F:$F,"HTS")=0,"N/A",IF(COUNTIFS(Data!$A:$A,$D156,Data!$F:$F,"HTS",Data!$L:$L,'Cluster Summary'!$D$3,Data!$I:$I,"Complete")&gt;0,"Complete",IF(COUNTIFS(Data!$A:$A,$D156,Data!$F:$F,"HTS",Data!$L:$L,'Cluster Summary'!$D$3)&gt;0,"Incomplete","Pending")))</f>
        <v>Complete</v>
      </c>
      <c r="I156" s="46" t="str">
        <f>IF(COUNTIFS(Data!$A:$A,$D156,Data!$F:$F,"MNCH")=0,"N/A",IF(COUNTIFS(Data!$A:$A,$D156,Data!$F:$F,"MNCH",Data!$L:$L,'Cluster Summary'!$D$3,Data!$I:$I,"Complete")&gt;0,"Complete",IF(COUNTIFS(Data!$A:$A,$D156,Data!$F:$F,"MNCH",Data!$L:$L,'Cluster Summary'!$D$3)&gt;0,"Incomplete","Pending")))</f>
        <v>Complete</v>
      </c>
      <c r="J156" s="46" t="str">
        <f>IF(COUNTIFS(Data!$A:$A,$D156,Data!$F:$F,"PREP")=0,"N/A",IF(COUNTIFS(Data!$A:$A,$D156,Data!$F:$F,"PREP",Data!$L:$L,'Cluster Summary'!$D$3,Data!$I:$I,"Complete")&gt;0,"Complete",IF(COUNTIFS(Data!$A:$A,$D156,Data!$F:$F,"PREP",Data!$L:$L,'Cluster Summary'!$D$3)&gt;0,"Incomplete","Pending")))</f>
        <v>Complete</v>
      </c>
      <c r="K156" s="46">
        <f t="shared" si="2"/>
        <v>0</v>
      </c>
    </row>
    <row r="157" spans="1:11" x14ac:dyDescent="0.35">
      <c r="A157" s="45" t="s">
        <v>29</v>
      </c>
      <c r="B157" s="45" t="s">
        <v>317</v>
      </c>
      <c r="C157" s="45" t="s">
        <v>318</v>
      </c>
      <c r="D157" s="46">
        <v>11183</v>
      </c>
      <c r="E157" s="45" t="s">
        <v>329</v>
      </c>
      <c r="F157" s="45" t="s">
        <v>131</v>
      </c>
      <c r="G157" s="46" t="str">
        <f>IF(COUNTIFS(Data!$A:$A,$D157,Data!$F:$F,"C&amp;T")=0,"N/A",IF(COUNTIFS(Data!$A:$A,$D157,Data!$F:$F,"C&amp;T",Data!$L:$L,'Cluster Summary'!$D$3,Data!$I:$I,"Complete")&gt;0,"Complete",IF(COUNTIFS(Data!$A:$A,$D157,Data!$F:$F,"C&amp;T",Data!$L:$L,'Cluster Summary'!$D$3)&gt;0,"Incomplete","Pending")))</f>
        <v>Complete</v>
      </c>
      <c r="H157" s="46" t="str">
        <f>IF(COUNTIFS(Data!$A:$A,$D157,Data!$F:$F,"HTS")=0,"N/A",IF(COUNTIFS(Data!$A:$A,$D157,Data!$F:$F,"HTS",Data!$L:$L,'Cluster Summary'!$D$3,Data!$I:$I,"Complete")&gt;0,"Complete",IF(COUNTIFS(Data!$A:$A,$D157,Data!$F:$F,"HTS",Data!$L:$L,'Cluster Summary'!$D$3)&gt;0,"Incomplete","Pending")))</f>
        <v>Complete</v>
      </c>
      <c r="I157" s="46" t="str">
        <f>IF(COUNTIFS(Data!$A:$A,$D157,Data!$F:$F,"MNCH")=0,"N/A",IF(COUNTIFS(Data!$A:$A,$D157,Data!$F:$F,"MNCH",Data!$L:$L,'Cluster Summary'!$D$3,Data!$I:$I,"Complete")&gt;0,"Complete",IF(COUNTIFS(Data!$A:$A,$D157,Data!$F:$F,"MNCH",Data!$L:$L,'Cluster Summary'!$D$3)&gt;0,"Incomplete","Pending")))</f>
        <v>Complete</v>
      </c>
      <c r="J157" s="46" t="str">
        <f>IF(COUNTIFS(Data!$A:$A,$D157,Data!$F:$F,"PREP")=0,"N/A",IF(COUNTIFS(Data!$A:$A,$D157,Data!$F:$F,"PREP",Data!$L:$L,'Cluster Summary'!$D$3,Data!$I:$I,"Complete")&gt;0,"Complete",IF(COUNTIFS(Data!$A:$A,$D157,Data!$F:$F,"PREP",Data!$L:$L,'Cluster Summary'!$D$3)&gt;0,"Incomplete","Pending")))</f>
        <v>Complete</v>
      </c>
      <c r="K157" s="46">
        <f t="shared" si="2"/>
        <v>0</v>
      </c>
    </row>
    <row r="158" spans="1:11" x14ac:dyDescent="0.35">
      <c r="A158" s="45" t="s">
        <v>29</v>
      </c>
      <c r="B158" s="45" t="s">
        <v>317</v>
      </c>
      <c r="C158" s="45" t="s">
        <v>330</v>
      </c>
      <c r="D158" s="46">
        <v>10244</v>
      </c>
      <c r="E158" s="45" t="s">
        <v>331</v>
      </c>
      <c r="F158" s="45" t="s">
        <v>131</v>
      </c>
      <c r="G158" s="46" t="str">
        <f>IF(COUNTIFS(Data!$A:$A,$D158,Data!$F:$F,"C&amp;T")=0,"N/A",IF(COUNTIFS(Data!$A:$A,$D158,Data!$F:$F,"C&amp;T",Data!$L:$L,'Cluster Summary'!$D$3,Data!$I:$I,"Complete")&gt;0,"Complete",IF(COUNTIFS(Data!$A:$A,$D158,Data!$F:$F,"C&amp;T",Data!$L:$L,'Cluster Summary'!$D$3)&gt;0,"Incomplete","Pending")))</f>
        <v>Complete</v>
      </c>
      <c r="H158" s="46" t="str">
        <f>IF(COUNTIFS(Data!$A:$A,$D158,Data!$F:$F,"HTS")=0,"N/A",IF(COUNTIFS(Data!$A:$A,$D158,Data!$F:$F,"HTS",Data!$L:$L,'Cluster Summary'!$D$3,Data!$I:$I,"Complete")&gt;0,"Complete",IF(COUNTIFS(Data!$A:$A,$D158,Data!$F:$F,"HTS",Data!$L:$L,'Cluster Summary'!$D$3)&gt;0,"Incomplete","Pending")))</f>
        <v>Complete</v>
      </c>
      <c r="I158" s="46" t="str">
        <f>IF(COUNTIFS(Data!$A:$A,$D158,Data!$F:$F,"MNCH")=0,"N/A",IF(COUNTIFS(Data!$A:$A,$D158,Data!$F:$F,"MNCH",Data!$L:$L,'Cluster Summary'!$D$3,Data!$I:$I,"Complete")&gt;0,"Complete",IF(COUNTIFS(Data!$A:$A,$D158,Data!$F:$F,"MNCH",Data!$L:$L,'Cluster Summary'!$D$3)&gt;0,"Incomplete","Pending")))</f>
        <v>Complete</v>
      </c>
      <c r="J158" s="46" t="str">
        <f>IF(COUNTIFS(Data!$A:$A,$D158,Data!$F:$F,"PREP")=0,"N/A",IF(COUNTIFS(Data!$A:$A,$D158,Data!$F:$F,"PREP",Data!$L:$L,'Cluster Summary'!$D$3,Data!$I:$I,"Complete")&gt;0,"Complete",IF(COUNTIFS(Data!$A:$A,$D158,Data!$F:$F,"PREP",Data!$L:$L,'Cluster Summary'!$D$3)&gt;0,"Incomplete","Pending")))</f>
        <v>Complete</v>
      </c>
      <c r="K158" s="46">
        <f t="shared" si="2"/>
        <v>0</v>
      </c>
    </row>
    <row r="159" spans="1:11" x14ac:dyDescent="0.35">
      <c r="A159" s="45" t="s">
        <v>29</v>
      </c>
      <c r="B159" s="45" t="s">
        <v>317</v>
      </c>
      <c r="C159" s="45" t="s">
        <v>330</v>
      </c>
      <c r="D159" s="46">
        <v>10681</v>
      </c>
      <c r="E159" s="45" t="s">
        <v>332</v>
      </c>
      <c r="F159" s="45" t="s">
        <v>131</v>
      </c>
      <c r="G159" s="46" t="str">
        <f>IF(COUNTIFS(Data!$A:$A,$D159,Data!$F:$F,"C&amp;T")=0,"N/A",IF(COUNTIFS(Data!$A:$A,$D159,Data!$F:$F,"C&amp;T",Data!$L:$L,'Cluster Summary'!$D$3,Data!$I:$I,"Complete")&gt;0,"Complete",IF(COUNTIFS(Data!$A:$A,$D159,Data!$F:$F,"C&amp;T",Data!$L:$L,'Cluster Summary'!$D$3)&gt;0,"Incomplete","Pending")))</f>
        <v>Complete</v>
      </c>
      <c r="H159" s="46" t="str">
        <f>IF(COUNTIFS(Data!$A:$A,$D159,Data!$F:$F,"HTS")=0,"N/A",IF(COUNTIFS(Data!$A:$A,$D159,Data!$F:$F,"HTS",Data!$L:$L,'Cluster Summary'!$D$3,Data!$I:$I,"Complete")&gt;0,"Complete",IF(COUNTIFS(Data!$A:$A,$D159,Data!$F:$F,"HTS",Data!$L:$L,'Cluster Summary'!$D$3)&gt;0,"Incomplete","Pending")))</f>
        <v>Complete</v>
      </c>
      <c r="I159" s="46" t="str">
        <f>IF(COUNTIFS(Data!$A:$A,$D159,Data!$F:$F,"MNCH")=0,"N/A",IF(COUNTIFS(Data!$A:$A,$D159,Data!$F:$F,"MNCH",Data!$L:$L,'Cluster Summary'!$D$3,Data!$I:$I,"Complete")&gt;0,"Complete",IF(COUNTIFS(Data!$A:$A,$D159,Data!$F:$F,"MNCH",Data!$L:$L,'Cluster Summary'!$D$3)&gt;0,"Incomplete","Pending")))</f>
        <v>Complete</v>
      </c>
      <c r="J159" s="46" t="str">
        <f>IF(COUNTIFS(Data!$A:$A,$D159,Data!$F:$F,"PREP")=0,"N/A",IF(COUNTIFS(Data!$A:$A,$D159,Data!$F:$F,"PREP",Data!$L:$L,'Cluster Summary'!$D$3,Data!$I:$I,"Complete")&gt;0,"Complete",IF(COUNTIFS(Data!$A:$A,$D159,Data!$F:$F,"PREP",Data!$L:$L,'Cluster Summary'!$D$3)&gt;0,"Incomplete","Pending")))</f>
        <v>Incomplete</v>
      </c>
      <c r="K159" s="46">
        <f t="shared" si="2"/>
        <v>0</v>
      </c>
    </row>
    <row r="160" spans="1:11" x14ac:dyDescent="0.35">
      <c r="A160" s="45" t="s">
        <v>29</v>
      </c>
      <c r="B160" s="45" t="s">
        <v>317</v>
      </c>
      <c r="C160" s="45" t="s">
        <v>330</v>
      </c>
      <c r="D160" s="46">
        <v>10832</v>
      </c>
      <c r="E160" s="45" t="s">
        <v>333</v>
      </c>
      <c r="F160" s="45" t="s">
        <v>131</v>
      </c>
      <c r="G160" s="46" t="str">
        <f>IF(COUNTIFS(Data!$A:$A,$D160,Data!$F:$F,"C&amp;T")=0,"N/A",IF(COUNTIFS(Data!$A:$A,$D160,Data!$F:$F,"C&amp;T",Data!$L:$L,'Cluster Summary'!$D$3,Data!$I:$I,"Complete")&gt;0,"Complete",IF(COUNTIFS(Data!$A:$A,$D160,Data!$F:$F,"C&amp;T",Data!$L:$L,'Cluster Summary'!$D$3)&gt;0,"Incomplete","Pending")))</f>
        <v>Complete</v>
      </c>
      <c r="H160" s="46" t="str">
        <f>IF(COUNTIFS(Data!$A:$A,$D160,Data!$F:$F,"HTS")=0,"N/A",IF(COUNTIFS(Data!$A:$A,$D160,Data!$F:$F,"HTS",Data!$L:$L,'Cluster Summary'!$D$3,Data!$I:$I,"Complete")&gt;0,"Complete",IF(COUNTIFS(Data!$A:$A,$D160,Data!$F:$F,"HTS",Data!$L:$L,'Cluster Summary'!$D$3)&gt;0,"Incomplete","Pending")))</f>
        <v>Complete</v>
      </c>
      <c r="I160" s="46" t="str">
        <f>IF(COUNTIFS(Data!$A:$A,$D160,Data!$F:$F,"MNCH")=0,"N/A",IF(COUNTIFS(Data!$A:$A,$D160,Data!$F:$F,"MNCH",Data!$L:$L,'Cluster Summary'!$D$3,Data!$I:$I,"Complete")&gt;0,"Complete",IF(COUNTIFS(Data!$A:$A,$D160,Data!$F:$F,"MNCH",Data!$L:$L,'Cluster Summary'!$D$3)&gt;0,"Incomplete","Pending")))</f>
        <v>Complete</v>
      </c>
      <c r="J160" s="46" t="str">
        <f>IF(COUNTIFS(Data!$A:$A,$D160,Data!$F:$F,"PREP")=0,"N/A",IF(COUNTIFS(Data!$A:$A,$D160,Data!$F:$F,"PREP",Data!$L:$L,'Cluster Summary'!$D$3,Data!$I:$I,"Complete")&gt;0,"Complete",IF(COUNTIFS(Data!$A:$A,$D160,Data!$F:$F,"PREP",Data!$L:$L,'Cluster Summary'!$D$3)&gt;0,"Incomplete","Pending")))</f>
        <v>Complete</v>
      </c>
      <c r="K160" s="46">
        <f t="shared" si="2"/>
        <v>0</v>
      </c>
    </row>
    <row r="161" spans="1:11" x14ac:dyDescent="0.35">
      <c r="A161" s="45" t="s">
        <v>29</v>
      </c>
      <c r="B161" s="45" t="s">
        <v>317</v>
      </c>
      <c r="C161" s="45" t="s">
        <v>330</v>
      </c>
      <c r="D161" s="46">
        <v>10912</v>
      </c>
      <c r="E161" s="45" t="s">
        <v>334</v>
      </c>
      <c r="F161" s="45" t="s">
        <v>131</v>
      </c>
      <c r="G161" s="46" t="str">
        <f>IF(COUNTIFS(Data!$A:$A,$D161,Data!$F:$F,"C&amp;T")=0,"N/A",IF(COUNTIFS(Data!$A:$A,$D161,Data!$F:$F,"C&amp;T",Data!$L:$L,'Cluster Summary'!$D$3,Data!$I:$I,"Complete")&gt;0,"Complete",IF(COUNTIFS(Data!$A:$A,$D161,Data!$F:$F,"C&amp;T",Data!$L:$L,'Cluster Summary'!$D$3)&gt;0,"Incomplete","Pending")))</f>
        <v>Complete</v>
      </c>
      <c r="H161" s="46" t="str">
        <f>IF(COUNTIFS(Data!$A:$A,$D161,Data!$F:$F,"HTS")=0,"N/A",IF(COUNTIFS(Data!$A:$A,$D161,Data!$F:$F,"HTS",Data!$L:$L,'Cluster Summary'!$D$3,Data!$I:$I,"Complete")&gt;0,"Complete",IF(COUNTIFS(Data!$A:$A,$D161,Data!$F:$F,"HTS",Data!$L:$L,'Cluster Summary'!$D$3)&gt;0,"Incomplete","Pending")))</f>
        <v>Complete</v>
      </c>
      <c r="I161" s="46" t="str">
        <f>IF(COUNTIFS(Data!$A:$A,$D161,Data!$F:$F,"MNCH")=0,"N/A",IF(COUNTIFS(Data!$A:$A,$D161,Data!$F:$F,"MNCH",Data!$L:$L,'Cluster Summary'!$D$3,Data!$I:$I,"Complete")&gt;0,"Complete",IF(COUNTIFS(Data!$A:$A,$D161,Data!$F:$F,"MNCH",Data!$L:$L,'Cluster Summary'!$D$3)&gt;0,"Incomplete","Pending")))</f>
        <v>Pending</v>
      </c>
      <c r="J161" s="46" t="str">
        <f>IF(COUNTIFS(Data!$A:$A,$D161,Data!$F:$F,"PREP")=0,"N/A",IF(COUNTIFS(Data!$A:$A,$D161,Data!$F:$F,"PREP",Data!$L:$L,'Cluster Summary'!$D$3,Data!$I:$I,"Complete")&gt;0,"Complete",IF(COUNTIFS(Data!$A:$A,$D161,Data!$F:$F,"PREP",Data!$L:$L,'Cluster Summary'!$D$3)&gt;0,"Incomplete","Pending")))</f>
        <v>Pending</v>
      </c>
      <c r="K161" s="46">
        <f t="shared" si="2"/>
        <v>2</v>
      </c>
    </row>
    <row r="162" spans="1:11" x14ac:dyDescent="0.35">
      <c r="A162" s="45" t="s">
        <v>29</v>
      </c>
      <c r="B162" s="45" t="s">
        <v>317</v>
      </c>
      <c r="C162" s="45" t="s">
        <v>330</v>
      </c>
      <c r="D162" s="46">
        <v>11126</v>
      </c>
      <c r="E162" s="63" t="s">
        <v>335</v>
      </c>
      <c r="F162" s="45" t="s">
        <v>131</v>
      </c>
      <c r="G162" s="46" t="str">
        <f>IF(COUNTIFS(Data!$A:$A,$D162,Data!$F:$F,"C&amp;T")=0,"N/A",IF(COUNTIFS(Data!$A:$A,$D162,Data!$F:$F,"C&amp;T",Data!$L:$L,'Cluster Summary'!$D$3,Data!$I:$I,"Complete")&gt;0,"Complete",IF(COUNTIFS(Data!$A:$A,$D162,Data!$F:$F,"C&amp;T",Data!$L:$L,'Cluster Summary'!$D$3)&gt;0,"Incomplete","Pending")))</f>
        <v>Complete</v>
      </c>
      <c r="H162" s="46" t="str">
        <f>IF(COUNTIFS(Data!$A:$A,$D162,Data!$F:$F,"HTS")=0,"N/A",IF(COUNTIFS(Data!$A:$A,$D162,Data!$F:$F,"HTS",Data!$L:$L,'Cluster Summary'!$D$3,Data!$I:$I,"Complete")&gt;0,"Complete",IF(COUNTIFS(Data!$A:$A,$D162,Data!$F:$F,"HTS",Data!$L:$L,'Cluster Summary'!$D$3)&gt;0,"Incomplete","Pending")))</f>
        <v>Pending</v>
      </c>
      <c r="I162" s="46" t="str">
        <f>IF(COUNTIFS(Data!$A:$A,$D162,Data!$F:$F,"MNCH")=0,"N/A",IF(COUNTIFS(Data!$A:$A,$D162,Data!$F:$F,"MNCH",Data!$L:$L,'Cluster Summary'!$D$3,Data!$I:$I,"Complete")&gt;0,"Complete",IF(COUNTIFS(Data!$A:$A,$D162,Data!$F:$F,"MNCH",Data!$L:$L,'Cluster Summary'!$D$3)&gt;0,"Incomplete","Pending")))</f>
        <v>Incomplete</v>
      </c>
      <c r="J162" s="46" t="str">
        <f>IF(COUNTIFS(Data!$A:$A,$D162,Data!$F:$F,"PREP")=0,"N/A",IF(COUNTIFS(Data!$A:$A,$D162,Data!$F:$F,"PREP",Data!$L:$L,'Cluster Summary'!$D$3,Data!$I:$I,"Complete")&gt;0,"Complete",IF(COUNTIFS(Data!$A:$A,$D162,Data!$F:$F,"PREP",Data!$L:$L,'Cluster Summary'!$D$3)&gt;0,"Incomplete","Pending")))</f>
        <v>N/A</v>
      </c>
      <c r="K162" s="46">
        <f t="shared" si="2"/>
        <v>1</v>
      </c>
    </row>
    <row r="163" spans="1:11" x14ac:dyDescent="0.35">
      <c r="A163" s="45" t="s">
        <v>29</v>
      </c>
      <c r="B163" s="45" t="s">
        <v>317</v>
      </c>
      <c r="C163" s="45" t="s">
        <v>330</v>
      </c>
      <c r="D163" s="46">
        <v>11173</v>
      </c>
      <c r="E163" s="45" t="s">
        <v>336</v>
      </c>
      <c r="F163" s="45" t="s">
        <v>131</v>
      </c>
      <c r="G163" s="46" t="str">
        <f>IF(COUNTIFS(Data!$A:$A,$D163,Data!$F:$F,"C&amp;T")=0,"N/A",IF(COUNTIFS(Data!$A:$A,$D163,Data!$F:$F,"C&amp;T",Data!$L:$L,'Cluster Summary'!$D$3,Data!$I:$I,"Complete")&gt;0,"Complete",IF(COUNTIFS(Data!$A:$A,$D163,Data!$F:$F,"C&amp;T",Data!$L:$L,'Cluster Summary'!$D$3)&gt;0,"Incomplete","Pending")))</f>
        <v>Complete</v>
      </c>
      <c r="H163" s="46" t="str">
        <f>IF(COUNTIFS(Data!$A:$A,$D163,Data!$F:$F,"HTS")=0,"N/A",IF(COUNTIFS(Data!$A:$A,$D163,Data!$F:$F,"HTS",Data!$L:$L,'Cluster Summary'!$D$3,Data!$I:$I,"Complete")&gt;0,"Complete",IF(COUNTIFS(Data!$A:$A,$D163,Data!$F:$F,"HTS",Data!$L:$L,'Cluster Summary'!$D$3)&gt;0,"Incomplete","Pending")))</f>
        <v>Complete</v>
      </c>
      <c r="I163" s="46" t="str">
        <f>IF(COUNTIFS(Data!$A:$A,$D163,Data!$F:$F,"MNCH")=0,"N/A",IF(COUNTIFS(Data!$A:$A,$D163,Data!$F:$F,"MNCH",Data!$L:$L,'Cluster Summary'!$D$3,Data!$I:$I,"Complete")&gt;0,"Complete",IF(COUNTIFS(Data!$A:$A,$D163,Data!$F:$F,"MNCH",Data!$L:$L,'Cluster Summary'!$D$3)&gt;0,"Incomplete","Pending")))</f>
        <v>Incomplete</v>
      </c>
      <c r="J163" s="46" t="str">
        <f>IF(COUNTIFS(Data!$A:$A,$D163,Data!$F:$F,"PREP")=0,"N/A",IF(COUNTIFS(Data!$A:$A,$D163,Data!$F:$F,"PREP",Data!$L:$L,'Cluster Summary'!$D$3,Data!$I:$I,"Complete")&gt;0,"Complete",IF(COUNTIFS(Data!$A:$A,$D163,Data!$F:$F,"PREP",Data!$L:$L,'Cluster Summary'!$D$3)&gt;0,"Incomplete","Pending")))</f>
        <v>Incomplete</v>
      </c>
      <c r="K163" s="46">
        <f t="shared" si="2"/>
        <v>0</v>
      </c>
    </row>
    <row r="164" spans="1:11" x14ac:dyDescent="0.35">
      <c r="A164" s="45" t="s">
        <v>29</v>
      </c>
      <c r="B164" s="45" t="s">
        <v>317</v>
      </c>
      <c r="C164" s="45" t="s">
        <v>337</v>
      </c>
      <c r="D164" s="46">
        <v>10043</v>
      </c>
      <c r="E164" s="45" t="s">
        <v>338</v>
      </c>
      <c r="F164" s="45" t="s">
        <v>131</v>
      </c>
      <c r="G164" s="46" t="str">
        <f>IF(COUNTIFS(Data!$A:$A,$D164,Data!$F:$F,"C&amp;T")=0,"N/A",IF(COUNTIFS(Data!$A:$A,$D164,Data!$F:$F,"C&amp;T",Data!$L:$L,'Cluster Summary'!$D$3,Data!$I:$I,"Complete")&gt;0,"Complete",IF(COUNTIFS(Data!$A:$A,$D164,Data!$F:$F,"C&amp;T",Data!$L:$L,'Cluster Summary'!$D$3)&gt;0,"Incomplete","Pending")))</f>
        <v>Complete</v>
      </c>
      <c r="H164" s="46" t="str">
        <f>IF(COUNTIFS(Data!$A:$A,$D164,Data!$F:$F,"HTS")=0,"N/A",IF(COUNTIFS(Data!$A:$A,$D164,Data!$F:$F,"HTS",Data!$L:$L,'Cluster Summary'!$D$3,Data!$I:$I,"Complete")&gt;0,"Complete",IF(COUNTIFS(Data!$A:$A,$D164,Data!$F:$F,"HTS",Data!$L:$L,'Cluster Summary'!$D$3)&gt;0,"Incomplete","Pending")))</f>
        <v>Complete</v>
      </c>
      <c r="I164" s="46" t="str">
        <f>IF(COUNTIFS(Data!$A:$A,$D164,Data!$F:$F,"MNCH")=0,"N/A",IF(COUNTIFS(Data!$A:$A,$D164,Data!$F:$F,"MNCH",Data!$L:$L,'Cluster Summary'!$D$3,Data!$I:$I,"Complete")&gt;0,"Complete",IF(COUNTIFS(Data!$A:$A,$D164,Data!$F:$F,"MNCH",Data!$L:$L,'Cluster Summary'!$D$3)&gt;0,"Incomplete","Pending")))</f>
        <v>Complete</v>
      </c>
      <c r="J164" s="46" t="str">
        <f>IF(COUNTIFS(Data!$A:$A,$D164,Data!$F:$F,"PREP")=0,"N/A",IF(COUNTIFS(Data!$A:$A,$D164,Data!$F:$F,"PREP",Data!$L:$L,'Cluster Summary'!$D$3,Data!$I:$I,"Complete")&gt;0,"Complete",IF(COUNTIFS(Data!$A:$A,$D164,Data!$F:$F,"PREP",Data!$L:$L,'Cluster Summary'!$D$3)&gt;0,"Incomplete","Pending")))</f>
        <v>Complete</v>
      </c>
      <c r="K164" s="46">
        <f t="shared" si="2"/>
        <v>0</v>
      </c>
    </row>
    <row r="165" spans="1:11" x14ac:dyDescent="0.35">
      <c r="A165" s="45" t="s">
        <v>29</v>
      </c>
      <c r="B165" s="45" t="s">
        <v>317</v>
      </c>
      <c r="C165" s="45" t="s">
        <v>337</v>
      </c>
      <c r="D165" s="46">
        <v>10419</v>
      </c>
      <c r="E165" s="45" t="s">
        <v>339</v>
      </c>
      <c r="F165" s="45" t="s">
        <v>131</v>
      </c>
      <c r="G165" s="46" t="str">
        <f>IF(COUNTIFS(Data!$A:$A,$D165,Data!$F:$F,"C&amp;T")=0,"N/A",IF(COUNTIFS(Data!$A:$A,$D165,Data!$F:$F,"C&amp;T",Data!$L:$L,'Cluster Summary'!$D$3,Data!$I:$I,"Complete")&gt;0,"Complete",IF(COUNTIFS(Data!$A:$A,$D165,Data!$F:$F,"C&amp;T",Data!$L:$L,'Cluster Summary'!$D$3)&gt;0,"Incomplete","Pending")))</f>
        <v>Complete</v>
      </c>
      <c r="H165" s="46" t="str">
        <f>IF(COUNTIFS(Data!$A:$A,$D165,Data!$F:$F,"HTS")=0,"N/A",IF(COUNTIFS(Data!$A:$A,$D165,Data!$F:$F,"HTS",Data!$L:$L,'Cluster Summary'!$D$3,Data!$I:$I,"Complete")&gt;0,"Complete",IF(COUNTIFS(Data!$A:$A,$D165,Data!$F:$F,"HTS",Data!$L:$L,'Cluster Summary'!$D$3)&gt;0,"Incomplete","Pending")))</f>
        <v>Complete</v>
      </c>
      <c r="I165" s="46" t="str">
        <f>IF(COUNTIFS(Data!$A:$A,$D165,Data!$F:$F,"MNCH")=0,"N/A",IF(COUNTIFS(Data!$A:$A,$D165,Data!$F:$F,"MNCH",Data!$L:$L,'Cluster Summary'!$D$3,Data!$I:$I,"Complete")&gt;0,"Complete",IF(COUNTIFS(Data!$A:$A,$D165,Data!$F:$F,"MNCH",Data!$L:$L,'Cluster Summary'!$D$3)&gt;0,"Incomplete","Pending")))</f>
        <v>Incomplete</v>
      </c>
      <c r="J165" s="46" t="str">
        <f>IF(COUNTIFS(Data!$A:$A,$D165,Data!$F:$F,"PREP")=0,"N/A",IF(COUNTIFS(Data!$A:$A,$D165,Data!$F:$F,"PREP",Data!$L:$L,'Cluster Summary'!$D$3,Data!$I:$I,"Complete")&gt;0,"Complete",IF(COUNTIFS(Data!$A:$A,$D165,Data!$F:$F,"PREP",Data!$L:$L,'Cluster Summary'!$D$3)&gt;0,"Incomplete","Pending")))</f>
        <v>Complete</v>
      </c>
      <c r="K165" s="46">
        <f t="shared" si="2"/>
        <v>0</v>
      </c>
    </row>
    <row r="166" spans="1:11" x14ac:dyDescent="0.35">
      <c r="A166" s="45" t="s">
        <v>29</v>
      </c>
      <c r="B166" s="45" t="s">
        <v>317</v>
      </c>
      <c r="C166" s="45" t="s">
        <v>337</v>
      </c>
      <c r="D166" s="46">
        <v>10657</v>
      </c>
      <c r="E166" s="45" t="s">
        <v>340</v>
      </c>
      <c r="F166" s="45" t="s">
        <v>131</v>
      </c>
      <c r="G166" s="46" t="str">
        <f>IF(COUNTIFS(Data!$A:$A,$D166,Data!$F:$F,"C&amp;T")=0,"N/A",IF(COUNTIFS(Data!$A:$A,$D166,Data!$F:$F,"C&amp;T",Data!$L:$L,'Cluster Summary'!$D$3,Data!$I:$I,"Complete")&gt;0,"Complete",IF(COUNTIFS(Data!$A:$A,$D166,Data!$F:$F,"C&amp;T",Data!$L:$L,'Cluster Summary'!$D$3)&gt;0,"Incomplete","Pending")))</f>
        <v>Complete</v>
      </c>
      <c r="H166" s="46" t="str">
        <f>IF(COUNTIFS(Data!$A:$A,$D166,Data!$F:$F,"HTS")=0,"N/A",IF(COUNTIFS(Data!$A:$A,$D166,Data!$F:$F,"HTS",Data!$L:$L,'Cluster Summary'!$D$3,Data!$I:$I,"Complete")&gt;0,"Complete",IF(COUNTIFS(Data!$A:$A,$D166,Data!$F:$F,"HTS",Data!$L:$L,'Cluster Summary'!$D$3)&gt;0,"Incomplete","Pending")))</f>
        <v>Complete</v>
      </c>
      <c r="I166" s="46" t="str">
        <f>IF(COUNTIFS(Data!$A:$A,$D166,Data!$F:$F,"MNCH")=0,"N/A",IF(COUNTIFS(Data!$A:$A,$D166,Data!$F:$F,"MNCH",Data!$L:$L,'Cluster Summary'!$D$3,Data!$I:$I,"Complete")&gt;0,"Complete",IF(COUNTIFS(Data!$A:$A,$D166,Data!$F:$F,"MNCH",Data!$L:$L,'Cluster Summary'!$D$3)&gt;0,"Incomplete","Pending")))</f>
        <v>Incomplete</v>
      </c>
      <c r="J166" s="46" t="str">
        <f>IF(COUNTIFS(Data!$A:$A,$D166,Data!$F:$F,"PREP")=0,"N/A",IF(COUNTIFS(Data!$A:$A,$D166,Data!$F:$F,"PREP",Data!$L:$L,'Cluster Summary'!$D$3,Data!$I:$I,"Complete")&gt;0,"Complete",IF(COUNTIFS(Data!$A:$A,$D166,Data!$F:$F,"PREP",Data!$L:$L,'Cluster Summary'!$D$3)&gt;0,"Incomplete","Pending")))</f>
        <v>Incomplete</v>
      </c>
      <c r="K166" s="46">
        <f t="shared" si="2"/>
        <v>0</v>
      </c>
    </row>
    <row r="167" spans="1:11" x14ac:dyDescent="0.35">
      <c r="A167" s="45" t="s">
        <v>29</v>
      </c>
      <c r="B167" s="45" t="s">
        <v>317</v>
      </c>
      <c r="C167" s="45" t="s">
        <v>337</v>
      </c>
      <c r="D167" s="46">
        <v>10829</v>
      </c>
      <c r="E167" s="45" t="s">
        <v>341</v>
      </c>
      <c r="F167" s="45" t="s">
        <v>131</v>
      </c>
      <c r="G167" s="46" t="str">
        <f>IF(COUNTIFS(Data!$A:$A,$D167,Data!$F:$F,"C&amp;T")=0,"N/A",IF(COUNTIFS(Data!$A:$A,$D167,Data!$F:$F,"C&amp;T",Data!$L:$L,'Cluster Summary'!$D$3,Data!$I:$I,"Complete")&gt;0,"Complete",IF(COUNTIFS(Data!$A:$A,$D167,Data!$F:$F,"C&amp;T",Data!$L:$L,'Cluster Summary'!$D$3)&gt;0,"Incomplete","Pending")))</f>
        <v>Complete</v>
      </c>
      <c r="H167" s="46" t="str">
        <f>IF(COUNTIFS(Data!$A:$A,$D167,Data!$F:$F,"HTS")=0,"N/A",IF(COUNTIFS(Data!$A:$A,$D167,Data!$F:$F,"HTS",Data!$L:$L,'Cluster Summary'!$D$3,Data!$I:$I,"Complete")&gt;0,"Complete",IF(COUNTIFS(Data!$A:$A,$D167,Data!$F:$F,"HTS",Data!$L:$L,'Cluster Summary'!$D$3)&gt;0,"Incomplete","Pending")))</f>
        <v>Complete</v>
      </c>
      <c r="I167" s="46" t="str">
        <f>IF(COUNTIFS(Data!$A:$A,$D167,Data!$F:$F,"MNCH")=0,"N/A",IF(COUNTIFS(Data!$A:$A,$D167,Data!$F:$F,"MNCH",Data!$L:$L,'Cluster Summary'!$D$3,Data!$I:$I,"Complete")&gt;0,"Complete",IF(COUNTIFS(Data!$A:$A,$D167,Data!$F:$F,"MNCH",Data!$L:$L,'Cluster Summary'!$D$3)&gt;0,"Incomplete","Pending")))</f>
        <v>Complete</v>
      </c>
      <c r="J167" s="46" t="str">
        <f>IF(COUNTIFS(Data!$A:$A,$D167,Data!$F:$F,"PREP")=0,"N/A",IF(COUNTIFS(Data!$A:$A,$D167,Data!$F:$F,"PREP",Data!$L:$L,'Cluster Summary'!$D$3,Data!$I:$I,"Complete")&gt;0,"Complete",IF(COUNTIFS(Data!$A:$A,$D167,Data!$F:$F,"PREP",Data!$L:$L,'Cluster Summary'!$D$3)&gt;0,"Incomplete","Pending")))</f>
        <v>Incomplete</v>
      </c>
      <c r="K167" s="46">
        <f t="shared" si="2"/>
        <v>0</v>
      </c>
    </row>
    <row r="168" spans="1:11" x14ac:dyDescent="0.35">
      <c r="A168" s="45" t="s">
        <v>29</v>
      </c>
      <c r="B168" s="45" t="s">
        <v>317</v>
      </c>
      <c r="C168" s="45" t="s">
        <v>337</v>
      </c>
      <c r="D168" s="46">
        <v>11004</v>
      </c>
      <c r="E168" s="45" t="s">
        <v>342</v>
      </c>
      <c r="F168" s="45" t="s">
        <v>131</v>
      </c>
      <c r="G168" s="46" t="str">
        <f>IF(COUNTIFS(Data!$A:$A,$D168,Data!$F:$F,"C&amp;T")=0,"N/A",IF(COUNTIFS(Data!$A:$A,$D168,Data!$F:$F,"C&amp;T",Data!$L:$L,'Cluster Summary'!$D$3,Data!$I:$I,"Complete")&gt;0,"Complete",IF(COUNTIFS(Data!$A:$A,$D168,Data!$F:$F,"C&amp;T",Data!$L:$L,'Cluster Summary'!$D$3)&gt;0,"Incomplete","Pending")))</f>
        <v>Complete</v>
      </c>
      <c r="H168" s="46" t="str">
        <f>IF(COUNTIFS(Data!$A:$A,$D168,Data!$F:$F,"HTS")=0,"N/A",IF(COUNTIFS(Data!$A:$A,$D168,Data!$F:$F,"HTS",Data!$L:$L,'Cluster Summary'!$D$3,Data!$I:$I,"Complete")&gt;0,"Complete",IF(COUNTIFS(Data!$A:$A,$D168,Data!$F:$F,"HTS",Data!$L:$L,'Cluster Summary'!$D$3)&gt;0,"Incomplete","Pending")))</f>
        <v>Complete</v>
      </c>
      <c r="I168" s="46" t="str">
        <f>IF(COUNTIFS(Data!$A:$A,$D168,Data!$F:$F,"MNCH")=0,"N/A",IF(COUNTIFS(Data!$A:$A,$D168,Data!$F:$F,"MNCH",Data!$L:$L,'Cluster Summary'!$D$3,Data!$I:$I,"Complete")&gt;0,"Complete",IF(COUNTIFS(Data!$A:$A,$D168,Data!$F:$F,"MNCH",Data!$L:$L,'Cluster Summary'!$D$3)&gt;0,"Incomplete","Pending")))</f>
        <v>Complete</v>
      </c>
      <c r="J168" s="46" t="str">
        <f>IF(COUNTIFS(Data!$A:$A,$D168,Data!$F:$F,"PREP")=0,"N/A",IF(COUNTIFS(Data!$A:$A,$D168,Data!$F:$F,"PREP",Data!$L:$L,'Cluster Summary'!$D$3,Data!$I:$I,"Complete")&gt;0,"Complete",IF(COUNTIFS(Data!$A:$A,$D168,Data!$F:$F,"PREP",Data!$L:$L,'Cluster Summary'!$D$3)&gt;0,"Incomplete","Pending")))</f>
        <v>Complete</v>
      </c>
      <c r="K168" s="46">
        <f t="shared" si="2"/>
        <v>0</v>
      </c>
    </row>
    <row r="169" spans="1:11" x14ac:dyDescent="0.35">
      <c r="A169" s="45" t="s">
        <v>29</v>
      </c>
      <c r="B169" s="45" t="s">
        <v>317</v>
      </c>
      <c r="C169" s="45" t="s">
        <v>337</v>
      </c>
      <c r="D169" s="46">
        <v>11076</v>
      </c>
      <c r="E169" s="45" t="s">
        <v>343</v>
      </c>
      <c r="F169" s="45" t="s">
        <v>131</v>
      </c>
      <c r="G169" s="46" t="str">
        <f>IF(COUNTIFS(Data!$A:$A,$D169,Data!$F:$F,"C&amp;T")=0,"N/A",IF(COUNTIFS(Data!$A:$A,$D169,Data!$F:$F,"C&amp;T",Data!$L:$L,'Cluster Summary'!$D$3,Data!$I:$I,"Complete")&gt;0,"Complete",IF(COUNTIFS(Data!$A:$A,$D169,Data!$F:$F,"C&amp;T",Data!$L:$L,'Cluster Summary'!$D$3)&gt;0,"Incomplete","Pending")))</f>
        <v>Complete</v>
      </c>
      <c r="H169" s="46" t="str">
        <f>IF(COUNTIFS(Data!$A:$A,$D169,Data!$F:$F,"HTS")=0,"N/A",IF(COUNTIFS(Data!$A:$A,$D169,Data!$F:$F,"HTS",Data!$L:$L,'Cluster Summary'!$D$3,Data!$I:$I,"Complete")&gt;0,"Complete",IF(COUNTIFS(Data!$A:$A,$D169,Data!$F:$F,"HTS",Data!$L:$L,'Cluster Summary'!$D$3)&gt;0,"Incomplete","Pending")))</f>
        <v>Complete</v>
      </c>
      <c r="I169" s="46" t="str">
        <f>IF(COUNTIFS(Data!$A:$A,$D169,Data!$F:$F,"MNCH")=0,"N/A",IF(COUNTIFS(Data!$A:$A,$D169,Data!$F:$F,"MNCH",Data!$L:$L,'Cluster Summary'!$D$3,Data!$I:$I,"Complete")&gt;0,"Complete",IF(COUNTIFS(Data!$A:$A,$D169,Data!$F:$F,"MNCH",Data!$L:$L,'Cluster Summary'!$D$3)&gt;0,"Incomplete","Pending")))</f>
        <v>Complete</v>
      </c>
      <c r="J169" s="46" t="str">
        <f>IF(COUNTIFS(Data!$A:$A,$D169,Data!$F:$F,"PREP")=0,"N/A",IF(COUNTIFS(Data!$A:$A,$D169,Data!$F:$F,"PREP",Data!$L:$L,'Cluster Summary'!$D$3,Data!$I:$I,"Complete")&gt;0,"Complete",IF(COUNTIFS(Data!$A:$A,$D169,Data!$F:$F,"PREP",Data!$L:$L,'Cluster Summary'!$D$3)&gt;0,"Incomplete","Pending")))</f>
        <v>Complete</v>
      </c>
      <c r="K169" s="46">
        <f t="shared" si="2"/>
        <v>0</v>
      </c>
    </row>
    <row r="170" spans="1:11" x14ac:dyDescent="0.35">
      <c r="A170" s="45" t="s">
        <v>29</v>
      </c>
      <c r="B170" s="45" t="s">
        <v>317</v>
      </c>
      <c r="C170" s="45" t="s">
        <v>344</v>
      </c>
      <c r="D170" s="46">
        <v>18782</v>
      </c>
      <c r="E170" s="45" t="s">
        <v>345</v>
      </c>
      <c r="F170" s="45" t="s">
        <v>131</v>
      </c>
      <c r="G170" s="46" t="str">
        <f>IF(COUNTIFS(Data!$A:$A,$D170,Data!$F:$F,"C&amp;T")=0,"N/A",IF(COUNTIFS(Data!$A:$A,$D170,Data!$F:$F,"C&amp;T",Data!$L:$L,'Cluster Summary'!$D$3,Data!$I:$I,"Complete")&gt;0,"Complete",IF(COUNTIFS(Data!$A:$A,$D170,Data!$F:$F,"C&amp;T",Data!$L:$L,'Cluster Summary'!$D$3)&gt;0,"Incomplete","Pending")))</f>
        <v>Complete</v>
      </c>
      <c r="H170" s="46" t="str">
        <f>IF(COUNTIFS(Data!$A:$A,$D170,Data!$F:$F,"HTS")=0,"N/A",IF(COUNTIFS(Data!$A:$A,$D170,Data!$F:$F,"HTS",Data!$L:$L,'Cluster Summary'!$D$3,Data!$I:$I,"Complete")&gt;0,"Complete",IF(COUNTIFS(Data!$A:$A,$D170,Data!$F:$F,"HTS",Data!$L:$L,'Cluster Summary'!$D$3)&gt;0,"Incomplete","Pending")))</f>
        <v>Complete</v>
      </c>
      <c r="I170" s="46" t="str">
        <f>IF(COUNTIFS(Data!$A:$A,$D170,Data!$F:$F,"MNCH")=0,"N/A",IF(COUNTIFS(Data!$A:$A,$D170,Data!$F:$F,"MNCH",Data!$L:$L,'Cluster Summary'!$D$3,Data!$I:$I,"Complete")&gt;0,"Complete",IF(COUNTIFS(Data!$A:$A,$D170,Data!$F:$F,"MNCH",Data!$L:$L,'Cluster Summary'!$D$3)&gt;0,"Incomplete","Pending")))</f>
        <v>Complete</v>
      </c>
      <c r="J170" s="46" t="str">
        <f>IF(COUNTIFS(Data!$A:$A,$D170,Data!$F:$F,"PREP")=0,"N/A",IF(COUNTIFS(Data!$A:$A,$D170,Data!$F:$F,"PREP",Data!$L:$L,'Cluster Summary'!$D$3,Data!$I:$I,"Complete")&gt;0,"Complete",IF(COUNTIFS(Data!$A:$A,$D170,Data!$F:$F,"PREP",Data!$L:$L,'Cluster Summary'!$D$3)&gt;0,"Incomplete","Pending")))</f>
        <v>Complete</v>
      </c>
      <c r="K170" s="46">
        <f t="shared" si="2"/>
        <v>0</v>
      </c>
    </row>
    <row r="171" spans="1:11" x14ac:dyDescent="0.35">
      <c r="A171" s="45" t="s">
        <v>29</v>
      </c>
      <c r="B171" s="45" t="s">
        <v>317</v>
      </c>
      <c r="C171" s="45" t="s">
        <v>344</v>
      </c>
      <c r="D171" s="46">
        <v>18781</v>
      </c>
      <c r="E171" s="45" t="s">
        <v>346</v>
      </c>
      <c r="F171" s="45" t="s">
        <v>131</v>
      </c>
      <c r="G171" s="46" t="str">
        <f>IF(COUNTIFS(Data!$A:$A,$D171,Data!$F:$F,"C&amp;T")=0,"N/A",IF(COUNTIFS(Data!$A:$A,$D171,Data!$F:$F,"C&amp;T",Data!$L:$L,'Cluster Summary'!$D$3,Data!$I:$I,"Complete")&gt;0,"Complete",IF(COUNTIFS(Data!$A:$A,$D171,Data!$F:$F,"C&amp;T",Data!$L:$L,'Cluster Summary'!$D$3)&gt;0,"Incomplete","Pending")))</f>
        <v>Complete</v>
      </c>
      <c r="H171" s="46" t="str">
        <f>IF(COUNTIFS(Data!$A:$A,$D171,Data!$F:$F,"HTS")=0,"N/A",IF(COUNTIFS(Data!$A:$A,$D171,Data!$F:$F,"HTS",Data!$L:$L,'Cluster Summary'!$D$3,Data!$I:$I,"Complete")&gt;0,"Complete",IF(COUNTIFS(Data!$A:$A,$D171,Data!$F:$F,"HTS",Data!$L:$L,'Cluster Summary'!$D$3)&gt;0,"Incomplete","Pending")))</f>
        <v>Complete</v>
      </c>
      <c r="I171" s="46" t="str">
        <f>IF(COUNTIFS(Data!$A:$A,$D171,Data!$F:$F,"MNCH")=0,"N/A",IF(COUNTIFS(Data!$A:$A,$D171,Data!$F:$F,"MNCH",Data!$L:$L,'Cluster Summary'!$D$3,Data!$I:$I,"Complete")&gt;0,"Complete",IF(COUNTIFS(Data!$A:$A,$D171,Data!$F:$F,"MNCH",Data!$L:$L,'Cluster Summary'!$D$3)&gt;0,"Incomplete","Pending")))</f>
        <v>Complete</v>
      </c>
      <c r="J171" s="46" t="str">
        <f>IF(COUNTIFS(Data!$A:$A,$D171,Data!$F:$F,"PREP")=0,"N/A",IF(COUNTIFS(Data!$A:$A,$D171,Data!$F:$F,"PREP",Data!$L:$L,'Cluster Summary'!$D$3,Data!$I:$I,"Complete")&gt;0,"Complete",IF(COUNTIFS(Data!$A:$A,$D171,Data!$F:$F,"PREP",Data!$L:$L,'Cluster Summary'!$D$3)&gt;0,"Incomplete","Pending")))</f>
        <v>Complete</v>
      </c>
      <c r="K171" s="46">
        <f t="shared" si="2"/>
        <v>0</v>
      </c>
    </row>
    <row r="172" spans="1:11" x14ac:dyDescent="0.35">
      <c r="A172" s="45" t="s">
        <v>29</v>
      </c>
      <c r="B172" s="45" t="s">
        <v>317</v>
      </c>
      <c r="C172" s="45" t="s">
        <v>344</v>
      </c>
      <c r="D172" s="46">
        <v>10509</v>
      </c>
      <c r="E172" s="45" t="s">
        <v>347</v>
      </c>
      <c r="F172" s="45" t="s">
        <v>131</v>
      </c>
      <c r="G172" s="46" t="str">
        <f>IF(COUNTIFS(Data!$A:$A,$D172,Data!$F:$F,"C&amp;T")=0,"N/A",IF(COUNTIFS(Data!$A:$A,$D172,Data!$F:$F,"C&amp;T",Data!$L:$L,'Cluster Summary'!$D$3,Data!$I:$I,"Complete")&gt;0,"Complete",IF(COUNTIFS(Data!$A:$A,$D172,Data!$F:$F,"C&amp;T",Data!$L:$L,'Cluster Summary'!$D$3)&gt;0,"Incomplete","Pending")))</f>
        <v>Complete</v>
      </c>
      <c r="H172" s="46" t="str">
        <f>IF(COUNTIFS(Data!$A:$A,$D172,Data!$F:$F,"HTS")=0,"N/A",IF(COUNTIFS(Data!$A:$A,$D172,Data!$F:$F,"HTS",Data!$L:$L,'Cluster Summary'!$D$3,Data!$I:$I,"Complete")&gt;0,"Complete",IF(COUNTIFS(Data!$A:$A,$D172,Data!$F:$F,"HTS",Data!$L:$L,'Cluster Summary'!$D$3)&gt;0,"Incomplete","Pending")))</f>
        <v>Incomplete</v>
      </c>
      <c r="I172" s="46" t="str">
        <f>IF(COUNTIFS(Data!$A:$A,$D172,Data!$F:$F,"MNCH")=0,"N/A",IF(COUNTIFS(Data!$A:$A,$D172,Data!$F:$F,"MNCH",Data!$L:$L,'Cluster Summary'!$D$3,Data!$I:$I,"Complete")&gt;0,"Complete",IF(COUNTIFS(Data!$A:$A,$D172,Data!$F:$F,"MNCH",Data!$L:$L,'Cluster Summary'!$D$3)&gt;0,"Incomplete","Pending")))</f>
        <v>Complete</v>
      </c>
      <c r="J172" s="46" t="str">
        <f>IF(COUNTIFS(Data!$A:$A,$D172,Data!$F:$F,"PREP")=0,"N/A",IF(COUNTIFS(Data!$A:$A,$D172,Data!$F:$F,"PREP",Data!$L:$L,'Cluster Summary'!$D$3,Data!$I:$I,"Complete")&gt;0,"Complete",IF(COUNTIFS(Data!$A:$A,$D172,Data!$F:$F,"PREP",Data!$L:$L,'Cluster Summary'!$D$3)&gt;0,"Incomplete","Pending")))</f>
        <v>Complete</v>
      </c>
      <c r="K172" s="46">
        <f t="shared" si="2"/>
        <v>0</v>
      </c>
    </row>
    <row r="173" spans="1:11" x14ac:dyDescent="0.35">
      <c r="A173" s="45" t="s">
        <v>29</v>
      </c>
      <c r="B173" s="45" t="s">
        <v>317</v>
      </c>
      <c r="C173" s="45" t="s">
        <v>344</v>
      </c>
      <c r="D173" s="46">
        <v>10856</v>
      </c>
      <c r="E173" s="45" t="s">
        <v>348</v>
      </c>
      <c r="F173" s="45" t="s">
        <v>131</v>
      </c>
      <c r="G173" s="46" t="str">
        <f>IF(COUNTIFS(Data!$A:$A,$D173,Data!$F:$F,"C&amp;T")=0,"N/A",IF(COUNTIFS(Data!$A:$A,$D173,Data!$F:$F,"C&amp;T",Data!$L:$L,'Cluster Summary'!$D$3,Data!$I:$I,"Complete")&gt;0,"Complete",IF(COUNTIFS(Data!$A:$A,$D173,Data!$F:$F,"C&amp;T",Data!$L:$L,'Cluster Summary'!$D$3)&gt;0,"Incomplete","Pending")))</f>
        <v>Complete</v>
      </c>
      <c r="H173" s="46" t="str">
        <f>IF(COUNTIFS(Data!$A:$A,$D173,Data!$F:$F,"HTS")=0,"N/A",IF(COUNTIFS(Data!$A:$A,$D173,Data!$F:$F,"HTS",Data!$L:$L,'Cluster Summary'!$D$3,Data!$I:$I,"Complete")&gt;0,"Complete",IF(COUNTIFS(Data!$A:$A,$D173,Data!$F:$F,"HTS",Data!$L:$L,'Cluster Summary'!$D$3)&gt;0,"Incomplete","Pending")))</f>
        <v>Complete</v>
      </c>
      <c r="I173" s="46" t="str">
        <f>IF(COUNTIFS(Data!$A:$A,$D173,Data!$F:$F,"MNCH")=0,"N/A",IF(COUNTIFS(Data!$A:$A,$D173,Data!$F:$F,"MNCH",Data!$L:$L,'Cluster Summary'!$D$3,Data!$I:$I,"Complete")&gt;0,"Complete",IF(COUNTIFS(Data!$A:$A,$D173,Data!$F:$F,"MNCH",Data!$L:$L,'Cluster Summary'!$D$3)&gt;0,"Incomplete","Pending")))</f>
        <v>Complete</v>
      </c>
      <c r="J173" s="46" t="str">
        <f>IF(COUNTIFS(Data!$A:$A,$D173,Data!$F:$F,"PREP")=0,"N/A",IF(COUNTIFS(Data!$A:$A,$D173,Data!$F:$F,"PREP",Data!$L:$L,'Cluster Summary'!$D$3,Data!$I:$I,"Complete")&gt;0,"Complete",IF(COUNTIFS(Data!$A:$A,$D173,Data!$F:$F,"PREP",Data!$L:$L,'Cluster Summary'!$D$3)&gt;0,"Incomplete","Pending")))</f>
        <v>Complete</v>
      </c>
      <c r="K173" s="46">
        <f t="shared" si="2"/>
        <v>0</v>
      </c>
    </row>
    <row r="174" spans="1:11" x14ac:dyDescent="0.35">
      <c r="A174" s="45" t="s">
        <v>29</v>
      </c>
      <c r="B174" s="45" t="s">
        <v>317</v>
      </c>
      <c r="C174" s="45" t="s">
        <v>344</v>
      </c>
      <c r="D174" s="46">
        <v>10911</v>
      </c>
      <c r="E174" s="45" t="s">
        <v>349</v>
      </c>
      <c r="F174" s="45" t="s">
        <v>131</v>
      </c>
      <c r="G174" s="46" t="str">
        <f>IF(COUNTIFS(Data!$A:$A,$D174,Data!$F:$F,"C&amp;T")=0,"N/A",IF(COUNTIFS(Data!$A:$A,$D174,Data!$F:$F,"C&amp;T",Data!$L:$L,'Cluster Summary'!$D$3,Data!$I:$I,"Complete")&gt;0,"Complete",IF(COUNTIFS(Data!$A:$A,$D174,Data!$F:$F,"C&amp;T",Data!$L:$L,'Cluster Summary'!$D$3)&gt;0,"Incomplete","Pending")))</f>
        <v>Complete</v>
      </c>
      <c r="H174" s="46" t="str">
        <f>IF(COUNTIFS(Data!$A:$A,$D174,Data!$F:$F,"HTS")=0,"N/A",IF(COUNTIFS(Data!$A:$A,$D174,Data!$F:$F,"HTS",Data!$L:$L,'Cluster Summary'!$D$3,Data!$I:$I,"Complete")&gt;0,"Complete",IF(COUNTIFS(Data!$A:$A,$D174,Data!$F:$F,"HTS",Data!$L:$L,'Cluster Summary'!$D$3)&gt;0,"Incomplete","Pending")))</f>
        <v>Complete</v>
      </c>
      <c r="I174" s="46" t="str">
        <f>IF(COUNTIFS(Data!$A:$A,$D174,Data!$F:$F,"MNCH")=0,"N/A",IF(COUNTIFS(Data!$A:$A,$D174,Data!$F:$F,"MNCH",Data!$L:$L,'Cluster Summary'!$D$3,Data!$I:$I,"Complete")&gt;0,"Complete",IF(COUNTIFS(Data!$A:$A,$D174,Data!$F:$F,"MNCH",Data!$L:$L,'Cluster Summary'!$D$3)&gt;0,"Incomplete","Pending")))</f>
        <v>Complete</v>
      </c>
      <c r="J174" s="46" t="str">
        <f>IF(COUNTIFS(Data!$A:$A,$D174,Data!$F:$F,"PREP")=0,"N/A",IF(COUNTIFS(Data!$A:$A,$D174,Data!$F:$F,"PREP",Data!$L:$L,'Cluster Summary'!$D$3,Data!$I:$I,"Complete")&gt;0,"Complete",IF(COUNTIFS(Data!$A:$A,$D174,Data!$F:$F,"PREP",Data!$L:$L,'Cluster Summary'!$D$3)&gt;0,"Incomplete","Pending")))</f>
        <v>Complete</v>
      </c>
      <c r="K174" s="46">
        <f t="shared" si="2"/>
        <v>0</v>
      </c>
    </row>
    <row r="175" spans="1:11" x14ac:dyDescent="0.35">
      <c r="A175" s="45" t="s">
        <v>29</v>
      </c>
      <c r="B175" s="45" t="s">
        <v>317</v>
      </c>
      <c r="C175" s="45" t="s">
        <v>344</v>
      </c>
      <c r="D175" s="46">
        <v>11009</v>
      </c>
      <c r="E175" s="45" t="s">
        <v>350</v>
      </c>
      <c r="F175" s="45" t="s">
        <v>131</v>
      </c>
      <c r="G175" s="46" t="str">
        <f>IF(COUNTIFS(Data!$A:$A,$D175,Data!$F:$F,"C&amp;T")=0,"N/A",IF(COUNTIFS(Data!$A:$A,$D175,Data!$F:$F,"C&amp;T",Data!$L:$L,'Cluster Summary'!$D$3,Data!$I:$I,"Complete")&gt;0,"Complete",IF(COUNTIFS(Data!$A:$A,$D175,Data!$F:$F,"C&amp;T",Data!$L:$L,'Cluster Summary'!$D$3)&gt;0,"Incomplete","Pending")))</f>
        <v>Complete</v>
      </c>
      <c r="H175" s="46" t="str">
        <f>IF(COUNTIFS(Data!$A:$A,$D175,Data!$F:$F,"HTS")=0,"N/A",IF(COUNTIFS(Data!$A:$A,$D175,Data!$F:$F,"HTS",Data!$L:$L,'Cluster Summary'!$D$3,Data!$I:$I,"Complete")&gt;0,"Complete",IF(COUNTIFS(Data!$A:$A,$D175,Data!$F:$F,"HTS",Data!$L:$L,'Cluster Summary'!$D$3)&gt;0,"Incomplete","Pending")))</f>
        <v>Complete</v>
      </c>
      <c r="I175" s="46" t="str">
        <f>IF(COUNTIFS(Data!$A:$A,$D175,Data!$F:$F,"MNCH")=0,"N/A",IF(COUNTIFS(Data!$A:$A,$D175,Data!$F:$F,"MNCH",Data!$L:$L,'Cluster Summary'!$D$3,Data!$I:$I,"Complete")&gt;0,"Complete",IF(COUNTIFS(Data!$A:$A,$D175,Data!$F:$F,"MNCH",Data!$L:$L,'Cluster Summary'!$D$3)&gt;0,"Incomplete","Pending")))</f>
        <v>Complete</v>
      </c>
      <c r="J175" s="46" t="str">
        <f>IF(COUNTIFS(Data!$A:$A,$D175,Data!$F:$F,"PREP")=0,"N/A",IF(COUNTIFS(Data!$A:$A,$D175,Data!$F:$F,"PREP",Data!$L:$L,'Cluster Summary'!$D$3,Data!$I:$I,"Complete")&gt;0,"Complete",IF(COUNTIFS(Data!$A:$A,$D175,Data!$F:$F,"PREP",Data!$L:$L,'Cluster Summary'!$D$3)&gt;0,"Incomplete","Pending")))</f>
        <v>Complete</v>
      </c>
      <c r="K175" s="46">
        <f t="shared" si="2"/>
        <v>0</v>
      </c>
    </row>
    <row r="176" spans="1:11" x14ac:dyDescent="0.35">
      <c r="A176" s="45" t="s">
        <v>29</v>
      </c>
      <c r="B176" s="45" t="s">
        <v>317</v>
      </c>
      <c r="C176" s="45" t="s">
        <v>351</v>
      </c>
      <c r="D176" s="46">
        <v>10916</v>
      </c>
      <c r="E176" s="45" t="s">
        <v>352</v>
      </c>
      <c r="F176" s="45" t="s">
        <v>131</v>
      </c>
      <c r="G176" s="46" t="str">
        <f>IF(COUNTIFS(Data!$A:$A,$D176,Data!$F:$F,"C&amp;T")=0,"N/A",IF(COUNTIFS(Data!$A:$A,$D176,Data!$F:$F,"C&amp;T",Data!$L:$L,'Cluster Summary'!$D$3,Data!$I:$I,"Complete")&gt;0,"Complete",IF(COUNTIFS(Data!$A:$A,$D176,Data!$F:$F,"C&amp;T",Data!$L:$L,'Cluster Summary'!$D$3)&gt;0,"Incomplete","Pending")))</f>
        <v>Incomplete</v>
      </c>
      <c r="H176" s="46" t="str">
        <f>IF(COUNTIFS(Data!$A:$A,$D176,Data!$F:$F,"HTS")=0,"N/A",IF(COUNTIFS(Data!$A:$A,$D176,Data!$F:$F,"HTS",Data!$L:$L,'Cluster Summary'!$D$3,Data!$I:$I,"Complete")&gt;0,"Complete",IF(COUNTIFS(Data!$A:$A,$D176,Data!$F:$F,"HTS",Data!$L:$L,'Cluster Summary'!$D$3)&gt;0,"Incomplete","Pending")))</f>
        <v>Complete</v>
      </c>
      <c r="I176" s="46" t="str">
        <f>IF(COUNTIFS(Data!$A:$A,$D176,Data!$F:$F,"MNCH")=0,"N/A",IF(COUNTIFS(Data!$A:$A,$D176,Data!$F:$F,"MNCH",Data!$L:$L,'Cluster Summary'!$D$3,Data!$I:$I,"Complete")&gt;0,"Complete",IF(COUNTIFS(Data!$A:$A,$D176,Data!$F:$F,"MNCH",Data!$L:$L,'Cluster Summary'!$D$3)&gt;0,"Incomplete","Pending")))</f>
        <v>Complete</v>
      </c>
      <c r="J176" s="46" t="str">
        <f>IF(COUNTIFS(Data!$A:$A,$D176,Data!$F:$F,"PREP")=0,"N/A",IF(COUNTIFS(Data!$A:$A,$D176,Data!$F:$F,"PREP",Data!$L:$L,'Cluster Summary'!$D$3,Data!$I:$I,"Complete")&gt;0,"Complete",IF(COUNTIFS(Data!$A:$A,$D176,Data!$F:$F,"PREP",Data!$L:$L,'Cluster Summary'!$D$3)&gt;0,"Incomplete","Pending")))</f>
        <v>Complete</v>
      </c>
      <c r="K176" s="46">
        <f t="shared" si="2"/>
        <v>0</v>
      </c>
    </row>
    <row r="177" spans="1:11" x14ac:dyDescent="0.35">
      <c r="A177" s="45" t="s">
        <v>29</v>
      </c>
      <c r="B177" s="45" t="s">
        <v>317</v>
      </c>
      <c r="C177" s="45" t="s">
        <v>351</v>
      </c>
      <c r="D177" s="46">
        <v>10429</v>
      </c>
      <c r="E177" s="45" t="s">
        <v>353</v>
      </c>
      <c r="F177" s="45" t="s">
        <v>131</v>
      </c>
      <c r="G177" s="46" t="str">
        <f>IF(COUNTIFS(Data!$A:$A,$D177,Data!$F:$F,"C&amp;T")=0,"N/A",IF(COUNTIFS(Data!$A:$A,$D177,Data!$F:$F,"C&amp;T",Data!$L:$L,'Cluster Summary'!$D$3,Data!$I:$I,"Complete")&gt;0,"Complete",IF(COUNTIFS(Data!$A:$A,$D177,Data!$F:$F,"C&amp;T",Data!$L:$L,'Cluster Summary'!$D$3)&gt;0,"Incomplete","Pending")))</f>
        <v>Complete</v>
      </c>
      <c r="H177" s="46" t="str">
        <f>IF(COUNTIFS(Data!$A:$A,$D177,Data!$F:$F,"HTS")=0,"N/A",IF(COUNTIFS(Data!$A:$A,$D177,Data!$F:$F,"HTS",Data!$L:$L,'Cluster Summary'!$D$3,Data!$I:$I,"Complete")&gt;0,"Complete",IF(COUNTIFS(Data!$A:$A,$D177,Data!$F:$F,"HTS",Data!$L:$L,'Cluster Summary'!$D$3)&gt;0,"Incomplete","Pending")))</f>
        <v>Pending</v>
      </c>
      <c r="I177" s="46" t="str">
        <f>IF(COUNTIFS(Data!$A:$A,$D177,Data!$F:$F,"MNCH")=0,"N/A",IF(COUNTIFS(Data!$A:$A,$D177,Data!$F:$F,"MNCH",Data!$L:$L,'Cluster Summary'!$D$3,Data!$I:$I,"Complete")&gt;0,"Complete",IF(COUNTIFS(Data!$A:$A,$D177,Data!$F:$F,"MNCH",Data!$L:$L,'Cluster Summary'!$D$3)&gt;0,"Incomplete","Pending")))</f>
        <v>Pending</v>
      </c>
      <c r="J177" s="46" t="str">
        <f>IF(COUNTIFS(Data!$A:$A,$D177,Data!$F:$F,"PREP")=0,"N/A",IF(COUNTIFS(Data!$A:$A,$D177,Data!$F:$F,"PREP",Data!$L:$L,'Cluster Summary'!$D$3,Data!$I:$I,"Complete")&gt;0,"Complete",IF(COUNTIFS(Data!$A:$A,$D177,Data!$F:$F,"PREP",Data!$L:$L,'Cluster Summary'!$D$3)&gt;0,"Incomplete","Pending")))</f>
        <v>Pending</v>
      </c>
      <c r="K177" s="46">
        <f t="shared" si="2"/>
        <v>3</v>
      </c>
    </row>
    <row r="178" spans="1:11" x14ac:dyDescent="0.35">
      <c r="A178" s="45" t="s">
        <v>29</v>
      </c>
      <c r="B178" s="45" t="s">
        <v>317</v>
      </c>
      <c r="C178" s="45" t="s">
        <v>351</v>
      </c>
      <c r="D178" s="46">
        <v>10732</v>
      </c>
      <c r="E178" s="45" t="s">
        <v>354</v>
      </c>
      <c r="F178" s="45" t="s">
        <v>131</v>
      </c>
      <c r="G178" s="46" t="str">
        <f>IF(COUNTIFS(Data!$A:$A,$D178,Data!$F:$F,"C&amp;T")=0,"N/A",IF(COUNTIFS(Data!$A:$A,$D178,Data!$F:$F,"C&amp;T",Data!$L:$L,'Cluster Summary'!$D$3,Data!$I:$I,"Complete")&gt;0,"Complete",IF(COUNTIFS(Data!$A:$A,$D178,Data!$F:$F,"C&amp;T",Data!$L:$L,'Cluster Summary'!$D$3)&gt;0,"Incomplete","Pending")))</f>
        <v>Complete</v>
      </c>
      <c r="H178" s="46" t="str">
        <f>IF(COUNTIFS(Data!$A:$A,$D178,Data!$F:$F,"HTS")=0,"N/A",IF(COUNTIFS(Data!$A:$A,$D178,Data!$F:$F,"HTS",Data!$L:$L,'Cluster Summary'!$D$3,Data!$I:$I,"Complete")&gt;0,"Complete",IF(COUNTIFS(Data!$A:$A,$D178,Data!$F:$F,"HTS",Data!$L:$L,'Cluster Summary'!$D$3)&gt;0,"Incomplete","Pending")))</f>
        <v>Complete</v>
      </c>
      <c r="I178" s="46" t="str">
        <f>IF(COUNTIFS(Data!$A:$A,$D178,Data!$F:$F,"MNCH")=0,"N/A",IF(COUNTIFS(Data!$A:$A,$D178,Data!$F:$F,"MNCH",Data!$L:$L,'Cluster Summary'!$D$3,Data!$I:$I,"Complete")&gt;0,"Complete",IF(COUNTIFS(Data!$A:$A,$D178,Data!$F:$F,"MNCH",Data!$L:$L,'Cluster Summary'!$D$3)&gt;0,"Incomplete","Pending")))</f>
        <v>Complete</v>
      </c>
      <c r="J178" s="46" t="str">
        <f>IF(COUNTIFS(Data!$A:$A,$D178,Data!$F:$F,"PREP")=0,"N/A",IF(COUNTIFS(Data!$A:$A,$D178,Data!$F:$F,"PREP",Data!$L:$L,'Cluster Summary'!$D$3,Data!$I:$I,"Complete")&gt;0,"Complete",IF(COUNTIFS(Data!$A:$A,$D178,Data!$F:$F,"PREP",Data!$L:$L,'Cluster Summary'!$D$3)&gt;0,"Incomplete","Pending")))</f>
        <v>Complete</v>
      </c>
      <c r="K178" s="46">
        <f t="shared" si="2"/>
        <v>0</v>
      </c>
    </row>
    <row r="179" spans="1:11" x14ac:dyDescent="0.35">
      <c r="A179" s="45" t="s">
        <v>29</v>
      </c>
      <c r="B179" s="45" t="s">
        <v>317</v>
      </c>
      <c r="C179" s="45" t="s">
        <v>351</v>
      </c>
      <c r="D179" s="46">
        <v>10851</v>
      </c>
      <c r="E179" s="45" t="s">
        <v>355</v>
      </c>
      <c r="F179" s="45" t="s">
        <v>131</v>
      </c>
      <c r="G179" s="46" t="str">
        <f>IF(COUNTIFS(Data!$A:$A,$D179,Data!$F:$F,"C&amp;T")=0,"N/A",IF(COUNTIFS(Data!$A:$A,$D179,Data!$F:$F,"C&amp;T",Data!$L:$L,'Cluster Summary'!$D$3,Data!$I:$I,"Complete")&gt;0,"Complete",IF(COUNTIFS(Data!$A:$A,$D179,Data!$F:$F,"C&amp;T",Data!$L:$L,'Cluster Summary'!$D$3)&gt;0,"Incomplete","Pending")))</f>
        <v>Complete</v>
      </c>
      <c r="H179" s="46" t="str">
        <f>IF(COUNTIFS(Data!$A:$A,$D179,Data!$F:$F,"HTS")=0,"N/A",IF(COUNTIFS(Data!$A:$A,$D179,Data!$F:$F,"HTS",Data!$L:$L,'Cluster Summary'!$D$3,Data!$I:$I,"Complete")&gt;0,"Complete",IF(COUNTIFS(Data!$A:$A,$D179,Data!$F:$F,"HTS",Data!$L:$L,'Cluster Summary'!$D$3)&gt;0,"Incomplete","Pending")))</f>
        <v>Complete</v>
      </c>
      <c r="I179" s="46" t="str">
        <f>IF(COUNTIFS(Data!$A:$A,$D179,Data!$F:$F,"MNCH")=0,"N/A",IF(COUNTIFS(Data!$A:$A,$D179,Data!$F:$F,"MNCH",Data!$L:$L,'Cluster Summary'!$D$3,Data!$I:$I,"Complete")&gt;0,"Complete",IF(COUNTIFS(Data!$A:$A,$D179,Data!$F:$F,"MNCH",Data!$L:$L,'Cluster Summary'!$D$3)&gt;0,"Incomplete","Pending")))</f>
        <v>Complete</v>
      </c>
      <c r="J179" s="46" t="str">
        <f>IF(COUNTIFS(Data!$A:$A,$D179,Data!$F:$F,"PREP")=0,"N/A",IF(COUNTIFS(Data!$A:$A,$D179,Data!$F:$F,"PREP",Data!$L:$L,'Cluster Summary'!$D$3,Data!$I:$I,"Complete")&gt;0,"Complete",IF(COUNTIFS(Data!$A:$A,$D179,Data!$F:$F,"PREP",Data!$L:$L,'Cluster Summary'!$D$3)&gt;0,"Incomplete","Pending")))</f>
        <v>Complete</v>
      </c>
      <c r="K179" s="46">
        <f t="shared" si="2"/>
        <v>0</v>
      </c>
    </row>
    <row r="180" spans="1:11" x14ac:dyDescent="0.35">
      <c r="A180" s="45" t="s">
        <v>29</v>
      </c>
      <c r="B180" s="45" t="s">
        <v>317</v>
      </c>
      <c r="C180" s="45" t="s">
        <v>351</v>
      </c>
      <c r="D180" s="46">
        <v>10852</v>
      </c>
      <c r="E180" s="45" t="s">
        <v>356</v>
      </c>
      <c r="F180" s="45" t="s">
        <v>131</v>
      </c>
      <c r="G180" s="46" t="str">
        <f>IF(COUNTIFS(Data!$A:$A,$D180,Data!$F:$F,"C&amp;T")=0,"N/A",IF(COUNTIFS(Data!$A:$A,$D180,Data!$F:$F,"C&amp;T",Data!$L:$L,'Cluster Summary'!$D$3,Data!$I:$I,"Complete")&gt;0,"Complete",IF(COUNTIFS(Data!$A:$A,$D180,Data!$F:$F,"C&amp;T",Data!$L:$L,'Cluster Summary'!$D$3)&gt;0,"Incomplete","Pending")))</f>
        <v>Complete</v>
      </c>
      <c r="H180" s="46" t="str">
        <f>IF(COUNTIFS(Data!$A:$A,$D180,Data!$F:$F,"HTS")=0,"N/A",IF(COUNTIFS(Data!$A:$A,$D180,Data!$F:$F,"HTS",Data!$L:$L,'Cluster Summary'!$D$3,Data!$I:$I,"Complete")&gt;0,"Complete",IF(COUNTIFS(Data!$A:$A,$D180,Data!$F:$F,"HTS",Data!$L:$L,'Cluster Summary'!$D$3)&gt;0,"Incomplete","Pending")))</f>
        <v>Complete</v>
      </c>
      <c r="I180" s="46" t="str">
        <f>IF(COUNTIFS(Data!$A:$A,$D180,Data!$F:$F,"MNCH")=0,"N/A",IF(COUNTIFS(Data!$A:$A,$D180,Data!$F:$F,"MNCH",Data!$L:$L,'Cluster Summary'!$D$3,Data!$I:$I,"Complete")&gt;0,"Complete",IF(COUNTIFS(Data!$A:$A,$D180,Data!$F:$F,"MNCH",Data!$L:$L,'Cluster Summary'!$D$3)&gt;0,"Incomplete","Pending")))</f>
        <v>Incomplete</v>
      </c>
      <c r="J180" s="46" t="str">
        <f>IF(COUNTIFS(Data!$A:$A,$D180,Data!$F:$F,"PREP")=0,"N/A",IF(COUNTIFS(Data!$A:$A,$D180,Data!$F:$F,"PREP",Data!$L:$L,'Cluster Summary'!$D$3,Data!$I:$I,"Complete")&gt;0,"Complete",IF(COUNTIFS(Data!$A:$A,$D180,Data!$F:$F,"PREP",Data!$L:$L,'Cluster Summary'!$D$3)&gt;0,"Incomplete","Pending")))</f>
        <v>Complete</v>
      </c>
      <c r="K180" s="46">
        <f t="shared" si="2"/>
        <v>0</v>
      </c>
    </row>
    <row r="181" spans="1:11" x14ac:dyDescent="0.35">
      <c r="A181" s="45" t="s">
        <v>29</v>
      </c>
      <c r="B181" s="45" t="s">
        <v>317</v>
      </c>
      <c r="C181" s="45" t="s">
        <v>351</v>
      </c>
      <c r="D181" s="46">
        <v>10871</v>
      </c>
      <c r="E181" s="45" t="s">
        <v>357</v>
      </c>
      <c r="F181" s="45" t="s">
        <v>131</v>
      </c>
      <c r="G181" s="46" t="str">
        <f>IF(COUNTIFS(Data!$A:$A,$D181,Data!$F:$F,"C&amp;T")=0,"N/A",IF(COUNTIFS(Data!$A:$A,$D181,Data!$F:$F,"C&amp;T",Data!$L:$L,'Cluster Summary'!$D$3,Data!$I:$I,"Complete")&gt;0,"Complete",IF(COUNTIFS(Data!$A:$A,$D181,Data!$F:$F,"C&amp;T",Data!$L:$L,'Cluster Summary'!$D$3)&gt;0,"Incomplete","Pending")))</f>
        <v>Complete</v>
      </c>
      <c r="H181" s="46" t="str">
        <f>IF(COUNTIFS(Data!$A:$A,$D181,Data!$F:$F,"HTS")=0,"N/A",IF(COUNTIFS(Data!$A:$A,$D181,Data!$F:$F,"HTS",Data!$L:$L,'Cluster Summary'!$D$3,Data!$I:$I,"Complete")&gt;0,"Complete",IF(COUNTIFS(Data!$A:$A,$D181,Data!$F:$F,"HTS",Data!$L:$L,'Cluster Summary'!$D$3)&gt;0,"Incomplete","Pending")))</f>
        <v>Complete</v>
      </c>
      <c r="I181" s="46" t="str">
        <f>IF(COUNTIFS(Data!$A:$A,$D181,Data!$F:$F,"MNCH")=0,"N/A",IF(COUNTIFS(Data!$A:$A,$D181,Data!$F:$F,"MNCH",Data!$L:$L,'Cluster Summary'!$D$3,Data!$I:$I,"Complete")&gt;0,"Complete",IF(COUNTIFS(Data!$A:$A,$D181,Data!$F:$F,"MNCH",Data!$L:$L,'Cluster Summary'!$D$3)&gt;0,"Incomplete","Pending")))</f>
        <v>Complete</v>
      </c>
      <c r="J181" s="46" t="str">
        <f>IF(COUNTIFS(Data!$A:$A,$D181,Data!$F:$F,"PREP")=0,"N/A",IF(COUNTIFS(Data!$A:$A,$D181,Data!$F:$F,"PREP",Data!$L:$L,'Cluster Summary'!$D$3,Data!$I:$I,"Complete")&gt;0,"Complete",IF(COUNTIFS(Data!$A:$A,$D181,Data!$F:$F,"PREP",Data!$L:$L,'Cluster Summary'!$D$3)&gt;0,"Incomplete","Pending")))</f>
        <v>Complete</v>
      </c>
      <c r="K181" s="46">
        <f t="shared" si="2"/>
        <v>0</v>
      </c>
    </row>
    <row r="182" spans="1:11" x14ac:dyDescent="0.35">
      <c r="A182" s="45" t="s">
        <v>29</v>
      </c>
      <c r="B182" s="45" t="s">
        <v>317</v>
      </c>
      <c r="C182" s="45" t="s">
        <v>351</v>
      </c>
      <c r="D182" s="46">
        <v>11059</v>
      </c>
      <c r="E182" s="45" t="s">
        <v>358</v>
      </c>
      <c r="F182" s="45" t="s">
        <v>131</v>
      </c>
      <c r="G182" s="46" t="str">
        <f>IF(COUNTIFS(Data!$A:$A,$D182,Data!$F:$F,"C&amp;T")=0,"N/A",IF(COUNTIFS(Data!$A:$A,$D182,Data!$F:$F,"C&amp;T",Data!$L:$L,'Cluster Summary'!$D$3,Data!$I:$I,"Complete")&gt;0,"Complete",IF(COUNTIFS(Data!$A:$A,$D182,Data!$F:$F,"C&amp;T",Data!$L:$L,'Cluster Summary'!$D$3)&gt;0,"Incomplete","Pending")))</f>
        <v>Complete</v>
      </c>
      <c r="H182" s="46" t="str">
        <f>IF(COUNTIFS(Data!$A:$A,$D182,Data!$F:$F,"HTS")=0,"N/A",IF(COUNTIFS(Data!$A:$A,$D182,Data!$F:$F,"HTS",Data!$L:$L,'Cluster Summary'!$D$3,Data!$I:$I,"Complete")&gt;0,"Complete",IF(COUNTIFS(Data!$A:$A,$D182,Data!$F:$F,"HTS",Data!$L:$L,'Cluster Summary'!$D$3)&gt;0,"Incomplete","Pending")))</f>
        <v>Complete</v>
      </c>
      <c r="I182" s="46" t="str">
        <f>IF(COUNTIFS(Data!$A:$A,$D182,Data!$F:$F,"MNCH")=0,"N/A",IF(COUNTIFS(Data!$A:$A,$D182,Data!$F:$F,"MNCH",Data!$L:$L,'Cluster Summary'!$D$3,Data!$I:$I,"Complete")&gt;0,"Complete",IF(COUNTIFS(Data!$A:$A,$D182,Data!$F:$F,"MNCH",Data!$L:$L,'Cluster Summary'!$D$3)&gt;0,"Incomplete","Pending")))</f>
        <v>Incomplete</v>
      </c>
      <c r="J182" s="46" t="str">
        <f>IF(COUNTIFS(Data!$A:$A,$D182,Data!$F:$F,"PREP")=0,"N/A",IF(COUNTIFS(Data!$A:$A,$D182,Data!$F:$F,"PREP",Data!$L:$L,'Cluster Summary'!$D$3,Data!$I:$I,"Complete")&gt;0,"Complete",IF(COUNTIFS(Data!$A:$A,$D182,Data!$F:$F,"PREP",Data!$L:$L,'Cluster Summary'!$D$3)&gt;0,"Incomplete","Pending")))</f>
        <v>Incomplete</v>
      </c>
      <c r="K182" s="46">
        <f t="shared" si="2"/>
        <v>0</v>
      </c>
    </row>
    <row r="183" spans="1:11" x14ac:dyDescent="0.35">
      <c r="A183" s="45" t="s">
        <v>29</v>
      </c>
      <c r="B183" s="45" t="s">
        <v>359</v>
      </c>
      <c r="C183" s="45" t="s">
        <v>360</v>
      </c>
      <c r="D183" s="46">
        <v>14485</v>
      </c>
      <c r="E183" s="64" t="s">
        <v>361</v>
      </c>
      <c r="F183" s="45" t="s">
        <v>149</v>
      </c>
      <c r="G183" s="46" t="str">
        <f>IF(COUNTIFS(Data!$A:$A,$D183,Data!$F:$F,"C&amp;T")=0,"N/A",IF(COUNTIFS(Data!$A:$A,$D183,Data!$F:$F,"C&amp;T",Data!$L:$L,'Cluster Summary'!$D$3,Data!$I:$I,"Complete")&gt;0,"Complete",IF(COUNTIFS(Data!$A:$A,$D183,Data!$F:$F,"C&amp;T",Data!$L:$L,'Cluster Summary'!$D$3)&gt;0,"Incomplete","Pending")))</f>
        <v>Complete</v>
      </c>
      <c r="H183" s="46" t="str">
        <f>IF(COUNTIFS(Data!$A:$A,$D183,Data!$F:$F,"HTS")=0,"N/A",IF(COUNTIFS(Data!$A:$A,$D183,Data!$F:$F,"HTS",Data!$L:$L,'Cluster Summary'!$D$3,Data!$I:$I,"Complete")&gt;0,"Complete",IF(COUNTIFS(Data!$A:$A,$D183,Data!$F:$F,"HTS",Data!$L:$L,'Cluster Summary'!$D$3)&gt;0,"Incomplete","Pending")))</f>
        <v>Incomplete</v>
      </c>
      <c r="I183" s="46" t="str">
        <f>IF(COUNTIFS(Data!$A:$A,$D183,Data!$F:$F,"MNCH")=0,"N/A",IF(COUNTIFS(Data!$A:$A,$D183,Data!$F:$F,"MNCH",Data!$L:$L,'Cluster Summary'!$D$3,Data!$I:$I,"Complete")&gt;0,"Complete",IF(COUNTIFS(Data!$A:$A,$D183,Data!$F:$F,"MNCH",Data!$L:$L,'Cluster Summary'!$D$3)&gt;0,"Incomplete","Pending")))</f>
        <v>Incomplete</v>
      </c>
      <c r="J183" s="46" t="str">
        <f>IF(COUNTIFS(Data!$A:$A,$D183,Data!$F:$F,"PREP")=0,"N/A",IF(COUNTIFS(Data!$A:$A,$D183,Data!$F:$F,"PREP",Data!$L:$L,'Cluster Summary'!$D$3,Data!$I:$I,"Complete")&gt;0,"Complete",IF(COUNTIFS(Data!$A:$A,$D183,Data!$F:$F,"PREP",Data!$L:$L,'Cluster Summary'!$D$3)&gt;0,"Incomplete","Pending")))</f>
        <v>Incomplete</v>
      </c>
      <c r="K183" s="46">
        <f t="shared" si="2"/>
        <v>0</v>
      </c>
    </row>
    <row r="184" spans="1:11" x14ac:dyDescent="0.35">
      <c r="A184" s="45" t="s">
        <v>29</v>
      </c>
      <c r="B184" s="45" t="s">
        <v>359</v>
      </c>
      <c r="C184" s="45" t="s">
        <v>360</v>
      </c>
      <c r="D184" s="46">
        <v>15636</v>
      </c>
      <c r="E184" s="45" t="s">
        <v>362</v>
      </c>
      <c r="F184" s="45" t="s">
        <v>149</v>
      </c>
      <c r="G184" s="46" t="str">
        <f>IF(COUNTIFS(Data!$A:$A,$D184,Data!$F:$F,"C&amp;T")=0,"N/A",IF(COUNTIFS(Data!$A:$A,$D184,Data!$F:$F,"C&amp;T",Data!$L:$L,'Cluster Summary'!$D$3,Data!$I:$I,"Complete")&gt;0,"Complete",IF(COUNTIFS(Data!$A:$A,$D184,Data!$F:$F,"C&amp;T",Data!$L:$L,'Cluster Summary'!$D$3)&gt;0,"Incomplete","Pending")))</f>
        <v>Complete</v>
      </c>
      <c r="H184" s="46" t="str">
        <f>IF(COUNTIFS(Data!$A:$A,$D184,Data!$F:$F,"HTS")=0,"N/A",IF(COUNTIFS(Data!$A:$A,$D184,Data!$F:$F,"HTS",Data!$L:$L,'Cluster Summary'!$D$3,Data!$I:$I,"Complete")&gt;0,"Complete",IF(COUNTIFS(Data!$A:$A,$D184,Data!$F:$F,"HTS",Data!$L:$L,'Cluster Summary'!$D$3)&gt;0,"Incomplete","Pending")))</f>
        <v>Complete</v>
      </c>
      <c r="I184" s="46" t="str">
        <f>IF(COUNTIFS(Data!$A:$A,$D184,Data!$F:$F,"MNCH")=0,"N/A",IF(COUNTIFS(Data!$A:$A,$D184,Data!$F:$F,"MNCH",Data!$L:$L,'Cluster Summary'!$D$3,Data!$I:$I,"Complete")&gt;0,"Complete",IF(COUNTIFS(Data!$A:$A,$D184,Data!$F:$F,"MNCH",Data!$L:$L,'Cluster Summary'!$D$3)&gt;0,"Incomplete","Pending")))</f>
        <v>Complete</v>
      </c>
      <c r="J184" s="46" t="str">
        <f>IF(COUNTIFS(Data!$A:$A,$D184,Data!$F:$F,"PREP")=0,"N/A",IF(COUNTIFS(Data!$A:$A,$D184,Data!$F:$F,"PREP",Data!$L:$L,'Cluster Summary'!$D$3,Data!$I:$I,"Complete")&gt;0,"Complete",IF(COUNTIFS(Data!$A:$A,$D184,Data!$F:$F,"PREP",Data!$L:$L,'Cluster Summary'!$D$3)&gt;0,"Incomplete","Pending")))</f>
        <v>Incomplete</v>
      </c>
      <c r="K184" s="46">
        <f t="shared" si="2"/>
        <v>0</v>
      </c>
    </row>
    <row r="185" spans="1:11" x14ac:dyDescent="0.35">
      <c r="A185" s="45" t="s">
        <v>29</v>
      </c>
      <c r="B185" s="45" t="s">
        <v>359</v>
      </c>
      <c r="C185" s="45" t="s">
        <v>363</v>
      </c>
      <c r="D185" s="46">
        <v>14394</v>
      </c>
      <c r="E185" s="45" t="s">
        <v>364</v>
      </c>
      <c r="F185" s="45" t="s">
        <v>149</v>
      </c>
      <c r="G185" s="46" t="str">
        <f>IF(COUNTIFS(Data!$A:$A,$D185,Data!$F:$F,"C&amp;T")=0,"N/A",IF(COUNTIFS(Data!$A:$A,$D185,Data!$F:$F,"C&amp;T",Data!$L:$L,'Cluster Summary'!$D$3,Data!$I:$I,"Complete")&gt;0,"Complete",IF(COUNTIFS(Data!$A:$A,$D185,Data!$F:$F,"C&amp;T",Data!$L:$L,'Cluster Summary'!$D$3)&gt;0,"Incomplete","Pending")))</f>
        <v>Complete</v>
      </c>
      <c r="H185" s="46" t="str">
        <f>IF(COUNTIFS(Data!$A:$A,$D185,Data!$F:$F,"HTS")=0,"N/A",IF(COUNTIFS(Data!$A:$A,$D185,Data!$F:$F,"HTS",Data!$L:$L,'Cluster Summary'!$D$3,Data!$I:$I,"Complete")&gt;0,"Complete",IF(COUNTIFS(Data!$A:$A,$D185,Data!$F:$F,"HTS",Data!$L:$L,'Cluster Summary'!$D$3)&gt;0,"Incomplete","Pending")))</f>
        <v>Complete</v>
      </c>
      <c r="I185" s="46" t="str">
        <f>IF(COUNTIFS(Data!$A:$A,$D185,Data!$F:$F,"MNCH")=0,"N/A",IF(COUNTIFS(Data!$A:$A,$D185,Data!$F:$F,"MNCH",Data!$L:$L,'Cluster Summary'!$D$3,Data!$I:$I,"Complete")&gt;0,"Complete",IF(COUNTIFS(Data!$A:$A,$D185,Data!$F:$F,"MNCH",Data!$L:$L,'Cluster Summary'!$D$3)&gt;0,"Incomplete","Pending")))</f>
        <v>Complete</v>
      </c>
      <c r="J185" s="46" t="str">
        <f>IF(COUNTIFS(Data!$A:$A,$D185,Data!$F:$F,"PREP")=0,"N/A",IF(COUNTIFS(Data!$A:$A,$D185,Data!$F:$F,"PREP",Data!$L:$L,'Cluster Summary'!$D$3,Data!$I:$I,"Complete")&gt;0,"Complete",IF(COUNTIFS(Data!$A:$A,$D185,Data!$F:$F,"PREP",Data!$L:$L,'Cluster Summary'!$D$3)&gt;0,"Incomplete","Pending")))</f>
        <v>Complete</v>
      </c>
      <c r="K185" s="46">
        <f t="shared" si="2"/>
        <v>0</v>
      </c>
    </row>
    <row r="186" spans="1:11" x14ac:dyDescent="0.35">
      <c r="A186" s="45" t="s">
        <v>29</v>
      </c>
      <c r="B186" s="45" t="s">
        <v>359</v>
      </c>
      <c r="C186" s="45" t="s">
        <v>363</v>
      </c>
      <c r="D186" s="46">
        <v>15128</v>
      </c>
      <c r="E186" s="45" t="s">
        <v>365</v>
      </c>
      <c r="F186" s="45" t="s">
        <v>149</v>
      </c>
      <c r="G186" s="46" t="str">
        <f>IF(COUNTIFS(Data!$A:$A,$D186,Data!$F:$F,"C&amp;T")=0,"N/A",IF(COUNTIFS(Data!$A:$A,$D186,Data!$F:$F,"C&amp;T",Data!$L:$L,'Cluster Summary'!$D$3,Data!$I:$I,"Complete")&gt;0,"Complete",IF(COUNTIFS(Data!$A:$A,$D186,Data!$F:$F,"C&amp;T",Data!$L:$L,'Cluster Summary'!$D$3)&gt;0,"Incomplete","Pending")))</f>
        <v>Complete</v>
      </c>
      <c r="H186" s="46" t="str">
        <f>IF(COUNTIFS(Data!$A:$A,$D186,Data!$F:$F,"HTS")=0,"N/A",IF(COUNTIFS(Data!$A:$A,$D186,Data!$F:$F,"HTS",Data!$L:$L,'Cluster Summary'!$D$3,Data!$I:$I,"Complete")&gt;0,"Complete",IF(COUNTIFS(Data!$A:$A,$D186,Data!$F:$F,"HTS",Data!$L:$L,'Cluster Summary'!$D$3)&gt;0,"Incomplete","Pending")))</f>
        <v>Complete</v>
      </c>
      <c r="I186" s="46" t="str">
        <f>IF(COUNTIFS(Data!$A:$A,$D186,Data!$F:$F,"MNCH")=0,"N/A",IF(COUNTIFS(Data!$A:$A,$D186,Data!$F:$F,"MNCH",Data!$L:$L,'Cluster Summary'!$D$3,Data!$I:$I,"Complete")&gt;0,"Complete",IF(COUNTIFS(Data!$A:$A,$D186,Data!$F:$F,"MNCH",Data!$L:$L,'Cluster Summary'!$D$3)&gt;0,"Incomplete","Pending")))</f>
        <v>Complete</v>
      </c>
      <c r="J186" s="46" t="str">
        <f>IF(COUNTIFS(Data!$A:$A,$D186,Data!$F:$F,"PREP")=0,"N/A",IF(COUNTIFS(Data!$A:$A,$D186,Data!$F:$F,"PREP",Data!$L:$L,'Cluster Summary'!$D$3,Data!$I:$I,"Complete")&gt;0,"Complete",IF(COUNTIFS(Data!$A:$A,$D186,Data!$F:$F,"PREP",Data!$L:$L,'Cluster Summary'!$D$3)&gt;0,"Incomplete","Pending")))</f>
        <v>Incomplete</v>
      </c>
      <c r="K186" s="46">
        <f t="shared" si="2"/>
        <v>0</v>
      </c>
    </row>
    <row r="187" spans="1:11" x14ac:dyDescent="0.35">
      <c r="A187" s="45" t="s">
        <v>29</v>
      </c>
      <c r="B187" s="45" t="s">
        <v>359</v>
      </c>
      <c r="C187" s="45" t="s">
        <v>363</v>
      </c>
      <c r="D187" s="46">
        <v>15702</v>
      </c>
      <c r="E187" s="45" t="s">
        <v>366</v>
      </c>
      <c r="F187" s="45" t="s">
        <v>149</v>
      </c>
      <c r="G187" s="46" t="str">
        <f>IF(COUNTIFS(Data!$A:$A,$D187,Data!$F:$F,"C&amp;T")=0,"N/A",IF(COUNTIFS(Data!$A:$A,$D187,Data!$F:$F,"C&amp;T",Data!$L:$L,'Cluster Summary'!$D$3,Data!$I:$I,"Complete")&gt;0,"Complete",IF(COUNTIFS(Data!$A:$A,$D187,Data!$F:$F,"C&amp;T",Data!$L:$L,'Cluster Summary'!$D$3)&gt;0,"Incomplete","Pending")))</f>
        <v>Complete</v>
      </c>
      <c r="H187" s="46" t="str">
        <f>IF(COUNTIFS(Data!$A:$A,$D187,Data!$F:$F,"HTS")=0,"N/A",IF(COUNTIFS(Data!$A:$A,$D187,Data!$F:$F,"HTS",Data!$L:$L,'Cluster Summary'!$D$3,Data!$I:$I,"Complete")&gt;0,"Complete",IF(COUNTIFS(Data!$A:$A,$D187,Data!$F:$F,"HTS",Data!$L:$L,'Cluster Summary'!$D$3)&gt;0,"Incomplete","Pending")))</f>
        <v>Complete</v>
      </c>
      <c r="I187" s="46" t="str">
        <f>IF(COUNTIFS(Data!$A:$A,$D187,Data!$F:$F,"MNCH")=0,"N/A",IF(COUNTIFS(Data!$A:$A,$D187,Data!$F:$F,"MNCH",Data!$L:$L,'Cluster Summary'!$D$3,Data!$I:$I,"Complete")&gt;0,"Complete",IF(COUNTIFS(Data!$A:$A,$D187,Data!$F:$F,"MNCH",Data!$L:$L,'Cluster Summary'!$D$3)&gt;0,"Incomplete","Pending")))</f>
        <v>Pending</v>
      </c>
      <c r="J187" s="46" t="str">
        <f>IF(COUNTIFS(Data!$A:$A,$D187,Data!$F:$F,"PREP")=0,"N/A",IF(COUNTIFS(Data!$A:$A,$D187,Data!$F:$F,"PREP",Data!$L:$L,'Cluster Summary'!$D$3,Data!$I:$I,"Complete")&gt;0,"Complete",IF(COUNTIFS(Data!$A:$A,$D187,Data!$F:$F,"PREP",Data!$L:$L,'Cluster Summary'!$D$3)&gt;0,"Incomplete","Pending")))</f>
        <v>Complete</v>
      </c>
      <c r="K187" s="46">
        <f t="shared" si="2"/>
        <v>1</v>
      </c>
    </row>
    <row r="188" spans="1:11" x14ac:dyDescent="0.35">
      <c r="A188" s="45" t="s">
        <v>29</v>
      </c>
      <c r="B188" s="45" t="s">
        <v>367</v>
      </c>
      <c r="C188" s="45" t="s">
        <v>368</v>
      </c>
      <c r="D188" s="46">
        <v>15282</v>
      </c>
      <c r="E188" s="45" t="s">
        <v>369</v>
      </c>
      <c r="F188" s="45" t="s">
        <v>149</v>
      </c>
      <c r="G188" s="46" t="str">
        <f>IF(COUNTIFS(Data!$A:$A,$D188,Data!$F:$F,"C&amp;T")=0,"N/A",IF(COUNTIFS(Data!$A:$A,$D188,Data!$F:$F,"C&amp;T",Data!$L:$L,'Cluster Summary'!$D$3,Data!$I:$I,"Complete")&gt;0,"Complete",IF(COUNTIFS(Data!$A:$A,$D188,Data!$F:$F,"C&amp;T",Data!$L:$L,'Cluster Summary'!$D$3)&gt;0,"Incomplete","Pending")))</f>
        <v>Complete</v>
      </c>
      <c r="H188" s="46" t="str">
        <f>IF(COUNTIFS(Data!$A:$A,$D188,Data!$F:$F,"HTS")=0,"N/A",IF(COUNTIFS(Data!$A:$A,$D188,Data!$F:$F,"HTS",Data!$L:$L,'Cluster Summary'!$D$3,Data!$I:$I,"Complete")&gt;0,"Complete",IF(COUNTIFS(Data!$A:$A,$D188,Data!$F:$F,"HTS",Data!$L:$L,'Cluster Summary'!$D$3)&gt;0,"Incomplete","Pending")))</f>
        <v>Complete</v>
      </c>
      <c r="I188" s="46" t="str">
        <f>IF(COUNTIFS(Data!$A:$A,$D188,Data!$F:$F,"MNCH")=0,"N/A",IF(COUNTIFS(Data!$A:$A,$D188,Data!$F:$F,"MNCH",Data!$L:$L,'Cluster Summary'!$D$3,Data!$I:$I,"Complete")&gt;0,"Complete",IF(COUNTIFS(Data!$A:$A,$D188,Data!$F:$F,"MNCH",Data!$L:$L,'Cluster Summary'!$D$3)&gt;0,"Incomplete","Pending")))</f>
        <v>Incomplete</v>
      </c>
      <c r="J188" s="46" t="str">
        <f>IF(COUNTIFS(Data!$A:$A,$D188,Data!$F:$F,"PREP")=0,"N/A",IF(COUNTIFS(Data!$A:$A,$D188,Data!$F:$F,"PREP",Data!$L:$L,'Cluster Summary'!$D$3,Data!$I:$I,"Complete")&gt;0,"Complete",IF(COUNTIFS(Data!$A:$A,$D188,Data!$F:$F,"PREP",Data!$L:$L,'Cluster Summary'!$D$3)&gt;0,"Incomplete","Pending")))</f>
        <v>Complete</v>
      </c>
      <c r="K188" s="46">
        <f t="shared" si="2"/>
        <v>0</v>
      </c>
    </row>
    <row r="189" spans="1:11" x14ac:dyDescent="0.35">
      <c r="A189" s="45" t="s">
        <v>33</v>
      </c>
      <c r="B189" s="45" t="s">
        <v>370</v>
      </c>
      <c r="C189" s="45" t="s">
        <v>371</v>
      </c>
      <c r="D189" s="46">
        <v>12566</v>
      </c>
      <c r="E189" s="64" t="s">
        <v>372</v>
      </c>
      <c r="F189" s="45" t="s">
        <v>149</v>
      </c>
      <c r="G189" s="46" t="str">
        <f>IF(COUNTIFS(Data!$A:$A,$D189,Data!$F:$F,"C&amp;T")=0,"N/A",IF(COUNTIFS(Data!$A:$A,$D189,Data!$F:$F,"C&amp;T",Data!$L:$L,'Cluster Summary'!$D$3,Data!$I:$I,"Complete")&gt;0,"Complete",IF(COUNTIFS(Data!$A:$A,$D189,Data!$F:$F,"C&amp;T",Data!$L:$L,'Cluster Summary'!$D$3)&gt;0,"Incomplete","Pending")))</f>
        <v>Complete</v>
      </c>
      <c r="H189" s="46" t="str">
        <f>IF(COUNTIFS(Data!$A:$A,$D189,Data!$F:$F,"HTS")=0,"N/A",IF(COUNTIFS(Data!$A:$A,$D189,Data!$F:$F,"HTS",Data!$L:$L,'Cluster Summary'!$D$3,Data!$I:$I,"Complete")&gt;0,"Complete",IF(COUNTIFS(Data!$A:$A,$D189,Data!$F:$F,"HTS",Data!$L:$L,'Cluster Summary'!$D$3)&gt;0,"Incomplete","Pending")))</f>
        <v>Complete</v>
      </c>
      <c r="I189" s="46" t="str">
        <f>IF(COUNTIFS(Data!$A:$A,$D189,Data!$F:$F,"MNCH")=0,"N/A",IF(COUNTIFS(Data!$A:$A,$D189,Data!$F:$F,"MNCH",Data!$L:$L,'Cluster Summary'!$D$3,Data!$I:$I,"Complete")&gt;0,"Complete",IF(COUNTIFS(Data!$A:$A,$D189,Data!$F:$F,"MNCH",Data!$L:$L,'Cluster Summary'!$D$3)&gt;0,"Incomplete","Pending")))</f>
        <v>Incomplete</v>
      </c>
      <c r="J189" s="46" t="str">
        <f>IF(COUNTIFS(Data!$A:$A,$D189,Data!$F:$F,"PREP")=0,"N/A",IF(COUNTIFS(Data!$A:$A,$D189,Data!$F:$F,"PREP",Data!$L:$L,'Cluster Summary'!$D$3,Data!$I:$I,"Complete")&gt;0,"Complete",IF(COUNTIFS(Data!$A:$A,$D189,Data!$F:$F,"PREP",Data!$L:$L,'Cluster Summary'!$D$3)&gt;0,"Incomplete","Pending")))</f>
        <v>Complete</v>
      </c>
      <c r="K189" s="46">
        <f t="shared" si="2"/>
        <v>0</v>
      </c>
    </row>
    <row r="190" spans="1:11" x14ac:dyDescent="0.35">
      <c r="A190" s="45" t="s">
        <v>33</v>
      </c>
      <c r="B190" s="45" t="s">
        <v>370</v>
      </c>
      <c r="C190" s="45" t="s">
        <v>371</v>
      </c>
      <c r="D190" s="46">
        <v>12569</v>
      </c>
      <c r="E190" s="45" t="s">
        <v>373</v>
      </c>
      <c r="F190" s="45" t="s">
        <v>149</v>
      </c>
      <c r="G190" s="46" t="str">
        <f>IF(COUNTIFS(Data!$A:$A,$D190,Data!$F:$F,"C&amp;T")=0,"N/A",IF(COUNTIFS(Data!$A:$A,$D190,Data!$F:$F,"C&amp;T",Data!$L:$L,'Cluster Summary'!$D$3,Data!$I:$I,"Complete")&gt;0,"Complete",IF(COUNTIFS(Data!$A:$A,$D190,Data!$F:$F,"C&amp;T",Data!$L:$L,'Cluster Summary'!$D$3)&gt;0,"Incomplete","Pending")))</f>
        <v>Complete</v>
      </c>
      <c r="H190" s="46" t="str">
        <f>IF(COUNTIFS(Data!$A:$A,$D190,Data!$F:$F,"HTS")=0,"N/A",IF(COUNTIFS(Data!$A:$A,$D190,Data!$F:$F,"HTS",Data!$L:$L,'Cluster Summary'!$D$3,Data!$I:$I,"Complete")&gt;0,"Complete",IF(COUNTIFS(Data!$A:$A,$D190,Data!$F:$F,"HTS",Data!$L:$L,'Cluster Summary'!$D$3)&gt;0,"Incomplete","Pending")))</f>
        <v>Complete</v>
      </c>
      <c r="I190" s="46" t="str">
        <f>IF(COUNTIFS(Data!$A:$A,$D190,Data!$F:$F,"MNCH")=0,"N/A",IF(COUNTIFS(Data!$A:$A,$D190,Data!$F:$F,"MNCH",Data!$L:$L,'Cluster Summary'!$D$3,Data!$I:$I,"Complete")&gt;0,"Complete",IF(COUNTIFS(Data!$A:$A,$D190,Data!$F:$F,"MNCH",Data!$L:$L,'Cluster Summary'!$D$3)&gt;0,"Incomplete","Pending")))</f>
        <v>Pending</v>
      </c>
      <c r="J190" s="46" t="str">
        <f>IF(COUNTIFS(Data!$A:$A,$D190,Data!$F:$F,"PREP")=0,"N/A",IF(COUNTIFS(Data!$A:$A,$D190,Data!$F:$F,"PREP",Data!$L:$L,'Cluster Summary'!$D$3,Data!$I:$I,"Complete")&gt;0,"Complete",IF(COUNTIFS(Data!$A:$A,$D190,Data!$F:$F,"PREP",Data!$L:$L,'Cluster Summary'!$D$3)&gt;0,"Incomplete","Pending")))</f>
        <v>Complete</v>
      </c>
      <c r="K190" s="46">
        <f t="shared" si="2"/>
        <v>1</v>
      </c>
    </row>
    <row r="191" spans="1:11" x14ac:dyDescent="0.35">
      <c r="A191" s="45" t="s">
        <v>33</v>
      </c>
      <c r="B191" s="45" t="s">
        <v>370</v>
      </c>
      <c r="C191" s="45" t="s">
        <v>374</v>
      </c>
      <c r="D191" s="46">
        <v>12860</v>
      </c>
      <c r="E191" s="45" t="s">
        <v>375</v>
      </c>
      <c r="F191" s="45" t="s">
        <v>149</v>
      </c>
      <c r="G191" s="46" t="str">
        <f>IF(COUNTIFS(Data!$A:$A,$D191,Data!$F:$F,"C&amp;T")=0,"N/A",IF(COUNTIFS(Data!$A:$A,$D191,Data!$F:$F,"C&amp;T",Data!$L:$L,'Cluster Summary'!$D$3,Data!$I:$I,"Complete")&gt;0,"Complete",IF(COUNTIFS(Data!$A:$A,$D191,Data!$F:$F,"C&amp;T",Data!$L:$L,'Cluster Summary'!$D$3)&gt;0,"Incomplete","Pending")))</f>
        <v>Complete</v>
      </c>
      <c r="H191" s="46" t="str">
        <f>IF(COUNTIFS(Data!$A:$A,$D191,Data!$F:$F,"HTS")=0,"N/A",IF(COUNTIFS(Data!$A:$A,$D191,Data!$F:$F,"HTS",Data!$L:$L,'Cluster Summary'!$D$3,Data!$I:$I,"Complete")&gt;0,"Complete",IF(COUNTIFS(Data!$A:$A,$D191,Data!$F:$F,"HTS",Data!$L:$L,'Cluster Summary'!$D$3)&gt;0,"Incomplete","Pending")))</f>
        <v>Complete</v>
      </c>
      <c r="I191" s="46" t="str">
        <f>IF(COUNTIFS(Data!$A:$A,$D191,Data!$F:$F,"MNCH")=0,"N/A",IF(COUNTIFS(Data!$A:$A,$D191,Data!$F:$F,"MNCH",Data!$L:$L,'Cluster Summary'!$D$3,Data!$I:$I,"Complete")&gt;0,"Complete",IF(COUNTIFS(Data!$A:$A,$D191,Data!$F:$F,"MNCH",Data!$L:$L,'Cluster Summary'!$D$3)&gt;0,"Incomplete","Pending")))</f>
        <v>Complete</v>
      </c>
      <c r="J191" s="46" t="str">
        <f>IF(COUNTIFS(Data!$A:$A,$D191,Data!$F:$F,"PREP")=0,"N/A",IF(COUNTIFS(Data!$A:$A,$D191,Data!$F:$F,"PREP",Data!$L:$L,'Cluster Summary'!$D$3,Data!$I:$I,"Complete")&gt;0,"Complete",IF(COUNTIFS(Data!$A:$A,$D191,Data!$F:$F,"PREP",Data!$L:$L,'Cluster Summary'!$D$3)&gt;0,"Incomplete","Pending")))</f>
        <v>Incomplete</v>
      </c>
      <c r="K191" s="46">
        <f t="shared" si="2"/>
        <v>0</v>
      </c>
    </row>
    <row r="192" spans="1:11" x14ac:dyDescent="0.35">
      <c r="A192" s="45" t="s">
        <v>33</v>
      </c>
      <c r="B192" s="45" t="s">
        <v>370</v>
      </c>
      <c r="C192" s="45" t="s">
        <v>374</v>
      </c>
      <c r="D192" s="46">
        <v>12599</v>
      </c>
      <c r="E192" s="45" t="s">
        <v>376</v>
      </c>
      <c r="F192" s="45" t="s">
        <v>149</v>
      </c>
      <c r="G192" s="46" t="str">
        <f>IF(COUNTIFS(Data!$A:$A,$D192,Data!$F:$F,"C&amp;T")=0,"N/A",IF(COUNTIFS(Data!$A:$A,$D192,Data!$F:$F,"C&amp;T",Data!$L:$L,'Cluster Summary'!$D$3,Data!$I:$I,"Complete")&gt;0,"Complete",IF(COUNTIFS(Data!$A:$A,$D192,Data!$F:$F,"C&amp;T",Data!$L:$L,'Cluster Summary'!$D$3)&gt;0,"Incomplete","Pending")))</f>
        <v>Complete</v>
      </c>
      <c r="H192" s="46" t="str">
        <f>IF(COUNTIFS(Data!$A:$A,$D192,Data!$F:$F,"HTS")=0,"N/A",IF(COUNTIFS(Data!$A:$A,$D192,Data!$F:$F,"HTS",Data!$L:$L,'Cluster Summary'!$D$3,Data!$I:$I,"Complete")&gt;0,"Complete",IF(COUNTIFS(Data!$A:$A,$D192,Data!$F:$F,"HTS",Data!$L:$L,'Cluster Summary'!$D$3)&gt;0,"Incomplete","Pending")))</f>
        <v>Complete</v>
      </c>
      <c r="I192" s="46" t="str">
        <f>IF(COUNTIFS(Data!$A:$A,$D192,Data!$F:$F,"MNCH")=0,"N/A",IF(COUNTIFS(Data!$A:$A,$D192,Data!$F:$F,"MNCH",Data!$L:$L,'Cluster Summary'!$D$3,Data!$I:$I,"Complete")&gt;0,"Complete",IF(COUNTIFS(Data!$A:$A,$D192,Data!$F:$F,"MNCH",Data!$L:$L,'Cluster Summary'!$D$3)&gt;0,"Incomplete","Pending")))</f>
        <v>Complete</v>
      </c>
      <c r="J192" s="46" t="str">
        <f>IF(COUNTIFS(Data!$A:$A,$D192,Data!$F:$F,"PREP")=0,"N/A",IF(COUNTIFS(Data!$A:$A,$D192,Data!$F:$F,"PREP",Data!$L:$L,'Cluster Summary'!$D$3,Data!$I:$I,"Complete")&gt;0,"Complete",IF(COUNTIFS(Data!$A:$A,$D192,Data!$F:$F,"PREP",Data!$L:$L,'Cluster Summary'!$D$3)&gt;0,"Incomplete","Pending")))</f>
        <v>Incomplete</v>
      </c>
      <c r="K192" s="46">
        <f t="shared" si="2"/>
        <v>0</v>
      </c>
    </row>
    <row r="193" spans="1:11" x14ac:dyDescent="0.35">
      <c r="A193" s="45" t="s">
        <v>33</v>
      </c>
      <c r="B193" s="45" t="s">
        <v>370</v>
      </c>
      <c r="C193" s="45" t="s">
        <v>377</v>
      </c>
      <c r="D193" s="46">
        <v>16995</v>
      </c>
      <c r="E193" s="45" t="s">
        <v>378</v>
      </c>
      <c r="F193" s="45" t="s">
        <v>149</v>
      </c>
      <c r="G193" s="46" t="str">
        <f>IF(COUNTIFS(Data!$A:$A,$D193,Data!$F:$F,"C&amp;T")=0,"N/A",IF(COUNTIFS(Data!$A:$A,$D193,Data!$F:$F,"C&amp;T",Data!$L:$L,'Cluster Summary'!$D$3,Data!$I:$I,"Complete")&gt;0,"Complete",IF(COUNTIFS(Data!$A:$A,$D193,Data!$F:$F,"C&amp;T",Data!$L:$L,'Cluster Summary'!$D$3)&gt;0,"Incomplete","Pending")))</f>
        <v>Complete</v>
      </c>
      <c r="H193" s="46" t="str">
        <f>IF(COUNTIFS(Data!$A:$A,$D193,Data!$F:$F,"HTS")=0,"N/A",IF(COUNTIFS(Data!$A:$A,$D193,Data!$F:$F,"HTS",Data!$L:$L,'Cluster Summary'!$D$3,Data!$I:$I,"Complete")&gt;0,"Complete",IF(COUNTIFS(Data!$A:$A,$D193,Data!$F:$F,"HTS",Data!$L:$L,'Cluster Summary'!$D$3)&gt;0,"Incomplete","Pending")))</f>
        <v>Complete</v>
      </c>
      <c r="I193" s="46" t="str">
        <f>IF(COUNTIFS(Data!$A:$A,$D193,Data!$F:$F,"MNCH")=0,"N/A",IF(COUNTIFS(Data!$A:$A,$D193,Data!$F:$F,"MNCH",Data!$L:$L,'Cluster Summary'!$D$3,Data!$I:$I,"Complete")&gt;0,"Complete",IF(COUNTIFS(Data!$A:$A,$D193,Data!$F:$F,"MNCH",Data!$L:$L,'Cluster Summary'!$D$3)&gt;0,"Incomplete","Pending")))</f>
        <v>Pending</v>
      </c>
      <c r="J193" s="46" t="str">
        <f>IF(COUNTIFS(Data!$A:$A,$D193,Data!$F:$F,"PREP")=0,"N/A",IF(COUNTIFS(Data!$A:$A,$D193,Data!$F:$F,"PREP",Data!$L:$L,'Cluster Summary'!$D$3,Data!$I:$I,"Complete")&gt;0,"Complete",IF(COUNTIFS(Data!$A:$A,$D193,Data!$F:$F,"PREP",Data!$L:$L,'Cluster Summary'!$D$3)&gt;0,"Incomplete","Pending")))</f>
        <v>Pending</v>
      </c>
      <c r="K193" s="46">
        <f t="shared" si="2"/>
        <v>2</v>
      </c>
    </row>
    <row r="194" spans="1:11" x14ac:dyDescent="0.35">
      <c r="A194" s="45" t="s">
        <v>33</v>
      </c>
      <c r="B194" s="45" t="s">
        <v>370</v>
      </c>
      <c r="C194" s="45" t="s">
        <v>379</v>
      </c>
      <c r="D194" s="46">
        <v>22085</v>
      </c>
      <c r="E194" s="45" t="s">
        <v>380</v>
      </c>
      <c r="F194" s="45" t="s">
        <v>149</v>
      </c>
      <c r="G194" s="46" t="str">
        <f>IF(COUNTIFS(Data!$A:$A,$D194,Data!$F:$F,"C&amp;T")=0,"N/A",IF(COUNTIFS(Data!$A:$A,$D194,Data!$F:$F,"C&amp;T",Data!$L:$L,'Cluster Summary'!$D$3,Data!$I:$I,"Complete")&gt;0,"Complete",IF(COUNTIFS(Data!$A:$A,$D194,Data!$F:$F,"C&amp;T",Data!$L:$L,'Cluster Summary'!$D$3)&gt;0,"Incomplete","Pending")))</f>
        <v>Complete</v>
      </c>
      <c r="H194" s="46" t="str">
        <f>IF(COUNTIFS(Data!$A:$A,$D194,Data!$F:$F,"HTS")=0,"N/A",IF(COUNTIFS(Data!$A:$A,$D194,Data!$F:$F,"HTS",Data!$L:$L,'Cluster Summary'!$D$3,Data!$I:$I,"Complete")&gt;0,"Complete",IF(COUNTIFS(Data!$A:$A,$D194,Data!$F:$F,"HTS",Data!$L:$L,'Cluster Summary'!$D$3)&gt;0,"Incomplete","Pending")))</f>
        <v>Complete</v>
      </c>
      <c r="I194" s="46" t="str">
        <f>IF(COUNTIFS(Data!$A:$A,$D194,Data!$F:$F,"MNCH")=0,"N/A",IF(COUNTIFS(Data!$A:$A,$D194,Data!$F:$F,"MNCH",Data!$L:$L,'Cluster Summary'!$D$3,Data!$I:$I,"Complete")&gt;0,"Complete",IF(COUNTIFS(Data!$A:$A,$D194,Data!$F:$F,"MNCH",Data!$L:$L,'Cluster Summary'!$D$3)&gt;0,"Incomplete","Pending")))</f>
        <v>Complete</v>
      </c>
      <c r="J194" s="46" t="str">
        <f>IF(COUNTIFS(Data!$A:$A,$D194,Data!$F:$F,"PREP")=0,"N/A",IF(COUNTIFS(Data!$A:$A,$D194,Data!$F:$F,"PREP",Data!$L:$L,'Cluster Summary'!$D$3,Data!$I:$I,"Complete")&gt;0,"Complete",IF(COUNTIFS(Data!$A:$A,$D194,Data!$F:$F,"PREP",Data!$L:$L,'Cluster Summary'!$D$3)&gt;0,"Incomplete","Pending")))</f>
        <v>Complete</v>
      </c>
      <c r="K194" s="46">
        <f t="shared" si="2"/>
        <v>0</v>
      </c>
    </row>
    <row r="195" spans="1:11" x14ac:dyDescent="0.35">
      <c r="A195" s="45" t="s">
        <v>33</v>
      </c>
      <c r="B195" s="45" t="s">
        <v>370</v>
      </c>
      <c r="C195" s="45" t="s">
        <v>379</v>
      </c>
      <c r="D195" s="46">
        <v>12013</v>
      </c>
      <c r="E195" s="45" t="s">
        <v>381</v>
      </c>
      <c r="F195" s="45" t="s">
        <v>149</v>
      </c>
      <c r="G195" s="46" t="str">
        <f>IF(COUNTIFS(Data!$A:$A,$D195,Data!$F:$F,"C&amp;T")=0,"N/A",IF(COUNTIFS(Data!$A:$A,$D195,Data!$F:$F,"C&amp;T",Data!$L:$L,'Cluster Summary'!$D$3,Data!$I:$I,"Complete")&gt;0,"Complete",IF(COUNTIFS(Data!$A:$A,$D195,Data!$F:$F,"C&amp;T",Data!$L:$L,'Cluster Summary'!$D$3)&gt;0,"Incomplete","Pending")))</f>
        <v>Complete</v>
      </c>
      <c r="H195" s="46" t="str">
        <f>IF(COUNTIFS(Data!$A:$A,$D195,Data!$F:$F,"HTS")=0,"N/A",IF(COUNTIFS(Data!$A:$A,$D195,Data!$F:$F,"HTS",Data!$L:$L,'Cluster Summary'!$D$3,Data!$I:$I,"Complete")&gt;0,"Complete",IF(COUNTIFS(Data!$A:$A,$D195,Data!$F:$F,"HTS",Data!$L:$L,'Cluster Summary'!$D$3)&gt;0,"Incomplete","Pending")))</f>
        <v>Complete</v>
      </c>
      <c r="I195" s="46" t="str">
        <f>IF(COUNTIFS(Data!$A:$A,$D195,Data!$F:$F,"MNCH")=0,"N/A",IF(COUNTIFS(Data!$A:$A,$D195,Data!$F:$F,"MNCH",Data!$L:$L,'Cluster Summary'!$D$3,Data!$I:$I,"Complete")&gt;0,"Complete",IF(COUNTIFS(Data!$A:$A,$D195,Data!$F:$F,"MNCH",Data!$L:$L,'Cluster Summary'!$D$3)&gt;0,"Incomplete","Pending")))</f>
        <v>Complete</v>
      </c>
      <c r="J195" s="46" t="str">
        <f>IF(COUNTIFS(Data!$A:$A,$D195,Data!$F:$F,"PREP")=0,"N/A",IF(COUNTIFS(Data!$A:$A,$D195,Data!$F:$F,"PREP",Data!$L:$L,'Cluster Summary'!$D$3,Data!$I:$I,"Complete")&gt;0,"Complete",IF(COUNTIFS(Data!$A:$A,$D195,Data!$F:$F,"PREP",Data!$L:$L,'Cluster Summary'!$D$3)&gt;0,"Incomplete","Pending")))</f>
        <v>Complete</v>
      </c>
      <c r="K195" s="46">
        <f t="shared" si="2"/>
        <v>0</v>
      </c>
    </row>
    <row r="196" spans="1:11" x14ac:dyDescent="0.35">
      <c r="A196" s="45" t="s">
        <v>33</v>
      </c>
      <c r="B196" s="45" t="s">
        <v>370</v>
      </c>
      <c r="C196" s="45" t="s">
        <v>379</v>
      </c>
      <c r="D196" s="46">
        <v>20579</v>
      </c>
      <c r="E196" s="45" t="s">
        <v>382</v>
      </c>
      <c r="F196" s="45" t="s">
        <v>149</v>
      </c>
      <c r="G196" s="46" t="str">
        <f>IF(COUNTIFS(Data!$A:$A,$D196,Data!$F:$F,"C&amp;T")=0,"N/A",IF(COUNTIFS(Data!$A:$A,$D196,Data!$F:$F,"C&amp;T",Data!$L:$L,'Cluster Summary'!$D$3,Data!$I:$I,"Complete")&gt;0,"Complete",IF(COUNTIFS(Data!$A:$A,$D196,Data!$F:$F,"C&amp;T",Data!$L:$L,'Cluster Summary'!$D$3)&gt;0,"Incomplete","Pending")))</f>
        <v>Complete</v>
      </c>
      <c r="H196" s="46" t="str">
        <f>IF(COUNTIFS(Data!$A:$A,$D196,Data!$F:$F,"HTS")=0,"N/A",IF(COUNTIFS(Data!$A:$A,$D196,Data!$F:$F,"HTS",Data!$L:$L,'Cluster Summary'!$D$3,Data!$I:$I,"Complete")&gt;0,"Complete",IF(COUNTIFS(Data!$A:$A,$D196,Data!$F:$F,"HTS",Data!$L:$L,'Cluster Summary'!$D$3)&gt;0,"Incomplete","Pending")))</f>
        <v>Complete</v>
      </c>
      <c r="I196" s="46" t="str">
        <f>IF(COUNTIFS(Data!$A:$A,$D196,Data!$F:$F,"MNCH")=0,"N/A",IF(COUNTIFS(Data!$A:$A,$D196,Data!$F:$F,"MNCH",Data!$L:$L,'Cluster Summary'!$D$3,Data!$I:$I,"Complete")&gt;0,"Complete",IF(COUNTIFS(Data!$A:$A,$D196,Data!$F:$F,"MNCH",Data!$L:$L,'Cluster Summary'!$D$3)&gt;0,"Incomplete","Pending")))</f>
        <v>Incomplete</v>
      </c>
      <c r="J196" s="46" t="str">
        <f>IF(COUNTIFS(Data!$A:$A,$D196,Data!$F:$F,"PREP")=0,"N/A",IF(COUNTIFS(Data!$A:$A,$D196,Data!$F:$F,"PREP",Data!$L:$L,'Cluster Summary'!$D$3,Data!$I:$I,"Complete")&gt;0,"Complete",IF(COUNTIFS(Data!$A:$A,$D196,Data!$F:$F,"PREP",Data!$L:$L,'Cluster Summary'!$D$3)&gt;0,"Incomplete","Pending")))</f>
        <v>Complete</v>
      </c>
      <c r="K196" s="46">
        <f t="shared" si="2"/>
        <v>0</v>
      </c>
    </row>
    <row r="197" spans="1:11" x14ac:dyDescent="0.35">
      <c r="A197" s="45" t="s">
        <v>33</v>
      </c>
      <c r="B197" s="45" t="s">
        <v>370</v>
      </c>
      <c r="C197" s="45" t="s">
        <v>379</v>
      </c>
      <c r="D197" s="46">
        <v>12190</v>
      </c>
      <c r="E197" s="45" t="s">
        <v>383</v>
      </c>
      <c r="F197" s="45" t="s">
        <v>149</v>
      </c>
      <c r="G197" s="46" t="str">
        <f>IF(COUNTIFS(Data!$A:$A,$D197,Data!$F:$F,"C&amp;T")=0,"N/A",IF(COUNTIFS(Data!$A:$A,$D197,Data!$F:$F,"C&amp;T",Data!$L:$L,'Cluster Summary'!$D$3,Data!$I:$I,"Complete")&gt;0,"Complete",IF(COUNTIFS(Data!$A:$A,$D197,Data!$F:$F,"C&amp;T",Data!$L:$L,'Cluster Summary'!$D$3)&gt;0,"Incomplete","Pending")))</f>
        <v>Complete</v>
      </c>
      <c r="H197" s="46" t="str">
        <f>IF(COUNTIFS(Data!$A:$A,$D197,Data!$F:$F,"HTS")=0,"N/A",IF(COUNTIFS(Data!$A:$A,$D197,Data!$F:$F,"HTS",Data!$L:$L,'Cluster Summary'!$D$3,Data!$I:$I,"Complete")&gt;0,"Complete",IF(COUNTIFS(Data!$A:$A,$D197,Data!$F:$F,"HTS",Data!$L:$L,'Cluster Summary'!$D$3)&gt;0,"Incomplete","Pending")))</f>
        <v>Complete</v>
      </c>
      <c r="I197" s="46" t="str">
        <f>IF(COUNTIFS(Data!$A:$A,$D197,Data!$F:$F,"MNCH")=0,"N/A",IF(COUNTIFS(Data!$A:$A,$D197,Data!$F:$F,"MNCH",Data!$L:$L,'Cluster Summary'!$D$3,Data!$I:$I,"Complete")&gt;0,"Complete",IF(COUNTIFS(Data!$A:$A,$D197,Data!$F:$F,"MNCH",Data!$L:$L,'Cluster Summary'!$D$3)&gt;0,"Incomplete","Pending")))</f>
        <v>Incomplete</v>
      </c>
      <c r="J197" s="46" t="str">
        <f>IF(COUNTIFS(Data!$A:$A,$D197,Data!$F:$F,"PREP")=0,"N/A",IF(COUNTIFS(Data!$A:$A,$D197,Data!$F:$F,"PREP",Data!$L:$L,'Cluster Summary'!$D$3,Data!$I:$I,"Complete")&gt;0,"Complete",IF(COUNTIFS(Data!$A:$A,$D197,Data!$F:$F,"PREP",Data!$L:$L,'Cluster Summary'!$D$3)&gt;0,"Incomplete","Pending")))</f>
        <v>Incomplete</v>
      </c>
      <c r="K197" s="46">
        <f t="shared" ref="K197:K212" si="3">COUNTIF(G197:J197,"Pending")</f>
        <v>0</v>
      </c>
    </row>
    <row r="198" spans="1:11" x14ac:dyDescent="0.35">
      <c r="A198" s="45" t="s">
        <v>33</v>
      </c>
      <c r="B198" s="45" t="s">
        <v>370</v>
      </c>
      <c r="C198" s="45" t="s">
        <v>379</v>
      </c>
      <c r="D198" s="46">
        <v>12204</v>
      </c>
      <c r="E198" s="45" t="s">
        <v>384</v>
      </c>
      <c r="F198" s="45" t="s">
        <v>149</v>
      </c>
      <c r="G198" s="46" t="str">
        <f>IF(COUNTIFS(Data!$A:$A,$D198,Data!$F:$F,"C&amp;T")=0,"N/A",IF(COUNTIFS(Data!$A:$A,$D198,Data!$F:$F,"C&amp;T",Data!$L:$L,'Cluster Summary'!$D$3,Data!$I:$I,"Complete")&gt;0,"Complete",IF(COUNTIFS(Data!$A:$A,$D198,Data!$F:$F,"C&amp;T",Data!$L:$L,'Cluster Summary'!$D$3)&gt;0,"Incomplete","Pending")))</f>
        <v>Complete</v>
      </c>
      <c r="H198" s="46" t="str">
        <f>IF(COUNTIFS(Data!$A:$A,$D198,Data!$F:$F,"HTS")=0,"N/A",IF(COUNTIFS(Data!$A:$A,$D198,Data!$F:$F,"HTS",Data!$L:$L,'Cluster Summary'!$D$3,Data!$I:$I,"Complete")&gt;0,"Complete",IF(COUNTIFS(Data!$A:$A,$D198,Data!$F:$F,"HTS",Data!$L:$L,'Cluster Summary'!$D$3)&gt;0,"Incomplete","Pending")))</f>
        <v>Complete</v>
      </c>
      <c r="I198" s="46" t="str">
        <f>IF(COUNTIFS(Data!$A:$A,$D198,Data!$F:$F,"MNCH")=0,"N/A",IF(COUNTIFS(Data!$A:$A,$D198,Data!$F:$F,"MNCH",Data!$L:$L,'Cluster Summary'!$D$3,Data!$I:$I,"Complete")&gt;0,"Complete",IF(COUNTIFS(Data!$A:$A,$D198,Data!$F:$F,"MNCH",Data!$L:$L,'Cluster Summary'!$D$3)&gt;0,"Incomplete","Pending")))</f>
        <v>Incomplete</v>
      </c>
      <c r="J198" s="46" t="str">
        <f>IF(COUNTIFS(Data!$A:$A,$D198,Data!$F:$F,"PREP")=0,"N/A",IF(COUNTIFS(Data!$A:$A,$D198,Data!$F:$F,"PREP",Data!$L:$L,'Cluster Summary'!$D$3,Data!$I:$I,"Complete")&gt;0,"Complete",IF(COUNTIFS(Data!$A:$A,$D198,Data!$F:$F,"PREP",Data!$L:$L,'Cluster Summary'!$D$3)&gt;0,"Incomplete","Pending")))</f>
        <v>Incomplete</v>
      </c>
      <c r="K198" s="46">
        <f t="shared" si="3"/>
        <v>0</v>
      </c>
    </row>
    <row r="199" spans="1:11" x14ac:dyDescent="0.35">
      <c r="A199" s="45" t="s">
        <v>33</v>
      </c>
      <c r="B199" s="45" t="s">
        <v>370</v>
      </c>
      <c r="C199" s="45" t="s">
        <v>379</v>
      </c>
      <c r="D199" s="46">
        <v>12241</v>
      </c>
      <c r="E199" s="45" t="s">
        <v>385</v>
      </c>
      <c r="F199" s="45" t="s">
        <v>149</v>
      </c>
      <c r="G199" s="46" t="str">
        <f>IF(COUNTIFS(Data!$A:$A,$D199,Data!$F:$F,"C&amp;T")=0,"N/A",IF(COUNTIFS(Data!$A:$A,$D199,Data!$F:$F,"C&amp;T",Data!$L:$L,'Cluster Summary'!$D$3,Data!$I:$I,"Complete")&gt;0,"Complete",IF(COUNTIFS(Data!$A:$A,$D199,Data!$F:$F,"C&amp;T",Data!$L:$L,'Cluster Summary'!$D$3)&gt;0,"Incomplete","Pending")))</f>
        <v>Complete</v>
      </c>
      <c r="H199" s="46" t="str">
        <f>IF(COUNTIFS(Data!$A:$A,$D199,Data!$F:$F,"HTS")=0,"N/A",IF(COUNTIFS(Data!$A:$A,$D199,Data!$F:$F,"HTS",Data!$L:$L,'Cluster Summary'!$D$3,Data!$I:$I,"Complete")&gt;0,"Complete",IF(COUNTIFS(Data!$A:$A,$D199,Data!$F:$F,"HTS",Data!$L:$L,'Cluster Summary'!$D$3)&gt;0,"Incomplete","Pending")))</f>
        <v>Complete</v>
      </c>
      <c r="I199" s="46" t="str">
        <f>IF(COUNTIFS(Data!$A:$A,$D199,Data!$F:$F,"MNCH")=0,"N/A",IF(COUNTIFS(Data!$A:$A,$D199,Data!$F:$F,"MNCH",Data!$L:$L,'Cluster Summary'!$D$3,Data!$I:$I,"Complete")&gt;0,"Complete",IF(COUNTIFS(Data!$A:$A,$D199,Data!$F:$F,"MNCH",Data!$L:$L,'Cluster Summary'!$D$3)&gt;0,"Incomplete","Pending")))</f>
        <v>Complete</v>
      </c>
      <c r="J199" s="46" t="str">
        <f>IF(COUNTIFS(Data!$A:$A,$D199,Data!$F:$F,"PREP")=0,"N/A",IF(COUNTIFS(Data!$A:$A,$D199,Data!$F:$F,"PREP",Data!$L:$L,'Cluster Summary'!$D$3,Data!$I:$I,"Complete")&gt;0,"Complete",IF(COUNTIFS(Data!$A:$A,$D199,Data!$F:$F,"PREP",Data!$L:$L,'Cluster Summary'!$D$3)&gt;0,"Incomplete","Pending")))</f>
        <v>Complete</v>
      </c>
      <c r="K199" s="46">
        <f t="shared" si="3"/>
        <v>0</v>
      </c>
    </row>
    <row r="200" spans="1:11" x14ac:dyDescent="0.35">
      <c r="A200" s="45" t="s">
        <v>33</v>
      </c>
      <c r="B200" s="45" t="s">
        <v>370</v>
      </c>
      <c r="C200" s="45" t="s">
        <v>379</v>
      </c>
      <c r="D200" s="46">
        <v>12251</v>
      </c>
      <c r="E200" s="45" t="s">
        <v>386</v>
      </c>
      <c r="F200" s="45" t="s">
        <v>149</v>
      </c>
      <c r="G200" s="46" t="str">
        <f>IF(COUNTIFS(Data!$A:$A,$D200,Data!$F:$F,"C&amp;T")=0,"N/A",IF(COUNTIFS(Data!$A:$A,$D200,Data!$F:$F,"C&amp;T",Data!$L:$L,'Cluster Summary'!$D$3,Data!$I:$I,"Complete")&gt;0,"Complete",IF(COUNTIFS(Data!$A:$A,$D200,Data!$F:$F,"C&amp;T",Data!$L:$L,'Cluster Summary'!$D$3)&gt;0,"Incomplete","Pending")))</f>
        <v>Complete</v>
      </c>
      <c r="H200" s="46" t="str">
        <f>IF(COUNTIFS(Data!$A:$A,$D200,Data!$F:$F,"HTS")=0,"N/A",IF(COUNTIFS(Data!$A:$A,$D200,Data!$F:$F,"HTS",Data!$L:$L,'Cluster Summary'!$D$3,Data!$I:$I,"Complete")&gt;0,"Complete",IF(COUNTIFS(Data!$A:$A,$D200,Data!$F:$F,"HTS",Data!$L:$L,'Cluster Summary'!$D$3)&gt;0,"Incomplete","Pending")))</f>
        <v>Complete</v>
      </c>
      <c r="I200" s="46" t="str">
        <f>IF(COUNTIFS(Data!$A:$A,$D200,Data!$F:$F,"MNCH")=0,"N/A",IF(COUNTIFS(Data!$A:$A,$D200,Data!$F:$F,"MNCH",Data!$L:$L,'Cluster Summary'!$D$3,Data!$I:$I,"Complete")&gt;0,"Complete",IF(COUNTIFS(Data!$A:$A,$D200,Data!$F:$F,"MNCH",Data!$L:$L,'Cluster Summary'!$D$3)&gt;0,"Incomplete","Pending")))</f>
        <v>Complete</v>
      </c>
      <c r="J200" s="46" t="str">
        <f>IF(COUNTIFS(Data!$A:$A,$D200,Data!$F:$F,"PREP")=0,"N/A",IF(COUNTIFS(Data!$A:$A,$D200,Data!$F:$F,"PREP",Data!$L:$L,'Cluster Summary'!$D$3,Data!$I:$I,"Complete")&gt;0,"Complete",IF(COUNTIFS(Data!$A:$A,$D200,Data!$F:$F,"PREP",Data!$L:$L,'Cluster Summary'!$D$3)&gt;0,"Incomplete","Pending")))</f>
        <v>Complete</v>
      </c>
      <c r="K200" s="46">
        <f t="shared" si="3"/>
        <v>0</v>
      </c>
    </row>
    <row r="201" spans="1:11" x14ac:dyDescent="0.35">
      <c r="A201" s="45" t="s">
        <v>33</v>
      </c>
      <c r="B201" s="45" t="s">
        <v>370</v>
      </c>
      <c r="C201" s="45" t="s">
        <v>379</v>
      </c>
      <c r="D201" s="46">
        <v>12604</v>
      </c>
      <c r="E201" s="45" t="s">
        <v>387</v>
      </c>
      <c r="F201" s="45" t="s">
        <v>149</v>
      </c>
      <c r="G201" s="46" t="str">
        <f>IF(COUNTIFS(Data!$A:$A,$D201,Data!$F:$F,"C&amp;T")=0,"N/A",IF(COUNTIFS(Data!$A:$A,$D201,Data!$F:$F,"C&amp;T",Data!$L:$L,'Cluster Summary'!$D$3,Data!$I:$I,"Complete")&gt;0,"Complete",IF(COUNTIFS(Data!$A:$A,$D201,Data!$F:$F,"C&amp;T",Data!$L:$L,'Cluster Summary'!$D$3)&gt;0,"Incomplete","Pending")))</f>
        <v>Complete</v>
      </c>
      <c r="H201" s="46" t="str">
        <f>IF(COUNTIFS(Data!$A:$A,$D201,Data!$F:$F,"HTS")=0,"N/A",IF(COUNTIFS(Data!$A:$A,$D201,Data!$F:$F,"HTS",Data!$L:$L,'Cluster Summary'!$D$3,Data!$I:$I,"Complete")&gt;0,"Complete",IF(COUNTIFS(Data!$A:$A,$D201,Data!$F:$F,"HTS",Data!$L:$L,'Cluster Summary'!$D$3)&gt;0,"Incomplete","Pending")))</f>
        <v>Complete</v>
      </c>
      <c r="I201" s="46" t="str">
        <f>IF(COUNTIFS(Data!$A:$A,$D201,Data!$F:$F,"MNCH")=0,"N/A",IF(COUNTIFS(Data!$A:$A,$D201,Data!$F:$F,"MNCH",Data!$L:$L,'Cluster Summary'!$D$3,Data!$I:$I,"Complete")&gt;0,"Complete",IF(COUNTIFS(Data!$A:$A,$D201,Data!$F:$F,"MNCH",Data!$L:$L,'Cluster Summary'!$D$3)&gt;0,"Incomplete","Pending")))</f>
        <v>Complete</v>
      </c>
      <c r="J201" s="46" t="str">
        <f>IF(COUNTIFS(Data!$A:$A,$D201,Data!$F:$F,"PREP")=0,"N/A",IF(COUNTIFS(Data!$A:$A,$D201,Data!$F:$F,"PREP",Data!$L:$L,'Cluster Summary'!$D$3,Data!$I:$I,"Complete")&gt;0,"Complete",IF(COUNTIFS(Data!$A:$A,$D201,Data!$F:$F,"PREP",Data!$L:$L,'Cluster Summary'!$D$3)&gt;0,"Incomplete","Pending")))</f>
        <v>Complete</v>
      </c>
      <c r="K201" s="46">
        <f t="shared" si="3"/>
        <v>0</v>
      </c>
    </row>
    <row r="202" spans="1:11" x14ac:dyDescent="0.35">
      <c r="A202" s="45" t="s">
        <v>33</v>
      </c>
      <c r="B202" s="45" t="s">
        <v>370</v>
      </c>
      <c r="C202" s="45" t="s">
        <v>388</v>
      </c>
      <c r="D202" s="46">
        <v>12213</v>
      </c>
      <c r="E202" s="45" t="s">
        <v>389</v>
      </c>
      <c r="F202" s="45" t="s">
        <v>149</v>
      </c>
      <c r="G202" s="46" t="str">
        <f>IF(COUNTIFS(Data!$A:$A,$D202,Data!$F:$F,"C&amp;T")=0,"N/A",IF(COUNTIFS(Data!$A:$A,$D202,Data!$F:$F,"C&amp;T",Data!$L:$L,'Cluster Summary'!$D$3,Data!$I:$I,"Complete")&gt;0,"Complete",IF(COUNTIFS(Data!$A:$A,$D202,Data!$F:$F,"C&amp;T",Data!$L:$L,'Cluster Summary'!$D$3)&gt;0,"Incomplete","Pending")))</f>
        <v>Complete</v>
      </c>
      <c r="H202" s="46" t="str">
        <f>IF(COUNTIFS(Data!$A:$A,$D202,Data!$F:$F,"HTS")=0,"N/A",IF(COUNTIFS(Data!$A:$A,$D202,Data!$F:$F,"HTS",Data!$L:$L,'Cluster Summary'!$D$3,Data!$I:$I,"Complete")&gt;0,"Complete",IF(COUNTIFS(Data!$A:$A,$D202,Data!$F:$F,"HTS",Data!$L:$L,'Cluster Summary'!$D$3)&gt;0,"Incomplete","Pending")))</f>
        <v>Complete</v>
      </c>
      <c r="I202" s="46" t="str">
        <f>IF(COUNTIFS(Data!$A:$A,$D202,Data!$F:$F,"MNCH")=0,"N/A",IF(COUNTIFS(Data!$A:$A,$D202,Data!$F:$F,"MNCH",Data!$L:$L,'Cluster Summary'!$D$3,Data!$I:$I,"Complete")&gt;0,"Complete",IF(COUNTIFS(Data!$A:$A,$D202,Data!$F:$F,"MNCH",Data!$L:$L,'Cluster Summary'!$D$3)&gt;0,"Incomplete","Pending")))</f>
        <v>Pending</v>
      </c>
      <c r="J202" s="46" t="str">
        <f>IF(COUNTIFS(Data!$A:$A,$D202,Data!$F:$F,"PREP")=0,"N/A",IF(COUNTIFS(Data!$A:$A,$D202,Data!$F:$F,"PREP",Data!$L:$L,'Cluster Summary'!$D$3,Data!$I:$I,"Complete")&gt;0,"Complete",IF(COUNTIFS(Data!$A:$A,$D202,Data!$F:$F,"PREP",Data!$L:$L,'Cluster Summary'!$D$3)&gt;0,"Incomplete","Pending")))</f>
        <v>Complete</v>
      </c>
      <c r="K202" s="46">
        <f t="shared" si="3"/>
        <v>1</v>
      </c>
    </row>
    <row r="203" spans="1:11" x14ac:dyDescent="0.35">
      <c r="A203" s="45" t="s">
        <v>33</v>
      </c>
      <c r="B203" s="45" t="s">
        <v>390</v>
      </c>
      <c r="C203" s="45" t="s">
        <v>391</v>
      </c>
      <c r="D203" s="46">
        <v>12306</v>
      </c>
      <c r="E203" s="45" t="s">
        <v>392</v>
      </c>
      <c r="F203" s="45" t="s">
        <v>149</v>
      </c>
      <c r="G203" s="46" t="str">
        <f>IF(COUNTIFS(Data!$A:$A,$D203,Data!$F:$F,"C&amp;T")=0,"N/A",IF(COUNTIFS(Data!$A:$A,$D203,Data!$F:$F,"C&amp;T",Data!$L:$L,'Cluster Summary'!$D$3,Data!$I:$I,"Complete")&gt;0,"Complete",IF(COUNTIFS(Data!$A:$A,$D203,Data!$F:$F,"C&amp;T",Data!$L:$L,'Cluster Summary'!$D$3)&gt;0,"Incomplete","Pending")))</f>
        <v>Complete</v>
      </c>
      <c r="H203" s="46" t="str">
        <f>IF(COUNTIFS(Data!$A:$A,$D203,Data!$F:$F,"HTS")=0,"N/A",IF(COUNTIFS(Data!$A:$A,$D203,Data!$F:$F,"HTS",Data!$L:$L,'Cluster Summary'!$D$3,Data!$I:$I,"Complete")&gt;0,"Complete",IF(COUNTIFS(Data!$A:$A,$D203,Data!$F:$F,"HTS",Data!$L:$L,'Cluster Summary'!$D$3)&gt;0,"Incomplete","Pending")))</f>
        <v>Complete</v>
      </c>
      <c r="I203" s="46" t="str">
        <f>IF(COUNTIFS(Data!$A:$A,$D203,Data!$F:$F,"MNCH")=0,"N/A",IF(COUNTIFS(Data!$A:$A,$D203,Data!$F:$F,"MNCH",Data!$L:$L,'Cluster Summary'!$D$3,Data!$I:$I,"Complete")&gt;0,"Complete",IF(COUNTIFS(Data!$A:$A,$D203,Data!$F:$F,"MNCH",Data!$L:$L,'Cluster Summary'!$D$3)&gt;0,"Incomplete","Pending")))</f>
        <v>Complete</v>
      </c>
      <c r="J203" s="46" t="str">
        <f>IF(COUNTIFS(Data!$A:$A,$D203,Data!$F:$F,"PREP")=0,"N/A",IF(COUNTIFS(Data!$A:$A,$D203,Data!$F:$F,"PREP",Data!$L:$L,'Cluster Summary'!$D$3,Data!$I:$I,"Complete")&gt;0,"Complete",IF(COUNTIFS(Data!$A:$A,$D203,Data!$F:$F,"PREP",Data!$L:$L,'Cluster Summary'!$D$3)&gt;0,"Incomplete","Pending")))</f>
        <v>Complete</v>
      </c>
      <c r="K203" s="46">
        <f t="shared" si="3"/>
        <v>0</v>
      </c>
    </row>
    <row r="204" spans="1:11" x14ac:dyDescent="0.35">
      <c r="A204" s="45" t="s">
        <v>33</v>
      </c>
      <c r="B204" s="45" t="s">
        <v>390</v>
      </c>
      <c r="C204" s="45" t="s">
        <v>393</v>
      </c>
      <c r="D204" s="46">
        <v>11962</v>
      </c>
      <c r="E204" s="45" t="s">
        <v>394</v>
      </c>
      <c r="F204" s="45" t="s">
        <v>149</v>
      </c>
      <c r="G204" s="46" t="str">
        <f>IF(COUNTIFS(Data!$A:$A,$D204,Data!$F:$F,"C&amp;T")=0,"N/A",IF(COUNTIFS(Data!$A:$A,$D204,Data!$F:$F,"C&amp;T",Data!$L:$L,'Cluster Summary'!$D$3,Data!$I:$I,"Complete")&gt;0,"Complete",IF(COUNTIFS(Data!$A:$A,$D204,Data!$F:$F,"C&amp;T",Data!$L:$L,'Cluster Summary'!$D$3)&gt;0,"Incomplete","Pending")))</f>
        <v>Complete</v>
      </c>
      <c r="H204" s="46" t="str">
        <f>IF(COUNTIFS(Data!$A:$A,$D204,Data!$F:$F,"HTS")=0,"N/A",IF(COUNTIFS(Data!$A:$A,$D204,Data!$F:$F,"HTS",Data!$L:$L,'Cluster Summary'!$D$3,Data!$I:$I,"Complete")&gt;0,"Complete",IF(COUNTIFS(Data!$A:$A,$D204,Data!$F:$F,"HTS",Data!$L:$L,'Cluster Summary'!$D$3)&gt;0,"Incomplete","Pending")))</f>
        <v>Complete</v>
      </c>
      <c r="I204" s="46" t="str">
        <f>IF(COUNTIFS(Data!$A:$A,$D204,Data!$F:$F,"MNCH")=0,"N/A",IF(COUNTIFS(Data!$A:$A,$D204,Data!$F:$F,"MNCH",Data!$L:$L,'Cluster Summary'!$D$3,Data!$I:$I,"Complete")&gt;0,"Complete",IF(COUNTIFS(Data!$A:$A,$D204,Data!$F:$F,"MNCH",Data!$L:$L,'Cluster Summary'!$D$3)&gt;0,"Incomplete","Pending")))</f>
        <v>Complete</v>
      </c>
      <c r="J204" s="46" t="str">
        <f>IF(COUNTIFS(Data!$A:$A,$D204,Data!$F:$F,"PREP")=0,"N/A",IF(COUNTIFS(Data!$A:$A,$D204,Data!$F:$F,"PREP",Data!$L:$L,'Cluster Summary'!$D$3,Data!$I:$I,"Complete")&gt;0,"Complete",IF(COUNTIFS(Data!$A:$A,$D204,Data!$F:$F,"PREP",Data!$L:$L,'Cluster Summary'!$D$3)&gt;0,"Incomplete","Pending")))</f>
        <v>Complete</v>
      </c>
      <c r="K204" s="46">
        <f t="shared" si="3"/>
        <v>0</v>
      </c>
    </row>
    <row r="205" spans="1:11" x14ac:dyDescent="0.35">
      <c r="A205" s="45" t="s">
        <v>33</v>
      </c>
      <c r="B205" s="45" t="s">
        <v>390</v>
      </c>
      <c r="C205" s="45" t="s">
        <v>393</v>
      </c>
      <c r="D205" s="46">
        <v>12205</v>
      </c>
      <c r="E205" s="45" t="s">
        <v>395</v>
      </c>
      <c r="F205" s="45" t="s">
        <v>149</v>
      </c>
      <c r="G205" s="46" t="str">
        <f>IF(COUNTIFS(Data!$A:$A,$D205,Data!$F:$F,"C&amp;T")=0,"N/A",IF(COUNTIFS(Data!$A:$A,$D205,Data!$F:$F,"C&amp;T",Data!$L:$L,'Cluster Summary'!$D$3,Data!$I:$I,"Complete")&gt;0,"Complete",IF(COUNTIFS(Data!$A:$A,$D205,Data!$F:$F,"C&amp;T",Data!$L:$L,'Cluster Summary'!$D$3)&gt;0,"Incomplete","Pending")))</f>
        <v>Complete</v>
      </c>
      <c r="H205" s="46" t="str">
        <f>IF(COUNTIFS(Data!$A:$A,$D205,Data!$F:$F,"HTS")=0,"N/A",IF(COUNTIFS(Data!$A:$A,$D205,Data!$F:$F,"HTS",Data!$L:$L,'Cluster Summary'!$D$3,Data!$I:$I,"Complete")&gt;0,"Complete",IF(COUNTIFS(Data!$A:$A,$D205,Data!$F:$F,"HTS",Data!$L:$L,'Cluster Summary'!$D$3)&gt;0,"Incomplete","Pending")))</f>
        <v>Complete</v>
      </c>
      <c r="I205" s="46" t="str">
        <f>IF(COUNTIFS(Data!$A:$A,$D205,Data!$F:$F,"MNCH")=0,"N/A",IF(COUNTIFS(Data!$A:$A,$D205,Data!$F:$F,"MNCH",Data!$L:$L,'Cluster Summary'!$D$3,Data!$I:$I,"Complete")&gt;0,"Complete",IF(COUNTIFS(Data!$A:$A,$D205,Data!$F:$F,"MNCH",Data!$L:$L,'Cluster Summary'!$D$3)&gt;0,"Incomplete","Pending")))</f>
        <v>Complete</v>
      </c>
      <c r="J205" s="46" t="str">
        <f>IF(COUNTIFS(Data!$A:$A,$D205,Data!$F:$F,"PREP")=0,"N/A",IF(COUNTIFS(Data!$A:$A,$D205,Data!$F:$F,"PREP",Data!$L:$L,'Cluster Summary'!$D$3,Data!$I:$I,"Complete")&gt;0,"Complete",IF(COUNTIFS(Data!$A:$A,$D205,Data!$F:$F,"PREP",Data!$L:$L,'Cluster Summary'!$D$3)&gt;0,"Incomplete","Pending")))</f>
        <v>Incomplete</v>
      </c>
      <c r="K205" s="46">
        <f t="shared" si="3"/>
        <v>0</v>
      </c>
    </row>
    <row r="206" spans="1:11" x14ac:dyDescent="0.35">
      <c r="A206" s="45" t="s">
        <v>33</v>
      </c>
      <c r="B206" s="45" t="s">
        <v>390</v>
      </c>
      <c r="C206" s="45" t="s">
        <v>396</v>
      </c>
      <c r="D206" s="46">
        <v>12502</v>
      </c>
      <c r="E206" s="45" t="s">
        <v>397</v>
      </c>
      <c r="F206" s="45" t="s">
        <v>149</v>
      </c>
      <c r="G206" s="46" t="str">
        <f>IF(COUNTIFS(Data!$A:$A,$D206,Data!$F:$F,"C&amp;T")=0,"N/A",IF(COUNTIFS(Data!$A:$A,$D206,Data!$F:$F,"C&amp;T",Data!$L:$L,'Cluster Summary'!$D$3,Data!$I:$I,"Complete")&gt;0,"Complete",IF(COUNTIFS(Data!$A:$A,$D206,Data!$F:$F,"C&amp;T",Data!$L:$L,'Cluster Summary'!$D$3)&gt;0,"Incomplete","Pending")))</f>
        <v>Complete</v>
      </c>
      <c r="H206" s="46" t="str">
        <f>IF(COUNTIFS(Data!$A:$A,$D206,Data!$F:$F,"HTS")=0,"N/A",IF(COUNTIFS(Data!$A:$A,$D206,Data!$F:$F,"HTS",Data!$L:$L,'Cluster Summary'!$D$3,Data!$I:$I,"Complete")&gt;0,"Complete",IF(COUNTIFS(Data!$A:$A,$D206,Data!$F:$F,"HTS",Data!$L:$L,'Cluster Summary'!$D$3)&gt;0,"Incomplete","Pending")))</f>
        <v>Complete</v>
      </c>
      <c r="I206" s="46" t="str">
        <f>IF(COUNTIFS(Data!$A:$A,$D206,Data!$F:$F,"MNCH")=0,"N/A",IF(COUNTIFS(Data!$A:$A,$D206,Data!$F:$F,"MNCH",Data!$L:$L,'Cluster Summary'!$D$3,Data!$I:$I,"Complete")&gt;0,"Complete",IF(COUNTIFS(Data!$A:$A,$D206,Data!$F:$F,"MNCH",Data!$L:$L,'Cluster Summary'!$D$3)&gt;0,"Incomplete","Pending")))</f>
        <v>Incomplete</v>
      </c>
      <c r="J206" s="46" t="str">
        <f>IF(COUNTIFS(Data!$A:$A,$D206,Data!$F:$F,"PREP")=0,"N/A",IF(COUNTIFS(Data!$A:$A,$D206,Data!$F:$F,"PREP",Data!$L:$L,'Cluster Summary'!$D$3,Data!$I:$I,"Complete")&gt;0,"Complete",IF(COUNTIFS(Data!$A:$A,$D206,Data!$F:$F,"PREP",Data!$L:$L,'Cluster Summary'!$D$3)&gt;0,"Incomplete","Pending")))</f>
        <v>Incomplete</v>
      </c>
      <c r="K206" s="46">
        <f t="shared" si="3"/>
        <v>0</v>
      </c>
    </row>
    <row r="207" spans="1:11" x14ac:dyDescent="0.35">
      <c r="A207" s="45" t="s">
        <v>33</v>
      </c>
      <c r="B207" s="45" t="s">
        <v>390</v>
      </c>
      <c r="C207" s="45" t="s">
        <v>390</v>
      </c>
      <c r="D207" s="46">
        <v>17431</v>
      </c>
      <c r="E207" s="45" t="s">
        <v>398</v>
      </c>
      <c r="F207" s="45" t="s">
        <v>149</v>
      </c>
      <c r="G207" s="46" t="str">
        <f>IF(COUNTIFS(Data!$A:$A,$D207,Data!$F:$F,"C&amp;T")=0,"N/A",IF(COUNTIFS(Data!$A:$A,$D207,Data!$F:$F,"C&amp;T",Data!$L:$L,'Cluster Summary'!$D$3,Data!$I:$I,"Complete")&gt;0,"Complete",IF(COUNTIFS(Data!$A:$A,$D207,Data!$F:$F,"C&amp;T",Data!$L:$L,'Cluster Summary'!$D$3)&gt;0,"Incomplete","Pending")))</f>
        <v>Complete</v>
      </c>
      <c r="H207" s="46" t="str">
        <f>IF(COUNTIFS(Data!$A:$A,$D207,Data!$F:$F,"HTS")=0,"N/A",IF(COUNTIFS(Data!$A:$A,$D207,Data!$F:$F,"HTS",Data!$L:$L,'Cluster Summary'!$D$3,Data!$I:$I,"Complete")&gt;0,"Complete",IF(COUNTIFS(Data!$A:$A,$D207,Data!$F:$F,"HTS",Data!$L:$L,'Cluster Summary'!$D$3)&gt;0,"Incomplete","Pending")))</f>
        <v>Complete</v>
      </c>
      <c r="I207" s="46" t="str">
        <f>IF(COUNTIFS(Data!$A:$A,$D207,Data!$F:$F,"MNCH")=0,"N/A",IF(COUNTIFS(Data!$A:$A,$D207,Data!$F:$F,"MNCH",Data!$L:$L,'Cluster Summary'!$D$3,Data!$I:$I,"Complete")&gt;0,"Complete",IF(COUNTIFS(Data!$A:$A,$D207,Data!$F:$F,"MNCH",Data!$L:$L,'Cluster Summary'!$D$3)&gt;0,"Incomplete","Pending")))</f>
        <v>Pending</v>
      </c>
      <c r="J207" s="46" t="str">
        <f>IF(COUNTIFS(Data!$A:$A,$D207,Data!$F:$F,"PREP")=0,"N/A",IF(COUNTIFS(Data!$A:$A,$D207,Data!$F:$F,"PREP",Data!$L:$L,'Cluster Summary'!$D$3,Data!$I:$I,"Complete")&gt;0,"Complete",IF(COUNTIFS(Data!$A:$A,$D207,Data!$F:$F,"PREP",Data!$L:$L,'Cluster Summary'!$D$3)&gt;0,"Incomplete","Pending")))</f>
        <v>Incomplete</v>
      </c>
      <c r="K207" s="46">
        <f t="shared" si="3"/>
        <v>1</v>
      </c>
    </row>
    <row r="208" spans="1:11" x14ac:dyDescent="0.35">
      <c r="A208" s="45" t="s">
        <v>33</v>
      </c>
      <c r="B208" s="45" t="s">
        <v>390</v>
      </c>
      <c r="C208" s="45" t="s">
        <v>390</v>
      </c>
      <c r="D208" s="46">
        <v>12456</v>
      </c>
      <c r="E208" s="45" t="s">
        <v>399</v>
      </c>
      <c r="F208" s="45" t="s">
        <v>149</v>
      </c>
      <c r="G208" s="46" t="str">
        <f>IF(COUNTIFS(Data!$A:$A,$D208,Data!$F:$F,"C&amp;T")=0,"N/A",IF(COUNTIFS(Data!$A:$A,$D208,Data!$F:$F,"C&amp;T",Data!$L:$L,'Cluster Summary'!$D$3,Data!$I:$I,"Complete")&gt;0,"Complete",IF(COUNTIFS(Data!$A:$A,$D208,Data!$F:$F,"C&amp;T",Data!$L:$L,'Cluster Summary'!$D$3)&gt;0,"Incomplete","Pending")))</f>
        <v>Complete</v>
      </c>
      <c r="H208" s="46" t="str">
        <f>IF(COUNTIFS(Data!$A:$A,$D208,Data!$F:$F,"HTS")=0,"N/A",IF(COUNTIFS(Data!$A:$A,$D208,Data!$F:$F,"HTS",Data!$L:$L,'Cluster Summary'!$D$3,Data!$I:$I,"Complete")&gt;0,"Complete",IF(COUNTIFS(Data!$A:$A,$D208,Data!$F:$F,"HTS",Data!$L:$L,'Cluster Summary'!$D$3)&gt;0,"Incomplete","Pending")))</f>
        <v>Complete</v>
      </c>
      <c r="I208" s="46" t="str">
        <f>IF(COUNTIFS(Data!$A:$A,$D208,Data!$F:$F,"MNCH")=0,"N/A",IF(COUNTIFS(Data!$A:$A,$D208,Data!$F:$F,"MNCH",Data!$L:$L,'Cluster Summary'!$D$3,Data!$I:$I,"Complete")&gt;0,"Complete",IF(COUNTIFS(Data!$A:$A,$D208,Data!$F:$F,"MNCH",Data!$L:$L,'Cluster Summary'!$D$3)&gt;0,"Incomplete","Pending")))</f>
        <v>Incomplete</v>
      </c>
      <c r="J208" s="46" t="str">
        <f>IF(COUNTIFS(Data!$A:$A,$D208,Data!$F:$F,"PREP")=0,"N/A",IF(COUNTIFS(Data!$A:$A,$D208,Data!$F:$F,"PREP",Data!$L:$L,'Cluster Summary'!$D$3,Data!$I:$I,"Complete")&gt;0,"Complete",IF(COUNTIFS(Data!$A:$A,$D208,Data!$F:$F,"PREP",Data!$L:$L,'Cluster Summary'!$D$3)&gt;0,"Incomplete","Pending")))</f>
        <v>Complete</v>
      </c>
      <c r="K208" s="46">
        <f t="shared" si="3"/>
        <v>0</v>
      </c>
    </row>
    <row r="209" spans="1:11" x14ac:dyDescent="0.35">
      <c r="A209" s="45" t="s">
        <v>33</v>
      </c>
      <c r="B209" s="45" t="s">
        <v>400</v>
      </c>
      <c r="C209" s="45" t="s">
        <v>401</v>
      </c>
      <c r="D209" s="46">
        <v>12745</v>
      </c>
      <c r="E209" s="45" t="s">
        <v>402</v>
      </c>
      <c r="F209" s="45" t="s">
        <v>149</v>
      </c>
      <c r="G209" s="46" t="str">
        <f>IF(COUNTIFS(Data!$A:$A,$D209,Data!$F:$F,"C&amp;T")=0,"N/A",IF(COUNTIFS(Data!$A:$A,$D209,Data!$F:$F,"C&amp;T",Data!$L:$L,'Cluster Summary'!$D$3,Data!$I:$I,"Complete")&gt;0,"Complete",IF(COUNTIFS(Data!$A:$A,$D209,Data!$F:$F,"C&amp;T",Data!$L:$L,'Cluster Summary'!$D$3)&gt;0,"Incomplete","Pending")))</f>
        <v>Complete</v>
      </c>
      <c r="H209" s="46" t="str">
        <f>IF(COUNTIFS(Data!$A:$A,$D209,Data!$F:$F,"HTS")=0,"N/A",IF(COUNTIFS(Data!$A:$A,$D209,Data!$F:$F,"HTS",Data!$L:$L,'Cluster Summary'!$D$3,Data!$I:$I,"Complete")&gt;0,"Complete",IF(COUNTIFS(Data!$A:$A,$D209,Data!$F:$F,"HTS",Data!$L:$L,'Cluster Summary'!$D$3)&gt;0,"Incomplete","Pending")))</f>
        <v>Complete</v>
      </c>
      <c r="I209" s="46" t="str">
        <f>IF(COUNTIFS(Data!$A:$A,$D209,Data!$F:$F,"MNCH")=0,"N/A",IF(COUNTIFS(Data!$A:$A,$D209,Data!$F:$F,"MNCH",Data!$L:$L,'Cluster Summary'!$D$3,Data!$I:$I,"Complete")&gt;0,"Complete",IF(COUNTIFS(Data!$A:$A,$D209,Data!$F:$F,"MNCH",Data!$L:$L,'Cluster Summary'!$D$3)&gt;0,"Incomplete","Pending")))</f>
        <v>Complete</v>
      </c>
      <c r="J209" s="46" t="str">
        <f>IF(COUNTIFS(Data!$A:$A,$D209,Data!$F:$F,"PREP")=0,"N/A",IF(COUNTIFS(Data!$A:$A,$D209,Data!$F:$F,"PREP",Data!$L:$L,'Cluster Summary'!$D$3,Data!$I:$I,"Complete")&gt;0,"Complete",IF(COUNTIFS(Data!$A:$A,$D209,Data!$F:$F,"PREP",Data!$L:$L,'Cluster Summary'!$D$3)&gt;0,"Incomplete","Pending")))</f>
        <v>Complete</v>
      </c>
      <c r="K209" s="46">
        <f t="shared" si="3"/>
        <v>0</v>
      </c>
    </row>
    <row r="210" spans="1:11" x14ac:dyDescent="0.35">
      <c r="A210" s="45" t="s">
        <v>33</v>
      </c>
      <c r="B210" s="45" t="s">
        <v>400</v>
      </c>
      <c r="C210" s="45" t="s">
        <v>403</v>
      </c>
      <c r="D210" s="46">
        <v>11981</v>
      </c>
      <c r="E210" s="45" t="s">
        <v>404</v>
      </c>
      <c r="F210" s="45" t="s">
        <v>149</v>
      </c>
      <c r="G210" s="46" t="str">
        <f>IF(COUNTIFS(Data!$A:$A,$D210,Data!$F:$F,"C&amp;T")=0,"N/A",IF(COUNTIFS(Data!$A:$A,$D210,Data!$F:$F,"C&amp;T",Data!$L:$L,'Cluster Summary'!$D$3,Data!$I:$I,"Complete")&gt;0,"Complete",IF(COUNTIFS(Data!$A:$A,$D210,Data!$F:$F,"C&amp;T",Data!$L:$L,'Cluster Summary'!$D$3)&gt;0,"Incomplete","Pending")))</f>
        <v>Complete</v>
      </c>
      <c r="H210" s="46" t="str">
        <f>IF(COUNTIFS(Data!$A:$A,$D210,Data!$F:$F,"HTS")=0,"N/A",IF(COUNTIFS(Data!$A:$A,$D210,Data!$F:$F,"HTS",Data!$L:$L,'Cluster Summary'!$D$3,Data!$I:$I,"Complete")&gt;0,"Complete",IF(COUNTIFS(Data!$A:$A,$D210,Data!$F:$F,"HTS",Data!$L:$L,'Cluster Summary'!$D$3)&gt;0,"Incomplete","Pending")))</f>
        <v>Incomplete</v>
      </c>
      <c r="I210" s="46" t="str">
        <f>IF(COUNTIFS(Data!$A:$A,$D210,Data!$F:$F,"MNCH")=0,"N/A",IF(COUNTIFS(Data!$A:$A,$D210,Data!$F:$F,"MNCH",Data!$L:$L,'Cluster Summary'!$D$3,Data!$I:$I,"Complete")&gt;0,"Complete",IF(COUNTIFS(Data!$A:$A,$D210,Data!$F:$F,"MNCH",Data!$L:$L,'Cluster Summary'!$D$3)&gt;0,"Incomplete","Pending")))</f>
        <v>Complete</v>
      </c>
      <c r="J210" s="46" t="str">
        <f>IF(COUNTIFS(Data!$A:$A,$D210,Data!$F:$F,"PREP")=0,"N/A",IF(COUNTIFS(Data!$A:$A,$D210,Data!$F:$F,"PREP",Data!$L:$L,'Cluster Summary'!$D$3,Data!$I:$I,"Complete")&gt;0,"Complete",IF(COUNTIFS(Data!$A:$A,$D210,Data!$F:$F,"PREP",Data!$L:$L,'Cluster Summary'!$D$3)&gt;0,"Incomplete","Pending")))</f>
        <v>Incomplete</v>
      </c>
      <c r="K210" s="46">
        <f t="shared" si="3"/>
        <v>0</v>
      </c>
    </row>
    <row r="211" spans="1:11" x14ac:dyDescent="0.35">
      <c r="A211" s="45" t="s">
        <v>33</v>
      </c>
      <c r="B211" s="45" t="s">
        <v>400</v>
      </c>
      <c r="C211" s="45" t="s">
        <v>405</v>
      </c>
      <c r="D211" s="46">
        <v>16742</v>
      </c>
      <c r="E211" s="45" t="s">
        <v>406</v>
      </c>
      <c r="F211" s="45" t="s">
        <v>149</v>
      </c>
      <c r="G211" s="46" t="str">
        <f>IF(COUNTIFS(Data!$A:$A,$D211,Data!$F:$F,"C&amp;T")=0,"N/A",IF(COUNTIFS(Data!$A:$A,$D211,Data!$F:$F,"C&amp;T",Data!$L:$L,'Cluster Summary'!$D$3,Data!$I:$I,"Complete")&gt;0,"Complete",IF(COUNTIFS(Data!$A:$A,$D211,Data!$F:$F,"C&amp;T",Data!$L:$L,'Cluster Summary'!$D$3)&gt;0,"Incomplete","Pending")))</f>
        <v>Complete</v>
      </c>
      <c r="H211" s="46" t="str">
        <f>IF(COUNTIFS(Data!$A:$A,$D211,Data!$F:$F,"HTS")=0,"N/A",IF(COUNTIFS(Data!$A:$A,$D211,Data!$F:$F,"HTS",Data!$L:$L,'Cluster Summary'!$D$3,Data!$I:$I,"Complete")&gt;0,"Complete",IF(COUNTIFS(Data!$A:$A,$D211,Data!$F:$F,"HTS",Data!$L:$L,'Cluster Summary'!$D$3)&gt;0,"Incomplete","Pending")))</f>
        <v>Complete</v>
      </c>
      <c r="I211" s="46" t="str">
        <f>IF(COUNTIFS(Data!$A:$A,$D211,Data!$F:$F,"MNCH")=0,"N/A",IF(COUNTIFS(Data!$A:$A,$D211,Data!$F:$F,"MNCH",Data!$L:$L,'Cluster Summary'!$D$3,Data!$I:$I,"Complete")&gt;0,"Complete",IF(COUNTIFS(Data!$A:$A,$D211,Data!$F:$F,"MNCH",Data!$L:$L,'Cluster Summary'!$D$3)&gt;0,"Incomplete","Pending")))</f>
        <v>Complete</v>
      </c>
      <c r="J211" s="46" t="str">
        <f>IF(COUNTIFS(Data!$A:$A,$D211,Data!$F:$F,"PREP")=0,"N/A",IF(COUNTIFS(Data!$A:$A,$D211,Data!$F:$F,"PREP",Data!$L:$L,'Cluster Summary'!$D$3,Data!$I:$I,"Complete")&gt;0,"Complete",IF(COUNTIFS(Data!$A:$A,$D211,Data!$F:$F,"PREP",Data!$L:$L,'Cluster Summary'!$D$3)&gt;0,"Incomplete","Pending")))</f>
        <v>Complete</v>
      </c>
      <c r="K211" s="46">
        <f t="shared" si="3"/>
        <v>0</v>
      </c>
    </row>
    <row r="212" spans="1:11" x14ac:dyDescent="0.35">
      <c r="A212" s="45" t="s">
        <v>33</v>
      </c>
      <c r="B212" s="45" t="s">
        <v>400</v>
      </c>
      <c r="C212" s="45" t="s">
        <v>407</v>
      </c>
      <c r="D212" s="46">
        <v>12489</v>
      </c>
      <c r="E212" s="45" t="s">
        <v>408</v>
      </c>
      <c r="F212" s="45" t="s">
        <v>149</v>
      </c>
      <c r="G212" s="46" t="str">
        <f>IF(COUNTIFS(Data!$A:$A,$D212,Data!$F:$F,"C&amp;T")=0,"N/A",IF(COUNTIFS(Data!$A:$A,$D212,Data!$F:$F,"C&amp;T",Data!$L:$L,'Cluster Summary'!$D$3,Data!$I:$I,"Complete")&gt;0,"Complete",IF(COUNTIFS(Data!$A:$A,$D212,Data!$F:$F,"C&amp;T",Data!$L:$L,'Cluster Summary'!$D$3)&gt;0,"Incomplete","Pending")))</f>
        <v>Complete</v>
      </c>
      <c r="H212" s="46" t="str">
        <f>IF(COUNTIFS(Data!$A:$A,$D212,Data!$F:$F,"HTS")=0,"N/A",IF(COUNTIFS(Data!$A:$A,$D212,Data!$F:$F,"HTS",Data!$L:$L,'Cluster Summary'!$D$3,Data!$I:$I,"Complete")&gt;0,"Complete",IF(COUNTIFS(Data!$A:$A,$D212,Data!$F:$F,"HTS",Data!$L:$L,'Cluster Summary'!$D$3)&gt;0,"Incomplete","Pending")))</f>
        <v>Complete</v>
      </c>
      <c r="I212" s="46" t="str">
        <f>IF(COUNTIFS(Data!$A:$A,$D212,Data!$F:$F,"MNCH")=0,"N/A",IF(COUNTIFS(Data!$A:$A,$D212,Data!$F:$F,"MNCH",Data!$L:$L,'Cluster Summary'!$D$3,Data!$I:$I,"Complete")&gt;0,"Complete",IF(COUNTIFS(Data!$A:$A,$D212,Data!$F:$F,"MNCH",Data!$L:$L,'Cluster Summary'!$D$3)&gt;0,"Incomplete","Pending")))</f>
        <v>Complete</v>
      </c>
      <c r="J212" s="46" t="str">
        <f>IF(COUNTIFS(Data!$A:$A,$D212,Data!$F:$F,"PREP")=0,"N/A",IF(COUNTIFS(Data!$A:$A,$D212,Data!$F:$F,"PREP",Data!$L:$L,'Cluster Summary'!$D$3,Data!$I:$I,"Complete")&gt;0,"Complete",IF(COUNTIFS(Data!$A:$A,$D212,Data!$F:$F,"PREP",Data!$L:$L,'Cluster Summary'!$D$3)&gt;0,"Incomplete","Pending")))</f>
        <v>Complete</v>
      </c>
      <c r="K212" s="46">
        <f t="shared" si="3"/>
        <v>0</v>
      </c>
    </row>
  </sheetData>
  <autoFilter ref="A4:K212" xr:uid="{00000000-0009-0000-0000-000002000000}"/>
  <conditionalFormatting sqref="G5:J212">
    <cfRule type="cellIs" dxfId="14" priority="2" operator="equal">
      <formula>"Complete"</formula>
    </cfRule>
    <cfRule type="cellIs" dxfId="13" priority="3" operator="equal">
      <formula>"Incomplete"</formula>
    </cfRule>
    <cfRule type="cellIs" dxfId="12" priority="4" operator="equal">
      <formula>"Pending"</formula>
    </cfRule>
  </conditionalFormatting>
  <conditionalFormatting sqref="K5:K212">
    <cfRule type="cellIs" dxfId="11" priority="5" operator="greaterThan">
      <formula>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B1:L73"/>
  <sheetViews>
    <sheetView showGridLines="0" zoomScaleNormal="100" workbookViewId="0">
      <selection activeCell="N48" sqref="N48"/>
    </sheetView>
  </sheetViews>
  <sheetFormatPr defaultColWidth="8.6328125" defaultRowHeight="14.5" x14ac:dyDescent="0.35"/>
  <cols>
    <col min="1" max="1" width="2" customWidth="1"/>
    <col min="2" max="2" width="30" customWidth="1"/>
    <col min="3" max="3" width="24" customWidth="1"/>
    <col min="4" max="4" width="40" customWidth="1"/>
    <col min="5" max="12" width="10" customWidth="1"/>
  </cols>
  <sheetData>
    <row r="1" spans="2:8" ht="20" x14ac:dyDescent="0.35">
      <c r="B1" s="3" t="s">
        <v>409</v>
      </c>
    </row>
    <row r="2" spans="2:8" x14ac:dyDescent="0.35">
      <c r="B2" s="4" t="s">
        <v>410</v>
      </c>
    </row>
    <row r="4" spans="2:8" ht="15.5" x14ac:dyDescent="0.35">
      <c r="B4" s="18" t="s">
        <v>411</v>
      </c>
    </row>
    <row r="5" spans="2:8" x14ac:dyDescent="0.35">
      <c r="B5" s="5" t="s">
        <v>412</v>
      </c>
      <c r="C5" s="80" t="s">
        <v>1108</v>
      </c>
      <c r="D5" s="80"/>
      <c r="E5" s="80"/>
      <c r="F5" s="80"/>
      <c r="G5" s="80"/>
      <c r="H5" s="80"/>
    </row>
    <row r="6" spans="2:8" x14ac:dyDescent="0.35">
      <c r="B6" s="5" t="s">
        <v>413</v>
      </c>
      <c r="C6" s="47">
        <f>COUNTIF(Data!$A$2:$A$2500,"&gt;0")</f>
        <v>1115</v>
      </c>
    </row>
    <row r="7" spans="2:8" x14ac:dyDescent="0.35">
      <c r="B7" s="5" t="s">
        <v>414</v>
      </c>
      <c r="C7" s="48" t="str">
        <f>COUNTIF(Data!$L$2:$L$2500,'Cluster Summary'!$D$3)&amp;" rows in "&amp;'Cluster Summary'!$D$3&amp;" (selected upload month)"</f>
        <v>750 rows in 2026-10 (selected upload month)</v>
      </c>
    </row>
    <row r="8" spans="2:8" x14ac:dyDescent="0.35">
      <c r="B8" s="5" t="s">
        <v>415</v>
      </c>
      <c r="C8" s="48" t="str">
        <f>IFERROR(INDEX(SPOT_Import!$A$2:$Z$2,MATCH("Source File",SPOT_Import!$A$1:$Z$1,0)),"(pasted data)")</f>
        <v>download (39).csv</v>
      </c>
    </row>
    <row r="10" spans="2:8" ht="15.5" x14ac:dyDescent="0.35">
      <c r="B10" s="18" t="s">
        <v>416</v>
      </c>
    </row>
    <row r="11" spans="2:8" x14ac:dyDescent="0.35">
      <c r="B11" s="2" t="s">
        <v>417</v>
      </c>
      <c r="C11" s="2" t="s">
        <v>418</v>
      </c>
      <c r="D11" s="2" t="s">
        <v>419</v>
      </c>
    </row>
    <row r="12" spans="2:8" x14ac:dyDescent="0.35">
      <c r="B12" s="27" t="s">
        <v>420</v>
      </c>
      <c r="C12" s="20">
        <f>IFERROR(MATCH(B12,SPOT_Import!$1:$1,0),99)</f>
        <v>1</v>
      </c>
      <c r="D12" s="27" t="str">
        <f t="shared" ref="D12:D22" si="0">IF(C12=99,"✗ missing — rename the header in SPOT_Import","✓ found")</f>
        <v>✓ found</v>
      </c>
    </row>
    <row r="13" spans="2:8" x14ac:dyDescent="0.35">
      <c r="B13" s="27" t="s">
        <v>125</v>
      </c>
      <c r="C13" s="20">
        <f>IFERROR(MATCH(B13,SPOT_Import!$1:$1,0),99)</f>
        <v>2</v>
      </c>
      <c r="D13" s="27" t="str">
        <f t="shared" si="0"/>
        <v>✓ found</v>
      </c>
    </row>
    <row r="14" spans="2:8" x14ac:dyDescent="0.35">
      <c r="B14" s="27" t="s">
        <v>122</v>
      </c>
      <c r="C14" s="20">
        <f>IFERROR(MATCH(B14,SPOT_Import!$1:$1,0),99)</f>
        <v>3</v>
      </c>
      <c r="D14" s="27" t="str">
        <f t="shared" si="0"/>
        <v>✓ found</v>
      </c>
    </row>
    <row r="15" spans="2:8" x14ac:dyDescent="0.35">
      <c r="B15" s="27" t="s">
        <v>123</v>
      </c>
      <c r="C15" s="20">
        <f>IFERROR(MATCH(B15,SPOT_Import!$1:$1,0),99)</f>
        <v>4</v>
      </c>
      <c r="D15" s="27" t="str">
        <f t="shared" si="0"/>
        <v>✓ found</v>
      </c>
    </row>
    <row r="16" spans="2:8" x14ac:dyDescent="0.35">
      <c r="B16" s="27" t="s">
        <v>126</v>
      </c>
      <c r="C16" s="20">
        <f>IFERROR(MATCH(B16,SPOT_Import!$1:$1,0),99)</f>
        <v>5</v>
      </c>
      <c r="D16" s="27" t="str">
        <f t="shared" si="0"/>
        <v>✓ found</v>
      </c>
    </row>
    <row r="17" spans="2:12" x14ac:dyDescent="0.35">
      <c r="B17" s="27" t="s">
        <v>71</v>
      </c>
      <c r="C17" s="20">
        <f>IFERROR(MATCH(B17,SPOT_Import!$1:$1,0),99)</f>
        <v>6</v>
      </c>
      <c r="D17" s="27" t="str">
        <f t="shared" si="0"/>
        <v>✓ found</v>
      </c>
    </row>
    <row r="18" spans="2:12" x14ac:dyDescent="0.35">
      <c r="B18" s="27" t="s">
        <v>421</v>
      </c>
      <c r="C18" s="20">
        <f>IFERROR(MATCH(B18,SPOT_Import!$1:$1,0),99)</f>
        <v>7</v>
      </c>
      <c r="D18" s="27" t="str">
        <f t="shared" si="0"/>
        <v>✓ found</v>
      </c>
    </row>
    <row r="19" spans="2:12" x14ac:dyDescent="0.35">
      <c r="B19" s="27" t="s">
        <v>422</v>
      </c>
      <c r="C19" s="20">
        <f>IFERROR(MATCH(B19,SPOT_Import!$1:$1,0),99)</f>
        <v>8</v>
      </c>
      <c r="D19" s="27" t="str">
        <f t="shared" si="0"/>
        <v>✓ found</v>
      </c>
    </row>
    <row r="20" spans="2:12" x14ac:dyDescent="0.35">
      <c r="B20" s="27" t="s">
        <v>419</v>
      </c>
      <c r="C20" s="20">
        <f>IFERROR(MATCH(B20,SPOT_Import!$1:$1,0),99)</f>
        <v>9</v>
      </c>
      <c r="D20" s="27" t="str">
        <f t="shared" si="0"/>
        <v>✓ found</v>
      </c>
    </row>
    <row r="21" spans="2:12" x14ac:dyDescent="0.35">
      <c r="B21" s="27" t="s">
        <v>423</v>
      </c>
      <c r="C21" s="20">
        <f>IFERROR(MATCH(B21,SPOT_Import!$1:$1,0),99)</f>
        <v>10</v>
      </c>
      <c r="D21" s="27" t="str">
        <f t="shared" si="0"/>
        <v>✓ found</v>
      </c>
    </row>
    <row r="22" spans="2:12" x14ac:dyDescent="0.35">
      <c r="B22" s="27" t="s">
        <v>424</v>
      </c>
      <c r="C22" s="20">
        <f>IFERROR(MATCH(B22,SPOT_Import!$1:$1,0),99)</f>
        <v>11</v>
      </c>
      <c r="D22" s="27" t="str">
        <f t="shared" si="0"/>
        <v>✓ found</v>
      </c>
    </row>
    <row r="24" spans="2:12" ht="15.5" x14ac:dyDescent="0.35">
      <c r="B24" s="18" t="s">
        <v>425</v>
      </c>
    </row>
    <row r="25" spans="2:12" ht="27.75" customHeight="1" x14ac:dyDescent="0.35">
      <c r="B25" s="49" t="s">
        <v>426</v>
      </c>
      <c r="C25" s="81" t="s">
        <v>427</v>
      </c>
      <c r="D25" s="81"/>
      <c r="E25" s="81"/>
      <c r="F25" s="81"/>
      <c r="G25" s="81"/>
      <c r="H25" s="81"/>
      <c r="I25" s="81"/>
      <c r="J25" s="81"/>
      <c r="K25" s="81"/>
      <c r="L25" s="81"/>
    </row>
    <row r="26" spans="2:12" ht="27.75" customHeight="1" x14ac:dyDescent="0.35">
      <c r="B26" s="49" t="s">
        <v>428</v>
      </c>
      <c r="C26" s="81" t="s">
        <v>429</v>
      </c>
      <c r="D26" s="81"/>
      <c r="E26" s="81"/>
      <c r="F26" s="81"/>
      <c r="G26" s="81"/>
      <c r="H26" s="81"/>
      <c r="I26" s="81"/>
      <c r="J26" s="81"/>
      <c r="K26" s="81"/>
      <c r="L26" s="81"/>
    </row>
    <row r="27" spans="2:12" ht="27.75" customHeight="1" x14ac:dyDescent="0.35">
      <c r="B27" s="49" t="s">
        <v>430</v>
      </c>
      <c r="C27" s="81" t="s">
        <v>431</v>
      </c>
      <c r="D27" s="81"/>
      <c r="E27" s="81"/>
      <c r="F27" s="81"/>
      <c r="G27" s="81"/>
      <c r="H27" s="81"/>
      <c r="I27" s="81"/>
      <c r="J27" s="81"/>
      <c r="K27" s="81"/>
      <c r="L27" s="81"/>
    </row>
    <row r="28" spans="2:12" ht="27.75" customHeight="1" x14ac:dyDescent="0.35">
      <c r="B28" s="49" t="s">
        <v>432</v>
      </c>
      <c r="C28" s="81" t="s">
        <v>433</v>
      </c>
      <c r="D28" s="81"/>
      <c r="E28" s="81"/>
      <c r="F28" s="81"/>
      <c r="G28" s="81"/>
      <c r="H28" s="81"/>
      <c r="I28" s="81"/>
      <c r="J28" s="81"/>
      <c r="K28" s="81"/>
      <c r="L28" s="81"/>
    </row>
    <row r="29" spans="2:12" ht="27.75" customHeight="1" x14ac:dyDescent="0.35">
      <c r="B29" s="49" t="s">
        <v>434</v>
      </c>
      <c r="C29" s="81" t="s">
        <v>435</v>
      </c>
      <c r="D29" s="81"/>
      <c r="E29" s="81"/>
      <c r="F29" s="81"/>
      <c r="G29" s="81"/>
      <c r="H29" s="81"/>
      <c r="I29" s="81"/>
      <c r="J29" s="81"/>
      <c r="K29" s="81"/>
      <c r="L29" s="81"/>
    </row>
    <row r="30" spans="2:12" ht="27.75" customHeight="1" x14ac:dyDescent="0.35">
      <c r="B30" s="49" t="s">
        <v>436</v>
      </c>
      <c r="C30" s="81" t="s">
        <v>437</v>
      </c>
      <c r="D30" s="81"/>
      <c r="E30" s="81"/>
      <c r="F30" s="81"/>
      <c r="G30" s="81"/>
      <c r="H30" s="81"/>
      <c r="I30" s="81"/>
      <c r="J30" s="81"/>
      <c r="K30" s="81"/>
      <c r="L30" s="81"/>
    </row>
    <row r="31" spans="2:12" ht="27.75" customHeight="1" x14ac:dyDescent="0.35">
      <c r="B31" s="49" t="s">
        <v>438</v>
      </c>
      <c r="C31" s="81" t="s">
        <v>439</v>
      </c>
      <c r="D31" s="81"/>
      <c r="E31" s="81"/>
      <c r="F31" s="81"/>
      <c r="G31" s="81"/>
      <c r="H31" s="81"/>
      <c r="I31" s="81"/>
      <c r="J31" s="81"/>
      <c r="K31" s="81"/>
      <c r="L31" s="81"/>
    </row>
    <row r="32" spans="2:12" ht="27.75" customHeight="1" x14ac:dyDescent="0.35">
      <c r="B32" s="49" t="s">
        <v>440</v>
      </c>
      <c r="C32" s="81" t="s">
        <v>441</v>
      </c>
      <c r="D32" s="81"/>
      <c r="E32" s="81"/>
      <c r="F32" s="81"/>
      <c r="G32" s="81"/>
      <c r="H32" s="81"/>
      <c r="I32" s="81"/>
      <c r="J32" s="81"/>
      <c r="K32" s="81"/>
      <c r="L32" s="81"/>
    </row>
    <row r="33" spans="2:12" ht="27.75" customHeight="1" x14ac:dyDescent="0.35">
      <c r="B33" s="49" t="s">
        <v>442</v>
      </c>
      <c r="C33" s="81" t="s">
        <v>443</v>
      </c>
      <c r="D33" s="81"/>
      <c r="E33" s="81"/>
      <c r="F33" s="81"/>
      <c r="G33" s="81"/>
      <c r="H33" s="81"/>
      <c r="I33" s="81"/>
      <c r="J33" s="81"/>
      <c r="K33" s="81"/>
      <c r="L33" s="81"/>
    </row>
    <row r="35" spans="2:12" ht="15.5" x14ac:dyDescent="0.35">
      <c r="B35" s="18" t="s">
        <v>444</v>
      </c>
    </row>
    <row r="36" spans="2:12" x14ac:dyDescent="0.35">
      <c r="B36" s="50" t="s">
        <v>445</v>
      </c>
    </row>
    <row r="37" spans="2:12" x14ac:dyDescent="0.35">
      <c r="B37" s="50" t="s">
        <v>446</v>
      </c>
    </row>
    <row r="38" spans="2:12" x14ac:dyDescent="0.35">
      <c r="B38" s="50" t="s">
        <v>447</v>
      </c>
    </row>
    <row r="39" spans="2:12" x14ac:dyDescent="0.35">
      <c r="B39" s="50" t="s">
        <v>448</v>
      </c>
    </row>
    <row r="40" spans="2:12" x14ac:dyDescent="0.35">
      <c r="B40" s="50" t="s">
        <v>449</v>
      </c>
    </row>
    <row r="41" spans="2:12" x14ac:dyDescent="0.35">
      <c r="B41" s="50" t="s">
        <v>450</v>
      </c>
    </row>
    <row r="42" spans="2:12" x14ac:dyDescent="0.35">
      <c r="B42" s="50" t="s">
        <v>451</v>
      </c>
    </row>
    <row r="43" spans="2:12" x14ac:dyDescent="0.35">
      <c r="B43" s="50" t="s">
        <v>452</v>
      </c>
    </row>
    <row r="44" spans="2:12" x14ac:dyDescent="0.35">
      <c r="B44" s="50" t="s">
        <v>453</v>
      </c>
    </row>
    <row r="45" spans="2:12" x14ac:dyDescent="0.35">
      <c r="B45" s="50" t="s">
        <v>454</v>
      </c>
    </row>
    <row r="46" spans="2:12" x14ac:dyDescent="0.35">
      <c r="B46" s="50" t="s">
        <v>455</v>
      </c>
    </row>
    <row r="47" spans="2:12" x14ac:dyDescent="0.35">
      <c r="B47" s="50" t="s">
        <v>456</v>
      </c>
    </row>
    <row r="48" spans="2:12" x14ac:dyDescent="0.35">
      <c r="B48" s="50" t="s">
        <v>457</v>
      </c>
    </row>
    <row r="49" spans="2:2" x14ac:dyDescent="0.35">
      <c r="B49" s="50" t="s">
        <v>458</v>
      </c>
    </row>
    <row r="50" spans="2:2" x14ac:dyDescent="0.35">
      <c r="B50" s="50" t="s">
        <v>459</v>
      </c>
    </row>
    <row r="51" spans="2:2" x14ac:dyDescent="0.35">
      <c r="B51" s="50" t="s">
        <v>460</v>
      </c>
    </row>
    <row r="52" spans="2:2" x14ac:dyDescent="0.35">
      <c r="B52" s="50" t="s">
        <v>461</v>
      </c>
    </row>
    <row r="53" spans="2:2" x14ac:dyDescent="0.35">
      <c r="B53" s="50" t="s">
        <v>462</v>
      </c>
    </row>
    <row r="54" spans="2:2" x14ac:dyDescent="0.35">
      <c r="B54" s="50" t="s">
        <v>463</v>
      </c>
    </row>
    <row r="55" spans="2:2" x14ac:dyDescent="0.35">
      <c r="B55" s="50" t="s">
        <v>464</v>
      </c>
    </row>
    <row r="56" spans="2:2" x14ac:dyDescent="0.35">
      <c r="B56" s="50" t="s">
        <v>465</v>
      </c>
    </row>
    <row r="57" spans="2:2" x14ac:dyDescent="0.35">
      <c r="B57" s="50" t="s">
        <v>466</v>
      </c>
    </row>
    <row r="58" spans="2:2" x14ac:dyDescent="0.35">
      <c r="B58" s="50" t="s">
        <v>467</v>
      </c>
    </row>
    <row r="59" spans="2:2" x14ac:dyDescent="0.35">
      <c r="B59" s="50" t="s">
        <v>468</v>
      </c>
    </row>
    <row r="60" spans="2:2" x14ac:dyDescent="0.35">
      <c r="B60" s="50" t="s">
        <v>469</v>
      </c>
    </row>
    <row r="61" spans="2:2" x14ac:dyDescent="0.35">
      <c r="B61" s="50" t="s">
        <v>470</v>
      </c>
    </row>
    <row r="62" spans="2:2" x14ac:dyDescent="0.35">
      <c r="B62" s="50" t="s">
        <v>471</v>
      </c>
    </row>
    <row r="63" spans="2:2" x14ac:dyDescent="0.35">
      <c r="B63" s="50" t="s">
        <v>472</v>
      </c>
    </row>
    <row r="64" spans="2:2" x14ac:dyDescent="0.35">
      <c r="B64" s="50" t="s">
        <v>473</v>
      </c>
    </row>
    <row r="65" spans="2:2" x14ac:dyDescent="0.35">
      <c r="B65" s="50" t="s">
        <v>474</v>
      </c>
    </row>
    <row r="66" spans="2:2" x14ac:dyDescent="0.35">
      <c r="B66" s="50" t="s">
        <v>475</v>
      </c>
    </row>
    <row r="67" spans="2:2" x14ac:dyDescent="0.35">
      <c r="B67" s="50" t="s">
        <v>476</v>
      </c>
    </row>
    <row r="68" spans="2:2" x14ac:dyDescent="0.35">
      <c r="B68" s="50" t="s">
        <v>477</v>
      </c>
    </row>
    <row r="70" spans="2:2" ht="15.5" x14ac:dyDescent="0.35">
      <c r="B70" s="18" t="s">
        <v>478</v>
      </c>
    </row>
    <row r="71" spans="2:2" x14ac:dyDescent="0.35">
      <c r="B71" s="17" t="s">
        <v>479</v>
      </c>
    </row>
    <row r="72" spans="2:2" x14ac:dyDescent="0.35">
      <c r="B72" s="17" t="s">
        <v>480</v>
      </c>
    </row>
    <row r="73" spans="2:2" x14ac:dyDescent="0.35">
      <c r="B73" s="17" t="s">
        <v>481</v>
      </c>
    </row>
  </sheetData>
  <mergeCells count="10">
    <mergeCell ref="C29:L29"/>
    <mergeCell ref="C30:L30"/>
    <mergeCell ref="C31:L31"/>
    <mergeCell ref="C32:L32"/>
    <mergeCell ref="C33:L33"/>
    <mergeCell ref="C5:H5"/>
    <mergeCell ref="C25:L25"/>
    <mergeCell ref="C26:L26"/>
    <mergeCell ref="C27:L27"/>
    <mergeCell ref="C28:L28"/>
  </mergeCells>
  <conditionalFormatting sqref="D12:D22">
    <cfRule type="cellIs" dxfId="10" priority="2" operator="equal">
      <formula>"✓ found"</formula>
    </cfRule>
    <cfRule type="cellIs" dxfId="9" priority="3" operator="notEqual">
      <formula>"✓ found"</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zoomScaleNormal="100" workbookViewId="0"/>
  </sheetViews>
  <sheetFormatPr defaultColWidth="8.6328125" defaultRowHeight="14.5" x14ac:dyDescent="0.35"/>
  <cols>
    <col min="1" max="1" width="12" customWidth="1"/>
    <col min="2" max="2" width="34" customWidth="1"/>
    <col min="3" max="3" width="18" customWidth="1"/>
  </cols>
  <sheetData>
    <row r="1" spans="1:3" ht="15.5" x14ac:dyDescent="0.35">
      <c r="A1" s="18" t="s">
        <v>482</v>
      </c>
    </row>
    <row r="3" spans="1:3" x14ac:dyDescent="0.35">
      <c r="A3" s="51" t="s">
        <v>39</v>
      </c>
      <c r="B3" s="51" t="s">
        <v>483</v>
      </c>
      <c r="C3" s="51" t="s">
        <v>484</v>
      </c>
    </row>
    <row r="4" spans="1:3" x14ac:dyDescent="0.35">
      <c r="A4" s="52" t="s">
        <v>17</v>
      </c>
      <c r="B4" s="52" t="s">
        <v>485</v>
      </c>
      <c r="C4" s="52" t="s">
        <v>128</v>
      </c>
    </row>
    <row r="5" spans="1:3" x14ac:dyDescent="0.35">
      <c r="A5" s="52" t="s">
        <v>17</v>
      </c>
      <c r="B5" s="52" t="s">
        <v>486</v>
      </c>
      <c r="C5" s="52" t="s">
        <v>204</v>
      </c>
    </row>
    <row r="6" spans="1:3" x14ac:dyDescent="0.35">
      <c r="A6" s="52" t="s">
        <v>20</v>
      </c>
      <c r="B6" s="52" t="s">
        <v>487</v>
      </c>
      <c r="C6" s="52" t="s">
        <v>207</v>
      </c>
    </row>
    <row r="7" spans="1:3" x14ac:dyDescent="0.35">
      <c r="A7" s="52" t="s">
        <v>20</v>
      </c>
      <c r="B7" s="52" t="s">
        <v>488</v>
      </c>
      <c r="C7" s="52" t="s">
        <v>247</v>
      </c>
    </row>
    <row r="8" spans="1:3" x14ac:dyDescent="0.35">
      <c r="A8" s="52" t="s">
        <v>20</v>
      </c>
      <c r="B8" s="52" t="s">
        <v>489</v>
      </c>
      <c r="C8" s="52" t="s">
        <v>280</v>
      </c>
    </row>
    <row r="9" spans="1:3" x14ac:dyDescent="0.35">
      <c r="A9" s="52" t="s">
        <v>20</v>
      </c>
      <c r="B9" s="52" t="s">
        <v>490</v>
      </c>
      <c r="C9" s="52" t="s">
        <v>287</v>
      </c>
    </row>
    <row r="10" spans="1:3" x14ac:dyDescent="0.35">
      <c r="A10" s="52" t="s">
        <v>25</v>
      </c>
      <c r="B10" s="52" t="s">
        <v>491</v>
      </c>
      <c r="C10" s="52" t="s">
        <v>292</v>
      </c>
    </row>
    <row r="11" spans="1:3" x14ac:dyDescent="0.35">
      <c r="A11" s="52" t="s">
        <v>25</v>
      </c>
      <c r="B11" s="52" t="s">
        <v>492</v>
      </c>
      <c r="C11" s="52" t="s">
        <v>311</v>
      </c>
    </row>
    <row r="12" spans="1:3" x14ac:dyDescent="0.35">
      <c r="A12" s="52" t="s">
        <v>25</v>
      </c>
      <c r="B12" s="52" t="s">
        <v>493</v>
      </c>
      <c r="C12" s="52" t="s">
        <v>314</v>
      </c>
    </row>
    <row r="13" spans="1:3" x14ac:dyDescent="0.35">
      <c r="A13" s="52" t="s">
        <v>29</v>
      </c>
      <c r="B13" s="52" t="s">
        <v>494</v>
      </c>
      <c r="C13" s="52" t="s">
        <v>317</v>
      </c>
    </row>
    <row r="14" spans="1:3" x14ac:dyDescent="0.35">
      <c r="A14" s="52" t="s">
        <v>29</v>
      </c>
      <c r="B14" s="52" t="s">
        <v>495</v>
      </c>
      <c r="C14" s="52" t="s">
        <v>359</v>
      </c>
    </row>
    <row r="15" spans="1:3" x14ac:dyDescent="0.35">
      <c r="A15" s="52" t="s">
        <v>29</v>
      </c>
      <c r="B15" s="52" t="s">
        <v>496</v>
      </c>
      <c r="C15" s="52" t="s">
        <v>367</v>
      </c>
    </row>
    <row r="16" spans="1:3" x14ac:dyDescent="0.35">
      <c r="A16" s="52" t="s">
        <v>33</v>
      </c>
      <c r="B16" s="52" t="s">
        <v>497</v>
      </c>
      <c r="C16" s="52" t="s">
        <v>370</v>
      </c>
    </row>
    <row r="17" spans="1:3" x14ac:dyDescent="0.35">
      <c r="A17" s="52" t="s">
        <v>33</v>
      </c>
      <c r="B17" s="52" t="s">
        <v>498</v>
      </c>
      <c r="C17" s="52" t="s">
        <v>390</v>
      </c>
    </row>
    <row r="18" spans="1:3" x14ac:dyDescent="0.35">
      <c r="A18" s="52" t="s">
        <v>33</v>
      </c>
      <c r="B18" s="52" t="s">
        <v>499</v>
      </c>
      <c r="C18" s="52" t="s">
        <v>400</v>
      </c>
    </row>
    <row r="20" spans="1:3" x14ac:dyDescent="0.35">
      <c r="A20" s="17" t="s">
        <v>500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500"/>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34" customWidth="1"/>
    <col min="3" max="3" width="14" customWidth="1"/>
    <col min="4" max="4" width="18" customWidth="1"/>
    <col min="5" max="5" width="22" customWidth="1"/>
    <col min="6" max="6" width="7" customWidth="1"/>
    <col min="7" max="8" width="9" customWidth="1"/>
    <col min="9" max="9" width="10" customWidth="1"/>
    <col min="10" max="11" width="22" customWidth="1"/>
    <col min="12" max="12" width="10" customWidth="1"/>
    <col min="13" max="13" width="16" customWidth="1"/>
    <col min="14" max="14" width="10" customWidth="1"/>
    <col min="15" max="16" width="9" customWidth="1"/>
  </cols>
  <sheetData>
    <row r="1" spans="1:16" ht="39" x14ac:dyDescent="0.35">
      <c r="A1" s="53" t="s">
        <v>420</v>
      </c>
      <c r="B1" s="53" t="s">
        <v>125</v>
      </c>
      <c r="C1" s="53" t="s">
        <v>122</v>
      </c>
      <c r="D1" s="53" t="s">
        <v>123</v>
      </c>
      <c r="E1" s="53" t="s">
        <v>126</v>
      </c>
      <c r="F1" s="53" t="s">
        <v>71</v>
      </c>
      <c r="G1" s="53" t="s">
        <v>421</v>
      </c>
      <c r="H1" s="53" t="s">
        <v>422</v>
      </c>
      <c r="I1" s="53" t="s">
        <v>419</v>
      </c>
      <c r="J1" s="53" t="s">
        <v>423</v>
      </c>
      <c r="K1" s="53" t="s">
        <v>424</v>
      </c>
      <c r="L1" s="53" t="s">
        <v>501</v>
      </c>
      <c r="M1" s="53" t="s">
        <v>502</v>
      </c>
      <c r="N1" s="53" t="s">
        <v>39</v>
      </c>
      <c r="O1" s="53" t="s">
        <v>503</v>
      </c>
      <c r="P1" s="53" t="s">
        <v>504</v>
      </c>
    </row>
    <row r="2" spans="1:16" x14ac:dyDescent="0.35">
      <c r="A2" s="54">
        <f>IFERROR(IF(INDEX(SPOT_Import!$A$1:$Z$2488,2,'Live Data'!$C$12)="","",INDEX(SPOT_Import!$A$1:$Z$2488,2,'Live Data'!$C$12)),"")</f>
        <v>12802</v>
      </c>
      <c r="B2" s="54" t="str">
        <f>IFERROR(IF(INDEX(SPOT_Import!$A$1:$Z$2488,2,'Live Data'!$C$13)="","",INDEX(SPOT_Import!$A$1:$Z$2488,2,'Live Data'!$C$13)),"")</f>
        <v>Timau Sub-District Hospital</v>
      </c>
      <c r="C2" s="54" t="str">
        <f>IFERROR(IF(INDEX(SPOT_Import!$A$1:$Z$2488,2,'Live Data'!$C$14)="","",INDEX(SPOT_Import!$A$1:$Z$2488,2,'Live Data'!$C$14)),"")</f>
        <v>MERU</v>
      </c>
      <c r="D2" s="54" t="str">
        <f>IFERROR(IF(INDEX(SPOT_Import!$A$1:$Z$2488,2,'Live Data'!$C$15)="","",INDEX(SPOT_Import!$A$1:$Z$2488,2,'Live Data'!$C$15)),"")</f>
        <v>Buuri</v>
      </c>
      <c r="E2" s="54" t="str">
        <f>IFERROR(IF(INDEX(SPOT_Import!$A$1:$Z$2488,2,'Live Data'!$C$16)="","",INDEX(SPOT_Import!$A$1:$Z$2488,2,'Live Data'!$C$16)),"")</f>
        <v>USAID Jamii Tekelezi</v>
      </c>
      <c r="F2" s="54" t="str">
        <f>IFERROR(IF(INDEX(SPOT_Import!$A$1:$Z$2488,2,'Live Data'!$C$17)="","",INDEX(SPOT_Import!$A$1:$Z$2488,2,'Live Data'!$C$17)),"")</f>
        <v>C&amp;T</v>
      </c>
      <c r="G2" s="54">
        <f>IFERROR(IF(INDEX(SPOT_Import!$A$1:$Z$2488,2,'Live Data'!$C$18)="","",INDEX(SPOT_Import!$A$1:$Z$2488,2,'Live Data'!$C$18)),"")</f>
        <v>1500</v>
      </c>
      <c r="H2" s="54">
        <f>IFERROR(IF(INDEX(SPOT_Import!$A$1:$Z$2488,2,'Live Data'!$C$19)="","",INDEX(SPOT_Import!$A$1:$Z$2488,2,'Live Data'!$C$19)),"")</f>
        <v>1500</v>
      </c>
      <c r="I2" s="54" t="str">
        <f>IFERROR(IF(INDEX(SPOT_Import!$A$1:$Z$2488,2,'Live Data'!$C$20)="","",INDEX(SPOT_Import!$A$1:$Z$2488,2,'Live Data'!$C$20)),"")</f>
        <v>Complete</v>
      </c>
      <c r="J2" s="54" t="str">
        <f>IFERROR(IF(INDEX(SPOT_Import!$A$1:$Z$2488,2,'Live Data'!$C$21)="","",INDEX(SPOT_Import!$A$1:$Z$2488,2,'Live Data'!$C$21)),"")</f>
        <v>2026-10-14T18:22:10.000Z</v>
      </c>
      <c r="K2" s="54" t="str">
        <f>IFERROR(IF(INDEX(SPOT_Import!$A$1:$Z$2488,2,'Live Data'!$C$22)="","",INDEX(SPOT_Import!$A$1:$Z$2488,2,'Live Data'!$C$22)),"")</f>
        <v>2026-10-14T18:22:10.000Z</v>
      </c>
      <c r="L2" s="55" t="str">
        <f t="shared" ref="L2:L65" si="0">IF(A2="","",IF(ISNUMBER(K2),TEXT(K2,"yyyy-mm"),LEFT(K2,7)))</f>
        <v>2026-10</v>
      </c>
      <c r="M2" s="55" t="str">
        <f t="shared" ref="M2:M65" si="1">IF(A2="","",UPPER(TRIM(SUBSTITUTE(C2," - ","-"))))</f>
        <v>MERU</v>
      </c>
      <c r="N2" s="55" t="str">
        <f>IF(A2="","",IFERROR(INDEX('Cluster Map'!$A$4:$A$38,MATCH(M2,'Cluster Map'!$B$4:$B$38,0)),"Unmapped"))</f>
        <v>Cluster 1</v>
      </c>
      <c r="O2" s="55">
        <f>IF(A2="",0,IF(COUNTIFS($A$2:A2,A2,$F$2:F2,F2,$L$2:L2,L2)=1,1,0))</f>
        <v>1</v>
      </c>
      <c r="P2" s="55">
        <f>IF(A2="",0,IF(AND(F2="C&amp;T",COUNTIFS($A$2:A2,A2,$F$2:F2,"C&amp;T")=1),1,0))</f>
        <v>1</v>
      </c>
    </row>
    <row r="3" spans="1:16" x14ac:dyDescent="0.35">
      <c r="A3" s="54">
        <f>IFERROR(IF(INDEX(SPOT_Import!$A$1:$Z$2488,3,'Live Data'!$C$12)="","",INDEX(SPOT_Import!$A$1:$Z$2488,3,'Live Data'!$C$12)),"")</f>
        <v>12719</v>
      </c>
      <c r="B3" s="54" t="str">
        <f>IFERROR(IF(INDEX(SPOT_Import!$A$1:$Z$2488,3,'Live Data'!$C$13)="","",INDEX(SPOT_Import!$A$1:$Z$2488,3,'Live Data'!$C$13)),"")</f>
        <v>Runyenjes District Hospital</v>
      </c>
      <c r="C3" s="54" t="str">
        <f>IFERROR(IF(INDEX(SPOT_Import!$A$1:$Z$2488,3,'Live Data'!$C$14)="","",INDEX(SPOT_Import!$A$1:$Z$2488,3,'Live Data'!$C$14)),"")</f>
        <v>EMBU</v>
      </c>
      <c r="D3" s="54" t="str">
        <f>IFERROR(IF(INDEX(SPOT_Import!$A$1:$Z$2488,3,'Live Data'!$C$15)="","",INDEX(SPOT_Import!$A$1:$Z$2488,3,'Live Data'!$C$15)),"")</f>
        <v>Runyenjes</v>
      </c>
      <c r="E3" s="54" t="str">
        <f>IFERROR(IF(INDEX(SPOT_Import!$A$1:$Z$2488,3,'Live Data'!$C$16)="","",INDEX(SPOT_Import!$A$1:$Z$2488,3,'Live Data'!$C$16)),"")</f>
        <v>USAID Jamii Tekelezi</v>
      </c>
      <c r="F3" s="54" t="str">
        <f>IFERROR(IF(INDEX(SPOT_Import!$A$1:$Z$2488,3,'Live Data'!$C$17)="","",INDEX(SPOT_Import!$A$1:$Z$2488,3,'Live Data'!$C$17)),"")</f>
        <v>PREP</v>
      </c>
      <c r="G3" s="54">
        <f>IFERROR(IF(INDEX(SPOT_Import!$A$1:$Z$2488,3,'Live Data'!$C$18)="","",INDEX(SPOT_Import!$A$1:$Z$2488,3,'Live Data'!$C$18)),"")</f>
        <v>463</v>
      </c>
      <c r="H3" s="54" t="str">
        <f>IFERROR(IF(INDEX(SPOT_Import!$A$1:$Z$2488,3,'Live Data'!$C$19)="","",INDEX(SPOT_Import!$A$1:$Z$2488,3,'Live Data'!$C$19)),"")</f>
        <v/>
      </c>
      <c r="I3" s="54" t="str">
        <f>IFERROR(IF(INDEX(SPOT_Import!$A$1:$Z$2488,3,'Live Data'!$C$20)="","",INDEX(SPOT_Import!$A$1:$Z$2488,3,'Live Data'!$C$20)),"")</f>
        <v>Incomplete</v>
      </c>
      <c r="J3" s="54" t="str">
        <f>IFERROR(IF(INDEX(SPOT_Import!$A$1:$Z$2488,3,'Live Data'!$C$21)="","",INDEX(SPOT_Import!$A$1:$Z$2488,3,'Live Data'!$C$21)),"")</f>
        <v>2026-10-14T09:19:24.000Z</v>
      </c>
      <c r="K3" s="54" t="str">
        <f>IFERROR(IF(INDEX(SPOT_Import!$A$1:$Z$2488,3,'Live Data'!$C$22)="","",INDEX(SPOT_Import!$A$1:$Z$2488,3,'Live Data'!$C$22)),"")</f>
        <v>2026-10-14T09:19:24.000Z</v>
      </c>
      <c r="L3" s="55" t="str">
        <f t="shared" si="0"/>
        <v>2026-10</v>
      </c>
      <c r="M3" s="55" t="str">
        <f t="shared" si="1"/>
        <v>EMBU</v>
      </c>
      <c r="N3" s="55" t="str">
        <f>IF(A3="","",IFERROR(INDEX('Cluster Map'!$A$4:$A$38,MATCH(M3,'Cluster Map'!$B$4:$B$38,0)),"Unmapped"))</f>
        <v>Cluster 2</v>
      </c>
      <c r="O3" s="55">
        <f>IF(A3="",0,IF(COUNTIFS($A$2:A3,A3,$F$2:F3,F3,$L$2:L3,L3)=1,1,0))</f>
        <v>1</v>
      </c>
      <c r="P3" s="55">
        <f>IF(A3="",0,IF(AND(F3="C&amp;T",COUNTIFS($A$2:A3,A3,$F$2:F3,"C&amp;T")=1),1,0))</f>
        <v>0</v>
      </c>
    </row>
    <row r="4" spans="1:16" x14ac:dyDescent="0.35">
      <c r="A4" s="54">
        <f>IFERROR(IF(INDEX(SPOT_Import!$A$1:$Z$2488,4,'Live Data'!$C$12)="","",INDEX(SPOT_Import!$A$1:$Z$2488,4,'Live Data'!$C$12)),"")</f>
        <v>12719</v>
      </c>
      <c r="B4" s="54" t="str">
        <f>IFERROR(IF(INDEX(SPOT_Import!$A$1:$Z$2488,4,'Live Data'!$C$13)="","",INDEX(SPOT_Import!$A$1:$Z$2488,4,'Live Data'!$C$13)),"")</f>
        <v>Runyenjes District Hospital</v>
      </c>
      <c r="C4" s="54" t="str">
        <f>IFERROR(IF(INDEX(SPOT_Import!$A$1:$Z$2488,4,'Live Data'!$C$14)="","",INDEX(SPOT_Import!$A$1:$Z$2488,4,'Live Data'!$C$14)),"")</f>
        <v>EMBU</v>
      </c>
      <c r="D4" s="54" t="str">
        <f>IFERROR(IF(INDEX(SPOT_Import!$A$1:$Z$2488,4,'Live Data'!$C$15)="","",INDEX(SPOT_Import!$A$1:$Z$2488,4,'Live Data'!$C$15)),"")</f>
        <v>Runyenjes</v>
      </c>
      <c r="E4" s="54" t="str">
        <f>IFERROR(IF(INDEX(SPOT_Import!$A$1:$Z$2488,4,'Live Data'!$C$16)="","",INDEX(SPOT_Import!$A$1:$Z$2488,4,'Live Data'!$C$16)),"")</f>
        <v>USAID Jamii Tekelezi</v>
      </c>
      <c r="F4" s="54" t="str">
        <f>IFERROR(IF(INDEX(SPOT_Import!$A$1:$Z$2488,4,'Live Data'!$C$17)="","",INDEX(SPOT_Import!$A$1:$Z$2488,4,'Live Data'!$C$17)),"")</f>
        <v>MNCH</v>
      </c>
      <c r="G4" s="54">
        <f>IFERROR(IF(INDEX(SPOT_Import!$A$1:$Z$2488,4,'Live Data'!$C$18)="","",INDEX(SPOT_Import!$A$1:$Z$2488,4,'Live Data'!$C$18)),"")</f>
        <v>74</v>
      </c>
      <c r="H4" s="54">
        <f>IFERROR(IF(INDEX(SPOT_Import!$A$1:$Z$2488,4,'Live Data'!$C$19)="","",INDEX(SPOT_Import!$A$1:$Z$2488,4,'Live Data'!$C$19)),"")</f>
        <v>74</v>
      </c>
      <c r="I4" s="54" t="str">
        <f>IFERROR(IF(INDEX(SPOT_Import!$A$1:$Z$2488,4,'Live Data'!$C$20)="","",INDEX(SPOT_Import!$A$1:$Z$2488,4,'Live Data'!$C$20)),"")</f>
        <v>Complete</v>
      </c>
      <c r="J4" s="54" t="str">
        <f>IFERROR(IF(INDEX(SPOT_Import!$A$1:$Z$2488,4,'Live Data'!$C$21)="","",INDEX(SPOT_Import!$A$1:$Z$2488,4,'Live Data'!$C$21)),"")</f>
        <v>2026-10-14T09:19:00.000Z</v>
      </c>
      <c r="K4" s="54" t="str">
        <f>IFERROR(IF(INDEX(SPOT_Import!$A$1:$Z$2488,4,'Live Data'!$C$22)="","",INDEX(SPOT_Import!$A$1:$Z$2488,4,'Live Data'!$C$22)),"")</f>
        <v>2026-10-14T09:19:00.000Z</v>
      </c>
      <c r="L4" s="55" t="str">
        <f t="shared" si="0"/>
        <v>2026-10</v>
      </c>
      <c r="M4" s="55" t="str">
        <f t="shared" si="1"/>
        <v>EMBU</v>
      </c>
      <c r="N4" s="55" t="str">
        <f>IF(A4="","",IFERROR(INDEX('Cluster Map'!$A$4:$A$38,MATCH(M4,'Cluster Map'!$B$4:$B$38,0)),"Unmapped"))</f>
        <v>Cluster 2</v>
      </c>
      <c r="O4" s="55">
        <f>IF(A4="",0,IF(COUNTIFS($A$2:A4,A4,$F$2:F4,F4,$L$2:L4,L4)=1,1,0))</f>
        <v>1</v>
      </c>
      <c r="P4" s="55">
        <f>IF(A4="",0,IF(AND(F4="C&amp;T",COUNTIFS($A$2:A4,A4,$F$2:F4,"C&amp;T")=1),1,0))</f>
        <v>0</v>
      </c>
    </row>
    <row r="5" spans="1:16" x14ac:dyDescent="0.35">
      <c r="A5" s="54">
        <f>IFERROR(IF(INDEX(SPOT_Import!$A$1:$Z$2488,5,'Live Data'!$C$12)="","",INDEX(SPOT_Import!$A$1:$Z$2488,5,'Live Data'!$C$12)),"")</f>
        <v>12719</v>
      </c>
      <c r="B5" s="54" t="str">
        <f>IFERROR(IF(INDEX(SPOT_Import!$A$1:$Z$2488,5,'Live Data'!$C$13)="","",INDEX(SPOT_Import!$A$1:$Z$2488,5,'Live Data'!$C$13)),"")</f>
        <v>Runyenjes District Hospital</v>
      </c>
      <c r="C5" s="54" t="str">
        <f>IFERROR(IF(INDEX(SPOT_Import!$A$1:$Z$2488,5,'Live Data'!$C$14)="","",INDEX(SPOT_Import!$A$1:$Z$2488,5,'Live Data'!$C$14)),"")</f>
        <v>EMBU</v>
      </c>
      <c r="D5" s="54" t="str">
        <f>IFERROR(IF(INDEX(SPOT_Import!$A$1:$Z$2488,5,'Live Data'!$C$15)="","",INDEX(SPOT_Import!$A$1:$Z$2488,5,'Live Data'!$C$15)),"")</f>
        <v>Runyenjes</v>
      </c>
      <c r="E5" s="54" t="str">
        <f>IFERROR(IF(INDEX(SPOT_Import!$A$1:$Z$2488,5,'Live Data'!$C$16)="","",INDEX(SPOT_Import!$A$1:$Z$2488,5,'Live Data'!$C$16)),"")</f>
        <v>USAID Jamii Tekelezi</v>
      </c>
      <c r="F5" s="54" t="str">
        <f>IFERROR(IF(INDEX(SPOT_Import!$A$1:$Z$2488,5,'Live Data'!$C$17)="","",INDEX(SPOT_Import!$A$1:$Z$2488,5,'Live Data'!$C$17)),"")</f>
        <v>HTS</v>
      </c>
      <c r="G5" s="54">
        <f>IFERROR(IF(INDEX(SPOT_Import!$A$1:$Z$2488,5,'Live Data'!$C$18)="","",INDEX(SPOT_Import!$A$1:$Z$2488,5,'Live Data'!$C$18)),"")</f>
        <v>4214</v>
      </c>
      <c r="H5" s="54">
        <f>IFERROR(IF(INDEX(SPOT_Import!$A$1:$Z$2488,5,'Live Data'!$C$19)="","",INDEX(SPOT_Import!$A$1:$Z$2488,5,'Live Data'!$C$19)),"")</f>
        <v>1000</v>
      </c>
      <c r="I5" s="54" t="str">
        <f>IFERROR(IF(INDEX(SPOT_Import!$A$1:$Z$2488,5,'Live Data'!$C$20)="","",INDEX(SPOT_Import!$A$1:$Z$2488,5,'Live Data'!$C$20)),"")</f>
        <v>Incomplete</v>
      </c>
      <c r="J5" s="54" t="str">
        <f>IFERROR(IF(INDEX(SPOT_Import!$A$1:$Z$2488,5,'Live Data'!$C$21)="","",INDEX(SPOT_Import!$A$1:$Z$2488,5,'Live Data'!$C$21)),"")</f>
        <v>2026-10-14T09:17:48.000Z</v>
      </c>
      <c r="K5" s="54" t="str">
        <f>IFERROR(IF(INDEX(SPOT_Import!$A$1:$Z$2488,5,'Live Data'!$C$22)="","",INDEX(SPOT_Import!$A$1:$Z$2488,5,'Live Data'!$C$22)),"")</f>
        <v>2026-10-14T09:17:48.000Z</v>
      </c>
      <c r="L5" s="55" t="str">
        <f t="shared" si="0"/>
        <v>2026-10</v>
      </c>
      <c r="M5" s="55" t="str">
        <f t="shared" si="1"/>
        <v>EMBU</v>
      </c>
      <c r="N5" s="55" t="str">
        <f>IF(A5="","",IFERROR(INDEX('Cluster Map'!$A$4:$A$38,MATCH(M5,'Cluster Map'!$B$4:$B$38,0)),"Unmapped"))</f>
        <v>Cluster 2</v>
      </c>
      <c r="O5" s="55">
        <f>IF(A5="",0,IF(COUNTIFS($A$2:A5,A5,$F$2:F5,F5,$L$2:L5,L5)=1,1,0))</f>
        <v>1</v>
      </c>
      <c r="P5" s="55">
        <f>IF(A5="",0,IF(AND(F5="C&amp;T",COUNTIFS($A$2:A5,A5,$F$2:F5,"C&amp;T")=1),1,0))</f>
        <v>0</v>
      </c>
    </row>
    <row r="6" spans="1:16" x14ac:dyDescent="0.35">
      <c r="A6" s="54">
        <f>IFERROR(IF(INDEX(SPOT_Import!$A$1:$Z$2488,6,'Live Data'!$C$12)="","",INDEX(SPOT_Import!$A$1:$Z$2488,6,'Live Data'!$C$12)),"")</f>
        <v>12719</v>
      </c>
      <c r="B6" s="54" t="str">
        <f>IFERROR(IF(INDEX(SPOT_Import!$A$1:$Z$2488,6,'Live Data'!$C$13)="","",INDEX(SPOT_Import!$A$1:$Z$2488,6,'Live Data'!$C$13)),"")</f>
        <v>Runyenjes District Hospital</v>
      </c>
      <c r="C6" s="54" t="str">
        <f>IFERROR(IF(INDEX(SPOT_Import!$A$1:$Z$2488,6,'Live Data'!$C$14)="","",INDEX(SPOT_Import!$A$1:$Z$2488,6,'Live Data'!$C$14)),"")</f>
        <v>EMBU</v>
      </c>
      <c r="D6" s="54" t="str">
        <f>IFERROR(IF(INDEX(SPOT_Import!$A$1:$Z$2488,6,'Live Data'!$C$15)="","",INDEX(SPOT_Import!$A$1:$Z$2488,6,'Live Data'!$C$15)),"")</f>
        <v>Runyenjes</v>
      </c>
      <c r="E6" s="54" t="str">
        <f>IFERROR(IF(INDEX(SPOT_Import!$A$1:$Z$2488,6,'Live Data'!$C$16)="","",INDEX(SPOT_Import!$A$1:$Z$2488,6,'Live Data'!$C$16)),"")</f>
        <v>USAID Jamii Tekelezi</v>
      </c>
      <c r="F6" s="54" t="str">
        <f>IFERROR(IF(INDEX(SPOT_Import!$A$1:$Z$2488,6,'Live Data'!$C$17)="","",INDEX(SPOT_Import!$A$1:$Z$2488,6,'Live Data'!$C$17)),"")</f>
        <v>C&amp;T</v>
      </c>
      <c r="G6" s="54">
        <f>IFERROR(IF(INDEX(SPOT_Import!$A$1:$Z$2488,6,'Live Data'!$C$18)="","",INDEX(SPOT_Import!$A$1:$Z$2488,6,'Live Data'!$C$18)),"")</f>
        <v>1938</v>
      </c>
      <c r="H6" s="54">
        <f>IFERROR(IF(INDEX(SPOT_Import!$A$1:$Z$2488,6,'Live Data'!$C$19)="","",INDEX(SPOT_Import!$A$1:$Z$2488,6,'Live Data'!$C$19)),"")</f>
        <v>1938</v>
      </c>
      <c r="I6" s="54" t="str">
        <f>IFERROR(IF(INDEX(SPOT_Import!$A$1:$Z$2488,6,'Live Data'!$C$20)="","",INDEX(SPOT_Import!$A$1:$Z$2488,6,'Live Data'!$C$20)),"")</f>
        <v>Complete</v>
      </c>
      <c r="J6" s="54" t="str">
        <f>IFERROR(IF(INDEX(SPOT_Import!$A$1:$Z$2488,6,'Live Data'!$C$21)="","",INDEX(SPOT_Import!$A$1:$Z$2488,6,'Live Data'!$C$21)),"")</f>
        <v>2026-10-14T08:38:32.000Z</v>
      </c>
      <c r="K6" s="54" t="str">
        <f>IFERROR(IF(INDEX(SPOT_Import!$A$1:$Z$2488,6,'Live Data'!$C$22)="","",INDEX(SPOT_Import!$A$1:$Z$2488,6,'Live Data'!$C$22)),"")</f>
        <v>2026-10-14T08:38:32.000Z</v>
      </c>
      <c r="L6" s="55" t="str">
        <f t="shared" si="0"/>
        <v>2026-10</v>
      </c>
      <c r="M6" s="55" t="str">
        <f t="shared" si="1"/>
        <v>EMBU</v>
      </c>
      <c r="N6" s="55" t="str">
        <f>IF(A6="","",IFERROR(INDEX('Cluster Map'!$A$4:$A$38,MATCH(M6,'Cluster Map'!$B$4:$B$38,0)),"Unmapped"))</f>
        <v>Cluster 2</v>
      </c>
      <c r="O6" s="55">
        <f>IF(A6="",0,IF(COUNTIFS($A$2:A6,A6,$F$2:F6,F6,$L$2:L6,L6)=1,1,0))</f>
        <v>1</v>
      </c>
      <c r="P6" s="55">
        <f>IF(A6="",0,IF(AND(F6="C&amp;T",COUNTIFS($A$2:A6,A6,$F$2:F6,"C&amp;T")=1),1,0))</f>
        <v>1</v>
      </c>
    </row>
    <row r="7" spans="1:16" x14ac:dyDescent="0.35">
      <c r="A7" s="54">
        <f>IFERROR(IF(INDEX(SPOT_Import!$A$1:$Z$2488,7,'Live Data'!$C$12)="","",INDEX(SPOT_Import!$A$1:$Z$2488,7,'Live Data'!$C$12)),"")</f>
        <v>11126</v>
      </c>
      <c r="B7" s="54" t="str">
        <f>IFERROR(IF(INDEX(SPOT_Import!$A$1:$Z$2488,7,'Live Data'!$C$13)="","",INDEX(SPOT_Import!$A$1:$Z$2488,7,'Live Data'!$C$13)),"")</f>
        <v>Turasha Dispensary</v>
      </c>
      <c r="C7" s="54" t="str">
        <f>IFERROR(IF(INDEX(SPOT_Import!$A$1:$Z$2488,7,'Live Data'!$C$14)="","",INDEX(SPOT_Import!$A$1:$Z$2488,7,'Live Data'!$C$14)),"")</f>
        <v>NYANDARUA</v>
      </c>
      <c r="D7" s="54" t="str">
        <f>IFERROR(IF(INDEX(SPOT_Import!$A$1:$Z$2488,7,'Live Data'!$C$15)="","",INDEX(SPOT_Import!$A$1:$Z$2488,7,'Live Data'!$C$15)),"")</f>
        <v>Kipipiri</v>
      </c>
      <c r="E7" s="54" t="str">
        <f>IFERROR(IF(INDEX(SPOT_Import!$A$1:$Z$2488,7,'Live Data'!$C$16)="","",INDEX(SPOT_Import!$A$1:$Z$2488,7,'Live Data'!$C$16)),"")</f>
        <v>USAID Jamii Tekelezi</v>
      </c>
      <c r="F7" s="54" t="str">
        <f>IFERROR(IF(INDEX(SPOT_Import!$A$1:$Z$2488,7,'Live Data'!$C$17)="","",INDEX(SPOT_Import!$A$1:$Z$2488,7,'Live Data'!$C$17)),"")</f>
        <v>MNCH</v>
      </c>
      <c r="G7" s="54">
        <f>IFERROR(IF(INDEX(SPOT_Import!$A$1:$Z$2488,7,'Live Data'!$C$18)="","",INDEX(SPOT_Import!$A$1:$Z$2488,7,'Live Data'!$C$18)),"")</f>
        <v>20</v>
      </c>
      <c r="H7" s="54" t="str">
        <f>IFERROR(IF(INDEX(SPOT_Import!$A$1:$Z$2488,7,'Live Data'!$C$19)="","",INDEX(SPOT_Import!$A$1:$Z$2488,7,'Live Data'!$C$19)),"")</f>
        <v/>
      </c>
      <c r="I7" s="54" t="str">
        <f>IFERROR(IF(INDEX(SPOT_Import!$A$1:$Z$2488,7,'Live Data'!$C$20)="","",INDEX(SPOT_Import!$A$1:$Z$2488,7,'Live Data'!$C$20)),"")</f>
        <v>Incomplete</v>
      </c>
      <c r="J7" s="54" t="str">
        <f>IFERROR(IF(INDEX(SPOT_Import!$A$1:$Z$2488,7,'Live Data'!$C$21)="","",INDEX(SPOT_Import!$A$1:$Z$2488,7,'Live Data'!$C$21)),"")</f>
        <v>2026-10-14T07:53:24.000Z</v>
      </c>
      <c r="K7" s="54" t="str">
        <f>IFERROR(IF(INDEX(SPOT_Import!$A$1:$Z$2488,7,'Live Data'!$C$22)="","",INDEX(SPOT_Import!$A$1:$Z$2488,7,'Live Data'!$C$22)),"")</f>
        <v>2026-10-14T07:53:24.000Z</v>
      </c>
      <c r="L7" s="55" t="str">
        <f t="shared" si="0"/>
        <v>2026-10</v>
      </c>
      <c r="M7" s="55" t="str">
        <f t="shared" si="1"/>
        <v>NYANDARUA</v>
      </c>
      <c r="N7" s="55" t="str">
        <f>IF(A7="","",IFERROR(INDEX('Cluster Map'!$A$4:$A$38,MATCH(M7,'Cluster Map'!$B$4:$B$38,0)),"Unmapped"))</f>
        <v>Cluster 4</v>
      </c>
      <c r="O7" s="55">
        <f>IF(A7="",0,IF(COUNTIFS($A$2:A7,A7,$F$2:F7,F7,$L$2:L7,L7)=1,1,0))</f>
        <v>1</v>
      </c>
      <c r="P7" s="55">
        <f>IF(A7="",0,IF(AND(F7="C&amp;T",COUNTIFS($A$2:A7,A7,$F$2:F7,"C&amp;T")=1),1,0))</f>
        <v>0</v>
      </c>
    </row>
    <row r="8" spans="1:16" x14ac:dyDescent="0.35">
      <c r="A8" s="54">
        <f>IFERROR(IF(INDEX(SPOT_Import!$A$1:$Z$2488,8,'Live Data'!$C$12)="","",INDEX(SPOT_Import!$A$1:$Z$2488,8,'Live Data'!$C$12)),"")</f>
        <v>11126</v>
      </c>
      <c r="B8" s="54" t="str">
        <f>IFERROR(IF(INDEX(SPOT_Import!$A$1:$Z$2488,8,'Live Data'!$C$13)="","",INDEX(SPOT_Import!$A$1:$Z$2488,8,'Live Data'!$C$13)),"")</f>
        <v>Turasha Dispensary</v>
      </c>
      <c r="C8" s="54" t="str">
        <f>IFERROR(IF(INDEX(SPOT_Import!$A$1:$Z$2488,8,'Live Data'!$C$14)="","",INDEX(SPOT_Import!$A$1:$Z$2488,8,'Live Data'!$C$14)),"")</f>
        <v>NYANDARUA</v>
      </c>
      <c r="D8" s="54" t="str">
        <f>IFERROR(IF(INDEX(SPOT_Import!$A$1:$Z$2488,8,'Live Data'!$C$15)="","",INDEX(SPOT_Import!$A$1:$Z$2488,8,'Live Data'!$C$15)),"")</f>
        <v>Kipipiri</v>
      </c>
      <c r="E8" s="54" t="str">
        <f>IFERROR(IF(INDEX(SPOT_Import!$A$1:$Z$2488,8,'Live Data'!$C$16)="","",INDEX(SPOT_Import!$A$1:$Z$2488,8,'Live Data'!$C$16)),"")</f>
        <v>USAID Jamii Tekelezi</v>
      </c>
      <c r="F8" s="54" t="str">
        <f>IFERROR(IF(INDEX(SPOT_Import!$A$1:$Z$2488,8,'Live Data'!$C$17)="","",INDEX(SPOT_Import!$A$1:$Z$2488,8,'Live Data'!$C$17)),"")</f>
        <v>C&amp;T</v>
      </c>
      <c r="G8" s="54">
        <f>IFERROR(IF(INDEX(SPOT_Import!$A$1:$Z$2488,8,'Live Data'!$C$18)="","",INDEX(SPOT_Import!$A$1:$Z$2488,8,'Live Data'!$C$18)),"")</f>
        <v>44</v>
      </c>
      <c r="H8" s="54">
        <f>IFERROR(IF(INDEX(SPOT_Import!$A$1:$Z$2488,8,'Live Data'!$C$19)="","",INDEX(SPOT_Import!$A$1:$Z$2488,8,'Live Data'!$C$19)),"")</f>
        <v>44</v>
      </c>
      <c r="I8" s="54" t="str">
        <f>IFERROR(IF(INDEX(SPOT_Import!$A$1:$Z$2488,8,'Live Data'!$C$20)="","",INDEX(SPOT_Import!$A$1:$Z$2488,8,'Live Data'!$C$20)),"")</f>
        <v>Complete</v>
      </c>
      <c r="J8" s="54" t="str">
        <f>IFERROR(IF(INDEX(SPOT_Import!$A$1:$Z$2488,8,'Live Data'!$C$21)="","",INDEX(SPOT_Import!$A$1:$Z$2488,8,'Live Data'!$C$21)),"")</f>
        <v>2026-10-14T07:26:41.000Z</v>
      </c>
      <c r="K8" s="54" t="str">
        <f>IFERROR(IF(INDEX(SPOT_Import!$A$1:$Z$2488,8,'Live Data'!$C$22)="","",INDEX(SPOT_Import!$A$1:$Z$2488,8,'Live Data'!$C$22)),"")</f>
        <v>2026-10-14T07:26:41.000Z</v>
      </c>
      <c r="L8" s="55" t="str">
        <f t="shared" si="0"/>
        <v>2026-10</v>
      </c>
      <c r="M8" s="55" t="str">
        <f t="shared" si="1"/>
        <v>NYANDARUA</v>
      </c>
      <c r="N8" s="55" t="str">
        <f>IF(A8="","",IFERROR(INDEX('Cluster Map'!$A$4:$A$38,MATCH(M8,'Cluster Map'!$B$4:$B$38,0)),"Unmapped"))</f>
        <v>Cluster 4</v>
      </c>
      <c r="O8" s="55">
        <f>IF(A8="",0,IF(COUNTIFS($A$2:A8,A8,$F$2:F8,F8,$L$2:L8,L8)=1,1,0))</f>
        <v>1</v>
      </c>
      <c r="P8" s="55">
        <f>IF(A8="",0,IF(AND(F8="C&amp;T",COUNTIFS($A$2:A8,A8,$F$2:F8,"C&amp;T")=1),1,0))</f>
        <v>1</v>
      </c>
    </row>
    <row r="9" spans="1:16" x14ac:dyDescent="0.35">
      <c r="A9" s="54">
        <f>IFERROR(IF(INDEX(SPOT_Import!$A$1:$Z$2488,9,'Live Data'!$C$12)="","",INDEX(SPOT_Import!$A$1:$Z$2488,9,'Live Data'!$C$12)),"")</f>
        <v>10509</v>
      </c>
      <c r="B9" s="54" t="str">
        <f>IFERROR(IF(INDEX(SPOT_Import!$A$1:$Z$2488,9,'Live Data'!$C$13)="","",INDEX(SPOT_Import!$A$1:$Z$2488,9,'Live Data'!$C$13)),"")</f>
        <v>Kasuku Health Centre</v>
      </c>
      <c r="C9" s="54" t="str">
        <f>IFERROR(IF(INDEX(SPOT_Import!$A$1:$Z$2488,9,'Live Data'!$C$14)="","",INDEX(SPOT_Import!$A$1:$Z$2488,9,'Live Data'!$C$14)),"")</f>
        <v>NYANDARUA</v>
      </c>
      <c r="D9" s="54" t="str">
        <f>IFERROR(IF(INDEX(SPOT_Import!$A$1:$Z$2488,9,'Live Data'!$C$15)="","",INDEX(SPOT_Import!$A$1:$Z$2488,9,'Live Data'!$C$15)),"")</f>
        <v>Oljororok</v>
      </c>
      <c r="E9" s="54" t="str">
        <f>IFERROR(IF(INDEX(SPOT_Import!$A$1:$Z$2488,9,'Live Data'!$C$16)="","",INDEX(SPOT_Import!$A$1:$Z$2488,9,'Live Data'!$C$16)),"")</f>
        <v>USAID Jamii Tekelezi</v>
      </c>
      <c r="F9" s="54" t="str">
        <f>IFERROR(IF(INDEX(SPOT_Import!$A$1:$Z$2488,9,'Live Data'!$C$17)="","",INDEX(SPOT_Import!$A$1:$Z$2488,9,'Live Data'!$C$17)),"")</f>
        <v>PREP</v>
      </c>
      <c r="G9" s="54">
        <f>IFERROR(IF(INDEX(SPOT_Import!$A$1:$Z$2488,9,'Live Data'!$C$18)="","",INDEX(SPOT_Import!$A$1:$Z$2488,9,'Live Data'!$C$18)),"")</f>
        <v>99</v>
      </c>
      <c r="H9" s="54">
        <f>IFERROR(IF(INDEX(SPOT_Import!$A$1:$Z$2488,9,'Live Data'!$C$19)="","",INDEX(SPOT_Import!$A$1:$Z$2488,9,'Live Data'!$C$19)),"")</f>
        <v>99</v>
      </c>
      <c r="I9" s="54" t="str">
        <f>IFERROR(IF(INDEX(SPOT_Import!$A$1:$Z$2488,9,'Live Data'!$C$20)="","",INDEX(SPOT_Import!$A$1:$Z$2488,9,'Live Data'!$C$20)),"")</f>
        <v>Complete</v>
      </c>
      <c r="J9" s="54" t="str">
        <f>IFERROR(IF(INDEX(SPOT_Import!$A$1:$Z$2488,9,'Live Data'!$C$21)="","",INDEX(SPOT_Import!$A$1:$Z$2488,9,'Live Data'!$C$21)),"")</f>
        <v>2026-10-13T21:32:33.000Z</v>
      </c>
      <c r="K9" s="54" t="str">
        <f>IFERROR(IF(INDEX(SPOT_Import!$A$1:$Z$2488,9,'Live Data'!$C$22)="","",INDEX(SPOT_Import!$A$1:$Z$2488,9,'Live Data'!$C$22)),"")</f>
        <v>2026-10-13T21:32:33.000Z</v>
      </c>
      <c r="L9" s="55" t="str">
        <f t="shared" si="0"/>
        <v>2026-10</v>
      </c>
      <c r="M9" s="55" t="str">
        <f t="shared" si="1"/>
        <v>NYANDARUA</v>
      </c>
      <c r="N9" s="55" t="str">
        <f>IF(A9="","",IFERROR(INDEX('Cluster Map'!$A$4:$A$38,MATCH(M9,'Cluster Map'!$B$4:$B$38,0)),"Unmapped"))</f>
        <v>Cluster 4</v>
      </c>
      <c r="O9" s="55">
        <f>IF(A9="",0,IF(COUNTIFS($A$2:A9,A9,$F$2:F9,F9,$L$2:L9,L9)=1,1,0))</f>
        <v>1</v>
      </c>
      <c r="P9" s="55">
        <f>IF(A9="",0,IF(AND(F9="C&amp;T",COUNTIFS($A$2:A9,A9,$F$2:F9,"C&amp;T")=1),1,0))</f>
        <v>0</v>
      </c>
    </row>
    <row r="10" spans="1:16" x14ac:dyDescent="0.35">
      <c r="A10" s="54">
        <f>IFERROR(IF(INDEX(SPOT_Import!$A$1:$Z$2488,10,'Live Data'!$C$12)="","",INDEX(SPOT_Import!$A$1:$Z$2488,10,'Live Data'!$C$12)),"")</f>
        <v>10509</v>
      </c>
      <c r="B10" s="54" t="str">
        <f>IFERROR(IF(INDEX(SPOT_Import!$A$1:$Z$2488,10,'Live Data'!$C$13)="","",INDEX(SPOT_Import!$A$1:$Z$2488,10,'Live Data'!$C$13)),"")</f>
        <v>Kasuku Health Centre</v>
      </c>
      <c r="C10" s="54" t="str">
        <f>IFERROR(IF(INDEX(SPOT_Import!$A$1:$Z$2488,10,'Live Data'!$C$14)="","",INDEX(SPOT_Import!$A$1:$Z$2488,10,'Live Data'!$C$14)),"")</f>
        <v>NYANDARUA</v>
      </c>
      <c r="D10" s="54" t="str">
        <f>IFERROR(IF(INDEX(SPOT_Import!$A$1:$Z$2488,10,'Live Data'!$C$15)="","",INDEX(SPOT_Import!$A$1:$Z$2488,10,'Live Data'!$C$15)),"")</f>
        <v>Oljororok</v>
      </c>
      <c r="E10" s="54" t="str">
        <f>IFERROR(IF(INDEX(SPOT_Import!$A$1:$Z$2488,10,'Live Data'!$C$16)="","",INDEX(SPOT_Import!$A$1:$Z$2488,10,'Live Data'!$C$16)),"")</f>
        <v>USAID Jamii Tekelezi</v>
      </c>
      <c r="F10" s="54" t="str">
        <f>IFERROR(IF(INDEX(SPOT_Import!$A$1:$Z$2488,10,'Live Data'!$C$17)="","",INDEX(SPOT_Import!$A$1:$Z$2488,10,'Live Data'!$C$17)),"")</f>
        <v>MNCH</v>
      </c>
      <c r="G10" s="54">
        <f>IFERROR(IF(INDEX(SPOT_Import!$A$1:$Z$2488,10,'Live Data'!$C$18)="","",INDEX(SPOT_Import!$A$1:$Z$2488,10,'Live Data'!$C$18)),"")</f>
        <v>75</v>
      </c>
      <c r="H10" s="54">
        <f>IFERROR(IF(INDEX(SPOT_Import!$A$1:$Z$2488,10,'Live Data'!$C$19)="","",INDEX(SPOT_Import!$A$1:$Z$2488,10,'Live Data'!$C$19)),"")</f>
        <v>75</v>
      </c>
      <c r="I10" s="54" t="str">
        <f>IFERROR(IF(INDEX(SPOT_Import!$A$1:$Z$2488,10,'Live Data'!$C$20)="","",INDEX(SPOT_Import!$A$1:$Z$2488,10,'Live Data'!$C$20)),"")</f>
        <v>Complete</v>
      </c>
      <c r="J10" s="54" t="str">
        <f>IFERROR(IF(INDEX(SPOT_Import!$A$1:$Z$2488,10,'Live Data'!$C$21)="","",INDEX(SPOT_Import!$A$1:$Z$2488,10,'Live Data'!$C$21)),"")</f>
        <v>2026-10-13T21:31:48.000Z</v>
      </c>
      <c r="K10" s="54" t="str">
        <f>IFERROR(IF(INDEX(SPOT_Import!$A$1:$Z$2488,10,'Live Data'!$C$22)="","",INDEX(SPOT_Import!$A$1:$Z$2488,10,'Live Data'!$C$22)),"")</f>
        <v>2026-10-13T21:31:48.000Z</v>
      </c>
      <c r="L10" s="55" t="str">
        <f t="shared" si="0"/>
        <v>2026-10</v>
      </c>
      <c r="M10" s="55" t="str">
        <f t="shared" si="1"/>
        <v>NYANDARUA</v>
      </c>
      <c r="N10" s="55" t="str">
        <f>IF(A10="","",IFERROR(INDEX('Cluster Map'!$A$4:$A$38,MATCH(M10,'Cluster Map'!$B$4:$B$38,0)),"Unmapped"))</f>
        <v>Cluster 4</v>
      </c>
      <c r="O10" s="55">
        <f>IF(A10="",0,IF(COUNTIFS($A$2:A10,A10,$F$2:F10,F10,$L$2:L10,L10)=1,1,0))</f>
        <v>1</v>
      </c>
      <c r="P10" s="55">
        <f>IF(A10="",0,IF(AND(F10="C&amp;T",COUNTIFS($A$2:A10,A10,$F$2:F10,"C&amp;T")=1),1,0))</f>
        <v>0</v>
      </c>
    </row>
    <row r="11" spans="1:16" x14ac:dyDescent="0.35">
      <c r="A11" s="54">
        <f>IFERROR(IF(INDEX(SPOT_Import!$A$1:$Z$2488,11,'Live Data'!$C$12)="","",INDEX(SPOT_Import!$A$1:$Z$2488,11,'Live Data'!$C$12)),"")</f>
        <v>10509</v>
      </c>
      <c r="B11" s="54" t="str">
        <f>IFERROR(IF(INDEX(SPOT_Import!$A$1:$Z$2488,11,'Live Data'!$C$13)="","",INDEX(SPOT_Import!$A$1:$Z$2488,11,'Live Data'!$C$13)),"")</f>
        <v>Kasuku Health Centre</v>
      </c>
      <c r="C11" s="54" t="str">
        <f>IFERROR(IF(INDEX(SPOT_Import!$A$1:$Z$2488,11,'Live Data'!$C$14)="","",INDEX(SPOT_Import!$A$1:$Z$2488,11,'Live Data'!$C$14)),"")</f>
        <v>NYANDARUA</v>
      </c>
      <c r="D11" s="54" t="str">
        <f>IFERROR(IF(INDEX(SPOT_Import!$A$1:$Z$2488,11,'Live Data'!$C$15)="","",INDEX(SPOT_Import!$A$1:$Z$2488,11,'Live Data'!$C$15)),"")</f>
        <v>Oljororok</v>
      </c>
      <c r="E11" s="54" t="str">
        <f>IFERROR(IF(INDEX(SPOT_Import!$A$1:$Z$2488,11,'Live Data'!$C$16)="","",INDEX(SPOT_Import!$A$1:$Z$2488,11,'Live Data'!$C$16)),"")</f>
        <v>USAID Jamii Tekelezi</v>
      </c>
      <c r="F11" s="54" t="str">
        <f>IFERROR(IF(INDEX(SPOT_Import!$A$1:$Z$2488,11,'Live Data'!$C$17)="","",INDEX(SPOT_Import!$A$1:$Z$2488,11,'Live Data'!$C$17)),"")</f>
        <v>HTS</v>
      </c>
      <c r="G11" s="54">
        <f>IFERROR(IF(INDEX(SPOT_Import!$A$1:$Z$2488,11,'Live Data'!$C$18)="","",INDEX(SPOT_Import!$A$1:$Z$2488,11,'Live Data'!$C$18)),"")</f>
        <v>5704</v>
      </c>
      <c r="H11" s="54" t="str">
        <f>IFERROR(IF(INDEX(SPOT_Import!$A$1:$Z$2488,11,'Live Data'!$C$19)="","",INDEX(SPOT_Import!$A$1:$Z$2488,11,'Live Data'!$C$19)),"")</f>
        <v/>
      </c>
      <c r="I11" s="54" t="str">
        <f>IFERROR(IF(INDEX(SPOT_Import!$A$1:$Z$2488,11,'Live Data'!$C$20)="","",INDEX(SPOT_Import!$A$1:$Z$2488,11,'Live Data'!$C$20)),"")</f>
        <v>Incomplete</v>
      </c>
      <c r="J11" s="54" t="str">
        <f>IFERROR(IF(INDEX(SPOT_Import!$A$1:$Z$2488,11,'Live Data'!$C$21)="","",INDEX(SPOT_Import!$A$1:$Z$2488,11,'Live Data'!$C$21)),"")</f>
        <v>2026-10-13T21:31:08.000Z</v>
      </c>
      <c r="K11" s="54" t="str">
        <f>IFERROR(IF(INDEX(SPOT_Import!$A$1:$Z$2488,11,'Live Data'!$C$22)="","",INDEX(SPOT_Import!$A$1:$Z$2488,11,'Live Data'!$C$22)),"")</f>
        <v>2026-10-13T21:31:08.000Z</v>
      </c>
      <c r="L11" s="55" t="str">
        <f t="shared" si="0"/>
        <v>2026-10</v>
      </c>
      <c r="M11" s="55" t="str">
        <f t="shared" si="1"/>
        <v>NYANDARUA</v>
      </c>
      <c r="N11" s="55" t="str">
        <f>IF(A11="","",IFERROR(INDEX('Cluster Map'!$A$4:$A$38,MATCH(M11,'Cluster Map'!$B$4:$B$38,0)),"Unmapped"))</f>
        <v>Cluster 4</v>
      </c>
      <c r="O11" s="55">
        <f>IF(A11="",0,IF(COUNTIFS($A$2:A11,A11,$F$2:F11,F11,$L$2:L11,L11)=1,1,0))</f>
        <v>1</v>
      </c>
      <c r="P11" s="55">
        <f>IF(A11="",0,IF(AND(F11="C&amp;T",COUNTIFS($A$2:A11,A11,$F$2:F11,"C&amp;T")=1),1,0))</f>
        <v>0</v>
      </c>
    </row>
    <row r="12" spans="1:16" x14ac:dyDescent="0.35">
      <c r="A12" s="54">
        <f>IFERROR(IF(INDEX(SPOT_Import!$A$1:$Z$2488,12,'Live Data'!$C$12)="","",INDEX(SPOT_Import!$A$1:$Z$2488,12,'Live Data'!$C$12)),"")</f>
        <v>10509</v>
      </c>
      <c r="B12" s="54" t="str">
        <f>IFERROR(IF(INDEX(SPOT_Import!$A$1:$Z$2488,12,'Live Data'!$C$13)="","",INDEX(SPOT_Import!$A$1:$Z$2488,12,'Live Data'!$C$13)),"")</f>
        <v>Kasuku Health Centre</v>
      </c>
      <c r="C12" s="54" t="str">
        <f>IFERROR(IF(INDEX(SPOT_Import!$A$1:$Z$2488,12,'Live Data'!$C$14)="","",INDEX(SPOT_Import!$A$1:$Z$2488,12,'Live Data'!$C$14)),"")</f>
        <v>NYANDARUA</v>
      </c>
      <c r="D12" s="54" t="str">
        <f>IFERROR(IF(INDEX(SPOT_Import!$A$1:$Z$2488,12,'Live Data'!$C$15)="","",INDEX(SPOT_Import!$A$1:$Z$2488,12,'Live Data'!$C$15)),"")</f>
        <v>Oljororok</v>
      </c>
      <c r="E12" s="54" t="str">
        <f>IFERROR(IF(INDEX(SPOT_Import!$A$1:$Z$2488,12,'Live Data'!$C$16)="","",INDEX(SPOT_Import!$A$1:$Z$2488,12,'Live Data'!$C$16)),"")</f>
        <v>USAID Jamii Tekelezi</v>
      </c>
      <c r="F12" s="54" t="str">
        <f>IFERROR(IF(INDEX(SPOT_Import!$A$1:$Z$2488,12,'Live Data'!$C$17)="","",INDEX(SPOT_Import!$A$1:$Z$2488,12,'Live Data'!$C$17)),"")</f>
        <v>C&amp;T</v>
      </c>
      <c r="G12" s="54">
        <f>IFERROR(IF(INDEX(SPOT_Import!$A$1:$Z$2488,12,'Live Data'!$C$18)="","",INDEX(SPOT_Import!$A$1:$Z$2488,12,'Live Data'!$C$18)),"")</f>
        <v>1181</v>
      </c>
      <c r="H12" s="54">
        <f>IFERROR(IF(INDEX(SPOT_Import!$A$1:$Z$2488,12,'Live Data'!$C$19)="","",INDEX(SPOT_Import!$A$1:$Z$2488,12,'Live Data'!$C$19)),"")</f>
        <v>1181</v>
      </c>
      <c r="I12" s="54" t="str">
        <f>IFERROR(IF(INDEX(SPOT_Import!$A$1:$Z$2488,12,'Live Data'!$C$20)="","",INDEX(SPOT_Import!$A$1:$Z$2488,12,'Live Data'!$C$20)),"")</f>
        <v>Complete</v>
      </c>
      <c r="J12" s="54" t="str">
        <f>IFERROR(IF(INDEX(SPOT_Import!$A$1:$Z$2488,12,'Live Data'!$C$21)="","",INDEX(SPOT_Import!$A$1:$Z$2488,12,'Live Data'!$C$21)),"")</f>
        <v>2026-10-13T21:04:12.000Z</v>
      </c>
      <c r="K12" s="54" t="str">
        <f>IFERROR(IF(INDEX(SPOT_Import!$A$1:$Z$2488,12,'Live Data'!$C$22)="","",INDEX(SPOT_Import!$A$1:$Z$2488,12,'Live Data'!$C$22)),"")</f>
        <v>2026-10-13T21:04:12.000Z</v>
      </c>
      <c r="L12" s="55" t="str">
        <f t="shared" si="0"/>
        <v>2026-10</v>
      </c>
      <c r="M12" s="55" t="str">
        <f t="shared" si="1"/>
        <v>NYANDARUA</v>
      </c>
      <c r="N12" s="55" t="str">
        <f>IF(A12="","",IFERROR(INDEX('Cluster Map'!$A$4:$A$38,MATCH(M12,'Cluster Map'!$B$4:$B$38,0)),"Unmapped"))</f>
        <v>Cluster 4</v>
      </c>
      <c r="O12" s="55">
        <f>IF(A12="",0,IF(COUNTIFS($A$2:A12,A12,$F$2:F12,F12,$L$2:L12,L12)=1,1,0))</f>
        <v>1</v>
      </c>
      <c r="P12" s="55">
        <f>IF(A12="",0,IF(AND(F12="C&amp;T",COUNTIFS($A$2:A12,A12,$F$2:F12,"C&amp;T")=1),1,0))</f>
        <v>1</v>
      </c>
    </row>
    <row r="13" spans="1:16" x14ac:dyDescent="0.35">
      <c r="A13" s="54">
        <f>IFERROR(IF(INDEX(SPOT_Import!$A$1:$Z$2488,13,'Live Data'!$C$12)="","",INDEX(SPOT_Import!$A$1:$Z$2488,13,'Live Data'!$C$12)),"")</f>
        <v>10852</v>
      </c>
      <c r="B13" s="54" t="str">
        <f>IFERROR(IF(INDEX(SPOT_Import!$A$1:$Z$2488,13,'Live Data'!$C$13)="","",INDEX(SPOT_Import!$A$1:$Z$2488,13,'Live Data'!$C$13)),"")</f>
        <v>New Tumaini Health Centre</v>
      </c>
      <c r="C13" s="54" t="str">
        <f>IFERROR(IF(INDEX(SPOT_Import!$A$1:$Z$2488,13,'Live Data'!$C$14)="","",INDEX(SPOT_Import!$A$1:$Z$2488,13,'Live Data'!$C$14)),"")</f>
        <v>NYANDARUA</v>
      </c>
      <c r="D13" s="54" t="str">
        <f>IFERROR(IF(INDEX(SPOT_Import!$A$1:$Z$2488,13,'Live Data'!$C$15)="","",INDEX(SPOT_Import!$A$1:$Z$2488,13,'Live Data'!$C$15)),"")</f>
        <v>Olkalou</v>
      </c>
      <c r="E13" s="54" t="str">
        <f>IFERROR(IF(INDEX(SPOT_Import!$A$1:$Z$2488,13,'Live Data'!$C$16)="","",INDEX(SPOT_Import!$A$1:$Z$2488,13,'Live Data'!$C$16)),"")</f>
        <v>USAID Jamii Tekelezi</v>
      </c>
      <c r="F13" s="54" t="str">
        <f>IFERROR(IF(INDEX(SPOT_Import!$A$1:$Z$2488,13,'Live Data'!$C$17)="","",INDEX(SPOT_Import!$A$1:$Z$2488,13,'Live Data'!$C$17)),"")</f>
        <v>PREP</v>
      </c>
      <c r="G13" s="54">
        <f>IFERROR(IF(INDEX(SPOT_Import!$A$1:$Z$2488,13,'Live Data'!$C$18)="","",INDEX(SPOT_Import!$A$1:$Z$2488,13,'Live Data'!$C$18)),"")</f>
        <v>41</v>
      </c>
      <c r="H13" s="54" t="str">
        <f>IFERROR(IF(INDEX(SPOT_Import!$A$1:$Z$2488,13,'Live Data'!$C$19)="","",INDEX(SPOT_Import!$A$1:$Z$2488,13,'Live Data'!$C$19)),"")</f>
        <v/>
      </c>
      <c r="I13" s="54" t="str">
        <f>IFERROR(IF(INDEX(SPOT_Import!$A$1:$Z$2488,13,'Live Data'!$C$20)="","",INDEX(SPOT_Import!$A$1:$Z$2488,13,'Live Data'!$C$20)),"")</f>
        <v>Complete</v>
      </c>
      <c r="J13" s="54" t="str">
        <f>IFERROR(IF(INDEX(SPOT_Import!$A$1:$Z$2488,13,'Live Data'!$C$21)="","",INDEX(SPOT_Import!$A$1:$Z$2488,13,'Live Data'!$C$21)),"")</f>
        <v>2026-10-13T20:10:47.000Z</v>
      </c>
      <c r="K13" s="54" t="str">
        <f>IFERROR(IF(INDEX(SPOT_Import!$A$1:$Z$2488,13,'Live Data'!$C$22)="","",INDEX(SPOT_Import!$A$1:$Z$2488,13,'Live Data'!$C$22)),"")</f>
        <v>2026-10-13T20:10:47.000Z</v>
      </c>
      <c r="L13" s="55" t="str">
        <f t="shared" si="0"/>
        <v>2026-10</v>
      </c>
      <c r="M13" s="55" t="str">
        <f t="shared" si="1"/>
        <v>NYANDARUA</v>
      </c>
      <c r="N13" s="55" t="str">
        <f>IF(A13="","",IFERROR(INDEX('Cluster Map'!$A$4:$A$38,MATCH(M13,'Cluster Map'!$B$4:$B$38,0)),"Unmapped"))</f>
        <v>Cluster 4</v>
      </c>
      <c r="O13" s="55">
        <f>IF(A13="",0,IF(COUNTIFS($A$2:A13,A13,$F$2:F13,F13,$L$2:L13,L13)=1,1,0))</f>
        <v>1</v>
      </c>
      <c r="P13" s="55">
        <f>IF(A13="",0,IF(AND(F13="C&amp;T",COUNTIFS($A$2:A13,A13,$F$2:F13,"C&amp;T")=1),1,0))</f>
        <v>0</v>
      </c>
    </row>
    <row r="14" spans="1:16" x14ac:dyDescent="0.35">
      <c r="A14" s="54">
        <f>IFERROR(IF(INDEX(SPOT_Import!$A$1:$Z$2488,14,'Live Data'!$C$12)="","",INDEX(SPOT_Import!$A$1:$Z$2488,14,'Live Data'!$C$12)),"")</f>
        <v>10852</v>
      </c>
      <c r="B14" s="54" t="str">
        <f>IFERROR(IF(INDEX(SPOT_Import!$A$1:$Z$2488,14,'Live Data'!$C$13)="","",INDEX(SPOT_Import!$A$1:$Z$2488,14,'Live Data'!$C$13)),"")</f>
        <v>New Tumaini Health Centre</v>
      </c>
      <c r="C14" s="54" t="str">
        <f>IFERROR(IF(INDEX(SPOT_Import!$A$1:$Z$2488,14,'Live Data'!$C$14)="","",INDEX(SPOT_Import!$A$1:$Z$2488,14,'Live Data'!$C$14)),"")</f>
        <v>NYANDARUA</v>
      </c>
      <c r="D14" s="54" t="str">
        <f>IFERROR(IF(INDEX(SPOT_Import!$A$1:$Z$2488,14,'Live Data'!$C$15)="","",INDEX(SPOT_Import!$A$1:$Z$2488,14,'Live Data'!$C$15)),"")</f>
        <v>Olkalou</v>
      </c>
      <c r="E14" s="54" t="str">
        <f>IFERROR(IF(INDEX(SPOT_Import!$A$1:$Z$2488,14,'Live Data'!$C$16)="","",INDEX(SPOT_Import!$A$1:$Z$2488,14,'Live Data'!$C$16)),"")</f>
        <v>USAID Jamii Tekelezi</v>
      </c>
      <c r="F14" s="54" t="str">
        <f>IFERROR(IF(INDEX(SPOT_Import!$A$1:$Z$2488,14,'Live Data'!$C$17)="","",INDEX(SPOT_Import!$A$1:$Z$2488,14,'Live Data'!$C$17)),"")</f>
        <v>MNCH</v>
      </c>
      <c r="G14" s="54">
        <f>IFERROR(IF(INDEX(SPOT_Import!$A$1:$Z$2488,14,'Live Data'!$C$18)="","",INDEX(SPOT_Import!$A$1:$Z$2488,14,'Live Data'!$C$18)),"")</f>
        <v>37</v>
      </c>
      <c r="H14" s="54" t="str">
        <f>IFERROR(IF(INDEX(SPOT_Import!$A$1:$Z$2488,14,'Live Data'!$C$19)="","",INDEX(SPOT_Import!$A$1:$Z$2488,14,'Live Data'!$C$19)),"")</f>
        <v/>
      </c>
      <c r="I14" s="54" t="str">
        <f>IFERROR(IF(INDEX(SPOT_Import!$A$1:$Z$2488,14,'Live Data'!$C$20)="","",INDEX(SPOT_Import!$A$1:$Z$2488,14,'Live Data'!$C$20)),"")</f>
        <v>Incomplete</v>
      </c>
      <c r="J14" s="54" t="str">
        <f>IFERROR(IF(INDEX(SPOT_Import!$A$1:$Z$2488,14,'Live Data'!$C$21)="","",INDEX(SPOT_Import!$A$1:$Z$2488,14,'Live Data'!$C$21)),"")</f>
        <v>2026-10-13T20:10:24.000Z</v>
      </c>
      <c r="K14" s="54" t="str">
        <f>IFERROR(IF(INDEX(SPOT_Import!$A$1:$Z$2488,14,'Live Data'!$C$22)="","",INDEX(SPOT_Import!$A$1:$Z$2488,14,'Live Data'!$C$22)),"")</f>
        <v>2026-10-13T20:10:24.000Z</v>
      </c>
      <c r="L14" s="55" t="str">
        <f t="shared" si="0"/>
        <v>2026-10</v>
      </c>
      <c r="M14" s="55" t="str">
        <f t="shared" si="1"/>
        <v>NYANDARUA</v>
      </c>
      <c r="N14" s="55" t="str">
        <f>IF(A14="","",IFERROR(INDEX('Cluster Map'!$A$4:$A$38,MATCH(M14,'Cluster Map'!$B$4:$B$38,0)),"Unmapped"))</f>
        <v>Cluster 4</v>
      </c>
      <c r="O14" s="55">
        <f>IF(A14="",0,IF(COUNTIFS($A$2:A14,A14,$F$2:F14,F14,$L$2:L14,L14)=1,1,0))</f>
        <v>1</v>
      </c>
      <c r="P14" s="55">
        <f>IF(A14="",0,IF(AND(F14="C&amp;T",COUNTIFS($A$2:A14,A14,$F$2:F14,"C&amp;T")=1),1,0))</f>
        <v>0</v>
      </c>
    </row>
    <row r="15" spans="1:16" x14ac:dyDescent="0.35">
      <c r="A15" s="54">
        <f>IFERROR(IF(INDEX(SPOT_Import!$A$1:$Z$2488,15,'Live Data'!$C$12)="","",INDEX(SPOT_Import!$A$1:$Z$2488,15,'Live Data'!$C$12)),"")</f>
        <v>10852</v>
      </c>
      <c r="B15" s="54" t="str">
        <f>IFERROR(IF(INDEX(SPOT_Import!$A$1:$Z$2488,15,'Live Data'!$C$13)="","",INDEX(SPOT_Import!$A$1:$Z$2488,15,'Live Data'!$C$13)),"")</f>
        <v>New Tumaini Health Centre</v>
      </c>
      <c r="C15" s="54" t="str">
        <f>IFERROR(IF(INDEX(SPOT_Import!$A$1:$Z$2488,15,'Live Data'!$C$14)="","",INDEX(SPOT_Import!$A$1:$Z$2488,15,'Live Data'!$C$14)),"")</f>
        <v>NYANDARUA</v>
      </c>
      <c r="D15" s="54" t="str">
        <f>IFERROR(IF(INDEX(SPOT_Import!$A$1:$Z$2488,15,'Live Data'!$C$15)="","",INDEX(SPOT_Import!$A$1:$Z$2488,15,'Live Data'!$C$15)),"")</f>
        <v>Olkalou</v>
      </c>
      <c r="E15" s="54" t="str">
        <f>IFERROR(IF(INDEX(SPOT_Import!$A$1:$Z$2488,15,'Live Data'!$C$16)="","",INDEX(SPOT_Import!$A$1:$Z$2488,15,'Live Data'!$C$16)),"")</f>
        <v>USAID Jamii Tekelezi</v>
      </c>
      <c r="F15" s="54" t="str">
        <f>IFERROR(IF(INDEX(SPOT_Import!$A$1:$Z$2488,15,'Live Data'!$C$17)="","",INDEX(SPOT_Import!$A$1:$Z$2488,15,'Live Data'!$C$17)),"")</f>
        <v>HTS</v>
      </c>
      <c r="G15" s="54">
        <f>IFERROR(IF(INDEX(SPOT_Import!$A$1:$Z$2488,15,'Live Data'!$C$18)="","",INDEX(SPOT_Import!$A$1:$Z$2488,15,'Live Data'!$C$18)),"")</f>
        <v>2968</v>
      </c>
      <c r="H15" s="54">
        <f>IFERROR(IF(INDEX(SPOT_Import!$A$1:$Z$2488,15,'Live Data'!$C$19)="","",INDEX(SPOT_Import!$A$1:$Z$2488,15,'Live Data'!$C$19)),"")</f>
        <v>2968</v>
      </c>
      <c r="I15" s="54" t="str">
        <f>IFERROR(IF(INDEX(SPOT_Import!$A$1:$Z$2488,15,'Live Data'!$C$20)="","",INDEX(SPOT_Import!$A$1:$Z$2488,15,'Live Data'!$C$20)),"")</f>
        <v>Complete</v>
      </c>
      <c r="J15" s="54" t="str">
        <f>IFERROR(IF(INDEX(SPOT_Import!$A$1:$Z$2488,15,'Live Data'!$C$21)="","",INDEX(SPOT_Import!$A$1:$Z$2488,15,'Live Data'!$C$21)),"")</f>
        <v>2026-10-13T20:09:11.000Z</v>
      </c>
      <c r="K15" s="54" t="str">
        <f>IFERROR(IF(INDEX(SPOT_Import!$A$1:$Z$2488,15,'Live Data'!$C$22)="","",INDEX(SPOT_Import!$A$1:$Z$2488,15,'Live Data'!$C$22)),"")</f>
        <v>2026-10-13T20:09:11.000Z</v>
      </c>
      <c r="L15" s="55" t="str">
        <f t="shared" si="0"/>
        <v>2026-10</v>
      </c>
      <c r="M15" s="55" t="str">
        <f t="shared" si="1"/>
        <v>NYANDARUA</v>
      </c>
      <c r="N15" s="55" t="str">
        <f>IF(A15="","",IFERROR(INDEX('Cluster Map'!$A$4:$A$38,MATCH(M15,'Cluster Map'!$B$4:$B$38,0)),"Unmapped"))</f>
        <v>Cluster 4</v>
      </c>
      <c r="O15" s="55">
        <f>IF(A15="",0,IF(COUNTIFS($A$2:A15,A15,$F$2:F15,F15,$L$2:L15,L15)=1,1,0))</f>
        <v>1</v>
      </c>
      <c r="P15" s="55">
        <f>IF(A15="",0,IF(AND(F15="C&amp;T",COUNTIFS($A$2:A15,A15,$F$2:F15,"C&amp;T")=1),1,0))</f>
        <v>0</v>
      </c>
    </row>
    <row r="16" spans="1:16" x14ac:dyDescent="0.35">
      <c r="A16" s="54">
        <f>IFERROR(IF(INDEX(SPOT_Import!$A$1:$Z$2488,16,'Live Data'!$C$12)="","",INDEX(SPOT_Import!$A$1:$Z$2488,16,'Live Data'!$C$12)),"")</f>
        <v>10852</v>
      </c>
      <c r="B16" s="54" t="str">
        <f>IFERROR(IF(INDEX(SPOT_Import!$A$1:$Z$2488,16,'Live Data'!$C$13)="","",INDEX(SPOT_Import!$A$1:$Z$2488,16,'Live Data'!$C$13)),"")</f>
        <v>New Tumaini  Health Centre</v>
      </c>
      <c r="C16" s="54" t="str">
        <f>IFERROR(IF(INDEX(SPOT_Import!$A$1:$Z$2488,16,'Live Data'!$C$14)="","",INDEX(SPOT_Import!$A$1:$Z$2488,16,'Live Data'!$C$14)),"")</f>
        <v>NYANDARUA</v>
      </c>
      <c r="D16" s="54" t="str">
        <f>IFERROR(IF(INDEX(SPOT_Import!$A$1:$Z$2488,16,'Live Data'!$C$15)="","",INDEX(SPOT_Import!$A$1:$Z$2488,16,'Live Data'!$C$15)),"")</f>
        <v>Olkalou</v>
      </c>
      <c r="E16" s="54" t="str">
        <f>IFERROR(IF(INDEX(SPOT_Import!$A$1:$Z$2488,16,'Live Data'!$C$16)="","",INDEX(SPOT_Import!$A$1:$Z$2488,16,'Live Data'!$C$16)),"")</f>
        <v>USAID Jamii Tekelezi</v>
      </c>
      <c r="F16" s="54" t="str">
        <f>IFERROR(IF(INDEX(SPOT_Import!$A$1:$Z$2488,16,'Live Data'!$C$17)="","",INDEX(SPOT_Import!$A$1:$Z$2488,16,'Live Data'!$C$17)),"")</f>
        <v>C&amp;T</v>
      </c>
      <c r="G16" s="54">
        <f>IFERROR(IF(INDEX(SPOT_Import!$A$1:$Z$2488,16,'Live Data'!$C$18)="","",INDEX(SPOT_Import!$A$1:$Z$2488,16,'Live Data'!$C$18)),"")</f>
        <v>445</v>
      </c>
      <c r="H16" s="54">
        <f>IFERROR(IF(INDEX(SPOT_Import!$A$1:$Z$2488,16,'Live Data'!$C$19)="","",INDEX(SPOT_Import!$A$1:$Z$2488,16,'Live Data'!$C$19)),"")</f>
        <v>445</v>
      </c>
      <c r="I16" s="54" t="str">
        <f>IFERROR(IF(INDEX(SPOT_Import!$A$1:$Z$2488,16,'Live Data'!$C$20)="","",INDEX(SPOT_Import!$A$1:$Z$2488,16,'Live Data'!$C$20)),"")</f>
        <v>Complete</v>
      </c>
      <c r="J16" s="54" t="str">
        <f>IFERROR(IF(INDEX(SPOT_Import!$A$1:$Z$2488,16,'Live Data'!$C$21)="","",INDEX(SPOT_Import!$A$1:$Z$2488,16,'Live Data'!$C$21)),"")</f>
        <v>2026-10-13T19:45:27.000Z</v>
      </c>
      <c r="K16" s="54" t="str">
        <f>IFERROR(IF(INDEX(SPOT_Import!$A$1:$Z$2488,16,'Live Data'!$C$22)="","",INDEX(SPOT_Import!$A$1:$Z$2488,16,'Live Data'!$C$22)),"")</f>
        <v>2026-10-13T19:45:27.000Z</v>
      </c>
      <c r="L16" s="55" t="str">
        <f t="shared" si="0"/>
        <v>2026-10</v>
      </c>
      <c r="M16" s="55" t="str">
        <f t="shared" si="1"/>
        <v>NYANDARUA</v>
      </c>
      <c r="N16" s="55" t="str">
        <f>IF(A16="","",IFERROR(INDEX('Cluster Map'!$A$4:$A$38,MATCH(M16,'Cluster Map'!$B$4:$B$38,0)),"Unmapped"))</f>
        <v>Cluster 4</v>
      </c>
      <c r="O16" s="55">
        <f>IF(A16="",0,IF(COUNTIFS($A$2:A16,A16,$F$2:F16,F16,$L$2:L16,L16)=1,1,0))</f>
        <v>1</v>
      </c>
      <c r="P16" s="55">
        <f>IF(A16="",0,IF(AND(F16="C&amp;T",COUNTIFS($A$2:A16,A16,$F$2:F16,"C&amp;T")=1),1,0))</f>
        <v>1</v>
      </c>
    </row>
    <row r="17" spans="1:16" x14ac:dyDescent="0.35">
      <c r="A17" s="54">
        <f>IFERROR(IF(INDEX(SPOT_Import!$A$1:$Z$2488,17,'Live Data'!$C$12)="","",INDEX(SPOT_Import!$A$1:$Z$2488,17,'Live Data'!$C$12)),"")</f>
        <v>11059</v>
      </c>
      <c r="B17" s="54" t="str">
        <f>IFERROR(IF(INDEX(SPOT_Import!$A$1:$Z$2488,17,'Live Data'!$C$13)="","",INDEX(SPOT_Import!$A$1:$Z$2488,17,'Live Data'!$C$13)),"")</f>
        <v>St Mathews and Sarah Dispensary</v>
      </c>
      <c r="C17" s="54" t="str">
        <f>IFERROR(IF(INDEX(SPOT_Import!$A$1:$Z$2488,17,'Live Data'!$C$14)="","",INDEX(SPOT_Import!$A$1:$Z$2488,17,'Live Data'!$C$14)),"")</f>
        <v>NYANDARUA</v>
      </c>
      <c r="D17" s="54" t="str">
        <f>IFERROR(IF(INDEX(SPOT_Import!$A$1:$Z$2488,17,'Live Data'!$C$15)="","",INDEX(SPOT_Import!$A$1:$Z$2488,17,'Live Data'!$C$15)),"")</f>
        <v>Olkalou</v>
      </c>
      <c r="E17" s="54" t="str">
        <f>IFERROR(IF(INDEX(SPOT_Import!$A$1:$Z$2488,17,'Live Data'!$C$16)="","",INDEX(SPOT_Import!$A$1:$Z$2488,17,'Live Data'!$C$16)),"")</f>
        <v>USAID Jamii Tekelezi</v>
      </c>
      <c r="F17" s="54" t="str">
        <f>IFERROR(IF(INDEX(SPOT_Import!$A$1:$Z$2488,17,'Live Data'!$C$17)="","",INDEX(SPOT_Import!$A$1:$Z$2488,17,'Live Data'!$C$17)),"")</f>
        <v>PREP</v>
      </c>
      <c r="G17" s="54">
        <f>IFERROR(IF(INDEX(SPOT_Import!$A$1:$Z$2488,17,'Live Data'!$C$18)="","",INDEX(SPOT_Import!$A$1:$Z$2488,17,'Live Data'!$C$18)),"")</f>
        <v>2</v>
      </c>
      <c r="H17" s="54" t="str">
        <f>IFERROR(IF(INDEX(SPOT_Import!$A$1:$Z$2488,17,'Live Data'!$C$19)="","",INDEX(SPOT_Import!$A$1:$Z$2488,17,'Live Data'!$C$19)),"")</f>
        <v/>
      </c>
      <c r="I17" s="54" t="str">
        <f>IFERROR(IF(INDEX(SPOT_Import!$A$1:$Z$2488,17,'Live Data'!$C$20)="","",INDEX(SPOT_Import!$A$1:$Z$2488,17,'Live Data'!$C$20)),"")</f>
        <v>Incomplete</v>
      </c>
      <c r="J17" s="54" t="str">
        <f>IFERROR(IF(INDEX(SPOT_Import!$A$1:$Z$2488,17,'Live Data'!$C$21)="","",INDEX(SPOT_Import!$A$1:$Z$2488,17,'Live Data'!$C$21)),"")</f>
        <v>2026-10-13T19:19:36.000Z</v>
      </c>
      <c r="K17" s="54" t="str">
        <f>IFERROR(IF(INDEX(SPOT_Import!$A$1:$Z$2488,17,'Live Data'!$C$22)="","",INDEX(SPOT_Import!$A$1:$Z$2488,17,'Live Data'!$C$22)),"")</f>
        <v>2026-10-13T19:19:36.000Z</v>
      </c>
      <c r="L17" s="55" t="str">
        <f t="shared" si="0"/>
        <v>2026-10</v>
      </c>
      <c r="M17" s="55" t="str">
        <f t="shared" si="1"/>
        <v>NYANDARUA</v>
      </c>
      <c r="N17" s="55" t="str">
        <f>IF(A17="","",IFERROR(INDEX('Cluster Map'!$A$4:$A$38,MATCH(M17,'Cluster Map'!$B$4:$B$38,0)),"Unmapped"))</f>
        <v>Cluster 4</v>
      </c>
      <c r="O17" s="55">
        <f>IF(A17="",0,IF(COUNTIFS($A$2:A17,A17,$F$2:F17,F17,$L$2:L17,L17)=1,1,0))</f>
        <v>1</v>
      </c>
      <c r="P17" s="55">
        <f>IF(A17="",0,IF(AND(F17="C&amp;T",COUNTIFS($A$2:A17,A17,$F$2:F17,"C&amp;T")=1),1,0))</f>
        <v>0</v>
      </c>
    </row>
    <row r="18" spans="1:16" x14ac:dyDescent="0.35">
      <c r="A18" s="54">
        <f>IFERROR(IF(INDEX(SPOT_Import!$A$1:$Z$2488,18,'Live Data'!$C$12)="","",INDEX(SPOT_Import!$A$1:$Z$2488,18,'Live Data'!$C$12)),"")</f>
        <v>11059</v>
      </c>
      <c r="B18" s="54" t="str">
        <f>IFERROR(IF(INDEX(SPOT_Import!$A$1:$Z$2488,18,'Live Data'!$C$13)="","",INDEX(SPOT_Import!$A$1:$Z$2488,18,'Live Data'!$C$13)),"")</f>
        <v>St Mathews and Sarah Dispensary</v>
      </c>
      <c r="C18" s="54" t="str">
        <f>IFERROR(IF(INDEX(SPOT_Import!$A$1:$Z$2488,18,'Live Data'!$C$14)="","",INDEX(SPOT_Import!$A$1:$Z$2488,18,'Live Data'!$C$14)),"")</f>
        <v>NYANDARUA</v>
      </c>
      <c r="D18" s="54" t="str">
        <f>IFERROR(IF(INDEX(SPOT_Import!$A$1:$Z$2488,18,'Live Data'!$C$15)="","",INDEX(SPOT_Import!$A$1:$Z$2488,18,'Live Data'!$C$15)),"")</f>
        <v>Olkalou</v>
      </c>
      <c r="E18" s="54" t="str">
        <f>IFERROR(IF(INDEX(SPOT_Import!$A$1:$Z$2488,18,'Live Data'!$C$16)="","",INDEX(SPOT_Import!$A$1:$Z$2488,18,'Live Data'!$C$16)),"")</f>
        <v>USAID Jamii Tekelezi</v>
      </c>
      <c r="F18" s="54" t="str">
        <f>IFERROR(IF(INDEX(SPOT_Import!$A$1:$Z$2488,18,'Live Data'!$C$17)="","",INDEX(SPOT_Import!$A$1:$Z$2488,18,'Live Data'!$C$17)),"")</f>
        <v>MNCH</v>
      </c>
      <c r="G18" s="54">
        <f>IFERROR(IF(INDEX(SPOT_Import!$A$1:$Z$2488,18,'Live Data'!$C$18)="","",INDEX(SPOT_Import!$A$1:$Z$2488,18,'Live Data'!$C$18)),"")</f>
        <v>12</v>
      </c>
      <c r="H18" s="54" t="str">
        <f>IFERROR(IF(INDEX(SPOT_Import!$A$1:$Z$2488,18,'Live Data'!$C$19)="","",INDEX(SPOT_Import!$A$1:$Z$2488,18,'Live Data'!$C$19)),"")</f>
        <v/>
      </c>
      <c r="I18" s="54" t="str">
        <f>IFERROR(IF(INDEX(SPOT_Import!$A$1:$Z$2488,18,'Live Data'!$C$20)="","",INDEX(SPOT_Import!$A$1:$Z$2488,18,'Live Data'!$C$20)),"")</f>
        <v>Incomplete</v>
      </c>
      <c r="J18" s="54" t="str">
        <f>IFERROR(IF(INDEX(SPOT_Import!$A$1:$Z$2488,18,'Live Data'!$C$21)="","",INDEX(SPOT_Import!$A$1:$Z$2488,18,'Live Data'!$C$21)),"")</f>
        <v>2026-10-13T19:19:10.000Z</v>
      </c>
      <c r="K18" s="54" t="str">
        <f>IFERROR(IF(INDEX(SPOT_Import!$A$1:$Z$2488,18,'Live Data'!$C$22)="","",INDEX(SPOT_Import!$A$1:$Z$2488,18,'Live Data'!$C$22)),"")</f>
        <v>2026-10-13T19:19:10.000Z</v>
      </c>
      <c r="L18" s="55" t="str">
        <f t="shared" si="0"/>
        <v>2026-10</v>
      </c>
      <c r="M18" s="55" t="str">
        <f t="shared" si="1"/>
        <v>NYANDARUA</v>
      </c>
      <c r="N18" s="55" t="str">
        <f>IF(A18="","",IFERROR(INDEX('Cluster Map'!$A$4:$A$38,MATCH(M18,'Cluster Map'!$B$4:$B$38,0)),"Unmapped"))</f>
        <v>Cluster 4</v>
      </c>
      <c r="O18" s="55">
        <f>IF(A18="",0,IF(COUNTIFS($A$2:A18,A18,$F$2:F18,F18,$L$2:L18,L18)=1,1,0))</f>
        <v>1</v>
      </c>
      <c r="P18" s="55">
        <f>IF(A18="",0,IF(AND(F18="C&amp;T",COUNTIFS($A$2:A18,A18,$F$2:F18,"C&amp;T")=1),1,0))</f>
        <v>0</v>
      </c>
    </row>
    <row r="19" spans="1:16" x14ac:dyDescent="0.35">
      <c r="A19" s="54">
        <f>IFERROR(IF(INDEX(SPOT_Import!$A$1:$Z$2488,19,'Live Data'!$C$12)="","",INDEX(SPOT_Import!$A$1:$Z$2488,19,'Live Data'!$C$12)),"")</f>
        <v>11059</v>
      </c>
      <c r="B19" s="54" t="str">
        <f>IFERROR(IF(INDEX(SPOT_Import!$A$1:$Z$2488,19,'Live Data'!$C$13)="","",INDEX(SPOT_Import!$A$1:$Z$2488,19,'Live Data'!$C$13)),"")</f>
        <v>St Mathews and Sarah Dispensary</v>
      </c>
      <c r="C19" s="54" t="str">
        <f>IFERROR(IF(INDEX(SPOT_Import!$A$1:$Z$2488,19,'Live Data'!$C$14)="","",INDEX(SPOT_Import!$A$1:$Z$2488,19,'Live Data'!$C$14)),"")</f>
        <v>NYANDARUA</v>
      </c>
      <c r="D19" s="54" t="str">
        <f>IFERROR(IF(INDEX(SPOT_Import!$A$1:$Z$2488,19,'Live Data'!$C$15)="","",INDEX(SPOT_Import!$A$1:$Z$2488,19,'Live Data'!$C$15)),"")</f>
        <v>Olkalou</v>
      </c>
      <c r="E19" s="54" t="str">
        <f>IFERROR(IF(INDEX(SPOT_Import!$A$1:$Z$2488,19,'Live Data'!$C$16)="","",INDEX(SPOT_Import!$A$1:$Z$2488,19,'Live Data'!$C$16)),"")</f>
        <v>USAID Jamii Tekelezi</v>
      </c>
      <c r="F19" s="54" t="str">
        <f>IFERROR(IF(INDEX(SPOT_Import!$A$1:$Z$2488,19,'Live Data'!$C$17)="","",INDEX(SPOT_Import!$A$1:$Z$2488,19,'Live Data'!$C$17)),"")</f>
        <v>HTS</v>
      </c>
      <c r="G19" s="54">
        <f>IFERROR(IF(INDEX(SPOT_Import!$A$1:$Z$2488,19,'Live Data'!$C$18)="","",INDEX(SPOT_Import!$A$1:$Z$2488,19,'Live Data'!$C$18)),"")</f>
        <v>112</v>
      </c>
      <c r="H19" s="54">
        <f>IFERROR(IF(INDEX(SPOT_Import!$A$1:$Z$2488,19,'Live Data'!$C$19)="","",INDEX(SPOT_Import!$A$1:$Z$2488,19,'Live Data'!$C$19)),"")</f>
        <v>112</v>
      </c>
      <c r="I19" s="54" t="str">
        <f>IFERROR(IF(INDEX(SPOT_Import!$A$1:$Z$2488,19,'Live Data'!$C$20)="","",INDEX(SPOT_Import!$A$1:$Z$2488,19,'Live Data'!$C$20)),"")</f>
        <v>Complete</v>
      </c>
      <c r="J19" s="54" t="str">
        <f>IFERROR(IF(INDEX(SPOT_Import!$A$1:$Z$2488,19,'Live Data'!$C$21)="","",INDEX(SPOT_Import!$A$1:$Z$2488,19,'Live Data'!$C$21)),"")</f>
        <v>2026-10-13T19:18:33.000Z</v>
      </c>
      <c r="K19" s="54" t="str">
        <f>IFERROR(IF(INDEX(SPOT_Import!$A$1:$Z$2488,19,'Live Data'!$C$22)="","",INDEX(SPOT_Import!$A$1:$Z$2488,19,'Live Data'!$C$22)),"")</f>
        <v>2026-10-13T19:18:33.000Z</v>
      </c>
      <c r="L19" s="55" t="str">
        <f t="shared" si="0"/>
        <v>2026-10</v>
      </c>
      <c r="M19" s="55" t="str">
        <f t="shared" si="1"/>
        <v>NYANDARUA</v>
      </c>
      <c r="N19" s="55" t="str">
        <f>IF(A19="","",IFERROR(INDEX('Cluster Map'!$A$4:$A$38,MATCH(M19,'Cluster Map'!$B$4:$B$38,0)),"Unmapped"))</f>
        <v>Cluster 4</v>
      </c>
      <c r="O19" s="55">
        <f>IF(A19="",0,IF(COUNTIFS($A$2:A19,A19,$F$2:F19,F19,$L$2:L19,L19)=1,1,0))</f>
        <v>1</v>
      </c>
      <c r="P19" s="55">
        <f>IF(A19="",0,IF(AND(F19="C&amp;T",COUNTIFS($A$2:A19,A19,$F$2:F19,"C&amp;T")=1),1,0))</f>
        <v>0</v>
      </c>
    </row>
    <row r="20" spans="1:16" x14ac:dyDescent="0.35">
      <c r="A20" s="54">
        <f>IFERROR(IF(INDEX(SPOT_Import!$A$1:$Z$2488,20,'Live Data'!$C$12)="","",INDEX(SPOT_Import!$A$1:$Z$2488,20,'Live Data'!$C$12)),"")</f>
        <v>12790</v>
      </c>
      <c r="B20" s="54" t="str">
        <f>IFERROR(IF(INDEX(SPOT_Import!$A$1:$Z$2488,20,'Live Data'!$C$13)="","",INDEX(SPOT_Import!$A$1:$Z$2488,20,'Live Data'!$C$13)),"")</f>
        <v>Embu Children Hospital</v>
      </c>
      <c r="C20" s="54" t="str">
        <f>IFERROR(IF(INDEX(SPOT_Import!$A$1:$Z$2488,20,'Live Data'!$C$14)="","",INDEX(SPOT_Import!$A$1:$Z$2488,20,'Live Data'!$C$14)),"")</f>
        <v>EMBU</v>
      </c>
      <c r="D20" s="54" t="str">
        <f>IFERROR(IF(INDEX(SPOT_Import!$A$1:$Z$2488,20,'Live Data'!$C$15)="","",INDEX(SPOT_Import!$A$1:$Z$2488,20,'Live Data'!$C$15)),"")</f>
        <v>Manyatta</v>
      </c>
      <c r="E20" s="54" t="str">
        <f>IFERROR(IF(INDEX(SPOT_Import!$A$1:$Z$2488,20,'Live Data'!$C$16)="","",INDEX(SPOT_Import!$A$1:$Z$2488,20,'Live Data'!$C$16)),"")</f>
        <v>USAID Jamii Tekelezi</v>
      </c>
      <c r="F20" s="54" t="str">
        <f>IFERROR(IF(INDEX(SPOT_Import!$A$1:$Z$2488,20,'Live Data'!$C$17)="","",INDEX(SPOT_Import!$A$1:$Z$2488,20,'Live Data'!$C$17)),"")</f>
        <v>PREP</v>
      </c>
      <c r="G20" s="54">
        <f>IFERROR(IF(INDEX(SPOT_Import!$A$1:$Z$2488,20,'Live Data'!$C$18)="","",INDEX(SPOT_Import!$A$1:$Z$2488,20,'Live Data'!$C$18)),"")</f>
        <v>9</v>
      </c>
      <c r="H20" s="54">
        <f>IFERROR(IF(INDEX(SPOT_Import!$A$1:$Z$2488,20,'Live Data'!$C$19)="","",INDEX(SPOT_Import!$A$1:$Z$2488,20,'Live Data'!$C$19)),"")</f>
        <v>9</v>
      </c>
      <c r="I20" s="54" t="str">
        <f>IFERROR(IF(INDEX(SPOT_Import!$A$1:$Z$2488,20,'Live Data'!$C$20)="","",INDEX(SPOT_Import!$A$1:$Z$2488,20,'Live Data'!$C$20)),"")</f>
        <v>Complete</v>
      </c>
      <c r="J20" s="54" t="str">
        <f>IFERROR(IF(INDEX(SPOT_Import!$A$1:$Z$2488,20,'Live Data'!$C$21)="","",INDEX(SPOT_Import!$A$1:$Z$2488,20,'Live Data'!$C$21)),"")</f>
        <v>2026-10-13T19:16:24.000Z</v>
      </c>
      <c r="K20" s="54" t="str">
        <f>IFERROR(IF(INDEX(SPOT_Import!$A$1:$Z$2488,20,'Live Data'!$C$22)="","",INDEX(SPOT_Import!$A$1:$Z$2488,20,'Live Data'!$C$22)),"")</f>
        <v>2026-10-13T19:16:24.000Z</v>
      </c>
      <c r="L20" s="55" t="str">
        <f t="shared" si="0"/>
        <v>2026-10</v>
      </c>
      <c r="M20" s="55" t="str">
        <f t="shared" si="1"/>
        <v>EMBU</v>
      </c>
      <c r="N20" s="55" t="str">
        <f>IF(A20="","",IFERROR(INDEX('Cluster Map'!$A$4:$A$38,MATCH(M20,'Cluster Map'!$B$4:$B$38,0)),"Unmapped"))</f>
        <v>Cluster 2</v>
      </c>
      <c r="O20" s="55">
        <f>IF(A20="",0,IF(COUNTIFS($A$2:A20,A20,$F$2:F20,F20,$L$2:L20,L20)=1,1,0))</f>
        <v>1</v>
      </c>
      <c r="P20" s="55">
        <f>IF(A20="",0,IF(AND(F20="C&amp;T",COUNTIFS($A$2:A20,A20,$F$2:F20,"C&amp;T")=1),1,0))</f>
        <v>0</v>
      </c>
    </row>
    <row r="21" spans="1:16" x14ac:dyDescent="0.35">
      <c r="A21" s="54">
        <f>IFERROR(IF(INDEX(SPOT_Import!$A$1:$Z$2488,21,'Live Data'!$C$12)="","",INDEX(SPOT_Import!$A$1:$Z$2488,21,'Live Data'!$C$12)),"")</f>
        <v>12790</v>
      </c>
      <c r="B21" s="54" t="str">
        <f>IFERROR(IF(INDEX(SPOT_Import!$A$1:$Z$2488,21,'Live Data'!$C$13)="","",INDEX(SPOT_Import!$A$1:$Z$2488,21,'Live Data'!$C$13)),"")</f>
        <v>Embu Children Hospital</v>
      </c>
      <c r="C21" s="54" t="str">
        <f>IFERROR(IF(INDEX(SPOT_Import!$A$1:$Z$2488,21,'Live Data'!$C$14)="","",INDEX(SPOT_Import!$A$1:$Z$2488,21,'Live Data'!$C$14)),"")</f>
        <v>EMBU</v>
      </c>
      <c r="D21" s="54" t="str">
        <f>IFERROR(IF(INDEX(SPOT_Import!$A$1:$Z$2488,21,'Live Data'!$C$15)="","",INDEX(SPOT_Import!$A$1:$Z$2488,21,'Live Data'!$C$15)),"")</f>
        <v>Manyatta</v>
      </c>
      <c r="E21" s="54" t="str">
        <f>IFERROR(IF(INDEX(SPOT_Import!$A$1:$Z$2488,21,'Live Data'!$C$16)="","",INDEX(SPOT_Import!$A$1:$Z$2488,21,'Live Data'!$C$16)),"")</f>
        <v>USAID Jamii Tekelezi</v>
      </c>
      <c r="F21" s="54" t="str">
        <f>IFERROR(IF(INDEX(SPOT_Import!$A$1:$Z$2488,21,'Live Data'!$C$17)="","",INDEX(SPOT_Import!$A$1:$Z$2488,21,'Live Data'!$C$17)),"")</f>
        <v>MNCH</v>
      </c>
      <c r="G21" s="54">
        <f>IFERROR(IF(INDEX(SPOT_Import!$A$1:$Z$2488,21,'Live Data'!$C$18)="","",INDEX(SPOT_Import!$A$1:$Z$2488,21,'Live Data'!$C$18)),"")</f>
        <v>21</v>
      </c>
      <c r="H21" s="54" t="str">
        <f>IFERROR(IF(INDEX(SPOT_Import!$A$1:$Z$2488,21,'Live Data'!$C$19)="","",INDEX(SPOT_Import!$A$1:$Z$2488,21,'Live Data'!$C$19)),"")</f>
        <v/>
      </c>
      <c r="I21" s="54" t="str">
        <f>IFERROR(IF(INDEX(SPOT_Import!$A$1:$Z$2488,21,'Live Data'!$C$20)="","",INDEX(SPOT_Import!$A$1:$Z$2488,21,'Live Data'!$C$20)),"")</f>
        <v>Incomplete</v>
      </c>
      <c r="J21" s="54" t="str">
        <f>IFERROR(IF(INDEX(SPOT_Import!$A$1:$Z$2488,21,'Live Data'!$C$21)="","",INDEX(SPOT_Import!$A$1:$Z$2488,21,'Live Data'!$C$21)),"")</f>
        <v>2026-10-13T19:16:14.000Z</v>
      </c>
      <c r="K21" s="54" t="str">
        <f>IFERROR(IF(INDEX(SPOT_Import!$A$1:$Z$2488,21,'Live Data'!$C$22)="","",INDEX(SPOT_Import!$A$1:$Z$2488,21,'Live Data'!$C$22)),"")</f>
        <v>2026-10-13T19:16:14.000Z</v>
      </c>
      <c r="L21" s="55" t="str">
        <f t="shared" si="0"/>
        <v>2026-10</v>
      </c>
      <c r="M21" s="55" t="str">
        <f t="shared" si="1"/>
        <v>EMBU</v>
      </c>
      <c r="N21" s="55" t="str">
        <f>IF(A21="","",IFERROR(INDEX('Cluster Map'!$A$4:$A$38,MATCH(M21,'Cluster Map'!$B$4:$B$38,0)),"Unmapped"))</f>
        <v>Cluster 2</v>
      </c>
      <c r="O21" s="55">
        <f>IF(A21="",0,IF(COUNTIFS($A$2:A21,A21,$F$2:F21,F21,$L$2:L21,L21)=1,1,0))</f>
        <v>1</v>
      </c>
      <c r="P21" s="55">
        <f>IF(A21="",0,IF(AND(F21="C&amp;T",COUNTIFS($A$2:A21,A21,$F$2:F21,"C&amp;T")=1),1,0))</f>
        <v>0</v>
      </c>
    </row>
    <row r="22" spans="1:16" x14ac:dyDescent="0.35">
      <c r="A22" s="54">
        <f>IFERROR(IF(INDEX(SPOT_Import!$A$1:$Z$2488,22,'Live Data'!$C$12)="","",INDEX(SPOT_Import!$A$1:$Z$2488,22,'Live Data'!$C$12)),"")</f>
        <v>12790</v>
      </c>
      <c r="B22" s="54" t="str">
        <f>IFERROR(IF(INDEX(SPOT_Import!$A$1:$Z$2488,22,'Live Data'!$C$13)="","",INDEX(SPOT_Import!$A$1:$Z$2488,22,'Live Data'!$C$13)),"")</f>
        <v>Embu Children Hospital</v>
      </c>
      <c r="C22" s="54" t="str">
        <f>IFERROR(IF(INDEX(SPOT_Import!$A$1:$Z$2488,22,'Live Data'!$C$14)="","",INDEX(SPOT_Import!$A$1:$Z$2488,22,'Live Data'!$C$14)),"")</f>
        <v>EMBU</v>
      </c>
      <c r="D22" s="54" t="str">
        <f>IFERROR(IF(INDEX(SPOT_Import!$A$1:$Z$2488,22,'Live Data'!$C$15)="","",INDEX(SPOT_Import!$A$1:$Z$2488,22,'Live Data'!$C$15)),"")</f>
        <v>Manyatta</v>
      </c>
      <c r="E22" s="54" t="str">
        <f>IFERROR(IF(INDEX(SPOT_Import!$A$1:$Z$2488,22,'Live Data'!$C$16)="","",INDEX(SPOT_Import!$A$1:$Z$2488,22,'Live Data'!$C$16)),"")</f>
        <v>USAID Jamii Tekelezi</v>
      </c>
      <c r="F22" s="54" t="str">
        <f>IFERROR(IF(INDEX(SPOT_Import!$A$1:$Z$2488,22,'Live Data'!$C$17)="","",INDEX(SPOT_Import!$A$1:$Z$2488,22,'Live Data'!$C$17)),"")</f>
        <v>HTS</v>
      </c>
      <c r="G22" s="54">
        <f>IFERROR(IF(INDEX(SPOT_Import!$A$1:$Z$2488,22,'Live Data'!$C$18)="","",INDEX(SPOT_Import!$A$1:$Z$2488,22,'Live Data'!$C$18)),"")</f>
        <v>2426</v>
      </c>
      <c r="H22" s="54" t="str">
        <f>IFERROR(IF(INDEX(SPOT_Import!$A$1:$Z$2488,22,'Live Data'!$C$19)="","",INDEX(SPOT_Import!$A$1:$Z$2488,22,'Live Data'!$C$19)),"")</f>
        <v/>
      </c>
      <c r="I22" s="54" t="str">
        <f>IFERROR(IF(INDEX(SPOT_Import!$A$1:$Z$2488,22,'Live Data'!$C$20)="","",INDEX(SPOT_Import!$A$1:$Z$2488,22,'Live Data'!$C$20)),"")</f>
        <v>Incomplete</v>
      </c>
      <c r="J22" s="54" t="str">
        <f>IFERROR(IF(INDEX(SPOT_Import!$A$1:$Z$2488,22,'Live Data'!$C$21)="","",INDEX(SPOT_Import!$A$1:$Z$2488,22,'Live Data'!$C$21)),"")</f>
        <v>2026-10-13T19:15:45.000Z</v>
      </c>
      <c r="K22" s="54" t="str">
        <f>IFERROR(IF(INDEX(SPOT_Import!$A$1:$Z$2488,22,'Live Data'!$C$22)="","",INDEX(SPOT_Import!$A$1:$Z$2488,22,'Live Data'!$C$22)),"")</f>
        <v>2026-10-13T19:15:45.000Z</v>
      </c>
      <c r="L22" s="55" t="str">
        <f t="shared" si="0"/>
        <v>2026-10</v>
      </c>
      <c r="M22" s="55" t="str">
        <f t="shared" si="1"/>
        <v>EMBU</v>
      </c>
      <c r="N22" s="55" t="str">
        <f>IF(A22="","",IFERROR(INDEX('Cluster Map'!$A$4:$A$38,MATCH(M22,'Cluster Map'!$B$4:$B$38,0)),"Unmapped"))</f>
        <v>Cluster 2</v>
      </c>
      <c r="O22" s="55">
        <f>IF(A22="",0,IF(COUNTIFS($A$2:A22,A22,$F$2:F22,F22,$L$2:L22,L22)=1,1,0))</f>
        <v>1</v>
      </c>
      <c r="P22" s="55">
        <f>IF(A22="",0,IF(AND(F22="C&amp;T",COUNTIFS($A$2:A22,A22,$F$2:F22,"C&amp;T")=1),1,0))</f>
        <v>0</v>
      </c>
    </row>
    <row r="23" spans="1:16" x14ac:dyDescent="0.35">
      <c r="A23" s="54">
        <f>IFERROR(IF(INDEX(SPOT_Import!$A$1:$Z$2488,23,'Live Data'!$C$12)="","",INDEX(SPOT_Import!$A$1:$Z$2488,23,'Live Data'!$C$12)),"")</f>
        <v>11059</v>
      </c>
      <c r="B23" s="54" t="str">
        <f>IFERROR(IF(INDEX(SPOT_Import!$A$1:$Z$2488,23,'Live Data'!$C$13)="","",INDEX(SPOT_Import!$A$1:$Z$2488,23,'Live Data'!$C$13)),"")</f>
        <v>St Mathews and Sarah Dispensary</v>
      </c>
      <c r="C23" s="54" t="str">
        <f>IFERROR(IF(INDEX(SPOT_Import!$A$1:$Z$2488,23,'Live Data'!$C$14)="","",INDEX(SPOT_Import!$A$1:$Z$2488,23,'Live Data'!$C$14)),"")</f>
        <v>NYANDARUA</v>
      </c>
      <c r="D23" s="54" t="str">
        <f>IFERROR(IF(INDEX(SPOT_Import!$A$1:$Z$2488,23,'Live Data'!$C$15)="","",INDEX(SPOT_Import!$A$1:$Z$2488,23,'Live Data'!$C$15)),"")</f>
        <v>Olkalou</v>
      </c>
      <c r="E23" s="54" t="str">
        <f>IFERROR(IF(INDEX(SPOT_Import!$A$1:$Z$2488,23,'Live Data'!$C$16)="","",INDEX(SPOT_Import!$A$1:$Z$2488,23,'Live Data'!$C$16)),"")</f>
        <v>USAID Jamii Tekelezi</v>
      </c>
      <c r="F23" s="54" t="str">
        <f>IFERROR(IF(INDEX(SPOT_Import!$A$1:$Z$2488,23,'Live Data'!$C$17)="","",INDEX(SPOT_Import!$A$1:$Z$2488,23,'Live Data'!$C$17)),"")</f>
        <v>C&amp;T</v>
      </c>
      <c r="G23" s="54">
        <f>IFERROR(IF(INDEX(SPOT_Import!$A$1:$Z$2488,23,'Live Data'!$C$18)="","",INDEX(SPOT_Import!$A$1:$Z$2488,23,'Live Data'!$C$18)),"")</f>
        <v>68</v>
      </c>
      <c r="H23" s="54">
        <f>IFERROR(IF(INDEX(SPOT_Import!$A$1:$Z$2488,23,'Live Data'!$C$19)="","",INDEX(SPOT_Import!$A$1:$Z$2488,23,'Live Data'!$C$19)),"")</f>
        <v>68</v>
      </c>
      <c r="I23" s="54" t="str">
        <f>IFERROR(IF(INDEX(SPOT_Import!$A$1:$Z$2488,23,'Live Data'!$C$20)="","",INDEX(SPOT_Import!$A$1:$Z$2488,23,'Live Data'!$C$20)),"")</f>
        <v>Complete</v>
      </c>
      <c r="J23" s="54" t="str">
        <f>IFERROR(IF(INDEX(SPOT_Import!$A$1:$Z$2488,23,'Live Data'!$C$21)="","",INDEX(SPOT_Import!$A$1:$Z$2488,23,'Live Data'!$C$21)),"")</f>
        <v>2026-10-13T18:55:09.000Z</v>
      </c>
      <c r="K23" s="54" t="str">
        <f>IFERROR(IF(INDEX(SPOT_Import!$A$1:$Z$2488,23,'Live Data'!$C$22)="","",INDEX(SPOT_Import!$A$1:$Z$2488,23,'Live Data'!$C$22)),"")</f>
        <v>2026-10-13T18:55:09.000Z</v>
      </c>
      <c r="L23" s="55" t="str">
        <f t="shared" si="0"/>
        <v>2026-10</v>
      </c>
      <c r="M23" s="55" t="str">
        <f t="shared" si="1"/>
        <v>NYANDARUA</v>
      </c>
      <c r="N23" s="55" t="str">
        <f>IF(A23="","",IFERROR(INDEX('Cluster Map'!$A$4:$A$38,MATCH(M23,'Cluster Map'!$B$4:$B$38,0)),"Unmapped"))</f>
        <v>Cluster 4</v>
      </c>
      <c r="O23" s="55">
        <f>IF(A23="",0,IF(COUNTIFS($A$2:A23,A23,$F$2:F23,F23,$L$2:L23,L23)=1,1,0))</f>
        <v>1</v>
      </c>
      <c r="P23" s="55">
        <f>IF(A23="",0,IF(AND(F23="C&amp;T",COUNTIFS($A$2:A23,A23,$F$2:F23,"C&amp;T")=1),1,0))</f>
        <v>1</v>
      </c>
    </row>
    <row r="24" spans="1:16" x14ac:dyDescent="0.35">
      <c r="A24" s="54">
        <f>IFERROR(IF(INDEX(SPOT_Import!$A$1:$Z$2488,24,'Live Data'!$C$12)="","",INDEX(SPOT_Import!$A$1:$Z$2488,24,'Live Data'!$C$12)),"")</f>
        <v>12790</v>
      </c>
      <c r="B24" s="54" t="str">
        <f>IFERROR(IF(INDEX(SPOT_Import!$A$1:$Z$2488,24,'Live Data'!$C$13)="","",INDEX(SPOT_Import!$A$1:$Z$2488,24,'Live Data'!$C$13)),"")</f>
        <v>Embu Children Hospital</v>
      </c>
      <c r="C24" s="54" t="str">
        <f>IFERROR(IF(INDEX(SPOT_Import!$A$1:$Z$2488,24,'Live Data'!$C$14)="","",INDEX(SPOT_Import!$A$1:$Z$2488,24,'Live Data'!$C$14)),"")</f>
        <v>EMBU</v>
      </c>
      <c r="D24" s="54" t="str">
        <f>IFERROR(IF(INDEX(SPOT_Import!$A$1:$Z$2488,24,'Live Data'!$C$15)="","",INDEX(SPOT_Import!$A$1:$Z$2488,24,'Live Data'!$C$15)),"")</f>
        <v>Manyatta</v>
      </c>
      <c r="E24" s="54" t="str">
        <f>IFERROR(IF(INDEX(SPOT_Import!$A$1:$Z$2488,24,'Live Data'!$C$16)="","",INDEX(SPOT_Import!$A$1:$Z$2488,24,'Live Data'!$C$16)),"")</f>
        <v>USAID Jamii Tekelezi</v>
      </c>
      <c r="F24" s="54" t="str">
        <f>IFERROR(IF(INDEX(SPOT_Import!$A$1:$Z$2488,24,'Live Data'!$C$17)="","",INDEX(SPOT_Import!$A$1:$Z$2488,24,'Live Data'!$C$17)),"")</f>
        <v>C&amp;T</v>
      </c>
      <c r="G24" s="54">
        <f>IFERROR(IF(INDEX(SPOT_Import!$A$1:$Z$2488,24,'Live Data'!$C$18)="","",INDEX(SPOT_Import!$A$1:$Z$2488,24,'Live Data'!$C$18)),"")</f>
        <v>396</v>
      </c>
      <c r="H24" s="54">
        <f>IFERROR(IF(INDEX(SPOT_Import!$A$1:$Z$2488,24,'Live Data'!$C$19)="","",INDEX(SPOT_Import!$A$1:$Z$2488,24,'Live Data'!$C$19)),"")</f>
        <v>396</v>
      </c>
      <c r="I24" s="54" t="str">
        <f>IFERROR(IF(INDEX(SPOT_Import!$A$1:$Z$2488,24,'Live Data'!$C$20)="","",INDEX(SPOT_Import!$A$1:$Z$2488,24,'Live Data'!$C$20)),"")</f>
        <v>Complete</v>
      </c>
      <c r="J24" s="54" t="str">
        <f>IFERROR(IF(INDEX(SPOT_Import!$A$1:$Z$2488,24,'Live Data'!$C$21)="","",INDEX(SPOT_Import!$A$1:$Z$2488,24,'Live Data'!$C$21)),"")</f>
        <v>2026-10-13T18:45:21.000Z</v>
      </c>
      <c r="K24" s="54" t="str">
        <f>IFERROR(IF(INDEX(SPOT_Import!$A$1:$Z$2488,24,'Live Data'!$C$22)="","",INDEX(SPOT_Import!$A$1:$Z$2488,24,'Live Data'!$C$22)),"")</f>
        <v>2026-10-13T18:45:21.000Z</v>
      </c>
      <c r="L24" s="55" t="str">
        <f t="shared" si="0"/>
        <v>2026-10</v>
      </c>
      <c r="M24" s="55" t="str">
        <f t="shared" si="1"/>
        <v>EMBU</v>
      </c>
      <c r="N24" s="55" t="str">
        <f>IF(A24="","",IFERROR(INDEX('Cluster Map'!$A$4:$A$38,MATCH(M24,'Cluster Map'!$B$4:$B$38,0)),"Unmapped"))</f>
        <v>Cluster 2</v>
      </c>
      <c r="O24" s="55">
        <f>IF(A24="",0,IF(COUNTIFS($A$2:A24,A24,$F$2:F24,F24,$L$2:L24,L24)=1,1,0))</f>
        <v>1</v>
      </c>
      <c r="P24" s="55">
        <f>IF(A24="",0,IF(AND(F24="C&amp;T",COUNTIFS($A$2:A24,A24,$F$2:F24,"C&amp;T")=1),1,0))</f>
        <v>1</v>
      </c>
    </row>
    <row r="25" spans="1:16" x14ac:dyDescent="0.35">
      <c r="A25" s="54">
        <f>IFERROR(IF(INDEX(SPOT_Import!$A$1:$Z$2488,25,'Live Data'!$C$12)="","",INDEX(SPOT_Import!$A$1:$Z$2488,25,'Live Data'!$C$12)),"")</f>
        <v>11942</v>
      </c>
      <c r="B25" s="54" t="str">
        <f>IFERROR(IF(INDEX(SPOT_Import!$A$1:$Z$2488,25,'Live Data'!$C$13)="","",INDEX(SPOT_Import!$A$1:$Z$2488,25,'Live Data'!$C$13)),"")</f>
        <v>Baragu Health Centre</v>
      </c>
      <c r="C25" s="54" t="str">
        <f>IFERROR(IF(INDEX(SPOT_Import!$A$1:$Z$2488,25,'Live Data'!$C$14)="","",INDEX(SPOT_Import!$A$1:$Z$2488,25,'Live Data'!$C$14)),"")</f>
        <v>THARAKA-NITHI</v>
      </c>
      <c r="D25" s="54" t="str">
        <f>IFERROR(IF(INDEX(SPOT_Import!$A$1:$Z$2488,25,'Live Data'!$C$15)="","",INDEX(SPOT_Import!$A$1:$Z$2488,25,'Live Data'!$C$15)),"")</f>
        <v>Mwimbi</v>
      </c>
      <c r="E25" s="54" t="str">
        <f>IFERROR(IF(INDEX(SPOT_Import!$A$1:$Z$2488,25,'Live Data'!$C$16)="","",INDEX(SPOT_Import!$A$1:$Z$2488,25,'Live Data'!$C$16)),"")</f>
        <v>USAID Jamii Tekelezi</v>
      </c>
      <c r="F25" s="54" t="str">
        <f>IFERROR(IF(INDEX(SPOT_Import!$A$1:$Z$2488,25,'Live Data'!$C$17)="","",INDEX(SPOT_Import!$A$1:$Z$2488,25,'Live Data'!$C$17)),"")</f>
        <v>C&amp;T</v>
      </c>
      <c r="G25" s="54">
        <f>IFERROR(IF(INDEX(SPOT_Import!$A$1:$Z$2488,25,'Live Data'!$C$18)="","",INDEX(SPOT_Import!$A$1:$Z$2488,25,'Live Data'!$C$18)),"")</f>
        <v>209</v>
      </c>
      <c r="H25" s="54">
        <f>IFERROR(IF(INDEX(SPOT_Import!$A$1:$Z$2488,25,'Live Data'!$C$19)="","",INDEX(SPOT_Import!$A$1:$Z$2488,25,'Live Data'!$C$19)),"")</f>
        <v>209</v>
      </c>
      <c r="I25" s="54" t="str">
        <f>IFERROR(IF(INDEX(SPOT_Import!$A$1:$Z$2488,25,'Live Data'!$C$20)="","",INDEX(SPOT_Import!$A$1:$Z$2488,25,'Live Data'!$C$20)),"")</f>
        <v>Complete</v>
      </c>
      <c r="J25" s="54" t="str">
        <f>IFERROR(IF(INDEX(SPOT_Import!$A$1:$Z$2488,25,'Live Data'!$C$21)="","",INDEX(SPOT_Import!$A$1:$Z$2488,25,'Live Data'!$C$21)),"")</f>
        <v>2026-10-13T09:56:58.000Z</v>
      </c>
      <c r="K25" s="54" t="str">
        <f>IFERROR(IF(INDEX(SPOT_Import!$A$1:$Z$2488,25,'Live Data'!$C$22)="","",INDEX(SPOT_Import!$A$1:$Z$2488,25,'Live Data'!$C$22)),"")</f>
        <v>2026-10-13T09:56:58.000Z</v>
      </c>
      <c r="L25" s="55" t="str">
        <f t="shared" si="0"/>
        <v>2026-10</v>
      </c>
      <c r="M25" s="55" t="str">
        <f t="shared" si="1"/>
        <v>THARAKA-NITHI</v>
      </c>
      <c r="N25" s="55" t="str">
        <f>IF(A25="","",IFERROR(INDEX('Cluster Map'!$A$4:$A$38,MATCH(M25,'Cluster Map'!$B$4:$B$38,0)),"Unmapped"))</f>
        <v>Cluster 2</v>
      </c>
      <c r="O25" s="55">
        <f>IF(A25="",0,IF(COUNTIFS($A$2:A25,A25,$F$2:F25,F25,$L$2:L25,L25)=1,1,0))</f>
        <v>1</v>
      </c>
      <c r="P25" s="55">
        <f>IF(A25="",0,IF(AND(F25="C&amp;T",COUNTIFS($A$2:A25,A25,$F$2:F25,"C&amp;T")=1),1,0))</f>
        <v>1</v>
      </c>
    </row>
    <row r="26" spans="1:16" x14ac:dyDescent="0.35">
      <c r="A26" s="54">
        <f>IFERROR(IF(INDEX(SPOT_Import!$A$1:$Z$2488,26,'Live Data'!$C$12)="","",INDEX(SPOT_Import!$A$1:$Z$2488,26,'Live Data'!$C$12)),"")</f>
        <v>18782</v>
      </c>
      <c r="B26" s="54" t="str">
        <f>IFERROR(IF(INDEX(SPOT_Import!$A$1:$Z$2488,26,'Live Data'!$C$13)="","",INDEX(SPOT_Import!$A$1:$Z$2488,26,'Live Data'!$C$13)),"")</f>
        <v>Chamuka (CDF) Dispensary</v>
      </c>
      <c r="C26" s="54" t="str">
        <f>IFERROR(IF(INDEX(SPOT_Import!$A$1:$Z$2488,26,'Live Data'!$C$14)="","",INDEX(SPOT_Import!$A$1:$Z$2488,26,'Live Data'!$C$14)),"")</f>
        <v>NYANDARUA</v>
      </c>
      <c r="D26" s="54" t="str">
        <f>IFERROR(IF(INDEX(SPOT_Import!$A$1:$Z$2488,26,'Live Data'!$C$15)="","",INDEX(SPOT_Import!$A$1:$Z$2488,26,'Live Data'!$C$15)),"")</f>
        <v>Oljororok</v>
      </c>
      <c r="E26" s="54" t="str">
        <f>IFERROR(IF(INDEX(SPOT_Import!$A$1:$Z$2488,26,'Live Data'!$C$16)="","",INDEX(SPOT_Import!$A$1:$Z$2488,26,'Live Data'!$C$16)),"")</f>
        <v>USAID Jamii Tekelezi</v>
      </c>
      <c r="F26" s="54" t="str">
        <f>IFERROR(IF(INDEX(SPOT_Import!$A$1:$Z$2488,26,'Live Data'!$C$17)="","",INDEX(SPOT_Import!$A$1:$Z$2488,26,'Live Data'!$C$17)),"")</f>
        <v>C&amp;T</v>
      </c>
      <c r="G26" s="54">
        <f>IFERROR(IF(INDEX(SPOT_Import!$A$1:$Z$2488,26,'Live Data'!$C$18)="","",INDEX(SPOT_Import!$A$1:$Z$2488,26,'Live Data'!$C$18)),"")</f>
        <v>270</v>
      </c>
      <c r="H26" s="54">
        <f>IFERROR(IF(INDEX(SPOT_Import!$A$1:$Z$2488,26,'Live Data'!$C$19)="","",INDEX(SPOT_Import!$A$1:$Z$2488,26,'Live Data'!$C$19)),"")</f>
        <v>270</v>
      </c>
      <c r="I26" s="54" t="str">
        <f>IFERROR(IF(INDEX(SPOT_Import!$A$1:$Z$2488,26,'Live Data'!$C$20)="","",INDEX(SPOT_Import!$A$1:$Z$2488,26,'Live Data'!$C$20)),"")</f>
        <v>Complete</v>
      </c>
      <c r="J26" s="54" t="str">
        <f>IFERROR(IF(INDEX(SPOT_Import!$A$1:$Z$2488,26,'Live Data'!$C$21)="","",INDEX(SPOT_Import!$A$1:$Z$2488,26,'Live Data'!$C$21)),"")</f>
        <v>2026-10-13T08:09:07.000Z</v>
      </c>
      <c r="K26" s="54" t="str">
        <f>IFERROR(IF(INDEX(SPOT_Import!$A$1:$Z$2488,26,'Live Data'!$C$22)="","",INDEX(SPOT_Import!$A$1:$Z$2488,26,'Live Data'!$C$22)),"")</f>
        <v>2026-10-13T08:09:07.000Z</v>
      </c>
      <c r="L26" s="55" t="str">
        <f t="shared" si="0"/>
        <v>2026-10</v>
      </c>
      <c r="M26" s="55" t="str">
        <f t="shared" si="1"/>
        <v>NYANDARUA</v>
      </c>
      <c r="N26" s="55" t="str">
        <f>IF(A26="","",IFERROR(INDEX('Cluster Map'!$A$4:$A$38,MATCH(M26,'Cluster Map'!$B$4:$B$38,0)),"Unmapped"))</f>
        <v>Cluster 4</v>
      </c>
      <c r="O26" s="55">
        <f>IF(A26="",0,IF(COUNTIFS($A$2:A26,A26,$F$2:F26,F26,$L$2:L26,L26)=1,1,0))</f>
        <v>1</v>
      </c>
      <c r="P26" s="55">
        <f>IF(A26="",0,IF(AND(F26="C&amp;T",COUNTIFS($A$2:A26,A26,$F$2:F26,"C&amp;T")=1),1,0))</f>
        <v>1</v>
      </c>
    </row>
    <row r="27" spans="1:16" x14ac:dyDescent="0.35">
      <c r="A27" s="54">
        <f>IFERROR(IF(INDEX(SPOT_Import!$A$1:$Z$2488,27,'Live Data'!$C$12)="","",INDEX(SPOT_Import!$A$1:$Z$2488,27,'Live Data'!$C$12)),"")</f>
        <v>11973</v>
      </c>
      <c r="B27" s="54" t="str">
        <f>IFERROR(IF(INDEX(SPOT_Import!$A$1:$Z$2488,27,'Live Data'!$C$13)="","",INDEX(SPOT_Import!$A$1:$Z$2488,27,'Live Data'!$C$13)),"")</f>
        <v>Chuka County Refferal Hospital</v>
      </c>
      <c r="C27" s="54" t="str">
        <f>IFERROR(IF(INDEX(SPOT_Import!$A$1:$Z$2488,27,'Live Data'!$C$14)="","",INDEX(SPOT_Import!$A$1:$Z$2488,27,'Live Data'!$C$14)),"")</f>
        <v>THARAKA-NITHI</v>
      </c>
      <c r="D27" s="54" t="str">
        <f>IFERROR(IF(INDEX(SPOT_Import!$A$1:$Z$2488,27,'Live Data'!$C$15)="","",INDEX(SPOT_Import!$A$1:$Z$2488,27,'Live Data'!$C$15)),"")</f>
        <v>Chuka</v>
      </c>
      <c r="E27" s="54" t="str">
        <f>IFERROR(IF(INDEX(SPOT_Import!$A$1:$Z$2488,27,'Live Data'!$C$16)="","",INDEX(SPOT_Import!$A$1:$Z$2488,27,'Live Data'!$C$16)),"")</f>
        <v>USAID Jamii Tekelezi</v>
      </c>
      <c r="F27" s="54" t="str">
        <f>IFERROR(IF(INDEX(SPOT_Import!$A$1:$Z$2488,27,'Live Data'!$C$17)="","",INDEX(SPOT_Import!$A$1:$Z$2488,27,'Live Data'!$C$17)),"")</f>
        <v>PREP</v>
      </c>
      <c r="G27" s="54">
        <f>IFERROR(IF(INDEX(SPOT_Import!$A$1:$Z$2488,27,'Live Data'!$C$18)="","",INDEX(SPOT_Import!$A$1:$Z$2488,27,'Live Data'!$C$18)),"")</f>
        <v>1379</v>
      </c>
      <c r="H27" s="54" t="str">
        <f>IFERROR(IF(INDEX(SPOT_Import!$A$1:$Z$2488,27,'Live Data'!$C$19)="","",INDEX(SPOT_Import!$A$1:$Z$2488,27,'Live Data'!$C$19)),"")</f>
        <v/>
      </c>
      <c r="I27" s="54" t="str">
        <f>IFERROR(IF(INDEX(SPOT_Import!$A$1:$Z$2488,27,'Live Data'!$C$20)="","",INDEX(SPOT_Import!$A$1:$Z$2488,27,'Live Data'!$C$20)),"")</f>
        <v>Incomplete</v>
      </c>
      <c r="J27" s="54" t="str">
        <f>IFERROR(IF(INDEX(SPOT_Import!$A$1:$Z$2488,27,'Live Data'!$C$21)="","",INDEX(SPOT_Import!$A$1:$Z$2488,27,'Live Data'!$C$21)),"")</f>
        <v>2026-10-13T07:35:23.000Z</v>
      </c>
      <c r="K27" s="54" t="str">
        <f>IFERROR(IF(INDEX(SPOT_Import!$A$1:$Z$2488,27,'Live Data'!$C$22)="","",INDEX(SPOT_Import!$A$1:$Z$2488,27,'Live Data'!$C$22)),"")</f>
        <v>2026-10-13T07:35:23.000Z</v>
      </c>
      <c r="L27" s="55" t="str">
        <f t="shared" si="0"/>
        <v>2026-10</v>
      </c>
      <c r="M27" s="55" t="str">
        <f t="shared" si="1"/>
        <v>THARAKA-NITHI</v>
      </c>
      <c r="N27" s="55" t="str">
        <f>IF(A27="","",IFERROR(INDEX('Cluster Map'!$A$4:$A$38,MATCH(M27,'Cluster Map'!$B$4:$B$38,0)),"Unmapped"))</f>
        <v>Cluster 2</v>
      </c>
      <c r="O27" s="55">
        <f>IF(A27="",0,IF(COUNTIFS($A$2:A27,A27,$F$2:F27,F27,$L$2:L27,L27)=1,1,0))</f>
        <v>1</v>
      </c>
      <c r="P27" s="55">
        <f>IF(A27="",0,IF(AND(F27="C&amp;T",COUNTIFS($A$2:A27,A27,$F$2:F27,"C&amp;T")=1),1,0))</f>
        <v>0</v>
      </c>
    </row>
    <row r="28" spans="1:16" x14ac:dyDescent="0.35">
      <c r="A28" s="54">
        <f>IFERROR(IF(INDEX(SPOT_Import!$A$1:$Z$2488,28,'Live Data'!$C$12)="","",INDEX(SPOT_Import!$A$1:$Z$2488,28,'Live Data'!$C$12)),"")</f>
        <v>12174</v>
      </c>
      <c r="B28" s="54" t="str">
        <f>IFERROR(IF(INDEX(SPOT_Import!$A$1:$Z$2488,28,'Live Data'!$C$13)="","",INDEX(SPOT_Import!$A$1:$Z$2488,28,'Live Data'!$C$13)),"")</f>
        <v>Kangeta Health Centre</v>
      </c>
      <c r="C28" s="54" t="str">
        <f>IFERROR(IF(INDEX(SPOT_Import!$A$1:$Z$2488,28,'Live Data'!$C$14)="","",INDEX(SPOT_Import!$A$1:$Z$2488,28,'Live Data'!$C$14)),"")</f>
        <v>MERU</v>
      </c>
      <c r="D28" s="54" t="str">
        <f>IFERROR(IF(INDEX(SPOT_Import!$A$1:$Z$2488,28,'Live Data'!$C$15)="","",INDEX(SPOT_Import!$A$1:$Z$2488,28,'Live Data'!$C$15)),"")</f>
        <v>Igembe Central</v>
      </c>
      <c r="E28" s="54" t="str">
        <f>IFERROR(IF(INDEX(SPOT_Import!$A$1:$Z$2488,28,'Live Data'!$C$16)="","",INDEX(SPOT_Import!$A$1:$Z$2488,28,'Live Data'!$C$16)),"")</f>
        <v>USAID Jamii Tekelezi</v>
      </c>
      <c r="F28" s="54" t="str">
        <f>IFERROR(IF(INDEX(SPOT_Import!$A$1:$Z$2488,28,'Live Data'!$C$17)="","",INDEX(SPOT_Import!$A$1:$Z$2488,28,'Live Data'!$C$17)),"")</f>
        <v>C&amp;T</v>
      </c>
      <c r="G28" s="54">
        <f>IFERROR(IF(INDEX(SPOT_Import!$A$1:$Z$2488,28,'Live Data'!$C$18)="","",INDEX(SPOT_Import!$A$1:$Z$2488,28,'Live Data'!$C$18)),"")</f>
        <v>917</v>
      </c>
      <c r="H28" s="54">
        <f>IFERROR(IF(INDEX(SPOT_Import!$A$1:$Z$2488,28,'Live Data'!$C$19)="","",INDEX(SPOT_Import!$A$1:$Z$2488,28,'Live Data'!$C$19)),"")</f>
        <v>917</v>
      </c>
      <c r="I28" s="54" t="str">
        <f>IFERROR(IF(INDEX(SPOT_Import!$A$1:$Z$2488,28,'Live Data'!$C$20)="","",INDEX(SPOT_Import!$A$1:$Z$2488,28,'Live Data'!$C$20)),"")</f>
        <v>Complete</v>
      </c>
      <c r="J28" s="54" t="str">
        <f>IFERROR(IF(INDEX(SPOT_Import!$A$1:$Z$2488,28,'Live Data'!$C$21)="","",INDEX(SPOT_Import!$A$1:$Z$2488,28,'Live Data'!$C$21)),"")</f>
        <v>2026-10-13T07:01:40.000Z</v>
      </c>
      <c r="K28" s="54" t="str">
        <f>IFERROR(IF(INDEX(SPOT_Import!$A$1:$Z$2488,28,'Live Data'!$C$22)="","",INDEX(SPOT_Import!$A$1:$Z$2488,28,'Live Data'!$C$22)),"")</f>
        <v>2026-10-13T07:01:40.000Z</v>
      </c>
      <c r="L28" s="55" t="str">
        <f t="shared" si="0"/>
        <v>2026-10</v>
      </c>
      <c r="M28" s="55" t="str">
        <f t="shared" si="1"/>
        <v>MERU</v>
      </c>
      <c r="N28" s="55" t="str">
        <f>IF(A28="","",IFERROR(INDEX('Cluster Map'!$A$4:$A$38,MATCH(M28,'Cluster Map'!$B$4:$B$38,0)),"Unmapped"))</f>
        <v>Cluster 1</v>
      </c>
      <c r="O28" s="55">
        <f>IF(A28="",0,IF(COUNTIFS($A$2:A28,A28,$F$2:F28,F28,$L$2:L28,L28)=1,1,0))</f>
        <v>1</v>
      </c>
      <c r="P28" s="55">
        <f>IF(A28="",0,IF(AND(F28="C&amp;T",COUNTIFS($A$2:A28,A28,$F$2:F28,"C&amp;T")=1),1,0))</f>
        <v>1</v>
      </c>
    </row>
    <row r="29" spans="1:16" x14ac:dyDescent="0.35">
      <c r="A29" s="54">
        <f>IFERROR(IF(INDEX(SPOT_Import!$A$1:$Z$2488,29,'Live Data'!$C$12)="","",INDEX(SPOT_Import!$A$1:$Z$2488,29,'Live Data'!$C$12)),"")</f>
        <v>11973</v>
      </c>
      <c r="B29" s="54" t="str">
        <f>IFERROR(IF(INDEX(SPOT_Import!$A$1:$Z$2488,29,'Live Data'!$C$13)="","",INDEX(SPOT_Import!$A$1:$Z$2488,29,'Live Data'!$C$13)),"")</f>
        <v>Chuka District Hospital</v>
      </c>
      <c r="C29" s="54" t="str">
        <f>IFERROR(IF(INDEX(SPOT_Import!$A$1:$Z$2488,29,'Live Data'!$C$14)="","",INDEX(SPOT_Import!$A$1:$Z$2488,29,'Live Data'!$C$14)),"")</f>
        <v>THARAKA-NITHI</v>
      </c>
      <c r="D29" s="54" t="str">
        <f>IFERROR(IF(INDEX(SPOT_Import!$A$1:$Z$2488,29,'Live Data'!$C$15)="","",INDEX(SPOT_Import!$A$1:$Z$2488,29,'Live Data'!$C$15)),"")</f>
        <v>Chuka</v>
      </c>
      <c r="E29" s="54" t="str">
        <f>IFERROR(IF(INDEX(SPOT_Import!$A$1:$Z$2488,29,'Live Data'!$C$16)="","",INDEX(SPOT_Import!$A$1:$Z$2488,29,'Live Data'!$C$16)),"")</f>
        <v>USAID Jamii Tekelezi</v>
      </c>
      <c r="F29" s="54" t="str">
        <f>IFERROR(IF(INDEX(SPOT_Import!$A$1:$Z$2488,29,'Live Data'!$C$17)="","",INDEX(SPOT_Import!$A$1:$Z$2488,29,'Live Data'!$C$17)),"")</f>
        <v>C&amp;T</v>
      </c>
      <c r="G29" s="54">
        <f>IFERROR(IF(INDEX(SPOT_Import!$A$1:$Z$2488,29,'Live Data'!$C$18)="","",INDEX(SPOT_Import!$A$1:$Z$2488,29,'Live Data'!$C$18)),"")</f>
        <v>3530</v>
      </c>
      <c r="H29" s="54">
        <f>IFERROR(IF(INDEX(SPOT_Import!$A$1:$Z$2488,29,'Live Data'!$C$19)="","",INDEX(SPOT_Import!$A$1:$Z$2488,29,'Live Data'!$C$19)),"")</f>
        <v>3530</v>
      </c>
      <c r="I29" s="54" t="str">
        <f>IFERROR(IF(INDEX(SPOT_Import!$A$1:$Z$2488,29,'Live Data'!$C$20)="","",INDEX(SPOT_Import!$A$1:$Z$2488,29,'Live Data'!$C$20)),"")</f>
        <v>Complete</v>
      </c>
      <c r="J29" s="54" t="str">
        <f>IFERROR(IF(INDEX(SPOT_Import!$A$1:$Z$2488,29,'Live Data'!$C$21)="","",INDEX(SPOT_Import!$A$1:$Z$2488,29,'Live Data'!$C$21)),"")</f>
        <v>2026-10-13T06:54:49.000Z</v>
      </c>
      <c r="K29" s="54" t="str">
        <f>IFERROR(IF(INDEX(SPOT_Import!$A$1:$Z$2488,29,'Live Data'!$C$22)="","",INDEX(SPOT_Import!$A$1:$Z$2488,29,'Live Data'!$C$22)),"")</f>
        <v>2026-10-13T06:54:49.000Z</v>
      </c>
      <c r="L29" s="55" t="str">
        <f t="shared" si="0"/>
        <v>2026-10</v>
      </c>
      <c r="M29" s="55" t="str">
        <f t="shared" si="1"/>
        <v>THARAKA-NITHI</v>
      </c>
      <c r="N29" s="55" t="str">
        <f>IF(A29="","",IFERROR(INDEX('Cluster Map'!$A$4:$A$38,MATCH(M29,'Cluster Map'!$B$4:$B$38,0)),"Unmapped"))</f>
        <v>Cluster 2</v>
      </c>
      <c r="O29" s="55">
        <f>IF(A29="",0,IF(COUNTIFS($A$2:A29,A29,$F$2:F29,F29,$L$2:L29,L29)=1,1,0))</f>
        <v>1</v>
      </c>
      <c r="P29" s="55">
        <f>IF(A29="",0,IF(AND(F29="C&amp;T",COUNTIFS($A$2:A29,A29,$F$2:F29,"C&amp;T")=1),1,0))</f>
        <v>1</v>
      </c>
    </row>
    <row r="30" spans="1:16" x14ac:dyDescent="0.35">
      <c r="A30" s="54">
        <f>IFERROR(IF(INDEX(SPOT_Import!$A$1:$Z$2488,30,'Live Data'!$C$12)="","",INDEX(SPOT_Import!$A$1:$Z$2488,30,'Live Data'!$C$12)),"")</f>
        <v>12516</v>
      </c>
      <c r="B30" s="54" t="str">
        <f>IFERROR(IF(INDEX(SPOT_Import!$A$1:$Z$2488,30,'Live Data'!$C$13)="","",INDEX(SPOT_Import!$A$1:$Z$2488,30,'Live Data'!$C$13)),"")</f>
        <v>Meru District hospital</v>
      </c>
      <c r="C30" s="54" t="str">
        <f>IFERROR(IF(INDEX(SPOT_Import!$A$1:$Z$2488,30,'Live Data'!$C$14)="","",INDEX(SPOT_Import!$A$1:$Z$2488,30,'Live Data'!$C$14)),"")</f>
        <v>MERU</v>
      </c>
      <c r="D30" s="54" t="str">
        <f>IFERROR(IF(INDEX(SPOT_Import!$A$1:$Z$2488,30,'Live Data'!$C$15)="","",INDEX(SPOT_Import!$A$1:$Z$2488,30,'Live Data'!$C$15)),"")</f>
        <v>Imenti North</v>
      </c>
      <c r="E30" s="54" t="str">
        <f>IFERROR(IF(INDEX(SPOT_Import!$A$1:$Z$2488,30,'Live Data'!$C$16)="","",INDEX(SPOT_Import!$A$1:$Z$2488,30,'Live Data'!$C$16)),"")</f>
        <v>USAID Jamii Tekelezi</v>
      </c>
      <c r="F30" s="54" t="str">
        <f>IFERROR(IF(INDEX(SPOT_Import!$A$1:$Z$2488,30,'Live Data'!$C$17)="","",INDEX(SPOT_Import!$A$1:$Z$2488,30,'Live Data'!$C$17)),"")</f>
        <v>C&amp;T</v>
      </c>
      <c r="G30" s="54">
        <f>IFERROR(IF(INDEX(SPOT_Import!$A$1:$Z$2488,30,'Live Data'!$C$18)="","",INDEX(SPOT_Import!$A$1:$Z$2488,30,'Live Data'!$C$18)),"")</f>
        <v>10443</v>
      </c>
      <c r="H30" s="54" t="str">
        <f>IFERROR(IF(INDEX(SPOT_Import!$A$1:$Z$2488,30,'Live Data'!$C$19)="","",INDEX(SPOT_Import!$A$1:$Z$2488,30,'Live Data'!$C$19)),"")</f>
        <v/>
      </c>
      <c r="I30" s="54" t="str">
        <f>IFERROR(IF(INDEX(SPOT_Import!$A$1:$Z$2488,30,'Live Data'!$C$20)="","",INDEX(SPOT_Import!$A$1:$Z$2488,30,'Live Data'!$C$20)),"")</f>
        <v>Incomplete</v>
      </c>
      <c r="J30" s="54" t="str">
        <f>IFERROR(IF(INDEX(SPOT_Import!$A$1:$Z$2488,30,'Live Data'!$C$21)="","",INDEX(SPOT_Import!$A$1:$Z$2488,30,'Live Data'!$C$21)),"")</f>
        <v>2026-10-12T17:55:43.000Z</v>
      </c>
      <c r="K30" s="54" t="str">
        <f>IFERROR(IF(INDEX(SPOT_Import!$A$1:$Z$2488,30,'Live Data'!$C$22)="","",INDEX(SPOT_Import!$A$1:$Z$2488,30,'Live Data'!$C$22)),"")</f>
        <v>2026-10-12T17:55:43.000Z</v>
      </c>
      <c r="L30" s="55" t="str">
        <f t="shared" si="0"/>
        <v>2026-10</v>
      </c>
      <c r="M30" s="55" t="str">
        <f t="shared" si="1"/>
        <v>MERU</v>
      </c>
      <c r="N30" s="55" t="str">
        <f>IF(A30="","",IFERROR(INDEX('Cluster Map'!$A$4:$A$38,MATCH(M30,'Cluster Map'!$B$4:$B$38,0)),"Unmapped"))</f>
        <v>Cluster 1</v>
      </c>
      <c r="O30" s="55">
        <f>IF(A30="",0,IF(COUNTIFS($A$2:A30,A30,$F$2:F30,F30,$L$2:L30,L30)=1,1,0))</f>
        <v>1</v>
      </c>
      <c r="P30" s="55">
        <f>IF(A30="",0,IF(AND(F30="C&amp;T",COUNTIFS($A$2:A30,A30,$F$2:F30,"C&amp;T")=1),1,0))</f>
        <v>1</v>
      </c>
    </row>
    <row r="31" spans="1:16" x14ac:dyDescent="0.35">
      <c r="A31" s="54">
        <f>IFERROR(IF(INDEX(SPOT_Import!$A$1:$Z$2488,31,'Live Data'!$C$12)="","",INDEX(SPOT_Import!$A$1:$Z$2488,31,'Live Data'!$C$12)),"")</f>
        <v>12391</v>
      </c>
      <c r="B31" s="54" t="str">
        <f>IFERROR(IF(INDEX(SPOT_Import!$A$1:$Z$2488,31,'Live Data'!$C$13)="","",INDEX(SPOT_Import!$A$1:$Z$2488,31,'Live Data'!$C$13)),"")</f>
        <v>Kunene Dispensary</v>
      </c>
      <c r="C31" s="54" t="str">
        <f>IFERROR(IF(INDEX(SPOT_Import!$A$1:$Z$2488,31,'Live Data'!$C$14)="","",INDEX(SPOT_Import!$A$1:$Z$2488,31,'Live Data'!$C$14)),"")</f>
        <v>MERU</v>
      </c>
      <c r="D31" s="54" t="str">
        <f>IFERROR(IF(INDEX(SPOT_Import!$A$1:$Z$2488,31,'Live Data'!$C$15)="","",INDEX(SPOT_Import!$A$1:$Z$2488,31,'Live Data'!$C$15)),"")</f>
        <v>Tigania West</v>
      </c>
      <c r="E31" s="54" t="str">
        <f>IFERROR(IF(INDEX(SPOT_Import!$A$1:$Z$2488,31,'Live Data'!$C$16)="","",INDEX(SPOT_Import!$A$1:$Z$2488,31,'Live Data'!$C$16)),"")</f>
        <v>USAID Jamii Tekelezi</v>
      </c>
      <c r="F31" s="54" t="str">
        <f>IFERROR(IF(INDEX(SPOT_Import!$A$1:$Z$2488,31,'Live Data'!$C$17)="","",INDEX(SPOT_Import!$A$1:$Z$2488,31,'Live Data'!$C$17)),"")</f>
        <v>C&amp;T</v>
      </c>
      <c r="G31" s="54">
        <f>IFERROR(IF(INDEX(SPOT_Import!$A$1:$Z$2488,31,'Live Data'!$C$18)="","",INDEX(SPOT_Import!$A$1:$Z$2488,31,'Live Data'!$C$18)),"")</f>
        <v>3</v>
      </c>
      <c r="H31" s="54">
        <f>IFERROR(IF(INDEX(SPOT_Import!$A$1:$Z$2488,31,'Live Data'!$C$19)="","",INDEX(SPOT_Import!$A$1:$Z$2488,31,'Live Data'!$C$19)),"")</f>
        <v>3</v>
      </c>
      <c r="I31" s="54" t="str">
        <f>IFERROR(IF(INDEX(SPOT_Import!$A$1:$Z$2488,31,'Live Data'!$C$20)="","",INDEX(SPOT_Import!$A$1:$Z$2488,31,'Live Data'!$C$20)),"")</f>
        <v>Complete</v>
      </c>
      <c r="J31" s="54" t="str">
        <f>IFERROR(IF(INDEX(SPOT_Import!$A$1:$Z$2488,31,'Live Data'!$C$21)="","",INDEX(SPOT_Import!$A$1:$Z$2488,31,'Live Data'!$C$21)),"")</f>
        <v>2026-10-12T17:15:14.000Z</v>
      </c>
      <c r="K31" s="54" t="str">
        <f>IFERROR(IF(INDEX(SPOT_Import!$A$1:$Z$2488,31,'Live Data'!$C$22)="","",INDEX(SPOT_Import!$A$1:$Z$2488,31,'Live Data'!$C$22)),"")</f>
        <v>2026-10-12T17:15:14.000Z</v>
      </c>
      <c r="L31" s="55" t="str">
        <f t="shared" si="0"/>
        <v>2026-10</v>
      </c>
      <c r="M31" s="55" t="str">
        <f t="shared" si="1"/>
        <v>MERU</v>
      </c>
      <c r="N31" s="55" t="str">
        <f>IF(A31="","",IFERROR(INDEX('Cluster Map'!$A$4:$A$38,MATCH(M31,'Cluster Map'!$B$4:$B$38,0)),"Unmapped"))</f>
        <v>Cluster 1</v>
      </c>
      <c r="O31" s="55">
        <f>IF(A31="",0,IF(COUNTIFS($A$2:A31,A31,$F$2:F31,F31,$L$2:L31,L31)=1,1,0))</f>
        <v>1</v>
      </c>
      <c r="P31" s="55">
        <f>IF(A31="",0,IF(AND(F31="C&amp;T",COUNTIFS($A$2:A31,A31,$F$2:F31,"C&amp;T")=1),1,0))</f>
        <v>1</v>
      </c>
    </row>
    <row r="32" spans="1:16" x14ac:dyDescent="0.35">
      <c r="A32" s="54">
        <f>IFERROR(IF(INDEX(SPOT_Import!$A$1:$Z$2488,32,'Live Data'!$C$12)="","",INDEX(SPOT_Import!$A$1:$Z$2488,32,'Live Data'!$C$12)),"")</f>
        <v>12303</v>
      </c>
      <c r="B32" s="54" t="str">
        <f>IFERROR(IF(INDEX(SPOT_Import!$A$1:$Z$2488,32,'Live Data'!$C$13)="","",INDEX(SPOT_Import!$A$1:$Z$2488,32,'Live Data'!$C$13)),"")</f>
        <v>St Theresa Hospital (Kiirua)</v>
      </c>
      <c r="C32" s="54" t="str">
        <f>IFERROR(IF(INDEX(SPOT_Import!$A$1:$Z$2488,32,'Live Data'!$C$14)="","",INDEX(SPOT_Import!$A$1:$Z$2488,32,'Live Data'!$C$14)),"")</f>
        <v>MERU</v>
      </c>
      <c r="D32" s="54" t="str">
        <f>IFERROR(IF(INDEX(SPOT_Import!$A$1:$Z$2488,32,'Live Data'!$C$15)="","",INDEX(SPOT_Import!$A$1:$Z$2488,32,'Live Data'!$C$15)),"")</f>
        <v>Buuri</v>
      </c>
      <c r="E32" s="54" t="str">
        <f>IFERROR(IF(INDEX(SPOT_Import!$A$1:$Z$2488,32,'Live Data'!$C$16)="","",INDEX(SPOT_Import!$A$1:$Z$2488,32,'Live Data'!$C$16)),"")</f>
        <v>USAID Jamii Tekelezi</v>
      </c>
      <c r="F32" s="54" t="str">
        <f>IFERROR(IF(INDEX(SPOT_Import!$A$1:$Z$2488,32,'Live Data'!$C$17)="","",INDEX(SPOT_Import!$A$1:$Z$2488,32,'Live Data'!$C$17)),"")</f>
        <v>PREP</v>
      </c>
      <c r="G32" s="54">
        <f>IFERROR(IF(INDEX(SPOT_Import!$A$1:$Z$2488,32,'Live Data'!$C$18)="","",INDEX(SPOT_Import!$A$1:$Z$2488,32,'Live Data'!$C$18)),"")</f>
        <v>24</v>
      </c>
      <c r="H32" s="54">
        <f>IFERROR(IF(INDEX(SPOT_Import!$A$1:$Z$2488,32,'Live Data'!$C$19)="","",INDEX(SPOT_Import!$A$1:$Z$2488,32,'Live Data'!$C$19)),"")</f>
        <v>24</v>
      </c>
      <c r="I32" s="54" t="str">
        <f>IFERROR(IF(INDEX(SPOT_Import!$A$1:$Z$2488,32,'Live Data'!$C$20)="","",INDEX(SPOT_Import!$A$1:$Z$2488,32,'Live Data'!$C$20)),"")</f>
        <v>Complete</v>
      </c>
      <c r="J32" s="54" t="str">
        <f>IFERROR(IF(INDEX(SPOT_Import!$A$1:$Z$2488,32,'Live Data'!$C$21)="","",INDEX(SPOT_Import!$A$1:$Z$2488,32,'Live Data'!$C$21)),"")</f>
        <v>2026-10-12T13:02:21.000Z</v>
      </c>
      <c r="K32" s="54" t="str">
        <f>IFERROR(IF(INDEX(SPOT_Import!$A$1:$Z$2488,32,'Live Data'!$C$22)="","",INDEX(SPOT_Import!$A$1:$Z$2488,32,'Live Data'!$C$22)),"")</f>
        <v>2026-10-12T13:02:21.000Z</v>
      </c>
      <c r="L32" s="55" t="str">
        <f t="shared" si="0"/>
        <v>2026-10</v>
      </c>
      <c r="M32" s="55" t="str">
        <f t="shared" si="1"/>
        <v>MERU</v>
      </c>
      <c r="N32" s="55" t="str">
        <f>IF(A32="","",IFERROR(INDEX('Cluster Map'!$A$4:$A$38,MATCH(M32,'Cluster Map'!$B$4:$B$38,0)),"Unmapped"))</f>
        <v>Cluster 1</v>
      </c>
      <c r="O32" s="55">
        <f>IF(A32="",0,IF(COUNTIFS($A$2:A32,A32,$F$2:F32,F32,$L$2:L32,L32)=1,1,0))</f>
        <v>1</v>
      </c>
      <c r="P32" s="55">
        <f>IF(A32="",0,IF(AND(F32="C&amp;T",COUNTIFS($A$2:A32,A32,$F$2:F32,"C&amp;T")=1),1,0))</f>
        <v>0</v>
      </c>
    </row>
    <row r="33" spans="1:16" x14ac:dyDescent="0.35">
      <c r="A33" s="54">
        <f>IFERROR(IF(INDEX(SPOT_Import!$A$1:$Z$2488,33,'Live Data'!$C$12)="","",INDEX(SPOT_Import!$A$1:$Z$2488,33,'Live Data'!$C$12)),"")</f>
        <v>12303</v>
      </c>
      <c r="B33" s="54" t="str">
        <f>IFERROR(IF(INDEX(SPOT_Import!$A$1:$Z$2488,33,'Live Data'!$C$13)="","",INDEX(SPOT_Import!$A$1:$Z$2488,33,'Live Data'!$C$13)),"")</f>
        <v>St Theresa Hospital (Kiirua)</v>
      </c>
      <c r="C33" s="54" t="str">
        <f>IFERROR(IF(INDEX(SPOT_Import!$A$1:$Z$2488,33,'Live Data'!$C$14)="","",INDEX(SPOT_Import!$A$1:$Z$2488,33,'Live Data'!$C$14)),"")</f>
        <v>MERU</v>
      </c>
      <c r="D33" s="54" t="str">
        <f>IFERROR(IF(INDEX(SPOT_Import!$A$1:$Z$2488,33,'Live Data'!$C$15)="","",INDEX(SPOT_Import!$A$1:$Z$2488,33,'Live Data'!$C$15)),"")</f>
        <v>Buuri</v>
      </c>
      <c r="E33" s="54" t="str">
        <f>IFERROR(IF(INDEX(SPOT_Import!$A$1:$Z$2488,33,'Live Data'!$C$16)="","",INDEX(SPOT_Import!$A$1:$Z$2488,33,'Live Data'!$C$16)),"")</f>
        <v>USAID Jamii Tekelezi</v>
      </c>
      <c r="F33" s="54" t="str">
        <f>IFERROR(IF(INDEX(SPOT_Import!$A$1:$Z$2488,33,'Live Data'!$C$17)="","",INDEX(SPOT_Import!$A$1:$Z$2488,33,'Live Data'!$C$17)),"")</f>
        <v>MNCH</v>
      </c>
      <c r="G33" s="54">
        <f>IFERROR(IF(INDEX(SPOT_Import!$A$1:$Z$2488,33,'Live Data'!$C$18)="","",INDEX(SPOT_Import!$A$1:$Z$2488,33,'Live Data'!$C$18)),"")</f>
        <v>282</v>
      </c>
      <c r="H33" s="54">
        <f>IFERROR(IF(INDEX(SPOT_Import!$A$1:$Z$2488,33,'Live Data'!$C$19)="","",INDEX(SPOT_Import!$A$1:$Z$2488,33,'Live Data'!$C$19)),"")</f>
        <v>282</v>
      </c>
      <c r="I33" s="54" t="str">
        <f>IFERROR(IF(INDEX(SPOT_Import!$A$1:$Z$2488,33,'Live Data'!$C$20)="","",INDEX(SPOT_Import!$A$1:$Z$2488,33,'Live Data'!$C$20)),"")</f>
        <v>Complete</v>
      </c>
      <c r="J33" s="54" t="str">
        <f>IFERROR(IF(INDEX(SPOT_Import!$A$1:$Z$2488,33,'Live Data'!$C$21)="","",INDEX(SPOT_Import!$A$1:$Z$2488,33,'Live Data'!$C$21)),"")</f>
        <v>2026-10-12T13:02:09.000Z</v>
      </c>
      <c r="K33" s="54" t="str">
        <f>IFERROR(IF(INDEX(SPOT_Import!$A$1:$Z$2488,33,'Live Data'!$C$22)="","",INDEX(SPOT_Import!$A$1:$Z$2488,33,'Live Data'!$C$22)),"")</f>
        <v>2026-10-12T13:02:09.000Z</v>
      </c>
      <c r="L33" s="55" t="str">
        <f t="shared" si="0"/>
        <v>2026-10</v>
      </c>
      <c r="M33" s="55" t="str">
        <f t="shared" si="1"/>
        <v>MERU</v>
      </c>
      <c r="N33" s="55" t="str">
        <f>IF(A33="","",IFERROR(INDEX('Cluster Map'!$A$4:$A$38,MATCH(M33,'Cluster Map'!$B$4:$B$38,0)),"Unmapped"))</f>
        <v>Cluster 1</v>
      </c>
      <c r="O33" s="55">
        <f>IF(A33="",0,IF(COUNTIFS($A$2:A33,A33,$F$2:F33,F33,$L$2:L33,L33)=1,1,0))</f>
        <v>1</v>
      </c>
      <c r="P33" s="55">
        <f>IF(A33="",0,IF(AND(F33="C&amp;T",COUNTIFS($A$2:A33,A33,$F$2:F33,"C&amp;T")=1),1,0))</f>
        <v>0</v>
      </c>
    </row>
    <row r="34" spans="1:16" x14ac:dyDescent="0.35">
      <c r="A34" s="54">
        <f>IFERROR(IF(INDEX(SPOT_Import!$A$1:$Z$2488,34,'Live Data'!$C$12)="","",INDEX(SPOT_Import!$A$1:$Z$2488,34,'Live Data'!$C$12)),"")</f>
        <v>12303</v>
      </c>
      <c r="B34" s="54" t="str">
        <f>IFERROR(IF(INDEX(SPOT_Import!$A$1:$Z$2488,34,'Live Data'!$C$13)="","",INDEX(SPOT_Import!$A$1:$Z$2488,34,'Live Data'!$C$13)),"")</f>
        <v>St Theresa Hospital (Kiirua)</v>
      </c>
      <c r="C34" s="54" t="str">
        <f>IFERROR(IF(INDEX(SPOT_Import!$A$1:$Z$2488,34,'Live Data'!$C$14)="","",INDEX(SPOT_Import!$A$1:$Z$2488,34,'Live Data'!$C$14)),"")</f>
        <v>MERU</v>
      </c>
      <c r="D34" s="54" t="str">
        <f>IFERROR(IF(INDEX(SPOT_Import!$A$1:$Z$2488,34,'Live Data'!$C$15)="","",INDEX(SPOT_Import!$A$1:$Z$2488,34,'Live Data'!$C$15)),"")</f>
        <v>Buuri</v>
      </c>
      <c r="E34" s="54" t="str">
        <f>IFERROR(IF(INDEX(SPOT_Import!$A$1:$Z$2488,34,'Live Data'!$C$16)="","",INDEX(SPOT_Import!$A$1:$Z$2488,34,'Live Data'!$C$16)),"")</f>
        <v>USAID Jamii Tekelezi</v>
      </c>
      <c r="F34" s="54" t="str">
        <f>IFERROR(IF(INDEX(SPOT_Import!$A$1:$Z$2488,34,'Live Data'!$C$17)="","",INDEX(SPOT_Import!$A$1:$Z$2488,34,'Live Data'!$C$17)),"")</f>
        <v>HTS</v>
      </c>
      <c r="G34" s="54">
        <f>IFERROR(IF(INDEX(SPOT_Import!$A$1:$Z$2488,34,'Live Data'!$C$18)="","",INDEX(SPOT_Import!$A$1:$Z$2488,34,'Live Data'!$C$18)),"")</f>
        <v>1867</v>
      </c>
      <c r="H34" s="54">
        <f>IFERROR(IF(INDEX(SPOT_Import!$A$1:$Z$2488,34,'Live Data'!$C$19)="","",INDEX(SPOT_Import!$A$1:$Z$2488,34,'Live Data'!$C$19)),"")</f>
        <v>1867</v>
      </c>
      <c r="I34" s="54" t="str">
        <f>IFERROR(IF(INDEX(SPOT_Import!$A$1:$Z$2488,34,'Live Data'!$C$20)="","",INDEX(SPOT_Import!$A$1:$Z$2488,34,'Live Data'!$C$20)),"")</f>
        <v>Complete</v>
      </c>
      <c r="J34" s="54" t="str">
        <f>IFERROR(IF(INDEX(SPOT_Import!$A$1:$Z$2488,34,'Live Data'!$C$21)="","",INDEX(SPOT_Import!$A$1:$Z$2488,34,'Live Data'!$C$21)),"")</f>
        <v>2026-10-12T13:01:54.000Z</v>
      </c>
      <c r="K34" s="54" t="str">
        <f>IFERROR(IF(INDEX(SPOT_Import!$A$1:$Z$2488,34,'Live Data'!$C$22)="","",INDEX(SPOT_Import!$A$1:$Z$2488,34,'Live Data'!$C$22)),"")</f>
        <v>2026-10-12T13:01:54.000Z</v>
      </c>
      <c r="L34" s="55" t="str">
        <f t="shared" si="0"/>
        <v>2026-10</v>
      </c>
      <c r="M34" s="55" t="str">
        <f t="shared" si="1"/>
        <v>MERU</v>
      </c>
      <c r="N34" s="55" t="str">
        <f>IF(A34="","",IFERROR(INDEX('Cluster Map'!$A$4:$A$38,MATCH(M34,'Cluster Map'!$B$4:$B$38,0)),"Unmapped"))</f>
        <v>Cluster 1</v>
      </c>
      <c r="O34" s="55">
        <f>IF(A34="",0,IF(COUNTIFS($A$2:A34,A34,$F$2:F34,F34,$L$2:L34,L34)=1,1,0))</f>
        <v>1</v>
      </c>
      <c r="P34" s="55">
        <f>IF(A34="",0,IF(AND(F34="C&amp;T",COUNTIFS($A$2:A34,A34,$F$2:F34,"C&amp;T")=1),1,0))</f>
        <v>0</v>
      </c>
    </row>
    <row r="35" spans="1:16" x14ac:dyDescent="0.35">
      <c r="A35" s="54">
        <f>IFERROR(IF(INDEX(SPOT_Import!$A$1:$Z$2488,35,'Live Data'!$C$12)="","",INDEX(SPOT_Import!$A$1:$Z$2488,35,'Live Data'!$C$12)),"")</f>
        <v>12303</v>
      </c>
      <c r="B35" s="54" t="str">
        <f>IFERROR(IF(INDEX(SPOT_Import!$A$1:$Z$2488,35,'Live Data'!$C$13)="","",INDEX(SPOT_Import!$A$1:$Z$2488,35,'Live Data'!$C$13)),"")</f>
        <v>St Theresa Kiirua Hospital (Kiirua)</v>
      </c>
      <c r="C35" s="54" t="str">
        <f>IFERROR(IF(INDEX(SPOT_Import!$A$1:$Z$2488,35,'Live Data'!$C$14)="","",INDEX(SPOT_Import!$A$1:$Z$2488,35,'Live Data'!$C$14)),"")</f>
        <v>MERU</v>
      </c>
      <c r="D35" s="54" t="str">
        <f>IFERROR(IF(INDEX(SPOT_Import!$A$1:$Z$2488,35,'Live Data'!$C$15)="","",INDEX(SPOT_Import!$A$1:$Z$2488,35,'Live Data'!$C$15)),"")</f>
        <v>Buuri</v>
      </c>
      <c r="E35" s="54" t="str">
        <f>IFERROR(IF(INDEX(SPOT_Import!$A$1:$Z$2488,35,'Live Data'!$C$16)="","",INDEX(SPOT_Import!$A$1:$Z$2488,35,'Live Data'!$C$16)),"")</f>
        <v>USAID Jamii Tekelezi</v>
      </c>
      <c r="F35" s="54" t="str">
        <f>IFERROR(IF(INDEX(SPOT_Import!$A$1:$Z$2488,35,'Live Data'!$C$17)="","",INDEX(SPOT_Import!$A$1:$Z$2488,35,'Live Data'!$C$17)),"")</f>
        <v>C&amp;T</v>
      </c>
      <c r="G35" s="54">
        <f>IFERROR(IF(INDEX(SPOT_Import!$A$1:$Z$2488,35,'Live Data'!$C$18)="","",INDEX(SPOT_Import!$A$1:$Z$2488,35,'Live Data'!$C$18)),"")</f>
        <v>1745</v>
      </c>
      <c r="H35" s="54">
        <f>IFERROR(IF(INDEX(SPOT_Import!$A$1:$Z$2488,35,'Live Data'!$C$19)="","",INDEX(SPOT_Import!$A$1:$Z$2488,35,'Live Data'!$C$19)),"")</f>
        <v>1745</v>
      </c>
      <c r="I35" s="54" t="str">
        <f>IFERROR(IF(INDEX(SPOT_Import!$A$1:$Z$2488,35,'Live Data'!$C$20)="","",INDEX(SPOT_Import!$A$1:$Z$2488,35,'Live Data'!$C$20)),"")</f>
        <v>Complete</v>
      </c>
      <c r="J35" s="54" t="str">
        <f>IFERROR(IF(INDEX(SPOT_Import!$A$1:$Z$2488,35,'Live Data'!$C$21)="","",INDEX(SPOT_Import!$A$1:$Z$2488,35,'Live Data'!$C$21)),"")</f>
        <v>2026-10-12T12:37:08.000Z</v>
      </c>
      <c r="K35" s="54" t="str">
        <f>IFERROR(IF(INDEX(SPOT_Import!$A$1:$Z$2488,35,'Live Data'!$C$22)="","",INDEX(SPOT_Import!$A$1:$Z$2488,35,'Live Data'!$C$22)),"")</f>
        <v>2026-10-12T12:37:08.000Z</v>
      </c>
      <c r="L35" s="55" t="str">
        <f t="shared" si="0"/>
        <v>2026-10</v>
      </c>
      <c r="M35" s="55" t="str">
        <f t="shared" si="1"/>
        <v>MERU</v>
      </c>
      <c r="N35" s="55" t="str">
        <f>IF(A35="","",IFERROR(INDEX('Cluster Map'!$A$4:$A$38,MATCH(M35,'Cluster Map'!$B$4:$B$38,0)),"Unmapped"))</f>
        <v>Cluster 1</v>
      </c>
      <c r="O35" s="55">
        <f>IF(A35="",0,IF(COUNTIFS($A$2:A35,A35,$F$2:F35,F35,$L$2:L35,L35)=1,1,0))</f>
        <v>1</v>
      </c>
      <c r="P35" s="55">
        <f>IF(A35="",0,IF(AND(F35="C&amp;T",COUNTIFS($A$2:A35,A35,$F$2:F35,"C&amp;T")=1),1,0))</f>
        <v>1</v>
      </c>
    </row>
    <row r="36" spans="1:16" x14ac:dyDescent="0.35">
      <c r="A36" s="54">
        <f>IFERROR(IF(INDEX(SPOT_Import!$A$1:$Z$2488,36,'Live Data'!$C$12)="","",INDEX(SPOT_Import!$A$1:$Z$2488,36,'Live Data'!$C$12)),"")</f>
        <v>11009</v>
      </c>
      <c r="B36" s="54" t="str">
        <f>IFERROR(IF(INDEX(SPOT_Import!$A$1:$Z$2488,36,'Live Data'!$C$13)="","",INDEX(SPOT_Import!$A$1:$Z$2488,36,'Live Data'!$C$13)),"")</f>
        <v>Silibwet Health Centre (Nyandaruawest)</v>
      </c>
      <c r="C36" s="54" t="str">
        <f>IFERROR(IF(INDEX(SPOT_Import!$A$1:$Z$2488,36,'Live Data'!$C$14)="","",INDEX(SPOT_Import!$A$1:$Z$2488,36,'Live Data'!$C$14)),"")</f>
        <v>NYANDARUA</v>
      </c>
      <c r="D36" s="54" t="str">
        <f>IFERROR(IF(INDEX(SPOT_Import!$A$1:$Z$2488,36,'Live Data'!$C$15)="","",INDEX(SPOT_Import!$A$1:$Z$2488,36,'Live Data'!$C$15)),"")</f>
        <v>Oljororok</v>
      </c>
      <c r="E36" s="54" t="str">
        <f>IFERROR(IF(INDEX(SPOT_Import!$A$1:$Z$2488,36,'Live Data'!$C$16)="","",INDEX(SPOT_Import!$A$1:$Z$2488,36,'Live Data'!$C$16)),"")</f>
        <v>USAID Jamii Tekelezi</v>
      </c>
      <c r="F36" s="54" t="str">
        <f>IFERROR(IF(INDEX(SPOT_Import!$A$1:$Z$2488,36,'Live Data'!$C$17)="","",INDEX(SPOT_Import!$A$1:$Z$2488,36,'Live Data'!$C$17)),"")</f>
        <v>C&amp;T</v>
      </c>
      <c r="G36" s="54">
        <f>IFERROR(IF(INDEX(SPOT_Import!$A$1:$Z$2488,36,'Live Data'!$C$18)="","",INDEX(SPOT_Import!$A$1:$Z$2488,36,'Live Data'!$C$18)),"")</f>
        <v>474</v>
      </c>
      <c r="H36" s="54">
        <f>IFERROR(IF(INDEX(SPOT_Import!$A$1:$Z$2488,36,'Live Data'!$C$19)="","",INDEX(SPOT_Import!$A$1:$Z$2488,36,'Live Data'!$C$19)),"")</f>
        <v>474</v>
      </c>
      <c r="I36" s="54" t="str">
        <f>IFERROR(IF(INDEX(SPOT_Import!$A$1:$Z$2488,36,'Live Data'!$C$20)="","",INDEX(SPOT_Import!$A$1:$Z$2488,36,'Live Data'!$C$20)),"")</f>
        <v>Complete</v>
      </c>
      <c r="J36" s="54" t="str">
        <f>IFERROR(IF(INDEX(SPOT_Import!$A$1:$Z$2488,36,'Live Data'!$C$21)="","",INDEX(SPOT_Import!$A$1:$Z$2488,36,'Live Data'!$C$21)),"")</f>
        <v>2026-10-12T12:21:19.000Z</v>
      </c>
      <c r="K36" s="54" t="str">
        <f>IFERROR(IF(INDEX(SPOT_Import!$A$1:$Z$2488,36,'Live Data'!$C$22)="","",INDEX(SPOT_Import!$A$1:$Z$2488,36,'Live Data'!$C$22)),"")</f>
        <v>2026-10-12T12:21:19.000Z</v>
      </c>
      <c r="L36" s="55" t="str">
        <f t="shared" si="0"/>
        <v>2026-10</v>
      </c>
      <c r="M36" s="55" t="str">
        <f t="shared" si="1"/>
        <v>NYANDARUA</v>
      </c>
      <c r="N36" s="55" t="str">
        <f>IF(A36="","",IFERROR(INDEX('Cluster Map'!$A$4:$A$38,MATCH(M36,'Cluster Map'!$B$4:$B$38,0)),"Unmapped"))</f>
        <v>Cluster 4</v>
      </c>
      <c r="O36" s="55">
        <f>IF(A36="",0,IF(COUNTIFS($A$2:A36,A36,$F$2:F36,F36,$L$2:L36,L36)=1,1,0))</f>
        <v>1</v>
      </c>
      <c r="P36" s="55">
        <f>IF(A36="",0,IF(AND(F36="C&amp;T",COUNTIFS($A$2:A36,A36,$F$2:F36,"C&amp;T")=1),1,0))</f>
        <v>1</v>
      </c>
    </row>
    <row r="37" spans="1:16" x14ac:dyDescent="0.35">
      <c r="A37" s="54">
        <f>IFERROR(IF(INDEX(SPOT_Import!$A$1:$Z$2488,37,'Live Data'!$C$12)="","",INDEX(SPOT_Import!$A$1:$Z$2488,37,'Live Data'!$C$12)),"")</f>
        <v>12816</v>
      </c>
      <c r="B37" s="54" t="str">
        <f>IFERROR(IF(INDEX(SPOT_Import!$A$1:$Z$2488,37,'Live Data'!$C$13)="","",INDEX(SPOT_Import!$A$1:$Z$2488,37,'Live Data'!$C$13)),"")</f>
        <v>Tuuru Catholic Health Centre</v>
      </c>
      <c r="C37" s="54" t="str">
        <f>IFERROR(IF(INDEX(SPOT_Import!$A$1:$Z$2488,37,'Live Data'!$C$14)="","",INDEX(SPOT_Import!$A$1:$Z$2488,37,'Live Data'!$C$14)),"")</f>
        <v>MERU</v>
      </c>
      <c r="D37" s="54" t="str">
        <f>IFERROR(IF(INDEX(SPOT_Import!$A$1:$Z$2488,37,'Live Data'!$C$15)="","",INDEX(SPOT_Import!$A$1:$Z$2488,37,'Live Data'!$C$15)),"")</f>
        <v>Igembe Central</v>
      </c>
      <c r="E37" s="54" t="str">
        <f>IFERROR(IF(INDEX(SPOT_Import!$A$1:$Z$2488,37,'Live Data'!$C$16)="","",INDEX(SPOT_Import!$A$1:$Z$2488,37,'Live Data'!$C$16)),"")</f>
        <v>USAID Jamii Tekelezi</v>
      </c>
      <c r="F37" s="54" t="str">
        <f>IFERROR(IF(INDEX(SPOT_Import!$A$1:$Z$2488,37,'Live Data'!$C$17)="","",INDEX(SPOT_Import!$A$1:$Z$2488,37,'Live Data'!$C$17)),"")</f>
        <v>HTS</v>
      </c>
      <c r="G37" s="54">
        <f>IFERROR(IF(INDEX(SPOT_Import!$A$1:$Z$2488,37,'Live Data'!$C$18)="","",INDEX(SPOT_Import!$A$1:$Z$2488,37,'Live Data'!$C$18)),"")</f>
        <v>1</v>
      </c>
      <c r="H37" s="54">
        <f>IFERROR(IF(INDEX(SPOT_Import!$A$1:$Z$2488,37,'Live Data'!$C$19)="","",INDEX(SPOT_Import!$A$1:$Z$2488,37,'Live Data'!$C$19)),"")</f>
        <v>1</v>
      </c>
      <c r="I37" s="54" t="str">
        <f>IFERROR(IF(INDEX(SPOT_Import!$A$1:$Z$2488,37,'Live Data'!$C$20)="","",INDEX(SPOT_Import!$A$1:$Z$2488,37,'Live Data'!$C$20)),"")</f>
        <v>Complete</v>
      </c>
      <c r="J37" s="54" t="str">
        <f>IFERROR(IF(INDEX(SPOT_Import!$A$1:$Z$2488,37,'Live Data'!$C$21)="","",INDEX(SPOT_Import!$A$1:$Z$2488,37,'Live Data'!$C$21)),"")</f>
        <v>2026-10-12T12:06:15.000Z</v>
      </c>
      <c r="K37" s="54" t="str">
        <f>IFERROR(IF(INDEX(SPOT_Import!$A$1:$Z$2488,37,'Live Data'!$C$22)="","",INDEX(SPOT_Import!$A$1:$Z$2488,37,'Live Data'!$C$22)),"")</f>
        <v>2026-10-12T12:06:15.000Z</v>
      </c>
      <c r="L37" s="55" t="str">
        <f t="shared" si="0"/>
        <v>2026-10</v>
      </c>
      <c r="M37" s="55" t="str">
        <f t="shared" si="1"/>
        <v>MERU</v>
      </c>
      <c r="N37" s="55" t="str">
        <f>IF(A37="","",IFERROR(INDEX('Cluster Map'!$A$4:$A$38,MATCH(M37,'Cluster Map'!$B$4:$B$38,0)),"Unmapped"))</f>
        <v>Cluster 1</v>
      </c>
      <c r="O37" s="55">
        <f>IF(A37="",0,IF(COUNTIFS($A$2:A37,A37,$F$2:F37,F37,$L$2:L37,L37)=1,1,0))</f>
        <v>1</v>
      </c>
      <c r="P37" s="55">
        <f>IF(A37="",0,IF(AND(F37="C&amp;T",COUNTIFS($A$2:A37,A37,$F$2:F37,"C&amp;T")=1),1,0))</f>
        <v>0</v>
      </c>
    </row>
    <row r="38" spans="1:16" x14ac:dyDescent="0.35">
      <c r="A38" s="54">
        <f>IFERROR(IF(INDEX(SPOT_Import!$A$1:$Z$2488,38,'Live Data'!$C$12)="","",INDEX(SPOT_Import!$A$1:$Z$2488,38,'Live Data'!$C$12)),"")</f>
        <v>12816</v>
      </c>
      <c r="B38" s="54" t="str">
        <f>IFERROR(IF(INDEX(SPOT_Import!$A$1:$Z$2488,38,'Live Data'!$C$13)="","",INDEX(SPOT_Import!$A$1:$Z$2488,38,'Live Data'!$C$13)),"")</f>
        <v>Tuuru Catholic Health Centre</v>
      </c>
      <c r="C38" s="54" t="str">
        <f>IFERROR(IF(INDEX(SPOT_Import!$A$1:$Z$2488,38,'Live Data'!$C$14)="","",INDEX(SPOT_Import!$A$1:$Z$2488,38,'Live Data'!$C$14)),"")</f>
        <v>MERU</v>
      </c>
      <c r="D38" s="54" t="str">
        <f>IFERROR(IF(INDEX(SPOT_Import!$A$1:$Z$2488,38,'Live Data'!$C$15)="","",INDEX(SPOT_Import!$A$1:$Z$2488,38,'Live Data'!$C$15)),"")</f>
        <v>Igembe Central</v>
      </c>
      <c r="E38" s="54" t="str">
        <f>IFERROR(IF(INDEX(SPOT_Import!$A$1:$Z$2488,38,'Live Data'!$C$16)="","",INDEX(SPOT_Import!$A$1:$Z$2488,38,'Live Data'!$C$16)),"")</f>
        <v>USAID Jamii Tekelezi</v>
      </c>
      <c r="F38" s="54" t="str">
        <f>IFERROR(IF(INDEX(SPOT_Import!$A$1:$Z$2488,38,'Live Data'!$C$17)="","",INDEX(SPOT_Import!$A$1:$Z$2488,38,'Live Data'!$C$17)),"")</f>
        <v>C&amp;T</v>
      </c>
      <c r="G38" s="54">
        <f>IFERROR(IF(INDEX(SPOT_Import!$A$1:$Z$2488,38,'Live Data'!$C$18)="","",INDEX(SPOT_Import!$A$1:$Z$2488,38,'Live Data'!$C$18)),"")</f>
        <v>40</v>
      </c>
      <c r="H38" s="54">
        <f>IFERROR(IF(INDEX(SPOT_Import!$A$1:$Z$2488,38,'Live Data'!$C$19)="","",INDEX(SPOT_Import!$A$1:$Z$2488,38,'Live Data'!$C$19)),"")</f>
        <v>40</v>
      </c>
      <c r="I38" s="54" t="str">
        <f>IFERROR(IF(INDEX(SPOT_Import!$A$1:$Z$2488,38,'Live Data'!$C$20)="","",INDEX(SPOT_Import!$A$1:$Z$2488,38,'Live Data'!$C$20)),"")</f>
        <v>Complete</v>
      </c>
      <c r="J38" s="54" t="str">
        <f>IFERROR(IF(INDEX(SPOT_Import!$A$1:$Z$2488,38,'Live Data'!$C$21)="","",INDEX(SPOT_Import!$A$1:$Z$2488,38,'Live Data'!$C$21)),"")</f>
        <v>2026-10-12T11:55:26.000Z</v>
      </c>
      <c r="K38" s="54" t="str">
        <f>IFERROR(IF(INDEX(SPOT_Import!$A$1:$Z$2488,38,'Live Data'!$C$22)="","",INDEX(SPOT_Import!$A$1:$Z$2488,38,'Live Data'!$C$22)),"")</f>
        <v>2026-10-12T11:55:26.000Z</v>
      </c>
      <c r="L38" s="55" t="str">
        <f t="shared" si="0"/>
        <v>2026-10</v>
      </c>
      <c r="M38" s="55" t="str">
        <f t="shared" si="1"/>
        <v>MERU</v>
      </c>
      <c r="N38" s="55" t="str">
        <f>IF(A38="","",IFERROR(INDEX('Cluster Map'!$A$4:$A$38,MATCH(M38,'Cluster Map'!$B$4:$B$38,0)),"Unmapped"))</f>
        <v>Cluster 1</v>
      </c>
      <c r="O38" s="55">
        <f>IF(A38="",0,IF(COUNTIFS($A$2:A38,A38,$F$2:F38,F38,$L$2:L38,L38)=1,1,0))</f>
        <v>1</v>
      </c>
      <c r="P38" s="55">
        <f>IF(A38="",0,IF(AND(F38="C&amp;T",COUNTIFS($A$2:A38,A38,$F$2:F38,"C&amp;T")=1),1,0))</f>
        <v>1</v>
      </c>
    </row>
    <row r="39" spans="1:16" x14ac:dyDescent="0.35">
      <c r="A39" s="54">
        <f>IFERROR(IF(INDEX(SPOT_Import!$A$1:$Z$2488,39,'Live Data'!$C$12)="","",INDEX(SPOT_Import!$A$1:$Z$2488,39,'Live Data'!$C$12)),"")</f>
        <v>11984</v>
      </c>
      <c r="B39" s="54" t="str">
        <f>IFERROR(IF(INDEX(SPOT_Import!$A$1:$Z$2488,39,'Live Data'!$C$13)="","",INDEX(SPOT_Import!$A$1:$Z$2488,39,'Live Data'!$C$13)),"")</f>
        <v>Dallas Dispensary</v>
      </c>
      <c r="C39" s="54" t="str">
        <f>IFERROR(IF(INDEX(SPOT_Import!$A$1:$Z$2488,39,'Live Data'!$C$14)="","",INDEX(SPOT_Import!$A$1:$Z$2488,39,'Live Data'!$C$14)),"")</f>
        <v>EMBU</v>
      </c>
      <c r="D39" s="54" t="str">
        <f>IFERROR(IF(INDEX(SPOT_Import!$A$1:$Z$2488,39,'Live Data'!$C$15)="","",INDEX(SPOT_Import!$A$1:$Z$2488,39,'Live Data'!$C$15)),"")</f>
        <v>Manyatta</v>
      </c>
      <c r="E39" s="54" t="str">
        <f>IFERROR(IF(INDEX(SPOT_Import!$A$1:$Z$2488,39,'Live Data'!$C$16)="","",INDEX(SPOT_Import!$A$1:$Z$2488,39,'Live Data'!$C$16)),"")</f>
        <v>USAID Jamii Tekelezi</v>
      </c>
      <c r="F39" s="54" t="str">
        <f>IFERROR(IF(INDEX(SPOT_Import!$A$1:$Z$2488,39,'Live Data'!$C$17)="","",INDEX(SPOT_Import!$A$1:$Z$2488,39,'Live Data'!$C$17)),"")</f>
        <v>PREP</v>
      </c>
      <c r="G39" s="54">
        <f>IFERROR(IF(INDEX(SPOT_Import!$A$1:$Z$2488,39,'Live Data'!$C$18)="","",INDEX(SPOT_Import!$A$1:$Z$2488,39,'Live Data'!$C$18)),"")</f>
        <v>184</v>
      </c>
      <c r="H39" s="54">
        <f>IFERROR(IF(INDEX(SPOT_Import!$A$1:$Z$2488,39,'Live Data'!$C$19)="","",INDEX(SPOT_Import!$A$1:$Z$2488,39,'Live Data'!$C$19)),"")</f>
        <v>184</v>
      </c>
      <c r="I39" s="54" t="str">
        <f>IFERROR(IF(INDEX(SPOT_Import!$A$1:$Z$2488,39,'Live Data'!$C$20)="","",INDEX(SPOT_Import!$A$1:$Z$2488,39,'Live Data'!$C$20)),"")</f>
        <v>Complete</v>
      </c>
      <c r="J39" s="54" t="str">
        <f>IFERROR(IF(INDEX(SPOT_Import!$A$1:$Z$2488,39,'Live Data'!$C$21)="","",INDEX(SPOT_Import!$A$1:$Z$2488,39,'Live Data'!$C$21)),"")</f>
        <v>2026-10-12T11:40:39.000Z</v>
      </c>
      <c r="K39" s="54" t="str">
        <f>IFERROR(IF(INDEX(SPOT_Import!$A$1:$Z$2488,39,'Live Data'!$C$22)="","",INDEX(SPOT_Import!$A$1:$Z$2488,39,'Live Data'!$C$22)),"")</f>
        <v>2026-10-12T11:40:39.000Z</v>
      </c>
      <c r="L39" s="55" t="str">
        <f t="shared" si="0"/>
        <v>2026-10</v>
      </c>
      <c r="M39" s="55" t="str">
        <f t="shared" si="1"/>
        <v>EMBU</v>
      </c>
      <c r="N39" s="55" t="str">
        <f>IF(A39="","",IFERROR(INDEX('Cluster Map'!$A$4:$A$38,MATCH(M39,'Cluster Map'!$B$4:$B$38,0)),"Unmapped"))</f>
        <v>Cluster 2</v>
      </c>
      <c r="O39" s="55">
        <f>IF(A39="",0,IF(COUNTIFS($A$2:A39,A39,$F$2:F39,F39,$L$2:L39,L39)=1,1,0))</f>
        <v>1</v>
      </c>
      <c r="P39" s="55">
        <f>IF(A39="",0,IF(AND(F39="C&amp;T",COUNTIFS($A$2:A39,A39,$F$2:F39,"C&amp;T")=1),1,0))</f>
        <v>0</v>
      </c>
    </row>
    <row r="40" spans="1:16" x14ac:dyDescent="0.35">
      <c r="A40" s="54">
        <f>IFERROR(IF(INDEX(SPOT_Import!$A$1:$Z$2488,40,'Live Data'!$C$12)="","",INDEX(SPOT_Import!$A$1:$Z$2488,40,'Live Data'!$C$12)),"")</f>
        <v>11984</v>
      </c>
      <c r="B40" s="54" t="str">
        <f>IFERROR(IF(INDEX(SPOT_Import!$A$1:$Z$2488,40,'Live Data'!$C$13)="","",INDEX(SPOT_Import!$A$1:$Z$2488,40,'Live Data'!$C$13)),"")</f>
        <v>Dallas Dispensary</v>
      </c>
      <c r="C40" s="54" t="str">
        <f>IFERROR(IF(INDEX(SPOT_Import!$A$1:$Z$2488,40,'Live Data'!$C$14)="","",INDEX(SPOT_Import!$A$1:$Z$2488,40,'Live Data'!$C$14)),"")</f>
        <v>EMBU</v>
      </c>
      <c r="D40" s="54" t="str">
        <f>IFERROR(IF(INDEX(SPOT_Import!$A$1:$Z$2488,40,'Live Data'!$C$15)="","",INDEX(SPOT_Import!$A$1:$Z$2488,40,'Live Data'!$C$15)),"")</f>
        <v>Manyatta</v>
      </c>
      <c r="E40" s="54" t="str">
        <f>IFERROR(IF(INDEX(SPOT_Import!$A$1:$Z$2488,40,'Live Data'!$C$16)="","",INDEX(SPOT_Import!$A$1:$Z$2488,40,'Live Data'!$C$16)),"")</f>
        <v>USAID Jamii Tekelezi</v>
      </c>
      <c r="F40" s="54" t="str">
        <f>IFERROR(IF(INDEX(SPOT_Import!$A$1:$Z$2488,40,'Live Data'!$C$17)="","",INDEX(SPOT_Import!$A$1:$Z$2488,40,'Live Data'!$C$17)),"")</f>
        <v>MNCH</v>
      </c>
      <c r="G40" s="54">
        <f>IFERROR(IF(INDEX(SPOT_Import!$A$1:$Z$2488,40,'Live Data'!$C$18)="","",INDEX(SPOT_Import!$A$1:$Z$2488,40,'Live Data'!$C$18)),"")</f>
        <v>231</v>
      </c>
      <c r="H40" s="54">
        <f>IFERROR(IF(INDEX(SPOT_Import!$A$1:$Z$2488,40,'Live Data'!$C$19)="","",INDEX(SPOT_Import!$A$1:$Z$2488,40,'Live Data'!$C$19)),"")</f>
        <v>231</v>
      </c>
      <c r="I40" s="54" t="str">
        <f>IFERROR(IF(INDEX(SPOT_Import!$A$1:$Z$2488,40,'Live Data'!$C$20)="","",INDEX(SPOT_Import!$A$1:$Z$2488,40,'Live Data'!$C$20)),"")</f>
        <v>Complete</v>
      </c>
      <c r="J40" s="54" t="str">
        <f>IFERROR(IF(INDEX(SPOT_Import!$A$1:$Z$2488,40,'Live Data'!$C$21)="","",INDEX(SPOT_Import!$A$1:$Z$2488,40,'Live Data'!$C$21)),"")</f>
        <v>2026-10-12T11:40:31.000Z</v>
      </c>
      <c r="K40" s="54" t="str">
        <f>IFERROR(IF(INDEX(SPOT_Import!$A$1:$Z$2488,40,'Live Data'!$C$22)="","",INDEX(SPOT_Import!$A$1:$Z$2488,40,'Live Data'!$C$22)),"")</f>
        <v>2026-10-12T11:40:31.000Z</v>
      </c>
      <c r="L40" s="55" t="str">
        <f t="shared" si="0"/>
        <v>2026-10</v>
      </c>
      <c r="M40" s="55" t="str">
        <f t="shared" si="1"/>
        <v>EMBU</v>
      </c>
      <c r="N40" s="55" t="str">
        <f>IF(A40="","",IFERROR(INDEX('Cluster Map'!$A$4:$A$38,MATCH(M40,'Cluster Map'!$B$4:$B$38,0)),"Unmapped"))</f>
        <v>Cluster 2</v>
      </c>
      <c r="O40" s="55">
        <f>IF(A40="",0,IF(COUNTIFS($A$2:A40,A40,$F$2:F40,F40,$L$2:L40,L40)=1,1,0))</f>
        <v>1</v>
      </c>
      <c r="P40" s="55">
        <f>IF(A40="",0,IF(AND(F40="C&amp;T",COUNTIFS($A$2:A40,A40,$F$2:F40,"C&amp;T")=1),1,0))</f>
        <v>0</v>
      </c>
    </row>
    <row r="41" spans="1:16" x14ac:dyDescent="0.35">
      <c r="A41" s="54">
        <f>IFERROR(IF(INDEX(SPOT_Import!$A$1:$Z$2488,41,'Live Data'!$C$12)="","",INDEX(SPOT_Import!$A$1:$Z$2488,41,'Live Data'!$C$12)),"")</f>
        <v>11984</v>
      </c>
      <c r="B41" s="54" t="str">
        <f>IFERROR(IF(INDEX(SPOT_Import!$A$1:$Z$2488,41,'Live Data'!$C$13)="","",INDEX(SPOT_Import!$A$1:$Z$2488,41,'Live Data'!$C$13)),"")</f>
        <v>Dallas Dispensary</v>
      </c>
      <c r="C41" s="54" t="str">
        <f>IFERROR(IF(INDEX(SPOT_Import!$A$1:$Z$2488,41,'Live Data'!$C$14)="","",INDEX(SPOT_Import!$A$1:$Z$2488,41,'Live Data'!$C$14)),"")</f>
        <v>EMBU</v>
      </c>
      <c r="D41" s="54" t="str">
        <f>IFERROR(IF(INDEX(SPOT_Import!$A$1:$Z$2488,41,'Live Data'!$C$15)="","",INDEX(SPOT_Import!$A$1:$Z$2488,41,'Live Data'!$C$15)),"")</f>
        <v>Manyatta</v>
      </c>
      <c r="E41" s="54" t="str">
        <f>IFERROR(IF(INDEX(SPOT_Import!$A$1:$Z$2488,41,'Live Data'!$C$16)="","",INDEX(SPOT_Import!$A$1:$Z$2488,41,'Live Data'!$C$16)),"")</f>
        <v>USAID Jamii Tekelezi</v>
      </c>
      <c r="F41" s="54" t="str">
        <f>IFERROR(IF(INDEX(SPOT_Import!$A$1:$Z$2488,41,'Live Data'!$C$17)="","",INDEX(SPOT_Import!$A$1:$Z$2488,41,'Live Data'!$C$17)),"")</f>
        <v>HTS</v>
      </c>
      <c r="G41" s="54">
        <f>IFERROR(IF(INDEX(SPOT_Import!$A$1:$Z$2488,41,'Live Data'!$C$18)="","",INDEX(SPOT_Import!$A$1:$Z$2488,41,'Live Data'!$C$18)),"")</f>
        <v>3054</v>
      </c>
      <c r="H41" s="54">
        <f>IFERROR(IF(INDEX(SPOT_Import!$A$1:$Z$2488,41,'Live Data'!$C$19)="","",INDEX(SPOT_Import!$A$1:$Z$2488,41,'Live Data'!$C$19)),"")</f>
        <v>3054</v>
      </c>
      <c r="I41" s="54" t="str">
        <f>IFERROR(IF(INDEX(SPOT_Import!$A$1:$Z$2488,41,'Live Data'!$C$20)="","",INDEX(SPOT_Import!$A$1:$Z$2488,41,'Live Data'!$C$20)),"")</f>
        <v>Complete</v>
      </c>
      <c r="J41" s="54" t="str">
        <f>IFERROR(IF(INDEX(SPOT_Import!$A$1:$Z$2488,41,'Live Data'!$C$21)="","",INDEX(SPOT_Import!$A$1:$Z$2488,41,'Live Data'!$C$21)),"")</f>
        <v>2026-10-12T11:40:22.000Z</v>
      </c>
      <c r="K41" s="54" t="str">
        <f>IFERROR(IF(INDEX(SPOT_Import!$A$1:$Z$2488,41,'Live Data'!$C$22)="","",INDEX(SPOT_Import!$A$1:$Z$2488,41,'Live Data'!$C$22)),"")</f>
        <v>2026-10-12T11:40:22.000Z</v>
      </c>
      <c r="L41" s="55" t="str">
        <f t="shared" si="0"/>
        <v>2026-10</v>
      </c>
      <c r="M41" s="55" t="str">
        <f t="shared" si="1"/>
        <v>EMBU</v>
      </c>
      <c r="N41" s="55" t="str">
        <f>IF(A41="","",IFERROR(INDEX('Cluster Map'!$A$4:$A$38,MATCH(M41,'Cluster Map'!$B$4:$B$38,0)),"Unmapped"))</f>
        <v>Cluster 2</v>
      </c>
      <c r="O41" s="55">
        <f>IF(A41="",0,IF(COUNTIFS($A$2:A41,A41,$F$2:F41,F41,$L$2:L41,L41)=1,1,0))</f>
        <v>1</v>
      </c>
      <c r="P41" s="55">
        <f>IF(A41="",0,IF(AND(F41="C&amp;T",COUNTIFS($A$2:A41,A41,$F$2:F41,"C&amp;T")=1),1,0))</f>
        <v>0</v>
      </c>
    </row>
    <row r="42" spans="1:16" x14ac:dyDescent="0.35">
      <c r="A42" s="54">
        <f>IFERROR(IF(INDEX(SPOT_Import!$A$1:$Z$2488,42,'Live Data'!$C$12)="","",INDEX(SPOT_Import!$A$1:$Z$2488,42,'Live Data'!$C$12)),"")</f>
        <v>11984</v>
      </c>
      <c r="B42" s="54" t="str">
        <f>IFERROR(IF(INDEX(SPOT_Import!$A$1:$Z$2488,42,'Live Data'!$C$13)="","",INDEX(SPOT_Import!$A$1:$Z$2488,42,'Live Data'!$C$13)),"")</f>
        <v>Dallas Dispensary</v>
      </c>
      <c r="C42" s="54" t="str">
        <f>IFERROR(IF(INDEX(SPOT_Import!$A$1:$Z$2488,42,'Live Data'!$C$14)="","",INDEX(SPOT_Import!$A$1:$Z$2488,42,'Live Data'!$C$14)),"")</f>
        <v>EMBU</v>
      </c>
      <c r="D42" s="54" t="str">
        <f>IFERROR(IF(INDEX(SPOT_Import!$A$1:$Z$2488,42,'Live Data'!$C$15)="","",INDEX(SPOT_Import!$A$1:$Z$2488,42,'Live Data'!$C$15)),"")</f>
        <v>Manyatta</v>
      </c>
      <c r="E42" s="54" t="str">
        <f>IFERROR(IF(INDEX(SPOT_Import!$A$1:$Z$2488,42,'Live Data'!$C$16)="","",INDEX(SPOT_Import!$A$1:$Z$2488,42,'Live Data'!$C$16)),"")</f>
        <v>USAID Jamii Tekelezi</v>
      </c>
      <c r="F42" s="54" t="str">
        <f>IFERROR(IF(INDEX(SPOT_Import!$A$1:$Z$2488,42,'Live Data'!$C$17)="","",INDEX(SPOT_Import!$A$1:$Z$2488,42,'Live Data'!$C$17)),"")</f>
        <v>C&amp;T</v>
      </c>
      <c r="G42" s="54">
        <f>IFERROR(IF(INDEX(SPOT_Import!$A$1:$Z$2488,42,'Live Data'!$C$18)="","",INDEX(SPOT_Import!$A$1:$Z$2488,42,'Live Data'!$C$18)),"")</f>
        <v>704</v>
      </c>
      <c r="H42" s="54">
        <f>IFERROR(IF(INDEX(SPOT_Import!$A$1:$Z$2488,42,'Live Data'!$C$19)="","",INDEX(SPOT_Import!$A$1:$Z$2488,42,'Live Data'!$C$19)),"")</f>
        <v>704</v>
      </c>
      <c r="I42" s="54" t="str">
        <f>IFERROR(IF(INDEX(SPOT_Import!$A$1:$Z$2488,42,'Live Data'!$C$20)="","",INDEX(SPOT_Import!$A$1:$Z$2488,42,'Live Data'!$C$20)),"")</f>
        <v>Complete</v>
      </c>
      <c r="J42" s="54" t="str">
        <f>IFERROR(IF(INDEX(SPOT_Import!$A$1:$Z$2488,42,'Live Data'!$C$21)="","",INDEX(SPOT_Import!$A$1:$Z$2488,42,'Live Data'!$C$21)),"")</f>
        <v>2026-10-12T11:29:46.000Z</v>
      </c>
      <c r="K42" s="54" t="str">
        <f>IFERROR(IF(INDEX(SPOT_Import!$A$1:$Z$2488,42,'Live Data'!$C$22)="","",INDEX(SPOT_Import!$A$1:$Z$2488,42,'Live Data'!$C$22)),"")</f>
        <v>2026-10-12T11:29:46.000Z</v>
      </c>
      <c r="L42" s="55" t="str">
        <f t="shared" si="0"/>
        <v>2026-10</v>
      </c>
      <c r="M42" s="55" t="str">
        <f t="shared" si="1"/>
        <v>EMBU</v>
      </c>
      <c r="N42" s="55" t="str">
        <f>IF(A42="","",IFERROR(INDEX('Cluster Map'!$A$4:$A$38,MATCH(M42,'Cluster Map'!$B$4:$B$38,0)),"Unmapped"))</f>
        <v>Cluster 2</v>
      </c>
      <c r="O42" s="55">
        <f>IF(A42="",0,IF(COUNTIFS($A$2:A42,A42,$F$2:F42,F42,$L$2:L42,L42)=1,1,0))</f>
        <v>1</v>
      </c>
      <c r="P42" s="55">
        <f>IF(A42="",0,IF(AND(F42="C&amp;T",COUNTIFS($A$2:A42,A42,$F$2:F42,"C&amp;T")=1),1,0))</f>
        <v>1</v>
      </c>
    </row>
    <row r="43" spans="1:16" x14ac:dyDescent="0.35">
      <c r="A43" s="54">
        <f>IFERROR(IF(INDEX(SPOT_Import!$A$1:$Z$2488,43,'Live Data'!$C$12)="","",INDEX(SPOT_Import!$A$1:$Z$2488,43,'Live Data'!$C$12)),"")</f>
        <v>12195</v>
      </c>
      <c r="B43" s="54" t="str">
        <f>IFERROR(IF(INDEX(SPOT_Import!$A$1:$Z$2488,43,'Live Data'!$C$13)="","",INDEX(SPOT_Import!$A$1:$Z$2488,43,'Live Data'!$C$13)),"")</f>
        <v>Karama Health Centre</v>
      </c>
      <c r="C43" s="54" t="str">
        <f>IFERROR(IF(INDEX(SPOT_Import!$A$1:$Z$2488,43,'Live Data'!$C$14)="","",INDEX(SPOT_Import!$A$1:$Z$2488,43,'Live Data'!$C$14)),"")</f>
        <v>MERU</v>
      </c>
      <c r="D43" s="54" t="str">
        <f>IFERROR(IF(INDEX(SPOT_Import!$A$1:$Z$2488,43,'Live Data'!$C$15)="","",INDEX(SPOT_Import!$A$1:$Z$2488,43,'Live Data'!$C$15)),"")</f>
        <v>Tigania East</v>
      </c>
      <c r="E43" s="54" t="str">
        <f>IFERROR(IF(INDEX(SPOT_Import!$A$1:$Z$2488,43,'Live Data'!$C$16)="","",INDEX(SPOT_Import!$A$1:$Z$2488,43,'Live Data'!$C$16)),"")</f>
        <v>USAID Jamii Tekelezi</v>
      </c>
      <c r="F43" s="54" t="str">
        <f>IFERROR(IF(INDEX(SPOT_Import!$A$1:$Z$2488,43,'Live Data'!$C$17)="","",INDEX(SPOT_Import!$A$1:$Z$2488,43,'Live Data'!$C$17)),"")</f>
        <v>MNCH</v>
      </c>
      <c r="G43" s="54">
        <f>IFERROR(IF(INDEX(SPOT_Import!$A$1:$Z$2488,43,'Live Data'!$C$18)="","",INDEX(SPOT_Import!$A$1:$Z$2488,43,'Live Data'!$C$18)),"")</f>
        <v>3</v>
      </c>
      <c r="H43" s="54" t="str">
        <f>IFERROR(IF(INDEX(SPOT_Import!$A$1:$Z$2488,43,'Live Data'!$C$19)="","",INDEX(SPOT_Import!$A$1:$Z$2488,43,'Live Data'!$C$19)),"")</f>
        <v/>
      </c>
      <c r="I43" s="54" t="str">
        <f>IFERROR(IF(INDEX(SPOT_Import!$A$1:$Z$2488,43,'Live Data'!$C$20)="","",INDEX(SPOT_Import!$A$1:$Z$2488,43,'Live Data'!$C$20)),"")</f>
        <v>Incomplete</v>
      </c>
      <c r="J43" s="54" t="str">
        <f>IFERROR(IF(INDEX(SPOT_Import!$A$1:$Z$2488,43,'Live Data'!$C$21)="","",INDEX(SPOT_Import!$A$1:$Z$2488,43,'Live Data'!$C$21)),"")</f>
        <v>2026-10-12T11:24:47.000Z</v>
      </c>
      <c r="K43" s="54" t="str">
        <f>IFERROR(IF(INDEX(SPOT_Import!$A$1:$Z$2488,43,'Live Data'!$C$22)="","",INDEX(SPOT_Import!$A$1:$Z$2488,43,'Live Data'!$C$22)),"")</f>
        <v>2026-10-12T11:24:47.000Z</v>
      </c>
      <c r="L43" s="55" t="str">
        <f t="shared" si="0"/>
        <v>2026-10</v>
      </c>
      <c r="M43" s="55" t="str">
        <f t="shared" si="1"/>
        <v>MERU</v>
      </c>
      <c r="N43" s="55" t="str">
        <f>IF(A43="","",IFERROR(INDEX('Cluster Map'!$A$4:$A$38,MATCH(M43,'Cluster Map'!$B$4:$B$38,0)),"Unmapped"))</f>
        <v>Cluster 1</v>
      </c>
      <c r="O43" s="55">
        <f>IF(A43="",0,IF(COUNTIFS($A$2:A43,A43,$F$2:F43,F43,$L$2:L43,L43)=1,1,0))</f>
        <v>1</v>
      </c>
      <c r="P43" s="55">
        <f>IF(A43="",0,IF(AND(F43="C&amp;T",COUNTIFS($A$2:A43,A43,$F$2:F43,"C&amp;T")=1),1,0))</f>
        <v>0</v>
      </c>
    </row>
    <row r="44" spans="1:16" x14ac:dyDescent="0.35">
      <c r="A44" s="54">
        <f>IFERROR(IF(INDEX(SPOT_Import!$A$1:$Z$2488,44,'Live Data'!$C$12)="","",INDEX(SPOT_Import!$A$1:$Z$2488,44,'Live Data'!$C$12)),"")</f>
        <v>12195</v>
      </c>
      <c r="B44" s="54" t="str">
        <f>IFERROR(IF(INDEX(SPOT_Import!$A$1:$Z$2488,44,'Live Data'!$C$13)="","",INDEX(SPOT_Import!$A$1:$Z$2488,44,'Live Data'!$C$13)),"")</f>
        <v>Karama Dispensary</v>
      </c>
      <c r="C44" s="54" t="str">
        <f>IFERROR(IF(INDEX(SPOT_Import!$A$1:$Z$2488,44,'Live Data'!$C$14)="","",INDEX(SPOT_Import!$A$1:$Z$2488,44,'Live Data'!$C$14)),"")</f>
        <v>MERU</v>
      </c>
      <c r="D44" s="54" t="str">
        <f>IFERROR(IF(INDEX(SPOT_Import!$A$1:$Z$2488,44,'Live Data'!$C$15)="","",INDEX(SPOT_Import!$A$1:$Z$2488,44,'Live Data'!$C$15)),"")</f>
        <v>Tigania East</v>
      </c>
      <c r="E44" s="54" t="str">
        <f>IFERROR(IF(INDEX(SPOT_Import!$A$1:$Z$2488,44,'Live Data'!$C$16)="","",INDEX(SPOT_Import!$A$1:$Z$2488,44,'Live Data'!$C$16)),"")</f>
        <v>USAID Jamii Tekelezi</v>
      </c>
      <c r="F44" s="54" t="str">
        <f>IFERROR(IF(INDEX(SPOT_Import!$A$1:$Z$2488,44,'Live Data'!$C$17)="","",INDEX(SPOT_Import!$A$1:$Z$2488,44,'Live Data'!$C$17)),"")</f>
        <v>C&amp;T</v>
      </c>
      <c r="G44" s="54">
        <f>IFERROR(IF(INDEX(SPOT_Import!$A$1:$Z$2488,44,'Live Data'!$C$18)="","",INDEX(SPOT_Import!$A$1:$Z$2488,44,'Live Data'!$C$18)),"")</f>
        <v>29</v>
      </c>
      <c r="H44" s="54">
        <f>IFERROR(IF(INDEX(SPOT_Import!$A$1:$Z$2488,44,'Live Data'!$C$19)="","",INDEX(SPOT_Import!$A$1:$Z$2488,44,'Live Data'!$C$19)),"")</f>
        <v>29</v>
      </c>
      <c r="I44" s="54" t="str">
        <f>IFERROR(IF(INDEX(SPOT_Import!$A$1:$Z$2488,44,'Live Data'!$C$20)="","",INDEX(SPOT_Import!$A$1:$Z$2488,44,'Live Data'!$C$20)),"")</f>
        <v>Complete</v>
      </c>
      <c r="J44" s="54" t="str">
        <f>IFERROR(IF(INDEX(SPOT_Import!$A$1:$Z$2488,44,'Live Data'!$C$21)="","",INDEX(SPOT_Import!$A$1:$Z$2488,44,'Live Data'!$C$21)),"")</f>
        <v>2026-10-12T11:06:59.000Z</v>
      </c>
      <c r="K44" s="54" t="str">
        <f>IFERROR(IF(INDEX(SPOT_Import!$A$1:$Z$2488,44,'Live Data'!$C$22)="","",INDEX(SPOT_Import!$A$1:$Z$2488,44,'Live Data'!$C$22)),"")</f>
        <v>2026-10-12T11:06:59.000Z</v>
      </c>
      <c r="L44" s="55" t="str">
        <f t="shared" si="0"/>
        <v>2026-10</v>
      </c>
      <c r="M44" s="55" t="str">
        <f t="shared" si="1"/>
        <v>MERU</v>
      </c>
      <c r="N44" s="55" t="str">
        <f>IF(A44="","",IFERROR(INDEX('Cluster Map'!$A$4:$A$38,MATCH(M44,'Cluster Map'!$B$4:$B$38,0)),"Unmapped"))</f>
        <v>Cluster 1</v>
      </c>
      <c r="O44" s="55">
        <f>IF(A44="",0,IF(COUNTIFS($A$2:A44,A44,$F$2:F44,F44,$L$2:L44,L44)=1,1,0))</f>
        <v>1</v>
      </c>
      <c r="P44" s="55">
        <f>IF(A44="",0,IF(AND(F44="C&amp;T",COUNTIFS($A$2:A44,A44,$F$2:F44,"C&amp;T")=1),1,0))</f>
        <v>1</v>
      </c>
    </row>
    <row r="45" spans="1:16" x14ac:dyDescent="0.35">
      <c r="A45" s="54">
        <f>IFERROR(IF(INDEX(SPOT_Import!$A$1:$Z$2488,45,'Live Data'!$C$12)="","",INDEX(SPOT_Import!$A$1:$Z$2488,45,'Live Data'!$C$12)),"")</f>
        <v>12799</v>
      </c>
      <c r="B45" s="54" t="str">
        <f>IFERROR(IF(INDEX(SPOT_Import!$A$1:$Z$2488,45,'Live Data'!$C$13)="","",INDEX(SPOT_Import!$A$1:$Z$2488,45,'Live Data'!$C$13)),"")</f>
        <v>St John of God Hospital Tigania</v>
      </c>
      <c r="C45" s="54" t="str">
        <f>IFERROR(IF(INDEX(SPOT_Import!$A$1:$Z$2488,45,'Live Data'!$C$14)="","",INDEX(SPOT_Import!$A$1:$Z$2488,45,'Live Data'!$C$14)),"")</f>
        <v>MERU</v>
      </c>
      <c r="D45" s="54" t="str">
        <f>IFERROR(IF(INDEX(SPOT_Import!$A$1:$Z$2488,45,'Live Data'!$C$15)="","",INDEX(SPOT_Import!$A$1:$Z$2488,45,'Live Data'!$C$15)),"")</f>
        <v>Tigania East</v>
      </c>
      <c r="E45" s="54" t="str">
        <f>IFERROR(IF(INDEX(SPOT_Import!$A$1:$Z$2488,45,'Live Data'!$C$16)="","",INDEX(SPOT_Import!$A$1:$Z$2488,45,'Live Data'!$C$16)),"")</f>
        <v>USAID Jamii Tekelezi</v>
      </c>
      <c r="F45" s="54" t="str">
        <f>IFERROR(IF(INDEX(SPOT_Import!$A$1:$Z$2488,45,'Live Data'!$C$17)="","",INDEX(SPOT_Import!$A$1:$Z$2488,45,'Live Data'!$C$17)),"")</f>
        <v>PREP</v>
      </c>
      <c r="G45" s="54">
        <f>IFERROR(IF(INDEX(SPOT_Import!$A$1:$Z$2488,45,'Live Data'!$C$18)="","",INDEX(SPOT_Import!$A$1:$Z$2488,45,'Live Data'!$C$18)),"")</f>
        <v>88</v>
      </c>
      <c r="H45" s="54" t="str">
        <f>IFERROR(IF(INDEX(SPOT_Import!$A$1:$Z$2488,45,'Live Data'!$C$19)="","",INDEX(SPOT_Import!$A$1:$Z$2488,45,'Live Data'!$C$19)),"")</f>
        <v/>
      </c>
      <c r="I45" s="54" t="str">
        <f>IFERROR(IF(INDEX(SPOT_Import!$A$1:$Z$2488,45,'Live Data'!$C$20)="","",INDEX(SPOT_Import!$A$1:$Z$2488,45,'Live Data'!$C$20)),"")</f>
        <v>Incomplete</v>
      </c>
      <c r="J45" s="54" t="str">
        <f>IFERROR(IF(INDEX(SPOT_Import!$A$1:$Z$2488,45,'Live Data'!$C$21)="","",INDEX(SPOT_Import!$A$1:$Z$2488,45,'Live Data'!$C$21)),"")</f>
        <v>2026-10-12T10:04:37.000Z</v>
      </c>
      <c r="K45" s="54" t="str">
        <f>IFERROR(IF(INDEX(SPOT_Import!$A$1:$Z$2488,45,'Live Data'!$C$22)="","",INDEX(SPOT_Import!$A$1:$Z$2488,45,'Live Data'!$C$22)),"")</f>
        <v>2026-10-12T10:04:37.000Z</v>
      </c>
      <c r="L45" s="55" t="str">
        <f t="shared" si="0"/>
        <v>2026-10</v>
      </c>
      <c r="M45" s="55" t="str">
        <f t="shared" si="1"/>
        <v>MERU</v>
      </c>
      <c r="N45" s="55" t="str">
        <f>IF(A45="","",IFERROR(INDEX('Cluster Map'!$A$4:$A$38,MATCH(M45,'Cluster Map'!$B$4:$B$38,0)),"Unmapped"))</f>
        <v>Cluster 1</v>
      </c>
      <c r="O45" s="55">
        <f>IF(A45="",0,IF(COUNTIFS($A$2:A45,A45,$F$2:F45,F45,$L$2:L45,L45)=1,1,0))</f>
        <v>1</v>
      </c>
      <c r="P45" s="55">
        <f>IF(A45="",0,IF(AND(F45="C&amp;T",COUNTIFS($A$2:A45,A45,$F$2:F45,"C&amp;T")=1),1,0))</f>
        <v>0</v>
      </c>
    </row>
    <row r="46" spans="1:16" x14ac:dyDescent="0.35">
      <c r="A46" s="54">
        <f>IFERROR(IF(INDEX(SPOT_Import!$A$1:$Z$2488,46,'Live Data'!$C$12)="","",INDEX(SPOT_Import!$A$1:$Z$2488,46,'Live Data'!$C$12)),"")</f>
        <v>12799</v>
      </c>
      <c r="B46" s="54" t="str">
        <f>IFERROR(IF(INDEX(SPOT_Import!$A$1:$Z$2488,46,'Live Data'!$C$13)="","",INDEX(SPOT_Import!$A$1:$Z$2488,46,'Live Data'!$C$13)),"")</f>
        <v>St John of God Hospital Tigania</v>
      </c>
      <c r="C46" s="54" t="str">
        <f>IFERROR(IF(INDEX(SPOT_Import!$A$1:$Z$2488,46,'Live Data'!$C$14)="","",INDEX(SPOT_Import!$A$1:$Z$2488,46,'Live Data'!$C$14)),"")</f>
        <v>MERU</v>
      </c>
      <c r="D46" s="54" t="str">
        <f>IFERROR(IF(INDEX(SPOT_Import!$A$1:$Z$2488,46,'Live Data'!$C$15)="","",INDEX(SPOT_Import!$A$1:$Z$2488,46,'Live Data'!$C$15)),"")</f>
        <v>Tigania East</v>
      </c>
      <c r="E46" s="54" t="str">
        <f>IFERROR(IF(INDEX(SPOT_Import!$A$1:$Z$2488,46,'Live Data'!$C$16)="","",INDEX(SPOT_Import!$A$1:$Z$2488,46,'Live Data'!$C$16)),"")</f>
        <v>USAID Jamii Tekelezi</v>
      </c>
      <c r="F46" s="54" t="str">
        <f>IFERROR(IF(INDEX(SPOT_Import!$A$1:$Z$2488,46,'Live Data'!$C$17)="","",INDEX(SPOT_Import!$A$1:$Z$2488,46,'Live Data'!$C$17)),"")</f>
        <v>MNCH</v>
      </c>
      <c r="G46" s="54">
        <f>IFERROR(IF(INDEX(SPOT_Import!$A$1:$Z$2488,46,'Live Data'!$C$18)="","",INDEX(SPOT_Import!$A$1:$Z$2488,46,'Live Data'!$C$18)),"")</f>
        <v>184</v>
      </c>
      <c r="H46" s="54">
        <f>IFERROR(IF(INDEX(SPOT_Import!$A$1:$Z$2488,46,'Live Data'!$C$19)="","",INDEX(SPOT_Import!$A$1:$Z$2488,46,'Live Data'!$C$19)),"")</f>
        <v>184</v>
      </c>
      <c r="I46" s="54" t="str">
        <f>IFERROR(IF(INDEX(SPOT_Import!$A$1:$Z$2488,46,'Live Data'!$C$20)="","",INDEX(SPOT_Import!$A$1:$Z$2488,46,'Live Data'!$C$20)),"")</f>
        <v>Complete</v>
      </c>
      <c r="J46" s="54" t="str">
        <f>IFERROR(IF(INDEX(SPOT_Import!$A$1:$Z$2488,46,'Live Data'!$C$21)="","",INDEX(SPOT_Import!$A$1:$Z$2488,46,'Live Data'!$C$21)),"")</f>
        <v>2026-10-12T10:04:08.000Z</v>
      </c>
      <c r="K46" s="54" t="str">
        <f>IFERROR(IF(INDEX(SPOT_Import!$A$1:$Z$2488,46,'Live Data'!$C$22)="","",INDEX(SPOT_Import!$A$1:$Z$2488,46,'Live Data'!$C$22)),"")</f>
        <v>2026-10-12T10:04:08.000Z</v>
      </c>
      <c r="L46" s="55" t="str">
        <f t="shared" si="0"/>
        <v>2026-10</v>
      </c>
      <c r="M46" s="55" t="str">
        <f t="shared" si="1"/>
        <v>MERU</v>
      </c>
      <c r="N46" s="55" t="str">
        <f>IF(A46="","",IFERROR(INDEX('Cluster Map'!$A$4:$A$38,MATCH(M46,'Cluster Map'!$B$4:$B$38,0)),"Unmapped"))</f>
        <v>Cluster 1</v>
      </c>
      <c r="O46" s="55">
        <f>IF(A46="",0,IF(COUNTIFS($A$2:A46,A46,$F$2:F46,F46,$L$2:L46,L46)=1,1,0))</f>
        <v>1</v>
      </c>
      <c r="P46" s="55">
        <f>IF(A46="",0,IF(AND(F46="C&amp;T",COUNTIFS($A$2:A46,A46,$F$2:F46,"C&amp;T")=1),1,0))</f>
        <v>0</v>
      </c>
    </row>
    <row r="47" spans="1:16" x14ac:dyDescent="0.35">
      <c r="A47" s="54">
        <f>IFERROR(IF(INDEX(SPOT_Import!$A$1:$Z$2488,47,'Live Data'!$C$12)="","",INDEX(SPOT_Import!$A$1:$Z$2488,47,'Live Data'!$C$12)),"")</f>
        <v>12799</v>
      </c>
      <c r="B47" s="54" t="str">
        <f>IFERROR(IF(INDEX(SPOT_Import!$A$1:$Z$2488,47,'Live Data'!$C$13)="","",INDEX(SPOT_Import!$A$1:$Z$2488,47,'Live Data'!$C$13)),"")</f>
        <v>St John of God Hospital Tigania</v>
      </c>
      <c r="C47" s="54" t="str">
        <f>IFERROR(IF(INDEX(SPOT_Import!$A$1:$Z$2488,47,'Live Data'!$C$14)="","",INDEX(SPOT_Import!$A$1:$Z$2488,47,'Live Data'!$C$14)),"")</f>
        <v>MERU</v>
      </c>
      <c r="D47" s="54" t="str">
        <f>IFERROR(IF(INDEX(SPOT_Import!$A$1:$Z$2488,47,'Live Data'!$C$15)="","",INDEX(SPOT_Import!$A$1:$Z$2488,47,'Live Data'!$C$15)),"")</f>
        <v>Tigania East</v>
      </c>
      <c r="E47" s="54" t="str">
        <f>IFERROR(IF(INDEX(SPOT_Import!$A$1:$Z$2488,47,'Live Data'!$C$16)="","",INDEX(SPOT_Import!$A$1:$Z$2488,47,'Live Data'!$C$16)),"")</f>
        <v>USAID Jamii Tekelezi</v>
      </c>
      <c r="F47" s="54" t="str">
        <f>IFERROR(IF(INDEX(SPOT_Import!$A$1:$Z$2488,47,'Live Data'!$C$17)="","",INDEX(SPOT_Import!$A$1:$Z$2488,47,'Live Data'!$C$17)),"")</f>
        <v>HTS</v>
      </c>
      <c r="G47" s="54">
        <f>IFERROR(IF(INDEX(SPOT_Import!$A$1:$Z$2488,47,'Live Data'!$C$18)="","",INDEX(SPOT_Import!$A$1:$Z$2488,47,'Live Data'!$C$18)),"")</f>
        <v>1241</v>
      </c>
      <c r="H47" s="54">
        <f>IFERROR(IF(INDEX(SPOT_Import!$A$1:$Z$2488,47,'Live Data'!$C$19)="","",INDEX(SPOT_Import!$A$1:$Z$2488,47,'Live Data'!$C$19)),"")</f>
        <v>1000</v>
      </c>
      <c r="I47" s="54" t="str">
        <f>IFERROR(IF(INDEX(SPOT_Import!$A$1:$Z$2488,47,'Live Data'!$C$20)="","",INDEX(SPOT_Import!$A$1:$Z$2488,47,'Live Data'!$C$20)),"")</f>
        <v>Incomplete</v>
      </c>
      <c r="J47" s="54" t="str">
        <f>IFERROR(IF(INDEX(SPOT_Import!$A$1:$Z$2488,47,'Live Data'!$C$21)="","",INDEX(SPOT_Import!$A$1:$Z$2488,47,'Live Data'!$C$21)),"")</f>
        <v>2026-10-12T10:02:20.000Z</v>
      </c>
      <c r="K47" s="54" t="str">
        <f>IFERROR(IF(INDEX(SPOT_Import!$A$1:$Z$2488,47,'Live Data'!$C$22)="","",INDEX(SPOT_Import!$A$1:$Z$2488,47,'Live Data'!$C$22)),"")</f>
        <v>2026-10-12T10:02:20.000Z</v>
      </c>
      <c r="L47" s="55" t="str">
        <f t="shared" si="0"/>
        <v>2026-10</v>
      </c>
      <c r="M47" s="55" t="str">
        <f t="shared" si="1"/>
        <v>MERU</v>
      </c>
      <c r="N47" s="55" t="str">
        <f>IF(A47="","",IFERROR(INDEX('Cluster Map'!$A$4:$A$38,MATCH(M47,'Cluster Map'!$B$4:$B$38,0)),"Unmapped"))</f>
        <v>Cluster 1</v>
      </c>
      <c r="O47" s="55">
        <f>IF(A47="",0,IF(COUNTIFS($A$2:A47,A47,$F$2:F47,F47,$L$2:L47,L47)=1,1,0))</f>
        <v>1</v>
      </c>
      <c r="P47" s="55">
        <f>IF(A47="",0,IF(AND(F47="C&amp;T",COUNTIFS($A$2:A47,A47,$F$2:F47,"C&amp;T")=1),1,0))</f>
        <v>0</v>
      </c>
    </row>
    <row r="48" spans="1:16" x14ac:dyDescent="0.35">
      <c r="A48" s="54">
        <f>IFERROR(IF(INDEX(SPOT_Import!$A$1:$Z$2488,48,'Live Data'!$C$12)="","",INDEX(SPOT_Import!$A$1:$Z$2488,48,'Live Data'!$C$12)),"")</f>
        <v>12799</v>
      </c>
      <c r="B48" s="54" t="str">
        <f>IFERROR(IF(INDEX(SPOT_Import!$A$1:$Z$2488,48,'Live Data'!$C$13)="","",INDEX(SPOT_Import!$A$1:$Z$2488,48,'Live Data'!$C$13)),"")</f>
        <v>St. John of God Hospital Tigania</v>
      </c>
      <c r="C48" s="54" t="str">
        <f>IFERROR(IF(INDEX(SPOT_Import!$A$1:$Z$2488,48,'Live Data'!$C$14)="","",INDEX(SPOT_Import!$A$1:$Z$2488,48,'Live Data'!$C$14)),"")</f>
        <v>MERU</v>
      </c>
      <c r="D48" s="54" t="str">
        <f>IFERROR(IF(INDEX(SPOT_Import!$A$1:$Z$2488,48,'Live Data'!$C$15)="","",INDEX(SPOT_Import!$A$1:$Z$2488,48,'Live Data'!$C$15)),"")</f>
        <v>Tigania East</v>
      </c>
      <c r="E48" s="54" t="str">
        <f>IFERROR(IF(INDEX(SPOT_Import!$A$1:$Z$2488,48,'Live Data'!$C$16)="","",INDEX(SPOT_Import!$A$1:$Z$2488,48,'Live Data'!$C$16)),"")</f>
        <v>USAID Jamii Tekelezi</v>
      </c>
      <c r="F48" s="54" t="str">
        <f>IFERROR(IF(INDEX(SPOT_Import!$A$1:$Z$2488,48,'Live Data'!$C$17)="","",INDEX(SPOT_Import!$A$1:$Z$2488,48,'Live Data'!$C$17)),"")</f>
        <v>C&amp;T</v>
      </c>
      <c r="G48" s="54">
        <f>IFERROR(IF(INDEX(SPOT_Import!$A$1:$Z$2488,48,'Live Data'!$C$18)="","",INDEX(SPOT_Import!$A$1:$Z$2488,48,'Live Data'!$C$18)),"")</f>
        <v>650</v>
      </c>
      <c r="H48" s="54">
        <f>IFERROR(IF(INDEX(SPOT_Import!$A$1:$Z$2488,48,'Live Data'!$C$19)="","",INDEX(SPOT_Import!$A$1:$Z$2488,48,'Live Data'!$C$19)),"")</f>
        <v>650</v>
      </c>
      <c r="I48" s="54" t="str">
        <f>IFERROR(IF(INDEX(SPOT_Import!$A$1:$Z$2488,48,'Live Data'!$C$20)="","",INDEX(SPOT_Import!$A$1:$Z$2488,48,'Live Data'!$C$20)),"")</f>
        <v>Complete</v>
      </c>
      <c r="J48" s="54" t="str">
        <f>IFERROR(IF(INDEX(SPOT_Import!$A$1:$Z$2488,48,'Live Data'!$C$21)="","",INDEX(SPOT_Import!$A$1:$Z$2488,48,'Live Data'!$C$21)),"")</f>
        <v>2026-10-12T09:46:47.000Z</v>
      </c>
      <c r="K48" s="54" t="str">
        <f>IFERROR(IF(INDEX(SPOT_Import!$A$1:$Z$2488,48,'Live Data'!$C$22)="","",INDEX(SPOT_Import!$A$1:$Z$2488,48,'Live Data'!$C$22)),"")</f>
        <v>2026-10-12T09:46:47.000Z</v>
      </c>
      <c r="L48" s="55" t="str">
        <f t="shared" si="0"/>
        <v>2026-10</v>
      </c>
      <c r="M48" s="55" t="str">
        <f t="shared" si="1"/>
        <v>MERU</v>
      </c>
      <c r="N48" s="55" t="str">
        <f>IF(A48="","",IFERROR(INDEX('Cluster Map'!$A$4:$A$38,MATCH(M48,'Cluster Map'!$B$4:$B$38,0)),"Unmapped"))</f>
        <v>Cluster 1</v>
      </c>
      <c r="O48" s="55">
        <f>IF(A48="",0,IF(COUNTIFS($A$2:A48,A48,$F$2:F48,F48,$L$2:L48,L48)=1,1,0))</f>
        <v>1</v>
      </c>
      <c r="P48" s="55">
        <f>IF(A48="",0,IF(AND(F48="C&amp;T",COUNTIFS($A$2:A48,A48,$F$2:F48,"C&amp;T")=1),1,0))</f>
        <v>1</v>
      </c>
    </row>
    <row r="49" spans="1:16" x14ac:dyDescent="0.35">
      <c r="A49" s="54">
        <f>IFERROR(IF(INDEX(SPOT_Import!$A$1:$Z$2488,49,'Live Data'!$C$12)="","",INDEX(SPOT_Import!$A$1:$Z$2488,49,'Live Data'!$C$12)),"")</f>
        <v>12831</v>
      </c>
      <c r="B49" s="54" t="str">
        <f>IFERROR(IF(INDEX(SPOT_Import!$A$1:$Z$2488,49,'Live Data'!$C$13)="","",INDEX(SPOT_Import!$A$1:$Z$2488,49,'Live Data'!$C$13)),"")</f>
        <v>Uruku Health Centre</v>
      </c>
      <c r="C49" s="54" t="str">
        <f>IFERROR(IF(INDEX(SPOT_Import!$A$1:$Z$2488,49,'Live Data'!$C$14)="","",INDEX(SPOT_Import!$A$1:$Z$2488,49,'Live Data'!$C$14)),"")</f>
        <v>MERU</v>
      </c>
      <c r="D49" s="54" t="str">
        <f>IFERROR(IF(INDEX(SPOT_Import!$A$1:$Z$2488,49,'Live Data'!$C$15)="","",INDEX(SPOT_Import!$A$1:$Z$2488,49,'Live Data'!$C$15)),"")</f>
        <v>Imenti South</v>
      </c>
      <c r="E49" s="54" t="str">
        <f>IFERROR(IF(INDEX(SPOT_Import!$A$1:$Z$2488,49,'Live Data'!$C$16)="","",INDEX(SPOT_Import!$A$1:$Z$2488,49,'Live Data'!$C$16)),"")</f>
        <v>USAID Jamii Tekelezi</v>
      </c>
      <c r="F49" s="54" t="str">
        <f>IFERROR(IF(INDEX(SPOT_Import!$A$1:$Z$2488,49,'Live Data'!$C$17)="","",INDEX(SPOT_Import!$A$1:$Z$2488,49,'Live Data'!$C$17)),"")</f>
        <v>MNCH</v>
      </c>
      <c r="G49" s="54">
        <f>IFERROR(IF(INDEX(SPOT_Import!$A$1:$Z$2488,49,'Live Data'!$C$18)="","",INDEX(SPOT_Import!$A$1:$Z$2488,49,'Live Data'!$C$18)),"")</f>
        <v>2</v>
      </c>
      <c r="H49" s="54" t="str">
        <f>IFERROR(IF(INDEX(SPOT_Import!$A$1:$Z$2488,49,'Live Data'!$C$19)="","",INDEX(SPOT_Import!$A$1:$Z$2488,49,'Live Data'!$C$19)),"")</f>
        <v/>
      </c>
      <c r="I49" s="54" t="str">
        <f>IFERROR(IF(INDEX(SPOT_Import!$A$1:$Z$2488,49,'Live Data'!$C$20)="","",INDEX(SPOT_Import!$A$1:$Z$2488,49,'Live Data'!$C$20)),"")</f>
        <v>Incomplete</v>
      </c>
      <c r="J49" s="54" t="str">
        <f>IFERROR(IF(INDEX(SPOT_Import!$A$1:$Z$2488,49,'Live Data'!$C$21)="","",INDEX(SPOT_Import!$A$1:$Z$2488,49,'Live Data'!$C$21)),"")</f>
        <v>2026-10-12T09:25:25.000Z</v>
      </c>
      <c r="K49" s="54" t="str">
        <f>IFERROR(IF(INDEX(SPOT_Import!$A$1:$Z$2488,49,'Live Data'!$C$22)="","",INDEX(SPOT_Import!$A$1:$Z$2488,49,'Live Data'!$C$22)),"")</f>
        <v>2026-10-12T09:25:25.000Z</v>
      </c>
      <c r="L49" s="55" t="str">
        <f t="shared" si="0"/>
        <v>2026-10</v>
      </c>
      <c r="M49" s="55" t="str">
        <f t="shared" si="1"/>
        <v>MERU</v>
      </c>
      <c r="N49" s="55" t="str">
        <f>IF(A49="","",IFERROR(INDEX('Cluster Map'!$A$4:$A$38,MATCH(M49,'Cluster Map'!$B$4:$B$38,0)),"Unmapped"))</f>
        <v>Cluster 1</v>
      </c>
      <c r="O49" s="55">
        <f>IF(A49="",0,IF(COUNTIFS($A$2:A49,A49,$F$2:F49,F49,$L$2:L49,L49)=1,1,0))</f>
        <v>1</v>
      </c>
      <c r="P49" s="55">
        <f>IF(A49="",0,IF(AND(F49="C&amp;T",COUNTIFS($A$2:A49,A49,$F$2:F49,"C&amp;T")=1),1,0))</f>
        <v>0</v>
      </c>
    </row>
    <row r="50" spans="1:16" x14ac:dyDescent="0.35">
      <c r="A50" s="54">
        <f>IFERROR(IF(INDEX(SPOT_Import!$A$1:$Z$2488,50,'Live Data'!$C$12)="","",INDEX(SPOT_Import!$A$1:$Z$2488,50,'Live Data'!$C$12)),"")</f>
        <v>12831</v>
      </c>
      <c r="B50" s="54" t="str">
        <f>IFERROR(IF(INDEX(SPOT_Import!$A$1:$Z$2488,50,'Live Data'!$C$13)="","",INDEX(SPOT_Import!$A$1:$Z$2488,50,'Live Data'!$C$13)),"")</f>
        <v>Uruku Health Centre</v>
      </c>
      <c r="C50" s="54" t="str">
        <f>IFERROR(IF(INDEX(SPOT_Import!$A$1:$Z$2488,50,'Live Data'!$C$14)="","",INDEX(SPOT_Import!$A$1:$Z$2488,50,'Live Data'!$C$14)),"")</f>
        <v>MERU</v>
      </c>
      <c r="D50" s="54" t="str">
        <f>IFERROR(IF(INDEX(SPOT_Import!$A$1:$Z$2488,50,'Live Data'!$C$15)="","",INDEX(SPOT_Import!$A$1:$Z$2488,50,'Live Data'!$C$15)),"")</f>
        <v>Imenti South</v>
      </c>
      <c r="E50" s="54" t="str">
        <f>IFERROR(IF(INDEX(SPOT_Import!$A$1:$Z$2488,50,'Live Data'!$C$16)="","",INDEX(SPOT_Import!$A$1:$Z$2488,50,'Live Data'!$C$16)),"")</f>
        <v>USAID Jamii Tekelezi</v>
      </c>
      <c r="F50" s="54" t="str">
        <f>IFERROR(IF(INDEX(SPOT_Import!$A$1:$Z$2488,50,'Live Data'!$C$17)="","",INDEX(SPOT_Import!$A$1:$Z$2488,50,'Live Data'!$C$17)),"")</f>
        <v>C&amp;T</v>
      </c>
      <c r="G50" s="54">
        <f>IFERROR(IF(INDEX(SPOT_Import!$A$1:$Z$2488,50,'Live Data'!$C$18)="","",INDEX(SPOT_Import!$A$1:$Z$2488,50,'Live Data'!$C$18)),"")</f>
        <v>42</v>
      </c>
      <c r="H50" s="54">
        <f>IFERROR(IF(INDEX(SPOT_Import!$A$1:$Z$2488,50,'Live Data'!$C$19)="","",INDEX(SPOT_Import!$A$1:$Z$2488,50,'Live Data'!$C$19)),"")</f>
        <v>42</v>
      </c>
      <c r="I50" s="54" t="str">
        <f>IFERROR(IF(INDEX(SPOT_Import!$A$1:$Z$2488,50,'Live Data'!$C$20)="","",INDEX(SPOT_Import!$A$1:$Z$2488,50,'Live Data'!$C$20)),"")</f>
        <v>Complete</v>
      </c>
      <c r="J50" s="54" t="str">
        <f>IFERROR(IF(INDEX(SPOT_Import!$A$1:$Z$2488,50,'Live Data'!$C$21)="","",INDEX(SPOT_Import!$A$1:$Z$2488,50,'Live Data'!$C$21)),"")</f>
        <v>2026-10-12T09:05:35.000Z</v>
      </c>
      <c r="K50" s="54" t="str">
        <f>IFERROR(IF(INDEX(SPOT_Import!$A$1:$Z$2488,50,'Live Data'!$C$22)="","",INDEX(SPOT_Import!$A$1:$Z$2488,50,'Live Data'!$C$22)),"")</f>
        <v>2026-10-12T09:05:35.000Z</v>
      </c>
      <c r="L50" s="55" t="str">
        <f t="shared" si="0"/>
        <v>2026-10</v>
      </c>
      <c r="M50" s="55" t="str">
        <f t="shared" si="1"/>
        <v>MERU</v>
      </c>
      <c r="N50" s="55" t="str">
        <f>IF(A50="","",IFERROR(INDEX('Cluster Map'!$A$4:$A$38,MATCH(M50,'Cluster Map'!$B$4:$B$38,0)),"Unmapped"))</f>
        <v>Cluster 1</v>
      </c>
      <c r="O50" s="55">
        <f>IF(A50="",0,IF(COUNTIFS($A$2:A50,A50,$F$2:F50,F50,$L$2:L50,L50)=1,1,0))</f>
        <v>1</v>
      </c>
      <c r="P50" s="55">
        <f>IF(A50="",0,IF(AND(F50="C&amp;T",COUNTIFS($A$2:A50,A50,$F$2:F50,"C&amp;T")=1),1,0))</f>
        <v>1</v>
      </c>
    </row>
    <row r="51" spans="1:16" x14ac:dyDescent="0.35">
      <c r="A51" s="54">
        <f>IFERROR(IF(INDEX(SPOT_Import!$A$1:$Z$2488,51,'Live Data'!$C$12)="","",INDEX(SPOT_Import!$A$1:$Z$2488,51,'Live Data'!$C$12)),"")</f>
        <v>12605</v>
      </c>
      <c r="B51" s="54" t="str">
        <f>IFERROR(IF(INDEX(SPOT_Import!$A$1:$Z$2488,51,'Live Data'!$C$13)="","",INDEX(SPOT_Import!$A$1:$Z$2488,51,'Live Data'!$C$13)),"")</f>
        <v>Mutuati Sub-District Hospital</v>
      </c>
      <c r="C51" s="54" t="str">
        <f>IFERROR(IF(INDEX(SPOT_Import!$A$1:$Z$2488,51,'Live Data'!$C$14)="","",INDEX(SPOT_Import!$A$1:$Z$2488,51,'Live Data'!$C$14)),"")</f>
        <v>MERU</v>
      </c>
      <c r="D51" s="54" t="str">
        <f>IFERROR(IF(INDEX(SPOT_Import!$A$1:$Z$2488,51,'Live Data'!$C$15)="","",INDEX(SPOT_Import!$A$1:$Z$2488,51,'Live Data'!$C$15)),"")</f>
        <v>Igembe North</v>
      </c>
      <c r="E51" s="54" t="str">
        <f>IFERROR(IF(INDEX(SPOT_Import!$A$1:$Z$2488,51,'Live Data'!$C$16)="","",INDEX(SPOT_Import!$A$1:$Z$2488,51,'Live Data'!$C$16)),"")</f>
        <v>USAID Jamii Tekelezi</v>
      </c>
      <c r="F51" s="54" t="str">
        <f>IFERROR(IF(INDEX(SPOT_Import!$A$1:$Z$2488,51,'Live Data'!$C$17)="","",INDEX(SPOT_Import!$A$1:$Z$2488,51,'Live Data'!$C$17)),"")</f>
        <v>C&amp;T</v>
      </c>
      <c r="G51" s="54">
        <f>IFERROR(IF(INDEX(SPOT_Import!$A$1:$Z$2488,51,'Live Data'!$C$18)="","",INDEX(SPOT_Import!$A$1:$Z$2488,51,'Live Data'!$C$18)),"")</f>
        <v>1483</v>
      </c>
      <c r="H51" s="54">
        <f>IFERROR(IF(INDEX(SPOT_Import!$A$1:$Z$2488,51,'Live Data'!$C$19)="","",INDEX(SPOT_Import!$A$1:$Z$2488,51,'Live Data'!$C$19)),"")</f>
        <v>1483</v>
      </c>
      <c r="I51" s="54" t="str">
        <f>IFERROR(IF(INDEX(SPOT_Import!$A$1:$Z$2488,51,'Live Data'!$C$20)="","",INDEX(SPOT_Import!$A$1:$Z$2488,51,'Live Data'!$C$20)),"")</f>
        <v>Complete</v>
      </c>
      <c r="J51" s="54" t="str">
        <f>IFERROR(IF(INDEX(SPOT_Import!$A$1:$Z$2488,51,'Live Data'!$C$21)="","",INDEX(SPOT_Import!$A$1:$Z$2488,51,'Live Data'!$C$21)),"")</f>
        <v>2026-10-12T08:42:39.000Z</v>
      </c>
      <c r="K51" s="54" t="str">
        <f>IFERROR(IF(INDEX(SPOT_Import!$A$1:$Z$2488,51,'Live Data'!$C$22)="","",INDEX(SPOT_Import!$A$1:$Z$2488,51,'Live Data'!$C$22)),"")</f>
        <v>2026-10-12T08:42:39.000Z</v>
      </c>
      <c r="L51" s="55" t="str">
        <f t="shared" si="0"/>
        <v>2026-10</v>
      </c>
      <c r="M51" s="55" t="str">
        <f t="shared" si="1"/>
        <v>MERU</v>
      </c>
      <c r="N51" s="55" t="str">
        <f>IF(A51="","",IFERROR(INDEX('Cluster Map'!$A$4:$A$38,MATCH(M51,'Cluster Map'!$B$4:$B$38,0)),"Unmapped"))</f>
        <v>Cluster 1</v>
      </c>
      <c r="O51" s="55">
        <f>IF(A51="",0,IF(COUNTIFS($A$2:A51,A51,$F$2:F51,F51,$L$2:L51,L51)=1,1,0))</f>
        <v>1</v>
      </c>
      <c r="P51" s="55">
        <f>IF(A51="",0,IF(AND(F51="C&amp;T",COUNTIFS($A$2:A51,A51,$F$2:F51,"C&amp;T")=1),1,0))</f>
        <v>1</v>
      </c>
    </row>
    <row r="52" spans="1:16" x14ac:dyDescent="0.35">
      <c r="A52" s="54">
        <f>IFERROR(IF(INDEX(SPOT_Import!$A$1:$Z$2488,52,'Live Data'!$C$12)="","",INDEX(SPOT_Import!$A$1:$Z$2488,52,'Live Data'!$C$12)),"")</f>
        <v>12816</v>
      </c>
      <c r="B52" s="54" t="str">
        <f>IFERROR(IF(INDEX(SPOT_Import!$A$1:$Z$2488,52,'Live Data'!$C$13)="","",INDEX(SPOT_Import!$A$1:$Z$2488,52,'Live Data'!$C$13)),"")</f>
        <v>Tuuru Catholic Health Centre</v>
      </c>
      <c r="C52" s="54" t="str">
        <f>IFERROR(IF(INDEX(SPOT_Import!$A$1:$Z$2488,52,'Live Data'!$C$14)="","",INDEX(SPOT_Import!$A$1:$Z$2488,52,'Live Data'!$C$14)),"")</f>
        <v>MERU</v>
      </c>
      <c r="D52" s="54" t="str">
        <f>IFERROR(IF(INDEX(SPOT_Import!$A$1:$Z$2488,52,'Live Data'!$C$15)="","",INDEX(SPOT_Import!$A$1:$Z$2488,52,'Live Data'!$C$15)),"")</f>
        <v>Igembe Central</v>
      </c>
      <c r="E52" s="54" t="str">
        <f>IFERROR(IF(INDEX(SPOT_Import!$A$1:$Z$2488,52,'Live Data'!$C$16)="","",INDEX(SPOT_Import!$A$1:$Z$2488,52,'Live Data'!$C$16)),"")</f>
        <v>USAID Jamii Tekelezi</v>
      </c>
      <c r="F52" s="54" t="str">
        <f>IFERROR(IF(INDEX(SPOT_Import!$A$1:$Z$2488,52,'Live Data'!$C$17)="","",INDEX(SPOT_Import!$A$1:$Z$2488,52,'Live Data'!$C$17)),"")</f>
        <v>MNCH</v>
      </c>
      <c r="G52" s="54">
        <f>IFERROR(IF(INDEX(SPOT_Import!$A$1:$Z$2488,52,'Live Data'!$C$18)="","",INDEX(SPOT_Import!$A$1:$Z$2488,52,'Live Data'!$C$18)),"")</f>
        <v>1</v>
      </c>
      <c r="H52" s="54" t="str">
        <f>IFERROR(IF(INDEX(SPOT_Import!$A$1:$Z$2488,52,'Live Data'!$C$19)="","",INDEX(SPOT_Import!$A$1:$Z$2488,52,'Live Data'!$C$19)),"")</f>
        <v/>
      </c>
      <c r="I52" s="54" t="str">
        <f>IFERROR(IF(INDEX(SPOT_Import!$A$1:$Z$2488,52,'Live Data'!$C$20)="","",INDEX(SPOT_Import!$A$1:$Z$2488,52,'Live Data'!$C$20)),"")</f>
        <v>Incomplete</v>
      </c>
      <c r="J52" s="54" t="str">
        <f>IFERROR(IF(INDEX(SPOT_Import!$A$1:$Z$2488,52,'Live Data'!$C$21)="","",INDEX(SPOT_Import!$A$1:$Z$2488,52,'Live Data'!$C$21)),"")</f>
        <v>2026-10-12T07:21:38.000Z</v>
      </c>
      <c r="K52" s="54" t="str">
        <f>IFERROR(IF(INDEX(SPOT_Import!$A$1:$Z$2488,52,'Live Data'!$C$22)="","",INDEX(SPOT_Import!$A$1:$Z$2488,52,'Live Data'!$C$22)),"")</f>
        <v>2026-10-12T07:21:38.000Z</v>
      </c>
      <c r="L52" s="55" t="str">
        <f t="shared" si="0"/>
        <v>2026-10</v>
      </c>
      <c r="M52" s="55" t="str">
        <f t="shared" si="1"/>
        <v>MERU</v>
      </c>
      <c r="N52" s="55" t="str">
        <f>IF(A52="","",IFERROR(INDEX('Cluster Map'!$A$4:$A$38,MATCH(M52,'Cluster Map'!$B$4:$B$38,0)),"Unmapped"))</f>
        <v>Cluster 1</v>
      </c>
      <c r="O52" s="55">
        <f>IF(A52="",0,IF(COUNTIFS($A$2:A52,A52,$F$2:F52,F52,$L$2:L52,L52)=1,1,0))</f>
        <v>1</v>
      </c>
      <c r="P52" s="55">
        <f>IF(A52="",0,IF(AND(F52="C&amp;T",COUNTIFS($A$2:A52,A52,$F$2:F52,"C&amp;T")=1),1,0))</f>
        <v>0</v>
      </c>
    </row>
    <row r="53" spans="1:16" x14ac:dyDescent="0.35">
      <c r="A53" s="54">
        <f>IFERROR(IF(INDEX(SPOT_Import!$A$1:$Z$2488,53,'Live Data'!$C$12)="","",INDEX(SPOT_Import!$A$1:$Z$2488,53,'Live Data'!$C$12)),"")</f>
        <v>12605</v>
      </c>
      <c r="B53" s="54" t="str">
        <f>IFERROR(IF(INDEX(SPOT_Import!$A$1:$Z$2488,53,'Live Data'!$C$13)="","",INDEX(SPOT_Import!$A$1:$Z$2488,53,'Live Data'!$C$13)),"")</f>
        <v>Mutuati Sub-County Hospital</v>
      </c>
      <c r="C53" s="54" t="str">
        <f>IFERROR(IF(INDEX(SPOT_Import!$A$1:$Z$2488,53,'Live Data'!$C$14)="","",INDEX(SPOT_Import!$A$1:$Z$2488,53,'Live Data'!$C$14)),"")</f>
        <v>MERU</v>
      </c>
      <c r="D53" s="54" t="str">
        <f>IFERROR(IF(INDEX(SPOT_Import!$A$1:$Z$2488,53,'Live Data'!$C$15)="","",INDEX(SPOT_Import!$A$1:$Z$2488,53,'Live Data'!$C$15)),"")</f>
        <v>Igembe North</v>
      </c>
      <c r="E53" s="54" t="str">
        <f>IFERROR(IF(INDEX(SPOT_Import!$A$1:$Z$2488,53,'Live Data'!$C$16)="","",INDEX(SPOT_Import!$A$1:$Z$2488,53,'Live Data'!$C$16)),"")</f>
        <v>USAID Jamii Tekelezi</v>
      </c>
      <c r="F53" s="54" t="str">
        <f>IFERROR(IF(INDEX(SPOT_Import!$A$1:$Z$2488,53,'Live Data'!$C$17)="","",INDEX(SPOT_Import!$A$1:$Z$2488,53,'Live Data'!$C$17)),"")</f>
        <v>PREP</v>
      </c>
      <c r="G53" s="54">
        <f>IFERROR(IF(INDEX(SPOT_Import!$A$1:$Z$2488,53,'Live Data'!$C$18)="","",INDEX(SPOT_Import!$A$1:$Z$2488,53,'Live Data'!$C$18)),"")</f>
        <v>414</v>
      </c>
      <c r="H53" s="54">
        <f>IFERROR(IF(INDEX(SPOT_Import!$A$1:$Z$2488,53,'Live Data'!$C$19)="","",INDEX(SPOT_Import!$A$1:$Z$2488,53,'Live Data'!$C$19)),"")</f>
        <v>414</v>
      </c>
      <c r="I53" s="54" t="str">
        <f>IFERROR(IF(INDEX(SPOT_Import!$A$1:$Z$2488,53,'Live Data'!$C$20)="","",INDEX(SPOT_Import!$A$1:$Z$2488,53,'Live Data'!$C$20)),"")</f>
        <v>Complete</v>
      </c>
      <c r="J53" s="54" t="str">
        <f>IFERROR(IF(INDEX(SPOT_Import!$A$1:$Z$2488,53,'Live Data'!$C$21)="","",INDEX(SPOT_Import!$A$1:$Z$2488,53,'Live Data'!$C$21)),"")</f>
        <v>2026-10-12T05:58:43.000Z</v>
      </c>
      <c r="K53" s="54" t="str">
        <f>IFERROR(IF(INDEX(SPOT_Import!$A$1:$Z$2488,53,'Live Data'!$C$22)="","",INDEX(SPOT_Import!$A$1:$Z$2488,53,'Live Data'!$C$22)),"")</f>
        <v>2026-10-12T05:58:43.000Z</v>
      </c>
      <c r="L53" s="55" t="str">
        <f t="shared" si="0"/>
        <v>2026-10</v>
      </c>
      <c r="M53" s="55" t="str">
        <f t="shared" si="1"/>
        <v>MERU</v>
      </c>
      <c r="N53" s="55" t="str">
        <f>IF(A53="","",IFERROR(INDEX('Cluster Map'!$A$4:$A$38,MATCH(M53,'Cluster Map'!$B$4:$B$38,0)),"Unmapped"))</f>
        <v>Cluster 1</v>
      </c>
      <c r="O53" s="55">
        <f>IF(A53="",0,IF(COUNTIFS($A$2:A53,A53,$F$2:F53,F53,$L$2:L53,L53)=1,1,0))</f>
        <v>1</v>
      </c>
      <c r="P53" s="55">
        <f>IF(A53="",0,IF(AND(F53="C&amp;T",COUNTIFS($A$2:A53,A53,$F$2:F53,"C&amp;T")=1),1,0))</f>
        <v>0</v>
      </c>
    </row>
    <row r="54" spans="1:16" x14ac:dyDescent="0.35">
      <c r="A54" s="54">
        <f>IFERROR(IF(INDEX(SPOT_Import!$A$1:$Z$2488,54,'Live Data'!$C$12)="","",INDEX(SPOT_Import!$A$1:$Z$2488,54,'Live Data'!$C$12)),"")</f>
        <v>12605</v>
      </c>
      <c r="B54" s="54" t="str">
        <f>IFERROR(IF(INDEX(SPOT_Import!$A$1:$Z$2488,54,'Live Data'!$C$13)="","",INDEX(SPOT_Import!$A$1:$Z$2488,54,'Live Data'!$C$13)),"")</f>
        <v>Mutuati Sub-County Hospital</v>
      </c>
      <c r="C54" s="54" t="str">
        <f>IFERROR(IF(INDEX(SPOT_Import!$A$1:$Z$2488,54,'Live Data'!$C$14)="","",INDEX(SPOT_Import!$A$1:$Z$2488,54,'Live Data'!$C$14)),"")</f>
        <v>MERU</v>
      </c>
      <c r="D54" s="54" t="str">
        <f>IFERROR(IF(INDEX(SPOT_Import!$A$1:$Z$2488,54,'Live Data'!$C$15)="","",INDEX(SPOT_Import!$A$1:$Z$2488,54,'Live Data'!$C$15)),"")</f>
        <v>Igembe North</v>
      </c>
      <c r="E54" s="54" t="str">
        <f>IFERROR(IF(INDEX(SPOT_Import!$A$1:$Z$2488,54,'Live Data'!$C$16)="","",INDEX(SPOT_Import!$A$1:$Z$2488,54,'Live Data'!$C$16)),"")</f>
        <v>USAID Jamii Tekelezi</v>
      </c>
      <c r="F54" s="54" t="str">
        <f>IFERROR(IF(INDEX(SPOT_Import!$A$1:$Z$2488,54,'Live Data'!$C$17)="","",INDEX(SPOT_Import!$A$1:$Z$2488,54,'Live Data'!$C$17)),"")</f>
        <v>MNCH</v>
      </c>
      <c r="G54" s="54">
        <f>IFERROR(IF(INDEX(SPOT_Import!$A$1:$Z$2488,54,'Live Data'!$C$18)="","",INDEX(SPOT_Import!$A$1:$Z$2488,54,'Live Data'!$C$18)),"")</f>
        <v>235</v>
      </c>
      <c r="H54" s="54">
        <f>IFERROR(IF(INDEX(SPOT_Import!$A$1:$Z$2488,54,'Live Data'!$C$19)="","",INDEX(SPOT_Import!$A$1:$Z$2488,54,'Live Data'!$C$19)),"")</f>
        <v>235</v>
      </c>
      <c r="I54" s="54" t="str">
        <f>IFERROR(IF(INDEX(SPOT_Import!$A$1:$Z$2488,54,'Live Data'!$C$20)="","",INDEX(SPOT_Import!$A$1:$Z$2488,54,'Live Data'!$C$20)),"")</f>
        <v>Complete</v>
      </c>
      <c r="J54" s="54" t="str">
        <f>IFERROR(IF(INDEX(SPOT_Import!$A$1:$Z$2488,54,'Live Data'!$C$21)="","",INDEX(SPOT_Import!$A$1:$Z$2488,54,'Live Data'!$C$21)),"")</f>
        <v>2026-10-12T05:58:30.000Z</v>
      </c>
      <c r="K54" s="54" t="str">
        <f>IFERROR(IF(INDEX(SPOT_Import!$A$1:$Z$2488,54,'Live Data'!$C$22)="","",INDEX(SPOT_Import!$A$1:$Z$2488,54,'Live Data'!$C$22)),"")</f>
        <v>2026-10-12T05:58:30.000Z</v>
      </c>
      <c r="L54" s="55" t="str">
        <f t="shared" si="0"/>
        <v>2026-10</v>
      </c>
      <c r="M54" s="55" t="str">
        <f t="shared" si="1"/>
        <v>MERU</v>
      </c>
      <c r="N54" s="55" t="str">
        <f>IF(A54="","",IFERROR(INDEX('Cluster Map'!$A$4:$A$38,MATCH(M54,'Cluster Map'!$B$4:$B$38,0)),"Unmapped"))</f>
        <v>Cluster 1</v>
      </c>
      <c r="O54" s="55">
        <f>IF(A54="",0,IF(COUNTIFS($A$2:A54,A54,$F$2:F54,F54,$L$2:L54,L54)=1,1,0))</f>
        <v>1</v>
      </c>
      <c r="P54" s="55">
        <f>IF(A54="",0,IF(AND(F54="C&amp;T",COUNTIFS($A$2:A54,A54,$F$2:F54,"C&amp;T")=1),1,0))</f>
        <v>0</v>
      </c>
    </row>
    <row r="55" spans="1:16" x14ac:dyDescent="0.35">
      <c r="A55" s="54">
        <f>IFERROR(IF(INDEX(SPOT_Import!$A$1:$Z$2488,55,'Live Data'!$C$12)="","",INDEX(SPOT_Import!$A$1:$Z$2488,55,'Live Data'!$C$12)),"")</f>
        <v>12605</v>
      </c>
      <c r="B55" s="54" t="str">
        <f>IFERROR(IF(INDEX(SPOT_Import!$A$1:$Z$2488,55,'Live Data'!$C$13)="","",INDEX(SPOT_Import!$A$1:$Z$2488,55,'Live Data'!$C$13)),"")</f>
        <v>Mutuati Sub-County Hospital</v>
      </c>
      <c r="C55" s="54" t="str">
        <f>IFERROR(IF(INDEX(SPOT_Import!$A$1:$Z$2488,55,'Live Data'!$C$14)="","",INDEX(SPOT_Import!$A$1:$Z$2488,55,'Live Data'!$C$14)),"")</f>
        <v>MERU</v>
      </c>
      <c r="D55" s="54" t="str">
        <f>IFERROR(IF(INDEX(SPOT_Import!$A$1:$Z$2488,55,'Live Data'!$C$15)="","",INDEX(SPOT_Import!$A$1:$Z$2488,55,'Live Data'!$C$15)),"")</f>
        <v>Igembe North</v>
      </c>
      <c r="E55" s="54" t="str">
        <f>IFERROR(IF(INDEX(SPOT_Import!$A$1:$Z$2488,55,'Live Data'!$C$16)="","",INDEX(SPOT_Import!$A$1:$Z$2488,55,'Live Data'!$C$16)),"")</f>
        <v>USAID Jamii Tekelezi</v>
      </c>
      <c r="F55" s="54" t="str">
        <f>IFERROR(IF(INDEX(SPOT_Import!$A$1:$Z$2488,55,'Live Data'!$C$17)="","",INDEX(SPOT_Import!$A$1:$Z$2488,55,'Live Data'!$C$17)),"")</f>
        <v>HTS</v>
      </c>
      <c r="G55" s="54">
        <f>IFERROR(IF(INDEX(SPOT_Import!$A$1:$Z$2488,55,'Live Data'!$C$18)="","",INDEX(SPOT_Import!$A$1:$Z$2488,55,'Live Data'!$C$18)),"")</f>
        <v>2765</v>
      </c>
      <c r="H55" s="54">
        <f>IFERROR(IF(INDEX(SPOT_Import!$A$1:$Z$2488,55,'Live Data'!$C$19)="","",INDEX(SPOT_Import!$A$1:$Z$2488,55,'Live Data'!$C$19)),"")</f>
        <v>2765</v>
      </c>
      <c r="I55" s="54" t="str">
        <f>IFERROR(IF(INDEX(SPOT_Import!$A$1:$Z$2488,55,'Live Data'!$C$20)="","",INDEX(SPOT_Import!$A$1:$Z$2488,55,'Live Data'!$C$20)),"")</f>
        <v>Complete</v>
      </c>
      <c r="J55" s="54" t="str">
        <f>IFERROR(IF(INDEX(SPOT_Import!$A$1:$Z$2488,55,'Live Data'!$C$21)="","",INDEX(SPOT_Import!$A$1:$Z$2488,55,'Live Data'!$C$21)),"")</f>
        <v>2026-10-12T05:58:07.000Z</v>
      </c>
      <c r="K55" s="54" t="str">
        <f>IFERROR(IF(INDEX(SPOT_Import!$A$1:$Z$2488,55,'Live Data'!$C$22)="","",INDEX(SPOT_Import!$A$1:$Z$2488,55,'Live Data'!$C$22)),"")</f>
        <v>2026-10-12T05:58:07.000Z</v>
      </c>
      <c r="L55" s="55" t="str">
        <f t="shared" si="0"/>
        <v>2026-10</v>
      </c>
      <c r="M55" s="55" t="str">
        <f t="shared" si="1"/>
        <v>MERU</v>
      </c>
      <c r="N55" s="55" t="str">
        <f>IF(A55="","",IFERROR(INDEX('Cluster Map'!$A$4:$A$38,MATCH(M55,'Cluster Map'!$B$4:$B$38,0)),"Unmapped"))</f>
        <v>Cluster 1</v>
      </c>
      <c r="O55" s="55">
        <f>IF(A55="",0,IF(COUNTIFS($A$2:A55,A55,$F$2:F55,F55,$L$2:L55,L55)=1,1,0))</f>
        <v>1</v>
      </c>
      <c r="P55" s="55">
        <f>IF(A55="",0,IF(AND(F55="C&amp;T",COUNTIFS($A$2:A55,A55,$F$2:F55,"C&amp;T")=1),1,0))</f>
        <v>0</v>
      </c>
    </row>
    <row r="56" spans="1:16" x14ac:dyDescent="0.35">
      <c r="A56" s="54">
        <f>IFERROR(IF(INDEX(SPOT_Import!$A$1:$Z$2488,56,'Live Data'!$C$12)="","",INDEX(SPOT_Import!$A$1:$Z$2488,56,'Live Data'!$C$12)),"")</f>
        <v>12525</v>
      </c>
      <c r="B56" s="54" t="str">
        <f>IFERROR(IF(INDEX(SPOT_Import!$A$1:$Z$2488,56,'Live Data'!$C$13)="","",INDEX(SPOT_Import!$A$1:$Z$2488,56,'Live Data'!$C$13)),"")</f>
        <v>Mikinduri Sub-District Hospial</v>
      </c>
      <c r="C56" s="54" t="str">
        <f>IFERROR(IF(INDEX(SPOT_Import!$A$1:$Z$2488,56,'Live Data'!$C$14)="","",INDEX(SPOT_Import!$A$1:$Z$2488,56,'Live Data'!$C$14)),"")</f>
        <v>MERU</v>
      </c>
      <c r="D56" s="54" t="str">
        <f>IFERROR(IF(INDEX(SPOT_Import!$A$1:$Z$2488,56,'Live Data'!$C$15)="","",INDEX(SPOT_Import!$A$1:$Z$2488,56,'Live Data'!$C$15)),"")</f>
        <v>Tigania East</v>
      </c>
      <c r="E56" s="54" t="str">
        <f>IFERROR(IF(INDEX(SPOT_Import!$A$1:$Z$2488,56,'Live Data'!$C$16)="","",INDEX(SPOT_Import!$A$1:$Z$2488,56,'Live Data'!$C$16)),"")</f>
        <v>USAID Jamii Tekelezi</v>
      </c>
      <c r="F56" s="54" t="str">
        <f>IFERROR(IF(INDEX(SPOT_Import!$A$1:$Z$2488,56,'Live Data'!$C$17)="","",INDEX(SPOT_Import!$A$1:$Z$2488,56,'Live Data'!$C$17)),"")</f>
        <v>PREP</v>
      </c>
      <c r="G56" s="54">
        <f>IFERROR(IF(INDEX(SPOT_Import!$A$1:$Z$2488,56,'Live Data'!$C$18)="","",INDEX(SPOT_Import!$A$1:$Z$2488,56,'Live Data'!$C$18)),"")</f>
        <v>101</v>
      </c>
      <c r="H56" s="54">
        <f>IFERROR(IF(INDEX(SPOT_Import!$A$1:$Z$2488,56,'Live Data'!$C$19)="","",INDEX(SPOT_Import!$A$1:$Z$2488,56,'Live Data'!$C$19)),"")</f>
        <v>101</v>
      </c>
      <c r="I56" s="54" t="str">
        <f>IFERROR(IF(INDEX(SPOT_Import!$A$1:$Z$2488,56,'Live Data'!$C$20)="","",INDEX(SPOT_Import!$A$1:$Z$2488,56,'Live Data'!$C$20)),"")</f>
        <v>Complete</v>
      </c>
      <c r="J56" s="54" t="str">
        <f>IFERROR(IF(INDEX(SPOT_Import!$A$1:$Z$2488,56,'Live Data'!$C$21)="","",INDEX(SPOT_Import!$A$1:$Z$2488,56,'Live Data'!$C$21)),"")</f>
        <v>2026-10-10T13:10:38.000Z</v>
      </c>
      <c r="K56" s="54" t="str">
        <f>IFERROR(IF(INDEX(SPOT_Import!$A$1:$Z$2488,56,'Live Data'!$C$22)="","",INDEX(SPOT_Import!$A$1:$Z$2488,56,'Live Data'!$C$22)),"")</f>
        <v>2026-10-10T13:10:38.000Z</v>
      </c>
      <c r="L56" s="55" t="str">
        <f t="shared" si="0"/>
        <v>2026-10</v>
      </c>
      <c r="M56" s="55" t="str">
        <f t="shared" si="1"/>
        <v>MERU</v>
      </c>
      <c r="N56" s="55" t="str">
        <f>IF(A56="","",IFERROR(INDEX('Cluster Map'!$A$4:$A$38,MATCH(M56,'Cluster Map'!$B$4:$B$38,0)),"Unmapped"))</f>
        <v>Cluster 1</v>
      </c>
      <c r="O56" s="55">
        <f>IF(A56="",0,IF(COUNTIFS($A$2:A56,A56,$F$2:F56,F56,$L$2:L56,L56)=1,1,0))</f>
        <v>1</v>
      </c>
      <c r="P56" s="55">
        <f>IF(A56="",0,IF(AND(F56="C&amp;T",COUNTIFS($A$2:A56,A56,$F$2:F56,"C&amp;T")=1),1,0))</f>
        <v>0</v>
      </c>
    </row>
    <row r="57" spans="1:16" x14ac:dyDescent="0.35">
      <c r="A57" s="54">
        <f>IFERROR(IF(INDEX(SPOT_Import!$A$1:$Z$2488,57,'Live Data'!$C$12)="","",INDEX(SPOT_Import!$A$1:$Z$2488,57,'Live Data'!$C$12)),"")</f>
        <v>12525</v>
      </c>
      <c r="B57" s="54" t="str">
        <f>IFERROR(IF(INDEX(SPOT_Import!$A$1:$Z$2488,57,'Live Data'!$C$13)="","",INDEX(SPOT_Import!$A$1:$Z$2488,57,'Live Data'!$C$13)),"")</f>
        <v>Mikinduri Sub-District Hospial</v>
      </c>
      <c r="C57" s="54" t="str">
        <f>IFERROR(IF(INDEX(SPOT_Import!$A$1:$Z$2488,57,'Live Data'!$C$14)="","",INDEX(SPOT_Import!$A$1:$Z$2488,57,'Live Data'!$C$14)),"")</f>
        <v>MERU</v>
      </c>
      <c r="D57" s="54" t="str">
        <f>IFERROR(IF(INDEX(SPOT_Import!$A$1:$Z$2488,57,'Live Data'!$C$15)="","",INDEX(SPOT_Import!$A$1:$Z$2488,57,'Live Data'!$C$15)),"")</f>
        <v>Tigania East</v>
      </c>
      <c r="E57" s="54" t="str">
        <f>IFERROR(IF(INDEX(SPOT_Import!$A$1:$Z$2488,57,'Live Data'!$C$16)="","",INDEX(SPOT_Import!$A$1:$Z$2488,57,'Live Data'!$C$16)),"")</f>
        <v>USAID Jamii Tekelezi</v>
      </c>
      <c r="F57" s="54" t="str">
        <f>IFERROR(IF(INDEX(SPOT_Import!$A$1:$Z$2488,57,'Live Data'!$C$17)="","",INDEX(SPOT_Import!$A$1:$Z$2488,57,'Live Data'!$C$17)),"")</f>
        <v>MNCH</v>
      </c>
      <c r="G57" s="54">
        <f>IFERROR(IF(INDEX(SPOT_Import!$A$1:$Z$2488,57,'Live Data'!$C$18)="","",INDEX(SPOT_Import!$A$1:$Z$2488,57,'Live Data'!$C$18)),"")</f>
        <v>136</v>
      </c>
      <c r="H57" s="54">
        <f>IFERROR(IF(INDEX(SPOT_Import!$A$1:$Z$2488,57,'Live Data'!$C$19)="","",INDEX(SPOT_Import!$A$1:$Z$2488,57,'Live Data'!$C$19)),"")</f>
        <v>136</v>
      </c>
      <c r="I57" s="54" t="str">
        <f>IFERROR(IF(INDEX(SPOT_Import!$A$1:$Z$2488,57,'Live Data'!$C$20)="","",INDEX(SPOT_Import!$A$1:$Z$2488,57,'Live Data'!$C$20)),"")</f>
        <v>Complete</v>
      </c>
      <c r="J57" s="54" t="str">
        <f>IFERROR(IF(INDEX(SPOT_Import!$A$1:$Z$2488,57,'Live Data'!$C$21)="","",INDEX(SPOT_Import!$A$1:$Z$2488,57,'Live Data'!$C$21)),"")</f>
        <v>2026-10-10T13:09:59.000Z</v>
      </c>
      <c r="K57" s="54" t="str">
        <f>IFERROR(IF(INDEX(SPOT_Import!$A$1:$Z$2488,57,'Live Data'!$C$22)="","",INDEX(SPOT_Import!$A$1:$Z$2488,57,'Live Data'!$C$22)),"")</f>
        <v>2026-10-10T13:09:59.000Z</v>
      </c>
      <c r="L57" s="55" t="str">
        <f t="shared" si="0"/>
        <v>2026-10</v>
      </c>
      <c r="M57" s="55" t="str">
        <f t="shared" si="1"/>
        <v>MERU</v>
      </c>
      <c r="N57" s="55" t="str">
        <f>IF(A57="","",IFERROR(INDEX('Cluster Map'!$A$4:$A$38,MATCH(M57,'Cluster Map'!$B$4:$B$38,0)),"Unmapped"))</f>
        <v>Cluster 1</v>
      </c>
      <c r="O57" s="55">
        <f>IF(A57="",0,IF(COUNTIFS($A$2:A57,A57,$F$2:F57,F57,$L$2:L57,L57)=1,1,0))</f>
        <v>1</v>
      </c>
      <c r="P57" s="55">
        <f>IF(A57="",0,IF(AND(F57="C&amp;T",COUNTIFS($A$2:A57,A57,$F$2:F57,"C&amp;T")=1),1,0))</f>
        <v>0</v>
      </c>
    </row>
    <row r="58" spans="1:16" x14ac:dyDescent="0.35">
      <c r="A58" s="54">
        <f>IFERROR(IF(INDEX(SPOT_Import!$A$1:$Z$2488,58,'Live Data'!$C$12)="","",INDEX(SPOT_Import!$A$1:$Z$2488,58,'Live Data'!$C$12)),"")</f>
        <v>12525</v>
      </c>
      <c r="B58" s="54" t="str">
        <f>IFERROR(IF(INDEX(SPOT_Import!$A$1:$Z$2488,58,'Live Data'!$C$13)="","",INDEX(SPOT_Import!$A$1:$Z$2488,58,'Live Data'!$C$13)),"")</f>
        <v>Mikinduri Sub-District Hospial</v>
      </c>
      <c r="C58" s="54" t="str">
        <f>IFERROR(IF(INDEX(SPOT_Import!$A$1:$Z$2488,58,'Live Data'!$C$14)="","",INDEX(SPOT_Import!$A$1:$Z$2488,58,'Live Data'!$C$14)),"")</f>
        <v>MERU</v>
      </c>
      <c r="D58" s="54" t="str">
        <f>IFERROR(IF(INDEX(SPOT_Import!$A$1:$Z$2488,58,'Live Data'!$C$15)="","",INDEX(SPOT_Import!$A$1:$Z$2488,58,'Live Data'!$C$15)),"")</f>
        <v>Tigania East</v>
      </c>
      <c r="E58" s="54" t="str">
        <f>IFERROR(IF(INDEX(SPOT_Import!$A$1:$Z$2488,58,'Live Data'!$C$16)="","",INDEX(SPOT_Import!$A$1:$Z$2488,58,'Live Data'!$C$16)),"")</f>
        <v>USAID Jamii Tekelezi</v>
      </c>
      <c r="F58" s="54" t="str">
        <f>IFERROR(IF(INDEX(SPOT_Import!$A$1:$Z$2488,58,'Live Data'!$C$17)="","",INDEX(SPOT_Import!$A$1:$Z$2488,58,'Live Data'!$C$17)),"")</f>
        <v>HTS</v>
      </c>
      <c r="G58" s="54">
        <f>IFERROR(IF(INDEX(SPOT_Import!$A$1:$Z$2488,58,'Live Data'!$C$18)="","",INDEX(SPOT_Import!$A$1:$Z$2488,58,'Live Data'!$C$18)),"")</f>
        <v>2490</v>
      </c>
      <c r="H58" s="54">
        <f>IFERROR(IF(INDEX(SPOT_Import!$A$1:$Z$2488,58,'Live Data'!$C$19)="","",INDEX(SPOT_Import!$A$1:$Z$2488,58,'Live Data'!$C$19)),"")</f>
        <v>2490</v>
      </c>
      <c r="I58" s="54" t="str">
        <f>IFERROR(IF(INDEX(SPOT_Import!$A$1:$Z$2488,58,'Live Data'!$C$20)="","",INDEX(SPOT_Import!$A$1:$Z$2488,58,'Live Data'!$C$20)),"")</f>
        <v>Complete</v>
      </c>
      <c r="J58" s="54" t="str">
        <f>IFERROR(IF(INDEX(SPOT_Import!$A$1:$Z$2488,58,'Live Data'!$C$21)="","",INDEX(SPOT_Import!$A$1:$Z$2488,58,'Live Data'!$C$21)),"")</f>
        <v>2026-10-10T13:09:39.000Z</v>
      </c>
      <c r="K58" s="54" t="str">
        <f>IFERROR(IF(INDEX(SPOT_Import!$A$1:$Z$2488,58,'Live Data'!$C$22)="","",INDEX(SPOT_Import!$A$1:$Z$2488,58,'Live Data'!$C$22)),"")</f>
        <v>2026-10-10T13:09:39.000Z</v>
      </c>
      <c r="L58" s="55" t="str">
        <f t="shared" si="0"/>
        <v>2026-10</v>
      </c>
      <c r="M58" s="55" t="str">
        <f t="shared" si="1"/>
        <v>MERU</v>
      </c>
      <c r="N58" s="55" t="str">
        <f>IF(A58="","",IFERROR(INDEX('Cluster Map'!$A$4:$A$38,MATCH(M58,'Cluster Map'!$B$4:$B$38,0)),"Unmapped"))</f>
        <v>Cluster 1</v>
      </c>
      <c r="O58" s="55">
        <f>IF(A58="",0,IF(COUNTIFS($A$2:A58,A58,$F$2:F58,F58,$L$2:L58,L58)=1,1,0))</f>
        <v>1</v>
      </c>
      <c r="P58" s="55">
        <f>IF(A58="",0,IF(AND(F58="C&amp;T",COUNTIFS($A$2:A58,A58,$F$2:F58,"C&amp;T")=1),1,0))</f>
        <v>0</v>
      </c>
    </row>
    <row r="59" spans="1:16" x14ac:dyDescent="0.35">
      <c r="A59" s="54">
        <f>IFERROR(IF(INDEX(SPOT_Import!$A$1:$Z$2488,59,'Live Data'!$C$12)="","",INDEX(SPOT_Import!$A$1:$Z$2488,59,'Live Data'!$C$12)),"")</f>
        <v>12525</v>
      </c>
      <c r="B59" s="54" t="str">
        <f>IFERROR(IF(INDEX(SPOT_Import!$A$1:$Z$2488,59,'Live Data'!$C$13)="","",INDEX(SPOT_Import!$A$1:$Z$2488,59,'Live Data'!$C$13)),"")</f>
        <v>Mikinduri Sub-District Hospial</v>
      </c>
      <c r="C59" s="54" t="str">
        <f>IFERROR(IF(INDEX(SPOT_Import!$A$1:$Z$2488,59,'Live Data'!$C$14)="","",INDEX(SPOT_Import!$A$1:$Z$2488,59,'Live Data'!$C$14)),"")</f>
        <v>MERU</v>
      </c>
      <c r="D59" s="54" t="str">
        <f>IFERROR(IF(INDEX(SPOT_Import!$A$1:$Z$2488,59,'Live Data'!$C$15)="","",INDEX(SPOT_Import!$A$1:$Z$2488,59,'Live Data'!$C$15)),"")</f>
        <v>Tigania East</v>
      </c>
      <c r="E59" s="54" t="str">
        <f>IFERROR(IF(INDEX(SPOT_Import!$A$1:$Z$2488,59,'Live Data'!$C$16)="","",INDEX(SPOT_Import!$A$1:$Z$2488,59,'Live Data'!$C$16)),"")</f>
        <v>USAID Jamii Tekelezi</v>
      </c>
      <c r="F59" s="54" t="str">
        <f>IFERROR(IF(INDEX(SPOT_Import!$A$1:$Z$2488,59,'Live Data'!$C$17)="","",INDEX(SPOT_Import!$A$1:$Z$2488,59,'Live Data'!$C$17)),"")</f>
        <v>C&amp;T</v>
      </c>
      <c r="G59" s="54">
        <f>IFERROR(IF(INDEX(SPOT_Import!$A$1:$Z$2488,59,'Live Data'!$C$18)="","",INDEX(SPOT_Import!$A$1:$Z$2488,59,'Live Data'!$C$18)),"")</f>
        <v>654</v>
      </c>
      <c r="H59" s="54">
        <f>IFERROR(IF(INDEX(SPOT_Import!$A$1:$Z$2488,59,'Live Data'!$C$19)="","",INDEX(SPOT_Import!$A$1:$Z$2488,59,'Live Data'!$C$19)),"")</f>
        <v>654</v>
      </c>
      <c r="I59" s="54" t="str">
        <f>IFERROR(IF(INDEX(SPOT_Import!$A$1:$Z$2488,59,'Live Data'!$C$20)="","",INDEX(SPOT_Import!$A$1:$Z$2488,59,'Live Data'!$C$20)),"")</f>
        <v>Complete</v>
      </c>
      <c r="J59" s="54" t="str">
        <f>IFERROR(IF(INDEX(SPOT_Import!$A$1:$Z$2488,59,'Live Data'!$C$21)="","",INDEX(SPOT_Import!$A$1:$Z$2488,59,'Live Data'!$C$21)),"")</f>
        <v>2026-10-10T12:51:56.000Z</v>
      </c>
      <c r="K59" s="54" t="str">
        <f>IFERROR(IF(INDEX(SPOT_Import!$A$1:$Z$2488,59,'Live Data'!$C$22)="","",INDEX(SPOT_Import!$A$1:$Z$2488,59,'Live Data'!$C$22)),"")</f>
        <v>2026-10-10T12:51:56.000Z</v>
      </c>
      <c r="L59" s="55" t="str">
        <f t="shared" si="0"/>
        <v>2026-10</v>
      </c>
      <c r="M59" s="55" t="str">
        <f t="shared" si="1"/>
        <v>MERU</v>
      </c>
      <c r="N59" s="55" t="str">
        <f>IF(A59="","",IFERROR(INDEX('Cluster Map'!$A$4:$A$38,MATCH(M59,'Cluster Map'!$B$4:$B$38,0)),"Unmapped"))</f>
        <v>Cluster 1</v>
      </c>
      <c r="O59" s="55">
        <f>IF(A59="",0,IF(COUNTIFS($A$2:A59,A59,$F$2:F59,F59,$L$2:L59,L59)=1,1,0))</f>
        <v>1</v>
      </c>
      <c r="P59" s="55">
        <f>IF(A59="",0,IF(AND(F59="C&amp;T",COUNTIFS($A$2:A59,A59,$F$2:F59,"C&amp;T")=1),1,0))</f>
        <v>1</v>
      </c>
    </row>
    <row r="60" spans="1:16" x14ac:dyDescent="0.35">
      <c r="A60" s="54">
        <f>IFERROR(IF(INDEX(SPOT_Import!$A$1:$Z$2488,60,'Live Data'!$C$12)="","",INDEX(SPOT_Import!$A$1:$Z$2488,60,'Live Data'!$C$12)),"")</f>
        <v>16555</v>
      </c>
      <c r="B60" s="54" t="str">
        <f>IFERROR(IF(INDEX(SPOT_Import!$A$1:$Z$2488,60,'Live Data'!$C$13)="","",INDEX(SPOT_Import!$A$1:$Z$2488,60,'Live Data'!$C$13)),"")</f>
        <v>Theere Health Centre</v>
      </c>
      <c r="C60" s="54" t="str">
        <f>IFERROR(IF(INDEX(SPOT_Import!$A$1:$Z$2488,60,'Live Data'!$C$14)="","",INDEX(SPOT_Import!$A$1:$Z$2488,60,'Live Data'!$C$14)),"")</f>
        <v>MERU</v>
      </c>
      <c r="D60" s="54" t="str">
        <f>IFERROR(IF(INDEX(SPOT_Import!$A$1:$Z$2488,60,'Live Data'!$C$15)="","",INDEX(SPOT_Import!$A$1:$Z$2488,60,'Live Data'!$C$15)),"")</f>
        <v>Igembe North</v>
      </c>
      <c r="E60" s="54" t="str">
        <f>IFERROR(IF(INDEX(SPOT_Import!$A$1:$Z$2488,60,'Live Data'!$C$16)="","",INDEX(SPOT_Import!$A$1:$Z$2488,60,'Live Data'!$C$16)),"")</f>
        <v>USAID Jamii Tekelezi</v>
      </c>
      <c r="F60" s="54" t="str">
        <f>IFERROR(IF(INDEX(SPOT_Import!$A$1:$Z$2488,60,'Live Data'!$C$17)="","",INDEX(SPOT_Import!$A$1:$Z$2488,60,'Live Data'!$C$17)),"")</f>
        <v>HTS</v>
      </c>
      <c r="G60" s="54">
        <f>IFERROR(IF(INDEX(SPOT_Import!$A$1:$Z$2488,60,'Live Data'!$C$18)="","",INDEX(SPOT_Import!$A$1:$Z$2488,60,'Live Data'!$C$18)),"")</f>
        <v>1640</v>
      </c>
      <c r="H60" s="54" t="str">
        <f>IFERROR(IF(INDEX(SPOT_Import!$A$1:$Z$2488,60,'Live Data'!$C$19)="","",INDEX(SPOT_Import!$A$1:$Z$2488,60,'Live Data'!$C$19)),"")</f>
        <v/>
      </c>
      <c r="I60" s="54" t="str">
        <f>IFERROR(IF(INDEX(SPOT_Import!$A$1:$Z$2488,60,'Live Data'!$C$20)="","",INDEX(SPOT_Import!$A$1:$Z$2488,60,'Live Data'!$C$20)),"")</f>
        <v>Incomplete</v>
      </c>
      <c r="J60" s="54" t="str">
        <f>IFERROR(IF(INDEX(SPOT_Import!$A$1:$Z$2488,60,'Live Data'!$C$21)="","",INDEX(SPOT_Import!$A$1:$Z$2488,60,'Live Data'!$C$21)),"")</f>
        <v>2026-10-10T11:21:48.000Z</v>
      </c>
      <c r="K60" s="54" t="str">
        <f>IFERROR(IF(INDEX(SPOT_Import!$A$1:$Z$2488,60,'Live Data'!$C$22)="","",INDEX(SPOT_Import!$A$1:$Z$2488,60,'Live Data'!$C$22)),"")</f>
        <v>2026-10-10T11:21:48.000Z</v>
      </c>
      <c r="L60" s="55" t="str">
        <f t="shared" si="0"/>
        <v>2026-10</v>
      </c>
      <c r="M60" s="55" t="str">
        <f t="shared" si="1"/>
        <v>MERU</v>
      </c>
      <c r="N60" s="55" t="str">
        <f>IF(A60="","",IFERROR(INDEX('Cluster Map'!$A$4:$A$38,MATCH(M60,'Cluster Map'!$B$4:$B$38,0)),"Unmapped"))</f>
        <v>Cluster 1</v>
      </c>
      <c r="O60" s="55">
        <f>IF(A60="",0,IF(COUNTIFS($A$2:A60,A60,$F$2:F60,F60,$L$2:L60,L60)=1,1,0))</f>
        <v>1</v>
      </c>
      <c r="P60" s="55">
        <f>IF(A60="",0,IF(AND(F60="C&amp;T",COUNTIFS($A$2:A60,A60,$F$2:F60,"C&amp;T")=1),1,0))</f>
        <v>0</v>
      </c>
    </row>
    <row r="61" spans="1:16" x14ac:dyDescent="0.35">
      <c r="A61" s="54">
        <f>IFERROR(IF(INDEX(SPOT_Import!$A$1:$Z$2488,61,'Live Data'!$C$12)="","",INDEX(SPOT_Import!$A$1:$Z$2488,61,'Live Data'!$C$12)),"")</f>
        <v>16555</v>
      </c>
      <c r="B61" s="54" t="str">
        <f>IFERROR(IF(INDEX(SPOT_Import!$A$1:$Z$2488,61,'Live Data'!$C$13)="","",INDEX(SPOT_Import!$A$1:$Z$2488,61,'Live Data'!$C$13)),"")</f>
        <v>Theere Health Centre</v>
      </c>
      <c r="C61" s="54" t="str">
        <f>IFERROR(IF(INDEX(SPOT_Import!$A$1:$Z$2488,61,'Live Data'!$C$14)="","",INDEX(SPOT_Import!$A$1:$Z$2488,61,'Live Data'!$C$14)),"")</f>
        <v>MERU</v>
      </c>
      <c r="D61" s="54" t="str">
        <f>IFERROR(IF(INDEX(SPOT_Import!$A$1:$Z$2488,61,'Live Data'!$C$15)="","",INDEX(SPOT_Import!$A$1:$Z$2488,61,'Live Data'!$C$15)),"")</f>
        <v>Igembe North</v>
      </c>
      <c r="E61" s="54" t="str">
        <f>IFERROR(IF(INDEX(SPOT_Import!$A$1:$Z$2488,61,'Live Data'!$C$16)="","",INDEX(SPOT_Import!$A$1:$Z$2488,61,'Live Data'!$C$16)),"")</f>
        <v>USAID Jamii Tekelezi</v>
      </c>
      <c r="F61" s="54" t="str">
        <f>IFERROR(IF(INDEX(SPOT_Import!$A$1:$Z$2488,61,'Live Data'!$C$17)="","",INDEX(SPOT_Import!$A$1:$Z$2488,61,'Live Data'!$C$17)),"")</f>
        <v>C&amp;T</v>
      </c>
      <c r="G61" s="54">
        <f>IFERROR(IF(INDEX(SPOT_Import!$A$1:$Z$2488,61,'Live Data'!$C$18)="","",INDEX(SPOT_Import!$A$1:$Z$2488,61,'Live Data'!$C$18)),"")</f>
        <v>345</v>
      </c>
      <c r="H61" s="54">
        <f>IFERROR(IF(INDEX(SPOT_Import!$A$1:$Z$2488,61,'Live Data'!$C$19)="","",INDEX(SPOT_Import!$A$1:$Z$2488,61,'Live Data'!$C$19)),"")</f>
        <v>345</v>
      </c>
      <c r="I61" s="54" t="str">
        <f>IFERROR(IF(INDEX(SPOT_Import!$A$1:$Z$2488,61,'Live Data'!$C$20)="","",INDEX(SPOT_Import!$A$1:$Z$2488,61,'Live Data'!$C$20)),"")</f>
        <v>Complete</v>
      </c>
      <c r="J61" s="54" t="str">
        <f>IFERROR(IF(INDEX(SPOT_Import!$A$1:$Z$2488,61,'Live Data'!$C$21)="","",INDEX(SPOT_Import!$A$1:$Z$2488,61,'Live Data'!$C$21)),"")</f>
        <v>2026-10-10T10:53:35.000Z</v>
      </c>
      <c r="K61" s="54" t="str">
        <f>IFERROR(IF(INDEX(SPOT_Import!$A$1:$Z$2488,61,'Live Data'!$C$22)="","",INDEX(SPOT_Import!$A$1:$Z$2488,61,'Live Data'!$C$22)),"")</f>
        <v>2026-10-10T10:53:35.000Z</v>
      </c>
      <c r="L61" s="55" t="str">
        <f t="shared" si="0"/>
        <v>2026-10</v>
      </c>
      <c r="M61" s="55" t="str">
        <f t="shared" si="1"/>
        <v>MERU</v>
      </c>
      <c r="N61" s="55" t="str">
        <f>IF(A61="","",IFERROR(INDEX('Cluster Map'!$A$4:$A$38,MATCH(M61,'Cluster Map'!$B$4:$B$38,0)),"Unmapped"))</f>
        <v>Cluster 1</v>
      </c>
      <c r="O61" s="55">
        <f>IF(A61="",0,IF(COUNTIFS($A$2:A61,A61,$F$2:F61,F61,$L$2:L61,L61)=1,1,0))</f>
        <v>1</v>
      </c>
      <c r="P61" s="55">
        <f>IF(A61="",0,IF(AND(F61="C&amp;T",COUNTIFS($A$2:A61,A61,$F$2:F61,"C&amp;T")=1),1,0))</f>
        <v>1</v>
      </c>
    </row>
    <row r="62" spans="1:16" x14ac:dyDescent="0.35">
      <c r="A62" s="54">
        <f>IFERROR(IF(INDEX(SPOT_Import!$A$1:$Z$2488,62,'Live Data'!$C$12)="","",INDEX(SPOT_Import!$A$1:$Z$2488,62,'Live Data'!$C$12)),"")</f>
        <v>12625</v>
      </c>
      <c r="B62" s="54" t="str">
        <f>IFERROR(IF(INDEX(SPOT_Import!$A$1:$Z$2488,62,'Live Data'!$C$13)="","",INDEX(SPOT_Import!$A$1:$Z$2488,62,'Live Data'!$C$13)),"")</f>
        <v>Mweronkaga Dispensary</v>
      </c>
      <c r="C62" s="54" t="str">
        <f>IFERROR(IF(INDEX(SPOT_Import!$A$1:$Z$2488,62,'Live Data'!$C$14)="","",INDEX(SPOT_Import!$A$1:$Z$2488,62,'Live Data'!$C$14)),"")</f>
        <v>MERU</v>
      </c>
      <c r="D62" s="54" t="str">
        <f>IFERROR(IF(INDEX(SPOT_Import!$A$1:$Z$2488,62,'Live Data'!$C$15)="","",INDEX(SPOT_Import!$A$1:$Z$2488,62,'Live Data'!$C$15)),"")</f>
        <v>Tigania West</v>
      </c>
      <c r="E62" s="54" t="str">
        <f>IFERROR(IF(INDEX(SPOT_Import!$A$1:$Z$2488,62,'Live Data'!$C$16)="","",INDEX(SPOT_Import!$A$1:$Z$2488,62,'Live Data'!$C$16)),"")</f>
        <v>USAID Jamii Tekelezi</v>
      </c>
      <c r="F62" s="54" t="str">
        <f>IFERROR(IF(INDEX(SPOT_Import!$A$1:$Z$2488,62,'Live Data'!$C$17)="","",INDEX(SPOT_Import!$A$1:$Z$2488,62,'Live Data'!$C$17)),"")</f>
        <v>MNCH</v>
      </c>
      <c r="G62" s="54">
        <f>IFERROR(IF(INDEX(SPOT_Import!$A$1:$Z$2488,62,'Live Data'!$C$18)="","",INDEX(SPOT_Import!$A$1:$Z$2488,62,'Live Data'!$C$18)),"")</f>
        <v>5</v>
      </c>
      <c r="H62" s="54" t="str">
        <f>IFERROR(IF(INDEX(SPOT_Import!$A$1:$Z$2488,62,'Live Data'!$C$19)="","",INDEX(SPOT_Import!$A$1:$Z$2488,62,'Live Data'!$C$19)),"")</f>
        <v/>
      </c>
      <c r="I62" s="54" t="str">
        <f>IFERROR(IF(INDEX(SPOT_Import!$A$1:$Z$2488,62,'Live Data'!$C$20)="","",INDEX(SPOT_Import!$A$1:$Z$2488,62,'Live Data'!$C$20)),"")</f>
        <v>Incomplete</v>
      </c>
      <c r="J62" s="54" t="str">
        <f>IFERROR(IF(INDEX(SPOT_Import!$A$1:$Z$2488,62,'Live Data'!$C$21)="","",INDEX(SPOT_Import!$A$1:$Z$2488,62,'Live Data'!$C$21)),"")</f>
        <v>2026-10-10T09:37:59.000Z</v>
      </c>
      <c r="K62" s="54" t="str">
        <f>IFERROR(IF(INDEX(SPOT_Import!$A$1:$Z$2488,62,'Live Data'!$C$22)="","",INDEX(SPOT_Import!$A$1:$Z$2488,62,'Live Data'!$C$22)),"")</f>
        <v>2026-10-10T09:37:59.000Z</v>
      </c>
      <c r="L62" s="55" t="str">
        <f t="shared" si="0"/>
        <v>2026-10</v>
      </c>
      <c r="M62" s="55" t="str">
        <f t="shared" si="1"/>
        <v>MERU</v>
      </c>
      <c r="N62" s="55" t="str">
        <f>IF(A62="","",IFERROR(INDEX('Cluster Map'!$A$4:$A$38,MATCH(M62,'Cluster Map'!$B$4:$B$38,0)),"Unmapped"))</f>
        <v>Cluster 1</v>
      </c>
      <c r="O62" s="55">
        <f>IF(A62="",0,IF(COUNTIFS($A$2:A62,A62,$F$2:F62,F62,$L$2:L62,L62)=1,1,0))</f>
        <v>1</v>
      </c>
      <c r="P62" s="55">
        <f>IF(A62="",0,IF(AND(F62="C&amp;T",COUNTIFS($A$2:A62,A62,$F$2:F62,"C&amp;T")=1),1,0))</f>
        <v>0</v>
      </c>
    </row>
    <row r="63" spans="1:16" x14ac:dyDescent="0.35">
      <c r="A63" s="54">
        <f>IFERROR(IF(INDEX(SPOT_Import!$A$1:$Z$2488,63,'Live Data'!$C$12)="","",INDEX(SPOT_Import!$A$1:$Z$2488,63,'Live Data'!$C$12)),"")</f>
        <v>12625</v>
      </c>
      <c r="B63" s="54" t="str">
        <f>IFERROR(IF(INDEX(SPOT_Import!$A$1:$Z$2488,63,'Live Data'!$C$13)="","",INDEX(SPOT_Import!$A$1:$Z$2488,63,'Live Data'!$C$13)),"")</f>
        <v>Mweronkaga Dispensary</v>
      </c>
      <c r="C63" s="54" t="str">
        <f>IFERROR(IF(INDEX(SPOT_Import!$A$1:$Z$2488,63,'Live Data'!$C$14)="","",INDEX(SPOT_Import!$A$1:$Z$2488,63,'Live Data'!$C$14)),"")</f>
        <v>MERU</v>
      </c>
      <c r="D63" s="54" t="str">
        <f>IFERROR(IF(INDEX(SPOT_Import!$A$1:$Z$2488,63,'Live Data'!$C$15)="","",INDEX(SPOT_Import!$A$1:$Z$2488,63,'Live Data'!$C$15)),"")</f>
        <v>Tigania West</v>
      </c>
      <c r="E63" s="54" t="str">
        <f>IFERROR(IF(INDEX(SPOT_Import!$A$1:$Z$2488,63,'Live Data'!$C$16)="","",INDEX(SPOT_Import!$A$1:$Z$2488,63,'Live Data'!$C$16)),"")</f>
        <v>USAID Jamii Tekelezi</v>
      </c>
      <c r="F63" s="54" t="str">
        <f>IFERROR(IF(INDEX(SPOT_Import!$A$1:$Z$2488,63,'Live Data'!$C$17)="","",INDEX(SPOT_Import!$A$1:$Z$2488,63,'Live Data'!$C$17)),"")</f>
        <v>C&amp;T</v>
      </c>
      <c r="G63" s="54">
        <f>IFERROR(IF(INDEX(SPOT_Import!$A$1:$Z$2488,63,'Live Data'!$C$18)="","",INDEX(SPOT_Import!$A$1:$Z$2488,63,'Live Data'!$C$18)),"")</f>
        <v>28</v>
      </c>
      <c r="H63" s="54">
        <f>IFERROR(IF(INDEX(SPOT_Import!$A$1:$Z$2488,63,'Live Data'!$C$19)="","",INDEX(SPOT_Import!$A$1:$Z$2488,63,'Live Data'!$C$19)),"")</f>
        <v>28</v>
      </c>
      <c r="I63" s="54" t="str">
        <f>IFERROR(IF(INDEX(SPOT_Import!$A$1:$Z$2488,63,'Live Data'!$C$20)="","",INDEX(SPOT_Import!$A$1:$Z$2488,63,'Live Data'!$C$20)),"")</f>
        <v>Complete</v>
      </c>
      <c r="J63" s="54" t="str">
        <f>IFERROR(IF(INDEX(SPOT_Import!$A$1:$Z$2488,63,'Live Data'!$C$21)="","",INDEX(SPOT_Import!$A$1:$Z$2488,63,'Live Data'!$C$21)),"")</f>
        <v>2026-10-10T09:33:44.000Z</v>
      </c>
      <c r="K63" s="54" t="str">
        <f>IFERROR(IF(INDEX(SPOT_Import!$A$1:$Z$2488,63,'Live Data'!$C$22)="","",INDEX(SPOT_Import!$A$1:$Z$2488,63,'Live Data'!$C$22)),"")</f>
        <v>2026-10-10T09:33:44.000Z</v>
      </c>
      <c r="L63" s="55" t="str">
        <f t="shared" si="0"/>
        <v>2026-10</v>
      </c>
      <c r="M63" s="55" t="str">
        <f t="shared" si="1"/>
        <v>MERU</v>
      </c>
      <c r="N63" s="55" t="str">
        <f>IF(A63="","",IFERROR(INDEX('Cluster Map'!$A$4:$A$38,MATCH(M63,'Cluster Map'!$B$4:$B$38,0)),"Unmapped"))</f>
        <v>Cluster 1</v>
      </c>
      <c r="O63" s="55">
        <f>IF(A63="",0,IF(COUNTIFS($A$2:A63,A63,$F$2:F63,F63,$L$2:L63,L63)=1,1,0))</f>
        <v>1</v>
      </c>
      <c r="P63" s="55">
        <f>IF(A63="",0,IF(AND(F63="C&amp;T",COUNTIFS($A$2:A63,A63,$F$2:F63,"C&amp;T")=1),1,0))</f>
        <v>1</v>
      </c>
    </row>
    <row r="64" spans="1:16" x14ac:dyDescent="0.35">
      <c r="A64" s="54">
        <f>IFERROR(IF(INDEX(SPOT_Import!$A$1:$Z$2488,64,'Live Data'!$C$12)="","",INDEX(SPOT_Import!$A$1:$Z$2488,64,'Live Data'!$C$12)),"")</f>
        <v>11973</v>
      </c>
      <c r="B64" s="54" t="str">
        <f>IFERROR(IF(INDEX(SPOT_Import!$A$1:$Z$2488,64,'Live Data'!$C$13)="","",INDEX(SPOT_Import!$A$1:$Z$2488,64,'Live Data'!$C$13)),"")</f>
        <v>Chuka County Refferal Hospital</v>
      </c>
      <c r="C64" s="54" t="str">
        <f>IFERROR(IF(INDEX(SPOT_Import!$A$1:$Z$2488,64,'Live Data'!$C$14)="","",INDEX(SPOT_Import!$A$1:$Z$2488,64,'Live Data'!$C$14)),"")</f>
        <v>THARAKA-NITHI</v>
      </c>
      <c r="D64" s="54" t="str">
        <f>IFERROR(IF(INDEX(SPOT_Import!$A$1:$Z$2488,64,'Live Data'!$C$15)="","",INDEX(SPOT_Import!$A$1:$Z$2488,64,'Live Data'!$C$15)),"")</f>
        <v>Chuka</v>
      </c>
      <c r="E64" s="54" t="str">
        <f>IFERROR(IF(INDEX(SPOT_Import!$A$1:$Z$2488,64,'Live Data'!$C$16)="","",INDEX(SPOT_Import!$A$1:$Z$2488,64,'Live Data'!$C$16)),"")</f>
        <v>USAID Jamii Tekelezi</v>
      </c>
      <c r="F64" s="54" t="str">
        <f>IFERROR(IF(INDEX(SPOT_Import!$A$1:$Z$2488,64,'Live Data'!$C$17)="","",INDEX(SPOT_Import!$A$1:$Z$2488,64,'Live Data'!$C$17)),"")</f>
        <v>MNCH</v>
      </c>
      <c r="G64" s="54">
        <f>IFERROR(IF(INDEX(SPOT_Import!$A$1:$Z$2488,64,'Live Data'!$C$18)="","",INDEX(SPOT_Import!$A$1:$Z$2488,64,'Live Data'!$C$18)),"")</f>
        <v>227</v>
      </c>
      <c r="H64" s="54">
        <f>IFERROR(IF(INDEX(SPOT_Import!$A$1:$Z$2488,64,'Live Data'!$C$19)="","",INDEX(SPOT_Import!$A$1:$Z$2488,64,'Live Data'!$C$19)),"")</f>
        <v>227</v>
      </c>
      <c r="I64" s="54" t="str">
        <f>IFERROR(IF(INDEX(SPOT_Import!$A$1:$Z$2488,64,'Live Data'!$C$20)="","",INDEX(SPOT_Import!$A$1:$Z$2488,64,'Live Data'!$C$20)),"")</f>
        <v>Complete</v>
      </c>
      <c r="J64" s="54" t="str">
        <f>IFERROR(IF(INDEX(SPOT_Import!$A$1:$Z$2488,64,'Live Data'!$C$21)="","",INDEX(SPOT_Import!$A$1:$Z$2488,64,'Live Data'!$C$21)),"")</f>
        <v>2026-10-09T13:31:37.000Z</v>
      </c>
      <c r="K64" s="54" t="str">
        <f>IFERROR(IF(INDEX(SPOT_Import!$A$1:$Z$2488,64,'Live Data'!$C$22)="","",INDEX(SPOT_Import!$A$1:$Z$2488,64,'Live Data'!$C$22)),"")</f>
        <v>2026-10-09T13:31:37.000Z</v>
      </c>
      <c r="L64" s="55" t="str">
        <f t="shared" si="0"/>
        <v>2026-10</v>
      </c>
      <c r="M64" s="55" t="str">
        <f t="shared" si="1"/>
        <v>THARAKA-NITHI</v>
      </c>
      <c r="N64" s="55" t="str">
        <f>IF(A64="","",IFERROR(INDEX('Cluster Map'!$A$4:$A$38,MATCH(M64,'Cluster Map'!$B$4:$B$38,0)),"Unmapped"))</f>
        <v>Cluster 2</v>
      </c>
      <c r="O64" s="55">
        <f>IF(A64="",0,IF(COUNTIFS($A$2:A64,A64,$F$2:F64,F64,$L$2:L64,L64)=1,1,0))</f>
        <v>1</v>
      </c>
      <c r="P64" s="55">
        <f>IF(A64="",0,IF(AND(F64="C&amp;T",COUNTIFS($A$2:A64,A64,$F$2:F64,"C&amp;T")=1),1,0))</f>
        <v>0</v>
      </c>
    </row>
    <row r="65" spans="1:16" x14ac:dyDescent="0.35">
      <c r="A65" s="54">
        <f>IFERROR(IF(INDEX(SPOT_Import!$A$1:$Z$2488,65,'Live Data'!$C$12)="","",INDEX(SPOT_Import!$A$1:$Z$2488,65,'Live Data'!$C$12)),"")</f>
        <v>12036</v>
      </c>
      <c r="B65" s="54" t="str">
        <f>IFERROR(IF(INDEX(SPOT_Import!$A$1:$Z$2488,65,'Live Data'!$C$13)="","",INDEX(SPOT_Import!$A$1:$Z$2488,65,'Live Data'!$C$13)),"")</f>
        <v>Giaki Sub-District Hospital</v>
      </c>
      <c r="C65" s="54" t="str">
        <f>IFERROR(IF(INDEX(SPOT_Import!$A$1:$Z$2488,65,'Live Data'!$C$14)="","",INDEX(SPOT_Import!$A$1:$Z$2488,65,'Live Data'!$C$14)),"")</f>
        <v>MERU</v>
      </c>
      <c r="D65" s="54" t="str">
        <f>IFERROR(IF(INDEX(SPOT_Import!$A$1:$Z$2488,65,'Live Data'!$C$15)="","",INDEX(SPOT_Import!$A$1:$Z$2488,65,'Live Data'!$C$15)),"")</f>
        <v>Imenti North</v>
      </c>
      <c r="E65" s="54" t="str">
        <f>IFERROR(IF(INDEX(SPOT_Import!$A$1:$Z$2488,65,'Live Data'!$C$16)="","",INDEX(SPOT_Import!$A$1:$Z$2488,65,'Live Data'!$C$16)),"")</f>
        <v>USAID Jamii Tekelezi</v>
      </c>
      <c r="F65" s="54" t="str">
        <f>IFERROR(IF(INDEX(SPOT_Import!$A$1:$Z$2488,65,'Live Data'!$C$17)="","",INDEX(SPOT_Import!$A$1:$Z$2488,65,'Live Data'!$C$17)),"")</f>
        <v>PREP</v>
      </c>
      <c r="G65" s="54">
        <f>IFERROR(IF(INDEX(SPOT_Import!$A$1:$Z$2488,65,'Live Data'!$C$18)="","",INDEX(SPOT_Import!$A$1:$Z$2488,65,'Live Data'!$C$18)),"")</f>
        <v>10</v>
      </c>
      <c r="H65" s="54">
        <f>IFERROR(IF(INDEX(SPOT_Import!$A$1:$Z$2488,65,'Live Data'!$C$19)="","",INDEX(SPOT_Import!$A$1:$Z$2488,65,'Live Data'!$C$19)),"")</f>
        <v>10</v>
      </c>
      <c r="I65" s="54" t="str">
        <f>IFERROR(IF(INDEX(SPOT_Import!$A$1:$Z$2488,65,'Live Data'!$C$20)="","",INDEX(SPOT_Import!$A$1:$Z$2488,65,'Live Data'!$C$20)),"")</f>
        <v>Complete</v>
      </c>
      <c r="J65" s="54" t="str">
        <f>IFERROR(IF(INDEX(SPOT_Import!$A$1:$Z$2488,65,'Live Data'!$C$21)="","",INDEX(SPOT_Import!$A$1:$Z$2488,65,'Live Data'!$C$21)),"")</f>
        <v>2026-10-09T13:05:57.000Z</v>
      </c>
      <c r="K65" s="54" t="str">
        <f>IFERROR(IF(INDEX(SPOT_Import!$A$1:$Z$2488,65,'Live Data'!$C$22)="","",INDEX(SPOT_Import!$A$1:$Z$2488,65,'Live Data'!$C$22)),"")</f>
        <v>2026-10-09T13:05:57.000Z</v>
      </c>
      <c r="L65" s="55" t="str">
        <f t="shared" si="0"/>
        <v>2026-10</v>
      </c>
      <c r="M65" s="55" t="str">
        <f t="shared" si="1"/>
        <v>MERU</v>
      </c>
      <c r="N65" s="55" t="str">
        <f>IF(A65="","",IFERROR(INDEX('Cluster Map'!$A$4:$A$38,MATCH(M65,'Cluster Map'!$B$4:$B$38,0)),"Unmapped"))</f>
        <v>Cluster 1</v>
      </c>
      <c r="O65" s="55">
        <f>IF(A65="",0,IF(COUNTIFS($A$2:A65,A65,$F$2:F65,F65,$L$2:L65,L65)=1,1,0))</f>
        <v>1</v>
      </c>
      <c r="P65" s="55">
        <f>IF(A65="",0,IF(AND(F65="C&amp;T",COUNTIFS($A$2:A65,A65,$F$2:F65,"C&amp;T")=1),1,0))</f>
        <v>0</v>
      </c>
    </row>
    <row r="66" spans="1:16" x14ac:dyDescent="0.35">
      <c r="A66" s="54">
        <f>IFERROR(IF(INDEX(SPOT_Import!$A$1:$Z$2488,66,'Live Data'!$C$12)="","",INDEX(SPOT_Import!$A$1:$Z$2488,66,'Live Data'!$C$12)),"")</f>
        <v>12036</v>
      </c>
      <c r="B66" s="54" t="str">
        <f>IFERROR(IF(INDEX(SPOT_Import!$A$1:$Z$2488,66,'Live Data'!$C$13)="","",INDEX(SPOT_Import!$A$1:$Z$2488,66,'Live Data'!$C$13)),"")</f>
        <v>Giaki Sub-District Hospital</v>
      </c>
      <c r="C66" s="54" t="str">
        <f>IFERROR(IF(INDEX(SPOT_Import!$A$1:$Z$2488,66,'Live Data'!$C$14)="","",INDEX(SPOT_Import!$A$1:$Z$2488,66,'Live Data'!$C$14)),"")</f>
        <v>MERU</v>
      </c>
      <c r="D66" s="54" t="str">
        <f>IFERROR(IF(INDEX(SPOT_Import!$A$1:$Z$2488,66,'Live Data'!$C$15)="","",INDEX(SPOT_Import!$A$1:$Z$2488,66,'Live Data'!$C$15)),"")</f>
        <v>Imenti North</v>
      </c>
      <c r="E66" s="54" t="str">
        <f>IFERROR(IF(INDEX(SPOT_Import!$A$1:$Z$2488,66,'Live Data'!$C$16)="","",INDEX(SPOT_Import!$A$1:$Z$2488,66,'Live Data'!$C$16)),"")</f>
        <v>USAID Jamii Tekelezi</v>
      </c>
      <c r="F66" s="54" t="str">
        <f>IFERROR(IF(INDEX(SPOT_Import!$A$1:$Z$2488,66,'Live Data'!$C$17)="","",INDEX(SPOT_Import!$A$1:$Z$2488,66,'Live Data'!$C$17)),"")</f>
        <v>MNCH</v>
      </c>
      <c r="G66" s="54">
        <f>IFERROR(IF(INDEX(SPOT_Import!$A$1:$Z$2488,66,'Live Data'!$C$18)="","",INDEX(SPOT_Import!$A$1:$Z$2488,66,'Live Data'!$C$18)),"")</f>
        <v>12</v>
      </c>
      <c r="H66" s="54">
        <f>IFERROR(IF(INDEX(SPOT_Import!$A$1:$Z$2488,66,'Live Data'!$C$19)="","",INDEX(SPOT_Import!$A$1:$Z$2488,66,'Live Data'!$C$19)),"")</f>
        <v>12</v>
      </c>
      <c r="I66" s="54" t="str">
        <f>IFERROR(IF(INDEX(SPOT_Import!$A$1:$Z$2488,66,'Live Data'!$C$20)="","",INDEX(SPOT_Import!$A$1:$Z$2488,66,'Live Data'!$C$20)),"")</f>
        <v>Complete</v>
      </c>
      <c r="J66" s="54" t="str">
        <f>IFERROR(IF(INDEX(SPOT_Import!$A$1:$Z$2488,66,'Live Data'!$C$21)="","",INDEX(SPOT_Import!$A$1:$Z$2488,66,'Live Data'!$C$21)),"")</f>
        <v>2026-10-09T13:05:30.000Z</v>
      </c>
      <c r="K66" s="54" t="str">
        <f>IFERROR(IF(INDEX(SPOT_Import!$A$1:$Z$2488,66,'Live Data'!$C$22)="","",INDEX(SPOT_Import!$A$1:$Z$2488,66,'Live Data'!$C$22)),"")</f>
        <v>2026-10-09T13:05:30.000Z</v>
      </c>
      <c r="L66" s="55" t="str">
        <f t="shared" ref="L66:L129" si="2">IF(A66="","",IF(ISNUMBER(K66),TEXT(K66,"yyyy-mm"),LEFT(K66,7)))</f>
        <v>2026-10</v>
      </c>
      <c r="M66" s="55" t="str">
        <f t="shared" ref="M66:M129" si="3">IF(A66="","",UPPER(TRIM(SUBSTITUTE(C66," - ","-"))))</f>
        <v>MERU</v>
      </c>
      <c r="N66" s="55" t="str">
        <f>IF(A66="","",IFERROR(INDEX('Cluster Map'!$A$4:$A$38,MATCH(M66,'Cluster Map'!$B$4:$B$38,0)),"Unmapped"))</f>
        <v>Cluster 1</v>
      </c>
      <c r="O66" s="55">
        <f>IF(A66="",0,IF(COUNTIFS($A$2:A66,A66,$F$2:F66,F66,$L$2:L66,L66)=1,1,0))</f>
        <v>1</v>
      </c>
      <c r="P66" s="55">
        <f>IF(A66="",0,IF(AND(F66="C&amp;T",COUNTIFS($A$2:A66,A66,$F$2:F66,"C&amp;T")=1),1,0))</f>
        <v>0</v>
      </c>
    </row>
    <row r="67" spans="1:16" x14ac:dyDescent="0.35">
      <c r="A67" s="54">
        <f>IFERROR(IF(INDEX(SPOT_Import!$A$1:$Z$2488,67,'Live Data'!$C$12)="","",INDEX(SPOT_Import!$A$1:$Z$2488,67,'Live Data'!$C$12)),"")</f>
        <v>12036</v>
      </c>
      <c r="B67" s="54" t="str">
        <f>IFERROR(IF(INDEX(SPOT_Import!$A$1:$Z$2488,67,'Live Data'!$C$13)="","",INDEX(SPOT_Import!$A$1:$Z$2488,67,'Live Data'!$C$13)),"")</f>
        <v>Giaki Sub-District Hospital</v>
      </c>
      <c r="C67" s="54" t="str">
        <f>IFERROR(IF(INDEX(SPOT_Import!$A$1:$Z$2488,67,'Live Data'!$C$14)="","",INDEX(SPOT_Import!$A$1:$Z$2488,67,'Live Data'!$C$14)),"")</f>
        <v>MERU</v>
      </c>
      <c r="D67" s="54" t="str">
        <f>IFERROR(IF(INDEX(SPOT_Import!$A$1:$Z$2488,67,'Live Data'!$C$15)="","",INDEX(SPOT_Import!$A$1:$Z$2488,67,'Live Data'!$C$15)),"")</f>
        <v>Imenti North</v>
      </c>
      <c r="E67" s="54" t="str">
        <f>IFERROR(IF(INDEX(SPOT_Import!$A$1:$Z$2488,67,'Live Data'!$C$16)="","",INDEX(SPOT_Import!$A$1:$Z$2488,67,'Live Data'!$C$16)),"")</f>
        <v>USAID Jamii Tekelezi</v>
      </c>
      <c r="F67" s="54" t="str">
        <f>IFERROR(IF(INDEX(SPOT_Import!$A$1:$Z$2488,67,'Live Data'!$C$17)="","",INDEX(SPOT_Import!$A$1:$Z$2488,67,'Live Data'!$C$17)),"")</f>
        <v>HTS</v>
      </c>
      <c r="G67" s="54">
        <f>IFERROR(IF(INDEX(SPOT_Import!$A$1:$Z$2488,67,'Live Data'!$C$18)="","",INDEX(SPOT_Import!$A$1:$Z$2488,67,'Live Data'!$C$18)),"")</f>
        <v>1077</v>
      </c>
      <c r="H67" s="54">
        <f>IFERROR(IF(INDEX(SPOT_Import!$A$1:$Z$2488,67,'Live Data'!$C$19)="","",INDEX(SPOT_Import!$A$1:$Z$2488,67,'Live Data'!$C$19)),"")</f>
        <v>1077</v>
      </c>
      <c r="I67" s="54" t="str">
        <f>IFERROR(IF(INDEX(SPOT_Import!$A$1:$Z$2488,67,'Live Data'!$C$20)="","",INDEX(SPOT_Import!$A$1:$Z$2488,67,'Live Data'!$C$20)),"")</f>
        <v>Complete</v>
      </c>
      <c r="J67" s="54" t="str">
        <f>IFERROR(IF(INDEX(SPOT_Import!$A$1:$Z$2488,67,'Live Data'!$C$21)="","",INDEX(SPOT_Import!$A$1:$Z$2488,67,'Live Data'!$C$21)),"")</f>
        <v>2026-10-09T13:05:04.000Z</v>
      </c>
      <c r="K67" s="54" t="str">
        <f>IFERROR(IF(INDEX(SPOT_Import!$A$1:$Z$2488,67,'Live Data'!$C$22)="","",INDEX(SPOT_Import!$A$1:$Z$2488,67,'Live Data'!$C$22)),"")</f>
        <v>2026-10-09T13:05:04.000Z</v>
      </c>
      <c r="L67" s="55" t="str">
        <f t="shared" si="2"/>
        <v>2026-10</v>
      </c>
      <c r="M67" s="55" t="str">
        <f t="shared" si="3"/>
        <v>MERU</v>
      </c>
      <c r="N67" s="55" t="str">
        <f>IF(A67="","",IFERROR(INDEX('Cluster Map'!$A$4:$A$38,MATCH(M67,'Cluster Map'!$B$4:$B$38,0)),"Unmapped"))</f>
        <v>Cluster 1</v>
      </c>
      <c r="O67" s="55">
        <f>IF(A67="",0,IF(COUNTIFS($A$2:A67,A67,$F$2:F67,F67,$L$2:L67,L67)=1,1,0))</f>
        <v>1</v>
      </c>
      <c r="P67" s="55">
        <f>IF(A67="",0,IF(AND(F67="C&amp;T",COUNTIFS($A$2:A67,A67,$F$2:F67,"C&amp;T")=1),1,0))</f>
        <v>0</v>
      </c>
    </row>
    <row r="68" spans="1:16" x14ac:dyDescent="0.35">
      <c r="A68" s="54">
        <f>IFERROR(IF(INDEX(SPOT_Import!$A$1:$Z$2488,68,'Live Data'!$C$12)="","",INDEX(SPOT_Import!$A$1:$Z$2488,68,'Live Data'!$C$12)),"")</f>
        <v>12234</v>
      </c>
      <c r="B68" s="54" t="str">
        <f>IFERROR(IF(INDEX(SPOT_Import!$A$1:$Z$2488,68,'Live Data'!$C$13)="","",INDEX(SPOT_Import!$A$1:$Z$2488,68,'Live Data'!$C$13)),"")</f>
        <v>Kathithi Dispensary</v>
      </c>
      <c r="C68" s="54" t="str">
        <f>IFERROR(IF(INDEX(SPOT_Import!$A$1:$Z$2488,68,'Live Data'!$C$14)="","",INDEX(SPOT_Import!$A$1:$Z$2488,68,'Live Data'!$C$14)),"")</f>
        <v>MERU</v>
      </c>
      <c r="D68" s="54" t="str">
        <f>IFERROR(IF(INDEX(SPOT_Import!$A$1:$Z$2488,68,'Live Data'!$C$15)="","",INDEX(SPOT_Import!$A$1:$Z$2488,68,'Live Data'!$C$15)),"")</f>
        <v>Imenti North</v>
      </c>
      <c r="E68" s="54" t="str">
        <f>IFERROR(IF(INDEX(SPOT_Import!$A$1:$Z$2488,68,'Live Data'!$C$16)="","",INDEX(SPOT_Import!$A$1:$Z$2488,68,'Live Data'!$C$16)),"")</f>
        <v>USAID Jamii Tekelezi</v>
      </c>
      <c r="F68" s="54" t="str">
        <f>IFERROR(IF(INDEX(SPOT_Import!$A$1:$Z$2488,68,'Live Data'!$C$17)="","",INDEX(SPOT_Import!$A$1:$Z$2488,68,'Live Data'!$C$17)),"")</f>
        <v>MNCH</v>
      </c>
      <c r="G68" s="54">
        <f>IFERROR(IF(INDEX(SPOT_Import!$A$1:$Z$2488,68,'Live Data'!$C$18)="","",INDEX(SPOT_Import!$A$1:$Z$2488,68,'Live Data'!$C$18)),"")</f>
        <v>13</v>
      </c>
      <c r="H68" s="54" t="str">
        <f>IFERROR(IF(INDEX(SPOT_Import!$A$1:$Z$2488,68,'Live Data'!$C$19)="","",INDEX(SPOT_Import!$A$1:$Z$2488,68,'Live Data'!$C$19)),"")</f>
        <v/>
      </c>
      <c r="I68" s="54" t="str">
        <f>IFERROR(IF(INDEX(SPOT_Import!$A$1:$Z$2488,68,'Live Data'!$C$20)="","",INDEX(SPOT_Import!$A$1:$Z$2488,68,'Live Data'!$C$20)),"")</f>
        <v>Incomplete</v>
      </c>
      <c r="J68" s="54" t="str">
        <f>IFERROR(IF(INDEX(SPOT_Import!$A$1:$Z$2488,68,'Live Data'!$C$21)="","",INDEX(SPOT_Import!$A$1:$Z$2488,68,'Live Data'!$C$21)),"")</f>
        <v>2026-10-09T12:48:49.000Z</v>
      </c>
      <c r="K68" s="54" t="str">
        <f>IFERROR(IF(INDEX(SPOT_Import!$A$1:$Z$2488,68,'Live Data'!$C$22)="","",INDEX(SPOT_Import!$A$1:$Z$2488,68,'Live Data'!$C$22)),"")</f>
        <v>2026-10-09T12:48:49.000Z</v>
      </c>
      <c r="L68" s="55" t="str">
        <f t="shared" si="2"/>
        <v>2026-10</v>
      </c>
      <c r="M68" s="55" t="str">
        <f t="shared" si="3"/>
        <v>MERU</v>
      </c>
      <c r="N68" s="55" t="str">
        <f>IF(A68="","",IFERROR(INDEX('Cluster Map'!$A$4:$A$38,MATCH(M68,'Cluster Map'!$B$4:$B$38,0)),"Unmapped"))</f>
        <v>Cluster 1</v>
      </c>
      <c r="O68" s="55">
        <f>IF(A68="",0,IF(COUNTIFS($A$2:A68,A68,$F$2:F68,F68,$L$2:L68,L68)=1,1,0))</f>
        <v>1</v>
      </c>
      <c r="P68" s="55">
        <f>IF(A68="",0,IF(AND(F68="C&amp;T",COUNTIFS($A$2:A68,A68,$F$2:F68,"C&amp;T")=1),1,0))</f>
        <v>0</v>
      </c>
    </row>
    <row r="69" spans="1:16" x14ac:dyDescent="0.35">
      <c r="A69" s="54">
        <f>IFERROR(IF(INDEX(SPOT_Import!$A$1:$Z$2488,69,'Live Data'!$C$12)="","",INDEX(SPOT_Import!$A$1:$Z$2488,69,'Live Data'!$C$12)),"")</f>
        <v>12234</v>
      </c>
      <c r="B69" s="54" t="str">
        <f>IFERROR(IF(INDEX(SPOT_Import!$A$1:$Z$2488,69,'Live Data'!$C$13)="","",INDEX(SPOT_Import!$A$1:$Z$2488,69,'Live Data'!$C$13)),"")</f>
        <v>Kathithi Dispensary</v>
      </c>
      <c r="C69" s="54" t="str">
        <f>IFERROR(IF(INDEX(SPOT_Import!$A$1:$Z$2488,69,'Live Data'!$C$14)="","",INDEX(SPOT_Import!$A$1:$Z$2488,69,'Live Data'!$C$14)),"")</f>
        <v>MERU</v>
      </c>
      <c r="D69" s="54" t="str">
        <f>IFERROR(IF(INDEX(SPOT_Import!$A$1:$Z$2488,69,'Live Data'!$C$15)="","",INDEX(SPOT_Import!$A$1:$Z$2488,69,'Live Data'!$C$15)),"")</f>
        <v>Imenti North</v>
      </c>
      <c r="E69" s="54" t="str">
        <f>IFERROR(IF(INDEX(SPOT_Import!$A$1:$Z$2488,69,'Live Data'!$C$16)="","",INDEX(SPOT_Import!$A$1:$Z$2488,69,'Live Data'!$C$16)),"")</f>
        <v>USAID Jamii Tekelezi</v>
      </c>
      <c r="F69" s="54" t="str">
        <f>IFERROR(IF(INDEX(SPOT_Import!$A$1:$Z$2488,69,'Live Data'!$C$17)="","",INDEX(SPOT_Import!$A$1:$Z$2488,69,'Live Data'!$C$17)),"")</f>
        <v>HTS</v>
      </c>
      <c r="G69" s="54">
        <f>IFERROR(IF(INDEX(SPOT_Import!$A$1:$Z$2488,69,'Live Data'!$C$18)="","",INDEX(SPOT_Import!$A$1:$Z$2488,69,'Live Data'!$C$18)),"")</f>
        <v>121</v>
      </c>
      <c r="H69" s="54">
        <f>IFERROR(IF(INDEX(SPOT_Import!$A$1:$Z$2488,69,'Live Data'!$C$19)="","",INDEX(SPOT_Import!$A$1:$Z$2488,69,'Live Data'!$C$19)),"")</f>
        <v>121</v>
      </c>
      <c r="I69" s="54" t="str">
        <f>IFERROR(IF(INDEX(SPOT_Import!$A$1:$Z$2488,69,'Live Data'!$C$20)="","",INDEX(SPOT_Import!$A$1:$Z$2488,69,'Live Data'!$C$20)),"")</f>
        <v>Complete</v>
      </c>
      <c r="J69" s="54" t="str">
        <f>IFERROR(IF(INDEX(SPOT_Import!$A$1:$Z$2488,69,'Live Data'!$C$21)="","",INDEX(SPOT_Import!$A$1:$Z$2488,69,'Live Data'!$C$21)),"")</f>
        <v>2026-10-09T12:48:07.000Z</v>
      </c>
      <c r="K69" s="54" t="str">
        <f>IFERROR(IF(INDEX(SPOT_Import!$A$1:$Z$2488,69,'Live Data'!$C$22)="","",INDEX(SPOT_Import!$A$1:$Z$2488,69,'Live Data'!$C$22)),"")</f>
        <v>2026-10-09T12:48:07.000Z</v>
      </c>
      <c r="L69" s="55" t="str">
        <f t="shared" si="2"/>
        <v>2026-10</v>
      </c>
      <c r="M69" s="55" t="str">
        <f t="shared" si="3"/>
        <v>MERU</v>
      </c>
      <c r="N69" s="55" t="str">
        <f>IF(A69="","",IFERROR(INDEX('Cluster Map'!$A$4:$A$38,MATCH(M69,'Cluster Map'!$B$4:$B$38,0)),"Unmapped"))</f>
        <v>Cluster 1</v>
      </c>
      <c r="O69" s="55">
        <f>IF(A69="",0,IF(COUNTIFS($A$2:A69,A69,$F$2:F69,F69,$L$2:L69,L69)=1,1,0))</f>
        <v>1</v>
      </c>
      <c r="P69" s="55">
        <f>IF(A69="",0,IF(AND(F69="C&amp;T",COUNTIFS($A$2:A69,A69,$F$2:F69,"C&amp;T")=1),1,0))</f>
        <v>0</v>
      </c>
    </row>
    <row r="70" spans="1:16" x14ac:dyDescent="0.35">
      <c r="A70" s="54">
        <f>IFERROR(IF(INDEX(SPOT_Import!$A$1:$Z$2488,70,'Live Data'!$C$12)="","",INDEX(SPOT_Import!$A$1:$Z$2488,70,'Live Data'!$C$12)),"")</f>
        <v>12036</v>
      </c>
      <c r="B70" s="54" t="str">
        <f>IFERROR(IF(INDEX(SPOT_Import!$A$1:$Z$2488,70,'Live Data'!$C$13)="","",INDEX(SPOT_Import!$A$1:$Z$2488,70,'Live Data'!$C$13)),"")</f>
        <v>Giaki Sub-District Hospital</v>
      </c>
      <c r="C70" s="54" t="str">
        <f>IFERROR(IF(INDEX(SPOT_Import!$A$1:$Z$2488,70,'Live Data'!$C$14)="","",INDEX(SPOT_Import!$A$1:$Z$2488,70,'Live Data'!$C$14)),"")</f>
        <v>MERU</v>
      </c>
      <c r="D70" s="54" t="str">
        <f>IFERROR(IF(INDEX(SPOT_Import!$A$1:$Z$2488,70,'Live Data'!$C$15)="","",INDEX(SPOT_Import!$A$1:$Z$2488,70,'Live Data'!$C$15)),"")</f>
        <v>Imenti North</v>
      </c>
      <c r="E70" s="54" t="str">
        <f>IFERROR(IF(INDEX(SPOT_Import!$A$1:$Z$2488,70,'Live Data'!$C$16)="","",INDEX(SPOT_Import!$A$1:$Z$2488,70,'Live Data'!$C$16)),"")</f>
        <v>USAID Jamii Tekelezi</v>
      </c>
      <c r="F70" s="54" t="str">
        <f>IFERROR(IF(INDEX(SPOT_Import!$A$1:$Z$2488,70,'Live Data'!$C$17)="","",INDEX(SPOT_Import!$A$1:$Z$2488,70,'Live Data'!$C$17)),"")</f>
        <v>C&amp;T</v>
      </c>
      <c r="G70" s="54">
        <f>IFERROR(IF(INDEX(SPOT_Import!$A$1:$Z$2488,70,'Live Data'!$C$18)="","",INDEX(SPOT_Import!$A$1:$Z$2488,70,'Live Data'!$C$18)),"")</f>
        <v>540</v>
      </c>
      <c r="H70" s="54">
        <f>IFERROR(IF(INDEX(SPOT_Import!$A$1:$Z$2488,70,'Live Data'!$C$19)="","",INDEX(SPOT_Import!$A$1:$Z$2488,70,'Live Data'!$C$19)),"")</f>
        <v>540</v>
      </c>
      <c r="I70" s="54" t="str">
        <f>IFERROR(IF(INDEX(SPOT_Import!$A$1:$Z$2488,70,'Live Data'!$C$20)="","",INDEX(SPOT_Import!$A$1:$Z$2488,70,'Live Data'!$C$20)),"")</f>
        <v>Complete</v>
      </c>
      <c r="J70" s="54" t="str">
        <f>IFERROR(IF(INDEX(SPOT_Import!$A$1:$Z$2488,70,'Live Data'!$C$21)="","",INDEX(SPOT_Import!$A$1:$Z$2488,70,'Live Data'!$C$21)),"")</f>
        <v>2026-10-09T12:42:30.000Z</v>
      </c>
      <c r="K70" s="54" t="str">
        <f>IFERROR(IF(INDEX(SPOT_Import!$A$1:$Z$2488,70,'Live Data'!$C$22)="","",INDEX(SPOT_Import!$A$1:$Z$2488,70,'Live Data'!$C$22)),"")</f>
        <v>2026-10-09T12:42:30.000Z</v>
      </c>
      <c r="L70" s="55" t="str">
        <f t="shared" si="2"/>
        <v>2026-10</v>
      </c>
      <c r="M70" s="55" t="str">
        <f t="shared" si="3"/>
        <v>MERU</v>
      </c>
      <c r="N70" s="55" t="str">
        <f>IF(A70="","",IFERROR(INDEX('Cluster Map'!$A$4:$A$38,MATCH(M70,'Cluster Map'!$B$4:$B$38,0)),"Unmapped"))</f>
        <v>Cluster 1</v>
      </c>
      <c r="O70" s="55">
        <f>IF(A70="",0,IF(COUNTIFS($A$2:A70,A70,$F$2:F70,F70,$L$2:L70,L70)=1,1,0))</f>
        <v>1</v>
      </c>
      <c r="P70" s="55">
        <f>IF(A70="",0,IF(AND(F70="C&amp;T",COUNTIFS($A$2:A70,A70,$F$2:F70,"C&amp;T")=1),1,0))</f>
        <v>1</v>
      </c>
    </row>
    <row r="71" spans="1:16" x14ac:dyDescent="0.35">
      <c r="A71" s="54">
        <f>IFERROR(IF(INDEX(SPOT_Import!$A$1:$Z$2488,71,'Live Data'!$C$12)="","",INDEX(SPOT_Import!$A$1:$Z$2488,71,'Live Data'!$C$12)),"")</f>
        <v>24622</v>
      </c>
      <c r="B71" s="54" t="str">
        <f>IFERROR(IF(INDEX(SPOT_Import!$A$1:$Z$2488,71,'Live Data'!$C$13)="","",INDEX(SPOT_Import!$A$1:$Z$2488,71,'Live Data'!$C$13)),"")</f>
        <v>HWWK Maua Dice</v>
      </c>
      <c r="C71" s="54" t="str">
        <f>IFERROR(IF(INDEX(SPOT_Import!$A$1:$Z$2488,71,'Live Data'!$C$14)="","",INDEX(SPOT_Import!$A$1:$Z$2488,71,'Live Data'!$C$14)),"")</f>
        <v>MERU</v>
      </c>
      <c r="D71" s="54" t="str">
        <f>IFERROR(IF(INDEX(SPOT_Import!$A$1:$Z$2488,71,'Live Data'!$C$15)="","",INDEX(SPOT_Import!$A$1:$Z$2488,71,'Live Data'!$C$15)),"")</f>
        <v>Igembe South</v>
      </c>
      <c r="E71" s="54" t="str">
        <f>IFERROR(IF(INDEX(SPOT_Import!$A$1:$Z$2488,71,'Live Data'!$C$16)="","",INDEX(SPOT_Import!$A$1:$Z$2488,71,'Live Data'!$C$16)),"")</f>
        <v>USAID Jamii Tekelezi</v>
      </c>
      <c r="F71" s="54" t="str">
        <f>IFERROR(IF(INDEX(SPOT_Import!$A$1:$Z$2488,71,'Live Data'!$C$17)="","",INDEX(SPOT_Import!$A$1:$Z$2488,71,'Live Data'!$C$17)),"")</f>
        <v>PREP</v>
      </c>
      <c r="G71" s="54">
        <f>IFERROR(IF(INDEX(SPOT_Import!$A$1:$Z$2488,71,'Live Data'!$C$18)="","",INDEX(SPOT_Import!$A$1:$Z$2488,71,'Live Data'!$C$18)),"")</f>
        <v>730</v>
      </c>
      <c r="H71" s="54">
        <f>IFERROR(IF(INDEX(SPOT_Import!$A$1:$Z$2488,71,'Live Data'!$C$19)="","",INDEX(SPOT_Import!$A$1:$Z$2488,71,'Live Data'!$C$19)),"")</f>
        <v>600</v>
      </c>
      <c r="I71" s="54" t="str">
        <f>IFERROR(IF(INDEX(SPOT_Import!$A$1:$Z$2488,71,'Live Data'!$C$20)="","",INDEX(SPOT_Import!$A$1:$Z$2488,71,'Live Data'!$C$20)),"")</f>
        <v>Complete</v>
      </c>
      <c r="J71" s="54" t="str">
        <f>IFERROR(IF(INDEX(SPOT_Import!$A$1:$Z$2488,71,'Live Data'!$C$21)="","",INDEX(SPOT_Import!$A$1:$Z$2488,71,'Live Data'!$C$21)),"")</f>
        <v>2026-10-09T12:27:32.000Z</v>
      </c>
      <c r="K71" s="54" t="str">
        <f>IFERROR(IF(INDEX(SPOT_Import!$A$1:$Z$2488,71,'Live Data'!$C$22)="","",INDEX(SPOT_Import!$A$1:$Z$2488,71,'Live Data'!$C$22)),"")</f>
        <v>2026-10-09T12:27:32.000Z</v>
      </c>
      <c r="L71" s="55" t="str">
        <f t="shared" si="2"/>
        <v>2026-10</v>
      </c>
      <c r="M71" s="55" t="str">
        <f t="shared" si="3"/>
        <v>MERU</v>
      </c>
      <c r="N71" s="55" t="str">
        <f>IF(A71="","",IFERROR(INDEX('Cluster Map'!$A$4:$A$38,MATCH(M71,'Cluster Map'!$B$4:$B$38,0)),"Unmapped"))</f>
        <v>Cluster 1</v>
      </c>
      <c r="O71" s="55">
        <f>IF(A71="",0,IF(COUNTIFS($A$2:A71,A71,$F$2:F71,F71,$L$2:L71,L71)=1,1,0))</f>
        <v>1</v>
      </c>
      <c r="P71" s="55">
        <f>IF(A71="",0,IF(AND(F71="C&amp;T",COUNTIFS($A$2:A71,A71,$F$2:F71,"C&amp;T")=1),1,0))</f>
        <v>0</v>
      </c>
    </row>
    <row r="72" spans="1:16" x14ac:dyDescent="0.35">
      <c r="A72" s="54">
        <f>IFERROR(IF(INDEX(SPOT_Import!$A$1:$Z$2488,72,'Live Data'!$C$12)="","",INDEX(SPOT_Import!$A$1:$Z$2488,72,'Live Data'!$C$12)),"")</f>
        <v>24622</v>
      </c>
      <c r="B72" s="54" t="str">
        <f>IFERROR(IF(INDEX(SPOT_Import!$A$1:$Z$2488,72,'Live Data'!$C$13)="","",INDEX(SPOT_Import!$A$1:$Z$2488,72,'Live Data'!$C$13)),"")</f>
        <v>HWWK Maua Dice</v>
      </c>
      <c r="C72" s="54" t="str">
        <f>IFERROR(IF(INDEX(SPOT_Import!$A$1:$Z$2488,72,'Live Data'!$C$14)="","",INDEX(SPOT_Import!$A$1:$Z$2488,72,'Live Data'!$C$14)),"")</f>
        <v>MERU</v>
      </c>
      <c r="D72" s="54" t="str">
        <f>IFERROR(IF(INDEX(SPOT_Import!$A$1:$Z$2488,72,'Live Data'!$C$15)="","",INDEX(SPOT_Import!$A$1:$Z$2488,72,'Live Data'!$C$15)),"")</f>
        <v>Igembe South</v>
      </c>
      <c r="E72" s="54" t="str">
        <f>IFERROR(IF(INDEX(SPOT_Import!$A$1:$Z$2488,72,'Live Data'!$C$16)="","",INDEX(SPOT_Import!$A$1:$Z$2488,72,'Live Data'!$C$16)),"")</f>
        <v>USAID Jamii Tekelezi</v>
      </c>
      <c r="F72" s="54" t="str">
        <f>IFERROR(IF(INDEX(SPOT_Import!$A$1:$Z$2488,72,'Live Data'!$C$17)="","",INDEX(SPOT_Import!$A$1:$Z$2488,72,'Live Data'!$C$17)),"")</f>
        <v>HTS</v>
      </c>
      <c r="G72" s="54">
        <f>IFERROR(IF(INDEX(SPOT_Import!$A$1:$Z$2488,72,'Live Data'!$C$18)="","",INDEX(SPOT_Import!$A$1:$Z$2488,72,'Live Data'!$C$18)),"")</f>
        <v>6818</v>
      </c>
      <c r="H72" s="54">
        <f>IFERROR(IF(INDEX(SPOT_Import!$A$1:$Z$2488,72,'Live Data'!$C$19)="","",INDEX(SPOT_Import!$A$1:$Z$2488,72,'Live Data'!$C$19)),"")</f>
        <v>6818</v>
      </c>
      <c r="I72" s="54" t="str">
        <f>IFERROR(IF(INDEX(SPOT_Import!$A$1:$Z$2488,72,'Live Data'!$C$20)="","",INDEX(SPOT_Import!$A$1:$Z$2488,72,'Live Data'!$C$20)),"")</f>
        <v>Complete</v>
      </c>
      <c r="J72" s="54" t="str">
        <f>IFERROR(IF(INDEX(SPOT_Import!$A$1:$Z$2488,72,'Live Data'!$C$21)="","",INDEX(SPOT_Import!$A$1:$Z$2488,72,'Live Data'!$C$21)),"")</f>
        <v>2026-10-09T12:26:37.000Z</v>
      </c>
      <c r="K72" s="54" t="str">
        <f>IFERROR(IF(INDEX(SPOT_Import!$A$1:$Z$2488,72,'Live Data'!$C$22)="","",INDEX(SPOT_Import!$A$1:$Z$2488,72,'Live Data'!$C$22)),"")</f>
        <v>2026-10-09T12:26:37.000Z</v>
      </c>
      <c r="L72" s="55" t="str">
        <f t="shared" si="2"/>
        <v>2026-10</v>
      </c>
      <c r="M72" s="55" t="str">
        <f t="shared" si="3"/>
        <v>MERU</v>
      </c>
      <c r="N72" s="55" t="str">
        <f>IF(A72="","",IFERROR(INDEX('Cluster Map'!$A$4:$A$38,MATCH(M72,'Cluster Map'!$B$4:$B$38,0)),"Unmapped"))</f>
        <v>Cluster 1</v>
      </c>
      <c r="O72" s="55">
        <f>IF(A72="",0,IF(COUNTIFS($A$2:A72,A72,$F$2:F72,F72,$L$2:L72,L72)=1,1,0))</f>
        <v>1</v>
      </c>
      <c r="P72" s="55">
        <f>IF(A72="",0,IF(AND(F72="C&amp;T",COUNTIFS($A$2:A72,A72,$F$2:F72,"C&amp;T")=1),1,0))</f>
        <v>0</v>
      </c>
    </row>
    <row r="73" spans="1:16" x14ac:dyDescent="0.35">
      <c r="A73" s="54">
        <f>IFERROR(IF(INDEX(SPOT_Import!$A$1:$Z$2488,73,'Live Data'!$C$12)="","",INDEX(SPOT_Import!$A$1:$Z$2488,73,'Live Data'!$C$12)),"")</f>
        <v>12234</v>
      </c>
      <c r="B73" s="54" t="str">
        <f>IFERROR(IF(INDEX(SPOT_Import!$A$1:$Z$2488,73,'Live Data'!$C$13)="","",INDEX(SPOT_Import!$A$1:$Z$2488,73,'Live Data'!$C$13)),"")</f>
        <v>Kathithi Dispensary</v>
      </c>
      <c r="C73" s="54" t="str">
        <f>IFERROR(IF(INDEX(SPOT_Import!$A$1:$Z$2488,73,'Live Data'!$C$14)="","",INDEX(SPOT_Import!$A$1:$Z$2488,73,'Live Data'!$C$14)),"")</f>
        <v>MERU</v>
      </c>
      <c r="D73" s="54" t="str">
        <f>IFERROR(IF(INDEX(SPOT_Import!$A$1:$Z$2488,73,'Live Data'!$C$15)="","",INDEX(SPOT_Import!$A$1:$Z$2488,73,'Live Data'!$C$15)),"")</f>
        <v>Imenti North</v>
      </c>
      <c r="E73" s="54" t="str">
        <f>IFERROR(IF(INDEX(SPOT_Import!$A$1:$Z$2488,73,'Live Data'!$C$16)="","",INDEX(SPOT_Import!$A$1:$Z$2488,73,'Live Data'!$C$16)),"")</f>
        <v>USAID Jamii Tekelezi</v>
      </c>
      <c r="F73" s="54" t="str">
        <f>IFERROR(IF(INDEX(SPOT_Import!$A$1:$Z$2488,73,'Live Data'!$C$17)="","",INDEX(SPOT_Import!$A$1:$Z$2488,73,'Live Data'!$C$17)),"")</f>
        <v>C&amp;T</v>
      </c>
      <c r="G73" s="54">
        <f>IFERROR(IF(INDEX(SPOT_Import!$A$1:$Z$2488,73,'Live Data'!$C$18)="","",INDEX(SPOT_Import!$A$1:$Z$2488,73,'Live Data'!$C$18)),"")</f>
        <v>236</v>
      </c>
      <c r="H73" s="54">
        <f>IFERROR(IF(INDEX(SPOT_Import!$A$1:$Z$2488,73,'Live Data'!$C$19)="","",INDEX(SPOT_Import!$A$1:$Z$2488,73,'Live Data'!$C$19)),"")</f>
        <v>236</v>
      </c>
      <c r="I73" s="54" t="str">
        <f>IFERROR(IF(INDEX(SPOT_Import!$A$1:$Z$2488,73,'Live Data'!$C$20)="","",INDEX(SPOT_Import!$A$1:$Z$2488,73,'Live Data'!$C$20)),"")</f>
        <v>Complete</v>
      </c>
      <c r="J73" s="54" t="str">
        <f>IFERROR(IF(INDEX(SPOT_Import!$A$1:$Z$2488,73,'Live Data'!$C$21)="","",INDEX(SPOT_Import!$A$1:$Z$2488,73,'Live Data'!$C$21)),"")</f>
        <v>2026-10-09T12:24:09.000Z</v>
      </c>
      <c r="K73" s="54" t="str">
        <f>IFERROR(IF(INDEX(SPOT_Import!$A$1:$Z$2488,73,'Live Data'!$C$22)="","",INDEX(SPOT_Import!$A$1:$Z$2488,73,'Live Data'!$C$22)),"")</f>
        <v>2026-10-09T12:24:09.000Z</v>
      </c>
      <c r="L73" s="55" t="str">
        <f t="shared" si="2"/>
        <v>2026-10</v>
      </c>
      <c r="M73" s="55" t="str">
        <f t="shared" si="3"/>
        <v>MERU</v>
      </c>
      <c r="N73" s="55" t="str">
        <f>IF(A73="","",IFERROR(INDEX('Cluster Map'!$A$4:$A$38,MATCH(M73,'Cluster Map'!$B$4:$B$38,0)),"Unmapped"))</f>
        <v>Cluster 1</v>
      </c>
      <c r="O73" s="55">
        <f>IF(A73="",0,IF(COUNTIFS($A$2:A73,A73,$F$2:F73,F73,$L$2:L73,L73)=1,1,0))</f>
        <v>1</v>
      </c>
      <c r="P73" s="55">
        <f>IF(A73="",0,IF(AND(F73="C&amp;T",COUNTIFS($A$2:A73,A73,$F$2:F73,"C&amp;T")=1),1,0))</f>
        <v>1</v>
      </c>
    </row>
    <row r="74" spans="1:16" x14ac:dyDescent="0.35">
      <c r="A74" s="54">
        <f>IFERROR(IF(INDEX(SPOT_Import!$A$1:$Z$2488,74,'Live Data'!$C$12)="","",INDEX(SPOT_Import!$A$1:$Z$2488,74,'Live Data'!$C$12)),"")</f>
        <v>12290</v>
      </c>
      <c r="B74" s="54" t="str">
        <f>IFERROR(IF(INDEX(SPOT_Import!$A$1:$Z$2488,74,'Live Data'!$C$13)="","",INDEX(SPOT_Import!$A$1:$Z$2488,74,'Live Data'!$C$13)),"")</f>
        <v>Kiburine Dispensary</v>
      </c>
      <c r="C74" s="54" t="str">
        <f>IFERROR(IF(INDEX(SPOT_Import!$A$1:$Z$2488,74,'Live Data'!$C$14)="","",INDEX(SPOT_Import!$A$1:$Z$2488,74,'Live Data'!$C$14)),"")</f>
        <v>MERU</v>
      </c>
      <c r="D74" s="54" t="str">
        <f>IFERROR(IF(INDEX(SPOT_Import!$A$1:$Z$2488,74,'Live Data'!$C$15)="","",INDEX(SPOT_Import!$A$1:$Z$2488,74,'Live Data'!$C$15)),"")</f>
        <v>Imenti North</v>
      </c>
      <c r="E74" s="54" t="str">
        <f>IFERROR(IF(INDEX(SPOT_Import!$A$1:$Z$2488,74,'Live Data'!$C$16)="","",INDEX(SPOT_Import!$A$1:$Z$2488,74,'Live Data'!$C$16)),"")</f>
        <v>USAID Jamii Tekelezi</v>
      </c>
      <c r="F74" s="54" t="str">
        <f>IFERROR(IF(INDEX(SPOT_Import!$A$1:$Z$2488,74,'Live Data'!$C$17)="","",INDEX(SPOT_Import!$A$1:$Z$2488,74,'Live Data'!$C$17)),"")</f>
        <v>MNCH</v>
      </c>
      <c r="G74" s="54">
        <f>IFERROR(IF(INDEX(SPOT_Import!$A$1:$Z$2488,74,'Live Data'!$C$18)="","",INDEX(SPOT_Import!$A$1:$Z$2488,74,'Live Data'!$C$18)),"")</f>
        <v>14</v>
      </c>
      <c r="H74" s="54">
        <f>IFERROR(IF(INDEX(SPOT_Import!$A$1:$Z$2488,74,'Live Data'!$C$19)="","",INDEX(SPOT_Import!$A$1:$Z$2488,74,'Live Data'!$C$19)),"")</f>
        <v>14</v>
      </c>
      <c r="I74" s="54" t="str">
        <f>IFERROR(IF(INDEX(SPOT_Import!$A$1:$Z$2488,74,'Live Data'!$C$20)="","",INDEX(SPOT_Import!$A$1:$Z$2488,74,'Live Data'!$C$20)),"")</f>
        <v>Complete</v>
      </c>
      <c r="J74" s="54" t="str">
        <f>IFERROR(IF(INDEX(SPOT_Import!$A$1:$Z$2488,74,'Live Data'!$C$21)="","",INDEX(SPOT_Import!$A$1:$Z$2488,74,'Live Data'!$C$21)),"")</f>
        <v>2026-10-09T12:22:54.000Z</v>
      </c>
      <c r="K74" s="54" t="str">
        <f>IFERROR(IF(INDEX(SPOT_Import!$A$1:$Z$2488,74,'Live Data'!$C$22)="","",INDEX(SPOT_Import!$A$1:$Z$2488,74,'Live Data'!$C$22)),"")</f>
        <v>2026-10-09T12:22:54.000Z</v>
      </c>
      <c r="L74" s="55" t="str">
        <f t="shared" si="2"/>
        <v>2026-10</v>
      </c>
      <c r="M74" s="55" t="str">
        <f t="shared" si="3"/>
        <v>MERU</v>
      </c>
      <c r="N74" s="55" t="str">
        <f>IF(A74="","",IFERROR(INDEX('Cluster Map'!$A$4:$A$38,MATCH(M74,'Cluster Map'!$B$4:$B$38,0)),"Unmapped"))</f>
        <v>Cluster 1</v>
      </c>
      <c r="O74" s="55">
        <f>IF(A74="",0,IF(COUNTIFS($A$2:A74,A74,$F$2:F74,F74,$L$2:L74,L74)=1,1,0))</f>
        <v>1</v>
      </c>
      <c r="P74" s="55">
        <f>IF(A74="",0,IF(AND(F74="C&amp;T",COUNTIFS($A$2:A74,A74,$F$2:F74,"C&amp;T")=1),1,0))</f>
        <v>0</v>
      </c>
    </row>
    <row r="75" spans="1:16" x14ac:dyDescent="0.35">
      <c r="A75" s="54">
        <f>IFERROR(IF(INDEX(SPOT_Import!$A$1:$Z$2488,75,'Live Data'!$C$12)="","",INDEX(SPOT_Import!$A$1:$Z$2488,75,'Live Data'!$C$12)),"")</f>
        <v>12290</v>
      </c>
      <c r="B75" s="54" t="str">
        <f>IFERROR(IF(INDEX(SPOT_Import!$A$1:$Z$2488,75,'Live Data'!$C$13)="","",INDEX(SPOT_Import!$A$1:$Z$2488,75,'Live Data'!$C$13)),"")</f>
        <v>Kiburine Dispensary</v>
      </c>
      <c r="C75" s="54" t="str">
        <f>IFERROR(IF(INDEX(SPOT_Import!$A$1:$Z$2488,75,'Live Data'!$C$14)="","",INDEX(SPOT_Import!$A$1:$Z$2488,75,'Live Data'!$C$14)),"")</f>
        <v>MERU</v>
      </c>
      <c r="D75" s="54" t="str">
        <f>IFERROR(IF(INDEX(SPOT_Import!$A$1:$Z$2488,75,'Live Data'!$C$15)="","",INDEX(SPOT_Import!$A$1:$Z$2488,75,'Live Data'!$C$15)),"")</f>
        <v>Imenti North</v>
      </c>
      <c r="E75" s="54" t="str">
        <f>IFERROR(IF(INDEX(SPOT_Import!$A$1:$Z$2488,75,'Live Data'!$C$16)="","",INDEX(SPOT_Import!$A$1:$Z$2488,75,'Live Data'!$C$16)),"")</f>
        <v>USAID Jamii Tekelezi</v>
      </c>
      <c r="F75" s="54" t="str">
        <f>IFERROR(IF(INDEX(SPOT_Import!$A$1:$Z$2488,75,'Live Data'!$C$17)="","",INDEX(SPOT_Import!$A$1:$Z$2488,75,'Live Data'!$C$17)),"")</f>
        <v>HTS</v>
      </c>
      <c r="G75" s="54">
        <f>IFERROR(IF(INDEX(SPOT_Import!$A$1:$Z$2488,75,'Live Data'!$C$18)="","",INDEX(SPOT_Import!$A$1:$Z$2488,75,'Live Data'!$C$18)),"")</f>
        <v>2</v>
      </c>
      <c r="H75" s="54">
        <f>IFERROR(IF(INDEX(SPOT_Import!$A$1:$Z$2488,75,'Live Data'!$C$19)="","",INDEX(SPOT_Import!$A$1:$Z$2488,75,'Live Data'!$C$19)),"")</f>
        <v>2</v>
      </c>
      <c r="I75" s="54" t="str">
        <f>IFERROR(IF(INDEX(SPOT_Import!$A$1:$Z$2488,75,'Live Data'!$C$20)="","",INDEX(SPOT_Import!$A$1:$Z$2488,75,'Live Data'!$C$20)),"")</f>
        <v>Complete</v>
      </c>
      <c r="J75" s="54" t="str">
        <f>IFERROR(IF(INDEX(SPOT_Import!$A$1:$Z$2488,75,'Live Data'!$C$21)="","",INDEX(SPOT_Import!$A$1:$Z$2488,75,'Live Data'!$C$21)),"")</f>
        <v>2026-10-09T12:22:45.000Z</v>
      </c>
      <c r="K75" s="54" t="str">
        <f>IFERROR(IF(INDEX(SPOT_Import!$A$1:$Z$2488,75,'Live Data'!$C$22)="","",INDEX(SPOT_Import!$A$1:$Z$2488,75,'Live Data'!$C$22)),"")</f>
        <v>2026-10-09T12:22:45.000Z</v>
      </c>
      <c r="L75" s="55" t="str">
        <f t="shared" si="2"/>
        <v>2026-10</v>
      </c>
      <c r="M75" s="55" t="str">
        <f t="shared" si="3"/>
        <v>MERU</v>
      </c>
      <c r="N75" s="55" t="str">
        <f>IF(A75="","",IFERROR(INDEX('Cluster Map'!$A$4:$A$38,MATCH(M75,'Cluster Map'!$B$4:$B$38,0)),"Unmapped"))</f>
        <v>Cluster 1</v>
      </c>
      <c r="O75" s="55">
        <f>IF(A75="",0,IF(COUNTIFS($A$2:A75,A75,$F$2:F75,F75,$L$2:L75,L75)=1,1,0))</f>
        <v>1</v>
      </c>
      <c r="P75" s="55">
        <f>IF(A75="",0,IF(AND(F75="C&amp;T",COUNTIFS($A$2:A75,A75,$F$2:F75,"C&amp;T")=1),1,0))</f>
        <v>0</v>
      </c>
    </row>
    <row r="76" spans="1:16" x14ac:dyDescent="0.35">
      <c r="A76" s="54">
        <f>IFERROR(IF(INDEX(SPOT_Import!$A$1:$Z$2488,76,'Live Data'!$C$12)="","",INDEX(SPOT_Import!$A$1:$Z$2488,76,'Live Data'!$C$12)),"")</f>
        <v>12302</v>
      </c>
      <c r="B76" s="54" t="str">
        <f>IFERROR(IF(INDEX(SPOT_Import!$A$1:$Z$2488,76,'Live Data'!$C$13)="","",INDEX(SPOT_Import!$A$1:$Z$2488,76,'Live Data'!$C$13)),"")</f>
        <v>Kiirua Health Centre</v>
      </c>
      <c r="C76" s="54" t="str">
        <f>IFERROR(IF(INDEX(SPOT_Import!$A$1:$Z$2488,76,'Live Data'!$C$14)="","",INDEX(SPOT_Import!$A$1:$Z$2488,76,'Live Data'!$C$14)),"")</f>
        <v>MERU</v>
      </c>
      <c r="D76" s="54" t="str">
        <f>IFERROR(IF(INDEX(SPOT_Import!$A$1:$Z$2488,76,'Live Data'!$C$15)="","",INDEX(SPOT_Import!$A$1:$Z$2488,76,'Live Data'!$C$15)),"")</f>
        <v>Buuri</v>
      </c>
      <c r="E76" s="54" t="str">
        <f>IFERROR(IF(INDEX(SPOT_Import!$A$1:$Z$2488,76,'Live Data'!$C$16)="","",INDEX(SPOT_Import!$A$1:$Z$2488,76,'Live Data'!$C$16)),"")</f>
        <v>USAID Jamii Tekelezi</v>
      </c>
      <c r="F76" s="54" t="str">
        <f>IFERROR(IF(INDEX(SPOT_Import!$A$1:$Z$2488,76,'Live Data'!$C$17)="","",INDEX(SPOT_Import!$A$1:$Z$2488,76,'Live Data'!$C$17)),"")</f>
        <v>PREP</v>
      </c>
      <c r="G76" s="54">
        <f>IFERROR(IF(INDEX(SPOT_Import!$A$1:$Z$2488,76,'Live Data'!$C$18)="","",INDEX(SPOT_Import!$A$1:$Z$2488,76,'Live Data'!$C$18)),"")</f>
        <v>5</v>
      </c>
      <c r="H76" s="54" t="str">
        <f>IFERROR(IF(INDEX(SPOT_Import!$A$1:$Z$2488,76,'Live Data'!$C$19)="","",INDEX(SPOT_Import!$A$1:$Z$2488,76,'Live Data'!$C$19)),"")</f>
        <v/>
      </c>
      <c r="I76" s="54" t="str">
        <f>IFERROR(IF(INDEX(SPOT_Import!$A$1:$Z$2488,76,'Live Data'!$C$20)="","",INDEX(SPOT_Import!$A$1:$Z$2488,76,'Live Data'!$C$20)),"")</f>
        <v>Incomplete</v>
      </c>
      <c r="J76" s="54" t="str">
        <f>IFERROR(IF(INDEX(SPOT_Import!$A$1:$Z$2488,76,'Live Data'!$C$21)="","",INDEX(SPOT_Import!$A$1:$Z$2488,76,'Live Data'!$C$21)),"")</f>
        <v>2026-10-09T12:11:32.000Z</v>
      </c>
      <c r="K76" s="54" t="str">
        <f>IFERROR(IF(INDEX(SPOT_Import!$A$1:$Z$2488,76,'Live Data'!$C$22)="","",INDEX(SPOT_Import!$A$1:$Z$2488,76,'Live Data'!$C$22)),"")</f>
        <v>2026-10-09T12:11:32.000Z</v>
      </c>
      <c r="L76" s="55" t="str">
        <f t="shared" si="2"/>
        <v>2026-10</v>
      </c>
      <c r="M76" s="55" t="str">
        <f t="shared" si="3"/>
        <v>MERU</v>
      </c>
      <c r="N76" s="55" t="str">
        <f>IF(A76="","",IFERROR(INDEX('Cluster Map'!$A$4:$A$38,MATCH(M76,'Cluster Map'!$B$4:$B$38,0)),"Unmapped"))</f>
        <v>Cluster 1</v>
      </c>
      <c r="O76" s="55">
        <f>IF(A76="",0,IF(COUNTIFS($A$2:A76,A76,$F$2:F76,F76,$L$2:L76,L76)=1,1,0))</f>
        <v>1</v>
      </c>
      <c r="P76" s="55">
        <f>IF(A76="",0,IF(AND(F76="C&amp;T",COUNTIFS($A$2:A76,A76,$F$2:F76,"C&amp;T")=1),1,0))</f>
        <v>0</v>
      </c>
    </row>
    <row r="77" spans="1:16" x14ac:dyDescent="0.35">
      <c r="A77" s="54">
        <f>IFERROR(IF(INDEX(SPOT_Import!$A$1:$Z$2488,77,'Live Data'!$C$12)="","",INDEX(SPOT_Import!$A$1:$Z$2488,77,'Live Data'!$C$12)),"")</f>
        <v>12302</v>
      </c>
      <c r="B77" s="54" t="str">
        <f>IFERROR(IF(INDEX(SPOT_Import!$A$1:$Z$2488,77,'Live Data'!$C$13)="","",INDEX(SPOT_Import!$A$1:$Z$2488,77,'Live Data'!$C$13)),"")</f>
        <v>Kiirua Health Centre</v>
      </c>
      <c r="C77" s="54" t="str">
        <f>IFERROR(IF(INDEX(SPOT_Import!$A$1:$Z$2488,77,'Live Data'!$C$14)="","",INDEX(SPOT_Import!$A$1:$Z$2488,77,'Live Data'!$C$14)),"")</f>
        <v>MERU</v>
      </c>
      <c r="D77" s="54" t="str">
        <f>IFERROR(IF(INDEX(SPOT_Import!$A$1:$Z$2488,77,'Live Data'!$C$15)="","",INDEX(SPOT_Import!$A$1:$Z$2488,77,'Live Data'!$C$15)),"")</f>
        <v>Buuri</v>
      </c>
      <c r="E77" s="54" t="str">
        <f>IFERROR(IF(INDEX(SPOT_Import!$A$1:$Z$2488,77,'Live Data'!$C$16)="","",INDEX(SPOT_Import!$A$1:$Z$2488,77,'Live Data'!$C$16)),"")</f>
        <v>USAID Jamii Tekelezi</v>
      </c>
      <c r="F77" s="54" t="str">
        <f>IFERROR(IF(INDEX(SPOT_Import!$A$1:$Z$2488,77,'Live Data'!$C$17)="","",INDEX(SPOT_Import!$A$1:$Z$2488,77,'Live Data'!$C$17)),"")</f>
        <v>MNCH</v>
      </c>
      <c r="G77" s="54">
        <f>IFERROR(IF(INDEX(SPOT_Import!$A$1:$Z$2488,77,'Live Data'!$C$18)="","",INDEX(SPOT_Import!$A$1:$Z$2488,77,'Live Data'!$C$18)),"")</f>
        <v>69</v>
      </c>
      <c r="H77" s="54" t="str">
        <f>IFERROR(IF(INDEX(SPOT_Import!$A$1:$Z$2488,77,'Live Data'!$C$19)="","",INDEX(SPOT_Import!$A$1:$Z$2488,77,'Live Data'!$C$19)),"")</f>
        <v/>
      </c>
      <c r="I77" s="54" t="str">
        <f>IFERROR(IF(INDEX(SPOT_Import!$A$1:$Z$2488,77,'Live Data'!$C$20)="","",INDEX(SPOT_Import!$A$1:$Z$2488,77,'Live Data'!$C$20)),"")</f>
        <v>Incomplete</v>
      </c>
      <c r="J77" s="54" t="str">
        <f>IFERROR(IF(INDEX(SPOT_Import!$A$1:$Z$2488,77,'Live Data'!$C$21)="","",INDEX(SPOT_Import!$A$1:$Z$2488,77,'Live Data'!$C$21)),"")</f>
        <v>2026-10-09T12:11:22.000Z</v>
      </c>
      <c r="K77" s="54" t="str">
        <f>IFERROR(IF(INDEX(SPOT_Import!$A$1:$Z$2488,77,'Live Data'!$C$22)="","",INDEX(SPOT_Import!$A$1:$Z$2488,77,'Live Data'!$C$22)),"")</f>
        <v>2026-10-09T12:11:22.000Z</v>
      </c>
      <c r="L77" s="55" t="str">
        <f t="shared" si="2"/>
        <v>2026-10</v>
      </c>
      <c r="M77" s="55" t="str">
        <f t="shared" si="3"/>
        <v>MERU</v>
      </c>
      <c r="N77" s="55" t="str">
        <f>IF(A77="","",IFERROR(INDEX('Cluster Map'!$A$4:$A$38,MATCH(M77,'Cluster Map'!$B$4:$B$38,0)),"Unmapped"))</f>
        <v>Cluster 1</v>
      </c>
      <c r="O77" s="55">
        <f>IF(A77="",0,IF(COUNTIFS($A$2:A77,A77,$F$2:F77,F77,$L$2:L77,L77)=1,1,0))</f>
        <v>1</v>
      </c>
      <c r="P77" s="55">
        <f>IF(A77="",0,IF(AND(F77="C&amp;T",COUNTIFS($A$2:A77,A77,$F$2:F77,"C&amp;T")=1),1,0))</f>
        <v>0</v>
      </c>
    </row>
    <row r="78" spans="1:16" x14ac:dyDescent="0.35">
      <c r="A78" s="54">
        <f>IFERROR(IF(INDEX(SPOT_Import!$A$1:$Z$2488,78,'Live Data'!$C$12)="","",INDEX(SPOT_Import!$A$1:$Z$2488,78,'Live Data'!$C$12)),"")</f>
        <v>12302</v>
      </c>
      <c r="B78" s="54" t="str">
        <f>IFERROR(IF(INDEX(SPOT_Import!$A$1:$Z$2488,78,'Live Data'!$C$13)="","",INDEX(SPOT_Import!$A$1:$Z$2488,78,'Live Data'!$C$13)),"")</f>
        <v>Kiirua Health Centre</v>
      </c>
      <c r="C78" s="54" t="str">
        <f>IFERROR(IF(INDEX(SPOT_Import!$A$1:$Z$2488,78,'Live Data'!$C$14)="","",INDEX(SPOT_Import!$A$1:$Z$2488,78,'Live Data'!$C$14)),"")</f>
        <v>MERU</v>
      </c>
      <c r="D78" s="54" t="str">
        <f>IFERROR(IF(INDEX(SPOT_Import!$A$1:$Z$2488,78,'Live Data'!$C$15)="","",INDEX(SPOT_Import!$A$1:$Z$2488,78,'Live Data'!$C$15)),"")</f>
        <v>Buuri</v>
      </c>
      <c r="E78" s="54" t="str">
        <f>IFERROR(IF(INDEX(SPOT_Import!$A$1:$Z$2488,78,'Live Data'!$C$16)="","",INDEX(SPOT_Import!$A$1:$Z$2488,78,'Live Data'!$C$16)),"")</f>
        <v>USAID Jamii Tekelezi</v>
      </c>
      <c r="F78" s="54" t="str">
        <f>IFERROR(IF(INDEX(SPOT_Import!$A$1:$Z$2488,78,'Live Data'!$C$17)="","",INDEX(SPOT_Import!$A$1:$Z$2488,78,'Live Data'!$C$17)),"")</f>
        <v>HTS</v>
      </c>
      <c r="G78" s="54">
        <f>IFERROR(IF(INDEX(SPOT_Import!$A$1:$Z$2488,78,'Live Data'!$C$18)="","",INDEX(SPOT_Import!$A$1:$Z$2488,78,'Live Data'!$C$18)),"")</f>
        <v>913</v>
      </c>
      <c r="H78" s="54">
        <f>IFERROR(IF(INDEX(SPOT_Import!$A$1:$Z$2488,78,'Live Data'!$C$19)="","",INDEX(SPOT_Import!$A$1:$Z$2488,78,'Live Data'!$C$19)),"")</f>
        <v>913</v>
      </c>
      <c r="I78" s="54" t="str">
        <f>IFERROR(IF(INDEX(SPOT_Import!$A$1:$Z$2488,78,'Live Data'!$C$20)="","",INDEX(SPOT_Import!$A$1:$Z$2488,78,'Live Data'!$C$20)),"")</f>
        <v>Complete</v>
      </c>
      <c r="J78" s="54" t="str">
        <f>IFERROR(IF(INDEX(SPOT_Import!$A$1:$Z$2488,78,'Live Data'!$C$21)="","",INDEX(SPOT_Import!$A$1:$Z$2488,78,'Live Data'!$C$21)),"")</f>
        <v>2026-10-09T12:11:14.000Z</v>
      </c>
      <c r="K78" s="54" t="str">
        <f>IFERROR(IF(INDEX(SPOT_Import!$A$1:$Z$2488,78,'Live Data'!$C$22)="","",INDEX(SPOT_Import!$A$1:$Z$2488,78,'Live Data'!$C$22)),"")</f>
        <v>2026-10-09T12:11:14.000Z</v>
      </c>
      <c r="L78" s="55" t="str">
        <f t="shared" si="2"/>
        <v>2026-10</v>
      </c>
      <c r="M78" s="55" t="str">
        <f t="shared" si="3"/>
        <v>MERU</v>
      </c>
      <c r="N78" s="55" t="str">
        <f>IF(A78="","",IFERROR(INDEX('Cluster Map'!$A$4:$A$38,MATCH(M78,'Cluster Map'!$B$4:$B$38,0)),"Unmapped"))</f>
        <v>Cluster 1</v>
      </c>
      <c r="O78" s="55">
        <f>IF(A78="",0,IF(COUNTIFS($A$2:A78,A78,$F$2:F78,F78,$L$2:L78,L78)=1,1,0))</f>
        <v>1</v>
      </c>
      <c r="P78" s="55">
        <f>IF(A78="",0,IF(AND(F78="C&amp;T",COUNTIFS($A$2:A78,A78,$F$2:F78,"C&amp;T")=1),1,0))</f>
        <v>0</v>
      </c>
    </row>
    <row r="79" spans="1:16" x14ac:dyDescent="0.35">
      <c r="A79" s="54">
        <f>IFERROR(IF(INDEX(SPOT_Import!$A$1:$Z$2488,79,'Live Data'!$C$12)="","",INDEX(SPOT_Import!$A$1:$Z$2488,79,'Live Data'!$C$12)),"")</f>
        <v>24622</v>
      </c>
      <c r="B79" s="54" t="str">
        <f>IFERROR(IF(INDEX(SPOT_Import!$A$1:$Z$2488,79,'Live Data'!$C$13)="","",INDEX(SPOT_Import!$A$1:$Z$2488,79,'Live Data'!$C$13)),"")</f>
        <v>HOPE worldwide Kenya MAUA DICE</v>
      </c>
      <c r="C79" s="54" t="str">
        <f>IFERROR(IF(INDEX(SPOT_Import!$A$1:$Z$2488,79,'Live Data'!$C$14)="","",INDEX(SPOT_Import!$A$1:$Z$2488,79,'Live Data'!$C$14)),"")</f>
        <v>MERU</v>
      </c>
      <c r="D79" s="54" t="str">
        <f>IFERROR(IF(INDEX(SPOT_Import!$A$1:$Z$2488,79,'Live Data'!$C$15)="","",INDEX(SPOT_Import!$A$1:$Z$2488,79,'Live Data'!$C$15)),"")</f>
        <v>Igembe South</v>
      </c>
      <c r="E79" s="54" t="str">
        <f>IFERROR(IF(INDEX(SPOT_Import!$A$1:$Z$2488,79,'Live Data'!$C$16)="","",INDEX(SPOT_Import!$A$1:$Z$2488,79,'Live Data'!$C$16)),"")</f>
        <v>USAID Jamii Tekelezi</v>
      </c>
      <c r="F79" s="54" t="str">
        <f>IFERROR(IF(INDEX(SPOT_Import!$A$1:$Z$2488,79,'Live Data'!$C$17)="","",INDEX(SPOT_Import!$A$1:$Z$2488,79,'Live Data'!$C$17)),"")</f>
        <v>C&amp;T</v>
      </c>
      <c r="G79" s="54">
        <f>IFERROR(IF(INDEX(SPOT_Import!$A$1:$Z$2488,79,'Live Data'!$C$18)="","",INDEX(SPOT_Import!$A$1:$Z$2488,79,'Live Data'!$C$18)),"")</f>
        <v>85</v>
      </c>
      <c r="H79" s="54">
        <f>IFERROR(IF(INDEX(SPOT_Import!$A$1:$Z$2488,79,'Live Data'!$C$19)="","",INDEX(SPOT_Import!$A$1:$Z$2488,79,'Live Data'!$C$19)),"")</f>
        <v>85</v>
      </c>
      <c r="I79" s="54" t="str">
        <f>IFERROR(IF(INDEX(SPOT_Import!$A$1:$Z$2488,79,'Live Data'!$C$20)="","",INDEX(SPOT_Import!$A$1:$Z$2488,79,'Live Data'!$C$20)),"")</f>
        <v>Complete</v>
      </c>
      <c r="J79" s="54" t="str">
        <f>IFERROR(IF(INDEX(SPOT_Import!$A$1:$Z$2488,79,'Live Data'!$C$21)="","",INDEX(SPOT_Import!$A$1:$Z$2488,79,'Live Data'!$C$21)),"")</f>
        <v>2026-10-09T12:03:59.000Z</v>
      </c>
      <c r="K79" s="54" t="str">
        <f>IFERROR(IF(INDEX(SPOT_Import!$A$1:$Z$2488,79,'Live Data'!$C$22)="","",INDEX(SPOT_Import!$A$1:$Z$2488,79,'Live Data'!$C$22)),"")</f>
        <v>2026-10-09T12:03:59.000Z</v>
      </c>
      <c r="L79" s="55" t="str">
        <f t="shared" si="2"/>
        <v>2026-10</v>
      </c>
      <c r="M79" s="55" t="str">
        <f t="shared" si="3"/>
        <v>MERU</v>
      </c>
      <c r="N79" s="55" t="str">
        <f>IF(A79="","",IFERROR(INDEX('Cluster Map'!$A$4:$A$38,MATCH(M79,'Cluster Map'!$B$4:$B$38,0)),"Unmapped"))</f>
        <v>Cluster 1</v>
      </c>
      <c r="O79" s="55">
        <f>IF(A79="",0,IF(COUNTIFS($A$2:A79,A79,$F$2:F79,F79,$L$2:L79,L79)=1,1,0))</f>
        <v>1</v>
      </c>
      <c r="P79" s="55">
        <f>IF(A79="",0,IF(AND(F79="C&amp;T",COUNTIFS($A$2:A79,A79,$F$2:F79,"C&amp;T")=1),1,0))</f>
        <v>1</v>
      </c>
    </row>
    <row r="80" spans="1:16" x14ac:dyDescent="0.35">
      <c r="A80" s="54">
        <f>IFERROR(IF(INDEX(SPOT_Import!$A$1:$Z$2488,80,'Live Data'!$C$12)="","",INDEX(SPOT_Import!$A$1:$Z$2488,80,'Live Data'!$C$12)),"")</f>
        <v>12290</v>
      </c>
      <c r="B80" s="54" t="str">
        <f>IFERROR(IF(INDEX(SPOT_Import!$A$1:$Z$2488,80,'Live Data'!$C$13)="","",INDEX(SPOT_Import!$A$1:$Z$2488,80,'Live Data'!$C$13)),"")</f>
        <v>Kiburine Dispensary</v>
      </c>
      <c r="C80" s="54" t="str">
        <f>IFERROR(IF(INDEX(SPOT_Import!$A$1:$Z$2488,80,'Live Data'!$C$14)="","",INDEX(SPOT_Import!$A$1:$Z$2488,80,'Live Data'!$C$14)),"")</f>
        <v>MERU</v>
      </c>
      <c r="D80" s="54" t="str">
        <f>IFERROR(IF(INDEX(SPOT_Import!$A$1:$Z$2488,80,'Live Data'!$C$15)="","",INDEX(SPOT_Import!$A$1:$Z$2488,80,'Live Data'!$C$15)),"")</f>
        <v>Imenti North</v>
      </c>
      <c r="E80" s="54" t="str">
        <f>IFERROR(IF(INDEX(SPOT_Import!$A$1:$Z$2488,80,'Live Data'!$C$16)="","",INDEX(SPOT_Import!$A$1:$Z$2488,80,'Live Data'!$C$16)),"")</f>
        <v>USAID Jamii Tekelezi</v>
      </c>
      <c r="F80" s="54" t="str">
        <f>IFERROR(IF(INDEX(SPOT_Import!$A$1:$Z$2488,80,'Live Data'!$C$17)="","",INDEX(SPOT_Import!$A$1:$Z$2488,80,'Live Data'!$C$17)),"")</f>
        <v>C&amp;T</v>
      </c>
      <c r="G80" s="54">
        <f>IFERROR(IF(INDEX(SPOT_Import!$A$1:$Z$2488,80,'Live Data'!$C$18)="","",INDEX(SPOT_Import!$A$1:$Z$2488,80,'Live Data'!$C$18)),"")</f>
        <v>100</v>
      </c>
      <c r="H80" s="54">
        <f>IFERROR(IF(INDEX(SPOT_Import!$A$1:$Z$2488,80,'Live Data'!$C$19)="","",INDEX(SPOT_Import!$A$1:$Z$2488,80,'Live Data'!$C$19)),"")</f>
        <v>100</v>
      </c>
      <c r="I80" s="54" t="str">
        <f>IFERROR(IF(INDEX(SPOT_Import!$A$1:$Z$2488,80,'Live Data'!$C$20)="","",INDEX(SPOT_Import!$A$1:$Z$2488,80,'Live Data'!$C$20)),"")</f>
        <v>Complete</v>
      </c>
      <c r="J80" s="54" t="str">
        <f>IFERROR(IF(INDEX(SPOT_Import!$A$1:$Z$2488,80,'Live Data'!$C$21)="","",INDEX(SPOT_Import!$A$1:$Z$2488,80,'Live Data'!$C$21)),"")</f>
        <v>2026-10-09T11:58:35.000Z</v>
      </c>
      <c r="K80" s="54" t="str">
        <f>IFERROR(IF(INDEX(SPOT_Import!$A$1:$Z$2488,80,'Live Data'!$C$22)="","",INDEX(SPOT_Import!$A$1:$Z$2488,80,'Live Data'!$C$22)),"")</f>
        <v>2026-10-09T11:58:35.000Z</v>
      </c>
      <c r="L80" s="55" t="str">
        <f t="shared" si="2"/>
        <v>2026-10</v>
      </c>
      <c r="M80" s="55" t="str">
        <f t="shared" si="3"/>
        <v>MERU</v>
      </c>
      <c r="N80" s="55" t="str">
        <f>IF(A80="","",IFERROR(INDEX('Cluster Map'!$A$4:$A$38,MATCH(M80,'Cluster Map'!$B$4:$B$38,0)),"Unmapped"))</f>
        <v>Cluster 1</v>
      </c>
      <c r="O80" s="55">
        <f>IF(A80="",0,IF(COUNTIFS($A$2:A80,A80,$F$2:F80,F80,$L$2:L80,L80)=1,1,0))</f>
        <v>1</v>
      </c>
      <c r="P80" s="55">
        <f>IF(A80="",0,IF(AND(F80="C&amp;T",COUNTIFS($A$2:A80,A80,$F$2:F80,"C&amp;T")=1),1,0))</f>
        <v>1</v>
      </c>
    </row>
    <row r="81" spans="1:16" x14ac:dyDescent="0.35">
      <c r="A81" s="54">
        <f>IFERROR(IF(INDEX(SPOT_Import!$A$1:$Z$2488,81,'Live Data'!$C$12)="","",INDEX(SPOT_Import!$A$1:$Z$2488,81,'Live Data'!$C$12)),"")</f>
        <v>12302</v>
      </c>
      <c r="B81" s="54" t="str">
        <f>IFERROR(IF(INDEX(SPOT_Import!$A$1:$Z$2488,81,'Live Data'!$C$13)="","",INDEX(SPOT_Import!$A$1:$Z$2488,81,'Live Data'!$C$13)),"")</f>
        <v>Kiirua Dispensary</v>
      </c>
      <c r="C81" s="54" t="str">
        <f>IFERROR(IF(INDEX(SPOT_Import!$A$1:$Z$2488,81,'Live Data'!$C$14)="","",INDEX(SPOT_Import!$A$1:$Z$2488,81,'Live Data'!$C$14)),"")</f>
        <v>MERU</v>
      </c>
      <c r="D81" s="54" t="str">
        <f>IFERROR(IF(INDEX(SPOT_Import!$A$1:$Z$2488,81,'Live Data'!$C$15)="","",INDEX(SPOT_Import!$A$1:$Z$2488,81,'Live Data'!$C$15)),"")</f>
        <v>Buuri</v>
      </c>
      <c r="E81" s="54" t="str">
        <f>IFERROR(IF(INDEX(SPOT_Import!$A$1:$Z$2488,81,'Live Data'!$C$16)="","",INDEX(SPOT_Import!$A$1:$Z$2488,81,'Live Data'!$C$16)),"")</f>
        <v>USAID Jamii Tekelezi</v>
      </c>
      <c r="F81" s="54" t="str">
        <f>IFERROR(IF(INDEX(SPOT_Import!$A$1:$Z$2488,81,'Live Data'!$C$17)="","",INDEX(SPOT_Import!$A$1:$Z$2488,81,'Live Data'!$C$17)),"")</f>
        <v>C&amp;T</v>
      </c>
      <c r="G81" s="54">
        <f>IFERROR(IF(INDEX(SPOT_Import!$A$1:$Z$2488,81,'Live Data'!$C$18)="","",INDEX(SPOT_Import!$A$1:$Z$2488,81,'Live Data'!$C$18)),"")</f>
        <v>405</v>
      </c>
      <c r="H81" s="54">
        <f>IFERROR(IF(INDEX(SPOT_Import!$A$1:$Z$2488,81,'Live Data'!$C$19)="","",INDEX(SPOT_Import!$A$1:$Z$2488,81,'Live Data'!$C$19)),"")</f>
        <v>405</v>
      </c>
      <c r="I81" s="54" t="str">
        <f>IFERROR(IF(INDEX(SPOT_Import!$A$1:$Z$2488,81,'Live Data'!$C$20)="","",INDEX(SPOT_Import!$A$1:$Z$2488,81,'Live Data'!$C$20)),"")</f>
        <v>Complete</v>
      </c>
      <c r="J81" s="54" t="str">
        <f>IFERROR(IF(INDEX(SPOT_Import!$A$1:$Z$2488,81,'Live Data'!$C$21)="","",INDEX(SPOT_Import!$A$1:$Z$2488,81,'Live Data'!$C$21)),"")</f>
        <v>2026-10-09T11:56:50.000Z</v>
      </c>
      <c r="K81" s="54" t="str">
        <f>IFERROR(IF(INDEX(SPOT_Import!$A$1:$Z$2488,81,'Live Data'!$C$22)="","",INDEX(SPOT_Import!$A$1:$Z$2488,81,'Live Data'!$C$22)),"")</f>
        <v>2026-10-09T11:56:50.000Z</v>
      </c>
      <c r="L81" s="55" t="str">
        <f t="shared" si="2"/>
        <v>2026-10</v>
      </c>
      <c r="M81" s="55" t="str">
        <f t="shared" si="3"/>
        <v>MERU</v>
      </c>
      <c r="N81" s="55" t="str">
        <f>IF(A81="","",IFERROR(INDEX('Cluster Map'!$A$4:$A$38,MATCH(M81,'Cluster Map'!$B$4:$B$38,0)),"Unmapped"))</f>
        <v>Cluster 1</v>
      </c>
      <c r="O81" s="55">
        <f>IF(A81="",0,IF(COUNTIFS($A$2:A81,A81,$F$2:F81,F81,$L$2:L81,L81)=1,1,0))</f>
        <v>1</v>
      </c>
      <c r="P81" s="55">
        <f>IF(A81="",0,IF(AND(F81="C&amp;T",COUNTIFS($A$2:A81,A81,$F$2:F81,"C&amp;T")=1),1,0))</f>
        <v>1</v>
      </c>
    </row>
    <row r="82" spans="1:16" x14ac:dyDescent="0.35">
      <c r="A82" s="54">
        <f>IFERROR(IF(INDEX(SPOT_Import!$A$1:$Z$2488,82,'Live Data'!$C$12)="","",INDEX(SPOT_Import!$A$1:$Z$2488,82,'Live Data'!$C$12)),"")</f>
        <v>11973</v>
      </c>
      <c r="B82" s="54" t="str">
        <f>IFERROR(IF(INDEX(SPOT_Import!$A$1:$Z$2488,82,'Live Data'!$C$13)="","",INDEX(SPOT_Import!$A$1:$Z$2488,82,'Live Data'!$C$13)),"")</f>
        <v>Chuka County Refferal Hospital</v>
      </c>
      <c r="C82" s="54" t="str">
        <f>IFERROR(IF(INDEX(SPOT_Import!$A$1:$Z$2488,82,'Live Data'!$C$14)="","",INDEX(SPOT_Import!$A$1:$Z$2488,82,'Live Data'!$C$14)),"")</f>
        <v>THARAKA-NITHI</v>
      </c>
      <c r="D82" s="54" t="str">
        <f>IFERROR(IF(INDEX(SPOT_Import!$A$1:$Z$2488,82,'Live Data'!$C$15)="","",INDEX(SPOT_Import!$A$1:$Z$2488,82,'Live Data'!$C$15)),"")</f>
        <v>Chuka</v>
      </c>
      <c r="E82" s="54" t="str">
        <f>IFERROR(IF(INDEX(SPOT_Import!$A$1:$Z$2488,82,'Live Data'!$C$16)="","",INDEX(SPOT_Import!$A$1:$Z$2488,82,'Live Data'!$C$16)),"")</f>
        <v>USAID Jamii Tekelezi</v>
      </c>
      <c r="F82" s="54" t="str">
        <f>IFERROR(IF(INDEX(SPOT_Import!$A$1:$Z$2488,82,'Live Data'!$C$17)="","",INDEX(SPOT_Import!$A$1:$Z$2488,82,'Live Data'!$C$17)),"")</f>
        <v>HTS</v>
      </c>
      <c r="G82" s="54">
        <f>IFERROR(IF(INDEX(SPOT_Import!$A$1:$Z$2488,82,'Live Data'!$C$18)="","",INDEX(SPOT_Import!$A$1:$Z$2488,82,'Live Data'!$C$18)),"")</f>
        <v>17187</v>
      </c>
      <c r="H82" s="54">
        <f>IFERROR(IF(INDEX(SPOT_Import!$A$1:$Z$2488,82,'Live Data'!$C$19)="","",INDEX(SPOT_Import!$A$1:$Z$2488,82,'Live Data'!$C$19)),"")</f>
        <v>17187</v>
      </c>
      <c r="I82" s="54" t="str">
        <f>IFERROR(IF(INDEX(SPOT_Import!$A$1:$Z$2488,82,'Live Data'!$C$20)="","",INDEX(SPOT_Import!$A$1:$Z$2488,82,'Live Data'!$C$20)),"")</f>
        <v>Complete</v>
      </c>
      <c r="J82" s="54" t="str">
        <f>IFERROR(IF(INDEX(SPOT_Import!$A$1:$Z$2488,82,'Live Data'!$C$21)="","",INDEX(SPOT_Import!$A$1:$Z$2488,82,'Live Data'!$C$21)),"")</f>
        <v>2026-10-09T11:34:50.000Z</v>
      </c>
      <c r="K82" s="54" t="str">
        <f>IFERROR(IF(INDEX(SPOT_Import!$A$1:$Z$2488,82,'Live Data'!$C$22)="","",INDEX(SPOT_Import!$A$1:$Z$2488,82,'Live Data'!$C$22)),"")</f>
        <v>2026-10-09T11:34:50.000Z</v>
      </c>
      <c r="L82" s="55" t="str">
        <f t="shared" si="2"/>
        <v>2026-10</v>
      </c>
      <c r="M82" s="55" t="str">
        <f t="shared" si="3"/>
        <v>THARAKA-NITHI</v>
      </c>
      <c r="N82" s="55" t="str">
        <f>IF(A82="","",IFERROR(INDEX('Cluster Map'!$A$4:$A$38,MATCH(M82,'Cluster Map'!$B$4:$B$38,0)),"Unmapped"))</f>
        <v>Cluster 2</v>
      </c>
      <c r="O82" s="55">
        <f>IF(A82="",0,IF(COUNTIFS($A$2:A82,A82,$F$2:F82,F82,$L$2:L82,L82)=1,1,0))</f>
        <v>1</v>
      </c>
      <c r="P82" s="55">
        <f>IF(A82="",0,IF(AND(F82="C&amp;T",COUNTIFS($A$2:A82,A82,$F$2:F82,"C&amp;T")=1),1,0))</f>
        <v>0</v>
      </c>
    </row>
    <row r="83" spans="1:16" x14ac:dyDescent="0.35">
      <c r="A83" s="54">
        <f>IFERROR(IF(INDEX(SPOT_Import!$A$1:$Z$2488,83,'Live Data'!$C$12)="","",INDEX(SPOT_Import!$A$1:$Z$2488,83,'Live Data'!$C$12)),"")</f>
        <v>12561</v>
      </c>
      <c r="B83" s="54" t="str">
        <f>IFERROR(IF(INDEX(SPOT_Import!$A$1:$Z$2488,83,'Live Data'!$C$13)="","",INDEX(SPOT_Import!$A$1:$Z$2488,83,'Live Data'!$C$13)),"")</f>
        <v>Mukui Health Centre</v>
      </c>
      <c r="C83" s="54" t="str">
        <f>IFERROR(IF(INDEX(SPOT_Import!$A$1:$Z$2488,83,'Live Data'!$C$14)="","",INDEX(SPOT_Import!$A$1:$Z$2488,83,'Live Data'!$C$14)),"")</f>
        <v>THARAKA-NITHI</v>
      </c>
      <c r="D83" s="54" t="str">
        <f>IFERROR(IF(INDEX(SPOT_Import!$A$1:$Z$2488,83,'Live Data'!$C$15)="","",INDEX(SPOT_Import!$A$1:$Z$2488,83,'Live Data'!$C$15)),"")</f>
        <v>Mwimbi</v>
      </c>
      <c r="E83" s="54" t="str">
        <f>IFERROR(IF(INDEX(SPOT_Import!$A$1:$Z$2488,83,'Live Data'!$C$16)="","",INDEX(SPOT_Import!$A$1:$Z$2488,83,'Live Data'!$C$16)),"")</f>
        <v>USAID Jamii Tekelezi</v>
      </c>
      <c r="F83" s="54" t="str">
        <f>IFERROR(IF(INDEX(SPOT_Import!$A$1:$Z$2488,83,'Live Data'!$C$17)="","",INDEX(SPOT_Import!$A$1:$Z$2488,83,'Live Data'!$C$17)),"")</f>
        <v>MNCH</v>
      </c>
      <c r="G83" s="54">
        <f>IFERROR(IF(INDEX(SPOT_Import!$A$1:$Z$2488,83,'Live Data'!$C$18)="","",INDEX(SPOT_Import!$A$1:$Z$2488,83,'Live Data'!$C$18)),"")</f>
        <v>2</v>
      </c>
      <c r="H83" s="54">
        <f>IFERROR(IF(INDEX(SPOT_Import!$A$1:$Z$2488,83,'Live Data'!$C$19)="","",INDEX(SPOT_Import!$A$1:$Z$2488,83,'Live Data'!$C$19)),"")</f>
        <v>2</v>
      </c>
      <c r="I83" s="54" t="str">
        <f>IFERROR(IF(INDEX(SPOT_Import!$A$1:$Z$2488,83,'Live Data'!$C$20)="","",INDEX(SPOT_Import!$A$1:$Z$2488,83,'Live Data'!$C$20)),"")</f>
        <v>Complete</v>
      </c>
      <c r="J83" s="54" t="str">
        <f>IFERROR(IF(INDEX(SPOT_Import!$A$1:$Z$2488,83,'Live Data'!$C$21)="","",INDEX(SPOT_Import!$A$1:$Z$2488,83,'Live Data'!$C$21)),"")</f>
        <v>2026-10-09T10:46:05.000Z</v>
      </c>
      <c r="K83" s="54" t="str">
        <f>IFERROR(IF(INDEX(SPOT_Import!$A$1:$Z$2488,83,'Live Data'!$C$22)="","",INDEX(SPOT_Import!$A$1:$Z$2488,83,'Live Data'!$C$22)),"")</f>
        <v>2026-10-09T10:46:05.000Z</v>
      </c>
      <c r="L83" s="55" t="str">
        <f t="shared" si="2"/>
        <v>2026-10</v>
      </c>
      <c r="M83" s="55" t="str">
        <f t="shared" si="3"/>
        <v>THARAKA-NITHI</v>
      </c>
      <c r="N83" s="55" t="str">
        <f>IF(A83="","",IFERROR(INDEX('Cluster Map'!$A$4:$A$38,MATCH(M83,'Cluster Map'!$B$4:$B$38,0)),"Unmapped"))</f>
        <v>Cluster 2</v>
      </c>
      <c r="O83" s="55">
        <f>IF(A83="",0,IF(COUNTIFS($A$2:A83,A83,$F$2:F83,F83,$L$2:L83,L83)=1,1,0))</f>
        <v>1</v>
      </c>
      <c r="P83" s="55">
        <f>IF(A83="",0,IF(AND(F83="C&amp;T",COUNTIFS($A$2:A83,A83,$F$2:F83,"C&amp;T")=1),1,0))</f>
        <v>0</v>
      </c>
    </row>
    <row r="84" spans="1:16" x14ac:dyDescent="0.35">
      <c r="A84" s="54">
        <f>IFERROR(IF(INDEX(SPOT_Import!$A$1:$Z$2488,84,'Live Data'!$C$12)="","",INDEX(SPOT_Import!$A$1:$Z$2488,84,'Live Data'!$C$12)),"")</f>
        <v>12561</v>
      </c>
      <c r="B84" s="54" t="str">
        <f>IFERROR(IF(INDEX(SPOT_Import!$A$1:$Z$2488,84,'Live Data'!$C$13)="","",INDEX(SPOT_Import!$A$1:$Z$2488,84,'Live Data'!$C$13)),"")</f>
        <v>Mukui Health Centre</v>
      </c>
      <c r="C84" s="54" t="str">
        <f>IFERROR(IF(INDEX(SPOT_Import!$A$1:$Z$2488,84,'Live Data'!$C$14)="","",INDEX(SPOT_Import!$A$1:$Z$2488,84,'Live Data'!$C$14)),"")</f>
        <v>THARAKA-NITHI</v>
      </c>
      <c r="D84" s="54" t="str">
        <f>IFERROR(IF(INDEX(SPOT_Import!$A$1:$Z$2488,84,'Live Data'!$C$15)="","",INDEX(SPOT_Import!$A$1:$Z$2488,84,'Live Data'!$C$15)),"")</f>
        <v>Mwimbi</v>
      </c>
      <c r="E84" s="54" t="str">
        <f>IFERROR(IF(INDEX(SPOT_Import!$A$1:$Z$2488,84,'Live Data'!$C$16)="","",INDEX(SPOT_Import!$A$1:$Z$2488,84,'Live Data'!$C$16)),"")</f>
        <v>USAID Jamii Tekelezi</v>
      </c>
      <c r="F84" s="54" t="str">
        <f>IFERROR(IF(INDEX(SPOT_Import!$A$1:$Z$2488,84,'Live Data'!$C$17)="","",INDEX(SPOT_Import!$A$1:$Z$2488,84,'Live Data'!$C$17)),"")</f>
        <v>HTS</v>
      </c>
      <c r="G84" s="54">
        <f>IFERROR(IF(INDEX(SPOT_Import!$A$1:$Z$2488,84,'Live Data'!$C$18)="","",INDEX(SPOT_Import!$A$1:$Z$2488,84,'Live Data'!$C$18)),"")</f>
        <v>217</v>
      </c>
      <c r="H84" s="54">
        <f>IFERROR(IF(INDEX(SPOT_Import!$A$1:$Z$2488,84,'Live Data'!$C$19)="","",INDEX(SPOT_Import!$A$1:$Z$2488,84,'Live Data'!$C$19)),"")</f>
        <v>217</v>
      </c>
      <c r="I84" s="54" t="str">
        <f>IFERROR(IF(INDEX(SPOT_Import!$A$1:$Z$2488,84,'Live Data'!$C$20)="","",INDEX(SPOT_Import!$A$1:$Z$2488,84,'Live Data'!$C$20)),"")</f>
        <v>Complete</v>
      </c>
      <c r="J84" s="54" t="str">
        <f>IFERROR(IF(INDEX(SPOT_Import!$A$1:$Z$2488,84,'Live Data'!$C$21)="","",INDEX(SPOT_Import!$A$1:$Z$2488,84,'Live Data'!$C$21)),"")</f>
        <v>2026-10-09T10:45:46.000Z</v>
      </c>
      <c r="K84" s="54" t="str">
        <f>IFERROR(IF(INDEX(SPOT_Import!$A$1:$Z$2488,84,'Live Data'!$C$22)="","",INDEX(SPOT_Import!$A$1:$Z$2488,84,'Live Data'!$C$22)),"")</f>
        <v>2026-10-09T10:45:46.000Z</v>
      </c>
      <c r="L84" s="55" t="str">
        <f t="shared" si="2"/>
        <v>2026-10</v>
      </c>
      <c r="M84" s="55" t="str">
        <f t="shared" si="3"/>
        <v>THARAKA-NITHI</v>
      </c>
      <c r="N84" s="55" t="str">
        <f>IF(A84="","",IFERROR(INDEX('Cluster Map'!$A$4:$A$38,MATCH(M84,'Cluster Map'!$B$4:$B$38,0)),"Unmapped"))</f>
        <v>Cluster 2</v>
      </c>
      <c r="O84" s="55">
        <f>IF(A84="",0,IF(COUNTIFS($A$2:A84,A84,$F$2:F84,F84,$L$2:L84,L84)=1,1,0))</f>
        <v>1</v>
      </c>
      <c r="P84" s="55">
        <f>IF(A84="",0,IF(AND(F84="C&amp;T",COUNTIFS($A$2:A84,A84,$F$2:F84,"C&amp;T")=1),1,0))</f>
        <v>0</v>
      </c>
    </row>
    <row r="85" spans="1:16" x14ac:dyDescent="0.35">
      <c r="A85" s="54">
        <f>IFERROR(IF(INDEX(SPOT_Import!$A$1:$Z$2488,85,'Live Data'!$C$12)="","",INDEX(SPOT_Import!$A$1:$Z$2488,85,'Live Data'!$C$12)),"")</f>
        <v>12795</v>
      </c>
      <c r="B85" s="54" t="str">
        <f>IFERROR(IF(INDEX(SPOT_Import!$A$1:$Z$2488,85,'Live Data'!$C$13)="","",INDEX(SPOT_Import!$A$1:$Z$2488,85,'Live Data'!$C$13)),"")</f>
        <v>Tharaka District Hospital</v>
      </c>
      <c r="C85" s="54" t="str">
        <f>IFERROR(IF(INDEX(SPOT_Import!$A$1:$Z$2488,85,'Live Data'!$C$14)="","",INDEX(SPOT_Import!$A$1:$Z$2488,85,'Live Data'!$C$14)),"")</f>
        <v>THARAKA-NITHI</v>
      </c>
      <c r="D85" s="54" t="str">
        <f>IFERROR(IF(INDEX(SPOT_Import!$A$1:$Z$2488,85,'Live Data'!$C$15)="","",INDEX(SPOT_Import!$A$1:$Z$2488,85,'Live Data'!$C$15)),"")</f>
        <v>Tharaka South</v>
      </c>
      <c r="E85" s="54" t="str">
        <f>IFERROR(IF(INDEX(SPOT_Import!$A$1:$Z$2488,85,'Live Data'!$C$16)="","",INDEX(SPOT_Import!$A$1:$Z$2488,85,'Live Data'!$C$16)),"")</f>
        <v>USAID Jamii Tekelezi</v>
      </c>
      <c r="F85" s="54" t="str">
        <f>IFERROR(IF(INDEX(SPOT_Import!$A$1:$Z$2488,85,'Live Data'!$C$17)="","",INDEX(SPOT_Import!$A$1:$Z$2488,85,'Live Data'!$C$17)),"")</f>
        <v>MNCH</v>
      </c>
      <c r="G85" s="54">
        <f>IFERROR(IF(INDEX(SPOT_Import!$A$1:$Z$2488,85,'Live Data'!$C$18)="","",INDEX(SPOT_Import!$A$1:$Z$2488,85,'Live Data'!$C$18)),"")</f>
        <v>42</v>
      </c>
      <c r="H85" s="54">
        <f>IFERROR(IF(INDEX(SPOT_Import!$A$1:$Z$2488,85,'Live Data'!$C$19)="","",INDEX(SPOT_Import!$A$1:$Z$2488,85,'Live Data'!$C$19)),"")</f>
        <v>42</v>
      </c>
      <c r="I85" s="54" t="str">
        <f>IFERROR(IF(INDEX(SPOT_Import!$A$1:$Z$2488,85,'Live Data'!$C$20)="","",INDEX(SPOT_Import!$A$1:$Z$2488,85,'Live Data'!$C$20)),"")</f>
        <v>Complete</v>
      </c>
      <c r="J85" s="54" t="str">
        <f>IFERROR(IF(INDEX(SPOT_Import!$A$1:$Z$2488,85,'Live Data'!$C$21)="","",INDEX(SPOT_Import!$A$1:$Z$2488,85,'Live Data'!$C$21)),"")</f>
        <v>2026-10-09T10:40:16.000Z</v>
      </c>
      <c r="K85" s="54" t="str">
        <f>IFERROR(IF(INDEX(SPOT_Import!$A$1:$Z$2488,85,'Live Data'!$C$22)="","",INDEX(SPOT_Import!$A$1:$Z$2488,85,'Live Data'!$C$22)),"")</f>
        <v>2026-10-09T10:40:16.000Z</v>
      </c>
      <c r="L85" s="55" t="str">
        <f t="shared" si="2"/>
        <v>2026-10</v>
      </c>
      <c r="M85" s="55" t="str">
        <f t="shared" si="3"/>
        <v>THARAKA-NITHI</v>
      </c>
      <c r="N85" s="55" t="str">
        <f>IF(A85="","",IFERROR(INDEX('Cluster Map'!$A$4:$A$38,MATCH(M85,'Cluster Map'!$B$4:$B$38,0)),"Unmapped"))</f>
        <v>Cluster 2</v>
      </c>
      <c r="O85" s="55">
        <f>IF(A85="",0,IF(COUNTIFS($A$2:A85,A85,$F$2:F85,F85,$L$2:L85,L85)=1,1,0))</f>
        <v>1</v>
      </c>
      <c r="P85" s="55">
        <f>IF(A85="",0,IF(AND(F85="C&amp;T",COUNTIFS($A$2:A85,A85,$F$2:F85,"C&amp;T")=1),1,0))</f>
        <v>0</v>
      </c>
    </row>
    <row r="86" spans="1:16" x14ac:dyDescent="0.35">
      <c r="A86" s="54">
        <f>IFERROR(IF(INDEX(SPOT_Import!$A$1:$Z$2488,86,'Live Data'!$C$12)="","",INDEX(SPOT_Import!$A$1:$Z$2488,86,'Live Data'!$C$12)),"")</f>
        <v>12561</v>
      </c>
      <c r="B86" s="54" t="str">
        <f>IFERROR(IF(INDEX(SPOT_Import!$A$1:$Z$2488,86,'Live Data'!$C$13)="","",INDEX(SPOT_Import!$A$1:$Z$2488,86,'Live Data'!$C$13)),"")</f>
        <v>Mukui Health Centre</v>
      </c>
      <c r="C86" s="54" t="str">
        <f>IFERROR(IF(INDEX(SPOT_Import!$A$1:$Z$2488,86,'Live Data'!$C$14)="","",INDEX(SPOT_Import!$A$1:$Z$2488,86,'Live Data'!$C$14)),"")</f>
        <v>THARAKA-NITHI</v>
      </c>
      <c r="D86" s="54" t="str">
        <f>IFERROR(IF(INDEX(SPOT_Import!$A$1:$Z$2488,86,'Live Data'!$C$15)="","",INDEX(SPOT_Import!$A$1:$Z$2488,86,'Live Data'!$C$15)),"")</f>
        <v>Mwimbi</v>
      </c>
      <c r="E86" s="54" t="str">
        <f>IFERROR(IF(INDEX(SPOT_Import!$A$1:$Z$2488,86,'Live Data'!$C$16)="","",INDEX(SPOT_Import!$A$1:$Z$2488,86,'Live Data'!$C$16)),"")</f>
        <v>USAID Jamii Tekelezi</v>
      </c>
      <c r="F86" s="54" t="str">
        <f>IFERROR(IF(INDEX(SPOT_Import!$A$1:$Z$2488,86,'Live Data'!$C$17)="","",INDEX(SPOT_Import!$A$1:$Z$2488,86,'Live Data'!$C$17)),"")</f>
        <v>C&amp;T</v>
      </c>
      <c r="G86" s="54">
        <f>IFERROR(IF(INDEX(SPOT_Import!$A$1:$Z$2488,86,'Live Data'!$C$18)="","",INDEX(SPOT_Import!$A$1:$Z$2488,86,'Live Data'!$C$18)),"")</f>
        <v>46</v>
      </c>
      <c r="H86" s="54">
        <f>IFERROR(IF(INDEX(SPOT_Import!$A$1:$Z$2488,86,'Live Data'!$C$19)="","",INDEX(SPOT_Import!$A$1:$Z$2488,86,'Live Data'!$C$19)),"")</f>
        <v>46</v>
      </c>
      <c r="I86" s="54" t="str">
        <f>IFERROR(IF(INDEX(SPOT_Import!$A$1:$Z$2488,86,'Live Data'!$C$20)="","",INDEX(SPOT_Import!$A$1:$Z$2488,86,'Live Data'!$C$20)),"")</f>
        <v>Complete</v>
      </c>
      <c r="J86" s="54" t="str">
        <f>IFERROR(IF(INDEX(SPOT_Import!$A$1:$Z$2488,86,'Live Data'!$C$21)="","",INDEX(SPOT_Import!$A$1:$Z$2488,86,'Live Data'!$C$21)),"")</f>
        <v>2026-10-09T10:22:38.000Z</v>
      </c>
      <c r="K86" s="54" t="str">
        <f>IFERROR(IF(INDEX(SPOT_Import!$A$1:$Z$2488,86,'Live Data'!$C$22)="","",INDEX(SPOT_Import!$A$1:$Z$2488,86,'Live Data'!$C$22)),"")</f>
        <v>2026-10-09T10:22:38.000Z</v>
      </c>
      <c r="L86" s="55" t="str">
        <f t="shared" si="2"/>
        <v>2026-10</v>
      </c>
      <c r="M86" s="55" t="str">
        <f t="shared" si="3"/>
        <v>THARAKA-NITHI</v>
      </c>
      <c r="N86" s="55" t="str">
        <f>IF(A86="","",IFERROR(INDEX('Cluster Map'!$A$4:$A$38,MATCH(M86,'Cluster Map'!$B$4:$B$38,0)),"Unmapped"))</f>
        <v>Cluster 2</v>
      </c>
      <c r="O86" s="55">
        <f>IF(A86="",0,IF(COUNTIFS($A$2:A86,A86,$F$2:F86,F86,$L$2:L86,L86)=1,1,0))</f>
        <v>1</v>
      </c>
      <c r="P86" s="55">
        <f>IF(A86="",0,IF(AND(F86="C&amp;T",COUNTIFS($A$2:A86,A86,$F$2:F86,"C&amp;T")=1),1,0))</f>
        <v>1</v>
      </c>
    </row>
    <row r="87" spans="1:16" x14ac:dyDescent="0.35">
      <c r="A87" s="54">
        <f>IFERROR(IF(INDEX(SPOT_Import!$A$1:$Z$2488,87,'Live Data'!$C$12)="","",INDEX(SPOT_Import!$A$1:$Z$2488,87,'Live Data'!$C$12)),"")</f>
        <v>12119</v>
      </c>
      <c r="B87" s="54" t="str">
        <f>IFERROR(IF(INDEX(SPOT_Import!$A$1:$Z$2488,87,'Live Data'!$C$13)="","",INDEX(SPOT_Import!$A$1:$Z$2488,87,'Live Data'!$C$13)),"")</f>
        <v>Kaanwa Dispensary</v>
      </c>
      <c r="C87" s="54" t="str">
        <f>IFERROR(IF(INDEX(SPOT_Import!$A$1:$Z$2488,87,'Live Data'!$C$14)="","",INDEX(SPOT_Import!$A$1:$Z$2488,87,'Live Data'!$C$14)),"")</f>
        <v>THARAKA-NITHI</v>
      </c>
      <c r="D87" s="54" t="str">
        <f>IFERROR(IF(INDEX(SPOT_Import!$A$1:$Z$2488,87,'Live Data'!$C$15)="","",INDEX(SPOT_Import!$A$1:$Z$2488,87,'Live Data'!$C$15)),"")</f>
        <v>Igambangombe</v>
      </c>
      <c r="E87" s="54" t="str">
        <f>IFERROR(IF(INDEX(SPOT_Import!$A$1:$Z$2488,87,'Live Data'!$C$16)="","",INDEX(SPOT_Import!$A$1:$Z$2488,87,'Live Data'!$C$16)),"")</f>
        <v>USAID Jamii Tekelezi</v>
      </c>
      <c r="F87" s="54" t="str">
        <f>IFERROR(IF(INDEX(SPOT_Import!$A$1:$Z$2488,87,'Live Data'!$C$17)="","",INDEX(SPOT_Import!$A$1:$Z$2488,87,'Live Data'!$C$17)),"")</f>
        <v>PREP</v>
      </c>
      <c r="G87" s="54">
        <f>IFERROR(IF(INDEX(SPOT_Import!$A$1:$Z$2488,87,'Live Data'!$C$18)="","",INDEX(SPOT_Import!$A$1:$Z$2488,87,'Live Data'!$C$18)),"")</f>
        <v>137</v>
      </c>
      <c r="H87" s="54">
        <f>IFERROR(IF(INDEX(SPOT_Import!$A$1:$Z$2488,87,'Live Data'!$C$19)="","",INDEX(SPOT_Import!$A$1:$Z$2488,87,'Live Data'!$C$19)),"")</f>
        <v>137</v>
      </c>
      <c r="I87" s="54" t="str">
        <f>IFERROR(IF(INDEX(SPOT_Import!$A$1:$Z$2488,87,'Live Data'!$C$20)="","",INDEX(SPOT_Import!$A$1:$Z$2488,87,'Live Data'!$C$20)),"")</f>
        <v>Complete</v>
      </c>
      <c r="J87" s="54" t="str">
        <f>IFERROR(IF(INDEX(SPOT_Import!$A$1:$Z$2488,87,'Live Data'!$C$21)="","",INDEX(SPOT_Import!$A$1:$Z$2488,87,'Live Data'!$C$21)),"")</f>
        <v>2026-10-09T10:22:05.000Z</v>
      </c>
      <c r="K87" s="54" t="str">
        <f>IFERROR(IF(INDEX(SPOT_Import!$A$1:$Z$2488,87,'Live Data'!$C$22)="","",INDEX(SPOT_Import!$A$1:$Z$2488,87,'Live Data'!$C$22)),"")</f>
        <v>2026-10-09T10:22:05.000Z</v>
      </c>
      <c r="L87" s="55" t="str">
        <f t="shared" si="2"/>
        <v>2026-10</v>
      </c>
      <c r="M87" s="55" t="str">
        <f t="shared" si="3"/>
        <v>THARAKA-NITHI</v>
      </c>
      <c r="N87" s="55" t="str">
        <f>IF(A87="","",IFERROR(INDEX('Cluster Map'!$A$4:$A$38,MATCH(M87,'Cluster Map'!$B$4:$B$38,0)),"Unmapped"))</f>
        <v>Cluster 2</v>
      </c>
      <c r="O87" s="55">
        <f>IF(A87="",0,IF(COUNTIFS($A$2:A87,A87,$F$2:F87,F87,$L$2:L87,L87)=1,1,0))</f>
        <v>1</v>
      </c>
      <c r="P87" s="55">
        <f>IF(A87="",0,IF(AND(F87="C&amp;T",COUNTIFS($A$2:A87,A87,$F$2:F87,"C&amp;T")=1),1,0))</f>
        <v>0</v>
      </c>
    </row>
    <row r="88" spans="1:16" x14ac:dyDescent="0.35">
      <c r="A88" s="54">
        <f>IFERROR(IF(INDEX(SPOT_Import!$A$1:$Z$2488,88,'Live Data'!$C$12)="","",INDEX(SPOT_Import!$A$1:$Z$2488,88,'Live Data'!$C$12)),"")</f>
        <v>12119</v>
      </c>
      <c r="B88" s="54" t="str">
        <f>IFERROR(IF(INDEX(SPOT_Import!$A$1:$Z$2488,88,'Live Data'!$C$13)="","",INDEX(SPOT_Import!$A$1:$Z$2488,88,'Live Data'!$C$13)),"")</f>
        <v>Kaanwa Dispensary</v>
      </c>
      <c r="C88" s="54" t="str">
        <f>IFERROR(IF(INDEX(SPOT_Import!$A$1:$Z$2488,88,'Live Data'!$C$14)="","",INDEX(SPOT_Import!$A$1:$Z$2488,88,'Live Data'!$C$14)),"")</f>
        <v>THARAKA-NITHI</v>
      </c>
      <c r="D88" s="54" t="str">
        <f>IFERROR(IF(INDEX(SPOT_Import!$A$1:$Z$2488,88,'Live Data'!$C$15)="","",INDEX(SPOT_Import!$A$1:$Z$2488,88,'Live Data'!$C$15)),"")</f>
        <v>Igambangombe</v>
      </c>
      <c r="E88" s="54" t="str">
        <f>IFERROR(IF(INDEX(SPOT_Import!$A$1:$Z$2488,88,'Live Data'!$C$16)="","",INDEX(SPOT_Import!$A$1:$Z$2488,88,'Live Data'!$C$16)),"")</f>
        <v>USAID Jamii Tekelezi</v>
      </c>
      <c r="F88" s="54" t="str">
        <f>IFERROR(IF(INDEX(SPOT_Import!$A$1:$Z$2488,88,'Live Data'!$C$17)="","",INDEX(SPOT_Import!$A$1:$Z$2488,88,'Live Data'!$C$17)),"")</f>
        <v>MNCH</v>
      </c>
      <c r="G88" s="54">
        <f>IFERROR(IF(INDEX(SPOT_Import!$A$1:$Z$2488,88,'Live Data'!$C$18)="","",INDEX(SPOT_Import!$A$1:$Z$2488,88,'Live Data'!$C$18)),"")</f>
        <v>1815</v>
      </c>
      <c r="H88" s="54">
        <f>IFERROR(IF(INDEX(SPOT_Import!$A$1:$Z$2488,88,'Live Data'!$C$19)="","",INDEX(SPOT_Import!$A$1:$Z$2488,88,'Live Data'!$C$19)),"")</f>
        <v>1815</v>
      </c>
      <c r="I88" s="54" t="str">
        <f>IFERROR(IF(INDEX(SPOT_Import!$A$1:$Z$2488,88,'Live Data'!$C$20)="","",INDEX(SPOT_Import!$A$1:$Z$2488,88,'Live Data'!$C$20)),"")</f>
        <v>Complete</v>
      </c>
      <c r="J88" s="54" t="str">
        <f>IFERROR(IF(INDEX(SPOT_Import!$A$1:$Z$2488,88,'Live Data'!$C$21)="","",INDEX(SPOT_Import!$A$1:$Z$2488,88,'Live Data'!$C$21)),"")</f>
        <v>2026-10-09T10:21:29.000Z</v>
      </c>
      <c r="K88" s="54" t="str">
        <f>IFERROR(IF(INDEX(SPOT_Import!$A$1:$Z$2488,88,'Live Data'!$C$22)="","",INDEX(SPOT_Import!$A$1:$Z$2488,88,'Live Data'!$C$22)),"")</f>
        <v>2026-10-09T10:21:29.000Z</v>
      </c>
      <c r="L88" s="55" t="str">
        <f t="shared" si="2"/>
        <v>2026-10</v>
      </c>
      <c r="M88" s="55" t="str">
        <f t="shared" si="3"/>
        <v>THARAKA-NITHI</v>
      </c>
      <c r="N88" s="55" t="str">
        <f>IF(A88="","",IFERROR(INDEX('Cluster Map'!$A$4:$A$38,MATCH(M88,'Cluster Map'!$B$4:$B$38,0)),"Unmapped"))</f>
        <v>Cluster 2</v>
      </c>
      <c r="O88" s="55">
        <f>IF(A88="",0,IF(COUNTIFS($A$2:A88,A88,$F$2:F88,F88,$L$2:L88,L88)=1,1,0))</f>
        <v>1</v>
      </c>
      <c r="P88" s="55">
        <f>IF(A88="",0,IF(AND(F88="C&amp;T",COUNTIFS($A$2:A88,A88,$F$2:F88,"C&amp;T")=1),1,0))</f>
        <v>0</v>
      </c>
    </row>
    <row r="89" spans="1:16" x14ac:dyDescent="0.35">
      <c r="A89" s="54">
        <f>IFERROR(IF(INDEX(SPOT_Import!$A$1:$Z$2488,89,'Live Data'!$C$12)="","",INDEX(SPOT_Import!$A$1:$Z$2488,89,'Live Data'!$C$12)),"")</f>
        <v>12119</v>
      </c>
      <c r="B89" s="54" t="str">
        <f>IFERROR(IF(INDEX(SPOT_Import!$A$1:$Z$2488,89,'Live Data'!$C$13)="","",INDEX(SPOT_Import!$A$1:$Z$2488,89,'Live Data'!$C$13)),"")</f>
        <v>Kaanwa Dispensary</v>
      </c>
      <c r="C89" s="54" t="str">
        <f>IFERROR(IF(INDEX(SPOT_Import!$A$1:$Z$2488,89,'Live Data'!$C$14)="","",INDEX(SPOT_Import!$A$1:$Z$2488,89,'Live Data'!$C$14)),"")</f>
        <v>THARAKA-NITHI</v>
      </c>
      <c r="D89" s="54" t="str">
        <f>IFERROR(IF(INDEX(SPOT_Import!$A$1:$Z$2488,89,'Live Data'!$C$15)="","",INDEX(SPOT_Import!$A$1:$Z$2488,89,'Live Data'!$C$15)),"")</f>
        <v>Igambangombe</v>
      </c>
      <c r="E89" s="54" t="str">
        <f>IFERROR(IF(INDEX(SPOT_Import!$A$1:$Z$2488,89,'Live Data'!$C$16)="","",INDEX(SPOT_Import!$A$1:$Z$2488,89,'Live Data'!$C$16)),"")</f>
        <v>USAID Jamii Tekelezi</v>
      </c>
      <c r="F89" s="54" t="str">
        <f>IFERROR(IF(INDEX(SPOT_Import!$A$1:$Z$2488,89,'Live Data'!$C$17)="","",INDEX(SPOT_Import!$A$1:$Z$2488,89,'Live Data'!$C$17)),"")</f>
        <v>HTS</v>
      </c>
      <c r="G89" s="54">
        <f>IFERROR(IF(INDEX(SPOT_Import!$A$1:$Z$2488,89,'Live Data'!$C$18)="","",INDEX(SPOT_Import!$A$1:$Z$2488,89,'Live Data'!$C$18)),"")</f>
        <v>2877</v>
      </c>
      <c r="H89" s="54">
        <f>IFERROR(IF(INDEX(SPOT_Import!$A$1:$Z$2488,89,'Live Data'!$C$19)="","",INDEX(SPOT_Import!$A$1:$Z$2488,89,'Live Data'!$C$19)),"")</f>
        <v>2877</v>
      </c>
      <c r="I89" s="54" t="str">
        <f>IFERROR(IF(INDEX(SPOT_Import!$A$1:$Z$2488,89,'Live Data'!$C$20)="","",INDEX(SPOT_Import!$A$1:$Z$2488,89,'Live Data'!$C$20)),"")</f>
        <v>Complete</v>
      </c>
      <c r="J89" s="54" t="str">
        <f>IFERROR(IF(INDEX(SPOT_Import!$A$1:$Z$2488,89,'Live Data'!$C$21)="","",INDEX(SPOT_Import!$A$1:$Z$2488,89,'Live Data'!$C$21)),"")</f>
        <v>2026-10-09T10:20:44.000Z</v>
      </c>
      <c r="K89" s="54" t="str">
        <f>IFERROR(IF(INDEX(SPOT_Import!$A$1:$Z$2488,89,'Live Data'!$C$22)="","",INDEX(SPOT_Import!$A$1:$Z$2488,89,'Live Data'!$C$22)),"")</f>
        <v>2026-10-09T10:20:44.000Z</v>
      </c>
      <c r="L89" s="55" t="str">
        <f t="shared" si="2"/>
        <v>2026-10</v>
      </c>
      <c r="M89" s="55" t="str">
        <f t="shared" si="3"/>
        <v>THARAKA-NITHI</v>
      </c>
      <c r="N89" s="55" t="str">
        <f>IF(A89="","",IFERROR(INDEX('Cluster Map'!$A$4:$A$38,MATCH(M89,'Cluster Map'!$B$4:$B$38,0)),"Unmapped"))</f>
        <v>Cluster 2</v>
      </c>
      <c r="O89" s="55">
        <f>IF(A89="",0,IF(COUNTIFS($A$2:A89,A89,$F$2:F89,F89,$L$2:L89,L89)=1,1,0))</f>
        <v>1</v>
      </c>
      <c r="P89" s="55">
        <f>IF(A89="",0,IF(AND(F89="C&amp;T",COUNTIFS($A$2:A89,A89,$F$2:F89,"C&amp;T")=1),1,0))</f>
        <v>0</v>
      </c>
    </row>
    <row r="90" spans="1:16" x14ac:dyDescent="0.35">
      <c r="A90" s="54">
        <f>IFERROR(IF(INDEX(SPOT_Import!$A$1:$Z$2488,90,'Live Data'!$C$12)="","",INDEX(SPOT_Import!$A$1:$Z$2488,90,'Live Data'!$C$12)),"")</f>
        <v>12119</v>
      </c>
      <c r="B90" s="54" t="str">
        <f>IFERROR(IF(INDEX(SPOT_Import!$A$1:$Z$2488,90,'Live Data'!$C$13)="","",INDEX(SPOT_Import!$A$1:$Z$2488,90,'Live Data'!$C$13)),"")</f>
        <v>Kaanwa Dispensary</v>
      </c>
      <c r="C90" s="54" t="str">
        <f>IFERROR(IF(INDEX(SPOT_Import!$A$1:$Z$2488,90,'Live Data'!$C$14)="","",INDEX(SPOT_Import!$A$1:$Z$2488,90,'Live Data'!$C$14)),"")</f>
        <v>THARAKA-NITHI</v>
      </c>
      <c r="D90" s="54" t="str">
        <f>IFERROR(IF(INDEX(SPOT_Import!$A$1:$Z$2488,90,'Live Data'!$C$15)="","",INDEX(SPOT_Import!$A$1:$Z$2488,90,'Live Data'!$C$15)),"")</f>
        <v>Igambangombe</v>
      </c>
      <c r="E90" s="54" t="str">
        <f>IFERROR(IF(INDEX(SPOT_Import!$A$1:$Z$2488,90,'Live Data'!$C$16)="","",INDEX(SPOT_Import!$A$1:$Z$2488,90,'Live Data'!$C$16)),"")</f>
        <v>USAID Jamii Tekelezi</v>
      </c>
      <c r="F90" s="54" t="str">
        <f>IFERROR(IF(INDEX(SPOT_Import!$A$1:$Z$2488,90,'Live Data'!$C$17)="","",INDEX(SPOT_Import!$A$1:$Z$2488,90,'Live Data'!$C$17)),"")</f>
        <v>C&amp;T</v>
      </c>
      <c r="G90" s="54">
        <f>IFERROR(IF(INDEX(SPOT_Import!$A$1:$Z$2488,90,'Live Data'!$C$18)="","",INDEX(SPOT_Import!$A$1:$Z$2488,90,'Live Data'!$C$18)),"")</f>
        <v>256</v>
      </c>
      <c r="H90" s="54">
        <f>IFERROR(IF(INDEX(SPOT_Import!$A$1:$Z$2488,90,'Live Data'!$C$19)="","",INDEX(SPOT_Import!$A$1:$Z$2488,90,'Live Data'!$C$19)),"")</f>
        <v>256</v>
      </c>
      <c r="I90" s="54" t="str">
        <f>IFERROR(IF(INDEX(SPOT_Import!$A$1:$Z$2488,90,'Live Data'!$C$20)="","",INDEX(SPOT_Import!$A$1:$Z$2488,90,'Live Data'!$C$20)),"")</f>
        <v>Complete</v>
      </c>
      <c r="J90" s="54" t="str">
        <f>IFERROR(IF(INDEX(SPOT_Import!$A$1:$Z$2488,90,'Live Data'!$C$21)="","",INDEX(SPOT_Import!$A$1:$Z$2488,90,'Live Data'!$C$21)),"")</f>
        <v>2026-10-09T10:01:39.000Z</v>
      </c>
      <c r="K90" s="54" t="str">
        <f>IFERROR(IF(INDEX(SPOT_Import!$A$1:$Z$2488,90,'Live Data'!$C$22)="","",INDEX(SPOT_Import!$A$1:$Z$2488,90,'Live Data'!$C$22)),"")</f>
        <v>2026-10-09T10:01:39.000Z</v>
      </c>
      <c r="L90" s="55" t="str">
        <f t="shared" si="2"/>
        <v>2026-10</v>
      </c>
      <c r="M90" s="55" t="str">
        <f t="shared" si="3"/>
        <v>THARAKA-NITHI</v>
      </c>
      <c r="N90" s="55" t="str">
        <f>IF(A90="","",IFERROR(INDEX('Cluster Map'!$A$4:$A$38,MATCH(M90,'Cluster Map'!$B$4:$B$38,0)),"Unmapped"))</f>
        <v>Cluster 2</v>
      </c>
      <c r="O90" s="55">
        <f>IF(A90="",0,IF(COUNTIFS($A$2:A90,A90,$F$2:F90,F90,$L$2:L90,L90)=1,1,0))</f>
        <v>1</v>
      </c>
      <c r="P90" s="55">
        <f>IF(A90="",0,IF(AND(F90="C&amp;T",COUNTIFS($A$2:A90,A90,$F$2:F90,"C&amp;T")=1),1,0))</f>
        <v>1</v>
      </c>
    </row>
    <row r="91" spans="1:16" x14ac:dyDescent="0.35">
      <c r="A91" s="54">
        <f>IFERROR(IF(INDEX(SPOT_Import!$A$1:$Z$2488,91,'Live Data'!$C$12)="","",INDEX(SPOT_Import!$A$1:$Z$2488,91,'Live Data'!$C$12)),"")</f>
        <v>12272</v>
      </c>
      <c r="B91" s="54" t="str">
        <f>IFERROR(IF(INDEX(SPOT_Import!$A$1:$Z$2488,91,'Live Data'!$C$13)="","",INDEX(SPOT_Import!$A$1:$Z$2488,91,'Live Data'!$C$13)),"")</f>
        <v>Kiamuchairu Health Centre</v>
      </c>
      <c r="C91" s="54" t="str">
        <f>IFERROR(IF(INDEX(SPOT_Import!$A$1:$Z$2488,91,'Live Data'!$C$14)="","",INDEX(SPOT_Import!$A$1:$Z$2488,91,'Live Data'!$C$14)),"")</f>
        <v>THARAKA-NITHI</v>
      </c>
      <c r="D91" s="54" t="str">
        <f>IFERROR(IF(INDEX(SPOT_Import!$A$1:$Z$2488,91,'Live Data'!$C$15)="","",INDEX(SPOT_Import!$A$1:$Z$2488,91,'Live Data'!$C$15)),"")</f>
        <v>Mwimbi</v>
      </c>
      <c r="E91" s="54" t="str">
        <f>IFERROR(IF(INDEX(SPOT_Import!$A$1:$Z$2488,91,'Live Data'!$C$16)="","",INDEX(SPOT_Import!$A$1:$Z$2488,91,'Live Data'!$C$16)),"")</f>
        <v>USAID Jamii Tekelezi</v>
      </c>
      <c r="F91" s="54" t="str">
        <f>IFERROR(IF(INDEX(SPOT_Import!$A$1:$Z$2488,91,'Live Data'!$C$17)="","",INDEX(SPOT_Import!$A$1:$Z$2488,91,'Live Data'!$C$17)),"")</f>
        <v>C&amp;T</v>
      </c>
      <c r="G91" s="54">
        <f>IFERROR(IF(INDEX(SPOT_Import!$A$1:$Z$2488,91,'Live Data'!$C$18)="","",INDEX(SPOT_Import!$A$1:$Z$2488,91,'Live Data'!$C$18)),"")</f>
        <v>146</v>
      </c>
      <c r="H91" s="54">
        <f>IFERROR(IF(INDEX(SPOT_Import!$A$1:$Z$2488,91,'Live Data'!$C$19)="","",INDEX(SPOT_Import!$A$1:$Z$2488,91,'Live Data'!$C$19)),"")</f>
        <v>146</v>
      </c>
      <c r="I91" s="54" t="str">
        <f>IFERROR(IF(INDEX(SPOT_Import!$A$1:$Z$2488,91,'Live Data'!$C$20)="","",INDEX(SPOT_Import!$A$1:$Z$2488,91,'Live Data'!$C$20)),"")</f>
        <v>Complete</v>
      </c>
      <c r="J91" s="54" t="str">
        <f>IFERROR(IF(INDEX(SPOT_Import!$A$1:$Z$2488,91,'Live Data'!$C$21)="","",INDEX(SPOT_Import!$A$1:$Z$2488,91,'Live Data'!$C$21)),"")</f>
        <v>2026-10-09T09:14:19.000Z</v>
      </c>
      <c r="K91" s="54" t="str">
        <f>IFERROR(IF(INDEX(SPOT_Import!$A$1:$Z$2488,91,'Live Data'!$C$22)="","",INDEX(SPOT_Import!$A$1:$Z$2488,91,'Live Data'!$C$22)),"")</f>
        <v>2026-10-09T09:14:19.000Z</v>
      </c>
      <c r="L91" s="55" t="str">
        <f t="shared" si="2"/>
        <v>2026-10</v>
      </c>
      <c r="M91" s="55" t="str">
        <f t="shared" si="3"/>
        <v>THARAKA-NITHI</v>
      </c>
      <c r="N91" s="55" t="str">
        <f>IF(A91="","",IFERROR(INDEX('Cluster Map'!$A$4:$A$38,MATCH(M91,'Cluster Map'!$B$4:$B$38,0)),"Unmapped"))</f>
        <v>Cluster 2</v>
      </c>
      <c r="O91" s="55">
        <f>IF(A91="",0,IF(COUNTIFS($A$2:A91,A91,$F$2:F91,F91,$L$2:L91,L91)=1,1,0))</f>
        <v>1</v>
      </c>
      <c r="P91" s="55">
        <f>IF(A91="",0,IF(AND(F91="C&amp;T",COUNTIFS($A$2:A91,A91,$F$2:F91,"C&amp;T")=1),1,0))</f>
        <v>1</v>
      </c>
    </row>
    <row r="92" spans="1:16" x14ac:dyDescent="0.35">
      <c r="A92" s="54">
        <f>IFERROR(IF(INDEX(SPOT_Import!$A$1:$Z$2488,92,'Live Data'!$C$12)="","",INDEX(SPOT_Import!$A$1:$Z$2488,92,'Live Data'!$C$12)),"")</f>
        <v>12071</v>
      </c>
      <c r="B92" s="54" t="str">
        <f>IFERROR(IF(INDEX(SPOT_Import!$A$1:$Z$2488,92,'Live Data'!$C$13)="","",INDEX(SPOT_Import!$A$1:$Z$2488,92,'Live Data'!$C$13)),"")</f>
        <v>Igoki Dispensary</v>
      </c>
      <c r="C92" s="54" t="str">
        <f>IFERROR(IF(INDEX(SPOT_Import!$A$1:$Z$2488,92,'Live Data'!$C$14)="","",INDEX(SPOT_Import!$A$1:$Z$2488,92,'Live Data'!$C$14)),"")</f>
        <v>MERU</v>
      </c>
      <c r="D92" s="54" t="str">
        <f>IFERROR(IF(INDEX(SPOT_Import!$A$1:$Z$2488,92,'Live Data'!$C$15)="","",INDEX(SPOT_Import!$A$1:$Z$2488,92,'Live Data'!$C$15)),"")</f>
        <v>Imenti North</v>
      </c>
      <c r="E92" s="54" t="str">
        <f>IFERROR(IF(INDEX(SPOT_Import!$A$1:$Z$2488,92,'Live Data'!$C$16)="","",INDEX(SPOT_Import!$A$1:$Z$2488,92,'Live Data'!$C$16)),"")</f>
        <v>USAID Jamii Tekelezi</v>
      </c>
      <c r="F92" s="54" t="str">
        <f>IFERROR(IF(INDEX(SPOT_Import!$A$1:$Z$2488,92,'Live Data'!$C$17)="","",INDEX(SPOT_Import!$A$1:$Z$2488,92,'Live Data'!$C$17)),"")</f>
        <v>PREP</v>
      </c>
      <c r="G92" s="54">
        <f>IFERROR(IF(INDEX(SPOT_Import!$A$1:$Z$2488,92,'Live Data'!$C$18)="","",INDEX(SPOT_Import!$A$1:$Z$2488,92,'Live Data'!$C$18)),"")</f>
        <v>1</v>
      </c>
      <c r="H92" s="54">
        <f>IFERROR(IF(INDEX(SPOT_Import!$A$1:$Z$2488,92,'Live Data'!$C$19)="","",INDEX(SPOT_Import!$A$1:$Z$2488,92,'Live Data'!$C$19)),"")</f>
        <v>1</v>
      </c>
      <c r="I92" s="54" t="str">
        <f>IFERROR(IF(INDEX(SPOT_Import!$A$1:$Z$2488,92,'Live Data'!$C$20)="","",INDEX(SPOT_Import!$A$1:$Z$2488,92,'Live Data'!$C$20)),"")</f>
        <v>Complete</v>
      </c>
      <c r="J92" s="54" t="str">
        <f>IFERROR(IF(INDEX(SPOT_Import!$A$1:$Z$2488,92,'Live Data'!$C$21)="","",INDEX(SPOT_Import!$A$1:$Z$2488,92,'Live Data'!$C$21)),"")</f>
        <v>2026-10-09T09:14:03.000Z</v>
      </c>
      <c r="K92" s="54" t="str">
        <f>IFERROR(IF(INDEX(SPOT_Import!$A$1:$Z$2488,92,'Live Data'!$C$22)="","",INDEX(SPOT_Import!$A$1:$Z$2488,92,'Live Data'!$C$22)),"")</f>
        <v>2026-10-09T09:14:03.000Z</v>
      </c>
      <c r="L92" s="55" t="str">
        <f t="shared" si="2"/>
        <v>2026-10</v>
      </c>
      <c r="M92" s="55" t="str">
        <f t="shared" si="3"/>
        <v>MERU</v>
      </c>
      <c r="N92" s="55" t="str">
        <f>IF(A92="","",IFERROR(INDEX('Cluster Map'!$A$4:$A$38,MATCH(M92,'Cluster Map'!$B$4:$B$38,0)),"Unmapped"))</f>
        <v>Cluster 1</v>
      </c>
      <c r="O92" s="55">
        <f>IF(A92="",0,IF(COUNTIFS($A$2:A92,A92,$F$2:F92,F92,$L$2:L92,L92)=1,1,0))</f>
        <v>1</v>
      </c>
      <c r="P92" s="55">
        <f>IF(A92="",0,IF(AND(F92="C&amp;T",COUNTIFS($A$2:A92,A92,$F$2:F92,"C&amp;T")=1),1,0))</f>
        <v>0</v>
      </c>
    </row>
    <row r="93" spans="1:16" x14ac:dyDescent="0.35">
      <c r="A93" s="54">
        <f>IFERROR(IF(INDEX(SPOT_Import!$A$1:$Z$2488,93,'Live Data'!$C$12)="","",INDEX(SPOT_Import!$A$1:$Z$2488,93,'Live Data'!$C$12)),"")</f>
        <v>12071</v>
      </c>
      <c r="B93" s="54" t="str">
        <f>IFERROR(IF(INDEX(SPOT_Import!$A$1:$Z$2488,93,'Live Data'!$C$13)="","",INDEX(SPOT_Import!$A$1:$Z$2488,93,'Live Data'!$C$13)),"")</f>
        <v>Igoki Dispensary</v>
      </c>
      <c r="C93" s="54" t="str">
        <f>IFERROR(IF(INDEX(SPOT_Import!$A$1:$Z$2488,93,'Live Data'!$C$14)="","",INDEX(SPOT_Import!$A$1:$Z$2488,93,'Live Data'!$C$14)),"")</f>
        <v>MERU</v>
      </c>
      <c r="D93" s="54" t="str">
        <f>IFERROR(IF(INDEX(SPOT_Import!$A$1:$Z$2488,93,'Live Data'!$C$15)="","",INDEX(SPOT_Import!$A$1:$Z$2488,93,'Live Data'!$C$15)),"")</f>
        <v>Imenti North</v>
      </c>
      <c r="E93" s="54" t="str">
        <f>IFERROR(IF(INDEX(SPOT_Import!$A$1:$Z$2488,93,'Live Data'!$C$16)="","",INDEX(SPOT_Import!$A$1:$Z$2488,93,'Live Data'!$C$16)),"")</f>
        <v>USAID Jamii Tekelezi</v>
      </c>
      <c r="F93" s="54" t="str">
        <f>IFERROR(IF(INDEX(SPOT_Import!$A$1:$Z$2488,93,'Live Data'!$C$17)="","",INDEX(SPOT_Import!$A$1:$Z$2488,93,'Live Data'!$C$17)),"")</f>
        <v>MNCH</v>
      </c>
      <c r="G93" s="54">
        <f>IFERROR(IF(INDEX(SPOT_Import!$A$1:$Z$2488,93,'Live Data'!$C$18)="","",INDEX(SPOT_Import!$A$1:$Z$2488,93,'Live Data'!$C$18)),"")</f>
        <v>10</v>
      </c>
      <c r="H93" s="54">
        <f>IFERROR(IF(INDEX(SPOT_Import!$A$1:$Z$2488,93,'Live Data'!$C$19)="","",INDEX(SPOT_Import!$A$1:$Z$2488,93,'Live Data'!$C$19)),"")</f>
        <v>10</v>
      </c>
      <c r="I93" s="54" t="str">
        <f>IFERROR(IF(INDEX(SPOT_Import!$A$1:$Z$2488,93,'Live Data'!$C$20)="","",INDEX(SPOT_Import!$A$1:$Z$2488,93,'Live Data'!$C$20)),"")</f>
        <v>Complete</v>
      </c>
      <c r="J93" s="54" t="str">
        <f>IFERROR(IF(INDEX(SPOT_Import!$A$1:$Z$2488,93,'Live Data'!$C$21)="","",INDEX(SPOT_Import!$A$1:$Z$2488,93,'Live Data'!$C$21)),"")</f>
        <v>2026-10-09T09:13:54.000Z</v>
      </c>
      <c r="K93" s="54" t="str">
        <f>IFERROR(IF(INDEX(SPOT_Import!$A$1:$Z$2488,93,'Live Data'!$C$22)="","",INDEX(SPOT_Import!$A$1:$Z$2488,93,'Live Data'!$C$22)),"")</f>
        <v>2026-10-09T09:13:54.000Z</v>
      </c>
      <c r="L93" s="55" t="str">
        <f t="shared" si="2"/>
        <v>2026-10</v>
      </c>
      <c r="M93" s="55" t="str">
        <f t="shared" si="3"/>
        <v>MERU</v>
      </c>
      <c r="N93" s="55" t="str">
        <f>IF(A93="","",IFERROR(INDEX('Cluster Map'!$A$4:$A$38,MATCH(M93,'Cluster Map'!$B$4:$B$38,0)),"Unmapped"))</f>
        <v>Cluster 1</v>
      </c>
      <c r="O93" s="55">
        <f>IF(A93="",0,IF(COUNTIFS($A$2:A93,A93,$F$2:F93,F93,$L$2:L93,L93)=1,1,0))</f>
        <v>1</v>
      </c>
      <c r="P93" s="55">
        <f>IF(A93="",0,IF(AND(F93="C&amp;T",COUNTIFS($A$2:A93,A93,$F$2:F93,"C&amp;T")=1),1,0))</f>
        <v>0</v>
      </c>
    </row>
    <row r="94" spans="1:16" x14ac:dyDescent="0.35">
      <c r="A94" s="54">
        <f>IFERROR(IF(INDEX(SPOT_Import!$A$1:$Z$2488,94,'Live Data'!$C$12)="","",INDEX(SPOT_Import!$A$1:$Z$2488,94,'Live Data'!$C$12)),"")</f>
        <v>12071</v>
      </c>
      <c r="B94" s="54" t="str">
        <f>IFERROR(IF(INDEX(SPOT_Import!$A$1:$Z$2488,94,'Live Data'!$C$13)="","",INDEX(SPOT_Import!$A$1:$Z$2488,94,'Live Data'!$C$13)),"")</f>
        <v>Igoki Dispensary</v>
      </c>
      <c r="C94" s="54" t="str">
        <f>IFERROR(IF(INDEX(SPOT_Import!$A$1:$Z$2488,94,'Live Data'!$C$14)="","",INDEX(SPOT_Import!$A$1:$Z$2488,94,'Live Data'!$C$14)),"")</f>
        <v>MERU</v>
      </c>
      <c r="D94" s="54" t="str">
        <f>IFERROR(IF(INDEX(SPOT_Import!$A$1:$Z$2488,94,'Live Data'!$C$15)="","",INDEX(SPOT_Import!$A$1:$Z$2488,94,'Live Data'!$C$15)),"")</f>
        <v>Imenti North</v>
      </c>
      <c r="E94" s="54" t="str">
        <f>IFERROR(IF(INDEX(SPOT_Import!$A$1:$Z$2488,94,'Live Data'!$C$16)="","",INDEX(SPOT_Import!$A$1:$Z$2488,94,'Live Data'!$C$16)),"")</f>
        <v>USAID Jamii Tekelezi</v>
      </c>
      <c r="F94" s="54" t="str">
        <f>IFERROR(IF(INDEX(SPOT_Import!$A$1:$Z$2488,94,'Live Data'!$C$17)="","",INDEX(SPOT_Import!$A$1:$Z$2488,94,'Live Data'!$C$17)),"")</f>
        <v>HTS</v>
      </c>
      <c r="G94" s="54">
        <f>IFERROR(IF(INDEX(SPOT_Import!$A$1:$Z$2488,94,'Live Data'!$C$18)="","",INDEX(SPOT_Import!$A$1:$Z$2488,94,'Live Data'!$C$18)),"")</f>
        <v>2</v>
      </c>
      <c r="H94" s="54">
        <f>IFERROR(IF(INDEX(SPOT_Import!$A$1:$Z$2488,94,'Live Data'!$C$19)="","",INDEX(SPOT_Import!$A$1:$Z$2488,94,'Live Data'!$C$19)),"")</f>
        <v>2</v>
      </c>
      <c r="I94" s="54" t="str">
        <f>IFERROR(IF(INDEX(SPOT_Import!$A$1:$Z$2488,94,'Live Data'!$C$20)="","",INDEX(SPOT_Import!$A$1:$Z$2488,94,'Live Data'!$C$20)),"")</f>
        <v>Complete</v>
      </c>
      <c r="J94" s="54" t="str">
        <f>IFERROR(IF(INDEX(SPOT_Import!$A$1:$Z$2488,94,'Live Data'!$C$21)="","",INDEX(SPOT_Import!$A$1:$Z$2488,94,'Live Data'!$C$21)),"")</f>
        <v>2026-10-09T09:13:44.000Z</v>
      </c>
      <c r="K94" s="54" t="str">
        <f>IFERROR(IF(INDEX(SPOT_Import!$A$1:$Z$2488,94,'Live Data'!$C$22)="","",INDEX(SPOT_Import!$A$1:$Z$2488,94,'Live Data'!$C$22)),"")</f>
        <v>2026-10-09T09:13:44.000Z</v>
      </c>
      <c r="L94" s="55" t="str">
        <f t="shared" si="2"/>
        <v>2026-10</v>
      </c>
      <c r="M94" s="55" t="str">
        <f t="shared" si="3"/>
        <v>MERU</v>
      </c>
      <c r="N94" s="55" t="str">
        <f>IF(A94="","",IFERROR(INDEX('Cluster Map'!$A$4:$A$38,MATCH(M94,'Cluster Map'!$B$4:$B$38,0)),"Unmapped"))</f>
        <v>Cluster 1</v>
      </c>
      <c r="O94" s="55">
        <f>IF(A94="",0,IF(COUNTIFS($A$2:A94,A94,$F$2:F94,F94,$L$2:L94,L94)=1,1,0))</f>
        <v>1</v>
      </c>
      <c r="P94" s="55">
        <f>IF(A94="",0,IF(AND(F94="C&amp;T",COUNTIFS($A$2:A94,A94,$F$2:F94,"C&amp;T")=1),1,0))</f>
        <v>0</v>
      </c>
    </row>
    <row r="95" spans="1:16" x14ac:dyDescent="0.35">
      <c r="A95" s="54">
        <f>IFERROR(IF(INDEX(SPOT_Import!$A$1:$Z$2488,95,'Live Data'!$C$12)="","",INDEX(SPOT_Import!$A$1:$Z$2488,95,'Live Data'!$C$12)),"")</f>
        <v>12272</v>
      </c>
      <c r="B95" s="54" t="str">
        <f>IFERROR(IF(INDEX(SPOT_Import!$A$1:$Z$2488,95,'Live Data'!$C$13)="","",INDEX(SPOT_Import!$A$1:$Z$2488,95,'Live Data'!$C$13)),"")</f>
        <v>Kiamuchairu Health Centre</v>
      </c>
      <c r="C95" s="54" t="str">
        <f>IFERROR(IF(INDEX(SPOT_Import!$A$1:$Z$2488,95,'Live Data'!$C$14)="","",INDEX(SPOT_Import!$A$1:$Z$2488,95,'Live Data'!$C$14)),"")</f>
        <v>THARAKA-NITHI</v>
      </c>
      <c r="D95" s="54" t="str">
        <f>IFERROR(IF(INDEX(SPOT_Import!$A$1:$Z$2488,95,'Live Data'!$C$15)="","",INDEX(SPOT_Import!$A$1:$Z$2488,95,'Live Data'!$C$15)),"")</f>
        <v>Mwimbi</v>
      </c>
      <c r="E95" s="54" t="str">
        <f>IFERROR(IF(INDEX(SPOT_Import!$A$1:$Z$2488,95,'Live Data'!$C$16)="","",INDEX(SPOT_Import!$A$1:$Z$2488,95,'Live Data'!$C$16)),"")</f>
        <v>USAID Jamii Tekelezi</v>
      </c>
      <c r="F95" s="54" t="str">
        <f>IFERROR(IF(INDEX(SPOT_Import!$A$1:$Z$2488,95,'Live Data'!$C$17)="","",INDEX(SPOT_Import!$A$1:$Z$2488,95,'Live Data'!$C$17)),"")</f>
        <v>HTS</v>
      </c>
      <c r="G95" s="54">
        <f>IFERROR(IF(INDEX(SPOT_Import!$A$1:$Z$2488,95,'Live Data'!$C$18)="","",INDEX(SPOT_Import!$A$1:$Z$2488,95,'Live Data'!$C$18)),"")</f>
        <v>1278</v>
      </c>
      <c r="H95" s="54">
        <f>IFERROR(IF(INDEX(SPOT_Import!$A$1:$Z$2488,95,'Live Data'!$C$19)="","",INDEX(SPOT_Import!$A$1:$Z$2488,95,'Live Data'!$C$19)),"")</f>
        <v>1000</v>
      </c>
      <c r="I95" s="54" t="str">
        <f>IFERROR(IF(INDEX(SPOT_Import!$A$1:$Z$2488,95,'Live Data'!$C$20)="","",INDEX(SPOT_Import!$A$1:$Z$2488,95,'Live Data'!$C$20)),"")</f>
        <v>Complete</v>
      </c>
      <c r="J95" s="54" t="str">
        <f>IFERROR(IF(INDEX(SPOT_Import!$A$1:$Z$2488,95,'Live Data'!$C$21)="","",INDEX(SPOT_Import!$A$1:$Z$2488,95,'Live Data'!$C$21)),"")</f>
        <v>2026-10-09T08:50:08.000Z</v>
      </c>
      <c r="K95" s="54" t="str">
        <f>IFERROR(IF(INDEX(SPOT_Import!$A$1:$Z$2488,95,'Live Data'!$C$22)="","",INDEX(SPOT_Import!$A$1:$Z$2488,95,'Live Data'!$C$22)),"")</f>
        <v>2026-10-09T08:50:08.000Z</v>
      </c>
      <c r="L95" s="55" t="str">
        <f t="shared" si="2"/>
        <v>2026-10</v>
      </c>
      <c r="M95" s="55" t="str">
        <f t="shared" si="3"/>
        <v>THARAKA-NITHI</v>
      </c>
      <c r="N95" s="55" t="str">
        <f>IF(A95="","",IFERROR(INDEX('Cluster Map'!$A$4:$A$38,MATCH(M95,'Cluster Map'!$B$4:$B$38,0)),"Unmapped"))</f>
        <v>Cluster 2</v>
      </c>
      <c r="O95" s="55">
        <f>IF(A95="",0,IF(COUNTIFS($A$2:A95,A95,$F$2:F95,F95,$L$2:L95,L95)=1,1,0))</f>
        <v>1</v>
      </c>
      <c r="P95" s="55">
        <f>IF(A95="",0,IF(AND(F95="C&amp;T",COUNTIFS($A$2:A95,A95,$F$2:F95,"C&amp;T")=1),1,0))</f>
        <v>0</v>
      </c>
    </row>
    <row r="96" spans="1:16" x14ac:dyDescent="0.35">
      <c r="A96" s="54">
        <f>IFERROR(IF(INDEX(SPOT_Import!$A$1:$Z$2488,96,'Live Data'!$C$12)="","",INDEX(SPOT_Import!$A$1:$Z$2488,96,'Live Data'!$C$12)),"")</f>
        <v>12071</v>
      </c>
      <c r="B96" s="54" t="str">
        <f>IFERROR(IF(INDEX(SPOT_Import!$A$1:$Z$2488,96,'Live Data'!$C$13)="","",INDEX(SPOT_Import!$A$1:$Z$2488,96,'Live Data'!$C$13)),"")</f>
        <v>Igoki Dispensary</v>
      </c>
      <c r="C96" s="54" t="str">
        <f>IFERROR(IF(INDEX(SPOT_Import!$A$1:$Z$2488,96,'Live Data'!$C$14)="","",INDEX(SPOT_Import!$A$1:$Z$2488,96,'Live Data'!$C$14)),"")</f>
        <v>MERU</v>
      </c>
      <c r="D96" s="54" t="str">
        <f>IFERROR(IF(INDEX(SPOT_Import!$A$1:$Z$2488,96,'Live Data'!$C$15)="","",INDEX(SPOT_Import!$A$1:$Z$2488,96,'Live Data'!$C$15)),"")</f>
        <v>Imenti North</v>
      </c>
      <c r="E96" s="54" t="str">
        <f>IFERROR(IF(INDEX(SPOT_Import!$A$1:$Z$2488,96,'Live Data'!$C$16)="","",INDEX(SPOT_Import!$A$1:$Z$2488,96,'Live Data'!$C$16)),"")</f>
        <v>USAID Jamii Tekelezi</v>
      </c>
      <c r="F96" s="54" t="str">
        <f>IFERROR(IF(INDEX(SPOT_Import!$A$1:$Z$2488,96,'Live Data'!$C$17)="","",INDEX(SPOT_Import!$A$1:$Z$2488,96,'Live Data'!$C$17)),"")</f>
        <v>C&amp;T</v>
      </c>
      <c r="G96" s="54">
        <f>IFERROR(IF(INDEX(SPOT_Import!$A$1:$Z$2488,96,'Live Data'!$C$18)="","",INDEX(SPOT_Import!$A$1:$Z$2488,96,'Live Data'!$C$18)),"")</f>
        <v>162</v>
      </c>
      <c r="H96" s="54">
        <f>IFERROR(IF(INDEX(SPOT_Import!$A$1:$Z$2488,96,'Live Data'!$C$19)="","",INDEX(SPOT_Import!$A$1:$Z$2488,96,'Live Data'!$C$19)),"")</f>
        <v>162</v>
      </c>
      <c r="I96" s="54" t="str">
        <f>IFERROR(IF(INDEX(SPOT_Import!$A$1:$Z$2488,96,'Live Data'!$C$20)="","",INDEX(SPOT_Import!$A$1:$Z$2488,96,'Live Data'!$C$20)),"")</f>
        <v>Complete</v>
      </c>
      <c r="J96" s="54" t="str">
        <f>IFERROR(IF(INDEX(SPOT_Import!$A$1:$Z$2488,96,'Live Data'!$C$21)="","",INDEX(SPOT_Import!$A$1:$Z$2488,96,'Live Data'!$C$21)),"")</f>
        <v>2026-10-09T08:50:05.000Z</v>
      </c>
      <c r="K96" s="54" t="str">
        <f>IFERROR(IF(INDEX(SPOT_Import!$A$1:$Z$2488,96,'Live Data'!$C$22)="","",INDEX(SPOT_Import!$A$1:$Z$2488,96,'Live Data'!$C$22)),"")</f>
        <v>2026-10-09T08:50:05.000Z</v>
      </c>
      <c r="L96" s="55" t="str">
        <f t="shared" si="2"/>
        <v>2026-10</v>
      </c>
      <c r="M96" s="55" t="str">
        <f t="shared" si="3"/>
        <v>MERU</v>
      </c>
      <c r="N96" s="55" t="str">
        <f>IF(A96="","",IFERROR(INDEX('Cluster Map'!$A$4:$A$38,MATCH(M96,'Cluster Map'!$B$4:$B$38,0)),"Unmapped"))</f>
        <v>Cluster 1</v>
      </c>
      <c r="O96" s="55">
        <f>IF(A96="",0,IF(COUNTIFS($A$2:A96,A96,$F$2:F96,F96,$L$2:L96,L96)=1,1,0))</f>
        <v>1</v>
      </c>
      <c r="P96" s="55">
        <f>IF(A96="",0,IF(AND(F96="C&amp;T",COUNTIFS($A$2:A96,A96,$F$2:F96,"C&amp;T")=1),1,0))</f>
        <v>1</v>
      </c>
    </row>
    <row r="97" spans="1:16" x14ac:dyDescent="0.35">
      <c r="A97" s="54">
        <f>IFERROR(IF(INDEX(SPOT_Import!$A$1:$Z$2488,97,'Live Data'!$C$12)="","",INDEX(SPOT_Import!$A$1:$Z$2488,97,'Live Data'!$C$12)),"")</f>
        <v>11971</v>
      </c>
      <c r="B97" s="54" t="str">
        <f>IFERROR(IF(INDEX(SPOT_Import!$A$1:$Z$2488,97,'Live Data'!$C$13)="","",INDEX(SPOT_Import!$A$1:$Z$2488,97,'Live Data'!$C$13)),"")</f>
        <v>Chugu Dispensary</v>
      </c>
      <c r="C97" s="54" t="str">
        <f>IFERROR(IF(INDEX(SPOT_Import!$A$1:$Z$2488,97,'Live Data'!$C$14)="","",INDEX(SPOT_Import!$A$1:$Z$2488,97,'Live Data'!$C$14)),"")</f>
        <v>MERU</v>
      </c>
      <c r="D97" s="54" t="str">
        <f>IFERROR(IF(INDEX(SPOT_Import!$A$1:$Z$2488,97,'Live Data'!$C$15)="","",INDEX(SPOT_Import!$A$1:$Z$2488,97,'Live Data'!$C$15)),"")</f>
        <v>Imenti North</v>
      </c>
      <c r="E97" s="54" t="str">
        <f>IFERROR(IF(INDEX(SPOT_Import!$A$1:$Z$2488,97,'Live Data'!$C$16)="","",INDEX(SPOT_Import!$A$1:$Z$2488,97,'Live Data'!$C$16)),"")</f>
        <v>USAID Jamii Tekelezi</v>
      </c>
      <c r="F97" s="54" t="str">
        <f>IFERROR(IF(INDEX(SPOT_Import!$A$1:$Z$2488,97,'Live Data'!$C$17)="","",INDEX(SPOT_Import!$A$1:$Z$2488,97,'Live Data'!$C$17)),"")</f>
        <v>C&amp;T</v>
      </c>
      <c r="G97" s="54">
        <f>IFERROR(IF(INDEX(SPOT_Import!$A$1:$Z$2488,97,'Live Data'!$C$18)="","",INDEX(SPOT_Import!$A$1:$Z$2488,97,'Live Data'!$C$18)),"")</f>
        <v>91</v>
      </c>
      <c r="H97" s="54">
        <f>IFERROR(IF(INDEX(SPOT_Import!$A$1:$Z$2488,97,'Live Data'!$C$19)="","",INDEX(SPOT_Import!$A$1:$Z$2488,97,'Live Data'!$C$19)),"")</f>
        <v>91</v>
      </c>
      <c r="I97" s="54" t="str">
        <f>IFERROR(IF(INDEX(SPOT_Import!$A$1:$Z$2488,97,'Live Data'!$C$20)="","",INDEX(SPOT_Import!$A$1:$Z$2488,97,'Live Data'!$C$20)),"")</f>
        <v>Complete</v>
      </c>
      <c r="J97" s="54" t="str">
        <f>IFERROR(IF(INDEX(SPOT_Import!$A$1:$Z$2488,97,'Live Data'!$C$21)="","",INDEX(SPOT_Import!$A$1:$Z$2488,97,'Live Data'!$C$21)),"")</f>
        <v>2026-10-09T08:30:30.000Z</v>
      </c>
      <c r="K97" s="54" t="str">
        <f>IFERROR(IF(INDEX(SPOT_Import!$A$1:$Z$2488,97,'Live Data'!$C$22)="","",INDEX(SPOT_Import!$A$1:$Z$2488,97,'Live Data'!$C$22)),"")</f>
        <v>2026-10-09T08:30:30.000Z</v>
      </c>
      <c r="L97" s="55" t="str">
        <f t="shared" si="2"/>
        <v>2026-10</v>
      </c>
      <c r="M97" s="55" t="str">
        <f t="shared" si="3"/>
        <v>MERU</v>
      </c>
      <c r="N97" s="55" t="str">
        <f>IF(A97="","",IFERROR(INDEX('Cluster Map'!$A$4:$A$38,MATCH(M97,'Cluster Map'!$B$4:$B$38,0)),"Unmapped"))</f>
        <v>Cluster 1</v>
      </c>
      <c r="O97" s="55">
        <f>IF(A97="",0,IF(COUNTIFS($A$2:A97,A97,$F$2:F97,F97,$L$2:L97,L97)=1,1,0))</f>
        <v>1</v>
      </c>
      <c r="P97" s="55">
        <f>IF(A97="",0,IF(AND(F97="C&amp;T",COUNTIFS($A$2:A97,A97,$F$2:F97,"C&amp;T")=1),1,0))</f>
        <v>1</v>
      </c>
    </row>
    <row r="98" spans="1:16" x14ac:dyDescent="0.35">
      <c r="A98" s="54">
        <f>IFERROR(IF(INDEX(SPOT_Import!$A$1:$Z$2488,98,'Live Data'!$C$12)="","",INDEX(SPOT_Import!$A$1:$Z$2488,98,'Live Data'!$C$12)),"")</f>
        <v>11971</v>
      </c>
      <c r="B98" s="54" t="str">
        <f>IFERROR(IF(INDEX(SPOT_Import!$A$1:$Z$2488,98,'Live Data'!$C$13)="","",INDEX(SPOT_Import!$A$1:$Z$2488,98,'Live Data'!$C$13)),"")</f>
        <v>Chugu Dispensary</v>
      </c>
      <c r="C98" s="54" t="str">
        <f>IFERROR(IF(INDEX(SPOT_Import!$A$1:$Z$2488,98,'Live Data'!$C$14)="","",INDEX(SPOT_Import!$A$1:$Z$2488,98,'Live Data'!$C$14)),"")</f>
        <v>MERU</v>
      </c>
      <c r="D98" s="54" t="str">
        <f>IFERROR(IF(INDEX(SPOT_Import!$A$1:$Z$2488,98,'Live Data'!$C$15)="","",INDEX(SPOT_Import!$A$1:$Z$2488,98,'Live Data'!$C$15)),"")</f>
        <v>Imenti North</v>
      </c>
      <c r="E98" s="54" t="str">
        <f>IFERROR(IF(INDEX(SPOT_Import!$A$1:$Z$2488,98,'Live Data'!$C$16)="","",INDEX(SPOT_Import!$A$1:$Z$2488,98,'Live Data'!$C$16)),"")</f>
        <v>USAID Jamii Tekelezi</v>
      </c>
      <c r="F98" s="54" t="str">
        <f>IFERROR(IF(INDEX(SPOT_Import!$A$1:$Z$2488,98,'Live Data'!$C$17)="","",INDEX(SPOT_Import!$A$1:$Z$2488,98,'Live Data'!$C$17)),"")</f>
        <v>PREP</v>
      </c>
      <c r="G98" s="54">
        <f>IFERROR(IF(INDEX(SPOT_Import!$A$1:$Z$2488,98,'Live Data'!$C$18)="","",INDEX(SPOT_Import!$A$1:$Z$2488,98,'Live Data'!$C$18)),"")</f>
        <v>2</v>
      </c>
      <c r="H98" s="54" t="str">
        <f>IFERROR(IF(INDEX(SPOT_Import!$A$1:$Z$2488,98,'Live Data'!$C$19)="","",INDEX(SPOT_Import!$A$1:$Z$2488,98,'Live Data'!$C$19)),"")</f>
        <v/>
      </c>
      <c r="I98" s="54" t="str">
        <f>IFERROR(IF(INDEX(SPOT_Import!$A$1:$Z$2488,98,'Live Data'!$C$20)="","",INDEX(SPOT_Import!$A$1:$Z$2488,98,'Live Data'!$C$20)),"")</f>
        <v>Incomplete</v>
      </c>
      <c r="J98" s="54" t="str">
        <f>IFERROR(IF(INDEX(SPOT_Import!$A$1:$Z$2488,98,'Live Data'!$C$21)="","",INDEX(SPOT_Import!$A$1:$Z$2488,98,'Live Data'!$C$21)),"")</f>
        <v>2026-10-09T08:19:58.000Z</v>
      </c>
      <c r="K98" s="54" t="str">
        <f>IFERROR(IF(INDEX(SPOT_Import!$A$1:$Z$2488,98,'Live Data'!$C$22)="","",INDEX(SPOT_Import!$A$1:$Z$2488,98,'Live Data'!$C$22)),"")</f>
        <v>2026-10-09T08:19:58.000Z</v>
      </c>
      <c r="L98" s="55" t="str">
        <f t="shared" si="2"/>
        <v>2026-10</v>
      </c>
      <c r="M98" s="55" t="str">
        <f t="shared" si="3"/>
        <v>MERU</v>
      </c>
      <c r="N98" s="55" t="str">
        <f>IF(A98="","",IFERROR(INDEX('Cluster Map'!$A$4:$A$38,MATCH(M98,'Cluster Map'!$B$4:$B$38,0)),"Unmapped"))</f>
        <v>Cluster 1</v>
      </c>
      <c r="O98" s="55">
        <f>IF(A98="",0,IF(COUNTIFS($A$2:A98,A98,$F$2:F98,F98,$L$2:L98,L98)=1,1,0))</f>
        <v>1</v>
      </c>
      <c r="P98" s="55">
        <f>IF(A98="",0,IF(AND(F98="C&amp;T",COUNTIFS($A$2:A98,A98,$F$2:F98,"C&amp;T")=1),1,0))</f>
        <v>0</v>
      </c>
    </row>
    <row r="99" spans="1:16" x14ac:dyDescent="0.35">
      <c r="A99" s="54">
        <f>IFERROR(IF(INDEX(SPOT_Import!$A$1:$Z$2488,99,'Live Data'!$C$12)="","",INDEX(SPOT_Import!$A$1:$Z$2488,99,'Live Data'!$C$12)),"")</f>
        <v>11971</v>
      </c>
      <c r="B99" s="54" t="str">
        <f>IFERROR(IF(INDEX(SPOT_Import!$A$1:$Z$2488,99,'Live Data'!$C$13)="","",INDEX(SPOT_Import!$A$1:$Z$2488,99,'Live Data'!$C$13)),"")</f>
        <v>Chugu Dispensary</v>
      </c>
      <c r="C99" s="54" t="str">
        <f>IFERROR(IF(INDEX(SPOT_Import!$A$1:$Z$2488,99,'Live Data'!$C$14)="","",INDEX(SPOT_Import!$A$1:$Z$2488,99,'Live Data'!$C$14)),"")</f>
        <v>MERU</v>
      </c>
      <c r="D99" s="54" t="str">
        <f>IFERROR(IF(INDEX(SPOT_Import!$A$1:$Z$2488,99,'Live Data'!$C$15)="","",INDEX(SPOT_Import!$A$1:$Z$2488,99,'Live Data'!$C$15)),"")</f>
        <v>Imenti North</v>
      </c>
      <c r="E99" s="54" t="str">
        <f>IFERROR(IF(INDEX(SPOT_Import!$A$1:$Z$2488,99,'Live Data'!$C$16)="","",INDEX(SPOT_Import!$A$1:$Z$2488,99,'Live Data'!$C$16)),"")</f>
        <v>USAID Jamii Tekelezi</v>
      </c>
      <c r="F99" s="54" t="str">
        <f>IFERROR(IF(INDEX(SPOT_Import!$A$1:$Z$2488,99,'Live Data'!$C$17)="","",INDEX(SPOT_Import!$A$1:$Z$2488,99,'Live Data'!$C$17)),"")</f>
        <v>MNCH</v>
      </c>
      <c r="G99" s="54">
        <f>IFERROR(IF(INDEX(SPOT_Import!$A$1:$Z$2488,99,'Live Data'!$C$18)="","",INDEX(SPOT_Import!$A$1:$Z$2488,99,'Live Data'!$C$18)),"")</f>
        <v>6</v>
      </c>
      <c r="H99" s="54" t="str">
        <f>IFERROR(IF(INDEX(SPOT_Import!$A$1:$Z$2488,99,'Live Data'!$C$19)="","",INDEX(SPOT_Import!$A$1:$Z$2488,99,'Live Data'!$C$19)),"")</f>
        <v/>
      </c>
      <c r="I99" s="54" t="str">
        <f>IFERROR(IF(INDEX(SPOT_Import!$A$1:$Z$2488,99,'Live Data'!$C$20)="","",INDEX(SPOT_Import!$A$1:$Z$2488,99,'Live Data'!$C$20)),"")</f>
        <v>Incomplete</v>
      </c>
      <c r="J99" s="54" t="str">
        <f>IFERROR(IF(INDEX(SPOT_Import!$A$1:$Z$2488,99,'Live Data'!$C$21)="","",INDEX(SPOT_Import!$A$1:$Z$2488,99,'Live Data'!$C$21)),"")</f>
        <v>2026-10-09T08:14:05.000Z</v>
      </c>
      <c r="K99" s="54" t="str">
        <f>IFERROR(IF(INDEX(SPOT_Import!$A$1:$Z$2488,99,'Live Data'!$C$22)="","",INDEX(SPOT_Import!$A$1:$Z$2488,99,'Live Data'!$C$22)),"")</f>
        <v>2026-10-09T08:14:05.000Z</v>
      </c>
      <c r="L99" s="55" t="str">
        <f t="shared" si="2"/>
        <v>2026-10</v>
      </c>
      <c r="M99" s="55" t="str">
        <f t="shared" si="3"/>
        <v>MERU</v>
      </c>
      <c r="N99" s="55" t="str">
        <f>IF(A99="","",IFERROR(INDEX('Cluster Map'!$A$4:$A$38,MATCH(M99,'Cluster Map'!$B$4:$B$38,0)),"Unmapped"))</f>
        <v>Cluster 1</v>
      </c>
      <c r="O99" s="55">
        <f>IF(A99="",0,IF(COUNTIFS($A$2:A99,A99,$F$2:F99,F99,$L$2:L99,L99)=1,1,0))</f>
        <v>1</v>
      </c>
      <c r="P99" s="55">
        <f>IF(A99="",0,IF(AND(F99="C&amp;T",COUNTIFS($A$2:A99,A99,$F$2:F99,"C&amp;T")=1),1,0))</f>
        <v>0</v>
      </c>
    </row>
    <row r="100" spans="1:16" x14ac:dyDescent="0.35">
      <c r="A100" s="54">
        <f>IFERROR(IF(INDEX(SPOT_Import!$A$1:$Z$2488,100,'Live Data'!$C$12)="","",INDEX(SPOT_Import!$A$1:$Z$2488,100,'Live Data'!$C$12)),"")</f>
        <v>11971</v>
      </c>
      <c r="B100" s="54" t="str">
        <f>IFERROR(IF(INDEX(SPOT_Import!$A$1:$Z$2488,100,'Live Data'!$C$13)="","",INDEX(SPOT_Import!$A$1:$Z$2488,100,'Live Data'!$C$13)),"")</f>
        <v>Chugu Dispensary</v>
      </c>
      <c r="C100" s="54" t="str">
        <f>IFERROR(IF(INDEX(SPOT_Import!$A$1:$Z$2488,100,'Live Data'!$C$14)="","",INDEX(SPOT_Import!$A$1:$Z$2488,100,'Live Data'!$C$14)),"")</f>
        <v>MERU</v>
      </c>
      <c r="D100" s="54" t="str">
        <f>IFERROR(IF(INDEX(SPOT_Import!$A$1:$Z$2488,100,'Live Data'!$C$15)="","",INDEX(SPOT_Import!$A$1:$Z$2488,100,'Live Data'!$C$15)),"")</f>
        <v>Imenti North</v>
      </c>
      <c r="E100" s="54" t="str">
        <f>IFERROR(IF(INDEX(SPOT_Import!$A$1:$Z$2488,100,'Live Data'!$C$16)="","",INDEX(SPOT_Import!$A$1:$Z$2488,100,'Live Data'!$C$16)),"")</f>
        <v>USAID Jamii Tekelezi</v>
      </c>
      <c r="F100" s="54" t="str">
        <f>IFERROR(IF(INDEX(SPOT_Import!$A$1:$Z$2488,100,'Live Data'!$C$17)="","",INDEX(SPOT_Import!$A$1:$Z$2488,100,'Live Data'!$C$17)),"")</f>
        <v>HTS</v>
      </c>
      <c r="G100" s="54">
        <f>IFERROR(IF(INDEX(SPOT_Import!$A$1:$Z$2488,100,'Live Data'!$C$18)="","",INDEX(SPOT_Import!$A$1:$Z$2488,100,'Live Data'!$C$18)),"")</f>
        <v>508</v>
      </c>
      <c r="H100" s="54">
        <f>IFERROR(IF(INDEX(SPOT_Import!$A$1:$Z$2488,100,'Live Data'!$C$19)="","",INDEX(SPOT_Import!$A$1:$Z$2488,100,'Live Data'!$C$19)),"")</f>
        <v>508</v>
      </c>
      <c r="I100" s="54" t="str">
        <f>IFERROR(IF(INDEX(SPOT_Import!$A$1:$Z$2488,100,'Live Data'!$C$20)="","",INDEX(SPOT_Import!$A$1:$Z$2488,100,'Live Data'!$C$20)),"")</f>
        <v>Complete</v>
      </c>
      <c r="J100" s="54" t="str">
        <f>IFERROR(IF(INDEX(SPOT_Import!$A$1:$Z$2488,100,'Live Data'!$C$21)="","",INDEX(SPOT_Import!$A$1:$Z$2488,100,'Live Data'!$C$21)),"")</f>
        <v>2026-10-09T08:13:46.000Z</v>
      </c>
      <c r="K100" s="54" t="str">
        <f>IFERROR(IF(INDEX(SPOT_Import!$A$1:$Z$2488,100,'Live Data'!$C$22)="","",INDEX(SPOT_Import!$A$1:$Z$2488,100,'Live Data'!$C$22)),"")</f>
        <v>2026-10-09T08:13:46.000Z</v>
      </c>
      <c r="L100" s="55" t="str">
        <f t="shared" si="2"/>
        <v>2026-10</v>
      </c>
      <c r="M100" s="55" t="str">
        <f t="shared" si="3"/>
        <v>MERU</v>
      </c>
      <c r="N100" s="55" t="str">
        <f>IF(A100="","",IFERROR(INDEX('Cluster Map'!$A$4:$A$38,MATCH(M100,'Cluster Map'!$B$4:$B$38,0)),"Unmapped"))</f>
        <v>Cluster 1</v>
      </c>
      <c r="O100" s="55">
        <f>IF(A100="",0,IF(COUNTIFS($A$2:A100,A100,$F$2:F100,F100,$L$2:L100,L100)=1,1,0))</f>
        <v>1</v>
      </c>
      <c r="P100" s="55">
        <f>IF(A100="",0,IF(AND(F100="C&amp;T",COUNTIFS($A$2:A100,A100,$F$2:F100,"C&amp;T")=1),1,0))</f>
        <v>0</v>
      </c>
    </row>
    <row r="101" spans="1:16" x14ac:dyDescent="0.35">
      <c r="A101" s="54">
        <f>IFERROR(IF(INDEX(SPOT_Import!$A$1:$Z$2488,101,'Live Data'!$C$12)="","",INDEX(SPOT_Import!$A$1:$Z$2488,101,'Live Data'!$C$12)),"")</f>
        <v>12589</v>
      </c>
      <c r="B101" s="54" t="str">
        <f>IFERROR(IF(INDEX(SPOT_Import!$A$1:$Z$2488,101,'Live Data'!$C$13)="","",INDEX(SPOT_Import!$A$1:$Z$2488,101,'Live Data'!$C$13)),"")</f>
        <v>Muthambi Health Centre</v>
      </c>
      <c r="C101" s="54" t="str">
        <f>IFERROR(IF(INDEX(SPOT_Import!$A$1:$Z$2488,101,'Live Data'!$C$14)="","",INDEX(SPOT_Import!$A$1:$Z$2488,101,'Live Data'!$C$14)),"")</f>
        <v>THARAKA-NITHI</v>
      </c>
      <c r="D101" s="54" t="str">
        <f>IFERROR(IF(INDEX(SPOT_Import!$A$1:$Z$2488,101,'Live Data'!$C$15)="","",INDEX(SPOT_Import!$A$1:$Z$2488,101,'Live Data'!$C$15)),"")</f>
        <v>Muthambi</v>
      </c>
      <c r="E101" s="54" t="str">
        <f>IFERROR(IF(INDEX(SPOT_Import!$A$1:$Z$2488,101,'Live Data'!$C$16)="","",INDEX(SPOT_Import!$A$1:$Z$2488,101,'Live Data'!$C$16)),"")</f>
        <v>USAID Jamii Tekelezi</v>
      </c>
      <c r="F101" s="54" t="str">
        <f>IFERROR(IF(INDEX(SPOT_Import!$A$1:$Z$2488,101,'Live Data'!$C$17)="","",INDEX(SPOT_Import!$A$1:$Z$2488,101,'Live Data'!$C$17)),"")</f>
        <v>MNCH</v>
      </c>
      <c r="G101" s="54">
        <f>IFERROR(IF(INDEX(SPOT_Import!$A$1:$Z$2488,101,'Live Data'!$C$18)="","",INDEX(SPOT_Import!$A$1:$Z$2488,101,'Live Data'!$C$18)),"")</f>
        <v>142</v>
      </c>
      <c r="H101" s="54" t="str">
        <f>IFERROR(IF(INDEX(SPOT_Import!$A$1:$Z$2488,101,'Live Data'!$C$19)="","",INDEX(SPOT_Import!$A$1:$Z$2488,101,'Live Data'!$C$19)),"")</f>
        <v/>
      </c>
      <c r="I101" s="54" t="str">
        <f>IFERROR(IF(INDEX(SPOT_Import!$A$1:$Z$2488,101,'Live Data'!$C$20)="","",INDEX(SPOT_Import!$A$1:$Z$2488,101,'Live Data'!$C$20)),"")</f>
        <v>Incomplete</v>
      </c>
      <c r="J101" s="54" t="str">
        <f>IFERROR(IF(INDEX(SPOT_Import!$A$1:$Z$2488,101,'Live Data'!$C$21)="","",INDEX(SPOT_Import!$A$1:$Z$2488,101,'Live Data'!$C$21)),"")</f>
        <v>2026-10-09T07:58:38.000Z</v>
      </c>
      <c r="K101" s="54" t="str">
        <f>IFERROR(IF(INDEX(SPOT_Import!$A$1:$Z$2488,101,'Live Data'!$C$22)="","",INDEX(SPOT_Import!$A$1:$Z$2488,101,'Live Data'!$C$22)),"")</f>
        <v>2026-10-09T07:58:38.000Z</v>
      </c>
      <c r="L101" s="55" t="str">
        <f t="shared" si="2"/>
        <v>2026-10</v>
      </c>
      <c r="M101" s="55" t="str">
        <f t="shared" si="3"/>
        <v>THARAKA-NITHI</v>
      </c>
      <c r="N101" s="55" t="str">
        <f>IF(A101="","",IFERROR(INDEX('Cluster Map'!$A$4:$A$38,MATCH(M101,'Cluster Map'!$B$4:$B$38,0)),"Unmapped"))</f>
        <v>Cluster 2</v>
      </c>
      <c r="O101" s="55">
        <f>IF(A101="",0,IF(COUNTIFS($A$2:A101,A101,$F$2:F101,F101,$L$2:L101,L101)=1,1,0))</f>
        <v>1</v>
      </c>
      <c r="P101" s="55">
        <f>IF(A101="",0,IF(AND(F101="C&amp;T",COUNTIFS($A$2:A101,A101,$F$2:F101,"C&amp;T")=1),1,0))</f>
        <v>0</v>
      </c>
    </row>
    <row r="102" spans="1:16" x14ac:dyDescent="0.35">
      <c r="A102" s="54">
        <f>IFERROR(IF(INDEX(SPOT_Import!$A$1:$Z$2488,102,'Live Data'!$C$12)="","",INDEX(SPOT_Import!$A$1:$Z$2488,102,'Live Data'!$C$12)),"")</f>
        <v>12684</v>
      </c>
      <c r="B102" s="54" t="str">
        <f>IFERROR(IF(INDEX(SPOT_Import!$A$1:$Z$2488,102,'Live Data'!$C$13)="","",INDEX(SPOT_Import!$A$1:$Z$2488,102,'Live Data'!$C$13)),"")</f>
        <v>Nyambene District Hospital</v>
      </c>
      <c r="C102" s="54" t="str">
        <f>IFERROR(IF(INDEX(SPOT_Import!$A$1:$Z$2488,102,'Live Data'!$C$14)="","",INDEX(SPOT_Import!$A$1:$Z$2488,102,'Live Data'!$C$14)),"")</f>
        <v>MERU</v>
      </c>
      <c r="D102" s="54" t="str">
        <f>IFERROR(IF(INDEX(SPOT_Import!$A$1:$Z$2488,102,'Live Data'!$C$15)="","",INDEX(SPOT_Import!$A$1:$Z$2488,102,'Live Data'!$C$15)),"")</f>
        <v>Igembe South</v>
      </c>
      <c r="E102" s="54" t="str">
        <f>IFERROR(IF(INDEX(SPOT_Import!$A$1:$Z$2488,102,'Live Data'!$C$16)="","",INDEX(SPOT_Import!$A$1:$Z$2488,102,'Live Data'!$C$16)),"")</f>
        <v>USAID Jamii Tekelezi</v>
      </c>
      <c r="F102" s="54" t="str">
        <f>IFERROR(IF(INDEX(SPOT_Import!$A$1:$Z$2488,102,'Live Data'!$C$17)="","",INDEX(SPOT_Import!$A$1:$Z$2488,102,'Live Data'!$C$17)),"")</f>
        <v>PREP</v>
      </c>
      <c r="G102" s="54">
        <f>IFERROR(IF(INDEX(SPOT_Import!$A$1:$Z$2488,102,'Live Data'!$C$18)="","",INDEX(SPOT_Import!$A$1:$Z$2488,102,'Live Data'!$C$18)),"")</f>
        <v>742</v>
      </c>
      <c r="H102" s="54">
        <f>IFERROR(IF(INDEX(SPOT_Import!$A$1:$Z$2488,102,'Live Data'!$C$19)="","",INDEX(SPOT_Import!$A$1:$Z$2488,102,'Live Data'!$C$19)),"")</f>
        <v>742</v>
      </c>
      <c r="I102" s="54" t="str">
        <f>IFERROR(IF(INDEX(SPOT_Import!$A$1:$Z$2488,102,'Live Data'!$C$20)="","",INDEX(SPOT_Import!$A$1:$Z$2488,102,'Live Data'!$C$20)),"")</f>
        <v>Complete</v>
      </c>
      <c r="J102" s="54" t="str">
        <f>IFERROR(IF(INDEX(SPOT_Import!$A$1:$Z$2488,102,'Live Data'!$C$21)="","",INDEX(SPOT_Import!$A$1:$Z$2488,102,'Live Data'!$C$21)),"")</f>
        <v>2026-10-09T07:55:41.000Z</v>
      </c>
      <c r="K102" s="54" t="str">
        <f>IFERROR(IF(INDEX(SPOT_Import!$A$1:$Z$2488,102,'Live Data'!$C$22)="","",INDEX(SPOT_Import!$A$1:$Z$2488,102,'Live Data'!$C$22)),"")</f>
        <v>2026-10-09T07:55:41.000Z</v>
      </c>
      <c r="L102" s="55" t="str">
        <f t="shared" si="2"/>
        <v>2026-10</v>
      </c>
      <c r="M102" s="55" t="str">
        <f t="shared" si="3"/>
        <v>MERU</v>
      </c>
      <c r="N102" s="55" t="str">
        <f>IF(A102="","",IFERROR(INDEX('Cluster Map'!$A$4:$A$38,MATCH(M102,'Cluster Map'!$B$4:$B$38,0)),"Unmapped"))</f>
        <v>Cluster 1</v>
      </c>
      <c r="O102" s="55">
        <f>IF(A102="",0,IF(COUNTIFS($A$2:A102,A102,$F$2:F102,F102,$L$2:L102,L102)=1,1,0))</f>
        <v>1</v>
      </c>
      <c r="P102" s="55">
        <f>IF(A102="",0,IF(AND(F102="C&amp;T",COUNTIFS($A$2:A102,A102,$F$2:F102,"C&amp;T")=1),1,0))</f>
        <v>0</v>
      </c>
    </row>
    <row r="103" spans="1:16" x14ac:dyDescent="0.35">
      <c r="A103" s="54">
        <f>IFERROR(IF(INDEX(SPOT_Import!$A$1:$Z$2488,103,'Live Data'!$C$12)="","",INDEX(SPOT_Import!$A$1:$Z$2488,103,'Live Data'!$C$12)),"")</f>
        <v>12684</v>
      </c>
      <c r="B103" s="54" t="str">
        <f>IFERROR(IF(INDEX(SPOT_Import!$A$1:$Z$2488,103,'Live Data'!$C$13)="","",INDEX(SPOT_Import!$A$1:$Z$2488,103,'Live Data'!$C$13)),"")</f>
        <v>Nyambene District Hospital</v>
      </c>
      <c r="C103" s="54" t="str">
        <f>IFERROR(IF(INDEX(SPOT_Import!$A$1:$Z$2488,103,'Live Data'!$C$14)="","",INDEX(SPOT_Import!$A$1:$Z$2488,103,'Live Data'!$C$14)),"")</f>
        <v>MERU</v>
      </c>
      <c r="D103" s="54" t="str">
        <f>IFERROR(IF(INDEX(SPOT_Import!$A$1:$Z$2488,103,'Live Data'!$C$15)="","",INDEX(SPOT_Import!$A$1:$Z$2488,103,'Live Data'!$C$15)),"")</f>
        <v>Igembe South</v>
      </c>
      <c r="E103" s="54" t="str">
        <f>IFERROR(IF(INDEX(SPOT_Import!$A$1:$Z$2488,103,'Live Data'!$C$16)="","",INDEX(SPOT_Import!$A$1:$Z$2488,103,'Live Data'!$C$16)),"")</f>
        <v>USAID Jamii Tekelezi</v>
      </c>
      <c r="F103" s="54" t="str">
        <f>IFERROR(IF(INDEX(SPOT_Import!$A$1:$Z$2488,103,'Live Data'!$C$17)="","",INDEX(SPOT_Import!$A$1:$Z$2488,103,'Live Data'!$C$17)),"")</f>
        <v>MNCH</v>
      </c>
      <c r="G103" s="54">
        <f>IFERROR(IF(INDEX(SPOT_Import!$A$1:$Z$2488,103,'Live Data'!$C$18)="","",INDEX(SPOT_Import!$A$1:$Z$2488,103,'Live Data'!$C$18)),"")</f>
        <v>446</v>
      </c>
      <c r="H103" s="54">
        <f>IFERROR(IF(INDEX(SPOT_Import!$A$1:$Z$2488,103,'Live Data'!$C$19)="","",INDEX(SPOT_Import!$A$1:$Z$2488,103,'Live Data'!$C$19)),"")</f>
        <v>446</v>
      </c>
      <c r="I103" s="54" t="str">
        <f>IFERROR(IF(INDEX(SPOT_Import!$A$1:$Z$2488,103,'Live Data'!$C$20)="","",INDEX(SPOT_Import!$A$1:$Z$2488,103,'Live Data'!$C$20)),"")</f>
        <v>Complete</v>
      </c>
      <c r="J103" s="54" t="str">
        <f>IFERROR(IF(INDEX(SPOT_Import!$A$1:$Z$2488,103,'Live Data'!$C$21)="","",INDEX(SPOT_Import!$A$1:$Z$2488,103,'Live Data'!$C$21)),"")</f>
        <v>2026-10-09T07:54:18.000Z</v>
      </c>
      <c r="K103" s="54" t="str">
        <f>IFERROR(IF(INDEX(SPOT_Import!$A$1:$Z$2488,103,'Live Data'!$C$22)="","",INDEX(SPOT_Import!$A$1:$Z$2488,103,'Live Data'!$C$22)),"")</f>
        <v>2026-10-09T07:54:18.000Z</v>
      </c>
      <c r="L103" s="55" t="str">
        <f t="shared" si="2"/>
        <v>2026-10</v>
      </c>
      <c r="M103" s="55" t="str">
        <f t="shared" si="3"/>
        <v>MERU</v>
      </c>
      <c r="N103" s="55" t="str">
        <f>IF(A103="","",IFERROR(INDEX('Cluster Map'!$A$4:$A$38,MATCH(M103,'Cluster Map'!$B$4:$B$38,0)),"Unmapped"))</f>
        <v>Cluster 1</v>
      </c>
      <c r="O103" s="55">
        <f>IF(A103="",0,IF(COUNTIFS($A$2:A103,A103,$F$2:F103,F103,$L$2:L103,L103)=1,1,0))</f>
        <v>1</v>
      </c>
      <c r="P103" s="55">
        <f>IF(A103="",0,IF(AND(F103="C&amp;T",COUNTIFS($A$2:A103,A103,$F$2:F103,"C&amp;T")=1),1,0))</f>
        <v>0</v>
      </c>
    </row>
    <row r="104" spans="1:16" x14ac:dyDescent="0.35">
      <c r="A104" s="54">
        <f>IFERROR(IF(INDEX(SPOT_Import!$A$1:$Z$2488,104,'Live Data'!$C$12)="","",INDEX(SPOT_Import!$A$1:$Z$2488,104,'Live Data'!$C$12)),"")</f>
        <v>12684</v>
      </c>
      <c r="B104" s="54" t="str">
        <f>IFERROR(IF(INDEX(SPOT_Import!$A$1:$Z$2488,104,'Live Data'!$C$13)="","",INDEX(SPOT_Import!$A$1:$Z$2488,104,'Live Data'!$C$13)),"")</f>
        <v>Nyambene District Hospital</v>
      </c>
      <c r="C104" s="54" t="str">
        <f>IFERROR(IF(INDEX(SPOT_Import!$A$1:$Z$2488,104,'Live Data'!$C$14)="","",INDEX(SPOT_Import!$A$1:$Z$2488,104,'Live Data'!$C$14)),"")</f>
        <v>MERU</v>
      </c>
      <c r="D104" s="54" t="str">
        <f>IFERROR(IF(INDEX(SPOT_Import!$A$1:$Z$2488,104,'Live Data'!$C$15)="","",INDEX(SPOT_Import!$A$1:$Z$2488,104,'Live Data'!$C$15)),"")</f>
        <v>Igembe South</v>
      </c>
      <c r="E104" s="54" t="str">
        <f>IFERROR(IF(INDEX(SPOT_Import!$A$1:$Z$2488,104,'Live Data'!$C$16)="","",INDEX(SPOT_Import!$A$1:$Z$2488,104,'Live Data'!$C$16)),"")</f>
        <v>USAID Jamii Tekelezi</v>
      </c>
      <c r="F104" s="54" t="str">
        <f>IFERROR(IF(INDEX(SPOT_Import!$A$1:$Z$2488,104,'Live Data'!$C$17)="","",INDEX(SPOT_Import!$A$1:$Z$2488,104,'Live Data'!$C$17)),"")</f>
        <v>HTS</v>
      </c>
      <c r="G104" s="54">
        <f>IFERROR(IF(INDEX(SPOT_Import!$A$1:$Z$2488,104,'Live Data'!$C$18)="","",INDEX(SPOT_Import!$A$1:$Z$2488,104,'Live Data'!$C$18)),"")</f>
        <v>9091</v>
      </c>
      <c r="H104" s="54">
        <f>IFERROR(IF(INDEX(SPOT_Import!$A$1:$Z$2488,104,'Live Data'!$C$19)="","",INDEX(SPOT_Import!$A$1:$Z$2488,104,'Live Data'!$C$19)),"")</f>
        <v>9091</v>
      </c>
      <c r="I104" s="54" t="str">
        <f>IFERROR(IF(INDEX(SPOT_Import!$A$1:$Z$2488,104,'Live Data'!$C$20)="","",INDEX(SPOT_Import!$A$1:$Z$2488,104,'Live Data'!$C$20)),"")</f>
        <v>Complete</v>
      </c>
      <c r="J104" s="54" t="str">
        <f>IFERROR(IF(INDEX(SPOT_Import!$A$1:$Z$2488,104,'Live Data'!$C$21)="","",INDEX(SPOT_Import!$A$1:$Z$2488,104,'Live Data'!$C$21)),"")</f>
        <v>2026-10-09T07:52:29.000Z</v>
      </c>
      <c r="K104" s="54" t="str">
        <f>IFERROR(IF(INDEX(SPOT_Import!$A$1:$Z$2488,104,'Live Data'!$C$22)="","",INDEX(SPOT_Import!$A$1:$Z$2488,104,'Live Data'!$C$22)),"")</f>
        <v>2026-10-09T07:52:29.000Z</v>
      </c>
      <c r="L104" s="55" t="str">
        <f t="shared" si="2"/>
        <v>2026-10</v>
      </c>
      <c r="M104" s="55" t="str">
        <f t="shared" si="3"/>
        <v>MERU</v>
      </c>
      <c r="N104" s="55" t="str">
        <f>IF(A104="","",IFERROR(INDEX('Cluster Map'!$A$4:$A$38,MATCH(M104,'Cluster Map'!$B$4:$B$38,0)),"Unmapped"))</f>
        <v>Cluster 1</v>
      </c>
      <c r="O104" s="55">
        <f>IF(A104="",0,IF(COUNTIFS($A$2:A104,A104,$F$2:F104,F104,$L$2:L104,L104)=1,1,0))</f>
        <v>1</v>
      </c>
      <c r="P104" s="55">
        <f>IF(A104="",0,IF(AND(F104="C&amp;T",COUNTIFS($A$2:A104,A104,$F$2:F104,"C&amp;T")=1),1,0))</f>
        <v>0</v>
      </c>
    </row>
    <row r="105" spans="1:16" x14ac:dyDescent="0.35">
      <c r="A105" s="54">
        <f>IFERROR(IF(INDEX(SPOT_Import!$A$1:$Z$2488,105,'Live Data'!$C$12)="","",INDEX(SPOT_Import!$A$1:$Z$2488,105,'Live Data'!$C$12)),"")</f>
        <v>12589</v>
      </c>
      <c r="B105" s="54" t="str">
        <f>IFERROR(IF(INDEX(SPOT_Import!$A$1:$Z$2488,105,'Live Data'!$C$13)="","",INDEX(SPOT_Import!$A$1:$Z$2488,105,'Live Data'!$C$13)),"")</f>
        <v>Muthambi Health Centre</v>
      </c>
      <c r="C105" s="54" t="str">
        <f>IFERROR(IF(INDEX(SPOT_Import!$A$1:$Z$2488,105,'Live Data'!$C$14)="","",INDEX(SPOT_Import!$A$1:$Z$2488,105,'Live Data'!$C$14)),"")</f>
        <v>THARAKA-NITHI</v>
      </c>
      <c r="D105" s="54" t="str">
        <f>IFERROR(IF(INDEX(SPOT_Import!$A$1:$Z$2488,105,'Live Data'!$C$15)="","",INDEX(SPOT_Import!$A$1:$Z$2488,105,'Live Data'!$C$15)),"")</f>
        <v>Muthambi</v>
      </c>
      <c r="E105" s="54" t="str">
        <f>IFERROR(IF(INDEX(SPOT_Import!$A$1:$Z$2488,105,'Live Data'!$C$16)="","",INDEX(SPOT_Import!$A$1:$Z$2488,105,'Live Data'!$C$16)),"")</f>
        <v>USAID Jamii Tekelezi</v>
      </c>
      <c r="F105" s="54" t="str">
        <f>IFERROR(IF(INDEX(SPOT_Import!$A$1:$Z$2488,105,'Live Data'!$C$17)="","",INDEX(SPOT_Import!$A$1:$Z$2488,105,'Live Data'!$C$17)),"")</f>
        <v>HTS</v>
      </c>
      <c r="G105" s="54">
        <f>IFERROR(IF(INDEX(SPOT_Import!$A$1:$Z$2488,105,'Live Data'!$C$18)="","",INDEX(SPOT_Import!$A$1:$Z$2488,105,'Live Data'!$C$18)),"")</f>
        <v>5023</v>
      </c>
      <c r="H105" s="54">
        <f>IFERROR(IF(INDEX(SPOT_Import!$A$1:$Z$2488,105,'Live Data'!$C$19)="","",INDEX(SPOT_Import!$A$1:$Z$2488,105,'Live Data'!$C$19)),"")</f>
        <v>6523</v>
      </c>
      <c r="I105" s="54" t="str">
        <f>IFERROR(IF(INDEX(SPOT_Import!$A$1:$Z$2488,105,'Live Data'!$C$20)="","",INDEX(SPOT_Import!$A$1:$Z$2488,105,'Live Data'!$C$20)),"")</f>
        <v>Complete</v>
      </c>
      <c r="J105" s="54" t="str">
        <f>IFERROR(IF(INDEX(SPOT_Import!$A$1:$Z$2488,105,'Live Data'!$C$21)="","",INDEX(SPOT_Import!$A$1:$Z$2488,105,'Live Data'!$C$21)),"")</f>
        <v>2026-10-09T07:37:03.000Z</v>
      </c>
      <c r="K105" s="54" t="str">
        <f>IFERROR(IF(INDEX(SPOT_Import!$A$1:$Z$2488,105,'Live Data'!$C$22)="","",INDEX(SPOT_Import!$A$1:$Z$2488,105,'Live Data'!$C$22)),"")</f>
        <v>2026-10-09T07:37:03.000Z</v>
      </c>
      <c r="L105" s="55" t="str">
        <f t="shared" si="2"/>
        <v>2026-10</v>
      </c>
      <c r="M105" s="55" t="str">
        <f t="shared" si="3"/>
        <v>THARAKA-NITHI</v>
      </c>
      <c r="N105" s="55" t="str">
        <f>IF(A105="","",IFERROR(INDEX('Cluster Map'!$A$4:$A$38,MATCH(M105,'Cluster Map'!$B$4:$B$38,0)),"Unmapped"))</f>
        <v>Cluster 2</v>
      </c>
      <c r="O105" s="55">
        <f>IF(A105="",0,IF(COUNTIFS($A$2:A105,A105,$F$2:F105,F105,$L$2:L105,L105)=1,1,0))</f>
        <v>1</v>
      </c>
      <c r="P105" s="55">
        <f>IF(A105="",0,IF(AND(F105="C&amp;T",COUNTIFS($A$2:A105,A105,$F$2:F105,"C&amp;T")=1),1,0))</f>
        <v>0</v>
      </c>
    </row>
    <row r="106" spans="1:16" x14ac:dyDescent="0.35">
      <c r="A106" s="54">
        <f>IFERROR(IF(INDEX(SPOT_Import!$A$1:$Z$2488,106,'Live Data'!$C$12)="","",INDEX(SPOT_Import!$A$1:$Z$2488,106,'Live Data'!$C$12)),"")</f>
        <v>12684</v>
      </c>
      <c r="B106" s="54" t="str">
        <f>IFERROR(IF(INDEX(SPOT_Import!$A$1:$Z$2488,106,'Live Data'!$C$13)="","",INDEX(SPOT_Import!$A$1:$Z$2488,106,'Live Data'!$C$13)),"")</f>
        <v>Nyambene District Hospital</v>
      </c>
      <c r="C106" s="54" t="str">
        <f>IFERROR(IF(INDEX(SPOT_Import!$A$1:$Z$2488,106,'Live Data'!$C$14)="","",INDEX(SPOT_Import!$A$1:$Z$2488,106,'Live Data'!$C$14)),"")</f>
        <v>MERU</v>
      </c>
      <c r="D106" s="54" t="str">
        <f>IFERROR(IF(INDEX(SPOT_Import!$A$1:$Z$2488,106,'Live Data'!$C$15)="","",INDEX(SPOT_Import!$A$1:$Z$2488,106,'Live Data'!$C$15)),"")</f>
        <v>Igembe South</v>
      </c>
      <c r="E106" s="54" t="str">
        <f>IFERROR(IF(INDEX(SPOT_Import!$A$1:$Z$2488,106,'Live Data'!$C$16)="","",INDEX(SPOT_Import!$A$1:$Z$2488,106,'Live Data'!$C$16)),"")</f>
        <v>USAID Jamii Tekelezi</v>
      </c>
      <c r="F106" s="54" t="str">
        <f>IFERROR(IF(INDEX(SPOT_Import!$A$1:$Z$2488,106,'Live Data'!$C$17)="","",INDEX(SPOT_Import!$A$1:$Z$2488,106,'Live Data'!$C$17)),"")</f>
        <v>C&amp;T</v>
      </c>
      <c r="G106" s="54">
        <f>IFERROR(IF(INDEX(SPOT_Import!$A$1:$Z$2488,106,'Live Data'!$C$18)="","",INDEX(SPOT_Import!$A$1:$Z$2488,106,'Live Data'!$C$18)),"")</f>
        <v>6240</v>
      </c>
      <c r="H106" s="54">
        <f>IFERROR(IF(INDEX(SPOT_Import!$A$1:$Z$2488,106,'Live Data'!$C$19)="","",INDEX(SPOT_Import!$A$1:$Z$2488,106,'Live Data'!$C$19)),"")</f>
        <v>6240</v>
      </c>
      <c r="I106" s="54" t="str">
        <f>IFERROR(IF(INDEX(SPOT_Import!$A$1:$Z$2488,106,'Live Data'!$C$20)="","",INDEX(SPOT_Import!$A$1:$Z$2488,106,'Live Data'!$C$20)),"")</f>
        <v>Complete</v>
      </c>
      <c r="J106" s="54" t="str">
        <f>IFERROR(IF(INDEX(SPOT_Import!$A$1:$Z$2488,106,'Live Data'!$C$21)="","",INDEX(SPOT_Import!$A$1:$Z$2488,106,'Live Data'!$C$21)),"")</f>
        <v>2026-10-09T07:24:22.000Z</v>
      </c>
      <c r="K106" s="54" t="str">
        <f>IFERROR(IF(INDEX(SPOT_Import!$A$1:$Z$2488,106,'Live Data'!$C$22)="","",INDEX(SPOT_Import!$A$1:$Z$2488,106,'Live Data'!$C$22)),"")</f>
        <v>2026-10-09T07:24:22.000Z</v>
      </c>
      <c r="L106" s="55" t="str">
        <f t="shared" si="2"/>
        <v>2026-10</v>
      </c>
      <c r="M106" s="55" t="str">
        <f t="shared" si="3"/>
        <v>MERU</v>
      </c>
      <c r="N106" s="55" t="str">
        <f>IF(A106="","",IFERROR(INDEX('Cluster Map'!$A$4:$A$38,MATCH(M106,'Cluster Map'!$B$4:$B$38,0)),"Unmapped"))</f>
        <v>Cluster 1</v>
      </c>
      <c r="O106" s="55">
        <f>IF(A106="",0,IF(COUNTIFS($A$2:A106,A106,$F$2:F106,F106,$L$2:L106,L106)=1,1,0))</f>
        <v>1</v>
      </c>
      <c r="P106" s="55">
        <f>IF(A106="",0,IF(AND(F106="C&amp;T",COUNTIFS($A$2:A106,A106,$F$2:F106,"C&amp;T")=1),1,0))</f>
        <v>1</v>
      </c>
    </row>
    <row r="107" spans="1:16" x14ac:dyDescent="0.35">
      <c r="A107" s="54">
        <f>IFERROR(IF(INDEX(SPOT_Import!$A$1:$Z$2488,107,'Live Data'!$C$12)="","",INDEX(SPOT_Import!$A$1:$Z$2488,107,'Live Data'!$C$12)),"")</f>
        <v>10916</v>
      </c>
      <c r="B107" s="54" t="str">
        <f>IFERROR(IF(INDEX(SPOT_Import!$A$1:$Z$2488,107,'Live Data'!$C$13)="","",INDEX(SPOT_Import!$A$1:$Z$2488,107,'Live Data'!$C$13)),"")</f>
        <v>JM Kariuki County Memorial Hospital (Olkalou)</v>
      </c>
      <c r="C107" s="54" t="str">
        <f>IFERROR(IF(INDEX(SPOT_Import!$A$1:$Z$2488,107,'Live Data'!$C$14)="","",INDEX(SPOT_Import!$A$1:$Z$2488,107,'Live Data'!$C$14)),"")</f>
        <v>NYANDARUA</v>
      </c>
      <c r="D107" s="54" t="str">
        <f>IFERROR(IF(INDEX(SPOT_Import!$A$1:$Z$2488,107,'Live Data'!$C$15)="","",INDEX(SPOT_Import!$A$1:$Z$2488,107,'Live Data'!$C$15)),"")</f>
        <v>Olkalou</v>
      </c>
      <c r="E107" s="54" t="str">
        <f>IFERROR(IF(INDEX(SPOT_Import!$A$1:$Z$2488,107,'Live Data'!$C$16)="","",INDEX(SPOT_Import!$A$1:$Z$2488,107,'Live Data'!$C$16)),"")</f>
        <v>USAID Jamii Tekelezi</v>
      </c>
      <c r="F107" s="54" t="str">
        <f>IFERROR(IF(INDEX(SPOT_Import!$A$1:$Z$2488,107,'Live Data'!$C$17)="","",INDEX(SPOT_Import!$A$1:$Z$2488,107,'Live Data'!$C$17)),"")</f>
        <v>C&amp;T</v>
      </c>
      <c r="G107" s="54">
        <f>IFERROR(IF(INDEX(SPOT_Import!$A$1:$Z$2488,107,'Live Data'!$C$18)="","",INDEX(SPOT_Import!$A$1:$Z$2488,107,'Live Data'!$C$18)),"")</f>
        <v>5342</v>
      </c>
      <c r="H107" s="54" t="str">
        <f>IFERROR(IF(INDEX(SPOT_Import!$A$1:$Z$2488,107,'Live Data'!$C$19)="","",INDEX(SPOT_Import!$A$1:$Z$2488,107,'Live Data'!$C$19)),"")</f>
        <v/>
      </c>
      <c r="I107" s="54" t="str">
        <f>IFERROR(IF(INDEX(SPOT_Import!$A$1:$Z$2488,107,'Live Data'!$C$20)="","",INDEX(SPOT_Import!$A$1:$Z$2488,107,'Live Data'!$C$20)),"")</f>
        <v>Incomplete</v>
      </c>
      <c r="J107" s="54" t="str">
        <f>IFERROR(IF(INDEX(SPOT_Import!$A$1:$Z$2488,107,'Live Data'!$C$21)="","",INDEX(SPOT_Import!$A$1:$Z$2488,107,'Live Data'!$C$21)),"")</f>
        <v>2026-10-09T07:23:13.000Z</v>
      </c>
      <c r="K107" s="54" t="str">
        <f>IFERROR(IF(INDEX(SPOT_Import!$A$1:$Z$2488,107,'Live Data'!$C$22)="","",INDEX(SPOT_Import!$A$1:$Z$2488,107,'Live Data'!$C$22)),"")</f>
        <v>2026-10-09T07:23:13.000Z</v>
      </c>
      <c r="L107" s="55" t="str">
        <f t="shared" si="2"/>
        <v>2026-10</v>
      </c>
      <c r="M107" s="55" t="str">
        <f t="shared" si="3"/>
        <v>NYANDARUA</v>
      </c>
      <c r="N107" s="55" t="str">
        <f>IF(A107="","",IFERROR(INDEX('Cluster Map'!$A$4:$A$38,MATCH(M107,'Cluster Map'!$B$4:$B$38,0)),"Unmapped"))</f>
        <v>Cluster 4</v>
      </c>
      <c r="O107" s="55">
        <f>IF(A107="",0,IF(COUNTIFS($A$2:A107,A107,$F$2:F107,F107,$L$2:L107,L107)=1,1,0))</f>
        <v>1</v>
      </c>
      <c r="P107" s="55">
        <f>IF(A107="",0,IF(AND(F107="C&amp;T",COUNTIFS($A$2:A107,A107,$F$2:F107,"C&amp;T")=1),1,0))</f>
        <v>1</v>
      </c>
    </row>
    <row r="108" spans="1:16" x14ac:dyDescent="0.35">
      <c r="A108" s="54">
        <f>IFERROR(IF(INDEX(SPOT_Import!$A$1:$Z$2488,108,'Live Data'!$C$12)="","",INDEX(SPOT_Import!$A$1:$Z$2488,108,'Live Data'!$C$12)),"")</f>
        <v>12666</v>
      </c>
      <c r="B108" s="54" t="str">
        <f>IFERROR(IF(INDEX(SPOT_Import!$A$1:$Z$2488,108,'Live Data'!$C$13)="","",INDEX(SPOT_Import!$A$1:$Z$2488,108,'Live Data'!$C$13)),"")</f>
        <v>Nkubu Dispensary</v>
      </c>
      <c r="C108" s="54" t="str">
        <f>IFERROR(IF(INDEX(SPOT_Import!$A$1:$Z$2488,108,'Live Data'!$C$14)="","",INDEX(SPOT_Import!$A$1:$Z$2488,108,'Live Data'!$C$14)),"")</f>
        <v>MERU</v>
      </c>
      <c r="D108" s="54" t="str">
        <f>IFERROR(IF(INDEX(SPOT_Import!$A$1:$Z$2488,108,'Live Data'!$C$15)="","",INDEX(SPOT_Import!$A$1:$Z$2488,108,'Live Data'!$C$15)),"")</f>
        <v>Imenti South</v>
      </c>
      <c r="E108" s="54" t="str">
        <f>IFERROR(IF(INDEX(SPOT_Import!$A$1:$Z$2488,108,'Live Data'!$C$16)="","",INDEX(SPOT_Import!$A$1:$Z$2488,108,'Live Data'!$C$16)),"")</f>
        <v>USAID Jamii Tekelezi</v>
      </c>
      <c r="F108" s="54" t="str">
        <f>IFERROR(IF(INDEX(SPOT_Import!$A$1:$Z$2488,108,'Live Data'!$C$17)="","",INDEX(SPOT_Import!$A$1:$Z$2488,108,'Live Data'!$C$17)),"")</f>
        <v>C&amp;T</v>
      </c>
      <c r="G108" s="54">
        <f>IFERROR(IF(INDEX(SPOT_Import!$A$1:$Z$2488,108,'Live Data'!$C$18)="","",INDEX(SPOT_Import!$A$1:$Z$2488,108,'Live Data'!$C$18)),"")</f>
        <v>300</v>
      </c>
      <c r="H108" s="54">
        <f>IFERROR(IF(INDEX(SPOT_Import!$A$1:$Z$2488,108,'Live Data'!$C$19)="","",INDEX(SPOT_Import!$A$1:$Z$2488,108,'Live Data'!$C$19)),"")</f>
        <v>300</v>
      </c>
      <c r="I108" s="54" t="str">
        <f>IFERROR(IF(INDEX(SPOT_Import!$A$1:$Z$2488,108,'Live Data'!$C$20)="","",INDEX(SPOT_Import!$A$1:$Z$2488,108,'Live Data'!$C$20)),"")</f>
        <v>Complete</v>
      </c>
      <c r="J108" s="54" t="str">
        <f>IFERROR(IF(INDEX(SPOT_Import!$A$1:$Z$2488,108,'Live Data'!$C$21)="","",INDEX(SPOT_Import!$A$1:$Z$2488,108,'Live Data'!$C$21)),"")</f>
        <v>2026-10-09T07:03:49.000Z</v>
      </c>
      <c r="K108" s="54" t="str">
        <f>IFERROR(IF(INDEX(SPOT_Import!$A$1:$Z$2488,108,'Live Data'!$C$22)="","",INDEX(SPOT_Import!$A$1:$Z$2488,108,'Live Data'!$C$22)),"")</f>
        <v>2026-10-09T07:03:49.000Z</v>
      </c>
      <c r="L108" s="55" t="str">
        <f t="shared" si="2"/>
        <v>2026-10</v>
      </c>
      <c r="M108" s="55" t="str">
        <f t="shared" si="3"/>
        <v>MERU</v>
      </c>
      <c r="N108" s="55" t="str">
        <f>IF(A108="","",IFERROR(INDEX('Cluster Map'!$A$4:$A$38,MATCH(M108,'Cluster Map'!$B$4:$B$38,0)),"Unmapped"))</f>
        <v>Cluster 1</v>
      </c>
      <c r="O108" s="55">
        <f>IF(A108="",0,IF(COUNTIFS($A$2:A108,A108,$F$2:F108,F108,$L$2:L108,L108)=1,1,0))</f>
        <v>1</v>
      </c>
      <c r="P108" s="55">
        <f>IF(A108="",0,IF(AND(F108="C&amp;T",COUNTIFS($A$2:A108,A108,$F$2:F108,"C&amp;T")=1),1,0))</f>
        <v>1</v>
      </c>
    </row>
    <row r="109" spans="1:16" x14ac:dyDescent="0.35">
      <c r="A109" s="54">
        <f>IFERROR(IF(INDEX(SPOT_Import!$A$1:$Z$2488,109,'Live Data'!$C$12)="","",INDEX(SPOT_Import!$A$1:$Z$2488,109,'Live Data'!$C$12)),"")</f>
        <v>12589</v>
      </c>
      <c r="B109" s="54" t="str">
        <f>IFERROR(IF(INDEX(SPOT_Import!$A$1:$Z$2488,109,'Live Data'!$C$13)="","",INDEX(SPOT_Import!$A$1:$Z$2488,109,'Live Data'!$C$13)),"")</f>
        <v>Muthambi Health Centre</v>
      </c>
      <c r="C109" s="54" t="str">
        <f>IFERROR(IF(INDEX(SPOT_Import!$A$1:$Z$2488,109,'Live Data'!$C$14)="","",INDEX(SPOT_Import!$A$1:$Z$2488,109,'Live Data'!$C$14)),"")</f>
        <v>THARAKA-NITHI</v>
      </c>
      <c r="D109" s="54" t="str">
        <f>IFERROR(IF(INDEX(SPOT_Import!$A$1:$Z$2488,109,'Live Data'!$C$15)="","",INDEX(SPOT_Import!$A$1:$Z$2488,109,'Live Data'!$C$15)),"")</f>
        <v>Muthambi</v>
      </c>
      <c r="E109" s="54" t="str">
        <f>IFERROR(IF(INDEX(SPOT_Import!$A$1:$Z$2488,109,'Live Data'!$C$16)="","",INDEX(SPOT_Import!$A$1:$Z$2488,109,'Live Data'!$C$16)),"")</f>
        <v>USAID Jamii Tekelezi</v>
      </c>
      <c r="F109" s="54" t="str">
        <f>IFERROR(IF(INDEX(SPOT_Import!$A$1:$Z$2488,109,'Live Data'!$C$17)="","",INDEX(SPOT_Import!$A$1:$Z$2488,109,'Live Data'!$C$17)),"")</f>
        <v>C&amp;T</v>
      </c>
      <c r="G109" s="54">
        <f>IFERROR(IF(INDEX(SPOT_Import!$A$1:$Z$2488,109,'Live Data'!$C$18)="","",INDEX(SPOT_Import!$A$1:$Z$2488,109,'Live Data'!$C$18)),"")</f>
        <v>1348</v>
      </c>
      <c r="H109" s="54">
        <f>IFERROR(IF(INDEX(SPOT_Import!$A$1:$Z$2488,109,'Live Data'!$C$19)="","",INDEX(SPOT_Import!$A$1:$Z$2488,109,'Live Data'!$C$19)),"")</f>
        <v>1348</v>
      </c>
      <c r="I109" s="54" t="str">
        <f>IFERROR(IF(INDEX(SPOT_Import!$A$1:$Z$2488,109,'Live Data'!$C$20)="","",INDEX(SPOT_Import!$A$1:$Z$2488,109,'Live Data'!$C$20)),"")</f>
        <v>Complete</v>
      </c>
      <c r="J109" s="54" t="str">
        <f>IFERROR(IF(INDEX(SPOT_Import!$A$1:$Z$2488,109,'Live Data'!$C$21)="","",INDEX(SPOT_Import!$A$1:$Z$2488,109,'Live Data'!$C$21)),"")</f>
        <v>2026-10-09T06:55:35.000Z</v>
      </c>
      <c r="K109" s="54" t="str">
        <f>IFERROR(IF(INDEX(SPOT_Import!$A$1:$Z$2488,109,'Live Data'!$C$22)="","",INDEX(SPOT_Import!$A$1:$Z$2488,109,'Live Data'!$C$22)),"")</f>
        <v>2026-10-09T06:55:35.000Z</v>
      </c>
      <c r="L109" s="55" t="str">
        <f t="shared" si="2"/>
        <v>2026-10</v>
      </c>
      <c r="M109" s="55" t="str">
        <f t="shared" si="3"/>
        <v>THARAKA-NITHI</v>
      </c>
      <c r="N109" s="55" t="str">
        <f>IF(A109="","",IFERROR(INDEX('Cluster Map'!$A$4:$A$38,MATCH(M109,'Cluster Map'!$B$4:$B$38,0)),"Unmapped"))</f>
        <v>Cluster 2</v>
      </c>
      <c r="O109" s="55">
        <f>IF(A109="",0,IF(COUNTIFS($A$2:A109,A109,$F$2:F109,F109,$L$2:L109,L109)=1,1,0))</f>
        <v>1</v>
      </c>
      <c r="P109" s="55">
        <f>IF(A109="",0,IF(AND(F109="C&amp;T",COUNTIFS($A$2:A109,A109,$F$2:F109,"C&amp;T")=1),1,0))</f>
        <v>1</v>
      </c>
    </row>
    <row r="110" spans="1:16" x14ac:dyDescent="0.35">
      <c r="A110" s="54">
        <f>IFERROR(IF(INDEX(SPOT_Import!$A$1:$Z$2488,110,'Live Data'!$C$12)="","",INDEX(SPOT_Import!$A$1:$Z$2488,110,'Live Data'!$C$12)),"")</f>
        <v>12359</v>
      </c>
      <c r="B110" s="54" t="str">
        <f>IFERROR(IF(INDEX(SPOT_Import!$A$1:$Z$2488,110,'Live Data'!$C$13)="","",INDEX(SPOT_Import!$A$1:$Z$2488,110,'Live Data'!$C$13)),"")</f>
        <v>Kithimu Dispensary</v>
      </c>
      <c r="C110" s="54" t="str">
        <f>IFERROR(IF(INDEX(SPOT_Import!$A$1:$Z$2488,110,'Live Data'!$C$14)="","",INDEX(SPOT_Import!$A$1:$Z$2488,110,'Live Data'!$C$14)),"")</f>
        <v>EMBU</v>
      </c>
      <c r="D110" s="54" t="str">
        <f>IFERROR(IF(INDEX(SPOT_Import!$A$1:$Z$2488,110,'Live Data'!$C$15)="","",INDEX(SPOT_Import!$A$1:$Z$2488,110,'Live Data'!$C$15)),"")</f>
        <v>Manyatta</v>
      </c>
      <c r="E110" s="54" t="str">
        <f>IFERROR(IF(INDEX(SPOT_Import!$A$1:$Z$2488,110,'Live Data'!$C$16)="","",INDEX(SPOT_Import!$A$1:$Z$2488,110,'Live Data'!$C$16)),"")</f>
        <v>USAID Jamii Tekelezi</v>
      </c>
      <c r="F110" s="54" t="str">
        <f>IFERROR(IF(INDEX(SPOT_Import!$A$1:$Z$2488,110,'Live Data'!$C$17)="","",INDEX(SPOT_Import!$A$1:$Z$2488,110,'Live Data'!$C$17)),"")</f>
        <v>C&amp;T</v>
      </c>
      <c r="G110" s="54">
        <f>IFERROR(IF(INDEX(SPOT_Import!$A$1:$Z$2488,110,'Live Data'!$C$18)="","",INDEX(SPOT_Import!$A$1:$Z$2488,110,'Live Data'!$C$18)),"")</f>
        <v>291</v>
      </c>
      <c r="H110" s="54">
        <f>IFERROR(IF(INDEX(SPOT_Import!$A$1:$Z$2488,110,'Live Data'!$C$19)="","",INDEX(SPOT_Import!$A$1:$Z$2488,110,'Live Data'!$C$19)),"")</f>
        <v>291</v>
      </c>
      <c r="I110" s="54" t="str">
        <f>IFERROR(IF(INDEX(SPOT_Import!$A$1:$Z$2488,110,'Live Data'!$C$20)="","",INDEX(SPOT_Import!$A$1:$Z$2488,110,'Live Data'!$C$20)),"")</f>
        <v>Complete</v>
      </c>
      <c r="J110" s="54" t="str">
        <f>IFERROR(IF(INDEX(SPOT_Import!$A$1:$Z$2488,110,'Live Data'!$C$21)="","",INDEX(SPOT_Import!$A$1:$Z$2488,110,'Live Data'!$C$21)),"")</f>
        <v>2026-10-09T05:55:02.000Z</v>
      </c>
      <c r="K110" s="54" t="str">
        <f>IFERROR(IF(INDEX(SPOT_Import!$A$1:$Z$2488,110,'Live Data'!$C$22)="","",INDEX(SPOT_Import!$A$1:$Z$2488,110,'Live Data'!$C$22)),"")</f>
        <v>2026-10-09T05:55:02.000Z</v>
      </c>
      <c r="L110" s="55" t="str">
        <f t="shared" si="2"/>
        <v>2026-10</v>
      </c>
      <c r="M110" s="55" t="str">
        <f t="shared" si="3"/>
        <v>EMBU</v>
      </c>
      <c r="N110" s="55" t="str">
        <f>IF(A110="","",IFERROR(INDEX('Cluster Map'!$A$4:$A$38,MATCH(M110,'Cluster Map'!$B$4:$B$38,0)),"Unmapped"))</f>
        <v>Cluster 2</v>
      </c>
      <c r="O110" s="55">
        <f>IF(A110="",0,IF(COUNTIFS($A$2:A110,A110,$F$2:F110,F110,$L$2:L110,L110)=1,1,0))</f>
        <v>1</v>
      </c>
      <c r="P110" s="55">
        <f>IF(A110="",0,IF(AND(F110="C&amp;T",COUNTIFS($A$2:A110,A110,$F$2:F110,"C&amp;T")=1),1,0))</f>
        <v>1</v>
      </c>
    </row>
    <row r="111" spans="1:16" x14ac:dyDescent="0.35">
      <c r="A111" s="54">
        <f>IFERROR(IF(INDEX(SPOT_Import!$A$1:$Z$2488,111,'Live Data'!$C$12)="","",INDEX(SPOT_Import!$A$1:$Z$2488,111,'Live Data'!$C$12)),"")</f>
        <v>12300</v>
      </c>
      <c r="B111" s="54" t="str">
        <f>IFERROR(IF(INDEX(SPOT_Import!$A$1:$Z$2488,111,'Live Data'!$C$13)="","",INDEX(SPOT_Import!$A$1:$Z$2488,111,'Live Data'!$C$13)),"")</f>
        <v>Kigumo Dispensary</v>
      </c>
      <c r="C111" s="54" t="str">
        <f>IFERROR(IF(INDEX(SPOT_Import!$A$1:$Z$2488,111,'Live Data'!$C$14)="","",INDEX(SPOT_Import!$A$1:$Z$2488,111,'Live Data'!$C$14)),"")</f>
        <v>EMBU</v>
      </c>
      <c r="D111" s="54" t="str">
        <f>IFERROR(IF(INDEX(SPOT_Import!$A$1:$Z$2488,111,'Live Data'!$C$15)="","",INDEX(SPOT_Import!$A$1:$Z$2488,111,'Live Data'!$C$15)),"")</f>
        <v>Runyenjes</v>
      </c>
      <c r="E111" s="54" t="str">
        <f>IFERROR(IF(INDEX(SPOT_Import!$A$1:$Z$2488,111,'Live Data'!$C$16)="","",INDEX(SPOT_Import!$A$1:$Z$2488,111,'Live Data'!$C$16)),"")</f>
        <v>USAID Jamii Tekelezi</v>
      </c>
      <c r="F111" s="54" t="str">
        <f>IFERROR(IF(INDEX(SPOT_Import!$A$1:$Z$2488,111,'Live Data'!$C$17)="","",INDEX(SPOT_Import!$A$1:$Z$2488,111,'Live Data'!$C$17)),"")</f>
        <v>C&amp;T</v>
      </c>
      <c r="G111" s="54">
        <f>IFERROR(IF(INDEX(SPOT_Import!$A$1:$Z$2488,111,'Live Data'!$C$18)="","",INDEX(SPOT_Import!$A$1:$Z$2488,111,'Live Data'!$C$18)),"")</f>
        <v>112</v>
      </c>
      <c r="H111" s="54">
        <f>IFERROR(IF(INDEX(SPOT_Import!$A$1:$Z$2488,111,'Live Data'!$C$19)="","",INDEX(SPOT_Import!$A$1:$Z$2488,111,'Live Data'!$C$19)),"")</f>
        <v>112</v>
      </c>
      <c r="I111" s="54" t="str">
        <f>IFERROR(IF(INDEX(SPOT_Import!$A$1:$Z$2488,111,'Live Data'!$C$20)="","",INDEX(SPOT_Import!$A$1:$Z$2488,111,'Live Data'!$C$20)),"")</f>
        <v>Complete</v>
      </c>
      <c r="J111" s="54" t="str">
        <f>IFERROR(IF(INDEX(SPOT_Import!$A$1:$Z$2488,111,'Live Data'!$C$21)="","",INDEX(SPOT_Import!$A$1:$Z$2488,111,'Live Data'!$C$21)),"")</f>
        <v>2026-10-09T05:16:55.000Z</v>
      </c>
      <c r="K111" s="54" t="str">
        <f>IFERROR(IF(INDEX(SPOT_Import!$A$1:$Z$2488,111,'Live Data'!$C$22)="","",INDEX(SPOT_Import!$A$1:$Z$2488,111,'Live Data'!$C$22)),"")</f>
        <v>2026-10-09T05:16:55.000Z</v>
      </c>
      <c r="L111" s="55" t="str">
        <f t="shared" si="2"/>
        <v>2026-10</v>
      </c>
      <c r="M111" s="55" t="str">
        <f t="shared" si="3"/>
        <v>EMBU</v>
      </c>
      <c r="N111" s="55" t="str">
        <f>IF(A111="","",IFERROR(INDEX('Cluster Map'!$A$4:$A$38,MATCH(M111,'Cluster Map'!$B$4:$B$38,0)),"Unmapped"))</f>
        <v>Cluster 2</v>
      </c>
      <c r="O111" s="55">
        <f>IF(A111="",0,IF(COUNTIFS($A$2:A111,A111,$F$2:F111,F111,$L$2:L111,L111)=1,1,0))</f>
        <v>1</v>
      </c>
      <c r="P111" s="55">
        <f>IF(A111="",0,IF(AND(F111="C&amp;T",COUNTIFS($A$2:A111,A111,$F$2:F111,"C&amp;T")=1),1,0))</f>
        <v>1</v>
      </c>
    </row>
    <row r="112" spans="1:16" x14ac:dyDescent="0.35">
      <c r="A112" s="54">
        <f>IFERROR(IF(INDEX(SPOT_Import!$A$1:$Z$2488,112,'Live Data'!$C$12)="","",INDEX(SPOT_Import!$A$1:$Z$2488,112,'Live Data'!$C$12)),"")</f>
        <v>12673</v>
      </c>
      <c r="B112" s="54" t="str">
        <f>IFERROR(IF(INDEX(SPOT_Import!$A$1:$Z$2488,112,'Live Data'!$C$13)="","",INDEX(SPOT_Import!$A$1:$Z$2488,112,'Live Data'!$C$13)),"")</f>
        <v>Nthagaiya Catholic Dispensary</v>
      </c>
      <c r="C112" s="54" t="str">
        <f>IFERROR(IF(INDEX(SPOT_Import!$A$1:$Z$2488,112,'Live Data'!$C$14)="","",INDEX(SPOT_Import!$A$1:$Z$2488,112,'Live Data'!$C$14)),"")</f>
        <v>EMBU</v>
      </c>
      <c r="D112" s="54" t="str">
        <f>IFERROR(IF(INDEX(SPOT_Import!$A$1:$Z$2488,112,'Live Data'!$C$15)="","",INDEX(SPOT_Import!$A$1:$Z$2488,112,'Live Data'!$C$15)),"")</f>
        <v>Runyenjes</v>
      </c>
      <c r="E112" s="54" t="str">
        <f>IFERROR(IF(INDEX(SPOT_Import!$A$1:$Z$2488,112,'Live Data'!$C$16)="","",INDEX(SPOT_Import!$A$1:$Z$2488,112,'Live Data'!$C$16)),"")</f>
        <v>USAID Jamii Tekelezi</v>
      </c>
      <c r="F112" s="54" t="str">
        <f>IFERROR(IF(INDEX(SPOT_Import!$A$1:$Z$2488,112,'Live Data'!$C$17)="","",INDEX(SPOT_Import!$A$1:$Z$2488,112,'Live Data'!$C$17)),"")</f>
        <v>C&amp;T</v>
      </c>
      <c r="G112" s="54">
        <f>IFERROR(IF(INDEX(SPOT_Import!$A$1:$Z$2488,112,'Live Data'!$C$18)="","",INDEX(SPOT_Import!$A$1:$Z$2488,112,'Live Data'!$C$18)),"")</f>
        <v>107</v>
      </c>
      <c r="H112" s="54">
        <f>IFERROR(IF(INDEX(SPOT_Import!$A$1:$Z$2488,112,'Live Data'!$C$19)="","",INDEX(SPOT_Import!$A$1:$Z$2488,112,'Live Data'!$C$19)),"")</f>
        <v>107</v>
      </c>
      <c r="I112" s="54" t="str">
        <f>IFERROR(IF(INDEX(SPOT_Import!$A$1:$Z$2488,112,'Live Data'!$C$20)="","",INDEX(SPOT_Import!$A$1:$Z$2488,112,'Live Data'!$C$20)),"")</f>
        <v>Complete</v>
      </c>
      <c r="J112" s="54" t="str">
        <f>IFERROR(IF(INDEX(SPOT_Import!$A$1:$Z$2488,112,'Live Data'!$C$21)="","",INDEX(SPOT_Import!$A$1:$Z$2488,112,'Live Data'!$C$21)),"")</f>
        <v>2026-10-09T05:07:52.000Z</v>
      </c>
      <c r="K112" s="54" t="str">
        <f>IFERROR(IF(INDEX(SPOT_Import!$A$1:$Z$2488,112,'Live Data'!$C$22)="","",INDEX(SPOT_Import!$A$1:$Z$2488,112,'Live Data'!$C$22)),"")</f>
        <v>2026-10-09T05:07:52.000Z</v>
      </c>
      <c r="L112" s="55" t="str">
        <f t="shared" si="2"/>
        <v>2026-10</v>
      </c>
      <c r="M112" s="55" t="str">
        <f t="shared" si="3"/>
        <v>EMBU</v>
      </c>
      <c r="N112" s="55" t="str">
        <f>IF(A112="","",IFERROR(INDEX('Cluster Map'!$A$4:$A$38,MATCH(M112,'Cluster Map'!$B$4:$B$38,0)),"Unmapped"))</f>
        <v>Cluster 2</v>
      </c>
      <c r="O112" s="55">
        <f>IF(A112="",0,IF(COUNTIFS($A$2:A112,A112,$F$2:F112,F112,$L$2:L112,L112)=1,1,0))</f>
        <v>1</v>
      </c>
      <c r="P112" s="55">
        <f>IF(A112="",0,IF(AND(F112="C&amp;T",COUNTIFS($A$2:A112,A112,$F$2:F112,"C&amp;T")=1),1,0))</f>
        <v>1</v>
      </c>
    </row>
    <row r="113" spans="1:16" x14ac:dyDescent="0.35">
      <c r="A113" s="54">
        <f>IFERROR(IF(INDEX(SPOT_Import!$A$1:$Z$2488,113,'Live Data'!$C$12)="","",INDEX(SPOT_Import!$A$1:$Z$2488,113,'Live Data'!$C$12)),"")</f>
        <v>12279</v>
      </c>
      <c r="B113" s="54" t="str">
        <f>IFERROR(IF(INDEX(SPOT_Import!$A$1:$Z$2488,113,'Live Data'!$C$13)="","",INDEX(SPOT_Import!$A$1:$Z$2488,113,'Live Data'!$C$13)),"")</f>
        <v>Kianjokoma Sub-District Hospital</v>
      </c>
      <c r="C113" s="54" t="str">
        <f>IFERROR(IF(INDEX(SPOT_Import!$A$1:$Z$2488,113,'Live Data'!$C$14)="","",INDEX(SPOT_Import!$A$1:$Z$2488,113,'Live Data'!$C$14)),"")</f>
        <v>EMBU</v>
      </c>
      <c r="D113" s="54" t="str">
        <f>IFERROR(IF(INDEX(SPOT_Import!$A$1:$Z$2488,113,'Live Data'!$C$15)="","",INDEX(SPOT_Import!$A$1:$Z$2488,113,'Live Data'!$C$15)),"")</f>
        <v>Runyenjes</v>
      </c>
      <c r="E113" s="54" t="str">
        <f>IFERROR(IF(INDEX(SPOT_Import!$A$1:$Z$2488,113,'Live Data'!$C$16)="","",INDEX(SPOT_Import!$A$1:$Z$2488,113,'Live Data'!$C$16)),"")</f>
        <v>USAID Jamii Tekelezi</v>
      </c>
      <c r="F113" s="54" t="str">
        <f>IFERROR(IF(INDEX(SPOT_Import!$A$1:$Z$2488,113,'Live Data'!$C$17)="","",INDEX(SPOT_Import!$A$1:$Z$2488,113,'Live Data'!$C$17)),"")</f>
        <v>PREP</v>
      </c>
      <c r="G113" s="54">
        <f>IFERROR(IF(INDEX(SPOT_Import!$A$1:$Z$2488,113,'Live Data'!$C$18)="","",INDEX(SPOT_Import!$A$1:$Z$2488,113,'Live Data'!$C$18)),"")</f>
        <v>268</v>
      </c>
      <c r="H113" s="54" t="str">
        <f>IFERROR(IF(INDEX(SPOT_Import!$A$1:$Z$2488,113,'Live Data'!$C$19)="","",INDEX(SPOT_Import!$A$1:$Z$2488,113,'Live Data'!$C$19)),"")</f>
        <v/>
      </c>
      <c r="I113" s="54" t="str">
        <f>IFERROR(IF(INDEX(SPOT_Import!$A$1:$Z$2488,113,'Live Data'!$C$20)="","",INDEX(SPOT_Import!$A$1:$Z$2488,113,'Live Data'!$C$20)),"")</f>
        <v>Incomplete</v>
      </c>
      <c r="J113" s="54" t="str">
        <f>IFERROR(IF(INDEX(SPOT_Import!$A$1:$Z$2488,113,'Live Data'!$C$21)="","",INDEX(SPOT_Import!$A$1:$Z$2488,113,'Live Data'!$C$21)),"")</f>
        <v>2026-10-08T19:20:41.000Z</v>
      </c>
      <c r="K113" s="54" t="str">
        <f>IFERROR(IF(INDEX(SPOT_Import!$A$1:$Z$2488,113,'Live Data'!$C$22)="","",INDEX(SPOT_Import!$A$1:$Z$2488,113,'Live Data'!$C$22)),"")</f>
        <v>2026-10-08T19:20:41.000Z</v>
      </c>
      <c r="L113" s="55" t="str">
        <f t="shared" si="2"/>
        <v>2026-10</v>
      </c>
      <c r="M113" s="55" t="str">
        <f t="shared" si="3"/>
        <v>EMBU</v>
      </c>
      <c r="N113" s="55" t="str">
        <f>IF(A113="","",IFERROR(INDEX('Cluster Map'!$A$4:$A$38,MATCH(M113,'Cluster Map'!$B$4:$B$38,0)),"Unmapped"))</f>
        <v>Cluster 2</v>
      </c>
      <c r="O113" s="55">
        <f>IF(A113="",0,IF(COUNTIFS($A$2:A113,A113,$F$2:F113,F113,$L$2:L113,L113)=1,1,0))</f>
        <v>1</v>
      </c>
      <c r="P113" s="55">
        <f>IF(A113="",0,IF(AND(F113="C&amp;T",COUNTIFS($A$2:A113,A113,$F$2:F113,"C&amp;T")=1),1,0))</f>
        <v>0</v>
      </c>
    </row>
    <row r="114" spans="1:16" x14ac:dyDescent="0.35">
      <c r="A114" s="54">
        <f>IFERROR(IF(INDEX(SPOT_Import!$A$1:$Z$2488,114,'Live Data'!$C$12)="","",INDEX(SPOT_Import!$A$1:$Z$2488,114,'Live Data'!$C$12)),"")</f>
        <v>12279</v>
      </c>
      <c r="B114" s="54" t="str">
        <f>IFERROR(IF(INDEX(SPOT_Import!$A$1:$Z$2488,114,'Live Data'!$C$13)="","",INDEX(SPOT_Import!$A$1:$Z$2488,114,'Live Data'!$C$13)),"")</f>
        <v>Kianjokoma Sub-District Hospital</v>
      </c>
      <c r="C114" s="54" t="str">
        <f>IFERROR(IF(INDEX(SPOT_Import!$A$1:$Z$2488,114,'Live Data'!$C$14)="","",INDEX(SPOT_Import!$A$1:$Z$2488,114,'Live Data'!$C$14)),"")</f>
        <v>EMBU</v>
      </c>
      <c r="D114" s="54" t="str">
        <f>IFERROR(IF(INDEX(SPOT_Import!$A$1:$Z$2488,114,'Live Data'!$C$15)="","",INDEX(SPOT_Import!$A$1:$Z$2488,114,'Live Data'!$C$15)),"")</f>
        <v>Runyenjes</v>
      </c>
      <c r="E114" s="54" t="str">
        <f>IFERROR(IF(INDEX(SPOT_Import!$A$1:$Z$2488,114,'Live Data'!$C$16)="","",INDEX(SPOT_Import!$A$1:$Z$2488,114,'Live Data'!$C$16)),"")</f>
        <v>USAID Jamii Tekelezi</v>
      </c>
      <c r="F114" s="54" t="str">
        <f>IFERROR(IF(INDEX(SPOT_Import!$A$1:$Z$2488,114,'Live Data'!$C$17)="","",INDEX(SPOT_Import!$A$1:$Z$2488,114,'Live Data'!$C$17)),"")</f>
        <v>MNCH</v>
      </c>
      <c r="G114" s="54">
        <f>IFERROR(IF(INDEX(SPOT_Import!$A$1:$Z$2488,114,'Live Data'!$C$18)="","",INDEX(SPOT_Import!$A$1:$Z$2488,114,'Live Data'!$C$18)),"")</f>
        <v>56</v>
      </c>
      <c r="H114" s="54" t="str">
        <f>IFERROR(IF(INDEX(SPOT_Import!$A$1:$Z$2488,114,'Live Data'!$C$19)="","",INDEX(SPOT_Import!$A$1:$Z$2488,114,'Live Data'!$C$19)),"")</f>
        <v/>
      </c>
      <c r="I114" s="54" t="str">
        <f>IFERROR(IF(INDEX(SPOT_Import!$A$1:$Z$2488,114,'Live Data'!$C$20)="","",INDEX(SPOT_Import!$A$1:$Z$2488,114,'Live Data'!$C$20)),"")</f>
        <v>Incomplete</v>
      </c>
      <c r="J114" s="54" t="str">
        <f>IFERROR(IF(INDEX(SPOT_Import!$A$1:$Z$2488,114,'Live Data'!$C$21)="","",INDEX(SPOT_Import!$A$1:$Z$2488,114,'Live Data'!$C$21)),"")</f>
        <v>2026-10-08T19:19:43.000Z</v>
      </c>
      <c r="K114" s="54" t="str">
        <f>IFERROR(IF(INDEX(SPOT_Import!$A$1:$Z$2488,114,'Live Data'!$C$22)="","",INDEX(SPOT_Import!$A$1:$Z$2488,114,'Live Data'!$C$22)),"")</f>
        <v>2026-10-08T19:19:43.000Z</v>
      </c>
      <c r="L114" s="55" t="str">
        <f t="shared" si="2"/>
        <v>2026-10</v>
      </c>
      <c r="M114" s="55" t="str">
        <f t="shared" si="3"/>
        <v>EMBU</v>
      </c>
      <c r="N114" s="55" t="str">
        <f>IF(A114="","",IFERROR(INDEX('Cluster Map'!$A$4:$A$38,MATCH(M114,'Cluster Map'!$B$4:$B$38,0)),"Unmapped"))</f>
        <v>Cluster 2</v>
      </c>
      <c r="O114" s="55">
        <f>IF(A114="",0,IF(COUNTIFS($A$2:A114,A114,$F$2:F114,F114,$L$2:L114,L114)=1,1,0))</f>
        <v>1</v>
      </c>
      <c r="P114" s="55">
        <f>IF(A114="",0,IF(AND(F114="C&amp;T",COUNTIFS($A$2:A114,A114,$F$2:F114,"C&amp;T")=1),1,0))</f>
        <v>0</v>
      </c>
    </row>
    <row r="115" spans="1:16" x14ac:dyDescent="0.35">
      <c r="A115" s="54">
        <f>IFERROR(IF(INDEX(SPOT_Import!$A$1:$Z$2488,115,'Live Data'!$C$12)="","",INDEX(SPOT_Import!$A$1:$Z$2488,115,'Live Data'!$C$12)),"")</f>
        <v>12279</v>
      </c>
      <c r="B115" s="54" t="str">
        <f>IFERROR(IF(INDEX(SPOT_Import!$A$1:$Z$2488,115,'Live Data'!$C$13)="","",INDEX(SPOT_Import!$A$1:$Z$2488,115,'Live Data'!$C$13)),"")</f>
        <v>Kianjokoma Sub-District Hospital</v>
      </c>
      <c r="C115" s="54" t="str">
        <f>IFERROR(IF(INDEX(SPOT_Import!$A$1:$Z$2488,115,'Live Data'!$C$14)="","",INDEX(SPOT_Import!$A$1:$Z$2488,115,'Live Data'!$C$14)),"")</f>
        <v>EMBU</v>
      </c>
      <c r="D115" s="54" t="str">
        <f>IFERROR(IF(INDEX(SPOT_Import!$A$1:$Z$2488,115,'Live Data'!$C$15)="","",INDEX(SPOT_Import!$A$1:$Z$2488,115,'Live Data'!$C$15)),"")</f>
        <v>Runyenjes</v>
      </c>
      <c r="E115" s="54" t="str">
        <f>IFERROR(IF(INDEX(SPOT_Import!$A$1:$Z$2488,115,'Live Data'!$C$16)="","",INDEX(SPOT_Import!$A$1:$Z$2488,115,'Live Data'!$C$16)),"")</f>
        <v>USAID Jamii Tekelezi</v>
      </c>
      <c r="F115" s="54" t="str">
        <f>IFERROR(IF(INDEX(SPOT_Import!$A$1:$Z$2488,115,'Live Data'!$C$17)="","",INDEX(SPOT_Import!$A$1:$Z$2488,115,'Live Data'!$C$17)),"")</f>
        <v>HTS</v>
      </c>
      <c r="G115" s="54">
        <f>IFERROR(IF(INDEX(SPOT_Import!$A$1:$Z$2488,115,'Live Data'!$C$18)="","",INDEX(SPOT_Import!$A$1:$Z$2488,115,'Live Data'!$C$18)),"")</f>
        <v>2445</v>
      </c>
      <c r="H115" s="54">
        <f>IFERROR(IF(INDEX(SPOT_Import!$A$1:$Z$2488,115,'Live Data'!$C$19)="","",INDEX(SPOT_Import!$A$1:$Z$2488,115,'Live Data'!$C$19)),"")</f>
        <v>2445</v>
      </c>
      <c r="I115" s="54" t="str">
        <f>IFERROR(IF(INDEX(SPOT_Import!$A$1:$Z$2488,115,'Live Data'!$C$20)="","",INDEX(SPOT_Import!$A$1:$Z$2488,115,'Live Data'!$C$20)),"")</f>
        <v>Complete</v>
      </c>
      <c r="J115" s="54" t="str">
        <f>IFERROR(IF(INDEX(SPOT_Import!$A$1:$Z$2488,115,'Live Data'!$C$21)="","",INDEX(SPOT_Import!$A$1:$Z$2488,115,'Live Data'!$C$21)),"")</f>
        <v>2026-10-08T19:19:39.000Z</v>
      </c>
      <c r="K115" s="54" t="str">
        <f>IFERROR(IF(INDEX(SPOT_Import!$A$1:$Z$2488,115,'Live Data'!$C$22)="","",INDEX(SPOT_Import!$A$1:$Z$2488,115,'Live Data'!$C$22)),"")</f>
        <v>2026-10-08T19:19:39.000Z</v>
      </c>
      <c r="L115" s="55" t="str">
        <f t="shared" si="2"/>
        <v>2026-10</v>
      </c>
      <c r="M115" s="55" t="str">
        <f t="shared" si="3"/>
        <v>EMBU</v>
      </c>
      <c r="N115" s="55" t="str">
        <f>IF(A115="","",IFERROR(INDEX('Cluster Map'!$A$4:$A$38,MATCH(M115,'Cluster Map'!$B$4:$B$38,0)),"Unmapped"))</f>
        <v>Cluster 2</v>
      </c>
      <c r="O115" s="55">
        <f>IF(A115="",0,IF(COUNTIFS($A$2:A115,A115,$F$2:F115,F115,$L$2:L115,L115)=1,1,0))</f>
        <v>1</v>
      </c>
      <c r="P115" s="55">
        <f>IF(A115="",0,IF(AND(F115="C&amp;T",COUNTIFS($A$2:A115,A115,$F$2:F115,"C&amp;T")=1),1,0))</f>
        <v>0</v>
      </c>
    </row>
    <row r="116" spans="1:16" x14ac:dyDescent="0.35">
      <c r="A116" s="54">
        <f>IFERROR(IF(INDEX(SPOT_Import!$A$1:$Z$2488,116,'Live Data'!$C$12)="","",INDEX(SPOT_Import!$A$1:$Z$2488,116,'Live Data'!$C$12)),"")</f>
        <v>12279</v>
      </c>
      <c r="B116" s="54" t="str">
        <f>IFERROR(IF(INDEX(SPOT_Import!$A$1:$Z$2488,116,'Live Data'!$C$13)="","",INDEX(SPOT_Import!$A$1:$Z$2488,116,'Live Data'!$C$13)),"")</f>
        <v>Kianjokoma Sub-District Hospital</v>
      </c>
      <c r="C116" s="54" t="str">
        <f>IFERROR(IF(INDEX(SPOT_Import!$A$1:$Z$2488,116,'Live Data'!$C$14)="","",INDEX(SPOT_Import!$A$1:$Z$2488,116,'Live Data'!$C$14)),"")</f>
        <v>EMBU</v>
      </c>
      <c r="D116" s="54" t="str">
        <f>IFERROR(IF(INDEX(SPOT_Import!$A$1:$Z$2488,116,'Live Data'!$C$15)="","",INDEX(SPOT_Import!$A$1:$Z$2488,116,'Live Data'!$C$15)),"")</f>
        <v>Runyenjes</v>
      </c>
      <c r="E116" s="54" t="str">
        <f>IFERROR(IF(INDEX(SPOT_Import!$A$1:$Z$2488,116,'Live Data'!$C$16)="","",INDEX(SPOT_Import!$A$1:$Z$2488,116,'Live Data'!$C$16)),"")</f>
        <v>USAID Jamii Tekelezi</v>
      </c>
      <c r="F116" s="54" t="str">
        <f>IFERROR(IF(INDEX(SPOT_Import!$A$1:$Z$2488,116,'Live Data'!$C$17)="","",INDEX(SPOT_Import!$A$1:$Z$2488,116,'Live Data'!$C$17)),"")</f>
        <v>C&amp;T</v>
      </c>
      <c r="G116" s="54">
        <f>IFERROR(IF(INDEX(SPOT_Import!$A$1:$Z$2488,116,'Live Data'!$C$18)="","",INDEX(SPOT_Import!$A$1:$Z$2488,116,'Live Data'!$C$18)),"")</f>
        <v>1062</v>
      </c>
      <c r="H116" s="54">
        <f>IFERROR(IF(INDEX(SPOT_Import!$A$1:$Z$2488,116,'Live Data'!$C$19)="","",INDEX(SPOT_Import!$A$1:$Z$2488,116,'Live Data'!$C$19)),"")</f>
        <v>1062</v>
      </c>
      <c r="I116" s="54" t="str">
        <f>IFERROR(IF(INDEX(SPOT_Import!$A$1:$Z$2488,116,'Live Data'!$C$20)="","",INDEX(SPOT_Import!$A$1:$Z$2488,116,'Live Data'!$C$20)),"")</f>
        <v>Complete</v>
      </c>
      <c r="J116" s="54" t="str">
        <f>IFERROR(IF(INDEX(SPOT_Import!$A$1:$Z$2488,116,'Live Data'!$C$21)="","",INDEX(SPOT_Import!$A$1:$Z$2488,116,'Live Data'!$C$21)),"")</f>
        <v>2026-10-08T18:56:34.000Z</v>
      </c>
      <c r="K116" s="54" t="str">
        <f>IFERROR(IF(INDEX(SPOT_Import!$A$1:$Z$2488,116,'Live Data'!$C$22)="","",INDEX(SPOT_Import!$A$1:$Z$2488,116,'Live Data'!$C$22)),"")</f>
        <v>2026-10-08T18:56:34.000Z</v>
      </c>
      <c r="L116" s="55" t="str">
        <f t="shared" si="2"/>
        <v>2026-10</v>
      </c>
      <c r="M116" s="55" t="str">
        <f t="shared" si="3"/>
        <v>EMBU</v>
      </c>
      <c r="N116" s="55" t="str">
        <f>IF(A116="","",IFERROR(INDEX('Cluster Map'!$A$4:$A$38,MATCH(M116,'Cluster Map'!$B$4:$B$38,0)),"Unmapped"))</f>
        <v>Cluster 2</v>
      </c>
      <c r="O116" s="55">
        <f>IF(A116="",0,IF(COUNTIFS($A$2:A116,A116,$F$2:F116,F116,$L$2:L116,L116)=1,1,0))</f>
        <v>1</v>
      </c>
      <c r="P116" s="55">
        <f>IF(A116="",0,IF(AND(F116="C&amp;T",COUNTIFS($A$2:A116,A116,$F$2:F116,"C&amp;T")=1),1,0))</f>
        <v>1</v>
      </c>
    </row>
    <row r="117" spans="1:16" x14ac:dyDescent="0.35">
      <c r="A117" s="54">
        <f>IFERROR(IF(INDEX(SPOT_Import!$A$1:$Z$2488,117,'Live Data'!$C$12)="","",INDEX(SPOT_Import!$A$1:$Z$2488,117,'Live Data'!$C$12)),"")</f>
        <v>12516</v>
      </c>
      <c r="B117" s="54" t="str">
        <f>IFERROR(IF(INDEX(SPOT_Import!$A$1:$Z$2488,117,'Live Data'!$C$13)="","",INDEX(SPOT_Import!$A$1:$Z$2488,117,'Live Data'!$C$13)),"")</f>
        <v>Meru District hospital</v>
      </c>
      <c r="C117" s="54" t="str">
        <f>IFERROR(IF(INDEX(SPOT_Import!$A$1:$Z$2488,117,'Live Data'!$C$14)="","",INDEX(SPOT_Import!$A$1:$Z$2488,117,'Live Data'!$C$14)),"")</f>
        <v>MERU</v>
      </c>
      <c r="D117" s="54" t="str">
        <f>IFERROR(IF(INDEX(SPOT_Import!$A$1:$Z$2488,117,'Live Data'!$C$15)="","",INDEX(SPOT_Import!$A$1:$Z$2488,117,'Live Data'!$C$15)),"")</f>
        <v>Imenti North</v>
      </c>
      <c r="E117" s="54" t="str">
        <f>IFERROR(IF(INDEX(SPOT_Import!$A$1:$Z$2488,117,'Live Data'!$C$16)="","",INDEX(SPOT_Import!$A$1:$Z$2488,117,'Live Data'!$C$16)),"")</f>
        <v>USAID Jamii Tekelezi</v>
      </c>
      <c r="F117" s="54" t="str">
        <f>IFERROR(IF(INDEX(SPOT_Import!$A$1:$Z$2488,117,'Live Data'!$C$17)="","",INDEX(SPOT_Import!$A$1:$Z$2488,117,'Live Data'!$C$17)),"")</f>
        <v>MNCH</v>
      </c>
      <c r="G117" s="54">
        <f>IFERROR(IF(INDEX(SPOT_Import!$A$1:$Z$2488,117,'Live Data'!$C$18)="","",INDEX(SPOT_Import!$A$1:$Z$2488,117,'Live Data'!$C$18)),"")</f>
        <v>1140</v>
      </c>
      <c r="H117" s="54">
        <f>IFERROR(IF(INDEX(SPOT_Import!$A$1:$Z$2488,117,'Live Data'!$C$19)="","",INDEX(SPOT_Import!$A$1:$Z$2488,117,'Live Data'!$C$19)),"")</f>
        <v>1140</v>
      </c>
      <c r="I117" s="54" t="str">
        <f>IFERROR(IF(INDEX(SPOT_Import!$A$1:$Z$2488,117,'Live Data'!$C$20)="","",INDEX(SPOT_Import!$A$1:$Z$2488,117,'Live Data'!$C$20)),"")</f>
        <v>Complete</v>
      </c>
      <c r="J117" s="54" t="str">
        <f>IFERROR(IF(INDEX(SPOT_Import!$A$1:$Z$2488,117,'Live Data'!$C$21)="","",INDEX(SPOT_Import!$A$1:$Z$2488,117,'Live Data'!$C$21)),"")</f>
        <v>2026-10-08T16:40:40.000Z</v>
      </c>
      <c r="K117" s="54" t="str">
        <f>IFERROR(IF(INDEX(SPOT_Import!$A$1:$Z$2488,117,'Live Data'!$C$22)="","",INDEX(SPOT_Import!$A$1:$Z$2488,117,'Live Data'!$C$22)),"")</f>
        <v>2026-10-08T16:40:40.000Z</v>
      </c>
      <c r="L117" s="55" t="str">
        <f t="shared" si="2"/>
        <v>2026-10</v>
      </c>
      <c r="M117" s="55" t="str">
        <f t="shared" si="3"/>
        <v>MERU</v>
      </c>
      <c r="N117" s="55" t="str">
        <f>IF(A117="","",IFERROR(INDEX('Cluster Map'!$A$4:$A$38,MATCH(M117,'Cluster Map'!$B$4:$B$38,0)),"Unmapped"))</f>
        <v>Cluster 1</v>
      </c>
      <c r="O117" s="55">
        <f>IF(A117="",0,IF(COUNTIFS($A$2:A117,A117,$F$2:F117,F117,$L$2:L117,L117)=1,1,0))</f>
        <v>1</v>
      </c>
      <c r="P117" s="55">
        <f>IF(A117="",0,IF(AND(F117="C&amp;T",COUNTIFS($A$2:A117,A117,$F$2:F117,"C&amp;T")=1),1,0))</f>
        <v>0</v>
      </c>
    </row>
    <row r="118" spans="1:16" x14ac:dyDescent="0.35">
      <c r="A118" s="54">
        <f>IFERROR(IF(INDEX(SPOT_Import!$A$1:$Z$2488,118,'Live Data'!$C$12)="","",INDEX(SPOT_Import!$A$1:$Z$2488,118,'Live Data'!$C$12)),"")</f>
        <v>12516</v>
      </c>
      <c r="B118" s="54" t="str">
        <f>IFERROR(IF(INDEX(SPOT_Import!$A$1:$Z$2488,118,'Live Data'!$C$13)="","",INDEX(SPOT_Import!$A$1:$Z$2488,118,'Live Data'!$C$13)),"")</f>
        <v>Meru District hospital</v>
      </c>
      <c r="C118" s="54" t="str">
        <f>IFERROR(IF(INDEX(SPOT_Import!$A$1:$Z$2488,118,'Live Data'!$C$14)="","",INDEX(SPOT_Import!$A$1:$Z$2488,118,'Live Data'!$C$14)),"")</f>
        <v>MERU</v>
      </c>
      <c r="D118" s="54" t="str">
        <f>IFERROR(IF(INDEX(SPOT_Import!$A$1:$Z$2488,118,'Live Data'!$C$15)="","",INDEX(SPOT_Import!$A$1:$Z$2488,118,'Live Data'!$C$15)),"")</f>
        <v>Imenti North</v>
      </c>
      <c r="E118" s="54" t="str">
        <f>IFERROR(IF(INDEX(SPOT_Import!$A$1:$Z$2488,118,'Live Data'!$C$16)="","",INDEX(SPOT_Import!$A$1:$Z$2488,118,'Live Data'!$C$16)),"")</f>
        <v>USAID Jamii Tekelezi</v>
      </c>
      <c r="F118" s="54" t="str">
        <f>IFERROR(IF(INDEX(SPOT_Import!$A$1:$Z$2488,118,'Live Data'!$C$17)="","",INDEX(SPOT_Import!$A$1:$Z$2488,118,'Live Data'!$C$17)),"")</f>
        <v>PREP</v>
      </c>
      <c r="G118" s="54">
        <f>IFERROR(IF(INDEX(SPOT_Import!$A$1:$Z$2488,118,'Live Data'!$C$18)="","",INDEX(SPOT_Import!$A$1:$Z$2488,118,'Live Data'!$C$18)),"")</f>
        <v>1491</v>
      </c>
      <c r="H118" s="54">
        <f>IFERROR(IF(INDEX(SPOT_Import!$A$1:$Z$2488,118,'Live Data'!$C$19)="","",INDEX(SPOT_Import!$A$1:$Z$2488,118,'Live Data'!$C$19)),"")</f>
        <v>1200</v>
      </c>
      <c r="I118" s="54" t="str">
        <f>IFERROR(IF(INDEX(SPOT_Import!$A$1:$Z$2488,118,'Live Data'!$C$20)="","",INDEX(SPOT_Import!$A$1:$Z$2488,118,'Live Data'!$C$20)),"")</f>
        <v>Incomplete</v>
      </c>
      <c r="J118" s="54" t="str">
        <f>IFERROR(IF(INDEX(SPOT_Import!$A$1:$Z$2488,118,'Live Data'!$C$21)="","",INDEX(SPOT_Import!$A$1:$Z$2488,118,'Live Data'!$C$21)),"")</f>
        <v>2026-10-08T16:26:12.000Z</v>
      </c>
      <c r="K118" s="54" t="str">
        <f>IFERROR(IF(INDEX(SPOT_Import!$A$1:$Z$2488,118,'Live Data'!$C$22)="","",INDEX(SPOT_Import!$A$1:$Z$2488,118,'Live Data'!$C$22)),"")</f>
        <v>2026-10-08T16:26:12.000Z</v>
      </c>
      <c r="L118" s="55" t="str">
        <f t="shared" si="2"/>
        <v>2026-10</v>
      </c>
      <c r="M118" s="55" t="str">
        <f t="shared" si="3"/>
        <v>MERU</v>
      </c>
      <c r="N118" s="55" t="str">
        <f>IF(A118="","",IFERROR(INDEX('Cluster Map'!$A$4:$A$38,MATCH(M118,'Cluster Map'!$B$4:$B$38,0)),"Unmapped"))</f>
        <v>Cluster 1</v>
      </c>
      <c r="O118" s="55">
        <f>IF(A118="",0,IF(COUNTIFS($A$2:A118,A118,$F$2:F118,F118,$L$2:L118,L118)=1,1,0))</f>
        <v>1</v>
      </c>
      <c r="P118" s="55">
        <f>IF(A118="",0,IF(AND(F118="C&amp;T",COUNTIFS($A$2:A118,A118,$F$2:F118,"C&amp;T")=1),1,0))</f>
        <v>0</v>
      </c>
    </row>
    <row r="119" spans="1:16" x14ac:dyDescent="0.35">
      <c r="A119" s="54">
        <f>IFERROR(IF(INDEX(SPOT_Import!$A$1:$Z$2488,119,'Live Data'!$C$12)="","",INDEX(SPOT_Import!$A$1:$Z$2488,119,'Live Data'!$C$12)),"")</f>
        <v>12179</v>
      </c>
      <c r="B119" s="54" t="str">
        <f>IFERROR(IF(INDEX(SPOT_Import!$A$1:$Z$2488,119,'Live Data'!$C$13)="","",INDEX(SPOT_Import!$A$1:$Z$2488,119,'Live Data'!$C$13)),"")</f>
        <v>Kanja Health Centre</v>
      </c>
      <c r="C119" s="54" t="str">
        <f>IFERROR(IF(INDEX(SPOT_Import!$A$1:$Z$2488,119,'Live Data'!$C$14)="","",INDEX(SPOT_Import!$A$1:$Z$2488,119,'Live Data'!$C$14)),"")</f>
        <v>EMBU</v>
      </c>
      <c r="D119" s="54" t="str">
        <f>IFERROR(IF(INDEX(SPOT_Import!$A$1:$Z$2488,119,'Live Data'!$C$15)="","",INDEX(SPOT_Import!$A$1:$Z$2488,119,'Live Data'!$C$15)),"")</f>
        <v>Runyenjes</v>
      </c>
      <c r="E119" s="54" t="str">
        <f>IFERROR(IF(INDEX(SPOT_Import!$A$1:$Z$2488,119,'Live Data'!$C$16)="","",INDEX(SPOT_Import!$A$1:$Z$2488,119,'Live Data'!$C$16)),"")</f>
        <v>USAID Jamii Tekelezi</v>
      </c>
      <c r="F119" s="54" t="str">
        <f>IFERROR(IF(INDEX(SPOT_Import!$A$1:$Z$2488,119,'Live Data'!$C$17)="","",INDEX(SPOT_Import!$A$1:$Z$2488,119,'Live Data'!$C$17)),"")</f>
        <v>C&amp;T</v>
      </c>
      <c r="G119" s="54">
        <f>IFERROR(IF(INDEX(SPOT_Import!$A$1:$Z$2488,119,'Live Data'!$C$18)="","",INDEX(SPOT_Import!$A$1:$Z$2488,119,'Live Data'!$C$18)),"")</f>
        <v>249</v>
      </c>
      <c r="H119" s="54">
        <f>IFERROR(IF(INDEX(SPOT_Import!$A$1:$Z$2488,119,'Live Data'!$C$19)="","",INDEX(SPOT_Import!$A$1:$Z$2488,119,'Live Data'!$C$19)),"")</f>
        <v>249</v>
      </c>
      <c r="I119" s="54" t="str">
        <f>IFERROR(IF(INDEX(SPOT_Import!$A$1:$Z$2488,119,'Live Data'!$C$20)="","",INDEX(SPOT_Import!$A$1:$Z$2488,119,'Live Data'!$C$20)),"")</f>
        <v>Complete</v>
      </c>
      <c r="J119" s="54" t="str">
        <f>IFERROR(IF(INDEX(SPOT_Import!$A$1:$Z$2488,119,'Live Data'!$C$21)="","",INDEX(SPOT_Import!$A$1:$Z$2488,119,'Live Data'!$C$21)),"")</f>
        <v>2026-10-08T15:05:24.000Z</v>
      </c>
      <c r="K119" s="54" t="str">
        <f>IFERROR(IF(INDEX(SPOT_Import!$A$1:$Z$2488,119,'Live Data'!$C$22)="","",INDEX(SPOT_Import!$A$1:$Z$2488,119,'Live Data'!$C$22)),"")</f>
        <v>2026-10-08T15:05:24.000Z</v>
      </c>
      <c r="L119" s="55" t="str">
        <f t="shared" si="2"/>
        <v>2026-10</v>
      </c>
      <c r="M119" s="55" t="str">
        <f t="shared" si="3"/>
        <v>EMBU</v>
      </c>
      <c r="N119" s="55" t="str">
        <f>IF(A119="","",IFERROR(INDEX('Cluster Map'!$A$4:$A$38,MATCH(M119,'Cluster Map'!$B$4:$B$38,0)),"Unmapped"))</f>
        <v>Cluster 2</v>
      </c>
      <c r="O119" s="55">
        <f>IF(A119="",0,IF(COUNTIFS($A$2:A119,A119,$F$2:F119,F119,$L$2:L119,L119)=1,1,0))</f>
        <v>1</v>
      </c>
      <c r="P119" s="55">
        <f>IF(A119="",0,IF(AND(F119="C&amp;T",COUNTIFS($A$2:A119,A119,$F$2:F119,"C&amp;T")=1),1,0))</f>
        <v>1</v>
      </c>
    </row>
    <row r="120" spans="1:16" x14ac:dyDescent="0.35">
      <c r="A120" s="54">
        <f>IFERROR(IF(INDEX(SPOT_Import!$A$1:$Z$2488,120,'Live Data'!$C$12)="","",INDEX(SPOT_Import!$A$1:$Z$2488,120,'Live Data'!$C$12)),"")</f>
        <v>12179</v>
      </c>
      <c r="B120" s="54" t="str">
        <f>IFERROR(IF(INDEX(SPOT_Import!$A$1:$Z$2488,120,'Live Data'!$C$13)="","",INDEX(SPOT_Import!$A$1:$Z$2488,120,'Live Data'!$C$13)),"")</f>
        <v>Kanja Health Centre</v>
      </c>
      <c r="C120" s="54" t="str">
        <f>IFERROR(IF(INDEX(SPOT_Import!$A$1:$Z$2488,120,'Live Data'!$C$14)="","",INDEX(SPOT_Import!$A$1:$Z$2488,120,'Live Data'!$C$14)),"")</f>
        <v>EMBU</v>
      </c>
      <c r="D120" s="54" t="str">
        <f>IFERROR(IF(INDEX(SPOT_Import!$A$1:$Z$2488,120,'Live Data'!$C$15)="","",INDEX(SPOT_Import!$A$1:$Z$2488,120,'Live Data'!$C$15)),"")</f>
        <v>Runyenjes</v>
      </c>
      <c r="E120" s="54" t="str">
        <f>IFERROR(IF(INDEX(SPOT_Import!$A$1:$Z$2488,120,'Live Data'!$C$16)="","",INDEX(SPOT_Import!$A$1:$Z$2488,120,'Live Data'!$C$16)),"")</f>
        <v>USAID Jamii Tekelezi</v>
      </c>
      <c r="F120" s="54" t="str">
        <f>IFERROR(IF(INDEX(SPOT_Import!$A$1:$Z$2488,120,'Live Data'!$C$17)="","",INDEX(SPOT_Import!$A$1:$Z$2488,120,'Live Data'!$C$17)),"")</f>
        <v>PREP</v>
      </c>
      <c r="G120" s="54">
        <f>IFERROR(IF(INDEX(SPOT_Import!$A$1:$Z$2488,120,'Live Data'!$C$18)="","",INDEX(SPOT_Import!$A$1:$Z$2488,120,'Live Data'!$C$18)),"")</f>
        <v>11</v>
      </c>
      <c r="H120" s="54" t="str">
        <f>IFERROR(IF(INDEX(SPOT_Import!$A$1:$Z$2488,120,'Live Data'!$C$19)="","",INDEX(SPOT_Import!$A$1:$Z$2488,120,'Live Data'!$C$19)),"")</f>
        <v/>
      </c>
      <c r="I120" s="54" t="str">
        <f>IFERROR(IF(INDEX(SPOT_Import!$A$1:$Z$2488,120,'Live Data'!$C$20)="","",INDEX(SPOT_Import!$A$1:$Z$2488,120,'Live Data'!$C$20)),"")</f>
        <v>Incomplete</v>
      </c>
      <c r="J120" s="54" t="str">
        <f>IFERROR(IF(INDEX(SPOT_Import!$A$1:$Z$2488,120,'Live Data'!$C$21)="","",INDEX(SPOT_Import!$A$1:$Z$2488,120,'Live Data'!$C$21)),"")</f>
        <v>2026-10-08T14:32:52.000Z</v>
      </c>
      <c r="K120" s="54" t="str">
        <f>IFERROR(IF(INDEX(SPOT_Import!$A$1:$Z$2488,120,'Live Data'!$C$22)="","",INDEX(SPOT_Import!$A$1:$Z$2488,120,'Live Data'!$C$22)),"")</f>
        <v>2026-10-08T14:32:52.000Z</v>
      </c>
      <c r="L120" s="55" t="str">
        <f t="shared" si="2"/>
        <v>2026-10</v>
      </c>
      <c r="M120" s="55" t="str">
        <f t="shared" si="3"/>
        <v>EMBU</v>
      </c>
      <c r="N120" s="55" t="str">
        <f>IF(A120="","",IFERROR(INDEX('Cluster Map'!$A$4:$A$38,MATCH(M120,'Cluster Map'!$B$4:$B$38,0)),"Unmapped"))</f>
        <v>Cluster 2</v>
      </c>
      <c r="O120" s="55">
        <f>IF(A120="",0,IF(COUNTIFS($A$2:A120,A120,$F$2:F120,F120,$L$2:L120,L120)=1,1,0))</f>
        <v>1</v>
      </c>
      <c r="P120" s="55">
        <f>IF(A120="",0,IF(AND(F120="C&amp;T",COUNTIFS($A$2:A120,A120,$F$2:F120,"C&amp;T")=1),1,0))</f>
        <v>0</v>
      </c>
    </row>
    <row r="121" spans="1:16" x14ac:dyDescent="0.35">
      <c r="A121" s="54">
        <f>IFERROR(IF(INDEX(SPOT_Import!$A$1:$Z$2488,121,'Live Data'!$C$12)="","",INDEX(SPOT_Import!$A$1:$Z$2488,121,'Live Data'!$C$12)),"")</f>
        <v>12179</v>
      </c>
      <c r="B121" s="54" t="str">
        <f>IFERROR(IF(INDEX(SPOT_Import!$A$1:$Z$2488,121,'Live Data'!$C$13)="","",INDEX(SPOT_Import!$A$1:$Z$2488,121,'Live Data'!$C$13)),"")</f>
        <v>Kanja Health Centre</v>
      </c>
      <c r="C121" s="54" t="str">
        <f>IFERROR(IF(INDEX(SPOT_Import!$A$1:$Z$2488,121,'Live Data'!$C$14)="","",INDEX(SPOT_Import!$A$1:$Z$2488,121,'Live Data'!$C$14)),"")</f>
        <v>EMBU</v>
      </c>
      <c r="D121" s="54" t="str">
        <f>IFERROR(IF(INDEX(SPOT_Import!$A$1:$Z$2488,121,'Live Data'!$C$15)="","",INDEX(SPOT_Import!$A$1:$Z$2488,121,'Live Data'!$C$15)),"")</f>
        <v>Runyenjes</v>
      </c>
      <c r="E121" s="54" t="str">
        <f>IFERROR(IF(INDEX(SPOT_Import!$A$1:$Z$2488,121,'Live Data'!$C$16)="","",INDEX(SPOT_Import!$A$1:$Z$2488,121,'Live Data'!$C$16)),"")</f>
        <v>USAID Jamii Tekelezi</v>
      </c>
      <c r="F121" s="54" t="str">
        <f>IFERROR(IF(INDEX(SPOT_Import!$A$1:$Z$2488,121,'Live Data'!$C$17)="","",INDEX(SPOT_Import!$A$1:$Z$2488,121,'Live Data'!$C$17)),"")</f>
        <v>MNCH</v>
      </c>
      <c r="G121" s="54">
        <f>IFERROR(IF(INDEX(SPOT_Import!$A$1:$Z$2488,121,'Live Data'!$C$18)="","",INDEX(SPOT_Import!$A$1:$Z$2488,121,'Live Data'!$C$18)),"")</f>
        <v>16</v>
      </c>
      <c r="H121" s="54" t="str">
        <f>IFERROR(IF(INDEX(SPOT_Import!$A$1:$Z$2488,121,'Live Data'!$C$19)="","",INDEX(SPOT_Import!$A$1:$Z$2488,121,'Live Data'!$C$19)),"")</f>
        <v/>
      </c>
      <c r="I121" s="54" t="str">
        <f>IFERROR(IF(INDEX(SPOT_Import!$A$1:$Z$2488,121,'Live Data'!$C$20)="","",INDEX(SPOT_Import!$A$1:$Z$2488,121,'Live Data'!$C$20)),"")</f>
        <v>Incomplete</v>
      </c>
      <c r="J121" s="54" t="str">
        <f>IFERROR(IF(INDEX(SPOT_Import!$A$1:$Z$2488,121,'Live Data'!$C$21)="","",INDEX(SPOT_Import!$A$1:$Z$2488,121,'Live Data'!$C$21)),"")</f>
        <v>2026-10-08T14:32:44.000Z</v>
      </c>
      <c r="K121" s="54" t="str">
        <f>IFERROR(IF(INDEX(SPOT_Import!$A$1:$Z$2488,121,'Live Data'!$C$22)="","",INDEX(SPOT_Import!$A$1:$Z$2488,121,'Live Data'!$C$22)),"")</f>
        <v>2026-10-08T14:32:44.000Z</v>
      </c>
      <c r="L121" s="55" t="str">
        <f t="shared" si="2"/>
        <v>2026-10</v>
      </c>
      <c r="M121" s="55" t="str">
        <f t="shared" si="3"/>
        <v>EMBU</v>
      </c>
      <c r="N121" s="55" t="str">
        <f>IF(A121="","",IFERROR(INDEX('Cluster Map'!$A$4:$A$38,MATCH(M121,'Cluster Map'!$B$4:$B$38,0)),"Unmapped"))</f>
        <v>Cluster 2</v>
      </c>
      <c r="O121" s="55">
        <f>IF(A121="",0,IF(COUNTIFS($A$2:A121,A121,$F$2:F121,F121,$L$2:L121,L121)=1,1,0))</f>
        <v>1</v>
      </c>
      <c r="P121" s="55">
        <f>IF(A121="",0,IF(AND(F121="C&amp;T",COUNTIFS($A$2:A121,A121,$F$2:F121,"C&amp;T")=1),1,0))</f>
        <v>0</v>
      </c>
    </row>
    <row r="122" spans="1:16" x14ac:dyDescent="0.35">
      <c r="A122" s="54">
        <f>IFERROR(IF(INDEX(SPOT_Import!$A$1:$Z$2488,122,'Live Data'!$C$12)="","",INDEX(SPOT_Import!$A$1:$Z$2488,122,'Live Data'!$C$12)),"")</f>
        <v>12179</v>
      </c>
      <c r="B122" s="54" t="str">
        <f>IFERROR(IF(INDEX(SPOT_Import!$A$1:$Z$2488,122,'Live Data'!$C$13)="","",INDEX(SPOT_Import!$A$1:$Z$2488,122,'Live Data'!$C$13)),"")</f>
        <v>Kanja Health Centre</v>
      </c>
      <c r="C122" s="54" t="str">
        <f>IFERROR(IF(INDEX(SPOT_Import!$A$1:$Z$2488,122,'Live Data'!$C$14)="","",INDEX(SPOT_Import!$A$1:$Z$2488,122,'Live Data'!$C$14)),"")</f>
        <v>EMBU</v>
      </c>
      <c r="D122" s="54" t="str">
        <f>IFERROR(IF(INDEX(SPOT_Import!$A$1:$Z$2488,122,'Live Data'!$C$15)="","",INDEX(SPOT_Import!$A$1:$Z$2488,122,'Live Data'!$C$15)),"")</f>
        <v>Runyenjes</v>
      </c>
      <c r="E122" s="54" t="str">
        <f>IFERROR(IF(INDEX(SPOT_Import!$A$1:$Z$2488,122,'Live Data'!$C$16)="","",INDEX(SPOT_Import!$A$1:$Z$2488,122,'Live Data'!$C$16)),"")</f>
        <v>USAID Jamii Tekelezi</v>
      </c>
      <c r="F122" s="54" t="str">
        <f>IFERROR(IF(INDEX(SPOT_Import!$A$1:$Z$2488,122,'Live Data'!$C$17)="","",INDEX(SPOT_Import!$A$1:$Z$2488,122,'Live Data'!$C$17)),"")</f>
        <v>HTS</v>
      </c>
      <c r="G122" s="54">
        <f>IFERROR(IF(INDEX(SPOT_Import!$A$1:$Z$2488,122,'Live Data'!$C$18)="","",INDEX(SPOT_Import!$A$1:$Z$2488,122,'Live Data'!$C$18)),"")</f>
        <v>67</v>
      </c>
      <c r="H122" s="54" t="str">
        <f>IFERROR(IF(INDEX(SPOT_Import!$A$1:$Z$2488,122,'Live Data'!$C$19)="","",INDEX(SPOT_Import!$A$1:$Z$2488,122,'Live Data'!$C$19)),"")</f>
        <v/>
      </c>
      <c r="I122" s="54" t="str">
        <f>IFERROR(IF(INDEX(SPOT_Import!$A$1:$Z$2488,122,'Live Data'!$C$20)="","",INDEX(SPOT_Import!$A$1:$Z$2488,122,'Live Data'!$C$20)),"")</f>
        <v>Complete</v>
      </c>
      <c r="J122" s="54" t="str">
        <f>IFERROR(IF(INDEX(SPOT_Import!$A$1:$Z$2488,122,'Live Data'!$C$21)="","",INDEX(SPOT_Import!$A$1:$Z$2488,122,'Live Data'!$C$21)),"")</f>
        <v>2026-10-08T14:32:37.000Z</v>
      </c>
      <c r="K122" s="54" t="str">
        <f>IFERROR(IF(INDEX(SPOT_Import!$A$1:$Z$2488,122,'Live Data'!$C$22)="","",INDEX(SPOT_Import!$A$1:$Z$2488,122,'Live Data'!$C$22)),"")</f>
        <v>2026-10-08T14:32:37.000Z</v>
      </c>
      <c r="L122" s="55" t="str">
        <f t="shared" si="2"/>
        <v>2026-10</v>
      </c>
      <c r="M122" s="55" t="str">
        <f t="shared" si="3"/>
        <v>EMBU</v>
      </c>
      <c r="N122" s="55" t="str">
        <f>IF(A122="","",IFERROR(INDEX('Cluster Map'!$A$4:$A$38,MATCH(M122,'Cluster Map'!$B$4:$B$38,0)),"Unmapped"))</f>
        <v>Cluster 2</v>
      </c>
      <c r="O122" s="55">
        <f>IF(A122="",0,IF(COUNTIFS($A$2:A122,A122,$F$2:F122,F122,$L$2:L122,L122)=1,1,0))</f>
        <v>1</v>
      </c>
      <c r="P122" s="55">
        <f>IF(A122="",0,IF(AND(F122="C&amp;T",COUNTIFS($A$2:A122,A122,$F$2:F122,"C&amp;T")=1),1,0))</f>
        <v>0</v>
      </c>
    </row>
    <row r="123" spans="1:16" x14ac:dyDescent="0.35">
      <c r="A123" s="54">
        <f>IFERROR(IF(INDEX(SPOT_Import!$A$1:$Z$2488,123,'Live Data'!$C$12)="","",INDEX(SPOT_Import!$A$1:$Z$2488,123,'Live Data'!$C$12)),"")</f>
        <v>12516</v>
      </c>
      <c r="B123" s="54" t="str">
        <f>IFERROR(IF(INDEX(SPOT_Import!$A$1:$Z$2488,123,'Live Data'!$C$13)="","",INDEX(SPOT_Import!$A$1:$Z$2488,123,'Live Data'!$C$13)),"")</f>
        <v>Meru District hospital</v>
      </c>
      <c r="C123" s="54" t="str">
        <f>IFERROR(IF(INDEX(SPOT_Import!$A$1:$Z$2488,123,'Live Data'!$C$14)="","",INDEX(SPOT_Import!$A$1:$Z$2488,123,'Live Data'!$C$14)),"")</f>
        <v>MERU</v>
      </c>
      <c r="D123" s="54" t="str">
        <f>IFERROR(IF(INDEX(SPOT_Import!$A$1:$Z$2488,123,'Live Data'!$C$15)="","",INDEX(SPOT_Import!$A$1:$Z$2488,123,'Live Data'!$C$15)),"")</f>
        <v>Imenti North</v>
      </c>
      <c r="E123" s="54" t="str">
        <f>IFERROR(IF(INDEX(SPOT_Import!$A$1:$Z$2488,123,'Live Data'!$C$16)="","",INDEX(SPOT_Import!$A$1:$Z$2488,123,'Live Data'!$C$16)),"")</f>
        <v>USAID Jamii Tekelezi</v>
      </c>
      <c r="F123" s="54" t="str">
        <f>IFERROR(IF(INDEX(SPOT_Import!$A$1:$Z$2488,123,'Live Data'!$C$17)="","",INDEX(SPOT_Import!$A$1:$Z$2488,123,'Live Data'!$C$17)),"")</f>
        <v>HTS</v>
      </c>
      <c r="G123" s="54">
        <f>IFERROR(IF(INDEX(SPOT_Import!$A$1:$Z$2488,123,'Live Data'!$C$18)="","",INDEX(SPOT_Import!$A$1:$Z$2488,123,'Live Data'!$C$18)),"")</f>
        <v>14774</v>
      </c>
      <c r="H123" s="54">
        <f>IFERROR(IF(INDEX(SPOT_Import!$A$1:$Z$2488,123,'Live Data'!$C$19)="","",INDEX(SPOT_Import!$A$1:$Z$2488,123,'Live Data'!$C$19)),"")</f>
        <v>14774</v>
      </c>
      <c r="I123" s="54" t="str">
        <f>IFERROR(IF(INDEX(SPOT_Import!$A$1:$Z$2488,123,'Live Data'!$C$20)="","",INDEX(SPOT_Import!$A$1:$Z$2488,123,'Live Data'!$C$20)),"")</f>
        <v>Complete</v>
      </c>
      <c r="J123" s="54" t="str">
        <f>IFERROR(IF(INDEX(SPOT_Import!$A$1:$Z$2488,123,'Live Data'!$C$21)="","",INDEX(SPOT_Import!$A$1:$Z$2488,123,'Live Data'!$C$21)),"")</f>
        <v>2026-10-08T13:33:02.000Z</v>
      </c>
      <c r="K123" s="54" t="str">
        <f>IFERROR(IF(INDEX(SPOT_Import!$A$1:$Z$2488,123,'Live Data'!$C$22)="","",INDEX(SPOT_Import!$A$1:$Z$2488,123,'Live Data'!$C$22)),"")</f>
        <v>2026-10-08T13:33:02.000Z</v>
      </c>
      <c r="L123" s="55" t="str">
        <f t="shared" si="2"/>
        <v>2026-10</v>
      </c>
      <c r="M123" s="55" t="str">
        <f t="shared" si="3"/>
        <v>MERU</v>
      </c>
      <c r="N123" s="55" t="str">
        <f>IF(A123="","",IFERROR(INDEX('Cluster Map'!$A$4:$A$38,MATCH(M123,'Cluster Map'!$B$4:$B$38,0)),"Unmapped"))</f>
        <v>Cluster 1</v>
      </c>
      <c r="O123" s="55">
        <f>IF(A123="",0,IF(COUNTIFS($A$2:A123,A123,$F$2:F123,F123,$L$2:L123,L123)=1,1,0))</f>
        <v>1</v>
      </c>
      <c r="P123" s="55">
        <f>IF(A123="",0,IF(AND(F123="C&amp;T",COUNTIFS($A$2:A123,A123,$F$2:F123,"C&amp;T")=1),1,0))</f>
        <v>0</v>
      </c>
    </row>
    <row r="124" spans="1:16" x14ac:dyDescent="0.35">
      <c r="A124" s="54">
        <f>IFERROR(IF(INDEX(SPOT_Import!$A$1:$Z$2488,124,'Live Data'!$C$12)="","",INDEX(SPOT_Import!$A$1:$Z$2488,124,'Live Data'!$C$12)),"")</f>
        <v>16463</v>
      </c>
      <c r="B124" s="54" t="str">
        <f>IFERROR(IF(INDEX(SPOT_Import!$A$1:$Z$2488,124,'Live Data'!$C$13)="","",INDEX(SPOT_Import!$A$1:$Z$2488,124,'Live Data'!$C$13)),"")</f>
        <v>Gategi Health Centre</v>
      </c>
      <c r="C124" s="54" t="str">
        <f>IFERROR(IF(INDEX(SPOT_Import!$A$1:$Z$2488,124,'Live Data'!$C$14)="","",INDEX(SPOT_Import!$A$1:$Z$2488,124,'Live Data'!$C$14)),"")</f>
        <v>EMBU</v>
      </c>
      <c r="D124" s="54" t="str">
        <f>IFERROR(IF(INDEX(SPOT_Import!$A$1:$Z$2488,124,'Live Data'!$C$15)="","",INDEX(SPOT_Import!$A$1:$Z$2488,124,'Live Data'!$C$15)),"")</f>
        <v>Mbeere South</v>
      </c>
      <c r="E124" s="54" t="str">
        <f>IFERROR(IF(INDEX(SPOT_Import!$A$1:$Z$2488,124,'Live Data'!$C$16)="","",INDEX(SPOT_Import!$A$1:$Z$2488,124,'Live Data'!$C$16)),"")</f>
        <v>USAID Jamii Tekelezi</v>
      </c>
      <c r="F124" s="54" t="str">
        <f>IFERROR(IF(INDEX(SPOT_Import!$A$1:$Z$2488,124,'Live Data'!$C$17)="","",INDEX(SPOT_Import!$A$1:$Z$2488,124,'Live Data'!$C$17)),"")</f>
        <v>PREP</v>
      </c>
      <c r="G124" s="54">
        <f>IFERROR(IF(INDEX(SPOT_Import!$A$1:$Z$2488,124,'Live Data'!$C$18)="","",INDEX(SPOT_Import!$A$1:$Z$2488,124,'Live Data'!$C$18)),"")</f>
        <v>176</v>
      </c>
      <c r="H124" s="54">
        <f>IFERROR(IF(INDEX(SPOT_Import!$A$1:$Z$2488,124,'Live Data'!$C$19)="","",INDEX(SPOT_Import!$A$1:$Z$2488,124,'Live Data'!$C$19)),"")</f>
        <v>176</v>
      </c>
      <c r="I124" s="54" t="str">
        <f>IFERROR(IF(INDEX(SPOT_Import!$A$1:$Z$2488,124,'Live Data'!$C$20)="","",INDEX(SPOT_Import!$A$1:$Z$2488,124,'Live Data'!$C$20)),"")</f>
        <v>Complete</v>
      </c>
      <c r="J124" s="54" t="str">
        <f>IFERROR(IF(INDEX(SPOT_Import!$A$1:$Z$2488,124,'Live Data'!$C$21)="","",INDEX(SPOT_Import!$A$1:$Z$2488,124,'Live Data'!$C$21)),"")</f>
        <v>2026-10-08T12:56:19.000Z</v>
      </c>
      <c r="K124" s="54" t="str">
        <f>IFERROR(IF(INDEX(SPOT_Import!$A$1:$Z$2488,124,'Live Data'!$C$22)="","",INDEX(SPOT_Import!$A$1:$Z$2488,124,'Live Data'!$C$22)),"")</f>
        <v>2026-10-08T12:56:19.000Z</v>
      </c>
      <c r="L124" s="55" t="str">
        <f t="shared" si="2"/>
        <v>2026-10</v>
      </c>
      <c r="M124" s="55" t="str">
        <f t="shared" si="3"/>
        <v>EMBU</v>
      </c>
      <c r="N124" s="55" t="str">
        <f>IF(A124="","",IFERROR(INDEX('Cluster Map'!$A$4:$A$38,MATCH(M124,'Cluster Map'!$B$4:$B$38,0)),"Unmapped"))</f>
        <v>Cluster 2</v>
      </c>
      <c r="O124" s="55">
        <f>IF(A124="",0,IF(COUNTIFS($A$2:A124,A124,$F$2:F124,F124,$L$2:L124,L124)=1,1,0))</f>
        <v>1</v>
      </c>
      <c r="P124" s="55">
        <f>IF(A124="",0,IF(AND(F124="C&amp;T",COUNTIFS($A$2:A124,A124,$F$2:F124,"C&amp;T")=1),1,0))</f>
        <v>0</v>
      </c>
    </row>
    <row r="125" spans="1:16" x14ac:dyDescent="0.35">
      <c r="A125" s="54">
        <f>IFERROR(IF(INDEX(SPOT_Import!$A$1:$Z$2488,125,'Live Data'!$C$12)="","",INDEX(SPOT_Import!$A$1:$Z$2488,125,'Live Data'!$C$12)),"")</f>
        <v>16463</v>
      </c>
      <c r="B125" s="54" t="str">
        <f>IFERROR(IF(INDEX(SPOT_Import!$A$1:$Z$2488,125,'Live Data'!$C$13)="","",INDEX(SPOT_Import!$A$1:$Z$2488,125,'Live Data'!$C$13)),"")</f>
        <v>Gategi Health Centre</v>
      </c>
      <c r="C125" s="54" t="str">
        <f>IFERROR(IF(INDEX(SPOT_Import!$A$1:$Z$2488,125,'Live Data'!$C$14)="","",INDEX(SPOT_Import!$A$1:$Z$2488,125,'Live Data'!$C$14)),"")</f>
        <v>EMBU</v>
      </c>
      <c r="D125" s="54" t="str">
        <f>IFERROR(IF(INDEX(SPOT_Import!$A$1:$Z$2488,125,'Live Data'!$C$15)="","",INDEX(SPOT_Import!$A$1:$Z$2488,125,'Live Data'!$C$15)),"")</f>
        <v>Mbeere South</v>
      </c>
      <c r="E125" s="54" t="str">
        <f>IFERROR(IF(INDEX(SPOT_Import!$A$1:$Z$2488,125,'Live Data'!$C$16)="","",INDEX(SPOT_Import!$A$1:$Z$2488,125,'Live Data'!$C$16)),"")</f>
        <v>USAID Jamii Tekelezi</v>
      </c>
      <c r="F125" s="54" t="str">
        <f>IFERROR(IF(INDEX(SPOT_Import!$A$1:$Z$2488,125,'Live Data'!$C$17)="","",INDEX(SPOT_Import!$A$1:$Z$2488,125,'Live Data'!$C$17)),"")</f>
        <v>HTS</v>
      </c>
      <c r="G125" s="54">
        <f>IFERROR(IF(INDEX(SPOT_Import!$A$1:$Z$2488,125,'Live Data'!$C$18)="","",INDEX(SPOT_Import!$A$1:$Z$2488,125,'Live Data'!$C$18)),"")</f>
        <v>1853</v>
      </c>
      <c r="H125" s="54">
        <f>IFERROR(IF(INDEX(SPOT_Import!$A$1:$Z$2488,125,'Live Data'!$C$19)="","",INDEX(SPOT_Import!$A$1:$Z$2488,125,'Live Data'!$C$19)),"")</f>
        <v>1853</v>
      </c>
      <c r="I125" s="54" t="str">
        <f>IFERROR(IF(INDEX(SPOT_Import!$A$1:$Z$2488,125,'Live Data'!$C$20)="","",INDEX(SPOT_Import!$A$1:$Z$2488,125,'Live Data'!$C$20)),"")</f>
        <v>Complete</v>
      </c>
      <c r="J125" s="54" t="str">
        <f>IFERROR(IF(INDEX(SPOT_Import!$A$1:$Z$2488,125,'Live Data'!$C$21)="","",INDEX(SPOT_Import!$A$1:$Z$2488,125,'Live Data'!$C$21)),"")</f>
        <v>2026-10-08T12:55:37.000Z</v>
      </c>
      <c r="K125" s="54" t="str">
        <f>IFERROR(IF(INDEX(SPOT_Import!$A$1:$Z$2488,125,'Live Data'!$C$22)="","",INDEX(SPOT_Import!$A$1:$Z$2488,125,'Live Data'!$C$22)),"")</f>
        <v>2026-10-08T12:55:37.000Z</v>
      </c>
      <c r="L125" s="55" t="str">
        <f t="shared" si="2"/>
        <v>2026-10</v>
      </c>
      <c r="M125" s="55" t="str">
        <f t="shared" si="3"/>
        <v>EMBU</v>
      </c>
      <c r="N125" s="55" t="str">
        <f>IF(A125="","",IFERROR(INDEX('Cluster Map'!$A$4:$A$38,MATCH(M125,'Cluster Map'!$B$4:$B$38,0)),"Unmapped"))</f>
        <v>Cluster 2</v>
      </c>
      <c r="O125" s="55">
        <f>IF(A125="",0,IF(COUNTIFS($A$2:A125,A125,$F$2:F125,F125,$L$2:L125,L125)=1,1,0))</f>
        <v>1</v>
      </c>
      <c r="P125" s="55">
        <f>IF(A125="",0,IF(AND(F125="C&amp;T",COUNTIFS($A$2:A125,A125,$F$2:F125,"C&amp;T")=1),1,0))</f>
        <v>0</v>
      </c>
    </row>
    <row r="126" spans="1:16" x14ac:dyDescent="0.35">
      <c r="A126" s="54">
        <f>IFERROR(IF(INDEX(SPOT_Import!$A$1:$Z$2488,126,'Live Data'!$C$12)="","",INDEX(SPOT_Import!$A$1:$Z$2488,126,'Live Data'!$C$12)),"")</f>
        <v>16463</v>
      </c>
      <c r="B126" s="54" t="str">
        <f>IFERROR(IF(INDEX(SPOT_Import!$A$1:$Z$2488,126,'Live Data'!$C$13)="","",INDEX(SPOT_Import!$A$1:$Z$2488,126,'Live Data'!$C$13)),"")</f>
        <v>Gategi Health Centre</v>
      </c>
      <c r="C126" s="54" t="str">
        <f>IFERROR(IF(INDEX(SPOT_Import!$A$1:$Z$2488,126,'Live Data'!$C$14)="","",INDEX(SPOT_Import!$A$1:$Z$2488,126,'Live Data'!$C$14)),"")</f>
        <v>EMBU</v>
      </c>
      <c r="D126" s="54" t="str">
        <f>IFERROR(IF(INDEX(SPOT_Import!$A$1:$Z$2488,126,'Live Data'!$C$15)="","",INDEX(SPOT_Import!$A$1:$Z$2488,126,'Live Data'!$C$15)),"")</f>
        <v>Mbeere South</v>
      </c>
      <c r="E126" s="54" t="str">
        <f>IFERROR(IF(INDEX(SPOT_Import!$A$1:$Z$2488,126,'Live Data'!$C$16)="","",INDEX(SPOT_Import!$A$1:$Z$2488,126,'Live Data'!$C$16)),"")</f>
        <v>USAID Jamii Tekelezi</v>
      </c>
      <c r="F126" s="54" t="str">
        <f>IFERROR(IF(INDEX(SPOT_Import!$A$1:$Z$2488,126,'Live Data'!$C$17)="","",INDEX(SPOT_Import!$A$1:$Z$2488,126,'Live Data'!$C$17)),"")</f>
        <v>C&amp;T</v>
      </c>
      <c r="G126" s="54">
        <f>IFERROR(IF(INDEX(SPOT_Import!$A$1:$Z$2488,126,'Live Data'!$C$18)="","",INDEX(SPOT_Import!$A$1:$Z$2488,126,'Live Data'!$C$18)),"")</f>
        <v>490</v>
      </c>
      <c r="H126" s="54">
        <f>IFERROR(IF(INDEX(SPOT_Import!$A$1:$Z$2488,126,'Live Data'!$C$19)="","",INDEX(SPOT_Import!$A$1:$Z$2488,126,'Live Data'!$C$19)),"")</f>
        <v>490</v>
      </c>
      <c r="I126" s="54" t="str">
        <f>IFERROR(IF(INDEX(SPOT_Import!$A$1:$Z$2488,126,'Live Data'!$C$20)="","",INDEX(SPOT_Import!$A$1:$Z$2488,126,'Live Data'!$C$20)),"")</f>
        <v>Complete</v>
      </c>
      <c r="J126" s="54" t="str">
        <f>IFERROR(IF(INDEX(SPOT_Import!$A$1:$Z$2488,126,'Live Data'!$C$21)="","",INDEX(SPOT_Import!$A$1:$Z$2488,126,'Live Data'!$C$21)),"")</f>
        <v>2026-10-08T12:33:16.000Z</v>
      </c>
      <c r="K126" s="54" t="str">
        <f>IFERROR(IF(INDEX(SPOT_Import!$A$1:$Z$2488,126,'Live Data'!$C$22)="","",INDEX(SPOT_Import!$A$1:$Z$2488,126,'Live Data'!$C$22)),"")</f>
        <v>2026-10-08T12:33:16.000Z</v>
      </c>
      <c r="L126" s="55" t="str">
        <f t="shared" si="2"/>
        <v>2026-10</v>
      </c>
      <c r="M126" s="55" t="str">
        <f t="shared" si="3"/>
        <v>EMBU</v>
      </c>
      <c r="N126" s="55" t="str">
        <f>IF(A126="","",IFERROR(INDEX('Cluster Map'!$A$4:$A$38,MATCH(M126,'Cluster Map'!$B$4:$B$38,0)),"Unmapped"))</f>
        <v>Cluster 2</v>
      </c>
      <c r="O126" s="55">
        <f>IF(A126="",0,IF(COUNTIFS($A$2:A126,A126,$F$2:F126,F126,$L$2:L126,L126)=1,1,0))</f>
        <v>1</v>
      </c>
      <c r="P126" s="55">
        <f>IF(A126="",0,IF(AND(F126="C&amp;T",COUNTIFS($A$2:A126,A126,$F$2:F126,"C&amp;T")=1),1,0))</f>
        <v>1</v>
      </c>
    </row>
    <row r="127" spans="1:16" x14ac:dyDescent="0.35">
      <c r="A127" s="54">
        <f>IFERROR(IF(INDEX(SPOT_Import!$A$1:$Z$2488,127,'Live Data'!$C$12)="","",INDEX(SPOT_Import!$A$1:$Z$2488,127,'Live Data'!$C$12)),"")</f>
        <v>12288</v>
      </c>
      <c r="B127" s="54" t="str">
        <f>IFERROR(IF(INDEX(SPOT_Import!$A$1:$Z$2488,127,'Live Data'!$C$13)="","",INDEX(SPOT_Import!$A$1:$Z$2488,127,'Live Data'!$C$13)),"")</f>
        <v>Kibugua Health Centre</v>
      </c>
      <c r="C127" s="54" t="str">
        <f>IFERROR(IF(INDEX(SPOT_Import!$A$1:$Z$2488,127,'Live Data'!$C$14)="","",INDEX(SPOT_Import!$A$1:$Z$2488,127,'Live Data'!$C$14)),"")</f>
        <v>THARAKA-NITHI</v>
      </c>
      <c r="D127" s="54" t="str">
        <f>IFERROR(IF(INDEX(SPOT_Import!$A$1:$Z$2488,127,'Live Data'!$C$15)="","",INDEX(SPOT_Import!$A$1:$Z$2488,127,'Live Data'!$C$15)),"")</f>
        <v>Chuka</v>
      </c>
      <c r="E127" s="54" t="str">
        <f>IFERROR(IF(INDEX(SPOT_Import!$A$1:$Z$2488,127,'Live Data'!$C$16)="","",INDEX(SPOT_Import!$A$1:$Z$2488,127,'Live Data'!$C$16)),"")</f>
        <v>USAID Jamii Tekelezi</v>
      </c>
      <c r="F127" s="54" t="str">
        <f>IFERROR(IF(INDEX(SPOT_Import!$A$1:$Z$2488,127,'Live Data'!$C$17)="","",INDEX(SPOT_Import!$A$1:$Z$2488,127,'Live Data'!$C$17)),"")</f>
        <v>PREP</v>
      </c>
      <c r="G127" s="54">
        <f>IFERROR(IF(INDEX(SPOT_Import!$A$1:$Z$2488,127,'Live Data'!$C$18)="","",INDEX(SPOT_Import!$A$1:$Z$2488,127,'Live Data'!$C$18)),"")</f>
        <v>367</v>
      </c>
      <c r="H127" s="54">
        <f>IFERROR(IF(INDEX(SPOT_Import!$A$1:$Z$2488,127,'Live Data'!$C$19)="","",INDEX(SPOT_Import!$A$1:$Z$2488,127,'Live Data'!$C$19)),"")</f>
        <v>367</v>
      </c>
      <c r="I127" s="54" t="str">
        <f>IFERROR(IF(INDEX(SPOT_Import!$A$1:$Z$2488,127,'Live Data'!$C$20)="","",INDEX(SPOT_Import!$A$1:$Z$2488,127,'Live Data'!$C$20)),"")</f>
        <v>Complete</v>
      </c>
      <c r="J127" s="54" t="str">
        <f>IFERROR(IF(INDEX(SPOT_Import!$A$1:$Z$2488,127,'Live Data'!$C$21)="","",INDEX(SPOT_Import!$A$1:$Z$2488,127,'Live Data'!$C$21)),"")</f>
        <v>2026-10-08T12:32:06.000Z</v>
      </c>
      <c r="K127" s="54" t="str">
        <f>IFERROR(IF(INDEX(SPOT_Import!$A$1:$Z$2488,127,'Live Data'!$C$22)="","",INDEX(SPOT_Import!$A$1:$Z$2488,127,'Live Data'!$C$22)),"")</f>
        <v>2026-10-08T12:32:06.000Z</v>
      </c>
      <c r="L127" s="55" t="str">
        <f t="shared" si="2"/>
        <v>2026-10</v>
      </c>
      <c r="M127" s="55" t="str">
        <f t="shared" si="3"/>
        <v>THARAKA-NITHI</v>
      </c>
      <c r="N127" s="55" t="str">
        <f>IF(A127="","",IFERROR(INDEX('Cluster Map'!$A$4:$A$38,MATCH(M127,'Cluster Map'!$B$4:$B$38,0)),"Unmapped"))</f>
        <v>Cluster 2</v>
      </c>
      <c r="O127" s="55">
        <f>IF(A127="",0,IF(COUNTIFS($A$2:A127,A127,$F$2:F127,F127,$L$2:L127,L127)=1,1,0))</f>
        <v>1</v>
      </c>
      <c r="P127" s="55">
        <f>IF(A127="",0,IF(AND(F127="C&amp;T",COUNTIFS($A$2:A127,A127,$F$2:F127,"C&amp;T")=1),1,0))</f>
        <v>0</v>
      </c>
    </row>
    <row r="128" spans="1:16" x14ac:dyDescent="0.35">
      <c r="A128" s="54">
        <f>IFERROR(IF(INDEX(SPOT_Import!$A$1:$Z$2488,128,'Live Data'!$C$12)="","",INDEX(SPOT_Import!$A$1:$Z$2488,128,'Live Data'!$C$12)),"")</f>
        <v>12288</v>
      </c>
      <c r="B128" s="54" t="str">
        <f>IFERROR(IF(INDEX(SPOT_Import!$A$1:$Z$2488,128,'Live Data'!$C$13)="","",INDEX(SPOT_Import!$A$1:$Z$2488,128,'Live Data'!$C$13)),"")</f>
        <v>Kibugua Health Centre</v>
      </c>
      <c r="C128" s="54" t="str">
        <f>IFERROR(IF(INDEX(SPOT_Import!$A$1:$Z$2488,128,'Live Data'!$C$14)="","",INDEX(SPOT_Import!$A$1:$Z$2488,128,'Live Data'!$C$14)),"")</f>
        <v>THARAKA-NITHI</v>
      </c>
      <c r="D128" s="54" t="str">
        <f>IFERROR(IF(INDEX(SPOT_Import!$A$1:$Z$2488,128,'Live Data'!$C$15)="","",INDEX(SPOT_Import!$A$1:$Z$2488,128,'Live Data'!$C$15)),"")</f>
        <v>Chuka</v>
      </c>
      <c r="E128" s="54" t="str">
        <f>IFERROR(IF(INDEX(SPOT_Import!$A$1:$Z$2488,128,'Live Data'!$C$16)="","",INDEX(SPOT_Import!$A$1:$Z$2488,128,'Live Data'!$C$16)),"")</f>
        <v>USAID Jamii Tekelezi</v>
      </c>
      <c r="F128" s="54" t="str">
        <f>IFERROR(IF(INDEX(SPOT_Import!$A$1:$Z$2488,128,'Live Data'!$C$17)="","",INDEX(SPOT_Import!$A$1:$Z$2488,128,'Live Data'!$C$17)),"")</f>
        <v>MNCH</v>
      </c>
      <c r="G128" s="54">
        <f>IFERROR(IF(INDEX(SPOT_Import!$A$1:$Z$2488,128,'Live Data'!$C$18)="","",INDEX(SPOT_Import!$A$1:$Z$2488,128,'Live Data'!$C$18)),"")</f>
        <v>54</v>
      </c>
      <c r="H128" s="54">
        <f>IFERROR(IF(INDEX(SPOT_Import!$A$1:$Z$2488,128,'Live Data'!$C$19)="","",INDEX(SPOT_Import!$A$1:$Z$2488,128,'Live Data'!$C$19)),"")</f>
        <v>54</v>
      </c>
      <c r="I128" s="54" t="str">
        <f>IFERROR(IF(INDEX(SPOT_Import!$A$1:$Z$2488,128,'Live Data'!$C$20)="","",INDEX(SPOT_Import!$A$1:$Z$2488,128,'Live Data'!$C$20)),"")</f>
        <v>Complete</v>
      </c>
      <c r="J128" s="54" t="str">
        <f>IFERROR(IF(INDEX(SPOT_Import!$A$1:$Z$2488,128,'Live Data'!$C$21)="","",INDEX(SPOT_Import!$A$1:$Z$2488,128,'Live Data'!$C$21)),"")</f>
        <v>2026-10-08T12:31:43.000Z</v>
      </c>
      <c r="K128" s="54" t="str">
        <f>IFERROR(IF(INDEX(SPOT_Import!$A$1:$Z$2488,128,'Live Data'!$C$22)="","",INDEX(SPOT_Import!$A$1:$Z$2488,128,'Live Data'!$C$22)),"")</f>
        <v>2026-10-08T12:31:43.000Z</v>
      </c>
      <c r="L128" s="55" t="str">
        <f t="shared" si="2"/>
        <v>2026-10</v>
      </c>
      <c r="M128" s="55" t="str">
        <f t="shared" si="3"/>
        <v>THARAKA-NITHI</v>
      </c>
      <c r="N128" s="55" t="str">
        <f>IF(A128="","",IFERROR(INDEX('Cluster Map'!$A$4:$A$38,MATCH(M128,'Cluster Map'!$B$4:$B$38,0)),"Unmapped"))</f>
        <v>Cluster 2</v>
      </c>
      <c r="O128" s="55">
        <f>IF(A128="",0,IF(COUNTIFS($A$2:A128,A128,$F$2:F128,F128,$L$2:L128,L128)=1,1,0))</f>
        <v>1</v>
      </c>
      <c r="P128" s="55">
        <f>IF(A128="",0,IF(AND(F128="C&amp;T",COUNTIFS($A$2:A128,A128,$F$2:F128,"C&amp;T")=1),1,0))</f>
        <v>0</v>
      </c>
    </row>
    <row r="129" spans="1:16" x14ac:dyDescent="0.35">
      <c r="A129" s="54">
        <f>IFERROR(IF(INDEX(SPOT_Import!$A$1:$Z$2488,129,'Live Data'!$C$12)="","",INDEX(SPOT_Import!$A$1:$Z$2488,129,'Live Data'!$C$12)),"")</f>
        <v>12591</v>
      </c>
      <c r="B129" s="54" t="str">
        <f>IFERROR(IF(INDEX(SPOT_Import!$A$1:$Z$2488,129,'Live Data'!$C$13)="","",INDEX(SPOT_Import!$A$1:$Z$2488,129,'Live Data'!$C$13)),"")</f>
        <v>Muthara Sub-District Hospital</v>
      </c>
      <c r="C129" s="54" t="str">
        <f>IFERROR(IF(INDEX(SPOT_Import!$A$1:$Z$2488,129,'Live Data'!$C$14)="","",INDEX(SPOT_Import!$A$1:$Z$2488,129,'Live Data'!$C$14)),"")</f>
        <v>MERU</v>
      </c>
      <c r="D129" s="54" t="str">
        <f>IFERROR(IF(INDEX(SPOT_Import!$A$1:$Z$2488,129,'Live Data'!$C$15)="","",INDEX(SPOT_Import!$A$1:$Z$2488,129,'Live Data'!$C$15)),"")</f>
        <v>Tigania East</v>
      </c>
      <c r="E129" s="54" t="str">
        <f>IFERROR(IF(INDEX(SPOT_Import!$A$1:$Z$2488,129,'Live Data'!$C$16)="","",INDEX(SPOT_Import!$A$1:$Z$2488,129,'Live Data'!$C$16)),"")</f>
        <v>USAID Jamii Tekelezi</v>
      </c>
      <c r="F129" s="54" t="str">
        <f>IFERROR(IF(INDEX(SPOT_Import!$A$1:$Z$2488,129,'Live Data'!$C$17)="","",INDEX(SPOT_Import!$A$1:$Z$2488,129,'Live Data'!$C$17)),"")</f>
        <v>PREP</v>
      </c>
      <c r="G129" s="54">
        <f>IFERROR(IF(INDEX(SPOT_Import!$A$1:$Z$2488,129,'Live Data'!$C$18)="","",INDEX(SPOT_Import!$A$1:$Z$2488,129,'Live Data'!$C$18)),"")</f>
        <v>119</v>
      </c>
      <c r="H129" s="54">
        <f>IFERROR(IF(INDEX(SPOT_Import!$A$1:$Z$2488,129,'Live Data'!$C$19)="","",INDEX(SPOT_Import!$A$1:$Z$2488,129,'Live Data'!$C$19)),"")</f>
        <v>119</v>
      </c>
      <c r="I129" s="54" t="str">
        <f>IFERROR(IF(INDEX(SPOT_Import!$A$1:$Z$2488,129,'Live Data'!$C$20)="","",INDEX(SPOT_Import!$A$1:$Z$2488,129,'Live Data'!$C$20)),"")</f>
        <v>Complete</v>
      </c>
      <c r="J129" s="54" t="str">
        <f>IFERROR(IF(INDEX(SPOT_Import!$A$1:$Z$2488,129,'Live Data'!$C$21)="","",INDEX(SPOT_Import!$A$1:$Z$2488,129,'Live Data'!$C$21)),"")</f>
        <v>2026-10-08T12:30:47.000Z</v>
      </c>
      <c r="K129" s="54" t="str">
        <f>IFERROR(IF(INDEX(SPOT_Import!$A$1:$Z$2488,129,'Live Data'!$C$22)="","",INDEX(SPOT_Import!$A$1:$Z$2488,129,'Live Data'!$C$22)),"")</f>
        <v>2026-10-08T12:30:47.000Z</v>
      </c>
      <c r="L129" s="55" t="str">
        <f t="shared" si="2"/>
        <v>2026-10</v>
      </c>
      <c r="M129" s="55" t="str">
        <f t="shared" si="3"/>
        <v>MERU</v>
      </c>
      <c r="N129" s="55" t="str">
        <f>IF(A129="","",IFERROR(INDEX('Cluster Map'!$A$4:$A$38,MATCH(M129,'Cluster Map'!$B$4:$B$38,0)),"Unmapped"))</f>
        <v>Cluster 1</v>
      </c>
      <c r="O129" s="55">
        <f>IF(A129="",0,IF(COUNTIFS($A$2:A129,A129,$F$2:F129,F129,$L$2:L129,L129)=1,1,0))</f>
        <v>1</v>
      </c>
      <c r="P129" s="55">
        <f>IF(A129="",0,IF(AND(F129="C&amp;T",COUNTIFS($A$2:A129,A129,$F$2:F129,"C&amp;T")=1),1,0))</f>
        <v>0</v>
      </c>
    </row>
    <row r="130" spans="1:16" x14ac:dyDescent="0.35">
      <c r="A130" s="54">
        <f>IFERROR(IF(INDEX(SPOT_Import!$A$1:$Z$2488,130,'Live Data'!$C$12)="","",INDEX(SPOT_Import!$A$1:$Z$2488,130,'Live Data'!$C$12)),"")</f>
        <v>12181</v>
      </c>
      <c r="B130" s="54" t="str">
        <f>IFERROR(IF(INDEX(SPOT_Import!$A$1:$Z$2488,130,'Live Data'!$C$13)="","",INDEX(SPOT_Import!$A$1:$Z$2488,130,'Live Data'!$C$13)),"")</f>
        <v>Kanyakine District Hospital</v>
      </c>
      <c r="C130" s="54" t="str">
        <f>IFERROR(IF(INDEX(SPOT_Import!$A$1:$Z$2488,130,'Live Data'!$C$14)="","",INDEX(SPOT_Import!$A$1:$Z$2488,130,'Live Data'!$C$14)),"")</f>
        <v>MERU</v>
      </c>
      <c r="D130" s="54" t="str">
        <f>IFERROR(IF(INDEX(SPOT_Import!$A$1:$Z$2488,130,'Live Data'!$C$15)="","",INDEX(SPOT_Import!$A$1:$Z$2488,130,'Live Data'!$C$15)),"")</f>
        <v>Imenti South</v>
      </c>
      <c r="E130" s="54" t="str">
        <f>IFERROR(IF(INDEX(SPOT_Import!$A$1:$Z$2488,130,'Live Data'!$C$16)="","",INDEX(SPOT_Import!$A$1:$Z$2488,130,'Live Data'!$C$16)),"")</f>
        <v>USAID Jamii Tekelezi</v>
      </c>
      <c r="F130" s="54" t="str">
        <f>IFERROR(IF(INDEX(SPOT_Import!$A$1:$Z$2488,130,'Live Data'!$C$17)="","",INDEX(SPOT_Import!$A$1:$Z$2488,130,'Live Data'!$C$17)),"")</f>
        <v>PREP</v>
      </c>
      <c r="G130" s="54">
        <f>IFERROR(IF(INDEX(SPOT_Import!$A$1:$Z$2488,130,'Live Data'!$C$18)="","",INDEX(SPOT_Import!$A$1:$Z$2488,130,'Live Data'!$C$18)),"")</f>
        <v>427</v>
      </c>
      <c r="H130" s="54">
        <f>IFERROR(IF(INDEX(SPOT_Import!$A$1:$Z$2488,130,'Live Data'!$C$19)="","",INDEX(SPOT_Import!$A$1:$Z$2488,130,'Live Data'!$C$19)),"")</f>
        <v>400</v>
      </c>
      <c r="I130" s="54" t="str">
        <f>IFERROR(IF(INDEX(SPOT_Import!$A$1:$Z$2488,130,'Live Data'!$C$20)="","",INDEX(SPOT_Import!$A$1:$Z$2488,130,'Live Data'!$C$20)),"")</f>
        <v>Incomplete</v>
      </c>
      <c r="J130" s="54" t="str">
        <f>IFERROR(IF(INDEX(SPOT_Import!$A$1:$Z$2488,130,'Live Data'!$C$21)="","",INDEX(SPOT_Import!$A$1:$Z$2488,130,'Live Data'!$C$21)),"")</f>
        <v>2026-10-08T12:30:41.000Z</v>
      </c>
      <c r="K130" s="54" t="str">
        <f>IFERROR(IF(INDEX(SPOT_Import!$A$1:$Z$2488,130,'Live Data'!$C$22)="","",INDEX(SPOT_Import!$A$1:$Z$2488,130,'Live Data'!$C$22)),"")</f>
        <v>2026-10-08T12:30:41.000Z</v>
      </c>
      <c r="L130" s="55" t="str">
        <f t="shared" ref="L130:L193" si="4">IF(A130="","",IF(ISNUMBER(K130),TEXT(K130,"yyyy-mm"),LEFT(K130,7)))</f>
        <v>2026-10</v>
      </c>
      <c r="M130" s="55" t="str">
        <f t="shared" ref="M130:M193" si="5">IF(A130="","",UPPER(TRIM(SUBSTITUTE(C130," - ","-"))))</f>
        <v>MERU</v>
      </c>
      <c r="N130" s="55" t="str">
        <f>IF(A130="","",IFERROR(INDEX('Cluster Map'!$A$4:$A$38,MATCH(M130,'Cluster Map'!$B$4:$B$38,0)),"Unmapped"))</f>
        <v>Cluster 1</v>
      </c>
      <c r="O130" s="55">
        <f>IF(A130="",0,IF(COUNTIFS($A$2:A130,A130,$F$2:F130,F130,$L$2:L130,L130)=1,1,0))</f>
        <v>1</v>
      </c>
      <c r="P130" s="55">
        <f>IF(A130="",0,IF(AND(F130="C&amp;T",COUNTIFS($A$2:A130,A130,$F$2:F130,"C&amp;T")=1),1,0))</f>
        <v>0</v>
      </c>
    </row>
    <row r="131" spans="1:16" x14ac:dyDescent="0.35">
      <c r="A131" s="54">
        <f>IFERROR(IF(INDEX(SPOT_Import!$A$1:$Z$2488,131,'Live Data'!$C$12)="","",INDEX(SPOT_Import!$A$1:$Z$2488,131,'Live Data'!$C$12)),"")</f>
        <v>12288</v>
      </c>
      <c r="B131" s="54" t="str">
        <f>IFERROR(IF(INDEX(SPOT_Import!$A$1:$Z$2488,131,'Live Data'!$C$13)="","",INDEX(SPOT_Import!$A$1:$Z$2488,131,'Live Data'!$C$13)),"")</f>
        <v>Kibugua Health Centre</v>
      </c>
      <c r="C131" s="54" t="str">
        <f>IFERROR(IF(INDEX(SPOT_Import!$A$1:$Z$2488,131,'Live Data'!$C$14)="","",INDEX(SPOT_Import!$A$1:$Z$2488,131,'Live Data'!$C$14)),"")</f>
        <v>THARAKA-NITHI</v>
      </c>
      <c r="D131" s="54" t="str">
        <f>IFERROR(IF(INDEX(SPOT_Import!$A$1:$Z$2488,131,'Live Data'!$C$15)="","",INDEX(SPOT_Import!$A$1:$Z$2488,131,'Live Data'!$C$15)),"")</f>
        <v>Chuka</v>
      </c>
      <c r="E131" s="54" t="str">
        <f>IFERROR(IF(INDEX(SPOT_Import!$A$1:$Z$2488,131,'Live Data'!$C$16)="","",INDEX(SPOT_Import!$A$1:$Z$2488,131,'Live Data'!$C$16)),"")</f>
        <v>USAID Jamii Tekelezi</v>
      </c>
      <c r="F131" s="54" t="str">
        <f>IFERROR(IF(INDEX(SPOT_Import!$A$1:$Z$2488,131,'Live Data'!$C$17)="","",INDEX(SPOT_Import!$A$1:$Z$2488,131,'Live Data'!$C$17)),"")</f>
        <v>HTS</v>
      </c>
      <c r="G131" s="54">
        <f>IFERROR(IF(INDEX(SPOT_Import!$A$1:$Z$2488,131,'Live Data'!$C$18)="","",INDEX(SPOT_Import!$A$1:$Z$2488,131,'Live Data'!$C$18)),"")</f>
        <v>4025</v>
      </c>
      <c r="H131" s="54">
        <f>IFERROR(IF(INDEX(SPOT_Import!$A$1:$Z$2488,131,'Live Data'!$C$19)="","",INDEX(SPOT_Import!$A$1:$Z$2488,131,'Live Data'!$C$19)),"")</f>
        <v>4025</v>
      </c>
      <c r="I131" s="54" t="str">
        <f>IFERROR(IF(INDEX(SPOT_Import!$A$1:$Z$2488,131,'Live Data'!$C$20)="","",INDEX(SPOT_Import!$A$1:$Z$2488,131,'Live Data'!$C$20)),"")</f>
        <v>Complete</v>
      </c>
      <c r="J131" s="54" t="str">
        <f>IFERROR(IF(INDEX(SPOT_Import!$A$1:$Z$2488,131,'Live Data'!$C$21)="","",INDEX(SPOT_Import!$A$1:$Z$2488,131,'Live Data'!$C$21)),"")</f>
        <v>2026-10-08T12:30:33.000Z</v>
      </c>
      <c r="K131" s="54" t="str">
        <f>IFERROR(IF(INDEX(SPOT_Import!$A$1:$Z$2488,131,'Live Data'!$C$22)="","",INDEX(SPOT_Import!$A$1:$Z$2488,131,'Live Data'!$C$22)),"")</f>
        <v>2026-10-08T12:30:33.000Z</v>
      </c>
      <c r="L131" s="55" t="str">
        <f t="shared" si="4"/>
        <v>2026-10</v>
      </c>
      <c r="M131" s="55" t="str">
        <f t="shared" si="5"/>
        <v>THARAKA-NITHI</v>
      </c>
      <c r="N131" s="55" t="str">
        <f>IF(A131="","",IFERROR(INDEX('Cluster Map'!$A$4:$A$38,MATCH(M131,'Cluster Map'!$B$4:$B$38,0)),"Unmapped"))</f>
        <v>Cluster 2</v>
      </c>
      <c r="O131" s="55">
        <f>IF(A131="",0,IF(COUNTIFS($A$2:A131,A131,$F$2:F131,F131,$L$2:L131,L131)=1,1,0))</f>
        <v>1</v>
      </c>
      <c r="P131" s="55">
        <f>IF(A131="",0,IF(AND(F131="C&amp;T",COUNTIFS($A$2:A131,A131,$F$2:F131,"C&amp;T")=1),1,0))</f>
        <v>0</v>
      </c>
    </row>
    <row r="132" spans="1:16" x14ac:dyDescent="0.35">
      <c r="A132" s="54">
        <f>IFERROR(IF(INDEX(SPOT_Import!$A$1:$Z$2488,132,'Live Data'!$C$12)="","",INDEX(SPOT_Import!$A$1:$Z$2488,132,'Live Data'!$C$12)),"")</f>
        <v>12181</v>
      </c>
      <c r="B132" s="54" t="str">
        <f>IFERROR(IF(INDEX(SPOT_Import!$A$1:$Z$2488,132,'Live Data'!$C$13)="","",INDEX(SPOT_Import!$A$1:$Z$2488,132,'Live Data'!$C$13)),"")</f>
        <v>Kanyakine District Hospital</v>
      </c>
      <c r="C132" s="54" t="str">
        <f>IFERROR(IF(INDEX(SPOT_Import!$A$1:$Z$2488,132,'Live Data'!$C$14)="","",INDEX(SPOT_Import!$A$1:$Z$2488,132,'Live Data'!$C$14)),"")</f>
        <v>MERU</v>
      </c>
      <c r="D132" s="54" t="str">
        <f>IFERROR(IF(INDEX(SPOT_Import!$A$1:$Z$2488,132,'Live Data'!$C$15)="","",INDEX(SPOT_Import!$A$1:$Z$2488,132,'Live Data'!$C$15)),"")</f>
        <v>Imenti South</v>
      </c>
      <c r="E132" s="54" t="str">
        <f>IFERROR(IF(INDEX(SPOT_Import!$A$1:$Z$2488,132,'Live Data'!$C$16)="","",INDEX(SPOT_Import!$A$1:$Z$2488,132,'Live Data'!$C$16)),"")</f>
        <v>USAID Jamii Tekelezi</v>
      </c>
      <c r="F132" s="54" t="str">
        <f>IFERROR(IF(INDEX(SPOT_Import!$A$1:$Z$2488,132,'Live Data'!$C$17)="","",INDEX(SPOT_Import!$A$1:$Z$2488,132,'Live Data'!$C$17)),"")</f>
        <v>MNCH</v>
      </c>
      <c r="G132" s="54">
        <f>IFERROR(IF(INDEX(SPOT_Import!$A$1:$Z$2488,132,'Live Data'!$C$18)="","",INDEX(SPOT_Import!$A$1:$Z$2488,132,'Live Data'!$C$18)),"")</f>
        <v>355</v>
      </c>
      <c r="H132" s="54">
        <f>IFERROR(IF(INDEX(SPOT_Import!$A$1:$Z$2488,132,'Live Data'!$C$19)="","",INDEX(SPOT_Import!$A$1:$Z$2488,132,'Live Data'!$C$19)),"")</f>
        <v>355</v>
      </c>
      <c r="I132" s="54" t="str">
        <f>IFERROR(IF(INDEX(SPOT_Import!$A$1:$Z$2488,132,'Live Data'!$C$20)="","",INDEX(SPOT_Import!$A$1:$Z$2488,132,'Live Data'!$C$20)),"")</f>
        <v>Complete</v>
      </c>
      <c r="J132" s="54" t="str">
        <f>IFERROR(IF(INDEX(SPOT_Import!$A$1:$Z$2488,132,'Live Data'!$C$21)="","",INDEX(SPOT_Import!$A$1:$Z$2488,132,'Live Data'!$C$21)),"")</f>
        <v>2026-10-08T12:30:32.000Z</v>
      </c>
      <c r="K132" s="54" t="str">
        <f>IFERROR(IF(INDEX(SPOT_Import!$A$1:$Z$2488,132,'Live Data'!$C$22)="","",INDEX(SPOT_Import!$A$1:$Z$2488,132,'Live Data'!$C$22)),"")</f>
        <v>2026-10-08T12:30:32.000Z</v>
      </c>
      <c r="L132" s="55" t="str">
        <f t="shared" si="4"/>
        <v>2026-10</v>
      </c>
      <c r="M132" s="55" t="str">
        <f t="shared" si="5"/>
        <v>MERU</v>
      </c>
      <c r="N132" s="55" t="str">
        <f>IF(A132="","",IFERROR(INDEX('Cluster Map'!$A$4:$A$38,MATCH(M132,'Cluster Map'!$B$4:$B$38,0)),"Unmapped"))</f>
        <v>Cluster 1</v>
      </c>
      <c r="O132" s="55">
        <f>IF(A132="",0,IF(COUNTIFS($A$2:A132,A132,$F$2:F132,F132,$L$2:L132,L132)=1,1,0))</f>
        <v>1</v>
      </c>
      <c r="P132" s="55">
        <f>IF(A132="",0,IF(AND(F132="C&amp;T",COUNTIFS($A$2:A132,A132,$F$2:F132,"C&amp;T")=1),1,0))</f>
        <v>0</v>
      </c>
    </row>
    <row r="133" spans="1:16" x14ac:dyDescent="0.35">
      <c r="A133" s="54">
        <f>IFERROR(IF(INDEX(SPOT_Import!$A$1:$Z$2488,133,'Live Data'!$C$12)="","",INDEX(SPOT_Import!$A$1:$Z$2488,133,'Live Data'!$C$12)),"")</f>
        <v>12181</v>
      </c>
      <c r="B133" s="54" t="str">
        <f>IFERROR(IF(INDEX(SPOT_Import!$A$1:$Z$2488,133,'Live Data'!$C$13)="","",INDEX(SPOT_Import!$A$1:$Z$2488,133,'Live Data'!$C$13)),"")</f>
        <v>Kanyakine District Hospital</v>
      </c>
      <c r="C133" s="54" t="str">
        <f>IFERROR(IF(INDEX(SPOT_Import!$A$1:$Z$2488,133,'Live Data'!$C$14)="","",INDEX(SPOT_Import!$A$1:$Z$2488,133,'Live Data'!$C$14)),"")</f>
        <v>MERU</v>
      </c>
      <c r="D133" s="54" t="str">
        <f>IFERROR(IF(INDEX(SPOT_Import!$A$1:$Z$2488,133,'Live Data'!$C$15)="","",INDEX(SPOT_Import!$A$1:$Z$2488,133,'Live Data'!$C$15)),"")</f>
        <v>Imenti South</v>
      </c>
      <c r="E133" s="54" t="str">
        <f>IFERROR(IF(INDEX(SPOT_Import!$A$1:$Z$2488,133,'Live Data'!$C$16)="","",INDEX(SPOT_Import!$A$1:$Z$2488,133,'Live Data'!$C$16)),"")</f>
        <v>USAID Jamii Tekelezi</v>
      </c>
      <c r="F133" s="54" t="str">
        <f>IFERROR(IF(INDEX(SPOT_Import!$A$1:$Z$2488,133,'Live Data'!$C$17)="","",INDEX(SPOT_Import!$A$1:$Z$2488,133,'Live Data'!$C$17)),"")</f>
        <v>HTS</v>
      </c>
      <c r="G133" s="54">
        <f>IFERROR(IF(INDEX(SPOT_Import!$A$1:$Z$2488,133,'Live Data'!$C$18)="","",INDEX(SPOT_Import!$A$1:$Z$2488,133,'Live Data'!$C$18)),"")</f>
        <v>3398</v>
      </c>
      <c r="H133" s="54">
        <f>IFERROR(IF(INDEX(SPOT_Import!$A$1:$Z$2488,133,'Live Data'!$C$19)="","",INDEX(SPOT_Import!$A$1:$Z$2488,133,'Live Data'!$C$19)),"")</f>
        <v>3398</v>
      </c>
      <c r="I133" s="54" t="str">
        <f>IFERROR(IF(INDEX(SPOT_Import!$A$1:$Z$2488,133,'Live Data'!$C$20)="","",INDEX(SPOT_Import!$A$1:$Z$2488,133,'Live Data'!$C$20)),"")</f>
        <v>Complete</v>
      </c>
      <c r="J133" s="54" t="str">
        <f>IFERROR(IF(INDEX(SPOT_Import!$A$1:$Z$2488,133,'Live Data'!$C$21)="","",INDEX(SPOT_Import!$A$1:$Z$2488,133,'Live Data'!$C$21)),"")</f>
        <v>2026-10-08T12:30:12.000Z</v>
      </c>
      <c r="K133" s="54" t="str">
        <f>IFERROR(IF(INDEX(SPOT_Import!$A$1:$Z$2488,133,'Live Data'!$C$22)="","",INDEX(SPOT_Import!$A$1:$Z$2488,133,'Live Data'!$C$22)),"")</f>
        <v>2026-10-08T12:30:12.000Z</v>
      </c>
      <c r="L133" s="55" t="str">
        <f t="shared" si="4"/>
        <v>2026-10</v>
      </c>
      <c r="M133" s="55" t="str">
        <f t="shared" si="5"/>
        <v>MERU</v>
      </c>
      <c r="N133" s="55" t="str">
        <f>IF(A133="","",IFERROR(INDEX('Cluster Map'!$A$4:$A$38,MATCH(M133,'Cluster Map'!$B$4:$B$38,0)),"Unmapped"))</f>
        <v>Cluster 1</v>
      </c>
      <c r="O133" s="55">
        <f>IF(A133="",0,IF(COUNTIFS($A$2:A133,A133,$F$2:F133,F133,$L$2:L133,L133)=1,1,0))</f>
        <v>1</v>
      </c>
      <c r="P133" s="55">
        <f>IF(A133="",0,IF(AND(F133="C&amp;T",COUNTIFS($A$2:A133,A133,$F$2:F133,"C&amp;T")=1),1,0))</f>
        <v>0</v>
      </c>
    </row>
    <row r="134" spans="1:16" x14ac:dyDescent="0.35">
      <c r="A134" s="54">
        <f>IFERROR(IF(INDEX(SPOT_Import!$A$1:$Z$2488,134,'Live Data'!$C$12)="","",INDEX(SPOT_Import!$A$1:$Z$2488,134,'Live Data'!$C$12)),"")</f>
        <v>12591</v>
      </c>
      <c r="B134" s="54" t="str">
        <f>IFERROR(IF(INDEX(SPOT_Import!$A$1:$Z$2488,134,'Live Data'!$C$13)="","",INDEX(SPOT_Import!$A$1:$Z$2488,134,'Live Data'!$C$13)),"")</f>
        <v>Muthara Sub-District Hospital</v>
      </c>
      <c r="C134" s="54" t="str">
        <f>IFERROR(IF(INDEX(SPOT_Import!$A$1:$Z$2488,134,'Live Data'!$C$14)="","",INDEX(SPOT_Import!$A$1:$Z$2488,134,'Live Data'!$C$14)),"")</f>
        <v>MERU</v>
      </c>
      <c r="D134" s="54" t="str">
        <f>IFERROR(IF(INDEX(SPOT_Import!$A$1:$Z$2488,134,'Live Data'!$C$15)="","",INDEX(SPOT_Import!$A$1:$Z$2488,134,'Live Data'!$C$15)),"")</f>
        <v>Tigania East</v>
      </c>
      <c r="E134" s="54" t="str">
        <f>IFERROR(IF(INDEX(SPOT_Import!$A$1:$Z$2488,134,'Live Data'!$C$16)="","",INDEX(SPOT_Import!$A$1:$Z$2488,134,'Live Data'!$C$16)),"")</f>
        <v>USAID Jamii Tekelezi</v>
      </c>
      <c r="F134" s="54" t="str">
        <f>IFERROR(IF(INDEX(SPOT_Import!$A$1:$Z$2488,134,'Live Data'!$C$17)="","",INDEX(SPOT_Import!$A$1:$Z$2488,134,'Live Data'!$C$17)),"")</f>
        <v>MNCH</v>
      </c>
      <c r="G134" s="54">
        <f>IFERROR(IF(INDEX(SPOT_Import!$A$1:$Z$2488,134,'Live Data'!$C$18)="","",INDEX(SPOT_Import!$A$1:$Z$2488,134,'Live Data'!$C$18)),"")</f>
        <v>205</v>
      </c>
      <c r="H134" s="54">
        <f>IFERROR(IF(INDEX(SPOT_Import!$A$1:$Z$2488,134,'Live Data'!$C$19)="","",INDEX(SPOT_Import!$A$1:$Z$2488,134,'Live Data'!$C$19)),"")</f>
        <v>205</v>
      </c>
      <c r="I134" s="54" t="str">
        <f>IFERROR(IF(INDEX(SPOT_Import!$A$1:$Z$2488,134,'Live Data'!$C$20)="","",INDEX(SPOT_Import!$A$1:$Z$2488,134,'Live Data'!$C$20)),"")</f>
        <v>Complete</v>
      </c>
      <c r="J134" s="54" t="str">
        <f>IFERROR(IF(INDEX(SPOT_Import!$A$1:$Z$2488,134,'Live Data'!$C$21)="","",INDEX(SPOT_Import!$A$1:$Z$2488,134,'Live Data'!$C$21)),"")</f>
        <v>2026-10-08T12:28:05.000Z</v>
      </c>
      <c r="K134" s="54" t="str">
        <f>IFERROR(IF(INDEX(SPOT_Import!$A$1:$Z$2488,134,'Live Data'!$C$22)="","",INDEX(SPOT_Import!$A$1:$Z$2488,134,'Live Data'!$C$22)),"")</f>
        <v>2026-10-08T12:28:05.000Z</v>
      </c>
      <c r="L134" s="55" t="str">
        <f t="shared" si="4"/>
        <v>2026-10</v>
      </c>
      <c r="M134" s="55" t="str">
        <f t="shared" si="5"/>
        <v>MERU</v>
      </c>
      <c r="N134" s="55" t="str">
        <f>IF(A134="","",IFERROR(INDEX('Cluster Map'!$A$4:$A$38,MATCH(M134,'Cluster Map'!$B$4:$B$38,0)),"Unmapped"))</f>
        <v>Cluster 1</v>
      </c>
      <c r="O134" s="55">
        <f>IF(A134="",0,IF(COUNTIFS($A$2:A134,A134,$F$2:F134,F134,$L$2:L134,L134)=1,1,0))</f>
        <v>1</v>
      </c>
      <c r="P134" s="55">
        <f>IF(A134="",0,IF(AND(F134="C&amp;T",COUNTIFS($A$2:A134,A134,$F$2:F134,"C&amp;T")=1),1,0))</f>
        <v>0</v>
      </c>
    </row>
    <row r="135" spans="1:16" x14ac:dyDescent="0.35">
      <c r="A135" s="54">
        <f>IFERROR(IF(INDEX(SPOT_Import!$A$1:$Z$2488,135,'Live Data'!$C$12)="","",INDEX(SPOT_Import!$A$1:$Z$2488,135,'Live Data'!$C$12)),"")</f>
        <v>12591</v>
      </c>
      <c r="B135" s="54" t="str">
        <f>IFERROR(IF(INDEX(SPOT_Import!$A$1:$Z$2488,135,'Live Data'!$C$13)="","",INDEX(SPOT_Import!$A$1:$Z$2488,135,'Live Data'!$C$13)),"")</f>
        <v>Muthara Sub-District Hospital</v>
      </c>
      <c r="C135" s="54" t="str">
        <f>IFERROR(IF(INDEX(SPOT_Import!$A$1:$Z$2488,135,'Live Data'!$C$14)="","",INDEX(SPOT_Import!$A$1:$Z$2488,135,'Live Data'!$C$14)),"")</f>
        <v>MERU</v>
      </c>
      <c r="D135" s="54" t="str">
        <f>IFERROR(IF(INDEX(SPOT_Import!$A$1:$Z$2488,135,'Live Data'!$C$15)="","",INDEX(SPOT_Import!$A$1:$Z$2488,135,'Live Data'!$C$15)),"")</f>
        <v>Tigania East</v>
      </c>
      <c r="E135" s="54" t="str">
        <f>IFERROR(IF(INDEX(SPOT_Import!$A$1:$Z$2488,135,'Live Data'!$C$16)="","",INDEX(SPOT_Import!$A$1:$Z$2488,135,'Live Data'!$C$16)),"")</f>
        <v>USAID Jamii Tekelezi</v>
      </c>
      <c r="F135" s="54" t="str">
        <f>IFERROR(IF(INDEX(SPOT_Import!$A$1:$Z$2488,135,'Live Data'!$C$17)="","",INDEX(SPOT_Import!$A$1:$Z$2488,135,'Live Data'!$C$17)),"")</f>
        <v>HTS</v>
      </c>
      <c r="G135" s="54">
        <f>IFERROR(IF(INDEX(SPOT_Import!$A$1:$Z$2488,135,'Live Data'!$C$18)="","",INDEX(SPOT_Import!$A$1:$Z$2488,135,'Live Data'!$C$18)),"")</f>
        <v>3183</v>
      </c>
      <c r="H135" s="54">
        <f>IFERROR(IF(INDEX(SPOT_Import!$A$1:$Z$2488,135,'Live Data'!$C$19)="","",INDEX(SPOT_Import!$A$1:$Z$2488,135,'Live Data'!$C$19)),"")</f>
        <v>3183</v>
      </c>
      <c r="I135" s="54" t="str">
        <f>IFERROR(IF(INDEX(SPOT_Import!$A$1:$Z$2488,135,'Live Data'!$C$20)="","",INDEX(SPOT_Import!$A$1:$Z$2488,135,'Live Data'!$C$20)),"")</f>
        <v>Complete</v>
      </c>
      <c r="J135" s="54" t="str">
        <f>IFERROR(IF(INDEX(SPOT_Import!$A$1:$Z$2488,135,'Live Data'!$C$21)="","",INDEX(SPOT_Import!$A$1:$Z$2488,135,'Live Data'!$C$21)),"")</f>
        <v>2026-10-08T12:26:32.000Z</v>
      </c>
      <c r="K135" s="54" t="str">
        <f>IFERROR(IF(INDEX(SPOT_Import!$A$1:$Z$2488,135,'Live Data'!$C$22)="","",INDEX(SPOT_Import!$A$1:$Z$2488,135,'Live Data'!$C$22)),"")</f>
        <v>2026-10-08T12:26:32.000Z</v>
      </c>
      <c r="L135" s="55" t="str">
        <f t="shared" si="4"/>
        <v>2026-10</v>
      </c>
      <c r="M135" s="55" t="str">
        <f t="shared" si="5"/>
        <v>MERU</v>
      </c>
      <c r="N135" s="55" t="str">
        <f>IF(A135="","",IFERROR(INDEX('Cluster Map'!$A$4:$A$38,MATCH(M135,'Cluster Map'!$B$4:$B$38,0)),"Unmapped"))</f>
        <v>Cluster 1</v>
      </c>
      <c r="O135" s="55">
        <f>IF(A135="",0,IF(COUNTIFS($A$2:A135,A135,$F$2:F135,F135,$L$2:L135,L135)=1,1,0))</f>
        <v>1</v>
      </c>
      <c r="P135" s="55">
        <f>IF(A135="",0,IF(AND(F135="C&amp;T",COUNTIFS($A$2:A135,A135,$F$2:F135,"C&amp;T")=1),1,0))</f>
        <v>0</v>
      </c>
    </row>
    <row r="136" spans="1:16" x14ac:dyDescent="0.35">
      <c r="A136" s="54">
        <f>IFERROR(IF(INDEX(SPOT_Import!$A$1:$Z$2488,136,'Live Data'!$C$12)="","",INDEX(SPOT_Import!$A$1:$Z$2488,136,'Live Data'!$C$12)),"")</f>
        <v>12181</v>
      </c>
      <c r="B136" s="54" t="str">
        <f>IFERROR(IF(INDEX(SPOT_Import!$A$1:$Z$2488,136,'Live Data'!$C$13)="","",INDEX(SPOT_Import!$A$1:$Z$2488,136,'Live Data'!$C$13)),"")</f>
        <v>Kanyakine District Hospital</v>
      </c>
      <c r="C136" s="54" t="str">
        <f>IFERROR(IF(INDEX(SPOT_Import!$A$1:$Z$2488,136,'Live Data'!$C$14)="","",INDEX(SPOT_Import!$A$1:$Z$2488,136,'Live Data'!$C$14)),"")</f>
        <v>MERU</v>
      </c>
      <c r="D136" s="54" t="str">
        <f>IFERROR(IF(INDEX(SPOT_Import!$A$1:$Z$2488,136,'Live Data'!$C$15)="","",INDEX(SPOT_Import!$A$1:$Z$2488,136,'Live Data'!$C$15)),"")</f>
        <v>Imenti South</v>
      </c>
      <c r="E136" s="54" t="str">
        <f>IFERROR(IF(INDEX(SPOT_Import!$A$1:$Z$2488,136,'Live Data'!$C$16)="","",INDEX(SPOT_Import!$A$1:$Z$2488,136,'Live Data'!$C$16)),"")</f>
        <v>USAID Jamii Tekelezi</v>
      </c>
      <c r="F136" s="54" t="str">
        <f>IFERROR(IF(INDEX(SPOT_Import!$A$1:$Z$2488,136,'Live Data'!$C$17)="","",INDEX(SPOT_Import!$A$1:$Z$2488,136,'Live Data'!$C$17)),"")</f>
        <v>C&amp;T</v>
      </c>
      <c r="G136" s="54">
        <f>IFERROR(IF(INDEX(SPOT_Import!$A$1:$Z$2488,136,'Live Data'!$C$18)="","",INDEX(SPOT_Import!$A$1:$Z$2488,136,'Live Data'!$C$18)),"")</f>
        <v>2757</v>
      </c>
      <c r="H136" s="54">
        <f>IFERROR(IF(INDEX(SPOT_Import!$A$1:$Z$2488,136,'Live Data'!$C$19)="","",INDEX(SPOT_Import!$A$1:$Z$2488,136,'Live Data'!$C$19)),"")</f>
        <v>2757</v>
      </c>
      <c r="I136" s="54" t="str">
        <f>IFERROR(IF(INDEX(SPOT_Import!$A$1:$Z$2488,136,'Live Data'!$C$20)="","",INDEX(SPOT_Import!$A$1:$Z$2488,136,'Live Data'!$C$20)),"")</f>
        <v>Complete</v>
      </c>
      <c r="J136" s="54" t="str">
        <f>IFERROR(IF(INDEX(SPOT_Import!$A$1:$Z$2488,136,'Live Data'!$C$21)="","",INDEX(SPOT_Import!$A$1:$Z$2488,136,'Live Data'!$C$21)),"")</f>
        <v>2026-10-08T12:09:56.000Z</v>
      </c>
      <c r="K136" s="54" t="str">
        <f>IFERROR(IF(INDEX(SPOT_Import!$A$1:$Z$2488,136,'Live Data'!$C$22)="","",INDEX(SPOT_Import!$A$1:$Z$2488,136,'Live Data'!$C$22)),"")</f>
        <v>2026-10-08T12:09:56.000Z</v>
      </c>
      <c r="L136" s="55" t="str">
        <f t="shared" si="4"/>
        <v>2026-10</v>
      </c>
      <c r="M136" s="55" t="str">
        <f t="shared" si="5"/>
        <v>MERU</v>
      </c>
      <c r="N136" s="55" t="str">
        <f>IF(A136="","",IFERROR(INDEX('Cluster Map'!$A$4:$A$38,MATCH(M136,'Cluster Map'!$B$4:$B$38,0)),"Unmapped"))</f>
        <v>Cluster 1</v>
      </c>
      <c r="O136" s="55">
        <f>IF(A136="",0,IF(COUNTIFS($A$2:A136,A136,$F$2:F136,F136,$L$2:L136,L136)=1,1,0))</f>
        <v>1</v>
      </c>
      <c r="P136" s="55">
        <f>IF(A136="",0,IF(AND(F136="C&amp;T",COUNTIFS($A$2:A136,A136,$F$2:F136,"C&amp;T")=1),1,0))</f>
        <v>1</v>
      </c>
    </row>
    <row r="137" spans="1:16" x14ac:dyDescent="0.35">
      <c r="A137" s="54">
        <f>IFERROR(IF(INDEX(SPOT_Import!$A$1:$Z$2488,137,'Live Data'!$C$12)="","",INDEX(SPOT_Import!$A$1:$Z$2488,137,'Live Data'!$C$12)),"")</f>
        <v>12288</v>
      </c>
      <c r="B137" s="54" t="str">
        <f>IFERROR(IF(INDEX(SPOT_Import!$A$1:$Z$2488,137,'Live Data'!$C$13)="","",INDEX(SPOT_Import!$A$1:$Z$2488,137,'Live Data'!$C$13)),"")</f>
        <v>Kibugua Health Centre</v>
      </c>
      <c r="C137" s="54" t="str">
        <f>IFERROR(IF(INDEX(SPOT_Import!$A$1:$Z$2488,137,'Live Data'!$C$14)="","",INDEX(SPOT_Import!$A$1:$Z$2488,137,'Live Data'!$C$14)),"")</f>
        <v>THARAKA-NITHI</v>
      </c>
      <c r="D137" s="54" t="str">
        <f>IFERROR(IF(INDEX(SPOT_Import!$A$1:$Z$2488,137,'Live Data'!$C$15)="","",INDEX(SPOT_Import!$A$1:$Z$2488,137,'Live Data'!$C$15)),"")</f>
        <v>Chuka</v>
      </c>
      <c r="E137" s="54" t="str">
        <f>IFERROR(IF(INDEX(SPOT_Import!$A$1:$Z$2488,137,'Live Data'!$C$16)="","",INDEX(SPOT_Import!$A$1:$Z$2488,137,'Live Data'!$C$16)),"")</f>
        <v>USAID Jamii Tekelezi</v>
      </c>
      <c r="F137" s="54" t="str">
        <f>IFERROR(IF(INDEX(SPOT_Import!$A$1:$Z$2488,137,'Live Data'!$C$17)="","",INDEX(SPOT_Import!$A$1:$Z$2488,137,'Live Data'!$C$17)),"")</f>
        <v>C&amp;T</v>
      </c>
      <c r="G137" s="54">
        <f>IFERROR(IF(INDEX(SPOT_Import!$A$1:$Z$2488,137,'Live Data'!$C$18)="","",INDEX(SPOT_Import!$A$1:$Z$2488,137,'Live Data'!$C$18)),"")</f>
        <v>671</v>
      </c>
      <c r="H137" s="54">
        <f>IFERROR(IF(INDEX(SPOT_Import!$A$1:$Z$2488,137,'Live Data'!$C$19)="","",INDEX(SPOT_Import!$A$1:$Z$2488,137,'Live Data'!$C$19)),"")</f>
        <v>671</v>
      </c>
      <c r="I137" s="54" t="str">
        <f>IFERROR(IF(INDEX(SPOT_Import!$A$1:$Z$2488,137,'Live Data'!$C$20)="","",INDEX(SPOT_Import!$A$1:$Z$2488,137,'Live Data'!$C$20)),"")</f>
        <v>Complete</v>
      </c>
      <c r="J137" s="54" t="str">
        <f>IFERROR(IF(INDEX(SPOT_Import!$A$1:$Z$2488,137,'Live Data'!$C$21)="","",INDEX(SPOT_Import!$A$1:$Z$2488,137,'Live Data'!$C$21)),"")</f>
        <v>2026-10-08T12:06:25.000Z</v>
      </c>
      <c r="K137" s="54" t="str">
        <f>IFERROR(IF(INDEX(SPOT_Import!$A$1:$Z$2488,137,'Live Data'!$C$22)="","",INDEX(SPOT_Import!$A$1:$Z$2488,137,'Live Data'!$C$22)),"")</f>
        <v>2026-10-08T12:06:25.000Z</v>
      </c>
      <c r="L137" s="55" t="str">
        <f t="shared" si="4"/>
        <v>2026-10</v>
      </c>
      <c r="M137" s="55" t="str">
        <f t="shared" si="5"/>
        <v>THARAKA-NITHI</v>
      </c>
      <c r="N137" s="55" t="str">
        <f>IF(A137="","",IFERROR(INDEX('Cluster Map'!$A$4:$A$38,MATCH(M137,'Cluster Map'!$B$4:$B$38,0)),"Unmapped"))</f>
        <v>Cluster 2</v>
      </c>
      <c r="O137" s="55">
        <f>IF(A137="",0,IF(COUNTIFS($A$2:A137,A137,$F$2:F137,F137,$L$2:L137,L137)=1,1,0))</f>
        <v>1</v>
      </c>
      <c r="P137" s="55">
        <f>IF(A137="",0,IF(AND(F137="C&amp;T",COUNTIFS($A$2:A137,A137,$F$2:F137,"C&amp;T")=1),1,0))</f>
        <v>1</v>
      </c>
    </row>
    <row r="138" spans="1:16" x14ac:dyDescent="0.35">
      <c r="A138" s="54">
        <f>IFERROR(IF(INDEX(SPOT_Import!$A$1:$Z$2488,138,'Live Data'!$C$12)="","",INDEX(SPOT_Import!$A$1:$Z$2488,138,'Live Data'!$C$12)),"")</f>
        <v>12591</v>
      </c>
      <c r="B138" s="54" t="str">
        <f>IFERROR(IF(INDEX(SPOT_Import!$A$1:$Z$2488,138,'Live Data'!$C$13)="","",INDEX(SPOT_Import!$A$1:$Z$2488,138,'Live Data'!$C$13)),"")</f>
        <v>Muthara Sub-District Hospital</v>
      </c>
      <c r="C138" s="54" t="str">
        <f>IFERROR(IF(INDEX(SPOT_Import!$A$1:$Z$2488,138,'Live Data'!$C$14)="","",INDEX(SPOT_Import!$A$1:$Z$2488,138,'Live Data'!$C$14)),"")</f>
        <v>MERU</v>
      </c>
      <c r="D138" s="54" t="str">
        <f>IFERROR(IF(INDEX(SPOT_Import!$A$1:$Z$2488,138,'Live Data'!$C$15)="","",INDEX(SPOT_Import!$A$1:$Z$2488,138,'Live Data'!$C$15)),"")</f>
        <v>Tigania East</v>
      </c>
      <c r="E138" s="54" t="str">
        <f>IFERROR(IF(INDEX(SPOT_Import!$A$1:$Z$2488,138,'Live Data'!$C$16)="","",INDEX(SPOT_Import!$A$1:$Z$2488,138,'Live Data'!$C$16)),"")</f>
        <v>USAID Jamii Tekelezi</v>
      </c>
      <c r="F138" s="54" t="str">
        <f>IFERROR(IF(INDEX(SPOT_Import!$A$1:$Z$2488,138,'Live Data'!$C$17)="","",INDEX(SPOT_Import!$A$1:$Z$2488,138,'Live Data'!$C$17)),"")</f>
        <v>C&amp;T</v>
      </c>
      <c r="G138" s="54">
        <f>IFERROR(IF(INDEX(SPOT_Import!$A$1:$Z$2488,138,'Live Data'!$C$18)="","",INDEX(SPOT_Import!$A$1:$Z$2488,138,'Live Data'!$C$18)),"")</f>
        <v>1286</v>
      </c>
      <c r="H138" s="54">
        <f>IFERROR(IF(INDEX(SPOT_Import!$A$1:$Z$2488,138,'Live Data'!$C$19)="","",INDEX(SPOT_Import!$A$1:$Z$2488,138,'Live Data'!$C$19)),"")</f>
        <v>1286</v>
      </c>
      <c r="I138" s="54" t="str">
        <f>IFERROR(IF(INDEX(SPOT_Import!$A$1:$Z$2488,138,'Live Data'!$C$20)="","",INDEX(SPOT_Import!$A$1:$Z$2488,138,'Live Data'!$C$20)),"")</f>
        <v>Complete</v>
      </c>
      <c r="J138" s="54" t="str">
        <f>IFERROR(IF(INDEX(SPOT_Import!$A$1:$Z$2488,138,'Live Data'!$C$21)="","",INDEX(SPOT_Import!$A$1:$Z$2488,138,'Live Data'!$C$21)),"")</f>
        <v>2026-10-08T11:50:49.000Z</v>
      </c>
      <c r="K138" s="54" t="str">
        <f>IFERROR(IF(INDEX(SPOT_Import!$A$1:$Z$2488,138,'Live Data'!$C$22)="","",INDEX(SPOT_Import!$A$1:$Z$2488,138,'Live Data'!$C$22)),"")</f>
        <v>2026-10-08T11:50:49.000Z</v>
      </c>
      <c r="L138" s="55" t="str">
        <f t="shared" si="4"/>
        <v>2026-10</v>
      </c>
      <c r="M138" s="55" t="str">
        <f t="shared" si="5"/>
        <v>MERU</v>
      </c>
      <c r="N138" s="55" t="str">
        <f>IF(A138="","",IFERROR(INDEX('Cluster Map'!$A$4:$A$38,MATCH(M138,'Cluster Map'!$B$4:$B$38,0)),"Unmapped"))</f>
        <v>Cluster 1</v>
      </c>
      <c r="O138" s="55">
        <f>IF(A138="",0,IF(COUNTIFS($A$2:A138,A138,$F$2:F138,F138,$L$2:L138,L138)=1,1,0))</f>
        <v>1</v>
      </c>
      <c r="P138" s="55">
        <f>IF(A138="",0,IF(AND(F138="C&amp;T",COUNTIFS($A$2:A138,A138,$F$2:F138,"C&amp;T")=1),1,0))</f>
        <v>1</v>
      </c>
    </row>
    <row r="139" spans="1:16" x14ac:dyDescent="0.35">
      <c r="A139" s="54">
        <f>IFERROR(IF(INDEX(SPOT_Import!$A$1:$Z$2488,139,'Live Data'!$C$12)="","",INDEX(SPOT_Import!$A$1:$Z$2488,139,'Live Data'!$C$12)),"")</f>
        <v>17379</v>
      </c>
      <c r="B139" s="54" t="str">
        <f>IFERROR(IF(INDEX(SPOT_Import!$A$1:$Z$2488,139,'Live Data'!$C$13)="","",INDEX(SPOT_Import!$A$1:$Z$2488,139,'Live Data'!$C$13)),"")</f>
        <v>Mutiokiama Health Centre</v>
      </c>
      <c r="C139" s="54" t="str">
        <f>IFERROR(IF(INDEX(SPOT_Import!$A$1:$Z$2488,139,'Live Data'!$C$14)="","",INDEX(SPOT_Import!$A$1:$Z$2488,139,'Live Data'!$C$14)),"")</f>
        <v>MERU</v>
      </c>
      <c r="D139" s="54" t="str">
        <f>IFERROR(IF(INDEX(SPOT_Import!$A$1:$Z$2488,139,'Live Data'!$C$15)="","",INDEX(SPOT_Import!$A$1:$Z$2488,139,'Live Data'!$C$15)),"")</f>
        <v>Igembe South</v>
      </c>
      <c r="E139" s="54" t="str">
        <f>IFERROR(IF(INDEX(SPOT_Import!$A$1:$Z$2488,139,'Live Data'!$C$16)="","",INDEX(SPOT_Import!$A$1:$Z$2488,139,'Live Data'!$C$16)),"")</f>
        <v>USAID Jamii Tekelezi</v>
      </c>
      <c r="F139" s="54" t="str">
        <f>IFERROR(IF(INDEX(SPOT_Import!$A$1:$Z$2488,139,'Live Data'!$C$17)="","",INDEX(SPOT_Import!$A$1:$Z$2488,139,'Live Data'!$C$17)),"")</f>
        <v>MNCH</v>
      </c>
      <c r="G139" s="54">
        <f>IFERROR(IF(INDEX(SPOT_Import!$A$1:$Z$2488,139,'Live Data'!$C$18)="","",INDEX(SPOT_Import!$A$1:$Z$2488,139,'Live Data'!$C$18)),"")</f>
        <v>1</v>
      </c>
      <c r="H139" s="54">
        <f>IFERROR(IF(INDEX(SPOT_Import!$A$1:$Z$2488,139,'Live Data'!$C$19)="","",INDEX(SPOT_Import!$A$1:$Z$2488,139,'Live Data'!$C$19)),"")</f>
        <v>1</v>
      </c>
      <c r="I139" s="54" t="str">
        <f>IFERROR(IF(INDEX(SPOT_Import!$A$1:$Z$2488,139,'Live Data'!$C$20)="","",INDEX(SPOT_Import!$A$1:$Z$2488,139,'Live Data'!$C$20)),"")</f>
        <v>Complete</v>
      </c>
      <c r="J139" s="54" t="str">
        <f>IFERROR(IF(INDEX(SPOT_Import!$A$1:$Z$2488,139,'Live Data'!$C$21)="","",INDEX(SPOT_Import!$A$1:$Z$2488,139,'Live Data'!$C$21)),"")</f>
        <v>2026-10-08T11:40:06.000Z</v>
      </c>
      <c r="K139" s="54" t="str">
        <f>IFERROR(IF(INDEX(SPOT_Import!$A$1:$Z$2488,139,'Live Data'!$C$22)="","",INDEX(SPOT_Import!$A$1:$Z$2488,139,'Live Data'!$C$22)),"")</f>
        <v>2026-10-08T11:40:06.000Z</v>
      </c>
      <c r="L139" s="55" t="str">
        <f t="shared" si="4"/>
        <v>2026-10</v>
      </c>
      <c r="M139" s="55" t="str">
        <f t="shared" si="5"/>
        <v>MERU</v>
      </c>
      <c r="N139" s="55" t="str">
        <f>IF(A139="","",IFERROR(INDEX('Cluster Map'!$A$4:$A$38,MATCH(M139,'Cluster Map'!$B$4:$B$38,0)),"Unmapped"))</f>
        <v>Cluster 1</v>
      </c>
      <c r="O139" s="55">
        <f>IF(A139="",0,IF(COUNTIFS($A$2:A139,A139,$F$2:F139,F139,$L$2:L139,L139)=1,1,0))</f>
        <v>1</v>
      </c>
      <c r="P139" s="55">
        <f>IF(A139="",0,IF(AND(F139="C&amp;T",COUNTIFS($A$2:A139,A139,$F$2:F139,"C&amp;T")=1),1,0))</f>
        <v>0</v>
      </c>
    </row>
    <row r="140" spans="1:16" x14ac:dyDescent="0.35">
      <c r="A140" s="54">
        <f>IFERROR(IF(INDEX(SPOT_Import!$A$1:$Z$2488,140,'Live Data'!$C$12)="","",INDEX(SPOT_Import!$A$1:$Z$2488,140,'Live Data'!$C$12)),"")</f>
        <v>17379</v>
      </c>
      <c r="B140" s="54" t="str">
        <f>IFERROR(IF(INDEX(SPOT_Import!$A$1:$Z$2488,140,'Live Data'!$C$13)="","",INDEX(SPOT_Import!$A$1:$Z$2488,140,'Live Data'!$C$13)),"")</f>
        <v>Mutiokiama Health Centre</v>
      </c>
      <c r="C140" s="54" t="str">
        <f>IFERROR(IF(INDEX(SPOT_Import!$A$1:$Z$2488,140,'Live Data'!$C$14)="","",INDEX(SPOT_Import!$A$1:$Z$2488,140,'Live Data'!$C$14)),"")</f>
        <v>MERU</v>
      </c>
      <c r="D140" s="54" t="str">
        <f>IFERROR(IF(INDEX(SPOT_Import!$A$1:$Z$2488,140,'Live Data'!$C$15)="","",INDEX(SPOT_Import!$A$1:$Z$2488,140,'Live Data'!$C$15)),"")</f>
        <v>Igembe South</v>
      </c>
      <c r="E140" s="54" t="str">
        <f>IFERROR(IF(INDEX(SPOT_Import!$A$1:$Z$2488,140,'Live Data'!$C$16)="","",INDEX(SPOT_Import!$A$1:$Z$2488,140,'Live Data'!$C$16)),"")</f>
        <v>USAID Jamii Tekelezi</v>
      </c>
      <c r="F140" s="54" t="str">
        <f>IFERROR(IF(INDEX(SPOT_Import!$A$1:$Z$2488,140,'Live Data'!$C$17)="","",INDEX(SPOT_Import!$A$1:$Z$2488,140,'Live Data'!$C$17)),"")</f>
        <v>HTS</v>
      </c>
      <c r="G140" s="54">
        <f>IFERROR(IF(INDEX(SPOT_Import!$A$1:$Z$2488,140,'Live Data'!$C$18)="","",INDEX(SPOT_Import!$A$1:$Z$2488,140,'Live Data'!$C$18)),"")</f>
        <v>1</v>
      </c>
      <c r="H140" s="54">
        <f>IFERROR(IF(INDEX(SPOT_Import!$A$1:$Z$2488,140,'Live Data'!$C$19)="","",INDEX(SPOT_Import!$A$1:$Z$2488,140,'Live Data'!$C$19)),"")</f>
        <v>1</v>
      </c>
      <c r="I140" s="54" t="str">
        <f>IFERROR(IF(INDEX(SPOT_Import!$A$1:$Z$2488,140,'Live Data'!$C$20)="","",INDEX(SPOT_Import!$A$1:$Z$2488,140,'Live Data'!$C$20)),"")</f>
        <v>Complete</v>
      </c>
      <c r="J140" s="54" t="str">
        <f>IFERROR(IF(INDEX(SPOT_Import!$A$1:$Z$2488,140,'Live Data'!$C$21)="","",INDEX(SPOT_Import!$A$1:$Z$2488,140,'Live Data'!$C$21)),"")</f>
        <v>2026-10-08T11:38:15.000Z</v>
      </c>
      <c r="K140" s="54" t="str">
        <f>IFERROR(IF(INDEX(SPOT_Import!$A$1:$Z$2488,140,'Live Data'!$C$22)="","",INDEX(SPOT_Import!$A$1:$Z$2488,140,'Live Data'!$C$22)),"")</f>
        <v>2026-10-08T11:38:15.000Z</v>
      </c>
      <c r="L140" s="55" t="str">
        <f t="shared" si="4"/>
        <v>2026-10</v>
      </c>
      <c r="M140" s="55" t="str">
        <f t="shared" si="5"/>
        <v>MERU</v>
      </c>
      <c r="N140" s="55" t="str">
        <f>IF(A140="","",IFERROR(INDEX('Cluster Map'!$A$4:$A$38,MATCH(M140,'Cluster Map'!$B$4:$B$38,0)),"Unmapped"))</f>
        <v>Cluster 1</v>
      </c>
      <c r="O140" s="55">
        <f>IF(A140="",0,IF(COUNTIFS($A$2:A140,A140,$F$2:F140,F140,$L$2:L140,L140)=1,1,0))</f>
        <v>1</v>
      </c>
      <c r="P140" s="55">
        <f>IF(A140="",0,IF(AND(F140="C&amp;T",COUNTIFS($A$2:A140,A140,$F$2:F140,"C&amp;T")=1),1,0))</f>
        <v>0</v>
      </c>
    </row>
    <row r="141" spans="1:16" x14ac:dyDescent="0.35">
      <c r="A141" s="54">
        <f>IFERROR(IF(INDEX(SPOT_Import!$A$1:$Z$2488,141,'Live Data'!$C$12)="","",INDEX(SPOT_Import!$A$1:$Z$2488,141,'Live Data'!$C$12)),"")</f>
        <v>17379</v>
      </c>
      <c r="B141" s="54" t="str">
        <f>IFERROR(IF(INDEX(SPOT_Import!$A$1:$Z$2488,141,'Live Data'!$C$13)="","",INDEX(SPOT_Import!$A$1:$Z$2488,141,'Live Data'!$C$13)),"")</f>
        <v>Mutiokiama Health Centre</v>
      </c>
      <c r="C141" s="54" t="str">
        <f>IFERROR(IF(INDEX(SPOT_Import!$A$1:$Z$2488,141,'Live Data'!$C$14)="","",INDEX(SPOT_Import!$A$1:$Z$2488,141,'Live Data'!$C$14)),"")</f>
        <v>MERU</v>
      </c>
      <c r="D141" s="54" t="str">
        <f>IFERROR(IF(INDEX(SPOT_Import!$A$1:$Z$2488,141,'Live Data'!$C$15)="","",INDEX(SPOT_Import!$A$1:$Z$2488,141,'Live Data'!$C$15)),"")</f>
        <v>Igembe South</v>
      </c>
      <c r="E141" s="54" t="str">
        <f>IFERROR(IF(INDEX(SPOT_Import!$A$1:$Z$2488,141,'Live Data'!$C$16)="","",INDEX(SPOT_Import!$A$1:$Z$2488,141,'Live Data'!$C$16)),"")</f>
        <v>USAID Jamii Tekelezi</v>
      </c>
      <c r="F141" s="54" t="str">
        <f>IFERROR(IF(INDEX(SPOT_Import!$A$1:$Z$2488,141,'Live Data'!$C$17)="","",INDEX(SPOT_Import!$A$1:$Z$2488,141,'Live Data'!$C$17)),"")</f>
        <v>C&amp;T</v>
      </c>
      <c r="G141" s="54">
        <f>IFERROR(IF(INDEX(SPOT_Import!$A$1:$Z$2488,141,'Live Data'!$C$18)="","",INDEX(SPOT_Import!$A$1:$Z$2488,141,'Live Data'!$C$18)),"")</f>
        <v>73</v>
      </c>
      <c r="H141" s="54">
        <f>IFERROR(IF(INDEX(SPOT_Import!$A$1:$Z$2488,141,'Live Data'!$C$19)="","",INDEX(SPOT_Import!$A$1:$Z$2488,141,'Live Data'!$C$19)),"")</f>
        <v>73</v>
      </c>
      <c r="I141" s="54" t="str">
        <f>IFERROR(IF(INDEX(SPOT_Import!$A$1:$Z$2488,141,'Live Data'!$C$20)="","",INDEX(SPOT_Import!$A$1:$Z$2488,141,'Live Data'!$C$20)),"")</f>
        <v>Complete</v>
      </c>
      <c r="J141" s="54" t="str">
        <f>IFERROR(IF(INDEX(SPOT_Import!$A$1:$Z$2488,141,'Live Data'!$C$21)="","",INDEX(SPOT_Import!$A$1:$Z$2488,141,'Live Data'!$C$21)),"")</f>
        <v>2026-10-08T11:23:38.000Z</v>
      </c>
      <c r="K141" s="54" t="str">
        <f>IFERROR(IF(INDEX(SPOT_Import!$A$1:$Z$2488,141,'Live Data'!$C$22)="","",INDEX(SPOT_Import!$A$1:$Z$2488,141,'Live Data'!$C$22)),"")</f>
        <v>2026-10-08T11:23:38.000Z</v>
      </c>
      <c r="L141" s="55" t="str">
        <f t="shared" si="4"/>
        <v>2026-10</v>
      </c>
      <c r="M141" s="55" t="str">
        <f t="shared" si="5"/>
        <v>MERU</v>
      </c>
      <c r="N141" s="55" t="str">
        <f>IF(A141="","",IFERROR(INDEX('Cluster Map'!$A$4:$A$38,MATCH(M141,'Cluster Map'!$B$4:$B$38,0)),"Unmapped"))</f>
        <v>Cluster 1</v>
      </c>
      <c r="O141" s="55">
        <f>IF(A141="",0,IF(COUNTIFS($A$2:A141,A141,$F$2:F141,F141,$L$2:L141,L141)=1,1,0))</f>
        <v>1</v>
      </c>
      <c r="P141" s="55">
        <f>IF(A141="",0,IF(AND(F141="C&amp;T",COUNTIFS($A$2:A141,A141,$F$2:F141,"C&amp;T")=1),1,0))</f>
        <v>1</v>
      </c>
    </row>
    <row r="142" spans="1:16" x14ac:dyDescent="0.35">
      <c r="A142" s="54">
        <f>IFERROR(IF(INDEX(SPOT_Import!$A$1:$Z$2488,142,'Live Data'!$C$12)="","",INDEX(SPOT_Import!$A$1:$Z$2488,142,'Live Data'!$C$12)),"")</f>
        <v>10171</v>
      </c>
      <c r="B142" s="54" t="str">
        <f>IFERROR(IF(INDEX(SPOT_Import!$A$1:$Z$2488,142,'Live Data'!$C$13)="","",INDEX(SPOT_Import!$A$1:$Z$2488,142,'Live Data'!$C$13)),"")</f>
        <v>Engineer District Hospital</v>
      </c>
      <c r="C142" s="54" t="str">
        <f>IFERROR(IF(INDEX(SPOT_Import!$A$1:$Z$2488,142,'Live Data'!$C$14)="","",INDEX(SPOT_Import!$A$1:$Z$2488,142,'Live Data'!$C$14)),"")</f>
        <v>NYANDARUA</v>
      </c>
      <c r="D142" s="54" t="str">
        <f>IFERROR(IF(INDEX(SPOT_Import!$A$1:$Z$2488,142,'Live Data'!$C$15)="","",INDEX(SPOT_Import!$A$1:$Z$2488,142,'Live Data'!$C$15)),"")</f>
        <v>Kinangop</v>
      </c>
      <c r="E142" s="54" t="str">
        <f>IFERROR(IF(INDEX(SPOT_Import!$A$1:$Z$2488,142,'Live Data'!$C$16)="","",INDEX(SPOT_Import!$A$1:$Z$2488,142,'Live Data'!$C$16)),"")</f>
        <v>USAID Jamii Tekelezi</v>
      </c>
      <c r="F142" s="54" t="str">
        <f>IFERROR(IF(INDEX(SPOT_Import!$A$1:$Z$2488,142,'Live Data'!$C$17)="","",INDEX(SPOT_Import!$A$1:$Z$2488,142,'Live Data'!$C$17)),"")</f>
        <v>C&amp;T</v>
      </c>
      <c r="G142" s="54">
        <f>IFERROR(IF(INDEX(SPOT_Import!$A$1:$Z$2488,142,'Live Data'!$C$18)="","",INDEX(SPOT_Import!$A$1:$Z$2488,142,'Live Data'!$C$18)),"")</f>
        <v>2632</v>
      </c>
      <c r="H142" s="54">
        <f>IFERROR(IF(INDEX(SPOT_Import!$A$1:$Z$2488,142,'Live Data'!$C$19)="","",INDEX(SPOT_Import!$A$1:$Z$2488,142,'Live Data'!$C$19)),"")</f>
        <v>2632</v>
      </c>
      <c r="I142" s="54" t="str">
        <f>IFERROR(IF(INDEX(SPOT_Import!$A$1:$Z$2488,142,'Live Data'!$C$20)="","",INDEX(SPOT_Import!$A$1:$Z$2488,142,'Live Data'!$C$20)),"")</f>
        <v>Complete</v>
      </c>
      <c r="J142" s="54" t="str">
        <f>IFERROR(IF(INDEX(SPOT_Import!$A$1:$Z$2488,142,'Live Data'!$C$21)="","",INDEX(SPOT_Import!$A$1:$Z$2488,142,'Live Data'!$C$21)),"")</f>
        <v>2026-10-08T11:23:31.000Z</v>
      </c>
      <c r="K142" s="54" t="str">
        <f>IFERROR(IF(INDEX(SPOT_Import!$A$1:$Z$2488,142,'Live Data'!$C$22)="","",INDEX(SPOT_Import!$A$1:$Z$2488,142,'Live Data'!$C$22)),"")</f>
        <v>2026-10-08T11:23:31.000Z</v>
      </c>
      <c r="L142" s="55" t="str">
        <f t="shared" si="4"/>
        <v>2026-10</v>
      </c>
      <c r="M142" s="55" t="str">
        <f t="shared" si="5"/>
        <v>NYANDARUA</v>
      </c>
      <c r="N142" s="55" t="str">
        <f>IF(A142="","",IFERROR(INDEX('Cluster Map'!$A$4:$A$38,MATCH(M142,'Cluster Map'!$B$4:$B$38,0)),"Unmapped"))</f>
        <v>Cluster 4</v>
      </c>
      <c r="O142" s="55">
        <f>IF(A142="",0,IF(COUNTIFS($A$2:A142,A142,$F$2:F142,F142,$L$2:L142,L142)=1,1,0))</f>
        <v>1</v>
      </c>
      <c r="P142" s="55">
        <f>IF(A142="",0,IF(AND(F142="C&amp;T",COUNTIFS($A$2:A142,A142,$F$2:F142,"C&amp;T")=1),1,0))</f>
        <v>1</v>
      </c>
    </row>
    <row r="143" spans="1:16" x14ac:dyDescent="0.35">
      <c r="A143" s="54">
        <f>IFERROR(IF(INDEX(SPOT_Import!$A$1:$Z$2488,143,'Live Data'!$C$12)="","",INDEX(SPOT_Import!$A$1:$Z$2488,143,'Live Data'!$C$12)),"")</f>
        <v>10171</v>
      </c>
      <c r="B143" s="54" t="str">
        <f>IFERROR(IF(INDEX(SPOT_Import!$A$1:$Z$2488,143,'Live Data'!$C$13)="","",INDEX(SPOT_Import!$A$1:$Z$2488,143,'Live Data'!$C$13)),"")</f>
        <v>Engineer District Hospital</v>
      </c>
      <c r="C143" s="54" t="str">
        <f>IFERROR(IF(INDEX(SPOT_Import!$A$1:$Z$2488,143,'Live Data'!$C$14)="","",INDEX(SPOT_Import!$A$1:$Z$2488,143,'Live Data'!$C$14)),"")</f>
        <v>NYANDARUA</v>
      </c>
      <c r="D143" s="54" t="str">
        <f>IFERROR(IF(INDEX(SPOT_Import!$A$1:$Z$2488,143,'Live Data'!$C$15)="","",INDEX(SPOT_Import!$A$1:$Z$2488,143,'Live Data'!$C$15)),"")</f>
        <v>Kinangop</v>
      </c>
      <c r="E143" s="54" t="str">
        <f>IFERROR(IF(INDEX(SPOT_Import!$A$1:$Z$2488,143,'Live Data'!$C$16)="","",INDEX(SPOT_Import!$A$1:$Z$2488,143,'Live Data'!$C$16)),"")</f>
        <v>USAID Jamii Tekelezi</v>
      </c>
      <c r="F143" s="54" t="str">
        <f>IFERROR(IF(INDEX(SPOT_Import!$A$1:$Z$2488,143,'Live Data'!$C$17)="","",INDEX(SPOT_Import!$A$1:$Z$2488,143,'Live Data'!$C$17)),"")</f>
        <v>HTS</v>
      </c>
      <c r="G143" s="54">
        <f>IFERROR(IF(INDEX(SPOT_Import!$A$1:$Z$2488,143,'Live Data'!$C$18)="","",INDEX(SPOT_Import!$A$1:$Z$2488,143,'Live Data'!$C$18)),"")</f>
        <v>11743</v>
      </c>
      <c r="H143" s="54">
        <f>IFERROR(IF(INDEX(SPOT_Import!$A$1:$Z$2488,143,'Live Data'!$C$19)="","",INDEX(SPOT_Import!$A$1:$Z$2488,143,'Live Data'!$C$19)),"")</f>
        <v>11743</v>
      </c>
      <c r="I143" s="54" t="str">
        <f>IFERROR(IF(INDEX(SPOT_Import!$A$1:$Z$2488,143,'Live Data'!$C$20)="","",INDEX(SPOT_Import!$A$1:$Z$2488,143,'Live Data'!$C$20)),"")</f>
        <v>Complete</v>
      </c>
      <c r="J143" s="54" t="str">
        <f>IFERROR(IF(INDEX(SPOT_Import!$A$1:$Z$2488,143,'Live Data'!$C$21)="","",INDEX(SPOT_Import!$A$1:$Z$2488,143,'Live Data'!$C$21)),"")</f>
        <v>2026-10-08T11:07:47.000Z</v>
      </c>
      <c r="K143" s="54" t="str">
        <f>IFERROR(IF(INDEX(SPOT_Import!$A$1:$Z$2488,143,'Live Data'!$C$22)="","",INDEX(SPOT_Import!$A$1:$Z$2488,143,'Live Data'!$C$22)),"")</f>
        <v>2026-10-08T11:07:47.000Z</v>
      </c>
      <c r="L143" s="55" t="str">
        <f t="shared" si="4"/>
        <v>2026-10</v>
      </c>
      <c r="M143" s="55" t="str">
        <f t="shared" si="5"/>
        <v>NYANDARUA</v>
      </c>
      <c r="N143" s="55" t="str">
        <f>IF(A143="","",IFERROR(INDEX('Cluster Map'!$A$4:$A$38,MATCH(M143,'Cluster Map'!$B$4:$B$38,0)),"Unmapped"))</f>
        <v>Cluster 4</v>
      </c>
      <c r="O143" s="55">
        <f>IF(A143="",0,IF(COUNTIFS($A$2:A143,A143,$F$2:F143,F143,$L$2:L143,L143)=1,1,0))</f>
        <v>1</v>
      </c>
      <c r="P143" s="55">
        <f>IF(A143="",0,IF(AND(F143="C&amp;T",COUNTIFS($A$2:A143,A143,$F$2:F143,"C&amp;T")=1),1,0))</f>
        <v>0</v>
      </c>
    </row>
    <row r="144" spans="1:16" x14ac:dyDescent="0.35">
      <c r="A144" s="54">
        <f>IFERROR(IF(INDEX(SPOT_Import!$A$1:$Z$2488,144,'Live Data'!$C$12)="","",INDEX(SPOT_Import!$A$1:$Z$2488,144,'Live Data'!$C$12)),"")</f>
        <v>10171</v>
      </c>
      <c r="B144" s="54" t="str">
        <f>IFERROR(IF(INDEX(SPOT_Import!$A$1:$Z$2488,144,'Live Data'!$C$13)="","",INDEX(SPOT_Import!$A$1:$Z$2488,144,'Live Data'!$C$13)),"")</f>
        <v>Engineer District Hospital</v>
      </c>
      <c r="C144" s="54" t="str">
        <f>IFERROR(IF(INDEX(SPOT_Import!$A$1:$Z$2488,144,'Live Data'!$C$14)="","",INDEX(SPOT_Import!$A$1:$Z$2488,144,'Live Data'!$C$14)),"")</f>
        <v>NYANDARUA</v>
      </c>
      <c r="D144" s="54" t="str">
        <f>IFERROR(IF(INDEX(SPOT_Import!$A$1:$Z$2488,144,'Live Data'!$C$15)="","",INDEX(SPOT_Import!$A$1:$Z$2488,144,'Live Data'!$C$15)),"")</f>
        <v>Kinangop</v>
      </c>
      <c r="E144" s="54" t="str">
        <f>IFERROR(IF(INDEX(SPOT_Import!$A$1:$Z$2488,144,'Live Data'!$C$16)="","",INDEX(SPOT_Import!$A$1:$Z$2488,144,'Live Data'!$C$16)),"")</f>
        <v>USAID Jamii Tekelezi</v>
      </c>
      <c r="F144" s="54" t="str">
        <f>IFERROR(IF(INDEX(SPOT_Import!$A$1:$Z$2488,144,'Live Data'!$C$17)="","",INDEX(SPOT_Import!$A$1:$Z$2488,144,'Live Data'!$C$17)),"")</f>
        <v>PREP</v>
      </c>
      <c r="G144" s="54">
        <f>IFERROR(IF(INDEX(SPOT_Import!$A$1:$Z$2488,144,'Live Data'!$C$18)="","",INDEX(SPOT_Import!$A$1:$Z$2488,144,'Live Data'!$C$18)),"")</f>
        <v>470</v>
      </c>
      <c r="H144" s="54">
        <f>IFERROR(IF(INDEX(SPOT_Import!$A$1:$Z$2488,144,'Live Data'!$C$19)="","",INDEX(SPOT_Import!$A$1:$Z$2488,144,'Live Data'!$C$19)),"")</f>
        <v>470</v>
      </c>
      <c r="I144" s="54" t="str">
        <f>IFERROR(IF(INDEX(SPOT_Import!$A$1:$Z$2488,144,'Live Data'!$C$20)="","",INDEX(SPOT_Import!$A$1:$Z$2488,144,'Live Data'!$C$20)),"")</f>
        <v>Complete</v>
      </c>
      <c r="J144" s="54" t="str">
        <f>IFERROR(IF(INDEX(SPOT_Import!$A$1:$Z$2488,144,'Live Data'!$C$21)="","",INDEX(SPOT_Import!$A$1:$Z$2488,144,'Live Data'!$C$21)),"")</f>
        <v>2026-10-08T11:04:35.000Z</v>
      </c>
      <c r="K144" s="54" t="str">
        <f>IFERROR(IF(INDEX(SPOT_Import!$A$1:$Z$2488,144,'Live Data'!$C$22)="","",INDEX(SPOT_Import!$A$1:$Z$2488,144,'Live Data'!$C$22)),"")</f>
        <v>2026-10-08T11:04:35.000Z</v>
      </c>
      <c r="L144" s="55" t="str">
        <f t="shared" si="4"/>
        <v>2026-10</v>
      </c>
      <c r="M144" s="55" t="str">
        <f t="shared" si="5"/>
        <v>NYANDARUA</v>
      </c>
      <c r="N144" s="55" t="str">
        <f>IF(A144="","",IFERROR(INDEX('Cluster Map'!$A$4:$A$38,MATCH(M144,'Cluster Map'!$B$4:$B$38,0)),"Unmapped"))</f>
        <v>Cluster 4</v>
      </c>
      <c r="O144" s="55">
        <f>IF(A144="",0,IF(COUNTIFS($A$2:A144,A144,$F$2:F144,F144,$L$2:L144,L144)=1,1,0))</f>
        <v>1</v>
      </c>
      <c r="P144" s="55">
        <f>IF(A144="",0,IF(AND(F144="C&amp;T",COUNTIFS($A$2:A144,A144,$F$2:F144,"C&amp;T")=1),1,0))</f>
        <v>0</v>
      </c>
    </row>
    <row r="145" spans="1:16" x14ac:dyDescent="0.35">
      <c r="A145" s="54">
        <f>IFERROR(IF(INDEX(SPOT_Import!$A$1:$Z$2488,145,'Live Data'!$C$12)="","",INDEX(SPOT_Import!$A$1:$Z$2488,145,'Live Data'!$C$12)),"")</f>
        <v>10171</v>
      </c>
      <c r="B145" s="54" t="str">
        <f>IFERROR(IF(INDEX(SPOT_Import!$A$1:$Z$2488,145,'Live Data'!$C$13)="","",INDEX(SPOT_Import!$A$1:$Z$2488,145,'Live Data'!$C$13)),"")</f>
        <v>Engineer District Hospital</v>
      </c>
      <c r="C145" s="54" t="str">
        <f>IFERROR(IF(INDEX(SPOT_Import!$A$1:$Z$2488,145,'Live Data'!$C$14)="","",INDEX(SPOT_Import!$A$1:$Z$2488,145,'Live Data'!$C$14)),"")</f>
        <v>NYANDARUA</v>
      </c>
      <c r="D145" s="54" t="str">
        <f>IFERROR(IF(INDEX(SPOT_Import!$A$1:$Z$2488,145,'Live Data'!$C$15)="","",INDEX(SPOT_Import!$A$1:$Z$2488,145,'Live Data'!$C$15)),"")</f>
        <v>Kinangop</v>
      </c>
      <c r="E145" s="54" t="str">
        <f>IFERROR(IF(INDEX(SPOT_Import!$A$1:$Z$2488,145,'Live Data'!$C$16)="","",INDEX(SPOT_Import!$A$1:$Z$2488,145,'Live Data'!$C$16)),"")</f>
        <v>USAID Jamii Tekelezi</v>
      </c>
      <c r="F145" s="54" t="str">
        <f>IFERROR(IF(INDEX(SPOT_Import!$A$1:$Z$2488,145,'Live Data'!$C$17)="","",INDEX(SPOT_Import!$A$1:$Z$2488,145,'Live Data'!$C$17)),"")</f>
        <v>MNCH</v>
      </c>
      <c r="G145" s="54">
        <f>IFERROR(IF(INDEX(SPOT_Import!$A$1:$Z$2488,145,'Live Data'!$C$18)="","",INDEX(SPOT_Import!$A$1:$Z$2488,145,'Live Data'!$C$18)),"")</f>
        <v>435</v>
      </c>
      <c r="H145" s="54">
        <f>IFERROR(IF(INDEX(SPOT_Import!$A$1:$Z$2488,145,'Live Data'!$C$19)="","",INDEX(SPOT_Import!$A$1:$Z$2488,145,'Live Data'!$C$19)),"")</f>
        <v>435</v>
      </c>
      <c r="I145" s="54" t="str">
        <f>IFERROR(IF(INDEX(SPOT_Import!$A$1:$Z$2488,145,'Live Data'!$C$20)="","",INDEX(SPOT_Import!$A$1:$Z$2488,145,'Live Data'!$C$20)),"")</f>
        <v>Complete</v>
      </c>
      <c r="J145" s="54" t="str">
        <f>IFERROR(IF(INDEX(SPOT_Import!$A$1:$Z$2488,145,'Live Data'!$C$21)="","",INDEX(SPOT_Import!$A$1:$Z$2488,145,'Live Data'!$C$21)),"")</f>
        <v>2026-10-08T11:03:04.000Z</v>
      </c>
      <c r="K145" s="54" t="str">
        <f>IFERROR(IF(INDEX(SPOT_Import!$A$1:$Z$2488,145,'Live Data'!$C$22)="","",INDEX(SPOT_Import!$A$1:$Z$2488,145,'Live Data'!$C$22)),"")</f>
        <v>2026-10-08T11:03:04.000Z</v>
      </c>
      <c r="L145" s="55" t="str">
        <f t="shared" si="4"/>
        <v>2026-10</v>
      </c>
      <c r="M145" s="55" t="str">
        <f t="shared" si="5"/>
        <v>NYANDARUA</v>
      </c>
      <c r="N145" s="55" t="str">
        <f>IF(A145="","",IFERROR(INDEX('Cluster Map'!$A$4:$A$38,MATCH(M145,'Cluster Map'!$B$4:$B$38,0)),"Unmapped"))</f>
        <v>Cluster 4</v>
      </c>
      <c r="O145" s="55">
        <f>IF(A145="",0,IF(COUNTIFS($A$2:A145,A145,$F$2:F145,F145,$L$2:L145,L145)=1,1,0))</f>
        <v>1</v>
      </c>
      <c r="P145" s="55">
        <f>IF(A145="",0,IF(AND(F145="C&amp;T",COUNTIFS($A$2:A145,A145,$F$2:F145,"C&amp;T")=1),1,0))</f>
        <v>0</v>
      </c>
    </row>
    <row r="146" spans="1:16" x14ac:dyDescent="0.35">
      <c r="A146" s="54">
        <f>IFERROR(IF(INDEX(SPOT_Import!$A$1:$Z$2488,146,'Live Data'!$C$12)="","",INDEX(SPOT_Import!$A$1:$Z$2488,146,'Live Data'!$C$12)),"")</f>
        <v>12041</v>
      </c>
      <c r="B146" s="54" t="str">
        <f>IFERROR(IF(INDEX(SPOT_Import!$A$1:$Z$2488,146,'Live Data'!$C$13)="","",INDEX(SPOT_Import!$A$1:$Z$2488,146,'Live Data'!$C$13)),"")</f>
        <v>Githongo District Hospital</v>
      </c>
      <c r="C146" s="54" t="str">
        <f>IFERROR(IF(INDEX(SPOT_Import!$A$1:$Z$2488,146,'Live Data'!$C$14)="","",INDEX(SPOT_Import!$A$1:$Z$2488,146,'Live Data'!$C$14)),"")</f>
        <v>MERU</v>
      </c>
      <c r="D146" s="54" t="str">
        <f>IFERROR(IF(INDEX(SPOT_Import!$A$1:$Z$2488,146,'Live Data'!$C$15)="","",INDEX(SPOT_Import!$A$1:$Z$2488,146,'Live Data'!$C$15)),"")</f>
        <v>Imenti Central</v>
      </c>
      <c r="E146" s="54" t="str">
        <f>IFERROR(IF(INDEX(SPOT_Import!$A$1:$Z$2488,146,'Live Data'!$C$16)="","",INDEX(SPOT_Import!$A$1:$Z$2488,146,'Live Data'!$C$16)),"")</f>
        <v>USAID Jamii Tekelezi</v>
      </c>
      <c r="F146" s="54" t="str">
        <f>IFERROR(IF(INDEX(SPOT_Import!$A$1:$Z$2488,146,'Live Data'!$C$17)="","",INDEX(SPOT_Import!$A$1:$Z$2488,146,'Live Data'!$C$17)),"")</f>
        <v>C&amp;T</v>
      </c>
      <c r="G146" s="54">
        <f>IFERROR(IF(INDEX(SPOT_Import!$A$1:$Z$2488,146,'Live Data'!$C$18)="","",INDEX(SPOT_Import!$A$1:$Z$2488,146,'Live Data'!$C$18)),"")</f>
        <v>1323</v>
      </c>
      <c r="H146" s="54">
        <f>IFERROR(IF(INDEX(SPOT_Import!$A$1:$Z$2488,146,'Live Data'!$C$19)="","",INDEX(SPOT_Import!$A$1:$Z$2488,146,'Live Data'!$C$19)),"")</f>
        <v>1323</v>
      </c>
      <c r="I146" s="54" t="str">
        <f>IFERROR(IF(INDEX(SPOT_Import!$A$1:$Z$2488,146,'Live Data'!$C$20)="","",INDEX(SPOT_Import!$A$1:$Z$2488,146,'Live Data'!$C$20)),"")</f>
        <v>Complete</v>
      </c>
      <c r="J146" s="54" t="str">
        <f>IFERROR(IF(INDEX(SPOT_Import!$A$1:$Z$2488,146,'Live Data'!$C$21)="","",INDEX(SPOT_Import!$A$1:$Z$2488,146,'Live Data'!$C$21)),"")</f>
        <v>2026-10-08T10:35:36.000Z</v>
      </c>
      <c r="K146" s="54" t="str">
        <f>IFERROR(IF(INDEX(SPOT_Import!$A$1:$Z$2488,146,'Live Data'!$C$22)="","",INDEX(SPOT_Import!$A$1:$Z$2488,146,'Live Data'!$C$22)),"")</f>
        <v>2026-10-08T10:35:36.000Z</v>
      </c>
      <c r="L146" s="55" t="str">
        <f t="shared" si="4"/>
        <v>2026-10</v>
      </c>
      <c r="M146" s="55" t="str">
        <f t="shared" si="5"/>
        <v>MERU</v>
      </c>
      <c r="N146" s="55" t="str">
        <f>IF(A146="","",IFERROR(INDEX('Cluster Map'!$A$4:$A$38,MATCH(M146,'Cluster Map'!$B$4:$B$38,0)),"Unmapped"))</f>
        <v>Cluster 1</v>
      </c>
      <c r="O146" s="55">
        <f>IF(A146="",0,IF(COUNTIFS($A$2:A146,A146,$F$2:F146,F146,$L$2:L146,L146)=1,1,0))</f>
        <v>1</v>
      </c>
      <c r="P146" s="55">
        <f>IF(A146="",0,IF(AND(F146="C&amp;T",COUNTIFS($A$2:A146,A146,$F$2:F146,"C&amp;T")=1),1,0))</f>
        <v>1</v>
      </c>
    </row>
    <row r="147" spans="1:16" x14ac:dyDescent="0.35">
      <c r="A147" s="54">
        <f>IFERROR(IF(INDEX(SPOT_Import!$A$1:$Z$2488,147,'Live Data'!$C$12)="","",INDEX(SPOT_Import!$A$1:$Z$2488,147,'Live Data'!$C$12)),"")</f>
        <v>16555</v>
      </c>
      <c r="B147" s="54" t="str">
        <f>IFERROR(IF(INDEX(SPOT_Import!$A$1:$Z$2488,147,'Live Data'!$C$13)="","",INDEX(SPOT_Import!$A$1:$Z$2488,147,'Live Data'!$C$13)),"")</f>
        <v>Theere Health Centre</v>
      </c>
      <c r="C147" s="54" t="str">
        <f>IFERROR(IF(INDEX(SPOT_Import!$A$1:$Z$2488,147,'Live Data'!$C$14)="","",INDEX(SPOT_Import!$A$1:$Z$2488,147,'Live Data'!$C$14)),"")</f>
        <v>MERU</v>
      </c>
      <c r="D147" s="54" t="str">
        <f>IFERROR(IF(INDEX(SPOT_Import!$A$1:$Z$2488,147,'Live Data'!$C$15)="","",INDEX(SPOT_Import!$A$1:$Z$2488,147,'Live Data'!$C$15)),"")</f>
        <v>Igembe North</v>
      </c>
      <c r="E147" s="54" t="str">
        <f>IFERROR(IF(INDEX(SPOT_Import!$A$1:$Z$2488,147,'Live Data'!$C$16)="","",INDEX(SPOT_Import!$A$1:$Z$2488,147,'Live Data'!$C$16)),"")</f>
        <v>USAID Jamii Tekelezi</v>
      </c>
      <c r="F147" s="54" t="str">
        <f>IFERROR(IF(INDEX(SPOT_Import!$A$1:$Z$2488,147,'Live Data'!$C$17)="","",INDEX(SPOT_Import!$A$1:$Z$2488,147,'Live Data'!$C$17)),"")</f>
        <v>PREP</v>
      </c>
      <c r="G147" s="54">
        <f>IFERROR(IF(INDEX(SPOT_Import!$A$1:$Z$2488,147,'Live Data'!$C$18)="","",INDEX(SPOT_Import!$A$1:$Z$2488,147,'Live Data'!$C$18)),"")</f>
        <v>139</v>
      </c>
      <c r="H147" s="54">
        <f>IFERROR(IF(INDEX(SPOT_Import!$A$1:$Z$2488,147,'Live Data'!$C$19)="","",INDEX(SPOT_Import!$A$1:$Z$2488,147,'Live Data'!$C$19)),"")</f>
        <v>139</v>
      </c>
      <c r="I147" s="54" t="str">
        <f>IFERROR(IF(INDEX(SPOT_Import!$A$1:$Z$2488,147,'Live Data'!$C$20)="","",INDEX(SPOT_Import!$A$1:$Z$2488,147,'Live Data'!$C$20)),"")</f>
        <v>Complete</v>
      </c>
      <c r="J147" s="54" t="str">
        <f>IFERROR(IF(INDEX(SPOT_Import!$A$1:$Z$2488,147,'Live Data'!$C$21)="","",INDEX(SPOT_Import!$A$1:$Z$2488,147,'Live Data'!$C$21)),"")</f>
        <v>2026-10-08T10:35:13.000Z</v>
      </c>
      <c r="K147" s="54" t="str">
        <f>IFERROR(IF(INDEX(SPOT_Import!$A$1:$Z$2488,147,'Live Data'!$C$22)="","",INDEX(SPOT_Import!$A$1:$Z$2488,147,'Live Data'!$C$22)),"")</f>
        <v>2026-10-08T10:35:13.000Z</v>
      </c>
      <c r="L147" s="55" t="str">
        <f t="shared" si="4"/>
        <v>2026-10</v>
      </c>
      <c r="M147" s="55" t="str">
        <f t="shared" si="5"/>
        <v>MERU</v>
      </c>
      <c r="N147" s="55" t="str">
        <f>IF(A147="","",IFERROR(INDEX('Cluster Map'!$A$4:$A$38,MATCH(M147,'Cluster Map'!$B$4:$B$38,0)),"Unmapped"))</f>
        <v>Cluster 1</v>
      </c>
      <c r="O147" s="55">
        <f>IF(A147="",0,IF(COUNTIFS($A$2:A147,A147,$F$2:F147,F147,$L$2:L147,L147)=1,1,0))</f>
        <v>1</v>
      </c>
      <c r="P147" s="55">
        <f>IF(A147="",0,IF(AND(F147="C&amp;T",COUNTIFS($A$2:A147,A147,$F$2:F147,"C&amp;T")=1),1,0))</f>
        <v>0</v>
      </c>
    </row>
    <row r="148" spans="1:16" x14ac:dyDescent="0.35">
      <c r="A148" s="54">
        <f>IFERROR(IF(INDEX(SPOT_Import!$A$1:$Z$2488,148,'Live Data'!$C$12)="","",INDEX(SPOT_Import!$A$1:$Z$2488,148,'Live Data'!$C$12)),"")</f>
        <v>16555</v>
      </c>
      <c r="B148" s="54" t="str">
        <f>IFERROR(IF(INDEX(SPOT_Import!$A$1:$Z$2488,148,'Live Data'!$C$13)="","",INDEX(SPOT_Import!$A$1:$Z$2488,148,'Live Data'!$C$13)),"")</f>
        <v>Theere Health Centre</v>
      </c>
      <c r="C148" s="54" t="str">
        <f>IFERROR(IF(INDEX(SPOT_Import!$A$1:$Z$2488,148,'Live Data'!$C$14)="","",INDEX(SPOT_Import!$A$1:$Z$2488,148,'Live Data'!$C$14)),"")</f>
        <v>MERU</v>
      </c>
      <c r="D148" s="54" t="str">
        <f>IFERROR(IF(INDEX(SPOT_Import!$A$1:$Z$2488,148,'Live Data'!$C$15)="","",INDEX(SPOT_Import!$A$1:$Z$2488,148,'Live Data'!$C$15)),"")</f>
        <v>Igembe North</v>
      </c>
      <c r="E148" s="54" t="str">
        <f>IFERROR(IF(INDEX(SPOT_Import!$A$1:$Z$2488,148,'Live Data'!$C$16)="","",INDEX(SPOT_Import!$A$1:$Z$2488,148,'Live Data'!$C$16)),"")</f>
        <v>USAID Jamii Tekelezi</v>
      </c>
      <c r="F148" s="54" t="str">
        <f>IFERROR(IF(INDEX(SPOT_Import!$A$1:$Z$2488,148,'Live Data'!$C$17)="","",INDEX(SPOT_Import!$A$1:$Z$2488,148,'Live Data'!$C$17)),"")</f>
        <v>MNCH</v>
      </c>
      <c r="G148" s="54">
        <f>IFERROR(IF(INDEX(SPOT_Import!$A$1:$Z$2488,148,'Live Data'!$C$18)="","",INDEX(SPOT_Import!$A$1:$Z$2488,148,'Live Data'!$C$18)),"")</f>
        <v>45</v>
      </c>
      <c r="H148" s="54">
        <f>IFERROR(IF(INDEX(SPOT_Import!$A$1:$Z$2488,148,'Live Data'!$C$19)="","",INDEX(SPOT_Import!$A$1:$Z$2488,148,'Live Data'!$C$19)),"")</f>
        <v>45</v>
      </c>
      <c r="I148" s="54" t="str">
        <f>IFERROR(IF(INDEX(SPOT_Import!$A$1:$Z$2488,148,'Live Data'!$C$20)="","",INDEX(SPOT_Import!$A$1:$Z$2488,148,'Live Data'!$C$20)),"")</f>
        <v>Complete</v>
      </c>
      <c r="J148" s="54" t="str">
        <f>IFERROR(IF(INDEX(SPOT_Import!$A$1:$Z$2488,148,'Live Data'!$C$21)="","",INDEX(SPOT_Import!$A$1:$Z$2488,148,'Live Data'!$C$21)),"")</f>
        <v>2026-10-08T10:34:23.000Z</v>
      </c>
      <c r="K148" s="54" t="str">
        <f>IFERROR(IF(INDEX(SPOT_Import!$A$1:$Z$2488,148,'Live Data'!$C$22)="","",INDEX(SPOT_Import!$A$1:$Z$2488,148,'Live Data'!$C$22)),"")</f>
        <v>2026-10-08T10:34:23.000Z</v>
      </c>
      <c r="L148" s="55" t="str">
        <f t="shared" si="4"/>
        <v>2026-10</v>
      </c>
      <c r="M148" s="55" t="str">
        <f t="shared" si="5"/>
        <v>MERU</v>
      </c>
      <c r="N148" s="55" t="str">
        <f>IF(A148="","",IFERROR(INDEX('Cluster Map'!$A$4:$A$38,MATCH(M148,'Cluster Map'!$B$4:$B$38,0)),"Unmapped"))</f>
        <v>Cluster 1</v>
      </c>
      <c r="O148" s="55">
        <f>IF(A148="",0,IF(COUNTIFS($A$2:A148,A148,$F$2:F148,F148,$L$2:L148,L148)=1,1,0))</f>
        <v>1</v>
      </c>
      <c r="P148" s="55">
        <f>IF(A148="",0,IF(AND(F148="C&amp;T",COUNTIFS($A$2:A148,A148,$F$2:F148,"C&amp;T")=1),1,0))</f>
        <v>0</v>
      </c>
    </row>
    <row r="149" spans="1:16" x14ac:dyDescent="0.35">
      <c r="A149" s="54">
        <f>IFERROR(IF(INDEX(SPOT_Import!$A$1:$Z$2488,149,'Live Data'!$C$12)="","",INDEX(SPOT_Import!$A$1:$Z$2488,149,'Live Data'!$C$12)),"")</f>
        <v>12041</v>
      </c>
      <c r="B149" s="54" t="str">
        <f>IFERROR(IF(INDEX(SPOT_Import!$A$1:$Z$2488,149,'Live Data'!$C$13)="","",INDEX(SPOT_Import!$A$1:$Z$2488,149,'Live Data'!$C$13)),"")</f>
        <v>Githongo District Hospital</v>
      </c>
      <c r="C149" s="54" t="str">
        <f>IFERROR(IF(INDEX(SPOT_Import!$A$1:$Z$2488,149,'Live Data'!$C$14)="","",INDEX(SPOT_Import!$A$1:$Z$2488,149,'Live Data'!$C$14)),"")</f>
        <v>MERU</v>
      </c>
      <c r="D149" s="54" t="str">
        <f>IFERROR(IF(INDEX(SPOT_Import!$A$1:$Z$2488,149,'Live Data'!$C$15)="","",INDEX(SPOT_Import!$A$1:$Z$2488,149,'Live Data'!$C$15)),"")</f>
        <v>Imenti Central</v>
      </c>
      <c r="E149" s="54" t="str">
        <f>IFERROR(IF(INDEX(SPOT_Import!$A$1:$Z$2488,149,'Live Data'!$C$16)="","",INDEX(SPOT_Import!$A$1:$Z$2488,149,'Live Data'!$C$16)),"")</f>
        <v>USAID Jamii Tekelezi</v>
      </c>
      <c r="F149" s="54" t="str">
        <f>IFERROR(IF(INDEX(SPOT_Import!$A$1:$Z$2488,149,'Live Data'!$C$17)="","",INDEX(SPOT_Import!$A$1:$Z$2488,149,'Live Data'!$C$17)),"")</f>
        <v>MNCH</v>
      </c>
      <c r="G149" s="54">
        <f>IFERROR(IF(INDEX(SPOT_Import!$A$1:$Z$2488,149,'Live Data'!$C$18)="","",INDEX(SPOT_Import!$A$1:$Z$2488,149,'Live Data'!$C$18)),"")</f>
        <v>5</v>
      </c>
      <c r="H149" s="54">
        <f>IFERROR(IF(INDEX(SPOT_Import!$A$1:$Z$2488,149,'Live Data'!$C$19)="","",INDEX(SPOT_Import!$A$1:$Z$2488,149,'Live Data'!$C$19)),"")</f>
        <v>5</v>
      </c>
      <c r="I149" s="54" t="str">
        <f>IFERROR(IF(INDEX(SPOT_Import!$A$1:$Z$2488,149,'Live Data'!$C$20)="","",INDEX(SPOT_Import!$A$1:$Z$2488,149,'Live Data'!$C$20)),"")</f>
        <v>Complete</v>
      </c>
      <c r="J149" s="54" t="str">
        <f>IFERROR(IF(INDEX(SPOT_Import!$A$1:$Z$2488,149,'Live Data'!$C$21)="","",INDEX(SPOT_Import!$A$1:$Z$2488,149,'Live Data'!$C$21)),"")</f>
        <v>2026-10-08T10:25:30.000Z</v>
      </c>
      <c r="K149" s="54" t="str">
        <f>IFERROR(IF(INDEX(SPOT_Import!$A$1:$Z$2488,149,'Live Data'!$C$22)="","",INDEX(SPOT_Import!$A$1:$Z$2488,149,'Live Data'!$C$22)),"")</f>
        <v>2026-10-08T10:25:30.000Z</v>
      </c>
      <c r="L149" s="55" t="str">
        <f t="shared" si="4"/>
        <v>2026-10</v>
      </c>
      <c r="M149" s="55" t="str">
        <f t="shared" si="5"/>
        <v>MERU</v>
      </c>
      <c r="N149" s="55" t="str">
        <f>IF(A149="","",IFERROR(INDEX('Cluster Map'!$A$4:$A$38,MATCH(M149,'Cluster Map'!$B$4:$B$38,0)),"Unmapped"))</f>
        <v>Cluster 1</v>
      </c>
      <c r="O149" s="55">
        <f>IF(A149="",0,IF(COUNTIFS($A$2:A149,A149,$F$2:F149,F149,$L$2:L149,L149)=1,1,0))</f>
        <v>1</v>
      </c>
      <c r="P149" s="55">
        <f>IF(A149="",0,IF(AND(F149="C&amp;T",COUNTIFS($A$2:A149,A149,$F$2:F149,"C&amp;T")=1),1,0))</f>
        <v>0</v>
      </c>
    </row>
    <row r="150" spans="1:16" x14ac:dyDescent="0.35">
      <c r="A150" s="54">
        <f>IFERROR(IF(INDEX(SPOT_Import!$A$1:$Z$2488,150,'Live Data'!$C$12)="","",INDEX(SPOT_Import!$A$1:$Z$2488,150,'Live Data'!$C$12)),"")</f>
        <v>12041</v>
      </c>
      <c r="B150" s="54" t="str">
        <f>IFERROR(IF(INDEX(SPOT_Import!$A$1:$Z$2488,150,'Live Data'!$C$13)="","",INDEX(SPOT_Import!$A$1:$Z$2488,150,'Live Data'!$C$13)),"")</f>
        <v>Githongo District Hospital</v>
      </c>
      <c r="C150" s="54" t="str">
        <f>IFERROR(IF(INDEX(SPOT_Import!$A$1:$Z$2488,150,'Live Data'!$C$14)="","",INDEX(SPOT_Import!$A$1:$Z$2488,150,'Live Data'!$C$14)),"")</f>
        <v>MERU</v>
      </c>
      <c r="D150" s="54" t="str">
        <f>IFERROR(IF(INDEX(SPOT_Import!$A$1:$Z$2488,150,'Live Data'!$C$15)="","",INDEX(SPOT_Import!$A$1:$Z$2488,150,'Live Data'!$C$15)),"")</f>
        <v>Imenti Central</v>
      </c>
      <c r="E150" s="54" t="str">
        <f>IFERROR(IF(INDEX(SPOT_Import!$A$1:$Z$2488,150,'Live Data'!$C$16)="","",INDEX(SPOT_Import!$A$1:$Z$2488,150,'Live Data'!$C$16)),"")</f>
        <v>USAID Jamii Tekelezi</v>
      </c>
      <c r="F150" s="54" t="str">
        <f>IFERROR(IF(INDEX(SPOT_Import!$A$1:$Z$2488,150,'Live Data'!$C$17)="","",INDEX(SPOT_Import!$A$1:$Z$2488,150,'Live Data'!$C$17)),"")</f>
        <v>HTS</v>
      </c>
      <c r="G150" s="54">
        <f>IFERROR(IF(INDEX(SPOT_Import!$A$1:$Z$2488,150,'Live Data'!$C$18)="","",INDEX(SPOT_Import!$A$1:$Z$2488,150,'Live Data'!$C$18)),"")</f>
        <v>1924</v>
      </c>
      <c r="H150" s="54">
        <f>IFERROR(IF(INDEX(SPOT_Import!$A$1:$Z$2488,150,'Live Data'!$C$19)="","",INDEX(SPOT_Import!$A$1:$Z$2488,150,'Live Data'!$C$19)),"")</f>
        <v>1924</v>
      </c>
      <c r="I150" s="54" t="str">
        <f>IFERROR(IF(INDEX(SPOT_Import!$A$1:$Z$2488,150,'Live Data'!$C$20)="","",INDEX(SPOT_Import!$A$1:$Z$2488,150,'Live Data'!$C$20)),"")</f>
        <v>Complete</v>
      </c>
      <c r="J150" s="54" t="str">
        <f>IFERROR(IF(INDEX(SPOT_Import!$A$1:$Z$2488,150,'Live Data'!$C$21)="","",INDEX(SPOT_Import!$A$1:$Z$2488,150,'Live Data'!$C$21)),"")</f>
        <v>2026-10-08T10:24:00.000Z</v>
      </c>
      <c r="K150" s="54" t="str">
        <f>IFERROR(IF(INDEX(SPOT_Import!$A$1:$Z$2488,150,'Live Data'!$C$22)="","",INDEX(SPOT_Import!$A$1:$Z$2488,150,'Live Data'!$C$22)),"")</f>
        <v>2026-10-08T10:24:00.000Z</v>
      </c>
      <c r="L150" s="55" t="str">
        <f t="shared" si="4"/>
        <v>2026-10</v>
      </c>
      <c r="M150" s="55" t="str">
        <f t="shared" si="5"/>
        <v>MERU</v>
      </c>
      <c r="N150" s="55" t="str">
        <f>IF(A150="","",IFERROR(INDEX('Cluster Map'!$A$4:$A$38,MATCH(M150,'Cluster Map'!$B$4:$B$38,0)),"Unmapped"))</f>
        <v>Cluster 1</v>
      </c>
      <c r="O150" s="55">
        <f>IF(A150="",0,IF(COUNTIFS($A$2:A150,A150,$F$2:F150,F150,$L$2:L150,L150)=1,1,0))</f>
        <v>1</v>
      </c>
      <c r="P150" s="55">
        <f>IF(A150="",0,IF(AND(F150="C&amp;T",COUNTIFS($A$2:A150,A150,$F$2:F150,"C&amp;T")=1),1,0))</f>
        <v>0</v>
      </c>
    </row>
    <row r="151" spans="1:16" x14ac:dyDescent="0.35">
      <c r="A151" s="54">
        <f>IFERROR(IF(INDEX(SPOT_Import!$A$1:$Z$2488,151,'Live Data'!$C$12)="","",INDEX(SPOT_Import!$A$1:$Z$2488,151,'Live Data'!$C$12)),"")</f>
        <v>12027</v>
      </c>
      <c r="B151" s="54" t="str">
        <f>IFERROR(IF(INDEX(SPOT_Import!$A$1:$Z$2488,151,'Live Data'!$C$13)="","",INDEX(SPOT_Import!$A$1:$Z$2488,151,'Live Data'!$C$13)),"")</f>
        <v>Gakoromone Dispensary</v>
      </c>
      <c r="C151" s="54" t="str">
        <f>IFERROR(IF(INDEX(SPOT_Import!$A$1:$Z$2488,151,'Live Data'!$C$14)="","",INDEX(SPOT_Import!$A$1:$Z$2488,151,'Live Data'!$C$14)),"")</f>
        <v>MERU</v>
      </c>
      <c r="D151" s="54" t="str">
        <f>IFERROR(IF(INDEX(SPOT_Import!$A$1:$Z$2488,151,'Live Data'!$C$15)="","",INDEX(SPOT_Import!$A$1:$Z$2488,151,'Live Data'!$C$15)),"")</f>
        <v>Imenti North</v>
      </c>
      <c r="E151" s="54" t="str">
        <f>IFERROR(IF(INDEX(SPOT_Import!$A$1:$Z$2488,151,'Live Data'!$C$16)="","",INDEX(SPOT_Import!$A$1:$Z$2488,151,'Live Data'!$C$16)),"")</f>
        <v>USAID Jamii Tekelezi</v>
      </c>
      <c r="F151" s="54" t="str">
        <f>IFERROR(IF(INDEX(SPOT_Import!$A$1:$Z$2488,151,'Live Data'!$C$17)="","",INDEX(SPOT_Import!$A$1:$Z$2488,151,'Live Data'!$C$17)),"")</f>
        <v>PREP</v>
      </c>
      <c r="G151" s="54">
        <f>IFERROR(IF(INDEX(SPOT_Import!$A$1:$Z$2488,151,'Live Data'!$C$18)="","",INDEX(SPOT_Import!$A$1:$Z$2488,151,'Live Data'!$C$18)),"")</f>
        <v>198</v>
      </c>
      <c r="H151" s="54">
        <f>IFERROR(IF(INDEX(SPOT_Import!$A$1:$Z$2488,151,'Live Data'!$C$19)="","",INDEX(SPOT_Import!$A$1:$Z$2488,151,'Live Data'!$C$19)),"")</f>
        <v>198</v>
      </c>
      <c r="I151" s="54" t="str">
        <f>IFERROR(IF(INDEX(SPOT_Import!$A$1:$Z$2488,151,'Live Data'!$C$20)="","",INDEX(SPOT_Import!$A$1:$Z$2488,151,'Live Data'!$C$20)),"")</f>
        <v>Complete</v>
      </c>
      <c r="J151" s="54" t="str">
        <f>IFERROR(IF(INDEX(SPOT_Import!$A$1:$Z$2488,151,'Live Data'!$C$21)="","",INDEX(SPOT_Import!$A$1:$Z$2488,151,'Live Data'!$C$21)),"")</f>
        <v>2026-10-08T10:01:43.000Z</v>
      </c>
      <c r="K151" s="54" t="str">
        <f>IFERROR(IF(INDEX(SPOT_Import!$A$1:$Z$2488,151,'Live Data'!$C$22)="","",INDEX(SPOT_Import!$A$1:$Z$2488,151,'Live Data'!$C$22)),"")</f>
        <v>2026-10-08T10:01:43.000Z</v>
      </c>
      <c r="L151" s="55" t="str">
        <f t="shared" si="4"/>
        <v>2026-10</v>
      </c>
      <c r="M151" s="55" t="str">
        <f t="shared" si="5"/>
        <v>MERU</v>
      </c>
      <c r="N151" s="55" t="str">
        <f>IF(A151="","",IFERROR(INDEX('Cluster Map'!$A$4:$A$38,MATCH(M151,'Cluster Map'!$B$4:$B$38,0)),"Unmapped"))</f>
        <v>Cluster 1</v>
      </c>
      <c r="O151" s="55">
        <f>IF(A151="",0,IF(COUNTIFS($A$2:A151,A151,$F$2:F151,F151,$L$2:L151,L151)=1,1,0))</f>
        <v>1</v>
      </c>
      <c r="P151" s="55">
        <f>IF(A151="",0,IF(AND(F151="C&amp;T",COUNTIFS($A$2:A151,A151,$F$2:F151,"C&amp;T")=1),1,0))</f>
        <v>0</v>
      </c>
    </row>
    <row r="152" spans="1:16" x14ac:dyDescent="0.35">
      <c r="A152" s="54">
        <f>IFERROR(IF(INDEX(SPOT_Import!$A$1:$Z$2488,152,'Live Data'!$C$12)="","",INDEX(SPOT_Import!$A$1:$Z$2488,152,'Live Data'!$C$12)),"")</f>
        <v>12027</v>
      </c>
      <c r="B152" s="54" t="str">
        <f>IFERROR(IF(INDEX(SPOT_Import!$A$1:$Z$2488,152,'Live Data'!$C$13)="","",INDEX(SPOT_Import!$A$1:$Z$2488,152,'Live Data'!$C$13)),"")</f>
        <v>Gakoromone Dispensary</v>
      </c>
      <c r="C152" s="54" t="str">
        <f>IFERROR(IF(INDEX(SPOT_Import!$A$1:$Z$2488,152,'Live Data'!$C$14)="","",INDEX(SPOT_Import!$A$1:$Z$2488,152,'Live Data'!$C$14)),"")</f>
        <v>MERU</v>
      </c>
      <c r="D152" s="54" t="str">
        <f>IFERROR(IF(INDEX(SPOT_Import!$A$1:$Z$2488,152,'Live Data'!$C$15)="","",INDEX(SPOT_Import!$A$1:$Z$2488,152,'Live Data'!$C$15)),"")</f>
        <v>Imenti North</v>
      </c>
      <c r="E152" s="54" t="str">
        <f>IFERROR(IF(INDEX(SPOT_Import!$A$1:$Z$2488,152,'Live Data'!$C$16)="","",INDEX(SPOT_Import!$A$1:$Z$2488,152,'Live Data'!$C$16)),"")</f>
        <v>USAID Jamii Tekelezi</v>
      </c>
      <c r="F152" s="54" t="str">
        <f>IFERROR(IF(INDEX(SPOT_Import!$A$1:$Z$2488,152,'Live Data'!$C$17)="","",INDEX(SPOT_Import!$A$1:$Z$2488,152,'Live Data'!$C$17)),"")</f>
        <v>MNCH</v>
      </c>
      <c r="G152" s="54">
        <f>IFERROR(IF(INDEX(SPOT_Import!$A$1:$Z$2488,152,'Live Data'!$C$18)="","",INDEX(SPOT_Import!$A$1:$Z$2488,152,'Live Data'!$C$18)),"")</f>
        <v>107</v>
      </c>
      <c r="H152" s="54">
        <f>IFERROR(IF(INDEX(SPOT_Import!$A$1:$Z$2488,152,'Live Data'!$C$19)="","",INDEX(SPOT_Import!$A$1:$Z$2488,152,'Live Data'!$C$19)),"")</f>
        <v>107</v>
      </c>
      <c r="I152" s="54" t="str">
        <f>IFERROR(IF(INDEX(SPOT_Import!$A$1:$Z$2488,152,'Live Data'!$C$20)="","",INDEX(SPOT_Import!$A$1:$Z$2488,152,'Live Data'!$C$20)),"")</f>
        <v>Complete</v>
      </c>
      <c r="J152" s="54" t="str">
        <f>IFERROR(IF(INDEX(SPOT_Import!$A$1:$Z$2488,152,'Live Data'!$C$21)="","",INDEX(SPOT_Import!$A$1:$Z$2488,152,'Live Data'!$C$21)),"")</f>
        <v>2026-10-08T10:00:59.000Z</v>
      </c>
      <c r="K152" s="54" t="str">
        <f>IFERROR(IF(INDEX(SPOT_Import!$A$1:$Z$2488,152,'Live Data'!$C$22)="","",INDEX(SPOT_Import!$A$1:$Z$2488,152,'Live Data'!$C$22)),"")</f>
        <v>2026-10-08T10:00:59.000Z</v>
      </c>
      <c r="L152" s="55" t="str">
        <f t="shared" si="4"/>
        <v>2026-10</v>
      </c>
      <c r="M152" s="55" t="str">
        <f t="shared" si="5"/>
        <v>MERU</v>
      </c>
      <c r="N152" s="55" t="str">
        <f>IF(A152="","",IFERROR(INDEX('Cluster Map'!$A$4:$A$38,MATCH(M152,'Cluster Map'!$B$4:$B$38,0)),"Unmapped"))</f>
        <v>Cluster 1</v>
      </c>
      <c r="O152" s="55">
        <f>IF(A152="",0,IF(COUNTIFS($A$2:A152,A152,$F$2:F152,F152,$L$2:L152,L152)=1,1,0))</f>
        <v>1</v>
      </c>
      <c r="P152" s="55">
        <f>IF(A152="",0,IF(AND(F152="C&amp;T",COUNTIFS($A$2:A152,A152,$F$2:F152,"C&amp;T")=1),1,0))</f>
        <v>0</v>
      </c>
    </row>
    <row r="153" spans="1:16" x14ac:dyDescent="0.35">
      <c r="A153" s="54">
        <f>IFERROR(IF(INDEX(SPOT_Import!$A$1:$Z$2488,153,'Live Data'!$C$12)="","",INDEX(SPOT_Import!$A$1:$Z$2488,153,'Live Data'!$C$12)),"")</f>
        <v>17381</v>
      </c>
      <c r="B153" s="54" t="str">
        <f>IFERROR(IF(INDEX(SPOT_Import!$A$1:$Z$2488,153,'Live Data'!$C$13)="","",INDEX(SPOT_Import!$A$1:$Z$2488,153,'Live Data'!$C$13)),"")</f>
        <v>Kaelo Dispensary</v>
      </c>
      <c r="C153" s="54" t="str">
        <f>IFERROR(IF(INDEX(SPOT_Import!$A$1:$Z$2488,153,'Live Data'!$C$14)="","",INDEX(SPOT_Import!$A$1:$Z$2488,153,'Live Data'!$C$14)),"")</f>
        <v>MERU</v>
      </c>
      <c r="D153" s="54" t="str">
        <f>IFERROR(IF(INDEX(SPOT_Import!$A$1:$Z$2488,153,'Live Data'!$C$15)="","",INDEX(SPOT_Import!$A$1:$Z$2488,153,'Live Data'!$C$15)),"")</f>
        <v>Igembe North</v>
      </c>
      <c r="E153" s="54" t="str">
        <f>IFERROR(IF(INDEX(SPOT_Import!$A$1:$Z$2488,153,'Live Data'!$C$16)="","",INDEX(SPOT_Import!$A$1:$Z$2488,153,'Live Data'!$C$16)),"")</f>
        <v>USAID Jamii Tekelezi</v>
      </c>
      <c r="F153" s="54" t="str">
        <f>IFERROR(IF(INDEX(SPOT_Import!$A$1:$Z$2488,153,'Live Data'!$C$17)="","",INDEX(SPOT_Import!$A$1:$Z$2488,153,'Live Data'!$C$17)),"")</f>
        <v>MNCH</v>
      </c>
      <c r="G153" s="54">
        <f>IFERROR(IF(INDEX(SPOT_Import!$A$1:$Z$2488,153,'Live Data'!$C$18)="","",INDEX(SPOT_Import!$A$1:$Z$2488,153,'Live Data'!$C$18)),"")</f>
        <v>1</v>
      </c>
      <c r="H153" s="54">
        <f>IFERROR(IF(INDEX(SPOT_Import!$A$1:$Z$2488,153,'Live Data'!$C$19)="","",INDEX(SPOT_Import!$A$1:$Z$2488,153,'Live Data'!$C$19)),"")</f>
        <v>1</v>
      </c>
      <c r="I153" s="54" t="str">
        <f>IFERROR(IF(INDEX(SPOT_Import!$A$1:$Z$2488,153,'Live Data'!$C$20)="","",INDEX(SPOT_Import!$A$1:$Z$2488,153,'Live Data'!$C$20)),"")</f>
        <v>Complete</v>
      </c>
      <c r="J153" s="54" t="str">
        <f>IFERROR(IF(INDEX(SPOT_Import!$A$1:$Z$2488,153,'Live Data'!$C$21)="","",INDEX(SPOT_Import!$A$1:$Z$2488,153,'Live Data'!$C$21)),"")</f>
        <v>2026-10-08T10:00:53.000Z</v>
      </c>
      <c r="K153" s="54" t="str">
        <f>IFERROR(IF(INDEX(SPOT_Import!$A$1:$Z$2488,153,'Live Data'!$C$22)="","",INDEX(SPOT_Import!$A$1:$Z$2488,153,'Live Data'!$C$22)),"")</f>
        <v>2026-10-08T10:00:53.000Z</v>
      </c>
      <c r="L153" s="55" t="str">
        <f t="shared" si="4"/>
        <v>2026-10</v>
      </c>
      <c r="M153" s="55" t="str">
        <f t="shared" si="5"/>
        <v>MERU</v>
      </c>
      <c r="N153" s="55" t="str">
        <f>IF(A153="","",IFERROR(INDEX('Cluster Map'!$A$4:$A$38,MATCH(M153,'Cluster Map'!$B$4:$B$38,0)),"Unmapped"))</f>
        <v>Cluster 1</v>
      </c>
      <c r="O153" s="55">
        <f>IF(A153="",0,IF(COUNTIFS($A$2:A153,A153,$F$2:F153,F153,$L$2:L153,L153)=1,1,0))</f>
        <v>1</v>
      </c>
      <c r="P153" s="55">
        <f>IF(A153="",0,IF(AND(F153="C&amp;T",COUNTIFS($A$2:A153,A153,$F$2:F153,"C&amp;T")=1),1,0))</f>
        <v>0</v>
      </c>
    </row>
    <row r="154" spans="1:16" x14ac:dyDescent="0.35">
      <c r="A154" s="54">
        <f>IFERROR(IF(INDEX(SPOT_Import!$A$1:$Z$2488,154,'Live Data'!$C$12)="","",INDEX(SPOT_Import!$A$1:$Z$2488,154,'Live Data'!$C$12)),"")</f>
        <v>12027</v>
      </c>
      <c r="B154" s="54" t="str">
        <f>IFERROR(IF(INDEX(SPOT_Import!$A$1:$Z$2488,154,'Live Data'!$C$13)="","",INDEX(SPOT_Import!$A$1:$Z$2488,154,'Live Data'!$C$13)),"")</f>
        <v>Gakoromone Dispensary</v>
      </c>
      <c r="C154" s="54" t="str">
        <f>IFERROR(IF(INDEX(SPOT_Import!$A$1:$Z$2488,154,'Live Data'!$C$14)="","",INDEX(SPOT_Import!$A$1:$Z$2488,154,'Live Data'!$C$14)),"")</f>
        <v>MERU</v>
      </c>
      <c r="D154" s="54" t="str">
        <f>IFERROR(IF(INDEX(SPOT_Import!$A$1:$Z$2488,154,'Live Data'!$C$15)="","",INDEX(SPOT_Import!$A$1:$Z$2488,154,'Live Data'!$C$15)),"")</f>
        <v>Imenti North</v>
      </c>
      <c r="E154" s="54" t="str">
        <f>IFERROR(IF(INDEX(SPOT_Import!$A$1:$Z$2488,154,'Live Data'!$C$16)="","",INDEX(SPOT_Import!$A$1:$Z$2488,154,'Live Data'!$C$16)),"")</f>
        <v>USAID Jamii Tekelezi</v>
      </c>
      <c r="F154" s="54" t="str">
        <f>IFERROR(IF(INDEX(SPOT_Import!$A$1:$Z$2488,154,'Live Data'!$C$17)="","",INDEX(SPOT_Import!$A$1:$Z$2488,154,'Live Data'!$C$17)),"")</f>
        <v>HTS</v>
      </c>
      <c r="G154" s="54">
        <f>IFERROR(IF(INDEX(SPOT_Import!$A$1:$Z$2488,154,'Live Data'!$C$18)="","",INDEX(SPOT_Import!$A$1:$Z$2488,154,'Live Data'!$C$18)),"")</f>
        <v>2267</v>
      </c>
      <c r="H154" s="54">
        <f>IFERROR(IF(INDEX(SPOT_Import!$A$1:$Z$2488,154,'Live Data'!$C$19)="","",INDEX(SPOT_Import!$A$1:$Z$2488,154,'Live Data'!$C$19)),"")</f>
        <v>2267</v>
      </c>
      <c r="I154" s="54" t="str">
        <f>IFERROR(IF(INDEX(SPOT_Import!$A$1:$Z$2488,154,'Live Data'!$C$20)="","",INDEX(SPOT_Import!$A$1:$Z$2488,154,'Live Data'!$C$20)),"")</f>
        <v>Complete</v>
      </c>
      <c r="J154" s="54" t="str">
        <f>IFERROR(IF(INDEX(SPOT_Import!$A$1:$Z$2488,154,'Live Data'!$C$21)="","",INDEX(SPOT_Import!$A$1:$Z$2488,154,'Live Data'!$C$21)),"")</f>
        <v>2026-10-08T10:00:32.000Z</v>
      </c>
      <c r="K154" s="54" t="str">
        <f>IFERROR(IF(INDEX(SPOT_Import!$A$1:$Z$2488,154,'Live Data'!$C$22)="","",INDEX(SPOT_Import!$A$1:$Z$2488,154,'Live Data'!$C$22)),"")</f>
        <v>2026-10-08T10:00:32.000Z</v>
      </c>
      <c r="L154" s="55" t="str">
        <f t="shared" si="4"/>
        <v>2026-10</v>
      </c>
      <c r="M154" s="55" t="str">
        <f t="shared" si="5"/>
        <v>MERU</v>
      </c>
      <c r="N154" s="55" t="str">
        <f>IF(A154="","",IFERROR(INDEX('Cluster Map'!$A$4:$A$38,MATCH(M154,'Cluster Map'!$B$4:$B$38,0)),"Unmapped"))</f>
        <v>Cluster 1</v>
      </c>
      <c r="O154" s="55">
        <f>IF(A154="",0,IF(COUNTIFS($A$2:A154,A154,$F$2:F154,F154,$L$2:L154,L154)=1,1,0))</f>
        <v>1</v>
      </c>
      <c r="P154" s="55">
        <f>IF(A154="",0,IF(AND(F154="C&amp;T",COUNTIFS($A$2:A154,A154,$F$2:F154,"C&amp;T")=1),1,0))</f>
        <v>0</v>
      </c>
    </row>
    <row r="155" spans="1:16" x14ac:dyDescent="0.35">
      <c r="A155" s="54">
        <f>IFERROR(IF(INDEX(SPOT_Import!$A$1:$Z$2488,155,'Live Data'!$C$12)="","",INDEX(SPOT_Import!$A$1:$Z$2488,155,'Live Data'!$C$12)),"")</f>
        <v>17381</v>
      </c>
      <c r="B155" s="54" t="str">
        <f>IFERROR(IF(INDEX(SPOT_Import!$A$1:$Z$2488,155,'Live Data'!$C$13)="","",INDEX(SPOT_Import!$A$1:$Z$2488,155,'Live Data'!$C$13)),"")</f>
        <v>Kaelo Dispensary</v>
      </c>
      <c r="C155" s="54" t="str">
        <f>IFERROR(IF(INDEX(SPOT_Import!$A$1:$Z$2488,155,'Live Data'!$C$14)="","",INDEX(SPOT_Import!$A$1:$Z$2488,155,'Live Data'!$C$14)),"")</f>
        <v>MERU</v>
      </c>
      <c r="D155" s="54" t="str">
        <f>IFERROR(IF(INDEX(SPOT_Import!$A$1:$Z$2488,155,'Live Data'!$C$15)="","",INDEX(SPOT_Import!$A$1:$Z$2488,155,'Live Data'!$C$15)),"")</f>
        <v>Igembe North</v>
      </c>
      <c r="E155" s="54" t="str">
        <f>IFERROR(IF(INDEX(SPOT_Import!$A$1:$Z$2488,155,'Live Data'!$C$16)="","",INDEX(SPOT_Import!$A$1:$Z$2488,155,'Live Data'!$C$16)),"")</f>
        <v>USAID Jamii Tekelezi</v>
      </c>
      <c r="F155" s="54" t="str">
        <f>IFERROR(IF(INDEX(SPOT_Import!$A$1:$Z$2488,155,'Live Data'!$C$17)="","",INDEX(SPOT_Import!$A$1:$Z$2488,155,'Live Data'!$C$17)),"")</f>
        <v>HTS</v>
      </c>
      <c r="G155" s="54">
        <f>IFERROR(IF(INDEX(SPOT_Import!$A$1:$Z$2488,155,'Live Data'!$C$18)="","",INDEX(SPOT_Import!$A$1:$Z$2488,155,'Live Data'!$C$18)),"")</f>
        <v>1</v>
      </c>
      <c r="H155" s="54">
        <f>IFERROR(IF(INDEX(SPOT_Import!$A$1:$Z$2488,155,'Live Data'!$C$19)="","",INDEX(SPOT_Import!$A$1:$Z$2488,155,'Live Data'!$C$19)),"")</f>
        <v>1</v>
      </c>
      <c r="I155" s="54" t="str">
        <f>IFERROR(IF(INDEX(SPOT_Import!$A$1:$Z$2488,155,'Live Data'!$C$20)="","",INDEX(SPOT_Import!$A$1:$Z$2488,155,'Live Data'!$C$20)),"")</f>
        <v>Complete</v>
      </c>
      <c r="J155" s="54" t="str">
        <f>IFERROR(IF(INDEX(SPOT_Import!$A$1:$Z$2488,155,'Live Data'!$C$21)="","",INDEX(SPOT_Import!$A$1:$Z$2488,155,'Live Data'!$C$21)),"")</f>
        <v>2026-10-08T09:57:47.000Z</v>
      </c>
      <c r="K155" s="54" t="str">
        <f>IFERROR(IF(INDEX(SPOT_Import!$A$1:$Z$2488,155,'Live Data'!$C$22)="","",INDEX(SPOT_Import!$A$1:$Z$2488,155,'Live Data'!$C$22)),"")</f>
        <v>2026-10-08T09:57:47.000Z</v>
      </c>
      <c r="L155" s="55" t="str">
        <f t="shared" si="4"/>
        <v>2026-10</v>
      </c>
      <c r="M155" s="55" t="str">
        <f t="shared" si="5"/>
        <v>MERU</v>
      </c>
      <c r="N155" s="55" t="str">
        <f>IF(A155="","",IFERROR(INDEX('Cluster Map'!$A$4:$A$38,MATCH(M155,'Cluster Map'!$B$4:$B$38,0)),"Unmapped"))</f>
        <v>Cluster 1</v>
      </c>
      <c r="O155" s="55">
        <f>IF(A155="",0,IF(COUNTIFS($A$2:A155,A155,$F$2:F155,F155,$L$2:L155,L155)=1,1,0))</f>
        <v>1</v>
      </c>
      <c r="P155" s="55">
        <f>IF(A155="",0,IF(AND(F155="C&amp;T",COUNTIFS($A$2:A155,A155,$F$2:F155,"C&amp;T")=1),1,0))</f>
        <v>0</v>
      </c>
    </row>
    <row r="156" spans="1:16" x14ac:dyDescent="0.35">
      <c r="A156" s="54">
        <f>IFERROR(IF(INDEX(SPOT_Import!$A$1:$Z$2488,156,'Live Data'!$C$12)="","",INDEX(SPOT_Import!$A$1:$Z$2488,156,'Live Data'!$C$12)),"")</f>
        <v>12390</v>
      </c>
      <c r="B156" s="54" t="str">
        <f>IFERROR(IF(INDEX(SPOT_Import!$A$1:$Z$2488,156,'Live Data'!$C$13)="","",INDEX(SPOT_Import!$A$1:$Z$2488,156,'Live Data'!$C$13)),"")</f>
        <v>Kunati Health Centre</v>
      </c>
      <c r="C156" s="54" t="str">
        <f>IFERROR(IF(INDEX(SPOT_Import!$A$1:$Z$2488,156,'Live Data'!$C$14)="","",INDEX(SPOT_Import!$A$1:$Z$2488,156,'Live Data'!$C$14)),"")</f>
        <v>MERU</v>
      </c>
      <c r="D156" s="54" t="str">
        <f>IFERROR(IF(INDEX(SPOT_Import!$A$1:$Z$2488,156,'Live Data'!$C$15)="","",INDEX(SPOT_Import!$A$1:$Z$2488,156,'Live Data'!$C$15)),"")</f>
        <v>Tigania East</v>
      </c>
      <c r="E156" s="54" t="str">
        <f>IFERROR(IF(INDEX(SPOT_Import!$A$1:$Z$2488,156,'Live Data'!$C$16)="","",INDEX(SPOT_Import!$A$1:$Z$2488,156,'Live Data'!$C$16)),"")</f>
        <v>USAID Jamii Tekelezi</v>
      </c>
      <c r="F156" s="54" t="str">
        <f>IFERROR(IF(INDEX(SPOT_Import!$A$1:$Z$2488,156,'Live Data'!$C$17)="","",INDEX(SPOT_Import!$A$1:$Z$2488,156,'Live Data'!$C$17)),"")</f>
        <v>MNCH</v>
      </c>
      <c r="G156" s="54">
        <f>IFERROR(IF(INDEX(SPOT_Import!$A$1:$Z$2488,156,'Live Data'!$C$18)="","",INDEX(SPOT_Import!$A$1:$Z$2488,156,'Live Data'!$C$18)),"")</f>
        <v>3</v>
      </c>
      <c r="H156" s="54">
        <f>IFERROR(IF(INDEX(SPOT_Import!$A$1:$Z$2488,156,'Live Data'!$C$19)="","",INDEX(SPOT_Import!$A$1:$Z$2488,156,'Live Data'!$C$19)),"")</f>
        <v>3</v>
      </c>
      <c r="I156" s="54" t="str">
        <f>IFERROR(IF(INDEX(SPOT_Import!$A$1:$Z$2488,156,'Live Data'!$C$20)="","",INDEX(SPOT_Import!$A$1:$Z$2488,156,'Live Data'!$C$20)),"")</f>
        <v>Complete</v>
      </c>
      <c r="J156" s="54" t="str">
        <f>IFERROR(IF(INDEX(SPOT_Import!$A$1:$Z$2488,156,'Live Data'!$C$21)="","",INDEX(SPOT_Import!$A$1:$Z$2488,156,'Live Data'!$C$21)),"")</f>
        <v>2026-10-08T09:52:37.000Z</v>
      </c>
      <c r="K156" s="54" t="str">
        <f>IFERROR(IF(INDEX(SPOT_Import!$A$1:$Z$2488,156,'Live Data'!$C$22)="","",INDEX(SPOT_Import!$A$1:$Z$2488,156,'Live Data'!$C$22)),"")</f>
        <v>2026-10-08T09:52:37.000Z</v>
      </c>
      <c r="L156" s="55" t="str">
        <f t="shared" si="4"/>
        <v>2026-10</v>
      </c>
      <c r="M156" s="55" t="str">
        <f t="shared" si="5"/>
        <v>MERU</v>
      </c>
      <c r="N156" s="55" t="str">
        <f>IF(A156="","",IFERROR(INDEX('Cluster Map'!$A$4:$A$38,MATCH(M156,'Cluster Map'!$B$4:$B$38,0)),"Unmapped"))</f>
        <v>Cluster 1</v>
      </c>
      <c r="O156" s="55">
        <f>IF(A156="",0,IF(COUNTIFS($A$2:A156,A156,$F$2:F156,F156,$L$2:L156,L156)=1,1,0))</f>
        <v>1</v>
      </c>
      <c r="P156" s="55">
        <f>IF(A156="",0,IF(AND(F156="C&amp;T",COUNTIFS($A$2:A156,A156,$F$2:F156,"C&amp;T")=1),1,0))</f>
        <v>0</v>
      </c>
    </row>
    <row r="157" spans="1:16" x14ac:dyDescent="0.35">
      <c r="A157" s="54">
        <f>IFERROR(IF(INDEX(SPOT_Import!$A$1:$Z$2488,157,'Live Data'!$C$12)="","",INDEX(SPOT_Import!$A$1:$Z$2488,157,'Live Data'!$C$12)),"")</f>
        <v>12390</v>
      </c>
      <c r="B157" s="54" t="str">
        <f>IFERROR(IF(INDEX(SPOT_Import!$A$1:$Z$2488,157,'Live Data'!$C$13)="","",INDEX(SPOT_Import!$A$1:$Z$2488,157,'Live Data'!$C$13)),"")</f>
        <v>Kunati Health Centre</v>
      </c>
      <c r="C157" s="54" t="str">
        <f>IFERROR(IF(INDEX(SPOT_Import!$A$1:$Z$2488,157,'Live Data'!$C$14)="","",INDEX(SPOT_Import!$A$1:$Z$2488,157,'Live Data'!$C$14)),"")</f>
        <v>MERU</v>
      </c>
      <c r="D157" s="54" t="str">
        <f>IFERROR(IF(INDEX(SPOT_Import!$A$1:$Z$2488,157,'Live Data'!$C$15)="","",INDEX(SPOT_Import!$A$1:$Z$2488,157,'Live Data'!$C$15)),"")</f>
        <v>Tigania East</v>
      </c>
      <c r="E157" s="54" t="str">
        <f>IFERROR(IF(INDEX(SPOT_Import!$A$1:$Z$2488,157,'Live Data'!$C$16)="","",INDEX(SPOT_Import!$A$1:$Z$2488,157,'Live Data'!$C$16)),"")</f>
        <v>USAID Jamii Tekelezi</v>
      </c>
      <c r="F157" s="54" t="str">
        <f>IFERROR(IF(INDEX(SPOT_Import!$A$1:$Z$2488,157,'Live Data'!$C$17)="","",INDEX(SPOT_Import!$A$1:$Z$2488,157,'Live Data'!$C$17)),"")</f>
        <v>HTS</v>
      </c>
      <c r="G157" s="54">
        <f>IFERROR(IF(INDEX(SPOT_Import!$A$1:$Z$2488,157,'Live Data'!$C$18)="","",INDEX(SPOT_Import!$A$1:$Z$2488,157,'Live Data'!$C$18)),"")</f>
        <v>3</v>
      </c>
      <c r="H157" s="54">
        <f>IFERROR(IF(INDEX(SPOT_Import!$A$1:$Z$2488,157,'Live Data'!$C$19)="","",INDEX(SPOT_Import!$A$1:$Z$2488,157,'Live Data'!$C$19)),"")</f>
        <v>3</v>
      </c>
      <c r="I157" s="54" t="str">
        <f>IFERROR(IF(INDEX(SPOT_Import!$A$1:$Z$2488,157,'Live Data'!$C$20)="","",INDEX(SPOT_Import!$A$1:$Z$2488,157,'Live Data'!$C$20)),"")</f>
        <v>Complete</v>
      </c>
      <c r="J157" s="54" t="str">
        <f>IFERROR(IF(INDEX(SPOT_Import!$A$1:$Z$2488,157,'Live Data'!$C$21)="","",INDEX(SPOT_Import!$A$1:$Z$2488,157,'Live Data'!$C$21)),"")</f>
        <v>2026-10-08T09:52:28.000Z</v>
      </c>
      <c r="K157" s="54" t="str">
        <f>IFERROR(IF(INDEX(SPOT_Import!$A$1:$Z$2488,157,'Live Data'!$C$22)="","",INDEX(SPOT_Import!$A$1:$Z$2488,157,'Live Data'!$C$22)),"")</f>
        <v>2026-10-08T09:52:28.000Z</v>
      </c>
      <c r="L157" s="55" t="str">
        <f t="shared" si="4"/>
        <v>2026-10</v>
      </c>
      <c r="M157" s="55" t="str">
        <f t="shared" si="5"/>
        <v>MERU</v>
      </c>
      <c r="N157" s="55" t="str">
        <f>IF(A157="","",IFERROR(INDEX('Cluster Map'!$A$4:$A$38,MATCH(M157,'Cluster Map'!$B$4:$B$38,0)),"Unmapped"))</f>
        <v>Cluster 1</v>
      </c>
      <c r="O157" s="55">
        <f>IF(A157="",0,IF(COUNTIFS($A$2:A157,A157,$F$2:F157,F157,$L$2:L157,L157)=1,1,0))</f>
        <v>1</v>
      </c>
      <c r="P157" s="55">
        <f>IF(A157="",0,IF(AND(F157="C&amp;T",COUNTIFS($A$2:A157,A157,$F$2:F157,"C&amp;T")=1),1,0))</f>
        <v>0</v>
      </c>
    </row>
    <row r="158" spans="1:16" x14ac:dyDescent="0.35">
      <c r="A158" s="54">
        <f>IFERROR(IF(INDEX(SPOT_Import!$A$1:$Z$2488,158,'Live Data'!$C$12)="","",INDEX(SPOT_Import!$A$1:$Z$2488,158,'Live Data'!$C$12)),"")</f>
        <v>12027</v>
      </c>
      <c r="B158" s="54" t="str">
        <f>IFERROR(IF(INDEX(SPOT_Import!$A$1:$Z$2488,158,'Live Data'!$C$13)="","",INDEX(SPOT_Import!$A$1:$Z$2488,158,'Live Data'!$C$13)),"")</f>
        <v>Gakoromone Dispensary</v>
      </c>
      <c r="C158" s="54" t="str">
        <f>IFERROR(IF(INDEX(SPOT_Import!$A$1:$Z$2488,158,'Live Data'!$C$14)="","",INDEX(SPOT_Import!$A$1:$Z$2488,158,'Live Data'!$C$14)),"")</f>
        <v>MERU</v>
      </c>
      <c r="D158" s="54" t="str">
        <f>IFERROR(IF(INDEX(SPOT_Import!$A$1:$Z$2488,158,'Live Data'!$C$15)="","",INDEX(SPOT_Import!$A$1:$Z$2488,158,'Live Data'!$C$15)),"")</f>
        <v>Imenti North</v>
      </c>
      <c r="E158" s="54" t="str">
        <f>IFERROR(IF(INDEX(SPOT_Import!$A$1:$Z$2488,158,'Live Data'!$C$16)="","",INDEX(SPOT_Import!$A$1:$Z$2488,158,'Live Data'!$C$16)),"")</f>
        <v>USAID Jamii Tekelezi</v>
      </c>
      <c r="F158" s="54" t="str">
        <f>IFERROR(IF(INDEX(SPOT_Import!$A$1:$Z$2488,158,'Live Data'!$C$17)="","",INDEX(SPOT_Import!$A$1:$Z$2488,158,'Live Data'!$C$17)),"")</f>
        <v>C&amp;T</v>
      </c>
      <c r="G158" s="54">
        <f>IFERROR(IF(INDEX(SPOT_Import!$A$1:$Z$2488,158,'Live Data'!$C$18)="","",INDEX(SPOT_Import!$A$1:$Z$2488,158,'Live Data'!$C$18)),"")</f>
        <v>306</v>
      </c>
      <c r="H158" s="54">
        <f>IFERROR(IF(INDEX(SPOT_Import!$A$1:$Z$2488,158,'Live Data'!$C$19)="","",INDEX(SPOT_Import!$A$1:$Z$2488,158,'Live Data'!$C$19)),"")</f>
        <v>306</v>
      </c>
      <c r="I158" s="54" t="str">
        <f>IFERROR(IF(INDEX(SPOT_Import!$A$1:$Z$2488,158,'Live Data'!$C$20)="","",INDEX(SPOT_Import!$A$1:$Z$2488,158,'Live Data'!$C$20)),"")</f>
        <v>Complete</v>
      </c>
      <c r="J158" s="54" t="str">
        <f>IFERROR(IF(INDEX(SPOT_Import!$A$1:$Z$2488,158,'Live Data'!$C$21)="","",INDEX(SPOT_Import!$A$1:$Z$2488,158,'Live Data'!$C$21)),"")</f>
        <v>2026-10-08T09:46:21.000Z</v>
      </c>
      <c r="K158" s="54" t="str">
        <f>IFERROR(IF(INDEX(SPOT_Import!$A$1:$Z$2488,158,'Live Data'!$C$22)="","",INDEX(SPOT_Import!$A$1:$Z$2488,158,'Live Data'!$C$22)),"")</f>
        <v>2026-10-08T09:46:21.000Z</v>
      </c>
      <c r="L158" s="55" t="str">
        <f t="shared" si="4"/>
        <v>2026-10</v>
      </c>
      <c r="M158" s="55" t="str">
        <f t="shared" si="5"/>
        <v>MERU</v>
      </c>
      <c r="N158" s="55" t="str">
        <f>IF(A158="","",IFERROR(INDEX('Cluster Map'!$A$4:$A$38,MATCH(M158,'Cluster Map'!$B$4:$B$38,0)),"Unmapped"))</f>
        <v>Cluster 1</v>
      </c>
      <c r="O158" s="55">
        <f>IF(A158="",0,IF(COUNTIFS($A$2:A158,A158,$F$2:F158,F158,$L$2:L158,L158)=1,1,0))</f>
        <v>1</v>
      </c>
      <c r="P158" s="55">
        <f>IF(A158="",0,IF(AND(F158="C&amp;T",COUNTIFS($A$2:A158,A158,$F$2:F158,"C&amp;T")=1),1,0))</f>
        <v>1</v>
      </c>
    </row>
    <row r="159" spans="1:16" x14ac:dyDescent="0.35">
      <c r="A159" s="54">
        <f>IFERROR(IF(INDEX(SPOT_Import!$A$1:$Z$2488,159,'Live Data'!$C$12)="","",INDEX(SPOT_Import!$A$1:$Z$2488,159,'Live Data'!$C$12)),"")</f>
        <v>17381</v>
      </c>
      <c r="B159" s="54" t="str">
        <f>IFERROR(IF(INDEX(SPOT_Import!$A$1:$Z$2488,159,'Live Data'!$C$13)="","",INDEX(SPOT_Import!$A$1:$Z$2488,159,'Live Data'!$C$13)),"")</f>
        <v>Kaelo Dispensary</v>
      </c>
      <c r="C159" s="54" t="str">
        <f>IFERROR(IF(INDEX(SPOT_Import!$A$1:$Z$2488,159,'Live Data'!$C$14)="","",INDEX(SPOT_Import!$A$1:$Z$2488,159,'Live Data'!$C$14)),"")</f>
        <v>MERU</v>
      </c>
      <c r="D159" s="54" t="str">
        <f>IFERROR(IF(INDEX(SPOT_Import!$A$1:$Z$2488,159,'Live Data'!$C$15)="","",INDEX(SPOT_Import!$A$1:$Z$2488,159,'Live Data'!$C$15)),"")</f>
        <v>Igembe North</v>
      </c>
      <c r="E159" s="54" t="str">
        <f>IFERROR(IF(INDEX(SPOT_Import!$A$1:$Z$2488,159,'Live Data'!$C$16)="","",INDEX(SPOT_Import!$A$1:$Z$2488,159,'Live Data'!$C$16)),"")</f>
        <v>USAID Jamii Tekelezi</v>
      </c>
      <c r="F159" s="54" t="str">
        <f>IFERROR(IF(INDEX(SPOT_Import!$A$1:$Z$2488,159,'Live Data'!$C$17)="","",INDEX(SPOT_Import!$A$1:$Z$2488,159,'Live Data'!$C$17)),"")</f>
        <v>C&amp;T</v>
      </c>
      <c r="G159" s="54">
        <f>IFERROR(IF(INDEX(SPOT_Import!$A$1:$Z$2488,159,'Live Data'!$C$18)="","",INDEX(SPOT_Import!$A$1:$Z$2488,159,'Live Data'!$C$18)),"")</f>
        <v>46</v>
      </c>
      <c r="H159" s="54">
        <f>IFERROR(IF(INDEX(SPOT_Import!$A$1:$Z$2488,159,'Live Data'!$C$19)="","",INDEX(SPOT_Import!$A$1:$Z$2488,159,'Live Data'!$C$19)),"")</f>
        <v>46</v>
      </c>
      <c r="I159" s="54" t="str">
        <f>IFERROR(IF(INDEX(SPOT_Import!$A$1:$Z$2488,159,'Live Data'!$C$20)="","",INDEX(SPOT_Import!$A$1:$Z$2488,159,'Live Data'!$C$20)),"")</f>
        <v>Complete</v>
      </c>
      <c r="J159" s="54" t="str">
        <f>IFERROR(IF(INDEX(SPOT_Import!$A$1:$Z$2488,159,'Live Data'!$C$21)="","",INDEX(SPOT_Import!$A$1:$Z$2488,159,'Live Data'!$C$21)),"")</f>
        <v>2026-10-08T09:46:20.000Z</v>
      </c>
      <c r="K159" s="54" t="str">
        <f>IFERROR(IF(INDEX(SPOT_Import!$A$1:$Z$2488,159,'Live Data'!$C$22)="","",INDEX(SPOT_Import!$A$1:$Z$2488,159,'Live Data'!$C$22)),"")</f>
        <v>2026-10-08T09:46:20.000Z</v>
      </c>
      <c r="L159" s="55" t="str">
        <f t="shared" si="4"/>
        <v>2026-10</v>
      </c>
      <c r="M159" s="55" t="str">
        <f t="shared" si="5"/>
        <v>MERU</v>
      </c>
      <c r="N159" s="55" t="str">
        <f>IF(A159="","",IFERROR(INDEX('Cluster Map'!$A$4:$A$38,MATCH(M159,'Cluster Map'!$B$4:$B$38,0)),"Unmapped"))</f>
        <v>Cluster 1</v>
      </c>
      <c r="O159" s="55">
        <f>IF(A159="",0,IF(COUNTIFS($A$2:A159,A159,$F$2:F159,F159,$L$2:L159,L159)=1,1,0))</f>
        <v>1</v>
      </c>
      <c r="P159" s="55">
        <f>IF(A159="",0,IF(AND(F159="C&amp;T",COUNTIFS($A$2:A159,A159,$F$2:F159,"C&amp;T")=1),1,0))</f>
        <v>1</v>
      </c>
    </row>
    <row r="160" spans="1:16" x14ac:dyDescent="0.35">
      <c r="A160" s="54">
        <f>IFERROR(IF(INDEX(SPOT_Import!$A$1:$Z$2488,160,'Live Data'!$C$12)="","",INDEX(SPOT_Import!$A$1:$Z$2488,160,'Live Data'!$C$12)),"")</f>
        <v>12390</v>
      </c>
      <c r="B160" s="54" t="str">
        <f>IFERROR(IF(INDEX(SPOT_Import!$A$1:$Z$2488,160,'Live Data'!$C$13)="","",INDEX(SPOT_Import!$A$1:$Z$2488,160,'Live Data'!$C$13)),"")</f>
        <v>Kunati Health Centre</v>
      </c>
      <c r="C160" s="54" t="str">
        <f>IFERROR(IF(INDEX(SPOT_Import!$A$1:$Z$2488,160,'Live Data'!$C$14)="","",INDEX(SPOT_Import!$A$1:$Z$2488,160,'Live Data'!$C$14)),"")</f>
        <v>MERU</v>
      </c>
      <c r="D160" s="54" t="str">
        <f>IFERROR(IF(INDEX(SPOT_Import!$A$1:$Z$2488,160,'Live Data'!$C$15)="","",INDEX(SPOT_Import!$A$1:$Z$2488,160,'Live Data'!$C$15)),"")</f>
        <v>Tigania East</v>
      </c>
      <c r="E160" s="54" t="str">
        <f>IFERROR(IF(INDEX(SPOT_Import!$A$1:$Z$2488,160,'Live Data'!$C$16)="","",INDEX(SPOT_Import!$A$1:$Z$2488,160,'Live Data'!$C$16)),"")</f>
        <v>USAID Jamii Tekelezi</v>
      </c>
      <c r="F160" s="54" t="str">
        <f>IFERROR(IF(INDEX(SPOT_Import!$A$1:$Z$2488,160,'Live Data'!$C$17)="","",INDEX(SPOT_Import!$A$1:$Z$2488,160,'Live Data'!$C$17)),"")</f>
        <v>C&amp;T</v>
      </c>
      <c r="G160" s="54">
        <f>IFERROR(IF(INDEX(SPOT_Import!$A$1:$Z$2488,160,'Live Data'!$C$18)="","",INDEX(SPOT_Import!$A$1:$Z$2488,160,'Live Data'!$C$18)),"")</f>
        <v>32</v>
      </c>
      <c r="H160" s="54">
        <f>IFERROR(IF(INDEX(SPOT_Import!$A$1:$Z$2488,160,'Live Data'!$C$19)="","",INDEX(SPOT_Import!$A$1:$Z$2488,160,'Live Data'!$C$19)),"")</f>
        <v>32</v>
      </c>
      <c r="I160" s="54" t="str">
        <f>IFERROR(IF(INDEX(SPOT_Import!$A$1:$Z$2488,160,'Live Data'!$C$20)="","",INDEX(SPOT_Import!$A$1:$Z$2488,160,'Live Data'!$C$20)),"")</f>
        <v>Complete</v>
      </c>
      <c r="J160" s="54" t="str">
        <f>IFERROR(IF(INDEX(SPOT_Import!$A$1:$Z$2488,160,'Live Data'!$C$21)="","",INDEX(SPOT_Import!$A$1:$Z$2488,160,'Live Data'!$C$21)),"")</f>
        <v>2026-10-08T09:46:18.000Z</v>
      </c>
      <c r="K160" s="54" t="str">
        <f>IFERROR(IF(INDEX(SPOT_Import!$A$1:$Z$2488,160,'Live Data'!$C$22)="","",INDEX(SPOT_Import!$A$1:$Z$2488,160,'Live Data'!$C$22)),"")</f>
        <v>2026-10-08T09:46:18.000Z</v>
      </c>
      <c r="L160" s="55" t="str">
        <f t="shared" si="4"/>
        <v>2026-10</v>
      </c>
      <c r="M160" s="55" t="str">
        <f t="shared" si="5"/>
        <v>MERU</v>
      </c>
      <c r="N160" s="55" t="str">
        <f>IF(A160="","",IFERROR(INDEX('Cluster Map'!$A$4:$A$38,MATCH(M160,'Cluster Map'!$B$4:$B$38,0)),"Unmapped"))</f>
        <v>Cluster 1</v>
      </c>
      <c r="O160" s="55">
        <f>IF(A160="",0,IF(COUNTIFS($A$2:A160,A160,$F$2:F160,F160,$L$2:L160,L160)=1,1,0))</f>
        <v>1</v>
      </c>
      <c r="P160" s="55">
        <f>IF(A160="",0,IF(AND(F160="C&amp;T",COUNTIFS($A$2:A160,A160,$F$2:F160,"C&amp;T")=1),1,0))</f>
        <v>1</v>
      </c>
    </row>
    <row r="161" spans="1:16" x14ac:dyDescent="0.35">
      <c r="A161" s="54">
        <f>IFERROR(IF(INDEX(SPOT_Import!$A$1:$Z$2488,161,'Live Data'!$C$12)="","",INDEX(SPOT_Import!$A$1:$Z$2488,161,'Live Data'!$C$12)),"")</f>
        <v>12319</v>
      </c>
      <c r="B161" s="54" t="str">
        <f>IFERROR(IF(INDEX(SPOT_Import!$A$1:$Z$2488,161,'Live Data'!$C$13)="","",INDEX(SPOT_Import!$A$1:$Z$2488,161,'Live Data'!$C$13)),"")</f>
        <v>Kina Dispensary</v>
      </c>
      <c r="C161" s="54" t="str">
        <f>IFERROR(IF(INDEX(SPOT_Import!$A$1:$Z$2488,161,'Live Data'!$C$14)="","",INDEX(SPOT_Import!$A$1:$Z$2488,161,'Live Data'!$C$14)),"")</f>
        <v>MERU</v>
      </c>
      <c r="D161" s="54" t="str">
        <f>IFERROR(IF(INDEX(SPOT_Import!$A$1:$Z$2488,161,'Live Data'!$C$15)="","",INDEX(SPOT_Import!$A$1:$Z$2488,161,'Live Data'!$C$15)),"")</f>
        <v>Igembe Central</v>
      </c>
      <c r="E161" s="54" t="str">
        <f>IFERROR(IF(INDEX(SPOT_Import!$A$1:$Z$2488,161,'Live Data'!$C$16)="","",INDEX(SPOT_Import!$A$1:$Z$2488,161,'Live Data'!$C$16)),"")</f>
        <v>USAID Jamii Tekelezi</v>
      </c>
      <c r="F161" s="54" t="str">
        <f>IFERROR(IF(INDEX(SPOT_Import!$A$1:$Z$2488,161,'Live Data'!$C$17)="","",INDEX(SPOT_Import!$A$1:$Z$2488,161,'Live Data'!$C$17)),"")</f>
        <v>HTS</v>
      </c>
      <c r="G161" s="54">
        <f>IFERROR(IF(INDEX(SPOT_Import!$A$1:$Z$2488,161,'Live Data'!$C$18)="","",INDEX(SPOT_Import!$A$1:$Z$2488,161,'Live Data'!$C$18)),"")</f>
        <v>1471</v>
      </c>
      <c r="H161" s="54">
        <f>IFERROR(IF(INDEX(SPOT_Import!$A$1:$Z$2488,161,'Live Data'!$C$19)="","",INDEX(SPOT_Import!$A$1:$Z$2488,161,'Live Data'!$C$19)),"")</f>
        <v>1471</v>
      </c>
      <c r="I161" s="54" t="str">
        <f>IFERROR(IF(INDEX(SPOT_Import!$A$1:$Z$2488,161,'Live Data'!$C$20)="","",INDEX(SPOT_Import!$A$1:$Z$2488,161,'Live Data'!$C$20)),"")</f>
        <v>Complete</v>
      </c>
      <c r="J161" s="54" t="str">
        <f>IFERROR(IF(INDEX(SPOT_Import!$A$1:$Z$2488,161,'Live Data'!$C$21)="","",INDEX(SPOT_Import!$A$1:$Z$2488,161,'Live Data'!$C$21)),"")</f>
        <v>2026-10-08T09:21:59.000Z</v>
      </c>
      <c r="K161" s="54" t="str">
        <f>IFERROR(IF(INDEX(SPOT_Import!$A$1:$Z$2488,161,'Live Data'!$C$22)="","",INDEX(SPOT_Import!$A$1:$Z$2488,161,'Live Data'!$C$22)),"")</f>
        <v>2026-10-08T09:21:59.000Z</v>
      </c>
      <c r="L161" s="55" t="str">
        <f t="shared" si="4"/>
        <v>2026-10</v>
      </c>
      <c r="M161" s="55" t="str">
        <f t="shared" si="5"/>
        <v>MERU</v>
      </c>
      <c r="N161" s="55" t="str">
        <f>IF(A161="","",IFERROR(INDEX('Cluster Map'!$A$4:$A$38,MATCH(M161,'Cluster Map'!$B$4:$B$38,0)),"Unmapped"))</f>
        <v>Cluster 1</v>
      </c>
      <c r="O161" s="55">
        <f>IF(A161="",0,IF(COUNTIFS($A$2:A161,A161,$F$2:F161,F161,$L$2:L161,L161)=1,1,0))</f>
        <v>1</v>
      </c>
      <c r="P161" s="55">
        <f>IF(A161="",0,IF(AND(F161="C&amp;T",COUNTIFS($A$2:A161,A161,$F$2:F161,"C&amp;T")=1),1,0))</f>
        <v>0</v>
      </c>
    </row>
    <row r="162" spans="1:16" x14ac:dyDescent="0.35">
      <c r="A162" s="54">
        <f>IFERROR(IF(INDEX(SPOT_Import!$A$1:$Z$2488,162,'Live Data'!$C$12)="","",INDEX(SPOT_Import!$A$1:$Z$2488,162,'Live Data'!$C$12)),"")</f>
        <v>12319</v>
      </c>
      <c r="B162" s="54" t="str">
        <f>IFERROR(IF(INDEX(SPOT_Import!$A$1:$Z$2488,162,'Live Data'!$C$13)="","",INDEX(SPOT_Import!$A$1:$Z$2488,162,'Live Data'!$C$13)),"")</f>
        <v>Kina Dispensary</v>
      </c>
      <c r="C162" s="54" t="str">
        <f>IFERROR(IF(INDEX(SPOT_Import!$A$1:$Z$2488,162,'Live Data'!$C$14)="","",INDEX(SPOT_Import!$A$1:$Z$2488,162,'Live Data'!$C$14)),"")</f>
        <v>MERU</v>
      </c>
      <c r="D162" s="54" t="str">
        <f>IFERROR(IF(INDEX(SPOT_Import!$A$1:$Z$2488,162,'Live Data'!$C$15)="","",INDEX(SPOT_Import!$A$1:$Z$2488,162,'Live Data'!$C$15)),"")</f>
        <v>Igembe Central</v>
      </c>
      <c r="E162" s="54" t="str">
        <f>IFERROR(IF(INDEX(SPOT_Import!$A$1:$Z$2488,162,'Live Data'!$C$16)="","",INDEX(SPOT_Import!$A$1:$Z$2488,162,'Live Data'!$C$16)),"")</f>
        <v>USAID Jamii Tekelezi</v>
      </c>
      <c r="F162" s="54" t="str">
        <f>IFERROR(IF(INDEX(SPOT_Import!$A$1:$Z$2488,162,'Live Data'!$C$17)="","",INDEX(SPOT_Import!$A$1:$Z$2488,162,'Live Data'!$C$17)),"")</f>
        <v>MNCH</v>
      </c>
      <c r="G162" s="54">
        <f>IFERROR(IF(INDEX(SPOT_Import!$A$1:$Z$2488,162,'Live Data'!$C$18)="","",INDEX(SPOT_Import!$A$1:$Z$2488,162,'Live Data'!$C$18)),"")</f>
        <v>81</v>
      </c>
      <c r="H162" s="54">
        <f>IFERROR(IF(INDEX(SPOT_Import!$A$1:$Z$2488,162,'Live Data'!$C$19)="","",INDEX(SPOT_Import!$A$1:$Z$2488,162,'Live Data'!$C$19)),"")</f>
        <v>81</v>
      </c>
      <c r="I162" s="54" t="str">
        <f>IFERROR(IF(INDEX(SPOT_Import!$A$1:$Z$2488,162,'Live Data'!$C$20)="","",INDEX(SPOT_Import!$A$1:$Z$2488,162,'Live Data'!$C$20)),"")</f>
        <v>Complete</v>
      </c>
      <c r="J162" s="54" t="str">
        <f>IFERROR(IF(INDEX(SPOT_Import!$A$1:$Z$2488,162,'Live Data'!$C$21)="","",INDEX(SPOT_Import!$A$1:$Z$2488,162,'Live Data'!$C$21)),"")</f>
        <v>2026-10-08T09:21:17.000Z</v>
      </c>
      <c r="K162" s="54" t="str">
        <f>IFERROR(IF(INDEX(SPOT_Import!$A$1:$Z$2488,162,'Live Data'!$C$22)="","",INDEX(SPOT_Import!$A$1:$Z$2488,162,'Live Data'!$C$22)),"")</f>
        <v>2026-10-08T09:21:17.000Z</v>
      </c>
      <c r="L162" s="55" t="str">
        <f t="shared" si="4"/>
        <v>2026-10</v>
      </c>
      <c r="M162" s="55" t="str">
        <f t="shared" si="5"/>
        <v>MERU</v>
      </c>
      <c r="N162" s="55" t="str">
        <f>IF(A162="","",IFERROR(INDEX('Cluster Map'!$A$4:$A$38,MATCH(M162,'Cluster Map'!$B$4:$B$38,0)),"Unmapped"))</f>
        <v>Cluster 1</v>
      </c>
      <c r="O162" s="55">
        <f>IF(A162="",0,IF(COUNTIFS($A$2:A162,A162,$F$2:F162,F162,$L$2:L162,L162)=1,1,0))</f>
        <v>1</v>
      </c>
      <c r="P162" s="55">
        <f>IF(A162="",0,IF(AND(F162="C&amp;T",COUNTIFS($A$2:A162,A162,$F$2:F162,"C&amp;T")=1),1,0))</f>
        <v>0</v>
      </c>
    </row>
    <row r="163" spans="1:16" x14ac:dyDescent="0.35">
      <c r="A163" s="54">
        <f>IFERROR(IF(INDEX(SPOT_Import!$A$1:$Z$2488,163,'Live Data'!$C$12)="","",INDEX(SPOT_Import!$A$1:$Z$2488,163,'Live Data'!$C$12)),"")</f>
        <v>12319</v>
      </c>
      <c r="B163" s="54" t="str">
        <f>IFERROR(IF(INDEX(SPOT_Import!$A$1:$Z$2488,163,'Live Data'!$C$13)="","",INDEX(SPOT_Import!$A$1:$Z$2488,163,'Live Data'!$C$13)),"")</f>
        <v>Kina Dispensary</v>
      </c>
      <c r="C163" s="54" t="str">
        <f>IFERROR(IF(INDEX(SPOT_Import!$A$1:$Z$2488,163,'Live Data'!$C$14)="","",INDEX(SPOT_Import!$A$1:$Z$2488,163,'Live Data'!$C$14)),"")</f>
        <v>MERU</v>
      </c>
      <c r="D163" s="54" t="str">
        <f>IFERROR(IF(INDEX(SPOT_Import!$A$1:$Z$2488,163,'Live Data'!$C$15)="","",INDEX(SPOT_Import!$A$1:$Z$2488,163,'Live Data'!$C$15)),"")</f>
        <v>Igembe Central</v>
      </c>
      <c r="E163" s="54" t="str">
        <f>IFERROR(IF(INDEX(SPOT_Import!$A$1:$Z$2488,163,'Live Data'!$C$16)="","",INDEX(SPOT_Import!$A$1:$Z$2488,163,'Live Data'!$C$16)),"")</f>
        <v>USAID Jamii Tekelezi</v>
      </c>
      <c r="F163" s="54" t="str">
        <f>IFERROR(IF(INDEX(SPOT_Import!$A$1:$Z$2488,163,'Live Data'!$C$17)="","",INDEX(SPOT_Import!$A$1:$Z$2488,163,'Live Data'!$C$17)),"")</f>
        <v>PREP</v>
      </c>
      <c r="G163" s="54">
        <f>IFERROR(IF(INDEX(SPOT_Import!$A$1:$Z$2488,163,'Live Data'!$C$18)="","",INDEX(SPOT_Import!$A$1:$Z$2488,163,'Live Data'!$C$18)),"")</f>
        <v>193</v>
      </c>
      <c r="H163" s="54">
        <f>IFERROR(IF(INDEX(SPOT_Import!$A$1:$Z$2488,163,'Live Data'!$C$19)="","",INDEX(SPOT_Import!$A$1:$Z$2488,163,'Live Data'!$C$19)),"")</f>
        <v>193</v>
      </c>
      <c r="I163" s="54" t="str">
        <f>IFERROR(IF(INDEX(SPOT_Import!$A$1:$Z$2488,163,'Live Data'!$C$20)="","",INDEX(SPOT_Import!$A$1:$Z$2488,163,'Live Data'!$C$20)),"")</f>
        <v>Complete</v>
      </c>
      <c r="J163" s="54" t="str">
        <f>IFERROR(IF(INDEX(SPOT_Import!$A$1:$Z$2488,163,'Live Data'!$C$21)="","",INDEX(SPOT_Import!$A$1:$Z$2488,163,'Live Data'!$C$21)),"")</f>
        <v>2026-10-08T09:20:02.000Z</v>
      </c>
      <c r="K163" s="54" t="str">
        <f>IFERROR(IF(INDEX(SPOT_Import!$A$1:$Z$2488,163,'Live Data'!$C$22)="","",INDEX(SPOT_Import!$A$1:$Z$2488,163,'Live Data'!$C$22)),"")</f>
        <v>2026-10-08T09:20:02.000Z</v>
      </c>
      <c r="L163" s="55" t="str">
        <f t="shared" si="4"/>
        <v>2026-10</v>
      </c>
      <c r="M163" s="55" t="str">
        <f t="shared" si="5"/>
        <v>MERU</v>
      </c>
      <c r="N163" s="55" t="str">
        <f>IF(A163="","",IFERROR(INDEX('Cluster Map'!$A$4:$A$38,MATCH(M163,'Cluster Map'!$B$4:$B$38,0)),"Unmapped"))</f>
        <v>Cluster 1</v>
      </c>
      <c r="O163" s="55">
        <f>IF(A163="",0,IF(COUNTIFS($A$2:A163,A163,$F$2:F163,F163,$L$2:L163,L163)=1,1,0))</f>
        <v>1</v>
      </c>
      <c r="P163" s="55">
        <f>IF(A163="",0,IF(AND(F163="C&amp;T",COUNTIFS($A$2:A163,A163,$F$2:F163,"C&amp;T")=1),1,0))</f>
        <v>0</v>
      </c>
    </row>
    <row r="164" spans="1:16" x14ac:dyDescent="0.35">
      <c r="A164" s="54">
        <f>IFERROR(IF(INDEX(SPOT_Import!$A$1:$Z$2488,164,'Live Data'!$C$12)="","",INDEX(SPOT_Import!$A$1:$Z$2488,164,'Live Data'!$C$12)),"")</f>
        <v>12287</v>
      </c>
      <c r="B164" s="54" t="str">
        <f>IFERROR(IF(INDEX(SPOT_Import!$A$1:$Z$2488,164,'Live Data'!$C$13)="","",INDEX(SPOT_Import!$A$1:$Z$2488,164,'Live Data'!$C$13)),"")</f>
        <v>Kibugu Health Centre</v>
      </c>
      <c r="C164" s="54" t="str">
        <f>IFERROR(IF(INDEX(SPOT_Import!$A$1:$Z$2488,164,'Live Data'!$C$14)="","",INDEX(SPOT_Import!$A$1:$Z$2488,164,'Live Data'!$C$14)),"")</f>
        <v>EMBU</v>
      </c>
      <c r="D164" s="54" t="str">
        <f>IFERROR(IF(INDEX(SPOT_Import!$A$1:$Z$2488,164,'Live Data'!$C$15)="","",INDEX(SPOT_Import!$A$1:$Z$2488,164,'Live Data'!$C$15)),"")</f>
        <v>Manyatta</v>
      </c>
      <c r="E164" s="54" t="str">
        <f>IFERROR(IF(INDEX(SPOT_Import!$A$1:$Z$2488,164,'Live Data'!$C$16)="","",INDEX(SPOT_Import!$A$1:$Z$2488,164,'Live Data'!$C$16)),"")</f>
        <v>USAID Jamii Tekelezi</v>
      </c>
      <c r="F164" s="54" t="str">
        <f>IFERROR(IF(INDEX(SPOT_Import!$A$1:$Z$2488,164,'Live Data'!$C$17)="","",INDEX(SPOT_Import!$A$1:$Z$2488,164,'Live Data'!$C$17)),"")</f>
        <v>HTS</v>
      </c>
      <c r="G164" s="54">
        <f>IFERROR(IF(INDEX(SPOT_Import!$A$1:$Z$2488,164,'Live Data'!$C$18)="","",INDEX(SPOT_Import!$A$1:$Z$2488,164,'Live Data'!$C$18)),"")</f>
        <v>1950</v>
      </c>
      <c r="H164" s="54">
        <f>IFERROR(IF(INDEX(SPOT_Import!$A$1:$Z$2488,164,'Live Data'!$C$19)="","",INDEX(SPOT_Import!$A$1:$Z$2488,164,'Live Data'!$C$19)),"")</f>
        <v>1950</v>
      </c>
      <c r="I164" s="54" t="str">
        <f>IFERROR(IF(INDEX(SPOT_Import!$A$1:$Z$2488,164,'Live Data'!$C$20)="","",INDEX(SPOT_Import!$A$1:$Z$2488,164,'Live Data'!$C$20)),"")</f>
        <v>Complete</v>
      </c>
      <c r="J164" s="54" t="str">
        <f>IFERROR(IF(INDEX(SPOT_Import!$A$1:$Z$2488,164,'Live Data'!$C$21)="","",INDEX(SPOT_Import!$A$1:$Z$2488,164,'Live Data'!$C$21)),"")</f>
        <v>2026-10-08T09:15:52.000Z</v>
      </c>
      <c r="K164" s="54" t="str">
        <f>IFERROR(IF(INDEX(SPOT_Import!$A$1:$Z$2488,164,'Live Data'!$C$22)="","",INDEX(SPOT_Import!$A$1:$Z$2488,164,'Live Data'!$C$22)),"")</f>
        <v>2026-10-08T09:15:52.000Z</v>
      </c>
      <c r="L164" s="55" t="str">
        <f t="shared" si="4"/>
        <v>2026-10</v>
      </c>
      <c r="M164" s="55" t="str">
        <f t="shared" si="5"/>
        <v>EMBU</v>
      </c>
      <c r="N164" s="55" t="str">
        <f>IF(A164="","",IFERROR(INDEX('Cluster Map'!$A$4:$A$38,MATCH(M164,'Cluster Map'!$B$4:$B$38,0)),"Unmapped"))</f>
        <v>Cluster 2</v>
      </c>
      <c r="O164" s="55">
        <f>IF(A164="",0,IF(COUNTIFS($A$2:A164,A164,$F$2:F164,F164,$L$2:L164,L164)=1,1,0))</f>
        <v>1</v>
      </c>
      <c r="P164" s="55">
        <f>IF(A164="",0,IF(AND(F164="C&amp;T",COUNTIFS($A$2:A164,A164,$F$2:F164,"C&amp;T")=1),1,0))</f>
        <v>0</v>
      </c>
    </row>
    <row r="165" spans="1:16" x14ac:dyDescent="0.35">
      <c r="A165" s="54">
        <f>IFERROR(IF(INDEX(SPOT_Import!$A$1:$Z$2488,165,'Live Data'!$C$12)="","",INDEX(SPOT_Import!$A$1:$Z$2488,165,'Live Data'!$C$12)),"")</f>
        <v>12287</v>
      </c>
      <c r="B165" s="54" t="str">
        <f>IFERROR(IF(INDEX(SPOT_Import!$A$1:$Z$2488,165,'Live Data'!$C$13)="","",INDEX(SPOT_Import!$A$1:$Z$2488,165,'Live Data'!$C$13)),"")</f>
        <v>Kibugu Health Centre</v>
      </c>
      <c r="C165" s="54" t="str">
        <f>IFERROR(IF(INDEX(SPOT_Import!$A$1:$Z$2488,165,'Live Data'!$C$14)="","",INDEX(SPOT_Import!$A$1:$Z$2488,165,'Live Data'!$C$14)),"")</f>
        <v>EMBU</v>
      </c>
      <c r="D165" s="54" t="str">
        <f>IFERROR(IF(INDEX(SPOT_Import!$A$1:$Z$2488,165,'Live Data'!$C$15)="","",INDEX(SPOT_Import!$A$1:$Z$2488,165,'Live Data'!$C$15)),"")</f>
        <v>Manyatta</v>
      </c>
      <c r="E165" s="54" t="str">
        <f>IFERROR(IF(INDEX(SPOT_Import!$A$1:$Z$2488,165,'Live Data'!$C$16)="","",INDEX(SPOT_Import!$A$1:$Z$2488,165,'Live Data'!$C$16)),"")</f>
        <v>USAID Jamii Tekelezi</v>
      </c>
      <c r="F165" s="54" t="str">
        <f>IFERROR(IF(INDEX(SPOT_Import!$A$1:$Z$2488,165,'Live Data'!$C$17)="","",INDEX(SPOT_Import!$A$1:$Z$2488,165,'Live Data'!$C$17)),"")</f>
        <v>MNCH</v>
      </c>
      <c r="G165" s="54">
        <f>IFERROR(IF(INDEX(SPOT_Import!$A$1:$Z$2488,165,'Live Data'!$C$18)="","",INDEX(SPOT_Import!$A$1:$Z$2488,165,'Live Data'!$C$18)),"")</f>
        <v>40</v>
      </c>
      <c r="H165" s="54">
        <f>IFERROR(IF(INDEX(SPOT_Import!$A$1:$Z$2488,165,'Live Data'!$C$19)="","",INDEX(SPOT_Import!$A$1:$Z$2488,165,'Live Data'!$C$19)),"")</f>
        <v>40</v>
      </c>
      <c r="I165" s="54" t="str">
        <f>IFERROR(IF(INDEX(SPOT_Import!$A$1:$Z$2488,165,'Live Data'!$C$20)="","",INDEX(SPOT_Import!$A$1:$Z$2488,165,'Live Data'!$C$20)),"")</f>
        <v>Complete</v>
      </c>
      <c r="J165" s="54" t="str">
        <f>IFERROR(IF(INDEX(SPOT_Import!$A$1:$Z$2488,165,'Live Data'!$C$21)="","",INDEX(SPOT_Import!$A$1:$Z$2488,165,'Live Data'!$C$21)),"")</f>
        <v>2026-10-08T09:15:49.000Z</v>
      </c>
      <c r="K165" s="54" t="str">
        <f>IFERROR(IF(INDEX(SPOT_Import!$A$1:$Z$2488,165,'Live Data'!$C$22)="","",INDEX(SPOT_Import!$A$1:$Z$2488,165,'Live Data'!$C$22)),"")</f>
        <v>2026-10-08T09:15:49.000Z</v>
      </c>
      <c r="L165" s="55" t="str">
        <f t="shared" si="4"/>
        <v>2026-10</v>
      </c>
      <c r="M165" s="55" t="str">
        <f t="shared" si="5"/>
        <v>EMBU</v>
      </c>
      <c r="N165" s="55" t="str">
        <f>IF(A165="","",IFERROR(INDEX('Cluster Map'!$A$4:$A$38,MATCH(M165,'Cluster Map'!$B$4:$B$38,0)),"Unmapped"))</f>
        <v>Cluster 2</v>
      </c>
      <c r="O165" s="55">
        <f>IF(A165="",0,IF(COUNTIFS($A$2:A165,A165,$F$2:F165,F165,$L$2:L165,L165)=1,1,0))</f>
        <v>1</v>
      </c>
      <c r="P165" s="55">
        <f>IF(A165="",0,IF(AND(F165="C&amp;T",COUNTIFS($A$2:A165,A165,$F$2:F165,"C&amp;T")=1),1,0))</f>
        <v>0</v>
      </c>
    </row>
    <row r="166" spans="1:16" x14ac:dyDescent="0.35">
      <c r="A166" s="54">
        <f>IFERROR(IF(INDEX(SPOT_Import!$A$1:$Z$2488,166,'Live Data'!$C$12)="","",INDEX(SPOT_Import!$A$1:$Z$2488,166,'Live Data'!$C$12)),"")</f>
        <v>12287</v>
      </c>
      <c r="B166" s="54" t="str">
        <f>IFERROR(IF(INDEX(SPOT_Import!$A$1:$Z$2488,166,'Live Data'!$C$13)="","",INDEX(SPOT_Import!$A$1:$Z$2488,166,'Live Data'!$C$13)),"")</f>
        <v>Kibugu Health Centre</v>
      </c>
      <c r="C166" s="54" t="str">
        <f>IFERROR(IF(INDEX(SPOT_Import!$A$1:$Z$2488,166,'Live Data'!$C$14)="","",INDEX(SPOT_Import!$A$1:$Z$2488,166,'Live Data'!$C$14)),"")</f>
        <v>EMBU</v>
      </c>
      <c r="D166" s="54" t="str">
        <f>IFERROR(IF(INDEX(SPOT_Import!$A$1:$Z$2488,166,'Live Data'!$C$15)="","",INDEX(SPOT_Import!$A$1:$Z$2488,166,'Live Data'!$C$15)),"")</f>
        <v>Manyatta</v>
      </c>
      <c r="E166" s="54" t="str">
        <f>IFERROR(IF(INDEX(SPOT_Import!$A$1:$Z$2488,166,'Live Data'!$C$16)="","",INDEX(SPOT_Import!$A$1:$Z$2488,166,'Live Data'!$C$16)),"")</f>
        <v>USAID Jamii Tekelezi</v>
      </c>
      <c r="F166" s="54" t="str">
        <f>IFERROR(IF(INDEX(SPOT_Import!$A$1:$Z$2488,166,'Live Data'!$C$17)="","",INDEX(SPOT_Import!$A$1:$Z$2488,166,'Live Data'!$C$17)),"")</f>
        <v>PREP</v>
      </c>
      <c r="G166" s="54">
        <f>IFERROR(IF(INDEX(SPOT_Import!$A$1:$Z$2488,166,'Live Data'!$C$18)="","",INDEX(SPOT_Import!$A$1:$Z$2488,166,'Live Data'!$C$18)),"")</f>
        <v>156</v>
      </c>
      <c r="H166" s="54">
        <f>IFERROR(IF(INDEX(SPOT_Import!$A$1:$Z$2488,166,'Live Data'!$C$19)="","",INDEX(SPOT_Import!$A$1:$Z$2488,166,'Live Data'!$C$19)),"")</f>
        <v>156</v>
      </c>
      <c r="I166" s="54" t="str">
        <f>IFERROR(IF(INDEX(SPOT_Import!$A$1:$Z$2488,166,'Live Data'!$C$20)="","",INDEX(SPOT_Import!$A$1:$Z$2488,166,'Live Data'!$C$20)),"")</f>
        <v>Complete</v>
      </c>
      <c r="J166" s="54" t="str">
        <f>IFERROR(IF(INDEX(SPOT_Import!$A$1:$Z$2488,166,'Live Data'!$C$21)="","",INDEX(SPOT_Import!$A$1:$Z$2488,166,'Live Data'!$C$21)),"")</f>
        <v>2026-10-08T09:15:46.000Z</v>
      </c>
      <c r="K166" s="54" t="str">
        <f>IFERROR(IF(INDEX(SPOT_Import!$A$1:$Z$2488,166,'Live Data'!$C$22)="","",INDEX(SPOT_Import!$A$1:$Z$2488,166,'Live Data'!$C$22)),"")</f>
        <v>2026-10-08T09:15:46.000Z</v>
      </c>
      <c r="L166" s="55" t="str">
        <f t="shared" si="4"/>
        <v>2026-10</v>
      </c>
      <c r="M166" s="55" t="str">
        <f t="shared" si="5"/>
        <v>EMBU</v>
      </c>
      <c r="N166" s="55" t="str">
        <f>IF(A166="","",IFERROR(INDEX('Cluster Map'!$A$4:$A$38,MATCH(M166,'Cluster Map'!$B$4:$B$38,0)),"Unmapped"))</f>
        <v>Cluster 2</v>
      </c>
      <c r="O166" s="55">
        <f>IF(A166="",0,IF(COUNTIFS($A$2:A166,A166,$F$2:F166,F166,$L$2:L166,L166)=1,1,0))</f>
        <v>1</v>
      </c>
      <c r="P166" s="55">
        <f>IF(A166="",0,IF(AND(F166="C&amp;T",COUNTIFS($A$2:A166,A166,$F$2:F166,"C&amp;T")=1),1,0))</f>
        <v>0</v>
      </c>
    </row>
    <row r="167" spans="1:16" x14ac:dyDescent="0.35">
      <c r="A167" s="54">
        <f>IFERROR(IF(INDEX(SPOT_Import!$A$1:$Z$2488,167,'Live Data'!$C$12)="","",INDEX(SPOT_Import!$A$1:$Z$2488,167,'Live Data'!$C$12)),"")</f>
        <v>19879</v>
      </c>
      <c r="B167" s="54" t="str">
        <f>IFERROR(IF(INDEX(SPOT_Import!$A$1:$Z$2488,167,'Live Data'!$C$13)="","",INDEX(SPOT_Import!$A$1:$Z$2488,167,'Live Data'!$C$13)),"")</f>
        <v>Imenti North Dice (Meru)</v>
      </c>
      <c r="C167" s="54" t="str">
        <f>IFERROR(IF(INDEX(SPOT_Import!$A$1:$Z$2488,167,'Live Data'!$C$14)="","",INDEX(SPOT_Import!$A$1:$Z$2488,167,'Live Data'!$C$14)),"")</f>
        <v>MERU</v>
      </c>
      <c r="D167" s="54" t="str">
        <f>IFERROR(IF(INDEX(SPOT_Import!$A$1:$Z$2488,167,'Live Data'!$C$15)="","",INDEX(SPOT_Import!$A$1:$Z$2488,167,'Live Data'!$C$15)),"")</f>
        <v>Imenti North</v>
      </c>
      <c r="E167" s="54" t="str">
        <f>IFERROR(IF(INDEX(SPOT_Import!$A$1:$Z$2488,167,'Live Data'!$C$16)="","",INDEX(SPOT_Import!$A$1:$Z$2488,167,'Live Data'!$C$16)),"")</f>
        <v>USAID Jamii Tekelezi</v>
      </c>
      <c r="F167" s="54" t="str">
        <f>IFERROR(IF(INDEX(SPOT_Import!$A$1:$Z$2488,167,'Live Data'!$C$17)="","",INDEX(SPOT_Import!$A$1:$Z$2488,167,'Live Data'!$C$17)),"")</f>
        <v>HTS</v>
      </c>
      <c r="G167" s="54">
        <f>IFERROR(IF(INDEX(SPOT_Import!$A$1:$Z$2488,167,'Live Data'!$C$18)="","",INDEX(SPOT_Import!$A$1:$Z$2488,167,'Live Data'!$C$18)),"")</f>
        <v>11222</v>
      </c>
      <c r="H167" s="54">
        <f>IFERROR(IF(INDEX(SPOT_Import!$A$1:$Z$2488,167,'Live Data'!$C$19)="","",INDEX(SPOT_Import!$A$1:$Z$2488,167,'Live Data'!$C$19)),"")</f>
        <v>11222</v>
      </c>
      <c r="I167" s="54" t="str">
        <f>IFERROR(IF(INDEX(SPOT_Import!$A$1:$Z$2488,167,'Live Data'!$C$20)="","",INDEX(SPOT_Import!$A$1:$Z$2488,167,'Live Data'!$C$20)),"")</f>
        <v>Complete</v>
      </c>
      <c r="J167" s="54" t="str">
        <f>IFERROR(IF(INDEX(SPOT_Import!$A$1:$Z$2488,167,'Live Data'!$C$21)="","",INDEX(SPOT_Import!$A$1:$Z$2488,167,'Live Data'!$C$21)),"")</f>
        <v>2026-10-08T09:10:47.000Z</v>
      </c>
      <c r="K167" s="54" t="str">
        <f>IFERROR(IF(INDEX(SPOT_Import!$A$1:$Z$2488,167,'Live Data'!$C$22)="","",INDEX(SPOT_Import!$A$1:$Z$2488,167,'Live Data'!$C$22)),"")</f>
        <v>2026-10-08T09:10:47.000Z</v>
      </c>
      <c r="L167" s="55" t="str">
        <f t="shared" si="4"/>
        <v>2026-10</v>
      </c>
      <c r="M167" s="55" t="str">
        <f t="shared" si="5"/>
        <v>MERU</v>
      </c>
      <c r="N167" s="55" t="str">
        <f>IF(A167="","",IFERROR(INDEX('Cluster Map'!$A$4:$A$38,MATCH(M167,'Cluster Map'!$B$4:$B$38,0)),"Unmapped"))</f>
        <v>Cluster 1</v>
      </c>
      <c r="O167" s="55">
        <f>IF(A167="",0,IF(COUNTIFS($A$2:A167,A167,$F$2:F167,F167,$L$2:L167,L167)=1,1,0))</f>
        <v>1</v>
      </c>
      <c r="P167" s="55">
        <f>IF(A167="",0,IF(AND(F167="C&amp;T",COUNTIFS($A$2:A167,A167,$F$2:F167,"C&amp;T")=1),1,0))</f>
        <v>0</v>
      </c>
    </row>
    <row r="168" spans="1:16" x14ac:dyDescent="0.35">
      <c r="A168" s="54">
        <f>IFERROR(IF(INDEX(SPOT_Import!$A$1:$Z$2488,168,'Live Data'!$C$12)="","",INDEX(SPOT_Import!$A$1:$Z$2488,168,'Live Data'!$C$12)),"")</f>
        <v>12319</v>
      </c>
      <c r="B168" s="54" t="str">
        <f>IFERROR(IF(INDEX(SPOT_Import!$A$1:$Z$2488,168,'Live Data'!$C$13)="","",INDEX(SPOT_Import!$A$1:$Z$2488,168,'Live Data'!$C$13)),"")</f>
        <v>Kina Dispensary</v>
      </c>
      <c r="C168" s="54" t="str">
        <f>IFERROR(IF(INDEX(SPOT_Import!$A$1:$Z$2488,168,'Live Data'!$C$14)="","",INDEX(SPOT_Import!$A$1:$Z$2488,168,'Live Data'!$C$14)),"")</f>
        <v>MERU</v>
      </c>
      <c r="D168" s="54" t="str">
        <f>IFERROR(IF(INDEX(SPOT_Import!$A$1:$Z$2488,168,'Live Data'!$C$15)="","",INDEX(SPOT_Import!$A$1:$Z$2488,168,'Live Data'!$C$15)),"")</f>
        <v>Igembe Central</v>
      </c>
      <c r="E168" s="54" t="str">
        <f>IFERROR(IF(INDEX(SPOT_Import!$A$1:$Z$2488,168,'Live Data'!$C$16)="","",INDEX(SPOT_Import!$A$1:$Z$2488,168,'Live Data'!$C$16)),"")</f>
        <v>USAID Jamii Tekelezi</v>
      </c>
      <c r="F168" s="54" t="str">
        <f>IFERROR(IF(INDEX(SPOT_Import!$A$1:$Z$2488,168,'Live Data'!$C$17)="","",INDEX(SPOT_Import!$A$1:$Z$2488,168,'Live Data'!$C$17)),"")</f>
        <v>C&amp;T</v>
      </c>
      <c r="G168" s="54">
        <f>IFERROR(IF(INDEX(SPOT_Import!$A$1:$Z$2488,168,'Live Data'!$C$18)="","",INDEX(SPOT_Import!$A$1:$Z$2488,168,'Live Data'!$C$18)),"")</f>
        <v>522</v>
      </c>
      <c r="H168" s="54">
        <f>IFERROR(IF(INDEX(SPOT_Import!$A$1:$Z$2488,168,'Live Data'!$C$19)="","",INDEX(SPOT_Import!$A$1:$Z$2488,168,'Live Data'!$C$19)),"")</f>
        <v>522</v>
      </c>
      <c r="I168" s="54" t="str">
        <f>IFERROR(IF(INDEX(SPOT_Import!$A$1:$Z$2488,168,'Live Data'!$C$20)="","",INDEX(SPOT_Import!$A$1:$Z$2488,168,'Live Data'!$C$20)),"")</f>
        <v>Complete</v>
      </c>
      <c r="J168" s="54" t="str">
        <f>IFERROR(IF(INDEX(SPOT_Import!$A$1:$Z$2488,168,'Live Data'!$C$21)="","",INDEX(SPOT_Import!$A$1:$Z$2488,168,'Live Data'!$C$21)),"")</f>
        <v>2026-10-08T09:07:47.000Z</v>
      </c>
      <c r="K168" s="54" t="str">
        <f>IFERROR(IF(INDEX(SPOT_Import!$A$1:$Z$2488,168,'Live Data'!$C$22)="","",INDEX(SPOT_Import!$A$1:$Z$2488,168,'Live Data'!$C$22)),"")</f>
        <v>2026-10-08T09:07:47.000Z</v>
      </c>
      <c r="L168" s="55" t="str">
        <f t="shared" si="4"/>
        <v>2026-10</v>
      </c>
      <c r="M168" s="55" t="str">
        <f t="shared" si="5"/>
        <v>MERU</v>
      </c>
      <c r="N168" s="55" t="str">
        <f>IF(A168="","",IFERROR(INDEX('Cluster Map'!$A$4:$A$38,MATCH(M168,'Cluster Map'!$B$4:$B$38,0)),"Unmapped"))</f>
        <v>Cluster 1</v>
      </c>
      <c r="O168" s="55">
        <f>IF(A168="",0,IF(COUNTIFS($A$2:A168,A168,$F$2:F168,F168,$L$2:L168,L168)=1,1,0))</f>
        <v>1</v>
      </c>
      <c r="P168" s="55">
        <f>IF(A168="",0,IF(AND(F168="C&amp;T",COUNTIFS($A$2:A168,A168,$F$2:F168,"C&amp;T")=1),1,0))</f>
        <v>1</v>
      </c>
    </row>
    <row r="169" spans="1:16" x14ac:dyDescent="0.35">
      <c r="A169" s="54">
        <f>IFERROR(IF(INDEX(SPOT_Import!$A$1:$Z$2488,169,'Live Data'!$C$12)="","",INDEX(SPOT_Import!$A$1:$Z$2488,169,'Live Data'!$C$12)),"")</f>
        <v>19879</v>
      </c>
      <c r="B169" s="54" t="str">
        <f>IFERROR(IF(INDEX(SPOT_Import!$A$1:$Z$2488,169,'Live Data'!$C$13)="","",INDEX(SPOT_Import!$A$1:$Z$2488,169,'Live Data'!$C$13)),"")</f>
        <v>Imenti North Dice (Meru)</v>
      </c>
      <c r="C169" s="54" t="str">
        <f>IFERROR(IF(INDEX(SPOT_Import!$A$1:$Z$2488,169,'Live Data'!$C$14)="","",INDEX(SPOT_Import!$A$1:$Z$2488,169,'Live Data'!$C$14)),"")</f>
        <v>MERU</v>
      </c>
      <c r="D169" s="54" t="str">
        <f>IFERROR(IF(INDEX(SPOT_Import!$A$1:$Z$2488,169,'Live Data'!$C$15)="","",INDEX(SPOT_Import!$A$1:$Z$2488,169,'Live Data'!$C$15)),"")</f>
        <v>Imenti North</v>
      </c>
      <c r="E169" s="54" t="str">
        <f>IFERROR(IF(INDEX(SPOT_Import!$A$1:$Z$2488,169,'Live Data'!$C$16)="","",INDEX(SPOT_Import!$A$1:$Z$2488,169,'Live Data'!$C$16)),"")</f>
        <v>USAID Jamii Tekelezi</v>
      </c>
      <c r="F169" s="54" t="str">
        <f>IFERROR(IF(INDEX(SPOT_Import!$A$1:$Z$2488,169,'Live Data'!$C$17)="","",INDEX(SPOT_Import!$A$1:$Z$2488,169,'Live Data'!$C$17)),"")</f>
        <v>PREP</v>
      </c>
      <c r="G169" s="54">
        <f>IFERROR(IF(INDEX(SPOT_Import!$A$1:$Z$2488,169,'Live Data'!$C$18)="","",INDEX(SPOT_Import!$A$1:$Z$2488,169,'Live Data'!$C$18)),"")</f>
        <v>1665</v>
      </c>
      <c r="H169" s="54">
        <f>IFERROR(IF(INDEX(SPOT_Import!$A$1:$Z$2488,169,'Live Data'!$C$19)="","",INDEX(SPOT_Import!$A$1:$Z$2488,169,'Live Data'!$C$19)),"")</f>
        <v>1665</v>
      </c>
      <c r="I169" s="54" t="str">
        <f>IFERROR(IF(INDEX(SPOT_Import!$A$1:$Z$2488,169,'Live Data'!$C$20)="","",INDEX(SPOT_Import!$A$1:$Z$2488,169,'Live Data'!$C$20)),"")</f>
        <v>Complete</v>
      </c>
      <c r="J169" s="54" t="str">
        <f>IFERROR(IF(INDEX(SPOT_Import!$A$1:$Z$2488,169,'Live Data'!$C$21)="","",INDEX(SPOT_Import!$A$1:$Z$2488,169,'Live Data'!$C$21)),"")</f>
        <v>2026-10-08T09:05:12.000Z</v>
      </c>
      <c r="K169" s="54" t="str">
        <f>IFERROR(IF(INDEX(SPOT_Import!$A$1:$Z$2488,169,'Live Data'!$C$22)="","",INDEX(SPOT_Import!$A$1:$Z$2488,169,'Live Data'!$C$22)),"")</f>
        <v>2026-10-08T09:05:12.000Z</v>
      </c>
      <c r="L169" s="55" t="str">
        <f t="shared" si="4"/>
        <v>2026-10</v>
      </c>
      <c r="M169" s="55" t="str">
        <f t="shared" si="5"/>
        <v>MERU</v>
      </c>
      <c r="N169" s="55" t="str">
        <f>IF(A169="","",IFERROR(INDEX('Cluster Map'!$A$4:$A$38,MATCH(M169,'Cluster Map'!$B$4:$B$38,0)),"Unmapped"))</f>
        <v>Cluster 1</v>
      </c>
      <c r="O169" s="55">
        <f>IF(A169="",0,IF(COUNTIFS($A$2:A169,A169,$F$2:F169,F169,$L$2:L169,L169)=1,1,0))</f>
        <v>1</v>
      </c>
      <c r="P169" s="55">
        <f>IF(A169="",0,IF(AND(F169="C&amp;T",COUNTIFS($A$2:A169,A169,$F$2:F169,"C&amp;T")=1),1,0))</f>
        <v>0</v>
      </c>
    </row>
    <row r="170" spans="1:16" x14ac:dyDescent="0.35">
      <c r="A170" s="54">
        <f>IFERROR(IF(INDEX(SPOT_Import!$A$1:$Z$2488,170,'Live Data'!$C$12)="","",INDEX(SPOT_Import!$A$1:$Z$2488,170,'Live Data'!$C$12)),"")</f>
        <v>19879</v>
      </c>
      <c r="B170" s="54" t="str">
        <f>IFERROR(IF(INDEX(SPOT_Import!$A$1:$Z$2488,170,'Live Data'!$C$13)="","",INDEX(SPOT_Import!$A$1:$Z$2488,170,'Live Data'!$C$13)),"")</f>
        <v>Imenti North Dice (Meru)</v>
      </c>
      <c r="C170" s="54" t="str">
        <f>IFERROR(IF(INDEX(SPOT_Import!$A$1:$Z$2488,170,'Live Data'!$C$14)="","",INDEX(SPOT_Import!$A$1:$Z$2488,170,'Live Data'!$C$14)),"")</f>
        <v>MERU</v>
      </c>
      <c r="D170" s="54" t="str">
        <f>IFERROR(IF(INDEX(SPOT_Import!$A$1:$Z$2488,170,'Live Data'!$C$15)="","",INDEX(SPOT_Import!$A$1:$Z$2488,170,'Live Data'!$C$15)),"")</f>
        <v>Imenti North</v>
      </c>
      <c r="E170" s="54" t="str">
        <f>IFERROR(IF(INDEX(SPOT_Import!$A$1:$Z$2488,170,'Live Data'!$C$16)="","",INDEX(SPOT_Import!$A$1:$Z$2488,170,'Live Data'!$C$16)),"")</f>
        <v>USAID Jamii Tekelezi</v>
      </c>
      <c r="F170" s="54" t="str">
        <f>IFERROR(IF(INDEX(SPOT_Import!$A$1:$Z$2488,170,'Live Data'!$C$17)="","",INDEX(SPOT_Import!$A$1:$Z$2488,170,'Live Data'!$C$17)),"")</f>
        <v>MNCH</v>
      </c>
      <c r="G170" s="54">
        <f>IFERROR(IF(INDEX(SPOT_Import!$A$1:$Z$2488,170,'Live Data'!$C$18)="","",INDEX(SPOT_Import!$A$1:$Z$2488,170,'Live Data'!$C$18)),"")</f>
        <v>7</v>
      </c>
      <c r="H170" s="54">
        <f>IFERROR(IF(INDEX(SPOT_Import!$A$1:$Z$2488,170,'Live Data'!$C$19)="","",INDEX(SPOT_Import!$A$1:$Z$2488,170,'Live Data'!$C$19)),"")</f>
        <v>7</v>
      </c>
      <c r="I170" s="54" t="str">
        <f>IFERROR(IF(INDEX(SPOT_Import!$A$1:$Z$2488,170,'Live Data'!$C$20)="","",INDEX(SPOT_Import!$A$1:$Z$2488,170,'Live Data'!$C$20)),"")</f>
        <v>Complete</v>
      </c>
      <c r="J170" s="54" t="str">
        <f>IFERROR(IF(INDEX(SPOT_Import!$A$1:$Z$2488,170,'Live Data'!$C$21)="","",INDEX(SPOT_Import!$A$1:$Z$2488,170,'Live Data'!$C$21)),"")</f>
        <v>2026-10-08T09:03:49.000Z</v>
      </c>
      <c r="K170" s="54" t="str">
        <f>IFERROR(IF(INDEX(SPOT_Import!$A$1:$Z$2488,170,'Live Data'!$C$22)="","",INDEX(SPOT_Import!$A$1:$Z$2488,170,'Live Data'!$C$22)),"")</f>
        <v>2026-10-08T09:03:49.000Z</v>
      </c>
      <c r="L170" s="55" t="str">
        <f t="shared" si="4"/>
        <v>2026-10</v>
      </c>
      <c r="M170" s="55" t="str">
        <f t="shared" si="5"/>
        <v>MERU</v>
      </c>
      <c r="N170" s="55" t="str">
        <f>IF(A170="","",IFERROR(INDEX('Cluster Map'!$A$4:$A$38,MATCH(M170,'Cluster Map'!$B$4:$B$38,0)),"Unmapped"))</f>
        <v>Cluster 1</v>
      </c>
      <c r="O170" s="55">
        <f>IF(A170="",0,IF(COUNTIFS($A$2:A170,A170,$F$2:F170,F170,$L$2:L170,L170)=1,1,0))</f>
        <v>1</v>
      </c>
      <c r="P170" s="55">
        <f>IF(A170="",0,IF(AND(F170="C&amp;T",COUNTIFS($A$2:A170,A170,$F$2:F170,"C&amp;T")=1),1,0))</f>
        <v>0</v>
      </c>
    </row>
    <row r="171" spans="1:16" x14ac:dyDescent="0.35">
      <c r="A171" s="54">
        <f>IFERROR(IF(INDEX(SPOT_Import!$A$1:$Z$2488,171,'Live Data'!$C$12)="","",INDEX(SPOT_Import!$A$1:$Z$2488,171,'Live Data'!$C$12)),"")</f>
        <v>12287</v>
      </c>
      <c r="B171" s="54" t="str">
        <f>IFERROR(IF(INDEX(SPOT_Import!$A$1:$Z$2488,171,'Live Data'!$C$13)="","",INDEX(SPOT_Import!$A$1:$Z$2488,171,'Live Data'!$C$13)),"")</f>
        <v>Kibugu Health Centre</v>
      </c>
      <c r="C171" s="54" t="str">
        <f>IFERROR(IF(INDEX(SPOT_Import!$A$1:$Z$2488,171,'Live Data'!$C$14)="","",INDEX(SPOT_Import!$A$1:$Z$2488,171,'Live Data'!$C$14)),"")</f>
        <v>EMBU</v>
      </c>
      <c r="D171" s="54" t="str">
        <f>IFERROR(IF(INDEX(SPOT_Import!$A$1:$Z$2488,171,'Live Data'!$C$15)="","",INDEX(SPOT_Import!$A$1:$Z$2488,171,'Live Data'!$C$15)),"")</f>
        <v>Manyatta</v>
      </c>
      <c r="E171" s="54" t="str">
        <f>IFERROR(IF(INDEX(SPOT_Import!$A$1:$Z$2488,171,'Live Data'!$C$16)="","",INDEX(SPOT_Import!$A$1:$Z$2488,171,'Live Data'!$C$16)),"")</f>
        <v>USAID Jamii Tekelezi</v>
      </c>
      <c r="F171" s="54" t="str">
        <f>IFERROR(IF(INDEX(SPOT_Import!$A$1:$Z$2488,171,'Live Data'!$C$17)="","",INDEX(SPOT_Import!$A$1:$Z$2488,171,'Live Data'!$C$17)),"")</f>
        <v>C&amp;T</v>
      </c>
      <c r="G171" s="54">
        <f>IFERROR(IF(INDEX(SPOT_Import!$A$1:$Z$2488,171,'Live Data'!$C$18)="","",INDEX(SPOT_Import!$A$1:$Z$2488,171,'Live Data'!$C$18)),"")</f>
        <v>536</v>
      </c>
      <c r="H171" s="54">
        <f>IFERROR(IF(INDEX(SPOT_Import!$A$1:$Z$2488,171,'Live Data'!$C$19)="","",INDEX(SPOT_Import!$A$1:$Z$2488,171,'Live Data'!$C$19)),"")</f>
        <v>536</v>
      </c>
      <c r="I171" s="54" t="str">
        <f>IFERROR(IF(INDEX(SPOT_Import!$A$1:$Z$2488,171,'Live Data'!$C$20)="","",INDEX(SPOT_Import!$A$1:$Z$2488,171,'Live Data'!$C$20)),"")</f>
        <v>Complete</v>
      </c>
      <c r="J171" s="54" t="str">
        <f>IFERROR(IF(INDEX(SPOT_Import!$A$1:$Z$2488,171,'Live Data'!$C$21)="","",INDEX(SPOT_Import!$A$1:$Z$2488,171,'Live Data'!$C$21)),"")</f>
        <v>2026-10-08T09:03:15.000Z</v>
      </c>
      <c r="K171" s="54" t="str">
        <f>IFERROR(IF(INDEX(SPOT_Import!$A$1:$Z$2488,171,'Live Data'!$C$22)="","",INDEX(SPOT_Import!$A$1:$Z$2488,171,'Live Data'!$C$22)),"")</f>
        <v>2026-10-08T09:03:15.000Z</v>
      </c>
      <c r="L171" s="55" t="str">
        <f t="shared" si="4"/>
        <v>2026-10</v>
      </c>
      <c r="M171" s="55" t="str">
        <f t="shared" si="5"/>
        <v>EMBU</v>
      </c>
      <c r="N171" s="55" t="str">
        <f>IF(A171="","",IFERROR(INDEX('Cluster Map'!$A$4:$A$38,MATCH(M171,'Cluster Map'!$B$4:$B$38,0)),"Unmapped"))</f>
        <v>Cluster 2</v>
      </c>
      <c r="O171" s="55">
        <f>IF(A171="",0,IF(COUNTIFS($A$2:A171,A171,$F$2:F171,F171,$L$2:L171,L171)=1,1,0))</f>
        <v>1</v>
      </c>
      <c r="P171" s="55">
        <f>IF(A171="",0,IF(AND(F171="C&amp;T",COUNTIFS($A$2:A171,A171,$F$2:F171,"C&amp;T")=1),1,0))</f>
        <v>1</v>
      </c>
    </row>
    <row r="172" spans="1:16" x14ac:dyDescent="0.35">
      <c r="A172" s="54">
        <f>IFERROR(IF(INDEX(SPOT_Import!$A$1:$Z$2488,172,'Live Data'!$C$12)="","",INDEX(SPOT_Import!$A$1:$Z$2488,172,'Live Data'!$C$12)),"")</f>
        <v>12282</v>
      </c>
      <c r="B172" s="54" t="str">
        <f>IFERROR(IF(INDEX(SPOT_Import!$A$1:$Z$2488,172,'Live Data'!$C$13)="","",INDEX(SPOT_Import!$A$1:$Z$2488,172,'Live Data'!$C$13)),"")</f>
        <v>Kibirichia Sub-District Hospital</v>
      </c>
      <c r="C172" s="54" t="str">
        <f>IFERROR(IF(INDEX(SPOT_Import!$A$1:$Z$2488,172,'Live Data'!$C$14)="","",INDEX(SPOT_Import!$A$1:$Z$2488,172,'Live Data'!$C$14)),"")</f>
        <v>MERU</v>
      </c>
      <c r="D172" s="54" t="str">
        <f>IFERROR(IF(INDEX(SPOT_Import!$A$1:$Z$2488,172,'Live Data'!$C$15)="","",INDEX(SPOT_Import!$A$1:$Z$2488,172,'Live Data'!$C$15)),"")</f>
        <v>Buuri</v>
      </c>
      <c r="E172" s="54" t="str">
        <f>IFERROR(IF(INDEX(SPOT_Import!$A$1:$Z$2488,172,'Live Data'!$C$16)="","",INDEX(SPOT_Import!$A$1:$Z$2488,172,'Live Data'!$C$16)),"")</f>
        <v>USAID Jamii Tekelezi</v>
      </c>
      <c r="F172" s="54" t="str">
        <f>IFERROR(IF(INDEX(SPOT_Import!$A$1:$Z$2488,172,'Live Data'!$C$17)="","",INDEX(SPOT_Import!$A$1:$Z$2488,172,'Live Data'!$C$17)),"")</f>
        <v>C&amp;T</v>
      </c>
      <c r="G172" s="54">
        <f>IFERROR(IF(INDEX(SPOT_Import!$A$1:$Z$2488,172,'Live Data'!$C$18)="","",INDEX(SPOT_Import!$A$1:$Z$2488,172,'Live Data'!$C$18)),"")</f>
        <v>315</v>
      </c>
      <c r="H172" s="54">
        <f>IFERROR(IF(INDEX(SPOT_Import!$A$1:$Z$2488,172,'Live Data'!$C$19)="","",INDEX(SPOT_Import!$A$1:$Z$2488,172,'Live Data'!$C$19)),"")</f>
        <v>315</v>
      </c>
      <c r="I172" s="54" t="str">
        <f>IFERROR(IF(INDEX(SPOT_Import!$A$1:$Z$2488,172,'Live Data'!$C$20)="","",INDEX(SPOT_Import!$A$1:$Z$2488,172,'Live Data'!$C$20)),"")</f>
        <v>Complete</v>
      </c>
      <c r="J172" s="54" t="str">
        <f>IFERROR(IF(INDEX(SPOT_Import!$A$1:$Z$2488,172,'Live Data'!$C$21)="","",INDEX(SPOT_Import!$A$1:$Z$2488,172,'Live Data'!$C$21)),"")</f>
        <v>2026-10-08T09:03:14.000Z</v>
      </c>
      <c r="K172" s="54" t="str">
        <f>IFERROR(IF(INDEX(SPOT_Import!$A$1:$Z$2488,172,'Live Data'!$C$22)="","",INDEX(SPOT_Import!$A$1:$Z$2488,172,'Live Data'!$C$22)),"")</f>
        <v>2026-10-08T09:03:14.000Z</v>
      </c>
      <c r="L172" s="55" t="str">
        <f t="shared" si="4"/>
        <v>2026-10</v>
      </c>
      <c r="M172" s="55" t="str">
        <f t="shared" si="5"/>
        <v>MERU</v>
      </c>
      <c r="N172" s="55" t="str">
        <f>IF(A172="","",IFERROR(INDEX('Cluster Map'!$A$4:$A$38,MATCH(M172,'Cluster Map'!$B$4:$B$38,0)),"Unmapped"))</f>
        <v>Cluster 1</v>
      </c>
      <c r="O172" s="55">
        <f>IF(A172="",0,IF(COUNTIFS($A$2:A172,A172,$F$2:F172,F172,$L$2:L172,L172)=1,1,0))</f>
        <v>1</v>
      </c>
      <c r="P172" s="55">
        <f>IF(A172="",0,IF(AND(F172="C&amp;T",COUNTIFS($A$2:A172,A172,$F$2:F172,"C&amp;T")=1),1,0))</f>
        <v>1</v>
      </c>
    </row>
    <row r="173" spans="1:16" x14ac:dyDescent="0.35">
      <c r="A173" s="54">
        <f>IFERROR(IF(INDEX(SPOT_Import!$A$1:$Z$2488,173,'Live Data'!$C$12)="","",INDEX(SPOT_Import!$A$1:$Z$2488,173,'Live Data'!$C$12)),"")</f>
        <v>19879</v>
      </c>
      <c r="B173" s="54" t="str">
        <f>IFERROR(IF(INDEX(SPOT_Import!$A$1:$Z$2488,173,'Live Data'!$C$13)="","",INDEX(SPOT_Import!$A$1:$Z$2488,173,'Live Data'!$C$13)),"")</f>
        <v>Marps Clinic (Meru)</v>
      </c>
      <c r="C173" s="54" t="str">
        <f>IFERROR(IF(INDEX(SPOT_Import!$A$1:$Z$2488,173,'Live Data'!$C$14)="","",INDEX(SPOT_Import!$A$1:$Z$2488,173,'Live Data'!$C$14)),"")</f>
        <v>MERU</v>
      </c>
      <c r="D173" s="54" t="str">
        <f>IFERROR(IF(INDEX(SPOT_Import!$A$1:$Z$2488,173,'Live Data'!$C$15)="","",INDEX(SPOT_Import!$A$1:$Z$2488,173,'Live Data'!$C$15)),"")</f>
        <v>Imenti North</v>
      </c>
      <c r="E173" s="54" t="str">
        <f>IFERROR(IF(INDEX(SPOT_Import!$A$1:$Z$2488,173,'Live Data'!$C$16)="","",INDEX(SPOT_Import!$A$1:$Z$2488,173,'Live Data'!$C$16)),"")</f>
        <v>USAID Jamii Tekelezi</v>
      </c>
      <c r="F173" s="54" t="str">
        <f>IFERROR(IF(INDEX(SPOT_Import!$A$1:$Z$2488,173,'Live Data'!$C$17)="","",INDEX(SPOT_Import!$A$1:$Z$2488,173,'Live Data'!$C$17)),"")</f>
        <v>C&amp;T</v>
      </c>
      <c r="G173" s="54">
        <f>IFERROR(IF(INDEX(SPOT_Import!$A$1:$Z$2488,173,'Live Data'!$C$18)="","",INDEX(SPOT_Import!$A$1:$Z$2488,173,'Live Data'!$C$18)),"")</f>
        <v>200</v>
      </c>
      <c r="H173" s="54">
        <f>IFERROR(IF(INDEX(SPOT_Import!$A$1:$Z$2488,173,'Live Data'!$C$19)="","",INDEX(SPOT_Import!$A$1:$Z$2488,173,'Live Data'!$C$19)),"")</f>
        <v>200</v>
      </c>
      <c r="I173" s="54" t="str">
        <f>IFERROR(IF(INDEX(SPOT_Import!$A$1:$Z$2488,173,'Live Data'!$C$20)="","",INDEX(SPOT_Import!$A$1:$Z$2488,173,'Live Data'!$C$20)),"")</f>
        <v>Complete</v>
      </c>
      <c r="J173" s="54" t="str">
        <f>IFERROR(IF(INDEX(SPOT_Import!$A$1:$Z$2488,173,'Live Data'!$C$21)="","",INDEX(SPOT_Import!$A$1:$Z$2488,173,'Live Data'!$C$21)),"")</f>
        <v>2026-10-08T08:32:17.000Z</v>
      </c>
      <c r="K173" s="54" t="str">
        <f>IFERROR(IF(INDEX(SPOT_Import!$A$1:$Z$2488,173,'Live Data'!$C$22)="","",INDEX(SPOT_Import!$A$1:$Z$2488,173,'Live Data'!$C$22)),"")</f>
        <v>2026-10-08T08:32:17.000Z</v>
      </c>
      <c r="L173" s="55" t="str">
        <f t="shared" si="4"/>
        <v>2026-10</v>
      </c>
      <c r="M173" s="55" t="str">
        <f t="shared" si="5"/>
        <v>MERU</v>
      </c>
      <c r="N173" s="55" t="str">
        <f>IF(A173="","",IFERROR(INDEX('Cluster Map'!$A$4:$A$38,MATCH(M173,'Cluster Map'!$B$4:$B$38,0)),"Unmapped"))</f>
        <v>Cluster 1</v>
      </c>
      <c r="O173" s="55">
        <f>IF(A173="",0,IF(COUNTIFS($A$2:A173,A173,$F$2:F173,F173,$L$2:L173,L173)=1,1,0))</f>
        <v>1</v>
      </c>
      <c r="P173" s="55">
        <f>IF(A173="",0,IF(AND(F173="C&amp;T",COUNTIFS($A$2:A173,A173,$F$2:F173,"C&amp;T")=1),1,0))</f>
        <v>1</v>
      </c>
    </row>
    <row r="174" spans="1:16" x14ac:dyDescent="0.35">
      <c r="A174" s="54">
        <f>IFERROR(IF(INDEX(SPOT_Import!$A$1:$Z$2488,174,'Live Data'!$C$12)="","",INDEX(SPOT_Import!$A$1:$Z$2488,174,'Live Data'!$C$12)),"")</f>
        <v>12722</v>
      </c>
      <c r="B174" s="54" t="str">
        <f>IFERROR(IF(INDEX(SPOT_Import!$A$1:$Z$2488,174,'Live Data'!$C$13)="","",INDEX(SPOT_Import!$A$1:$Z$2488,174,'Live Data'!$C$13)),"")</f>
        <v>Rwika Dispensary</v>
      </c>
      <c r="C174" s="54" t="str">
        <f>IFERROR(IF(INDEX(SPOT_Import!$A$1:$Z$2488,174,'Live Data'!$C$14)="","",INDEX(SPOT_Import!$A$1:$Z$2488,174,'Live Data'!$C$14)),"")</f>
        <v>EMBU</v>
      </c>
      <c r="D174" s="54" t="str">
        <f>IFERROR(IF(INDEX(SPOT_Import!$A$1:$Z$2488,174,'Live Data'!$C$15)="","",INDEX(SPOT_Import!$A$1:$Z$2488,174,'Live Data'!$C$15)),"")</f>
        <v>Mbeere South</v>
      </c>
      <c r="E174" s="54" t="str">
        <f>IFERROR(IF(INDEX(SPOT_Import!$A$1:$Z$2488,174,'Live Data'!$C$16)="","",INDEX(SPOT_Import!$A$1:$Z$2488,174,'Live Data'!$C$16)),"")</f>
        <v>USAID Jamii Tekelezi</v>
      </c>
      <c r="F174" s="54" t="str">
        <f>IFERROR(IF(INDEX(SPOT_Import!$A$1:$Z$2488,174,'Live Data'!$C$17)="","",INDEX(SPOT_Import!$A$1:$Z$2488,174,'Live Data'!$C$17)),"")</f>
        <v>PREP</v>
      </c>
      <c r="G174" s="54">
        <f>IFERROR(IF(INDEX(SPOT_Import!$A$1:$Z$2488,174,'Live Data'!$C$18)="","",INDEX(SPOT_Import!$A$1:$Z$2488,174,'Live Data'!$C$18)),"")</f>
        <v>7</v>
      </c>
      <c r="H174" s="54">
        <f>IFERROR(IF(INDEX(SPOT_Import!$A$1:$Z$2488,174,'Live Data'!$C$19)="","",INDEX(SPOT_Import!$A$1:$Z$2488,174,'Live Data'!$C$19)),"")</f>
        <v>7</v>
      </c>
      <c r="I174" s="54" t="str">
        <f>IFERROR(IF(INDEX(SPOT_Import!$A$1:$Z$2488,174,'Live Data'!$C$20)="","",INDEX(SPOT_Import!$A$1:$Z$2488,174,'Live Data'!$C$20)),"")</f>
        <v>Complete</v>
      </c>
      <c r="J174" s="54" t="str">
        <f>IFERROR(IF(INDEX(SPOT_Import!$A$1:$Z$2488,174,'Live Data'!$C$21)="","",INDEX(SPOT_Import!$A$1:$Z$2488,174,'Live Data'!$C$21)),"")</f>
        <v>2026-10-08T08:16:53.000Z</v>
      </c>
      <c r="K174" s="54" t="str">
        <f>IFERROR(IF(INDEX(SPOT_Import!$A$1:$Z$2488,174,'Live Data'!$C$22)="","",INDEX(SPOT_Import!$A$1:$Z$2488,174,'Live Data'!$C$22)),"")</f>
        <v>2026-10-08T08:16:53.000Z</v>
      </c>
      <c r="L174" s="55" t="str">
        <f t="shared" si="4"/>
        <v>2026-10</v>
      </c>
      <c r="M174" s="55" t="str">
        <f t="shared" si="5"/>
        <v>EMBU</v>
      </c>
      <c r="N174" s="55" t="str">
        <f>IF(A174="","",IFERROR(INDEX('Cluster Map'!$A$4:$A$38,MATCH(M174,'Cluster Map'!$B$4:$B$38,0)),"Unmapped"))</f>
        <v>Cluster 2</v>
      </c>
      <c r="O174" s="55">
        <f>IF(A174="",0,IF(COUNTIFS($A$2:A174,A174,$F$2:F174,F174,$L$2:L174,L174)=1,1,0))</f>
        <v>1</v>
      </c>
      <c r="P174" s="55">
        <f>IF(A174="",0,IF(AND(F174="C&amp;T",COUNTIFS($A$2:A174,A174,$F$2:F174,"C&amp;T")=1),1,0))</f>
        <v>0</v>
      </c>
    </row>
    <row r="175" spans="1:16" x14ac:dyDescent="0.35">
      <c r="A175" s="54">
        <f>IFERROR(IF(INDEX(SPOT_Import!$A$1:$Z$2488,175,'Live Data'!$C$12)="","",INDEX(SPOT_Import!$A$1:$Z$2488,175,'Live Data'!$C$12)),"")</f>
        <v>12426</v>
      </c>
      <c r="B175" s="54" t="str">
        <f>IFERROR(IF(INDEX(SPOT_Import!$A$1:$Z$2488,175,'Live Data'!$C$13)="","",INDEX(SPOT_Import!$A$1:$Z$2488,175,'Live Data'!$C$13)),"")</f>
        <v>Lewa Downs Dispensary</v>
      </c>
      <c r="C175" s="54" t="str">
        <f>IFERROR(IF(INDEX(SPOT_Import!$A$1:$Z$2488,175,'Live Data'!$C$14)="","",INDEX(SPOT_Import!$A$1:$Z$2488,175,'Live Data'!$C$14)),"")</f>
        <v>MERU</v>
      </c>
      <c r="D175" s="54" t="str">
        <f>IFERROR(IF(INDEX(SPOT_Import!$A$1:$Z$2488,175,'Live Data'!$C$15)="","",INDEX(SPOT_Import!$A$1:$Z$2488,175,'Live Data'!$C$15)),"")</f>
        <v>Buuri</v>
      </c>
      <c r="E175" s="54" t="str">
        <f>IFERROR(IF(INDEX(SPOT_Import!$A$1:$Z$2488,175,'Live Data'!$C$16)="","",INDEX(SPOT_Import!$A$1:$Z$2488,175,'Live Data'!$C$16)),"")</f>
        <v>USAID Jamii Tekelezi</v>
      </c>
      <c r="F175" s="54" t="str">
        <f>IFERROR(IF(INDEX(SPOT_Import!$A$1:$Z$2488,175,'Live Data'!$C$17)="","",INDEX(SPOT_Import!$A$1:$Z$2488,175,'Live Data'!$C$17)),"")</f>
        <v>PREP</v>
      </c>
      <c r="G175" s="54">
        <f>IFERROR(IF(INDEX(SPOT_Import!$A$1:$Z$2488,175,'Live Data'!$C$18)="","",INDEX(SPOT_Import!$A$1:$Z$2488,175,'Live Data'!$C$18)),"")</f>
        <v>1</v>
      </c>
      <c r="H175" s="54">
        <f>IFERROR(IF(INDEX(SPOT_Import!$A$1:$Z$2488,175,'Live Data'!$C$19)="","",INDEX(SPOT_Import!$A$1:$Z$2488,175,'Live Data'!$C$19)),"")</f>
        <v>1</v>
      </c>
      <c r="I175" s="54" t="str">
        <f>IFERROR(IF(INDEX(SPOT_Import!$A$1:$Z$2488,175,'Live Data'!$C$20)="","",INDEX(SPOT_Import!$A$1:$Z$2488,175,'Live Data'!$C$20)),"")</f>
        <v>Complete</v>
      </c>
      <c r="J175" s="54" t="str">
        <f>IFERROR(IF(INDEX(SPOT_Import!$A$1:$Z$2488,175,'Live Data'!$C$21)="","",INDEX(SPOT_Import!$A$1:$Z$2488,175,'Live Data'!$C$21)),"")</f>
        <v>2026-10-08T08:16:07.000Z</v>
      </c>
      <c r="K175" s="54" t="str">
        <f>IFERROR(IF(INDEX(SPOT_Import!$A$1:$Z$2488,175,'Live Data'!$C$22)="","",INDEX(SPOT_Import!$A$1:$Z$2488,175,'Live Data'!$C$22)),"")</f>
        <v>2026-10-08T08:16:07.000Z</v>
      </c>
      <c r="L175" s="55" t="str">
        <f t="shared" si="4"/>
        <v>2026-10</v>
      </c>
      <c r="M175" s="55" t="str">
        <f t="shared" si="5"/>
        <v>MERU</v>
      </c>
      <c r="N175" s="55" t="str">
        <f>IF(A175="","",IFERROR(INDEX('Cluster Map'!$A$4:$A$38,MATCH(M175,'Cluster Map'!$B$4:$B$38,0)),"Unmapped"))</f>
        <v>Cluster 1</v>
      </c>
      <c r="O175" s="55">
        <f>IF(A175="",0,IF(COUNTIFS($A$2:A175,A175,$F$2:F175,F175,$L$2:L175,L175)=1,1,0))</f>
        <v>1</v>
      </c>
      <c r="P175" s="55">
        <f>IF(A175="",0,IF(AND(F175="C&amp;T",COUNTIFS($A$2:A175,A175,$F$2:F175,"C&amp;T")=1),1,0))</f>
        <v>0</v>
      </c>
    </row>
    <row r="176" spans="1:16" x14ac:dyDescent="0.35">
      <c r="A176" s="54">
        <f>IFERROR(IF(INDEX(SPOT_Import!$A$1:$Z$2488,176,'Live Data'!$C$12)="","",INDEX(SPOT_Import!$A$1:$Z$2488,176,'Live Data'!$C$12)),"")</f>
        <v>12426</v>
      </c>
      <c r="B176" s="54" t="str">
        <f>IFERROR(IF(INDEX(SPOT_Import!$A$1:$Z$2488,176,'Live Data'!$C$13)="","",INDEX(SPOT_Import!$A$1:$Z$2488,176,'Live Data'!$C$13)),"")</f>
        <v>Lewa Downs Dispensary</v>
      </c>
      <c r="C176" s="54" t="str">
        <f>IFERROR(IF(INDEX(SPOT_Import!$A$1:$Z$2488,176,'Live Data'!$C$14)="","",INDEX(SPOT_Import!$A$1:$Z$2488,176,'Live Data'!$C$14)),"")</f>
        <v>MERU</v>
      </c>
      <c r="D176" s="54" t="str">
        <f>IFERROR(IF(INDEX(SPOT_Import!$A$1:$Z$2488,176,'Live Data'!$C$15)="","",INDEX(SPOT_Import!$A$1:$Z$2488,176,'Live Data'!$C$15)),"")</f>
        <v>Buuri</v>
      </c>
      <c r="E176" s="54" t="str">
        <f>IFERROR(IF(INDEX(SPOT_Import!$A$1:$Z$2488,176,'Live Data'!$C$16)="","",INDEX(SPOT_Import!$A$1:$Z$2488,176,'Live Data'!$C$16)),"")</f>
        <v>USAID Jamii Tekelezi</v>
      </c>
      <c r="F176" s="54" t="str">
        <f>IFERROR(IF(INDEX(SPOT_Import!$A$1:$Z$2488,176,'Live Data'!$C$17)="","",INDEX(SPOT_Import!$A$1:$Z$2488,176,'Live Data'!$C$17)),"")</f>
        <v>MNCH</v>
      </c>
      <c r="G176" s="54">
        <f>IFERROR(IF(INDEX(SPOT_Import!$A$1:$Z$2488,176,'Live Data'!$C$18)="","",INDEX(SPOT_Import!$A$1:$Z$2488,176,'Live Data'!$C$18)),"")</f>
        <v>13</v>
      </c>
      <c r="H176" s="54">
        <f>IFERROR(IF(INDEX(SPOT_Import!$A$1:$Z$2488,176,'Live Data'!$C$19)="","",INDEX(SPOT_Import!$A$1:$Z$2488,176,'Live Data'!$C$19)),"")</f>
        <v>13</v>
      </c>
      <c r="I176" s="54" t="str">
        <f>IFERROR(IF(INDEX(SPOT_Import!$A$1:$Z$2488,176,'Live Data'!$C$20)="","",INDEX(SPOT_Import!$A$1:$Z$2488,176,'Live Data'!$C$20)),"")</f>
        <v>Complete</v>
      </c>
      <c r="J176" s="54" t="str">
        <f>IFERROR(IF(INDEX(SPOT_Import!$A$1:$Z$2488,176,'Live Data'!$C$21)="","",INDEX(SPOT_Import!$A$1:$Z$2488,176,'Live Data'!$C$21)),"")</f>
        <v>2026-10-08T08:15:46.000Z</v>
      </c>
      <c r="K176" s="54" t="str">
        <f>IFERROR(IF(INDEX(SPOT_Import!$A$1:$Z$2488,176,'Live Data'!$C$22)="","",INDEX(SPOT_Import!$A$1:$Z$2488,176,'Live Data'!$C$22)),"")</f>
        <v>2026-10-08T08:15:46.000Z</v>
      </c>
      <c r="L176" s="55" t="str">
        <f t="shared" si="4"/>
        <v>2026-10</v>
      </c>
      <c r="M176" s="55" t="str">
        <f t="shared" si="5"/>
        <v>MERU</v>
      </c>
      <c r="N176" s="55" t="str">
        <f>IF(A176="","",IFERROR(INDEX('Cluster Map'!$A$4:$A$38,MATCH(M176,'Cluster Map'!$B$4:$B$38,0)),"Unmapped"))</f>
        <v>Cluster 1</v>
      </c>
      <c r="O176" s="55">
        <f>IF(A176="",0,IF(COUNTIFS($A$2:A176,A176,$F$2:F176,F176,$L$2:L176,L176)=1,1,0))</f>
        <v>1</v>
      </c>
      <c r="P176" s="55">
        <f>IF(A176="",0,IF(AND(F176="C&amp;T",COUNTIFS($A$2:A176,A176,$F$2:F176,"C&amp;T")=1),1,0))</f>
        <v>0</v>
      </c>
    </row>
    <row r="177" spans="1:16" x14ac:dyDescent="0.35">
      <c r="A177" s="54">
        <f>IFERROR(IF(INDEX(SPOT_Import!$A$1:$Z$2488,177,'Live Data'!$C$12)="","",INDEX(SPOT_Import!$A$1:$Z$2488,177,'Live Data'!$C$12)),"")</f>
        <v>12226</v>
      </c>
      <c r="B177" s="54" t="str">
        <f>IFERROR(IF(INDEX(SPOT_Import!$A$1:$Z$2488,177,'Live Data'!$C$13)="","",INDEX(SPOT_Import!$A$1:$Z$2488,177,'Live Data'!$C$13)),"")</f>
        <v>Kathanje Dispensary</v>
      </c>
      <c r="C177" s="54" t="str">
        <f>IFERROR(IF(INDEX(SPOT_Import!$A$1:$Z$2488,177,'Live Data'!$C$14)="","",INDEX(SPOT_Import!$A$1:$Z$2488,177,'Live Data'!$C$14)),"")</f>
        <v>EMBU</v>
      </c>
      <c r="D177" s="54" t="str">
        <f>IFERROR(IF(INDEX(SPOT_Import!$A$1:$Z$2488,177,'Live Data'!$C$15)="","",INDEX(SPOT_Import!$A$1:$Z$2488,177,'Live Data'!$C$15)),"")</f>
        <v>Mbeere North</v>
      </c>
      <c r="E177" s="54" t="str">
        <f>IFERROR(IF(INDEX(SPOT_Import!$A$1:$Z$2488,177,'Live Data'!$C$16)="","",INDEX(SPOT_Import!$A$1:$Z$2488,177,'Live Data'!$C$16)),"")</f>
        <v>USAID Jamii Tekelezi</v>
      </c>
      <c r="F177" s="54" t="str">
        <f>IFERROR(IF(INDEX(SPOT_Import!$A$1:$Z$2488,177,'Live Data'!$C$17)="","",INDEX(SPOT_Import!$A$1:$Z$2488,177,'Live Data'!$C$17)),"")</f>
        <v>HTS</v>
      </c>
      <c r="G177" s="54">
        <f>IFERROR(IF(INDEX(SPOT_Import!$A$1:$Z$2488,177,'Live Data'!$C$18)="","",INDEX(SPOT_Import!$A$1:$Z$2488,177,'Live Data'!$C$18)),"")</f>
        <v>3</v>
      </c>
      <c r="H177" s="54">
        <f>IFERROR(IF(INDEX(SPOT_Import!$A$1:$Z$2488,177,'Live Data'!$C$19)="","",INDEX(SPOT_Import!$A$1:$Z$2488,177,'Live Data'!$C$19)),"")</f>
        <v>3</v>
      </c>
      <c r="I177" s="54" t="str">
        <f>IFERROR(IF(INDEX(SPOT_Import!$A$1:$Z$2488,177,'Live Data'!$C$20)="","",INDEX(SPOT_Import!$A$1:$Z$2488,177,'Live Data'!$C$20)),"")</f>
        <v>Complete</v>
      </c>
      <c r="J177" s="54" t="str">
        <f>IFERROR(IF(INDEX(SPOT_Import!$A$1:$Z$2488,177,'Live Data'!$C$21)="","",INDEX(SPOT_Import!$A$1:$Z$2488,177,'Live Data'!$C$21)),"")</f>
        <v>2026-10-08T08:15:13.000Z</v>
      </c>
      <c r="K177" s="54" t="str">
        <f>IFERROR(IF(INDEX(SPOT_Import!$A$1:$Z$2488,177,'Live Data'!$C$22)="","",INDEX(SPOT_Import!$A$1:$Z$2488,177,'Live Data'!$C$22)),"")</f>
        <v>2026-10-08T08:15:13.000Z</v>
      </c>
      <c r="L177" s="55" t="str">
        <f t="shared" si="4"/>
        <v>2026-10</v>
      </c>
      <c r="M177" s="55" t="str">
        <f t="shared" si="5"/>
        <v>EMBU</v>
      </c>
      <c r="N177" s="55" t="str">
        <f>IF(A177="","",IFERROR(INDEX('Cluster Map'!$A$4:$A$38,MATCH(M177,'Cluster Map'!$B$4:$B$38,0)),"Unmapped"))</f>
        <v>Cluster 2</v>
      </c>
      <c r="O177" s="55">
        <f>IF(A177="",0,IF(COUNTIFS($A$2:A177,A177,$F$2:F177,F177,$L$2:L177,L177)=1,1,0))</f>
        <v>1</v>
      </c>
      <c r="P177" s="55">
        <f>IF(A177="",0,IF(AND(F177="C&amp;T",COUNTIFS($A$2:A177,A177,$F$2:F177,"C&amp;T")=1),1,0))</f>
        <v>0</v>
      </c>
    </row>
    <row r="178" spans="1:16" x14ac:dyDescent="0.35">
      <c r="A178" s="54">
        <f>IFERROR(IF(INDEX(SPOT_Import!$A$1:$Z$2488,178,'Live Data'!$C$12)="","",INDEX(SPOT_Import!$A$1:$Z$2488,178,'Live Data'!$C$12)),"")</f>
        <v>12426</v>
      </c>
      <c r="B178" s="54" t="str">
        <f>IFERROR(IF(INDEX(SPOT_Import!$A$1:$Z$2488,178,'Live Data'!$C$13)="","",INDEX(SPOT_Import!$A$1:$Z$2488,178,'Live Data'!$C$13)),"")</f>
        <v>Lewa Downs Dispensary</v>
      </c>
      <c r="C178" s="54" t="str">
        <f>IFERROR(IF(INDEX(SPOT_Import!$A$1:$Z$2488,178,'Live Data'!$C$14)="","",INDEX(SPOT_Import!$A$1:$Z$2488,178,'Live Data'!$C$14)),"")</f>
        <v>MERU</v>
      </c>
      <c r="D178" s="54" t="str">
        <f>IFERROR(IF(INDEX(SPOT_Import!$A$1:$Z$2488,178,'Live Data'!$C$15)="","",INDEX(SPOT_Import!$A$1:$Z$2488,178,'Live Data'!$C$15)),"")</f>
        <v>Buuri</v>
      </c>
      <c r="E178" s="54" t="str">
        <f>IFERROR(IF(INDEX(SPOT_Import!$A$1:$Z$2488,178,'Live Data'!$C$16)="","",INDEX(SPOT_Import!$A$1:$Z$2488,178,'Live Data'!$C$16)),"")</f>
        <v>USAID Jamii Tekelezi</v>
      </c>
      <c r="F178" s="54" t="str">
        <f>IFERROR(IF(INDEX(SPOT_Import!$A$1:$Z$2488,178,'Live Data'!$C$17)="","",INDEX(SPOT_Import!$A$1:$Z$2488,178,'Live Data'!$C$17)),"")</f>
        <v>HTS</v>
      </c>
      <c r="G178" s="54">
        <f>IFERROR(IF(INDEX(SPOT_Import!$A$1:$Z$2488,178,'Live Data'!$C$18)="","",INDEX(SPOT_Import!$A$1:$Z$2488,178,'Live Data'!$C$18)),"")</f>
        <v>21</v>
      </c>
      <c r="H178" s="54">
        <f>IFERROR(IF(INDEX(SPOT_Import!$A$1:$Z$2488,178,'Live Data'!$C$19)="","",INDEX(SPOT_Import!$A$1:$Z$2488,178,'Live Data'!$C$19)),"")</f>
        <v>21</v>
      </c>
      <c r="I178" s="54" t="str">
        <f>IFERROR(IF(INDEX(SPOT_Import!$A$1:$Z$2488,178,'Live Data'!$C$20)="","",INDEX(SPOT_Import!$A$1:$Z$2488,178,'Live Data'!$C$20)),"")</f>
        <v>Complete</v>
      </c>
      <c r="J178" s="54" t="str">
        <f>IFERROR(IF(INDEX(SPOT_Import!$A$1:$Z$2488,178,'Live Data'!$C$21)="","",INDEX(SPOT_Import!$A$1:$Z$2488,178,'Live Data'!$C$21)),"")</f>
        <v>2026-10-08T08:03:24.000Z</v>
      </c>
      <c r="K178" s="54" t="str">
        <f>IFERROR(IF(INDEX(SPOT_Import!$A$1:$Z$2488,178,'Live Data'!$C$22)="","",INDEX(SPOT_Import!$A$1:$Z$2488,178,'Live Data'!$C$22)),"")</f>
        <v>2026-10-08T08:03:24.000Z</v>
      </c>
      <c r="L178" s="55" t="str">
        <f t="shared" si="4"/>
        <v>2026-10</v>
      </c>
      <c r="M178" s="55" t="str">
        <f t="shared" si="5"/>
        <v>MERU</v>
      </c>
      <c r="N178" s="55" t="str">
        <f>IF(A178="","",IFERROR(INDEX('Cluster Map'!$A$4:$A$38,MATCH(M178,'Cluster Map'!$B$4:$B$38,0)),"Unmapped"))</f>
        <v>Cluster 1</v>
      </c>
      <c r="O178" s="55">
        <f>IF(A178="",0,IF(COUNTIFS($A$2:A178,A178,$F$2:F178,F178,$L$2:L178,L178)=1,1,0))</f>
        <v>1</v>
      </c>
      <c r="P178" s="55">
        <f>IF(A178="",0,IF(AND(F178="C&amp;T",COUNTIFS($A$2:A178,A178,$F$2:F178,"C&amp;T")=1),1,0))</f>
        <v>0</v>
      </c>
    </row>
    <row r="179" spans="1:16" x14ac:dyDescent="0.35">
      <c r="A179" s="54">
        <f>IFERROR(IF(INDEX(SPOT_Import!$A$1:$Z$2488,179,'Live Data'!$C$12)="","",INDEX(SPOT_Import!$A$1:$Z$2488,179,'Live Data'!$C$12)),"")</f>
        <v>12226</v>
      </c>
      <c r="B179" s="54" t="str">
        <f>IFERROR(IF(INDEX(SPOT_Import!$A$1:$Z$2488,179,'Live Data'!$C$13)="","",INDEX(SPOT_Import!$A$1:$Z$2488,179,'Live Data'!$C$13)),"")</f>
        <v>Kathanje Dispensary</v>
      </c>
      <c r="C179" s="54" t="str">
        <f>IFERROR(IF(INDEX(SPOT_Import!$A$1:$Z$2488,179,'Live Data'!$C$14)="","",INDEX(SPOT_Import!$A$1:$Z$2488,179,'Live Data'!$C$14)),"")</f>
        <v>EMBU</v>
      </c>
      <c r="D179" s="54" t="str">
        <f>IFERROR(IF(INDEX(SPOT_Import!$A$1:$Z$2488,179,'Live Data'!$C$15)="","",INDEX(SPOT_Import!$A$1:$Z$2488,179,'Live Data'!$C$15)),"")</f>
        <v>Mbeere North</v>
      </c>
      <c r="E179" s="54" t="str">
        <f>IFERROR(IF(INDEX(SPOT_Import!$A$1:$Z$2488,179,'Live Data'!$C$16)="","",INDEX(SPOT_Import!$A$1:$Z$2488,179,'Live Data'!$C$16)),"")</f>
        <v>USAID Jamii Tekelezi</v>
      </c>
      <c r="F179" s="54" t="str">
        <f>IFERROR(IF(INDEX(SPOT_Import!$A$1:$Z$2488,179,'Live Data'!$C$17)="","",INDEX(SPOT_Import!$A$1:$Z$2488,179,'Live Data'!$C$17)),"")</f>
        <v>C&amp;T</v>
      </c>
      <c r="G179" s="54">
        <f>IFERROR(IF(INDEX(SPOT_Import!$A$1:$Z$2488,179,'Live Data'!$C$18)="","",INDEX(SPOT_Import!$A$1:$Z$2488,179,'Live Data'!$C$18)),"")</f>
        <v>37</v>
      </c>
      <c r="H179" s="54">
        <f>IFERROR(IF(INDEX(SPOT_Import!$A$1:$Z$2488,179,'Live Data'!$C$19)="","",INDEX(SPOT_Import!$A$1:$Z$2488,179,'Live Data'!$C$19)),"")</f>
        <v>37</v>
      </c>
      <c r="I179" s="54" t="str">
        <f>IFERROR(IF(INDEX(SPOT_Import!$A$1:$Z$2488,179,'Live Data'!$C$20)="","",INDEX(SPOT_Import!$A$1:$Z$2488,179,'Live Data'!$C$20)),"")</f>
        <v>Complete</v>
      </c>
      <c r="J179" s="54" t="str">
        <f>IFERROR(IF(INDEX(SPOT_Import!$A$1:$Z$2488,179,'Live Data'!$C$21)="","",INDEX(SPOT_Import!$A$1:$Z$2488,179,'Live Data'!$C$21)),"")</f>
        <v>2026-10-08T07:50:29.000Z</v>
      </c>
      <c r="K179" s="54" t="str">
        <f>IFERROR(IF(INDEX(SPOT_Import!$A$1:$Z$2488,179,'Live Data'!$C$22)="","",INDEX(SPOT_Import!$A$1:$Z$2488,179,'Live Data'!$C$22)),"")</f>
        <v>2026-10-08T07:50:29.000Z</v>
      </c>
      <c r="L179" s="55" t="str">
        <f t="shared" si="4"/>
        <v>2026-10</v>
      </c>
      <c r="M179" s="55" t="str">
        <f t="shared" si="5"/>
        <v>EMBU</v>
      </c>
      <c r="N179" s="55" t="str">
        <f>IF(A179="","",IFERROR(INDEX('Cluster Map'!$A$4:$A$38,MATCH(M179,'Cluster Map'!$B$4:$B$38,0)),"Unmapped"))</f>
        <v>Cluster 2</v>
      </c>
      <c r="O179" s="55">
        <f>IF(A179="",0,IF(COUNTIFS($A$2:A179,A179,$F$2:F179,F179,$L$2:L179,L179)=1,1,0))</f>
        <v>1</v>
      </c>
      <c r="P179" s="55">
        <f>IF(A179="",0,IF(AND(F179="C&amp;T",COUNTIFS($A$2:A179,A179,$F$2:F179,"C&amp;T")=1),1,0))</f>
        <v>1</v>
      </c>
    </row>
    <row r="180" spans="1:16" x14ac:dyDescent="0.35">
      <c r="A180" s="54">
        <f>IFERROR(IF(INDEX(SPOT_Import!$A$1:$Z$2488,180,'Live Data'!$C$12)="","",INDEX(SPOT_Import!$A$1:$Z$2488,180,'Live Data'!$C$12)),"")</f>
        <v>12426</v>
      </c>
      <c r="B180" s="54" t="str">
        <f>IFERROR(IF(INDEX(SPOT_Import!$A$1:$Z$2488,180,'Live Data'!$C$13)="","",INDEX(SPOT_Import!$A$1:$Z$2488,180,'Live Data'!$C$13)),"")</f>
        <v>Lewa Downs Dispensary</v>
      </c>
      <c r="C180" s="54" t="str">
        <f>IFERROR(IF(INDEX(SPOT_Import!$A$1:$Z$2488,180,'Live Data'!$C$14)="","",INDEX(SPOT_Import!$A$1:$Z$2488,180,'Live Data'!$C$14)),"")</f>
        <v>MERU</v>
      </c>
      <c r="D180" s="54" t="str">
        <f>IFERROR(IF(INDEX(SPOT_Import!$A$1:$Z$2488,180,'Live Data'!$C$15)="","",INDEX(SPOT_Import!$A$1:$Z$2488,180,'Live Data'!$C$15)),"")</f>
        <v>Buuri</v>
      </c>
      <c r="E180" s="54" t="str">
        <f>IFERROR(IF(INDEX(SPOT_Import!$A$1:$Z$2488,180,'Live Data'!$C$16)="","",INDEX(SPOT_Import!$A$1:$Z$2488,180,'Live Data'!$C$16)),"")</f>
        <v>USAID Jamii Tekelezi</v>
      </c>
      <c r="F180" s="54" t="str">
        <f>IFERROR(IF(INDEX(SPOT_Import!$A$1:$Z$2488,180,'Live Data'!$C$17)="","",INDEX(SPOT_Import!$A$1:$Z$2488,180,'Live Data'!$C$17)),"")</f>
        <v>C&amp;T</v>
      </c>
      <c r="G180" s="54">
        <f>IFERROR(IF(INDEX(SPOT_Import!$A$1:$Z$2488,180,'Live Data'!$C$18)="","",INDEX(SPOT_Import!$A$1:$Z$2488,180,'Live Data'!$C$18)),"")</f>
        <v>227</v>
      </c>
      <c r="H180" s="54">
        <f>IFERROR(IF(INDEX(SPOT_Import!$A$1:$Z$2488,180,'Live Data'!$C$19)="","",INDEX(SPOT_Import!$A$1:$Z$2488,180,'Live Data'!$C$19)),"")</f>
        <v>227</v>
      </c>
      <c r="I180" s="54" t="str">
        <f>IFERROR(IF(INDEX(SPOT_Import!$A$1:$Z$2488,180,'Live Data'!$C$20)="","",INDEX(SPOT_Import!$A$1:$Z$2488,180,'Live Data'!$C$20)),"")</f>
        <v>Complete</v>
      </c>
      <c r="J180" s="54" t="str">
        <f>IFERROR(IF(INDEX(SPOT_Import!$A$1:$Z$2488,180,'Live Data'!$C$21)="","",INDEX(SPOT_Import!$A$1:$Z$2488,180,'Live Data'!$C$21)),"")</f>
        <v>2026-10-08T07:43:33.000Z</v>
      </c>
      <c r="K180" s="54" t="str">
        <f>IFERROR(IF(INDEX(SPOT_Import!$A$1:$Z$2488,180,'Live Data'!$C$22)="","",INDEX(SPOT_Import!$A$1:$Z$2488,180,'Live Data'!$C$22)),"")</f>
        <v>2026-10-08T07:43:33.000Z</v>
      </c>
      <c r="L180" s="55" t="str">
        <f t="shared" si="4"/>
        <v>2026-10</v>
      </c>
      <c r="M180" s="55" t="str">
        <f t="shared" si="5"/>
        <v>MERU</v>
      </c>
      <c r="N180" s="55" t="str">
        <f>IF(A180="","",IFERROR(INDEX('Cluster Map'!$A$4:$A$38,MATCH(M180,'Cluster Map'!$B$4:$B$38,0)),"Unmapped"))</f>
        <v>Cluster 1</v>
      </c>
      <c r="O180" s="55">
        <f>IF(A180="",0,IF(COUNTIFS($A$2:A180,A180,$F$2:F180,F180,$L$2:L180,L180)=1,1,0))</f>
        <v>1</v>
      </c>
      <c r="P180" s="55">
        <f>IF(A180="",0,IF(AND(F180="C&amp;T",COUNTIFS($A$2:A180,A180,$F$2:F180,"C&amp;T")=1),1,0))</f>
        <v>1</v>
      </c>
    </row>
    <row r="181" spans="1:16" x14ac:dyDescent="0.35">
      <c r="A181" s="54">
        <f>IFERROR(IF(INDEX(SPOT_Import!$A$1:$Z$2488,181,'Live Data'!$C$12)="","",INDEX(SPOT_Import!$A$1:$Z$2488,181,'Live Data'!$C$12)),"")</f>
        <v>11183</v>
      </c>
      <c r="B181" s="54" t="str">
        <f>IFERROR(IF(INDEX(SPOT_Import!$A$1:$Z$2488,181,'Live Data'!$C$13)="","",INDEX(SPOT_Import!$A$1:$Z$2488,181,'Live Data'!$C$13)),"")</f>
        <v>Weru Health Centre (Nyandarua South)</v>
      </c>
      <c r="C181" s="54" t="str">
        <f>IFERROR(IF(INDEX(SPOT_Import!$A$1:$Z$2488,181,'Live Data'!$C$14)="","",INDEX(SPOT_Import!$A$1:$Z$2488,181,'Live Data'!$C$14)),"")</f>
        <v>NYANDARUA</v>
      </c>
      <c r="D181" s="54" t="str">
        <f>IFERROR(IF(INDEX(SPOT_Import!$A$1:$Z$2488,181,'Live Data'!$C$15)="","",INDEX(SPOT_Import!$A$1:$Z$2488,181,'Live Data'!$C$15)),"")</f>
        <v>Kinangop</v>
      </c>
      <c r="E181" s="54" t="str">
        <f>IFERROR(IF(INDEX(SPOT_Import!$A$1:$Z$2488,181,'Live Data'!$C$16)="","",INDEX(SPOT_Import!$A$1:$Z$2488,181,'Live Data'!$C$16)),"")</f>
        <v>USAID Jamii Tekelezi</v>
      </c>
      <c r="F181" s="54" t="str">
        <f>IFERROR(IF(INDEX(SPOT_Import!$A$1:$Z$2488,181,'Live Data'!$C$17)="","",INDEX(SPOT_Import!$A$1:$Z$2488,181,'Live Data'!$C$17)),"")</f>
        <v>C&amp;T</v>
      </c>
      <c r="G181" s="54">
        <f>IFERROR(IF(INDEX(SPOT_Import!$A$1:$Z$2488,181,'Live Data'!$C$18)="","",INDEX(SPOT_Import!$A$1:$Z$2488,181,'Live Data'!$C$18)),"")</f>
        <v>103</v>
      </c>
      <c r="H181" s="54">
        <f>IFERROR(IF(INDEX(SPOT_Import!$A$1:$Z$2488,181,'Live Data'!$C$19)="","",INDEX(SPOT_Import!$A$1:$Z$2488,181,'Live Data'!$C$19)),"")</f>
        <v>103</v>
      </c>
      <c r="I181" s="54" t="str">
        <f>IFERROR(IF(INDEX(SPOT_Import!$A$1:$Z$2488,181,'Live Data'!$C$20)="","",INDEX(SPOT_Import!$A$1:$Z$2488,181,'Live Data'!$C$20)),"")</f>
        <v>Complete</v>
      </c>
      <c r="J181" s="54" t="str">
        <f>IFERROR(IF(INDEX(SPOT_Import!$A$1:$Z$2488,181,'Live Data'!$C$21)="","",INDEX(SPOT_Import!$A$1:$Z$2488,181,'Live Data'!$C$21)),"")</f>
        <v>2026-10-08T07:38:41.000Z</v>
      </c>
      <c r="K181" s="54" t="str">
        <f>IFERROR(IF(INDEX(SPOT_Import!$A$1:$Z$2488,181,'Live Data'!$C$22)="","",INDEX(SPOT_Import!$A$1:$Z$2488,181,'Live Data'!$C$22)),"")</f>
        <v>2026-10-08T07:38:41.000Z</v>
      </c>
      <c r="L181" s="55" t="str">
        <f t="shared" si="4"/>
        <v>2026-10</v>
      </c>
      <c r="M181" s="55" t="str">
        <f t="shared" si="5"/>
        <v>NYANDARUA</v>
      </c>
      <c r="N181" s="55" t="str">
        <f>IF(A181="","",IFERROR(INDEX('Cluster Map'!$A$4:$A$38,MATCH(M181,'Cluster Map'!$B$4:$B$38,0)),"Unmapped"))</f>
        <v>Cluster 4</v>
      </c>
      <c r="O181" s="55">
        <f>IF(A181="",0,IF(COUNTIFS($A$2:A181,A181,$F$2:F181,F181,$L$2:L181,L181)=1,1,0))</f>
        <v>1</v>
      </c>
      <c r="P181" s="55">
        <f>IF(A181="",0,IF(AND(F181="C&amp;T",COUNTIFS($A$2:A181,A181,$F$2:F181,"C&amp;T")=1),1,0))</f>
        <v>1</v>
      </c>
    </row>
    <row r="182" spans="1:16" x14ac:dyDescent="0.35">
      <c r="A182" s="54">
        <f>IFERROR(IF(INDEX(SPOT_Import!$A$1:$Z$2488,182,'Live Data'!$C$12)="","",INDEX(SPOT_Import!$A$1:$Z$2488,182,'Live Data'!$C$12)),"")</f>
        <v>10878</v>
      </c>
      <c r="B182" s="54" t="str">
        <f>IFERROR(IF(INDEX(SPOT_Import!$A$1:$Z$2488,182,'Live Data'!$C$13)="","",INDEX(SPOT_Import!$A$1:$Z$2488,182,'Live Data'!$C$13)),"")</f>
        <v>Njabini Health Centre</v>
      </c>
      <c r="C182" s="54" t="str">
        <f>IFERROR(IF(INDEX(SPOT_Import!$A$1:$Z$2488,182,'Live Data'!$C$14)="","",INDEX(SPOT_Import!$A$1:$Z$2488,182,'Live Data'!$C$14)),"")</f>
        <v>NYANDARUA</v>
      </c>
      <c r="D182" s="54" t="str">
        <f>IFERROR(IF(INDEX(SPOT_Import!$A$1:$Z$2488,182,'Live Data'!$C$15)="","",INDEX(SPOT_Import!$A$1:$Z$2488,182,'Live Data'!$C$15)),"")</f>
        <v>Kinangop</v>
      </c>
      <c r="E182" s="54" t="str">
        <f>IFERROR(IF(INDEX(SPOT_Import!$A$1:$Z$2488,182,'Live Data'!$C$16)="","",INDEX(SPOT_Import!$A$1:$Z$2488,182,'Live Data'!$C$16)),"")</f>
        <v>USAID Jamii Tekelezi</v>
      </c>
      <c r="F182" s="54" t="str">
        <f>IFERROR(IF(INDEX(SPOT_Import!$A$1:$Z$2488,182,'Live Data'!$C$17)="","",INDEX(SPOT_Import!$A$1:$Z$2488,182,'Live Data'!$C$17)),"")</f>
        <v>C&amp;T</v>
      </c>
      <c r="G182" s="54">
        <f>IFERROR(IF(INDEX(SPOT_Import!$A$1:$Z$2488,182,'Live Data'!$C$18)="","",INDEX(SPOT_Import!$A$1:$Z$2488,182,'Live Data'!$C$18)),"")</f>
        <v>1335</v>
      </c>
      <c r="H182" s="54">
        <f>IFERROR(IF(INDEX(SPOT_Import!$A$1:$Z$2488,182,'Live Data'!$C$19)="","",INDEX(SPOT_Import!$A$1:$Z$2488,182,'Live Data'!$C$19)),"")</f>
        <v>1335</v>
      </c>
      <c r="I182" s="54" t="str">
        <f>IFERROR(IF(INDEX(SPOT_Import!$A$1:$Z$2488,182,'Live Data'!$C$20)="","",INDEX(SPOT_Import!$A$1:$Z$2488,182,'Live Data'!$C$20)),"")</f>
        <v>Complete</v>
      </c>
      <c r="J182" s="54" t="str">
        <f>IFERROR(IF(INDEX(SPOT_Import!$A$1:$Z$2488,182,'Live Data'!$C$21)="","",INDEX(SPOT_Import!$A$1:$Z$2488,182,'Live Data'!$C$21)),"")</f>
        <v>2026-10-08T07:29:05.000Z</v>
      </c>
      <c r="K182" s="54" t="str">
        <f>IFERROR(IF(INDEX(SPOT_Import!$A$1:$Z$2488,182,'Live Data'!$C$22)="","",INDEX(SPOT_Import!$A$1:$Z$2488,182,'Live Data'!$C$22)),"")</f>
        <v>2026-10-08T07:29:05.000Z</v>
      </c>
      <c r="L182" s="55" t="str">
        <f t="shared" si="4"/>
        <v>2026-10</v>
      </c>
      <c r="M182" s="55" t="str">
        <f t="shared" si="5"/>
        <v>NYANDARUA</v>
      </c>
      <c r="N182" s="55" t="str">
        <f>IF(A182="","",IFERROR(INDEX('Cluster Map'!$A$4:$A$38,MATCH(M182,'Cluster Map'!$B$4:$B$38,0)),"Unmapped"))</f>
        <v>Cluster 4</v>
      </c>
      <c r="O182" s="55">
        <f>IF(A182="",0,IF(COUNTIFS($A$2:A182,A182,$F$2:F182,F182,$L$2:L182,L182)=1,1,0))</f>
        <v>1</v>
      </c>
      <c r="P182" s="55">
        <f>IF(A182="",0,IF(AND(F182="C&amp;T",COUNTIFS($A$2:A182,A182,$F$2:F182,"C&amp;T")=1),1,0))</f>
        <v>1</v>
      </c>
    </row>
    <row r="183" spans="1:16" x14ac:dyDescent="0.35">
      <c r="A183" s="54">
        <f>IFERROR(IF(INDEX(SPOT_Import!$A$1:$Z$2488,183,'Live Data'!$C$12)="","",INDEX(SPOT_Import!$A$1:$Z$2488,183,'Live Data'!$C$12)),"")</f>
        <v>10840</v>
      </c>
      <c r="B183" s="54" t="str">
        <f>IFERROR(IF(INDEX(SPOT_Import!$A$1:$Z$2488,183,'Live Data'!$C$13)="","",INDEX(SPOT_Import!$A$1:$Z$2488,183,'Live Data'!$C$13)),"")</f>
        <v>Ndunyu Njeru Dispensary</v>
      </c>
      <c r="C183" s="54" t="str">
        <f>IFERROR(IF(INDEX(SPOT_Import!$A$1:$Z$2488,183,'Live Data'!$C$14)="","",INDEX(SPOT_Import!$A$1:$Z$2488,183,'Live Data'!$C$14)),"")</f>
        <v>NYANDARUA</v>
      </c>
      <c r="D183" s="54" t="str">
        <f>IFERROR(IF(INDEX(SPOT_Import!$A$1:$Z$2488,183,'Live Data'!$C$15)="","",INDEX(SPOT_Import!$A$1:$Z$2488,183,'Live Data'!$C$15)),"")</f>
        <v>Kinangop</v>
      </c>
      <c r="E183" s="54" t="str">
        <f>IFERROR(IF(INDEX(SPOT_Import!$A$1:$Z$2488,183,'Live Data'!$C$16)="","",INDEX(SPOT_Import!$A$1:$Z$2488,183,'Live Data'!$C$16)),"")</f>
        <v>USAID Jamii Tekelezi</v>
      </c>
      <c r="F183" s="54" t="str">
        <f>IFERROR(IF(INDEX(SPOT_Import!$A$1:$Z$2488,183,'Live Data'!$C$17)="","",INDEX(SPOT_Import!$A$1:$Z$2488,183,'Live Data'!$C$17)),"")</f>
        <v>C&amp;T</v>
      </c>
      <c r="G183" s="54">
        <f>IFERROR(IF(INDEX(SPOT_Import!$A$1:$Z$2488,183,'Live Data'!$C$18)="","",INDEX(SPOT_Import!$A$1:$Z$2488,183,'Live Data'!$C$18)),"")</f>
        <v>104</v>
      </c>
      <c r="H183" s="54">
        <f>IFERROR(IF(INDEX(SPOT_Import!$A$1:$Z$2488,183,'Live Data'!$C$19)="","",INDEX(SPOT_Import!$A$1:$Z$2488,183,'Live Data'!$C$19)),"")</f>
        <v>104</v>
      </c>
      <c r="I183" s="54" t="str">
        <f>IFERROR(IF(INDEX(SPOT_Import!$A$1:$Z$2488,183,'Live Data'!$C$20)="","",INDEX(SPOT_Import!$A$1:$Z$2488,183,'Live Data'!$C$20)),"")</f>
        <v>Complete</v>
      </c>
      <c r="J183" s="54" t="str">
        <f>IFERROR(IF(INDEX(SPOT_Import!$A$1:$Z$2488,183,'Live Data'!$C$21)="","",INDEX(SPOT_Import!$A$1:$Z$2488,183,'Live Data'!$C$21)),"")</f>
        <v>2026-10-08T07:26:24.000Z</v>
      </c>
      <c r="K183" s="54" t="str">
        <f>IFERROR(IF(INDEX(SPOT_Import!$A$1:$Z$2488,183,'Live Data'!$C$22)="","",INDEX(SPOT_Import!$A$1:$Z$2488,183,'Live Data'!$C$22)),"")</f>
        <v>2026-10-08T07:26:24.000Z</v>
      </c>
      <c r="L183" s="55" t="str">
        <f t="shared" si="4"/>
        <v>2026-10</v>
      </c>
      <c r="M183" s="55" t="str">
        <f t="shared" si="5"/>
        <v>NYANDARUA</v>
      </c>
      <c r="N183" s="55" t="str">
        <f>IF(A183="","",IFERROR(INDEX('Cluster Map'!$A$4:$A$38,MATCH(M183,'Cluster Map'!$B$4:$B$38,0)),"Unmapped"))</f>
        <v>Cluster 4</v>
      </c>
      <c r="O183" s="55">
        <f>IF(A183="",0,IF(COUNTIFS($A$2:A183,A183,$F$2:F183,F183,$L$2:L183,L183)=1,1,0))</f>
        <v>1</v>
      </c>
      <c r="P183" s="55">
        <f>IF(A183="",0,IF(AND(F183="C&amp;T",COUNTIFS($A$2:A183,A183,$F$2:F183,"C&amp;T")=1),1,0))</f>
        <v>1</v>
      </c>
    </row>
    <row r="184" spans="1:16" x14ac:dyDescent="0.35">
      <c r="A184" s="54">
        <f>IFERROR(IF(INDEX(SPOT_Import!$A$1:$Z$2488,184,'Live Data'!$C$12)="","",INDEX(SPOT_Import!$A$1:$Z$2488,184,'Live Data'!$C$12)),"")</f>
        <v>10856</v>
      </c>
      <c r="B184" s="54" t="str">
        <f>IFERROR(IF(INDEX(SPOT_Import!$A$1:$Z$2488,184,'Live Data'!$C$13)="","",INDEX(SPOT_Import!$A$1:$Z$2488,184,'Live Data'!$C$13)),"")</f>
        <v>Ngano Health Centre</v>
      </c>
      <c r="C184" s="54" t="str">
        <f>IFERROR(IF(INDEX(SPOT_Import!$A$1:$Z$2488,184,'Live Data'!$C$14)="","",INDEX(SPOT_Import!$A$1:$Z$2488,184,'Live Data'!$C$14)),"")</f>
        <v>NYANDARUA</v>
      </c>
      <c r="D184" s="54" t="str">
        <f>IFERROR(IF(INDEX(SPOT_Import!$A$1:$Z$2488,184,'Live Data'!$C$15)="","",INDEX(SPOT_Import!$A$1:$Z$2488,184,'Live Data'!$C$15)),"")</f>
        <v>Oljororok</v>
      </c>
      <c r="E184" s="54" t="str">
        <f>IFERROR(IF(INDEX(SPOT_Import!$A$1:$Z$2488,184,'Live Data'!$C$16)="","",INDEX(SPOT_Import!$A$1:$Z$2488,184,'Live Data'!$C$16)),"")</f>
        <v>USAID Jamii Tekelezi</v>
      </c>
      <c r="F184" s="54" t="str">
        <f>IFERROR(IF(INDEX(SPOT_Import!$A$1:$Z$2488,184,'Live Data'!$C$17)="","",INDEX(SPOT_Import!$A$1:$Z$2488,184,'Live Data'!$C$17)),"")</f>
        <v>MNCH</v>
      </c>
      <c r="G184" s="54">
        <f>IFERROR(IF(INDEX(SPOT_Import!$A$1:$Z$2488,184,'Live Data'!$C$18)="","",INDEX(SPOT_Import!$A$1:$Z$2488,184,'Live Data'!$C$18)),"")</f>
        <v>19</v>
      </c>
      <c r="H184" s="54">
        <f>IFERROR(IF(INDEX(SPOT_Import!$A$1:$Z$2488,184,'Live Data'!$C$19)="","",INDEX(SPOT_Import!$A$1:$Z$2488,184,'Live Data'!$C$19)),"")</f>
        <v>19</v>
      </c>
      <c r="I184" s="54" t="str">
        <f>IFERROR(IF(INDEX(SPOT_Import!$A$1:$Z$2488,184,'Live Data'!$C$20)="","",INDEX(SPOT_Import!$A$1:$Z$2488,184,'Live Data'!$C$20)),"")</f>
        <v>Complete</v>
      </c>
      <c r="J184" s="54" t="str">
        <f>IFERROR(IF(INDEX(SPOT_Import!$A$1:$Z$2488,184,'Live Data'!$C$21)="","",INDEX(SPOT_Import!$A$1:$Z$2488,184,'Live Data'!$C$21)),"")</f>
        <v>2026-10-08T07:00:29.000Z</v>
      </c>
      <c r="K184" s="54" t="str">
        <f>IFERROR(IF(INDEX(SPOT_Import!$A$1:$Z$2488,184,'Live Data'!$C$22)="","",INDEX(SPOT_Import!$A$1:$Z$2488,184,'Live Data'!$C$22)),"")</f>
        <v>2026-10-08T07:00:29.000Z</v>
      </c>
      <c r="L184" s="55" t="str">
        <f t="shared" si="4"/>
        <v>2026-10</v>
      </c>
      <c r="M184" s="55" t="str">
        <f t="shared" si="5"/>
        <v>NYANDARUA</v>
      </c>
      <c r="N184" s="55" t="str">
        <f>IF(A184="","",IFERROR(INDEX('Cluster Map'!$A$4:$A$38,MATCH(M184,'Cluster Map'!$B$4:$B$38,0)),"Unmapped"))</f>
        <v>Cluster 4</v>
      </c>
      <c r="O184" s="55">
        <f>IF(A184="",0,IF(COUNTIFS($A$2:A184,A184,$F$2:F184,F184,$L$2:L184,L184)=1,1,0))</f>
        <v>1</v>
      </c>
      <c r="P184" s="55">
        <f>IF(A184="",0,IF(AND(F184="C&amp;T",COUNTIFS($A$2:A184,A184,$F$2:F184,"C&amp;T")=1),1,0))</f>
        <v>0</v>
      </c>
    </row>
    <row r="185" spans="1:16" x14ac:dyDescent="0.35">
      <c r="A185" s="54">
        <f>IFERROR(IF(INDEX(SPOT_Import!$A$1:$Z$2488,185,'Live Data'!$C$12)="","",INDEX(SPOT_Import!$A$1:$Z$2488,185,'Live Data'!$C$12)),"")</f>
        <v>10856</v>
      </c>
      <c r="B185" s="54" t="str">
        <f>IFERROR(IF(INDEX(SPOT_Import!$A$1:$Z$2488,185,'Live Data'!$C$13)="","",INDEX(SPOT_Import!$A$1:$Z$2488,185,'Live Data'!$C$13)),"")</f>
        <v>Ngano Health Centre</v>
      </c>
      <c r="C185" s="54" t="str">
        <f>IFERROR(IF(INDEX(SPOT_Import!$A$1:$Z$2488,185,'Live Data'!$C$14)="","",INDEX(SPOT_Import!$A$1:$Z$2488,185,'Live Data'!$C$14)),"")</f>
        <v>NYANDARUA</v>
      </c>
      <c r="D185" s="54" t="str">
        <f>IFERROR(IF(INDEX(SPOT_Import!$A$1:$Z$2488,185,'Live Data'!$C$15)="","",INDEX(SPOT_Import!$A$1:$Z$2488,185,'Live Data'!$C$15)),"")</f>
        <v>Oljororok</v>
      </c>
      <c r="E185" s="54" t="str">
        <f>IFERROR(IF(INDEX(SPOT_Import!$A$1:$Z$2488,185,'Live Data'!$C$16)="","",INDEX(SPOT_Import!$A$1:$Z$2488,185,'Live Data'!$C$16)),"")</f>
        <v>USAID Jamii Tekelezi</v>
      </c>
      <c r="F185" s="54" t="str">
        <f>IFERROR(IF(INDEX(SPOT_Import!$A$1:$Z$2488,185,'Live Data'!$C$17)="","",INDEX(SPOT_Import!$A$1:$Z$2488,185,'Live Data'!$C$17)),"")</f>
        <v>PREP</v>
      </c>
      <c r="G185" s="54">
        <f>IFERROR(IF(INDEX(SPOT_Import!$A$1:$Z$2488,185,'Live Data'!$C$18)="","",INDEX(SPOT_Import!$A$1:$Z$2488,185,'Live Data'!$C$18)),"")</f>
        <v>8</v>
      </c>
      <c r="H185" s="54">
        <f>IFERROR(IF(INDEX(SPOT_Import!$A$1:$Z$2488,185,'Live Data'!$C$19)="","",INDEX(SPOT_Import!$A$1:$Z$2488,185,'Live Data'!$C$19)),"")</f>
        <v>8</v>
      </c>
      <c r="I185" s="54" t="str">
        <f>IFERROR(IF(INDEX(SPOT_Import!$A$1:$Z$2488,185,'Live Data'!$C$20)="","",INDEX(SPOT_Import!$A$1:$Z$2488,185,'Live Data'!$C$20)),"")</f>
        <v>Complete</v>
      </c>
      <c r="J185" s="54" t="str">
        <f>IFERROR(IF(INDEX(SPOT_Import!$A$1:$Z$2488,185,'Live Data'!$C$21)="","",INDEX(SPOT_Import!$A$1:$Z$2488,185,'Live Data'!$C$21)),"")</f>
        <v>2026-10-08T06:59:47.000Z</v>
      </c>
      <c r="K185" s="54" t="str">
        <f>IFERROR(IF(INDEX(SPOT_Import!$A$1:$Z$2488,185,'Live Data'!$C$22)="","",INDEX(SPOT_Import!$A$1:$Z$2488,185,'Live Data'!$C$22)),"")</f>
        <v>2026-10-08T06:59:47.000Z</v>
      </c>
      <c r="L185" s="55" t="str">
        <f t="shared" si="4"/>
        <v>2026-10</v>
      </c>
      <c r="M185" s="55" t="str">
        <f t="shared" si="5"/>
        <v>NYANDARUA</v>
      </c>
      <c r="N185" s="55" t="str">
        <f>IF(A185="","",IFERROR(INDEX('Cluster Map'!$A$4:$A$38,MATCH(M185,'Cluster Map'!$B$4:$B$38,0)),"Unmapped"))</f>
        <v>Cluster 4</v>
      </c>
      <c r="O185" s="55">
        <f>IF(A185="",0,IF(COUNTIFS($A$2:A185,A185,$F$2:F185,F185,$L$2:L185,L185)=1,1,0))</f>
        <v>1</v>
      </c>
      <c r="P185" s="55">
        <f>IF(A185="",0,IF(AND(F185="C&amp;T",COUNTIFS($A$2:A185,A185,$F$2:F185,"C&amp;T")=1),1,0))</f>
        <v>0</v>
      </c>
    </row>
    <row r="186" spans="1:16" x14ac:dyDescent="0.35">
      <c r="A186" s="54">
        <f>IFERROR(IF(INDEX(SPOT_Import!$A$1:$Z$2488,186,'Live Data'!$C$12)="","",INDEX(SPOT_Import!$A$1:$Z$2488,186,'Live Data'!$C$12)),"")</f>
        <v>10856</v>
      </c>
      <c r="B186" s="54" t="str">
        <f>IFERROR(IF(INDEX(SPOT_Import!$A$1:$Z$2488,186,'Live Data'!$C$13)="","",INDEX(SPOT_Import!$A$1:$Z$2488,186,'Live Data'!$C$13)),"")</f>
        <v>Ngano Health Centre</v>
      </c>
      <c r="C186" s="54" t="str">
        <f>IFERROR(IF(INDEX(SPOT_Import!$A$1:$Z$2488,186,'Live Data'!$C$14)="","",INDEX(SPOT_Import!$A$1:$Z$2488,186,'Live Data'!$C$14)),"")</f>
        <v>NYANDARUA</v>
      </c>
      <c r="D186" s="54" t="str">
        <f>IFERROR(IF(INDEX(SPOT_Import!$A$1:$Z$2488,186,'Live Data'!$C$15)="","",INDEX(SPOT_Import!$A$1:$Z$2488,186,'Live Data'!$C$15)),"")</f>
        <v>Oljororok</v>
      </c>
      <c r="E186" s="54" t="str">
        <f>IFERROR(IF(INDEX(SPOT_Import!$A$1:$Z$2488,186,'Live Data'!$C$16)="","",INDEX(SPOT_Import!$A$1:$Z$2488,186,'Live Data'!$C$16)),"")</f>
        <v>USAID Jamii Tekelezi</v>
      </c>
      <c r="F186" s="54" t="str">
        <f>IFERROR(IF(INDEX(SPOT_Import!$A$1:$Z$2488,186,'Live Data'!$C$17)="","",INDEX(SPOT_Import!$A$1:$Z$2488,186,'Live Data'!$C$17)),"")</f>
        <v>HTS</v>
      </c>
      <c r="G186" s="54">
        <f>IFERROR(IF(INDEX(SPOT_Import!$A$1:$Z$2488,186,'Live Data'!$C$18)="","",INDEX(SPOT_Import!$A$1:$Z$2488,186,'Live Data'!$C$18)),"")</f>
        <v>852</v>
      </c>
      <c r="H186" s="54">
        <f>IFERROR(IF(INDEX(SPOT_Import!$A$1:$Z$2488,186,'Live Data'!$C$19)="","",INDEX(SPOT_Import!$A$1:$Z$2488,186,'Live Data'!$C$19)),"")</f>
        <v>852</v>
      </c>
      <c r="I186" s="54" t="str">
        <f>IFERROR(IF(INDEX(SPOT_Import!$A$1:$Z$2488,186,'Live Data'!$C$20)="","",INDEX(SPOT_Import!$A$1:$Z$2488,186,'Live Data'!$C$20)),"")</f>
        <v>Complete</v>
      </c>
      <c r="J186" s="54" t="str">
        <f>IFERROR(IF(INDEX(SPOT_Import!$A$1:$Z$2488,186,'Live Data'!$C$21)="","",INDEX(SPOT_Import!$A$1:$Z$2488,186,'Live Data'!$C$21)),"")</f>
        <v>2026-10-08T06:59:06.000Z</v>
      </c>
      <c r="K186" s="54" t="str">
        <f>IFERROR(IF(INDEX(SPOT_Import!$A$1:$Z$2488,186,'Live Data'!$C$22)="","",INDEX(SPOT_Import!$A$1:$Z$2488,186,'Live Data'!$C$22)),"")</f>
        <v>2026-10-08T06:59:06.000Z</v>
      </c>
      <c r="L186" s="55" t="str">
        <f t="shared" si="4"/>
        <v>2026-10</v>
      </c>
      <c r="M186" s="55" t="str">
        <f t="shared" si="5"/>
        <v>NYANDARUA</v>
      </c>
      <c r="N186" s="55" t="str">
        <f>IF(A186="","",IFERROR(INDEX('Cluster Map'!$A$4:$A$38,MATCH(M186,'Cluster Map'!$B$4:$B$38,0)),"Unmapped"))</f>
        <v>Cluster 4</v>
      </c>
      <c r="O186" s="55">
        <f>IF(A186="",0,IF(COUNTIFS($A$2:A186,A186,$F$2:F186,F186,$L$2:L186,L186)=1,1,0))</f>
        <v>1</v>
      </c>
      <c r="P186" s="55">
        <f>IF(A186="",0,IF(AND(F186="C&amp;T",COUNTIFS($A$2:A186,A186,$F$2:F186,"C&amp;T")=1),1,0))</f>
        <v>0</v>
      </c>
    </row>
    <row r="187" spans="1:16" x14ac:dyDescent="0.35">
      <c r="A187" s="54">
        <f>IFERROR(IF(INDEX(SPOT_Import!$A$1:$Z$2488,187,'Live Data'!$C$12)="","",INDEX(SPOT_Import!$A$1:$Z$2488,187,'Live Data'!$C$12)),"")</f>
        <v>12722</v>
      </c>
      <c r="B187" s="54" t="str">
        <f>IFERROR(IF(INDEX(SPOT_Import!$A$1:$Z$2488,187,'Live Data'!$C$13)="","",INDEX(SPOT_Import!$A$1:$Z$2488,187,'Live Data'!$C$13)),"")</f>
        <v>Rwika Dispensary</v>
      </c>
      <c r="C187" s="54" t="str">
        <f>IFERROR(IF(INDEX(SPOT_Import!$A$1:$Z$2488,187,'Live Data'!$C$14)="","",INDEX(SPOT_Import!$A$1:$Z$2488,187,'Live Data'!$C$14)),"")</f>
        <v>EMBU</v>
      </c>
      <c r="D187" s="54" t="str">
        <f>IFERROR(IF(INDEX(SPOT_Import!$A$1:$Z$2488,187,'Live Data'!$C$15)="","",INDEX(SPOT_Import!$A$1:$Z$2488,187,'Live Data'!$C$15)),"")</f>
        <v>Mbeere South</v>
      </c>
      <c r="E187" s="54" t="str">
        <f>IFERROR(IF(INDEX(SPOT_Import!$A$1:$Z$2488,187,'Live Data'!$C$16)="","",INDEX(SPOT_Import!$A$1:$Z$2488,187,'Live Data'!$C$16)),"")</f>
        <v>USAID Jamii Tekelezi</v>
      </c>
      <c r="F187" s="54" t="str">
        <f>IFERROR(IF(INDEX(SPOT_Import!$A$1:$Z$2488,187,'Live Data'!$C$17)="","",INDEX(SPOT_Import!$A$1:$Z$2488,187,'Live Data'!$C$17)),"")</f>
        <v>HTS</v>
      </c>
      <c r="G187" s="54">
        <f>IFERROR(IF(INDEX(SPOT_Import!$A$1:$Z$2488,187,'Live Data'!$C$18)="","",INDEX(SPOT_Import!$A$1:$Z$2488,187,'Live Data'!$C$18)),"")</f>
        <v>21</v>
      </c>
      <c r="H187" s="54">
        <f>IFERROR(IF(INDEX(SPOT_Import!$A$1:$Z$2488,187,'Live Data'!$C$19)="","",INDEX(SPOT_Import!$A$1:$Z$2488,187,'Live Data'!$C$19)),"")</f>
        <v>21</v>
      </c>
      <c r="I187" s="54" t="str">
        <f>IFERROR(IF(INDEX(SPOT_Import!$A$1:$Z$2488,187,'Live Data'!$C$20)="","",INDEX(SPOT_Import!$A$1:$Z$2488,187,'Live Data'!$C$20)),"")</f>
        <v>Complete</v>
      </c>
      <c r="J187" s="54" t="str">
        <f>IFERROR(IF(INDEX(SPOT_Import!$A$1:$Z$2488,187,'Live Data'!$C$21)="","",INDEX(SPOT_Import!$A$1:$Z$2488,187,'Live Data'!$C$21)),"")</f>
        <v>2026-10-08T06:45:05.000Z</v>
      </c>
      <c r="K187" s="54" t="str">
        <f>IFERROR(IF(INDEX(SPOT_Import!$A$1:$Z$2488,187,'Live Data'!$C$22)="","",INDEX(SPOT_Import!$A$1:$Z$2488,187,'Live Data'!$C$22)),"")</f>
        <v>2026-10-08T06:45:05.000Z</v>
      </c>
      <c r="L187" s="55" t="str">
        <f t="shared" si="4"/>
        <v>2026-10</v>
      </c>
      <c r="M187" s="55" t="str">
        <f t="shared" si="5"/>
        <v>EMBU</v>
      </c>
      <c r="N187" s="55" t="str">
        <f>IF(A187="","",IFERROR(INDEX('Cluster Map'!$A$4:$A$38,MATCH(M187,'Cluster Map'!$B$4:$B$38,0)),"Unmapped"))</f>
        <v>Cluster 2</v>
      </c>
      <c r="O187" s="55">
        <f>IF(A187="",0,IF(COUNTIFS($A$2:A187,A187,$F$2:F187,F187,$L$2:L187,L187)=1,1,0))</f>
        <v>1</v>
      </c>
      <c r="P187" s="55">
        <f>IF(A187="",0,IF(AND(F187="C&amp;T",COUNTIFS($A$2:A187,A187,$F$2:F187,"C&amp;T")=1),1,0))</f>
        <v>0</v>
      </c>
    </row>
    <row r="188" spans="1:16" x14ac:dyDescent="0.35">
      <c r="A188" s="54">
        <f>IFERROR(IF(INDEX(SPOT_Import!$A$1:$Z$2488,188,'Live Data'!$C$12)="","",INDEX(SPOT_Import!$A$1:$Z$2488,188,'Live Data'!$C$12)),"")</f>
        <v>10856</v>
      </c>
      <c r="B188" s="54" t="str">
        <f>IFERROR(IF(INDEX(SPOT_Import!$A$1:$Z$2488,188,'Live Data'!$C$13)="","",INDEX(SPOT_Import!$A$1:$Z$2488,188,'Live Data'!$C$13)),"")</f>
        <v>Ngano Health Centre</v>
      </c>
      <c r="C188" s="54" t="str">
        <f>IFERROR(IF(INDEX(SPOT_Import!$A$1:$Z$2488,188,'Live Data'!$C$14)="","",INDEX(SPOT_Import!$A$1:$Z$2488,188,'Live Data'!$C$14)),"")</f>
        <v>NYANDARUA</v>
      </c>
      <c r="D188" s="54" t="str">
        <f>IFERROR(IF(INDEX(SPOT_Import!$A$1:$Z$2488,188,'Live Data'!$C$15)="","",INDEX(SPOT_Import!$A$1:$Z$2488,188,'Live Data'!$C$15)),"")</f>
        <v>Oljororok</v>
      </c>
      <c r="E188" s="54" t="str">
        <f>IFERROR(IF(INDEX(SPOT_Import!$A$1:$Z$2488,188,'Live Data'!$C$16)="","",INDEX(SPOT_Import!$A$1:$Z$2488,188,'Live Data'!$C$16)),"")</f>
        <v>USAID Jamii Tekelezi</v>
      </c>
      <c r="F188" s="54" t="str">
        <f>IFERROR(IF(INDEX(SPOT_Import!$A$1:$Z$2488,188,'Live Data'!$C$17)="","",INDEX(SPOT_Import!$A$1:$Z$2488,188,'Live Data'!$C$17)),"")</f>
        <v>C&amp;T</v>
      </c>
      <c r="G188" s="54">
        <f>IFERROR(IF(INDEX(SPOT_Import!$A$1:$Z$2488,188,'Live Data'!$C$18)="","",INDEX(SPOT_Import!$A$1:$Z$2488,188,'Live Data'!$C$18)),"")</f>
        <v>131</v>
      </c>
      <c r="H188" s="54">
        <f>IFERROR(IF(INDEX(SPOT_Import!$A$1:$Z$2488,188,'Live Data'!$C$19)="","",INDEX(SPOT_Import!$A$1:$Z$2488,188,'Live Data'!$C$19)),"")</f>
        <v>131</v>
      </c>
      <c r="I188" s="54" t="str">
        <f>IFERROR(IF(INDEX(SPOT_Import!$A$1:$Z$2488,188,'Live Data'!$C$20)="","",INDEX(SPOT_Import!$A$1:$Z$2488,188,'Live Data'!$C$20)),"")</f>
        <v>Complete</v>
      </c>
      <c r="J188" s="54" t="str">
        <f>IFERROR(IF(INDEX(SPOT_Import!$A$1:$Z$2488,188,'Live Data'!$C$21)="","",INDEX(SPOT_Import!$A$1:$Z$2488,188,'Live Data'!$C$21)),"")</f>
        <v>2026-10-08T06:41:07.000Z</v>
      </c>
      <c r="K188" s="54" t="str">
        <f>IFERROR(IF(INDEX(SPOT_Import!$A$1:$Z$2488,188,'Live Data'!$C$22)="","",INDEX(SPOT_Import!$A$1:$Z$2488,188,'Live Data'!$C$22)),"")</f>
        <v>2026-10-08T06:41:07.000Z</v>
      </c>
      <c r="L188" s="55" t="str">
        <f t="shared" si="4"/>
        <v>2026-10</v>
      </c>
      <c r="M188" s="55" t="str">
        <f t="shared" si="5"/>
        <v>NYANDARUA</v>
      </c>
      <c r="N188" s="55" t="str">
        <f>IF(A188="","",IFERROR(INDEX('Cluster Map'!$A$4:$A$38,MATCH(M188,'Cluster Map'!$B$4:$B$38,0)),"Unmapped"))</f>
        <v>Cluster 4</v>
      </c>
      <c r="O188" s="55">
        <f>IF(A188="",0,IF(COUNTIFS($A$2:A188,A188,$F$2:F188,F188,$L$2:L188,L188)=1,1,0))</f>
        <v>1</v>
      </c>
      <c r="P188" s="55">
        <f>IF(A188="",0,IF(AND(F188="C&amp;T",COUNTIFS($A$2:A188,A188,$F$2:F188,"C&amp;T")=1),1,0))</f>
        <v>1</v>
      </c>
    </row>
    <row r="189" spans="1:16" x14ac:dyDescent="0.35">
      <c r="A189" s="54">
        <f>IFERROR(IF(INDEX(SPOT_Import!$A$1:$Z$2488,189,'Live Data'!$C$12)="","",INDEX(SPOT_Import!$A$1:$Z$2488,189,'Live Data'!$C$12)),"")</f>
        <v>11173</v>
      </c>
      <c r="B189" s="54" t="str">
        <f>IFERROR(IF(INDEX(SPOT_Import!$A$1:$Z$2488,189,'Live Data'!$C$13)="","",INDEX(SPOT_Import!$A$1:$Z$2488,189,'Live Data'!$C$13)),"")</f>
        <v>Wanjohi Health Centre</v>
      </c>
      <c r="C189" s="54" t="str">
        <f>IFERROR(IF(INDEX(SPOT_Import!$A$1:$Z$2488,189,'Live Data'!$C$14)="","",INDEX(SPOT_Import!$A$1:$Z$2488,189,'Live Data'!$C$14)),"")</f>
        <v>NYANDARUA</v>
      </c>
      <c r="D189" s="54" t="str">
        <f>IFERROR(IF(INDEX(SPOT_Import!$A$1:$Z$2488,189,'Live Data'!$C$15)="","",INDEX(SPOT_Import!$A$1:$Z$2488,189,'Live Data'!$C$15)),"")</f>
        <v>Kipipiri</v>
      </c>
      <c r="E189" s="54" t="str">
        <f>IFERROR(IF(INDEX(SPOT_Import!$A$1:$Z$2488,189,'Live Data'!$C$16)="","",INDEX(SPOT_Import!$A$1:$Z$2488,189,'Live Data'!$C$16)),"")</f>
        <v>USAID Jamii Tekelezi</v>
      </c>
      <c r="F189" s="54" t="str">
        <f>IFERROR(IF(INDEX(SPOT_Import!$A$1:$Z$2488,189,'Live Data'!$C$17)="","",INDEX(SPOT_Import!$A$1:$Z$2488,189,'Live Data'!$C$17)),"")</f>
        <v>PREP</v>
      </c>
      <c r="G189" s="54">
        <f>IFERROR(IF(INDEX(SPOT_Import!$A$1:$Z$2488,189,'Live Data'!$C$18)="","",INDEX(SPOT_Import!$A$1:$Z$2488,189,'Live Data'!$C$18)),"")</f>
        <v>251</v>
      </c>
      <c r="H189" s="54" t="str">
        <f>IFERROR(IF(INDEX(SPOT_Import!$A$1:$Z$2488,189,'Live Data'!$C$19)="","",INDEX(SPOT_Import!$A$1:$Z$2488,189,'Live Data'!$C$19)),"")</f>
        <v/>
      </c>
      <c r="I189" s="54" t="str">
        <f>IFERROR(IF(INDEX(SPOT_Import!$A$1:$Z$2488,189,'Live Data'!$C$20)="","",INDEX(SPOT_Import!$A$1:$Z$2488,189,'Live Data'!$C$20)),"")</f>
        <v>Incomplete</v>
      </c>
      <c r="J189" s="54" t="str">
        <f>IFERROR(IF(INDEX(SPOT_Import!$A$1:$Z$2488,189,'Live Data'!$C$21)="","",INDEX(SPOT_Import!$A$1:$Z$2488,189,'Live Data'!$C$21)),"")</f>
        <v>2026-10-08T06:35:41.000Z</v>
      </c>
      <c r="K189" s="54" t="str">
        <f>IFERROR(IF(INDEX(SPOT_Import!$A$1:$Z$2488,189,'Live Data'!$C$22)="","",INDEX(SPOT_Import!$A$1:$Z$2488,189,'Live Data'!$C$22)),"")</f>
        <v>2026-10-08T06:35:41.000Z</v>
      </c>
      <c r="L189" s="55" t="str">
        <f t="shared" si="4"/>
        <v>2026-10</v>
      </c>
      <c r="M189" s="55" t="str">
        <f t="shared" si="5"/>
        <v>NYANDARUA</v>
      </c>
      <c r="N189" s="55" t="str">
        <f>IF(A189="","",IFERROR(INDEX('Cluster Map'!$A$4:$A$38,MATCH(M189,'Cluster Map'!$B$4:$B$38,0)),"Unmapped"))</f>
        <v>Cluster 4</v>
      </c>
      <c r="O189" s="55">
        <f>IF(A189="",0,IF(COUNTIFS($A$2:A189,A189,$F$2:F189,F189,$L$2:L189,L189)=1,1,0))</f>
        <v>1</v>
      </c>
      <c r="P189" s="55">
        <f>IF(A189="",0,IF(AND(F189="C&amp;T",COUNTIFS($A$2:A189,A189,$F$2:F189,"C&amp;T")=1),1,0))</f>
        <v>0</v>
      </c>
    </row>
    <row r="190" spans="1:16" x14ac:dyDescent="0.35">
      <c r="A190" s="54">
        <f>IFERROR(IF(INDEX(SPOT_Import!$A$1:$Z$2488,190,'Live Data'!$C$12)="","",INDEX(SPOT_Import!$A$1:$Z$2488,190,'Live Data'!$C$12)),"")</f>
        <v>11173</v>
      </c>
      <c r="B190" s="54" t="str">
        <f>IFERROR(IF(INDEX(SPOT_Import!$A$1:$Z$2488,190,'Live Data'!$C$13)="","",INDEX(SPOT_Import!$A$1:$Z$2488,190,'Live Data'!$C$13)),"")</f>
        <v>Wanjohi Health Centre</v>
      </c>
      <c r="C190" s="54" t="str">
        <f>IFERROR(IF(INDEX(SPOT_Import!$A$1:$Z$2488,190,'Live Data'!$C$14)="","",INDEX(SPOT_Import!$A$1:$Z$2488,190,'Live Data'!$C$14)),"")</f>
        <v>NYANDARUA</v>
      </c>
      <c r="D190" s="54" t="str">
        <f>IFERROR(IF(INDEX(SPOT_Import!$A$1:$Z$2488,190,'Live Data'!$C$15)="","",INDEX(SPOT_Import!$A$1:$Z$2488,190,'Live Data'!$C$15)),"")</f>
        <v>Kipipiri</v>
      </c>
      <c r="E190" s="54" t="str">
        <f>IFERROR(IF(INDEX(SPOT_Import!$A$1:$Z$2488,190,'Live Data'!$C$16)="","",INDEX(SPOT_Import!$A$1:$Z$2488,190,'Live Data'!$C$16)),"")</f>
        <v>USAID Jamii Tekelezi</v>
      </c>
      <c r="F190" s="54" t="str">
        <f>IFERROR(IF(INDEX(SPOT_Import!$A$1:$Z$2488,190,'Live Data'!$C$17)="","",INDEX(SPOT_Import!$A$1:$Z$2488,190,'Live Data'!$C$17)),"")</f>
        <v>MNCH</v>
      </c>
      <c r="G190" s="54">
        <f>IFERROR(IF(INDEX(SPOT_Import!$A$1:$Z$2488,190,'Live Data'!$C$18)="","",INDEX(SPOT_Import!$A$1:$Z$2488,190,'Live Data'!$C$18)),"")</f>
        <v>173</v>
      </c>
      <c r="H190" s="54" t="str">
        <f>IFERROR(IF(INDEX(SPOT_Import!$A$1:$Z$2488,190,'Live Data'!$C$19)="","",INDEX(SPOT_Import!$A$1:$Z$2488,190,'Live Data'!$C$19)),"")</f>
        <v/>
      </c>
      <c r="I190" s="54" t="str">
        <f>IFERROR(IF(INDEX(SPOT_Import!$A$1:$Z$2488,190,'Live Data'!$C$20)="","",INDEX(SPOT_Import!$A$1:$Z$2488,190,'Live Data'!$C$20)),"")</f>
        <v>Incomplete</v>
      </c>
      <c r="J190" s="54" t="str">
        <f>IFERROR(IF(INDEX(SPOT_Import!$A$1:$Z$2488,190,'Live Data'!$C$21)="","",INDEX(SPOT_Import!$A$1:$Z$2488,190,'Live Data'!$C$21)),"")</f>
        <v>2026-10-08T06:35:31.000Z</v>
      </c>
      <c r="K190" s="54" t="str">
        <f>IFERROR(IF(INDEX(SPOT_Import!$A$1:$Z$2488,190,'Live Data'!$C$22)="","",INDEX(SPOT_Import!$A$1:$Z$2488,190,'Live Data'!$C$22)),"")</f>
        <v>2026-10-08T06:35:31.000Z</v>
      </c>
      <c r="L190" s="55" t="str">
        <f t="shared" si="4"/>
        <v>2026-10</v>
      </c>
      <c r="M190" s="55" t="str">
        <f t="shared" si="5"/>
        <v>NYANDARUA</v>
      </c>
      <c r="N190" s="55" t="str">
        <f>IF(A190="","",IFERROR(INDEX('Cluster Map'!$A$4:$A$38,MATCH(M190,'Cluster Map'!$B$4:$B$38,0)),"Unmapped"))</f>
        <v>Cluster 4</v>
      </c>
      <c r="O190" s="55">
        <f>IF(A190="",0,IF(COUNTIFS($A$2:A190,A190,$F$2:F190,F190,$L$2:L190,L190)=1,1,0))</f>
        <v>1</v>
      </c>
      <c r="P190" s="55">
        <f>IF(A190="",0,IF(AND(F190="C&amp;T",COUNTIFS($A$2:A190,A190,$F$2:F190,"C&amp;T")=1),1,0))</f>
        <v>0</v>
      </c>
    </row>
    <row r="191" spans="1:16" x14ac:dyDescent="0.35">
      <c r="A191" s="54">
        <f>IFERROR(IF(INDEX(SPOT_Import!$A$1:$Z$2488,191,'Live Data'!$C$12)="","",INDEX(SPOT_Import!$A$1:$Z$2488,191,'Live Data'!$C$12)),"")</f>
        <v>11173</v>
      </c>
      <c r="B191" s="54" t="str">
        <f>IFERROR(IF(INDEX(SPOT_Import!$A$1:$Z$2488,191,'Live Data'!$C$13)="","",INDEX(SPOT_Import!$A$1:$Z$2488,191,'Live Data'!$C$13)),"")</f>
        <v>Wanjohi Health Centre</v>
      </c>
      <c r="C191" s="54" t="str">
        <f>IFERROR(IF(INDEX(SPOT_Import!$A$1:$Z$2488,191,'Live Data'!$C$14)="","",INDEX(SPOT_Import!$A$1:$Z$2488,191,'Live Data'!$C$14)),"")</f>
        <v>NYANDARUA</v>
      </c>
      <c r="D191" s="54" t="str">
        <f>IFERROR(IF(INDEX(SPOT_Import!$A$1:$Z$2488,191,'Live Data'!$C$15)="","",INDEX(SPOT_Import!$A$1:$Z$2488,191,'Live Data'!$C$15)),"")</f>
        <v>Kipipiri</v>
      </c>
      <c r="E191" s="54" t="str">
        <f>IFERROR(IF(INDEX(SPOT_Import!$A$1:$Z$2488,191,'Live Data'!$C$16)="","",INDEX(SPOT_Import!$A$1:$Z$2488,191,'Live Data'!$C$16)),"")</f>
        <v>USAID Jamii Tekelezi</v>
      </c>
      <c r="F191" s="54" t="str">
        <f>IFERROR(IF(INDEX(SPOT_Import!$A$1:$Z$2488,191,'Live Data'!$C$17)="","",INDEX(SPOT_Import!$A$1:$Z$2488,191,'Live Data'!$C$17)),"")</f>
        <v>HTS</v>
      </c>
      <c r="G191" s="54">
        <f>IFERROR(IF(INDEX(SPOT_Import!$A$1:$Z$2488,191,'Live Data'!$C$18)="","",INDEX(SPOT_Import!$A$1:$Z$2488,191,'Live Data'!$C$18)),"")</f>
        <v>3593</v>
      </c>
      <c r="H191" s="54">
        <f>IFERROR(IF(INDEX(SPOT_Import!$A$1:$Z$2488,191,'Live Data'!$C$19)="","",INDEX(SPOT_Import!$A$1:$Z$2488,191,'Live Data'!$C$19)),"")</f>
        <v>3593</v>
      </c>
      <c r="I191" s="54" t="str">
        <f>IFERROR(IF(INDEX(SPOT_Import!$A$1:$Z$2488,191,'Live Data'!$C$20)="","",INDEX(SPOT_Import!$A$1:$Z$2488,191,'Live Data'!$C$20)),"")</f>
        <v>Complete</v>
      </c>
      <c r="J191" s="54" t="str">
        <f>IFERROR(IF(INDEX(SPOT_Import!$A$1:$Z$2488,191,'Live Data'!$C$21)="","",INDEX(SPOT_Import!$A$1:$Z$2488,191,'Live Data'!$C$21)),"")</f>
        <v>2026-10-08T06:34:43.000Z</v>
      </c>
      <c r="K191" s="54" t="str">
        <f>IFERROR(IF(INDEX(SPOT_Import!$A$1:$Z$2488,191,'Live Data'!$C$22)="","",INDEX(SPOT_Import!$A$1:$Z$2488,191,'Live Data'!$C$22)),"")</f>
        <v>2026-10-08T06:34:43.000Z</v>
      </c>
      <c r="L191" s="55" t="str">
        <f t="shared" si="4"/>
        <v>2026-10</v>
      </c>
      <c r="M191" s="55" t="str">
        <f t="shared" si="5"/>
        <v>NYANDARUA</v>
      </c>
      <c r="N191" s="55" t="str">
        <f>IF(A191="","",IFERROR(INDEX('Cluster Map'!$A$4:$A$38,MATCH(M191,'Cluster Map'!$B$4:$B$38,0)),"Unmapped"))</f>
        <v>Cluster 4</v>
      </c>
      <c r="O191" s="55">
        <f>IF(A191="",0,IF(COUNTIFS($A$2:A191,A191,$F$2:F191,F191,$L$2:L191,L191)=1,1,0))</f>
        <v>1</v>
      </c>
      <c r="P191" s="55">
        <f>IF(A191="",0,IF(AND(F191="C&amp;T",COUNTIFS($A$2:A191,A191,$F$2:F191,"C&amp;T")=1),1,0))</f>
        <v>0</v>
      </c>
    </row>
    <row r="192" spans="1:16" x14ac:dyDescent="0.35">
      <c r="A192" s="54">
        <f>IFERROR(IF(INDEX(SPOT_Import!$A$1:$Z$2488,192,'Live Data'!$C$12)="","",INDEX(SPOT_Import!$A$1:$Z$2488,192,'Live Data'!$C$12)),"")</f>
        <v>12722</v>
      </c>
      <c r="B192" s="54" t="str">
        <f>IFERROR(IF(INDEX(SPOT_Import!$A$1:$Z$2488,192,'Live Data'!$C$13)="","",INDEX(SPOT_Import!$A$1:$Z$2488,192,'Live Data'!$C$13)),"")</f>
        <v>Rwika Dispensary</v>
      </c>
      <c r="C192" s="54" t="str">
        <f>IFERROR(IF(INDEX(SPOT_Import!$A$1:$Z$2488,192,'Live Data'!$C$14)="","",INDEX(SPOT_Import!$A$1:$Z$2488,192,'Live Data'!$C$14)),"")</f>
        <v>EMBU</v>
      </c>
      <c r="D192" s="54" t="str">
        <f>IFERROR(IF(INDEX(SPOT_Import!$A$1:$Z$2488,192,'Live Data'!$C$15)="","",INDEX(SPOT_Import!$A$1:$Z$2488,192,'Live Data'!$C$15)),"")</f>
        <v>Mbeere South</v>
      </c>
      <c r="E192" s="54" t="str">
        <f>IFERROR(IF(INDEX(SPOT_Import!$A$1:$Z$2488,192,'Live Data'!$C$16)="","",INDEX(SPOT_Import!$A$1:$Z$2488,192,'Live Data'!$C$16)),"")</f>
        <v>USAID Jamii Tekelezi</v>
      </c>
      <c r="F192" s="54" t="str">
        <f>IFERROR(IF(INDEX(SPOT_Import!$A$1:$Z$2488,192,'Live Data'!$C$17)="","",INDEX(SPOT_Import!$A$1:$Z$2488,192,'Live Data'!$C$17)),"")</f>
        <v>C&amp;T</v>
      </c>
      <c r="G192" s="54">
        <f>IFERROR(IF(INDEX(SPOT_Import!$A$1:$Z$2488,192,'Live Data'!$C$18)="","",INDEX(SPOT_Import!$A$1:$Z$2488,192,'Live Data'!$C$18)),"")</f>
        <v>16</v>
      </c>
      <c r="H192" s="54">
        <f>IFERROR(IF(INDEX(SPOT_Import!$A$1:$Z$2488,192,'Live Data'!$C$19)="","",INDEX(SPOT_Import!$A$1:$Z$2488,192,'Live Data'!$C$19)),"")</f>
        <v>16</v>
      </c>
      <c r="I192" s="54" t="str">
        <f>IFERROR(IF(INDEX(SPOT_Import!$A$1:$Z$2488,192,'Live Data'!$C$20)="","",INDEX(SPOT_Import!$A$1:$Z$2488,192,'Live Data'!$C$20)),"")</f>
        <v>Complete</v>
      </c>
      <c r="J192" s="54" t="str">
        <f>IFERROR(IF(INDEX(SPOT_Import!$A$1:$Z$2488,192,'Live Data'!$C$21)="","",INDEX(SPOT_Import!$A$1:$Z$2488,192,'Live Data'!$C$21)),"")</f>
        <v>2026-10-08T06:32:26.000Z</v>
      </c>
      <c r="K192" s="54" t="str">
        <f>IFERROR(IF(INDEX(SPOT_Import!$A$1:$Z$2488,192,'Live Data'!$C$22)="","",INDEX(SPOT_Import!$A$1:$Z$2488,192,'Live Data'!$C$22)),"")</f>
        <v>2026-10-08T06:32:26.000Z</v>
      </c>
      <c r="L192" s="55" t="str">
        <f t="shared" si="4"/>
        <v>2026-10</v>
      </c>
      <c r="M192" s="55" t="str">
        <f t="shared" si="5"/>
        <v>EMBU</v>
      </c>
      <c r="N192" s="55" t="str">
        <f>IF(A192="","",IFERROR(INDEX('Cluster Map'!$A$4:$A$38,MATCH(M192,'Cluster Map'!$B$4:$B$38,0)),"Unmapped"))</f>
        <v>Cluster 2</v>
      </c>
      <c r="O192" s="55">
        <f>IF(A192="",0,IF(COUNTIFS($A$2:A192,A192,$F$2:F192,F192,$L$2:L192,L192)=1,1,0))</f>
        <v>1</v>
      </c>
      <c r="P192" s="55">
        <f>IF(A192="",0,IF(AND(F192="C&amp;T",COUNTIFS($A$2:A192,A192,$F$2:F192,"C&amp;T")=1),1,0))</f>
        <v>1</v>
      </c>
    </row>
    <row r="193" spans="1:16" x14ac:dyDescent="0.35">
      <c r="A193" s="54">
        <f>IFERROR(IF(INDEX(SPOT_Import!$A$1:$Z$2488,193,'Live Data'!$C$12)="","",INDEX(SPOT_Import!$A$1:$Z$2488,193,'Live Data'!$C$12)),"")</f>
        <v>11173</v>
      </c>
      <c r="B193" s="54" t="str">
        <f>IFERROR(IF(INDEX(SPOT_Import!$A$1:$Z$2488,193,'Live Data'!$C$13)="","",INDEX(SPOT_Import!$A$1:$Z$2488,193,'Live Data'!$C$13)),"")</f>
        <v>Wanjohi Health Centre</v>
      </c>
      <c r="C193" s="54" t="str">
        <f>IFERROR(IF(INDEX(SPOT_Import!$A$1:$Z$2488,193,'Live Data'!$C$14)="","",INDEX(SPOT_Import!$A$1:$Z$2488,193,'Live Data'!$C$14)),"")</f>
        <v>NYANDARUA</v>
      </c>
      <c r="D193" s="54" t="str">
        <f>IFERROR(IF(INDEX(SPOT_Import!$A$1:$Z$2488,193,'Live Data'!$C$15)="","",INDEX(SPOT_Import!$A$1:$Z$2488,193,'Live Data'!$C$15)),"")</f>
        <v>Kipipiri</v>
      </c>
      <c r="E193" s="54" t="str">
        <f>IFERROR(IF(INDEX(SPOT_Import!$A$1:$Z$2488,193,'Live Data'!$C$16)="","",INDEX(SPOT_Import!$A$1:$Z$2488,193,'Live Data'!$C$16)),"")</f>
        <v>USAID Jamii Tekelezi</v>
      </c>
      <c r="F193" s="54" t="str">
        <f>IFERROR(IF(INDEX(SPOT_Import!$A$1:$Z$2488,193,'Live Data'!$C$17)="","",INDEX(SPOT_Import!$A$1:$Z$2488,193,'Live Data'!$C$17)),"")</f>
        <v>C&amp;T</v>
      </c>
      <c r="G193" s="54">
        <f>IFERROR(IF(INDEX(SPOT_Import!$A$1:$Z$2488,193,'Live Data'!$C$18)="","",INDEX(SPOT_Import!$A$1:$Z$2488,193,'Live Data'!$C$18)),"")</f>
        <v>728</v>
      </c>
      <c r="H193" s="54">
        <f>IFERROR(IF(INDEX(SPOT_Import!$A$1:$Z$2488,193,'Live Data'!$C$19)="","",INDEX(SPOT_Import!$A$1:$Z$2488,193,'Live Data'!$C$19)),"")</f>
        <v>728</v>
      </c>
      <c r="I193" s="54" t="str">
        <f>IFERROR(IF(INDEX(SPOT_Import!$A$1:$Z$2488,193,'Live Data'!$C$20)="","",INDEX(SPOT_Import!$A$1:$Z$2488,193,'Live Data'!$C$20)),"")</f>
        <v>Complete</v>
      </c>
      <c r="J193" s="54" t="str">
        <f>IFERROR(IF(INDEX(SPOT_Import!$A$1:$Z$2488,193,'Live Data'!$C$21)="","",INDEX(SPOT_Import!$A$1:$Z$2488,193,'Live Data'!$C$21)),"")</f>
        <v>2026-10-08T06:08:53.000Z</v>
      </c>
      <c r="K193" s="54" t="str">
        <f>IFERROR(IF(INDEX(SPOT_Import!$A$1:$Z$2488,193,'Live Data'!$C$22)="","",INDEX(SPOT_Import!$A$1:$Z$2488,193,'Live Data'!$C$22)),"")</f>
        <v>2026-10-08T06:08:53.000Z</v>
      </c>
      <c r="L193" s="55" t="str">
        <f t="shared" si="4"/>
        <v>2026-10</v>
      </c>
      <c r="M193" s="55" t="str">
        <f t="shared" si="5"/>
        <v>NYANDARUA</v>
      </c>
      <c r="N193" s="55" t="str">
        <f>IF(A193="","",IFERROR(INDEX('Cluster Map'!$A$4:$A$38,MATCH(M193,'Cluster Map'!$B$4:$B$38,0)),"Unmapped"))</f>
        <v>Cluster 4</v>
      </c>
      <c r="O193" s="55">
        <f>IF(A193="",0,IF(COUNTIFS($A$2:A193,A193,$F$2:F193,F193,$L$2:L193,L193)=1,1,0))</f>
        <v>1</v>
      </c>
      <c r="P193" s="55">
        <f>IF(A193="",0,IF(AND(F193="C&amp;T",COUNTIFS($A$2:A193,A193,$F$2:F193,"C&amp;T")=1),1,0))</f>
        <v>1</v>
      </c>
    </row>
    <row r="194" spans="1:16" x14ac:dyDescent="0.35">
      <c r="A194" s="54">
        <f>IFERROR(IF(INDEX(SPOT_Import!$A$1:$Z$2488,194,'Live Data'!$C$12)="","",INDEX(SPOT_Import!$A$1:$Z$2488,194,'Live Data'!$C$12)),"")</f>
        <v>12795</v>
      </c>
      <c r="B194" s="54" t="str">
        <f>IFERROR(IF(INDEX(SPOT_Import!$A$1:$Z$2488,194,'Live Data'!$C$13)="","",INDEX(SPOT_Import!$A$1:$Z$2488,194,'Live Data'!$C$13)),"")</f>
        <v>Tharaka District Hospital</v>
      </c>
      <c r="C194" s="54" t="str">
        <f>IFERROR(IF(INDEX(SPOT_Import!$A$1:$Z$2488,194,'Live Data'!$C$14)="","",INDEX(SPOT_Import!$A$1:$Z$2488,194,'Live Data'!$C$14)),"")</f>
        <v>THARAKA-NITHI</v>
      </c>
      <c r="D194" s="54" t="str">
        <f>IFERROR(IF(INDEX(SPOT_Import!$A$1:$Z$2488,194,'Live Data'!$C$15)="","",INDEX(SPOT_Import!$A$1:$Z$2488,194,'Live Data'!$C$15)),"")</f>
        <v>Tharaka South</v>
      </c>
      <c r="E194" s="54" t="str">
        <f>IFERROR(IF(INDEX(SPOT_Import!$A$1:$Z$2488,194,'Live Data'!$C$16)="","",INDEX(SPOT_Import!$A$1:$Z$2488,194,'Live Data'!$C$16)),"")</f>
        <v>USAID Jamii Tekelezi</v>
      </c>
      <c r="F194" s="54" t="str">
        <f>IFERROR(IF(INDEX(SPOT_Import!$A$1:$Z$2488,194,'Live Data'!$C$17)="","",INDEX(SPOT_Import!$A$1:$Z$2488,194,'Live Data'!$C$17)),"")</f>
        <v>C&amp;T</v>
      </c>
      <c r="G194" s="54">
        <f>IFERROR(IF(INDEX(SPOT_Import!$A$1:$Z$2488,194,'Live Data'!$C$18)="","",INDEX(SPOT_Import!$A$1:$Z$2488,194,'Live Data'!$C$18)),"")</f>
        <v>1000</v>
      </c>
      <c r="H194" s="54">
        <f>IFERROR(IF(INDEX(SPOT_Import!$A$1:$Z$2488,194,'Live Data'!$C$19)="","",INDEX(SPOT_Import!$A$1:$Z$2488,194,'Live Data'!$C$19)),"")</f>
        <v>1000</v>
      </c>
      <c r="I194" s="54" t="str">
        <f>IFERROR(IF(INDEX(SPOT_Import!$A$1:$Z$2488,194,'Live Data'!$C$20)="","",INDEX(SPOT_Import!$A$1:$Z$2488,194,'Live Data'!$C$20)),"")</f>
        <v>Complete</v>
      </c>
      <c r="J194" s="54" t="str">
        <f>IFERROR(IF(INDEX(SPOT_Import!$A$1:$Z$2488,194,'Live Data'!$C$21)="","",INDEX(SPOT_Import!$A$1:$Z$2488,194,'Live Data'!$C$21)),"")</f>
        <v>2026-10-08T01:35:51.000Z</v>
      </c>
      <c r="K194" s="54" t="str">
        <f>IFERROR(IF(INDEX(SPOT_Import!$A$1:$Z$2488,194,'Live Data'!$C$22)="","",INDEX(SPOT_Import!$A$1:$Z$2488,194,'Live Data'!$C$22)),"")</f>
        <v>2026-10-08T01:35:51.000Z</v>
      </c>
      <c r="L194" s="55" t="str">
        <f t="shared" ref="L194:L257" si="6">IF(A194="","",IF(ISNUMBER(K194),TEXT(K194,"yyyy-mm"),LEFT(K194,7)))</f>
        <v>2026-10</v>
      </c>
      <c r="M194" s="55" t="str">
        <f t="shared" ref="M194:M257" si="7">IF(A194="","",UPPER(TRIM(SUBSTITUTE(C194," - ","-"))))</f>
        <v>THARAKA-NITHI</v>
      </c>
      <c r="N194" s="55" t="str">
        <f>IF(A194="","",IFERROR(INDEX('Cluster Map'!$A$4:$A$38,MATCH(M194,'Cluster Map'!$B$4:$B$38,0)),"Unmapped"))</f>
        <v>Cluster 2</v>
      </c>
      <c r="O194" s="55">
        <f>IF(A194="",0,IF(COUNTIFS($A$2:A194,A194,$F$2:F194,F194,$L$2:L194,L194)=1,1,0))</f>
        <v>1</v>
      </c>
      <c r="P194" s="55">
        <f>IF(A194="",0,IF(AND(F194="C&amp;T",COUNTIFS($A$2:A194,A194,$F$2:F194,"C&amp;T")=1),1,0))</f>
        <v>1</v>
      </c>
    </row>
    <row r="195" spans="1:16" x14ac:dyDescent="0.35">
      <c r="A195" s="54">
        <f>IFERROR(IF(INDEX(SPOT_Import!$A$1:$Z$2488,195,'Live Data'!$C$12)="","",INDEX(SPOT_Import!$A$1:$Z$2488,195,'Live Data'!$C$12)),"")</f>
        <v>12675</v>
      </c>
      <c r="B195" s="54" t="str">
        <f>IFERROR(IF(INDEX(SPOT_Import!$A$1:$Z$2488,195,'Live Data'!$C$13)="","",INDEX(SPOT_Import!$A$1:$Z$2488,195,'Live Data'!$C$13)),"")</f>
        <v>Nthambiro Dispensary</v>
      </c>
      <c r="C195" s="54" t="str">
        <f>IFERROR(IF(INDEX(SPOT_Import!$A$1:$Z$2488,195,'Live Data'!$C$14)="","",INDEX(SPOT_Import!$A$1:$Z$2488,195,'Live Data'!$C$14)),"")</f>
        <v>MERU</v>
      </c>
      <c r="D195" s="54" t="str">
        <f>IFERROR(IF(INDEX(SPOT_Import!$A$1:$Z$2488,195,'Live Data'!$C$15)="","",INDEX(SPOT_Import!$A$1:$Z$2488,195,'Live Data'!$C$15)),"")</f>
        <v>Igembe Central</v>
      </c>
      <c r="E195" s="54" t="str">
        <f>IFERROR(IF(INDEX(SPOT_Import!$A$1:$Z$2488,195,'Live Data'!$C$16)="","",INDEX(SPOT_Import!$A$1:$Z$2488,195,'Live Data'!$C$16)),"")</f>
        <v>USAID Jamii Tekelezi</v>
      </c>
      <c r="F195" s="54" t="str">
        <f>IFERROR(IF(INDEX(SPOT_Import!$A$1:$Z$2488,195,'Live Data'!$C$17)="","",INDEX(SPOT_Import!$A$1:$Z$2488,195,'Live Data'!$C$17)),"")</f>
        <v>MNCH</v>
      </c>
      <c r="G195" s="54">
        <f>IFERROR(IF(INDEX(SPOT_Import!$A$1:$Z$2488,195,'Live Data'!$C$18)="","",INDEX(SPOT_Import!$A$1:$Z$2488,195,'Live Data'!$C$18)),"")</f>
        <v>36</v>
      </c>
      <c r="H195" s="54">
        <f>IFERROR(IF(INDEX(SPOT_Import!$A$1:$Z$2488,195,'Live Data'!$C$19)="","",INDEX(SPOT_Import!$A$1:$Z$2488,195,'Live Data'!$C$19)),"")</f>
        <v>36</v>
      </c>
      <c r="I195" s="54" t="str">
        <f>IFERROR(IF(INDEX(SPOT_Import!$A$1:$Z$2488,195,'Live Data'!$C$20)="","",INDEX(SPOT_Import!$A$1:$Z$2488,195,'Live Data'!$C$20)),"")</f>
        <v>Complete</v>
      </c>
      <c r="J195" s="54" t="str">
        <f>IFERROR(IF(INDEX(SPOT_Import!$A$1:$Z$2488,195,'Live Data'!$C$21)="","",INDEX(SPOT_Import!$A$1:$Z$2488,195,'Live Data'!$C$21)),"")</f>
        <v>2026-10-07T12:46:44.000Z</v>
      </c>
      <c r="K195" s="54" t="str">
        <f>IFERROR(IF(INDEX(SPOT_Import!$A$1:$Z$2488,195,'Live Data'!$C$22)="","",INDEX(SPOT_Import!$A$1:$Z$2488,195,'Live Data'!$C$22)),"")</f>
        <v>2026-10-07T12:46:44.000Z</v>
      </c>
      <c r="L195" s="55" t="str">
        <f t="shared" si="6"/>
        <v>2026-10</v>
      </c>
      <c r="M195" s="55" t="str">
        <f t="shared" si="7"/>
        <v>MERU</v>
      </c>
      <c r="N195" s="55" t="str">
        <f>IF(A195="","",IFERROR(INDEX('Cluster Map'!$A$4:$A$38,MATCH(M195,'Cluster Map'!$B$4:$B$38,0)),"Unmapped"))</f>
        <v>Cluster 1</v>
      </c>
      <c r="O195" s="55">
        <f>IF(A195="",0,IF(COUNTIFS($A$2:A195,A195,$F$2:F195,F195,$L$2:L195,L195)=1,1,0))</f>
        <v>1</v>
      </c>
      <c r="P195" s="55">
        <f>IF(A195="",0,IF(AND(F195="C&amp;T",COUNTIFS($A$2:A195,A195,$F$2:F195,"C&amp;T")=1),1,0))</f>
        <v>0</v>
      </c>
    </row>
    <row r="196" spans="1:16" x14ac:dyDescent="0.35">
      <c r="A196" s="54">
        <f>IFERROR(IF(INDEX(SPOT_Import!$A$1:$Z$2488,196,'Live Data'!$C$12)="","",INDEX(SPOT_Import!$A$1:$Z$2488,196,'Live Data'!$C$12)),"")</f>
        <v>12675</v>
      </c>
      <c r="B196" s="54" t="str">
        <f>IFERROR(IF(INDEX(SPOT_Import!$A$1:$Z$2488,196,'Live Data'!$C$13)="","",INDEX(SPOT_Import!$A$1:$Z$2488,196,'Live Data'!$C$13)),"")</f>
        <v>Nthambiro Dispensary</v>
      </c>
      <c r="C196" s="54" t="str">
        <f>IFERROR(IF(INDEX(SPOT_Import!$A$1:$Z$2488,196,'Live Data'!$C$14)="","",INDEX(SPOT_Import!$A$1:$Z$2488,196,'Live Data'!$C$14)),"")</f>
        <v>MERU</v>
      </c>
      <c r="D196" s="54" t="str">
        <f>IFERROR(IF(INDEX(SPOT_Import!$A$1:$Z$2488,196,'Live Data'!$C$15)="","",INDEX(SPOT_Import!$A$1:$Z$2488,196,'Live Data'!$C$15)),"")</f>
        <v>Igembe Central</v>
      </c>
      <c r="E196" s="54" t="str">
        <f>IFERROR(IF(INDEX(SPOT_Import!$A$1:$Z$2488,196,'Live Data'!$C$16)="","",INDEX(SPOT_Import!$A$1:$Z$2488,196,'Live Data'!$C$16)),"")</f>
        <v>USAID Jamii Tekelezi</v>
      </c>
      <c r="F196" s="54" t="str">
        <f>IFERROR(IF(INDEX(SPOT_Import!$A$1:$Z$2488,196,'Live Data'!$C$17)="","",INDEX(SPOT_Import!$A$1:$Z$2488,196,'Live Data'!$C$17)),"")</f>
        <v>HTS</v>
      </c>
      <c r="G196" s="54">
        <f>IFERROR(IF(INDEX(SPOT_Import!$A$1:$Z$2488,196,'Live Data'!$C$18)="","",INDEX(SPOT_Import!$A$1:$Z$2488,196,'Live Data'!$C$18)),"")</f>
        <v>17</v>
      </c>
      <c r="H196" s="54">
        <f>IFERROR(IF(INDEX(SPOT_Import!$A$1:$Z$2488,196,'Live Data'!$C$19)="","",INDEX(SPOT_Import!$A$1:$Z$2488,196,'Live Data'!$C$19)),"")</f>
        <v>17</v>
      </c>
      <c r="I196" s="54" t="str">
        <f>IFERROR(IF(INDEX(SPOT_Import!$A$1:$Z$2488,196,'Live Data'!$C$20)="","",INDEX(SPOT_Import!$A$1:$Z$2488,196,'Live Data'!$C$20)),"")</f>
        <v>Complete</v>
      </c>
      <c r="J196" s="54" t="str">
        <f>IFERROR(IF(INDEX(SPOT_Import!$A$1:$Z$2488,196,'Live Data'!$C$21)="","",INDEX(SPOT_Import!$A$1:$Z$2488,196,'Live Data'!$C$21)),"")</f>
        <v>2026-10-07T12:46:34.000Z</v>
      </c>
      <c r="K196" s="54" t="str">
        <f>IFERROR(IF(INDEX(SPOT_Import!$A$1:$Z$2488,196,'Live Data'!$C$22)="","",INDEX(SPOT_Import!$A$1:$Z$2488,196,'Live Data'!$C$22)),"")</f>
        <v>2026-10-07T12:46:34.000Z</v>
      </c>
      <c r="L196" s="55" t="str">
        <f t="shared" si="6"/>
        <v>2026-10</v>
      </c>
      <c r="M196" s="55" t="str">
        <f t="shared" si="7"/>
        <v>MERU</v>
      </c>
      <c r="N196" s="55" t="str">
        <f>IF(A196="","",IFERROR(INDEX('Cluster Map'!$A$4:$A$38,MATCH(M196,'Cluster Map'!$B$4:$B$38,0)),"Unmapped"))</f>
        <v>Cluster 1</v>
      </c>
      <c r="O196" s="55">
        <f>IF(A196="",0,IF(COUNTIFS($A$2:A196,A196,$F$2:F196,F196,$L$2:L196,L196)=1,1,0))</f>
        <v>1</v>
      </c>
      <c r="P196" s="55">
        <f>IF(A196="",0,IF(AND(F196="C&amp;T",COUNTIFS($A$2:A196,A196,$F$2:F196,"C&amp;T")=1),1,0))</f>
        <v>0</v>
      </c>
    </row>
    <row r="197" spans="1:16" x14ac:dyDescent="0.35">
      <c r="A197" s="54">
        <f>IFERROR(IF(INDEX(SPOT_Import!$A$1:$Z$2488,197,'Live Data'!$C$12)="","",INDEX(SPOT_Import!$A$1:$Z$2488,197,'Live Data'!$C$12)),"")</f>
        <v>10832</v>
      </c>
      <c r="B197" s="54" t="str">
        <f>IFERROR(IF(INDEX(SPOT_Import!$A$1:$Z$2488,197,'Live Data'!$C$13)="","",INDEX(SPOT_Import!$A$1:$Z$2488,197,'Live Data'!$C$13)),"")</f>
        <v>Ndemi Health Centre</v>
      </c>
      <c r="C197" s="54" t="str">
        <f>IFERROR(IF(INDEX(SPOT_Import!$A$1:$Z$2488,197,'Live Data'!$C$14)="","",INDEX(SPOT_Import!$A$1:$Z$2488,197,'Live Data'!$C$14)),"")</f>
        <v>NYANDARUA</v>
      </c>
      <c r="D197" s="54" t="str">
        <f>IFERROR(IF(INDEX(SPOT_Import!$A$1:$Z$2488,197,'Live Data'!$C$15)="","",INDEX(SPOT_Import!$A$1:$Z$2488,197,'Live Data'!$C$15)),"")</f>
        <v>Kipipiri</v>
      </c>
      <c r="E197" s="54" t="str">
        <f>IFERROR(IF(INDEX(SPOT_Import!$A$1:$Z$2488,197,'Live Data'!$C$16)="","",INDEX(SPOT_Import!$A$1:$Z$2488,197,'Live Data'!$C$16)),"")</f>
        <v>USAID Jamii Tekelezi</v>
      </c>
      <c r="F197" s="54" t="str">
        <f>IFERROR(IF(INDEX(SPOT_Import!$A$1:$Z$2488,197,'Live Data'!$C$17)="","",INDEX(SPOT_Import!$A$1:$Z$2488,197,'Live Data'!$C$17)),"")</f>
        <v>PREP</v>
      </c>
      <c r="G197" s="54">
        <f>IFERROR(IF(INDEX(SPOT_Import!$A$1:$Z$2488,197,'Live Data'!$C$18)="","",INDEX(SPOT_Import!$A$1:$Z$2488,197,'Live Data'!$C$18)),"")</f>
        <v>5</v>
      </c>
      <c r="H197" s="54">
        <f>IFERROR(IF(INDEX(SPOT_Import!$A$1:$Z$2488,197,'Live Data'!$C$19)="","",INDEX(SPOT_Import!$A$1:$Z$2488,197,'Live Data'!$C$19)),"")</f>
        <v>5</v>
      </c>
      <c r="I197" s="54" t="str">
        <f>IFERROR(IF(INDEX(SPOT_Import!$A$1:$Z$2488,197,'Live Data'!$C$20)="","",INDEX(SPOT_Import!$A$1:$Z$2488,197,'Live Data'!$C$20)),"")</f>
        <v>Complete</v>
      </c>
      <c r="J197" s="54" t="str">
        <f>IFERROR(IF(INDEX(SPOT_Import!$A$1:$Z$2488,197,'Live Data'!$C$21)="","",INDEX(SPOT_Import!$A$1:$Z$2488,197,'Live Data'!$C$21)),"")</f>
        <v>2026-10-07T12:27:37.000Z</v>
      </c>
      <c r="K197" s="54" t="str">
        <f>IFERROR(IF(INDEX(SPOT_Import!$A$1:$Z$2488,197,'Live Data'!$C$22)="","",INDEX(SPOT_Import!$A$1:$Z$2488,197,'Live Data'!$C$22)),"")</f>
        <v>2026-10-07T12:27:37.000Z</v>
      </c>
      <c r="L197" s="55" t="str">
        <f t="shared" si="6"/>
        <v>2026-10</v>
      </c>
      <c r="M197" s="55" t="str">
        <f t="shared" si="7"/>
        <v>NYANDARUA</v>
      </c>
      <c r="N197" s="55" t="str">
        <f>IF(A197="","",IFERROR(INDEX('Cluster Map'!$A$4:$A$38,MATCH(M197,'Cluster Map'!$B$4:$B$38,0)),"Unmapped"))</f>
        <v>Cluster 4</v>
      </c>
      <c r="O197" s="55">
        <f>IF(A197="",0,IF(COUNTIFS($A$2:A197,A197,$F$2:F197,F197,$L$2:L197,L197)=1,1,0))</f>
        <v>1</v>
      </c>
      <c r="P197" s="55">
        <f>IF(A197="",0,IF(AND(F197="C&amp;T",COUNTIFS($A$2:A197,A197,$F$2:F197,"C&amp;T")=1),1,0))</f>
        <v>0</v>
      </c>
    </row>
    <row r="198" spans="1:16" x14ac:dyDescent="0.35">
      <c r="A198" s="54">
        <f>IFERROR(IF(INDEX(SPOT_Import!$A$1:$Z$2488,198,'Live Data'!$C$12)="","",INDEX(SPOT_Import!$A$1:$Z$2488,198,'Live Data'!$C$12)),"")</f>
        <v>10832</v>
      </c>
      <c r="B198" s="54" t="str">
        <f>IFERROR(IF(INDEX(SPOT_Import!$A$1:$Z$2488,198,'Live Data'!$C$13)="","",INDEX(SPOT_Import!$A$1:$Z$2488,198,'Live Data'!$C$13)),"")</f>
        <v>Ndemi Health Centre</v>
      </c>
      <c r="C198" s="54" t="str">
        <f>IFERROR(IF(INDEX(SPOT_Import!$A$1:$Z$2488,198,'Live Data'!$C$14)="","",INDEX(SPOT_Import!$A$1:$Z$2488,198,'Live Data'!$C$14)),"")</f>
        <v>NYANDARUA</v>
      </c>
      <c r="D198" s="54" t="str">
        <f>IFERROR(IF(INDEX(SPOT_Import!$A$1:$Z$2488,198,'Live Data'!$C$15)="","",INDEX(SPOT_Import!$A$1:$Z$2488,198,'Live Data'!$C$15)),"")</f>
        <v>Kipipiri</v>
      </c>
      <c r="E198" s="54" t="str">
        <f>IFERROR(IF(INDEX(SPOT_Import!$A$1:$Z$2488,198,'Live Data'!$C$16)="","",INDEX(SPOT_Import!$A$1:$Z$2488,198,'Live Data'!$C$16)),"")</f>
        <v>USAID Jamii Tekelezi</v>
      </c>
      <c r="F198" s="54" t="str">
        <f>IFERROR(IF(INDEX(SPOT_Import!$A$1:$Z$2488,198,'Live Data'!$C$17)="","",INDEX(SPOT_Import!$A$1:$Z$2488,198,'Live Data'!$C$17)),"")</f>
        <v>MNCH</v>
      </c>
      <c r="G198" s="54">
        <f>IFERROR(IF(INDEX(SPOT_Import!$A$1:$Z$2488,198,'Live Data'!$C$18)="","",INDEX(SPOT_Import!$A$1:$Z$2488,198,'Live Data'!$C$18)),"")</f>
        <v>13</v>
      </c>
      <c r="H198" s="54">
        <f>IFERROR(IF(INDEX(SPOT_Import!$A$1:$Z$2488,198,'Live Data'!$C$19)="","",INDEX(SPOT_Import!$A$1:$Z$2488,198,'Live Data'!$C$19)),"")</f>
        <v>13</v>
      </c>
      <c r="I198" s="54" t="str">
        <f>IFERROR(IF(INDEX(SPOT_Import!$A$1:$Z$2488,198,'Live Data'!$C$20)="","",INDEX(SPOT_Import!$A$1:$Z$2488,198,'Live Data'!$C$20)),"")</f>
        <v>Complete</v>
      </c>
      <c r="J198" s="54" t="str">
        <f>IFERROR(IF(INDEX(SPOT_Import!$A$1:$Z$2488,198,'Live Data'!$C$21)="","",INDEX(SPOT_Import!$A$1:$Z$2488,198,'Live Data'!$C$21)),"")</f>
        <v>2026-10-07T12:26:43.000Z</v>
      </c>
      <c r="K198" s="54" t="str">
        <f>IFERROR(IF(INDEX(SPOT_Import!$A$1:$Z$2488,198,'Live Data'!$C$22)="","",INDEX(SPOT_Import!$A$1:$Z$2488,198,'Live Data'!$C$22)),"")</f>
        <v>2026-10-07T12:26:43.000Z</v>
      </c>
      <c r="L198" s="55" t="str">
        <f t="shared" si="6"/>
        <v>2026-10</v>
      </c>
      <c r="M198" s="55" t="str">
        <f t="shared" si="7"/>
        <v>NYANDARUA</v>
      </c>
      <c r="N198" s="55" t="str">
        <f>IF(A198="","",IFERROR(INDEX('Cluster Map'!$A$4:$A$38,MATCH(M198,'Cluster Map'!$B$4:$B$38,0)),"Unmapped"))</f>
        <v>Cluster 4</v>
      </c>
      <c r="O198" s="55">
        <f>IF(A198="",0,IF(COUNTIFS($A$2:A198,A198,$F$2:F198,F198,$L$2:L198,L198)=1,1,0))</f>
        <v>1</v>
      </c>
      <c r="P198" s="55">
        <f>IF(A198="",0,IF(AND(F198="C&amp;T",COUNTIFS($A$2:A198,A198,$F$2:F198,"C&amp;T")=1),1,0))</f>
        <v>0</v>
      </c>
    </row>
    <row r="199" spans="1:16" x14ac:dyDescent="0.35">
      <c r="A199" s="54">
        <f>IFERROR(IF(INDEX(SPOT_Import!$A$1:$Z$2488,199,'Live Data'!$C$12)="","",INDEX(SPOT_Import!$A$1:$Z$2488,199,'Live Data'!$C$12)),"")</f>
        <v>10832</v>
      </c>
      <c r="B199" s="54" t="str">
        <f>IFERROR(IF(INDEX(SPOT_Import!$A$1:$Z$2488,199,'Live Data'!$C$13)="","",INDEX(SPOT_Import!$A$1:$Z$2488,199,'Live Data'!$C$13)),"")</f>
        <v>Ndemi Health Centre</v>
      </c>
      <c r="C199" s="54" t="str">
        <f>IFERROR(IF(INDEX(SPOT_Import!$A$1:$Z$2488,199,'Live Data'!$C$14)="","",INDEX(SPOT_Import!$A$1:$Z$2488,199,'Live Data'!$C$14)),"")</f>
        <v>NYANDARUA</v>
      </c>
      <c r="D199" s="54" t="str">
        <f>IFERROR(IF(INDEX(SPOT_Import!$A$1:$Z$2488,199,'Live Data'!$C$15)="","",INDEX(SPOT_Import!$A$1:$Z$2488,199,'Live Data'!$C$15)),"")</f>
        <v>Kipipiri</v>
      </c>
      <c r="E199" s="54" t="str">
        <f>IFERROR(IF(INDEX(SPOT_Import!$A$1:$Z$2488,199,'Live Data'!$C$16)="","",INDEX(SPOT_Import!$A$1:$Z$2488,199,'Live Data'!$C$16)),"")</f>
        <v>USAID Jamii Tekelezi</v>
      </c>
      <c r="F199" s="54" t="str">
        <f>IFERROR(IF(INDEX(SPOT_Import!$A$1:$Z$2488,199,'Live Data'!$C$17)="","",INDEX(SPOT_Import!$A$1:$Z$2488,199,'Live Data'!$C$17)),"")</f>
        <v>HTS</v>
      </c>
      <c r="G199" s="54">
        <f>IFERROR(IF(INDEX(SPOT_Import!$A$1:$Z$2488,199,'Live Data'!$C$18)="","",INDEX(SPOT_Import!$A$1:$Z$2488,199,'Live Data'!$C$18)),"")</f>
        <v>55</v>
      </c>
      <c r="H199" s="54">
        <f>IFERROR(IF(INDEX(SPOT_Import!$A$1:$Z$2488,199,'Live Data'!$C$19)="","",INDEX(SPOT_Import!$A$1:$Z$2488,199,'Live Data'!$C$19)),"")</f>
        <v>55</v>
      </c>
      <c r="I199" s="54" t="str">
        <f>IFERROR(IF(INDEX(SPOT_Import!$A$1:$Z$2488,199,'Live Data'!$C$20)="","",INDEX(SPOT_Import!$A$1:$Z$2488,199,'Live Data'!$C$20)),"")</f>
        <v>Complete</v>
      </c>
      <c r="J199" s="54" t="str">
        <f>IFERROR(IF(INDEX(SPOT_Import!$A$1:$Z$2488,199,'Live Data'!$C$21)="","",INDEX(SPOT_Import!$A$1:$Z$2488,199,'Live Data'!$C$21)),"")</f>
        <v>2026-10-07T12:26:09.000Z</v>
      </c>
      <c r="K199" s="54" t="str">
        <f>IFERROR(IF(INDEX(SPOT_Import!$A$1:$Z$2488,199,'Live Data'!$C$22)="","",INDEX(SPOT_Import!$A$1:$Z$2488,199,'Live Data'!$C$22)),"")</f>
        <v>2026-10-07T12:26:09.000Z</v>
      </c>
      <c r="L199" s="55" t="str">
        <f t="shared" si="6"/>
        <v>2026-10</v>
      </c>
      <c r="M199" s="55" t="str">
        <f t="shared" si="7"/>
        <v>NYANDARUA</v>
      </c>
      <c r="N199" s="55" t="str">
        <f>IF(A199="","",IFERROR(INDEX('Cluster Map'!$A$4:$A$38,MATCH(M199,'Cluster Map'!$B$4:$B$38,0)),"Unmapped"))</f>
        <v>Cluster 4</v>
      </c>
      <c r="O199" s="55">
        <f>IF(A199="",0,IF(COUNTIFS($A$2:A199,A199,$F$2:F199,F199,$L$2:L199,L199)=1,1,0))</f>
        <v>1</v>
      </c>
      <c r="P199" s="55">
        <f>IF(A199="",0,IF(AND(F199="C&amp;T",COUNTIFS($A$2:A199,A199,$F$2:F199,"C&amp;T")=1),1,0))</f>
        <v>0</v>
      </c>
    </row>
    <row r="200" spans="1:16" x14ac:dyDescent="0.35">
      <c r="A200" s="54">
        <f>IFERROR(IF(INDEX(SPOT_Import!$A$1:$Z$2488,200,'Live Data'!$C$12)="","",INDEX(SPOT_Import!$A$1:$Z$2488,200,'Live Data'!$C$12)),"")</f>
        <v>12004</v>
      </c>
      <c r="B200" s="54" t="str">
        <f>IFERROR(IF(INDEX(SPOT_Import!$A$1:$Z$2488,200,'Live Data'!$C$13)="","",INDEX(SPOT_Import!$A$1:$Z$2488,200,'Live Data'!$C$13)),"")</f>
        <v>Embu Provincial General Hospital</v>
      </c>
      <c r="C200" s="54" t="str">
        <f>IFERROR(IF(INDEX(SPOT_Import!$A$1:$Z$2488,200,'Live Data'!$C$14)="","",INDEX(SPOT_Import!$A$1:$Z$2488,200,'Live Data'!$C$14)),"")</f>
        <v>EMBU</v>
      </c>
      <c r="D200" s="54" t="str">
        <f>IFERROR(IF(INDEX(SPOT_Import!$A$1:$Z$2488,200,'Live Data'!$C$15)="","",INDEX(SPOT_Import!$A$1:$Z$2488,200,'Live Data'!$C$15)),"")</f>
        <v>Manyatta</v>
      </c>
      <c r="E200" s="54" t="str">
        <f>IFERROR(IF(INDEX(SPOT_Import!$A$1:$Z$2488,200,'Live Data'!$C$16)="","",INDEX(SPOT_Import!$A$1:$Z$2488,200,'Live Data'!$C$16)),"")</f>
        <v>USAID Jamii Tekelezi</v>
      </c>
      <c r="F200" s="54" t="str">
        <f>IFERROR(IF(INDEX(SPOT_Import!$A$1:$Z$2488,200,'Live Data'!$C$17)="","",INDEX(SPOT_Import!$A$1:$Z$2488,200,'Live Data'!$C$17)),"")</f>
        <v>PREP</v>
      </c>
      <c r="G200" s="54">
        <f>IFERROR(IF(INDEX(SPOT_Import!$A$1:$Z$2488,200,'Live Data'!$C$18)="","",INDEX(SPOT_Import!$A$1:$Z$2488,200,'Live Data'!$C$18)),"")</f>
        <v>1439</v>
      </c>
      <c r="H200" s="54">
        <f>IFERROR(IF(INDEX(SPOT_Import!$A$1:$Z$2488,200,'Live Data'!$C$19)="","",INDEX(SPOT_Import!$A$1:$Z$2488,200,'Live Data'!$C$19)),"")</f>
        <v>1439</v>
      </c>
      <c r="I200" s="54" t="str">
        <f>IFERROR(IF(INDEX(SPOT_Import!$A$1:$Z$2488,200,'Live Data'!$C$20)="","",INDEX(SPOT_Import!$A$1:$Z$2488,200,'Live Data'!$C$20)),"")</f>
        <v>Complete</v>
      </c>
      <c r="J200" s="54" t="str">
        <f>IFERROR(IF(INDEX(SPOT_Import!$A$1:$Z$2488,200,'Live Data'!$C$21)="","",INDEX(SPOT_Import!$A$1:$Z$2488,200,'Live Data'!$C$21)),"")</f>
        <v>2026-10-07T12:26:07.000Z</v>
      </c>
      <c r="K200" s="54" t="str">
        <f>IFERROR(IF(INDEX(SPOT_Import!$A$1:$Z$2488,200,'Live Data'!$C$22)="","",INDEX(SPOT_Import!$A$1:$Z$2488,200,'Live Data'!$C$22)),"")</f>
        <v>2026-10-07T12:26:07.000Z</v>
      </c>
      <c r="L200" s="55" t="str">
        <f t="shared" si="6"/>
        <v>2026-10</v>
      </c>
      <c r="M200" s="55" t="str">
        <f t="shared" si="7"/>
        <v>EMBU</v>
      </c>
      <c r="N200" s="55" t="str">
        <f>IF(A200="","",IFERROR(INDEX('Cluster Map'!$A$4:$A$38,MATCH(M200,'Cluster Map'!$B$4:$B$38,0)),"Unmapped"))</f>
        <v>Cluster 2</v>
      </c>
      <c r="O200" s="55">
        <f>IF(A200="",0,IF(COUNTIFS($A$2:A200,A200,$F$2:F200,F200,$L$2:L200,L200)=1,1,0))</f>
        <v>1</v>
      </c>
      <c r="P200" s="55">
        <f>IF(A200="",0,IF(AND(F200="C&amp;T",COUNTIFS($A$2:A200,A200,$F$2:F200,"C&amp;T")=1),1,0))</f>
        <v>0</v>
      </c>
    </row>
    <row r="201" spans="1:16" x14ac:dyDescent="0.35">
      <c r="A201" s="54">
        <f>IFERROR(IF(INDEX(SPOT_Import!$A$1:$Z$2488,201,'Live Data'!$C$12)="","",INDEX(SPOT_Import!$A$1:$Z$2488,201,'Live Data'!$C$12)),"")</f>
        <v>12004</v>
      </c>
      <c r="B201" s="54" t="str">
        <f>IFERROR(IF(INDEX(SPOT_Import!$A$1:$Z$2488,201,'Live Data'!$C$13)="","",INDEX(SPOT_Import!$A$1:$Z$2488,201,'Live Data'!$C$13)),"")</f>
        <v>Embu Provincial General Hospital</v>
      </c>
      <c r="C201" s="54" t="str">
        <f>IFERROR(IF(INDEX(SPOT_Import!$A$1:$Z$2488,201,'Live Data'!$C$14)="","",INDEX(SPOT_Import!$A$1:$Z$2488,201,'Live Data'!$C$14)),"")</f>
        <v>EMBU</v>
      </c>
      <c r="D201" s="54" t="str">
        <f>IFERROR(IF(INDEX(SPOT_Import!$A$1:$Z$2488,201,'Live Data'!$C$15)="","",INDEX(SPOT_Import!$A$1:$Z$2488,201,'Live Data'!$C$15)),"")</f>
        <v>Manyatta</v>
      </c>
      <c r="E201" s="54" t="str">
        <f>IFERROR(IF(INDEX(SPOT_Import!$A$1:$Z$2488,201,'Live Data'!$C$16)="","",INDEX(SPOT_Import!$A$1:$Z$2488,201,'Live Data'!$C$16)),"")</f>
        <v>USAID Jamii Tekelezi</v>
      </c>
      <c r="F201" s="54" t="str">
        <f>IFERROR(IF(INDEX(SPOT_Import!$A$1:$Z$2488,201,'Live Data'!$C$17)="","",INDEX(SPOT_Import!$A$1:$Z$2488,201,'Live Data'!$C$17)),"")</f>
        <v>MNCH</v>
      </c>
      <c r="G201" s="54">
        <f>IFERROR(IF(INDEX(SPOT_Import!$A$1:$Z$2488,201,'Live Data'!$C$18)="","",INDEX(SPOT_Import!$A$1:$Z$2488,201,'Live Data'!$C$18)),"")</f>
        <v>364</v>
      </c>
      <c r="H201" s="54">
        <f>IFERROR(IF(INDEX(SPOT_Import!$A$1:$Z$2488,201,'Live Data'!$C$19)="","",INDEX(SPOT_Import!$A$1:$Z$2488,201,'Live Data'!$C$19)),"")</f>
        <v>364</v>
      </c>
      <c r="I201" s="54" t="str">
        <f>IFERROR(IF(INDEX(SPOT_Import!$A$1:$Z$2488,201,'Live Data'!$C$20)="","",INDEX(SPOT_Import!$A$1:$Z$2488,201,'Live Data'!$C$20)),"")</f>
        <v>Complete</v>
      </c>
      <c r="J201" s="54" t="str">
        <f>IFERROR(IF(INDEX(SPOT_Import!$A$1:$Z$2488,201,'Live Data'!$C$21)="","",INDEX(SPOT_Import!$A$1:$Z$2488,201,'Live Data'!$C$21)),"")</f>
        <v>2026-10-07T12:25:49.000Z</v>
      </c>
      <c r="K201" s="54" t="str">
        <f>IFERROR(IF(INDEX(SPOT_Import!$A$1:$Z$2488,201,'Live Data'!$C$22)="","",INDEX(SPOT_Import!$A$1:$Z$2488,201,'Live Data'!$C$22)),"")</f>
        <v>2026-10-07T12:25:49.000Z</v>
      </c>
      <c r="L201" s="55" t="str">
        <f t="shared" si="6"/>
        <v>2026-10</v>
      </c>
      <c r="M201" s="55" t="str">
        <f t="shared" si="7"/>
        <v>EMBU</v>
      </c>
      <c r="N201" s="55" t="str">
        <f>IF(A201="","",IFERROR(INDEX('Cluster Map'!$A$4:$A$38,MATCH(M201,'Cluster Map'!$B$4:$B$38,0)),"Unmapped"))</f>
        <v>Cluster 2</v>
      </c>
      <c r="O201" s="55">
        <f>IF(A201="",0,IF(COUNTIFS($A$2:A201,A201,$F$2:F201,F201,$L$2:L201,L201)=1,1,0))</f>
        <v>1</v>
      </c>
      <c r="P201" s="55">
        <f>IF(A201="",0,IF(AND(F201="C&amp;T",COUNTIFS($A$2:A201,A201,$F$2:F201,"C&amp;T")=1),1,0))</f>
        <v>0</v>
      </c>
    </row>
    <row r="202" spans="1:16" x14ac:dyDescent="0.35">
      <c r="A202" s="54">
        <f>IFERROR(IF(INDEX(SPOT_Import!$A$1:$Z$2488,202,'Live Data'!$C$12)="","",INDEX(SPOT_Import!$A$1:$Z$2488,202,'Live Data'!$C$12)),"")</f>
        <v>12004</v>
      </c>
      <c r="B202" s="54" t="str">
        <f>IFERROR(IF(INDEX(SPOT_Import!$A$1:$Z$2488,202,'Live Data'!$C$13)="","",INDEX(SPOT_Import!$A$1:$Z$2488,202,'Live Data'!$C$13)),"")</f>
        <v>Embu Provincial General Hospital</v>
      </c>
      <c r="C202" s="54" t="str">
        <f>IFERROR(IF(INDEX(SPOT_Import!$A$1:$Z$2488,202,'Live Data'!$C$14)="","",INDEX(SPOT_Import!$A$1:$Z$2488,202,'Live Data'!$C$14)),"")</f>
        <v>EMBU</v>
      </c>
      <c r="D202" s="54" t="str">
        <f>IFERROR(IF(INDEX(SPOT_Import!$A$1:$Z$2488,202,'Live Data'!$C$15)="","",INDEX(SPOT_Import!$A$1:$Z$2488,202,'Live Data'!$C$15)),"")</f>
        <v>Manyatta</v>
      </c>
      <c r="E202" s="54" t="str">
        <f>IFERROR(IF(INDEX(SPOT_Import!$A$1:$Z$2488,202,'Live Data'!$C$16)="","",INDEX(SPOT_Import!$A$1:$Z$2488,202,'Live Data'!$C$16)),"")</f>
        <v>USAID Jamii Tekelezi</v>
      </c>
      <c r="F202" s="54" t="str">
        <f>IFERROR(IF(INDEX(SPOT_Import!$A$1:$Z$2488,202,'Live Data'!$C$17)="","",INDEX(SPOT_Import!$A$1:$Z$2488,202,'Live Data'!$C$17)),"")</f>
        <v>HTS</v>
      </c>
      <c r="G202" s="54">
        <f>IFERROR(IF(INDEX(SPOT_Import!$A$1:$Z$2488,202,'Live Data'!$C$18)="","",INDEX(SPOT_Import!$A$1:$Z$2488,202,'Live Data'!$C$18)),"")</f>
        <v>18186</v>
      </c>
      <c r="H202" s="54">
        <f>IFERROR(IF(INDEX(SPOT_Import!$A$1:$Z$2488,202,'Live Data'!$C$19)="","",INDEX(SPOT_Import!$A$1:$Z$2488,202,'Live Data'!$C$19)),"")</f>
        <v>17000</v>
      </c>
      <c r="I202" s="54" t="str">
        <f>IFERROR(IF(INDEX(SPOT_Import!$A$1:$Z$2488,202,'Live Data'!$C$20)="","",INDEX(SPOT_Import!$A$1:$Z$2488,202,'Live Data'!$C$20)),"")</f>
        <v>Complete</v>
      </c>
      <c r="J202" s="54" t="str">
        <f>IFERROR(IF(INDEX(SPOT_Import!$A$1:$Z$2488,202,'Live Data'!$C$21)="","",INDEX(SPOT_Import!$A$1:$Z$2488,202,'Live Data'!$C$21)),"")</f>
        <v>2026-10-07T12:25:12.000Z</v>
      </c>
      <c r="K202" s="54" t="str">
        <f>IFERROR(IF(INDEX(SPOT_Import!$A$1:$Z$2488,202,'Live Data'!$C$22)="","",INDEX(SPOT_Import!$A$1:$Z$2488,202,'Live Data'!$C$22)),"")</f>
        <v>2026-10-07T12:25:12.000Z</v>
      </c>
      <c r="L202" s="55" t="str">
        <f t="shared" si="6"/>
        <v>2026-10</v>
      </c>
      <c r="M202" s="55" t="str">
        <f t="shared" si="7"/>
        <v>EMBU</v>
      </c>
      <c r="N202" s="55" t="str">
        <f>IF(A202="","",IFERROR(INDEX('Cluster Map'!$A$4:$A$38,MATCH(M202,'Cluster Map'!$B$4:$B$38,0)),"Unmapped"))</f>
        <v>Cluster 2</v>
      </c>
      <c r="O202" s="55">
        <f>IF(A202="",0,IF(COUNTIFS($A$2:A202,A202,$F$2:F202,F202,$L$2:L202,L202)=1,1,0))</f>
        <v>1</v>
      </c>
      <c r="P202" s="55">
        <f>IF(A202="",0,IF(AND(F202="C&amp;T",COUNTIFS($A$2:A202,A202,$F$2:F202,"C&amp;T")=1),1,0))</f>
        <v>0</v>
      </c>
    </row>
    <row r="203" spans="1:16" x14ac:dyDescent="0.35">
      <c r="A203" s="54">
        <f>IFERROR(IF(INDEX(SPOT_Import!$A$1:$Z$2488,203,'Live Data'!$C$12)="","",INDEX(SPOT_Import!$A$1:$Z$2488,203,'Live Data'!$C$12)),"")</f>
        <v>12675</v>
      </c>
      <c r="B203" s="54" t="str">
        <f>IFERROR(IF(INDEX(SPOT_Import!$A$1:$Z$2488,203,'Live Data'!$C$13)="","",INDEX(SPOT_Import!$A$1:$Z$2488,203,'Live Data'!$C$13)),"")</f>
        <v>Nthambiro Dispensary</v>
      </c>
      <c r="C203" s="54" t="str">
        <f>IFERROR(IF(INDEX(SPOT_Import!$A$1:$Z$2488,203,'Live Data'!$C$14)="","",INDEX(SPOT_Import!$A$1:$Z$2488,203,'Live Data'!$C$14)),"")</f>
        <v>MERU</v>
      </c>
      <c r="D203" s="54" t="str">
        <f>IFERROR(IF(INDEX(SPOT_Import!$A$1:$Z$2488,203,'Live Data'!$C$15)="","",INDEX(SPOT_Import!$A$1:$Z$2488,203,'Live Data'!$C$15)),"")</f>
        <v>Igembe Central</v>
      </c>
      <c r="E203" s="54" t="str">
        <f>IFERROR(IF(INDEX(SPOT_Import!$A$1:$Z$2488,203,'Live Data'!$C$16)="","",INDEX(SPOT_Import!$A$1:$Z$2488,203,'Live Data'!$C$16)),"")</f>
        <v>USAID Jamii Tekelezi</v>
      </c>
      <c r="F203" s="54" t="str">
        <f>IFERROR(IF(INDEX(SPOT_Import!$A$1:$Z$2488,203,'Live Data'!$C$17)="","",INDEX(SPOT_Import!$A$1:$Z$2488,203,'Live Data'!$C$17)),"")</f>
        <v>C&amp;T</v>
      </c>
      <c r="G203" s="54">
        <f>IFERROR(IF(INDEX(SPOT_Import!$A$1:$Z$2488,203,'Live Data'!$C$18)="","",INDEX(SPOT_Import!$A$1:$Z$2488,203,'Live Data'!$C$18)),"")</f>
        <v>403</v>
      </c>
      <c r="H203" s="54">
        <f>IFERROR(IF(INDEX(SPOT_Import!$A$1:$Z$2488,203,'Live Data'!$C$19)="","",INDEX(SPOT_Import!$A$1:$Z$2488,203,'Live Data'!$C$19)),"")</f>
        <v>403</v>
      </c>
      <c r="I203" s="54" t="str">
        <f>IFERROR(IF(INDEX(SPOT_Import!$A$1:$Z$2488,203,'Live Data'!$C$20)="","",INDEX(SPOT_Import!$A$1:$Z$2488,203,'Live Data'!$C$20)),"")</f>
        <v>Complete</v>
      </c>
      <c r="J203" s="54" t="str">
        <f>IFERROR(IF(INDEX(SPOT_Import!$A$1:$Z$2488,203,'Live Data'!$C$21)="","",INDEX(SPOT_Import!$A$1:$Z$2488,203,'Live Data'!$C$21)),"")</f>
        <v>2026-10-07T12:23:37.000Z</v>
      </c>
      <c r="K203" s="54" t="str">
        <f>IFERROR(IF(INDEX(SPOT_Import!$A$1:$Z$2488,203,'Live Data'!$C$22)="","",INDEX(SPOT_Import!$A$1:$Z$2488,203,'Live Data'!$C$22)),"")</f>
        <v>2026-10-07T12:23:37.000Z</v>
      </c>
      <c r="L203" s="55" t="str">
        <f t="shared" si="6"/>
        <v>2026-10</v>
      </c>
      <c r="M203" s="55" t="str">
        <f t="shared" si="7"/>
        <v>MERU</v>
      </c>
      <c r="N203" s="55" t="str">
        <f>IF(A203="","",IFERROR(INDEX('Cluster Map'!$A$4:$A$38,MATCH(M203,'Cluster Map'!$B$4:$B$38,0)),"Unmapped"))</f>
        <v>Cluster 1</v>
      </c>
      <c r="O203" s="55">
        <f>IF(A203="",0,IF(COUNTIFS($A$2:A203,A203,$F$2:F203,F203,$L$2:L203,L203)=1,1,0))</f>
        <v>1</v>
      </c>
      <c r="P203" s="55">
        <f>IF(A203="",0,IF(AND(F203="C&amp;T",COUNTIFS($A$2:A203,A203,$F$2:F203,"C&amp;T")=1),1,0))</f>
        <v>1</v>
      </c>
    </row>
    <row r="204" spans="1:16" x14ac:dyDescent="0.35">
      <c r="A204" s="54">
        <f>IFERROR(IF(INDEX(SPOT_Import!$A$1:$Z$2488,204,'Live Data'!$C$12)="","",INDEX(SPOT_Import!$A$1:$Z$2488,204,'Live Data'!$C$12)),"")</f>
        <v>11928</v>
      </c>
      <c r="B204" s="54" t="str">
        <f>IFERROR(IF(INDEX(SPOT_Import!$A$1:$Z$2488,204,'Live Data'!$C$13)="","",INDEX(SPOT_Import!$A$1:$Z$2488,204,'Live Data'!$C$13)),"")</f>
        <v>Amugaa Health Centre</v>
      </c>
      <c r="C204" s="54" t="str">
        <f>IFERROR(IF(INDEX(SPOT_Import!$A$1:$Z$2488,204,'Live Data'!$C$14)="","",INDEX(SPOT_Import!$A$1:$Z$2488,204,'Live Data'!$C$14)),"")</f>
        <v>MERU</v>
      </c>
      <c r="D204" s="54" t="str">
        <f>IFERROR(IF(INDEX(SPOT_Import!$A$1:$Z$2488,204,'Live Data'!$C$15)="","",INDEX(SPOT_Import!$A$1:$Z$2488,204,'Live Data'!$C$15)),"")</f>
        <v>Tigania West</v>
      </c>
      <c r="E204" s="54" t="str">
        <f>IFERROR(IF(INDEX(SPOT_Import!$A$1:$Z$2488,204,'Live Data'!$C$16)="","",INDEX(SPOT_Import!$A$1:$Z$2488,204,'Live Data'!$C$16)),"")</f>
        <v>USAID Jamii Tekelezi</v>
      </c>
      <c r="F204" s="54" t="str">
        <f>IFERROR(IF(INDEX(SPOT_Import!$A$1:$Z$2488,204,'Live Data'!$C$17)="","",INDEX(SPOT_Import!$A$1:$Z$2488,204,'Live Data'!$C$17)),"")</f>
        <v>HTS</v>
      </c>
      <c r="G204" s="54">
        <f>IFERROR(IF(INDEX(SPOT_Import!$A$1:$Z$2488,204,'Live Data'!$C$18)="","",INDEX(SPOT_Import!$A$1:$Z$2488,204,'Live Data'!$C$18)),"")</f>
        <v>5</v>
      </c>
      <c r="H204" s="54">
        <f>IFERROR(IF(INDEX(SPOT_Import!$A$1:$Z$2488,204,'Live Data'!$C$19)="","",INDEX(SPOT_Import!$A$1:$Z$2488,204,'Live Data'!$C$19)),"")</f>
        <v>5</v>
      </c>
      <c r="I204" s="54" t="str">
        <f>IFERROR(IF(INDEX(SPOT_Import!$A$1:$Z$2488,204,'Live Data'!$C$20)="","",INDEX(SPOT_Import!$A$1:$Z$2488,204,'Live Data'!$C$20)),"")</f>
        <v>Complete</v>
      </c>
      <c r="J204" s="54" t="str">
        <f>IFERROR(IF(INDEX(SPOT_Import!$A$1:$Z$2488,204,'Live Data'!$C$21)="","",INDEX(SPOT_Import!$A$1:$Z$2488,204,'Live Data'!$C$21)),"")</f>
        <v>2026-10-07T12:22:53.000Z</v>
      </c>
      <c r="K204" s="54" t="str">
        <f>IFERROR(IF(INDEX(SPOT_Import!$A$1:$Z$2488,204,'Live Data'!$C$22)="","",INDEX(SPOT_Import!$A$1:$Z$2488,204,'Live Data'!$C$22)),"")</f>
        <v>2026-10-07T12:22:53.000Z</v>
      </c>
      <c r="L204" s="55" t="str">
        <f t="shared" si="6"/>
        <v>2026-10</v>
      </c>
      <c r="M204" s="55" t="str">
        <f t="shared" si="7"/>
        <v>MERU</v>
      </c>
      <c r="N204" s="55" t="str">
        <f>IF(A204="","",IFERROR(INDEX('Cluster Map'!$A$4:$A$38,MATCH(M204,'Cluster Map'!$B$4:$B$38,0)),"Unmapped"))</f>
        <v>Cluster 1</v>
      </c>
      <c r="O204" s="55">
        <f>IF(A204="",0,IF(COUNTIFS($A$2:A204,A204,$F$2:F204,F204,$L$2:L204,L204)=1,1,0))</f>
        <v>1</v>
      </c>
      <c r="P204" s="55">
        <f>IF(A204="",0,IF(AND(F204="C&amp;T",COUNTIFS($A$2:A204,A204,$F$2:F204,"C&amp;T")=1),1,0))</f>
        <v>0</v>
      </c>
    </row>
    <row r="205" spans="1:16" x14ac:dyDescent="0.35">
      <c r="A205" s="54">
        <f>IFERROR(IF(INDEX(SPOT_Import!$A$1:$Z$2488,205,'Live Data'!$C$12)="","",INDEX(SPOT_Import!$A$1:$Z$2488,205,'Live Data'!$C$12)),"")</f>
        <v>12500</v>
      </c>
      <c r="B205" s="54" t="str">
        <f>IFERROR(IF(INDEX(SPOT_Import!$A$1:$Z$2488,205,'Live Data'!$C$13)="","",INDEX(SPOT_Import!$A$1:$Z$2488,205,'Live Data'!$C$13)),"")</f>
        <v>Mbeu Sub-District Hospital</v>
      </c>
      <c r="C205" s="54" t="str">
        <f>IFERROR(IF(INDEX(SPOT_Import!$A$1:$Z$2488,205,'Live Data'!$C$14)="","",INDEX(SPOT_Import!$A$1:$Z$2488,205,'Live Data'!$C$14)),"")</f>
        <v>MERU</v>
      </c>
      <c r="D205" s="54" t="str">
        <f>IFERROR(IF(INDEX(SPOT_Import!$A$1:$Z$2488,205,'Live Data'!$C$15)="","",INDEX(SPOT_Import!$A$1:$Z$2488,205,'Live Data'!$C$15)),"")</f>
        <v>Tigania West</v>
      </c>
      <c r="E205" s="54" t="str">
        <f>IFERROR(IF(INDEX(SPOT_Import!$A$1:$Z$2488,205,'Live Data'!$C$16)="","",INDEX(SPOT_Import!$A$1:$Z$2488,205,'Live Data'!$C$16)),"")</f>
        <v>USAID Jamii Tekelezi</v>
      </c>
      <c r="F205" s="54" t="str">
        <f>IFERROR(IF(INDEX(SPOT_Import!$A$1:$Z$2488,205,'Live Data'!$C$17)="","",INDEX(SPOT_Import!$A$1:$Z$2488,205,'Live Data'!$C$17)),"")</f>
        <v>PREP</v>
      </c>
      <c r="G205" s="54">
        <f>IFERROR(IF(INDEX(SPOT_Import!$A$1:$Z$2488,205,'Live Data'!$C$18)="","",INDEX(SPOT_Import!$A$1:$Z$2488,205,'Live Data'!$C$18)),"")</f>
        <v>54</v>
      </c>
      <c r="H205" s="54">
        <f>IFERROR(IF(INDEX(SPOT_Import!$A$1:$Z$2488,205,'Live Data'!$C$19)="","",INDEX(SPOT_Import!$A$1:$Z$2488,205,'Live Data'!$C$19)),"")</f>
        <v>54</v>
      </c>
      <c r="I205" s="54" t="str">
        <f>IFERROR(IF(INDEX(SPOT_Import!$A$1:$Z$2488,205,'Live Data'!$C$20)="","",INDEX(SPOT_Import!$A$1:$Z$2488,205,'Live Data'!$C$20)),"")</f>
        <v>Complete</v>
      </c>
      <c r="J205" s="54" t="str">
        <f>IFERROR(IF(INDEX(SPOT_Import!$A$1:$Z$2488,205,'Live Data'!$C$21)="","",INDEX(SPOT_Import!$A$1:$Z$2488,205,'Live Data'!$C$21)),"")</f>
        <v>2026-10-07T12:12:55.000Z</v>
      </c>
      <c r="K205" s="54" t="str">
        <f>IFERROR(IF(INDEX(SPOT_Import!$A$1:$Z$2488,205,'Live Data'!$C$22)="","",INDEX(SPOT_Import!$A$1:$Z$2488,205,'Live Data'!$C$22)),"")</f>
        <v>2026-10-07T12:12:55.000Z</v>
      </c>
      <c r="L205" s="55" t="str">
        <f t="shared" si="6"/>
        <v>2026-10</v>
      </c>
      <c r="M205" s="55" t="str">
        <f t="shared" si="7"/>
        <v>MERU</v>
      </c>
      <c r="N205" s="55" t="str">
        <f>IF(A205="","",IFERROR(INDEX('Cluster Map'!$A$4:$A$38,MATCH(M205,'Cluster Map'!$B$4:$B$38,0)),"Unmapped"))</f>
        <v>Cluster 1</v>
      </c>
      <c r="O205" s="55">
        <f>IF(A205="",0,IF(COUNTIFS($A$2:A205,A205,$F$2:F205,F205,$L$2:L205,L205)=1,1,0))</f>
        <v>1</v>
      </c>
      <c r="P205" s="55">
        <f>IF(A205="",0,IF(AND(F205="C&amp;T",COUNTIFS($A$2:A205,A205,$F$2:F205,"C&amp;T")=1),1,0))</f>
        <v>0</v>
      </c>
    </row>
    <row r="206" spans="1:16" x14ac:dyDescent="0.35">
      <c r="A206" s="54">
        <f>IFERROR(IF(INDEX(SPOT_Import!$A$1:$Z$2488,206,'Live Data'!$C$12)="","",INDEX(SPOT_Import!$A$1:$Z$2488,206,'Live Data'!$C$12)),"")</f>
        <v>12500</v>
      </c>
      <c r="B206" s="54" t="str">
        <f>IFERROR(IF(INDEX(SPOT_Import!$A$1:$Z$2488,206,'Live Data'!$C$13)="","",INDEX(SPOT_Import!$A$1:$Z$2488,206,'Live Data'!$C$13)),"")</f>
        <v>Mbeu Sub-District Hospital</v>
      </c>
      <c r="C206" s="54" t="str">
        <f>IFERROR(IF(INDEX(SPOT_Import!$A$1:$Z$2488,206,'Live Data'!$C$14)="","",INDEX(SPOT_Import!$A$1:$Z$2488,206,'Live Data'!$C$14)),"")</f>
        <v>MERU</v>
      </c>
      <c r="D206" s="54" t="str">
        <f>IFERROR(IF(INDEX(SPOT_Import!$A$1:$Z$2488,206,'Live Data'!$C$15)="","",INDEX(SPOT_Import!$A$1:$Z$2488,206,'Live Data'!$C$15)),"")</f>
        <v>Tigania West</v>
      </c>
      <c r="E206" s="54" t="str">
        <f>IFERROR(IF(INDEX(SPOT_Import!$A$1:$Z$2488,206,'Live Data'!$C$16)="","",INDEX(SPOT_Import!$A$1:$Z$2488,206,'Live Data'!$C$16)),"")</f>
        <v>USAID Jamii Tekelezi</v>
      </c>
      <c r="F206" s="54" t="str">
        <f>IFERROR(IF(INDEX(SPOT_Import!$A$1:$Z$2488,206,'Live Data'!$C$17)="","",INDEX(SPOT_Import!$A$1:$Z$2488,206,'Live Data'!$C$17)),"")</f>
        <v>MNCH</v>
      </c>
      <c r="G206" s="54">
        <f>IFERROR(IF(INDEX(SPOT_Import!$A$1:$Z$2488,206,'Live Data'!$C$18)="","",INDEX(SPOT_Import!$A$1:$Z$2488,206,'Live Data'!$C$18)),"")</f>
        <v>76</v>
      </c>
      <c r="H206" s="54">
        <f>IFERROR(IF(INDEX(SPOT_Import!$A$1:$Z$2488,206,'Live Data'!$C$19)="","",INDEX(SPOT_Import!$A$1:$Z$2488,206,'Live Data'!$C$19)),"")</f>
        <v>76</v>
      </c>
      <c r="I206" s="54" t="str">
        <f>IFERROR(IF(INDEX(SPOT_Import!$A$1:$Z$2488,206,'Live Data'!$C$20)="","",INDEX(SPOT_Import!$A$1:$Z$2488,206,'Live Data'!$C$20)),"")</f>
        <v>Complete</v>
      </c>
      <c r="J206" s="54" t="str">
        <f>IFERROR(IF(INDEX(SPOT_Import!$A$1:$Z$2488,206,'Live Data'!$C$21)="","",INDEX(SPOT_Import!$A$1:$Z$2488,206,'Live Data'!$C$21)),"")</f>
        <v>2026-10-07T12:12:30.000Z</v>
      </c>
      <c r="K206" s="54" t="str">
        <f>IFERROR(IF(INDEX(SPOT_Import!$A$1:$Z$2488,206,'Live Data'!$C$22)="","",INDEX(SPOT_Import!$A$1:$Z$2488,206,'Live Data'!$C$22)),"")</f>
        <v>2026-10-07T12:12:30.000Z</v>
      </c>
      <c r="L206" s="55" t="str">
        <f t="shared" si="6"/>
        <v>2026-10</v>
      </c>
      <c r="M206" s="55" t="str">
        <f t="shared" si="7"/>
        <v>MERU</v>
      </c>
      <c r="N206" s="55" t="str">
        <f>IF(A206="","",IFERROR(INDEX('Cluster Map'!$A$4:$A$38,MATCH(M206,'Cluster Map'!$B$4:$B$38,0)),"Unmapped"))</f>
        <v>Cluster 1</v>
      </c>
      <c r="O206" s="55">
        <f>IF(A206="",0,IF(COUNTIFS($A$2:A206,A206,$F$2:F206,F206,$L$2:L206,L206)=1,1,0))</f>
        <v>1</v>
      </c>
      <c r="P206" s="55">
        <f>IF(A206="",0,IF(AND(F206="C&amp;T",COUNTIFS($A$2:A206,A206,$F$2:F206,"C&amp;T")=1),1,0))</f>
        <v>0</v>
      </c>
    </row>
    <row r="207" spans="1:16" x14ac:dyDescent="0.35">
      <c r="A207" s="54">
        <f>IFERROR(IF(INDEX(SPOT_Import!$A$1:$Z$2488,207,'Live Data'!$C$12)="","",INDEX(SPOT_Import!$A$1:$Z$2488,207,'Live Data'!$C$12)),"")</f>
        <v>12500</v>
      </c>
      <c r="B207" s="54" t="str">
        <f>IFERROR(IF(INDEX(SPOT_Import!$A$1:$Z$2488,207,'Live Data'!$C$13)="","",INDEX(SPOT_Import!$A$1:$Z$2488,207,'Live Data'!$C$13)),"")</f>
        <v>Mbeu Sub-District Hospital</v>
      </c>
      <c r="C207" s="54" t="str">
        <f>IFERROR(IF(INDEX(SPOT_Import!$A$1:$Z$2488,207,'Live Data'!$C$14)="","",INDEX(SPOT_Import!$A$1:$Z$2488,207,'Live Data'!$C$14)),"")</f>
        <v>MERU</v>
      </c>
      <c r="D207" s="54" t="str">
        <f>IFERROR(IF(INDEX(SPOT_Import!$A$1:$Z$2488,207,'Live Data'!$C$15)="","",INDEX(SPOT_Import!$A$1:$Z$2488,207,'Live Data'!$C$15)),"")</f>
        <v>Tigania West</v>
      </c>
      <c r="E207" s="54" t="str">
        <f>IFERROR(IF(INDEX(SPOT_Import!$A$1:$Z$2488,207,'Live Data'!$C$16)="","",INDEX(SPOT_Import!$A$1:$Z$2488,207,'Live Data'!$C$16)),"")</f>
        <v>USAID Jamii Tekelezi</v>
      </c>
      <c r="F207" s="54" t="str">
        <f>IFERROR(IF(INDEX(SPOT_Import!$A$1:$Z$2488,207,'Live Data'!$C$17)="","",INDEX(SPOT_Import!$A$1:$Z$2488,207,'Live Data'!$C$17)),"")</f>
        <v>HTS</v>
      </c>
      <c r="G207" s="54">
        <f>IFERROR(IF(INDEX(SPOT_Import!$A$1:$Z$2488,207,'Live Data'!$C$18)="","",INDEX(SPOT_Import!$A$1:$Z$2488,207,'Live Data'!$C$18)),"")</f>
        <v>1705</v>
      </c>
      <c r="H207" s="54">
        <f>IFERROR(IF(INDEX(SPOT_Import!$A$1:$Z$2488,207,'Live Data'!$C$19)="","",INDEX(SPOT_Import!$A$1:$Z$2488,207,'Live Data'!$C$19)),"")</f>
        <v>1705</v>
      </c>
      <c r="I207" s="54" t="str">
        <f>IFERROR(IF(INDEX(SPOT_Import!$A$1:$Z$2488,207,'Live Data'!$C$20)="","",INDEX(SPOT_Import!$A$1:$Z$2488,207,'Live Data'!$C$20)),"")</f>
        <v>Complete</v>
      </c>
      <c r="J207" s="54" t="str">
        <f>IFERROR(IF(INDEX(SPOT_Import!$A$1:$Z$2488,207,'Live Data'!$C$21)="","",INDEX(SPOT_Import!$A$1:$Z$2488,207,'Live Data'!$C$21)),"")</f>
        <v>2026-10-07T12:12:09.000Z</v>
      </c>
      <c r="K207" s="54" t="str">
        <f>IFERROR(IF(INDEX(SPOT_Import!$A$1:$Z$2488,207,'Live Data'!$C$22)="","",INDEX(SPOT_Import!$A$1:$Z$2488,207,'Live Data'!$C$22)),"")</f>
        <v>2026-10-07T12:12:09.000Z</v>
      </c>
      <c r="L207" s="55" t="str">
        <f t="shared" si="6"/>
        <v>2026-10</v>
      </c>
      <c r="M207" s="55" t="str">
        <f t="shared" si="7"/>
        <v>MERU</v>
      </c>
      <c r="N207" s="55" t="str">
        <f>IF(A207="","",IFERROR(INDEX('Cluster Map'!$A$4:$A$38,MATCH(M207,'Cluster Map'!$B$4:$B$38,0)),"Unmapped"))</f>
        <v>Cluster 1</v>
      </c>
      <c r="O207" s="55">
        <f>IF(A207="",0,IF(COUNTIFS($A$2:A207,A207,$F$2:F207,F207,$L$2:L207,L207)=1,1,0))</f>
        <v>1</v>
      </c>
      <c r="P207" s="55">
        <f>IF(A207="",0,IF(AND(F207="C&amp;T",COUNTIFS($A$2:A207,A207,$F$2:F207,"C&amp;T")=1),1,0))</f>
        <v>0</v>
      </c>
    </row>
    <row r="208" spans="1:16" x14ac:dyDescent="0.35">
      <c r="A208" s="54">
        <f>IFERROR(IF(INDEX(SPOT_Import!$A$1:$Z$2488,208,'Live Data'!$C$12)="","",INDEX(SPOT_Import!$A$1:$Z$2488,208,'Live Data'!$C$12)),"")</f>
        <v>12004</v>
      </c>
      <c r="B208" s="54" t="str">
        <f>IFERROR(IF(INDEX(SPOT_Import!$A$1:$Z$2488,208,'Live Data'!$C$13)="","",INDEX(SPOT_Import!$A$1:$Z$2488,208,'Live Data'!$C$13)),"")</f>
        <v>Embu Provincial General Hospital</v>
      </c>
      <c r="C208" s="54" t="str">
        <f>IFERROR(IF(INDEX(SPOT_Import!$A$1:$Z$2488,208,'Live Data'!$C$14)="","",INDEX(SPOT_Import!$A$1:$Z$2488,208,'Live Data'!$C$14)),"")</f>
        <v>EMBU</v>
      </c>
      <c r="D208" s="54" t="str">
        <f>IFERROR(IF(INDEX(SPOT_Import!$A$1:$Z$2488,208,'Live Data'!$C$15)="","",INDEX(SPOT_Import!$A$1:$Z$2488,208,'Live Data'!$C$15)),"")</f>
        <v>Manyatta</v>
      </c>
      <c r="E208" s="54" t="str">
        <f>IFERROR(IF(INDEX(SPOT_Import!$A$1:$Z$2488,208,'Live Data'!$C$16)="","",INDEX(SPOT_Import!$A$1:$Z$2488,208,'Live Data'!$C$16)),"")</f>
        <v>USAID Jamii Tekelezi</v>
      </c>
      <c r="F208" s="54" t="str">
        <f>IFERROR(IF(INDEX(SPOT_Import!$A$1:$Z$2488,208,'Live Data'!$C$17)="","",INDEX(SPOT_Import!$A$1:$Z$2488,208,'Live Data'!$C$17)),"")</f>
        <v>C&amp;T</v>
      </c>
      <c r="G208" s="54">
        <f>IFERROR(IF(INDEX(SPOT_Import!$A$1:$Z$2488,208,'Live Data'!$C$18)="","",INDEX(SPOT_Import!$A$1:$Z$2488,208,'Live Data'!$C$18)),"")</f>
        <v>8107</v>
      </c>
      <c r="H208" s="54">
        <f>IFERROR(IF(INDEX(SPOT_Import!$A$1:$Z$2488,208,'Live Data'!$C$19)="","",INDEX(SPOT_Import!$A$1:$Z$2488,208,'Live Data'!$C$19)),"")</f>
        <v>8107</v>
      </c>
      <c r="I208" s="54" t="str">
        <f>IFERROR(IF(INDEX(SPOT_Import!$A$1:$Z$2488,208,'Live Data'!$C$20)="","",INDEX(SPOT_Import!$A$1:$Z$2488,208,'Live Data'!$C$20)),"")</f>
        <v>Complete</v>
      </c>
      <c r="J208" s="54" t="str">
        <f>IFERROR(IF(INDEX(SPOT_Import!$A$1:$Z$2488,208,'Live Data'!$C$21)="","",INDEX(SPOT_Import!$A$1:$Z$2488,208,'Live Data'!$C$21)),"")</f>
        <v>2026-10-07T12:05:16.000Z</v>
      </c>
      <c r="K208" s="54" t="str">
        <f>IFERROR(IF(INDEX(SPOT_Import!$A$1:$Z$2488,208,'Live Data'!$C$22)="","",INDEX(SPOT_Import!$A$1:$Z$2488,208,'Live Data'!$C$22)),"")</f>
        <v>2026-10-07T12:05:16.000Z</v>
      </c>
      <c r="L208" s="55" t="str">
        <f t="shared" si="6"/>
        <v>2026-10</v>
      </c>
      <c r="M208" s="55" t="str">
        <f t="shared" si="7"/>
        <v>EMBU</v>
      </c>
      <c r="N208" s="55" t="str">
        <f>IF(A208="","",IFERROR(INDEX('Cluster Map'!$A$4:$A$38,MATCH(M208,'Cluster Map'!$B$4:$B$38,0)),"Unmapped"))</f>
        <v>Cluster 2</v>
      </c>
      <c r="O208" s="55">
        <f>IF(A208="",0,IF(COUNTIFS($A$2:A208,A208,$F$2:F208,F208,$L$2:L208,L208)=1,1,0))</f>
        <v>1</v>
      </c>
      <c r="P208" s="55">
        <f>IF(A208="",0,IF(AND(F208="C&amp;T",COUNTIFS($A$2:A208,A208,$F$2:F208,"C&amp;T")=1),1,0))</f>
        <v>1</v>
      </c>
    </row>
    <row r="209" spans="1:16" x14ac:dyDescent="0.35">
      <c r="A209" s="54">
        <f>IFERROR(IF(INDEX(SPOT_Import!$A$1:$Z$2488,209,'Live Data'!$C$12)="","",INDEX(SPOT_Import!$A$1:$Z$2488,209,'Live Data'!$C$12)),"")</f>
        <v>10832</v>
      </c>
      <c r="B209" s="54" t="str">
        <f>IFERROR(IF(INDEX(SPOT_Import!$A$1:$Z$2488,209,'Live Data'!$C$13)="","",INDEX(SPOT_Import!$A$1:$Z$2488,209,'Live Data'!$C$13)),"")</f>
        <v>Ndemi Health Centre</v>
      </c>
      <c r="C209" s="54" t="str">
        <f>IFERROR(IF(INDEX(SPOT_Import!$A$1:$Z$2488,209,'Live Data'!$C$14)="","",INDEX(SPOT_Import!$A$1:$Z$2488,209,'Live Data'!$C$14)),"")</f>
        <v>NYANDARUA</v>
      </c>
      <c r="D209" s="54" t="str">
        <f>IFERROR(IF(INDEX(SPOT_Import!$A$1:$Z$2488,209,'Live Data'!$C$15)="","",INDEX(SPOT_Import!$A$1:$Z$2488,209,'Live Data'!$C$15)),"")</f>
        <v>Kipipiri</v>
      </c>
      <c r="E209" s="54" t="str">
        <f>IFERROR(IF(INDEX(SPOT_Import!$A$1:$Z$2488,209,'Live Data'!$C$16)="","",INDEX(SPOT_Import!$A$1:$Z$2488,209,'Live Data'!$C$16)),"")</f>
        <v>USAID Jamii Tekelezi</v>
      </c>
      <c r="F209" s="54" t="str">
        <f>IFERROR(IF(INDEX(SPOT_Import!$A$1:$Z$2488,209,'Live Data'!$C$17)="","",INDEX(SPOT_Import!$A$1:$Z$2488,209,'Live Data'!$C$17)),"")</f>
        <v>C&amp;T</v>
      </c>
      <c r="G209" s="54">
        <f>IFERROR(IF(INDEX(SPOT_Import!$A$1:$Z$2488,209,'Live Data'!$C$18)="","",INDEX(SPOT_Import!$A$1:$Z$2488,209,'Live Data'!$C$18)),"")</f>
        <v>123</v>
      </c>
      <c r="H209" s="54">
        <f>IFERROR(IF(INDEX(SPOT_Import!$A$1:$Z$2488,209,'Live Data'!$C$19)="","",INDEX(SPOT_Import!$A$1:$Z$2488,209,'Live Data'!$C$19)),"")</f>
        <v>123</v>
      </c>
      <c r="I209" s="54" t="str">
        <f>IFERROR(IF(INDEX(SPOT_Import!$A$1:$Z$2488,209,'Live Data'!$C$20)="","",INDEX(SPOT_Import!$A$1:$Z$2488,209,'Live Data'!$C$20)),"")</f>
        <v>Complete</v>
      </c>
      <c r="J209" s="54" t="str">
        <f>IFERROR(IF(INDEX(SPOT_Import!$A$1:$Z$2488,209,'Live Data'!$C$21)="","",INDEX(SPOT_Import!$A$1:$Z$2488,209,'Live Data'!$C$21)),"")</f>
        <v>2026-10-07T12:03:08.000Z</v>
      </c>
      <c r="K209" s="54" t="str">
        <f>IFERROR(IF(INDEX(SPOT_Import!$A$1:$Z$2488,209,'Live Data'!$C$22)="","",INDEX(SPOT_Import!$A$1:$Z$2488,209,'Live Data'!$C$22)),"")</f>
        <v>2026-10-07T12:03:08.000Z</v>
      </c>
      <c r="L209" s="55" t="str">
        <f t="shared" si="6"/>
        <v>2026-10</v>
      </c>
      <c r="M209" s="55" t="str">
        <f t="shared" si="7"/>
        <v>NYANDARUA</v>
      </c>
      <c r="N209" s="55" t="str">
        <f>IF(A209="","",IFERROR(INDEX('Cluster Map'!$A$4:$A$38,MATCH(M209,'Cluster Map'!$B$4:$B$38,0)),"Unmapped"))</f>
        <v>Cluster 4</v>
      </c>
      <c r="O209" s="55">
        <f>IF(A209="",0,IF(COUNTIFS($A$2:A209,A209,$F$2:F209,F209,$L$2:L209,L209)=1,1,0))</f>
        <v>1</v>
      </c>
      <c r="P209" s="55">
        <f>IF(A209="",0,IF(AND(F209="C&amp;T",COUNTIFS($A$2:A209,A209,$F$2:F209,"C&amp;T")=1),1,0))</f>
        <v>1</v>
      </c>
    </row>
    <row r="210" spans="1:16" x14ac:dyDescent="0.35">
      <c r="A210" s="54">
        <f>IFERROR(IF(INDEX(SPOT_Import!$A$1:$Z$2488,210,'Live Data'!$C$12)="","",INDEX(SPOT_Import!$A$1:$Z$2488,210,'Live Data'!$C$12)),"")</f>
        <v>11928</v>
      </c>
      <c r="B210" s="54" t="str">
        <f>IFERROR(IF(INDEX(SPOT_Import!$A$1:$Z$2488,210,'Live Data'!$C$13)="","",INDEX(SPOT_Import!$A$1:$Z$2488,210,'Live Data'!$C$13)),"")</f>
        <v>Amugaa Health Centre</v>
      </c>
      <c r="C210" s="54" t="str">
        <f>IFERROR(IF(INDEX(SPOT_Import!$A$1:$Z$2488,210,'Live Data'!$C$14)="","",INDEX(SPOT_Import!$A$1:$Z$2488,210,'Live Data'!$C$14)),"")</f>
        <v>MERU</v>
      </c>
      <c r="D210" s="54" t="str">
        <f>IFERROR(IF(INDEX(SPOT_Import!$A$1:$Z$2488,210,'Live Data'!$C$15)="","",INDEX(SPOT_Import!$A$1:$Z$2488,210,'Live Data'!$C$15)),"")</f>
        <v>Tigania West</v>
      </c>
      <c r="E210" s="54" t="str">
        <f>IFERROR(IF(INDEX(SPOT_Import!$A$1:$Z$2488,210,'Live Data'!$C$16)="","",INDEX(SPOT_Import!$A$1:$Z$2488,210,'Live Data'!$C$16)),"")</f>
        <v>USAID Jamii Tekelezi</v>
      </c>
      <c r="F210" s="54" t="str">
        <f>IFERROR(IF(INDEX(SPOT_Import!$A$1:$Z$2488,210,'Live Data'!$C$17)="","",INDEX(SPOT_Import!$A$1:$Z$2488,210,'Live Data'!$C$17)),"")</f>
        <v>C&amp;T</v>
      </c>
      <c r="G210" s="54">
        <f>IFERROR(IF(INDEX(SPOT_Import!$A$1:$Z$2488,210,'Live Data'!$C$18)="","",INDEX(SPOT_Import!$A$1:$Z$2488,210,'Live Data'!$C$18)),"")</f>
        <v>33</v>
      </c>
      <c r="H210" s="54">
        <f>IFERROR(IF(INDEX(SPOT_Import!$A$1:$Z$2488,210,'Live Data'!$C$19)="","",INDEX(SPOT_Import!$A$1:$Z$2488,210,'Live Data'!$C$19)),"")</f>
        <v>33</v>
      </c>
      <c r="I210" s="54" t="str">
        <f>IFERROR(IF(INDEX(SPOT_Import!$A$1:$Z$2488,210,'Live Data'!$C$20)="","",INDEX(SPOT_Import!$A$1:$Z$2488,210,'Live Data'!$C$20)),"")</f>
        <v>Complete</v>
      </c>
      <c r="J210" s="54" t="str">
        <f>IFERROR(IF(INDEX(SPOT_Import!$A$1:$Z$2488,210,'Live Data'!$C$21)="","",INDEX(SPOT_Import!$A$1:$Z$2488,210,'Live Data'!$C$21)),"")</f>
        <v>2026-10-07T12:00:11.000Z</v>
      </c>
      <c r="K210" s="54" t="str">
        <f>IFERROR(IF(INDEX(SPOT_Import!$A$1:$Z$2488,210,'Live Data'!$C$22)="","",INDEX(SPOT_Import!$A$1:$Z$2488,210,'Live Data'!$C$22)),"")</f>
        <v>2026-10-07T12:00:11.000Z</v>
      </c>
      <c r="L210" s="55" t="str">
        <f t="shared" si="6"/>
        <v>2026-10</v>
      </c>
      <c r="M210" s="55" t="str">
        <f t="shared" si="7"/>
        <v>MERU</v>
      </c>
      <c r="N210" s="55" t="str">
        <f>IF(A210="","",IFERROR(INDEX('Cluster Map'!$A$4:$A$38,MATCH(M210,'Cluster Map'!$B$4:$B$38,0)),"Unmapped"))</f>
        <v>Cluster 1</v>
      </c>
      <c r="O210" s="55">
        <f>IF(A210="",0,IF(COUNTIFS($A$2:A210,A210,$F$2:F210,F210,$L$2:L210,L210)=1,1,0))</f>
        <v>1</v>
      </c>
      <c r="P210" s="55">
        <f>IF(A210="",0,IF(AND(F210="C&amp;T",COUNTIFS($A$2:A210,A210,$F$2:F210,"C&amp;T")=1),1,0))</f>
        <v>1</v>
      </c>
    </row>
    <row r="211" spans="1:16" x14ac:dyDescent="0.35">
      <c r="A211" s="54">
        <f>IFERROR(IF(INDEX(SPOT_Import!$A$1:$Z$2488,211,'Live Data'!$C$12)="","",INDEX(SPOT_Import!$A$1:$Z$2488,211,'Live Data'!$C$12)),"")</f>
        <v>17262</v>
      </c>
      <c r="B211" s="54" t="str">
        <f>IFERROR(IF(INDEX(SPOT_Import!$A$1:$Z$2488,211,'Live Data'!$C$13)="","",INDEX(SPOT_Import!$A$1:$Z$2488,211,'Live Data'!$C$13)),"")</f>
        <v>Kawiru Dispensary</v>
      </c>
      <c r="C211" s="54" t="str">
        <f>IFERROR(IF(INDEX(SPOT_Import!$A$1:$Z$2488,211,'Live Data'!$C$14)="","",INDEX(SPOT_Import!$A$1:$Z$2488,211,'Live Data'!$C$14)),"")</f>
        <v>MERU</v>
      </c>
      <c r="D211" s="54" t="str">
        <f>IFERROR(IF(INDEX(SPOT_Import!$A$1:$Z$2488,211,'Live Data'!$C$15)="","",INDEX(SPOT_Import!$A$1:$Z$2488,211,'Live Data'!$C$15)),"")</f>
        <v>Igembe Central</v>
      </c>
      <c r="E211" s="54" t="str">
        <f>IFERROR(IF(INDEX(SPOT_Import!$A$1:$Z$2488,211,'Live Data'!$C$16)="","",INDEX(SPOT_Import!$A$1:$Z$2488,211,'Live Data'!$C$16)),"")</f>
        <v>USAID Jamii Tekelezi</v>
      </c>
      <c r="F211" s="54" t="str">
        <f>IFERROR(IF(INDEX(SPOT_Import!$A$1:$Z$2488,211,'Live Data'!$C$17)="","",INDEX(SPOT_Import!$A$1:$Z$2488,211,'Live Data'!$C$17)),"")</f>
        <v>HTS</v>
      </c>
      <c r="G211" s="54">
        <f>IFERROR(IF(INDEX(SPOT_Import!$A$1:$Z$2488,211,'Live Data'!$C$18)="","",INDEX(SPOT_Import!$A$1:$Z$2488,211,'Live Data'!$C$18)),"")</f>
        <v>30</v>
      </c>
      <c r="H211" s="54">
        <f>IFERROR(IF(INDEX(SPOT_Import!$A$1:$Z$2488,211,'Live Data'!$C$19)="","",INDEX(SPOT_Import!$A$1:$Z$2488,211,'Live Data'!$C$19)),"")</f>
        <v>30</v>
      </c>
      <c r="I211" s="54" t="str">
        <f>IFERROR(IF(INDEX(SPOT_Import!$A$1:$Z$2488,211,'Live Data'!$C$20)="","",INDEX(SPOT_Import!$A$1:$Z$2488,211,'Live Data'!$C$20)),"")</f>
        <v>Complete</v>
      </c>
      <c r="J211" s="54" t="str">
        <f>IFERROR(IF(INDEX(SPOT_Import!$A$1:$Z$2488,211,'Live Data'!$C$21)="","",INDEX(SPOT_Import!$A$1:$Z$2488,211,'Live Data'!$C$21)),"")</f>
        <v>2026-10-07T11:56:55.000Z</v>
      </c>
      <c r="K211" s="54" t="str">
        <f>IFERROR(IF(INDEX(SPOT_Import!$A$1:$Z$2488,211,'Live Data'!$C$22)="","",INDEX(SPOT_Import!$A$1:$Z$2488,211,'Live Data'!$C$22)),"")</f>
        <v>2026-10-07T11:56:55.000Z</v>
      </c>
      <c r="L211" s="55" t="str">
        <f t="shared" si="6"/>
        <v>2026-10</v>
      </c>
      <c r="M211" s="55" t="str">
        <f t="shared" si="7"/>
        <v>MERU</v>
      </c>
      <c r="N211" s="55" t="str">
        <f>IF(A211="","",IFERROR(INDEX('Cluster Map'!$A$4:$A$38,MATCH(M211,'Cluster Map'!$B$4:$B$38,0)),"Unmapped"))</f>
        <v>Cluster 1</v>
      </c>
      <c r="O211" s="55">
        <f>IF(A211="",0,IF(COUNTIFS($A$2:A211,A211,$F$2:F211,F211,$L$2:L211,L211)=1,1,0))</f>
        <v>1</v>
      </c>
      <c r="P211" s="55">
        <f>IF(A211="",0,IF(AND(F211="C&amp;T",COUNTIFS($A$2:A211,A211,$F$2:F211,"C&amp;T")=1),1,0))</f>
        <v>0</v>
      </c>
    </row>
    <row r="212" spans="1:16" x14ac:dyDescent="0.35">
      <c r="A212" s="54">
        <f>IFERROR(IF(INDEX(SPOT_Import!$A$1:$Z$2488,212,'Live Data'!$C$12)="","",INDEX(SPOT_Import!$A$1:$Z$2488,212,'Live Data'!$C$12)),"")</f>
        <v>12500</v>
      </c>
      <c r="B212" s="54" t="str">
        <f>IFERROR(IF(INDEX(SPOT_Import!$A$1:$Z$2488,212,'Live Data'!$C$13)="","",INDEX(SPOT_Import!$A$1:$Z$2488,212,'Live Data'!$C$13)),"")</f>
        <v>Mbeu Sub-District Hospital</v>
      </c>
      <c r="C212" s="54" t="str">
        <f>IFERROR(IF(INDEX(SPOT_Import!$A$1:$Z$2488,212,'Live Data'!$C$14)="","",INDEX(SPOT_Import!$A$1:$Z$2488,212,'Live Data'!$C$14)),"")</f>
        <v>MERU</v>
      </c>
      <c r="D212" s="54" t="str">
        <f>IFERROR(IF(INDEX(SPOT_Import!$A$1:$Z$2488,212,'Live Data'!$C$15)="","",INDEX(SPOT_Import!$A$1:$Z$2488,212,'Live Data'!$C$15)),"")</f>
        <v>Tigania West</v>
      </c>
      <c r="E212" s="54" t="str">
        <f>IFERROR(IF(INDEX(SPOT_Import!$A$1:$Z$2488,212,'Live Data'!$C$16)="","",INDEX(SPOT_Import!$A$1:$Z$2488,212,'Live Data'!$C$16)),"")</f>
        <v>USAID Jamii Tekelezi</v>
      </c>
      <c r="F212" s="54" t="str">
        <f>IFERROR(IF(INDEX(SPOT_Import!$A$1:$Z$2488,212,'Live Data'!$C$17)="","",INDEX(SPOT_Import!$A$1:$Z$2488,212,'Live Data'!$C$17)),"")</f>
        <v>C&amp;T</v>
      </c>
      <c r="G212" s="54">
        <f>IFERROR(IF(INDEX(SPOT_Import!$A$1:$Z$2488,212,'Live Data'!$C$18)="","",INDEX(SPOT_Import!$A$1:$Z$2488,212,'Live Data'!$C$18)),"")</f>
        <v>317</v>
      </c>
      <c r="H212" s="54">
        <f>IFERROR(IF(INDEX(SPOT_Import!$A$1:$Z$2488,212,'Live Data'!$C$19)="","",INDEX(SPOT_Import!$A$1:$Z$2488,212,'Live Data'!$C$19)),"")</f>
        <v>317</v>
      </c>
      <c r="I212" s="54" t="str">
        <f>IFERROR(IF(INDEX(SPOT_Import!$A$1:$Z$2488,212,'Live Data'!$C$20)="","",INDEX(SPOT_Import!$A$1:$Z$2488,212,'Live Data'!$C$20)),"")</f>
        <v>Complete</v>
      </c>
      <c r="J212" s="54" t="str">
        <f>IFERROR(IF(INDEX(SPOT_Import!$A$1:$Z$2488,212,'Live Data'!$C$21)="","",INDEX(SPOT_Import!$A$1:$Z$2488,212,'Live Data'!$C$21)),"")</f>
        <v>2026-10-07T11:48:50.000Z</v>
      </c>
      <c r="K212" s="54" t="str">
        <f>IFERROR(IF(INDEX(SPOT_Import!$A$1:$Z$2488,212,'Live Data'!$C$22)="","",INDEX(SPOT_Import!$A$1:$Z$2488,212,'Live Data'!$C$22)),"")</f>
        <v>2026-10-07T11:48:50.000Z</v>
      </c>
      <c r="L212" s="55" t="str">
        <f t="shared" si="6"/>
        <v>2026-10</v>
      </c>
      <c r="M212" s="55" t="str">
        <f t="shared" si="7"/>
        <v>MERU</v>
      </c>
      <c r="N212" s="55" t="str">
        <f>IF(A212="","",IFERROR(INDEX('Cluster Map'!$A$4:$A$38,MATCH(M212,'Cluster Map'!$B$4:$B$38,0)),"Unmapped"))</f>
        <v>Cluster 1</v>
      </c>
      <c r="O212" s="55">
        <f>IF(A212="",0,IF(COUNTIFS($A$2:A212,A212,$F$2:F212,F212,$L$2:L212,L212)=1,1,0))</f>
        <v>1</v>
      </c>
      <c r="P212" s="55">
        <f>IF(A212="",0,IF(AND(F212="C&amp;T",COUNTIFS($A$2:A212,A212,$F$2:F212,"C&amp;T")=1),1,0))</f>
        <v>1</v>
      </c>
    </row>
    <row r="213" spans="1:16" x14ac:dyDescent="0.35">
      <c r="A213" s="54">
        <f>IFERROR(IF(INDEX(SPOT_Import!$A$1:$Z$2488,213,'Live Data'!$C$12)="","",INDEX(SPOT_Import!$A$1:$Z$2488,213,'Live Data'!$C$12)),"")</f>
        <v>12282</v>
      </c>
      <c r="B213" s="54" t="str">
        <f>IFERROR(IF(INDEX(SPOT_Import!$A$1:$Z$2488,213,'Live Data'!$C$13)="","",INDEX(SPOT_Import!$A$1:$Z$2488,213,'Live Data'!$C$13)),"")</f>
        <v>Kibirichia Sub-district Hospital</v>
      </c>
      <c r="C213" s="54" t="str">
        <f>IFERROR(IF(INDEX(SPOT_Import!$A$1:$Z$2488,213,'Live Data'!$C$14)="","",INDEX(SPOT_Import!$A$1:$Z$2488,213,'Live Data'!$C$14)),"")</f>
        <v>MERU</v>
      </c>
      <c r="D213" s="54" t="str">
        <f>IFERROR(IF(INDEX(SPOT_Import!$A$1:$Z$2488,213,'Live Data'!$C$15)="","",INDEX(SPOT_Import!$A$1:$Z$2488,213,'Live Data'!$C$15)),"")</f>
        <v>Buuri</v>
      </c>
      <c r="E213" s="54" t="str">
        <f>IFERROR(IF(INDEX(SPOT_Import!$A$1:$Z$2488,213,'Live Data'!$C$16)="","",INDEX(SPOT_Import!$A$1:$Z$2488,213,'Live Data'!$C$16)),"")</f>
        <v>USAID Jamii Tekelezi</v>
      </c>
      <c r="F213" s="54" t="str">
        <f>IFERROR(IF(INDEX(SPOT_Import!$A$1:$Z$2488,213,'Live Data'!$C$17)="","",INDEX(SPOT_Import!$A$1:$Z$2488,213,'Live Data'!$C$17)),"")</f>
        <v>PREP</v>
      </c>
      <c r="G213" s="54">
        <f>IFERROR(IF(INDEX(SPOT_Import!$A$1:$Z$2488,213,'Live Data'!$C$18)="","",INDEX(SPOT_Import!$A$1:$Z$2488,213,'Live Data'!$C$18)),"")</f>
        <v>28</v>
      </c>
      <c r="H213" s="54">
        <f>IFERROR(IF(INDEX(SPOT_Import!$A$1:$Z$2488,213,'Live Data'!$C$19)="","",INDEX(SPOT_Import!$A$1:$Z$2488,213,'Live Data'!$C$19)),"")</f>
        <v>28</v>
      </c>
      <c r="I213" s="54" t="str">
        <f>IFERROR(IF(INDEX(SPOT_Import!$A$1:$Z$2488,213,'Live Data'!$C$20)="","",INDEX(SPOT_Import!$A$1:$Z$2488,213,'Live Data'!$C$20)),"")</f>
        <v>Complete</v>
      </c>
      <c r="J213" s="54" t="str">
        <f>IFERROR(IF(INDEX(SPOT_Import!$A$1:$Z$2488,213,'Live Data'!$C$21)="","",INDEX(SPOT_Import!$A$1:$Z$2488,213,'Live Data'!$C$21)),"")</f>
        <v>2026-10-07T11:48:08.000Z</v>
      </c>
      <c r="K213" s="54" t="str">
        <f>IFERROR(IF(INDEX(SPOT_Import!$A$1:$Z$2488,213,'Live Data'!$C$22)="","",INDEX(SPOT_Import!$A$1:$Z$2488,213,'Live Data'!$C$22)),"")</f>
        <v>2026-10-07T11:48:08.000Z</v>
      </c>
      <c r="L213" s="55" t="str">
        <f t="shared" si="6"/>
        <v>2026-10</v>
      </c>
      <c r="M213" s="55" t="str">
        <f t="shared" si="7"/>
        <v>MERU</v>
      </c>
      <c r="N213" s="55" t="str">
        <f>IF(A213="","",IFERROR(INDEX('Cluster Map'!$A$4:$A$38,MATCH(M213,'Cluster Map'!$B$4:$B$38,0)),"Unmapped"))</f>
        <v>Cluster 1</v>
      </c>
      <c r="O213" s="55">
        <f>IF(A213="",0,IF(COUNTIFS($A$2:A213,A213,$F$2:F213,F213,$L$2:L213,L213)=1,1,0))</f>
        <v>1</v>
      </c>
      <c r="P213" s="55">
        <f>IF(A213="",0,IF(AND(F213="C&amp;T",COUNTIFS($A$2:A213,A213,$F$2:F213,"C&amp;T")=1),1,0))</f>
        <v>0</v>
      </c>
    </row>
    <row r="214" spans="1:16" x14ac:dyDescent="0.35">
      <c r="A214" s="54">
        <f>IFERROR(IF(INDEX(SPOT_Import!$A$1:$Z$2488,214,'Live Data'!$C$12)="","",INDEX(SPOT_Import!$A$1:$Z$2488,214,'Live Data'!$C$12)),"")</f>
        <v>12282</v>
      </c>
      <c r="B214" s="54" t="str">
        <f>IFERROR(IF(INDEX(SPOT_Import!$A$1:$Z$2488,214,'Live Data'!$C$13)="","",INDEX(SPOT_Import!$A$1:$Z$2488,214,'Live Data'!$C$13)),"")</f>
        <v>Kibirichia Sub-district Hospital</v>
      </c>
      <c r="C214" s="54" t="str">
        <f>IFERROR(IF(INDEX(SPOT_Import!$A$1:$Z$2488,214,'Live Data'!$C$14)="","",INDEX(SPOT_Import!$A$1:$Z$2488,214,'Live Data'!$C$14)),"")</f>
        <v>MERU</v>
      </c>
      <c r="D214" s="54" t="str">
        <f>IFERROR(IF(INDEX(SPOT_Import!$A$1:$Z$2488,214,'Live Data'!$C$15)="","",INDEX(SPOT_Import!$A$1:$Z$2488,214,'Live Data'!$C$15)),"")</f>
        <v>Buuri</v>
      </c>
      <c r="E214" s="54" t="str">
        <f>IFERROR(IF(INDEX(SPOT_Import!$A$1:$Z$2488,214,'Live Data'!$C$16)="","",INDEX(SPOT_Import!$A$1:$Z$2488,214,'Live Data'!$C$16)),"")</f>
        <v>USAID Jamii Tekelezi</v>
      </c>
      <c r="F214" s="54" t="str">
        <f>IFERROR(IF(INDEX(SPOT_Import!$A$1:$Z$2488,214,'Live Data'!$C$17)="","",INDEX(SPOT_Import!$A$1:$Z$2488,214,'Live Data'!$C$17)),"")</f>
        <v>MNCH</v>
      </c>
      <c r="G214" s="54">
        <f>IFERROR(IF(INDEX(SPOT_Import!$A$1:$Z$2488,214,'Live Data'!$C$18)="","",INDEX(SPOT_Import!$A$1:$Z$2488,214,'Live Data'!$C$18)),"")</f>
        <v>79</v>
      </c>
      <c r="H214" s="54">
        <f>IFERROR(IF(INDEX(SPOT_Import!$A$1:$Z$2488,214,'Live Data'!$C$19)="","",INDEX(SPOT_Import!$A$1:$Z$2488,214,'Live Data'!$C$19)),"")</f>
        <v>79</v>
      </c>
      <c r="I214" s="54" t="str">
        <f>IFERROR(IF(INDEX(SPOT_Import!$A$1:$Z$2488,214,'Live Data'!$C$20)="","",INDEX(SPOT_Import!$A$1:$Z$2488,214,'Live Data'!$C$20)),"")</f>
        <v>Complete</v>
      </c>
      <c r="J214" s="54" t="str">
        <f>IFERROR(IF(INDEX(SPOT_Import!$A$1:$Z$2488,214,'Live Data'!$C$21)="","",INDEX(SPOT_Import!$A$1:$Z$2488,214,'Live Data'!$C$21)),"")</f>
        <v>2026-10-07T11:48:01.000Z</v>
      </c>
      <c r="K214" s="54" t="str">
        <f>IFERROR(IF(INDEX(SPOT_Import!$A$1:$Z$2488,214,'Live Data'!$C$22)="","",INDEX(SPOT_Import!$A$1:$Z$2488,214,'Live Data'!$C$22)),"")</f>
        <v>2026-10-07T11:48:01.000Z</v>
      </c>
      <c r="L214" s="55" t="str">
        <f t="shared" si="6"/>
        <v>2026-10</v>
      </c>
      <c r="M214" s="55" t="str">
        <f t="shared" si="7"/>
        <v>MERU</v>
      </c>
      <c r="N214" s="55" t="str">
        <f>IF(A214="","",IFERROR(INDEX('Cluster Map'!$A$4:$A$38,MATCH(M214,'Cluster Map'!$B$4:$B$38,0)),"Unmapped"))</f>
        <v>Cluster 1</v>
      </c>
      <c r="O214" s="55">
        <f>IF(A214="",0,IF(COUNTIFS($A$2:A214,A214,$F$2:F214,F214,$L$2:L214,L214)=1,1,0))</f>
        <v>1</v>
      </c>
      <c r="P214" s="55">
        <f>IF(A214="",0,IF(AND(F214="C&amp;T",COUNTIFS($A$2:A214,A214,$F$2:F214,"C&amp;T")=1),1,0))</f>
        <v>0</v>
      </c>
    </row>
    <row r="215" spans="1:16" x14ac:dyDescent="0.35">
      <c r="A215" s="54">
        <f>IFERROR(IF(INDEX(SPOT_Import!$A$1:$Z$2488,215,'Live Data'!$C$12)="","",INDEX(SPOT_Import!$A$1:$Z$2488,215,'Live Data'!$C$12)),"")</f>
        <v>12282</v>
      </c>
      <c r="B215" s="54" t="str">
        <f>IFERROR(IF(INDEX(SPOT_Import!$A$1:$Z$2488,215,'Live Data'!$C$13)="","",INDEX(SPOT_Import!$A$1:$Z$2488,215,'Live Data'!$C$13)),"")</f>
        <v>Kibirichia Sub-district Hospital</v>
      </c>
      <c r="C215" s="54" t="str">
        <f>IFERROR(IF(INDEX(SPOT_Import!$A$1:$Z$2488,215,'Live Data'!$C$14)="","",INDEX(SPOT_Import!$A$1:$Z$2488,215,'Live Data'!$C$14)),"")</f>
        <v>MERU</v>
      </c>
      <c r="D215" s="54" t="str">
        <f>IFERROR(IF(INDEX(SPOT_Import!$A$1:$Z$2488,215,'Live Data'!$C$15)="","",INDEX(SPOT_Import!$A$1:$Z$2488,215,'Live Data'!$C$15)),"")</f>
        <v>Buuri</v>
      </c>
      <c r="E215" s="54" t="str">
        <f>IFERROR(IF(INDEX(SPOT_Import!$A$1:$Z$2488,215,'Live Data'!$C$16)="","",INDEX(SPOT_Import!$A$1:$Z$2488,215,'Live Data'!$C$16)),"")</f>
        <v>USAID Jamii Tekelezi</v>
      </c>
      <c r="F215" s="54" t="str">
        <f>IFERROR(IF(INDEX(SPOT_Import!$A$1:$Z$2488,215,'Live Data'!$C$17)="","",INDEX(SPOT_Import!$A$1:$Z$2488,215,'Live Data'!$C$17)),"")</f>
        <v>HTS</v>
      </c>
      <c r="G215" s="54">
        <f>IFERROR(IF(INDEX(SPOT_Import!$A$1:$Z$2488,215,'Live Data'!$C$18)="","",INDEX(SPOT_Import!$A$1:$Z$2488,215,'Live Data'!$C$18)),"")</f>
        <v>972</v>
      </c>
      <c r="H215" s="54">
        <f>IFERROR(IF(INDEX(SPOT_Import!$A$1:$Z$2488,215,'Live Data'!$C$19)="","",INDEX(SPOT_Import!$A$1:$Z$2488,215,'Live Data'!$C$19)),"")</f>
        <v>972</v>
      </c>
      <c r="I215" s="54" t="str">
        <f>IFERROR(IF(INDEX(SPOT_Import!$A$1:$Z$2488,215,'Live Data'!$C$20)="","",INDEX(SPOT_Import!$A$1:$Z$2488,215,'Live Data'!$C$20)),"")</f>
        <v>Complete</v>
      </c>
      <c r="J215" s="54" t="str">
        <f>IFERROR(IF(INDEX(SPOT_Import!$A$1:$Z$2488,215,'Live Data'!$C$21)="","",INDEX(SPOT_Import!$A$1:$Z$2488,215,'Live Data'!$C$21)),"")</f>
        <v>2026-10-07T11:47:45.000Z</v>
      </c>
      <c r="K215" s="54" t="str">
        <f>IFERROR(IF(INDEX(SPOT_Import!$A$1:$Z$2488,215,'Live Data'!$C$22)="","",INDEX(SPOT_Import!$A$1:$Z$2488,215,'Live Data'!$C$22)),"")</f>
        <v>2026-10-07T11:47:45.000Z</v>
      </c>
      <c r="L215" s="55" t="str">
        <f t="shared" si="6"/>
        <v>2026-10</v>
      </c>
      <c r="M215" s="55" t="str">
        <f t="shared" si="7"/>
        <v>MERU</v>
      </c>
      <c r="N215" s="55" t="str">
        <f>IF(A215="","",IFERROR(INDEX('Cluster Map'!$A$4:$A$38,MATCH(M215,'Cluster Map'!$B$4:$B$38,0)),"Unmapped"))</f>
        <v>Cluster 1</v>
      </c>
      <c r="O215" s="55">
        <f>IF(A215="",0,IF(COUNTIFS($A$2:A215,A215,$F$2:F215,F215,$L$2:L215,L215)=1,1,0))</f>
        <v>1</v>
      </c>
      <c r="P215" s="55">
        <f>IF(A215="",0,IF(AND(F215="C&amp;T",COUNTIFS($A$2:A215,A215,$F$2:F215,"C&amp;T")=1),1,0))</f>
        <v>0</v>
      </c>
    </row>
    <row r="216" spans="1:16" x14ac:dyDescent="0.35">
      <c r="A216" s="54">
        <f>IFERROR(IF(INDEX(SPOT_Import!$A$1:$Z$2488,216,'Live Data'!$C$12)="","",INDEX(SPOT_Import!$A$1:$Z$2488,216,'Live Data'!$C$12)),"")</f>
        <v>17262</v>
      </c>
      <c r="B216" s="54" t="str">
        <f>IFERROR(IF(INDEX(SPOT_Import!$A$1:$Z$2488,216,'Live Data'!$C$13)="","",INDEX(SPOT_Import!$A$1:$Z$2488,216,'Live Data'!$C$13)),"")</f>
        <v>Kawiru Dispensary</v>
      </c>
      <c r="C216" s="54" t="str">
        <f>IFERROR(IF(INDEX(SPOT_Import!$A$1:$Z$2488,216,'Live Data'!$C$14)="","",INDEX(SPOT_Import!$A$1:$Z$2488,216,'Live Data'!$C$14)),"")</f>
        <v>MERU</v>
      </c>
      <c r="D216" s="54" t="str">
        <f>IFERROR(IF(INDEX(SPOT_Import!$A$1:$Z$2488,216,'Live Data'!$C$15)="","",INDEX(SPOT_Import!$A$1:$Z$2488,216,'Live Data'!$C$15)),"")</f>
        <v>Igembe Central</v>
      </c>
      <c r="E216" s="54" t="str">
        <f>IFERROR(IF(INDEX(SPOT_Import!$A$1:$Z$2488,216,'Live Data'!$C$16)="","",INDEX(SPOT_Import!$A$1:$Z$2488,216,'Live Data'!$C$16)),"")</f>
        <v>USAID Jamii Tekelezi</v>
      </c>
      <c r="F216" s="54" t="str">
        <f>IFERROR(IF(INDEX(SPOT_Import!$A$1:$Z$2488,216,'Live Data'!$C$17)="","",INDEX(SPOT_Import!$A$1:$Z$2488,216,'Live Data'!$C$17)),"")</f>
        <v>C&amp;T</v>
      </c>
      <c r="G216" s="54">
        <f>IFERROR(IF(INDEX(SPOT_Import!$A$1:$Z$2488,216,'Live Data'!$C$18)="","",INDEX(SPOT_Import!$A$1:$Z$2488,216,'Live Data'!$C$18)),"")</f>
        <v>150</v>
      </c>
      <c r="H216" s="54">
        <f>IFERROR(IF(INDEX(SPOT_Import!$A$1:$Z$2488,216,'Live Data'!$C$19)="","",INDEX(SPOT_Import!$A$1:$Z$2488,216,'Live Data'!$C$19)),"")</f>
        <v>150</v>
      </c>
      <c r="I216" s="54" t="str">
        <f>IFERROR(IF(INDEX(SPOT_Import!$A$1:$Z$2488,216,'Live Data'!$C$20)="","",INDEX(SPOT_Import!$A$1:$Z$2488,216,'Live Data'!$C$20)),"")</f>
        <v>Complete</v>
      </c>
      <c r="J216" s="54" t="str">
        <f>IFERROR(IF(INDEX(SPOT_Import!$A$1:$Z$2488,216,'Live Data'!$C$21)="","",INDEX(SPOT_Import!$A$1:$Z$2488,216,'Live Data'!$C$21)),"")</f>
        <v>2026-10-07T11:33:02.000Z</v>
      </c>
      <c r="K216" s="54" t="str">
        <f>IFERROR(IF(INDEX(SPOT_Import!$A$1:$Z$2488,216,'Live Data'!$C$22)="","",INDEX(SPOT_Import!$A$1:$Z$2488,216,'Live Data'!$C$22)),"")</f>
        <v>2026-10-07T11:33:02.000Z</v>
      </c>
      <c r="L216" s="55" t="str">
        <f t="shared" si="6"/>
        <v>2026-10</v>
      </c>
      <c r="M216" s="55" t="str">
        <f t="shared" si="7"/>
        <v>MERU</v>
      </c>
      <c r="N216" s="55" t="str">
        <f>IF(A216="","",IFERROR(INDEX('Cluster Map'!$A$4:$A$38,MATCH(M216,'Cluster Map'!$B$4:$B$38,0)),"Unmapped"))</f>
        <v>Cluster 1</v>
      </c>
      <c r="O216" s="55">
        <f>IF(A216="",0,IF(COUNTIFS($A$2:A216,A216,$F$2:F216,F216,$L$2:L216,L216)=1,1,0))</f>
        <v>1</v>
      </c>
      <c r="P216" s="55">
        <f>IF(A216="",0,IF(AND(F216="C&amp;T",COUNTIFS($A$2:A216,A216,$F$2:F216,"C&amp;T")=1),1,0))</f>
        <v>1</v>
      </c>
    </row>
    <row r="217" spans="1:16" x14ac:dyDescent="0.35">
      <c r="A217" s="54">
        <f>IFERROR(IF(INDEX(SPOT_Import!$A$1:$Z$2488,217,'Live Data'!$C$12)="","",INDEX(SPOT_Import!$A$1:$Z$2488,217,'Live Data'!$C$12)),"")</f>
        <v>12031</v>
      </c>
      <c r="B217" s="54" t="str">
        <f>IFERROR(IF(INDEX(SPOT_Import!$A$1:$Z$2488,217,'Live Data'!$C$13)="","",INDEX(SPOT_Import!$A$1:$Z$2488,217,'Live Data'!$C$13)),"")</f>
        <v>Gatimbi Health Centre</v>
      </c>
      <c r="C217" s="54" t="str">
        <f>IFERROR(IF(INDEX(SPOT_Import!$A$1:$Z$2488,217,'Live Data'!$C$14)="","",INDEX(SPOT_Import!$A$1:$Z$2488,217,'Live Data'!$C$14)),"")</f>
        <v>MERU</v>
      </c>
      <c r="D217" s="54" t="str">
        <f>IFERROR(IF(INDEX(SPOT_Import!$A$1:$Z$2488,217,'Live Data'!$C$15)="","",INDEX(SPOT_Import!$A$1:$Z$2488,217,'Live Data'!$C$15)),"")</f>
        <v>Imenti Central</v>
      </c>
      <c r="E217" s="54" t="str">
        <f>IFERROR(IF(INDEX(SPOT_Import!$A$1:$Z$2488,217,'Live Data'!$C$16)="","",INDEX(SPOT_Import!$A$1:$Z$2488,217,'Live Data'!$C$16)),"")</f>
        <v>USAID Jamii Tekelezi</v>
      </c>
      <c r="F217" s="54" t="str">
        <f>IFERROR(IF(INDEX(SPOT_Import!$A$1:$Z$2488,217,'Live Data'!$C$17)="","",INDEX(SPOT_Import!$A$1:$Z$2488,217,'Live Data'!$C$17)),"")</f>
        <v>PREP</v>
      </c>
      <c r="G217" s="54">
        <f>IFERROR(IF(INDEX(SPOT_Import!$A$1:$Z$2488,217,'Live Data'!$C$18)="","",INDEX(SPOT_Import!$A$1:$Z$2488,217,'Live Data'!$C$18)),"")</f>
        <v>42</v>
      </c>
      <c r="H217" s="54">
        <f>IFERROR(IF(INDEX(SPOT_Import!$A$1:$Z$2488,217,'Live Data'!$C$19)="","",INDEX(SPOT_Import!$A$1:$Z$2488,217,'Live Data'!$C$19)),"")</f>
        <v>42</v>
      </c>
      <c r="I217" s="54" t="str">
        <f>IFERROR(IF(INDEX(SPOT_Import!$A$1:$Z$2488,217,'Live Data'!$C$20)="","",INDEX(SPOT_Import!$A$1:$Z$2488,217,'Live Data'!$C$20)),"")</f>
        <v>Complete</v>
      </c>
      <c r="J217" s="54" t="str">
        <f>IFERROR(IF(INDEX(SPOT_Import!$A$1:$Z$2488,217,'Live Data'!$C$21)="","",INDEX(SPOT_Import!$A$1:$Z$2488,217,'Live Data'!$C$21)),"")</f>
        <v>2026-10-07T11:21:33.000Z</v>
      </c>
      <c r="K217" s="54" t="str">
        <f>IFERROR(IF(INDEX(SPOT_Import!$A$1:$Z$2488,217,'Live Data'!$C$22)="","",INDEX(SPOT_Import!$A$1:$Z$2488,217,'Live Data'!$C$22)),"")</f>
        <v>2026-10-07T11:21:33.000Z</v>
      </c>
      <c r="L217" s="55" t="str">
        <f t="shared" si="6"/>
        <v>2026-10</v>
      </c>
      <c r="M217" s="55" t="str">
        <f t="shared" si="7"/>
        <v>MERU</v>
      </c>
      <c r="N217" s="55" t="str">
        <f>IF(A217="","",IFERROR(INDEX('Cluster Map'!$A$4:$A$38,MATCH(M217,'Cluster Map'!$B$4:$B$38,0)),"Unmapped"))</f>
        <v>Cluster 1</v>
      </c>
      <c r="O217" s="55">
        <f>IF(A217="",0,IF(COUNTIFS($A$2:A217,A217,$F$2:F217,F217,$L$2:L217,L217)=1,1,0))</f>
        <v>1</v>
      </c>
      <c r="P217" s="55">
        <f>IF(A217="",0,IF(AND(F217="C&amp;T",COUNTIFS($A$2:A217,A217,$F$2:F217,"C&amp;T")=1),1,0))</f>
        <v>0</v>
      </c>
    </row>
    <row r="218" spans="1:16" x14ac:dyDescent="0.35">
      <c r="A218" s="54">
        <f>IFERROR(IF(INDEX(SPOT_Import!$A$1:$Z$2488,218,'Live Data'!$C$12)="","",INDEX(SPOT_Import!$A$1:$Z$2488,218,'Live Data'!$C$12)),"")</f>
        <v>12031</v>
      </c>
      <c r="B218" s="54" t="str">
        <f>IFERROR(IF(INDEX(SPOT_Import!$A$1:$Z$2488,218,'Live Data'!$C$13)="","",INDEX(SPOT_Import!$A$1:$Z$2488,218,'Live Data'!$C$13)),"")</f>
        <v>Gatimbi Health Centre</v>
      </c>
      <c r="C218" s="54" t="str">
        <f>IFERROR(IF(INDEX(SPOT_Import!$A$1:$Z$2488,218,'Live Data'!$C$14)="","",INDEX(SPOT_Import!$A$1:$Z$2488,218,'Live Data'!$C$14)),"")</f>
        <v>MERU</v>
      </c>
      <c r="D218" s="54" t="str">
        <f>IFERROR(IF(INDEX(SPOT_Import!$A$1:$Z$2488,218,'Live Data'!$C$15)="","",INDEX(SPOT_Import!$A$1:$Z$2488,218,'Live Data'!$C$15)),"")</f>
        <v>Imenti Central</v>
      </c>
      <c r="E218" s="54" t="str">
        <f>IFERROR(IF(INDEX(SPOT_Import!$A$1:$Z$2488,218,'Live Data'!$C$16)="","",INDEX(SPOT_Import!$A$1:$Z$2488,218,'Live Data'!$C$16)),"")</f>
        <v>USAID Jamii Tekelezi</v>
      </c>
      <c r="F218" s="54" t="str">
        <f>IFERROR(IF(INDEX(SPOT_Import!$A$1:$Z$2488,218,'Live Data'!$C$17)="","",INDEX(SPOT_Import!$A$1:$Z$2488,218,'Live Data'!$C$17)),"")</f>
        <v>MNCH</v>
      </c>
      <c r="G218" s="54">
        <f>IFERROR(IF(INDEX(SPOT_Import!$A$1:$Z$2488,218,'Live Data'!$C$18)="","",INDEX(SPOT_Import!$A$1:$Z$2488,218,'Live Data'!$C$18)),"")</f>
        <v>44</v>
      </c>
      <c r="H218" s="54">
        <f>IFERROR(IF(INDEX(SPOT_Import!$A$1:$Z$2488,218,'Live Data'!$C$19)="","",INDEX(SPOT_Import!$A$1:$Z$2488,218,'Live Data'!$C$19)),"")</f>
        <v>44</v>
      </c>
      <c r="I218" s="54" t="str">
        <f>IFERROR(IF(INDEX(SPOT_Import!$A$1:$Z$2488,218,'Live Data'!$C$20)="","",INDEX(SPOT_Import!$A$1:$Z$2488,218,'Live Data'!$C$20)),"")</f>
        <v>Complete</v>
      </c>
      <c r="J218" s="54" t="str">
        <f>IFERROR(IF(INDEX(SPOT_Import!$A$1:$Z$2488,218,'Live Data'!$C$21)="","",INDEX(SPOT_Import!$A$1:$Z$2488,218,'Live Data'!$C$21)),"")</f>
        <v>2026-10-07T11:21:26.000Z</v>
      </c>
      <c r="K218" s="54" t="str">
        <f>IFERROR(IF(INDEX(SPOT_Import!$A$1:$Z$2488,218,'Live Data'!$C$22)="","",INDEX(SPOT_Import!$A$1:$Z$2488,218,'Live Data'!$C$22)),"")</f>
        <v>2026-10-07T11:21:26.000Z</v>
      </c>
      <c r="L218" s="55" t="str">
        <f t="shared" si="6"/>
        <v>2026-10</v>
      </c>
      <c r="M218" s="55" t="str">
        <f t="shared" si="7"/>
        <v>MERU</v>
      </c>
      <c r="N218" s="55" t="str">
        <f>IF(A218="","",IFERROR(INDEX('Cluster Map'!$A$4:$A$38,MATCH(M218,'Cluster Map'!$B$4:$B$38,0)),"Unmapped"))</f>
        <v>Cluster 1</v>
      </c>
      <c r="O218" s="55">
        <f>IF(A218="",0,IF(COUNTIFS($A$2:A218,A218,$F$2:F218,F218,$L$2:L218,L218)=1,1,0))</f>
        <v>1</v>
      </c>
      <c r="P218" s="55">
        <f>IF(A218="",0,IF(AND(F218="C&amp;T",COUNTIFS($A$2:A218,A218,$F$2:F218,"C&amp;T")=1),1,0))</f>
        <v>0</v>
      </c>
    </row>
    <row r="219" spans="1:16" x14ac:dyDescent="0.35">
      <c r="A219" s="54">
        <f>IFERROR(IF(INDEX(SPOT_Import!$A$1:$Z$2488,219,'Live Data'!$C$12)="","",INDEX(SPOT_Import!$A$1:$Z$2488,219,'Live Data'!$C$12)),"")</f>
        <v>12031</v>
      </c>
      <c r="B219" s="54" t="str">
        <f>IFERROR(IF(INDEX(SPOT_Import!$A$1:$Z$2488,219,'Live Data'!$C$13)="","",INDEX(SPOT_Import!$A$1:$Z$2488,219,'Live Data'!$C$13)),"")</f>
        <v>Gatimbi Health Centre</v>
      </c>
      <c r="C219" s="54" t="str">
        <f>IFERROR(IF(INDEX(SPOT_Import!$A$1:$Z$2488,219,'Live Data'!$C$14)="","",INDEX(SPOT_Import!$A$1:$Z$2488,219,'Live Data'!$C$14)),"")</f>
        <v>MERU</v>
      </c>
      <c r="D219" s="54" t="str">
        <f>IFERROR(IF(INDEX(SPOT_Import!$A$1:$Z$2488,219,'Live Data'!$C$15)="","",INDEX(SPOT_Import!$A$1:$Z$2488,219,'Live Data'!$C$15)),"")</f>
        <v>Imenti Central</v>
      </c>
      <c r="E219" s="54" t="str">
        <f>IFERROR(IF(INDEX(SPOT_Import!$A$1:$Z$2488,219,'Live Data'!$C$16)="","",INDEX(SPOT_Import!$A$1:$Z$2488,219,'Live Data'!$C$16)),"")</f>
        <v>USAID Jamii Tekelezi</v>
      </c>
      <c r="F219" s="54" t="str">
        <f>IFERROR(IF(INDEX(SPOT_Import!$A$1:$Z$2488,219,'Live Data'!$C$17)="","",INDEX(SPOT_Import!$A$1:$Z$2488,219,'Live Data'!$C$17)),"")</f>
        <v>HTS</v>
      </c>
      <c r="G219" s="54">
        <f>IFERROR(IF(INDEX(SPOT_Import!$A$1:$Z$2488,219,'Live Data'!$C$18)="","",INDEX(SPOT_Import!$A$1:$Z$2488,219,'Live Data'!$C$18)),"")</f>
        <v>1406</v>
      </c>
      <c r="H219" s="54">
        <f>IFERROR(IF(INDEX(SPOT_Import!$A$1:$Z$2488,219,'Live Data'!$C$19)="","",INDEX(SPOT_Import!$A$1:$Z$2488,219,'Live Data'!$C$19)),"")</f>
        <v>1406</v>
      </c>
      <c r="I219" s="54" t="str">
        <f>IFERROR(IF(INDEX(SPOT_Import!$A$1:$Z$2488,219,'Live Data'!$C$20)="","",INDEX(SPOT_Import!$A$1:$Z$2488,219,'Live Data'!$C$20)),"")</f>
        <v>Complete</v>
      </c>
      <c r="J219" s="54" t="str">
        <f>IFERROR(IF(INDEX(SPOT_Import!$A$1:$Z$2488,219,'Live Data'!$C$21)="","",INDEX(SPOT_Import!$A$1:$Z$2488,219,'Live Data'!$C$21)),"")</f>
        <v>2026-10-07T11:21:11.000Z</v>
      </c>
      <c r="K219" s="54" t="str">
        <f>IFERROR(IF(INDEX(SPOT_Import!$A$1:$Z$2488,219,'Live Data'!$C$22)="","",INDEX(SPOT_Import!$A$1:$Z$2488,219,'Live Data'!$C$22)),"")</f>
        <v>2026-10-07T11:21:11.000Z</v>
      </c>
      <c r="L219" s="55" t="str">
        <f t="shared" si="6"/>
        <v>2026-10</v>
      </c>
      <c r="M219" s="55" t="str">
        <f t="shared" si="7"/>
        <v>MERU</v>
      </c>
      <c r="N219" s="55" t="str">
        <f>IF(A219="","",IFERROR(INDEX('Cluster Map'!$A$4:$A$38,MATCH(M219,'Cluster Map'!$B$4:$B$38,0)),"Unmapped"))</f>
        <v>Cluster 1</v>
      </c>
      <c r="O219" s="55">
        <f>IF(A219="",0,IF(COUNTIFS($A$2:A219,A219,$F$2:F219,F219,$L$2:L219,L219)=1,1,0))</f>
        <v>1</v>
      </c>
      <c r="P219" s="55">
        <f>IF(A219="",0,IF(AND(F219="C&amp;T",COUNTIFS($A$2:A219,A219,$F$2:F219,"C&amp;T")=1),1,0))</f>
        <v>0</v>
      </c>
    </row>
    <row r="220" spans="1:16" x14ac:dyDescent="0.35">
      <c r="A220" s="54">
        <f>IFERROR(IF(INDEX(SPOT_Import!$A$1:$Z$2488,220,'Live Data'!$C$12)="","",INDEX(SPOT_Import!$A$1:$Z$2488,220,'Live Data'!$C$12)),"")</f>
        <v>12031</v>
      </c>
      <c r="B220" s="54" t="str">
        <f>IFERROR(IF(INDEX(SPOT_Import!$A$1:$Z$2488,220,'Live Data'!$C$13)="","",INDEX(SPOT_Import!$A$1:$Z$2488,220,'Live Data'!$C$13)),"")</f>
        <v>Gatimbi Health Centre</v>
      </c>
      <c r="C220" s="54" t="str">
        <f>IFERROR(IF(INDEX(SPOT_Import!$A$1:$Z$2488,220,'Live Data'!$C$14)="","",INDEX(SPOT_Import!$A$1:$Z$2488,220,'Live Data'!$C$14)),"")</f>
        <v>MERU</v>
      </c>
      <c r="D220" s="54" t="str">
        <f>IFERROR(IF(INDEX(SPOT_Import!$A$1:$Z$2488,220,'Live Data'!$C$15)="","",INDEX(SPOT_Import!$A$1:$Z$2488,220,'Live Data'!$C$15)),"")</f>
        <v>Imenti Central</v>
      </c>
      <c r="E220" s="54" t="str">
        <f>IFERROR(IF(INDEX(SPOT_Import!$A$1:$Z$2488,220,'Live Data'!$C$16)="","",INDEX(SPOT_Import!$A$1:$Z$2488,220,'Live Data'!$C$16)),"")</f>
        <v>USAID Jamii Tekelezi</v>
      </c>
      <c r="F220" s="54" t="str">
        <f>IFERROR(IF(INDEX(SPOT_Import!$A$1:$Z$2488,220,'Live Data'!$C$17)="","",INDEX(SPOT_Import!$A$1:$Z$2488,220,'Live Data'!$C$17)),"")</f>
        <v>C&amp;T</v>
      </c>
      <c r="G220" s="54">
        <f>IFERROR(IF(INDEX(SPOT_Import!$A$1:$Z$2488,220,'Live Data'!$C$18)="","",INDEX(SPOT_Import!$A$1:$Z$2488,220,'Live Data'!$C$18)),"")</f>
        <v>287</v>
      </c>
      <c r="H220" s="54">
        <f>IFERROR(IF(INDEX(SPOT_Import!$A$1:$Z$2488,220,'Live Data'!$C$19)="","",INDEX(SPOT_Import!$A$1:$Z$2488,220,'Live Data'!$C$19)),"")</f>
        <v>287</v>
      </c>
      <c r="I220" s="54" t="str">
        <f>IFERROR(IF(INDEX(SPOT_Import!$A$1:$Z$2488,220,'Live Data'!$C$20)="","",INDEX(SPOT_Import!$A$1:$Z$2488,220,'Live Data'!$C$20)),"")</f>
        <v>Complete</v>
      </c>
      <c r="J220" s="54" t="str">
        <f>IFERROR(IF(INDEX(SPOT_Import!$A$1:$Z$2488,220,'Live Data'!$C$21)="","",INDEX(SPOT_Import!$A$1:$Z$2488,220,'Live Data'!$C$21)),"")</f>
        <v>2026-10-07T10:53:29.000Z</v>
      </c>
      <c r="K220" s="54" t="str">
        <f>IFERROR(IF(INDEX(SPOT_Import!$A$1:$Z$2488,220,'Live Data'!$C$22)="","",INDEX(SPOT_Import!$A$1:$Z$2488,220,'Live Data'!$C$22)),"")</f>
        <v>2026-10-07T10:53:29.000Z</v>
      </c>
      <c r="L220" s="55" t="str">
        <f t="shared" si="6"/>
        <v>2026-10</v>
      </c>
      <c r="M220" s="55" t="str">
        <f t="shared" si="7"/>
        <v>MERU</v>
      </c>
      <c r="N220" s="55" t="str">
        <f>IF(A220="","",IFERROR(INDEX('Cluster Map'!$A$4:$A$38,MATCH(M220,'Cluster Map'!$B$4:$B$38,0)),"Unmapped"))</f>
        <v>Cluster 1</v>
      </c>
      <c r="O220" s="55">
        <f>IF(A220="",0,IF(COUNTIFS($A$2:A220,A220,$F$2:F220,F220,$L$2:L220,L220)=1,1,0))</f>
        <v>1</v>
      </c>
      <c r="P220" s="55">
        <f>IF(A220="",0,IF(AND(F220="C&amp;T",COUNTIFS($A$2:A220,A220,$F$2:F220,"C&amp;T")=1),1,0))</f>
        <v>1</v>
      </c>
    </row>
    <row r="221" spans="1:16" x14ac:dyDescent="0.35">
      <c r="A221" s="54">
        <f>IFERROR(IF(INDEX(SPOT_Import!$A$1:$Z$2488,221,'Live Data'!$C$12)="","",INDEX(SPOT_Import!$A$1:$Z$2488,221,'Live Data'!$C$12)),"")</f>
        <v>12666</v>
      </c>
      <c r="B221" s="54" t="str">
        <f>IFERROR(IF(INDEX(SPOT_Import!$A$1:$Z$2488,221,'Live Data'!$C$13)="","",INDEX(SPOT_Import!$A$1:$Z$2488,221,'Live Data'!$C$13)),"")</f>
        <v>Nkubu Dispensary</v>
      </c>
      <c r="C221" s="54" t="str">
        <f>IFERROR(IF(INDEX(SPOT_Import!$A$1:$Z$2488,221,'Live Data'!$C$14)="","",INDEX(SPOT_Import!$A$1:$Z$2488,221,'Live Data'!$C$14)),"")</f>
        <v>MERU</v>
      </c>
      <c r="D221" s="54" t="str">
        <f>IFERROR(IF(INDEX(SPOT_Import!$A$1:$Z$2488,221,'Live Data'!$C$15)="","",INDEX(SPOT_Import!$A$1:$Z$2488,221,'Live Data'!$C$15)),"")</f>
        <v>Imenti South</v>
      </c>
      <c r="E221" s="54" t="str">
        <f>IFERROR(IF(INDEX(SPOT_Import!$A$1:$Z$2488,221,'Live Data'!$C$16)="","",INDEX(SPOT_Import!$A$1:$Z$2488,221,'Live Data'!$C$16)),"")</f>
        <v>USAID Jamii Tekelezi</v>
      </c>
      <c r="F221" s="54" t="str">
        <f>IFERROR(IF(INDEX(SPOT_Import!$A$1:$Z$2488,221,'Live Data'!$C$17)="","",INDEX(SPOT_Import!$A$1:$Z$2488,221,'Live Data'!$C$17)),"")</f>
        <v>PREP</v>
      </c>
      <c r="G221" s="54">
        <f>IFERROR(IF(INDEX(SPOT_Import!$A$1:$Z$2488,221,'Live Data'!$C$18)="","",INDEX(SPOT_Import!$A$1:$Z$2488,221,'Live Data'!$C$18)),"")</f>
        <v>6</v>
      </c>
      <c r="H221" s="54">
        <f>IFERROR(IF(INDEX(SPOT_Import!$A$1:$Z$2488,221,'Live Data'!$C$19)="","",INDEX(SPOT_Import!$A$1:$Z$2488,221,'Live Data'!$C$19)),"")</f>
        <v>6</v>
      </c>
      <c r="I221" s="54" t="str">
        <f>IFERROR(IF(INDEX(SPOT_Import!$A$1:$Z$2488,221,'Live Data'!$C$20)="","",INDEX(SPOT_Import!$A$1:$Z$2488,221,'Live Data'!$C$20)),"")</f>
        <v>Complete</v>
      </c>
      <c r="J221" s="54" t="str">
        <f>IFERROR(IF(INDEX(SPOT_Import!$A$1:$Z$2488,221,'Live Data'!$C$21)="","",INDEX(SPOT_Import!$A$1:$Z$2488,221,'Live Data'!$C$21)),"")</f>
        <v>2026-10-07T10:49:32.000Z</v>
      </c>
      <c r="K221" s="54" t="str">
        <f>IFERROR(IF(INDEX(SPOT_Import!$A$1:$Z$2488,221,'Live Data'!$C$22)="","",INDEX(SPOT_Import!$A$1:$Z$2488,221,'Live Data'!$C$22)),"")</f>
        <v>2026-10-07T10:49:32.000Z</v>
      </c>
      <c r="L221" s="55" t="str">
        <f t="shared" si="6"/>
        <v>2026-10</v>
      </c>
      <c r="M221" s="55" t="str">
        <f t="shared" si="7"/>
        <v>MERU</v>
      </c>
      <c r="N221" s="55" t="str">
        <f>IF(A221="","",IFERROR(INDEX('Cluster Map'!$A$4:$A$38,MATCH(M221,'Cluster Map'!$B$4:$B$38,0)),"Unmapped"))</f>
        <v>Cluster 1</v>
      </c>
      <c r="O221" s="55">
        <f>IF(A221="",0,IF(COUNTIFS($A$2:A221,A221,$F$2:F221,F221,$L$2:L221,L221)=1,1,0))</f>
        <v>1</v>
      </c>
      <c r="P221" s="55">
        <f>IF(A221="",0,IF(AND(F221="C&amp;T",COUNTIFS($A$2:A221,A221,$F$2:F221,"C&amp;T")=1),1,0))</f>
        <v>0</v>
      </c>
    </row>
    <row r="222" spans="1:16" x14ac:dyDescent="0.35">
      <c r="A222" s="54">
        <f>IFERROR(IF(INDEX(SPOT_Import!$A$1:$Z$2488,222,'Live Data'!$C$12)="","",INDEX(SPOT_Import!$A$1:$Z$2488,222,'Live Data'!$C$12)),"")</f>
        <v>12666</v>
      </c>
      <c r="B222" s="54" t="str">
        <f>IFERROR(IF(INDEX(SPOT_Import!$A$1:$Z$2488,222,'Live Data'!$C$13)="","",INDEX(SPOT_Import!$A$1:$Z$2488,222,'Live Data'!$C$13)),"")</f>
        <v>Nkubu Dispensary</v>
      </c>
      <c r="C222" s="54" t="str">
        <f>IFERROR(IF(INDEX(SPOT_Import!$A$1:$Z$2488,222,'Live Data'!$C$14)="","",INDEX(SPOT_Import!$A$1:$Z$2488,222,'Live Data'!$C$14)),"")</f>
        <v>MERU</v>
      </c>
      <c r="D222" s="54" t="str">
        <f>IFERROR(IF(INDEX(SPOT_Import!$A$1:$Z$2488,222,'Live Data'!$C$15)="","",INDEX(SPOT_Import!$A$1:$Z$2488,222,'Live Data'!$C$15)),"")</f>
        <v>Imenti South</v>
      </c>
      <c r="E222" s="54" t="str">
        <f>IFERROR(IF(INDEX(SPOT_Import!$A$1:$Z$2488,222,'Live Data'!$C$16)="","",INDEX(SPOT_Import!$A$1:$Z$2488,222,'Live Data'!$C$16)),"")</f>
        <v>USAID Jamii Tekelezi</v>
      </c>
      <c r="F222" s="54" t="str">
        <f>IFERROR(IF(INDEX(SPOT_Import!$A$1:$Z$2488,222,'Live Data'!$C$17)="","",INDEX(SPOT_Import!$A$1:$Z$2488,222,'Live Data'!$C$17)),"")</f>
        <v>MNCH</v>
      </c>
      <c r="G222" s="54">
        <f>IFERROR(IF(INDEX(SPOT_Import!$A$1:$Z$2488,222,'Live Data'!$C$18)="","",INDEX(SPOT_Import!$A$1:$Z$2488,222,'Live Data'!$C$18)),"")</f>
        <v>79</v>
      </c>
      <c r="H222" s="54">
        <f>IFERROR(IF(INDEX(SPOT_Import!$A$1:$Z$2488,222,'Live Data'!$C$19)="","",INDEX(SPOT_Import!$A$1:$Z$2488,222,'Live Data'!$C$19)),"")</f>
        <v>79</v>
      </c>
      <c r="I222" s="54" t="str">
        <f>IFERROR(IF(INDEX(SPOT_Import!$A$1:$Z$2488,222,'Live Data'!$C$20)="","",INDEX(SPOT_Import!$A$1:$Z$2488,222,'Live Data'!$C$20)),"")</f>
        <v>Complete</v>
      </c>
      <c r="J222" s="54" t="str">
        <f>IFERROR(IF(INDEX(SPOT_Import!$A$1:$Z$2488,222,'Live Data'!$C$21)="","",INDEX(SPOT_Import!$A$1:$Z$2488,222,'Live Data'!$C$21)),"")</f>
        <v>2026-10-07T10:49:21.000Z</v>
      </c>
      <c r="K222" s="54" t="str">
        <f>IFERROR(IF(INDEX(SPOT_Import!$A$1:$Z$2488,222,'Live Data'!$C$22)="","",INDEX(SPOT_Import!$A$1:$Z$2488,222,'Live Data'!$C$22)),"")</f>
        <v>2026-10-07T10:49:21.000Z</v>
      </c>
      <c r="L222" s="55" t="str">
        <f t="shared" si="6"/>
        <v>2026-10</v>
      </c>
      <c r="M222" s="55" t="str">
        <f t="shared" si="7"/>
        <v>MERU</v>
      </c>
      <c r="N222" s="55" t="str">
        <f>IF(A222="","",IFERROR(INDEX('Cluster Map'!$A$4:$A$38,MATCH(M222,'Cluster Map'!$B$4:$B$38,0)),"Unmapped"))</f>
        <v>Cluster 1</v>
      </c>
      <c r="O222" s="55">
        <f>IF(A222="",0,IF(COUNTIFS($A$2:A222,A222,$F$2:F222,F222,$L$2:L222,L222)=1,1,0))</f>
        <v>1</v>
      </c>
      <c r="P222" s="55">
        <f>IF(A222="",0,IF(AND(F222="C&amp;T",COUNTIFS($A$2:A222,A222,$F$2:F222,"C&amp;T")=1),1,0))</f>
        <v>0</v>
      </c>
    </row>
    <row r="223" spans="1:16" x14ac:dyDescent="0.35">
      <c r="A223" s="54">
        <f>IFERROR(IF(INDEX(SPOT_Import!$A$1:$Z$2488,223,'Live Data'!$C$12)="","",INDEX(SPOT_Import!$A$1:$Z$2488,223,'Live Data'!$C$12)),"")</f>
        <v>12666</v>
      </c>
      <c r="B223" s="54" t="str">
        <f>IFERROR(IF(INDEX(SPOT_Import!$A$1:$Z$2488,223,'Live Data'!$C$13)="","",INDEX(SPOT_Import!$A$1:$Z$2488,223,'Live Data'!$C$13)),"")</f>
        <v>Nkubu Dispensary</v>
      </c>
      <c r="C223" s="54" t="str">
        <f>IFERROR(IF(INDEX(SPOT_Import!$A$1:$Z$2488,223,'Live Data'!$C$14)="","",INDEX(SPOT_Import!$A$1:$Z$2488,223,'Live Data'!$C$14)),"")</f>
        <v>MERU</v>
      </c>
      <c r="D223" s="54" t="str">
        <f>IFERROR(IF(INDEX(SPOT_Import!$A$1:$Z$2488,223,'Live Data'!$C$15)="","",INDEX(SPOT_Import!$A$1:$Z$2488,223,'Live Data'!$C$15)),"")</f>
        <v>Imenti South</v>
      </c>
      <c r="E223" s="54" t="str">
        <f>IFERROR(IF(INDEX(SPOT_Import!$A$1:$Z$2488,223,'Live Data'!$C$16)="","",INDEX(SPOT_Import!$A$1:$Z$2488,223,'Live Data'!$C$16)),"")</f>
        <v>USAID Jamii Tekelezi</v>
      </c>
      <c r="F223" s="54" t="str">
        <f>IFERROR(IF(INDEX(SPOT_Import!$A$1:$Z$2488,223,'Live Data'!$C$17)="","",INDEX(SPOT_Import!$A$1:$Z$2488,223,'Live Data'!$C$17)),"")</f>
        <v>HTS</v>
      </c>
      <c r="G223" s="54">
        <f>IFERROR(IF(INDEX(SPOT_Import!$A$1:$Z$2488,223,'Live Data'!$C$18)="","",INDEX(SPOT_Import!$A$1:$Z$2488,223,'Live Data'!$C$18)),"")</f>
        <v>1680</v>
      </c>
      <c r="H223" s="54">
        <f>IFERROR(IF(INDEX(SPOT_Import!$A$1:$Z$2488,223,'Live Data'!$C$19)="","",INDEX(SPOT_Import!$A$1:$Z$2488,223,'Live Data'!$C$19)),"")</f>
        <v>1680</v>
      </c>
      <c r="I223" s="54" t="str">
        <f>IFERROR(IF(INDEX(SPOT_Import!$A$1:$Z$2488,223,'Live Data'!$C$20)="","",INDEX(SPOT_Import!$A$1:$Z$2488,223,'Live Data'!$C$20)),"")</f>
        <v>Complete</v>
      </c>
      <c r="J223" s="54" t="str">
        <f>IFERROR(IF(INDEX(SPOT_Import!$A$1:$Z$2488,223,'Live Data'!$C$21)="","",INDEX(SPOT_Import!$A$1:$Z$2488,223,'Live Data'!$C$21)),"")</f>
        <v>2026-10-07T10:49:13.000Z</v>
      </c>
      <c r="K223" s="54" t="str">
        <f>IFERROR(IF(INDEX(SPOT_Import!$A$1:$Z$2488,223,'Live Data'!$C$22)="","",INDEX(SPOT_Import!$A$1:$Z$2488,223,'Live Data'!$C$22)),"")</f>
        <v>2026-10-07T10:49:13.000Z</v>
      </c>
      <c r="L223" s="55" t="str">
        <f t="shared" si="6"/>
        <v>2026-10</v>
      </c>
      <c r="M223" s="55" t="str">
        <f t="shared" si="7"/>
        <v>MERU</v>
      </c>
      <c r="N223" s="55" t="str">
        <f>IF(A223="","",IFERROR(INDEX('Cluster Map'!$A$4:$A$38,MATCH(M223,'Cluster Map'!$B$4:$B$38,0)),"Unmapped"))</f>
        <v>Cluster 1</v>
      </c>
      <c r="O223" s="55">
        <f>IF(A223="",0,IF(COUNTIFS($A$2:A223,A223,$F$2:F223,F223,$L$2:L223,L223)=1,1,0))</f>
        <v>1</v>
      </c>
      <c r="P223" s="55">
        <f>IF(A223="",0,IF(AND(F223="C&amp;T",COUNTIFS($A$2:A223,A223,$F$2:F223,"C&amp;T")=1),1,0))</f>
        <v>0</v>
      </c>
    </row>
    <row r="224" spans="1:16" x14ac:dyDescent="0.35">
      <c r="A224" s="54">
        <f>IFERROR(IF(INDEX(SPOT_Import!$A$1:$Z$2488,224,'Live Data'!$C$12)="","",INDEX(SPOT_Import!$A$1:$Z$2488,224,'Live Data'!$C$12)),"")</f>
        <v>12132</v>
      </c>
      <c r="B224" s="54" t="str">
        <f>IFERROR(IF(INDEX(SPOT_Import!$A$1:$Z$2488,224,'Live Data'!$C$13)="","",INDEX(SPOT_Import!$A$1:$Z$2488,224,'Live Data'!$C$13)),"")</f>
        <v>Kajuki Health Centre</v>
      </c>
      <c r="C224" s="54" t="str">
        <f>IFERROR(IF(INDEX(SPOT_Import!$A$1:$Z$2488,224,'Live Data'!$C$14)="","",INDEX(SPOT_Import!$A$1:$Z$2488,224,'Live Data'!$C$14)),"")</f>
        <v>THARAKA-NITHI</v>
      </c>
      <c r="D224" s="54" t="str">
        <f>IFERROR(IF(INDEX(SPOT_Import!$A$1:$Z$2488,224,'Live Data'!$C$15)="","",INDEX(SPOT_Import!$A$1:$Z$2488,224,'Live Data'!$C$15)),"")</f>
        <v>Igambangombe</v>
      </c>
      <c r="E224" s="54" t="str">
        <f>IFERROR(IF(INDEX(SPOT_Import!$A$1:$Z$2488,224,'Live Data'!$C$16)="","",INDEX(SPOT_Import!$A$1:$Z$2488,224,'Live Data'!$C$16)),"")</f>
        <v>USAID Jamii Tekelezi</v>
      </c>
      <c r="F224" s="54" t="str">
        <f>IFERROR(IF(INDEX(SPOT_Import!$A$1:$Z$2488,224,'Live Data'!$C$17)="","",INDEX(SPOT_Import!$A$1:$Z$2488,224,'Live Data'!$C$17)),"")</f>
        <v>PREP</v>
      </c>
      <c r="G224" s="54">
        <f>IFERROR(IF(INDEX(SPOT_Import!$A$1:$Z$2488,224,'Live Data'!$C$18)="","",INDEX(SPOT_Import!$A$1:$Z$2488,224,'Live Data'!$C$18)),"")</f>
        <v>48</v>
      </c>
      <c r="H224" s="54">
        <f>IFERROR(IF(INDEX(SPOT_Import!$A$1:$Z$2488,224,'Live Data'!$C$19)="","",INDEX(SPOT_Import!$A$1:$Z$2488,224,'Live Data'!$C$19)),"")</f>
        <v>48</v>
      </c>
      <c r="I224" s="54" t="str">
        <f>IFERROR(IF(INDEX(SPOT_Import!$A$1:$Z$2488,224,'Live Data'!$C$20)="","",INDEX(SPOT_Import!$A$1:$Z$2488,224,'Live Data'!$C$20)),"")</f>
        <v>Complete</v>
      </c>
      <c r="J224" s="54" t="str">
        <f>IFERROR(IF(INDEX(SPOT_Import!$A$1:$Z$2488,224,'Live Data'!$C$21)="","",INDEX(SPOT_Import!$A$1:$Z$2488,224,'Live Data'!$C$21)),"")</f>
        <v>2026-10-07T10:39:54.000Z</v>
      </c>
      <c r="K224" s="54" t="str">
        <f>IFERROR(IF(INDEX(SPOT_Import!$A$1:$Z$2488,224,'Live Data'!$C$22)="","",INDEX(SPOT_Import!$A$1:$Z$2488,224,'Live Data'!$C$22)),"")</f>
        <v>2026-10-07T10:39:54.000Z</v>
      </c>
      <c r="L224" s="55" t="str">
        <f t="shared" si="6"/>
        <v>2026-10</v>
      </c>
      <c r="M224" s="55" t="str">
        <f t="shared" si="7"/>
        <v>THARAKA-NITHI</v>
      </c>
      <c r="N224" s="55" t="str">
        <f>IF(A224="","",IFERROR(INDEX('Cluster Map'!$A$4:$A$38,MATCH(M224,'Cluster Map'!$B$4:$B$38,0)),"Unmapped"))</f>
        <v>Cluster 2</v>
      </c>
      <c r="O224" s="55">
        <f>IF(A224="",0,IF(COUNTIFS($A$2:A224,A224,$F$2:F224,F224,$L$2:L224,L224)=1,1,0))</f>
        <v>1</v>
      </c>
      <c r="P224" s="55">
        <f>IF(A224="",0,IF(AND(F224="C&amp;T",COUNTIFS($A$2:A224,A224,$F$2:F224,"C&amp;T")=1),1,0))</f>
        <v>0</v>
      </c>
    </row>
    <row r="225" spans="1:16" x14ac:dyDescent="0.35">
      <c r="A225" s="54">
        <f>IFERROR(IF(INDEX(SPOT_Import!$A$1:$Z$2488,225,'Live Data'!$C$12)="","",INDEX(SPOT_Import!$A$1:$Z$2488,225,'Live Data'!$C$12)),"")</f>
        <v>12132</v>
      </c>
      <c r="B225" s="54" t="str">
        <f>IFERROR(IF(INDEX(SPOT_Import!$A$1:$Z$2488,225,'Live Data'!$C$13)="","",INDEX(SPOT_Import!$A$1:$Z$2488,225,'Live Data'!$C$13)),"")</f>
        <v>Kajuki Health Centre</v>
      </c>
      <c r="C225" s="54" t="str">
        <f>IFERROR(IF(INDEX(SPOT_Import!$A$1:$Z$2488,225,'Live Data'!$C$14)="","",INDEX(SPOT_Import!$A$1:$Z$2488,225,'Live Data'!$C$14)),"")</f>
        <v>THARAKA-NITHI</v>
      </c>
      <c r="D225" s="54" t="str">
        <f>IFERROR(IF(INDEX(SPOT_Import!$A$1:$Z$2488,225,'Live Data'!$C$15)="","",INDEX(SPOT_Import!$A$1:$Z$2488,225,'Live Data'!$C$15)),"")</f>
        <v>Igambangombe</v>
      </c>
      <c r="E225" s="54" t="str">
        <f>IFERROR(IF(INDEX(SPOT_Import!$A$1:$Z$2488,225,'Live Data'!$C$16)="","",INDEX(SPOT_Import!$A$1:$Z$2488,225,'Live Data'!$C$16)),"")</f>
        <v>USAID Jamii Tekelezi</v>
      </c>
      <c r="F225" s="54" t="str">
        <f>IFERROR(IF(INDEX(SPOT_Import!$A$1:$Z$2488,225,'Live Data'!$C$17)="","",INDEX(SPOT_Import!$A$1:$Z$2488,225,'Live Data'!$C$17)),"")</f>
        <v>MNCH</v>
      </c>
      <c r="G225" s="54">
        <f>IFERROR(IF(INDEX(SPOT_Import!$A$1:$Z$2488,225,'Live Data'!$C$18)="","",INDEX(SPOT_Import!$A$1:$Z$2488,225,'Live Data'!$C$18)),"")</f>
        <v>186</v>
      </c>
      <c r="H225" s="54">
        <f>IFERROR(IF(INDEX(SPOT_Import!$A$1:$Z$2488,225,'Live Data'!$C$19)="","",INDEX(SPOT_Import!$A$1:$Z$2488,225,'Live Data'!$C$19)),"")</f>
        <v>186</v>
      </c>
      <c r="I225" s="54" t="str">
        <f>IFERROR(IF(INDEX(SPOT_Import!$A$1:$Z$2488,225,'Live Data'!$C$20)="","",INDEX(SPOT_Import!$A$1:$Z$2488,225,'Live Data'!$C$20)),"")</f>
        <v>Complete</v>
      </c>
      <c r="J225" s="54" t="str">
        <f>IFERROR(IF(INDEX(SPOT_Import!$A$1:$Z$2488,225,'Live Data'!$C$21)="","",INDEX(SPOT_Import!$A$1:$Z$2488,225,'Live Data'!$C$21)),"")</f>
        <v>2026-10-07T10:38:38.000Z</v>
      </c>
      <c r="K225" s="54" t="str">
        <f>IFERROR(IF(INDEX(SPOT_Import!$A$1:$Z$2488,225,'Live Data'!$C$22)="","",INDEX(SPOT_Import!$A$1:$Z$2488,225,'Live Data'!$C$22)),"")</f>
        <v>2026-10-07T10:38:38.000Z</v>
      </c>
      <c r="L225" s="55" t="str">
        <f t="shared" si="6"/>
        <v>2026-10</v>
      </c>
      <c r="M225" s="55" t="str">
        <f t="shared" si="7"/>
        <v>THARAKA-NITHI</v>
      </c>
      <c r="N225" s="55" t="str">
        <f>IF(A225="","",IFERROR(INDEX('Cluster Map'!$A$4:$A$38,MATCH(M225,'Cluster Map'!$B$4:$B$38,0)),"Unmapped"))</f>
        <v>Cluster 2</v>
      </c>
      <c r="O225" s="55">
        <f>IF(A225="",0,IF(COUNTIFS($A$2:A225,A225,$F$2:F225,F225,$L$2:L225,L225)=1,1,0))</f>
        <v>1</v>
      </c>
      <c r="P225" s="55">
        <f>IF(A225="",0,IF(AND(F225="C&amp;T",COUNTIFS($A$2:A225,A225,$F$2:F225,"C&amp;T")=1),1,0))</f>
        <v>0</v>
      </c>
    </row>
    <row r="226" spans="1:16" x14ac:dyDescent="0.35">
      <c r="A226" s="54">
        <f>IFERROR(IF(INDEX(SPOT_Import!$A$1:$Z$2488,226,'Live Data'!$C$12)="","",INDEX(SPOT_Import!$A$1:$Z$2488,226,'Live Data'!$C$12)),"")</f>
        <v>12132</v>
      </c>
      <c r="B226" s="54" t="str">
        <f>IFERROR(IF(INDEX(SPOT_Import!$A$1:$Z$2488,226,'Live Data'!$C$13)="","",INDEX(SPOT_Import!$A$1:$Z$2488,226,'Live Data'!$C$13)),"")</f>
        <v>Kajuki Health Centre</v>
      </c>
      <c r="C226" s="54" t="str">
        <f>IFERROR(IF(INDEX(SPOT_Import!$A$1:$Z$2488,226,'Live Data'!$C$14)="","",INDEX(SPOT_Import!$A$1:$Z$2488,226,'Live Data'!$C$14)),"")</f>
        <v>THARAKA-NITHI</v>
      </c>
      <c r="D226" s="54" t="str">
        <f>IFERROR(IF(INDEX(SPOT_Import!$A$1:$Z$2488,226,'Live Data'!$C$15)="","",INDEX(SPOT_Import!$A$1:$Z$2488,226,'Live Data'!$C$15)),"")</f>
        <v>Igambangombe</v>
      </c>
      <c r="E226" s="54" t="str">
        <f>IFERROR(IF(INDEX(SPOT_Import!$A$1:$Z$2488,226,'Live Data'!$C$16)="","",INDEX(SPOT_Import!$A$1:$Z$2488,226,'Live Data'!$C$16)),"")</f>
        <v>USAID Jamii Tekelezi</v>
      </c>
      <c r="F226" s="54" t="str">
        <f>IFERROR(IF(INDEX(SPOT_Import!$A$1:$Z$2488,226,'Live Data'!$C$17)="","",INDEX(SPOT_Import!$A$1:$Z$2488,226,'Live Data'!$C$17)),"")</f>
        <v>HTS</v>
      </c>
      <c r="G226" s="54">
        <f>IFERROR(IF(INDEX(SPOT_Import!$A$1:$Z$2488,226,'Live Data'!$C$18)="","",INDEX(SPOT_Import!$A$1:$Z$2488,226,'Live Data'!$C$18)),"")</f>
        <v>2909</v>
      </c>
      <c r="H226" s="54">
        <f>IFERROR(IF(INDEX(SPOT_Import!$A$1:$Z$2488,226,'Live Data'!$C$19)="","",INDEX(SPOT_Import!$A$1:$Z$2488,226,'Live Data'!$C$19)),"")</f>
        <v>2500</v>
      </c>
      <c r="I226" s="54" t="str">
        <f>IFERROR(IF(INDEX(SPOT_Import!$A$1:$Z$2488,226,'Live Data'!$C$20)="","",INDEX(SPOT_Import!$A$1:$Z$2488,226,'Live Data'!$C$20)),"")</f>
        <v>Complete</v>
      </c>
      <c r="J226" s="54" t="str">
        <f>IFERROR(IF(INDEX(SPOT_Import!$A$1:$Z$2488,226,'Live Data'!$C$21)="","",INDEX(SPOT_Import!$A$1:$Z$2488,226,'Live Data'!$C$21)),"")</f>
        <v>2026-10-07T10:36:46.000Z</v>
      </c>
      <c r="K226" s="54" t="str">
        <f>IFERROR(IF(INDEX(SPOT_Import!$A$1:$Z$2488,226,'Live Data'!$C$22)="","",INDEX(SPOT_Import!$A$1:$Z$2488,226,'Live Data'!$C$22)),"")</f>
        <v>2026-10-07T10:36:46.000Z</v>
      </c>
      <c r="L226" s="55" t="str">
        <f t="shared" si="6"/>
        <v>2026-10</v>
      </c>
      <c r="M226" s="55" t="str">
        <f t="shared" si="7"/>
        <v>THARAKA-NITHI</v>
      </c>
      <c r="N226" s="55" t="str">
        <f>IF(A226="","",IFERROR(INDEX('Cluster Map'!$A$4:$A$38,MATCH(M226,'Cluster Map'!$B$4:$B$38,0)),"Unmapped"))</f>
        <v>Cluster 2</v>
      </c>
      <c r="O226" s="55">
        <f>IF(A226="",0,IF(COUNTIFS($A$2:A226,A226,$F$2:F226,F226,$L$2:L226,L226)=1,1,0))</f>
        <v>1</v>
      </c>
      <c r="P226" s="55">
        <f>IF(A226="",0,IF(AND(F226="C&amp;T",COUNTIFS($A$2:A226,A226,$F$2:F226,"C&amp;T")=1),1,0))</f>
        <v>0</v>
      </c>
    </row>
    <row r="227" spans="1:16" x14ac:dyDescent="0.35">
      <c r="A227" s="54">
        <f>IFERROR(IF(INDEX(SPOT_Import!$A$1:$Z$2488,227,'Live Data'!$C$12)="","",INDEX(SPOT_Import!$A$1:$Z$2488,227,'Live Data'!$C$12)),"")</f>
        <v>12132</v>
      </c>
      <c r="B227" s="54" t="str">
        <f>IFERROR(IF(INDEX(SPOT_Import!$A$1:$Z$2488,227,'Live Data'!$C$13)="","",INDEX(SPOT_Import!$A$1:$Z$2488,227,'Live Data'!$C$13)),"")</f>
        <v>Kajuki Health Centre</v>
      </c>
      <c r="C227" s="54" t="str">
        <f>IFERROR(IF(INDEX(SPOT_Import!$A$1:$Z$2488,227,'Live Data'!$C$14)="","",INDEX(SPOT_Import!$A$1:$Z$2488,227,'Live Data'!$C$14)),"")</f>
        <v>THARAKA-NITHI</v>
      </c>
      <c r="D227" s="54" t="str">
        <f>IFERROR(IF(INDEX(SPOT_Import!$A$1:$Z$2488,227,'Live Data'!$C$15)="","",INDEX(SPOT_Import!$A$1:$Z$2488,227,'Live Data'!$C$15)),"")</f>
        <v>Igambangombe</v>
      </c>
      <c r="E227" s="54" t="str">
        <f>IFERROR(IF(INDEX(SPOT_Import!$A$1:$Z$2488,227,'Live Data'!$C$16)="","",INDEX(SPOT_Import!$A$1:$Z$2488,227,'Live Data'!$C$16)),"")</f>
        <v>USAID Jamii Tekelezi</v>
      </c>
      <c r="F227" s="54" t="str">
        <f>IFERROR(IF(INDEX(SPOT_Import!$A$1:$Z$2488,227,'Live Data'!$C$17)="","",INDEX(SPOT_Import!$A$1:$Z$2488,227,'Live Data'!$C$17)),"")</f>
        <v>C&amp;T</v>
      </c>
      <c r="G227" s="54">
        <f>IFERROR(IF(INDEX(SPOT_Import!$A$1:$Z$2488,227,'Live Data'!$C$18)="","",INDEX(SPOT_Import!$A$1:$Z$2488,227,'Live Data'!$C$18)),"")</f>
        <v>402</v>
      </c>
      <c r="H227" s="54">
        <f>IFERROR(IF(INDEX(SPOT_Import!$A$1:$Z$2488,227,'Live Data'!$C$19)="","",INDEX(SPOT_Import!$A$1:$Z$2488,227,'Live Data'!$C$19)),"")</f>
        <v>402</v>
      </c>
      <c r="I227" s="54" t="str">
        <f>IFERROR(IF(INDEX(SPOT_Import!$A$1:$Z$2488,227,'Live Data'!$C$20)="","",INDEX(SPOT_Import!$A$1:$Z$2488,227,'Live Data'!$C$20)),"")</f>
        <v>Complete</v>
      </c>
      <c r="J227" s="54" t="str">
        <f>IFERROR(IF(INDEX(SPOT_Import!$A$1:$Z$2488,227,'Live Data'!$C$21)="","",INDEX(SPOT_Import!$A$1:$Z$2488,227,'Live Data'!$C$21)),"")</f>
        <v>2026-10-07T10:08:29.000Z</v>
      </c>
      <c r="K227" s="54" t="str">
        <f>IFERROR(IF(INDEX(SPOT_Import!$A$1:$Z$2488,227,'Live Data'!$C$22)="","",INDEX(SPOT_Import!$A$1:$Z$2488,227,'Live Data'!$C$22)),"")</f>
        <v>2026-10-07T10:08:29.000Z</v>
      </c>
      <c r="L227" s="55" t="str">
        <f t="shared" si="6"/>
        <v>2026-10</v>
      </c>
      <c r="M227" s="55" t="str">
        <f t="shared" si="7"/>
        <v>THARAKA-NITHI</v>
      </c>
      <c r="N227" s="55" t="str">
        <f>IF(A227="","",IFERROR(INDEX('Cluster Map'!$A$4:$A$38,MATCH(M227,'Cluster Map'!$B$4:$B$38,0)),"Unmapped"))</f>
        <v>Cluster 2</v>
      </c>
      <c r="O227" s="55">
        <f>IF(A227="",0,IF(COUNTIFS($A$2:A227,A227,$F$2:F227,F227,$L$2:L227,L227)=1,1,0))</f>
        <v>1</v>
      </c>
      <c r="P227" s="55">
        <f>IF(A227="",0,IF(AND(F227="C&amp;T",COUNTIFS($A$2:A227,A227,$F$2:F227,"C&amp;T")=1),1,0))</f>
        <v>1</v>
      </c>
    </row>
    <row r="228" spans="1:16" x14ac:dyDescent="0.35">
      <c r="A228" s="54">
        <f>IFERROR(IF(INDEX(SPOT_Import!$A$1:$Z$2488,228,'Live Data'!$C$12)="","",INDEX(SPOT_Import!$A$1:$Z$2488,228,'Live Data'!$C$12)),"")</f>
        <v>12359</v>
      </c>
      <c r="B228" s="54" t="str">
        <f>IFERROR(IF(INDEX(SPOT_Import!$A$1:$Z$2488,228,'Live Data'!$C$13)="","",INDEX(SPOT_Import!$A$1:$Z$2488,228,'Live Data'!$C$13)),"")</f>
        <v>Kithimu Dispensary</v>
      </c>
      <c r="C228" s="54" t="str">
        <f>IFERROR(IF(INDEX(SPOT_Import!$A$1:$Z$2488,228,'Live Data'!$C$14)="","",INDEX(SPOT_Import!$A$1:$Z$2488,228,'Live Data'!$C$14)),"")</f>
        <v>EMBU</v>
      </c>
      <c r="D228" s="54" t="str">
        <f>IFERROR(IF(INDEX(SPOT_Import!$A$1:$Z$2488,228,'Live Data'!$C$15)="","",INDEX(SPOT_Import!$A$1:$Z$2488,228,'Live Data'!$C$15)),"")</f>
        <v>Manyatta</v>
      </c>
      <c r="E228" s="54" t="str">
        <f>IFERROR(IF(INDEX(SPOT_Import!$A$1:$Z$2488,228,'Live Data'!$C$16)="","",INDEX(SPOT_Import!$A$1:$Z$2488,228,'Live Data'!$C$16)),"")</f>
        <v>USAID Jamii Tekelezi</v>
      </c>
      <c r="F228" s="54" t="str">
        <f>IFERROR(IF(INDEX(SPOT_Import!$A$1:$Z$2488,228,'Live Data'!$C$17)="","",INDEX(SPOT_Import!$A$1:$Z$2488,228,'Live Data'!$C$17)),"")</f>
        <v>PREP</v>
      </c>
      <c r="G228" s="54">
        <f>IFERROR(IF(INDEX(SPOT_Import!$A$1:$Z$2488,228,'Live Data'!$C$18)="","",INDEX(SPOT_Import!$A$1:$Z$2488,228,'Live Data'!$C$18)),"")</f>
        <v>40</v>
      </c>
      <c r="H228" s="54" t="str">
        <f>IFERROR(IF(INDEX(SPOT_Import!$A$1:$Z$2488,228,'Live Data'!$C$19)="","",INDEX(SPOT_Import!$A$1:$Z$2488,228,'Live Data'!$C$19)),"")</f>
        <v/>
      </c>
      <c r="I228" s="54" t="str">
        <f>IFERROR(IF(INDEX(SPOT_Import!$A$1:$Z$2488,228,'Live Data'!$C$20)="","",INDEX(SPOT_Import!$A$1:$Z$2488,228,'Live Data'!$C$20)),"")</f>
        <v>Incomplete</v>
      </c>
      <c r="J228" s="54" t="str">
        <f>IFERROR(IF(INDEX(SPOT_Import!$A$1:$Z$2488,228,'Live Data'!$C$21)="","",INDEX(SPOT_Import!$A$1:$Z$2488,228,'Live Data'!$C$21)),"")</f>
        <v>2026-10-07T09:32:24.000Z</v>
      </c>
      <c r="K228" s="54" t="str">
        <f>IFERROR(IF(INDEX(SPOT_Import!$A$1:$Z$2488,228,'Live Data'!$C$22)="","",INDEX(SPOT_Import!$A$1:$Z$2488,228,'Live Data'!$C$22)),"")</f>
        <v>2026-10-07T09:32:24.000Z</v>
      </c>
      <c r="L228" s="55" t="str">
        <f t="shared" si="6"/>
        <v>2026-10</v>
      </c>
      <c r="M228" s="55" t="str">
        <f t="shared" si="7"/>
        <v>EMBU</v>
      </c>
      <c r="N228" s="55" t="str">
        <f>IF(A228="","",IFERROR(INDEX('Cluster Map'!$A$4:$A$38,MATCH(M228,'Cluster Map'!$B$4:$B$38,0)),"Unmapped"))</f>
        <v>Cluster 2</v>
      </c>
      <c r="O228" s="55">
        <f>IF(A228="",0,IF(COUNTIFS($A$2:A228,A228,$F$2:F228,F228,$L$2:L228,L228)=1,1,0))</f>
        <v>1</v>
      </c>
      <c r="P228" s="55">
        <f>IF(A228="",0,IF(AND(F228="C&amp;T",COUNTIFS($A$2:A228,A228,$F$2:F228,"C&amp;T")=1),1,0))</f>
        <v>0</v>
      </c>
    </row>
    <row r="229" spans="1:16" x14ac:dyDescent="0.35">
      <c r="A229" s="54">
        <f>IFERROR(IF(INDEX(SPOT_Import!$A$1:$Z$2488,229,'Live Data'!$C$12)="","",INDEX(SPOT_Import!$A$1:$Z$2488,229,'Live Data'!$C$12)),"")</f>
        <v>12359</v>
      </c>
      <c r="B229" s="54" t="str">
        <f>IFERROR(IF(INDEX(SPOT_Import!$A$1:$Z$2488,229,'Live Data'!$C$13)="","",INDEX(SPOT_Import!$A$1:$Z$2488,229,'Live Data'!$C$13)),"")</f>
        <v>Kithimu Dispensary</v>
      </c>
      <c r="C229" s="54" t="str">
        <f>IFERROR(IF(INDEX(SPOT_Import!$A$1:$Z$2488,229,'Live Data'!$C$14)="","",INDEX(SPOT_Import!$A$1:$Z$2488,229,'Live Data'!$C$14)),"")</f>
        <v>EMBU</v>
      </c>
      <c r="D229" s="54" t="str">
        <f>IFERROR(IF(INDEX(SPOT_Import!$A$1:$Z$2488,229,'Live Data'!$C$15)="","",INDEX(SPOT_Import!$A$1:$Z$2488,229,'Live Data'!$C$15)),"")</f>
        <v>Manyatta</v>
      </c>
      <c r="E229" s="54" t="str">
        <f>IFERROR(IF(INDEX(SPOT_Import!$A$1:$Z$2488,229,'Live Data'!$C$16)="","",INDEX(SPOT_Import!$A$1:$Z$2488,229,'Live Data'!$C$16)),"")</f>
        <v>USAID Jamii Tekelezi</v>
      </c>
      <c r="F229" s="54" t="str">
        <f>IFERROR(IF(INDEX(SPOT_Import!$A$1:$Z$2488,229,'Live Data'!$C$17)="","",INDEX(SPOT_Import!$A$1:$Z$2488,229,'Live Data'!$C$17)),"")</f>
        <v>MNCH</v>
      </c>
      <c r="G229" s="54">
        <f>IFERROR(IF(INDEX(SPOT_Import!$A$1:$Z$2488,229,'Live Data'!$C$18)="","",INDEX(SPOT_Import!$A$1:$Z$2488,229,'Live Data'!$C$18)),"")</f>
        <v>13</v>
      </c>
      <c r="H229" s="54" t="str">
        <f>IFERROR(IF(INDEX(SPOT_Import!$A$1:$Z$2488,229,'Live Data'!$C$19)="","",INDEX(SPOT_Import!$A$1:$Z$2488,229,'Live Data'!$C$19)),"")</f>
        <v/>
      </c>
      <c r="I229" s="54" t="str">
        <f>IFERROR(IF(INDEX(SPOT_Import!$A$1:$Z$2488,229,'Live Data'!$C$20)="","",INDEX(SPOT_Import!$A$1:$Z$2488,229,'Live Data'!$C$20)),"")</f>
        <v>Incomplete</v>
      </c>
      <c r="J229" s="54" t="str">
        <f>IFERROR(IF(INDEX(SPOT_Import!$A$1:$Z$2488,229,'Live Data'!$C$21)="","",INDEX(SPOT_Import!$A$1:$Z$2488,229,'Live Data'!$C$21)),"")</f>
        <v>2026-10-07T09:32:17.000Z</v>
      </c>
      <c r="K229" s="54" t="str">
        <f>IFERROR(IF(INDEX(SPOT_Import!$A$1:$Z$2488,229,'Live Data'!$C$22)="","",INDEX(SPOT_Import!$A$1:$Z$2488,229,'Live Data'!$C$22)),"")</f>
        <v>2026-10-07T09:32:17.000Z</v>
      </c>
      <c r="L229" s="55" t="str">
        <f t="shared" si="6"/>
        <v>2026-10</v>
      </c>
      <c r="M229" s="55" t="str">
        <f t="shared" si="7"/>
        <v>EMBU</v>
      </c>
      <c r="N229" s="55" t="str">
        <f>IF(A229="","",IFERROR(INDEX('Cluster Map'!$A$4:$A$38,MATCH(M229,'Cluster Map'!$B$4:$B$38,0)),"Unmapped"))</f>
        <v>Cluster 2</v>
      </c>
      <c r="O229" s="55">
        <f>IF(A229="",0,IF(COUNTIFS($A$2:A229,A229,$F$2:F229,F229,$L$2:L229,L229)=1,1,0))</f>
        <v>1</v>
      </c>
      <c r="P229" s="55">
        <f>IF(A229="",0,IF(AND(F229="C&amp;T",COUNTIFS($A$2:A229,A229,$F$2:F229,"C&amp;T")=1),1,0))</f>
        <v>0</v>
      </c>
    </row>
    <row r="230" spans="1:16" x14ac:dyDescent="0.35">
      <c r="A230" s="54">
        <f>IFERROR(IF(INDEX(SPOT_Import!$A$1:$Z$2488,230,'Live Data'!$C$12)="","",INDEX(SPOT_Import!$A$1:$Z$2488,230,'Live Data'!$C$12)),"")</f>
        <v>12359</v>
      </c>
      <c r="B230" s="54" t="str">
        <f>IFERROR(IF(INDEX(SPOT_Import!$A$1:$Z$2488,230,'Live Data'!$C$13)="","",INDEX(SPOT_Import!$A$1:$Z$2488,230,'Live Data'!$C$13)),"")</f>
        <v>Kithimu Dispensary</v>
      </c>
      <c r="C230" s="54" t="str">
        <f>IFERROR(IF(INDEX(SPOT_Import!$A$1:$Z$2488,230,'Live Data'!$C$14)="","",INDEX(SPOT_Import!$A$1:$Z$2488,230,'Live Data'!$C$14)),"")</f>
        <v>EMBU</v>
      </c>
      <c r="D230" s="54" t="str">
        <f>IFERROR(IF(INDEX(SPOT_Import!$A$1:$Z$2488,230,'Live Data'!$C$15)="","",INDEX(SPOT_Import!$A$1:$Z$2488,230,'Live Data'!$C$15)),"")</f>
        <v>Manyatta</v>
      </c>
      <c r="E230" s="54" t="str">
        <f>IFERROR(IF(INDEX(SPOT_Import!$A$1:$Z$2488,230,'Live Data'!$C$16)="","",INDEX(SPOT_Import!$A$1:$Z$2488,230,'Live Data'!$C$16)),"")</f>
        <v>USAID Jamii Tekelezi</v>
      </c>
      <c r="F230" s="54" t="str">
        <f>IFERROR(IF(INDEX(SPOT_Import!$A$1:$Z$2488,230,'Live Data'!$C$17)="","",INDEX(SPOT_Import!$A$1:$Z$2488,230,'Live Data'!$C$17)),"")</f>
        <v>HTS</v>
      </c>
      <c r="G230" s="54">
        <f>IFERROR(IF(INDEX(SPOT_Import!$A$1:$Z$2488,230,'Live Data'!$C$18)="","",INDEX(SPOT_Import!$A$1:$Z$2488,230,'Live Data'!$C$18)),"")</f>
        <v>931</v>
      </c>
      <c r="H230" s="54">
        <f>IFERROR(IF(INDEX(SPOT_Import!$A$1:$Z$2488,230,'Live Data'!$C$19)="","",INDEX(SPOT_Import!$A$1:$Z$2488,230,'Live Data'!$C$19)),"")</f>
        <v>931</v>
      </c>
      <c r="I230" s="54" t="str">
        <f>IFERROR(IF(INDEX(SPOT_Import!$A$1:$Z$2488,230,'Live Data'!$C$20)="","",INDEX(SPOT_Import!$A$1:$Z$2488,230,'Live Data'!$C$20)),"")</f>
        <v>Complete</v>
      </c>
      <c r="J230" s="54" t="str">
        <f>IFERROR(IF(INDEX(SPOT_Import!$A$1:$Z$2488,230,'Live Data'!$C$21)="","",INDEX(SPOT_Import!$A$1:$Z$2488,230,'Live Data'!$C$21)),"")</f>
        <v>2026-10-07T09:32:07.000Z</v>
      </c>
      <c r="K230" s="54" t="str">
        <f>IFERROR(IF(INDEX(SPOT_Import!$A$1:$Z$2488,230,'Live Data'!$C$22)="","",INDEX(SPOT_Import!$A$1:$Z$2488,230,'Live Data'!$C$22)),"")</f>
        <v>2026-10-07T09:32:07.000Z</v>
      </c>
      <c r="L230" s="55" t="str">
        <f t="shared" si="6"/>
        <v>2026-10</v>
      </c>
      <c r="M230" s="55" t="str">
        <f t="shared" si="7"/>
        <v>EMBU</v>
      </c>
      <c r="N230" s="55" t="str">
        <f>IF(A230="","",IFERROR(INDEX('Cluster Map'!$A$4:$A$38,MATCH(M230,'Cluster Map'!$B$4:$B$38,0)),"Unmapped"))</f>
        <v>Cluster 2</v>
      </c>
      <c r="O230" s="55">
        <f>IF(A230="",0,IF(COUNTIFS($A$2:A230,A230,$F$2:F230,F230,$L$2:L230,L230)=1,1,0))</f>
        <v>1</v>
      </c>
      <c r="P230" s="55">
        <f>IF(A230="",0,IF(AND(F230="C&amp;T",COUNTIFS($A$2:A230,A230,$F$2:F230,"C&amp;T")=1),1,0))</f>
        <v>0</v>
      </c>
    </row>
    <row r="231" spans="1:16" x14ac:dyDescent="0.35">
      <c r="A231" s="54">
        <f>IFERROR(IF(INDEX(SPOT_Import!$A$1:$Z$2488,231,'Live Data'!$C$12)="","",INDEX(SPOT_Import!$A$1:$Z$2488,231,'Live Data'!$C$12)),"")</f>
        <v>12328</v>
      </c>
      <c r="B231" s="54" t="str">
        <f>IFERROR(IF(INDEX(SPOT_Import!$A$1:$Z$2488,231,'Live Data'!$C$13)="","",INDEX(SPOT_Import!$A$1:$Z$2488,231,'Live Data'!$C$13)),"")</f>
        <v>Kionyo Dispensary</v>
      </c>
      <c r="C231" s="54" t="str">
        <f>IFERROR(IF(INDEX(SPOT_Import!$A$1:$Z$2488,231,'Live Data'!$C$14)="","",INDEX(SPOT_Import!$A$1:$Z$2488,231,'Live Data'!$C$14)),"")</f>
        <v>MERU</v>
      </c>
      <c r="D231" s="54" t="str">
        <f>IFERROR(IF(INDEX(SPOT_Import!$A$1:$Z$2488,231,'Live Data'!$C$15)="","",INDEX(SPOT_Import!$A$1:$Z$2488,231,'Live Data'!$C$15)),"")</f>
        <v>Imenti South</v>
      </c>
      <c r="E231" s="54" t="str">
        <f>IFERROR(IF(INDEX(SPOT_Import!$A$1:$Z$2488,231,'Live Data'!$C$16)="","",INDEX(SPOT_Import!$A$1:$Z$2488,231,'Live Data'!$C$16)),"")</f>
        <v>USAID Jamii Tekelezi</v>
      </c>
      <c r="F231" s="54" t="str">
        <f>IFERROR(IF(INDEX(SPOT_Import!$A$1:$Z$2488,231,'Live Data'!$C$17)="","",INDEX(SPOT_Import!$A$1:$Z$2488,231,'Live Data'!$C$17)),"")</f>
        <v>PREP</v>
      </c>
      <c r="G231" s="54">
        <f>IFERROR(IF(INDEX(SPOT_Import!$A$1:$Z$2488,231,'Live Data'!$C$18)="","",INDEX(SPOT_Import!$A$1:$Z$2488,231,'Live Data'!$C$18)),"")</f>
        <v>1</v>
      </c>
      <c r="H231" s="54">
        <f>IFERROR(IF(INDEX(SPOT_Import!$A$1:$Z$2488,231,'Live Data'!$C$19)="","",INDEX(SPOT_Import!$A$1:$Z$2488,231,'Live Data'!$C$19)),"")</f>
        <v>1</v>
      </c>
      <c r="I231" s="54" t="str">
        <f>IFERROR(IF(INDEX(SPOT_Import!$A$1:$Z$2488,231,'Live Data'!$C$20)="","",INDEX(SPOT_Import!$A$1:$Z$2488,231,'Live Data'!$C$20)),"")</f>
        <v>Complete</v>
      </c>
      <c r="J231" s="54" t="str">
        <f>IFERROR(IF(INDEX(SPOT_Import!$A$1:$Z$2488,231,'Live Data'!$C$21)="","",INDEX(SPOT_Import!$A$1:$Z$2488,231,'Live Data'!$C$21)),"")</f>
        <v>2026-10-07T09:24:27.000Z</v>
      </c>
      <c r="K231" s="54" t="str">
        <f>IFERROR(IF(INDEX(SPOT_Import!$A$1:$Z$2488,231,'Live Data'!$C$22)="","",INDEX(SPOT_Import!$A$1:$Z$2488,231,'Live Data'!$C$22)),"")</f>
        <v>2026-10-07T09:24:27.000Z</v>
      </c>
      <c r="L231" s="55" t="str">
        <f t="shared" si="6"/>
        <v>2026-10</v>
      </c>
      <c r="M231" s="55" t="str">
        <f t="shared" si="7"/>
        <v>MERU</v>
      </c>
      <c r="N231" s="55" t="str">
        <f>IF(A231="","",IFERROR(INDEX('Cluster Map'!$A$4:$A$38,MATCH(M231,'Cluster Map'!$B$4:$B$38,0)),"Unmapped"))</f>
        <v>Cluster 1</v>
      </c>
      <c r="O231" s="55">
        <f>IF(A231="",0,IF(COUNTIFS($A$2:A231,A231,$F$2:F231,F231,$L$2:L231,L231)=1,1,0))</f>
        <v>1</v>
      </c>
      <c r="P231" s="55">
        <f>IF(A231="",0,IF(AND(F231="C&amp;T",COUNTIFS($A$2:A231,A231,$F$2:F231,"C&amp;T")=1),1,0))</f>
        <v>0</v>
      </c>
    </row>
    <row r="232" spans="1:16" x14ac:dyDescent="0.35">
      <c r="A232" s="54">
        <f>IFERROR(IF(INDEX(SPOT_Import!$A$1:$Z$2488,232,'Live Data'!$C$12)="","",INDEX(SPOT_Import!$A$1:$Z$2488,232,'Live Data'!$C$12)),"")</f>
        <v>12328</v>
      </c>
      <c r="B232" s="54" t="str">
        <f>IFERROR(IF(INDEX(SPOT_Import!$A$1:$Z$2488,232,'Live Data'!$C$13)="","",INDEX(SPOT_Import!$A$1:$Z$2488,232,'Live Data'!$C$13)),"")</f>
        <v>Kionyo Dispensary</v>
      </c>
      <c r="C232" s="54" t="str">
        <f>IFERROR(IF(INDEX(SPOT_Import!$A$1:$Z$2488,232,'Live Data'!$C$14)="","",INDEX(SPOT_Import!$A$1:$Z$2488,232,'Live Data'!$C$14)),"")</f>
        <v>MERU</v>
      </c>
      <c r="D232" s="54" t="str">
        <f>IFERROR(IF(INDEX(SPOT_Import!$A$1:$Z$2488,232,'Live Data'!$C$15)="","",INDEX(SPOT_Import!$A$1:$Z$2488,232,'Live Data'!$C$15)),"")</f>
        <v>Imenti South</v>
      </c>
      <c r="E232" s="54" t="str">
        <f>IFERROR(IF(INDEX(SPOT_Import!$A$1:$Z$2488,232,'Live Data'!$C$16)="","",INDEX(SPOT_Import!$A$1:$Z$2488,232,'Live Data'!$C$16)),"")</f>
        <v>USAID Jamii Tekelezi</v>
      </c>
      <c r="F232" s="54" t="str">
        <f>IFERROR(IF(INDEX(SPOT_Import!$A$1:$Z$2488,232,'Live Data'!$C$17)="","",INDEX(SPOT_Import!$A$1:$Z$2488,232,'Live Data'!$C$17)),"")</f>
        <v>MNCH</v>
      </c>
      <c r="G232" s="54">
        <f>IFERROR(IF(INDEX(SPOT_Import!$A$1:$Z$2488,232,'Live Data'!$C$18)="","",INDEX(SPOT_Import!$A$1:$Z$2488,232,'Live Data'!$C$18)),"")</f>
        <v>2</v>
      </c>
      <c r="H232" s="54">
        <f>IFERROR(IF(INDEX(SPOT_Import!$A$1:$Z$2488,232,'Live Data'!$C$19)="","",INDEX(SPOT_Import!$A$1:$Z$2488,232,'Live Data'!$C$19)),"")</f>
        <v>2</v>
      </c>
      <c r="I232" s="54" t="str">
        <f>IFERROR(IF(INDEX(SPOT_Import!$A$1:$Z$2488,232,'Live Data'!$C$20)="","",INDEX(SPOT_Import!$A$1:$Z$2488,232,'Live Data'!$C$20)),"")</f>
        <v>Complete</v>
      </c>
      <c r="J232" s="54" t="str">
        <f>IFERROR(IF(INDEX(SPOT_Import!$A$1:$Z$2488,232,'Live Data'!$C$21)="","",INDEX(SPOT_Import!$A$1:$Z$2488,232,'Live Data'!$C$21)),"")</f>
        <v>2026-10-07T09:24:08.000Z</v>
      </c>
      <c r="K232" s="54" t="str">
        <f>IFERROR(IF(INDEX(SPOT_Import!$A$1:$Z$2488,232,'Live Data'!$C$22)="","",INDEX(SPOT_Import!$A$1:$Z$2488,232,'Live Data'!$C$22)),"")</f>
        <v>2026-10-07T09:24:08.000Z</v>
      </c>
      <c r="L232" s="55" t="str">
        <f t="shared" si="6"/>
        <v>2026-10</v>
      </c>
      <c r="M232" s="55" t="str">
        <f t="shared" si="7"/>
        <v>MERU</v>
      </c>
      <c r="N232" s="55" t="str">
        <f>IF(A232="","",IFERROR(INDEX('Cluster Map'!$A$4:$A$38,MATCH(M232,'Cluster Map'!$B$4:$B$38,0)),"Unmapped"))</f>
        <v>Cluster 1</v>
      </c>
      <c r="O232" s="55">
        <f>IF(A232="",0,IF(COUNTIFS($A$2:A232,A232,$F$2:F232,F232,$L$2:L232,L232)=1,1,0))</f>
        <v>1</v>
      </c>
      <c r="P232" s="55">
        <f>IF(A232="",0,IF(AND(F232="C&amp;T",COUNTIFS($A$2:A232,A232,$F$2:F232,"C&amp;T")=1),1,0))</f>
        <v>0</v>
      </c>
    </row>
    <row r="233" spans="1:16" x14ac:dyDescent="0.35">
      <c r="A233" s="54">
        <f>IFERROR(IF(INDEX(SPOT_Import!$A$1:$Z$2488,233,'Live Data'!$C$12)="","",INDEX(SPOT_Import!$A$1:$Z$2488,233,'Live Data'!$C$12)),"")</f>
        <v>12328</v>
      </c>
      <c r="B233" s="54" t="str">
        <f>IFERROR(IF(INDEX(SPOT_Import!$A$1:$Z$2488,233,'Live Data'!$C$13)="","",INDEX(SPOT_Import!$A$1:$Z$2488,233,'Live Data'!$C$13)),"")</f>
        <v>Kionyo Dispensary</v>
      </c>
      <c r="C233" s="54" t="str">
        <f>IFERROR(IF(INDEX(SPOT_Import!$A$1:$Z$2488,233,'Live Data'!$C$14)="","",INDEX(SPOT_Import!$A$1:$Z$2488,233,'Live Data'!$C$14)),"")</f>
        <v>MERU</v>
      </c>
      <c r="D233" s="54" t="str">
        <f>IFERROR(IF(INDEX(SPOT_Import!$A$1:$Z$2488,233,'Live Data'!$C$15)="","",INDEX(SPOT_Import!$A$1:$Z$2488,233,'Live Data'!$C$15)),"")</f>
        <v>Imenti South</v>
      </c>
      <c r="E233" s="54" t="str">
        <f>IFERROR(IF(INDEX(SPOT_Import!$A$1:$Z$2488,233,'Live Data'!$C$16)="","",INDEX(SPOT_Import!$A$1:$Z$2488,233,'Live Data'!$C$16)),"")</f>
        <v>USAID Jamii Tekelezi</v>
      </c>
      <c r="F233" s="54" t="str">
        <f>IFERROR(IF(INDEX(SPOT_Import!$A$1:$Z$2488,233,'Live Data'!$C$17)="","",INDEX(SPOT_Import!$A$1:$Z$2488,233,'Live Data'!$C$17)),"")</f>
        <v>HTS</v>
      </c>
      <c r="G233" s="54">
        <f>IFERROR(IF(INDEX(SPOT_Import!$A$1:$Z$2488,233,'Live Data'!$C$18)="","",INDEX(SPOT_Import!$A$1:$Z$2488,233,'Live Data'!$C$18)),"")</f>
        <v>50</v>
      </c>
      <c r="H233" s="54">
        <f>IFERROR(IF(INDEX(SPOT_Import!$A$1:$Z$2488,233,'Live Data'!$C$19)="","",INDEX(SPOT_Import!$A$1:$Z$2488,233,'Live Data'!$C$19)),"")</f>
        <v>50</v>
      </c>
      <c r="I233" s="54" t="str">
        <f>IFERROR(IF(INDEX(SPOT_Import!$A$1:$Z$2488,233,'Live Data'!$C$20)="","",INDEX(SPOT_Import!$A$1:$Z$2488,233,'Live Data'!$C$20)),"")</f>
        <v>Complete</v>
      </c>
      <c r="J233" s="54" t="str">
        <f>IFERROR(IF(INDEX(SPOT_Import!$A$1:$Z$2488,233,'Live Data'!$C$21)="","",INDEX(SPOT_Import!$A$1:$Z$2488,233,'Live Data'!$C$21)),"")</f>
        <v>2026-10-07T09:23:46.000Z</v>
      </c>
      <c r="K233" s="54" t="str">
        <f>IFERROR(IF(INDEX(SPOT_Import!$A$1:$Z$2488,233,'Live Data'!$C$22)="","",INDEX(SPOT_Import!$A$1:$Z$2488,233,'Live Data'!$C$22)),"")</f>
        <v>2026-10-07T09:23:46.000Z</v>
      </c>
      <c r="L233" s="55" t="str">
        <f t="shared" si="6"/>
        <v>2026-10</v>
      </c>
      <c r="M233" s="55" t="str">
        <f t="shared" si="7"/>
        <v>MERU</v>
      </c>
      <c r="N233" s="55" t="str">
        <f>IF(A233="","",IFERROR(INDEX('Cluster Map'!$A$4:$A$38,MATCH(M233,'Cluster Map'!$B$4:$B$38,0)),"Unmapped"))</f>
        <v>Cluster 1</v>
      </c>
      <c r="O233" s="55">
        <f>IF(A233="",0,IF(COUNTIFS($A$2:A233,A233,$F$2:F233,F233,$L$2:L233,L233)=1,1,0))</f>
        <v>1</v>
      </c>
      <c r="P233" s="55">
        <f>IF(A233="",0,IF(AND(F233="C&amp;T",COUNTIFS($A$2:A233,A233,$F$2:F233,"C&amp;T")=1),1,0))</f>
        <v>0</v>
      </c>
    </row>
    <row r="234" spans="1:16" x14ac:dyDescent="0.35">
      <c r="A234" s="54">
        <f>IFERROR(IF(INDEX(SPOT_Import!$A$1:$Z$2488,234,'Live Data'!$C$12)="","",INDEX(SPOT_Import!$A$1:$Z$2488,234,'Live Data'!$C$12)),"")</f>
        <v>12222</v>
      </c>
      <c r="B234" s="54" t="str">
        <f>IFERROR(IF(INDEX(SPOT_Import!$A$1:$Z$2488,234,'Live Data'!$C$13)="","",INDEX(SPOT_Import!$A$1:$Z$2488,234,'Live Data'!$C$13)),"")</f>
        <v>Kathangacini Dispensary</v>
      </c>
      <c r="C234" s="54" t="str">
        <f>IFERROR(IF(INDEX(SPOT_Import!$A$1:$Z$2488,234,'Live Data'!$C$14)="","",INDEX(SPOT_Import!$A$1:$Z$2488,234,'Live Data'!$C$14)),"")</f>
        <v>THARAKA-NITHI</v>
      </c>
      <c r="D234" s="54" t="str">
        <f>IFERROR(IF(INDEX(SPOT_Import!$A$1:$Z$2488,234,'Live Data'!$C$15)="","",INDEX(SPOT_Import!$A$1:$Z$2488,234,'Live Data'!$C$15)),"")</f>
        <v>Tharaka North</v>
      </c>
      <c r="E234" s="54" t="str">
        <f>IFERROR(IF(INDEX(SPOT_Import!$A$1:$Z$2488,234,'Live Data'!$C$16)="","",INDEX(SPOT_Import!$A$1:$Z$2488,234,'Live Data'!$C$16)),"")</f>
        <v>USAID Jamii Tekelezi</v>
      </c>
      <c r="F234" s="54" t="str">
        <f>IFERROR(IF(INDEX(SPOT_Import!$A$1:$Z$2488,234,'Live Data'!$C$17)="","",INDEX(SPOT_Import!$A$1:$Z$2488,234,'Live Data'!$C$17)),"")</f>
        <v>PREP</v>
      </c>
      <c r="G234" s="54">
        <f>IFERROR(IF(INDEX(SPOT_Import!$A$1:$Z$2488,234,'Live Data'!$C$18)="","",INDEX(SPOT_Import!$A$1:$Z$2488,234,'Live Data'!$C$18)),"")</f>
        <v>1</v>
      </c>
      <c r="H234" s="54">
        <f>IFERROR(IF(INDEX(SPOT_Import!$A$1:$Z$2488,234,'Live Data'!$C$19)="","",INDEX(SPOT_Import!$A$1:$Z$2488,234,'Live Data'!$C$19)),"")</f>
        <v>1</v>
      </c>
      <c r="I234" s="54" t="str">
        <f>IFERROR(IF(INDEX(SPOT_Import!$A$1:$Z$2488,234,'Live Data'!$C$20)="","",INDEX(SPOT_Import!$A$1:$Z$2488,234,'Live Data'!$C$20)),"")</f>
        <v>Complete</v>
      </c>
      <c r="J234" s="54" t="str">
        <f>IFERROR(IF(INDEX(SPOT_Import!$A$1:$Z$2488,234,'Live Data'!$C$21)="","",INDEX(SPOT_Import!$A$1:$Z$2488,234,'Live Data'!$C$21)),"")</f>
        <v>2026-10-07T09:20:38.000Z</v>
      </c>
      <c r="K234" s="54" t="str">
        <f>IFERROR(IF(INDEX(SPOT_Import!$A$1:$Z$2488,234,'Live Data'!$C$22)="","",INDEX(SPOT_Import!$A$1:$Z$2488,234,'Live Data'!$C$22)),"")</f>
        <v>2026-10-07T09:20:38.000Z</v>
      </c>
      <c r="L234" s="55" t="str">
        <f t="shared" si="6"/>
        <v>2026-10</v>
      </c>
      <c r="M234" s="55" t="str">
        <f t="shared" si="7"/>
        <v>THARAKA-NITHI</v>
      </c>
      <c r="N234" s="55" t="str">
        <f>IF(A234="","",IFERROR(INDEX('Cluster Map'!$A$4:$A$38,MATCH(M234,'Cluster Map'!$B$4:$B$38,0)),"Unmapped"))</f>
        <v>Cluster 2</v>
      </c>
      <c r="O234" s="55">
        <f>IF(A234="",0,IF(COUNTIFS($A$2:A234,A234,$F$2:F234,F234,$L$2:L234,L234)=1,1,0))</f>
        <v>1</v>
      </c>
      <c r="P234" s="55">
        <f>IF(A234="",0,IF(AND(F234="C&amp;T",COUNTIFS($A$2:A234,A234,$F$2:F234,"C&amp;T")=1),1,0))</f>
        <v>0</v>
      </c>
    </row>
    <row r="235" spans="1:16" x14ac:dyDescent="0.35">
      <c r="A235" s="54">
        <f>IFERROR(IF(INDEX(SPOT_Import!$A$1:$Z$2488,235,'Live Data'!$C$12)="","",INDEX(SPOT_Import!$A$1:$Z$2488,235,'Live Data'!$C$12)),"")</f>
        <v>12222</v>
      </c>
      <c r="B235" s="54" t="str">
        <f>IFERROR(IF(INDEX(SPOT_Import!$A$1:$Z$2488,235,'Live Data'!$C$13)="","",INDEX(SPOT_Import!$A$1:$Z$2488,235,'Live Data'!$C$13)),"")</f>
        <v>Kathangacini Dispensary</v>
      </c>
      <c r="C235" s="54" t="str">
        <f>IFERROR(IF(INDEX(SPOT_Import!$A$1:$Z$2488,235,'Live Data'!$C$14)="","",INDEX(SPOT_Import!$A$1:$Z$2488,235,'Live Data'!$C$14)),"")</f>
        <v>THARAKA-NITHI</v>
      </c>
      <c r="D235" s="54" t="str">
        <f>IFERROR(IF(INDEX(SPOT_Import!$A$1:$Z$2488,235,'Live Data'!$C$15)="","",INDEX(SPOT_Import!$A$1:$Z$2488,235,'Live Data'!$C$15)),"")</f>
        <v>Tharaka North</v>
      </c>
      <c r="E235" s="54" t="str">
        <f>IFERROR(IF(INDEX(SPOT_Import!$A$1:$Z$2488,235,'Live Data'!$C$16)="","",INDEX(SPOT_Import!$A$1:$Z$2488,235,'Live Data'!$C$16)),"")</f>
        <v>USAID Jamii Tekelezi</v>
      </c>
      <c r="F235" s="54" t="str">
        <f>IFERROR(IF(INDEX(SPOT_Import!$A$1:$Z$2488,235,'Live Data'!$C$17)="","",INDEX(SPOT_Import!$A$1:$Z$2488,235,'Live Data'!$C$17)),"")</f>
        <v>MNCH</v>
      </c>
      <c r="G235" s="54">
        <f>IFERROR(IF(INDEX(SPOT_Import!$A$1:$Z$2488,235,'Live Data'!$C$18)="","",INDEX(SPOT_Import!$A$1:$Z$2488,235,'Live Data'!$C$18)),"")</f>
        <v>1</v>
      </c>
      <c r="H235" s="54">
        <f>IFERROR(IF(INDEX(SPOT_Import!$A$1:$Z$2488,235,'Live Data'!$C$19)="","",INDEX(SPOT_Import!$A$1:$Z$2488,235,'Live Data'!$C$19)),"")</f>
        <v>1</v>
      </c>
      <c r="I235" s="54" t="str">
        <f>IFERROR(IF(INDEX(SPOT_Import!$A$1:$Z$2488,235,'Live Data'!$C$20)="","",INDEX(SPOT_Import!$A$1:$Z$2488,235,'Live Data'!$C$20)),"")</f>
        <v>Complete</v>
      </c>
      <c r="J235" s="54" t="str">
        <f>IFERROR(IF(INDEX(SPOT_Import!$A$1:$Z$2488,235,'Live Data'!$C$21)="","",INDEX(SPOT_Import!$A$1:$Z$2488,235,'Live Data'!$C$21)),"")</f>
        <v>2026-10-07T09:19:57.000Z</v>
      </c>
      <c r="K235" s="54" t="str">
        <f>IFERROR(IF(INDEX(SPOT_Import!$A$1:$Z$2488,235,'Live Data'!$C$22)="","",INDEX(SPOT_Import!$A$1:$Z$2488,235,'Live Data'!$C$22)),"")</f>
        <v>2026-10-07T09:19:57.000Z</v>
      </c>
      <c r="L235" s="55" t="str">
        <f t="shared" si="6"/>
        <v>2026-10</v>
      </c>
      <c r="M235" s="55" t="str">
        <f t="shared" si="7"/>
        <v>THARAKA-NITHI</v>
      </c>
      <c r="N235" s="55" t="str">
        <f>IF(A235="","",IFERROR(INDEX('Cluster Map'!$A$4:$A$38,MATCH(M235,'Cluster Map'!$B$4:$B$38,0)),"Unmapped"))</f>
        <v>Cluster 2</v>
      </c>
      <c r="O235" s="55">
        <f>IF(A235="",0,IF(COUNTIFS($A$2:A235,A235,$F$2:F235,F235,$L$2:L235,L235)=1,1,0))</f>
        <v>1</v>
      </c>
      <c r="P235" s="55">
        <f>IF(A235="",0,IF(AND(F235="C&amp;T",COUNTIFS($A$2:A235,A235,$F$2:F235,"C&amp;T")=1),1,0))</f>
        <v>0</v>
      </c>
    </row>
    <row r="236" spans="1:16" x14ac:dyDescent="0.35">
      <c r="A236" s="54">
        <f>IFERROR(IF(INDEX(SPOT_Import!$A$1:$Z$2488,236,'Live Data'!$C$12)="","",INDEX(SPOT_Import!$A$1:$Z$2488,236,'Live Data'!$C$12)),"")</f>
        <v>12222</v>
      </c>
      <c r="B236" s="54" t="str">
        <f>IFERROR(IF(INDEX(SPOT_Import!$A$1:$Z$2488,236,'Live Data'!$C$13)="","",INDEX(SPOT_Import!$A$1:$Z$2488,236,'Live Data'!$C$13)),"")</f>
        <v>Kathangacini Dispensary</v>
      </c>
      <c r="C236" s="54" t="str">
        <f>IFERROR(IF(INDEX(SPOT_Import!$A$1:$Z$2488,236,'Live Data'!$C$14)="","",INDEX(SPOT_Import!$A$1:$Z$2488,236,'Live Data'!$C$14)),"")</f>
        <v>THARAKA-NITHI</v>
      </c>
      <c r="D236" s="54" t="str">
        <f>IFERROR(IF(INDEX(SPOT_Import!$A$1:$Z$2488,236,'Live Data'!$C$15)="","",INDEX(SPOT_Import!$A$1:$Z$2488,236,'Live Data'!$C$15)),"")</f>
        <v>Tharaka North</v>
      </c>
      <c r="E236" s="54" t="str">
        <f>IFERROR(IF(INDEX(SPOT_Import!$A$1:$Z$2488,236,'Live Data'!$C$16)="","",INDEX(SPOT_Import!$A$1:$Z$2488,236,'Live Data'!$C$16)),"")</f>
        <v>USAID Jamii Tekelezi</v>
      </c>
      <c r="F236" s="54" t="str">
        <f>IFERROR(IF(INDEX(SPOT_Import!$A$1:$Z$2488,236,'Live Data'!$C$17)="","",INDEX(SPOT_Import!$A$1:$Z$2488,236,'Live Data'!$C$17)),"")</f>
        <v>HTS</v>
      </c>
      <c r="G236" s="54">
        <f>IFERROR(IF(INDEX(SPOT_Import!$A$1:$Z$2488,236,'Live Data'!$C$18)="","",INDEX(SPOT_Import!$A$1:$Z$2488,236,'Live Data'!$C$18)),"")</f>
        <v>37</v>
      </c>
      <c r="H236" s="54">
        <f>IFERROR(IF(INDEX(SPOT_Import!$A$1:$Z$2488,236,'Live Data'!$C$19)="","",INDEX(SPOT_Import!$A$1:$Z$2488,236,'Live Data'!$C$19)),"")</f>
        <v>37</v>
      </c>
      <c r="I236" s="54" t="str">
        <f>IFERROR(IF(INDEX(SPOT_Import!$A$1:$Z$2488,236,'Live Data'!$C$20)="","",INDEX(SPOT_Import!$A$1:$Z$2488,236,'Live Data'!$C$20)),"")</f>
        <v>Complete</v>
      </c>
      <c r="J236" s="54" t="str">
        <f>IFERROR(IF(INDEX(SPOT_Import!$A$1:$Z$2488,236,'Live Data'!$C$21)="","",INDEX(SPOT_Import!$A$1:$Z$2488,236,'Live Data'!$C$21)),"")</f>
        <v>2026-10-07T09:19:33.000Z</v>
      </c>
      <c r="K236" s="54" t="str">
        <f>IFERROR(IF(INDEX(SPOT_Import!$A$1:$Z$2488,236,'Live Data'!$C$22)="","",INDEX(SPOT_Import!$A$1:$Z$2488,236,'Live Data'!$C$22)),"")</f>
        <v>2026-10-07T09:19:33.000Z</v>
      </c>
      <c r="L236" s="55" t="str">
        <f t="shared" si="6"/>
        <v>2026-10</v>
      </c>
      <c r="M236" s="55" t="str">
        <f t="shared" si="7"/>
        <v>THARAKA-NITHI</v>
      </c>
      <c r="N236" s="55" t="str">
        <f>IF(A236="","",IFERROR(INDEX('Cluster Map'!$A$4:$A$38,MATCH(M236,'Cluster Map'!$B$4:$B$38,0)),"Unmapped"))</f>
        <v>Cluster 2</v>
      </c>
      <c r="O236" s="55">
        <f>IF(A236="",0,IF(COUNTIFS($A$2:A236,A236,$F$2:F236,F236,$L$2:L236,L236)=1,1,0))</f>
        <v>1</v>
      </c>
      <c r="P236" s="55">
        <f>IF(A236="",0,IF(AND(F236="C&amp;T",COUNTIFS($A$2:A236,A236,$F$2:F236,"C&amp;T")=1),1,0))</f>
        <v>0</v>
      </c>
    </row>
    <row r="237" spans="1:16" x14ac:dyDescent="0.35">
      <c r="A237" s="54">
        <f>IFERROR(IF(INDEX(SPOT_Import!$A$1:$Z$2488,237,'Live Data'!$C$12)="","",INDEX(SPOT_Import!$A$1:$Z$2488,237,'Live Data'!$C$12)),"")</f>
        <v>12328</v>
      </c>
      <c r="B237" s="54" t="str">
        <f>IFERROR(IF(INDEX(SPOT_Import!$A$1:$Z$2488,237,'Live Data'!$C$13)="","",INDEX(SPOT_Import!$A$1:$Z$2488,237,'Live Data'!$C$13)),"")</f>
        <v>Kionyo Dispensary (Imenti South)</v>
      </c>
      <c r="C237" s="54" t="str">
        <f>IFERROR(IF(INDEX(SPOT_Import!$A$1:$Z$2488,237,'Live Data'!$C$14)="","",INDEX(SPOT_Import!$A$1:$Z$2488,237,'Live Data'!$C$14)),"")</f>
        <v>MERU</v>
      </c>
      <c r="D237" s="54" t="str">
        <f>IFERROR(IF(INDEX(SPOT_Import!$A$1:$Z$2488,237,'Live Data'!$C$15)="","",INDEX(SPOT_Import!$A$1:$Z$2488,237,'Live Data'!$C$15)),"")</f>
        <v>Imenti South</v>
      </c>
      <c r="E237" s="54" t="str">
        <f>IFERROR(IF(INDEX(SPOT_Import!$A$1:$Z$2488,237,'Live Data'!$C$16)="","",INDEX(SPOT_Import!$A$1:$Z$2488,237,'Live Data'!$C$16)),"")</f>
        <v>USAID Jamii Tekelezi</v>
      </c>
      <c r="F237" s="54" t="str">
        <f>IFERROR(IF(INDEX(SPOT_Import!$A$1:$Z$2488,237,'Live Data'!$C$17)="","",INDEX(SPOT_Import!$A$1:$Z$2488,237,'Live Data'!$C$17)),"")</f>
        <v>C&amp;T</v>
      </c>
      <c r="G237" s="54">
        <f>IFERROR(IF(INDEX(SPOT_Import!$A$1:$Z$2488,237,'Live Data'!$C$18)="","",INDEX(SPOT_Import!$A$1:$Z$2488,237,'Live Data'!$C$18)),"")</f>
        <v>74</v>
      </c>
      <c r="H237" s="54">
        <f>IFERROR(IF(INDEX(SPOT_Import!$A$1:$Z$2488,237,'Live Data'!$C$19)="","",INDEX(SPOT_Import!$A$1:$Z$2488,237,'Live Data'!$C$19)),"")</f>
        <v>74</v>
      </c>
      <c r="I237" s="54" t="str">
        <f>IFERROR(IF(INDEX(SPOT_Import!$A$1:$Z$2488,237,'Live Data'!$C$20)="","",INDEX(SPOT_Import!$A$1:$Z$2488,237,'Live Data'!$C$20)),"")</f>
        <v>Complete</v>
      </c>
      <c r="J237" s="54" t="str">
        <f>IFERROR(IF(INDEX(SPOT_Import!$A$1:$Z$2488,237,'Live Data'!$C$21)="","",INDEX(SPOT_Import!$A$1:$Z$2488,237,'Live Data'!$C$21)),"")</f>
        <v>2026-10-07T09:01:35.000Z</v>
      </c>
      <c r="K237" s="54" t="str">
        <f>IFERROR(IF(INDEX(SPOT_Import!$A$1:$Z$2488,237,'Live Data'!$C$22)="","",INDEX(SPOT_Import!$A$1:$Z$2488,237,'Live Data'!$C$22)),"")</f>
        <v>2026-10-07T09:01:35.000Z</v>
      </c>
      <c r="L237" s="55" t="str">
        <f t="shared" si="6"/>
        <v>2026-10</v>
      </c>
      <c r="M237" s="55" t="str">
        <f t="shared" si="7"/>
        <v>MERU</v>
      </c>
      <c r="N237" s="55" t="str">
        <f>IF(A237="","",IFERROR(INDEX('Cluster Map'!$A$4:$A$38,MATCH(M237,'Cluster Map'!$B$4:$B$38,0)),"Unmapped"))</f>
        <v>Cluster 1</v>
      </c>
      <c r="O237" s="55">
        <f>IF(A237="",0,IF(COUNTIFS($A$2:A237,A237,$F$2:F237,F237,$L$2:L237,L237)=1,1,0))</f>
        <v>1</v>
      </c>
      <c r="P237" s="55">
        <f>IF(A237="",0,IF(AND(F237="C&amp;T",COUNTIFS($A$2:A237,A237,$F$2:F237,"C&amp;T")=1),1,0))</f>
        <v>1</v>
      </c>
    </row>
    <row r="238" spans="1:16" x14ac:dyDescent="0.35">
      <c r="A238" s="54">
        <f>IFERROR(IF(INDEX(SPOT_Import!$A$1:$Z$2488,238,'Live Data'!$C$12)="","",INDEX(SPOT_Import!$A$1:$Z$2488,238,'Live Data'!$C$12)),"")</f>
        <v>16235</v>
      </c>
      <c r="B238" s="54" t="str">
        <f>IFERROR(IF(INDEX(SPOT_Import!$A$1:$Z$2488,238,'Live Data'!$C$13)="","",INDEX(SPOT_Import!$A$1:$Z$2488,238,'Live Data'!$C$13)),"")</f>
        <v>Kiguchwa Dispensary</v>
      </c>
      <c r="C238" s="54" t="str">
        <f>IFERROR(IF(INDEX(SPOT_Import!$A$1:$Z$2488,238,'Live Data'!$C$14)="","",INDEX(SPOT_Import!$A$1:$Z$2488,238,'Live Data'!$C$14)),"")</f>
        <v>MERU</v>
      </c>
      <c r="D238" s="54" t="str">
        <f>IFERROR(IF(INDEX(SPOT_Import!$A$1:$Z$2488,238,'Live Data'!$C$15)="","",INDEX(SPOT_Import!$A$1:$Z$2488,238,'Live Data'!$C$15)),"")</f>
        <v>Tigania East</v>
      </c>
      <c r="E238" s="54" t="str">
        <f>IFERROR(IF(INDEX(SPOT_Import!$A$1:$Z$2488,238,'Live Data'!$C$16)="","",INDEX(SPOT_Import!$A$1:$Z$2488,238,'Live Data'!$C$16)),"")</f>
        <v>USAID Jamii Tekelezi</v>
      </c>
      <c r="F238" s="54" t="str">
        <f>IFERROR(IF(INDEX(SPOT_Import!$A$1:$Z$2488,238,'Live Data'!$C$17)="","",INDEX(SPOT_Import!$A$1:$Z$2488,238,'Live Data'!$C$17)),"")</f>
        <v>MNCH</v>
      </c>
      <c r="G238" s="54">
        <f>IFERROR(IF(INDEX(SPOT_Import!$A$1:$Z$2488,238,'Live Data'!$C$18)="","",INDEX(SPOT_Import!$A$1:$Z$2488,238,'Live Data'!$C$18)),"")</f>
        <v>9</v>
      </c>
      <c r="H238" s="54">
        <f>IFERROR(IF(INDEX(SPOT_Import!$A$1:$Z$2488,238,'Live Data'!$C$19)="","",INDEX(SPOT_Import!$A$1:$Z$2488,238,'Live Data'!$C$19)),"")</f>
        <v>9</v>
      </c>
      <c r="I238" s="54" t="str">
        <f>IFERROR(IF(INDEX(SPOT_Import!$A$1:$Z$2488,238,'Live Data'!$C$20)="","",INDEX(SPOT_Import!$A$1:$Z$2488,238,'Live Data'!$C$20)),"")</f>
        <v>Complete</v>
      </c>
      <c r="J238" s="54" t="str">
        <f>IFERROR(IF(INDEX(SPOT_Import!$A$1:$Z$2488,238,'Live Data'!$C$21)="","",INDEX(SPOT_Import!$A$1:$Z$2488,238,'Live Data'!$C$21)),"")</f>
        <v>2026-10-07T08:55:40.000Z</v>
      </c>
      <c r="K238" s="54" t="str">
        <f>IFERROR(IF(INDEX(SPOT_Import!$A$1:$Z$2488,238,'Live Data'!$C$22)="","",INDEX(SPOT_Import!$A$1:$Z$2488,238,'Live Data'!$C$22)),"")</f>
        <v>2026-10-07T08:55:40.000Z</v>
      </c>
      <c r="L238" s="55" t="str">
        <f t="shared" si="6"/>
        <v>2026-10</v>
      </c>
      <c r="M238" s="55" t="str">
        <f t="shared" si="7"/>
        <v>MERU</v>
      </c>
      <c r="N238" s="55" t="str">
        <f>IF(A238="","",IFERROR(INDEX('Cluster Map'!$A$4:$A$38,MATCH(M238,'Cluster Map'!$B$4:$B$38,0)),"Unmapped"))</f>
        <v>Cluster 1</v>
      </c>
      <c r="O238" s="55">
        <f>IF(A238="",0,IF(COUNTIFS($A$2:A238,A238,$F$2:F238,F238,$L$2:L238,L238)=1,1,0))</f>
        <v>1</v>
      </c>
      <c r="P238" s="55">
        <f>IF(A238="",0,IF(AND(F238="C&amp;T",COUNTIFS($A$2:A238,A238,$F$2:F238,"C&amp;T")=1),1,0))</f>
        <v>0</v>
      </c>
    </row>
    <row r="239" spans="1:16" x14ac:dyDescent="0.35">
      <c r="A239" s="54">
        <f>IFERROR(IF(INDEX(SPOT_Import!$A$1:$Z$2488,239,'Live Data'!$C$12)="","",INDEX(SPOT_Import!$A$1:$Z$2488,239,'Live Data'!$C$12)),"")</f>
        <v>12222</v>
      </c>
      <c r="B239" s="54" t="str">
        <f>IFERROR(IF(INDEX(SPOT_Import!$A$1:$Z$2488,239,'Live Data'!$C$13)="","",INDEX(SPOT_Import!$A$1:$Z$2488,239,'Live Data'!$C$13)),"")</f>
        <v>Kathangacini Dispensary</v>
      </c>
      <c r="C239" s="54" t="str">
        <f>IFERROR(IF(INDEX(SPOT_Import!$A$1:$Z$2488,239,'Live Data'!$C$14)="","",INDEX(SPOT_Import!$A$1:$Z$2488,239,'Live Data'!$C$14)),"")</f>
        <v>THARAKA-NITHI</v>
      </c>
      <c r="D239" s="54" t="str">
        <f>IFERROR(IF(INDEX(SPOT_Import!$A$1:$Z$2488,239,'Live Data'!$C$15)="","",INDEX(SPOT_Import!$A$1:$Z$2488,239,'Live Data'!$C$15)),"")</f>
        <v>Tharaka North</v>
      </c>
      <c r="E239" s="54" t="str">
        <f>IFERROR(IF(INDEX(SPOT_Import!$A$1:$Z$2488,239,'Live Data'!$C$16)="","",INDEX(SPOT_Import!$A$1:$Z$2488,239,'Live Data'!$C$16)),"")</f>
        <v>USAID Jamii Tekelezi</v>
      </c>
      <c r="F239" s="54" t="str">
        <f>IFERROR(IF(INDEX(SPOT_Import!$A$1:$Z$2488,239,'Live Data'!$C$17)="","",INDEX(SPOT_Import!$A$1:$Z$2488,239,'Live Data'!$C$17)),"")</f>
        <v>C&amp;T</v>
      </c>
      <c r="G239" s="54">
        <f>IFERROR(IF(INDEX(SPOT_Import!$A$1:$Z$2488,239,'Live Data'!$C$18)="","",INDEX(SPOT_Import!$A$1:$Z$2488,239,'Live Data'!$C$18)),"")</f>
        <v>56</v>
      </c>
      <c r="H239" s="54">
        <f>IFERROR(IF(INDEX(SPOT_Import!$A$1:$Z$2488,239,'Live Data'!$C$19)="","",INDEX(SPOT_Import!$A$1:$Z$2488,239,'Live Data'!$C$19)),"")</f>
        <v>56</v>
      </c>
      <c r="I239" s="54" t="str">
        <f>IFERROR(IF(INDEX(SPOT_Import!$A$1:$Z$2488,239,'Live Data'!$C$20)="","",INDEX(SPOT_Import!$A$1:$Z$2488,239,'Live Data'!$C$20)),"")</f>
        <v>Complete</v>
      </c>
      <c r="J239" s="54" t="str">
        <f>IFERROR(IF(INDEX(SPOT_Import!$A$1:$Z$2488,239,'Live Data'!$C$21)="","",INDEX(SPOT_Import!$A$1:$Z$2488,239,'Live Data'!$C$21)),"")</f>
        <v>2026-10-07T08:55:33.000Z</v>
      </c>
      <c r="K239" s="54" t="str">
        <f>IFERROR(IF(INDEX(SPOT_Import!$A$1:$Z$2488,239,'Live Data'!$C$22)="","",INDEX(SPOT_Import!$A$1:$Z$2488,239,'Live Data'!$C$22)),"")</f>
        <v>2026-10-07T08:55:33.000Z</v>
      </c>
      <c r="L239" s="55" t="str">
        <f t="shared" si="6"/>
        <v>2026-10</v>
      </c>
      <c r="M239" s="55" t="str">
        <f t="shared" si="7"/>
        <v>THARAKA-NITHI</v>
      </c>
      <c r="N239" s="55" t="str">
        <f>IF(A239="","",IFERROR(INDEX('Cluster Map'!$A$4:$A$38,MATCH(M239,'Cluster Map'!$B$4:$B$38,0)),"Unmapped"))</f>
        <v>Cluster 2</v>
      </c>
      <c r="O239" s="55">
        <f>IF(A239="",0,IF(COUNTIFS($A$2:A239,A239,$F$2:F239,F239,$L$2:L239,L239)=1,1,0))</f>
        <v>1</v>
      </c>
      <c r="P239" s="55">
        <f>IF(A239="",0,IF(AND(F239="C&amp;T",COUNTIFS($A$2:A239,A239,$F$2:F239,"C&amp;T")=1),1,0))</f>
        <v>1</v>
      </c>
    </row>
    <row r="240" spans="1:16" x14ac:dyDescent="0.35">
      <c r="A240" s="54">
        <f>IFERROR(IF(INDEX(SPOT_Import!$A$1:$Z$2488,240,'Live Data'!$C$12)="","",INDEX(SPOT_Import!$A$1:$Z$2488,240,'Live Data'!$C$12)),"")</f>
        <v>16235</v>
      </c>
      <c r="B240" s="54" t="str">
        <f>IFERROR(IF(INDEX(SPOT_Import!$A$1:$Z$2488,240,'Live Data'!$C$13)="","",INDEX(SPOT_Import!$A$1:$Z$2488,240,'Live Data'!$C$13)),"")</f>
        <v>Kiguchwa Dispensary</v>
      </c>
      <c r="C240" s="54" t="str">
        <f>IFERROR(IF(INDEX(SPOT_Import!$A$1:$Z$2488,240,'Live Data'!$C$14)="","",INDEX(SPOT_Import!$A$1:$Z$2488,240,'Live Data'!$C$14)),"")</f>
        <v>MERU</v>
      </c>
      <c r="D240" s="54" t="str">
        <f>IFERROR(IF(INDEX(SPOT_Import!$A$1:$Z$2488,240,'Live Data'!$C$15)="","",INDEX(SPOT_Import!$A$1:$Z$2488,240,'Live Data'!$C$15)),"")</f>
        <v>Tigania East</v>
      </c>
      <c r="E240" s="54" t="str">
        <f>IFERROR(IF(INDEX(SPOT_Import!$A$1:$Z$2488,240,'Live Data'!$C$16)="","",INDEX(SPOT_Import!$A$1:$Z$2488,240,'Live Data'!$C$16)),"")</f>
        <v>USAID Jamii Tekelezi</v>
      </c>
      <c r="F240" s="54" t="str">
        <f>IFERROR(IF(INDEX(SPOT_Import!$A$1:$Z$2488,240,'Live Data'!$C$17)="","",INDEX(SPOT_Import!$A$1:$Z$2488,240,'Live Data'!$C$17)),"")</f>
        <v>PREP</v>
      </c>
      <c r="G240" s="54">
        <f>IFERROR(IF(INDEX(SPOT_Import!$A$1:$Z$2488,240,'Live Data'!$C$18)="","",INDEX(SPOT_Import!$A$1:$Z$2488,240,'Live Data'!$C$18)),"")</f>
        <v>2</v>
      </c>
      <c r="H240" s="54" t="str">
        <f>IFERROR(IF(INDEX(SPOT_Import!$A$1:$Z$2488,240,'Live Data'!$C$19)="","",INDEX(SPOT_Import!$A$1:$Z$2488,240,'Live Data'!$C$19)),"")</f>
        <v/>
      </c>
      <c r="I240" s="54" t="str">
        <f>IFERROR(IF(INDEX(SPOT_Import!$A$1:$Z$2488,240,'Live Data'!$C$20)="","",INDEX(SPOT_Import!$A$1:$Z$2488,240,'Live Data'!$C$20)),"")</f>
        <v>Complete</v>
      </c>
      <c r="J240" s="54" t="str">
        <f>IFERROR(IF(INDEX(SPOT_Import!$A$1:$Z$2488,240,'Live Data'!$C$21)="","",INDEX(SPOT_Import!$A$1:$Z$2488,240,'Live Data'!$C$21)),"")</f>
        <v>2026-10-07T08:55:30.000Z</v>
      </c>
      <c r="K240" s="54" t="str">
        <f>IFERROR(IF(INDEX(SPOT_Import!$A$1:$Z$2488,240,'Live Data'!$C$22)="","",INDEX(SPOT_Import!$A$1:$Z$2488,240,'Live Data'!$C$22)),"")</f>
        <v>2026-10-07T08:55:30.000Z</v>
      </c>
      <c r="L240" s="55" t="str">
        <f t="shared" si="6"/>
        <v>2026-10</v>
      </c>
      <c r="M240" s="55" t="str">
        <f t="shared" si="7"/>
        <v>MERU</v>
      </c>
      <c r="N240" s="55" t="str">
        <f>IF(A240="","",IFERROR(INDEX('Cluster Map'!$A$4:$A$38,MATCH(M240,'Cluster Map'!$B$4:$B$38,0)),"Unmapped"))</f>
        <v>Cluster 1</v>
      </c>
      <c r="O240" s="55">
        <f>IF(A240="",0,IF(COUNTIFS($A$2:A240,A240,$F$2:F240,F240,$L$2:L240,L240)=1,1,0))</f>
        <v>1</v>
      </c>
      <c r="P240" s="55">
        <f>IF(A240="",0,IF(AND(F240="C&amp;T",COUNTIFS($A$2:A240,A240,$F$2:F240,"C&amp;T")=1),1,0))</f>
        <v>0</v>
      </c>
    </row>
    <row r="241" spans="1:16" x14ac:dyDescent="0.35">
      <c r="A241" s="54">
        <f>IFERROR(IF(INDEX(SPOT_Import!$A$1:$Z$2488,241,'Live Data'!$C$12)="","",INDEX(SPOT_Import!$A$1:$Z$2488,241,'Live Data'!$C$12)),"")</f>
        <v>16235</v>
      </c>
      <c r="B241" s="54" t="str">
        <f>IFERROR(IF(INDEX(SPOT_Import!$A$1:$Z$2488,241,'Live Data'!$C$13)="","",INDEX(SPOT_Import!$A$1:$Z$2488,241,'Live Data'!$C$13)),"")</f>
        <v>Kiguchwa Dispensary</v>
      </c>
      <c r="C241" s="54" t="str">
        <f>IFERROR(IF(INDEX(SPOT_Import!$A$1:$Z$2488,241,'Live Data'!$C$14)="","",INDEX(SPOT_Import!$A$1:$Z$2488,241,'Live Data'!$C$14)),"")</f>
        <v>MERU</v>
      </c>
      <c r="D241" s="54" t="str">
        <f>IFERROR(IF(INDEX(SPOT_Import!$A$1:$Z$2488,241,'Live Data'!$C$15)="","",INDEX(SPOT_Import!$A$1:$Z$2488,241,'Live Data'!$C$15)),"")</f>
        <v>Tigania East</v>
      </c>
      <c r="E241" s="54" t="str">
        <f>IFERROR(IF(INDEX(SPOT_Import!$A$1:$Z$2488,241,'Live Data'!$C$16)="","",INDEX(SPOT_Import!$A$1:$Z$2488,241,'Live Data'!$C$16)),"")</f>
        <v>USAID Jamii Tekelezi</v>
      </c>
      <c r="F241" s="54" t="str">
        <f>IFERROR(IF(INDEX(SPOT_Import!$A$1:$Z$2488,241,'Live Data'!$C$17)="","",INDEX(SPOT_Import!$A$1:$Z$2488,241,'Live Data'!$C$17)),"")</f>
        <v>HTS</v>
      </c>
      <c r="G241" s="54">
        <f>IFERROR(IF(INDEX(SPOT_Import!$A$1:$Z$2488,241,'Live Data'!$C$18)="","",INDEX(SPOT_Import!$A$1:$Z$2488,241,'Live Data'!$C$18)),"")</f>
        <v>3</v>
      </c>
      <c r="H241" s="54" t="str">
        <f>IFERROR(IF(INDEX(SPOT_Import!$A$1:$Z$2488,241,'Live Data'!$C$19)="","",INDEX(SPOT_Import!$A$1:$Z$2488,241,'Live Data'!$C$19)),"")</f>
        <v/>
      </c>
      <c r="I241" s="54" t="str">
        <f>IFERROR(IF(INDEX(SPOT_Import!$A$1:$Z$2488,241,'Live Data'!$C$20)="","",INDEX(SPOT_Import!$A$1:$Z$2488,241,'Live Data'!$C$20)),"")</f>
        <v>Incomplete</v>
      </c>
      <c r="J241" s="54" t="str">
        <f>IFERROR(IF(INDEX(SPOT_Import!$A$1:$Z$2488,241,'Live Data'!$C$21)="","",INDEX(SPOT_Import!$A$1:$Z$2488,241,'Live Data'!$C$21)),"")</f>
        <v>2026-10-07T08:53:54.000Z</v>
      </c>
      <c r="K241" s="54" t="str">
        <f>IFERROR(IF(INDEX(SPOT_Import!$A$1:$Z$2488,241,'Live Data'!$C$22)="","",INDEX(SPOT_Import!$A$1:$Z$2488,241,'Live Data'!$C$22)),"")</f>
        <v>2026-10-07T08:53:54.000Z</v>
      </c>
      <c r="L241" s="55" t="str">
        <f t="shared" si="6"/>
        <v>2026-10</v>
      </c>
      <c r="M241" s="55" t="str">
        <f t="shared" si="7"/>
        <v>MERU</v>
      </c>
      <c r="N241" s="55" t="str">
        <f>IF(A241="","",IFERROR(INDEX('Cluster Map'!$A$4:$A$38,MATCH(M241,'Cluster Map'!$B$4:$B$38,0)),"Unmapped"))</f>
        <v>Cluster 1</v>
      </c>
      <c r="O241" s="55">
        <f>IF(A241="",0,IF(COUNTIFS($A$2:A241,A241,$F$2:F241,F241,$L$2:L241,L241)=1,1,0))</f>
        <v>1</v>
      </c>
      <c r="P241" s="55">
        <f>IF(A241="",0,IF(AND(F241="C&amp;T",COUNTIFS($A$2:A241,A241,$F$2:F241,"C&amp;T")=1),1,0))</f>
        <v>0</v>
      </c>
    </row>
    <row r="242" spans="1:16" x14ac:dyDescent="0.35">
      <c r="A242" s="54">
        <f>IFERROR(IF(INDEX(SPOT_Import!$A$1:$Z$2488,242,'Live Data'!$C$12)="","",INDEX(SPOT_Import!$A$1:$Z$2488,242,'Live Data'!$C$12)),"")</f>
        <v>12820</v>
      </c>
      <c r="B242" s="54" t="str">
        <f>IFERROR(IF(INDEX(SPOT_Import!$A$1:$Z$2488,242,'Live Data'!$C$13)="","",INDEX(SPOT_Import!$A$1:$Z$2488,242,'Live Data'!$C$13)),"")</f>
        <v>Ugweri Dispensary</v>
      </c>
      <c r="C242" s="54" t="str">
        <f>IFERROR(IF(INDEX(SPOT_Import!$A$1:$Z$2488,242,'Live Data'!$C$14)="","",INDEX(SPOT_Import!$A$1:$Z$2488,242,'Live Data'!$C$14)),"")</f>
        <v>EMBU</v>
      </c>
      <c r="D242" s="54" t="str">
        <f>IFERROR(IF(INDEX(SPOT_Import!$A$1:$Z$2488,242,'Live Data'!$C$15)="","",INDEX(SPOT_Import!$A$1:$Z$2488,242,'Live Data'!$C$15)),"")</f>
        <v>Runyenjes</v>
      </c>
      <c r="E242" s="54" t="str">
        <f>IFERROR(IF(INDEX(SPOT_Import!$A$1:$Z$2488,242,'Live Data'!$C$16)="","",INDEX(SPOT_Import!$A$1:$Z$2488,242,'Live Data'!$C$16)),"")</f>
        <v>USAID Jamii Tekelezi</v>
      </c>
      <c r="F242" s="54" t="str">
        <f>IFERROR(IF(INDEX(SPOT_Import!$A$1:$Z$2488,242,'Live Data'!$C$17)="","",INDEX(SPOT_Import!$A$1:$Z$2488,242,'Live Data'!$C$17)),"")</f>
        <v>PREP</v>
      </c>
      <c r="G242" s="54">
        <f>IFERROR(IF(INDEX(SPOT_Import!$A$1:$Z$2488,242,'Live Data'!$C$18)="","",INDEX(SPOT_Import!$A$1:$Z$2488,242,'Live Data'!$C$18)),"")</f>
        <v>13</v>
      </c>
      <c r="H242" s="54" t="str">
        <f>IFERROR(IF(INDEX(SPOT_Import!$A$1:$Z$2488,242,'Live Data'!$C$19)="","",INDEX(SPOT_Import!$A$1:$Z$2488,242,'Live Data'!$C$19)),"")</f>
        <v/>
      </c>
      <c r="I242" s="54" t="str">
        <f>IFERROR(IF(INDEX(SPOT_Import!$A$1:$Z$2488,242,'Live Data'!$C$20)="","",INDEX(SPOT_Import!$A$1:$Z$2488,242,'Live Data'!$C$20)),"")</f>
        <v>Incomplete</v>
      </c>
      <c r="J242" s="54" t="str">
        <f>IFERROR(IF(INDEX(SPOT_Import!$A$1:$Z$2488,242,'Live Data'!$C$21)="","",INDEX(SPOT_Import!$A$1:$Z$2488,242,'Live Data'!$C$21)),"")</f>
        <v>2026-10-07T08:51:25.000Z</v>
      </c>
      <c r="K242" s="54" t="str">
        <f>IFERROR(IF(INDEX(SPOT_Import!$A$1:$Z$2488,242,'Live Data'!$C$22)="","",INDEX(SPOT_Import!$A$1:$Z$2488,242,'Live Data'!$C$22)),"")</f>
        <v>2026-10-07T08:51:25.000Z</v>
      </c>
      <c r="L242" s="55" t="str">
        <f t="shared" si="6"/>
        <v>2026-10</v>
      </c>
      <c r="M242" s="55" t="str">
        <f t="shared" si="7"/>
        <v>EMBU</v>
      </c>
      <c r="N242" s="55" t="str">
        <f>IF(A242="","",IFERROR(INDEX('Cluster Map'!$A$4:$A$38,MATCH(M242,'Cluster Map'!$B$4:$B$38,0)),"Unmapped"))</f>
        <v>Cluster 2</v>
      </c>
      <c r="O242" s="55">
        <f>IF(A242="",0,IF(COUNTIFS($A$2:A242,A242,$F$2:F242,F242,$L$2:L242,L242)=1,1,0))</f>
        <v>1</v>
      </c>
      <c r="P242" s="55">
        <f>IF(A242="",0,IF(AND(F242="C&amp;T",COUNTIFS($A$2:A242,A242,$F$2:F242,"C&amp;T")=1),1,0))</f>
        <v>0</v>
      </c>
    </row>
    <row r="243" spans="1:16" x14ac:dyDescent="0.35">
      <c r="A243" s="54">
        <f>IFERROR(IF(INDEX(SPOT_Import!$A$1:$Z$2488,243,'Live Data'!$C$12)="","",INDEX(SPOT_Import!$A$1:$Z$2488,243,'Live Data'!$C$12)),"")</f>
        <v>12820</v>
      </c>
      <c r="B243" s="54" t="str">
        <f>IFERROR(IF(INDEX(SPOT_Import!$A$1:$Z$2488,243,'Live Data'!$C$13)="","",INDEX(SPOT_Import!$A$1:$Z$2488,243,'Live Data'!$C$13)),"")</f>
        <v>Ugweri Dispensary</v>
      </c>
      <c r="C243" s="54" t="str">
        <f>IFERROR(IF(INDEX(SPOT_Import!$A$1:$Z$2488,243,'Live Data'!$C$14)="","",INDEX(SPOT_Import!$A$1:$Z$2488,243,'Live Data'!$C$14)),"")</f>
        <v>EMBU</v>
      </c>
      <c r="D243" s="54" t="str">
        <f>IFERROR(IF(INDEX(SPOT_Import!$A$1:$Z$2488,243,'Live Data'!$C$15)="","",INDEX(SPOT_Import!$A$1:$Z$2488,243,'Live Data'!$C$15)),"")</f>
        <v>Runyenjes</v>
      </c>
      <c r="E243" s="54" t="str">
        <f>IFERROR(IF(INDEX(SPOT_Import!$A$1:$Z$2488,243,'Live Data'!$C$16)="","",INDEX(SPOT_Import!$A$1:$Z$2488,243,'Live Data'!$C$16)),"")</f>
        <v>USAID Jamii Tekelezi</v>
      </c>
      <c r="F243" s="54" t="str">
        <f>IFERROR(IF(INDEX(SPOT_Import!$A$1:$Z$2488,243,'Live Data'!$C$17)="","",INDEX(SPOT_Import!$A$1:$Z$2488,243,'Live Data'!$C$17)),"")</f>
        <v>HTS</v>
      </c>
      <c r="G243" s="54">
        <f>IFERROR(IF(INDEX(SPOT_Import!$A$1:$Z$2488,243,'Live Data'!$C$18)="","",INDEX(SPOT_Import!$A$1:$Z$2488,243,'Live Data'!$C$18)),"")</f>
        <v>22</v>
      </c>
      <c r="H243" s="54">
        <f>IFERROR(IF(INDEX(SPOT_Import!$A$1:$Z$2488,243,'Live Data'!$C$19)="","",INDEX(SPOT_Import!$A$1:$Z$2488,243,'Live Data'!$C$19)),"")</f>
        <v>22</v>
      </c>
      <c r="I243" s="54" t="str">
        <f>IFERROR(IF(INDEX(SPOT_Import!$A$1:$Z$2488,243,'Live Data'!$C$20)="","",INDEX(SPOT_Import!$A$1:$Z$2488,243,'Live Data'!$C$20)),"")</f>
        <v>Complete</v>
      </c>
      <c r="J243" s="54" t="str">
        <f>IFERROR(IF(INDEX(SPOT_Import!$A$1:$Z$2488,243,'Live Data'!$C$21)="","",INDEX(SPOT_Import!$A$1:$Z$2488,243,'Live Data'!$C$21)),"")</f>
        <v>2026-10-07T08:51:09.000Z</v>
      </c>
      <c r="K243" s="54" t="str">
        <f>IFERROR(IF(INDEX(SPOT_Import!$A$1:$Z$2488,243,'Live Data'!$C$22)="","",INDEX(SPOT_Import!$A$1:$Z$2488,243,'Live Data'!$C$22)),"")</f>
        <v>2026-10-07T08:51:09.000Z</v>
      </c>
      <c r="L243" s="55" t="str">
        <f t="shared" si="6"/>
        <v>2026-10</v>
      </c>
      <c r="M243" s="55" t="str">
        <f t="shared" si="7"/>
        <v>EMBU</v>
      </c>
      <c r="N243" s="55" t="str">
        <f>IF(A243="","",IFERROR(INDEX('Cluster Map'!$A$4:$A$38,MATCH(M243,'Cluster Map'!$B$4:$B$38,0)),"Unmapped"))</f>
        <v>Cluster 2</v>
      </c>
      <c r="O243" s="55">
        <f>IF(A243="",0,IF(COUNTIFS($A$2:A243,A243,$F$2:F243,F243,$L$2:L243,L243)=1,1,0))</f>
        <v>1</v>
      </c>
      <c r="P243" s="55">
        <f>IF(A243="",0,IF(AND(F243="C&amp;T",COUNTIFS($A$2:A243,A243,$F$2:F243,"C&amp;T")=1),1,0))</f>
        <v>0</v>
      </c>
    </row>
    <row r="244" spans="1:16" x14ac:dyDescent="0.35">
      <c r="A244" s="54">
        <f>IFERROR(IF(INDEX(SPOT_Import!$A$1:$Z$2488,244,'Live Data'!$C$12)="","",INDEX(SPOT_Import!$A$1:$Z$2488,244,'Live Data'!$C$12)),"")</f>
        <v>12271</v>
      </c>
      <c r="B244" s="54" t="str">
        <f>IFERROR(IF(INDEX(SPOT_Import!$A$1:$Z$2488,244,'Live Data'!$C$13)="","",INDEX(SPOT_Import!$A$1:$Z$2488,244,'Live Data'!$C$13)),"")</f>
        <v>Kiambere Dam Dispensary</v>
      </c>
      <c r="C244" s="54" t="str">
        <f>IFERROR(IF(INDEX(SPOT_Import!$A$1:$Z$2488,244,'Live Data'!$C$14)="","",INDEX(SPOT_Import!$A$1:$Z$2488,244,'Live Data'!$C$14)),"")</f>
        <v>EMBU</v>
      </c>
      <c r="D244" s="54" t="str">
        <f>IFERROR(IF(INDEX(SPOT_Import!$A$1:$Z$2488,244,'Live Data'!$C$15)="","",INDEX(SPOT_Import!$A$1:$Z$2488,244,'Live Data'!$C$15)),"")</f>
        <v>Mbeere North</v>
      </c>
      <c r="E244" s="54" t="str">
        <f>IFERROR(IF(INDEX(SPOT_Import!$A$1:$Z$2488,244,'Live Data'!$C$16)="","",INDEX(SPOT_Import!$A$1:$Z$2488,244,'Live Data'!$C$16)),"")</f>
        <v>USAID Jamii Tekelezi</v>
      </c>
      <c r="F244" s="54" t="str">
        <f>IFERROR(IF(INDEX(SPOT_Import!$A$1:$Z$2488,244,'Live Data'!$C$17)="","",INDEX(SPOT_Import!$A$1:$Z$2488,244,'Live Data'!$C$17)),"")</f>
        <v>MNCH</v>
      </c>
      <c r="G244" s="54">
        <f>IFERROR(IF(INDEX(SPOT_Import!$A$1:$Z$2488,244,'Live Data'!$C$18)="","",INDEX(SPOT_Import!$A$1:$Z$2488,244,'Live Data'!$C$18)),"")</f>
        <v>50</v>
      </c>
      <c r="H244" s="54">
        <f>IFERROR(IF(INDEX(SPOT_Import!$A$1:$Z$2488,244,'Live Data'!$C$19)="","",INDEX(SPOT_Import!$A$1:$Z$2488,244,'Live Data'!$C$19)),"")</f>
        <v>50</v>
      </c>
      <c r="I244" s="54" t="str">
        <f>IFERROR(IF(INDEX(SPOT_Import!$A$1:$Z$2488,244,'Live Data'!$C$20)="","",INDEX(SPOT_Import!$A$1:$Z$2488,244,'Live Data'!$C$20)),"")</f>
        <v>Complete</v>
      </c>
      <c r="J244" s="54" t="str">
        <f>IFERROR(IF(INDEX(SPOT_Import!$A$1:$Z$2488,244,'Live Data'!$C$21)="","",INDEX(SPOT_Import!$A$1:$Z$2488,244,'Live Data'!$C$21)),"")</f>
        <v>2026-10-07T08:44:08.000Z</v>
      </c>
      <c r="K244" s="54" t="str">
        <f>IFERROR(IF(INDEX(SPOT_Import!$A$1:$Z$2488,244,'Live Data'!$C$22)="","",INDEX(SPOT_Import!$A$1:$Z$2488,244,'Live Data'!$C$22)),"")</f>
        <v>2026-10-07T08:44:08.000Z</v>
      </c>
      <c r="L244" s="55" t="str">
        <f t="shared" si="6"/>
        <v>2026-10</v>
      </c>
      <c r="M244" s="55" t="str">
        <f t="shared" si="7"/>
        <v>EMBU</v>
      </c>
      <c r="N244" s="55" t="str">
        <f>IF(A244="","",IFERROR(INDEX('Cluster Map'!$A$4:$A$38,MATCH(M244,'Cluster Map'!$B$4:$B$38,0)),"Unmapped"))</f>
        <v>Cluster 2</v>
      </c>
      <c r="O244" s="55">
        <f>IF(A244="",0,IF(COUNTIFS($A$2:A244,A244,$F$2:F244,F244,$L$2:L244,L244)=1,1,0))</f>
        <v>1</v>
      </c>
      <c r="P244" s="55">
        <f>IF(A244="",0,IF(AND(F244="C&amp;T",COUNTIFS($A$2:A244,A244,$F$2:F244,"C&amp;T")=1),1,0))</f>
        <v>0</v>
      </c>
    </row>
    <row r="245" spans="1:16" x14ac:dyDescent="0.35">
      <c r="A245" s="54">
        <f>IFERROR(IF(INDEX(SPOT_Import!$A$1:$Z$2488,245,'Live Data'!$C$12)="","",INDEX(SPOT_Import!$A$1:$Z$2488,245,'Live Data'!$C$12)),"")</f>
        <v>12271</v>
      </c>
      <c r="B245" s="54" t="str">
        <f>IFERROR(IF(INDEX(SPOT_Import!$A$1:$Z$2488,245,'Live Data'!$C$13)="","",INDEX(SPOT_Import!$A$1:$Z$2488,245,'Live Data'!$C$13)),"")</f>
        <v>Kiambere Dam Dispensary</v>
      </c>
      <c r="C245" s="54" t="str">
        <f>IFERROR(IF(INDEX(SPOT_Import!$A$1:$Z$2488,245,'Live Data'!$C$14)="","",INDEX(SPOT_Import!$A$1:$Z$2488,245,'Live Data'!$C$14)),"")</f>
        <v>EMBU</v>
      </c>
      <c r="D245" s="54" t="str">
        <f>IFERROR(IF(INDEX(SPOT_Import!$A$1:$Z$2488,245,'Live Data'!$C$15)="","",INDEX(SPOT_Import!$A$1:$Z$2488,245,'Live Data'!$C$15)),"")</f>
        <v>Mbeere North</v>
      </c>
      <c r="E245" s="54" t="str">
        <f>IFERROR(IF(INDEX(SPOT_Import!$A$1:$Z$2488,245,'Live Data'!$C$16)="","",INDEX(SPOT_Import!$A$1:$Z$2488,245,'Live Data'!$C$16)),"")</f>
        <v>USAID Jamii Tekelezi</v>
      </c>
      <c r="F245" s="54" t="str">
        <f>IFERROR(IF(INDEX(SPOT_Import!$A$1:$Z$2488,245,'Live Data'!$C$17)="","",INDEX(SPOT_Import!$A$1:$Z$2488,245,'Live Data'!$C$17)),"")</f>
        <v>PREP</v>
      </c>
      <c r="G245" s="54">
        <f>IFERROR(IF(INDEX(SPOT_Import!$A$1:$Z$2488,245,'Live Data'!$C$18)="","",INDEX(SPOT_Import!$A$1:$Z$2488,245,'Live Data'!$C$18)),"")</f>
        <v>405</v>
      </c>
      <c r="H245" s="54">
        <f>IFERROR(IF(INDEX(SPOT_Import!$A$1:$Z$2488,245,'Live Data'!$C$19)="","",INDEX(SPOT_Import!$A$1:$Z$2488,245,'Live Data'!$C$19)),"")</f>
        <v>200</v>
      </c>
      <c r="I245" s="54" t="str">
        <f>IFERROR(IF(INDEX(SPOT_Import!$A$1:$Z$2488,245,'Live Data'!$C$20)="","",INDEX(SPOT_Import!$A$1:$Z$2488,245,'Live Data'!$C$20)),"")</f>
        <v>Incomplete</v>
      </c>
      <c r="J245" s="54" t="str">
        <f>IFERROR(IF(INDEX(SPOT_Import!$A$1:$Z$2488,245,'Live Data'!$C$21)="","",INDEX(SPOT_Import!$A$1:$Z$2488,245,'Live Data'!$C$21)),"")</f>
        <v>2026-10-07T08:43:54.000Z</v>
      </c>
      <c r="K245" s="54" t="str">
        <f>IFERROR(IF(INDEX(SPOT_Import!$A$1:$Z$2488,245,'Live Data'!$C$22)="","",INDEX(SPOT_Import!$A$1:$Z$2488,245,'Live Data'!$C$22)),"")</f>
        <v>2026-10-07T08:43:54.000Z</v>
      </c>
      <c r="L245" s="55" t="str">
        <f t="shared" si="6"/>
        <v>2026-10</v>
      </c>
      <c r="M245" s="55" t="str">
        <f t="shared" si="7"/>
        <v>EMBU</v>
      </c>
      <c r="N245" s="55" t="str">
        <f>IF(A245="","",IFERROR(INDEX('Cluster Map'!$A$4:$A$38,MATCH(M245,'Cluster Map'!$B$4:$B$38,0)),"Unmapped"))</f>
        <v>Cluster 2</v>
      </c>
      <c r="O245" s="55">
        <f>IF(A245="",0,IF(COUNTIFS($A$2:A245,A245,$F$2:F245,F245,$L$2:L245,L245)=1,1,0))</f>
        <v>1</v>
      </c>
      <c r="P245" s="55">
        <f>IF(A245="",0,IF(AND(F245="C&amp;T",COUNTIFS($A$2:A245,A245,$F$2:F245,"C&amp;T")=1),1,0))</f>
        <v>0</v>
      </c>
    </row>
    <row r="246" spans="1:16" x14ac:dyDescent="0.35">
      <c r="A246" s="54">
        <f>IFERROR(IF(INDEX(SPOT_Import!$A$1:$Z$2488,246,'Live Data'!$C$12)="","",INDEX(SPOT_Import!$A$1:$Z$2488,246,'Live Data'!$C$12)),"")</f>
        <v>12271</v>
      </c>
      <c r="B246" s="54" t="str">
        <f>IFERROR(IF(INDEX(SPOT_Import!$A$1:$Z$2488,246,'Live Data'!$C$13)="","",INDEX(SPOT_Import!$A$1:$Z$2488,246,'Live Data'!$C$13)),"")</f>
        <v>Kiambere Dam Dispensary</v>
      </c>
      <c r="C246" s="54" t="str">
        <f>IFERROR(IF(INDEX(SPOT_Import!$A$1:$Z$2488,246,'Live Data'!$C$14)="","",INDEX(SPOT_Import!$A$1:$Z$2488,246,'Live Data'!$C$14)),"")</f>
        <v>EMBU</v>
      </c>
      <c r="D246" s="54" t="str">
        <f>IFERROR(IF(INDEX(SPOT_Import!$A$1:$Z$2488,246,'Live Data'!$C$15)="","",INDEX(SPOT_Import!$A$1:$Z$2488,246,'Live Data'!$C$15)),"")</f>
        <v>Mbeere North</v>
      </c>
      <c r="E246" s="54" t="str">
        <f>IFERROR(IF(INDEX(SPOT_Import!$A$1:$Z$2488,246,'Live Data'!$C$16)="","",INDEX(SPOT_Import!$A$1:$Z$2488,246,'Live Data'!$C$16)),"")</f>
        <v>USAID Jamii Tekelezi</v>
      </c>
      <c r="F246" s="54" t="str">
        <f>IFERROR(IF(INDEX(SPOT_Import!$A$1:$Z$2488,246,'Live Data'!$C$17)="","",INDEX(SPOT_Import!$A$1:$Z$2488,246,'Live Data'!$C$17)),"")</f>
        <v>HTS</v>
      </c>
      <c r="G246" s="54">
        <f>IFERROR(IF(INDEX(SPOT_Import!$A$1:$Z$2488,246,'Live Data'!$C$18)="","",INDEX(SPOT_Import!$A$1:$Z$2488,246,'Live Data'!$C$18)),"")</f>
        <v>2189</v>
      </c>
      <c r="H246" s="54">
        <f>IFERROR(IF(INDEX(SPOT_Import!$A$1:$Z$2488,246,'Live Data'!$C$19)="","",INDEX(SPOT_Import!$A$1:$Z$2488,246,'Live Data'!$C$19)),"")</f>
        <v>2189</v>
      </c>
      <c r="I246" s="54" t="str">
        <f>IFERROR(IF(INDEX(SPOT_Import!$A$1:$Z$2488,246,'Live Data'!$C$20)="","",INDEX(SPOT_Import!$A$1:$Z$2488,246,'Live Data'!$C$20)),"")</f>
        <v>Complete</v>
      </c>
      <c r="J246" s="54" t="str">
        <f>IFERROR(IF(INDEX(SPOT_Import!$A$1:$Z$2488,246,'Live Data'!$C$21)="","",INDEX(SPOT_Import!$A$1:$Z$2488,246,'Live Data'!$C$21)),"")</f>
        <v>2026-10-07T08:43:14.000Z</v>
      </c>
      <c r="K246" s="54" t="str">
        <f>IFERROR(IF(INDEX(SPOT_Import!$A$1:$Z$2488,246,'Live Data'!$C$22)="","",INDEX(SPOT_Import!$A$1:$Z$2488,246,'Live Data'!$C$22)),"")</f>
        <v>2026-10-07T08:43:14.000Z</v>
      </c>
      <c r="L246" s="55" t="str">
        <f t="shared" si="6"/>
        <v>2026-10</v>
      </c>
      <c r="M246" s="55" t="str">
        <f t="shared" si="7"/>
        <v>EMBU</v>
      </c>
      <c r="N246" s="55" t="str">
        <f>IF(A246="","",IFERROR(INDEX('Cluster Map'!$A$4:$A$38,MATCH(M246,'Cluster Map'!$B$4:$B$38,0)),"Unmapped"))</f>
        <v>Cluster 2</v>
      </c>
      <c r="O246" s="55">
        <f>IF(A246="",0,IF(COUNTIFS($A$2:A246,A246,$F$2:F246,F246,$L$2:L246,L246)=1,1,0))</f>
        <v>1</v>
      </c>
      <c r="P246" s="55">
        <f>IF(A246="",0,IF(AND(F246="C&amp;T",COUNTIFS($A$2:A246,A246,$F$2:F246,"C&amp;T")=1),1,0))</f>
        <v>0</v>
      </c>
    </row>
    <row r="247" spans="1:16" x14ac:dyDescent="0.35">
      <c r="A247" s="54">
        <f>IFERROR(IF(INDEX(SPOT_Import!$A$1:$Z$2488,247,'Live Data'!$C$12)="","",INDEX(SPOT_Import!$A$1:$Z$2488,247,'Live Data'!$C$12)),"")</f>
        <v>16235</v>
      </c>
      <c r="B247" s="54" t="str">
        <f>IFERROR(IF(INDEX(SPOT_Import!$A$1:$Z$2488,247,'Live Data'!$C$13)="","",INDEX(SPOT_Import!$A$1:$Z$2488,247,'Live Data'!$C$13)),"")</f>
        <v>Kiguchwa Dispensary</v>
      </c>
      <c r="C247" s="54" t="str">
        <f>IFERROR(IF(INDEX(SPOT_Import!$A$1:$Z$2488,247,'Live Data'!$C$14)="","",INDEX(SPOT_Import!$A$1:$Z$2488,247,'Live Data'!$C$14)),"")</f>
        <v>MERU</v>
      </c>
      <c r="D247" s="54" t="str">
        <f>IFERROR(IF(INDEX(SPOT_Import!$A$1:$Z$2488,247,'Live Data'!$C$15)="","",INDEX(SPOT_Import!$A$1:$Z$2488,247,'Live Data'!$C$15)),"")</f>
        <v>Tigania East</v>
      </c>
      <c r="E247" s="54" t="str">
        <f>IFERROR(IF(INDEX(SPOT_Import!$A$1:$Z$2488,247,'Live Data'!$C$16)="","",INDEX(SPOT_Import!$A$1:$Z$2488,247,'Live Data'!$C$16)),"")</f>
        <v>USAID Jamii Tekelezi</v>
      </c>
      <c r="F247" s="54" t="str">
        <f>IFERROR(IF(INDEX(SPOT_Import!$A$1:$Z$2488,247,'Live Data'!$C$17)="","",INDEX(SPOT_Import!$A$1:$Z$2488,247,'Live Data'!$C$17)),"")</f>
        <v>C&amp;T</v>
      </c>
      <c r="G247" s="54">
        <f>IFERROR(IF(INDEX(SPOT_Import!$A$1:$Z$2488,247,'Live Data'!$C$18)="","",INDEX(SPOT_Import!$A$1:$Z$2488,247,'Live Data'!$C$18)),"")</f>
        <v>40</v>
      </c>
      <c r="H247" s="54">
        <f>IFERROR(IF(INDEX(SPOT_Import!$A$1:$Z$2488,247,'Live Data'!$C$19)="","",INDEX(SPOT_Import!$A$1:$Z$2488,247,'Live Data'!$C$19)),"")</f>
        <v>40</v>
      </c>
      <c r="I247" s="54" t="str">
        <f>IFERROR(IF(INDEX(SPOT_Import!$A$1:$Z$2488,247,'Live Data'!$C$20)="","",INDEX(SPOT_Import!$A$1:$Z$2488,247,'Live Data'!$C$20)),"")</f>
        <v>Complete</v>
      </c>
      <c r="J247" s="54" t="str">
        <f>IFERROR(IF(INDEX(SPOT_Import!$A$1:$Z$2488,247,'Live Data'!$C$21)="","",INDEX(SPOT_Import!$A$1:$Z$2488,247,'Live Data'!$C$21)),"")</f>
        <v>2026-10-07T08:30:34.000Z</v>
      </c>
      <c r="K247" s="54" t="str">
        <f>IFERROR(IF(INDEX(SPOT_Import!$A$1:$Z$2488,247,'Live Data'!$C$22)="","",INDEX(SPOT_Import!$A$1:$Z$2488,247,'Live Data'!$C$22)),"")</f>
        <v>2026-10-07T08:30:34.000Z</v>
      </c>
      <c r="L247" s="55" t="str">
        <f t="shared" si="6"/>
        <v>2026-10</v>
      </c>
      <c r="M247" s="55" t="str">
        <f t="shared" si="7"/>
        <v>MERU</v>
      </c>
      <c r="N247" s="55" t="str">
        <f>IF(A247="","",IFERROR(INDEX('Cluster Map'!$A$4:$A$38,MATCH(M247,'Cluster Map'!$B$4:$B$38,0)),"Unmapped"))</f>
        <v>Cluster 1</v>
      </c>
      <c r="O247" s="55">
        <f>IF(A247="",0,IF(COUNTIFS($A$2:A247,A247,$F$2:F247,F247,$L$2:L247,L247)=1,1,0))</f>
        <v>1</v>
      </c>
      <c r="P247" s="55">
        <f>IF(A247="",0,IF(AND(F247="C&amp;T",COUNTIFS($A$2:A247,A247,$F$2:F247,"C&amp;T")=1),1,0))</f>
        <v>1</v>
      </c>
    </row>
    <row r="248" spans="1:16" x14ac:dyDescent="0.35">
      <c r="A248" s="54">
        <f>IFERROR(IF(INDEX(SPOT_Import!$A$1:$Z$2488,248,'Live Data'!$C$12)="","",INDEX(SPOT_Import!$A$1:$Z$2488,248,'Live Data'!$C$12)),"")</f>
        <v>12820</v>
      </c>
      <c r="B248" s="54" t="str">
        <f>IFERROR(IF(INDEX(SPOT_Import!$A$1:$Z$2488,248,'Live Data'!$C$13)="","",INDEX(SPOT_Import!$A$1:$Z$2488,248,'Live Data'!$C$13)),"")</f>
        <v>Ugweri Disp</v>
      </c>
      <c r="C248" s="54" t="str">
        <f>IFERROR(IF(INDEX(SPOT_Import!$A$1:$Z$2488,248,'Live Data'!$C$14)="","",INDEX(SPOT_Import!$A$1:$Z$2488,248,'Live Data'!$C$14)),"")</f>
        <v>EMBU</v>
      </c>
      <c r="D248" s="54" t="str">
        <f>IFERROR(IF(INDEX(SPOT_Import!$A$1:$Z$2488,248,'Live Data'!$C$15)="","",INDEX(SPOT_Import!$A$1:$Z$2488,248,'Live Data'!$C$15)),"")</f>
        <v>Runyenjes</v>
      </c>
      <c r="E248" s="54" t="str">
        <f>IFERROR(IF(INDEX(SPOT_Import!$A$1:$Z$2488,248,'Live Data'!$C$16)="","",INDEX(SPOT_Import!$A$1:$Z$2488,248,'Live Data'!$C$16)),"")</f>
        <v>USAID Jamii Tekelezi</v>
      </c>
      <c r="F248" s="54" t="str">
        <f>IFERROR(IF(INDEX(SPOT_Import!$A$1:$Z$2488,248,'Live Data'!$C$17)="","",INDEX(SPOT_Import!$A$1:$Z$2488,248,'Live Data'!$C$17)),"")</f>
        <v>C&amp;T</v>
      </c>
      <c r="G248" s="54">
        <f>IFERROR(IF(INDEX(SPOT_Import!$A$1:$Z$2488,248,'Live Data'!$C$18)="","",INDEX(SPOT_Import!$A$1:$Z$2488,248,'Live Data'!$C$18)),"")</f>
        <v>43</v>
      </c>
      <c r="H248" s="54">
        <f>IFERROR(IF(INDEX(SPOT_Import!$A$1:$Z$2488,248,'Live Data'!$C$19)="","",INDEX(SPOT_Import!$A$1:$Z$2488,248,'Live Data'!$C$19)),"")</f>
        <v>43</v>
      </c>
      <c r="I248" s="54" t="str">
        <f>IFERROR(IF(INDEX(SPOT_Import!$A$1:$Z$2488,248,'Live Data'!$C$20)="","",INDEX(SPOT_Import!$A$1:$Z$2488,248,'Live Data'!$C$20)),"")</f>
        <v>Complete</v>
      </c>
      <c r="J248" s="54" t="str">
        <f>IFERROR(IF(INDEX(SPOT_Import!$A$1:$Z$2488,248,'Live Data'!$C$21)="","",INDEX(SPOT_Import!$A$1:$Z$2488,248,'Live Data'!$C$21)),"")</f>
        <v>2026-10-07T08:29:46.000Z</v>
      </c>
      <c r="K248" s="54" t="str">
        <f>IFERROR(IF(INDEX(SPOT_Import!$A$1:$Z$2488,248,'Live Data'!$C$22)="","",INDEX(SPOT_Import!$A$1:$Z$2488,248,'Live Data'!$C$22)),"")</f>
        <v>2026-10-07T08:29:46.000Z</v>
      </c>
      <c r="L248" s="55" t="str">
        <f t="shared" si="6"/>
        <v>2026-10</v>
      </c>
      <c r="M248" s="55" t="str">
        <f t="shared" si="7"/>
        <v>EMBU</v>
      </c>
      <c r="N248" s="55" t="str">
        <f>IF(A248="","",IFERROR(INDEX('Cluster Map'!$A$4:$A$38,MATCH(M248,'Cluster Map'!$B$4:$B$38,0)),"Unmapped"))</f>
        <v>Cluster 2</v>
      </c>
      <c r="O248" s="55">
        <f>IF(A248="",0,IF(COUNTIFS($A$2:A248,A248,$F$2:F248,F248,$L$2:L248,L248)=1,1,0))</f>
        <v>1</v>
      </c>
      <c r="P248" s="55">
        <f>IF(A248="",0,IF(AND(F248="C&amp;T",COUNTIFS($A$2:A248,A248,$F$2:F248,"C&amp;T")=1),1,0))</f>
        <v>1</v>
      </c>
    </row>
    <row r="249" spans="1:16" x14ac:dyDescent="0.35">
      <c r="A249" s="54">
        <f>IFERROR(IF(INDEX(SPOT_Import!$A$1:$Z$2488,249,'Live Data'!$C$12)="","",INDEX(SPOT_Import!$A$1:$Z$2488,249,'Live Data'!$C$12)),"")</f>
        <v>12645</v>
      </c>
      <c r="B249" s="54" t="str">
        <f>IFERROR(IF(INDEX(SPOT_Import!$A$1:$Z$2488,249,'Live Data'!$C$13)="","",INDEX(SPOT_Import!$A$1:$Z$2488,249,'Live Data'!$C$13)),"")</f>
        <v>Nganduri Dispensary</v>
      </c>
      <c r="C249" s="54" t="str">
        <f>IFERROR(IF(INDEX(SPOT_Import!$A$1:$Z$2488,249,'Live Data'!$C$14)="","",INDEX(SPOT_Import!$A$1:$Z$2488,249,'Live Data'!$C$14)),"")</f>
        <v>EMBU</v>
      </c>
      <c r="D249" s="54" t="str">
        <f>IFERROR(IF(INDEX(SPOT_Import!$A$1:$Z$2488,249,'Live Data'!$C$15)="","",INDEX(SPOT_Import!$A$1:$Z$2488,249,'Live Data'!$C$15)),"")</f>
        <v>Mbeere South</v>
      </c>
      <c r="E249" s="54" t="str">
        <f>IFERROR(IF(INDEX(SPOT_Import!$A$1:$Z$2488,249,'Live Data'!$C$16)="","",INDEX(SPOT_Import!$A$1:$Z$2488,249,'Live Data'!$C$16)),"")</f>
        <v>USAID Jamii Tekelezi</v>
      </c>
      <c r="F249" s="54" t="str">
        <f>IFERROR(IF(INDEX(SPOT_Import!$A$1:$Z$2488,249,'Live Data'!$C$17)="","",INDEX(SPOT_Import!$A$1:$Z$2488,249,'Live Data'!$C$17)),"")</f>
        <v>HTS</v>
      </c>
      <c r="G249" s="54">
        <f>IFERROR(IF(INDEX(SPOT_Import!$A$1:$Z$2488,249,'Live Data'!$C$18)="","",INDEX(SPOT_Import!$A$1:$Z$2488,249,'Live Data'!$C$18)),"")</f>
        <v>8</v>
      </c>
      <c r="H249" s="54" t="str">
        <f>IFERROR(IF(INDEX(SPOT_Import!$A$1:$Z$2488,249,'Live Data'!$C$19)="","",INDEX(SPOT_Import!$A$1:$Z$2488,249,'Live Data'!$C$19)),"")</f>
        <v/>
      </c>
      <c r="I249" s="54" t="str">
        <f>IFERROR(IF(INDEX(SPOT_Import!$A$1:$Z$2488,249,'Live Data'!$C$20)="","",INDEX(SPOT_Import!$A$1:$Z$2488,249,'Live Data'!$C$20)),"")</f>
        <v>Incomplete</v>
      </c>
      <c r="J249" s="54" t="str">
        <f>IFERROR(IF(INDEX(SPOT_Import!$A$1:$Z$2488,249,'Live Data'!$C$21)="","",INDEX(SPOT_Import!$A$1:$Z$2488,249,'Live Data'!$C$21)),"")</f>
        <v>2026-10-07T08:20:31.000Z</v>
      </c>
      <c r="K249" s="54" t="str">
        <f>IFERROR(IF(INDEX(SPOT_Import!$A$1:$Z$2488,249,'Live Data'!$C$22)="","",INDEX(SPOT_Import!$A$1:$Z$2488,249,'Live Data'!$C$22)),"")</f>
        <v>2026-10-07T08:20:31.000Z</v>
      </c>
      <c r="L249" s="55" t="str">
        <f t="shared" si="6"/>
        <v>2026-10</v>
      </c>
      <c r="M249" s="55" t="str">
        <f t="shared" si="7"/>
        <v>EMBU</v>
      </c>
      <c r="N249" s="55" t="str">
        <f>IF(A249="","",IFERROR(INDEX('Cluster Map'!$A$4:$A$38,MATCH(M249,'Cluster Map'!$B$4:$B$38,0)),"Unmapped"))</f>
        <v>Cluster 2</v>
      </c>
      <c r="O249" s="55">
        <f>IF(A249="",0,IF(COUNTIFS($A$2:A249,A249,$F$2:F249,F249,$L$2:L249,L249)=1,1,0))</f>
        <v>1</v>
      </c>
      <c r="P249" s="55">
        <f>IF(A249="",0,IF(AND(F249="C&amp;T",COUNTIFS($A$2:A249,A249,$F$2:F249,"C&amp;T")=1),1,0))</f>
        <v>0</v>
      </c>
    </row>
    <row r="250" spans="1:16" x14ac:dyDescent="0.35">
      <c r="A250" s="54">
        <f>IFERROR(IF(INDEX(SPOT_Import!$A$1:$Z$2488,250,'Live Data'!$C$12)="","",INDEX(SPOT_Import!$A$1:$Z$2488,250,'Live Data'!$C$12)),"")</f>
        <v>12271</v>
      </c>
      <c r="B250" s="54" t="str">
        <f>IFERROR(IF(INDEX(SPOT_Import!$A$1:$Z$2488,250,'Live Data'!$C$13)="","",INDEX(SPOT_Import!$A$1:$Z$2488,250,'Live Data'!$C$13)),"")</f>
        <v>Kiambere Dam Dispensary</v>
      </c>
      <c r="C250" s="54" t="str">
        <f>IFERROR(IF(INDEX(SPOT_Import!$A$1:$Z$2488,250,'Live Data'!$C$14)="","",INDEX(SPOT_Import!$A$1:$Z$2488,250,'Live Data'!$C$14)),"")</f>
        <v>EMBU</v>
      </c>
      <c r="D250" s="54" t="str">
        <f>IFERROR(IF(INDEX(SPOT_Import!$A$1:$Z$2488,250,'Live Data'!$C$15)="","",INDEX(SPOT_Import!$A$1:$Z$2488,250,'Live Data'!$C$15)),"")</f>
        <v>Mbeere North</v>
      </c>
      <c r="E250" s="54" t="str">
        <f>IFERROR(IF(INDEX(SPOT_Import!$A$1:$Z$2488,250,'Live Data'!$C$16)="","",INDEX(SPOT_Import!$A$1:$Z$2488,250,'Live Data'!$C$16)),"")</f>
        <v>USAID Jamii Tekelezi</v>
      </c>
      <c r="F250" s="54" t="str">
        <f>IFERROR(IF(INDEX(SPOT_Import!$A$1:$Z$2488,250,'Live Data'!$C$17)="","",INDEX(SPOT_Import!$A$1:$Z$2488,250,'Live Data'!$C$17)),"")</f>
        <v>C&amp;T</v>
      </c>
      <c r="G250" s="54">
        <f>IFERROR(IF(INDEX(SPOT_Import!$A$1:$Z$2488,250,'Live Data'!$C$18)="","",INDEX(SPOT_Import!$A$1:$Z$2488,250,'Live Data'!$C$18)),"")</f>
        <v>346</v>
      </c>
      <c r="H250" s="54">
        <f>IFERROR(IF(INDEX(SPOT_Import!$A$1:$Z$2488,250,'Live Data'!$C$19)="","",INDEX(SPOT_Import!$A$1:$Z$2488,250,'Live Data'!$C$19)),"")</f>
        <v>346</v>
      </c>
      <c r="I250" s="54" t="str">
        <f>IFERROR(IF(INDEX(SPOT_Import!$A$1:$Z$2488,250,'Live Data'!$C$20)="","",INDEX(SPOT_Import!$A$1:$Z$2488,250,'Live Data'!$C$20)),"")</f>
        <v>Complete</v>
      </c>
      <c r="J250" s="54" t="str">
        <f>IFERROR(IF(INDEX(SPOT_Import!$A$1:$Z$2488,250,'Live Data'!$C$21)="","",INDEX(SPOT_Import!$A$1:$Z$2488,250,'Live Data'!$C$21)),"")</f>
        <v>2026-10-07T08:20:28.000Z</v>
      </c>
      <c r="K250" s="54" t="str">
        <f>IFERROR(IF(INDEX(SPOT_Import!$A$1:$Z$2488,250,'Live Data'!$C$22)="","",INDEX(SPOT_Import!$A$1:$Z$2488,250,'Live Data'!$C$22)),"")</f>
        <v>2026-10-07T08:20:28.000Z</v>
      </c>
      <c r="L250" s="55" t="str">
        <f t="shared" si="6"/>
        <v>2026-10</v>
      </c>
      <c r="M250" s="55" t="str">
        <f t="shared" si="7"/>
        <v>EMBU</v>
      </c>
      <c r="N250" s="55" t="str">
        <f>IF(A250="","",IFERROR(INDEX('Cluster Map'!$A$4:$A$38,MATCH(M250,'Cluster Map'!$B$4:$B$38,0)),"Unmapped"))</f>
        <v>Cluster 2</v>
      </c>
      <c r="O250" s="55">
        <f>IF(A250="",0,IF(COUNTIFS($A$2:A250,A250,$F$2:F250,F250,$L$2:L250,L250)=1,1,0))</f>
        <v>1</v>
      </c>
      <c r="P250" s="55">
        <f>IF(A250="",0,IF(AND(F250="C&amp;T",COUNTIFS($A$2:A250,A250,$F$2:F250,"C&amp;T")=1),1,0))</f>
        <v>1</v>
      </c>
    </row>
    <row r="251" spans="1:16" x14ac:dyDescent="0.35">
      <c r="A251" s="54">
        <f>IFERROR(IF(INDEX(SPOT_Import!$A$1:$Z$2488,251,'Live Data'!$C$12)="","",INDEX(SPOT_Import!$A$1:$Z$2488,251,'Live Data'!$C$12)),"")</f>
        <v>12192</v>
      </c>
      <c r="B251" s="54" t="str">
        <f>IFERROR(IF(INDEX(SPOT_Import!$A$1:$Z$2488,251,'Live Data'!$C$13)="","",INDEX(SPOT_Import!$A$1:$Z$2488,251,'Live Data'!$C$13)),"")</f>
        <v>Kaongo Health Centre</v>
      </c>
      <c r="C251" s="54" t="str">
        <f>IFERROR(IF(INDEX(SPOT_Import!$A$1:$Z$2488,251,'Live Data'!$C$14)="","",INDEX(SPOT_Import!$A$1:$Z$2488,251,'Live Data'!$C$14)),"")</f>
        <v>MERU</v>
      </c>
      <c r="D251" s="54" t="str">
        <f>IFERROR(IF(INDEX(SPOT_Import!$A$1:$Z$2488,251,'Live Data'!$C$15)="","",INDEX(SPOT_Import!$A$1:$Z$2488,251,'Live Data'!$C$15)),"")</f>
        <v>Imenti Central</v>
      </c>
      <c r="E251" s="54" t="str">
        <f>IFERROR(IF(INDEX(SPOT_Import!$A$1:$Z$2488,251,'Live Data'!$C$16)="","",INDEX(SPOT_Import!$A$1:$Z$2488,251,'Live Data'!$C$16)),"")</f>
        <v>USAID Jamii Tekelezi</v>
      </c>
      <c r="F251" s="54" t="str">
        <f>IFERROR(IF(INDEX(SPOT_Import!$A$1:$Z$2488,251,'Live Data'!$C$17)="","",INDEX(SPOT_Import!$A$1:$Z$2488,251,'Live Data'!$C$17)),"")</f>
        <v>PREP</v>
      </c>
      <c r="G251" s="54">
        <f>IFERROR(IF(INDEX(SPOT_Import!$A$1:$Z$2488,251,'Live Data'!$C$18)="","",INDEX(SPOT_Import!$A$1:$Z$2488,251,'Live Data'!$C$18)),"")</f>
        <v>4</v>
      </c>
      <c r="H251" s="54" t="str">
        <f>IFERROR(IF(INDEX(SPOT_Import!$A$1:$Z$2488,251,'Live Data'!$C$19)="","",INDEX(SPOT_Import!$A$1:$Z$2488,251,'Live Data'!$C$19)),"")</f>
        <v/>
      </c>
      <c r="I251" s="54" t="str">
        <f>IFERROR(IF(INDEX(SPOT_Import!$A$1:$Z$2488,251,'Live Data'!$C$20)="","",INDEX(SPOT_Import!$A$1:$Z$2488,251,'Live Data'!$C$20)),"")</f>
        <v>Incomplete</v>
      </c>
      <c r="J251" s="54" t="str">
        <f>IFERROR(IF(INDEX(SPOT_Import!$A$1:$Z$2488,251,'Live Data'!$C$21)="","",INDEX(SPOT_Import!$A$1:$Z$2488,251,'Live Data'!$C$21)),"")</f>
        <v>2026-10-07T08:09:19.000Z</v>
      </c>
      <c r="K251" s="54" t="str">
        <f>IFERROR(IF(INDEX(SPOT_Import!$A$1:$Z$2488,251,'Live Data'!$C$22)="","",INDEX(SPOT_Import!$A$1:$Z$2488,251,'Live Data'!$C$22)),"")</f>
        <v>2026-10-07T08:09:19.000Z</v>
      </c>
      <c r="L251" s="55" t="str">
        <f t="shared" si="6"/>
        <v>2026-10</v>
      </c>
      <c r="M251" s="55" t="str">
        <f t="shared" si="7"/>
        <v>MERU</v>
      </c>
      <c r="N251" s="55" t="str">
        <f>IF(A251="","",IFERROR(INDEX('Cluster Map'!$A$4:$A$38,MATCH(M251,'Cluster Map'!$B$4:$B$38,0)),"Unmapped"))</f>
        <v>Cluster 1</v>
      </c>
      <c r="O251" s="55">
        <f>IF(A251="",0,IF(COUNTIFS($A$2:A251,A251,$F$2:F251,F251,$L$2:L251,L251)=1,1,0))</f>
        <v>1</v>
      </c>
      <c r="P251" s="55">
        <f>IF(A251="",0,IF(AND(F251="C&amp;T",COUNTIFS($A$2:A251,A251,$F$2:F251,"C&amp;T")=1),1,0))</f>
        <v>0</v>
      </c>
    </row>
    <row r="252" spans="1:16" x14ac:dyDescent="0.35">
      <c r="A252" s="54">
        <f>IFERROR(IF(INDEX(SPOT_Import!$A$1:$Z$2488,252,'Live Data'!$C$12)="","",INDEX(SPOT_Import!$A$1:$Z$2488,252,'Live Data'!$C$12)),"")</f>
        <v>12192</v>
      </c>
      <c r="B252" s="54" t="str">
        <f>IFERROR(IF(INDEX(SPOT_Import!$A$1:$Z$2488,252,'Live Data'!$C$13)="","",INDEX(SPOT_Import!$A$1:$Z$2488,252,'Live Data'!$C$13)),"")</f>
        <v>Kaongo Health Centre</v>
      </c>
      <c r="C252" s="54" t="str">
        <f>IFERROR(IF(INDEX(SPOT_Import!$A$1:$Z$2488,252,'Live Data'!$C$14)="","",INDEX(SPOT_Import!$A$1:$Z$2488,252,'Live Data'!$C$14)),"")</f>
        <v>MERU</v>
      </c>
      <c r="D252" s="54" t="str">
        <f>IFERROR(IF(INDEX(SPOT_Import!$A$1:$Z$2488,252,'Live Data'!$C$15)="","",INDEX(SPOT_Import!$A$1:$Z$2488,252,'Live Data'!$C$15)),"")</f>
        <v>Imenti Central</v>
      </c>
      <c r="E252" s="54" t="str">
        <f>IFERROR(IF(INDEX(SPOT_Import!$A$1:$Z$2488,252,'Live Data'!$C$16)="","",INDEX(SPOT_Import!$A$1:$Z$2488,252,'Live Data'!$C$16)),"")</f>
        <v>USAID Jamii Tekelezi</v>
      </c>
      <c r="F252" s="54" t="str">
        <f>IFERROR(IF(INDEX(SPOT_Import!$A$1:$Z$2488,252,'Live Data'!$C$17)="","",INDEX(SPOT_Import!$A$1:$Z$2488,252,'Live Data'!$C$17)),"")</f>
        <v>HTS</v>
      </c>
      <c r="G252" s="54">
        <f>IFERROR(IF(INDEX(SPOT_Import!$A$1:$Z$2488,252,'Live Data'!$C$18)="","",INDEX(SPOT_Import!$A$1:$Z$2488,252,'Live Data'!$C$18)),"")</f>
        <v>15</v>
      </c>
      <c r="H252" s="54" t="str">
        <f>IFERROR(IF(INDEX(SPOT_Import!$A$1:$Z$2488,252,'Live Data'!$C$19)="","",INDEX(SPOT_Import!$A$1:$Z$2488,252,'Live Data'!$C$19)),"")</f>
        <v/>
      </c>
      <c r="I252" s="54" t="str">
        <f>IFERROR(IF(INDEX(SPOT_Import!$A$1:$Z$2488,252,'Live Data'!$C$20)="","",INDEX(SPOT_Import!$A$1:$Z$2488,252,'Live Data'!$C$20)),"")</f>
        <v>Incomplete</v>
      </c>
      <c r="J252" s="54" t="str">
        <f>IFERROR(IF(INDEX(SPOT_Import!$A$1:$Z$2488,252,'Live Data'!$C$21)="","",INDEX(SPOT_Import!$A$1:$Z$2488,252,'Live Data'!$C$21)),"")</f>
        <v>2026-10-07T08:09:03.000Z</v>
      </c>
      <c r="K252" s="54" t="str">
        <f>IFERROR(IF(INDEX(SPOT_Import!$A$1:$Z$2488,252,'Live Data'!$C$22)="","",INDEX(SPOT_Import!$A$1:$Z$2488,252,'Live Data'!$C$22)),"")</f>
        <v>2026-10-07T08:09:03.000Z</v>
      </c>
      <c r="L252" s="55" t="str">
        <f t="shared" si="6"/>
        <v>2026-10</v>
      </c>
      <c r="M252" s="55" t="str">
        <f t="shared" si="7"/>
        <v>MERU</v>
      </c>
      <c r="N252" s="55" t="str">
        <f>IF(A252="","",IFERROR(INDEX('Cluster Map'!$A$4:$A$38,MATCH(M252,'Cluster Map'!$B$4:$B$38,0)),"Unmapped"))</f>
        <v>Cluster 1</v>
      </c>
      <c r="O252" s="55">
        <f>IF(A252="",0,IF(COUNTIFS($A$2:A252,A252,$F$2:F252,F252,$L$2:L252,L252)=1,1,0))</f>
        <v>1</v>
      </c>
      <c r="P252" s="55">
        <f>IF(A252="",0,IF(AND(F252="C&amp;T",COUNTIFS($A$2:A252,A252,$F$2:F252,"C&amp;T")=1),1,0))</f>
        <v>0</v>
      </c>
    </row>
    <row r="253" spans="1:16" x14ac:dyDescent="0.35">
      <c r="A253" s="54">
        <f>IFERROR(IF(INDEX(SPOT_Import!$A$1:$Z$2488,253,'Live Data'!$C$12)="","",INDEX(SPOT_Import!$A$1:$Z$2488,253,'Live Data'!$C$12)),"")</f>
        <v>12192</v>
      </c>
      <c r="B253" s="54" t="str">
        <f>IFERROR(IF(INDEX(SPOT_Import!$A$1:$Z$2488,253,'Live Data'!$C$13)="","",INDEX(SPOT_Import!$A$1:$Z$2488,253,'Live Data'!$C$13)),"")</f>
        <v>Kaongo Health Centre</v>
      </c>
      <c r="C253" s="54" t="str">
        <f>IFERROR(IF(INDEX(SPOT_Import!$A$1:$Z$2488,253,'Live Data'!$C$14)="","",INDEX(SPOT_Import!$A$1:$Z$2488,253,'Live Data'!$C$14)),"")</f>
        <v>MERU</v>
      </c>
      <c r="D253" s="54" t="str">
        <f>IFERROR(IF(INDEX(SPOT_Import!$A$1:$Z$2488,253,'Live Data'!$C$15)="","",INDEX(SPOT_Import!$A$1:$Z$2488,253,'Live Data'!$C$15)),"")</f>
        <v>Imenti Central</v>
      </c>
      <c r="E253" s="54" t="str">
        <f>IFERROR(IF(INDEX(SPOT_Import!$A$1:$Z$2488,253,'Live Data'!$C$16)="","",INDEX(SPOT_Import!$A$1:$Z$2488,253,'Live Data'!$C$16)),"")</f>
        <v>USAID Jamii Tekelezi</v>
      </c>
      <c r="F253" s="54" t="str">
        <f>IFERROR(IF(INDEX(SPOT_Import!$A$1:$Z$2488,253,'Live Data'!$C$17)="","",INDEX(SPOT_Import!$A$1:$Z$2488,253,'Live Data'!$C$17)),"")</f>
        <v>C&amp;T</v>
      </c>
      <c r="G253" s="54">
        <f>IFERROR(IF(INDEX(SPOT_Import!$A$1:$Z$2488,253,'Live Data'!$C$18)="","",INDEX(SPOT_Import!$A$1:$Z$2488,253,'Live Data'!$C$18)),"")</f>
        <v>137</v>
      </c>
      <c r="H253" s="54">
        <f>IFERROR(IF(INDEX(SPOT_Import!$A$1:$Z$2488,253,'Live Data'!$C$19)="","",INDEX(SPOT_Import!$A$1:$Z$2488,253,'Live Data'!$C$19)),"")</f>
        <v>137</v>
      </c>
      <c r="I253" s="54" t="str">
        <f>IFERROR(IF(INDEX(SPOT_Import!$A$1:$Z$2488,253,'Live Data'!$C$20)="","",INDEX(SPOT_Import!$A$1:$Z$2488,253,'Live Data'!$C$20)),"")</f>
        <v>Complete</v>
      </c>
      <c r="J253" s="54" t="str">
        <f>IFERROR(IF(INDEX(SPOT_Import!$A$1:$Z$2488,253,'Live Data'!$C$21)="","",INDEX(SPOT_Import!$A$1:$Z$2488,253,'Live Data'!$C$21)),"")</f>
        <v>2026-10-07T08:07:33.000Z</v>
      </c>
      <c r="K253" s="54" t="str">
        <f>IFERROR(IF(INDEX(SPOT_Import!$A$1:$Z$2488,253,'Live Data'!$C$22)="","",INDEX(SPOT_Import!$A$1:$Z$2488,253,'Live Data'!$C$22)),"")</f>
        <v>2026-10-07T08:07:33.000Z</v>
      </c>
      <c r="L253" s="55" t="str">
        <f t="shared" si="6"/>
        <v>2026-10</v>
      </c>
      <c r="M253" s="55" t="str">
        <f t="shared" si="7"/>
        <v>MERU</v>
      </c>
      <c r="N253" s="55" t="str">
        <f>IF(A253="","",IFERROR(INDEX('Cluster Map'!$A$4:$A$38,MATCH(M253,'Cluster Map'!$B$4:$B$38,0)),"Unmapped"))</f>
        <v>Cluster 1</v>
      </c>
      <c r="O253" s="55">
        <f>IF(A253="",0,IF(COUNTIFS($A$2:A253,A253,$F$2:F253,F253,$L$2:L253,L253)=1,1,0))</f>
        <v>1</v>
      </c>
      <c r="P253" s="55">
        <f>IF(A253="",0,IF(AND(F253="C&amp;T",COUNTIFS($A$2:A253,A253,$F$2:F253,"C&amp;T")=1),1,0))</f>
        <v>1</v>
      </c>
    </row>
    <row r="254" spans="1:16" x14ac:dyDescent="0.35">
      <c r="A254" s="54">
        <f>IFERROR(IF(INDEX(SPOT_Import!$A$1:$Z$2488,254,'Live Data'!$C$12)="","",INDEX(SPOT_Import!$A$1:$Z$2488,254,'Live Data'!$C$12)),"")</f>
        <v>12645</v>
      </c>
      <c r="B254" s="54" t="str">
        <f>IFERROR(IF(INDEX(SPOT_Import!$A$1:$Z$2488,254,'Live Data'!$C$13)="","",INDEX(SPOT_Import!$A$1:$Z$2488,254,'Live Data'!$C$13)),"")</f>
        <v>Nganduri Dispensary</v>
      </c>
      <c r="C254" s="54" t="str">
        <f>IFERROR(IF(INDEX(SPOT_Import!$A$1:$Z$2488,254,'Live Data'!$C$14)="","",INDEX(SPOT_Import!$A$1:$Z$2488,254,'Live Data'!$C$14)),"")</f>
        <v>EMBU</v>
      </c>
      <c r="D254" s="54" t="str">
        <f>IFERROR(IF(INDEX(SPOT_Import!$A$1:$Z$2488,254,'Live Data'!$C$15)="","",INDEX(SPOT_Import!$A$1:$Z$2488,254,'Live Data'!$C$15)),"")</f>
        <v>Mbeere South</v>
      </c>
      <c r="E254" s="54" t="str">
        <f>IFERROR(IF(INDEX(SPOT_Import!$A$1:$Z$2488,254,'Live Data'!$C$16)="","",INDEX(SPOT_Import!$A$1:$Z$2488,254,'Live Data'!$C$16)),"")</f>
        <v>USAID Jamii Tekelezi</v>
      </c>
      <c r="F254" s="54" t="str">
        <f>IFERROR(IF(INDEX(SPOT_Import!$A$1:$Z$2488,254,'Live Data'!$C$17)="","",INDEX(SPOT_Import!$A$1:$Z$2488,254,'Live Data'!$C$17)),"")</f>
        <v>C&amp;T</v>
      </c>
      <c r="G254" s="54">
        <f>IFERROR(IF(INDEX(SPOT_Import!$A$1:$Z$2488,254,'Live Data'!$C$18)="","",INDEX(SPOT_Import!$A$1:$Z$2488,254,'Live Data'!$C$18)),"")</f>
        <v>50</v>
      </c>
      <c r="H254" s="54">
        <f>IFERROR(IF(INDEX(SPOT_Import!$A$1:$Z$2488,254,'Live Data'!$C$19)="","",INDEX(SPOT_Import!$A$1:$Z$2488,254,'Live Data'!$C$19)),"")</f>
        <v>50</v>
      </c>
      <c r="I254" s="54" t="str">
        <f>IFERROR(IF(INDEX(SPOT_Import!$A$1:$Z$2488,254,'Live Data'!$C$20)="","",INDEX(SPOT_Import!$A$1:$Z$2488,254,'Live Data'!$C$20)),"")</f>
        <v>Complete</v>
      </c>
      <c r="J254" s="54" t="str">
        <f>IFERROR(IF(INDEX(SPOT_Import!$A$1:$Z$2488,254,'Live Data'!$C$21)="","",INDEX(SPOT_Import!$A$1:$Z$2488,254,'Live Data'!$C$21)),"")</f>
        <v>2026-10-07T07:56:22.000Z</v>
      </c>
      <c r="K254" s="54" t="str">
        <f>IFERROR(IF(INDEX(SPOT_Import!$A$1:$Z$2488,254,'Live Data'!$C$22)="","",INDEX(SPOT_Import!$A$1:$Z$2488,254,'Live Data'!$C$22)),"")</f>
        <v>2026-10-07T07:56:22.000Z</v>
      </c>
      <c r="L254" s="55" t="str">
        <f t="shared" si="6"/>
        <v>2026-10</v>
      </c>
      <c r="M254" s="55" t="str">
        <f t="shared" si="7"/>
        <v>EMBU</v>
      </c>
      <c r="N254" s="55" t="str">
        <f>IF(A254="","",IFERROR(INDEX('Cluster Map'!$A$4:$A$38,MATCH(M254,'Cluster Map'!$B$4:$B$38,0)),"Unmapped"))</f>
        <v>Cluster 2</v>
      </c>
      <c r="O254" s="55">
        <f>IF(A254="",0,IF(COUNTIFS($A$2:A254,A254,$F$2:F254,F254,$L$2:L254,L254)=1,1,0))</f>
        <v>1</v>
      </c>
      <c r="P254" s="55">
        <f>IF(A254="",0,IF(AND(F254="C&amp;T",COUNTIFS($A$2:A254,A254,$F$2:F254,"C&amp;T")=1),1,0))</f>
        <v>1</v>
      </c>
    </row>
    <row r="255" spans="1:16" x14ac:dyDescent="0.35">
      <c r="A255" s="54">
        <f>IFERROR(IF(INDEX(SPOT_Import!$A$1:$Z$2488,255,'Live Data'!$C$12)="","",INDEX(SPOT_Import!$A$1:$Z$2488,255,'Live Data'!$C$12)),"")</f>
        <v>12700</v>
      </c>
      <c r="B255" s="54" t="str">
        <f>IFERROR(IF(INDEX(SPOT_Import!$A$1:$Z$2488,255,'Live Data'!$C$13)="","",INDEX(SPOT_Import!$A$1:$Z$2488,255,'Live Data'!$C$13)),"")</f>
        <v>Ontulili Dispensary</v>
      </c>
      <c r="C255" s="54" t="str">
        <f>IFERROR(IF(INDEX(SPOT_Import!$A$1:$Z$2488,255,'Live Data'!$C$14)="","",INDEX(SPOT_Import!$A$1:$Z$2488,255,'Live Data'!$C$14)),"")</f>
        <v>MERU</v>
      </c>
      <c r="D255" s="54" t="str">
        <f>IFERROR(IF(INDEX(SPOT_Import!$A$1:$Z$2488,255,'Live Data'!$C$15)="","",INDEX(SPOT_Import!$A$1:$Z$2488,255,'Live Data'!$C$15)),"")</f>
        <v>Buuri</v>
      </c>
      <c r="E255" s="54" t="str">
        <f>IFERROR(IF(INDEX(SPOT_Import!$A$1:$Z$2488,255,'Live Data'!$C$16)="","",INDEX(SPOT_Import!$A$1:$Z$2488,255,'Live Data'!$C$16)),"")</f>
        <v>USAID Jamii Tekelezi</v>
      </c>
      <c r="F255" s="54" t="str">
        <f>IFERROR(IF(INDEX(SPOT_Import!$A$1:$Z$2488,255,'Live Data'!$C$17)="","",INDEX(SPOT_Import!$A$1:$Z$2488,255,'Live Data'!$C$17)),"")</f>
        <v>HTS</v>
      </c>
      <c r="G255" s="54">
        <f>IFERROR(IF(INDEX(SPOT_Import!$A$1:$Z$2488,255,'Live Data'!$C$18)="","",INDEX(SPOT_Import!$A$1:$Z$2488,255,'Live Data'!$C$18)),"")</f>
        <v>2</v>
      </c>
      <c r="H255" s="54">
        <f>IFERROR(IF(INDEX(SPOT_Import!$A$1:$Z$2488,255,'Live Data'!$C$19)="","",INDEX(SPOT_Import!$A$1:$Z$2488,255,'Live Data'!$C$19)),"")</f>
        <v>2</v>
      </c>
      <c r="I255" s="54" t="str">
        <f>IFERROR(IF(INDEX(SPOT_Import!$A$1:$Z$2488,255,'Live Data'!$C$20)="","",INDEX(SPOT_Import!$A$1:$Z$2488,255,'Live Data'!$C$20)),"")</f>
        <v>Complete</v>
      </c>
      <c r="J255" s="54" t="str">
        <f>IFERROR(IF(INDEX(SPOT_Import!$A$1:$Z$2488,255,'Live Data'!$C$21)="","",INDEX(SPOT_Import!$A$1:$Z$2488,255,'Live Data'!$C$21)),"")</f>
        <v>2026-10-07T07:37:22.000Z</v>
      </c>
      <c r="K255" s="54" t="str">
        <f>IFERROR(IF(INDEX(SPOT_Import!$A$1:$Z$2488,255,'Live Data'!$C$22)="","",INDEX(SPOT_Import!$A$1:$Z$2488,255,'Live Data'!$C$22)),"")</f>
        <v>2026-10-07T07:37:22.000Z</v>
      </c>
      <c r="L255" s="55" t="str">
        <f t="shared" si="6"/>
        <v>2026-10</v>
      </c>
      <c r="M255" s="55" t="str">
        <f t="shared" si="7"/>
        <v>MERU</v>
      </c>
      <c r="N255" s="55" t="str">
        <f>IF(A255="","",IFERROR(INDEX('Cluster Map'!$A$4:$A$38,MATCH(M255,'Cluster Map'!$B$4:$B$38,0)),"Unmapped"))</f>
        <v>Cluster 1</v>
      </c>
      <c r="O255" s="55">
        <f>IF(A255="",0,IF(COUNTIFS($A$2:A255,A255,$F$2:F255,F255,$L$2:L255,L255)=1,1,0))</f>
        <v>1</v>
      </c>
      <c r="P255" s="55">
        <f>IF(A255="",0,IF(AND(F255="C&amp;T",COUNTIFS($A$2:A255,A255,$F$2:F255,"C&amp;T")=1),1,0))</f>
        <v>0</v>
      </c>
    </row>
    <row r="256" spans="1:16" x14ac:dyDescent="0.35">
      <c r="A256" s="54">
        <f>IFERROR(IF(INDEX(SPOT_Import!$A$1:$Z$2488,256,'Live Data'!$C$12)="","",INDEX(SPOT_Import!$A$1:$Z$2488,256,'Live Data'!$C$12)),"")</f>
        <v>18782</v>
      </c>
      <c r="B256" s="54" t="str">
        <f>IFERROR(IF(INDEX(SPOT_Import!$A$1:$Z$2488,256,'Live Data'!$C$13)="","",INDEX(SPOT_Import!$A$1:$Z$2488,256,'Live Data'!$C$13)),"")</f>
        <v>Chamuka Dispensary</v>
      </c>
      <c r="C256" s="54" t="str">
        <f>IFERROR(IF(INDEX(SPOT_Import!$A$1:$Z$2488,256,'Live Data'!$C$14)="","",INDEX(SPOT_Import!$A$1:$Z$2488,256,'Live Data'!$C$14)),"")</f>
        <v>NYANDARUA</v>
      </c>
      <c r="D256" s="54" t="str">
        <f>IFERROR(IF(INDEX(SPOT_Import!$A$1:$Z$2488,256,'Live Data'!$C$15)="","",INDEX(SPOT_Import!$A$1:$Z$2488,256,'Live Data'!$C$15)),"")</f>
        <v>Oljororok</v>
      </c>
      <c r="E256" s="54" t="str">
        <f>IFERROR(IF(INDEX(SPOT_Import!$A$1:$Z$2488,256,'Live Data'!$C$16)="","",INDEX(SPOT_Import!$A$1:$Z$2488,256,'Live Data'!$C$16)),"")</f>
        <v>USAID Jamii Tekelezi</v>
      </c>
      <c r="F256" s="54" t="str">
        <f>IFERROR(IF(INDEX(SPOT_Import!$A$1:$Z$2488,256,'Live Data'!$C$17)="","",INDEX(SPOT_Import!$A$1:$Z$2488,256,'Live Data'!$C$17)),"")</f>
        <v>PREP</v>
      </c>
      <c r="G256" s="54">
        <f>IFERROR(IF(INDEX(SPOT_Import!$A$1:$Z$2488,256,'Live Data'!$C$18)="","",INDEX(SPOT_Import!$A$1:$Z$2488,256,'Live Data'!$C$18)),"")</f>
        <v>76</v>
      </c>
      <c r="H256" s="54">
        <f>IFERROR(IF(INDEX(SPOT_Import!$A$1:$Z$2488,256,'Live Data'!$C$19)="","",INDEX(SPOT_Import!$A$1:$Z$2488,256,'Live Data'!$C$19)),"")</f>
        <v>76</v>
      </c>
      <c r="I256" s="54" t="str">
        <f>IFERROR(IF(INDEX(SPOT_Import!$A$1:$Z$2488,256,'Live Data'!$C$20)="","",INDEX(SPOT_Import!$A$1:$Z$2488,256,'Live Data'!$C$20)),"")</f>
        <v>Complete</v>
      </c>
      <c r="J256" s="54" t="str">
        <f>IFERROR(IF(INDEX(SPOT_Import!$A$1:$Z$2488,256,'Live Data'!$C$21)="","",INDEX(SPOT_Import!$A$1:$Z$2488,256,'Live Data'!$C$21)),"")</f>
        <v>2026-10-07T07:21:30.000Z</v>
      </c>
      <c r="K256" s="54" t="str">
        <f>IFERROR(IF(INDEX(SPOT_Import!$A$1:$Z$2488,256,'Live Data'!$C$22)="","",INDEX(SPOT_Import!$A$1:$Z$2488,256,'Live Data'!$C$22)),"")</f>
        <v>2026-10-07T07:21:30.000Z</v>
      </c>
      <c r="L256" s="55" t="str">
        <f t="shared" si="6"/>
        <v>2026-10</v>
      </c>
      <c r="M256" s="55" t="str">
        <f t="shared" si="7"/>
        <v>NYANDARUA</v>
      </c>
      <c r="N256" s="55" t="str">
        <f>IF(A256="","",IFERROR(INDEX('Cluster Map'!$A$4:$A$38,MATCH(M256,'Cluster Map'!$B$4:$B$38,0)),"Unmapped"))</f>
        <v>Cluster 4</v>
      </c>
      <c r="O256" s="55">
        <f>IF(A256="",0,IF(COUNTIFS($A$2:A256,A256,$F$2:F256,F256,$L$2:L256,L256)=1,1,0))</f>
        <v>1</v>
      </c>
      <c r="P256" s="55">
        <f>IF(A256="",0,IF(AND(F256="C&amp;T",COUNTIFS($A$2:A256,A256,$F$2:F256,"C&amp;T")=1),1,0))</f>
        <v>0</v>
      </c>
    </row>
    <row r="257" spans="1:16" x14ac:dyDescent="0.35">
      <c r="A257" s="54">
        <f>IFERROR(IF(INDEX(SPOT_Import!$A$1:$Z$2488,257,'Live Data'!$C$12)="","",INDEX(SPOT_Import!$A$1:$Z$2488,257,'Live Data'!$C$12)),"")</f>
        <v>18782</v>
      </c>
      <c r="B257" s="54" t="str">
        <f>IFERROR(IF(INDEX(SPOT_Import!$A$1:$Z$2488,257,'Live Data'!$C$13)="","",INDEX(SPOT_Import!$A$1:$Z$2488,257,'Live Data'!$C$13)),"")</f>
        <v>Chamuka Dispensary</v>
      </c>
      <c r="C257" s="54" t="str">
        <f>IFERROR(IF(INDEX(SPOT_Import!$A$1:$Z$2488,257,'Live Data'!$C$14)="","",INDEX(SPOT_Import!$A$1:$Z$2488,257,'Live Data'!$C$14)),"")</f>
        <v>NYANDARUA</v>
      </c>
      <c r="D257" s="54" t="str">
        <f>IFERROR(IF(INDEX(SPOT_Import!$A$1:$Z$2488,257,'Live Data'!$C$15)="","",INDEX(SPOT_Import!$A$1:$Z$2488,257,'Live Data'!$C$15)),"")</f>
        <v>Oljororok</v>
      </c>
      <c r="E257" s="54" t="str">
        <f>IFERROR(IF(INDEX(SPOT_Import!$A$1:$Z$2488,257,'Live Data'!$C$16)="","",INDEX(SPOT_Import!$A$1:$Z$2488,257,'Live Data'!$C$16)),"")</f>
        <v>USAID Jamii Tekelezi</v>
      </c>
      <c r="F257" s="54" t="str">
        <f>IFERROR(IF(INDEX(SPOT_Import!$A$1:$Z$2488,257,'Live Data'!$C$17)="","",INDEX(SPOT_Import!$A$1:$Z$2488,257,'Live Data'!$C$17)),"")</f>
        <v>MNCH</v>
      </c>
      <c r="G257" s="54">
        <f>IFERROR(IF(INDEX(SPOT_Import!$A$1:$Z$2488,257,'Live Data'!$C$18)="","",INDEX(SPOT_Import!$A$1:$Z$2488,257,'Live Data'!$C$18)),"")</f>
        <v>22</v>
      </c>
      <c r="H257" s="54">
        <f>IFERROR(IF(INDEX(SPOT_Import!$A$1:$Z$2488,257,'Live Data'!$C$19)="","",INDEX(SPOT_Import!$A$1:$Z$2488,257,'Live Data'!$C$19)),"")</f>
        <v>22</v>
      </c>
      <c r="I257" s="54" t="str">
        <f>IFERROR(IF(INDEX(SPOT_Import!$A$1:$Z$2488,257,'Live Data'!$C$20)="","",INDEX(SPOT_Import!$A$1:$Z$2488,257,'Live Data'!$C$20)),"")</f>
        <v>Complete</v>
      </c>
      <c r="J257" s="54" t="str">
        <f>IFERROR(IF(INDEX(SPOT_Import!$A$1:$Z$2488,257,'Live Data'!$C$21)="","",INDEX(SPOT_Import!$A$1:$Z$2488,257,'Live Data'!$C$21)),"")</f>
        <v>2026-10-07T07:21:09.000Z</v>
      </c>
      <c r="K257" s="54" t="str">
        <f>IFERROR(IF(INDEX(SPOT_Import!$A$1:$Z$2488,257,'Live Data'!$C$22)="","",INDEX(SPOT_Import!$A$1:$Z$2488,257,'Live Data'!$C$22)),"")</f>
        <v>2026-10-07T07:21:09.000Z</v>
      </c>
      <c r="L257" s="55" t="str">
        <f t="shared" si="6"/>
        <v>2026-10</v>
      </c>
      <c r="M257" s="55" t="str">
        <f t="shared" si="7"/>
        <v>NYANDARUA</v>
      </c>
      <c r="N257" s="55" t="str">
        <f>IF(A257="","",IFERROR(INDEX('Cluster Map'!$A$4:$A$38,MATCH(M257,'Cluster Map'!$B$4:$B$38,0)),"Unmapped"))</f>
        <v>Cluster 4</v>
      </c>
      <c r="O257" s="55">
        <f>IF(A257="",0,IF(COUNTIFS($A$2:A257,A257,$F$2:F257,F257,$L$2:L257,L257)=1,1,0))</f>
        <v>1</v>
      </c>
      <c r="P257" s="55">
        <f>IF(A257="",0,IF(AND(F257="C&amp;T",COUNTIFS($A$2:A257,A257,$F$2:F257,"C&amp;T")=1),1,0))</f>
        <v>0</v>
      </c>
    </row>
    <row r="258" spans="1:16" x14ac:dyDescent="0.35">
      <c r="A258" s="54">
        <f>IFERROR(IF(INDEX(SPOT_Import!$A$1:$Z$2488,258,'Live Data'!$C$12)="","",INDEX(SPOT_Import!$A$1:$Z$2488,258,'Live Data'!$C$12)),"")</f>
        <v>18782</v>
      </c>
      <c r="B258" s="54" t="str">
        <f>IFERROR(IF(INDEX(SPOT_Import!$A$1:$Z$2488,258,'Live Data'!$C$13)="","",INDEX(SPOT_Import!$A$1:$Z$2488,258,'Live Data'!$C$13)),"")</f>
        <v>Chamuka Dispensary</v>
      </c>
      <c r="C258" s="54" t="str">
        <f>IFERROR(IF(INDEX(SPOT_Import!$A$1:$Z$2488,258,'Live Data'!$C$14)="","",INDEX(SPOT_Import!$A$1:$Z$2488,258,'Live Data'!$C$14)),"")</f>
        <v>NYANDARUA</v>
      </c>
      <c r="D258" s="54" t="str">
        <f>IFERROR(IF(INDEX(SPOT_Import!$A$1:$Z$2488,258,'Live Data'!$C$15)="","",INDEX(SPOT_Import!$A$1:$Z$2488,258,'Live Data'!$C$15)),"")</f>
        <v>Oljororok</v>
      </c>
      <c r="E258" s="54" t="str">
        <f>IFERROR(IF(INDEX(SPOT_Import!$A$1:$Z$2488,258,'Live Data'!$C$16)="","",INDEX(SPOT_Import!$A$1:$Z$2488,258,'Live Data'!$C$16)),"")</f>
        <v>USAID Jamii Tekelezi</v>
      </c>
      <c r="F258" s="54" t="str">
        <f>IFERROR(IF(INDEX(SPOT_Import!$A$1:$Z$2488,258,'Live Data'!$C$17)="","",INDEX(SPOT_Import!$A$1:$Z$2488,258,'Live Data'!$C$17)),"")</f>
        <v>HTS</v>
      </c>
      <c r="G258" s="54">
        <f>IFERROR(IF(INDEX(SPOT_Import!$A$1:$Z$2488,258,'Live Data'!$C$18)="","",INDEX(SPOT_Import!$A$1:$Z$2488,258,'Live Data'!$C$18)),"")</f>
        <v>2697</v>
      </c>
      <c r="H258" s="54">
        <f>IFERROR(IF(INDEX(SPOT_Import!$A$1:$Z$2488,258,'Live Data'!$C$19)="","",INDEX(SPOT_Import!$A$1:$Z$2488,258,'Live Data'!$C$19)),"")</f>
        <v>2697</v>
      </c>
      <c r="I258" s="54" t="str">
        <f>IFERROR(IF(INDEX(SPOT_Import!$A$1:$Z$2488,258,'Live Data'!$C$20)="","",INDEX(SPOT_Import!$A$1:$Z$2488,258,'Live Data'!$C$20)),"")</f>
        <v>Complete</v>
      </c>
      <c r="J258" s="54" t="str">
        <f>IFERROR(IF(INDEX(SPOT_Import!$A$1:$Z$2488,258,'Live Data'!$C$21)="","",INDEX(SPOT_Import!$A$1:$Z$2488,258,'Live Data'!$C$21)),"")</f>
        <v>2026-10-07T07:20:24.000Z</v>
      </c>
      <c r="K258" s="54" t="str">
        <f>IFERROR(IF(INDEX(SPOT_Import!$A$1:$Z$2488,258,'Live Data'!$C$22)="","",INDEX(SPOT_Import!$A$1:$Z$2488,258,'Live Data'!$C$22)),"")</f>
        <v>2026-10-07T07:20:24.000Z</v>
      </c>
      <c r="L258" s="55" t="str">
        <f t="shared" ref="L258:L321" si="8">IF(A258="","",IF(ISNUMBER(K258),TEXT(K258,"yyyy-mm"),LEFT(K258,7)))</f>
        <v>2026-10</v>
      </c>
      <c r="M258" s="55" t="str">
        <f t="shared" ref="M258:M321" si="9">IF(A258="","",UPPER(TRIM(SUBSTITUTE(C258," - ","-"))))</f>
        <v>NYANDARUA</v>
      </c>
      <c r="N258" s="55" t="str">
        <f>IF(A258="","",IFERROR(INDEX('Cluster Map'!$A$4:$A$38,MATCH(M258,'Cluster Map'!$B$4:$B$38,0)),"Unmapped"))</f>
        <v>Cluster 4</v>
      </c>
      <c r="O258" s="55">
        <f>IF(A258="",0,IF(COUNTIFS($A$2:A258,A258,$F$2:F258,F258,$L$2:L258,L258)=1,1,0))</f>
        <v>1</v>
      </c>
      <c r="P258" s="55">
        <f>IF(A258="",0,IF(AND(F258="C&amp;T",COUNTIFS($A$2:A258,A258,$F$2:F258,"C&amp;T")=1),1,0))</f>
        <v>0</v>
      </c>
    </row>
    <row r="259" spans="1:16" x14ac:dyDescent="0.35">
      <c r="A259" s="54">
        <f>IFERROR(IF(INDEX(SPOT_Import!$A$1:$Z$2488,259,'Live Data'!$C$12)="","",INDEX(SPOT_Import!$A$1:$Z$2488,259,'Live Data'!$C$12)),"")</f>
        <v>12700</v>
      </c>
      <c r="B259" s="54" t="str">
        <f>IFERROR(IF(INDEX(SPOT_Import!$A$1:$Z$2488,259,'Live Data'!$C$13)="","",INDEX(SPOT_Import!$A$1:$Z$2488,259,'Live Data'!$C$13)),"")</f>
        <v>Ontulili Dispensary</v>
      </c>
      <c r="C259" s="54" t="str">
        <f>IFERROR(IF(INDEX(SPOT_Import!$A$1:$Z$2488,259,'Live Data'!$C$14)="","",INDEX(SPOT_Import!$A$1:$Z$2488,259,'Live Data'!$C$14)),"")</f>
        <v>MERU</v>
      </c>
      <c r="D259" s="54" t="str">
        <f>IFERROR(IF(INDEX(SPOT_Import!$A$1:$Z$2488,259,'Live Data'!$C$15)="","",INDEX(SPOT_Import!$A$1:$Z$2488,259,'Live Data'!$C$15)),"")</f>
        <v>Buuri</v>
      </c>
      <c r="E259" s="54" t="str">
        <f>IFERROR(IF(INDEX(SPOT_Import!$A$1:$Z$2488,259,'Live Data'!$C$16)="","",INDEX(SPOT_Import!$A$1:$Z$2488,259,'Live Data'!$C$16)),"")</f>
        <v>USAID Jamii Tekelezi</v>
      </c>
      <c r="F259" s="54" t="str">
        <f>IFERROR(IF(INDEX(SPOT_Import!$A$1:$Z$2488,259,'Live Data'!$C$17)="","",INDEX(SPOT_Import!$A$1:$Z$2488,259,'Live Data'!$C$17)),"")</f>
        <v>C&amp;T</v>
      </c>
      <c r="G259" s="54">
        <f>IFERROR(IF(INDEX(SPOT_Import!$A$1:$Z$2488,259,'Live Data'!$C$18)="","",INDEX(SPOT_Import!$A$1:$Z$2488,259,'Live Data'!$C$18)),"")</f>
        <v>40</v>
      </c>
      <c r="H259" s="54">
        <f>IFERROR(IF(INDEX(SPOT_Import!$A$1:$Z$2488,259,'Live Data'!$C$19)="","",INDEX(SPOT_Import!$A$1:$Z$2488,259,'Live Data'!$C$19)),"")</f>
        <v>40</v>
      </c>
      <c r="I259" s="54" t="str">
        <f>IFERROR(IF(INDEX(SPOT_Import!$A$1:$Z$2488,259,'Live Data'!$C$20)="","",INDEX(SPOT_Import!$A$1:$Z$2488,259,'Live Data'!$C$20)),"")</f>
        <v>Complete</v>
      </c>
      <c r="J259" s="54" t="str">
        <f>IFERROR(IF(INDEX(SPOT_Import!$A$1:$Z$2488,259,'Live Data'!$C$21)="","",INDEX(SPOT_Import!$A$1:$Z$2488,259,'Live Data'!$C$21)),"")</f>
        <v>2026-10-07T07:13:16.000Z</v>
      </c>
      <c r="K259" s="54" t="str">
        <f>IFERROR(IF(INDEX(SPOT_Import!$A$1:$Z$2488,259,'Live Data'!$C$22)="","",INDEX(SPOT_Import!$A$1:$Z$2488,259,'Live Data'!$C$22)),"")</f>
        <v>2026-10-07T07:13:16.000Z</v>
      </c>
      <c r="L259" s="55" t="str">
        <f t="shared" si="8"/>
        <v>2026-10</v>
      </c>
      <c r="M259" s="55" t="str">
        <f t="shared" si="9"/>
        <v>MERU</v>
      </c>
      <c r="N259" s="55" t="str">
        <f>IF(A259="","",IFERROR(INDEX('Cluster Map'!$A$4:$A$38,MATCH(M259,'Cluster Map'!$B$4:$B$38,0)),"Unmapped"))</f>
        <v>Cluster 1</v>
      </c>
      <c r="O259" s="55">
        <f>IF(A259="",0,IF(COUNTIFS($A$2:A259,A259,$F$2:F259,F259,$L$2:L259,L259)=1,1,0))</f>
        <v>1</v>
      </c>
      <c r="P259" s="55">
        <f>IF(A259="",0,IF(AND(F259="C&amp;T",COUNTIFS($A$2:A259,A259,$F$2:F259,"C&amp;T")=1),1,0))</f>
        <v>1</v>
      </c>
    </row>
    <row r="260" spans="1:16" x14ac:dyDescent="0.35">
      <c r="A260" s="54">
        <f>IFERROR(IF(INDEX(SPOT_Import!$A$1:$Z$2488,260,'Live Data'!$C$12)="","",INDEX(SPOT_Import!$A$1:$Z$2488,260,'Live Data'!$C$12)),"")</f>
        <v>12097</v>
      </c>
      <c r="B260" s="54" t="str">
        <f>IFERROR(IF(INDEX(SPOT_Import!$A$1:$Z$2488,260,'Live Data'!$C$13)="","",INDEX(SPOT_Import!$A$1:$Z$2488,260,'Live Data'!$C$13)),"")</f>
        <v>Ithimbari Dispensary</v>
      </c>
      <c r="C260" s="54" t="str">
        <f>IFERROR(IF(INDEX(SPOT_Import!$A$1:$Z$2488,260,'Live Data'!$C$14)="","",INDEX(SPOT_Import!$A$1:$Z$2488,260,'Live Data'!$C$14)),"")</f>
        <v>MERU</v>
      </c>
      <c r="D260" s="54" t="str">
        <f>IFERROR(IF(INDEX(SPOT_Import!$A$1:$Z$2488,260,'Live Data'!$C$15)="","",INDEX(SPOT_Import!$A$1:$Z$2488,260,'Live Data'!$C$15)),"")</f>
        <v>Imenti South</v>
      </c>
      <c r="E260" s="54" t="str">
        <f>IFERROR(IF(INDEX(SPOT_Import!$A$1:$Z$2488,260,'Live Data'!$C$16)="","",INDEX(SPOT_Import!$A$1:$Z$2488,260,'Live Data'!$C$16)),"")</f>
        <v>USAID Jamii Tekelezi</v>
      </c>
      <c r="F260" s="54" t="str">
        <f>IFERROR(IF(INDEX(SPOT_Import!$A$1:$Z$2488,260,'Live Data'!$C$17)="","",INDEX(SPOT_Import!$A$1:$Z$2488,260,'Live Data'!$C$17)),"")</f>
        <v>C&amp;T</v>
      </c>
      <c r="G260" s="54">
        <f>IFERROR(IF(INDEX(SPOT_Import!$A$1:$Z$2488,260,'Live Data'!$C$18)="","",INDEX(SPOT_Import!$A$1:$Z$2488,260,'Live Data'!$C$18)),"")</f>
        <v>7</v>
      </c>
      <c r="H260" s="54">
        <f>IFERROR(IF(INDEX(SPOT_Import!$A$1:$Z$2488,260,'Live Data'!$C$19)="","",INDEX(SPOT_Import!$A$1:$Z$2488,260,'Live Data'!$C$19)),"")</f>
        <v>7</v>
      </c>
      <c r="I260" s="54" t="str">
        <f>IFERROR(IF(INDEX(SPOT_Import!$A$1:$Z$2488,260,'Live Data'!$C$20)="","",INDEX(SPOT_Import!$A$1:$Z$2488,260,'Live Data'!$C$20)),"")</f>
        <v>Complete</v>
      </c>
      <c r="J260" s="54" t="str">
        <f>IFERROR(IF(INDEX(SPOT_Import!$A$1:$Z$2488,260,'Live Data'!$C$21)="","",INDEX(SPOT_Import!$A$1:$Z$2488,260,'Live Data'!$C$21)),"")</f>
        <v>2026-10-07T07:06:14.000Z</v>
      </c>
      <c r="K260" s="54" t="str">
        <f>IFERROR(IF(INDEX(SPOT_Import!$A$1:$Z$2488,260,'Live Data'!$C$22)="","",INDEX(SPOT_Import!$A$1:$Z$2488,260,'Live Data'!$C$22)),"")</f>
        <v>2026-10-07T07:06:14.000Z</v>
      </c>
      <c r="L260" s="55" t="str">
        <f t="shared" si="8"/>
        <v>2026-10</v>
      </c>
      <c r="M260" s="55" t="str">
        <f t="shared" si="9"/>
        <v>MERU</v>
      </c>
      <c r="N260" s="55" t="str">
        <f>IF(A260="","",IFERROR(INDEX('Cluster Map'!$A$4:$A$38,MATCH(M260,'Cluster Map'!$B$4:$B$38,0)),"Unmapped"))</f>
        <v>Cluster 1</v>
      </c>
      <c r="O260" s="55">
        <f>IF(A260="",0,IF(COUNTIFS($A$2:A260,A260,$F$2:F260,F260,$L$2:L260,L260)=1,1,0))</f>
        <v>1</v>
      </c>
      <c r="P260" s="55">
        <f>IF(A260="",0,IF(AND(F260="C&amp;T",COUNTIFS($A$2:A260,A260,$F$2:F260,"C&amp;T")=1),1,0))</f>
        <v>1</v>
      </c>
    </row>
    <row r="261" spans="1:16" x14ac:dyDescent="0.35">
      <c r="A261" s="54">
        <f>IFERROR(IF(INDEX(SPOT_Import!$A$1:$Z$2488,261,'Live Data'!$C$12)="","",INDEX(SPOT_Import!$A$1:$Z$2488,261,'Live Data'!$C$12)),"")</f>
        <v>12802</v>
      </c>
      <c r="B261" s="54" t="str">
        <f>IFERROR(IF(INDEX(SPOT_Import!$A$1:$Z$2488,261,'Live Data'!$C$13)="","",INDEX(SPOT_Import!$A$1:$Z$2488,261,'Live Data'!$C$13)),"")</f>
        <v>Timau Sub-County Hospital</v>
      </c>
      <c r="C261" s="54" t="str">
        <f>IFERROR(IF(INDEX(SPOT_Import!$A$1:$Z$2488,261,'Live Data'!$C$14)="","",INDEX(SPOT_Import!$A$1:$Z$2488,261,'Live Data'!$C$14)),"")</f>
        <v>MERU</v>
      </c>
      <c r="D261" s="54" t="str">
        <f>IFERROR(IF(INDEX(SPOT_Import!$A$1:$Z$2488,261,'Live Data'!$C$15)="","",INDEX(SPOT_Import!$A$1:$Z$2488,261,'Live Data'!$C$15)),"")</f>
        <v>Buuri</v>
      </c>
      <c r="E261" s="54" t="str">
        <f>IFERROR(IF(INDEX(SPOT_Import!$A$1:$Z$2488,261,'Live Data'!$C$16)="","",INDEX(SPOT_Import!$A$1:$Z$2488,261,'Live Data'!$C$16)),"")</f>
        <v>USAID Jamii Tekelezi</v>
      </c>
      <c r="F261" s="54" t="str">
        <f>IFERROR(IF(INDEX(SPOT_Import!$A$1:$Z$2488,261,'Live Data'!$C$17)="","",INDEX(SPOT_Import!$A$1:$Z$2488,261,'Live Data'!$C$17)),"")</f>
        <v>PREP</v>
      </c>
      <c r="G261" s="54">
        <f>IFERROR(IF(INDEX(SPOT_Import!$A$1:$Z$2488,261,'Live Data'!$C$18)="","",INDEX(SPOT_Import!$A$1:$Z$2488,261,'Live Data'!$C$18)),"")</f>
        <v>26</v>
      </c>
      <c r="H261" s="54">
        <f>IFERROR(IF(INDEX(SPOT_Import!$A$1:$Z$2488,261,'Live Data'!$C$19)="","",INDEX(SPOT_Import!$A$1:$Z$2488,261,'Live Data'!$C$19)),"")</f>
        <v>26</v>
      </c>
      <c r="I261" s="54" t="str">
        <f>IFERROR(IF(INDEX(SPOT_Import!$A$1:$Z$2488,261,'Live Data'!$C$20)="","",INDEX(SPOT_Import!$A$1:$Z$2488,261,'Live Data'!$C$20)),"")</f>
        <v>Complete</v>
      </c>
      <c r="J261" s="54" t="str">
        <f>IFERROR(IF(INDEX(SPOT_Import!$A$1:$Z$2488,261,'Live Data'!$C$21)="","",INDEX(SPOT_Import!$A$1:$Z$2488,261,'Live Data'!$C$21)),"")</f>
        <v>2026-10-07T06:36:18.000Z</v>
      </c>
      <c r="K261" s="54" t="str">
        <f>IFERROR(IF(INDEX(SPOT_Import!$A$1:$Z$2488,261,'Live Data'!$C$22)="","",INDEX(SPOT_Import!$A$1:$Z$2488,261,'Live Data'!$C$22)),"")</f>
        <v>2026-10-07T06:36:18.000Z</v>
      </c>
      <c r="L261" s="55" t="str">
        <f t="shared" si="8"/>
        <v>2026-10</v>
      </c>
      <c r="M261" s="55" t="str">
        <f t="shared" si="9"/>
        <v>MERU</v>
      </c>
      <c r="N261" s="55" t="str">
        <f>IF(A261="","",IFERROR(INDEX('Cluster Map'!$A$4:$A$38,MATCH(M261,'Cluster Map'!$B$4:$B$38,0)),"Unmapped"))</f>
        <v>Cluster 1</v>
      </c>
      <c r="O261" s="55">
        <f>IF(A261="",0,IF(COUNTIFS($A$2:A261,A261,$F$2:F261,F261,$L$2:L261,L261)=1,1,0))</f>
        <v>1</v>
      </c>
      <c r="P261" s="55">
        <f>IF(A261="",0,IF(AND(F261="C&amp;T",COUNTIFS($A$2:A261,A261,$F$2:F261,"C&amp;T")=1),1,0))</f>
        <v>0</v>
      </c>
    </row>
    <row r="262" spans="1:16" x14ac:dyDescent="0.35">
      <c r="A262" s="54">
        <f>IFERROR(IF(INDEX(SPOT_Import!$A$1:$Z$2488,262,'Live Data'!$C$12)="","",INDEX(SPOT_Import!$A$1:$Z$2488,262,'Live Data'!$C$12)),"")</f>
        <v>12802</v>
      </c>
      <c r="B262" s="54" t="str">
        <f>IFERROR(IF(INDEX(SPOT_Import!$A$1:$Z$2488,262,'Live Data'!$C$13)="","",INDEX(SPOT_Import!$A$1:$Z$2488,262,'Live Data'!$C$13)),"")</f>
        <v>Timau Sub-County Hospital</v>
      </c>
      <c r="C262" s="54" t="str">
        <f>IFERROR(IF(INDEX(SPOT_Import!$A$1:$Z$2488,262,'Live Data'!$C$14)="","",INDEX(SPOT_Import!$A$1:$Z$2488,262,'Live Data'!$C$14)),"")</f>
        <v>MERU</v>
      </c>
      <c r="D262" s="54" t="str">
        <f>IFERROR(IF(INDEX(SPOT_Import!$A$1:$Z$2488,262,'Live Data'!$C$15)="","",INDEX(SPOT_Import!$A$1:$Z$2488,262,'Live Data'!$C$15)),"")</f>
        <v>Buuri</v>
      </c>
      <c r="E262" s="54" t="str">
        <f>IFERROR(IF(INDEX(SPOT_Import!$A$1:$Z$2488,262,'Live Data'!$C$16)="","",INDEX(SPOT_Import!$A$1:$Z$2488,262,'Live Data'!$C$16)),"")</f>
        <v>USAID Jamii Tekelezi</v>
      </c>
      <c r="F262" s="54" t="str">
        <f>IFERROR(IF(INDEX(SPOT_Import!$A$1:$Z$2488,262,'Live Data'!$C$17)="","",INDEX(SPOT_Import!$A$1:$Z$2488,262,'Live Data'!$C$17)),"")</f>
        <v>MNCH</v>
      </c>
      <c r="G262" s="54">
        <f>IFERROR(IF(INDEX(SPOT_Import!$A$1:$Z$2488,262,'Live Data'!$C$18)="","",INDEX(SPOT_Import!$A$1:$Z$2488,262,'Live Data'!$C$18)),"")</f>
        <v>104</v>
      </c>
      <c r="H262" s="54">
        <f>IFERROR(IF(INDEX(SPOT_Import!$A$1:$Z$2488,262,'Live Data'!$C$19)="","",INDEX(SPOT_Import!$A$1:$Z$2488,262,'Live Data'!$C$19)),"")</f>
        <v>104</v>
      </c>
      <c r="I262" s="54" t="str">
        <f>IFERROR(IF(INDEX(SPOT_Import!$A$1:$Z$2488,262,'Live Data'!$C$20)="","",INDEX(SPOT_Import!$A$1:$Z$2488,262,'Live Data'!$C$20)),"")</f>
        <v>Complete</v>
      </c>
      <c r="J262" s="54" t="str">
        <f>IFERROR(IF(INDEX(SPOT_Import!$A$1:$Z$2488,262,'Live Data'!$C$21)="","",INDEX(SPOT_Import!$A$1:$Z$2488,262,'Live Data'!$C$21)),"")</f>
        <v>2026-10-07T06:35:13.000Z</v>
      </c>
      <c r="K262" s="54" t="str">
        <f>IFERROR(IF(INDEX(SPOT_Import!$A$1:$Z$2488,262,'Live Data'!$C$22)="","",INDEX(SPOT_Import!$A$1:$Z$2488,262,'Live Data'!$C$22)),"")</f>
        <v>2026-10-07T06:35:13.000Z</v>
      </c>
      <c r="L262" s="55" t="str">
        <f t="shared" si="8"/>
        <v>2026-10</v>
      </c>
      <c r="M262" s="55" t="str">
        <f t="shared" si="9"/>
        <v>MERU</v>
      </c>
      <c r="N262" s="55" t="str">
        <f>IF(A262="","",IFERROR(INDEX('Cluster Map'!$A$4:$A$38,MATCH(M262,'Cluster Map'!$B$4:$B$38,0)),"Unmapped"))</f>
        <v>Cluster 1</v>
      </c>
      <c r="O262" s="55">
        <f>IF(A262="",0,IF(COUNTIFS($A$2:A262,A262,$F$2:F262,F262,$L$2:L262,L262)=1,1,0))</f>
        <v>1</v>
      </c>
      <c r="P262" s="55">
        <f>IF(A262="",0,IF(AND(F262="C&amp;T",COUNTIFS($A$2:A262,A262,$F$2:F262,"C&amp;T")=1),1,0))</f>
        <v>0</v>
      </c>
    </row>
    <row r="263" spans="1:16" x14ac:dyDescent="0.35">
      <c r="A263" s="54">
        <f>IFERROR(IF(INDEX(SPOT_Import!$A$1:$Z$2488,263,'Live Data'!$C$12)="","",INDEX(SPOT_Import!$A$1:$Z$2488,263,'Live Data'!$C$12)),"")</f>
        <v>12802</v>
      </c>
      <c r="B263" s="54" t="str">
        <f>IFERROR(IF(INDEX(SPOT_Import!$A$1:$Z$2488,263,'Live Data'!$C$13)="","",INDEX(SPOT_Import!$A$1:$Z$2488,263,'Live Data'!$C$13)),"")</f>
        <v>Timau Sub-County Hospital</v>
      </c>
      <c r="C263" s="54" t="str">
        <f>IFERROR(IF(INDEX(SPOT_Import!$A$1:$Z$2488,263,'Live Data'!$C$14)="","",INDEX(SPOT_Import!$A$1:$Z$2488,263,'Live Data'!$C$14)),"")</f>
        <v>MERU</v>
      </c>
      <c r="D263" s="54" t="str">
        <f>IFERROR(IF(INDEX(SPOT_Import!$A$1:$Z$2488,263,'Live Data'!$C$15)="","",INDEX(SPOT_Import!$A$1:$Z$2488,263,'Live Data'!$C$15)),"")</f>
        <v>Buuri</v>
      </c>
      <c r="E263" s="54" t="str">
        <f>IFERROR(IF(INDEX(SPOT_Import!$A$1:$Z$2488,263,'Live Data'!$C$16)="","",INDEX(SPOT_Import!$A$1:$Z$2488,263,'Live Data'!$C$16)),"")</f>
        <v>USAID Jamii Tekelezi</v>
      </c>
      <c r="F263" s="54" t="str">
        <f>IFERROR(IF(INDEX(SPOT_Import!$A$1:$Z$2488,263,'Live Data'!$C$17)="","",INDEX(SPOT_Import!$A$1:$Z$2488,263,'Live Data'!$C$17)),"")</f>
        <v>HTS</v>
      </c>
      <c r="G263" s="54">
        <f>IFERROR(IF(INDEX(SPOT_Import!$A$1:$Z$2488,263,'Live Data'!$C$18)="","",INDEX(SPOT_Import!$A$1:$Z$2488,263,'Live Data'!$C$18)),"")</f>
        <v>2389</v>
      </c>
      <c r="H263" s="54">
        <f>IFERROR(IF(INDEX(SPOT_Import!$A$1:$Z$2488,263,'Live Data'!$C$19)="","",INDEX(SPOT_Import!$A$1:$Z$2488,263,'Live Data'!$C$19)),"")</f>
        <v>2389</v>
      </c>
      <c r="I263" s="54" t="str">
        <f>IFERROR(IF(INDEX(SPOT_Import!$A$1:$Z$2488,263,'Live Data'!$C$20)="","",INDEX(SPOT_Import!$A$1:$Z$2488,263,'Live Data'!$C$20)),"")</f>
        <v>Complete</v>
      </c>
      <c r="J263" s="54" t="str">
        <f>IFERROR(IF(INDEX(SPOT_Import!$A$1:$Z$2488,263,'Live Data'!$C$21)="","",INDEX(SPOT_Import!$A$1:$Z$2488,263,'Live Data'!$C$21)),"")</f>
        <v>2026-10-07T06:34:11.000Z</v>
      </c>
      <c r="K263" s="54" t="str">
        <f>IFERROR(IF(INDEX(SPOT_Import!$A$1:$Z$2488,263,'Live Data'!$C$22)="","",INDEX(SPOT_Import!$A$1:$Z$2488,263,'Live Data'!$C$22)),"")</f>
        <v>2026-10-07T06:34:11.000Z</v>
      </c>
      <c r="L263" s="55" t="str">
        <f t="shared" si="8"/>
        <v>2026-10</v>
      </c>
      <c r="M263" s="55" t="str">
        <f t="shared" si="9"/>
        <v>MERU</v>
      </c>
      <c r="N263" s="55" t="str">
        <f>IF(A263="","",IFERROR(INDEX('Cluster Map'!$A$4:$A$38,MATCH(M263,'Cluster Map'!$B$4:$B$38,0)),"Unmapped"))</f>
        <v>Cluster 1</v>
      </c>
      <c r="O263" s="55">
        <f>IF(A263="",0,IF(COUNTIFS($A$2:A263,A263,$F$2:F263,F263,$L$2:L263,L263)=1,1,0))</f>
        <v>1</v>
      </c>
      <c r="P263" s="55">
        <f>IF(A263="",0,IF(AND(F263="C&amp;T",COUNTIFS($A$2:A263,A263,$F$2:F263,"C&amp;T")=1),1,0))</f>
        <v>0</v>
      </c>
    </row>
    <row r="264" spans="1:16" x14ac:dyDescent="0.35">
      <c r="A264" s="54">
        <f>IFERROR(IF(INDEX(SPOT_Import!$A$1:$Z$2488,264,'Live Data'!$C$12)="","",INDEX(SPOT_Import!$A$1:$Z$2488,264,'Live Data'!$C$12)),"")</f>
        <v>12044</v>
      </c>
      <c r="B264" s="54" t="str">
        <f>IFERROR(IF(INDEX(SPOT_Import!$A$1:$Z$2488,264,'Live Data'!$C$13)="","",INDEX(SPOT_Import!$A$1:$Z$2488,264,'Live Data'!$C$13)),"")</f>
        <v>Gitoro Dispensary</v>
      </c>
      <c r="C264" s="54" t="str">
        <f>IFERROR(IF(INDEX(SPOT_Import!$A$1:$Z$2488,264,'Live Data'!$C$14)="","",INDEX(SPOT_Import!$A$1:$Z$2488,264,'Live Data'!$C$14)),"")</f>
        <v>MERU</v>
      </c>
      <c r="D264" s="54" t="str">
        <f>IFERROR(IF(INDEX(SPOT_Import!$A$1:$Z$2488,264,'Live Data'!$C$15)="","",INDEX(SPOT_Import!$A$1:$Z$2488,264,'Live Data'!$C$15)),"")</f>
        <v>Imenti North</v>
      </c>
      <c r="E264" s="54" t="str">
        <f>IFERROR(IF(INDEX(SPOT_Import!$A$1:$Z$2488,264,'Live Data'!$C$16)="","",INDEX(SPOT_Import!$A$1:$Z$2488,264,'Live Data'!$C$16)),"")</f>
        <v>USAID Jamii Tekelezi</v>
      </c>
      <c r="F264" s="54" t="str">
        <f>IFERROR(IF(INDEX(SPOT_Import!$A$1:$Z$2488,264,'Live Data'!$C$17)="","",INDEX(SPOT_Import!$A$1:$Z$2488,264,'Live Data'!$C$17)),"")</f>
        <v>PREP</v>
      </c>
      <c r="G264" s="54">
        <f>IFERROR(IF(INDEX(SPOT_Import!$A$1:$Z$2488,264,'Live Data'!$C$18)="","",INDEX(SPOT_Import!$A$1:$Z$2488,264,'Live Data'!$C$18)),"")</f>
        <v>6</v>
      </c>
      <c r="H264" s="54">
        <f>IFERROR(IF(INDEX(SPOT_Import!$A$1:$Z$2488,264,'Live Data'!$C$19)="","",INDEX(SPOT_Import!$A$1:$Z$2488,264,'Live Data'!$C$19)),"")</f>
        <v>6</v>
      </c>
      <c r="I264" s="54" t="str">
        <f>IFERROR(IF(INDEX(SPOT_Import!$A$1:$Z$2488,264,'Live Data'!$C$20)="","",INDEX(SPOT_Import!$A$1:$Z$2488,264,'Live Data'!$C$20)),"")</f>
        <v>Complete</v>
      </c>
      <c r="J264" s="54" t="str">
        <f>IFERROR(IF(INDEX(SPOT_Import!$A$1:$Z$2488,264,'Live Data'!$C$21)="","",INDEX(SPOT_Import!$A$1:$Z$2488,264,'Live Data'!$C$21)),"")</f>
        <v>2026-10-06T14:55:57.000Z</v>
      </c>
      <c r="K264" s="54" t="str">
        <f>IFERROR(IF(INDEX(SPOT_Import!$A$1:$Z$2488,264,'Live Data'!$C$22)="","",INDEX(SPOT_Import!$A$1:$Z$2488,264,'Live Data'!$C$22)),"")</f>
        <v>2026-10-06T14:55:57.000Z</v>
      </c>
      <c r="L264" s="55" t="str">
        <f t="shared" si="8"/>
        <v>2026-10</v>
      </c>
      <c r="M264" s="55" t="str">
        <f t="shared" si="9"/>
        <v>MERU</v>
      </c>
      <c r="N264" s="55" t="str">
        <f>IF(A264="","",IFERROR(INDEX('Cluster Map'!$A$4:$A$38,MATCH(M264,'Cluster Map'!$B$4:$B$38,0)),"Unmapped"))</f>
        <v>Cluster 1</v>
      </c>
      <c r="O264" s="55">
        <f>IF(A264="",0,IF(COUNTIFS($A$2:A264,A264,$F$2:F264,F264,$L$2:L264,L264)=1,1,0))</f>
        <v>1</v>
      </c>
      <c r="P264" s="55">
        <f>IF(A264="",0,IF(AND(F264="C&amp;T",COUNTIFS($A$2:A264,A264,$F$2:F264,"C&amp;T")=1),1,0))</f>
        <v>0</v>
      </c>
    </row>
    <row r="265" spans="1:16" x14ac:dyDescent="0.35">
      <c r="A265" s="54">
        <f>IFERROR(IF(INDEX(SPOT_Import!$A$1:$Z$2488,265,'Live Data'!$C$12)="","",INDEX(SPOT_Import!$A$1:$Z$2488,265,'Live Data'!$C$12)),"")</f>
        <v>12044</v>
      </c>
      <c r="B265" s="54" t="str">
        <f>IFERROR(IF(INDEX(SPOT_Import!$A$1:$Z$2488,265,'Live Data'!$C$13)="","",INDEX(SPOT_Import!$A$1:$Z$2488,265,'Live Data'!$C$13)),"")</f>
        <v>Gitoro Dispensary</v>
      </c>
      <c r="C265" s="54" t="str">
        <f>IFERROR(IF(INDEX(SPOT_Import!$A$1:$Z$2488,265,'Live Data'!$C$14)="","",INDEX(SPOT_Import!$A$1:$Z$2488,265,'Live Data'!$C$14)),"")</f>
        <v>MERU</v>
      </c>
      <c r="D265" s="54" t="str">
        <f>IFERROR(IF(INDEX(SPOT_Import!$A$1:$Z$2488,265,'Live Data'!$C$15)="","",INDEX(SPOT_Import!$A$1:$Z$2488,265,'Live Data'!$C$15)),"")</f>
        <v>Imenti North</v>
      </c>
      <c r="E265" s="54" t="str">
        <f>IFERROR(IF(INDEX(SPOT_Import!$A$1:$Z$2488,265,'Live Data'!$C$16)="","",INDEX(SPOT_Import!$A$1:$Z$2488,265,'Live Data'!$C$16)),"")</f>
        <v>USAID Jamii Tekelezi</v>
      </c>
      <c r="F265" s="54" t="str">
        <f>IFERROR(IF(INDEX(SPOT_Import!$A$1:$Z$2488,265,'Live Data'!$C$17)="","",INDEX(SPOT_Import!$A$1:$Z$2488,265,'Live Data'!$C$17)),"")</f>
        <v>MNCH</v>
      </c>
      <c r="G265" s="54">
        <f>IFERROR(IF(INDEX(SPOT_Import!$A$1:$Z$2488,265,'Live Data'!$C$18)="","",INDEX(SPOT_Import!$A$1:$Z$2488,265,'Live Data'!$C$18)),"")</f>
        <v>39</v>
      </c>
      <c r="H265" s="54">
        <f>IFERROR(IF(INDEX(SPOT_Import!$A$1:$Z$2488,265,'Live Data'!$C$19)="","",INDEX(SPOT_Import!$A$1:$Z$2488,265,'Live Data'!$C$19)),"")</f>
        <v>39</v>
      </c>
      <c r="I265" s="54" t="str">
        <f>IFERROR(IF(INDEX(SPOT_Import!$A$1:$Z$2488,265,'Live Data'!$C$20)="","",INDEX(SPOT_Import!$A$1:$Z$2488,265,'Live Data'!$C$20)),"")</f>
        <v>Complete</v>
      </c>
      <c r="J265" s="54" t="str">
        <f>IFERROR(IF(INDEX(SPOT_Import!$A$1:$Z$2488,265,'Live Data'!$C$21)="","",INDEX(SPOT_Import!$A$1:$Z$2488,265,'Live Data'!$C$21)),"")</f>
        <v>2026-10-06T14:55:49.000Z</v>
      </c>
      <c r="K265" s="54" t="str">
        <f>IFERROR(IF(INDEX(SPOT_Import!$A$1:$Z$2488,265,'Live Data'!$C$22)="","",INDEX(SPOT_Import!$A$1:$Z$2488,265,'Live Data'!$C$22)),"")</f>
        <v>2026-10-06T14:55:49.000Z</v>
      </c>
      <c r="L265" s="55" t="str">
        <f t="shared" si="8"/>
        <v>2026-10</v>
      </c>
      <c r="M265" s="55" t="str">
        <f t="shared" si="9"/>
        <v>MERU</v>
      </c>
      <c r="N265" s="55" t="str">
        <f>IF(A265="","",IFERROR(INDEX('Cluster Map'!$A$4:$A$38,MATCH(M265,'Cluster Map'!$B$4:$B$38,0)),"Unmapped"))</f>
        <v>Cluster 1</v>
      </c>
      <c r="O265" s="55">
        <f>IF(A265="",0,IF(COUNTIFS($A$2:A265,A265,$F$2:F265,F265,$L$2:L265,L265)=1,1,0))</f>
        <v>1</v>
      </c>
      <c r="P265" s="55">
        <f>IF(A265="",0,IF(AND(F265="C&amp;T",COUNTIFS($A$2:A265,A265,$F$2:F265,"C&amp;T")=1),1,0))</f>
        <v>0</v>
      </c>
    </row>
    <row r="266" spans="1:16" x14ac:dyDescent="0.35">
      <c r="A266" s="54">
        <f>IFERROR(IF(INDEX(SPOT_Import!$A$1:$Z$2488,266,'Live Data'!$C$12)="","",INDEX(SPOT_Import!$A$1:$Z$2488,266,'Live Data'!$C$12)),"")</f>
        <v>12044</v>
      </c>
      <c r="B266" s="54" t="str">
        <f>IFERROR(IF(INDEX(SPOT_Import!$A$1:$Z$2488,266,'Live Data'!$C$13)="","",INDEX(SPOT_Import!$A$1:$Z$2488,266,'Live Data'!$C$13)),"")</f>
        <v>Gitoro Dispensary</v>
      </c>
      <c r="C266" s="54" t="str">
        <f>IFERROR(IF(INDEX(SPOT_Import!$A$1:$Z$2488,266,'Live Data'!$C$14)="","",INDEX(SPOT_Import!$A$1:$Z$2488,266,'Live Data'!$C$14)),"")</f>
        <v>MERU</v>
      </c>
      <c r="D266" s="54" t="str">
        <f>IFERROR(IF(INDEX(SPOT_Import!$A$1:$Z$2488,266,'Live Data'!$C$15)="","",INDEX(SPOT_Import!$A$1:$Z$2488,266,'Live Data'!$C$15)),"")</f>
        <v>Imenti North</v>
      </c>
      <c r="E266" s="54" t="str">
        <f>IFERROR(IF(INDEX(SPOT_Import!$A$1:$Z$2488,266,'Live Data'!$C$16)="","",INDEX(SPOT_Import!$A$1:$Z$2488,266,'Live Data'!$C$16)),"")</f>
        <v>USAID Jamii Tekelezi</v>
      </c>
      <c r="F266" s="54" t="str">
        <f>IFERROR(IF(INDEX(SPOT_Import!$A$1:$Z$2488,266,'Live Data'!$C$17)="","",INDEX(SPOT_Import!$A$1:$Z$2488,266,'Live Data'!$C$17)),"")</f>
        <v>HTS</v>
      </c>
      <c r="G266" s="54">
        <f>IFERROR(IF(INDEX(SPOT_Import!$A$1:$Z$2488,266,'Live Data'!$C$18)="","",INDEX(SPOT_Import!$A$1:$Z$2488,266,'Live Data'!$C$18)),"")</f>
        <v>1984</v>
      </c>
      <c r="H266" s="54">
        <f>IFERROR(IF(INDEX(SPOT_Import!$A$1:$Z$2488,266,'Live Data'!$C$19)="","",INDEX(SPOT_Import!$A$1:$Z$2488,266,'Live Data'!$C$19)),"")</f>
        <v>1984</v>
      </c>
      <c r="I266" s="54" t="str">
        <f>IFERROR(IF(INDEX(SPOT_Import!$A$1:$Z$2488,266,'Live Data'!$C$20)="","",INDEX(SPOT_Import!$A$1:$Z$2488,266,'Live Data'!$C$20)),"")</f>
        <v>Complete</v>
      </c>
      <c r="J266" s="54" t="str">
        <f>IFERROR(IF(INDEX(SPOT_Import!$A$1:$Z$2488,266,'Live Data'!$C$21)="","",INDEX(SPOT_Import!$A$1:$Z$2488,266,'Live Data'!$C$21)),"")</f>
        <v>2026-10-06T14:55:33.000Z</v>
      </c>
      <c r="K266" s="54" t="str">
        <f>IFERROR(IF(INDEX(SPOT_Import!$A$1:$Z$2488,266,'Live Data'!$C$22)="","",INDEX(SPOT_Import!$A$1:$Z$2488,266,'Live Data'!$C$22)),"")</f>
        <v>2026-10-06T14:55:33.000Z</v>
      </c>
      <c r="L266" s="55" t="str">
        <f t="shared" si="8"/>
        <v>2026-10</v>
      </c>
      <c r="M266" s="55" t="str">
        <f t="shared" si="9"/>
        <v>MERU</v>
      </c>
      <c r="N266" s="55" t="str">
        <f>IF(A266="","",IFERROR(INDEX('Cluster Map'!$A$4:$A$38,MATCH(M266,'Cluster Map'!$B$4:$B$38,0)),"Unmapped"))</f>
        <v>Cluster 1</v>
      </c>
      <c r="O266" s="55">
        <f>IF(A266="",0,IF(COUNTIFS($A$2:A266,A266,$F$2:F266,F266,$L$2:L266,L266)=1,1,0))</f>
        <v>1</v>
      </c>
      <c r="P266" s="55">
        <f>IF(A266="",0,IF(AND(F266="C&amp;T",COUNTIFS($A$2:A266,A266,$F$2:F266,"C&amp;T")=1),1,0))</f>
        <v>0</v>
      </c>
    </row>
    <row r="267" spans="1:16" x14ac:dyDescent="0.35">
      <c r="A267" s="54">
        <f>IFERROR(IF(INDEX(SPOT_Import!$A$1:$Z$2488,267,'Live Data'!$C$12)="","",INDEX(SPOT_Import!$A$1:$Z$2488,267,'Live Data'!$C$12)),"")</f>
        <v>12044</v>
      </c>
      <c r="B267" s="54" t="str">
        <f>IFERROR(IF(INDEX(SPOT_Import!$A$1:$Z$2488,267,'Live Data'!$C$13)="","",INDEX(SPOT_Import!$A$1:$Z$2488,267,'Live Data'!$C$13)),"")</f>
        <v>Gitoro Dispensary</v>
      </c>
      <c r="C267" s="54" t="str">
        <f>IFERROR(IF(INDEX(SPOT_Import!$A$1:$Z$2488,267,'Live Data'!$C$14)="","",INDEX(SPOT_Import!$A$1:$Z$2488,267,'Live Data'!$C$14)),"")</f>
        <v>MERU</v>
      </c>
      <c r="D267" s="54" t="str">
        <f>IFERROR(IF(INDEX(SPOT_Import!$A$1:$Z$2488,267,'Live Data'!$C$15)="","",INDEX(SPOT_Import!$A$1:$Z$2488,267,'Live Data'!$C$15)),"")</f>
        <v>Imenti North</v>
      </c>
      <c r="E267" s="54" t="str">
        <f>IFERROR(IF(INDEX(SPOT_Import!$A$1:$Z$2488,267,'Live Data'!$C$16)="","",INDEX(SPOT_Import!$A$1:$Z$2488,267,'Live Data'!$C$16)),"")</f>
        <v>USAID Jamii Tekelezi</v>
      </c>
      <c r="F267" s="54" t="str">
        <f>IFERROR(IF(INDEX(SPOT_Import!$A$1:$Z$2488,267,'Live Data'!$C$17)="","",INDEX(SPOT_Import!$A$1:$Z$2488,267,'Live Data'!$C$17)),"")</f>
        <v>C&amp;T</v>
      </c>
      <c r="G267" s="54">
        <f>IFERROR(IF(INDEX(SPOT_Import!$A$1:$Z$2488,267,'Live Data'!$C$18)="","",INDEX(SPOT_Import!$A$1:$Z$2488,267,'Live Data'!$C$18)),"")</f>
        <v>420</v>
      </c>
      <c r="H267" s="54">
        <f>IFERROR(IF(INDEX(SPOT_Import!$A$1:$Z$2488,267,'Live Data'!$C$19)="","",INDEX(SPOT_Import!$A$1:$Z$2488,267,'Live Data'!$C$19)),"")</f>
        <v>420</v>
      </c>
      <c r="I267" s="54" t="str">
        <f>IFERROR(IF(INDEX(SPOT_Import!$A$1:$Z$2488,267,'Live Data'!$C$20)="","",INDEX(SPOT_Import!$A$1:$Z$2488,267,'Live Data'!$C$20)),"")</f>
        <v>Complete</v>
      </c>
      <c r="J267" s="54" t="str">
        <f>IFERROR(IF(INDEX(SPOT_Import!$A$1:$Z$2488,267,'Live Data'!$C$21)="","",INDEX(SPOT_Import!$A$1:$Z$2488,267,'Live Data'!$C$21)),"")</f>
        <v>2026-10-06T14:33:08.000Z</v>
      </c>
      <c r="K267" s="54" t="str">
        <f>IFERROR(IF(INDEX(SPOT_Import!$A$1:$Z$2488,267,'Live Data'!$C$22)="","",INDEX(SPOT_Import!$A$1:$Z$2488,267,'Live Data'!$C$22)),"")</f>
        <v>2026-10-06T14:33:08.000Z</v>
      </c>
      <c r="L267" s="55" t="str">
        <f t="shared" si="8"/>
        <v>2026-10</v>
      </c>
      <c r="M267" s="55" t="str">
        <f t="shared" si="9"/>
        <v>MERU</v>
      </c>
      <c r="N267" s="55" t="str">
        <f>IF(A267="","",IFERROR(INDEX('Cluster Map'!$A$4:$A$38,MATCH(M267,'Cluster Map'!$B$4:$B$38,0)),"Unmapped"))</f>
        <v>Cluster 1</v>
      </c>
      <c r="O267" s="55">
        <f>IF(A267="",0,IF(COUNTIFS($A$2:A267,A267,$F$2:F267,F267,$L$2:L267,L267)=1,1,0))</f>
        <v>1</v>
      </c>
      <c r="P267" s="55">
        <f>IF(A267="",0,IF(AND(F267="C&amp;T",COUNTIFS($A$2:A267,A267,$F$2:F267,"C&amp;T")=1),1,0))</f>
        <v>1</v>
      </c>
    </row>
    <row r="268" spans="1:16" x14ac:dyDescent="0.35">
      <c r="A268" s="54">
        <f>IFERROR(IF(INDEX(SPOT_Import!$A$1:$Z$2488,268,'Live Data'!$C$12)="","",INDEX(SPOT_Import!$A$1:$Z$2488,268,'Live Data'!$C$12)),"")</f>
        <v>12546</v>
      </c>
      <c r="B268" s="54" t="str">
        <f>IFERROR(IF(INDEX(SPOT_Import!$A$1:$Z$2488,268,'Live Data'!$C$13)="","",INDEX(SPOT_Import!$A$1:$Z$2488,268,'Live Data'!$C$13)),"")</f>
        <v>Mpukoni Health Centre</v>
      </c>
      <c r="C268" s="54" t="str">
        <f>IFERROR(IF(INDEX(SPOT_Import!$A$1:$Z$2488,268,'Live Data'!$C$14)="","",INDEX(SPOT_Import!$A$1:$Z$2488,268,'Live Data'!$C$14)),"")</f>
        <v>THARAKA-NITHI</v>
      </c>
      <c r="D268" s="54" t="str">
        <f>IFERROR(IF(INDEX(SPOT_Import!$A$1:$Z$2488,268,'Live Data'!$C$15)="","",INDEX(SPOT_Import!$A$1:$Z$2488,268,'Live Data'!$C$15)),"")</f>
        <v>Chuka</v>
      </c>
      <c r="E268" s="54" t="str">
        <f>IFERROR(IF(INDEX(SPOT_Import!$A$1:$Z$2488,268,'Live Data'!$C$16)="","",INDEX(SPOT_Import!$A$1:$Z$2488,268,'Live Data'!$C$16)),"")</f>
        <v>USAID Jamii Tekelezi</v>
      </c>
      <c r="F268" s="54" t="str">
        <f>IFERROR(IF(INDEX(SPOT_Import!$A$1:$Z$2488,268,'Live Data'!$C$17)="","",INDEX(SPOT_Import!$A$1:$Z$2488,268,'Live Data'!$C$17)),"")</f>
        <v>PREP</v>
      </c>
      <c r="G268" s="54">
        <f>IFERROR(IF(INDEX(SPOT_Import!$A$1:$Z$2488,268,'Live Data'!$C$18)="","",INDEX(SPOT_Import!$A$1:$Z$2488,268,'Live Data'!$C$18)),"")</f>
        <v>158</v>
      </c>
      <c r="H268" s="54">
        <f>IFERROR(IF(INDEX(SPOT_Import!$A$1:$Z$2488,268,'Live Data'!$C$19)="","",INDEX(SPOT_Import!$A$1:$Z$2488,268,'Live Data'!$C$19)),"")</f>
        <v>158</v>
      </c>
      <c r="I268" s="54" t="str">
        <f>IFERROR(IF(INDEX(SPOT_Import!$A$1:$Z$2488,268,'Live Data'!$C$20)="","",INDEX(SPOT_Import!$A$1:$Z$2488,268,'Live Data'!$C$20)),"")</f>
        <v>Complete</v>
      </c>
      <c r="J268" s="54" t="str">
        <f>IFERROR(IF(INDEX(SPOT_Import!$A$1:$Z$2488,268,'Live Data'!$C$21)="","",INDEX(SPOT_Import!$A$1:$Z$2488,268,'Live Data'!$C$21)),"")</f>
        <v>2026-10-06T14:10:30.000Z</v>
      </c>
      <c r="K268" s="54" t="str">
        <f>IFERROR(IF(INDEX(SPOT_Import!$A$1:$Z$2488,268,'Live Data'!$C$22)="","",INDEX(SPOT_Import!$A$1:$Z$2488,268,'Live Data'!$C$22)),"")</f>
        <v>2026-10-06T14:10:30.000Z</v>
      </c>
      <c r="L268" s="55" t="str">
        <f t="shared" si="8"/>
        <v>2026-10</v>
      </c>
      <c r="M268" s="55" t="str">
        <f t="shared" si="9"/>
        <v>THARAKA-NITHI</v>
      </c>
      <c r="N268" s="55" t="str">
        <f>IF(A268="","",IFERROR(INDEX('Cluster Map'!$A$4:$A$38,MATCH(M268,'Cluster Map'!$B$4:$B$38,0)),"Unmapped"))</f>
        <v>Cluster 2</v>
      </c>
      <c r="O268" s="55">
        <f>IF(A268="",0,IF(COUNTIFS($A$2:A268,A268,$F$2:F268,F268,$L$2:L268,L268)=1,1,0))</f>
        <v>1</v>
      </c>
      <c r="P268" s="55">
        <f>IF(A268="",0,IF(AND(F268="C&amp;T",COUNTIFS($A$2:A268,A268,$F$2:F268,"C&amp;T")=1),1,0))</f>
        <v>0</v>
      </c>
    </row>
    <row r="269" spans="1:16" x14ac:dyDescent="0.35">
      <c r="A269" s="54">
        <f>IFERROR(IF(INDEX(SPOT_Import!$A$1:$Z$2488,269,'Live Data'!$C$12)="","",INDEX(SPOT_Import!$A$1:$Z$2488,269,'Live Data'!$C$12)),"")</f>
        <v>12546</v>
      </c>
      <c r="B269" s="54" t="str">
        <f>IFERROR(IF(INDEX(SPOT_Import!$A$1:$Z$2488,269,'Live Data'!$C$13)="","",INDEX(SPOT_Import!$A$1:$Z$2488,269,'Live Data'!$C$13)),"")</f>
        <v>Mpukoni Health Centre</v>
      </c>
      <c r="C269" s="54" t="str">
        <f>IFERROR(IF(INDEX(SPOT_Import!$A$1:$Z$2488,269,'Live Data'!$C$14)="","",INDEX(SPOT_Import!$A$1:$Z$2488,269,'Live Data'!$C$14)),"")</f>
        <v>THARAKA-NITHI</v>
      </c>
      <c r="D269" s="54" t="str">
        <f>IFERROR(IF(INDEX(SPOT_Import!$A$1:$Z$2488,269,'Live Data'!$C$15)="","",INDEX(SPOT_Import!$A$1:$Z$2488,269,'Live Data'!$C$15)),"")</f>
        <v>Chuka</v>
      </c>
      <c r="E269" s="54" t="str">
        <f>IFERROR(IF(INDEX(SPOT_Import!$A$1:$Z$2488,269,'Live Data'!$C$16)="","",INDEX(SPOT_Import!$A$1:$Z$2488,269,'Live Data'!$C$16)),"")</f>
        <v>USAID Jamii Tekelezi</v>
      </c>
      <c r="F269" s="54" t="str">
        <f>IFERROR(IF(INDEX(SPOT_Import!$A$1:$Z$2488,269,'Live Data'!$C$17)="","",INDEX(SPOT_Import!$A$1:$Z$2488,269,'Live Data'!$C$17)),"")</f>
        <v>MNCH</v>
      </c>
      <c r="G269" s="54">
        <f>IFERROR(IF(INDEX(SPOT_Import!$A$1:$Z$2488,269,'Live Data'!$C$18)="","",INDEX(SPOT_Import!$A$1:$Z$2488,269,'Live Data'!$C$18)),"")</f>
        <v>472</v>
      </c>
      <c r="H269" s="54">
        <f>IFERROR(IF(INDEX(SPOT_Import!$A$1:$Z$2488,269,'Live Data'!$C$19)="","",INDEX(SPOT_Import!$A$1:$Z$2488,269,'Live Data'!$C$19)),"")</f>
        <v>472</v>
      </c>
      <c r="I269" s="54" t="str">
        <f>IFERROR(IF(INDEX(SPOT_Import!$A$1:$Z$2488,269,'Live Data'!$C$20)="","",INDEX(SPOT_Import!$A$1:$Z$2488,269,'Live Data'!$C$20)),"")</f>
        <v>Complete</v>
      </c>
      <c r="J269" s="54" t="str">
        <f>IFERROR(IF(INDEX(SPOT_Import!$A$1:$Z$2488,269,'Live Data'!$C$21)="","",INDEX(SPOT_Import!$A$1:$Z$2488,269,'Live Data'!$C$21)),"")</f>
        <v>2026-10-06T14:10:12.000Z</v>
      </c>
      <c r="K269" s="54" t="str">
        <f>IFERROR(IF(INDEX(SPOT_Import!$A$1:$Z$2488,269,'Live Data'!$C$22)="","",INDEX(SPOT_Import!$A$1:$Z$2488,269,'Live Data'!$C$22)),"")</f>
        <v>2026-10-06T14:10:12.000Z</v>
      </c>
      <c r="L269" s="55" t="str">
        <f t="shared" si="8"/>
        <v>2026-10</v>
      </c>
      <c r="M269" s="55" t="str">
        <f t="shared" si="9"/>
        <v>THARAKA-NITHI</v>
      </c>
      <c r="N269" s="55" t="str">
        <f>IF(A269="","",IFERROR(INDEX('Cluster Map'!$A$4:$A$38,MATCH(M269,'Cluster Map'!$B$4:$B$38,0)),"Unmapped"))</f>
        <v>Cluster 2</v>
      </c>
      <c r="O269" s="55">
        <f>IF(A269="",0,IF(COUNTIFS($A$2:A269,A269,$F$2:F269,F269,$L$2:L269,L269)=1,1,0))</f>
        <v>1</v>
      </c>
      <c r="P269" s="55">
        <f>IF(A269="",0,IF(AND(F269="C&amp;T",COUNTIFS($A$2:A269,A269,$F$2:F269,"C&amp;T")=1),1,0))</f>
        <v>0</v>
      </c>
    </row>
    <row r="270" spans="1:16" x14ac:dyDescent="0.35">
      <c r="A270" s="54">
        <f>IFERROR(IF(INDEX(SPOT_Import!$A$1:$Z$2488,270,'Live Data'!$C$12)="","",INDEX(SPOT_Import!$A$1:$Z$2488,270,'Live Data'!$C$12)),"")</f>
        <v>12546</v>
      </c>
      <c r="B270" s="54" t="str">
        <f>IFERROR(IF(INDEX(SPOT_Import!$A$1:$Z$2488,270,'Live Data'!$C$13)="","",INDEX(SPOT_Import!$A$1:$Z$2488,270,'Live Data'!$C$13)),"")</f>
        <v>Mpukoni Health Centre</v>
      </c>
      <c r="C270" s="54" t="str">
        <f>IFERROR(IF(INDEX(SPOT_Import!$A$1:$Z$2488,270,'Live Data'!$C$14)="","",INDEX(SPOT_Import!$A$1:$Z$2488,270,'Live Data'!$C$14)),"")</f>
        <v>THARAKA-NITHI</v>
      </c>
      <c r="D270" s="54" t="str">
        <f>IFERROR(IF(INDEX(SPOT_Import!$A$1:$Z$2488,270,'Live Data'!$C$15)="","",INDEX(SPOT_Import!$A$1:$Z$2488,270,'Live Data'!$C$15)),"")</f>
        <v>Chuka</v>
      </c>
      <c r="E270" s="54" t="str">
        <f>IFERROR(IF(INDEX(SPOT_Import!$A$1:$Z$2488,270,'Live Data'!$C$16)="","",INDEX(SPOT_Import!$A$1:$Z$2488,270,'Live Data'!$C$16)),"")</f>
        <v>USAID Jamii Tekelezi</v>
      </c>
      <c r="F270" s="54" t="str">
        <f>IFERROR(IF(INDEX(SPOT_Import!$A$1:$Z$2488,270,'Live Data'!$C$17)="","",INDEX(SPOT_Import!$A$1:$Z$2488,270,'Live Data'!$C$17)),"")</f>
        <v>HTS</v>
      </c>
      <c r="G270" s="54">
        <f>IFERROR(IF(INDEX(SPOT_Import!$A$1:$Z$2488,270,'Live Data'!$C$18)="","",INDEX(SPOT_Import!$A$1:$Z$2488,270,'Live Data'!$C$18)),"")</f>
        <v>2669</v>
      </c>
      <c r="H270" s="54">
        <f>IFERROR(IF(INDEX(SPOT_Import!$A$1:$Z$2488,270,'Live Data'!$C$19)="","",INDEX(SPOT_Import!$A$1:$Z$2488,270,'Live Data'!$C$19)),"")</f>
        <v>2669</v>
      </c>
      <c r="I270" s="54" t="str">
        <f>IFERROR(IF(INDEX(SPOT_Import!$A$1:$Z$2488,270,'Live Data'!$C$20)="","",INDEX(SPOT_Import!$A$1:$Z$2488,270,'Live Data'!$C$20)),"")</f>
        <v>Complete</v>
      </c>
      <c r="J270" s="54" t="str">
        <f>IFERROR(IF(INDEX(SPOT_Import!$A$1:$Z$2488,270,'Live Data'!$C$21)="","",INDEX(SPOT_Import!$A$1:$Z$2488,270,'Live Data'!$C$21)),"")</f>
        <v>2026-10-06T14:09:45.000Z</v>
      </c>
      <c r="K270" s="54" t="str">
        <f>IFERROR(IF(INDEX(SPOT_Import!$A$1:$Z$2488,270,'Live Data'!$C$22)="","",INDEX(SPOT_Import!$A$1:$Z$2488,270,'Live Data'!$C$22)),"")</f>
        <v>2026-10-06T14:09:45.000Z</v>
      </c>
      <c r="L270" s="55" t="str">
        <f t="shared" si="8"/>
        <v>2026-10</v>
      </c>
      <c r="M270" s="55" t="str">
        <f t="shared" si="9"/>
        <v>THARAKA-NITHI</v>
      </c>
      <c r="N270" s="55" t="str">
        <f>IF(A270="","",IFERROR(INDEX('Cluster Map'!$A$4:$A$38,MATCH(M270,'Cluster Map'!$B$4:$B$38,0)),"Unmapped"))</f>
        <v>Cluster 2</v>
      </c>
      <c r="O270" s="55">
        <f>IF(A270="",0,IF(COUNTIFS($A$2:A270,A270,$F$2:F270,F270,$L$2:L270,L270)=1,1,0))</f>
        <v>1</v>
      </c>
      <c r="P270" s="55">
        <f>IF(A270="",0,IF(AND(F270="C&amp;T",COUNTIFS($A$2:A270,A270,$F$2:F270,"C&amp;T")=1),1,0))</f>
        <v>0</v>
      </c>
    </row>
    <row r="271" spans="1:16" x14ac:dyDescent="0.35">
      <c r="A271" s="54">
        <f>IFERROR(IF(INDEX(SPOT_Import!$A$1:$Z$2488,271,'Live Data'!$C$12)="","",INDEX(SPOT_Import!$A$1:$Z$2488,271,'Live Data'!$C$12)),"")</f>
        <v>12546</v>
      </c>
      <c r="B271" s="54" t="str">
        <f>IFERROR(IF(INDEX(SPOT_Import!$A$1:$Z$2488,271,'Live Data'!$C$13)="","",INDEX(SPOT_Import!$A$1:$Z$2488,271,'Live Data'!$C$13)),"")</f>
        <v>Mpukoni Health Centre</v>
      </c>
      <c r="C271" s="54" t="str">
        <f>IFERROR(IF(INDEX(SPOT_Import!$A$1:$Z$2488,271,'Live Data'!$C$14)="","",INDEX(SPOT_Import!$A$1:$Z$2488,271,'Live Data'!$C$14)),"")</f>
        <v>THARAKA-NITHI</v>
      </c>
      <c r="D271" s="54" t="str">
        <f>IFERROR(IF(INDEX(SPOT_Import!$A$1:$Z$2488,271,'Live Data'!$C$15)="","",INDEX(SPOT_Import!$A$1:$Z$2488,271,'Live Data'!$C$15)),"")</f>
        <v>Chuka</v>
      </c>
      <c r="E271" s="54" t="str">
        <f>IFERROR(IF(INDEX(SPOT_Import!$A$1:$Z$2488,271,'Live Data'!$C$16)="","",INDEX(SPOT_Import!$A$1:$Z$2488,271,'Live Data'!$C$16)),"")</f>
        <v>USAID Jamii Tekelezi</v>
      </c>
      <c r="F271" s="54" t="str">
        <f>IFERROR(IF(INDEX(SPOT_Import!$A$1:$Z$2488,271,'Live Data'!$C$17)="","",INDEX(SPOT_Import!$A$1:$Z$2488,271,'Live Data'!$C$17)),"")</f>
        <v>C&amp;T</v>
      </c>
      <c r="G271" s="54">
        <f>IFERROR(IF(INDEX(SPOT_Import!$A$1:$Z$2488,271,'Live Data'!$C$18)="","",INDEX(SPOT_Import!$A$1:$Z$2488,271,'Live Data'!$C$18)),"")</f>
        <v>425</v>
      </c>
      <c r="H271" s="54">
        <f>IFERROR(IF(INDEX(SPOT_Import!$A$1:$Z$2488,271,'Live Data'!$C$19)="","",INDEX(SPOT_Import!$A$1:$Z$2488,271,'Live Data'!$C$19)),"")</f>
        <v>425</v>
      </c>
      <c r="I271" s="54" t="str">
        <f>IFERROR(IF(INDEX(SPOT_Import!$A$1:$Z$2488,271,'Live Data'!$C$20)="","",INDEX(SPOT_Import!$A$1:$Z$2488,271,'Live Data'!$C$20)),"")</f>
        <v>Complete</v>
      </c>
      <c r="J271" s="54" t="str">
        <f>IFERROR(IF(INDEX(SPOT_Import!$A$1:$Z$2488,271,'Live Data'!$C$21)="","",INDEX(SPOT_Import!$A$1:$Z$2488,271,'Live Data'!$C$21)),"")</f>
        <v>2026-10-06T13:38:46.000Z</v>
      </c>
      <c r="K271" s="54" t="str">
        <f>IFERROR(IF(INDEX(SPOT_Import!$A$1:$Z$2488,271,'Live Data'!$C$22)="","",INDEX(SPOT_Import!$A$1:$Z$2488,271,'Live Data'!$C$22)),"")</f>
        <v>2026-10-06T13:38:46.000Z</v>
      </c>
      <c r="L271" s="55" t="str">
        <f t="shared" si="8"/>
        <v>2026-10</v>
      </c>
      <c r="M271" s="55" t="str">
        <f t="shared" si="9"/>
        <v>THARAKA-NITHI</v>
      </c>
      <c r="N271" s="55" t="str">
        <f>IF(A271="","",IFERROR(INDEX('Cluster Map'!$A$4:$A$38,MATCH(M271,'Cluster Map'!$B$4:$B$38,0)),"Unmapped"))</f>
        <v>Cluster 2</v>
      </c>
      <c r="O271" s="55">
        <f>IF(A271="",0,IF(COUNTIFS($A$2:A271,A271,$F$2:F271,F271,$L$2:L271,L271)=1,1,0))</f>
        <v>1</v>
      </c>
      <c r="P271" s="55">
        <f>IF(A271="",0,IF(AND(F271="C&amp;T",COUNTIFS($A$2:A271,A271,$F$2:F271,"C&amp;T")=1),1,0))</f>
        <v>1</v>
      </c>
    </row>
    <row r="272" spans="1:16" x14ac:dyDescent="0.35">
      <c r="A272" s="54">
        <f>IFERROR(IF(INDEX(SPOT_Import!$A$1:$Z$2488,272,'Live Data'!$C$12)="","",INDEX(SPOT_Import!$A$1:$Z$2488,272,'Live Data'!$C$12)),"")</f>
        <v>16467</v>
      </c>
      <c r="B272" s="54" t="str">
        <f>IFERROR(IF(INDEX(SPOT_Import!$A$1:$Z$2488,272,'Live Data'!$C$13)="","",INDEX(SPOT_Import!$A$1:$Z$2488,272,'Live Data'!$C$13)),"")</f>
        <v>Mbeere District Hospital</v>
      </c>
      <c r="C272" s="54" t="str">
        <f>IFERROR(IF(INDEX(SPOT_Import!$A$1:$Z$2488,272,'Live Data'!$C$14)="","",INDEX(SPOT_Import!$A$1:$Z$2488,272,'Live Data'!$C$14)),"")</f>
        <v>EMBU</v>
      </c>
      <c r="D272" s="54" t="str">
        <f>IFERROR(IF(INDEX(SPOT_Import!$A$1:$Z$2488,272,'Live Data'!$C$15)="","",INDEX(SPOT_Import!$A$1:$Z$2488,272,'Live Data'!$C$15)),"")</f>
        <v>Mbeere North</v>
      </c>
      <c r="E272" s="54" t="str">
        <f>IFERROR(IF(INDEX(SPOT_Import!$A$1:$Z$2488,272,'Live Data'!$C$16)="","",INDEX(SPOT_Import!$A$1:$Z$2488,272,'Live Data'!$C$16)),"")</f>
        <v>USAID Jamii Tekelezi</v>
      </c>
      <c r="F272" s="54" t="str">
        <f>IFERROR(IF(INDEX(SPOT_Import!$A$1:$Z$2488,272,'Live Data'!$C$17)="","",INDEX(SPOT_Import!$A$1:$Z$2488,272,'Live Data'!$C$17)),"")</f>
        <v>C&amp;T</v>
      </c>
      <c r="G272" s="54">
        <f>IFERROR(IF(INDEX(SPOT_Import!$A$1:$Z$2488,272,'Live Data'!$C$18)="","",INDEX(SPOT_Import!$A$1:$Z$2488,272,'Live Data'!$C$18)),"")</f>
        <v>1781</v>
      </c>
      <c r="H272" s="54">
        <f>IFERROR(IF(INDEX(SPOT_Import!$A$1:$Z$2488,272,'Live Data'!$C$19)="","",INDEX(SPOT_Import!$A$1:$Z$2488,272,'Live Data'!$C$19)),"")</f>
        <v>1781</v>
      </c>
      <c r="I272" s="54" t="str">
        <f>IFERROR(IF(INDEX(SPOT_Import!$A$1:$Z$2488,272,'Live Data'!$C$20)="","",INDEX(SPOT_Import!$A$1:$Z$2488,272,'Live Data'!$C$20)),"")</f>
        <v>Complete</v>
      </c>
      <c r="J272" s="54" t="str">
        <f>IFERROR(IF(INDEX(SPOT_Import!$A$1:$Z$2488,272,'Live Data'!$C$21)="","",INDEX(SPOT_Import!$A$1:$Z$2488,272,'Live Data'!$C$21)),"")</f>
        <v>2026-10-06T13:29:19.000Z</v>
      </c>
      <c r="K272" s="54" t="str">
        <f>IFERROR(IF(INDEX(SPOT_Import!$A$1:$Z$2488,272,'Live Data'!$C$22)="","",INDEX(SPOT_Import!$A$1:$Z$2488,272,'Live Data'!$C$22)),"")</f>
        <v>2026-10-06T13:29:19.000Z</v>
      </c>
      <c r="L272" s="55" t="str">
        <f t="shared" si="8"/>
        <v>2026-10</v>
      </c>
      <c r="M272" s="55" t="str">
        <f t="shared" si="9"/>
        <v>EMBU</v>
      </c>
      <c r="N272" s="55" t="str">
        <f>IF(A272="","",IFERROR(INDEX('Cluster Map'!$A$4:$A$38,MATCH(M272,'Cluster Map'!$B$4:$B$38,0)),"Unmapped"))</f>
        <v>Cluster 2</v>
      </c>
      <c r="O272" s="55">
        <f>IF(A272="",0,IF(COUNTIFS($A$2:A272,A272,$F$2:F272,F272,$L$2:L272,L272)=1,1,0))</f>
        <v>1</v>
      </c>
      <c r="P272" s="55">
        <f>IF(A272="",0,IF(AND(F272="C&amp;T",COUNTIFS($A$2:A272,A272,$F$2:F272,"C&amp;T")=1),1,0))</f>
        <v>1</v>
      </c>
    </row>
    <row r="273" spans="1:16" x14ac:dyDescent="0.35">
      <c r="A273" s="54">
        <f>IFERROR(IF(INDEX(SPOT_Import!$A$1:$Z$2488,273,'Live Data'!$C$12)="","",INDEX(SPOT_Import!$A$1:$Z$2488,273,'Live Data'!$C$12)),"")</f>
        <v>12203</v>
      </c>
      <c r="B273" s="54" t="str">
        <f>IFERROR(IF(INDEX(SPOT_Import!$A$1:$Z$2488,273,'Live Data'!$C$13)="","",INDEX(SPOT_Import!$A$1:$Z$2488,273,'Live Data'!$C$13)),"")</f>
        <v>Karurumo RHTC</v>
      </c>
      <c r="C273" s="54" t="str">
        <f>IFERROR(IF(INDEX(SPOT_Import!$A$1:$Z$2488,273,'Live Data'!$C$14)="","",INDEX(SPOT_Import!$A$1:$Z$2488,273,'Live Data'!$C$14)),"")</f>
        <v>EMBU</v>
      </c>
      <c r="D273" s="54" t="str">
        <f>IFERROR(IF(INDEX(SPOT_Import!$A$1:$Z$2488,273,'Live Data'!$C$15)="","",INDEX(SPOT_Import!$A$1:$Z$2488,273,'Live Data'!$C$15)),"")</f>
        <v>Runyenjes</v>
      </c>
      <c r="E273" s="54" t="str">
        <f>IFERROR(IF(INDEX(SPOT_Import!$A$1:$Z$2488,273,'Live Data'!$C$16)="","",INDEX(SPOT_Import!$A$1:$Z$2488,273,'Live Data'!$C$16)),"")</f>
        <v>USAID Jamii Tekelezi</v>
      </c>
      <c r="F273" s="54" t="str">
        <f>IFERROR(IF(INDEX(SPOT_Import!$A$1:$Z$2488,273,'Live Data'!$C$17)="","",INDEX(SPOT_Import!$A$1:$Z$2488,273,'Live Data'!$C$17)),"")</f>
        <v>HTS</v>
      </c>
      <c r="G273" s="54">
        <f>IFERROR(IF(INDEX(SPOT_Import!$A$1:$Z$2488,273,'Live Data'!$C$18)="","",INDEX(SPOT_Import!$A$1:$Z$2488,273,'Live Data'!$C$18)),"")</f>
        <v>2276</v>
      </c>
      <c r="H273" s="54">
        <f>IFERROR(IF(INDEX(SPOT_Import!$A$1:$Z$2488,273,'Live Data'!$C$19)="","",INDEX(SPOT_Import!$A$1:$Z$2488,273,'Live Data'!$C$19)),"")</f>
        <v>2276</v>
      </c>
      <c r="I273" s="54" t="str">
        <f>IFERROR(IF(INDEX(SPOT_Import!$A$1:$Z$2488,273,'Live Data'!$C$20)="","",INDEX(SPOT_Import!$A$1:$Z$2488,273,'Live Data'!$C$20)),"")</f>
        <v>Complete</v>
      </c>
      <c r="J273" s="54" t="str">
        <f>IFERROR(IF(INDEX(SPOT_Import!$A$1:$Z$2488,273,'Live Data'!$C$21)="","",INDEX(SPOT_Import!$A$1:$Z$2488,273,'Live Data'!$C$21)),"")</f>
        <v>2026-10-06T13:28:03.000Z</v>
      </c>
      <c r="K273" s="54" t="str">
        <f>IFERROR(IF(INDEX(SPOT_Import!$A$1:$Z$2488,273,'Live Data'!$C$22)="","",INDEX(SPOT_Import!$A$1:$Z$2488,273,'Live Data'!$C$22)),"")</f>
        <v>2026-10-06T13:28:03.000Z</v>
      </c>
      <c r="L273" s="55" t="str">
        <f t="shared" si="8"/>
        <v>2026-10</v>
      </c>
      <c r="M273" s="55" t="str">
        <f t="shared" si="9"/>
        <v>EMBU</v>
      </c>
      <c r="N273" s="55" t="str">
        <f>IF(A273="","",IFERROR(INDEX('Cluster Map'!$A$4:$A$38,MATCH(M273,'Cluster Map'!$B$4:$B$38,0)),"Unmapped"))</f>
        <v>Cluster 2</v>
      </c>
      <c r="O273" s="55">
        <f>IF(A273="",0,IF(COUNTIFS($A$2:A273,A273,$F$2:F273,F273,$L$2:L273,L273)=1,1,0))</f>
        <v>1</v>
      </c>
      <c r="P273" s="55">
        <f>IF(A273="",0,IF(AND(F273="C&amp;T",COUNTIFS($A$2:A273,A273,$F$2:F273,"C&amp;T")=1),1,0))</f>
        <v>0</v>
      </c>
    </row>
    <row r="274" spans="1:16" x14ac:dyDescent="0.35">
      <c r="A274" s="54">
        <f>IFERROR(IF(INDEX(SPOT_Import!$A$1:$Z$2488,274,'Live Data'!$C$12)="","",INDEX(SPOT_Import!$A$1:$Z$2488,274,'Live Data'!$C$12)),"")</f>
        <v>12203</v>
      </c>
      <c r="B274" s="54" t="str">
        <f>IFERROR(IF(INDEX(SPOT_Import!$A$1:$Z$2488,274,'Live Data'!$C$13)="","",INDEX(SPOT_Import!$A$1:$Z$2488,274,'Live Data'!$C$13)),"")</f>
        <v>Karurumo RHTC</v>
      </c>
      <c r="C274" s="54" t="str">
        <f>IFERROR(IF(INDEX(SPOT_Import!$A$1:$Z$2488,274,'Live Data'!$C$14)="","",INDEX(SPOT_Import!$A$1:$Z$2488,274,'Live Data'!$C$14)),"")</f>
        <v>EMBU</v>
      </c>
      <c r="D274" s="54" t="str">
        <f>IFERROR(IF(INDEX(SPOT_Import!$A$1:$Z$2488,274,'Live Data'!$C$15)="","",INDEX(SPOT_Import!$A$1:$Z$2488,274,'Live Data'!$C$15)),"")</f>
        <v>Runyenjes</v>
      </c>
      <c r="E274" s="54" t="str">
        <f>IFERROR(IF(INDEX(SPOT_Import!$A$1:$Z$2488,274,'Live Data'!$C$16)="","",INDEX(SPOT_Import!$A$1:$Z$2488,274,'Live Data'!$C$16)),"")</f>
        <v>USAID Jamii Tekelezi</v>
      </c>
      <c r="F274" s="54" t="str">
        <f>IFERROR(IF(INDEX(SPOT_Import!$A$1:$Z$2488,274,'Live Data'!$C$17)="","",INDEX(SPOT_Import!$A$1:$Z$2488,274,'Live Data'!$C$17)),"")</f>
        <v>MNCH</v>
      </c>
      <c r="G274" s="54">
        <f>IFERROR(IF(INDEX(SPOT_Import!$A$1:$Z$2488,274,'Live Data'!$C$18)="","",INDEX(SPOT_Import!$A$1:$Z$2488,274,'Live Data'!$C$18)),"")</f>
        <v>143</v>
      </c>
      <c r="H274" s="54">
        <f>IFERROR(IF(INDEX(SPOT_Import!$A$1:$Z$2488,274,'Live Data'!$C$19)="","",INDEX(SPOT_Import!$A$1:$Z$2488,274,'Live Data'!$C$19)),"")</f>
        <v>143</v>
      </c>
      <c r="I274" s="54" t="str">
        <f>IFERROR(IF(INDEX(SPOT_Import!$A$1:$Z$2488,274,'Live Data'!$C$20)="","",INDEX(SPOT_Import!$A$1:$Z$2488,274,'Live Data'!$C$20)),"")</f>
        <v>Complete</v>
      </c>
      <c r="J274" s="54" t="str">
        <f>IFERROR(IF(INDEX(SPOT_Import!$A$1:$Z$2488,274,'Live Data'!$C$21)="","",INDEX(SPOT_Import!$A$1:$Z$2488,274,'Live Data'!$C$21)),"")</f>
        <v>2026-10-06T13:28:00.000Z</v>
      </c>
      <c r="K274" s="54" t="str">
        <f>IFERROR(IF(INDEX(SPOT_Import!$A$1:$Z$2488,274,'Live Data'!$C$22)="","",INDEX(SPOT_Import!$A$1:$Z$2488,274,'Live Data'!$C$22)),"")</f>
        <v>2026-10-06T13:28:00.000Z</v>
      </c>
      <c r="L274" s="55" t="str">
        <f t="shared" si="8"/>
        <v>2026-10</v>
      </c>
      <c r="M274" s="55" t="str">
        <f t="shared" si="9"/>
        <v>EMBU</v>
      </c>
      <c r="N274" s="55" t="str">
        <f>IF(A274="","",IFERROR(INDEX('Cluster Map'!$A$4:$A$38,MATCH(M274,'Cluster Map'!$B$4:$B$38,0)),"Unmapped"))</f>
        <v>Cluster 2</v>
      </c>
      <c r="O274" s="55">
        <f>IF(A274="",0,IF(COUNTIFS($A$2:A274,A274,$F$2:F274,F274,$L$2:L274,L274)=1,1,0))</f>
        <v>1</v>
      </c>
      <c r="P274" s="55">
        <f>IF(A274="",0,IF(AND(F274="C&amp;T",COUNTIFS($A$2:A274,A274,$F$2:F274,"C&amp;T")=1),1,0))</f>
        <v>0</v>
      </c>
    </row>
    <row r="275" spans="1:16" x14ac:dyDescent="0.35">
      <c r="A275" s="54">
        <f>IFERROR(IF(INDEX(SPOT_Import!$A$1:$Z$2488,275,'Live Data'!$C$12)="","",INDEX(SPOT_Import!$A$1:$Z$2488,275,'Live Data'!$C$12)),"")</f>
        <v>12203</v>
      </c>
      <c r="B275" s="54" t="str">
        <f>IFERROR(IF(INDEX(SPOT_Import!$A$1:$Z$2488,275,'Live Data'!$C$13)="","",INDEX(SPOT_Import!$A$1:$Z$2488,275,'Live Data'!$C$13)),"")</f>
        <v>Karurumo RHTC</v>
      </c>
      <c r="C275" s="54" t="str">
        <f>IFERROR(IF(INDEX(SPOT_Import!$A$1:$Z$2488,275,'Live Data'!$C$14)="","",INDEX(SPOT_Import!$A$1:$Z$2488,275,'Live Data'!$C$14)),"")</f>
        <v>EMBU</v>
      </c>
      <c r="D275" s="54" t="str">
        <f>IFERROR(IF(INDEX(SPOT_Import!$A$1:$Z$2488,275,'Live Data'!$C$15)="","",INDEX(SPOT_Import!$A$1:$Z$2488,275,'Live Data'!$C$15)),"")</f>
        <v>Runyenjes</v>
      </c>
      <c r="E275" s="54" t="str">
        <f>IFERROR(IF(INDEX(SPOT_Import!$A$1:$Z$2488,275,'Live Data'!$C$16)="","",INDEX(SPOT_Import!$A$1:$Z$2488,275,'Live Data'!$C$16)),"")</f>
        <v>USAID Jamii Tekelezi</v>
      </c>
      <c r="F275" s="54" t="str">
        <f>IFERROR(IF(INDEX(SPOT_Import!$A$1:$Z$2488,275,'Live Data'!$C$17)="","",INDEX(SPOT_Import!$A$1:$Z$2488,275,'Live Data'!$C$17)),"")</f>
        <v>PREP</v>
      </c>
      <c r="G275" s="54">
        <f>IFERROR(IF(INDEX(SPOT_Import!$A$1:$Z$2488,275,'Live Data'!$C$18)="","",INDEX(SPOT_Import!$A$1:$Z$2488,275,'Live Data'!$C$18)),"")</f>
        <v>249</v>
      </c>
      <c r="H275" s="54">
        <f>IFERROR(IF(INDEX(SPOT_Import!$A$1:$Z$2488,275,'Live Data'!$C$19)="","",INDEX(SPOT_Import!$A$1:$Z$2488,275,'Live Data'!$C$19)),"")</f>
        <v>249</v>
      </c>
      <c r="I275" s="54" t="str">
        <f>IFERROR(IF(INDEX(SPOT_Import!$A$1:$Z$2488,275,'Live Data'!$C$20)="","",INDEX(SPOT_Import!$A$1:$Z$2488,275,'Live Data'!$C$20)),"")</f>
        <v>Complete</v>
      </c>
      <c r="J275" s="54" t="str">
        <f>IFERROR(IF(INDEX(SPOT_Import!$A$1:$Z$2488,275,'Live Data'!$C$21)="","",INDEX(SPOT_Import!$A$1:$Z$2488,275,'Live Data'!$C$21)),"")</f>
        <v>2026-10-06T13:27:58.000Z</v>
      </c>
      <c r="K275" s="54" t="str">
        <f>IFERROR(IF(INDEX(SPOT_Import!$A$1:$Z$2488,275,'Live Data'!$C$22)="","",INDEX(SPOT_Import!$A$1:$Z$2488,275,'Live Data'!$C$22)),"")</f>
        <v>2026-10-06T13:27:58.000Z</v>
      </c>
      <c r="L275" s="55" t="str">
        <f t="shared" si="8"/>
        <v>2026-10</v>
      </c>
      <c r="M275" s="55" t="str">
        <f t="shared" si="9"/>
        <v>EMBU</v>
      </c>
      <c r="N275" s="55" t="str">
        <f>IF(A275="","",IFERROR(INDEX('Cluster Map'!$A$4:$A$38,MATCH(M275,'Cluster Map'!$B$4:$B$38,0)),"Unmapped"))</f>
        <v>Cluster 2</v>
      </c>
      <c r="O275" s="55">
        <f>IF(A275="",0,IF(COUNTIFS($A$2:A275,A275,$F$2:F275,F275,$L$2:L275,L275)=1,1,0))</f>
        <v>1</v>
      </c>
      <c r="P275" s="55">
        <f>IF(A275="",0,IF(AND(F275="C&amp;T",COUNTIFS($A$2:A275,A275,$F$2:F275,"C&amp;T")=1),1,0))</f>
        <v>0</v>
      </c>
    </row>
    <row r="276" spans="1:16" x14ac:dyDescent="0.35">
      <c r="A276" s="54">
        <f>IFERROR(IF(INDEX(SPOT_Import!$A$1:$Z$2488,276,'Live Data'!$C$12)="","",INDEX(SPOT_Import!$A$1:$Z$2488,276,'Live Data'!$C$12)),"")</f>
        <v>12203</v>
      </c>
      <c r="B276" s="54" t="str">
        <f>IFERROR(IF(INDEX(SPOT_Import!$A$1:$Z$2488,276,'Live Data'!$C$13)="","",INDEX(SPOT_Import!$A$1:$Z$2488,276,'Live Data'!$C$13)),"")</f>
        <v>Karurumo Rhtc</v>
      </c>
      <c r="C276" s="54" t="str">
        <f>IFERROR(IF(INDEX(SPOT_Import!$A$1:$Z$2488,276,'Live Data'!$C$14)="","",INDEX(SPOT_Import!$A$1:$Z$2488,276,'Live Data'!$C$14)),"")</f>
        <v>EMBU</v>
      </c>
      <c r="D276" s="54" t="str">
        <f>IFERROR(IF(INDEX(SPOT_Import!$A$1:$Z$2488,276,'Live Data'!$C$15)="","",INDEX(SPOT_Import!$A$1:$Z$2488,276,'Live Data'!$C$15)),"")</f>
        <v>Runyenjes</v>
      </c>
      <c r="E276" s="54" t="str">
        <f>IFERROR(IF(INDEX(SPOT_Import!$A$1:$Z$2488,276,'Live Data'!$C$16)="","",INDEX(SPOT_Import!$A$1:$Z$2488,276,'Live Data'!$C$16)),"")</f>
        <v>USAID Jamii Tekelezi</v>
      </c>
      <c r="F276" s="54" t="str">
        <f>IFERROR(IF(INDEX(SPOT_Import!$A$1:$Z$2488,276,'Live Data'!$C$17)="","",INDEX(SPOT_Import!$A$1:$Z$2488,276,'Live Data'!$C$17)),"")</f>
        <v>C&amp;T</v>
      </c>
      <c r="G276" s="54">
        <f>IFERROR(IF(INDEX(SPOT_Import!$A$1:$Z$2488,276,'Live Data'!$C$18)="","",INDEX(SPOT_Import!$A$1:$Z$2488,276,'Live Data'!$C$18)),"")</f>
        <v>651</v>
      </c>
      <c r="H276" s="54">
        <f>IFERROR(IF(INDEX(SPOT_Import!$A$1:$Z$2488,276,'Live Data'!$C$19)="","",INDEX(SPOT_Import!$A$1:$Z$2488,276,'Live Data'!$C$19)),"")</f>
        <v>651</v>
      </c>
      <c r="I276" s="54" t="str">
        <f>IFERROR(IF(INDEX(SPOT_Import!$A$1:$Z$2488,276,'Live Data'!$C$20)="","",INDEX(SPOT_Import!$A$1:$Z$2488,276,'Live Data'!$C$20)),"")</f>
        <v>Complete</v>
      </c>
      <c r="J276" s="54" t="str">
        <f>IFERROR(IF(INDEX(SPOT_Import!$A$1:$Z$2488,276,'Live Data'!$C$21)="","",INDEX(SPOT_Import!$A$1:$Z$2488,276,'Live Data'!$C$21)),"")</f>
        <v>2026-10-06T13:05:42.000Z</v>
      </c>
      <c r="K276" s="54" t="str">
        <f>IFERROR(IF(INDEX(SPOT_Import!$A$1:$Z$2488,276,'Live Data'!$C$22)="","",INDEX(SPOT_Import!$A$1:$Z$2488,276,'Live Data'!$C$22)),"")</f>
        <v>2026-10-06T13:05:42.000Z</v>
      </c>
      <c r="L276" s="55" t="str">
        <f t="shared" si="8"/>
        <v>2026-10</v>
      </c>
      <c r="M276" s="55" t="str">
        <f t="shared" si="9"/>
        <v>EMBU</v>
      </c>
      <c r="N276" s="55" t="str">
        <f>IF(A276="","",IFERROR(INDEX('Cluster Map'!$A$4:$A$38,MATCH(M276,'Cluster Map'!$B$4:$B$38,0)),"Unmapped"))</f>
        <v>Cluster 2</v>
      </c>
      <c r="O276" s="55">
        <f>IF(A276="",0,IF(COUNTIFS($A$2:A276,A276,$F$2:F276,F276,$L$2:L276,L276)=1,1,0))</f>
        <v>1</v>
      </c>
      <c r="P276" s="55">
        <f>IF(A276="",0,IF(AND(F276="C&amp;T",COUNTIFS($A$2:A276,A276,$F$2:F276,"C&amp;T")=1),1,0))</f>
        <v>1</v>
      </c>
    </row>
    <row r="277" spans="1:16" x14ac:dyDescent="0.35">
      <c r="A277" s="54">
        <f>IFERROR(IF(INDEX(SPOT_Import!$A$1:$Z$2488,277,'Live Data'!$C$12)="","",INDEX(SPOT_Import!$A$1:$Z$2488,277,'Live Data'!$C$12)),"")</f>
        <v>12534</v>
      </c>
      <c r="B277" s="54" t="str">
        <f>IFERROR(IF(INDEX(SPOT_Import!$A$1:$Z$2488,277,'Live Data'!$C$13)="","",INDEX(SPOT_Import!$A$1:$Z$2488,277,'Live Data'!$C$13)),"")</f>
        <v>Mitunguu Dispensary</v>
      </c>
      <c r="C277" s="54" t="str">
        <f>IFERROR(IF(INDEX(SPOT_Import!$A$1:$Z$2488,277,'Live Data'!$C$14)="","",INDEX(SPOT_Import!$A$1:$Z$2488,277,'Live Data'!$C$14)),"")</f>
        <v>MERU</v>
      </c>
      <c r="D277" s="54" t="str">
        <f>IFERROR(IF(INDEX(SPOT_Import!$A$1:$Z$2488,277,'Live Data'!$C$15)="","",INDEX(SPOT_Import!$A$1:$Z$2488,277,'Live Data'!$C$15)),"")</f>
        <v>Imenti South</v>
      </c>
      <c r="E277" s="54" t="str">
        <f>IFERROR(IF(INDEX(SPOT_Import!$A$1:$Z$2488,277,'Live Data'!$C$16)="","",INDEX(SPOT_Import!$A$1:$Z$2488,277,'Live Data'!$C$16)),"")</f>
        <v>USAID Jamii Tekelezi</v>
      </c>
      <c r="F277" s="54" t="str">
        <f>IFERROR(IF(INDEX(SPOT_Import!$A$1:$Z$2488,277,'Live Data'!$C$17)="","",INDEX(SPOT_Import!$A$1:$Z$2488,277,'Live Data'!$C$17)),"")</f>
        <v>PREP</v>
      </c>
      <c r="G277" s="54">
        <f>IFERROR(IF(INDEX(SPOT_Import!$A$1:$Z$2488,277,'Live Data'!$C$18)="","",INDEX(SPOT_Import!$A$1:$Z$2488,277,'Live Data'!$C$18)),"")</f>
        <v>13</v>
      </c>
      <c r="H277" s="54">
        <f>IFERROR(IF(INDEX(SPOT_Import!$A$1:$Z$2488,277,'Live Data'!$C$19)="","",INDEX(SPOT_Import!$A$1:$Z$2488,277,'Live Data'!$C$19)),"")</f>
        <v>13</v>
      </c>
      <c r="I277" s="54" t="str">
        <f>IFERROR(IF(INDEX(SPOT_Import!$A$1:$Z$2488,277,'Live Data'!$C$20)="","",INDEX(SPOT_Import!$A$1:$Z$2488,277,'Live Data'!$C$20)),"")</f>
        <v>Complete</v>
      </c>
      <c r="J277" s="54" t="str">
        <f>IFERROR(IF(INDEX(SPOT_Import!$A$1:$Z$2488,277,'Live Data'!$C$21)="","",INDEX(SPOT_Import!$A$1:$Z$2488,277,'Live Data'!$C$21)),"")</f>
        <v>2026-10-06T13:04:38.000Z</v>
      </c>
      <c r="K277" s="54" t="str">
        <f>IFERROR(IF(INDEX(SPOT_Import!$A$1:$Z$2488,277,'Live Data'!$C$22)="","",INDEX(SPOT_Import!$A$1:$Z$2488,277,'Live Data'!$C$22)),"")</f>
        <v>2026-10-06T13:04:38.000Z</v>
      </c>
      <c r="L277" s="55" t="str">
        <f t="shared" si="8"/>
        <v>2026-10</v>
      </c>
      <c r="M277" s="55" t="str">
        <f t="shared" si="9"/>
        <v>MERU</v>
      </c>
      <c r="N277" s="55" t="str">
        <f>IF(A277="","",IFERROR(INDEX('Cluster Map'!$A$4:$A$38,MATCH(M277,'Cluster Map'!$B$4:$B$38,0)),"Unmapped"))</f>
        <v>Cluster 1</v>
      </c>
      <c r="O277" s="55">
        <f>IF(A277="",0,IF(COUNTIFS($A$2:A277,A277,$F$2:F277,F277,$L$2:L277,L277)=1,1,0))</f>
        <v>1</v>
      </c>
      <c r="P277" s="55">
        <f>IF(A277="",0,IF(AND(F277="C&amp;T",COUNTIFS($A$2:A277,A277,$F$2:F277,"C&amp;T")=1),1,0))</f>
        <v>0</v>
      </c>
    </row>
    <row r="278" spans="1:16" x14ac:dyDescent="0.35">
      <c r="A278" s="54">
        <f>IFERROR(IF(INDEX(SPOT_Import!$A$1:$Z$2488,278,'Live Data'!$C$12)="","",INDEX(SPOT_Import!$A$1:$Z$2488,278,'Live Data'!$C$12)),"")</f>
        <v>12534</v>
      </c>
      <c r="B278" s="54" t="str">
        <f>IFERROR(IF(INDEX(SPOT_Import!$A$1:$Z$2488,278,'Live Data'!$C$13)="","",INDEX(SPOT_Import!$A$1:$Z$2488,278,'Live Data'!$C$13)),"")</f>
        <v>Mitunguu Dispensary</v>
      </c>
      <c r="C278" s="54" t="str">
        <f>IFERROR(IF(INDEX(SPOT_Import!$A$1:$Z$2488,278,'Live Data'!$C$14)="","",INDEX(SPOT_Import!$A$1:$Z$2488,278,'Live Data'!$C$14)),"")</f>
        <v>MERU</v>
      </c>
      <c r="D278" s="54" t="str">
        <f>IFERROR(IF(INDEX(SPOT_Import!$A$1:$Z$2488,278,'Live Data'!$C$15)="","",INDEX(SPOT_Import!$A$1:$Z$2488,278,'Live Data'!$C$15)),"")</f>
        <v>Imenti South</v>
      </c>
      <c r="E278" s="54" t="str">
        <f>IFERROR(IF(INDEX(SPOT_Import!$A$1:$Z$2488,278,'Live Data'!$C$16)="","",INDEX(SPOT_Import!$A$1:$Z$2488,278,'Live Data'!$C$16)),"")</f>
        <v>USAID Jamii Tekelezi</v>
      </c>
      <c r="F278" s="54" t="str">
        <f>IFERROR(IF(INDEX(SPOT_Import!$A$1:$Z$2488,278,'Live Data'!$C$17)="","",INDEX(SPOT_Import!$A$1:$Z$2488,278,'Live Data'!$C$17)),"")</f>
        <v>MNCH</v>
      </c>
      <c r="G278" s="54">
        <f>IFERROR(IF(INDEX(SPOT_Import!$A$1:$Z$2488,278,'Live Data'!$C$18)="","",INDEX(SPOT_Import!$A$1:$Z$2488,278,'Live Data'!$C$18)),"")</f>
        <v>15</v>
      </c>
      <c r="H278" s="54">
        <f>IFERROR(IF(INDEX(SPOT_Import!$A$1:$Z$2488,278,'Live Data'!$C$19)="","",INDEX(SPOT_Import!$A$1:$Z$2488,278,'Live Data'!$C$19)),"")</f>
        <v>15</v>
      </c>
      <c r="I278" s="54" t="str">
        <f>IFERROR(IF(INDEX(SPOT_Import!$A$1:$Z$2488,278,'Live Data'!$C$20)="","",INDEX(SPOT_Import!$A$1:$Z$2488,278,'Live Data'!$C$20)),"")</f>
        <v>Complete</v>
      </c>
      <c r="J278" s="54" t="str">
        <f>IFERROR(IF(INDEX(SPOT_Import!$A$1:$Z$2488,278,'Live Data'!$C$21)="","",INDEX(SPOT_Import!$A$1:$Z$2488,278,'Live Data'!$C$21)),"")</f>
        <v>2026-10-06T13:04:24.000Z</v>
      </c>
      <c r="K278" s="54" t="str">
        <f>IFERROR(IF(INDEX(SPOT_Import!$A$1:$Z$2488,278,'Live Data'!$C$22)="","",INDEX(SPOT_Import!$A$1:$Z$2488,278,'Live Data'!$C$22)),"")</f>
        <v>2026-10-06T13:04:24.000Z</v>
      </c>
      <c r="L278" s="55" t="str">
        <f t="shared" si="8"/>
        <v>2026-10</v>
      </c>
      <c r="M278" s="55" t="str">
        <f t="shared" si="9"/>
        <v>MERU</v>
      </c>
      <c r="N278" s="55" t="str">
        <f>IF(A278="","",IFERROR(INDEX('Cluster Map'!$A$4:$A$38,MATCH(M278,'Cluster Map'!$B$4:$B$38,0)),"Unmapped"))</f>
        <v>Cluster 1</v>
      </c>
      <c r="O278" s="55">
        <f>IF(A278="",0,IF(COUNTIFS($A$2:A278,A278,$F$2:F278,F278,$L$2:L278,L278)=1,1,0))</f>
        <v>1</v>
      </c>
      <c r="P278" s="55">
        <f>IF(A278="",0,IF(AND(F278="C&amp;T",COUNTIFS($A$2:A278,A278,$F$2:F278,"C&amp;T")=1),1,0))</f>
        <v>0</v>
      </c>
    </row>
    <row r="279" spans="1:16" x14ac:dyDescent="0.35">
      <c r="A279" s="54">
        <f>IFERROR(IF(INDEX(SPOT_Import!$A$1:$Z$2488,279,'Live Data'!$C$12)="","",INDEX(SPOT_Import!$A$1:$Z$2488,279,'Live Data'!$C$12)),"")</f>
        <v>12534</v>
      </c>
      <c r="B279" s="54" t="str">
        <f>IFERROR(IF(INDEX(SPOT_Import!$A$1:$Z$2488,279,'Live Data'!$C$13)="","",INDEX(SPOT_Import!$A$1:$Z$2488,279,'Live Data'!$C$13)),"")</f>
        <v>Mitunguu Dispensary</v>
      </c>
      <c r="C279" s="54" t="str">
        <f>IFERROR(IF(INDEX(SPOT_Import!$A$1:$Z$2488,279,'Live Data'!$C$14)="","",INDEX(SPOT_Import!$A$1:$Z$2488,279,'Live Data'!$C$14)),"")</f>
        <v>MERU</v>
      </c>
      <c r="D279" s="54" t="str">
        <f>IFERROR(IF(INDEX(SPOT_Import!$A$1:$Z$2488,279,'Live Data'!$C$15)="","",INDEX(SPOT_Import!$A$1:$Z$2488,279,'Live Data'!$C$15)),"")</f>
        <v>Imenti South</v>
      </c>
      <c r="E279" s="54" t="str">
        <f>IFERROR(IF(INDEX(SPOT_Import!$A$1:$Z$2488,279,'Live Data'!$C$16)="","",INDEX(SPOT_Import!$A$1:$Z$2488,279,'Live Data'!$C$16)),"")</f>
        <v>USAID Jamii Tekelezi</v>
      </c>
      <c r="F279" s="54" t="str">
        <f>IFERROR(IF(INDEX(SPOT_Import!$A$1:$Z$2488,279,'Live Data'!$C$17)="","",INDEX(SPOT_Import!$A$1:$Z$2488,279,'Live Data'!$C$17)),"")</f>
        <v>HTS</v>
      </c>
      <c r="G279" s="54">
        <f>IFERROR(IF(INDEX(SPOT_Import!$A$1:$Z$2488,279,'Live Data'!$C$18)="","",INDEX(SPOT_Import!$A$1:$Z$2488,279,'Live Data'!$C$18)),"")</f>
        <v>1277</v>
      </c>
      <c r="H279" s="54">
        <f>IFERROR(IF(INDEX(SPOT_Import!$A$1:$Z$2488,279,'Live Data'!$C$19)="","",INDEX(SPOT_Import!$A$1:$Z$2488,279,'Live Data'!$C$19)),"")</f>
        <v>1277</v>
      </c>
      <c r="I279" s="54" t="str">
        <f>IFERROR(IF(INDEX(SPOT_Import!$A$1:$Z$2488,279,'Live Data'!$C$20)="","",INDEX(SPOT_Import!$A$1:$Z$2488,279,'Live Data'!$C$20)),"")</f>
        <v>Complete</v>
      </c>
      <c r="J279" s="54" t="str">
        <f>IFERROR(IF(INDEX(SPOT_Import!$A$1:$Z$2488,279,'Live Data'!$C$21)="","",INDEX(SPOT_Import!$A$1:$Z$2488,279,'Live Data'!$C$21)),"")</f>
        <v>2026-10-06T13:04:12.000Z</v>
      </c>
      <c r="K279" s="54" t="str">
        <f>IFERROR(IF(INDEX(SPOT_Import!$A$1:$Z$2488,279,'Live Data'!$C$22)="","",INDEX(SPOT_Import!$A$1:$Z$2488,279,'Live Data'!$C$22)),"")</f>
        <v>2026-10-06T13:04:12.000Z</v>
      </c>
      <c r="L279" s="55" t="str">
        <f t="shared" si="8"/>
        <v>2026-10</v>
      </c>
      <c r="M279" s="55" t="str">
        <f t="shared" si="9"/>
        <v>MERU</v>
      </c>
      <c r="N279" s="55" t="str">
        <f>IF(A279="","",IFERROR(INDEX('Cluster Map'!$A$4:$A$38,MATCH(M279,'Cluster Map'!$B$4:$B$38,0)),"Unmapped"))</f>
        <v>Cluster 1</v>
      </c>
      <c r="O279" s="55">
        <f>IF(A279="",0,IF(COUNTIFS($A$2:A279,A279,$F$2:F279,F279,$L$2:L279,L279)=1,1,0))</f>
        <v>1</v>
      </c>
      <c r="P279" s="55">
        <f>IF(A279="",0,IF(AND(F279="C&amp;T",COUNTIFS($A$2:A279,A279,$F$2:F279,"C&amp;T")=1),1,0))</f>
        <v>0</v>
      </c>
    </row>
    <row r="280" spans="1:16" x14ac:dyDescent="0.35">
      <c r="A280" s="54">
        <f>IFERROR(IF(INDEX(SPOT_Import!$A$1:$Z$2488,280,'Live Data'!$C$12)="","",INDEX(SPOT_Import!$A$1:$Z$2488,280,'Live Data'!$C$12)),"")</f>
        <v>12534</v>
      </c>
      <c r="B280" s="54" t="str">
        <f>IFERROR(IF(INDEX(SPOT_Import!$A$1:$Z$2488,280,'Live Data'!$C$13)="","",INDEX(SPOT_Import!$A$1:$Z$2488,280,'Live Data'!$C$13)),"")</f>
        <v>Mitunguu Dispensary</v>
      </c>
      <c r="C280" s="54" t="str">
        <f>IFERROR(IF(INDEX(SPOT_Import!$A$1:$Z$2488,280,'Live Data'!$C$14)="","",INDEX(SPOT_Import!$A$1:$Z$2488,280,'Live Data'!$C$14)),"")</f>
        <v>MERU</v>
      </c>
      <c r="D280" s="54" t="str">
        <f>IFERROR(IF(INDEX(SPOT_Import!$A$1:$Z$2488,280,'Live Data'!$C$15)="","",INDEX(SPOT_Import!$A$1:$Z$2488,280,'Live Data'!$C$15)),"")</f>
        <v>Imenti South</v>
      </c>
      <c r="E280" s="54" t="str">
        <f>IFERROR(IF(INDEX(SPOT_Import!$A$1:$Z$2488,280,'Live Data'!$C$16)="","",INDEX(SPOT_Import!$A$1:$Z$2488,280,'Live Data'!$C$16)),"")</f>
        <v>USAID Jamii Tekelezi</v>
      </c>
      <c r="F280" s="54" t="str">
        <f>IFERROR(IF(INDEX(SPOT_Import!$A$1:$Z$2488,280,'Live Data'!$C$17)="","",INDEX(SPOT_Import!$A$1:$Z$2488,280,'Live Data'!$C$17)),"")</f>
        <v>C&amp;T</v>
      </c>
      <c r="G280" s="54">
        <f>IFERROR(IF(INDEX(SPOT_Import!$A$1:$Z$2488,280,'Live Data'!$C$18)="","",INDEX(SPOT_Import!$A$1:$Z$2488,280,'Live Data'!$C$18)),"")</f>
        <v>736</v>
      </c>
      <c r="H280" s="54">
        <f>IFERROR(IF(INDEX(SPOT_Import!$A$1:$Z$2488,280,'Live Data'!$C$19)="","",INDEX(SPOT_Import!$A$1:$Z$2488,280,'Live Data'!$C$19)),"")</f>
        <v>736</v>
      </c>
      <c r="I280" s="54" t="str">
        <f>IFERROR(IF(INDEX(SPOT_Import!$A$1:$Z$2488,280,'Live Data'!$C$20)="","",INDEX(SPOT_Import!$A$1:$Z$2488,280,'Live Data'!$C$20)),"")</f>
        <v>Complete</v>
      </c>
      <c r="J280" s="54" t="str">
        <f>IFERROR(IF(INDEX(SPOT_Import!$A$1:$Z$2488,280,'Live Data'!$C$21)="","",INDEX(SPOT_Import!$A$1:$Z$2488,280,'Live Data'!$C$21)),"")</f>
        <v>2026-10-06T12:46:51.000Z</v>
      </c>
      <c r="K280" s="54" t="str">
        <f>IFERROR(IF(INDEX(SPOT_Import!$A$1:$Z$2488,280,'Live Data'!$C$22)="","",INDEX(SPOT_Import!$A$1:$Z$2488,280,'Live Data'!$C$22)),"")</f>
        <v>2026-10-06T12:46:51.000Z</v>
      </c>
      <c r="L280" s="55" t="str">
        <f t="shared" si="8"/>
        <v>2026-10</v>
      </c>
      <c r="M280" s="55" t="str">
        <f t="shared" si="9"/>
        <v>MERU</v>
      </c>
      <c r="N280" s="55" t="str">
        <f>IF(A280="","",IFERROR(INDEX('Cluster Map'!$A$4:$A$38,MATCH(M280,'Cluster Map'!$B$4:$B$38,0)),"Unmapped"))</f>
        <v>Cluster 1</v>
      </c>
      <c r="O280" s="55">
        <f>IF(A280="",0,IF(COUNTIFS($A$2:A280,A280,$F$2:F280,F280,$L$2:L280,L280)=1,1,0))</f>
        <v>1</v>
      </c>
      <c r="P280" s="55">
        <f>IF(A280="",0,IF(AND(F280="C&amp;T",COUNTIFS($A$2:A280,A280,$F$2:F280,"C&amp;T")=1),1,0))</f>
        <v>1</v>
      </c>
    </row>
    <row r="281" spans="1:16" x14ac:dyDescent="0.35">
      <c r="A281" s="54">
        <f>IFERROR(IF(INDEX(SPOT_Import!$A$1:$Z$2488,281,'Live Data'!$C$12)="","",INDEX(SPOT_Import!$A$1:$Z$2488,281,'Live Data'!$C$12)),"")</f>
        <v>12445</v>
      </c>
      <c r="B281" s="54" t="str">
        <f>IFERROR(IF(INDEX(SPOT_Import!$A$1:$Z$2488,281,'Live Data'!$C$13)="","",INDEX(SPOT_Import!$A$1:$Z$2488,281,'Live Data'!$C$13)),"")</f>
        <v>Magutuni District Hospital</v>
      </c>
      <c r="C281" s="54" t="str">
        <f>IFERROR(IF(INDEX(SPOT_Import!$A$1:$Z$2488,281,'Live Data'!$C$14)="","",INDEX(SPOT_Import!$A$1:$Z$2488,281,'Live Data'!$C$14)),"")</f>
        <v>THARAKA-NITHI</v>
      </c>
      <c r="D281" s="54" t="str">
        <f>IFERROR(IF(INDEX(SPOT_Import!$A$1:$Z$2488,281,'Live Data'!$C$15)="","",INDEX(SPOT_Import!$A$1:$Z$2488,281,'Live Data'!$C$15)),"")</f>
        <v>Mwimbi</v>
      </c>
      <c r="E281" s="54" t="str">
        <f>IFERROR(IF(INDEX(SPOT_Import!$A$1:$Z$2488,281,'Live Data'!$C$16)="","",INDEX(SPOT_Import!$A$1:$Z$2488,281,'Live Data'!$C$16)),"")</f>
        <v>USAID Jamii Tekelezi</v>
      </c>
      <c r="F281" s="54" t="str">
        <f>IFERROR(IF(INDEX(SPOT_Import!$A$1:$Z$2488,281,'Live Data'!$C$17)="","",INDEX(SPOT_Import!$A$1:$Z$2488,281,'Live Data'!$C$17)),"")</f>
        <v>PREP</v>
      </c>
      <c r="G281" s="54">
        <f>IFERROR(IF(INDEX(SPOT_Import!$A$1:$Z$2488,281,'Live Data'!$C$18)="","",INDEX(SPOT_Import!$A$1:$Z$2488,281,'Live Data'!$C$18)),"")</f>
        <v>332</v>
      </c>
      <c r="H281" s="54">
        <f>IFERROR(IF(INDEX(SPOT_Import!$A$1:$Z$2488,281,'Live Data'!$C$19)="","",INDEX(SPOT_Import!$A$1:$Z$2488,281,'Live Data'!$C$19)),"")</f>
        <v>332</v>
      </c>
      <c r="I281" s="54" t="str">
        <f>IFERROR(IF(INDEX(SPOT_Import!$A$1:$Z$2488,281,'Live Data'!$C$20)="","",INDEX(SPOT_Import!$A$1:$Z$2488,281,'Live Data'!$C$20)),"")</f>
        <v>Complete</v>
      </c>
      <c r="J281" s="54" t="str">
        <f>IFERROR(IF(INDEX(SPOT_Import!$A$1:$Z$2488,281,'Live Data'!$C$21)="","",INDEX(SPOT_Import!$A$1:$Z$2488,281,'Live Data'!$C$21)),"")</f>
        <v>2026-10-06T12:42:31.000Z</v>
      </c>
      <c r="K281" s="54" t="str">
        <f>IFERROR(IF(INDEX(SPOT_Import!$A$1:$Z$2488,281,'Live Data'!$C$22)="","",INDEX(SPOT_Import!$A$1:$Z$2488,281,'Live Data'!$C$22)),"")</f>
        <v>2026-10-06T12:42:31.000Z</v>
      </c>
      <c r="L281" s="55" t="str">
        <f t="shared" si="8"/>
        <v>2026-10</v>
      </c>
      <c r="M281" s="55" t="str">
        <f t="shared" si="9"/>
        <v>THARAKA-NITHI</v>
      </c>
      <c r="N281" s="55" t="str">
        <f>IF(A281="","",IFERROR(INDEX('Cluster Map'!$A$4:$A$38,MATCH(M281,'Cluster Map'!$B$4:$B$38,0)),"Unmapped"))</f>
        <v>Cluster 2</v>
      </c>
      <c r="O281" s="55">
        <f>IF(A281="",0,IF(COUNTIFS($A$2:A281,A281,$F$2:F281,F281,$L$2:L281,L281)=1,1,0))</f>
        <v>1</v>
      </c>
      <c r="P281" s="55">
        <f>IF(A281="",0,IF(AND(F281="C&amp;T",COUNTIFS($A$2:A281,A281,$F$2:F281,"C&amp;T")=1),1,0))</f>
        <v>0</v>
      </c>
    </row>
    <row r="282" spans="1:16" x14ac:dyDescent="0.35">
      <c r="A282" s="54">
        <f>IFERROR(IF(INDEX(SPOT_Import!$A$1:$Z$2488,282,'Live Data'!$C$12)="","",INDEX(SPOT_Import!$A$1:$Z$2488,282,'Live Data'!$C$12)),"")</f>
        <v>12445</v>
      </c>
      <c r="B282" s="54" t="str">
        <f>IFERROR(IF(INDEX(SPOT_Import!$A$1:$Z$2488,282,'Live Data'!$C$13)="","",INDEX(SPOT_Import!$A$1:$Z$2488,282,'Live Data'!$C$13)),"")</f>
        <v>Magutuni District Hospital</v>
      </c>
      <c r="C282" s="54" t="str">
        <f>IFERROR(IF(INDEX(SPOT_Import!$A$1:$Z$2488,282,'Live Data'!$C$14)="","",INDEX(SPOT_Import!$A$1:$Z$2488,282,'Live Data'!$C$14)),"")</f>
        <v>THARAKA-NITHI</v>
      </c>
      <c r="D282" s="54" t="str">
        <f>IFERROR(IF(INDEX(SPOT_Import!$A$1:$Z$2488,282,'Live Data'!$C$15)="","",INDEX(SPOT_Import!$A$1:$Z$2488,282,'Live Data'!$C$15)),"")</f>
        <v>Mwimbi</v>
      </c>
      <c r="E282" s="54" t="str">
        <f>IFERROR(IF(INDEX(SPOT_Import!$A$1:$Z$2488,282,'Live Data'!$C$16)="","",INDEX(SPOT_Import!$A$1:$Z$2488,282,'Live Data'!$C$16)),"")</f>
        <v>USAID Jamii Tekelezi</v>
      </c>
      <c r="F282" s="54" t="str">
        <f>IFERROR(IF(INDEX(SPOT_Import!$A$1:$Z$2488,282,'Live Data'!$C$17)="","",INDEX(SPOT_Import!$A$1:$Z$2488,282,'Live Data'!$C$17)),"")</f>
        <v>MNCH</v>
      </c>
      <c r="G282" s="54">
        <f>IFERROR(IF(INDEX(SPOT_Import!$A$1:$Z$2488,282,'Live Data'!$C$18)="","",INDEX(SPOT_Import!$A$1:$Z$2488,282,'Live Data'!$C$18)),"")</f>
        <v>95</v>
      </c>
      <c r="H282" s="54">
        <f>IFERROR(IF(INDEX(SPOT_Import!$A$1:$Z$2488,282,'Live Data'!$C$19)="","",INDEX(SPOT_Import!$A$1:$Z$2488,282,'Live Data'!$C$19)),"")</f>
        <v>95</v>
      </c>
      <c r="I282" s="54" t="str">
        <f>IFERROR(IF(INDEX(SPOT_Import!$A$1:$Z$2488,282,'Live Data'!$C$20)="","",INDEX(SPOT_Import!$A$1:$Z$2488,282,'Live Data'!$C$20)),"")</f>
        <v>Complete</v>
      </c>
      <c r="J282" s="54" t="str">
        <f>IFERROR(IF(INDEX(SPOT_Import!$A$1:$Z$2488,282,'Live Data'!$C$21)="","",INDEX(SPOT_Import!$A$1:$Z$2488,282,'Live Data'!$C$21)),"")</f>
        <v>2026-10-06T12:41:58.000Z</v>
      </c>
      <c r="K282" s="54" t="str">
        <f>IFERROR(IF(INDEX(SPOT_Import!$A$1:$Z$2488,282,'Live Data'!$C$22)="","",INDEX(SPOT_Import!$A$1:$Z$2488,282,'Live Data'!$C$22)),"")</f>
        <v>2026-10-06T12:41:58.000Z</v>
      </c>
      <c r="L282" s="55" t="str">
        <f t="shared" si="8"/>
        <v>2026-10</v>
      </c>
      <c r="M282" s="55" t="str">
        <f t="shared" si="9"/>
        <v>THARAKA-NITHI</v>
      </c>
      <c r="N282" s="55" t="str">
        <f>IF(A282="","",IFERROR(INDEX('Cluster Map'!$A$4:$A$38,MATCH(M282,'Cluster Map'!$B$4:$B$38,0)),"Unmapped"))</f>
        <v>Cluster 2</v>
      </c>
      <c r="O282" s="55">
        <f>IF(A282="",0,IF(COUNTIFS($A$2:A282,A282,$F$2:F282,F282,$L$2:L282,L282)=1,1,0))</f>
        <v>1</v>
      </c>
      <c r="P282" s="55">
        <f>IF(A282="",0,IF(AND(F282="C&amp;T",COUNTIFS($A$2:A282,A282,$F$2:F282,"C&amp;T")=1),1,0))</f>
        <v>0</v>
      </c>
    </row>
    <row r="283" spans="1:16" x14ac:dyDescent="0.35">
      <c r="A283" s="54">
        <f>IFERROR(IF(INDEX(SPOT_Import!$A$1:$Z$2488,283,'Live Data'!$C$12)="","",INDEX(SPOT_Import!$A$1:$Z$2488,283,'Live Data'!$C$12)),"")</f>
        <v>12445</v>
      </c>
      <c r="B283" s="54" t="str">
        <f>IFERROR(IF(INDEX(SPOT_Import!$A$1:$Z$2488,283,'Live Data'!$C$13)="","",INDEX(SPOT_Import!$A$1:$Z$2488,283,'Live Data'!$C$13)),"")</f>
        <v>Magutuni District Hospital</v>
      </c>
      <c r="C283" s="54" t="str">
        <f>IFERROR(IF(INDEX(SPOT_Import!$A$1:$Z$2488,283,'Live Data'!$C$14)="","",INDEX(SPOT_Import!$A$1:$Z$2488,283,'Live Data'!$C$14)),"")</f>
        <v>THARAKA-NITHI</v>
      </c>
      <c r="D283" s="54" t="str">
        <f>IFERROR(IF(INDEX(SPOT_Import!$A$1:$Z$2488,283,'Live Data'!$C$15)="","",INDEX(SPOT_Import!$A$1:$Z$2488,283,'Live Data'!$C$15)),"")</f>
        <v>Mwimbi</v>
      </c>
      <c r="E283" s="54" t="str">
        <f>IFERROR(IF(INDEX(SPOT_Import!$A$1:$Z$2488,283,'Live Data'!$C$16)="","",INDEX(SPOT_Import!$A$1:$Z$2488,283,'Live Data'!$C$16)),"")</f>
        <v>USAID Jamii Tekelezi</v>
      </c>
      <c r="F283" s="54" t="str">
        <f>IFERROR(IF(INDEX(SPOT_Import!$A$1:$Z$2488,283,'Live Data'!$C$17)="","",INDEX(SPOT_Import!$A$1:$Z$2488,283,'Live Data'!$C$17)),"")</f>
        <v>HTS</v>
      </c>
      <c r="G283" s="54">
        <f>IFERROR(IF(INDEX(SPOT_Import!$A$1:$Z$2488,283,'Live Data'!$C$18)="","",INDEX(SPOT_Import!$A$1:$Z$2488,283,'Live Data'!$C$18)),"")</f>
        <v>6213</v>
      </c>
      <c r="H283" s="54">
        <f>IFERROR(IF(INDEX(SPOT_Import!$A$1:$Z$2488,283,'Live Data'!$C$19)="","",INDEX(SPOT_Import!$A$1:$Z$2488,283,'Live Data'!$C$19)),"")</f>
        <v>6213</v>
      </c>
      <c r="I283" s="54" t="str">
        <f>IFERROR(IF(INDEX(SPOT_Import!$A$1:$Z$2488,283,'Live Data'!$C$20)="","",INDEX(SPOT_Import!$A$1:$Z$2488,283,'Live Data'!$C$20)),"")</f>
        <v>Complete</v>
      </c>
      <c r="J283" s="54" t="str">
        <f>IFERROR(IF(INDEX(SPOT_Import!$A$1:$Z$2488,283,'Live Data'!$C$21)="","",INDEX(SPOT_Import!$A$1:$Z$2488,283,'Live Data'!$C$21)),"")</f>
        <v>2026-10-06T12:40:54.000Z</v>
      </c>
      <c r="K283" s="54" t="str">
        <f>IFERROR(IF(INDEX(SPOT_Import!$A$1:$Z$2488,283,'Live Data'!$C$22)="","",INDEX(SPOT_Import!$A$1:$Z$2488,283,'Live Data'!$C$22)),"")</f>
        <v>2026-10-06T12:40:54.000Z</v>
      </c>
      <c r="L283" s="55" t="str">
        <f t="shared" si="8"/>
        <v>2026-10</v>
      </c>
      <c r="M283" s="55" t="str">
        <f t="shared" si="9"/>
        <v>THARAKA-NITHI</v>
      </c>
      <c r="N283" s="55" t="str">
        <f>IF(A283="","",IFERROR(INDEX('Cluster Map'!$A$4:$A$38,MATCH(M283,'Cluster Map'!$B$4:$B$38,0)),"Unmapped"))</f>
        <v>Cluster 2</v>
      </c>
      <c r="O283" s="55">
        <f>IF(A283="",0,IF(COUNTIFS($A$2:A283,A283,$F$2:F283,F283,$L$2:L283,L283)=1,1,0))</f>
        <v>1</v>
      </c>
      <c r="P283" s="55">
        <f>IF(A283="",0,IF(AND(F283="C&amp;T",COUNTIFS($A$2:A283,A283,$F$2:F283,"C&amp;T")=1),1,0))</f>
        <v>0</v>
      </c>
    </row>
    <row r="284" spans="1:16" x14ac:dyDescent="0.35">
      <c r="A284" s="54">
        <f>IFERROR(IF(INDEX(SPOT_Import!$A$1:$Z$2488,284,'Live Data'!$C$12)="","",INDEX(SPOT_Import!$A$1:$Z$2488,284,'Live Data'!$C$12)),"")</f>
        <v>12445</v>
      </c>
      <c r="B284" s="54" t="str">
        <f>IFERROR(IF(INDEX(SPOT_Import!$A$1:$Z$2488,284,'Live Data'!$C$13)="","",INDEX(SPOT_Import!$A$1:$Z$2488,284,'Live Data'!$C$13)),"")</f>
        <v>Magutuni District Hospital</v>
      </c>
      <c r="C284" s="54" t="str">
        <f>IFERROR(IF(INDEX(SPOT_Import!$A$1:$Z$2488,284,'Live Data'!$C$14)="","",INDEX(SPOT_Import!$A$1:$Z$2488,284,'Live Data'!$C$14)),"")</f>
        <v>THARAKA-NITHI</v>
      </c>
      <c r="D284" s="54" t="str">
        <f>IFERROR(IF(INDEX(SPOT_Import!$A$1:$Z$2488,284,'Live Data'!$C$15)="","",INDEX(SPOT_Import!$A$1:$Z$2488,284,'Live Data'!$C$15)),"")</f>
        <v>Mwimbi</v>
      </c>
      <c r="E284" s="54" t="str">
        <f>IFERROR(IF(INDEX(SPOT_Import!$A$1:$Z$2488,284,'Live Data'!$C$16)="","",INDEX(SPOT_Import!$A$1:$Z$2488,284,'Live Data'!$C$16)),"")</f>
        <v>USAID Jamii Tekelezi</v>
      </c>
      <c r="F284" s="54" t="str">
        <f>IFERROR(IF(INDEX(SPOT_Import!$A$1:$Z$2488,284,'Live Data'!$C$17)="","",INDEX(SPOT_Import!$A$1:$Z$2488,284,'Live Data'!$C$17)),"")</f>
        <v>C&amp;T</v>
      </c>
      <c r="G284" s="54">
        <f>IFERROR(IF(INDEX(SPOT_Import!$A$1:$Z$2488,284,'Live Data'!$C$18)="","",INDEX(SPOT_Import!$A$1:$Z$2488,284,'Live Data'!$C$18)),"")</f>
        <v>896</v>
      </c>
      <c r="H284" s="54">
        <f>IFERROR(IF(INDEX(SPOT_Import!$A$1:$Z$2488,284,'Live Data'!$C$19)="","",INDEX(SPOT_Import!$A$1:$Z$2488,284,'Live Data'!$C$19)),"")</f>
        <v>896</v>
      </c>
      <c r="I284" s="54" t="str">
        <f>IFERROR(IF(INDEX(SPOT_Import!$A$1:$Z$2488,284,'Live Data'!$C$20)="","",INDEX(SPOT_Import!$A$1:$Z$2488,284,'Live Data'!$C$20)),"")</f>
        <v>Complete</v>
      </c>
      <c r="J284" s="54" t="str">
        <f>IFERROR(IF(INDEX(SPOT_Import!$A$1:$Z$2488,284,'Live Data'!$C$21)="","",INDEX(SPOT_Import!$A$1:$Z$2488,284,'Live Data'!$C$21)),"")</f>
        <v>2026-10-06T12:17:03.000Z</v>
      </c>
      <c r="K284" s="54" t="str">
        <f>IFERROR(IF(INDEX(SPOT_Import!$A$1:$Z$2488,284,'Live Data'!$C$22)="","",INDEX(SPOT_Import!$A$1:$Z$2488,284,'Live Data'!$C$22)),"")</f>
        <v>2026-10-06T12:17:03.000Z</v>
      </c>
      <c r="L284" s="55" t="str">
        <f t="shared" si="8"/>
        <v>2026-10</v>
      </c>
      <c r="M284" s="55" t="str">
        <f t="shared" si="9"/>
        <v>THARAKA-NITHI</v>
      </c>
      <c r="N284" s="55" t="str">
        <f>IF(A284="","",IFERROR(INDEX('Cluster Map'!$A$4:$A$38,MATCH(M284,'Cluster Map'!$B$4:$B$38,0)),"Unmapped"))</f>
        <v>Cluster 2</v>
      </c>
      <c r="O284" s="55">
        <f>IF(A284="",0,IF(COUNTIFS($A$2:A284,A284,$F$2:F284,F284,$L$2:L284,L284)=1,1,0))</f>
        <v>1</v>
      </c>
      <c r="P284" s="55">
        <f>IF(A284="",0,IF(AND(F284="C&amp;T",COUNTIFS($A$2:A284,A284,$F$2:F284,"C&amp;T")=1),1,0))</f>
        <v>1</v>
      </c>
    </row>
    <row r="285" spans="1:16" x14ac:dyDescent="0.35">
      <c r="A285" s="54">
        <f>IFERROR(IF(INDEX(SPOT_Import!$A$1:$Z$2488,285,'Live Data'!$C$12)="","",INDEX(SPOT_Import!$A$1:$Z$2488,285,'Live Data'!$C$12)),"")</f>
        <v>10829</v>
      </c>
      <c r="B285" s="54" t="str">
        <f>IFERROR(IF(INDEX(SPOT_Import!$A$1:$Z$2488,285,'Live Data'!$C$13)="","",INDEX(SPOT_Import!$A$1:$Z$2488,285,'Live Data'!$C$13)),"")</f>
        <v>Ndaragwa Health Centre</v>
      </c>
      <c r="C285" s="54" t="str">
        <f>IFERROR(IF(INDEX(SPOT_Import!$A$1:$Z$2488,285,'Live Data'!$C$14)="","",INDEX(SPOT_Import!$A$1:$Z$2488,285,'Live Data'!$C$14)),"")</f>
        <v>NYANDARUA</v>
      </c>
      <c r="D285" s="54" t="str">
        <f>IFERROR(IF(INDEX(SPOT_Import!$A$1:$Z$2488,285,'Live Data'!$C$15)="","",INDEX(SPOT_Import!$A$1:$Z$2488,285,'Live Data'!$C$15)),"")</f>
        <v>Ndaragwa</v>
      </c>
      <c r="E285" s="54" t="str">
        <f>IFERROR(IF(INDEX(SPOT_Import!$A$1:$Z$2488,285,'Live Data'!$C$16)="","",INDEX(SPOT_Import!$A$1:$Z$2488,285,'Live Data'!$C$16)),"")</f>
        <v>USAID Jamii Tekelezi</v>
      </c>
      <c r="F285" s="54" t="str">
        <f>IFERROR(IF(INDEX(SPOT_Import!$A$1:$Z$2488,285,'Live Data'!$C$17)="","",INDEX(SPOT_Import!$A$1:$Z$2488,285,'Live Data'!$C$17)),"")</f>
        <v>PREP</v>
      </c>
      <c r="G285" s="54">
        <f>IFERROR(IF(INDEX(SPOT_Import!$A$1:$Z$2488,285,'Live Data'!$C$18)="","",INDEX(SPOT_Import!$A$1:$Z$2488,285,'Live Data'!$C$18)),"")</f>
        <v>361</v>
      </c>
      <c r="H285" s="54">
        <f>IFERROR(IF(INDEX(SPOT_Import!$A$1:$Z$2488,285,'Live Data'!$C$19)="","",INDEX(SPOT_Import!$A$1:$Z$2488,285,'Live Data'!$C$19)),"")</f>
        <v>200</v>
      </c>
      <c r="I285" s="54" t="str">
        <f>IFERROR(IF(INDEX(SPOT_Import!$A$1:$Z$2488,285,'Live Data'!$C$20)="","",INDEX(SPOT_Import!$A$1:$Z$2488,285,'Live Data'!$C$20)),"")</f>
        <v>Incomplete</v>
      </c>
      <c r="J285" s="54" t="str">
        <f>IFERROR(IF(INDEX(SPOT_Import!$A$1:$Z$2488,285,'Live Data'!$C$21)="","",INDEX(SPOT_Import!$A$1:$Z$2488,285,'Live Data'!$C$21)),"")</f>
        <v>2026-10-06T11:42:09.000Z</v>
      </c>
      <c r="K285" s="54" t="str">
        <f>IFERROR(IF(INDEX(SPOT_Import!$A$1:$Z$2488,285,'Live Data'!$C$22)="","",INDEX(SPOT_Import!$A$1:$Z$2488,285,'Live Data'!$C$22)),"")</f>
        <v>2026-10-06T11:42:09.000Z</v>
      </c>
      <c r="L285" s="55" t="str">
        <f t="shared" si="8"/>
        <v>2026-10</v>
      </c>
      <c r="M285" s="55" t="str">
        <f t="shared" si="9"/>
        <v>NYANDARUA</v>
      </c>
      <c r="N285" s="55" t="str">
        <f>IF(A285="","",IFERROR(INDEX('Cluster Map'!$A$4:$A$38,MATCH(M285,'Cluster Map'!$B$4:$B$38,0)),"Unmapped"))</f>
        <v>Cluster 4</v>
      </c>
      <c r="O285" s="55">
        <f>IF(A285="",0,IF(COUNTIFS($A$2:A285,A285,$F$2:F285,F285,$L$2:L285,L285)=1,1,0))</f>
        <v>1</v>
      </c>
      <c r="P285" s="55">
        <f>IF(A285="",0,IF(AND(F285="C&amp;T",COUNTIFS($A$2:A285,A285,$F$2:F285,"C&amp;T")=1),1,0))</f>
        <v>0</v>
      </c>
    </row>
    <row r="286" spans="1:16" x14ac:dyDescent="0.35">
      <c r="A286" s="54">
        <f>IFERROR(IF(INDEX(SPOT_Import!$A$1:$Z$2488,286,'Live Data'!$C$12)="","",INDEX(SPOT_Import!$A$1:$Z$2488,286,'Live Data'!$C$12)),"")</f>
        <v>10829</v>
      </c>
      <c r="B286" s="54" t="str">
        <f>IFERROR(IF(INDEX(SPOT_Import!$A$1:$Z$2488,286,'Live Data'!$C$13)="","",INDEX(SPOT_Import!$A$1:$Z$2488,286,'Live Data'!$C$13)),"")</f>
        <v>Ndaragwa Health Centre</v>
      </c>
      <c r="C286" s="54" t="str">
        <f>IFERROR(IF(INDEX(SPOT_Import!$A$1:$Z$2488,286,'Live Data'!$C$14)="","",INDEX(SPOT_Import!$A$1:$Z$2488,286,'Live Data'!$C$14)),"")</f>
        <v>NYANDARUA</v>
      </c>
      <c r="D286" s="54" t="str">
        <f>IFERROR(IF(INDEX(SPOT_Import!$A$1:$Z$2488,286,'Live Data'!$C$15)="","",INDEX(SPOT_Import!$A$1:$Z$2488,286,'Live Data'!$C$15)),"")</f>
        <v>Ndaragwa</v>
      </c>
      <c r="E286" s="54" t="str">
        <f>IFERROR(IF(INDEX(SPOT_Import!$A$1:$Z$2488,286,'Live Data'!$C$16)="","",INDEX(SPOT_Import!$A$1:$Z$2488,286,'Live Data'!$C$16)),"")</f>
        <v>USAID Jamii Tekelezi</v>
      </c>
      <c r="F286" s="54" t="str">
        <f>IFERROR(IF(INDEX(SPOT_Import!$A$1:$Z$2488,286,'Live Data'!$C$17)="","",INDEX(SPOT_Import!$A$1:$Z$2488,286,'Live Data'!$C$17)),"")</f>
        <v>MNCH</v>
      </c>
      <c r="G286" s="54">
        <f>IFERROR(IF(INDEX(SPOT_Import!$A$1:$Z$2488,286,'Live Data'!$C$18)="","",INDEX(SPOT_Import!$A$1:$Z$2488,286,'Live Data'!$C$18)),"")</f>
        <v>41</v>
      </c>
      <c r="H286" s="54">
        <f>IFERROR(IF(INDEX(SPOT_Import!$A$1:$Z$2488,286,'Live Data'!$C$19)="","",INDEX(SPOT_Import!$A$1:$Z$2488,286,'Live Data'!$C$19)),"")</f>
        <v>41</v>
      </c>
      <c r="I286" s="54" t="str">
        <f>IFERROR(IF(INDEX(SPOT_Import!$A$1:$Z$2488,286,'Live Data'!$C$20)="","",INDEX(SPOT_Import!$A$1:$Z$2488,286,'Live Data'!$C$20)),"")</f>
        <v>Complete</v>
      </c>
      <c r="J286" s="54" t="str">
        <f>IFERROR(IF(INDEX(SPOT_Import!$A$1:$Z$2488,286,'Live Data'!$C$21)="","",INDEX(SPOT_Import!$A$1:$Z$2488,286,'Live Data'!$C$21)),"")</f>
        <v>2026-10-06T11:41:03.000Z</v>
      </c>
      <c r="K286" s="54" t="str">
        <f>IFERROR(IF(INDEX(SPOT_Import!$A$1:$Z$2488,286,'Live Data'!$C$22)="","",INDEX(SPOT_Import!$A$1:$Z$2488,286,'Live Data'!$C$22)),"")</f>
        <v>2026-10-06T11:41:03.000Z</v>
      </c>
      <c r="L286" s="55" t="str">
        <f t="shared" si="8"/>
        <v>2026-10</v>
      </c>
      <c r="M286" s="55" t="str">
        <f t="shared" si="9"/>
        <v>NYANDARUA</v>
      </c>
      <c r="N286" s="55" t="str">
        <f>IF(A286="","",IFERROR(INDEX('Cluster Map'!$A$4:$A$38,MATCH(M286,'Cluster Map'!$B$4:$B$38,0)),"Unmapped"))</f>
        <v>Cluster 4</v>
      </c>
      <c r="O286" s="55">
        <f>IF(A286="",0,IF(COUNTIFS($A$2:A286,A286,$F$2:F286,F286,$L$2:L286,L286)=1,1,0))</f>
        <v>1</v>
      </c>
      <c r="P286" s="55">
        <f>IF(A286="",0,IF(AND(F286="C&amp;T",COUNTIFS($A$2:A286,A286,$F$2:F286,"C&amp;T")=1),1,0))</f>
        <v>0</v>
      </c>
    </row>
    <row r="287" spans="1:16" x14ac:dyDescent="0.35">
      <c r="A287" s="54">
        <f>IFERROR(IF(INDEX(SPOT_Import!$A$1:$Z$2488,287,'Live Data'!$C$12)="","",INDEX(SPOT_Import!$A$1:$Z$2488,287,'Live Data'!$C$12)),"")</f>
        <v>10829</v>
      </c>
      <c r="B287" s="54" t="str">
        <f>IFERROR(IF(INDEX(SPOT_Import!$A$1:$Z$2488,287,'Live Data'!$C$13)="","",INDEX(SPOT_Import!$A$1:$Z$2488,287,'Live Data'!$C$13)),"")</f>
        <v>Ndaragwa Health Centre</v>
      </c>
      <c r="C287" s="54" t="str">
        <f>IFERROR(IF(INDEX(SPOT_Import!$A$1:$Z$2488,287,'Live Data'!$C$14)="","",INDEX(SPOT_Import!$A$1:$Z$2488,287,'Live Data'!$C$14)),"")</f>
        <v>NYANDARUA</v>
      </c>
      <c r="D287" s="54" t="str">
        <f>IFERROR(IF(INDEX(SPOT_Import!$A$1:$Z$2488,287,'Live Data'!$C$15)="","",INDEX(SPOT_Import!$A$1:$Z$2488,287,'Live Data'!$C$15)),"")</f>
        <v>Ndaragwa</v>
      </c>
      <c r="E287" s="54" t="str">
        <f>IFERROR(IF(INDEX(SPOT_Import!$A$1:$Z$2488,287,'Live Data'!$C$16)="","",INDEX(SPOT_Import!$A$1:$Z$2488,287,'Live Data'!$C$16)),"")</f>
        <v>USAID Jamii Tekelezi</v>
      </c>
      <c r="F287" s="54" t="str">
        <f>IFERROR(IF(INDEX(SPOT_Import!$A$1:$Z$2488,287,'Live Data'!$C$17)="","",INDEX(SPOT_Import!$A$1:$Z$2488,287,'Live Data'!$C$17)),"")</f>
        <v>HTS</v>
      </c>
      <c r="G287" s="54">
        <f>IFERROR(IF(INDEX(SPOT_Import!$A$1:$Z$2488,287,'Live Data'!$C$18)="","",INDEX(SPOT_Import!$A$1:$Z$2488,287,'Live Data'!$C$18)),"")</f>
        <v>7019</v>
      </c>
      <c r="H287" s="54">
        <f>IFERROR(IF(INDEX(SPOT_Import!$A$1:$Z$2488,287,'Live Data'!$C$19)="","",INDEX(SPOT_Import!$A$1:$Z$2488,287,'Live Data'!$C$19)),"")</f>
        <v>7019</v>
      </c>
      <c r="I287" s="54" t="str">
        <f>IFERROR(IF(INDEX(SPOT_Import!$A$1:$Z$2488,287,'Live Data'!$C$20)="","",INDEX(SPOT_Import!$A$1:$Z$2488,287,'Live Data'!$C$20)),"")</f>
        <v>Complete</v>
      </c>
      <c r="J287" s="54" t="str">
        <f>IFERROR(IF(INDEX(SPOT_Import!$A$1:$Z$2488,287,'Live Data'!$C$21)="","",INDEX(SPOT_Import!$A$1:$Z$2488,287,'Live Data'!$C$21)),"")</f>
        <v>2026-10-06T11:39:40.000Z</v>
      </c>
      <c r="K287" s="54" t="str">
        <f>IFERROR(IF(INDEX(SPOT_Import!$A$1:$Z$2488,287,'Live Data'!$C$22)="","",INDEX(SPOT_Import!$A$1:$Z$2488,287,'Live Data'!$C$22)),"")</f>
        <v>2026-10-06T11:39:40.000Z</v>
      </c>
      <c r="L287" s="55" t="str">
        <f t="shared" si="8"/>
        <v>2026-10</v>
      </c>
      <c r="M287" s="55" t="str">
        <f t="shared" si="9"/>
        <v>NYANDARUA</v>
      </c>
      <c r="N287" s="55" t="str">
        <f>IF(A287="","",IFERROR(INDEX('Cluster Map'!$A$4:$A$38,MATCH(M287,'Cluster Map'!$B$4:$B$38,0)),"Unmapped"))</f>
        <v>Cluster 4</v>
      </c>
      <c r="O287" s="55">
        <f>IF(A287="",0,IF(COUNTIFS($A$2:A287,A287,$F$2:F287,F287,$L$2:L287,L287)=1,1,0))</f>
        <v>1</v>
      </c>
      <c r="P287" s="55">
        <f>IF(A287="",0,IF(AND(F287="C&amp;T",COUNTIFS($A$2:A287,A287,$F$2:F287,"C&amp;T")=1),1,0))</f>
        <v>0</v>
      </c>
    </row>
    <row r="288" spans="1:16" x14ac:dyDescent="0.35">
      <c r="A288" s="54">
        <f>IFERROR(IF(INDEX(SPOT_Import!$A$1:$Z$2488,288,'Live Data'!$C$12)="","",INDEX(SPOT_Import!$A$1:$Z$2488,288,'Live Data'!$C$12)),"")</f>
        <v>16467</v>
      </c>
      <c r="B288" s="54" t="str">
        <f>IFERROR(IF(INDEX(SPOT_Import!$A$1:$Z$2488,288,'Live Data'!$C$13)="","",INDEX(SPOT_Import!$A$1:$Z$2488,288,'Live Data'!$C$13)),"")</f>
        <v>Mbeere District Hospital</v>
      </c>
      <c r="C288" s="54" t="str">
        <f>IFERROR(IF(INDEX(SPOT_Import!$A$1:$Z$2488,288,'Live Data'!$C$14)="","",INDEX(SPOT_Import!$A$1:$Z$2488,288,'Live Data'!$C$14)),"")</f>
        <v>EMBU</v>
      </c>
      <c r="D288" s="54" t="str">
        <f>IFERROR(IF(INDEX(SPOT_Import!$A$1:$Z$2488,288,'Live Data'!$C$15)="","",INDEX(SPOT_Import!$A$1:$Z$2488,288,'Live Data'!$C$15)),"")</f>
        <v>Mbeere North</v>
      </c>
      <c r="E288" s="54" t="str">
        <f>IFERROR(IF(INDEX(SPOT_Import!$A$1:$Z$2488,288,'Live Data'!$C$16)="","",INDEX(SPOT_Import!$A$1:$Z$2488,288,'Live Data'!$C$16)),"")</f>
        <v>USAID Jamii Tekelezi</v>
      </c>
      <c r="F288" s="54" t="str">
        <f>IFERROR(IF(INDEX(SPOT_Import!$A$1:$Z$2488,288,'Live Data'!$C$17)="","",INDEX(SPOT_Import!$A$1:$Z$2488,288,'Live Data'!$C$17)),"")</f>
        <v>PREP</v>
      </c>
      <c r="G288" s="54">
        <f>IFERROR(IF(INDEX(SPOT_Import!$A$1:$Z$2488,288,'Live Data'!$C$18)="","",INDEX(SPOT_Import!$A$1:$Z$2488,288,'Live Data'!$C$18)),"")</f>
        <v>534</v>
      </c>
      <c r="H288" s="54">
        <f>IFERROR(IF(INDEX(SPOT_Import!$A$1:$Z$2488,288,'Live Data'!$C$19)="","",INDEX(SPOT_Import!$A$1:$Z$2488,288,'Live Data'!$C$19)),"")</f>
        <v>400</v>
      </c>
      <c r="I288" s="54" t="str">
        <f>IFERROR(IF(INDEX(SPOT_Import!$A$1:$Z$2488,288,'Live Data'!$C$20)="","",INDEX(SPOT_Import!$A$1:$Z$2488,288,'Live Data'!$C$20)),"")</f>
        <v>Incomplete</v>
      </c>
      <c r="J288" s="54" t="str">
        <f>IFERROR(IF(INDEX(SPOT_Import!$A$1:$Z$2488,288,'Live Data'!$C$21)="","",INDEX(SPOT_Import!$A$1:$Z$2488,288,'Live Data'!$C$21)),"")</f>
        <v>2026-10-06T11:33:45.000Z</v>
      </c>
      <c r="K288" s="54" t="str">
        <f>IFERROR(IF(INDEX(SPOT_Import!$A$1:$Z$2488,288,'Live Data'!$C$22)="","",INDEX(SPOT_Import!$A$1:$Z$2488,288,'Live Data'!$C$22)),"")</f>
        <v>2026-10-06T11:33:45.000Z</v>
      </c>
      <c r="L288" s="55" t="str">
        <f t="shared" si="8"/>
        <v>2026-10</v>
      </c>
      <c r="M288" s="55" t="str">
        <f t="shared" si="9"/>
        <v>EMBU</v>
      </c>
      <c r="N288" s="55" t="str">
        <f>IF(A288="","",IFERROR(INDEX('Cluster Map'!$A$4:$A$38,MATCH(M288,'Cluster Map'!$B$4:$B$38,0)),"Unmapped"))</f>
        <v>Cluster 2</v>
      </c>
      <c r="O288" s="55">
        <f>IF(A288="",0,IF(COUNTIFS($A$2:A288,A288,$F$2:F288,F288,$L$2:L288,L288)=1,1,0))</f>
        <v>1</v>
      </c>
      <c r="P288" s="55">
        <f>IF(A288="",0,IF(AND(F288="C&amp;T",COUNTIFS($A$2:A288,A288,$F$2:F288,"C&amp;T")=1),1,0))</f>
        <v>0</v>
      </c>
    </row>
    <row r="289" spans="1:16" x14ac:dyDescent="0.35">
      <c r="A289" s="54">
        <f>IFERROR(IF(INDEX(SPOT_Import!$A$1:$Z$2488,289,'Live Data'!$C$12)="","",INDEX(SPOT_Import!$A$1:$Z$2488,289,'Live Data'!$C$12)),"")</f>
        <v>12015</v>
      </c>
      <c r="B289" s="54" t="str">
        <f>IFERROR(IF(INDEX(SPOT_Import!$A$1:$Z$2488,289,'Live Data'!$C$13)="","",INDEX(SPOT_Import!$A$1:$Z$2488,289,'Live Data'!$C$13)),"")</f>
        <v>Family Care Medical Centre (Meru)</v>
      </c>
      <c r="C289" s="54" t="str">
        <f>IFERROR(IF(INDEX(SPOT_Import!$A$1:$Z$2488,289,'Live Data'!$C$14)="","",INDEX(SPOT_Import!$A$1:$Z$2488,289,'Live Data'!$C$14)),"")</f>
        <v>MERU</v>
      </c>
      <c r="D289" s="54" t="str">
        <f>IFERROR(IF(INDEX(SPOT_Import!$A$1:$Z$2488,289,'Live Data'!$C$15)="","",INDEX(SPOT_Import!$A$1:$Z$2488,289,'Live Data'!$C$15)),"")</f>
        <v>Imenti North</v>
      </c>
      <c r="E289" s="54" t="str">
        <f>IFERROR(IF(INDEX(SPOT_Import!$A$1:$Z$2488,289,'Live Data'!$C$16)="","",INDEX(SPOT_Import!$A$1:$Z$2488,289,'Live Data'!$C$16)),"")</f>
        <v>USAID Jamii Tekelezi</v>
      </c>
      <c r="F289" s="54" t="str">
        <f>IFERROR(IF(INDEX(SPOT_Import!$A$1:$Z$2488,289,'Live Data'!$C$17)="","",INDEX(SPOT_Import!$A$1:$Z$2488,289,'Live Data'!$C$17)),"")</f>
        <v>MNCH</v>
      </c>
      <c r="G289" s="54">
        <f>IFERROR(IF(INDEX(SPOT_Import!$A$1:$Z$2488,289,'Live Data'!$C$18)="","",INDEX(SPOT_Import!$A$1:$Z$2488,289,'Live Data'!$C$18)),"")</f>
        <v>10</v>
      </c>
      <c r="H289" s="54">
        <f>IFERROR(IF(INDEX(SPOT_Import!$A$1:$Z$2488,289,'Live Data'!$C$19)="","",INDEX(SPOT_Import!$A$1:$Z$2488,289,'Live Data'!$C$19)),"")</f>
        <v>10</v>
      </c>
      <c r="I289" s="54" t="str">
        <f>IFERROR(IF(INDEX(SPOT_Import!$A$1:$Z$2488,289,'Live Data'!$C$20)="","",INDEX(SPOT_Import!$A$1:$Z$2488,289,'Live Data'!$C$20)),"")</f>
        <v>Complete</v>
      </c>
      <c r="J289" s="54" t="str">
        <f>IFERROR(IF(INDEX(SPOT_Import!$A$1:$Z$2488,289,'Live Data'!$C$21)="","",INDEX(SPOT_Import!$A$1:$Z$2488,289,'Live Data'!$C$21)),"")</f>
        <v>2026-10-06T11:33:35.000Z</v>
      </c>
      <c r="K289" s="54" t="str">
        <f>IFERROR(IF(INDEX(SPOT_Import!$A$1:$Z$2488,289,'Live Data'!$C$22)="","",INDEX(SPOT_Import!$A$1:$Z$2488,289,'Live Data'!$C$22)),"")</f>
        <v>2026-10-06T11:33:35.000Z</v>
      </c>
      <c r="L289" s="55" t="str">
        <f t="shared" si="8"/>
        <v>2026-10</v>
      </c>
      <c r="M289" s="55" t="str">
        <f t="shared" si="9"/>
        <v>MERU</v>
      </c>
      <c r="N289" s="55" t="str">
        <f>IF(A289="","",IFERROR(INDEX('Cluster Map'!$A$4:$A$38,MATCH(M289,'Cluster Map'!$B$4:$B$38,0)),"Unmapped"))</f>
        <v>Cluster 1</v>
      </c>
      <c r="O289" s="55">
        <f>IF(A289="",0,IF(COUNTIFS($A$2:A289,A289,$F$2:F289,F289,$L$2:L289,L289)=1,1,0))</f>
        <v>1</v>
      </c>
      <c r="P289" s="55">
        <f>IF(A289="",0,IF(AND(F289="C&amp;T",COUNTIFS($A$2:A289,A289,$F$2:F289,"C&amp;T")=1),1,0))</f>
        <v>0</v>
      </c>
    </row>
    <row r="290" spans="1:16" x14ac:dyDescent="0.35">
      <c r="A290" s="54">
        <f>IFERROR(IF(INDEX(SPOT_Import!$A$1:$Z$2488,290,'Live Data'!$C$12)="","",INDEX(SPOT_Import!$A$1:$Z$2488,290,'Live Data'!$C$12)),"")</f>
        <v>16467</v>
      </c>
      <c r="B290" s="54" t="str">
        <f>IFERROR(IF(INDEX(SPOT_Import!$A$1:$Z$2488,290,'Live Data'!$C$13)="","",INDEX(SPOT_Import!$A$1:$Z$2488,290,'Live Data'!$C$13)),"")</f>
        <v>Mbeere District Hospital</v>
      </c>
      <c r="C290" s="54" t="str">
        <f>IFERROR(IF(INDEX(SPOT_Import!$A$1:$Z$2488,290,'Live Data'!$C$14)="","",INDEX(SPOT_Import!$A$1:$Z$2488,290,'Live Data'!$C$14)),"")</f>
        <v>EMBU</v>
      </c>
      <c r="D290" s="54" t="str">
        <f>IFERROR(IF(INDEX(SPOT_Import!$A$1:$Z$2488,290,'Live Data'!$C$15)="","",INDEX(SPOT_Import!$A$1:$Z$2488,290,'Live Data'!$C$15)),"")</f>
        <v>Mbeere North</v>
      </c>
      <c r="E290" s="54" t="str">
        <f>IFERROR(IF(INDEX(SPOT_Import!$A$1:$Z$2488,290,'Live Data'!$C$16)="","",INDEX(SPOT_Import!$A$1:$Z$2488,290,'Live Data'!$C$16)),"")</f>
        <v>USAID Jamii Tekelezi</v>
      </c>
      <c r="F290" s="54" t="str">
        <f>IFERROR(IF(INDEX(SPOT_Import!$A$1:$Z$2488,290,'Live Data'!$C$17)="","",INDEX(SPOT_Import!$A$1:$Z$2488,290,'Live Data'!$C$17)),"")</f>
        <v>MNCH</v>
      </c>
      <c r="G290" s="54">
        <f>IFERROR(IF(INDEX(SPOT_Import!$A$1:$Z$2488,290,'Live Data'!$C$18)="","",INDEX(SPOT_Import!$A$1:$Z$2488,290,'Live Data'!$C$18)),"")</f>
        <v>119</v>
      </c>
      <c r="H290" s="54">
        <f>IFERROR(IF(INDEX(SPOT_Import!$A$1:$Z$2488,290,'Live Data'!$C$19)="","",INDEX(SPOT_Import!$A$1:$Z$2488,290,'Live Data'!$C$19)),"")</f>
        <v>119</v>
      </c>
      <c r="I290" s="54" t="str">
        <f>IFERROR(IF(INDEX(SPOT_Import!$A$1:$Z$2488,290,'Live Data'!$C$20)="","",INDEX(SPOT_Import!$A$1:$Z$2488,290,'Live Data'!$C$20)),"")</f>
        <v>Complete</v>
      </c>
      <c r="J290" s="54" t="str">
        <f>IFERROR(IF(INDEX(SPOT_Import!$A$1:$Z$2488,290,'Live Data'!$C$21)="","",INDEX(SPOT_Import!$A$1:$Z$2488,290,'Live Data'!$C$21)),"")</f>
        <v>2026-10-06T11:33:26.000Z</v>
      </c>
      <c r="K290" s="54" t="str">
        <f>IFERROR(IF(INDEX(SPOT_Import!$A$1:$Z$2488,290,'Live Data'!$C$22)="","",INDEX(SPOT_Import!$A$1:$Z$2488,290,'Live Data'!$C$22)),"")</f>
        <v>2026-10-06T11:33:26.000Z</v>
      </c>
      <c r="L290" s="55" t="str">
        <f t="shared" si="8"/>
        <v>2026-10</v>
      </c>
      <c r="M290" s="55" t="str">
        <f t="shared" si="9"/>
        <v>EMBU</v>
      </c>
      <c r="N290" s="55" t="str">
        <f>IF(A290="","",IFERROR(INDEX('Cluster Map'!$A$4:$A$38,MATCH(M290,'Cluster Map'!$B$4:$B$38,0)),"Unmapped"))</f>
        <v>Cluster 2</v>
      </c>
      <c r="O290" s="55">
        <f>IF(A290="",0,IF(COUNTIFS($A$2:A290,A290,$F$2:F290,F290,$L$2:L290,L290)=1,1,0))</f>
        <v>1</v>
      </c>
      <c r="P290" s="55">
        <f>IF(A290="",0,IF(AND(F290="C&amp;T",COUNTIFS($A$2:A290,A290,$F$2:F290,"C&amp;T")=1),1,0))</f>
        <v>0</v>
      </c>
    </row>
    <row r="291" spans="1:16" x14ac:dyDescent="0.35">
      <c r="A291" s="54">
        <f>IFERROR(IF(INDEX(SPOT_Import!$A$1:$Z$2488,291,'Live Data'!$C$12)="","",INDEX(SPOT_Import!$A$1:$Z$2488,291,'Live Data'!$C$12)),"")</f>
        <v>12130</v>
      </c>
      <c r="B291" s="54" t="str">
        <f>IFERROR(IF(INDEX(SPOT_Import!$A$1:$Z$2488,291,'Live Data'!$C$13)="","",INDEX(SPOT_Import!$A$1:$Z$2488,291,'Live Data'!$C$13)),"")</f>
        <v>Kairuri Health Centre</v>
      </c>
      <c r="C291" s="54" t="str">
        <f>IFERROR(IF(INDEX(SPOT_Import!$A$1:$Z$2488,291,'Live Data'!$C$14)="","",INDEX(SPOT_Import!$A$1:$Z$2488,291,'Live Data'!$C$14)),"")</f>
        <v>EMBU</v>
      </c>
      <c r="D291" s="54" t="str">
        <f>IFERROR(IF(INDEX(SPOT_Import!$A$1:$Z$2488,291,'Live Data'!$C$15)="","",INDEX(SPOT_Import!$A$1:$Z$2488,291,'Live Data'!$C$15)),"")</f>
        <v>Manyatta</v>
      </c>
      <c r="E291" s="54" t="str">
        <f>IFERROR(IF(INDEX(SPOT_Import!$A$1:$Z$2488,291,'Live Data'!$C$16)="","",INDEX(SPOT_Import!$A$1:$Z$2488,291,'Live Data'!$C$16)),"")</f>
        <v>USAID Jamii Tekelezi</v>
      </c>
      <c r="F291" s="54" t="str">
        <f>IFERROR(IF(INDEX(SPOT_Import!$A$1:$Z$2488,291,'Live Data'!$C$17)="","",INDEX(SPOT_Import!$A$1:$Z$2488,291,'Live Data'!$C$17)),"")</f>
        <v>PREP</v>
      </c>
      <c r="G291" s="54">
        <f>IFERROR(IF(INDEX(SPOT_Import!$A$1:$Z$2488,291,'Live Data'!$C$18)="","",INDEX(SPOT_Import!$A$1:$Z$2488,291,'Live Data'!$C$18)),"")</f>
        <v>2</v>
      </c>
      <c r="H291" s="54">
        <f>IFERROR(IF(INDEX(SPOT_Import!$A$1:$Z$2488,291,'Live Data'!$C$19)="","",INDEX(SPOT_Import!$A$1:$Z$2488,291,'Live Data'!$C$19)),"")</f>
        <v>2</v>
      </c>
      <c r="I291" s="54" t="str">
        <f>IFERROR(IF(INDEX(SPOT_Import!$A$1:$Z$2488,291,'Live Data'!$C$20)="","",INDEX(SPOT_Import!$A$1:$Z$2488,291,'Live Data'!$C$20)),"")</f>
        <v>Complete</v>
      </c>
      <c r="J291" s="54" t="str">
        <f>IFERROR(IF(INDEX(SPOT_Import!$A$1:$Z$2488,291,'Live Data'!$C$21)="","",INDEX(SPOT_Import!$A$1:$Z$2488,291,'Live Data'!$C$21)),"")</f>
        <v>2026-10-06T11:33:08.000Z</v>
      </c>
      <c r="K291" s="54" t="str">
        <f>IFERROR(IF(INDEX(SPOT_Import!$A$1:$Z$2488,291,'Live Data'!$C$22)="","",INDEX(SPOT_Import!$A$1:$Z$2488,291,'Live Data'!$C$22)),"")</f>
        <v>2026-10-06T11:33:08.000Z</v>
      </c>
      <c r="L291" s="55" t="str">
        <f t="shared" si="8"/>
        <v>2026-10</v>
      </c>
      <c r="M291" s="55" t="str">
        <f t="shared" si="9"/>
        <v>EMBU</v>
      </c>
      <c r="N291" s="55" t="str">
        <f>IF(A291="","",IFERROR(INDEX('Cluster Map'!$A$4:$A$38,MATCH(M291,'Cluster Map'!$B$4:$B$38,0)),"Unmapped"))</f>
        <v>Cluster 2</v>
      </c>
      <c r="O291" s="55">
        <f>IF(A291="",0,IF(COUNTIFS($A$2:A291,A291,$F$2:F291,F291,$L$2:L291,L291)=1,1,0))</f>
        <v>1</v>
      </c>
      <c r="P291" s="55">
        <f>IF(A291="",0,IF(AND(F291="C&amp;T",COUNTIFS($A$2:A291,A291,$F$2:F291,"C&amp;T")=1),1,0))</f>
        <v>0</v>
      </c>
    </row>
    <row r="292" spans="1:16" x14ac:dyDescent="0.35">
      <c r="A292" s="54">
        <f>IFERROR(IF(INDEX(SPOT_Import!$A$1:$Z$2488,292,'Live Data'!$C$12)="","",INDEX(SPOT_Import!$A$1:$Z$2488,292,'Live Data'!$C$12)),"")</f>
        <v>12130</v>
      </c>
      <c r="B292" s="54" t="str">
        <f>IFERROR(IF(INDEX(SPOT_Import!$A$1:$Z$2488,292,'Live Data'!$C$13)="","",INDEX(SPOT_Import!$A$1:$Z$2488,292,'Live Data'!$C$13)),"")</f>
        <v>Kairuri Health Centre</v>
      </c>
      <c r="C292" s="54" t="str">
        <f>IFERROR(IF(INDEX(SPOT_Import!$A$1:$Z$2488,292,'Live Data'!$C$14)="","",INDEX(SPOT_Import!$A$1:$Z$2488,292,'Live Data'!$C$14)),"")</f>
        <v>EMBU</v>
      </c>
      <c r="D292" s="54" t="str">
        <f>IFERROR(IF(INDEX(SPOT_Import!$A$1:$Z$2488,292,'Live Data'!$C$15)="","",INDEX(SPOT_Import!$A$1:$Z$2488,292,'Live Data'!$C$15)),"")</f>
        <v>Manyatta</v>
      </c>
      <c r="E292" s="54" t="str">
        <f>IFERROR(IF(INDEX(SPOT_Import!$A$1:$Z$2488,292,'Live Data'!$C$16)="","",INDEX(SPOT_Import!$A$1:$Z$2488,292,'Live Data'!$C$16)),"")</f>
        <v>USAID Jamii Tekelezi</v>
      </c>
      <c r="F292" s="54" t="str">
        <f>IFERROR(IF(INDEX(SPOT_Import!$A$1:$Z$2488,292,'Live Data'!$C$17)="","",INDEX(SPOT_Import!$A$1:$Z$2488,292,'Live Data'!$C$17)),"")</f>
        <v>MNCH</v>
      </c>
      <c r="G292" s="54">
        <f>IFERROR(IF(INDEX(SPOT_Import!$A$1:$Z$2488,292,'Live Data'!$C$18)="","",INDEX(SPOT_Import!$A$1:$Z$2488,292,'Live Data'!$C$18)),"")</f>
        <v>7</v>
      </c>
      <c r="H292" s="54">
        <f>IFERROR(IF(INDEX(SPOT_Import!$A$1:$Z$2488,292,'Live Data'!$C$19)="","",INDEX(SPOT_Import!$A$1:$Z$2488,292,'Live Data'!$C$19)),"")</f>
        <v>7</v>
      </c>
      <c r="I292" s="54" t="str">
        <f>IFERROR(IF(INDEX(SPOT_Import!$A$1:$Z$2488,292,'Live Data'!$C$20)="","",INDEX(SPOT_Import!$A$1:$Z$2488,292,'Live Data'!$C$20)),"")</f>
        <v>Complete</v>
      </c>
      <c r="J292" s="54" t="str">
        <f>IFERROR(IF(INDEX(SPOT_Import!$A$1:$Z$2488,292,'Live Data'!$C$21)="","",INDEX(SPOT_Import!$A$1:$Z$2488,292,'Live Data'!$C$21)),"")</f>
        <v>2026-10-06T11:33:03.000Z</v>
      </c>
      <c r="K292" s="54" t="str">
        <f>IFERROR(IF(INDEX(SPOT_Import!$A$1:$Z$2488,292,'Live Data'!$C$22)="","",INDEX(SPOT_Import!$A$1:$Z$2488,292,'Live Data'!$C$22)),"")</f>
        <v>2026-10-06T11:33:03.000Z</v>
      </c>
      <c r="L292" s="55" t="str">
        <f t="shared" si="8"/>
        <v>2026-10</v>
      </c>
      <c r="M292" s="55" t="str">
        <f t="shared" si="9"/>
        <v>EMBU</v>
      </c>
      <c r="N292" s="55" t="str">
        <f>IF(A292="","",IFERROR(INDEX('Cluster Map'!$A$4:$A$38,MATCH(M292,'Cluster Map'!$B$4:$B$38,0)),"Unmapped"))</f>
        <v>Cluster 2</v>
      </c>
      <c r="O292" s="55">
        <f>IF(A292="",0,IF(COUNTIFS($A$2:A292,A292,$F$2:F292,F292,$L$2:L292,L292)=1,1,0))</f>
        <v>1</v>
      </c>
      <c r="P292" s="55">
        <f>IF(A292="",0,IF(AND(F292="C&amp;T",COUNTIFS($A$2:A292,A292,$F$2:F292,"C&amp;T")=1),1,0))</f>
        <v>0</v>
      </c>
    </row>
    <row r="293" spans="1:16" x14ac:dyDescent="0.35">
      <c r="A293" s="54">
        <f>IFERROR(IF(INDEX(SPOT_Import!$A$1:$Z$2488,293,'Live Data'!$C$12)="","",INDEX(SPOT_Import!$A$1:$Z$2488,293,'Live Data'!$C$12)),"")</f>
        <v>16467</v>
      </c>
      <c r="B293" s="54" t="str">
        <f>IFERROR(IF(INDEX(SPOT_Import!$A$1:$Z$2488,293,'Live Data'!$C$13)="","",INDEX(SPOT_Import!$A$1:$Z$2488,293,'Live Data'!$C$13)),"")</f>
        <v>Mbeere District Hospital</v>
      </c>
      <c r="C293" s="54" t="str">
        <f>IFERROR(IF(INDEX(SPOT_Import!$A$1:$Z$2488,293,'Live Data'!$C$14)="","",INDEX(SPOT_Import!$A$1:$Z$2488,293,'Live Data'!$C$14)),"")</f>
        <v>EMBU</v>
      </c>
      <c r="D293" s="54" t="str">
        <f>IFERROR(IF(INDEX(SPOT_Import!$A$1:$Z$2488,293,'Live Data'!$C$15)="","",INDEX(SPOT_Import!$A$1:$Z$2488,293,'Live Data'!$C$15)),"")</f>
        <v>Mbeere North</v>
      </c>
      <c r="E293" s="54" t="str">
        <f>IFERROR(IF(INDEX(SPOT_Import!$A$1:$Z$2488,293,'Live Data'!$C$16)="","",INDEX(SPOT_Import!$A$1:$Z$2488,293,'Live Data'!$C$16)),"")</f>
        <v>USAID Jamii Tekelezi</v>
      </c>
      <c r="F293" s="54" t="str">
        <f>IFERROR(IF(INDEX(SPOT_Import!$A$1:$Z$2488,293,'Live Data'!$C$17)="","",INDEX(SPOT_Import!$A$1:$Z$2488,293,'Live Data'!$C$17)),"")</f>
        <v>HTS</v>
      </c>
      <c r="G293" s="54">
        <f>IFERROR(IF(INDEX(SPOT_Import!$A$1:$Z$2488,293,'Live Data'!$C$18)="","",INDEX(SPOT_Import!$A$1:$Z$2488,293,'Live Data'!$C$18)),"")</f>
        <v>6378</v>
      </c>
      <c r="H293" s="54">
        <f>IFERROR(IF(INDEX(SPOT_Import!$A$1:$Z$2488,293,'Live Data'!$C$19)="","",INDEX(SPOT_Import!$A$1:$Z$2488,293,'Live Data'!$C$19)),"")</f>
        <v>6378</v>
      </c>
      <c r="I293" s="54" t="str">
        <f>IFERROR(IF(INDEX(SPOT_Import!$A$1:$Z$2488,293,'Live Data'!$C$20)="","",INDEX(SPOT_Import!$A$1:$Z$2488,293,'Live Data'!$C$20)),"")</f>
        <v>Complete</v>
      </c>
      <c r="J293" s="54" t="str">
        <f>IFERROR(IF(INDEX(SPOT_Import!$A$1:$Z$2488,293,'Live Data'!$C$21)="","",INDEX(SPOT_Import!$A$1:$Z$2488,293,'Live Data'!$C$21)),"")</f>
        <v>2026-10-06T11:32:54.000Z</v>
      </c>
      <c r="K293" s="54" t="str">
        <f>IFERROR(IF(INDEX(SPOT_Import!$A$1:$Z$2488,293,'Live Data'!$C$22)="","",INDEX(SPOT_Import!$A$1:$Z$2488,293,'Live Data'!$C$22)),"")</f>
        <v>2026-10-06T11:32:54.000Z</v>
      </c>
      <c r="L293" s="55" t="str">
        <f t="shared" si="8"/>
        <v>2026-10</v>
      </c>
      <c r="M293" s="55" t="str">
        <f t="shared" si="9"/>
        <v>EMBU</v>
      </c>
      <c r="N293" s="55" t="str">
        <f>IF(A293="","",IFERROR(INDEX('Cluster Map'!$A$4:$A$38,MATCH(M293,'Cluster Map'!$B$4:$B$38,0)),"Unmapped"))</f>
        <v>Cluster 2</v>
      </c>
      <c r="O293" s="55">
        <f>IF(A293="",0,IF(COUNTIFS($A$2:A293,A293,$F$2:F293,F293,$L$2:L293,L293)=1,1,0))</f>
        <v>1</v>
      </c>
      <c r="P293" s="55">
        <f>IF(A293="",0,IF(AND(F293="C&amp;T",COUNTIFS($A$2:A293,A293,$F$2:F293,"C&amp;T")=1),1,0))</f>
        <v>0</v>
      </c>
    </row>
    <row r="294" spans="1:16" x14ac:dyDescent="0.35">
      <c r="A294" s="54">
        <f>IFERROR(IF(INDEX(SPOT_Import!$A$1:$Z$2488,294,'Live Data'!$C$12)="","",INDEX(SPOT_Import!$A$1:$Z$2488,294,'Live Data'!$C$12)),"")</f>
        <v>12130</v>
      </c>
      <c r="B294" s="54" t="str">
        <f>IFERROR(IF(INDEX(SPOT_Import!$A$1:$Z$2488,294,'Live Data'!$C$13)="","",INDEX(SPOT_Import!$A$1:$Z$2488,294,'Live Data'!$C$13)),"")</f>
        <v>Kairuri Health Centre</v>
      </c>
      <c r="C294" s="54" t="str">
        <f>IFERROR(IF(INDEX(SPOT_Import!$A$1:$Z$2488,294,'Live Data'!$C$14)="","",INDEX(SPOT_Import!$A$1:$Z$2488,294,'Live Data'!$C$14)),"")</f>
        <v>EMBU</v>
      </c>
      <c r="D294" s="54" t="str">
        <f>IFERROR(IF(INDEX(SPOT_Import!$A$1:$Z$2488,294,'Live Data'!$C$15)="","",INDEX(SPOT_Import!$A$1:$Z$2488,294,'Live Data'!$C$15)),"")</f>
        <v>Manyatta</v>
      </c>
      <c r="E294" s="54" t="str">
        <f>IFERROR(IF(INDEX(SPOT_Import!$A$1:$Z$2488,294,'Live Data'!$C$16)="","",INDEX(SPOT_Import!$A$1:$Z$2488,294,'Live Data'!$C$16)),"")</f>
        <v>USAID Jamii Tekelezi</v>
      </c>
      <c r="F294" s="54" t="str">
        <f>IFERROR(IF(INDEX(SPOT_Import!$A$1:$Z$2488,294,'Live Data'!$C$17)="","",INDEX(SPOT_Import!$A$1:$Z$2488,294,'Live Data'!$C$17)),"")</f>
        <v>HTS</v>
      </c>
      <c r="G294" s="54">
        <f>IFERROR(IF(INDEX(SPOT_Import!$A$1:$Z$2488,294,'Live Data'!$C$18)="","",INDEX(SPOT_Import!$A$1:$Z$2488,294,'Live Data'!$C$18)),"")</f>
        <v>6</v>
      </c>
      <c r="H294" s="54">
        <f>IFERROR(IF(INDEX(SPOT_Import!$A$1:$Z$2488,294,'Live Data'!$C$19)="","",INDEX(SPOT_Import!$A$1:$Z$2488,294,'Live Data'!$C$19)),"")</f>
        <v>6</v>
      </c>
      <c r="I294" s="54" t="str">
        <f>IFERROR(IF(INDEX(SPOT_Import!$A$1:$Z$2488,294,'Live Data'!$C$20)="","",INDEX(SPOT_Import!$A$1:$Z$2488,294,'Live Data'!$C$20)),"")</f>
        <v>Complete</v>
      </c>
      <c r="J294" s="54" t="str">
        <f>IFERROR(IF(INDEX(SPOT_Import!$A$1:$Z$2488,294,'Live Data'!$C$21)="","",INDEX(SPOT_Import!$A$1:$Z$2488,294,'Live Data'!$C$21)),"")</f>
        <v>2026-10-06T11:32:47.000Z</v>
      </c>
      <c r="K294" s="54" t="str">
        <f>IFERROR(IF(INDEX(SPOT_Import!$A$1:$Z$2488,294,'Live Data'!$C$22)="","",INDEX(SPOT_Import!$A$1:$Z$2488,294,'Live Data'!$C$22)),"")</f>
        <v>2026-10-06T11:32:47.000Z</v>
      </c>
      <c r="L294" s="55" t="str">
        <f t="shared" si="8"/>
        <v>2026-10</v>
      </c>
      <c r="M294" s="55" t="str">
        <f t="shared" si="9"/>
        <v>EMBU</v>
      </c>
      <c r="N294" s="55" t="str">
        <f>IF(A294="","",IFERROR(INDEX('Cluster Map'!$A$4:$A$38,MATCH(M294,'Cluster Map'!$B$4:$B$38,0)),"Unmapped"))</f>
        <v>Cluster 2</v>
      </c>
      <c r="O294" s="55">
        <f>IF(A294="",0,IF(COUNTIFS($A$2:A294,A294,$F$2:F294,F294,$L$2:L294,L294)=1,1,0))</f>
        <v>1</v>
      </c>
      <c r="P294" s="55">
        <f>IF(A294="",0,IF(AND(F294="C&amp;T",COUNTIFS($A$2:A294,A294,$F$2:F294,"C&amp;T")=1),1,0))</f>
        <v>0</v>
      </c>
    </row>
    <row r="295" spans="1:16" x14ac:dyDescent="0.35">
      <c r="A295" s="54">
        <f>IFERROR(IF(INDEX(SPOT_Import!$A$1:$Z$2488,295,'Live Data'!$C$12)="","",INDEX(SPOT_Import!$A$1:$Z$2488,295,'Live Data'!$C$12)),"")</f>
        <v>12198</v>
      </c>
      <c r="B295" s="54" t="str">
        <f>IFERROR(IF(INDEX(SPOT_Import!$A$1:$Z$2488,295,'Live Data'!$C$13)="","",INDEX(SPOT_Import!$A$1:$Z$2488,295,'Live Data'!$C$13)),"")</f>
        <v>Karau Health Centre</v>
      </c>
      <c r="C295" s="54" t="str">
        <f>IFERROR(IF(INDEX(SPOT_Import!$A$1:$Z$2488,295,'Live Data'!$C$14)="","",INDEX(SPOT_Import!$A$1:$Z$2488,295,'Live Data'!$C$14)),"")</f>
        <v>EMBU</v>
      </c>
      <c r="D295" s="54" t="str">
        <f>IFERROR(IF(INDEX(SPOT_Import!$A$1:$Z$2488,295,'Live Data'!$C$15)="","",INDEX(SPOT_Import!$A$1:$Z$2488,295,'Live Data'!$C$15)),"")</f>
        <v>Manyatta</v>
      </c>
      <c r="E295" s="54" t="str">
        <f>IFERROR(IF(INDEX(SPOT_Import!$A$1:$Z$2488,295,'Live Data'!$C$16)="","",INDEX(SPOT_Import!$A$1:$Z$2488,295,'Live Data'!$C$16)),"")</f>
        <v>USAID Jamii Tekelezi</v>
      </c>
      <c r="F295" s="54" t="str">
        <f>IFERROR(IF(INDEX(SPOT_Import!$A$1:$Z$2488,295,'Live Data'!$C$17)="","",INDEX(SPOT_Import!$A$1:$Z$2488,295,'Live Data'!$C$17)),"")</f>
        <v>C&amp;T</v>
      </c>
      <c r="G295" s="54">
        <f>IFERROR(IF(INDEX(SPOT_Import!$A$1:$Z$2488,295,'Live Data'!$C$18)="","",INDEX(SPOT_Import!$A$1:$Z$2488,295,'Live Data'!$C$18)),"")</f>
        <v>318</v>
      </c>
      <c r="H295" s="54">
        <f>IFERROR(IF(INDEX(SPOT_Import!$A$1:$Z$2488,295,'Live Data'!$C$19)="","",INDEX(SPOT_Import!$A$1:$Z$2488,295,'Live Data'!$C$19)),"")</f>
        <v>318</v>
      </c>
      <c r="I295" s="54" t="str">
        <f>IFERROR(IF(INDEX(SPOT_Import!$A$1:$Z$2488,295,'Live Data'!$C$20)="","",INDEX(SPOT_Import!$A$1:$Z$2488,295,'Live Data'!$C$20)),"")</f>
        <v>Complete</v>
      </c>
      <c r="J295" s="54" t="str">
        <f>IFERROR(IF(INDEX(SPOT_Import!$A$1:$Z$2488,295,'Live Data'!$C$21)="","",INDEX(SPOT_Import!$A$1:$Z$2488,295,'Live Data'!$C$21)),"")</f>
        <v>2026-10-06T11:23:08.000Z</v>
      </c>
      <c r="K295" s="54" t="str">
        <f>IFERROR(IF(INDEX(SPOT_Import!$A$1:$Z$2488,295,'Live Data'!$C$22)="","",INDEX(SPOT_Import!$A$1:$Z$2488,295,'Live Data'!$C$22)),"")</f>
        <v>2026-10-06T11:23:08.000Z</v>
      </c>
      <c r="L295" s="55" t="str">
        <f t="shared" si="8"/>
        <v>2026-10</v>
      </c>
      <c r="M295" s="55" t="str">
        <f t="shared" si="9"/>
        <v>EMBU</v>
      </c>
      <c r="N295" s="55" t="str">
        <f>IF(A295="","",IFERROR(INDEX('Cluster Map'!$A$4:$A$38,MATCH(M295,'Cluster Map'!$B$4:$B$38,0)),"Unmapped"))</f>
        <v>Cluster 2</v>
      </c>
      <c r="O295" s="55">
        <f>IF(A295="",0,IF(COUNTIFS($A$2:A295,A295,$F$2:F295,F295,$L$2:L295,L295)=1,1,0))</f>
        <v>1</v>
      </c>
      <c r="P295" s="55">
        <f>IF(A295="",0,IF(AND(F295="C&amp;T",COUNTIFS($A$2:A295,A295,$F$2:F295,"C&amp;T")=1),1,0))</f>
        <v>1</v>
      </c>
    </row>
    <row r="296" spans="1:16" x14ac:dyDescent="0.35">
      <c r="A296" s="54">
        <f>IFERROR(IF(INDEX(SPOT_Import!$A$1:$Z$2488,296,'Live Data'!$C$12)="","",INDEX(SPOT_Import!$A$1:$Z$2488,296,'Live Data'!$C$12)),"")</f>
        <v>10829</v>
      </c>
      <c r="B296" s="54" t="str">
        <f>IFERROR(IF(INDEX(SPOT_Import!$A$1:$Z$2488,296,'Live Data'!$C$13)="","",INDEX(SPOT_Import!$A$1:$Z$2488,296,'Live Data'!$C$13)),"")</f>
        <v>Ndaragwa Health Centre</v>
      </c>
      <c r="C296" s="54" t="str">
        <f>IFERROR(IF(INDEX(SPOT_Import!$A$1:$Z$2488,296,'Live Data'!$C$14)="","",INDEX(SPOT_Import!$A$1:$Z$2488,296,'Live Data'!$C$14)),"")</f>
        <v>NYANDARUA</v>
      </c>
      <c r="D296" s="54" t="str">
        <f>IFERROR(IF(INDEX(SPOT_Import!$A$1:$Z$2488,296,'Live Data'!$C$15)="","",INDEX(SPOT_Import!$A$1:$Z$2488,296,'Live Data'!$C$15)),"")</f>
        <v>Ndaragwa</v>
      </c>
      <c r="E296" s="54" t="str">
        <f>IFERROR(IF(INDEX(SPOT_Import!$A$1:$Z$2488,296,'Live Data'!$C$16)="","",INDEX(SPOT_Import!$A$1:$Z$2488,296,'Live Data'!$C$16)),"")</f>
        <v>USAID Jamii Tekelezi</v>
      </c>
      <c r="F296" s="54" t="str">
        <f>IFERROR(IF(INDEX(SPOT_Import!$A$1:$Z$2488,296,'Live Data'!$C$17)="","",INDEX(SPOT_Import!$A$1:$Z$2488,296,'Live Data'!$C$17)),"")</f>
        <v>C&amp;T</v>
      </c>
      <c r="G296" s="54">
        <f>IFERROR(IF(INDEX(SPOT_Import!$A$1:$Z$2488,296,'Live Data'!$C$18)="","",INDEX(SPOT_Import!$A$1:$Z$2488,296,'Live Data'!$C$18)),"")</f>
        <v>1600</v>
      </c>
      <c r="H296" s="54">
        <f>IFERROR(IF(INDEX(SPOT_Import!$A$1:$Z$2488,296,'Live Data'!$C$19)="","",INDEX(SPOT_Import!$A$1:$Z$2488,296,'Live Data'!$C$19)),"")</f>
        <v>1600</v>
      </c>
      <c r="I296" s="54" t="str">
        <f>IFERROR(IF(INDEX(SPOT_Import!$A$1:$Z$2488,296,'Live Data'!$C$20)="","",INDEX(SPOT_Import!$A$1:$Z$2488,296,'Live Data'!$C$20)),"")</f>
        <v>Complete</v>
      </c>
      <c r="J296" s="54" t="str">
        <f>IFERROR(IF(INDEX(SPOT_Import!$A$1:$Z$2488,296,'Live Data'!$C$21)="","",INDEX(SPOT_Import!$A$1:$Z$2488,296,'Live Data'!$C$21)),"")</f>
        <v>2026-10-06T11:14:10.000Z</v>
      </c>
      <c r="K296" s="54" t="str">
        <f>IFERROR(IF(INDEX(SPOT_Import!$A$1:$Z$2488,296,'Live Data'!$C$22)="","",INDEX(SPOT_Import!$A$1:$Z$2488,296,'Live Data'!$C$22)),"")</f>
        <v>2026-10-06T11:14:10.000Z</v>
      </c>
      <c r="L296" s="55" t="str">
        <f t="shared" si="8"/>
        <v>2026-10</v>
      </c>
      <c r="M296" s="55" t="str">
        <f t="shared" si="9"/>
        <v>NYANDARUA</v>
      </c>
      <c r="N296" s="55" t="str">
        <f>IF(A296="","",IFERROR(INDEX('Cluster Map'!$A$4:$A$38,MATCH(M296,'Cluster Map'!$B$4:$B$38,0)),"Unmapped"))</f>
        <v>Cluster 4</v>
      </c>
      <c r="O296" s="55">
        <f>IF(A296="",0,IF(COUNTIFS($A$2:A296,A296,$F$2:F296,F296,$L$2:L296,L296)=1,1,0))</f>
        <v>1</v>
      </c>
      <c r="P296" s="55">
        <f>IF(A296="",0,IF(AND(F296="C&amp;T",COUNTIFS($A$2:A296,A296,$F$2:F296,"C&amp;T")=1),1,0))</f>
        <v>1</v>
      </c>
    </row>
    <row r="297" spans="1:16" x14ac:dyDescent="0.35">
      <c r="A297" s="54">
        <f>IFERROR(IF(INDEX(SPOT_Import!$A$1:$Z$2488,297,'Live Data'!$C$12)="","",INDEX(SPOT_Import!$A$1:$Z$2488,297,'Live Data'!$C$12)),"")</f>
        <v>12130</v>
      </c>
      <c r="B297" s="54" t="str">
        <f>IFERROR(IF(INDEX(SPOT_Import!$A$1:$Z$2488,297,'Live Data'!$C$13)="","",INDEX(SPOT_Import!$A$1:$Z$2488,297,'Live Data'!$C$13)),"")</f>
        <v>Kairuri Health Centre</v>
      </c>
      <c r="C297" s="54" t="str">
        <f>IFERROR(IF(INDEX(SPOT_Import!$A$1:$Z$2488,297,'Live Data'!$C$14)="","",INDEX(SPOT_Import!$A$1:$Z$2488,297,'Live Data'!$C$14)),"")</f>
        <v>EMBU</v>
      </c>
      <c r="D297" s="54" t="str">
        <f>IFERROR(IF(INDEX(SPOT_Import!$A$1:$Z$2488,297,'Live Data'!$C$15)="","",INDEX(SPOT_Import!$A$1:$Z$2488,297,'Live Data'!$C$15)),"")</f>
        <v>Manyatta</v>
      </c>
      <c r="E297" s="54" t="str">
        <f>IFERROR(IF(INDEX(SPOT_Import!$A$1:$Z$2488,297,'Live Data'!$C$16)="","",INDEX(SPOT_Import!$A$1:$Z$2488,297,'Live Data'!$C$16)),"")</f>
        <v>USAID Jamii Tekelezi</v>
      </c>
      <c r="F297" s="54" t="str">
        <f>IFERROR(IF(INDEX(SPOT_Import!$A$1:$Z$2488,297,'Live Data'!$C$17)="","",INDEX(SPOT_Import!$A$1:$Z$2488,297,'Live Data'!$C$17)),"")</f>
        <v>C&amp;T</v>
      </c>
      <c r="G297" s="54">
        <f>IFERROR(IF(INDEX(SPOT_Import!$A$1:$Z$2488,297,'Live Data'!$C$18)="","",INDEX(SPOT_Import!$A$1:$Z$2488,297,'Live Data'!$C$18)),"")</f>
        <v>105</v>
      </c>
      <c r="H297" s="54">
        <f>IFERROR(IF(INDEX(SPOT_Import!$A$1:$Z$2488,297,'Live Data'!$C$19)="","",INDEX(SPOT_Import!$A$1:$Z$2488,297,'Live Data'!$C$19)),"")</f>
        <v>105</v>
      </c>
      <c r="I297" s="54" t="str">
        <f>IFERROR(IF(INDEX(SPOT_Import!$A$1:$Z$2488,297,'Live Data'!$C$20)="","",INDEX(SPOT_Import!$A$1:$Z$2488,297,'Live Data'!$C$20)),"")</f>
        <v>Complete</v>
      </c>
      <c r="J297" s="54" t="str">
        <f>IFERROR(IF(INDEX(SPOT_Import!$A$1:$Z$2488,297,'Live Data'!$C$21)="","",INDEX(SPOT_Import!$A$1:$Z$2488,297,'Live Data'!$C$21)),"")</f>
        <v>2026-10-06T11:10:26.000Z</v>
      </c>
      <c r="K297" s="54" t="str">
        <f>IFERROR(IF(INDEX(SPOT_Import!$A$1:$Z$2488,297,'Live Data'!$C$22)="","",INDEX(SPOT_Import!$A$1:$Z$2488,297,'Live Data'!$C$22)),"")</f>
        <v>2026-10-06T11:10:26.000Z</v>
      </c>
      <c r="L297" s="55" t="str">
        <f t="shared" si="8"/>
        <v>2026-10</v>
      </c>
      <c r="M297" s="55" t="str">
        <f t="shared" si="9"/>
        <v>EMBU</v>
      </c>
      <c r="N297" s="55" t="str">
        <f>IF(A297="","",IFERROR(INDEX('Cluster Map'!$A$4:$A$38,MATCH(M297,'Cluster Map'!$B$4:$B$38,0)),"Unmapped"))</f>
        <v>Cluster 2</v>
      </c>
      <c r="O297" s="55">
        <f>IF(A297="",0,IF(COUNTIFS($A$2:A297,A297,$F$2:F297,F297,$L$2:L297,L297)=1,1,0))</f>
        <v>1</v>
      </c>
      <c r="P297" s="55">
        <f>IF(A297="",0,IF(AND(F297="C&amp;T",COUNTIFS($A$2:A297,A297,$F$2:F297,"C&amp;T")=1),1,0))</f>
        <v>1</v>
      </c>
    </row>
    <row r="298" spans="1:16" x14ac:dyDescent="0.35">
      <c r="A298" s="54">
        <f>IFERROR(IF(INDEX(SPOT_Import!$A$1:$Z$2488,298,'Live Data'!$C$12)="","",INDEX(SPOT_Import!$A$1:$Z$2488,298,'Live Data'!$C$12)),"")</f>
        <v>12015</v>
      </c>
      <c r="B298" s="54" t="str">
        <f>IFERROR(IF(INDEX(SPOT_Import!$A$1:$Z$2488,298,'Live Data'!$C$13)="","",INDEX(SPOT_Import!$A$1:$Z$2488,298,'Live Data'!$C$13)),"")</f>
        <v>Family Care Medical Centre (Meru)</v>
      </c>
      <c r="C298" s="54" t="str">
        <f>IFERROR(IF(INDEX(SPOT_Import!$A$1:$Z$2488,298,'Live Data'!$C$14)="","",INDEX(SPOT_Import!$A$1:$Z$2488,298,'Live Data'!$C$14)),"")</f>
        <v>MERU</v>
      </c>
      <c r="D298" s="54" t="str">
        <f>IFERROR(IF(INDEX(SPOT_Import!$A$1:$Z$2488,298,'Live Data'!$C$15)="","",INDEX(SPOT_Import!$A$1:$Z$2488,298,'Live Data'!$C$15)),"")</f>
        <v>Imenti North</v>
      </c>
      <c r="E298" s="54" t="str">
        <f>IFERROR(IF(INDEX(SPOT_Import!$A$1:$Z$2488,298,'Live Data'!$C$16)="","",INDEX(SPOT_Import!$A$1:$Z$2488,298,'Live Data'!$C$16)),"")</f>
        <v>USAID Jamii Tekelezi</v>
      </c>
      <c r="F298" s="54" t="str">
        <f>IFERROR(IF(INDEX(SPOT_Import!$A$1:$Z$2488,298,'Live Data'!$C$17)="","",INDEX(SPOT_Import!$A$1:$Z$2488,298,'Live Data'!$C$17)),"")</f>
        <v>C&amp;T</v>
      </c>
      <c r="G298" s="54">
        <f>IFERROR(IF(INDEX(SPOT_Import!$A$1:$Z$2488,298,'Live Data'!$C$18)="","",INDEX(SPOT_Import!$A$1:$Z$2488,298,'Live Data'!$C$18)),"")</f>
        <v>113</v>
      </c>
      <c r="H298" s="54">
        <f>IFERROR(IF(INDEX(SPOT_Import!$A$1:$Z$2488,298,'Live Data'!$C$19)="","",INDEX(SPOT_Import!$A$1:$Z$2488,298,'Live Data'!$C$19)),"")</f>
        <v>113</v>
      </c>
      <c r="I298" s="54" t="str">
        <f>IFERROR(IF(INDEX(SPOT_Import!$A$1:$Z$2488,298,'Live Data'!$C$20)="","",INDEX(SPOT_Import!$A$1:$Z$2488,298,'Live Data'!$C$20)),"")</f>
        <v>Complete</v>
      </c>
      <c r="J298" s="54" t="str">
        <f>IFERROR(IF(INDEX(SPOT_Import!$A$1:$Z$2488,298,'Live Data'!$C$21)="","",INDEX(SPOT_Import!$A$1:$Z$2488,298,'Live Data'!$C$21)),"")</f>
        <v>2026-10-06T11:07:05.000Z</v>
      </c>
      <c r="K298" s="54" t="str">
        <f>IFERROR(IF(INDEX(SPOT_Import!$A$1:$Z$2488,298,'Live Data'!$C$22)="","",INDEX(SPOT_Import!$A$1:$Z$2488,298,'Live Data'!$C$22)),"")</f>
        <v>2026-10-06T11:07:05.000Z</v>
      </c>
      <c r="L298" s="55" t="str">
        <f t="shared" si="8"/>
        <v>2026-10</v>
      </c>
      <c r="M298" s="55" t="str">
        <f t="shared" si="9"/>
        <v>MERU</v>
      </c>
      <c r="N298" s="55" t="str">
        <f>IF(A298="","",IFERROR(INDEX('Cluster Map'!$A$4:$A$38,MATCH(M298,'Cluster Map'!$B$4:$B$38,0)),"Unmapped"))</f>
        <v>Cluster 1</v>
      </c>
      <c r="O298" s="55">
        <f>IF(A298="",0,IF(COUNTIFS($A$2:A298,A298,$F$2:F298,F298,$L$2:L298,L298)=1,1,0))</f>
        <v>1</v>
      </c>
      <c r="P298" s="55">
        <f>IF(A298="",0,IF(AND(F298="C&amp;T",COUNTIFS($A$2:A298,A298,$F$2:F298,"C&amp;T")=1),1,0))</f>
        <v>1</v>
      </c>
    </row>
    <row r="299" spans="1:16" x14ac:dyDescent="0.35">
      <c r="A299" s="54">
        <f>IFERROR(IF(INDEX(SPOT_Import!$A$1:$Z$2488,299,'Live Data'!$C$12)="","",INDEX(SPOT_Import!$A$1:$Z$2488,299,'Live Data'!$C$12)),"")</f>
        <v>11004</v>
      </c>
      <c r="B299" s="54" t="str">
        <f>IFERROR(IF(INDEX(SPOT_Import!$A$1:$Z$2488,299,'Live Data'!$C$13)="","",INDEX(SPOT_Import!$A$1:$Z$2488,299,'Live Data'!$C$13)),"")</f>
        <v>Shamata Health Centre</v>
      </c>
      <c r="C299" s="54" t="str">
        <f>IFERROR(IF(INDEX(SPOT_Import!$A$1:$Z$2488,299,'Live Data'!$C$14)="","",INDEX(SPOT_Import!$A$1:$Z$2488,299,'Live Data'!$C$14)),"")</f>
        <v>NYANDARUA</v>
      </c>
      <c r="D299" s="54" t="str">
        <f>IFERROR(IF(INDEX(SPOT_Import!$A$1:$Z$2488,299,'Live Data'!$C$15)="","",INDEX(SPOT_Import!$A$1:$Z$2488,299,'Live Data'!$C$15)),"")</f>
        <v>Ndaragwa</v>
      </c>
      <c r="E299" s="54" t="str">
        <f>IFERROR(IF(INDEX(SPOT_Import!$A$1:$Z$2488,299,'Live Data'!$C$16)="","",INDEX(SPOT_Import!$A$1:$Z$2488,299,'Live Data'!$C$16)),"")</f>
        <v>USAID Jamii Tekelezi</v>
      </c>
      <c r="F299" s="54" t="str">
        <f>IFERROR(IF(INDEX(SPOT_Import!$A$1:$Z$2488,299,'Live Data'!$C$17)="","",INDEX(SPOT_Import!$A$1:$Z$2488,299,'Live Data'!$C$17)),"")</f>
        <v>PREP</v>
      </c>
      <c r="G299" s="54">
        <f>IFERROR(IF(INDEX(SPOT_Import!$A$1:$Z$2488,299,'Live Data'!$C$18)="","",INDEX(SPOT_Import!$A$1:$Z$2488,299,'Live Data'!$C$18)),"")</f>
        <v>194</v>
      </c>
      <c r="H299" s="54">
        <f>IFERROR(IF(INDEX(SPOT_Import!$A$1:$Z$2488,299,'Live Data'!$C$19)="","",INDEX(SPOT_Import!$A$1:$Z$2488,299,'Live Data'!$C$19)),"")</f>
        <v>194</v>
      </c>
      <c r="I299" s="54" t="str">
        <f>IFERROR(IF(INDEX(SPOT_Import!$A$1:$Z$2488,299,'Live Data'!$C$20)="","",INDEX(SPOT_Import!$A$1:$Z$2488,299,'Live Data'!$C$20)),"")</f>
        <v>Complete</v>
      </c>
      <c r="J299" s="54" t="str">
        <f>IFERROR(IF(INDEX(SPOT_Import!$A$1:$Z$2488,299,'Live Data'!$C$21)="","",INDEX(SPOT_Import!$A$1:$Z$2488,299,'Live Data'!$C$21)),"")</f>
        <v>2026-10-06T09:47:40.000Z</v>
      </c>
      <c r="K299" s="54" t="str">
        <f>IFERROR(IF(INDEX(SPOT_Import!$A$1:$Z$2488,299,'Live Data'!$C$22)="","",INDEX(SPOT_Import!$A$1:$Z$2488,299,'Live Data'!$C$22)),"")</f>
        <v>2026-10-06T09:47:40.000Z</v>
      </c>
      <c r="L299" s="55" t="str">
        <f t="shared" si="8"/>
        <v>2026-10</v>
      </c>
      <c r="M299" s="55" t="str">
        <f t="shared" si="9"/>
        <v>NYANDARUA</v>
      </c>
      <c r="N299" s="55" t="str">
        <f>IF(A299="","",IFERROR(INDEX('Cluster Map'!$A$4:$A$38,MATCH(M299,'Cluster Map'!$B$4:$B$38,0)),"Unmapped"))</f>
        <v>Cluster 4</v>
      </c>
      <c r="O299" s="55">
        <f>IF(A299="",0,IF(COUNTIFS($A$2:A299,A299,$F$2:F299,F299,$L$2:L299,L299)=1,1,0))</f>
        <v>1</v>
      </c>
      <c r="P299" s="55">
        <f>IF(A299="",0,IF(AND(F299="C&amp;T",COUNTIFS($A$2:A299,A299,$F$2:F299,"C&amp;T")=1),1,0))</f>
        <v>0</v>
      </c>
    </row>
    <row r="300" spans="1:16" x14ac:dyDescent="0.35">
      <c r="A300" s="54">
        <f>IFERROR(IF(INDEX(SPOT_Import!$A$1:$Z$2488,300,'Live Data'!$C$12)="","",INDEX(SPOT_Import!$A$1:$Z$2488,300,'Live Data'!$C$12)),"")</f>
        <v>11004</v>
      </c>
      <c r="B300" s="54" t="str">
        <f>IFERROR(IF(INDEX(SPOT_Import!$A$1:$Z$2488,300,'Live Data'!$C$13)="","",INDEX(SPOT_Import!$A$1:$Z$2488,300,'Live Data'!$C$13)),"")</f>
        <v>Shamata Health Centre</v>
      </c>
      <c r="C300" s="54" t="str">
        <f>IFERROR(IF(INDEX(SPOT_Import!$A$1:$Z$2488,300,'Live Data'!$C$14)="","",INDEX(SPOT_Import!$A$1:$Z$2488,300,'Live Data'!$C$14)),"")</f>
        <v>NYANDARUA</v>
      </c>
      <c r="D300" s="54" t="str">
        <f>IFERROR(IF(INDEX(SPOT_Import!$A$1:$Z$2488,300,'Live Data'!$C$15)="","",INDEX(SPOT_Import!$A$1:$Z$2488,300,'Live Data'!$C$15)),"")</f>
        <v>Ndaragwa</v>
      </c>
      <c r="E300" s="54" t="str">
        <f>IFERROR(IF(INDEX(SPOT_Import!$A$1:$Z$2488,300,'Live Data'!$C$16)="","",INDEX(SPOT_Import!$A$1:$Z$2488,300,'Live Data'!$C$16)),"")</f>
        <v>USAID Jamii Tekelezi</v>
      </c>
      <c r="F300" s="54" t="str">
        <f>IFERROR(IF(INDEX(SPOT_Import!$A$1:$Z$2488,300,'Live Data'!$C$17)="","",INDEX(SPOT_Import!$A$1:$Z$2488,300,'Live Data'!$C$17)),"")</f>
        <v>MNCH</v>
      </c>
      <c r="G300" s="54">
        <f>IFERROR(IF(INDEX(SPOT_Import!$A$1:$Z$2488,300,'Live Data'!$C$18)="","",INDEX(SPOT_Import!$A$1:$Z$2488,300,'Live Data'!$C$18)),"")</f>
        <v>27</v>
      </c>
      <c r="H300" s="54">
        <f>IFERROR(IF(INDEX(SPOT_Import!$A$1:$Z$2488,300,'Live Data'!$C$19)="","",INDEX(SPOT_Import!$A$1:$Z$2488,300,'Live Data'!$C$19)),"")</f>
        <v>27</v>
      </c>
      <c r="I300" s="54" t="str">
        <f>IFERROR(IF(INDEX(SPOT_Import!$A$1:$Z$2488,300,'Live Data'!$C$20)="","",INDEX(SPOT_Import!$A$1:$Z$2488,300,'Live Data'!$C$20)),"")</f>
        <v>Complete</v>
      </c>
      <c r="J300" s="54" t="str">
        <f>IFERROR(IF(INDEX(SPOT_Import!$A$1:$Z$2488,300,'Live Data'!$C$21)="","",INDEX(SPOT_Import!$A$1:$Z$2488,300,'Live Data'!$C$21)),"")</f>
        <v>2026-10-06T09:47:07.000Z</v>
      </c>
      <c r="K300" s="54" t="str">
        <f>IFERROR(IF(INDEX(SPOT_Import!$A$1:$Z$2488,300,'Live Data'!$C$22)="","",INDEX(SPOT_Import!$A$1:$Z$2488,300,'Live Data'!$C$22)),"")</f>
        <v>2026-10-06T09:47:07.000Z</v>
      </c>
      <c r="L300" s="55" t="str">
        <f t="shared" si="8"/>
        <v>2026-10</v>
      </c>
      <c r="M300" s="55" t="str">
        <f t="shared" si="9"/>
        <v>NYANDARUA</v>
      </c>
      <c r="N300" s="55" t="str">
        <f>IF(A300="","",IFERROR(INDEX('Cluster Map'!$A$4:$A$38,MATCH(M300,'Cluster Map'!$B$4:$B$38,0)),"Unmapped"))</f>
        <v>Cluster 4</v>
      </c>
      <c r="O300" s="55">
        <f>IF(A300="",0,IF(COUNTIFS($A$2:A300,A300,$F$2:F300,F300,$L$2:L300,L300)=1,1,0))</f>
        <v>1</v>
      </c>
      <c r="P300" s="55">
        <f>IF(A300="",0,IF(AND(F300="C&amp;T",COUNTIFS($A$2:A300,A300,$F$2:F300,"C&amp;T")=1),1,0))</f>
        <v>0</v>
      </c>
    </row>
    <row r="301" spans="1:16" x14ac:dyDescent="0.35">
      <c r="A301" s="54">
        <f>IFERROR(IF(INDEX(SPOT_Import!$A$1:$Z$2488,301,'Live Data'!$C$12)="","",INDEX(SPOT_Import!$A$1:$Z$2488,301,'Live Data'!$C$12)),"")</f>
        <v>11004</v>
      </c>
      <c r="B301" s="54" t="str">
        <f>IFERROR(IF(INDEX(SPOT_Import!$A$1:$Z$2488,301,'Live Data'!$C$13)="","",INDEX(SPOT_Import!$A$1:$Z$2488,301,'Live Data'!$C$13)),"")</f>
        <v>Shamata Health Centre</v>
      </c>
      <c r="C301" s="54" t="str">
        <f>IFERROR(IF(INDEX(SPOT_Import!$A$1:$Z$2488,301,'Live Data'!$C$14)="","",INDEX(SPOT_Import!$A$1:$Z$2488,301,'Live Data'!$C$14)),"")</f>
        <v>NYANDARUA</v>
      </c>
      <c r="D301" s="54" t="str">
        <f>IFERROR(IF(INDEX(SPOT_Import!$A$1:$Z$2488,301,'Live Data'!$C$15)="","",INDEX(SPOT_Import!$A$1:$Z$2488,301,'Live Data'!$C$15)),"")</f>
        <v>Ndaragwa</v>
      </c>
      <c r="E301" s="54" t="str">
        <f>IFERROR(IF(INDEX(SPOT_Import!$A$1:$Z$2488,301,'Live Data'!$C$16)="","",INDEX(SPOT_Import!$A$1:$Z$2488,301,'Live Data'!$C$16)),"")</f>
        <v>USAID Jamii Tekelezi</v>
      </c>
      <c r="F301" s="54" t="str">
        <f>IFERROR(IF(INDEX(SPOT_Import!$A$1:$Z$2488,301,'Live Data'!$C$17)="","",INDEX(SPOT_Import!$A$1:$Z$2488,301,'Live Data'!$C$17)),"")</f>
        <v>HTS</v>
      </c>
      <c r="G301" s="54">
        <f>IFERROR(IF(INDEX(SPOT_Import!$A$1:$Z$2488,301,'Live Data'!$C$18)="","",INDEX(SPOT_Import!$A$1:$Z$2488,301,'Live Data'!$C$18)),"")</f>
        <v>2989</v>
      </c>
      <c r="H301" s="54">
        <f>IFERROR(IF(INDEX(SPOT_Import!$A$1:$Z$2488,301,'Live Data'!$C$19)="","",INDEX(SPOT_Import!$A$1:$Z$2488,301,'Live Data'!$C$19)),"")</f>
        <v>2989</v>
      </c>
      <c r="I301" s="54" t="str">
        <f>IFERROR(IF(INDEX(SPOT_Import!$A$1:$Z$2488,301,'Live Data'!$C$20)="","",INDEX(SPOT_Import!$A$1:$Z$2488,301,'Live Data'!$C$20)),"")</f>
        <v>Complete</v>
      </c>
      <c r="J301" s="54" t="str">
        <f>IFERROR(IF(INDEX(SPOT_Import!$A$1:$Z$2488,301,'Live Data'!$C$21)="","",INDEX(SPOT_Import!$A$1:$Z$2488,301,'Live Data'!$C$21)),"")</f>
        <v>2026-10-06T09:40:21.000Z</v>
      </c>
      <c r="K301" s="54" t="str">
        <f>IFERROR(IF(INDEX(SPOT_Import!$A$1:$Z$2488,301,'Live Data'!$C$22)="","",INDEX(SPOT_Import!$A$1:$Z$2488,301,'Live Data'!$C$22)),"")</f>
        <v>2026-10-06T09:40:21.000Z</v>
      </c>
      <c r="L301" s="55" t="str">
        <f t="shared" si="8"/>
        <v>2026-10</v>
      </c>
      <c r="M301" s="55" t="str">
        <f t="shared" si="9"/>
        <v>NYANDARUA</v>
      </c>
      <c r="N301" s="55" t="str">
        <f>IF(A301="","",IFERROR(INDEX('Cluster Map'!$A$4:$A$38,MATCH(M301,'Cluster Map'!$B$4:$B$38,0)),"Unmapped"))</f>
        <v>Cluster 4</v>
      </c>
      <c r="O301" s="55">
        <f>IF(A301="",0,IF(COUNTIFS($A$2:A301,A301,$F$2:F301,F301,$L$2:L301,L301)=1,1,0))</f>
        <v>1</v>
      </c>
      <c r="P301" s="55">
        <f>IF(A301="",0,IF(AND(F301="C&amp;T",COUNTIFS($A$2:A301,A301,$F$2:F301,"C&amp;T")=1),1,0))</f>
        <v>0</v>
      </c>
    </row>
    <row r="302" spans="1:16" x14ac:dyDescent="0.35">
      <c r="A302" s="54">
        <f>IFERROR(IF(INDEX(SPOT_Import!$A$1:$Z$2488,302,'Live Data'!$C$12)="","",INDEX(SPOT_Import!$A$1:$Z$2488,302,'Live Data'!$C$12)),"")</f>
        <v>12631</v>
      </c>
      <c r="B302" s="54" t="str">
        <f>IFERROR(IF(INDEX(SPOT_Import!$A$1:$Z$2488,302,'Live Data'!$C$13)="","",INDEX(SPOT_Import!$A$1:$Z$2488,302,'Live Data'!$C$13)),"")</f>
        <v>Naari Health Centre</v>
      </c>
      <c r="C302" s="54" t="str">
        <f>IFERROR(IF(INDEX(SPOT_Import!$A$1:$Z$2488,302,'Live Data'!$C$14)="","",INDEX(SPOT_Import!$A$1:$Z$2488,302,'Live Data'!$C$14)),"")</f>
        <v>MERU</v>
      </c>
      <c r="D302" s="54" t="str">
        <f>IFERROR(IF(INDEX(SPOT_Import!$A$1:$Z$2488,302,'Live Data'!$C$15)="","",INDEX(SPOT_Import!$A$1:$Z$2488,302,'Live Data'!$C$15)),"")</f>
        <v>Buuri</v>
      </c>
      <c r="E302" s="54" t="str">
        <f>IFERROR(IF(INDEX(SPOT_Import!$A$1:$Z$2488,302,'Live Data'!$C$16)="","",INDEX(SPOT_Import!$A$1:$Z$2488,302,'Live Data'!$C$16)),"")</f>
        <v>USAID Jamii Tekelezi</v>
      </c>
      <c r="F302" s="54" t="str">
        <f>IFERROR(IF(INDEX(SPOT_Import!$A$1:$Z$2488,302,'Live Data'!$C$17)="","",INDEX(SPOT_Import!$A$1:$Z$2488,302,'Live Data'!$C$17)),"")</f>
        <v>MNCH</v>
      </c>
      <c r="G302" s="54">
        <f>IFERROR(IF(INDEX(SPOT_Import!$A$1:$Z$2488,302,'Live Data'!$C$18)="","",INDEX(SPOT_Import!$A$1:$Z$2488,302,'Live Data'!$C$18)),"")</f>
        <v>17</v>
      </c>
      <c r="H302" s="54">
        <f>IFERROR(IF(INDEX(SPOT_Import!$A$1:$Z$2488,302,'Live Data'!$C$19)="","",INDEX(SPOT_Import!$A$1:$Z$2488,302,'Live Data'!$C$19)),"")</f>
        <v>17</v>
      </c>
      <c r="I302" s="54" t="str">
        <f>IFERROR(IF(INDEX(SPOT_Import!$A$1:$Z$2488,302,'Live Data'!$C$20)="","",INDEX(SPOT_Import!$A$1:$Z$2488,302,'Live Data'!$C$20)),"")</f>
        <v>Complete</v>
      </c>
      <c r="J302" s="54" t="str">
        <f>IFERROR(IF(INDEX(SPOT_Import!$A$1:$Z$2488,302,'Live Data'!$C$21)="","",INDEX(SPOT_Import!$A$1:$Z$2488,302,'Live Data'!$C$21)),"")</f>
        <v>2026-10-06T09:24:39.000Z</v>
      </c>
      <c r="K302" s="54" t="str">
        <f>IFERROR(IF(INDEX(SPOT_Import!$A$1:$Z$2488,302,'Live Data'!$C$22)="","",INDEX(SPOT_Import!$A$1:$Z$2488,302,'Live Data'!$C$22)),"")</f>
        <v>2026-10-06T09:24:39.000Z</v>
      </c>
      <c r="L302" s="55" t="str">
        <f t="shared" si="8"/>
        <v>2026-10</v>
      </c>
      <c r="M302" s="55" t="str">
        <f t="shared" si="9"/>
        <v>MERU</v>
      </c>
      <c r="N302" s="55" t="str">
        <f>IF(A302="","",IFERROR(INDEX('Cluster Map'!$A$4:$A$38,MATCH(M302,'Cluster Map'!$B$4:$B$38,0)),"Unmapped"))</f>
        <v>Cluster 1</v>
      </c>
      <c r="O302" s="55">
        <f>IF(A302="",0,IF(COUNTIFS($A$2:A302,A302,$F$2:F302,F302,$L$2:L302,L302)=1,1,0))</f>
        <v>1</v>
      </c>
      <c r="P302" s="55">
        <f>IF(A302="",0,IF(AND(F302="C&amp;T",COUNTIFS($A$2:A302,A302,$F$2:F302,"C&amp;T")=1),1,0))</f>
        <v>0</v>
      </c>
    </row>
    <row r="303" spans="1:16" x14ac:dyDescent="0.35">
      <c r="A303" s="54">
        <f>IFERROR(IF(INDEX(SPOT_Import!$A$1:$Z$2488,303,'Live Data'!$C$12)="","",INDEX(SPOT_Import!$A$1:$Z$2488,303,'Live Data'!$C$12)),"")</f>
        <v>12631</v>
      </c>
      <c r="B303" s="54" t="str">
        <f>IFERROR(IF(INDEX(SPOT_Import!$A$1:$Z$2488,303,'Live Data'!$C$13)="","",INDEX(SPOT_Import!$A$1:$Z$2488,303,'Live Data'!$C$13)),"")</f>
        <v>Naari Health Centre</v>
      </c>
      <c r="C303" s="54" t="str">
        <f>IFERROR(IF(INDEX(SPOT_Import!$A$1:$Z$2488,303,'Live Data'!$C$14)="","",INDEX(SPOT_Import!$A$1:$Z$2488,303,'Live Data'!$C$14)),"")</f>
        <v>MERU</v>
      </c>
      <c r="D303" s="54" t="str">
        <f>IFERROR(IF(INDEX(SPOT_Import!$A$1:$Z$2488,303,'Live Data'!$C$15)="","",INDEX(SPOT_Import!$A$1:$Z$2488,303,'Live Data'!$C$15)),"")</f>
        <v>Buuri</v>
      </c>
      <c r="E303" s="54" t="str">
        <f>IFERROR(IF(INDEX(SPOT_Import!$A$1:$Z$2488,303,'Live Data'!$C$16)="","",INDEX(SPOT_Import!$A$1:$Z$2488,303,'Live Data'!$C$16)),"")</f>
        <v>USAID Jamii Tekelezi</v>
      </c>
      <c r="F303" s="54" t="str">
        <f>IFERROR(IF(INDEX(SPOT_Import!$A$1:$Z$2488,303,'Live Data'!$C$17)="","",INDEX(SPOT_Import!$A$1:$Z$2488,303,'Live Data'!$C$17)),"")</f>
        <v>HTS</v>
      </c>
      <c r="G303" s="54">
        <f>IFERROR(IF(INDEX(SPOT_Import!$A$1:$Z$2488,303,'Live Data'!$C$18)="","",INDEX(SPOT_Import!$A$1:$Z$2488,303,'Live Data'!$C$18)),"")</f>
        <v>2</v>
      </c>
      <c r="H303" s="54">
        <f>IFERROR(IF(INDEX(SPOT_Import!$A$1:$Z$2488,303,'Live Data'!$C$19)="","",INDEX(SPOT_Import!$A$1:$Z$2488,303,'Live Data'!$C$19)),"")</f>
        <v>2</v>
      </c>
      <c r="I303" s="54" t="str">
        <f>IFERROR(IF(INDEX(SPOT_Import!$A$1:$Z$2488,303,'Live Data'!$C$20)="","",INDEX(SPOT_Import!$A$1:$Z$2488,303,'Live Data'!$C$20)),"")</f>
        <v>Complete</v>
      </c>
      <c r="J303" s="54" t="str">
        <f>IFERROR(IF(INDEX(SPOT_Import!$A$1:$Z$2488,303,'Live Data'!$C$21)="","",INDEX(SPOT_Import!$A$1:$Z$2488,303,'Live Data'!$C$21)),"")</f>
        <v>2026-10-06T09:23:55.000Z</v>
      </c>
      <c r="K303" s="54" t="str">
        <f>IFERROR(IF(INDEX(SPOT_Import!$A$1:$Z$2488,303,'Live Data'!$C$22)="","",INDEX(SPOT_Import!$A$1:$Z$2488,303,'Live Data'!$C$22)),"")</f>
        <v>2026-10-06T09:23:55.000Z</v>
      </c>
      <c r="L303" s="55" t="str">
        <f t="shared" si="8"/>
        <v>2026-10</v>
      </c>
      <c r="M303" s="55" t="str">
        <f t="shared" si="9"/>
        <v>MERU</v>
      </c>
      <c r="N303" s="55" t="str">
        <f>IF(A303="","",IFERROR(INDEX('Cluster Map'!$A$4:$A$38,MATCH(M303,'Cluster Map'!$B$4:$B$38,0)),"Unmapped"))</f>
        <v>Cluster 1</v>
      </c>
      <c r="O303" s="55">
        <f>IF(A303="",0,IF(COUNTIFS($A$2:A303,A303,$F$2:F303,F303,$L$2:L303,L303)=1,1,0))</f>
        <v>1</v>
      </c>
      <c r="P303" s="55">
        <f>IF(A303="",0,IF(AND(F303="C&amp;T",COUNTIFS($A$2:A303,A303,$F$2:F303,"C&amp;T")=1),1,0))</f>
        <v>0</v>
      </c>
    </row>
    <row r="304" spans="1:16" x14ac:dyDescent="0.35">
      <c r="A304" s="54">
        <f>IFERROR(IF(INDEX(SPOT_Import!$A$1:$Z$2488,304,'Live Data'!$C$12)="","",INDEX(SPOT_Import!$A$1:$Z$2488,304,'Live Data'!$C$12)),"")</f>
        <v>12563</v>
      </c>
      <c r="B304" s="54" t="str">
        <f>IFERROR(IF(INDEX(SPOT_Import!$A$1:$Z$2488,304,'Live Data'!$C$13)="","",INDEX(SPOT_Import!$A$1:$Z$2488,304,'Live Data'!$C$13)),"")</f>
        <v>Mukuuni Dispensary</v>
      </c>
      <c r="C304" s="54" t="str">
        <f>IFERROR(IF(INDEX(SPOT_Import!$A$1:$Z$2488,304,'Live Data'!$C$14)="","",INDEX(SPOT_Import!$A$1:$Z$2488,304,'Live Data'!$C$14)),"")</f>
        <v>THARAKA-NITHI</v>
      </c>
      <c r="D304" s="54" t="str">
        <f>IFERROR(IF(INDEX(SPOT_Import!$A$1:$Z$2488,304,'Live Data'!$C$15)="","",INDEX(SPOT_Import!$A$1:$Z$2488,304,'Live Data'!$C$15)),"")</f>
        <v>Chuka</v>
      </c>
      <c r="E304" s="54" t="str">
        <f>IFERROR(IF(INDEX(SPOT_Import!$A$1:$Z$2488,304,'Live Data'!$C$16)="","",INDEX(SPOT_Import!$A$1:$Z$2488,304,'Live Data'!$C$16)),"")</f>
        <v>USAID Jamii Tekelezi</v>
      </c>
      <c r="F304" s="54" t="str">
        <f>IFERROR(IF(INDEX(SPOT_Import!$A$1:$Z$2488,304,'Live Data'!$C$17)="","",INDEX(SPOT_Import!$A$1:$Z$2488,304,'Live Data'!$C$17)),"")</f>
        <v>PREP</v>
      </c>
      <c r="G304" s="54">
        <f>IFERROR(IF(INDEX(SPOT_Import!$A$1:$Z$2488,304,'Live Data'!$C$18)="","",INDEX(SPOT_Import!$A$1:$Z$2488,304,'Live Data'!$C$18)),"")</f>
        <v>63</v>
      </c>
      <c r="H304" s="54">
        <f>IFERROR(IF(INDEX(SPOT_Import!$A$1:$Z$2488,304,'Live Data'!$C$19)="","",INDEX(SPOT_Import!$A$1:$Z$2488,304,'Live Data'!$C$19)),"")</f>
        <v>63</v>
      </c>
      <c r="I304" s="54" t="str">
        <f>IFERROR(IF(INDEX(SPOT_Import!$A$1:$Z$2488,304,'Live Data'!$C$20)="","",INDEX(SPOT_Import!$A$1:$Z$2488,304,'Live Data'!$C$20)),"")</f>
        <v>Complete</v>
      </c>
      <c r="J304" s="54" t="str">
        <f>IFERROR(IF(INDEX(SPOT_Import!$A$1:$Z$2488,304,'Live Data'!$C$21)="","",INDEX(SPOT_Import!$A$1:$Z$2488,304,'Live Data'!$C$21)),"")</f>
        <v>2026-10-06T09:20:05.000Z</v>
      </c>
      <c r="K304" s="54" t="str">
        <f>IFERROR(IF(INDEX(SPOT_Import!$A$1:$Z$2488,304,'Live Data'!$C$22)="","",INDEX(SPOT_Import!$A$1:$Z$2488,304,'Live Data'!$C$22)),"")</f>
        <v>2026-10-06T09:20:05.000Z</v>
      </c>
      <c r="L304" s="55" t="str">
        <f t="shared" si="8"/>
        <v>2026-10</v>
      </c>
      <c r="M304" s="55" t="str">
        <f t="shared" si="9"/>
        <v>THARAKA-NITHI</v>
      </c>
      <c r="N304" s="55" t="str">
        <f>IF(A304="","",IFERROR(INDEX('Cluster Map'!$A$4:$A$38,MATCH(M304,'Cluster Map'!$B$4:$B$38,0)),"Unmapped"))</f>
        <v>Cluster 2</v>
      </c>
      <c r="O304" s="55">
        <f>IF(A304="",0,IF(COUNTIFS($A$2:A304,A304,$F$2:F304,F304,$L$2:L304,L304)=1,1,0))</f>
        <v>1</v>
      </c>
      <c r="P304" s="55">
        <f>IF(A304="",0,IF(AND(F304="C&amp;T",COUNTIFS($A$2:A304,A304,$F$2:F304,"C&amp;T")=1),1,0))</f>
        <v>0</v>
      </c>
    </row>
    <row r="305" spans="1:16" x14ac:dyDescent="0.35">
      <c r="A305" s="54">
        <f>IFERROR(IF(INDEX(SPOT_Import!$A$1:$Z$2488,305,'Live Data'!$C$12)="","",INDEX(SPOT_Import!$A$1:$Z$2488,305,'Live Data'!$C$12)),"")</f>
        <v>12563</v>
      </c>
      <c r="B305" s="54" t="str">
        <f>IFERROR(IF(INDEX(SPOT_Import!$A$1:$Z$2488,305,'Live Data'!$C$13)="","",INDEX(SPOT_Import!$A$1:$Z$2488,305,'Live Data'!$C$13)),"")</f>
        <v>Mukuuni Dispensary</v>
      </c>
      <c r="C305" s="54" t="str">
        <f>IFERROR(IF(INDEX(SPOT_Import!$A$1:$Z$2488,305,'Live Data'!$C$14)="","",INDEX(SPOT_Import!$A$1:$Z$2488,305,'Live Data'!$C$14)),"")</f>
        <v>THARAKA-NITHI</v>
      </c>
      <c r="D305" s="54" t="str">
        <f>IFERROR(IF(INDEX(SPOT_Import!$A$1:$Z$2488,305,'Live Data'!$C$15)="","",INDEX(SPOT_Import!$A$1:$Z$2488,305,'Live Data'!$C$15)),"")</f>
        <v>Chuka</v>
      </c>
      <c r="E305" s="54" t="str">
        <f>IFERROR(IF(INDEX(SPOT_Import!$A$1:$Z$2488,305,'Live Data'!$C$16)="","",INDEX(SPOT_Import!$A$1:$Z$2488,305,'Live Data'!$C$16)),"")</f>
        <v>USAID Jamii Tekelezi</v>
      </c>
      <c r="F305" s="54" t="str">
        <f>IFERROR(IF(INDEX(SPOT_Import!$A$1:$Z$2488,305,'Live Data'!$C$17)="","",INDEX(SPOT_Import!$A$1:$Z$2488,305,'Live Data'!$C$17)),"")</f>
        <v>MNCH</v>
      </c>
      <c r="G305" s="54">
        <f>IFERROR(IF(INDEX(SPOT_Import!$A$1:$Z$2488,305,'Live Data'!$C$18)="","",INDEX(SPOT_Import!$A$1:$Z$2488,305,'Live Data'!$C$18)),"")</f>
        <v>10</v>
      </c>
      <c r="H305" s="54">
        <f>IFERROR(IF(INDEX(SPOT_Import!$A$1:$Z$2488,305,'Live Data'!$C$19)="","",INDEX(SPOT_Import!$A$1:$Z$2488,305,'Live Data'!$C$19)),"")</f>
        <v>10</v>
      </c>
      <c r="I305" s="54" t="str">
        <f>IFERROR(IF(INDEX(SPOT_Import!$A$1:$Z$2488,305,'Live Data'!$C$20)="","",INDEX(SPOT_Import!$A$1:$Z$2488,305,'Live Data'!$C$20)),"")</f>
        <v>Complete</v>
      </c>
      <c r="J305" s="54" t="str">
        <f>IFERROR(IF(INDEX(SPOT_Import!$A$1:$Z$2488,305,'Live Data'!$C$21)="","",INDEX(SPOT_Import!$A$1:$Z$2488,305,'Live Data'!$C$21)),"")</f>
        <v>2026-10-06T09:19:57.000Z</v>
      </c>
      <c r="K305" s="54" t="str">
        <f>IFERROR(IF(INDEX(SPOT_Import!$A$1:$Z$2488,305,'Live Data'!$C$22)="","",INDEX(SPOT_Import!$A$1:$Z$2488,305,'Live Data'!$C$22)),"")</f>
        <v>2026-10-06T09:19:57.000Z</v>
      </c>
      <c r="L305" s="55" t="str">
        <f t="shared" si="8"/>
        <v>2026-10</v>
      </c>
      <c r="M305" s="55" t="str">
        <f t="shared" si="9"/>
        <v>THARAKA-NITHI</v>
      </c>
      <c r="N305" s="55" t="str">
        <f>IF(A305="","",IFERROR(INDEX('Cluster Map'!$A$4:$A$38,MATCH(M305,'Cluster Map'!$B$4:$B$38,0)),"Unmapped"))</f>
        <v>Cluster 2</v>
      </c>
      <c r="O305" s="55">
        <f>IF(A305="",0,IF(COUNTIFS($A$2:A305,A305,$F$2:F305,F305,$L$2:L305,L305)=1,1,0))</f>
        <v>1</v>
      </c>
      <c r="P305" s="55">
        <f>IF(A305="",0,IF(AND(F305="C&amp;T",COUNTIFS($A$2:A305,A305,$F$2:F305,"C&amp;T")=1),1,0))</f>
        <v>0</v>
      </c>
    </row>
    <row r="306" spans="1:16" x14ac:dyDescent="0.35">
      <c r="A306" s="54">
        <f>IFERROR(IF(INDEX(SPOT_Import!$A$1:$Z$2488,306,'Live Data'!$C$12)="","",INDEX(SPOT_Import!$A$1:$Z$2488,306,'Live Data'!$C$12)),"")</f>
        <v>12563</v>
      </c>
      <c r="B306" s="54" t="str">
        <f>IFERROR(IF(INDEX(SPOT_Import!$A$1:$Z$2488,306,'Live Data'!$C$13)="","",INDEX(SPOT_Import!$A$1:$Z$2488,306,'Live Data'!$C$13)),"")</f>
        <v>Mukuuni Dispensary</v>
      </c>
      <c r="C306" s="54" t="str">
        <f>IFERROR(IF(INDEX(SPOT_Import!$A$1:$Z$2488,306,'Live Data'!$C$14)="","",INDEX(SPOT_Import!$A$1:$Z$2488,306,'Live Data'!$C$14)),"")</f>
        <v>THARAKA-NITHI</v>
      </c>
      <c r="D306" s="54" t="str">
        <f>IFERROR(IF(INDEX(SPOT_Import!$A$1:$Z$2488,306,'Live Data'!$C$15)="","",INDEX(SPOT_Import!$A$1:$Z$2488,306,'Live Data'!$C$15)),"")</f>
        <v>Chuka</v>
      </c>
      <c r="E306" s="54" t="str">
        <f>IFERROR(IF(INDEX(SPOT_Import!$A$1:$Z$2488,306,'Live Data'!$C$16)="","",INDEX(SPOT_Import!$A$1:$Z$2488,306,'Live Data'!$C$16)),"")</f>
        <v>USAID Jamii Tekelezi</v>
      </c>
      <c r="F306" s="54" t="str">
        <f>IFERROR(IF(INDEX(SPOT_Import!$A$1:$Z$2488,306,'Live Data'!$C$17)="","",INDEX(SPOT_Import!$A$1:$Z$2488,306,'Live Data'!$C$17)),"")</f>
        <v>HTS</v>
      </c>
      <c r="G306" s="54">
        <f>IFERROR(IF(INDEX(SPOT_Import!$A$1:$Z$2488,306,'Live Data'!$C$18)="","",INDEX(SPOT_Import!$A$1:$Z$2488,306,'Live Data'!$C$18)),"")</f>
        <v>1002</v>
      </c>
      <c r="H306" s="54" t="str">
        <f>IFERROR(IF(INDEX(SPOT_Import!$A$1:$Z$2488,306,'Live Data'!$C$19)="","",INDEX(SPOT_Import!$A$1:$Z$2488,306,'Live Data'!$C$19)),"")</f>
        <v/>
      </c>
      <c r="I306" s="54" t="str">
        <f>IFERROR(IF(INDEX(SPOT_Import!$A$1:$Z$2488,306,'Live Data'!$C$20)="","",INDEX(SPOT_Import!$A$1:$Z$2488,306,'Live Data'!$C$20)),"")</f>
        <v>Complete</v>
      </c>
      <c r="J306" s="54" t="str">
        <f>IFERROR(IF(INDEX(SPOT_Import!$A$1:$Z$2488,306,'Live Data'!$C$21)="","",INDEX(SPOT_Import!$A$1:$Z$2488,306,'Live Data'!$C$21)),"")</f>
        <v>2026-10-06T09:19:37.000Z</v>
      </c>
      <c r="K306" s="54" t="str">
        <f>IFERROR(IF(INDEX(SPOT_Import!$A$1:$Z$2488,306,'Live Data'!$C$22)="","",INDEX(SPOT_Import!$A$1:$Z$2488,306,'Live Data'!$C$22)),"")</f>
        <v>2026-10-06T09:19:37.000Z</v>
      </c>
      <c r="L306" s="55" t="str">
        <f t="shared" si="8"/>
        <v>2026-10</v>
      </c>
      <c r="M306" s="55" t="str">
        <f t="shared" si="9"/>
        <v>THARAKA-NITHI</v>
      </c>
      <c r="N306" s="55" t="str">
        <f>IF(A306="","",IFERROR(INDEX('Cluster Map'!$A$4:$A$38,MATCH(M306,'Cluster Map'!$B$4:$B$38,0)),"Unmapped"))</f>
        <v>Cluster 2</v>
      </c>
      <c r="O306" s="55">
        <f>IF(A306="",0,IF(COUNTIFS($A$2:A306,A306,$F$2:F306,F306,$L$2:L306,L306)=1,1,0))</f>
        <v>1</v>
      </c>
      <c r="P306" s="55">
        <f>IF(A306="",0,IF(AND(F306="C&amp;T",COUNTIFS($A$2:A306,A306,$F$2:F306,"C&amp;T")=1),1,0))</f>
        <v>0</v>
      </c>
    </row>
    <row r="307" spans="1:16" x14ac:dyDescent="0.35">
      <c r="A307" s="54">
        <f>IFERROR(IF(INDEX(SPOT_Import!$A$1:$Z$2488,307,'Live Data'!$C$12)="","",INDEX(SPOT_Import!$A$1:$Z$2488,307,'Live Data'!$C$12)),"")</f>
        <v>11004</v>
      </c>
      <c r="B307" s="54" t="str">
        <f>IFERROR(IF(INDEX(SPOT_Import!$A$1:$Z$2488,307,'Live Data'!$C$13)="","",INDEX(SPOT_Import!$A$1:$Z$2488,307,'Live Data'!$C$13)),"")</f>
        <v>Shamata Health Centre</v>
      </c>
      <c r="C307" s="54" t="str">
        <f>IFERROR(IF(INDEX(SPOT_Import!$A$1:$Z$2488,307,'Live Data'!$C$14)="","",INDEX(SPOT_Import!$A$1:$Z$2488,307,'Live Data'!$C$14)),"")</f>
        <v>NYANDARUA</v>
      </c>
      <c r="D307" s="54" t="str">
        <f>IFERROR(IF(INDEX(SPOT_Import!$A$1:$Z$2488,307,'Live Data'!$C$15)="","",INDEX(SPOT_Import!$A$1:$Z$2488,307,'Live Data'!$C$15)),"")</f>
        <v>Ndaragwa</v>
      </c>
      <c r="E307" s="54" t="str">
        <f>IFERROR(IF(INDEX(SPOT_Import!$A$1:$Z$2488,307,'Live Data'!$C$16)="","",INDEX(SPOT_Import!$A$1:$Z$2488,307,'Live Data'!$C$16)),"")</f>
        <v>USAID Jamii Tekelezi</v>
      </c>
      <c r="F307" s="54" t="str">
        <f>IFERROR(IF(INDEX(SPOT_Import!$A$1:$Z$2488,307,'Live Data'!$C$17)="","",INDEX(SPOT_Import!$A$1:$Z$2488,307,'Live Data'!$C$17)),"")</f>
        <v>C&amp;T</v>
      </c>
      <c r="G307" s="54">
        <f>IFERROR(IF(INDEX(SPOT_Import!$A$1:$Z$2488,307,'Live Data'!$C$18)="","",INDEX(SPOT_Import!$A$1:$Z$2488,307,'Live Data'!$C$18)),"")</f>
        <v>614</v>
      </c>
      <c r="H307" s="54">
        <f>IFERROR(IF(INDEX(SPOT_Import!$A$1:$Z$2488,307,'Live Data'!$C$19)="","",INDEX(SPOT_Import!$A$1:$Z$2488,307,'Live Data'!$C$19)),"")</f>
        <v>614</v>
      </c>
      <c r="I307" s="54" t="str">
        <f>IFERROR(IF(INDEX(SPOT_Import!$A$1:$Z$2488,307,'Live Data'!$C$20)="","",INDEX(SPOT_Import!$A$1:$Z$2488,307,'Live Data'!$C$20)),"")</f>
        <v>Complete</v>
      </c>
      <c r="J307" s="54" t="str">
        <f>IFERROR(IF(INDEX(SPOT_Import!$A$1:$Z$2488,307,'Live Data'!$C$21)="","",INDEX(SPOT_Import!$A$1:$Z$2488,307,'Live Data'!$C$21)),"")</f>
        <v>2026-10-06T09:14:39.000Z</v>
      </c>
      <c r="K307" s="54" t="str">
        <f>IFERROR(IF(INDEX(SPOT_Import!$A$1:$Z$2488,307,'Live Data'!$C$22)="","",INDEX(SPOT_Import!$A$1:$Z$2488,307,'Live Data'!$C$22)),"")</f>
        <v>2026-10-06T09:14:39.000Z</v>
      </c>
      <c r="L307" s="55" t="str">
        <f t="shared" si="8"/>
        <v>2026-10</v>
      </c>
      <c r="M307" s="55" t="str">
        <f t="shared" si="9"/>
        <v>NYANDARUA</v>
      </c>
      <c r="N307" s="55" t="str">
        <f>IF(A307="","",IFERROR(INDEX('Cluster Map'!$A$4:$A$38,MATCH(M307,'Cluster Map'!$B$4:$B$38,0)),"Unmapped"))</f>
        <v>Cluster 4</v>
      </c>
      <c r="O307" s="55">
        <f>IF(A307="",0,IF(COUNTIFS($A$2:A307,A307,$F$2:F307,F307,$L$2:L307,L307)=1,1,0))</f>
        <v>1</v>
      </c>
      <c r="P307" s="55">
        <f>IF(A307="",0,IF(AND(F307="C&amp;T",COUNTIFS($A$2:A307,A307,$F$2:F307,"C&amp;T")=1),1,0))</f>
        <v>1</v>
      </c>
    </row>
    <row r="308" spans="1:16" x14ac:dyDescent="0.35">
      <c r="A308" s="54">
        <f>IFERROR(IF(INDEX(SPOT_Import!$A$1:$Z$2488,308,'Live Data'!$C$12)="","",INDEX(SPOT_Import!$A$1:$Z$2488,308,'Live Data'!$C$12)),"")</f>
        <v>17287</v>
      </c>
      <c r="B308" s="54" t="str">
        <f>IFERROR(IF(INDEX(SPOT_Import!$A$1:$Z$2488,308,'Live Data'!$C$13)="","",INDEX(SPOT_Import!$A$1:$Z$2488,308,'Live Data'!$C$13)),"")</f>
        <v>Mboroga Dispensary</v>
      </c>
      <c r="C308" s="54" t="str">
        <f>IFERROR(IF(INDEX(SPOT_Import!$A$1:$Z$2488,308,'Live Data'!$C$14)="","",INDEX(SPOT_Import!$A$1:$Z$2488,308,'Live Data'!$C$14)),"")</f>
        <v>MERU</v>
      </c>
      <c r="D308" s="54" t="str">
        <f>IFERROR(IF(INDEX(SPOT_Import!$A$1:$Z$2488,308,'Live Data'!$C$15)="","",INDEX(SPOT_Import!$A$1:$Z$2488,308,'Live Data'!$C$15)),"")</f>
        <v>Buuri</v>
      </c>
      <c r="E308" s="54" t="str">
        <f>IFERROR(IF(INDEX(SPOT_Import!$A$1:$Z$2488,308,'Live Data'!$C$16)="","",INDEX(SPOT_Import!$A$1:$Z$2488,308,'Live Data'!$C$16)),"")</f>
        <v>USAID Jamii Tekelezi</v>
      </c>
      <c r="F308" s="54" t="str">
        <f>IFERROR(IF(INDEX(SPOT_Import!$A$1:$Z$2488,308,'Live Data'!$C$17)="","",INDEX(SPOT_Import!$A$1:$Z$2488,308,'Live Data'!$C$17)),"")</f>
        <v>C&amp;T</v>
      </c>
      <c r="G308" s="54">
        <f>IFERROR(IF(INDEX(SPOT_Import!$A$1:$Z$2488,308,'Live Data'!$C$18)="","",INDEX(SPOT_Import!$A$1:$Z$2488,308,'Live Data'!$C$18)),"")</f>
        <v>57</v>
      </c>
      <c r="H308" s="54">
        <f>IFERROR(IF(INDEX(SPOT_Import!$A$1:$Z$2488,308,'Live Data'!$C$19)="","",INDEX(SPOT_Import!$A$1:$Z$2488,308,'Live Data'!$C$19)),"")</f>
        <v>57</v>
      </c>
      <c r="I308" s="54" t="str">
        <f>IFERROR(IF(INDEX(SPOT_Import!$A$1:$Z$2488,308,'Live Data'!$C$20)="","",INDEX(SPOT_Import!$A$1:$Z$2488,308,'Live Data'!$C$20)),"")</f>
        <v>Complete</v>
      </c>
      <c r="J308" s="54" t="str">
        <f>IFERROR(IF(INDEX(SPOT_Import!$A$1:$Z$2488,308,'Live Data'!$C$21)="","",INDEX(SPOT_Import!$A$1:$Z$2488,308,'Live Data'!$C$21)),"")</f>
        <v>2026-10-06T09:09:29.000Z</v>
      </c>
      <c r="K308" s="54" t="str">
        <f>IFERROR(IF(INDEX(SPOT_Import!$A$1:$Z$2488,308,'Live Data'!$C$22)="","",INDEX(SPOT_Import!$A$1:$Z$2488,308,'Live Data'!$C$22)),"")</f>
        <v>2026-10-06T09:09:29.000Z</v>
      </c>
      <c r="L308" s="55" t="str">
        <f t="shared" si="8"/>
        <v>2026-10</v>
      </c>
      <c r="M308" s="55" t="str">
        <f t="shared" si="9"/>
        <v>MERU</v>
      </c>
      <c r="N308" s="55" t="str">
        <f>IF(A308="","",IFERROR(INDEX('Cluster Map'!$A$4:$A$38,MATCH(M308,'Cluster Map'!$B$4:$B$38,0)),"Unmapped"))</f>
        <v>Cluster 1</v>
      </c>
      <c r="O308" s="55">
        <f>IF(A308="",0,IF(COUNTIFS($A$2:A308,A308,$F$2:F308,F308,$L$2:L308,L308)=1,1,0))</f>
        <v>1</v>
      </c>
      <c r="P308" s="55">
        <f>IF(A308="",0,IF(AND(F308="C&amp;T",COUNTIFS($A$2:A308,A308,$F$2:F308,"C&amp;T")=1),1,0))</f>
        <v>1</v>
      </c>
    </row>
    <row r="309" spans="1:16" x14ac:dyDescent="0.35">
      <c r="A309" s="54">
        <f>IFERROR(IF(INDEX(SPOT_Import!$A$1:$Z$2488,309,'Live Data'!$C$12)="","",INDEX(SPOT_Import!$A$1:$Z$2488,309,'Live Data'!$C$12)),"")</f>
        <v>16466</v>
      </c>
      <c r="B309" s="54" t="str">
        <f>IFERROR(IF(INDEX(SPOT_Import!$A$1:$Z$2488,309,'Live Data'!$C$13)="","",INDEX(SPOT_Import!$A$1:$Z$2488,309,'Live Data'!$C$13)),"")</f>
        <v>Kiritiri Health Centre</v>
      </c>
      <c r="C309" s="54" t="str">
        <f>IFERROR(IF(INDEX(SPOT_Import!$A$1:$Z$2488,309,'Live Data'!$C$14)="","",INDEX(SPOT_Import!$A$1:$Z$2488,309,'Live Data'!$C$14)),"")</f>
        <v>EMBU</v>
      </c>
      <c r="D309" s="54" t="str">
        <f>IFERROR(IF(INDEX(SPOT_Import!$A$1:$Z$2488,309,'Live Data'!$C$15)="","",INDEX(SPOT_Import!$A$1:$Z$2488,309,'Live Data'!$C$15)),"")</f>
        <v>Mbeere South</v>
      </c>
      <c r="E309" s="54" t="str">
        <f>IFERROR(IF(INDEX(SPOT_Import!$A$1:$Z$2488,309,'Live Data'!$C$16)="","",INDEX(SPOT_Import!$A$1:$Z$2488,309,'Live Data'!$C$16)),"")</f>
        <v>USAID Jamii Tekelezi</v>
      </c>
      <c r="F309" s="54" t="str">
        <f>IFERROR(IF(INDEX(SPOT_Import!$A$1:$Z$2488,309,'Live Data'!$C$17)="","",INDEX(SPOT_Import!$A$1:$Z$2488,309,'Live Data'!$C$17)),"")</f>
        <v>PREP</v>
      </c>
      <c r="G309" s="54">
        <f>IFERROR(IF(INDEX(SPOT_Import!$A$1:$Z$2488,309,'Live Data'!$C$18)="","",INDEX(SPOT_Import!$A$1:$Z$2488,309,'Live Data'!$C$18)),"")</f>
        <v>264</v>
      </c>
      <c r="H309" s="54">
        <f>IFERROR(IF(INDEX(SPOT_Import!$A$1:$Z$2488,309,'Live Data'!$C$19)="","",INDEX(SPOT_Import!$A$1:$Z$2488,309,'Live Data'!$C$19)),"")</f>
        <v>200</v>
      </c>
      <c r="I309" s="54" t="str">
        <f>IFERROR(IF(INDEX(SPOT_Import!$A$1:$Z$2488,309,'Live Data'!$C$20)="","",INDEX(SPOT_Import!$A$1:$Z$2488,309,'Live Data'!$C$20)),"")</f>
        <v>Incomplete</v>
      </c>
      <c r="J309" s="54" t="str">
        <f>IFERROR(IF(INDEX(SPOT_Import!$A$1:$Z$2488,309,'Live Data'!$C$21)="","",INDEX(SPOT_Import!$A$1:$Z$2488,309,'Live Data'!$C$21)),"")</f>
        <v>2026-10-06T09:07:32.000Z</v>
      </c>
      <c r="K309" s="54" t="str">
        <f>IFERROR(IF(INDEX(SPOT_Import!$A$1:$Z$2488,309,'Live Data'!$C$22)="","",INDEX(SPOT_Import!$A$1:$Z$2488,309,'Live Data'!$C$22)),"")</f>
        <v>2026-10-06T09:07:32.000Z</v>
      </c>
      <c r="L309" s="55" t="str">
        <f t="shared" si="8"/>
        <v>2026-10</v>
      </c>
      <c r="M309" s="55" t="str">
        <f t="shared" si="9"/>
        <v>EMBU</v>
      </c>
      <c r="N309" s="55" t="str">
        <f>IF(A309="","",IFERROR(INDEX('Cluster Map'!$A$4:$A$38,MATCH(M309,'Cluster Map'!$B$4:$B$38,0)),"Unmapped"))</f>
        <v>Cluster 2</v>
      </c>
      <c r="O309" s="55">
        <f>IF(A309="",0,IF(COUNTIFS($A$2:A309,A309,$F$2:F309,F309,$L$2:L309,L309)=1,1,0))</f>
        <v>1</v>
      </c>
      <c r="P309" s="55">
        <f>IF(A309="",0,IF(AND(F309="C&amp;T",COUNTIFS($A$2:A309,A309,$F$2:F309,"C&amp;T")=1),1,0))</f>
        <v>0</v>
      </c>
    </row>
    <row r="310" spans="1:16" x14ac:dyDescent="0.35">
      <c r="A310" s="54">
        <f>IFERROR(IF(INDEX(SPOT_Import!$A$1:$Z$2488,310,'Live Data'!$C$12)="","",INDEX(SPOT_Import!$A$1:$Z$2488,310,'Live Data'!$C$12)),"")</f>
        <v>16466</v>
      </c>
      <c r="B310" s="54" t="str">
        <f>IFERROR(IF(INDEX(SPOT_Import!$A$1:$Z$2488,310,'Live Data'!$C$13)="","",INDEX(SPOT_Import!$A$1:$Z$2488,310,'Live Data'!$C$13)),"")</f>
        <v>Kiritiri Health Centre</v>
      </c>
      <c r="C310" s="54" t="str">
        <f>IFERROR(IF(INDEX(SPOT_Import!$A$1:$Z$2488,310,'Live Data'!$C$14)="","",INDEX(SPOT_Import!$A$1:$Z$2488,310,'Live Data'!$C$14)),"")</f>
        <v>EMBU</v>
      </c>
      <c r="D310" s="54" t="str">
        <f>IFERROR(IF(INDEX(SPOT_Import!$A$1:$Z$2488,310,'Live Data'!$C$15)="","",INDEX(SPOT_Import!$A$1:$Z$2488,310,'Live Data'!$C$15)),"")</f>
        <v>Mbeere South</v>
      </c>
      <c r="E310" s="54" t="str">
        <f>IFERROR(IF(INDEX(SPOT_Import!$A$1:$Z$2488,310,'Live Data'!$C$16)="","",INDEX(SPOT_Import!$A$1:$Z$2488,310,'Live Data'!$C$16)),"")</f>
        <v>USAID Jamii Tekelezi</v>
      </c>
      <c r="F310" s="54" t="str">
        <f>IFERROR(IF(INDEX(SPOT_Import!$A$1:$Z$2488,310,'Live Data'!$C$17)="","",INDEX(SPOT_Import!$A$1:$Z$2488,310,'Live Data'!$C$17)),"")</f>
        <v>MNCH</v>
      </c>
      <c r="G310" s="54">
        <f>IFERROR(IF(INDEX(SPOT_Import!$A$1:$Z$2488,310,'Live Data'!$C$18)="","",INDEX(SPOT_Import!$A$1:$Z$2488,310,'Live Data'!$C$18)),"")</f>
        <v>276</v>
      </c>
      <c r="H310" s="54">
        <f>IFERROR(IF(INDEX(SPOT_Import!$A$1:$Z$2488,310,'Live Data'!$C$19)="","",INDEX(SPOT_Import!$A$1:$Z$2488,310,'Live Data'!$C$19)),"")</f>
        <v>276</v>
      </c>
      <c r="I310" s="54" t="str">
        <f>IFERROR(IF(INDEX(SPOT_Import!$A$1:$Z$2488,310,'Live Data'!$C$20)="","",INDEX(SPOT_Import!$A$1:$Z$2488,310,'Live Data'!$C$20)),"")</f>
        <v>Complete</v>
      </c>
      <c r="J310" s="54" t="str">
        <f>IFERROR(IF(INDEX(SPOT_Import!$A$1:$Z$2488,310,'Live Data'!$C$21)="","",INDEX(SPOT_Import!$A$1:$Z$2488,310,'Live Data'!$C$21)),"")</f>
        <v>2026-10-06T09:07:11.000Z</v>
      </c>
      <c r="K310" s="54" t="str">
        <f>IFERROR(IF(INDEX(SPOT_Import!$A$1:$Z$2488,310,'Live Data'!$C$22)="","",INDEX(SPOT_Import!$A$1:$Z$2488,310,'Live Data'!$C$22)),"")</f>
        <v>2026-10-06T09:07:11.000Z</v>
      </c>
      <c r="L310" s="55" t="str">
        <f t="shared" si="8"/>
        <v>2026-10</v>
      </c>
      <c r="M310" s="55" t="str">
        <f t="shared" si="9"/>
        <v>EMBU</v>
      </c>
      <c r="N310" s="55" t="str">
        <f>IF(A310="","",IFERROR(INDEX('Cluster Map'!$A$4:$A$38,MATCH(M310,'Cluster Map'!$B$4:$B$38,0)),"Unmapped"))</f>
        <v>Cluster 2</v>
      </c>
      <c r="O310" s="55">
        <f>IF(A310="",0,IF(COUNTIFS($A$2:A310,A310,$F$2:F310,F310,$L$2:L310,L310)=1,1,0))</f>
        <v>1</v>
      </c>
      <c r="P310" s="55">
        <f>IF(A310="",0,IF(AND(F310="C&amp;T",COUNTIFS($A$2:A310,A310,$F$2:F310,"C&amp;T")=1),1,0))</f>
        <v>0</v>
      </c>
    </row>
    <row r="311" spans="1:16" x14ac:dyDescent="0.35">
      <c r="A311" s="54">
        <f>IFERROR(IF(INDEX(SPOT_Import!$A$1:$Z$2488,311,'Live Data'!$C$12)="","",INDEX(SPOT_Import!$A$1:$Z$2488,311,'Live Data'!$C$12)),"")</f>
        <v>16466</v>
      </c>
      <c r="B311" s="54" t="str">
        <f>IFERROR(IF(INDEX(SPOT_Import!$A$1:$Z$2488,311,'Live Data'!$C$13)="","",INDEX(SPOT_Import!$A$1:$Z$2488,311,'Live Data'!$C$13)),"")</f>
        <v>Kiritiri Health Centre</v>
      </c>
      <c r="C311" s="54" t="str">
        <f>IFERROR(IF(INDEX(SPOT_Import!$A$1:$Z$2488,311,'Live Data'!$C$14)="","",INDEX(SPOT_Import!$A$1:$Z$2488,311,'Live Data'!$C$14)),"")</f>
        <v>EMBU</v>
      </c>
      <c r="D311" s="54" t="str">
        <f>IFERROR(IF(INDEX(SPOT_Import!$A$1:$Z$2488,311,'Live Data'!$C$15)="","",INDEX(SPOT_Import!$A$1:$Z$2488,311,'Live Data'!$C$15)),"")</f>
        <v>Mbeere South</v>
      </c>
      <c r="E311" s="54" t="str">
        <f>IFERROR(IF(INDEX(SPOT_Import!$A$1:$Z$2488,311,'Live Data'!$C$16)="","",INDEX(SPOT_Import!$A$1:$Z$2488,311,'Live Data'!$C$16)),"")</f>
        <v>USAID Jamii Tekelezi</v>
      </c>
      <c r="F311" s="54" t="str">
        <f>IFERROR(IF(INDEX(SPOT_Import!$A$1:$Z$2488,311,'Live Data'!$C$17)="","",INDEX(SPOT_Import!$A$1:$Z$2488,311,'Live Data'!$C$17)),"")</f>
        <v>HTS</v>
      </c>
      <c r="G311" s="54">
        <f>IFERROR(IF(INDEX(SPOT_Import!$A$1:$Z$2488,311,'Live Data'!$C$18)="","",INDEX(SPOT_Import!$A$1:$Z$2488,311,'Live Data'!$C$18)),"")</f>
        <v>1956</v>
      </c>
      <c r="H311" s="54">
        <f>IFERROR(IF(INDEX(SPOT_Import!$A$1:$Z$2488,311,'Live Data'!$C$19)="","",INDEX(SPOT_Import!$A$1:$Z$2488,311,'Live Data'!$C$19)),"")</f>
        <v>1956</v>
      </c>
      <c r="I311" s="54" t="str">
        <f>IFERROR(IF(INDEX(SPOT_Import!$A$1:$Z$2488,311,'Live Data'!$C$20)="","",INDEX(SPOT_Import!$A$1:$Z$2488,311,'Live Data'!$C$20)),"")</f>
        <v>Complete</v>
      </c>
      <c r="J311" s="54" t="str">
        <f>IFERROR(IF(INDEX(SPOT_Import!$A$1:$Z$2488,311,'Live Data'!$C$21)="","",INDEX(SPOT_Import!$A$1:$Z$2488,311,'Live Data'!$C$21)),"")</f>
        <v>2026-10-06T09:06:47.000Z</v>
      </c>
      <c r="K311" s="54" t="str">
        <f>IFERROR(IF(INDEX(SPOT_Import!$A$1:$Z$2488,311,'Live Data'!$C$22)="","",INDEX(SPOT_Import!$A$1:$Z$2488,311,'Live Data'!$C$22)),"")</f>
        <v>2026-10-06T09:06:47.000Z</v>
      </c>
      <c r="L311" s="55" t="str">
        <f t="shared" si="8"/>
        <v>2026-10</v>
      </c>
      <c r="M311" s="55" t="str">
        <f t="shared" si="9"/>
        <v>EMBU</v>
      </c>
      <c r="N311" s="55" t="str">
        <f>IF(A311="","",IFERROR(INDEX('Cluster Map'!$A$4:$A$38,MATCH(M311,'Cluster Map'!$B$4:$B$38,0)),"Unmapped"))</f>
        <v>Cluster 2</v>
      </c>
      <c r="O311" s="55">
        <f>IF(A311="",0,IF(COUNTIFS($A$2:A311,A311,$F$2:F311,F311,$L$2:L311,L311)=1,1,0))</f>
        <v>1</v>
      </c>
      <c r="P311" s="55">
        <f>IF(A311="",0,IF(AND(F311="C&amp;T",COUNTIFS($A$2:A311,A311,$F$2:F311,"C&amp;T")=1),1,0))</f>
        <v>0</v>
      </c>
    </row>
    <row r="312" spans="1:16" x14ac:dyDescent="0.35">
      <c r="A312" s="54">
        <f>IFERROR(IF(INDEX(SPOT_Import!$A$1:$Z$2488,312,'Live Data'!$C$12)="","",INDEX(SPOT_Import!$A$1:$Z$2488,312,'Live Data'!$C$12)),"")</f>
        <v>12717</v>
      </c>
      <c r="B312" s="54" t="str">
        <f>IFERROR(IF(INDEX(SPOT_Import!$A$1:$Z$2488,312,'Live Data'!$C$13)="","",INDEX(SPOT_Import!$A$1:$Z$2488,312,'Live Data'!$C$13)),"")</f>
        <v>Ruiri Rural Health Demonstration Centre</v>
      </c>
      <c r="C312" s="54" t="str">
        <f>IFERROR(IF(INDEX(SPOT_Import!$A$1:$Z$2488,312,'Live Data'!$C$14)="","",INDEX(SPOT_Import!$A$1:$Z$2488,312,'Live Data'!$C$14)),"")</f>
        <v>MERU</v>
      </c>
      <c r="D312" s="54" t="str">
        <f>IFERROR(IF(INDEX(SPOT_Import!$A$1:$Z$2488,312,'Live Data'!$C$15)="","",INDEX(SPOT_Import!$A$1:$Z$2488,312,'Live Data'!$C$15)),"")</f>
        <v>Buuri</v>
      </c>
      <c r="E312" s="54" t="str">
        <f>IFERROR(IF(INDEX(SPOT_Import!$A$1:$Z$2488,312,'Live Data'!$C$16)="","",INDEX(SPOT_Import!$A$1:$Z$2488,312,'Live Data'!$C$16)),"")</f>
        <v>USAID Jamii Tekelezi</v>
      </c>
      <c r="F312" s="54" t="str">
        <f>IFERROR(IF(INDEX(SPOT_Import!$A$1:$Z$2488,312,'Live Data'!$C$17)="","",INDEX(SPOT_Import!$A$1:$Z$2488,312,'Live Data'!$C$17)),"")</f>
        <v>C&amp;T</v>
      </c>
      <c r="G312" s="54">
        <f>IFERROR(IF(INDEX(SPOT_Import!$A$1:$Z$2488,312,'Live Data'!$C$18)="","",INDEX(SPOT_Import!$A$1:$Z$2488,312,'Live Data'!$C$18)),"")</f>
        <v>258</v>
      </c>
      <c r="H312" s="54">
        <f>IFERROR(IF(INDEX(SPOT_Import!$A$1:$Z$2488,312,'Live Data'!$C$19)="","",INDEX(SPOT_Import!$A$1:$Z$2488,312,'Live Data'!$C$19)),"")</f>
        <v>258</v>
      </c>
      <c r="I312" s="54" t="str">
        <f>IFERROR(IF(INDEX(SPOT_Import!$A$1:$Z$2488,312,'Live Data'!$C$20)="","",INDEX(SPOT_Import!$A$1:$Z$2488,312,'Live Data'!$C$20)),"")</f>
        <v>Complete</v>
      </c>
      <c r="J312" s="54" t="str">
        <f>IFERROR(IF(INDEX(SPOT_Import!$A$1:$Z$2488,312,'Live Data'!$C$21)="","",INDEX(SPOT_Import!$A$1:$Z$2488,312,'Live Data'!$C$21)),"")</f>
        <v>2026-10-06T09:05:39.000Z</v>
      </c>
      <c r="K312" s="54" t="str">
        <f>IFERROR(IF(INDEX(SPOT_Import!$A$1:$Z$2488,312,'Live Data'!$C$22)="","",INDEX(SPOT_Import!$A$1:$Z$2488,312,'Live Data'!$C$22)),"")</f>
        <v>2026-10-06T09:05:39.000Z</v>
      </c>
      <c r="L312" s="55" t="str">
        <f t="shared" si="8"/>
        <v>2026-10</v>
      </c>
      <c r="M312" s="55" t="str">
        <f t="shared" si="9"/>
        <v>MERU</v>
      </c>
      <c r="N312" s="55" t="str">
        <f>IF(A312="","",IFERROR(INDEX('Cluster Map'!$A$4:$A$38,MATCH(M312,'Cluster Map'!$B$4:$B$38,0)),"Unmapped"))</f>
        <v>Cluster 1</v>
      </c>
      <c r="O312" s="55">
        <f>IF(A312="",0,IF(COUNTIFS($A$2:A312,A312,$F$2:F312,F312,$L$2:L312,L312)=1,1,0))</f>
        <v>1</v>
      </c>
      <c r="P312" s="55">
        <f>IF(A312="",0,IF(AND(F312="C&amp;T",COUNTIFS($A$2:A312,A312,$F$2:F312,"C&amp;T")=1),1,0))</f>
        <v>1</v>
      </c>
    </row>
    <row r="313" spans="1:16" x14ac:dyDescent="0.35">
      <c r="A313" s="54">
        <f>IFERROR(IF(INDEX(SPOT_Import!$A$1:$Z$2488,313,'Live Data'!$C$12)="","",INDEX(SPOT_Import!$A$1:$Z$2488,313,'Live Data'!$C$12)),"")</f>
        <v>12631</v>
      </c>
      <c r="B313" s="54" t="str">
        <f>IFERROR(IF(INDEX(SPOT_Import!$A$1:$Z$2488,313,'Live Data'!$C$13)="","",INDEX(SPOT_Import!$A$1:$Z$2488,313,'Live Data'!$C$13)),"")</f>
        <v>Naari Health Centre</v>
      </c>
      <c r="C313" s="54" t="str">
        <f>IFERROR(IF(INDEX(SPOT_Import!$A$1:$Z$2488,313,'Live Data'!$C$14)="","",INDEX(SPOT_Import!$A$1:$Z$2488,313,'Live Data'!$C$14)),"")</f>
        <v>MERU</v>
      </c>
      <c r="D313" s="54" t="str">
        <f>IFERROR(IF(INDEX(SPOT_Import!$A$1:$Z$2488,313,'Live Data'!$C$15)="","",INDEX(SPOT_Import!$A$1:$Z$2488,313,'Live Data'!$C$15)),"")</f>
        <v>Buuri</v>
      </c>
      <c r="E313" s="54" t="str">
        <f>IFERROR(IF(INDEX(SPOT_Import!$A$1:$Z$2488,313,'Live Data'!$C$16)="","",INDEX(SPOT_Import!$A$1:$Z$2488,313,'Live Data'!$C$16)),"")</f>
        <v>USAID Jamii Tekelezi</v>
      </c>
      <c r="F313" s="54" t="str">
        <f>IFERROR(IF(INDEX(SPOT_Import!$A$1:$Z$2488,313,'Live Data'!$C$17)="","",INDEX(SPOT_Import!$A$1:$Z$2488,313,'Live Data'!$C$17)),"")</f>
        <v>C&amp;T</v>
      </c>
      <c r="G313" s="54">
        <f>IFERROR(IF(INDEX(SPOT_Import!$A$1:$Z$2488,313,'Live Data'!$C$18)="","",INDEX(SPOT_Import!$A$1:$Z$2488,313,'Live Data'!$C$18)),"")</f>
        <v>81</v>
      </c>
      <c r="H313" s="54">
        <f>IFERROR(IF(INDEX(SPOT_Import!$A$1:$Z$2488,313,'Live Data'!$C$19)="","",INDEX(SPOT_Import!$A$1:$Z$2488,313,'Live Data'!$C$19)),"")</f>
        <v>81</v>
      </c>
      <c r="I313" s="54" t="str">
        <f>IFERROR(IF(INDEX(SPOT_Import!$A$1:$Z$2488,313,'Live Data'!$C$20)="","",INDEX(SPOT_Import!$A$1:$Z$2488,313,'Live Data'!$C$20)),"")</f>
        <v>Complete</v>
      </c>
      <c r="J313" s="54" t="str">
        <f>IFERROR(IF(INDEX(SPOT_Import!$A$1:$Z$2488,313,'Live Data'!$C$21)="","",INDEX(SPOT_Import!$A$1:$Z$2488,313,'Live Data'!$C$21)),"")</f>
        <v>2026-10-06T08:56:23.000Z</v>
      </c>
      <c r="K313" s="54" t="str">
        <f>IFERROR(IF(INDEX(SPOT_Import!$A$1:$Z$2488,313,'Live Data'!$C$22)="","",INDEX(SPOT_Import!$A$1:$Z$2488,313,'Live Data'!$C$22)),"")</f>
        <v>2026-10-06T08:56:23.000Z</v>
      </c>
      <c r="L313" s="55" t="str">
        <f t="shared" si="8"/>
        <v>2026-10</v>
      </c>
      <c r="M313" s="55" t="str">
        <f t="shared" si="9"/>
        <v>MERU</v>
      </c>
      <c r="N313" s="55" t="str">
        <f>IF(A313="","",IFERROR(INDEX('Cluster Map'!$A$4:$A$38,MATCH(M313,'Cluster Map'!$B$4:$B$38,0)),"Unmapped"))</f>
        <v>Cluster 1</v>
      </c>
      <c r="O313" s="55">
        <f>IF(A313="",0,IF(COUNTIFS($A$2:A313,A313,$F$2:F313,F313,$L$2:L313,L313)=1,1,0))</f>
        <v>1</v>
      </c>
      <c r="P313" s="55">
        <f>IF(A313="",0,IF(AND(F313="C&amp;T",COUNTIFS($A$2:A313,A313,$F$2:F313,"C&amp;T")=1),1,0))</f>
        <v>1</v>
      </c>
    </row>
    <row r="314" spans="1:16" x14ac:dyDescent="0.35">
      <c r="A314" s="54">
        <f>IFERROR(IF(INDEX(SPOT_Import!$A$1:$Z$2488,314,'Live Data'!$C$12)="","",INDEX(SPOT_Import!$A$1:$Z$2488,314,'Live Data'!$C$12)),"")</f>
        <v>12795</v>
      </c>
      <c r="B314" s="54" t="str">
        <f>IFERROR(IF(INDEX(SPOT_Import!$A$1:$Z$2488,314,'Live Data'!$C$13)="","",INDEX(SPOT_Import!$A$1:$Z$2488,314,'Live Data'!$C$13)),"")</f>
        <v>Tharaka District Hospital</v>
      </c>
      <c r="C314" s="54" t="str">
        <f>IFERROR(IF(INDEX(SPOT_Import!$A$1:$Z$2488,314,'Live Data'!$C$14)="","",INDEX(SPOT_Import!$A$1:$Z$2488,314,'Live Data'!$C$14)),"")</f>
        <v>THARAKA-NITHI</v>
      </c>
      <c r="D314" s="54" t="str">
        <f>IFERROR(IF(INDEX(SPOT_Import!$A$1:$Z$2488,314,'Live Data'!$C$15)="","",INDEX(SPOT_Import!$A$1:$Z$2488,314,'Live Data'!$C$15)),"")</f>
        <v>Tharaka South</v>
      </c>
      <c r="E314" s="54" t="str">
        <f>IFERROR(IF(INDEX(SPOT_Import!$A$1:$Z$2488,314,'Live Data'!$C$16)="","",INDEX(SPOT_Import!$A$1:$Z$2488,314,'Live Data'!$C$16)),"")</f>
        <v>USAID Jamii Tekelezi</v>
      </c>
      <c r="F314" s="54" t="str">
        <f>IFERROR(IF(INDEX(SPOT_Import!$A$1:$Z$2488,314,'Live Data'!$C$17)="","",INDEX(SPOT_Import!$A$1:$Z$2488,314,'Live Data'!$C$17)),"")</f>
        <v>PREP</v>
      </c>
      <c r="G314" s="54">
        <f>IFERROR(IF(INDEX(SPOT_Import!$A$1:$Z$2488,314,'Live Data'!$C$18)="","",INDEX(SPOT_Import!$A$1:$Z$2488,314,'Live Data'!$C$18)),"")</f>
        <v>425</v>
      </c>
      <c r="H314" s="54">
        <f>IFERROR(IF(INDEX(SPOT_Import!$A$1:$Z$2488,314,'Live Data'!$C$19)="","",INDEX(SPOT_Import!$A$1:$Z$2488,314,'Live Data'!$C$19)),"")</f>
        <v>425</v>
      </c>
      <c r="I314" s="54" t="str">
        <f>IFERROR(IF(INDEX(SPOT_Import!$A$1:$Z$2488,314,'Live Data'!$C$20)="","",INDEX(SPOT_Import!$A$1:$Z$2488,314,'Live Data'!$C$20)),"")</f>
        <v>Complete</v>
      </c>
      <c r="J314" s="54" t="str">
        <f>IFERROR(IF(INDEX(SPOT_Import!$A$1:$Z$2488,314,'Live Data'!$C$21)="","",INDEX(SPOT_Import!$A$1:$Z$2488,314,'Live Data'!$C$21)),"")</f>
        <v>2026-10-06T08:55:22.000Z</v>
      </c>
      <c r="K314" s="54" t="str">
        <f>IFERROR(IF(INDEX(SPOT_Import!$A$1:$Z$2488,314,'Live Data'!$C$22)="","",INDEX(SPOT_Import!$A$1:$Z$2488,314,'Live Data'!$C$22)),"")</f>
        <v>2026-10-06T08:55:22.000Z</v>
      </c>
      <c r="L314" s="55" t="str">
        <f t="shared" si="8"/>
        <v>2026-10</v>
      </c>
      <c r="M314" s="55" t="str">
        <f t="shared" si="9"/>
        <v>THARAKA-NITHI</v>
      </c>
      <c r="N314" s="55" t="str">
        <f>IF(A314="","",IFERROR(INDEX('Cluster Map'!$A$4:$A$38,MATCH(M314,'Cluster Map'!$B$4:$B$38,0)),"Unmapped"))</f>
        <v>Cluster 2</v>
      </c>
      <c r="O314" s="55">
        <f>IF(A314="",0,IF(COUNTIFS($A$2:A314,A314,$F$2:F314,F314,$L$2:L314,L314)=1,1,0))</f>
        <v>1</v>
      </c>
      <c r="P314" s="55">
        <f>IF(A314="",0,IF(AND(F314="C&amp;T",COUNTIFS($A$2:A314,A314,$F$2:F314,"C&amp;T")=1),1,0))</f>
        <v>0</v>
      </c>
    </row>
    <row r="315" spans="1:16" x14ac:dyDescent="0.35">
      <c r="A315" s="54">
        <f>IFERROR(IF(INDEX(SPOT_Import!$A$1:$Z$2488,315,'Live Data'!$C$12)="","",INDEX(SPOT_Import!$A$1:$Z$2488,315,'Live Data'!$C$12)),"")</f>
        <v>12795</v>
      </c>
      <c r="B315" s="54" t="str">
        <f>IFERROR(IF(INDEX(SPOT_Import!$A$1:$Z$2488,315,'Live Data'!$C$13)="","",INDEX(SPOT_Import!$A$1:$Z$2488,315,'Live Data'!$C$13)),"")</f>
        <v>Tharaka District Hospital</v>
      </c>
      <c r="C315" s="54" t="str">
        <f>IFERROR(IF(INDEX(SPOT_Import!$A$1:$Z$2488,315,'Live Data'!$C$14)="","",INDEX(SPOT_Import!$A$1:$Z$2488,315,'Live Data'!$C$14)),"")</f>
        <v>THARAKA-NITHI</v>
      </c>
      <c r="D315" s="54" t="str">
        <f>IFERROR(IF(INDEX(SPOT_Import!$A$1:$Z$2488,315,'Live Data'!$C$15)="","",INDEX(SPOT_Import!$A$1:$Z$2488,315,'Live Data'!$C$15)),"")</f>
        <v>Tharaka South</v>
      </c>
      <c r="E315" s="54" t="str">
        <f>IFERROR(IF(INDEX(SPOT_Import!$A$1:$Z$2488,315,'Live Data'!$C$16)="","",INDEX(SPOT_Import!$A$1:$Z$2488,315,'Live Data'!$C$16)),"")</f>
        <v>USAID Jamii Tekelezi</v>
      </c>
      <c r="F315" s="54" t="str">
        <f>IFERROR(IF(INDEX(SPOT_Import!$A$1:$Z$2488,315,'Live Data'!$C$17)="","",INDEX(SPOT_Import!$A$1:$Z$2488,315,'Live Data'!$C$17)),"")</f>
        <v>HTS</v>
      </c>
      <c r="G315" s="54">
        <f>IFERROR(IF(INDEX(SPOT_Import!$A$1:$Z$2488,315,'Live Data'!$C$18)="","",INDEX(SPOT_Import!$A$1:$Z$2488,315,'Live Data'!$C$18)),"")</f>
        <v>3672</v>
      </c>
      <c r="H315" s="54">
        <f>IFERROR(IF(INDEX(SPOT_Import!$A$1:$Z$2488,315,'Live Data'!$C$19)="","",INDEX(SPOT_Import!$A$1:$Z$2488,315,'Live Data'!$C$19)),"")</f>
        <v>3672</v>
      </c>
      <c r="I315" s="54" t="str">
        <f>IFERROR(IF(INDEX(SPOT_Import!$A$1:$Z$2488,315,'Live Data'!$C$20)="","",INDEX(SPOT_Import!$A$1:$Z$2488,315,'Live Data'!$C$20)),"")</f>
        <v>Complete</v>
      </c>
      <c r="J315" s="54" t="str">
        <f>IFERROR(IF(INDEX(SPOT_Import!$A$1:$Z$2488,315,'Live Data'!$C$21)="","",INDEX(SPOT_Import!$A$1:$Z$2488,315,'Live Data'!$C$21)),"")</f>
        <v>2026-10-06T08:40:17.000Z</v>
      </c>
      <c r="K315" s="54" t="str">
        <f>IFERROR(IF(INDEX(SPOT_Import!$A$1:$Z$2488,315,'Live Data'!$C$22)="","",INDEX(SPOT_Import!$A$1:$Z$2488,315,'Live Data'!$C$22)),"")</f>
        <v>2026-10-06T08:40:17.000Z</v>
      </c>
      <c r="L315" s="55" t="str">
        <f t="shared" si="8"/>
        <v>2026-10</v>
      </c>
      <c r="M315" s="55" t="str">
        <f t="shared" si="9"/>
        <v>THARAKA-NITHI</v>
      </c>
      <c r="N315" s="55" t="str">
        <f>IF(A315="","",IFERROR(INDEX('Cluster Map'!$A$4:$A$38,MATCH(M315,'Cluster Map'!$B$4:$B$38,0)),"Unmapped"))</f>
        <v>Cluster 2</v>
      </c>
      <c r="O315" s="55">
        <f>IF(A315="",0,IF(COUNTIFS($A$2:A315,A315,$F$2:F315,F315,$L$2:L315,L315)=1,1,0))</f>
        <v>1</v>
      </c>
      <c r="P315" s="55">
        <f>IF(A315="",0,IF(AND(F315="C&amp;T",COUNTIFS($A$2:A315,A315,$F$2:F315,"C&amp;T")=1),1,0))</f>
        <v>0</v>
      </c>
    </row>
    <row r="316" spans="1:16" x14ac:dyDescent="0.35">
      <c r="A316" s="54">
        <f>IFERROR(IF(INDEX(SPOT_Import!$A$1:$Z$2488,316,'Live Data'!$C$12)="","",INDEX(SPOT_Import!$A$1:$Z$2488,316,'Live Data'!$C$12)),"")</f>
        <v>12563</v>
      </c>
      <c r="B316" s="54" t="str">
        <f>IFERROR(IF(INDEX(SPOT_Import!$A$1:$Z$2488,316,'Live Data'!$C$13)="","",INDEX(SPOT_Import!$A$1:$Z$2488,316,'Live Data'!$C$13)),"")</f>
        <v>Mukuuni Dispensary</v>
      </c>
      <c r="C316" s="54" t="str">
        <f>IFERROR(IF(INDEX(SPOT_Import!$A$1:$Z$2488,316,'Live Data'!$C$14)="","",INDEX(SPOT_Import!$A$1:$Z$2488,316,'Live Data'!$C$14)),"")</f>
        <v>THARAKA-NITHI</v>
      </c>
      <c r="D316" s="54" t="str">
        <f>IFERROR(IF(INDEX(SPOT_Import!$A$1:$Z$2488,316,'Live Data'!$C$15)="","",INDEX(SPOT_Import!$A$1:$Z$2488,316,'Live Data'!$C$15)),"")</f>
        <v>Chuka</v>
      </c>
      <c r="E316" s="54" t="str">
        <f>IFERROR(IF(INDEX(SPOT_Import!$A$1:$Z$2488,316,'Live Data'!$C$16)="","",INDEX(SPOT_Import!$A$1:$Z$2488,316,'Live Data'!$C$16)),"")</f>
        <v>USAID Jamii Tekelezi</v>
      </c>
      <c r="F316" s="54" t="str">
        <f>IFERROR(IF(INDEX(SPOT_Import!$A$1:$Z$2488,316,'Live Data'!$C$17)="","",INDEX(SPOT_Import!$A$1:$Z$2488,316,'Live Data'!$C$17)),"")</f>
        <v>C&amp;T</v>
      </c>
      <c r="G316" s="54">
        <f>IFERROR(IF(INDEX(SPOT_Import!$A$1:$Z$2488,316,'Live Data'!$C$18)="","",INDEX(SPOT_Import!$A$1:$Z$2488,316,'Live Data'!$C$18)),"")</f>
        <v>152</v>
      </c>
      <c r="H316" s="54">
        <f>IFERROR(IF(INDEX(SPOT_Import!$A$1:$Z$2488,316,'Live Data'!$C$19)="","",INDEX(SPOT_Import!$A$1:$Z$2488,316,'Live Data'!$C$19)),"")</f>
        <v>152</v>
      </c>
      <c r="I316" s="54" t="str">
        <f>IFERROR(IF(INDEX(SPOT_Import!$A$1:$Z$2488,316,'Live Data'!$C$20)="","",INDEX(SPOT_Import!$A$1:$Z$2488,316,'Live Data'!$C$20)),"")</f>
        <v>Complete</v>
      </c>
      <c r="J316" s="54" t="str">
        <f>IFERROR(IF(INDEX(SPOT_Import!$A$1:$Z$2488,316,'Live Data'!$C$21)="","",INDEX(SPOT_Import!$A$1:$Z$2488,316,'Live Data'!$C$21)),"")</f>
        <v>2026-10-06T08:37:00.000Z</v>
      </c>
      <c r="K316" s="54" t="str">
        <f>IFERROR(IF(INDEX(SPOT_Import!$A$1:$Z$2488,316,'Live Data'!$C$22)="","",INDEX(SPOT_Import!$A$1:$Z$2488,316,'Live Data'!$C$22)),"")</f>
        <v>2026-10-06T08:37:00.000Z</v>
      </c>
      <c r="L316" s="55" t="str">
        <f t="shared" si="8"/>
        <v>2026-10</v>
      </c>
      <c r="M316" s="55" t="str">
        <f t="shared" si="9"/>
        <v>THARAKA-NITHI</v>
      </c>
      <c r="N316" s="55" t="str">
        <f>IF(A316="","",IFERROR(INDEX('Cluster Map'!$A$4:$A$38,MATCH(M316,'Cluster Map'!$B$4:$B$38,0)),"Unmapped"))</f>
        <v>Cluster 2</v>
      </c>
      <c r="O316" s="55">
        <f>IF(A316="",0,IF(COUNTIFS($A$2:A316,A316,$F$2:F316,F316,$L$2:L316,L316)=1,1,0))</f>
        <v>1</v>
      </c>
      <c r="P316" s="55">
        <f>IF(A316="",0,IF(AND(F316="C&amp;T",COUNTIFS($A$2:A316,A316,$F$2:F316,"C&amp;T")=1),1,0))</f>
        <v>1</v>
      </c>
    </row>
    <row r="317" spans="1:16" x14ac:dyDescent="0.35">
      <c r="A317" s="54">
        <f>IFERROR(IF(INDEX(SPOT_Import!$A$1:$Z$2488,317,'Live Data'!$C$12)="","",INDEX(SPOT_Import!$A$1:$Z$2488,317,'Live Data'!$C$12)),"")</f>
        <v>12337</v>
      </c>
      <c r="B317" s="54" t="str">
        <f>IFERROR(IF(INDEX(SPOT_Import!$A$1:$Z$2488,317,'Live Data'!$C$13)="","",INDEX(SPOT_Import!$A$1:$Z$2488,317,'Live Data'!$C$13)),"")</f>
        <v>Kirogine Dispensary</v>
      </c>
      <c r="C317" s="54" t="str">
        <f>IFERROR(IF(INDEX(SPOT_Import!$A$1:$Z$2488,317,'Live Data'!$C$14)="","",INDEX(SPOT_Import!$A$1:$Z$2488,317,'Live Data'!$C$14)),"")</f>
        <v>MERU</v>
      </c>
      <c r="D317" s="54" t="str">
        <f>IFERROR(IF(INDEX(SPOT_Import!$A$1:$Z$2488,317,'Live Data'!$C$15)="","",INDEX(SPOT_Import!$A$1:$Z$2488,317,'Live Data'!$C$15)),"")</f>
        <v>Imenti South</v>
      </c>
      <c r="E317" s="54" t="str">
        <f>IFERROR(IF(INDEX(SPOT_Import!$A$1:$Z$2488,317,'Live Data'!$C$16)="","",INDEX(SPOT_Import!$A$1:$Z$2488,317,'Live Data'!$C$16)),"")</f>
        <v>USAID Jamii Tekelezi</v>
      </c>
      <c r="F317" s="54" t="str">
        <f>IFERROR(IF(INDEX(SPOT_Import!$A$1:$Z$2488,317,'Live Data'!$C$17)="","",INDEX(SPOT_Import!$A$1:$Z$2488,317,'Live Data'!$C$17)),"")</f>
        <v>HTS</v>
      </c>
      <c r="G317" s="54">
        <f>IFERROR(IF(INDEX(SPOT_Import!$A$1:$Z$2488,317,'Live Data'!$C$18)="","",INDEX(SPOT_Import!$A$1:$Z$2488,317,'Live Data'!$C$18)),"")</f>
        <v>22</v>
      </c>
      <c r="H317" s="54">
        <f>IFERROR(IF(INDEX(SPOT_Import!$A$1:$Z$2488,317,'Live Data'!$C$19)="","",INDEX(SPOT_Import!$A$1:$Z$2488,317,'Live Data'!$C$19)),"")</f>
        <v>22</v>
      </c>
      <c r="I317" s="54" t="str">
        <f>IFERROR(IF(INDEX(SPOT_Import!$A$1:$Z$2488,317,'Live Data'!$C$20)="","",INDEX(SPOT_Import!$A$1:$Z$2488,317,'Live Data'!$C$20)),"")</f>
        <v>Complete</v>
      </c>
      <c r="J317" s="54" t="str">
        <f>IFERROR(IF(INDEX(SPOT_Import!$A$1:$Z$2488,317,'Live Data'!$C$21)="","",INDEX(SPOT_Import!$A$1:$Z$2488,317,'Live Data'!$C$21)),"")</f>
        <v>2026-10-06T08:00:40.000Z</v>
      </c>
      <c r="K317" s="54" t="str">
        <f>IFERROR(IF(INDEX(SPOT_Import!$A$1:$Z$2488,317,'Live Data'!$C$22)="","",INDEX(SPOT_Import!$A$1:$Z$2488,317,'Live Data'!$C$22)),"")</f>
        <v>2026-10-06T08:00:40.000Z</v>
      </c>
      <c r="L317" s="55" t="str">
        <f t="shared" si="8"/>
        <v>2026-10</v>
      </c>
      <c r="M317" s="55" t="str">
        <f t="shared" si="9"/>
        <v>MERU</v>
      </c>
      <c r="N317" s="55" t="str">
        <f>IF(A317="","",IFERROR(INDEX('Cluster Map'!$A$4:$A$38,MATCH(M317,'Cluster Map'!$B$4:$B$38,0)),"Unmapped"))</f>
        <v>Cluster 1</v>
      </c>
      <c r="O317" s="55">
        <f>IF(A317="",0,IF(COUNTIFS($A$2:A317,A317,$F$2:F317,F317,$L$2:L317,L317)=1,1,0))</f>
        <v>1</v>
      </c>
      <c r="P317" s="55">
        <f>IF(A317="",0,IF(AND(F317="C&amp;T",COUNTIFS($A$2:A317,A317,$F$2:F317,"C&amp;T")=1),1,0))</f>
        <v>0</v>
      </c>
    </row>
    <row r="318" spans="1:16" x14ac:dyDescent="0.35">
      <c r="A318" s="54">
        <f>IFERROR(IF(INDEX(SPOT_Import!$A$1:$Z$2488,318,'Live Data'!$C$12)="","",INDEX(SPOT_Import!$A$1:$Z$2488,318,'Live Data'!$C$12)),"")</f>
        <v>12337</v>
      </c>
      <c r="B318" s="54" t="str">
        <f>IFERROR(IF(INDEX(SPOT_Import!$A$1:$Z$2488,318,'Live Data'!$C$13)="","",INDEX(SPOT_Import!$A$1:$Z$2488,318,'Live Data'!$C$13)),"")</f>
        <v>Kirogine Dispensary</v>
      </c>
      <c r="C318" s="54" t="str">
        <f>IFERROR(IF(INDEX(SPOT_Import!$A$1:$Z$2488,318,'Live Data'!$C$14)="","",INDEX(SPOT_Import!$A$1:$Z$2488,318,'Live Data'!$C$14)),"")</f>
        <v>MERU</v>
      </c>
      <c r="D318" s="54" t="str">
        <f>IFERROR(IF(INDEX(SPOT_Import!$A$1:$Z$2488,318,'Live Data'!$C$15)="","",INDEX(SPOT_Import!$A$1:$Z$2488,318,'Live Data'!$C$15)),"")</f>
        <v>Imenti South</v>
      </c>
      <c r="E318" s="54" t="str">
        <f>IFERROR(IF(INDEX(SPOT_Import!$A$1:$Z$2488,318,'Live Data'!$C$16)="","",INDEX(SPOT_Import!$A$1:$Z$2488,318,'Live Data'!$C$16)),"")</f>
        <v>USAID Jamii Tekelezi</v>
      </c>
      <c r="F318" s="54" t="str">
        <f>IFERROR(IF(INDEX(SPOT_Import!$A$1:$Z$2488,318,'Live Data'!$C$17)="","",INDEX(SPOT_Import!$A$1:$Z$2488,318,'Live Data'!$C$17)),"")</f>
        <v>C&amp;T</v>
      </c>
      <c r="G318" s="54">
        <f>IFERROR(IF(INDEX(SPOT_Import!$A$1:$Z$2488,318,'Live Data'!$C$18)="","",INDEX(SPOT_Import!$A$1:$Z$2488,318,'Live Data'!$C$18)),"")</f>
        <v>40</v>
      </c>
      <c r="H318" s="54">
        <f>IFERROR(IF(INDEX(SPOT_Import!$A$1:$Z$2488,318,'Live Data'!$C$19)="","",INDEX(SPOT_Import!$A$1:$Z$2488,318,'Live Data'!$C$19)),"")</f>
        <v>40</v>
      </c>
      <c r="I318" s="54" t="str">
        <f>IFERROR(IF(INDEX(SPOT_Import!$A$1:$Z$2488,318,'Live Data'!$C$20)="","",INDEX(SPOT_Import!$A$1:$Z$2488,318,'Live Data'!$C$20)),"")</f>
        <v>Complete</v>
      </c>
      <c r="J318" s="54" t="str">
        <f>IFERROR(IF(INDEX(SPOT_Import!$A$1:$Z$2488,318,'Live Data'!$C$21)="","",INDEX(SPOT_Import!$A$1:$Z$2488,318,'Live Data'!$C$21)),"")</f>
        <v>2026-10-06T07:34:30.000Z</v>
      </c>
      <c r="K318" s="54" t="str">
        <f>IFERROR(IF(INDEX(SPOT_Import!$A$1:$Z$2488,318,'Live Data'!$C$22)="","",INDEX(SPOT_Import!$A$1:$Z$2488,318,'Live Data'!$C$22)),"")</f>
        <v>2026-10-06T07:34:30.000Z</v>
      </c>
      <c r="L318" s="55" t="str">
        <f t="shared" si="8"/>
        <v>2026-10</v>
      </c>
      <c r="M318" s="55" t="str">
        <f t="shared" si="9"/>
        <v>MERU</v>
      </c>
      <c r="N318" s="55" t="str">
        <f>IF(A318="","",IFERROR(INDEX('Cluster Map'!$A$4:$A$38,MATCH(M318,'Cluster Map'!$B$4:$B$38,0)),"Unmapped"))</f>
        <v>Cluster 1</v>
      </c>
      <c r="O318" s="55">
        <f>IF(A318="",0,IF(COUNTIFS($A$2:A318,A318,$F$2:F318,F318,$L$2:L318,L318)=1,1,0))</f>
        <v>1</v>
      </c>
      <c r="P318" s="55">
        <f>IF(A318="",0,IF(AND(F318="C&amp;T",COUNTIFS($A$2:A318,A318,$F$2:F318,"C&amp;T")=1),1,0))</f>
        <v>1</v>
      </c>
    </row>
    <row r="319" spans="1:16" x14ac:dyDescent="0.35">
      <c r="A319" s="54">
        <f>IFERROR(IF(INDEX(SPOT_Import!$A$1:$Z$2488,319,'Live Data'!$C$12)="","",INDEX(SPOT_Import!$A$1:$Z$2488,319,'Live Data'!$C$12)),"")</f>
        <v>10840</v>
      </c>
      <c r="B319" s="54" t="str">
        <f>IFERROR(IF(INDEX(SPOT_Import!$A$1:$Z$2488,319,'Live Data'!$C$13)="","",INDEX(SPOT_Import!$A$1:$Z$2488,319,'Live Data'!$C$13)),"")</f>
        <v>Ndunyu Njeru Dispensary</v>
      </c>
      <c r="C319" s="54" t="str">
        <f>IFERROR(IF(INDEX(SPOT_Import!$A$1:$Z$2488,319,'Live Data'!$C$14)="","",INDEX(SPOT_Import!$A$1:$Z$2488,319,'Live Data'!$C$14)),"")</f>
        <v>NYANDARUA</v>
      </c>
      <c r="D319" s="54" t="str">
        <f>IFERROR(IF(INDEX(SPOT_Import!$A$1:$Z$2488,319,'Live Data'!$C$15)="","",INDEX(SPOT_Import!$A$1:$Z$2488,319,'Live Data'!$C$15)),"")</f>
        <v>Kinangop</v>
      </c>
      <c r="E319" s="54" t="str">
        <f>IFERROR(IF(INDEX(SPOT_Import!$A$1:$Z$2488,319,'Live Data'!$C$16)="","",INDEX(SPOT_Import!$A$1:$Z$2488,319,'Live Data'!$C$16)),"")</f>
        <v>USAID Jamii Tekelezi</v>
      </c>
      <c r="F319" s="54" t="str">
        <f>IFERROR(IF(INDEX(SPOT_Import!$A$1:$Z$2488,319,'Live Data'!$C$17)="","",INDEX(SPOT_Import!$A$1:$Z$2488,319,'Live Data'!$C$17)),"")</f>
        <v>MNCH</v>
      </c>
      <c r="G319" s="54">
        <f>IFERROR(IF(INDEX(SPOT_Import!$A$1:$Z$2488,319,'Live Data'!$C$18)="","",INDEX(SPOT_Import!$A$1:$Z$2488,319,'Live Data'!$C$18)),"")</f>
        <v>14</v>
      </c>
      <c r="H319" s="54">
        <f>IFERROR(IF(INDEX(SPOT_Import!$A$1:$Z$2488,319,'Live Data'!$C$19)="","",INDEX(SPOT_Import!$A$1:$Z$2488,319,'Live Data'!$C$19)),"")</f>
        <v>14</v>
      </c>
      <c r="I319" s="54" t="str">
        <f>IFERROR(IF(INDEX(SPOT_Import!$A$1:$Z$2488,319,'Live Data'!$C$20)="","",INDEX(SPOT_Import!$A$1:$Z$2488,319,'Live Data'!$C$20)),"")</f>
        <v>Complete</v>
      </c>
      <c r="J319" s="54" t="str">
        <f>IFERROR(IF(INDEX(SPOT_Import!$A$1:$Z$2488,319,'Live Data'!$C$21)="","",INDEX(SPOT_Import!$A$1:$Z$2488,319,'Live Data'!$C$21)),"")</f>
        <v>2026-10-06T07:17:20.000Z</v>
      </c>
      <c r="K319" s="54" t="str">
        <f>IFERROR(IF(INDEX(SPOT_Import!$A$1:$Z$2488,319,'Live Data'!$C$22)="","",INDEX(SPOT_Import!$A$1:$Z$2488,319,'Live Data'!$C$22)),"")</f>
        <v>2026-10-06T07:17:20.000Z</v>
      </c>
      <c r="L319" s="55" t="str">
        <f t="shared" si="8"/>
        <v>2026-10</v>
      </c>
      <c r="M319" s="55" t="str">
        <f t="shared" si="9"/>
        <v>NYANDARUA</v>
      </c>
      <c r="N319" s="55" t="str">
        <f>IF(A319="","",IFERROR(INDEX('Cluster Map'!$A$4:$A$38,MATCH(M319,'Cluster Map'!$B$4:$B$38,0)),"Unmapped"))</f>
        <v>Cluster 4</v>
      </c>
      <c r="O319" s="55">
        <f>IF(A319="",0,IF(COUNTIFS($A$2:A319,A319,$F$2:F319,F319,$L$2:L319,L319)=1,1,0))</f>
        <v>1</v>
      </c>
      <c r="P319" s="55">
        <f>IF(A319="",0,IF(AND(F319="C&amp;T",COUNTIFS($A$2:A319,A319,$F$2:F319,"C&amp;T")=1),1,0))</f>
        <v>0</v>
      </c>
    </row>
    <row r="320" spans="1:16" x14ac:dyDescent="0.35">
      <c r="A320" s="54">
        <f>IFERROR(IF(INDEX(SPOT_Import!$A$1:$Z$2488,320,'Live Data'!$C$12)="","",INDEX(SPOT_Import!$A$1:$Z$2488,320,'Live Data'!$C$12)),"")</f>
        <v>10840</v>
      </c>
      <c r="B320" s="54" t="str">
        <f>IFERROR(IF(INDEX(SPOT_Import!$A$1:$Z$2488,320,'Live Data'!$C$13)="","",INDEX(SPOT_Import!$A$1:$Z$2488,320,'Live Data'!$C$13)),"")</f>
        <v>Ndunyu Njeru Dispensary</v>
      </c>
      <c r="C320" s="54" t="str">
        <f>IFERROR(IF(INDEX(SPOT_Import!$A$1:$Z$2488,320,'Live Data'!$C$14)="","",INDEX(SPOT_Import!$A$1:$Z$2488,320,'Live Data'!$C$14)),"")</f>
        <v>NYANDARUA</v>
      </c>
      <c r="D320" s="54" t="str">
        <f>IFERROR(IF(INDEX(SPOT_Import!$A$1:$Z$2488,320,'Live Data'!$C$15)="","",INDEX(SPOT_Import!$A$1:$Z$2488,320,'Live Data'!$C$15)),"")</f>
        <v>Kinangop</v>
      </c>
      <c r="E320" s="54" t="str">
        <f>IFERROR(IF(INDEX(SPOT_Import!$A$1:$Z$2488,320,'Live Data'!$C$16)="","",INDEX(SPOT_Import!$A$1:$Z$2488,320,'Live Data'!$C$16)),"")</f>
        <v>USAID Jamii Tekelezi</v>
      </c>
      <c r="F320" s="54" t="str">
        <f>IFERROR(IF(INDEX(SPOT_Import!$A$1:$Z$2488,320,'Live Data'!$C$17)="","",INDEX(SPOT_Import!$A$1:$Z$2488,320,'Live Data'!$C$17)),"")</f>
        <v>PREP</v>
      </c>
      <c r="G320" s="54">
        <f>IFERROR(IF(INDEX(SPOT_Import!$A$1:$Z$2488,320,'Live Data'!$C$18)="","",INDEX(SPOT_Import!$A$1:$Z$2488,320,'Live Data'!$C$18)),"")</f>
        <v>24</v>
      </c>
      <c r="H320" s="54">
        <f>IFERROR(IF(INDEX(SPOT_Import!$A$1:$Z$2488,320,'Live Data'!$C$19)="","",INDEX(SPOT_Import!$A$1:$Z$2488,320,'Live Data'!$C$19)),"")</f>
        <v>24</v>
      </c>
      <c r="I320" s="54" t="str">
        <f>IFERROR(IF(INDEX(SPOT_Import!$A$1:$Z$2488,320,'Live Data'!$C$20)="","",INDEX(SPOT_Import!$A$1:$Z$2488,320,'Live Data'!$C$20)),"")</f>
        <v>Complete</v>
      </c>
      <c r="J320" s="54" t="str">
        <f>IFERROR(IF(INDEX(SPOT_Import!$A$1:$Z$2488,320,'Live Data'!$C$21)="","",INDEX(SPOT_Import!$A$1:$Z$2488,320,'Live Data'!$C$21)),"")</f>
        <v>2026-10-06T07:17:08.000Z</v>
      </c>
      <c r="K320" s="54" t="str">
        <f>IFERROR(IF(INDEX(SPOT_Import!$A$1:$Z$2488,320,'Live Data'!$C$22)="","",INDEX(SPOT_Import!$A$1:$Z$2488,320,'Live Data'!$C$22)),"")</f>
        <v>2026-10-06T07:17:08.000Z</v>
      </c>
      <c r="L320" s="55" t="str">
        <f t="shared" si="8"/>
        <v>2026-10</v>
      </c>
      <c r="M320" s="55" t="str">
        <f t="shared" si="9"/>
        <v>NYANDARUA</v>
      </c>
      <c r="N320" s="55" t="str">
        <f>IF(A320="","",IFERROR(INDEX('Cluster Map'!$A$4:$A$38,MATCH(M320,'Cluster Map'!$B$4:$B$38,0)),"Unmapped"))</f>
        <v>Cluster 4</v>
      </c>
      <c r="O320" s="55">
        <f>IF(A320="",0,IF(COUNTIFS($A$2:A320,A320,$F$2:F320,F320,$L$2:L320,L320)=1,1,0))</f>
        <v>1</v>
      </c>
      <c r="P320" s="55">
        <f>IF(A320="",0,IF(AND(F320="C&amp;T",COUNTIFS($A$2:A320,A320,$F$2:F320,"C&amp;T")=1),1,0))</f>
        <v>0</v>
      </c>
    </row>
    <row r="321" spans="1:16" x14ac:dyDescent="0.35">
      <c r="A321" s="54">
        <f>IFERROR(IF(INDEX(SPOT_Import!$A$1:$Z$2488,321,'Live Data'!$C$12)="","",INDEX(SPOT_Import!$A$1:$Z$2488,321,'Live Data'!$C$12)),"")</f>
        <v>10840</v>
      </c>
      <c r="B321" s="54" t="str">
        <f>IFERROR(IF(INDEX(SPOT_Import!$A$1:$Z$2488,321,'Live Data'!$C$13)="","",INDEX(SPOT_Import!$A$1:$Z$2488,321,'Live Data'!$C$13)),"")</f>
        <v>Ndunyu Njeru Dispensary</v>
      </c>
      <c r="C321" s="54" t="str">
        <f>IFERROR(IF(INDEX(SPOT_Import!$A$1:$Z$2488,321,'Live Data'!$C$14)="","",INDEX(SPOT_Import!$A$1:$Z$2488,321,'Live Data'!$C$14)),"")</f>
        <v>NYANDARUA</v>
      </c>
      <c r="D321" s="54" t="str">
        <f>IFERROR(IF(INDEX(SPOT_Import!$A$1:$Z$2488,321,'Live Data'!$C$15)="","",INDEX(SPOT_Import!$A$1:$Z$2488,321,'Live Data'!$C$15)),"")</f>
        <v>Kinangop</v>
      </c>
      <c r="E321" s="54" t="str">
        <f>IFERROR(IF(INDEX(SPOT_Import!$A$1:$Z$2488,321,'Live Data'!$C$16)="","",INDEX(SPOT_Import!$A$1:$Z$2488,321,'Live Data'!$C$16)),"")</f>
        <v>USAID Jamii Tekelezi</v>
      </c>
      <c r="F321" s="54" t="str">
        <f>IFERROR(IF(INDEX(SPOT_Import!$A$1:$Z$2488,321,'Live Data'!$C$17)="","",INDEX(SPOT_Import!$A$1:$Z$2488,321,'Live Data'!$C$17)),"")</f>
        <v>HTS</v>
      </c>
      <c r="G321" s="54">
        <f>IFERROR(IF(INDEX(SPOT_Import!$A$1:$Z$2488,321,'Live Data'!$C$18)="","",INDEX(SPOT_Import!$A$1:$Z$2488,321,'Live Data'!$C$18)),"")</f>
        <v>982</v>
      </c>
      <c r="H321" s="54">
        <f>IFERROR(IF(INDEX(SPOT_Import!$A$1:$Z$2488,321,'Live Data'!$C$19)="","",INDEX(SPOT_Import!$A$1:$Z$2488,321,'Live Data'!$C$19)),"")</f>
        <v>982</v>
      </c>
      <c r="I321" s="54" t="str">
        <f>IFERROR(IF(INDEX(SPOT_Import!$A$1:$Z$2488,321,'Live Data'!$C$20)="","",INDEX(SPOT_Import!$A$1:$Z$2488,321,'Live Data'!$C$20)),"")</f>
        <v>Complete</v>
      </c>
      <c r="J321" s="54" t="str">
        <f>IFERROR(IF(INDEX(SPOT_Import!$A$1:$Z$2488,321,'Live Data'!$C$21)="","",INDEX(SPOT_Import!$A$1:$Z$2488,321,'Live Data'!$C$21)),"")</f>
        <v>2026-10-06T07:16:39.000Z</v>
      </c>
      <c r="K321" s="54" t="str">
        <f>IFERROR(IF(INDEX(SPOT_Import!$A$1:$Z$2488,321,'Live Data'!$C$22)="","",INDEX(SPOT_Import!$A$1:$Z$2488,321,'Live Data'!$C$22)),"")</f>
        <v>2026-10-06T07:16:39.000Z</v>
      </c>
      <c r="L321" s="55" t="str">
        <f t="shared" si="8"/>
        <v>2026-10</v>
      </c>
      <c r="M321" s="55" t="str">
        <f t="shared" si="9"/>
        <v>NYANDARUA</v>
      </c>
      <c r="N321" s="55" t="str">
        <f>IF(A321="","",IFERROR(INDEX('Cluster Map'!$A$4:$A$38,MATCH(M321,'Cluster Map'!$B$4:$B$38,0)),"Unmapped"))</f>
        <v>Cluster 4</v>
      </c>
      <c r="O321" s="55">
        <f>IF(A321="",0,IF(COUNTIFS($A$2:A321,A321,$F$2:F321,F321,$L$2:L321,L321)=1,1,0))</f>
        <v>1</v>
      </c>
      <c r="P321" s="55">
        <f>IF(A321="",0,IF(AND(F321="C&amp;T",COUNTIFS($A$2:A321,A321,$F$2:F321,"C&amp;T")=1),1,0))</f>
        <v>0</v>
      </c>
    </row>
    <row r="322" spans="1:16" x14ac:dyDescent="0.35">
      <c r="A322" s="54">
        <f>IFERROR(IF(INDEX(SPOT_Import!$A$1:$Z$2488,322,'Live Data'!$C$12)="","",INDEX(SPOT_Import!$A$1:$Z$2488,322,'Live Data'!$C$12)),"")</f>
        <v>10244</v>
      </c>
      <c r="B322" s="54" t="str">
        <f>IFERROR(IF(INDEX(SPOT_Import!$A$1:$Z$2488,322,'Live Data'!$C$13)="","",INDEX(SPOT_Import!$A$1:$Z$2488,322,'Live Data'!$C$13)),"")</f>
        <v>Geta Bush Health centre</v>
      </c>
      <c r="C322" s="54" t="str">
        <f>IFERROR(IF(INDEX(SPOT_Import!$A$1:$Z$2488,322,'Live Data'!$C$14)="","",INDEX(SPOT_Import!$A$1:$Z$2488,322,'Live Data'!$C$14)),"")</f>
        <v>NYANDARUA</v>
      </c>
      <c r="D322" s="54" t="str">
        <f>IFERROR(IF(INDEX(SPOT_Import!$A$1:$Z$2488,322,'Live Data'!$C$15)="","",INDEX(SPOT_Import!$A$1:$Z$2488,322,'Live Data'!$C$15)),"")</f>
        <v>Kipipiri</v>
      </c>
      <c r="E322" s="54" t="str">
        <f>IFERROR(IF(INDEX(SPOT_Import!$A$1:$Z$2488,322,'Live Data'!$C$16)="","",INDEX(SPOT_Import!$A$1:$Z$2488,322,'Live Data'!$C$16)),"")</f>
        <v>USAID Jamii Tekelezi</v>
      </c>
      <c r="F322" s="54" t="str">
        <f>IFERROR(IF(INDEX(SPOT_Import!$A$1:$Z$2488,322,'Live Data'!$C$17)="","",INDEX(SPOT_Import!$A$1:$Z$2488,322,'Live Data'!$C$17)),"")</f>
        <v>PREP</v>
      </c>
      <c r="G322" s="54">
        <f>IFERROR(IF(INDEX(SPOT_Import!$A$1:$Z$2488,322,'Live Data'!$C$18)="","",INDEX(SPOT_Import!$A$1:$Z$2488,322,'Live Data'!$C$18)),"")</f>
        <v>19</v>
      </c>
      <c r="H322" s="54">
        <f>IFERROR(IF(INDEX(SPOT_Import!$A$1:$Z$2488,322,'Live Data'!$C$19)="","",INDEX(SPOT_Import!$A$1:$Z$2488,322,'Live Data'!$C$19)),"")</f>
        <v>19</v>
      </c>
      <c r="I322" s="54" t="str">
        <f>IFERROR(IF(INDEX(SPOT_Import!$A$1:$Z$2488,322,'Live Data'!$C$20)="","",INDEX(SPOT_Import!$A$1:$Z$2488,322,'Live Data'!$C$20)),"")</f>
        <v>Complete</v>
      </c>
      <c r="J322" s="54" t="str">
        <f>IFERROR(IF(INDEX(SPOT_Import!$A$1:$Z$2488,322,'Live Data'!$C$21)="","",INDEX(SPOT_Import!$A$1:$Z$2488,322,'Live Data'!$C$21)),"")</f>
        <v>2026-10-06T07:01:55.000Z</v>
      </c>
      <c r="K322" s="54" t="str">
        <f>IFERROR(IF(INDEX(SPOT_Import!$A$1:$Z$2488,322,'Live Data'!$C$22)="","",INDEX(SPOT_Import!$A$1:$Z$2488,322,'Live Data'!$C$22)),"")</f>
        <v>2026-10-06T07:01:55.000Z</v>
      </c>
      <c r="L322" s="55" t="str">
        <f t="shared" ref="L322:L385" si="10">IF(A322="","",IF(ISNUMBER(K322),TEXT(K322,"yyyy-mm"),LEFT(K322,7)))</f>
        <v>2026-10</v>
      </c>
      <c r="M322" s="55" t="str">
        <f t="shared" ref="M322:M385" si="11">IF(A322="","",UPPER(TRIM(SUBSTITUTE(C322," - ","-"))))</f>
        <v>NYANDARUA</v>
      </c>
      <c r="N322" s="55" t="str">
        <f>IF(A322="","",IFERROR(INDEX('Cluster Map'!$A$4:$A$38,MATCH(M322,'Cluster Map'!$B$4:$B$38,0)),"Unmapped"))</f>
        <v>Cluster 4</v>
      </c>
      <c r="O322" s="55">
        <f>IF(A322="",0,IF(COUNTIFS($A$2:A322,A322,$F$2:F322,F322,$L$2:L322,L322)=1,1,0))</f>
        <v>1</v>
      </c>
      <c r="P322" s="55">
        <f>IF(A322="",0,IF(AND(F322="C&amp;T",COUNTIFS($A$2:A322,A322,$F$2:F322,"C&amp;T")=1),1,0))</f>
        <v>0</v>
      </c>
    </row>
    <row r="323" spans="1:16" x14ac:dyDescent="0.35">
      <c r="A323" s="54">
        <f>IFERROR(IF(INDEX(SPOT_Import!$A$1:$Z$2488,323,'Live Data'!$C$12)="","",INDEX(SPOT_Import!$A$1:$Z$2488,323,'Live Data'!$C$12)),"")</f>
        <v>10244</v>
      </c>
      <c r="B323" s="54" t="str">
        <f>IFERROR(IF(INDEX(SPOT_Import!$A$1:$Z$2488,323,'Live Data'!$C$13)="","",INDEX(SPOT_Import!$A$1:$Z$2488,323,'Live Data'!$C$13)),"")</f>
        <v>Geta Bush Health centre</v>
      </c>
      <c r="C323" s="54" t="str">
        <f>IFERROR(IF(INDEX(SPOT_Import!$A$1:$Z$2488,323,'Live Data'!$C$14)="","",INDEX(SPOT_Import!$A$1:$Z$2488,323,'Live Data'!$C$14)),"")</f>
        <v>NYANDARUA</v>
      </c>
      <c r="D323" s="54" t="str">
        <f>IFERROR(IF(INDEX(SPOT_Import!$A$1:$Z$2488,323,'Live Data'!$C$15)="","",INDEX(SPOT_Import!$A$1:$Z$2488,323,'Live Data'!$C$15)),"")</f>
        <v>Kipipiri</v>
      </c>
      <c r="E323" s="54" t="str">
        <f>IFERROR(IF(INDEX(SPOT_Import!$A$1:$Z$2488,323,'Live Data'!$C$16)="","",INDEX(SPOT_Import!$A$1:$Z$2488,323,'Live Data'!$C$16)),"")</f>
        <v>USAID Jamii Tekelezi</v>
      </c>
      <c r="F323" s="54" t="str">
        <f>IFERROR(IF(INDEX(SPOT_Import!$A$1:$Z$2488,323,'Live Data'!$C$17)="","",INDEX(SPOT_Import!$A$1:$Z$2488,323,'Live Data'!$C$17)),"")</f>
        <v>MNCH</v>
      </c>
      <c r="G323" s="54">
        <f>IFERROR(IF(INDEX(SPOT_Import!$A$1:$Z$2488,323,'Live Data'!$C$18)="","",INDEX(SPOT_Import!$A$1:$Z$2488,323,'Live Data'!$C$18)),"")</f>
        <v>69</v>
      </c>
      <c r="H323" s="54">
        <f>IFERROR(IF(INDEX(SPOT_Import!$A$1:$Z$2488,323,'Live Data'!$C$19)="","",INDEX(SPOT_Import!$A$1:$Z$2488,323,'Live Data'!$C$19)),"")</f>
        <v>69</v>
      </c>
      <c r="I323" s="54" t="str">
        <f>IFERROR(IF(INDEX(SPOT_Import!$A$1:$Z$2488,323,'Live Data'!$C$20)="","",INDEX(SPOT_Import!$A$1:$Z$2488,323,'Live Data'!$C$20)),"")</f>
        <v>Complete</v>
      </c>
      <c r="J323" s="54" t="str">
        <f>IFERROR(IF(INDEX(SPOT_Import!$A$1:$Z$2488,323,'Live Data'!$C$21)="","",INDEX(SPOT_Import!$A$1:$Z$2488,323,'Live Data'!$C$21)),"")</f>
        <v>2026-10-06T07:01:45.000Z</v>
      </c>
      <c r="K323" s="54" t="str">
        <f>IFERROR(IF(INDEX(SPOT_Import!$A$1:$Z$2488,323,'Live Data'!$C$22)="","",INDEX(SPOT_Import!$A$1:$Z$2488,323,'Live Data'!$C$22)),"")</f>
        <v>2026-10-06T07:01:45.000Z</v>
      </c>
      <c r="L323" s="55" t="str">
        <f t="shared" si="10"/>
        <v>2026-10</v>
      </c>
      <c r="M323" s="55" t="str">
        <f t="shared" si="11"/>
        <v>NYANDARUA</v>
      </c>
      <c r="N323" s="55" t="str">
        <f>IF(A323="","",IFERROR(INDEX('Cluster Map'!$A$4:$A$38,MATCH(M323,'Cluster Map'!$B$4:$B$38,0)),"Unmapped"))</f>
        <v>Cluster 4</v>
      </c>
      <c r="O323" s="55">
        <f>IF(A323="",0,IF(COUNTIFS($A$2:A323,A323,$F$2:F323,F323,$L$2:L323,L323)=1,1,0))</f>
        <v>1</v>
      </c>
      <c r="P323" s="55">
        <f>IF(A323="",0,IF(AND(F323="C&amp;T",COUNTIFS($A$2:A323,A323,$F$2:F323,"C&amp;T")=1),1,0))</f>
        <v>0</v>
      </c>
    </row>
    <row r="324" spans="1:16" x14ac:dyDescent="0.35">
      <c r="A324" s="54">
        <f>IFERROR(IF(INDEX(SPOT_Import!$A$1:$Z$2488,324,'Live Data'!$C$12)="","",INDEX(SPOT_Import!$A$1:$Z$2488,324,'Live Data'!$C$12)),"")</f>
        <v>10244</v>
      </c>
      <c r="B324" s="54" t="str">
        <f>IFERROR(IF(INDEX(SPOT_Import!$A$1:$Z$2488,324,'Live Data'!$C$13)="","",INDEX(SPOT_Import!$A$1:$Z$2488,324,'Live Data'!$C$13)),"")</f>
        <v>Geta Bush Health centre</v>
      </c>
      <c r="C324" s="54" t="str">
        <f>IFERROR(IF(INDEX(SPOT_Import!$A$1:$Z$2488,324,'Live Data'!$C$14)="","",INDEX(SPOT_Import!$A$1:$Z$2488,324,'Live Data'!$C$14)),"")</f>
        <v>NYANDARUA</v>
      </c>
      <c r="D324" s="54" t="str">
        <f>IFERROR(IF(INDEX(SPOT_Import!$A$1:$Z$2488,324,'Live Data'!$C$15)="","",INDEX(SPOT_Import!$A$1:$Z$2488,324,'Live Data'!$C$15)),"")</f>
        <v>Kipipiri</v>
      </c>
      <c r="E324" s="54" t="str">
        <f>IFERROR(IF(INDEX(SPOT_Import!$A$1:$Z$2488,324,'Live Data'!$C$16)="","",INDEX(SPOT_Import!$A$1:$Z$2488,324,'Live Data'!$C$16)),"")</f>
        <v>USAID Jamii Tekelezi</v>
      </c>
      <c r="F324" s="54" t="str">
        <f>IFERROR(IF(INDEX(SPOT_Import!$A$1:$Z$2488,324,'Live Data'!$C$17)="","",INDEX(SPOT_Import!$A$1:$Z$2488,324,'Live Data'!$C$17)),"")</f>
        <v>HTS</v>
      </c>
      <c r="G324" s="54">
        <f>IFERROR(IF(INDEX(SPOT_Import!$A$1:$Z$2488,324,'Live Data'!$C$18)="","",INDEX(SPOT_Import!$A$1:$Z$2488,324,'Live Data'!$C$18)),"")</f>
        <v>1415</v>
      </c>
      <c r="H324" s="54">
        <f>IFERROR(IF(INDEX(SPOT_Import!$A$1:$Z$2488,324,'Live Data'!$C$19)="","",INDEX(SPOT_Import!$A$1:$Z$2488,324,'Live Data'!$C$19)),"")</f>
        <v>1415</v>
      </c>
      <c r="I324" s="54" t="str">
        <f>IFERROR(IF(INDEX(SPOT_Import!$A$1:$Z$2488,324,'Live Data'!$C$20)="","",INDEX(SPOT_Import!$A$1:$Z$2488,324,'Live Data'!$C$20)),"")</f>
        <v>Complete</v>
      </c>
      <c r="J324" s="54" t="str">
        <f>IFERROR(IF(INDEX(SPOT_Import!$A$1:$Z$2488,324,'Live Data'!$C$21)="","",INDEX(SPOT_Import!$A$1:$Z$2488,324,'Live Data'!$C$21)),"")</f>
        <v>2026-10-06T07:01:23.000Z</v>
      </c>
      <c r="K324" s="54" t="str">
        <f>IFERROR(IF(INDEX(SPOT_Import!$A$1:$Z$2488,324,'Live Data'!$C$22)="","",INDEX(SPOT_Import!$A$1:$Z$2488,324,'Live Data'!$C$22)),"")</f>
        <v>2026-10-06T07:01:23.000Z</v>
      </c>
      <c r="L324" s="55" t="str">
        <f t="shared" si="10"/>
        <v>2026-10</v>
      </c>
      <c r="M324" s="55" t="str">
        <f t="shared" si="11"/>
        <v>NYANDARUA</v>
      </c>
      <c r="N324" s="55" t="str">
        <f>IF(A324="","",IFERROR(INDEX('Cluster Map'!$A$4:$A$38,MATCH(M324,'Cluster Map'!$B$4:$B$38,0)),"Unmapped"))</f>
        <v>Cluster 4</v>
      </c>
      <c r="O324" s="55">
        <f>IF(A324="",0,IF(COUNTIFS($A$2:A324,A324,$F$2:F324,F324,$L$2:L324,L324)=1,1,0))</f>
        <v>1</v>
      </c>
      <c r="P324" s="55">
        <f>IF(A324="",0,IF(AND(F324="C&amp;T",COUNTIFS($A$2:A324,A324,$F$2:F324,"C&amp;T")=1),1,0))</f>
        <v>0</v>
      </c>
    </row>
    <row r="325" spans="1:16" x14ac:dyDescent="0.35">
      <c r="A325" s="54">
        <f>IFERROR(IF(INDEX(SPOT_Import!$A$1:$Z$2488,325,'Live Data'!$C$12)="","",INDEX(SPOT_Import!$A$1:$Z$2488,325,'Live Data'!$C$12)),"")</f>
        <v>10878</v>
      </c>
      <c r="B325" s="54" t="str">
        <f>IFERROR(IF(INDEX(SPOT_Import!$A$1:$Z$2488,325,'Live Data'!$C$13)="","",INDEX(SPOT_Import!$A$1:$Z$2488,325,'Live Data'!$C$13)),"")</f>
        <v>Njabini Health Centre</v>
      </c>
      <c r="C325" s="54" t="str">
        <f>IFERROR(IF(INDEX(SPOT_Import!$A$1:$Z$2488,325,'Live Data'!$C$14)="","",INDEX(SPOT_Import!$A$1:$Z$2488,325,'Live Data'!$C$14)),"")</f>
        <v>NYANDARUA</v>
      </c>
      <c r="D325" s="54" t="str">
        <f>IFERROR(IF(INDEX(SPOT_Import!$A$1:$Z$2488,325,'Live Data'!$C$15)="","",INDEX(SPOT_Import!$A$1:$Z$2488,325,'Live Data'!$C$15)),"")</f>
        <v>Kinangop</v>
      </c>
      <c r="E325" s="54" t="str">
        <f>IFERROR(IF(INDEX(SPOT_Import!$A$1:$Z$2488,325,'Live Data'!$C$16)="","",INDEX(SPOT_Import!$A$1:$Z$2488,325,'Live Data'!$C$16)),"")</f>
        <v>USAID Jamii Tekelezi</v>
      </c>
      <c r="F325" s="54" t="str">
        <f>IFERROR(IF(INDEX(SPOT_Import!$A$1:$Z$2488,325,'Live Data'!$C$17)="","",INDEX(SPOT_Import!$A$1:$Z$2488,325,'Live Data'!$C$17)),"")</f>
        <v>PREP</v>
      </c>
      <c r="G325" s="54">
        <f>IFERROR(IF(INDEX(SPOT_Import!$A$1:$Z$2488,325,'Live Data'!$C$18)="","",INDEX(SPOT_Import!$A$1:$Z$2488,325,'Live Data'!$C$18)),"")</f>
        <v>434</v>
      </c>
      <c r="H325" s="54" t="str">
        <f>IFERROR(IF(INDEX(SPOT_Import!$A$1:$Z$2488,325,'Live Data'!$C$19)="","",INDEX(SPOT_Import!$A$1:$Z$2488,325,'Live Data'!$C$19)),"")</f>
        <v/>
      </c>
      <c r="I325" s="54" t="str">
        <f>IFERROR(IF(INDEX(SPOT_Import!$A$1:$Z$2488,325,'Live Data'!$C$20)="","",INDEX(SPOT_Import!$A$1:$Z$2488,325,'Live Data'!$C$20)),"")</f>
        <v>Incomplete</v>
      </c>
      <c r="J325" s="54" t="str">
        <f>IFERROR(IF(INDEX(SPOT_Import!$A$1:$Z$2488,325,'Live Data'!$C$21)="","",INDEX(SPOT_Import!$A$1:$Z$2488,325,'Live Data'!$C$21)),"")</f>
        <v>2026-10-06T06:50:57.000Z</v>
      </c>
      <c r="K325" s="54" t="str">
        <f>IFERROR(IF(INDEX(SPOT_Import!$A$1:$Z$2488,325,'Live Data'!$C$22)="","",INDEX(SPOT_Import!$A$1:$Z$2488,325,'Live Data'!$C$22)),"")</f>
        <v>2026-10-06T06:50:57.000Z</v>
      </c>
      <c r="L325" s="55" t="str">
        <f t="shared" si="10"/>
        <v>2026-10</v>
      </c>
      <c r="M325" s="55" t="str">
        <f t="shared" si="11"/>
        <v>NYANDARUA</v>
      </c>
      <c r="N325" s="55" t="str">
        <f>IF(A325="","",IFERROR(INDEX('Cluster Map'!$A$4:$A$38,MATCH(M325,'Cluster Map'!$B$4:$B$38,0)),"Unmapped"))</f>
        <v>Cluster 4</v>
      </c>
      <c r="O325" s="55">
        <f>IF(A325="",0,IF(COUNTIFS($A$2:A325,A325,$F$2:F325,F325,$L$2:L325,L325)=1,1,0))</f>
        <v>1</v>
      </c>
      <c r="P325" s="55">
        <f>IF(A325="",0,IF(AND(F325="C&amp;T",COUNTIFS($A$2:A325,A325,$F$2:F325,"C&amp;T")=1),1,0))</f>
        <v>0</v>
      </c>
    </row>
    <row r="326" spans="1:16" x14ac:dyDescent="0.35">
      <c r="A326" s="54">
        <f>IFERROR(IF(INDEX(SPOT_Import!$A$1:$Z$2488,326,'Live Data'!$C$12)="","",INDEX(SPOT_Import!$A$1:$Z$2488,326,'Live Data'!$C$12)),"")</f>
        <v>10878</v>
      </c>
      <c r="B326" s="54" t="str">
        <f>IFERROR(IF(INDEX(SPOT_Import!$A$1:$Z$2488,326,'Live Data'!$C$13)="","",INDEX(SPOT_Import!$A$1:$Z$2488,326,'Live Data'!$C$13)),"")</f>
        <v>Njabini Health Centre</v>
      </c>
      <c r="C326" s="54" t="str">
        <f>IFERROR(IF(INDEX(SPOT_Import!$A$1:$Z$2488,326,'Live Data'!$C$14)="","",INDEX(SPOT_Import!$A$1:$Z$2488,326,'Live Data'!$C$14)),"")</f>
        <v>NYANDARUA</v>
      </c>
      <c r="D326" s="54" t="str">
        <f>IFERROR(IF(INDEX(SPOT_Import!$A$1:$Z$2488,326,'Live Data'!$C$15)="","",INDEX(SPOT_Import!$A$1:$Z$2488,326,'Live Data'!$C$15)),"")</f>
        <v>Kinangop</v>
      </c>
      <c r="E326" s="54" t="str">
        <f>IFERROR(IF(INDEX(SPOT_Import!$A$1:$Z$2488,326,'Live Data'!$C$16)="","",INDEX(SPOT_Import!$A$1:$Z$2488,326,'Live Data'!$C$16)),"")</f>
        <v>USAID Jamii Tekelezi</v>
      </c>
      <c r="F326" s="54" t="str">
        <f>IFERROR(IF(INDEX(SPOT_Import!$A$1:$Z$2488,326,'Live Data'!$C$17)="","",INDEX(SPOT_Import!$A$1:$Z$2488,326,'Live Data'!$C$17)),"")</f>
        <v>MNCH</v>
      </c>
      <c r="G326" s="54">
        <f>IFERROR(IF(INDEX(SPOT_Import!$A$1:$Z$2488,326,'Live Data'!$C$18)="","",INDEX(SPOT_Import!$A$1:$Z$2488,326,'Live Data'!$C$18)),"")</f>
        <v>290</v>
      </c>
      <c r="H326" s="54">
        <f>IFERROR(IF(INDEX(SPOT_Import!$A$1:$Z$2488,326,'Live Data'!$C$19)="","",INDEX(SPOT_Import!$A$1:$Z$2488,326,'Live Data'!$C$19)),"")</f>
        <v>290</v>
      </c>
      <c r="I326" s="54" t="str">
        <f>IFERROR(IF(INDEX(SPOT_Import!$A$1:$Z$2488,326,'Live Data'!$C$20)="","",INDEX(SPOT_Import!$A$1:$Z$2488,326,'Live Data'!$C$20)),"")</f>
        <v>Complete</v>
      </c>
      <c r="J326" s="54" t="str">
        <f>IFERROR(IF(INDEX(SPOT_Import!$A$1:$Z$2488,326,'Live Data'!$C$21)="","",INDEX(SPOT_Import!$A$1:$Z$2488,326,'Live Data'!$C$21)),"")</f>
        <v>2026-10-06T06:50:51.000Z</v>
      </c>
      <c r="K326" s="54" t="str">
        <f>IFERROR(IF(INDEX(SPOT_Import!$A$1:$Z$2488,326,'Live Data'!$C$22)="","",INDEX(SPOT_Import!$A$1:$Z$2488,326,'Live Data'!$C$22)),"")</f>
        <v>2026-10-06T06:50:51.000Z</v>
      </c>
      <c r="L326" s="55" t="str">
        <f t="shared" si="10"/>
        <v>2026-10</v>
      </c>
      <c r="M326" s="55" t="str">
        <f t="shared" si="11"/>
        <v>NYANDARUA</v>
      </c>
      <c r="N326" s="55" t="str">
        <f>IF(A326="","",IFERROR(INDEX('Cluster Map'!$A$4:$A$38,MATCH(M326,'Cluster Map'!$B$4:$B$38,0)),"Unmapped"))</f>
        <v>Cluster 4</v>
      </c>
      <c r="O326" s="55">
        <f>IF(A326="",0,IF(COUNTIFS($A$2:A326,A326,$F$2:F326,F326,$L$2:L326,L326)=1,1,0))</f>
        <v>1</v>
      </c>
      <c r="P326" s="55">
        <f>IF(A326="",0,IF(AND(F326="C&amp;T",COUNTIFS($A$2:A326,A326,$F$2:F326,"C&amp;T")=1),1,0))</f>
        <v>0</v>
      </c>
    </row>
    <row r="327" spans="1:16" x14ac:dyDescent="0.35">
      <c r="A327" s="54">
        <f>IFERROR(IF(INDEX(SPOT_Import!$A$1:$Z$2488,327,'Live Data'!$C$12)="","",INDEX(SPOT_Import!$A$1:$Z$2488,327,'Live Data'!$C$12)),"")</f>
        <v>10244</v>
      </c>
      <c r="B327" s="54" t="str">
        <f>IFERROR(IF(INDEX(SPOT_Import!$A$1:$Z$2488,327,'Live Data'!$C$13)="","",INDEX(SPOT_Import!$A$1:$Z$2488,327,'Live Data'!$C$13)),"")</f>
        <v>Geta Bush Health Centre</v>
      </c>
      <c r="C327" s="54" t="str">
        <f>IFERROR(IF(INDEX(SPOT_Import!$A$1:$Z$2488,327,'Live Data'!$C$14)="","",INDEX(SPOT_Import!$A$1:$Z$2488,327,'Live Data'!$C$14)),"")</f>
        <v>NYANDARUA</v>
      </c>
      <c r="D327" s="54" t="str">
        <f>IFERROR(IF(INDEX(SPOT_Import!$A$1:$Z$2488,327,'Live Data'!$C$15)="","",INDEX(SPOT_Import!$A$1:$Z$2488,327,'Live Data'!$C$15)),"")</f>
        <v>Kipipiri</v>
      </c>
      <c r="E327" s="54" t="str">
        <f>IFERROR(IF(INDEX(SPOT_Import!$A$1:$Z$2488,327,'Live Data'!$C$16)="","",INDEX(SPOT_Import!$A$1:$Z$2488,327,'Live Data'!$C$16)),"")</f>
        <v>USAID Jamii Tekelezi</v>
      </c>
      <c r="F327" s="54" t="str">
        <f>IFERROR(IF(INDEX(SPOT_Import!$A$1:$Z$2488,327,'Live Data'!$C$17)="","",INDEX(SPOT_Import!$A$1:$Z$2488,327,'Live Data'!$C$17)),"")</f>
        <v>C&amp;T</v>
      </c>
      <c r="G327" s="54">
        <f>IFERROR(IF(INDEX(SPOT_Import!$A$1:$Z$2488,327,'Live Data'!$C$18)="","",INDEX(SPOT_Import!$A$1:$Z$2488,327,'Live Data'!$C$18)),"")</f>
        <v>271</v>
      </c>
      <c r="H327" s="54">
        <f>IFERROR(IF(INDEX(SPOT_Import!$A$1:$Z$2488,327,'Live Data'!$C$19)="","",INDEX(SPOT_Import!$A$1:$Z$2488,327,'Live Data'!$C$19)),"")</f>
        <v>271</v>
      </c>
      <c r="I327" s="54" t="str">
        <f>IFERROR(IF(INDEX(SPOT_Import!$A$1:$Z$2488,327,'Live Data'!$C$20)="","",INDEX(SPOT_Import!$A$1:$Z$2488,327,'Live Data'!$C$20)),"")</f>
        <v>Complete</v>
      </c>
      <c r="J327" s="54" t="str">
        <f>IFERROR(IF(INDEX(SPOT_Import!$A$1:$Z$2488,327,'Live Data'!$C$21)="","",INDEX(SPOT_Import!$A$1:$Z$2488,327,'Live Data'!$C$21)),"")</f>
        <v>2026-10-06T06:49:50.000Z</v>
      </c>
      <c r="K327" s="54" t="str">
        <f>IFERROR(IF(INDEX(SPOT_Import!$A$1:$Z$2488,327,'Live Data'!$C$22)="","",INDEX(SPOT_Import!$A$1:$Z$2488,327,'Live Data'!$C$22)),"")</f>
        <v>2026-10-06T06:49:50.000Z</v>
      </c>
      <c r="L327" s="55" t="str">
        <f t="shared" si="10"/>
        <v>2026-10</v>
      </c>
      <c r="M327" s="55" t="str">
        <f t="shared" si="11"/>
        <v>NYANDARUA</v>
      </c>
      <c r="N327" s="55" t="str">
        <f>IF(A327="","",IFERROR(INDEX('Cluster Map'!$A$4:$A$38,MATCH(M327,'Cluster Map'!$B$4:$B$38,0)),"Unmapped"))</f>
        <v>Cluster 4</v>
      </c>
      <c r="O327" s="55">
        <f>IF(A327="",0,IF(COUNTIFS($A$2:A327,A327,$F$2:F327,F327,$L$2:L327,L327)=1,1,0))</f>
        <v>1</v>
      </c>
      <c r="P327" s="55">
        <f>IF(A327="",0,IF(AND(F327="C&amp;T",COUNTIFS($A$2:A327,A327,$F$2:F327,"C&amp;T")=1),1,0))</f>
        <v>1</v>
      </c>
    </row>
    <row r="328" spans="1:16" x14ac:dyDescent="0.35">
      <c r="A328" s="54">
        <f>IFERROR(IF(INDEX(SPOT_Import!$A$1:$Z$2488,328,'Live Data'!$C$12)="","",INDEX(SPOT_Import!$A$1:$Z$2488,328,'Live Data'!$C$12)),"")</f>
        <v>10878</v>
      </c>
      <c r="B328" s="54" t="str">
        <f>IFERROR(IF(INDEX(SPOT_Import!$A$1:$Z$2488,328,'Live Data'!$C$13)="","",INDEX(SPOT_Import!$A$1:$Z$2488,328,'Live Data'!$C$13)),"")</f>
        <v>Njabini Health Centre</v>
      </c>
      <c r="C328" s="54" t="str">
        <f>IFERROR(IF(INDEX(SPOT_Import!$A$1:$Z$2488,328,'Live Data'!$C$14)="","",INDEX(SPOT_Import!$A$1:$Z$2488,328,'Live Data'!$C$14)),"")</f>
        <v>NYANDARUA</v>
      </c>
      <c r="D328" s="54" t="str">
        <f>IFERROR(IF(INDEX(SPOT_Import!$A$1:$Z$2488,328,'Live Data'!$C$15)="","",INDEX(SPOT_Import!$A$1:$Z$2488,328,'Live Data'!$C$15)),"")</f>
        <v>Kinangop</v>
      </c>
      <c r="E328" s="54" t="str">
        <f>IFERROR(IF(INDEX(SPOT_Import!$A$1:$Z$2488,328,'Live Data'!$C$16)="","",INDEX(SPOT_Import!$A$1:$Z$2488,328,'Live Data'!$C$16)),"")</f>
        <v>USAID Jamii Tekelezi</v>
      </c>
      <c r="F328" s="54" t="str">
        <f>IFERROR(IF(INDEX(SPOT_Import!$A$1:$Z$2488,328,'Live Data'!$C$17)="","",INDEX(SPOT_Import!$A$1:$Z$2488,328,'Live Data'!$C$17)),"")</f>
        <v>HTS</v>
      </c>
      <c r="G328" s="54">
        <f>IFERROR(IF(INDEX(SPOT_Import!$A$1:$Z$2488,328,'Live Data'!$C$18)="","",INDEX(SPOT_Import!$A$1:$Z$2488,328,'Live Data'!$C$18)),"")</f>
        <v>6758</v>
      </c>
      <c r="H328" s="54">
        <f>IFERROR(IF(INDEX(SPOT_Import!$A$1:$Z$2488,328,'Live Data'!$C$19)="","",INDEX(SPOT_Import!$A$1:$Z$2488,328,'Live Data'!$C$19)),"")</f>
        <v>6758</v>
      </c>
      <c r="I328" s="54" t="str">
        <f>IFERROR(IF(INDEX(SPOT_Import!$A$1:$Z$2488,328,'Live Data'!$C$20)="","",INDEX(SPOT_Import!$A$1:$Z$2488,328,'Live Data'!$C$20)),"")</f>
        <v>Complete</v>
      </c>
      <c r="J328" s="54" t="str">
        <f>IFERROR(IF(INDEX(SPOT_Import!$A$1:$Z$2488,328,'Live Data'!$C$21)="","",INDEX(SPOT_Import!$A$1:$Z$2488,328,'Live Data'!$C$21)),"")</f>
        <v>2026-10-06T06:48:13.000Z</v>
      </c>
      <c r="K328" s="54" t="str">
        <f>IFERROR(IF(INDEX(SPOT_Import!$A$1:$Z$2488,328,'Live Data'!$C$22)="","",INDEX(SPOT_Import!$A$1:$Z$2488,328,'Live Data'!$C$22)),"")</f>
        <v>2026-10-06T06:48:13.000Z</v>
      </c>
      <c r="L328" s="55" t="str">
        <f t="shared" si="10"/>
        <v>2026-10</v>
      </c>
      <c r="M328" s="55" t="str">
        <f t="shared" si="11"/>
        <v>NYANDARUA</v>
      </c>
      <c r="N328" s="55" t="str">
        <f>IF(A328="","",IFERROR(INDEX('Cluster Map'!$A$4:$A$38,MATCH(M328,'Cluster Map'!$B$4:$B$38,0)),"Unmapped"))</f>
        <v>Cluster 4</v>
      </c>
      <c r="O328" s="55">
        <f>IF(A328="",0,IF(COUNTIFS($A$2:A328,A328,$F$2:F328,F328,$L$2:L328,L328)=1,1,0))</f>
        <v>1</v>
      </c>
      <c r="P328" s="55">
        <f>IF(A328="",0,IF(AND(F328="C&amp;T",COUNTIFS($A$2:A328,A328,$F$2:F328,"C&amp;T")=1),1,0))</f>
        <v>0</v>
      </c>
    </row>
    <row r="329" spans="1:16" x14ac:dyDescent="0.35">
      <c r="A329" s="54">
        <f>IFERROR(IF(INDEX(SPOT_Import!$A$1:$Z$2488,329,'Live Data'!$C$12)="","",INDEX(SPOT_Import!$A$1:$Z$2488,329,'Live Data'!$C$12)),"")</f>
        <v>12296</v>
      </c>
      <c r="B329" s="54" t="str">
        <f>IFERROR(IF(INDEX(SPOT_Import!$A$1:$Z$2488,329,'Live Data'!$C$13)="","",INDEX(SPOT_Import!$A$1:$Z$2488,329,'Live Data'!$C$13)),"")</f>
        <v>Kieni Kia Ndege Dispensary</v>
      </c>
      <c r="C329" s="54" t="str">
        <f>IFERROR(IF(INDEX(SPOT_Import!$A$1:$Z$2488,329,'Live Data'!$C$14)="","",INDEX(SPOT_Import!$A$1:$Z$2488,329,'Live Data'!$C$14)),"")</f>
        <v>MERU</v>
      </c>
      <c r="D329" s="54" t="str">
        <f>IFERROR(IF(INDEX(SPOT_Import!$A$1:$Z$2488,329,'Live Data'!$C$15)="","",INDEX(SPOT_Import!$A$1:$Z$2488,329,'Live Data'!$C$15)),"")</f>
        <v>Imenti South</v>
      </c>
      <c r="E329" s="54" t="str">
        <f>IFERROR(IF(INDEX(SPOT_Import!$A$1:$Z$2488,329,'Live Data'!$C$16)="","",INDEX(SPOT_Import!$A$1:$Z$2488,329,'Live Data'!$C$16)),"")</f>
        <v>USAID Jamii Tekelezi</v>
      </c>
      <c r="F329" s="54" t="str">
        <f>IFERROR(IF(INDEX(SPOT_Import!$A$1:$Z$2488,329,'Live Data'!$C$17)="","",INDEX(SPOT_Import!$A$1:$Z$2488,329,'Live Data'!$C$17)),"")</f>
        <v>MNCH</v>
      </c>
      <c r="G329" s="54">
        <f>IFERROR(IF(INDEX(SPOT_Import!$A$1:$Z$2488,329,'Live Data'!$C$18)="","",INDEX(SPOT_Import!$A$1:$Z$2488,329,'Live Data'!$C$18)),"")</f>
        <v>2</v>
      </c>
      <c r="H329" s="54" t="str">
        <f>IFERROR(IF(INDEX(SPOT_Import!$A$1:$Z$2488,329,'Live Data'!$C$19)="","",INDEX(SPOT_Import!$A$1:$Z$2488,329,'Live Data'!$C$19)),"")</f>
        <v/>
      </c>
      <c r="I329" s="54" t="str">
        <f>IFERROR(IF(INDEX(SPOT_Import!$A$1:$Z$2488,329,'Live Data'!$C$20)="","",INDEX(SPOT_Import!$A$1:$Z$2488,329,'Live Data'!$C$20)),"")</f>
        <v>Incomplete</v>
      </c>
      <c r="J329" s="54" t="str">
        <f>IFERROR(IF(INDEX(SPOT_Import!$A$1:$Z$2488,329,'Live Data'!$C$21)="","",INDEX(SPOT_Import!$A$1:$Z$2488,329,'Live Data'!$C$21)),"")</f>
        <v>2026-10-05T17:51:05.000Z</v>
      </c>
      <c r="K329" s="54" t="str">
        <f>IFERROR(IF(INDEX(SPOT_Import!$A$1:$Z$2488,329,'Live Data'!$C$22)="","",INDEX(SPOT_Import!$A$1:$Z$2488,329,'Live Data'!$C$22)),"")</f>
        <v>2026-10-05T17:51:05.000Z</v>
      </c>
      <c r="L329" s="55" t="str">
        <f t="shared" si="10"/>
        <v>2026-10</v>
      </c>
      <c r="M329" s="55" t="str">
        <f t="shared" si="11"/>
        <v>MERU</v>
      </c>
      <c r="N329" s="55" t="str">
        <f>IF(A329="","",IFERROR(INDEX('Cluster Map'!$A$4:$A$38,MATCH(M329,'Cluster Map'!$B$4:$B$38,0)),"Unmapped"))</f>
        <v>Cluster 1</v>
      </c>
      <c r="O329" s="55">
        <f>IF(A329="",0,IF(COUNTIFS($A$2:A329,A329,$F$2:F329,F329,$L$2:L329,L329)=1,1,0))</f>
        <v>1</v>
      </c>
      <c r="P329" s="55">
        <f>IF(A329="",0,IF(AND(F329="C&amp;T",COUNTIFS($A$2:A329,A329,$F$2:F329,"C&amp;T")=1),1,0))</f>
        <v>0</v>
      </c>
    </row>
    <row r="330" spans="1:16" x14ac:dyDescent="0.35">
      <c r="A330" s="54">
        <f>IFERROR(IF(INDEX(SPOT_Import!$A$1:$Z$2488,330,'Live Data'!$C$12)="","",INDEX(SPOT_Import!$A$1:$Z$2488,330,'Live Data'!$C$12)),"")</f>
        <v>12296</v>
      </c>
      <c r="B330" s="54" t="str">
        <f>IFERROR(IF(INDEX(SPOT_Import!$A$1:$Z$2488,330,'Live Data'!$C$13)="","",INDEX(SPOT_Import!$A$1:$Z$2488,330,'Live Data'!$C$13)),"")</f>
        <v>Kieni Kia Ndege Dispensary</v>
      </c>
      <c r="C330" s="54" t="str">
        <f>IFERROR(IF(INDEX(SPOT_Import!$A$1:$Z$2488,330,'Live Data'!$C$14)="","",INDEX(SPOT_Import!$A$1:$Z$2488,330,'Live Data'!$C$14)),"")</f>
        <v>MERU</v>
      </c>
      <c r="D330" s="54" t="str">
        <f>IFERROR(IF(INDEX(SPOT_Import!$A$1:$Z$2488,330,'Live Data'!$C$15)="","",INDEX(SPOT_Import!$A$1:$Z$2488,330,'Live Data'!$C$15)),"")</f>
        <v>Imenti South</v>
      </c>
      <c r="E330" s="54" t="str">
        <f>IFERROR(IF(INDEX(SPOT_Import!$A$1:$Z$2488,330,'Live Data'!$C$16)="","",INDEX(SPOT_Import!$A$1:$Z$2488,330,'Live Data'!$C$16)),"")</f>
        <v>USAID Jamii Tekelezi</v>
      </c>
      <c r="F330" s="54" t="str">
        <f>IFERROR(IF(INDEX(SPOT_Import!$A$1:$Z$2488,330,'Live Data'!$C$17)="","",INDEX(SPOT_Import!$A$1:$Z$2488,330,'Live Data'!$C$17)),"")</f>
        <v>HTS</v>
      </c>
      <c r="G330" s="54">
        <f>IFERROR(IF(INDEX(SPOT_Import!$A$1:$Z$2488,330,'Live Data'!$C$18)="","",INDEX(SPOT_Import!$A$1:$Z$2488,330,'Live Data'!$C$18)),"")</f>
        <v>2</v>
      </c>
      <c r="H330" s="54">
        <f>IFERROR(IF(INDEX(SPOT_Import!$A$1:$Z$2488,330,'Live Data'!$C$19)="","",INDEX(SPOT_Import!$A$1:$Z$2488,330,'Live Data'!$C$19)),"")</f>
        <v>2</v>
      </c>
      <c r="I330" s="54" t="str">
        <f>IFERROR(IF(INDEX(SPOT_Import!$A$1:$Z$2488,330,'Live Data'!$C$20)="","",INDEX(SPOT_Import!$A$1:$Z$2488,330,'Live Data'!$C$20)),"")</f>
        <v>Complete</v>
      </c>
      <c r="J330" s="54" t="str">
        <f>IFERROR(IF(INDEX(SPOT_Import!$A$1:$Z$2488,330,'Live Data'!$C$21)="","",INDEX(SPOT_Import!$A$1:$Z$2488,330,'Live Data'!$C$21)),"")</f>
        <v>2026-10-05T17:50:55.000Z</v>
      </c>
      <c r="K330" s="54" t="str">
        <f>IFERROR(IF(INDEX(SPOT_Import!$A$1:$Z$2488,330,'Live Data'!$C$22)="","",INDEX(SPOT_Import!$A$1:$Z$2488,330,'Live Data'!$C$22)),"")</f>
        <v>2026-10-05T17:50:55.000Z</v>
      </c>
      <c r="L330" s="55" t="str">
        <f t="shared" si="10"/>
        <v>2026-10</v>
      </c>
      <c r="M330" s="55" t="str">
        <f t="shared" si="11"/>
        <v>MERU</v>
      </c>
      <c r="N330" s="55" t="str">
        <f>IF(A330="","",IFERROR(INDEX('Cluster Map'!$A$4:$A$38,MATCH(M330,'Cluster Map'!$B$4:$B$38,0)),"Unmapped"))</f>
        <v>Cluster 1</v>
      </c>
      <c r="O330" s="55">
        <f>IF(A330="",0,IF(COUNTIFS($A$2:A330,A330,$F$2:F330,F330,$L$2:L330,L330)=1,1,0))</f>
        <v>1</v>
      </c>
      <c r="P330" s="55">
        <f>IF(A330="",0,IF(AND(F330="C&amp;T",COUNTIFS($A$2:A330,A330,$F$2:F330,"C&amp;T")=1),1,0))</f>
        <v>0</v>
      </c>
    </row>
    <row r="331" spans="1:16" x14ac:dyDescent="0.35">
      <c r="A331" s="54">
        <f>IFERROR(IF(INDEX(SPOT_Import!$A$1:$Z$2488,331,'Live Data'!$C$12)="","",INDEX(SPOT_Import!$A$1:$Z$2488,331,'Live Data'!$C$12)),"")</f>
        <v>12296</v>
      </c>
      <c r="B331" s="54" t="str">
        <f>IFERROR(IF(INDEX(SPOT_Import!$A$1:$Z$2488,331,'Live Data'!$C$13)="","",INDEX(SPOT_Import!$A$1:$Z$2488,331,'Live Data'!$C$13)),"")</f>
        <v>Kieni Kia Ndege Dispensary</v>
      </c>
      <c r="C331" s="54" t="str">
        <f>IFERROR(IF(INDEX(SPOT_Import!$A$1:$Z$2488,331,'Live Data'!$C$14)="","",INDEX(SPOT_Import!$A$1:$Z$2488,331,'Live Data'!$C$14)),"")</f>
        <v>MERU</v>
      </c>
      <c r="D331" s="54" t="str">
        <f>IFERROR(IF(INDEX(SPOT_Import!$A$1:$Z$2488,331,'Live Data'!$C$15)="","",INDEX(SPOT_Import!$A$1:$Z$2488,331,'Live Data'!$C$15)),"")</f>
        <v>Imenti South</v>
      </c>
      <c r="E331" s="54" t="str">
        <f>IFERROR(IF(INDEX(SPOT_Import!$A$1:$Z$2488,331,'Live Data'!$C$16)="","",INDEX(SPOT_Import!$A$1:$Z$2488,331,'Live Data'!$C$16)),"")</f>
        <v>USAID Jamii Tekelezi</v>
      </c>
      <c r="F331" s="54" t="str">
        <f>IFERROR(IF(INDEX(SPOT_Import!$A$1:$Z$2488,331,'Live Data'!$C$17)="","",INDEX(SPOT_Import!$A$1:$Z$2488,331,'Live Data'!$C$17)),"")</f>
        <v>C&amp;T</v>
      </c>
      <c r="G331" s="54">
        <f>IFERROR(IF(INDEX(SPOT_Import!$A$1:$Z$2488,331,'Live Data'!$C$18)="","",INDEX(SPOT_Import!$A$1:$Z$2488,331,'Live Data'!$C$18)),"")</f>
        <v>124</v>
      </c>
      <c r="H331" s="54">
        <f>IFERROR(IF(INDEX(SPOT_Import!$A$1:$Z$2488,331,'Live Data'!$C$19)="","",INDEX(SPOT_Import!$A$1:$Z$2488,331,'Live Data'!$C$19)),"")</f>
        <v>124</v>
      </c>
      <c r="I331" s="54" t="str">
        <f>IFERROR(IF(INDEX(SPOT_Import!$A$1:$Z$2488,331,'Live Data'!$C$20)="","",INDEX(SPOT_Import!$A$1:$Z$2488,331,'Live Data'!$C$20)),"")</f>
        <v>Complete</v>
      </c>
      <c r="J331" s="54" t="str">
        <f>IFERROR(IF(INDEX(SPOT_Import!$A$1:$Z$2488,331,'Live Data'!$C$21)="","",INDEX(SPOT_Import!$A$1:$Z$2488,331,'Live Data'!$C$21)),"")</f>
        <v>2026-10-05T17:29:50.000Z</v>
      </c>
      <c r="K331" s="54" t="str">
        <f>IFERROR(IF(INDEX(SPOT_Import!$A$1:$Z$2488,331,'Live Data'!$C$22)="","",INDEX(SPOT_Import!$A$1:$Z$2488,331,'Live Data'!$C$22)),"")</f>
        <v>2026-10-05T17:29:50.000Z</v>
      </c>
      <c r="L331" s="55" t="str">
        <f t="shared" si="10"/>
        <v>2026-10</v>
      </c>
      <c r="M331" s="55" t="str">
        <f t="shared" si="11"/>
        <v>MERU</v>
      </c>
      <c r="N331" s="55" t="str">
        <f>IF(A331="","",IFERROR(INDEX('Cluster Map'!$A$4:$A$38,MATCH(M331,'Cluster Map'!$B$4:$B$38,0)),"Unmapped"))</f>
        <v>Cluster 1</v>
      </c>
      <c r="O331" s="55">
        <f>IF(A331="",0,IF(COUNTIFS($A$2:A331,A331,$F$2:F331,F331,$L$2:L331,L331)=1,1,0))</f>
        <v>1</v>
      </c>
      <c r="P331" s="55">
        <f>IF(A331="",0,IF(AND(F331="C&amp;T",COUNTIFS($A$2:A331,A331,$F$2:F331,"C&amp;T")=1),1,0))</f>
        <v>1</v>
      </c>
    </row>
    <row r="332" spans="1:16" x14ac:dyDescent="0.35">
      <c r="A332" s="54">
        <f>IFERROR(IF(INDEX(SPOT_Import!$A$1:$Z$2488,332,'Live Data'!$C$12)="","",INDEX(SPOT_Import!$A$1:$Z$2488,332,'Live Data'!$C$12)),"")</f>
        <v>12325</v>
      </c>
      <c r="B332" s="54" t="str">
        <f>IFERROR(IF(INDEX(SPOT_Import!$A$1:$Z$2488,332,'Live Data'!$C$13)="","",INDEX(SPOT_Import!$A$1:$Z$2488,332,'Live Data'!$C$13)),"")</f>
        <v>Kinoro Sub-District Hospital</v>
      </c>
      <c r="C332" s="54" t="str">
        <f>IFERROR(IF(INDEX(SPOT_Import!$A$1:$Z$2488,332,'Live Data'!$C$14)="","",INDEX(SPOT_Import!$A$1:$Z$2488,332,'Live Data'!$C$14)),"")</f>
        <v>MERU</v>
      </c>
      <c r="D332" s="54" t="str">
        <f>IFERROR(IF(INDEX(SPOT_Import!$A$1:$Z$2488,332,'Live Data'!$C$15)="","",INDEX(SPOT_Import!$A$1:$Z$2488,332,'Live Data'!$C$15)),"")</f>
        <v>Imenti South</v>
      </c>
      <c r="E332" s="54" t="str">
        <f>IFERROR(IF(INDEX(SPOT_Import!$A$1:$Z$2488,332,'Live Data'!$C$16)="","",INDEX(SPOT_Import!$A$1:$Z$2488,332,'Live Data'!$C$16)),"")</f>
        <v>USAID Jamii Tekelezi</v>
      </c>
      <c r="F332" s="54" t="str">
        <f>IFERROR(IF(INDEX(SPOT_Import!$A$1:$Z$2488,332,'Live Data'!$C$17)="","",INDEX(SPOT_Import!$A$1:$Z$2488,332,'Live Data'!$C$17)),"")</f>
        <v>PREP</v>
      </c>
      <c r="G332" s="54">
        <f>IFERROR(IF(INDEX(SPOT_Import!$A$1:$Z$2488,332,'Live Data'!$C$18)="","",INDEX(SPOT_Import!$A$1:$Z$2488,332,'Live Data'!$C$18)),"")</f>
        <v>3</v>
      </c>
      <c r="H332" s="54">
        <f>IFERROR(IF(INDEX(SPOT_Import!$A$1:$Z$2488,332,'Live Data'!$C$19)="","",INDEX(SPOT_Import!$A$1:$Z$2488,332,'Live Data'!$C$19)),"")</f>
        <v>3</v>
      </c>
      <c r="I332" s="54" t="str">
        <f>IFERROR(IF(INDEX(SPOT_Import!$A$1:$Z$2488,332,'Live Data'!$C$20)="","",INDEX(SPOT_Import!$A$1:$Z$2488,332,'Live Data'!$C$20)),"")</f>
        <v>Complete</v>
      </c>
      <c r="J332" s="54" t="str">
        <f>IFERROR(IF(INDEX(SPOT_Import!$A$1:$Z$2488,332,'Live Data'!$C$21)="","",INDEX(SPOT_Import!$A$1:$Z$2488,332,'Live Data'!$C$21)),"")</f>
        <v>2026-10-05T17:24:57.000Z</v>
      </c>
      <c r="K332" s="54" t="str">
        <f>IFERROR(IF(INDEX(SPOT_Import!$A$1:$Z$2488,332,'Live Data'!$C$22)="","",INDEX(SPOT_Import!$A$1:$Z$2488,332,'Live Data'!$C$22)),"")</f>
        <v>2026-10-05T17:24:57.000Z</v>
      </c>
      <c r="L332" s="55" t="str">
        <f t="shared" si="10"/>
        <v>2026-10</v>
      </c>
      <c r="M332" s="55" t="str">
        <f t="shared" si="11"/>
        <v>MERU</v>
      </c>
      <c r="N332" s="55" t="str">
        <f>IF(A332="","",IFERROR(INDEX('Cluster Map'!$A$4:$A$38,MATCH(M332,'Cluster Map'!$B$4:$B$38,0)),"Unmapped"))</f>
        <v>Cluster 1</v>
      </c>
      <c r="O332" s="55">
        <f>IF(A332="",0,IF(COUNTIFS($A$2:A332,A332,$F$2:F332,F332,$L$2:L332,L332)=1,1,0))</f>
        <v>1</v>
      </c>
      <c r="P332" s="55">
        <f>IF(A332="",0,IF(AND(F332="C&amp;T",COUNTIFS($A$2:A332,A332,$F$2:F332,"C&amp;T")=1),1,0))</f>
        <v>0</v>
      </c>
    </row>
    <row r="333" spans="1:16" x14ac:dyDescent="0.35">
      <c r="A333" s="54">
        <f>IFERROR(IF(INDEX(SPOT_Import!$A$1:$Z$2488,333,'Live Data'!$C$12)="","",INDEX(SPOT_Import!$A$1:$Z$2488,333,'Live Data'!$C$12)),"")</f>
        <v>12325</v>
      </c>
      <c r="B333" s="54" t="str">
        <f>IFERROR(IF(INDEX(SPOT_Import!$A$1:$Z$2488,333,'Live Data'!$C$13)="","",INDEX(SPOT_Import!$A$1:$Z$2488,333,'Live Data'!$C$13)),"")</f>
        <v>Kinoro Sub-District Hospital</v>
      </c>
      <c r="C333" s="54" t="str">
        <f>IFERROR(IF(INDEX(SPOT_Import!$A$1:$Z$2488,333,'Live Data'!$C$14)="","",INDEX(SPOT_Import!$A$1:$Z$2488,333,'Live Data'!$C$14)),"")</f>
        <v>MERU</v>
      </c>
      <c r="D333" s="54" t="str">
        <f>IFERROR(IF(INDEX(SPOT_Import!$A$1:$Z$2488,333,'Live Data'!$C$15)="","",INDEX(SPOT_Import!$A$1:$Z$2488,333,'Live Data'!$C$15)),"")</f>
        <v>Imenti South</v>
      </c>
      <c r="E333" s="54" t="str">
        <f>IFERROR(IF(INDEX(SPOT_Import!$A$1:$Z$2488,333,'Live Data'!$C$16)="","",INDEX(SPOT_Import!$A$1:$Z$2488,333,'Live Data'!$C$16)),"")</f>
        <v>USAID Jamii Tekelezi</v>
      </c>
      <c r="F333" s="54" t="str">
        <f>IFERROR(IF(INDEX(SPOT_Import!$A$1:$Z$2488,333,'Live Data'!$C$17)="","",INDEX(SPOT_Import!$A$1:$Z$2488,333,'Live Data'!$C$17)),"")</f>
        <v>MNCH</v>
      </c>
      <c r="G333" s="54">
        <f>IFERROR(IF(INDEX(SPOT_Import!$A$1:$Z$2488,333,'Live Data'!$C$18)="","",INDEX(SPOT_Import!$A$1:$Z$2488,333,'Live Data'!$C$18)),"")</f>
        <v>12</v>
      </c>
      <c r="H333" s="54">
        <f>IFERROR(IF(INDEX(SPOT_Import!$A$1:$Z$2488,333,'Live Data'!$C$19)="","",INDEX(SPOT_Import!$A$1:$Z$2488,333,'Live Data'!$C$19)),"")</f>
        <v>12</v>
      </c>
      <c r="I333" s="54" t="str">
        <f>IFERROR(IF(INDEX(SPOT_Import!$A$1:$Z$2488,333,'Live Data'!$C$20)="","",INDEX(SPOT_Import!$A$1:$Z$2488,333,'Live Data'!$C$20)),"")</f>
        <v>Complete</v>
      </c>
      <c r="J333" s="54" t="str">
        <f>IFERROR(IF(INDEX(SPOT_Import!$A$1:$Z$2488,333,'Live Data'!$C$21)="","",INDEX(SPOT_Import!$A$1:$Z$2488,333,'Live Data'!$C$21)),"")</f>
        <v>2026-10-05T17:24:44.000Z</v>
      </c>
      <c r="K333" s="54" t="str">
        <f>IFERROR(IF(INDEX(SPOT_Import!$A$1:$Z$2488,333,'Live Data'!$C$22)="","",INDEX(SPOT_Import!$A$1:$Z$2488,333,'Live Data'!$C$22)),"")</f>
        <v>2026-10-05T17:24:44.000Z</v>
      </c>
      <c r="L333" s="55" t="str">
        <f t="shared" si="10"/>
        <v>2026-10</v>
      </c>
      <c r="M333" s="55" t="str">
        <f t="shared" si="11"/>
        <v>MERU</v>
      </c>
      <c r="N333" s="55" t="str">
        <f>IF(A333="","",IFERROR(INDEX('Cluster Map'!$A$4:$A$38,MATCH(M333,'Cluster Map'!$B$4:$B$38,0)),"Unmapped"))</f>
        <v>Cluster 1</v>
      </c>
      <c r="O333" s="55">
        <f>IF(A333="",0,IF(COUNTIFS($A$2:A333,A333,$F$2:F333,F333,$L$2:L333,L333)=1,1,0))</f>
        <v>1</v>
      </c>
      <c r="P333" s="55">
        <f>IF(A333="",0,IF(AND(F333="C&amp;T",COUNTIFS($A$2:A333,A333,$F$2:F333,"C&amp;T")=1),1,0))</f>
        <v>0</v>
      </c>
    </row>
    <row r="334" spans="1:16" x14ac:dyDescent="0.35">
      <c r="A334" s="54">
        <f>IFERROR(IF(INDEX(SPOT_Import!$A$1:$Z$2488,334,'Live Data'!$C$12)="","",INDEX(SPOT_Import!$A$1:$Z$2488,334,'Live Data'!$C$12)),"")</f>
        <v>12325</v>
      </c>
      <c r="B334" s="54" t="str">
        <f>IFERROR(IF(INDEX(SPOT_Import!$A$1:$Z$2488,334,'Live Data'!$C$13)="","",INDEX(SPOT_Import!$A$1:$Z$2488,334,'Live Data'!$C$13)),"")</f>
        <v>Kinoro Sub-District Hospital</v>
      </c>
      <c r="C334" s="54" t="str">
        <f>IFERROR(IF(INDEX(SPOT_Import!$A$1:$Z$2488,334,'Live Data'!$C$14)="","",INDEX(SPOT_Import!$A$1:$Z$2488,334,'Live Data'!$C$14)),"")</f>
        <v>MERU</v>
      </c>
      <c r="D334" s="54" t="str">
        <f>IFERROR(IF(INDEX(SPOT_Import!$A$1:$Z$2488,334,'Live Data'!$C$15)="","",INDEX(SPOT_Import!$A$1:$Z$2488,334,'Live Data'!$C$15)),"")</f>
        <v>Imenti South</v>
      </c>
      <c r="E334" s="54" t="str">
        <f>IFERROR(IF(INDEX(SPOT_Import!$A$1:$Z$2488,334,'Live Data'!$C$16)="","",INDEX(SPOT_Import!$A$1:$Z$2488,334,'Live Data'!$C$16)),"")</f>
        <v>USAID Jamii Tekelezi</v>
      </c>
      <c r="F334" s="54" t="str">
        <f>IFERROR(IF(INDEX(SPOT_Import!$A$1:$Z$2488,334,'Live Data'!$C$17)="","",INDEX(SPOT_Import!$A$1:$Z$2488,334,'Live Data'!$C$17)),"")</f>
        <v>HTS</v>
      </c>
      <c r="G334" s="54">
        <f>IFERROR(IF(INDEX(SPOT_Import!$A$1:$Z$2488,334,'Live Data'!$C$18)="","",INDEX(SPOT_Import!$A$1:$Z$2488,334,'Live Data'!$C$18)),"")</f>
        <v>239</v>
      </c>
      <c r="H334" s="54">
        <f>IFERROR(IF(INDEX(SPOT_Import!$A$1:$Z$2488,334,'Live Data'!$C$19)="","",INDEX(SPOT_Import!$A$1:$Z$2488,334,'Live Data'!$C$19)),"")</f>
        <v>239</v>
      </c>
      <c r="I334" s="54" t="str">
        <f>IFERROR(IF(INDEX(SPOT_Import!$A$1:$Z$2488,334,'Live Data'!$C$20)="","",INDEX(SPOT_Import!$A$1:$Z$2488,334,'Live Data'!$C$20)),"")</f>
        <v>Complete</v>
      </c>
      <c r="J334" s="54" t="str">
        <f>IFERROR(IF(INDEX(SPOT_Import!$A$1:$Z$2488,334,'Live Data'!$C$21)="","",INDEX(SPOT_Import!$A$1:$Z$2488,334,'Live Data'!$C$21)),"")</f>
        <v>2026-10-05T17:24:19.000Z</v>
      </c>
      <c r="K334" s="54" t="str">
        <f>IFERROR(IF(INDEX(SPOT_Import!$A$1:$Z$2488,334,'Live Data'!$C$22)="","",INDEX(SPOT_Import!$A$1:$Z$2488,334,'Live Data'!$C$22)),"")</f>
        <v>2026-10-05T17:24:19.000Z</v>
      </c>
      <c r="L334" s="55" t="str">
        <f t="shared" si="10"/>
        <v>2026-10</v>
      </c>
      <c r="M334" s="55" t="str">
        <f t="shared" si="11"/>
        <v>MERU</v>
      </c>
      <c r="N334" s="55" t="str">
        <f>IF(A334="","",IFERROR(INDEX('Cluster Map'!$A$4:$A$38,MATCH(M334,'Cluster Map'!$B$4:$B$38,0)),"Unmapped"))</f>
        <v>Cluster 1</v>
      </c>
      <c r="O334" s="55">
        <f>IF(A334="",0,IF(COUNTIFS($A$2:A334,A334,$F$2:F334,F334,$L$2:L334,L334)=1,1,0))</f>
        <v>1</v>
      </c>
      <c r="P334" s="55">
        <f>IF(A334="",0,IF(AND(F334="C&amp;T",COUNTIFS($A$2:A334,A334,$F$2:F334,"C&amp;T")=1),1,0))</f>
        <v>0</v>
      </c>
    </row>
    <row r="335" spans="1:16" x14ac:dyDescent="0.35">
      <c r="A335" s="54">
        <f>IFERROR(IF(INDEX(SPOT_Import!$A$1:$Z$2488,335,'Live Data'!$C$12)="","",INDEX(SPOT_Import!$A$1:$Z$2488,335,'Live Data'!$C$12)),"")</f>
        <v>12325</v>
      </c>
      <c r="B335" s="54" t="str">
        <f>IFERROR(IF(INDEX(SPOT_Import!$A$1:$Z$2488,335,'Live Data'!$C$13)="","",INDEX(SPOT_Import!$A$1:$Z$2488,335,'Live Data'!$C$13)),"")</f>
        <v>Kinoro Sub-District Hospital</v>
      </c>
      <c r="C335" s="54" t="str">
        <f>IFERROR(IF(INDEX(SPOT_Import!$A$1:$Z$2488,335,'Live Data'!$C$14)="","",INDEX(SPOT_Import!$A$1:$Z$2488,335,'Live Data'!$C$14)),"")</f>
        <v>MERU</v>
      </c>
      <c r="D335" s="54" t="str">
        <f>IFERROR(IF(INDEX(SPOT_Import!$A$1:$Z$2488,335,'Live Data'!$C$15)="","",INDEX(SPOT_Import!$A$1:$Z$2488,335,'Live Data'!$C$15)),"")</f>
        <v>Imenti South</v>
      </c>
      <c r="E335" s="54" t="str">
        <f>IFERROR(IF(INDEX(SPOT_Import!$A$1:$Z$2488,335,'Live Data'!$C$16)="","",INDEX(SPOT_Import!$A$1:$Z$2488,335,'Live Data'!$C$16)),"")</f>
        <v>USAID Jamii Tekelezi</v>
      </c>
      <c r="F335" s="54" t="str">
        <f>IFERROR(IF(INDEX(SPOT_Import!$A$1:$Z$2488,335,'Live Data'!$C$17)="","",INDEX(SPOT_Import!$A$1:$Z$2488,335,'Live Data'!$C$17)),"")</f>
        <v>C&amp;T</v>
      </c>
      <c r="G335" s="54">
        <f>IFERROR(IF(INDEX(SPOT_Import!$A$1:$Z$2488,335,'Live Data'!$C$18)="","",INDEX(SPOT_Import!$A$1:$Z$2488,335,'Live Data'!$C$18)),"")</f>
        <v>321</v>
      </c>
      <c r="H335" s="54">
        <f>IFERROR(IF(INDEX(SPOT_Import!$A$1:$Z$2488,335,'Live Data'!$C$19)="","",INDEX(SPOT_Import!$A$1:$Z$2488,335,'Live Data'!$C$19)),"")</f>
        <v>321</v>
      </c>
      <c r="I335" s="54" t="str">
        <f>IFERROR(IF(INDEX(SPOT_Import!$A$1:$Z$2488,335,'Live Data'!$C$20)="","",INDEX(SPOT_Import!$A$1:$Z$2488,335,'Live Data'!$C$20)),"")</f>
        <v>Complete</v>
      </c>
      <c r="J335" s="54" t="str">
        <f>IFERROR(IF(INDEX(SPOT_Import!$A$1:$Z$2488,335,'Live Data'!$C$21)="","",INDEX(SPOT_Import!$A$1:$Z$2488,335,'Live Data'!$C$21)),"")</f>
        <v>2026-10-05T17:04:02.000Z</v>
      </c>
      <c r="K335" s="54" t="str">
        <f>IFERROR(IF(INDEX(SPOT_Import!$A$1:$Z$2488,335,'Live Data'!$C$22)="","",INDEX(SPOT_Import!$A$1:$Z$2488,335,'Live Data'!$C$22)),"")</f>
        <v>2026-10-05T17:04:02.000Z</v>
      </c>
      <c r="L335" s="55" t="str">
        <f t="shared" si="10"/>
        <v>2026-10</v>
      </c>
      <c r="M335" s="55" t="str">
        <f t="shared" si="11"/>
        <v>MERU</v>
      </c>
      <c r="N335" s="55" t="str">
        <f>IF(A335="","",IFERROR(INDEX('Cluster Map'!$A$4:$A$38,MATCH(M335,'Cluster Map'!$B$4:$B$38,0)),"Unmapped"))</f>
        <v>Cluster 1</v>
      </c>
      <c r="O335" s="55">
        <f>IF(A335="",0,IF(COUNTIFS($A$2:A335,A335,$F$2:F335,F335,$L$2:L335,L335)=1,1,0))</f>
        <v>1</v>
      </c>
      <c r="P335" s="55">
        <f>IF(A335="",0,IF(AND(F335="C&amp;T",COUNTIFS($A$2:A335,A335,$F$2:F335,"C&amp;T")=1),1,0))</f>
        <v>1</v>
      </c>
    </row>
    <row r="336" spans="1:16" x14ac:dyDescent="0.35">
      <c r="A336" s="54">
        <f>IFERROR(IF(INDEX(SPOT_Import!$A$1:$Z$2488,336,'Live Data'!$C$12)="","",INDEX(SPOT_Import!$A$1:$Z$2488,336,'Live Data'!$C$12)),"")</f>
        <v>10429</v>
      </c>
      <c r="B336" s="54" t="str">
        <f>IFERROR(IF(INDEX(SPOT_Import!$A$1:$Z$2488,336,'Live Data'!$C$13)="","",INDEX(SPOT_Import!$A$1:$Z$2488,336,'Live Data'!$C$13)),"")</f>
        <v>Kaimbaga Dispensary</v>
      </c>
      <c r="C336" s="54" t="str">
        <f>IFERROR(IF(INDEX(SPOT_Import!$A$1:$Z$2488,336,'Live Data'!$C$14)="","",INDEX(SPOT_Import!$A$1:$Z$2488,336,'Live Data'!$C$14)),"")</f>
        <v>NYANDARUA</v>
      </c>
      <c r="D336" s="54" t="str">
        <f>IFERROR(IF(INDEX(SPOT_Import!$A$1:$Z$2488,336,'Live Data'!$C$15)="","",INDEX(SPOT_Import!$A$1:$Z$2488,336,'Live Data'!$C$15)),"")</f>
        <v>Olkalou</v>
      </c>
      <c r="E336" s="54" t="str">
        <f>IFERROR(IF(INDEX(SPOT_Import!$A$1:$Z$2488,336,'Live Data'!$C$16)="","",INDEX(SPOT_Import!$A$1:$Z$2488,336,'Live Data'!$C$16)),"")</f>
        <v>USAID Jamii Tekelezi</v>
      </c>
      <c r="F336" s="54" t="str">
        <f>IFERROR(IF(INDEX(SPOT_Import!$A$1:$Z$2488,336,'Live Data'!$C$17)="","",INDEX(SPOT_Import!$A$1:$Z$2488,336,'Live Data'!$C$17)),"")</f>
        <v>C&amp;T</v>
      </c>
      <c r="G336" s="54">
        <f>IFERROR(IF(INDEX(SPOT_Import!$A$1:$Z$2488,336,'Live Data'!$C$18)="","",INDEX(SPOT_Import!$A$1:$Z$2488,336,'Live Data'!$C$18)),"")</f>
        <v>43</v>
      </c>
      <c r="H336" s="54">
        <f>IFERROR(IF(INDEX(SPOT_Import!$A$1:$Z$2488,336,'Live Data'!$C$19)="","",INDEX(SPOT_Import!$A$1:$Z$2488,336,'Live Data'!$C$19)),"")</f>
        <v>43</v>
      </c>
      <c r="I336" s="54" t="str">
        <f>IFERROR(IF(INDEX(SPOT_Import!$A$1:$Z$2488,336,'Live Data'!$C$20)="","",INDEX(SPOT_Import!$A$1:$Z$2488,336,'Live Data'!$C$20)),"")</f>
        <v>Complete</v>
      </c>
      <c r="J336" s="54" t="str">
        <f>IFERROR(IF(INDEX(SPOT_Import!$A$1:$Z$2488,336,'Live Data'!$C$21)="","",INDEX(SPOT_Import!$A$1:$Z$2488,336,'Live Data'!$C$21)),"")</f>
        <v>2026-10-05T15:23:32.000Z</v>
      </c>
      <c r="K336" s="54" t="str">
        <f>IFERROR(IF(INDEX(SPOT_Import!$A$1:$Z$2488,336,'Live Data'!$C$22)="","",INDEX(SPOT_Import!$A$1:$Z$2488,336,'Live Data'!$C$22)),"")</f>
        <v>2026-10-05T15:23:32.000Z</v>
      </c>
      <c r="L336" s="55" t="str">
        <f t="shared" si="10"/>
        <v>2026-10</v>
      </c>
      <c r="M336" s="55" t="str">
        <f t="shared" si="11"/>
        <v>NYANDARUA</v>
      </c>
      <c r="N336" s="55" t="str">
        <f>IF(A336="","",IFERROR(INDEX('Cluster Map'!$A$4:$A$38,MATCH(M336,'Cluster Map'!$B$4:$B$38,0)),"Unmapped"))</f>
        <v>Cluster 4</v>
      </c>
      <c r="O336" s="55">
        <f>IF(A336="",0,IF(COUNTIFS($A$2:A336,A336,$F$2:F336,F336,$L$2:L336,L336)=1,1,0))</f>
        <v>1</v>
      </c>
      <c r="P336" s="55">
        <f>IF(A336="",0,IF(AND(F336="C&amp;T",COUNTIFS($A$2:A336,A336,$F$2:F336,"C&amp;T")=1),1,0))</f>
        <v>1</v>
      </c>
    </row>
    <row r="337" spans="1:16" x14ac:dyDescent="0.35">
      <c r="A337" s="54">
        <f>IFERROR(IF(INDEX(SPOT_Import!$A$1:$Z$2488,337,'Live Data'!$C$12)="","",INDEX(SPOT_Import!$A$1:$Z$2488,337,'Live Data'!$C$12)),"")</f>
        <v>12326</v>
      </c>
      <c r="B337" s="54" t="str">
        <f>IFERROR(IF(INDEX(SPOT_Import!$A$1:$Z$2488,337,'Live Data'!$C$13)="","",INDEX(SPOT_Import!$A$1:$Z$2488,337,'Live Data'!$C$13)),"")</f>
        <v>Kinoru Dispensary</v>
      </c>
      <c r="C337" s="54" t="str">
        <f>IFERROR(IF(INDEX(SPOT_Import!$A$1:$Z$2488,337,'Live Data'!$C$14)="","",INDEX(SPOT_Import!$A$1:$Z$2488,337,'Live Data'!$C$14)),"")</f>
        <v>MERU</v>
      </c>
      <c r="D337" s="54" t="str">
        <f>IFERROR(IF(INDEX(SPOT_Import!$A$1:$Z$2488,337,'Live Data'!$C$15)="","",INDEX(SPOT_Import!$A$1:$Z$2488,337,'Live Data'!$C$15)),"")</f>
        <v>Imenti North</v>
      </c>
      <c r="E337" s="54" t="str">
        <f>IFERROR(IF(INDEX(SPOT_Import!$A$1:$Z$2488,337,'Live Data'!$C$16)="","",INDEX(SPOT_Import!$A$1:$Z$2488,337,'Live Data'!$C$16)),"")</f>
        <v>USAID Jamii Tekelezi</v>
      </c>
      <c r="F337" s="54" t="str">
        <f>IFERROR(IF(INDEX(SPOT_Import!$A$1:$Z$2488,337,'Live Data'!$C$17)="","",INDEX(SPOT_Import!$A$1:$Z$2488,337,'Live Data'!$C$17)),"")</f>
        <v>PREP</v>
      </c>
      <c r="G337" s="54">
        <f>IFERROR(IF(INDEX(SPOT_Import!$A$1:$Z$2488,337,'Live Data'!$C$18)="","",INDEX(SPOT_Import!$A$1:$Z$2488,337,'Live Data'!$C$18)),"")</f>
        <v>106</v>
      </c>
      <c r="H337" s="54">
        <f>IFERROR(IF(INDEX(SPOT_Import!$A$1:$Z$2488,337,'Live Data'!$C$19)="","",INDEX(SPOT_Import!$A$1:$Z$2488,337,'Live Data'!$C$19)),"")</f>
        <v>106</v>
      </c>
      <c r="I337" s="54" t="str">
        <f>IFERROR(IF(INDEX(SPOT_Import!$A$1:$Z$2488,337,'Live Data'!$C$20)="","",INDEX(SPOT_Import!$A$1:$Z$2488,337,'Live Data'!$C$20)),"")</f>
        <v>Complete</v>
      </c>
      <c r="J337" s="54" t="str">
        <f>IFERROR(IF(INDEX(SPOT_Import!$A$1:$Z$2488,337,'Live Data'!$C$21)="","",INDEX(SPOT_Import!$A$1:$Z$2488,337,'Live Data'!$C$21)),"")</f>
        <v>2026-10-05T14:56:15.000Z</v>
      </c>
      <c r="K337" s="54" t="str">
        <f>IFERROR(IF(INDEX(SPOT_Import!$A$1:$Z$2488,337,'Live Data'!$C$22)="","",INDEX(SPOT_Import!$A$1:$Z$2488,337,'Live Data'!$C$22)),"")</f>
        <v>2026-10-05T14:56:15.000Z</v>
      </c>
      <c r="L337" s="55" t="str">
        <f t="shared" si="10"/>
        <v>2026-10</v>
      </c>
      <c r="M337" s="55" t="str">
        <f t="shared" si="11"/>
        <v>MERU</v>
      </c>
      <c r="N337" s="55" t="str">
        <f>IF(A337="","",IFERROR(INDEX('Cluster Map'!$A$4:$A$38,MATCH(M337,'Cluster Map'!$B$4:$B$38,0)),"Unmapped"))</f>
        <v>Cluster 1</v>
      </c>
      <c r="O337" s="55">
        <f>IF(A337="",0,IF(COUNTIFS($A$2:A337,A337,$F$2:F337,F337,$L$2:L337,L337)=1,1,0))</f>
        <v>1</v>
      </c>
      <c r="P337" s="55">
        <f>IF(A337="",0,IF(AND(F337="C&amp;T",COUNTIFS($A$2:A337,A337,$F$2:F337,"C&amp;T")=1),1,0))</f>
        <v>0</v>
      </c>
    </row>
    <row r="338" spans="1:16" x14ac:dyDescent="0.35">
      <c r="A338" s="54">
        <f>IFERROR(IF(INDEX(SPOT_Import!$A$1:$Z$2488,338,'Live Data'!$C$12)="","",INDEX(SPOT_Import!$A$1:$Z$2488,338,'Live Data'!$C$12)),"")</f>
        <v>12326</v>
      </c>
      <c r="B338" s="54" t="str">
        <f>IFERROR(IF(INDEX(SPOT_Import!$A$1:$Z$2488,338,'Live Data'!$C$13)="","",INDEX(SPOT_Import!$A$1:$Z$2488,338,'Live Data'!$C$13)),"")</f>
        <v>Kinoru Dispensary</v>
      </c>
      <c r="C338" s="54" t="str">
        <f>IFERROR(IF(INDEX(SPOT_Import!$A$1:$Z$2488,338,'Live Data'!$C$14)="","",INDEX(SPOT_Import!$A$1:$Z$2488,338,'Live Data'!$C$14)),"")</f>
        <v>MERU</v>
      </c>
      <c r="D338" s="54" t="str">
        <f>IFERROR(IF(INDEX(SPOT_Import!$A$1:$Z$2488,338,'Live Data'!$C$15)="","",INDEX(SPOT_Import!$A$1:$Z$2488,338,'Live Data'!$C$15)),"")</f>
        <v>Imenti North</v>
      </c>
      <c r="E338" s="54" t="str">
        <f>IFERROR(IF(INDEX(SPOT_Import!$A$1:$Z$2488,338,'Live Data'!$C$16)="","",INDEX(SPOT_Import!$A$1:$Z$2488,338,'Live Data'!$C$16)),"")</f>
        <v>USAID Jamii Tekelezi</v>
      </c>
      <c r="F338" s="54" t="str">
        <f>IFERROR(IF(INDEX(SPOT_Import!$A$1:$Z$2488,338,'Live Data'!$C$17)="","",INDEX(SPOT_Import!$A$1:$Z$2488,338,'Live Data'!$C$17)),"")</f>
        <v>MNCH</v>
      </c>
      <c r="G338" s="54">
        <f>IFERROR(IF(INDEX(SPOT_Import!$A$1:$Z$2488,338,'Live Data'!$C$18)="","",INDEX(SPOT_Import!$A$1:$Z$2488,338,'Live Data'!$C$18)),"")</f>
        <v>105</v>
      </c>
      <c r="H338" s="54">
        <f>IFERROR(IF(INDEX(SPOT_Import!$A$1:$Z$2488,338,'Live Data'!$C$19)="","",INDEX(SPOT_Import!$A$1:$Z$2488,338,'Live Data'!$C$19)),"")</f>
        <v>105</v>
      </c>
      <c r="I338" s="54" t="str">
        <f>IFERROR(IF(INDEX(SPOT_Import!$A$1:$Z$2488,338,'Live Data'!$C$20)="","",INDEX(SPOT_Import!$A$1:$Z$2488,338,'Live Data'!$C$20)),"")</f>
        <v>Complete</v>
      </c>
      <c r="J338" s="54" t="str">
        <f>IFERROR(IF(INDEX(SPOT_Import!$A$1:$Z$2488,338,'Live Data'!$C$21)="","",INDEX(SPOT_Import!$A$1:$Z$2488,338,'Live Data'!$C$21)),"")</f>
        <v>2026-10-05T14:56:07.000Z</v>
      </c>
      <c r="K338" s="54" t="str">
        <f>IFERROR(IF(INDEX(SPOT_Import!$A$1:$Z$2488,338,'Live Data'!$C$22)="","",INDEX(SPOT_Import!$A$1:$Z$2488,338,'Live Data'!$C$22)),"")</f>
        <v>2026-10-05T14:56:07.000Z</v>
      </c>
      <c r="L338" s="55" t="str">
        <f t="shared" si="10"/>
        <v>2026-10</v>
      </c>
      <c r="M338" s="55" t="str">
        <f t="shared" si="11"/>
        <v>MERU</v>
      </c>
      <c r="N338" s="55" t="str">
        <f>IF(A338="","",IFERROR(INDEX('Cluster Map'!$A$4:$A$38,MATCH(M338,'Cluster Map'!$B$4:$B$38,0)),"Unmapped"))</f>
        <v>Cluster 1</v>
      </c>
      <c r="O338" s="55">
        <f>IF(A338="",0,IF(COUNTIFS($A$2:A338,A338,$F$2:F338,F338,$L$2:L338,L338)=1,1,0))</f>
        <v>1</v>
      </c>
      <c r="P338" s="55">
        <f>IF(A338="",0,IF(AND(F338="C&amp;T",COUNTIFS($A$2:A338,A338,$F$2:F338,"C&amp;T")=1),1,0))</f>
        <v>0</v>
      </c>
    </row>
    <row r="339" spans="1:16" x14ac:dyDescent="0.35">
      <c r="A339" s="54">
        <f>IFERROR(IF(INDEX(SPOT_Import!$A$1:$Z$2488,339,'Live Data'!$C$12)="","",INDEX(SPOT_Import!$A$1:$Z$2488,339,'Live Data'!$C$12)),"")</f>
        <v>12326</v>
      </c>
      <c r="B339" s="54" t="str">
        <f>IFERROR(IF(INDEX(SPOT_Import!$A$1:$Z$2488,339,'Live Data'!$C$13)="","",INDEX(SPOT_Import!$A$1:$Z$2488,339,'Live Data'!$C$13)),"")</f>
        <v>Kinoru Dispensary</v>
      </c>
      <c r="C339" s="54" t="str">
        <f>IFERROR(IF(INDEX(SPOT_Import!$A$1:$Z$2488,339,'Live Data'!$C$14)="","",INDEX(SPOT_Import!$A$1:$Z$2488,339,'Live Data'!$C$14)),"")</f>
        <v>MERU</v>
      </c>
      <c r="D339" s="54" t="str">
        <f>IFERROR(IF(INDEX(SPOT_Import!$A$1:$Z$2488,339,'Live Data'!$C$15)="","",INDEX(SPOT_Import!$A$1:$Z$2488,339,'Live Data'!$C$15)),"")</f>
        <v>Imenti North</v>
      </c>
      <c r="E339" s="54" t="str">
        <f>IFERROR(IF(INDEX(SPOT_Import!$A$1:$Z$2488,339,'Live Data'!$C$16)="","",INDEX(SPOT_Import!$A$1:$Z$2488,339,'Live Data'!$C$16)),"")</f>
        <v>USAID Jamii Tekelezi</v>
      </c>
      <c r="F339" s="54" t="str">
        <f>IFERROR(IF(INDEX(SPOT_Import!$A$1:$Z$2488,339,'Live Data'!$C$17)="","",INDEX(SPOT_Import!$A$1:$Z$2488,339,'Live Data'!$C$17)),"")</f>
        <v>HTS</v>
      </c>
      <c r="G339" s="54">
        <f>IFERROR(IF(INDEX(SPOT_Import!$A$1:$Z$2488,339,'Live Data'!$C$18)="","",INDEX(SPOT_Import!$A$1:$Z$2488,339,'Live Data'!$C$18)),"")</f>
        <v>2552</v>
      </c>
      <c r="H339" s="54">
        <f>IFERROR(IF(INDEX(SPOT_Import!$A$1:$Z$2488,339,'Live Data'!$C$19)="","",INDEX(SPOT_Import!$A$1:$Z$2488,339,'Live Data'!$C$19)),"")</f>
        <v>2552</v>
      </c>
      <c r="I339" s="54" t="str">
        <f>IFERROR(IF(INDEX(SPOT_Import!$A$1:$Z$2488,339,'Live Data'!$C$20)="","",INDEX(SPOT_Import!$A$1:$Z$2488,339,'Live Data'!$C$20)),"")</f>
        <v>Complete</v>
      </c>
      <c r="J339" s="54" t="str">
        <f>IFERROR(IF(INDEX(SPOT_Import!$A$1:$Z$2488,339,'Live Data'!$C$21)="","",INDEX(SPOT_Import!$A$1:$Z$2488,339,'Live Data'!$C$21)),"")</f>
        <v>2026-10-05T14:55:33.000Z</v>
      </c>
      <c r="K339" s="54" t="str">
        <f>IFERROR(IF(INDEX(SPOT_Import!$A$1:$Z$2488,339,'Live Data'!$C$22)="","",INDEX(SPOT_Import!$A$1:$Z$2488,339,'Live Data'!$C$22)),"")</f>
        <v>2026-10-05T14:55:33.000Z</v>
      </c>
      <c r="L339" s="55" t="str">
        <f t="shared" si="10"/>
        <v>2026-10</v>
      </c>
      <c r="M339" s="55" t="str">
        <f t="shared" si="11"/>
        <v>MERU</v>
      </c>
      <c r="N339" s="55" t="str">
        <f>IF(A339="","",IFERROR(INDEX('Cluster Map'!$A$4:$A$38,MATCH(M339,'Cluster Map'!$B$4:$B$38,0)),"Unmapped"))</f>
        <v>Cluster 1</v>
      </c>
      <c r="O339" s="55">
        <f>IF(A339="",0,IF(COUNTIFS($A$2:A339,A339,$F$2:F339,F339,$L$2:L339,L339)=1,1,0))</f>
        <v>1</v>
      </c>
      <c r="P339" s="55">
        <f>IF(A339="",0,IF(AND(F339="C&amp;T",COUNTIFS($A$2:A339,A339,$F$2:F339,"C&amp;T")=1),1,0))</f>
        <v>0</v>
      </c>
    </row>
    <row r="340" spans="1:16" x14ac:dyDescent="0.35">
      <c r="A340" s="54">
        <f>IFERROR(IF(INDEX(SPOT_Import!$A$1:$Z$2488,340,'Live Data'!$C$12)="","",INDEX(SPOT_Import!$A$1:$Z$2488,340,'Live Data'!$C$12)),"")</f>
        <v>10871</v>
      </c>
      <c r="B340" s="54" t="str">
        <f>IFERROR(IF(INDEX(SPOT_Import!$A$1:$Z$2488,340,'Live Data'!$C$13)="","",INDEX(SPOT_Import!$A$1:$Z$2488,340,'Live Data'!$C$13)),"")</f>
        <v>Ngorika Dispensary</v>
      </c>
      <c r="C340" s="54" t="str">
        <f>IFERROR(IF(INDEX(SPOT_Import!$A$1:$Z$2488,340,'Live Data'!$C$14)="","",INDEX(SPOT_Import!$A$1:$Z$2488,340,'Live Data'!$C$14)),"")</f>
        <v>NYANDARUA</v>
      </c>
      <c r="D340" s="54" t="str">
        <f>IFERROR(IF(INDEX(SPOT_Import!$A$1:$Z$2488,340,'Live Data'!$C$15)="","",INDEX(SPOT_Import!$A$1:$Z$2488,340,'Live Data'!$C$15)),"")</f>
        <v>Olkalou</v>
      </c>
      <c r="E340" s="54" t="str">
        <f>IFERROR(IF(INDEX(SPOT_Import!$A$1:$Z$2488,340,'Live Data'!$C$16)="","",INDEX(SPOT_Import!$A$1:$Z$2488,340,'Live Data'!$C$16)),"")</f>
        <v>USAID Jamii Tekelezi</v>
      </c>
      <c r="F340" s="54" t="str">
        <f>IFERROR(IF(INDEX(SPOT_Import!$A$1:$Z$2488,340,'Live Data'!$C$17)="","",INDEX(SPOT_Import!$A$1:$Z$2488,340,'Live Data'!$C$17)),"")</f>
        <v>PREP</v>
      </c>
      <c r="G340" s="54">
        <f>IFERROR(IF(INDEX(SPOT_Import!$A$1:$Z$2488,340,'Live Data'!$C$18)="","",INDEX(SPOT_Import!$A$1:$Z$2488,340,'Live Data'!$C$18)),"")</f>
        <v>202</v>
      </c>
      <c r="H340" s="54">
        <f>IFERROR(IF(INDEX(SPOT_Import!$A$1:$Z$2488,340,'Live Data'!$C$19)="","",INDEX(SPOT_Import!$A$1:$Z$2488,340,'Live Data'!$C$19)),"")</f>
        <v>202</v>
      </c>
      <c r="I340" s="54" t="str">
        <f>IFERROR(IF(INDEX(SPOT_Import!$A$1:$Z$2488,340,'Live Data'!$C$20)="","",INDEX(SPOT_Import!$A$1:$Z$2488,340,'Live Data'!$C$20)),"")</f>
        <v>Complete</v>
      </c>
      <c r="J340" s="54" t="str">
        <f>IFERROR(IF(INDEX(SPOT_Import!$A$1:$Z$2488,340,'Live Data'!$C$21)="","",INDEX(SPOT_Import!$A$1:$Z$2488,340,'Live Data'!$C$21)),"")</f>
        <v>2026-10-05T14:44:16.000Z</v>
      </c>
      <c r="K340" s="54" t="str">
        <f>IFERROR(IF(INDEX(SPOT_Import!$A$1:$Z$2488,340,'Live Data'!$C$22)="","",INDEX(SPOT_Import!$A$1:$Z$2488,340,'Live Data'!$C$22)),"")</f>
        <v>2026-10-05T14:44:16.000Z</v>
      </c>
      <c r="L340" s="55" t="str">
        <f t="shared" si="10"/>
        <v>2026-10</v>
      </c>
      <c r="M340" s="55" t="str">
        <f t="shared" si="11"/>
        <v>NYANDARUA</v>
      </c>
      <c r="N340" s="55" t="str">
        <f>IF(A340="","",IFERROR(INDEX('Cluster Map'!$A$4:$A$38,MATCH(M340,'Cluster Map'!$B$4:$B$38,0)),"Unmapped"))</f>
        <v>Cluster 4</v>
      </c>
      <c r="O340" s="55">
        <f>IF(A340="",0,IF(COUNTIFS($A$2:A340,A340,$F$2:F340,F340,$L$2:L340,L340)=1,1,0))</f>
        <v>1</v>
      </c>
      <c r="P340" s="55">
        <f>IF(A340="",0,IF(AND(F340="C&amp;T",COUNTIFS($A$2:A340,A340,$F$2:F340,"C&amp;T")=1),1,0))</f>
        <v>0</v>
      </c>
    </row>
    <row r="341" spans="1:16" x14ac:dyDescent="0.35">
      <c r="A341" s="54">
        <f>IFERROR(IF(INDEX(SPOT_Import!$A$1:$Z$2488,341,'Live Data'!$C$12)="","",INDEX(SPOT_Import!$A$1:$Z$2488,341,'Live Data'!$C$12)),"")</f>
        <v>10871</v>
      </c>
      <c r="B341" s="54" t="str">
        <f>IFERROR(IF(INDEX(SPOT_Import!$A$1:$Z$2488,341,'Live Data'!$C$13)="","",INDEX(SPOT_Import!$A$1:$Z$2488,341,'Live Data'!$C$13)),"")</f>
        <v>Ngorika Dispensary</v>
      </c>
      <c r="C341" s="54" t="str">
        <f>IFERROR(IF(INDEX(SPOT_Import!$A$1:$Z$2488,341,'Live Data'!$C$14)="","",INDEX(SPOT_Import!$A$1:$Z$2488,341,'Live Data'!$C$14)),"")</f>
        <v>NYANDARUA</v>
      </c>
      <c r="D341" s="54" t="str">
        <f>IFERROR(IF(INDEX(SPOT_Import!$A$1:$Z$2488,341,'Live Data'!$C$15)="","",INDEX(SPOT_Import!$A$1:$Z$2488,341,'Live Data'!$C$15)),"")</f>
        <v>Olkalou</v>
      </c>
      <c r="E341" s="54" t="str">
        <f>IFERROR(IF(INDEX(SPOT_Import!$A$1:$Z$2488,341,'Live Data'!$C$16)="","",INDEX(SPOT_Import!$A$1:$Z$2488,341,'Live Data'!$C$16)),"")</f>
        <v>USAID Jamii Tekelezi</v>
      </c>
      <c r="F341" s="54" t="str">
        <f>IFERROR(IF(INDEX(SPOT_Import!$A$1:$Z$2488,341,'Live Data'!$C$17)="","",INDEX(SPOT_Import!$A$1:$Z$2488,341,'Live Data'!$C$17)),"")</f>
        <v>MNCH</v>
      </c>
      <c r="G341" s="54">
        <f>IFERROR(IF(INDEX(SPOT_Import!$A$1:$Z$2488,341,'Live Data'!$C$18)="","",INDEX(SPOT_Import!$A$1:$Z$2488,341,'Live Data'!$C$18)),"")</f>
        <v>25</v>
      </c>
      <c r="H341" s="54">
        <f>IFERROR(IF(INDEX(SPOT_Import!$A$1:$Z$2488,341,'Live Data'!$C$19)="","",INDEX(SPOT_Import!$A$1:$Z$2488,341,'Live Data'!$C$19)),"")</f>
        <v>25</v>
      </c>
      <c r="I341" s="54" t="str">
        <f>IFERROR(IF(INDEX(SPOT_Import!$A$1:$Z$2488,341,'Live Data'!$C$20)="","",INDEX(SPOT_Import!$A$1:$Z$2488,341,'Live Data'!$C$20)),"")</f>
        <v>Complete</v>
      </c>
      <c r="J341" s="54" t="str">
        <f>IFERROR(IF(INDEX(SPOT_Import!$A$1:$Z$2488,341,'Live Data'!$C$21)="","",INDEX(SPOT_Import!$A$1:$Z$2488,341,'Live Data'!$C$21)),"")</f>
        <v>2026-10-05T14:44:06.000Z</v>
      </c>
      <c r="K341" s="54" t="str">
        <f>IFERROR(IF(INDEX(SPOT_Import!$A$1:$Z$2488,341,'Live Data'!$C$22)="","",INDEX(SPOT_Import!$A$1:$Z$2488,341,'Live Data'!$C$22)),"")</f>
        <v>2026-10-05T14:44:06.000Z</v>
      </c>
      <c r="L341" s="55" t="str">
        <f t="shared" si="10"/>
        <v>2026-10</v>
      </c>
      <c r="M341" s="55" t="str">
        <f t="shared" si="11"/>
        <v>NYANDARUA</v>
      </c>
      <c r="N341" s="55" t="str">
        <f>IF(A341="","",IFERROR(INDEX('Cluster Map'!$A$4:$A$38,MATCH(M341,'Cluster Map'!$B$4:$B$38,0)),"Unmapped"))</f>
        <v>Cluster 4</v>
      </c>
      <c r="O341" s="55">
        <f>IF(A341="",0,IF(COUNTIFS($A$2:A341,A341,$F$2:F341,F341,$L$2:L341,L341)=1,1,0))</f>
        <v>1</v>
      </c>
      <c r="P341" s="55">
        <f>IF(A341="",0,IF(AND(F341="C&amp;T",COUNTIFS($A$2:A341,A341,$F$2:F341,"C&amp;T")=1),1,0))</f>
        <v>0</v>
      </c>
    </row>
    <row r="342" spans="1:16" x14ac:dyDescent="0.35">
      <c r="A342" s="54">
        <f>IFERROR(IF(INDEX(SPOT_Import!$A$1:$Z$2488,342,'Live Data'!$C$12)="","",INDEX(SPOT_Import!$A$1:$Z$2488,342,'Live Data'!$C$12)),"")</f>
        <v>10871</v>
      </c>
      <c r="B342" s="54" t="str">
        <f>IFERROR(IF(INDEX(SPOT_Import!$A$1:$Z$2488,342,'Live Data'!$C$13)="","",INDEX(SPOT_Import!$A$1:$Z$2488,342,'Live Data'!$C$13)),"")</f>
        <v>Ngorika Dispensary</v>
      </c>
      <c r="C342" s="54" t="str">
        <f>IFERROR(IF(INDEX(SPOT_Import!$A$1:$Z$2488,342,'Live Data'!$C$14)="","",INDEX(SPOT_Import!$A$1:$Z$2488,342,'Live Data'!$C$14)),"")</f>
        <v>NYANDARUA</v>
      </c>
      <c r="D342" s="54" t="str">
        <f>IFERROR(IF(INDEX(SPOT_Import!$A$1:$Z$2488,342,'Live Data'!$C$15)="","",INDEX(SPOT_Import!$A$1:$Z$2488,342,'Live Data'!$C$15)),"")</f>
        <v>Olkalou</v>
      </c>
      <c r="E342" s="54" t="str">
        <f>IFERROR(IF(INDEX(SPOT_Import!$A$1:$Z$2488,342,'Live Data'!$C$16)="","",INDEX(SPOT_Import!$A$1:$Z$2488,342,'Live Data'!$C$16)),"")</f>
        <v>USAID Jamii Tekelezi</v>
      </c>
      <c r="F342" s="54" t="str">
        <f>IFERROR(IF(INDEX(SPOT_Import!$A$1:$Z$2488,342,'Live Data'!$C$17)="","",INDEX(SPOT_Import!$A$1:$Z$2488,342,'Live Data'!$C$17)),"")</f>
        <v>HTS</v>
      </c>
      <c r="G342" s="54">
        <f>IFERROR(IF(INDEX(SPOT_Import!$A$1:$Z$2488,342,'Live Data'!$C$18)="","",INDEX(SPOT_Import!$A$1:$Z$2488,342,'Live Data'!$C$18)),"")</f>
        <v>3048</v>
      </c>
      <c r="H342" s="54">
        <f>IFERROR(IF(INDEX(SPOT_Import!$A$1:$Z$2488,342,'Live Data'!$C$19)="","",INDEX(SPOT_Import!$A$1:$Z$2488,342,'Live Data'!$C$19)),"")</f>
        <v>3048</v>
      </c>
      <c r="I342" s="54" t="str">
        <f>IFERROR(IF(INDEX(SPOT_Import!$A$1:$Z$2488,342,'Live Data'!$C$20)="","",INDEX(SPOT_Import!$A$1:$Z$2488,342,'Live Data'!$C$20)),"")</f>
        <v>Complete</v>
      </c>
      <c r="J342" s="54" t="str">
        <f>IFERROR(IF(INDEX(SPOT_Import!$A$1:$Z$2488,342,'Live Data'!$C$21)="","",INDEX(SPOT_Import!$A$1:$Z$2488,342,'Live Data'!$C$21)),"")</f>
        <v>2026-10-05T14:43:43.000Z</v>
      </c>
      <c r="K342" s="54" t="str">
        <f>IFERROR(IF(INDEX(SPOT_Import!$A$1:$Z$2488,342,'Live Data'!$C$22)="","",INDEX(SPOT_Import!$A$1:$Z$2488,342,'Live Data'!$C$22)),"")</f>
        <v>2026-10-05T14:43:43.000Z</v>
      </c>
      <c r="L342" s="55" t="str">
        <f t="shared" si="10"/>
        <v>2026-10</v>
      </c>
      <c r="M342" s="55" t="str">
        <f t="shared" si="11"/>
        <v>NYANDARUA</v>
      </c>
      <c r="N342" s="55" t="str">
        <f>IF(A342="","",IFERROR(INDEX('Cluster Map'!$A$4:$A$38,MATCH(M342,'Cluster Map'!$B$4:$B$38,0)),"Unmapped"))</f>
        <v>Cluster 4</v>
      </c>
      <c r="O342" s="55">
        <f>IF(A342="",0,IF(COUNTIFS($A$2:A342,A342,$F$2:F342,F342,$L$2:L342,L342)=1,1,0))</f>
        <v>1</v>
      </c>
      <c r="P342" s="55">
        <f>IF(A342="",0,IF(AND(F342="C&amp;T",COUNTIFS($A$2:A342,A342,$F$2:F342,"C&amp;T")=1),1,0))</f>
        <v>0</v>
      </c>
    </row>
    <row r="343" spans="1:16" x14ac:dyDescent="0.35">
      <c r="A343" s="54">
        <f>IFERROR(IF(INDEX(SPOT_Import!$A$1:$Z$2488,343,'Live Data'!$C$12)="","",INDEX(SPOT_Import!$A$1:$Z$2488,343,'Live Data'!$C$12)),"")</f>
        <v>12326</v>
      </c>
      <c r="B343" s="54" t="str">
        <f>IFERROR(IF(INDEX(SPOT_Import!$A$1:$Z$2488,343,'Live Data'!$C$13)="","",INDEX(SPOT_Import!$A$1:$Z$2488,343,'Live Data'!$C$13)),"")</f>
        <v>Kinoru Dispensary</v>
      </c>
      <c r="C343" s="54" t="str">
        <f>IFERROR(IF(INDEX(SPOT_Import!$A$1:$Z$2488,343,'Live Data'!$C$14)="","",INDEX(SPOT_Import!$A$1:$Z$2488,343,'Live Data'!$C$14)),"")</f>
        <v>MERU</v>
      </c>
      <c r="D343" s="54" t="str">
        <f>IFERROR(IF(INDEX(SPOT_Import!$A$1:$Z$2488,343,'Live Data'!$C$15)="","",INDEX(SPOT_Import!$A$1:$Z$2488,343,'Live Data'!$C$15)),"")</f>
        <v>Imenti North</v>
      </c>
      <c r="E343" s="54" t="str">
        <f>IFERROR(IF(INDEX(SPOT_Import!$A$1:$Z$2488,343,'Live Data'!$C$16)="","",INDEX(SPOT_Import!$A$1:$Z$2488,343,'Live Data'!$C$16)),"")</f>
        <v>USAID Jamii Tekelezi</v>
      </c>
      <c r="F343" s="54" t="str">
        <f>IFERROR(IF(INDEX(SPOT_Import!$A$1:$Z$2488,343,'Live Data'!$C$17)="","",INDEX(SPOT_Import!$A$1:$Z$2488,343,'Live Data'!$C$17)),"")</f>
        <v>C&amp;T</v>
      </c>
      <c r="G343" s="54">
        <f>IFERROR(IF(INDEX(SPOT_Import!$A$1:$Z$2488,343,'Live Data'!$C$18)="","",INDEX(SPOT_Import!$A$1:$Z$2488,343,'Live Data'!$C$18)),"")</f>
        <v>738</v>
      </c>
      <c r="H343" s="54">
        <f>IFERROR(IF(INDEX(SPOT_Import!$A$1:$Z$2488,343,'Live Data'!$C$19)="","",INDEX(SPOT_Import!$A$1:$Z$2488,343,'Live Data'!$C$19)),"")</f>
        <v>738</v>
      </c>
      <c r="I343" s="54" t="str">
        <f>IFERROR(IF(INDEX(SPOT_Import!$A$1:$Z$2488,343,'Live Data'!$C$20)="","",INDEX(SPOT_Import!$A$1:$Z$2488,343,'Live Data'!$C$20)),"")</f>
        <v>Complete</v>
      </c>
      <c r="J343" s="54" t="str">
        <f>IFERROR(IF(INDEX(SPOT_Import!$A$1:$Z$2488,343,'Live Data'!$C$21)="","",INDEX(SPOT_Import!$A$1:$Z$2488,343,'Live Data'!$C$21)),"")</f>
        <v>2026-10-05T14:32:28.000Z</v>
      </c>
      <c r="K343" s="54" t="str">
        <f>IFERROR(IF(INDEX(SPOT_Import!$A$1:$Z$2488,343,'Live Data'!$C$22)="","",INDEX(SPOT_Import!$A$1:$Z$2488,343,'Live Data'!$C$22)),"")</f>
        <v>2026-10-05T14:32:28.000Z</v>
      </c>
      <c r="L343" s="55" t="str">
        <f t="shared" si="10"/>
        <v>2026-10</v>
      </c>
      <c r="M343" s="55" t="str">
        <f t="shared" si="11"/>
        <v>MERU</v>
      </c>
      <c r="N343" s="55" t="str">
        <f>IF(A343="","",IFERROR(INDEX('Cluster Map'!$A$4:$A$38,MATCH(M343,'Cluster Map'!$B$4:$B$38,0)),"Unmapped"))</f>
        <v>Cluster 1</v>
      </c>
      <c r="O343" s="55">
        <f>IF(A343="",0,IF(COUNTIFS($A$2:A343,A343,$F$2:F343,F343,$L$2:L343,L343)=1,1,0))</f>
        <v>1</v>
      </c>
      <c r="P343" s="55">
        <f>IF(A343="",0,IF(AND(F343="C&amp;T",COUNTIFS($A$2:A343,A343,$F$2:F343,"C&amp;T")=1),1,0))</f>
        <v>1</v>
      </c>
    </row>
    <row r="344" spans="1:16" x14ac:dyDescent="0.35">
      <c r="A344" s="54">
        <f>IFERROR(IF(INDEX(SPOT_Import!$A$1:$Z$2488,344,'Live Data'!$C$12)="","",INDEX(SPOT_Import!$A$1:$Z$2488,344,'Live Data'!$C$12)),"")</f>
        <v>10871</v>
      </c>
      <c r="B344" s="54" t="str">
        <f>IFERROR(IF(INDEX(SPOT_Import!$A$1:$Z$2488,344,'Live Data'!$C$13)="","",INDEX(SPOT_Import!$A$1:$Z$2488,344,'Live Data'!$C$13)),"")</f>
        <v>Ngorika Dispensary</v>
      </c>
      <c r="C344" s="54" t="str">
        <f>IFERROR(IF(INDEX(SPOT_Import!$A$1:$Z$2488,344,'Live Data'!$C$14)="","",INDEX(SPOT_Import!$A$1:$Z$2488,344,'Live Data'!$C$14)),"")</f>
        <v>NYANDARUA</v>
      </c>
      <c r="D344" s="54" t="str">
        <f>IFERROR(IF(INDEX(SPOT_Import!$A$1:$Z$2488,344,'Live Data'!$C$15)="","",INDEX(SPOT_Import!$A$1:$Z$2488,344,'Live Data'!$C$15)),"")</f>
        <v>Olkalou</v>
      </c>
      <c r="E344" s="54" t="str">
        <f>IFERROR(IF(INDEX(SPOT_Import!$A$1:$Z$2488,344,'Live Data'!$C$16)="","",INDEX(SPOT_Import!$A$1:$Z$2488,344,'Live Data'!$C$16)),"")</f>
        <v>USAID Jamii Tekelezi</v>
      </c>
      <c r="F344" s="54" t="str">
        <f>IFERROR(IF(INDEX(SPOT_Import!$A$1:$Z$2488,344,'Live Data'!$C$17)="","",INDEX(SPOT_Import!$A$1:$Z$2488,344,'Live Data'!$C$17)),"")</f>
        <v>C&amp;T</v>
      </c>
      <c r="G344" s="54">
        <f>IFERROR(IF(INDEX(SPOT_Import!$A$1:$Z$2488,344,'Live Data'!$C$18)="","",INDEX(SPOT_Import!$A$1:$Z$2488,344,'Live Data'!$C$18)),"")</f>
        <v>247</v>
      </c>
      <c r="H344" s="54">
        <f>IFERROR(IF(INDEX(SPOT_Import!$A$1:$Z$2488,344,'Live Data'!$C$19)="","",INDEX(SPOT_Import!$A$1:$Z$2488,344,'Live Data'!$C$19)),"")</f>
        <v>247</v>
      </c>
      <c r="I344" s="54" t="str">
        <f>IFERROR(IF(INDEX(SPOT_Import!$A$1:$Z$2488,344,'Live Data'!$C$20)="","",INDEX(SPOT_Import!$A$1:$Z$2488,344,'Live Data'!$C$20)),"")</f>
        <v>Complete</v>
      </c>
      <c r="J344" s="54" t="str">
        <f>IFERROR(IF(INDEX(SPOT_Import!$A$1:$Z$2488,344,'Live Data'!$C$21)="","",INDEX(SPOT_Import!$A$1:$Z$2488,344,'Live Data'!$C$21)),"")</f>
        <v>2026-10-05T14:21:05.000Z</v>
      </c>
      <c r="K344" s="54" t="str">
        <f>IFERROR(IF(INDEX(SPOT_Import!$A$1:$Z$2488,344,'Live Data'!$C$22)="","",INDEX(SPOT_Import!$A$1:$Z$2488,344,'Live Data'!$C$22)),"")</f>
        <v>2026-10-05T14:21:05.000Z</v>
      </c>
      <c r="L344" s="55" t="str">
        <f t="shared" si="10"/>
        <v>2026-10</v>
      </c>
      <c r="M344" s="55" t="str">
        <f t="shared" si="11"/>
        <v>NYANDARUA</v>
      </c>
      <c r="N344" s="55" t="str">
        <f>IF(A344="","",IFERROR(INDEX('Cluster Map'!$A$4:$A$38,MATCH(M344,'Cluster Map'!$B$4:$B$38,0)),"Unmapped"))</f>
        <v>Cluster 4</v>
      </c>
      <c r="O344" s="55">
        <f>IF(A344="",0,IF(COUNTIFS($A$2:A344,A344,$F$2:F344,F344,$L$2:L344,L344)=1,1,0))</f>
        <v>1</v>
      </c>
      <c r="P344" s="55">
        <f>IF(A344="",0,IF(AND(F344="C&amp;T",COUNTIFS($A$2:A344,A344,$F$2:F344,"C&amp;T")=1),1,0))</f>
        <v>1</v>
      </c>
    </row>
    <row r="345" spans="1:16" x14ac:dyDescent="0.35">
      <c r="A345" s="54">
        <f>IFERROR(IF(INDEX(SPOT_Import!$A$1:$Z$2488,345,'Live Data'!$C$12)="","",INDEX(SPOT_Import!$A$1:$Z$2488,345,'Live Data'!$C$12)),"")</f>
        <v>10786</v>
      </c>
      <c r="B345" s="54" t="str">
        <f>IFERROR(IF(INDEX(SPOT_Import!$A$1:$Z$2488,345,'Live Data'!$C$13)="","",INDEX(SPOT_Import!$A$1:$Z$2488,345,'Live Data'!$C$13)),"")</f>
        <v>Murungaru Health Centre</v>
      </c>
      <c r="C345" s="54" t="str">
        <f>IFERROR(IF(INDEX(SPOT_Import!$A$1:$Z$2488,345,'Live Data'!$C$14)="","",INDEX(SPOT_Import!$A$1:$Z$2488,345,'Live Data'!$C$14)),"")</f>
        <v>NYANDARUA</v>
      </c>
      <c r="D345" s="54" t="str">
        <f>IFERROR(IF(INDEX(SPOT_Import!$A$1:$Z$2488,345,'Live Data'!$C$15)="","",INDEX(SPOT_Import!$A$1:$Z$2488,345,'Live Data'!$C$15)),"")</f>
        <v>Kinangop</v>
      </c>
      <c r="E345" s="54" t="str">
        <f>IFERROR(IF(INDEX(SPOT_Import!$A$1:$Z$2488,345,'Live Data'!$C$16)="","",INDEX(SPOT_Import!$A$1:$Z$2488,345,'Live Data'!$C$16)),"")</f>
        <v>USAID Jamii Tekelezi</v>
      </c>
      <c r="F345" s="54" t="str">
        <f>IFERROR(IF(INDEX(SPOT_Import!$A$1:$Z$2488,345,'Live Data'!$C$17)="","",INDEX(SPOT_Import!$A$1:$Z$2488,345,'Live Data'!$C$17)),"")</f>
        <v>PREP</v>
      </c>
      <c r="G345" s="54">
        <f>IFERROR(IF(INDEX(SPOT_Import!$A$1:$Z$2488,345,'Live Data'!$C$18)="","",INDEX(SPOT_Import!$A$1:$Z$2488,345,'Live Data'!$C$18)),"")</f>
        <v>70</v>
      </c>
      <c r="H345" s="54">
        <f>IFERROR(IF(INDEX(SPOT_Import!$A$1:$Z$2488,345,'Live Data'!$C$19)="","",INDEX(SPOT_Import!$A$1:$Z$2488,345,'Live Data'!$C$19)),"")</f>
        <v>70</v>
      </c>
      <c r="I345" s="54" t="str">
        <f>IFERROR(IF(INDEX(SPOT_Import!$A$1:$Z$2488,345,'Live Data'!$C$20)="","",INDEX(SPOT_Import!$A$1:$Z$2488,345,'Live Data'!$C$20)),"")</f>
        <v>Complete</v>
      </c>
      <c r="J345" s="54" t="str">
        <f>IFERROR(IF(INDEX(SPOT_Import!$A$1:$Z$2488,345,'Live Data'!$C$21)="","",INDEX(SPOT_Import!$A$1:$Z$2488,345,'Live Data'!$C$21)),"")</f>
        <v>2026-10-05T14:06:25.000Z</v>
      </c>
      <c r="K345" s="54" t="str">
        <f>IFERROR(IF(INDEX(SPOT_Import!$A$1:$Z$2488,345,'Live Data'!$C$22)="","",INDEX(SPOT_Import!$A$1:$Z$2488,345,'Live Data'!$C$22)),"")</f>
        <v>2026-10-05T14:06:25.000Z</v>
      </c>
      <c r="L345" s="55" t="str">
        <f t="shared" si="10"/>
        <v>2026-10</v>
      </c>
      <c r="M345" s="55" t="str">
        <f t="shared" si="11"/>
        <v>NYANDARUA</v>
      </c>
      <c r="N345" s="55" t="str">
        <f>IF(A345="","",IFERROR(INDEX('Cluster Map'!$A$4:$A$38,MATCH(M345,'Cluster Map'!$B$4:$B$38,0)),"Unmapped"))</f>
        <v>Cluster 4</v>
      </c>
      <c r="O345" s="55">
        <f>IF(A345="",0,IF(COUNTIFS($A$2:A345,A345,$F$2:F345,F345,$L$2:L345,L345)=1,1,0))</f>
        <v>1</v>
      </c>
      <c r="P345" s="55">
        <f>IF(A345="",0,IF(AND(F345="C&amp;T",COUNTIFS($A$2:A345,A345,$F$2:F345,"C&amp;T")=1),1,0))</f>
        <v>0</v>
      </c>
    </row>
    <row r="346" spans="1:16" x14ac:dyDescent="0.35">
      <c r="A346" s="54">
        <f>IFERROR(IF(INDEX(SPOT_Import!$A$1:$Z$2488,346,'Live Data'!$C$12)="","",INDEX(SPOT_Import!$A$1:$Z$2488,346,'Live Data'!$C$12)),"")</f>
        <v>10786</v>
      </c>
      <c r="B346" s="54" t="str">
        <f>IFERROR(IF(INDEX(SPOT_Import!$A$1:$Z$2488,346,'Live Data'!$C$13)="","",INDEX(SPOT_Import!$A$1:$Z$2488,346,'Live Data'!$C$13)),"")</f>
        <v>Murungaru Health Centre</v>
      </c>
      <c r="C346" s="54" t="str">
        <f>IFERROR(IF(INDEX(SPOT_Import!$A$1:$Z$2488,346,'Live Data'!$C$14)="","",INDEX(SPOT_Import!$A$1:$Z$2488,346,'Live Data'!$C$14)),"")</f>
        <v>NYANDARUA</v>
      </c>
      <c r="D346" s="54" t="str">
        <f>IFERROR(IF(INDEX(SPOT_Import!$A$1:$Z$2488,346,'Live Data'!$C$15)="","",INDEX(SPOT_Import!$A$1:$Z$2488,346,'Live Data'!$C$15)),"")</f>
        <v>Kinangop</v>
      </c>
      <c r="E346" s="54" t="str">
        <f>IFERROR(IF(INDEX(SPOT_Import!$A$1:$Z$2488,346,'Live Data'!$C$16)="","",INDEX(SPOT_Import!$A$1:$Z$2488,346,'Live Data'!$C$16)),"")</f>
        <v>USAID Jamii Tekelezi</v>
      </c>
      <c r="F346" s="54" t="str">
        <f>IFERROR(IF(INDEX(SPOT_Import!$A$1:$Z$2488,346,'Live Data'!$C$17)="","",INDEX(SPOT_Import!$A$1:$Z$2488,346,'Live Data'!$C$17)),"")</f>
        <v>MNCH</v>
      </c>
      <c r="G346" s="54">
        <f>IFERROR(IF(INDEX(SPOT_Import!$A$1:$Z$2488,346,'Live Data'!$C$18)="","",INDEX(SPOT_Import!$A$1:$Z$2488,346,'Live Data'!$C$18)),"")</f>
        <v>59</v>
      </c>
      <c r="H346" s="54">
        <f>IFERROR(IF(INDEX(SPOT_Import!$A$1:$Z$2488,346,'Live Data'!$C$19)="","",INDEX(SPOT_Import!$A$1:$Z$2488,346,'Live Data'!$C$19)),"")</f>
        <v>59</v>
      </c>
      <c r="I346" s="54" t="str">
        <f>IFERROR(IF(INDEX(SPOT_Import!$A$1:$Z$2488,346,'Live Data'!$C$20)="","",INDEX(SPOT_Import!$A$1:$Z$2488,346,'Live Data'!$C$20)),"")</f>
        <v>Complete</v>
      </c>
      <c r="J346" s="54" t="str">
        <f>IFERROR(IF(INDEX(SPOT_Import!$A$1:$Z$2488,346,'Live Data'!$C$21)="","",INDEX(SPOT_Import!$A$1:$Z$2488,346,'Live Data'!$C$21)),"")</f>
        <v>2026-10-05T14:05:58.000Z</v>
      </c>
      <c r="K346" s="54" t="str">
        <f>IFERROR(IF(INDEX(SPOT_Import!$A$1:$Z$2488,346,'Live Data'!$C$22)="","",INDEX(SPOT_Import!$A$1:$Z$2488,346,'Live Data'!$C$22)),"")</f>
        <v>2026-10-05T14:05:58.000Z</v>
      </c>
      <c r="L346" s="55" t="str">
        <f t="shared" si="10"/>
        <v>2026-10</v>
      </c>
      <c r="M346" s="55" t="str">
        <f t="shared" si="11"/>
        <v>NYANDARUA</v>
      </c>
      <c r="N346" s="55" t="str">
        <f>IF(A346="","",IFERROR(INDEX('Cluster Map'!$A$4:$A$38,MATCH(M346,'Cluster Map'!$B$4:$B$38,0)),"Unmapped"))</f>
        <v>Cluster 4</v>
      </c>
      <c r="O346" s="55">
        <f>IF(A346="",0,IF(COUNTIFS($A$2:A346,A346,$F$2:F346,F346,$L$2:L346,L346)=1,1,0))</f>
        <v>1</v>
      </c>
      <c r="P346" s="55">
        <f>IF(A346="",0,IF(AND(F346="C&amp;T",COUNTIFS($A$2:A346,A346,$F$2:F346,"C&amp;T")=1),1,0))</f>
        <v>0</v>
      </c>
    </row>
    <row r="347" spans="1:16" x14ac:dyDescent="0.35">
      <c r="A347" s="54">
        <f>IFERROR(IF(INDEX(SPOT_Import!$A$1:$Z$2488,347,'Live Data'!$C$12)="","",INDEX(SPOT_Import!$A$1:$Z$2488,347,'Live Data'!$C$12)),"")</f>
        <v>12642</v>
      </c>
      <c r="B347" s="54" t="str">
        <f>IFERROR(IF(INDEX(SPOT_Import!$A$1:$Z$2488,347,'Live Data'!$C$13)="","",INDEX(SPOT_Import!$A$1:$Z$2488,347,'Live Data'!$C$13)),"")</f>
        <v>Nembure Health Centre</v>
      </c>
      <c r="C347" s="54" t="str">
        <f>IFERROR(IF(INDEX(SPOT_Import!$A$1:$Z$2488,347,'Live Data'!$C$14)="","",INDEX(SPOT_Import!$A$1:$Z$2488,347,'Live Data'!$C$14)),"")</f>
        <v>EMBU</v>
      </c>
      <c r="D347" s="54" t="str">
        <f>IFERROR(IF(INDEX(SPOT_Import!$A$1:$Z$2488,347,'Live Data'!$C$15)="","",INDEX(SPOT_Import!$A$1:$Z$2488,347,'Live Data'!$C$15)),"")</f>
        <v>Manyatta</v>
      </c>
      <c r="E347" s="54" t="str">
        <f>IFERROR(IF(INDEX(SPOT_Import!$A$1:$Z$2488,347,'Live Data'!$C$16)="","",INDEX(SPOT_Import!$A$1:$Z$2488,347,'Live Data'!$C$16)),"")</f>
        <v>USAID Jamii Tekelezi</v>
      </c>
      <c r="F347" s="54" t="str">
        <f>IFERROR(IF(INDEX(SPOT_Import!$A$1:$Z$2488,347,'Live Data'!$C$17)="","",INDEX(SPOT_Import!$A$1:$Z$2488,347,'Live Data'!$C$17)),"")</f>
        <v>MNCH</v>
      </c>
      <c r="G347" s="54">
        <f>IFERROR(IF(INDEX(SPOT_Import!$A$1:$Z$2488,347,'Live Data'!$C$18)="","",INDEX(SPOT_Import!$A$1:$Z$2488,347,'Live Data'!$C$18)),"")</f>
        <v>38</v>
      </c>
      <c r="H347" s="54">
        <f>IFERROR(IF(INDEX(SPOT_Import!$A$1:$Z$2488,347,'Live Data'!$C$19)="","",INDEX(SPOT_Import!$A$1:$Z$2488,347,'Live Data'!$C$19)),"")</f>
        <v>38</v>
      </c>
      <c r="I347" s="54" t="str">
        <f>IFERROR(IF(INDEX(SPOT_Import!$A$1:$Z$2488,347,'Live Data'!$C$20)="","",INDEX(SPOT_Import!$A$1:$Z$2488,347,'Live Data'!$C$20)),"")</f>
        <v>Complete</v>
      </c>
      <c r="J347" s="54" t="str">
        <f>IFERROR(IF(INDEX(SPOT_Import!$A$1:$Z$2488,347,'Live Data'!$C$21)="","",INDEX(SPOT_Import!$A$1:$Z$2488,347,'Live Data'!$C$21)),"")</f>
        <v>2026-10-05T14:00:45.000Z</v>
      </c>
      <c r="K347" s="54" t="str">
        <f>IFERROR(IF(INDEX(SPOT_Import!$A$1:$Z$2488,347,'Live Data'!$C$22)="","",INDEX(SPOT_Import!$A$1:$Z$2488,347,'Live Data'!$C$22)),"")</f>
        <v>2026-10-05T14:00:45.000Z</v>
      </c>
      <c r="L347" s="55" t="str">
        <f t="shared" si="10"/>
        <v>2026-10</v>
      </c>
      <c r="M347" s="55" t="str">
        <f t="shared" si="11"/>
        <v>EMBU</v>
      </c>
      <c r="N347" s="55" t="str">
        <f>IF(A347="","",IFERROR(INDEX('Cluster Map'!$A$4:$A$38,MATCH(M347,'Cluster Map'!$B$4:$B$38,0)),"Unmapped"))</f>
        <v>Cluster 2</v>
      </c>
      <c r="O347" s="55">
        <f>IF(A347="",0,IF(COUNTIFS($A$2:A347,A347,$F$2:F347,F347,$L$2:L347,L347)=1,1,0))</f>
        <v>1</v>
      </c>
      <c r="P347" s="55">
        <f>IF(A347="",0,IF(AND(F347="C&amp;T",COUNTIFS($A$2:A347,A347,$F$2:F347,"C&amp;T")=1),1,0))</f>
        <v>0</v>
      </c>
    </row>
    <row r="348" spans="1:16" x14ac:dyDescent="0.35">
      <c r="A348" s="54">
        <f>IFERROR(IF(INDEX(SPOT_Import!$A$1:$Z$2488,348,'Live Data'!$C$12)="","",INDEX(SPOT_Import!$A$1:$Z$2488,348,'Live Data'!$C$12)),"")</f>
        <v>12642</v>
      </c>
      <c r="B348" s="54" t="str">
        <f>IFERROR(IF(INDEX(SPOT_Import!$A$1:$Z$2488,348,'Live Data'!$C$13)="","",INDEX(SPOT_Import!$A$1:$Z$2488,348,'Live Data'!$C$13)),"")</f>
        <v>Nembure Health Centre</v>
      </c>
      <c r="C348" s="54" t="str">
        <f>IFERROR(IF(INDEX(SPOT_Import!$A$1:$Z$2488,348,'Live Data'!$C$14)="","",INDEX(SPOT_Import!$A$1:$Z$2488,348,'Live Data'!$C$14)),"")</f>
        <v>EMBU</v>
      </c>
      <c r="D348" s="54" t="str">
        <f>IFERROR(IF(INDEX(SPOT_Import!$A$1:$Z$2488,348,'Live Data'!$C$15)="","",INDEX(SPOT_Import!$A$1:$Z$2488,348,'Live Data'!$C$15)),"")</f>
        <v>Manyatta</v>
      </c>
      <c r="E348" s="54" t="str">
        <f>IFERROR(IF(INDEX(SPOT_Import!$A$1:$Z$2488,348,'Live Data'!$C$16)="","",INDEX(SPOT_Import!$A$1:$Z$2488,348,'Live Data'!$C$16)),"")</f>
        <v>USAID Jamii Tekelezi</v>
      </c>
      <c r="F348" s="54" t="str">
        <f>IFERROR(IF(INDEX(SPOT_Import!$A$1:$Z$2488,348,'Live Data'!$C$17)="","",INDEX(SPOT_Import!$A$1:$Z$2488,348,'Live Data'!$C$17)),"")</f>
        <v>PREP</v>
      </c>
      <c r="G348" s="54">
        <f>IFERROR(IF(INDEX(SPOT_Import!$A$1:$Z$2488,348,'Live Data'!$C$18)="","",INDEX(SPOT_Import!$A$1:$Z$2488,348,'Live Data'!$C$18)),"")</f>
        <v>303</v>
      </c>
      <c r="H348" s="54">
        <f>IFERROR(IF(INDEX(SPOT_Import!$A$1:$Z$2488,348,'Live Data'!$C$19)="","",INDEX(SPOT_Import!$A$1:$Z$2488,348,'Live Data'!$C$19)),"")</f>
        <v>303</v>
      </c>
      <c r="I348" s="54" t="str">
        <f>IFERROR(IF(INDEX(SPOT_Import!$A$1:$Z$2488,348,'Live Data'!$C$20)="","",INDEX(SPOT_Import!$A$1:$Z$2488,348,'Live Data'!$C$20)),"")</f>
        <v>Complete</v>
      </c>
      <c r="J348" s="54" t="str">
        <f>IFERROR(IF(INDEX(SPOT_Import!$A$1:$Z$2488,348,'Live Data'!$C$21)="","",INDEX(SPOT_Import!$A$1:$Z$2488,348,'Live Data'!$C$21)),"")</f>
        <v>2026-10-05T14:00:32.000Z</v>
      </c>
      <c r="K348" s="54" t="str">
        <f>IFERROR(IF(INDEX(SPOT_Import!$A$1:$Z$2488,348,'Live Data'!$C$22)="","",INDEX(SPOT_Import!$A$1:$Z$2488,348,'Live Data'!$C$22)),"")</f>
        <v>2026-10-05T14:00:32.000Z</v>
      </c>
      <c r="L348" s="55" t="str">
        <f t="shared" si="10"/>
        <v>2026-10</v>
      </c>
      <c r="M348" s="55" t="str">
        <f t="shared" si="11"/>
        <v>EMBU</v>
      </c>
      <c r="N348" s="55" t="str">
        <f>IF(A348="","",IFERROR(INDEX('Cluster Map'!$A$4:$A$38,MATCH(M348,'Cluster Map'!$B$4:$B$38,0)),"Unmapped"))</f>
        <v>Cluster 2</v>
      </c>
      <c r="O348" s="55">
        <f>IF(A348="",0,IF(COUNTIFS($A$2:A348,A348,$F$2:F348,F348,$L$2:L348,L348)=1,1,0))</f>
        <v>1</v>
      </c>
      <c r="P348" s="55">
        <f>IF(A348="",0,IF(AND(F348="C&amp;T",COUNTIFS($A$2:A348,A348,$F$2:F348,"C&amp;T")=1),1,0))</f>
        <v>0</v>
      </c>
    </row>
    <row r="349" spans="1:16" x14ac:dyDescent="0.35">
      <c r="A349" s="54">
        <f>IFERROR(IF(INDEX(SPOT_Import!$A$1:$Z$2488,349,'Live Data'!$C$12)="","",INDEX(SPOT_Import!$A$1:$Z$2488,349,'Live Data'!$C$12)),"")</f>
        <v>12642</v>
      </c>
      <c r="B349" s="54" t="str">
        <f>IFERROR(IF(INDEX(SPOT_Import!$A$1:$Z$2488,349,'Live Data'!$C$13)="","",INDEX(SPOT_Import!$A$1:$Z$2488,349,'Live Data'!$C$13)),"")</f>
        <v>Nembure Health Centre</v>
      </c>
      <c r="C349" s="54" t="str">
        <f>IFERROR(IF(INDEX(SPOT_Import!$A$1:$Z$2488,349,'Live Data'!$C$14)="","",INDEX(SPOT_Import!$A$1:$Z$2488,349,'Live Data'!$C$14)),"")</f>
        <v>EMBU</v>
      </c>
      <c r="D349" s="54" t="str">
        <f>IFERROR(IF(INDEX(SPOT_Import!$A$1:$Z$2488,349,'Live Data'!$C$15)="","",INDEX(SPOT_Import!$A$1:$Z$2488,349,'Live Data'!$C$15)),"")</f>
        <v>Manyatta</v>
      </c>
      <c r="E349" s="54" t="str">
        <f>IFERROR(IF(INDEX(SPOT_Import!$A$1:$Z$2488,349,'Live Data'!$C$16)="","",INDEX(SPOT_Import!$A$1:$Z$2488,349,'Live Data'!$C$16)),"")</f>
        <v>USAID Jamii Tekelezi</v>
      </c>
      <c r="F349" s="54" t="str">
        <f>IFERROR(IF(INDEX(SPOT_Import!$A$1:$Z$2488,349,'Live Data'!$C$17)="","",INDEX(SPOT_Import!$A$1:$Z$2488,349,'Live Data'!$C$17)),"")</f>
        <v>HTS</v>
      </c>
      <c r="G349" s="54">
        <f>IFERROR(IF(INDEX(SPOT_Import!$A$1:$Z$2488,349,'Live Data'!$C$18)="","",INDEX(SPOT_Import!$A$1:$Z$2488,349,'Live Data'!$C$18)),"")</f>
        <v>2304</v>
      </c>
      <c r="H349" s="54">
        <f>IFERROR(IF(INDEX(SPOT_Import!$A$1:$Z$2488,349,'Live Data'!$C$19)="","",INDEX(SPOT_Import!$A$1:$Z$2488,349,'Live Data'!$C$19)),"")</f>
        <v>2304</v>
      </c>
      <c r="I349" s="54" t="str">
        <f>IFERROR(IF(INDEX(SPOT_Import!$A$1:$Z$2488,349,'Live Data'!$C$20)="","",INDEX(SPOT_Import!$A$1:$Z$2488,349,'Live Data'!$C$20)),"")</f>
        <v>Complete</v>
      </c>
      <c r="J349" s="54" t="str">
        <f>IFERROR(IF(INDEX(SPOT_Import!$A$1:$Z$2488,349,'Live Data'!$C$21)="","",INDEX(SPOT_Import!$A$1:$Z$2488,349,'Live Data'!$C$21)),"")</f>
        <v>2026-10-05T13:57:28.000Z</v>
      </c>
      <c r="K349" s="54" t="str">
        <f>IFERROR(IF(INDEX(SPOT_Import!$A$1:$Z$2488,349,'Live Data'!$C$22)="","",INDEX(SPOT_Import!$A$1:$Z$2488,349,'Live Data'!$C$22)),"")</f>
        <v>2026-10-05T13:57:28.000Z</v>
      </c>
      <c r="L349" s="55" t="str">
        <f t="shared" si="10"/>
        <v>2026-10</v>
      </c>
      <c r="M349" s="55" t="str">
        <f t="shared" si="11"/>
        <v>EMBU</v>
      </c>
      <c r="N349" s="55" t="str">
        <f>IF(A349="","",IFERROR(INDEX('Cluster Map'!$A$4:$A$38,MATCH(M349,'Cluster Map'!$B$4:$B$38,0)),"Unmapped"))</f>
        <v>Cluster 2</v>
      </c>
      <c r="O349" s="55">
        <f>IF(A349="",0,IF(COUNTIFS($A$2:A349,A349,$F$2:F349,F349,$L$2:L349,L349)=1,1,0))</f>
        <v>1</v>
      </c>
      <c r="P349" s="55">
        <f>IF(A349="",0,IF(AND(F349="C&amp;T",COUNTIFS($A$2:A349,A349,$F$2:F349,"C&amp;T")=1),1,0))</f>
        <v>0</v>
      </c>
    </row>
    <row r="350" spans="1:16" x14ac:dyDescent="0.35">
      <c r="A350" s="54">
        <f>IFERROR(IF(INDEX(SPOT_Import!$A$1:$Z$2488,350,'Live Data'!$C$12)="","",INDEX(SPOT_Import!$A$1:$Z$2488,350,'Live Data'!$C$12)),"")</f>
        <v>12642</v>
      </c>
      <c r="B350" s="54" t="str">
        <f>IFERROR(IF(INDEX(SPOT_Import!$A$1:$Z$2488,350,'Live Data'!$C$13)="","",INDEX(SPOT_Import!$A$1:$Z$2488,350,'Live Data'!$C$13)),"")</f>
        <v>Nembure Health Centre</v>
      </c>
      <c r="C350" s="54" t="str">
        <f>IFERROR(IF(INDEX(SPOT_Import!$A$1:$Z$2488,350,'Live Data'!$C$14)="","",INDEX(SPOT_Import!$A$1:$Z$2488,350,'Live Data'!$C$14)),"")</f>
        <v>EMBU</v>
      </c>
      <c r="D350" s="54" t="str">
        <f>IFERROR(IF(INDEX(SPOT_Import!$A$1:$Z$2488,350,'Live Data'!$C$15)="","",INDEX(SPOT_Import!$A$1:$Z$2488,350,'Live Data'!$C$15)),"")</f>
        <v>Manyatta</v>
      </c>
      <c r="E350" s="54" t="str">
        <f>IFERROR(IF(INDEX(SPOT_Import!$A$1:$Z$2488,350,'Live Data'!$C$16)="","",INDEX(SPOT_Import!$A$1:$Z$2488,350,'Live Data'!$C$16)),"")</f>
        <v>USAID Jamii Tekelezi</v>
      </c>
      <c r="F350" s="54" t="str">
        <f>IFERROR(IF(INDEX(SPOT_Import!$A$1:$Z$2488,350,'Live Data'!$C$17)="","",INDEX(SPOT_Import!$A$1:$Z$2488,350,'Live Data'!$C$17)),"")</f>
        <v>C&amp;T</v>
      </c>
      <c r="G350" s="54">
        <f>IFERROR(IF(INDEX(SPOT_Import!$A$1:$Z$2488,350,'Live Data'!$C$18)="","",INDEX(SPOT_Import!$A$1:$Z$2488,350,'Live Data'!$C$18)),"")</f>
        <v>825</v>
      </c>
      <c r="H350" s="54">
        <f>IFERROR(IF(INDEX(SPOT_Import!$A$1:$Z$2488,350,'Live Data'!$C$19)="","",INDEX(SPOT_Import!$A$1:$Z$2488,350,'Live Data'!$C$19)),"")</f>
        <v>825</v>
      </c>
      <c r="I350" s="54" t="str">
        <f>IFERROR(IF(INDEX(SPOT_Import!$A$1:$Z$2488,350,'Live Data'!$C$20)="","",INDEX(SPOT_Import!$A$1:$Z$2488,350,'Live Data'!$C$20)),"")</f>
        <v>Complete</v>
      </c>
      <c r="J350" s="54" t="str">
        <f>IFERROR(IF(INDEX(SPOT_Import!$A$1:$Z$2488,350,'Live Data'!$C$21)="","",INDEX(SPOT_Import!$A$1:$Z$2488,350,'Live Data'!$C$21)),"")</f>
        <v>2026-10-05T13:41:43.000Z</v>
      </c>
      <c r="K350" s="54" t="str">
        <f>IFERROR(IF(INDEX(SPOT_Import!$A$1:$Z$2488,350,'Live Data'!$C$22)="","",INDEX(SPOT_Import!$A$1:$Z$2488,350,'Live Data'!$C$22)),"")</f>
        <v>2026-10-05T13:41:43.000Z</v>
      </c>
      <c r="L350" s="55" t="str">
        <f t="shared" si="10"/>
        <v>2026-10</v>
      </c>
      <c r="M350" s="55" t="str">
        <f t="shared" si="11"/>
        <v>EMBU</v>
      </c>
      <c r="N350" s="55" t="str">
        <f>IF(A350="","",IFERROR(INDEX('Cluster Map'!$A$4:$A$38,MATCH(M350,'Cluster Map'!$B$4:$B$38,0)),"Unmapped"))</f>
        <v>Cluster 2</v>
      </c>
      <c r="O350" s="55">
        <f>IF(A350="",0,IF(COUNTIFS($A$2:A350,A350,$F$2:F350,F350,$L$2:L350,L350)=1,1,0))</f>
        <v>1</v>
      </c>
      <c r="P350" s="55">
        <f>IF(A350="",0,IF(AND(F350="C&amp;T",COUNTIFS($A$2:A350,A350,$F$2:F350,"C&amp;T")=1),1,0))</f>
        <v>1</v>
      </c>
    </row>
    <row r="351" spans="1:16" x14ac:dyDescent="0.35">
      <c r="A351" s="54">
        <f>IFERROR(IF(INDEX(SPOT_Import!$A$1:$Z$2488,351,'Live Data'!$C$12)="","",INDEX(SPOT_Import!$A$1:$Z$2488,351,'Live Data'!$C$12)),"")</f>
        <v>10786</v>
      </c>
      <c r="B351" s="54" t="str">
        <f>IFERROR(IF(INDEX(SPOT_Import!$A$1:$Z$2488,351,'Live Data'!$C$13)="","",INDEX(SPOT_Import!$A$1:$Z$2488,351,'Live Data'!$C$13)),"")</f>
        <v>Murungaru Health Centre</v>
      </c>
      <c r="C351" s="54" t="str">
        <f>IFERROR(IF(INDEX(SPOT_Import!$A$1:$Z$2488,351,'Live Data'!$C$14)="","",INDEX(SPOT_Import!$A$1:$Z$2488,351,'Live Data'!$C$14)),"")</f>
        <v>NYANDARUA</v>
      </c>
      <c r="D351" s="54" t="str">
        <f>IFERROR(IF(INDEX(SPOT_Import!$A$1:$Z$2488,351,'Live Data'!$C$15)="","",INDEX(SPOT_Import!$A$1:$Z$2488,351,'Live Data'!$C$15)),"")</f>
        <v>Kinangop</v>
      </c>
      <c r="E351" s="54" t="str">
        <f>IFERROR(IF(INDEX(SPOT_Import!$A$1:$Z$2488,351,'Live Data'!$C$16)="","",INDEX(SPOT_Import!$A$1:$Z$2488,351,'Live Data'!$C$16)),"")</f>
        <v>USAID Jamii Tekelezi</v>
      </c>
      <c r="F351" s="54" t="str">
        <f>IFERROR(IF(INDEX(SPOT_Import!$A$1:$Z$2488,351,'Live Data'!$C$17)="","",INDEX(SPOT_Import!$A$1:$Z$2488,351,'Live Data'!$C$17)),"")</f>
        <v>C&amp;T</v>
      </c>
      <c r="G351" s="54">
        <f>IFERROR(IF(INDEX(SPOT_Import!$A$1:$Z$2488,351,'Live Data'!$C$18)="","",INDEX(SPOT_Import!$A$1:$Z$2488,351,'Live Data'!$C$18)),"")</f>
        <v>650</v>
      </c>
      <c r="H351" s="54">
        <f>IFERROR(IF(INDEX(SPOT_Import!$A$1:$Z$2488,351,'Live Data'!$C$19)="","",INDEX(SPOT_Import!$A$1:$Z$2488,351,'Live Data'!$C$19)),"")</f>
        <v>650</v>
      </c>
      <c r="I351" s="54" t="str">
        <f>IFERROR(IF(INDEX(SPOT_Import!$A$1:$Z$2488,351,'Live Data'!$C$20)="","",INDEX(SPOT_Import!$A$1:$Z$2488,351,'Live Data'!$C$20)),"")</f>
        <v>Complete</v>
      </c>
      <c r="J351" s="54" t="str">
        <f>IFERROR(IF(INDEX(SPOT_Import!$A$1:$Z$2488,351,'Live Data'!$C$21)="","",INDEX(SPOT_Import!$A$1:$Z$2488,351,'Live Data'!$C$21)),"")</f>
        <v>2026-10-05T13:25:36.000Z</v>
      </c>
      <c r="K351" s="54" t="str">
        <f>IFERROR(IF(INDEX(SPOT_Import!$A$1:$Z$2488,351,'Live Data'!$C$22)="","",INDEX(SPOT_Import!$A$1:$Z$2488,351,'Live Data'!$C$22)),"")</f>
        <v>2026-10-05T13:25:36.000Z</v>
      </c>
      <c r="L351" s="55" t="str">
        <f t="shared" si="10"/>
        <v>2026-10</v>
      </c>
      <c r="M351" s="55" t="str">
        <f t="shared" si="11"/>
        <v>NYANDARUA</v>
      </c>
      <c r="N351" s="55" t="str">
        <f>IF(A351="","",IFERROR(INDEX('Cluster Map'!$A$4:$A$38,MATCH(M351,'Cluster Map'!$B$4:$B$38,0)),"Unmapped"))</f>
        <v>Cluster 4</v>
      </c>
      <c r="O351" s="55">
        <f>IF(A351="",0,IF(COUNTIFS($A$2:A351,A351,$F$2:F351,F351,$L$2:L351,L351)=1,1,0))</f>
        <v>1</v>
      </c>
      <c r="P351" s="55">
        <f>IF(A351="",0,IF(AND(F351="C&amp;T",COUNTIFS($A$2:A351,A351,$F$2:F351,"C&amp;T")=1),1,0))</f>
        <v>1</v>
      </c>
    </row>
    <row r="352" spans="1:16" x14ac:dyDescent="0.35">
      <c r="A352" s="54">
        <f>IFERROR(IF(INDEX(SPOT_Import!$A$1:$Z$2488,352,'Live Data'!$C$12)="","",INDEX(SPOT_Import!$A$1:$Z$2488,352,'Live Data'!$C$12)),"")</f>
        <v>12232</v>
      </c>
      <c r="B352" s="54" t="str">
        <f>IFERROR(IF(INDEX(SPOT_Import!$A$1:$Z$2488,352,'Live Data'!$C$13)="","",INDEX(SPOT_Import!$A$1:$Z$2488,352,'Live Data'!$C$13)),"")</f>
        <v>Kathigu Health Centre</v>
      </c>
      <c r="C352" s="54" t="str">
        <f>IFERROR(IF(INDEX(SPOT_Import!$A$1:$Z$2488,352,'Live Data'!$C$14)="","",INDEX(SPOT_Import!$A$1:$Z$2488,352,'Live Data'!$C$14)),"")</f>
        <v>MERU</v>
      </c>
      <c r="D352" s="54" t="str">
        <f>IFERROR(IF(INDEX(SPOT_Import!$A$1:$Z$2488,352,'Live Data'!$C$15)="","",INDEX(SPOT_Import!$A$1:$Z$2488,352,'Live Data'!$C$15)),"")</f>
        <v>Imenti South</v>
      </c>
      <c r="E352" s="54" t="str">
        <f>IFERROR(IF(INDEX(SPOT_Import!$A$1:$Z$2488,352,'Live Data'!$C$16)="","",INDEX(SPOT_Import!$A$1:$Z$2488,352,'Live Data'!$C$16)),"")</f>
        <v>USAID Jamii Tekelezi</v>
      </c>
      <c r="F352" s="54" t="str">
        <f>IFERROR(IF(INDEX(SPOT_Import!$A$1:$Z$2488,352,'Live Data'!$C$17)="","",INDEX(SPOT_Import!$A$1:$Z$2488,352,'Live Data'!$C$17)),"")</f>
        <v>C&amp;T</v>
      </c>
      <c r="G352" s="54">
        <f>IFERROR(IF(INDEX(SPOT_Import!$A$1:$Z$2488,352,'Live Data'!$C$18)="","",INDEX(SPOT_Import!$A$1:$Z$2488,352,'Live Data'!$C$18)),"")</f>
        <v>19</v>
      </c>
      <c r="H352" s="54">
        <f>IFERROR(IF(INDEX(SPOT_Import!$A$1:$Z$2488,352,'Live Data'!$C$19)="","",INDEX(SPOT_Import!$A$1:$Z$2488,352,'Live Data'!$C$19)),"")</f>
        <v>19</v>
      </c>
      <c r="I352" s="54" t="str">
        <f>IFERROR(IF(INDEX(SPOT_Import!$A$1:$Z$2488,352,'Live Data'!$C$20)="","",INDEX(SPOT_Import!$A$1:$Z$2488,352,'Live Data'!$C$20)),"")</f>
        <v>Complete</v>
      </c>
      <c r="J352" s="54" t="str">
        <f>IFERROR(IF(INDEX(SPOT_Import!$A$1:$Z$2488,352,'Live Data'!$C$21)="","",INDEX(SPOT_Import!$A$1:$Z$2488,352,'Live Data'!$C$21)),"")</f>
        <v>2026-10-05T12:50:56.000Z</v>
      </c>
      <c r="K352" s="54" t="str">
        <f>IFERROR(IF(INDEX(SPOT_Import!$A$1:$Z$2488,352,'Live Data'!$C$22)="","",INDEX(SPOT_Import!$A$1:$Z$2488,352,'Live Data'!$C$22)),"")</f>
        <v>2026-10-05T12:50:56.000Z</v>
      </c>
      <c r="L352" s="55" t="str">
        <f t="shared" si="10"/>
        <v>2026-10</v>
      </c>
      <c r="M352" s="55" t="str">
        <f t="shared" si="11"/>
        <v>MERU</v>
      </c>
      <c r="N352" s="55" t="str">
        <f>IF(A352="","",IFERROR(INDEX('Cluster Map'!$A$4:$A$38,MATCH(M352,'Cluster Map'!$B$4:$B$38,0)),"Unmapped"))</f>
        <v>Cluster 1</v>
      </c>
      <c r="O352" s="55">
        <f>IF(A352="",0,IF(COUNTIFS($A$2:A352,A352,$F$2:F352,F352,$L$2:L352,L352)=1,1,0))</f>
        <v>1</v>
      </c>
      <c r="P352" s="55">
        <f>IF(A352="",0,IF(AND(F352="C&amp;T",COUNTIFS($A$2:A352,A352,$F$2:F352,"C&amp;T")=1),1,0))</f>
        <v>1</v>
      </c>
    </row>
    <row r="353" spans="1:16" x14ac:dyDescent="0.35">
      <c r="A353" s="54">
        <f>IFERROR(IF(INDEX(SPOT_Import!$A$1:$Z$2488,353,'Live Data'!$C$12)="","",INDEX(SPOT_Import!$A$1:$Z$2488,353,'Live Data'!$C$12)),"")</f>
        <v>12274</v>
      </c>
      <c r="B353" s="54" t="str">
        <f>IFERROR(IF(INDEX(SPOT_Import!$A$1:$Z$2488,353,'Live Data'!$C$13)="","",INDEX(SPOT_Import!$A$1:$Z$2488,353,'Live Data'!$C$13)),"")</f>
        <v>Kiamuringa Dispensary</v>
      </c>
      <c r="C353" s="54" t="str">
        <f>IFERROR(IF(INDEX(SPOT_Import!$A$1:$Z$2488,353,'Live Data'!$C$14)="","",INDEX(SPOT_Import!$A$1:$Z$2488,353,'Live Data'!$C$14)),"")</f>
        <v>EMBU</v>
      </c>
      <c r="D353" s="54" t="str">
        <f>IFERROR(IF(INDEX(SPOT_Import!$A$1:$Z$2488,353,'Live Data'!$C$15)="","",INDEX(SPOT_Import!$A$1:$Z$2488,353,'Live Data'!$C$15)),"")</f>
        <v>Mbeere South</v>
      </c>
      <c r="E353" s="54" t="str">
        <f>IFERROR(IF(INDEX(SPOT_Import!$A$1:$Z$2488,353,'Live Data'!$C$16)="","",INDEX(SPOT_Import!$A$1:$Z$2488,353,'Live Data'!$C$16)),"")</f>
        <v>USAID Jamii Tekelezi</v>
      </c>
      <c r="F353" s="54" t="str">
        <f>IFERROR(IF(INDEX(SPOT_Import!$A$1:$Z$2488,353,'Live Data'!$C$17)="","",INDEX(SPOT_Import!$A$1:$Z$2488,353,'Live Data'!$C$17)),"")</f>
        <v>PREP</v>
      </c>
      <c r="G353" s="54">
        <f>IFERROR(IF(INDEX(SPOT_Import!$A$1:$Z$2488,353,'Live Data'!$C$18)="","",INDEX(SPOT_Import!$A$1:$Z$2488,353,'Live Data'!$C$18)),"")</f>
        <v>32</v>
      </c>
      <c r="H353" s="54">
        <f>IFERROR(IF(INDEX(SPOT_Import!$A$1:$Z$2488,353,'Live Data'!$C$19)="","",INDEX(SPOT_Import!$A$1:$Z$2488,353,'Live Data'!$C$19)),"")</f>
        <v>32</v>
      </c>
      <c r="I353" s="54" t="str">
        <f>IFERROR(IF(INDEX(SPOT_Import!$A$1:$Z$2488,353,'Live Data'!$C$20)="","",INDEX(SPOT_Import!$A$1:$Z$2488,353,'Live Data'!$C$20)),"")</f>
        <v>Complete</v>
      </c>
      <c r="J353" s="54" t="str">
        <f>IFERROR(IF(INDEX(SPOT_Import!$A$1:$Z$2488,353,'Live Data'!$C$21)="","",INDEX(SPOT_Import!$A$1:$Z$2488,353,'Live Data'!$C$21)),"")</f>
        <v>2026-10-05T12:22:41.000Z</v>
      </c>
      <c r="K353" s="54" t="str">
        <f>IFERROR(IF(INDEX(SPOT_Import!$A$1:$Z$2488,353,'Live Data'!$C$22)="","",INDEX(SPOT_Import!$A$1:$Z$2488,353,'Live Data'!$C$22)),"")</f>
        <v>2026-10-05T12:22:41.000Z</v>
      </c>
      <c r="L353" s="55" t="str">
        <f t="shared" si="10"/>
        <v>2026-10</v>
      </c>
      <c r="M353" s="55" t="str">
        <f t="shared" si="11"/>
        <v>EMBU</v>
      </c>
      <c r="N353" s="55" t="str">
        <f>IF(A353="","",IFERROR(INDEX('Cluster Map'!$A$4:$A$38,MATCH(M353,'Cluster Map'!$B$4:$B$38,0)),"Unmapped"))</f>
        <v>Cluster 2</v>
      </c>
      <c r="O353" s="55">
        <f>IF(A353="",0,IF(COUNTIFS($A$2:A353,A353,$F$2:F353,F353,$L$2:L353,L353)=1,1,0))</f>
        <v>1</v>
      </c>
      <c r="P353" s="55">
        <f>IF(A353="",0,IF(AND(F353="C&amp;T",COUNTIFS($A$2:A353,A353,$F$2:F353,"C&amp;T")=1),1,0))</f>
        <v>0</v>
      </c>
    </row>
    <row r="354" spans="1:16" x14ac:dyDescent="0.35">
      <c r="A354" s="54">
        <f>IFERROR(IF(INDEX(SPOT_Import!$A$1:$Z$2488,354,'Live Data'!$C$12)="","",INDEX(SPOT_Import!$A$1:$Z$2488,354,'Live Data'!$C$12)),"")</f>
        <v>12274</v>
      </c>
      <c r="B354" s="54" t="str">
        <f>IFERROR(IF(INDEX(SPOT_Import!$A$1:$Z$2488,354,'Live Data'!$C$13)="","",INDEX(SPOT_Import!$A$1:$Z$2488,354,'Live Data'!$C$13)),"")</f>
        <v>Kiamuringa Dispensary</v>
      </c>
      <c r="C354" s="54" t="str">
        <f>IFERROR(IF(INDEX(SPOT_Import!$A$1:$Z$2488,354,'Live Data'!$C$14)="","",INDEX(SPOT_Import!$A$1:$Z$2488,354,'Live Data'!$C$14)),"")</f>
        <v>EMBU</v>
      </c>
      <c r="D354" s="54" t="str">
        <f>IFERROR(IF(INDEX(SPOT_Import!$A$1:$Z$2488,354,'Live Data'!$C$15)="","",INDEX(SPOT_Import!$A$1:$Z$2488,354,'Live Data'!$C$15)),"")</f>
        <v>Mbeere South</v>
      </c>
      <c r="E354" s="54" t="str">
        <f>IFERROR(IF(INDEX(SPOT_Import!$A$1:$Z$2488,354,'Live Data'!$C$16)="","",INDEX(SPOT_Import!$A$1:$Z$2488,354,'Live Data'!$C$16)),"")</f>
        <v>USAID Jamii Tekelezi</v>
      </c>
      <c r="F354" s="54" t="str">
        <f>IFERROR(IF(INDEX(SPOT_Import!$A$1:$Z$2488,354,'Live Data'!$C$17)="","",INDEX(SPOT_Import!$A$1:$Z$2488,354,'Live Data'!$C$17)),"")</f>
        <v>MNCH</v>
      </c>
      <c r="G354" s="54">
        <f>IFERROR(IF(INDEX(SPOT_Import!$A$1:$Z$2488,354,'Live Data'!$C$18)="","",INDEX(SPOT_Import!$A$1:$Z$2488,354,'Live Data'!$C$18)),"")</f>
        <v>7</v>
      </c>
      <c r="H354" s="54">
        <f>IFERROR(IF(INDEX(SPOT_Import!$A$1:$Z$2488,354,'Live Data'!$C$19)="","",INDEX(SPOT_Import!$A$1:$Z$2488,354,'Live Data'!$C$19)),"")</f>
        <v>7</v>
      </c>
      <c r="I354" s="54" t="str">
        <f>IFERROR(IF(INDEX(SPOT_Import!$A$1:$Z$2488,354,'Live Data'!$C$20)="","",INDEX(SPOT_Import!$A$1:$Z$2488,354,'Live Data'!$C$20)),"")</f>
        <v>Complete</v>
      </c>
      <c r="J354" s="54" t="str">
        <f>IFERROR(IF(INDEX(SPOT_Import!$A$1:$Z$2488,354,'Live Data'!$C$21)="","",INDEX(SPOT_Import!$A$1:$Z$2488,354,'Live Data'!$C$21)),"")</f>
        <v>2026-10-05T12:22:25.000Z</v>
      </c>
      <c r="K354" s="54" t="str">
        <f>IFERROR(IF(INDEX(SPOT_Import!$A$1:$Z$2488,354,'Live Data'!$C$22)="","",INDEX(SPOT_Import!$A$1:$Z$2488,354,'Live Data'!$C$22)),"")</f>
        <v>2026-10-05T12:22:25.000Z</v>
      </c>
      <c r="L354" s="55" t="str">
        <f t="shared" si="10"/>
        <v>2026-10</v>
      </c>
      <c r="M354" s="55" t="str">
        <f t="shared" si="11"/>
        <v>EMBU</v>
      </c>
      <c r="N354" s="55" t="str">
        <f>IF(A354="","",IFERROR(INDEX('Cluster Map'!$A$4:$A$38,MATCH(M354,'Cluster Map'!$B$4:$B$38,0)),"Unmapped"))</f>
        <v>Cluster 2</v>
      </c>
      <c r="O354" s="55">
        <f>IF(A354="",0,IF(COUNTIFS($A$2:A354,A354,$F$2:F354,F354,$L$2:L354,L354)=1,1,0))</f>
        <v>1</v>
      </c>
      <c r="P354" s="55">
        <f>IF(A354="",0,IF(AND(F354="C&amp;T",COUNTIFS($A$2:A354,A354,$F$2:F354,"C&amp;T")=1),1,0))</f>
        <v>0</v>
      </c>
    </row>
    <row r="355" spans="1:16" x14ac:dyDescent="0.35">
      <c r="A355" s="54">
        <f>IFERROR(IF(INDEX(SPOT_Import!$A$1:$Z$2488,355,'Live Data'!$C$12)="","",INDEX(SPOT_Import!$A$1:$Z$2488,355,'Live Data'!$C$12)),"")</f>
        <v>12274</v>
      </c>
      <c r="B355" s="54" t="str">
        <f>IFERROR(IF(INDEX(SPOT_Import!$A$1:$Z$2488,355,'Live Data'!$C$13)="","",INDEX(SPOT_Import!$A$1:$Z$2488,355,'Live Data'!$C$13)),"")</f>
        <v>Kiamuringa Dispensary</v>
      </c>
      <c r="C355" s="54" t="str">
        <f>IFERROR(IF(INDEX(SPOT_Import!$A$1:$Z$2488,355,'Live Data'!$C$14)="","",INDEX(SPOT_Import!$A$1:$Z$2488,355,'Live Data'!$C$14)),"")</f>
        <v>EMBU</v>
      </c>
      <c r="D355" s="54" t="str">
        <f>IFERROR(IF(INDEX(SPOT_Import!$A$1:$Z$2488,355,'Live Data'!$C$15)="","",INDEX(SPOT_Import!$A$1:$Z$2488,355,'Live Data'!$C$15)),"")</f>
        <v>Mbeere South</v>
      </c>
      <c r="E355" s="54" t="str">
        <f>IFERROR(IF(INDEX(SPOT_Import!$A$1:$Z$2488,355,'Live Data'!$C$16)="","",INDEX(SPOT_Import!$A$1:$Z$2488,355,'Live Data'!$C$16)),"")</f>
        <v>USAID Jamii Tekelezi</v>
      </c>
      <c r="F355" s="54" t="str">
        <f>IFERROR(IF(INDEX(SPOT_Import!$A$1:$Z$2488,355,'Live Data'!$C$17)="","",INDEX(SPOT_Import!$A$1:$Z$2488,355,'Live Data'!$C$17)),"")</f>
        <v>HTS</v>
      </c>
      <c r="G355" s="54">
        <f>IFERROR(IF(INDEX(SPOT_Import!$A$1:$Z$2488,355,'Live Data'!$C$18)="","",INDEX(SPOT_Import!$A$1:$Z$2488,355,'Live Data'!$C$18)),"")</f>
        <v>101</v>
      </c>
      <c r="H355" s="54">
        <f>IFERROR(IF(INDEX(SPOT_Import!$A$1:$Z$2488,355,'Live Data'!$C$19)="","",INDEX(SPOT_Import!$A$1:$Z$2488,355,'Live Data'!$C$19)),"")</f>
        <v>101</v>
      </c>
      <c r="I355" s="54" t="str">
        <f>IFERROR(IF(INDEX(SPOT_Import!$A$1:$Z$2488,355,'Live Data'!$C$20)="","",INDEX(SPOT_Import!$A$1:$Z$2488,355,'Live Data'!$C$20)),"")</f>
        <v>Complete</v>
      </c>
      <c r="J355" s="54" t="str">
        <f>IFERROR(IF(INDEX(SPOT_Import!$A$1:$Z$2488,355,'Live Data'!$C$21)="","",INDEX(SPOT_Import!$A$1:$Z$2488,355,'Live Data'!$C$21)),"")</f>
        <v>2026-10-05T12:22:06.000Z</v>
      </c>
      <c r="K355" s="54" t="str">
        <f>IFERROR(IF(INDEX(SPOT_Import!$A$1:$Z$2488,355,'Live Data'!$C$22)="","",INDEX(SPOT_Import!$A$1:$Z$2488,355,'Live Data'!$C$22)),"")</f>
        <v>2026-10-05T12:22:06.000Z</v>
      </c>
      <c r="L355" s="55" t="str">
        <f t="shared" si="10"/>
        <v>2026-10</v>
      </c>
      <c r="M355" s="55" t="str">
        <f t="shared" si="11"/>
        <v>EMBU</v>
      </c>
      <c r="N355" s="55" t="str">
        <f>IF(A355="","",IFERROR(INDEX('Cluster Map'!$A$4:$A$38,MATCH(M355,'Cluster Map'!$B$4:$B$38,0)),"Unmapped"))</f>
        <v>Cluster 2</v>
      </c>
      <c r="O355" s="55">
        <f>IF(A355="",0,IF(COUNTIFS($A$2:A355,A355,$F$2:F355,F355,$L$2:L355,L355)=1,1,0))</f>
        <v>1</v>
      </c>
      <c r="P355" s="55">
        <f>IF(A355="",0,IF(AND(F355="C&amp;T",COUNTIFS($A$2:A355,A355,$F$2:F355,"C&amp;T")=1),1,0))</f>
        <v>0</v>
      </c>
    </row>
    <row r="356" spans="1:16" x14ac:dyDescent="0.35">
      <c r="A356" s="54">
        <f>IFERROR(IF(INDEX(SPOT_Import!$A$1:$Z$2488,356,'Live Data'!$C$12)="","",INDEX(SPOT_Import!$A$1:$Z$2488,356,'Live Data'!$C$12)),"")</f>
        <v>16464</v>
      </c>
      <c r="B356" s="54" t="str">
        <f>IFERROR(IF(INDEX(SPOT_Import!$A$1:$Z$2488,356,'Live Data'!$C$13)="","",INDEX(SPOT_Import!$A$1:$Z$2488,356,'Live Data'!$C$13)),"")</f>
        <v>Ishiara Sub-District Hospital</v>
      </c>
      <c r="C356" s="54" t="str">
        <f>IFERROR(IF(INDEX(SPOT_Import!$A$1:$Z$2488,356,'Live Data'!$C$14)="","",INDEX(SPOT_Import!$A$1:$Z$2488,356,'Live Data'!$C$14)),"")</f>
        <v>EMBU</v>
      </c>
      <c r="D356" s="54" t="str">
        <f>IFERROR(IF(INDEX(SPOT_Import!$A$1:$Z$2488,356,'Live Data'!$C$15)="","",INDEX(SPOT_Import!$A$1:$Z$2488,356,'Live Data'!$C$15)),"")</f>
        <v>Mbeere North</v>
      </c>
      <c r="E356" s="54" t="str">
        <f>IFERROR(IF(INDEX(SPOT_Import!$A$1:$Z$2488,356,'Live Data'!$C$16)="","",INDEX(SPOT_Import!$A$1:$Z$2488,356,'Live Data'!$C$16)),"")</f>
        <v>USAID Jamii Tekelezi</v>
      </c>
      <c r="F356" s="54" t="str">
        <f>IFERROR(IF(INDEX(SPOT_Import!$A$1:$Z$2488,356,'Live Data'!$C$17)="","",INDEX(SPOT_Import!$A$1:$Z$2488,356,'Live Data'!$C$17)),"")</f>
        <v>PREP</v>
      </c>
      <c r="G356" s="54">
        <f>IFERROR(IF(INDEX(SPOT_Import!$A$1:$Z$2488,356,'Live Data'!$C$18)="","",INDEX(SPOT_Import!$A$1:$Z$2488,356,'Live Data'!$C$18)),"")</f>
        <v>366</v>
      </c>
      <c r="H356" s="54">
        <f>IFERROR(IF(INDEX(SPOT_Import!$A$1:$Z$2488,356,'Live Data'!$C$19)="","",INDEX(SPOT_Import!$A$1:$Z$2488,356,'Live Data'!$C$19)),"")</f>
        <v>366</v>
      </c>
      <c r="I356" s="54" t="str">
        <f>IFERROR(IF(INDEX(SPOT_Import!$A$1:$Z$2488,356,'Live Data'!$C$20)="","",INDEX(SPOT_Import!$A$1:$Z$2488,356,'Live Data'!$C$20)),"")</f>
        <v>Complete</v>
      </c>
      <c r="J356" s="54" t="str">
        <f>IFERROR(IF(INDEX(SPOT_Import!$A$1:$Z$2488,356,'Live Data'!$C$21)="","",INDEX(SPOT_Import!$A$1:$Z$2488,356,'Live Data'!$C$21)),"")</f>
        <v>2026-10-05T12:12:46.000Z</v>
      </c>
      <c r="K356" s="54" t="str">
        <f>IFERROR(IF(INDEX(SPOT_Import!$A$1:$Z$2488,356,'Live Data'!$C$22)="","",INDEX(SPOT_Import!$A$1:$Z$2488,356,'Live Data'!$C$22)),"")</f>
        <v>2026-10-05T12:12:46.000Z</v>
      </c>
      <c r="L356" s="55" t="str">
        <f t="shared" si="10"/>
        <v>2026-10</v>
      </c>
      <c r="M356" s="55" t="str">
        <f t="shared" si="11"/>
        <v>EMBU</v>
      </c>
      <c r="N356" s="55" t="str">
        <f>IF(A356="","",IFERROR(INDEX('Cluster Map'!$A$4:$A$38,MATCH(M356,'Cluster Map'!$B$4:$B$38,0)),"Unmapped"))</f>
        <v>Cluster 2</v>
      </c>
      <c r="O356" s="55">
        <f>IF(A356="",0,IF(COUNTIFS($A$2:A356,A356,$F$2:F356,F356,$L$2:L356,L356)=1,1,0))</f>
        <v>1</v>
      </c>
      <c r="P356" s="55">
        <f>IF(A356="",0,IF(AND(F356="C&amp;T",COUNTIFS($A$2:A356,A356,$F$2:F356,"C&amp;T")=1),1,0))</f>
        <v>0</v>
      </c>
    </row>
    <row r="357" spans="1:16" x14ac:dyDescent="0.35">
      <c r="A357" s="54">
        <f>IFERROR(IF(INDEX(SPOT_Import!$A$1:$Z$2488,357,'Live Data'!$C$12)="","",INDEX(SPOT_Import!$A$1:$Z$2488,357,'Live Data'!$C$12)),"")</f>
        <v>16464</v>
      </c>
      <c r="B357" s="54" t="str">
        <f>IFERROR(IF(INDEX(SPOT_Import!$A$1:$Z$2488,357,'Live Data'!$C$13)="","",INDEX(SPOT_Import!$A$1:$Z$2488,357,'Live Data'!$C$13)),"")</f>
        <v>Ishiara Sub-District Hospital</v>
      </c>
      <c r="C357" s="54" t="str">
        <f>IFERROR(IF(INDEX(SPOT_Import!$A$1:$Z$2488,357,'Live Data'!$C$14)="","",INDEX(SPOT_Import!$A$1:$Z$2488,357,'Live Data'!$C$14)),"")</f>
        <v>EMBU</v>
      </c>
      <c r="D357" s="54" t="str">
        <f>IFERROR(IF(INDEX(SPOT_Import!$A$1:$Z$2488,357,'Live Data'!$C$15)="","",INDEX(SPOT_Import!$A$1:$Z$2488,357,'Live Data'!$C$15)),"")</f>
        <v>Mbeere North</v>
      </c>
      <c r="E357" s="54" t="str">
        <f>IFERROR(IF(INDEX(SPOT_Import!$A$1:$Z$2488,357,'Live Data'!$C$16)="","",INDEX(SPOT_Import!$A$1:$Z$2488,357,'Live Data'!$C$16)),"")</f>
        <v>USAID Jamii Tekelezi</v>
      </c>
      <c r="F357" s="54" t="str">
        <f>IFERROR(IF(INDEX(SPOT_Import!$A$1:$Z$2488,357,'Live Data'!$C$17)="","",INDEX(SPOT_Import!$A$1:$Z$2488,357,'Live Data'!$C$17)),"")</f>
        <v>MNCH</v>
      </c>
      <c r="G357" s="54">
        <f>IFERROR(IF(INDEX(SPOT_Import!$A$1:$Z$2488,357,'Live Data'!$C$18)="","",INDEX(SPOT_Import!$A$1:$Z$2488,357,'Live Data'!$C$18)),"")</f>
        <v>60</v>
      </c>
      <c r="H357" s="54">
        <f>IFERROR(IF(INDEX(SPOT_Import!$A$1:$Z$2488,357,'Live Data'!$C$19)="","",INDEX(SPOT_Import!$A$1:$Z$2488,357,'Live Data'!$C$19)),"")</f>
        <v>60</v>
      </c>
      <c r="I357" s="54" t="str">
        <f>IFERROR(IF(INDEX(SPOT_Import!$A$1:$Z$2488,357,'Live Data'!$C$20)="","",INDEX(SPOT_Import!$A$1:$Z$2488,357,'Live Data'!$C$20)),"")</f>
        <v>Complete</v>
      </c>
      <c r="J357" s="54" t="str">
        <f>IFERROR(IF(INDEX(SPOT_Import!$A$1:$Z$2488,357,'Live Data'!$C$21)="","",INDEX(SPOT_Import!$A$1:$Z$2488,357,'Live Data'!$C$21)),"")</f>
        <v>2026-10-05T12:11:49.000Z</v>
      </c>
      <c r="K357" s="54" t="str">
        <f>IFERROR(IF(INDEX(SPOT_Import!$A$1:$Z$2488,357,'Live Data'!$C$22)="","",INDEX(SPOT_Import!$A$1:$Z$2488,357,'Live Data'!$C$22)),"")</f>
        <v>2026-10-05T12:11:49.000Z</v>
      </c>
      <c r="L357" s="55" t="str">
        <f t="shared" si="10"/>
        <v>2026-10</v>
      </c>
      <c r="M357" s="55" t="str">
        <f t="shared" si="11"/>
        <v>EMBU</v>
      </c>
      <c r="N357" s="55" t="str">
        <f>IF(A357="","",IFERROR(INDEX('Cluster Map'!$A$4:$A$38,MATCH(M357,'Cluster Map'!$B$4:$B$38,0)),"Unmapped"))</f>
        <v>Cluster 2</v>
      </c>
      <c r="O357" s="55">
        <f>IF(A357="",0,IF(COUNTIFS($A$2:A357,A357,$F$2:F357,F357,$L$2:L357,L357)=1,1,0))</f>
        <v>1</v>
      </c>
      <c r="P357" s="55">
        <f>IF(A357="",0,IF(AND(F357="C&amp;T",COUNTIFS($A$2:A357,A357,$F$2:F357,"C&amp;T")=1),1,0))</f>
        <v>0</v>
      </c>
    </row>
    <row r="358" spans="1:16" x14ac:dyDescent="0.35">
      <c r="A358" s="54">
        <f>IFERROR(IF(INDEX(SPOT_Import!$A$1:$Z$2488,358,'Live Data'!$C$12)="","",INDEX(SPOT_Import!$A$1:$Z$2488,358,'Live Data'!$C$12)),"")</f>
        <v>16464</v>
      </c>
      <c r="B358" s="54" t="str">
        <f>IFERROR(IF(INDEX(SPOT_Import!$A$1:$Z$2488,358,'Live Data'!$C$13)="","",INDEX(SPOT_Import!$A$1:$Z$2488,358,'Live Data'!$C$13)),"")</f>
        <v>Ishiara Sub-District Hospital</v>
      </c>
      <c r="C358" s="54" t="str">
        <f>IFERROR(IF(INDEX(SPOT_Import!$A$1:$Z$2488,358,'Live Data'!$C$14)="","",INDEX(SPOT_Import!$A$1:$Z$2488,358,'Live Data'!$C$14)),"")</f>
        <v>EMBU</v>
      </c>
      <c r="D358" s="54" t="str">
        <f>IFERROR(IF(INDEX(SPOT_Import!$A$1:$Z$2488,358,'Live Data'!$C$15)="","",INDEX(SPOT_Import!$A$1:$Z$2488,358,'Live Data'!$C$15)),"")</f>
        <v>Mbeere North</v>
      </c>
      <c r="E358" s="54" t="str">
        <f>IFERROR(IF(INDEX(SPOT_Import!$A$1:$Z$2488,358,'Live Data'!$C$16)="","",INDEX(SPOT_Import!$A$1:$Z$2488,358,'Live Data'!$C$16)),"")</f>
        <v>USAID Jamii Tekelezi</v>
      </c>
      <c r="F358" s="54" t="str">
        <f>IFERROR(IF(INDEX(SPOT_Import!$A$1:$Z$2488,358,'Live Data'!$C$17)="","",INDEX(SPOT_Import!$A$1:$Z$2488,358,'Live Data'!$C$17)),"")</f>
        <v>HTS</v>
      </c>
      <c r="G358" s="54">
        <f>IFERROR(IF(INDEX(SPOT_Import!$A$1:$Z$2488,358,'Live Data'!$C$18)="","",INDEX(SPOT_Import!$A$1:$Z$2488,358,'Live Data'!$C$18)),"")</f>
        <v>4283</v>
      </c>
      <c r="H358" s="54">
        <f>IFERROR(IF(INDEX(SPOT_Import!$A$1:$Z$2488,358,'Live Data'!$C$19)="","",INDEX(SPOT_Import!$A$1:$Z$2488,358,'Live Data'!$C$19)),"")</f>
        <v>4283</v>
      </c>
      <c r="I358" s="54" t="str">
        <f>IFERROR(IF(INDEX(SPOT_Import!$A$1:$Z$2488,358,'Live Data'!$C$20)="","",INDEX(SPOT_Import!$A$1:$Z$2488,358,'Live Data'!$C$20)),"")</f>
        <v>Complete</v>
      </c>
      <c r="J358" s="54" t="str">
        <f>IFERROR(IF(INDEX(SPOT_Import!$A$1:$Z$2488,358,'Live Data'!$C$21)="","",INDEX(SPOT_Import!$A$1:$Z$2488,358,'Live Data'!$C$21)),"")</f>
        <v>2026-10-05T12:07:36.000Z</v>
      </c>
      <c r="K358" s="54" t="str">
        <f>IFERROR(IF(INDEX(SPOT_Import!$A$1:$Z$2488,358,'Live Data'!$C$22)="","",INDEX(SPOT_Import!$A$1:$Z$2488,358,'Live Data'!$C$22)),"")</f>
        <v>2026-10-05T12:07:36.000Z</v>
      </c>
      <c r="L358" s="55" t="str">
        <f t="shared" si="10"/>
        <v>2026-10</v>
      </c>
      <c r="M358" s="55" t="str">
        <f t="shared" si="11"/>
        <v>EMBU</v>
      </c>
      <c r="N358" s="55" t="str">
        <f>IF(A358="","",IFERROR(INDEX('Cluster Map'!$A$4:$A$38,MATCH(M358,'Cluster Map'!$B$4:$B$38,0)),"Unmapped"))</f>
        <v>Cluster 2</v>
      </c>
      <c r="O358" s="55">
        <f>IF(A358="",0,IF(COUNTIFS($A$2:A358,A358,$F$2:F358,F358,$L$2:L358,L358)=1,1,0))</f>
        <v>1</v>
      </c>
      <c r="P358" s="55">
        <f>IF(A358="",0,IF(AND(F358="C&amp;T",COUNTIFS($A$2:A358,A358,$F$2:F358,"C&amp;T")=1),1,0))</f>
        <v>0</v>
      </c>
    </row>
    <row r="359" spans="1:16" x14ac:dyDescent="0.35">
      <c r="A359" s="54">
        <f>IFERROR(IF(INDEX(SPOT_Import!$A$1:$Z$2488,359,'Live Data'!$C$12)="","",INDEX(SPOT_Import!$A$1:$Z$2488,359,'Live Data'!$C$12)),"")</f>
        <v>16234</v>
      </c>
      <c r="B359" s="54" t="str">
        <f>IFERROR(IF(INDEX(SPOT_Import!$A$1:$Z$2488,359,'Live Data'!$C$13)="","",INDEX(SPOT_Import!$A$1:$Z$2488,359,'Live Data'!$C$13)),"")</f>
        <v>Miathene District Hospital</v>
      </c>
      <c r="C359" s="54" t="str">
        <f>IFERROR(IF(INDEX(SPOT_Import!$A$1:$Z$2488,359,'Live Data'!$C$14)="","",INDEX(SPOT_Import!$A$1:$Z$2488,359,'Live Data'!$C$14)),"")</f>
        <v>MERU</v>
      </c>
      <c r="D359" s="54" t="str">
        <f>IFERROR(IF(INDEX(SPOT_Import!$A$1:$Z$2488,359,'Live Data'!$C$15)="","",INDEX(SPOT_Import!$A$1:$Z$2488,359,'Live Data'!$C$15)),"")</f>
        <v>Tigania West</v>
      </c>
      <c r="E359" s="54" t="str">
        <f>IFERROR(IF(INDEX(SPOT_Import!$A$1:$Z$2488,359,'Live Data'!$C$16)="","",INDEX(SPOT_Import!$A$1:$Z$2488,359,'Live Data'!$C$16)),"")</f>
        <v>USAID Jamii Tekelezi</v>
      </c>
      <c r="F359" s="54" t="str">
        <f>IFERROR(IF(INDEX(SPOT_Import!$A$1:$Z$2488,359,'Live Data'!$C$17)="","",INDEX(SPOT_Import!$A$1:$Z$2488,359,'Live Data'!$C$17)),"")</f>
        <v>C&amp;T</v>
      </c>
      <c r="G359" s="54">
        <f>IFERROR(IF(INDEX(SPOT_Import!$A$1:$Z$2488,359,'Live Data'!$C$18)="","",INDEX(SPOT_Import!$A$1:$Z$2488,359,'Live Data'!$C$18)),"")</f>
        <v>2060</v>
      </c>
      <c r="H359" s="54">
        <f>IFERROR(IF(INDEX(SPOT_Import!$A$1:$Z$2488,359,'Live Data'!$C$19)="","",INDEX(SPOT_Import!$A$1:$Z$2488,359,'Live Data'!$C$19)),"")</f>
        <v>2060</v>
      </c>
      <c r="I359" s="54" t="str">
        <f>IFERROR(IF(INDEX(SPOT_Import!$A$1:$Z$2488,359,'Live Data'!$C$20)="","",INDEX(SPOT_Import!$A$1:$Z$2488,359,'Live Data'!$C$20)),"")</f>
        <v>Complete</v>
      </c>
      <c r="J359" s="54" t="str">
        <f>IFERROR(IF(INDEX(SPOT_Import!$A$1:$Z$2488,359,'Live Data'!$C$21)="","",INDEX(SPOT_Import!$A$1:$Z$2488,359,'Live Data'!$C$21)),"")</f>
        <v>2026-10-05T12:00:46.000Z</v>
      </c>
      <c r="K359" s="54" t="str">
        <f>IFERROR(IF(INDEX(SPOT_Import!$A$1:$Z$2488,359,'Live Data'!$C$22)="","",INDEX(SPOT_Import!$A$1:$Z$2488,359,'Live Data'!$C$22)),"")</f>
        <v>2026-10-05T12:00:46.000Z</v>
      </c>
      <c r="L359" s="55" t="str">
        <f t="shared" si="10"/>
        <v>2026-10</v>
      </c>
      <c r="M359" s="55" t="str">
        <f t="shared" si="11"/>
        <v>MERU</v>
      </c>
      <c r="N359" s="55" t="str">
        <f>IF(A359="","",IFERROR(INDEX('Cluster Map'!$A$4:$A$38,MATCH(M359,'Cluster Map'!$B$4:$B$38,0)),"Unmapped"))</f>
        <v>Cluster 1</v>
      </c>
      <c r="O359" s="55">
        <f>IF(A359="",0,IF(COUNTIFS($A$2:A359,A359,$F$2:F359,F359,$L$2:L359,L359)=1,1,0))</f>
        <v>1</v>
      </c>
      <c r="P359" s="55">
        <f>IF(A359="",0,IF(AND(F359="C&amp;T",COUNTIFS($A$2:A359,A359,$F$2:F359,"C&amp;T")=1),1,0))</f>
        <v>1</v>
      </c>
    </row>
    <row r="360" spans="1:16" x14ac:dyDescent="0.35">
      <c r="A360" s="54">
        <f>IFERROR(IF(INDEX(SPOT_Import!$A$1:$Z$2488,360,'Live Data'!$C$12)="","",INDEX(SPOT_Import!$A$1:$Z$2488,360,'Live Data'!$C$12)),"")</f>
        <v>12274</v>
      </c>
      <c r="B360" s="54" t="str">
        <f>IFERROR(IF(INDEX(SPOT_Import!$A$1:$Z$2488,360,'Live Data'!$C$13)="","",INDEX(SPOT_Import!$A$1:$Z$2488,360,'Live Data'!$C$13)),"")</f>
        <v>Kiamuringa Dispensary</v>
      </c>
      <c r="C360" s="54" t="str">
        <f>IFERROR(IF(INDEX(SPOT_Import!$A$1:$Z$2488,360,'Live Data'!$C$14)="","",INDEX(SPOT_Import!$A$1:$Z$2488,360,'Live Data'!$C$14)),"")</f>
        <v>EMBU</v>
      </c>
      <c r="D360" s="54" t="str">
        <f>IFERROR(IF(INDEX(SPOT_Import!$A$1:$Z$2488,360,'Live Data'!$C$15)="","",INDEX(SPOT_Import!$A$1:$Z$2488,360,'Live Data'!$C$15)),"")</f>
        <v>Mbeere South</v>
      </c>
      <c r="E360" s="54" t="str">
        <f>IFERROR(IF(INDEX(SPOT_Import!$A$1:$Z$2488,360,'Live Data'!$C$16)="","",INDEX(SPOT_Import!$A$1:$Z$2488,360,'Live Data'!$C$16)),"")</f>
        <v>USAID Jamii Tekelezi</v>
      </c>
      <c r="F360" s="54" t="str">
        <f>IFERROR(IF(INDEX(SPOT_Import!$A$1:$Z$2488,360,'Live Data'!$C$17)="","",INDEX(SPOT_Import!$A$1:$Z$2488,360,'Live Data'!$C$17)),"")</f>
        <v>C&amp;T</v>
      </c>
      <c r="G360" s="54">
        <f>IFERROR(IF(INDEX(SPOT_Import!$A$1:$Z$2488,360,'Live Data'!$C$18)="","",INDEX(SPOT_Import!$A$1:$Z$2488,360,'Live Data'!$C$18)),"")</f>
        <v>183</v>
      </c>
      <c r="H360" s="54">
        <f>IFERROR(IF(INDEX(SPOT_Import!$A$1:$Z$2488,360,'Live Data'!$C$19)="","",INDEX(SPOT_Import!$A$1:$Z$2488,360,'Live Data'!$C$19)),"")</f>
        <v>183</v>
      </c>
      <c r="I360" s="54" t="str">
        <f>IFERROR(IF(INDEX(SPOT_Import!$A$1:$Z$2488,360,'Live Data'!$C$20)="","",INDEX(SPOT_Import!$A$1:$Z$2488,360,'Live Data'!$C$20)),"")</f>
        <v>Complete</v>
      </c>
      <c r="J360" s="54" t="str">
        <f>IFERROR(IF(INDEX(SPOT_Import!$A$1:$Z$2488,360,'Live Data'!$C$21)="","",INDEX(SPOT_Import!$A$1:$Z$2488,360,'Live Data'!$C$21)),"")</f>
        <v>2026-10-05T11:59:23.000Z</v>
      </c>
      <c r="K360" s="54" t="str">
        <f>IFERROR(IF(INDEX(SPOT_Import!$A$1:$Z$2488,360,'Live Data'!$C$22)="","",INDEX(SPOT_Import!$A$1:$Z$2488,360,'Live Data'!$C$22)),"")</f>
        <v>2026-10-05T11:59:23.000Z</v>
      </c>
      <c r="L360" s="55" t="str">
        <f t="shared" si="10"/>
        <v>2026-10</v>
      </c>
      <c r="M360" s="55" t="str">
        <f t="shared" si="11"/>
        <v>EMBU</v>
      </c>
      <c r="N360" s="55" t="str">
        <f>IF(A360="","",IFERROR(INDEX('Cluster Map'!$A$4:$A$38,MATCH(M360,'Cluster Map'!$B$4:$B$38,0)),"Unmapped"))</f>
        <v>Cluster 2</v>
      </c>
      <c r="O360" s="55">
        <f>IF(A360="",0,IF(COUNTIFS($A$2:A360,A360,$F$2:F360,F360,$L$2:L360,L360)=1,1,0))</f>
        <v>1</v>
      </c>
      <c r="P360" s="55">
        <f>IF(A360="",0,IF(AND(F360="C&amp;T",COUNTIFS($A$2:A360,A360,$F$2:F360,"C&amp;T")=1),1,0))</f>
        <v>1</v>
      </c>
    </row>
    <row r="361" spans="1:16" x14ac:dyDescent="0.35">
      <c r="A361" s="54">
        <f>IFERROR(IF(INDEX(SPOT_Import!$A$1:$Z$2488,361,'Live Data'!$C$12)="","",INDEX(SPOT_Import!$A$1:$Z$2488,361,'Live Data'!$C$12)),"")</f>
        <v>12023</v>
      </c>
      <c r="B361" s="54" t="str">
        <f>IFERROR(IF(INDEX(SPOT_Import!$A$1:$Z$2488,361,'Live Data'!$C$13)="","",INDEX(SPOT_Import!$A$1:$Z$2488,361,'Live Data'!$C$13)),"")</f>
        <v>Gachuriri Dispensary</v>
      </c>
      <c r="C361" s="54" t="str">
        <f>IFERROR(IF(INDEX(SPOT_Import!$A$1:$Z$2488,361,'Live Data'!$C$14)="","",INDEX(SPOT_Import!$A$1:$Z$2488,361,'Live Data'!$C$14)),"")</f>
        <v>EMBU</v>
      </c>
      <c r="D361" s="54" t="str">
        <f>IFERROR(IF(INDEX(SPOT_Import!$A$1:$Z$2488,361,'Live Data'!$C$15)="","",INDEX(SPOT_Import!$A$1:$Z$2488,361,'Live Data'!$C$15)),"")</f>
        <v>Mbeere South</v>
      </c>
      <c r="E361" s="54" t="str">
        <f>IFERROR(IF(INDEX(SPOT_Import!$A$1:$Z$2488,361,'Live Data'!$C$16)="","",INDEX(SPOT_Import!$A$1:$Z$2488,361,'Live Data'!$C$16)),"")</f>
        <v>USAID Jamii Tekelezi</v>
      </c>
      <c r="F361" s="54" t="str">
        <f>IFERROR(IF(INDEX(SPOT_Import!$A$1:$Z$2488,361,'Live Data'!$C$17)="","",INDEX(SPOT_Import!$A$1:$Z$2488,361,'Live Data'!$C$17)),"")</f>
        <v>HTS</v>
      </c>
      <c r="G361" s="54">
        <f>IFERROR(IF(INDEX(SPOT_Import!$A$1:$Z$2488,361,'Live Data'!$C$18)="","",INDEX(SPOT_Import!$A$1:$Z$2488,361,'Live Data'!$C$18)),"")</f>
        <v>18</v>
      </c>
      <c r="H361" s="54">
        <f>IFERROR(IF(INDEX(SPOT_Import!$A$1:$Z$2488,361,'Live Data'!$C$19)="","",INDEX(SPOT_Import!$A$1:$Z$2488,361,'Live Data'!$C$19)),"")</f>
        <v>18</v>
      </c>
      <c r="I361" s="54" t="str">
        <f>IFERROR(IF(INDEX(SPOT_Import!$A$1:$Z$2488,361,'Live Data'!$C$20)="","",INDEX(SPOT_Import!$A$1:$Z$2488,361,'Live Data'!$C$20)),"")</f>
        <v>Complete</v>
      </c>
      <c r="J361" s="54" t="str">
        <f>IFERROR(IF(INDEX(SPOT_Import!$A$1:$Z$2488,361,'Live Data'!$C$21)="","",INDEX(SPOT_Import!$A$1:$Z$2488,361,'Live Data'!$C$21)),"")</f>
        <v>2026-10-05T11:57:07.000Z</v>
      </c>
      <c r="K361" s="54" t="str">
        <f>IFERROR(IF(INDEX(SPOT_Import!$A$1:$Z$2488,361,'Live Data'!$C$22)="","",INDEX(SPOT_Import!$A$1:$Z$2488,361,'Live Data'!$C$22)),"")</f>
        <v>2026-10-05T11:57:07.000Z</v>
      </c>
      <c r="L361" s="55" t="str">
        <f t="shared" si="10"/>
        <v>2026-10</v>
      </c>
      <c r="M361" s="55" t="str">
        <f t="shared" si="11"/>
        <v>EMBU</v>
      </c>
      <c r="N361" s="55" t="str">
        <f>IF(A361="","",IFERROR(INDEX('Cluster Map'!$A$4:$A$38,MATCH(M361,'Cluster Map'!$B$4:$B$38,0)),"Unmapped"))</f>
        <v>Cluster 2</v>
      </c>
      <c r="O361" s="55">
        <f>IF(A361="",0,IF(COUNTIFS($A$2:A361,A361,$F$2:F361,F361,$L$2:L361,L361)=1,1,0))</f>
        <v>1</v>
      </c>
      <c r="P361" s="55">
        <f>IF(A361="",0,IF(AND(F361="C&amp;T",COUNTIFS($A$2:A361,A361,$F$2:F361,"C&amp;T")=1),1,0))</f>
        <v>0</v>
      </c>
    </row>
    <row r="362" spans="1:16" x14ac:dyDescent="0.35">
      <c r="A362" s="54">
        <f>IFERROR(IF(INDEX(SPOT_Import!$A$1:$Z$2488,362,'Live Data'!$C$12)="","",INDEX(SPOT_Import!$A$1:$Z$2488,362,'Live Data'!$C$12)),"")</f>
        <v>18080</v>
      </c>
      <c r="B362" s="54" t="str">
        <f>IFERROR(IF(INDEX(SPOT_Import!$A$1:$Z$2488,362,'Live Data'!$C$13)="","",INDEX(SPOT_Import!$A$1:$Z$2488,362,'Live Data'!$C$13)),"")</f>
        <v>Gatunga Model Health Centre</v>
      </c>
      <c r="C362" s="54" t="str">
        <f>IFERROR(IF(INDEX(SPOT_Import!$A$1:$Z$2488,362,'Live Data'!$C$14)="","",INDEX(SPOT_Import!$A$1:$Z$2488,362,'Live Data'!$C$14)),"")</f>
        <v>THARAKA-NITHI</v>
      </c>
      <c r="D362" s="54" t="str">
        <f>IFERROR(IF(INDEX(SPOT_Import!$A$1:$Z$2488,362,'Live Data'!$C$15)="","",INDEX(SPOT_Import!$A$1:$Z$2488,362,'Live Data'!$C$15)),"")</f>
        <v>Tharaka North</v>
      </c>
      <c r="E362" s="54" t="str">
        <f>IFERROR(IF(INDEX(SPOT_Import!$A$1:$Z$2488,362,'Live Data'!$C$16)="","",INDEX(SPOT_Import!$A$1:$Z$2488,362,'Live Data'!$C$16)),"")</f>
        <v>USAID Jamii Tekelezi</v>
      </c>
      <c r="F362" s="54" t="str">
        <f>IFERROR(IF(INDEX(SPOT_Import!$A$1:$Z$2488,362,'Live Data'!$C$17)="","",INDEX(SPOT_Import!$A$1:$Z$2488,362,'Live Data'!$C$17)),"")</f>
        <v>HTS</v>
      </c>
      <c r="G362" s="54">
        <f>IFERROR(IF(INDEX(SPOT_Import!$A$1:$Z$2488,362,'Live Data'!$C$18)="","",INDEX(SPOT_Import!$A$1:$Z$2488,362,'Live Data'!$C$18)),"")</f>
        <v>667</v>
      </c>
      <c r="H362" s="54">
        <f>IFERROR(IF(INDEX(SPOT_Import!$A$1:$Z$2488,362,'Live Data'!$C$19)="","",INDEX(SPOT_Import!$A$1:$Z$2488,362,'Live Data'!$C$19)),"")</f>
        <v>667</v>
      </c>
      <c r="I362" s="54" t="str">
        <f>IFERROR(IF(INDEX(SPOT_Import!$A$1:$Z$2488,362,'Live Data'!$C$20)="","",INDEX(SPOT_Import!$A$1:$Z$2488,362,'Live Data'!$C$20)),"")</f>
        <v>Complete</v>
      </c>
      <c r="J362" s="54" t="str">
        <f>IFERROR(IF(INDEX(SPOT_Import!$A$1:$Z$2488,362,'Live Data'!$C$21)="","",INDEX(SPOT_Import!$A$1:$Z$2488,362,'Live Data'!$C$21)),"")</f>
        <v>2026-10-05T11:51:21.000Z</v>
      </c>
      <c r="K362" s="54" t="str">
        <f>IFERROR(IF(INDEX(SPOT_Import!$A$1:$Z$2488,362,'Live Data'!$C$22)="","",INDEX(SPOT_Import!$A$1:$Z$2488,362,'Live Data'!$C$22)),"")</f>
        <v>2026-10-05T11:51:21.000Z</v>
      </c>
      <c r="L362" s="55" t="str">
        <f t="shared" si="10"/>
        <v>2026-10</v>
      </c>
      <c r="M362" s="55" t="str">
        <f t="shared" si="11"/>
        <v>THARAKA-NITHI</v>
      </c>
      <c r="N362" s="55" t="str">
        <f>IF(A362="","",IFERROR(INDEX('Cluster Map'!$A$4:$A$38,MATCH(M362,'Cluster Map'!$B$4:$B$38,0)),"Unmapped"))</f>
        <v>Cluster 2</v>
      </c>
      <c r="O362" s="55">
        <f>IF(A362="",0,IF(COUNTIFS($A$2:A362,A362,$F$2:F362,F362,$L$2:L362,L362)=1,1,0))</f>
        <v>1</v>
      </c>
      <c r="P362" s="55">
        <f>IF(A362="",0,IF(AND(F362="C&amp;T",COUNTIFS($A$2:A362,A362,$F$2:F362,"C&amp;T")=1),1,0))</f>
        <v>0</v>
      </c>
    </row>
    <row r="363" spans="1:16" x14ac:dyDescent="0.35">
      <c r="A363" s="54">
        <f>IFERROR(IF(INDEX(SPOT_Import!$A$1:$Z$2488,363,'Live Data'!$C$12)="","",INDEX(SPOT_Import!$A$1:$Z$2488,363,'Live Data'!$C$12)),"")</f>
        <v>18080</v>
      </c>
      <c r="B363" s="54" t="str">
        <f>IFERROR(IF(INDEX(SPOT_Import!$A$1:$Z$2488,363,'Live Data'!$C$13)="","",INDEX(SPOT_Import!$A$1:$Z$2488,363,'Live Data'!$C$13)),"")</f>
        <v>Gatunga Model Health Centre</v>
      </c>
      <c r="C363" s="54" t="str">
        <f>IFERROR(IF(INDEX(SPOT_Import!$A$1:$Z$2488,363,'Live Data'!$C$14)="","",INDEX(SPOT_Import!$A$1:$Z$2488,363,'Live Data'!$C$14)),"")</f>
        <v>THARAKA-NITHI</v>
      </c>
      <c r="D363" s="54" t="str">
        <f>IFERROR(IF(INDEX(SPOT_Import!$A$1:$Z$2488,363,'Live Data'!$C$15)="","",INDEX(SPOT_Import!$A$1:$Z$2488,363,'Live Data'!$C$15)),"")</f>
        <v>Tharaka North</v>
      </c>
      <c r="E363" s="54" t="str">
        <f>IFERROR(IF(INDEX(SPOT_Import!$A$1:$Z$2488,363,'Live Data'!$C$16)="","",INDEX(SPOT_Import!$A$1:$Z$2488,363,'Live Data'!$C$16)),"")</f>
        <v>USAID Jamii Tekelezi</v>
      </c>
      <c r="F363" s="54" t="str">
        <f>IFERROR(IF(INDEX(SPOT_Import!$A$1:$Z$2488,363,'Live Data'!$C$17)="","",INDEX(SPOT_Import!$A$1:$Z$2488,363,'Live Data'!$C$17)),"")</f>
        <v>PREP</v>
      </c>
      <c r="G363" s="54">
        <f>IFERROR(IF(INDEX(SPOT_Import!$A$1:$Z$2488,363,'Live Data'!$C$18)="","",INDEX(SPOT_Import!$A$1:$Z$2488,363,'Live Data'!$C$18)),"")</f>
        <v>44</v>
      </c>
      <c r="H363" s="54">
        <f>IFERROR(IF(INDEX(SPOT_Import!$A$1:$Z$2488,363,'Live Data'!$C$19)="","",INDEX(SPOT_Import!$A$1:$Z$2488,363,'Live Data'!$C$19)),"")</f>
        <v>44</v>
      </c>
      <c r="I363" s="54" t="str">
        <f>IFERROR(IF(INDEX(SPOT_Import!$A$1:$Z$2488,363,'Live Data'!$C$20)="","",INDEX(SPOT_Import!$A$1:$Z$2488,363,'Live Data'!$C$20)),"")</f>
        <v>Complete</v>
      </c>
      <c r="J363" s="54" t="str">
        <f>IFERROR(IF(INDEX(SPOT_Import!$A$1:$Z$2488,363,'Live Data'!$C$21)="","",INDEX(SPOT_Import!$A$1:$Z$2488,363,'Live Data'!$C$21)),"")</f>
        <v>2026-10-05T11:47:03.000Z</v>
      </c>
      <c r="K363" s="54" t="str">
        <f>IFERROR(IF(INDEX(SPOT_Import!$A$1:$Z$2488,363,'Live Data'!$C$22)="","",INDEX(SPOT_Import!$A$1:$Z$2488,363,'Live Data'!$C$22)),"")</f>
        <v>2026-10-05T11:47:03.000Z</v>
      </c>
      <c r="L363" s="55" t="str">
        <f t="shared" si="10"/>
        <v>2026-10</v>
      </c>
      <c r="M363" s="55" t="str">
        <f t="shared" si="11"/>
        <v>THARAKA-NITHI</v>
      </c>
      <c r="N363" s="55" t="str">
        <f>IF(A363="","",IFERROR(INDEX('Cluster Map'!$A$4:$A$38,MATCH(M363,'Cluster Map'!$B$4:$B$38,0)),"Unmapped"))</f>
        <v>Cluster 2</v>
      </c>
      <c r="O363" s="55">
        <f>IF(A363="",0,IF(COUNTIFS($A$2:A363,A363,$F$2:F363,F363,$L$2:L363,L363)=1,1,0))</f>
        <v>1</v>
      </c>
      <c r="P363" s="55">
        <f>IF(A363="",0,IF(AND(F363="C&amp;T",COUNTIFS($A$2:A363,A363,$F$2:F363,"C&amp;T")=1),1,0))</f>
        <v>0</v>
      </c>
    </row>
    <row r="364" spans="1:16" x14ac:dyDescent="0.35">
      <c r="A364" s="54">
        <f>IFERROR(IF(INDEX(SPOT_Import!$A$1:$Z$2488,364,'Live Data'!$C$12)="","",INDEX(SPOT_Import!$A$1:$Z$2488,364,'Live Data'!$C$12)),"")</f>
        <v>18080</v>
      </c>
      <c r="B364" s="54" t="str">
        <f>IFERROR(IF(INDEX(SPOT_Import!$A$1:$Z$2488,364,'Live Data'!$C$13)="","",INDEX(SPOT_Import!$A$1:$Z$2488,364,'Live Data'!$C$13)),"")</f>
        <v>Gatunga Model Health Centre</v>
      </c>
      <c r="C364" s="54" t="str">
        <f>IFERROR(IF(INDEX(SPOT_Import!$A$1:$Z$2488,364,'Live Data'!$C$14)="","",INDEX(SPOT_Import!$A$1:$Z$2488,364,'Live Data'!$C$14)),"")</f>
        <v>THARAKA-NITHI</v>
      </c>
      <c r="D364" s="54" t="str">
        <f>IFERROR(IF(INDEX(SPOT_Import!$A$1:$Z$2488,364,'Live Data'!$C$15)="","",INDEX(SPOT_Import!$A$1:$Z$2488,364,'Live Data'!$C$15)),"")</f>
        <v>Tharaka North</v>
      </c>
      <c r="E364" s="54" t="str">
        <f>IFERROR(IF(INDEX(SPOT_Import!$A$1:$Z$2488,364,'Live Data'!$C$16)="","",INDEX(SPOT_Import!$A$1:$Z$2488,364,'Live Data'!$C$16)),"")</f>
        <v>USAID Jamii Tekelezi</v>
      </c>
      <c r="F364" s="54" t="str">
        <f>IFERROR(IF(INDEX(SPOT_Import!$A$1:$Z$2488,364,'Live Data'!$C$17)="","",INDEX(SPOT_Import!$A$1:$Z$2488,364,'Live Data'!$C$17)),"")</f>
        <v>MNCH</v>
      </c>
      <c r="G364" s="54">
        <f>IFERROR(IF(INDEX(SPOT_Import!$A$1:$Z$2488,364,'Live Data'!$C$18)="","",INDEX(SPOT_Import!$A$1:$Z$2488,364,'Live Data'!$C$18)),"")</f>
        <v>5</v>
      </c>
      <c r="H364" s="54">
        <f>IFERROR(IF(INDEX(SPOT_Import!$A$1:$Z$2488,364,'Live Data'!$C$19)="","",INDEX(SPOT_Import!$A$1:$Z$2488,364,'Live Data'!$C$19)),"")</f>
        <v>5</v>
      </c>
      <c r="I364" s="54" t="str">
        <f>IFERROR(IF(INDEX(SPOT_Import!$A$1:$Z$2488,364,'Live Data'!$C$20)="","",INDEX(SPOT_Import!$A$1:$Z$2488,364,'Live Data'!$C$20)),"")</f>
        <v>Complete</v>
      </c>
      <c r="J364" s="54" t="str">
        <f>IFERROR(IF(INDEX(SPOT_Import!$A$1:$Z$2488,364,'Live Data'!$C$21)="","",INDEX(SPOT_Import!$A$1:$Z$2488,364,'Live Data'!$C$21)),"")</f>
        <v>2026-10-05T11:46:49.000Z</v>
      </c>
      <c r="K364" s="54" t="str">
        <f>IFERROR(IF(INDEX(SPOT_Import!$A$1:$Z$2488,364,'Live Data'!$C$22)="","",INDEX(SPOT_Import!$A$1:$Z$2488,364,'Live Data'!$C$22)),"")</f>
        <v>2026-10-05T11:46:49.000Z</v>
      </c>
      <c r="L364" s="55" t="str">
        <f t="shared" si="10"/>
        <v>2026-10</v>
      </c>
      <c r="M364" s="55" t="str">
        <f t="shared" si="11"/>
        <v>THARAKA-NITHI</v>
      </c>
      <c r="N364" s="55" t="str">
        <f>IF(A364="","",IFERROR(INDEX('Cluster Map'!$A$4:$A$38,MATCH(M364,'Cluster Map'!$B$4:$B$38,0)),"Unmapped"))</f>
        <v>Cluster 2</v>
      </c>
      <c r="O364" s="55">
        <f>IF(A364="",0,IF(COUNTIFS($A$2:A364,A364,$F$2:F364,F364,$L$2:L364,L364)=1,1,0))</f>
        <v>1</v>
      </c>
      <c r="P364" s="55">
        <f>IF(A364="",0,IF(AND(F364="C&amp;T",COUNTIFS($A$2:A364,A364,$F$2:F364,"C&amp;T")=1),1,0))</f>
        <v>0</v>
      </c>
    </row>
    <row r="365" spans="1:16" x14ac:dyDescent="0.35">
      <c r="A365" s="54">
        <f>IFERROR(IF(INDEX(SPOT_Import!$A$1:$Z$2488,365,'Live Data'!$C$12)="","",INDEX(SPOT_Import!$A$1:$Z$2488,365,'Live Data'!$C$12)),"")</f>
        <v>12023</v>
      </c>
      <c r="B365" s="54" t="str">
        <f>IFERROR(IF(INDEX(SPOT_Import!$A$1:$Z$2488,365,'Live Data'!$C$13)="","",INDEX(SPOT_Import!$A$1:$Z$2488,365,'Live Data'!$C$13)),"")</f>
        <v>Gachuriri Dispensary</v>
      </c>
      <c r="C365" s="54" t="str">
        <f>IFERROR(IF(INDEX(SPOT_Import!$A$1:$Z$2488,365,'Live Data'!$C$14)="","",INDEX(SPOT_Import!$A$1:$Z$2488,365,'Live Data'!$C$14)),"")</f>
        <v>EMBU</v>
      </c>
      <c r="D365" s="54" t="str">
        <f>IFERROR(IF(INDEX(SPOT_Import!$A$1:$Z$2488,365,'Live Data'!$C$15)="","",INDEX(SPOT_Import!$A$1:$Z$2488,365,'Live Data'!$C$15)),"")</f>
        <v>Mbeere South</v>
      </c>
      <c r="E365" s="54" t="str">
        <f>IFERROR(IF(INDEX(SPOT_Import!$A$1:$Z$2488,365,'Live Data'!$C$16)="","",INDEX(SPOT_Import!$A$1:$Z$2488,365,'Live Data'!$C$16)),"")</f>
        <v>USAID Jamii Tekelezi</v>
      </c>
      <c r="F365" s="54" t="str">
        <f>IFERROR(IF(INDEX(SPOT_Import!$A$1:$Z$2488,365,'Live Data'!$C$17)="","",INDEX(SPOT_Import!$A$1:$Z$2488,365,'Live Data'!$C$17)),"")</f>
        <v>C&amp;T</v>
      </c>
      <c r="G365" s="54">
        <f>IFERROR(IF(INDEX(SPOT_Import!$A$1:$Z$2488,365,'Live Data'!$C$18)="","",INDEX(SPOT_Import!$A$1:$Z$2488,365,'Live Data'!$C$18)),"")</f>
        <v>84</v>
      </c>
      <c r="H365" s="54">
        <f>IFERROR(IF(INDEX(SPOT_Import!$A$1:$Z$2488,365,'Live Data'!$C$19)="","",INDEX(SPOT_Import!$A$1:$Z$2488,365,'Live Data'!$C$19)),"")</f>
        <v>84</v>
      </c>
      <c r="I365" s="54" t="str">
        <f>IFERROR(IF(INDEX(SPOT_Import!$A$1:$Z$2488,365,'Live Data'!$C$20)="","",INDEX(SPOT_Import!$A$1:$Z$2488,365,'Live Data'!$C$20)),"")</f>
        <v>Complete</v>
      </c>
      <c r="J365" s="54" t="str">
        <f>IFERROR(IF(INDEX(SPOT_Import!$A$1:$Z$2488,365,'Live Data'!$C$21)="","",INDEX(SPOT_Import!$A$1:$Z$2488,365,'Live Data'!$C$21)),"")</f>
        <v>2026-10-05T11:34:23.000Z</v>
      </c>
      <c r="K365" s="54" t="str">
        <f>IFERROR(IF(INDEX(SPOT_Import!$A$1:$Z$2488,365,'Live Data'!$C$22)="","",INDEX(SPOT_Import!$A$1:$Z$2488,365,'Live Data'!$C$22)),"")</f>
        <v>2026-10-05T11:34:23.000Z</v>
      </c>
      <c r="L365" s="55" t="str">
        <f t="shared" si="10"/>
        <v>2026-10</v>
      </c>
      <c r="M365" s="55" t="str">
        <f t="shared" si="11"/>
        <v>EMBU</v>
      </c>
      <c r="N365" s="55" t="str">
        <f>IF(A365="","",IFERROR(INDEX('Cluster Map'!$A$4:$A$38,MATCH(M365,'Cluster Map'!$B$4:$B$38,0)),"Unmapped"))</f>
        <v>Cluster 2</v>
      </c>
      <c r="O365" s="55">
        <f>IF(A365="",0,IF(COUNTIFS($A$2:A365,A365,$F$2:F365,F365,$L$2:L365,L365)=1,1,0))</f>
        <v>1</v>
      </c>
      <c r="P365" s="55">
        <f>IF(A365="",0,IF(AND(F365="C&amp;T",COUNTIFS($A$2:A365,A365,$F$2:F365,"C&amp;T")=1),1,0))</f>
        <v>1</v>
      </c>
    </row>
    <row r="366" spans="1:16" x14ac:dyDescent="0.35">
      <c r="A366" s="54">
        <f>IFERROR(IF(INDEX(SPOT_Import!$A$1:$Z$2488,366,'Live Data'!$C$12)="","",INDEX(SPOT_Import!$A$1:$Z$2488,366,'Live Data'!$C$12)),"")</f>
        <v>16464</v>
      </c>
      <c r="B366" s="54" t="str">
        <f>IFERROR(IF(INDEX(SPOT_Import!$A$1:$Z$2488,366,'Live Data'!$C$13)="","",INDEX(SPOT_Import!$A$1:$Z$2488,366,'Live Data'!$C$13)),"")</f>
        <v>Ishiara Sub-District Hospital</v>
      </c>
      <c r="C366" s="54" t="str">
        <f>IFERROR(IF(INDEX(SPOT_Import!$A$1:$Z$2488,366,'Live Data'!$C$14)="","",INDEX(SPOT_Import!$A$1:$Z$2488,366,'Live Data'!$C$14)),"")</f>
        <v>EMBU</v>
      </c>
      <c r="D366" s="54" t="str">
        <f>IFERROR(IF(INDEX(SPOT_Import!$A$1:$Z$2488,366,'Live Data'!$C$15)="","",INDEX(SPOT_Import!$A$1:$Z$2488,366,'Live Data'!$C$15)),"")</f>
        <v>Mbeere North</v>
      </c>
      <c r="E366" s="54" t="str">
        <f>IFERROR(IF(INDEX(SPOT_Import!$A$1:$Z$2488,366,'Live Data'!$C$16)="","",INDEX(SPOT_Import!$A$1:$Z$2488,366,'Live Data'!$C$16)),"")</f>
        <v>USAID Jamii Tekelezi</v>
      </c>
      <c r="F366" s="54" t="str">
        <f>IFERROR(IF(INDEX(SPOT_Import!$A$1:$Z$2488,366,'Live Data'!$C$17)="","",INDEX(SPOT_Import!$A$1:$Z$2488,366,'Live Data'!$C$17)),"")</f>
        <v>C&amp;T</v>
      </c>
      <c r="G366" s="54">
        <f>IFERROR(IF(INDEX(SPOT_Import!$A$1:$Z$2488,366,'Live Data'!$C$18)="","",INDEX(SPOT_Import!$A$1:$Z$2488,366,'Live Data'!$C$18)),"")</f>
        <v>1070</v>
      </c>
      <c r="H366" s="54">
        <f>IFERROR(IF(INDEX(SPOT_Import!$A$1:$Z$2488,366,'Live Data'!$C$19)="","",INDEX(SPOT_Import!$A$1:$Z$2488,366,'Live Data'!$C$19)),"")</f>
        <v>1070</v>
      </c>
      <c r="I366" s="54" t="str">
        <f>IFERROR(IF(INDEX(SPOT_Import!$A$1:$Z$2488,366,'Live Data'!$C$20)="","",INDEX(SPOT_Import!$A$1:$Z$2488,366,'Live Data'!$C$20)),"")</f>
        <v>Complete</v>
      </c>
      <c r="J366" s="54" t="str">
        <f>IFERROR(IF(INDEX(SPOT_Import!$A$1:$Z$2488,366,'Live Data'!$C$21)="","",INDEX(SPOT_Import!$A$1:$Z$2488,366,'Live Data'!$C$21)),"")</f>
        <v>2026-10-05T11:33:27.000Z</v>
      </c>
      <c r="K366" s="54" t="str">
        <f>IFERROR(IF(INDEX(SPOT_Import!$A$1:$Z$2488,366,'Live Data'!$C$22)="","",INDEX(SPOT_Import!$A$1:$Z$2488,366,'Live Data'!$C$22)),"")</f>
        <v>2026-10-05T11:33:27.000Z</v>
      </c>
      <c r="L366" s="55" t="str">
        <f t="shared" si="10"/>
        <v>2026-10</v>
      </c>
      <c r="M366" s="55" t="str">
        <f t="shared" si="11"/>
        <v>EMBU</v>
      </c>
      <c r="N366" s="55" t="str">
        <f>IF(A366="","",IFERROR(INDEX('Cluster Map'!$A$4:$A$38,MATCH(M366,'Cluster Map'!$B$4:$B$38,0)),"Unmapped"))</f>
        <v>Cluster 2</v>
      </c>
      <c r="O366" s="55">
        <f>IF(A366="",0,IF(COUNTIFS($A$2:A366,A366,$F$2:F366,F366,$L$2:L366,L366)=1,1,0))</f>
        <v>1</v>
      </c>
      <c r="P366" s="55">
        <f>IF(A366="",0,IF(AND(F366="C&amp;T",COUNTIFS($A$2:A366,A366,$F$2:F366,"C&amp;T")=1),1,0))</f>
        <v>1</v>
      </c>
    </row>
    <row r="367" spans="1:16" x14ac:dyDescent="0.35">
      <c r="A367" s="54">
        <f>IFERROR(IF(INDEX(SPOT_Import!$A$1:$Z$2488,367,'Live Data'!$C$12)="","",INDEX(SPOT_Import!$A$1:$Z$2488,367,'Live Data'!$C$12)),"")</f>
        <v>18080</v>
      </c>
      <c r="B367" s="54" t="str">
        <f>IFERROR(IF(INDEX(SPOT_Import!$A$1:$Z$2488,367,'Live Data'!$C$13)="","",INDEX(SPOT_Import!$A$1:$Z$2488,367,'Live Data'!$C$13)),"")</f>
        <v>Gatunga Model Health Centre</v>
      </c>
      <c r="C367" s="54" t="str">
        <f>IFERROR(IF(INDEX(SPOT_Import!$A$1:$Z$2488,367,'Live Data'!$C$14)="","",INDEX(SPOT_Import!$A$1:$Z$2488,367,'Live Data'!$C$14)),"")</f>
        <v>THARAKA-NITHI</v>
      </c>
      <c r="D367" s="54" t="str">
        <f>IFERROR(IF(INDEX(SPOT_Import!$A$1:$Z$2488,367,'Live Data'!$C$15)="","",INDEX(SPOT_Import!$A$1:$Z$2488,367,'Live Data'!$C$15)),"")</f>
        <v>Tharaka North</v>
      </c>
      <c r="E367" s="54" t="str">
        <f>IFERROR(IF(INDEX(SPOT_Import!$A$1:$Z$2488,367,'Live Data'!$C$16)="","",INDEX(SPOT_Import!$A$1:$Z$2488,367,'Live Data'!$C$16)),"")</f>
        <v>USAID Jamii Tekelezi</v>
      </c>
      <c r="F367" s="54" t="str">
        <f>IFERROR(IF(INDEX(SPOT_Import!$A$1:$Z$2488,367,'Live Data'!$C$17)="","",INDEX(SPOT_Import!$A$1:$Z$2488,367,'Live Data'!$C$17)),"")</f>
        <v>C&amp;T</v>
      </c>
      <c r="G367" s="54">
        <f>IFERROR(IF(INDEX(SPOT_Import!$A$1:$Z$2488,367,'Live Data'!$C$18)="","",INDEX(SPOT_Import!$A$1:$Z$2488,367,'Live Data'!$C$18)),"")</f>
        <v>88</v>
      </c>
      <c r="H367" s="54">
        <f>IFERROR(IF(INDEX(SPOT_Import!$A$1:$Z$2488,367,'Live Data'!$C$19)="","",INDEX(SPOT_Import!$A$1:$Z$2488,367,'Live Data'!$C$19)),"")</f>
        <v>88</v>
      </c>
      <c r="I367" s="54" t="str">
        <f>IFERROR(IF(INDEX(SPOT_Import!$A$1:$Z$2488,367,'Live Data'!$C$20)="","",INDEX(SPOT_Import!$A$1:$Z$2488,367,'Live Data'!$C$20)),"")</f>
        <v>Complete</v>
      </c>
      <c r="J367" s="54" t="str">
        <f>IFERROR(IF(INDEX(SPOT_Import!$A$1:$Z$2488,367,'Live Data'!$C$21)="","",INDEX(SPOT_Import!$A$1:$Z$2488,367,'Live Data'!$C$21)),"")</f>
        <v>2026-10-05T11:25:35.000Z</v>
      </c>
      <c r="K367" s="54" t="str">
        <f>IFERROR(IF(INDEX(SPOT_Import!$A$1:$Z$2488,367,'Live Data'!$C$22)="","",INDEX(SPOT_Import!$A$1:$Z$2488,367,'Live Data'!$C$22)),"")</f>
        <v>2026-10-05T11:25:35.000Z</v>
      </c>
      <c r="L367" s="55" t="str">
        <f t="shared" si="10"/>
        <v>2026-10</v>
      </c>
      <c r="M367" s="55" t="str">
        <f t="shared" si="11"/>
        <v>THARAKA-NITHI</v>
      </c>
      <c r="N367" s="55" t="str">
        <f>IF(A367="","",IFERROR(INDEX('Cluster Map'!$A$4:$A$38,MATCH(M367,'Cluster Map'!$B$4:$B$38,0)),"Unmapped"))</f>
        <v>Cluster 2</v>
      </c>
      <c r="O367" s="55">
        <f>IF(A367="",0,IF(COUNTIFS($A$2:A367,A367,$F$2:F367,F367,$L$2:L367,L367)=1,1,0))</f>
        <v>1</v>
      </c>
      <c r="P367" s="55">
        <f>IF(A367="",0,IF(AND(F367="C&amp;T",COUNTIFS($A$2:A367,A367,$F$2:F367,"C&amp;T")=1),1,0))</f>
        <v>1</v>
      </c>
    </row>
    <row r="368" spans="1:16" x14ac:dyDescent="0.35">
      <c r="A368" s="54">
        <f>IFERROR(IF(INDEX(SPOT_Import!$A$1:$Z$2488,368,'Live Data'!$C$12)="","",INDEX(SPOT_Import!$A$1:$Z$2488,368,'Live Data'!$C$12)),"")</f>
        <v>10851</v>
      </c>
      <c r="B368" s="54" t="str">
        <f>IFERROR(IF(INDEX(SPOT_Import!$A$1:$Z$2488,368,'Live Data'!$C$13)="","",INDEX(SPOT_Import!$A$1:$Z$2488,368,'Live Data'!$C$13)),"")</f>
        <v>New Mawingu Health Centre</v>
      </c>
      <c r="C368" s="54" t="str">
        <f>IFERROR(IF(INDEX(SPOT_Import!$A$1:$Z$2488,368,'Live Data'!$C$14)="","",INDEX(SPOT_Import!$A$1:$Z$2488,368,'Live Data'!$C$14)),"")</f>
        <v>NYANDARUA</v>
      </c>
      <c r="D368" s="54" t="str">
        <f>IFERROR(IF(INDEX(SPOT_Import!$A$1:$Z$2488,368,'Live Data'!$C$15)="","",INDEX(SPOT_Import!$A$1:$Z$2488,368,'Live Data'!$C$15)),"")</f>
        <v>Olkalou</v>
      </c>
      <c r="E368" s="54" t="str">
        <f>IFERROR(IF(INDEX(SPOT_Import!$A$1:$Z$2488,368,'Live Data'!$C$16)="","",INDEX(SPOT_Import!$A$1:$Z$2488,368,'Live Data'!$C$16)),"")</f>
        <v>USAID Jamii Tekelezi</v>
      </c>
      <c r="F368" s="54" t="str">
        <f>IFERROR(IF(INDEX(SPOT_Import!$A$1:$Z$2488,368,'Live Data'!$C$17)="","",INDEX(SPOT_Import!$A$1:$Z$2488,368,'Live Data'!$C$17)),"")</f>
        <v>PREP</v>
      </c>
      <c r="G368" s="54">
        <f>IFERROR(IF(INDEX(SPOT_Import!$A$1:$Z$2488,368,'Live Data'!$C$18)="","",INDEX(SPOT_Import!$A$1:$Z$2488,368,'Live Data'!$C$18)),"")</f>
        <v>51</v>
      </c>
      <c r="H368" s="54">
        <f>IFERROR(IF(INDEX(SPOT_Import!$A$1:$Z$2488,368,'Live Data'!$C$19)="","",INDEX(SPOT_Import!$A$1:$Z$2488,368,'Live Data'!$C$19)),"")</f>
        <v>51</v>
      </c>
      <c r="I368" s="54" t="str">
        <f>IFERROR(IF(INDEX(SPOT_Import!$A$1:$Z$2488,368,'Live Data'!$C$20)="","",INDEX(SPOT_Import!$A$1:$Z$2488,368,'Live Data'!$C$20)),"")</f>
        <v>Complete</v>
      </c>
      <c r="J368" s="54" t="str">
        <f>IFERROR(IF(INDEX(SPOT_Import!$A$1:$Z$2488,368,'Live Data'!$C$21)="","",INDEX(SPOT_Import!$A$1:$Z$2488,368,'Live Data'!$C$21)),"")</f>
        <v>2026-10-05T11:15:37.000Z</v>
      </c>
      <c r="K368" s="54" t="str">
        <f>IFERROR(IF(INDEX(SPOT_Import!$A$1:$Z$2488,368,'Live Data'!$C$22)="","",INDEX(SPOT_Import!$A$1:$Z$2488,368,'Live Data'!$C$22)),"")</f>
        <v>2026-10-05T11:15:37.000Z</v>
      </c>
      <c r="L368" s="55" t="str">
        <f t="shared" si="10"/>
        <v>2026-10</v>
      </c>
      <c r="M368" s="55" t="str">
        <f t="shared" si="11"/>
        <v>NYANDARUA</v>
      </c>
      <c r="N368" s="55" t="str">
        <f>IF(A368="","",IFERROR(INDEX('Cluster Map'!$A$4:$A$38,MATCH(M368,'Cluster Map'!$B$4:$B$38,0)),"Unmapped"))</f>
        <v>Cluster 4</v>
      </c>
      <c r="O368" s="55">
        <f>IF(A368="",0,IF(COUNTIFS($A$2:A368,A368,$F$2:F368,F368,$L$2:L368,L368)=1,1,0))</f>
        <v>1</v>
      </c>
      <c r="P368" s="55">
        <f>IF(A368="",0,IF(AND(F368="C&amp;T",COUNTIFS($A$2:A368,A368,$F$2:F368,"C&amp;T")=1),1,0))</f>
        <v>0</v>
      </c>
    </row>
    <row r="369" spans="1:16" x14ac:dyDescent="0.35">
      <c r="A369" s="54">
        <f>IFERROR(IF(INDEX(SPOT_Import!$A$1:$Z$2488,369,'Live Data'!$C$12)="","",INDEX(SPOT_Import!$A$1:$Z$2488,369,'Live Data'!$C$12)),"")</f>
        <v>10851</v>
      </c>
      <c r="B369" s="54" t="str">
        <f>IFERROR(IF(INDEX(SPOT_Import!$A$1:$Z$2488,369,'Live Data'!$C$13)="","",INDEX(SPOT_Import!$A$1:$Z$2488,369,'Live Data'!$C$13)),"")</f>
        <v>New Mawingu Health Centre</v>
      </c>
      <c r="C369" s="54" t="str">
        <f>IFERROR(IF(INDEX(SPOT_Import!$A$1:$Z$2488,369,'Live Data'!$C$14)="","",INDEX(SPOT_Import!$A$1:$Z$2488,369,'Live Data'!$C$14)),"")</f>
        <v>NYANDARUA</v>
      </c>
      <c r="D369" s="54" t="str">
        <f>IFERROR(IF(INDEX(SPOT_Import!$A$1:$Z$2488,369,'Live Data'!$C$15)="","",INDEX(SPOT_Import!$A$1:$Z$2488,369,'Live Data'!$C$15)),"")</f>
        <v>Olkalou</v>
      </c>
      <c r="E369" s="54" t="str">
        <f>IFERROR(IF(INDEX(SPOT_Import!$A$1:$Z$2488,369,'Live Data'!$C$16)="","",INDEX(SPOT_Import!$A$1:$Z$2488,369,'Live Data'!$C$16)),"")</f>
        <v>USAID Jamii Tekelezi</v>
      </c>
      <c r="F369" s="54" t="str">
        <f>IFERROR(IF(INDEX(SPOT_Import!$A$1:$Z$2488,369,'Live Data'!$C$17)="","",INDEX(SPOT_Import!$A$1:$Z$2488,369,'Live Data'!$C$17)),"")</f>
        <v>MNCH</v>
      </c>
      <c r="G369" s="54">
        <f>IFERROR(IF(INDEX(SPOT_Import!$A$1:$Z$2488,369,'Live Data'!$C$18)="","",INDEX(SPOT_Import!$A$1:$Z$2488,369,'Live Data'!$C$18)),"")</f>
        <v>16</v>
      </c>
      <c r="H369" s="54">
        <f>IFERROR(IF(INDEX(SPOT_Import!$A$1:$Z$2488,369,'Live Data'!$C$19)="","",INDEX(SPOT_Import!$A$1:$Z$2488,369,'Live Data'!$C$19)),"")</f>
        <v>16</v>
      </c>
      <c r="I369" s="54" t="str">
        <f>IFERROR(IF(INDEX(SPOT_Import!$A$1:$Z$2488,369,'Live Data'!$C$20)="","",INDEX(SPOT_Import!$A$1:$Z$2488,369,'Live Data'!$C$20)),"")</f>
        <v>Complete</v>
      </c>
      <c r="J369" s="54" t="str">
        <f>IFERROR(IF(INDEX(SPOT_Import!$A$1:$Z$2488,369,'Live Data'!$C$21)="","",INDEX(SPOT_Import!$A$1:$Z$2488,369,'Live Data'!$C$21)),"")</f>
        <v>2026-10-05T11:15:28.000Z</v>
      </c>
      <c r="K369" s="54" t="str">
        <f>IFERROR(IF(INDEX(SPOT_Import!$A$1:$Z$2488,369,'Live Data'!$C$22)="","",INDEX(SPOT_Import!$A$1:$Z$2488,369,'Live Data'!$C$22)),"")</f>
        <v>2026-10-05T11:15:28.000Z</v>
      </c>
      <c r="L369" s="55" t="str">
        <f t="shared" si="10"/>
        <v>2026-10</v>
      </c>
      <c r="M369" s="55" t="str">
        <f t="shared" si="11"/>
        <v>NYANDARUA</v>
      </c>
      <c r="N369" s="55" t="str">
        <f>IF(A369="","",IFERROR(INDEX('Cluster Map'!$A$4:$A$38,MATCH(M369,'Cluster Map'!$B$4:$B$38,0)),"Unmapped"))</f>
        <v>Cluster 4</v>
      </c>
      <c r="O369" s="55">
        <f>IF(A369="",0,IF(COUNTIFS($A$2:A369,A369,$F$2:F369,F369,$L$2:L369,L369)=1,1,0))</f>
        <v>1</v>
      </c>
      <c r="P369" s="55">
        <f>IF(A369="",0,IF(AND(F369="C&amp;T",COUNTIFS($A$2:A369,A369,$F$2:F369,"C&amp;T")=1),1,0))</f>
        <v>0</v>
      </c>
    </row>
    <row r="370" spans="1:16" x14ac:dyDescent="0.35">
      <c r="A370" s="54">
        <f>IFERROR(IF(INDEX(SPOT_Import!$A$1:$Z$2488,370,'Live Data'!$C$12)="","",INDEX(SPOT_Import!$A$1:$Z$2488,370,'Live Data'!$C$12)),"")</f>
        <v>10851</v>
      </c>
      <c r="B370" s="54" t="str">
        <f>IFERROR(IF(INDEX(SPOT_Import!$A$1:$Z$2488,370,'Live Data'!$C$13)="","",INDEX(SPOT_Import!$A$1:$Z$2488,370,'Live Data'!$C$13)),"")</f>
        <v>New Mawingu Health Centre</v>
      </c>
      <c r="C370" s="54" t="str">
        <f>IFERROR(IF(INDEX(SPOT_Import!$A$1:$Z$2488,370,'Live Data'!$C$14)="","",INDEX(SPOT_Import!$A$1:$Z$2488,370,'Live Data'!$C$14)),"")</f>
        <v>NYANDARUA</v>
      </c>
      <c r="D370" s="54" t="str">
        <f>IFERROR(IF(INDEX(SPOT_Import!$A$1:$Z$2488,370,'Live Data'!$C$15)="","",INDEX(SPOT_Import!$A$1:$Z$2488,370,'Live Data'!$C$15)),"")</f>
        <v>Olkalou</v>
      </c>
      <c r="E370" s="54" t="str">
        <f>IFERROR(IF(INDEX(SPOT_Import!$A$1:$Z$2488,370,'Live Data'!$C$16)="","",INDEX(SPOT_Import!$A$1:$Z$2488,370,'Live Data'!$C$16)),"")</f>
        <v>USAID Jamii Tekelezi</v>
      </c>
      <c r="F370" s="54" t="str">
        <f>IFERROR(IF(INDEX(SPOT_Import!$A$1:$Z$2488,370,'Live Data'!$C$17)="","",INDEX(SPOT_Import!$A$1:$Z$2488,370,'Live Data'!$C$17)),"")</f>
        <v>HTS</v>
      </c>
      <c r="G370" s="54">
        <f>IFERROR(IF(INDEX(SPOT_Import!$A$1:$Z$2488,370,'Live Data'!$C$18)="","",INDEX(SPOT_Import!$A$1:$Z$2488,370,'Live Data'!$C$18)),"")</f>
        <v>537</v>
      </c>
      <c r="H370" s="54">
        <f>IFERROR(IF(INDEX(SPOT_Import!$A$1:$Z$2488,370,'Live Data'!$C$19)="","",INDEX(SPOT_Import!$A$1:$Z$2488,370,'Live Data'!$C$19)),"")</f>
        <v>537</v>
      </c>
      <c r="I370" s="54" t="str">
        <f>IFERROR(IF(INDEX(SPOT_Import!$A$1:$Z$2488,370,'Live Data'!$C$20)="","",INDEX(SPOT_Import!$A$1:$Z$2488,370,'Live Data'!$C$20)),"")</f>
        <v>Complete</v>
      </c>
      <c r="J370" s="54" t="str">
        <f>IFERROR(IF(INDEX(SPOT_Import!$A$1:$Z$2488,370,'Live Data'!$C$21)="","",INDEX(SPOT_Import!$A$1:$Z$2488,370,'Live Data'!$C$21)),"")</f>
        <v>2026-10-05T11:13:46.000Z</v>
      </c>
      <c r="K370" s="54" t="str">
        <f>IFERROR(IF(INDEX(SPOT_Import!$A$1:$Z$2488,370,'Live Data'!$C$22)="","",INDEX(SPOT_Import!$A$1:$Z$2488,370,'Live Data'!$C$22)),"")</f>
        <v>2026-10-05T11:13:46.000Z</v>
      </c>
      <c r="L370" s="55" t="str">
        <f t="shared" si="10"/>
        <v>2026-10</v>
      </c>
      <c r="M370" s="55" t="str">
        <f t="shared" si="11"/>
        <v>NYANDARUA</v>
      </c>
      <c r="N370" s="55" t="str">
        <f>IF(A370="","",IFERROR(INDEX('Cluster Map'!$A$4:$A$38,MATCH(M370,'Cluster Map'!$B$4:$B$38,0)),"Unmapped"))</f>
        <v>Cluster 4</v>
      </c>
      <c r="O370" s="55">
        <f>IF(A370="",0,IF(COUNTIFS($A$2:A370,A370,$F$2:F370,F370,$L$2:L370,L370)=1,1,0))</f>
        <v>1</v>
      </c>
      <c r="P370" s="55">
        <f>IF(A370="",0,IF(AND(F370="C&amp;T",COUNTIFS($A$2:A370,A370,$F$2:F370,"C&amp;T")=1),1,0))</f>
        <v>0</v>
      </c>
    </row>
    <row r="371" spans="1:16" x14ac:dyDescent="0.35">
      <c r="A371" s="54">
        <f>IFERROR(IF(INDEX(SPOT_Import!$A$1:$Z$2488,371,'Live Data'!$C$12)="","",INDEX(SPOT_Import!$A$1:$Z$2488,371,'Live Data'!$C$12)),"")</f>
        <v>12717</v>
      </c>
      <c r="B371" s="54" t="str">
        <f>IFERROR(IF(INDEX(SPOT_Import!$A$1:$Z$2488,371,'Live Data'!$C$13)="","",INDEX(SPOT_Import!$A$1:$Z$2488,371,'Live Data'!$C$13)),"")</f>
        <v>Ruiri Rural Health Demonstration Centre</v>
      </c>
      <c r="C371" s="54" t="str">
        <f>IFERROR(IF(INDEX(SPOT_Import!$A$1:$Z$2488,371,'Live Data'!$C$14)="","",INDEX(SPOT_Import!$A$1:$Z$2488,371,'Live Data'!$C$14)),"")</f>
        <v>MERU</v>
      </c>
      <c r="D371" s="54" t="str">
        <f>IFERROR(IF(INDEX(SPOT_Import!$A$1:$Z$2488,371,'Live Data'!$C$15)="","",INDEX(SPOT_Import!$A$1:$Z$2488,371,'Live Data'!$C$15)),"")</f>
        <v>Buuri</v>
      </c>
      <c r="E371" s="54" t="str">
        <f>IFERROR(IF(INDEX(SPOT_Import!$A$1:$Z$2488,371,'Live Data'!$C$16)="","",INDEX(SPOT_Import!$A$1:$Z$2488,371,'Live Data'!$C$16)),"")</f>
        <v>USAID Jamii Tekelezi</v>
      </c>
      <c r="F371" s="54" t="str">
        <f>IFERROR(IF(INDEX(SPOT_Import!$A$1:$Z$2488,371,'Live Data'!$C$17)="","",INDEX(SPOT_Import!$A$1:$Z$2488,371,'Live Data'!$C$17)),"")</f>
        <v>MNCH</v>
      </c>
      <c r="G371" s="54">
        <f>IFERROR(IF(INDEX(SPOT_Import!$A$1:$Z$2488,371,'Live Data'!$C$18)="","",INDEX(SPOT_Import!$A$1:$Z$2488,371,'Live Data'!$C$18)),"")</f>
        <v>56</v>
      </c>
      <c r="H371" s="54">
        <f>IFERROR(IF(INDEX(SPOT_Import!$A$1:$Z$2488,371,'Live Data'!$C$19)="","",INDEX(SPOT_Import!$A$1:$Z$2488,371,'Live Data'!$C$19)),"")</f>
        <v>56</v>
      </c>
      <c r="I371" s="54" t="str">
        <f>IFERROR(IF(INDEX(SPOT_Import!$A$1:$Z$2488,371,'Live Data'!$C$20)="","",INDEX(SPOT_Import!$A$1:$Z$2488,371,'Live Data'!$C$20)),"")</f>
        <v>Complete</v>
      </c>
      <c r="J371" s="54" t="str">
        <f>IFERROR(IF(INDEX(SPOT_Import!$A$1:$Z$2488,371,'Live Data'!$C$21)="","",INDEX(SPOT_Import!$A$1:$Z$2488,371,'Live Data'!$C$21)),"")</f>
        <v>2026-10-05T11:11:12.000Z</v>
      </c>
      <c r="K371" s="54" t="str">
        <f>IFERROR(IF(INDEX(SPOT_Import!$A$1:$Z$2488,371,'Live Data'!$C$22)="","",INDEX(SPOT_Import!$A$1:$Z$2488,371,'Live Data'!$C$22)),"")</f>
        <v>2026-10-05T11:11:12.000Z</v>
      </c>
      <c r="L371" s="55" t="str">
        <f t="shared" si="10"/>
        <v>2026-10</v>
      </c>
      <c r="M371" s="55" t="str">
        <f t="shared" si="11"/>
        <v>MERU</v>
      </c>
      <c r="N371" s="55" t="str">
        <f>IF(A371="","",IFERROR(INDEX('Cluster Map'!$A$4:$A$38,MATCH(M371,'Cluster Map'!$B$4:$B$38,0)),"Unmapped"))</f>
        <v>Cluster 1</v>
      </c>
      <c r="O371" s="55">
        <f>IF(A371="",0,IF(COUNTIFS($A$2:A371,A371,$F$2:F371,F371,$L$2:L371,L371)=1,1,0))</f>
        <v>1</v>
      </c>
      <c r="P371" s="55">
        <f>IF(A371="",0,IF(AND(F371="C&amp;T",COUNTIFS($A$2:A371,A371,$F$2:F371,"C&amp;T")=1),1,0))</f>
        <v>0</v>
      </c>
    </row>
    <row r="372" spans="1:16" x14ac:dyDescent="0.35">
      <c r="A372" s="54">
        <f>IFERROR(IF(INDEX(SPOT_Import!$A$1:$Z$2488,372,'Live Data'!$C$12)="","",INDEX(SPOT_Import!$A$1:$Z$2488,372,'Live Data'!$C$12)),"")</f>
        <v>12717</v>
      </c>
      <c r="B372" s="54" t="str">
        <f>IFERROR(IF(INDEX(SPOT_Import!$A$1:$Z$2488,372,'Live Data'!$C$13)="","",INDEX(SPOT_Import!$A$1:$Z$2488,372,'Live Data'!$C$13)),"")</f>
        <v>Ruiri Rural Health Demonstration Centre</v>
      </c>
      <c r="C372" s="54" t="str">
        <f>IFERROR(IF(INDEX(SPOT_Import!$A$1:$Z$2488,372,'Live Data'!$C$14)="","",INDEX(SPOT_Import!$A$1:$Z$2488,372,'Live Data'!$C$14)),"")</f>
        <v>MERU</v>
      </c>
      <c r="D372" s="54" t="str">
        <f>IFERROR(IF(INDEX(SPOT_Import!$A$1:$Z$2488,372,'Live Data'!$C$15)="","",INDEX(SPOT_Import!$A$1:$Z$2488,372,'Live Data'!$C$15)),"")</f>
        <v>Buuri</v>
      </c>
      <c r="E372" s="54" t="str">
        <f>IFERROR(IF(INDEX(SPOT_Import!$A$1:$Z$2488,372,'Live Data'!$C$16)="","",INDEX(SPOT_Import!$A$1:$Z$2488,372,'Live Data'!$C$16)),"")</f>
        <v>USAID Jamii Tekelezi</v>
      </c>
      <c r="F372" s="54" t="str">
        <f>IFERROR(IF(INDEX(SPOT_Import!$A$1:$Z$2488,372,'Live Data'!$C$17)="","",INDEX(SPOT_Import!$A$1:$Z$2488,372,'Live Data'!$C$17)),"")</f>
        <v>HTS</v>
      </c>
      <c r="G372" s="54">
        <f>IFERROR(IF(INDEX(SPOT_Import!$A$1:$Z$2488,372,'Live Data'!$C$18)="","",INDEX(SPOT_Import!$A$1:$Z$2488,372,'Live Data'!$C$18)),"")</f>
        <v>21</v>
      </c>
      <c r="H372" s="54">
        <f>IFERROR(IF(INDEX(SPOT_Import!$A$1:$Z$2488,372,'Live Data'!$C$19)="","",INDEX(SPOT_Import!$A$1:$Z$2488,372,'Live Data'!$C$19)),"")</f>
        <v>21</v>
      </c>
      <c r="I372" s="54" t="str">
        <f>IFERROR(IF(INDEX(SPOT_Import!$A$1:$Z$2488,372,'Live Data'!$C$20)="","",INDEX(SPOT_Import!$A$1:$Z$2488,372,'Live Data'!$C$20)),"")</f>
        <v>Complete</v>
      </c>
      <c r="J372" s="54" t="str">
        <f>IFERROR(IF(INDEX(SPOT_Import!$A$1:$Z$2488,372,'Live Data'!$C$21)="","",INDEX(SPOT_Import!$A$1:$Z$2488,372,'Live Data'!$C$21)),"")</f>
        <v>2026-10-05T11:10:48.000Z</v>
      </c>
      <c r="K372" s="54" t="str">
        <f>IFERROR(IF(INDEX(SPOT_Import!$A$1:$Z$2488,372,'Live Data'!$C$22)="","",INDEX(SPOT_Import!$A$1:$Z$2488,372,'Live Data'!$C$22)),"")</f>
        <v>2026-10-05T11:10:48.000Z</v>
      </c>
      <c r="L372" s="55" t="str">
        <f t="shared" si="10"/>
        <v>2026-10</v>
      </c>
      <c r="M372" s="55" t="str">
        <f t="shared" si="11"/>
        <v>MERU</v>
      </c>
      <c r="N372" s="55" t="str">
        <f>IF(A372="","",IFERROR(INDEX('Cluster Map'!$A$4:$A$38,MATCH(M372,'Cluster Map'!$B$4:$B$38,0)),"Unmapped"))</f>
        <v>Cluster 1</v>
      </c>
      <c r="O372" s="55">
        <f>IF(A372="",0,IF(COUNTIFS($A$2:A372,A372,$F$2:F372,F372,$L$2:L372,L372)=1,1,0))</f>
        <v>1</v>
      </c>
      <c r="P372" s="55">
        <f>IF(A372="",0,IF(AND(F372="C&amp;T",COUNTIFS($A$2:A372,A372,$F$2:F372,"C&amp;T")=1),1,0))</f>
        <v>0</v>
      </c>
    </row>
    <row r="373" spans="1:16" x14ac:dyDescent="0.35">
      <c r="A373" s="54">
        <f>IFERROR(IF(INDEX(SPOT_Import!$A$1:$Z$2488,373,'Live Data'!$C$12)="","",INDEX(SPOT_Import!$A$1:$Z$2488,373,'Live Data'!$C$12)),"")</f>
        <v>10732</v>
      </c>
      <c r="B373" s="54" t="str">
        <f>IFERROR(IF(INDEX(SPOT_Import!$A$1:$Z$2488,373,'Live Data'!$C$13)="","",INDEX(SPOT_Import!$A$1:$Z$2488,373,'Live Data'!$C$13)),"")</f>
        <v>Mirangine Health Centre</v>
      </c>
      <c r="C373" s="54" t="str">
        <f>IFERROR(IF(INDEX(SPOT_Import!$A$1:$Z$2488,373,'Live Data'!$C$14)="","",INDEX(SPOT_Import!$A$1:$Z$2488,373,'Live Data'!$C$14)),"")</f>
        <v>NYANDARUA</v>
      </c>
      <c r="D373" s="54" t="str">
        <f>IFERROR(IF(INDEX(SPOT_Import!$A$1:$Z$2488,373,'Live Data'!$C$15)="","",INDEX(SPOT_Import!$A$1:$Z$2488,373,'Live Data'!$C$15)),"")</f>
        <v>Olkalou</v>
      </c>
      <c r="E373" s="54" t="str">
        <f>IFERROR(IF(INDEX(SPOT_Import!$A$1:$Z$2488,373,'Live Data'!$C$16)="","",INDEX(SPOT_Import!$A$1:$Z$2488,373,'Live Data'!$C$16)),"")</f>
        <v>USAID Jamii Tekelezi</v>
      </c>
      <c r="F373" s="54" t="str">
        <f>IFERROR(IF(INDEX(SPOT_Import!$A$1:$Z$2488,373,'Live Data'!$C$17)="","",INDEX(SPOT_Import!$A$1:$Z$2488,373,'Live Data'!$C$17)),"")</f>
        <v>C&amp;T</v>
      </c>
      <c r="G373" s="54">
        <f>IFERROR(IF(INDEX(SPOT_Import!$A$1:$Z$2488,373,'Live Data'!$C$18)="","",INDEX(SPOT_Import!$A$1:$Z$2488,373,'Live Data'!$C$18)),"")</f>
        <v>812</v>
      </c>
      <c r="H373" s="54">
        <f>IFERROR(IF(INDEX(SPOT_Import!$A$1:$Z$2488,373,'Live Data'!$C$19)="","",INDEX(SPOT_Import!$A$1:$Z$2488,373,'Live Data'!$C$19)),"")</f>
        <v>812</v>
      </c>
      <c r="I373" s="54" t="str">
        <f>IFERROR(IF(INDEX(SPOT_Import!$A$1:$Z$2488,373,'Live Data'!$C$20)="","",INDEX(SPOT_Import!$A$1:$Z$2488,373,'Live Data'!$C$20)),"")</f>
        <v>Complete</v>
      </c>
      <c r="J373" s="54" t="str">
        <f>IFERROR(IF(INDEX(SPOT_Import!$A$1:$Z$2488,373,'Live Data'!$C$21)="","",INDEX(SPOT_Import!$A$1:$Z$2488,373,'Live Data'!$C$21)),"")</f>
        <v>2026-10-05T10:55:43.000Z</v>
      </c>
      <c r="K373" s="54" t="str">
        <f>IFERROR(IF(INDEX(SPOT_Import!$A$1:$Z$2488,373,'Live Data'!$C$22)="","",INDEX(SPOT_Import!$A$1:$Z$2488,373,'Live Data'!$C$22)),"")</f>
        <v>2026-10-05T10:55:43.000Z</v>
      </c>
      <c r="L373" s="55" t="str">
        <f t="shared" si="10"/>
        <v>2026-10</v>
      </c>
      <c r="M373" s="55" t="str">
        <f t="shared" si="11"/>
        <v>NYANDARUA</v>
      </c>
      <c r="N373" s="55" t="str">
        <f>IF(A373="","",IFERROR(INDEX('Cluster Map'!$A$4:$A$38,MATCH(M373,'Cluster Map'!$B$4:$B$38,0)),"Unmapped"))</f>
        <v>Cluster 4</v>
      </c>
      <c r="O373" s="55">
        <f>IF(A373="",0,IF(COUNTIFS($A$2:A373,A373,$F$2:F373,F373,$L$2:L373,L373)=1,1,0))</f>
        <v>1</v>
      </c>
      <c r="P373" s="55">
        <f>IF(A373="",0,IF(AND(F373="C&amp;T",COUNTIFS($A$2:A373,A373,$F$2:F373,"C&amp;T")=1),1,0))</f>
        <v>1</v>
      </c>
    </row>
    <row r="374" spans="1:16" x14ac:dyDescent="0.35">
      <c r="A374" s="54">
        <f>IFERROR(IF(INDEX(SPOT_Import!$A$1:$Z$2488,374,'Live Data'!$C$12)="","",INDEX(SPOT_Import!$A$1:$Z$2488,374,'Live Data'!$C$12)),"")</f>
        <v>10851</v>
      </c>
      <c r="B374" s="54" t="str">
        <f>IFERROR(IF(INDEX(SPOT_Import!$A$1:$Z$2488,374,'Live Data'!$C$13)="","",INDEX(SPOT_Import!$A$1:$Z$2488,374,'Live Data'!$C$13)),"")</f>
        <v>New Mawingu Health Centre</v>
      </c>
      <c r="C374" s="54" t="str">
        <f>IFERROR(IF(INDEX(SPOT_Import!$A$1:$Z$2488,374,'Live Data'!$C$14)="","",INDEX(SPOT_Import!$A$1:$Z$2488,374,'Live Data'!$C$14)),"")</f>
        <v>NYANDARUA</v>
      </c>
      <c r="D374" s="54" t="str">
        <f>IFERROR(IF(INDEX(SPOT_Import!$A$1:$Z$2488,374,'Live Data'!$C$15)="","",INDEX(SPOT_Import!$A$1:$Z$2488,374,'Live Data'!$C$15)),"")</f>
        <v>Olkalou</v>
      </c>
      <c r="E374" s="54" t="str">
        <f>IFERROR(IF(INDEX(SPOT_Import!$A$1:$Z$2488,374,'Live Data'!$C$16)="","",INDEX(SPOT_Import!$A$1:$Z$2488,374,'Live Data'!$C$16)),"")</f>
        <v>USAID Jamii Tekelezi</v>
      </c>
      <c r="F374" s="54" t="str">
        <f>IFERROR(IF(INDEX(SPOT_Import!$A$1:$Z$2488,374,'Live Data'!$C$17)="","",INDEX(SPOT_Import!$A$1:$Z$2488,374,'Live Data'!$C$17)),"")</f>
        <v>C&amp;T</v>
      </c>
      <c r="G374" s="54">
        <f>IFERROR(IF(INDEX(SPOT_Import!$A$1:$Z$2488,374,'Live Data'!$C$18)="","",INDEX(SPOT_Import!$A$1:$Z$2488,374,'Live Data'!$C$18)),"")</f>
        <v>125</v>
      </c>
      <c r="H374" s="54">
        <f>IFERROR(IF(INDEX(SPOT_Import!$A$1:$Z$2488,374,'Live Data'!$C$19)="","",INDEX(SPOT_Import!$A$1:$Z$2488,374,'Live Data'!$C$19)),"")</f>
        <v>125</v>
      </c>
      <c r="I374" s="54" t="str">
        <f>IFERROR(IF(INDEX(SPOT_Import!$A$1:$Z$2488,374,'Live Data'!$C$20)="","",INDEX(SPOT_Import!$A$1:$Z$2488,374,'Live Data'!$C$20)),"")</f>
        <v>Complete</v>
      </c>
      <c r="J374" s="54" t="str">
        <f>IFERROR(IF(INDEX(SPOT_Import!$A$1:$Z$2488,374,'Live Data'!$C$21)="","",INDEX(SPOT_Import!$A$1:$Z$2488,374,'Live Data'!$C$21)),"")</f>
        <v>2026-10-05T10:50:51.000Z</v>
      </c>
      <c r="K374" s="54" t="str">
        <f>IFERROR(IF(INDEX(SPOT_Import!$A$1:$Z$2488,374,'Live Data'!$C$22)="","",INDEX(SPOT_Import!$A$1:$Z$2488,374,'Live Data'!$C$22)),"")</f>
        <v>2026-10-05T10:50:51.000Z</v>
      </c>
      <c r="L374" s="55" t="str">
        <f t="shared" si="10"/>
        <v>2026-10</v>
      </c>
      <c r="M374" s="55" t="str">
        <f t="shared" si="11"/>
        <v>NYANDARUA</v>
      </c>
      <c r="N374" s="55" t="str">
        <f>IF(A374="","",IFERROR(INDEX('Cluster Map'!$A$4:$A$38,MATCH(M374,'Cluster Map'!$B$4:$B$38,0)),"Unmapped"))</f>
        <v>Cluster 4</v>
      </c>
      <c r="O374" s="55">
        <f>IF(A374="",0,IF(COUNTIFS($A$2:A374,A374,$F$2:F374,F374,$L$2:L374,L374)=1,1,0))</f>
        <v>1</v>
      </c>
      <c r="P374" s="55">
        <f>IF(A374="",0,IF(AND(F374="C&amp;T",COUNTIFS($A$2:A374,A374,$F$2:F374,"C&amp;T")=1),1,0))</f>
        <v>1</v>
      </c>
    </row>
    <row r="375" spans="1:16" x14ac:dyDescent="0.35">
      <c r="A375" s="54">
        <f>IFERROR(IF(INDEX(SPOT_Import!$A$1:$Z$2488,375,'Live Data'!$C$12)="","",INDEX(SPOT_Import!$A$1:$Z$2488,375,'Live Data'!$C$12)),"")</f>
        <v>12453</v>
      </c>
      <c r="B375" s="54" t="str">
        <f>IFERROR(IF(INDEX(SPOT_Import!$A$1:$Z$2488,375,'Live Data'!$C$13)="","",INDEX(SPOT_Import!$A$1:$Z$2488,375,'Live Data'!$C$13)),"")</f>
        <v>Makengi Dispensary (Embu)</v>
      </c>
      <c r="C375" s="54" t="str">
        <f>IFERROR(IF(INDEX(SPOT_Import!$A$1:$Z$2488,375,'Live Data'!$C$14)="","",INDEX(SPOT_Import!$A$1:$Z$2488,375,'Live Data'!$C$14)),"")</f>
        <v>EMBU</v>
      </c>
      <c r="D375" s="54" t="str">
        <f>IFERROR(IF(INDEX(SPOT_Import!$A$1:$Z$2488,375,'Live Data'!$C$15)="","",INDEX(SPOT_Import!$A$1:$Z$2488,375,'Live Data'!$C$15)),"")</f>
        <v>Manyatta</v>
      </c>
      <c r="E375" s="54" t="str">
        <f>IFERROR(IF(INDEX(SPOT_Import!$A$1:$Z$2488,375,'Live Data'!$C$16)="","",INDEX(SPOT_Import!$A$1:$Z$2488,375,'Live Data'!$C$16)),"")</f>
        <v>USAID Jamii Tekelezi</v>
      </c>
      <c r="F375" s="54" t="str">
        <f>IFERROR(IF(INDEX(SPOT_Import!$A$1:$Z$2488,375,'Live Data'!$C$17)="","",INDEX(SPOT_Import!$A$1:$Z$2488,375,'Live Data'!$C$17)),"")</f>
        <v>MNCH</v>
      </c>
      <c r="G375" s="54">
        <f>IFERROR(IF(INDEX(SPOT_Import!$A$1:$Z$2488,375,'Live Data'!$C$18)="","",INDEX(SPOT_Import!$A$1:$Z$2488,375,'Live Data'!$C$18)),"")</f>
        <v>6</v>
      </c>
      <c r="H375" s="54">
        <f>IFERROR(IF(INDEX(SPOT_Import!$A$1:$Z$2488,375,'Live Data'!$C$19)="","",INDEX(SPOT_Import!$A$1:$Z$2488,375,'Live Data'!$C$19)),"")</f>
        <v>6</v>
      </c>
      <c r="I375" s="54" t="str">
        <f>IFERROR(IF(INDEX(SPOT_Import!$A$1:$Z$2488,375,'Live Data'!$C$20)="","",INDEX(SPOT_Import!$A$1:$Z$2488,375,'Live Data'!$C$20)),"")</f>
        <v>Complete</v>
      </c>
      <c r="J375" s="54" t="str">
        <f>IFERROR(IF(INDEX(SPOT_Import!$A$1:$Z$2488,375,'Live Data'!$C$21)="","",INDEX(SPOT_Import!$A$1:$Z$2488,375,'Live Data'!$C$21)),"")</f>
        <v>2026-10-05T10:38:41.000Z</v>
      </c>
      <c r="K375" s="54" t="str">
        <f>IFERROR(IF(INDEX(SPOT_Import!$A$1:$Z$2488,375,'Live Data'!$C$22)="","",INDEX(SPOT_Import!$A$1:$Z$2488,375,'Live Data'!$C$22)),"")</f>
        <v>2026-10-05T10:38:41.000Z</v>
      </c>
      <c r="L375" s="55" t="str">
        <f t="shared" si="10"/>
        <v>2026-10</v>
      </c>
      <c r="M375" s="55" t="str">
        <f t="shared" si="11"/>
        <v>EMBU</v>
      </c>
      <c r="N375" s="55" t="str">
        <f>IF(A375="","",IFERROR(INDEX('Cluster Map'!$A$4:$A$38,MATCH(M375,'Cluster Map'!$B$4:$B$38,0)),"Unmapped"))</f>
        <v>Cluster 2</v>
      </c>
      <c r="O375" s="55">
        <f>IF(A375="",0,IF(COUNTIFS($A$2:A375,A375,$F$2:F375,F375,$L$2:L375,L375)=1,1,0))</f>
        <v>1</v>
      </c>
      <c r="P375" s="55">
        <f>IF(A375="",0,IF(AND(F375="C&amp;T",COUNTIFS($A$2:A375,A375,$F$2:F375,"C&amp;T")=1),1,0))</f>
        <v>0</v>
      </c>
    </row>
    <row r="376" spans="1:16" x14ac:dyDescent="0.35">
      <c r="A376" s="54">
        <f>IFERROR(IF(INDEX(SPOT_Import!$A$1:$Z$2488,376,'Live Data'!$C$12)="","",INDEX(SPOT_Import!$A$1:$Z$2488,376,'Live Data'!$C$12)),"")</f>
        <v>12453</v>
      </c>
      <c r="B376" s="54" t="str">
        <f>IFERROR(IF(INDEX(SPOT_Import!$A$1:$Z$2488,376,'Live Data'!$C$13)="","",INDEX(SPOT_Import!$A$1:$Z$2488,376,'Live Data'!$C$13)),"")</f>
        <v>Makengi Dispensary (Embu)</v>
      </c>
      <c r="C376" s="54" t="str">
        <f>IFERROR(IF(INDEX(SPOT_Import!$A$1:$Z$2488,376,'Live Data'!$C$14)="","",INDEX(SPOT_Import!$A$1:$Z$2488,376,'Live Data'!$C$14)),"")</f>
        <v>EMBU</v>
      </c>
      <c r="D376" s="54" t="str">
        <f>IFERROR(IF(INDEX(SPOT_Import!$A$1:$Z$2488,376,'Live Data'!$C$15)="","",INDEX(SPOT_Import!$A$1:$Z$2488,376,'Live Data'!$C$15)),"")</f>
        <v>Manyatta</v>
      </c>
      <c r="E376" s="54" t="str">
        <f>IFERROR(IF(INDEX(SPOT_Import!$A$1:$Z$2488,376,'Live Data'!$C$16)="","",INDEX(SPOT_Import!$A$1:$Z$2488,376,'Live Data'!$C$16)),"")</f>
        <v>USAID Jamii Tekelezi</v>
      </c>
      <c r="F376" s="54" t="str">
        <f>IFERROR(IF(INDEX(SPOT_Import!$A$1:$Z$2488,376,'Live Data'!$C$17)="","",INDEX(SPOT_Import!$A$1:$Z$2488,376,'Live Data'!$C$17)),"")</f>
        <v>HTS</v>
      </c>
      <c r="G376" s="54">
        <f>IFERROR(IF(INDEX(SPOT_Import!$A$1:$Z$2488,376,'Live Data'!$C$18)="","",INDEX(SPOT_Import!$A$1:$Z$2488,376,'Live Data'!$C$18)),"")</f>
        <v>671</v>
      </c>
      <c r="H376" s="54">
        <f>IFERROR(IF(INDEX(SPOT_Import!$A$1:$Z$2488,376,'Live Data'!$C$19)="","",INDEX(SPOT_Import!$A$1:$Z$2488,376,'Live Data'!$C$19)),"")</f>
        <v>671</v>
      </c>
      <c r="I376" s="54" t="str">
        <f>IFERROR(IF(INDEX(SPOT_Import!$A$1:$Z$2488,376,'Live Data'!$C$20)="","",INDEX(SPOT_Import!$A$1:$Z$2488,376,'Live Data'!$C$20)),"")</f>
        <v>Complete</v>
      </c>
      <c r="J376" s="54" t="str">
        <f>IFERROR(IF(INDEX(SPOT_Import!$A$1:$Z$2488,376,'Live Data'!$C$21)="","",INDEX(SPOT_Import!$A$1:$Z$2488,376,'Live Data'!$C$21)),"")</f>
        <v>2026-10-05T10:35:24.000Z</v>
      </c>
      <c r="K376" s="54" t="str">
        <f>IFERROR(IF(INDEX(SPOT_Import!$A$1:$Z$2488,376,'Live Data'!$C$22)="","",INDEX(SPOT_Import!$A$1:$Z$2488,376,'Live Data'!$C$22)),"")</f>
        <v>2026-10-05T10:35:24.000Z</v>
      </c>
      <c r="L376" s="55" t="str">
        <f t="shared" si="10"/>
        <v>2026-10</v>
      </c>
      <c r="M376" s="55" t="str">
        <f t="shared" si="11"/>
        <v>EMBU</v>
      </c>
      <c r="N376" s="55" t="str">
        <f>IF(A376="","",IFERROR(INDEX('Cluster Map'!$A$4:$A$38,MATCH(M376,'Cluster Map'!$B$4:$B$38,0)),"Unmapped"))</f>
        <v>Cluster 2</v>
      </c>
      <c r="O376" s="55">
        <f>IF(A376="",0,IF(COUNTIFS($A$2:A376,A376,$F$2:F376,F376,$L$2:L376,L376)=1,1,0))</f>
        <v>1</v>
      </c>
      <c r="P376" s="55">
        <f>IF(A376="",0,IF(AND(F376="C&amp;T",COUNTIFS($A$2:A376,A376,$F$2:F376,"C&amp;T")=1),1,0))</f>
        <v>0</v>
      </c>
    </row>
    <row r="377" spans="1:16" x14ac:dyDescent="0.35">
      <c r="A377" s="54">
        <f>IFERROR(IF(INDEX(SPOT_Import!$A$1:$Z$2488,377,'Live Data'!$C$12)="","",INDEX(SPOT_Import!$A$1:$Z$2488,377,'Live Data'!$C$12)),"")</f>
        <v>12454</v>
      </c>
      <c r="B377" s="54" t="str">
        <f>IFERROR(IF(INDEX(SPOT_Import!$A$1:$Z$2488,377,'Live Data'!$C$13)="","",INDEX(SPOT_Import!$A$1:$Z$2488,377,'Live Data'!$C$13)),"")</f>
        <v>Makima Dispensary</v>
      </c>
      <c r="C377" s="54" t="str">
        <f>IFERROR(IF(INDEX(SPOT_Import!$A$1:$Z$2488,377,'Live Data'!$C$14)="","",INDEX(SPOT_Import!$A$1:$Z$2488,377,'Live Data'!$C$14)),"")</f>
        <v>EMBU</v>
      </c>
      <c r="D377" s="54" t="str">
        <f>IFERROR(IF(INDEX(SPOT_Import!$A$1:$Z$2488,377,'Live Data'!$C$15)="","",INDEX(SPOT_Import!$A$1:$Z$2488,377,'Live Data'!$C$15)),"")</f>
        <v>Mbeere South</v>
      </c>
      <c r="E377" s="54" t="str">
        <f>IFERROR(IF(INDEX(SPOT_Import!$A$1:$Z$2488,377,'Live Data'!$C$16)="","",INDEX(SPOT_Import!$A$1:$Z$2488,377,'Live Data'!$C$16)),"")</f>
        <v>USAID Jamii Tekelezi</v>
      </c>
      <c r="F377" s="54" t="str">
        <f>IFERROR(IF(INDEX(SPOT_Import!$A$1:$Z$2488,377,'Live Data'!$C$17)="","",INDEX(SPOT_Import!$A$1:$Z$2488,377,'Live Data'!$C$17)),"")</f>
        <v>PREP</v>
      </c>
      <c r="G377" s="54">
        <f>IFERROR(IF(INDEX(SPOT_Import!$A$1:$Z$2488,377,'Live Data'!$C$18)="","",INDEX(SPOT_Import!$A$1:$Z$2488,377,'Live Data'!$C$18)),"")</f>
        <v>12</v>
      </c>
      <c r="H377" s="54">
        <f>IFERROR(IF(INDEX(SPOT_Import!$A$1:$Z$2488,377,'Live Data'!$C$19)="","",INDEX(SPOT_Import!$A$1:$Z$2488,377,'Live Data'!$C$19)),"")</f>
        <v>12</v>
      </c>
      <c r="I377" s="54" t="str">
        <f>IFERROR(IF(INDEX(SPOT_Import!$A$1:$Z$2488,377,'Live Data'!$C$20)="","",INDEX(SPOT_Import!$A$1:$Z$2488,377,'Live Data'!$C$20)),"")</f>
        <v>Complete</v>
      </c>
      <c r="J377" s="54" t="str">
        <f>IFERROR(IF(INDEX(SPOT_Import!$A$1:$Z$2488,377,'Live Data'!$C$21)="","",INDEX(SPOT_Import!$A$1:$Z$2488,377,'Live Data'!$C$21)),"")</f>
        <v>2026-10-05T10:32:39.000Z</v>
      </c>
      <c r="K377" s="54" t="str">
        <f>IFERROR(IF(INDEX(SPOT_Import!$A$1:$Z$2488,377,'Live Data'!$C$22)="","",INDEX(SPOT_Import!$A$1:$Z$2488,377,'Live Data'!$C$22)),"")</f>
        <v>2026-10-05T10:32:39.000Z</v>
      </c>
      <c r="L377" s="55" t="str">
        <f t="shared" si="10"/>
        <v>2026-10</v>
      </c>
      <c r="M377" s="55" t="str">
        <f t="shared" si="11"/>
        <v>EMBU</v>
      </c>
      <c r="N377" s="55" t="str">
        <f>IF(A377="","",IFERROR(INDEX('Cluster Map'!$A$4:$A$38,MATCH(M377,'Cluster Map'!$B$4:$B$38,0)),"Unmapped"))</f>
        <v>Cluster 2</v>
      </c>
      <c r="O377" s="55">
        <f>IF(A377="",0,IF(COUNTIFS($A$2:A377,A377,$F$2:F377,F377,$L$2:L377,L377)=1,1,0))</f>
        <v>1</v>
      </c>
      <c r="P377" s="55">
        <f>IF(A377="",0,IF(AND(F377="C&amp;T",COUNTIFS($A$2:A377,A377,$F$2:F377,"C&amp;T")=1),1,0))</f>
        <v>0</v>
      </c>
    </row>
    <row r="378" spans="1:16" x14ac:dyDescent="0.35">
      <c r="A378" s="54">
        <f>IFERROR(IF(INDEX(SPOT_Import!$A$1:$Z$2488,378,'Live Data'!$C$12)="","",INDEX(SPOT_Import!$A$1:$Z$2488,378,'Live Data'!$C$12)),"")</f>
        <v>12454</v>
      </c>
      <c r="B378" s="54" t="str">
        <f>IFERROR(IF(INDEX(SPOT_Import!$A$1:$Z$2488,378,'Live Data'!$C$13)="","",INDEX(SPOT_Import!$A$1:$Z$2488,378,'Live Data'!$C$13)),"")</f>
        <v>Makima Dispensary</v>
      </c>
      <c r="C378" s="54" t="str">
        <f>IFERROR(IF(INDEX(SPOT_Import!$A$1:$Z$2488,378,'Live Data'!$C$14)="","",INDEX(SPOT_Import!$A$1:$Z$2488,378,'Live Data'!$C$14)),"")</f>
        <v>EMBU</v>
      </c>
      <c r="D378" s="54" t="str">
        <f>IFERROR(IF(INDEX(SPOT_Import!$A$1:$Z$2488,378,'Live Data'!$C$15)="","",INDEX(SPOT_Import!$A$1:$Z$2488,378,'Live Data'!$C$15)),"")</f>
        <v>Mbeere South</v>
      </c>
      <c r="E378" s="54" t="str">
        <f>IFERROR(IF(INDEX(SPOT_Import!$A$1:$Z$2488,378,'Live Data'!$C$16)="","",INDEX(SPOT_Import!$A$1:$Z$2488,378,'Live Data'!$C$16)),"")</f>
        <v>USAID Jamii Tekelezi</v>
      </c>
      <c r="F378" s="54" t="str">
        <f>IFERROR(IF(INDEX(SPOT_Import!$A$1:$Z$2488,378,'Live Data'!$C$17)="","",INDEX(SPOT_Import!$A$1:$Z$2488,378,'Live Data'!$C$17)),"")</f>
        <v>MNCH</v>
      </c>
      <c r="G378" s="54">
        <f>IFERROR(IF(INDEX(SPOT_Import!$A$1:$Z$2488,378,'Live Data'!$C$18)="","",INDEX(SPOT_Import!$A$1:$Z$2488,378,'Live Data'!$C$18)),"")</f>
        <v>21</v>
      </c>
      <c r="H378" s="54">
        <f>IFERROR(IF(INDEX(SPOT_Import!$A$1:$Z$2488,378,'Live Data'!$C$19)="","",INDEX(SPOT_Import!$A$1:$Z$2488,378,'Live Data'!$C$19)),"")</f>
        <v>21</v>
      </c>
      <c r="I378" s="54" t="str">
        <f>IFERROR(IF(INDEX(SPOT_Import!$A$1:$Z$2488,378,'Live Data'!$C$20)="","",INDEX(SPOT_Import!$A$1:$Z$2488,378,'Live Data'!$C$20)),"")</f>
        <v>Complete</v>
      </c>
      <c r="J378" s="54" t="str">
        <f>IFERROR(IF(INDEX(SPOT_Import!$A$1:$Z$2488,378,'Live Data'!$C$21)="","",INDEX(SPOT_Import!$A$1:$Z$2488,378,'Live Data'!$C$21)),"")</f>
        <v>2026-10-05T10:32:20.000Z</v>
      </c>
      <c r="K378" s="54" t="str">
        <f>IFERROR(IF(INDEX(SPOT_Import!$A$1:$Z$2488,378,'Live Data'!$C$22)="","",INDEX(SPOT_Import!$A$1:$Z$2488,378,'Live Data'!$C$22)),"")</f>
        <v>2026-10-05T10:32:20.000Z</v>
      </c>
      <c r="L378" s="55" t="str">
        <f t="shared" si="10"/>
        <v>2026-10</v>
      </c>
      <c r="M378" s="55" t="str">
        <f t="shared" si="11"/>
        <v>EMBU</v>
      </c>
      <c r="N378" s="55" t="str">
        <f>IF(A378="","",IFERROR(INDEX('Cluster Map'!$A$4:$A$38,MATCH(M378,'Cluster Map'!$B$4:$B$38,0)),"Unmapped"))</f>
        <v>Cluster 2</v>
      </c>
      <c r="O378" s="55">
        <f>IF(A378="",0,IF(COUNTIFS($A$2:A378,A378,$F$2:F378,F378,$L$2:L378,L378)=1,1,0))</f>
        <v>1</v>
      </c>
      <c r="P378" s="55">
        <f>IF(A378="",0,IF(AND(F378="C&amp;T",COUNTIFS($A$2:A378,A378,$F$2:F378,"C&amp;T")=1),1,0))</f>
        <v>0</v>
      </c>
    </row>
    <row r="379" spans="1:16" x14ac:dyDescent="0.35">
      <c r="A379" s="54">
        <f>IFERROR(IF(INDEX(SPOT_Import!$A$1:$Z$2488,379,'Live Data'!$C$12)="","",INDEX(SPOT_Import!$A$1:$Z$2488,379,'Live Data'!$C$12)),"")</f>
        <v>12454</v>
      </c>
      <c r="B379" s="54" t="str">
        <f>IFERROR(IF(INDEX(SPOT_Import!$A$1:$Z$2488,379,'Live Data'!$C$13)="","",INDEX(SPOT_Import!$A$1:$Z$2488,379,'Live Data'!$C$13)),"")</f>
        <v>Makima Dispensary</v>
      </c>
      <c r="C379" s="54" t="str">
        <f>IFERROR(IF(INDEX(SPOT_Import!$A$1:$Z$2488,379,'Live Data'!$C$14)="","",INDEX(SPOT_Import!$A$1:$Z$2488,379,'Live Data'!$C$14)),"")</f>
        <v>EMBU</v>
      </c>
      <c r="D379" s="54" t="str">
        <f>IFERROR(IF(INDEX(SPOT_Import!$A$1:$Z$2488,379,'Live Data'!$C$15)="","",INDEX(SPOT_Import!$A$1:$Z$2488,379,'Live Data'!$C$15)),"")</f>
        <v>Mbeere South</v>
      </c>
      <c r="E379" s="54" t="str">
        <f>IFERROR(IF(INDEX(SPOT_Import!$A$1:$Z$2488,379,'Live Data'!$C$16)="","",INDEX(SPOT_Import!$A$1:$Z$2488,379,'Live Data'!$C$16)),"")</f>
        <v>USAID Jamii Tekelezi</v>
      </c>
      <c r="F379" s="54" t="str">
        <f>IFERROR(IF(INDEX(SPOT_Import!$A$1:$Z$2488,379,'Live Data'!$C$17)="","",INDEX(SPOT_Import!$A$1:$Z$2488,379,'Live Data'!$C$17)),"")</f>
        <v>HTS</v>
      </c>
      <c r="G379" s="54">
        <f>IFERROR(IF(INDEX(SPOT_Import!$A$1:$Z$2488,379,'Live Data'!$C$18)="","",INDEX(SPOT_Import!$A$1:$Z$2488,379,'Live Data'!$C$18)),"")</f>
        <v>23</v>
      </c>
      <c r="H379" s="54">
        <f>IFERROR(IF(INDEX(SPOT_Import!$A$1:$Z$2488,379,'Live Data'!$C$19)="","",INDEX(SPOT_Import!$A$1:$Z$2488,379,'Live Data'!$C$19)),"")</f>
        <v>23</v>
      </c>
      <c r="I379" s="54" t="str">
        <f>IFERROR(IF(INDEX(SPOT_Import!$A$1:$Z$2488,379,'Live Data'!$C$20)="","",INDEX(SPOT_Import!$A$1:$Z$2488,379,'Live Data'!$C$20)),"")</f>
        <v>Complete</v>
      </c>
      <c r="J379" s="54" t="str">
        <f>IFERROR(IF(INDEX(SPOT_Import!$A$1:$Z$2488,379,'Live Data'!$C$21)="","",INDEX(SPOT_Import!$A$1:$Z$2488,379,'Live Data'!$C$21)),"")</f>
        <v>2026-10-05T10:32:07.000Z</v>
      </c>
      <c r="K379" s="54" t="str">
        <f>IFERROR(IF(INDEX(SPOT_Import!$A$1:$Z$2488,379,'Live Data'!$C$22)="","",INDEX(SPOT_Import!$A$1:$Z$2488,379,'Live Data'!$C$22)),"")</f>
        <v>2026-10-05T10:32:07.000Z</v>
      </c>
      <c r="L379" s="55" t="str">
        <f t="shared" si="10"/>
        <v>2026-10</v>
      </c>
      <c r="M379" s="55" t="str">
        <f t="shared" si="11"/>
        <v>EMBU</v>
      </c>
      <c r="N379" s="55" t="str">
        <f>IF(A379="","",IFERROR(INDEX('Cluster Map'!$A$4:$A$38,MATCH(M379,'Cluster Map'!$B$4:$B$38,0)),"Unmapped"))</f>
        <v>Cluster 2</v>
      </c>
      <c r="O379" s="55">
        <f>IF(A379="",0,IF(COUNTIFS($A$2:A379,A379,$F$2:F379,F379,$L$2:L379,L379)=1,1,0))</f>
        <v>1</v>
      </c>
      <c r="P379" s="55">
        <f>IF(A379="",0,IF(AND(F379="C&amp;T",COUNTIFS($A$2:A379,A379,$F$2:F379,"C&amp;T")=1),1,0))</f>
        <v>0</v>
      </c>
    </row>
    <row r="380" spans="1:16" x14ac:dyDescent="0.35">
      <c r="A380" s="54">
        <f>IFERROR(IF(INDEX(SPOT_Import!$A$1:$Z$2488,380,'Live Data'!$C$12)="","",INDEX(SPOT_Import!$A$1:$Z$2488,380,'Live Data'!$C$12)),"")</f>
        <v>12453</v>
      </c>
      <c r="B380" s="54" t="str">
        <f>IFERROR(IF(INDEX(SPOT_Import!$A$1:$Z$2488,380,'Live Data'!$C$13)="","",INDEX(SPOT_Import!$A$1:$Z$2488,380,'Live Data'!$C$13)),"")</f>
        <v>Makengi Dispensary (Embu)</v>
      </c>
      <c r="C380" s="54" t="str">
        <f>IFERROR(IF(INDEX(SPOT_Import!$A$1:$Z$2488,380,'Live Data'!$C$14)="","",INDEX(SPOT_Import!$A$1:$Z$2488,380,'Live Data'!$C$14)),"")</f>
        <v>EMBU</v>
      </c>
      <c r="D380" s="54" t="str">
        <f>IFERROR(IF(INDEX(SPOT_Import!$A$1:$Z$2488,380,'Live Data'!$C$15)="","",INDEX(SPOT_Import!$A$1:$Z$2488,380,'Live Data'!$C$15)),"")</f>
        <v>Manyatta</v>
      </c>
      <c r="E380" s="54" t="str">
        <f>IFERROR(IF(INDEX(SPOT_Import!$A$1:$Z$2488,380,'Live Data'!$C$16)="","",INDEX(SPOT_Import!$A$1:$Z$2488,380,'Live Data'!$C$16)),"")</f>
        <v>USAID Jamii Tekelezi</v>
      </c>
      <c r="F380" s="54" t="str">
        <f>IFERROR(IF(INDEX(SPOT_Import!$A$1:$Z$2488,380,'Live Data'!$C$17)="","",INDEX(SPOT_Import!$A$1:$Z$2488,380,'Live Data'!$C$17)),"")</f>
        <v>C&amp;T</v>
      </c>
      <c r="G380" s="54">
        <f>IFERROR(IF(INDEX(SPOT_Import!$A$1:$Z$2488,380,'Live Data'!$C$18)="","",INDEX(SPOT_Import!$A$1:$Z$2488,380,'Live Data'!$C$18)),"")</f>
        <v>133</v>
      </c>
      <c r="H380" s="54">
        <f>IFERROR(IF(INDEX(SPOT_Import!$A$1:$Z$2488,380,'Live Data'!$C$19)="","",INDEX(SPOT_Import!$A$1:$Z$2488,380,'Live Data'!$C$19)),"")</f>
        <v>133</v>
      </c>
      <c r="I380" s="54" t="str">
        <f>IFERROR(IF(INDEX(SPOT_Import!$A$1:$Z$2488,380,'Live Data'!$C$20)="","",INDEX(SPOT_Import!$A$1:$Z$2488,380,'Live Data'!$C$20)),"")</f>
        <v>Complete</v>
      </c>
      <c r="J380" s="54" t="str">
        <f>IFERROR(IF(INDEX(SPOT_Import!$A$1:$Z$2488,380,'Live Data'!$C$21)="","",INDEX(SPOT_Import!$A$1:$Z$2488,380,'Live Data'!$C$21)),"")</f>
        <v>2026-10-05T10:17:01.000Z</v>
      </c>
      <c r="K380" s="54" t="str">
        <f>IFERROR(IF(INDEX(SPOT_Import!$A$1:$Z$2488,380,'Live Data'!$C$22)="","",INDEX(SPOT_Import!$A$1:$Z$2488,380,'Live Data'!$C$22)),"")</f>
        <v>2026-10-05T10:17:01.000Z</v>
      </c>
      <c r="L380" s="55" t="str">
        <f t="shared" si="10"/>
        <v>2026-10</v>
      </c>
      <c r="M380" s="55" t="str">
        <f t="shared" si="11"/>
        <v>EMBU</v>
      </c>
      <c r="N380" s="55" t="str">
        <f>IF(A380="","",IFERROR(INDEX('Cluster Map'!$A$4:$A$38,MATCH(M380,'Cluster Map'!$B$4:$B$38,0)),"Unmapped"))</f>
        <v>Cluster 2</v>
      </c>
      <c r="O380" s="55">
        <f>IF(A380="",0,IF(COUNTIFS($A$2:A380,A380,$F$2:F380,F380,$L$2:L380,L380)=1,1,0))</f>
        <v>1</v>
      </c>
      <c r="P380" s="55">
        <f>IF(A380="",0,IF(AND(F380="C&amp;T",COUNTIFS($A$2:A380,A380,$F$2:F380,"C&amp;T")=1),1,0))</f>
        <v>1</v>
      </c>
    </row>
    <row r="381" spans="1:16" x14ac:dyDescent="0.35">
      <c r="A381" s="54">
        <f>IFERROR(IF(INDEX(SPOT_Import!$A$1:$Z$2488,381,'Live Data'!$C$12)="","",INDEX(SPOT_Import!$A$1:$Z$2488,381,'Live Data'!$C$12)),"")</f>
        <v>16234</v>
      </c>
      <c r="B381" s="54" t="str">
        <f>IFERROR(IF(INDEX(SPOT_Import!$A$1:$Z$2488,381,'Live Data'!$C$13)="","",INDEX(SPOT_Import!$A$1:$Z$2488,381,'Live Data'!$C$13)),"")</f>
        <v>Miathene District Hospital</v>
      </c>
      <c r="C381" s="54" t="str">
        <f>IFERROR(IF(INDEX(SPOT_Import!$A$1:$Z$2488,381,'Live Data'!$C$14)="","",INDEX(SPOT_Import!$A$1:$Z$2488,381,'Live Data'!$C$14)),"")</f>
        <v>MERU</v>
      </c>
      <c r="D381" s="54" t="str">
        <f>IFERROR(IF(INDEX(SPOT_Import!$A$1:$Z$2488,381,'Live Data'!$C$15)="","",INDEX(SPOT_Import!$A$1:$Z$2488,381,'Live Data'!$C$15)),"")</f>
        <v>Tigania West</v>
      </c>
      <c r="E381" s="54" t="str">
        <f>IFERROR(IF(INDEX(SPOT_Import!$A$1:$Z$2488,381,'Live Data'!$C$16)="","",INDEX(SPOT_Import!$A$1:$Z$2488,381,'Live Data'!$C$16)),"")</f>
        <v>USAID Jamii Tekelezi</v>
      </c>
      <c r="F381" s="54" t="str">
        <f>IFERROR(IF(INDEX(SPOT_Import!$A$1:$Z$2488,381,'Live Data'!$C$17)="","",INDEX(SPOT_Import!$A$1:$Z$2488,381,'Live Data'!$C$17)),"")</f>
        <v>PREP</v>
      </c>
      <c r="G381" s="54">
        <f>IFERROR(IF(INDEX(SPOT_Import!$A$1:$Z$2488,381,'Live Data'!$C$18)="","",INDEX(SPOT_Import!$A$1:$Z$2488,381,'Live Data'!$C$18)),"")</f>
        <v>407</v>
      </c>
      <c r="H381" s="54">
        <f>IFERROR(IF(INDEX(SPOT_Import!$A$1:$Z$2488,381,'Live Data'!$C$19)="","",INDEX(SPOT_Import!$A$1:$Z$2488,381,'Live Data'!$C$19)),"")</f>
        <v>200</v>
      </c>
      <c r="I381" s="54" t="str">
        <f>IFERROR(IF(INDEX(SPOT_Import!$A$1:$Z$2488,381,'Live Data'!$C$20)="","",INDEX(SPOT_Import!$A$1:$Z$2488,381,'Live Data'!$C$20)),"")</f>
        <v>Incomplete</v>
      </c>
      <c r="J381" s="54" t="str">
        <f>IFERROR(IF(INDEX(SPOT_Import!$A$1:$Z$2488,381,'Live Data'!$C$21)="","",INDEX(SPOT_Import!$A$1:$Z$2488,381,'Live Data'!$C$21)),"")</f>
        <v>2026-10-05T10:04:38.000Z</v>
      </c>
      <c r="K381" s="54" t="str">
        <f>IFERROR(IF(INDEX(SPOT_Import!$A$1:$Z$2488,381,'Live Data'!$C$22)="","",INDEX(SPOT_Import!$A$1:$Z$2488,381,'Live Data'!$C$22)),"")</f>
        <v>2026-10-05T10:04:38.000Z</v>
      </c>
      <c r="L381" s="55" t="str">
        <f t="shared" si="10"/>
        <v>2026-10</v>
      </c>
      <c r="M381" s="55" t="str">
        <f t="shared" si="11"/>
        <v>MERU</v>
      </c>
      <c r="N381" s="55" t="str">
        <f>IF(A381="","",IFERROR(INDEX('Cluster Map'!$A$4:$A$38,MATCH(M381,'Cluster Map'!$B$4:$B$38,0)),"Unmapped"))</f>
        <v>Cluster 1</v>
      </c>
      <c r="O381" s="55">
        <f>IF(A381="",0,IF(COUNTIFS($A$2:A381,A381,$F$2:F381,F381,$L$2:L381,L381)=1,1,0))</f>
        <v>1</v>
      </c>
      <c r="P381" s="55">
        <f>IF(A381="",0,IF(AND(F381="C&amp;T",COUNTIFS($A$2:A381,A381,$F$2:F381,"C&amp;T")=1),1,0))</f>
        <v>0</v>
      </c>
    </row>
    <row r="382" spans="1:16" x14ac:dyDescent="0.35">
      <c r="A382" s="54">
        <f>IFERROR(IF(INDEX(SPOT_Import!$A$1:$Z$2488,382,'Live Data'!$C$12)="","",INDEX(SPOT_Import!$A$1:$Z$2488,382,'Live Data'!$C$12)),"")</f>
        <v>12454</v>
      </c>
      <c r="B382" s="54" t="str">
        <f>IFERROR(IF(INDEX(SPOT_Import!$A$1:$Z$2488,382,'Live Data'!$C$13)="","",INDEX(SPOT_Import!$A$1:$Z$2488,382,'Live Data'!$C$13)),"")</f>
        <v>Makima Dispensary</v>
      </c>
      <c r="C382" s="54" t="str">
        <f>IFERROR(IF(INDEX(SPOT_Import!$A$1:$Z$2488,382,'Live Data'!$C$14)="","",INDEX(SPOT_Import!$A$1:$Z$2488,382,'Live Data'!$C$14)),"")</f>
        <v>EMBU</v>
      </c>
      <c r="D382" s="54" t="str">
        <f>IFERROR(IF(INDEX(SPOT_Import!$A$1:$Z$2488,382,'Live Data'!$C$15)="","",INDEX(SPOT_Import!$A$1:$Z$2488,382,'Live Data'!$C$15)),"")</f>
        <v>Mbeere South</v>
      </c>
      <c r="E382" s="54" t="str">
        <f>IFERROR(IF(INDEX(SPOT_Import!$A$1:$Z$2488,382,'Live Data'!$C$16)="","",INDEX(SPOT_Import!$A$1:$Z$2488,382,'Live Data'!$C$16)),"")</f>
        <v>USAID Jamii Tekelezi</v>
      </c>
      <c r="F382" s="54" t="str">
        <f>IFERROR(IF(INDEX(SPOT_Import!$A$1:$Z$2488,382,'Live Data'!$C$17)="","",INDEX(SPOT_Import!$A$1:$Z$2488,382,'Live Data'!$C$17)),"")</f>
        <v>C&amp;T</v>
      </c>
      <c r="G382" s="54">
        <f>IFERROR(IF(INDEX(SPOT_Import!$A$1:$Z$2488,382,'Live Data'!$C$18)="","",INDEX(SPOT_Import!$A$1:$Z$2488,382,'Live Data'!$C$18)),"")</f>
        <v>142</v>
      </c>
      <c r="H382" s="54">
        <f>IFERROR(IF(INDEX(SPOT_Import!$A$1:$Z$2488,382,'Live Data'!$C$19)="","",INDEX(SPOT_Import!$A$1:$Z$2488,382,'Live Data'!$C$19)),"")</f>
        <v>142</v>
      </c>
      <c r="I382" s="54" t="str">
        <f>IFERROR(IF(INDEX(SPOT_Import!$A$1:$Z$2488,382,'Live Data'!$C$20)="","",INDEX(SPOT_Import!$A$1:$Z$2488,382,'Live Data'!$C$20)),"")</f>
        <v>Complete</v>
      </c>
      <c r="J382" s="54" t="str">
        <f>IFERROR(IF(INDEX(SPOT_Import!$A$1:$Z$2488,382,'Live Data'!$C$21)="","",INDEX(SPOT_Import!$A$1:$Z$2488,382,'Live Data'!$C$21)),"")</f>
        <v>2026-10-05T10:03:18.000Z</v>
      </c>
      <c r="K382" s="54" t="str">
        <f>IFERROR(IF(INDEX(SPOT_Import!$A$1:$Z$2488,382,'Live Data'!$C$22)="","",INDEX(SPOT_Import!$A$1:$Z$2488,382,'Live Data'!$C$22)),"")</f>
        <v>2026-10-05T10:03:18.000Z</v>
      </c>
      <c r="L382" s="55" t="str">
        <f t="shared" si="10"/>
        <v>2026-10</v>
      </c>
      <c r="M382" s="55" t="str">
        <f t="shared" si="11"/>
        <v>EMBU</v>
      </c>
      <c r="N382" s="55" t="str">
        <f>IF(A382="","",IFERROR(INDEX('Cluster Map'!$A$4:$A$38,MATCH(M382,'Cluster Map'!$B$4:$B$38,0)),"Unmapped"))</f>
        <v>Cluster 2</v>
      </c>
      <c r="O382" s="55">
        <f>IF(A382="",0,IF(COUNTIFS($A$2:A382,A382,$F$2:F382,F382,$L$2:L382,L382)=1,1,0))</f>
        <v>1</v>
      </c>
      <c r="P382" s="55">
        <f>IF(A382="",0,IF(AND(F382="C&amp;T",COUNTIFS($A$2:A382,A382,$F$2:F382,"C&amp;T")=1),1,0))</f>
        <v>1</v>
      </c>
    </row>
    <row r="383" spans="1:16" x14ac:dyDescent="0.35">
      <c r="A383" s="54">
        <f>IFERROR(IF(INDEX(SPOT_Import!$A$1:$Z$2488,383,'Live Data'!$C$12)="","",INDEX(SPOT_Import!$A$1:$Z$2488,383,'Live Data'!$C$12)),"")</f>
        <v>16234</v>
      </c>
      <c r="B383" s="54" t="str">
        <f>IFERROR(IF(INDEX(SPOT_Import!$A$1:$Z$2488,383,'Live Data'!$C$13)="","",INDEX(SPOT_Import!$A$1:$Z$2488,383,'Live Data'!$C$13)),"")</f>
        <v>Miathene District Hospital</v>
      </c>
      <c r="C383" s="54" t="str">
        <f>IFERROR(IF(INDEX(SPOT_Import!$A$1:$Z$2488,383,'Live Data'!$C$14)="","",INDEX(SPOT_Import!$A$1:$Z$2488,383,'Live Data'!$C$14)),"")</f>
        <v>MERU</v>
      </c>
      <c r="D383" s="54" t="str">
        <f>IFERROR(IF(INDEX(SPOT_Import!$A$1:$Z$2488,383,'Live Data'!$C$15)="","",INDEX(SPOT_Import!$A$1:$Z$2488,383,'Live Data'!$C$15)),"")</f>
        <v>Tigania West</v>
      </c>
      <c r="E383" s="54" t="str">
        <f>IFERROR(IF(INDEX(SPOT_Import!$A$1:$Z$2488,383,'Live Data'!$C$16)="","",INDEX(SPOT_Import!$A$1:$Z$2488,383,'Live Data'!$C$16)),"")</f>
        <v>USAID Jamii Tekelezi</v>
      </c>
      <c r="F383" s="54" t="str">
        <f>IFERROR(IF(INDEX(SPOT_Import!$A$1:$Z$2488,383,'Live Data'!$C$17)="","",INDEX(SPOT_Import!$A$1:$Z$2488,383,'Live Data'!$C$17)),"")</f>
        <v>MNCH</v>
      </c>
      <c r="G383" s="54">
        <f>IFERROR(IF(INDEX(SPOT_Import!$A$1:$Z$2488,383,'Live Data'!$C$18)="","",INDEX(SPOT_Import!$A$1:$Z$2488,383,'Live Data'!$C$18)),"")</f>
        <v>235</v>
      </c>
      <c r="H383" s="54">
        <f>IFERROR(IF(INDEX(SPOT_Import!$A$1:$Z$2488,383,'Live Data'!$C$19)="","",INDEX(SPOT_Import!$A$1:$Z$2488,383,'Live Data'!$C$19)),"")</f>
        <v>235</v>
      </c>
      <c r="I383" s="54" t="str">
        <f>IFERROR(IF(INDEX(SPOT_Import!$A$1:$Z$2488,383,'Live Data'!$C$20)="","",INDEX(SPOT_Import!$A$1:$Z$2488,383,'Live Data'!$C$20)),"")</f>
        <v>Complete</v>
      </c>
      <c r="J383" s="54" t="str">
        <f>IFERROR(IF(INDEX(SPOT_Import!$A$1:$Z$2488,383,'Live Data'!$C$21)="","",INDEX(SPOT_Import!$A$1:$Z$2488,383,'Live Data'!$C$21)),"")</f>
        <v>2026-10-05T10:00:56.000Z</v>
      </c>
      <c r="K383" s="54" t="str">
        <f>IFERROR(IF(INDEX(SPOT_Import!$A$1:$Z$2488,383,'Live Data'!$C$22)="","",INDEX(SPOT_Import!$A$1:$Z$2488,383,'Live Data'!$C$22)),"")</f>
        <v>2026-10-05T10:00:56.000Z</v>
      </c>
      <c r="L383" s="55" t="str">
        <f t="shared" si="10"/>
        <v>2026-10</v>
      </c>
      <c r="M383" s="55" t="str">
        <f t="shared" si="11"/>
        <v>MERU</v>
      </c>
      <c r="N383" s="55" t="str">
        <f>IF(A383="","",IFERROR(INDEX('Cluster Map'!$A$4:$A$38,MATCH(M383,'Cluster Map'!$B$4:$B$38,0)),"Unmapped"))</f>
        <v>Cluster 1</v>
      </c>
      <c r="O383" s="55">
        <f>IF(A383="",0,IF(COUNTIFS($A$2:A383,A383,$F$2:F383,F383,$L$2:L383,L383)=1,1,0))</f>
        <v>1</v>
      </c>
      <c r="P383" s="55">
        <f>IF(A383="",0,IF(AND(F383="C&amp;T",COUNTIFS($A$2:A383,A383,$F$2:F383,"C&amp;T")=1),1,0))</f>
        <v>0</v>
      </c>
    </row>
    <row r="384" spans="1:16" x14ac:dyDescent="0.35">
      <c r="A384" s="54">
        <f>IFERROR(IF(INDEX(SPOT_Import!$A$1:$Z$2488,384,'Live Data'!$C$12)="","",INDEX(SPOT_Import!$A$1:$Z$2488,384,'Live Data'!$C$12)),"")</f>
        <v>10481</v>
      </c>
      <c r="B384" s="54" t="str">
        <f>IFERROR(IF(INDEX(SPOT_Import!$A$1:$Z$2488,384,'Live Data'!$C$13)="","",INDEX(SPOT_Import!$A$1:$Z$2488,384,'Live Data'!$C$13)),"")</f>
        <v>Karangatha Health Centre</v>
      </c>
      <c r="C384" s="54" t="str">
        <f>IFERROR(IF(INDEX(SPOT_Import!$A$1:$Z$2488,384,'Live Data'!$C$14)="","",INDEX(SPOT_Import!$A$1:$Z$2488,384,'Live Data'!$C$14)),"")</f>
        <v>NYANDARUA</v>
      </c>
      <c r="D384" s="54" t="str">
        <f>IFERROR(IF(INDEX(SPOT_Import!$A$1:$Z$2488,384,'Live Data'!$C$15)="","",INDEX(SPOT_Import!$A$1:$Z$2488,384,'Live Data'!$C$15)),"")</f>
        <v>Kinangop</v>
      </c>
      <c r="E384" s="54" t="str">
        <f>IFERROR(IF(INDEX(SPOT_Import!$A$1:$Z$2488,384,'Live Data'!$C$16)="","",INDEX(SPOT_Import!$A$1:$Z$2488,384,'Live Data'!$C$16)),"")</f>
        <v>USAID Jamii Tekelezi</v>
      </c>
      <c r="F384" s="54" t="str">
        <f>IFERROR(IF(INDEX(SPOT_Import!$A$1:$Z$2488,384,'Live Data'!$C$17)="","",INDEX(SPOT_Import!$A$1:$Z$2488,384,'Live Data'!$C$17)),"")</f>
        <v>PREP</v>
      </c>
      <c r="G384" s="54">
        <f>IFERROR(IF(INDEX(SPOT_Import!$A$1:$Z$2488,384,'Live Data'!$C$18)="","",INDEX(SPOT_Import!$A$1:$Z$2488,384,'Live Data'!$C$18)),"")</f>
        <v>91</v>
      </c>
      <c r="H384" s="54">
        <f>IFERROR(IF(INDEX(SPOT_Import!$A$1:$Z$2488,384,'Live Data'!$C$19)="","",INDEX(SPOT_Import!$A$1:$Z$2488,384,'Live Data'!$C$19)),"")</f>
        <v>91</v>
      </c>
      <c r="I384" s="54" t="str">
        <f>IFERROR(IF(INDEX(SPOT_Import!$A$1:$Z$2488,384,'Live Data'!$C$20)="","",INDEX(SPOT_Import!$A$1:$Z$2488,384,'Live Data'!$C$20)),"")</f>
        <v>Complete</v>
      </c>
      <c r="J384" s="54" t="str">
        <f>IFERROR(IF(INDEX(SPOT_Import!$A$1:$Z$2488,384,'Live Data'!$C$21)="","",INDEX(SPOT_Import!$A$1:$Z$2488,384,'Live Data'!$C$21)),"")</f>
        <v>2026-10-05T10:00:37.000Z</v>
      </c>
      <c r="K384" s="54" t="str">
        <f>IFERROR(IF(INDEX(SPOT_Import!$A$1:$Z$2488,384,'Live Data'!$C$22)="","",INDEX(SPOT_Import!$A$1:$Z$2488,384,'Live Data'!$C$22)),"")</f>
        <v>2026-10-05T10:00:37.000Z</v>
      </c>
      <c r="L384" s="55" t="str">
        <f t="shared" si="10"/>
        <v>2026-10</v>
      </c>
      <c r="M384" s="55" t="str">
        <f t="shared" si="11"/>
        <v>NYANDARUA</v>
      </c>
      <c r="N384" s="55" t="str">
        <f>IF(A384="","",IFERROR(INDEX('Cluster Map'!$A$4:$A$38,MATCH(M384,'Cluster Map'!$B$4:$B$38,0)),"Unmapped"))</f>
        <v>Cluster 4</v>
      </c>
      <c r="O384" s="55">
        <f>IF(A384="",0,IF(COUNTIFS($A$2:A384,A384,$F$2:F384,F384,$L$2:L384,L384)=1,1,0))</f>
        <v>1</v>
      </c>
      <c r="P384" s="55">
        <f>IF(A384="",0,IF(AND(F384="C&amp;T",COUNTIFS($A$2:A384,A384,$F$2:F384,"C&amp;T")=1),1,0))</f>
        <v>0</v>
      </c>
    </row>
    <row r="385" spans="1:16" x14ac:dyDescent="0.35">
      <c r="A385" s="54">
        <f>IFERROR(IF(INDEX(SPOT_Import!$A$1:$Z$2488,385,'Live Data'!$C$12)="","",INDEX(SPOT_Import!$A$1:$Z$2488,385,'Live Data'!$C$12)),"")</f>
        <v>10481</v>
      </c>
      <c r="B385" s="54" t="str">
        <f>IFERROR(IF(INDEX(SPOT_Import!$A$1:$Z$2488,385,'Live Data'!$C$13)="","",INDEX(SPOT_Import!$A$1:$Z$2488,385,'Live Data'!$C$13)),"")</f>
        <v>Karangatha Health Centre</v>
      </c>
      <c r="C385" s="54" t="str">
        <f>IFERROR(IF(INDEX(SPOT_Import!$A$1:$Z$2488,385,'Live Data'!$C$14)="","",INDEX(SPOT_Import!$A$1:$Z$2488,385,'Live Data'!$C$14)),"")</f>
        <v>NYANDARUA</v>
      </c>
      <c r="D385" s="54" t="str">
        <f>IFERROR(IF(INDEX(SPOT_Import!$A$1:$Z$2488,385,'Live Data'!$C$15)="","",INDEX(SPOT_Import!$A$1:$Z$2488,385,'Live Data'!$C$15)),"")</f>
        <v>Kinangop</v>
      </c>
      <c r="E385" s="54" t="str">
        <f>IFERROR(IF(INDEX(SPOT_Import!$A$1:$Z$2488,385,'Live Data'!$C$16)="","",INDEX(SPOT_Import!$A$1:$Z$2488,385,'Live Data'!$C$16)),"")</f>
        <v>USAID Jamii Tekelezi</v>
      </c>
      <c r="F385" s="54" t="str">
        <f>IFERROR(IF(INDEX(SPOT_Import!$A$1:$Z$2488,385,'Live Data'!$C$17)="","",INDEX(SPOT_Import!$A$1:$Z$2488,385,'Live Data'!$C$17)),"")</f>
        <v>MNCH</v>
      </c>
      <c r="G385" s="54">
        <f>IFERROR(IF(INDEX(SPOT_Import!$A$1:$Z$2488,385,'Live Data'!$C$18)="","",INDEX(SPOT_Import!$A$1:$Z$2488,385,'Live Data'!$C$18)),"")</f>
        <v>100</v>
      </c>
      <c r="H385" s="54">
        <f>IFERROR(IF(INDEX(SPOT_Import!$A$1:$Z$2488,385,'Live Data'!$C$19)="","",INDEX(SPOT_Import!$A$1:$Z$2488,385,'Live Data'!$C$19)),"")</f>
        <v>100</v>
      </c>
      <c r="I385" s="54" t="str">
        <f>IFERROR(IF(INDEX(SPOT_Import!$A$1:$Z$2488,385,'Live Data'!$C$20)="","",INDEX(SPOT_Import!$A$1:$Z$2488,385,'Live Data'!$C$20)),"")</f>
        <v>Complete</v>
      </c>
      <c r="J385" s="54" t="str">
        <f>IFERROR(IF(INDEX(SPOT_Import!$A$1:$Z$2488,385,'Live Data'!$C$21)="","",INDEX(SPOT_Import!$A$1:$Z$2488,385,'Live Data'!$C$21)),"")</f>
        <v>2026-10-05T10:00:29.000Z</v>
      </c>
      <c r="K385" s="54" t="str">
        <f>IFERROR(IF(INDEX(SPOT_Import!$A$1:$Z$2488,385,'Live Data'!$C$22)="","",INDEX(SPOT_Import!$A$1:$Z$2488,385,'Live Data'!$C$22)),"")</f>
        <v>2026-10-05T10:00:29.000Z</v>
      </c>
      <c r="L385" s="55" t="str">
        <f t="shared" si="10"/>
        <v>2026-10</v>
      </c>
      <c r="M385" s="55" t="str">
        <f t="shared" si="11"/>
        <v>NYANDARUA</v>
      </c>
      <c r="N385" s="55" t="str">
        <f>IF(A385="","",IFERROR(INDEX('Cluster Map'!$A$4:$A$38,MATCH(M385,'Cluster Map'!$B$4:$B$38,0)),"Unmapped"))</f>
        <v>Cluster 4</v>
      </c>
      <c r="O385" s="55">
        <f>IF(A385="",0,IF(COUNTIFS($A$2:A385,A385,$F$2:F385,F385,$L$2:L385,L385)=1,1,0))</f>
        <v>1</v>
      </c>
      <c r="P385" s="55">
        <f>IF(A385="",0,IF(AND(F385="C&amp;T",COUNTIFS($A$2:A385,A385,$F$2:F385,"C&amp;T")=1),1,0))</f>
        <v>0</v>
      </c>
    </row>
    <row r="386" spans="1:16" x14ac:dyDescent="0.35">
      <c r="A386" s="54">
        <f>IFERROR(IF(INDEX(SPOT_Import!$A$1:$Z$2488,386,'Live Data'!$C$12)="","",INDEX(SPOT_Import!$A$1:$Z$2488,386,'Live Data'!$C$12)),"")</f>
        <v>10481</v>
      </c>
      <c r="B386" s="54" t="str">
        <f>IFERROR(IF(INDEX(SPOT_Import!$A$1:$Z$2488,386,'Live Data'!$C$13)="","",INDEX(SPOT_Import!$A$1:$Z$2488,386,'Live Data'!$C$13)),"")</f>
        <v>Karangatha Health Centre</v>
      </c>
      <c r="C386" s="54" t="str">
        <f>IFERROR(IF(INDEX(SPOT_Import!$A$1:$Z$2488,386,'Live Data'!$C$14)="","",INDEX(SPOT_Import!$A$1:$Z$2488,386,'Live Data'!$C$14)),"")</f>
        <v>NYANDARUA</v>
      </c>
      <c r="D386" s="54" t="str">
        <f>IFERROR(IF(INDEX(SPOT_Import!$A$1:$Z$2488,386,'Live Data'!$C$15)="","",INDEX(SPOT_Import!$A$1:$Z$2488,386,'Live Data'!$C$15)),"")</f>
        <v>Kinangop</v>
      </c>
      <c r="E386" s="54" t="str">
        <f>IFERROR(IF(INDEX(SPOT_Import!$A$1:$Z$2488,386,'Live Data'!$C$16)="","",INDEX(SPOT_Import!$A$1:$Z$2488,386,'Live Data'!$C$16)),"")</f>
        <v>USAID Jamii Tekelezi</v>
      </c>
      <c r="F386" s="54" t="str">
        <f>IFERROR(IF(INDEX(SPOT_Import!$A$1:$Z$2488,386,'Live Data'!$C$17)="","",INDEX(SPOT_Import!$A$1:$Z$2488,386,'Live Data'!$C$17)),"")</f>
        <v>HTS</v>
      </c>
      <c r="G386" s="54">
        <f>IFERROR(IF(INDEX(SPOT_Import!$A$1:$Z$2488,386,'Live Data'!$C$18)="","",INDEX(SPOT_Import!$A$1:$Z$2488,386,'Live Data'!$C$18)),"")</f>
        <v>1914</v>
      </c>
      <c r="H386" s="54">
        <f>IFERROR(IF(INDEX(SPOT_Import!$A$1:$Z$2488,386,'Live Data'!$C$19)="","",INDEX(SPOT_Import!$A$1:$Z$2488,386,'Live Data'!$C$19)),"")</f>
        <v>1500</v>
      </c>
      <c r="I386" s="54" t="str">
        <f>IFERROR(IF(INDEX(SPOT_Import!$A$1:$Z$2488,386,'Live Data'!$C$20)="","",INDEX(SPOT_Import!$A$1:$Z$2488,386,'Live Data'!$C$20)),"")</f>
        <v>Complete</v>
      </c>
      <c r="J386" s="54" t="str">
        <f>IFERROR(IF(INDEX(SPOT_Import!$A$1:$Z$2488,386,'Live Data'!$C$21)="","",INDEX(SPOT_Import!$A$1:$Z$2488,386,'Live Data'!$C$21)),"")</f>
        <v>2026-10-05T10:00:15.000Z</v>
      </c>
      <c r="K386" s="54" t="str">
        <f>IFERROR(IF(INDEX(SPOT_Import!$A$1:$Z$2488,386,'Live Data'!$C$22)="","",INDEX(SPOT_Import!$A$1:$Z$2488,386,'Live Data'!$C$22)),"")</f>
        <v>2026-10-05T10:00:15.000Z</v>
      </c>
      <c r="L386" s="55" t="str">
        <f t="shared" ref="L386:L449" si="12">IF(A386="","",IF(ISNUMBER(K386),TEXT(K386,"yyyy-mm"),LEFT(K386,7)))</f>
        <v>2026-10</v>
      </c>
      <c r="M386" s="55" t="str">
        <f t="shared" ref="M386:M449" si="13">IF(A386="","",UPPER(TRIM(SUBSTITUTE(C386," - ","-"))))</f>
        <v>NYANDARUA</v>
      </c>
      <c r="N386" s="55" t="str">
        <f>IF(A386="","",IFERROR(INDEX('Cluster Map'!$A$4:$A$38,MATCH(M386,'Cluster Map'!$B$4:$B$38,0)),"Unmapped"))</f>
        <v>Cluster 4</v>
      </c>
      <c r="O386" s="55">
        <f>IF(A386="",0,IF(COUNTIFS($A$2:A386,A386,$F$2:F386,F386,$L$2:L386,L386)=1,1,0))</f>
        <v>1</v>
      </c>
      <c r="P386" s="55">
        <f>IF(A386="",0,IF(AND(F386="C&amp;T",COUNTIFS($A$2:A386,A386,$F$2:F386,"C&amp;T")=1),1,0))</f>
        <v>0</v>
      </c>
    </row>
    <row r="387" spans="1:16" x14ac:dyDescent="0.35">
      <c r="A387" s="54">
        <f>IFERROR(IF(INDEX(SPOT_Import!$A$1:$Z$2488,387,'Live Data'!$C$12)="","",INDEX(SPOT_Import!$A$1:$Z$2488,387,'Live Data'!$C$12)),"")</f>
        <v>16234</v>
      </c>
      <c r="B387" s="54" t="str">
        <f>IFERROR(IF(INDEX(SPOT_Import!$A$1:$Z$2488,387,'Live Data'!$C$13)="","",INDEX(SPOT_Import!$A$1:$Z$2488,387,'Live Data'!$C$13)),"")</f>
        <v>Miathene District Hospital</v>
      </c>
      <c r="C387" s="54" t="str">
        <f>IFERROR(IF(INDEX(SPOT_Import!$A$1:$Z$2488,387,'Live Data'!$C$14)="","",INDEX(SPOT_Import!$A$1:$Z$2488,387,'Live Data'!$C$14)),"")</f>
        <v>MERU</v>
      </c>
      <c r="D387" s="54" t="str">
        <f>IFERROR(IF(INDEX(SPOT_Import!$A$1:$Z$2488,387,'Live Data'!$C$15)="","",INDEX(SPOT_Import!$A$1:$Z$2488,387,'Live Data'!$C$15)),"")</f>
        <v>Tigania West</v>
      </c>
      <c r="E387" s="54" t="str">
        <f>IFERROR(IF(INDEX(SPOT_Import!$A$1:$Z$2488,387,'Live Data'!$C$16)="","",INDEX(SPOT_Import!$A$1:$Z$2488,387,'Live Data'!$C$16)),"")</f>
        <v>USAID Jamii Tekelezi</v>
      </c>
      <c r="F387" s="54" t="str">
        <f>IFERROR(IF(INDEX(SPOT_Import!$A$1:$Z$2488,387,'Live Data'!$C$17)="","",INDEX(SPOT_Import!$A$1:$Z$2488,387,'Live Data'!$C$17)),"")</f>
        <v>HTS</v>
      </c>
      <c r="G387" s="54">
        <f>IFERROR(IF(INDEX(SPOT_Import!$A$1:$Z$2488,387,'Live Data'!$C$18)="","",INDEX(SPOT_Import!$A$1:$Z$2488,387,'Live Data'!$C$18)),"")</f>
        <v>3816</v>
      </c>
      <c r="H387" s="54">
        <f>IFERROR(IF(INDEX(SPOT_Import!$A$1:$Z$2488,387,'Live Data'!$C$19)="","",INDEX(SPOT_Import!$A$1:$Z$2488,387,'Live Data'!$C$19)),"")</f>
        <v>3816</v>
      </c>
      <c r="I387" s="54" t="str">
        <f>IFERROR(IF(INDEX(SPOT_Import!$A$1:$Z$2488,387,'Live Data'!$C$20)="","",INDEX(SPOT_Import!$A$1:$Z$2488,387,'Live Data'!$C$20)),"")</f>
        <v>Complete</v>
      </c>
      <c r="J387" s="54" t="str">
        <f>IFERROR(IF(INDEX(SPOT_Import!$A$1:$Z$2488,387,'Live Data'!$C$21)="","",INDEX(SPOT_Import!$A$1:$Z$2488,387,'Live Data'!$C$21)),"")</f>
        <v>2026-10-05T09:58:06.000Z</v>
      </c>
      <c r="K387" s="54" t="str">
        <f>IFERROR(IF(INDEX(SPOT_Import!$A$1:$Z$2488,387,'Live Data'!$C$22)="","",INDEX(SPOT_Import!$A$1:$Z$2488,387,'Live Data'!$C$22)),"")</f>
        <v>2026-10-05T09:58:06.000Z</v>
      </c>
      <c r="L387" s="55" t="str">
        <f t="shared" si="12"/>
        <v>2026-10</v>
      </c>
      <c r="M387" s="55" t="str">
        <f t="shared" si="13"/>
        <v>MERU</v>
      </c>
      <c r="N387" s="55" t="str">
        <f>IF(A387="","",IFERROR(INDEX('Cluster Map'!$A$4:$A$38,MATCH(M387,'Cluster Map'!$B$4:$B$38,0)),"Unmapped"))</f>
        <v>Cluster 1</v>
      </c>
      <c r="O387" s="55">
        <f>IF(A387="",0,IF(COUNTIFS($A$2:A387,A387,$F$2:F387,F387,$L$2:L387,L387)=1,1,0))</f>
        <v>1</v>
      </c>
      <c r="P387" s="55">
        <f>IF(A387="",0,IF(AND(F387="C&amp;T",COUNTIFS($A$2:A387,A387,$F$2:F387,"C&amp;T")=1),1,0))</f>
        <v>0</v>
      </c>
    </row>
    <row r="388" spans="1:16" x14ac:dyDescent="0.35">
      <c r="A388" s="54">
        <f>IFERROR(IF(INDEX(SPOT_Import!$A$1:$Z$2488,388,'Live Data'!$C$12)="","",INDEX(SPOT_Import!$A$1:$Z$2488,388,'Live Data'!$C$12)),"")</f>
        <v>10481</v>
      </c>
      <c r="B388" s="54" t="str">
        <f>IFERROR(IF(INDEX(SPOT_Import!$A$1:$Z$2488,388,'Live Data'!$C$13)="","",INDEX(SPOT_Import!$A$1:$Z$2488,388,'Live Data'!$C$13)),"")</f>
        <v>Karangatha Health Centre</v>
      </c>
      <c r="C388" s="54" t="str">
        <f>IFERROR(IF(INDEX(SPOT_Import!$A$1:$Z$2488,388,'Live Data'!$C$14)="","",INDEX(SPOT_Import!$A$1:$Z$2488,388,'Live Data'!$C$14)),"")</f>
        <v>NYANDARUA</v>
      </c>
      <c r="D388" s="54" t="str">
        <f>IFERROR(IF(INDEX(SPOT_Import!$A$1:$Z$2488,388,'Live Data'!$C$15)="","",INDEX(SPOT_Import!$A$1:$Z$2488,388,'Live Data'!$C$15)),"")</f>
        <v>Kinangop</v>
      </c>
      <c r="E388" s="54" t="str">
        <f>IFERROR(IF(INDEX(SPOT_Import!$A$1:$Z$2488,388,'Live Data'!$C$16)="","",INDEX(SPOT_Import!$A$1:$Z$2488,388,'Live Data'!$C$16)),"")</f>
        <v>USAID Jamii Tekelezi</v>
      </c>
      <c r="F388" s="54" t="str">
        <f>IFERROR(IF(INDEX(SPOT_Import!$A$1:$Z$2488,388,'Live Data'!$C$17)="","",INDEX(SPOT_Import!$A$1:$Z$2488,388,'Live Data'!$C$17)),"")</f>
        <v>C&amp;T</v>
      </c>
      <c r="G388" s="54">
        <f>IFERROR(IF(INDEX(SPOT_Import!$A$1:$Z$2488,388,'Live Data'!$C$18)="","",INDEX(SPOT_Import!$A$1:$Z$2488,388,'Live Data'!$C$18)),"")</f>
        <v>201</v>
      </c>
      <c r="H388" s="54" t="str">
        <f>IFERROR(IF(INDEX(SPOT_Import!$A$1:$Z$2488,388,'Live Data'!$C$19)="","",INDEX(SPOT_Import!$A$1:$Z$2488,388,'Live Data'!$C$19)),"")</f>
        <v/>
      </c>
      <c r="I388" s="54" t="str">
        <f>IFERROR(IF(INDEX(SPOT_Import!$A$1:$Z$2488,388,'Live Data'!$C$20)="","",INDEX(SPOT_Import!$A$1:$Z$2488,388,'Live Data'!$C$20)),"")</f>
        <v>Incomplete</v>
      </c>
      <c r="J388" s="54" t="str">
        <f>IFERROR(IF(INDEX(SPOT_Import!$A$1:$Z$2488,388,'Live Data'!$C$21)="","",INDEX(SPOT_Import!$A$1:$Z$2488,388,'Live Data'!$C$21)),"")</f>
        <v>2026-10-05T09:50:00.000Z</v>
      </c>
      <c r="K388" s="54" t="str">
        <f>IFERROR(IF(INDEX(SPOT_Import!$A$1:$Z$2488,388,'Live Data'!$C$22)="","",INDEX(SPOT_Import!$A$1:$Z$2488,388,'Live Data'!$C$22)),"")</f>
        <v>2026-10-05T09:50:00.000Z</v>
      </c>
      <c r="L388" s="55" t="str">
        <f t="shared" si="12"/>
        <v>2026-10</v>
      </c>
      <c r="M388" s="55" t="str">
        <f t="shared" si="13"/>
        <v>NYANDARUA</v>
      </c>
      <c r="N388" s="55" t="str">
        <f>IF(A388="","",IFERROR(INDEX('Cluster Map'!$A$4:$A$38,MATCH(M388,'Cluster Map'!$B$4:$B$38,0)),"Unmapped"))</f>
        <v>Cluster 4</v>
      </c>
      <c r="O388" s="55">
        <f>IF(A388="",0,IF(COUNTIFS($A$2:A388,A388,$F$2:F388,F388,$L$2:L388,L388)=1,1,0))</f>
        <v>1</v>
      </c>
      <c r="P388" s="55">
        <f>IF(A388="",0,IF(AND(F388="C&amp;T",COUNTIFS($A$2:A388,A388,$F$2:F388,"C&amp;T")=1),1,0))</f>
        <v>1</v>
      </c>
    </row>
    <row r="389" spans="1:16" x14ac:dyDescent="0.35">
      <c r="A389" s="54">
        <f>IFERROR(IF(INDEX(SPOT_Import!$A$1:$Z$2488,389,'Live Data'!$C$12)="","",INDEX(SPOT_Import!$A$1:$Z$2488,389,'Live Data'!$C$12)),"")</f>
        <v>12174</v>
      </c>
      <c r="B389" s="54" t="str">
        <f>IFERROR(IF(INDEX(SPOT_Import!$A$1:$Z$2488,389,'Live Data'!$C$13)="","",INDEX(SPOT_Import!$A$1:$Z$2488,389,'Live Data'!$C$13)),"")</f>
        <v>Kangeta Heaith Centre</v>
      </c>
      <c r="C389" s="54" t="str">
        <f>IFERROR(IF(INDEX(SPOT_Import!$A$1:$Z$2488,389,'Live Data'!$C$14)="","",INDEX(SPOT_Import!$A$1:$Z$2488,389,'Live Data'!$C$14)),"")</f>
        <v>MERU</v>
      </c>
      <c r="D389" s="54" t="str">
        <f>IFERROR(IF(INDEX(SPOT_Import!$A$1:$Z$2488,389,'Live Data'!$C$15)="","",INDEX(SPOT_Import!$A$1:$Z$2488,389,'Live Data'!$C$15)),"")</f>
        <v>Igembe Central</v>
      </c>
      <c r="E389" s="54" t="str">
        <f>IFERROR(IF(INDEX(SPOT_Import!$A$1:$Z$2488,389,'Live Data'!$C$16)="","",INDEX(SPOT_Import!$A$1:$Z$2488,389,'Live Data'!$C$16)),"")</f>
        <v>USAID Jamii Tekelezi</v>
      </c>
      <c r="F389" s="54" t="str">
        <f>IFERROR(IF(INDEX(SPOT_Import!$A$1:$Z$2488,389,'Live Data'!$C$17)="","",INDEX(SPOT_Import!$A$1:$Z$2488,389,'Live Data'!$C$17)),"")</f>
        <v>MNCH</v>
      </c>
      <c r="G389" s="54">
        <f>IFERROR(IF(INDEX(SPOT_Import!$A$1:$Z$2488,389,'Live Data'!$C$18)="","",INDEX(SPOT_Import!$A$1:$Z$2488,389,'Live Data'!$C$18)),"")</f>
        <v>101</v>
      </c>
      <c r="H389" s="54">
        <f>IFERROR(IF(INDEX(SPOT_Import!$A$1:$Z$2488,389,'Live Data'!$C$19)="","",INDEX(SPOT_Import!$A$1:$Z$2488,389,'Live Data'!$C$19)),"")</f>
        <v>101</v>
      </c>
      <c r="I389" s="54" t="str">
        <f>IFERROR(IF(INDEX(SPOT_Import!$A$1:$Z$2488,389,'Live Data'!$C$20)="","",INDEX(SPOT_Import!$A$1:$Z$2488,389,'Live Data'!$C$20)),"")</f>
        <v>Complete</v>
      </c>
      <c r="J389" s="54" t="str">
        <f>IFERROR(IF(INDEX(SPOT_Import!$A$1:$Z$2488,389,'Live Data'!$C$21)="","",INDEX(SPOT_Import!$A$1:$Z$2488,389,'Live Data'!$C$21)),"")</f>
        <v>2026-10-05T09:26:25.000Z</v>
      </c>
      <c r="K389" s="54" t="str">
        <f>IFERROR(IF(INDEX(SPOT_Import!$A$1:$Z$2488,389,'Live Data'!$C$22)="","",INDEX(SPOT_Import!$A$1:$Z$2488,389,'Live Data'!$C$22)),"")</f>
        <v>2026-10-05T09:26:25.000Z</v>
      </c>
      <c r="L389" s="55" t="str">
        <f t="shared" si="12"/>
        <v>2026-10</v>
      </c>
      <c r="M389" s="55" t="str">
        <f t="shared" si="13"/>
        <v>MERU</v>
      </c>
      <c r="N389" s="55" t="str">
        <f>IF(A389="","",IFERROR(INDEX('Cluster Map'!$A$4:$A$38,MATCH(M389,'Cluster Map'!$B$4:$B$38,0)),"Unmapped"))</f>
        <v>Cluster 1</v>
      </c>
      <c r="O389" s="55">
        <f>IF(A389="",0,IF(COUNTIFS($A$2:A389,A389,$F$2:F389,F389,$L$2:L389,L389)=1,1,0))</f>
        <v>1</v>
      </c>
      <c r="P389" s="55">
        <f>IF(A389="",0,IF(AND(F389="C&amp;T",COUNTIFS($A$2:A389,A389,$F$2:F389,"C&amp;T")=1),1,0))</f>
        <v>0</v>
      </c>
    </row>
    <row r="390" spans="1:16" x14ac:dyDescent="0.35">
      <c r="A390" s="54">
        <f>IFERROR(IF(INDEX(SPOT_Import!$A$1:$Z$2488,390,'Live Data'!$C$12)="","",INDEX(SPOT_Import!$A$1:$Z$2488,390,'Live Data'!$C$12)),"")</f>
        <v>12174</v>
      </c>
      <c r="B390" s="54" t="str">
        <f>IFERROR(IF(INDEX(SPOT_Import!$A$1:$Z$2488,390,'Live Data'!$C$13)="","",INDEX(SPOT_Import!$A$1:$Z$2488,390,'Live Data'!$C$13)),"")</f>
        <v>Kangeta Heaith Centre</v>
      </c>
      <c r="C390" s="54" t="str">
        <f>IFERROR(IF(INDEX(SPOT_Import!$A$1:$Z$2488,390,'Live Data'!$C$14)="","",INDEX(SPOT_Import!$A$1:$Z$2488,390,'Live Data'!$C$14)),"")</f>
        <v>MERU</v>
      </c>
      <c r="D390" s="54" t="str">
        <f>IFERROR(IF(INDEX(SPOT_Import!$A$1:$Z$2488,390,'Live Data'!$C$15)="","",INDEX(SPOT_Import!$A$1:$Z$2488,390,'Live Data'!$C$15)),"")</f>
        <v>Igembe Central</v>
      </c>
      <c r="E390" s="54" t="str">
        <f>IFERROR(IF(INDEX(SPOT_Import!$A$1:$Z$2488,390,'Live Data'!$C$16)="","",INDEX(SPOT_Import!$A$1:$Z$2488,390,'Live Data'!$C$16)),"")</f>
        <v>USAID Jamii Tekelezi</v>
      </c>
      <c r="F390" s="54" t="str">
        <f>IFERROR(IF(INDEX(SPOT_Import!$A$1:$Z$2488,390,'Live Data'!$C$17)="","",INDEX(SPOT_Import!$A$1:$Z$2488,390,'Live Data'!$C$17)),"")</f>
        <v>HTS</v>
      </c>
      <c r="G390" s="54">
        <f>IFERROR(IF(INDEX(SPOT_Import!$A$1:$Z$2488,390,'Live Data'!$C$18)="","",INDEX(SPOT_Import!$A$1:$Z$2488,390,'Live Data'!$C$18)),"")</f>
        <v>1985</v>
      </c>
      <c r="H390" s="54">
        <f>IFERROR(IF(INDEX(SPOT_Import!$A$1:$Z$2488,390,'Live Data'!$C$19)="","",INDEX(SPOT_Import!$A$1:$Z$2488,390,'Live Data'!$C$19)),"")</f>
        <v>1985</v>
      </c>
      <c r="I390" s="54" t="str">
        <f>IFERROR(IF(INDEX(SPOT_Import!$A$1:$Z$2488,390,'Live Data'!$C$20)="","",INDEX(SPOT_Import!$A$1:$Z$2488,390,'Live Data'!$C$20)),"")</f>
        <v>Complete</v>
      </c>
      <c r="J390" s="54" t="str">
        <f>IFERROR(IF(INDEX(SPOT_Import!$A$1:$Z$2488,390,'Live Data'!$C$21)="","",INDEX(SPOT_Import!$A$1:$Z$2488,390,'Live Data'!$C$21)),"")</f>
        <v>2026-10-05T09:21:27.000Z</v>
      </c>
      <c r="K390" s="54" t="str">
        <f>IFERROR(IF(INDEX(SPOT_Import!$A$1:$Z$2488,390,'Live Data'!$C$22)="","",INDEX(SPOT_Import!$A$1:$Z$2488,390,'Live Data'!$C$22)),"")</f>
        <v>2026-10-05T09:21:27.000Z</v>
      </c>
      <c r="L390" s="55" t="str">
        <f t="shared" si="12"/>
        <v>2026-10</v>
      </c>
      <c r="M390" s="55" t="str">
        <f t="shared" si="13"/>
        <v>MERU</v>
      </c>
      <c r="N390" s="55" t="str">
        <f>IF(A390="","",IFERROR(INDEX('Cluster Map'!$A$4:$A$38,MATCH(M390,'Cluster Map'!$B$4:$B$38,0)),"Unmapped"))</f>
        <v>Cluster 1</v>
      </c>
      <c r="O390" s="55">
        <f>IF(A390="",0,IF(COUNTIFS($A$2:A390,A390,$F$2:F390,F390,$L$2:L390,L390)=1,1,0))</f>
        <v>1</v>
      </c>
      <c r="P390" s="55">
        <f>IF(A390="",0,IF(AND(F390="C&amp;T",COUNTIFS($A$2:A390,A390,$F$2:F390,"C&amp;T")=1),1,0))</f>
        <v>0</v>
      </c>
    </row>
    <row r="391" spans="1:16" x14ac:dyDescent="0.35">
      <c r="A391" s="54">
        <f>IFERROR(IF(INDEX(SPOT_Import!$A$1:$Z$2488,391,'Live Data'!$C$12)="","",INDEX(SPOT_Import!$A$1:$Z$2488,391,'Live Data'!$C$12)),"")</f>
        <v>12162</v>
      </c>
      <c r="B391" s="54" t="str">
        <f>IFERROR(IF(INDEX(SPOT_Import!$A$1:$Z$2488,391,'Live Data'!$C$13)="","",INDEX(SPOT_Import!$A$1:$Z$2488,391,'Live Data'!$C$13)),"")</f>
        <v>Kambandi Dispensary</v>
      </c>
      <c r="C391" s="54" t="str">
        <f>IFERROR(IF(INDEX(SPOT_Import!$A$1:$Z$2488,391,'Live Data'!$C$14)="","",INDEX(SPOT_Import!$A$1:$Z$2488,391,'Live Data'!$C$14)),"")</f>
        <v>THARAKA-NITHI</v>
      </c>
      <c r="D391" s="54" t="str">
        <f>IFERROR(IF(INDEX(SPOT_Import!$A$1:$Z$2488,391,'Live Data'!$C$15)="","",INDEX(SPOT_Import!$A$1:$Z$2488,391,'Live Data'!$C$15)),"")</f>
        <v>Chuka</v>
      </c>
      <c r="E391" s="54" t="str">
        <f>IFERROR(IF(INDEX(SPOT_Import!$A$1:$Z$2488,391,'Live Data'!$C$16)="","",INDEX(SPOT_Import!$A$1:$Z$2488,391,'Live Data'!$C$16)),"")</f>
        <v>USAID Jamii Tekelezi</v>
      </c>
      <c r="F391" s="54" t="str">
        <f>IFERROR(IF(INDEX(SPOT_Import!$A$1:$Z$2488,391,'Live Data'!$C$17)="","",INDEX(SPOT_Import!$A$1:$Z$2488,391,'Live Data'!$C$17)),"")</f>
        <v>PREP</v>
      </c>
      <c r="G391" s="54">
        <f>IFERROR(IF(INDEX(SPOT_Import!$A$1:$Z$2488,391,'Live Data'!$C$18)="","",INDEX(SPOT_Import!$A$1:$Z$2488,391,'Live Data'!$C$18)),"")</f>
        <v>14</v>
      </c>
      <c r="H391" s="54">
        <f>IFERROR(IF(INDEX(SPOT_Import!$A$1:$Z$2488,391,'Live Data'!$C$19)="","",INDEX(SPOT_Import!$A$1:$Z$2488,391,'Live Data'!$C$19)),"")</f>
        <v>14</v>
      </c>
      <c r="I391" s="54" t="str">
        <f>IFERROR(IF(INDEX(SPOT_Import!$A$1:$Z$2488,391,'Live Data'!$C$20)="","",INDEX(SPOT_Import!$A$1:$Z$2488,391,'Live Data'!$C$20)),"")</f>
        <v>Complete</v>
      </c>
      <c r="J391" s="54" t="str">
        <f>IFERROR(IF(INDEX(SPOT_Import!$A$1:$Z$2488,391,'Live Data'!$C$21)="","",INDEX(SPOT_Import!$A$1:$Z$2488,391,'Live Data'!$C$21)),"")</f>
        <v>2026-10-05T09:07:35.000Z</v>
      </c>
      <c r="K391" s="54" t="str">
        <f>IFERROR(IF(INDEX(SPOT_Import!$A$1:$Z$2488,391,'Live Data'!$C$22)="","",INDEX(SPOT_Import!$A$1:$Z$2488,391,'Live Data'!$C$22)),"")</f>
        <v>2026-10-05T09:07:35.000Z</v>
      </c>
      <c r="L391" s="55" t="str">
        <f t="shared" si="12"/>
        <v>2026-10</v>
      </c>
      <c r="M391" s="55" t="str">
        <f t="shared" si="13"/>
        <v>THARAKA-NITHI</v>
      </c>
      <c r="N391" s="55" t="str">
        <f>IF(A391="","",IFERROR(INDEX('Cluster Map'!$A$4:$A$38,MATCH(M391,'Cluster Map'!$B$4:$B$38,0)),"Unmapped"))</f>
        <v>Cluster 2</v>
      </c>
      <c r="O391" s="55">
        <f>IF(A391="",0,IF(COUNTIFS($A$2:A391,A391,$F$2:F391,F391,$L$2:L391,L391)=1,1,0))</f>
        <v>1</v>
      </c>
      <c r="P391" s="55">
        <f>IF(A391="",0,IF(AND(F391="C&amp;T",COUNTIFS($A$2:A391,A391,$F$2:F391,"C&amp;T")=1),1,0))</f>
        <v>0</v>
      </c>
    </row>
    <row r="392" spans="1:16" x14ac:dyDescent="0.35">
      <c r="A392" s="54">
        <f>IFERROR(IF(INDEX(SPOT_Import!$A$1:$Z$2488,392,'Live Data'!$C$12)="","",INDEX(SPOT_Import!$A$1:$Z$2488,392,'Live Data'!$C$12)),"")</f>
        <v>12162</v>
      </c>
      <c r="B392" s="54" t="str">
        <f>IFERROR(IF(INDEX(SPOT_Import!$A$1:$Z$2488,392,'Live Data'!$C$13)="","",INDEX(SPOT_Import!$A$1:$Z$2488,392,'Live Data'!$C$13)),"")</f>
        <v>Kambandi Dispensary</v>
      </c>
      <c r="C392" s="54" t="str">
        <f>IFERROR(IF(INDEX(SPOT_Import!$A$1:$Z$2488,392,'Live Data'!$C$14)="","",INDEX(SPOT_Import!$A$1:$Z$2488,392,'Live Data'!$C$14)),"")</f>
        <v>THARAKA-NITHI</v>
      </c>
      <c r="D392" s="54" t="str">
        <f>IFERROR(IF(INDEX(SPOT_Import!$A$1:$Z$2488,392,'Live Data'!$C$15)="","",INDEX(SPOT_Import!$A$1:$Z$2488,392,'Live Data'!$C$15)),"")</f>
        <v>Chuka</v>
      </c>
      <c r="E392" s="54" t="str">
        <f>IFERROR(IF(INDEX(SPOT_Import!$A$1:$Z$2488,392,'Live Data'!$C$16)="","",INDEX(SPOT_Import!$A$1:$Z$2488,392,'Live Data'!$C$16)),"")</f>
        <v>USAID Jamii Tekelezi</v>
      </c>
      <c r="F392" s="54" t="str">
        <f>IFERROR(IF(INDEX(SPOT_Import!$A$1:$Z$2488,392,'Live Data'!$C$17)="","",INDEX(SPOT_Import!$A$1:$Z$2488,392,'Live Data'!$C$17)),"")</f>
        <v>MNCH</v>
      </c>
      <c r="G392" s="54">
        <f>IFERROR(IF(INDEX(SPOT_Import!$A$1:$Z$2488,392,'Live Data'!$C$18)="","",INDEX(SPOT_Import!$A$1:$Z$2488,392,'Live Data'!$C$18)),"")</f>
        <v>16</v>
      </c>
      <c r="H392" s="54">
        <f>IFERROR(IF(INDEX(SPOT_Import!$A$1:$Z$2488,392,'Live Data'!$C$19)="","",INDEX(SPOT_Import!$A$1:$Z$2488,392,'Live Data'!$C$19)),"")</f>
        <v>16</v>
      </c>
      <c r="I392" s="54" t="str">
        <f>IFERROR(IF(INDEX(SPOT_Import!$A$1:$Z$2488,392,'Live Data'!$C$20)="","",INDEX(SPOT_Import!$A$1:$Z$2488,392,'Live Data'!$C$20)),"")</f>
        <v>Complete</v>
      </c>
      <c r="J392" s="54" t="str">
        <f>IFERROR(IF(INDEX(SPOT_Import!$A$1:$Z$2488,392,'Live Data'!$C$21)="","",INDEX(SPOT_Import!$A$1:$Z$2488,392,'Live Data'!$C$21)),"")</f>
        <v>2026-10-05T09:07:22.000Z</v>
      </c>
      <c r="K392" s="54" t="str">
        <f>IFERROR(IF(INDEX(SPOT_Import!$A$1:$Z$2488,392,'Live Data'!$C$22)="","",INDEX(SPOT_Import!$A$1:$Z$2488,392,'Live Data'!$C$22)),"")</f>
        <v>2026-10-05T09:07:22.000Z</v>
      </c>
      <c r="L392" s="55" t="str">
        <f t="shared" si="12"/>
        <v>2026-10</v>
      </c>
      <c r="M392" s="55" t="str">
        <f t="shared" si="13"/>
        <v>THARAKA-NITHI</v>
      </c>
      <c r="N392" s="55" t="str">
        <f>IF(A392="","",IFERROR(INDEX('Cluster Map'!$A$4:$A$38,MATCH(M392,'Cluster Map'!$B$4:$B$38,0)),"Unmapped"))</f>
        <v>Cluster 2</v>
      </c>
      <c r="O392" s="55">
        <f>IF(A392="",0,IF(COUNTIFS($A$2:A392,A392,$F$2:F392,F392,$L$2:L392,L392)=1,1,0))</f>
        <v>1</v>
      </c>
      <c r="P392" s="55">
        <f>IF(A392="",0,IF(AND(F392="C&amp;T",COUNTIFS($A$2:A392,A392,$F$2:F392,"C&amp;T")=1),1,0))</f>
        <v>0</v>
      </c>
    </row>
    <row r="393" spans="1:16" x14ac:dyDescent="0.35">
      <c r="A393" s="54">
        <f>IFERROR(IF(INDEX(SPOT_Import!$A$1:$Z$2488,393,'Live Data'!$C$12)="","",INDEX(SPOT_Import!$A$1:$Z$2488,393,'Live Data'!$C$12)),"")</f>
        <v>12162</v>
      </c>
      <c r="B393" s="54" t="str">
        <f>IFERROR(IF(INDEX(SPOT_Import!$A$1:$Z$2488,393,'Live Data'!$C$13)="","",INDEX(SPOT_Import!$A$1:$Z$2488,393,'Live Data'!$C$13)),"")</f>
        <v>Kambandi Dispensary</v>
      </c>
      <c r="C393" s="54" t="str">
        <f>IFERROR(IF(INDEX(SPOT_Import!$A$1:$Z$2488,393,'Live Data'!$C$14)="","",INDEX(SPOT_Import!$A$1:$Z$2488,393,'Live Data'!$C$14)),"")</f>
        <v>THARAKA-NITHI</v>
      </c>
      <c r="D393" s="54" t="str">
        <f>IFERROR(IF(INDEX(SPOT_Import!$A$1:$Z$2488,393,'Live Data'!$C$15)="","",INDEX(SPOT_Import!$A$1:$Z$2488,393,'Live Data'!$C$15)),"")</f>
        <v>Chuka</v>
      </c>
      <c r="E393" s="54" t="str">
        <f>IFERROR(IF(INDEX(SPOT_Import!$A$1:$Z$2488,393,'Live Data'!$C$16)="","",INDEX(SPOT_Import!$A$1:$Z$2488,393,'Live Data'!$C$16)),"")</f>
        <v>USAID Jamii Tekelezi</v>
      </c>
      <c r="F393" s="54" t="str">
        <f>IFERROR(IF(INDEX(SPOT_Import!$A$1:$Z$2488,393,'Live Data'!$C$17)="","",INDEX(SPOT_Import!$A$1:$Z$2488,393,'Live Data'!$C$17)),"")</f>
        <v>HTS</v>
      </c>
      <c r="G393" s="54">
        <f>IFERROR(IF(INDEX(SPOT_Import!$A$1:$Z$2488,393,'Live Data'!$C$18)="","",INDEX(SPOT_Import!$A$1:$Z$2488,393,'Live Data'!$C$18)),"")</f>
        <v>1692</v>
      </c>
      <c r="H393" s="54">
        <f>IFERROR(IF(INDEX(SPOT_Import!$A$1:$Z$2488,393,'Live Data'!$C$19)="","",INDEX(SPOT_Import!$A$1:$Z$2488,393,'Live Data'!$C$19)),"")</f>
        <v>1692</v>
      </c>
      <c r="I393" s="54" t="str">
        <f>IFERROR(IF(INDEX(SPOT_Import!$A$1:$Z$2488,393,'Live Data'!$C$20)="","",INDEX(SPOT_Import!$A$1:$Z$2488,393,'Live Data'!$C$20)),"")</f>
        <v>Complete</v>
      </c>
      <c r="J393" s="54" t="str">
        <f>IFERROR(IF(INDEX(SPOT_Import!$A$1:$Z$2488,393,'Live Data'!$C$21)="","",INDEX(SPOT_Import!$A$1:$Z$2488,393,'Live Data'!$C$21)),"")</f>
        <v>2026-10-05T09:07:07.000Z</v>
      </c>
      <c r="K393" s="54" t="str">
        <f>IFERROR(IF(INDEX(SPOT_Import!$A$1:$Z$2488,393,'Live Data'!$C$22)="","",INDEX(SPOT_Import!$A$1:$Z$2488,393,'Live Data'!$C$22)),"")</f>
        <v>2026-10-05T09:07:07.000Z</v>
      </c>
      <c r="L393" s="55" t="str">
        <f t="shared" si="12"/>
        <v>2026-10</v>
      </c>
      <c r="M393" s="55" t="str">
        <f t="shared" si="13"/>
        <v>THARAKA-NITHI</v>
      </c>
      <c r="N393" s="55" t="str">
        <f>IF(A393="","",IFERROR(INDEX('Cluster Map'!$A$4:$A$38,MATCH(M393,'Cluster Map'!$B$4:$B$38,0)),"Unmapped"))</f>
        <v>Cluster 2</v>
      </c>
      <c r="O393" s="55">
        <f>IF(A393="",0,IF(COUNTIFS($A$2:A393,A393,$F$2:F393,F393,$L$2:L393,L393)=1,1,0))</f>
        <v>1</v>
      </c>
      <c r="P393" s="55">
        <f>IF(A393="",0,IF(AND(F393="C&amp;T",COUNTIFS($A$2:A393,A393,$F$2:F393,"C&amp;T")=1),1,0))</f>
        <v>0</v>
      </c>
    </row>
    <row r="394" spans="1:16" x14ac:dyDescent="0.35">
      <c r="A394" s="54">
        <f>IFERROR(IF(INDEX(SPOT_Import!$A$1:$Z$2488,394,'Live Data'!$C$12)="","",INDEX(SPOT_Import!$A$1:$Z$2488,394,'Live Data'!$C$12)),"")</f>
        <v>16466</v>
      </c>
      <c r="B394" s="54" t="str">
        <f>IFERROR(IF(INDEX(SPOT_Import!$A$1:$Z$2488,394,'Live Data'!$C$13)="","",INDEX(SPOT_Import!$A$1:$Z$2488,394,'Live Data'!$C$13)),"")</f>
        <v>Kiritiri Health Centre</v>
      </c>
      <c r="C394" s="54" t="str">
        <f>IFERROR(IF(INDEX(SPOT_Import!$A$1:$Z$2488,394,'Live Data'!$C$14)="","",INDEX(SPOT_Import!$A$1:$Z$2488,394,'Live Data'!$C$14)),"")</f>
        <v>EMBU</v>
      </c>
      <c r="D394" s="54" t="str">
        <f>IFERROR(IF(INDEX(SPOT_Import!$A$1:$Z$2488,394,'Live Data'!$C$15)="","",INDEX(SPOT_Import!$A$1:$Z$2488,394,'Live Data'!$C$15)),"")</f>
        <v>Mbeere South</v>
      </c>
      <c r="E394" s="54" t="str">
        <f>IFERROR(IF(INDEX(SPOT_Import!$A$1:$Z$2488,394,'Live Data'!$C$16)="","",INDEX(SPOT_Import!$A$1:$Z$2488,394,'Live Data'!$C$16)),"")</f>
        <v>USAID Jamii Tekelezi</v>
      </c>
      <c r="F394" s="54" t="str">
        <f>IFERROR(IF(INDEX(SPOT_Import!$A$1:$Z$2488,394,'Live Data'!$C$17)="","",INDEX(SPOT_Import!$A$1:$Z$2488,394,'Live Data'!$C$17)),"")</f>
        <v>C&amp;T</v>
      </c>
      <c r="G394" s="54">
        <f>IFERROR(IF(INDEX(SPOT_Import!$A$1:$Z$2488,394,'Live Data'!$C$18)="","",INDEX(SPOT_Import!$A$1:$Z$2488,394,'Live Data'!$C$18)),"")</f>
        <v>1518</v>
      </c>
      <c r="H394" s="54">
        <f>IFERROR(IF(INDEX(SPOT_Import!$A$1:$Z$2488,394,'Live Data'!$C$19)="","",INDEX(SPOT_Import!$A$1:$Z$2488,394,'Live Data'!$C$19)),"")</f>
        <v>1518</v>
      </c>
      <c r="I394" s="54" t="str">
        <f>IFERROR(IF(INDEX(SPOT_Import!$A$1:$Z$2488,394,'Live Data'!$C$20)="","",INDEX(SPOT_Import!$A$1:$Z$2488,394,'Live Data'!$C$20)),"")</f>
        <v>Complete</v>
      </c>
      <c r="J394" s="54" t="str">
        <f>IFERROR(IF(INDEX(SPOT_Import!$A$1:$Z$2488,394,'Live Data'!$C$21)="","",INDEX(SPOT_Import!$A$1:$Z$2488,394,'Live Data'!$C$21)),"")</f>
        <v>2026-10-05T08:48:11.000Z</v>
      </c>
      <c r="K394" s="54" t="str">
        <f>IFERROR(IF(INDEX(SPOT_Import!$A$1:$Z$2488,394,'Live Data'!$C$22)="","",INDEX(SPOT_Import!$A$1:$Z$2488,394,'Live Data'!$C$22)),"")</f>
        <v>2026-10-05T08:48:11.000Z</v>
      </c>
      <c r="L394" s="55" t="str">
        <f t="shared" si="12"/>
        <v>2026-10</v>
      </c>
      <c r="M394" s="55" t="str">
        <f t="shared" si="13"/>
        <v>EMBU</v>
      </c>
      <c r="N394" s="55" t="str">
        <f>IF(A394="","",IFERROR(INDEX('Cluster Map'!$A$4:$A$38,MATCH(M394,'Cluster Map'!$B$4:$B$38,0)),"Unmapped"))</f>
        <v>Cluster 2</v>
      </c>
      <c r="O394" s="55">
        <f>IF(A394="",0,IF(COUNTIFS($A$2:A394,A394,$F$2:F394,F394,$L$2:L394,L394)=1,1,0))</f>
        <v>1</v>
      </c>
      <c r="P394" s="55">
        <f>IF(A394="",0,IF(AND(F394="C&amp;T",COUNTIFS($A$2:A394,A394,$F$2:F394,"C&amp;T")=1),1,0))</f>
        <v>1</v>
      </c>
    </row>
    <row r="395" spans="1:16" x14ac:dyDescent="0.35">
      <c r="A395" s="54">
        <f>IFERROR(IF(INDEX(SPOT_Import!$A$1:$Z$2488,395,'Live Data'!$C$12)="","",INDEX(SPOT_Import!$A$1:$Z$2488,395,'Live Data'!$C$12)),"")</f>
        <v>12162</v>
      </c>
      <c r="B395" s="54" t="str">
        <f>IFERROR(IF(INDEX(SPOT_Import!$A$1:$Z$2488,395,'Live Data'!$C$13)="","",INDEX(SPOT_Import!$A$1:$Z$2488,395,'Live Data'!$C$13)),"")</f>
        <v>Kambandi Dispensary</v>
      </c>
      <c r="C395" s="54" t="str">
        <f>IFERROR(IF(INDEX(SPOT_Import!$A$1:$Z$2488,395,'Live Data'!$C$14)="","",INDEX(SPOT_Import!$A$1:$Z$2488,395,'Live Data'!$C$14)),"")</f>
        <v>THARAKA-NITHI</v>
      </c>
      <c r="D395" s="54" t="str">
        <f>IFERROR(IF(INDEX(SPOT_Import!$A$1:$Z$2488,395,'Live Data'!$C$15)="","",INDEX(SPOT_Import!$A$1:$Z$2488,395,'Live Data'!$C$15)),"")</f>
        <v>Chuka</v>
      </c>
      <c r="E395" s="54" t="str">
        <f>IFERROR(IF(INDEX(SPOT_Import!$A$1:$Z$2488,395,'Live Data'!$C$16)="","",INDEX(SPOT_Import!$A$1:$Z$2488,395,'Live Data'!$C$16)),"")</f>
        <v>USAID Jamii Tekelezi</v>
      </c>
      <c r="F395" s="54" t="str">
        <f>IFERROR(IF(INDEX(SPOT_Import!$A$1:$Z$2488,395,'Live Data'!$C$17)="","",INDEX(SPOT_Import!$A$1:$Z$2488,395,'Live Data'!$C$17)),"")</f>
        <v>C&amp;T</v>
      </c>
      <c r="G395" s="54">
        <f>IFERROR(IF(INDEX(SPOT_Import!$A$1:$Z$2488,395,'Live Data'!$C$18)="","",INDEX(SPOT_Import!$A$1:$Z$2488,395,'Live Data'!$C$18)),"")</f>
        <v>114</v>
      </c>
      <c r="H395" s="54">
        <f>IFERROR(IF(INDEX(SPOT_Import!$A$1:$Z$2488,395,'Live Data'!$C$19)="","",INDEX(SPOT_Import!$A$1:$Z$2488,395,'Live Data'!$C$19)),"")</f>
        <v>114</v>
      </c>
      <c r="I395" s="54" t="str">
        <f>IFERROR(IF(INDEX(SPOT_Import!$A$1:$Z$2488,395,'Live Data'!$C$20)="","",INDEX(SPOT_Import!$A$1:$Z$2488,395,'Live Data'!$C$20)),"")</f>
        <v>Complete</v>
      </c>
      <c r="J395" s="54" t="str">
        <f>IFERROR(IF(INDEX(SPOT_Import!$A$1:$Z$2488,395,'Live Data'!$C$21)="","",INDEX(SPOT_Import!$A$1:$Z$2488,395,'Live Data'!$C$21)),"")</f>
        <v>2026-10-05T08:44:52.000Z</v>
      </c>
      <c r="K395" s="54" t="str">
        <f>IFERROR(IF(INDEX(SPOT_Import!$A$1:$Z$2488,395,'Live Data'!$C$22)="","",INDEX(SPOT_Import!$A$1:$Z$2488,395,'Live Data'!$C$22)),"")</f>
        <v>2026-10-05T08:44:52.000Z</v>
      </c>
      <c r="L395" s="55" t="str">
        <f t="shared" si="12"/>
        <v>2026-10</v>
      </c>
      <c r="M395" s="55" t="str">
        <f t="shared" si="13"/>
        <v>THARAKA-NITHI</v>
      </c>
      <c r="N395" s="55" t="str">
        <f>IF(A395="","",IFERROR(INDEX('Cluster Map'!$A$4:$A$38,MATCH(M395,'Cluster Map'!$B$4:$B$38,0)),"Unmapped"))</f>
        <v>Cluster 2</v>
      </c>
      <c r="O395" s="55">
        <f>IF(A395="",0,IF(COUNTIFS($A$2:A395,A395,$F$2:F395,F395,$L$2:L395,L395)=1,1,0))</f>
        <v>1</v>
      </c>
      <c r="P395" s="55">
        <f>IF(A395="",0,IF(AND(F395="C&amp;T",COUNTIFS($A$2:A395,A395,$F$2:F395,"C&amp;T")=1),1,0))</f>
        <v>1</v>
      </c>
    </row>
    <row r="396" spans="1:16" x14ac:dyDescent="0.35">
      <c r="A396" s="54">
        <f>IFERROR(IF(INDEX(SPOT_Import!$A$1:$Z$2488,396,'Live Data'!$C$12)="","",INDEX(SPOT_Import!$A$1:$Z$2488,396,'Live Data'!$C$12)),"")</f>
        <v>12838</v>
      </c>
      <c r="B396" s="54" t="str">
        <f>IFERROR(IF(INDEX(SPOT_Import!$A$1:$Z$2488,396,'Live Data'!$C$13)="","",INDEX(SPOT_Import!$A$1:$Z$2488,396,'Live Data'!$C$13)),"")</f>
        <v>Wachoro Dispensary</v>
      </c>
      <c r="C396" s="54" t="str">
        <f>IFERROR(IF(INDEX(SPOT_Import!$A$1:$Z$2488,396,'Live Data'!$C$14)="","",INDEX(SPOT_Import!$A$1:$Z$2488,396,'Live Data'!$C$14)),"")</f>
        <v>EMBU</v>
      </c>
      <c r="D396" s="54" t="str">
        <f>IFERROR(IF(INDEX(SPOT_Import!$A$1:$Z$2488,396,'Live Data'!$C$15)="","",INDEX(SPOT_Import!$A$1:$Z$2488,396,'Live Data'!$C$15)),"")</f>
        <v>Mbeere South</v>
      </c>
      <c r="E396" s="54" t="str">
        <f>IFERROR(IF(INDEX(SPOT_Import!$A$1:$Z$2488,396,'Live Data'!$C$16)="","",INDEX(SPOT_Import!$A$1:$Z$2488,396,'Live Data'!$C$16)),"")</f>
        <v>USAID Jamii Tekelezi</v>
      </c>
      <c r="F396" s="54" t="str">
        <f>IFERROR(IF(INDEX(SPOT_Import!$A$1:$Z$2488,396,'Live Data'!$C$17)="","",INDEX(SPOT_Import!$A$1:$Z$2488,396,'Live Data'!$C$17)),"")</f>
        <v>PREP</v>
      </c>
      <c r="G396" s="54">
        <f>IFERROR(IF(INDEX(SPOT_Import!$A$1:$Z$2488,396,'Live Data'!$C$18)="","",INDEX(SPOT_Import!$A$1:$Z$2488,396,'Live Data'!$C$18)),"")</f>
        <v>7</v>
      </c>
      <c r="H396" s="54">
        <f>IFERROR(IF(INDEX(SPOT_Import!$A$1:$Z$2488,396,'Live Data'!$C$19)="","",INDEX(SPOT_Import!$A$1:$Z$2488,396,'Live Data'!$C$19)),"")</f>
        <v>7</v>
      </c>
      <c r="I396" s="54" t="str">
        <f>IFERROR(IF(INDEX(SPOT_Import!$A$1:$Z$2488,396,'Live Data'!$C$20)="","",INDEX(SPOT_Import!$A$1:$Z$2488,396,'Live Data'!$C$20)),"")</f>
        <v>Complete</v>
      </c>
      <c r="J396" s="54" t="str">
        <f>IFERROR(IF(INDEX(SPOT_Import!$A$1:$Z$2488,396,'Live Data'!$C$21)="","",INDEX(SPOT_Import!$A$1:$Z$2488,396,'Live Data'!$C$21)),"")</f>
        <v>2026-10-05T08:37:18.000Z</v>
      </c>
      <c r="K396" s="54" t="str">
        <f>IFERROR(IF(INDEX(SPOT_Import!$A$1:$Z$2488,396,'Live Data'!$C$22)="","",INDEX(SPOT_Import!$A$1:$Z$2488,396,'Live Data'!$C$22)),"")</f>
        <v>2026-10-05T08:37:18.000Z</v>
      </c>
      <c r="L396" s="55" t="str">
        <f t="shared" si="12"/>
        <v>2026-10</v>
      </c>
      <c r="M396" s="55" t="str">
        <f t="shared" si="13"/>
        <v>EMBU</v>
      </c>
      <c r="N396" s="55" t="str">
        <f>IF(A396="","",IFERROR(INDEX('Cluster Map'!$A$4:$A$38,MATCH(M396,'Cluster Map'!$B$4:$B$38,0)),"Unmapped"))</f>
        <v>Cluster 2</v>
      </c>
      <c r="O396" s="55">
        <f>IF(A396="",0,IF(COUNTIFS($A$2:A396,A396,$F$2:F396,F396,$L$2:L396,L396)=1,1,0))</f>
        <v>1</v>
      </c>
      <c r="P396" s="55">
        <f>IF(A396="",0,IF(AND(F396="C&amp;T",COUNTIFS($A$2:A396,A396,$F$2:F396,"C&amp;T")=1),1,0))</f>
        <v>0</v>
      </c>
    </row>
    <row r="397" spans="1:16" x14ac:dyDescent="0.35">
      <c r="A397" s="54">
        <f>IFERROR(IF(INDEX(SPOT_Import!$A$1:$Z$2488,397,'Live Data'!$C$12)="","",INDEX(SPOT_Import!$A$1:$Z$2488,397,'Live Data'!$C$12)),"")</f>
        <v>12838</v>
      </c>
      <c r="B397" s="54" t="str">
        <f>IFERROR(IF(INDEX(SPOT_Import!$A$1:$Z$2488,397,'Live Data'!$C$13)="","",INDEX(SPOT_Import!$A$1:$Z$2488,397,'Live Data'!$C$13)),"")</f>
        <v>Wachoro Dispensary</v>
      </c>
      <c r="C397" s="54" t="str">
        <f>IFERROR(IF(INDEX(SPOT_Import!$A$1:$Z$2488,397,'Live Data'!$C$14)="","",INDEX(SPOT_Import!$A$1:$Z$2488,397,'Live Data'!$C$14)),"")</f>
        <v>EMBU</v>
      </c>
      <c r="D397" s="54" t="str">
        <f>IFERROR(IF(INDEX(SPOT_Import!$A$1:$Z$2488,397,'Live Data'!$C$15)="","",INDEX(SPOT_Import!$A$1:$Z$2488,397,'Live Data'!$C$15)),"")</f>
        <v>Mbeere South</v>
      </c>
      <c r="E397" s="54" t="str">
        <f>IFERROR(IF(INDEX(SPOT_Import!$A$1:$Z$2488,397,'Live Data'!$C$16)="","",INDEX(SPOT_Import!$A$1:$Z$2488,397,'Live Data'!$C$16)),"")</f>
        <v>USAID Jamii Tekelezi</v>
      </c>
      <c r="F397" s="54" t="str">
        <f>IFERROR(IF(INDEX(SPOT_Import!$A$1:$Z$2488,397,'Live Data'!$C$17)="","",INDEX(SPOT_Import!$A$1:$Z$2488,397,'Live Data'!$C$17)),"")</f>
        <v>MNCH</v>
      </c>
      <c r="G397" s="54">
        <f>IFERROR(IF(INDEX(SPOT_Import!$A$1:$Z$2488,397,'Live Data'!$C$18)="","",INDEX(SPOT_Import!$A$1:$Z$2488,397,'Live Data'!$C$18)),"")</f>
        <v>5</v>
      </c>
      <c r="H397" s="54">
        <f>IFERROR(IF(INDEX(SPOT_Import!$A$1:$Z$2488,397,'Live Data'!$C$19)="","",INDEX(SPOT_Import!$A$1:$Z$2488,397,'Live Data'!$C$19)),"")</f>
        <v>5</v>
      </c>
      <c r="I397" s="54" t="str">
        <f>IFERROR(IF(INDEX(SPOT_Import!$A$1:$Z$2488,397,'Live Data'!$C$20)="","",INDEX(SPOT_Import!$A$1:$Z$2488,397,'Live Data'!$C$20)),"")</f>
        <v>Complete</v>
      </c>
      <c r="J397" s="54" t="str">
        <f>IFERROR(IF(INDEX(SPOT_Import!$A$1:$Z$2488,397,'Live Data'!$C$21)="","",INDEX(SPOT_Import!$A$1:$Z$2488,397,'Live Data'!$C$21)),"")</f>
        <v>2026-10-05T08:37:07.000Z</v>
      </c>
      <c r="K397" s="54" t="str">
        <f>IFERROR(IF(INDEX(SPOT_Import!$A$1:$Z$2488,397,'Live Data'!$C$22)="","",INDEX(SPOT_Import!$A$1:$Z$2488,397,'Live Data'!$C$22)),"")</f>
        <v>2026-10-05T08:37:07.000Z</v>
      </c>
      <c r="L397" s="55" t="str">
        <f t="shared" si="12"/>
        <v>2026-10</v>
      </c>
      <c r="M397" s="55" t="str">
        <f t="shared" si="13"/>
        <v>EMBU</v>
      </c>
      <c r="N397" s="55" t="str">
        <f>IF(A397="","",IFERROR(INDEX('Cluster Map'!$A$4:$A$38,MATCH(M397,'Cluster Map'!$B$4:$B$38,0)),"Unmapped"))</f>
        <v>Cluster 2</v>
      </c>
      <c r="O397" s="55">
        <f>IF(A397="",0,IF(COUNTIFS($A$2:A397,A397,$F$2:F397,F397,$L$2:L397,L397)=1,1,0))</f>
        <v>1</v>
      </c>
      <c r="P397" s="55">
        <f>IF(A397="",0,IF(AND(F397="C&amp;T",COUNTIFS($A$2:A397,A397,$F$2:F397,"C&amp;T")=1),1,0))</f>
        <v>0</v>
      </c>
    </row>
    <row r="398" spans="1:16" x14ac:dyDescent="0.35">
      <c r="A398" s="54">
        <f>IFERROR(IF(INDEX(SPOT_Import!$A$1:$Z$2488,398,'Live Data'!$C$12)="","",INDEX(SPOT_Import!$A$1:$Z$2488,398,'Live Data'!$C$12)),"")</f>
        <v>12838</v>
      </c>
      <c r="B398" s="54" t="str">
        <f>IFERROR(IF(INDEX(SPOT_Import!$A$1:$Z$2488,398,'Live Data'!$C$13)="","",INDEX(SPOT_Import!$A$1:$Z$2488,398,'Live Data'!$C$13)),"")</f>
        <v>Wachoro Dispensary</v>
      </c>
      <c r="C398" s="54" t="str">
        <f>IFERROR(IF(INDEX(SPOT_Import!$A$1:$Z$2488,398,'Live Data'!$C$14)="","",INDEX(SPOT_Import!$A$1:$Z$2488,398,'Live Data'!$C$14)),"")</f>
        <v>EMBU</v>
      </c>
      <c r="D398" s="54" t="str">
        <f>IFERROR(IF(INDEX(SPOT_Import!$A$1:$Z$2488,398,'Live Data'!$C$15)="","",INDEX(SPOT_Import!$A$1:$Z$2488,398,'Live Data'!$C$15)),"")</f>
        <v>Mbeere South</v>
      </c>
      <c r="E398" s="54" t="str">
        <f>IFERROR(IF(INDEX(SPOT_Import!$A$1:$Z$2488,398,'Live Data'!$C$16)="","",INDEX(SPOT_Import!$A$1:$Z$2488,398,'Live Data'!$C$16)),"")</f>
        <v>USAID Jamii Tekelezi</v>
      </c>
      <c r="F398" s="54" t="str">
        <f>IFERROR(IF(INDEX(SPOT_Import!$A$1:$Z$2488,398,'Live Data'!$C$17)="","",INDEX(SPOT_Import!$A$1:$Z$2488,398,'Live Data'!$C$17)),"")</f>
        <v>HTS</v>
      </c>
      <c r="G398" s="54">
        <f>IFERROR(IF(INDEX(SPOT_Import!$A$1:$Z$2488,398,'Live Data'!$C$18)="","",INDEX(SPOT_Import!$A$1:$Z$2488,398,'Live Data'!$C$18)),"")</f>
        <v>15</v>
      </c>
      <c r="H398" s="54">
        <f>IFERROR(IF(INDEX(SPOT_Import!$A$1:$Z$2488,398,'Live Data'!$C$19)="","",INDEX(SPOT_Import!$A$1:$Z$2488,398,'Live Data'!$C$19)),"")</f>
        <v>15</v>
      </c>
      <c r="I398" s="54" t="str">
        <f>IFERROR(IF(INDEX(SPOT_Import!$A$1:$Z$2488,398,'Live Data'!$C$20)="","",INDEX(SPOT_Import!$A$1:$Z$2488,398,'Live Data'!$C$20)),"")</f>
        <v>Complete</v>
      </c>
      <c r="J398" s="54" t="str">
        <f>IFERROR(IF(INDEX(SPOT_Import!$A$1:$Z$2488,398,'Live Data'!$C$21)="","",INDEX(SPOT_Import!$A$1:$Z$2488,398,'Live Data'!$C$21)),"")</f>
        <v>2026-10-05T08:36:59.000Z</v>
      </c>
      <c r="K398" s="54" t="str">
        <f>IFERROR(IF(INDEX(SPOT_Import!$A$1:$Z$2488,398,'Live Data'!$C$22)="","",INDEX(SPOT_Import!$A$1:$Z$2488,398,'Live Data'!$C$22)),"")</f>
        <v>2026-10-05T08:36:59.000Z</v>
      </c>
      <c r="L398" s="55" t="str">
        <f t="shared" si="12"/>
        <v>2026-10</v>
      </c>
      <c r="M398" s="55" t="str">
        <f t="shared" si="13"/>
        <v>EMBU</v>
      </c>
      <c r="N398" s="55" t="str">
        <f>IF(A398="","",IFERROR(INDEX('Cluster Map'!$A$4:$A$38,MATCH(M398,'Cluster Map'!$B$4:$B$38,0)),"Unmapped"))</f>
        <v>Cluster 2</v>
      </c>
      <c r="O398" s="55">
        <f>IF(A398="",0,IF(COUNTIFS($A$2:A398,A398,$F$2:F398,F398,$L$2:L398,L398)=1,1,0))</f>
        <v>1</v>
      </c>
      <c r="P398" s="55">
        <f>IF(A398="",0,IF(AND(F398="C&amp;T",COUNTIFS($A$2:A398,A398,$F$2:F398,"C&amp;T")=1),1,0))</f>
        <v>0</v>
      </c>
    </row>
    <row r="399" spans="1:16" x14ac:dyDescent="0.35">
      <c r="A399" s="54">
        <f>IFERROR(IF(INDEX(SPOT_Import!$A$1:$Z$2488,399,'Live Data'!$C$12)="","",INDEX(SPOT_Import!$A$1:$Z$2488,399,'Live Data'!$C$12)),"")</f>
        <v>18781</v>
      </c>
      <c r="B399" s="54" t="str">
        <f>IFERROR(IF(INDEX(SPOT_Import!$A$1:$Z$2488,399,'Live Data'!$C$13)="","",INDEX(SPOT_Import!$A$1:$Z$2488,399,'Live Data'!$C$13)),"")</f>
        <v>Gatimu Health Centre</v>
      </c>
      <c r="C399" s="54" t="str">
        <f>IFERROR(IF(INDEX(SPOT_Import!$A$1:$Z$2488,399,'Live Data'!$C$14)="","",INDEX(SPOT_Import!$A$1:$Z$2488,399,'Live Data'!$C$14)),"")</f>
        <v>NYANDARUA</v>
      </c>
      <c r="D399" s="54" t="str">
        <f>IFERROR(IF(INDEX(SPOT_Import!$A$1:$Z$2488,399,'Live Data'!$C$15)="","",INDEX(SPOT_Import!$A$1:$Z$2488,399,'Live Data'!$C$15)),"")</f>
        <v>Oljororok</v>
      </c>
      <c r="E399" s="54" t="str">
        <f>IFERROR(IF(INDEX(SPOT_Import!$A$1:$Z$2488,399,'Live Data'!$C$16)="","",INDEX(SPOT_Import!$A$1:$Z$2488,399,'Live Data'!$C$16)),"")</f>
        <v>USAID Jamii Tekelezi</v>
      </c>
      <c r="F399" s="54" t="str">
        <f>IFERROR(IF(INDEX(SPOT_Import!$A$1:$Z$2488,399,'Live Data'!$C$17)="","",INDEX(SPOT_Import!$A$1:$Z$2488,399,'Live Data'!$C$17)),"")</f>
        <v>PREP</v>
      </c>
      <c r="G399" s="54">
        <f>IFERROR(IF(INDEX(SPOT_Import!$A$1:$Z$2488,399,'Live Data'!$C$18)="","",INDEX(SPOT_Import!$A$1:$Z$2488,399,'Live Data'!$C$18)),"")</f>
        <v>51</v>
      </c>
      <c r="H399" s="54">
        <f>IFERROR(IF(INDEX(SPOT_Import!$A$1:$Z$2488,399,'Live Data'!$C$19)="","",INDEX(SPOT_Import!$A$1:$Z$2488,399,'Live Data'!$C$19)),"")</f>
        <v>51</v>
      </c>
      <c r="I399" s="54" t="str">
        <f>IFERROR(IF(INDEX(SPOT_Import!$A$1:$Z$2488,399,'Live Data'!$C$20)="","",INDEX(SPOT_Import!$A$1:$Z$2488,399,'Live Data'!$C$20)),"")</f>
        <v>Complete</v>
      </c>
      <c r="J399" s="54" t="str">
        <f>IFERROR(IF(INDEX(SPOT_Import!$A$1:$Z$2488,399,'Live Data'!$C$21)="","",INDEX(SPOT_Import!$A$1:$Z$2488,399,'Live Data'!$C$21)),"")</f>
        <v>2026-10-05T08:29:37.000Z</v>
      </c>
      <c r="K399" s="54" t="str">
        <f>IFERROR(IF(INDEX(SPOT_Import!$A$1:$Z$2488,399,'Live Data'!$C$22)="","",INDEX(SPOT_Import!$A$1:$Z$2488,399,'Live Data'!$C$22)),"")</f>
        <v>2026-10-05T08:29:37.000Z</v>
      </c>
      <c r="L399" s="55" t="str">
        <f t="shared" si="12"/>
        <v>2026-10</v>
      </c>
      <c r="M399" s="55" t="str">
        <f t="shared" si="13"/>
        <v>NYANDARUA</v>
      </c>
      <c r="N399" s="55" t="str">
        <f>IF(A399="","",IFERROR(INDEX('Cluster Map'!$A$4:$A$38,MATCH(M399,'Cluster Map'!$B$4:$B$38,0)),"Unmapped"))</f>
        <v>Cluster 4</v>
      </c>
      <c r="O399" s="55">
        <f>IF(A399="",0,IF(COUNTIFS($A$2:A399,A399,$F$2:F399,F399,$L$2:L399,L399)=1,1,0))</f>
        <v>1</v>
      </c>
      <c r="P399" s="55">
        <f>IF(A399="",0,IF(AND(F399="C&amp;T",COUNTIFS($A$2:A399,A399,$F$2:F399,"C&amp;T")=1),1,0))</f>
        <v>0</v>
      </c>
    </row>
    <row r="400" spans="1:16" x14ac:dyDescent="0.35">
      <c r="A400" s="54">
        <f>IFERROR(IF(INDEX(SPOT_Import!$A$1:$Z$2488,400,'Live Data'!$C$12)="","",INDEX(SPOT_Import!$A$1:$Z$2488,400,'Live Data'!$C$12)),"")</f>
        <v>18781</v>
      </c>
      <c r="B400" s="54" t="str">
        <f>IFERROR(IF(INDEX(SPOT_Import!$A$1:$Z$2488,400,'Live Data'!$C$13)="","",INDEX(SPOT_Import!$A$1:$Z$2488,400,'Live Data'!$C$13)),"")</f>
        <v>Gatimu Health Centre</v>
      </c>
      <c r="C400" s="54" t="str">
        <f>IFERROR(IF(INDEX(SPOT_Import!$A$1:$Z$2488,400,'Live Data'!$C$14)="","",INDEX(SPOT_Import!$A$1:$Z$2488,400,'Live Data'!$C$14)),"")</f>
        <v>NYANDARUA</v>
      </c>
      <c r="D400" s="54" t="str">
        <f>IFERROR(IF(INDEX(SPOT_Import!$A$1:$Z$2488,400,'Live Data'!$C$15)="","",INDEX(SPOT_Import!$A$1:$Z$2488,400,'Live Data'!$C$15)),"")</f>
        <v>Oljororok</v>
      </c>
      <c r="E400" s="54" t="str">
        <f>IFERROR(IF(INDEX(SPOT_Import!$A$1:$Z$2488,400,'Live Data'!$C$16)="","",INDEX(SPOT_Import!$A$1:$Z$2488,400,'Live Data'!$C$16)),"")</f>
        <v>USAID Jamii Tekelezi</v>
      </c>
      <c r="F400" s="54" t="str">
        <f>IFERROR(IF(INDEX(SPOT_Import!$A$1:$Z$2488,400,'Live Data'!$C$17)="","",INDEX(SPOT_Import!$A$1:$Z$2488,400,'Live Data'!$C$17)),"")</f>
        <v>MNCH</v>
      </c>
      <c r="G400" s="54">
        <f>IFERROR(IF(INDEX(SPOT_Import!$A$1:$Z$2488,400,'Live Data'!$C$18)="","",INDEX(SPOT_Import!$A$1:$Z$2488,400,'Live Data'!$C$18)),"")</f>
        <v>16</v>
      </c>
      <c r="H400" s="54">
        <f>IFERROR(IF(INDEX(SPOT_Import!$A$1:$Z$2488,400,'Live Data'!$C$19)="","",INDEX(SPOT_Import!$A$1:$Z$2488,400,'Live Data'!$C$19)),"")</f>
        <v>16</v>
      </c>
      <c r="I400" s="54" t="str">
        <f>IFERROR(IF(INDEX(SPOT_Import!$A$1:$Z$2488,400,'Live Data'!$C$20)="","",INDEX(SPOT_Import!$A$1:$Z$2488,400,'Live Data'!$C$20)),"")</f>
        <v>Complete</v>
      </c>
      <c r="J400" s="54" t="str">
        <f>IFERROR(IF(INDEX(SPOT_Import!$A$1:$Z$2488,400,'Live Data'!$C$21)="","",INDEX(SPOT_Import!$A$1:$Z$2488,400,'Live Data'!$C$21)),"")</f>
        <v>2026-10-05T08:29:28.000Z</v>
      </c>
      <c r="K400" s="54" t="str">
        <f>IFERROR(IF(INDEX(SPOT_Import!$A$1:$Z$2488,400,'Live Data'!$C$22)="","",INDEX(SPOT_Import!$A$1:$Z$2488,400,'Live Data'!$C$22)),"")</f>
        <v>2026-10-05T08:29:28.000Z</v>
      </c>
      <c r="L400" s="55" t="str">
        <f t="shared" si="12"/>
        <v>2026-10</v>
      </c>
      <c r="M400" s="55" t="str">
        <f t="shared" si="13"/>
        <v>NYANDARUA</v>
      </c>
      <c r="N400" s="55" t="str">
        <f>IF(A400="","",IFERROR(INDEX('Cluster Map'!$A$4:$A$38,MATCH(M400,'Cluster Map'!$B$4:$B$38,0)),"Unmapped"))</f>
        <v>Cluster 4</v>
      </c>
      <c r="O400" s="55">
        <f>IF(A400="",0,IF(COUNTIFS($A$2:A400,A400,$F$2:F400,F400,$L$2:L400,L400)=1,1,0))</f>
        <v>1</v>
      </c>
      <c r="P400" s="55">
        <f>IF(A400="",0,IF(AND(F400="C&amp;T",COUNTIFS($A$2:A400,A400,$F$2:F400,"C&amp;T")=1),1,0))</f>
        <v>0</v>
      </c>
    </row>
    <row r="401" spans="1:16" x14ac:dyDescent="0.35">
      <c r="A401" s="54">
        <f>IFERROR(IF(INDEX(SPOT_Import!$A$1:$Z$2488,401,'Live Data'!$C$12)="","",INDEX(SPOT_Import!$A$1:$Z$2488,401,'Live Data'!$C$12)),"")</f>
        <v>18781</v>
      </c>
      <c r="B401" s="54" t="str">
        <f>IFERROR(IF(INDEX(SPOT_Import!$A$1:$Z$2488,401,'Live Data'!$C$13)="","",INDEX(SPOT_Import!$A$1:$Z$2488,401,'Live Data'!$C$13)),"")</f>
        <v>Gatimu Health Centre</v>
      </c>
      <c r="C401" s="54" t="str">
        <f>IFERROR(IF(INDEX(SPOT_Import!$A$1:$Z$2488,401,'Live Data'!$C$14)="","",INDEX(SPOT_Import!$A$1:$Z$2488,401,'Live Data'!$C$14)),"")</f>
        <v>NYANDARUA</v>
      </c>
      <c r="D401" s="54" t="str">
        <f>IFERROR(IF(INDEX(SPOT_Import!$A$1:$Z$2488,401,'Live Data'!$C$15)="","",INDEX(SPOT_Import!$A$1:$Z$2488,401,'Live Data'!$C$15)),"")</f>
        <v>Oljororok</v>
      </c>
      <c r="E401" s="54" t="str">
        <f>IFERROR(IF(INDEX(SPOT_Import!$A$1:$Z$2488,401,'Live Data'!$C$16)="","",INDEX(SPOT_Import!$A$1:$Z$2488,401,'Live Data'!$C$16)),"")</f>
        <v>USAID Jamii Tekelezi</v>
      </c>
      <c r="F401" s="54" t="str">
        <f>IFERROR(IF(INDEX(SPOT_Import!$A$1:$Z$2488,401,'Live Data'!$C$17)="","",INDEX(SPOT_Import!$A$1:$Z$2488,401,'Live Data'!$C$17)),"")</f>
        <v>HTS</v>
      </c>
      <c r="G401" s="54">
        <f>IFERROR(IF(INDEX(SPOT_Import!$A$1:$Z$2488,401,'Live Data'!$C$18)="","",INDEX(SPOT_Import!$A$1:$Z$2488,401,'Live Data'!$C$18)),"")</f>
        <v>1826</v>
      </c>
      <c r="H401" s="54">
        <f>IFERROR(IF(INDEX(SPOT_Import!$A$1:$Z$2488,401,'Live Data'!$C$19)="","",INDEX(SPOT_Import!$A$1:$Z$2488,401,'Live Data'!$C$19)),"")</f>
        <v>1826</v>
      </c>
      <c r="I401" s="54" t="str">
        <f>IFERROR(IF(INDEX(SPOT_Import!$A$1:$Z$2488,401,'Live Data'!$C$20)="","",INDEX(SPOT_Import!$A$1:$Z$2488,401,'Live Data'!$C$20)),"")</f>
        <v>Complete</v>
      </c>
      <c r="J401" s="54" t="str">
        <f>IFERROR(IF(INDEX(SPOT_Import!$A$1:$Z$2488,401,'Live Data'!$C$21)="","",INDEX(SPOT_Import!$A$1:$Z$2488,401,'Live Data'!$C$21)),"")</f>
        <v>2026-10-05T08:28:33.000Z</v>
      </c>
      <c r="K401" s="54" t="str">
        <f>IFERROR(IF(INDEX(SPOT_Import!$A$1:$Z$2488,401,'Live Data'!$C$22)="","",INDEX(SPOT_Import!$A$1:$Z$2488,401,'Live Data'!$C$22)),"")</f>
        <v>2026-10-05T08:28:33.000Z</v>
      </c>
      <c r="L401" s="55" t="str">
        <f t="shared" si="12"/>
        <v>2026-10</v>
      </c>
      <c r="M401" s="55" t="str">
        <f t="shared" si="13"/>
        <v>NYANDARUA</v>
      </c>
      <c r="N401" s="55" t="str">
        <f>IF(A401="","",IFERROR(INDEX('Cluster Map'!$A$4:$A$38,MATCH(M401,'Cluster Map'!$B$4:$B$38,0)),"Unmapped"))</f>
        <v>Cluster 4</v>
      </c>
      <c r="O401" s="55">
        <f>IF(A401="",0,IF(COUNTIFS($A$2:A401,A401,$F$2:F401,F401,$L$2:L401,L401)=1,1,0))</f>
        <v>1</v>
      </c>
      <c r="P401" s="55">
        <f>IF(A401="",0,IF(AND(F401="C&amp;T",COUNTIFS($A$2:A401,A401,$F$2:F401,"C&amp;T")=1),1,0))</f>
        <v>0</v>
      </c>
    </row>
    <row r="402" spans="1:16" x14ac:dyDescent="0.35">
      <c r="A402" s="54">
        <f>IFERROR(IF(INDEX(SPOT_Import!$A$1:$Z$2488,402,'Live Data'!$C$12)="","",INDEX(SPOT_Import!$A$1:$Z$2488,402,'Live Data'!$C$12)),"")</f>
        <v>12838</v>
      </c>
      <c r="B402" s="54" t="str">
        <f>IFERROR(IF(INDEX(SPOT_Import!$A$1:$Z$2488,402,'Live Data'!$C$13)="","",INDEX(SPOT_Import!$A$1:$Z$2488,402,'Live Data'!$C$13)),"")</f>
        <v>Wachoro Dispensary</v>
      </c>
      <c r="C402" s="54" t="str">
        <f>IFERROR(IF(INDEX(SPOT_Import!$A$1:$Z$2488,402,'Live Data'!$C$14)="","",INDEX(SPOT_Import!$A$1:$Z$2488,402,'Live Data'!$C$14)),"")</f>
        <v>EMBU</v>
      </c>
      <c r="D402" s="54" t="str">
        <f>IFERROR(IF(INDEX(SPOT_Import!$A$1:$Z$2488,402,'Live Data'!$C$15)="","",INDEX(SPOT_Import!$A$1:$Z$2488,402,'Live Data'!$C$15)),"")</f>
        <v>Mbeere South</v>
      </c>
      <c r="E402" s="54" t="str">
        <f>IFERROR(IF(INDEX(SPOT_Import!$A$1:$Z$2488,402,'Live Data'!$C$16)="","",INDEX(SPOT_Import!$A$1:$Z$2488,402,'Live Data'!$C$16)),"")</f>
        <v>USAID Jamii Tekelezi</v>
      </c>
      <c r="F402" s="54" t="str">
        <f>IFERROR(IF(INDEX(SPOT_Import!$A$1:$Z$2488,402,'Live Data'!$C$17)="","",INDEX(SPOT_Import!$A$1:$Z$2488,402,'Live Data'!$C$17)),"")</f>
        <v>C&amp;T</v>
      </c>
      <c r="G402" s="54">
        <f>IFERROR(IF(INDEX(SPOT_Import!$A$1:$Z$2488,402,'Live Data'!$C$18)="","",INDEX(SPOT_Import!$A$1:$Z$2488,402,'Live Data'!$C$18)),"")</f>
        <v>73</v>
      </c>
      <c r="H402" s="54">
        <f>IFERROR(IF(INDEX(SPOT_Import!$A$1:$Z$2488,402,'Live Data'!$C$19)="","",INDEX(SPOT_Import!$A$1:$Z$2488,402,'Live Data'!$C$19)),"")</f>
        <v>73</v>
      </c>
      <c r="I402" s="54" t="str">
        <f>IFERROR(IF(INDEX(SPOT_Import!$A$1:$Z$2488,402,'Live Data'!$C$20)="","",INDEX(SPOT_Import!$A$1:$Z$2488,402,'Live Data'!$C$20)),"")</f>
        <v>Complete</v>
      </c>
      <c r="J402" s="54" t="str">
        <f>IFERROR(IF(INDEX(SPOT_Import!$A$1:$Z$2488,402,'Live Data'!$C$21)="","",INDEX(SPOT_Import!$A$1:$Z$2488,402,'Live Data'!$C$21)),"")</f>
        <v>2026-10-05T08:13:18.000Z</v>
      </c>
      <c r="K402" s="54" t="str">
        <f>IFERROR(IF(INDEX(SPOT_Import!$A$1:$Z$2488,402,'Live Data'!$C$22)="","",INDEX(SPOT_Import!$A$1:$Z$2488,402,'Live Data'!$C$22)),"")</f>
        <v>2026-10-05T08:13:18.000Z</v>
      </c>
      <c r="L402" s="55" t="str">
        <f t="shared" si="12"/>
        <v>2026-10</v>
      </c>
      <c r="M402" s="55" t="str">
        <f t="shared" si="13"/>
        <v>EMBU</v>
      </c>
      <c r="N402" s="55" t="str">
        <f>IF(A402="","",IFERROR(INDEX('Cluster Map'!$A$4:$A$38,MATCH(M402,'Cluster Map'!$B$4:$B$38,0)),"Unmapped"))</f>
        <v>Cluster 2</v>
      </c>
      <c r="O402" s="55">
        <f>IF(A402="",0,IF(COUNTIFS($A$2:A402,A402,$F$2:F402,F402,$L$2:L402,L402)=1,1,0))</f>
        <v>1</v>
      </c>
      <c r="P402" s="55">
        <f>IF(A402="",0,IF(AND(F402="C&amp;T",COUNTIFS($A$2:A402,A402,$F$2:F402,"C&amp;T")=1),1,0))</f>
        <v>1</v>
      </c>
    </row>
    <row r="403" spans="1:16" x14ac:dyDescent="0.35">
      <c r="A403" s="54">
        <f>IFERROR(IF(INDEX(SPOT_Import!$A$1:$Z$2488,403,'Live Data'!$C$12)="","",INDEX(SPOT_Import!$A$1:$Z$2488,403,'Live Data'!$C$12)),"")</f>
        <v>10312</v>
      </c>
      <c r="B403" s="54" t="str">
        <f>IFERROR(IF(INDEX(SPOT_Import!$A$1:$Z$2488,403,'Live Data'!$C$13)="","",INDEX(SPOT_Import!$A$1:$Z$2488,403,'Live Data'!$C$13)),"")</f>
        <v>Heni Health Centre</v>
      </c>
      <c r="C403" s="54" t="str">
        <f>IFERROR(IF(INDEX(SPOT_Import!$A$1:$Z$2488,403,'Live Data'!$C$14)="","",INDEX(SPOT_Import!$A$1:$Z$2488,403,'Live Data'!$C$14)),"")</f>
        <v>NYANDARUA</v>
      </c>
      <c r="D403" s="54" t="str">
        <f>IFERROR(IF(INDEX(SPOT_Import!$A$1:$Z$2488,403,'Live Data'!$C$15)="","",INDEX(SPOT_Import!$A$1:$Z$2488,403,'Live Data'!$C$15)),"")</f>
        <v>Kinangop</v>
      </c>
      <c r="E403" s="54" t="str">
        <f>IFERROR(IF(INDEX(SPOT_Import!$A$1:$Z$2488,403,'Live Data'!$C$16)="","",INDEX(SPOT_Import!$A$1:$Z$2488,403,'Live Data'!$C$16)),"")</f>
        <v>USAID Jamii Tekelezi</v>
      </c>
      <c r="F403" s="54" t="str">
        <f>IFERROR(IF(INDEX(SPOT_Import!$A$1:$Z$2488,403,'Live Data'!$C$17)="","",INDEX(SPOT_Import!$A$1:$Z$2488,403,'Live Data'!$C$17)),"")</f>
        <v>PREP</v>
      </c>
      <c r="G403" s="54">
        <f>IFERROR(IF(INDEX(SPOT_Import!$A$1:$Z$2488,403,'Live Data'!$C$18)="","",INDEX(SPOT_Import!$A$1:$Z$2488,403,'Live Data'!$C$18)),"")</f>
        <v>13</v>
      </c>
      <c r="H403" s="54">
        <f>IFERROR(IF(INDEX(SPOT_Import!$A$1:$Z$2488,403,'Live Data'!$C$19)="","",INDEX(SPOT_Import!$A$1:$Z$2488,403,'Live Data'!$C$19)),"")</f>
        <v>13</v>
      </c>
      <c r="I403" s="54" t="str">
        <f>IFERROR(IF(INDEX(SPOT_Import!$A$1:$Z$2488,403,'Live Data'!$C$20)="","",INDEX(SPOT_Import!$A$1:$Z$2488,403,'Live Data'!$C$20)),"")</f>
        <v>Complete</v>
      </c>
      <c r="J403" s="54" t="str">
        <f>IFERROR(IF(INDEX(SPOT_Import!$A$1:$Z$2488,403,'Live Data'!$C$21)="","",INDEX(SPOT_Import!$A$1:$Z$2488,403,'Live Data'!$C$21)),"")</f>
        <v>2026-10-05T08:08:24.000Z</v>
      </c>
      <c r="K403" s="54" t="str">
        <f>IFERROR(IF(INDEX(SPOT_Import!$A$1:$Z$2488,403,'Live Data'!$C$22)="","",INDEX(SPOT_Import!$A$1:$Z$2488,403,'Live Data'!$C$22)),"")</f>
        <v>2026-10-05T08:08:24.000Z</v>
      </c>
      <c r="L403" s="55" t="str">
        <f t="shared" si="12"/>
        <v>2026-10</v>
      </c>
      <c r="M403" s="55" t="str">
        <f t="shared" si="13"/>
        <v>NYANDARUA</v>
      </c>
      <c r="N403" s="55" t="str">
        <f>IF(A403="","",IFERROR(INDEX('Cluster Map'!$A$4:$A$38,MATCH(M403,'Cluster Map'!$B$4:$B$38,0)),"Unmapped"))</f>
        <v>Cluster 4</v>
      </c>
      <c r="O403" s="55">
        <f>IF(A403="",0,IF(COUNTIFS($A$2:A403,A403,$F$2:F403,F403,$L$2:L403,L403)=1,1,0))</f>
        <v>1</v>
      </c>
      <c r="P403" s="55">
        <f>IF(A403="",0,IF(AND(F403="C&amp;T",COUNTIFS($A$2:A403,A403,$F$2:F403,"C&amp;T")=1),1,0))</f>
        <v>0</v>
      </c>
    </row>
    <row r="404" spans="1:16" x14ac:dyDescent="0.35">
      <c r="A404" s="54">
        <f>IFERROR(IF(INDEX(SPOT_Import!$A$1:$Z$2488,404,'Live Data'!$C$12)="","",INDEX(SPOT_Import!$A$1:$Z$2488,404,'Live Data'!$C$12)),"")</f>
        <v>10312</v>
      </c>
      <c r="B404" s="54" t="str">
        <f>IFERROR(IF(INDEX(SPOT_Import!$A$1:$Z$2488,404,'Live Data'!$C$13)="","",INDEX(SPOT_Import!$A$1:$Z$2488,404,'Live Data'!$C$13)),"")</f>
        <v>Heni Health Centre</v>
      </c>
      <c r="C404" s="54" t="str">
        <f>IFERROR(IF(INDEX(SPOT_Import!$A$1:$Z$2488,404,'Live Data'!$C$14)="","",INDEX(SPOT_Import!$A$1:$Z$2488,404,'Live Data'!$C$14)),"")</f>
        <v>NYANDARUA</v>
      </c>
      <c r="D404" s="54" t="str">
        <f>IFERROR(IF(INDEX(SPOT_Import!$A$1:$Z$2488,404,'Live Data'!$C$15)="","",INDEX(SPOT_Import!$A$1:$Z$2488,404,'Live Data'!$C$15)),"")</f>
        <v>Kinangop</v>
      </c>
      <c r="E404" s="54" t="str">
        <f>IFERROR(IF(INDEX(SPOT_Import!$A$1:$Z$2488,404,'Live Data'!$C$16)="","",INDEX(SPOT_Import!$A$1:$Z$2488,404,'Live Data'!$C$16)),"")</f>
        <v>USAID Jamii Tekelezi</v>
      </c>
      <c r="F404" s="54" t="str">
        <f>IFERROR(IF(INDEX(SPOT_Import!$A$1:$Z$2488,404,'Live Data'!$C$17)="","",INDEX(SPOT_Import!$A$1:$Z$2488,404,'Live Data'!$C$17)),"")</f>
        <v>MNCH</v>
      </c>
      <c r="G404" s="54">
        <f>IFERROR(IF(INDEX(SPOT_Import!$A$1:$Z$2488,404,'Live Data'!$C$18)="","",INDEX(SPOT_Import!$A$1:$Z$2488,404,'Live Data'!$C$18)),"")</f>
        <v>21</v>
      </c>
      <c r="H404" s="54">
        <f>IFERROR(IF(INDEX(SPOT_Import!$A$1:$Z$2488,404,'Live Data'!$C$19)="","",INDEX(SPOT_Import!$A$1:$Z$2488,404,'Live Data'!$C$19)),"")</f>
        <v>21</v>
      </c>
      <c r="I404" s="54" t="str">
        <f>IFERROR(IF(INDEX(SPOT_Import!$A$1:$Z$2488,404,'Live Data'!$C$20)="","",INDEX(SPOT_Import!$A$1:$Z$2488,404,'Live Data'!$C$20)),"")</f>
        <v>Complete</v>
      </c>
      <c r="J404" s="54" t="str">
        <f>IFERROR(IF(INDEX(SPOT_Import!$A$1:$Z$2488,404,'Live Data'!$C$21)="","",INDEX(SPOT_Import!$A$1:$Z$2488,404,'Live Data'!$C$21)),"")</f>
        <v>2026-10-05T08:08:10.000Z</v>
      </c>
      <c r="K404" s="54" t="str">
        <f>IFERROR(IF(INDEX(SPOT_Import!$A$1:$Z$2488,404,'Live Data'!$C$22)="","",INDEX(SPOT_Import!$A$1:$Z$2488,404,'Live Data'!$C$22)),"")</f>
        <v>2026-10-05T08:08:10.000Z</v>
      </c>
      <c r="L404" s="55" t="str">
        <f t="shared" si="12"/>
        <v>2026-10</v>
      </c>
      <c r="M404" s="55" t="str">
        <f t="shared" si="13"/>
        <v>NYANDARUA</v>
      </c>
      <c r="N404" s="55" t="str">
        <f>IF(A404="","",IFERROR(INDEX('Cluster Map'!$A$4:$A$38,MATCH(M404,'Cluster Map'!$B$4:$B$38,0)),"Unmapped"))</f>
        <v>Cluster 4</v>
      </c>
      <c r="O404" s="55">
        <f>IF(A404="",0,IF(COUNTIFS($A$2:A404,A404,$F$2:F404,F404,$L$2:L404,L404)=1,1,0))</f>
        <v>1</v>
      </c>
      <c r="P404" s="55">
        <f>IF(A404="",0,IF(AND(F404="C&amp;T",COUNTIFS($A$2:A404,A404,$F$2:F404,"C&amp;T")=1),1,0))</f>
        <v>0</v>
      </c>
    </row>
    <row r="405" spans="1:16" x14ac:dyDescent="0.35">
      <c r="A405" s="54">
        <f>IFERROR(IF(INDEX(SPOT_Import!$A$1:$Z$2488,405,'Live Data'!$C$12)="","",INDEX(SPOT_Import!$A$1:$Z$2488,405,'Live Data'!$C$12)),"")</f>
        <v>10312</v>
      </c>
      <c r="B405" s="54" t="str">
        <f>IFERROR(IF(INDEX(SPOT_Import!$A$1:$Z$2488,405,'Live Data'!$C$13)="","",INDEX(SPOT_Import!$A$1:$Z$2488,405,'Live Data'!$C$13)),"")</f>
        <v>Heni Health Centre</v>
      </c>
      <c r="C405" s="54" t="str">
        <f>IFERROR(IF(INDEX(SPOT_Import!$A$1:$Z$2488,405,'Live Data'!$C$14)="","",INDEX(SPOT_Import!$A$1:$Z$2488,405,'Live Data'!$C$14)),"")</f>
        <v>NYANDARUA</v>
      </c>
      <c r="D405" s="54" t="str">
        <f>IFERROR(IF(INDEX(SPOT_Import!$A$1:$Z$2488,405,'Live Data'!$C$15)="","",INDEX(SPOT_Import!$A$1:$Z$2488,405,'Live Data'!$C$15)),"")</f>
        <v>Kinangop</v>
      </c>
      <c r="E405" s="54" t="str">
        <f>IFERROR(IF(INDEX(SPOT_Import!$A$1:$Z$2488,405,'Live Data'!$C$16)="","",INDEX(SPOT_Import!$A$1:$Z$2488,405,'Live Data'!$C$16)),"")</f>
        <v>USAID Jamii Tekelezi</v>
      </c>
      <c r="F405" s="54" t="str">
        <f>IFERROR(IF(INDEX(SPOT_Import!$A$1:$Z$2488,405,'Live Data'!$C$17)="","",INDEX(SPOT_Import!$A$1:$Z$2488,405,'Live Data'!$C$17)),"")</f>
        <v>HTS</v>
      </c>
      <c r="G405" s="54">
        <f>IFERROR(IF(INDEX(SPOT_Import!$A$1:$Z$2488,405,'Live Data'!$C$18)="","",INDEX(SPOT_Import!$A$1:$Z$2488,405,'Live Data'!$C$18)),"")</f>
        <v>2444</v>
      </c>
      <c r="H405" s="54">
        <f>IFERROR(IF(INDEX(SPOT_Import!$A$1:$Z$2488,405,'Live Data'!$C$19)="","",INDEX(SPOT_Import!$A$1:$Z$2488,405,'Live Data'!$C$19)),"")</f>
        <v>1500</v>
      </c>
      <c r="I405" s="54" t="str">
        <f>IFERROR(IF(INDEX(SPOT_Import!$A$1:$Z$2488,405,'Live Data'!$C$20)="","",INDEX(SPOT_Import!$A$1:$Z$2488,405,'Live Data'!$C$20)),"")</f>
        <v>Complete</v>
      </c>
      <c r="J405" s="54" t="str">
        <f>IFERROR(IF(INDEX(SPOT_Import!$A$1:$Z$2488,405,'Live Data'!$C$21)="","",INDEX(SPOT_Import!$A$1:$Z$2488,405,'Live Data'!$C$21)),"")</f>
        <v>2026-10-05T08:07:44.000Z</v>
      </c>
      <c r="K405" s="54" t="str">
        <f>IFERROR(IF(INDEX(SPOT_Import!$A$1:$Z$2488,405,'Live Data'!$C$22)="","",INDEX(SPOT_Import!$A$1:$Z$2488,405,'Live Data'!$C$22)),"")</f>
        <v>2026-10-05T08:07:44.000Z</v>
      </c>
      <c r="L405" s="55" t="str">
        <f t="shared" si="12"/>
        <v>2026-10</v>
      </c>
      <c r="M405" s="55" t="str">
        <f t="shared" si="13"/>
        <v>NYANDARUA</v>
      </c>
      <c r="N405" s="55" t="str">
        <f>IF(A405="","",IFERROR(INDEX('Cluster Map'!$A$4:$A$38,MATCH(M405,'Cluster Map'!$B$4:$B$38,0)),"Unmapped"))</f>
        <v>Cluster 4</v>
      </c>
      <c r="O405" s="55">
        <f>IF(A405="",0,IF(COUNTIFS($A$2:A405,A405,$F$2:F405,F405,$L$2:L405,L405)=1,1,0))</f>
        <v>1</v>
      </c>
      <c r="P405" s="55">
        <f>IF(A405="",0,IF(AND(F405="C&amp;T",COUNTIFS($A$2:A405,A405,$F$2:F405,"C&amp;T")=1),1,0))</f>
        <v>0</v>
      </c>
    </row>
    <row r="406" spans="1:16" x14ac:dyDescent="0.35">
      <c r="A406" s="54">
        <f>IFERROR(IF(INDEX(SPOT_Import!$A$1:$Z$2488,406,'Live Data'!$C$12)="","",INDEX(SPOT_Import!$A$1:$Z$2488,406,'Live Data'!$C$12)),"")</f>
        <v>18781</v>
      </c>
      <c r="B406" s="54" t="str">
        <f>IFERROR(IF(INDEX(SPOT_Import!$A$1:$Z$2488,406,'Live Data'!$C$13)="","",INDEX(SPOT_Import!$A$1:$Z$2488,406,'Live Data'!$C$13)),"")</f>
        <v>Gatimu Health Centre</v>
      </c>
      <c r="C406" s="54" t="str">
        <f>IFERROR(IF(INDEX(SPOT_Import!$A$1:$Z$2488,406,'Live Data'!$C$14)="","",INDEX(SPOT_Import!$A$1:$Z$2488,406,'Live Data'!$C$14)),"")</f>
        <v>NYANDARUA</v>
      </c>
      <c r="D406" s="54" t="str">
        <f>IFERROR(IF(INDEX(SPOT_Import!$A$1:$Z$2488,406,'Live Data'!$C$15)="","",INDEX(SPOT_Import!$A$1:$Z$2488,406,'Live Data'!$C$15)),"")</f>
        <v>Oljororok</v>
      </c>
      <c r="E406" s="54" t="str">
        <f>IFERROR(IF(INDEX(SPOT_Import!$A$1:$Z$2488,406,'Live Data'!$C$16)="","",INDEX(SPOT_Import!$A$1:$Z$2488,406,'Live Data'!$C$16)),"")</f>
        <v>USAID Jamii Tekelezi</v>
      </c>
      <c r="F406" s="54" t="str">
        <f>IFERROR(IF(INDEX(SPOT_Import!$A$1:$Z$2488,406,'Live Data'!$C$17)="","",INDEX(SPOT_Import!$A$1:$Z$2488,406,'Live Data'!$C$17)),"")</f>
        <v>C&amp;T</v>
      </c>
      <c r="G406" s="54">
        <f>IFERROR(IF(INDEX(SPOT_Import!$A$1:$Z$2488,406,'Live Data'!$C$18)="","",INDEX(SPOT_Import!$A$1:$Z$2488,406,'Live Data'!$C$18)),"")</f>
        <v>193</v>
      </c>
      <c r="H406" s="54">
        <f>IFERROR(IF(INDEX(SPOT_Import!$A$1:$Z$2488,406,'Live Data'!$C$19)="","",INDEX(SPOT_Import!$A$1:$Z$2488,406,'Live Data'!$C$19)),"")</f>
        <v>193</v>
      </c>
      <c r="I406" s="54" t="str">
        <f>IFERROR(IF(INDEX(SPOT_Import!$A$1:$Z$2488,406,'Live Data'!$C$20)="","",INDEX(SPOT_Import!$A$1:$Z$2488,406,'Live Data'!$C$20)),"")</f>
        <v>Complete</v>
      </c>
      <c r="J406" s="54" t="str">
        <f>IFERROR(IF(INDEX(SPOT_Import!$A$1:$Z$2488,406,'Live Data'!$C$21)="","",INDEX(SPOT_Import!$A$1:$Z$2488,406,'Live Data'!$C$21)),"")</f>
        <v>2026-10-05T08:06:33.000Z</v>
      </c>
      <c r="K406" s="54" t="str">
        <f>IFERROR(IF(INDEX(SPOT_Import!$A$1:$Z$2488,406,'Live Data'!$C$22)="","",INDEX(SPOT_Import!$A$1:$Z$2488,406,'Live Data'!$C$22)),"")</f>
        <v>2026-10-05T08:06:33.000Z</v>
      </c>
      <c r="L406" s="55" t="str">
        <f t="shared" si="12"/>
        <v>2026-10</v>
      </c>
      <c r="M406" s="55" t="str">
        <f t="shared" si="13"/>
        <v>NYANDARUA</v>
      </c>
      <c r="N406" s="55" t="str">
        <f>IF(A406="","",IFERROR(INDEX('Cluster Map'!$A$4:$A$38,MATCH(M406,'Cluster Map'!$B$4:$B$38,0)),"Unmapped"))</f>
        <v>Cluster 4</v>
      </c>
      <c r="O406" s="55">
        <f>IF(A406="",0,IF(COUNTIFS($A$2:A406,A406,$F$2:F406,F406,$L$2:L406,L406)=1,1,0))</f>
        <v>1</v>
      </c>
      <c r="P406" s="55">
        <f>IF(A406="",0,IF(AND(F406="C&amp;T",COUNTIFS($A$2:A406,A406,$F$2:F406,"C&amp;T")=1),1,0))</f>
        <v>1</v>
      </c>
    </row>
    <row r="407" spans="1:16" x14ac:dyDescent="0.35">
      <c r="A407" s="54">
        <f>IFERROR(IF(INDEX(SPOT_Import!$A$1:$Z$2488,407,'Live Data'!$C$12)="","",INDEX(SPOT_Import!$A$1:$Z$2488,407,'Live Data'!$C$12)),"")</f>
        <v>10312</v>
      </c>
      <c r="B407" s="54" t="str">
        <f>IFERROR(IF(INDEX(SPOT_Import!$A$1:$Z$2488,407,'Live Data'!$C$13)="","",INDEX(SPOT_Import!$A$1:$Z$2488,407,'Live Data'!$C$13)),"")</f>
        <v>Heni Health Centre</v>
      </c>
      <c r="C407" s="54" t="str">
        <f>IFERROR(IF(INDEX(SPOT_Import!$A$1:$Z$2488,407,'Live Data'!$C$14)="","",INDEX(SPOT_Import!$A$1:$Z$2488,407,'Live Data'!$C$14)),"")</f>
        <v>NYANDARUA</v>
      </c>
      <c r="D407" s="54" t="str">
        <f>IFERROR(IF(INDEX(SPOT_Import!$A$1:$Z$2488,407,'Live Data'!$C$15)="","",INDEX(SPOT_Import!$A$1:$Z$2488,407,'Live Data'!$C$15)),"")</f>
        <v>Kinangop</v>
      </c>
      <c r="E407" s="54" t="str">
        <f>IFERROR(IF(INDEX(SPOT_Import!$A$1:$Z$2488,407,'Live Data'!$C$16)="","",INDEX(SPOT_Import!$A$1:$Z$2488,407,'Live Data'!$C$16)),"")</f>
        <v>USAID Jamii Tekelezi</v>
      </c>
      <c r="F407" s="54" t="str">
        <f>IFERROR(IF(INDEX(SPOT_Import!$A$1:$Z$2488,407,'Live Data'!$C$17)="","",INDEX(SPOT_Import!$A$1:$Z$2488,407,'Live Data'!$C$17)),"")</f>
        <v>C&amp;T</v>
      </c>
      <c r="G407" s="54">
        <f>IFERROR(IF(INDEX(SPOT_Import!$A$1:$Z$2488,407,'Live Data'!$C$18)="","",INDEX(SPOT_Import!$A$1:$Z$2488,407,'Live Data'!$C$18)),"")</f>
        <v>268</v>
      </c>
      <c r="H407" s="54">
        <f>IFERROR(IF(INDEX(SPOT_Import!$A$1:$Z$2488,407,'Live Data'!$C$19)="","",INDEX(SPOT_Import!$A$1:$Z$2488,407,'Live Data'!$C$19)),"")</f>
        <v>268</v>
      </c>
      <c r="I407" s="54" t="str">
        <f>IFERROR(IF(INDEX(SPOT_Import!$A$1:$Z$2488,407,'Live Data'!$C$20)="","",INDEX(SPOT_Import!$A$1:$Z$2488,407,'Live Data'!$C$20)),"")</f>
        <v>Complete</v>
      </c>
      <c r="J407" s="54" t="str">
        <f>IFERROR(IF(INDEX(SPOT_Import!$A$1:$Z$2488,407,'Live Data'!$C$21)="","",INDEX(SPOT_Import!$A$1:$Z$2488,407,'Live Data'!$C$21)),"")</f>
        <v>2026-10-05T07:47:26.000Z</v>
      </c>
      <c r="K407" s="54" t="str">
        <f>IFERROR(IF(INDEX(SPOT_Import!$A$1:$Z$2488,407,'Live Data'!$C$22)="","",INDEX(SPOT_Import!$A$1:$Z$2488,407,'Live Data'!$C$22)),"")</f>
        <v>2026-10-05T07:47:26.000Z</v>
      </c>
      <c r="L407" s="55" t="str">
        <f t="shared" si="12"/>
        <v>2026-10</v>
      </c>
      <c r="M407" s="55" t="str">
        <f t="shared" si="13"/>
        <v>NYANDARUA</v>
      </c>
      <c r="N407" s="55" t="str">
        <f>IF(A407="","",IFERROR(INDEX('Cluster Map'!$A$4:$A$38,MATCH(M407,'Cluster Map'!$B$4:$B$38,0)),"Unmapped"))</f>
        <v>Cluster 4</v>
      </c>
      <c r="O407" s="55">
        <f>IF(A407="",0,IF(COUNTIFS($A$2:A407,A407,$F$2:F407,F407,$L$2:L407,L407)=1,1,0))</f>
        <v>1</v>
      </c>
      <c r="P407" s="55">
        <f>IF(A407="",0,IF(AND(F407="C&amp;T",COUNTIFS($A$2:A407,A407,$F$2:F407,"C&amp;T")=1),1,0))</f>
        <v>1</v>
      </c>
    </row>
    <row r="408" spans="1:16" x14ac:dyDescent="0.35">
      <c r="A408" s="54">
        <f>IFERROR(IF(INDEX(SPOT_Import!$A$1:$Z$2488,408,'Live Data'!$C$12)="","",INDEX(SPOT_Import!$A$1:$Z$2488,408,'Live Data'!$C$12)),"")</f>
        <v>10732</v>
      </c>
      <c r="B408" s="54" t="str">
        <f>IFERROR(IF(INDEX(SPOT_Import!$A$1:$Z$2488,408,'Live Data'!$C$13)="","",INDEX(SPOT_Import!$A$1:$Z$2488,408,'Live Data'!$C$13)),"")</f>
        <v>Mirangine Health Centre</v>
      </c>
      <c r="C408" s="54" t="str">
        <f>IFERROR(IF(INDEX(SPOT_Import!$A$1:$Z$2488,408,'Live Data'!$C$14)="","",INDEX(SPOT_Import!$A$1:$Z$2488,408,'Live Data'!$C$14)),"")</f>
        <v>NYANDARUA</v>
      </c>
      <c r="D408" s="54" t="str">
        <f>IFERROR(IF(INDEX(SPOT_Import!$A$1:$Z$2488,408,'Live Data'!$C$15)="","",INDEX(SPOT_Import!$A$1:$Z$2488,408,'Live Data'!$C$15)),"")</f>
        <v>Olkalou</v>
      </c>
      <c r="E408" s="54" t="str">
        <f>IFERROR(IF(INDEX(SPOT_Import!$A$1:$Z$2488,408,'Live Data'!$C$16)="","",INDEX(SPOT_Import!$A$1:$Z$2488,408,'Live Data'!$C$16)),"")</f>
        <v>USAID Jamii Tekelezi</v>
      </c>
      <c r="F408" s="54" t="str">
        <f>IFERROR(IF(INDEX(SPOT_Import!$A$1:$Z$2488,408,'Live Data'!$C$17)="","",INDEX(SPOT_Import!$A$1:$Z$2488,408,'Live Data'!$C$17)),"")</f>
        <v>PREP</v>
      </c>
      <c r="G408" s="54">
        <f>IFERROR(IF(INDEX(SPOT_Import!$A$1:$Z$2488,408,'Live Data'!$C$18)="","",INDEX(SPOT_Import!$A$1:$Z$2488,408,'Live Data'!$C$18)),"")</f>
        <v>221</v>
      </c>
      <c r="H408" s="54">
        <f>IFERROR(IF(INDEX(SPOT_Import!$A$1:$Z$2488,408,'Live Data'!$C$19)="","",INDEX(SPOT_Import!$A$1:$Z$2488,408,'Live Data'!$C$19)),"")</f>
        <v>221</v>
      </c>
      <c r="I408" s="54" t="str">
        <f>IFERROR(IF(INDEX(SPOT_Import!$A$1:$Z$2488,408,'Live Data'!$C$20)="","",INDEX(SPOT_Import!$A$1:$Z$2488,408,'Live Data'!$C$20)),"")</f>
        <v>Complete</v>
      </c>
      <c r="J408" s="54" t="str">
        <f>IFERROR(IF(INDEX(SPOT_Import!$A$1:$Z$2488,408,'Live Data'!$C$21)="","",INDEX(SPOT_Import!$A$1:$Z$2488,408,'Live Data'!$C$21)),"")</f>
        <v>2026-10-05T06:44:07.000Z</v>
      </c>
      <c r="K408" s="54" t="str">
        <f>IFERROR(IF(INDEX(SPOT_Import!$A$1:$Z$2488,408,'Live Data'!$C$22)="","",INDEX(SPOT_Import!$A$1:$Z$2488,408,'Live Data'!$C$22)),"")</f>
        <v>2026-10-05T06:44:07.000Z</v>
      </c>
      <c r="L408" s="55" t="str">
        <f t="shared" si="12"/>
        <v>2026-10</v>
      </c>
      <c r="M408" s="55" t="str">
        <f t="shared" si="13"/>
        <v>NYANDARUA</v>
      </c>
      <c r="N408" s="55" t="str">
        <f>IF(A408="","",IFERROR(INDEX('Cluster Map'!$A$4:$A$38,MATCH(M408,'Cluster Map'!$B$4:$B$38,0)),"Unmapped"))</f>
        <v>Cluster 4</v>
      </c>
      <c r="O408" s="55">
        <f>IF(A408="",0,IF(COUNTIFS($A$2:A408,A408,$F$2:F408,F408,$L$2:L408,L408)=1,1,0))</f>
        <v>1</v>
      </c>
      <c r="P408" s="55">
        <f>IF(A408="",0,IF(AND(F408="C&amp;T",COUNTIFS($A$2:A408,A408,$F$2:F408,"C&amp;T")=1),1,0))</f>
        <v>0</v>
      </c>
    </row>
    <row r="409" spans="1:16" x14ac:dyDescent="0.35">
      <c r="A409" s="54">
        <f>IFERROR(IF(INDEX(SPOT_Import!$A$1:$Z$2488,409,'Live Data'!$C$12)="","",INDEX(SPOT_Import!$A$1:$Z$2488,409,'Live Data'!$C$12)),"")</f>
        <v>10732</v>
      </c>
      <c r="B409" s="54" t="str">
        <f>IFERROR(IF(INDEX(SPOT_Import!$A$1:$Z$2488,409,'Live Data'!$C$13)="","",INDEX(SPOT_Import!$A$1:$Z$2488,409,'Live Data'!$C$13)),"")</f>
        <v>Mirangine Health Centre</v>
      </c>
      <c r="C409" s="54" t="str">
        <f>IFERROR(IF(INDEX(SPOT_Import!$A$1:$Z$2488,409,'Live Data'!$C$14)="","",INDEX(SPOT_Import!$A$1:$Z$2488,409,'Live Data'!$C$14)),"")</f>
        <v>NYANDARUA</v>
      </c>
      <c r="D409" s="54" t="str">
        <f>IFERROR(IF(INDEX(SPOT_Import!$A$1:$Z$2488,409,'Live Data'!$C$15)="","",INDEX(SPOT_Import!$A$1:$Z$2488,409,'Live Data'!$C$15)),"")</f>
        <v>Olkalou</v>
      </c>
      <c r="E409" s="54" t="str">
        <f>IFERROR(IF(INDEX(SPOT_Import!$A$1:$Z$2488,409,'Live Data'!$C$16)="","",INDEX(SPOT_Import!$A$1:$Z$2488,409,'Live Data'!$C$16)),"")</f>
        <v>USAID Jamii Tekelezi</v>
      </c>
      <c r="F409" s="54" t="str">
        <f>IFERROR(IF(INDEX(SPOT_Import!$A$1:$Z$2488,409,'Live Data'!$C$17)="","",INDEX(SPOT_Import!$A$1:$Z$2488,409,'Live Data'!$C$17)),"")</f>
        <v>MNCH</v>
      </c>
      <c r="G409" s="54">
        <f>IFERROR(IF(INDEX(SPOT_Import!$A$1:$Z$2488,409,'Live Data'!$C$18)="","",INDEX(SPOT_Import!$A$1:$Z$2488,409,'Live Data'!$C$18)),"")</f>
        <v>42</v>
      </c>
      <c r="H409" s="54">
        <f>IFERROR(IF(INDEX(SPOT_Import!$A$1:$Z$2488,409,'Live Data'!$C$19)="","",INDEX(SPOT_Import!$A$1:$Z$2488,409,'Live Data'!$C$19)),"")</f>
        <v>42</v>
      </c>
      <c r="I409" s="54" t="str">
        <f>IFERROR(IF(INDEX(SPOT_Import!$A$1:$Z$2488,409,'Live Data'!$C$20)="","",INDEX(SPOT_Import!$A$1:$Z$2488,409,'Live Data'!$C$20)),"")</f>
        <v>Complete</v>
      </c>
      <c r="J409" s="54" t="str">
        <f>IFERROR(IF(INDEX(SPOT_Import!$A$1:$Z$2488,409,'Live Data'!$C$21)="","",INDEX(SPOT_Import!$A$1:$Z$2488,409,'Live Data'!$C$21)),"")</f>
        <v>2026-10-05T06:43:58.000Z</v>
      </c>
      <c r="K409" s="54" t="str">
        <f>IFERROR(IF(INDEX(SPOT_Import!$A$1:$Z$2488,409,'Live Data'!$C$22)="","",INDEX(SPOT_Import!$A$1:$Z$2488,409,'Live Data'!$C$22)),"")</f>
        <v>2026-10-05T06:43:58.000Z</v>
      </c>
      <c r="L409" s="55" t="str">
        <f t="shared" si="12"/>
        <v>2026-10</v>
      </c>
      <c r="M409" s="55" t="str">
        <f t="shared" si="13"/>
        <v>NYANDARUA</v>
      </c>
      <c r="N409" s="55" t="str">
        <f>IF(A409="","",IFERROR(INDEX('Cluster Map'!$A$4:$A$38,MATCH(M409,'Cluster Map'!$B$4:$B$38,0)),"Unmapped"))</f>
        <v>Cluster 4</v>
      </c>
      <c r="O409" s="55">
        <f>IF(A409="",0,IF(COUNTIFS($A$2:A409,A409,$F$2:F409,F409,$L$2:L409,L409)=1,1,0))</f>
        <v>1</v>
      </c>
      <c r="P409" s="55">
        <f>IF(A409="",0,IF(AND(F409="C&amp;T",COUNTIFS($A$2:A409,A409,$F$2:F409,"C&amp;T")=1),1,0))</f>
        <v>0</v>
      </c>
    </row>
    <row r="410" spans="1:16" x14ac:dyDescent="0.35">
      <c r="A410" s="54">
        <f>IFERROR(IF(INDEX(SPOT_Import!$A$1:$Z$2488,410,'Live Data'!$C$12)="","",INDEX(SPOT_Import!$A$1:$Z$2488,410,'Live Data'!$C$12)),"")</f>
        <v>10732</v>
      </c>
      <c r="B410" s="54" t="str">
        <f>IFERROR(IF(INDEX(SPOT_Import!$A$1:$Z$2488,410,'Live Data'!$C$13)="","",INDEX(SPOT_Import!$A$1:$Z$2488,410,'Live Data'!$C$13)),"")</f>
        <v>Mirangine Health Centre</v>
      </c>
      <c r="C410" s="54" t="str">
        <f>IFERROR(IF(INDEX(SPOT_Import!$A$1:$Z$2488,410,'Live Data'!$C$14)="","",INDEX(SPOT_Import!$A$1:$Z$2488,410,'Live Data'!$C$14)),"")</f>
        <v>NYANDARUA</v>
      </c>
      <c r="D410" s="54" t="str">
        <f>IFERROR(IF(INDEX(SPOT_Import!$A$1:$Z$2488,410,'Live Data'!$C$15)="","",INDEX(SPOT_Import!$A$1:$Z$2488,410,'Live Data'!$C$15)),"")</f>
        <v>Olkalou</v>
      </c>
      <c r="E410" s="54" t="str">
        <f>IFERROR(IF(INDEX(SPOT_Import!$A$1:$Z$2488,410,'Live Data'!$C$16)="","",INDEX(SPOT_Import!$A$1:$Z$2488,410,'Live Data'!$C$16)),"")</f>
        <v>USAID Jamii Tekelezi</v>
      </c>
      <c r="F410" s="54" t="str">
        <f>IFERROR(IF(INDEX(SPOT_Import!$A$1:$Z$2488,410,'Live Data'!$C$17)="","",INDEX(SPOT_Import!$A$1:$Z$2488,410,'Live Data'!$C$17)),"")</f>
        <v>HTS</v>
      </c>
      <c r="G410" s="54">
        <f>IFERROR(IF(INDEX(SPOT_Import!$A$1:$Z$2488,410,'Live Data'!$C$18)="","",INDEX(SPOT_Import!$A$1:$Z$2488,410,'Live Data'!$C$18)),"")</f>
        <v>3848</v>
      </c>
      <c r="H410" s="54">
        <f>IFERROR(IF(INDEX(SPOT_Import!$A$1:$Z$2488,410,'Live Data'!$C$19)="","",INDEX(SPOT_Import!$A$1:$Z$2488,410,'Live Data'!$C$19)),"")</f>
        <v>3848</v>
      </c>
      <c r="I410" s="54" t="str">
        <f>IFERROR(IF(INDEX(SPOT_Import!$A$1:$Z$2488,410,'Live Data'!$C$20)="","",INDEX(SPOT_Import!$A$1:$Z$2488,410,'Live Data'!$C$20)),"")</f>
        <v>Complete</v>
      </c>
      <c r="J410" s="54" t="str">
        <f>IFERROR(IF(INDEX(SPOT_Import!$A$1:$Z$2488,410,'Live Data'!$C$21)="","",INDEX(SPOT_Import!$A$1:$Z$2488,410,'Live Data'!$C$21)),"")</f>
        <v>2026-10-05T06:43:48.000Z</v>
      </c>
      <c r="K410" s="54" t="str">
        <f>IFERROR(IF(INDEX(SPOT_Import!$A$1:$Z$2488,410,'Live Data'!$C$22)="","",INDEX(SPOT_Import!$A$1:$Z$2488,410,'Live Data'!$C$22)),"")</f>
        <v>2026-10-05T06:43:48.000Z</v>
      </c>
      <c r="L410" s="55" t="str">
        <f t="shared" si="12"/>
        <v>2026-10</v>
      </c>
      <c r="M410" s="55" t="str">
        <f t="shared" si="13"/>
        <v>NYANDARUA</v>
      </c>
      <c r="N410" s="55" t="str">
        <f>IF(A410="","",IFERROR(INDEX('Cluster Map'!$A$4:$A$38,MATCH(M410,'Cluster Map'!$B$4:$B$38,0)),"Unmapped"))</f>
        <v>Cluster 4</v>
      </c>
      <c r="O410" s="55">
        <f>IF(A410="",0,IF(COUNTIFS($A$2:A410,A410,$F$2:F410,F410,$L$2:L410,L410)=1,1,0))</f>
        <v>1</v>
      </c>
      <c r="P410" s="55">
        <f>IF(A410="",0,IF(AND(F410="C&amp;T",COUNTIFS($A$2:A410,A410,$F$2:F410,"C&amp;T")=1),1,0))</f>
        <v>0</v>
      </c>
    </row>
    <row r="411" spans="1:16" x14ac:dyDescent="0.35">
      <c r="A411" s="54">
        <f>IFERROR(IF(INDEX(SPOT_Import!$A$1:$Z$2488,411,'Live Data'!$C$12)="","",INDEX(SPOT_Import!$A$1:$Z$2488,411,'Live Data'!$C$12)),"")</f>
        <v>10912</v>
      </c>
      <c r="B411" s="54" t="str">
        <f>IFERROR(IF(INDEX(SPOT_Import!$A$1:$Z$2488,411,'Live Data'!$C$13)="","",INDEX(SPOT_Import!$A$1:$Z$2488,411,'Live Data'!$C$13)),"")</f>
        <v>Old Mawingu Health Centre</v>
      </c>
      <c r="C411" s="54" t="str">
        <f>IFERROR(IF(INDEX(SPOT_Import!$A$1:$Z$2488,411,'Live Data'!$C$14)="","",INDEX(SPOT_Import!$A$1:$Z$2488,411,'Live Data'!$C$14)),"")</f>
        <v>NYANDARUA</v>
      </c>
      <c r="D411" s="54" t="str">
        <f>IFERROR(IF(INDEX(SPOT_Import!$A$1:$Z$2488,411,'Live Data'!$C$15)="","",INDEX(SPOT_Import!$A$1:$Z$2488,411,'Live Data'!$C$15)),"")</f>
        <v>Kipipiri</v>
      </c>
      <c r="E411" s="54" t="str">
        <f>IFERROR(IF(INDEX(SPOT_Import!$A$1:$Z$2488,411,'Live Data'!$C$16)="","",INDEX(SPOT_Import!$A$1:$Z$2488,411,'Live Data'!$C$16)),"")</f>
        <v>USAID Jamii Tekelezi</v>
      </c>
      <c r="F411" s="54" t="str">
        <f>IFERROR(IF(INDEX(SPOT_Import!$A$1:$Z$2488,411,'Live Data'!$C$17)="","",INDEX(SPOT_Import!$A$1:$Z$2488,411,'Live Data'!$C$17)),"")</f>
        <v>HTS</v>
      </c>
      <c r="G411" s="54">
        <f>IFERROR(IF(INDEX(SPOT_Import!$A$1:$Z$2488,411,'Live Data'!$C$18)="","",INDEX(SPOT_Import!$A$1:$Z$2488,411,'Live Data'!$C$18)),"")</f>
        <v>2805</v>
      </c>
      <c r="H411" s="54">
        <f>IFERROR(IF(INDEX(SPOT_Import!$A$1:$Z$2488,411,'Live Data'!$C$19)="","",INDEX(SPOT_Import!$A$1:$Z$2488,411,'Live Data'!$C$19)),"")</f>
        <v>2805</v>
      </c>
      <c r="I411" s="54" t="str">
        <f>IFERROR(IF(INDEX(SPOT_Import!$A$1:$Z$2488,411,'Live Data'!$C$20)="","",INDEX(SPOT_Import!$A$1:$Z$2488,411,'Live Data'!$C$20)),"")</f>
        <v>Complete</v>
      </c>
      <c r="J411" s="54" t="str">
        <f>IFERROR(IF(INDEX(SPOT_Import!$A$1:$Z$2488,411,'Live Data'!$C$21)="","",INDEX(SPOT_Import!$A$1:$Z$2488,411,'Live Data'!$C$21)),"")</f>
        <v>2026-10-05T06:37:43.000Z</v>
      </c>
      <c r="K411" s="54" t="str">
        <f>IFERROR(IF(INDEX(SPOT_Import!$A$1:$Z$2488,411,'Live Data'!$C$22)="","",INDEX(SPOT_Import!$A$1:$Z$2488,411,'Live Data'!$C$22)),"")</f>
        <v>2026-10-05T06:37:43.000Z</v>
      </c>
      <c r="L411" s="55" t="str">
        <f t="shared" si="12"/>
        <v>2026-10</v>
      </c>
      <c r="M411" s="55" t="str">
        <f t="shared" si="13"/>
        <v>NYANDARUA</v>
      </c>
      <c r="N411" s="55" t="str">
        <f>IF(A411="","",IFERROR(INDEX('Cluster Map'!$A$4:$A$38,MATCH(M411,'Cluster Map'!$B$4:$B$38,0)),"Unmapped"))</f>
        <v>Cluster 4</v>
      </c>
      <c r="O411" s="55">
        <f>IF(A411="",0,IF(COUNTIFS($A$2:A411,A411,$F$2:F411,F411,$L$2:L411,L411)=1,1,0))</f>
        <v>1</v>
      </c>
      <c r="P411" s="55">
        <f>IF(A411="",0,IF(AND(F411="C&amp;T",COUNTIFS($A$2:A411,A411,$F$2:F411,"C&amp;T")=1),1,0))</f>
        <v>0</v>
      </c>
    </row>
    <row r="412" spans="1:16" x14ac:dyDescent="0.35">
      <c r="A412" s="54">
        <f>IFERROR(IF(INDEX(SPOT_Import!$A$1:$Z$2488,412,'Live Data'!$C$12)="","",INDEX(SPOT_Import!$A$1:$Z$2488,412,'Live Data'!$C$12)),"")</f>
        <v>12185</v>
      </c>
      <c r="B412" s="54" t="str">
        <f>IFERROR(IF(INDEX(SPOT_Import!$A$1:$Z$2488,412,'Live Data'!$C$13)="","",INDEX(SPOT_Import!$A$1:$Z$2488,412,'Live Data'!$C$13)),"")</f>
        <v>Kanyuambora Dispensary</v>
      </c>
      <c r="C412" s="54" t="str">
        <f>IFERROR(IF(INDEX(SPOT_Import!$A$1:$Z$2488,412,'Live Data'!$C$14)="","",INDEX(SPOT_Import!$A$1:$Z$2488,412,'Live Data'!$C$14)),"")</f>
        <v>EMBU</v>
      </c>
      <c r="D412" s="54" t="str">
        <f>IFERROR(IF(INDEX(SPOT_Import!$A$1:$Z$2488,412,'Live Data'!$C$15)="","",INDEX(SPOT_Import!$A$1:$Z$2488,412,'Live Data'!$C$15)),"")</f>
        <v>Mbeere North</v>
      </c>
      <c r="E412" s="54" t="str">
        <f>IFERROR(IF(INDEX(SPOT_Import!$A$1:$Z$2488,412,'Live Data'!$C$16)="","",INDEX(SPOT_Import!$A$1:$Z$2488,412,'Live Data'!$C$16)),"")</f>
        <v>USAID Jamii Tekelezi</v>
      </c>
      <c r="F412" s="54" t="str">
        <f>IFERROR(IF(INDEX(SPOT_Import!$A$1:$Z$2488,412,'Live Data'!$C$17)="","",INDEX(SPOT_Import!$A$1:$Z$2488,412,'Live Data'!$C$17)),"")</f>
        <v>PREP</v>
      </c>
      <c r="G412" s="54">
        <f>IFERROR(IF(INDEX(SPOT_Import!$A$1:$Z$2488,412,'Live Data'!$C$18)="","",INDEX(SPOT_Import!$A$1:$Z$2488,412,'Live Data'!$C$18)),"")</f>
        <v>3</v>
      </c>
      <c r="H412" s="54">
        <f>IFERROR(IF(INDEX(SPOT_Import!$A$1:$Z$2488,412,'Live Data'!$C$19)="","",INDEX(SPOT_Import!$A$1:$Z$2488,412,'Live Data'!$C$19)),"")</f>
        <v>3</v>
      </c>
      <c r="I412" s="54" t="str">
        <f>IFERROR(IF(INDEX(SPOT_Import!$A$1:$Z$2488,412,'Live Data'!$C$20)="","",INDEX(SPOT_Import!$A$1:$Z$2488,412,'Live Data'!$C$20)),"")</f>
        <v>Complete</v>
      </c>
      <c r="J412" s="54" t="str">
        <f>IFERROR(IF(INDEX(SPOT_Import!$A$1:$Z$2488,412,'Live Data'!$C$21)="","",INDEX(SPOT_Import!$A$1:$Z$2488,412,'Live Data'!$C$21)),"")</f>
        <v>2026-10-05T06:37:23.000Z</v>
      </c>
      <c r="K412" s="54" t="str">
        <f>IFERROR(IF(INDEX(SPOT_Import!$A$1:$Z$2488,412,'Live Data'!$C$22)="","",INDEX(SPOT_Import!$A$1:$Z$2488,412,'Live Data'!$C$22)),"")</f>
        <v>2026-10-05T06:37:23.000Z</v>
      </c>
      <c r="L412" s="55" t="str">
        <f t="shared" si="12"/>
        <v>2026-10</v>
      </c>
      <c r="M412" s="55" t="str">
        <f t="shared" si="13"/>
        <v>EMBU</v>
      </c>
      <c r="N412" s="55" t="str">
        <f>IF(A412="","",IFERROR(INDEX('Cluster Map'!$A$4:$A$38,MATCH(M412,'Cluster Map'!$B$4:$B$38,0)),"Unmapped"))</f>
        <v>Cluster 2</v>
      </c>
      <c r="O412" s="55">
        <f>IF(A412="",0,IF(COUNTIFS($A$2:A412,A412,$F$2:F412,F412,$L$2:L412,L412)=1,1,0))</f>
        <v>1</v>
      </c>
      <c r="P412" s="55">
        <f>IF(A412="",0,IF(AND(F412="C&amp;T",COUNTIFS($A$2:A412,A412,$F$2:F412,"C&amp;T")=1),1,0))</f>
        <v>0</v>
      </c>
    </row>
    <row r="413" spans="1:16" x14ac:dyDescent="0.35">
      <c r="A413" s="54">
        <f>IFERROR(IF(INDEX(SPOT_Import!$A$1:$Z$2488,413,'Live Data'!$C$12)="","",INDEX(SPOT_Import!$A$1:$Z$2488,413,'Live Data'!$C$12)),"")</f>
        <v>12185</v>
      </c>
      <c r="B413" s="54" t="str">
        <f>IFERROR(IF(INDEX(SPOT_Import!$A$1:$Z$2488,413,'Live Data'!$C$13)="","",INDEX(SPOT_Import!$A$1:$Z$2488,413,'Live Data'!$C$13)),"")</f>
        <v>Kanyuambora Dispensary</v>
      </c>
      <c r="C413" s="54" t="str">
        <f>IFERROR(IF(INDEX(SPOT_Import!$A$1:$Z$2488,413,'Live Data'!$C$14)="","",INDEX(SPOT_Import!$A$1:$Z$2488,413,'Live Data'!$C$14)),"")</f>
        <v>EMBU</v>
      </c>
      <c r="D413" s="54" t="str">
        <f>IFERROR(IF(INDEX(SPOT_Import!$A$1:$Z$2488,413,'Live Data'!$C$15)="","",INDEX(SPOT_Import!$A$1:$Z$2488,413,'Live Data'!$C$15)),"")</f>
        <v>Mbeere North</v>
      </c>
      <c r="E413" s="54" t="str">
        <f>IFERROR(IF(INDEX(SPOT_Import!$A$1:$Z$2488,413,'Live Data'!$C$16)="","",INDEX(SPOT_Import!$A$1:$Z$2488,413,'Live Data'!$C$16)),"")</f>
        <v>USAID Jamii Tekelezi</v>
      </c>
      <c r="F413" s="54" t="str">
        <f>IFERROR(IF(INDEX(SPOT_Import!$A$1:$Z$2488,413,'Live Data'!$C$17)="","",INDEX(SPOT_Import!$A$1:$Z$2488,413,'Live Data'!$C$17)),"")</f>
        <v>MNCH</v>
      </c>
      <c r="G413" s="54">
        <f>IFERROR(IF(INDEX(SPOT_Import!$A$1:$Z$2488,413,'Live Data'!$C$18)="","",INDEX(SPOT_Import!$A$1:$Z$2488,413,'Live Data'!$C$18)),"")</f>
        <v>16</v>
      </c>
      <c r="H413" s="54">
        <f>IFERROR(IF(INDEX(SPOT_Import!$A$1:$Z$2488,413,'Live Data'!$C$19)="","",INDEX(SPOT_Import!$A$1:$Z$2488,413,'Live Data'!$C$19)),"")</f>
        <v>16</v>
      </c>
      <c r="I413" s="54" t="str">
        <f>IFERROR(IF(INDEX(SPOT_Import!$A$1:$Z$2488,413,'Live Data'!$C$20)="","",INDEX(SPOT_Import!$A$1:$Z$2488,413,'Live Data'!$C$20)),"")</f>
        <v>Complete</v>
      </c>
      <c r="J413" s="54" t="str">
        <f>IFERROR(IF(INDEX(SPOT_Import!$A$1:$Z$2488,413,'Live Data'!$C$21)="","",INDEX(SPOT_Import!$A$1:$Z$2488,413,'Live Data'!$C$21)),"")</f>
        <v>2026-10-05T06:37:13.000Z</v>
      </c>
      <c r="K413" s="54" t="str">
        <f>IFERROR(IF(INDEX(SPOT_Import!$A$1:$Z$2488,413,'Live Data'!$C$22)="","",INDEX(SPOT_Import!$A$1:$Z$2488,413,'Live Data'!$C$22)),"")</f>
        <v>2026-10-05T06:37:13.000Z</v>
      </c>
      <c r="L413" s="55" t="str">
        <f t="shared" si="12"/>
        <v>2026-10</v>
      </c>
      <c r="M413" s="55" t="str">
        <f t="shared" si="13"/>
        <v>EMBU</v>
      </c>
      <c r="N413" s="55" t="str">
        <f>IF(A413="","",IFERROR(INDEX('Cluster Map'!$A$4:$A$38,MATCH(M413,'Cluster Map'!$B$4:$B$38,0)),"Unmapped"))</f>
        <v>Cluster 2</v>
      </c>
      <c r="O413" s="55">
        <f>IF(A413="",0,IF(COUNTIFS($A$2:A413,A413,$F$2:F413,F413,$L$2:L413,L413)=1,1,0))</f>
        <v>1</v>
      </c>
      <c r="P413" s="55">
        <f>IF(A413="",0,IF(AND(F413="C&amp;T",COUNTIFS($A$2:A413,A413,$F$2:F413,"C&amp;T")=1),1,0))</f>
        <v>0</v>
      </c>
    </row>
    <row r="414" spans="1:16" x14ac:dyDescent="0.35">
      <c r="A414" s="54">
        <f>IFERROR(IF(INDEX(SPOT_Import!$A$1:$Z$2488,414,'Live Data'!$C$12)="","",INDEX(SPOT_Import!$A$1:$Z$2488,414,'Live Data'!$C$12)),"")</f>
        <v>12185</v>
      </c>
      <c r="B414" s="54" t="str">
        <f>IFERROR(IF(INDEX(SPOT_Import!$A$1:$Z$2488,414,'Live Data'!$C$13)="","",INDEX(SPOT_Import!$A$1:$Z$2488,414,'Live Data'!$C$13)),"")</f>
        <v>Kanyuambora Dispensary</v>
      </c>
      <c r="C414" s="54" t="str">
        <f>IFERROR(IF(INDEX(SPOT_Import!$A$1:$Z$2488,414,'Live Data'!$C$14)="","",INDEX(SPOT_Import!$A$1:$Z$2488,414,'Live Data'!$C$14)),"")</f>
        <v>EMBU</v>
      </c>
      <c r="D414" s="54" t="str">
        <f>IFERROR(IF(INDEX(SPOT_Import!$A$1:$Z$2488,414,'Live Data'!$C$15)="","",INDEX(SPOT_Import!$A$1:$Z$2488,414,'Live Data'!$C$15)),"")</f>
        <v>Mbeere North</v>
      </c>
      <c r="E414" s="54" t="str">
        <f>IFERROR(IF(INDEX(SPOT_Import!$A$1:$Z$2488,414,'Live Data'!$C$16)="","",INDEX(SPOT_Import!$A$1:$Z$2488,414,'Live Data'!$C$16)),"")</f>
        <v>USAID Jamii Tekelezi</v>
      </c>
      <c r="F414" s="54" t="str">
        <f>IFERROR(IF(INDEX(SPOT_Import!$A$1:$Z$2488,414,'Live Data'!$C$17)="","",INDEX(SPOT_Import!$A$1:$Z$2488,414,'Live Data'!$C$17)),"")</f>
        <v>HTS</v>
      </c>
      <c r="G414" s="54">
        <f>IFERROR(IF(INDEX(SPOT_Import!$A$1:$Z$2488,414,'Live Data'!$C$18)="","",INDEX(SPOT_Import!$A$1:$Z$2488,414,'Live Data'!$C$18)),"")</f>
        <v>11</v>
      </c>
      <c r="H414" s="54">
        <f>IFERROR(IF(INDEX(SPOT_Import!$A$1:$Z$2488,414,'Live Data'!$C$19)="","",INDEX(SPOT_Import!$A$1:$Z$2488,414,'Live Data'!$C$19)),"")</f>
        <v>11</v>
      </c>
      <c r="I414" s="54" t="str">
        <f>IFERROR(IF(INDEX(SPOT_Import!$A$1:$Z$2488,414,'Live Data'!$C$20)="","",INDEX(SPOT_Import!$A$1:$Z$2488,414,'Live Data'!$C$20)),"")</f>
        <v>Complete</v>
      </c>
      <c r="J414" s="54" t="str">
        <f>IFERROR(IF(INDEX(SPOT_Import!$A$1:$Z$2488,414,'Live Data'!$C$21)="","",INDEX(SPOT_Import!$A$1:$Z$2488,414,'Live Data'!$C$21)),"")</f>
        <v>2026-10-05T06:37:06.000Z</v>
      </c>
      <c r="K414" s="54" t="str">
        <f>IFERROR(IF(INDEX(SPOT_Import!$A$1:$Z$2488,414,'Live Data'!$C$22)="","",INDEX(SPOT_Import!$A$1:$Z$2488,414,'Live Data'!$C$22)),"")</f>
        <v>2026-10-05T06:37:06.000Z</v>
      </c>
      <c r="L414" s="55" t="str">
        <f t="shared" si="12"/>
        <v>2026-10</v>
      </c>
      <c r="M414" s="55" t="str">
        <f t="shared" si="13"/>
        <v>EMBU</v>
      </c>
      <c r="N414" s="55" t="str">
        <f>IF(A414="","",IFERROR(INDEX('Cluster Map'!$A$4:$A$38,MATCH(M414,'Cluster Map'!$B$4:$B$38,0)),"Unmapped"))</f>
        <v>Cluster 2</v>
      </c>
      <c r="O414" s="55">
        <f>IF(A414="",0,IF(COUNTIFS($A$2:A414,A414,$F$2:F414,F414,$L$2:L414,L414)=1,1,0))</f>
        <v>1</v>
      </c>
      <c r="P414" s="55">
        <f>IF(A414="",0,IF(AND(F414="C&amp;T",COUNTIFS($A$2:A414,A414,$F$2:F414,"C&amp;T")=1),1,0))</f>
        <v>0</v>
      </c>
    </row>
    <row r="415" spans="1:16" x14ac:dyDescent="0.35">
      <c r="A415" s="54">
        <f>IFERROR(IF(INDEX(SPOT_Import!$A$1:$Z$2488,415,'Live Data'!$C$12)="","",INDEX(SPOT_Import!$A$1:$Z$2488,415,'Live Data'!$C$12)),"")</f>
        <v>12185</v>
      </c>
      <c r="B415" s="54" t="str">
        <f>IFERROR(IF(INDEX(SPOT_Import!$A$1:$Z$2488,415,'Live Data'!$C$13)="","",INDEX(SPOT_Import!$A$1:$Z$2488,415,'Live Data'!$C$13)),"")</f>
        <v>Kanyuambora Dispensary</v>
      </c>
      <c r="C415" s="54" t="str">
        <f>IFERROR(IF(INDEX(SPOT_Import!$A$1:$Z$2488,415,'Live Data'!$C$14)="","",INDEX(SPOT_Import!$A$1:$Z$2488,415,'Live Data'!$C$14)),"")</f>
        <v>EMBU</v>
      </c>
      <c r="D415" s="54" t="str">
        <f>IFERROR(IF(INDEX(SPOT_Import!$A$1:$Z$2488,415,'Live Data'!$C$15)="","",INDEX(SPOT_Import!$A$1:$Z$2488,415,'Live Data'!$C$15)),"")</f>
        <v>Mbeere North</v>
      </c>
      <c r="E415" s="54" t="str">
        <f>IFERROR(IF(INDEX(SPOT_Import!$A$1:$Z$2488,415,'Live Data'!$C$16)="","",INDEX(SPOT_Import!$A$1:$Z$2488,415,'Live Data'!$C$16)),"")</f>
        <v>USAID Jamii Tekelezi</v>
      </c>
      <c r="F415" s="54" t="str">
        <f>IFERROR(IF(INDEX(SPOT_Import!$A$1:$Z$2488,415,'Live Data'!$C$17)="","",INDEX(SPOT_Import!$A$1:$Z$2488,415,'Live Data'!$C$17)),"")</f>
        <v>C&amp;T</v>
      </c>
      <c r="G415" s="54">
        <f>IFERROR(IF(INDEX(SPOT_Import!$A$1:$Z$2488,415,'Live Data'!$C$18)="","",INDEX(SPOT_Import!$A$1:$Z$2488,415,'Live Data'!$C$18)),"")</f>
        <v>68</v>
      </c>
      <c r="H415" s="54">
        <f>IFERROR(IF(INDEX(SPOT_Import!$A$1:$Z$2488,415,'Live Data'!$C$19)="","",INDEX(SPOT_Import!$A$1:$Z$2488,415,'Live Data'!$C$19)),"")</f>
        <v>68</v>
      </c>
      <c r="I415" s="54" t="str">
        <f>IFERROR(IF(INDEX(SPOT_Import!$A$1:$Z$2488,415,'Live Data'!$C$20)="","",INDEX(SPOT_Import!$A$1:$Z$2488,415,'Live Data'!$C$20)),"")</f>
        <v>Complete</v>
      </c>
      <c r="J415" s="54" t="str">
        <f>IFERROR(IF(INDEX(SPOT_Import!$A$1:$Z$2488,415,'Live Data'!$C$21)="","",INDEX(SPOT_Import!$A$1:$Z$2488,415,'Live Data'!$C$21)),"")</f>
        <v>2026-10-05T06:14:14.000Z</v>
      </c>
      <c r="K415" s="54" t="str">
        <f>IFERROR(IF(INDEX(SPOT_Import!$A$1:$Z$2488,415,'Live Data'!$C$22)="","",INDEX(SPOT_Import!$A$1:$Z$2488,415,'Live Data'!$C$22)),"")</f>
        <v>2026-10-05T06:14:14.000Z</v>
      </c>
      <c r="L415" s="55" t="str">
        <f t="shared" si="12"/>
        <v>2026-10</v>
      </c>
      <c r="M415" s="55" t="str">
        <f t="shared" si="13"/>
        <v>EMBU</v>
      </c>
      <c r="N415" s="55" t="str">
        <f>IF(A415="","",IFERROR(INDEX('Cluster Map'!$A$4:$A$38,MATCH(M415,'Cluster Map'!$B$4:$B$38,0)),"Unmapped"))</f>
        <v>Cluster 2</v>
      </c>
      <c r="O415" s="55">
        <f>IF(A415="",0,IF(COUNTIFS($A$2:A415,A415,$F$2:F415,F415,$L$2:L415,L415)=1,1,0))</f>
        <v>1</v>
      </c>
      <c r="P415" s="55">
        <f>IF(A415="",0,IF(AND(F415="C&amp;T",COUNTIFS($A$2:A415,A415,$F$2:F415,"C&amp;T")=1),1,0))</f>
        <v>1</v>
      </c>
    </row>
    <row r="416" spans="1:16" x14ac:dyDescent="0.35">
      <c r="A416" s="54">
        <f>IFERROR(IF(INDEX(SPOT_Import!$A$1:$Z$2488,416,'Live Data'!$C$12)="","",INDEX(SPOT_Import!$A$1:$Z$2488,416,'Live Data'!$C$12)),"")</f>
        <v>10912</v>
      </c>
      <c r="B416" s="54" t="str">
        <f>IFERROR(IF(INDEX(SPOT_Import!$A$1:$Z$2488,416,'Live Data'!$C$13)="","",INDEX(SPOT_Import!$A$1:$Z$2488,416,'Live Data'!$C$13)),"")</f>
        <v>Old Mawingu Health Centre</v>
      </c>
      <c r="C416" s="54" t="str">
        <f>IFERROR(IF(INDEX(SPOT_Import!$A$1:$Z$2488,416,'Live Data'!$C$14)="","",INDEX(SPOT_Import!$A$1:$Z$2488,416,'Live Data'!$C$14)),"")</f>
        <v>NYANDARUA</v>
      </c>
      <c r="D416" s="54" t="str">
        <f>IFERROR(IF(INDEX(SPOT_Import!$A$1:$Z$2488,416,'Live Data'!$C$15)="","",INDEX(SPOT_Import!$A$1:$Z$2488,416,'Live Data'!$C$15)),"")</f>
        <v>Kipipiri</v>
      </c>
      <c r="E416" s="54" t="str">
        <f>IFERROR(IF(INDEX(SPOT_Import!$A$1:$Z$2488,416,'Live Data'!$C$16)="","",INDEX(SPOT_Import!$A$1:$Z$2488,416,'Live Data'!$C$16)),"")</f>
        <v>USAID Jamii Tekelezi</v>
      </c>
      <c r="F416" s="54" t="str">
        <f>IFERROR(IF(INDEX(SPOT_Import!$A$1:$Z$2488,416,'Live Data'!$C$17)="","",INDEX(SPOT_Import!$A$1:$Z$2488,416,'Live Data'!$C$17)),"")</f>
        <v>C&amp;T</v>
      </c>
      <c r="G416" s="54">
        <f>IFERROR(IF(INDEX(SPOT_Import!$A$1:$Z$2488,416,'Live Data'!$C$18)="","",INDEX(SPOT_Import!$A$1:$Z$2488,416,'Live Data'!$C$18)),"")</f>
        <v>353</v>
      </c>
      <c r="H416" s="54">
        <f>IFERROR(IF(INDEX(SPOT_Import!$A$1:$Z$2488,416,'Live Data'!$C$19)="","",INDEX(SPOT_Import!$A$1:$Z$2488,416,'Live Data'!$C$19)),"")</f>
        <v>353</v>
      </c>
      <c r="I416" s="54" t="str">
        <f>IFERROR(IF(INDEX(SPOT_Import!$A$1:$Z$2488,416,'Live Data'!$C$20)="","",INDEX(SPOT_Import!$A$1:$Z$2488,416,'Live Data'!$C$20)),"")</f>
        <v>Complete</v>
      </c>
      <c r="J416" s="54" t="str">
        <f>IFERROR(IF(INDEX(SPOT_Import!$A$1:$Z$2488,416,'Live Data'!$C$21)="","",INDEX(SPOT_Import!$A$1:$Z$2488,416,'Live Data'!$C$21)),"")</f>
        <v>2026-10-05T06:00:34.000Z</v>
      </c>
      <c r="K416" s="54" t="str">
        <f>IFERROR(IF(INDEX(SPOT_Import!$A$1:$Z$2488,416,'Live Data'!$C$22)="","",INDEX(SPOT_Import!$A$1:$Z$2488,416,'Live Data'!$C$22)),"")</f>
        <v>2026-10-05T06:00:34.000Z</v>
      </c>
      <c r="L416" s="55" t="str">
        <f t="shared" si="12"/>
        <v>2026-10</v>
      </c>
      <c r="M416" s="55" t="str">
        <f t="shared" si="13"/>
        <v>NYANDARUA</v>
      </c>
      <c r="N416" s="55" t="str">
        <f>IF(A416="","",IFERROR(INDEX('Cluster Map'!$A$4:$A$38,MATCH(M416,'Cluster Map'!$B$4:$B$38,0)),"Unmapped"))</f>
        <v>Cluster 4</v>
      </c>
      <c r="O416" s="55">
        <f>IF(A416="",0,IF(COUNTIFS($A$2:A416,A416,$F$2:F416,F416,$L$2:L416,L416)=1,1,0))</f>
        <v>1</v>
      </c>
      <c r="P416" s="55">
        <f>IF(A416="",0,IF(AND(F416="C&amp;T",COUNTIFS($A$2:A416,A416,$F$2:F416,"C&amp;T")=1),1,0))</f>
        <v>1</v>
      </c>
    </row>
    <row r="417" spans="1:16" x14ac:dyDescent="0.35">
      <c r="A417" s="54">
        <f>IFERROR(IF(INDEX(SPOT_Import!$A$1:$Z$2488,417,'Live Data'!$C$12)="","",INDEX(SPOT_Import!$A$1:$Z$2488,417,'Live Data'!$C$12)),"")</f>
        <v>12034</v>
      </c>
      <c r="B417" s="54" t="str">
        <f>IFERROR(IF(INDEX(SPOT_Import!$A$1:$Z$2488,417,'Live Data'!$C$13)="","",INDEX(SPOT_Import!$A$1:$Z$2488,417,'Live Data'!$C$13)),"")</f>
        <v>Gatunga Health Centre</v>
      </c>
      <c r="C417" s="54" t="str">
        <f>IFERROR(IF(INDEX(SPOT_Import!$A$1:$Z$2488,417,'Live Data'!$C$14)="","",INDEX(SPOT_Import!$A$1:$Z$2488,417,'Live Data'!$C$14)),"")</f>
        <v>THARAKA-NITHI</v>
      </c>
      <c r="D417" s="54" t="str">
        <f>IFERROR(IF(INDEX(SPOT_Import!$A$1:$Z$2488,417,'Live Data'!$C$15)="","",INDEX(SPOT_Import!$A$1:$Z$2488,417,'Live Data'!$C$15)),"")</f>
        <v>Tharaka South</v>
      </c>
      <c r="E417" s="54" t="str">
        <f>IFERROR(IF(INDEX(SPOT_Import!$A$1:$Z$2488,417,'Live Data'!$C$16)="","",INDEX(SPOT_Import!$A$1:$Z$2488,417,'Live Data'!$C$16)),"")</f>
        <v>USAID Jamii Tekelezi</v>
      </c>
      <c r="F417" s="54" t="str">
        <f>IFERROR(IF(INDEX(SPOT_Import!$A$1:$Z$2488,417,'Live Data'!$C$17)="","",INDEX(SPOT_Import!$A$1:$Z$2488,417,'Live Data'!$C$17)),"")</f>
        <v>PREP</v>
      </c>
      <c r="G417" s="54">
        <f>IFERROR(IF(INDEX(SPOT_Import!$A$1:$Z$2488,417,'Live Data'!$C$18)="","",INDEX(SPOT_Import!$A$1:$Z$2488,417,'Live Data'!$C$18)),"")</f>
        <v>16</v>
      </c>
      <c r="H417" s="54" t="str">
        <f>IFERROR(IF(INDEX(SPOT_Import!$A$1:$Z$2488,417,'Live Data'!$C$19)="","",INDEX(SPOT_Import!$A$1:$Z$2488,417,'Live Data'!$C$19)),"")</f>
        <v/>
      </c>
      <c r="I417" s="54" t="str">
        <f>IFERROR(IF(INDEX(SPOT_Import!$A$1:$Z$2488,417,'Live Data'!$C$20)="","",INDEX(SPOT_Import!$A$1:$Z$2488,417,'Live Data'!$C$20)),"")</f>
        <v>Incomplete</v>
      </c>
      <c r="J417" s="54" t="str">
        <f>IFERROR(IF(INDEX(SPOT_Import!$A$1:$Z$2488,417,'Live Data'!$C$21)="","",INDEX(SPOT_Import!$A$1:$Z$2488,417,'Live Data'!$C$21)),"")</f>
        <v>2026-10-05T05:33:51.000Z</v>
      </c>
      <c r="K417" s="54" t="str">
        <f>IFERROR(IF(INDEX(SPOT_Import!$A$1:$Z$2488,417,'Live Data'!$C$22)="","",INDEX(SPOT_Import!$A$1:$Z$2488,417,'Live Data'!$C$22)),"")</f>
        <v>2026-10-05T05:33:51.000Z</v>
      </c>
      <c r="L417" s="55" t="str">
        <f t="shared" si="12"/>
        <v>2026-10</v>
      </c>
      <c r="M417" s="55" t="str">
        <f t="shared" si="13"/>
        <v>THARAKA-NITHI</v>
      </c>
      <c r="N417" s="55" t="str">
        <f>IF(A417="","",IFERROR(INDEX('Cluster Map'!$A$4:$A$38,MATCH(M417,'Cluster Map'!$B$4:$B$38,0)),"Unmapped"))</f>
        <v>Cluster 2</v>
      </c>
      <c r="O417" s="55">
        <f>IF(A417="",0,IF(COUNTIFS($A$2:A417,A417,$F$2:F417,F417,$L$2:L417,L417)=1,1,0))</f>
        <v>1</v>
      </c>
      <c r="P417" s="55">
        <f>IF(A417="",0,IF(AND(F417="C&amp;T",COUNTIFS($A$2:A417,A417,$F$2:F417,"C&amp;T")=1),1,0))</f>
        <v>0</v>
      </c>
    </row>
    <row r="418" spans="1:16" x14ac:dyDescent="0.35">
      <c r="A418" s="54">
        <f>IFERROR(IF(INDEX(SPOT_Import!$A$1:$Z$2488,418,'Live Data'!$C$12)="","",INDEX(SPOT_Import!$A$1:$Z$2488,418,'Live Data'!$C$12)),"")</f>
        <v>12034</v>
      </c>
      <c r="B418" s="54" t="str">
        <f>IFERROR(IF(INDEX(SPOT_Import!$A$1:$Z$2488,418,'Live Data'!$C$13)="","",INDEX(SPOT_Import!$A$1:$Z$2488,418,'Live Data'!$C$13)),"")</f>
        <v>Gatunga Health Centre</v>
      </c>
      <c r="C418" s="54" t="str">
        <f>IFERROR(IF(INDEX(SPOT_Import!$A$1:$Z$2488,418,'Live Data'!$C$14)="","",INDEX(SPOT_Import!$A$1:$Z$2488,418,'Live Data'!$C$14)),"")</f>
        <v>THARAKA-NITHI</v>
      </c>
      <c r="D418" s="54" t="str">
        <f>IFERROR(IF(INDEX(SPOT_Import!$A$1:$Z$2488,418,'Live Data'!$C$15)="","",INDEX(SPOT_Import!$A$1:$Z$2488,418,'Live Data'!$C$15)),"")</f>
        <v>Tharaka South</v>
      </c>
      <c r="E418" s="54" t="str">
        <f>IFERROR(IF(INDEX(SPOT_Import!$A$1:$Z$2488,418,'Live Data'!$C$16)="","",INDEX(SPOT_Import!$A$1:$Z$2488,418,'Live Data'!$C$16)),"")</f>
        <v>USAID Jamii Tekelezi</v>
      </c>
      <c r="F418" s="54" t="str">
        <f>IFERROR(IF(INDEX(SPOT_Import!$A$1:$Z$2488,418,'Live Data'!$C$17)="","",INDEX(SPOT_Import!$A$1:$Z$2488,418,'Live Data'!$C$17)),"")</f>
        <v>MNCH</v>
      </c>
      <c r="G418" s="54">
        <f>IFERROR(IF(INDEX(SPOT_Import!$A$1:$Z$2488,418,'Live Data'!$C$18)="","",INDEX(SPOT_Import!$A$1:$Z$2488,418,'Live Data'!$C$18)),"")</f>
        <v>4</v>
      </c>
      <c r="H418" s="54" t="str">
        <f>IFERROR(IF(INDEX(SPOT_Import!$A$1:$Z$2488,418,'Live Data'!$C$19)="","",INDEX(SPOT_Import!$A$1:$Z$2488,418,'Live Data'!$C$19)),"")</f>
        <v/>
      </c>
      <c r="I418" s="54" t="str">
        <f>IFERROR(IF(INDEX(SPOT_Import!$A$1:$Z$2488,418,'Live Data'!$C$20)="","",INDEX(SPOT_Import!$A$1:$Z$2488,418,'Live Data'!$C$20)),"")</f>
        <v>Incomplete</v>
      </c>
      <c r="J418" s="54" t="str">
        <f>IFERROR(IF(INDEX(SPOT_Import!$A$1:$Z$2488,418,'Live Data'!$C$21)="","",INDEX(SPOT_Import!$A$1:$Z$2488,418,'Live Data'!$C$21)),"")</f>
        <v>2026-10-05T05:33:38.000Z</v>
      </c>
      <c r="K418" s="54" t="str">
        <f>IFERROR(IF(INDEX(SPOT_Import!$A$1:$Z$2488,418,'Live Data'!$C$22)="","",INDEX(SPOT_Import!$A$1:$Z$2488,418,'Live Data'!$C$22)),"")</f>
        <v>2026-10-05T05:33:38.000Z</v>
      </c>
      <c r="L418" s="55" t="str">
        <f t="shared" si="12"/>
        <v>2026-10</v>
      </c>
      <c r="M418" s="55" t="str">
        <f t="shared" si="13"/>
        <v>THARAKA-NITHI</v>
      </c>
      <c r="N418" s="55" t="str">
        <f>IF(A418="","",IFERROR(INDEX('Cluster Map'!$A$4:$A$38,MATCH(M418,'Cluster Map'!$B$4:$B$38,0)),"Unmapped"))</f>
        <v>Cluster 2</v>
      </c>
      <c r="O418" s="55">
        <f>IF(A418="",0,IF(COUNTIFS($A$2:A418,A418,$F$2:F418,F418,$L$2:L418,L418)=1,1,0))</f>
        <v>1</v>
      </c>
      <c r="P418" s="55">
        <f>IF(A418="",0,IF(AND(F418="C&amp;T",COUNTIFS($A$2:A418,A418,$F$2:F418,"C&amp;T")=1),1,0))</f>
        <v>0</v>
      </c>
    </row>
    <row r="419" spans="1:16" x14ac:dyDescent="0.35">
      <c r="A419" s="54">
        <f>IFERROR(IF(INDEX(SPOT_Import!$A$1:$Z$2488,419,'Live Data'!$C$12)="","",INDEX(SPOT_Import!$A$1:$Z$2488,419,'Live Data'!$C$12)),"")</f>
        <v>12034</v>
      </c>
      <c r="B419" s="54" t="str">
        <f>IFERROR(IF(INDEX(SPOT_Import!$A$1:$Z$2488,419,'Live Data'!$C$13)="","",INDEX(SPOT_Import!$A$1:$Z$2488,419,'Live Data'!$C$13)),"")</f>
        <v>Gatunga Health Centre</v>
      </c>
      <c r="C419" s="54" t="str">
        <f>IFERROR(IF(INDEX(SPOT_Import!$A$1:$Z$2488,419,'Live Data'!$C$14)="","",INDEX(SPOT_Import!$A$1:$Z$2488,419,'Live Data'!$C$14)),"")</f>
        <v>THARAKA-NITHI</v>
      </c>
      <c r="D419" s="54" t="str">
        <f>IFERROR(IF(INDEX(SPOT_Import!$A$1:$Z$2488,419,'Live Data'!$C$15)="","",INDEX(SPOT_Import!$A$1:$Z$2488,419,'Live Data'!$C$15)),"")</f>
        <v>Tharaka South</v>
      </c>
      <c r="E419" s="54" t="str">
        <f>IFERROR(IF(INDEX(SPOT_Import!$A$1:$Z$2488,419,'Live Data'!$C$16)="","",INDEX(SPOT_Import!$A$1:$Z$2488,419,'Live Data'!$C$16)),"")</f>
        <v>USAID Jamii Tekelezi</v>
      </c>
      <c r="F419" s="54" t="str">
        <f>IFERROR(IF(INDEX(SPOT_Import!$A$1:$Z$2488,419,'Live Data'!$C$17)="","",INDEX(SPOT_Import!$A$1:$Z$2488,419,'Live Data'!$C$17)),"")</f>
        <v>HTS</v>
      </c>
      <c r="G419" s="54">
        <f>IFERROR(IF(INDEX(SPOT_Import!$A$1:$Z$2488,419,'Live Data'!$C$18)="","",INDEX(SPOT_Import!$A$1:$Z$2488,419,'Live Data'!$C$18)),"")</f>
        <v>879</v>
      </c>
      <c r="H419" s="54" t="str">
        <f>IFERROR(IF(INDEX(SPOT_Import!$A$1:$Z$2488,419,'Live Data'!$C$19)="","",INDEX(SPOT_Import!$A$1:$Z$2488,419,'Live Data'!$C$19)),"")</f>
        <v/>
      </c>
      <c r="I419" s="54" t="str">
        <f>IFERROR(IF(INDEX(SPOT_Import!$A$1:$Z$2488,419,'Live Data'!$C$20)="","",INDEX(SPOT_Import!$A$1:$Z$2488,419,'Live Data'!$C$20)),"")</f>
        <v>Incomplete</v>
      </c>
      <c r="J419" s="54" t="str">
        <f>IFERROR(IF(INDEX(SPOT_Import!$A$1:$Z$2488,419,'Live Data'!$C$21)="","",INDEX(SPOT_Import!$A$1:$Z$2488,419,'Live Data'!$C$21)),"")</f>
        <v>2026-10-05T05:33:21.000Z</v>
      </c>
      <c r="K419" s="54" t="str">
        <f>IFERROR(IF(INDEX(SPOT_Import!$A$1:$Z$2488,419,'Live Data'!$C$22)="","",INDEX(SPOT_Import!$A$1:$Z$2488,419,'Live Data'!$C$22)),"")</f>
        <v>2026-10-05T05:33:21.000Z</v>
      </c>
      <c r="L419" s="55" t="str">
        <f t="shared" si="12"/>
        <v>2026-10</v>
      </c>
      <c r="M419" s="55" t="str">
        <f t="shared" si="13"/>
        <v>THARAKA-NITHI</v>
      </c>
      <c r="N419" s="55" t="str">
        <f>IF(A419="","",IFERROR(INDEX('Cluster Map'!$A$4:$A$38,MATCH(M419,'Cluster Map'!$B$4:$B$38,0)),"Unmapped"))</f>
        <v>Cluster 2</v>
      </c>
      <c r="O419" s="55">
        <f>IF(A419="",0,IF(COUNTIFS($A$2:A419,A419,$F$2:F419,F419,$L$2:L419,L419)=1,1,0))</f>
        <v>1</v>
      </c>
      <c r="P419" s="55">
        <f>IF(A419="",0,IF(AND(F419="C&amp;T",COUNTIFS($A$2:A419,A419,$F$2:F419,"C&amp;T")=1),1,0))</f>
        <v>0</v>
      </c>
    </row>
    <row r="420" spans="1:16" x14ac:dyDescent="0.35">
      <c r="A420" s="54">
        <f>IFERROR(IF(INDEX(SPOT_Import!$A$1:$Z$2488,420,'Live Data'!$C$12)="","",INDEX(SPOT_Import!$A$1:$Z$2488,420,'Live Data'!$C$12)),"")</f>
        <v>10044</v>
      </c>
      <c r="B420" s="54" t="str">
        <f>IFERROR(IF(INDEX(SPOT_Import!$A$1:$Z$2488,420,'Live Data'!$C$13)="","",INDEX(SPOT_Import!$A$1:$Z$2488,420,'Live Data'!$C$13)),"")</f>
        <v>Bamboo Health Centre</v>
      </c>
      <c r="C420" s="54" t="str">
        <f>IFERROR(IF(INDEX(SPOT_Import!$A$1:$Z$2488,420,'Live Data'!$C$14)="","",INDEX(SPOT_Import!$A$1:$Z$2488,420,'Live Data'!$C$14)),"")</f>
        <v>NYANDARUA</v>
      </c>
      <c r="D420" s="54" t="str">
        <f>IFERROR(IF(INDEX(SPOT_Import!$A$1:$Z$2488,420,'Live Data'!$C$15)="","",INDEX(SPOT_Import!$A$1:$Z$2488,420,'Live Data'!$C$15)),"")</f>
        <v>Kinangop</v>
      </c>
      <c r="E420" s="54" t="str">
        <f>IFERROR(IF(INDEX(SPOT_Import!$A$1:$Z$2488,420,'Live Data'!$C$16)="","",INDEX(SPOT_Import!$A$1:$Z$2488,420,'Live Data'!$C$16)),"")</f>
        <v>USAID Jamii Tekelezi</v>
      </c>
      <c r="F420" s="54" t="str">
        <f>IFERROR(IF(INDEX(SPOT_Import!$A$1:$Z$2488,420,'Live Data'!$C$17)="","",INDEX(SPOT_Import!$A$1:$Z$2488,420,'Live Data'!$C$17)),"")</f>
        <v>PREP</v>
      </c>
      <c r="G420" s="54">
        <f>IFERROR(IF(INDEX(SPOT_Import!$A$1:$Z$2488,420,'Live Data'!$C$18)="","",INDEX(SPOT_Import!$A$1:$Z$2488,420,'Live Data'!$C$18)),"")</f>
        <v>159</v>
      </c>
      <c r="H420" s="54">
        <f>IFERROR(IF(INDEX(SPOT_Import!$A$1:$Z$2488,420,'Live Data'!$C$19)="","",INDEX(SPOT_Import!$A$1:$Z$2488,420,'Live Data'!$C$19)),"")</f>
        <v>159</v>
      </c>
      <c r="I420" s="54" t="str">
        <f>IFERROR(IF(INDEX(SPOT_Import!$A$1:$Z$2488,420,'Live Data'!$C$20)="","",INDEX(SPOT_Import!$A$1:$Z$2488,420,'Live Data'!$C$20)),"")</f>
        <v>Complete</v>
      </c>
      <c r="J420" s="54" t="str">
        <f>IFERROR(IF(INDEX(SPOT_Import!$A$1:$Z$2488,420,'Live Data'!$C$21)="","",INDEX(SPOT_Import!$A$1:$Z$2488,420,'Live Data'!$C$21)),"")</f>
        <v>2026-10-05T05:16:28.000Z</v>
      </c>
      <c r="K420" s="54" t="str">
        <f>IFERROR(IF(INDEX(SPOT_Import!$A$1:$Z$2488,420,'Live Data'!$C$22)="","",INDEX(SPOT_Import!$A$1:$Z$2488,420,'Live Data'!$C$22)),"")</f>
        <v>2026-10-05T05:16:28.000Z</v>
      </c>
      <c r="L420" s="55" t="str">
        <f t="shared" si="12"/>
        <v>2026-10</v>
      </c>
      <c r="M420" s="55" t="str">
        <f t="shared" si="13"/>
        <v>NYANDARUA</v>
      </c>
      <c r="N420" s="55" t="str">
        <f>IF(A420="","",IFERROR(INDEX('Cluster Map'!$A$4:$A$38,MATCH(M420,'Cluster Map'!$B$4:$B$38,0)),"Unmapped"))</f>
        <v>Cluster 4</v>
      </c>
      <c r="O420" s="55">
        <f>IF(A420="",0,IF(COUNTIFS($A$2:A420,A420,$F$2:F420,F420,$L$2:L420,L420)=1,1,0))</f>
        <v>1</v>
      </c>
      <c r="P420" s="55">
        <f>IF(A420="",0,IF(AND(F420="C&amp;T",COUNTIFS($A$2:A420,A420,$F$2:F420,"C&amp;T")=1),1,0))</f>
        <v>0</v>
      </c>
    </row>
    <row r="421" spans="1:16" x14ac:dyDescent="0.35">
      <c r="A421" s="54">
        <f>IFERROR(IF(INDEX(SPOT_Import!$A$1:$Z$2488,421,'Live Data'!$C$12)="","",INDEX(SPOT_Import!$A$1:$Z$2488,421,'Live Data'!$C$12)),"")</f>
        <v>10044</v>
      </c>
      <c r="B421" s="54" t="str">
        <f>IFERROR(IF(INDEX(SPOT_Import!$A$1:$Z$2488,421,'Live Data'!$C$13)="","",INDEX(SPOT_Import!$A$1:$Z$2488,421,'Live Data'!$C$13)),"")</f>
        <v>Bamboo Health Centre</v>
      </c>
      <c r="C421" s="54" t="str">
        <f>IFERROR(IF(INDEX(SPOT_Import!$A$1:$Z$2488,421,'Live Data'!$C$14)="","",INDEX(SPOT_Import!$A$1:$Z$2488,421,'Live Data'!$C$14)),"")</f>
        <v>NYANDARUA</v>
      </c>
      <c r="D421" s="54" t="str">
        <f>IFERROR(IF(INDEX(SPOT_Import!$A$1:$Z$2488,421,'Live Data'!$C$15)="","",INDEX(SPOT_Import!$A$1:$Z$2488,421,'Live Data'!$C$15)),"")</f>
        <v>Kinangop</v>
      </c>
      <c r="E421" s="54" t="str">
        <f>IFERROR(IF(INDEX(SPOT_Import!$A$1:$Z$2488,421,'Live Data'!$C$16)="","",INDEX(SPOT_Import!$A$1:$Z$2488,421,'Live Data'!$C$16)),"")</f>
        <v>USAID Jamii Tekelezi</v>
      </c>
      <c r="F421" s="54" t="str">
        <f>IFERROR(IF(INDEX(SPOT_Import!$A$1:$Z$2488,421,'Live Data'!$C$17)="","",INDEX(SPOT_Import!$A$1:$Z$2488,421,'Live Data'!$C$17)),"")</f>
        <v>MNCH</v>
      </c>
      <c r="G421" s="54">
        <f>IFERROR(IF(INDEX(SPOT_Import!$A$1:$Z$2488,421,'Live Data'!$C$18)="","",INDEX(SPOT_Import!$A$1:$Z$2488,421,'Live Data'!$C$18)),"")</f>
        <v>674</v>
      </c>
      <c r="H421" s="54">
        <f>IFERROR(IF(INDEX(SPOT_Import!$A$1:$Z$2488,421,'Live Data'!$C$19)="","",INDEX(SPOT_Import!$A$1:$Z$2488,421,'Live Data'!$C$19)),"")</f>
        <v>674</v>
      </c>
      <c r="I421" s="54" t="str">
        <f>IFERROR(IF(INDEX(SPOT_Import!$A$1:$Z$2488,421,'Live Data'!$C$20)="","",INDEX(SPOT_Import!$A$1:$Z$2488,421,'Live Data'!$C$20)),"")</f>
        <v>Complete</v>
      </c>
      <c r="J421" s="54" t="str">
        <f>IFERROR(IF(INDEX(SPOT_Import!$A$1:$Z$2488,421,'Live Data'!$C$21)="","",INDEX(SPOT_Import!$A$1:$Z$2488,421,'Live Data'!$C$21)),"")</f>
        <v>2026-10-05T05:16:17.000Z</v>
      </c>
      <c r="K421" s="54" t="str">
        <f>IFERROR(IF(INDEX(SPOT_Import!$A$1:$Z$2488,421,'Live Data'!$C$22)="","",INDEX(SPOT_Import!$A$1:$Z$2488,421,'Live Data'!$C$22)),"")</f>
        <v>2026-10-05T05:16:17.000Z</v>
      </c>
      <c r="L421" s="55" t="str">
        <f t="shared" si="12"/>
        <v>2026-10</v>
      </c>
      <c r="M421" s="55" t="str">
        <f t="shared" si="13"/>
        <v>NYANDARUA</v>
      </c>
      <c r="N421" s="55" t="str">
        <f>IF(A421="","",IFERROR(INDEX('Cluster Map'!$A$4:$A$38,MATCH(M421,'Cluster Map'!$B$4:$B$38,0)),"Unmapped"))</f>
        <v>Cluster 4</v>
      </c>
      <c r="O421" s="55">
        <f>IF(A421="",0,IF(COUNTIFS($A$2:A421,A421,$F$2:F421,F421,$L$2:L421,L421)=1,1,0))</f>
        <v>1</v>
      </c>
      <c r="P421" s="55">
        <f>IF(A421="",0,IF(AND(F421="C&amp;T",COUNTIFS($A$2:A421,A421,$F$2:F421,"C&amp;T")=1),1,0))</f>
        <v>0</v>
      </c>
    </row>
    <row r="422" spans="1:16" x14ac:dyDescent="0.35">
      <c r="A422" s="54">
        <f>IFERROR(IF(INDEX(SPOT_Import!$A$1:$Z$2488,422,'Live Data'!$C$12)="","",INDEX(SPOT_Import!$A$1:$Z$2488,422,'Live Data'!$C$12)),"")</f>
        <v>10044</v>
      </c>
      <c r="B422" s="54" t="str">
        <f>IFERROR(IF(INDEX(SPOT_Import!$A$1:$Z$2488,422,'Live Data'!$C$13)="","",INDEX(SPOT_Import!$A$1:$Z$2488,422,'Live Data'!$C$13)),"")</f>
        <v>Bamboo Health Centre</v>
      </c>
      <c r="C422" s="54" t="str">
        <f>IFERROR(IF(INDEX(SPOT_Import!$A$1:$Z$2488,422,'Live Data'!$C$14)="","",INDEX(SPOT_Import!$A$1:$Z$2488,422,'Live Data'!$C$14)),"")</f>
        <v>NYANDARUA</v>
      </c>
      <c r="D422" s="54" t="str">
        <f>IFERROR(IF(INDEX(SPOT_Import!$A$1:$Z$2488,422,'Live Data'!$C$15)="","",INDEX(SPOT_Import!$A$1:$Z$2488,422,'Live Data'!$C$15)),"")</f>
        <v>Kinangop</v>
      </c>
      <c r="E422" s="54" t="str">
        <f>IFERROR(IF(INDEX(SPOT_Import!$A$1:$Z$2488,422,'Live Data'!$C$16)="","",INDEX(SPOT_Import!$A$1:$Z$2488,422,'Live Data'!$C$16)),"")</f>
        <v>USAID Jamii Tekelezi</v>
      </c>
      <c r="F422" s="54" t="str">
        <f>IFERROR(IF(INDEX(SPOT_Import!$A$1:$Z$2488,422,'Live Data'!$C$17)="","",INDEX(SPOT_Import!$A$1:$Z$2488,422,'Live Data'!$C$17)),"")</f>
        <v>HTS</v>
      </c>
      <c r="G422" s="54">
        <f>IFERROR(IF(INDEX(SPOT_Import!$A$1:$Z$2488,422,'Live Data'!$C$18)="","",INDEX(SPOT_Import!$A$1:$Z$2488,422,'Live Data'!$C$18)),"")</f>
        <v>4662</v>
      </c>
      <c r="H422" s="54">
        <f>IFERROR(IF(INDEX(SPOT_Import!$A$1:$Z$2488,422,'Live Data'!$C$19)="","",INDEX(SPOT_Import!$A$1:$Z$2488,422,'Live Data'!$C$19)),"")</f>
        <v>4662</v>
      </c>
      <c r="I422" s="54" t="str">
        <f>IFERROR(IF(INDEX(SPOT_Import!$A$1:$Z$2488,422,'Live Data'!$C$20)="","",INDEX(SPOT_Import!$A$1:$Z$2488,422,'Live Data'!$C$20)),"")</f>
        <v>Complete</v>
      </c>
      <c r="J422" s="54" t="str">
        <f>IFERROR(IF(INDEX(SPOT_Import!$A$1:$Z$2488,422,'Live Data'!$C$21)="","",INDEX(SPOT_Import!$A$1:$Z$2488,422,'Live Data'!$C$21)),"")</f>
        <v>2026-10-05T05:15:08.000Z</v>
      </c>
      <c r="K422" s="54" t="str">
        <f>IFERROR(IF(INDEX(SPOT_Import!$A$1:$Z$2488,422,'Live Data'!$C$22)="","",INDEX(SPOT_Import!$A$1:$Z$2488,422,'Live Data'!$C$22)),"")</f>
        <v>2026-10-05T05:15:08.000Z</v>
      </c>
      <c r="L422" s="55" t="str">
        <f t="shared" si="12"/>
        <v>2026-10</v>
      </c>
      <c r="M422" s="55" t="str">
        <f t="shared" si="13"/>
        <v>NYANDARUA</v>
      </c>
      <c r="N422" s="55" t="str">
        <f>IF(A422="","",IFERROR(INDEX('Cluster Map'!$A$4:$A$38,MATCH(M422,'Cluster Map'!$B$4:$B$38,0)),"Unmapped"))</f>
        <v>Cluster 4</v>
      </c>
      <c r="O422" s="55">
        <f>IF(A422="",0,IF(COUNTIFS($A$2:A422,A422,$F$2:F422,F422,$L$2:L422,L422)=1,1,0))</f>
        <v>1</v>
      </c>
      <c r="P422" s="55">
        <f>IF(A422="",0,IF(AND(F422="C&amp;T",COUNTIFS($A$2:A422,A422,$F$2:F422,"C&amp;T")=1),1,0))</f>
        <v>0</v>
      </c>
    </row>
    <row r="423" spans="1:16" x14ac:dyDescent="0.35">
      <c r="A423" s="54">
        <f>IFERROR(IF(INDEX(SPOT_Import!$A$1:$Z$2488,423,'Live Data'!$C$12)="","",INDEX(SPOT_Import!$A$1:$Z$2488,423,'Live Data'!$C$12)),"")</f>
        <v>12034</v>
      </c>
      <c r="B423" s="54" t="str">
        <f>IFERROR(IF(INDEX(SPOT_Import!$A$1:$Z$2488,423,'Live Data'!$C$13)="","",INDEX(SPOT_Import!$A$1:$Z$2488,423,'Live Data'!$C$13)),"")</f>
        <v>Gatunga Health Centre</v>
      </c>
      <c r="C423" s="54" t="str">
        <f>IFERROR(IF(INDEX(SPOT_Import!$A$1:$Z$2488,423,'Live Data'!$C$14)="","",INDEX(SPOT_Import!$A$1:$Z$2488,423,'Live Data'!$C$14)),"")</f>
        <v>THARAKA-NITHI</v>
      </c>
      <c r="D423" s="54" t="str">
        <f>IFERROR(IF(INDEX(SPOT_Import!$A$1:$Z$2488,423,'Live Data'!$C$15)="","",INDEX(SPOT_Import!$A$1:$Z$2488,423,'Live Data'!$C$15)),"")</f>
        <v>Tharaka South</v>
      </c>
      <c r="E423" s="54" t="str">
        <f>IFERROR(IF(INDEX(SPOT_Import!$A$1:$Z$2488,423,'Live Data'!$C$16)="","",INDEX(SPOT_Import!$A$1:$Z$2488,423,'Live Data'!$C$16)),"")</f>
        <v>USAID Jamii Tekelezi</v>
      </c>
      <c r="F423" s="54" t="str">
        <f>IFERROR(IF(INDEX(SPOT_Import!$A$1:$Z$2488,423,'Live Data'!$C$17)="","",INDEX(SPOT_Import!$A$1:$Z$2488,423,'Live Data'!$C$17)),"")</f>
        <v>C&amp;T</v>
      </c>
      <c r="G423" s="54">
        <f>IFERROR(IF(INDEX(SPOT_Import!$A$1:$Z$2488,423,'Live Data'!$C$18)="","",INDEX(SPOT_Import!$A$1:$Z$2488,423,'Live Data'!$C$18)),"")</f>
        <v>71</v>
      </c>
      <c r="H423" s="54">
        <f>IFERROR(IF(INDEX(SPOT_Import!$A$1:$Z$2488,423,'Live Data'!$C$19)="","",INDEX(SPOT_Import!$A$1:$Z$2488,423,'Live Data'!$C$19)),"")</f>
        <v>71</v>
      </c>
      <c r="I423" s="54" t="str">
        <f>IFERROR(IF(INDEX(SPOT_Import!$A$1:$Z$2488,423,'Live Data'!$C$20)="","",INDEX(SPOT_Import!$A$1:$Z$2488,423,'Live Data'!$C$20)),"")</f>
        <v>Complete</v>
      </c>
      <c r="J423" s="54" t="str">
        <f>IFERROR(IF(INDEX(SPOT_Import!$A$1:$Z$2488,423,'Live Data'!$C$21)="","",INDEX(SPOT_Import!$A$1:$Z$2488,423,'Live Data'!$C$21)),"")</f>
        <v>2026-10-05T05:11:04.000Z</v>
      </c>
      <c r="K423" s="54" t="str">
        <f>IFERROR(IF(INDEX(SPOT_Import!$A$1:$Z$2488,423,'Live Data'!$C$22)="","",INDEX(SPOT_Import!$A$1:$Z$2488,423,'Live Data'!$C$22)),"")</f>
        <v>2026-10-05T05:11:04.000Z</v>
      </c>
      <c r="L423" s="55" t="str">
        <f t="shared" si="12"/>
        <v>2026-10</v>
      </c>
      <c r="M423" s="55" t="str">
        <f t="shared" si="13"/>
        <v>THARAKA-NITHI</v>
      </c>
      <c r="N423" s="55" t="str">
        <f>IF(A423="","",IFERROR(INDEX('Cluster Map'!$A$4:$A$38,MATCH(M423,'Cluster Map'!$B$4:$B$38,0)),"Unmapped"))</f>
        <v>Cluster 2</v>
      </c>
      <c r="O423" s="55">
        <f>IF(A423="",0,IF(COUNTIFS($A$2:A423,A423,$F$2:F423,F423,$L$2:L423,L423)=1,1,0))</f>
        <v>1</v>
      </c>
      <c r="P423" s="55">
        <f>IF(A423="",0,IF(AND(F423="C&amp;T",COUNTIFS($A$2:A423,A423,$F$2:F423,"C&amp;T")=1),1,0))</f>
        <v>1</v>
      </c>
    </row>
    <row r="424" spans="1:16" x14ac:dyDescent="0.35">
      <c r="A424" s="54">
        <f>IFERROR(IF(INDEX(SPOT_Import!$A$1:$Z$2488,424,'Live Data'!$C$12)="","",INDEX(SPOT_Import!$A$1:$Z$2488,424,'Live Data'!$C$12)),"")</f>
        <v>10044</v>
      </c>
      <c r="B424" s="54" t="str">
        <f>IFERROR(IF(INDEX(SPOT_Import!$A$1:$Z$2488,424,'Live Data'!$C$13)="","",INDEX(SPOT_Import!$A$1:$Z$2488,424,'Live Data'!$C$13)),"")</f>
        <v>Bamboo Health Centre</v>
      </c>
      <c r="C424" s="54" t="str">
        <f>IFERROR(IF(INDEX(SPOT_Import!$A$1:$Z$2488,424,'Live Data'!$C$14)="","",INDEX(SPOT_Import!$A$1:$Z$2488,424,'Live Data'!$C$14)),"")</f>
        <v>NYANDARUA</v>
      </c>
      <c r="D424" s="54" t="str">
        <f>IFERROR(IF(INDEX(SPOT_Import!$A$1:$Z$2488,424,'Live Data'!$C$15)="","",INDEX(SPOT_Import!$A$1:$Z$2488,424,'Live Data'!$C$15)),"")</f>
        <v>Kinangop</v>
      </c>
      <c r="E424" s="54" t="str">
        <f>IFERROR(IF(INDEX(SPOT_Import!$A$1:$Z$2488,424,'Live Data'!$C$16)="","",INDEX(SPOT_Import!$A$1:$Z$2488,424,'Live Data'!$C$16)),"")</f>
        <v>USAID Jamii Tekelezi</v>
      </c>
      <c r="F424" s="54" t="str">
        <f>IFERROR(IF(INDEX(SPOT_Import!$A$1:$Z$2488,424,'Live Data'!$C$17)="","",INDEX(SPOT_Import!$A$1:$Z$2488,424,'Live Data'!$C$17)),"")</f>
        <v>C&amp;T</v>
      </c>
      <c r="G424" s="54">
        <f>IFERROR(IF(INDEX(SPOT_Import!$A$1:$Z$2488,424,'Live Data'!$C$18)="","",INDEX(SPOT_Import!$A$1:$Z$2488,424,'Live Data'!$C$18)),"")</f>
        <v>1302</v>
      </c>
      <c r="H424" s="54">
        <f>IFERROR(IF(INDEX(SPOT_Import!$A$1:$Z$2488,424,'Live Data'!$C$19)="","",INDEX(SPOT_Import!$A$1:$Z$2488,424,'Live Data'!$C$19)),"")</f>
        <v>1302</v>
      </c>
      <c r="I424" s="54" t="str">
        <f>IFERROR(IF(INDEX(SPOT_Import!$A$1:$Z$2488,424,'Live Data'!$C$20)="","",INDEX(SPOT_Import!$A$1:$Z$2488,424,'Live Data'!$C$20)),"")</f>
        <v>Complete</v>
      </c>
      <c r="J424" s="54" t="str">
        <f>IFERROR(IF(INDEX(SPOT_Import!$A$1:$Z$2488,424,'Live Data'!$C$21)="","",INDEX(SPOT_Import!$A$1:$Z$2488,424,'Live Data'!$C$21)),"")</f>
        <v>2026-10-05T05:01:18.000Z</v>
      </c>
      <c r="K424" s="54" t="str">
        <f>IFERROR(IF(INDEX(SPOT_Import!$A$1:$Z$2488,424,'Live Data'!$C$22)="","",INDEX(SPOT_Import!$A$1:$Z$2488,424,'Live Data'!$C$22)),"")</f>
        <v>2026-10-05T05:01:18.000Z</v>
      </c>
      <c r="L424" s="55" t="str">
        <f t="shared" si="12"/>
        <v>2026-10</v>
      </c>
      <c r="M424" s="55" t="str">
        <f t="shared" si="13"/>
        <v>NYANDARUA</v>
      </c>
      <c r="N424" s="55" t="str">
        <f>IF(A424="","",IFERROR(INDEX('Cluster Map'!$A$4:$A$38,MATCH(M424,'Cluster Map'!$B$4:$B$38,0)),"Unmapped"))</f>
        <v>Cluster 4</v>
      </c>
      <c r="O424" s="55">
        <f>IF(A424="",0,IF(COUNTIFS($A$2:A424,A424,$F$2:F424,F424,$L$2:L424,L424)=1,1,0))</f>
        <v>1</v>
      </c>
      <c r="P424" s="55">
        <f>IF(A424="",0,IF(AND(F424="C&amp;T",COUNTIFS($A$2:A424,A424,$F$2:F424,"C&amp;T")=1),1,0))</f>
        <v>1</v>
      </c>
    </row>
    <row r="425" spans="1:16" x14ac:dyDescent="0.35">
      <c r="A425" s="54">
        <f>IFERROR(IF(INDEX(SPOT_Import!$A$1:$Z$2488,425,'Live Data'!$C$12)="","",INDEX(SPOT_Import!$A$1:$Z$2488,425,'Live Data'!$C$12)),"")</f>
        <v>10681</v>
      </c>
      <c r="B425" s="54" t="str">
        <f>IFERROR(IF(INDEX(SPOT_Import!$A$1:$Z$2488,425,'Live Data'!$C$13)="","",INDEX(SPOT_Import!$A$1:$Z$2488,425,'Live Data'!$C$13)),"")</f>
        <v>Manunga Health Centre</v>
      </c>
      <c r="C425" s="54" t="str">
        <f>IFERROR(IF(INDEX(SPOT_Import!$A$1:$Z$2488,425,'Live Data'!$C$14)="","",INDEX(SPOT_Import!$A$1:$Z$2488,425,'Live Data'!$C$14)),"")</f>
        <v>NYANDARUA</v>
      </c>
      <c r="D425" s="54" t="str">
        <f>IFERROR(IF(INDEX(SPOT_Import!$A$1:$Z$2488,425,'Live Data'!$C$15)="","",INDEX(SPOT_Import!$A$1:$Z$2488,425,'Live Data'!$C$15)),"")</f>
        <v>Kipipiri</v>
      </c>
      <c r="E425" s="54" t="str">
        <f>IFERROR(IF(INDEX(SPOT_Import!$A$1:$Z$2488,425,'Live Data'!$C$16)="","",INDEX(SPOT_Import!$A$1:$Z$2488,425,'Live Data'!$C$16)),"")</f>
        <v>USAID Jamii Tekelezi</v>
      </c>
      <c r="F425" s="54" t="str">
        <f>IFERROR(IF(INDEX(SPOT_Import!$A$1:$Z$2488,425,'Live Data'!$C$17)="","",INDEX(SPOT_Import!$A$1:$Z$2488,425,'Live Data'!$C$17)),"")</f>
        <v>PREP</v>
      </c>
      <c r="G425" s="54">
        <f>IFERROR(IF(INDEX(SPOT_Import!$A$1:$Z$2488,425,'Live Data'!$C$18)="","",INDEX(SPOT_Import!$A$1:$Z$2488,425,'Live Data'!$C$18)),"")</f>
        <v>128</v>
      </c>
      <c r="H425" s="54" t="str">
        <f>IFERROR(IF(INDEX(SPOT_Import!$A$1:$Z$2488,425,'Live Data'!$C$19)="","",INDEX(SPOT_Import!$A$1:$Z$2488,425,'Live Data'!$C$19)),"")</f>
        <v/>
      </c>
      <c r="I425" s="54" t="str">
        <f>IFERROR(IF(INDEX(SPOT_Import!$A$1:$Z$2488,425,'Live Data'!$C$20)="","",INDEX(SPOT_Import!$A$1:$Z$2488,425,'Live Data'!$C$20)),"")</f>
        <v>Incomplete</v>
      </c>
      <c r="J425" s="54" t="str">
        <f>IFERROR(IF(INDEX(SPOT_Import!$A$1:$Z$2488,425,'Live Data'!$C$21)="","",INDEX(SPOT_Import!$A$1:$Z$2488,425,'Live Data'!$C$21)),"")</f>
        <v>2026-10-04T11:28:14.000Z</v>
      </c>
      <c r="K425" s="54" t="str">
        <f>IFERROR(IF(INDEX(SPOT_Import!$A$1:$Z$2488,425,'Live Data'!$C$22)="","",INDEX(SPOT_Import!$A$1:$Z$2488,425,'Live Data'!$C$22)),"")</f>
        <v>2026-10-04T11:28:14.000Z</v>
      </c>
      <c r="L425" s="55" t="str">
        <f t="shared" si="12"/>
        <v>2026-10</v>
      </c>
      <c r="M425" s="55" t="str">
        <f t="shared" si="13"/>
        <v>NYANDARUA</v>
      </c>
      <c r="N425" s="55" t="str">
        <f>IF(A425="","",IFERROR(INDEX('Cluster Map'!$A$4:$A$38,MATCH(M425,'Cluster Map'!$B$4:$B$38,0)),"Unmapped"))</f>
        <v>Cluster 4</v>
      </c>
      <c r="O425" s="55">
        <f>IF(A425="",0,IF(COUNTIFS($A$2:A425,A425,$F$2:F425,F425,$L$2:L425,L425)=1,1,0))</f>
        <v>1</v>
      </c>
      <c r="P425" s="55">
        <f>IF(A425="",0,IF(AND(F425="C&amp;T",COUNTIFS($A$2:A425,A425,$F$2:F425,"C&amp;T")=1),1,0))</f>
        <v>0</v>
      </c>
    </row>
    <row r="426" spans="1:16" x14ac:dyDescent="0.35">
      <c r="A426" s="54">
        <f>IFERROR(IF(INDEX(SPOT_Import!$A$1:$Z$2488,426,'Live Data'!$C$12)="","",INDEX(SPOT_Import!$A$1:$Z$2488,426,'Live Data'!$C$12)),"")</f>
        <v>10681</v>
      </c>
      <c r="B426" s="54" t="str">
        <f>IFERROR(IF(INDEX(SPOT_Import!$A$1:$Z$2488,426,'Live Data'!$C$13)="","",INDEX(SPOT_Import!$A$1:$Z$2488,426,'Live Data'!$C$13)),"")</f>
        <v>Manunga Health Centre</v>
      </c>
      <c r="C426" s="54" t="str">
        <f>IFERROR(IF(INDEX(SPOT_Import!$A$1:$Z$2488,426,'Live Data'!$C$14)="","",INDEX(SPOT_Import!$A$1:$Z$2488,426,'Live Data'!$C$14)),"")</f>
        <v>NYANDARUA</v>
      </c>
      <c r="D426" s="54" t="str">
        <f>IFERROR(IF(INDEX(SPOT_Import!$A$1:$Z$2488,426,'Live Data'!$C$15)="","",INDEX(SPOT_Import!$A$1:$Z$2488,426,'Live Data'!$C$15)),"")</f>
        <v>Kipipiri</v>
      </c>
      <c r="E426" s="54" t="str">
        <f>IFERROR(IF(INDEX(SPOT_Import!$A$1:$Z$2488,426,'Live Data'!$C$16)="","",INDEX(SPOT_Import!$A$1:$Z$2488,426,'Live Data'!$C$16)),"")</f>
        <v>USAID Jamii Tekelezi</v>
      </c>
      <c r="F426" s="54" t="str">
        <f>IFERROR(IF(INDEX(SPOT_Import!$A$1:$Z$2488,426,'Live Data'!$C$17)="","",INDEX(SPOT_Import!$A$1:$Z$2488,426,'Live Data'!$C$17)),"")</f>
        <v>MNCH</v>
      </c>
      <c r="G426" s="54">
        <f>IFERROR(IF(INDEX(SPOT_Import!$A$1:$Z$2488,426,'Live Data'!$C$18)="","",INDEX(SPOT_Import!$A$1:$Z$2488,426,'Live Data'!$C$18)),"")</f>
        <v>69</v>
      </c>
      <c r="H426" s="54">
        <f>IFERROR(IF(INDEX(SPOT_Import!$A$1:$Z$2488,426,'Live Data'!$C$19)="","",INDEX(SPOT_Import!$A$1:$Z$2488,426,'Live Data'!$C$19)),"")</f>
        <v>69</v>
      </c>
      <c r="I426" s="54" t="str">
        <f>IFERROR(IF(INDEX(SPOT_Import!$A$1:$Z$2488,426,'Live Data'!$C$20)="","",INDEX(SPOT_Import!$A$1:$Z$2488,426,'Live Data'!$C$20)),"")</f>
        <v>Complete</v>
      </c>
      <c r="J426" s="54" t="str">
        <f>IFERROR(IF(INDEX(SPOT_Import!$A$1:$Z$2488,426,'Live Data'!$C$21)="","",INDEX(SPOT_Import!$A$1:$Z$2488,426,'Live Data'!$C$21)),"")</f>
        <v>2026-10-04T11:27:24.000Z</v>
      </c>
      <c r="K426" s="54" t="str">
        <f>IFERROR(IF(INDEX(SPOT_Import!$A$1:$Z$2488,426,'Live Data'!$C$22)="","",INDEX(SPOT_Import!$A$1:$Z$2488,426,'Live Data'!$C$22)),"")</f>
        <v>2026-10-04T11:27:24.000Z</v>
      </c>
      <c r="L426" s="55" t="str">
        <f t="shared" si="12"/>
        <v>2026-10</v>
      </c>
      <c r="M426" s="55" t="str">
        <f t="shared" si="13"/>
        <v>NYANDARUA</v>
      </c>
      <c r="N426" s="55" t="str">
        <f>IF(A426="","",IFERROR(INDEX('Cluster Map'!$A$4:$A$38,MATCH(M426,'Cluster Map'!$B$4:$B$38,0)),"Unmapped"))</f>
        <v>Cluster 4</v>
      </c>
      <c r="O426" s="55">
        <f>IF(A426="",0,IF(COUNTIFS($A$2:A426,A426,$F$2:F426,F426,$L$2:L426,L426)=1,1,0))</f>
        <v>1</v>
      </c>
      <c r="P426" s="55">
        <f>IF(A426="",0,IF(AND(F426="C&amp;T",COUNTIFS($A$2:A426,A426,$F$2:F426,"C&amp;T")=1),1,0))</f>
        <v>0</v>
      </c>
    </row>
    <row r="427" spans="1:16" x14ac:dyDescent="0.35">
      <c r="A427" s="54">
        <f>IFERROR(IF(INDEX(SPOT_Import!$A$1:$Z$2488,427,'Live Data'!$C$12)="","",INDEX(SPOT_Import!$A$1:$Z$2488,427,'Live Data'!$C$12)),"")</f>
        <v>10681</v>
      </c>
      <c r="B427" s="54" t="str">
        <f>IFERROR(IF(INDEX(SPOT_Import!$A$1:$Z$2488,427,'Live Data'!$C$13)="","",INDEX(SPOT_Import!$A$1:$Z$2488,427,'Live Data'!$C$13)),"")</f>
        <v>Manunga Health Centre</v>
      </c>
      <c r="C427" s="54" t="str">
        <f>IFERROR(IF(INDEX(SPOT_Import!$A$1:$Z$2488,427,'Live Data'!$C$14)="","",INDEX(SPOT_Import!$A$1:$Z$2488,427,'Live Data'!$C$14)),"")</f>
        <v>NYANDARUA</v>
      </c>
      <c r="D427" s="54" t="str">
        <f>IFERROR(IF(INDEX(SPOT_Import!$A$1:$Z$2488,427,'Live Data'!$C$15)="","",INDEX(SPOT_Import!$A$1:$Z$2488,427,'Live Data'!$C$15)),"")</f>
        <v>Kipipiri</v>
      </c>
      <c r="E427" s="54" t="str">
        <f>IFERROR(IF(INDEX(SPOT_Import!$A$1:$Z$2488,427,'Live Data'!$C$16)="","",INDEX(SPOT_Import!$A$1:$Z$2488,427,'Live Data'!$C$16)),"")</f>
        <v>USAID Jamii Tekelezi</v>
      </c>
      <c r="F427" s="54" t="str">
        <f>IFERROR(IF(INDEX(SPOT_Import!$A$1:$Z$2488,427,'Live Data'!$C$17)="","",INDEX(SPOT_Import!$A$1:$Z$2488,427,'Live Data'!$C$17)),"")</f>
        <v>HTS</v>
      </c>
      <c r="G427" s="54">
        <f>IFERROR(IF(INDEX(SPOT_Import!$A$1:$Z$2488,427,'Live Data'!$C$18)="","",INDEX(SPOT_Import!$A$1:$Z$2488,427,'Live Data'!$C$18)),"")</f>
        <v>6390</v>
      </c>
      <c r="H427" s="54">
        <f>IFERROR(IF(INDEX(SPOT_Import!$A$1:$Z$2488,427,'Live Data'!$C$19)="","",INDEX(SPOT_Import!$A$1:$Z$2488,427,'Live Data'!$C$19)),"")</f>
        <v>6390</v>
      </c>
      <c r="I427" s="54" t="str">
        <f>IFERROR(IF(INDEX(SPOT_Import!$A$1:$Z$2488,427,'Live Data'!$C$20)="","",INDEX(SPOT_Import!$A$1:$Z$2488,427,'Live Data'!$C$20)),"")</f>
        <v>Complete</v>
      </c>
      <c r="J427" s="54" t="str">
        <f>IFERROR(IF(INDEX(SPOT_Import!$A$1:$Z$2488,427,'Live Data'!$C$21)="","",INDEX(SPOT_Import!$A$1:$Z$2488,427,'Live Data'!$C$21)),"")</f>
        <v>2026-10-04T11:26:33.000Z</v>
      </c>
      <c r="K427" s="54" t="str">
        <f>IFERROR(IF(INDEX(SPOT_Import!$A$1:$Z$2488,427,'Live Data'!$C$22)="","",INDEX(SPOT_Import!$A$1:$Z$2488,427,'Live Data'!$C$22)),"")</f>
        <v>2026-10-04T11:26:33.000Z</v>
      </c>
      <c r="L427" s="55" t="str">
        <f t="shared" si="12"/>
        <v>2026-10</v>
      </c>
      <c r="M427" s="55" t="str">
        <f t="shared" si="13"/>
        <v>NYANDARUA</v>
      </c>
      <c r="N427" s="55" t="str">
        <f>IF(A427="","",IFERROR(INDEX('Cluster Map'!$A$4:$A$38,MATCH(M427,'Cluster Map'!$B$4:$B$38,0)),"Unmapped"))</f>
        <v>Cluster 4</v>
      </c>
      <c r="O427" s="55">
        <f>IF(A427="",0,IF(COUNTIFS($A$2:A427,A427,$F$2:F427,F427,$L$2:L427,L427)=1,1,0))</f>
        <v>1</v>
      </c>
      <c r="P427" s="55">
        <f>IF(A427="",0,IF(AND(F427="C&amp;T",COUNTIFS($A$2:A427,A427,$F$2:F427,"C&amp;T")=1),1,0))</f>
        <v>0</v>
      </c>
    </row>
    <row r="428" spans="1:16" x14ac:dyDescent="0.35">
      <c r="A428" s="54">
        <f>IFERROR(IF(INDEX(SPOT_Import!$A$1:$Z$2488,428,'Live Data'!$C$12)="","",INDEX(SPOT_Import!$A$1:$Z$2488,428,'Live Data'!$C$12)),"")</f>
        <v>10681</v>
      </c>
      <c r="B428" s="54" t="str">
        <f>IFERROR(IF(INDEX(SPOT_Import!$A$1:$Z$2488,428,'Live Data'!$C$13)="","",INDEX(SPOT_Import!$A$1:$Z$2488,428,'Live Data'!$C$13)),"")</f>
        <v>Manunga Health Centre</v>
      </c>
      <c r="C428" s="54" t="str">
        <f>IFERROR(IF(INDEX(SPOT_Import!$A$1:$Z$2488,428,'Live Data'!$C$14)="","",INDEX(SPOT_Import!$A$1:$Z$2488,428,'Live Data'!$C$14)),"")</f>
        <v>NYANDARUA</v>
      </c>
      <c r="D428" s="54" t="str">
        <f>IFERROR(IF(INDEX(SPOT_Import!$A$1:$Z$2488,428,'Live Data'!$C$15)="","",INDEX(SPOT_Import!$A$1:$Z$2488,428,'Live Data'!$C$15)),"")</f>
        <v>Kipipiri</v>
      </c>
      <c r="E428" s="54" t="str">
        <f>IFERROR(IF(INDEX(SPOT_Import!$A$1:$Z$2488,428,'Live Data'!$C$16)="","",INDEX(SPOT_Import!$A$1:$Z$2488,428,'Live Data'!$C$16)),"")</f>
        <v>USAID Jamii Tekelezi</v>
      </c>
      <c r="F428" s="54" t="str">
        <f>IFERROR(IF(INDEX(SPOT_Import!$A$1:$Z$2488,428,'Live Data'!$C$17)="","",INDEX(SPOT_Import!$A$1:$Z$2488,428,'Live Data'!$C$17)),"")</f>
        <v>C&amp;T</v>
      </c>
      <c r="G428" s="54">
        <f>IFERROR(IF(INDEX(SPOT_Import!$A$1:$Z$2488,428,'Live Data'!$C$18)="","",INDEX(SPOT_Import!$A$1:$Z$2488,428,'Live Data'!$C$18)),"")</f>
        <v>443</v>
      </c>
      <c r="H428" s="54">
        <f>IFERROR(IF(INDEX(SPOT_Import!$A$1:$Z$2488,428,'Live Data'!$C$19)="","",INDEX(SPOT_Import!$A$1:$Z$2488,428,'Live Data'!$C$19)),"")</f>
        <v>443</v>
      </c>
      <c r="I428" s="54" t="str">
        <f>IFERROR(IF(INDEX(SPOT_Import!$A$1:$Z$2488,428,'Live Data'!$C$20)="","",INDEX(SPOT_Import!$A$1:$Z$2488,428,'Live Data'!$C$20)),"")</f>
        <v>Complete</v>
      </c>
      <c r="J428" s="54" t="str">
        <f>IFERROR(IF(INDEX(SPOT_Import!$A$1:$Z$2488,428,'Live Data'!$C$21)="","",INDEX(SPOT_Import!$A$1:$Z$2488,428,'Live Data'!$C$21)),"")</f>
        <v>2026-10-04T11:02:47.000Z</v>
      </c>
      <c r="K428" s="54" t="str">
        <f>IFERROR(IF(INDEX(SPOT_Import!$A$1:$Z$2488,428,'Live Data'!$C$22)="","",INDEX(SPOT_Import!$A$1:$Z$2488,428,'Live Data'!$C$22)),"")</f>
        <v>2026-10-04T11:02:47.000Z</v>
      </c>
      <c r="L428" s="55" t="str">
        <f t="shared" si="12"/>
        <v>2026-10</v>
      </c>
      <c r="M428" s="55" t="str">
        <f t="shared" si="13"/>
        <v>NYANDARUA</v>
      </c>
      <c r="N428" s="55" t="str">
        <f>IF(A428="","",IFERROR(INDEX('Cluster Map'!$A$4:$A$38,MATCH(M428,'Cluster Map'!$B$4:$B$38,0)),"Unmapped"))</f>
        <v>Cluster 4</v>
      </c>
      <c r="O428" s="55">
        <f>IF(A428="",0,IF(COUNTIFS($A$2:A428,A428,$F$2:F428,F428,$L$2:L428,L428)=1,1,0))</f>
        <v>1</v>
      </c>
      <c r="P428" s="55">
        <f>IF(A428="",0,IF(AND(F428="C&amp;T",COUNTIFS($A$2:A428,A428,$F$2:F428,"C&amp;T")=1),1,0))</f>
        <v>1</v>
      </c>
    </row>
    <row r="429" spans="1:16" x14ac:dyDescent="0.35">
      <c r="A429" s="54">
        <f>IFERROR(IF(INDEX(SPOT_Import!$A$1:$Z$2488,429,'Live Data'!$C$12)="","",INDEX(SPOT_Import!$A$1:$Z$2488,429,'Live Data'!$C$12)),"")</f>
        <v>10916</v>
      </c>
      <c r="B429" s="54" t="str">
        <f>IFERROR(IF(INDEX(SPOT_Import!$A$1:$Z$2488,429,'Live Data'!$C$13)="","",INDEX(SPOT_Import!$A$1:$Z$2488,429,'Live Data'!$C$13)),"")</f>
        <v>JM Kariuki County Memorial Hospital (Olkalou)</v>
      </c>
      <c r="C429" s="54" t="str">
        <f>IFERROR(IF(INDEX(SPOT_Import!$A$1:$Z$2488,429,'Live Data'!$C$14)="","",INDEX(SPOT_Import!$A$1:$Z$2488,429,'Live Data'!$C$14)),"")</f>
        <v>NYANDARUA</v>
      </c>
      <c r="D429" s="54" t="str">
        <f>IFERROR(IF(INDEX(SPOT_Import!$A$1:$Z$2488,429,'Live Data'!$C$15)="","",INDEX(SPOT_Import!$A$1:$Z$2488,429,'Live Data'!$C$15)),"")</f>
        <v>Olkalou</v>
      </c>
      <c r="E429" s="54" t="str">
        <f>IFERROR(IF(INDEX(SPOT_Import!$A$1:$Z$2488,429,'Live Data'!$C$16)="","",INDEX(SPOT_Import!$A$1:$Z$2488,429,'Live Data'!$C$16)),"")</f>
        <v>USAID Jamii Tekelezi</v>
      </c>
      <c r="F429" s="54" t="str">
        <f>IFERROR(IF(INDEX(SPOT_Import!$A$1:$Z$2488,429,'Live Data'!$C$17)="","",INDEX(SPOT_Import!$A$1:$Z$2488,429,'Live Data'!$C$17)),"")</f>
        <v>PREP</v>
      </c>
      <c r="G429" s="54">
        <f>IFERROR(IF(INDEX(SPOT_Import!$A$1:$Z$2488,429,'Live Data'!$C$18)="","",INDEX(SPOT_Import!$A$1:$Z$2488,429,'Live Data'!$C$18)),"")</f>
        <v>1139</v>
      </c>
      <c r="H429" s="54">
        <f>IFERROR(IF(INDEX(SPOT_Import!$A$1:$Z$2488,429,'Live Data'!$C$19)="","",INDEX(SPOT_Import!$A$1:$Z$2488,429,'Live Data'!$C$19)),"")</f>
        <v>1139</v>
      </c>
      <c r="I429" s="54" t="str">
        <f>IFERROR(IF(INDEX(SPOT_Import!$A$1:$Z$2488,429,'Live Data'!$C$20)="","",INDEX(SPOT_Import!$A$1:$Z$2488,429,'Live Data'!$C$20)),"")</f>
        <v>Complete</v>
      </c>
      <c r="J429" s="54" t="str">
        <f>IFERROR(IF(INDEX(SPOT_Import!$A$1:$Z$2488,429,'Live Data'!$C$21)="","",INDEX(SPOT_Import!$A$1:$Z$2488,429,'Live Data'!$C$21)),"")</f>
        <v>2026-10-03T18:13:56.000Z</v>
      </c>
      <c r="K429" s="54" t="str">
        <f>IFERROR(IF(INDEX(SPOT_Import!$A$1:$Z$2488,429,'Live Data'!$C$22)="","",INDEX(SPOT_Import!$A$1:$Z$2488,429,'Live Data'!$C$22)),"")</f>
        <v>2026-10-03T18:13:56.000Z</v>
      </c>
      <c r="L429" s="55" t="str">
        <f t="shared" si="12"/>
        <v>2026-10</v>
      </c>
      <c r="M429" s="55" t="str">
        <f t="shared" si="13"/>
        <v>NYANDARUA</v>
      </c>
      <c r="N429" s="55" t="str">
        <f>IF(A429="","",IFERROR(INDEX('Cluster Map'!$A$4:$A$38,MATCH(M429,'Cluster Map'!$B$4:$B$38,0)),"Unmapped"))</f>
        <v>Cluster 4</v>
      </c>
      <c r="O429" s="55">
        <f>IF(A429="",0,IF(COUNTIFS($A$2:A429,A429,$F$2:F429,F429,$L$2:L429,L429)=1,1,0))</f>
        <v>1</v>
      </c>
      <c r="P429" s="55">
        <f>IF(A429="",0,IF(AND(F429="C&amp;T",COUNTIFS($A$2:A429,A429,$F$2:F429,"C&amp;T")=1),1,0))</f>
        <v>0</v>
      </c>
    </row>
    <row r="430" spans="1:16" x14ac:dyDescent="0.35">
      <c r="A430" s="54">
        <f>IFERROR(IF(INDEX(SPOT_Import!$A$1:$Z$2488,430,'Live Data'!$C$12)="","",INDEX(SPOT_Import!$A$1:$Z$2488,430,'Live Data'!$C$12)),"")</f>
        <v>10916</v>
      </c>
      <c r="B430" s="54" t="str">
        <f>IFERROR(IF(INDEX(SPOT_Import!$A$1:$Z$2488,430,'Live Data'!$C$13)="","",INDEX(SPOT_Import!$A$1:$Z$2488,430,'Live Data'!$C$13)),"")</f>
        <v>JM Kariuki County Memorial Hospital (Olkalou)</v>
      </c>
      <c r="C430" s="54" t="str">
        <f>IFERROR(IF(INDEX(SPOT_Import!$A$1:$Z$2488,430,'Live Data'!$C$14)="","",INDEX(SPOT_Import!$A$1:$Z$2488,430,'Live Data'!$C$14)),"")</f>
        <v>NYANDARUA</v>
      </c>
      <c r="D430" s="54" t="str">
        <f>IFERROR(IF(INDEX(SPOT_Import!$A$1:$Z$2488,430,'Live Data'!$C$15)="","",INDEX(SPOT_Import!$A$1:$Z$2488,430,'Live Data'!$C$15)),"")</f>
        <v>Olkalou</v>
      </c>
      <c r="E430" s="54" t="str">
        <f>IFERROR(IF(INDEX(SPOT_Import!$A$1:$Z$2488,430,'Live Data'!$C$16)="","",INDEX(SPOT_Import!$A$1:$Z$2488,430,'Live Data'!$C$16)),"")</f>
        <v>USAID Jamii Tekelezi</v>
      </c>
      <c r="F430" s="54" t="str">
        <f>IFERROR(IF(INDEX(SPOT_Import!$A$1:$Z$2488,430,'Live Data'!$C$17)="","",INDEX(SPOT_Import!$A$1:$Z$2488,430,'Live Data'!$C$17)),"")</f>
        <v>MNCH</v>
      </c>
      <c r="G430" s="54">
        <f>IFERROR(IF(INDEX(SPOT_Import!$A$1:$Z$2488,430,'Live Data'!$C$18)="","",INDEX(SPOT_Import!$A$1:$Z$2488,430,'Live Data'!$C$18)),"")</f>
        <v>286</v>
      </c>
      <c r="H430" s="54" t="str">
        <f>IFERROR(IF(INDEX(SPOT_Import!$A$1:$Z$2488,430,'Live Data'!$C$19)="","",INDEX(SPOT_Import!$A$1:$Z$2488,430,'Live Data'!$C$19)),"")</f>
        <v/>
      </c>
      <c r="I430" s="54" t="str">
        <f>IFERROR(IF(INDEX(SPOT_Import!$A$1:$Z$2488,430,'Live Data'!$C$20)="","",INDEX(SPOT_Import!$A$1:$Z$2488,430,'Live Data'!$C$20)),"")</f>
        <v>Complete</v>
      </c>
      <c r="J430" s="54" t="str">
        <f>IFERROR(IF(INDEX(SPOT_Import!$A$1:$Z$2488,430,'Live Data'!$C$21)="","",INDEX(SPOT_Import!$A$1:$Z$2488,430,'Live Data'!$C$21)),"")</f>
        <v>2026-10-03T18:13:33.000Z</v>
      </c>
      <c r="K430" s="54" t="str">
        <f>IFERROR(IF(INDEX(SPOT_Import!$A$1:$Z$2488,430,'Live Data'!$C$22)="","",INDEX(SPOT_Import!$A$1:$Z$2488,430,'Live Data'!$C$22)),"")</f>
        <v>2026-10-03T18:13:33.000Z</v>
      </c>
      <c r="L430" s="55" t="str">
        <f t="shared" si="12"/>
        <v>2026-10</v>
      </c>
      <c r="M430" s="55" t="str">
        <f t="shared" si="13"/>
        <v>NYANDARUA</v>
      </c>
      <c r="N430" s="55" t="str">
        <f>IF(A430="","",IFERROR(INDEX('Cluster Map'!$A$4:$A$38,MATCH(M430,'Cluster Map'!$B$4:$B$38,0)),"Unmapped"))</f>
        <v>Cluster 4</v>
      </c>
      <c r="O430" s="55">
        <f>IF(A430="",0,IF(COUNTIFS($A$2:A430,A430,$F$2:F430,F430,$L$2:L430,L430)=1,1,0))</f>
        <v>1</v>
      </c>
      <c r="P430" s="55">
        <f>IF(A430="",0,IF(AND(F430="C&amp;T",COUNTIFS($A$2:A430,A430,$F$2:F430,"C&amp;T")=1),1,0))</f>
        <v>0</v>
      </c>
    </row>
    <row r="431" spans="1:16" x14ac:dyDescent="0.35">
      <c r="A431" s="54">
        <f>IFERROR(IF(INDEX(SPOT_Import!$A$1:$Z$2488,431,'Live Data'!$C$12)="","",INDEX(SPOT_Import!$A$1:$Z$2488,431,'Live Data'!$C$12)),"")</f>
        <v>10916</v>
      </c>
      <c r="B431" s="54" t="str">
        <f>IFERROR(IF(INDEX(SPOT_Import!$A$1:$Z$2488,431,'Live Data'!$C$13)="","",INDEX(SPOT_Import!$A$1:$Z$2488,431,'Live Data'!$C$13)),"")</f>
        <v>JM Kariuki County Memorial Hospital (Olkalou)</v>
      </c>
      <c r="C431" s="54" t="str">
        <f>IFERROR(IF(INDEX(SPOT_Import!$A$1:$Z$2488,431,'Live Data'!$C$14)="","",INDEX(SPOT_Import!$A$1:$Z$2488,431,'Live Data'!$C$14)),"")</f>
        <v>NYANDARUA</v>
      </c>
      <c r="D431" s="54" t="str">
        <f>IFERROR(IF(INDEX(SPOT_Import!$A$1:$Z$2488,431,'Live Data'!$C$15)="","",INDEX(SPOT_Import!$A$1:$Z$2488,431,'Live Data'!$C$15)),"")</f>
        <v>Olkalou</v>
      </c>
      <c r="E431" s="54" t="str">
        <f>IFERROR(IF(INDEX(SPOT_Import!$A$1:$Z$2488,431,'Live Data'!$C$16)="","",INDEX(SPOT_Import!$A$1:$Z$2488,431,'Live Data'!$C$16)),"")</f>
        <v>USAID Jamii Tekelezi</v>
      </c>
      <c r="F431" s="54" t="str">
        <f>IFERROR(IF(INDEX(SPOT_Import!$A$1:$Z$2488,431,'Live Data'!$C$17)="","",INDEX(SPOT_Import!$A$1:$Z$2488,431,'Live Data'!$C$17)),"")</f>
        <v>HTS</v>
      </c>
      <c r="G431" s="54">
        <f>IFERROR(IF(INDEX(SPOT_Import!$A$1:$Z$2488,431,'Live Data'!$C$18)="","",INDEX(SPOT_Import!$A$1:$Z$2488,431,'Live Data'!$C$18)),"")</f>
        <v>15599</v>
      </c>
      <c r="H431" s="54">
        <f>IFERROR(IF(INDEX(SPOT_Import!$A$1:$Z$2488,431,'Live Data'!$C$19)="","",INDEX(SPOT_Import!$A$1:$Z$2488,431,'Live Data'!$C$19)),"")</f>
        <v>15599</v>
      </c>
      <c r="I431" s="54" t="str">
        <f>IFERROR(IF(INDEX(SPOT_Import!$A$1:$Z$2488,431,'Live Data'!$C$20)="","",INDEX(SPOT_Import!$A$1:$Z$2488,431,'Live Data'!$C$20)),"")</f>
        <v>Complete</v>
      </c>
      <c r="J431" s="54" t="str">
        <f>IFERROR(IF(INDEX(SPOT_Import!$A$1:$Z$2488,431,'Live Data'!$C$21)="","",INDEX(SPOT_Import!$A$1:$Z$2488,431,'Live Data'!$C$21)),"")</f>
        <v>2026-10-03T18:11:52.000Z</v>
      </c>
      <c r="K431" s="54" t="str">
        <f>IFERROR(IF(INDEX(SPOT_Import!$A$1:$Z$2488,431,'Live Data'!$C$22)="","",INDEX(SPOT_Import!$A$1:$Z$2488,431,'Live Data'!$C$22)),"")</f>
        <v>2026-10-03T18:11:52.000Z</v>
      </c>
      <c r="L431" s="55" t="str">
        <f t="shared" si="12"/>
        <v>2026-10</v>
      </c>
      <c r="M431" s="55" t="str">
        <f t="shared" si="13"/>
        <v>NYANDARUA</v>
      </c>
      <c r="N431" s="55" t="str">
        <f>IF(A431="","",IFERROR(INDEX('Cluster Map'!$A$4:$A$38,MATCH(M431,'Cluster Map'!$B$4:$B$38,0)),"Unmapped"))</f>
        <v>Cluster 4</v>
      </c>
      <c r="O431" s="55">
        <f>IF(A431="",0,IF(COUNTIFS($A$2:A431,A431,$F$2:F431,F431,$L$2:L431,L431)=1,1,0))</f>
        <v>1</v>
      </c>
      <c r="P431" s="55">
        <f>IF(A431="",0,IF(AND(F431="C&amp;T",COUNTIFS($A$2:A431,A431,$F$2:F431,"C&amp;T")=1),1,0))</f>
        <v>0</v>
      </c>
    </row>
    <row r="432" spans="1:16" x14ac:dyDescent="0.35">
      <c r="A432" s="54">
        <f>IFERROR(IF(INDEX(SPOT_Import!$A$1:$Z$2488,432,'Live Data'!$C$12)="","",INDEX(SPOT_Import!$A$1:$Z$2488,432,'Live Data'!$C$12)),"")</f>
        <v>12560</v>
      </c>
      <c r="B432" s="54" t="str">
        <f>IFERROR(IF(INDEX(SPOT_Import!$A$1:$Z$2488,432,'Live Data'!$C$13)="","",INDEX(SPOT_Import!$A$1:$Z$2488,432,'Live Data'!$C$13)),"")</f>
        <v>Mukothima Health Centre</v>
      </c>
      <c r="C432" s="54" t="str">
        <f>IFERROR(IF(INDEX(SPOT_Import!$A$1:$Z$2488,432,'Live Data'!$C$14)="","",INDEX(SPOT_Import!$A$1:$Z$2488,432,'Live Data'!$C$14)),"")</f>
        <v>THARAKA-NITHI</v>
      </c>
      <c r="D432" s="54" t="str">
        <f>IFERROR(IF(INDEX(SPOT_Import!$A$1:$Z$2488,432,'Live Data'!$C$15)="","",INDEX(SPOT_Import!$A$1:$Z$2488,432,'Live Data'!$C$15)),"")</f>
        <v>Tharaka North</v>
      </c>
      <c r="E432" s="54" t="str">
        <f>IFERROR(IF(INDEX(SPOT_Import!$A$1:$Z$2488,432,'Live Data'!$C$16)="","",INDEX(SPOT_Import!$A$1:$Z$2488,432,'Live Data'!$C$16)),"")</f>
        <v>USAID Jamii Tekelezi</v>
      </c>
      <c r="F432" s="54" t="str">
        <f>IFERROR(IF(INDEX(SPOT_Import!$A$1:$Z$2488,432,'Live Data'!$C$17)="","",INDEX(SPOT_Import!$A$1:$Z$2488,432,'Live Data'!$C$17)),"")</f>
        <v>HTS</v>
      </c>
      <c r="G432" s="54">
        <f>IFERROR(IF(INDEX(SPOT_Import!$A$1:$Z$2488,432,'Live Data'!$C$18)="","",INDEX(SPOT_Import!$A$1:$Z$2488,432,'Live Data'!$C$18)),"")</f>
        <v>1868</v>
      </c>
      <c r="H432" s="54">
        <f>IFERROR(IF(INDEX(SPOT_Import!$A$1:$Z$2488,432,'Live Data'!$C$19)="","",INDEX(SPOT_Import!$A$1:$Z$2488,432,'Live Data'!$C$19)),"")</f>
        <v>1868</v>
      </c>
      <c r="I432" s="54" t="str">
        <f>IFERROR(IF(INDEX(SPOT_Import!$A$1:$Z$2488,432,'Live Data'!$C$20)="","",INDEX(SPOT_Import!$A$1:$Z$2488,432,'Live Data'!$C$20)),"")</f>
        <v>Complete</v>
      </c>
      <c r="J432" s="54" t="str">
        <f>IFERROR(IF(INDEX(SPOT_Import!$A$1:$Z$2488,432,'Live Data'!$C$21)="","",INDEX(SPOT_Import!$A$1:$Z$2488,432,'Live Data'!$C$21)),"")</f>
        <v>2026-10-03T17:58:49.000Z</v>
      </c>
      <c r="K432" s="54" t="str">
        <f>IFERROR(IF(INDEX(SPOT_Import!$A$1:$Z$2488,432,'Live Data'!$C$22)="","",INDEX(SPOT_Import!$A$1:$Z$2488,432,'Live Data'!$C$22)),"")</f>
        <v>2026-10-03T17:58:49.000Z</v>
      </c>
      <c r="L432" s="55" t="str">
        <f t="shared" si="12"/>
        <v>2026-10</v>
      </c>
      <c r="M432" s="55" t="str">
        <f t="shared" si="13"/>
        <v>THARAKA-NITHI</v>
      </c>
      <c r="N432" s="55" t="str">
        <f>IF(A432="","",IFERROR(INDEX('Cluster Map'!$A$4:$A$38,MATCH(M432,'Cluster Map'!$B$4:$B$38,0)),"Unmapped"))</f>
        <v>Cluster 2</v>
      </c>
      <c r="O432" s="55">
        <f>IF(A432="",0,IF(COUNTIFS($A$2:A432,A432,$F$2:F432,F432,$L$2:L432,L432)=1,1,0))</f>
        <v>1</v>
      </c>
      <c r="P432" s="55">
        <f>IF(A432="",0,IF(AND(F432="C&amp;T",COUNTIFS($A$2:A432,A432,$F$2:F432,"C&amp;T")=1),1,0))</f>
        <v>0</v>
      </c>
    </row>
    <row r="433" spans="1:16" x14ac:dyDescent="0.35">
      <c r="A433" s="54">
        <f>IFERROR(IF(INDEX(SPOT_Import!$A$1:$Z$2488,433,'Live Data'!$C$12)="","",INDEX(SPOT_Import!$A$1:$Z$2488,433,'Live Data'!$C$12)),"")</f>
        <v>12560</v>
      </c>
      <c r="B433" s="54" t="str">
        <f>IFERROR(IF(INDEX(SPOT_Import!$A$1:$Z$2488,433,'Live Data'!$C$13)="","",INDEX(SPOT_Import!$A$1:$Z$2488,433,'Live Data'!$C$13)),"")</f>
        <v>Mukothima Health Centre</v>
      </c>
      <c r="C433" s="54" t="str">
        <f>IFERROR(IF(INDEX(SPOT_Import!$A$1:$Z$2488,433,'Live Data'!$C$14)="","",INDEX(SPOT_Import!$A$1:$Z$2488,433,'Live Data'!$C$14)),"")</f>
        <v>THARAKA-NITHI</v>
      </c>
      <c r="D433" s="54" t="str">
        <f>IFERROR(IF(INDEX(SPOT_Import!$A$1:$Z$2488,433,'Live Data'!$C$15)="","",INDEX(SPOT_Import!$A$1:$Z$2488,433,'Live Data'!$C$15)),"")</f>
        <v>Tharaka North</v>
      </c>
      <c r="E433" s="54" t="str">
        <f>IFERROR(IF(INDEX(SPOT_Import!$A$1:$Z$2488,433,'Live Data'!$C$16)="","",INDEX(SPOT_Import!$A$1:$Z$2488,433,'Live Data'!$C$16)),"")</f>
        <v>USAID Jamii Tekelezi</v>
      </c>
      <c r="F433" s="54" t="str">
        <f>IFERROR(IF(INDEX(SPOT_Import!$A$1:$Z$2488,433,'Live Data'!$C$17)="","",INDEX(SPOT_Import!$A$1:$Z$2488,433,'Live Data'!$C$17)),"")</f>
        <v>MNCH</v>
      </c>
      <c r="G433" s="54">
        <f>IFERROR(IF(INDEX(SPOT_Import!$A$1:$Z$2488,433,'Live Data'!$C$18)="","",INDEX(SPOT_Import!$A$1:$Z$2488,433,'Live Data'!$C$18)),"")</f>
        <v>18</v>
      </c>
      <c r="H433" s="54" t="str">
        <f>IFERROR(IF(INDEX(SPOT_Import!$A$1:$Z$2488,433,'Live Data'!$C$19)="","",INDEX(SPOT_Import!$A$1:$Z$2488,433,'Live Data'!$C$19)),"")</f>
        <v/>
      </c>
      <c r="I433" s="54" t="str">
        <f>IFERROR(IF(INDEX(SPOT_Import!$A$1:$Z$2488,433,'Live Data'!$C$20)="","",INDEX(SPOT_Import!$A$1:$Z$2488,433,'Live Data'!$C$20)),"")</f>
        <v>Incomplete</v>
      </c>
      <c r="J433" s="54" t="str">
        <f>IFERROR(IF(INDEX(SPOT_Import!$A$1:$Z$2488,433,'Live Data'!$C$21)="","",INDEX(SPOT_Import!$A$1:$Z$2488,433,'Live Data'!$C$21)),"")</f>
        <v>2026-10-03T17:58:09.000Z</v>
      </c>
      <c r="K433" s="54" t="str">
        <f>IFERROR(IF(INDEX(SPOT_Import!$A$1:$Z$2488,433,'Live Data'!$C$22)="","",INDEX(SPOT_Import!$A$1:$Z$2488,433,'Live Data'!$C$22)),"")</f>
        <v>2026-10-03T17:58:09.000Z</v>
      </c>
      <c r="L433" s="55" t="str">
        <f t="shared" si="12"/>
        <v>2026-10</v>
      </c>
      <c r="M433" s="55" t="str">
        <f t="shared" si="13"/>
        <v>THARAKA-NITHI</v>
      </c>
      <c r="N433" s="55" t="str">
        <f>IF(A433="","",IFERROR(INDEX('Cluster Map'!$A$4:$A$38,MATCH(M433,'Cluster Map'!$B$4:$B$38,0)),"Unmapped"))</f>
        <v>Cluster 2</v>
      </c>
      <c r="O433" s="55">
        <f>IF(A433="",0,IF(COUNTIFS($A$2:A433,A433,$F$2:F433,F433,$L$2:L433,L433)=1,1,0))</f>
        <v>1</v>
      </c>
      <c r="P433" s="55">
        <f>IF(A433="",0,IF(AND(F433="C&amp;T",COUNTIFS($A$2:A433,A433,$F$2:F433,"C&amp;T")=1),1,0))</f>
        <v>0</v>
      </c>
    </row>
    <row r="434" spans="1:16" x14ac:dyDescent="0.35">
      <c r="A434" s="54">
        <f>IFERROR(IF(INDEX(SPOT_Import!$A$1:$Z$2488,434,'Live Data'!$C$12)="","",INDEX(SPOT_Import!$A$1:$Z$2488,434,'Live Data'!$C$12)),"")</f>
        <v>12560</v>
      </c>
      <c r="B434" s="54" t="str">
        <f>IFERROR(IF(INDEX(SPOT_Import!$A$1:$Z$2488,434,'Live Data'!$C$13)="","",INDEX(SPOT_Import!$A$1:$Z$2488,434,'Live Data'!$C$13)),"")</f>
        <v>Mukothima Health Centre</v>
      </c>
      <c r="C434" s="54" t="str">
        <f>IFERROR(IF(INDEX(SPOT_Import!$A$1:$Z$2488,434,'Live Data'!$C$14)="","",INDEX(SPOT_Import!$A$1:$Z$2488,434,'Live Data'!$C$14)),"")</f>
        <v>THARAKA-NITHI</v>
      </c>
      <c r="D434" s="54" t="str">
        <f>IFERROR(IF(INDEX(SPOT_Import!$A$1:$Z$2488,434,'Live Data'!$C$15)="","",INDEX(SPOT_Import!$A$1:$Z$2488,434,'Live Data'!$C$15)),"")</f>
        <v>Tharaka North</v>
      </c>
      <c r="E434" s="54" t="str">
        <f>IFERROR(IF(INDEX(SPOT_Import!$A$1:$Z$2488,434,'Live Data'!$C$16)="","",INDEX(SPOT_Import!$A$1:$Z$2488,434,'Live Data'!$C$16)),"")</f>
        <v>USAID Jamii Tekelezi</v>
      </c>
      <c r="F434" s="54" t="str">
        <f>IFERROR(IF(INDEX(SPOT_Import!$A$1:$Z$2488,434,'Live Data'!$C$17)="","",INDEX(SPOT_Import!$A$1:$Z$2488,434,'Live Data'!$C$17)),"")</f>
        <v>PREP</v>
      </c>
      <c r="G434" s="54">
        <f>IFERROR(IF(INDEX(SPOT_Import!$A$1:$Z$2488,434,'Live Data'!$C$18)="","",INDEX(SPOT_Import!$A$1:$Z$2488,434,'Live Data'!$C$18)),"")</f>
        <v>52</v>
      </c>
      <c r="H434" s="54" t="str">
        <f>IFERROR(IF(INDEX(SPOT_Import!$A$1:$Z$2488,434,'Live Data'!$C$19)="","",INDEX(SPOT_Import!$A$1:$Z$2488,434,'Live Data'!$C$19)),"")</f>
        <v/>
      </c>
      <c r="I434" s="54" t="str">
        <f>IFERROR(IF(INDEX(SPOT_Import!$A$1:$Z$2488,434,'Live Data'!$C$20)="","",INDEX(SPOT_Import!$A$1:$Z$2488,434,'Live Data'!$C$20)),"")</f>
        <v>Complete</v>
      </c>
      <c r="J434" s="54" t="str">
        <f>IFERROR(IF(INDEX(SPOT_Import!$A$1:$Z$2488,434,'Live Data'!$C$21)="","",INDEX(SPOT_Import!$A$1:$Z$2488,434,'Live Data'!$C$21)),"")</f>
        <v>2026-10-03T17:57:02.000Z</v>
      </c>
      <c r="K434" s="54" t="str">
        <f>IFERROR(IF(INDEX(SPOT_Import!$A$1:$Z$2488,434,'Live Data'!$C$22)="","",INDEX(SPOT_Import!$A$1:$Z$2488,434,'Live Data'!$C$22)),"")</f>
        <v>2026-10-03T17:57:02.000Z</v>
      </c>
      <c r="L434" s="55" t="str">
        <f t="shared" si="12"/>
        <v>2026-10</v>
      </c>
      <c r="M434" s="55" t="str">
        <f t="shared" si="13"/>
        <v>THARAKA-NITHI</v>
      </c>
      <c r="N434" s="55" t="str">
        <f>IF(A434="","",IFERROR(INDEX('Cluster Map'!$A$4:$A$38,MATCH(M434,'Cluster Map'!$B$4:$B$38,0)),"Unmapped"))</f>
        <v>Cluster 2</v>
      </c>
      <c r="O434" s="55">
        <f>IF(A434="",0,IF(COUNTIFS($A$2:A434,A434,$F$2:F434,F434,$L$2:L434,L434)=1,1,0))</f>
        <v>1</v>
      </c>
      <c r="P434" s="55">
        <f>IF(A434="",0,IF(AND(F434="C&amp;T",COUNTIFS($A$2:A434,A434,$F$2:F434,"C&amp;T")=1),1,0))</f>
        <v>0</v>
      </c>
    </row>
    <row r="435" spans="1:16" x14ac:dyDescent="0.35">
      <c r="A435" s="54">
        <f>IFERROR(IF(INDEX(SPOT_Import!$A$1:$Z$2488,435,'Live Data'!$C$12)="","",INDEX(SPOT_Import!$A$1:$Z$2488,435,'Live Data'!$C$12)),"")</f>
        <v>12560</v>
      </c>
      <c r="B435" s="54" t="str">
        <f>IFERROR(IF(INDEX(SPOT_Import!$A$1:$Z$2488,435,'Live Data'!$C$13)="","",INDEX(SPOT_Import!$A$1:$Z$2488,435,'Live Data'!$C$13)),"")</f>
        <v>Mukothima Health Centre</v>
      </c>
      <c r="C435" s="54" t="str">
        <f>IFERROR(IF(INDEX(SPOT_Import!$A$1:$Z$2488,435,'Live Data'!$C$14)="","",INDEX(SPOT_Import!$A$1:$Z$2488,435,'Live Data'!$C$14)),"")</f>
        <v>THARAKA-NITHI</v>
      </c>
      <c r="D435" s="54" t="str">
        <f>IFERROR(IF(INDEX(SPOT_Import!$A$1:$Z$2488,435,'Live Data'!$C$15)="","",INDEX(SPOT_Import!$A$1:$Z$2488,435,'Live Data'!$C$15)),"")</f>
        <v>Tharaka North</v>
      </c>
      <c r="E435" s="54" t="str">
        <f>IFERROR(IF(INDEX(SPOT_Import!$A$1:$Z$2488,435,'Live Data'!$C$16)="","",INDEX(SPOT_Import!$A$1:$Z$2488,435,'Live Data'!$C$16)),"")</f>
        <v>USAID Jamii Tekelezi</v>
      </c>
      <c r="F435" s="54" t="str">
        <f>IFERROR(IF(INDEX(SPOT_Import!$A$1:$Z$2488,435,'Live Data'!$C$17)="","",INDEX(SPOT_Import!$A$1:$Z$2488,435,'Live Data'!$C$17)),"")</f>
        <v>C&amp;T</v>
      </c>
      <c r="G435" s="54">
        <f>IFERROR(IF(INDEX(SPOT_Import!$A$1:$Z$2488,435,'Live Data'!$C$18)="","",INDEX(SPOT_Import!$A$1:$Z$2488,435,'Live Data'!$C$18)),"")</f>
        <v>162</v>
      </c>
      <c r="H435" s="54">
        <f>IFERROR(IF(INDEX(SPOT_Import!$A$1:$Z$2488,435,'Live Data'!$C$19)="","",INDEX(SPOT_Import!$A$1:$Z$2488,435,'Live Data'!$C$19)),"")</f>
        <v>162</v>
      </c>
      <c r="I435" s="54" t="str">
        <f>IFERROR(IF(INDEX(SPOT_Import!$A$1:$Z$2488,435,'Live Data'!$C$20)="","",INDEX(SPOT_Import!$A$1:$Z$2488,435,'Live Data'!$C$20)),"")</f>
        <v>Complete</v>
      </c>
      <c r="J435" s="54" t="str">
        <f>IFERROR(IF(INDEX(SPOT_Import!$A$1:$Z$2488,435,'Live Data'!$C$21)="","",INDEX(SPOT_Import!$A$1:$Z$2488,435,'Live Data'!$C$21)),"")</f>
        <v>2026-10-03T17:38:17.000Z</v>
      </c>
      <c r="K435" s="54" t="str">
        <f>IFERROR(IF(INDEX(SPOT_Import!$A$1:$Z$2488,435,'Live Data'!$C$22)="","",INDEX(SPOT_Import!$A$1:$Z$2488,435,'Live Data'!$C$22)),"")</f>
        <v>2026-10-03T17:38:17.000Z</v>
      </c>
      <c r="L435" s="55" t="str">
        <f t="shared" si="12"/>
        <v>2026-10</v>
      </c>
      <c r="M435" s="55" t="str">
        <f t="shared" si="13"/>
        <v>THARAKA-NITHI</v>
      </c>
      <c r="N435" s="55" t="str">
        <f>IF(A435="","",IFERROR(INDEX('Cluster Map'!$A$4:$A$38,MATCH(M435,'Cluster Map'!$B$4:$B$38,0)),"Unmapped"))</f>
        <v>Cluster 2</v>
      </c>
      <c r="O435" s="55">
        <f>IF(A435="",0,IF(COUNTIFS($A$2:A435,A435,$F$2:F435,F435,$L$2:L435,L435)=1,1,0))</f>
        <v>1</v>
      </c>
      <c r="P435" s="55">
        <f>IF(A435="",0,IF(AND(F435="C&amp;T",COUNTIFS($A$2:A435,A435,$F$2:F435,"C&amp;T")=1),1,0))</f>
        <v>1</v>
      </c>
    </row>
    <row r="436" spans="1:16" x14ac:dyDescent="0.35">
      <c r="A436" s="54">
        <f>IFERROR(IF(INDEX(SPOT_Import!$A$1:$Z$2488,436,'Live Data'!$C$12)="","",INDEX(SPOT_Import!$A$1:$Z$2488,436,'Live Data'!$C$12)),"")</f>
        <v>23887</v>
      </c>
      <c r="B436" s="54" t="str">
        <f>IFERROR(IF(INDEX(SPOT_Import!$A$1:$Z$2488,436,'Live Data'!$C$13)="","",INDEX(SPOT_Import!$A$1:$Z$2488,436,'Live Data'!$C$13)),"")</f>
        <v>Kibunga sub-district Hospital (Tharaka Nithi)</v>
      </c>
      <c r="C436" s="54" t="str">
        <f>IFERROR(IF(INDEX(SPOT_Import!$A$1:$Z$2488,436,'Live Data'!$C$14)="","",INDEX(SPOT_Import!$A$1:$Z$2488,436,'Live Data'!$C$14)),"")</f>
        <v>THARAKA-NITHI</v>
      </c>
      <c r="D436" s="54" t="str">
        <f>IFERROR(IF(INDEX(SPOT_Import!$A$1:$Z$2488,436,'Live Data'!$C$15)="","",INDEX(SPOT_Import!$A$1:$Z$2488,436,'Live Data'!$C$15)),"")</f>
        <v>Tharaka South</v>
      </c>
      <c r="E436" s="54" t="str">
        <f>IFERROR(IF(INDEX(SPOT_Import!$A$1:$Z$2488,436,'Live Data'!$C$16)="","",INDEX(SPOT_Import!$A$1:$Z$2488,436,'Live Data'!$C$16)),"")</f>
        <v>USAID Jamii Tekelezi</v>
      </c>
      <c r="F436" s="54" t="str">
        <f>IFERROR(IF(INDEX(SPOT_Import!$A$1:$Z$2488,436,'Live Data'!$C$17)="","",INDEX(SPOT_Import!$A$1:$Z$2488,436,'Live Data'!$C$17)),"")</f>
        <v>HTS</v>
      </c>
      <c r="G436" s="54">
        <f>IFERROR(IF(INDEX(SPOT_Import!$A$1:$Z$2488,436,'Live Data'!$C$18)="","",INDEX(SPOT_Import!$A$1:$Z$2488,436,'Live Data'!$C$18)),"")</f>
        <v>2333</v>
      </c>
      <c r="H436" s="54">
        <f>IFERROR(IF(INDEX(SPOT_Import!$A$1:$Z$2488,436,'Live Data'!$C$19)="","",INDEX(SPOT_Import!$A$1:$Z$2488,436,'Live Data'!$C$19)),"")</f>
        <v>500</v>
      </c>
      <c r="I436" s="54" t="str">
        <f>IFERROR(IF(INDEX(SPOT_Import!$A$1:$Z$2488,436,'Live Data'!$C$20)="","",INDEX(SPOT_Import!$A$1:$Z$2488,436,'Live Data'!$C$20)),"")</f>
        <v>Complete</v>
      </c>
      <c r="J436" s="54" t="str">
        <f>IFERROR(IF(INDEX(SPOT_Import!$A$1:$Z$2488,436,'Live Data'!$C$21)="","",INDEX(SPOT_Import!$A$1:$Z$2488,436,'Live Data'!$C$21)),"")</f>
        <v>2026-10-02T20:35:18.000Z</v>
      </c>
      <c r="K436" s="54" t="str">
        <f>IFERROR(IF(INDEX(SPOT_Import!$A$1:$Z$2488,436,'Live Data'!$C$22)="","",INDEX(SPOT_Import!$A$1:$Z$2488,436,'Live Data'!$C$22)),"")</f>
        <v>2026-10-02T20:35:18.000Z</v>
      </c>
      <c r="L436" s="55" t="str">
        <f t="shared" si="12"/>
        <v>2026-10</v>
      </c>
      <c r="M436" s="55" t="str">
        <f t="shared" si="13"/>
        <v>THARAKA-NITHI</v>
      </c>
      <c r="N436" s="55" t="str">
        <f>IF(A436="","",IFERROR(INDEX('Cluster Map'!$A$4:$A$38,MATCH(M436,'Cluster Map'!$B$4:$B$38,0)),"Unmapped"))</f>
        <v>Cluster 2</v>
      </c>
      <c r="O436" s="55">
        <f>IF(A436="",0,IF(COUNTIFS($A$2:A436,A436,$F$2:F436,F436,$L$2:L436,L436)=1,1,0))</f>
        <v>1</v>
      </c>
      <c r="P436" s="55">
        <f>IF(A436="",0,IF(AND(F436="C&amp;T",COUNTIFS($A$2:A436,A436,$F$2:F436,"C&amp;T")=1),1,0))</f>
        <v>0</v>
      </c>
    </row>
    <row r="437" spans="1:16" x14ac:dyDescent="0.35">
      <c r="A437" s="54">
        <f>IFERROR(IF(INDEX(SPOT_Import!$A$1:$Z$2488,437,'Live Data'!$C$12)="","",INDEX(SPOT_Import!$A$1:$Z$2488,437,'Live Data'!$C$12)),"")</f>
        <v>23887</v>
      </c>
      <c r="B437" s="54" t="str">
        <f>IFERROR(IF(INDEX(SPOT_Import!$A$1:$Z$2488,437,'Live Data'!$C$13)="","",INDEX(SPOT_Import!$A$1:$Z$2488,437,'Live Data'!$C$13)),"")</f>
        <v>Kibunga sub-district Hospital (Tharaka Nithi)</v>
      </c>
      <c r="C437" s="54" t="str">
        <f>IFERROR(IF(INDEX(SPOT_Import!$A$1:$Z$2488,437,'Live Data'!$C$14)="","",INDEX(SPOT_Import!$A$1:$Z$2488,437,'Live Data'!$C$14)),"")</f>
        <v>THARAKA-NITHI</v>
      </c>
      <c r="D437" s="54" t="str">
        <f>IFERROR(IF(INDEX(SPOT_Import!$A$1:$Z$2488,437,'Live Data'!$C$15)="","",INDEX(SPOT_Import!$A$1:$Z$2488,437,'Live Data'!$C$15)),"")</f>
        <v>Tharaka South</v>
      </c>
      <c r="E437" s="54" t="str">
        <f>IFERROR(IF(INDEX(SPOT_Import!$A$1:$Z$2488,437,'Live Data'!$C$16)="","",INDEX(SPOT_Import!$A$1:$Z$2488,437,'Live Data'!$C$16)),"")</f>
        <v>USAID Jamii Tekelezi</v>
      </c>
      <c r="F437" s="54" t="str">
        <f>IFERROR(IF(INDEX(SPOT_Import!$A$1:$Z$2488,437,'Live Data'!$C$17)="","",INDEX(SPOT_Import!$A$1:$Z$2488,437,'Live Data'!$C$17)),"")</f>
        <v>MNCH</v>
      </c>
      <c r="G437" s="54">
        <f>IFERROR(IF(INDEX(SPOT_Import!$A$1:$Z$2488,437,'Live Data'!$C$18)="","",INDEX(SPOT_Import!$A$1:$Z$2488,437,'Live Data'!$C$18)),"")</f>
        <v>18</v>
      </c>
      <c r="H437" s="54" t="str">
        <f>IFERROR(IF(INDEX(SPOT_Import!$A$1:$Z$2488,437,'Live Data'!$C$19)="","",INDEX(SPOT_Import!$A$1:$Z$2488,437,'Live Data'!$C$19)),"")</f>
        <v/>
      </c>
      <c r="I437" s="54" t="str">
        <f>IFERROR(IF(INDEX(SPOT_Import!$A$1:$Z$2488,437,'Live Data'!$C$20)="","",INDEX(SPOT_Import!$A$1:$Z$2488,437,'Live Data'!$C$20)),"")</f>
        <v>Incomplete</v>
      </c>
      <c r="J437" s="54" t="str">
        <f>IFERROR(IF(INDEX(SPOT_Import!$A$1:$Z$2488,437,'Live Data'!$C$21)="","",INDEX(SPOT_Import!$A$1:$Z$2488,437,'Live Data'!$C$21)),"")</f>
        <v>2026-10-02T20:34:57.000Z</v>
      </c>
      <c r="K437" s="54" t="str">
        <f>IFERROR(IF(INDEX(SPOT_Import!$A$1:$Z$2488,437,'Live Data'!$C$22)="","",INDEX(SPOT_Import!$A$1:$Z$2488,437,'Live Data'!$C$22)),"")</f>
        <v>2026-10-02T20:34:57.000Z</v>
      </c>
      <c r="L437" s="55" t="str">
        <f t="shared" si="12"/>
        <v>2026-10</v>
      </c>
      <c r="M437" s="55" t="str">
        <f t="shared" si="13"/>
        <v>THARAKA-NITHI</v>
      </c>
      <c r="N437" s="55" t="str">
        <f>IF(A437="","",IFERROR(INDEX('Cluster Map'!$A$4:$A$38,MATCH(M437,'Cluster Map'!$B$4:$B$38,0)),"Unmapped"))</f>
        <v>Cluster 2</v>
      </c>
      <c r="O437" s="55">
        <f>IF(A437="",0,IF(COUNTIFS($A$2:A437,A437,$F$2:F437,F437,$L$2:L437,L437)=1,1,0))</f>
        <v>1</v>
      </c>
      <c r="P437" s="55">
        <f>IF(A437="",0,IF(AND(F437="C&amp;T",COUNTIFS($A$2:A437,A437,$F$2:F437,"C&amp;T")=1),1,0))</f>
        <v>0</v>
      </c>
    </row>
    <row r="438" spans="1:16" x14ac:dyDescent="0.35">
      <c r="A438" s="54">
        <f>IFERROR(IF(INDEX(SPOT_Import!$A$1:$Z$2488,438,'Live Data'!$C$12)="","",INDEX(SPOT_Import!$A$1:$Z$2488,438,'Live Data'!$C$12)),"")</f>
        <v>23887</v>
      </c>
      <c r="B438" s="54" t="str">
        <f>IFERROR(IF(INDEX(SPOT_Import!$A$1:$Z$2488,438,'Live Data'!$C$13)="","",INDEX(SPOT_Import!$A$1:$Z$2488,438,'Live Data'!$C$13)),"")</f>
        <v>Kibunga sub-district Hospital (Tharaka Nithi)</v>
      </c>
      <c r="C438" s="54" t="str">
        <f>IFERROR(IF(INDEX(SPOT_Import!$A$1:$Z$2488,438,'Live Data'!$C$14)="","",INDEX(SPOT_Import!$A$1:$Z$2488,438,'Live Data'!$C$14)),"")</f>
        <v>THARAKA-NITHI</v>
      </c>
      <c r="D438" s="54" t="str">
        <f>IFERROR(IF(INDEX(SPOT_Import!$A$1:$Z$2488,438,'Live Data'!$C$15)="","",INDEX(SPOT_Import!$A$1:$Z$2488,438,'Live Data'!$C$15)),"")</f>
        <v>Tharaka South</v>
      </c>
      <c r="E438" s="54" t="str">
        <f>IFERROR(IF(INDEX(SPOT_Import!$A$1:$Z$2488,438,'Live Data'!$C$16)="","",INDEX(SPOT_Import!$A$1:$Z$2488,438,'Live Data'!$C$16)),"")</f>
        <v>USAID Jamii Tekelezi</v>
      </c>
      <c r="F438" s="54" t="str">
        <f>IFERROR(IF(INDEX(SPOT_Import!$A$1:$Z$2488,438,'Live Data'!$C$17)="","",INDEX(SPOT_Import!$A$1:$Z$2488,438,'Live Data'!$C$17)),"")</f>
        <v>PREP</v>
      </c>
      <c r="G438" s="54">
        <f>IFERROR(IF(INDEX(SPOT_Import!$A$1:$Z$2488,438,'Live Data'!$C$18)="","",INDEX(SPOT_Import!$A$1:$Z$2488,438,'Live Data'!$C$18)),"")</f>
        <v>119</v>
      </c>
      <c r="H438" s="54" t="str">
        <f>IFERROR(IF(INDEX(SPOT_Import!$A$1:$Z$2488,438,'Live Data'!$C$19)="","",INDEX(SPOT_Import!$A$1:$Z$2488,438,'Live Data'!$C$19)),"")</f>
        <v/>
      </c>
      <c r="I438" s="54" t="str">
        <f>IFERROR(IF(INDEX(SPOT_Import!$A$1:$Z$2488,438,'Live Data'!$C$20)="","",INDEX(SPOT_Import!$A$1:$Z$2488,438,'Live Data'!$C$20)),"")</f>
        <v>Incomplete</v>
      </c>
      <c r="J438" s="54" t="str">
        <f>IFERROR(IF(INDEX(SPOT_Import!$A$1:$Z$2488,438,'Live Data'!$C$21)="","",INDEX(SPOT_Import!$A$1:$Z$2488,438,'Live Data'!$C$21)),"")</f>
        <v>2026-10-02T20:34:37.000Z</v>
      </c>
      <c r="K438" s="54" t="str">
        <f>IFERROR(IF(INDEX(SPOT_Import!$A$1:$Z$2488,438,'Live Data'!$C$22)="","",INDEX(SPOT_Import!$A$1:$Z$2488,438,'Live Data'!$C$22)),"")</f>
        <v>2026-10-02T20:34:37.000Z</v>
      </c>
      <c r="L438" s="55" t="str">
        <f t="shared" si="12"/>
        <v>2026-10</v>
      </c>
      <c r="M438" s="55" t="str">
        <f t="shared" si="13"/>
        <v>THARAKA-NITHI</v>
      </c>
      <c r="N438" s="55" t="str">
        <f>IF(A438="","",IFERROR(INDEX('Cluster Map'!$A$4:$A$38,MATCH(M438,'Cluster Map'!$B$4:$B$38,0)),"Unmapped"))</f>
        <v>Cluster 2</v>
      </c>
      <c r="O438" s="55">
        <f>IF(A438="",0,IF(COUNTIFS($A$2:A438,A438,$F$2:F438,F438,$L$2:L438,L438)=1,1,0))</f>
        <v>1</v>
      </c>
      <c r="P438" s="55">
        <f>IF(A438="",0,IF(AND(F438="C&amp;T",COUNTIFS($A$2:A438,A438,$F$2:F438,"C&amp;T")=1),1,0))</f>
        <v>0</v>
      </c>
    </row>
    <row r="439" spans="1:16" x14ac:dyDescent="0.35">
      <c r="A439" s="54">
        <f>IFERROR(IF(INDEX(SPOT_Import!$A$1:$Z$2488,439,'Live Data'!$C$12)="","",INDEX(SPOT_Import!$A$1:$Z$2488,439,'Live Data'!$C$12)),"")</f>
        <v>23887</v>
      </c>
      <c r="B439" s="54" t="str">
        <f>IFERROR(IF(INDEX(SPOT_Import!$A$1:$Z$2488,439,'Live Data'!$C$13)="","",INDEX(SPOT_Import!$A$1:$Z$2488,439,'Live Data'!$C$13)),"")</f>
        <v>Kibunga sub-district Hospital</v>
      </c>
      <c r="C439" s="54" t="str">
        <f>IFERROR(IF(INDEX(SPOT_Import!$A$1:$Z$2488,439,'Live Data'!$C$14)="","",INDEX(SPOT_Import!$A$1:$Z$2488,439,'Live Data'!$C$14)),"")</f>
        <v>THARAKA-NITHI</v>
      </c>
      <c r="D439" s="54" t="str">
        <f>IFERROR(IF(INDEX(SPOT_Import!$A$1:$Z$2488,439,'Live Data'!$C$15)="","",INDEX(SPOT_Import!$A$1:$Z$2488,439,'Live Data'!$C$15)),"")</f>
        <v>Tharaka South</v>
      </c>
      <c r="E439" s="54" t="str">
        <f>IFERROR(IF(INDEX(SPOT_Import!$A$1:$Z$2488,439,'Live Data'!$C$16)="","",INDEX(SPOT_Import!$A$1:$Z$2488,439,'Live Data'!$C$16)),"")</f>
        <v>USAID Jamii Tekelezi</v>
      </c>
      <c r="F439" s="54" t="str">
        <f>IFERROR(IF(INDEX(SPOT_Import!$A$1:$Z$2488,439,'Live Data'!$C$17)="","",INDEX(SPOT_Import!$A$1:$Z$2488,439,'Live Data'!$C$17)),"")</f>
        <v>C&amp;T</v>
      </c>
      <c r="G439" s="54">
        <f>IFERROR(IF(INDEX(SPOT_Import!$A$1:$Z$2488,439,'Live Data'!$C$18)="","",INDEX(SPOT_Import!$A$1:$Z$2488,439,'Live Data'!$C$18)),"")</f>
        <v>152</v>
      </c>
      <c r="H439" s="54">
        <f>IFERROR(IF(INDEX(SPOT_Import!$A$1:$Z$2488,439,'Live Data'!$C$19)="","",INDEX(SPOT_Import!$A$1:$Z$2488,439,'Live Data'!$C$19)),"")</f>
        <v>152</v>
      </c>
      <c r="I439" s="54" t="str">
        <f>IFERROR(IF(INDEX(SPOT_Import!$A$1:$Z$2488,439,'Live Data'!$C$20)="","",INDEX(SPOT_Import!$A$1:$Z$2488,439,'Live Data'!$C$20)),"")</f>
        <v>Complete</v>
      </c>
      <c r="J439" s="54" t="str">
        <f>IFERROR(IF(INDEX(SPOT_Import!$A$1:$Z$2488,439,'Live Data'!$C$21)="","",INDEX(SPOT_Import!$A$1:$Z$2488,439,'Live Data'!$C$21)),"")</f>
        <v>2026-10-02T20:15:53.000Z</v>
      </c>
      <c r="K439" s="54" t="str">
        <f>IFERROR(IF(INDEX(SPOT_Import!$A$1:$Z$2488,439,'Live Data'!$C$22)="","",INDEX(SPOT_Import!$A$1:$Z$2488,439,'Live Data'!$C$22)),"")</f>
        <v>2026-10-02T20:15:53.000Z</v>
      </c>
      <c r="L439" s="55" t="str">
        <f t="shared" si="12"/>
        <v>2026-10</v>
      </c>
      <c r="M439" s="55" t="str">
        <f t="shared" si="13"/>
        <v>THARAKA-NITHI</v>
      </c>
      <c r="N439" s="55" t="str">
        <f>IF(A439="","",IFERROR(INDEX('Cluster Map'!$A$4:$A$38,MATCH(M439,'Cluster Map'!$B$4:$B$38,0)),"Unmapped"))</f>
        <v>Cluster 2</v>
      </c>
      <c r="O439" s="55">
        <f>IF(A439="",0,IF(COUNTIFS($A$2:A439,A439,$F$2:F439,F439,$L$2:L439,L439)=1,1,0))</f>
        <v>1</v>
      </c>
      <c r="P439" s="55">
        <f>IF(A439="",0,IF(AND(F439="C&amp;T",COUNTIFS($A$2:A439,A439,$F$2:F439,"C&amp;T")=1),1,0))</f>
        <v>1</v>
      </c>
    </row>
    <row r="440" spans="1:16" x14ac:dyDescent="0.35">
      <c r="A440" s="54">
        <f>IFERROR(IF(INDEX(SPOT_Import!$A$1:$Z$2488,440,'Live Data'!$C$12)="","",INDEX(SPOT_Import!$A$1:$Z$2488,440,'Live Data'!$C$12)),"")</f>
        <v>12793</v>
      </c>
      <c r="B440" s="54" t="str">
        <f>IFERROR(IF(INDEX(SPOT_Import!$A$1:$Z$2488,440,'Live Data'!$C$13)="","",INDEX(SPOT_Import!$A$1:$Z$2488,440,'Live Data'!$C$13)),"")</f>
        <v>Thanantu Faith Clinic Dispensary</v>
      </c>
      <c r="C440" s="54" t="str">
        <f>IFERROR(IF(INDEX(SPOT_Import!$A$1:$Z$2488,440,'Live Data'!$C$14)="","",INDEX(SPOT_Import!$A$1:$Z$2488,440,'Live Data'!$C$14)),"")</f>
        <v>THARAKA-NITHI</v>
      </c>
      <c r="D440" s="54" t="str">
        <f>IFERROR(IF(INDEX(SPOT_Import!$A$1:$Z$2488,440,'Live Data'!$C$15)="","",INDEX(SPOT_Import!$A$1:$Z$2488,440,'Live Data'!$C$15)),"")</f>
        <v>Tharaka North</v>
      </c>
      <c r="E440" s="54" t="str">
        <f>IFERROR(IF(INDEX(SPOT_Import!$A$1:$Z$2488,440,'Live Data'!$C$16)="","",INDEX(SPOT_Import!$A$1:$Z$2488,440,'Live Data'!$C$16)),"")</f>
        <v>USAID Jamii Tekelezi</v>
      </c>
      <c r="F440" s="54" t="str">
        <f>IFERROR(IF(INDEX(SPOT_Import!$A$1:$Z$2488,440,'Live Data'!$C$17)="","",INDEX(SPOT_Import!$A$1:$Z$2488,440,'Live Data'!$C$17)),"")</f>
        <v>MNCH</v>
      </c>
      <c r="G440" s="54">
        <f>IFERROR(IF(INDEX(SPOT_Import!$A$1:$Z$2488,440,'Live Data'!$C$18)="","",INDEX(SPOT_Import!$A$1:$Z$2488,440,'Live Data'!$C$18)),"")</f>
        <v>7</v>
      </c>
      <c r="H440" s="54" t="str">
        <f>IFERROR(IF(INDEX(SPOT_Import!$A$1:$Z$2488,440,'Live Data'!$C$19)="","",INDEX(SPOT_Import!$A$1:$Z$2488,440,'Live Data'!$C$19)),"")</f>
        <v/>
      </c>
      <c r="I440" s="54" t="str">
        <f>IFERROR(IF(INDEX(SPOT_Import!$A$1:$Z$2488,440,'Live Data'!$C$20)="","",INDEX(SPOT_Import!$A$1:$Z$2488,440,'Live Data'!$C$20)),"")</f>
        <v>Incomplete</v>
      </c>
      <c r="J440" s="54" t="str">
        <f>IFERROR(IF(INDEX(SPOT_Import!$A$1:$Z$2488,440,'Live Data'!$C$21)="","",INDEX(SPOT_Import!$A$1:$Z$2488,440,'Live Data'!$C$21)),"")</f>
        <v>2026-10-02T20:09:34.000Z</v>
      </c>
      <c r="K440" s="54" t="str">
        <f>IFERROR(IF(INDEX(SPOT_Import!$A$1:$Z$2488,440,'Live Data'!$C$22)="","",INDEX(SPOT_Import!$A$1:$Z$2488,440,'Live Data'!$C$22)),"")</f>
        <v>2026-10-02T20:09:34.000Z</v>
      </c>
      <c r="L440" s="55" t="str">
        <f t="shared" si="12"/>
        <v>2026-10</v>
      </c>
      <c r="M440" s="55" t="str">
        <f t="shared" si="13"/>
        <v>THARAKA-NITHI</v>
      </c>
      <c r="N440" s="55" t="str">
        <f>IF(A440="","",IFERROR(INDEX('Cluster Map'!$A$4:$A$38,MATCH(M440,'Cluster Map'!$B$4:$B$38,0)),"Unmapped"))</f>
        <v>Cluster 2</v>
      </c>
      <c r="O440" s="55">
        <f>IF(A440="",0,IF(COUNTIFS($A$2:A440,A440,$F$2:F440,F440,$L$2:L440,L440)=1,1,0))</f>
        <v>1</v>
      </c>
      <c r="P440" s="55">
        <f>IF(A440="",0,IF(AND(F440="C&amp;T",COUNTIFS($A$2:A440,A440,$F$2:F440,"C&amp;T")=1),1,0))</f>
        <v>0</v>
      </c>
    </row>
    <row r="441" spans="1:16" x14ac:dyDescent="0.35">
      <c r="A441" s="54">
        <f>IFERROR(IF(INDEX(SPOT_Import!$A$1:$Z$2488,441,'Live Data'!$C$12)="","",INDEX(SPOT_Import!$A$1:$Z$2488,441,'Live Data'!$C$12)),"")</f>
        <v>12793</v>
      </c>
      <c r="B441" s="54" t="str">
        <f>IFERROR(IF(INDEX(SPOT_Import!$A$1:$Z$2488,441,'Live Data'!$C$13)="","",INDEX(SPOT_Import!$A$1:$Z$2488,441,'Live Data'!$C$13)),"")</f>
        <v>Thanantu Faith Clinic Dispensary</v>
      </c>
      <c r="C441" s="54" t="str">
        <f>IFERROR(IF(INDEX(SPOT_Import!$A$1:$Z$2488,441,'Live Data'!$C$14)="","",INDEX(SPOT_Import!$A$1:$Z$2488,441,'Live Data'!$C$14)),"")</f>
        <v>THARAKA-NITHI</v>
      </c>
      <c r="D441" s="54" t="str">
        <f>IFERROR(IF(INDEX(SPOT_Import!$A$1:$Z$2488,441,'Live Data'!$C$15)="","",INDEX(SPOT_Import!$A$1:$Z$2488,441,'Live Data'!$C$15)),"")</f>
        <v>Tharaka North</v>
      </c>
      <c r="E441" s="54" t="str">
        <f>IFERROR(IF(INDEX(SPOT_Import!$A$1:$Z$2488,441,'Live Data'!$C$16)="","",INDEX(SPOT_Import!$A$1:$Z$2488,441,'Live Data'!$C$16)),"")</f>
        <v>USAID Jamii Tekelezi</v>
      </c>
      <c r="F441" s="54" t="str">
        <f>IFERROR(IF(INDEX(SPOT_Import!$A$1:$Z$2488,441,'Live Data'!$C$17)="","",INDEX(SPOT_Import!$A$1:$Z$2488,441,'Live Data'!$C$17)),"")</f>
        <v>HTS</v>
      </c>
      <c r="G441" s="54">
        <f>IFERROR(IF(INDEX(SPOT_Import!$A$1:$Z$2488,441,'Live Data'!$C$18)="","",INDEX(SPOT_Import!$A$1:$Z$2488,441,'Live Data'!$C$18)),"")</f>
        <v>827</v>
      </c>
      <c r="H441" s="54" t="str">
        <f>IFERROR(IF(INDEX(SPOT_Import!$A$1:$Z$2488,441,'Live Data'!$C$19)="","",INDEX(SPOT_Import!$A$1:$Z$2488,441,'Live Data'!$C$19)),"")</f>
        <v/>
      </c>
      <c r="I441" s="54" t="str">
        <f>IFERROR(IF(INDEX(SPOT_Import!$A$1:$Z$2488,441,'Live Data'!$C$20)="","",INDEX(SPOT_Import!$A$1:$Z$2488,441,'Live Data'!$C$20)),"")</f>
        <v>Incomplete</v>
      </c>
      <c r="J441" s="54" t="str">
        <f>IFERROR(IF(INDEX(SPOT_Import!$A$1:$Z$2488,441,'Live Data'!$C$21)="","",INDEX(SPOT_Import!$A$1:$Z$2488,441,'Live Data'!$C$21)),"")</f>
        <v>2026-10-02T20:07:56.000Z</v>
      </c>
      <c r="K441" s="54" t="str">
        <f>IFERROR(IF(INDEX(SPOT_Import!$A$1:$Z$2488,441,'Live Data'!$C$22)="","",INDEX(SPOT_Import!$A$1:$Z$2488,441,'Live Data'!$C$22)),"")</f>
        <v>2026-10-02T20:07:56.000Z</v>
      </c>
      <c r="L441" s="55" t="str">
        <f t="shared" si="12"/>
        <v>2026-10</v>
      </c>
      <c r="M441" s="55" t="str">
        <f t="shared" si="13"/>
        <v>THARAKA-NITHI</v>
      </c>
      <c r="N441" s="55" t="str">
        <f>IF(A441="","",IFERROR(INDEX('Cluster Map'!$A$4:$A$38,MATCH(M441,'Cluster Map'!$B$4:$B$38,0)),"Unmapped"))</f>
        <v>Cluster 2</v>
      </c>
      <c r="O441" s="55">
        <f>IF(A441="",0,IF(COUNTIFS($A$2:A441,A441,$F$2:F441,F441,$L$2:L441,L441)=1,1,0))</f>
        <v>1</v>
      </c>
      <c r="P441" s="55">
        <f>IF(A441="",0,IF(AND(F441="C&amp;T",COUNTIFS($A$2:A441,A441,$F$2:F441,"C&amp;T")=1),1,0))</f>
        <v>0</v>
      </c>
    </row>
    <row r="442" spans="1:16" x14ac:dyDescent="0.35">
      <c r="A442" s="54">
        <f>IFERROR(IF(INDEX(SPOT_Import!$A$1:$Z$2488,442,'Live Data'!$C$12)="","",INDEX(SPOT_Import!$A$1:$Z$2488,442,'Live Data'!$C$12)),"")</f>
        <v>12793</v>
      </c>
      <c r="B442" s="54" t="str">
        <f>IFERROR(IF(INDEX(SPOT_Import!$A$1:$Z$2488,442,'Live Data'!$C$13)="","",INDEX(SPOT_Import!$A$1:$Z$2488,442,'Live Data'!$C$13)),"")</f>
        <v>Thanantu Faith Clinic Dispensary</v>
      </c>
      <c r="C442" s="54" t="str">
        <f>IFERROR(IF(INDEX(SPOT_Import!$A$1:$Z$2488,442,'Live Data'!$C$14)="","",INDEX(SPOT_Import!$A$1:$Z$2488,442,'Live Data'!$C$14)),"")</f>
        <v>THARAKA-NITHI</v>
      </c>
      <c r="D442" s="54" t="str">
        <f>IFERROR(IF(INDEX(SPOT_Import!$A$1:$Z$2488,442,'Live Data'!$C$15)="","",INDEX(SPOT_Import!$A$1:$Z$2488,442,'Live Data'!$C$15)),"")</f>
        <v>Tharaka North</v>
      </c>
      <c r="E442" s="54" t="str">
        <f>IFERROR(IF(INDEX(SPOT_Import!$A$1:$Z$2488,442,'Live Data'!$C$16)="","",INDEX(SPOT_Import!$A$1:$Z$2488,442,'Live Data'!$C$16)),"")</f>
        <v>USAID Jamii Tekelezi</v>
      </c>
      <c r="F442" s="54" t="str">
        <f>IFERROR(IF(INDEX(SPOT_Import!$A$1:$Z$2488,442,'Live Data'!$C$17)="","",INDEX(SPOT_Import!$A$1:$Z$2488,442,'Live Data'!$C$17)),"")</f>
        <v>PREP</v>
      </c>
      <c r="G442" s="54">
        <f>IFERROR(IF(INDEX(SPOT_Import!$A$1:$Z$2488,442,'Live Data'!$C$18)="","",INDEX(SPOT_Import!$A$1:$Z$2488,442,'Live Data'!$C$18)),"")</f>
        <v>34</v>
      </c>
      <c r="H442" s="54" t="str">
        <f>IFERROR(IF(INDEX(SPOT_Import!$A$1:$Z$2488,442,'Live Data'!$C$19)="","",INDEX(SPOT_Import!$A$1:$Z$2488,442,'Live Data'!$C$19)),"")</f>
        <v/>
      </c>
      <c r="I442" s="54" t="str">
        <f>IFERROR(IF(INDEX(SPOT_Import!$A$1:$Z$2488,442,'Live Data'!$C$20)="","",INDEX(SPOT_Import!$A$1:$Z$2488,442,'Live Data'!$C$20)),"")</f>
        <v>Incomplete</v>
      </c>
      <c r="J442" s="54" t="str">
        <f>IFERROR(IF(INDEX(SPOT_Import!$A$1:$Z$2488,442,'Live Data'!$C$21)="","",INDEX(SPOT_Import!$A$1:$Z$2488,442,'Live Data'!$C$21)),"")</f>
        <v>2026-10-02T20:07:04.000Z</v>
      </c>
      <c r="K442" s="54" t="str">
        <f>IFERROR(IF(INDEX(SPOT_Import!$A$1:$Z$2488,442,'Live Data'!$C$22)="","",INDEX(SPOT_Import!$A$1:$Z$2488,442,'Live Data'!$C$22)),"")</f>
        <v>2026-10-02T20:07:04.000Z</v>
      </c>
      <c r="L442" s="55" t="str">
        <f t="shared" si="12"/>
        <v>2026-10</v>
      </c>
      <c r="M442" s="55" t="str">
        <f t="shared" si="13"/>
        <v>THARAKA-NITHI</v>
      </c>
      <c r="N442" s="55" t="str">
        <f>IF(A442="","",IFERROR(INDEX('Cluster Map'!$A$4:$A$38,MATCH(M442,'Cluster Map'!$B$4:$B$38,0)),"Unmapped"))</f>
        <v>Cluster 2</v>
      </c>
      <c r="O442" s="55">
        <f>IF(A442="",0,IF(COUNTIFS($A$2:A442,A442,$F$2:F442,F442,$L$2:L442,L442)=1,1,0))</f>
        <v>1</v>
      </c>
      <c r="P442" s="55">
        <f>IF(A442="",0,IF(AND(F442="C&amp;T",COUNTIFS($A$2:A442,A442,$F$2:F442,"C&amp;T")=1),1,0))</f>
        <v>0</v>
      </c>
    </row>
    <row r="443" spans="1:16" x14ac:dyDescent="0.35">
      <c r="A443" s="54">
        <f>IFERROR(IF(INDEX(SPOT_Import!$A$1:$Z$2488,443,'Live Data'!$C$12)="","",INDEX(SPOT_Import!$A$1:$Z$2488,443,'Live Data'!$C$12)),"")</f>
        <v>12793</v>
      </c>
      <c r="B443" s="54" t="str">
        <f>IFERROR(IF(INDEX(SPOT_Import!$A$1:$Z$2488,443,'Live Data'!$C$13)="","",INDEX(SPOT_Import!$A$1:$Z$2488,443,'Live Data'!$C$13)),"")</f>
        <v>Thanantu Faith Clinic Dispensary</v>
      </c>
      <c r="C443" s="54" t="str">
        <f>IFERROR(IF(INDEX(SPOT_Import!$A$1:$Z$2488,443,'Live Data'!$C$14)="","",INDEX(SPOT_Import!$A$1:$Z$2488,443,'Live Data'!$C$14)),"")</f>
        <v>THARAKA-NITHI</v>
      </c>
      <c r="D443" s="54" t="str">
        <f>IFERROR(IF(INDEX(SPOT_Import!$A$1:$Z$2488,443,'Live Data'!$C$15)="","",INDEX(SPOT_Import!$A$1:$Z$2488,443,'Live Data'!$C$15)),"")</f>
        <v>Tharaka North</v>
      </c>
      <c r="E443" s="54" t="str">
        <f>IFERROR(IF(INDEX(SPOT_Import!$A$1:$Z$2488,443,'Live Data'!$C$16)="","",INDEX(SPOT_Import!$A$1:$Z$2488,443,'Live Data'!$C$16)),"")</f>
        <v>USAID Jamii Tekelezi</v>
      </c>
      <c r="F443" s="54" t="str">
        <f>IFERROR(IF(INDEX(SPOT_Import!$A$1:$Z$2488,443,'Live Data'!$C$17)="","",INDEX(SPOT_Import!$A$1:$Z$2488,443,'Live Data'!$C$17)),"")</f>
        <v>C&amp;T</v>
      </c>
      <c r="G443" s="54">
        <f>IFERROR(IF(INDEX(SPOT_Import!$A$1:$Z$2488,443,'Live Data'!$C$18)="","",INDEX(SPOT_Import!$A$1:$Z$2488,443,'Live Data'!$C$18)),"")</f>
        <v>173</v>
      </c>
      <c r="H443" s="54">
        <f>IFERROR(IF(INDEX(SPOT_Import!$A$1:$Z$2488,443,'Live Data'!$C$19)="","",INDEX(SPOT_Import!$A$1:$Z$2488,443,'Live Data'!$C$19)),"")</f>
        <v>173</v>
      </c>
      <c r="I443" s="54" t="str">
        <f>IFERROR(IF(INDEX(SPOT_Import!$A$1:$Z$2488,443,'Live Data'!$C$20)="","",INDEX(SPOT_Import!$A$1:$Z$2488,443,'Live Data'!$C$20)),"")</f>
        <v>Complete</v>
      </c>
      <c r="J443" s="54" t="str">
        <f>IFERROR(IF(INDEX(SPOT_Import!$A$1:$Z$2488,443,'Live Data'!$C$21)="","",INDEX(SPOT_Import!$A$1:$Z$2488,443,'Live Data'!$C$21)),"")</f>
        <v>2026-10-02T19:46:56.000Z</v>
      </c>
      <c r="K443" s="54" t="str">
        <f>IFERROR(IF(INDEX(SPOT_Import!$A$1:$Z$2488,443,'Live Data'!$C$22)="","",INDEX(SPOT_Import!$A$1:$Z$2488,443,'Live Data'!$C$22)),"")</f>
        <v>2026-10-02T19:46:56.000Z</v>
      </c>
      <c r="L443" s="55" t="str">
        <f t="shared" si="12"/>
        <v>2026-10</v>
      </c>
      <c r="M443" s="55" t="str">
        <f t="shared" si="13"/>
        <v>THARAKA-NITHI</v>
      </c>
      <c r="N443" s="55" t="str">
        <f>IF(A443="","",IFERROR(INDEX('Cluster Map'!$A$4:$A$38,MATCH(M443,'Cluster Map'!$B$4:$B$38,0)),"Unmapped"))</f>
        <v>Cluster 2</v>
      </c>
      <c r="O443" s="55">
        <f>IF(A443="",0,IF(COUNTIFS($A$2:A443,A443,$F$2:F443,F443,$L$2:L443,L443)=1,1,0))</f>
        <v>1</v>
      </c>
      <c r="P443" s="55">
        <f>IF(A443="",0,IF(AND(F443="C&amp;T",COUNTIFS($A$2:A443,A443,$F$2:F443,"C&amp;T")=1),1,0))</f>
        <v>1</v>
      </c>
    </row>
    <row r="444" spans="1:16" x14ac:dyDescent="0.35">
      <c r="A444" s="54">
        <f>IFERROR(IF(INDEX(SPOT_Import!$A$1:$Z$2488,444,'Live Data'!$C$12)="","",INDEX(SPOT_Import!$A$1:$Z$2488,444,'Live Data'!$C$12)),"")</f>
        <v>17287</v>
      </c>
      <c r="B444" s="54" t="str">
        <f>IFERROR(IF(INDEX(SPOT_Import!$A$1:$Z$2488,444,'Live Data'!$C$13)="","",INDEX(SPOT_Import!$A$1:$Z$2488,444,'Live Data'!$C$13)),"")</f>
        <v>Mboroga Dispensary</v>
      </c>
      <c r="C444" s="54" t="str">
        <f>IFERROR(IF(INDEX(SPOT_Import!$A$1:$Z$2488,444,'Live Data'!$C$14)="","",INDEX(SPOT_Import!$A$1:$Z$2488,444,'Live Data'!$C$14)),"")</f>
        <v>MERU</v>
      </c>
      <c r="D444" s="54" t="str">
        <f>IFERROR(IF(INDEX(SPOT_Import!$A$1:$Z$2488,444,'Live Data'!$C$15)="","",INDEX(SPOT_Import!$A$1:$Z$2488,444,'Live Data'!$C$15)),"")</f>
        <v>Buuri</v>
      </c>
      <c r="E444" s="54" t="str">
        <f>IFERROR(IF(INDEX(SPOT_Import!$A$1:$Z$2488,444,'Live Data'!$C$16)="","",INDEX(SPOT_Import!$A$1:$Z$2488,444,'Live Data'!$C$16)),"")</f>
        <v>USAID Jamii Tekelezi</v>
      </c>
      <c r="F444" s="54" t="str">
        <f>IFERROR(IF(INDEX(SPOT_Import!$A$1:$Z$2488,444,'Live Data'!$C$17)="","",INDEX(SPOT_Import!$A$1:$Z$2488,444,'Live Data'!$C$17)),"")</f>
        <v>MNCH</v>
      </c>
      <c r="G444" s="54">
        <f>IFERROR(IF(INDEX(SPOT_Import!$A$1:$Z$2488,444,'Live Data'!$C$18)="","",INDEX(SPOT_Import!$A$1:$Z$2488,444,'Live Data'!$C$18)),"")</f>
        <v>3</v>
      </c>
      <c r="H444" s="54">
        <f>IFERROR(IF(INDEX(SPOT_Import!$A$1:$Z$2488,444,'Live Data'!$C$19)="","",INDEX(SPOT_Import!$A$1:$Z$2488,444,'Live Data'!$C$19)),"")</f>
        <v>3</v>
      </c>
      <c r="I444" s="54" t="str">
        <f>IFERROR(IF(INDEX(SPOT_Import!$A$1:$Z$2488,444,'Live Data'!$C$20)="","",INDEX(SPOT_Import!$A$1:$Z$2488,444,'Live Data'!$C$20)),"")</f>
        <v>Complete</v>
      </c>
      <c r="J444" s="54" t="str">
        <f>IFERROR(IF(INDEX(SPOT_Import!$A$1:$Z$2488,444,'Live Data'!$C$21)="","",INDEX(SPOT_Import!$A$1:$Z$2488,444,'Live Data'!$C$21)),"")</f>
        <v>2026-10-02T12:52:36.000Z</v>
      </c>
      <c r="K444" s="54" t="str">
        <f>IFERROR(IF(INDEX(SPOT_Import!$A$1:$Z$2488,444,'Live Data'!$C$22)="","",INDEX(SPOT_Import!$A$1:$Z$2488,444,'Live Data'!$C$22)),"")</f>
        <v>2026-10-02T12:52:36.000Z</v>
      </c>
      <c r="L444" s="55" t="str">
        <f t="shared" si="12"/>
        <v>2026-10</v>
      </c>
      <c r="M444" s="55" t="str">
        <f t="shared" si="13"/>
        <v>MERU</v>
      </c>
      <c r="N444" s="55" t="str">
        <f>IF(A444="","",IFERROR(INDEX('Cluster Map'!$A$4:$A$38,MATCH(M444,'Cluster Map'!$B$4:$B$38,0)),"Unmapped"))</f>
        <v>Cluster 1</v>
      </c>
      <c r="O444" s="55">
        <f>IF(A444="",0,IF(COUNTIFS($A$2:A444,A444,$F$2:F444,F444,$L$2:L444,L444)=1,1,0))</f>
        <v>1</v>
      </c>
      <c r="P444" s="55">
        <f>IF(A444="",0,IF(AND(F444="C&amp;T",COUNTIFS($A$2:A444,A444,$F$2:F444,"C&amp;T")=1),1,0))</f>
        <v>0</v>
      </c>
    </row>
    <row r="445" spans="1:16" x14ac:dyDescent="0.35">
      <c r="A445" s="54">
        <f>IFERROR(IF(INDEX(SPOT_Import!$A$1:$Z$2488,445,'Live Data'!$C$12)="","",INDEX(SPOT_Import!$A$1:$Z$2488,445,'Live Data'!$C$12)),"")</f>
        <v>17287</v>
      </c>
      <c r="B445" s="54" t="str">
        <f>IFERROR(IF(INDEX(SPOT_Import!$A$1:$Z$2488,445,'Live Data'!$C$13)="","",INDEX(SPOT_Import!$A$1:$Z$2488,445,'Live Data'!$C$13)),"")</f>
        <v>Mboroga Dispensary</v>
      </c>
      <c r="C445" s="54" t="str">
        <f>IFERROR(IF(INDEX(SPOT_Import!$A$1:$Z$2488,445,'Live Data'!$C$14)="","",INDEX(SPOT_Import!$A$1:$Z$2488,445,'Live Data'!$C$14)),"")</f>
        <v>MERU</v>
      </c>
      <c r="D445" s="54" t="str">
        <f>IFERROR(IF(INDEX(SPOT_Import!$A$1:$Z$2488,445,'Live Data'!$C$15)="","",INDEX(SPOT_Import!$A$1:$Z$2488,445,'Live Data'!$C$15)),"")</f>
        <v>Buuri</v>
      </c>
      <c r="E445" s="54" t="str">
        <f>IFERROR(IF(INDEX(SPOT_Import!$A$1:$Z$2488,445,'Live Data'!$C$16)="","",INDEX(SPOT_Import!$A$1:$Z$2488,445,'Live Data'!$C$16)),"")</f>
        <v>USAID Jamii Tekelezi</v>
      </c>
      <c r="F445" s="54" t="str">
        <f>IFERROR(IF(INDEX(SPOT_Import!$A$1:$Z$2488,445,'Live Data'!$C$17)="","",INDEX(SPOT_Import!$A$1:$Z$2488,445,'Live Data'!$C$17)),"")</f>
        <v>HTS</v>
      </c>
      <c r="G445" s="54">
        <f>IFERROR(IF(INDEX(SPOT_Import!$A$1:$Z$2488,445,'Live Data'!$C$18)="","",INDEX(SPOT_Import!$A$1:$Z$2488,445,'Live Data'!$C$18)),"")</f>
        <v>3</v>
      </c>
      <c r="H445" s="54">
        <f>IFERROR(IF(INDEX(SPOT_Import!$A$1:$Z$2488,445,'Live Data'!$C$19)="","",INDEX(SPOT_Import!$A$1:$Z$2488,445,'Live Data'!$C$19)),"")</f>
        <v>3</v>
      </c>
      <c r="I445" s="54" t="str">
        <f>IFERROR(IF(INDEX(SPOT_Import!$A$1:$Z$2488,445,'Live Data'!$C$20)="","",INDEX(SPOT_Import!$A$1:$Z$2488,445,'Live Data'!$C$20)),"")</f>
        <v>Complete</v>
      </c>
      <c r="J445" s="54" t="str">
        <f>IFERROR(IF(INDEX(SPOT_Import!$A$1:$Z$2488,445,'Live Data'!$C$21)="","",INDEX(SPOT_Import!$A$1:$Z$2488,445,'Live Data'!$C$21)),"")</f>
        <v>2026-10-02T12:52:19.000Z</v>
      </c>
      <c r="K445" s="54" t="str">
        <f>IFERROR(IF(INDEX(SPOT_Import!$A$1:$Z$2488,445,'Live Data'!$C$22)="","",INDEX(SPOT_Import!$A$1:$Z$2488,445,'Live Data'!$C$22)),"")</f>
        <v>2026-10-02T12:52:19.000Z</v>
      </c>
      <c r="L445" s="55" t="str">
        <f t="shared" si="12"/>
        <v>2026-10</v>
      </c>
      <c r="M445" s="55" t="str">
        <f t="shared" si="13"/>
        <v>MERU</v>
      </c>
      <c r="N445" s="55" t="str">
        <f>IF(A445="","",IFERROR(INDEX('Cluster Map'!$A$4:$A$38,MATCH(M445,'Cluster Map'!$B$4:$B$38,0)),"Unmapped"))</f>
        <v>Cluster 1</v>
      </c>
      <c r="O445" s="55">
        <f>IF(A445="",0,IF(COUNTIFS($A$2:A445,A445,$F$2:F445,F445,$L$2:L445,L445)=1,1,0))</f>
        <v>1</v>
      </c>
      <c r="P445" s="55">
        <f>IF(A445="",0,IF(AND(F445="C&amp;T",COUNTIFS($A$2:A445,A445,$F$2:F445,"C&amp;T")=1),1,0))</f>
        <v>0</v>
      </c>
    </row>
    <row r="446" spans="1:16" x14ac:dyDescent="0.35">
      <c r="A446" s="54">
        <f>IFERROR(IF(INDEX(SPOT_Import!$A$1:$Z$2488,446,'Live Data'!$C$12)="","",INDEX(SPOT_Import!$A$1:$Z$2488,446,'Live Data'!$C$12)),"")</f>
        <v>11009</v>
      </c>
      <c r="B446" s="54" t="str">
        <f>IFERROR(IF(INDEX(SPOT_Import!$A$1:$Z$2488,446,'Live Data'!$C$13)="","",INDEX(SPOT_Import!$A$1:$Z$2488,446,'Live Data'!$C$13)),"")</f>
        <v>Silibwet Health Centre (Nyandarua West)</v>
      </c>
      <c r="C446" s="54" t="str">
        <f>IFERROR(IF(INDEX(SPOT_Import!$A$1:$Z$2488,446,'Live Data'!$C$14)="","",INDEX(SPOT_Import!$A$1:$Z$2488,446,'Live Data'!$C$14)),"")</f>
        <v>NYANDARUA</v>
      </c>
      <c r="D446" s="54" t="str">
        <f>IFERROR(IF(INDEX(SPOT_Import!$A$1:$Z$2488,446,'Live Data'!$C$15)="","",INDEX(SPOT_Import!$A$1:$Z$2488,446,'Live Data'!$C$15)),"")</f>
        <v>Oljororok</v>
      </c>
      <c r="E446" s="54" t="str">
        <f>IFERROR(IF(INDEX(SPOT_Import!$A$1:$Z$2488,446,'Live Data'!$C$16)="","",INDEX(SPOT_Import!$A$1:$Z$2488,446,'Live Data'!$C$16)),"")</f>
        <v>USAID Jamii Tekelezi</v>
      </c>
      <c r="F446" s="54" t="str">
        <f>IFERROR(IF(INDEX(SPOT_Import!$A$1:$Z$2488,446,'Live Data'!$C$17)="","",INDEX(SPOT_Import!$A$1:$Z$2488,446,'Live Data'!$C$17)),"")</f>
        <v>PREP</v>
      </c>
      <c r="G446" s="54">
        <f>IFERROR(IF(INDEX(SPOT_Import!$A$1:$Z$2488,446,'Live Data'!$C$18)="","",INDEX(SPOT_Import!$A$1:$Z$2488,446,'Live Data'!$C$18)),"")</f>
        <v>549</v>
      </c>
      <c r="H446" s="54">
        <f>IFERROR(IF(INDEX(SPOT_Import!$A$1:$Z$2488,446,'Live Data'!$C$19)="","",INDEX(SPOT_Import!$A$1:$Z$2488,446,'Live Data'!$C$19)),"")</f>
        <v>549</v>
      </c>
      <c r="I446" s="54" t="str">
        <f>IFERROR(IF(INDEX(SPOT_Import!$A$1:$Z$2488,446,'Live Data'!$C$20)="","",INDEX(SPOT_Import!$A$1:$Z$2488,446,'Live Data'!$C$20)),"")</f>
        <v>Complete</v>
      </c>
      <c r="J446" s="54" t="str">
        <f>IFERROR(IF(INDEX(SPOT_Import!$A$1:$Z$2488,446,'Live Data'!$C$21)="","",INDEX(SPOT_Import!$A$1:$Z$2488,446,'Live Data'!$C$21)),"")</f>
        <v>2026-10-02T09:12:53.000Z</v>
      </c>
      <c r="K446" s="54" t="str">
        <f>IFERROR(IF(INDEX(SPOT_Import!$A$1:$Z$2488,446,'Live Data'!$C$22)="","",INDEX(SPOT_Import!$A$1:$Z$2488,446,'Live Data'!$C$22)),"")</f>
        <v>2026-10-02T09:12:53.000Z</v>
      </c>
      <c r="L446" s="55" t="str">
        <f t="shared" si="12"/>
        <v>2026-10</v>
      </c>
      <c r="M446" s="55" t="str">
        <f t="shared" si="13"/>
        <v>NYANDARUA</v>
      </c>
      <c r="N446" s="55" t="str">
        <f>IF(A446="","",IFERROR(INDEX('Cluster Map'!$A$4:$A$38,MATCH(M446,'Cluster Map'!$B$4:$B$38,0)),"Unmapped"))</f>
        <v>Cluster 4</v>
      </c>
      <c r="O446" s="55">
        <f>IF(A446="",0,IF(COUNTIFS($A$2:A446,A446,$F$2:F446,F446,$L$2:L446,L446)=1,1,0))</f>
        <v>1</v>
      </c>
      <c r="P446" s="55">
        <f>IF(A446="",0,IF(AND(F446="C&amp;T",COUNTIFS($A$2:A446,A446,$F$2:F446,"C&amp;T")=1),1,0))</f>
        <v>0</v>
      </c>
    </row>
    <row r="447" spans="1:16" x14ac:dyDescent="0.35">
      <c r="A447" s="54">
        <f>IFERROR(IF(INDEX(SPOT_Import!$A$1:$Z$2488,447,'Live Data'!$C$12)="","",INDEX(SPOT_Import!$A$1:$Z$2488,447,'Live Data'!$C$12)),"")</f>
        <v>11009</v>
      </c>
      <c r="B447" s="54" t="str">
        <f>IFERROR(IF(INDEX(SPOT_Import!$A$1:$Z$2488,447,'Live Data'!$C$13)="","",INDEX(SPOT_Import!$A$1:$Z$2488,447,'Live Data'!$C$13)),"")</f>
        <v>Silibwet Health Centre (Nyandarua West)</v>
      </c>
      <c r="C447" s="54" t="str">
        <f>IFERROR(IF(INDEX(SPOT_Import!$A$1:$Z$2488,447,'Live Data'!$C$14)="","",INDEX(SPOT_Import!$A$1:$Z$2488,447,'Live Data'!$C$14)),"")</f>
        <v>NYANDARUA</v>
      </c>
      <c r="D447" s="54" t="str">
        <f>IFERROR(IF(INDEX(SPOT_Import!$A$1:$Z$2488,447,'Live Data'!$C$15)="","",INDEX(SPOT_Import!$A$1:$Z$2488,447,'Live Data'!$C$15)),"")</f>
        <v>Oljororok</v>
      </c>
      <c r="E447" s="54" t="str">
        <f>IFERROR(IF(INDEX(SPOT_Import!$A$1:$Z$2488,447,'Live Data'!$C$16)="","",INDEX(SPOT_Import!$A$1:$Z$2488,447,'Live Data'!$C$16)),"")</f>
        <v>USAID Jamii Tekelezi</v>
      </c>
      <c r="F447" s="54" t="str">
        <f>IFERROR(IF(INDEX(SPOT_Import!$A$1:$Z$2488,447,'Live Data'!$C$17)="","",INDEX(SPOT_Import!$A$1:$Z$2488,447,'Live Data'!$C$17)),"")</f>
        <v>HTS</v>
      </c>
      <c r="G447" s="54">
        <f>IFERROR(IF(INDEX(SPOT_Import!$A$1:$Z$2488,447,'Live Data'!$C$18)="","",INDEX(SPOT_Import!$A$1:$Z$2488,447,'Live Data'!$C$18)),"")</f>
        <v>3418</v>
      </c>
      <c r="H447" s="54">
        <f>IFERROR(IF(INDEX(SPOT_Import!$A$1:$Z$2488,447,'Live Data'!$C$19)="","",INDEX(SPOT_Import!$A$1:$Z$2488,447,'Live Data'!$C$19)),"")</f>
        <v>3418</v>
      </c>
      <c r="I447" s="54" t="str">
        <f>IFERROR(IF(INDEX(SPOT_Import!$A$1:$Z$2488,447,'Live Data'!$C$20)="","",INDEX(SPOT_Import!$A$1:$Z$2488,447,'Live Data'!$C$20)),"")</f>
        <v>Complete</v>
      </c>
      <c r="J447" s="54" t="str">
        <f>IFERROR(IF(INDEX(SPOT_Import!$A$1:$Z$2488,447,'Live Data'!$C$21)="","",INDEX(SPOT_Import!$A$1:$Z$2488,447,'Live Data'!$C$21)),"")</f>
        <v>2026-10-02T09:12:19.000Z</v>
      </c>
      <c r="K447" s="54" t="str">
        <f>IFERROR(IF(INDEX(SPOT_Import!$A$1:$Z$2488,447,'Live Data'!$C$22)="","",INDEX(SPOT_Import!$A$1:$Z$2488,447,'Live Data'!$C$22)),"")</f>
        <v>2026-10-02T09:12:19.000Z</v>
      </c>
      <c r="L447" s="55" t="str">
        <f t="shared" si="12"/>
        <v>2026-10</v>
      </c>
      <c r="M447" s="55" t="str">
        <f t="shared" si="13"/>
        <v>NYANDARUA</v>
      </c>
      <c r="N447" s="55" t="str">
        <f>IF(A447="","",IFERROR(INDEX('Cluster Map'!$A$4:$A$38,MATCH(M447,'Cluster Map'!$B$4:$B$38,0)),"Unmapped"))</f>
        <v>Cluster 4</v>
      </c>
      <c r="O447" s="55">
        <f>IF(A447="",0,IF(COUNTIFS($A$2:A447,A447,$F$2:F447,F447,$L$2:L447,L447)=1,1,0))</f>
        <v>1</v>
      </c>
      <c r="P447" s="55">
        <f>IF(A447="",0,IF(AND(F447="C&amp;T",COUNTIFS($A$2:A447,A447,$F$2:F447,"C&amp;T")=1),1,0))</f>
        <v>0</v>
      </c>
    </row>
    <row r="448" spans="1:16" x14ac:dyDescent="0.35">
      <c r="A448" s="54">
        <f>IFERROR(IF(INDEX(SPOT_Import!$A$1:$Z$2488,448,'Live Data'!$C$12)="","",INDEX(SPOT_Import!$A$1:$Z$2488,448,'Live Data'!$C$12)),"")</f>
        <v>11009</v>
      </c>
      <c r="B448" s="54" t="str">
        <f>IFERROR(IF(INDEX(SPOT_Import!$A$1:$Z$2488,448,'Live Data'!$C$13)="","",INDEX(SPOT_Import!$A$1:$Z$2488,448,'Live Data'!$C$13)),"")</f>
        <v>Silibwet Health Centre (Nyandarua West)</v>
      </c>
      <c r="C448" s="54" t="str">
        <f>IFERROR(IF(INDEX(SPOT_Import!$A$1:$Z$2488,448,'Live Data'!$C$14)="","",INDEX(SPOT_Import!$A$1:$Z$2488,448,'Live Data'!$C$14)),"")</f>
        <v>NYANDARUA</v>
      </c>
      <c r="D448" s="54" t="str">
        <f>IFERROR(IF(INDEX(SPOT_Import!$A$1:$Z$2488,448,'Live Data'!$C$15)="","",INDEX(SPOT_Import!$A$1:$Z$2488,448,'Live Data'!$C$15)),"")</f>
        <v>Oljororok</v>
      </c>
      <c r="E448" s="54" t="str">
        <f>IFERROR(IF(INDEX(SPOT_Import!$A$1:$Z$2488,448,'Live Data'!$C$16)="","",INDEX(SPOT_Import!$A$1:$Z$2488,448,'Live Data'!$C$16)),"")</f>
        <v>USAID Jamii Tekelezi</v>
      </c>
      <c r="F448" s="54" t="str">
        <f>IFERROR(IF(INDEX(SPOT_Import!$A$1:$Z$2488,448,'Live Data'!$C$17)="","",INDEX(SPOT_Import!$A$1:$Z$2488,448,'Live Data'!$C$17)),"")</f>
        <v>MNCH</v>
      </c>
      <c r="G448" s="54">
        <f>IFERROR(IF(INDEX(SPOT_Import!$A$1:$Z$2488,448,'Live Data'!$C$18)="","",INDEX(SPOT_Import!$A$1:$Z$2488,448,'Live Data'!$C$18)),"")</f>
        <v>19</v>
      </c>
      <c r="H448" s="54">
        <f>IFERROR(IF(INDEX(SPOT_Import!$A$1:$Z$2488,448,'Live Data'!$C$19)="","",INDEX(SPOT_Import!$A$1:$Z$2488,448,'Live Data'!$C$19)),"")</f>
        <v>19</v>
      </c>
      <c r="I448" s="54" t="str">
        <f>IFERROR(IF(INDEX(SPOT_Import!$A$1:$Z$2488,448,'Live Data'!$C$20)="","",INDEX(SPOT_Import!$A$1:$Z$2488,448,'Live Data'!$C$20)),"")</f>
        <v>Complete</v>
      </c>
      <c r="J448" s="54" t="str">
        <f>IFERROR(IF(INDEX(SPOT_Import!$A$1:$Z$2488,448,'Live Data'!$C$21)="","",INDEX(SPOT_Import!$A$1:$Z$2488,448,'Live Data'!$C$21)),"")</f>
        <v>2026-10-02T09:12:11.000Z</v>
      </c>
      <c r="K448" s="54" t="str">
        <f>IFERROR(IF(INDEX(SPOT_Import!$A$1:$Z$2488,448,'Live Data'!$C$22)="","",INDEX(SPOT_Import!$A$1:$Z$2488,448,'Live Data'!$C$22)),"")</f>
        <v>2026-10-02T09:12:11.000Z</v>
      </c>
      <c r="L448" s="55" t="str">
        <f t="shared" si="12"/>
        <v>2026-10</v>
      </c>
      <c r="M448" s="55" t="str">
        <f t="shared" si="13"/>
        <v>NYANDARUA</v>
      </c>
      <c r="N448" s="55" t="str">
        <f>IF(A448="","",IFERROR(INDEX('Cluster Map'!$A$4:$A$38,MATCH(M448,'Cluster Map'!$B$4:$B$38,0)),"Unmapped"))</f>
        <v>Cluster 4</v>
      </c>
      <c r="O448" s="55">
        <f>IF(A448="",0,IF(COUNTIFS($A$2:A448,A448,$F$2:F448,F448,$L$2:L448,L448)=1,1,0))</f>
        <v>1</v>
      </c>
      <c r="P448" s="55">
        <f>IF(A448="",0,IF(AND(F448="C&amp;T",COUNTIFS($A$2:A448,A448,$F$2:F448,"C&amp;T")=1),1,0))</f>
        <v>0</v>
      </c>
    </row>
    <row r="449" spans="1:16" x14ac:dyDescent="0.35">
      <c r="A449" s="54">
        <f>IFERROR(IF(INDEX(SPOT_Import!$A$1:$Z$2488,449,'Live Data'!$C$12)="","",INDEX(SPOT_Import!$A$1:$Z$2488,449,'Live Data'!$C$12)),"")</f>
        <v>10419</v>
      </c>
      <c r="B449" s="54" t="str">
        <f>IFERROR(IF(INDEX(SPOT_Import!$A$1:$Z$2488,449,'Live Data'!$C$13)="","",INDEX(SPOT_Import!$A$1:$Z$2488,449,'Live Data'!$C$13)),"")</f>
        <v>Kahembe Health Centre</v>
      </c>
      <c r="C449" s="54" t="str">
        <f>IFERROR(IF(INDEX(SPOT_Import!$A$1:$Z$2488,449,'Live Data'!$C$14)="","",INDEX(SPOT_Import!$A$1:$Z$2488,449,'Live Data'!$C$14)),"")</f>
        <v>NYANDARUA</v>
      </c>
      <c r="D449" s="54" t="str">
        <f>IFERROR(IF(INDEX(SPOT_Import!$A$1:$Z$2488,449,'Live Data'!$C$15)="","",INDEX(SPOT_Import!$A$1:$Z$2488,449,'Live Data'!$C$15)),"")</f>
        <v>Ndaragwa</v>
      </c>
      <c r="E449" s="54" t="str">
        <f>IFERROR(IF(INDEX(SPOT_Import!$A$1:$Z$2488,449,'Live Data'!$C$16)="","",INDEX(SPOT_Import!$A$1:$Z$2488,449,'Live Data'!$C$16)),"")</f>
        <v>USAID Jamii Tekelezi</v>
      </c>
      <c r="F449" s="54" t="str">
        <f>IFERROR(IF(INDEX(SPOT_Import!$A$1:$Z$2488,449,'Live Data'!$C$17)="","",INDEX(SPOT_Import!$A$1:$Z$2488,449,'Live Data'!$C$17)),"")</f>
        <v>PREP</v>
      </c>
      <c r="G449" s="54">
        <f>IFERROR(IF(INDEX(SPOT_Import!$A$1:$Z$2488,449,'Live Data'!$C$18)="","",INDEX(SPOT_Import!$A$1:$Z$2488,449,'Live Data'!$C$18)),"")</f>
        <v>128</v>
      </c>
      <c r="H449" s="54" t="str">
        <f>IFERROR(IF(INDEX(SPOT_Import!$A$1:$Z$2488,449,'Live Data'!$C$19)="","",INDEX(SPOT_Import!$A$1:$Z$2488,449,'Live Data'!$C$19)),"")</f>
        <v/>
      </c>
      <c r="I449" s="54" t="str">
        <f>IFERROR(IF(INDEX(SPOT_Import!$A$1:$Z$2488,449,'Live Data'!$C$20)="","",INDEX(SPOT_Import!$A$1:$Z$2488,449,'Live Data'!$C$20)),"")</f>
        <v>Complete</v>
      </c>
      <c r="J449" s="54" t="str">
        <f>IFERROR(IF(INDEX(SPOT_Import!$A$1:$Z$2488,449,'Live Data'!$C$21)="","",INDEX(SPOT_Import!$A$1:$Z$2488,449,'Live Data'!$C$21)),"")</f>
        <v>2026-10-01T18:17:13.000Z</v>
      </c>
      <c r="K449" s="54" t="str">
        <f>IFERROR(IF(INDEX(SPOT_Import!$A$1:$Z$2488,449,'Live Data'!$C$22)="","",INDEX(SPOT_Import!$A$1:$Z$2488,449,'Live Data'!$C$22)),"")</f>
        <v>2026-10-01T18:17:13.000Z</v>
      </c>
      <c r="L449" s="55" t="str">
        <f t="shared" si="12"/>
        <v>2026-10</v>
      </c>
      <c r="M449" s="55" t="str">
        <f t="shared" si="13"/>
        <v>NYANDARUA</v>
      </c>
      <c r="N449" s="55" t="str">
        <f>IF(A449="","",IFERROR(INDEX('Cluster Map'!$A$4:$A$38,MATCH(M449,'Cluster Map'!$B$4:$B$38,0)),"Unmapped"))</f>
        <v>Cluster 4</v>
      </c>
      <c r="O449" s="55">
        <f>IF(A449="",0,IF(COUNTIFS($A$2:A449,A449,$F$2:F449,F449,$L$2:L449,L449)=1,1,0))</f>
        <v>1</v>
      </c>
      <c r="P449" s="55">
        <f>IF(A449="",0,IF(AND(F449="C&amp;T",COUNTIFS($A$2:A449,A449,$F$2:F449,"C&amp;T")=1),1,0))</f>
        <v>0</v>
      </c>
    </row>
    <row r="450" spans="1:16" x14ac:dyDescent="0.35">
      <c r="A450" s="54">
        <f>IFERROR(IF(INDEX(SPOT_Import!$A$1:$Z$2488,450,'Live Data'!$C$12)="","",INDEX(SPOT_Import!$A$1:$Z$2488,450,'Live Data'!$C$12)),"")</f>
        <v>10419</v>
      </c>
      <c r="B450" s="54" t="str">
        <f>IFERROR(IF(INDEX(SPOT_Import!$A$1:$Z$2488,450,'Live Data'!$C$13)="","",INDEX(SPOT_Import!$A$1:$Z$2488,450,'Live Data'!$C$13)),"")</f>
        <v>Kahembe Health Centre</v>
      </c>
      <c r="C450" s="54" t="str">
        <f>IFERROR(IF(INDEX(SPOT_Import!$A$1:$Z$2488,450,'Live Data'!$C$14)="","",INDEX(SPOT_Import!$A$1:$Z$2488,450,'Live Data'!$C$14)),"")</f>
        <v>NYANDARUA</v>
      </c>
      <c r="D450" s="54" t="str">
        <f>IFERROR(IF(INDEX(SPOT_Import!$A$1:$Z$2488,450,'Live Data'!$C$15)="","",INDEX(SPOT_Import!$A$1:$Z$2488,450,'Live Data'!$C$15)),"")</f>
        <v>Ndaragwa</v>
      </c>
      <c r="E450" s="54" t="str">
        <f>IFERROR(IF(INDEX(SPOT_Import!$A$1:$Z$2488,450,'Live Data'!$C$16)="","",INDEX(SPOT_Import!$A$1:$Z$2488,450,'Live Data'!$C$16)),"")</f>
        <v>USAID Jamii Tekelezi</v>
      </c>
      <c r="F450" s="54" t="str">
        <f>IFERROR(IF(INDEX(SPOT_Import!$A$1:$Z$2488,450,'Live Data'!$C$17)="","",INDEX(SPOT_Import!$A$1:$Z$2488,450,'Live Data'!$C$17)),"")</f>
        <v>MNCH</v>
      </c>
      <c r="G450" s="54">
        <f>IFERROR(IF(INDEX(SPOT_Import!$A$1:$Z$2488,450,'Live Data'!$C$18)="","",INDEX(SPOT_Import!$A$1:$Z$2488,450,'Live Data'!$C$18)),"")</f>
        <v>47</v>
      </c>
      <c r="H450" s="54" t="str">
        <f>IFERROR(IF(INDEX(SPOT_Import!$A$1:$Z$2488,450,'Live Data'!$C$19)="","",INDEX(SPOT_Import!$A$1:$Z$2488,450,'Live Data'!$C$19)),"")</f>
        <v/>
      </c>
      <c r="I450" s="54" t="str">
        <f>IFERROR(IF(INDEX(SPOT_Import!$A$1:$Z$2488,450,'Live Data'!$C$20)="","",INDEX(SPOT_Import!$A$1:$Z$2488,450,'Live Data'!$C$20)),"")</f>
        <v>Incomplete</v>
      </c>
      <c r="J450" s="54" t="str">
        <f>IFERROR(IF(INDEX(SPOT_Import!$A$1:$Z$2488,450,'Live Data'!$C$21)="","",INDEX(SPOT_Import!$A$1:$Z$2488,450,'Live Data'!$C$21)),"")</f>
        <v>2026-10-01T18:16:49.000Z</v>
      </c>
      <c r="K450" s="54" t="str">
        <f>IFERROR(IF(INDEX(SPOT_Import!$A$1:$Z$2488,450,'Live Data'!$C$22)="","",INDEX(SPOT_Import!$A$1:$Z$2488,450,'Live Data'!$C$22)),"")</f>
        <v>2026-10-01T18:16:49.000Z</v>
      </c>
      <c r="L450" s="55" t="str">
        <f t="shared" ref="L450:L513" si="14">IF(A450="","",IF(ISNUMBER(K450),TEXT(K450,"yyyy-mm"),LEFT(K450,7)))</f>
        <v>2026-10</v>
      </c>
      <c r="M450" s="55" t="str">
        <f t="shared" ref="M450:M513" si="15">IF(A450="","",UPPER(TRIM(SUBSTITUTE(C450," - ","-"))))</f>
        <v>NYANDARUA</v>
      </c>
      <c r="N450" s="55" t="str">
        <f>IF(A450="","",IFERROR(INDEX('Cluster Map'!$A$4:$A$38,MATCH(M450,'Cluster Map'!$B$4:$B$38,0)),"Unmapped"))</f>
        <v>Cluster 4</v>
      </c>
      <c r="O450" s="55">
        <f>IF(A450="",0,IF(COUNTIFS($A$2:A450,A450,$F$2:F450,F450,$L$2:L450,L450)=1,1,0))</f>
        <v>1</v>
      </c>
      <c r="P450" s="55">
        <f>IF(A450="",0,IF(AND(F450="C&amp;T",COUNTIFS($A$2:A450,A450,$F$2:F450,"C&amp;T")=1),1,0))</f>
        <v>0</v>
      </c>
    </row>
    <row r="451" spans="1:16" x14ac:dyDescent="0.35">
      <c r="A451" s="54">
        <f>IFERROR(IF(INDEX(SPOT_Import!$A$1:$Z$2488,451,'Live Data'!$C$12)="","",INDEX(SPOT_Import!$A$1:$Z$2488,451,'Live Data'!$C$12)),"")</f>
        <v>10419</v>
      </c>
      <c r="B451" s="54" t="str">
        <f>IFERROR(IF(INDEX(SPOT_Import!$A$1:$Z$2488,451,'Live Data'!$C$13)="","",INDEX(SPOT_Import!$A$1:$Z$2488,451,'Live Data'!$C$13)),"")</f>
        <v>Kahembe Health Centre</v>
      </c>
      <c r="C451" s="54" t="str">
        <f>IFERROR(IF(INDEX(SPOT_Import!$A$1:$Z$2488,451,'Live Data'!$C$14)="","",INDEX(SPOT_Import!$A$1:$Z$2488,451,'Live Data'!$C$14)),"")</f>
        <v>NYANDARUA</v>
      </c>
      <c r="D451" s="54" t="str">
        <f>IFERROR(IF(INDEX(SPOT_Import!$A$1:$Z$2488,451,'Live Data'!$C$15)="","",INDEX(SPOT_Import!$A$1:$Z$2488,451,'Live Data'!$C$15)),"")</f>
        <v>Ndaragwa</v>
      </c>
      <c r="E451" s="54" t="str">
        <f>IFERROR(IF(INDEX(SPOT_Import!$A$1:$Z$2488,451,'Live Data'!$C$16)="","",INDEX(SPOT_Import!$A$1:$Z$2488,451,'Live Data'!$C$16)),"")</f>
        <v>USAID Jamii Tekelezi</v>
      </c>
      <c r="F451" s="54" t="str">
        <f>IFERROR(IF(INDEX(SPOT_Import!$A$1:$Z$2488,451,'Live Data'!$C$17)="","",INDEX(SPOT_Import!$A$1:$Z$2488,451,'Live Data'!$C$17)),"")</f>
        <v>HTS</v>
      </c>
      <c r="G451" s="54">
        <f>IFERROR(IF(INDEX(SPOT_Import!$A$1:$Z$2488,451,'Live Data'!$C$18)="","",INDEX(SPOT_Import!$A$1:$Z$2488,451,'Live Data'!$C$18)),"")</f>
        <v>1664</v>
      </c>
      <c r="H451" s="54">
        <f>IFERROR(IF(INDEX(SPOT_Import!$A$1:$Z$2488,451,'Live Data'!$C$19)="","",INDEX(SPOT_Import!$A$1:$Z$2488,451,'Live Data'!$C$19)),"")</f>
        <v>1664</v>
      </c>
      <c r="I451" s="54" t="str">
        <f>IFERROR(IF(INDEX(SPOT_Import!$A$1:$Z$2488,451,'Live Data'!$C$20)="","",INDEX(SPOT_Import!$A$1:$Z$2488,451,'Live Data'!$C$20)),"")</f>
        <v>Complete</v>
      </c>
      <c r="J451" s="54" t="str">
        <f>IFERROR(IF(INDEX(SPOT_Import!$A$1:$Z$2488,451,'Live Data'!$C$21)="","",INDEX(SPOT_Import!$A$1:$Z$2488,451,'Live Data'!$C$21)),"")</f>
        <v>2026-10-01T18:15:51.000Z</v>
      </c>
      <c r="K451" s="54" t="str">
        <f>IFERROR(IF(INDEX(SPOT_Import!$A$1:$Z$2488,451,'Live Data'!$C$22)="","",INDEX(SPOT_Import!$A$1:$Z$2488,451,'Live Data'!$C$22)),"")</f>
        <v>2026-10-01T18:15:51.000Z</v>
      </c>
      <c r="L451" s="55" t="str">
        <f t="shared" si="14"/>
        <v>2026-10</v>
      </c>
      <c r="M451" s="55" t="str">
        <f t="shared" si="15"/>
        <v>NYANDARUA</v>
      </c>
      <c r="N451" s="55" t="str">
        <f>IF(A451="","",IFERROR(INDEX('Cluster Map'!$A$4:$A$38,MATCH(M451,'Cluster Map'!$B$4:$B$38,0)),"Unmapped"))</f>
        <v>Cluster 4</v>
      </c>
      <c r="O451" s="55">
        <f>IF(A451="",0,IF(COUNTIFS($A$2:A451,A451,$F$2:F451,F451,$L$2:L451,L451)=1,1,0))</f>
        <v>1</v>
      </c>
      <c r="P451" s="55">
        <f>IF(A451="",0,IF(AND(F451="C&amp;T",COUNTIFS($A$2:A451,A451,$F$2:F451,"C&amp;T")=1),1,0))</f>
        <v>0</v>
      </c>
    </row>
    <row r="452" spans="1:16" x14ac:dyDescent="0.35">
      <c r="A452" s="54">
        <f>IFERROR(IF(INDEX(SPOT_Import!$A$1:$Z$2488,452,'Live Data'!$C$12)="","",INDEX(SPOT_Import!$A$1:$Z$2488,452,'Live Data'!$C$12)),"")</f>
        <v>11076</v>
      </c>
      <c r="B452" s="54" t="str">
        <f>IFERROR(IF(INDEX(SPOT_Import!$A$1:$Z$2488,452,'Live Data'!$C$13)="","",INDEX(SPOT_Import!$A$1:$Z$2488,452,'Live Data'!$C$13)),"")</f>
        <v>Subuku Dispensary (Nyandarua North)</v>
      </c>
      <c r="C452" s="54" t="str">
        <f>IFERROR(IF(INDEX(SPOT_Import!$A$1:$Z$2488,452,'Live Data'!$C$14)="","",INDEX(SPOT_Import!$A$1:$Z$2488,452,'Live Data'!$C$14)),"")</f>
        <v>NYANDARUA</v>
      </c>
      <c r="D452" s="54" t="str">
        <f>IFERROR(IF(INDEX(SPOT_Import!$A$1:$Z$2488,452,'Live Data'!$C$15)="","",INDEX(SPOT_Import!$A$1:$Z$2488,452,'Live Data'!$C$15)),"")</f>
        <v>Ndaragwa</v>
      </c>
      <c r="E452" s="54" t="str">
        <f>IFERROR(IF(INDEX(SPOT_Import!$A$1:$Z$2488,452,'Live Data'!$C$16)="","",INDEX(SPOT_Import!$A$1:$Z$2488,452,'Live Data'!$C$16)),"")</f>
        <v>USAID Jamii Tekelezi</v>
      </c>
      <c r="F452" s="54" t="str">
        <f>IFERROR(IF(INDEX(SPOT_Import!$A$1:$Z$2488,452,'Live Data'!$C$17)="","",INDEX(SPOT_Import!$A$1:$Z$2488,452,'Live Data'!$C$17)),"")</f>
        <v>PREP</v>
      </c>
      <c r="G452" s="54">
        <f>IFERROR(IF(INDEX(SPOT_Import!$A$1:$Z$2488,452,'Live Data'!$C$18)="","",INDEX(SPOT_Import!$A$1:$Z$2488,452,'Live Data'!$C$18)),"")</f>
        <v>6</v>
      </c>
      <c r="H452" s="54" t="str">
        <f>IFERROR(IF(INDEX(SPOT_Import!$A$1:$Z$2488,452,'Live Data'!$C$19)="","",INDEX(SPOT_Import!$A$1:$Z$2488,452,'Live Data'!$C$19)),"")</f>
        <v/>
      </c>
      <c r="I452" s="54" t="str">
        <f>IFERROR(IF(INDEX(SPOT_Import!$A$1:$Z$2488,452,'Live Data'!$C$20)="","",INDEX(SPOT_Import!$A$1:$Z$2488,452,'Live Data'!$C$20)),"")</f>
        <v>Complete</v>
      </c>
      <c r="J452" s="54" t="str">
        <f>IFERROR(IF(INDEX(SPOT_Import!$A$1:$Z$2488,452,'Live Data'!$C$21)="","",INDEX(SPOT_Import!$A$1:$Z$2488,452,'Live Data'!$C$21)),"")</f>
        <v>2026-10-01T17:41:44.000Z</v>
      </c>
      <c r="K452" s="54" t="str">
        <f>IFERROR(IF(INDEX(SPOT_Import!$A$1:$Z$2488,452,'Live Data'!$C$22)="","",INDEX(SPOT_Import!$A$1:$Z$2488,452,'Live Data'!$C$22)),"")</f>
        <v>2026-10-01T17:41:44.000Z</v>
      </c>
      <c r="L452" s="55" t="str">
        <f t="shared" si="14"/>
        <v>2026-10</v>
      </c>
      <c r="M452" s="55" t="str">
        <f t="shared" si="15"/>
        <v>NYANDARUA</v>
      </c>
      <c r="N452" s="55" t="str">
        <f>IF(A452="","",IFERROR(INDEX('Cluster Map'!$A$4:$A$38,MATCH(M452,'Cluster Map'!$B$4:$B$38,0)),"Unmapped"))</f>
        <v>Cluster 4</v>
      </c>
      <c r="O452" s="55">
        <f>IF(A452="",0,IF(COUNTIFS($A$2:A452,A452,$F$2:F452,F452,$L$2:L452,L452)=1,1,0))</f>
        <v>1</v>
      </c>
      <c r="P452" s="55">
        <f>IF(A452="",0,IF(AND(F452="C&amp;T",COUNTIFS($A$2:A452,A452,$F$2:F452,"C&amp;T")=1),1,0))</f>
        <v>0</v>
      </c>
    </row>
    <row r="453" spans="1:16" x14ac:dyDescent="0.35">
      <c r="A453" s="54">
        <f>IFERROR(IF(INDEX(SPOT_Import!$A$1:$Z$2488,453,'Live Data'!$C$12)="","",INDEX(SPOT_Import!$A$1:$Z$2488,453,'Live Data'!$C$12)),"")</f>
        <v>11076</v>
      </c>
      <c r="B453" s="54" t="str">
        <f>IFERROR(IF(INDEX(SPOT_Import!$A$1:$Z$2488,453,'Live Data'!$C$13)="","",INDEX(SPOT_Import!$A$1:$Z$2488,453,'Live Data'!$C$13)),"")</f>
        <v>Subuku Dispensary (Nyandarua North)</v>
      </c>
      <c r="C453" s="54" t="str">
        <f>IFERROR(IF(INDEX(SPOT_Import!$A$1:$Z$2488,453,'Live Data'!$C$14)="","",INDEX(SPOT_Import!$A$1:$Z$2488,453,'Live Data'!$C$14)),"")</f>
        <v>NYANDARUA</v>
      </c>
      <c r="D453" s="54" t="str">
        <f>IFERROR(IF(INDEX(SPOT_Import!$A$1:$Z$2488,453,'Live Data'!$C$15)="","",INDEX(SPOT_Import!$A$1:$Z$2488,453,'Live Data'!$C$15)),"")</f>
        <v>Ndaragwa</v>
      </c>
      <c r="E453" s="54" t="str">
        <f>IFERROR(IF(INDEX(SPOT_Import!$A$1:$Z$2488,453,'Live Data'!$C$16)="","",INDEX(SPOT_Import!$A$1:$Z$2488,453,'Live Data'!$C$16)),"")</f>
        <v>USAID Jamii Tekelezi</v>
      </c>
      <c r="F453" s="54" t="str">
        <f>IFERROR(IF(INDEX(SPOT_Import!$A$1:$Z$2488,453,'Live Data'!$C$17)="","",INDEX(SPOT_Import!$A$1:$Z$2488,453,'Live Data'!$C$17)),"")</f>
        <v>MNCH</v>
      </c>
      <c r="G453" s="54">
        <f>IFERROR(IF(INDEX(SPOT_Import!$A$1:$Z$2488,453,'Live Data'!$C$18)="","",INDEX(SPOT_Import!$A$1:$Z$2488,453,'Live Data'!$C$18)),"")</f>
        <v>6</v>
      </c>
      <c r="H453" s="54" t="str">
        <f>IFERROR(IF(INDEX(SPOT_Import!$A$1:$Z$2488,453,'Live Data'!$C$19)="","",INDEX(SPOT_Import!$A$1:$Z$2488,453,'Live Data'!$C$19)),"")</f>
        <v/>
      </c>
      <c r="I453" s="54" t="str">
        <f>IFERROR(IF(INDEX(SPOT_Import!$A$1:$Z$2488,453,'Live Data'!$C$20)="","",INDEX(SPOT_Import!$A$1:$Z$2488,453,'Live Data'!$C$20)),"")</f>
        <v>Complete</v>
      </c>
      <c r="J453" s="54" t="str">
        <f>IFERROR(IF(INDEX(SPOT_Import!$A$1:$Z$2488,453,'Live Data'!$C$21)="","",INDEX(SPOT_Import!$A$1:$Z$2488,453,'Live Data'!$C$21)),"")</f>
        <v>2026-10-01T17:39:58.000Z</v>
      </c>
      <c r="K453" s="54" t="str">
        <f>IFERROR(IF(INDEX(SPOT_Import!$A$1:$Z$2488,453,'Live Data'!$C$22)="","",INDEX(SPOT_Import!$A$1:$Z$2488,453,'Live Data'!$C$22)),"")</f>
        <v>2026-10-01T17:39:58.000Z</v>
      </c>
      <c r="L453" s="55" t="str">
        <f t="shared" si="14"/>
        <v>2026-10</v>
      </c>
      <c r="M453" s="55" t="str">
        <f t="shared" si="15"/>
        <v>NYANDARUA</v>
      </c>
      <c r="N453" s="55" t="str">
        <f>IF(A453="","",IFERROR(INDEX('Cluster Map'!$A$4:$A$38,MATCH(M453,'Cluster Map'!$B$4:$B$38,0)),"Unmapped"))</f>
        <v>Cluster 4</v>
      </c>
      <c r="O453" s="55">
        <f>IF(A453="",0,IF(COUNTIFS($A$2:A453,A453,$F$2:F453,F453,$L$2:L453,L453)=1,1,0))</f>
        <v>1</v>
      </c>
      <c r="P453" s="55">
        <f>IF(A453="",0,IF(AND(F453="C&amp;T",COUNTIFS($A$2:A453,A453,$F$2:F453,"C&amp;T")=1),1,0))</f>
        <v>0</v>
      </c>
    </row>
    <row r="454" spans="1:16" x14ac:dyDescent="0.35">
      <c r="A454" s="54">
        <f>IFERROR(IF(INDEX(SPOT_Import!$A$1:$Z$2488,454,'Live Data'!$C$12)="","",INDEX(SPOT_Import!$A$1:$Z$2488,454,'Live Data'!$C$12)),"")</f>
        <v>11076</v>
      </c>
      <c r="B454" s="54" t="str">
        <f>IFERROR(IF(INDEX(SPOT_Import!$A$1:$Z$2488,454,'Live Data'!$C$13)="","",INDEX(SPOT_Import!$A$1:$Z$2488,454,'Live Data'!$C$13)),"")</f>
        <v>Subuku Dispensary (Nyandarua North)</v>
      </c>
      <c r="C454" s="54" t="str">
        <f>IFERROR(IF(INDEX(SPOT_Import!$A$1:$Z$2488,454,'Live Data'!$C$14)="","",INDEX(SPOT_Import!$A$1:$Z$2488,454,'Live Data'!$C$14)),"")</f>
        <v>NYANDARUA</v>
      </c>
      <c r="D454" s="54" t="str">
        <f>IFERROR(IF(INDEX(SPOT_Import!$A$1:$Z$2488,454,'Live Data'!$C$15)="","",INDEX(SPOT_Import!$A$1:$Z$2488,454,'Live Data'!$C$15)),"")</f>
        <v>Ndaragwa</v>
      </c>
      <c r="E454" s="54" t="str">
        <f>IFERROR(IF(INDEX(SPOT_Import!$A$1:$Z$2488,454,'Live Data'!$C$16)="","",INDEX(SPOT_Import!$A$1:$Z$2488,454,'Live Data'!$C$16)),"")</f>
        <v>USAID Jamii Tekelezi</v>
      </c>
      <c r="F454" s="54" t="str">
        <f>IFERROR(IF(INDEX(SPOT_Import!$A$1:$Z$2488,454,'Live Data'!$C$17)="","",INDEX(SPOT_Import!$A$1:$Z$2488,454,'Live Data'!$C$17)),"")</f>
        <v>HTS</v>
      </c>
      <c r="G454" s="54">
        <f>IFERROR(IF(INDEX(SPOT_Import!$A$1:$Z$2488,454,'Live Data'!$C$18)="","",INDEX(SPOT_Import!$A$1:$Z$2488,454,'Live Data'!$C$18)),"")</f>
        <v>84</v>
      </c>
      <c r="H454" s="54">
        <f>IFERROR(IF(INDEX(SPOT_Import!$A$1:$Z$2488,454,'Live Data'!$C$19)="","",INDEX(SPOT_Import!$A$1:$Z$2488,454,'Live Data'!$C$19)),"")</f>
        <v>84</v>
      </c>
      <c r="I454" s="54" t="str">
        <f>IFERROR(IF(INDEX(SPOT_Import!$A$1:$Z$2488,454,'Live Data'!$C$20)="","",INDEX(SPOT_Import!$A$1:$Z$2488,454,'Live Data'!$C$20)),"")</f>
        <v>Complete</v>
      </c>
      <c r="J454" s="54" t="str">
        <f>IFERROR(IF(INDEX(SPOT_Import!$A$1:$Z$2488,454,'Live Data'!$C$21)="","",INDEX(SPOT_Import!$A$1:$Z$2488,454,'Live Data'!$C$21)),"")</f>
        <v>2026-10-01T17:37:16.000Z</v>
      </c>
      <c r="K454" s="54" t="str">
        <f>IFERROR(IF(INDEX(SPOT_Import!$A$1:$Z$2488,454,'Live Data'!$C$22)="","",INDEX(SPOT_Import!$A$1:$Z$2488,454,'Live Data'!$C$22)),"")</f>
        <v>2026-10-01T17:37:16.000Z</v>
      </c>
      <c r="L454" s="55" t="str">
        <f t="shared" si="14"/>
        <v>2026-10</v>
      </c>
      <c r="M454" s="55" t="str">
        <f t="shared" si="15"/>
        <v>NYANDARUA</v>
      </c>
      <c r="N454" s="55" t="str">
        <f>IF(A454="","",IFERROR(INDEX('Cluster Map'!$A$4:$A$38,MATCH(M454,'Cluster Map'!$B$4:$B$38,0)),"Unmapped"))</f>
        <v>Cluster 4</v>
      </c>
      <c r="O454" s="55">
        <f>IF(A454="",0,IF(COUNTIFS($A$2:A454,A454,$F$2:F454,F454,$L$2:L454,L454)=1,1,0))</f>
        <v>1</v>
      </c>
      <c r="P454" s="55">
        <f>IF(A454="",0,IF(AND(F454="C&amp;T",COUNTIFS($A$2:A454,A454,$F$2:F454,"C&amp;T")=1),1,0))</f>
        <v>0</v>
      </c>
    </row>
    <row r="455" spans="1:16" x14ac:dyDescent="0.35">
      <c r="A455" s="54">
        <f>IFERROR(IF(INDEX(SPOT_Import!$A$1:$Z$2488,455,'Live Data'!$C$12)="","",INDEX(SPOT_Import!$A$1:$Z$2488,455,'Live Data'!$C$12)),"")</f>
        <v>10657</v>
      </c>
      <c r="B455" s="54" t="str">
        <f>IFERROR(IF(INDEX(SPOT_Import!$A$1:$Z$2488,455,'Live Data'!$C$13)="","",INDEX(SPOT_Import!$A$1:$Z$2488,455,'Live Data'!$C$13)),"")</f>
        <v>Leshau Pondo Health Centre</v>
      </c>
      <c r="C455" s="54" t="str">
        <f>IFERROR(IF(INDEX(SPOT_Import!$A$1:$Z$2488,455,'Live Data'!$C$14)="","",INDEX(SPOT_Import!$A$1:$Z$2488,455,'Live Data'!$C$14)),"")</f>
        <v>NYANDARUA</v>
      </c>
      <c r="D455" s="54" t="str">
        <f>IFERROR(IF(INDEX(SPOT_Import!$A$1:$Z$2488,455,'Live Data'!$C$15)="","",INDEX(SPOT_Import!$A$1:$Z$2488,455,'Live Data'!$C$15)),"")</f>
        <v>Ndaragwa</v>
      </c>
      <c r="E455" s="54" t="str">
        <f>IFERROR(IF(INDEX(SPOT_Import!$A$1:$Z$2488,455,'Live Data'!$C$16)="","",INDEX(SPOT_Import!$A$1:$Z$2488,455,'Live Data'!$C$16)),"")</f>
        <v>USAID Jamii Tekelezi</v>
      </c>
      <c r="F455" s="54" t="str">
        <f>IFERROR(IF(INDEX(SPOT_Import!$A$1:$Z$2488,455,'Live Data'!$C$17)="","",INDEX(SPOT_Import!$A$1:$Z$2488,455,'Live Data'!$C$17)),"")</f>
        <v>C&amp;T</v>
      </c>
      <c r="G455" s="54">
        <f>IFERROR(IF(INDEX(SPOT_Import!$A$1:$Z$2488,455,'Live Data'!$C$18)="","",INDEX(SPOT_Import!$A$1:$Z$2488,455,'Live Data'!$C$18)),"")</f>
        <v>249</v>
      </c>
      <c r="H455" s="54">
        <f>IFERROR(IF(INDEX(SPOT_Import!$A$1:$Z$2488,455,'Live Data'!$C$19)="","",INDEX(SPOT_Import!$A$1:$Z$2488,455,'Live Data'!$C$19)),"")</f>
        <v>249</v>
      </c>
      <c r="I455" s="54" t="str">
        <f>IFERROR(IF(INDEX(SPOT_Import!$A$1:$Z$2488,455,'Live Data'!$C$20)="","",INDEX(SPOT_Import!$A$1:$Z$2488,455,'Live Data'!$C$20)),"")</f>
        <v>Complete</v>
      </c>
      <c r="J455" s="54" t="str">
        <f>IFERROR(IF(INDEX(SPOT_Import!$A$1:$Z$2488,455,'Live Data'!$C$21)="","",INDEX(SPOT_Import!$A$1:$Z$2488,455,'Live Data'!$C$21)),"")</f>
        <v>2026-10-01T17:33:01.000Z</v>
      </c>
      <c r="K455" s="54" t="str">
        <f>IFERROR(IF(INDEX(SPOT_Import!$A$1:$Z$2488,455,'Live Data'!$C$22)="","",INDEX(SPOT_Import!$A$1:$Z$2488,455,'Live Data'!$C$22)),"")</f>
        <v>2026-10-01T17:33:01.000Z</v>
      </c>
      <c r="L455" s="55" t="str">
        <f t="shared" si="14"/>
        <v>2026-10</v>
      </c>
      <c r="M455" s="55" t="str">
        <f t="shared" si="15"/>
        <v>NYANDARUA</v>
      </c>
      <c r="N455" s="55" t="str">
        <f>IF(A455="","",IFERROR(INDEX('Cluster Map'!$A$4:$A$38,MATCH(M455,'Cluster Map'!$B$4:$B$38,0)),"Unmapped"))</f>
        <v>Cluster 4</v>
      </c>
      <c r="O455" s="55">
        <f>IF(A455="",0,IF(COUNTIFS($A$2:A455,A455,$F$2:F455,F455,$L$2:L455,L455)=1,1,0))</f>
        <v>1</v>
      </c>
      <c r="P455" s="55">
        <f>IF(A455="",0,IF(AND(F455="C&amp;T",COUNTIFS($A$2:A455,A455,$F$2:F455,"C&amp;T")=1),1,0))</f>
        <v>1</v>
      </c>
    </row>
    <row r="456" spans="1:16" x14ac:dyDescent="0.35">
      <c r="A456" s="54">
        <f>IFERROR(IF(INDEX(SPOT_Import!$A$1:$Z$2488,456,'Live Data'!$C$12)="","",INDEX(SPOT_Import!$A$1:$Z$2488,456,'Live Data'!$C$12)),"")</f>
        <v>11076</v>
      </c>
      <c r="B456" s="54" t="str">
        <f>IFERROR(IF(INDEX(SPOT_Import!$A$1:$Z$2488,456,'Live Data'!$C$13)="","",INDEX(SPOT_Import!$A$1:$Z$2488,456,'Live Data'!$C$13)),"")</f>
        <v>Subuku Dispensary (Nyandarua North)</v>
      </c>
      <c r="C456" s="54" t="str">
        <f>IFERROR(IF(INDEX(SPOT_Import!$A$1:$Z$2488,456,'Live Data'!$C$14)="","",INDEX(SPOT_Import!$A$1:$Z$2488,456,'Live Data'!$C$14)),"")</f>
        <v>NYANDARUA</v>
      </c>
      <c r="D456" s="54" t="str">
        <f>IFERROR(IF(INDEX(SPOT_Import!$A$1:$Z$2488,456,'Live Data'!$C$15)="","",INDEX(SPOT_Import!$A$1:$Z$2488,456,'Live Data'!$C$15)),"")</f>
        <v>Ndaragwa</v>
      </c>
      <c r="E456" s="54" t="str">
        <f>IFERROR(IF(INDEX(SPOT_Import!$A$1:$Z$2488,456,'Live Data'!$C$16)="","",INDEX(SPOT_Import!$A$1:$Z$2488,456,'Live Data'!$C$16)),"")</f>
        <v>USAID Jamii Tekelezi</v>
      </c>
      <c r="F456" s="54" t="str">
        <f>IFERROR(IF(INDEX(SPOT_Import!$A$1:$Z$2488,456,'Live Data'!$C$17)="","",INDEX(SPOT_Import!$A$1:$Z$2488,456,'Live Data'!$C$17)),"")</f>
        <v>C&amp;T</v>
      </c>
      <c r="G456" s="54">
        <f>IFERROR(IF(INDEX(SPOT_Import!$A$1:$Z$2488,456,'Live Data'!$C$18)="","",INDEX(SPOT_Import!$A$1:$Z$2488,456,'Live Data'!$C$18)),"")</f>
        <v>121</v>
      </c>
      <c r="H456" s="54">
        <f>IFERROR(IF(INDEX(SPOT_Import!$A$1:$Z$2488,456,'Live Data'!$C$19)="","",INDEX(SPOT_Import!$A$1:$Z$2488,456,'Live Data'!$C$19)),"")</f>
        <v>121</v>
      </c>
      <c r="I456" s="54" t="str">
        <f>IFERROR(IF(INDEX(SPOT_Import!$A$1:$Z$2488,456,'Live Data'!$C$20)="","",INDEX(SPOT_Import!$A$1:$Z$2488,456,'Live Data'!$C$20)),"")</f>
        <v>Complete</v>
      </c>
      <c r="J456" s="54" t="str">
        <f>IFERROR(IF(INDEX(SPOT_Import!$A$1:$Z$2488,456,'Live Data'!$C$21)="","",INDEX(SPOT_Import!$A$1:$Z$2488,456,'Live Data'!$C$21)),"")</f>
        <v>2026-10-01T17:09:39.000Z</v>
      </c>
      <c r="K456" s="54" t="str">
        <f>IFERROR(IF(INDEX(SPOT_Import!$A$1:$Z$2488,456,'Live Data'!$C$22)="","",INDEX(SPOT_Import!$A$1:$Z$2488,456,'Live Data'!$C$22)),"")</f>
        <v>2026-10-01T17:09:39.000Z</v>
      </c>
      <c r="L456" s="55" t="str">
        <f t="shared" si="14"/>
        <v>2026-10</v>
      </c>
      <c r="M456" s="55" t="str">
        <f t="shared" si="15"/>
        <v>NYANDARUA</v>
      </c>
      <c r="N456" s="55" t="str">
        <f>IF(A456="","",IFERROR(INDEX('Cluster Map'!$A$4:$A$38,MATCH(M456,'Cluster Map'!$B$4:$B$38,0)),"Unmapped"))</f>
        <v>Cluster 4</v>
      </c>
      <c r="O456" s="55">
        <f>IF(A456="",0,IF(COUNTIFS($A$2:A456,A456,$F$2:F456,F456,$L$2:L456,L456)=1,1,0))</f>
        <v>1</v>
      </c>
      <c r="P456" s="55">
        <f>IF(A456="",0,IF(AND(F456="C&amp;T",COUNTIFS($A$2:A456,A456,$F$2:F456,"C&amp;T")=1),1,0))</f>
        <v>1</v>
      </c>
    </row>
    <row r="457" spans="1:16" x14ac:dyDescent="0.35">
      <c r="A457" s="54">
        <f>IFERROR(IF(INDEX(SPOT_Import!$A$1:$Z$2488,457,'Live Data'!$C$12)="","",INDEX(SPOT_Import!$A$1:$Z$2488,457,'Live Data'!$C$12)),"")</f>
        <v>11923</v>
      </c>
      <c r="B457" s="54" t="str">
        <f>IFERROR(IF(INDEX(SPOT_Import!$A$1:$Z$2488,457,'Live Data'!$C$13)="","",INDEX(SPOT_Import!$A$1:$Z$2488,457,'Live Data'!$C$13)),"")</f>
        <v>Akachiu Health Centre</v>
      </c>
      <c r="C457" s="54" t="str">
        <f>IFERROR(IF(INDEX(SPOT_Import!$A$1:$Z$2488,457,'Live Data'!$C$14)="","",INDEX(SPOT_Import!$A$1:$Z$2488,457,'Live Data'!$C$14)),"")</f>
        <v>MERU</v>
      </c>
      <c r="D457" s="54" t="str">
        <f>IFERROR(IF(INDEX(SPOT_Import!$A$1:$Z$2488,457,'Live Data'!$C$15)="","",INDEX(SPOT_Import!$A$1:$Z$2488,457,'Live Data'!$C$15)),"")</f>
        <v>Igembe South</v>
      </c>
      <c r="E457" s="54" t="str">
        <f>IFERROR(IF(INDEX(SPOT_Import!$A$1:$Z$2488,457,'Live Data'!$C$16)="","",INDEX(SPOT_Import!$A$1:$Z$2488,457,'Live Data'!$C$16)),"")</f>
        <v>USAID Jamii Tekelezi</v>
      </c>
      <c r="F457" s="54" t="str">
        <f>IFERROR(IF(INDEX(SPOT_Import!$A$1:$Z$2488,457,'Live Data'!$C$17)="","",INDEX(SPOT_Import!$A$1:$Z$2488,457,'Live Data'!$C$17)),"")</f>
        <v>PREP</v>
      </c>
      <c r="G457" s="54">
        <f>IFERROR(IF(INDEX(SPOT_Import!$A$1:$Z$2488,457,'Live Data'!$C$18)="","",INDEX(SPOT_Import!$A$1:$Z$2488,457,'Live Data'!$C$18)),"")</f>
        <v>36</v>
      </c>
      <c r="H457" s="54">
        <f>IFERROR(IF(INDEX(SPOT_Import!$A$1:$Z$2488,457,'Live Data'!$C$19)="","",INDEX(SPOT_Import!$A$1:$Z$2488,457,'Live Data'!$C$19)),"")</f>
        <v>36</v>
      </c>
      <c r="I457" s="54" t="str">
        <f>IFERROR(IF(INDEX(SPOT_Import!$A$1:$Z$2488,457,'Live Data'!$C$20)="","",INDEX(SPOT_Import!$A$1:$Z$2488,457,'Live Data'!$C$20)),"")</f>
        <v>Complete</v>
      </c>
      <c r="J457" s="54" t="str">
        <f>IFERROR(IF(INDEX(SPOT_Import!$A$1:$Z$2488,457,'Live Data'!$C$21)="","",INDEX(SPOT_Import!$A$1:$Z$2488,457,'Live Data'!$C$21)),"")</f>
        <v>2026-10-01T14:36:23.000Z</v>
      </c>
      <c r="K457" s="54" t="str">
        <f>IFERROR(IF(INDEX(SPOT_Import!$A$1:$Z$2488,457,'Live Data'!$C$22)="","",INDEX(SPOT_Import!$A$1:$Z$2488,457,'Live Data'!$C$22)),"")</f>
        <v>2026-10-01T14:36:23.000Z</v>
      </c>
      <c r="L457" s="55" t="str">
        <f t="shared" si="14"/>
        <v>2026-10</v>
      </c>
      <c r="M457" s="55" t="str">
        <f t="shared" si="15"/>
        <v>MERU</v>
      </c>
      <c r="N457" s="55" t="str">
        <f>IF(A457="","",IFERROR(INDEX('Cluster Map'!$A$4:$A$38,MATCH(M457,'Cluster Map'!$B$4:$B$38,0)),"Unmapped"))</f>
        <v>Cluster 1</v>
      </c>
      <c r="O457" s="55">
        <f>IF(A457="",0,IF(COUNTIFS($A$2:A457,A457,$F$2:F457,F457,$L$2:L457,L457)=1,1,0))</f>
        <v>1</v>
      </c>
      <c r="P457" s="55">
        <f>IF(A457="",0,IF(AND(F457="C&amp;T",COUNTIFS($A$2:A457,A457,$F$2:F457,"C&amp;T")=1),1,0))</f>
        <v>0</v>
      </c>
    </row>
    <row r="458" spans="1:16" x14ac:dyDescent="0.35">
      <c r="A458" s="54">
        <f>IFERROR(IF(INDEX(SPOT_Import!$A$1:$Z$2488,458,'Live Data'!$C$12)="","",INDEX(SPOT_Import!$A$1:$Z$2488,458,'Live Data'!$C$12)),"")</f>
        <v>11923</v>
      </c>
      <c r="B458" s="54" t="str">
        <f>IFERROR(IF(INDEX(SPOT_Import!$A$1:$Z$2488,458,'Live Data'!$C$13)="","",INDEX(SPOT_Import!$A$1:$Z$2488,458,'Live Data'!$C$13)),"")</f>
        <v>Akachiu Health Centre</v>
      </c>
      <c r="C458" s="54" t="str">
        <f>IFERROR(IF(INDEX(SPOT_Import!$A$1:$Z$2488,458,'Live Data'!$C$14)="","",INDEX(SPOT_Import!$A$1:$Z$2488,458,'Live Data'!$C$14)),"")</f>
        <v>MERU</v>
      </c>
      <c r="D458" s="54" t="str">
        <f>IFERROR(IF(INDEX(SPOT_Import!$A$1:$Z$2488,458,'Live Data'!$C$15)="","",INDEX(SPOT_Import!$A$1:$Z$2488,458,'Live Data'!$C$15)),"")</f>
        <v>Igembe South</v>
      </c>
      <c r="E458" s="54" t="str">
        <f>IFERROR(IF(INDEX(SPOT_Import!$A$1:$Z$2488,458,'Live Data'!$C$16)="","",INDEX(SPOT_Import!$A$1:$Z$2488,458,'Live Data'!$C$16)),"")</f>
        <v>USAID Jamii Tekelezi</v>
      </c>
      <c r="F458" s="54" t="str">
        <f>IFERROR(IF(INDEX(SPOT_Import!$A$1:$Z$2488,458,'Live Data'!$C$17)="","",INDEX(SPOT_Import!$A$1:$Z$2488,458,'Live Data'!$C$17)),"")</f>
        <v>MNCH</v>
      </c>
      <c r="G458" s="54">
        <f>IFERROR(IF(INDEX(SPOT_Import!$A$1:$Z$2488,458,'Live Data'!$C$18)="","",INDEX(SPOT_Import!$A$1:$Z$2488,458,'Live Data'!$C$18)),"")</f>
        <v>62</v>
      </c>
      <c r="H458" s="54" t="str">
        <f>IFERROR(IF(INDEX(SPOT_Import!$A$1:$Z$2488,458,'Live Data'!$C$19)="","",INDEX(SPOT_Import!$A$1:$Z$2488,458,'Live Data'!$C$19)),"")</f>
        <v/>
      </c>
      <c r="I458" s="54" t="str">
        <f>IFERROR(IF(INDEX(SPOT_Import!$A$1:$Z$2488,458,'Live Data'!$C$20)="","",INDEX(SPOT_Import!$A$1:$Z$2488,458,'Live Data'!$C$20)),"")</f>
        <v>Incomplete</v>
      </c>
      <c r="J458" s="54" t="str">
        <f>IFERROR(IF(INDEX(SPOT_Import!$A$1:$Z$2488,458,'Live Data'!$C$21)="","",INDEX(SPOT_Import!$A$1:$Z$2488,458,'Live Data'!$C$21)),"")</f>
        <v>2026-10-01T14:35:48.000Z</v>
      </c>
      <c r="K458" s="54" t="str">
        <f>IFERROR(IF(INDEX(SPOT_Import!$A$1:$Z$2488,458,'Live Data'!$C$22)="","",INDEX(SPOT_Import!$A$1:$Z$2488,458,'Live Data'!$C$22)),"")</f>
        <v>2026-10-01T14:35:48.000Z</v>
      </c>
      <c r="L458" s="55" t="str">
        <f t="shared" si="14"/>
        <v>2026-10</v>
      </c>
      <c r="M458" s="55" t="str">
        <f t="shared" si="15"/>
        <v>MERU</v>
      </c>
      <c r="N458" s="55" t="str">
        <f>IF(A458="","",IFERROR(INDEX('Cluster Map'!$A$4:$A$38,MATCH(M458,'Cluster Map'!$B$4:$B$38,0)),"Unmapped"))</f>
        <v>Cluster 1</v>
      </c>
      <c r="O458" s="55">
        <f>IF(A458="",0,IF(COUNTIFS($A$2:A458,A458,$F$2:F458,F458,$L$2:L458,L458)=1,1,0))</f>
        <v>1</v>
      </c>
      <c r="P458" s="55">
        <f>IF(A458="",0,IF(AND(F458="C&amp;T",COUNTIFS($A$2:A458,A458,$F$2:F458,"C&amp;T")=1),1,0))</f>
        <v>0</v>
      </c>
    </row>
    <row r="459" spans="1:16" x14ac:dyDescent="0.35">
      <c r="A459" s="54">
        <f>IFERROR(IF(INDEX(SPOT_Import!$A$1:$Z$2488,459,'Live Data'!$C$12)="","",INDEX(SPOT_Import!$A$1:$Z$2488,459,'Live Data'!$C$12)),"")</f>
        <v>11923</v>
      </c>
      <c r="B459" s="54" t="str">
        <f>IFERROR(IF(INDEX(SPOT_Import!$A$1:$Z$2488,459,'Live Data'!$C$13)="","",INDEX(SPOT_Import!$A$1:$Z$2488,459,'Live Data'!$C$13)),"")</f>
        <v>Akachiu Health Centre</v>
      </c>
      <c r="C459" s="54" t="str">
        <f>IFERROR(IF(INDEX(SPOT_Import!$A$1:$Z$2488,459,'Live Data'!$C$14)="","",INDEX(SPOT_Import!$A$1:$Z$2488,459,'Live Data'!$C$14)),"")</f>
        <v>MERU</v>
      </c>
      <c r="D459" s="54" t="str">
        <f>IFERROR(IF(INDEX(SPOT_Import!$A$1:$Z$2488,459,'Live Data'!$C$15)="","",INDEX(SPOT_Import!$A$1:$Z$2488,459,'Live Data'!$C$15)),"")</f>
        <v>Igembe South</v>
      </c>
      <c r="E459" s="54" t="str">
        <f>IFERROR(IF(INDEX(SPOT_Import!$A$1:$Z$2488,459,'Live Data'!$C$16)="","",INDEX(SPOT_Import!$A$1:$Z$2488,459,'Live Data'!$C$16)),"")</f>
        <v>USAID Jamii Tekelezi</v>
      </c>
      <c r="F459" s="54" t="str">
        <f>IFERROR(IF(INDEX(SPOT_Import!$A$1:$Z$2488,459,'Live Data'!$C$17)="","",INDEX(SPOT_Import!$A$1:$Z$2488,459,'Live Data'!$C$17)),"")</f>
        <v>HTS</v>
      </c>
      <c r="G459" s="54">
        <f>IFERROR(IF(INDEX(SPOT_Import!$A$1:$Z$2488,459,'Live Data'!$C$18)="","",INDEX(SPOT_Import!$A$1:$Z$2488,459,'Live Data'!$C$18)),"")</f>
        <v>2425</v>
      </c>
      <c r="H459" s="54">
        <f>IFERROR(IF(INDEX(SPOT_Import!$A$1:$Z$2488,459,'Live Data'!$C$19)="","",INDEX(SPOT_Import!$A$1:$Z$2488,459,'Live Data'!$C$19)),"")</f>
        <v>2425</v>
      </c>
      <c r="I459" s="54" t="str">
        <f>IFERROR(IF(INDEX(SPOT_Import!$A$1:$Z$2488,459,'Live Data'!$C$20)="","",INDEX(SPOT_Import!$A$1:$Z$2488,459,'Live Data'!$C$20)),"")</f>
        <v>Complete</v>
      </c>
      <c r="J459" s="54" t="str">
        <f>IFERROR(IF(INDEX(SPOT_Import!$A$1:$Z$2488,459,'Live Data'!$C$21)="","",INDEX(SPOT_Import!$A$1:$Z$2488,459,'Live Data'!$C$21)),"")</f>
        <v>2026-10-01T14:31:50.000Z</v>
      </c>
      <c r="K459" s="54" t="str">
        <f>IFERROR(IF(INDEX(SPOT_Import!$A$1:$Z$2488,459,'Live Data'!$C$22)="","",INDEX(SPOT_Import!$A$1:$Z$2488,459,'Live Data'!$C$22)),"")</f>
        <v>2026-10-01T14:31:50.000Z</v>
      </c>
      <c r="L459" s="55" t="str">
        <f t="shared" si="14"/>
        <v>2026-10</v>
      </c>
      <c r="M459" s="55" t="str">
        <f t="shared" si="15"/>
        <v>MERU</v>
      </c>
      <c r="N459" s="55" t="str">
        <f>IF(A459="","",IFERROR(INDEX('Cluster Map'!$A$4:$A$38,MATCH(M459,'Cluster Map'!$B$4:$B$38,0)),"Unmapped"))</f>
        <v>Cluster 1</v>
      </c>
      <c r="O459" s="55">
        <f>IF(A459="",0,IF(COUNTIFS($A$2:A459,A459,$F$2:F459,F459,$L$2:L459,L459)=1,1,0))</f>
        <v>1</v>
      </c>
      <c r="P459" s="55">
        <f>IF(A459="",0,IF(AND(F459="C&amp;T",COUNTIFS($A$2:A459,A459,$F$2:F459,"C&amp;T")=1),1,0))</f>
        <v>0</v>
      </c>
    </row>
    <row r="460" spans="1:16" x14ac:dyDescent="0.35">
      <c r="A460" s="54">
        <f>IFERROR(IF(INDEX(SPOT_Import!$A$1:$Z$2488,460,'Live Data'!$C$12)="","",INDEX(SPOT_Import!$A$1:$Z$2488,460,'Live Data'!$C$12)),"")</f>
        <v>11923</v>
      </c>
      <c r="B460" s="54" t="str">
        <f>IFERROR(IF(INDEX(SPOT_Import!$A$1:$Z$2488,460,'Live Data'!$C$13)="","",INDEX(SPOT_Import!$A$1:$Z$2488,460,'Live Data'!$C$13)),"")</f>
        <v>Akachiu Health Centre</v>
      </c>
      <c r="C460" s="54" t="str">
        <f>IFERROR(IF(INDEX(SPOT_Import!$A$1:$Z$2488,460,'Live Data'!$C$14)="","",INDEX(SPOT_Import!$A$1:$Z$2488,460,'Live Data'!$C$14)),"")</f>
        <v>MERU</v>
      </c>
      <c r="D460" s="54" t="str">
        <f>IFERROR(IF(INDEX(SPOT_Import!$A$1:$Z$2488,460,'Live Data'!$C$15)="","",INDEX(SPOT_Import!$A$1:$Z$2488,460,'Live Data'!$C$15)),"")</f>
        <v>Igembe South</v>
      </c>
      <c r="E460" s="54" t="str">
        <f>IFERROR(IF(INDEX(SPOT_Import!$A$1:$Z$2488,460,'Live Data'!$C$16)="","",INDEX(SPOT_Import!$A$1:$Z$2488,460,'Live Data'!$C$16)),"")</f>
        <v>USAID Jamii Tekelezi</v>
      </c>
      <c r="F460" s="54" t="str">
        <f>IFERROR(IF(INDEX(SPOT_Import!$A$1:$Z$2488,460,'Live Data'!$C$17)="","",INDEX(SPOT_Import!$A$1:$Z$2488,460,'Live Data'!$C$17)),"")</f>
        <v>C&amp;T</v>
      </c>
      <c r="G460" s="54">
        <f>IFERROR(IF(INDEX(SPOT_Import!$A$1:$Z$2488,460,'Live Data'!$C$18)="","",INDEX(SPOT_Import!$A$1:$Z$2488,460,'Live Data'!$C$18)),"")</f>
        <v>362</v>
      </c>
      <c r="H460" s="54">
        <f>IFERROR(IF(INDEX(SPOT_Import!$A$1:$Z$2488,460,'Live Data'!$C$19)="","",INDEX(SPOT_Import!$A$1:$Z$2488,460,'Live Data'!$C$19)),"")</f>
        <v>362</v>
      </c>
      <c r="I460" s="54" t="str">
        <f>IFERROR(IF(INDEX(SPOT_Import!$A$1:$Z$2488,460,'Live Data'!$C$20)="","",INDEX(SPOT_Import!$A$1:$Z$2488,460,'Live Data'!$C$20)),"")</f>
        <v>Complete</v>
      </c>
      <c r="J460" s="54" t="str">
        <f>IFERROR(IF(INDEX(SPOT_Import!$A$1:$Z$2488,460,'Live Data'!$C$21)="","",INDEX(SPOT_Import!$A$1:$Z$2488,460,'Live Data'!$C$21)),"")</f>
        <v>2026-10-01T13:59:19.000Z</v>
      </c>
      <c r="K460" s="54" t="str">
        <f>IFERROR(IF(INDEX(SPOT_Import!$A$1:$Z$2488,460,'Live Data'!$C$22)="","",INDEX(SPOT_Import!$A$1:$Z$2488,460,'Live Data'!$C$22)),"")</f>
        <v>2026-10-01T13:59:19.000Z</v>
      </c>
      <c r="L460" s="55" t="str">
        <f t="shared" si="14"/>
        <v>2026-10</v>
      </c>
      <c r="M460" s="55" t="str">
        <f t="shared" si="15"/>
        <v>MERU</v>
      </c>
      <c r="N460" s="55" t="str">
        <f>IF(A460="","",IFERROR(INDEX('Cluster Map'!$A$4:$A$38,MATCH(M460,'Cluster Map'!$B$4:$B$38,0)),"Unmapped"))</f>
        <v>Cluster 1</v>
      </c>
      <c r="O460" s="55">
        <f>IF(A460="",0,IF(COUNTIFS($A$2:A460,A460,$F$2:F460,F460,$L$2:L460,L460)=1,1,0))</f>
        <v>1</v>
      </c>
      <c r="P460" s="55">
        <f>IF(A460="",0,IF(AND(F460="C&amp;T",COUNTIFS($A$2:A460,A460,$F$2:F460,"C&amp;T")=1),1,0))</f>
        <v>1</v>
      </c>
    </row>
    <row r="461" spans="1:16" x14ac:dyDescent="0.35">
      <c r="A461" s="54">
        <f>IFERROR(IF(INDEX(SPOT_Import!$A$1:$Z$2488,461,'Live Data'!$C$12)="","",INDEX(SPOT_Import!$A$1:$Z$2488,461,'Live Data'!$C$12)),"")</f>
        <v>12791</v>
      </c>
      <c r="B461" s="54" t="str">
        <f>IFERROR(IF(INDEX(SPOT_Import!$A$1:$Z$2488,461,'Live Data'!$C$13)="","",INDEX(SPOT_Import!$A$1:$Z$2488,461,'Live Data'!$C$13)),"")</f>
        <v>Acef Ena Health Centre</v>
      </c>
      <c r="C461" s="54" t="str">
        <f>IFERROR(IF(INDEX(SPOT_Import!$A$1:$Z$2488,461,'Live Data'!$C$14)="","",INDEX(SPOT_Import!$A$1:$Z$2488,461,'Live Data'!$C$14)),"")</f>
        <v>EMBU</v>
      </c>
      <c r="D461" s="54" t="str">
        <f>IFERROR(IF(INDEX(SPOT_Import!$A$1:$Z$2488,461,'Live Data'!$C$15)="","",INDEX(SPOT_Import!$A$1:$Z$2488,461,'Live Data'!$C$15)),"")</f>
        <v>Runyenjes</v>
      </c>
      <c r="E461" s="54" t="str">
        <f>IFERROR(IF(INDEX(SPOT_Import!$A$1:$Z$2488,461,'Live Data'!$C$16)="","",INDEX(SPOT_Import!$A$1:$Z$2488,461,'Live Data'!$C$16)),"")</f>
        <v>USAID Jamii Tekelezi</v>
      </c>
      <c r="F461" s="54" t="str">
        <f>IFERROR(IF(INDEX(SPOT_Import!$A$1:$Z$2488,461,'Live Data'!$C$17)="","",INDEX(SPOT_Import!$A$1:$Z$2488,461,'Live Data'!$C$17)),"")</f>
        <v>MNCH</v>
      </c>
      <c r="G461" s="54">
        <f>IFERROR(IF(INDEX(SPOT_Import!$A$1:$Z$2488,461,'Live Data'!$C$18)="","",INDEX(SPOT_Import!$A$1:$Z$2488,461,'Live Data'!$C$18)),"")</f>
        <v>48</v>
      </c>
      <c r="H461" s="54">
        <f>IFERROR(IF(INDEX(SPOT_Import!$A$1:$Z$2488,461,'Live Data'!$C$19)="","",INDEX(SPOT_Import!$A$1:$Z$2488,461,'Live Data'!$C$19)),"")</f>
        <v>48</v>
      </c>
      <c r="I461" s="54" t="str">
        <f>IFERROR(IF(INDEX(SPOT_Import!$A$1:$Z$2488,461,'Live Data'!$C$20)="","",INDEX(SPOT_Import!$A$1:$Z$2488,461,'Live Data'!$C$20)),"")</f>
        <v>Complete</v>
      </c>
      <c r="J461" s="54" t="str">
        <f>IFERROR(IF(INDEX(SPOT_Import!$A$1:$Z$2488,461,'Live Data'!$C$21)="","",INDEX(SPOT_Import!$A$1:$Z$2488,461,'Live Data'!$C$21)),"")</f>
        <v>2026-10-01T13:30:34.000Z</v>
      </c>
      <c r="K461" s="54" t="str">
        <f>IFERROR(IF(INDEX(SPOT_Import!$A$1:$Z$2488,461,'Live Data'!$C$22)="","",INDEX(SPOT_Import!$A$1:$Z$2488,461,'Live Data'!$C$22)),"")</f>
        <v>2026-10-01T13:30:34.000Z</v>
      </c>
      <c r="L461" s="55" t="str">
        <f t="shared" si="14"/>
        <v>2026-10</v>
      </c>
      <c r="M461" s="55" t="str">
        <f t="shared" si="15"/>
        <v>EMBU</v>
      </c>
      <c r="N461" s="55" t="str">
        <f>IF(A461="","",IFERROR(INDEX('Cluster Map'!$A$4:$A$38,MATCH(M461,'Cluster Map'!$B$4:$B$38,0)),"Unmapped"))</f>
        <v>Cluster 2</v>
      </c>
      <c r="O461" s="55">
        <f>IF(A461="",0,IF(COUNTIFS($A$2:A461,A461,$F$2:F461,F461,$L$2:L461,L461)=1,1,0))</f>
        <v>1</v>
      </c>
      <c r="P461" s="55">
        <f>IF(A461="",0,IF(AND(F461="C&amp;T",COUNTIFS($A$2:A461,A461,$F$2:F461,"C&amp;T")=1),1,0))</f>
        <v>0</v>
      </c>
    </row>
    <row r="462" spans="1:16" x14ac:dyDescent="0.35">
      <c r="A462" s="54">
        <f>IFERROR(IF(INDEX(SPOT_Import!$A$1:$Z$2488,462,'Live Data'!$C$12)="","",INDEX(SPOT_Import!$A$1:$Z$2488,462,'Live Data'!$C$12)),"")</f>
        <v>12791</v>
      </c>
      <c r="B462" s="54" t="str">
        <f>IFERROR(IF(INDEX(SPOT_Import!$A$1:$Z$2488,462,'Live Data'!$C$13)="","",INDEX(SPOT_Import!$A$1:$Z$2488,462,'Live Data'!$C$13)),"")</f>
        <v>Acef Ena Health Centre</v>
      </c>
      <c r="C462" s="54" t="str">
        <f>IFERROR(IF(INDEX(SPOT_Import!$A$1:$Z$2488,462,'Live Data'!$C$14)="","",INDEX(SPOT_Import!$A$1:$Z$2488,462,'Live Data'!$C$14)),"")</f>
        <v>EMBU</v>
      </c>
      <c r="D462" s="54" t="str">
        <f>IFERROR(IF(INDEX(SPOT_Import!$A$1:$Z$2488,462,'Live Data'!$C$15)="","",INDEX(SPOT_Import!$A$1:$Z$2488,462,'Live Data'!$C$15)),"")</f>
        <v>Runyenjes</v>
      </c>
      <c r="E462" s="54" t="str">
        <f>IFERROR(IF(INDEX(SPOT_Import!$A$1:$Z$2488,462,'Live Data'!$C$16)="","",INDEX(SPOT_Import!$A$1:$Z$2488,462,'Live Data'!$C$16)),"")</f>
        <v>USAID Jamii Tekelezi</v>
      </c>
      <c r="F462" s="54" t="str">
        <f>IFERROR(IF(INDEX(SPOT_Import!$A$1:$Z$2488,462,'Live Data'!$C$17)="","",INDEX(SPOT_Import!$A$1:$Z$2488,462,'Live Data'!$C$17)),"")</f>
        <v>PREP</v>
      </c>
      <c r="G462" s="54">
        <f>IFERROR(IF(INDEX(SPOT_Import!$A$1:$Z$2488,462,'Live Data'!$C$18)="","",INDEX(SPOT_Import!$A$1:$Z$2488,462,'Live Data'!$C$18)),"")</f>
        <v>454</v>
      </c>
      <c r="H462" s="54">
        <f>IFERROR(IF(INDEX(SPOT_Import!$A$1:$Z$2488,462,'Live Data'!$C$19)="","",INDEX(SPOT_Import!$A$1:$Z$2488,462,'Live Data'!$C$19)),"")</f>
        <v>454</v>
      </c>
      <c r="I462" s="54" t="str">
        <f>IFERROR(IF(INDEX(SPOT_Import!$A$1:$Z$2488,462,'Live Data'!$C$20)="","",INDEX(SPOT_Import!$A$1:$Z$2488,462,'Live Data'!$C$20)),"")</f>
        <v>Complete</v>
      </c>
      <c r="J462" s="54" t="str">
        <f>IFERROR(IF(INDEX(SPOT_Import!$A$1:$Z$2488,462,'Live Data'!$C$21)="","",INDEX(SPOT_Import!$A$1:$Z$2488,462,'Live Data'!$C$21)),"")</f>
        <v>2026-10-01T13:29:19.000Z</v>
      </c>
      <c r="K462" s="54" t="str">
        <f>IFERROR(IF(INDEX(SPOT_Import!$A$1:$Z$2488,462,'Live Data'!$C$22)="","",INDEX(SPOT_Import!$A$1:$Z$2488,462,'Live Data'!$C$22)),"")</f>
        <v>2026-10-01T13:29:19.000Z</v>
      </c>
      <c r="L462" s="55" t="str">
        <f t="shared" si="14"/>
        <v>2026-10</v>
      </c>
      <c r="M462" s="55" t="str">
        <f t="shared" si="15"/>
        <v>EMBU</v>
      </c>
      <c r="N462" s="55" t="str">
        <f>IF(A462="","",IFERROR(INDEX('Cluster Map'!$A$4:$A$38,MATCH(M462,'Cluster Map'!$B$4:$B$38,0)),"Unmapped"))</f>
        <v>Cluster 2</v>
      </c>
      <c r="O462" s="55">
        <f>IF(A462="",0,IF(COUNTIFS($A$2:A462,A462,$F$2:F462,F462,$L$2:L462,L462)=1,1,0))</f>
        <v>1</v>
      </c>
      <c r="P462" s="55">
        <f>IF(A462="",0,IF(AND(F462="C&amp;T",COUNTIFS($A$2:A462,A462,$F$2:F462,"C&amp;T")=1),1,0))</f>
        <v>0</v>
      </c>
    </row>
    <row r="463" spans="1:16" x14ac:dyDescent="0.35">
      <c r="A463" s="54">
        <f>IFERROR(IF(INDEX(SPOT_Import!$A$1:$Z$2488,463,'Live Data'!$C$12)="","",INDEX(SPOT_Import!$A$1:$Z$2488,463,'Live Data'!$C$12)),"")</f>
        <v>12791</v>
      </c>
      <c r="B463" s="54" t="str">
        <f>IFERROR(IF(INDEX(SPOT_Import!$A$1:$Z$2488,463,'Live Data'!$C$13)="","",INDEX(SPOT_Import!$A$1:$Z$2488,463,'Live Data'!$C$13)),"")</f>
        <v>Acef Ena Health Centre</v>
      </c>
      <c r="C463" s="54" t="str">
        <f>IFERROR(IF(INDEX(SPOT_Import!$A$1:$Z$2488,463,'Live Data'!$C$14)="","",INDEX(SPOT_Import!$A$1:$Z$2488,463,'Live Data'!$C$14)),"")</f>
        <v>EMBU</v>
      </c>
      <c r="D463" s="54" t="str">
        <f>IFERROR(IF(INDEX(SPOT_Import!$A$1:$Z$2488,463,'Live Data'!$C$15)="","",INDEX(SPOT_Import!$A$1:$Z$2488,463,'Live Data'!$C$15)),"")</f>
        <v>Runyenjes</v>
      </c>
      <c r="E463" s="54" t="str">
        <f>IFERROR(IF(INDEX(SPOT_Import!$A$1:$Z$2488,463,'Live Data'!$C$16)="","",INDEX(SPOT_Import!$A$1:$Z$2488,463,'Live Data'!$C$16)),"")</f>
        <v>USAID Jamii Tekelezi</v>
      </c>
      <c r="F463" s="54" t="str">
        <f>IFERROR(IF(INDEX(SPOT_Import!$A$1:$Z$2488,463,'Live Data'!$C$17)="","",INDEX(SPOT_Import!$A$1:$Z$2488,463,'Live Data'!$C$17)),"")</f>
        <v>HTS</v>
      </c>
      <c r="G463" s="54">
        <f>IFERROR(IF(INDEX(SPOT_Import!$A$1:$Z$2488,463,'Live Data'!$C$18)="","",INDEX(SPOT_Import!$A$1:$Z$2488,463,'Live Data'!$C$18)),"")</f>
        <v>1228</v>
      </c>
      <c r="H463" s="54">
        <f>IFERROR(IF(INDEX(SPOT_Import!$A$1:$Z$2488,463,'Live Data'!$C$19)="","",INDEX(SPOT_Import!$A$1:$Z$2488,463,'Live Data'!$C$19)),"")</f>
        <v>1228</v>
      </c>
      <c r="I463" s="54" t="str">
        <f>IFERROR(IF(INDEX(SPOT_Import!$A$1:$Z$2488,463,'Live Data'!$C$20)="","",INDEX(SPOT_Import!$A$1:$Z$2488,463,'Live Data'!$C$20)),"")</f>
        <v>Complete</v>
      </c>
      <c r="J463" s="54" t="str">
        <f>IFERROR(IF(INDEX(SPOT_Import!$A$1:$Z$2488,463,'Live Data'!$C$21)="","",INDEX(SPOT_Import!$A$1:$Z$2488,463,'Live Data'!$C$21)),"")</f>
        <v>2026-10-01T13:28:36.000Z</v>
      </c>
      <c r="K463" s="54" t="str">
        <f>IFERROR(IF(INDEX(SPOT_Import!$A$1:$Z$2488,463,'Live Data'!$C$22)="","",INDEX(SPOT_Import!$A$1:$Z$2488,463,'Live Data'!$C$22)),"")</f>
        <v>2026-10-01T13:28:36.000Z</v>
      </c>
      <c r="L463" s="55" t="str">
        <f t="shared" si="14"/>
        <v>2026-10</v>
      </c>
      <c r="M463" s="55" t="str">
        <f t="shared" si="15"/>
        <v>EMBU</v>
      </c>
      <c r="N463" s="55" t="str">
        <f>IF(A463="","",IFERROR(INDEX('Cluster Map'!$A$4:$A$38,MATCH(M463,'Cluster Map'!$B$4:$B$38,0)),"Unmapped"))</f>
        <v>Cluster 2</v>
      </c>
      <c r="O463" s="55">
        <f>IF(A463="",0,IF(COUNTIFS($A$2:A463,A463,$F$2:F463,F463,$L$2:L463,L463)=1,1,0))</f>
        <v>1</v>
      </c>
      <c r="P463" s="55">
        <f>IF(A463="",0,IF(AND(F463="C&amp;T",COUNTIFS($A$2:A463,A463,$F$2:F463,"C&amp;T")=1),1,0))</f>
        <v>0</v>
      </c>
    </row>
    <row r="464" spans="1:16" x14ac:dyDescent="0.35">
      <c r="A464" s="54">
        <f>IFERROR(IF(INDEX(SPOT_Import!$A$1:$Z$2488,464,'Live Data'!$C$12)="","",INDEX(SPOT_Import!$A$1:$Z$2488,464,'Live Data'!$C$12)),"")</f>
        <v>12526</v>
      </c>
      <c r="B464" s="54" t="str">
        <f>IFERROR(IF(INDEX(SPOT_Import!$A$1:$Z$2488,464,'Live Data'!$C$13)="","",INDEX(SPOT_Import!$A$1:$Z$2488,464,'Live Data'!$C$13)),"")</f>
        <v>Mikumbune Sub-District Hospital</v>
      </c>
      <c r="C464" s="54" t="str">
        <f>IFERROR(IF(INDEX(SPOT_Import!$A$1:$Z$2488,464,'Live Data'!$C$14)="","",INDEX(SPOT_Import!$A$1:$Z$2488,464,'Live Data'!$C$14)),"")</f>
        <v>MERU</v>
      </c>
      <c r="D464" s="54" t="str">
        <f>IFERROR(IF(INDEX(SPOT_Import!$A$1:$Z$2488,464,'Live Data'!$C$15)="","",INDEX(SPOT_Import!$A$1:$Z$2488,464,'Live Data'!$C$15)),"")</f>
        <v>Imenti South</v>
      </c>
      <c r="E464" s="54" t="str">
        <f>IFERROR(IF(INDEX(SPOT_Import!$A$1:$Z$2488,464,'Live Data'!$C$16)="","",INDEX(SPOT_Import!$A$1:$Z$2488,464,'Live Data'!$C$16)),"")</f>
        <v>USAID Jamii Tekelezi</v>
      </c>
      <c r="F464" s="54" t="str">
        <f>IFERROR(IF(INDEX(SPOT_Import!$A$1:$Z$2488,464,'Live Data'!$C$17)="","",INDEX(SPOT_Import!$A$1:$Z$2488,464,'Live Data'!$C$17)),"")</f>
        <v>PREP</v>
      </c>
      <c r="G464" s="54">
        <f>IFERROR(IF(INDEX(SPOT_Import!$A$1:$Z$2488,464,'Live Data'!$C$18)="","",INDEX(SPOT_Import!$A$1:$Z$2488,464,'Live Data'!$C$18)),"")</f>
        <v>240</v>
      </c>
      <c r="H464" s="54" t="str">
        <f>IFERROR(IF(INDEX(SPOT_Import!$A$1:$Z$2488,464,'Live Data'!$C$19)="","",INDEX(SPOT_Import!$A$1:$Z$2488,464,'Live Data'!$C$19)),"")</f>
        <v/>
      </c>
      <c r="I464" s="54" t="str">
        <f>IFERROR(IF(INDEX(SPOT_Import!$A$1:$Z$2488,464,'Live Data'!$C$20)="","",INDEX(SPOT_Import!$A$1:$Z$2488,464,'Live Data'!$C$20)),"")</f>
        <v>Incomplete</v>
      </c>
      <c r="J464" s="54" t="str">
        <f>IFERROR(IF(INDEX(SPOT_Import!$A$1:$Z$2488,464,'Live Data'!$C$21)="","",INDEX(SPOT_Import!$A$1:$Z$2488,464,'Live Data'!$C$21)),"")</f>
        <v>2026-10-01T13:21:32.000Z</v>
      </c>
      <c r="K464" s="54" t="str">
        <f>IFERROR(IF(INDEX(SPOT_Import!$A$1:$Z$2488,464,'Live Data'!$C$22)="","",INDEX(SPOT_Import!$A$1:$Z$2488,464,'Live Data'!$C$22)),"")</f>
        <v>2026-10-01T13:21:32.000Z</v>
      </c>
      <c r="L464" s="55" t="str">
        <f t="shared" si="14"/>
        <v>2026-10</v>
      </c>
      <c r="M464" s="55" t="str">
        <f t="shared" si="15"/>
        <v>MERU</v>
      </c>
      <c r="N464" s="55" t="str">
        <f>IF(A464="","",IFERROR(INDEX('Cluster Map'!$A$4:$A$38,MATCH(M464,'Cluster Map'!$B$4:$B$38,0)),"Unmapped"))</f>
        <v>Cluster 1</v>
      </c>
      <c r="O464" s="55">
        <f>IF(A464="",0,IF(COUNTIFS($A$2:A464,A464,$F$2:F464,F464,$L$2:L464,L464)=1,1,0))</f>
        <v>1</v>
      </c>
      <c r="P464" s="55">
        <f>IF(A464="",0,IF(AND(F464="C&amp;T",COUNTIFS($A$2:A464,A464,$F$2:F464,"C&amp;T")=1),1,0))</f>
        <v>0</v>
      </c>
    </row>
    <row r="465" spans="1:16" x14ac:dyDescent="0.35">
      <c r="A465" s="54">
        <f>IFERROR(IF(INDEX(SPOT_Import!$A$1:$Z$2488,465,'Live Data'!$C$12)="","",INDEX(SPOT_Import!$A$1:$Z$2488,465,'Live Data'!$C$12)),"")</f>
        <v>12526</v>
      </c>
      <c r="B465" s="54" t="str">
        <f>IFERROR(IF(INDEX(SPOT_Import!$A$1:$Z$2488,465,'Live Data'!$C$13)="","",INDEX(SPOT_Import!$A$1:$Z$2488,465,'Live Data'!$C$13)),"")</f>
        <v>Mikumbune Sub-District Hospital</v>
      </c>
      <c r="C465" s="54" t="str">
        <f>IFERROR(IF(INDEX(SPOT_Import!$A$1:$Z$2488,465,'Live Data'!$C$14)="","",INDEX(SPOT_Import!$A$1:$Z$2488,465,'Live Data'!$C$14)),"")</f>
        <v>MERU</v>
      </c>
      <c r="D465" s="54" t="str">
        <f>IFERROR(IF(INDEX(SPOT_Import!$A$1:$Z$2488,465,'Live Data'!$C$15)="","",INDEX(SPOT_Import!$A$1:$Z$2488,465,'Live Data'!$C$15)),"")</f>
        <v>Imenti South</v>
      </c>
      <c r="E465" s="54" t="str">
        <f>IFERROR(IF(INDEX(SPOT_Import!$A$1:$Z$2488,465,'Live Data'!$C$16)="","",INDEX(SPOT_Import!$A$1:$Z$2488,465,'Live Data'!$C$16)),"")</f>
        <v>USAID Jamii Tekelezi</v>
      </c>
      <c r="F465" s="54" t="str">
        <f>IFERROR(IF(INDEX(SPOT_Import!$A$1:$Z$2488,465,'Live Data'!$C$17)="","",INDEX(SPOT_Import!$A$1:$Z$2488,465,'Live Data'!$C$17)),"")</f>
        <v>HTS</v>
      </c>
      <c r="G465" s="54">
        <f>IFERROR(IF(INDEX(SPOT_Import!$A$1:$Z$2488,465,'Live Data'!$C$18)="","",INDEX(SPOT_Import!$A$1:$Z$2488,465,'Live Data'!$C$18)),"")</f>
        <v>2505</v>
      </c>
      <c r="H465" s="54">
        <f>IFERROR(IF(INDEX(SPOT_Import!$A$1:$Z$2488,465,'Live Data'!$C$19)="","",INDEX(SPOT_Import!$A$1:$Z$2488,465,'Live Data'!$C$19)),"")</f>
        <v>2505</v>
      </c>
      <c r="I465" s="54" t="str">
        <f>IFERROR(IF(INDEX(SPOT_Import!$A$1:$Z$2488,465,'Live Data'!$C$20)="","",INDEX(SPOT_Import!$A$1:$Z$2488,465,'Live Data'!$C$20)),"")</f>
        <v>Complete</v>
      </c>
      <c r="J465" s="54" t="str">
        <f>IFERROR(IF(INDEX(SPOT_Import!$A$1:$Z$2488,465,'Live Data'!$C$21)="","",INDEX(SPOT_Import!$A$1:$Z$2488,465,'Live Data'!$C$21)),"")</f>
        <v>2026-10-01T13:19:37.000Z</v>
      </c>
      <c r="K465" s="54" t="str">
        <f>IFERROR(IF(INDEX(SPOT_Import!$A$1:$Z$2488,465,'Live Data'!$C$22)="","",INDEX(SPOT_Import!$A$1:$Z$2488,465,'Live Data'!$C$22)),"")</f>
        <v>2026-10-01T13:19:37.000Z</v>
      </c>
      <c r="L465" s="55" t="str">
        <f t="shared" si="14"/>
        <v>2026-10</v>
      </c>
      <c r="M465" s="55" t="str">
        <f t="shared" si="15"/>
        <v>MERU</v>
      </c>
      <c r="N465" s="55" t="str">
        <f>IF(A465="","",IFERROR(INDEX('Cluster Map'!$A$4:$A$38,MATCH(M465,'Cluster Map'!$B$4:$B$38,0)),"Unmapped"))</f>
        <v>Cluster 1</v>
      </c>
      <c r="O465" s="55">
        <f>IF(A465="",0,IF(COUNTIFS($A$2:A465,A465,$F$2:F465,F465,$L$2:L465,L465)=1,1,0))</f>
        <v>1</v>
      </c>
      <c r="P465" s="55">
        <f>IF(A465="",0,IF(AND(F465="C&amp;T",COUNTIFS($A$2:A465,A465,$F$2:F465,"C&amp;T")=1),1,0))</f>
        <v>0</v>
      </c>
    </row>
    <row r="466" spans="1:16" x14ac:dyDescent="0.35">
      <c r="A466" s="54">
        <f>IFERROR(IF(INDEX(SPOT_Import!$A$1:$Z$2488,466,'Live Data'!$C$12)="","",INDEX(SPOT_Import!$A$1:$Z$2488,466,'Live Data'!$C$12)),"")</f>
        <v>12791</v>
      </c>
      <c r="B466" s="54" t="str">
        <f>IFERROR(IF(INDEX(SPOT_Import!$A$1:$Z$2488,466,'Live Data'!$C$13)="","",INDEX(SPOT_Import!$A$1:$Z$2488,466,'Live Data'!$C$13)),"")</f>
        <v>Acef Ena Health Centre</v>
      </c>
      <c r="C466" s="54" t="str">
        <f>IFERROR(IF(INDEX(SPOT_Import!$A$1:$Z$2488,466,'Live Data'!$C$14)="","",INDEX(SPOT_Import!$A$1:$Z$2488,466,'Live Data'!$C$14)),"")</f>
        <v>EMBU</v>
      </c>
      <c r="D466" s="54" t="str">
        <f>IFERROR(IF(INDEX(SPOT_Import!$A$1:$Z$2488,466,'Live Data'!$C$15)="","",INDEX(SPOT_Import!$A$1:$Z$2488,466,'Live Data'!$C$15)),"")</f>
        <v>Runyenjes</v>
      </c>
      <c r="E466" s="54" t="str">
        <f>IFERROR(IF(INDEX(SPOT_Import!$A$1:$Z$2488,466,'Live Data'!$C$16)="","",INDEX(SPOT_Import!$A$1:$Z$2488,466,'Live Data'!$C$16)),"")</f>
        <v>USAID Jamii Tekelezi</v>
      </c>
      <c r="F466" s="54" t="str">
        <f>IFERROR(IF(INDEX(SPOT_Import!$A$1:$Z$2488,466,'Live Data'!$C$17)="","",INDEX(SPOT_Import!$A$1:$Z$2488,466,'Live Data'!$C$17)),"")</f>
        <v>C&amp;T</v>
      </c>
      <c r="G466" s="54">
        <f>IFERROR(IF(INDEX(SPOT_Import!$A$1:$Z$2488,466,'Live Data'!$C$18)="","",INDEX(SPOT_Import!$A$1:$Z$2488,466,'Live Data'!$C$18)),"")</f>
        <v>800</v>
      </c>
      <c r="H466" s="54">
        <f>IFERROR(IF(INDEX(SPOT_Import!$A$1:$Z$2488,466,'Live Data'!$C$19)="","",INDEX(SPOT_Import!$A$1:$Z$2488,466,'Live Data'!$C$19)),"")</f>
        <v>800</v>
      </c>
      <c r="I466" s="54" t="str">
        <f>IFERROR(IF(INDEX(SPOT_Import!$A$1:$Z$2488,466,'Live Data'!$C$20)="","",INDEX(SPOT_Import!$A$1:$Z$2488,466,'Live Data'!$C$20)),"")</f>
        <v>Complete</v>
      </c>
      <c r="J466" s="54" t="str">
        <f>IFERROR(IF(INDEX(SPOT_Import!$A$1:$Z$2488,466,'Live Data'!$C$21)="","",INDEX(SPOT_Import!$A$1:$Z$2488,466,'Live Data'!$C$21)),"")</f>
        <v>2026-10-01T13:06:36.000Z</v>
      </c>
      <c r="K466" s="54" t="str">
        <f>IFERROR(IF(INDEX(SPOT_Import!$A$1:$Z$2488,466,'Live Data'!$C$22)="","",INDEX(SPOT_Import!$A$1:$Z$2488,466,'Live Data'!$C$22)),"")</f>
        <v>2026-10-01T13:06:36.000Z</v>
      </c>
      <c r="L466" s="55" t="str">
        <f t="shared" si="14"/>
        <v>2026-10</v>
      </c>
      <c r="M466" s="55" t="str">
        <f t="shared" si="15"/>
        <v>EMBU</v>
      </c>
      <c r="N466" s="55" t="str">
        <f>IF(A466="","",IFERROR(INDEX('Cluster Map'!$A$4:$A$38,MATCH(M466,'Cluster Map'!$B$4:$B$38,0)),"Unmapped"))</f>
        <v>Cluster 2</v>
      </c>
      <c r="O466" s="55">
        <f>IF(A466="",0,IF(COUNTIFS($A$2:A466,A466,$F$2:F466,F466,$L$2:L466,L466)=1,1,0))</f>
        <v>1</v>
      </c>
      <c r="P466" s="55">
        <f>IF(A466="",0,IF(AND(F466="C&amp;T",COUNTIFS($A$2:A466,A466,$F$2:F466,"C&amp;T")=1),1,0))</f>
        <v>1</v>
      </c>
    </row>
    <row r="467" spans="1:16" x14ac:dyDescent="0.35">
      <c r="A467" s="54">
        <f>IFERROR(IF(INDEX(SPOT_Import!$A$1:$Z$2488,467,'Live Data'!$C$12)="","",INDEX(SPOT_Import!$A$1:$Z$2488,467,'Live Data'!$C$12)),"")</f>
        <v>12526</v>
      </c>
      <c r="B467" s="54" t="str">
        <f>IFERROR(IF(INDEX(SPOT_Import!$A$1:$Z$2488,467,'Live Data'!$C$13)="","",INDEX(SPOT_Import!$A$1:$Z$2488,467,'Live Data'!$C$13)),"")</f>
        <v>Mikumbune Sub-District Hospital</v>
      </c>
      <c r="C467" s="54" t="str">
        <f>IFERROR(IF(INDEX(SPOT_Import!$A$1:$Z$2488,467,'Live Data'!$C$14)="","",INDEX(SPOT_Import!$A$1:$Z$2488,467,'Live Data'!$C$14)),"")</f>
        <v>MERU</v>
      </c>
      <c r="D467" s="54" t="str">
        <f>IFERROR(IF(INDEX(SPOT_Import!$A$1:$Z$2488,467,'Live Data'!$C$15)="","",INDEX(SPOT_Import!$A$1:$Z$2488,467,'Live Data'!$C$15)),"")</f>
        <v>Imenti South</v>
      </c>
      <c r="E467" s="54" t="str">
        <f>IFERROR(IF(INDEX(SPOT_Import!$A$1:$Z$2488,467,'Live Data'!$C$16)="","",INDEX(SPOT_Import!$A$1:$Z$2488,467,'Live Data'!$C$16)),"")</f>
        <v>USAID Jamii Tekelezi</v>
      </c>
      <c r="F467" s="54" t="str">
        <f>IFERROR(IF(INDEX(SPOT_Import!$A$1:$Z$2488,467,'Live Data'!$C$17)="","",INDEX(SPOT_Import!$A$1:$Z$2488,467,'Live Data'!$C$17)),"")</f>
        <v>C&amp;T</v>
      </c>
      <c r="G467" s="54">
        <f>IFERROR(IF(INDEX(SPOT_Import!$A$1:$Z$2488,467,'Live Data'!$C$18)="","",INDEX(SPOT_Import!$A$1:$Z$2488,467,'Live Data'!$C$18)),"")</f>
        <v>925</v>
      </c>
      <c r="H467" s="54">
        <f>IFERROR(IF(INDEX(SPOT_Import!$A$1:$Z$2488,467,'Live Data'!$C$19)="","",INDEX(SPOT_Import!$A$1:$Z$2488,467,'Live Data'!$C$19)),"")</f>
        <v>925</v>
      </c>
      <c r="I467" s="54" t="str">
        <f>IFERROR(IF(INDEX(SPOT_Import!$A$1:$Z$2488,467,'Live Data'!$C$20)="","",INDEX(SPOT_Import!$A$1:$Z$2488,467,'Live Data'!$C$20)),"")</f>
        <v>Complete</v>
      </c>
      <c r="J467" s="54" t="str">
        <f>IFERROR(IF(INDEX(SPOT_Import!$A$1:$Z$2488,467,'Live Data'!$C$21)="","",INDEX(SPOT_Import!$A$1:$Z$2488,467,'Live Data'!$C$21)),"")</f>
        <v>2026-10-01T12:48:23.000Z</v>
      </c>
      <c r="K467" s="54" t="str">
        <f>IFERROR(IF(INDEX(SPOT_Import!$A$1:$Z$2488,467,'Live Data'!$C$22)="","",INDEX(SPOT_Import!$A$1:$Z$2488,467,'Live Data'!$C$22)),"")</f>
        <v>2026-10-01T12:48:23.000Z</v>
      </c>
      <c r="L467" s="55" t="str">
        <f t="shared" si="14"/>
        <v>2026-10</v>
      </c>
      <c r="M467" s="55" t="str">
        <f t="shared" si="15"/>
        <v>MERU</v>
      </c>
      <c r="N467" s="55" t="str">
        <f>IF(A467="","",IFERROR(INDEX('Cluster Map'!$A$4:$A$38,MATCH(M467,'Cluster Map'!$B$4:$B$38,0)),"Unmapped"))</f>
        <v>Cluster 1</v>
      </c>
      <c r="O467" s="55">
        <f>IF(A467="",0,IF(COUNTIFS($A$2:A467,A467,$F$2:F467,F467,$L$2:L467,L467)=1,1,0))</f>
        <v>1</v>
      </c>
      <c r="P467" s="55">
        <f>IF(A467="",0,IF(AND(F467="C&amp;T",COUNTIFS($A$2:A467,A467,$F$2:F467,"C&amp;T")=1),1,0))</f>
        <v>1</v>
      </c>
    </row>
    <row r="468" spans="1:16" x14ac:dyDescent="0.35">
      <c r="A468" s="54">
        <f>IFERROR(IF(INDEX(SPOT_Import!$A$1:$Z$2488,468,'Live Data'!$C$12)="","",INDEX(SPOT_Import!$A$1:$Z$2488,468,'Live Data'!$C$12)),"")</f>
        <v>12598</v>
      </c>
      <c r="B468" s="54" t="str">
        <f>IFERROR(IF(INDEX(SPOT_Import!$A$1:$Z$2488,468,'Live Data'!$C$13)="","",INDEX(SPOT_Import!$A$1:$Z$2488,468,'Live Data'!$C$13)),"")</f>
        <v>Mutionjuri Health Centre</v>
      </c>
      <c r="C468" s="54" t="str">
        <f>IFERROR(IF(INDEX(SPOT_Import!$A$1:$Z$2488,468,'Live Data'!$C$14)="","",INDEX(SPOT_Import!$A$1:$Z$2488,468,'Live Data'!$C$14)),"")</f>
        <v>MERU</v>
      </c>
      <c r="D468" s="54" t="str">
        <f>IFERROR(IF(INDEX(SPOT_Import!$A$1:$Z$2488,468,'Live Data'!$C$15)="","",INDEX(SPOT_Import!$A$1:$Z$2488,468,'Live Data'!$C$15)),"")</f>
        <v>Tigania West</v>
      </c>
      <c r="E468" s="54" t="str">
        <f>IFERROR(IF(INDEX(SPOT_Import!$A$1:$Z$2488,468,'Live Data'!$C$16)="","",INDEX(SPOT_Import!$A$1:$Z$2488,468,'Live Data'!$C$16)),"")</f>
        <v>USAID Jamii Tekelezi</v>
      </c>
      <c r="F468" s="54" t="str">
        <f>IFERROR(IF(INDEX(SPOT_Import!$A$1:$Z$2488,468,'Live Data'!$C$17)="","",INDEX(SPOT_Import!$A$1:$Z$2488,468,'Live Data'!$C$17)),"")</f>
        <v>MNCH</v>
      </c>
      <c r="G468" s="54">
        <f>IFERROR(IF(INDEX(SPOT_Import!$A$1:$Z$2488,468,'Live Data'!$C$18)="","",INDEX(SPOT_Import!$A$1:$Z$2488,468,'Live Data'!$C$18)),"")</f>
        <v>6</v>
      </c>
      <c r="H468" s="54">
        <f>IFERROR(IF(INDEX(SPOT_Import!$A$1:$Z$2488,468,'Live Data'!$C$19)="","",INDEX(SPOT_Import!$A$1:$Z$2488,468,'Live Data'!$C$19)),"")</f>
        <v>6</v>
      </c>
      <c r="I468" s="54" t="str">
        <f>IFERROR(IF(INDEX(SPOT_Import!$A$1:$Z$2488,468,'Live Data'!$C$20)="","",INDEX(SPOT_Import!$A$1:$Z$2488,468,'Live Data'!$C$20)),"")</f>
        <v>Complete</v>
      </c>
      <c r="J468" s="54" t="str">
        <f>IFERROR(IF(INDEX(SPOT_Import!$A$1:$Z$2488,468,'Live Data'!$C$21)="","",INDEX(SPOT_Import!$A$1:$Z$2488,468,'Live Data'!$C$21)),"")</f>
        <v>2026-10-01T12:43:46.000Z</v>
      </c>
      <c r="K468" s="54" t="str">
        <f>IFERROR(IF(INDEX(SPOT_Import!$A$1:$Z$2488,468,'Live Data'!$C$22)="","",INDEX(SPOT_Import!$A$1:$Z$2488,468,'Live Data'!$C$22)),"")</f>
        <v>2026-10-01T12:43:46.000Z</v>
      </c>
      <c r="L468" s="55" t="str">
        <f t="shared" si="14"/>
        <v>2026-10</v>
      </c>
      <c r="M468" s="55" t="str">
        <f t="shared" si="15"/>
        <v>MERU</v>
      </c>
      <c r="N468" s="55" t="str">
        <f>IF(A468="","",IFERROR(INDEX('Cluster Map'!$A$4:$A$38,MATCH(M468,'Cluster Map'!$B$4:$B$38,0)),"Unmapped"))</f>
        <v>Cluster 1</v>
      </c>
      <c r="O468" s="55">
        <f>IF(A468="",0,IF(COUNTIFS($A$2:A468,A468,$F$2:F468,F468,$L$2:L468,L468)=1,1,0))</f>
        <v>1</v>
      </c>
      <c r="P468" s="55">
        <f>IF(A468="",0,IF(AND(F468="C&amp;T",COUNTIFS($A$2:A468,A468,$F$2:F468,"C&amp;T")=1),1,0))</f>
        <v>0</v>
      </c>
    </row>
    <row r="469" spans="1:16" x14ac:dyDescent="0.35">
      <c r="A469" s="54">
        <f>IFERROR(IF(INDEX(SPOT_Import!$A$1:$Z$2488,469,'Live Data'!$C$12)="","",INDEX(SPOT_Import!$A$1:$Z$2488,469,'Live Data'!$C$12)),"")</f>
        <v>12164</v>
      </c>
      <c r="B469" s="54" t="str">
        <f>IFERROR(IF(INDEX(SPOT_Import!$A$1:$Z$2488,469,'Live Data'!$C$13)="","",INDEX(SPOT_Import!$A$1:$Z$2488,469,'Live Data'!$C$13)),"")</f>
        <v>Kamumu Dispensary</v>
      </c>
      <c r="C469" s="54" t="str">
        <f>IFERROR(IF(INDEX(SPOT_Import!$A$1:$Z$2488,469,'Live Data'!$C$14)="","",INDEX(SPOT_Import!$A$1:$Z$2488,469,'Live Data'!$C$14)),"")</f>
        <v>EMBU</v>
      </c>
      <c r="D469" s="54" t="str">
        <f>IFERROR(IF(INDEX(SPOT_Import!$A$1:$Z$2488,469,'Live Data'!$C$15)="","",INDEX(SPOT_Import!$A$1:$Z$2488,469,'Live Data'!$C$15)),"")</f>
        <v>Mbeere North</v>
      </c>
      <c r="E469" s="54" t="str">
        <f>IFERROR(IF(INDEX(SPOT_Import!$A$1:$Z$2488,469,'Live Data'!$C$16)="","",INDEX(SPOT_Import!$A$1:$Z$2488,469,'Live Data'!$C$16)),"")</f>
        <v>USAID Jamii Tekelezi</v>
      </c>
      <c r="F469" s="54" t="str">
        <f>IFERROR(IF(INDEX(SPOT_Import!$A$1:$Z$2488,469,'Live Data'!$C$17)="","",INDEX(SPOT_Import!$A$1:$Z$2488,469,'Live Data'!$C$17)),"")</f>
        <v>PREP</v>
      </c>
      <c r="G469" s="54">
        <f>IFERROR(IF(INDEX(SPOT_Import!$A$1:$Z$2488,469,'Live Data'!$C$18)="","",INDEX(SPOT_Import!$A$1:$Z$2488,469,'Live Data'!$C$18)),"")</f>
        <v>2</v>
      </c>
      <c r="H469" s="54">
        <f>IFERROR(IF(INDEX(SPOT_Import!$A$1:$Z$2488,469,'Live Data'!$C$19)="","",INDEX(SPOT_Import!$A$1:$Z$2488,469,'Live Data'!$C$19)),"")</f>
        <v>2</v>
      </c>
      <c r="I469" s="54" t="str">
        <f>IFERROR(IF(INDEX(SPOT_Import!$A$1:$Z$2488,469,'Live Data'!$C$20)="","",INDEX(SPOT_Import!$A$1:$Z$2488,469,'Live Data'!$C$20)),"")</f>
        <v>Complete</v>
      </c>
      <c r="J469" s="54" t="str">
        <f>IFERROR(IF(INDEX(SPOT_Import!$A$1:$Z$2488,469,'Live Data'!$C$21)="","",INDEX(SPOT_Import!$A$1:$Z$2488,469,'Live Data'!$C$21)),"")</f>
        <v>2026-10-01T12:42:29.000Z</v>
      </c>
      <c r="K469" s="54" t="str">
        <f>IFERROR(IF(INDEX(SPOT_Import!$A$1:$Z$2488,469,'Live Data'!$C$22)="","",INDEX(SPOT_Import!$A$1:$Z$2488,469,'Live Data'!$C$22)),"")</f>
        <v>2026-10-01T12:42:29.000Z</v>
      </c>
      <c r="L469" s="55" t="str">
        <f t="shared" si="14"/>
        <v>2026-10</v>
      </c>
      <c r="M469" s="55" t="str">
        <f t="shared" si="15"/>
        <v>EMBU</v>
      </c>
      <c r="N469" s="55" t="str">
        <f>IF(A469="","",IFERROR(INDEX('Cluster Map'!$A$4:$A$38,MATCH(M469,'Cluster Map'!$B$4:$B$38,0)),"Unmapped"))</f>
        <v>Cluster 2</v>
      </c>
      <c r="O469" s="55">
        <f>IF(A469="",0,IF(COUNTIFS($A$2:A469,A469,$F$2:F469,F469,$L$2:L469,L469)=1,1,0))</f>
        <v>1</v>
      </c>
      <c r="P469" s="55">
        <f>IF(A469="",0,IF(AND(F469="C&amp;T",COUNTIFS($A$2:A469,A469,$F$2:F469,"C&amp;T")=1),1,0))</f>
        <v>0</v>
      </c>
    </row>
    <row r="470" spans="1:16" x14ac:dyDescent="0.35">
      <c r="A470" s="54">
        <f>IFERROR(IF(INDEX(SPOT_Import!$A$1:$Z$2488,470,'Live Data'!$C$12)="","",INDEX(SPOT_Import!$A$1:$Z$2488,470,'Live Data'!$C$12)),"")</f>
        <v>12164</v>
      </c>
      <c r="B470" s="54" t="str">
        <f>IFERROR(IF(INDEX(SPOT_Import!$A$1:$Z$2488,470,'Live Data'!$C$13)="","",INDEX(SPOT_Import!$A$1:$Z$2488,470,'Live Data'!$C$13)),"")</f>
        <v>Kamumu Dispensary</v>
      </c>
      <c r="C470" s="54" t="str">
        <f>IFERROR(IF(INDEX(SPOT_Import!$A$1:$Z$2488,470,'Live Data'!$C$14)="","",INDEX(SPOT_Import!$A$1:$Z$2488,470,'Live Data'!$C$14)),"")</f>
        <v>EMBU</v>
      </c>
      <c r="D470" s="54" t="str">
        <f>IFERROR(IF(INDEX(SPOT_Import!$A$1:$Z$2488,470,'Live Data'!$C$15)="","",INDEX(SPOT_Import!$A$1:$Z$2488,470,'Live Data'!$C$15)),"")</f>
        <v>Mbeere North</v>
      </c>
      <c r="E470" s="54" t="str">
        <f>IFERROR(IF(INDEX(SPOT_Import!$A$1:$Z$2488,470,'Live Data'!$C$16)="","",INDEX(SPOT_Import!$A$1:$Z$2488,470,'Live Data'!$C$16)),"")</f>
        <v>USAID Jamii Tekelezi</v>
      </c>
      <c r="F470" s="54" t="str">
        <f>IFERROR(IF(INDEX(SPOT_Import!$A$1:$Z$2488,470,'Live Data'!$C$17)="","",INDEX(SPOT_Import!$A$1:$Z$2488,470,'Live Data'!$C$17)),"")</f>
        <v>MNCH</v>
      </c>
      <c r="G470" s="54">
        <f>IFERROR(IF(INDEX(SPOT_Import!$A$1:$Z$2488,470,'Live Data'!$C$18)="","",INDEX(SPOT_Import!$A$1:$Z$2488,470,'Live Data'!$C$18)),"")</f>
        <v>10</v>
      </c>
      <c r="H470" s="54">
        <f>IFERROR(IF(INDEX(SPOT_Import!$A$1:$Z$2488,470,'Live Data'!$C$19)="","",INDEX(SPOT_Import!$A$1:$Z$2488,470,'Live Data'!$C$19)),"")</f>
        <v>10</v>
      </c>
      <c r="I470" s="54" t="str">
        <f>IFERROR(IF(INDEX(SPOT_Import!$A$1:$Z$2488,470,'Live Data'!$C$20)="","",INDEX(SPOT_Import!$A$1:$Z$2488,470,'Live Data'!$C$20)),"")</f>
        <v>Complete</v>
      </c>
      <c r="J470" s="54" t="str">
        <f>IFERROR(IF(INDEX(SPOT_Import!$A$1:$Z$2488,470,'Live Data'!$C$21)="","",INDEX(SPOT_Import!$A$1:$Z$2488,470,'Live Data'!$C$21)),"")</f>
        <v>2026-10-01T12:42:20.000Z</v>
      </c>
      <c r="K470" s="54" t="str">
        <f>IFERROR(IF(INDEX(SPOT_Import!$A$1:$Z$2488,470,'Live Data'!$C$22)="","",INDEX(SPOT_Import!$A$1:$Z$2488,470,'Live Data'!$C$22)),"")</f>
        <v>2026-10-01T12:42:20.000Z</v>
      </c>
      <c r="L470" s="55" t="str">
        <f t="shared" si="14"/>
        <v>2026-10</v>
      </c>
      <c r="M470" s="55" t="str">
        <f t="shared" si="15"/>
        <v>EMBU</v>
      </c>
      <c r="N470" s="55" t="str">
        <f>IF(A470="","",IFERROR(INDEX('Cluster Map'!$A$4:$A$38,MATCH(M470,'Cluster Map'!$B$4:$B$38,0)),"Unmapped"))</f>
        <v>Cluster 2</v>
      </c>
      <c r="O470" s="55">
        <f>IF(A470="",0,IF(COUNTIFS($A$2:A470,A470,$F$2:F470,F470,$L$2:L470,L470)=1,1,0))</f>
        <v>1</v>
      </c>
      <c r="P470" s="55">
        <f>IF(A470="",0,IF(AND(F470="C&amp;T",COUNTIFS($A$2:A470,A470,$F$2:F470,"C&amp;T")=1),1,0))</f>
        <v>0</v>
      </c>
    </row>
    <row r="471" spans="1:16" x14ac:dyDescent="0.35">
      <c r="A471" s="54">
        <f>IFERROR(IF(INDEX(SPOT_Import!$A$1:$Z$2488,471,'Live Data'!$C$12)="","",INDEX(SPOT_Import!$A$1:$Z$2488,471,'Live Data'!$C$12)),"")</f>
        <v>12164</v>
      </c>
      <c r="B471" s="54" t="str">
        <f>IFERROR(IF(INDEX(SPOT_Import!$A$1:$Z$2488,471,'Live Data'!$C$13)="","",INDEX(SPOT_Import!$A$1:$Z$2488,471,'Live Data'!$C$13)),"")</f>
        <v>Kamumu Dispensary</v>
      </c>
      <c r="C471" s="54" t="str">
        <f>IFERROR(IF(INDEX(SPOT_Import!$A$1:$Z$2488,471,'Live Data'!$C$14)="","",INDEX(SPOT_Import!$A$1:$Z$2488,471,'Live Data'!$C$14)),"")</f>
        <v>EMBU</v>
      </c>
      <c r="D471" s="54" t="str">
        <f>IFERROR(IF(INDEX(SPOT_Import!$A$1:$Z$2488,471,'Live Data'!$C$15)="","",INDEX(SPOT_Import!$A$1:$Z$2488,471,'Live Data'!$C$15)),"")</f>
        <v>Mbeere North</v>
      </c>
      <c r="E471" s="54" t="str">
        <f>IFERROR(IF(INDEX(SPOT_Import!$A$1:$Z$2488,471,'Live Data'!$C$16)="","",INDEX(SPOT_Import!$A$1:$Z$2488,471,'Live Data'!$C$16)),"")</f>
        <v>USAID Jamii Tekelezi</v>
      </c>
      <c r="F471" s="54" t="str">
        <f>IFERROR(IF(INDEX(SPOT_Import!$A$1:$Z$2488,471,'Live Data'!$C$17)="","",INDEX(SPOT_Import!$A$1:$Z$2488,471,'Live Data'!$C$17)),"")</f>
        <v>HTS</v>
      </c>
      <c r="G471" s="54">
        <f>IFERROR(IF(INDEX(SPOT_Import!$A$1:$Z$2488,471,'Live Data'!$C$18)="","",INDEX(SPOT_Import!$A$1:$Z$2488,471,'Live Data'!$C$18)),"")</f>
        <v>4</v>
      </c>
      <c r="H471" s="54">
        <f>IFERROR(IF(INDEX(SPOT_Import!$A$1:$Z$2488,471,'Live Data'!$C$19)="","",INDEX(SPOT_Import!$A$1:$Z$2488,471,'Live Data'!$C$19)),"")</f>
        <v>4</v>
      </c>
      <c r="I471" s="54" t="str">
        <f>IFERROR(IF(INDEX(SPOT_Import!$A$1:$Z$2488,471,'Live Data'!$C$20)="","",INDEX(SPOT_Import!$A$1:$Z$2488,471,'Live Data'!$C$20)),"")</f>
        <v>Complete</v>
      </c>
      <c r="J471" s="54" t="str">
        <f>IFERROR(IF(INDEX(SPOT_Import!$A$1:$Z$2488,471,'Live Data'!$C$21)="","",INDEX(SPOT_Import!$A$1:$Z$2488,471,'Live Data'!$C$21)),"")</f>
        <v>2026-10-01T12:42:09.000Z</v>
      </c>
      <c r="K471" s="54" t="str">
        <f>IFERROR(IF(INDEX(SPOT_Import!$A$1:$Z$2488,471,'Live Data'!$C$22)="","",INDEX(SPOT_Import!$A$1:$Z$2488,471,'Live Data'!$C$22)),"")</f>
        <v>2026-10-01T12:42:09.000Z</v>
      </c>
      <c r="L471" s="55" t="str">
        <f t="shared" si="14"/>
        <v>2026-10</v>
      </c>
      <c r="M471" s="55" t="str">
        <f t="shared" si="15"/>
        <v>EMBU</v>
      </c>
      <c r="N471" s="55" t="str">
        <f>IF(A471="","",IFERROR(INDEX('Cluster Map'!$A$4:$A$38,MATCH(M471,'Cluster Map'!$B$4:$B$38,0)),"Unmapped"))</f>
        <v>Cluster 2</v>
      </c>
      <c r="O471" s="55">
        <f>IF(A471="",0,IF(COUNTIFS($A$2:A471,A471,$F$2:F471,F471,$L$2:L471,L471)=1,1,0))</f>
        <v>1</v>
      </c>
      <c r="P471" s="55">
        <f>IF(A471="",0,IF(AND(F471="C&amp;T",COUNTIFS($A$2:A471,A471,$F$2:F471,"C&amp;T")=1),1,0))</f>
        <v>0</v>
      </c>
    </row>
    <row r="472" spans="1:16" x14ac:dyDescent="0.35">
      <c r="A472" s="54">
        <f>IFERROR(IF(INDEX(SPOT_Import!$A$1:$Z$2488,472,'Live Data'!$C$12)="","",INDEX(SPOT_Import!$A$1:$Z$2488,472,'Live Data'!$C$12)),"")</f>
        <v>16465</v>
      </c>
      <c r="B472" s="54" t="str">
        <f>IFERROR(IF(INDEX(SPOT_Import!$A$1:$Z$2488,472,'Live Data'!$C$13)="","",INDEX(SPOT_Import!$A$1:$Z$2488,472,'Live Data'!$C$13)),"")</f>
        <v>Kiambere Health Centre</v>
      </c>
      <c r="C472" s="54" t="str">
        <f>IFERROR(IF(INDEX(SPOT_Import!$A$1:$Z$2488,472,'Live Data'!$C$14)="","",INDEX(SPOT_Import!$A$1:$Z$2488,472,'Live Data'!$C$14)),"")</f>
        <v>EMBU</v>
      </c>
      <c r="D472" s="54" t="str">
        <f>IFERROR(IF(INDEX(SPOT_Import!$A$1:$Z$2488,472,'Live Data'!$C$15)="","",INDEX(SPOT_Import!$A$1:$Z$2488,472,'Live Data'!$C$15)),"")</f>
        <v>Mbeere South</v>
      </c>
      <c r="E472" s="54" t="str">
        <f>IFERROR(IF(INDEX(SPOT_Import!$A$1:$Z$2488,472,'Live Data'!$C$16)="","",INDEX(SPOT_Import!$A$1:$Z$2488,472,'Live Data'!$C$16)),"")</f>
        <v>USAID Jamii Tekelezi</v>
      </c>
      <c r="F472" s="54" t="str">
        <f>IFERROR(IF(INDEX(SPOT_Import!$A$1:$Z$2488,472,'Live Data'!$C$17)="","",INDEX(SPOT_Import!$A$1:$Z$2488,472,'Live Data'!$C$17)),"")</f>
        <v>MNCH</v>
      </c>
      <c r="G472" s="54">
        <f>IFERROR(IF(INDEX(SPOT_Import!$A$1:$Z$2488,472,'Live Data'!$C$18)="","",INDEX(SPOT_Import!$A$1:$Z$2488,472,'Live Data'!$C$18)),"")</f>
        <v>3</v>
      </c>
      <c r="H472" s="54">
        <f>IFERROR(IF(INDEX(SPOT_Import!$A$1:$Z$2488,472,'Live Data'!$C$19)="","",INDEX(SPOT_Import!$A$1:$Z$2488,472,'Live Data'!$C$19)),"")</f>
        <v>3</v>
      </c>
      <c r="I472" s="54" t="str">
        <f>IFERROR(IF(INDEX(SPOT_Import!$A$1:$Z$2488,472,'Live Data'!$C$20)="","",INDEX(SPOT_Import!$A$1:$Z$2488,472,'Live Data'!$C$20)),"")</f>
        <v>Complete</v>
      </c>
      <c r="J472" s="54" t="str">
        <f>IFERROR(IF(INDEX(SPOT_Import!$A$1:$Z$2488,472,'Live Data'!$C$21)="","",INDEX(SPOT_Import!$A$1:$Z$2488,472,'Live Data'!$C$21)),"")</f>
        <v>2026-10-01T12:41:22.000Z</v>
      </c>
      <c r="K472" s="54" t="str">
        <f>IFERROR(IF(INDEX(SPOT_Import!$A$1:$Z$2488,472,'Live Data'!$C$22)="","",INDEX(SPOT_Import!$A$1:$Z$2488,472,'Live Data'!$C$22)),"")</f>
        <v>2026-10-01T12:41:22.000Z</v>
      </c>
      <c r="L472" s="55" t="str">
        <f t="shared" si="14"/>
        <v>2026-10</v>
      </c>
      <c r="M472" s="55" t="str">
        <f t="shared" si="15"/>
        <v>EMBU</v>
      </c>
      <c r="N472" s="55" t="str">
        <f>IF(A472="","",IFERROR(INDEX('Cluster Map'!$A$4:$A$38,MATCH(M472,'Cluster Map'!$B$4:$B$38,0)),"Unmapped"))</f>
        <v>Cluster 2</v>
      </c>
      <c r="O472" s="55">
        <f>IF(A472="",0,IF(COUNTIFS($A$2:A472,A472,$F$2:F472,F472,$L$2:L472,L472)=1,1,0))</f>
        <v>1</v>
      </c>
      <c r="P472" s="55">
        <f>IF(A472="",0,IF(AND(F472="C&amp;T",COUNTIFS($A$2:A472,A472,$F$2:F472,"C&amp;T")=1),1,0))</f>
        <v>0</v>
      </c>
    </row>
    <row r="473" spans="1:16" x14ac:dyDescent="0.35">
      <c r="A473" s="54">
        <f>IFERROR(IF(INDEX(SPOT_Import!$A$1:$Z$2488,473,'Live Data'!$C$12)="","",INDEX(SPOT_Import!$A$1:$Z$2488,473,'Live Data'!$C$12)),"")</f>
        <v>16465</v>
      </c>
      <c r="B473" s="54" t="str">
        <f>IFERROR(IF(INDEX(SPOT_Import!$A$1:$Z$2488,473,'Live Data'!$C$13)="","",INDEX(SPOT_Import!$A$1:$Z$2488,473,'Live Data'!$C$13)),"")</f>
        <v>Kiambere Health Centre</v>
      </c>
      <c r="C473" s="54" t="str">
        <f>IFERROR(IF(INDEX(SPOT_Import!$A$1:$Z$2488,473,'Live Data'!$C$14)="","",INDEX(SPOT_Import!$A$1:$Z$2488,473,'Live Data'!$C$14)),"")</f>
        <v>EMBU</v>
      </c>
      <c r="D473" s="54" t="str">
        <f>IFERROR(IF(INDEX(SPOT_Import!$A$1:$Z$2488,473,'Live Data'!$C$15)="","",INDEX(SPOT_Import!$A$1:$Z$2488,473,'Live Data'!$C$15)),"")</f>
        <v>Mbeere South</v>
      </c>
      <c r="E473" s="54" t="str">
        <f>IFERROR(IF(INDEX(SPOT_Import!$A$1:$Z$2488,473,'Live Data'!$C$16)="","",INDEX(SPOT_Import!$A$1:$Z$2488,473,'Live Data'!$C$16)),"")</f>
        <v>USAID Jamii Tekelezi</v>
      </c>
      <c r="F473" s="54" t="str">
        <f>IFERROR(IF(INDEX(SPOT_Import!$A$1:$Z$2488,473,'Live Data'!$C$17)="","",INDEX(SPOT_Import!$A$1:$Z$2488,473,'Live Data'!$C$17)),"")</f>
        <v>HTS</v>
      </c>
      <c r="G473" s="54">
        <f>IFERROR(IF(INDEX(SPOT_Import!$A$1:$Z$2488,473,'Live Data'!$C$18)="","",INDEX(SPOT_Import!$A$1:$Z$2488,473,'Live Data'!$C$18)),"")</f>
        <v>5</v>
      </c>
      <c r="H473" s="54">
        <f>IFERROR(IF(INDEX(SPOT_Import!$A$1:$Z$2488,473,'Live Data'!$C$19)="","",INDEX(SPOT_Import!$A$1:$Z$2488,473,'Live Data'!$C$19)),"")</f>
        <v>5</v>
      </c>
      <c r="I473" s="54" t="str">
        <f>IFERROR(IF(INDEX(SPOT_Import!$A$1:$Z$2488,473,'Live Data'!$C$20)="","",INDEX(SPOT_Import!$A$1:$Z$2488,473,'Live Data'!$C$20)),"")</f>
        <v>Complete</v>
      </c>
      <c r="J473" s="54" t="str">
        <f>IFERROR(IF(INDEX(SPOT_Import!$A$1:$Z$2488,473,'Live Data'!$C$21)="","",INDEX(SPOT_Import!$A$1:$Z$2488,473,'Live Data'!$C$21)),"")</f>
        <v>2026-10-01T12:41:08.000Z</v>
      </c>
      <c r="K473" s="54" t="str">
        <f>IFERROR(IF(INDEX(SPOT_Import!$A$1:$Z$2488,473,'Live Data'!$C$22)="","",INDEX(SPOT_Import!$A$1:$Z$2488,473,'Live Data'!$C$22)),"")</f>
        <v>2026-10-01T12:41:08.000Z</v>
      </c>
      <c r="L473" s="55" t="str">
        <f t="shared" si="14"/>
        <v>2026-10</v>
      </c>
      <c r="M473" s="55" t="str">
        <f t="shared" si="15"/>
        <v>EMBU</v>
      </c>
      <c r="N473" s="55" t="str">
        <f>IF(A473="","",IFERROR(INDEX('Cluster Map'!$A$4:$A$38,MATCH(M473,'Cluster Map'!$B$4:$B$38,0)),"Unmapped"))</f>
        <v>Cluster 2</v>
      </c>
      <c r="O473" s="55">
        <f>IF(A473="",0,IF(COUNTIFS($A$2:A473,A473,$F$2:F473,F473,$L$2:L473,L473)=1,1,0))</f>
        <v>1</v>
      </c>
      <c r="P473" s="55">
        <f>IF(A473="",0,IF(AND(F473="C&amp;T",COUNTIFS($A$2:A473,A473,$F$2:F473,"C&amp;T")=1),1,0))</f>
        <v>0</v>
      </c>
    </row>
    <row r="474" spans="1:16" x14ac:dyDescent="0.35">
      <c r="A474" s="54">
        <f>IFERROR(IF(INDEX(SPOT_Import!$A$1:$Z$2488,474,'Live Data'!$C$12)="","",INDEX(SPOT_Import!$A$1:$Z$2488,474,'Live Data'!$C$12)),"")</f>
        <v>10043</v>
      </c>
      <c r="B474" s="54" t="str">
        <f>IFERROR(IF(INDEX(SPOT_Import!$A$1:$Z$2488,474,'Live Data'!$C$13)="","",INDEX(SPOT_Import!$A$1:$Z$2488,474,'Live Data'!$C$13)),"")</f>
        <v>Baari Health centre</v>
      </c>
      <c r="C474" s="54" t="str">
        <f>IFERROR(IF(INDEX(SPOT_Import!$A$1:$Z$2488,474,'Live Data'!$C$14)="","",INDEX(SPOT_Import!$A$1:$Z$2488,474,'Live Data'!$C$14)),"")</f>
        <v>NYANDARUA</v>
      </c>
      <c r="D474" s="54" t="str">
        <f>IFERROR(IF(INDEX(SPOT_Import!$A$1:$Z$2488,474,'Live Data'!$C$15)="","",INDEX(SPOT_Import!$A$1:$Z$2488,474,'Live Data'!$C$15)),"")</f>
        <v>Ndaragwa</v>
      </c>
      <c r="E474" s="54" t="str">
        <f>IFERROR(IF(INDEX(SPOT_Import!$A$1:$Z$2488,474,'Live Data'!$C$16)="","",INDEX(SPOT_Import!$A$1:$Z$2488,474,'Live Data'!$C$16)),"")</f>
        <v>USAID Jamii Tekelezi</v>
      </c>
      <c r="F474" s="54" t="str">
        <f>IFERROR(IF(INDEX(SPOT_Import!$A$1:$Z$2488,474,'Live Data'!$C$17)="","",INDEX(SPOT_Import!$A$1:$Z$2488,474,'Live Data'!$C$17)),"")</f>
        <v>HTS</v>
      </c>
      <c r="G474" s="54">
        <f>IFERROR(IF(INDEX(SPOT_Import!$A$1:$Z$2488,474,'Live Data'!$C$18)="","",INDEX(SPOT_Import!$A$1:$Z$2488,474,'Live Data'!$C$18)),"")</f>
        <v>3959</v>
      </c>
      <c r="H474" s="54">
        <f>IFERROR(IF(INDEX(SPOT_Import!$A$1:$Z$2488,474,'Live Data'!$C$19)="","",INDEX(SPOT_Import!$A$1:$Z$2488,474,'Live Data'!$C$19)),"")</f>
        <v>3959</v>
      </c>
      <c r="I474" s="54" t="str">
        <f>IFERROR(IF(INDEX(SPOT_Import!$A$1:$Z$2488,474,'Live Data'!$C$20)="","",INDEX(SPOT_Import!$A$1:$Z$2488,474,'Live Data'!$C$20)),"")</f>
        <v>Complete</v>
      </c>
      <c r="J474" s="54" t="str">
        <f>IFERROR(IF(INDEX(SPOT_Import!$A$1:$Z$2488,474,'Live Data'!$C$21)="","",INDEX(SPOT_Import!$A$1:$Z$2488,474,'Live Data'!$C$21)),"")</f>
        <v>2026-10-01T12:39:24.000Z</v>
      </c>
      <c r="K474" s="54" t="str">
        <f>IFERROR(IF(INDEX(SPOT_Import!$A$1:$Z$2488,474,'Live Data'!$C$22)="","",INDEX(SPOT_Import!$A$1:$Z$2488,474,'Live Data'!$C$22)),"")</f>
        <v>2026-10-01T12:39:24.000Z</v>
      </c>
      <c r="L474" s="55" t="str">
        <f t="shared" si="14"/>
        <v>2026-10</v>
      </c>
      <c r="M474" s="55" t="str">
        <f t="shared" si="15"/>
        <v>NYANDARUA</v>
      </c>
      <c r="N474" s="55" t="str">
        <f>IF(A474="","",IFERROR(INDEX('Cluster Map'!$A$4:$A$38,MATCH(M474,'Cluster Map'!$B$4:$B$38,0)),"Unmapped"))</f>
        <v>Cluster 4</v>
      </c>
      <c r="O474" s="55">
        <f>IF(A474="",0,IF(COUNTIFS($A$2:A474,A474,$F$2:F474,F474,$L$2:L474,L474)=1,1,0))</f>
        <v>1</v>
      </c>
      <c r="P474" s="55">
        <f>IF(A474="",0,IF(AND(F474="C&amp;T",COUNTIFS($A$2:A474,A474,$F$2:F474,"C&amp;T")=1),1,0))</f>
        <v>0</v>
      </c>
    </row>
    <row r="475" spans="1:16" x14ac:dyDescent="0.35">
      <c r="A475" s="54">
        <f>IFERROR(IF(INDEX(SPOT_Import!$A$1:$Z$2488,475,'Live Data'!$C$12)="","",INDEX(SPOT_Import!$A$1:$Z$2488,475,'Live Data'!$C$12)),"")</f>
        <v>10043</v>
      </c>
      <c r="B475" s="54" t="str">
        <f>IFERROR(IF(INDEX(SPOT_Import!$A$1:$Z$2488,475,'Live Data'!$C$13)="","",INDEX(SPOT_Import!$A$1:$Z$2488,475,'Live Data'!$C$13)),"")</f>
        <v>Baari Health centre</v>
      </c>
      <c r="C475" s="54" t="str">
        <f>IFERROR(IF(INDEX(SPOT_Import!$A$1:$Z$2488,475,'Live Data'!$C$14)="","",INDEX(SPOT_Import!$A$1:$Z$2488,475,'Live Data'!$C$14)),"")</f>
        <v>NYANDARUA</v>
      </c>
      <c r="D475" s="54" t="str">
        <f>IFERROR(IF(INDEX(SPOT_Import!$A$1:$Z$2488,475,'Live Data'!$C$15)="","",INDEX(SPOT_Import!$A$1:$Z$2488,475,'Live Data'!$C$15)),"")</f>
        <v>Ndaragwa</v>
      </c>
      <c r="E475" s="54" t="str">
        <f>IFERROR(IF(INDEX(SPOT_Import!$A$1:$Z$2488,475,'Live Data'!$C$16)="","",INDEX(SPOT_Import!$A$1:$Z$2488,475,'Live Data'!$C$16)),"")</f>
        <v>USAID Jamii Tekelezi</v>
      </c>
      <c r="F475" s="54" t="str">
        <f>IFERROR(IF(INDEX(SPOT_Import!$A$1:$Z$2488,475,'Live Data'!$C$17)="","",INDEX(SPOT_Import!$A$1:$Z$2488,475,'Live Data'!$C$17)),"")</f>
        <v>PREP</v>
      </c>
      <c r="G475" s="54">
        <f>IFERROR(IF(INDEX(SPOT_Import!$A$1:$Z$2488,475,'Live Data'!$C$18)="","",INDEX(SPOT_Import!$A$1:$Z$2488,475,'Live Data'!$C$18)),"")</f>
        <v>181</v>
      </c>
      <c r="H475" s="54" t="str">
        <f>IFERROR(IF(INDEX(SPOT_Import!$A$1:$Z$2488,475,'Live Data'!$C$19)="","",INDEX(SPOT_Import!$A$1:$Z$2488,475,'Live Data'!$C$19)),"")</f>
        <v/>
      </c>
      <c r="I475" s="54" t="str">
        <f>IFERROR(IF(INDEX(SPOT_Import!$A$1:$Z$2488,475,'Live Data'!$C$20)="","",INDEX(SPOT_Import!$A$1:$Z$2488,475,'Live Data'!$C$20)),"")</f>
        <v>Complete</v>
      </c>
      <c r="J475" s="54" t="str">
        <f>IFERROR(IF(INDEX(SPOT_Import!$A$1:$Z$2488,475,'Live Data'!$C$21)="","",INDEX(SPOT_Import!$A$1:$Z$2488,475,'Live Data'!$C$21)),"")</f>
        <v>2026-10-01T12:38:56.000Z</v>
      </c>
      <c r="K475" s="54" t="str">
        <f>IFERROR(IF(INDEX(SPOT_Import!$A$1:$Z$2488,475,'Live Data'!$C$22)="","",INDEX(SPOT_Import!$A$1:$Z$2488,475,'Live Data'!$C$22)),"")</f>
        <v>2026-10-01T12:38:56.000Z</v>
      </c>
      <c r="L475" s="55" t="str">
        <f t="shared" si="14"/>
        <v>2026-10</v>
      </c>
      <c r="M475" s="55" t="str">
        <f t="shared" si="15"/>
        <v>NYANDARUA</v>
      </c>
      <c r="N475" s="55" t="str">
        <f>IF(A475="","",IFERROR(INDEX('Cluster Map'!$A$4:$A$38,MATCH(M475,'Cluster Map'!$B$4:$B$38,0)),"Unmapped"))</f>
        <v>Cluster 4</v>
      </c>
      <c r="O475" s="55">
        <f>IF(A475="",0,IF(COUNTIFS($A$2:A475,A475,$F$2:F475,F475,$L$2:L475,L475)=1,1,0))</f>
        <v>1</v>
      </c>
      <c r="P475" s="55">
        <f>IF(A475="",0,IF(AND(F475="C&amp;T",COUNTIFS($A$2:A475,A475,$F$2:F475,"C&amp;T")=1),1,0))</f>
        <v>0</v>
      </c>
    </row>
    <row r="476" spans="1:16" x14ac:dyDescent="0.35">
      <c r="A476" s="54">
        <f>IFERROR(IF(INDEX(SPOT_Import!$A$1:$Z$2488,476,'Live Data'!$C$12)="","",INDEX(SPOT_Import!$A$1:$Z$2488,476,'Live Data'!$C$12)),"")</f>
        <v>10043</v>
      </c>
      <c r="B476" s="54" t="str">
        <f>IFERROR(IF(INDEX(SPOT_Import!$A$1:$Z$2488,476,'Live Data'!$C$13)="","",INDEX(SPOT_Import!$A$1:$Z$2488,476,'Live Data'!$C$13)),"")</f>
        <v>Baari Health centre</v>
      </c>
      <c r="C476" s="54" t="str">
        <f>IFERROR(IF(INDEX(SPOT_Import!$A$1:$Z$2488,476,'Live Data'!$C$14)="","",INDEX(SPOT_Import!$A$1:$Z$2488,476,'Live Data'!$C$14)),"")</f>
        <v>NYANDARUA</v>
      </c>
      <c r="D476" s="54" t="str">
        <f>IFERROR(IF(INDEX(SPOT_Import!$A$1:$Z$2488,476,'Live Data'!$C$15)="","",INDEX(SPOT_Import!$A$1:$Z$2488,476,'Live Data'!$C$15)),"")</f>
        <v>Ndaragwa</v>
      </c>
      <c r="E476" s="54" t="str">
        <f>IFERROR(IF(INDEX(SPOT_Import!$A$1:$Z$2488,476,'Live Data'!$C$16)="","",INDEX(SPOT_Import!$A$1:$Z$2488,476,'Live Data'!$C$16)),"")</f>
        <v>USAID Jamii Tekelezi</v>
      </c>
      <c r="F476" s="54" t="str">
        <f>IFERROR(IF(INDEX(SPOT_Import!$A$1:$Z$2488,476,'Live Data'!$C$17)="","",INDEX(SPOT_Import!$A$1:$Z$2488,476,'Live Data'!$C$17)),"")</f>
        <v>MNCH</v>
      </c>
      <c r="G476" s="54">
        <f>IFERROR(IF(INDEX(SPOT_Import!$A$1:$Z$2488,476,'Live Data'!$C$18)="","",INDEX(SPOT_Import!$A$1:$Z$2488,476,'Live Data'!$C$18)),"")</f>
        <v>23</v>
      </c>
      <c r="H476" s="54">
        <f>IFERROR(IF(INDEX(SPOT_Import!$A$1:$Z$2488,476,'Live Data'!$C$19)="","",INDEX(SPOT_Import!$A$1:$Z$2488,476,'Live Data'!$C$19)),"")</f>
        <v>23</v>
      </c>
      <c r="I476" s="54" t="str">
        <f>IFERROR(IF(INDEX(SPOT_Import!$A$1:$Z$2488,476,'Live Data'!$C$20)="","",INDEX(SPOT_Import!$A$1:$Z$2488,476,'Live Data'!$C$20)),"")</f>
        <v>Complete</v>
      </c>
      <c r="J476" s="54" t="str">
        <f>IFERROR(IF(INDEX(SPOT_Import!$A$1:$Z$2488,476,'Live Data'!$C$21)="","",INDEX(SPOT_Import!$A$1:$Z$2488,476,'Live Data'!$C$21)),"")</f>
        <v>2026-10-01T12:38:24.000Z</v>
      </c>
      <c r="K476" s="54" t="str">
        <f>IFERROR(IF(INDEX(SPOT_Import!$A$1:$Z$2488,476,'Live Data'!$C$22)="","",INDEX(SPOT_Import!$A$1:$Z$2488,476,'Live Data'!$C$22)),"")</f>
        <v>2026-10-01T12:38:24.000Z</v>
      </c>
      <c r="L476" s="55" t="str">
        <f t="shared" si="14"/>
        <v>2026-10</v>
      </c>
      <c r="M476" s="55" t="str">
        <f t="shared" si="15"/>
        <v>NYANDARUA</v>
      </c>
      <c r="N476" s="55" t="str">
        <f>IF(A476="","",IFERROR(INDEX('Cluster Map'!$A$4:$A$38,MATCH(M476,'Cluster Map'!$B$4:$B$38,0)),"Unmapped"))</f>
        <v>Cluster 4</v>
      </c>
      <c r="O476" s="55">
        <f>IF(A476="",0,IF(COUNTIFS($A$2:A476,A476,$F$2:F476,F476,$L$2:L476,L476)=1,1,0))</f>
        <v>1</v>
      </c>
      <c r="P476" s="55">
        <f>IF(A476="",0,IF(AND(F476="C&amp;T",COUNTIFS($A$2:A476,A476,$F$2:F476,"C&amp;T")=1),1,0))</f>
        <v>0</v>
      </c>
    </row>
    <row r="477" spans="1:16" x14ac:dyDescent="0.35">
      <c r="A477" s="54">
        <f>IFERROR(IF(INDEX(SPOT_Import!$A$1:$Z$2488,477,'Live Data'!$C$12)="","",INDEX(SPOT_Import!$A$1:$Z$2488,477,'Live Data'!$C$12)),"")</f>
        <v>10911</v>
      </c>
      <c r="B477" s="54" t="str">
        <f>IFERROR(IF(INDEX(SPOT_Import!$A$1:$Z$2488,477,'Live Data'!$C$13)="","",INDEX(SPOT_Import!$A$1:$Z$2488,477,'Live Data'!$C$13)),"")</f>
        <v>Olborosat Dispensary</v>
      </c>
      <c r="C477" s="54" t="str">
        <f>IFERROR(IF(INDEX(SPOT_Import!$A$1:$Z$2488,477,'Live Data'!$C$14)="","",INDEX(SPOT_Import!$A$1:$Z$2488,477,'Live Data'!$C$14)),"")</f>
        <v>NYANDARUA</v>
      </c>
      <c r="D477" s="54" t="str">
        <f>IFERROR(IF(INDEX(SPOT_Import!$A$1:$Z$2488,477,'Live Data'!$C$15)="","",INDEX(SPOT_Import!$A$1:$Z$2488,477,'Live Data'!$C$15)),"")</f>
        <v>Oljororok</v>
      </c>
      <c r="E477" s="54" t="str">
        <f>IFERROR(IF(INDEX(SPOT_Import!$A$1:$Z$2488,477,'Live Data'!$C$16)="","",INDEX(SPOT_Import!$A$1:$Z$2488,477,'Live Data'!$C$16)),"")</f>
        <v>USAID Jamii Tekelezi</v>
      </c>
      <c r="F477" s="54" t="str">
        <f>IFERROR(IF(INDEX(SPOT_Import!$A$1:$Z$2488,477,'Live Data'!$C$17)="","",INDEX(SPOT_Import!$A$1:$Z$2488,477,'Live Data'!$C$17)),"")</f>
        <v>HTS</v>
      </c>
      <c r="G477" s="54">
        <f>IFERROR(IF(INDEX(SPOT_Import!$A$1:$Z$2488,477,'Live Data'!$C$18)="","",INDEX(SPOT_Import!$A$1:$Z$2488,477,'Live Data'!$C$18)),"")</f>
        <v>624</v>
      </c>
      <c r="H477" s="54">
        <f>IFERROR(IF(INDEX(SPOT_Import!$A$1:$Z$2488,477,'Live Data'!$C$19)="","",INDEX(SPOT_Import!$A$1:$Z$2488,477,'Live Data'!$C$19)),"")</f>
        <v>624</v>
      </c>
      <c r="I477" s="54" t="str">
        <f>IFERROR(IF(INDEX(SPOT_Import!$A$1:$Z$2488,477,'Live Data'!$C$20)="","",INDEX(SPOT_Import!$A$1:$Z$2488,477,'Live Data'!$C$20)),"")</f>
        <v>Complete</v>
      </c>
      <c r="J477" s="54" t="str">
        <f>IFERROR(IF(INDEX(SPOT_Import!$A$1:$Z$2488,477,'Live Data'!$C$21)="","",INDEX(SPOT_Import!$A$1:$Z$2488,477,'Live Data'!$C$21)),"")</f>
        <v>2026-10-01T12:36:13.000Z</v>
      </c>
      <c r="K477" s="54" t="str">
        <f>IFERROR(IF(INDEX(SPOT_Import!$A$1:$Z$2488,477,'Live Data'!$C$22)="","",INDEX(SPOT_Import!$A$1:$Z$2488,477,'Live Data'!$C$22)),"")</f>
        <v>2026-10-01T12:36:13.000Z</v>
      </c>
      <c r="L477" s="55" t="str">
        <f t="shared" si="14"/>
        <v>2026-10</v>
      </c>
      <c r="M477" s="55" t="str">
        <f t="shared" si="15"/>
        <v>NYANDARUA</v>
      </c>
      <c r="N477" s="55" t="str">
        <f>IF(A477="","",IFERROR(INDEX('Cluster Map'!$A$4:$A$38,MATCH(M477,'Cluster Map'!$B$4:$B$38,0)),"Unmapped"))</f>
        <v>Cluster 4</v>
      </c>
      <c r="O477" s="55">
        <f>IF(A477="",0,IF(COUNTIFS($A$2:A477,A477,$F$2:F477,F477,$L$2:L477,L477)=1,1,0))</f>
        <v>1</v>
      </c>
      <c r="P477" s="55">
        <f>IF(A477="",0,IF(AND(F477="C&amp;T",COUNTIFS($A$2:A477,A477,$F$2:F477,"C&amp;T")=1),1,0))</f>
        <v>0</v>
      </c>
    </row>
    <row r="478" spans="1:16" x14ac:dyDescent="0.35">
      <c r="A478" s="54">
        <f>IFERROR(IF(INDEX(SPOT_Import!$A$1:$Z$2488,478,'Live Data'!$C$12)="","",INDEX(SPOT_Import!$A$1:$Z$2488,478,'Live Data'!$C$12)),"")</f>
        <v>10911</v>
      </c>
      <c r="B478" s="54" t="str">
        <f>IFERROR(IF(INDEX(SPOT_Import!$A$1:$Z$2488,478,'Live Data'!$C$13)="","",INDEX(SPOT_Import!$A$1:$Z$2488,478,'Live Data'!$C$13)),"")</f>
        <v>Olborosat Dispensary</v>
      </c>
      <c r="C478" s="54" t="str">
        <f>IFERROR(IF(INDEX(SPOT_Import!$A$1:$Z$2488,478,'Live Data'!$C$14)="","",INDEX(SPOT_Import!$A$1:$Z$2488,478,'Live Data'!$C$14)),"")</f>
        <v>NYANDARUA</v>
      </c>
      <c r="D478" s="54" t="str">
        <f>IFERROR(IF(INDEX(SPOT_Import!$A$1:$Z$2488,478,'Live Data'!$C$15)="","",INDEX(SPOT_Import!$A$1:$Z$2488,478,'Live Data'!$C$15)),"")</f>
        <v>Oljororok</v>
      </c>
      <c r="E478" s="54" t="str">
        <f>IFERROR(IF(INDEX(SPOT_Import!$A$1:$Z$2488,478,'Live Data'!$C$16)="","",INDEX(SPOT_Import!$A$1:$Z$2488,478,'Live Data'!$C$16)),"")</f>
        <v>USAID Jamii Tekelezi</v>
      </c>
      <c r="F478" s="54" t="str">
        <f>IFERROR(IF(INDEX(SPOT_Import!$A$1:$Z$2488,478,'Live Data'!$C$17)="","",INDEX(SPOT_Import!$A$1:$Z$2488,478,'Live Data'!$C$17)),"")</f>
        <v>MNCH</v>
      </c>
      <c r="G478" s="54">
        <f>IFERROR(IF(INDEX(SPOT_Import!$A$1:$Z$2488,478,'Live Data'!$C$18)="","",INDEX(SPOT_Import!$A$1:$Z$2488,478,'Live Data'!$C$18)),"")</f>
        <v>7</v>
      </c>
      <c r="H478" s="54">
        <f>IFERROR(IF(INDEX(SPOT_Import!$A$1:$Z$2488,478,'Live Data'!$C$19)="","",INDEX(SPOT_Import!$A$1:$Z$2488,478,'Live Data'!$C$19)),"")</f>
        <v>7</v>
      </c>
      <c r="I478" s="54" t="str">
        <f>IFERROR(IF(INDEX(SPOT_Import!$A$1:$Z$2488,478,'Live Data'!$C$20)="","",INDEX(SPOT_Import!$A$1:$Z$2488,478,'Live Data'!$C$20)),"")</f>
        <v>Complete</v>
      </c>
      <c r="J478" s="54" t="str">
        <f>IFERROR(IF(INDEX(SPOT_Import!$A$1:$Z$2488,478,'Live Data'!$C$21)="","",INDEX(SPOT_Import!$A$1:$Z$2488,478,'Live Data'!$C$21)),"")</f>
        <v>2026-10-01T12:36:05.000Z</v>
      </c>
      <c r="K478" s="54" t="str">
        <f>IFERROR(IF(INDEX(SPOT_Import!$A$1:$Z$2488,478,'Live Data'!$C$22)="","",INDEX(SPOT_Import!$A$1:$Z$2488,478,'Live Data'!$C$22)),"")</f>
        <v>2026-10-01T12:36:05.000Z</v>
      </c>
      <c r="L478" s="55" t="str">
        <f t="shared" si="14"/>
        <v>2026-10</v>
      </c>
      <c r="M478" s="55" t="str">
        <f t="shared" si="15"/>
        <v>NYANDARUA</v>
      </c>
      <c r="N478" s="55" t="str">
        <f>IF(A478="","",IFERROR(INDEX('Cluster Map'!$A$4:$A$38,MATCH(M478,'Cluster Map'!$B$4:$B$38,0)),"Unmapped"))</f>
        <v>Cluster 4</v>
      </c>
      <c r="O478" s="55">
        <f>IF(A478="",0,IF(COUNTIFS($A$2:A478,A478,$F$2:F478,F478,$L$2:L478,L478)=1,1,0))</f>
        <v>1</v>
      </c>
      <c r="P478" s="55">
        <f>IF(A478="",0,IF(AND(F478="C&amp;T",COUNTIFS($A$2:A478,A478,$F$2:F478,"C&amp;T")=1),1,0))</f>
        <v>0</v>
      </c>
    </row>
    <row r="479" spans="1:16" x14ac:dyDescent="0.35">
      <c r="A479" s="54">
        <f>IFERROR(IF(INDEX(SPOT_Import!$A$1:$Z$2488,479,'Live Data'!$C$12)="","",INDEX(SPOT_Import!$A$1:$Z$2488,479,'Live Data'!$C$12)),"")</f>
        <v>10911</v>
      </c>
      <c r="B479" s="54" t="str">
        <f>IFERROR(IF(INDEX(SPOT_Import!$A$1:$Z$2488,479,'Live Data'!$C$13)="","",INDEX(SPOT_Import!$A$1:$Z$2488,479,'Live Data'!$C$13)),"")</f>
        <v>Olborosat Dispensary</v>
      </c>
      <c r="C479" s="54" t="str">
        <f>IFERROR(IF(INDEX(SPOT_Import!$A$1:$Z$2488,479,'Live Data'!$C$14)="","",INDEX(SPOT_Import!$A$1:$Z$2488,479,'Live Data'!$C$14)),"")</f>
        <v>NYANDARUA</v>
      </c>
      <c r="D479" s="54" t="str">
        <f>IFERROR(IF(INDEX(SPOT_Import!$A$1:$Z$2488,479,'Live Data'!$C$15)="","",INDEX(SPOT_Import!$A$1:$Z$2488,479,'Live Data'!$C$15)),"")</f>
        <v>Oljororok</v>
      </c>
      <c r="E479" s="54" t="str">
        <f>IFERROR(IF(INDEX(SPOT_Import!$A$1:$Z$2488,479,'Live Data'!$C$16)="","",INDEX(SPOT_Import!$A$1:$Z$2488,479,'Live Data'!$C$16)),"")</f>
        <v>USAID Jamii Tekelezi</v>
      </c>
      <c r="F479" s="54" t="str">
        <f>IFERROR(IF(INDEX(SPOT_Import!$A$1:$Z$2488,479,'Live Data'!$C$17)="","",INDEX(SPOT_Import!$A$1:$Z$2488,479,'Live Data'!$C$17)),"")</f>
        <v>PREP</v>
      </c>
      <c r="G479" s="54">
        <f>IFERROR(IF(INDEX(SPOT_Import!$A$1:$Z$2488,479,'Live Data'!$C$18)="","",INDEX(SPOT_Import!$A$1:$Z$2488,479,'Live Data'!$C$18)),"")</f>
        <v>27</v>
      </c>
      <c r="H479" s="54">
        <f>IFERROR(IF(INDEX(SPOT_Import!$A$1:$Z$2488,479,'Live Data'!$C$19)="","",INDEX(SPOT_Import!$A$1:$Z$2488,479,'Live Data'!$C$19)),"")</f>
        <v>27</v>
      </c>
      <c r="I479" s="54" t="str">
        <f>IFERROR(IF(INDEX(SPOT_Import!$A$1:$Z$2488,479,'Live Data'!$C$20)="","",INDEX(SPOT_Import!$A$1:$Z$2488,479,'Live Data'!$C$20)),"")</f>
        <v>Complete</v>
      </c>
      <c r="J479" s="54" t="str">
        <f>IFERROR(IF(INDEX(SPOT_Import!$A$1:$Z$2488,479,'Live Data'!$C$21)="","",INDEX(SPOT_Import!$A$1:$Z$2488,479,'Live Data'!$C$21)),"")</f>
        <v>2026-10-01T12:35:59.000Z</v>
      </c>
      <c r="K479" s="54" t="str">
        <f>IFERROR(IF(INDEX(SPOT_Import!$A$1:$Z$2488,479,'Live Data'!$C$22)="","",INDEX(SPOT_Import!$A$1:$Z$2488,479,'Live Data'!$C$22)),"")</f>
        <v>2026-10-01T12:35:59.000Z</v>
      </c>
      <c r="L479" s="55" t="str">
        <f t="shared" si="14"/>
        <v>2026-10</v>
      </c>
      <c r="M479" s="55" t="str">
        <f t="shared" si="15"/>
        <v>NYANDARUA</v>
      </c>
      <c r="N479" s="55" t="str">
        <f>IF(A479="","",IFERROR(INDEX('Cluster Map'!$A$4:$A$38,MATCH(M479,'Cluster Map'!$B$4:$B$38,0)),"Unmapped"))</f>
        <v>Cluster 4</v>
      </c>
      <c r="O479" s="55">
        <f>IF(A479="",0,IF(COUNTIFS($A$2:A479,A479,$F$2:F479,F479,$L$2:L479,L479)=1,1,0))</f>
        <v>1</v>
      </c>
      <c r="P479" s="55">
        <f>IF(A479="",0,IF(AND(F479="C&amp;T",COUNTIFS($A$2:A479,A479,$F$2:F479,"C&amp;T")=1),1,0))</f>
        <v>0</v>
      </c>
    </row>
    <row r="480" spans="1:16" x14ac:dyDescent="0.35">
      <c r="A480" s="54">
        <f>IFERROR(IF(INDEX(SPOT_Import!$A$1:$Z$2488,480,'Live Data'!$C$12)="","",INDEX(SPOT_Import!$A$1:$Z$2488,480,'Live Data'!$C$12)),"")</f>
        <v>12164</v>
      </c>
      <c r="B480" s="54" t="str">
        <f>IFERROR(IF(INDEX(SPOT_Import!$A$1:$Z$2488,480,'Live Data'!$C$13)="","",INDEX(SPOT_Import!$A$1:$Z$2488,480,'Live Data'!$C$13)),"")</f>
        <v>Kamumu Dispensary</v>
      </c>
      <c r="C480" s="54" t="str">
        <f>IFERROR(IF(INDEX(SPOT_Import!$A$1:$Z$2488,480,'Live Data'!$C$14)="","",INDEX(SPOT_Import!$A$1:$Z$2488,480,'Live Data'!$C$14)),"")</f>
        <v>EMBU</v>
      </c>
      <c r="D480" s="54" t="str">
        <f>IFERROR(IF(INDEX(SPOT_Import!$A$1:$Z$2488,480,'Live Data'!$C$15)="","",INDEX(SPOT_Import!$A$1:$Z$2488,480,'Live Data'!$C$15)),"")</f>
        <v>Mbeere North</v>
      </c>
      <c r="E480" s="54" t="str">
        <f>IFERROR(IF(INDEX(SPOT_Import!$A$1:$Z$2488,480,'Live Data'!$C$16)="","",INDEX(SPOT_Import!$A$1:$Z$2488,480,'Live Data'!$C$16)),"")</f>
        <v>USAID Jamii Tekelezi</v>
      </c>
      <c r="F480" s="54" t="str">
        <f>IFERROR(IF(INDEX(SPOT_Import!$A$1:$Z$2488,480,'Live Data'!$C$17)="","",INDEX(SPOT_Import!$A$1:$Z$2488,480,'Live Data'!$C$17)),"")</f>
        <v>C&amp;T</v>
      </c>
      <c r="G480" s="54">
        <f>IFERROR(IF(INDEX(SPOT_Import!$A$1:$Z$2488,480,'Live Data'!$C$18)="","",INDEX(SPOT_Import!$A$1:$Z$2488,480,'Live Data'!$C$18)),"")</f>
        <v>61</v>
      </c>
      <c r="H480" s="54">
        <f>IFERROR(IF(INDEX(SPOT_Import!$A$1:$Z$2488,480,'Live Data'!$C$19)="","",INDEX(SPOT_Import!$A$1:$Z$2488,480,'Live Data'!$C$19)),"")</f>
        <v>61</v>
      </c>
      <c r="I480" s="54" t="str">
        <f>IFERROR(IF(INDEX(SPOT_Import!$A$1:$Z$2488,480,'Live Data'!$C$20)="","",INDEX(SPOT_Import!$A$1:$Z$2488,480,'Live Data'!$C$20)),"")</f>
        <v>Complete</v>
      </c>
      <c r="J480" s="54" t="str">
        <f>IFERROR(IF(INDEX(SPOT_Import!$A$1:$Z$2488,480,'Live Data'!$C$21)="","",INDEX(SPOT_Import!$A$1:$Z$2488,480,'Live Data'!$C$21)),"")</f>
        <v>2026-10-01T12:23:16.000Z</v>
      </c>
      <c r="K480" s="54" t="str">
        <f>IFERROR(IF(INDEX(SPOT_Import!$A$1:$Z$2488,480,'Live Data'!$C$22)="","",INDEX(SPOT_Import!$A$1:$Z$2488,480,'Live Data'!$C$22)),"")</f>
        <v>2026-10-01T12:23:16.000Z</v>
      </c>
      <c r="L480" s="55" t="str">
        <f t="shared" si="14"/>
        <v>2026-10</v>
      </c>
      <c r="M480" s="55" t="str">
        <f t="shared" si="15"/>
        <v>EMBU</v>
      </c>
      <c r="N480" s="55" t="str">
        <f>IF(A480="","",IFERROR(INDEX('Cluster Map'!$A$4:$A$38,MATCH(M480,'Cluster Map'!$B$4:$B$38,0)),"Unmapped"))</f>
        <v>Cluster 2</v>
      </c>
      <c r="O480" s="55">
        <f>IF(A480="",0,IF(COUNTIFS($A$2:A480,A480,$F$2:F480,F480,$L$2:L480,L480)=1,1,0))</f>
        <v>1</v>
      </c>
      <c r="P480" s="55">
        <f>IF(A480="",0,IF(AND(F480="C&amp;T",COUNTIFS($A$2:A480,A480,$F$2:F480,"C&amp;T")=1),1,0))</f>
        <v>1</v>
      </c>
    </row>
    <row r="481" spans="1:16" x14ac:dyDescent="0.35">
      <c r="A481" s="54">
        <f>IFERROR(IF(INDEX(SPOT_Import!$A$1:$Z$2488,481,'Live Data'!$C$12)="","",INDEX(SPOT_Import!$A$1:$Z$2488,481,'Live Data'!$C$12)),"")</f>
        <v>12598</v>
      </c>
      <c r="B481" s="54" t="str">
        <f>IFERROR(IF(INDEX(SPOT_Import!$A$1:$Z$2488,481,'Live Data'!$C$13)="","",INDEX(SPOT_Import!$A$1:$Z$2488,481,'Live Data'!$C$13)),"")</f>
        <v>Mutionjuri Health Centre</v>
      </c>
      <c r="C481" s="54" t="str">
        <f>IFERROR(IF(INDEX(SPOT_Import!$A$1:$Z$2488,481,'Live Data'!$C$14)="","",INDEX(SPOT_Import!$A$1:$Z$2488,481,'Live Data'!$C$14)),"")</f>
        <v>MERU</v>
      </c>
      <c r="D481" s="54" t="str">
        <f>IFERROR(IF(INDEX(SPOT_Import!$A$1:$Z$2488,481,'Live Data'!$C$15)="","",INDEX(SPOT_Import!$A$1:$Z$2488,481,'Live Data'!$C$15)),"")</f>
        <v>Tigania West</v>
      </c>
      <c r="E481" s="54" t="str">
        <f>IFERROR(IF(INDEX(SPOT_Import!$A$1:$Z$2488,481,'Live Data'!$C$16)="","",INDEX(SPOT_Import!$A$1:$Z$2488,481,'Live Data'!$C$16)),"")</f>
        <v>USAID Jamii Tekelezi</v>
      </c>
      <c r="F481" s="54" t="str">
        <f>IFERROR(IF(INDEX(SPOT_Import!$A$1:$Z$2488,481,'Live Data'!$C$17)="","",INDEX(SPOT_Import!$A$1:$Z$2488,481,'Live Data'!$C$17)),"")</f>
        <v>C&amp;T</v>
      </c>
      <c r="G481" s="54">
        <f>IFERROR(IF(INDEX(SPOT_Import!$A$1:$Z$2488,481,'Live Data'!$C$18)="","",INDEX(SPOT_Import!$A$1:$Z$2488,481,'Live Data'!$C$18)),"")</f>
        <v>28</v>
      </c>
      <c r="H481" s="54">
        <f>IFERROR(IF(INDEX(SPOT_Import!$A$1:$Z$2488,481,'Live Data'!$C$19)="","",INDEX(SPOT_Import!$A$1:$Z$2488,481,'Live Data'!$C$19)),"")</f>
        <v>28</v>
      </c>
      <c r="I481" s="54" t="str">
        <f>IFERROR(IF(INDEX(SPOT_Import!$A$1:$Z$2488,481,'Live Data'!$C$20)="","",INDEX(SPOT_Import!$A$1:$Z$2488,481,'Live Data'!$C$20)),"")</f>
        <v>Complete</v>
      </c>
      <c r="J481" s="54" t="str">
        <f>IFERROR(IF(INDEX(SPOT_Import!$A$1:$Z$2488,481,'Live Data'!$C$21)="","",INDEX(SPOT_Import!$A$1:$Z$2488,481,'Live Data'!$C$21)),"")</f>
        <v>2026-10-01T12:19:58.000Z</v>
      </c>
      <c r="K481" s="54" t="str">
        <f>IFERROR(IF(INDEX(SPOT_Import!$A$1:$Z$2488,481,'Live Data'!$C$22)="","",INDEX(SPOT_Import!$A$1:$Z$2488,481,'Live Data'!$C$22)),"")</f>
        <v>2026-10-01T12:19:58.000Z</v>
      </c>
      <c r="L481" s="55" t="str">
        <f t="shared" si="14"/>
        <v>2026-10</v>
      </c>
      <c r="M481" s="55" t="str">
        <f t="shared" si="15"/>
        <v>MERU</v>
      </c>
      <c r="N481" s="55" t="str">
        <f>IF(A481="","",IFERROR(INDEX('Cluster Map'!$A$4:$A$38,MATCH(M481,'Cluster Map'!$B$4:$B$38,0)),"Unmapped"))</f>
        <v>Cluster 1</v>
      </c>
      <c r="O481" s="55">
        <f>IF(A481="",0,IF(COUNTIFS($A$2:A481,A481,$F$2:F481,F481,$L$2:L481,L481)=1,1,0))</f>
        <v>1</v>
      </c>
      <c r="P481" s="55">
        <f>IF(A481="",0,IF(AND(F481="C&amp;T",COUNTIFS($A$2:A481,A481,$F$2:F481,"C&amp;T")=1),1,0))</f>
        <v>1</v>
      </c>
    </row>
    <row r="482" spans="1:16" x14ac:dyDescent="0.35">
      <c r="A482" s="54">
        <f>IFERROR(IF(INDEX(SPOT_Import!$A$1:$Z$2488,482,'Live Data'!$C$12)="","",INDEX(SPOT_Import!$A$1:$Z$2488,482,'Live Data'!$C$12)),"")</f>
        <v>16465</v>
      </c>
      <c r="B482" s="54" t="str">
        <f>IFERROR(IF(INDEX(SPOT_Import!$A$1:$Z$2488,482,'Live Data'!$C$13)="","",INDEX(SPOT_Import!$A$1:$Z$2488,482,'Live Data'!$C$13)),"")</f>
        <v>Kiambere Health Centre</v>
      </c>
      <c r="C482" s="54" t="str">
        <f>IFERROR(IF(INDEX(SPOT_Import!$A$1:$Z$2488,482,'Live Data'!$C$14)="","",INDEX(SPOT_Import!$A$1:$Z$2488,482,'Live Data'!$C$14)),"")</f>
        <v>EMBU</v>
      </c>
      <c r="D482" s="54" t="str">
        <f>IFERROR(IF(INDEX(SPOT_Import!$A$1:$Z$2488,482,'Live Data'!$C$15)="","",INDEX(SPOT_Import!$A$1:$Z$2488,482,'Live Data'!$C$15)),"")</f>
        <v>Mbeere South</v>
      </c>
      <c r="E482" s="54" t="str">
        <f>IFERROR(IF(INDEX(SPOT_Import!$A$1:$Z$2488,482,'Live Data'!$C$16)="","",INDEX(SPOT_Import!$A$1:$Z$2488,482,'Live Data'!$C$16)),"")</f>
        <v>USAID Jamii Tekelezi</v>
      </c>
      <c r="F482" s="54" t="str">
        <f>IFERROR(IF(INDEX(SPOT_Import!$A$1:$Z$2488,482,'Live Data'!$C$17)="","",INDEX(SPOT_Import!$A$1:$Z$2488,482,'Live Data'!$C$17)),"")</f>
        <v>C&amp;T</v>
      </c>
      <c r="G482" s="54">
        <f>IFERROR(IF(INDEX(SPOT_Import!$A$1:$Z$2488,482,'Live Data'!$C$18)="","",INDEX(SPOT_Import!$A$1:$Z$2488,482,'Live Data'!$C$18)),"")</f>
        <v>103</v>
      </c>
      <c r="H482" s="54">
        <f>IFERROR(IF(INDEX(SPOT_Import!$A$1:$Z$2488,482,'Live Data'!$C$19)="","",INDEX(SPOT_Import!$A$1:$Z$2488,482,'Live Data'!$C$19)),"")</f>
        <v>103</v>
      </c>
      <c r="I482" s="54" t="str">
        <f>IFERROR(IF(INDEX(SPOT_Import!$A$1:$Z$2488,482,'Live Data'!$C$20)="","",INDEX(SPOT_Import!$A$1:$Z$2488,482,'Live Data'!$C$20)),"")</f>
        <v>Complete</v>
      </c>
      <c r="J482" s="54" t="str">
        <f>IFERROR(IF(INDEX(SPOT_Import!$A$1:$Z$2488,482,'Live Data'!$C$21)="","",INDEX(SPOT_Import!$A$1:$Z$2488,482,'Live Data'!$C$21)),"")</f>
        <v>2026-10-01T12:17:49.000Z</v>
      </c>
      <c r="K482" s="54" t="str">
        <f>IFERROR(IF(INDEX(SPOT_Import!$A$1:$Z$2488,482,'Live Data'!$C$22)="","",INDEX(SPOT_Import!$A$1:$Z$2488,482,'Live Data'!$C$22)),"")</f>
        <v>2026-10-01T12:17:49.000Z</v>
      </c>
      <c r="L482" s="55" t="str">
        <f t="shared" si="14"/>
        <v>2026-10</v>
      </c>
      <c r="M482" s="55" t="str">
        <f t="shared" si="15"/>
        <v>EMBU</v>
      </c>
      <c r="N482" s="55" t="str">
        <f>IF(A482="","",IFERROR(INDEX('Cluster Map'!$A$4:$A$38,MATCH(M482,'Cluster Map'!$B$4:$B$38,0)),"Unmapped"))</f>
        <v>Cluster 2</v>
      </c>
      <c r="O482" s="55">
        <f>IF(A482="",0,IF(COUNTIFS($A$2:A482,A482,$F$2:F482,F482,$L$2:L482,L482)=1,1,0))</f>
        <v>1</v>
      </c>
      <c r="P482" s="55">
        <f>IF(A482="",0,IF(AND(F482="C&amp;T",COUNTIFS($A$2:A482,A482,$F$2:F482,"C&amp;T")=1),1,0))</f>
        <v>1</v>
      </c>
    </row>
    <row r="483" spans="1:16" x14ac:dyDescent="0.35">
      <c r="A483" s="54">
        <f>IFERROR(IF(INDEX(SPOT_Import!$A$1:$Z$2488,483,'Live Data'!$C$12)="","",INDEX(SPOT_Import!$A$1:$Z$2488,483,'Live Data'!$C$12)),"")</f>
        <v>10911</v>
      </c>
      <c r="B483" s="54" t="str">
        <f>IFERROR(IF(INDEX(SPOT_Import!$A$1:$Z$2488,483,'Live Data'!$C$13)="","",INDEX(SPOT_Import!$A$1:$Z$2488,483,'Live Data'!$C$13)),"")</f>
        <v>Olborosat Dispensary</v>
      </c>
      <c r="C483" s="54" t="str">
        <f>IFERROR(IF(INDEX(SPOT_Import!$A$1:$Z$2488,483,'Live Data'!$C$14)="","",INDEX(SPOT_Import!$A$1:$Z$2488,483,'Live Data'!$C$14)),"")</f>
        <v>NYANDARUA</v>
      </c>
      <c r="D483" s="54" t="str">
        <f>IFERROR(IF(INDEX(SPOT_Import!$A$1:$Z$2488,483,'Live Data'!$C$15)="","",INDEX(SPOT_Import!$A$1:$Z$2488,483,'Live Data'!$C$15)),"")</f>
        <v>Oljororok</v>
      </c>
      <c r="E483" s="54" t="str">
        <f>IFERROR(IF(INDEX(SPOT_Import!$A$1:$Z$2488,483,'Live Data'!$C$16)="","",INDEX(SPOT_Import!$A$1:$Z$2488,483,'Live Data'!$C$16)),"")</f>
        <v>USAID Jamii Tekelezi</v>
      </c>
      <c r="F483" s="54" t="str">
        <f>IFERROR(IF(INDEX(SPOT_Import!$A$1:$Z$2488,483,'Live Data'!$C$17)="","",INDEX(SPOT_Import!$A$1:$Z$2488,483,'Live Data'!$C$17)),"")</f>
        <v>C&amp;T</v>
      </c>
      <c r="G483" s="54">
        <f>IFERROR(IF(INDEX(SPOT_Import!$A$1:$Z$2488,483,'Live Data'!$C$18)="","",INDEX(SPOT_Import!$A$1:$Z$2488,483,'Live Data'!$C$18)),"")</f>
        <v>125</v>
      </c>
      <c r="H483" s="54">
        <f>IFERROR(IF(INDEX(SPOT_Import!$A$1:$Z$2488,483,'Live Data'!$C$19)="","",INDEX(SPOT_Import!$A$1:$Z$2488,483,'Live Data'!$C$19)),"")</f>
        <v>125</v>
      </c>
      <c r="I483" s="54" t="str">
        <f>IFERROR(IF(INDEX(SPOT_Import!$A$1:$Z$2488,483,'Live Data'!$C$20)="","",INDEX(SPOT_Import!$A$1:$Z$2488,483,'Live Data'!$C$20)),"")</f>
        <v>Complete</v>
      </c>
      <c r="J483" s="54" t="str">
        <f>IFERROR(IF(INDEX(SPOT_Import!$A$1:$Z$2488,483,'Live Data'!$C$21)="","",INDEX(SPOT_Import!$A$1:$Z$2488,483,'Live Data'!$C$21)),"")</f>
        <v>2026-10-01T12:16:26.000Z</v>
      </c>
      <c r="K483" s="54" t="str">
        <f>IFERROR(IF(INDEX(SPOT_Import!$A$1:$Z$2488,483,'Live Data'!$C$22)="","",INDEX(SPOT_Import!$A$1:$Z$2488,483,'Live Data'!$C$22)),"")</f>
        <v>2026-10-01T12:16:26.000Z</v>
      </c>
      <c r="L483" s="55" t="str">
        <f t="shared" si="14"/>
        <v>2026-10</v>
      </c>
      <c r="M483" s="55" t="str">
        <f t="shared" si="15"/>
        <v>NYANDARUA</v>
      </c>
      <c r="N483" s="55" t="str">
        <f>IF(A483="","",IFERROR(INDEX('Cluster Map'!$A$4:$A$38,MATCH(M483,'Cluster Map'!$B$4:$B$38,0)),"Unmapped"))</f>
        <v>Cluster 4</v>
      </c>
      <c r="O483" s="55">
        <f>IF(A483="",0,IF(COUNTIFS($A$2:A483,A483,$F$2:F483,F483,$L$2:L483,L483)=1,1,0))</f>
        <v>1</v>
      </c>
      <c r="P483" s="55">
        <f>IF(A483="",0,IF(AND(F483="C&amp;T",COUNTIFS($A$2:A483,A483,$F$2:F483,"C&amp;T")=1),1,0))</f>
        <v>1</v>
      </c>
    </row>
    <row r="484" spans="1:16" x14ac:dyDescent="0.35">
      <c r="A484" s="54">
        <f>IFERROR(IF(INDEX(SPOT_Import!$A$1:$Z$2488,484,'Live Data'!$C$12)="","",INDEX(SPOT_Import!$A$1:$Z$2488,484,'Live Data'!$C$12)),"")</f>
        <v>10419</v>
      </c>
      <c r="B484" s="54" t="str">
        <f>IFERROR(IF(INDEX(SPOT_Import!$A$1:$Z$2488,484,'Live Data'!$C$13)="","",INDEX(SPOT_Import!$A$1:$Z$2488,484,'Live Data'!$C$13)),"")</f>
        <v>Kahembe Health Centre</v>
      </c>
      <c r="C484" s="54" t="str">
        <f>IFERROR(IF(INDEX(SPOT_Import!$A$1:$Z$2488,484,'Live Data'!$C$14)="","",INDEX(SPOT_Import!$A$1:$Z$2488,484,'Live Data'!$C$14)),"")</f>
        <v>NYANDARUA</v>
      </c>
      <c r="D484" s="54" t="str">
        <f>IFERROR(IF(INDEX(SPOT_Import!$A$1:$Z$2488,484,'Live Data'!$C$15)="","",INDEX(SPOT_Import!$A$1:$Z$2488,484,'Live Data'!$C$15)),"")</f>
        <v>Ndaragwa</v>
      </c>
      <c r="E484" s="54" t="str">
        <f>IFERROR(IF(INDEX(SPOT_Import!$A$1:$Z$2488,484,'Live Data'!$C$16)="","",INDEX(SPOT_Import!$A$1:$Z$2488,484,'Live Data'!$C$16)),"")</f>
        <v>USAID Jamii Tekelezi</v>
      </c>
      <c r="F484" s="54" t="str">
        <f>IFERROR(IF(INDEX(SPOT_Import!$A$1:$Z$2488,484,'Live Data'!$C$17)="","",INDEX(SPOT_Import!$A$1:$Z$2488,484,'Live Data'!$C$17)),"")</f>
        <v>C&amp;T</v>
      </c>
      <c r="G484" s="54">
        <f>IFERROR(IF(INDEX(SPOT_Import!$A$1:$Z$2488,484,'Live Data'!$C$18)="","",INDEX(SPOT_Import!$A$1:$Z$2488,484,'Live Data'!$C$18)),"")</f>
        <v>833</v>
      </c>
      <c r="H484" s="54">
        <f>IFERROR(IF(INDEX(SPOT_Import!$A$1:$Z$2488,484,'Live Data'!$C$19)="","",INDEX(SPOT_Import!$A$1:$Z$2488,484,'Live Data'!$C$19)),"")</f>
        <v>833</v>
      </c>
      <c r="I484" s="54" t="str">
        <f>IFERROR(IF(INDEX(SPOT_Import!$A$1:$Z$2488,484,'Live Data'!$C$20)="","",INDEX(SPOT_Import!$A$1:$Z$2488,484,'Live Data'!$C$20)),"")</f>
        <v>Complete</v>
      </c>
      <c r="J484" s="54" t="str">
        <f>IFERROR(IF(INDEX(SPOT_Import!$A$1:$Z$2488,484,'Live Data'!$C$21)="","",INDEX(SPOT_Import!$A$1:$Z$2488,484,'Live Data'!$C$21)),"")</f>
        <v>2026-10-01T11:59:42.000Z</v>
      </c>
      <c r="K484" s="54" t="str">
        <f>IFERROR(IF(INDEX(SPOT_Import!$A$1:$Z$2488,484,'Live Data'!$C$22)="","",INDEX(SPOT_Import!$A$1:$Z$2488,484,'Live Data'!$C$22)),"")</f>
        <v>2026-10-01T11:59:42.000Z</v>
      </c>
      <c r="L484" s="55" t="str">
        <f t="shared" si="14"/>
        <v>2026-10</v>
      </c>
      <c r="M484" s="55" t="str">
        <f t="shared" si="15"/>
        <v>NYANDARUA</v>
      </c>
      <c r="N484" s="55" t="str">
        <f>IF(A484="","",IFERROR(INDEX('Cluster Map'!$A$4:$A$38,MATCH(M484,'Cluster Map'!$B$4:$B$38,0)),"Unmapped"))</f>
        <v>Cluster 4</v>
      </c>
      <c r="O484" s="55">
        <f>IF(A484="",0,IF(COUNTIFS($A$2:A484,A484,$F$2:F484,F484,$L$2:L484,L484)=1,1,0))</f>
        <v>1</v>
      </c>
      <c r="P484" s="55">
        <f>IF(A484="",0,IF(AND(F484="C&amp;T",COUNTIFS($A$2:A484,A484,$F$2:F484,"C&amp;T")=1),1,0))</f>
        <v>1</v>
      </c>
    </row>
    <row r="485" spans="1:16" x14ac:dyDescent="0.35">
      <c r="A485" s="54">
        <f>IFERROR(IF(INDEX(SPOT_Import!$A$1:$Z$2488,485,'Live Data'!$C$12)="","",INDEX(SPOT_Import!$A$1:$Z$2488,485,'Live Data'!$C$12)),"")</f>
        <v>10043</v>
      </c>
      <c r="B485" s="54" t="str">
        <f>IFERROR(IF(INDEX(SPOT_Import!$A$1:$Z$2488,485,'Live Data'!$C$13)="","",INDEX(SPOT_Import!$A$1:$Z$2488,485,'Live Data'!$C$13)),"")</f>
        <v>Baari Health Centre</v>
      </c>
      <c r="C485" s="54" t="str">
        <f>IFERROR(IF(INDEX(SPOT_Import!$A$1:$Z$2488,485,'Live Data'!$C$14)="","",INDEX(SPOT_Import!$A$1:$Z$2488,485,'Live Data'!$C$14)),"")</f>
        <v>NYANDARUA</v>
      </c>
      <c r="D485" s="54" t="str">
        <f>IFERROR(IF(INDEX(SPOT_Import!$A$1:$Z$2488,485,'Live Data'!$C$15)="","",INDEX(SPOT_Import!$A$1:$Z$2488,485,'Live Data'!$C$15)),"")</f>
        <v>Ndaragwa</v>
      </c>
      <c r="E485" s="54" t="str">
        <f>IFERROR(IF(INDEX(SPOT_Import!$A$1:$Z$2488,485,'Live Data'!$C$16)="","",INDEX(SPOT_Import!$A$1:$Z$2488,485,'Live Data'!$C$16)),"")</f>
        <v>USAID Jamii Tekelezi</v>
      </c>
      <c r="F485" s="54" t="str">
        <f>IFERROR(IF(INDEX(SPOT_Import!$A$1:$Z$2488,485,'Live Data'!$C$17)="","",INDEX(SPOT_Import!$A$1:$Z$2488,485,'Live Data'!$C$17)),"")</f>
        <v>C&amp;T</v>
      </c>
      <c r="G485" s="54">
        <f>IFERROR(IF(INDEX(SPOT_Import!$A$1:$Z$2488,485,'Live Data'!$C$18)="","",INDEX(SPOT_Import!$A$1:$Z$2488,485,'Live Data'!$C$18)),"")</f>
        <v>397</v>
      </c>
      <c r="H485" s="54">
        <f>IFERROR(IF(INDEX(SPOT_Import!$A$1:$Z$2488,485,'Live Data'!$C$19)="","",INDEX(SPOT_Import!$A$1:$Z$2488,485,'Live Data'!$C$19)),"")</f>
        <v>397</v>
      </c>
      <c r="I485" s="54" t="str">
        <f>IFERROR(IF(INDEX(SPOT_Import!$A$1:$Z$2488,485,'Live Data'!$C$20)="","",INDEX(SPOT_Import!$A$1:$Z$2488,485,'Live Data'!$C$20)),"")</f>
        <v>Complete</v>
      </c>
      <c r="J485" s="54" t="str">
        <f>IFERROR(IF(INDEX(SPOT_Import!$A$1:$Z$2488,485,'Live Data'!$C$21)="","",INDEX(SPOT_Import!$A$1:$Z$2488,485,'Live Data'!$C$21)),"")</f>
        <v>2026-10-01T11:57:21.000Z</v>
      </c>
      <c r="K485" s="54" t="str">
        <f>IFERROR(IF(INDEX(SPOT_Import!$A$1:$Z$2488,485,'Live Data'!$C$22)="","",INDEX(SPOT_Import!$A$1:$Z$2488,485,'Live Data'!$C$22)),"")</f>
        <v>2026-10-01T11:57:21.000Z</v>
      </c>
      <c r="L485" s="55" t="str">
        <f t="shared" si="14"/>
        <v>2026-10</v>
      </c>
      <c r="M485" s="55" t="str">
        <f t="shared" si="15"/>
        <v>NYANDARUA</v>
      </c>
      <c r="N485" s="55" t="str">
        <f>IF(A485="","",IFERROR(INDEX('Cluster Map'!$A$4:$A$38,MATCH(M485,'Cluster Map'!$B$4:$B$38,0)),"Unmapped"))</f>
        <v>Cluster 4</v>
      </c>
      <c r="O485" s="55">
        <f>IF(A485="",0,IF(COUNTIFS($A$2:A485,A485,$F$2:F485,F485,$L$2:L485,L485)=1,1,0))</f>
        <v>1</v>
      </c>
      <c r="P485" s="55">
        <f>IF(A485="",0,IF(AND(F485="C&amp;T",COUNTIFS($A$2:A485,A485,$F$2:F485,"C&amp;T")=1),1,0))</f>
        <v>1</v>
      </c>
    </row>
    <row r="486" spans="1:16" x14ac:dyDescent="0.35">
      <c r="A486" s="54">
        <f>IFERROR(IF(INDEX(SPOT_Import!$A$1:$Z$2488,486,'Live Data'!$C$12)="","",INDEX(SPOT_Import!$A$1:$Z$2488,486,'Live Data'!$C$12)),"")</f>
        <v>17003</v>
      </c>
      <c r="B486" s="54" t="str">
        <f>IFERROR(IF(INDEX(SPOT_Import!$A$1:$Z$2488,486,'Live Data'!$C$13)="","",INDEX(SPOT_Import!$A$1:$Z$2488,486,'Live Data'!$C$13)),"")</f>
        <v>Kiraone Dispensary</v>
      </c>
      <c r="C486" s="54" t="str">
        <f>IFERROR(IF(INDEX(SPOT_Import!$A$1:$Z$2488,486,'Live Data'!$C$14)="","",INDEX(SPOT_Import!$A$1:$Z$2488,486,'Live Data'!$C$14)),"")</f>
        <v>MERU</v>
      </c>
      <c r="D486" s="54" t="str">
        <f>IFERROR(IF(INDEX(SPOT_Import!$A$1:$Z$2488,486,'Live Data'!$C$15)="","",INDEX(SPOT_Import!$A$1:$Z$2488,486,'Live Data'!$C$15)),"")</f>
        <v>Igembe South</v>
      </c>
      <c r="E486" s="54" t="str">
        <f>IFERROR(IF(INDEX(SPOT_Import!$A$1:$Z$2488,486,'Live Data'!$C$16)="","",INDEX(SPOT_Import!$A$1:$Z$2488,486,'Live Data'!$C$16)),"")</f>
        <v>USAID Jamii Tekelezi</v>
      </c>
      <c r="F486" s="54" t="str">
        <f>IFERROR(IF(INDEX(SPOT_Import!$A$1:$Z$2488,486,'Live Data'!$C$17)="","",INDEX(SPOT_Import!$A$1:$Z$2488,486,'Live Data'!$C$17)),"")</f>
        <v>MNCH</v>
      </c>
      <c r="G486" s="54">
        <f>IFERROR(IF(INDEX(SPOT_Import!$A$1:$Z$2488,486,'Live Data'!$C$18)="","",INDEX(SPOT_Import!$A$1:$Z$2488,486,'Live Data'!$C$18)),"")</f>
        <v>15</v>
      </c>
      <c r="H486" s="54">
        <f>IFERROR(IF(INDEX(SPOT_Import!$A$1:$Z$2488,486,'Live Data'!$C$19)="","",INDEX(SPOT_Import!$A$1:$Z$2488,486,'Live Data'!$C$19)),"")</f>
        <v>15</v>
      </c>
      <c r="I486" s="54" t="str">
        <f>IFERROR(IF(INDEX(SPOT_Import!$A$1:$Z$2488,486,'Live Data'!$C$20)="","",INDEX(SPOT_Import!$A$1:$Z$2488,486,'Live Data'!$C$20)),"")</f>
        <v>Complete</v>
      </c>
      <c r="J486" s="54" t="str">
        <f>IFERROR(IF(INDEX(SPOT_Import!$A$1:$Z$2488,486,'Live Data'!$C$21)="","",INDEX(SPOT_Import!$A$1:$Z$2488,486,'Live Data'!$C$21)),"")</f>
        <v>2026-10-01T11:06:59.000Z</v>
      </c>
      <c r="K486" s="54" t="str">
        <f>IFERROR(IF(INDEX(SPOT_Import!$A$1:$Z$2488,486,'Live Data'!$C$22)="","",INDEX(SPOT_Import!$A$1:$Z$2488,486,'Live Data'!$C$22)),"")</f>
        <v>2026-10-01T11:06:59.000Z</v>
      </c>
      <c r="L486" s="55" t="str">
        <f t="shared" si="14"/>
        <v>2026-10</v>
      </c>
      <c r="M486" s="55" t="str">
        <f t="shared" si="15"/>
        <v>MERU</v>
      </c>
      <c r="N486" s="55" t="str">
        <f>IF(A486="","",IFERROR(INDEX('Cluster Map'!$A$4:$A$38,MATCH(M486,'Cluster Map'!$B$4:$B$38,0)),"Unmapped"))</f>
        <v>Cluster 1</v>
      </c>
      <c r="O486" s="55">
        <f>IF(A486="",0,IF(COUNTIFS($A$2:A486,A486,$F$2:F486,F486,$L$2:L486,L486)=1,1,0))</f>
        <v>1</v>
      </c>
      <c r="P486" s="55">
        <f>IF(A486="",0,IF(AND(F486="C&amp;T",COUNTIFS($A$2:A486,A486,$F$2:F486,"C&amp;T")=1),1,0))</f>
        <v>0</v>
      </c>
    </row>
    <row r="487" spans="1:16" x14ac:dyDescent="0.35">
      <c r="A487" s="54">
        <f>IFERROR(IF(INDEX(SPOT_Import!$A$1:$Z$2488,487,'Live Data'!$C$12)="","",INDEX(SPOT_Import!$A$1:$Z$2488,487,'Live Data'!$C$12)),"")</f>
        <v>17003</v>
      </c>
      <c r="B487" s="54" t="str">
        <f>IFERROR(IF(INDEX(SPOT_Import!$A$1:$Z$2488,487,'Live Data'!$C$13)="","",INDEX(SPOT_Import!$A$1:$Z$2488,487,'Live Data'!$C$13)),"")</f>
        <v>Kiraone Dispensary</v>
      </c>
      <c r="C487" s="54" t="str">
        <f>IFERROR(IF(INDEX(SPOT_Import!$A$1:$Z$2488,487,'Live Data'!$C$14)="","",INDEX(SPOT_Import!$A$1:$Z$2488,487,'Live Data'!$C$14)),"")</f>
        <v>MERU</v>
      </c>
      <c r="D487" s="54" t="str">
        <f>IFERROR(IF(INDEX(SPOT_Import!$A$1:$Z$2488,487,'Live Data'!$C$15)="","",INDEX(SPOT_Import!$A$1:$Z$2488,487,'Live Data'!$C$15)),"")</f>
        <v>Igembe South</v>
      </c>
      <c r="E487" s="54" t="str">
        <f>IFERROR(IF(INDEX(SPOT_Import!$A$1:$Z$2488,487,'Live Data'!$C$16)="","",INDEX(SPOT_Import!$A$1:$Z$2488,487,'Live Data'!$C$16)),"")</f>
        <v>USAID Jamii Tekelezi</v>
      </c>
      <c r="F487" s="54" t="str">
        <f>IFERROR(IF(INDEX(SPOT_Import!$A$1:$Z$2488,487,'Live Data'!$C$17)="","",INDEX(SPOT_Import!$A$1:$Z$2488,487,'Live Data'!$C$17)),"")</f>
        <v>HTS</v>
      </c>
      <c r="G487" s="54">
        <f>IFERROR(IF(INDEX(SPOT_Import!$A$1:$Z$2488,487,'Live Data'!$C$18)="","",INDEX(SPOT_Import!$A$1:$Z$2488,487,'Live Data'!$C$18)),"")</f>
        <v>9</v>
      </c>
      <c r="H487" s="54">
        <f>IFERROR(IF(INDEX(SPOT_Import!$A$1:$Z$2488,487,'Live Data'!$C$19)="","",INDEX(SPOT_Import!$A$1:$Z$2488,487,'Live Data'!$C$19)),"")</f>
        <v>9</v>
      </c>
      <c r="I487" s="54" t="str">
        <f>IFERROR(IF(INDEX(SPOT_Import!$A$1:$Z$2488,487,'Live Data'!$C$20)="","",INDEX(SPOT_Import!$A$1:$Z$2488,487,'Live Data'!$C$20)),"")</f>
        <v>Complete</v>
      </c>
      <c r="J487" s="54" t="str">
        <f>IFERROR(IF(INDEX(SPOT_Import!$A$1:$Z$2488,487,'Live Data'!$C$21)="","",INDEX(SPOT_Import!$A$1:$Z$2488,487,'Live Data'!$C$21)),"")</f>
        <v>2026-10-01T11:06:31.000Z</v>
      </c>
      <c r="K487" s="54" t="str">
        <f>IFERROR(IF(INDEX(SPOT_Import!$A$1:$Z$2488,487,'Live Data'!$C$22)="","",INDEX(SPOT_Import!$A$1:$Z$2488,487,'Live Data'!$C$22)),"")</f>
        <v>2026-10-01T11:06:31.000Z</v>
      </c>
      <c r="L487" s="55" t="str">
        <f t="shared" si="14"/>
        <v>2026-10</v>
      </c>
      <c r="M487" s="55" t="str">
        <f t="shared" si="15"/>
        <v>MERU</v>
      </c>
      <c r="N487" s="55" t="str">
        <f>IF(A487="","",IFERROR(INDEX('Cluster Map'!$A$4:$A$38,MATCH(M487,'Cluster Map'!$B$4:$B$38,0)),"Unmapped"))</f>
        <v>Cluster 1</v>
      </c>
      <c r="O487" s="55">
        <f>IF(A487="",0,IF(COUNTIFS($A$2:A487,A487,$F$2:F487,F487,$L$2:L487,L487)=1,1,0))</f>
        <v>1</v>
      </c>
      <c r="P487" s="55">
        <f>IF(A487="",0,IF(AND(F487="C&amp;T",COUNTIFS($A$2:A487,A487,$F$2:F487,"C&amp;T")=1),1,0))</f>
        <v>0</v>
      </c>
    </row>
    <row r="488" spans="1:16" x14ac:dyDescent="0.35">
      <c r="A488" s="54">
        <f>IFERROR(IF(INDEX(SPOT_Import!$A$1:$Z$2488,488,'Live Data'!$C$12)="","",INDEX(SPOT_Import!$A$1:$Z$2488,488,'Live Data'!$C$12)),"")</f>
        <v>17003</v>
      </c>
      <c r="B488" s="54" t="str">
        <f>IFERROR(IF(INDEX(SPOT_Import!$A$1:$Z$2488,488,'Live Data'!$C$13)="","",INDEX(SPOT_Import!$A$1:$Z$2488,488,'Live Data'!$C$13)),"")</f>
        <v>Kiraone Dispensary</v>
      </c>
      <c r="C488" s="54" t="str">
        <f>IFERROR(IF(INDEX(SPOT_Import!$A$1:$Z$2488,488,'Live Data'!$C$14)="","",INDEX(SPOT_Import!$A$1:$Z$2488,488,'Live Data'!$C$14)),"")</f>
        <v>MERU</v>
      </c>
      <c r="D488" s="54" t="str">
        <f>IFERROR(IF(INDEX(SPOT_Import!$A$1:$Z$2488,488,'Live Data'!$C$15)="","",INDEX(SPOT_Import!$A$1:$Z$2488,488,'Live Data'!$C$15)),"")</f>
        <v>Igembe South</v>
      </c>
      <c r="E488" s="54" t="str">
        <f>IFERROR(IF(INDEX(SPOT_Import!$A$1:$Z$2488,488,'Live Data'!$C$16)="","",INDEX(SPOT_Import!$A$1:$Z$2488,488,'Live Data'!$C$16)),"")</f>
        <v>USAID Jamii Tekelezi</v>
      </c>
      <c r="F488" s="54" t="str">
        <f>IFERROR(IF(INDEX(SPOT_Import!$A$1:$Z$2488,488,'Live Data'!$C$17)="","",INDEX(SPOT_Import!$A$1:$Z$2488,488,'Live Data'!$C$17)),"")</f>
        <v>C&amp;T</v>
      </c>
      <c r="G488" s="54">
        <f>IFERROR(IF(INDEX(SPOT_Import!$A$1:$Z$2488,488,'Live Data'!$C$18)="","",INDEX(SPOT_Import!$A$1:$Z$2488,488,'Live Data'!$C$18)),"")</f>
        <v>136</v>
      </c>
      <c r="H488" s="54">
        <f>IFERROR(IF(INDEX(SPOT_Import!$A$1:$Z$2488,488,'Live Data'!$C$19)="","",INDEX(SPOT_Import!$A$1:$Z$2488,488,'Live Data'!$C$19)),"")</f>
        <v>136</v>
      </c>
      <c r="I488" s="54" t="str">
        <f>IFERROR(IF(INDEX(SPOT_Import!$A$1:$Z$2488,488,'Live Data'!$C$20)="","",INDEX(SPOT_Import!$A$1:$Z$2488,488,'Live Data'!$C$20)),"")</f>
        <v>Complete</v>
      </c>
      <c r="J488" s="54" t="str">
        <f>IFERROR(IF(INDEX(SPOT_Import!$A$1:$Z$2488,488,'Live Data'!$C$21)="","",INDEX(SPOT_Import!$A$1:$Z$2488,488,'Live Data'!$C$21)),"")</f>
        <v>2026-10-01T10:58:37.000Z</v>
      </c>
      <c r="K488" s="54" t="str">
        <f>IFERROR(IF(INDEX(SPOT_Import!$A$1:$Z$2488,488,'Live Data'!$C$22)="","",INDEX(SPOT_Import!$A$1:$Z$2488,488,'Live Data'!$C$22)),"")</f>
        <v>2026-10-01T10:58:37.000Z</v>
      </c>
      <c r="L488" s="55" t="str">
        <f t="shared" si="14"/>
        <v>2026-10</v>
      </c>
      <c r="M488" s="55" t="str">
        <f t="shared" si="15"/>
        <v>MERU</v>
      </c>
      <c r="N488" s="55" t="str">
        <f>IF(A488="","",IFERROR(INDEX('Cluster Map'!$A$4:$A$38,MATCH(M488,'Cluster Map'!$B$4:$B$38,0)),"Unmapped"))</f>
        <v>Cluster 1</v>
      </c>
      <c r="O488" s="55">
        <f>IF(A488="",0,IF(COUNTIFS($A$2:A488,A488,$F$2:F488,F488,$L$2:L488,L488)=1,1,0))</f>
        <v>1</v>
      </c>
      <c r="P488" s="55">
        <f>IF(A488="",0,IF(AND(F488="C&amp;T",COUNTIFS($A$2:A488,A488,$F$2:F488,"C&amp;T")=1),1,0))</f>
        <v>1</v>
      </c>
    </row>
    <row r="489" spans="1:16" x14ac:dyDescent="0.35">
      <c r="A489" s="54">
        <f>IFERROR(IF(INDEX(SPOT_Import!$A$1:$Z$2488,489,'Live Data'!$C$12)="","",INDEX(SPOT_Import!$A$1:$Z$2488,489,'Live Data'!$C$12)),"")</f>
        <v>12829</v>
      </c>
      <c r="B489" s="54" t="str">
        <f>IFERROR(IF(INDEX(SPOT_Import!$A$1:$Z$2488,489,'Live Data'!$C$13)="","",INDEX(SPOT_Import!$A$1:$Z$2488,489,'Live Data'!$C$13)),"")</f>
        <v>Uringu Health Centre</v>
      </c>
      <c r="C489" s="54" t="str">
        <f>IFERROR(IF(INDEX(SPOT_Import!$A$1:$Z$2488,489,'Live Data'!$C$14)="","",INDEX(SPOT_Import!$A$1:$Z$2488,489,'Live Data'!$C$14)),"")</f>
        <v>MERU</v>
      </c>
      <c r="D489" s="54" t="str">
        <f>IFERROR(IF(INDEX(SPOT_Import!$A$1:$Z$2488,489,'Live Data'!$C$15)="","",INDEX(SPOT_Import!$A$1:$Z$2488,489,'Live Data'!$C$15)),"")</f>
        <v>Tigania West</v>
      </c>
      <c r="E489" s="54" t="str">
        <f>IFERROR(IF(INDEX(SPOT_Import!$A$1:$Z$2488,489,'Live Data'!$C$16)="","",INDEX(SPOT_Import!$A$1:$Z$2488,489,'Live Data'!$C$16)),"")</f>
        <v>USAID Jamii Tekelezi</v>
      </c>
      <c r="F489" s="54" t="str">
        <f>IFERROR(IF(INDEX(SPOT_Import!$A$1:$Z$2488,489,'Live Data'!$C$17)="","",INDEX(SPOT_Import!$A$1:$Z$2488,489,'Live Data'!$C$17)),"")</f>
        <v>HTS</v>
      </c>
      <c r="G489" s="54">
        <f>IFERROR(IF(INDEX(SPOT_Import!$A$1:$Z$2488,489,'Live Data'!$C$18)="","",INDEX(SPOT_Import!$A$1:$Z$2488,489,'Live Data'!$C$18)),"")</f>
        <v>1</v>
      </c>
      <c r="H489" s="54">
        <f>IFERROR(IF(INDEX(SPOT_Import!$A$1:$Z$2488,489,'Live Data'!$C$19)="","",INDEX(SPOT_Import!$A$1:$Z$2488,489,'Live Data'!$C$19)),"")</f>
        <v>1</v>
      </c>
      <c r="I489" s="54" t="str">
        <f>IFERROR(IF(INDEX(SPOT_Import!$A$1:$Z$2488,489,'Live Data'!$C$20)="","",INDEX(SPOT_Import!$A$1:$Z$2488,489,'Live Data'!$C$20)),"")</f>
        <v>Complete</v>
      </c>
      <c r="J489" s="54" t="str">
        <f>IFERROR(IF(INDEX(SPOT_Import!$A$1:$Z$2488,489,'Live Data'!$C$21)="","",INDEX(SPOT_Import!$A$1:$Z$2488,489,'Live Data'!$C$21)),"")</f>
        <v>2026-10-01T10:47:40.000Z</v>
      </c>
      <c r="K489" s="54" t="str">
        <f>IFERROR(IF(INDEX(SPOT_Import!$A$1:$Z$2488,489,'Live Data'!$C$22)="","",INDEX(SPOT_Import!$A$1:$Z$2488,489,'Live Data'!$C$22)),"")</f>
        <v>2026-10-01T10:47:40.000Z</v>
      </c>
      <c r="L489" s="55" t="str">
        <f t="shared" si="14"/>
        <v>2026-10</v>
      </c>
      <c r="M489" s="55" t="str">
        <f t="shared" si="15"/>
        <v>MERU</v>
      </c>
      <c r="N489" s="55" t="str">
        <f>IF(A489="","",IFERROR(INDEX('Cluster Map'!$A$4:$A$38,MATCH(M489,'Cluster Map'!$B$4:$B$38,0)),"Unmapped"))</f>
        <v>Cluster 1</v>
      </c>
      <c r="O489" s="55">
        <f>IF(A489="",0,IF(COUNTIFS($A$2:A489,A489,$F$2:F489,F489,$L$2:L489,L489)=1,1,0))</f>
        <v>1</v>
      </c>
      <c r="P489" s="55">
        <f>IF(A489="",0,IF(AND(F489="C&amp;T",COUNTIFS($A$2:A489,A489,$F$2:F489,"C&amp;T")=1),1,0))</f>
        <v>0</v>
      </c>
    </row>
    <row r="490" spans="1:16" x14ac:dyDescent="0.35">
      <c r="A490" s="54">
        <f>IFERROR(IF(INDEX(SPOT_Import!$A$1:$Z$2488,490,'Live Data'!$C$12)="","",INDEX(SPOT_Import!$A$1:$Z$2488,490,'Live Data'!$C$12)),"")</f>
        <v>12829</v>
      </c>
      <c r="B490" s="54" t="str">
        <f>IFERROR(IF(INDEX(SPOT_Import!$A$1:$Z$2488,490,'Live Data'!$C$13)="","",INDEX(SPOT_Import!$A$1:$Z$2488,490,'Live Data'!$C$13)),"")</f>
        <v>Uringu Health Centre</v>
      </c>
      <c r="C490" s="54" t="str">
        <f>IFERROR(IF(INDEX(SPOT_Import!$A$1:$Z$2488,490,'Live Data'!$C$14)="","",INDEX(SPOT_Import!$A$1:$Z$2488,490,'Live Data'!$C$14)),"")</f>
        <v>MERU</v>
      </c>
      <c r="D490" s="54" t="str">
        <f>IFERROR(IF(INDEX(SPOT_Import!$A$1:$Z$2488,490,'Live Data'!$C$15)="","",INDEX(SPOT_Import!$A$1:$Z$2488,490,'Live Data'!$C$15)),"")</f>
        <v>Tigania West</v>
      </c>
      <c r="E490" s="54" t="str">
        <f>IFERROR(IF(INDEX(SPOT_Import!$A$1:$Z$2488,490,'Live Data'!$C$16)="","",INDEX(SPOT_Import!$A$1:$Z$2488,490,'Live Data'!$C$16)),"")</f>
        <v>USAID Jamii Tekelezi</v>
      </c>
      <c r="F490" s="54" t="str">
        <f>IFERROR(IF(INDEX(SPOT_Import!$A$1:$Z$2488,490,'Live Data'!$C$17)="","",INDEX(SPOT_Import!$A$1:$Z$2488,490,'Live Data'!$C$17)),"")</f>
        <v>MNCH</v>
      </c>
      <c r="G490" s="54">
        <f>IFERROR(IF(INDEX(SPOT_Import!$A$1:$Z$2488,490,'Live Data'!$C$18)="","",INDEX(SPOT_Import!$A$1:$Z$2488,490,'Live Data'!$C$18)),"")</f>
        <v>1</v>
      </c>
      <c r="H490" s="54" t="str">
        <f>IFERROR(IF(INDEX(SPOT_Import!$A$1:$Z$2488,490,'Live Data'!$C$19)="","",INDEX(SPOT_Import!$A$1:$Z$2488,490,'Live Data'!$C$19)),"")</f>
        <v/>
      </c>
      <c r="I490" s="54" t="str">
        <f>IFERROR(IF(INDEX(SPOT_Import!$A$1:$Z$2488,490,'Live Data'!$C$20)="","",INDEX(SPOT_Import!$A$1:$Z$2488,490,'Live Data'!$C$20)),"")</f>
        <v>Incomplete</v>
      </c>
      <c r="J490" s="54" t="str">
        <f>IFERROR(IF(INDEX(SPOT_Import!$A$1:$Z$2488,490,'Live Data'!$C$21)="","",INDEX(SPOT_Import!$A$1:$Z$2488,490,'Live Data'!$C$21)),"")</f>
        <v>2026-10-01T10:47:25.000Z</v>
      </c>
      <c r="K490" s="54" t="str">
        <f>IFERROR(IF(INDEX(SPOT_Import!$A$1:$Z$2488,490,'Live Data'!$C$22)="","",INDEX(SPOT_Import!$A$1:$Z$2488,490,'Live Data'!$C$22)),"")</f>
        <v>2026-10-01T10:47:25.000Z</v>
      </c>
      <c r="L490" s="55" t="str">
        <f t="shared" si="14"/>
        <v>2026-10</v>
      </c>
      <c r="M490" s="55" t="str">
        <f t="shared" si="15"/>
        <v>MERU</v>
      </c>
      <c r="N490" s="55" t="str">
        <f>IF(A490="","",IFERROR(INDEX('Cluster Map'!$A$4:$A$38,MATCH(M490,'Cluster Map'!$B$4:$B$38,0)),"Unmapped"))</f>
        <v>Cluster 1</v>
      </c>
      <c r="O490" s="55">
        <f>IF(A490="",0,IF(COUNTIFS($A$2:A490,A490,$F$2:F490,F490,$L$2:L490,L490)=1,1,0))</f>
        <v>1</v>
      </c>
      <c r="P490" s="55">
        <f>IF(A490="",0,IF(AND(F490="C&amp;T",COUNTIFS($A$2:A490,A490,$F$2:F490,"C&amp;T")=1),1,0))</f>
        <v>0</v>
      </c>
    </row>
    <row r="491" spans="1:16" x14ac:dyDescent="0.35">
      <c r="A491" s="54">
        <f>IFERROR(IF(INDEX(SPOT_Import!$A$1:$Z$2488,491,'Live Data'!$C$12)="","",INDEX(SPOT_Import!$A$1:$Z$2488,491,'Live Data'!$C$12)),"")</f>
        <v>12829</v>
      </c>
      <c r="B491" s="54" t="str">
        <f>IFERROR(IF(INDEX(SPOT_Import!$A$1:$Z$2488,491,'Live Data'!$C$13)="","",INDEX(SPOT_Import!$A$1:$Z$2488,491,'Live Data'!$C$13)),"")</f>
        <v>Uringu Health Centre</v>
      </c>
      <c r="C491" s="54" t="str">
        <f>IFERROR(IF(INDEX(SPOT_Import!$A$1:$Z$2488,491,'Live Data'!$C$14)="","",INDEX(SPOT_Import!$A$1:$Z$2488,491,'Live Data'!$C$14)),"")</f>
        <v>MERU</v>
      </c>
      <c r="D491" s="54" t="str">
        <f>IFERROR(IF(INDEX(SPOT_Import!$A$1:$Z$2488,491,'Live Data'!$C$15)="","",INDEX(SPOT_Import!$A$1:$Z$2488,491,'Live Data'!$C$15)),"")</f>
        <v>Tigania West</v>
      </c>
      <c r="E491" s="54" t="str">
        <f>IFERROR(IF(INDEX(SPOT_Import!$A$1:$Z$2488,491,'Live Data'!$C$16)="","",INDEX(SPOT_Import!$A$1:$Z$2488,491,'Live Data'!$C$16)),"")</f>
        <v>USAID Jamii Tekelezi</v>
      </c>
      <c r="F491" s="54" t="str">
        <f>IFERROR(IF(INDEX(SPOT_Import!$A$1:$Z$2488,491,'Live Data'!$C$17)="","",INDEX(SPOT_Import!$A$1:$Z$2488,491,'Live Data'!$C$17)),"")</f>
        <v>C&amp;T</v>
      </c>
      <c r="G491" s="54">
        <f>IFERROR(IF(INDEX(SPOT_Import!$A$1:$Z$2488,491,'Live Data'!$C$18)="","",INDEX(SPOT_Import!$A$1:$Z$2488,491,'Live Data'!$C$18)),"")</f>
        <v>8</v>
      </c>
      <c r="H491" s="54">
        <f>IFERROR(IF(INDEX(SPOT_Import!$A$1:$Z$2488,491,'Live Data'!$C$19)="","",INDEX(SPOT_Import!$A$1:$Z$2488,491,'Live Data'!$C$19)),"")</f>
        <v>8</v>
      </c>
      <c r="I491" s="54" t="str">
        <f>IFERROR(IF(INDEX(SPOT_Import!$A$1:$Z$2488,491,'Live Data'!$C$20)="","",INDEX(SPOT_Import!$A$1:$Z$2488,491,'Live Data'!$C$20)),"")</f>
        <v>Complete</v>
      </c>
      <c r="J491" s="54" t="str">
        <f>IFERROR(IF(INDEX(SPOT_Import!$A$1:$Z$2488,491,'Live Data'!$C$21)="","",INDEX(SPOT_Import!$A$1:$Z$2488,491,'Live Data'!$C$21)),"")</f>
        <v>2026-10-01T10:24:25.000Z</v>
      </c>
      <c r="K491" s="54" t="str">
        <f>IFERROR(IF(INDEX(SPOT_Import!$A$1:$Z$2488,491,'Live Data'!$C$22)="","",INDEX(SPOT_Import!$A$1:$Z$2488,491,'Live Data'!$C$22)),"")</f>
        <v>2026-10-01T10:24:25.000Z</v>
      </c>
      <c r="L491" s="55" t="str">
        <f t="shared" si="14"/>
        <v>2026-10</v>
      </c>
      <c r="M491" s="55" t="str">
        <f t="shared" si="15"/>
        <v>MERU</v>
      </c>
      <c r="N491" s="55" t="str">
        <f>IF(A491="","",IFERROR(INDEX('Cluster Map'!$A$4:$A$38,MATCH(M491,'Cluster Map'!$B$4:$B$38,0)),"Unmapped"))</f>
        <v>Cluster 1</v>
      </c>
      <c r="O491" s="55">
        <f>IF(A491="",0,IF(COUNTIFS($A$2:A491,A491,$F$2:F491,F491,$L$2:L491,L491)=1,1,0))</f>
        <v>1</v>
      </c>
      <c r="P491" s="55">
        <f>IF(A491="",0,IF(AND(F491="C&amp;T",COUNTIFS($A$2:A491,A491,$F$2:F491,"C&amp;T")=1),1,0))</f>
        <v>1</v>
      </c>
    </row>
    <row r="492" spans="1:16" x14ac:dyDescent="0.35">
      <c r="A492" s="54">
        <f>IFERROR(IF(INDEX(SPOT_Import!$A$1:$Z$2488,492,'Live Data'!$C$12)="","",INDEX(SPOT_Import!$A$1:$Z$2488,492,'Live Data'!$C$12)),"")</f>
        <v>12333</v>
      </c>
      <c r="B492" s="54" t="str">
        <f>IFERROR(IF(INDEX(SPOT_Import!$A$1:$Z$2488,492,'Live Data'!$C$13)="","",INDEX(SPOT_Import!$A$1:$Z$2488,492,'Live Data'!$C$13)),"")</f>
        <v>Kirie Dispensary</v>
      </c>
      <c r="C492" s="54" t="str">
        <f>IFERROR(IF(INDEX(SPOT_Import!$A$1:$Z$2488,492,'Live Data'!$C$14)="","",INDEX(SPOT_Import!$A$1:$Z$2488,492,'Live Data'!$C$14)),"")</f>
        <v>EMBU</v>
      </c>
      <c r="D492" s="54" t="str">
        <f>IFERROR(IF(INDEX(SPOT_Import!$A$1:$Z$2488,492,'Live Data'!$C$15)="","",INDEX(SPOT_Import!$A$1:$Z$2488,492,'Live Data'!$C$15)),"")</f>
        <v>Mbeere North</v>
      </c>
      <c r="E492" s="54" t="str">
        <f>IFERROR(IF(INDEX(SPOT_Import!$A$1:$Z$2488,492,'Live Data'!$C$16)="","",INDEX(SPOT_Import!$A$1:$Z$2488,492,'Live Data'!$C$16)),"")</f>
        <v>USAID Jamii Tekelezi</v>
      </c>
      <c r="F492" s="54" t="str">
        <f>IFERROR(IF(INDEX(SPOT_Import!$A$1:$Z$2488,492,'Live Data'!$C$17)="","",INDEX(SPOT_Import!$A$1:$Z$2488,492,'Live Data'!$C$17)),"")</f>
        <v>MNCH</v>
      </c>
      <c r="G492" s="54">
        <f>IFERROR(IF(INDEX(SPOT_Import!$A$1:$Z$2488,492,'Live Data'!$C$18)="","",INDEX(SPOT_Import!$A$1:$Z$2488,492,'Live Data'!$C$18)),"")</f>
        <v>1</v>
      </c>
      <c r="H492" s="54">
        <f>IFERROR(IF(INDEX(SPOT_Import!$A$1:$Z$2488,492,'Live Data'!$C$19)="","",INDEX(SPOT_Import!$A$1:$Z$2488,492,'Live Data'!$C$19)),"")</f>
        <v>1</v>
      </c>
      <c r="I492" s="54" t="str">
        <f>IFERROR(IF(INDEX(SPOT_Import!$A$1:$Z$2488,492,'Live Data'!$C$20)="","",INDEX(SPOT_Import!$A$1:$Z$2488,492,'Live Data'!$C$20)),"")</f>
        <v>Complete</v>
      </c>
      <c r="J492" s="54" t="str">
        <f>IFERROR(IF(INDEX(SPOT_Import!$A$1:$Z$2488,492,'Live Data'!$C$21)="","",INDEX(SPOT_Import!$A$1:$Z$2488,492,'Live Data'!$C$21)),"")</f>
        <v>2026-10-01T10:22:46.000Z</v>
      </c>
      <c r="K492" s="54" t="str">
        <f>IFERROR(IF(INDEX(SPOT_Import!$A$1:$Z$2488,492,'Live Data'!$C$22)="","",INDEX(SPOT_Import!$A$1:$Z$2488,492,'Live Data'!$C$22)),"")</f>
        <v>2026-10-01T10:22:46.000Z</v>
      </c>
      <c r="L492" s="55" t="str">
        <f t="shared" si="14"/>
        <v>2026-10</v>
      </c>
      <c r="M492" s="55" t="str">
        <f t="shared" si="15"/>
        <v>EMBU</v>
      </c>
      <c r="N492" s="55" t="str">
        <f>IF(A492="","",IFERROR(INDEX('Cluster Map'!$A$4:$A$38,MATCH(M492,'Cluster Map'!$B$4:$B$38,0)),"Unmapped"))</f>
        <v>Cluster 2</v>
      </c>
      <c r="O492" s="55">
        <f>IF(A492="",0,IF(COUNTIFS($A$2:A492,A492,$F$2:F492,F492,$L$2:L492,L492)=1,1,0))</f>
        <v>1</v>
      </c>
      <c r="P492" s="55">
        <f>IF(A492="",0,IF(AND(F492="C&amp;T",COUNTIFS($A$2:A492,A492,$F$2:F492,"C&amp;T")=1),1,0))</f>
        <v>0</v>
      </c>
    </row>
    <row r="493" spans="1:16" x14ac:dyDescent="0.35">
      <c r="A493" s="54">
        <f>IFERROR(IF(INDEX(SPOT_Import!$A$1:$Z$2488,493,'Live Data'!$C$12)="","",INDEX(SPOT_Import!$A$1:$Z$2488,493,'Live Data'!$C$12)),"")</f>
        <v>12333</v>
      </c>
      <c r="B493" s="54" t="str">
        <f>IFERROR(IF(INDEX(SPOT_Import!$A$1:$Z$2488,493,'Live Data'!$C$13)="","",INDEX(SPOT_Import!$A$1:$Z$2488,493,'Live Data'!$C$13)),"")</f>
        <v>Kirie Dispensary</v>
      </c>
      <c r="C493" s="54" t="str">
        <f>IFERROR(IF(INDEX(SPOT_Import!$A$1:$Z$2488,493,'Live Data'!$C$14)="","",INDEX(SPOT_Import!$A$1:$Z$2488,493,'Live Data'!$C$14)),"")</f>
        <v>EMBU</v>
      </c>
      <c r="D493" s="54" t="str">
        <f>IFERROR(IF(INDEX(SPOT_Import!$A$1:$Z$2488,493,'Live Data'!$C$15)="","",INDEX(SPOT_Import!$A$1:$Z$2488,493,'Live Data'!$C$15)),"")</f>
        <v>Mbeere North</v>
      </c>
      <c r="E493" s="54" t="str">
        <f>IFERROR(IF(INDEX(SPOT_Import!$A$1:$Z$2488,493,'Live Data'!$C$16)="","",INDEX(SPOT_Import!$A$1:$Z$2488,493,'Live Data'!$C$16)),"")</f>
        <v>USAID Jamii Tekelezi</v>
      </c>
      <c r="F493" s="54" t="str">
        <f>IFERROR(IF(INDEX(SPOT_Import!$A$1:$Z$2488,493,'Live Data'!$C$17)="","",INDEX(SPOT_Import!$A$1:$Z$2488,493,'Live Data'!$C$17)),"")</f>
        <v>HTS</v>
      </c>
      <c r="G493" s="54">
        <f>IFERROR(IF(INDEX(SPOT_Import!$A$1:$Z$2488,493,'Live Data'!$C$18)="","",INDEX(SPOT_Import!$A$1:$Z$2488,493,'Live Data'!$C$18)),"")</f>
        <v>51</v>
      </c>
      <c r="H493" s="54">
        <f>IFERROR(IF(INDEX(SPOT_Import!$A$1:$Z$2488,493,'Live Data'!$C$19)="","",INDEX(SPOT_Import!$A$1:$Z$2488,493,'Live Data'!$C$19)),"")</f>
        <v>51</v>
      </c>
      <c r="I493" s="54" t="str">
        <f>IFERROR(IF(INDEX(SPOT_Import!$A$1:$Z$2488,493,'Live Data'!$C$20)="","",INDEX(SPOT_Import!$A$1:$Z$2488,493,'Live Data'!$C$20)),"")</f>
        <v>Complete</v>
      </c>
      <c r="J493" s="54" t="str">
        <f>IFERROR(IF(INDEX(SPOT_Import!$A$1:$Z$2488,493,'Live Data'!$C$21)="","",INDEX(SPOT_Import!$A$1:$Z$2488,493,'Live Data'!$C$21)),"")</f>
        <v>2026-10-01T10:19:41.000Z</v>
      </c>
      <c r="K493" s="54" t="str">
        <f>IFERROR(IF(INDEX(SPOT_Import!$A$1:$Z$2488,493,'Live Data'!$C$22)="","",INDEX(SPOT_Import!$A$1:$Z$2488,493,'Live Data'!$C$22)),"")</f>
        <v>2026-10-01T10:19:41.000Z</v>
      </c>
      <c r="L493" s="55" t="str">
        <f t="shared" si="14"/>
        <v>2026-10</v>
      </c>
      <c r="M493" s="55" t="str">
        <f t="shared" si="15"/>
        <v>EMBU</v>
      </c>
      <c r="N493" s="55" t="str">
        <f>IF(A493="","",IFERROR(INDEX('Cluster Map'!$A$4:$A$38,MATCH(M493,'Cluster Map'!$B$4:$B$38,0)),"Unmapped"))</f>
        <v>Cluster 2</v>
      </c>
      <c r="O493" s="55">
        <f>IF(A493="",0,IF(COUNTIFS($A$2:A493,A493,$F$2:F493,F493,$L$2:L493,L493)=1,1,0))</f>
        <v>1</v>
      </c>
      <c r="P493" s="55">
        <f>IF(A493="",0,IF(AND(F493="C&amp;T",COUNTIFS($A$2:A493,A493,$F$2:F493,"C&amp;T")=1),1,0))</f>
        <v>0</v>
      </c>
    </row>
    <row r="494" spans="1:16" x14ac:dyDescent="0.35">
      <c r="A494" s="54">
        <f>IFERROR(IF(INDEX(SPOT_Import!$A$1:$Z$2488,494,'Live Data'!$C$12)="","",INDEX(SPOT_Import!$A$1:$Z$2488,494,'Live Data'!$C$12)),"")</f>
        <v>10820</v>
      </c>
      <c r="B494" s="54" t="str">
        <f>IFERROR(IF(INDEX(SPOT_Import!$A$1:$Z$2488,494,'Live Data'!$C$13)="","",INDEX(SPOT_Import!$A$1:$Z$2488,494,'Live Data'!$C$13)),"")</f>
        <v>Nandarasi Dispensary</v>
      </c>
      <c r="C494" s="54" t="str">
        <f>IFERROR(IF(INDEX(SPOT_Import!$A$1:$Z$2488,494,'Live Data'!$C$14)="","",INDEX(SPOT_Import!$A$1:$Z$2488,494,'Live Data'!$C$14)),"")</f>
        <v>NYANDARUA</v>
      </c>
      <c r="D494" s="54" t="str">
        <f>IFERROR(IF(INDEX(SPOT_Import!$A$1:$Z$2488,494,'Live Data'!$C$15)="","",INDEX(SPOT_Import!$A$1:$Z$2488,494,'Live Data'!$C$15)),"")</f>
        <v>Kinangop</v>
      </c>
      <c r="E494" s="54" t="str">
        <f>IFERROR(IF(INDEX(SPOT_Import!$A$1:$Z$2488,494,'Live Data'!$C$16)="","",INDEX(SPOT_Import!$A$1:$Z$2488,494,'Live Data'!$C$16)),"")</f>
        <v>USAID Jamii Tekelezi</v>
      </c>
      <c r="F494" s="54" t="str">
        <f>IFERROR(IF(INDEX(SPOT_Import!$A$1:$Z$2488,494,'Live Data'!$C$17)="","",INDEX(SPOT_Import!$A$1:$Z$2488,494,'Live Data'!$C$17)),"")</f>
        <v>HTS</v>
      </c>
      <c r="G494" s="54">
        <f>IFERROR(IF(INDEX(SPOT_Import!$A$1:$Z$2488,494,'Live Data'!$C$18)="","",INDEX(SPOT_Import!$A$1:$Z$2488,494,'Live Data'!$C$18)),"")</f>
        <v>394</v>
      </c>
      <c r="H494" s="54">
        <f>IFERROR(IF(INDEX(SPOT_Import!$A$1:$Z$2488,494,'Live Data'!$C$19)="","",INDEX(SPOT_Import!$A$1:$Z$2488,494,'Live Data'!$C$19)),"")</f>
        <v>394</v>
      </c>
      <c r="I494" s="54" t="str">
        <f>IFERROR(IF(INDEX(SPOT_Import!$A$1:$Z$2488,494,'Live Data'!$C$20)="","",INDEX(SPOT_Import!$A$1:$Z$2488,494,'Live Data'!$C$20)),"")</f>
        <v>Complete</v>
      </c>
      <c r="J494" s="54" t="str">
        <f>IFERROR(IF(INDEX(SPOT_Import!$A$1:$Z$2488,494,'Live Data'!$C$21)="","",INDEX(SPOT_Import!$A$1:$Z$2488,494,'Live Data'!$C$21)),"")</f>
        <v>2026-10-01T10:18:57.000Z</v>
      </c>
      <c r="K494" s="54" t="str">
        <f>IFERROR(IF(INDEX(SPOT_Import!$A$1:$Z$2488,494,'Live Data'!$C$22)="","",INDEX(SPOT_Import!$A$1:$Z$2488,494,'Live Data'!$C$22)),"")</f>
        <v>2026-10-01T10:18:57.000Z</v>
      </c>
      <c r="L494" s="55" t="str">
        <f t="shared" si="14"/>
        <v>2026-10</v>
      </c>
      <c r="M494" s="55" t="str">
        <f t="shared" si="15"/>
        <v>NYANDARUA</v>
      </c>
      <c r="N494" s="55" t="str">
        <f>IF(A494="","",IFERROR(INDEX('Cluster Map'!$A$4:$A$38,MATCH(M494,'Cluster Map'!$B$4:$B$38,0)),"Unmapped"))</f>
        <v>Cluster 4</v>
      </c>
      <c r="O494" s="55">
        <f>IF(A494="",0,IF(COUNTIFS($A$2:A494,A494,$F$2:F494,F494,$L$2:L494,L494)=1,1,0))</f>
        <v>1</v>
      </c>
      <c r="P494" s="55">
        <f>IF(A494="",0,IF(AND(F494="C&amp;T",COUNTIFS($A$2:A494,A494,$F$2:F494,"C&amp;T")=1),1,0))</f>
        <v>0</v>
      </c>
    </row>
    <row r="495" spans="1:16" x14ac:dyDescent="0.35">
      <c r="A495" s="54">
        <f>IFERROR(IF(INDEX(SPOT_Import!$A$1:$Z$2488,495,'Live Data'!$C$12)="","",INDEX(SPOT_Import!$A$1:$Z$2488,495,'Live Data'!$C$12)),"")</f>
        <v>10820</v>
      </c>
      <c r="B495" s="54" t="str">
        <f>IFERROR(IF(INDEX(SPOT_Import!$A$1:$Z$2488,495,'Live Data'!$C$13)="","",INDEX(SPOT_Import!$A$1:$Z$2488,495,'Live Data'!$C$13)),"")</f>
        <v>Nandarasi Dispensary</v>
      </c>
      <c r="C495" s="54" t="str">
        <f>IFERROR(IF(INDEX(SPOT_Import!$A$1:$Z$2488,495,'Live Data'!$C$14)="","",INDEX(SPOT_Import!$A$1:$Z$2488,495,'Live Data'!$C$14)),"")</f>
        <v>NYANDARUA</v>
      </c>
      <c r="D495" s="54" t="str">
        <f>IFERROR(IF(INDEX(SPOT_Import!$A$1:$Z$2488,495,'Live Data'!$C$15)="","",INDEX(SPOT_Import!$A$1:$Z$2488,495,'Live Data'!$C$15)),"")</f>
        <v>Kinangop</v>
      </c>
      <c r="E495" s="54" t="str">
        <f>IFERROR(IF(INDEX(SPOT_Import!$A$1:$Z$2488,495,'Live Data'!$C$16)="","",INDEX(SPOT_Import!$A$1:$Z$2488,495,'Live Data'!$C$16)),"")</f>
        <v>USAID Jamii Tekelezi</v>
      </c>
      <c r="F495" s="54" t="str">
        <f>IFERROR(IF(INDEX(SPOT_Import!$A$1:$Z$2488,495,'Live Data'!$C$17)="","",INDEX(SPOT_Import!$A$1:$Z$2488,495,'Live Data'!$C$17)),"")</f>
        <v>MNCH</v>
      </c>
      <c r="G495" s="54">
        <f>IFERROR(IF(INDEX(SPOT_Import!$A$1:$Z$2488,495,'Live Data'!$C$18)="","",INDEX(SPOT_Import!$A$1:$Z$2488,495,'Live Data'!$C$18)),"")</f>
        <v>23</v>
      </c>
      <c r="H495" s="54" t="str">
        <f>IFERROR(IF(INDEX(SPOT_Import!$A$1:$Z$2488,495,'Live Data'!$C$19)="","",INDEX(SPOT_Import!$A$1:$Z$2488,495,'Live Data'!$C$19)),"")</f>
        <v/>
      </c>
      <c r="I495" s="54" t="str">
        <f>IFERROR(IF(INDEX(SPOT_Import!$A$1:$Z$2488,495,'Live Data'!$C$20)="","",INDEX(SPOT_Import!$A$1:$Z$2488,495,'Live Data'!$C$20)),"")</f>
        <v>Incomplete</v>
      </c>
      <c r="J495" s="54" t="str">
        <f>IFERROR(IF(INDEX(SPOT_Import!$A$1:$Z$2488,495,'Live Data'!$C$21)="","",INDEX(SPOT_Import!$A$1:$Z$2488,495,'Live Data'!$C$21)),"")</f>
        <v>2026-10-01T10:18:26.000Z</v>
      </c>
      <c r="K495" s="54" t="str">
        <f>IFERROR(IF(INDEX(SPOT_Import!$A$1:$Z$2488,495,'Live Data'!$C$22)="","",INDEX(SPOT_Import!$A$1:$Z$2488,495,'Live Data'!$C$22)),"")</f>
        <v>2026-10-01T10:18:26.000Z</v>
      </c>
      <c r="L495" s="55" t="str">
        <f t="shared" si="14"/>
        <v>2026-10</v>
      </c>
      <c r="M495" s="55" t="str">
        <f t="shared" si="15"/>
        <v>NYANDARUA</v>
      </c>
      <c r="N495" s="55" t="str">
        <f>IF(A495="","",IFERROR(INDEX('Cluster Map'!$A$4:$A$38,MATCH(M495,'Cluster Map'!$B$4:$B$38,0)),"Unmapped"))</f>
        <v>Cluster 4</v>
      </c>
      <c r="O495" s="55">
        <f>IF(A495="",0,IF(COUNTIFS($A$2:A495,A495,$F$2:F495,F495,$L$2:L495,L495)=1,1,0))</f>
        <v>1</v>
      </c>
      <c r="P495" s="55">
        <f>IF(A495="",0,IF(AND(F495="C&amp;T",COUNTIFS($A$2:A495,A495,$F$2:F495,"C&amp;T")=1),1,0))</f>
        <v>0</v>
      </c>
    </row>
    <row r="496" spans="1:16" x14ac:dyDescent="0.35">
      <c r="A496" s="54">
        <f>IFERROR(IF(INDEX(SPOT_Import!$A$1:$Z$2488,496,'Live Data'!$C$12)="","",INDEX(SPOT_Import!$A$1:$Z$2488,496,'Live Data'!$C$12)),"")</f>
        <v>10820</v>
      </c>
      <c r="B496" s="54" t="str">
        <f>IFERROR(IF(INDEX(SPOT_Import!$A$1:$Z$2488,496,'Live Data'!$C$13)="","",INDEX(SPOT_Import!$A$1:$Z$2488,496,'Live Data'!$C$13)),"")</f>
        <v>Nandarasi Dispensary</v>
      </c>
      <c r="C496" s="54" t="str">
        <f>IFERROR(IF(INDEX(SPOT_Import!$A$1:$Z$2488,496,'Live Data'!$C$14)="","",INDEX(SPOT_Import!$A$1:$Z$2488,496,'Live Data'!$C$14)),"")</f>
        <v>NYANDARUA</v>
      </c>
      <c r="D496" s="54" t="str">
        <f>IFERROR(IF(INDEX(SPOT_Import!$A$1:$Z$2488,496,'Live Data'!$C$15)="","",INDEX(SPOT_Import!$A$1:$Z$2488,496,'Live Data'!$C$15)),"")</f>
        <v>Kinangop</v>
      </c>
      <c r="E496" s="54" t="str">
        <f>IFERROR(IF(INDEX(SPOT_Import!$A$1:$Z$2488,496,'Live Data'!$C$16)="","",INDEX(SPOT_Import!$A$1:$Z$2488,496,'Live Data'!$C$16)),"")</f>
        <v>USAID Jamii Tekelezi</v>
      </c>
      <c r="F496" s="54" t="str">
        <f>IFERROR(IF(INDEX(SPOT_Import!$A$1:$Z$2488,496,'Live Data'!$C$17)="","",INDEX(SPOT_Import!$A$1:$Z$2488,496,'Live Data'!$C$17)),"")</f>
        <v>PREP</v>
      </c>
      <c r="G496" s="54">
        <f>IFERROR(IF(INDEX(SPOT_Import!$A$1:$Z$2488,496,'Live Data'!$C$18)="","",INDEX(SPOT_Import!$A$1:$Z$2488,496,'Live Data'!$C$18)),"")</f>
        <v>2</v>
      </c>
      <c r="H496" s="54" t="str">
        <f>IFERROR(IF(INDEX(SPOT_Import!$A$1:$Z$2488,496,'Live Data'!$C$19)="","",INDEX(SPOT_Import!$A$1:$Z$2488,496,'Live Data'!$C$19)),"")</f>
        <v/>
      </c>
      <c r="I496" s="54" t="str">
        <f>IFERROR(IF(INDEX(SPOT_Import!$A$1:$Z$2488,496,'Live Data'!$C$20)="","",INDEX(SPOT_Import!$A$1:$Z$2488,496,'Live Data'!$C$20)),"")</f>
        <v>Incomplete</v>
      </c>
      <c r="J496" s="54" t="str">
        <f>IFERROR(IF(INDEX(SPOT_Import!$A$1:$Z$2488,496,'Live Data'!$C$21)="","",INDEX(SPOT_Import!$A$1:$Z$2488,496,'Live Data'!$C$21)),"")</f>
        <v>2026-10-01T10:18:16.000Z</v>
      </c>
      <c r="K496" s="54" t="str">
        <f>IFERROR(IF(INDEX(SPOT_Import!$A$1:$Z$2488,496,'Live Data'!$C$22)="","",INDEX(SPOT_Import!$A$1:$Z$2488,496,'Live Data'!$C$22)),"")</f>
        <v>2026-10-01T10:18:16.000Z</v>
      </c>
      <c r="L496" s="55" t="str">
        <f t="shared" si="14"/>
        <v>2026-10</v>
      </c>
      <c r="M496" s="55" t="str">
        <f t="shared" si="15"/>
        <v>NYANDARUA</v>
      </c>
      <c r="N496" s="55" t="str">
        <f>IF(A496="","",IFERROR(INDEX('Cluster Map'!$A$4:$A$38,MATCH(M496,'Cluster Map'!$B$4:$B$38,0)),"Unmapped"))</f>
        <v>Cluster 4</v>
      </c>
      <c r="O496" s="55">
        <f>IF(A496="",0,IF(COUNTIFS($A$2:A496,A496,$F$2:F496,F496,$L$2:L496,L496)=1,1,0))</f>
        <v>1</v>
      </c>
      <c r="P496" s="55">
        <f>IF(A496="",0,IF(AND(F496="C&amp;T",COUNTIFS($A$2:A496,A496,$F$2:F496,"C&amp;T")=1),1,0))</f>
        <v>0</v>
      </c>
    </row>
    <row r="497" spans="1:16" x14ac:dyDescent="0.35">
      <c r="A497" s="54">
        <f>IFERROR(IF(INDEX(SPOT_Import!$A$1:$Z$2488,497,'Live Data'!$C$12)="","",INDEX(SPOT_Import!$A$1:$Z$2488,497,'Live Data'!$C$12)),"")</f>
        <v>12333</v>
      </c>
      <c r="B497" s="54" t="str">
        <f>IFERROR(IF(INDEX(SPOT_Import!$A$1:$Z$2488,497,'Live Data'!$C$13)="","",INDEX(SPOT_Import!$A$1:$Z$2488,497,'Live Data'!$C$13)),"")</f>
        <v>Kirie Dispensary</v>
      </c>
      <c r="C497" s="54" t="str">
        <f>IFERROR(IF(INDEX(SPOT_Import!$A$1:$Z$2488,497,'Live Data'!$C$14)="","",INDEX(SPOT_Import!$A$1:$Z$2488,497,'Live Data'!$C$14)),"")</f>
        <v>EMBU</v>
      </c>
      <c r="D497" s="54" t="str">
        <f>IFERROR(IF(INDEX(SPOT_Import!$A$1:$Z$2488,497,'Live Data'!$C$15)="","",INDEX(SPOT_Import!$A$1:$Z$2488,497,'Live Data'!$C$15)),"")</f>
        <v>Mbeere North</v>
      </c>
      <c r="E497" s="54" t="str">
        <f>IFERROR(IF(INDEX(SPOT_Import!$A$1:$Z$2488,497,'Live Data'!$C$16)="","",INDEX(SPOT_Import!$A$1:$Z$2488,497,'Live Data'!$C$16)),"")</f>
        <v>USAID Jamii Tekelezi</v>
      </c>
      <c r="F497" s="54" t="str">
        <f>IFERROR(IF(INDEX(SPOT_Import!$A$1:$Z$2488,497,'Live Data'!$C$17)="","",INDEX(SPOT_Import!$A$1:$Z$2488,497,'Live Data'!$C$17)),"")</f>
        <v>C&amp;T</v>
      </c>
      <c r="G497" s="54">
        <f>IFERROR(IF(INDEX(SPOT_Import!$A$1:$Z$2488,497,'Live Data'!$C$18)="","",INDEX(SPOT_Import!$A$1:$Z$2488,497,'Live Data'!$C$18)),"")</f>
        <v>76</v>
      </c>
      <c r="H497" s="54">
        <f>IFERROR(IF(INDEX(SPOT_Import!$A$1:$Z$2488,497,'Live Data'!$C$19)="","",INDEX(SPOT_Import!$A$1:$Z$2488,497,'Live Data'!$C$19)),"")</f>
        <v>76</v>
      </c>
      <c r="I497" s="54" t="str">
        <f>IFERROR(IF(INDEX(SPOT_Import!$A$1:$Z$2488,497,'Live Data'!$C$20)="","",INDEX(SPOT_Import!$A$1:$Z$2488,497,'Live Data'!$C$20)),"")</f>
        <v>Complete</v>
      </c>
      <c r="J497" s="54" t="str">
        <f>IFERROR(IF(INDEX(SPOT_Import!$A$1:$Z$2488,497,'Live Data'!$C$21)="","",INDEX(SPOT_Import!$A$1:$Z$2488,497,'Live Data'!$C$21)),"")</f>
        <v>2026-10-01T09:59:13.000Z</v>
      </c>
      <c r="K497" s="54" t="str">
        <f>IFERROR(IF(INDEX(SPOT_Import!$A$1:$Z$2488,497,'Live Data'!$C$22)="","",INDEX(SPOT_Import!$A$1:$Z$2488,497,'Live Data'!$C$22)),"")</f>
        <v>2026-10-01T09:59:13.000Z</v>
      </c>
      <c r="L497" s="55" t="str">
        <f t="shared" si="14"/>
        <v>2026-10</v>
      </c>
      <c r="M497" s="55" t="str">
        <f t="shared" si="15"/>
        <v>EMBU</v>
      </c>
      <c r="N497" s="55" t="str">
        <f>IF(A497="","",IFERROR(INDEX('Cluster Map'!$A$4:$A$38,MATCH(M497,'Cluster Map'!$B$4:$B$38,0)),"Unmapped"))</f>
        <v>Cluster 2</v>
      </c>
      <c r="O497" s="55">
        <f>IF(A497="",0,IF(COUNTIFS($A$2:A497,A497,$F$2:F497,F497,$L$2:L497,L497)=1,1,0))</f>
        <v>1</v>
      </c>
      <c r="P497" s="55">
        <f>IF(A497="",0,IF(AND(F497="C&amp;T",COUNTIFS($A$2:A497,A497,$F$2:F497,"C&amp;T")=1),1,0))</f>
        <v>1</v>
      </c>
    </row>
    <row r="498" spans="1:16" x14ac:dyDescent="0.35">
      <c r="A498" s="54">
        <f>IFERROR(IF(INDEX(SPOT_Import!$A$1:$Z$2488,498,'Live Data'!$C$12)="","",INDEX(SPOT_Import!$A$1:$Z$2488,498,'Live Data'!$C$12)),"")</f>
        <v>10820</v>
      </c>
      <c r="B498" s="54" t="str">
        <f>IFERROR(IF(INDEX(SPOT_Import!$A$1:$Z$2488,498,'Live Data'!$C$13)="","",INDEX(SPOT_Import!$A$1:$Z$2488,498,'Live Data'!$C$13)),"")</f>
        <v>Nandarasi Dispensary</v>
      </c>
      <c r="C498" s="54" t="str">
        <f>IFERROR(IF(INDEX(SPOT_Import!$A$1:$Z$2488,498,'Live Data'!$C$14)="","",INDEX(SPOT_Import!$A$1:$Z$2488,498,'Live Data'!$C$14)),"")</f>
        <v>NYANDARUA</v>
      </c>
      <c r="D498" s="54" t="str">
        <f>IFERROR(IF(INDEX(SPOT_Import!$A$1:$Z$2488,498,'Live Data'!$C$15)="","",INDEX(SPOT_Import!$A$1:$Z$2488,498,'Live Data'!$C$15)),"")</f>
        <v>Kinangop</v>
      </c>
      <c r="E498" s="54" t="str">
        <f>IFERROR(IF(INDEX(SPOT_Import!$A$1:$Z$2488,498,'Live Data'!$C$16)="","",INDEX(SPOT_Import!$A$1:$Z$2488,498,'Live Data'!$C$16)),"")</f>
        <v>USAID Jamii Tekelezi</v>
      </c>
      <c r="F498" s="54" t="str">
        <f>IFERROR(IF(INDEX(SPOT_Import!$A$1:$Z$2488,498,'Live Data'!$C$17)="","",INDEX(SPOT_Import!$A$1:$Z$2488,498,'Live Data'!$C$17)),"")</f>
        <v>C&amp;T</v>
      </c>
      <c r="G498" s="54">
        <f>IFERROR(IF(INDEX(SPOT_Import!$A$1:$Z$2488,498,'Live Data'!$C$18)="","",INDEX(SPOT_Import!$A$1:$Z$2488,498,'Live Data'!$C$18)),"")</f>
        <v>121</v>
      </c>
      <c r="H498" s="54">
        <f>IFERROR(IF(INDEX(SPOT_Import!$A$1:$Z$2488,498,'Live Data'!$C$19)="","",INDEX(SPOT_Import!$A$1:$Z$2488,498,'Live Data'!$C$19)),"")</f>
        <v>121</v>
      </c>
      <c r="I498" s="54" t="str">
        <f>IFERROR(IF(INDEX(SPOT_Import!$A$1:$Z$2488,498,'Live Data'!$C$20)="","",INDEX(SPOT_Import!$A$1:$Z$2488,498,'Live Data'!$C$20)),"")</f>
        <v>Complete</v>
      </c>
      <c r="J498" s="54" t="str">
        <f>IFERROR(IF(INDEX(SPOT_Import!$A$1:$Z$2488,498,'Live Data'!$C$21)="","",INDEX(SPOT_Import!$A$1:$Z$2488,498,'Live Data'!$C$21)),"")</f>
        <v>2026-10-01T09:59:07.000Z</v>
      </c>
      <c r="K498" s="54" t="str">
        <f>IFERROR(IF(INDEX(SPOT_Import!$A$1:$Z$2488,498,'Live Data'!$C$22)="","",INDEX(SPOT_Import!$A$1:$Z$2488,498,'Live Data'!$C$22)),"")</f>
        <v>2026-10-01T09:59:07.000Z</v>
      </c>
      <c r="L498" s="55" t="str">
        <f t="shared" si="14"/>
        <v>2026-10</v>
      </c>
      <c r="M498" s="55" t="str">
        <f t="shared" si="15"/>
        <v>NYANDARUA</v>
      </c>
      <c r="N498" s="55" t="str">
        <f>IF(A498="","",IFERROR(INDEX('Cluster Map'!$A$4:$A$38,MATCH(M498,'Cluster Map'!$B$4:$B$38,0)),"Unmapped"))</f>
        <v>Cluster 4</v>
      </c>
      <c r="O498" s="55">
        <f>IF(A498="",0,IF(COUNTIFS($A$2:A498,A498,$F$2:F498,F498,$L$2:L498,L498)=1,1,0))</f>
        <v>1</v>
      </c>
      <c r="P498" s="55">
        <f>IF(A498="",0,IF(AND(F498="C&amp;T",COUNTIFS($A$2:A498,A498,$F$2:F498,"C&amp;T")=1),1,0))</f>
        <v>1</v>
      </c>
    </row>
    <row r="499" spans="1:16" x14ac:dyDescent="0.35">
      <c r="A499" s="54">
        <f>IFERROR(IF(INDEX(SPOT_Import!$A$1:$Z$2488,499,'Live Data'!$C$12)="","",INDEX(SPOT_Import!$A$1:$Z$2488,499,'Live Data'!$C$12)),"")</f>
        <v>10657</v>
      </c>
      <c r="B499" s="54" t="str">
        <f>IFERROR(IF(INDEX(SPOT_Import!$A$1:$Z$2488,499,'Live Data'!$C$13)="","",INDEX(SPOT_Import!$A$1:$Z$2488,499,'Live Data'!$C$13)),"")</f>
        <v>Leshau Pondo Health Centre</v>
      </c>
      <c r="C499" s="54" t="str">
        <f>IFERROR(IF(INDEX(SPOT_Import!$A$1:$Z$2488,499,'Live Data'!$C$14)="","",INDEX(SPOT_Import!$A$1:$Z$2488,499,'Live Data'!$C$14)),"")</f>
        <v>NYANDARUA</v>
      </c>
      <c r="D499" s="54" t="str">
        <f>IFERROR(IF(INDEX(SPOT_Import!$A$1:$Z$2488,499,'Live Data'!$C$15)="","",INDEX(SPOT_Import!$A$1:$Z$2488,499,'Live Data'!$C$15)),"")</f>
        <v>Ndaragwa</v>
      </c>
      <c r="E499" s="54" t="str">
        <f>IFERROR(IF(INDEX(SPOT_Import!$A$1:$Z$2488,499,'Live Data'!$C$16)="","",INDEX(SPOT_Import!$A$1:$Z$2488,499,'Live Data'!$C$16)),"")</f>
        <v>USAID Jamii Tekelezi</v>
      </c>
      <c r="F499" s="54" t="str">
        <f>IFERROR(IF(INDEX(SPOT_Import!$A$1:$Z$2488,499,'Live Data'!$C$17)="","",INDEX(SPOT_Import!$A$1:$Z$2488,499,'Live Data'!$C$17)),"")</f>
        <v>PREP</v>
      </c>
      <c r="G499" s="54">
        <f>IFERROR(IF(INDEX(SPOT_Import!$A$1:$Z$2488,499,'Live Data'!$C$18)="","",INDEX(SPOT_Import!$A$1:$Z$2488,499,'Live Data'!$C$18)),"")</f>
        <v>9</v>
      </c>
      <c r="H499" s="54" t="str">
        <f>IFERROR(IF(INDEX(SPOT_Import!$A$1:$Z$2488,499,'Live Data'!$C$19)="","",INDEX(SPOT_Import!$A$1:$Z$2488,499,'Live Data'!$C$19)),"")</f>
        <v/>
      </c>
      <c r="I499" s="54" t="str">
        <f>IFERROR(IF(INDEX(SPOT_Import!$A$1:$Z$2488,499,'Live Data'!$C$20)="","",INDEX(SPOT_Import!$A$1:$Z$2488,499,'Live Data'!$C$20)),"")</f>
        <v>Incomplete</v>
      </c>
      <c r="J499" s="54" t="str">
        <f>IFERROR(IF(INDEX(SPOT_Import!$A$1:$Z$2488,499,'Live Data'!$C$21)="","",INDEX(SPOT_Import!$A$1:$Z$2488,499,'Live Data'!$C$21)),"")</f>
        <v>2026-10-01T08:15:12.000Z</v>
      </c>
      <c r="K499" s="54" t="str">
        <f>IFERROR(IF(INDEX(SPOT_Import!$A$1:$Z$2488,499,'Live Data'!$C$22)="","",INDEX(SPOT_Import!$A$1:$Z$2488,499,'Live Data'!$C$22)),"")</f>
        <v>2026-10-01T08:15:12.000Z</v>
      </c>
      <c r="L499" s="55" t="str">
        <f t="shared" si="14"/>
        <v>2026-10</v>
      </c>
      <c r="M499" s="55" t="str">
        <f t="shared" si="15"/>
        <v>NYANDARUA</v>
      </c>
      <c r="N499" s="55" t="str">
        <f>IF(A499="","",IFERROR(INDEX('Cluster Map'!$A$4:$A$38,MATCH(M499,'Cluster Map'!$B$4:$B$38,0)),"Unmapped"))</f>
        <v>Cluster 4</v>
      </c>
      <c r="O499" s="55">
        <f>IF(A499="",0,IF(COUNTIFS($A$2:A499,A499,$F$2:F499,F499,$L$2:L499,L499)=1,1,0))</f>
        <v>1</v>
      </c>
      <c r="P499" s="55">
        <f>IF(A499="",0,IF(AND(F499="C&amp;T",COUNTIFS($A$2:A499,A499,$F$2:F499,"C&amp;T")=1),1,0))</f>
        <v>0</v>
      </c>
    </row>
    <row r="500" spans="1:16" x14ac:dyDescent="0.35">
      <c r="A500" s="54">
        <f>IFERROR(IF(INDEX(SPOT_Import!$A$1:$Z$2488,500,'Live Data'!$C$12)="","",INDEX(SPOT_Import!$A$1:$Z$2488,500,'Live Data'!$C$12)),"")</f>
        <v>10657</v>
      </c>
      <c r="B500" s="54" t="str">
        <f>IFERROR(IF(INDEX(SPOT_Import!$A$1:$Z$2488,500,'Live Data'!$C$13)="","",INDEX(SPOT_Import!$A$1:$Z$2488,500,'Live Data'!$C$13)),"")</f>
        <v>Leshau Pondo Health Centre</v>
      </c>
      <c r="C500" s="54" t="str">
        <f>IFERROR(IF(INDEX(SPOT_Import!$A$1:$Z$2488,500,'Live Data'!$C$14)="","",INDEX(SPOT_Import!$A$1:$Z$2488,500,'Live Data'!$C$14)),"")</f>
        <v>NYANDARUA</v>
      </c>
      <c r="D500" s="54" t="str">
        <f>IFERROR(IF(INDEX(SPOT_Import!$A$1:$Z$2488,500,'Live Data'!$C$15)="","",INDEX(SPOT_Import!$A$1:$Z$2488,500,'Live Data'!$C$15)),"")</f>
        <v>Ndaragwa</v>
      </c>
      <c r="E500" s="54" t="str">
        <f>IFERROR(IF(INDEX(SPOT_Import!$A$1:$Z$2488,500,'Live Data'!$C$16)="","",INDEX(SPOT_Import!$A$1:$Z$2488,500,'Live Data'!$C$16)),"")</f>
        <v>USAID Jamii Tekelezi</v>
      </c>
      <c r="F500" s="54" t="str">
        <f>IFERROR(IF(INDEX(SPOT_Import!$A$1:$Z$2488,500,'Live Data'!$C$17)="","",INDEX(SPOT_Import!$A$1:$Z$2488,500,'Live Data'!$C$17)),"")</f>
        <v>MNCH</v>
      </c>
      <c r="G500" s="54">
        <f>IFERROR(IF(INDEX(SPOT_Import!$A$1:$Z$2488,500,'Live Data'!$C$18)="","",INDEX(SPOT_Import!$A$1:$Z$2488,500,'Live Data'!$C$18)),"")</f>
        <v>10</v>
      </c>
      <c r="H500" s="54" t="str">
        <f>IFERROR(IF(INDEX(SPOT_Import!$A$1:$Z$2488,500,'Live Data'!$C$19)="","",INDEX(SPOT_Import!$A$1:$Z$2488,500,'Live Data'!$C$19)),"")</f>
        <v/>
      </c>
      <c r="I500" s="54" t="str">
        <f>IFERROR(IF(INDEX(SPOT_Import!$A$1:$Z$2488,500,'Live Data'!$C$20)="","",INDEX(SPOT_Import!$A$1:$Z$2488,500,'Live Data'!$C$20)),"")</f>
        <v>Incomplete</v>
      </c>
      <c r="J500" s="54" t="str">
        <f>IFERROR(IF(INDEX(SPOT_Import!$A$1:$Z$2488,500,'Live Data'!$C$21)="","",INDEX(SPOT_Import!$A$1:$Z$2488,500,'Live Data'!$C$21)),"")</f>
        <v>2026-10-01T08:15:01.000Z</v>
      </c>
      <c r="K500" s="54" t="str">
        <f>IFERROR(IF(INDEX(SPOT_Import!$A$1:$Z$2488,500,'Live Data'!$C$22)="","",INDEX(SPOT_Import!$A$1:$Z$2488,500,'Live Data'!$C$22)),"")</f>
        <v>2026-10-01T08:15:01.000Z</v>
      </c>
      <c r="L500" s="55" t="str">
        <f t="shared" si="14"/>
        <v>2026-10</v>
      </c>
      <c r="M500" s="55" t="str">
        <f t="shared" si="15"/>
        <v>NYANDARUA</v>
      </c>
      <c r="N500" s="55" t="str">
        <f>IF(A500="","",IFERROR(INDEX('Cluster Map'!$A$4:$A$38,MATCH(M500,'Cluster Map'!$B$4:$B$38,0)),"Unmapped"))</f>
        <v>Cluster 4</v>
      </c>
      <c r="O500" s="55">
        <f>IF(A500="",0,IF(COUNTIFS($A$2:A500,A500,$F$2:F500,F500,$L$2:L500,L500)=1,1,0))</f>
        <v>1</v>
      </c>
      <c r="P500" s="55">
        <f>IF(A500="",0,IF(AND(F500="C&amp;T",COUNTIFS($A$2:A500,A500,$F$2:F500,"C&amp;T")=1),1,0))</f>
        <v>0</v>
      </c>
    </row>
    <row r="501" spans="1:16" x14ac:dyDescent="0.35">
      <c r="A501" s="54">
        <f>IFERROR(IF(INDEX(SPOT_Import!$A$1:$Z$2488,501,'Live Data'!$C$12)="","",INDEX(SPOT_Import!$A$1:$Z$2488,501,'Live Data'!$C$12)),"")</f>
        <v>10657</v>
      </c>
      <c r="B501" s="54" t="str">
        <f>IFERROR(IF(INDEX(SPOT_Import!$A$1:$Z$2488,501,'Live Data'!$C$13)="","",INDEX(SPOT_Import!$A$1:$Z$2488,501,'Live Data'!$C$13)),"")</f>
        <v>Leshau Pondo Health Centre</v>
      </c>
      <c r="C501" s="54" t="str">
        <f>IFERROR(IF(INDEX(SPOT_Import!$A$1:$Z$2488,501,'Live Data'!$C$14)="","",INDEX(SPOT_Import!$A$1:$Z$2488,501,'Live Data'!$C$14)),"")</f>
        <v>NYANDARUA</v>
      </c>
      <c r="D501" s="54" t="str">
        <f>IFERROR(IF(INDEX(SPOT_Import!$A$1:$Z$2488,501,'Live Data'!$C$15)="","",INDEX(SPOT_Import!$A$1:$Z$2488,501,'Live Data'!$C$15)),"")</f>
        <v>Ndaragwa</v>
      </c>
      <c r="E501" s="54" t="str">
        <f>IFERROR(IF(INDEX(SPOT_Import!$A$1:$Z$2488,501,'Live Data'!$C$16)="","",INDEX(SPOT_Import!$A$1:$Z$2488,501,'Live Data'!$C$16)),"")</f>
        <v>USAID Jamii Tekelezi</v>
      </c>
      <c r="F501" s="54" t="str">
        <f>IFERROR(IF(INDEX(SPOT_Import!$A$1:$Z$2488,501,'Live Data'!$C$17)="","",INDEX(SPOT_Import!$A$1:$Z$2488,501,'Live Data'!$C$17)),"")</f>
        <v>HTS</v>
      </c>
      <c r="G501" s="54">
        <f>IFERROR(IF(INDEX(SPOT_Import!$A$1:$Z$2488,501,'Live Data'!$C$18)="","",INDEX(SPOT_Import!$A$1:$Z$2488,501,'Live Data'!$C$18)),"")</f>
        <v>1245</v>
      </c>
      <c r="H501" s="54">
        <f>IFERROR(IF(INDEX(SPOT_Import!$A$1:$Z$2488,501,'Live Data'!$C$19)="","",INDEX(SPOT_Import!$A$1:$Z$2488,501,'Live Data'!$C$19)),"")</f>
        <v>1245</v>
      </c>
      <c r="I501" s="54" t="str">
        <f>IFERROR(IF(INDEX(SPOT_Import!$A$1:$Z$2488,501,'Live Data'!$C$20)="","",INDEX(SPOT_Import!$A$1:$Z$2488,501,'Live Data'!$C$20)),"")</f>
        <v>Complete</v>
      </c>
      <c r="J501" s="54" t="str">
        <f>IFERROR(IF(INDEX(SPOT_Import!$A$1:$Z$2488,501,'Live Data'!$C$21)="","",INDEX(SPOT_Import!$A$1:$Z$2488,501,'Live Data'!$C$21)),"")</f>
        <v>2026-10-01T08:08:28.000Z</v>
      </c>
      <c r="K501" s="54" t="str">
        <f>IFERROR(IF(INDEX(SPOT_Import!$A$1:$Z$2488,501,'Live Data'!$C$22)="","",INDEX(SPOT_Import!$A$1:$Z$2488,501,'Live Data'!$C$22)),"")</f>
        <v>2026-10-01T08:08:28.000Z</v>
      </c>
      <c r="L501" s="55" t="str">
        <f t="shared" si="14"/>
        <v>2026-10</v>
      </c>
      <c r="M501" s="55" t="str">
        <f t="shared" si="15"/>
        <v>NYANDARUA</v>
      </c>
      <c r="N501" s="55" t="str">
        <f>IF(A501="","",IFERROR(INDEX('Cluster Map'!$A$4:$A$38,MATCH(M501,'Cluster Map'!$B$4:$B$38,0)),"Unmapped"))</f>
        <v>Cluster 4</v>
      </c>
      <c r="O501" s="55">
        <f>IF(A501="",0,IF(COUNTIFS($A$2:A501,A501,$F$2:F501,F501,$L$2:L501,L501)=1,1,0))</f>
        <v>1</v>
      </c>
      <c r="P501" s="55">
        <f>IF(A501="",0,IF(AND(F501="C&amp;T",COUNTIFS($A$2:A501,A501,$F$2:F501,"C&amp;T")=1),1,0))</f>
        <v>0</v>
      </c>
    </row>
    <row r="502" spans="1:16" x14ac:dyDescent="0.35">
      <c r="A502" s="54">
        <f>IFERROR(IF(INDEX(SPOT_Import!$A$1:$Z$2488,502,'Live Data'!$C$12)="","",INDEX(SPOT_Import!$A$1:$Z$2488,502,'Live Data'!$C$12)),"")</f>
        <v>11183</v>
      </c>
      <c r="B502" s="54" t="str">
        <f>IFERROR(IF(INDEX(SPOT_Import!$A$1:$Z$2488,502,'Live Data'!$C$13)="","",INDEX(SPOT_Import!$A$1:$Z$2488,502,'Live Data'!$C$13)),"")</f>
        <v>Weru Health Centre (Nyandarua South)</v>
      </c>
      <c r="C502" s="54" t="str">
        <f>IFERROR(IF(INDEX(SPOT_Import!$A$1:$Z$2488,502,'Live Data'!$C$14)="","",INDEX(SPOT_Import!$A$1:$Z$2488,502,'Live Data'!$C$14)),"")</f>
        <v>NYANDARUA</v>
      </c>
      <c r="D502" s="54" t="str">
        <f>IFERROR(IF(INDEX(SPOT_Import!$A$1:$Z$2488,502,'Live Data'!$C$15)="","",INDEX(SPOT_Import!$A$1:$Z$2488,502,'Live Data'!$C$15)),"")</f>
        <v>Kinangop</v>
      </c>
      <c r="E502" s="54" t="str">
        <f>IFERROR(IF(INDEX(SPOT_Import!$A$1:$Z$2488,502,'Live Data'!$C$16)="","",INDEX(SPOT_Import!$A$1:$Z$2488,502,'Live Data'!$C$16)),"")</f>
        <v>USAID Jamii Tekelezi</v>
      </c>
      <c r="F502" s="54" t="str">
        <f>IFERROR(IF(INDEX(SPOT_Import!$A$1:$Z$2488,502,'Live Data'!$C$17)="","",INDEX(SPOT_Import!$A$1:$Z$2488,502,'Live Data'!$C$17)),"")</f>
        <v>MNCH</v>
      </c>
      <c r="G502" s="54">
        <f>IFERROR(IF(INDEX(SPOT_Import!$A$1:$Z$2488,502,'Live Data'!$C$18)="","",INDEX(SPOT_Import!$A$1:$Z$2488,502,'Live Data'!$C$18)),"")</f>
        <v>11</v>
      </c>
      <c r="H502" s="54">
        <f>IFERROR(IF(INDEX(SPOT_Import!$A$1:$Z$2488,502,'Live Data'!$C$19)="","",INDEX(SPOT_Import!$A$1:$Z$2488,502,'Live Data'!$C$19)),"")</f>
        <v>11</v>
      </c>
      <c r="I502" s="54" t="str">
        <f>IFERROR(IF(INDEX(SPOT_Import!$A$1:$Z$2488,502,'Live Data'!$C$20)="","",INDEX(SPOT_Import!$A$1:$Z$2488,502,'Live Data'!$C$20)),"")</f>
        <v>Complete</v>
      </c>
      <c r="J502" s="54" t="str">
        <f>IFERROR(IF(INDEX(SPOT_Import!$A$1:$Z$2488,502,'Live Data'!$C$21)="","",INDEX(SPOT_Import!$A$1:$Z$2488,502,'Live Data'!$C$21)),"")</f>
        <v>2026-10-01T08:03:55.000Z</v>
      </c>
      <c r="K502" s="54" t="str">
        <f>IFERROR(IF(INDEX(SPOT_Import!$A$1:$Z$2488,502,'Live Data'!$C$22)="","",INDEX(SPOT_Import!$A$1:$Z$2488,502,'Live Data'!$C$22)),"")</f>
        <v>2026-10-01T08:03:55.000Z</v>
      </c>
      <c r="L502" s="55" t="str">
        <f t="shared" si="14"/>
        <v>2026-10</v>
      </c>
      <c r="M502" s="55" t="str">
        <f t="shared" si="15"/>
        <v>NYANDARUA</v>
      </c>
      <c r="N502" s="55" t="str">
        <f>IF(A502="","",IFERROR(INDEX('Cluster Map'!$A$4:$A$38,MATCH(M502,'Cluster Map'!$B$4:$B$38,0)),"Unmapped"))</f>
        <v>Cluster 4</v>
      </c>
      <c r="O502" s="55">
        <f>IF(A502="",0,IF(COUNTIFS($A$2:A502,A502,$F$2:F502,F502,$L$2:L502,L502)=1,1,0))</f>
        <v>1</v>
      </c>
      <c r="P502" s="55">
        <f>IF(A502="",0,IF(AND(F502="C&amp;T",COUNTIFS($A$2:A502,A502,$F$2:F502,"C&amp;T")=1),1,0))</f>
        <v>0</v>
      </c>
    </row>
    <row r="503" spans="1:16" x14ac:dyDescent="0.35">
      <c r="A503" s="54">
        <f>IFERROR(IF(INDEX(SPOT_Import!$A$1:$Z$2488,503,'Live Data'!$C$12)="","",INDEX(SPOT_Import!$A$1:$Z$2488,503,'Live Data'!$C$12)),"")</f>
        <v>11183</v>
      </c>
      <c r="B503" s="54" t="str">
        <f>IFERROR(IF(INDEX(SPOT_Import!$A$1:$Z$2488,503,'Live Data'!$C$13)="","",INDEX(SPOT_Import!$A$1:$Z$2488,503,'Live Data'!$C$13)),"")</f>
        <v>Weru Health Centre (Nyandarua South)</v>
      </c>
      <c r="C503" s="54" t="str">
        <f>IFERROR(IF(INDEX(SPOT_Import!$A$1:$Z$2488,503,'Live Data'!$C$14)="","",INDEX(SPOT_Import!$A$1:$Z$2488,503,'Live Data'!$C$14)),"")</f>
        <v>NYANDARUA</v>
      </c>
      <c r="D503" s="54" t="str">
        <f>IFERROR(IF(INDEX(SPOT_Import!$A$1:$Z$2488,503,'Live Data'!$C$15)="","",INDEX(SPOT_Import!$A$1:$Z$2488,503,'Live Data'!$C$15)),"")</f>
        <v>Kinangop</v>
      </c>
      <c r="E503" s="54" t="str">
        <f>IFERROR(IF(INDEX(SPOT_Import!$A$1:$Z$2488,503,'Live Data'!$C$16)="","",INDEX(SPOT_Import!$A$1:$Z$2488,503,'Live Data'!$C$16)),"")</f>
        <v>USAID Jamii Tekelezi</v>
      </c>
      <c r="F503" s="54" t="str">
        <f>IFERROR(IF(INDEX(SPOT_Import!$A$1:$Z$2488,503,'Live Data'!$C$17)="","",INDEX(SPOT_Import!$A$1:$Z$2488,503,'Live Data'!$C$17)),"")</f>
        <v>HTS</v>
      </c>
      <c r="G503" s="54">
        <f>IFERROR(IF(INDEX(SPOT_Import!$A$1:$Z$2488,503,'Live Data'!$C$18)="","",INDEX(SPOT_Import!$A$1:$Z$2488,503,'Live Data'!$C$18)),"")</f>
        <v>126</v>
      </c>
      <c r="H503" s="54">
        <f>IFERROR(IF(INDEX(SPOT_Import!$A$1:$Z$2488,503,'Live Data'!$C$19)="","",INDEX(SPOT_Import!$A$1:$Z$2488,503,'Live Data'!$C$19)),"")</f>
        <v>126</v>
      </c>
      <c r="I503" s="54" t="str">
        <f>IFERROR(IF(INDEX(SPOT_Import!$A$1:$Z$2488,503,'Live Data'!$C$20)="","",INDEX(SPOT_Import!$A$1:$Z$2488,503,'Live Data'!$C$20)),"")</f>
        <v>Complete</v>
      </c>
      <c r="J503" s="54" t="str">
        <f>IFERROR(IF(INDEX(SPOT_Import!$A$1:$Z$2488,503,'Live Data'!$C$21)="","",INDEX(SPOT_Import!$A$1:$Z$2488,503,'Live Data'!$C$21)),"")</f>
        <v>2026-10-01T08:03:33.000Z</v>
      </c>
      <c r="K503" s="54" t="str">
        <f>IFERROR(IF(INDEX(SPOT_Import!$A$1:$Z$2488,503,'Live Data'!$C$22)="","",INDEX(SPOT_Import!$A$1:$Z$2488,503,'Live Data'!$C$22)),"")</f>
        <v>2026-10-01T08:03:33.000Z</v>
      </c>
      <c r="L503" s="55" t="str">
        <f t="shared" si="14"/>
        <v>2026-10</v>
      </c>
      <c r="M503" s="55" t="str">
        <f t="shared" si="15"/>
        <v>NYANDARUA</v>
      </c>
      <c r="N503" s="55" t="str">
        <f>IF(A503="","",IFERROR(INDEX('Cluster Map'!$A$4:$A$38,MATCH(M503,'Cluster Map'!$B$4:$B$38,0)),"Unmapped"))</f>
        <v>Cluster 4</v>
      </c>
      <c r="O503" s="55">
        <f>IF(A503="",0,IF(COUNTIFS($A$2:A503,A503,$F$2:F503,F503,$L$2:L503,L503)=1,1,0))</f>
        <v>1</v>
      </c>
      <c r="P503" s="55">
        <f>IF(A503="",0,IF(AND(F503="C&amp;T",COUNTIFS($A$2:A503,A503,$F$2:F503,"C&amp;T")=1),1,0))</f>
        <v>0</v>
      </c>
    </row>
    <row r="504" spans="1:16" x14ac:dyDescent="0.35">
      <c r="A504" s="54">
        <f>IFERROR(IF(INDEX(SPOT_Import!$A$1:$Z$2488,504,'Live Data'!$C$12)="","",INDEX(SPOT_Import!$A$1:$Z$2488,504,'Live Data'!$C$12)),"")</f>
        <v>11183</v>
      </c>
      <c r="B504" s="54" t="str">
        <f>IFERROR(IF(INDEX(SPOT_Import!$A$1:$Z$2488,504,'Live Data'!$C$13)="","",INDEX(SPOT_Import!$A$1:$Z$2488,504,'Live Data'!$C$13)),"")</f>
        <v>Weru Health Centre (Nyandarua South)</v>
      </c>
      <c r="C504" s="54" t="str">
        <f>IFERROR(IF(INDEX(SPOT_Import!$A$1:$Z$2488,504,'Live Data'!$C$14)="","",INDEX(SPOT_Import!$A$1:$Z$2488,504,'Live Data'!$C$14)),"")</f>
        <v>NYANDARUA</v>
      </c>
      <c r="D504" s="54" t="str">
        <f>IFERROR(IF(INDEX(SPOT_Import!$A$1:$Z$2488,504,'Live Data'!$C$15)="","",INDEX(SPOT_Import!$A$1:$Z$2488,504,'Live Data'!$C$15)),"")</f>
        <v>Kinangop</v>
      </c>
      <c r="E504" s="54" t="str">
        <f>IFERROR(IF(INDEX(SPOT_Import!$A$1:$Z$2488,504,'Live Data'!$C$16)="","",INDEX(SPOT_Import!$A$1:$Z$2488,504,'Live Data'!$C$16)),"")</f>
        <v>USAID Jamii Tekelezi</v>
      </c>
      <c r="F504" s="54" t="str">
        <f>IFERROR(IF(INDEX(SPOT_Import!$A$1:$Z$2488,504,'Live Data'!$C$17)="","",INDEX(SPOT_Import!$A$1:$Z$2488,504,'Live Data'!$C$17)),"")</f>
        <v>PREP</v>
      </c>
      <c r="G504" s="54">
        <f>IFERROR(IF(INDEX(SPOT_Import!$A$1:$Z$2488,504,'Live Data'!$C$18)="","",INDEX(SPOT_Import!$A$1:$Z$2488,504,'Live Data'!$C$18)),"")</f>
        <v>2</v>
      </c>
      <c r="H504" s="54">
        <f>IFERROR(IF(INDEX(SPOT_Import!$A$1:$Z$2488,504,'Live Data'!$C$19)="","",INDEX(SPOT_Import!$A$1:$Z$2488,504,'Live Data'!$C$19)),"")</f>
        <v>2</v>
      </c>
      <c r="I504" s="54" t="str">
        <f>IFERROR(IF(INDEX(SPOT_Import!$A$1:$Z$2488,504,'Live Data'!$C$20)="","",INDEX(SPOT_Import!$A$1:$Z$2488,504,'Live Data'!$C$20)),"")</f>
        <v>Complete</v>
      </c>
      <c r="J504" s="54" t="str">
        <f>IFERROR(IF(INDEX(SPOT_Import!$A$1:$Z$2488,504,'Live Data'!$C$21)="","",INDEX(SPOT_Import!$A$1:$Z$2488,504,'Live Data'!$C$21)),"")</f>
        <v>2026-10-01T08:03:25.000Z</v>
      </c>
      <c r="K504" s="54" t="str">
        <f>IFERROR(IF(INDEX(SPOT_Import!$A$1:$Z$2488,504,'Live Data'!$C$22)="","",INDEX(SPOT_Import!$A$1:$Z$2488,504,'Live Data'!$C$22)),"")</f>
        <v>2026-10-01T08:03:25.000Z</v>
      </c>
      <c r="L504" s="55" t="str">
        <f t="shared" si="14"/>
        <v>2026-10</v>
      </c>
      <c r="M504" s="55" t="str">
        <f t="shared" si="15"/>
        <v>NYANDARUA</v>
      </c>
      <c r="N504" s="55" t="str">
        <f>IF(A504="","",IFERROR(INDEX('Cluster Map'!$A$4:$A$38,MATCH(M504,'Cluster Map'!$B$4:$B$38,0)),"Unmapped"))</f>
        <v>Cluster 4</v>
      </c>
      <c r="O504" s="55">
        <f>IF(A504="",0,IF(COUNTIFS($A$2:A504,A504,$F$2:F504,F504,$L$2:L504,L504)=1,1,0))</f>
        <v>1</v>
      </c>
      <c r="P504" s="55">
        <f>IF(A504="",0,IF(AND(F504="C&amp;T",COUNTIFS($A$2:A504,A504,$F$2:F504,"C&amp;T")=1),1,0))</f>
        <v>0</v>
      </c>
    </row>
    <row r="505" spans="1:16" x14ac:dyDescent="0.35">
      <c r="A505" s="54">
        <f>IFERROR(IF(INDEX(SPOT_Import!$A$1:$Z$2488,505,'Live Data'!$C$12)="","",INDEX(SPOT_Import!$A$1:$Z$2488,505,'Live Data'!$C$12)),"")</f>
        <v>10429</v>
      </c>
      <c r="B505" s="54" t="str">
        <f>IFERROR(IF(INDEX(SPOT_Import!$A$1:$Z$2488,505,'Live Data'!$C$13)="","",INDEX(SPOT_Import!$A$1:$Z$2488,505,'Live Data'!$C$13)),"")</f>
        <v>Kaimbaga Dispensary</v>
      </c>
      <c r="C505" s="54" t="str">
        <f>IFERROR(IF(INDEX(SPOT_Import!$A$1:$Z$2488,505,'Live Data'!$C$14)="","",INDEX(SPOT_Import!$A$1:$Z$2488,505,'Live Data'!$C$14)),"")</f>
        <v>NYANDARUA</v>
      </c>
      <c r="D505" s="54" t="str">
        <f>IFERROR(IF(INDEX(SPOT_Import!$A$1:$Z$2488,505,'Live Data'!$C$15)="","",INDEX(SPOT_Import!$A$1:$Z$2488,505,'Live Data'!$C$15)),"")</f>
        <v>Olkalou</v>
      </c>
      <c r="E505" s="54" t="str">
        <f>IFERROR(IF(INDEX(SPOT_Import!$A$1:$Z$2488,505,'Live Data'!$C$16)="","",INDEX(SPOT_Import!$A$1:$Z$2488,505,'Live Data'!$C$16)),"")</f>
        <v>USAID Jamii Tekelezi</v>
      </c>
      <c r="F505" s="54" t="str">
        <f>IFERROR(IF(INDEX(SPOT_Import!$A$1:$Z$2488,505,'Live Data'!$C$17)="","",INDEX(SPOT_Import!$A$1:$Z$2488,505,'Live Data'!$C$17)),"")</f>
        <v>PREP</v>
      </c>
      <c r="G505" s="54">
        <f>IFERROR(IF(INDEX(SPOT_Import!$A$1:$Z$2488,505,'Live Data'!$C$18)="","",INDEX(SPOT_Import!$A$1:$Z$2488,505,'Live Data'!$C$18)),"")</f>
        <v>7</v>
      </c>
      <c r="H505" s="54">
        <f>IFERROR(IF(INDEX(SPOT_Import!$A$1:$Z$2488,505,'Live Data'!$C$19)="","",INDEX(SPOT_Import!$A$1:$Z$2488,505,'Live Data'!$C$19)),"")</f>
        <v>7</v>
      </c>
      <c r="I505" s="54" t="str">
        <f>IFERROR(IF(INDEX(SPOT_Import!$A$1:$Z$2488,505,'Live Data'!$C$20)="","",INDEX(SPOT_Import!$A$1:$Z$2488,505,'Live Data'!$C$20)),"")</f>
        <v>Complete</v>
      </c>
      <c r="J505" s="54" t="str">
        <f>IFERROR(IF(INDEX(SPOT_Import!$A$1:$Z$2488,505,'Live Data'!$C$21)="","",INDEX(SPOT_Import!$A$1:$Z$2488,505,'Live Data'!$C$21)),"")</f>
        <v>2026-09-30T13:35:39.000Z</v>
      </c>
      <c r="K505" s="54" t="str">
        <f>IFERROR(IF(INDEX(SPOT_Import!$A$1:$Z$2488,505,'Live Data'!$C$22)="","",INDEX(SPOT_Import!$A$1:$Z$2488,505,'Live Data'!$C$22)),"")</f>
        <v>2026-09-30T13:35:39.000Z</v>
      </c>
      <c r="L505" s="55" t="str">
        <f t="shared" si="14"/>
        <v>2026-09</v>
      </c>
      <c r="M505" s="55" t="str">
        <f t="shared" si="15"/>
        <v>NYANDARUA</v>
      </c>
      <c r="N505" s="55" t="str">
        <f>IF(A505="","",IFERROR(INDEX('Cluster Map'!$A$4:$A$38,MATCH(M505,'Cluster Map'!$B$4:$B$38,0)),"Unmapped"))</f>
        <v>Cluster 4</v>
      </c>
      <c r="O505" s="55">
        <f>IF(A505="",0,IF(COUNTIFS($A$2:A505,A505,$F$2:F505,F505,$L$2:L505,L505)=1,1,0))</f>
        <v>1</v>
      </c>
      <c r="P505" s="55">
        <f>IF(A505="",0,IF(AND(F505="C&amp;T",COUNTIFS($A$2:A505,A505,$F$2:F505,"C&amp;T")=1),1,0))</f>
        <v>0</v>
      </c>
    </row>
    <row r="506" spans="1:16" x14ac:dyDescent="0.35">
      <c r="A506" s="54">
        <f>IFERROR(IF(INDEX(SPOT_Import!$A$1:$Z$2488,506,'Live Data'!$C$12)="","",INDEX(SPOT_Import!$A$1:$Z$2488,506,'Live Data'!$C$12)),"")</f>
        <v>10429</v>
      </c>
      <c r="B506" s="54" t="str">
        <f>IFERROR(IF(INDEX(SPOT_Import!$A$1:$Z$2488,506,'Live Data'!$C$13)="","",INDEX(SPOT_Import!$A$1:$Z$2488,506,'Live Data'!$C$13)),"")</f>
        <v>Kaimbaga Dispensary</v>
      </c>
      <c r="C506" s="54" t="str">
        <f>IFERROR(IF(INDEX(SPOT_Import!$A$1:$Z$2488,506,'Live Data'!$C$14)="","",INDEX(SPOT_Import!$A$1:$Z$2488,506,'Live Data'!$C$14)),"")</f>
        <v>NYANDARUA</v>
      </c>
      <c r="D506" s="54" t="str">
        <f>IFERROR(IF(INDEX(SPOT_Import!$A$1:$Z$2488,506,'Live Data'!$C$15)="","",INDEX(SPOT_Import!$A$1:$Z$2488,506,'Live Data'!$C$15)),"")</f>
        <v>Olkalou</v>
      </c>
      <c r="E506" s="54" t="str">
        <f>IFERROR(IF(INDEX(SPOT_Import!$A$1:$Z$2488,506,'Live Data'!$C$16)="","",INDEX(SPOT_Import!$A$1:$Z$2488,506,'Live Data'!$C$16)),"")</f>
        <v>USAID Jamii Tekelezi</v>
      </c>
      <c r="F506" s="54" t="str">
        <f>IFERROR(IF(INDEX(SPOT_Import!$A$1:$Z$2488,506,'Live Data'!$C$17)="","",INDEX(SPOT_Import!$A$1:$Z$2488,506,'Live Data'!$C$17)),"")</f>
        <v>MNCH</v>
      </c>
      <c r="G506" s="54">
        <f>IFERROR(IF(INDEX(SPOT_Import!$A$1:$Z$2488,506,'Live Data'!$C$18)="","",INDEX(SPOT_Import!$A$1:$Z$2488,506,'Live Data'!$C$18)),"")</f>
        <v>4</v>
      </c>
      <c r="H506" s="54">
        <f>IFERROR(IF(INDEX(SPOT_Import!$A$1:$Z$2488,506,'Live Data'!$C$19)="","",INDEX(SPOT_Import!$A$1:$Z$2488,506,'Live Data'!$C$19)),"")</f>
        <v>4</v>
      </c>
      <c r="I506" s="54" t="str">
        <f>IFERROR(IF(INDEX(SPOT_Import!$A$1:$Z$2488,506,'Live Data'!$C$20)="","",INDEX(SPOT_Import!$A$1:$Z$2488,506,'Live Data'!$C$20)),"")</f>
        <v>Complete</v>
      </c>
      <c r="J506" s="54" t="str">
        <f>IFERROR(IF(INDEX(SPOT_Import!$A$1:$Z$2488,506,'Live Data'!$C$21)="","",INDEX(SPOT_Import!$A$1:$Z$2488,506,'Live Data'!$C$21)),"")</f>
        <v>2026-09-30T13:35:12.000Z</v>
      </c>
      <c r="K506" s="54" t="str">
        <f>IFERROR(IF(INDEX(SPOT_Import!$A$1:$Z$2488,506,'Live Data'!$C$22)="","",INDEX(SPOT_Import!$A$1:$Z$2488,506,'Live Data'!$C$22)),"")</f>
        <v>2026-09-30T13:35:12.000Z</v>
      </c>
      <c r="L506" s="55" t="str">
        <f t="shared" si="14"/>
        <v>2026-09</v>
      </c>
      <c r="M506" s="55" t="str">
        <f t="shared" si="15"/>
        <v>NYANDARUA</v>
      </c>
      <c r="N506" s="55" t="str">
        <f>IF(A506="","",IFERROR(INDEX('Cluster Map'!$A$4:$A$38,MATCH(M506,'Cluster Map'!$B$4:$B$38,0)),"Unmapped"))</f>
        <v>Cluster 4</v>
      </c>
      <c r="O506" s="55">
        <f>IF(A506="",0,IF(COUNTIFS($A$2:A506,A506,$F$2:F506,F506,$L$2:L506,L506)=1,1,0))</f>
        <v>1</v>
      </c>
      <c r="P506" s="55">
        <f>IF(A506="",0,IF(AND(F506="C&amp;T",COUNTIFS($A$2:A506,A506,$F$2:F506,"C&amp;T")=1),1,0))</f>
        <v>0</v>
      </c>
    </row>
    <row r="507" spans="1:16" x14ac:dyDescent="0.35">
      <c r="A507" s="54">
        <f>IFERROR(IF(INDEX(SPOT_Import!$A$1:$Z$2488,507,'Live Data'!$C$12)="","",INDEX(SPOT_Import!$A$1:$Z$2488,507,'Live Data'!$C$12)),"")</f>
        <v>10429</v>
      </c>
      <c r="B507" s="54" t="str">
        <f>IFERROR(IF(INDEX(SPOT_Import!$A$1:$Z$2488,507,'Live Data'!$C$13)="","",INDEX(SPOT_Import!$A$1:$Z$2488,507,'Live Data'!$C$13)),"")</f>
        <v>Kaimbaga Dispensary</v>
      </c>
      <c r="C507" s="54" t="str">
        <f>IFERROR(IF(INDEX(SPOT_Import!$A$1:$Z$2488,507,'Live Data'!$C$14)="","",INDEX(SPOT_Import!$A$1:$Z$2488,507,'Live Data'!$C$14)),"")</f>
        <v>NYANDARUA</v>
      </c>
      <c r="D507" s="54" t="str">
        <f>IFERROR(IF(INDEX(SPOT_Import!$A$1:$Z$2488,507,'Live Data'!$C$15)="","",INDEX(SPOT_Import!$A$1:$Z$2488,507,'Live Data'!$C$15)),"")</f>
        <v>Olkalou</v>
      </c>
      <c r="E507" s="54" t="str">
        <f>IFERROR(IF(INDEX(SPOT_Import!$A$1:$Z$2488,507,'Live Data'!$C$16)="","",INDEX(SPOT_Import!$A$1:$Z$2488,507,'Live Data'!$C$16)),"")</f>
        <v>USAID Jamii Tekelezi</v>
      </c>
      <c r="F507" s="54" t="str">
        <f>IFERROR(IF(INDEX(SPOT_Import!$A$1:$Z$2488,507,'Live Data'!$C$17)="","",INDEX(SPOT_Import!$A$1:$Z$2488,507,'Live Data'!$C$17)),"")</f>
        <v>HTS</v>
      </c>
      <c r="G507" s="54">
        <f>IFERROR(IF(INDEX(SPOT_Import!$A$1:$Z$2488,507,'Live Data'!$C$18)="","",INDEX(SPOT_Import!$A$1:$Z$2488,507,'Live Data'!$C$18)),"")</f>
        <v>182</v>
      </c>
      <c r="H507" s="54">
        <f>IFERROR(IF(INDEX(SPOT_Import!$A$1:$Z$2488,507,'Live Data'!$C$19)="","",INDEX(SPOT_Import!$A$1:$Z$2488,507,'Live Data'!$C$19)),"")</f>
        <v>182</v>
      </c>
      <c r="I507" s="54" t="str">
        <f>IFERROR(IF(INDEX(SPOT_Import!$A$1:$Z$2488,507,'Live Data'!$C$20)="","",INDEX(SPOT_Import!$A$1:$Z$2488,507,'Live Data'!$C$20)),"")</f>
        <v>Complete</v>
      </c>
      <c r="J507" s="54" t="str">
        <f>IFERROR(IF(INDEX(SPOT_Import!$A$1:$Z$2488,507,'Live Data'!$C$21)="","",INDEX(SPOT_Import!$A$1:$Z$2488,507,'Live Data'!$C$21)),"")</f>
        <v>2026-09-30T13:34:48.000Z</v>
      </c>
      <c r="K507" s="54" t="str">
        <f>IFERROR(IF(INDEX(SPOT_Import!$A$1:$Z$2488,507,'Live Data'!$C$22)="","",INDEX(SPOT_Import!$A$1:$Z$2488,507,'Live Data'!$C$22)),"")</f>
        <v>2026-09-30T13:34:48.000Z</v>
      </c>
      <c r="L507" s="55" t="str">
        <f t="shared" si="14"/>
        <v>2026-09</v>
      </c>
      <c r="M507" s="55" t="str">
        <f t="shared" si="15"/>
        <v>NYANDARUA</v>
      </c>
      <c r="N507" s="55" t="str">
        <f>IF(A507="","",IFERROR(INDEX('Cluster Map'!$A$4:$A$38,MATCH(M507,'Cluster Map'!$B$4:$B$38,0)),"Unmapped"))</f>
        <v>Cluster 4</v>
      </c>
      <c r="O507" s="55">
        <f>IF(A507="",0,IF(COUNTIFS($A$2:A507,A507,$F$2:F507,F507,$L$2:L507,L507)=1,1,0))</f>
        <v>1</v>
      </c>
      <c r="P507" s="55">
        <f>IF(A507="",0,IF(AND(F507="C&amp;T",COUNTIFS($A$2:A507,A507,$F$2:F507,"C&amp;T")=1),1,0))</f>
        <v>0</v>
      </c>
    </row>
    <row r="508" spans="1:16" x14ac:dyDescent="0.35">
      <c r="A508" s="54">
        <f>IFERROR(IF(INDEX(SPOT_Import!$A$1:$Z$2488,508,'Live Data'!$C$12)="","",INDEX(SPOT_Import!$A$1:$Z$2488,508,'Live Data'!$C$12)),"")</f>
        <v>12675</v>
      </c>
      <c r="B508" s="54" t="str">
        <f>IFERROR(IF(INDEX(SPOT_Import!$A$1:$Z$2488,508,'Live Data'!$C$13)="","",INDEX(SPOT_Import!$A$1:$Z$2488,508,'Live Data'!$C$13)),"")</f>
        <v>Nthambiro Dispensary</v>
      </c>
      <c r="C508" s="54" t="str">
        <f>IFERROR(IF(INDEX(SPOT_Import!$A$1:$Z$2488,508,'Live Data'!$C$14)="","",INDEX(SPOT_Import!$A$1:$Z$2488,508,'Live Data'!$C$14)),"")</f>
        <v>MERU</v>
      </c>
      <c r="D508" s="54" t="str">
        <f>IFERROR(IF(INDEX(SPOT_Import!$A$1:$Z$2488,508,'Live Data'!$C$15)="","",INDEX(SPOT_Import!$A$1:$Z$2488,508,'Live Data'!$C$15)),"")</f>
        <v>Igembe Central</v>
      </c>
      <c r="E508" s="54" t="str">
        <f>IFERROR(IF(INDEX(SPOT_Import!$A$1:$Z$2488,508,'Live Data'!$C$16)="","",INDEX(SPOT_Import!$A$1:$Z$2488,508,'Live Data'!$C$16)),"")</f>
        <v>USAID Jamii Tekelezi</v>
      </c>
      <c r="F508" s="54" t="str">
        <f>IFERROR(IF(INDEX(SPOT_Import!$A$1:$Z$2488,508,'Live Data'!$C$17)="","",INDEX(SPOT_Import!$A$1:$Z$2488,508,'Live Data'!$C$17)),"")</f>
        <v>PREP</v>
      </c>
      <c r="G508" s="54">
        <f>IFERROR(IF(INDEX(SPOT_Import!$A$1:$Z$2488,508,'Live Data'!$C$18)="","",INDEX(SPOT_Import!$A$1:$Z$2488,508,'Live Data'!$C$18)),"")</f>
        <v>1</v>
      </c>
      <c r="H508" s="54" t="str">
        <f>IFERROR(IF(INDEX(SPOT_Import!$A$1:$Z$2488,508,'Live Data'!$C$19)="","",INDEX(SPOT_Import!$A$1:$Z$2488,508,'Live Data'!$C$19)),"")</f>
        <v/>
      </c>
      <c r="I508" s="54" t="str">
        <f>IFERROR(IF(INDEX(SPOT_Import!$A$1:$Z$2488,508,'Live Data'!$C$20)="","",INDEX(SPOT_Import!$A$1:$Z$2488,508,'Live Data'!$C$20)),"")</f>
        <v>Incomplete</v>
      </c>
      <c r="J508" s="54" t="str">
        <f>IFERROR(IF(INDEX(SPOT_Import!$A$1:$Z$2488,508,'Live Data'!$C$21)="","",INDEX(SPOT_Import!$A$1:$Z$2488,508,'Live Data'!$C$21)),"")</f>
        <v>2026-09-11T10:02:24.000Z</v>
      </c>
      <c r="K508" s="54" t="str">
        <f>IFERROR(IF(INDEX(SPOT_Import!$A$1:$Z$2488,508,'Live Data'!$C$22)="","",INDEX(SPOT_Import!$A$1:$Z$2488,508,'Live Data'!$C$22)),"")</f>
        <v>2026-09-11T10:02:24.000Z</v>
      </c>
      <c r="L508" s="55" t="str">
        <f t="shared" si="14"/>
        <v>2026-09</v>
      </c>
      <c r="M508" s="55" t="str">
        <f t="shared" si="15"/>
        <v>MERU</v>
      </c>
      <c r="N508" s="55" t="str">
        <f>IF(A508="","",IFERROR(INDEX('Cluster Map'!$A$4:$A$38,MATCH(M508,'Cluster Map'!$B$4:$B$38,0)),"Unmapped"))</f>
        <v>Cluster 1</v>
      </c>
      <c r="O508" s="55">
        <f>IF(A508="",0,IF(COUNTIFS($A$2:A508,A508,$F$2:F508,F508,$L$2:L508,L508)=1,1,0))</f>
        <v>1</v>
      </c>
      <c r="P508" s="55">
        <f>IF(A508="",0,IF(AND(F508="C&amp;T",COUNTIFS($A$2:A508,A508,$F$2:F508,"C&amp;T")=1),1,0))</f>
        <v>0</v>
      </c>
    </row>
    <row r="509" spans="1:16" x14ac:dyDescent="0.35">
      <c r="A509" s="54">
        <f>IFERROR(IF(INDEX(SPOT_Import!$A$1:$Z$2488,509,'Live Data'!$C$12)="","",INDEX(SPOT_Import!$A$1:$Z$2488,509,'Live Data'!$C$12)),"")</f>
        <v>12041</v>
      </c>
      <c r="B509" s="54" t="str">
        <f>IFERROR(IF(INDEX(SPOT_Import!$A$1:$Z$2488,509,'Live Data'!$C$13)="","",INDEX(SPOT_Import!$A$1:$Z$2488,509,'Live Data'!$C$13)),"")</f>
        <v>Githongo District Hospital</v>
      </c>
      <c r="C509" s="54" t="str">
        <f>IFERROR(IF(INDEX(SPOT_Import!$A$1:$Z$2488,509,'Live Data'!$C$14)="","",INDEX(SPOT_Import!$A$1:$Z$2488,509,'Live Data'!$C$14)),"")</f>
        <v>MERU</v>
      </c>
      <c r="D509" s="54" t="str">
        <f>IFERROR(IF(INDEX(SPOT_Import!$A$1:$Z$2488,509,'Live Data'!$C$15)="","",INDEX(SPOT_Import!$A$1:$Z$2488,509,'Live Data'!$C$15)),"")</f>
        <v>Imenti Central</v>
      </c>
      <c r="E509" s="54" t="str">
        <f>IFERROR(IF(INDEX(SPOT_Import!$A$1:$Z$2488,509,'Live Data'!$C$16)="","",INDEX(SPOT_Import!$A$1:$Z$2488,509,'Live Data'!$C$16)),"")</f>
        <v>USAID Jamii Tekelezi</v>
      </c>
      <c r="F509" s="54" t="str">
        <f>IFERROR(IF(INDEX(SPOT_Import!$A$1:$Z$2488,509,'Live Data'!$C$17)="","",INDEX(SPOT_Import!$A$1:$Z$2488,509,'Live Data'!$C$17)),"")</f>
        <v>PREP</v>
      </c>
      <c r="G509" s="54">
        <f>IFERROR(IF(INDEX(SPOT_Import!$A$1:$Z$2488,509,'Live Data'!$C$18)="","",INDEX(SPOT_Import!$A$1:$Z$2488,509,'Live Data'!$C$18)),"")</f>
        <v>219</v>
      </c>
      <c r="H509" s="54" t="str">
        <f>IFERROR(IF(INDEX(SPOT_Import!$A$1:$Z$2488,509,'Live Data'!$C$19)="","",INDEX(SPOT_Import!$A$1:$Z$2488,509,'Live Data'!$C$19)),"")</f>
        <v/>
      </c>
      <c r="I509" s="54" t="str">
        <f>IFERROR(IF(INDEX(SPOT_Import!$A$1:$Z$2488,509,'Live Data'!$C$20)="","",INDEX(SPOT_Import!$A$1:$Z$2488,509,'Live Data'!$C$20)),"")</f>
        <v>Incomplete</v>
      </c>
      <c r="J509" s="54" t="str">
        <f>IFERROR(IF(INDEX(SPOT_Import!$A$1:$Z$2488,509,'Live Data'!$C$21)="","",INDEX(SPOT_Import!$A$1:$Z$2488,509,'Live Data'!$C$21)),"")</f>
        <v>2026-09-11T09:33:19.000Z</v>
      </c>
      <c r="K509" s="54" t="str">
        <f>IFERROR(IF(INDEX(SPOT_Import!$A$1:$Z$2488,509,'Live Data'!$C$22)="","",INDEX(SPOT_Import!$A$1:$Z$2488,509,'Live Data'!$C$22)),"")</f>
        <v>2026-09-11T09:33:19.000Z</v>
      </c>
      <c r="L509" s="55" t="str">
        <f t="shared" si="14"/>
        <v>2026-09</v>
      </c>
      <c r="M509" s="55" t="str">
        <f t="shared" si="15"/>
        <v>MERU</v>
      </c>
      <c r="N509" s="55" t="str">
        <f>IF(A509="","",IFERROR(INDEX('Cluster Map'!$A$4:$A$38,MATCH(M509,'Cluster Map'!$B$4:$B$38,0)),"Unmapped"))</f>
        <v>Cluster 1</v>
      </c>
      <c r="O509" s="55">
        <f>IF(A509="",0,IF(COUNTIFS($A$2:A509,A509,$F$2:F509,F509,$L$2:L509,L509)=1,1,0))</f>
        <v>1</v>
      </c>
      <c r="P509" s="55">
        <f>IF(A509="",0,IF(AND(F509="C&amp;T",COUNTIFS($A$2:A509,A509,$F$2:F509,"C&amp;T")=1),1,0))</f>
        <v>0</v>
      </c>
    </row>
    <row r="510" spans="1:16" x14ac:dyDescent="0.35">
      <c r="A510" s="54">
        <f>IFERROR(IF(INDEX(SPOT_Import!$A$1:$Z$2488,510,'Live Data'!$C$12)="","",INDEX(SPOT_Import!$A$1:$Z$2488,510,'Live Data'!$C$12)),"")</f>
        <v>11076</v>
      </c>
      <c r="B510" s="54" t="str">
        <f>IFERROR(IF(INDEX(SPOT_Import!$A$1:$Z$2488,510,'Live Data'!$C$13)="","",INDEX(SPOT_Import!$A$1:$Z$2488,510,'Live Data'!$C$13)),"")</f>
        <v>Subuku Dispensary (Nyandarua North)</v>
      </c>
      <c r="C510" s="54" t="str">
        <f>IFERROR(IF(INDEX(SPOT_Import!$A$1:$Z$2488,510,'Live Data'!$C$14)="","",INDEX(SPOT_Import!$A$1:$Z$2488,510,'Live Data'!$C$14)),"")</f>
        <v>NYANDARUA</v>
      </c>
      <c r="D510" s="54" t="str">
        <f>IFERROR(IF(INDEX(SPOT_Import!$A$1:$Z$2488,510,'Live Data'!$C$15)="","",INDEX(SPOT_Import!$A$1:$Z$2488,510,'Live Data'!$C$15)),"")</f>
        <v>Ndaragwa</v>
      </c>
      <c r="E510" s="54" t="str">
        <f>IFERROR(IF(INDEX(SPOT_Import!$A$1:$Z$2488,510,'Live Data'!$C$16)="","",INDEX(SPOT_Import!$A$1:$Z$2488,510,'Live Data'!$C$16)),"")</f>
        <v>USAID Jamii Tekelezi</v>
      </c>
      <c r="F510" s="54" t="str">
        <f>IFERROR(IF(INDEX(SPOT_Import!$A$1:$Z$2488,510,'Live Data'!$C$17)="","",INDEX(SPOT_Import!$A$1:$Z$2488,510,'Live Data'!$C$17)),"")</f>
        <v>PREP</v>
      </c>
      <c r="G510" s="54">
        <f>IFERROR(IF(INDEX(SPOT_Import!$A$1:$Z$2488,510,'Live Data'!$C$18)="","",INDEX(SPOT_Import!$A$1:$Z$2488,510,'Live Data'!$C$18)),"")</f>
        <v>6</v>
      </c>
      <c r="H510" s="54">
        <f>IFERROR(IF(INDEX(SPOT_Import!$A$1:$Z$2488,510,'Live Data'!$C$19)="","",INDEX(SPOT_Import!$A$1:$Z$2488,510,'Live Data'!$C$19)),"")</f>
        <v>6</v>
      </c>
      <c r="I510" s="54" t="str">
        <f>IFERROR(IF(INDEX(SPOT_Import!$A$1:$Z$2488,510,'Live Data'!$C$20)="","",INDEX(SPOT_Import!$A$1:$Z$2488,510,'Live Data'!$C$20)),"")</f>
        <v>Complete</v>
      </c>
      <c r="J510" s="54" t="str">
        <f>IFERROR(IF(INDEX(SPOT_Import!$A$1:$Z$2488,510,'Live Data'!$C$21)="","",INDEX(SPOT_Import!$A$1:$Z$2488,510,'Live Data'!$C$21)),"")</f>
        <v>2026-09-09T08:06:08.000Z</v>
      </c>
      <c r="K510" s="54" t="str">
        <f>IFERROR(IF(INDEX(SPOT_Import!$A$1:$Z$2488,510,'Live Data'!$C$22)="","",INDEX(SPOT_Import!$A$1:$Z$2488,510,'Live Data'!$C$22)),"")</f>
        <v>2026-09-09T08:06:08.000Z</v>
      </c>
      <c r="L510" s="55" t="str">
        <f t="shared" si="14"/>
        <v>2026-09</v>
      </c>
      <c r="M510" s="55" t="str">
        <f t="shared" si="15"/>
        <v>NYANDARUA</v>
      </c>
      <c r="N510" s="55" t="str">
        <f>IF(A510="","",IFERROR(INDEX('Cluster Map'!$A$4:$A$38,MATCH(M510,'Cluster Map'!$B$4:$B$38,0)),"Unmapped"))</f>
        <v>Cluster 4</v>
      </c>
      <c r="O510" s="55">
        <f>IF(A510="",0,IF(COUNTIFS($A$2:A510,A510,$F$2:F510,F510,$L$2:L510,L510)=1,1,0))</f>
        <v>1</v>
      </c>
      <c r="P510" s="55">
        <f>IF(A510="",0,IF(AND(F510="C&amp;T",COUNTIFS($A$2:A510,A510,$F$2:F510,"C&amp;T")=1),1,0))</f>
        <v>0</v>
      </c>
    </row>
    <row r="511" spans="1:16" x14ac:dyDescent="0.35">
      <c r="A511" s="54">
        <f>IFERROR(IF(INDEX(SPOT_Import!$A$1:$Z$2488,511,'Live Data'!$C$12)="","",INDEX(SPOT_Import!$A$1:$Z$2488,511,'Live Data'!$C$12)),"")</f>
        <v>10786</v>
      </c>
      <c r="B511" s="54" t="str">
        <f>IFERROR(IF(INDEX(SPOT_Import!$A$1:$Z$2488,511,'Live Data'!$C$13)="","",INDEX(SPOT_Import!$A$1:$Z$2488,511,'Live Data'!$C$13)),"")</f>
        <v>Murungaru Health Centre</v>
      </c>
      <c r="C511" s="54" t="str">
        <f>IFERROR(IF(INDEX(SPOT_Import!$A$1:$Z$2488,511,'Live Data'!$C$14)="","",INDEX(SPOT_Import!$A$1:$Z$2488,511,'Live Data'!$C$14)),"")</f>
        <v>NYANDARUA</v>
      </c>
      <c r="D511" s="54" t="str">
        <f>IFERROR(IF(INDEX(SPOT_Import!$A$1:$Z$2488,511,'Live Data'!$C$15)="","",INDEX(SPOT_Import!$A$1:$Z$2488,511,'Live Data'!$C$15)),"")</f>
        <v>Kinangop</v>
      </c>
      <c r="E511" s="54" t="str">
        <f>IFERROR(IF(INDEX(SPOT_Import!$A$1:$Z$2488,511,'Live Data'!$C$16)="","",INDEX(SPOT_Import!$A$1:$Z$2488,511,'Live Data'!$C$16)),"")</f>
        <v>USAID Jamii Tekelezi</v>
      </c>
      <c r="F511" s="54" t="str">
        <f>IFERROR(IF(INDEX(SPOT_Import!$A$1:$Z$2488,511,'Live Data'!$C$17)="","",INDEX(SPOT_Import!$A$1:$Z$2488,511,'Live Data'!$C$17)),"")</f>
        <v>HTS</v>
      </c>
      <c r="G511" s="54">
        <f>IFERROR(IF(INDEX(SPOT_Import!$A$1:$Z$2488,511,'Live Data'!$C$18)="","",INDEX(SPOT_Import!$A$1:$Z$2488,511,'Live Data'!$C$18)),"")</f>
        <v>2282</v>
      </c>
      <c r="H511" s="54" t="str">
        <f>IFERROR(IF(INDEX(SPOT_Import!$A$1:$Z$2488,511,'Live Data'!$C$19)="","",INDEX(SPOT_Import!$A$1:$Z$2488,511,'Live Data'!$C$19)),"")</f>
        <v/>
      </c>
      <c r="I511" s="54" t="str">
        <f>IFERROR(IF(INDEX(SPOT_Import!$A$1:$Z$2488,511,'Live Data'!$C$20)="","",INDEX(SPOT_Import!$A$1:$Z$2488,511,'Live Data'!$C$20)),"")</f>
        <v>Complete</v>
      </c>
      <c r="J511" s="54" t="str">
        <f>IFERROR(IF(INDEX(SPOT_Import!$A$1:$Z$2488,511,'Live Data'!$C$21)="","",INDEX(SPOT_Import!$A$1:$Z$2488,511,'Live Data'!$C$21)),"")</f>
        <v>2026-09-08T14:08:18.000Z</v>
      </c>
      <c r="K511" s="54" t="str">
        <f>IFERROR(IF(INDEX(SPOT_Import!$A$1:$Z$2488,511,'Live Data'!$C$22)="","",INDEX(SPOT_Import!$A$1:$Z$2488,511,'Live Data'!$C$22)),"")</f>
        <v>2026-09-08T14:08:18.000Z</v>
      </c>
      <c r="L511" s="55" t="str">
        <f t="shared" si="14"/>
        <v>2026-09</v>
      </c>
      <c r="M511" s="55" t="str">
        <f t="shared" si="15"/>
        <v>NYANDARUA</v>
      </c>
      <c r="N511" s="55" t="str">
        <f>IF(A511="","",IFERROR(INDEX('Cluster Map'!$A$4:$A$38,MATCH(M511,'Cluster Map'!$B$4:$B$38,0)),"Unmapped"))</f>
        <v>Cluster 4</v>
      </c>
      <c r="O511" s="55">
        <f>IF(A511="",0,IF(COUNTIFS($A$2:A511,A511,$F$2:F511,F511,$L$2:L511,L511)=1,1,0))</f>
        <v>1</v>
      </c>
      <c r="P511" s="55">
        <f>IF(A511="",0,IF(AND(F511="C&amp;T",COUNTIFS($A$2:A511,A511,$F$2:F511,"C&amp;T")=1),1,0))</f>
        <v>0</v>
      </c>
    </row>
    <row r="512" spans="1:16" x14ac:dyDescent="0.35">
      <c r="A512" s="54">
        <f>IFERROR(IF(INDEX(SPOT_Import!$A$1:$Z$2488,512,'Live Data'!$C$12)="","",INDEX(SPOT_Import!$A$1:$Z$2488,512,'Live Data'!$C$12)),"")</f>
        <v>10912</v>
      </c>
      <c r="B512" s="54" t="str">
        <f>IFERROR(IF(INDEX(SPOT_Import!$A$1:$Z$2488,512,'Live Data'!$C$13)="","",INDEX(SPOT_Import!$A$1:$Z$2488,512,'Live Data'!$C$13)),"")</f>
        <v>Old Mawingu Health Centre</v>
      </c>
      <c r="C512" s="54" t="str">
        <f>IFERROR(IF(INDEX(SPOT_Import!$A$1:$Z$2488,512,'Live Data'!$C$14)="","",INDEX(SPOT_Import!$A$1:$Z$2488,512,'Live Data'!$C$14)),"")</f>
        <v>NYANDARUA</v>
      </c>
      <c r="D512" s="54" t="str">
        <f>IFERROR(IF(INDEX(SPOT_Import!$A$1:$Z$2488,512,'Live Data'!$C$15)="","",INDEX(SPOT_Import!$A$1:$Z$2488,512,'Live Data'!$C$15)),"")</f>
        <v>Kipipiri</v>
      </c>
      <c r="E512" s="54" t="str">
        <f>IFERROR(IF(INDEX(SPOT_Import!$A$1:$Z$2488,512,'Live Data'!$C$16)="","",INDEX(SPOT_Import!$A$1:$Z$2488,512,'Live Data'!$C$16)),"")</f>
        <v>USAID Jamii Tekelezi</v>
      </c>
      <c r="F512" s="54" t="str">
        <f>IFERROR(IF(INDEX(SPOT_Import!$A$1:$Z$2488,512,'Live Data'!$C$17)="","",INDEX(SPOT_Import!$A$1:$Z$2488,512,'Live Data'!$C$17)),"")</f>
        <v>PREP</v>
      </c>
      <c r="G512" s="54">
        <f>IFERROR(IF(INDEX(SPOT_Import!$A$1:$Z$2488,512,'Live Data'!$C$18)="","",INDEX(SPOT_Import!$A$1:$Z$2488,512,'Live Data'!$C$18)),"")</f>
        <v>122</v>
      </c>
      <c r="H512" s="54" t="str">
        <f>IFERROR(IF(INDEX(SPOT_Import!$A$1:$Z$2488,512,'Live Data'!$C$19)="","",INDEX(SPOT_Import!$A$1:$Z$2488,512,'Live Data'!$C$19)),"")</f>
        <v/>
      </c>
      <c r="I512" s="54" t="str">
        <f>IFERROR(IF(INDEX(SPOT_Import!$A$1:$Z$2488,512,'Live Data'!$C$20)="","",INDEX(SPOT_Import!$A$1:$Z$2488,512,'Live Data'!$C$20)),"")</f>
        <v>Incomplete</v>
      </c>
      <c r="J512" s="54" t="str">
        <f>IFERROR(IF(INDEX(SPOT_Import!$A$1:$Z$2488,512,'Live Data'!$C$21)="","",INDEX(SPOT_Import!$A$1:$Z$2488,512,'Live Data'!$C$21)),"")</f>
        <v>2026-09-08T08:07:33.000Z</v>
      </c>
      <c r="K512" s="54" t="str">
        <f>IFERROR(IF(INDEX(SPOT_Import!$A$1:$Z$2488,512,'Live Data'!$C$22)="","",INDEX(SPOT_Import!$A$1:$Z$2488,512,'Live Data'!$C$22)),"")</f>
        <v>2026-09-08T08:07:33.000Z</v>
      </c>
      <c r="L512" s="55" t="str">
        <f t="shared" si="14"/>
        <v>2026-09</v>
      </c>
      <c r="M512" s="55" t="str">
        <f t="shared" si="15"/>
        <v>NYANDARUA</v>
      </c>
      <c r="N512" s="55" t="str">
        <f>IF(A512="","",IFERROR(INDEX('Cluster Map'!$A$4:$A$38,MATCH(M512,'Cluster Map'!$B$4:$B$38,0)),"Unmapped"))</f>
        <v>Cluster 4</v>
      </c>
      <c r="O512" s="55">
        <f>IF(A512="",0,IF(COUNTIFS($A$2:A512,A512,$F$2:F512,F512,$L$2:L512,L512)=1,1,0))</f>
        <v>1</v>
      </c>
      <c r="P512" s="55">
        <f>IF(A512="",0,IF(AND(F512="C&amp;T",COUNTIFS($A$2:A512,A512,$F$2:F512,"C&amp;T")=1),1,0))</f>
        <v>0</v>
      </c>
    </row>
    <row r="513" spans="1:16" x14ac:dyDescent="0.35">
      <c r="A513" s="54">
        <f>IFERROR(IF(INDEX(SPOT_Import!$A$1:$Z$2488,513,'Live Data'!$C$12)="","",INDEX(SPOT_Import!$A$1:$Z$2488,513,'Live Data'!$C$12)),"")</f>
        <v>10912</v>
      </c>
      <c r="B513" s="54" t="str">
        <f>IFERROR(IF(INDEX(SPOT_Import!$A$1:$Z$2488,513,'Live Data'!$C$13)="","",INDEX(SPOT_Import!$A$1:$Z$2488,513,'Live Data'!$C$13)),"")</f>
        <v>Old Mawingu Health Centre</v>
      </c>
      <c r="C513" s="54" t="str">
        <f>IFERROR(IF(INDEX(SPOT_Import!$A$1:$Z$2488,513,'Live Data'!$C$14)="","",INDEX(SPOT_Import!$A$1:$Z$2488,513,'Live Data'!$C$14)),"")</f>
        <v>NYANDARUA</v>
      </c>
      <c r="D513" s="54" t="str">
        <f>IFERROR(IF(INDEX(SPOT_Import!$A$1:$Z$2488,513,'Live Data'!$C$15)="","",INDEX(SPOT_Import!$A$1:$Z$2488,513,'Live Data'!$C$15)),"")</f>
        <v>Kipipiri</v>
      </c>
      <c r="E513" s="54" t="str">
        <f>IFERROR(IF(INDEX(SPOT_Import!$A$1:$Z$2488,513,'Live Data'!$C$16)="","",INDEX(SPOT_Import!$A$1:$Z$2488,513,'Live Data'!$C$16)),"")</f>
        <v>USAID Jamii Tekelezi</v>
      </c>
      <c r="F513" s="54" t="str">
        <f>IFERROR(IF(INDEX(SPOT_Import!$A$1:$Z$2488,513,'Live Data'!$C$17)="","",INDEX(SPOT_Import!$A$1:$Z$2488,513,'Live Data'!$C$17)),"")</f>
        <v>MNCH</v>
      </c>
      <c r="G513" s="54">
        <f>IFERROR(IF(INDEX(SPOT_Import!$A$1:$Z$2488,513,'Live Data'!$C$18)="","",INDEX(SPOT_Import!$A$1:$Z$2488,513,'Live Data'!$C$18)),"")</f>
        <v>84</v>
      </c>
      <c r="H513" s="54" t="str">
        <f>IFERROR(IF(INDEX(SPOT_Import!$A$1:$Z$2488,513,'Live Data'!$C$19)="","",INDEX(SPOT_Import!$A$1:$Z$2488,513,'Live Data'!$C$19)),"")</f>
        <v/>
      </c>
      <c r="I513" s="54" t="str">
        <f>IFERROR(IF(INDEX(SPOT_Import!$A$1:$Z$2488,513,'Live Data'!$C$20)="","",INDEX(SPOT_Import!$A$1:$Z$2488,513,'Live Data'!$C$20)),"")</f>
        <v>Incomplete</v>
      </c>
      <c r="J513" s="54" t="str">
        <f>IFERROR(IF(INDEX(SPOT_Import!$A$1:$Z$2488,513,'Live Data'!$C$21)="","",INDEX(SPOT_Import!$A$1:$Z$2488,513,'Live Data'!$C$21)),"")</f>
        <v>2026-09-08T08:07:28.000Z</v>
      </c>
      <c r="K513" s="54" t="str">
        <f>IFERROR(IF(INDEX(SPOT_Import!$A$1:$Z$2488,513,'Live Data'!$C$22)="","",INDEX(SPOT_Import!$A$1:$Z$2488,513,'Live Data'!$C$22)),"")</f>
        <v>2026-09-08T08:07:28.000Z</v>
      </c>
      <c r="L513" s="55" t="str">
        <f t="shared" si="14"/>
        <v>2026-09</v>
      </c>
      <c r="M513" s="55" t="str">
        <f t="shared" si="15"/>
        <v>NYANDARUA</v>
      </c>
      <c r="N513" s="55" t="str">
        <f>IF(A513="","",IFERROR(INDEX('Cluster Map'!$A$4:$A$38,MATCH(M513,'Cluster Map'!$B$4:$B$38,0)),"Unmapped"))</f>
        <v>Cluster 4</v>
      </c>
      <c r="O513" s="55">
        <f>IF(A513="",0,IF(COUNTIFS($A$2:A513,A513,$F$2:F513,F513,$L$2:L513,L513)=1,1,0))</f>
        <v>1</v>
      </c>
      <c r="P513" s="55">
        <f>IF(A513="",0,IF(AND(F513="C&amp;T",COUNTIFS($A$2:A513,A513,$F$2:F513,"C&amp;T")=1),1,0))</f>
        <v>0</v>
      </c>
    </row>
    <row r="514" spans="1:16" x14ac:dyDescent="0.35">
      <c r="A514" s="54">
        <f>IFERROR(IF(INDEX(SPOT_Import!$A$1:$Z$2488,514,'Live Data'!$C$12)="","",INDEX(SPOT_Import!$A$1:$Z$2488,514,'Live Data'!$C$12)),"")</f>
        <v>11126</v>
      </c>
      <c r="B514" s="54" t="str">
        <f>IFERROR(IF(INDEX(SPOT_Import!$A$1:$Z$2488,514,'Live Data'!$C$13)="","",INDEX(SPOT_Import!$A$1:$Z$2488,514,'Live Data'!$C$13)),"")</f>
        <v>Turasha Dispensary</v>
      </c>
      <c r="C514" s="54" t="str">
        <f>IFERROR(IF(INDEX(SPOT_Import!$A$1:$Z$2488,514,'Live Data'!$C$14)="","",INDEX(SPOT_Import!$A$1:$Z$2488,514,'Live Data'!$C$14)),"")</f>
        <v>NYANDARUA</v>
      </c>
      <c r="D514" s="54" t="str">
        <f>IFERROR(IF(INDEX(SPOT_Import!$A$1:$Z$2488,514,'Live Data'!$C$15)="","",INDEX(SPOT_Import!$A$1:$Z$2488,514,'Live Data'!$C$15)),"")</f>
        <v>Kipipiri</v>
      </c>
      <c r="E514" s="54" t="str">
        <f>IFERROR(IF(INDEX(SPOT_Import!$A$1:$Z$2488,514,'Live Data'!$C$16)="","",INDEX(SPOT_Import!$A$1:$Z$2488,514,'Live Data'!$C$16)),"")</f>
        <v>USAID Jamii Tekelezi</v>
      </c>
      <c r="F514" s="54" t="str">
        <f>IFERROR(IF(INDEX(SPOT_Import!$A$1:$Z$2488,514,'Live Data'!$C$17)="","",INDEX(SPOT_Import!$A$1:$Z$2488,514,'Live Data'!$C$17)),"")</f>
        <v>HTS</v>
      </c>
      <c r="G514" s="54">
        <f>IFERROR(IF(INDEX(SPOT_Import!$A$1:$Z$2488,514,'Live Data'!$C$18)="","",INDEX(SPOT_Import!$A$1:$Z$2488,514,'Live Data'!$C$18)),"")</f>
        <v>166</v>
      </c>
      <c r="H514" s="54">
        <f>IFERROR(IF(INDEX(SPOT_Import!$A$1:$Z$2488,514,'Live Data'!$C$19)="","",INDEX(SPOT_Import!$A$1:$Z$2488,514,'Live Data'!$C$19)),"")</f>
        <v>166</v>
      </c>
      <c r="I514" s="54" t="str">
        <f>IFERROR(IF(INDEX(SPOT_Import!$A$1:$Z$2488,514,'Live Data'!$C$20)="","",INDEX(SPOT_Import!$A$1:$Z$2488,514,'Live Data'!$C$20)),"")</f>
        <v>Complete</v>
      </c>
      <c r="J514" s="54" t="str">
        <f>IFERROR(IF(INDEX(SPOT_Import!$A$1:$Z$2488,514,'Live Data'!$C$21)="","",INDEX(SPOT_Import!$A$1:$Z$2488,514,'Live Data'!$C$21)),"")</f>
        <v>2026-09-08T06:00:13.000Z</v>
      </c>
      <c r="K514" s="54" t="str">
        <f>IFERROR(IF(INDEX(SPOT_Import!$A$1:$Z$2488,514,'Live Data'!$C$22)="","",INDEX(SPOT_Import!$A$1:$Z$2488,514,'Live Data'!$C$22)),"")</f>
        <v>2026-09-08T06:00:13.000Z</v>
      </c>
      <c r="L514" s="55" t="str">
        <f t="shared" ref="L514:L577" si="16">IF(A514="","",IF(ISNUMBER(K514),TEXT(K514,"yyyy-mm"),LEFT(K514,7)))</f>
        <v>2026-09</v>
      </c>
      <c r="M514" s="55" t="str">
        <f t="shared" ref="M514:M577" si="17">IF(A514="","",UPPER(TRIM(SUBSTITUTE(C514," - ","-"))))</f>
        <v>NYANDARUA</v>
      </c>
      <c r="N514" s="55" t="str">
        <f>IF(A514="","",IFERROR(INDEX('Cluster Map'!$A$4:$A$38,MATCH(M514,'Cluster Map'!$B$4:$B$38,0)),"Unmapped"))</f>
        <v>Cluster 4</v>
      </c>
      <c r="O514" s="55">
        <f>IF(A514="",0,IF(COUNTIFS($A$2:A514,A514,$F$2:F514,F514,$L$2:L514,L514)=1,1,0))</f>
        <v>1</v>
      </c>
      <c r="P514" s="55">
        <f>IF(A514="",0,IF(AND(F514="C&amp;T",COUNTIFS($A$2:A514,A514,$F$2:F514,"C&amp;T")=1),1,0))</f>
        <v>0</v>
      </c>
    </row>
    <row r="515" spans="1:16" x14ac:dyDescent="0.35">
      <c r="A515" s="54">
        <f>IFERROR(IF(INDEX(SPOT_Import!$A$1:$Z$2488,515,'Live Data'!$C$12)="","",INDEX(SPOT_Import!$A$1:$Z$2488,515,'Live Data'!$C$12)),"")</f>
        <v>12589</v>
      </c>
      <c r="B515" s="54" t="str">
        <f>IFERROR(IF(INDEX(SPOT_Import!$A$1:$Z$2488,515,'Live Data'!$C$13)="","",INDEX(SPOT_Import!$A$1:$Z$2488,515,'Live Data'!$C$13)),"")</f>
        <v>Muthambi Health Centre</v>
      </c>
      <c r="C515" s="54" t="str">
        <f>IFERROR(IF(INDEX(SPOT_Import!$A$1:$Z$2488,515,'Live Data'!$C$14)="","",INDEX(SPOT_Import!$A$1:$Z$2488,515,'Live Data'!$C$14)),"")</f>
        <v>THARAKA-NITHI</v>
      </c>
      <c r="D515" s="54" t="str">
        <f>IFERROR(IF(INDEX(SPOT_Import!$A$1:$Z$2488,515,'Live Data'!$C$15)="","",INDEX(SPOT_Import!$A$1:$Z$2488,515,'Live Data'!$C$15)),"")</f>
        <v>Muthambi</v>
      </c>
      <c r="E515" s="54" t="str">
        <f>IFERROR(IF(INDEX(SPOT_Import!$A$1:$Z$2488,515,'Live Data'!$C$16)="","",INDEX(SPOT_Import!$A$1:$Z$2488,515,'Live Data'!$C$16)),"")</f>
        <v>USAID Jamii Tekelezi</v>
      </c>
      <c r="F515" s="54" t="str">
        <f>IFERROR(IF(INDEX(SPOT_Import!$A$1:$Z$2488,515,'Live Data'!$C$17)="","",INDEX(SPOT_Import!$A$1:$Z$2488,515,'Live Data'!$C$17)),"")</f>
        <v>PREP</v>
      </c>
      <c r="G515" s="54">
        <f>IFERROR(IF(INDEX(SPOT_Import!$A$1:$Z$2488,515,'Live Data'!$C$18)="","",INDEX(SPOT_Import!$A$1:$Z$2488,515,'Live Data'!$C$18)),"")</f>
        <v>82</v>
      </c>
      <c r="H515" s="54">
        <f>IFERROR(IF(INDEX(SPOT_Import!$A$1:$Z$2488,515,'Live Data'!$C$19)="","",INDEX(SPOT_Import!$A$1:$Z$2488,515,'Live Data'!$C$19)),"")</f>
        <v>82</v>
      </c>
      <c r="I515" s="54" t="str">
        <f>IFERROR(IF(INDEX(SPOT_Import!$A$1:$Z$2488,515,'Live Data'!$C$20)="","",INDEX(SPOT_Import!$A$1:$Z$2488,515,'Live Data'!$C$20)),"")</f>
        <v>Complete</v>
      </c>
      <c r="J515" s="54" t="str">
        <f>IFERROR(IF(INDEX(SPOT_Import!$A$1:$Z$2488,515,'Live Data'!$C$21)="","",INDEX(SPOT_Import!$A$1:$Z$2488,515,'Live Data'!$C$21)),"")</f>
        <v>2026-09-07T13:03:19.000Z</v>
      </c>
      <c r="K515" s="54" t="str">
        <f>IFERROR(IF(INDEX(SPOT_Import!$A$1:$Z$2488,515,'Live Data'!$C$22)="","",INDEX(SPOT_Import!$A$1:$Z$2488,515,'Live Data'!$C$22)),"")</f>
        <v>2026-09-07T13:03:19.000Z</v>
      </c>
      <c r="L515" s="55" t="str">
        <f t="shared" si="16"/>
        <v>2026-09</v>
      </c>
      <c r="M515" s="55" t="str">
        <f t="shared" si="17"/>
        <v>THARAKA-NITHI</v>
      </c>
      <c r="N515" s="55" t="str">
        <f>IF(A515="","",IFERROR(INDEX('Cluster Map'!$A$4:$A$38,MATCH(M515,'Cluster Map'!$B$4:$B$38,0)),"Unmapped"))</f>
        <v>Cluster 2</v>
      </c>
      <c r="O515" s="55">
        <f>IF(A515="",0,IF(COUNTIFS($A$2:A515,A515,$F$2:F515,F515,$L$2:L515,L515)=1,1,0))</f>
        <v>1</v>
      </c>
      <c r="P515" s="55">
        <f>IF(A515="",0,IF(AND(F515="C&amp;T",COUNTIFS($A$2:A515,A515,$F$2:F515,"C&amp;T")=1),1,0))</f>
        <v>0</v>
      </c>
    </row>
    <row r="516" spans="1:16" x14ac:dyDescent="0.35">
      <c r="A516" s="54">
        <f>IFERROR(IF(INDEX(SPOT_Import!$A$1:$Z$2488,516,'Live Data'!$C$12)="","",INDEX(SPOT_Import!$A$1:$Z$2488,516,'Live Data'!$C$12)),"")</f>
        <v>12174</v>
      </c>
      <c r="B516" s="54" t="str">
        <f>IFERROR(IF(INDEX(SPOT_Import!$A$1:$Z$2488,516,'Live Data'!$C$13)="","",INDEX(SPOT_Import!$A$1:$Z$2488,516,'Live Data'!$C$13)),"")</f>
        <v>Kangeta Heaith Centre</v>
      </c>
      <c r="C516" s="54" t="str">
        <f>IFERROR(IF(INDEX(SPOT_Import!$A$1:$Z$2488,516,'Live Data'!$C$14)="","",INDEX(SPOT_Import!$A$1:$Z$2488,516,'Live Data'!$C$14)),"")</f>
        <v>MERU</v>
      </c>
      <c r="D516" s="54" t="str">
        <f>IFERROR(IF(INDEX(SPOT_Import!$A$1:$Z$2488,516,'Live Data'!$C$15)="","",INDEX(SPOT_Import!$A$1:$Z$2488,516,'Live Data'!$C$15)),"")</f>
        <v>Igembe Central</v>
      </c>
      <c r="E516" s="54" t="str">
        <f>IFERROR(IF(INDEX(SPOT_Import!$A$1:$Z$2488,516,'Live Data'!$C$16)="","",INDEX(SPOT_Import!$A$1:$Z$2488,516,'Live Data'!$C$16)),"")</f>
        <v>USAID Jamii Tekelezi</v>
      </c>
      <c r="F516" s="54" t="str">
        <f>IFERROR(IF(INDEX(SPOT_Import!$A$1:$Z$2488,516,'Live Data'!$C$17)="","",INDEX(SPOT_Import!$A$1:$Z$2488,516,'Live Data'!$C$17)),"")</f>
        <v>PREP</v>
      </c>
      <c r="G516" s="54">
        <f>IFERROR(IF(INDEX(SPOT_Import!$A$1:$Z$2488,516,'Live Data'!$C$18)="","",INDEX(SPOT_Import!$A$1:$Z$2488,516,'Live Data'!$C$18)),"")</f>
        <v>52</v>
      </c>
      <c r="H516" s="54" t="str">
        <f>IFERROR(IF(INDEX(SPOT_Import!$A$1:$Z$2488,516,'Live Data'!$C$19)="","",INDEX(SPOT_Import!$A$1:$Z$2488,516,'Live Data'!$C$19)),"")</f>
        <v/>
      </c>
      <c r="I516" s="54" t="str">
        <f>IFERROR(IF(INDEX(SPOT_Import!$A$1:$Z$2488,516,'Live Data'!$C$20)="","",INDEX(SPOT_Import!$A$1:$Z$2488,516,'Live Data'!$C$20)),"")</f>
        <v>Complete</v>
      </c>
      <c r="J516" s="54" t="str">
        <f>IFERROR(IF(INDEX(SPOT_Import!$A$1:$Z$2488,516,'Live Data'!$C$21)="","",INDEX(SPOT_Import!$A$1:$Z$2488,516,'Live Data'!$C$21)),"")</f>
        <v>2026-09-07T12:14:02.000Z</v>
      </c>
      <c r="K516" s="54" t="str">
        <f>IFERROR(IF(INDEX(SPOT_Import!$A$1:$Z$2488,516,'Live Data'!$C$22)="","",INDEX(SPOT_Import!$A$1:$Z$2488,516,'Live Data'!$C$22)),"")</f>
        <v>2026-09-07T12:14:02.000Z</v>
      </c>
      <c r="L516" s="55" t="str">
        <f t="shared" si="16"/>
        <v>2026-09</v>
      </c>
      <c r="M516" s="55" t="str">
        <f t="shared" si="17"/>
        <v>MERU</v>
      </c>
      <c r="N516" s="55" t="str">
        <f>IF(A516="","",IFERROR(INDEX('Cluster Map'!$A$4:$A$38,MATCH(M516,'Cluster Map'!$B$4:$B$38,0)),"Unmapped"))</f>
        <v>Cluster 1</v>
      </c>
      <c r="O516" s="55">
        <f>IF(A516="",0,IF(COUNTIFS($A$2:A516,A516,$F$2:F516,F516,$L$2:L516,L516)=1,1,0))</f>
        <v>1</v>
      </c>
      <c r="P516" s="55">
        <f>IF(A516="",0,IF(AND(F516="C&amp;T",COUNTIFS($A$2:A516,A516,$F$2:F516,"C&amp;T")=1),1,0))</f>
        <v>0</v>
      </c>
    </row>
    <row r="517" spans="1:16" x14ac:dyDescent="0.35">
      <c r="A517" s="54">
        <f>IFERROR(IF(INDEX(SPOT_Import!$A$1:$Z$2488,517,'Live Data'!$C$12)="","",INDEX(SPOT_Import!$A$1:$Z$2488,517,'Live Data'!$C$12)),"")</f>
        <v>12198</v>
      </c>
      <c r="B517" s="54" t="str">
        <f>IFERROR(IF(INDEX(SPOT_Import!$A$1:$Z$2488,517,'Live Data'!$C$13)="","",INDEX(SPOT_Import!$A$1:$Z$2488,517,'Live Data'!$C$13)),"")</f>
        <v>Karau Health Centre</v>
      </c>
      <c r="C517" s="54" t="str">
        <f>IFERROR(IF(INDEX(SPOT_Import!$A$1:$Z$2488,517,'Live Data'!$C$14)="","",INDEX(SPOT_Import!$A$1:$Z$2488,517,'Live Data'!$C$14)),"")</f>
        <v>EMBU</v>
      </c>
      <c r="D517" s="54" t="str">
        <f>IFERROR(IF(INDEX(SPOT_Import!$A$1:$Z$2488,517,'Live Data'!$C$15)="","",INDEX(SPOT_Import!$A$1:$Z$2488,517,'Live Data'!$C$15)),"")</f>
        <v>Manyatta</v>
      </c>
      <c r="E517" s="54" t="str">
        <f>IFERROR(IF(INDEX(SPOT_Import!$A$1:$Z$2488,517,'Live Data'!$C$16)="","",INDEX(SPOT_Import!$A$1:$Z$2488,517,'Live Data'!$C$16)),"")</f>
        <v>USAID Jamii Tekelezi</v>
      </c>
      <c r="F517" s="54" t="str">
        <f>IFERROR(IF(INDEX(SPOT_Import!$A$1:$Z$2488,517,'Live Data'!$C$17)="","",INDEX(SPOT_Import!$A$1:$Z$2488,517,'Live Data'!$C$17)),"")</f>
        <v>PREP</v>
      </c>
      <c r="G517" s="54">
        <f>IFERROR(IF(INDEX(SPOT_Import!$A$1:$Z$2488,517,'Live Data'!$C$18)="","",INDEX(SPOT_Import!$A$1:$Z$2488,517,'Live Data'!$C$18)),"")</f>
        <v>2</v>
      </c>
      <c r="H517" s="54" t="str">
        <f>IFERROR(IF(INDEX(SPOT_Import!$A$1:$Z$2488,517,'Live Data'!$C$19)="","",INDEX(SPOT_Import!$A$1:$Z$2488,517,'Live Data'!$C$19)),"")</f>
        <v/>
      </c>
      <c r="I517" s="54" t="str">
        <f>IFERROR(IF(INDEX(SPOT_Import!$A$1:$Z$2488,517,'Live Data'!$C$20)="","",INDEX(SPOT_Import!$A$1:$Z$2488,517,'Live Data'!$C$20)),"")</f>
        <v>Incomplete</v>
      </c>
      <c r="J517" s="54" t="str">
        <f>IFERROR(IF(INDEX(SPOT_Import!$A$1:$Z$2488,517,'Live Data'!$C$21)="","",INDEX(SPOT_Import!$A$1:$Z$2488,517,'Live Data'!$C$21)),"")</f>
        <v>2026-09-07T08:38:53.000Z</v>
      </c>
      <c r="K517" s="54" t="str">
        <f>IFERROR(IF(INDEX(SPOT_Import!$A$1:$Z$2488,517,'Live Data'!$C$22)="","",INDEX(SPOT_Import!$A$1:$Z$2488,517,'Live Data'!$C$22)),"")</f>
        <v>2026-09-07T08:38:53.000Z</v>
      </c>
      <c r="L517" s="55" t="str">
        <f t="shared" si="16"/>
        <v>2026-09</v>
      </c>
      <c r="M517" s="55" t="str">
        <f t="shared" si="17"/>
        <v>EMBU</v>
      </c>
      <c r="N517" s="55" t="str">
        <f>IF(A517="","",IFERROR(INDEX('Cluster Map'!$A$4:$A$38,MATCH(M517,'Cluster Map'!$B$4:$B$38,0)),"Unmapped"))</f>
        <v>Cluster 2</v>
      </c>
      <c r="O517" s="55">
        <f>IF(A517="",0,IF(COUNTIFS($A$2:A517,A517,$F$2:F517,F517,$L$2:L517,L517)=1,1,0))</f>
        <v>1</v>
      </c>
      <c r="P517" s="55">
        <f>IF(A517="",0,IF(AND(F517="C&amp;T",COUNTIFS($A$2:A517,A517,$F$2:F517,"C&amp;T")=1),1,0))</f>
        <v>0</v>
      </c>
    </row>
    <row r="518" spans="1:16" x14ac:dyDescent="0.35">
      <c r="A518" s="54">
        <f>IFERROR(IF(INDEX(SPOT_Import!$A$1:$Z$2488,518,'Live Data'!$C$12)="","",INDEX(SPOT_Import!$A$1:$Z$2488,518,'Live Data'!$C$12)),"")</f>
        <v>12198</v>
      </c>
      <c r="B518" s="54" t="str">
        <f>IFERROR(IF(INDEX(SPOT_Import!$A$1:$Z$2488,518,'Live Data'!$C$13)="","",INDEX(SPOT_Import!$A$1:$Z$2488,518,'Live Data'!$C$13)),"")</f>
        <v>Karau Health Centre</v>
      </c>
      <c r="C518" s="54" t="str">
        <f>IFERROR(IF(INDEX(SPOT_Import!$A$1:$Z$2488,518,'Live Data'!$C$14)="","",INDEX(SPOT_Import!$A$1:$Z$2488,518,'Live Data'!$C$14)),"")</f>
        <v>EMBU</v>
      </c>
      <c r="D518" s="54" t="str">
        <f>IFERROR(IF(INDEX(SPOT_Import!$A$1:$Z$2488,518,'Live Data'!$C$15)="","",INDEX(SPOT_Import!$A$1:$Z$2488,518,'Live Data'!$C$15)),"")</f>
        <v>Manyatta</v>
      </c>
      <c r="E518" s="54" t="str">
        <f>IFERROR(IF(INDEX(SPOT_Import!$A$1:$Z$2488,518,'Live Data'!$C$16)="","",INDEX(SPOT_Import!$A$1:$Z$2488,518,'Live Data'!$C$16)),"")</f>
        <v>USAID Jamii Tekelezi</v>
      </c>
      <c r="F518" s="54" t="str">
        <f>IFERROR(IF(INDEX(SPOT_Import!$A$1:$Z$2488,518,'Live Data'!$C$17)="","",INDEX(SPOT_Import!$A$1:$Z$2488,518,'Live Data'!$C$17)),"")</f>
        <v>MNCH</v>
      </c>
      <c r="G518" s="54">
        <f>IFERROR(IF(INDEX(SPOT_Import!$A$1:$Z$2488,518,'Live Data'!$C$18)="","",INDEX(SPOT_Import!$A$1:$Z$2488,518,'Live Data'!$C$18)),"")</f>
        <v>67</v>
      </c>
      <c r="H518" s="54" t="str">
        <f>IFERROR(IF(INDEX(SPOT_Import!$A$1:$Z$2488,518,'Live Data'!$C$19)="","",INDEX(SPOT_Import!$A$1:$Z$2488,518,'Live Data'!$C$19)),"")</f>
        <v/>
      </c>
      <c r="I518" s="54" t="str">
        <f>IFERROR(IF(INDEX(SPOT_Import!$A$1:$Z$2488,518,'Live Data'!$C$20)="","",INDEX(SPOT_Import!$A$1:$Z$2488,518,'Live Data'!$C$20)),"")</f>
        <v>Incomplete</v>
      </c>
      <c r="J518" s="54" t="str">
        <f>IFERROR(IF(INDEX(SPOT_Import!$A$1:$Z$2488,518,'Live Data'!$C$21)="","",INDEX(SPOT_Import!$A$1:$Z$2488,518,'Live Data'!$C$21)),"")</f>
        <v>2026-09-07T08:38:45.000Z</v>
      </c>
      <c r="K518" s="54" t="str">
        <f>IFERROR(IF(INDEX(SPOT_Import!$A$1:$Z$2488,518,'Live Data'!$C$22)="","",INDEX(SPOT_Import!$A$1:$Z$2488,518,'Live Data'!$C$22)),"")</f>
        <v>2026-09-07T08:38:45.000Z</v>
      </c>
      <c r="L518" s="55" t="str">
        <f t="shared" si="16"/>
        <v>2026-09</v>
      </c>
      <c r="M518" s="55" t="str">
        <f t="shared" si="17"/>
        <v>EMBU</v>
      </c>
      <c r="N518" s="55" t="str">
        <f>IF(A518="","",IFERROR(INDEX('Cluster Map'!$A$4:$A$38,MATCH(M518,'Cluster Map'!$B$4:$B$38,0)),"Unmapped"))</f>
        <v>Cluster 2</v>
      </c>
      <c r="O518" s="55">
        <f>IF(A518="",0,IF(COUNTIFS($A$2:A518,A518,$F$2:F518,F518,$L$2:L518,L518)=1,1,0))</f>
        <v>1</v>
      </c>
      <c r="P518" s="55">
        <f>IF(A518="",0,IF(AND(F518="C&amp;T",COUNTIFS($A$2:A518,A518,$F$2:F518,"C&amp;T")=1),1,0))</f>
        <v>0</v>
      </c>
    </row>
    <row r="519" spans="1:16" x14ac:dyDescent="0.35">
      <c r="A519" s="54">
        <f>IFERROR(IF(INDEX(SPOT_Import!$A$1:$Z$2488,519,'Live Data'!$C$12)="","",INDEX(SPOT_Import!$A$1:$Z$2488,519,'Live Data'!$C$12)),"")</f>
        <v>12198</v>
      </c>
      <c r="B519" s="54" t="str">
        <f>IFERROR(IF(INDEX(SPOT_Import!$A$1:$Z$2488,519,'Live Data'!$C$13)="","",INDEX(SPOT_Import!$A$1:$Z$2488,519,'Live Data'!$C$13)),"")</f>
        <v>Karau Health Centre</v>
      </c>
      <c r="C519" s="54" t="str">
        <f>IFERROR(IF(INDEX(SPOT_Import!$A$1:$Z$2488,519,'Live Data'!$C$14)="","",INDEX(SPOT_Import!$A$1:$Z$2488,519,'Live Data'!$C$14)),"")</f>
        <v>EMBU</v>
      </c>
      <c r="D519" s="54" t="str">
        <f>IFERROR(IF(INDEX(SPOT_Import!$A$1:$Z$2488,519,'Live Data'!$C$15)="","",INDEX(SPOT_Import!$A$1:$Z$2488,519,'Live Data'!$C$15)),"")</f>
        <v>Manyatta</v>
      </c>
      <c r="E519" s="54" t="str">
        <f>IFERROR(IF(INDEX(SPOT_Import!$A$1:$Z$2488,519,'Live Data'!$C$16)="","",INDEX(SPOT_Import!$A$1:$Z$2488,519,'Live Data'!$C$16)),"")</f>
        <v>USAID Jamii Tekelezi</v>
      </c>
      <c r="F519" s="54" t="str">
        <f>IFERROR(IF(INDEX(SPOT_Import!$A$1:$Z$2488,519,'Live Data'!$C$17)="","",INDEX(SPOT_Import!$A$1:$Z$2488,519,'Live Data'!$C$17)),"")</f>
        <v>HTS</v>
      </c>
      <c r="G519" s="54">
        <f>IFERROR(IF(INDEX(SPOT_Import!$A$1:$Z$2488,519,'Live Data'!$C$18)="","",INDEX(SPOT_Import!$A$1:$Z$2488,519,'Live Data'!$C$18)),"")</f>
        <v>7</v>
      </c>
      <c r="H519" s="54" t="str">
        <f>IFERROR(IF(INDEX(SPOT_Import!$A$1:$Z$2488,519,'Live Data'!$C$19)="","",INDEX(SPOT_Import!$A$1:$Z$2488,519,'Live Data'!$C$19)),"")</f>
        <v/>
      </c>
      <c r="I519" s="54" t="str">
        <f>IFERROR(IF(INDEX(SPOT_Import!$A$1:$Z$2488,519,'Live Data'!$C$20)="","",INDEX(SPOT_Import!$A$1:$Z$2488,519,'Live Data'!$C$20)),"")</f>
        <v>Incomplete</v>
      </c>
      <c r="J519" s="54" t="str">
        <f>IFERROR(IF(INDEX(SPOT_Import!$A$1:$Z$2488,519,'Live Data'!$C$21)="","",INDEX(SPOT_Import!$A$1:$Z$2488,519,'Live Data'!$C$21)),"")</f>
        <v>2026-09-07T08:38:24.000Z</v>
      </c>
      <c r="K519" s="54" t="str">
        <f>IFERROR(IF(INDEX(SPOT_Import!$A$1:$Z$2488,519,'Live Data'!$C$22)="","",INDEX(SPOT_Import!$A$1:$Z$2488,519,'Live Data'!$C$22)),"")</f>
        <v>2026-09-07T08:38:24.000Z</v>
      </c>
      <c r="L519" s="55" t="str">
        <f t="shared" si="16"/>
        <v>2026-09</v>
      </c>
      <c r="M519" s="55" t="str">
        <f t="shared" si="17"/>
        <v>EMBU</v>
      </c>
      <c r="N519" s="55" t="str">
        <f>IF(A519="","",IFERROR(INDEX('Cluster Map'!$A$4:$A$38,MATCH(M519,'Cluster Map'!$B$4:$B$38,0)),"Unmapped"))</f>
        <v>Cluster 2</v>
      </c>
      <c r="O519" s="55">
        <f>IF(A519="",0,IF(COUNTIFS($A$2:A519,A519,$F$2:F519,F519,$L$2:L519,L519)=1,1,0))</f>
        <v>1</v>
      </c>
      <c r="P519" s="55">
        <f>IF(A519="",0,IF(AND(F519="C&amp;T",COUNTIFS($A$2:A519,A519,$F$2:F519,"C&amp;T")=1),1,0))</f>
        <v>0</v>
      </c>
    </row>
    <row r="520" spans="1:16" x14ac:dyDescent="0.35">
      <c r="A520" s="54">
        <f>IFERROR(IF(INDEX(SPOT_Import!$A$1:$Z$2488,520,'Live Data'!$C$12)="","",INDEX(SPOT_Import!$A$1:$Z$2488,520,'Live Data'!$C$12)),"")</f>
        <v>12300</v>
      </c>
      <c r="B520" s="54" t="str">
        <f>IFERROR(IF(INDEX(SPOT_Import!$A$1:$Z$2488,520,'Live Data'!$C$13)="","",INDEX(SPOT_Import!$A$1:$Z$2488,520,'Live Data'!$C$13)),"")</f>
        <v>Kigumo Health center</v>
      </c>
      <c r="C520" s="54" t="str">
        <f>IFERROR(IF(INDEX(SPOT_Import!$A$1:$Z$2488,520,'Live Data'!$C$14)="","",INDEX(SPOT_Import!$A$1:$Z$2488,520,'Live Data'!$C$14)),"")</f>
        <v>EMBU</v>
      </c>
      <c r="D520" s="54" t="str">
        <f>IFERROR(IF(INDEX(SPOT_Import!$A$1:$Z$2488,520,'Live Data'!$C$15)="","",INDEX(SPOT_Import!$A$1:$Z$2488,520,'Live Data'!$C$15)),"")</f>
        <v>Runyenjes</v>
      </c>
      <c r="E520" s="54" t="str">
        <f>IFERROR(IF(INDEX(SPOT_Import!$A$1:$Z$2488,520,'Live Data'!$C$16)="","",INDEX(SPOT_Import!$A$1:$Z$2488,520,'Live Data'!$C$16)),"")</f>
        <v>USAID Jamii Tekelezi</v>
      </c>
      <c r="F520" s="54" t="str">
        <f>IFERROR(IF(INDEX(SPOT_Import!$A$1:$Z$2488,520,'Live Data'!$C$17)="","",INDEX(SPOT_Import!$A$1:$Z$2488,520,'Live Data'!$C$17)),"")</f>
        <v>MNCH</v>
      </c>
      <c r="G520" s="54">
        <f>IFERROR(IF(INDEX(SPOT_Import!$A$1:$Z$2488,520,'Live Data'!$C$18)="","",INDEX(SPOT_Import!$A$1:$Z$2488,520,'Live Data'!$C$18)),"")</f>
        <v>23</v>
      </c>
      <c r="H520" s="54">
        <f>IFERROR(IF(INDEX(SPOT_Import!$A$1:$Z$2488,520,'Live Data'!$C$19)="","",INDEX(SPOT_Import!$A$1:$Z$2488,520,'Live Data'!$C$19)),"")</f>
        <v>23</v>
      </c>
      <c r="I520" s="54" t="str">
        <f>IFERROR(IF(INDEX(SPOT_Import!$A$1:$Z$2488,520,'Live Data'!$C$20)="","",INDEX(SPOT_Import!$A$1:$Z$2488,520,'Live Data'!$C$20)),"")</f>
        <v>Complete</v>
      </c>
      <c r="J520" s="54" t="str">
        <f>IFERROR(IF(INDEX(SPOT_Import!$A$1:$Z$2488,520,'Live Data'!$C$21)="","",INDEX(SPOT_Import!$A$1:$Z$2488,520,'Live Data'!$C$21)),"")</f>
        <v>2026-09-04T11:57:18.000Z</v>
      </c>
      <c r="K520" s="54" t="str">
        <f>IFERROR(IF(INDEX(SPOT_Import!$A$1:$Z$2488,520,'Live Data'!$C$22)="","",INDEX(SPOT_Import!$A$1:$Z$2488,520,'Live Data'!$C$22)),"")</f>
        <v>2026-09-04T11:57:18.000Z</v>
      </c>
      <c r="L520" s="55" t="str">
        <f t="shared" si="16"/>
        <v>2026-09</v>
      </c>
      <c r="M520" s="55" t="str">
        <f t="shared" si="17"/>
        <v>EMBU</v>
      </c>
      <c r="N520" s="55" t="str">
        <f>IF(A520="","",IFERROR(INDEX('Cluster Map'!$A$4:$A$38,MATCH(M520,'Cluster Map'!$B$4:$B$38,0)),"Unmapped"))</f>
        <v>Cluster 2</v>
      </c>
      <c r="O520" s="55">
        <f>IF(A520="",0,IF(COUNTIFS($A$2:A520,A520,$F$2:F520,F520,$L$2:L520,L520)=1,1,0))</f>
        <v>1</v>
      </c>
      <c r="P520" s="55">
        <f>IF(A520="",0,IF(AND(F520="C&amp;T",COUNTIFS($A$2:A520,A520,$F$2:F520,"C&amp;T")=1),1,0))</f>
        <v>0</v>
      </c>
    </row>
    <row r="521" spans="1:16" x14ac:dyDescent="0.35">
      <c r="A521" s="54">
        <f>IFERROR(IF(INDEX(SPOT_Import!$A$1:$Z$2488,521,'Live Data'!$C$12)="","",INDEX(SPOT_Import!$A$1:$Z$2488,521,'Live Data'!$C$12)),"")</f>
        <v>12300</v>
      </c>
      <c r="B521" s="54" t="str">
        <f>IFERROR(IF(INDEX(SPOT_Import!$A$1:$Z$2488,521,'Live Data'!$C$13)="","",INDEX(SPOT_Import!$A$1:$Z$2488,521,'Live Data'!$C$13)),"")</f>
        <v>Kigumo Health center</v>
      </c>
      <c r="C521" s="54" t="str">
        <f>IFERROR(IF(INDEX(SPOT_Import!$A$1:$Z$2488,521,'Live Data'!$C$14)="","",INDEX(SPOT_Import!$A$1:$Z$2488,521,'Live Data'!$C$14)),"")</f>
        <v>EMBU</v>
      </c>
      <c r="D521" s="54" t="str">
        <f>IFERROR(IF(INDEX(SPOT_Import!$A$1:$Z$2488,521,'Live Data'!$C$15)="","",INDEX(SPOT_Import!$A$1:$Z$2488,521,'Live Data'!$C$15)),"")</f>
        <v>Runyenjes</v>
      </c>
      <c r="E521" s="54" t="str">
        <f>IFERROR(IF(INDEX(SPOT_Import!$A$1:$Z$2488,521,'Live Data'!$C$16)="","",INDEX(SPOT_Import!$A$1:$Z$2488,521,'Live Data'!$C$16)),"")</f>
        <v>USAID Jamii Tekelezi</v>
      </c>
      <c r="F521" s="54" t="str">
        <f>IFERROR(IF(INDEX(SPOT_Import!$A$1:$Z$2488,521,'Live Data'!$C$17)="","",INDEX(SPOT_Import!$A$1:$Z$2488,521,'Live Data'!$C$17)),"")</f>
        <v>HTS</v>
      </c>
      <c r="G521" s="54">
        <f>IFERROR(IF(INDEX(SPOT_Import!$A$1:$Z$2488,521,'Live Data'!$C$18)="","",INDEX(SPOT_Import!$A$1:$Z$2488,521,'Live Data'!$C$18)),"")</f>
        <v>11</v>
      </c>
      <c r="H521" s="54">
        <f>IFERROR(IF(INDEX(SPOT_Import!$A$1:$Z$2488,521,'Live Data'!$C$19)="","",INDEX(SPOT_Import!$A$1:$Z$2488,521,'Live Data'!$C$19)),"")</f>
        <v>11</v>
      </c>
      <c r="I521" s="54" t="str">
        <f>IFERROR(IF(INDEX(SPOT_Import!$A$1:$Z$2488,521,'Live Data'!$C$20)="","",INDEX(SPOT_Import!$A$1:$Z$2488,521,'Live Data'!$C$20)),"")</f>
        <v>Complete</v>
      </c>
      <c r="J521" s="54" t="str">
        <f>IFERROR(IF(INDEX(SPOT_Import!$A$1:$Z$2488,521,'Live Data'!$C$21)="","",INDEX(SPOT_Import!$A$1:$Z$2488,521,'Live Data'!$C$21)),"")</f>
        <v>2026-09-04T11:57:08.000Z</v>
      </c>
      <c r="K521" s="54" t="str">
        <f>IFERROR(IF(INDEX(SPOT_Import!$A$1:$Z$2488,521,'Live Data'!$C$22)="","",INDEX(SPOT_Import!$A$1:$Z$2488,521,'Live Data'!$C$22)),"")</f>
        <v>2026-09-04T11:57:08.000Z</v>
      </c>
      <c r="L521" s="55" t="str">
        <f t="shared" si="16"/>
        <v>2026-09</v>
      </c>
      <c r="M521" s="55" t="str">
        <f t="shared" si="17"/>
        <v>EMBU</v>
      </c>
      <c r="N521" s="55" t="str">
        <f>IF(A521="","",IFERROR(INDEX('Cluster Map'!$A$4:$A$38,MATCH(M521,'Cluster Map'!$B$4:$B$38,0)),"Unmapped"))</f>
        <v>Cluster 2</v>
      </c>
      <c r="O521" s="55">
        <f>IF(A521="",0,IF(COUNTIFS($A$2:A521,A521,$F$2:F521,F521,$L$2:L521,L521)=1,1,0))</f>
        <v>1</v>
      </c>
      <c r="P521" s="55">
        <f>IF(A521="",0,IF(AND(F521="C&amp;T",COUNTIFS($A$2:A521,A521,$F$2:F521,"C&amp;T")=1),1,0))</f>
        <v>0</v>
      </c>
    </row>
    <row r="522" spans="1:16" x14ac:dyDescent="0.35">
      <c r="A522" s="54">
        <f>IFERROR(IF(INDEX(SPOT_Import!$A$1:$Z$2488,522,'Live Data'!$C$12)="","",INDEX(SPOT_Import!$A$1:$Z$2488,522,'Live Data'!$C$12)),"")</f>
        <v>12563</v>
      </c>
      <c r="B522" s="54" t="str">
        <f>IFERROR(IF(INDEX(SPOT_Import!$A$1:$Z$2488,522,'Live Data'!$C$13)="","",INDEX(SPOT_Import!$A$1:$Z$2488,522,'Live Data'!$C$13)),"")</f>
        <v>Mukuuni Dispensary</v>
      </c>
      <c r="C522" s="54" t="str">
        <f>IFERROR(IF(INDEX(SPOT_Import!$A$1:$Z$2488,522,'Live Data'!$C$14)="","",INDEX(SPOT_Import!$A$1:$Z$2488,522,'Live Data'!$C$14)),"")</f>
        <v>THARAKA-NITHI</v>
      </c>
      <c r="D522" s="54" t="str">
        <f>IFERROR(IF(INDEX(SPOT_Import!$A$1:$Z$2488,522,'Live Data'!$C$15)="","",INDEX(SPOT_Import!$A$1:$Z$2488,522,'Live Data'!$C$15)),"")</f>
        <v>Chuka</v>
      </c>
      <c r="E522" s="54" t="str">
        <f>IFERROR(IF(INDEX(SPOT_Import!$A$1:$Z$2488,522,'Live Data'!$C$16)="","",INDEX(SPOT_Import!$A$1:$Z$2488,522,'Live Data'!$C$16)),"")</f>
        <v>USAID Jamii Tekelezi</v>
      </c>
      <c r="F522" s="54" t="str">
        <f>IFERROR(IF(INDEX(SPOT_Import!$A$1:$Z$2488,522,'Live Data'!$C$17)="","",INDEX(SPOT_Import!$A$1:$Z$2488,522,'Live Data'!$C$17)),"")</f>
        <v>HTS</v>
      </c>
      <c r="G522" s="54">
        <f>IFERROR(IF(INDEX(SPOT_Import!$A$1:$Z$2488,522,'Live Data'!$C$18)="","",INDEX(SPOT_Import!$A$1:$Z$2488,522,'Live Data'!$C$18)),"")</f>
        <v>988</v>
      </c>
      <c r="H522" s="54">
        <f>IFERROR(IF(INDEX(SPOT_Import!$A$1:$Z$2488,522,'Live Data'!$C$19)="","",INDEX(SPOT_Import!$A$1:$Z$2488,522,'Live Data'!$C$19)),"")</f>
        <v>1000</v>
      </c>
      <c r="I522" s="54" t="str">
        <f>IFERROR(IF(INDEX(SPOT_Import!$A$1:$Z$2488,522,'Live Data'!$C$20)="","",INDEX(SPOT_Import!$A$1:$Z$2488,522,'Live Data'!$C$20)),"")</f>
        <v>Complete</v>
      </c>
      <c r="J522" s="54" t="str">
        <f>IFERROR(IF(INDEX(SPOT_Import!$A$1:$Z$2488,522,'Live Data'!$C$21)="","",INDEX(SPOT_Import!$A$1:$Z$2488,522,'Live Data'!$C$21)),"")</f>
        <v>2026-09-04T09:28:26.000Z</v>
      </c>
      <c r="K522" s="54" t="str">
        <f>IFERROR(IF(INDEX(SPOT_Import!$A$1:$Z$2488,522,'Live Data'!$C$22)="","",INDEX(SPOT_Import!$A$1:$Z$2488,522,'Live Data'!$C$22)),"")</f>
        <v>2026-09-04T09:28:26.000Z</v>
      </c>
      <c r="L522" s="55" t="str">
        <f t="shared" si="16"/>
        <v>2026-09</v>
      </c>
      <c r="M522" s="55" t="str">
        <f t="shared" si="17"/>
        <v>THARAKA-NITHI</v>
      </c>
      <c r="N522" s="55" t="str">
        <f>IF(A522="","",IFERROR(INDEX('Cluster Map'!$A$4:$A$38,MATCH(M522,'Cluster Map'!$B$4:$B$38,0)),"Unmapped"))</f>
        <v>Cluster 2</v>
      </c>
      <c r="O522" s="55">
        <f>IF(A522="",0,IF(COUNTIFS($A$2:A522,A522,$F$2:F522,F522,$L$2:L522,L522)=1,1,0))</f>
        <v>1</v>
      </c>
      <c r="P522" s="55">
        <f>IF(A522="",0,IF(AND(F522="C&amp;T",COUNTIFS($A$2:A522,A522,$F$2:F522,"C&amp;T")=1),1,0))</f>
        <v>0</v>
      </c>
    </row>
    <row r="523" spans="1:16" x14ac:dyDescent="0.35">
      <c r="A523" s="54">
        <f>IFERROR(IF(INDEX(SPOT_Import!$A$1:$Z$2488,523,'Live Data'!$C$12)="","",INDEX(SPOT_Import!$A$1:$Z$2488,523,'Live Data'!$C$12)),"")</f>
        <v>12226</v>
      </c>
      <c r="B523" s="54" t="str">
        <f>IFERROR(IF(INDEX(SPOT_Import!$A$1:$Z$2488,523,'Live Data'!$C$13)="","",INDEX(SPOT_Import!$A$1:$Z$2488,523,'Live Data'!$C$13)),"")</f>
        <v>Kathanje Dispensary</v>
      </c>
      <c r="C523" s="54" t="str">
        <f>IFERROR(IF(INDEX(SPOT_Import!$A$1:$Z$2488,523,'Live Data'!$C$14)="","",INDEX(SPOT_Import!$A$1:$Z$2488,523,'Live Data'!$C$14)),"")</f>
        <v>EMBU</v>
      </c>
      <c r="D523" s="54" t="str">
        <f>IFERROR(IF(INDEX(SPOT_Import!$A$1:$Z$2488,523,'Live Data'!$C$15)="","",INDEX(SPOT_Import!$A$1:$Z$2488,523,'Live Data'!$C$15)),"")</f>
        <v>Mbeere North</v>
      </c>
      <c r="E523" s="54" t="str">
        <f>IFERROR(IF(INDEX(SPOT_Import!$A$1:$Z$2488,523,'Live Data'!$C$16)="","",INDEX(SPOT_Import!$A$1:$Z$2488,523,'Live Data'!$C$16)),"")</f>
        <v>USAID Jamii Tekelezi</v>
      </c>
      <c r="F523" s="54" t="str">
        <f>IFERROR(IF(INDEX(SPOT_Import!$A$1:$Z$2488,523,'Live Data'!$C$17)="","",INDEX(SPOT_Import!$A$1:$Z$2488,523,'Live Data'!$C$17)),"")</f>
        <v>MNCH</v>
      </c>
      <c r="G523" s="54">
        <f>IFERROR(IF(INDEX(SPOT_Import!$A$1:$Z$2488,523,'Live Data'!$C$18)="","",INDEX(SPOT_Import!$A$1:$Z$2488,523,'Live Data'!$C$18)),"")</f>
        <v>4</v>
      </c>
      <c r="H523" s="54" t="str">
        <f>IFERROR(IF(INDEX(SPOT_Import!$A$1:$Z$2488,523,'Live Data'!$C$19)="","",INDEX(SPOT_Import!$A$1:$Z$2488,523,'Live Data'!$C$19)),"")</f>
        <v/>
      </c>
      <c r="I523" s="54" t="str">
        <f>IFERROR(IF(INDEX(SPOT_Import!$A$1:$Z$2488,523,'Live Data'!$C$20)="","",INDEX(SPOT_Import!$A$1:$Z$2488,523,'Live Data'!$C$20)),"")</f>
        <v>Incomplete</v>
      </c>
      <c r="J523" s="54" t="str">
        <f>IFERROR(IF(INDEX(SPOT_Import!$A$1:$Z$2488,523,'Live Data'!$C$21)="","",INDEX(SPOT_Import!$A$1:$Z$2488,523,'Live Data'!$C$21)),"")</f>
        <v>2026-09-03T09:45:33.000Z</v>
      </c>
      <c r="K523" s="54" t="str">
        <f>IFERROR(IF(INDEX(SPOT_Import!$A$1:$Z$2488,523,'Live Data'!$C$22)="","",INDEX(SPOT_Import!$A$1:$Z$2488,523,'Live Data'!$C$22)),"")</f>
        <v>2026-09-03T09:45:33.000Z</v>
      </c>
      <c r="L523" s="55" t="str">
        <f t="shared" si="16"/>
        <v>2026-09</v>
      </c>
      <c r="M523" s="55" t="str">
        <f t="shared" si="17"/>
        <v>EMBU</v>
      </c>
      <c r="N523" s="55" t="str">
        <f>IF(A523="","",IFERROR(INDEX('Cluster Map'!$A$4:$A$38,MATCH(M523,'Cluster Map'!$B$4:$B$38,0)),"Unmapped"))</f>
        <v>Cluster 2</v>
      </c>
      <c r="O523" s="55">
        <f>IF(A523="",0,IF(COUNTIFS($A$2:A523,A523,$F$2:F523,F523,$L$2:L523,L523)=1,1,0))</f>
        <v>1</v>
      </c>
      <c r="P523" s="55">
        <f>IF(A523="",0,IF(AND(F523="C&amp;T",COUNTIFS($A$2:A523,A523,$F$2:F523,"C&amp;T")=1),1,0))</f>
        <v>0</v>
      </c>
    </row>
    <row r="524" spans="1:16" x14ac:dyDescent="0.35">
      <c r="A524" s="54">
        <f>IFERROR(IF(INDEX(SPOT_Import!$A$1:$Z$2488,524,'Live Data'!$C$12)="","",INDEX(SPOT_Import!$A$1:$Z$2488,524,'Live Data'!$C$12)),"")</f>
        <v>12232</v>
      </c>
      <c r="B524" s="54" t="str">
        <f>IFERROR(IF(INDEX(SPOT_Import!$A$1:$Z$2488,524,'Live Data'!$C$13)="","",INDEX(SPOT_Import!$A$1:$Z$2488,524,'Live Data'!$C$13)),"")</f>
        <v>Kathigu Health Centre</v>
      </c>
      <c r="C524" s="54" t="str">
        <f>IFERROR(IF(INDEX(SPOT_Import!$A$1:$Z$2488,524,'Live Data'!$C$14)="","",INDEX(SPOT_Import!$A$1:$Z$2488,524,'Live Data'!$C$14)),"")</f>
        <v>MERU</v>
      </c>
      <c r="D524" s="54" t="str">
        <f>IFERROR(IF(INDEX(SPOT_Import!$A$1:$Z$2488,524,'Live Data'!$C$15)="","",INDEX(SPOT_Import!$A$1:$Z$2488,524,'Live Data'!$C$15)),"")</f>
        <v>Imenti South</v>
      </c>
      <c r="E524" s="54" t="str">
        <f>IFERROR(IF(INDEX(SPOT_Import!$A$1:$Z$2488,524,'Live Data'!$C$16)="","",INDEX(SPOT_Import!$A$1:$Z$2488,524,'Live Data'!$C$16)),"")</f>
        <v>USAID Jamii Tekelezi</v>
      </c>
      <c r="F524" s="54" t="str">
        <f>IFERROR(IF(INDEX(SPOT_Import!$A$1:$Z$2488,524,'Live Data'!$C$17)="","",INDEX(SPOT_Import!$A$1:$Z$2488,524,'Live Data'!$C$17)),"")</f>
        <v>MNCH</v>
      </c>
      <c r="G524" s="54">
        <f>IFERROR(IF(INDEX(SPOT_Import!$A$1:$Z$2488,524,'Live Data'!$C$18)="","",INDEX(SPOT_Import!$A$1:$Z$2488,524,'Live Data'!$C$18)),"")</f>
        <v>1</v>
      </c>
      <c r="H524" s="54">
        <f>IFERROR(IF(INDEX(SPOT_Import!$A$1:$Z$2488,524,'Live Data'!$C$19)="","",INDEX(SPOT_Import!$A$1:$Z$2488,524,'Live Data'!$C$19)),"")</f>
        <v>1</v>
      </c>
      <c r="I524" s="54" t="str">
        <f>IFERROR(IF(INDEX(SPOT_Import!$A$1:$Z$2488,524,'Live Data'!$C$20)="","",INDEX(SPOT_Import!$A$1:$Z$2488,524,'Live Data'!$C$20)),"")</f>
        <v>Complete</v>
      </c>
      <c r="J524" s="54" t="str">
        <f>IFERROR(IF(INDEX(SPOT_Import!$A$1:$Z$2488,524,'Live Data'!$C$21)="","",INDEX(SPOT_Import!$A$1:$Z$2488,524,'Live Data'!$C$21)),"")</f>
        <v>2026-09-02T09:58:31.000Z</v>
      </c>
      <c r="K524" s="54" t="str">
        <f>IFERROR(IF(INDEX(SPOT_Import!$A$1:$Z$2488,524,'Live Data'!$C$22)="","",INDEX(SPOT_Import!$A$1:$Z$2488,524,'Live Data'!$C$22)),"")</f>
        <v>2026-09-02T09:58:31.000Z</v>
      </c>
      <c r="L524" s="55" t="str">
        <f t="shared" si="16"/>
        <v>2026-09</v>
      </c>
      <c r="M524" s="55" t="str">
        <f t="shared" si="17"/>
        <v>MERU</v>
      </c>
      <c r="N524" s="55" t="str">
        <f>IF(A524="","",IFERROR(INDEX('Cluster Map'!$A$4:$A$38,MATCH(M524,'Cluster Map'!$B$4:$B$38,0)),"Unmapped"))</f>
        <v>Cluster 1</v>
      </c>
      <c r="O524" s="55">
        <f>IF(A524="",0,IF(COUNTIFS($A$2:A524,A524,$F$2:F524,F524,$L$2:L524,L524)=1,1,0))</f>
        <v>1</v>
      </c>
      <c r="P524" s="55">
        <f>IF(A524="",0,IF(AND(F524="C&amp;T",COUNTIFS($A$2:A524,A524,$F$2:F524,"C&amp;T")=1),1,0))</f>
        <v>0</v>
      </c>
    </row>
    <row r="525" spans="1:16" x14ac:dyDescent="0.35">
      <c r="A525" s="54">
        <f>IFERROR(IF(INDEX(SPOT_Import!$A$1:$Z$2488,525,'Live Data'!$C$12)="","",INDEX(SPOT_Import!$A$1:$Z$2488,525,'Live Data'!$C$12)),"")</f>
        <v>12722</v>
      </c>
      <c r="B525" s="54" t="str">
        <f>IFERROR(IF(INDEX(SPOT_Import!$A$1:$Z$2488,525,'Live Data'!$C$13)="","",INDEX(SPOT_Import!$A$1:$Z$2488,525,'Live Data'!$C$13)),"")</f>
        <v>Rwika Dispensary</v>
      </c>
      <c r="C525" s="54" t="str">
        <f>IFERROR(IF(INDEX(SPOT_Import!$A$1:$Z$2488,525,'Live Data'!$C$14)="","",INDEX(SPOT_Import!$A$1:$Z$2488,525,'Live Data'!$C$14)),"")</f>
        <v>EMBU</v>
      </c>
      <c r="D525" s="54" t="str">
        <f>IFERROR(IF(INDEX(SPOT_Import!$A$1:$Z$2488,525,'Live Data'!$C$15)="","",INDEX(SPOT_Import!$A$1:$Z$2488,525,'Live Data'!$C$15)),"")</f>
        <v>Mbeere South</v>
      </c>
      <c r="E525" s="54" t="str">
        <f>IFERROR(IF(INDEX(SPOT_Import!$A$1:$Z$2488,525,'Live Data'!$C$16)="","",INDEX(SPOT_Import!$A$1:$Z$2488,525,'Live Data'!$C$16)),"")</f>
        <v>USAID Jamii Tekelezi</v>
      </c>
      <c r="F525" s="54" t="str">
        <f>IFERROR(IF(INDEX(SPOT_Import!$A$1:$Z$2488,525,'Live Data'!$C$17)="","",INDEX(SPOT_Import!$A$1:$Z$2488,525,'Live Data'!$C$17)),"")</f>
        <v>MNCH</v>
      </c>
      <c r="G525" s="54">
        <f>IFERROR(IF(INDEX(SPOT_Import!$A$1:$Z$2488,525,'Live Data'!$C$18)="","",INDEX(SPOT_Import!$A$1:$Z$2488,525,'Live Data'!$C$18)),"")</f>
        <v>5</v>
      </c>
      <c r="H525" s="54">
        <f>IFERROR(IF(INDEX(SPOT_Import!$A$1:$Z$2488,525,'Live Data'!$C$19)="","",INDEX(SPOT_Import!$A$1:$Z$2488,525,'Live Data'!$C$19)),"")</f>
        <v>5</v>
      </c>
      <c r="I525" s="54" t="str">
        <f>IFERROR(IF(INDEX(SPOT_Import!$A$1:$Z$2488,525,'Live Data'!$C$20)="","",INDEX(SPOT_Import!$A$1:$Z$2488,525,'Live Data'!$C$20)),"")</f>
        <v>Complete</v>
      </c>
      <c r="J525" s="54" t="str">
        <f>IFERROR(IF(INDEX(SPOT_Import!$A$1:$Z$2488,525,'Live Data'!$C$21)="","",INDEX(SPOT_Import!$A$1:$Z$2488,525,'Live Data'!$C$21)),"")</f>
        <v>2026-09-02T09:37:03.000Z</v>
      </c>
      <c r="K525" s="54" t="str">
        <f>IFERROR(IF(INDEX(SPOT_Import!$A$1:$Z$2488,525,'Live Data'!$C$22)="","",INDEX(SPOT_Import!$A$1:$Z$2488,525,'Live Data'!$C$22)),"")</f>
        <v>2026-09-02T09:37:03.000Z</v>
      </c>
      <c r="L525" s="55" t="str">
        <f t="shared" si="16"/>
        <v>2026-09</v>
      </c>
      <c r="M525" s="55" t="str">
        <f t="shared" si="17"/>
        <v>EMBU</v>
      </c>
      <c r="N525" s="55" t="str">
        <f>IF(A525="","",IFERROR(INDEX('Cluster Map'!$A$4:$A$38,MATCH(M525,'Cluster Map'!$B$4:$B$38,0)),"Unmapped"))</f>
        <v>Cluster 2</v>
      </c>
      <c r="O525" s="55">
        <f>IF(A525="",0,IF(COUNTIFS($A$2:A525,A525,$F$2:F525,F525,$L$2:L525,L525)=1,1,0))</f>
        <v>1</v>
      </c>
      <c r="P525" s="55">
        <f>IF(A525="",0,IF(AND(F525="C&amp;T",COUNTIFS($A$2:A525,A525,$F$2:F525,"C&amp;T")=1),1,0))</f>
        <v>0</v>
      </c>
    </row>
    <row r="526" spans="1:16" x14ac:dyDescent="0.35">
      <c r="A526" s="54">
        <f>IFERROR(IF(INDEX(SPOT_Import!$A$1:$Z$2488,526,'Live Data'!$C$12)="","",INDEX(SPOT_Import!$A$1:$Z$2488,526,'Live Data'!$C$12)),"")</f>
        <v>11928</v>
      </c>
      <c r="B526" s="54" t="str">
        <f>IFERROR(IF(INDEX(SPOT_Import!$A$1:$Z$2488,526,'Live Data'!$C$13)="","",INDEX(SPOT_Import!$A$1:$Z$2488,526,'Live Data'!$C$13)),"")</f>
        <v>Amugaa Health Centre</v>
      </c>
      <c r="C526" s="54" t="str">
        <f>IFERROR(IF(INDEX(SPOT_Import!$A$1:$Z$2488,526,'Live Data'!$C$14)="","",INDEX(SPOT_Import!$A$1:$Z$2488,526,'Live Data'!$C$14)),"")</f>
        <v>MERU</v>
      </c>
      <c r="D526" s="54" t="str">
        <f>IFERROR(IF(INDEX(SPOT_Import!$A$1:$Z$2488,526,'Live Data'!$C$15)="","",INDEX(SPOT_Import!$A$1:$Z$2488,526,'Live Data'!$C$15)),"")</f>
        <v>Tigania West</v>
      </c>
      <c r="E526" s="54" t="str">
        <f>IFERROR(IF(INDEX(SPOT_Import!$A$1:$Z$2488,526,'Live Data'!$C$16)="","",INDEX(SPOT_Import!$A$1:$Z$2488,526,'Live Data'!$C$16)),"")</f>
        <v>USAID Jamii Tekelezi</v>
      </c>
      <c r="F526" s="54" t="str">
        <f>IFERROR(IF(INDEX(SPOT_Import!$A$1:$Z$2488,526,'Live Data'!$C$17)="","",INDEX(SPOT_Import!$A$1:$Z$2488,526,'Live Data'!$C$17)),"")</f>
        <v>MNCH</v>
      </c>
      <c r="G526" s="54">
        <f>IFERROR(IF(INDEX(SPOT_Import!$A$1:$Z$2488,526,'Live Data'!$C$18)="","",INDEX(SPOT_Import!$A$1:$Z$2488,526,'Live Data'!$C$18)),"")</f>
        <v>5</v>
      </c>
      <c r="H526" s="54">
        <f>IFERROR(IF(INDEX(SPOT_Import!$A$1:$Z$2488,526,'Live Data'!$C$19)="","",INDEX(SPOT_Import!$A$1:$Z$2488,526,'Live Data'!$C$19)),"")</f>
        <v>5</v>
      </c>
      <c r="I526" s="54" t="str">
        <f>IFERROR(IF(INDEX(SPOT_Import!$A$1:$Z$2488,526,'Live Data'!$C$20)="","",INDEX(SPOT_Import!$A$1:$Z$2488,526,'Live Data'!$C$20)),"")</f>
        <v>Complete</v>
      </c>
      <c r="J526" s="54" t="str">
        <f>IFERROR(IF(INDEX(SPOT_Import!$A$1:$Z$2488,526,'Live Data'!$C$21)="","",INDEX(SPOT_Import!$A$1:$Z$2488,526,'Live Data'!$C$21)),"")</f>
        <v>2026-09-02T08:40:40.000Z</v>
      </c>
      <c r="K526" s="54" t="str">
        <f>IFERROR(IF(INDEX(SPOT_Import!$A$1:$Z$2488,526,'Live Data'!$C$22)="","",INDEX(SPOT_Import!$A$1:$Z$2488,526,'Live Data'!$C$22)),"")</f>
        <v>2026-09-02T08:40:40.000Z</v>
      </c>
      <c r="L526" s="55" t="str">
        <f t="shared" si="16"/>
        <v>2026-09</v>
      </c>
      <c r="M526" s="55" t="str">
        <f t="shared" si="17"/>
        <v>MERU</v>
      </c>
      <c r="N526" s="55" t="str">
        <f>IF(A526="","",IFERROR(INDEX('Cluster Map'!$A$4:$A$38,MATCH(M526,'Cluster Map'!$B$4:$B$38,0)),"Unmapped"))</f>
        <v>Cluster 1</v>
      </c>
      <c r="O526" s="55">
        <f>IF(A526="",0,IF(COUNTIFS($A$2:A526,A526,$F$2:F526,F526,$L$2:L526,L526)=1,1,0))</f>
        <v>1</v>
      </c>
      <c r="P526" s="55">
        <f>IF(A526="",0,IF(AND(F526="C&amp;T",COUNTIFS($A$2:A526,A526,$F$2:F526,"C&amp;T")=1),1,0))</f>
        <v>0</v>
      </c>
    </row>
    <row r="527" spans="1:16" x14ac:dyDescent="0.35">
      <c r="A527" s="54">
        <f>IFERROR(IF(INDEX(SPOT_Import!$A$1:$Z$2488,527,'Live Data'!$C$12)="","",INDEX(SPOT_Import!$A$1:$Z$2488,527,'Live Data'!$C$12)),"")</f>
        <v>12272</v>
      </c>
      <c r="B527" s="54" t="str">
        <f>IFERROR(IF(INDEX(SPOT_Import!$A$1:$Z$2488,527,'Live Data'!$C$13)="","",INDEX(SPOT_Import!$A$1:$Z$2488,527,'Live Data'!$C$13)),"")</f>
        <v>Kiamuchairu Health Centre</v>
      </c>
      <c r="C527" s="54" t="str">
        <f>IFERROR(IF(INDEX(SPOT_Import!$A$1:$Z$2488,527,'Live Data'!$C$14)="","",INDEX(SPOT_Import!$A$1:$Z$2488,527,'Live Data'!$C$14)),"")</f>
        <v>THARAKA-NITHI</v>
      </c>
      <c r="D527" s="54" t="str">
        <f>IFERROR(IF(INDEX(SPOT_Import!$A$1:$Z$2488,527,'Live Data'!$C$15)="","",INDEX(SPOT_Import!$A$1:$Z$2488,527,'Live Data'!$C$15)),"")</f>
        <v>Mwimbi</v>
      </c>
      <c r="E527" s="54" t="str">
        <f>IFERROR(IF(INDEX(SPOT_Import!$A$1:$Z$2488,527,'Live Data'!$C$16)="","",INDEX(SPOT_Import!$A$1:$Z$2488,527,'Live Data'!$C$16)),"")</f>
        <v>USAID Jamii Tekelezi</v>
      </c>
      <c r="F527" s="54" t="str">
        <f>IFERROR(IF(INDEX(SPOT_Import!$A$1:$Z$2488,527,'Live Data'!$C$17)="","",INDEX(SPOT_Import!$A$1:$Z$2488,527,'Live Data'!$C$17)),"")</f>
        <v>PREP</v>
      </c>
      <c r="G527" s="54">
        <f>IFERROR(IF(INDEX(SPOT_Import!$A$1:$Z$2488,527,'Live Data'!$C$18)="","",INDEX(SPOT_Import!$A$1:$Z$2488,527,'Live Data'!$C$18)),"")</f>
        <v>34</v>
      </c>
      <c r="H527" s="54">
        <f>IFERROR(IF(INDEX(SPOT_Import!$A$1:$Z$2488,527,'Live Data'!$C$19)="","",INDEX(SPOT_Import!$A$1:$Z$2488,527,'Live Data'!$C$19)),"")</f>
        <v>34</v>
      </c>
      <c r="I527" s="54" t="str">
        <f>IFERROR(IF(INDEX(SPOT_Import!$A$1:$Z$2488,527,'Live Data'!$C$20)="","",INDEX(SPOT_Import!$A$1:$Z$2488,527,'Live Data'!$C$20)),"")</f>
        <v>Complete</v>
      </c>
      <c r="J527" s="54" t="str">
        <f>IFERROR(IF(INDEX(SPOT_Import!$A$1:$Z$2488,527,'Live Data'!$C$21)="","",INDEX(SPOT_Import!$A$1:$Z$2488,527,'Live Data'!$C$21)),"")</f>
        <v>2026-09-02T08:32:04.000Z</v>
      </c>
      <c r="K527" s="54" t="str">
        <f>IFERROR(IF(INDEX(SPOT_Import!$A$1:$Z$2488,527,'Live Data'!$C$22)="","",INDEX(SPOT_Import!$A$1:$Z$2488,527,'Live Data'!$C$22)),"")</f>
        <v>2026-09-02T08:32:04.000Z</v>
      </c>
      <c r="L527" s="55" t="str">
        <f t="shared" si="16"/>
        <v>2026-09</v>
      </c>
      <c r="M527" s="55" t="str">
        <f t="shared" si="17"/>
        <v>THARAKA-NITHI</v>
      </c>
      <c r="N527" s="55" t="str">
        <f>IF(A527="","",IFERROR(INDEX('Cluster Map'!$A$4:$A$38,MATCH(M527,'Cluster Map'!$B$4:$B$38,0)),"Unmapped"))</f>
        <v>Cluster 2</v>
      </c>
      <c r="O527" s="55">
        <f>IF(A527="",0,IF(COUNTIFS($A$2:A527,A527,$F$2:F527,F527,$L$2:L527,L527)=1,1,0))</f>
        <v>1</v>
      </c>
      <c r="P527" s="55">
        <f>IF(A527="",0,IF(AND(F527="C&amp;T",COUNTIFS($A$2:A527,A527,$F$2:F527,"C&amp;T")=1),1,0))</f>
        <v>0</v>
      </c>
    </row>
    <row r="528" spans="1:16" x14ac:dyDescent="0.35">
      <c r="A528" s="54">
        <f>IFERROR(IF(INDEX(SPOT_Import!$A$1:$Z$2488,528,'Live Data'!$C$12)="","",INDEX(SPOT_Import!$A$1:$Z$2488,528,'Live Data'!$C$12)),"")</f>
        <v>12272</v>
      </c>
      <c r="B528" s="54" t="str">
        <f>IFERROR(IF(INDEX(SPOT_Import!$A$1:$Z$2488,528,'Live Data'!$C$13)="","",INDEX(SPOT_Import!$A$1:$Z$2488,528,'Live Data'!$C$13)),"")</f>
        <v>Kiamuchairu Health Centre</v>
      </c>
      <c r="C528" s="54" t="str">
        <f>IFERROR(IF(INDEX(SPOT_Import!$A$1:$Z$2488,528,'Live Data'!$C$14)="","",INDEX(SPOT_Import!$A$1:$Z$2488,528,'Live Data'!$C$14)),"")</f>
        <v>THARAKA-NITHI</v>
      </c>
      <c r="D528" s="54" t="str">
        <f>IFERROR(IF(INDEX(SPOT_Import!$A$1:$Z$2488,528,'Live Data'!$C$15)="","",INDEX(SPOT_Import!$A$1:$Z$2488,528,'Live Data'!$C$15)),"")</f>
        <v>Mwimbi</v>
      </c>
      <c r="E528" s="54" t="str">
        <f>IFERROR(IF(INDEX(SPOT_Import!$A$1:$Z$2488,528,'Live Data'!$C$16)="","",INDEX(SPOT_Import!$A$1:$Z$2488,528,'Live Data'!$C$16)),"")</f>
        <v>USAID Jamii Tekelezi</v>
      </c>
      <c r="F528" s="54" t="str">
        <f>IFERROR(IF(INDEX(SPOT_Import!$A$1:$Z$2488,528,'Live Data'!$C$17)="","",INDEX(SPOT_Import!$A$1:$Z$2488,528,'Live Data'!$C$17)),"")</f>
        <v>MNCH</v>
      </c>
      <c r="G528" s="54">
        <f>IFERROR(IF(INDEX(SPOT_Import!$A$1:$Z$2488,528,'Live Data'!$C$18)="","",INDEX(SPOT_Import!$A$1:$Z$2488,528,'Live Data'!$C$18)),"")</f>
        <v>26</v>
      </c>
      <c r="H528" s="54">
        <f>IFERROR(IF(INDEX(SPOT_Import!$A$1:$Z$2488,528,'Live Data'!$C$19)="","",INDEX(SPOT_Import!$A$1:$Z$2488,528,'Live Data'!$C$19)),"")</f>
        <v>26</v>
      </c>
      <c r="I528" s="54" t="str">
        <f>IFERROR(IF(INDEX(SPOT_Import!$A$1:$Z$2488,528,'Live Data'!$C$20)="","",INDEX(SPOT_Import!$A$1:$Z$2488,528,'Live Data'!$C$20)),"")</f>
        <v>Complete</v>
      </c>
      <c r="J528" s="54" t="str">
        <f>IFERROR(IF(INDEX(SPOT_Import!$A$1:$Z$2488,528,'Live Data'!$C$21)="","",INDEX(SPOT_Import!$A$1:$Z$2488,528,'Live Data'!$C$21)),"")</f>
        <v>2026-09-02T08:28:54.000Z</v>
      </c>
      <c r="K528" s="54" t="str">
        <f>IFERROR(IF(INDEX(SPOT_Import!$A$1:$Z$2488,528,'Live Data'!$C$22)="","",INDEX(SPOT_Import!$A$1:$Z$2488,528,'Live Data'!$C$22)),"")</f>
        <v>2026-09-02T08:28:54.000Z</v>
      </c>
      <c r="L528" s="55" t="str">
        <f t="shared" si="16"/>
        <v>2026-09</v>
      </c>
      <c r="M528" s="55" t="str">
        <f t="shared" si="17"/>
        <v>THARAKA-NITHI</v>
      </c>
      <c r="N528" s="55" t="str">
        <f>IF(A528="","",IFERROR(INDEX('Cluster Map'!$A$4:$A$38,MATCH(M528,'Cluster Map'!$B$4:$B$38,0)),"Unmapped"))</f>
        <v>Cluster 2</v>
      </c>
      <c r="O528" s="55">
        <f>IF(A528="",0,IF(COUNTIFS($A$2:A528,A528,$F$2:F528,F528,$L$2:L528,L528)=1,1,0))</f>
        <v>1</v>
      </c>
      <c r="P528" s="55">
        <f>IF(A528="",0,IF(AND(F528="C&amp;T",COUNTIFS($A$2:A528,A528,$F$2:F528,"C&amp;T")=1),1,0))</f>
        <v>0</v>
      </c>
    </row>
    <row r="529" spans="1:16" x14ac:dyDescent="0.35">
      <c r="A529" s="54">
        <f>IFERROR(IF(INDEX(SPOT_Import!$A$1:$Z$2488,529,'Live Data'!$C$12)="","",INDEX(SPOT_Import!$A$1:$Z$2488,529,'Live Data'!$C$12)),"")</f>
        <v>12023</v>
      </c>
      <c r="B529" s="54" t="str">
        <f>IFERROR(IF(INDEX(SPOT_Import!$A$1:$Z$2488,529,'Live Data'!$C$13)="","",INDEX(SPOT_Import!$A$1:$Z$2488,529,'Live Data'!$C$13)),"")</f>
        <v>Gachuriri Dispensary</v>
      </c>
      <c r="C529" s="54" t="str">
        <f>IFERROR(IF(INDEX(SPOT_Import!$A$1:$Z$2488,529,'Live Data'!$C$14)="","",INDEX(SPOT_Import!$A$1:$Z$2488,529,'Live Data'!$C$14)),"")</f>
        <v>EMBU</v>
      </c>
      <c r="D529" s="54" t="str">
        <f>IFERROR(IF(INDEX(SPOT_Import!$A$1:$Z$2488,529,'Live Data'!$C$15)="","",INDEX(SPOT_Import!$A$1:$Z$2488,529,'Live Data'!$C$15)),"")</f>
        <v>Mbeere South</v>
      </c>
      <c r="E529" s="54" t="str">
        <f>IFERROR(IF(INDEX(SPOT_Import!$A$1:$Z$2488,529,'Live Data'!$C$16)="","",INDEX(SPOT_Import!$A$1:$Z$2488,529,'Live Data'!$C$16)),"")</f>
        <v>USAID Jamii Tekelezi</v>
      </c>
      <c r="F529" s="54" t="str">
        <f>IFERROR(IF(INDEX(SPOT_Import!$A$1:$Z$2488,529,'Live Data'!$C$17)="","",INDEX(SPOT_Import!$A$1:$Z$2488,529,'Live Data'!$C$17)),"")</f>
        <v>PREP</v>
      </c>
      <c r="G529" s="54">
        <f>IFERROR(IF(INDEX(SPOT_Import!$A$1:$Z$2488,529,'Live Data'!$C$18)="","",INDEX(SPOT_Import!$A$1:$Z$2488,529,'Live Data'!$C$18)),"")</f>
        <v>10</v>
      </c>
      <c r="H529" s="54">
        <f>IFERROR(IF(INDEX(SPOT_Import!$A$1:$Z$2488,529,'Live Data'!$C$19)="","",INDEX(SPOT_Import!$A$1:$Z$2488,529,'Live Data'!$C$19)),"")</f>
        <v>10</v>
      </c>
      <c r="I529" s="54" t="str">
        <f>IFERROR(IF(INDEX(SPOT_Import!$A$1:$Z$2488,529,'Live Data'!$C$20)="","",INDEX(SPOT_Import!$A$1:$Z$2488,529,'Live Data'!$C$20)),"")</f>
        <v>Complete</v>
      </c>
      <c r="J529" s="54" t="str">
        <f>IFERROR(IF(INDEX(SPOT_Import!$A$1:$Z$2488,529,'Live Data'!$C$21)="","",INDEX(SPOT_Import!$A$1:$Z$2488,529,'Live Data'!$C$21)),"")</f>
        <v>2026-09-02T08:12:40.000Z</v>
      </c>
      <c r="K529" s="54" t="str">
        <f>IFERROR(IF(INDEX(SPOT_Import!$A$1:$Z$2488,529,'Live Data'!$C$22)="","",INDEX(SPOT_Import!$A$1:$Z$2488,529,'Live Data'!$C$22)),"")</f>
        <v>2026-09-02T08:12:40.000Z</v>
      </c>
      <c r="L529" s="55" t="str">
        <f t="shared" si="16"/>
        <v>2026-09</v>
      </c>
      <c r="M529" s="55" t="str">
        <f t="shared" si="17"/>
        <v>EMBU</v>
      </c>
      <c r="N529" s="55" t="str">
        <f>IF(A529="","",IFERROR(INDEX('Cluster Map'!$A$4:$A$38,MATCH(M529,'Cluster Map'!$B$4:$B$38,0)),"Unmapped"))</f>
        <v>Cluster 2</v>
      </c>
      <c r="O529" s="55">
        <f>IF(A529="",0,IF(COUNTIFS($A$2:A529,A529,$F$2:F529,F529,$L$2:L529,L529)=1,1,0))</f>
        <v>1</v>
      </c>
      <c r="P529" s="55">
        <f>IF(A529="",0,IF(AND(F529="C&amp;T",COUNTIFS($A$2:A529,A529,$F$2:F529,"C&amp;T")=1),1,0))</f>
        <v>0</v>
      </c>
    </row>
    <row r="530" spans="1:16" x14ac:dyDescent="0.35">
      <c r="A530" s="54">
        <f>IFERROR(IF(INDEX(SPOT_Import!$A$1:$Z$2488,530,'Live Data'!$C$12)="","",INDEX(SPOT_Import!$A$1:$Z$2488,530,'Live Data'!$C$12)),"")</f>
        <v>12820</v>
      </c>
      <c r="B530" s="54" t="str">
        <f>IFERROR(IF(INDEX(SPOT_Import!$A$1:$Z$2488,530,'Live Data'!$C$13)="","",INDEX(SPOT_Import!$A$1:$Z$2488,530,'Live Data'!$C$13)),"")</f>
        <v>Ugweri Dispensary</v>
      </c>
      <c r="C530" s="54" t="str">
        <f>IFERROR(IF(INDEX(SPOT_Import!$A$1:$Z$2488,530,'Live Data'!$C$14)="","",INDEX(SPOT_Import!$A$1:$Z$2488,530,'Live Data'!$C$14)),"")</f>
        <v>EMBU</v>
      </c>
      <c r="D530" s="54" t="str">
        <f>IFERROR(IF(INDEX(SPOT_Import!$A$1:$Z$2488,530,'Live Data'!$C$15)="","",INDEX(SPOT_Import!$A$1:$Z$2488,530,'Live Data'!$C$15)),"")</f>
        <v>Runyenjes</v>
      </c>
      <c r="E530" s="54" t="str">
        <f>IFERROR(IF(INDEX(SPOT_Import!$A$1:$Z$2488,530,'Live Data'!$C$16)="","",INDEX(SPOT_Import!$A$1:$Z$2488,530,'Live Data'!$C$16)),"")</f>
        <v>USAID Jamii Tekelezi</v>
      </c>
      <c r="F530" s="54" t="str">
        <f>IFERROR(IF(INDEX(SPOT_Import!$A$1:$Z$2488,530,'Live Data'!$C$17)="","",INDEX(SPOT_Import!$A$1:$Z$2488,530,'Live Data'!$C$17)),"")</f>
        <v>MNCH</v>
      </c>
      <c r="G530" s="54">
        <f>IFERROR(IF(INDEX(SPOT_Import!$A$1:$Z$2488,530,'Live Data'!$C$18)="","",INDEX(SPOT_Import!$A$1:$Z$2488,530,'Live Data'!$C$18)),"")</f>
        <v>18</v>
      </c>
      <c r="H530" s="54">
        <f>IFERROR(IF(INDEX(SPOT_Import!$A$1:$Z$2488,530,'Live Data'!$C$19)="","",INDEX(SPOT_Import!$A$1:$Z$2488,530,'Live Data'!$C$19)),"")</f>
        <v>18</v>
      </c>
      <c r="I530" s="54" t="str">
        <f>IFERROR(IF(INDEX(SPOT_Import!$A$1:$Z$2488,530,'Live Data'!$C$20)="","",INDEX(SPOT_Import!$A$1:$Z$2488,530,'Live Data'!$C$20)),"")</f>
        <v>Complete</v>
      </c>
      <c r="J530" s="54" t="str">
        <f>IFERROR(IF(INDEX(SPOT_Import!$A$1:$Z$2488,530,'Live Data'!$C$21)="","",INDEX(SPOT_Import!$A$1:$Z$2488,530,'Live Data'!$C$21)),"")</f>
        <v>2026-09-02T07:50:54.000Z</v>
      </c>
      <c r="K530" s="54" t="str">
        <f>IFERROR(IF(INDEX(SPOT_Import!$A$1:$Z$2488,530,'Live Data'!$C$22)="","",INDEX(SPOT_Import!$A$1:$Z$2488,530,'Live Data'!$C$22)),"")</f>
        <v>2026-09-02T07:50:54.000Z</v>
      </c>
      <c r="L530" s="55" t="str">
        <f t="shared" si="16"/>
        <v>2026-09</v>
      </c>
      <c r="M530" s="55" t="str">
        <f t="shared" si="17"/>
        <v>EMBU</v>
      </c>
      <c r="N530" s="55" t="str">
        <f>IF(A530="","",IFERROR(INDEX('Cluster Map'!$A$4:$A$38,MATCH(M530,'Cluster Map'!$B$4:$B$38,0)),"Unmapped"))</f>
        <v>Cluster 2</v>
      </c>
      <c r="O530" s="55">
        <f>IF(A530="",0,IF(COUNTIFS($A$2:A530,A530,$F$2:F530,F530,$L$2:L530,L530)=1,1,0))</f>
        <v>1</v>
      </c>
      <c r="P530" s="55">
        <f>IF(A530="",0,IF(AND(F530="C&amp;T",COUNTIFS($A$2:A530,A530,$F$2:F530,"C&amp;T")=1),1,0))</f>
        <v>0</v>
      </c>
    </row>
    <row r="531" spans="1:16" x14ac:dyDescent="0.35">
      <c r="A531" s="54">
        <f>IFERROR(IF(INDEX(SPOT_Import!$A$1:$Z$2488,531,'Live Data'!$C$12)="","",INDEX(SPOT_Import!$A$1:$Z$2488,531,'Live Data'!$C$12)),"")</f>
        <v>12673</v>
      </c>
      <c r="B531" s="54" t="str">
        <f>IFERROR(IF(INDEX(SPOT_Import!$A$1:$Z$2488,531,'Live Data'!$C$13)="","",INDEX(SPOT_Import!$A$1:$Z$2488,531,'Live Data'!$C$13)),"")</f>
        <v>Nthagaiya Catholic Dispensary</v>
      </c>
      <c r="C531" s="54" t="str">
        <f>IFERROR(IF(INDEX(SPOT_Import!$A$1:$Z$2488,531,'Live Data'!$C$14)="","",INDEX(SPOT_Import!$A$1:$Z$2488,531,'Live Data'!$C$14)),"")</f>
        <v>EMBU</v>
      </c>
      <c r="D531" s="54" t="str">
        <f>IFERROR(IF(INDEX(SPOT_Import!$A$1:$Z$2488,531,'Live Data'!$C$15)="","",INDEX(SPOT_Import!$A$1:$Z$2488,531,'Live Data'!$C$15)),"")</f>
        <v>Runyenjes</v>
      </c>
      <c r="E531" s="54" t="str">
        <f>IFERROR(IF(INDEX(SPOT_Import!$A$1:$Z$2488,531,'Live Data'!$C$16)="","",INDEX(SPOT_Import!$A$1:$Z$2488,531,'Live Data'!$C$16)),"")</f>
        <v>USAID Jamii Tekelezi</v>
      </c>
      <c r="F531" s="54" t="str">
        <f>IFERROR(IF(INDEX(SPOT_Import!$A$1:$Z$2488,531,'Live Data'!$C$17)="","",INDEX(SPOT_Import!$A$1:$Z$2488,531,'Live Data'!$C$17)),"")</f>
        <v>HTS</v>
      </c>
      <c r="G531" s="54">
        <f>IFERROR(IF(INDEX(SPOT_Import!$A$1:$Z$2488,531,'Live Data'!$C$18)="","",INDEX(SPOT_Import!$A$1:$Z$2488,531,'Live Data'!$C$18)),"")</f>
        <v>178</v>
      </c>
      <c r="H531" s="54" t="str">
        <f>IFERROR(IF(INDEX(SPOT_Import!$A$1:$Z$2488,531,'Live Data'!$C$19)="","",INDEX(SPOT_Import!$A$1:$Z$2488,531,'Live Data'!$C$19)),"")</f>
        <v/>
      </c>
      <c r="I531" s="54" t="str">
        <f>IFERROR(IF(INDEX(SPOT_Import!$A$1:$Z$2488,531,'Live Data'!$C$20)="","",INDEX(SPOT_Import!$A$1:$Z$2488,531,'Live Data'!$C$20)),"")</f>
        <v>Complete</v>
      </c>
      <c r="J531" s="54" t="str">
        <f>IFERROR(IF(INDEX(SPOT_Import!$A$1:$Z$2488,531,'Live Data'!$C$21)="","",INDEX(SPOT_Import!$A$1:$Z$2488,531,'Live Data'!$C$21)),"")</f>
        <v>2026-09-01T13:24:26.000Z</v>
      </c>
      <c r="K531" s="54" t="str">
        <f>IFERROR(IF(INDEX(SPOT_Import!$A$1:$Z$2488,531,'Live Data'!$C$22)="","",INDEX(SPOT_Import!$A$1:$Z$2488,531,'Live Data'!$C$22)),"")</f>
        <v>2026-09-01T13:24:26.000Z</v>
      </c>
      <c r="L531" s="55" t="str">
        <f t="shared" si="16"/>
        <v>2026-09</v>
      </c>
      <c r="M531" s="55" t="str">
        <f t="shared" si="17"/>
        <v>EMBU</v>
      </c>
      <c r="N531" s="55" t="str">
        <f>IF(A531="","",IFERROR(INDEX('Cluster Map'!$A$4:$A$38,MATCH(M531,'Cluster Map'!$B$4:$B$38,0)),"Unmapped"))</f>
        <v>Cluster 2</v>
      </c>
      <c r="O531" s="55">
        <f>IF(A531="",0,IF(COUNTIFS($A$2:A531,A531,$F$2:F531,F531,$L$2:L531,L531)=1,1,0))</f>
        <v>1</v>
      </c>
      <c r="P531" s="55">
        <f>IF(A531="",0,IF(AND(F531="C&amp;T",COUNTIFS($A$2:A531,A531,$F$2:F531,"C&amp;T")=1),1,0))</f>
        <v>0</v>
      </c>
    </row>
    <row r="532" spans="1:16" x14ac:dyDescent="0.35">
      <c r="A532" s="54">
        <f>IFERROR(IF(INDEX(SPOT_Import!$A$1:$Z$2488,532,'Live Data'!$C$12)="","",INDEX(SPOT_Import!$A$1:$Z$2488,532,'Live Data'!$C$12)),"")</f>
        <v>12793</v>
      </c>
      <c r="B532" s="54" t="str">
        <f>IFERROR(IF(INDEX(SPOT_Import!$A$1:$Z$2488,532,'Live Data'!$C$13)="","",INDEX(SPOT_Import!$A$1:$Z$2488,532,'Live Data'!$C$13)),"")</f>
        <v>Thanantu Faith Clinic Dispensary</v>
      </c>
      <c r="C532" s="54" t="str">
        <f>IFERROR(IF(INDEX(SPOT_Import!$A$1:$Z$2488,532,'Live Data'!$C$14)="","",INDEX(SPOT_Import!$A$1:$Z$2488,532,'Live Data'!$C$14)),"")</f>
        <v>THARAKA-NITHI</v>
      </c>
      <c r="D532" s="54" t="str">
        <f>IFERROR(IF(INDEX(SPOT_Import!$A$1:$Z$2488,532,'Live Data'!$C$15)="","",INDEX(SPOT_Import!$A$1:$Z$2488,532,'Live Data'!$C$15)),"")</f>
        <v>Tharaka North</v>
      </c>
      <c r="E532" s="54" t="str">
        <f>IFERROR(IF(INDEX(SPOT_Import!$A$1:$Z$2488,532,'Live Data'!$C$16)="","",INDEX(SPOT_Import!$A$1:$Z$2488,532,'Live Data'!$C$16)),"")</f>
        <v>USAID Jamii Tekelezi</v>
      </c>
      <c r="F532" s="54" t="str">
        <f>IFERROR(IF(INDEX(SPOT_Import!$A$1:$Z$2488,532,'Live Data'!$C$17)="","",INDEX(SPOT_Import!$A$1:$Z$2488,532,'Live Data'!$C$17)),"")</f>
        <v>MNCH</v>
      </c>
      <c r="G532" s="54">
        <f>IFERROR(IF(INDEX(SPOT_Import!$A$1:$Z$2488,532,'Live Data'!$C$18)="","",INDEX(SPOT_Import!$A$1:$Z$2488,532,'Live Data'!$C$18)),"")</f>
        <v>32</v>
      </c>
      <c r="H532" s="54">
        <f>IFERROR(IF(INDEX(SPOT_Import!$A$1:$Z$2488,532,'Live Data'!$C$19)="","",INDEX(SPOT_Import!$A$1:$Z$2488,532,'Live Data'!$C$19)),"")</f>
        <v>7</v>
      </c>
      <c r="I532" s="54" t="str">
        <f>IFERROR(IF(INDEX(SPOT_Import!$A$1:$Z$2488,532,'Live Data'!$C$20)="","",INDEX(SPOT_Import!$A$1:$Z$2488,532,'Live Data'!$C$20)),"")</f>
        <v>Complete</v>
      </c>
      <c r="J532" s="54" t="str">
        <f>IFERROR(IF(INDEX(SPOT_Import!$A$1:$Z$2488,532,'Live Data'!$C$21)="","",INDEX(SPOT_Import!$A$1:$Z$2488,532,'Live Data'!$C$21)),"")</f>
        <v>2026-09-01T12:48:07.000Z</v>
      </c>
      <c r="K532" s="54" t="str">
        <f>IFERROR(IF(INDEX(SPOT_Import!$A$1:$Z$2488,532,'Live Data'!$C$22)="","",INDEX(SPOT_Import!$A$1:$Z$2488,532,'Live Data'!$C$22)),"")</f>
        <v>2026-09-01T12:48:07.000Z</v>
      </c>
      <c r="L532" s="55" t="str">
        <f t="shared" si="16"/>
        <v>2026-09</v>
      </c>
      <c r="M532" s="55" t="str">
        <f t="shared" si="17"/>
        <v>THARAKA-NITHI</v>
      </c>
      <c r="N532" s="55" t="str">
        <f>IF(A532="","",IFERROR(INDEX('Cluster Map'!$A$4:$A$38,MATCH(M532,'Cluster Map'!$B$4:$B$38,0)),"Unmapped"))</f>
        <v>Cluster 2</v>
      </c>
      <c r="O532" s="55">
        <f>IF(A532="",0,IF(COUNTIFS($A$2:A532,A532,$F$2:F532,F532,$L$2:L532,L532)=1,1,0))</f>
        <v>1</v>
      </c>
      <c r="P532" s="55">
        <f>IF(A532="",0,IF(AND(F532="C&amp;T",COUNTIFS($A$2:A532,A532,$F$2:F532,"C&amp;T")=1),1,0))</f>
        <v>0</v>
      </c>
    </row>
    <row r="533" spans="1:16" x14ac:dyDescent="0.35">
      <c r="A533" s="54">
        <f>IFERROR(IF(INDEX(SPOT_Import!$A$1:$Z$2488,533,'Live Data'!$C$12)="","",INDEX(SPOT_Import!$A$1:$Z$2488,533,'Live Data'!$C$12)),"")</f>
        <v>11942</v>
      </c>
      <c r="B533" s="54" t="str">
        <f>IFERROR(IF(INDEX(SPOT_Import!$A$1:$Z$2488,533,'Live Data'!$C$13)="","",INDEX(SPOT_Import!$A$1:$Z$2488,533,'Live Data'!$C$13)),"")</f>
        <v>Baragu Health Centre</v>
      </c>
      <c r="C533" s="54" t="str">
        <f>IFERROR(IF(INDEX(SPOT_Import!$A$1:$Z$2488,533,'Live Data'!$C$14)="","",INDEX(SPOT_Import!$A$1:$Z$2488,533,'Live Data'!$C$14)),"")</f>
        <v>THARAKA-NITHI</v>
      </c>
      <c r="D533" s="54" t="str">
        <f>IFERROR(IF(INDEX(SPOT_Import!$A$1:$Z$2488,533,'Live Data'!$C$15)="","",INDEX(SPOT_Import!$A$1:$Z$2488,533,'Live Data'!$C$15)),"")</f>
        <v>Mwimbi</v>
      </c>
      <c r="E533" s="54" t="str">
        <f>IFERROR(IF(INDEX(SPOT_Import!$A$1:$Z$2488,533,'Live Data'!$C$16)="","",INDEX(SPOT_Import!$A$1:$Z$2488,533,'Live Data'!$C$16)),"")</f>
        <v>USAID Jamii Tekelezi</v>
      </c>
      <c r="F533" s="54" t="str">
        <f>IFERROR(IF(INDEX(SPOT_Import!$A$1:$Z$2488,533,'Live Data'!$C$17)="","",INDEX(SPOT_Import!$A$1:$Z$2488,533,'Live Data'!$C$17)),"")</f>
        <v>PREP</v>
      </c>
      <c r="G533" s="54">
        <f>IFERROR(IF(INDEX(SPOT_Import!$A$1:$Z$2488,533,'Live Data'!$C$18)="","",INDEX(SPOT_Import!$A$1:$Z$2488,533,'Live Data'!$C$18)),"")</f>
        <v>46</v>
      </c>
      <c r="H533" s="54">
        <f>IFERROR(IF(INDEX(SPOT_Import!$A$1:$Z$2488,533,'Live Data'!$C$19)="","",INDEX(SPOT_Import!$A$1:$Z$2488,533,'Live Data'!$C$19)),"")</f>
        <v>46</v>
      </c>
      <c r="I533" s="54" t="str">
        <f>IFERROR(IF(INDEX(SPOT_Import!$A$1:$Z$2488,533,'Live Data'!$C$20)="","",INDEX(SPOT_Import!$A$1:$Z$2488,533,'Live Data'!$C$20)),"")</f>
        <v>Complete</v>
      </c>
      <c r="J533" s="54" t="str">
        <f>IFERROR(IF(INDEX(SPOT_Import!$A$1:$Z$2488,533,'Live Data'!$C$21)="","",INDEX(SPOT_Import!$A$1:$Z$2488,533,'Live Data'!$C$21)),"")</f>
        <v>2026-09-01T12:14:37.000Z</v>
      </c>
      <c r="K533" s="54" t="str">
        <f>IFERROR(IF(INDEX(SPOT_Import!$A$1:$Z$2488,533,'Live Data'!$C$22)="","",INDEX(SPOT_Import!$A$1:$Z$2488,533,'Live Data'!$C$22)),"")</f>
        <v>2026-09-01T12:14:37.000Z</v>
      </c>
      <c r="L533" s="55" t="str">
        <f t="shared" si="16"/>
        <v>2026-09</v>
      </c>
      <c r="M533" s="55" t="str">
        <f t="shared" si="17"/>
        <v>THARAKA-NITHI</v>
      </c>
      <c r="N533" s="55" t="str">
        <f>IF(A533="","",IFERROR(INDEX('Cluster Map'!$A$4:$A$38,MATCH(M533,'Cluster Map'!$B$4:$B$38,0)),"Unmapped"))</f>
        <v>Cluster 2</v>
      </c>
      <c r="O533" s="55">
        <f>IF(A533="",0,IF(COUNTIFS($A$2:A533,A533,$F$2:F533,F533,$L$2:L533,L533)=1,1,0))</f>
        <v>1</v>
      </c>
      <c r="P533" s="55">
        <f>IF(A533="",0,IF(AND(F533="C&amp;T",COUNTIFS($A$2:A533,A533,$F$2:F533,"C&amp;T")=1),1,0))</f>
        <v>0</v>
      </c>
    </row>
    <row r="534" spans="1:16" x14ac:dyDescent="0.35">
      <c r="A534" s="54">
        <f>IFERROR(IF(INDEX(SPOT_Import!$A$1:$Z$2488,534,'Live Data'!$C$12)="","",INDEX(SPOT_Import!$A$1:$Z$2488,534,'Live Data'!$C$12)),"")</f>
        <v>11942</v>
      </c>
      <c r="B534" s="54" t="str">
        <f>IFERROR(IF(INDEX(SPOT_Import!$A$1:$Z$2488,534,'Live Data'!$C$13)="","",INDEX(SPOT_Import!$A$1:$Z$2488,534,'Live Data'!$C$13)),"")</f>
        <v>Baragu Health Centre</v>
      </c>
      <c r="C534" s="54" t="str">
        <f>IFERROR(IF(INDEX(SPOT_Import!$A$1:$Z$2488,534,'Live Data'!$C$14)="","",INDEX(SPOT_Import!$A$1:$Z$2488,534,'Live Data'!$C$14)),"")</f>
        <v>THARAKA-NITHI</v>
      </c>
      <c r="D534" s="54" t="str">
        <f>IFERROR(IF(INDEX(SPOT_Import!$A$1:$Z$2488,534,'Live Data'!$C$15)="","",INDEX(SPOT_Import!$A$1:$Z$2488,534,'Live Data'!$C$15)),"")</f>
        <v>Mwimbi</v>
      </c>
      <c r="E534" s="54" t="str">
        <f>IFERROR(IF(INDEX(SPOT_Import!$A$1:$Z$2488,534,'Live Data'!$C$16)="","",INDEX(SPOT_Import!$A$1:$Z$2488,534,'Live Data'!$C$16)),"")</f>
        <v>USAID Jamii Tekelezi</v>
      </c>
      <c r="F534" s="54" t="str">
        <f>IFERROR(IF(INDEX(SPOT_Import!$A$1:$Z$2488,534,'Live Data'!$C$17)="","",INDEX(SPOT_Import!$A$1:$Z$2488,534,'Live Data'!$C$17)),"")</f>
        <v>MNCH</v>
      </c>
      <c r="G534" s="54">
        <f>IFERROR(IF(INDEX(SPOT_Import!$A$1:$Z$2488,534,'Live Data'!$C$18)="","",INDEX(SPOT_Import!$A$1:$Z$2488,534,'Live Data'!$C$18)),"")</f>
        <v>37</v>
      </c>
      <c r="H534" s="54">
        <f>IFERROR(IF(INDEX(SPOT_Import!$A$1:$Z$2488,534,'Live Data'!$C$19)="","",INDEX(SPOT_Import!$A$1:$Z$2488,534,'Live Data'!$C$19)),"")</f>
        <v>37</v>
      </c>
      <c r="I534" s="54" t="str">
        <f>IFERROR(IF(INDEX(SPOT_Import!$A$1:$Z$2488,534,'Live Data'!$C$20)="","",INDEX(SPOT_Import!$A$1:$Z$2488,534,'Live Data'!$C$20)),"")</f>
        <v>Complete</v>
      </c>
      <c r="J534" s="54" t="str">
        <f>IFERROR(IF(INDEX(SPOT_Import!$A$1:$Z$2488,534,'Live Data'!$C$21)="","",INDEX(SPOT_Import!$A$1:$Z$2488,534,'Live Data'!$C$21)),"")</f>
        <v>2026-09-01T12:14:05.000Z</v>
      </c>
      <c r="K534" s="54" t="str">
        <f>IFERROR(IF(INDEX(SPOT_Import!$A$1:$Z$2488,534,'Live Data'!$C$22)="","",INDEX(SPOT_Import!$A$1:$Z$2488,534,'Live Data'!$C$22)),"")</f>
        <v>2026-09-01T12:14:05.000Z</v>
      </c>
      <c r="L534" s="55" t="str">
        <f t="shared" si="16"/>
        <v>2026-09</v>
      </c>
      <c r="M534" s="55" t="str">
        <f t="shared" si="17"/>
        <v>THARAKA-NITHI</v>
      </c>
      <c r="N534" s="55" t="str">
        <f>IF(A534="","",IFERROR(INDEX('Cluster Map'!$A$4:$A$38,MATCH(M534,'Cluster Map'!$B$4:$B$38,0)),"Unmapped"))</f>
        <v>Cluster 2</v>
      </c>
      <c r="O534" s="55">
        <f>IF(A534="",0,IF(COUNTIFS($A$2:A534,A534,$F$2:F534,F534,$L$2:L534,L534)=1,1,0))</f>
        <v>1</v>
      </c>
      <c r="P534" s="55">
        <f>IF(A534="",0,IF(AND(F534="C&amp;T",COUNTIFS($A$2:A534,A534,$F$2:F534,"C&amp;T")=1),1,0))</f>
        <v>0</v>
      </c>
    </row>
    <row r="535" spans="1:16" x14ac:dyDescent="0.35">
      <c r="A535" s="54">
        <f>IFERROR(IF(INDEX(SPOT_Import!$A$1:$Z$2488,535,'Live Data'!$C$12)="","",INDEX(SPOT_Import!$A$1:$Z$2488,535,'Live Data'!$C$12)),"")</f>
        <v>11942</v>
      </c>
      <c r="B535" s="54" t="str">
        <f>IFERROR(IF(INDEX(SPOT_Import!$A$1:$Z$2488,535,'Live Data'!$C$13)="","",INDEX(SPOT_Import!$A$1:$Z$2488,535,'Live Data'!$C$13)),"")</f>
        <v>Baragu Health Centre</v>
      </c>
      <c r="C535" s="54" t="str">
        <f>IFERROR(IF(INDEX(SPOT_Import!$A$1:$Z$2488,535,'Live Data'!$C$14)="","",INDEX(SPOT_Import!$A$1:$Z$2488,535,'Live Data'!$C$14)),"")</f>
        <v>THARAKA-NITHI</v>
      </c>
      <c r="D535" s="54" t="str">
        <f>IFERROR(IF(INDEX(SPOT_Import!$A$1:$Z$2488,535,'Live Data'!$C$15)="","",INDEX(SPOT_Import!$A$1:$Z$2488,535,'Live Data'!$C$15)),"")</f>
        <v>Mwimbi</v>
      </c>
      <c r="E535" s="54" t="str">
        <f>IFERROR(IF(INDEX(SPOT_Import!$A$1:$Z$2488,535,'Live Data'!$C$16)="","",INDEX(SPOT_Import!$A$1:$Z$2488,535,'Live Data'!$C$16)),"")</f>
        <v>USAID Jamii Tekelezi</v>
      </c>
      <c r="F535" s="54" t="str">
        <f>IFERROR(IF(INDEX(SPOT_Import!$A$1:$Z$2488,535,'Live Data'!$C$17)="","",INDEX(SPOT_Import!$A$1:$Z$2488,535,'Live Data'!$C$17)),"")</f>
        <v>HTS</v>
      </c>
      <c r="G535" s="54">
        <f>IFERROR(IF(INDEX(SPOT_Import!$A$1:$Z$2488,535,'Live Data'!$C$18)="","",INDEX(SPOT_Import!$A$1:$Z$2488,535,'Live Data'!$C$18)),"")</f>
        <v>2189</v>
      </c>
      <c r="H535" s="54">
        <f>IFERROR(IF(INDEX(SPOT_Import!$A$1:$Z$2488,535,'Live Data'!$C$19)="","",INDEX(SPOT_Import!$A$1:$Z$2488,535,'Live Data'!$C$19)),"")</f>
        <v>2189</v>
      </c>
      <c r="I535" s="54" t="str">
        <f>IFERROR(IF(INDEX(SPOT_Import!$A$1:$Z$2488,535,'Live Data'!$C$20)="","",INDEX(SPOT_Import!$A$1:$Z$2488,535,'Live Data'!$C$20)),"")</f>
        <v>Complete</v>
      </c>
      <c r="J535" s="54" t="str">
        <f>IFERROR(IF(INDEX(SPOT_Import!$A$1:$Z$2488,535,'Live Data'!$C$21)="","",INDEX(SPOT_Import!$A$1:$Z$2488,535,'Live Data'!$C$21)),"")</f>
        <v>2026-09-01T12:13:20.000Z</v>
      </c>
      <c r="K535" s="54" t="str">
        <f>IFERROR(IF(INDEX(SPOT_Import!$A$1:$Z$2488,535,'Live Data'!$C$22)="","",INDEX(SPOT_Import!$A$1:$Z$2488,535,'Live Data'!$C$22)),"")</f>
        <v>2026-09-01T12:13:20.000Z</v>
      </c>
      <c r="L535" s="55" t="str">
        <f t="shared" si="16"/>
        <v>2026-09</v>
      </c>
      <c r="M535" s="55" t="str">
        <f t="shared" si="17"/>
        <v>THARAKA-NITHI</v>
      </c>
      <c r="N535" s="55" t="str">
        <f>IF(A535="","",IFERROR(INDEX('Cluster Map'!$A$4:$A$38,MATCH(M535,'Cluster Map'!$B$4:$B$38,0)),"Unmapped"))</f>
        <v>Cluster 2</v>
      </c>
      <c r="O535" s="55">
        <f>IF(A535="",0,IF(COUNTIFS($A$2:A535,A535,$F$2:F535,F535,$L$2:L535,L535)=1,1,0))</f>
        <v>1</v>
      </c>
      <c r="P535" s="55">
        <f>IF(A535="",0,IF(AND(F535="C&amp;T",COUNTIFS($A$2:A535,A535,$F$2:F535,"C&amp;T")=1),1,0))</f>
        <v>0</v>
      </c>
    </row>
    <row r="536" spans="1:16" x14ac:dyDescent="0.35">
      <c r="A536" s="54">
        <f>IFERROR(IF(INDEX(SPOT_Import!$A$1:$Z$2488,536,'Live Data'!$C$12)="","",INDEX(SPOT_Import!$A$1:$Z$2488,536,'Live Data'!$C$12)),"")</f>
        <v>10657</v>
      </c>
      <c r="B536" s="54" t="str">
        <f>IFERROR(IF(INDEX(SPOT_Import!$A$1:$Z$2488,536,'Live Data'!$C$13)="","",INDEX(SPOT_Import!$A$1:$Z$2488,536,'Live Data'!$C$13)),"")</f>
        <v>Leshau Pondo Health Centre</v>
      </c>
      <c r="C536" s="54" t="str">
        <f>IFERROR(IF(INDEX(SPOT_Import!$A$1:$Z$2488,536,'Live Data'!$C$14)="","",INDEX(SPOT_Import!$A$1:$Z$2488,536,'Live Data'!$C$14)),"")</f>
        <v>NYANDARUA</v>
      </c>
      <c r="D536" s="54" t="str">
        <f>IFERROR(IF(INDEX(SPOT_Import!$A$1:$Z$2488,536,'Live Data'!$C$15)="","",INDEX(SPOT_Import!$A$1:$Z$2488,536,'Live Data'!$C$15)),"")</f>
        <v>Ndaragwa</v>
      </c>
      <c r="E536" s="54" t="str">
        <f>IFERROR(IF(INDEX(SPOT_Import!$A$1:$Z$2488,536,'Live Data'!$C$16)="","",INDEX(SPOT_Import!$A$1:$Z$2488,536,'Live Data'!$C$16)),"")</f>
        <v>USAID Jamii Tekelezi</v>
      </c>
      <c r="F536" s="54" t="str">
        <f>IFERROR(IF(INDEX(SPOT_Import!$A$1:$Z$2488,536,'Live Data'!$C$17)="","",INDEX(SPOT_Import!$A$1:$Z$2488,536,'Live Data'!$C$17)),"")</f>
        <v>PREP</v>
      </c>
      <c r="G536" s="54">
        <f>IFERROR(IF(INDEX(SPOT_Import!$A$1:$Z$2488,536,'Live Data'!$C$18)="","",INDEX(SPOT_Import!$A$1:$Z$2488,536,'Live Data'!$C$18)),"")</f>
        <v>9</v>
      </c>
      <c r="H536" s="54">
        <f>IFERROR(IF(INDEX(SPOT_Import!$A$1:$Z$2488,536,'Live Data'!$C$19)="","",INDEX(SPOT_Import!$A$1:$Z$2488,536,'Live Data'!$C$19)),"")</f>
        <v>9</v>
      </c>
      <c r="I536" s="54" t="str">
        <f>IFERROR(IF(INDEX(SPOT_Import!$A$1:$Z$2488,536,'Live Data'!$C$20)="","",INDEX(SPOT_Import!$A$1:$Z$2488,536,'Live Data'!$C$20)),"")</f>
        <v>Complete</v>
      </c>
      <c r="J536" s="54" t="str">
        <f>IFERROR(IF(INDEX(SPOT_Import!$A$1:$Z$2488,536,'Live Data'!$C$21)="","",INDEX(SPOT_Import!$A$1:$Z$2488,536,'Live Data'!$C$21)),"")</f>
        <v>2026-09-01T09:25:55.000Z</v>
      </c>
      <c r="K536" s="54" t="str">
        <f>IFERROR(IF(INDEX(SPOT_Import!$A$1:$Z$2488,536,'Live Data'!$C$22)="","",INDEX(SPOT_Import!$A$1:$Z$2488,536,'Live Data'!$C$22)),"")</f>
        <v>2026-09-01T09:25:55.000Z</v>
      </c>
      <c r="L536" s="55" t="str">
        <f t="shared" si="16"/>
        <v>2026-09</v>
      </c>
      <c r="M536" s="55" t="str">
        <f t="shared" si="17"/>
        <v>NYANDARUA</v>
      </c>
      <c r="N536" s="55" t="str">
        <f>IF(A536="","",IFERROR(INDEX('Cluster Map'!$A$4:$A$38,MATCH(M536,'Cluster Map'!$B$4:$B$38,0)),"Unmapped"))</f>
        <v>Cluster 4</v>
      </c>
      <c r="O536" s="55">
        <f>IF(A536="",0,IF(COUNTIFS($A$2:A536,A536,$F$2:F536,F536,$L$2:L536,L536)=1,1,0))</f>
        <v>1</v>
      </c>
      <c r="P536" s="55">
        <f>IF(A536="",0,IF(AND(F536="C&amp;T",COUNTIFS($A$2:A536,A536,$F$2:F536,"C&amp;T")=1),1,0))</f>
        <v>0</v>
      </c>
    </row>
    <row r="537" spans="1:16" x14ac:dyDescent="0.35">
      <c r="A537" s="54">
        <f>IFERROR(IF(INDEX(SPOT_Import!$A$1:$Z$2488,537,'Live Data'!$C$12)="","",INDEX(SPOT_Import!$A$1:$Z$2488,537,'Live Data'!$C$12)),"")</f>
        <v>12700</v>
      </c>
      <c r="B537" s="54" t="str">
        <f>IFERROR(IF(INDEX(SPOT_Import!$A$1:$Z$2488,537,'Live Data'!$C$13)="","",INDEX(SPOT_Import!$A$1:$Z$2488,537,'Live Data'!$C$13)),"")</f>
        <v>Ontulili Dispensary</v>
      </c>
      <c r="C537" s="54" t="str">
        <f>IFERROR(IF(INDEX(SPOT_Import!$A$1:$Z$2488,537,'Live Data'!$C$14)="","",INDEX(SPOT_Import!$A$1:$Z$2488,537,'Live Data'!$C$14)),"")</f>
        <v>MERU</v>
      </c>
      <c r="D537" s="54" t="str">
        <f>IFERROR(IF(INDEX(SPOT_Import!$A$1:$Z$2488,537,'Live Data'!$C$15)="","",INDEX(SPOT_Import!$A$1:$Z$2488,537,'Live Data'!$C$15)),"")</f>
        <v>Buuri</v>
      </c>
      <c r="E537" s="54" t="str">
        <f>IFERROR(IF(INDEX(SPOT_Import!$A$1:$Z$2488,537,'Live Data'!$C$16)="","",INDEX(SPOT_Import!$A$1:$Z$2488,537,'Live Data'!$C$16)),"")</f>
        <v>USAID Jamii Tekelezi</v>
      </c>
      <c r="F537" s="54" t="str">
        <f>IFERROR(IF(INDEX(SPOT_Import!$A$1:$Z$2488,537,'Live Data'!$C$17)="","",INDEX(SPOT_Import!$A$1:$Z$2488,537,'Live Data'!$C$17)),"")</f>
        <v>PREP</v>
      </c>
      <c r="G537" s="54">
        <f>IFERROR(IF(INDEX(SPOT_Import!$A$1:$Z$2488,537,'Live Data'!$C$18)="","",INDEX(SPOT_Import!$A$1:$Z$2488,537,'Live Data'!$C$18)),"")</f>
        <v>1</v>
      </c>
      <c r="H537" s="54">
        <f>IFERROR(IF(INDEX(SPOT_Import!$A$1:$Z$2488,537,'Live Data'!$C$19)="","",INDEX(SPOT_Import!$A$1:$Z$2488,537,'Live Data'!$C$19)),"")</f>
        <v>1</v>
      </c>
      <c r="I537" s="54" t="str">
        <f>IFERROR(IF(INDEX(SPOT_Import!$A$1:$Z$2488,537,'Live Data'!$C$20)="","",INDEX(SPOT_Import!$A$1:$Z$2488,537,'Live Data'!$C$20)),"")</f>
        <v>Complete</v>
      </c>
      <c r="J537" s="54" t="str">
        <f>IFERROR(IF(INDEX(SPOT_Import!$A$1:$Z$2488,537,'Live Data'!$C$21)="","",INDEX(SPOT_Import!$A$1:$Z$2488,537,'Live Data'!$C$21)),"")</f>
        <v>2026-08-06T12:40:34.000Z</v>
      </c>
      <c r="K537" s="54" t="str">
        <f>IFERROR(IF(INDEX(SPOT_Import!$A$1:$Z$2488,537,'Live Data'!$C$22)="","",INDEX(SPOT_Import!$A$1:$Z$2488,537,'Live Data'!$C$22)),"")</f>
        <v>2026-08-06T12:40:34.000Z</v>
      </c>
      <c r="L537" s="55" t="str">
        <f t="shared" si="16"/>
        <v>2026-08</v>
      </c>
      <c r="M537" s="55" t="str">
        <f t="shared" si="17"/>
        <v>MERU</v>
      </c>
      <c r="N537" s="55" t="str">
        <f>IF(A537="","",IFERROR(INDEX('Cluster Map'!$A$4:$A$38,MATCH(M537,'Cluster Map'!$B$4:$B$38,0)),"Unmapped"))</f>
        <v>Cluster 1</v>
      </c>
      <c r="O537" s="55">
        <f>IF(A537="",0,IF(COUNTIFS($A$2:A537,A537,$F$2:F537,F537,$L$2:L537,L537)=1,1,0))</f>
        <v>1</v>
      </c>
      <c r="P537" s="55">
        <f>IF(A537="",0,IF(AND(F537="C&amp;T",COUNTIFS($A$2:A537,A537,$F$2:F537,"C&amp;T")=1),1,0))</f>
        <v>0</v>
      </c>
    </row>
    <row r="538" spans="1:16" x14ac:dyDescent="0.35">
      <c r="A538" s="54">
        <f>IFERROR(IF(INDEX(SPOT_Import!$A$1:$Z$2488,538,'Live Data'!$C$12)="","",INDEX(SPOT_Import!$A$1:$Z$2488,538,'Live Data'!$C$12)),"")</f>
        <v>12645</v>
      </c>
      <c r="B538" s="54" t="str">
        <f>IFERROR(IF(INDEX(SPOT_Import!$A$1:$Z$2488,538,'Live Data'!$C$13)="","",INDEX(SPOT_Import!$A$1:$Z$2488,538,'Live Data'!$C$13)),"")</f>
        <v>Nganduri Dispensary</v>
      </c>
      <c r="C538" s="54" t="str">
        <f>IFERROR(IF(INDEX(SPOT_Import!$A$1:$Z$2488,538,'Live Data'!$C$14)="","",INDEX(SPOT_Import!$A$1:$Z$2488,538,'Live Data'!$C$14)),"")</f>
        <v>EMBU</v>
      </c>
      <c r="D538" s="54" t="str">
        <f>IFERROR(IF(INDEX(SPOT_Import!$A$1:$Z$2488,538,'Live Data'!$C$15)="","",INDEX(SPOT_Import!$A$1:$Z$2488,538,'Live Data'!$C$15)),"")</f>
        <v>Mbeere South</v>
      </c>
      <c r="E538" s="54" t="str">
        <f>IFERROR(IF(INDEX(SPOT_Import!$A$1:$Z$2488,538,'Live Data'!$C$16)="","",INDEX(SPOT_Import!$A$1:$Z$2488,538,'Live Data'!$C$16)),"")</f>
        <v>USAID Jamii Tekelezi</v>
      </c>
      <c r="F538" s="54" t="str">
        <f>IFERROR(IF(INDEX(SPOT_Import!$A$1:$Z$2488,538,'Live Data'!$C$17)="","",INDEX(SPOT_Import!$A$1:$Z$2488,538,'Live Data'!$C$17)),"")</f>
        <v>MNCH</v>
      </c>
      <c r="G538" s="54">
        <f>IFERROR(IF(INDEX(SPOT_Import!$A$1:$Z$2488,538,'Live Data'!$C$18)="","",INDEX(SPOT_Import!$A$1:$Z$2488,538,'Live Data'!$C$18)),"")</f>
        <v>1</v>
      </c>
      <c r="H538" s="54">
        <f>IFERROR(IF(INDEX(SPOT_Import!$A$1:$Z$2488,538,'Live Data'!$C$19)="","",INDEX(SPOT_Import!$A$1:$Z$2488,538,'Live Data'!$C$19)),"")</f>
        <v>1</v>
      </c>
      <c r="I538" s="54" t="str">
        <f>IFERROR(IF(INDEX(SPOT_Import!$A$1:$Z$2488,538,'Live Data'!$C$20)="","",INDEX(SPOT_Import!$A$1:$Z$2488,538,'Live Data'!$C$20)),"")</f>
        <v>Complete</v>
      </c>
      <c r="J538" s="54" t="str">
        <f>IFERROR(IF(INDEX(SPOT_Import!$A$1:$Z$2488,538,'Live Data'!$C$21)="","",INDEX(SPOT_Import!$A$1:$Z$2488,538,'Live Data'!$C$21)),"")</f>
        <v>2026-08-05T08:38:43.000Z</v>
      </c>
      <c r="K538" s="54" t="str">
        <f>IFERROR(IF(INDEX(SPOT_Import!$A$1:$Z$2488,538,'Live Data'!$C$22)="","",INDEX(SPOT_Import!$A$1:$Z$2488,538,'Live Data'!$C$22)),"")</f>
        <v>2026-08-05T08:38:43.000Z</v>
      </c>
      <c r="L538" s="55" t="str">
        <f t="shared" si="16"/>
        <v>2026-08</v>
      </c>
      <c r="M538" s="55" t="str">
        <f t="shared" si="17"/>
        <v>EMBU</v>
      </c>
      <c r="N538" s="55" t="str">
        <f>IF(A538="","",IFERROR(INDEX('Cluster Map'!$A$4:$A$38,MATCH(M538,'Cluster Map'!$B$4:$B$38,0)),"Unmapped"))</f>
        <v>Cluster 2</v>
      </c>
      <c r="O538" s="55">
        <f>IF(A538="",0,IF(COUNTIFS($A$2:A538,A538,$F$2:F538,F538,$L$2:L538,L538)=1,1,0))</f>
        <v>1</v>
      </c>
      <c r="P538" s="55">
        <f>IF(A538="",0,IF(AND(F538="C&amp;T",COUNTIFS($A$2:A538,A538,$F$2:F538,"C&amp;T")=1),1,0))</f>
        <v>0</v>
      </c>
    </row>
    <row r="539" spans="1:16" x14ac:dyDescent="0.35">
      <c r="A539" s="54">
        <f>IFERROR(IF(INDEX(SPOT_Import!$A$1:$Z$2488,539,'Live Data'!$C$12)="","",INDEX(SPOT_Import!$A$1:$Z$2488,539,'Live Data'!$C$12)),"")</f>
        <v>12023</v>
      </c>
      <c r="B539" s="54" t="str">
        <f>IFERROR(IF(INDEX(SPOT_Import!$A$1:$Z$2488,539,'Live Data'!$C$13)="","",INDEX(SPOT_Import!$A$1:$Z$2488,539,'Live Data'!$C$13)),"")</f>
        <v>Gachuriri Dispensary</v>
      </c>
      <c r="C539" s="54" t="str">
        <f>IFERROR(IF(INDEX(SPOT_Import!$A$1:$Z$2488,539,'Live Data'!$C$14)="","",INDEX(SPOT_Import!$A$1:$Z$2488,539,'Live Data'!$C$14)),"")</f>
        <v>EMBU</v>
      </c>
      <c r="D539" s="54" t="str">
        <f>IFERROR(IF(INDEX(SPOT_Import!$A$1:$Z$2488,539,'Live Data'!$C$15)="","",INDEX(SPOT_Import!$A$1:$Z$2488,539,'Live Data'!$C$15)),"")</f>
        <v>Mbeere South</v>
      </c>
      <c r="E539" s="54" t="str">
        <f>IFERROR(IF(INDEX(SPOT_Import!$A$1:$Z$2488,539,'Live Data'!$C$16)="","",INDEX(SPOT_Import!$A$1:$Z$2488,539,'Live Data'!$C$16)),"")</f>
        <v>USAID Jamii Tekelezi</v>
      </c>
      <c r="F539" s="54" t="str">
        <f>IFERROR(IF(INDEX(SPOT_Import!$A$1:$Z$2488,539,'Live Data'!$C$17)="","",INDEX(SPOT_Import!$A$1:$Z$2488,539,'Live Data'!$C$17)),"")</f>
        <v>MNCH</v>
      </c>
      <c r="G539" s="54">
        <f>IFERROR(IF(INDEX(SPOT_Import!$A$1:$Z$2488,539,'Live Data'!$C$18)="","",INDEX(SPOT_Import!$A$1:$Z$2488,539,'Live Data'!$C$18)),"")</f>
        <v>9</v>
      </c>
      <c r="H539" s="54">
        <f>IFERROR(IF(INDEX(SPOT_Import!$A$1:$Z$2488,539,'Live Data'!$C$19)="","",INDEX(SPOT_Import!$A$1:$Z$2488,539,'Live Data'!$C$19)),"")</f>
        <v>9</v>
      </c>
      <c r="I539" s="54" t="str">
        <f>IFERROR(IF(INDEX(SPOT_Import!$A$1:$Z$2488,539,'Live Data'!$C$20)="","",INDEX(SPOT_Import!$A$1:$Z$2488,539,'Live Data'!$C$20)),"")</f>
        <v>Complete</v>
      </c>
      <c r="J539" s="54" t="str">
        <f>IFERROR(IF(INDEX(SPOT_Import!$A$1:$Z$2488,539,'Live Data'!$C$21)="","",INDEX(SPOT_Import!$A$1:$Z$2488,539,'Live Data'!$C$21)),"")</f>
        <v>2026-08-04T12:06:37.000Z</v>
      </c>
      <c r="K539" s="54" t="str">
        <f>IFERROR(IF(INDEX(SPOT_Import!$A$1:$Z$2488,539,'Live Data'!$C$22)="","",INDEX(SPOT_Import!$A$1:$Z$2488,539,'Live Data'!$C$22)),"")</f>
        <v>2026-08-04T12:06:37.000Z</v>
      </c>
      <c r="L539" s="55" t="str">
        <f t="shared" si="16"/>
        <v>2026-08</v>
      </c>
      <c r="M539" s="55" t="str">
        <f t="shared" si="17"/>
        <v>EMBU</v>
      </c>
      <c r="N539" s="55" t="str">
        <f>IF(A539="","",IFERROR(INDEX('Cluster Map'!$A$4:$A$38,MATCH(M539,'Cluster Map'!$B$4:$B$38,0)),"Unmapped"))</f>
        <v>Cluster 2</v>
      </c>
      <c r="O539" s="55">
        <f>IF(A539="",0,IF(COUNTIFS($A$2:A539,A539,$F$2:F539,F539,$L$2:L539,L539)=1,1,0))</f>
        <v>1</v>
      </c>
      <c r="P539" s="55">
        <f>IF(A539="",0,IF(AND(F539="C&amp;T",COUNTIFS($A$2:A539,A539,$F$2:F539,"C&amp;T")=1),1,0))</f>
        <v>0</v>
      </c>
    </row>
    <row r="540" spans="1:16" x14ac:dyDescent="0.35">
      <c r="A540" s="54">
        <f>IFERROR(IF(INDEX(SPOT_Import!$A$1:$Z$2488,540,'Live Data'!$C$12)="","",INDEX(SPOT_Import!$A$1:$Z$2488,540,'Live Data'!$C$12)),"")</f>
        <v>12673</v>
      </c>
      <c r="B540" s="54" t="str">
        <f>IFERROR(IF(INDEX(SPOT_Import!$A$1:$Z$2488,540,'Live Data'!$C$13)="","",INDEX(SPOT_Import!$A$1:$Z$2488,540,'Live Data'!$C$13)),"")</f>
        <v>Nthagaiya Catholic Dispensary</v>
      </c>
      <c r="C540" s="54" t="str">
        <f>IFERROR(IF(INDEX(SPOT_Import!$A$1:$Z$2488,540,'Live Data'!$C$14)="","",INDEX(SPOT_Import!$A$1:$Z$2488,540,'Live Data'!$C$14)),"")</f>
        <v>EMBU</v>
      </c>
      <c r="D540" s="54" t="str">
        <f>IFERROR(IF(INDEX(SPOT_Import!$A$1:$Z$2488,540,'Live Data'!$C$15)="","",INDEX(SPOT_Import!$A$1:$Z$2488,540,'Live Data'!$C$15)),"")</f>
        <v>Runyenjes</v>
      </c>
      <c r="E540" s="54" t="str">
        <f>IFERROR(IF(INDEX(SPOT_Import!$A$1:$Z$2488,540,'Live Data'!$C$16)="","",INDEX(SPOT_Import!$A$1:$Z$2488,540,'Live Data'!$C$16)),"")</f>
        <v>USAID Jamii Tekelezi</v>
      </c>
      <c r="F540" s="54" t="str">
        <f>IFERROR(IF(INDEX(SPOT_Import!$A$1:$Z$2488,540,'Live Data'!$C$17)="","",INDEX(SPOT_Import!$A$1:$Z$2488,540,'Live Data'!$C$17)),"")</f>
        <v>MNCH</v>
      </c>
      <c r="G540" s="54">
        <f>IFERROR(IF(INDEX(SPOT_Import!$A$1:$Z$2488,540,'Live Data'!$C$18)="","",INDEX(SPOT_Import!$A$1:$Z$2488,540,'Live Data'!$C$18)),"")</f>
        <v>17</v>
      </c>
      <c r="H540" s="54">
        <f>IFERROR(IF(INDEX(SPOT_Import!$A$1:$Z$2488,540,'Live Data'!$C$19)="","",INDEX(SPOT_Import!$A$1:$Z$2488,540,'Live Data'!$C$19)),"")</f>
        <v>17</v>
      </c>
      <c r="I540" s="54" t="str">
        <f>IFERROR(IF(INDEX(SPOT_Import!$A$1:$Z$2488,540,'Live Data'!$C$20)="","",INDEX(SPOT_Import!$A$1:$Z$2488,540,'Live Data'!$C$20)),"")</f>
        <v>Complete</v>
      </c>
      <c r="J540" s="54" t="str">
        <f>IFERROR(IF(INDEX(SPOT_Import!$A$1:$Z$2488,540,'Live Data'!$C$21)="","",INDEX(SPOT_Import!$A$1:$Z$2488,540,'Live Data'!$C$21)),"")</f>
        <v>2026-08-04T08:58:26.000Z</v>
      </c>
      <c r="K540" s="54" t="str">
        <f>IFERROR(IF(INDEX(SPOT_Import!$A$1:$Z$2488,540,'Live Data'!$C$22)="","",INDEX(SPOT_Import!$A$1:$Z$2488,540,'Live Data'!$C$22)),"")</f>
        <v>2026-08-04T08:58:26.000Z</v>
      </c>
      <c r="L540" s="55" t="str">
        <f t="shared" si="16"/>
        <v>2026-08</v>
      </c>
      <c r="M540" s="55" t="str">
        <f t="shared" si="17"/>
        <v>EMBU</v>
      </c>
      <c r="N540" s="55" t="str">
        <f>IF(A540="","",IFERROR(INDEX('Cluster Map'!$A$4:$A$38,MATCH(M540,'Cluster Map'!$B$4:$B$38,0)),"Unmapped"))</f>
        <v>Cluster 2</v>
      </c>
      <c r="O540" s="55">
        <f>IF(A540="",0,IF(COUNTIFS($A$2:A540,A540,$F$2:F540,F540,$L$2:L540,L540)=1,1,0))</f>
        <v>1</v>
      </c>
      <c r="P540" s="55">
        <f>IF(A540="",0,IF(AND(F540="C&amp;T",COUNTIFS($A$2:A540,A540,$F$2:F540,"C&amp;T")=1),1,0))</f>
        <v>0</v>
      </c>
    </row>
    <row r="541" spans="1:16" x14ac:dyDescent="0.35">
      <c r="A541" s="54">
        <f>IFERROR(IF(INDEX(SPOT_Import!$A$1:$Z$2488,541,'Live Data'!$C$12)="","",INDEX(SPOT_Import!$A$1:$Z$2488,541,'Live Data'!$C$12)),"")</f>
        <v>16463</v>
      </c>
      <c r="B541" s="54" t="str">
        <f>IFERROR(IF(INDEX(SPOT_Import!$A$1:$Z$2488,541,'Live Data'!$C$13)="","",INDEX(SPOT_Import!$A$1:$Z$2488,541,'Live Data'!$C$13)),"")</f>
        <v>Gategi Health Centre</v>
      </c>
      <c r="C541" s="54" t="str">
        <f>IFERROR(IF(INDEX(SPOT_Import!$A$1:$Z$2488,541,'Live Data'!$C$14)="","",INDEX(SPOT_Import!$A$1:$Z$2488,541,'Live Data'!$C$14)),"")</f>
        <v>EMBU</v>
      </c>
      <c r="D541" s="54" t="str">
        <f>IFERROR(IF(INDEX(SPOT_Import!$A$1:$Z$2488,541,'Live Data'!$C$15)="","",INDEX(SPOT_Import!$A$1:$Z$2488,541,'Live Data'!$C$15)),"")</f>
        <v>Mbeere South</v>
      </c>
      <c r="E541" s="54" t="str">
        <f>IFERROR(IF(INDEX(SPOT_Import!$A$1:$Z$2488,541,'Live Data'!$C$16)="","",INDEX(SPOT_Import!$A$1:$Z$2488,541,'Live Data'!$C$16)),"")</f>
        <v>USAID Jamii Tekelezi</v>
      </c>
      <c r="F541" s="54" t="str">
        <f>IFERROR(IF(INDEX(SPOT_Import!$A$1:$Z$2488,541,'Live Data'!$C$17)="","",INDEX(SPOT_Import!$A$1:$Z$2488,541,'Live Data'!$C$17)),"")</f>
        <v>MNCH</v>
      </c>
      <c r="G541" s="54">
        <f>IFERROR(IF(INDEX(SPOT_Import!$A$1:$Z$2488,541,'Live Data'!$C$18)="","",INDEX(SPOT_Import!$A$1:$Z$2488,541,'Live Data'!$C$18)),"")</f>
        <v>481</v>
      </c>
      <c r="H541" s="54">
        <f>IFERROR(IF(INDEX(SPOT_Import!$A$1:$Z$2488,541,'Live Data'!$C$19)="","",INDEX(SPOT_Import!$A$1:$Z$2488,541,'Live Data'!$C$19)),"")</f>
        <v>400</v>
      </c>
      <c r="I541" s="54" t="str">
        <f>IFERROR(IF(INDEX(SPOT_Import!$A$1:$Z$2488,541,'Live Data'!$C$20)="","",INDEX(SPOT_Import!$A$1:$Z$2488,541,'Live Data'!$C$20)),"")</f>
        <v>Incomplete</v>
      </c>
      <c r="J541" s="54" t="str">
        <f>IFERROR(IF(INDEX(SPOT_Import!$A$1:$Z$2488,541,'Live Data'!$C$21)="","",INDEX(SPOT_Import!$A$1:$Z$2488,541,'Live Data'!$C$21)),"")</f>
        <v>2026-08-03T10:48:23.000Z</v>
      </c>
      <c r="K541" s="54" t="str">
        <f>IFERROR(IF(INDEX(SPOT_Import!$A$1:$Z$2488,541,'Live Data'!$C$22)="","",INDEX(SPOT_Import!$A$1:$Z$2488,541,'Live Data'!$C$22)),"")</f>
        <v>2026-08-03T10:48:23.000Z</v>
      </c>
      <c r="L541" s="55" t="str">
        <f t="shared" si="16"/>
        <v>2026-08</v>
      </c>
      <c r="M541" s="55" t="str">
        <f t="shared" si="17"/>
        <v>EMBU</v>
      </c>
      <c r="N541" s="55" t="str">
        <f>IF(A541="","",IFERROR(INDEX('Cluster Map'!$A$4:$A$38,MATCH(M541,'Cluster Map'!$B$4:$B$38,0)),"Unmapped"))</f>
        <v>Cluster 2</v>
      </c>
      <c r="O541" s="55">
        <f>IF(A541="",0,IF(COUNTIFS($A$2:A541,A541,$F$2:F541,F541,$L$2:L541,L541)=1,1,0))</f>
        <v>1</v>
      </c>
      <c r="P541" s="55">
        <f>IF(A541="",0,IF(AND(F541="C&amp;T",COUNTIFS($A$2:A541,A541,$F$2:F541,"C&amp;T")=1),1,0))</f>
        <v>0</v>
      </c>
    </row>
    <row r="542" spans="1:16" x14ac:dyDescent="0.35">
      <c r="A542" s="54">
        <f>IFERROR(IF(INDEX(SPOT_Import!$A$1:$Z$2488,542,'Live Data'!$C$12)="","",INDEX(SPOT_Import!$A$1:$Z$2488,542,'Live Data'!$C$12)),"")</f>
        <v>12526</v>
      </c>
      <c r="B542" s="54" t="str">
        <f>IFERROR(IF(INDEX(SPOT_Import!$A$1:$Z$2488,542,'Live Data'!$C$13)="","",INDEX(SPOT_Import!$A$1:$Z$2488,542,'Live Data'!$C$13)),"")</f>
        <v>Mikumbune Sub-District Hospital</v>
      </c>
      <c r="C542" s="54" t="str">
        <f>IFERROR(IF(INDEX(SPOT_Import!$A$1:$Z$2488,542,'Live Data'!$C$14)="","",INDEX(SPOT_Import!$A$1:$Z$2488,542,'Live Data'!$C$14)),"")</f>
        <v>MERU</v>
      </c>
      <c r="D542" s="54" t="str">
        <f>IFERROR(IF(INDEX(SPOT_Import!$A$1:$Z$2488,542,'Live Data'!$C$15)="","",INDEX(SPOT_Import!$A$1:$Z$2488,542,'Live Data'!$C$15)),"")</f>
        <v>Imenti South</v>
      </c>
      <c r="E542" s="54" t="str">
        <f>IFERROR(IF(INDEX(SPOT_Import!$A$1:$Z$2488,542,'Live Data'!$C$16)="","",INDEX(SPOT_Import!$A$1:$Z$2488,542,'Live Data'!$C$16)),"")</f>
        <v>USAID Jamii Tekelezi</v>
      </c>
      <c r="F542" s="54" t="str">
        <f>IFERROR(IF(INDEX(SPOT_Import!$A$1:$Z$2488,542,'Live Data'!$C$17)="","",INDEX(SPOT_Import!$A$1:$Z$2488,542,'Live Data'!$C$17)),"")</f>
        <v>MNCH</v>
      </c>
      <c r="G542" s="54">
        <f>IFERROR(IF(INDEX(SPOT_Import!$A$1:$Z$2488,542,'Live Data'!$C$18)="","",INDEX(SPOT_Import!$A$1:$Z$2488,542,'Live Data'!$C$18)),"")</f>
        <v>95</v>
      </c>
      <c r="H542" s="54">
        <f>IFERROR(IF(INDEX(SPOT_Import!$A$1:$Z$2488,542,'Live Data'!$C$19)="","",INDEX(SPOT_Import!$A$1:$Z$2488,542,'Live Data'!$C$19)),"")</f>
        <v>95</v>
      </c>
      <c r="I542" s="54" t="str">
        <f>IFERROR(IF(INDEX(SPOT_Import!$A$1:$Z$2488,542,'Live Data'!$C$20)="","",INDEX(SPOT_Import!$A$1:$Z$2488,542,'Live Data'!$C$20)),"")</f>
        <v>Complete</v>
      </c>
      <c r="J542" s="54" t="str">
        <f>IFERROR(IF(INDEX(SPOT_Import!$A$1:$Z$2488,542,'Live Data'!$C$21)="","",INDEX(SPOT_Import!$A$1:$Z$2488,542,'Live Data'!$C$21)),"")</f>
        <v>2026-05-06T11:12:56.000Z</v>
      </c>
      <c r="K542" s="54" t="str">
        <f>IFERROR(IF(INDEX(SPOT_Import!$A$1:$Z$2488,542,'Live Data'!$C$22)="","",INDEX(SPOT_Import!$A$1:$Z$2488,542,'Live Data'!$C$22)),"")</f>
        <v>2026-05-06T11:12:56.000Z</v>
      </c>
      <c r="L542" s="55" t="str">
        <f t="shared" si="16"/>
        <v>2026-05</v>
      </c>
      <c r="M542" s="55" t="str">
        <f t="shared" si="17"/>
        <v>MERU</v>
      </c>
      <c r="N542" s="55" t="str">
        <f>IF(A542="","",IFERROR(INDEX('Cluster Map'!$A$4:$A$38,MATCH(M542,'Cluster Map'!$B$4:$B$38,0)),"Unmapped"))</f>
        <v>Cluster 1</v>
      </c>
      <c r="O542" s="55">
        <f>IF(A542="",0,IF(COUNTIFS($A$2:A542,A542,$F$2:F542,F542,$L$2:L542,L542)=1,1,0))</f>
        <v>1</v>
      </c>
      <c r="P542" s="55">
        <f>IF(A542="",0,IF(AND(F542="C&amp;T",COUNTIFS($A$2:A542,A542,$F$2:F542,"C&amp;T")=1),1,0))</f>
        <v>0</v>
      </c>
    </row>
    <row r="543" spans="1:16" x14ac:dyDescent="0.35">
      <c r="A543" s="54">
        <f>IFERROR(IF(INDEX(SPOT_Import!$A$1:$Z$2488,543,'Live Data'!$C$12)="","",INDEX(SPOT_Import!$A$1:$Z$2488,543,'Live Data'!$C$12)),"")</f>
        <v>12192</v>
      </c>
      <c r="B543" s="54" t="str">
        <f>IFERROR(IF(INDEX(SPOT_Import!$A$1:$Z$2488,543,'Live Data'!$C$13)="","",INDEX(SPOT_Import!$A$1:$Z$2488,543,'Live Data'!$C$13)),"")</f>
        <v>Kaongo Health Centre</v>
      </c>
      <c r="C543" s="54" t="str">
        <f>IFERROR(IF(INDEX(SPOT_Import!$A$1:$Z$2488,543,'Live Data'!$C$14)="","",INDEX(SPOT_Import!$A$1:$Z$2488,543,'Live Data'!$C$14)),"")</f>
        <v>MERU</v>
      </c>
      <c r="D543" s="54" t="str">
        <f>IFERROR(IF(INDEX(SPOT_Import!$A$1:$Z$2488,543,'Live Data'!$C$15)="","",INDEX(SPOT_Import!$A$1:$Z$2488,543,'Live Data'!$C$15)),"")</f>
        <v>Imenti Central</v>
      </c>
      <c r="E543" s="54" t="str">
        <f>IFERROR(IF(INDEX(SPOT_Import!$A$1:$Z$2488,543,'Live Data'!$C$16)="","",INDEX(SPOT_Import!$A$1:$Z$2488,543,'Live Data'!$C$16)),"")</f>
        <v>USAID Jamii Tekelezi</v>
      </c>
      <c r="F543" s="54" t="str">
        <f>IFERROR(IF(INDEX(SPOT_Import!$A$1:$Z$2488,543,'Live Data'!$C$17)="","",INDEX(SPOT_Import!$A$1:$Z$2488,543,'Live Data'!$C$17)),"")</f>
        <v>MNCH</v>
      </c>
      <c r="G543" s="54">
        <f>IFERROR(IF(INDEX(SPOT_Import!$A$1:$Z$2488,543,'Live Data'!$C$18)="","",INDEX(SPOT_Import!$A$1:$Z$2488,543,'Live Data'!$C$18)),"")</f>
        <v>23</v>
      </c>
      <c r="H543" s="54">
        <f>IFERROR(IF(INDEX(SPOT_Import!$A$1:$Z$2488,543,'Live Data'!$C$19)="","",INDEX(SPOT_Import!$A$1:$Z$2488,543,'Live Data'!$C$19)),"")</f>
        <v>23</v>
      </c>
      <c r="I543" s="54" t="str">
        <f>IFERROR(IF(INDEX(SPOT_Import!$A$1:$Z$2488,543,'Live Data'!$C$20)="","",INDEX(SPOT_Import!$A$1:$Z$2488,543,'Live Data'!$C$20)),"")</f>
        <v>Complete</v>
      </c>
      <c r="J543" s="54" t="str">
        <f>IFERROR(IF(INDEX(SPOT_Import!$A$1:$Z$2488,543,'Live Data'!$C$21)="","",INDEX(SPOT_Import!$A$1:$Z$2488,543,'Live Data'!$C$21)),"")</f>
        <v>2026-05-05T10:17:14.000Z</v>
      </c>
      <c r="K543" s="54" t="str">
        <f>IFERROR(IF(INDEX(SPOT_Import!$A$1:$Z$2488,543,'Live Data'!$C$22)="","",INDEX(SPOT_Import!$A$1:$Z$2488,543,'Live Data'!$C$22)),"")</f>
        <v>2026-05-05T10:17:14.000Z</v>
      </c>
      <c r="L543" s="55" t="str">
        <f t="shared" si="16"/>
        <v>2026-05</v>
      </c>
      <c r="M543" s="55" t="str">
        <f t="shared" si="17"/>
        <v>MERU</v>
      </c>
      <c r="N543" s="55" t="str">
        <f>IF(A543="","",IFERROR(INDEX('Cluster Map'!$A$4:$A$38,MATCH(M543,'Cluster Map'!$B$4:$B$38,0)),"Unmapped"))</f>
        <v>Cluster 1</v>
      </c>
      <c r="O543" s="55">
        <f>IF(A543="",0,IF(COUNTIFS($A$2:A543,A543,$F$2:F543,F543,$L$2:L543,L543)=1,1,0))</f>
        <v>1</v>
      </c>
      <c r="P543" s="55">
        <f>IF(A543="",0,IF(AND(F543="C&amp;T",COUNTIFS($A$2:A543,A543,$F$2:F543,"C&amp;T")=1),1,0))</f>
        <v>0</v>
      </c>
    </row>
    <row r="544" spans="1:16" x14ac:dyDescent="0.35">
      <c r="A544" s="54">
        <f>IFERROR(IF(INDEX(SPOT_Import!$A$1:$Z$2488,544,'Live Data'!$C$12)="","",INDEX(SPOT_Import!$A$1:$Z$2488,544,'Live Data'!$C$12)),"")</f>
        <v>12719</v>
      </c>
      <c r="B544" s="54" t="str">
        <f>IFERROR(IF(INDEX(SPOT_Import!$A$1:$Z$2488,544,'Live Data'!$C$13)="","",INDEX(SPOT_Import!$A$1:$Z$2488,544,'Live Data'!$C$13)),"")</f>
        <v>Runyenjes District Hospital</v>
      </c>
      <c r="C544" s="54" t="str">
        <f>IFERROR(IF(INDEX(SPOT_Import!$A$1:$Z$2488,544,'Live Data'!$C$14)="","",INDEX(SPOT_Import!$A$1:$Z$2488,544,'Live Data'!$C$14)),"")</f>
        <v>EMBU</v>
      </c>
      <c r="D544" s="54" t="str">
        <f>IFERROR(IF(INDEX(SPOT_Import!$A$1:$Z$2488,544,'Live Data'!$C$15)="","",INDEX(SPOT_Import!$A$1:$Z$2488,544,'Live Data'!$C$15)),"")</f>
        <v>Runyenjes</v>
      </c>
      <c r="E544" s="54" t="str">
        <f>IFERROR(IF(INDEX(SPOT_Import!$A$1:$Z$2488,544,'Live Data'!$C$16)="","",INDEX(SPOT_Import!$A$1:$Z$2488,544,'Live Data'!$C$16)),"")</f>
        <v>USAID Jamii Tekelezi</v>
      </c>
      <c r="F544" s="54" t="str">
        <f>IFERROR(IF(INDEX(SPOT_Import!$A$1:$Z$2488,544,'Live Data'!$C$17)="","",INDEX(SPOT_Import!$A$1:$Z$2488,544,'Live Data'!$C$17)),"")</f>
        <v>PREP</v>
      </c>
      <c r="G544" s="54">
        <f>IFERROR(IF(INDEX(SPOT_Import!$A$1:$Z$2488,544,'Live Data'!$C$18)="","",INDEX(SPOT_Import!$A$1:$Z$2488,544,'Live Data'!$C$18)),"")</f>
        <v>369</v>
      </c>
      <c r="H544" s="54">
        <f>IFERROR(IF(INDEX(SPOT_Import!$A$1:$Z$2488,544,'Live Data'!$C$19)="","",INDEX(SPOT_Import!$A$1:$Z$2488,544,'Live Data'!$C$19)),"")</f>
        <v>463</v>
      </c>
      <c r="I544" s="54" t="str">
        <f>IFERROR(IF(INDEX(SPOT_Import!$A$1:$Z$2488,544,'Live Data'!$C$20)="","",INDEX(SPOT_Import!$A$1:$Z$2488,544,'Live Data'!$C$20)),"")</f>
        <v>Complete</v>
      </c>
      <c r="J544" s="54" t="str">
        <f>IFERROR(IF(INDEX(SPOT_Import!$A$1:$Z$2488,544,'Live Data'!$C$21)="","",INDEX(SPOT_Import!$A$1:$Z$2488,544,'Live Data'!$C$21)),"")</f>
        <v>2026-04-09T14:14:54.000Z</v>
      </c>
      <c r="K544" s="54" t="str">
        <f>IFERROR(IF(INDEX(SPOT_Import!$A$1:$Z$2488,544,'Live Data'!$C$22)="","",INDEX(SPOT_Import!$A$1:$Z$2488,544,'Live Data'!$C$22)),"")</f>
        <v>2026-04-09T14:14:54.000Z</v>
      </c>
      <c r="L544" s="55" t="str">
        <f t="shared" si="16"/>
        <v>2026-04</v>
      </c>
      <c r="M544" s="55" t="str">
        <f t="shared" si="17"/>
        <v>EMBU</v>
      </c>
      <c r="N544" s="55" t="str">
        <f>IF(A544="","",IFERROR(INDEX('Cluster Map'!$A$4:$A$38,MATCH(M544,'Cluster Map'!$B$4:$B$38,0)),"Unmapped"))</f>
        <v>Cluster 2</v>
      </c>
      <c r="O544" s="55">
        <f>IF(A544="",0,IF(COUNTIFS($A$2:A544,A544,$F$2:F544,F544,$L$2:L544,L544)=1,1,0))</f>
        <v>1</v>
      </c>
      <c r="P544" s="55">
        <f>IF(A544="",0,IF(AND(F544="C&amp;T",COUNTIFS($A$2:A544,A544,$F$2:F544,"C&amp;T")=1),1,0))</f>
        <v>0</v>
      </c>
    </row>
    <row r="545" spans="1:16" x14ac:dyDescent="0.35">
      <c r="A545" s="54">
        <f>IFERROR(IF(INDEX(SPOT_Import!$A$1:$Z$2488,545,'Live Data'!$C$12)="","",INDEX(SPOT_Import!$A$1:$Z$2488,545,'Live Data'!$C$12)),"")</f>
        <v>12631</v>
      </c>
      <c r="B545" s="54" t="str">
        <f>IFERROR(IF(INDEX(SPOT_Import!$A$1:$Z$2488,545,'Live Data'!$C$13)="","",INDEX(SPOT_Import!$A$1:$Z$2488,545,'Live Data'!$C$13)),"")</f>
        <v>Naari Health Centre</v>
      </c>
      <c r="C545" s="54" t="str">
        <f>IFERROR(IF(INDEX(SPOT_Import!$A$1:$Z$2488,545,'Live Data'!$C$14)="","",INDEX(SPOT_Import!$A$1:$Z$2488,545,'Live Data'!$C$14)),"")</f>
        <v>MERU</v>
      </c>
      <c r="D545" s="54" t="str">
        <f>IFERROR(IF(INDEX(SPOT_Import!$A$1:$Z$2488,545,'Live Data'!$C$15)="","",INDEX(SPOT_Import!$A$1:$Z$2488,545,'Live Data'!$C$15)),"")</f>
        <v>Buuri</v>
      </c>
      <c r="E545" s="54" t="str">
        <f>IFERROR(IF(INDEX(SPOT_Import!$A$1:$Z$2488,545,'Live Data'!$C$16)="","",INDEX(SPOT_Import!$A$1:$Z$2488,545,'Live Data'!$C$16)),"")</f>
        <v>USAID Jamii Tekelezi</v>
      </c>
      <c r="F545" s="54" t="str">
        <f>IFERROR(IF(INDEX(SPOT_Import!$A$1:$Z$2488,545,'Live Data'!$C$17)="","",INDEX(SPOT_Import!$A$1:$Z$2488,545,'Live Data'!$C$17)),"")</f>
        <v>PREP</v>
      </c>
      <c r="G545" s="54">
        <f>IFERROR(IF(INDEX(SPOT_Import!$A$1:$Z$2488,545,'Live Data'!$C$18)="","",INDEX(SPOT_Import!$A$1:$Z$2488,545,'Live Data'!$C$18)),"")</f>
        <v>220</v>
      </c>
      <c r="H545" s="54">
        <f>IFERROR(IF(INDEX(SPOT_Import!$A$1:$Z$2488,545,'Live Data'!$C$19)="","",INDEX(SPOT_Import!$A$1:$Z$2488,545,'Live Data'!$C$19)),"")</f>
        <v>220</v>
      </c>
      <c r="I545" s="54" t="str">
        <f>IFERROR(IF(INDEX(SPOT_Import!$A$1:$Z$2488,545,'Live Data'!$C$20)="","",INDEX(SPOT_Import!$A$1:$Z$2488,545,'Live Data'!$C$20)),"")</f>
        <v>Complete</v>
      </c>
      <c r="J545" s="54" t="str">
        <f>IFERROR(IF(INDEX(SPOT_Import!$A$1:$Z$2488,545,'Live Data'!$C$21)="","",INDEX(SPOT_Import!$A$1:$Z$2488,545,'Live Data'!$C$21)),"")</f>
        <v>2025-04-14T05:50:25.000Z</v>
      </c>
      <c r="K545" s="54" t="str">
        <f>IFERROR(IF(INDEX(SPOT_Import!$A$1:$Z$2488,545,'Live Data'!$C$22)="","",INDEX(SPOT_Import!$A$1:$Z$2488,545,'Live Data'!$C$22)),"")</f>
        <v>2025-04-14T05:50:25.000Z</v>
      </c>
      <c r="L545" s="55" t="str">
        <f t="shared" si="16"/>
        <v>2025-04</v>
      </c>
      <c r="M545" s="55" t="str">
        <f t="shared" si="17"/>
        <v>MERU</v>
      </c>
      <c r="N545" s="55" t="str">
        <f>IF(A545="","",IFERROR(INDEX('Cluster Map'!$A$4:$A$38,MATCH(M545,'Cluster Map'!$B$4:$B$38,0)),"Unmapped"))</f>
        <v>Cluster 1</v>
      </c>
      <c r="O545" s="55">
        <f>IF(A545="",0,IF(COUNTIFS($A$2:A545,A545,$F$2:F545,F545,$L$2:L545,L545)=1,1,0))</f>
        <v>1</v>
      </c>
      <c r="P545" s="55">
        <f>IF(A545="",0,IF(AND(F545="C&amp;T",COUNTIFS($A$2:A545,A545,$F$2:F545,"C&amp;T")=1),1,0))</f>
        <v>0</v>
      </c>
    </row>
    <row r="546" spans="1:16" x14ac:dyDescent="0.35">
      <c r="A546" s="54">
        <f>IFERROR(IF(INDEX(SPOT_Import!$A$1:$Z$2488,546,'Live Data'!$C$12)="","",INDEX(SPOT_Import!$A$1:$Z$2488,546,'Live Data'!$C$12)),"")</f>
        <v>12288</v>
      </c>
      <c r="B546" s="54" t="str">
        <f>IFERROR(IF(INDEX(SPOT_Import!$A$1:$Z$2488,546,'Live Data'!$C$13)="","",INDEX(SPOT_Import!$A$1:$Z$2488,546,'Live Data'!$C$13)),"")</f>
        <v>Kibugua Health Centre</v>
      </c>
      <c r="C546" s="54" t="str">
        <f>IFERROR(IF(INDEX(SPOT_Import!$A$1:$Z$2488,546,'Live Data'!$C$14)="","",INDEX(SPOT_Import!$A$1:$Z$2488,546,'Live Data'!$C$14)),"")</f>
        <v>THARAKA-NITHI</v>
      </c>
      <c r="D546" s="54" t="str">
        <f>IFERROR(IF(INDEX(SPOT_Import!$A$1:$Z$2488,546,'Live Data'!$C$15)="","",INDEX(SPOT_Import!$A$1:$Z$2488,546,'Live Data'!$C$15)),"")</f>
        <v>Chuka</v>
      </c>
      <c r="E546" s="54" t="str">
        <f>IFERROR(IF(INDEX(SPOT_Import!$A$1:$Z$2488,546,'Live Data'!$C$16)="","",INDEX(SPOT_Import!$A$1:$Z$2488,546,'Live Data'!$C$16)),"")</f>
        <v>USAID Jamii Tekelezi</v>
      </c>
      <c r="F546" s="54" t="str">
        <f>IFERROR(IF(INDEX(SPOT_Import!$A$1:$Z$2488,546,'Live Data'!$C$17)="","",INDEX(SPOT_Import!$A$1:$Z$2488,546,'Live Data'!$C$17)),"")</f>
        <v>CRS</v>
      </c>
      <c r="G546" s="54">
        <f>IFERROR(IF(INDEX(SPOT_Import!$A$1:$Z$2488,546,'Live Data'!$C$18)="","",INDEX(SPOT_Import!$A$1:$Z$2488,546,'Live Data'!$C$18)),"")</f>
        <v>569</v>
      </c>
      <c r="H546" s="54">
        <f>IFERROR(IF(INDEX(SPOT_Import!$A$1:$Z$2488,546,'Live Data'!$C$19)="","",INDEX(SPOT_Import!$A$1:$Z$2488,546,'Live Data'!$C$19)),"")</f>
        <v>569</v>
      </c>
      <c r="I546" s="54" t="str">
        <f>IFERROR(IF(INDEX(SPOT_Import!$A$1:$Z$2488,546,'Live Data'!$C$20)="","",INDEX(SPOT_Import!$A$1:$Z$2488,546,'Live Data'!$C$20)),"")</f>
        <v>Complete</v>
      </c>
      <c r="J546" s="54" t="str">
        <f>IFERROR(IF(INDEX(SPOT_Import!$A$1:$Z$2488,546,'Live Data'!$C$21)="","",INDEX(SPOT_Import!$A$1:$Z$2488,546,'Live Data'!$C$21)),"")</f>
        <v>2023-04-14T10:40:03.000Z</v>
      </c>
      <c r="K546" s="54" t="str">
        <f>IFERROR(IF(INDEX(SPOT_Import!$A$1:$Z$2488,546,'Live Data'!$C$22)="","",INDEX(SPOT_Import!$A$1:$Z$2488,546,'Live Data'!$C$22)),"")</f>
        <v>2023-04-14T10:40:03.000Z</v>
      </c>
      <c r="L546" s="55" t="str">
        <f t="shared" si="16"/>
        <v>2023-04</v>
      </c>
      <c r="M546" s="55" t="str">
        <f t="shared" si="17"/>
        <v>THARAKA-NITHI</v>
      </c>
      <c r="N546" s="55" t="str">
        <f>IF(A546="","",IFERROR(INDEX('Cluster Map'!$A$4:$A$38,MATCH(M546,'Cluster Map'!$B$4:$B$38,0)),"Unmapped"))</f>
        <v>Cluster 2</v>
      </c>
      <c r="O546" s="55">
        <f>IF(A546="",0,IF(COUNTIFS($A$2:A546,A546,$F$2:F546,F546,$L$2:L546,L546)=1,1,0))</f>
        <v>1</v>
      </c>
      <c r="P546" s="55">
        <f>IF(A546="",0,IF(AND(F546="C&amp;T",COUNTIFS($A$2:A546,A546,$F$2:F546,"C&amp;T")=1),1,0))</f>
        <v>0</v>
      </c>
    </row>
    <row r="547" spans="1:16" x14ac:dyDescent="0.35">
      <c r="A547" s="54">
        <f>IFERROR(IF(INDEX(SPOT_Import!$A$1:$Z$2488,547,'Live Data'!$C$12)="","",INDEX(SPOT_Import!$A$1:$Z$2488,547,'Live Data'!$C$12)),"")</f>
        <v>12605</v>
      </c>
      <c r="B547" s="54" t="str">
        <f>IFERROR(IF(INDEX(SPOT_Import!$A$1:$Z$2488,547,'Live Data'!$C$13)="","",INDEX(SPOT_Import!$A$1:$Z$2488,547,'Live Data'!$C$13)),"")</f>
        <v>Mutuati Sub-County Hospital</v>
      </c>
      <c r="C547" s="54" t="str">
        <f>IFERROR(IF(INDEX(SPOT_Import!$A$1:$Z$2488,547,'Live Data'!$C$14)="","",INDEX(SPOT_Import!$A$1:$Z$2488,547,'Live Data'!$C$14)),"")</f>
        <v>MERU</v>
      </c>
      <c r="D547" s="54" t="str">
        <f>IFERROR(IF(INDEX(SPOT_Import!$A$1:$Z$2488,547,'Live Data'!$C$15)="","",INDEX(SPOT_Import!$A$1:$Z$2488,547,'Live Data'!$C$15)),"")</f>
        <v>Igembe North</v>
      </c>
      <c r="E547" s="54" t="str">
        <f>IFERROR(IF(INDEX(SPOT_Import!$A$1:$Z$2488,547,'Live Data'!$C$16)="","",INDEX(SPOT_Import!$A$1:$Z$2488,547,'Live Data'!$C$16)),"")</f>
        <v>USAID Jamii Tekelezi</v>
      </c>
      <c r="F547" s="54" t="str">
        <f>IFERROR(IF(INDEX(SPOT_Import!$A$1:$Z$2488,547,'Live Data'!$C$17)="","",INDEX(SPOT_Import!$A$1:$Z$2488,547,'Live Data'!$C$17)),"")</f>
        <v>CRS</v>
      </c>
      <c r="G547" s="54">
        <f>IFERROR(IF(INDEX(SPOT_Import!$A$1:$Z$2488,547,'Live Data'!$C$18)="","",INDEX(SPOT_Import!$A$1:$Z$2488,547,'Live Data'!$C$18)),"")</f>
        <v>1199</v>
      </c>
      <c r="H547" s="54">
        <f>IFERROR(IF(INDEX(SPOT_Import!$A$1:$Z$2488,547,'Live Data'!$C$19)="","",INDEX(SPOT_Import!$A$1:$Z$2488,547,'Live Data'!$C$19)),"")</f>
        <v>1199</v>
      </c>
      <c r="I547" s="54" t="str">
        <f>IFERROR(IF(INDEX(SPOT_Import!$A$1:$Z$2488,547,'Live Data'!$C$20)="","",INDEX(SPOT_Import!$A$1:$Z$2488,547,'Live Data'!$C$20)),"")</f>
        <v>Complete</v>
      </c>
      <c r="J547" s="54" t="str">
        <f>IFERROR(IF(INDEX(SPOT_Import!$A$1:$Z$2488,547,'Live Data'!$C$21)="","",INDEX(SPOT_Import!$A$1:$Z$2488,547,'Live Data'!$C$21)),"")</f>
        <v>2023-04-14T10:14:50.000Z</v>
      </c>
      <c r="K547" s="54" t="str">
        <f>IFERROR(IF(INDEX(SPOT_Import!$A$1:$Z$2488,547,'Live Data'!$C$22)="","",INDEX(SPOT_Import!$A$1:$Z$2488,547,'Live Data'!$C$22)),"")</f>
        <v>2023-04-14T10:14:50.000Z</v>
      </c>
      <c r="L547" s="55" t="str">
        <f t="shared" si="16"/>
        <v>2023-04</v>
      </c>
      <c r="M547" s="55" t="str">
        <f t="shared" si="17"/>
        <v>MERU</v>
      </c>
      <c r="N547" s="55" t="str">
        <f>IF(A547="","",IFERROR(INDEX('Cluster Map'!$A$4:$A$38,MATCH(M547,'Cluster Map'!$B$4:$B$38,0)),"Unmapped"))</f>
        <v>Cluster 1</v>
      </c>
      <c r="O547" s="55">
        <f>IF(A547="",0,IF(COUNTIFS($A$2:A547,A547,$F$2:F547,F547,$L$2:L547,L547)=1,1,0))</f>
        <v>1</v>
      </c>
      <c r="P547" s="55">
        <f>IF(A547="",0,IF(AND(F547="C&amp;T",COUNTIFS($A$2:A547,A547,$F$2:F547,"C&amp;T")=1),1,0))</f>
        <v>0</v>
      </c>
    </row>
    <row r="548" spans="1:16" x14ac:dyDescent="0.35">
      <c r="A548" s="54">
        <f>IFERROR(IF(INDEX(SPOT_Import!$A$1:$Z$2488,548,'Live Data'!$C$12)="","",INDEX(SPOT_Import!$A$1:$Z$2488,548,'Live Data'!$C$12)),"")</f>
        <v>16466</v>
      </c>
      <c r="B548" s="54" t="str">
        <f>IFERROR(IF(INDEX(SPOT_Import!$A$1:$Z$2488,548,'Live Data'!$C$13)="","",INDEX(SPOT_Import!$A$1:$Z$2488,548,'Live Data'!$C$13)),"")</f>
        <v>Kiritiri Health Centre</v>
      </c>
      <c r="C548" s="54" t="str">
        <f>IFERROR(IF(INDEX(SPOT_Import!$A$1:$Z$2488,548,'Live Data'!$C$14)="","",INDEX(SPOT_Import!$A$1:$Z$2488,548,'Live Data'!$C$14)),"")</f>
        <v>EMBU</v>
      </c>
      <c r="D548" s="54" t="str">
        <f>IFERROR(IF(INDEX(SPOT_Import!$A$1:$Z$2488,548,'Live Data'!$C$15)="","",INDEX(SPOT_Import!$A$1:$Z$2488,548,'Live Data'!$C$15)),"")</f>
        <v>Mbeere South</v>
      </c>
      <c r="E548" s="54" t="str">
        <f>IFERROR(IF(INDEX(SPOT_Import!$A$1:$Z$2488,548,'Live Data'!$C$16)="","",INDEX(SPOT_Import!$A$1:$Z$2488,548,'Live Data'!$C$16)),"")</f>
        <v>USAID Jamii Tekelezi</v>
      </c>
      <c r="F548" s="54" t="str">
        <f>IFERROR(IF(INDEX(SPOT_Import!$A$1:$Z$2488,548,'Live Data'!$C$17)="","",INDEX(SPOT_Import!$A$1:$Z$2488,548,'Live Data'!$C$17)),"")</f>
        <v>CRS</v>
      </c>
      <c r="G548" s="54">
        <f>IFERROR(IF(INDEX(SPOT_Import!$A$1:$Z$2488,548,'Live Data'!$C$18)="","",INDEX(SPOT_Import!$A$1:$Z$2488,548,'Live Data'!$C$18)),"")</f>
        <v>1245</v>
      </c>
      <c r="H548" s="54">
        <f>IFERROR(IF(INDEX(SPOT_Import!$A$1:$Z$2488,548,'Live Data'!$C$19)="","",INDEX(SPOT_Import!$A$1:$Z$2488,548,'Live Data'!$C$19)),"")</f>
        <v>1245</v>
      </c>
      <c r="I548" s="54" t="str">
        <f>IFERROR(IF(INDEX(SPOT_Import!$A$1:$Z$2488,548,'Live Data'!$C$20)="","",INDEX(SPOT_Import!$A$1:$Z$2488,548,'Live Data'!$C$20)),"")</f>
        <v>Complete</v>
      </c>
      <c r="J548" s="54" t="str">
        <f>IFERROR(IF(INDEX(SPOT_Import!$A$1:$Z$2488,548,'Live Data'!$C$21)="","",INDEX(SPOT_Import!$A$1:$Z$2488,548,'Live Data'!$C$21)),"")</f>
        <v>2023-04-14T09:36:16.000Z</v>
      </c>
      <c r="K548" s="54" t="str">
        <f>IFERROR(IF(INDEX(SPOT_Import!$A$1:$Z$2488,548,'Live Data'!$C$22)="","",INDEX(SPOT_Import!$A$1:$Z$2488,548,'Live Data'!$C$22)),"")</f>
        <v>2023-04-14T09:36:16.000Z</v>
      </c>
      <c r="L548" s="55" t="str">
        <f t="shared" si="16"/>
        <v>2023-04</v>
      </c>
      <c r="M548" s="55" t="str">
        <f t="shared" si="17"/>
        <v>EMBU</v>
      </c>
      <c r="N548" s="55" t="str">
        <f>IF(A548="","",IFERROR(INDEX('Cluster Map'!$A$4:$A$38,MATCH(M548,'Cluster Map'!$B$4:$B$38,0)),"Unmapped"))</f>
        <v>Cluster 2</v>
      </c>
      <c r="O548" s="55">
        <f>IF(A548="",0,IF(COUNTIFS($A$2:A548,A548,$F$2:F548,F548,$L$2:L548,L548)=1,1,0))</f>
        <v>1</v>
      </c>
      <c r="P548" s="55">
        <f>IF(A548="",0,IF(AND(F548="C&amp;T",COUNTIFS($A$2:A548,A548,$F$2:F548,"C&amp;T")=1),1,0))</f>
        <v>0</v>
      </c>
    </row>
    <row r="549" spans="1:16" x14ac:dyDescent="0.35">
      <c r="A549" s="54">
        <f>IFERROR(IF(INDEX(SPOT_Import!$A$1:$Z$2488,549,'Live Data'!$C$12)="","",INDEX(SPOT_Import!$A$1:$Z$2488,549,'Live Data'!$C$12)),"")</f>
        <v>12454</v>
      </c>
      <c r="B549" s="54" t="str">
        <f>IFERROR(IF(INDEX(SPOT_Import!$A$1:$Z$2488,549,'Live Data'!$C$13)="","",INDEX(SPOT_Import!$A$1:$Z$2488,549,'Live Data'!$C$13)),"")</f>
        <v>Makima Dispensary</v>
      </c>
      <c r="C549" s="54" t="str">
        <f>IFERROR(IF(INDEX(SPOT_Import!$A$1:$Z$2488,549,'Live Data'!$C$14)="","",INDEX(SPOT_Import!$A$1:$Z$2488,549,'Live Data'!$C$14)),"")</f>
        <v>EMBU</v>
      </c>
      <c r="D549" s="54" t="str">
        <f>IFERROR(IF(INDEX(SPOT_Import!$A$1:$Z$2488,549,'Live Data'!$C$15)="","",INDEX(SPOT_Import!$A$1:$Z$2488,549,'Live Data'!$C$15)),"")</f>
        <v>Mbeere South</v>
      </c>
      <c r="E549" s="54" t="str">
        <f>IFERROR(IF(INDEX(SPOT_Import!$A$1:$Z$2488,549,'Live Data'!$C$16)="","",INDEX(SPOT_Import!$A$1:$Z$2488,549,'Live Data'!$C$16)),"")</f>
        <v>USAID Jamii Tekelezi</v>
      </c>
      <c r="F549" s="54" t="str">
        <f>IFERROR(IF(INDEX(SPOT_Import!$A$1:$Z$2488,549,'Live Data'!$C$17)="","",INDEX(SPOT_Import!$A$1:$Z$2488,549,'Live Data'!$C$17)),"")</f>
        <v>CRS</v>
      </c>
      <c r="G549" s="54">
        <f>IFERROR(IF(INDEX(SPOT_Import!$A$1:$Z$2488,549,'Live Data'!$C$18)="","",INDEX(SPOT_Import!$A$1:$Z$2488,549,'Live Data'!$C$18)),"")</f>
        <v>88</v>
      </c>
      <c r="H549" s="54">
        <f>IFERROR(IF(INDEX(SPOT_Import!$A$1:$Z$2488,549,'Live Data'!$C$19)="","",INDEX(SPOT_Import!$A$1:$Z$2488,549,'Live Data'!$C$19)),"")</f>
        <v>88</v>
      </c>
      <c r="I549" s="54" t="str">
        <f>IFERROR(IF(INDEX(SPOT_Import!$A$1:$Z$2488,549,'Live Data'!$C$20)="","",INDEX(SPOT_Import!$A$1:$Z$2488,549,'Live Data'!$C$20)),"")</f>
        <v>Complete</v>
      </c>
      <c r="J549" s="54" t="str">
        <f>IFERROR(IF(INDEX(SPOT_Import!$A$1:$Z$2488,549,'Live Data'!$C$21)="","",INDEX(SPOT_Import!$A$1:$Z$2488,549,'Live Data'!$C$21)),"")</f>
        <v>2023-04-14T08:54:34.000Z</v>
      </c>
      <c r="K549" s="54" t="str">
        <f>IFERROR(IF(INDEX(SPOT_Import!$A$1:$Z$2488,549,'Live Data'!$C$22)="","",INDEX(SPOT_Import!$A$1:$Z$2488,549,'Live Data'!$C$22)),"")</f>
        <v>2023-04-14T08:54:34.000Z</v>
      </c>
      <c r="L549" s="55" t="str">
        <f t="shared" si="16"/>
        <v>2023-04</v>
      </c>
      <c r="M549" s="55" t="str">
        <f t="shared" si="17"/>
        <v>EMBU</v>
      </c>
      <c r="N549" s="55" t="str">
        <f>IF(A549="","",IFERROR(INDEX('Cluster Map'!$A$4:$A$38,MATCH(M549,'Cluster Map'!$B$4:$B$38,0)),"Unmapped"))</f>
        <v>Cluster 2</v>
      </c>
      <c r="O549" s="55">
        <f>IF(A549="",0,IF(COUNTIFS($A$2:A549,A549,$F$2:F549,F549,$L$2:L549,L549)=1,1,0))</f>
        <v>1</v>
      </c>
      <c r="P549" s="55">
        <f>IF(A549="",0,IF(AND(F549="C&amp;T",COUNTIFS($A$2:A549,A549,$F$2:F549,"C&amp;T")=1),1,0))</f>
        <v>0</v>
      </c>
    </row>
    <row r="550" spans="1:16" x14ac:dyDescent="0.35">
      <c r="A550" s="54">
        <f>IFERROR(IF(INDEX(SPOT_Import!$A$1:$Z$2488,550,'Live Data'!$C$12)="","",INDEX(SPOT_Import!$A$1:$Z$2488,550,'Live Data'!$C$12)),"")</f>
        <v>12302</v>
      </c>
      <c r="B550" s="54" t="str">
        <f>IFERROR(IF(INDEX(SPOT_Import!$A$1:$Z$2488,550,'Live Data'!$C$13)="","",INDEX(SPOT_Import!$A$1:$Z$2488,550,'Live Data'!$C$13)),"")</f>
        <v>Kiirua Health Centre</v>
      </c>
      <c r="C550" s="54" t="str">
        <f>IFERROR(IF(INDEX(SPOT_Import!$A$1:$Z$2488,550,'Live Data'!$C$14)="","",INDEX(SPOT_Import!$A$1:$Z$2488,550,'Live Data'!$C$14)),"")</f>
        <v>MERU</v>
      </c>
      <c r="D550" s="54" t="str">
        <f>IFERROR(IF(INDEX(SPOT_Import!$A$1:$Z$2488,550,'Live Data'!$C$15)="","",INDEX(SPOT_Import!$A$1:$Z$2488,550,'Live Data'!$C$15)),"")</f>
        <v>Buuri</v>
      </c>
      <c r="E550" s="54" t="str">
        <f>IFERROR(IF(INDEX(SPOT_Import!$A$1:$Z$2488,550,'Live Data'!$C$16)="","",INDEX(SPOT_Import!$A$1:$Z$2488,550,'Live Data'!$C$16)),"")</f>
        <v>USAID Jamii Tekelezi</v>
      </c>
      <c r="F550" s="54" t="str">
        <f>IFERROR(IF(INDEX(SPOT_Import!$A$1:$Z$2488,550,'Live Data'!$C$17)="","",INDEX(SPOT_Import!$A$1:$Z$2488,550,'Live Data'!$C$17)),"")</f>
        <v>CRS</v>
      </c>
      <c r="G550" s="54">
        <f>IFERROR(IF(INDEX(SPOT_Import!$A$1:$Z$2488,550,'Live Data'!$C$18)="","",INDEX(SPOT_Import!$A$1:$Z$2488,550,'Live Data'!$C$18)),"")</f>
        <v>307</v>
      </c>
      <c r="H550" s="54">
        <f>IFERROR(IF(INDEX(SPOT_Import!$A$1:$Z$2488,550,'Live Data'!$C$19)="","",INDEX(SPOT_Import!$A$1:$Z$2488,550,'Live Data'!$C$19)),"")</f>
        <v>307</v>
      </c>
      <c r="I550" s="54" t="str">
        <f>IFERROR(IF(INDEX(SPOT_Import!$A$1:$Z$2488,550,'Live Data'!$C$20)="","",INDEX(SPOT_Import!$A$1:$Z$2488,550,'Live Data'!$C$20)),"")</f>
        <v>Complete</v>
      </c>
      <c r="J550" s="54" t="str">
        <f>IFERROR(IF(INDEX(SPOT_Import!$A$1:$Z$2488,550,'Live Data'!$C$21)="","",INDEX(SPOT_Import!$A$1:$Z$2488,550,'Live Data'!$C$21)),"")</f>
        <v>2023-04-13T13:24:37.000Z</v>
      </c>
      <c r="K550" s="54" t="str">
        <f>IFERROR(IF(INDEX(SPOT_Import!$A$1:$Z$2488,550,'Live Data'!$C$22)="","",INDEX(SPOT_Import!$A$1:$Z$2488,550,'Live Data'!$C$22)),"")</f>
        <v>2023-04-13T13:24:37.000Z</v>
      </c>
      <c r="L550" s="55" t="str">
        <f t="shared" si="16"/>
        <v>2023-04</v>
      </c>
      <c r="M550" s="55" t="str">
        <f t="shared" si="17"/>
        <v>MERU</v>
      </c>
      <c r="N550" s="55" t="str">
        <f>IF(A550="","",IFERROR(INDEX('Cluster Map'!$A$4:$A$38,MATCH(M550,'Cluster Map'!$B$4:$B$38,0)),"Unmapped"))</f>
        <v>Cluster 1</v>
      </c>
      <c r="O550" s="55">
        <f>IF(A550="",0,IF(COUNTIFS($A$2:A550,A550,$F$2:F550,F550,$L$2:L550,L550)=1,1,0))</f>
        <v>1</v>
      </c>
      <c r="P550" s="55">
        <f>IF(A550="",0,IF(AND(F550="C&amp;T",COUNTIFS($A$2:A550,A550,$F$2:F550,"C&amp;T")=1),1,0))</f>
        <v>0</v>
      </c>
    </row>
    <row r="551" spans="1:16" x14ac:dyDescent="0.35">
      <c r="A551" s="54">
        <f>IFERROR(IF(INDEX(SPOT_Import!$A$1:$Z$2488,551,'Live Data'!$C$12)="","",INDEX(SPOT_Import!$A$1:$Z$2488,551,'Live Data'!$C$12)),"")</f>
        <v>12359</v>
      </c>
      <c r="B551" s="54" t="str">
        <f>IFERROR(IF(INDEX(SPOT_Import!$A$1:$Z$2488,551,'Live Data'!$C$13)="","",INDEX(SPOT_Import!$A$1:$Z$2488,551,'Live Data'!$C$13)),"")</f>
        <v>Kithimu Dispensary</v>
      </c>
      <c r="C551" s="54" t="str">
        <f>IFERROR(IF(INDEX(SPOT_Import!$A$1:$Z$2488,551,'Live Data'!$C$14)="","",INDEX(SPOT_Import!$A$1:$Z$2488,551,'Live Data'!$C$14)),"")</f>
        <v>EMBU</v>
      </c>
      <c r="D551" s="54" t="str">
        <f>IFERROR(IF(INDEX(SPOT_Import!$A$1:$Z$2488,551,'Live Data'!$C$15)="","",INDEX(SPOT_Import!$A$1:$Z$2488,551,'Live Data'!$C$15)),"")</f>
        <v>Manyatta</v>
      </c>
      <c r="E551" s="54" t="str">
        <f>IFERROR(IF(INDEX(SPOT_Import!$A$1:$Z$2488,551,'Live Data'!$C$16)="","",INDEX(SPOT_Import!$A$1:$Z$2488,551,'Live Data'!$C$16)),"")</f>
        <v>USAID Jamii Tekelezi</v>
      </c>
      <c r="F551" s="54" t="str">
        <f>IFERROR(IF(INDEX(SPOT_Import!$A$1:$Z$2488,551,'Live Data'!$C$17)="","",INDEX(SPOT_Import!$A$1:$Z$2488,551,'Live Data'!$C$17)),"")</f>
        <v>CRS</v>
      </c>
      <c r="G551" s="54">
        <f>IFERROR(IF(INDEX(SPOT_Import!$A$1:$Z$2488,551,'Live Data'!$C$18)="","",INDEX(SPOT_Import!$A$1:$Z$2488,551,'Live Data'!$C$18)),"")</f>
        <v>229</v>
      </c>
      <c r="H551" s="54">
        <f>IFERROR(IF(INDEX(SPOT_Import!$A$1:$Z$2488,551,'Live Data'!$C$19)="","",INDEX(SPOT_Import!$A$1:$Z$2488,551,'Live Data'!$C$19)),"")</f>
        <v>229</v>
      </c>
      <c r="I551" s="54" t="str">
        <f>IFERROR(IF(INDEX(SPOT_Import!$A$1:$Z$2488,551,'Live Data'!$C$20)="","",INDEX(SPOT_Import!$A$1:$Z$2488,551,'Live Data'!$C$20)),"")</f>
        <v>Complete</v>
      </c>
      <c r="J551" s="54" t="str">
        <f>IFERROR(IF(INDEX(SPOT_Import!$A$1:$Z$2488,551,'Live Data'!$C$21)="","",INDEX(SPOT_Import!$A$1:$Z$2488,551,'Live Data'!$C$21)),"")</f>
        <v>2023-04-13T09:08:57.000Z</v>
      </c>
      <c r="K551" s="54" t="str">
        <f>IFERROR(IF(INDEX(SPOT_Import!$A$1:$Z$2488,551,'Live Data'!$C$22)="","",INDEX(SPOT_Import!$A$1:$Z$2488,551,'Live Data'!$C$22)),"")</f>
        <v>2023-04-13T09:08:57.000Z</v>
      </c>
      <c r="L551" s="55" t="str">
        <f t="shared" si="16"/>
        <v>2023-04</v>
      </c>
      <c r="M551" s="55" t="str">
        <f t="shared" si="17"/>
        <v>EMBU</v>
      </c>
      <c r="N551" s="55" t="str">
        <f>IF(A551="","",IFERROR(INDEX('Cluster Map'!$A$4:$A$38,MATCH(M551,'Cluster Map'!$B$4:$B$38,0)),"Unmapped"))</f>
        <v>Cluster 2</v>
      </c>
      <c r="O551" s="55">
        <f>IF(A551="",0,IF(COUNTIFS($A$2:A551,A551,$F$2:F551,F551,$L$2:L551,L551)=1,1,0))</f>
        <v>1</v>
      </c>
      <c r="P551" s="55">
        <f>IF(A551="",0,IF(AND(F551="C&amp;T",COUNTIFS($A$2:A551,A551,$F$2:F551,"C&amp;T")=1),1,0))</f>
        <v>0</v>
      </c>
    </row>
    <row r="552" spans="1:16" x14ac:dyDescent="0.35">
      <c r="A552" s="54">
        <f>IFERROR(IF(INDEX(SPOT_Import!$A$1:$Z$2488,552,'Live Data'!$C$12)="","",INDEX(SPOT_Import!$A$1:$Z$2488,552,'Live Data'!$C$12)),"")</f>
        <v>19879</v>
      </c>
      <c r="B552" s="54" t="str">
        <f>IFERROR(IF(INDEX(SPOT_Import!$A$1:$Z$2488,552,'Live Data'!$C$13)="","",INDEX(SPOT_Import!$A$1:$Z$2488,552,'Live Data'!$C$13)),"")</f>
        <v>Imenti North Dice (Meru)</v>
      </c>
      <c r="C552" s="54" t="str">
        <f>IFERROR(IF(INDEX(SPOT_Import!$A$1:$Z$2488,552,'Live Data'!$C$14)="","",INDEX(SPOT_Import!$A$1:$Z$2488,552,'Live Data'!$C$14)),"")</f>
        <v>MERU</v>
      </c>
      <c r="D552" s="54" t="str">
        <f>IFERROR(IF(INDEX(SPOT_Import!$A$1:$Z$2488,552,'Live Data'!$C$15)="","",INDEX(SPOT_Import!$A$1:$Z$2488,552,'Live Data'!$C$15)),"")</f>
        <v>Imenti North</v>
      </c>
      <c r="E552" s="54" t="str">
        <f>IFERROR(IF(INDEX(SPOT_Import!$A$1:$Z$2488,552,'Live Data'!$C$16)="","",INDEX(SPOT_Import!$A$1:$Z$2488,552,'Live Data'!$C$16)),"")</f>
        <v>USAID Jamii Tekelezi</v>
      </c>
      <c r="F552" s="54" t="str">
        <f>IFERROR(IF(INDEX(SPOT_Import!$A$1:$Z$2488,552,'Live Data'!$C$17)="","",INDEX(SPOT_Import!$A$1:$Z$2488,552,'Live Data'!$C$17)),"")</f>
        <v>CRS</v>
      </c>
      <c r="G552" s="54">
        <f>IFERROR(IF(INDEX(SPOT_Import!$A$1:$Z$2488,552,'Live Data'!$C$18)="","",INDEX(SPOT_Import!$A$1:$Z$2488,552,'Live Data'!$C$18)),"")</f>
        <v>122</v>
      </c>
      <c r="H552" s="54" t="str">
        <f>IFERROR(IF(INDEX(SPOT_Import!$A$1:$Z$2488,552,'Live Data'!$C$19)="","",INDEX(SPOT_Import!$A$1:$Z$2488,552,'Live Data'!$C$19)),"")</f>
        <v/>
      </c>
      <c r="I552" s="54" t="str">
        <f>IFERROR(IF(INDEX(SPOT_Import!$A$1:$Z$2488,552,'Live Data'!$C$20)="","",INDEX(SPOT_Import!$A$1:$Z$2488,552,'Live Data'!$C$20)),"")</f>
        <v>Complete</v>
      </c>
      <c r="J552" s="54" t="str">
        <f>IFERROR(IF(INDEX(SPOT_Import!$A$1:$Z$2488,552,'Live Data'!$C$21)="","",INDEX(SPOT_Import!$A$1:$Z$2488,552,'Live Data'!$C$21)),"")</f>
        <v>2023-04-13T08:56:11.000Z</v>
      </c>
      <c r="K552" s="54" t="str">
        <f>IFERROR(IF(INDEX(SPOT_Import!$A$1:$Z$2488,552,'Live Data'!$C$22)="","",INDEX(SPOT_Import!$A$1:$Z$2488,552,'Live Data'!$C$22)),"")</f>
        <v>2023-04-13T08:56:11.000Z</v>
      </c>
      <c r="L552" s="55" t="str">
        <f t="shared" si="16"/>
        <v>2023-04</v>
      </c>
      <c r="M552" s="55" t="str">
        <f t="shared" si="17"/>
        <v>MERU</v>
      </c>
      <c r="N552" s="55" t="str">
        <f>IF(A552="","",IFERROR(INDEX('Cluster Map'!$A$4:$A$38,MATCH(M552,'Cluster Map'!$B$4:$B$38,0)),"Unmapped"))</f>
        <v>Cluster 1</v>
      </c>
      <c r="O552" s="55">
        <f>IF(A552="",0,IF(COUNTIFS($A$2:A552,A552,$F$2:F552,F552,$L$2:L552,L552)=1,1,0))</f>
        <v>1</v>
      </c>
      <c r="P552" s="55">
        <f>IF(A552="",0,IF(AND(F552="C&amp;T",COUNTIFS($A$2:A552,A552,$F$2:F552,"C&amp;T")=1),1,0))</f>
        <v>0</v>
      </c>
    </row>
    <row r="553" spans="1:16" x14ac:dyDescent="0.35">
      <c r="A553" s="54">
        <f>IFERROR(IF(INDEX(SPOT_Import!$A$1:$Z$2488,553,'Live Data'!$C$12)="","",INDEX(SPOT_Import!$A$1:$Z$2488,553,'Live Data'!$C$12)),"")</f>
        <v>12790</v>
      </c>
      <c r="B553" s="54" t="str">
        <f>IFERROR(IF(INDEX(SPOT_Import!$A$1:$Z$2488,553,'Live Data'!$C$13)="","",INDEX(SPOT_Import!$A$1:$Z$2488,553,'Live Data'!$C$13)),"")</f>
        <v>Embu Children Hospital</v>
      </c>
      <c r="C553" s="54" t="str">
        <f>IFERROR(IF(INDEX(SPOT_Import!$A$1:$Z$2488,553,'Live Data'!$C$14)="","",INDEX(SPOT_Import!$A$1:$Z$2488,553,'Live Data'!$C$14)),"")</f>
        <v>EMBU</v>
      </c>
      <c r="D553" s="54" t="str">
        <f>IFERROR(IF(INDEX(SPOT_Import!$A$1:$Z$2488,553,'Live Data'!$C$15)="","",INDEX(SPOT_Import!$A$1:$Z$2488,553,'Live Data'!$C$15)),"")</f>
        <v>Manyatta</v>
      </c>
      <c r="E553" s="54" t="str">
        <f>IFERROR(IF(INDEX(SPOT_Import!$A$1:$Z$2488,553,'Live Data'!$C$16)="","",INDEX(SPOT_Import!$A$1:$Z$2488,553,'Live Data'!$C$16)),"")</f>
        <v>USAID Jamii Tekelezi</v>
      </c>
      <c r="F553" s="54" t="str">
        <f>IFERROR(IF(INDEX(SPOT_Import!$A$1:$Z$2488,553,'Live Data'!$C$17)="","",INDEX(SPOT_Import!$A$1:$Z$2488,553,'Live Data'!$C$17)),"")</f>
        <v>CRS</v>
      </c>
      <c r="G553" s="54">
        <f>IFERROR(IF(INDEX(SPOT_Import!$A$1:$Z$2488,553,'Live Data'!$C$18)="","",INDEX(SPOT_Import!$A$1:$Z$2488,553,'Live Data'!$C$18)),"")</f>
        <v>345</v>
      </c>
      <c r="H553" s="54">
        <f>IFERROR(IF(INDEX(SPOT_Import!$A$1:$Z$2488,553,'Live Data'!$C$19)="","",INDEX(SPOT_Import!$A$1:$Z$2488,553,'Live Data'!$C$19)),"")</f>
        <v>345</v>
      </c>
      <c r="I553" s="54" t="str">
        <f>IFERROR(IF(INDEX(SPOT_Import!$A$1:$Z$2488,553,'Live Data'!$C$20)="","",INDEX(SPOT_Import!$A$1:$Z$2488,553,'Live Data'!$C$20)),"")</f>
        <v>Complete</v>
      </c>
      <c r="J553" s="54" t="str">
        <f>IFERROR(IF(INDEX(SPOT_Import!$A$1:$Z$2488,553,'Live Data'!$C$21)="","",INDEX(SPOT_Import!$A$1:$Z$2488,553,'Live Data'!$C$21)),"")</f>
        <v>2023-04-12T09:45:16.000Z</v>
      </c>
      <c r="K553" s="54" t="str">
        <f>IFERROR(IF(INDEX(SPOT_Import!$A$1:$Z$2488,553,'Live Data'!$C$22)="","",INDEX(SPOT_Import!$A$1:$Z$2488,553,'Live Data'!$C$22)),"")</f>
        <v>2023-04-12T09:45:16.000Z</v>
      </c>
      <c r="L553" s="55" t="str">
        <f t="shared" si="16"/>
        <v>2023-04</v>
      </c>
      <c r="M553" s="55" t="str">
        <f t="shared" si="17"/>
        <v>EMBU</v>
      </c>
      <c r="N553" s="55" t="str">
        <f>IF(A553="","",IFERROR(INDEX('Cluster Map'!$A$4:$A$38,MATCH(M553,'Cluster Map'!$B$4:$B$38,0)),"Unmapped"))</f>
        <v>Cluster 2</v>
      </c>
      <c r="O553" s="55">
        <f>IF(A553="",0,IF(COUNTIFS($A$2:A553,A553,$F$2:F553,F553,$L$2:L553,L553)=1,1,0))</f>
        <v>1</v>
      </c>
      <c r="P553" s="55">
        <f>IF(A553="",0,IF(AND(F553="C&amp;T",COUNTIFS($A$2:A553,A553,$F$2:F553,"C&amp;T")=1),1,0))</f>
        <v>0</v>
      </c>
    </row>
    <row r="554" spans="1:16" x14ac:dyDescent="0.35">
      <c r="A554" s="54">
        <f>IFERROR(IF(INDEX(SPOT_Import!$A$1:$Z$2488,554,'Live Data'!$C$12)="","",INDEX(SPOT_Import!$A$1:$Z$2488,554,'Live Data'!$C$12)),"")</f>
        <v>12525</v>
      </c>
      <c r="B554" s="54" t="str">
        <f>IFERROR(IF(INDEX(SPOT_Import!$A$1:$Z$2488,554,'Live Data'!$C$13)="","",INDEX(SPOT_Import!$A$1:$Z$2488,554,'Live Data'!$C$13)),"")</f>
        <v>Mikinduri Sub-District Hospial</v>
      </c>
      <c r="C554" s="54" t="str">
        <f>IFERROR(IF(INDEX(SPOT_Import!$A$1:$Z$2488,554,'Live Data'!$C$14)="","",INDEX(SPOT_Import!$A$1:$Z$2488,554,'Live Data'!$C$14)),"")</f>
        <v>MERU</v>
      </c>
      <c r="D554" s="54" t="str">
        <f>IFERROR(IF(INDEX(SPOT_Import!$A$1:$Z$2488,554,'Live Data'!$C$15)="","",INDEX(SPOT_Import!$A$1:$Z$2488,554,'Live Data'!$C$15)),"")</f>
        <v>Tigania East</v>
      </c>
      <c r="E554" s="54" t="str">
        <f>IFERROR(IF(INDEX(SPOT_Import!$A$1:$Z$2488,554,'Live Data'!$C$16)="","",INDEX(SPOT_Import!$A$1:$Z$2488,554,'Live Data'!$C$16)),"")</f>
        <v>USAID Jamii Tekelezi</v>
      </c>
      <c r="F554" s="54" t="str">
        <f>IFERROR(IF(INDEX(SPOT_Import!$A$1:$Z$2488,554,'Live Data'!$C$17)="","",INDEX(SPOT_Import!$A$1:$Z$2488,554,'Live Data'!$C$17)),"")</f>
        <v>CRS</v>
      </c>
      <c r="G554" s="54">
        <f>IFERROR(IF(INDEX(SPOT_Import!$A$1:$Z$2488,554,'Live Data'!$C$18)="","",INDEX(SPOT_Import!$A$1:$Z$2488,554,'Live Data'!$C$18)),"")</f>
        <v>422</v>
      </c>
      <c r="H554" s="54">
        <f>IFERROR(IF(INDEX(SPOT_Import!$A$1:$Z$2488,554,'Live Data'!$C$19)="","",INDEX(SPOT_Import!$A$1:$Z$2488,554,'Live Data'!$C$19)),"")</f>
        <v>422</v>
      </c>
      <c r="I554" s="54" t="str">
        <f>IFERROR(IF(INDEX(SPOT_Import!$A$1:$Z$2488,554,'Live Data'!$C$20)="","",INDEX(SPOT_Import!$A$1:$Z$2488,554,'Live Data'!$C$20)),"")</f>
        <v>Complete</v>
      </c>
      <c r="J554" s="54" t="str">
        <f>IFERROR(IF(INDEX(SPOT_Import!$A$1:$Z$2488,554,'Live Data'!$C$21)="","",INDEX(SPOT_Import!$A$1:$Z$2488,554,'Live Data'!$C$21)),"")</f>
        <v>2023-04-12T09:04:22.000Z</v>
      </c>
      <c r="K554" s="54" t="str">
        <f>IFERROR(IF(INDEX(SPOT_Import!$A$1:$Z$2488,554,'Live Data'!$C$22)="","",INDEX(SPOT_Import!$A$1:$Z$2488,554,'Live Data'!$C$22)),"")</f>
        <v>2023-04-12T09:04:22.000Z</v>
      </c>
      <c r="L554" s="55" t="str">
        <f t="shared" si="16"/>
        <v>2023-04</v>
      </c>
      <c r="M554" s="55" t="str">
        <f t="shared" si="17"/>
        <v>MERU</v>
      </c>
      <c r="N554" s="55" t="str">
        <f>IF(A554="","",IFERROR(INDEX('Cluster Map'!$A$4:$A$38,MATCH(M554,'Cluster Map'!$B$4:$B$38,0)),"Unmapped"))</f>
        <v>Cluster 1</v>
      </c>
      <c r="O554" s="55">
        <f>IF(A554="",0,IF(COUNTIFS($A$2:A554,A554,$F$2:F554,F554,$L$2:L554,L554)=1,1,0))</f>
        <v>1</v>
      </c>
      <c r="P554" s="55">
        <f>IF(A554="",0,IF(AND(F554="C&amp;T",COUNTIFS($A$2:A554,A554,$F$2:F554,"C&amp;T")=1),1,0))</f>
        <v>0</v>
      </c>
    </row>
    <row r="555" spans="1:16" x14ac:dyDescent="0.35">
      <c r="A555" s="54">
        <f>IFERROR(IF(INDEX(SPOT_Import!$A$1:$Z$2488,555,'Live Data'!$C$12)="","",INDEX(SPOT_Import!$A$1:$Z$2488,555,'Live Data'!$C$12)),"")</f>
        <v>12795</v>
      </c>
      <c r="B555" s="54" t="str">
        <f>IFERROR(IF(INDEX(SPOT_Import!$A$1:$Z$2488,555,'Live Data'!$C$13)="","",INDEX(SPOT_Import!$A$1:$Z$2488,555,'Live Data'!$C$13)),"")</f>
        <v>Tharaka District Hospital</v>
      </c>
      <c r="C555" s="54" t="str">
        <f>IFERROR(IF(INDEX(SPOT_Import!$A$1:$Z$2488,555,'Live Data'!$C$14)="","",INDEX(SPOT_Import!$A$1:$Z$2488,555,'Live Data'!$C$14)),"")</f>
        <v>THARAKA-NITHI</v>
      </c>
      <c r="D555" s="54" t="str">
        <f>IFERROR(IF(INDEX(SPOT_Import!$A$1:$Z$2488,555,'Live Data'!$C$15)="","",INDEX(SPOT_Import!$A$1:$Z$2488,555,'Live Data'!$C$15)),"")</f>
        <v>Tharaka South</v>
      </c>
      <c r="E555" s="54" t="str">
        <f>IFERROR(IF(INDEX(SPOT_Import!$A$1:$Z$2488,555,'Live Data'!$C$16)="","",INDEX(SPOT_Import!$A$1:$Z$2488,555,'Live Data'!$C$16)),"")</f>
        <v>USAID Jamii Tekelezi</v>
      </c>
      <c r="F555" s="54" t="str">
        <f>IFERROR(IF(INDEX(SPOT_Import!$A$1:$Z$2488,555,'Live Data'!$C$17)="","",INDEX(SPOT_Import!$A$1:$Z$2488,555,'Live Data'!$C$17)),"")</f>
        <v>CRS</v>
      </c>
      <c r="G555" s="54">
        <f>IFERROR(IF(INDEX(SPOT_Import!$A$1:$Z$2488,555,'Live Data'!$C$18)="","",INDEX(SPOT_Import!$A$1:$Z$2488,555,'Live Data'!$C$18)),"")</f>
        <v>867</v>
      </c>
      <c r="H555" s="54">
        <f>IFERROR(IF(INDEX(SPOT_Import!$A$1:$Z$2488,555,'Live Data'!$C$19)="","",INDEX(SPOT_Import!$A$1:$Z$2488,555,'Live Data'!$C$19)),"")</f>
        <v>867</v>
      </c>
      <c r="I555" s="54" t="str">
        <f>IFERROR(IF(INDEX(SPOT_Import!$A$1:$Z$2488,555,'Live Data'!$C$20)="","",INDEX(SPOT_Import!$A$1:$Z$2488,555,'Live Data'!$C$20)),"")</f>
        <v>Complete</v>
      </c>
      <c r="J555" s="54" t="str">
        <f>IFERROR(IF(INDEX(SPOT_Import!$A$1:$Z$2488,555,'Live Data'!$C$21)="","",INDEX(SPOT_Import!$A$1:$Z$2488,555,'Live Data'!$C$21)),"")</f>
        <v>2023-04-12T06:42:49.000Z</v>
      </c>
      <c r="K555" s="54" t="str">
        <f>IFERROR(IF(INDEX(SPOT_Import!$A$1:$Z$2488,555,'Live Data'!$C$22)="","",INDEX(SPOT_Import!$A$1:$Z$2488,555,'Live Data'!$C$22)),"")</f>
        <v>2023-04-12T06:42:49.000Z</v>
      </c>
      <c r="L555" s="55" t="str">
        <f t="shared" si="16"/>
        <v>2023-04</v>
      </c>
      <c r="M555" s="55" t="str">
        <f t="shared" si="17"/>
        <v>THARAKA-NITHI</v>
      </c>
      <c r="N555" s="55" t="str">
        <f>IF(A555="","",IFERROR(INDEX('Cluster Map'!$A$4:$A$38,MATCH(M555,'Cluster Map'!$B$4:$B$38,0)),"Unmapped"))</f>
        <v>Cluster 2</v>
      </c>
      <c r="O555" s="55">
        <f>IF(A555="",0,IF(COUNTIFS($A$2:A555,A555,$F$2:F555,F555,$L$2:L555,L555)=1,1,0))</f>
        <v>1</v>
      </c>
      <c r="P555" s="55">
        <f>IF(A555="",0,IF(AND(F555="C&amp;T",COUNTIFS($A$2:A555,A555,$F$2:F555,"C&amp;T")=1),1,0))</f>
        <v>0</v>
      </c>
    </row>
    <row r="556" spans="1:16" x14ac:dyDescent="0.35">
      <c r="A556" s="54">
        <f>IFERROR(IF(INDEX(SPOT_Import!$A$1:$Z$2488,556,'Live Data'!$C$12)="","",INDEX(SPOT_Import!$A$1:$Z$2488,556,'Live Data'!$C$12)),"")</f>
        <v>12326</v>
      </c>
      <c r="B556" s="54" t="str">
        <f>IFERROR(IF(INDEX(SPOT_Import!$A$1:$Z$2488,556,'Live Data'!$C$13)="","",INDEX(SPOT_Import!$A$1:$Z$2488,556,'Live Data'!$C$13)),"")</f>
        <v>Kinoru Dispensary</v>
      </c>
      <c r="C556" s="54" t="str">
        <f>IFERROR(IF(INDEX(SPOT_Import!$A$1:$Z$2488,556,'Live Data'!$C$14)="","",INDEX(SPOT_Import!$A$1:$Z$2488,556,'Live Data'!$C$14)),"")</f>
        <v>MERU</v>
      </c>
      <c r="D556" s="54" t="str">
        <f>IFERROR(IF(INDEX(SPOT_Import!$A$1:$Z$2488,556,'Live Data'!$C$15)="","",INDEX(SPOT_Import!$A$1:$Z$2488,556,'Live Data'!$C$15)),"")</f>
        <v>Imenti North</v>
      </c>
      <c r="E556" s="54" t="str">
        <f>IFERROR(IF(INDEX(SPOT_Import!$A$1:$Z$2488,556,'Live Data'!$C$16)="","",INDEX(SPOT_Import!$A$1:$Z$2488,556,'Live Data'!$C$16)),"")</f>
        <v>USAID Jamii Tekelezi</v>
      </c>
      <c r="F556" s="54" t="str">
        <f>IFERROR(IF(INDEX(SPOT_Import!$A$1:$Z$2488,556,'Live Data'!$C$17)="","",INDEX(SPOT_Import!$A$1:$Z$2488,556,'Live Data'!$C$17)),"")</f>
        <v>CRS</v>
      </c>
      <c r="G556" s="54">
        <f>IFERROR(IF(INDEX(SPOT_Import!$A$1:$Z$2488,556,'Live Data'!$C$18)="","",INDEX(SPOT_Import!$A$1:$Z$2488,556,'Live Data'!$C$18)),"")</f>
        <v>625</v>
      </c>
      <c r="H556" s="54">
        <f>IFERROR(IF(INDEX(SPOT_Import!$A$1:$Z$2488,556,'Live Data'!$C$19)="","",INDEX(SPOT_Import!$A$1:$Z$2488,556,'Live Data'!$C$19)),"")</f>
        <v>625</v>
      </c>
      <c r="I556" s="54" t="str">
        <f>IFERROR(IF(INDEX(SPOT_Import!$A$1:$Z$2488,556,'Live Data'!$C$20)="","",INDEX(SPOT_Import!$A$1:$Z$2488,556,'Live Data'!$C$20)),"")</f>
        <v>Complete</v>
      </c>
      <c r="J556" s="54" t="str">
        <f>IFERROR(IF(INDEX(SPOT_Import!$A$1:$Z$2488,556,'Live Data'!$C$21)="","",INDEX(SPOT_Import!$A$1:$Z$2488,556,'Live Data'!$C$21)),"")</f>
        <v>2023-04-11T13:16:04.000Z</v>
      </c>
      <c r="K556" s="54" t="str">
        <f>IFERROR(IF(INDEX(SPOT_Import!$A$1:$Z$2488,556,'Live Data'!$C$22)="","",INDEX(SPOT_Import!$A$1:$Z$2488,556,'Live Data'!$C$22)),"")</f>
        <v>2023-04-11T13:16:04.000Z</v>
      </c>
      <c r="L556" s="55" t="str">
        <f t="shared" si="16"/>
        <v>2023-04</v>
      </c>
      <c r="M556" s="55" t="str">
        <f t="shared" si="17"/>
        <v>MERU</v>
      </c>
      <c r="N556" s="55" t="str">
        <f>IF(A556="","",IFERROR(INDEX('Cluster Map'!$A$4:$A$38,MATCH(M556,'Cluster Map'!$B$4:$B$38,0)),"Unmapped"))</f>
        <v>Cluster 1</v>
      </c>
      <c r="O556" s="55">
        <f>IF(A556="",0,IF(COUNTIFS($A$2:A556,A556,$F$2:F556,F556,$L$2:L556,L556)=1,1,0))</f>
        <v>1</v>
      </c>
      <c r="P556" s="55">
        <f>IF(A556="",0,IF(AND(F556="C&amp;T",COUNTIFS($A$2:A556,A556,$F$2:F556,"C&amp;T")=1),1,0))</f>
        <v>0</v>
      </c>
    </row>
    <row r="557" spans="1:16" x14ac:dyDescent="0.35">
      <c r="A557" s="54">
        <f>IFERROR(IF(INDEX(SPOT_Import!$A$1:$Z$2488,557,'Live Data'!$C$12)="","",INDEX(SPOT_Import!$A$1:$Z$2488,557,'Live Data'!$C$12)),"")</f>
        <v>12044</v>
      </c>
      <c r="B557" s="54" t="str">
        <f>IFERROR(IF(INDEX(SPOT_Import!$A$1:$Z$2488,557,'Live Data'!$C$13)="","",INDEX(SPOT_Import!$A$1:$Z$2488,557,'Live Data'!$C$13)),"")</f>
        <v>Gitoro Dispensary</v>
      </c>
      <c r="C557" s="54" t="str">
        <f>IFERROR(IF(INDEX(SPOT_Import!$A$1:$Z$2488,557,'Live Data'!$C$14)="","",INDEX(SPOT_Import!$A$1:$Z$2488,557,'Live Data'!$C$14)),"")</f>
        <v>MERU</v>
      </c>
      <c r="D557" s="54" t="str">
        <f>IFERROR(IF(INDEX(SPOT_Import!$A$1:$Z$2488,557,'Live Data'!$C$15)="","",INDEX(SPOT_Import!$A$1:$Z$2488,557,'Live Data'!$C$15)),"")</f>
        <v>Imenti North</v>
      </c>
      <c r="E557" s="54" t="str">
        <f>IFERROR(IF(INDEX(SPOT_Import!$A$1:$Z$2488,557,'Live Data'!$C$16)="","",INDEX(SPOT_Import!$A$1:$Z$2488,557,'Live Data'!$C$16)),"")</f>
        <v>USAID Jamii Tekelezi</v>
      </c>
      <c r="F557" s="54" t="str">
        <f>IFERROR(IF(INDEX(SPOT_Import!$A$1:$Z$2488,557,'Live Data'!$C$17)="","",INDEX(SPOT_Import!$A$1:$Z$2488,557,'Live Data'!$C$17)),"")</f>
        <v>CRS</v>
      </c>
      <c r="G557" s="54">
        <f>IFERROR(IF(INDEX(SPOT_Import!$A$1:$Z$2488,557,'Live Data'!$C$18)="","",INDEX(SPOT_Import!$A$1:$Z$2488,557,'Live Data'!$C$18)),"")</f>
        <v>326</v>
      </c>
      <c r="H557" s="54">
        <f>IFERROR(IF(INDEX(SPOT_Import!$A$1:$Z$2488,557,'Live Data'!$C$19)="","",INDEX(SPOT_Import!$A$1:$Z$2488,557,'Live Data'!$C$19)),"")</f>
        <v>326</v>
      </c>
      <c r="I557" s="54" t="str">
        <f>IFERROR(IF(INDEX(SPOT_Import!$A$1:$Z$2488,557,'Live Data'!$C$20)="","",INDEX(SPOT_Import!$A$1:$Z$2488,557,'Live Data'!$C$20)),"")</f>
        <v>Complete</v>
      </c>
      <c r="J557" s="54" t="str">
        <f>IFERROR(IF(INDEX(SPOT_Import!$A$1:$Z$2488,557,'Live Data'!$C$21)="","",INDEX(SPOT_Import!$A$1:$Z$2488,557,'Live Data'!$C$21)),"")</f>
        <v>2023-04-11T10:41:58.000Z</v>
      </c>
      <c r="K557" s="54" t="str">
        <f>IFERROR(IF(INDEX(SPOT_Import!$A$1:$Z$2488,557,'Live Data'!$C$22)="","",INDEX(SPOT_Import!$A$1:$Z$2488,557,'Live Data'!$C$22)),"")</f>
        <v>2023-04-11T10:41:58.000Z</v>
      </c>
      <c r="L557" s="55" t="str">
        <f t="shared" si="16"/>
        <v>2023-04</v>
      </c>
      <c r="M557" s="55" t="str">
        <f t="shared" si="17"/>
        <v>MERU</v>
      </c>
      <c r="N557" s="55" t="str">
        <f>IF(A557="","",IFERROR(INDEX('Cluster Map'!$A$4:$A$38,MATCH(M557,'Cluster Map'!$B$4:$B$38,0)),"Unmapped"))</f>
        <v>Cluster 1</v>
      </c>
      <c r="O557" s="55">
        <f>IF(A557="",0,IF(COUNTIFS($A$2:A557,A557,$F$2:F557,F557,$L$2:L557,L557)=1,1,0))</f>
        <v>1</v>
      </c>
      <c r="P557" s="55">
        <f>IF(A557="",0,IF(AND(F557="C&amp;T",COUNTIFS($A$2:A557,A557,$F$2:F557,"C&amp;T")=1),1,0))</f>
        <v>0</v>
      </c>
    </row>
    <row r="558" spans="1:16" x14ac:dyDescent="0.35">
      <c r="A558" s="54">
        <f>IFERROR(IF(INDEX(SPOT_Import!$A$1:$Z$2488,558,'Live Data'!$C$12)="","",INDEX(SPOT_Import!$A$1:$Z$2488,558,'Live Data'!$C$12)),"")</f>
        <v>12181</v>
      </c>
      <c r="B558" s="54" t="str">
        <f>IFERROR(IF(INDEX(SPOT_Import!$A$1:$Z$2488,558,'Live Data'!$C$13)="","",INDEX(SPOT_Import!$A$1:$Z$2488,558,'Live Data'!$C$13)),"")</f>
        <v>Kanyakine District Hospital</v>
      </c>
      <c r="C558" s="54" t="str">
        <f>IFERROR(IF(INDEX(SPOT_Import!$A$1:$Z$2488,558,'Live Data'!$C$14)="","",INDEX(SPOT_Import!$A$1:$Z$2488,558,'Live Data'!$C$14)),"")</f>
        <v>MERU</v>
      </c>
      <c r="D558" s="54" t="str">
        <f>IFERROR(IF(INDEX(SPOT_Import!$A$1:$Z$2488,558,'Live Data'!$C$15)="","",INDEX(SPOT_Import!$A$1:$Z$2488,558,'Live Data'!$C$15)),"")</f>
        <v>Imenti South</v>
      </c>
      <c r="E558" s="54" t="str">
        <f>IFERROR(IF(INDEX(SPOT_Import!$A$1:$Z$2488,558,'Live Data'!$C$16)="","",INDEX(SPOT_Import!$A$1:$Z$2488,558,'Live Data'!$C$16)),"")</f>
        <v>USAID Jamii Tekelezi</v>
      </c>
      <c r="F558" s="54" t="str">
        <f>IFERROR(IF(INDEX(SPOT_Import!$A$1:$Z$2488,558,'Live Data'!$C$17)="","",INDEX(SPOT_Import!$A$1:$Z$2488,558,'Live Data'!$C$17)),"")</f>
        <v>CRS</v>
      </c>
      <c r="G558" s="54">
        <f>IFERROR(IF(INDEX(SPOT_Import!$A$1:$Z$2488,558,'Live Data'!$C$18)="","",INDEX(SPOT_Import!$A$1:$Z$2488,558,'Live Data'!$C$18)),"")</f>
        <v>2409</v>
      </c>
      <c r="H558" s="54">
        <f>IFERROR(IF(INDEX(SPOT_Import!$A$1:$Z$2488,558,'Live Data'!$C$19)="","",INDEX(SPOT_Import!$A$1:$Z$2488,558,'Live Data'!$C$19)),"")</f>
        <v>2409</v>
      </c>
      <c r="I558" s="54" t="str">
        <f>IFERROR(IF(INDEX(SPOT_Import!$A$1:$Z$2488,558,'Live Data'!$C$20)="","",INDEX(SPOT_Import!$A$1:$Z$2488,558,'Live Data'!$C$20)),"")</f>
        <v>Complete</v>
      </c>
      <c r="J558" s="54" t="str">
        <f>IFERROR(IF(INDEX(SPOT_Import!$A$1:$Z$2488,558,'Live Data'!$C$21)="","",INDEX(SPOT_Import!$A$1:$Z$2488,558,'Live Data'!$C$21)),"")</f>
        <v>2023-04-11T07:09:56.000Z</v>
      </c>
      <c r="K558" s="54" t="str">
        <f>IFERROR(IF(INDEX(SPOT_Import!$A$1:$Z$2488,558,'Live Data'!$C$22)="","",INDEX(SPOT_Import!$A$1:$Z$2488,558,'Live Data'!$C$22)),"")</f>
        <v>2023-04-11T07:09:56.000Z</v>
      </c>
      <c r="L558" s="55" t="str">
        <f t="shared" si="16"/>
        <v>2023-04</v>
      </c>
      <c r="M558" s="55" t="str">
        <f t="shared" si="17"/>
        <v>MERU</v>
      </c>
      <c r="N558" s="55" t="str">
        <f>IF(A558="","",IFERROR(INDEX('Cluster Map'!$A$4:$A$38,MATCH(M558,'Cluster Map'!$B$4:$B$38,0)),"Unmapped"))</f>
        <v>Cluster 1</v>
      </c>
      <c r="O558" s="55">
        <f>IF(A558="",0,IF(COUNTIFS($A$2:A558,A558,$F$2:F558,F558,$L$2:L558,L558)=1,1,0))</f>
        <v>1</v>
      </c>
      <c r="P558" s="55">
        <f>IF(A558="",0,IF(AND(F558="C&amp;T",COUNTIFS($A$2:A558,A558,$F$2:F558,"C&amp;T")=1),1,0))</f>
        <v>0</v>
      </c>
    </row>
    <row r="559" spans="1:16" x14ac:dyDescent="0.35">
      <c r="A559" s="54">
        <f>IFERROR(IF(INDEX(SPOT_Import!$A$1:$Z$2488,559,'Live Data'!$C$12)="","",INDEX(SPOT_Import!$A$1:$Z$2488,559,'Live Data'!$C$12)),"")</f>
        <v>10509</v>
      </c>
      <c r="B559" s="54" t="str">
        <f>IFERROR(IF(INDEX(SPOT_Import!$A$1:$Z$2488,559,'Live Data'!$C$13)="","",INDEX(SPOT_Import!$A$1:$Z$2488,559,'Live Data'!$C$13)),"")</f>
        <v>Kasuku Health Centre</v>
      </c>
      <c r="C559" s="54" t="str">
        <f>IFERROR(IF(INDEX(SPOT_Import!$A$1:$Z$2488,559,'Live Data'!$C$14)="","",INDEX(SPOT_Import!$A$1:$Z$2488,559,'Live Data'!$C$14)),"")</f>
        <v>NYANDARUA</v>
      </c>
      <c r="D559" s="54" t="str">
        <f>IFERROR(IF(INDEX(SPOT_Import!$A$1:$Z$2488,559,'Live Data'!$C$15)="","",INDEX(SPOT_Import!$A$1:$Z$2488,559,'Live Data'!$C$15)),"")</f>
        <v>Oljororok</v>
      </c>
      <c r="E559" s="54" t="str">
        <f>IFERROR(IF(INDEX(SPOT_Import!$A$1:$Z$2488,559,'Live Data'!$C$16)="","",INDEX(SPOT_Import!$A$1:$Z$2488,559,'Live Data'!$C$16)),"")</f>
        <v>USAID Jamii Tekelezi</v>
      </c>
      <c r="F559" s="54" t="str">
        <f>IFERROR(IF(INDEX(SPOT_Import!$A$1:$Z$2488,559,'Live Data'!$C$17)="","",INDEX(SPOT_Import!$A$1:$Z$2488,559,'Live Data'!$C$17)),"")</f>
        <v>CRS</v>
      </c>
      <c r="G559" s="54">
        <f>IFERROR(IF(INDEX(SPOT_Import!$A$1:$Z$2488,559,'Live Data'!$C$18)="","",INDEX(SPOT_Import!$A$1:$Z$2488,559,'Live Data'!$C$18)),"")</f>
        <v>1042</v>
      </c>
      <c r="H559" s="54">
        <f>IFERROR(IF(INDEX(SPOT_Import!$A$1:$Z$2488,559,'Live Data'!$C$19)="","",INDEX(SPOT_Import!$A$1:$Z$2488,559,'Live Data'!$C$19)),"")</f>
        <v>1042</v>
      </c>
      <c r="I559" s="54" t="str">
        <f>IFERROR(IF(INDEX(SPOT_Import!$A$1:$Z$2488,559,'Live Data'!$C$20)="","",INDEX(SPOT_Import!$A$1:$Z$2488,559,'Live Data'!$C$20)),"")</f>
        <v>Complete</v>
      </c>
      <c r="J559" s="54" t="str">
        <f>IFERROR(IF(INDEX(SPOT_Import!$A$1:$Z$2488,559,'Live Data'!$C$21)="","",INDEX(SPOT_Import!$A$1:$Z$2488,559,'Live Data'!$C$21)),"")</f>
        <v>2023-04-07T13:51:57.000Z</v>
      </c>
      <c r="K559" s="54" t="str">
        <f>IFERROR(IF(INDEX(SPOT_Import!$A$1:$Z$2488,559,'Live Data'!$C$22)="","",INDEX(SPOT_Import!$A$1:$Z$2488,559,'Live Data'!$C$22)),"")</f>
        <v>2023-04-07T13:51:57.000Z</v>
      </c>
      <c r="L559" s="55" t="str">
        <f t="shared" si="16"/>
        <v>2023-04</v>
      </c>
      <c r="M559" s="55" t="str">
        <f t="shared" si="17"/>
        <v>NYANDARUA</v>
      </c>
      <c r="N559" s="55" t="str">
        <f>IF(A559="","",IFERROR(INDEX('Cluster Map'!$A$4:$A$38,MATCH(M559,'Cluster Map'!$B$4:$B$38,0)),"Unmapped"))</f>
        <v>Cluster 4</v>
      </c>
      <c r="O559" s="55">
        <f>IF(A559="",0,IF(COUNTIFS($A$2:A559,A559,$F$2:F559,F559,$L$2:L559,L559)=1,1,0))</f>
        <v>1</v>
      </c>
      <c r="P559" s="55">
        <f>IF(A559="",0,IF(AND(F559="C&amp;T",COUNTIFS($A$2:A559,A559,$F$2:F559,"C&amp;T")=1),1,0))</f>
        <v>0</v>
      </c>
    </row>
    <row r="560" spans="1:16" x14ac:dyDescent="0.35">
      <c r="A560" s="54">
        <f>IFERROR(IF(INDEX(SPOT_Import!$A$1:$Z$2488,560,'Live Data'!$C$12)="","",INDEX(SPOT_Import!$A$1:$Z$2488,560,'Live Data'!$C$12)),"")</f>
        <v>12041</v>
      </c>
      <c r="B560" s="54" t="str">
        <f>IFERROR(IF(INDEX(SPOT_Import!$A$1:$Z$2488,560,'Live Data'!$C$13)="","",INDEX(SPOT_Import!$A$1:$Z$2488,560,'Live Data'!$C$13)),"")</f>
        <v>Githongo District Hospital</v>
      </c>
      <c r="C560" s="54" t="str">
        <f>IFERROR(IF(INDEX(SPOT_Import!$A$1:$Z$2488,560,'Live Data'!$C$14)="","",INDEX(SPOT_Import!$A$1:$Z$2488,560,'Live Data'!$C$14)),"")</f>
        <v>MERU</v>
      </c>
      <c r="D560" s="54" t="str">
        <f>IFERROR(IF(INDEX(SPOT_Import!$A$1:$Z$2488,560,'Live Data'!$C$15)="","",INDEX(SPOT_Import!$A$1:$Z$2488,560,'Live Data'!$C$15)),"")</f>
        <v>Imenti Central</v>
      </c>
      <c r="E560" s="54" t="str">
        <f>IFERROR(IF(INDEX(SPOT_Import!$A$1:$Z$2488,560,'Live Data'!$C$16)="","",INDEX(SPOT_Import!$A$1:$Z$2488,560,'Live Data'!$C$16)),"")</f>
        <v>USAID Jamii Tekelezi</v>
      </c>
      <c r="F560" s="54" t="str">
        <f>IFERROR(IF(INDEX(SPOT_Import!$A$1:$Z$2488,560,'Live Data'!$C$17)="","",INDEX(SPOT_Import!$A$1:$Z$2488,560,'Live Data'!$C$17)),"")</f>
        <v>CRS</v>
      </c>
      <c r="G560" s="54">
        <f>IFERROR(IF(INDEX(SPOT_Import!$A$1:$Z$2488,560,'Live Data'!$C$18)="","",INDEX(SPOT_Import!$A$1:$Z$2488,560,'Live Data'!$C$18)),"")</f>
        <v>1161</v>
      </c>
      <c r="H560" s="54">
        <f>IFERROR(IF(INDEX(SPOT_Import!$A$1:$Z$2488,560,'Live Data'!$C$19)="","",INDEX(SPOT_Import!$A$1:$Z$2488,560,'Live Data'!$C$19)),"")</f>
        <v>1161</v>
      </c>
      <c r="I560" s="54" t="str">
        <f>IFERROR(IF(INDEX(SPOT_Import!$A$1:$Z$2488,560,'Live Data'!$C$20)="","",INDEX(SPOT_Import!$A$1:$Z$2488,560,'Live Data'!$C$20)),"")</f>
        <v>Complete</v>
      </c>
      <c r="J560" s="54" t="str">
        <f>IFERROR(IF(INDEX(SPOT_Import!$A$1:$Z$2488,560,'Live Data'!$C$21)="","",INDEX(SPOT_Import!$A$1:$Z$2488,560,'Live Data'!$C$21)),"")</f>
        <v>2023-04-07T12:21:11.000Z</v>
      </c>
      <c r="K560" s="54" t="str">
        <f>IFERROR(IF(INDEX(SPOT_Import!$A$1:$Z$2488,560,'Live Data'!$C$22)="","",INDEX(SPOT_Import!$A$1:$Z$2488,560,'Live Data'!$C$22)),"")</f>
        <v>2023-04-07T12:21:11.000Z</v>
      </c>
      <c r="L560" s="55" t="str">
        <f t="shared" si="16"/>
        <v>2023-04</v>
      </c>
      <c r="M560" s="55" t="str">
        <f t="shared" si="17"/>
        <v>MERU</v>
      </c>
      <c r="N560" s="55" t="str">
        <f>IF(A560="","",IFERROR(INDEX('Cluster Map'!$A$4:$A$38,MATCH(M560,'Cluster Map'!$B$4:$B$38,0)),"Unmapped"))</f>
        <v>Cluster 1</v>
      </c>
      <c r="O560" s="55">
        <f>IF(A560="",0,IF(COUNTIFS($A$2:A560,A560,$F$2:F560,F560,$L$2:L560,L560)=1,1,0))</f>
        <v>1</v>
      </c>
      <c r="P560" s="55">
        <f>IF(A560="",0,IF(AND(F560="C&amp;T",COUNTIFS($A$2:A560,A560,$F$2:F560,"C&amp;T")=1),1,0))</f>
        <v>0</v>
      </c>
    </row>
    <row r="561" spans="1:16" x14ac:dyDescent="0.35">
      <c r="A561" s="54">
        <f>IFERROR(IF(INDEX(SPOT_Import!$A$1:$Z$2488,561,'Live Data'!$C$12)="","",INDEX(SPOT_Import!$A$1:$Z$2488,561,'Live Data'!$C$12)),"")</f>
        <v>10852</v>
      </c>
      <c r="B561" s="54" t="str">
        <f>IFERROR(IF(INDEX(SPOT_Import!$A$1:$Z$2488,561,'Live Data'!$C$13)="","",INDEX(SPOT_Import!$A$1:$Z$2488,561,'Live Data'!$C$13)),"")</f>
        <v>New Tumaini Health Centre</v>
      </c>
      <c r="C561" s="54" t="str">
        <f>IFERROR(IF(INDEX(SPOT_Import!$A$1:$Z$2488,561,'Live Data'!$C$14)="","",INDEX(SPOT_Import!$A$1:$Z$2488,561,'Live Data'!$C$14)),"")</f>
        <v>NYANDARUA</v>
      </c>
      <c r="D561" s="54" t="str">
        <f>IFERROR(IF(INDEX(SPOT_Import!$A$1:$Z$2488,561,'Live Data'!$C$15)="","",INDEX(SPOT_Import!$A$1:$Z$2488,561,'Live Data'!$C$15)),"")</f>
        <v>Olkalou</v>
      </c>
      <c r="E561" s="54" t="str">
        <f>IFERROR(IF(INDEX(SPOT_Import!$A$1:$Z$2488,561,'Live Data'!$C$16)="","",INDEX(SPOT_Import!$A$1:$Z$2488,561,'Live Data'!$C$16)),"")</f>
        <v>USAID Jamii Tekelezi</v>
      </c>
      <c r="F561" s="54" t="str">
        <f>IFERROR(IF(INDEX(SPOT_Import!$A$1:$Z$2488,561,'Live Data'!$C$17)="","",INDEX(SPOT_Import!$A$1:$Z$2488,561,'Live Data'!$C$17)),"")</f>
        <v>CRS</v>
      </c>
      <c r="G561" s="54">
        <f>IFERROR(IF(INDEX(SPOT_Import!$A$1:$Z$2488,561,'Live Data'!$C$18)="","",INDEX(SPOT_Import!$A$1:$Z$2488,561,'Live Data'!$C$18)),"")</f>
        <v>366</v>
      </c>
      <c r="H561" s="54">
        <f>IFERROR(IF(INDEX(SPOT_Import!$A$1:$Z$2488,561,'Live Data'!$C$19)="","",INDEX(SPOT_Import!$A$1:$Z$2488,561,'Live Data'!$C$19)),"")</f>
        <v>366</v>
      </c>
      <c r="I561" s="54" t="str">
        <f>IFERROR(IF(INDEX(SPOT_Import!$A$1:$Z$2488,561,'Live Data'!$C$20)="","",INDEX(SPOT_Import!$A$1:$Z$2488,561,'Live Data'!$C$20)),"")</f>
        <v>Complete</v>
      </c>
      <c r="J561" s="54" t="str">
        <f>IFERROR(IF(INDEX(SPOT_Import!$A$1:$Z$2488,561,'Live Data'!$C$21)="","",INDEX(SPOT_Import!$A$1:$Z$2488,561,'Live Data'!$C$21)),"")</f>
        <v>2023-04-07T08:23:09.000Z</v>
      </c>
      <c r="K561" s="54" t="str">
        <f>IFERROR(IF(INDEX(SPOT_Import!$A$1:$Z$2488,561,'Live Data'!$C$22)="","",INDEX(SPOT_Import!$A$1:$Z$2488,561,'Live Data'!$C$22)),"")</f>
        <v>2023-04-07T08:23:09.000Z</v>
      </c>
      <c r="L561" s="55" t="str">
        <f t="shared" si="16"/>
        <v>2023-04</v>
      </c>
      <c r="M561" s="55" t="str">
        <f t="shared" si="17"/>
        <v>NYANDARUA</v>
      </c>
      <c r="N561" s="55" t="str">
        <f>IF(A561="","",IFERROR(INDEX('Cluster Map'!$A$4:$A$38,MATCH(M561,'Cluster Map'!$B$4:$B$38,0)),"Unmapped"))</f>
        <v>Cluster 4</v>
      </c>
      <c r="O561" s="55">
        <f>IF(A561="",0,IF(COUNTIFS($A$2:A561,A561,$F$2:F561,F561,$L$2:L561,L561)=1,1,0))</f>
        <v>1</v>
      </c>
      <c r="P561" s="55">
        <f>IF(A561="",0,IF(AND(F561="C&amp;T",COUNTIFS($A$2:A561,A561,$F$2:F561,"C&amp;T")=1),1,0))</f>
        <v>0</v>
      </c>
    </row>
    <row r="562" spans="1:16" x14ac:dyDescent="0.35">
      <c r="A562" s="54">
        <f>IFERROR(IF(INDEX(SPOT_Import!$A$1:$Z$2488,562,'Live Data'!$C$12)="","",INDEX(SPOT_Import!$A$1:$Z$2488,562,'Live Data'!$C$12)),"")</f>
        <v>11009</v>
      </c>
      <c r="B562" s="54" t="str">
        <f>IFERROR(IF(INDEX(SPOT_Import!$A$1:$Z$2488,562,'Live Data'!$C$13)="","",INDEX(SPOT_Import!$A$1:$Z$2488,562,'Live Data'!$C$13)),"")</f>
        <v>Silibwet Health Centre (Nyandarua West)</v>
      </c>
      <c r="C562" s="54" t="str">
        <f>IFERROR(IF(INDEX(SPOT_Import!$A$1:$Z$2488,562,'Live Data'!$C$14)="","",INDEX(SPOT_Import!$A$1:$Z$2488,562,'Live Data'!$C$14)),"")</f>
        <v>NYANDARUA</v>
      </c>
      <c r="D562" s="54" t="str">
        <f>IFERROR(IF(INDEX(SPOT_Import!$A$1:$Z$2488,562,'Live Data'!$C$15)="","",INDEX(SPOT_Import!$A$1:$Z$2488,562,'Live Data'!$C$15)),"")</f>
        <v>Oljororok</v>
      </c>
      <c r="E562" s="54" t="str">
        <f>IFERROR(IF(INDEX(SPOT_Import!$A$1:$Z$2488,562,'Live Data'!$C$16)="","",INDEX(SPOT_Import!$A$1:$Z$2488,562,'Live Data'!$C$16)),"")</f>
        <v>USAID Jamii Tekelezi</v>
      </c>
      <c r="F562" s="54" t="str">
        <f>IFERROR(IF(INDEX(SPOT_Import!$A$1:$Z$2488,562,'Live Data'!$C$17)="","",INDEX(SPOT_Import!$A$1:$Z$2488,562,'Live Data'!$C$17)),"")</f>
        <v>CRS</v>
      </c>
      <c r="G562" s="54">
        <f>IFERROR(IF(INDEX(SPOT_Import!$A$1:$Z$2488,562,'Live Data'!$C$18)="","",INDEX(SPOT_Import!$A$1:$Z$2488,562,'Live Data'!$C$18)),"")</f>
        <v>412</v>
      </c>
      <c r="H562" s="54">
        <f>IFERROR(IF(INDEX(SPOT_Import!$A$1:$Z$2488,562,'Live Data'!$C$19)="","",INDEX(SPOT_Import!$A$1:$Z$2488,562,'Live Data'!$C$19)),"")</f>
        <v>412</v>
      </c>
      <c r="I562" s="54" t="str">
        <f>IFERROR(IF(INDEX(SPOT_Import!$A$1:$Z$2488,562,'Live Data'!$C$20)="","",INDEX(SPOT_Import!$A$1:$Z$2488,562,'Live Data'!$C$20)),"")</f>
        <v>Complete</v>
      </c>
      <c r="J562" s="54" t="str">
        <f>IFERROR(IF(INDEX(SPOT_Import!$A$1:$Z$2488,562,'Live Data'!$C$21)="","",INDEX(SPOT_Import!$A$1:$Z$2488,562,'Live Data'!$C$21)),"")</f>
        <v>2023-04-06T14:44:28.000Z</v>
      </c>
      <c r="K562" s="54" t="str">
        <f>IFERROR(IF(INDEX(SPOT_Import!$A$1:$Z$2488,562,'Live Data'!$C$22)="","",INDEX(SPOT_Import!$A$1:$Z$2488,562,'Live Data'!$C$22)),"")</f>
        <v>2023-04-06T14:44:28.000Z</v>
      </c>
      <c r="L562" s="55" t="str">
        <f t="shared" si="16"/>
        <v>2023-04</v>
      </c>
      <c r="M562" s="55" t="str">
        <f t="shared" si="17"/>
        <v>NYANDARUA</v>
      </c>
      <c r="N562" s="55" t="str">
        <f>IF(A562="","",IFERROR(INDEX('Cluster Map'!$A$4:$A$38,MATCH(M562,'Cluster Map'!$B$4:$B$38,0)),"Unmapped"))</f>
        <v>Cluster 4</v>
      </c>
      <c r="O562" s="55">
        <f>IF(A562="",0,IF(COUNTIFS($A$2:A562,A562,$F$2:F562,F562,$L$2:L562,L562)=1,1,0))</f>
        <v>1</v>
      </c>
      <c r="P562" s="55">
        <f>IF(A562="",0,IF(AND(F562="C&amp;T",COUNTIFS($A$2:A562,A562,$F$2:F562,"C&amp;T")=1),1,0))</f>
        <v>0</v>
      </c>
    </row>
    <row r="563" spans="1:16" x14ac:dyDescent="0.35">
      <c r="A563" s="54">
        <f>IFERROR(IF(INDEX(SPOT_Import!$A$1:$Z$2488,563,'Live Data'!$C$12)="","",INDEX(SPOT_Import!$A$1:$Z$2488,563,'Live Data'!$C$12)),"")</f>
        <v>12684</v>
      </c>
      <c r="B563" s="54" t="str">
        <f>IFERROR(IF(INDEX(SPOT_Import!$A$1:$Z$2488,563,'Live Data'!$C$13)="","",INDEX(SPOT_Import!$A$1:$Z$2488,563,'Live Data'!$C$13)),"")</f>
        <v>Nyambene District Hospital</v>
      </c>
      <c r="C563" s="54" t="str">
        <f>IFERROR(IF(INDEX(SPOT_Import!$A$1:$Z$2488,563,'Live Data'!$C$14)="","",INDEX(SPOT_Import!$A$1:$Z$2488,563,'Live Data'!$C$14)),"")</f>
        <v>MERU</v>
      </c>
      <c r="D563" s="54" t="str">
        <f>IFERROR(IF(INDEX(SPOT_Import!$A$1:$Z$2488,563,'Live Data'!$C$15)="","",INDEX(SPOT_Import!$A$1:$Z$2488,563,'Live Data'!$C$15)),"")</f>
        <v>Igembe South</v>
      </c>
      <c r="E563" s="54" t="str">
        <f>IFERROR(IF(INDEX(SPOT_Import!$A$1:$Z$2488,563,'Live Data'!$C$16)="","",INDEX(SPOT_Import!$A$1:$Z$2488,563,'Live Data'!$C$16)),"")</f>
        <v>USAID Jamii Tekelezi</v>
      </c>
      <c r="F563" s="54" t="str">
        <f>IFERROR(IF(INDEX(SPOT_Import!$A$1:$Z$2488,563,'Live Data'!$C$17)="","",INDEX(SPOT_Import!$A$1:$Z$2488,563,'Live Data'!$C$17)),"")</f>
        <v>CRS</v>
      </c>
      <c r="G563" s="54">
        <f>IFERROR(IF(INDEX(SPOT_Import!$A$1:$Z$2488,563,'Live Data'!$C$18)="","",INDEX(SPOT_Import!$A$1:$Z$2488,563,'Live Data'!$C$18)),"")</f>
        <v>5846</v>
      </c>
      <c r="H563" s="54">
        <f>IFERROR(IF(INDEX(SPOT_Import!$A$1:$Z$2488,563,'Live Data'!$C$19)="","",INDEX(SPOT_Import!$A$1:$Z$2488,563,'Live Data'!$C$19)),"")</f>
        <v>5846</v>
      </c>
      <c r="I563" s="54" t="str">
        <f>IFERROR(IF(INDEX(SPOT_Import!$A$1:$Z$2488,563,'Live Data'!$C$20)="","",INDEX(SPOT_Import!$A$1:$Z$2488,563,'Live Data'!$C$20)),"")</f>
        <v>Complete</v>
      </c>
      <c r="J563" s="54" t="str">
        <f>IFERROR(IF(INDEX(SPOT_Import!$A$1:$Z$2488,563,'Live Data'!$C$21)="","",INDEX(SPOT_Import!$A$1:$Z$2488,563,'Live Data'!$C$21)),"")</f>
        <v>2023-04-06T13:52:27.000Z</v>
      </c>
      <c r="K563" s="54" t="str">
        <f>IFERROR(IF(INDEX(SPOT_Import!$A$1:$Z$2488,563,'Live Data'!$C$22)="","",INDEX(SPOT_Import!$A$1:$Z$2488,563,'Live Data'!$C$22)),"")</f>
        <v>2023-04-06T13:52:27.000Z</v>
      </c>
      <c r="L563" s="55" t="str">
        <f t="shared" si="16"/>
        <v>2023-04</v>
      </c>
      <c r="M563" s="55" t="str">
        <f t="shared" si="17"/>
        <v>MERU</v>
      </c>
      <c r="N563" s="55" t="str">
        <f>IF(A563="","",IFERROR(INDEX('Cluster Map'!$A$4:$A$38,MATCH(M563,'Cluster Map'!$B$4:$B$38,0)),"Unmapped"))</f>
        <v>Cluster 1</v>
      </c>
      <c r="O563" s="55">
        <f>IF(A563="",0,IF(COUNTIFS($A$2:A563,A563,$F$2:F563,F563,$L$2:L563,L563)=1,1,0))</f>
        <v>1</v>
      </c>
      <c r="P563" s="55">
        <f>IF(A563="",0,IF(AND(F563="C&amp;T",COUNTIFS($A$2:A563,A563,$F$2:F563,"C&amp;T")=1),1,0))</f>
        <v>0</v>
      </c>
    </row>
    <row r="564" spans="1:16" x14ac:dyDescent="0.35">
      <c r="A564" s="54">
        <f>IFERROR(IF(INDEX(SPOT_Import!$A$1:$Z$2488,564,'Live Data'!$C$12)="","",INDEX(SPOT_Import!$A$1:$Z$2488,564,'Live Data'!$C$12)),"")</f>
        <v>16464</v>
      </c>
      <c r="B564" s="54" t="str">
        <f>IFERROR(IF(INDEX(SPOT_Import!$A$1:$Z$2488,564,'Live Data'!$C$13)="","",INDEX(SPOT_Import!$A$1:$Z$2488,564,'Live Data'!$C$13)),"")</f>
        <v>Ishiara Sub-District Hospital</v>
      </c>
      <c r="C564" s="54" t="str">
        <f>IFERROR(IF(INDEX(SPOT_Import!$A$1:$Z$2488,564,'Live Data'!$C$14)="","",INDEX(SPOT_Import!$A$1:$Z$2488,564,'Live Data'!$C$14)),"")</f>
        <v>EMBU</v>
      </c>
      <c r="D564" s="54" t="str">
        <f>IFERROR(IF(INDEX(SPOT_Import!$A$1:$Z$2488,564,'Live Data'!$C$15)="","",INDEX(SPOT_Import!$A$1:$Z$2488,564,'Live Data'!$C$15)),"")</f>
        <v>Mbeere North</v>
      </c>
      <c r="E564" s="54" t="str">
        <f>IFERROR(IF(INDEX(SPOT_Import!$A$1:$Z$2488,564,'Live Data'!$C$16)="","",INDEX(SPOT_Import!$A$1:$Z$2488,564,'Live Data'!$C$16)),"")</f>
        <v>USAID Jamii Tekelezi</v>
      </c>
      <c r="F564" s="54" t="str">
        <f>IFERROR(IF(INDEX(SPOT_Import!$A$1:$Z$2488,564,'Live Data'!$C$17)="","",INDEX(SPOT_Import!$A$1:$Z$2488,564,'Live Data'!$C$17)),"")</f>
        <v>CRS</v>
      </c>
      <c r="G564" s="54">
        <f>IFERROR(IF(INDEX(SPOT_Import!$A$1:$Z$2488,564,'Live Data'!$C$18)="","",INDEX(SPOT_Import!$A$1:$Z$2488,564,'Live Data'!$C$18)),"")</f>
        <v>918</v>
      </c>
      <c r="H564" s="54">
        <f>IFERROR(IF(INDEX(SPOT_Import!$A$1:$Z$2488,564,'Live Data'!$C$19)="","",INDEX(SPOT_Import!$A$1:$Z$2488,564,'Live Data'!$C$19)),"")</f>
        <v>918</v>
      </c>
      <c r="I564" s="54" t="str">
        <f>IFERROR(IF(INDEX(SPOT_Import!$A$1:$Z$2488,564,'Live Data'!$C$20)="","",INDEX(SPOT_Import!$A$1:$Z$2488,564,'Live Data'!$C$20)),"")</f>
        <v>Complete</v>
      </c>
      <c r="J564" s="54" t="str">
        <f>IFERROR(IF(INDEX(SPOT_Import!$A$1:$Z$2488,564,'Live Data'!$C$21)="","",INDEX(SPOT_Import!$A$1:$Z$2488,564,'Live Data'!$C$21)),"")</f>
        <v>2023-04-06T13:35:40.000Z</v>
      </c>
      <c r="K564" s="54" t="str">
        <f>IFERROR(IF(INDEX(SPOT_Import!$A$1:$Z$2488,564,'Live Data'!$C$22)="","",INDEX(SPOT_Import!$A$1:$Z$2488,564,'Live Data'!$C$22)),"")</f>
        <v>2023-04-06T13:35:40.000Z</v>
      </c>
      <c r="L564" s="55" t="str">
        <f t="shared" si="16"/>
        <v>2023-04</v>
      </c>
      <c r="M564" s="55" t="str">
        <f t="shared" si="17"/>
        <v>EMBU</v>
      </c>
      <c r="N564" s="55" t="str">
        <f>IF(A564="","",IFERROR(INDEX('Cluster Map'!$A$4:$A$38,MATCH(M564,'Cluster Map'!$B$4:$B$38,0)),"Unmapped"))</f>
        <v>Cluster 2</v>
      </c>
      <c r="O564" s="55">
        <f>IF(A564="",0,IF(COUNTIFS($A$2:A564,A564,$F$2:F564,F564,$L$2:L564,L564)=1,1,0))</f>
        <v>1</v>
      </c>
      <c r="P564" s="55">
        <f>IF(A564="",0,IF(AND(F564="C&amp;T",COUNTIFS($A$2:A564,A564,$F$2:F564,"C&amp;T")=1),1,0))</f>
        <v>0</v>
      </c>
    </row>
    <row r="565" spans="1:16" x14ac:dyDescent="0.35">
      <c r="A565" s="54">
        <f>IFERROR(IF(INDEX(SPOT_Import!$A$1:$Z$2488,565,'Live Data'!$C$12)="","",INDEX(SPOT_Import!$A$1:$Z$2488,565,'Live Data'!$C$12)),"")</f>
        <v>11984</v>
      </c>
      <c r="B565" s="54" t="str">
        <f>IFERROR(IF(INDEX(SPOT_Import!$A$1:$Z$2488,565,'Live Data'!$C$13)="","",INDEX(SPOT_Import!$A$1:$Z$2488,565,'Live Data'!$C$13)),"")</f>
        <v>Dallas Dispensary</v>
      </c>
      <c r="C565" s="54" t="str">
        <f>IFERROR(IF(INDEX(SPOT_Import!$A$1:$Z$2488,565,'Live Data'!$C$14)="","",INDEX(SPOT_Import!$A$1:$Z$2488,565,'Live Data'!$C$14)),"")</f>
        <v>EMBU</v>
      </c>
      <c r="D565" s="54" t="str">
        <f>IFERROR(IF(INDEX(SPOT_Import!$A$1:$Z$2488,565,'Live Data'!$C$15)="","",INDEX(SPOT_Import!$A$1:$Z$2488,565,'Live Data'!$C$15)),"")</f>
        <v>Manyatta</v>
      </c>
      <c r="E565" s="54" t="str">
        <f>IFERROR(IF(INDEX(SPOT_Import!$A$1:$Z$2488,565,'Live Data'!$C$16)="","",INDEX(SPOT_Import!$A$1:$Z$2488,565,'Live Data'!$C$16)),"")</f>
        <v>USAID Jamii Tekelezi</v>
      </c>
      <c r="F565" s="54" t="str">
        <f>IFERROR(IF(INDEX(SPOT_Import!$A$1:$Z$2488,565,'Live Data'!$C$17)="","",INDEX(SPOT_Import!$A$1:$Z$2488,565,'Live Data'!$C$17)),"")</f>
        <v>CRS</v>
      </c>
      <c r="G565" s="54">
        <f>IFERROR(IF(INDEX(SPOT_Import!$A$1:$Z$2488,565,'Live Data'!$C$18)="","",INDEX(SPOT_Import!$A$1:$Z$2488,565,'Live Data'!$C$18)),"")</f>
        <v>536</v>
      </c>
      <c r="H565" s="54">
        <f>IFERROR(IF(INDEX(SPOT_Import!$A$1:$Z$2488,565,'Live Data'!$C$19)="","",INDEX(SPOT_Import!$A$1:$Z$2488,565,'Live Data'!$C$19)),"")</f>
        <v>536</v>
      </c>
      <c r="I565" s="54" t="str">
        <f>IFERROR(IF(INDEX(SPOT_Import!$A$1:$Z$2488,565,'Live Data'!$C$20)="","",INDEX(SPOT_Import!$A$1:$Z$2488,565,'Live Data'!$C$20)),"")</f>
        <v>Complete</v>
      </c>
      <c r="J565" s="54" t="str">
        <f>IFERROR(IF(INDEX(SPOT_Import!$A$1:$Z$2488,565,'Live Data'!$C$21)="","",INDEX(SPOT_Import!$A$1:$Z$2488,565,'Live Data'!$C$21)),"")</f>
        <v>2023-04-06T13:27:46.000Z</v>
      </c>
      <c r="K565" s="54" t="str">
        <f>IFERROR(IF(INDEX(SPOT_Import!$A$1:$Z$2488,565,'Live Data'!$C$22)="","",INDEX(SPOT_Import!$A$1:$Z$2488,565,'Live Data'!$C$22)),"")</f>
        <v>2023-04-06T13:27:46.000Z</v>
      </c>
      <c r="L565" s="55" t="str">
        <f t="shared" si="16"/>
        <v>2023-04</v>
      </c>
      <c r="M565" s="55" t="str">
        <f t="shared" si="17"/>
        <v>EMBU</v>
      </c>
      <c r="N565" s="55" t="str">
        <f>IF(A565="","",IFERROR(INDEX('Cluster Map'!$A$4:$A$38,MATCH(M565,'Cluster Map'!$B$4:$B$38,0)),"Unmapped"))</f>
        <v>Cluster 2</v>
      </c>
      <c r="O565" s="55">
        <f>IF(A565="",0,IF(COUNTIFS($A$2:A565,A565,$F$2:F565,F565,$L$2:L565,L565)=1,1,0))</f>
        <v>1</v>
      </c>
      <c r="P565" s="55">
        <f>IF(A565="",0,IF(AND(F565="C&amp;T",COUNTIFS($A$2:A565,A565,$F$2:F565,"C&amp;T")=1),1,0))</f>
        <v>0</v>
      </c>
    </row>
    <row r="566" spans="1:16" x14ac:dyDescent="0.35">
      <c r="A566" s="54">
        <f>IFERROR(IF(INDEX(SPOT_Import!$A$1:$Z$2488,566,'Live Data'!$C$12)="","",INDEX(SPOT_Import!$A$1:$Z$2488,566,'Live Data'!$C$12)),"")</f>
        <v>12791</v>
      </c>
      <c r="B566" s="54" t="str">
        <f>IFERROR(IF(INDEX(SPOT_Import!$A$1:$Z$2488,566,'Live Data'!$C$13)="","",INDEX(SPOT_Import!$A$1:$Z$2488,566,'Live Data'!$C$13)),"")</f>
        <v>Acef Ena Health Centre</v>
      </c>
      <c r="C566" s="54" t="str">
        <f>IFERROR(IF(INDEX(SPOT_Import!$A$1:$Z$2488,566,'Live Data'!$C$14)="","",INDEX(SPOT_Import!$A$1:$Z$2488,566,'Live Data'!$C$14)),"")</f>
        <v>EMBU</v>
      </c>
      <c r="D566" s="54" t="str">
        <f>IFERROR(IF(INDEX(SPOT_Import!$A$1:$Z$2488,566,'Live Data'!$C$15)="","",INDEX(SPOT_Import!$A$1:$Z$2488,566,'Live Data'!$C$15)),"")</f>
        <v>Runyenjes</v>
      </c>
      <c r="E566" s="54" t="str">
        <f>IFERROR(IF(INDEX(SPOT_Import!$A$1:$Z$2488,566,'Live Data'!$C$16)="","",INDEX(SPOT_Import!$A$1:$Z$2488,566,'Live Data'!$C$16)),"")</f>
        <v>USAID Jamii Tekelezi</v>
      </c>
      <c r="F566" s="54" t="str">
        <f>IFERROR(IF(INDEX(SPOT_Import!$A$1:$Z$2488,566,'Live Data'!$C$17)="","",INDEX(SPOT_Import!$A$1:$Z$2488,566,'Live Data'!$C$17)),"")</f>
        <v>CRS</v>
      </c>
      <c r="G566" s="54">
        <f>IFERROR(IF(INDEX(SPOT_Import!$A$1:$Z$2488,566,'Live Data'!$C$18)="","",INDEX(SPOT_Import!$A$1:$Z$2488,566,'Live Data'!$C$18)),"")</f>
        <v>684</v>
      </c>
      <c r="H566" s="54">
        <f>IFERROR(IF(INDEX(SPOT_Import!$A$1:$Z$2488,566,'Live Data'!$C$19)="","",INDEX(SPOT_Import!$A$1:$Z$2488,566,'Live Data'!$C$19)),"")</f>
        <v>684</v>
      </c>
      <c r="I566" s="54" t="str">
        <f>IFERROR(IF(INDEX(SPOT_Import!$A$1:$Z$2488,566,'Live Data'!$C$20)="","",INDEX(SPOT_Import!$A$1:$Z$2488,566,'Live Data'!$C$20)),"")</f>
        <v>Complete</v>
      </c>
      <c r="J566" s="54" t="str">
        <f>IFERROR(IF(INDEX(SPOT_Import!$A$1:$Z$2488,566,'Live Data'!$C$21)="","",INDEX(SPOT_Import!$A$1:$Z$2488,566,'Live Data'!$C$21)),"")</f>
        <v>2023-04-06T13:17:38.000Z</v>
      </c>
      <c r="K566" s="54" t="str">
        <f>IFERROR(IF(INDEX(SPOT_Import!$A$1:$Z$2488,566,'Live Data'!$C$22)="","",INDEX(SPOT_Import!$A$1:$Z$2488,566,'Live Data'!$C$22)),"")</f>
        <v>2023-04-06T13:17:38.000Z</v>
      </c>
      <c r="L566" s="55" t="str">
        <f t="shared" si="16"/>
        <v>2023-04</v>
      </c>
      <c r="M566" s="55" t="str">
        <f t="shared" si="17"/>
        <v>EMBU</v>
      </c>
      <c r="N566" s="55" t="str">
        <f>IF(A566="","",IFERROR(INDEX('Cluster Map'!$A$4:$A$38,MATCH(M566,'Cluster Map'!$B$4:$B$38,0)),"Unmapped"))</f>
        <v>Cluster 2</v>
      </c>
      <c r="O566" s="55">
        <f>IF(A566="",0,IF(COUNTIFS($A$2:A566,A566,$F$2:F566,F566,$L$2:L566,L566)=1,1,0))</f>
        <v>1</v>
      </c>
      <c r="P566" s="55">
        <f>IF(A566="",0,IF(AND(F566="C&amp;T",COUNTIFS($A$2:A566,A566,$F$2:F566,"C&amp;T")=1),1,0))</f>
        <v>0</v>
      </c>
    </row>
    <row r="567" spans="1:16" x14ac:dyDescent="0.35">
      <c r="A567" s="54">
        <f>IFERROR(IF(INDEX(SPOT_Import!$A$1:$Z$2488,567,'Live Data'!$C$12)="","",INDEX(SPOT_Import!$A$1:$Z$2488,567,'Live Data'!$C$12)),"")</f>
        <v>11971</v>
      </c>
      <c r="B567" s="54" t="str">
        <f>IFERROR(IF(INDEX(SPOT_Import!$A$1:$Z$2488,567,'Live Data'!$C$13)="","",INDEX(SPOT_Import!$A$1:$Z$2488,567,'Live Data'!$C$13)),"")</f>
        <v>Chugu Dispensary</v>
      </c>
      <c r="C567" s="54" t="str">
        <f>IFERROR(IF(INDEX(SPOT_Import!$A$1:$Z$2488,567,'Live Data'!$C$14)="","",INDEX(SPOT_Import!$A$1:$Z$2488,567,'Live Data'!$C$14)),"")</f>
        <v>MERU</v>
      </c>
      <c r="D567" s="54" t="str">
        <f>IFERROR(IF(INDEX(SPOT_Import!$A$1:$Z$2488,567,'Live Data'!$C$15)="","",INDEX(SPOT_Import!$A$1:$Z$2488,567,'Live Data'!$C$15)),"")</f>
        <v>Imenti North</v>
      </c>
      <c r="E567" s="54" t="str">
        <f>IFERROR(IF(INDEX(SPOT_Import!$A$1:$Z$2488,567,'Live Data'!$C$16)="","",INDEX(SPOT_Import!$A$1:$Z$2488,567,'Live Data'!$C$16)),"")</f>
        <v>USAID Jamii Tekelezi</v>
      </c>
      <c r="F567" s="54" t="str">
        <f>IFERROR(IF(INDEX(SPOT_Import!$A$1:$Z$2488,567,'Live Data'!$C$17)="","",INDEX(SPOT_Import!$A$1:$Z$2488,567,'Live Data'!$C$17)),"")</f>
        <v>CRS</v>
      </c>
      <c r="G567" s="54">
        <f>IFERROR(IF(INDEX(SPOT_Import!$A$1:$Z$2488,567,'Live Data'!$C$18)="","",INDEX(SPOT_Import!$A$1:$Z$2488,567,'Live Data'!$C$18)),"")</f>
        <v>74</v>
      </c>
      <c r="H567" s="54">
        <f>IFERROR(IF(INDEX(SPOT_Import!$A$1:$Z$2488,567,'Live Data'!$C$19)="","",INDEX(SPOT_Import!$A$1:$Z$2488,567,'Live Data'!$C$19)),"")</f>
        <v>74</v>
      </c>
      <c r="I567" s="54" t="str">
        <f>IFERROR(IF(INDEX(SPOT_Import!$A$1:$Z$2488,567,'Live Data'!$C$20)="","",INDEX(SPOT_Import!$A$1:$Z$2488,567,'Live Data'!$C$20)),"")</f>
        <v>Complete</v>
      </c>
      <c r="J567" s="54" t="str">
        <f>IFERROR(IF(INDEX(SPOT_Import!$A$1:$Z$2488,567,'Live Data'!$C$21)="","",INDEX(SPOT_Import!$A$1:$Z$2488,567,'Live Data'!$C$21)),"")</f>
        <v>2023-04-06T13:13:54.000Z</v>
      </c>
      <c r="K567" s="54" t="str">
        <f>IFERROR(IF(INDEX(SPOT_Import!$A$1:$Z$2488,567,'Live Data'!$C$22)="","",INDEX(SPOT_Import!$A$1:$Z$2488,567,'Live Data'!$C$22)),"")</f>
        <v>2023-04-06T13:13:54.000Z</v>
      </c>
      <c r="L567" s="55" t="str">
        <f t="shared" si="16"/>
        <v>2023-04</v>
      </c>
      <c r="M567" s="55" t="str">
        <f t="shared" si="17"/>
        <v>MERU</v>
      </c>
      <c r="N567" s="55" t="str">
        <f>IF(A567="","",IFERROR(INDEX('Cluster Map'!$A$4:$A$38,MATCH(M567,'Cluster Map'!$B$4:$B$38,0)),"Unmapped"))</f>
        <v>Cluster 1</v>
      </c>
      <c r="O567" s="55">
        <f>IF(A567="",0,IF(COUNTIFS($A$2:A567,A567,$F$2:F567,F567,$L$2:L567,L567)=1,1,0))</f>
        <v>1</v>
      </c>
      <c r="P567" s="55">
        <f>IF(A567="",0,IF(AND(F567="C&amp;T",COUNTIFS($A$2:A567,A567,$F$2:F567,"C&amp;T")=1),1,0))</f>
        <v>0</v>
      </c>
    </row>
    <row r="568" spans="1:16" x14ac:dyDescent="0.35">
      <c r="A568" s="54">
        <f>IFERROR(IF(INDEX(SPOT_Import!$A$1:$Z$2488,568,'Live Data'!$C$12)="","",INDEX(SPOT_Import!$A$1:$Z$2488,568,'Live Data'!$C$12)),"")</f>
        <v>16467</v>
      </c>
      <c r="B568" s="54" t="str">
        <f>IFERROR(IF(INDEX(SPOT_Import!$A$1:$Z$2488,568,'Live Data'!$C$13)="","",INDEX(SPOT_Import!$A$1:$Z$2488,568,'Live Data'!$C$13)),"")</f>
        <v>Mbeere District Hospital</v>
      </c>
      <c r="C568" s="54" t="str">
        <f>IFERROR(IF(INDEX(SPOT_Import!$A$1:$Z$2488,568,'Live Data'!$C$14)="","",INDEX(SPOT_Import!$A$1:$Z$2488,568,'Live Data'!$C$14)),"")</f>
        <v>EMBU</v>
      </c>
      <c r="D568" s="54" t="str">
        <f>IFERROR(IF(INDEX(SPOT_Import!$A$1:$Z$2488,568,'Live Data'!$C$15)="","",INDEX(SPOT_Import!$A$1:$Z$2488,568,'Live Data'!$C$15)),"")</f>
        <v>Mbeere North</v>
      </c>
      <c r="E568" s="54" t="str">
        <f>IFERROR(IF(INDEX(SPOT_Import!$A$1:$Z$2488,568,'Live Data'!$C$16)="","",INDEX(SPOT_Import!$A$1:$Z$2488,568,'Live Data'!$C$16)),"")</f>
        <v>USAID Jamii Tekelezi</v>
      </c>
      <c r="F568" s="54" t="str">
        <f>IFERROR(IF(INDEX(SPOT_Import!$A$1:$Z$2488,568,'Live Data'!$C$17)="","",INDEX(SPOT_Import!$A$1:$Z$2488,568,'Live Data'!$C$17)),"")</f>
        <v>CRS</v>
      </c>
      <c r="G568" s="54">
        <f>IFERROR(IF(INDEX(SPOT_Import!$A$1:$Z$2488,568,'Live Data'!$C$18)="","",INDEX(SPOT_Import!$A$1:$Z$2488,568,'Live Data'!$C$18)),"")</f>
        <v>1543</v>
      </c>
      <c r="H568" s="54">
        <f>IFERROR(IF(INDEX(SPOT_Import!$A$1:$Z$2488,568,'Live Data'!$C$19)="","",INDEX(SPOT_Import!$A$1:$Z$2488,568,'Live Data'!$C$19)),"")</f>
        <v>1543</v>
      </c>
      <c r="I568" s="54" t="str">
        <f>IFERROR(IF(INDEX(SPOT_Import!$A$1:$Z$2488,568,'Live Data'!$C$20)="","",INDEX(SPOT_Import!$A$1:$Z$2488,568,'Live Data'!$C$20)),"")</f>
        <v>Complete</v>
      </c>
      <c r="J568" s="54" t="str">
        <f>IFERROR(IF(INDEX(SPOT_Import!$A$1:$Z$2488,568,'Live Data'!$C$21)="","",INDEX(SPOT_Import!$A$1:$Z$2488,568,'Live Data'!$C$21)),"")</f>
        <v>2023-04-06T12:52:06.000Z</v>
      </c>
      <c r="K568" s="54" t="str">
        <f>IFERROR(IF(INDEX(SPOT_Import!$A$1:$Z$2488,568,'Live Data'!$C$22)="","",INDEX(SPOT_Import!$A$1:$Z$2488,568,'Live Data'!$C$22)),"")</f>
        <v>2023-04-06T12:52:06.000Z</v>
      </c>
      <c r="L568" s="55" t="str">
        <f t="shared" si="16"/>
        <v>2023-04</v>
      </c>
      <c r="M568" s="55" t="str">
        <f t="shared" si="17"/>
        <v>EMBU</v>
      </c>
      <c r="N568" s="55" t="str">
        <f>IF(A568="","",IFERROR(INDEX('Cluster Map'!$A$4:$A$38,MATCH(M568,'Cluster Map'!$B$4:$B$38,0)),"Unmapped"))</f>
        <v>Cluster 2</v>
      </c>
      <c r="O568" s="55">
        <f>IF(A568="",0,IF(COUNTIFS($A$2:A568,A568,$F$2:F568,F568,$L$2:L568,L568)=1,1,0))</f>
        <v>1</v>
      </c>
      <c r="P568" s="55">
        <f>IF(A568="",0,IF(AND(F568="C&amp;T",COUNTIFS($A$2:A568,A568,$F$2:F568,"C&amp;T")=1),1,0))</f>
        <v>0</v>
      </c>
    </row>
    <row r="569" spans="1:16" x14ac:dyDescent="0.35">
      <c r="A569" s="54">
        <f>IFERROR(IF(INDEX(SPOT_Import!$A$1:$Z$2488,569,'Live Data'!$C$12)="","",INDEX(SPOT_Import!$A$1:$Z$2488,569,'Live Data'!$C$12)),"")</f>
        <v>16555</v>
      </c>
      <c r="B569" s="54" t="str">
        <f>IFERROR(IF(INDEX(SPOT_Import!$A$1:$Z$2488,569,'Live Data'!$C$13)="","",INDEX(SPOT_Import!$A$1:$Z$2488,569,'Live Data'!$C$13)),"")</f>
        <v>Theere Health Centre</v>
      </c>
      <c r="C569" s="54" t="str">
        <f>IFERROR(IF(INDEX(SPOT_Import!$A$1:$Z$2488,569,'Live Data'!$C$14)="","",INDEX(SPOT_Import!$A$1:$Z$2488,569,'Live Data'!$C$14)),"")</f>
        <v>MERU</v>
      </c>
      <c r="D569" s="54" t="str">
        <f>IFERROR(IF(INDEX(SPOT_Import!$A$1:$Z$2488,569,'Live Data'!$C$15)="","",INDEX(SPOT_Import!$A$1:$Z$2488,569,'Live Data'!$C$15)),"")</f>
        <v>Igembe North</v>
      </c>
      <c r="E569" s="54" t="str">
        <f>IFERROR(IF(INDEX(SPOT_Import!$A$1:$Z$2488,569,'Live Data'!$C$16)="","",INDEX(SPOT_Import!$A$1:$Z$2488,569,'Live Data'!$C$16)),"")</f>
        <v>USAID Jamii Tekelezi</v>
      </c>
      <c r="F569" s="54" t="str">
        <f>IFERROR(IF(INDEX(SPOT_Import!$A$1:$Z$2488,569,'Live Data'!$C$17)="","",INDEX(SPOT_Import!$A$1:$Z$2488,569,'Live Data'!$C$17)),"")</f>
        <v>CRS</v>
      </c>
      <c r="G569" s="54">
        <f>IFERROR(IF(INDEX(SPOT_Import!$A$1:$Z$2488,569,'Live Data'!$C$18)="","",INDEX(SPOT_Import!$A$1:$Z$2488,569,'Live Data'!$C$18)),"")</f>
        <v>258</v>
      </c>
      <c r="H569" s="54">
        <f>IFERROR(IF(INDEX(SPOT_Import!$A$1:$Z$2488,569,'Live Data'!$C$19)="","",INDEX(SPOT_Import!$A$1:$Z$2488,569,'Live Data'!$C$19)),"")</f>
        <v>258</v>
      </c>
      <c r="I569" s="54" t="str">
        <f>IFERROR(IF(INDEX(SPOT_Import!$A$1:$Z$2488,569,'Live Data'!$C$20)="","",INDEX(SPOT_Import!$A$1:$Z$2488,569,'Live Data'!$C$20)),"")</f>
        <v>Complete</v>
      </c>
      <c r="J569" s="54" t="str">
        <f>IFERROR(IF(INDEX(SPOT_Import!$A$1:$Z$2488,569,'Live Data'!$C$21)="","",INDEX(SPOT_Import!$A$1:$Z$2488,569,'Live Data'!$C$21)),"")</f>
        <v>2023-04-06T12:42:02.000Z</v>
      </c>
      <c r="K569" s="54" t="str">
        <f>IFERROR(IF(INDEX(SPOT_Import!$A$1:$Z$2488,569,'Live Data'!$C$22)="","",INDEX(SPOT_Import!$A$1:$Z$2488,569,'Live Data'!$C$22)),"")</f>
        <v>2023-04-06T12:42:02.000Z</v>
      </c>
      <c r="L569" s="55" t="str">
        <f t="shared" si="16"/>
        <v>2023-04</v>
      </c>
      <c r="M569" s="55" t="str">
        <f t="shared" si="17"/>
        <v>MERU</v>
      </c>
      <c r="N569" s="55" t="str">
        <f>IF(A569="","",IFERROR(INDEX('Cluster Map'!$A$4:$A$38,MATCH(M569,'Cluster Map'!$B$4:$B$38,0)),"Unmapped"))</f>
        <v>Cluster 1</v>
      </c>
      <c r="O569" s="55">
        <f>IF(A569="",0,IF(COUNTIFS($A$2:A569,A569,$F$2:F569,F569,$L$2:L569,L569)=1,1,0))</f>
        <v>1</v>
      </c>
      <c r="P569" s="55">
        <f>IF(A569="",0,IF(AND(F569="C&amp;T",COUNTIFS($A$2:A569,A569,$F$2:F569,"C&amp;T")=1),1,0))</f>
        <v>0</v>
      </c>
    </row>
    <row r="570" spans="1:16" x14ac:dyDescent="0.35">
      <c r="A570" s="54">
        <f>IFERROR(IF(INDEX(SPOT_Import!$A$1:$Z$2488,570,'Live Data'!$C$12)="","",INDEX(SPOT_Import!$A$1:$Z$2488,570,'Live Data'!$C$12)),"")</f>
        <v>10171</v>
      </c>
      <c r="B570" s="54" t="str">
        <f>IFERROR(IF(INDEX(SPOT_Import!$A$1:$Z$2488,570,'Live Data'!$C$13)="","",INDEX(SPOT_Import!$A$1:$Z$2488,570,'Live Data'!$C$13)),"")</f>
        <v>Engineer District Hospital</v>
      </c>
      <c r="C570" s="54" t="str">
        <f>IFERROR(IF(INDEX(SPOT_Import!$A$1:$Z$2488,570,'Live Data'!$C$14)="","",INDEX(SPOT_Import!$A$1:$Z$2488,570,'Live Data'!$C$14)),"")</f>
        <v>NYANDARUA</v>
      </c>
      <c r="D570" s="54" t="str">
        <f>IFERROR(IF(INDEX(SPOT_Import!$A$1:$Z$2488,570,'Live Data'!$C$15)="","",INDEX(SPOT_Import!$A$1:$Z$2488,570,'Live Data'!$C$15)),"")</f>
        <v>Kinangop</v>
      </c>
      <c r="E570" s="54" t="str">
        <f>IFERROR(IF(INDEX(SPOT_Import!$A$1:$Z$2488,570,'Live Data'!$C$16)="","",INDEX(SPOT_Import!$A$1:$Z$2488,570,'Live Data'!$C$16)),"")</f>
        <v>USAID Jamii Tekelezi</v>
      </c>
      <c r="F570" s="54" t="str">
        <f>IFERROR(IF(INDEX(SPOT_Import!$A$1:$Z$2488,570,'Live Data'!$C$17)="","",INDEX(SPOT_Import!$A$1:$Z$2488,570,'Live Data'!$C$17)),"")</f>
        <v>CRS</v>
      </c>
      <c r="G570" s="54">
        <f>IFERROR(IF(INDEX(SPOT_Import!$A$1:$Z$2488,570,'Live Data'!$C$18)="","",INDEX(SPOT_Import!$A$1:$Z$2488,570,'Live Data'!$C$18)),"")</f>
        <v>2387</v>
      </c>
      <c r="H570" s="54">
        <f>IFERROR(IF(INDEX(SPOT_Import!$A$1:$Z$2488,570,'Live Data'!$C$19)="","",INDEX(SPOT_Import!$A$1:$Z$2488,570,'Live Data'!$C$19)),"")</f>
        <v>2387</v>
      </c>
      <c r="I570" s="54" t="str">
        <f>IFERROR(IF(INDEX(SPOT_Import!$A$1:$Z$2488,570,'Live Data'!$C$20)="","",INDEX(SPOT_Import!$A$1:$Z$2488,570,'Live Data'!$C$20)),"")</f>
        <v>Complete</v>
      </c>
      <c r="J570" s="54" t="str">
        <f>IFERROR(IF(INDEX(SPOT_Import!$A$1:$Z$2488,570,'Live Data'!$C$21)="","",INDEX(SPOT_Import!$A$1:$Z$2488,570,'Live Data'!$C$21)),"")</f>
        <v>2023-04-06T12:34:35.000Z</v>
      </c>
      <c r="K570" s="54" t="str">
        <f>IFERROR(IF(INDEX(SPOT_Import!$A$1:$Z$2488,570,'Live Data'!$C$22)="","",INDEX(SPOT_Import!$A$1:$Z$2488,570,'Live Data'!$C$22)),"")</f>
        <v>2023-04-06T12:34:35.000Z</v>
      </c>
      <c r="L570" s="55" t="str">
        <f t="shared" si="16"/>
        <v>2023-04</v>
      </c>
      <c r="M570" s="55" t="str">
        <f t="shared" si="17"/>
        <v>NYANDARUA</v>
      </c>
      <c r="N570" s="55" t="str">
        <f>IF(A570="","",IFERROR(INDEX('Cluster Map'!$A$4:$A$38,MATCH(M570,'Cluster Map'!$B$4:$B$38,0)),"Unmapped"))</f>
        <v>Cluster 4</v>
      </c>
      <c r="O570" s="55">
        <f>IF(A570="",0,IF(COUNTIFS($A$2:A570,A570,$F$2:F570,F570,$L$2:L570,L570)=1,1,0))</f>
        <v>1</v>
      </c>
      <c r="P570" s="55">
        <f>IF(A570="",0,IF(AND(F570="C&amp;T",COUNTIFS($A$2:A570,A570,$F$2:F570,"C&amp;T")=1),1,0))</f>
        <v>0</v>
      </c>
    </row>
    <row r="571" spans="1:16" x14ac:dyDescent="0.35">
      <c r="A571" s="54">
        <f>IFERROR(IF(INDEX(SPOT_Import!$A$1:$Z$2488,571,'Live Data'!$C$12)="","",INDEX(SPOT_Import!$A$1:$Z$2488,571,'Live Data'!$C$12)),"")</f>
        <v>12185</v>
      </c>
      <c r="B571" s="54" t="str">
        <f>IFERROR(IF(INDEX(SPOT_Import!$A$1:$Z$2488,571,'Live Data'!$C$13)="","",INDEX(SPOT_Import!$A$1:$Z$2488,571,'Live Data'!$C$13)),"")</f>
        <v>Kanyuambora Dispensary</v>
      </c>
      <c r="C571" s="54" t="str">
        <f>IFERROR(IF(INDEX(SPOT_Import!$A$1:$Z$2488,571,'Live Data'!$C$14)="","",INDEX(SPOT_Import!$A$1:$Z$2488,571,'Live Data'!$C$14)),"")</f>
        <v>EMBU</v>
      </c>
      <c r="D571" s="54" t="str">
        <f>IFERROR(IF(INDEX(SPOT_Import!$A$1:$Z$2488,571,'Live Data'!$C$15)="","",INDEX(SPOT_Import!$A$1:$Z$2488,571,'Live Data'!$C$15)),"")</f>
        <v>Mbeere North</v>
      </c>
      <c r="E571" s="54" t="str">
        <f>IFERROR(IF(INDEX(SPOT_Import!$A$1:$Z$2488,571,'Live Data'!$C$16)="","",INDEX(SPOT_Import!$A$1:$Z$2488,571,'Live Data'!$C$16)),"")</f>
        <v>USAID Jamii Tekelezi</v>
      </c>
      <c r="F571" s="54" t="str">
        <f>IFERROR(IF(INDEX(SPOT_Import!$A$1:$Z$2488,571,'Live Data'!$C$17)="","",INDEX(SPOT_Import!$A$1:$Z$2488,571,'Live Data'!$C$17)),"")</f>
        <v>CRS</v>
      </c>
      <c r="G571" s="54">
        <f>IFERROR(IF(INDEX(SPOT_Import!$A$1:$Z$2488,571,'Live Data'!$C$18)="","",INDEX(SPOT_Import!$A$1:$Z$2488,571,'Live Data'!$C$18)),"")</f>
        <v>47</v>
      </c>
      <c r="H571" s="54" t="str">
        <f>IFERROR(IF(INDEX(SPOT_Import!$A$1:$Z$2488,571,'Live Data'!$C$19)="","",INDEX(SPOT_Import!$A$1:$Z$2488,571,'Live Data'!$C$19)),"")</f>
        <v/>
      </c>
      <c r="I571" s="54" t="str">
        <f>IFERROR(IF(INDEX(SPOT_Import!$A$1:$Z$2488,571,'Live Data'!$C$20)="","",INDEX(SPOT_Import!$A$1:$Z$2488,571,'Live Data'!$C$20)),"")</f>
        <v>Complete</v>
      </c>
      <c r="J571" s="54" t="str">
        <f>IFERROR(IF(INDEX(SPOT_Import!$A$1:$Z$2488,571,'Live Data'!$C$21)="","",INDEX(SPOT_Import!$A$1:$Z$2488,571,'Live Data'!$C$21)),"")</f>
        <v>2023-04-06T11:22:26.000Z</v>
      </c>
      <c r="K571" s="54" t="str">
        <f>IFERROR(IF(INDEX(SPOT_Import!$A$1:$Z$2488,571,'Live Data'!$C$22)="","",INDEX(SPOT_Import!$A$1:$Z$2488,571,'Live Data'!$C$22)),"")</f>
        <v>2023-04-06T11:22:26.000Z</v>
      </c>
      <c r="L571" s="55" t="str">
        <f t="shared" si="16"/>
        <v>2023-04</v>
      </c>
      <c r="M571" s="55" t="str">
        <f t="shared" si="17"/>
        <v>EMBU</v>
      </c>
      <c r="N571" s="55" t="str">
        <f>IF(A571="","",IFERROR(INDEX('Cluster Map'!$A$4:$A$38,MATCH(M571,'Cluster Map'!$B$4:$B$38,0)),"Unmapped"))</f>
        <v>Cluster 2</v>
      </c>
      <c r="O571" s="55">
        <f>IF(A571="",0,IF(COUNTIFS($A$2:A571,A571,$F$2:F571,F571,$L$2:L571,L571)=1,1,0))</f>
        <v>1</v>
      </c>
      <c r="P571" s="55">
        <f>IF(A571="",0,IF(AND(F571="C&amp;T",COUNTIFS($A$2:A571,A571,$F$2:F571,"C&amp;T")=1),1,0))</f>
        <v>0</v>
      </c>
    </row>
    <row r="572" spans="1:16" x14ac:dyDescent="0.35">
      <c r="A572" s="54">
        <f>IFERROR(IF(INDEX(SPOT_Import!$A$1:$Z$2488,572,'Live Data'!$C$12)="","",INDEX(SPOT_Import!$A$1:$Z$2488,572,'Live Data'!$C$12)),"")</f>
        <v>16234</v>
      </c>
      <c r="B572" s="54" t="str">
        <f>IFERROR(IF(INDEX(SPOT_Import!$A$1:$Z$2488,572,'Live Data'!$C$13)="","",INDEX(SPOT_Import!$A$1:$Z$2488,572,'Live Data'!$C$13)),"")</f>
        <v>Miathene District Hospital</v>
      </c>
      <c r="C572" s="54" t="str">
        <f>IFERROR(IF(INDEX(SPOT_Import!$A$1:$Z$2488,572,'Live Data'!$C$14)="","",INDEX(SPOT_Import!$A$1:$Z$2488,572,'Live Data'!$C$14)),"")</f>
        <v>MERU</v>
      </c>
      <c r="D572" s="54" t="str">
        <f>IFERROR(IF(INDEX(SPOT_Import!$A$1:$Z$2488,572,'Live Data'!$C$15)="","",INDEX(SPOT_Import!$A$1:$Z$2488,572,'Live Data'!$C$15)),"")</f>
        <v>Tigania West</v>
      </c>
      <c r="E572" s="54" t="str">
        <f>IFERROR(IF(INDEX(SPOT_Import!$A$1:$Z$2488,572,'Live Data'!$C$16)="","",INDEX(SPOT_Import!$A$1:$Z$2488,572,'Live Data'!$C$16)),"")</f>
        <v>USAID Jamii Tekelezi</v>
      </c>
      <c r="F572" s="54" t="str">
        <f>IFERROR(IF(INDEX(SPOT_Import!$A$1:$Z$2488,572,'Live Data'!$C$17)="","",INDEX(SPOT_Import!$A$1:$Z$2488,572,'Live Data'!$C$17)),"")</f>
        <v>CRS</v>
      </c>
      <c r="G572" s="54">
        <f>IFERROR(IF(INDEX(SPOT_Import!$A$1:$Z$2488,572,'Live Data'!$C$18)="","",INDEX(SPOT_Import!$A$1:$Z$2488,572,'Live Data'!$C$18)),"")</f>
        <v>1916</v>
      </c>
      <c r="H572" s="54">
        <f>IFERROR(IF(INDEX(SPOT_Import!$A$1:$Z$2488,572,'Live Data'!$C$19)="","",INDEX(SPOT_Import!$A$1:$Z$2488,572,'Live Data'!$C$19)),"")</f>
        <v>1916</v>
      </c>
      <c r="I572" s="54" t="str">
        <f>IFERROR(IF(INDEX(SPOT_Import!$A$1:$Z$2488,572,'Live Data'!$C$20)="","",INDEX(SPOT_Import!$A$1:$Z$2488,572,'Live Data'!$C$20)),"")</f>
        <v>Complete</v>
      </c>
      <c r="J572" s="54" t="str">
        <f>IFERROR(IF(INDEX(SPOT_Import!$A$1:$Z$2488,572,'Live Data'!$C$21)="","",INDEX(SPOT_Import!$A$1:$Z$2488,572,'Live Data'!$C$21)),"")</f>
        <v>2023-04-06T11:14:37.000Z</v>
      </c>
      <c r="K572" s="54" t="str">
        <f>IFERROR(IF(INDEX(SPOT_Import!$A$1:$Z$2488,572,'Live Data'!$C$22)="","",INDEX(SPOT_Import!$A$1:$Z$2488,572,'Live Data'!$C$22)),"")</f>
        <v>2023-04-06T11:14:37.000Z</v>
      </c>
      <c r="L572" s="55" t="str">
        <f t="shared" si="16"/>
        <v>2023-04</v>
      </c>
      <c r="M572" s="55" t="str">
        <f t="shared" si="17"/>
        <v>MERU</v>
      </c>
      <c r="N572" s="55" t="str">
        <f>IF(A572="","",IFERROR(INDEX('Cluster Map'!$A$4:$A$38,MATCH(M572,'Cluster Map'!$B$4:$B$38,0)),"Unmapped"))</f>
        <v>Cluster 1</v>
      </c>
      <c r="O572" s="55">
        <f>IF(A572="",0,IF(COUNTIFS($A$2:A572,A572,$F$2:F572,F572,$L$2:L572,L572)=1,1,0))</f>
        <v>1</v>
      </c>
      <c r="P572" s="55">
        <f>IF(A572="",0,IF(AND(F572="C&amp;T",COUNTIFS($A$2:A572,A572,$F$2:F572,"C&amp;T")=1),1,0))</f>
        <v>0</v>
      </c>
    </row>
    <row r="573" spans="1:16" x14ac:dyDescent="0.35">
      <c r="A573" s="54">
        <f>IFERROR(IF(INDEX(SPOT_Import!$A$1:$Z$2488,573,'Live Data'!$C$12)="","",INDEX(SPOT_Import!$A$1:$Z$2488,573,'Live Data'!$C$12)),"")</f>
        <v>12666</v>
      </c>
      <c r="B573" s="54" t="str">
        <f>IFERROR(IF(INDEX(SPOT_Import!$A$1:$Z$2488,573,'Live Data'!$C$13)="","",INDEX(SPOT_Import!$A$1:$Z$2488,573,'Live Data'!$C$13)),"")</f>
        <v>Nkubu Dispensary</v>
      </c>
      <c r="C573" s="54" t="str">
        <f>IFERROR(IF(INDEX(SPOT_Import!$A$1:$Z$2488,573,'Live Data'!$C$14)="","",INDEX(SPOT_Import!$A$1:$Z$2488,573,'Live Data'!$C$14)),"")</f>
        <v>MERU</v>
      </c>
      <c r="D573" s="54" t="str">
        <f>IFERROR(IF(INDEX(SPOT_Import!$A$1:$Z$2488,573,'Live Data'!$C$15)="","",INDEX(SPOT_Import!$A$1:$Z$2488,573,'Live Data'!$C$15)),"")</f>
        <v>Imenti South</v>
      </c>
      <c r="E573" s="54" t="str">
        <f>IFERROR(IF(INDEX(SPOT_Import!$A$1:$Z$2488,573,'Live Data'!$C$16)="","",INDEX(SPOT_Import!$A$1:$Z$2488,573,'Live Data'!$C$16)),"")</f>
        <v>USAID Jamii Tekelezi</v>
      </c>
      <c r="F573" s="54" t="str">
        <f>IFERROR(IF(INDEX(SPOT_Import!$A$1:$Z$2488,573,'Live Data'!$C$17)="","",INDEX(SPOT_Import!$A$1:$Z$2488,573,'Live Data'!$C$17)),"")</f>
        <v>CRS</v>
      </c>
      <c r="G573" s="54">
        <f>IFERROR(IF(INDEX(SPOT_Import!$A$1:$Z$2488,573,'Live Data'!$C$18)="","",INDEX(SPOT_Import!$A$1:$Z$2488,573,'Live Data'!$C$18)),"")</f>
        <v>188</v>
      </c>
      <c r="H573" s="54">
        <f>IFERROR(IF(INDEX(SPOT_Import!$A$1:$Z$2488,573,'Live Data'!$C$19)="","",INDEX(SPOT_Import!$A$1:$Z$2488,573,'Live Data'!$C$19)),"")</f>
        <v>188</v>
      </c>
      <c r="I573" s="54" t="str">
        <f>IFERROR(IF(INDEX(SPOT_Import!$A$1:$Z$2488,573,'Live Data'!$C$20)="","",INDEX(SPOT_Import!$A$1:$Z$2488,573,'Live Data'!$C$20)),"")</f>
        <v>Complete</v>
      </c>
      <c r="J573" s="54" t="str">
        <f>IFERROR(IF(INDEX(SPOT_Import!$A$1:$Z$2488,573,'Live Data'!$C$21)="","",INDEX(SPOT_Import!$A$1:$Z$2488,573,'Live Data'!$C$21)),"")</f>
        <v>2023-04-06T10:14:05.000Z</v>
      </c>
      <c r="K573" s="54" t="str">
        <f>IFERROR(IF(INDEX(SPOT_Import!$A$1:$Z$2488,573,'Live Data'!$C$22)="","",INDEX(SPOT_Import!$A$1:$Z$2488,573,'Live Data'!$C$22)),"")</f>
        <v>2023-04-06T10:14:05.000Z</v>
      </c>
      <c r="L573" s="55" t="str">
        <f t="shared" si="16"/>
        <v>2023-04</v>
      </c>
      <c r="M573" s="55" t="str">
        <f t="shared" si="17"/>
        <v>MERU</v>
      </c>
      <c r="N573" s="55" t="str">
        <f>IF(A573="","",IFERROR(INDEX('Cluster Map'!$A$4:$A$38,MATCH(M573,'Cluster Map'!$B$4:$B$38,0)),"Unmapped"))</f>
        <v>Cluster 1</v>
      </c>
      <c r="O573" s="55">
        <f>IF(A573="",0,IF(COUNTIFS($A$2:A573,A573,$F$2:F573,F573,$L$2:L573,L573)=1,1,0))</f>
        <v>1</v>
      </c>
      <c r="P573" s="55">
        <f>IF(A573="",0,IF(AND(F573="C&amp;T",COUNTIFS($A$2:A573,A573,$F$2:F573,"C&amp;T")=1),1,0))</f>
        <v>0</v>
      </c>
    </row>
    <row r="574" spans="1:16" x14ac:dyDescent="0.35">
      <c r="A574" s="54">
        <f>IFERROR(IF(INDEX(SPOT_Import!$A$1:$Z$2488,574,'Live Data'!$C$12)="","",INDEX(SPOT_Import!$A$1:$Z$2488,574,'Live Data'!$C$12)),"")</f>
        <v>12426</v>
      </c>
      <c r="B574" s="54" t="str">
        <f>IFERROR(IF(INDEX(SPOT_Import!$A$1:$Z$2488,574,'Live Data'!$C$13)="","",INDEX(SPOT_Import!$A$1:$Z$2488,574,'Live Data'!$C$13)),"")</f>
        <v>Lewa Downs Dispensary</v>
      </c>
      <c r="C574" s="54" t="str">
        <f>IFERROR(IF(INDEX(SPOT_Import!$A$1:$Z$2488,574,'Live Data'!$C$14)="","",INDEX(SPOT_Import!$A$1:$Z$2488,574,'Live Data'!$C$14)),"")</f>
        <v>MERU</v>
      </c>
      <c r="D574" s="54" t="str">
        <f>IFERROR(IF(INDEX(SPOT_Import!$A$1:$Z$2488,574,'Live Data'!$C$15)="","",INDEX(SPOT_Import!$A$1:$Z$2488,574,'Live Data'!$C$15)),"")</f>
        <v>Buuri</v>
      </c>
      <c r="E574" s="54" t="str">
        <f>IFERROR(IF(INDEX(SPOT_Import!$A$1:$Z$2488,574,'Live Data'!$C$16)="","",INDEX(SPOT_Import!$A$1:$Z$2488,574,'Live Data'!$C$16)),"")</f>
        <v>USAID Jamii Tekelezi</v>
      </c>
      <c r="F574" s="54" t="str">
        <f>IFERROR(IF(INDEX(SPOT_Import!$A$1:$Z$2488,574,'Live Data'!$C$17)="","",INDEX(SPOT_Import!$A$1:$Z$2488,574,'Live Data'!$C$17)),"")</f>
        <v>CRS</v>
      </c>
      <c r="G574" s="54">
        <f>IFERROR(IF(INDEX(SPOT_Import!$A$1:$Z$2488,574,'Live Data'!$C$18)="","",INDEX(SPOT_Import!$A$1:$Z$2488,574,'Live Data'!$C$18)),"")</f>
        <v>188</v>
      </c>
      <c r="H574" s="54" t="str">
        <f>IFERROR(IF(INDEX(SPOT_Import!$A$1:$Z$2488,574,'Live Data'!$C$19)="","",INDEX(SPOT_Import!$A$1:$Z$2488,574,'Live Data'!$C$19)),"")</f>
        <v/>
      </c>
      <c r="I574" s="54" t="str">
        <f>IFERROR(IF(INDEX(SPOT_Import!$A$1:$Z$2488,574,'Live Data'!$C$20)="","",INDEX(SPOT_Import!$A$1:$Z$2488,574,'Live Data'!$C$20)),"")</f>
        <v>Complete</v>
      </c>
      <c r="J574" s="54" t="str">
        <f>IFERROR(IF(INDEX(SPOT_Import!$A$1:$Z$2488,574,'Live Data'!$C$21)="","",INDEX(SPOT_Import!$A$1:$Z$2488,574,'Live Data'!$C$21)),"")</f>
        <v>2023-04-06T10:03:14.000Z</v>
      </c>
      <c r="K574" s="54" t="str">
        <f>IFERROR(IF(INDEX(SPOT_Import!$A$1:$Z$2488,574,'Live Data'!$C$22)="","",INDEX(SPOT_Import!$A$1:$Z$2488,574,'Live Data'!$C$22)),"")</f>
        <v>2023-04-06T10:03:14.000Z</v>
      </c>
      <c r="L574" s="55" t="str">
        <f t="shared" si="16"/>
        <v>2023-04</v>
      </c>
      <c r="M574" s="55" t="str">
        <f t="shared" si="17"/>
        <v>MERU</v>
      </c>
      <c r="N574" s="55" t="str">
        <f>IF(A574="","",IFERROR(INDEX('Cluster Map'!$A$4:$A$38,MATCH(M574,'Cluster Map'!$B$4:$B$38,0)),"Unmapped"))</f>
        <v>Cluster 1</v>
      </c>
      <c r="O574" s="55">
        <f>IF(A574="",0,IF(COUNTIFS($A$2:A574,A574,$F$2:F574,F574,$L$2:L574,L574)=1,1,0))</f>
        <v>1</v>
      </c>
      <c r="P574" s="55">
        <f>IF(A574="",0,IF(AND(F574="C&amp;T",COUNTIFS($A$2:A574,A574,$F$2:F574,"C&amp;T")=1),1,0))</f>
        <v>0</v>
      </c>
    </row>
    <row r="575" spans="1:16" x14ac:dyDescent="0.35">
      <c r="A575" s="54">
        <f>IFERROR(IF(INDEX(SPOT_Import!$A$1:$Z$2488,575,'Live Data'!$C$12)="","",INDEX(SPOT_Import!$A$1:$Z$2488,575,'Live Data'!$C$12)),"")</f>
        <v>12589</v>
      </c>
      <c r="B575" s="54" t="str">
        <f>IFERROR(IF(INDEX(SPOT_Import!$A$1:$Z$2488,575,'Live Data'!$C$13)="","",INDEX(SPOT_Import!$A$1:$Z$2488,575,'Live Data'!$C$13)),"")</f>
        <v>Muthambi Health Centre</v>
      </c>
      <c r="C575" s="54" t="str">
        <f>IFERROR(IF(INDEX(SPOT_Import!$A$1:$Z$2488,575,'Live Data'!$C$14)="","",INDEX(SPOT_Import!$A$1:$Z$2488,575,'Live Data'!$C$14)),"")</f>
        <v>THARAKA-NITHI</v>
      </c>
      <c r="D575" s="54" t="str">
        <f>IFERROR(IF(INDEX(SPOT_Import!$A$1:$Z$2488,575,'Live Data'!$C$15)="","",INDEX(SPOT_Import!$A$1:$Z$2488,575,'Live Data'!$C$15)),"")</f>
        <v>Muthambi</v>
      </c>
      <c r="E575" s="54" t="str">
        <f>IFERROR(IF(INDEX(SPOT_Import!$A$1:$Z$2488,575,'Live Data'!$C$16)="","",INDEX(SPOT_Import!$A$1:$Z$2488,575,'Live Data'!$C$16)),"")</f>
        <v>USAID Jamii Tekelezi</v>
      </c>
      <c r="F575" s="54" t="str">
        <f>IFERROR(IF(INDEX(SPOT_Import!$A$1:$Z$2488,575,'Live Data'!$C$17)="","",INDEX(SPOT_Import!$A$1:$Z$2488,575,'Live Data'!$C$17)),"")</f>
        <v>CRS</v>
      </c>
      <c r="G575" s="54">
        <f>IFERROR(IF(INDEX(SPOT_Import!$A$1:$Z$2488,575,'Live Data'!$C$18)="","",INDEX(SPOT_Import!$A$1:$Z$2488,575,'Live Data'!$C$18)),"")</f>
        <v>1204</v>
      </c>
      <c r="H575" s="54">
        <f>IFERROR(IF(INDEX(SPOT_Import!$A$1:$Z$2488,575,'Live Data'!$C$19)="","",INDEX(SPOT_Import!$A$1:$Z$2488,575,'Live Data'!$C$19)),"")</f>
        <v>1204</v>
      </c>
      <c r="I575" s="54" t="str">
        <f>IFERROR(IF(INDEX(SPOT_Import!$A$1:$Z$2488,575,'Live Data'!$C$20)="","",INDEX(SPOT_Import!$A$1:$Z$2488,575,'Live Data'!$C$20)),"")</f>
        <v>Complete</v>
      </c>
      <c r="J575" s="54" t="str">
        <f>IFERROR(IF(INDEX(SPOT_Import!$A$1:$Z$2488,575,'Live Data'!$C$21)="","",INDEX(SPOT_Import!$A$1:$Z$2488,575,'Live Data'!$C$21)),"")</f>
        <v>2023-04-06T09:39:18.000Z</v>
      </c>
      <c r="K575" s="54" t="str">
        <f>IFERROR(IF(INDEX(SPOT_Import!$A$1:$Z$2488,575,'Live Data'!$C$22)="","",INDEX(SPOT_Import!$A$1:$Z$2488,575,'Live Data'!$C$22)),"")</f>
        <v>2023-04-06T09:39:18.000Z</v>
      </c>
      <c r="L575" s="55" t="str">
        <f t="shared" si="16"/>
        <v>2023-04</v>
      </c>
      <c r="M575" s="55" t="str">
        <f t="shared" si="17"/>
        <v>THARAKA-NITHI</v>
      </c>
      <c r="N575" s="55" t="str">
        <f>IF(A575="","",IFERROR(INDEX('Cluster Map'!$A$4:$A$38,MATCH(M575,'Cluster Map'!$B$4:$B$38,0)),"Unmapped"))</f>
        <v>Cluster 2</v>
      </c>
      <c r="O575" s="55">
        <f>IF(A575="",0,IF(COUNTIFS($A$2:A575,A575,$F$2:F575,F575,$L$2:L575,L575)=1,1,0))</f>
        <v>1</v>
      </c>
      <c r="P575" s="55">
        <f>IF(A575="",0,IF(AND(F575="C&amp;T",COUNTIFS($A$2:A575,A575,$F$2:F575,"C&amp;T")=1),1,0))</f>
        <v>0</v>
      </c>
    </row>
    <row r="576" spans="1:16" x14ac:dyDescent="0.35">
      <c r="A576" s="54">
        <f>IFERROR(IF(INDEX(SPOT_Import!$A$1:$Z$2488,576,'Live Data'!$C$12)="","",INDEX(SPOT_Import!$A$1:$Z$2488,576,'Live Data'!$C$12)),"")</f>
        <v>12179</v>
      </c>
      <c r="B576" s="54" t="str">
        <f>IFERROR(IF(INDEX(SPOT_Import!$A$1:$Z$2488,576,'Live Data'!$C$13)="","",INDEX(SPOT_Import!$A$1:$Z$2488,576,'Live Data'!$C$13)),"")</f>
        <v>Kanja Health Centre</v>
      </c>
      <c r="C576" s="54" t="str">
        <f>IFERROR(IF(INDEX(SPOT_Import!$A$1:$Z$2488,576,'Live Data'!$C$14)="","",INDEX(SPOT_Import!$A$1:$Z$2488,576,'Live Data'!$C$14)),"")</f>
        <v>EMBU</v>
      </c>
      <c r="D576" s="54" t="str">
        <f>IFERROR(IF(INDEX(SPOT_Import!$A$1:$Z$2488,576,'Live Data'!$C$15)="","",INDEX(SPOT_Import!$A$1:$Z$2488,576,'Live Data'!$C$15)),"")</f>
        <v>Runyenjes</v>
      </c>
      <c r="E576" s="54" t="str">
        <f>IFERROR(IF(INDEX(SPOT_Import!$A$1:$Z$2488,576,'Live Data'!$C$16)="","",INDEX(SPOT_Import!$A$1:$Z$2488,576,'Live Data'!$C$16)),"")</f>
        <v>USAID Jamii Tekelezi</v>
      </c>
      <c r="F576" s="54" t="str">
        <f>IFERROR(IF(INDEX(SPOT_Import!$A$1:$Z$2488,576,'Live Data'!$C$17)="","",INDEX(SPOT_Import!$A$1:$Z$2488,576,'Live Data'!$C$17)),"")</f>
        <v>CRS</v>
      </c>
      <c r="G576" s="54">
        <f>IFERROR(IF(INDEX(SPOT_Import!$A$1:$Z$2488,576,'Live Data'!$C$18)="","",INDEX(SPOT_Import!$A$1:$Z$2488,576,'Live Data'!$C$18)),"")</f>
        <v>204</v>
      </c>
      <c r="H576" s="54">
        <f>IFERROR(IF(INDEX(SPOT_Import!$A$1:$Z$2488,576,'Live Data'!$C$19)="","",INDEX(SPOT_Import!$A$1:$Z$2488,576,'Live Data'!$C$19)),"")</f>
        <v>204</v>
      </c>
      <c r="I576" s="54" t="str">
        <f>IFERROR(IF(INDEX(SPOT_Import!$A$1:$Z$2488,576,'Live Data'!$C$20)="","",INDEX(SPOT_Import!$A$1:$Z$2488,576,'Live Data'!$C$20)),"")</f>
        <v>Complete</v>
      </c>
      <c r="J576" s="54" t="str">
        <f>IFERROR(IF(INDEX(SPOT_Import!$A$1:$Z$2488,576,'Live Data'!$C$21)="","",INDEX(SPOT_Import!$A$1:$Z$2488,576,'Live Data'!$C$21)),"")</f>
        <v>2023-04-06T09:06:44.000Z</v>
      </c>
      <c r="K576" s="54" t="str">
        <f>IFERROR(IF(INDEX(SPOT_Import!$A$1:$Z$2488,576,'Live Data'!$C$22)="","",INDEX(SPOT_Import!$A$1:$Z$2488,576,'Live Data'!$C$22)),"")</f>
        <v>2023-04-06T09:06:44.000Z</v>
      </c>
      <c r="L576" s="55" t="str">
        <f t="shared" si="16"/>
        <v>2023-04</v>
      </c>
      <c r="M576" s="55" t="str">
        <f t="shared" si="17"/>
        <v>EMBU</v>
      </c>
      <c r="N576" s="55" t="str">
        <f>IF(A576="","",IFERROR(INDEX('Cluster Map'!$A$4:$A$38,MATCH(M576,'Cluster Map'!$B$4:$B$38,0)),"Unmapped"))</f>
        <v>Cluster 2</v>
      </c>
      <c r="O576" s="55">
        <f>IF(A576="",0,IF(COUNTIFS($A$2:A576,A576,$F$2:F576,F576,$L$2:L576,L576)=1,1,0))</f>
        <v>1</v>
      </c>
      <c r="P576" s="55">
        <f>IF(A576="",0,IF(AND(F576="C&amp;T",COUNTIFS($A$2:A576,A576,$F$2:F576,"C&amp;T")=1),1,0))</f>
        <v>0</v>
      </c>
    </row>
    <row r="577" spans="1:16" x14ac:dyDescent="0.35">
      <c r="A577" s="54">
        <f>IFERROR(IF(INDEX(SPOT_Import!$A$1:$Z$2488,577,'Live Data'!$C$12)="","",INDEX(SPOT_Import!$A$1:$Z$2488,577,'Live Data'!$C$12)),"")</f>
        <v>12274</v>
      </c>
      <c r="B577" s="54" t="str">
        <f>IFERROR(IF(INDEX(SPOT_Import!$A$1:$Z$2488,577,'Live Data'!$C$13)="","",INDEX(SPOT_Import!$A$1:$Z$2488,577,'Live Data'!$C$13)),"")</f>
        <v>Kiamuringa Dispensary</v>
      </c>
      <c r="C577" s="54" t="str">
        <f>IFERROR(IF(INDEX(SPOT_Import!$A$1:$Z$2488,577,'Live Data'!$C$14)="","",INDEX(SPOT_Import!$A$1:$Z$2488,577,'Live Data'!$C$14)),"")</f>
        <v>EMBU</v>
      </c>
      <c r="D577" s="54" t="str">
        <f>IFERROR(IF(INDEX(SPOT_Import!$A$1:$Z$2488,577,'Live Data'!$C$15)="","",INDEX(SPOT_Import!$A$1:$Z$2488,577,'Live Data'!$C$15)),"")</f>
        <v>Mbeere South</v>
      </c>
      <c r="E577" s="54" t="str">
        <f>IFERROR(IF(INDEX(SPOT_Import!$A$1:$Z$2488,577,'Live Data'!$C$16)="","",INDEX(SPOT_Import!$A$1:$Z$2488,577,'Live Data'!$C$16)),"")</f>
        <v>USAID Jamii Tekelezi</v>
      </c>
      <c r="F577" s="54" t="str">
        <f>IFERROR(IF(INDEX(SPOT_Import!$A$1:$Z$2488,577,'Live Data'!$C$17)="","",INDEX(SPOT_Import!$A$1:$Z$2488,577,'Live Data'!$C$17)),"")</f>
        <v>CRS</v>
      </c>
      <c r="G577" s="54">
        <f>IFERROR(IF(INDEX(SPOT_Import!$A$1:$Z$2488,577,'Live Data'!$C$18)="","",INDEX(SPOT_Import!$A$1:$Z$2488,577,'Live Data'!$C$18)),"")</f>
        <v>109</v>
      </c>
      <c r="H577" s="54" t="str">
        <f>IFERROR(IF(INDEX(SPOT_Import!$A$1:$Z$2488,577,'Live Data'!$C$19)="","",INDEX(SPOT_Import!$A$1:$Z$2488,577,'Live Data'!$C$19)),"")</f>
        <v/>
      </c>
      <c r="I577" s="54" t="str">
        <f>IFERROR(IF(INDEX(SPOT_Import!$A$1:$Z$2488,577,'Live Data'!$C$20)="","",INDEX(SPOT_Import!$A$1:$Z$2488,577,'Live Data'!$C$20)),"")</f>
        <v>Complete</v>
      </c>
      <c r="J577" s="54" t="str">
        <f>IFERROR(IF(INDEX(SPOT_Import!$A$1:$Z$2488,577,'Live Data'!$C$21)="","",INDEX(SPOT_Import!$A$1:$Z$2488,577,'Live Data'!$C$21)),"")</f>
        <v>2023-04-06T08:32:18.000Z</v>
      </c>
      <c r="K577" s="54" t="str">
        <f>IFERROR(IF(INDEX(SPOT_Import!$A$1:$Z$2488,577,'Live Data'!$C$22)="","",INDEX(SPOT_Import!$A$1:$Z$2488,577,'Live Data'!$C$22)),"")</f>
        <v>2023-04-06T08:32:18.000Z</v>
      </c>
      <c r="L577" s="55" t="str">
        <f t="shared" si="16"/>
        <v>2023-04</v>
      </c>
      <c r="M577" s="55" t="str">
        <f t="shared" si="17"/>
        <v>EMBU</v>
      </c>
      <c r="N577" s="55" t="str">
        <f>IF(A577="","",IFERROR(INDEX('Cluster Map'!$A$4:$A$38,MATCH(M577,'Cluster Map'!$B$4:$B$38,0)),"Unmapped"))</f>
        <v>Cluster 2</v>
      </c>
      <c r="O577" s="55">
        <f>IF(A577="",0,IF(COUNTIFS($A$2:A577,A577,$F$2:F577,F577,$L$2:L577,L577)=1,1,0))</f>
        <v>1</v>
      </c>
      <c r="P577" s="55">
        <f>IF(A577="",0,IF(AND(F577="C&amp;T",COUNTIFS($A$2:A577,A577,$F$2:F577,"C&amp;T")=1),1,0))</f>
        <v>0</v>
      </c>
    </row>
    <row r="578" spans="1:16" x14ac:dyDescent="0.35">
      <c r="A578" s="54">
        <f>IFERROR(IF(INDEX(SPOT_Import!$A$1:$Z$2488,578,'Live Data'!$C$12)="","",INDEX(SPOT_Import!$A$1:$Z$2488,578,'Live Data'!$C$12)),"")</f>
        <v>11942</v>
      </c>
      <c r="B578" s="54" t="str">
        <f>IFERROR(IF(INDEX(SPOT_Import!$A$1:$Z$2488,578,'Live Data'!$C$13)="","",INDEX(SPOT_Import!$A$1:$Z$2488,578,'Live Data'!$C$13)),"")</f>
        <v>Baragu Health Centre</v>
      </c>
      <c r="C578" s="54" t="str">
        <f>IFERROR(IF(INDEX(SPOT_Import!$A$1:$Z$2488,578,'Live Data'!$C$14)="","",INDEX(SPOT_Import!$A$1:$Z$2488,578,'Live Data'!$C$14)),"")</f>
        <v>THARAKA-NITHI</v>
      </c>
      <c r="D578" s="54" t="str">
        <f>IFERROR(IF(INDEX(SPOT_Import!$A$1:$Z$2488,578,'Live Data'!$C$15)="","",INDEX(SPOT_Import!$A$1:$Z$2488,578,'Live Data'!$C$15)),"")</f>
        <v>Mwimbi</v>
      </c>
      <c r="E578" s="54" t="str">
        <f>IFERROR(IF(INDEX(SPOT_Import!$A$1:$Z$2488,578,'Live Data'!$C$16)="","",INDEX(SPOT_Import!$A$1:$Z$2488,578,'Live Data'!$C$16)),"")</f>
        <v>USAID Jamii Tekelezi</v>
      </c>
      <c r="F578" s="54" t="str">
        <f>IFERROR(IF(INDEX(SPOT_Import!$A$1:$Z$2488,578,'Live Data'!$C$17)="","",INDEX(SPOT_Import!$A$1:$Z$2488,578,'Live Data'!$C$17)),"")</f>
        <v>CRS</v>
      </c>
      <c r="G578" s="54">
        <f>IFERROR(IF(INDEX(SPOT_Import!$A$1:$Z$2488,578,'Live Data'!$C$18)="","",INDEX(SPOT_Import!$A$1:$Z$2488,578,'Live Data'!$C$18)),"")</f>
        <v>156</v>
      </c>
      <c r="H578" s="54">
        <f>IFERROR(IF(INDEX(SPOT_Import!$A$1:$Z$2488,578,'Live Data'!$C$19)="","",INDEX(SPOT_Import!$A$1:$Z$2488,578,'Live Data'!$C$19)),"")</f>
        <v>156</v>
      </c>
      <c r="I578" s="54" t="str">
        <f>IFERROR(IF(INDEX(SPOT_Import!$A$1:$Z$2488,578,'Live Data'!$C$20)="","",INDEX(SPOT_Import!$A$1:$Z$2488,578,'Live Data'!$C$20)),"")</f>
        <v>Complete</v>
      </c>
      <c r="J578" s="54" t="str">
        <f>IFERROR(IF(INDEX(SPOT_Import!$A$1:$Z$2488,578,'Live Data'!$C$21)="","",INDEX(SPOT_Import!$A$1:$Z$2488,578,'Live Data'!$C$21)),"")</f>
        <v>2023-04-06T05:33:26.000Z</v>
      </c>
      <c r="K578" s="54" t="str">
        <f>IFERROR(IF(INDEX(SPOT_Import!$A$1:$Z$2488,578,'Live Data'!$C$22)="","",INDEX(SPOT_Import!$A$1:$Z$2488,578,'Live Data'!$C$22)),"")</f>
        <v>2023-04-06T05:33:26.000Z</v>
      </c>
      <c r="L578" s="55" t="str">
        <f t="shared" ref="L578:L641" si="18">IF(A578="","",IF(ISNUMBER(K578),TEXT(K578,"yyyy-mm"),LEFT(K578,7)))</f>
        <v>2023-04</v>
      </c>
      <c r="M578" s="55" t="str">
        <f t="shared" ref="M578:M641" si="19">IF(A578="","",UPPER(TRIM(SUBSTITUTE(C578," - ","-"))))</f>
        <v>THARAKA-NITHI</v>
      </c>
      <c r="N578" s="55" t="str">
        <f>IF(A578="","",IFERROR(INDEX('Cluster Map'!$A$4:$A$38,MATCH(M578,'Cluster Map'!$B$4:$B$38,0)),"Unmapped"))</f>
        <v>Cluster 2</v>
      </c>
      <c r="O578" s="55">
        <f>IF(A578="",0,IF(COUNTIFS($A$2:A578,A578,$F$2:F578,F578,$L$2:L578,L578)=1,1,0))</f>
        <v>1</v>
      </c>
      <c r="P578" s="55">
        <f>IF(A578="",0,IF(AND(F578="C&amp;T",COUNTIFS($A$2:A578,A578,$F$2:F578,"C&amp;T")=1),1,0))</f>
        <v>0</v>
      </c>
    </row>
    <row r="579" spans="1:16" x14ac:dyDescent="0.35">
      <c r="A579" s="54">
        <f>IFERROR(IF(INDEX(SPOT_Import!$A$1:$Z$2488,579,'Live Data'!$C$12)="","",INDEX(SPOT_Import!$A$1:$Z$2488,579,'Live Data'!$C$12)),"")</f>
        <v>12526</v>
      </c>
      <c r="B579" s="54" t="str">
        <f>IFERROR(IF(INDEX(SPOT_Import!$A$1:$Z$2488,579,'Live Data'!$C$13)="","",INDEX(SPOT_Import!$A$1:$Z$2488,579,'Live Data'!$C$13)),"")</f>
        <v>Mikumbune Sub-District Hospital</v>
      </c>
      <c r="C579" s="54" t="str">
        <f>IFERROR(IF(INDEX(SPOT_Import!$A$1:$Z$2488,579,'Live Data'!$C$14)="","",INDEX(SPOT_Import!$A$1:$Z$2488,579,'Live Data'!$C$14)),"")</f>
        <v>MERU</v>
      </c>
      <c r="D579" s="54" t="str">
        <f>IFERROR(IF(INDEX(SPOT_Import!$A$1:$Z$2488,579,'Live Data'!$C$15)="","",INDEX(SPOT_Import!$A$1:$Z$2488,579,'Live Data'!$C$15)),"")</f>
        <v>Imenti South</v>
      </c>
      <c r="E579" s="54" t="str">
        <f>IFERROR(IF(INDEX(SPOT_Import!$A$1:$Z$2488,579,'Live Data'!$C$16)="","",INDEX(SPOT_Import!$A$1:$Z$2488,579,'Live Data'!$C$16)),"")</f>
        <v>USAID Jamii Tekelezi</v>
      </c>
      <c r="F579" s="54" t="str">
        <f>IFERROR(IF(INDEX(SPOT_Import!$A$1:$Z$2488,579,'Live Data'!$C$17)="","",INDEX(SPOT_Import!$A$1:$Z$2488,579,'Live Data'!$C$17)),"")</f>
        <v>CRS</v>
      </c>
      <c r="G579" s="54">
        <f>IFERROR(IF(INDEX(SPOT_Import!$A$1:$Z$2488,579,'Live Data'!$C$18)="","",INDEX(SPOT_Import!$A$1:$Z$2488,579,'Live Data'!$C$18)),"")</f>
        <v>813</v>
      </c>
      <c r="H579" s="54">
        <f>IFERROR(IF(INDEX(SPOT_Import!$A$1:$Z$2488,579,'Live Data'!$C$19)="","",INDEX(SPOT_Import!$A$1:$Z$2488,579,'Live Data'!$C$19)),"")</f>
        <v>1623</v>
      </c>
      <c r="I579" s="54" t="str">
        <f>IFERROR(IF(INDEX(SPOT_Import!$A$1:$Z$2488,579,'Live Data'!$C$20)="","",INDEX(SPOT_Import!$A$1:$Z$2488,579,'Live Data'!$C$20)),"")</f>
        <v>Complete</v>
      </c>
      <c r="J579" s="54" t="str">
        <f>IFERROR(IF(INDEX(SPOT_Import!$A$1:$Z$2488,579,'Live Data'!$C$21)="","",INDEX(SPOT_Import!$A$1:$Z$2488,579,'Live Data'!$C$21)),"")</f>
        <v>2023-04-05T14:45:09.000Z</v>
      </c>
      <c r="K579" s="54" t="str">
        <f>IFERROR(IF(INDEX(SPOT_Import!$A$1:$Z$2488,579,'Live Data'!$C$22)="","",INDEX(SPOT_Import!$A$1:$Z$2488,579,'Live Data'!$C$22)),"")</f>
        <v>2023-04-05T14:45:09.000Z</v>
      </c>
      <c r="L579" s="55" t="str">
        <f t="shared" si="18"/>
        <v>2023-04</v>
      </c>
      <c r="M579" s="55" t="str">
        <f t="shared" si="19"/>
        <v>MERU</v>
      </c>
      <c r="N579" s="55" t="str">
        <f>IF(A579="","",IFERROR(INDEX('Cluster Map'!$A$4:$A$38,MATCH(M579,'Cluster Map'!$B$4:$B$38,0)),"Unmapped"))</f>
        <v>Cluster 1</v>
      </c>
      <c r="O579" s="55">
        <f>IF(A579="",0,IF(COUNTIFS($A$2:A579,A579,$F$2:F579,F579,$L$2:L579,L579)=1,1,0))</f>
        <v>1</v>
      </c>
      <c r="P579" s="55">
        <f>IF(A579="",0,IF(AND(F579="C&amp;T",COUNTIFS($A$2:A579,A579,$F$2:F579,"C&amp;T")=1),1,0))</f>
        <v>0</v>
      </c>
    </row>
    <row r="580" spans="1:16" x14ac:dyDescent="0.35">
      <c r="A580" s="54">
        <f>IFERROR(IF(INDEX(SPOT_Import!$A$1:$Z$2488,580,'Live Data'!$C$12)="","",INDEX(SPOT_Import!$A$1:$Z$2488,580,'Live Data'!$C$12)),"")</f>
        <v>12802</v>
      </c>
      <c r="B580" s="54" t="str">
        <f>IFERROR(IF(INDEX(SPOT_Import!$A$1:$Z$2488,580,'Live Data'!$C$13)="","",INDEX(SPOT_Import!$A$1:$Z$2488,580,'Live Data'!$C$13)),"")</f>
        <v>Timau Sub-County Hospital</v>
      </c>
      <c r="C580" s="54" t="str">
        <f>IFERROR(IF(INDEX(SPOT_Import!$A$1:$Z$2488,580,'Live Data'!$C$14)="","",INDEX(SPOT_Import!$A$1:$Z$2488,580,'Live Data'!$C$14)),"")</f>
        <v>MERU</v>
      </c>
      <c r="D580" s="54" t="str">
        <f>IFERROR(IF(INDEX(SPOT_Import!$A$1:$Z$2488,580,'Live Data'!$C$15)="","",INDEX(SPOT_Import!$A$1:$Z$2488,580,'Live Data'!$C$15)),"")</f>
        <v>Buuri</v>
      </c>
      <c r="E580" s="54" t="str">
        <f>IFERROR(IF(INDEX(SPOT_Import!$A$1:$Z$2488,580,'Live Data'!$C$16)="","",INDEX(SPOT_Import!$A$1:$Z$2488,580,'Live Data'!$C$16)),"")</f>
        <v>USAID Jamii Tekelezi</v>
      </c>
      <c r="F580" s="54" t="str">
        <f>IFERROR(IF(INDEX(SPOT_Import!$A$1:$Z$2488,580,'Live Data'!$C$17)="","",INDEX(SPOT_Import!$A$1:$Z$2488,580,'Live Data'!$C$17)),"")</f>
        <v>CRS</v>
      </c>
      <c r="G580" s="54">
        <f>IFERROR(IF(INDEX(SPOT_Import!$A$1:$Z$2488,580,'Live Data'!$C$18)="","",INDEX(SPOT_Import!$A$1:$Z$2488,580,'Live Data'!$C$18)),"")</f>
        <v>1191</v>
      </c>
      <c r="H580" s="54">
        <f>IFERROR(IF(INDEX(SPOT_Import!$A$1:$Z$2488,580,'Live Data'!$C$19)="","",INDEX(SPOT_Import!$A$1:$Z$2488,580,'Live Data'!$C$19)),"")</f>
        <v>1191</v>
      </c>
      <c r="I580" s="54" t="str">
        <f>IFERROR(IF(INDEX(SPOT_Import!$A$1:$Z$2488,580,'Live Data'!$C$20)="","",INDEX(SPOT_Import!$A$1:$Z$2488,580,'Live Data'!$C$20)),"")</f>
        <v>Complete</v>
      </c>
      <c r="J580" s="54" t="str">
        <f>IFERROR(IF(INDEX(SPOT_Import!$A$1:$Z$2488,580,'Live Data'!$C$21)="","",INDEX(SPOT_Import!$A$1:$Z$2488,580,'Live Data'!$C$21)),"")</f>
        <v>2023-04-05T14:28:03.000Z</v>
      </c>
      <c r="K580" s="54" t="str">
        <f>IFERROR(IF(INDEX(SPOT_Import!$A$1:$Z$2488,580,'Live Data'!$C$22)="","",INDEX(SPOT_Import!$A$1:$Z$2488,580,'Live Data'!$C$22)),"")</f>
        <v>2023-04-05T14:28:03.000Z</v>
      </c>
      <c r="L580" s="55" t="str">
        <f t="shared" si="18"/>
        <v>2023-04</v>
      </c>
      <c r="M580" s="55" t="str">
        <f t="shared" si="19"/>
        <v>MERU</v>
      </c>
      <c r="N580" s="55" t="str">
        <f>IF(A580="","",IFERROR(INDEX('Cluster Map'!$A$4:$A$38,MATCH(M580,'Cluster Map'!$B$4:$B$38,0)),"Unmapped"))</f>
        <v>Cluster 1</v>
      </c>
      <c r="O580" s="55">
        <f>IF(A580="",0,IF(COUNTIFS($A$2:A580,A580,$F$2:F580,F580,$L$2:L580,L580)=1,1,0))</f>
        <v>1</v>
      </c>
      <c r="P580" s="55">
        <f>IF(A580="",0,IF(AND(F580="C&amp;T",COUNTIFS($A$2:A580,A580,$F$2:F580,"C&amp;T")=1),1,0))</f>
        <v>0</v>
      </c>
    </row>
    <row r="581" spans="1:16" x14ac:dyDescent="0.35">
      <c r="A581" s="54">
        <f>IFERROR(IF(INDEX(SPOT_Import!$A$1:$Z$2488,581,'Live Data'!$C$12)="","",INDEX(SPOT_Import!$A$1:$Z$2488,581,'Live Data'!$C$12)),"")</f>
        <v>12071</v>
      </c>
      <c r="B581" s="54" t="str">
        <f>IFERROR(IF(INDEX(SPOT_Import!$A$1:$Z$2488,581,'Live Data'!$C$13)="","",INDEX(SPOT_Import!$A$1:$Z$2488,581,'Live Data'!$C$13)),"")</f>
        <v>Igoki Dispensary</v>
      </c>
      <c r="C581" s="54" t="str">
        <f>IFERROR(IF(INDEX(SPOT_Import!$A$1:$Z$2488,581,'Live Data'!$C$14)="","",INDEX(SPOT_Import!$A$1:$Z$2488,581,'Live Data'!$C$14)),"")</f>
        <v>MERU</v>
      </c>
      <c r="D581" s="54" t="str">
        <f>IFERROR(IF(INDEX(SPOT_Import!$A$1:$Z$2488,581,'Live Data'!$C$15)="","",INDEX(SPOT_Import!$A$1:$Z$2488,581,'Live Data'!$C$15)),"")</f>
        <v>Imenti North</v>
      </c>
      <c r="E581" s="54" t="str">
        <f>IFERROR(IF(INDEX(SPOT_Import!$A$1:$Z$2488,581,'Live Data'!$C$16)="","",INDEX(SPOT_Import!$A$1:$Z$2488,581,'Live Data'!$C$16)),"")</f>
        <v>USAID Jamii Tekelezi</v>
      </c>
      <c r="F581" s="54" t="str">
        <f>IFERROR(IF(INDEX(SPOT_Import!$A$1:$Z$2488,581,'Live Data'!$C$17)="","",INDEX(SPOT_Import!$A$1:$Z$2488,581,'Live Data'!$C$17)),"")</f>
        <v>CRS</v>
      </c>
      <c r="G581" s="54">
        <f>IFERROR(IF(INDEX(SPOT_Import!$A$1:$Z$2488,581,'Live Data'!$C$18)="","",INDEX(SPOT_Import!$A$1:$Z$2488,581,'Live Data'!$C$18)),"")</f>
        <v>135</v>
      </c>
      <c r="H581" s="54">
        <f>IFERROR(IF(INDEX(SPOT_Import!$A$1:$Z$2488,581,'Live Data'!$C$19)="","",INDEX(SPOT_Import!$A$1:$Z$2488,581,'Live Data'!$C$19)),"")</f>
        <v>135</v>
      </c>
      <c r="I581" s="54" t="str">
        <f>IFERROR(IF(INDEX(SPOT_Import!$A$1:$Z$2488,581,'Live Data'!$C$20)="","",INDEX(SPOT_Import!$A$1:$Z$2488,581,'Live Data'!$C$20)),"")</f>
        <v>Complete</v>
      </c>
      <c r="J581" s="54" t="str">
        <f>IFERROR(IF(INDEX(SPOT_Import!$A$1:$Z$2488,581,'Live Data'!$C$21)="","",INDEX(SPOT_Import!$A$1:$Z$2488,581,'Live Data'!$C$21)),"")</f>
        <v>2023-04-05T14:08:21.000Z</v>
      </c>
      <c r="K581" s="54" t="str">
        <f>IFERROR(IF(INDEX(SPOT_Import!$A$1:$Z$2488,581,'Live Data'!$C$22)="","",INDEX(SPOT_Import!$A$1:$Z$2488,581,'Live Data'!$C$22)),"")</f>
        <v>2023-04-05T14:08:21.000Z</v>
      </c>
      <c r="L581" s="55" t="str">
        <f t="shared" si="18"/>
        <v>2023-04</v>
      </c>
      <c r="M581" s="55" t="str">
        <f t="shared" si="19"/>
        <v>MERU</v>
      </c>
      <c r="N581" s="55" t="str">
        <f>IF(A581="","",IFERROR(INDEX('Cluster Map'!$A$4:$A$38,MATCH(M581,'Cluster Map'!$B$4:$B$38,0)),"Unmapped"))</f>
        <v>Cluster 1</v>
      </c>
      <c r="O581" s="55">
        <f>IF(A581="",0,IF(COUNTIFS($A$2:A581,A581,$F$2:F581,F581,$L$2:L581,L581)=1,1,0))</f>
        <v>1</v>
      </c>
      <c r="P581" s="55">
        <f>IF(A581="",0,IF(AND(F581="C&amp;T",COUNTIFS($A$2:A581,A581,$F$2:F581,"C&amp;T")=1),1,0))</f>
        <v>0</v>
      </c>
    </row>
    <row r="582" spans="1:16" x14ac:dyDescent="0.35">
      <c r="A582" s="54">
        <f>IFERROR(IF(INDEX(SPOT_Import!$A$1:$Z$2488,582,'Live Data'!$C$12)="","",INDEX(SPOT_Import!$A$1:$Z$2488,582,'Live Data'!$C$12)),"")</f>
        <v>12500</v>
      </c>
      <c r="B582" s="54" t="str">
        <f>IFERROR(IF(INDEX(SPOT_Import!$A$1:$Z$2488,582,'Live Data'!$C$13)="","",INDEX(SPOT_Import!$A$1:$Z$2488,582,'Live Data'!$C$13)),"")</f>
        <v>Mbeu Sub-District Hospital</v>
      </c>
      <c r="C582" s="54" t="str">
        <f>IFERROR(IF(INDEX(SPOT_Import!$A$1:$Z$2488,582,'Live Data'!$C$14)="","",INDEX(SPOT_Import!$A$1:$Z$2488,582,'Live Data'!$C$14)),"")</f>
        <v>MERU</v>
      </c>
      <c r="D582" s="54" t="str">
        <f>IFERROR(IF(INDEX(SPOT_Import!$A$1:$Z$2488,582,'Live Data'!$C$15)="","",INDEX(SPOT_Import!$A$1:$Z$2488,582,'Live Data'!$C$15)),"")</f>
        <v>Tigania West</v>
      </c>
      <c r="E582" s="54" t="str">
        <f>IFERROR(IF(INDEX(SPOT_Import!$A$1:$Z$2488,582,'Live Data'!$C$16)="","",INDEX(SPOT_Import!$A$1:$Z$2488,582,'Live Data'!$C$16)),"")</f>
        <v>USAID Jamii Tekelezi</v>
      </c>
      <c r="F582" s="54" t="str">
        <f>IFERROR(IF(INDEX(SPOT_Import!$A$1:$Z$2488,582,'Live Data'!$C$17)="","",INDEX(SPOT_Import!$A$1:$Z$2488,582,'Live Data'!$C$17)),"")</f>
        <v>CRS</v>
      </c>
      <c r="G582" s="54">
        <f>IFERROR(IF(INDEX(SPOT_Import!$A$1:$Z$2488,582,'Live Data'!$C$18)="","",INDEX(SPOT_Import!$A$1:$Z$2488,582,'Live Data'!$C$18)),"")</f>
        <v>214</v>
      </c>
      <c r="H582" s="54" t="str">
        <f>IFERROR(IF(INDEX(SPOT_Import!$A$1:$Z$2488,582,'Live Data'!$C$19)="","",INDEX(SPOT_Import!$A$1:$Z$2488,582,'Live Data'!$C$19)),"")</f>
        <v/>
      </c>
      <c r="I582" s="54" t="str">
        <f>IFERROR(IF(INDEX(SPOT_Import!$A$1:$Z$2488,582,'Live Data'!$C$20)="","",INDEX(SPOT_Import!$A$1:$Z$2488,582,'Live Data'!$C$20)),"")</f>
        <v>Complete</v>
      </c>
      <c r="J582" s="54" t="str">
        <f>IFERROR(IF(INDEX(SPOT_Import!$A$1:$Z$2488,582,'Live Data'!$C$21)="","",INDEX(SPOT_Import!$A$1:$Z$2488,582,'Live Data'!$C$21)),"")</f>
        <v>2023-04-05T12:18:41.000Z</v>
      </c>
      <c r="K582" s="54" t="str">
        <f>IFERROR(IF(INDEX(SPOT_Import!$A$1:$Z$2488,582,'Live Data'!$C$22)="","",INDEX(SPOT_Import!$A$1:$Z$2488,582,'Live Data'!$C$22)),"")</f>
        <v>2023-04-05T12:18:41.000Z</v>
      </c>
      <c r="L582" s="55" t="str">
        <f t="shared" si="18"/>
        <v>2023-04</v>
      </c>
      <c r="M582" s="55" t="str">
        <f t="shared" si="19"/>
        <v>MERU</v>
      </c>
      <c r="N582" s="55" t="str">
        <f>IF(A582="","",IFERROR(INDEX('Cluster Map'!$A$4:$A$38,MATCH(M582,'Cluster Map'!$B$4:$B$38,0)),"Unmapped"))</f>
        <v>Cluster 1</v>
      </c>
      <c r="O582" s="55">
        <f>IF(A582="",0,IF(COUNTIFS($A$2:A582,A582,$F$2:F582,F582,$L$2:L582,L582)=1,1,0))</f>
        <v>1</v>
      </c>
      <c r="P582" s="55">
        <f>IF(A582="",0,IF(AND(F582="C&amp;T",COUNTIFS($A$2:A582,A582,$F$2:F582,"C&amp;T")=1),1,0))</f>
        <v>0</v>
      </c>
    </row>
    <row r="583" spans="1:16" x14ac:dyDescent="0.35">
      <c r="A583" s="54">
        <f>IFERROR(IF(INDEX(SPOT_Import!$A$1:$Z$2488,583,'Live Data'!$C$12)="","",INDEX(SPOT_Import!$A$1:$Z$2488,583,'Live Data'!$C$12)),"")</f>
        <v>12445</v>
      </c>
      <c r="B583" s="54" t="str">
        <f>IFERROR(IF(INDEX(SPOT_Import!$A$1:$Z$2488,583,'Live Data'!$C$13)="","",INDEX(SPOT_Import!$A$1:$Z$2488,583,'Live Data'!$C$13)),"")</f>
        <v>Magutuni District Hospital</v>
      </c>
      <c r="C583" s="54" t="str">
        <f>IFERROR(IF(INDEX(SPOT_Import!$A$1:$Z$2488,583,'Live Data'!$C$14)="","",INDEX(SPOT_Import!$A$1:$Z$2488,583,'Live Data'!$C$14)),"")</f>
        <v>THARAKA-NITHI</v>
      </c>
      <c r="D583" s="54" t="str">
        <f>IFERROR(IF(INDEX(SPOT_Import!$A$1:$Z$2488,583,'Live Data'!$C$15)="","",INDEX(SPOT_Import!$A$1:$Z$2488,583,'Live Data'!$C$15)),"")</f>
        <v>Mwimbi</v>
      </c>
      <c r="E583" s="54" t="str">
        <f>IFERROR(IF(INDEX(SPOT_Import!$A$1:$Z$2488,583,'Live Data'!$C$16)="","",INDEX(SPOT_Import!$A$1:$Z$2488,583,'Live Data'!$C$16)),"")</f>
        <v>USAID Jamii Tekelezi</v>
      </c>
      <c r="F583" s="54" t="str">
        <f>IFERROR(IF(INDEX(SPOT_Import!$A$1:$Z$2488,583,'Live Data'!$C$17)="","",INDEX(SPOT_Import!$A$1:$Z$2488,583,'Live Data'!$C$17)),"")</f>
        <v>CRS</v>
      </c>
      <c r="G583" s="54">
        <f>IFERROR(IF(INDEX(SPOT_Import!$A$1:$Z$2488,583,'Live Data'!$C$18)="","",INDEX(SPOT_Import!$A$1:$Z$2488,583,'Live Data'!$C$18)),"")</f>
        <v>785</v>
      </c>
      <c r="H583" s="54">
        <f>IFERROR(IF(INDEX(SPOT_Import!$A$1:$Z$2488,583,'Live Data'!$C$19)="","",INDEX(SPOT_Import!$A$1:$Z$2488,583,'Live Data'!$C$19)),"")</f>
        <v>785</v>
      </c>
      <c r="I583" s="54" t="str">
        <f>IFERROR(IF(INDEX(SPOT_Import!$A$1:$Z$2488,583,'Live Data'!$C$20)="","",INDEX(SPOT_Import!$A$1:$Z$2488,583,'Live Data'!$C$20)),"")</f>
        <v>Complete</v>
      </c>
      <c r="J583" s="54" t="str">
        <f>IFERROR(IF(INDEX(SPOT_Import!$A$1:$Z$2488,583,'Live Data'!$C$21)="","",INDEX(SPOT_Import!$A$1:$Z$2488,583,'Live Data'!$C$21)),"")</f>
        <v>2023-04-05T11:51:18.000Z</v>
      </c>
      <c r="K583" s="54" t="str">
        <f>IFERROR(IF(INDEX(SPOT_Import!$A$1:$Z$2488,583,'Live Data'!$C$22)="","",INDEX(SPOT_Import!$A$1:$Z$2488,583,'Live Data'!$C$22)),"")</f>
        <v>2023-04-05T11:51:18.000Z</v>
      </c>
      <c r="L583" s="55" t="str">
        <f t="shared" si="18"/>
        <v>2023-04</v>
      </c>
      <c r="M583" s="55" t="str">
        <f t="shared" si="19"/>
        <v>THARAKA-NITHI</v>
      </c>
      <c r="N583" s="55" t="str">
        <f>IF(A583="","",IFERROR(INDEX('Cluster Map'!$A$4:$A$38,MATCH(M583,'Cluster Map'!$B$4:$B$38,0)),"Unmapped"))</f>
        <v>Cluster 2</v>
      </c>
      <c r="O583" s="55">
        <f>IF(A583="",0,IF(COUNTIFS($A$2:A583,A583,$F$2:F583,F583,$L$2:L583,L583)=1,1,0))</f>
        <v>1</v>
      </c>
      <c r="P583" s="55">
        <f>IF(A583="",0,IF(AND(F583="C&amp;T",COUNTIFS($A$2:A583,A583,$F$2:F583,"C&amp;T")=1),1,0))</f>
        <v>0</v>
      </c>
    </row>
    <row r="584" spans="1:16" x14ac:dyDescent="0.35">
      <c r="A584" s="54">
        <f>IFERROR(IF(INDEX(SPOT_Import!$A$1:$Z$2488,584,'Live Data'!$C$12)="","",INDEX(SPOT_Import!$A$1:$Z$2488,584,'Live Data'!$C$12)),"")</f>
        <v>10419</v>
      </c>
      <c r="B584" s="54" t="str">
        <f>IFERROR(IF(INDEX(SPOT_Import!$A$1:$Z$2488,584,'Live Data'!$C$13)="","",INDEX(SPOT_Import!$A$1:$Z$2488,584,'Live Data'!$C$13)),"")</f>
        <v>Kahembe Health Centre</v>
      </c>
      <c r="C584" s="54" t="str">
        <f>IFERROR(IF(INDEX(SPOT_Import!$A$1:$Z$2488,584,'Live Data'!$C$14)="","",INDEX(SPOT_Import!$A$1:$Z$2488,584,'Live Data'!$C$14)),"")</f>
        <v>NYANDARUA</v>
      </c>
      <c r="D584" s="54" t="str">
        <f>IFERROR(IF(INDEX(SPOT_Import!$A$1:$Z$2488,584,'Live Data'!$C$15)="","",INDEX(SPOT_Import!$A$1:$Z$2488,584,'Live Data'!$C$15)),"")</f>
        <v>Ndaragwa</v>
      </c>
      <c r="E584" s="54" t="str">
        <f>IFERROR(IF(INDEX(SPOT_Import!$A$1:$Z$2488,584,'Live Data'!$C$16)="","",INDEX(SPOT_Import!$A$1:$Z$2488,584,'Live Data'!$C$16)),"")</f>
        <v>USAID Jamii Tekelezi</v>
      </c>
      <c r="F584" s="54" t="str">
        <f>IFERROR(IF(INDEX(SPOT_Import!$A$1:$Z$2488,584,'Live Data'!$C$17)="","",INDEX(SPOT_Import!$A$1:$Z$2488,584,'Live Data'!$C$17)),"")</f>
        <v>CRS</v>
      </c>
      <c r="G584" s="54">
        <f>IFERROR(IF(INDEX(SPOT_Import!$A$1:$Z$2488,584,'Live Data'!$C$18)="","",INDEX(SPOT_Import!$A$1:$Z$2488,584,'Live Data'!$C$18)),"")</f>
        <v>768</v>
      </c>
      <c r="H584" s="54">
        <f>IFERROR(IF(INDEX(SPOT_Import!$A$1:$Z$2488,584,'Live Data'!$C$19)="","",INDEX(SPOT_Import!$A$1:$Z$2488,584,'Live Data'!$C$19)),"")</f>
        <v>768</v>
      </c>
      <c r="I584" s="54" t="str">
        <f>IFERROR(IF(INDEX(SPOT_Import!$A$1:$Z$2488,584,'Live Data'!$C$20)="","",INDEX(SPOT_Import!$A$1:$Z$2488,584,'Live Data'!$C$20)),"")</f>
        <v>Complete</v>
      </c>
      <c r="J584" s="54" t="str">
        <f>IFERROR(IF(INDEX(SPOT_Import!$A$1:$Z$2488,584,'Live Data'!$C$21)="","",INDEX(SPOT_Import!$A$1:$Z$2488,584,'Live Data'!$C$21)),"")</f>
        <v>2023-04-05T11:34:02.000Z</v>
      </c>
      <c r="K584" s="54" t="str">
        <f>IFERROR(IF(INDEX(SPOT_Import!$A$1:$Z$2488,584,'Live Data'!$C$22)="","",INDEX(SPOT_Import!$A$1:$Z$2488,584,'Live Data'!$C$22)),"")</f>
        <v>2023-04-05T11:34:02.000Z</v>
      </c>
      <c r="L584" s="55" t="str">
        <f t="shared" si="18"/>
        <v>2023-04</v>
      </c>
      <c r="M584" s="55" t="str">
        <f t="shared" si="19"/>
        <v>NYANDARUA</v>
      </c>
      <c r="N584" s="55" t="str">
        <f>IF(A584="","",IFERROR(INDEX('Cluster Map'!$A$4:$A$38,MATCH(M584,'Cluster Map'!$B$4:$B$38,0)),"Unmapped"))</f>
        <v>Cluster 4</v>
      </c>
      <c r="O584" s="55">
        <f>IF(A584="",0,IF(COUNTIFS($A$2:A584,A584,$F$2:F584,F584,$L$2:L584,L584)=1,1,0))</f>
        <v>1</v>
      </c>
      <c r="P584" s="55">
        <f>IF(A584="",0,IF(AND(F584="C&amp;T",COUNTIFS($A$2:A584,A584,$F$2:F584,"C&amp;T")=1),1,0))</f>
        <v>0</v>
      </c>
    </row>
    <row r="585" spans="1:16" x14ac:dyDescent="0.35">
      <c r="A585" s="54">
        <f>IFERROR(IF(INDEX(SPOT_Import!$A$1:$Z$2488,585,'Live Data'!$C$12)="","",INDEX(SPOT_Import!$A$1:$Z$2488,585,'Live Data'!$C$12)),"")</f>
        <v>10912</v>
      </c>
      <c r="B585" s="54" t="str">
        <f>IFERROR(IF(INDEX(SPOT_Import!$A$1:$Z$2488,585,'Live Data'!$C$13)="","",INDEX(SPOT_Import!$A$1:$Z$2488,585,'Live Data'!$C$13)),"")</f>
        <v>Old Mawingu Health Centre</v>
      </c>
      <c r="C585" s="54" t="str">
        <f>IFERROR(IF(INDEX(SPOT_Import!$A$1:$Z$2488,585,'Live Data'!$C$14)="","",INDEX(SPOT_Import!$A$1:$Z$2488,585,'Live Data'!$C$14)),"")</f>
        <v>NYANDARUA</v>
      </c>
      <c r="D585" s="54" t="str">
        <f>IFERROR(IF(INDEX(SPOT_Import!$A$1:$Z$2488,585,'Live Data'!$C$15)="","",INDEX(SPOT_Import!$A$1:$Z$2488,585,'Live Data'!$C$15)),"")</f>
        <v>Kipipiri</v>
      </c>
      <c r="E585" s="54" t="str">
        <f>IFERROR(IF(INDEX(SPOT_Import!$A$1:$Z$2488,585,'Live Data'!$C$16)="","",INDEX(SPOT_Import!$A$1:$Z$2488,585,'Live Data'!$C$16)),"")</f>
        <v>USAID Jamii Tekelezi</v>
      </c>
      <c r="F585" s="54" t="str">
        <f>IFERROR(IF(INDEX(SPOT_Import!$A$1:$Z$2488,585,'Live Data'!$C$17)="","",INDEX(SPOT_Import!$A$1:$Z$2488,585,'Live Data'!$C$17)),"")</f>
        <v>CRS</v>
      </c>
      <c r="G585" s="54">
        <f>IFERROR(IF(INDEX(SPOT_Import!$A$1:$Z$2488,585,'Live Data'!$C$18)="","",INDEX(SPOT_Import!$A$1:$Z$2488,585,'Live Data'!$C$18)),"")</f>
        <v>273</v>
      </c>
      <c r="H585" s="54">
        <f>IFERROR(IF(INDEX(SPOT_Import!$A$1:$Z$2488,585,'Live Data'!$C$19)="","",INDEX(SPOT_Import!$A$1:$Z$2488,585,'Live Data'!$C$19)),"")</f>
        <v>273</v>
      </c>
      <c r="I585" s="54" t="str">
        <f>IFERROR(IF(INDEX(SPOT_Import!$A$1:$Z$2488,585,'Live Data'!$C$20)="","",INDEX(SPOT_Import!$A$1:$Z$2488,585,'Live Data'!$C$20)),"")</f>
        <v>Complete</v>
      </c>
      <c r="J585" s="54" t="str">
        <f>IFERROR(IF(INDEX(SPOT_Import!$A$1:$Z$2488,585,'Live Data'!$C$21)="","",INDEX(SPOT_Import!$A$1:$Z$2488,585,'Live Data'!$C$21)),"")</f>
        <v>2023-04-05T11:09:37.000Z</v>
      </c>
      <c r="K585" s="54" t="str">
        <f>IFERROR(IF(INDEX(SPOT_Import!$A$1:$Z$2488,585,'Live Data'!$C$22)="","",INDEX(SPOT_Import!$A$1:$Z$2488,585,'Live Data'!$C$22)),"")</f>
        <v>2023-04-05T11:09:37.000Z</v>
      </c>
      <c r="L585" s="55" t="str">
        <f t="shared" si="18"/>
        <v>2023-04</v>
      </c>
      <c r="M585" s="55" t="str">
        <f t="shared" si="19"/>
        <v>NYANDARUA</v>
      </c>
      <c r="N585" s="55" t="str">
        <f>IF(A585="","",IFERROR(INDEX('Cluster Map'!$A$4:$A$38,MATCH(M585,'Cluster Map'!$B$4:$B$38,0)),"Unmapped"))</f>
        <v>Cluster 4</v>
      </c>
      <c r="O585" s="55">
        <f>IF(A585="",0,IF(COUNTIFS($A$2:A585,A585,$F$2:F585,F585,$L$2:L585,L585)=1,1,0))</f>
        <v>1</v>
      </c>
      <c r="P585" s="55">
        <f>IF(A585="",0,IF(AND(F585="C&amp;T",COUNTIFS($A$2:A585,A585,$F$2:F585,"C&amp;T")=1),1,0))</f>
        <v>0</v>
      </c>
    </row>
    <row r="586" spans="1:16" x14ac:dyDescent="0.35">
      <c r="A586" s="54">
        <f>IFERROR(IF(INDEX(SPOT_Import!$A$1:$Z$2488,586,'Live Data'!$C$12)="","",INDEX(SPOT_Import!$A$1:$Z$2488,586,'Live Data'!$C$12)),"")</f>
        <v>10829</v>
      </c>
      <c r="B586" s="54" t="str">
        <f>IFERROR(IF(INDEX(SPOT_Import!$A$1:$Z$2488,586,'Live Data'!$C$13)="","",INDEX(SPOT_Import!$A$1:$Z$2488,586,'Live Data'!$C$13)),"")</f>
        <v>Ndaragwa Health Centre</v>
      </c>
      <c r="C586" s="54" t="str">
        <f>IFERROR(IF(INDEX(SPOT_Import!$A$1:$Z$2488,586,'Live Data'!$C$14)="","",INDEX(SPOT_Import!$A$1:$Z$2488,586,'Live Data'!$C$14)),"")</f>
        <v>NYANDARUA</v>
      </c>
      <c r="D586" s="54" t="str">
        <f>IFERROR(IF(INDEX(SPOT_Import!$A$1:$Z$2488,586,'Live Data'!$C$15)="","",INDEX(SPOT_Import!$A$1:$Z$2488,586,'Live Data'!$C$15)),"")</f>
        <v>Ndaragwa</v>
      </c>
      <c r="E586" s="54" t="str">
        <f>IFERROR(IF(INDEX(SPOT_Import!$A$1:$Z$2488,586,'Live Data'!$C$16)="","",INDEX(SPOT_Import!$A$1:$Z$2488,586,'Live Data'!$C$16)),"")</f>
        <v>USAID Jamii Tekelezi</v>
      </c>
      <c r="F586" s="54" t="str">
        <f>IFERROR(IF(INDEX(SPOT_Import!$A$1:$Z$2488,586,'Live Data'!$C$17)="","",INDEX(SPOT_Import!$A$1:$Z$2488,586,'Live Data'!$C$17)),"")</f>
        <v>CRS</v>
      </c>
      <c r="G586" s="54">
        <f>IFERROR(IF(INDEX(SPOT_Import!$A$1:$Z$2488,586,'Live Data'!$C$18)="","",INDEX(SPOT_Import!$A$1:$Z$2488,586,'Live Data'!$C$18)),"")</f>
        <v>1381</v>
      </c>
      <c r="H586" s="54">
        <f>IFERROR(IF(INDEX(SPOT_Import!$A$1:$Z$2488,586,'Live Data'!$C$19)="","",INDEX(SPOT_Import!$A$1:$Z$2488,586,'Live Data'!$C$19)),"")</f>
        <v>1381</v>
      </c>
      <c r="I586" s="54" t="str">
        <f>IFERROR(IF(INDEX(SPOT_Import!$A$1:$Z$2488,586,'Live Data'!$C$20)="","",INDEX(SPOT_Import!$A$1:$Z$2488,586,'Live Data'!$C$20)),"")</f>
        <v>Complete</v>
      </c>
      <c r="J586" s="54" t="str">
        <f>IFERROR(IF(INDEX(SPOT_Import!$A$1:$Z$2488,586,'Live Data'!$C$21)="","",INDEX(SPOT_Import!$A$1:$Z$2488,586,'Live Data'!$C$21)),"")</f>
        <v>2023-04-05T11:07:58.000Z</v>
      </c>
      <c r="K586" s="54" t="str">
        <f>IFERROR(IF(INDEX(SPOT_Import!$A$1:$Z$2488,586,'Live Data'!$C$22)="","",INDEX(SPOT_Import!$A$1:$Z$2488,586,'Live Data'!$C$22)),"")</f>
        <v>2023-04-05T11:07:58.000Z</v>
      </c>
      <c r="L586" s="55" t="str">
        <f t="shared" si="18"/>
        <v>2023-04</v>
      </c>
      <c r="M586" s="55" t="str">
        <f t="shared" si="19"/>
        <v>NYANDARUA</v>
      </c>
      <c r="N586" s="55" t="str">
        <f>IF(A586="","",IFERROR(INDEX('Cluster Map'!$A$4:$A$38,MATCH(M586,'Cluster Map'!$B$4:$B$38,0)),"Unmapped"))</f>
        <v>Cluster 4</v>
      </c>
      <c r="O586" s="55">
        <f>IF(A586="",0,IF(COUNTIFS($A$2:A586,A586,$F$2:F586,F586,$L$2:L586,L586)=1,1,0))</f>
        <v>1</v>
      </c>
      <c r="P586" s="55">
        <f>IF(A586="",0,IF(AND(F586="C&amp;T",COUNTIFS($A$2:A586,A586,$F$2:F586,"C&amp;T")=1),1,0))</f>
        <v>0</v>
      </c>
    </row>
    <row r="587" spans="1:16" x14ac:dyDescent="0.35">
      <c r="A587" s="54">
        <f>IFERROR(IF(INDEX(SPOT_Import!$A$1:$Z$2488,587,'Live Data'!$C$12)="","",INDEX(SPOT_Import!$A$1:$Z$2488,587,'Live Data'!$C$12)),"")</f>
        <v>10044</v>
      </c>
      <c r="B587" s="54" t="str">
        <f>IFERROR(IF(INDEX(SPOT_Import!$A$1:$Z$2488,587,'Live Data'!$C$13)="","",INDEX(SPOT_Import!$A$1:$Z$2488,587,'Live Data'!$C$13)),"")</f>
        <v>Bamboo Health Centre</v>
      </c>
      <c r="C587" s="54" t="str">
        <f>IFERROR(IF(INDEX(SPOT_Import!$A$1:$Z$2488,587,'Live Data'!$C$14)="","",INDEX(SPOT_Import!$A$1:$Z$2488,587,'Live Data'!$C$14)),"")</f>
        <v>NYANDARUA</v>
      </c>
      <c r="D587" s="54" t="str">
        <f>IFERROR(IF(INDEX(SPOT_Import!$A$1:$Z$2488,587,'Live Data'!$C$15)="","",INDEX(SPOT_Import!$A$1:$Z$2488,587,'Live Data'!$C$15)),"")</f>
        <v>Kinangop</v>
      </c>
      <c r="E587" s="54" t="str">
        <f>IFERROR(IF(INDEX(SPOT_Import!$A$1:$Z$2488,587,'Live Data'!$C$16)="","",INDEX(SPOT_Import!$A$1:$Z$2488,587,'Live Data'!$C$16)),"")</f>
        <v>USAID Jamii Tekelezi</v>
      </c>
      <c r="F587" s="54" t="str">
        <f>IFERROR(IF(INDEX(SPOT_Import!$A$1:$Z$2488,587,'Live Data'!$C$17)="","",INDEX(SPOT_Import!$A$1:$Z$2488,587,'Live Data'!$C$17)),"")</f>
        <v>CRS</v>
      </c>
      <c r="G587" s="54">
        <f>IFERROR(IF(INDEX(SPOT_Import!$A$1:$Z$2488,587,'Live Data'!$C$18)="","",INDEX(SPOT_Import!$A$1:$Z$2488,587,'Live Data'!$C$18)),"")</f>
        <v>1048</v>
      </c>
      <c r="H587" s="54">
        <f>IFERROR(IF(INDEX(SPOT_Import!$A$1:$Z$2488,587,'Live Data'!$C$19)="","",INDEX(SPOT_Import!$A$1:$Z$2488,587,'Live Data'!$C$19)),"")</f>
        <v>1048</v>
      </c>
      <c r="I587" s="54" t="str">
        <f>IFERROR(IF(INDEX(SPOT_Import!$A$1:$Z$2488,587,'Live Data'!$C$20)="","",INDEX(SPOT_Import!$A$1:$Z$2488,587,'Live Data'!$C$20)),"")</f>
        <v>Complete</v>
      </c>
      <c r="J587" s="54" t="str">
        <f>IFERROR(IF(INDEX(SPOT_Import!$A$1:$Z$2488,587,'Live Data'!$C$21)="","",INDEX(SPOT_Import!$A$1:$Z$2488,587,'Live Data'!$C$21)),"")</f>
        <v>2023-04-05T10:02:37.000Z</v>
      </c>
      <c r="K587" s="54" t="str">
        <f>IFERROR(IF(INDEX(SPOT_Import!$A$1:$Z$2488,587,'Live Data'!$C$22)="","",INDEX(SPOT_Import!$A$1:$Z$2488,587,'Live Data'!$C$22)),"")</f>
        <v>2023-04-05T10:02:37.000Z</v>
      </c>
      <c r="L587" s="55" t="str">
        <f t="shared" si="18"/>
        <v>2023-04</v>
      </c>
      <c r="M587" s="55" t="str">
        <f t="shared" si="19"/>
        <v>NYANDARUA</v>
      </c>
      <c r="N587" s="55" t="str">
        <f>IF(A587="","",IFERROR(INDEX('Cluster Map'!$A$4:$A$38,MATCH(M587,'Cluster Map'!$B$4:$B$38,0)),"Unmapped"))</f>
        <v>Cluster 4</v>
      </c>
      <c r="O587" s="55">
        <f>IF(A587="",0,IF(COUNTIFS($A$2:A587,A587,$F$2:F587,F587,$L$2:L587,L587)=1,1,0))</f>
        <v>1</v>
      </c>
      <c r="P587" s="55">
        <f>IF(A587="",0,IF(AND(F587="C&amp;T",COUNTIFS($A$2:A587,A587,$F$2:F587,"C&amp;T")=1),1,0))</f>
        <v>0</v>
      </c>
    </row>
    <row r="588" spans="1:16" x14ac:dyDescent="0.35">
      <c r="A588" s="54">
        <f>IFERROR(IF(INDEX(SPOT_Import!$A$1:$Z$2488,588,'Live Data'!$C$12)="","",INDEX(SPOT_Import!$A$1:$Z$2488,588,'Live Data'!$C$12)),"")</f>
        <v>12325</v>
      </c>
      <c r="B588" s="54" t="str">
        <f>IFERROR(IF(INDEX(SPOT_Import!$A$1:$Z$2488,588,'Live Data'!$C$13)="","",INDEX(SPOT_Import!$A$1:$Z$2488,588,'Live Data'!$C$13)),"")</f>
        <v>Kinoro Sub-District Hospital</v>
      </c>
      <c r="C588" s="54" t="str">
        <f>IFERROR(IF(INDEX(SPOT_Import!$A$1:$Z$2488,588,'Live Data'!$C$14)="","",INDEX(SPOT_Import!$A$1:$Z$2488,588,'Live Data'!$C$14)),"")</f>
        <v>MERU</v>
      </c>
      <c r="D588" s="54" t="str">
        <f>IFERROR(IF(INDEX(SPOT_Import!$A$1:$Z$2488,588,'Live Data'!$C$15)="","",INDEX(SPOT_Import!$A$1:$Z$2488,588,'Live Data'!$C$15)),"")</f>
        <v>Imenti South</v>
      </c>
      <c r="E588" s="54" t="str">
        <f>IFERROR(IF(INDEX(SPOT_Import!$A$1:$Z$2488,588,'Live Data'!$C$16)="","",INDEX(SPOT_Import!$A$1:$Z$2488,588,'Live Data'!$C$16)),"")</f>
        <v>USAID Jamii Tekelezi</v>
      </c>
      <c r="F588" s="54" t="str">
        <f>IFERROR(IF(INDEX(SPOT_Import!$A$1:$Z$2488,588,'Live Data'!$C$17)="","",INDEX(SPOT_Import!$A$1:$Z$2488,588,'Live Data'!$C$17)),"")</f>
        <v>CRS</v>
      </c>
      <c r="G588" s="54">
        <f>IFERROR(IF(INDEX(SPOT_Import!$A$1:$Z$2488,588,'Live Data'!$C$18)="","",INDEX(SPOT_Import!$A$1:$Z$2488,588,'Live Data'!$C$18)),"")</f>
        <v>267</v>
      </c>
      <c r="H588" s="54">
        <f>IFERROR(IF(INDEX(SPOT_Import!$A$1:$Z$2488,588,'Live Data'!$C$19)="","",INDEX(SPOT_Import!$A$1:$Z$2488,588,'Live Data'!$C$19)),"")</f>
        <v>267</v>
      </c>
      <c r="I588" s="54" t="str">
        <f>IFERROR(IF(INDEX(SPOT_Import!$A$1:$Z$2488,588,'Live Data'!$C$20)="","",INDEX(SPOT_Import!$A$1:$Z$2488,588,'Live Data'!$C$20)),"")</f>
        <v>Complete</v>
      </c>
      <c r="J588" s="54" t="str">
        <f>IFERROR(IF(INDEX(SPOT_Import!$A$1:$Z$2488,588,'Live Data'!$C$21)="","",INDEX(SPOT_Import!$A$1:$Z$2488,588,'Live Data'!$C$21)),"")</f>
        <v>2023-04-05T08:44:35.000Z</v>
      </c>
      <c r="K588" s="54" t="str">
        <f>IFERROR(IF(INDEX(SPOT_Import!$A$1:$Z$2488,588,'Live Data'!$C$22)="","",INDEX(SPOT_Import!$A$1:$Z$2488,588,'Live Data'!$C$22)),"")</f>
        <v>2023-04-05T08:44:35.000Z</v>
      </c>
      <c r="L588" s="55" t="str">
        <f t="shared" si="18"/>
        <v>2023-04</v>
      </c>
      <c r="M588" s="55" t="str">
        <f t="shared" si="19"/>
        <v>MERU</v>
      </c>
      <c r="N588" s="55" t="str">
        <f>IF(A588="","",IFERROR(INDEX('Cluster Map'!$A$4:$A$38,MATCH(M588,'Cluster Map'!$B$4:$B$38,0)),"Unmapped"))</f>
        <v>Cluster 1</v>
      </c>
      <c r="O588" s="55">
        <f>IF(A588="",0,IF(COUNTIFS($A$2:A588,A588,$F$2:F588,F588,$L$2:L588,L588)=1,1,0))</f>
        <v>1</v>
      </c>
      <c r="P588" s="55">
        <f>IF(A588="",0,IF(AND(F588="C&amp;T",COUNTIFS($A$2:A588,A588,$F$2:F588,"C&amp;T")=1),1,0))</f>
        <v>0</v>
      </c>
    </row>
    <row r="589" spans="1:16" x14ac:dyDescent="0.35">
      <c r="A589" s="54">
        <f>IFERROR(IF(INDEX(SPOT_Import!$A$1:$Z$2488,589,'Live Data'!$C$12)="","",INDEX(SPOT_Import!$A$1:$Z$2488,589,'Live Data'!$C$12)),"")</f>
        <v>10820</v>
      </c>
      <c r="B589" s="54" t="str">
        <f>IFERROR(IF(INDEX(SPOT_Import!$A$1:$Z$2488,589,'Live Data'!$C$13)="","",INDEX(SPOT_Import!$A$1:$Z$2488,589,'Live Data'!$C$13)),"")</f>
        <v>Nandarasi Dispensary</v>
      </c>
      <c r="C589" s="54" t="str">
        <f>IFERROR(IF(INDEX(SPOT_Import!$A$1:$Z$2488,589,'Live Data'!$C$14)="","",INDEX(SPOT_Import!$A$1:$Z$2488,589,'Live Data'!$C$14)),"")</f>
        <v>NYANDARUA</v>
      </c>
      <c r="D589" s="54" t="str">
        <f>IFERROR(IF(INDEX(SPOT_Import!$A$1:$Z$2488,589,'Live Data'!$C$15)="","",INDEX(SPOT_Import!$A$1:$Z$2488,589,'Live Data'!$C$15)),"")</f>
        <v>Kinangop</v>
      </c>
      <c r="E589" s="54" t="str">
        <f>IFERROR(IF(INDEX(SPOT_Import!$A$1:$Z$2488,589,'Live Data'!$C$16)="","",INDEX(SPOT_Import!$A$1:$Z$2488,589,'Live Data'!$C$16)),"")</f>
        <v>USAID Jamii Tekelezi</v>
      </c>
      <c r="F589" s="54" t="str">
        <f>IFERROR(IF(INDEX(SPOT_Import!$A$1:$Z$2488,589,'Live Data'!$C$17)="","",INDEX(SPOT_Import!$A$1:$Z$2488,589,'Live Data'!$C$17)),"")</f>
        <v>CRS</v>
      </c>
      <c r="G589" s="54">
        <f>IFERROR(IF(INDEX(SPOT_Import!$A$1:$Z$2488,589,'Live Data'!$C$18)="","",INDEX(SPOT_Import!$A$1:$Z$2488,589,'Live Data'!$C$18)),"")</f>
        <v>110</v>
      </c>
      <c r="H589" s="54" t="str">
        <f>IFERROR(IF(INDEX(SPOT_Import!$A$1:$Z$2488,589,'Live Data'!$C$19)="","",INDEX(SPOT_Import!$A$1:$Z$2488,589,'Live Data'!$C$19)),"")</f>
        <v/>
      </c>
      <c r="I589" s="54" t="str">
        <f>IFERROR(IF(INDEX(SPOT_Import!$A$1:$Z$2488,589,'Live Data'!$C$20)="","",INDEX(SPOT_Import!$A$1:$Z$2488,589,'Live Data'!$C$20)),"")</f>
        <v>Complete</v>
      </c>
      <c r="J589" s="54" t="str">
        <f>IFERROR(IF(INDEX(SPOT_Import!$A$1:$Z$2488,589,'Live Data'!$C$21)="","",INDEX(SPOT_Import!$A$1:$Z$2488,589,'Live Data'!$C$21)),"")</f>
        <v>2023-04-05T07:59:55.000Z</v>
      </c>
      <c r="K589" s="54" t="str">
        <f>IFERROR(IF(INDEX(SPOT_Import!$A$1:$Z$2488,589,'Live Data'!$C$22)="","",INDEX(SPOT_Import!$A$1:$Z$2488,589,'Live Data'!$C$22)),"")</f>
        <v>2023-04-05T07:59:55.000Z</v>
      </c>
      <c r="L589" s="55" t="str">
        <f t="shared" si="18"/>
        <v>2023-04</v>
      </c>
      <c r="M589" s="55" t="str">
        <f t="shared" si="19"/>
        <v>NYANDARUA</v>
      </c>
      <c r="N589" s="55" t="str">
        <f>IF(A589="","",IFERROR(INDEX('Cluster Map'!$A$4:$A$38,MATCH(M589,'Cluster Map'!$B$4:$B$38,0)),"Unmapped"))</f>
        <v>Cluster 4</v>
      </c>
      <c r="O589" s="55">
        <f>IF(A589="",0,IF(COUNTIFS($A$2:A589,A589,$F$2:F589,F589,$L$2:L589,L589)=1,1,0))</f>
        <v>1</v>
      </c>
      <c r="P589" s="55">
        <f>IF(A589="",0,IF(AND(F589="C&amp;T",COUNTIFS($A$2:A589,A589,$F$2:F589,"C&amp;T")=1),1,0))</f>
        <v>0</v>
      </c>
    </row>
    <row r="590" spans="1:16" x14ac:dyDescent="0.35">
      <c r="A590" s="54">
        <f>IFERROR(IF(INDEX(SPOT_Import!$A$1:$Z$2488,590,'Live Data'!$C$12)="","",INDEX(SPOT_Import!$A$1:$Z$2488,590,'Live Data'!$C$12)),"")</f>
        <v>12319</v>
      </c>
      <c r="B590" s="54" t="str">
        <f>IFERROR(IF(INDEX(SPOT_Import!$A$1:$Z$2488,590,'Live Data'!$C$13)="","",INDEX(SPOT_Import!$A$1:$Z$2488,590,'Live Data'!$C$13)),"")</f>
        <v>Kina Dispensary</v>
      </c>
      <c r="C590" s="54" t="str">
        <f>IFERROR(IF(INDEX(SPOT_Import!$A$1:$Z$2488,590,'Live Data'!$C$14)="","",INDEX(SPOT_Import!$A$1:$Z$2488,590,'Live Data'!$C$14)),"")</f>
        <v>MERU</v>
      </c>
      <c r="D590" s="54" t="str">
        <f>IFERROR(IF(INDEX(SPOT_Import!$A$1:$Z$2488,590,'Live Data'!$C$15)="","",INDEX(SPOT_Import!$A$1:$Z$2488,590,'Live Data'!$C$15)),"")</f>
        <v>Igembe Central</v>
      </c>
      <c r="E590" s="54" t="str">
        <f>IFERROR(IF(INDEX(SPOT_Import!$A$1:$Z$2488,590,'Live Data'!$C$16)="","",INDEX(SPOT_Import!$A$1:$Z$2488,590,'Live Data'!$C$16)),"")</f>
        <v>USAID Jamii Tekelezi</v>
      </c>
      <c r="F590" s="54" t="str">
        <f>IFERROR(IF(INDEX(SPOT_Import!$A$1:$Z$2488,590,'Live Data'!$C$17)="","",INDEX(SPOT_Import!$A$1:$Z$2488,590,'Live Data'!$C$17)),"")</f>
        <v>CRS</v>
      </c>
      <c r="G590" s="54">
        <f>IFERROR(IF(INDEX(SPOT_Import!$A$1:$Z$2488,590,'Live Data'!$C$18)="","",INDEX(SPOT_Import!$A$1:$Z$2488,590,'Live Data'!$C$18)),"")</f>
        <v>410</v>
      </c>
      <c r="H590" s="54">
        <f>IFERROR(IF(INDEX(SPOT_Import!$A$1:$Z$2488,590,'Live Data'!$C$19)="","",INDEX(SPOT_Import!$A$1:$Z$2488,590,'Live Data'!$C$19)),"")</f>
        <v>410</v>
      </c>
      <c r="I590" s="54" t="str">
        <f>IFERROR(IF(INDEX(SPOT_Import!$A$1:$Z$2488,590,'Live Data'!$C$20)="","",INDEX(SPOT_Import!$A$1:$Z$2488,590,'Live Data'!$C$20)),"")</f>
        <v>Complete</v>
      </c>
      <c r="J590" s="54" t="str">
        <f>IFERROR(IF(INDEX(SPOT_Import!$A$1:$Z$2488,590,'Live Data'!$C$21)="","",INDEX(SPOT_Import!$A$1:$Z$2488,590,'Live Data'!$C$21)),"")</f>
        <v>2023-04-05T07:41:08.000Z</v>
      </c>
      <c r="K590" s="54" t="str">
        <f>IFERROR(IF(INDEX(SPOT_Import!$A$1:$Z$2488,590,'Live Data'!$C$22)="","",INDEX(SPOT_Import!$A$1:$Z$2488,590,'Live Data'!$C$22)),"")</f>
        <v>2023-04-05T07:41:08.000Z</v>
      </c>
      <c r="L590" s="55" t="str">
        <f t="shared" si="18"/>
        <v>2023-04</v>
      </c>
      <c r="M590" s="55" t="str">
        <f t="shared" si="19"/>
        <v>MERU</v>
      </c>
      <c r="N590" s="55" t="str">
        <f>IF(A590="","",IFERROR(INDEX('Cluster Map'!$A$4:$A$38,MATCH(M590,'Cluster Map'!$B$4:$B$38,0)),"Unmapped"))</f>
        <v>Cluster 1</v>
      </c>
      <c r="O590" s="55">
        <f>IF(A590="",0,IF(COUNTIFS($A$2:A590,A590,$F$2:F590,F590,$L$2:L590,L590)=1,1,0))</f>
        <v>1</v>
      </c>
      <c r="P590" s="55">
        <f>IF(A590="",0,IF(AND(F590="C&amp;T",COUNTIFS($A$2:A590,A590,$F$2:F590,"C&amp;T")=1),1,0))</f>
        <v>0</v>
      </c>
    </row>
    <row r="591" spans="1:16" x14ac:dyDescent="0.35">
      <c r="A591" s="54">
        <f>IFERROR(IF(INDEX(SPOT_Import!$A$1:$Z$2488,591,'Live Data'!$C$12)="","",INDEX(SPOT_Import!$A$1:$Z$2488,591,'Live Data'!$C$12)),"")</f>
        <v>12546</v>
      </c>
      <c r="B591" s="54" t="str">
        <f>IFERROR(IF(INDEX(SPOT_Import!$A$1:$Z$2488,591,'Live Data'!$C$13)="","",INDEX(SPOT_Import!$A$1:$Z$2488,591,'Live Data'!$C$13)),"")</f>
        <v>Mpukoni Health Centre</v>
      </c>
      <c r="C591" s="54" t="str">
        <f>IFERROR(IF(INDEX(SPOT_Import!$A$1:$Z$2488,591,'Live Data'!$C$14)="","",INDEX(SPOT_Import!$A$1:$Z$2488,591,'Live Data'!$C$14)),"")</f>
        <v>THARAKA-NITHI</v>
      </c>
      <c r="D591" s="54" t="str">
        <f>IFERROR(IF(INDEX(SPOT_Import!$A$1:$Z$2488,591,'Live Data'!$C$15)="","",INDEX(SPOT_Import!$A$1:$Z$2488,591,'Live Data'!$C$15)),"")</f>
        <v>Chuka</v>
      </c>
      <c r="E591" s="54" t="str">
        <f>IFERROR(IF(INDEX(SPOT_Import!$A$1:$Z$2488,591,'Live Data'!$C$16)="","",INDEX(SPOT_Import!$A$1:$Z$2488,591,'Live Data'!$C$16)),"")</f>
        <v>USAID Jamii Tekelezi</v>
      </c>
      <c r="F591" s="54" t="str">
        <f>IFERROR(IF(INDEX(SPOT_Import!$A$1:$Z$2488,591,'Live Data'!$C$17)="","",INDEX(SPOT_Import!$A$1:$Z$2488,591,'Live Data'!$C$17)),"")</f>
        <v>CRS</v>
      </c>
      <c r="G591" s="54">
        <f>IFERROR(IF(INDEX(SPOT_Import!$A$1:$Z$2488,591,'Live Data'!$C$18)="","",INDEX(SPOT_Import!$A$1:$Z$2488,591,'Live Data'!$C$18)),"")</f>
        <v>365</v>
      </c>
      <c r="H591" s="54">
        <f>IFERROR(IF(INDEX(SPOT_Import!$A$1:$Z$2488,591,'Live Data'!$C$19)="","",INDEX(SPOT_Import!$A$1:$Z$2488,591,'Live Data'!$C$19)),"")</f>
        <v>365</v>
      </c>
      <c r="I591" s="54" t="str">
        <f>IFERROR(IF(INDEX(SPOT_Import!$A$1:$Z$2488,591,'Live Data'!$C$20)="","",INDEX(SPOT_Import!$A$1:$Z$2488,591,'Live Data'!$C$20)),"")</f>
        <v>Complete</v>
      </c>
      <c r="J591" s="54" t="str">
        <f>IFERROR(IF(INDEX(SPOT_Import!$A$1:$Z$2488,591,'Live Data'!$C$21)="","",INDEX(SPOT_Import!$A$1:$Z$2488,591,'Live Data'!$C$21)),"")</f>
        <v>2023-04-05T07:13:54.000Z</v>
      </c>
      <c r="K591" s="54" t="str">
        <f>IFERROR(IF(INDEX(SPOT_Import!$A$1:$Z$2488,591,'Live Data'!$C$22)="","",INDEX(SPOT_Import!$A$1:$Z$2488,591,'Live Data'!$C$22)),"")</f>
        <v>2023-04-05T07:13:54.000Z</v>
      </c>
      <c r="L591" s="55" t="str">
        <f t="shared" si="18"/>
        <v>2023-04</v>
      </c>
      <c r="M591" s="55" t="str">
        <f t="shared" si="19"/>
        <v>THARAKA-NITHI</v>
      </c>
      <c r="N591" s="55" t="str">
        <f>IF(A591="","",IFERROR(INDEX('Cluster Map'!$A$4:$A$38,MATCH(M591,'Cluster Map'!$B$4:$B$38,0)),"Unmapped"))</f>
        <v>Cluster 2</v>
      </c>
      <c r="O591" s="55">
        <f>IF(A591="",0,IF(COUNTIFS($A$2:A591,A591,$F$2:F591,F591,$L$2:L591,L591)=1,1,0))</f>
        <v>1</v>
      </c>
      <c r="P591" s="55">
        <f>IF(A591="",0,IF(AND(F591="C&amp;T",COUNTIFS($A$2:A591,A591,$F$2:F591,"C&amp;T")=1),1,0))</f>
        <v>0</v>
      </c>
    </row>
    <row r="592" spans="1:16" x14ac:dyDescent="0.35">
      <c r="A592" s="54">
        <f>IFERROR(IF(INDEX(SPOT_Import!$A$1:$Z$2488,592,'Live Data'!$C$12)="","",INDEX(SPOT_Import!$A$1:$Z$2488,592,'Live Data'!$C$12)),"")</f>
        <v>12272</v>
      </c>
      <c r="B592" s="54" t="str">
        <f>IFERROR(IF(INDEX(SPOT_Import!$A$1:$Z$2488,592,'Live Data'!$C$13)="","",INDEX(SPOT_Import!$A$1:$Z$2488,592,'Live Data'!$C$13)),"")</f>
        <v>Kiamuchairu Health Centre</v>
      </c>
      <c r="C592" s="54" t="str">
        <f>IFERROR(IF(INDEX(SPOT_Import!$A$1:$Z$2488,592,'Live Data'!$C$14)="","",INDEX(SPOT_Import!$A$1:$Z$2488,592,'Live Data'!$C$14)),"")</f>
        <v>THARAKA-NITHI</v>
      </c>
      <c r="D592" s="54" t="str">
        <f>IFERROR(IF(INDEX(SPOT_Import!$A$1:$Z$2488,592,'Live Data'!$C$15)="","",INDEX(SPOT_Import!$A$1:$Z$2488,592,'Live Data'!$C$15)),"")</f>
        <v>Mwimbi</v>
      </c>
      <c r="E592" s="54" t="str">
        <f>IFERROR(IF(INDEX(SPOT_Import!$A$1:$Z$2488,592,'Live Data'!$C$16)="","",INDEX(SPOT_Import!$A$1:$Z$2488,592,'Live Data'!$C$16)),"")</f>
        <v>USAID Jamii Tekelezi</v>
      </c>
      <c r="F592" s="54" t="str">
        <f>IFERROR(IF(INDEX(SPOT_Import!$A$1:$Z$2488,592,'Live Data'!$C$17)="","",INDEX(SPOT_Import!$A$1:$Z$2488,592,'Live Data'!$C$17)),"")</f>
        <v>CRS</v>
      </c>
      <c r="G592" s="54">
        <f>IFERROR(IF(INDEX(SPOT_Import!$A$1:$Z$2488,592,'Live Data'!$C$18)="","",INDEX(SPOT_Import!$A$1:$Z$2488,592,'Live Data'!$C$18)),"")</f>
        <v>121</v>
      </c>
      <c r="H592" s="54">
        <f>IFERROR(IF(INDEX(SPOT_Import!$A$1:$Z$2488,592,'Live Data'!$C$19)="","",INDEX(SPOT_Import!$A$1:$Z$2488,592,'Live Data'!$C$19)),"")</f>
        <v>121</v>
      </c>
      <c r="I592" s="54" t="str">
        <f>IFERROR(IF(INDEX(SPOT_Import!$A$1:$Z$2488,592,'Live Data'!$C$20)="","",INDEX(SPOT_Import!$A$1:$Z$2488,592,'Live Data'!$C$20)),"")</f>
        <v>Complete</v>
      </c>
      <c r="J592" s="54" t="str">
        <f>IFERROR(IF(INDEX(SPOT_Import!$A$1:$Z$2488,592,'Live Data'!$C$21)="","",INDEX(SPOT_Import!$A$1:$Z$2488,592,'Live Data'!$C$21)),"")</f>
        <v>2023-04-05T06:17:39.000Z</v>
      </c>
      <c r="K592" s="54" t="str">
        <f>IFERROR(IF(INDEX(SPOT_Import!$A$1:$Z$2488,592,'Live Data'!$C$22)="","",INDEX(SPOT_Import!$A$1:$Z$2488,592,'Live Data'!$C$22)),"")</f>
        <v>2023-04-05T06:17:39.000Z</v>
      </c>
      <c r="L592" s="55" t="str">
        <f t="shared" si="18"/>
        <v>2023-04</v>
      </c>
      <c r="M592" s="55" t="str">
        <f t="shared" si="19"/>
        <v>THARAKA-NITHI</v>
      </c>
      <c r="N592" s="55" t="str">
        <f>IF(A592="","",IFERROR(INDEX('Cluster Map'!$A$4:$A$38,MATCH(M592,'Cluster Map'!$B$4:$B$38,0)),"Unmapped"))</f>
        <v>Cluster 2</v>
      </c>
      <c r="O592" s="55">
        <f>IF(A592="",0,IF(COUNTIFS($A$2:A592,A592,$F$2:F592,F592,$L$2:L592,L592)=1,1,0))</f>
        <v>1</v>
      </c>
      <c r="P592" s="55">
        <f>IF(A592="",0,IF(AND(F592="C&amp;T",COUNTIFS($A$2:A592,A592,$F$2:F592,"C&amp;T")=1),1,0))</f>
        <v>0</v>
      </c>
    </row>
    <row r="593" spans="1:16" x14ac:dyDescent="0.35">
      <c r="A593" s="54">
        <f>IFERROR(IF(INDEX(SPOT_Import!$A$1:$Z$2488,593,'Live Data'!$C$12)="","",INDEX(SPOT_Import!$A$1:$Z$2488,593,'Live Data'!$C$12)),"")</f>
        <v>12027</v>
      </c>
      <c r="B593" s="54" t="str">
        <f>IFERROR(IF(INDEX(SPOT_Import!$A$1:$Z$2488,593,'Live Data'!$C$13)="","",INDEX(SPOT_Import!$A$1:$Z$2488,593,'Live Data'!$C$13)),"")</f>
        <v>Gakoromone Dispensary</v>
      </c>
      <c r="C593" s="54" t="str">
        <f>IFERROR(IF(INDEX(SPOT_Import!$A$1:$Z$2488,593,'Live Data'!$C$14)="","",INDEX(SPOT_Import!$A$1:$Z$2488,593,'Live Data'!$C$14)),"")</f>
        <v>MERU</v>
      </c>
      <c r="D593" s="54" t="str">
        <f>IFERROR(IF(INDEX(SPOT_Import!$A$1:$Z$2488,593,'Live Data'!$C$15)="","",INDEX(SPOT_Import!$A$1:$Z$2488,593,'Live Data'!$C$15)),"")</f>
        <v>Imenti North</v>
      </c>
      <c r="E593" s="54" t="str">
        <f>IFERROR(IF(INDEX(SPOT_Import!$A$1:$Z$2488,593,'Live Data'!$C$16)="","",INDEX(SPOT_Import!$A$1:$Z$2488,593,'Live Data'!$C$16)),"")</f>
        <v>USAID Jamii Tekelezi</v>
      </c>
      <c r="F593" s="54" t="str">
        <f>IFERROR(IF(INDEX(SPOT_Import!$A$1:$Z$2488,593,'Live Data'!$C$17)="","",INDEX(SPOT_Import!$A$1:$Z$2488,593,'Live Data'!$C$17)),"")</f>
        <v>CRS</v>
      </c>
      <c r="G593" s="54">
        <f>IFERROR(IF(INDEX(SPOT_Import!$A$1:$Z$2488,593,'Live Data'!$C$18)="","",INDEX(SPOT_Import!$A$1:$Z$2488,593,'Live Data'!$C$18)),"")</f>
        <v>167</v>
      </c>
      <c r="H593" s="54">
        <f>IFERROR(IF(INDEX(SPOT_Import!$A$1:$Z$2488,593,'Live Data'!$C$19)="","",INDEX(SPOT_Import!$A$1:$Z$2488,593,'Live Data'!$C$19)),"")</f>
        <v>167</v>
      </c>
      <c r="I593" s="54" t="str">
        <f>IFERROR(IF(INDEX(SPOT_Import!$A$1:$Z$2488,593,'Live Data'!$C$20)="","",INDEX(SPOT_Import!$A$1:$Z$2488,593,'Live Data'!$C$20)),"")</f>
        <v>Complete</v>
      </c>
      <c r="J593" s="54" t="str">
        <f>IFERROR(IF(INDEX(SPOT_Import!$A$1:$Z$2488,593,'Live Data'!$C$21)="","",INDEX(SPOT_Import!$A$1:$Z$2488,593,'Live Data'!$C$21)),"")</f>
        <v>2023-04-04T16:18:22.000Z</v>
      </c>
      <c r="K593" s="54" t="str">
        <f>IFERROR(IF(INDEX(SPOT_Import!$A$1:$Z$2488,593,'Live Data'!$C$22)="","",INDEX(SPOT_Import!$A$1:$Z$2488,593,'Live Data'!$C$22)),"")</f>
        <v>2023-04-04T16:18:22.000Z</v>
      </c>
      <c r="L593" s="55" t="str">
        <f t="shared" si="18"/>
        <v>2023-04</v>
      </c>
      <c r="M593" s="55" t="str">
        <f t="shared" si="19"/>
        <v>MERU</v>
      </c>
      <c r="N593" s="55" t="str">
        <f>IF(A593="","",IFERROR(INDEX('Cluster Map'!$A$4:$A$38,MATCH(M593,'Cluster Map'!$B$4:$B$38,0)),"Unmapped"))</f>
        <v>Cluster 1</v>
      </c>
      <c r="O593" s="55">
        <f>IF(A593="",0,IF(COUNTIFS($A$2:A593,A593,$F$2:F593,F593,$L$2:L593,L593)=1,1,0))</f>
        <v>1</v>
      </c>
      <c r="P593" s="55">
        <f>IF(A593="",0,IF(AND(F593="C&amp;T",COUNTIFS($A$2:A593,A593,$F$2:F593,"C&amp;T")=1),1,0))</f>
        <v>0</v>
      </c>
    </row>
    <row r="594" spans="1:16" x14ac:dyDescent="0.35">
      <c r="A594" s="54">
        <f>IFERROR(IF(INDEX(SPOT_Import!$A$1:$Z$2488,594,'Live Data'!$C$12)="","",INDEX(SPOT_Import!$A$1:$Z$2488,594,'Live Data'!$C$12)),"")</f>
        <v>10916</v>
      </c>
      <c r="B594" s="54" t="str">
        <f>IFERROR(IF(INDEX(SPOT_Import!$A$1:$Z$2488,594,'Live Data'!$C$13)="","",INDEX(SPOT_Import!$A$1:$Z$2488,594,'Live Data'!$C$13)),"")</f>
        <v>JM Kariuki County Memorial Hospital (Olkalou)</v>
      </c>
      <c r="C594" s="54" t="str">
        <f>IFERROR(IF(INDEX(SPOT_Import!$A$1:$Z$2488,594,'Live Data'!$C$14)="","",INDEX(SPOT_Import!$A$1:$Z$2488,594,'Live Data'!$C$14)),"")</f>
        <v>NYANDARUA</v>
      </c>
      <c r="D594" s="54" t="str">
        <f>IFERROR(IF(INDEX(SPOT_Import!$A$1:$Z$2488,594,'Live Data'!$C$15)="","",INDEX(SPOT_Import!$A$1:$Z$2488,594,'Live Data'!$C$15)),"")</f>
        <v>Olkalou</v>
      </c>
      <c r="E594" s="54" t="str">
        <f>IFERROR(IF(INDEX(SPOT_Import!$A$1:$Z$2488,594,'Live Data'!$C$16)="","",INDEX(SPOT_Import!$A$1:$Z$2488,594,'Live Data'!$C$16)),"")</f>
        <v>USAID Jamii Tekelezi</v>
      </c>
      <c r="F594" s="54" t="str">
        <f>IFERROR(IF(INDEX(SPOT_Import!$A$1:$Z$2488,594,'Live Data'!$C$17)="","",INDEX(SPOT_Import!$A$1:$Z$2488,594,'Live Data'!$C$17)),"")</f>
        <v>CRS</v>
      </c>
      <c r="G594" s="54">
        <f>IFERROR(IF(INDEX(SPOT_Import!$A$1:$Z$2488,594,'Live Data'!$C$18)="","",INDEX(SPOT_Import!$A$1:$Z$2488,594,'Live Data'!$C$18)),"")</f>
        <v>4922</v>
      </c>
      <c r="H594" s="54">
        <f>IFERROR(IF(INDEX(SPOT_Import!$A$1:$Z$2488,594,'Live Data'!$C$19)="","",INDEX(SPOT_Import!$A$1:$Z$2488,594,'Live Data'!$C$19)),"")</f>
        <v>19657</v>
      </c>
      <c r="I594" s="54" t="str">
        <f>IFERROR(IF(INDEX(SPOT_Import!$A$1:$Z$2488,594,'Live Data'!$C$20)="","",INDEX(SPOT_Import!$A$1:$Z$2488,594,'Live Data'!$C$20)),"")</f>
        <v>Complete</v>
      </c>
      <c r="J594" s="54" t="str">
        <f>IFERROR(IF(INDEX(SPOT_Import!$A$1:$Z$2488,594,'Live Data'!$C$21)="","",INDEX(SPOT_Import!$A$1:$Z$2488,594,'Live Data'!$C$21)),"")</f>
        <v>2023-04-04T14:56:07.000Z</v>
      </c>
      <c r="K594" s="54" t="str">
        <f>IFERROR(IF(INDEX(SPOT_Import!$A$1:$Z$2488,594,'Live Data'!$C$22)="","",INDEX(SPOT_Import!$A$1:$Z$2488,594,'Live Data'!$C$22)),"")</f>
        <v>2023-04-04T14:56:07.000Z</v>
      </c>
      <c r="L594" s="55" t="str">
        <f t="shared" si="18"/>
        <v>2023-04</v>
      </c>
      <c r="M594" s="55" t="str">
        <f t="shared" si="19"/>
        <v>NYANDARUA</v>
      </c>
      <c r="N594" s="55" t="str">
        <f>IF(A594="","",IFERROR(INDEX('Cluster Map'!$A$4:$A$38,MATCH(M594,'Cluster Map'!$B$4:$B$38,0)),"Unmapped"))</f>
        <v>Cluster 4</v>
      </c>
      <c r="O594" s="55">
        <f>IF(A594="",0,IF(COUNTIFS($A$2:A594,A594,$F$2:F594,F594,$L$2:L594,L594)=1,1,0))</f>
        <v>1</v>
      </c>
      <c r="P594" s="55">
        <f>IF(A594="",0,IF(AND(F594="C&amp;T",COUNTIFS($A$2:A594,A594,$F$2:F594,"C&amp;T")=1),1,0))</f>
        <v>0</v>
      </c>
    </row>
    <row r="595" spans="1:16" x14ac:dyDescent="0.35">
      <c r="A595" s="54">
        <f>IFERROR(IF(INDEX(SPOT_Import!$A$1:$Z$2488,595,'Live Data'!$C$12)="","",INDEX(SPOT_Import!$A$1:$Z$2488,595,'Live Data'!$C$12)),"")</f>
        <v>12031</v>
      </c>
      <c r="B595" s="54" t="str">
        <f>IFERROR(IF(INDEX(SPOT_Import!$A$1:$Z$2488,595,'Live Data'!$C$13)="","",INDEX(SPOT_Import!$A$1:$Z$2488,595,'Live Data'!$C$13)),"")</f>
        <v>Gatimbi Health Centre</v>
      </c>
      <c r="C595" s="54" t="str">
        <f>IFERROR(IF(INDEX(SPOT_Import!$A$1:$Z$2488,595,'Live Data'!$C$14)="","",INDEX(SPOT_Import!$A$1:$Z$2488,595,'Live Data'!$C$14)),"")</f>
        <v>MERU</v>
      </c>
      <c r="D595" s="54" t="str">
        <f>IFERROR(IF(INDEX(SPOT_Import!$A$1:$Z$2488,595,'Live Data'!$C$15)="","",INDEX(SPOT_Import!$A$1:$Z$2488,595,'Live Data'!$C$15)),"")</f>
        <v>Imenti Central</v>
      </c>
      <c r="E595" s="54" t="str">
        <f>IFERROR(IF(INDEX(SPOT_Import!$A$1:$Z$2488,595,'Live Data'!$C$16)="","",INDEX(SPOT_Import!$A$1:$Z$2488,595,'Live Data'!$C$16)),"")</f>
        <v>USAID Jamii Tekelezi</v>
      </c>
      <c r="F595" s="54" t="str">
        <f>IFERROR(IF(INDEX(SPOT_Import!$A$1:$Z$2488,595,'Live Data'!$C$17)="","",INDEX(SPOT_Import!$A$1:$Z$2488,595,'Live Data'!$C$17)),"")</f>
        <v>CRS</v>
      </c>
      <c r="G595" s="54">
        <f>IFERROR(IF(INDEX(SPOT_Import!$A$1:$Z$2488,595,'Live Data'!$C$18)="","",INDEX(SPOT_Import!$A$1:$Z$2488,595,'Live Data'!$C$18)),"")</f>
        <v>233</v>
      </c>
      <c r="H595" s="54" t="str">
        <f>IFERROR(IF(INDEX(SPOT_Import!$A$1:$Z$2488,595,'Live Data'!$C$19)="","",INDEX(SPOT_Import!$A$1:$Z$2488,595,'Live Data'!$C$19)),"")</f>
        <v/>
      </c>
      <c r="I595" s="54" t="str">
        <f>IFERROR(IF(INDEX(SPOT_Import!$A$1:$Z$2488,595,'Live Data'!$C$20)="","",INDEX(SPOT_Import!$A$1:$Z$2488,595,'Live Data'!$C$20)),"")</f>
        <v>Complete</v>
      </c>
      <c r="J595" s="54" t="str">
        <f>IFERROR(IF(INDEX(SPOT_Import!$A$1:$Z$2488,595,'Live Data'!$C$21)="","",INDEX(SPOT_Import!$A$1:$Z$2488,595,'Live Data'!$C$21)),"")</f>
        <v>2023-04-04T14:54:24.000Z</v>
      </c>
      <c r="K595" s="54" t="str">
        <f>IFERROR(IF(INDEX(SPOT_Import!$A$1:$Z$2488,595,'Live Data'!$C$22)="","",INDEX(SPOT_Import!$A$1:$Z$2488,595,'Live Data'!$C$22)),"")</f>
        <v>2023-04-04T14:54:24.000Z</v>
      </c>
      <c r="L595" s="55" t="str">
        <f t="shared" si="18"/>
        <v>2023-04</v>
      </c>
      <c r="M595" s="55" t="str">
        <f t="shared" si="19"/>
        <v>MERU</v>
      </c>
      <c r="N595" s="55" t="str">
        <f>IF(A595="","",IFERROR(INDEX('Cluster Map'!$A$4:$A$38,MATCH(M595,'Cluster Map'!$B$4:$B$38,0)),"Unmapped"))</f>
        <v>Cluster 1</v>
      </c>
      <c r="O595" s="55">
        <f>IF(A595="",0,IF(COUNTIFS($A$2:A595,A595,$F$2:F595,F595,$L$2:L595,L595)=1,1,0))</f>
        <v>1</v>
      </c>
      <c r="P595" s="55">
        <f>IF(A595="",0,IF(AND(F595="C&amp;T",COUNTIFS($A$2:A595,A595,$F$2:F595,"C&amp;T")=1),1,0))</f>
        <v>0</v>
      </c>
    </row>
    <row r="596" spans="1:16" x14ac:dyDescent="0.35">
      <c r="A596" s="54">
        <f>IFERROR(IF(INDEX(SPOT_Import!$A$1:$Z$2488,596,'Live Data'!$C$12)="","",INDEX(SPOT_Import!$A$1:$Z$2488,596,'Live Data'!$C$12)),"")</f>
        <v>24622</v>
      </c>
      <c r="B596" s="54" t="str">
        <f>IFERROR(IF(INDEX(SPOT_Import!$A$1:$Z$2488,596,'Live Data'!$C$13)="","",INDEX(SPOT_Import!$A$1:$Z$2488,596,'Live Data'!$C$13)),"")</f>
        <v>HWWK Maua Dice</v>
      </c>
      <c r="C596" s="54" t="str">
        <f>IFERROR(IF(INDEX(SPOT_Import!$A$1:$Z$2488,596,'Live Data'!$C$14)="","",INDEX(SPOT_Import!$A$1:$Z$2488,596,'Live Data'!$C$14)),"")</f>
        <v>MERU</v>
      </c>
      <c r="D596" s="54" t="str">
        <f>IFERROR(IF(INDEX(SPOT_Import!$A$1:$Z$2488,596,'Live Data'!$C$15)="","",INDEX(SPOT_Import!$A$1:$Z$2488,596,'Live Data'!$C$15)),"")</f>
        <v>Igembe South</v>
      </c>
      <c r="E596" s="54" t="str">
        <f>IFERROR(IF(INDEX(SPOT_Import!$A$1:$Z$2488,596,'Live Data'!$C$16)="","",INDEX(SPOT_Import!$A$1:$Z$2488,596,'Live Data'!$C$16)),"")</f>
        <v>USAID Jamii Tekelezi</v>
      </c>
      <c r="F596" s="54" t="str">
        <f>IFERROR(IF(INDEX(SPOT_Import!$A$1:$Z$2488,596,'Live Data'!$C$17)="","",INDEX(SPOT_Import!$A$1:$Z$2488,596,'Live Data'!$C$17)),"")</f>
        <v>CRS</v>
      </c>
      <c r="G596" s="54">
        <f>IFERROR(IF(INDEX(SPOT_Import!$A$1:$Z$2488,596,'Live Data'!$C$18)="","",INDEX(SPOT_Import!$A$1:$Z$2488,596,'Live Data'!$C$18)),"")</f>
        <v>39</v>
      </c>
      <c r="H596" s="54" t="str">
        <f>IFERROR(IF(INDEX(SPOT_Import!$A$1:$Z$2488,596,'Live Data'!$C$19)="","",INDEX(SPOT_Import!$A$1:$Z$2488,596,'Live Data'!$C$19)),"")</f>
        <v/>
      </c>
      <c r="I596" s="54" t="str">
        <f>IFERROR(IF(INDEX(SPOT_Import!$A$1:$Z$2488,596,'Live Data'!$C$20)="","",INDEX(SPOT_Import!$A$1:$Z$2488,596,'Live Data'!$C$20)),"")</f>
        <v>Complete</v>
      </c>
      <c r="J596" s="54" t="str">
        <f>IFERROR(IF(INDEX(SPOT_Import!$A$1:$Z$2488,596,'Live Data'!$C$21)="","",INDEX(SPOT_Import!$A$1:$Z$2488,596,'Live Data'!$C$21)),"")</f>
        <v>2023-04-04T14:54:10.000Z</v>
      </c>
      <c r="K596" s="54" t="str">
        <f>IFERROR(IF(INDEX(SPOT_Import!$A$1:$Z$2488,596,'Live Data'!$C$22)="","",INDEX(SPOT_Import!$A$1:$Z$2488,596,'Live Data'!$C$22)),"")</f>
        <v>2023-04-04T14:54:10.000Z</v>
      </c>
      <c r="L596" s="55" t="str">
        <f t="shared" si="18"/>
        <v>2023-04</v>
      </c>
      <c r="M596" s="55" t="str">
        <f t="shared" si="19"/>
        <v>MERU</v>
      </c>
      <c r="N596" s="55" t="str">
        <f>IF(A596="","",IFERROR(INDEX('Cluster Map'!$A$4:$A$38,MATCH(M596,'Cluster Map'!$B$4:$B$38,0)),"Unmapped"))</f>
        <v>Cluster 1</v>
      </c>
      <c r="O596" s="55">
        <f>IF(A596="",0,IF(COUNTIFS($A$2:A596,A596,$F$2:F596,F596,$L$2:L596,L596)=1,1,0))</f>
        <v>1</v>
      </c>
      <c r="P596" s="55">
        <f>IF(A596="",0,IF(AND(F596="C&amp;T",COUNTIFS($A$2:A596,A596,$F$2:F596,"C&amp;T")=1),1,0))</f>
        <v>0</v>
      </c>
    </row>
    <row r="597" spans="1:16" x14ac:dyDescent="0.35">
      <c r="A597" s="54">
        <f>IFERROR(IF(INDEX(SPOT_Import!$A$1:$Z$2488,597,'Live Data'!$C$12)="","",INDEX(SPOT_Import!$A$1:$Z$2488,597,'Live Data'!$C$12)),"")</f>
        <v>12282</v>
      </c>
      <c r="B597" s="54" t="str">
        <f>IFERROR(IF(INDEX(SPOT_Import!$A$1:$Z$2488,597,'Live Data'!$C$13)="","",INDEX(SPOT_Import!$A$1:$Z$2488,597,'Live Data'!$C$13)),"")</f>
        <v>Kibirichia Sub-district Hospital</v>
      </c>
      <c r="C597" s="54" t="str">
        <f>IFERROR(IF(INDEX(SPOT_Import!$A$1:$Z$2488,597,'Live Data'!$C$14)="","",INDEX(SPOT_Import!$A$1:$Z$2488,597,'Live Data'!$C$14)),"")</f>
        <v>MERU</v>
      </c>
      <c r="D597" s="54" t="str">
        <f>IFERROR(IF(INDEX(SPOT_Import!$A$1:$Z$2488,597,'Live Data'!$C$15)="","",INDEX(SPOT_Import!$A$1:$Z$2488,597,'Live Data'!$C$15)),"")</f>
        <v>Buuri</v>
      </c>
      <c r="E597" s="54" t="str">
        <f>IFERROR(IF(INDEX(SPOT_Import!$A$1:$Z$2488,597,'Live Data'!$C$16)="","",INDEX(SPOT_Import!$A$1:$Z$2488,597,'Live Data'!$C$16)),"")</f>
        <v>USAID Jamii Tekelezi</v>
      </c>
      <c r="F597" s="54" t="str">
        <f>IFERROR(IF(INDEX(SPOT_Import!$A$1:$Z$2488,597,'Live Data'!$C$17)="","",INDEX(SPOT_Import!$A$1:$Z$2488,597,'Live Data'!$C$17)),"")</f>
        <v>CRS</v>
      </c>
      <c r="G597" s="54">
        <f>IFERROR(IF(INDEX(SPOT_Import!$A$1:$Z$2488,597,'Live Data'!$C$18)="","",INDEX(SPOT_Import!$A$1:$Z$2488,597,'Live Data'!$C$18)),"")</f>
        <v>232</v>
      </c>
      <c r="H597" s="54">
        <f>IFERROR(IF(INDEX(SPOT_Import!$A$1:$Z$2488,597,'Live Data'!$C$19)="","",INDEX(SPOT_Import!$A$1:$Z$2488,597,'Live Data'!$C$19)),"")</f>
        <v>232</v>
      </c>
      <c r="I597" s="54" t="str">
        <f>IFERROR(IF(INDEX(SPOT_Import!$A$1:$Z$2488,597,'Live Data'!$C$20)="","",INDEX(SPOT_Import!$A$1:$Z$2488,597,'Live Data'!$C$20)),"")</f>
        <v>Complete</v>
      </c>
      <c r="J597" s="54" t="str">
        <f>IFERROR(IF(INDEX(SPOT_Import!$A$1:$Z$2488,597,'Live Data'!$C$21)="","",INDEX(SPOT_Import!$A$1:$Z$2488,597,'Live Data'!$C$21)),"")</f>
        <v>2023-04-04T14:20:58.000Z</v>
      </c>
      <c r="K597" s="54" t="str">
        <f>IFERROR(IF(INDEX(SPOT_Import!$A$1:$Z$2488,597,'Live Data'!$C$22)="","",INDEX(SPOT_Import!$A$1:$Z$2488,597,'Live Data'!$C$22)),"")</f>
        <v>2023-04-04T14:20:58.000Z</v>
      </c>
      <c r="L597" s="55" t="str">
        <f t="shared" si="18"/>
        <v>2023-04</v>
      </c>
      <c r="M597" s="55" t="str">
        <f t="shared" si="19"/>
        <v>MERU</v>
      </c>
      <c r="N597" s="55" t="str">
        <f>IF(A597="","",IFERROR(INDEX('Cluster Map'!$A$4:$A$38,MATCH(M597,'Cluster Map'!$B$4:$B$38,0)),"Unmapped"))</f>
        <v>Cluster 1</v>
      </c>
      <c r="O597" s="55">
        <f>IF(A597="",0,IF(COUNTIFS($A$2:A597,A597,$F$2:F597,F597,$L$2:L597,L597)=1,1,0))</f>
        <v>1</v>
      </c>
      <c r="P597" s="55">
        <f>IF(A597="",0,IF(AND(F597="C&amp;T",COUNTIFS($A$2:A597,A597,$F$2:F597,"C&amp;T")=1),1,0))</f>
        <v>0</v>
      </c>
    </row>
    <row r="598" spans="1:16" x14ac:dyDescent="0.35">
      <c r="A598" s="54">
        <f>IFERROR(IF(INDEX(SPOT_Import!$A$1:$Z$2488,598,'Live Data'!$C$12)="","",INDEX(SPOT_Import!$A$1:$Z$2488,598,'Live Data'!$C$12)),"")</f>
        <v>10043</v>
      </c>
      <c r="B598" s="54" t="str">
        <f>IFERROR(IF(INDEX(SPOT_Import!$A$1:$Z$2488,598,'Live Data'!$C$13)="","",INDEX(SPOT_Import!$A$1:$Z$2488,598,'Live Data'!$C$13)),"")</f>
        <v>Baari Health centre</v>
      </c>
      <c r="C598" s="54" t="str">
        <f>IFERROR(IF(INDEX(SPOT_Import!$A$1:$Z$2488,598,'Live Data'!$C$14)="","",INDEX(SPOT_Import!$A$1:$Z$2488,598,'Live Data'!$C$14)),"")</f>
        <v>NYANDARUA</v>
      </c>
      <c r="D598" s="54" t="str">
        <f>IFERROR(IF(INDEX(SPOT_Import!$A$1:$Z$2488,598,'Live Data'!$C$15)="","",INDEX(SPOT_Import!$A$1:$Z$2488,598,'Live Data'!$C$15)),"")</f>
        <v>Ndaragwa</v>
      </c>
      <c r="E598" s="54" t="str">
        <f>IFERROR(IF(INDEX(SPOT_Import!$A$1:$Z$2488,598,'Live Data'!$C$16)="","",INDEX(SPOT_Import!$A$1:$Z$2488,598,'Live Data'!$C$16)),"")</f>
        <v>USAID Jamii Tekelezi</v>
      </c>
      <c r="F598" s="54" t="str">
        <f>IFERROR(IF(INDEX(SPOT_Import!$A$1:$Z$2488,598,'Live Data'!$C$17)="","",INDEX(SPOT_Import!$A$1:$Z$2488,598,'Live Data'!$C$17)),"")</f>
        <v>CRS</v>
      </c>
      <c r="G598" s="54">
        <f>IFERROR(IF(INDEX(SPOT_Import!$A$1:$Z$2488,598,'Live Data'!$C$18)="","",INDEX(SPOT_Import!$A$1:$Z$2488,598,'Live Data'!$C$18)),"")</f>
        <v>275</v>
      </c>
      <c r="H598" s="54">
        <f>IFERROR(IF(INDEX(SPOT_Import!$A$1:$Z$2488,598,'Live Data'!$C$19)="","",INDEX(SPOT_Import!$A$1:$Z$2488,598,'Live Data'!$C$19)),"")</f>
        <v>275</v>
      </c>
      <c r="I598" s="54" t="str">
        <f>IFERROR(IF(INDEX(SPOT_Import!$A$1:$Z$2488,598,'Live Data'!$C$20)="","",INDEX(SPOT_Import!$A$1:$Z$2488,598,'Live Data'!$C$20)),"")</f>
        <v>Complete</v>
      </c>
      <c r="J598" s="54" t="str">
        <f>IFERROR(IF(INDEX(SPOT_Import!$A$1:$Z$2488,598,'Live Data'!$C$21)="","",INDEX(SPOT_Import!$A$1:$Z$2488,598,'Live Data'!$C$21)),"")</f>
        <v>2023-04-04T14:11:07.000Z</v>
      </c>
      <c r="K598" s="54" t="str">
        <f>IFERROR(IF(INDEX(SPOT_Import!$A$1:$Z$2488,598,'Live Data'!$C$22)="","",INDEX(SPOT_Import!$A$1:$Z$2488,598,'Live Data'!$C$22)),"")</f>
        <v>2023-04-04T14:11:07.000Z</v>
      </c>
      <c r="L598" s="55" t="str">
        <f t="shared" si="18"/>
        <v>2023-04</v>
      </c>
      <c r="M598" s="55" t="str">
        <f t="shared" si="19"/>
        <v>NYANDARUA</v>
      </c>
      <c r="N598" s="55" t="str">
        <f>IF(A598="","",IFERROR(INDEX('Cluster Map'!$A$4:$A$38,MATCH(M598,'Cluster Map'!$B$4:$B$38,0)),"Unmapped"))</f>
        <v>Cluster 4</v>
      </c>
      <c r="O598" s="55">
        <f>IF(A598="",0,IF(COUNTIFS($A$2:A598,A598,$F$2:F598,F598,$L$2:L598,L598)=1,1,0))</f>
        <v>1</v>
      </c>
      <c r="P598" s="55">
        <f>IF(A598="",0,IF(AND(F598="C&amp;T",COUNTIFS($A$2:A598,A598,$F$2:F598,"C&amp;T")=1),1,0))</f>
        <v>0</v>
      </c>
    </row>
    <row r="599" spans="1:16" x14ac:dyDescent="0.35">
      <c r="A599" s="54">
        <f>IFERROR(IF(INDEX(SPOT_Import!$A$1:$Z$2488,599,'Live Data'!$C$12)="","",INDEX(SPOT_Import!$A$1:$Z$2488,599,'Live Data'!$C$12)),"")</f>
        <v>11173</v>
      </c>
      <c r="B599" s="54" t="str">
        <f>IFERROR(IF(INDEX(SPOT_Import!$A$1:$Z$2488,599,'Live Data'!$C$13)="","",INDEX(SPOT_Import!$A$1:$Z$2488,599,'Live Data'!$C$13)),"")</f>
        <v>Wanjohi Health Centre</v>
      </c>
      <c r="C599" s="54" t="str">
        <f>IFERROR(IF(INDEX(SPOT_Import!$A$1:$Z$2488,599,'Live Data'!$C$14)="","",INDEX(SPOT_Import!$A$1:$Z$2488,599,'Live Data'!$C$14)),"")</f>
        <v>NYANDARUA</v>
      </c>
      <c r="D599" s="54" t="str">
        <f>IFERROR(IF(INDEX(SPOT_Import!$A$1:$Z$2488,599,'Live Data'!$C$15)="","",INDEX(SPOT_Import!$A$1:$Z$2488,599,'Live Data'!$C$15)),"")</f>
        <v>Kipipiri</v>
      </c>
      <c r="E599" s="54" t="str">
        <f>IFERROR(IF(INDEX(SPOT_Import!$A$1:$Z$2488,599,'Live Data'!$C$16)="","",INDEX(SPOT_Import!$A$1:$Z$2488,599,'Live Data'!$C$16)),"")</f>
        <v>USAID Jamii Tekelezi</v>
      </c>
      <c r="F599" s="54" t="str">
        <f>IFERROR(IF(INDEX(SPOT_Import!$A$1:$Z$2488,599,'Live Data'!$C$17)="","",INDEX(SPOT_Import!$A$1:$Z$2488,599,'Live Data'!$C$17)),"")</f>
        <v>CRS</v>
      </c>
      <c r="G599" s="54">
        <f>IFERROR(IF(INDEX(SPOT_Import!$A$1:$Z$2488,599,'Live Data'!$C$18)="","",INDEX(SPOT_Import!$A$1:$Z$2488,599,'Live Data'!$C$18)),"")</f>
        <v>647</v>
      </c>
      <c r="H599" s="54">
        <f>IFERROR(IF(INDEX(SPOT_Import!$A$1:$Z$2488,599,'Live Data'!$C$19)="","",INDEX(SPOT_Import!$A$1:$Z$2488,599,'Live Data'!$C$19)),"")</f>
        <v>647</v>
      </c>
      <c r="I599" s="54" t="str">
        <f>IFERROR(IF(INDEX(SPOT_Import!$A$1:$Z$2488,599,'Live Data'!$C$20)="","",INDEX(SPOT_Import!$A$1:$Z$2488,599,'Live Data'!$C$20)),"")</f>
        <v>Complete</v>
      </c>
      <c r="J599" s="54" t="str">
        <f>IFERROR(IF(INDEX(SPOT_Import!$A$1:$Z$2488,599,'Live Data'!$C$21)="","",INDEX(SPOT_Import!$A$1:$Z$2488,599,'Live Data'!$C$21)),"")</f>
        <v>2023-04-04T13:53:53.000Z</v>
      </c>
      <c r="K599" s="54" t="str">
        <f>IFERROR(IF(INDEX(SPOT_Import!$A$1:$Z$2488,599,'Live Data'!$C$22)="","",INDEX(SPOT_Import!$A$1:$Z$2488,599,'Live Data'!$C$22)),"")</f>
        <v>2023-04-04T13:53:53.000Z</v>
      </c>
      <c r="L599" s="55" t="str">
        <f t="shared" si="18"/>
        <v>2023-04</v>
      </c>
      <c r="M599" s="55" t="str">
        <f t="shared" si="19"/>
        <v>NYANDARUA</v>
      </c>
      <c r="N599" s="55" t="str">
        <f>IF(A599="","",IFERROR(INDEX('Cluster Map'!$A$4:$A$38,MATCH(M599,'Cluster Map'!$B$4:$B$38,0)),"Unmapped"))</f>
        <v>Cluster 4</v>
      </c>
      <c r="O599" s="55">
        <f>IF(A599="",0,IF(COUNTIFS($A$2:A599,A599,$F$2:F599,F599,$L$2:L599,L599)=1,1,0))</f>
        <v>1</v>
      </c>
      <c r="P599" s="55">
        <f>IF(A599="",0,IF(AND(F599="C&amp;T",COUNTIFS($A$2:A599,A599,$F$2:F599,"C&amp;T")=1),1,0))</f>
        <v>0</v>
      </c>
    </row>
    <row r="600" spans="1:16" x14ac:dyDescent="0.35">
      <c r="A600" s="54">
        <f>IFERROR(IF(INDEX(SPOT_Import!$A$1:$Z$2488,600,'Live Data'!$C$12)="","",INDEX(SPOT_Import!$A$1:$Z$2488,600,'Live Data'!$C$12)),"")</f>
        <v>10312</v>
      </c>
      <c r="B600" s="54" t="str">
        <f>IFERROR(IF(INDEX(SPOT_Import!$A$1:$Z$2488,600,'Live Data'!$C$13)="","",INDEX(SPOT_Import!$A$1:$Z$2488,600,'Live Data'!$C$13)),"")</f>
        <v>Heni Health Centre</v>
      </c>
      <c r="C600" s="54" t="str">
        <f>IFERROR(IF(INDEX(SPOT_Import!$A$1:$Z$2488,600,'Live Data'!$C$14)="","",INDEX(SPOT_Import!$A$1:$Z$2488,600,'Live Data'!$C$14)),"")</f>
        <v>NYANDARUA</v>
      </c>
      <c r="D600" s="54" t="str">
        <f>IFERROR(IF(INDEX(SPOT_Import!$A$1:$Z$2488,600,'Live Data'!$C$15)="","",INDEX(SPOT_Import!$A$1:$Z$2488,600,'Live Data'!$C$15)),"")</f>
        <v>Kinangop</v>
      </c>
      <c r="E600" s="54" t="str">
        <f>IFERROR(IF(INDEX(SPOT_Import!$A$1:$Z$2488,600,'Live Data'!$C$16)="","",INDEX(SPOT_Import!$A$1:$Z$2488,600,'Live Data'!$C$16)),"")</f>
        <v>USAID Jamii Tekelezi</v>
      </c>
      <c r="F600" s="54" t="str">
        <f>IFERROR(IF(INDEX(SPOT_Import!$A$1:$Z$2488,600,'Live Data'!$C$17)="","",INDEX(SPOT_Import!$A$1:$Z$2488,600,'Live Data'!$C$17)),"")</f>
        <v>CRS</v>
      </c>
      <c r="G600" s="54">
        <f>IFERROR(IF(INDEX(SPOT_Import!$A$1:$Z$2488,600,'Live Data'!$C$18)="","",INDEX(SPOT_Import!$A$1:$Z$2488,600,'Live Data'!$C$18)),"")</f>
        <v>235</v>
      </c>
      <c r="H600" s="54">
        <f>IFERROR(IF(INDEX(SPOT_Import!$A$1:$Z$2488,600,'Live Data'!$C$19)="","",INDEX(SPOT_Import!$A$1:$Z$2488,600,'Live Data'!$C$19)),"")</f>
        <v>235</v>
      </c>
      <c r="I600" s="54" t="str">
        <f>IFERROR(IF(INDEX(SPOT_Import!$A$1:$Z$2488,600,'Live Data'!$C$20)="","",INDEX(SPOT_Import!$A$1:$Z$2488,600,'Live Data'!$C$20)),"")</f>
        <v>Complete</v>
      </c>
      <c r="J600" s="54" t="str">
        <f>IFERROR(IF(INDEX(SPOT_Import!$A$1:$Z$2488,600,'Live Data'!$C$21)="","",INDEX(SPOT_Import!$A$1:$Z$2488,600,'Live Data'!$C$21)),"")</f>
        <v>2023-04-04T13:27:50.000Z</v>
      </c>
      <c r="K600" s="54" t="str">
        <f>IFERROR(IF(INDEX(SPOT_Import!$A$1:$Z$2488,600,'Live Data'!$C$22)="","",INDEX(SPOT_Import!$A$1:$Z$2488,600,'Live Data'!$C$22)),"")</f>
        <v>2023-04-04T13:27:50.000Z</v>
      </c>
      <c r="L600" s="55" t="str">
        <f t="shared" si="18"/>
        <v>2023-04</v>
      </c>
      <c r="M600" s="55" t="str">
        <f t="shared" si="19"/>
        <v>NYANDARUA</v>
      </c>
      <c r="N600" s="55" t="str">
        <f>IF(A600="","",IFERROR(INDEX('Cluster Map'!$A$4:$A$38,MATCH(M600,'Cluster Map'!$B$4:$B$38,0)),"Unmapped"))</f>
        <v>Cluster 4</v>
      </c>
      <c r="O600" s="55">
        <f>IF(A600="",0,IF(COUNTIFS($A$2:A600,A600,$F$2:F600,F600,$L$2:L600,L600)=1,1,0))</f>
        <v>1</v>
      </c>
      <c r="P600" s="55">
        <f>IF(A600="",0,IF(AND(F600="C&amp;T",COUNTIFS($A$2:A600,A600,$F$2:F600,"C&amp;T")=1),1,0))</f>
        <v>0</v>
      </c>
    </row>
    <row r="601" spans="1:16" x14ac:dyDescent="0.35">
      <c r="A601" s="54">
        <f>IFERROR(IF(INDEX(SPOT_Import!$A$1:$Z$2488,601,'Live Data'!$C$12)="","",INDEX(SPOT_Import!$A$1:$Z$2488,601,'Live Data'!$C$12)),"")</f>
        <v>12534</v>
      </c>
      <c r="B601" s="54" t="str">
        <f>IFERROR(IF(INDEX(SPOT_Import!$A$1:$Z$2488,601,'Live Data'!$C$13)="","",INDEX(SPOT_Import!$A$1:$Z$2488,601,'Live Data'!$C$13)),"")</f>
        <v>Mitunguu Dispensary</v>
      </c>
      <c r="C601" s="54" t="str">
        <f>IFERROR(IF(INDEX(SPOT_Import!$A$1:$Z$2488,601,'Live Data'!$C$14)="","",INDEX(SPOT_Import!$A$1:$Z$2488,601,'Live Data'!$C$14)),"")</f>
        <v>MERU</v>
      </c>
      <c r="D601" s="54" t="str">
        <f>IFERROR(IF(INDEX(SPOT_Import!$A$1:$Z$2488,601,'Live Data'!$C$15)="","",INDEX(SPOT_Import!$A$1:$Z$2488,601,'Live Data'!$C$15)),"")</f>
        <v>Imenti South</v>
      </c>
      <c r="E601" s="54" t="str">
        <f>IFERROR(IF(INDEX(SPOT_Import!$A$1:$Z$2488,601,'Live Data'!$C$16)="","",INDEX(SPOT_Import!$A$1:$Z$2488,601,'Live Data'!$C$16)),"")</f>
        <v>USAID Jamii Tekelezi</v>
      </c>
      <c r="F601" s="54" t="str">
        <f>IFERROR(IF(INDEX(SPOT_Import!$A$1:$Z$2488,601,'Live Data'!$C$17)="","",INDEX(SPOT_Import!$A$1:$Z$2488,601,'Live Data'!$C$17)),"")</f>
        <v>CRS</v>
      </c>
      <c r="G601" s="54">
        <f>IFERROR(IF(INDEX(SPOT_Import!$A$1:$Z$2488,601,'Live Data'!$C$18)="","",INDEX(SPOT_Import!$A$1:$Z$2488,601,'Live Data'!$C$18)),"")</f>
        <v>591</v>
      </c>
      <c r="H601" s="54" t="str">
        <f>IFERROR(IF(INDEX(SPOT_Import!$A$1:$Z$2488,601,'Live Data'!$C$19)="","",INDEX(SPOT_Import!$A$1:$Z$2488,601,'Live Data'!$C$19)),"")</f>
        <v/>
      </c>
      <c r="I601" s="54" t="str">
        <f>IFERROR(IF(INDEX(SPOT_Import!$A$1:$Z$2488,601,'Live Data'!$C$20)="","",INDEX(SPOT_Import!$A$1:$Z$2488,601,'Live Data'!$C$20)),"")</f>
        <v>Complete</v>
      </c>
      <c r="J601" s="54" t="str">
        <f>IFERROR(IF(INDEX(SPOT_Import!$A$1:$Z$2488,601,'Live Data'!$C$21)="","",INDEX(SPOT_Import!$A$1:$Z$2488,601,'Live Data'!$C$21)),"")</f>
        <v>2023-04-04T13:00:15.000Z</v>
      </c>
      <c r="K601" s="54" t="str">
        <f>IFERROR(IF(INDEX(SPOT_Import!$A$1:$Z$2488,601,'Live Data'!$C$22)="","",INDEX(SPOT_Import!$A$1:$Z$2488,601,'Live Data'!$C$22)),"")</f>
        <v>2023-04-04T13:00:15.000Z</v>
      </c>
      <c r="L601" s="55" t="str">
        <f t="shared" si="18"/>
        <v>2023-04</v>
      </c>
      <c r="M601" s="55" t="str">
        <f t="shared" si="19"/>
        <v>MERU</v>
      </c>
      <c r="N601" s="55" t="str">
        <f>IF(A601="","",IFERROR(INDEX('Cluster Map'!$A$4:$A$38,MATCH(M601,'Cluster Map'!$B$4:$B$38,0)),"Unmapped"))</f>
        <v>Cluster 1</v>
      </c>
      <c r="O601" s="55">
        <f>IF(A601="",0,IF(COUNTIFS($A$2:A601,A601,$F$2:F601,F601,$L$2:L601,L601)=1,1,0))</f>
        <v>1</v>
      </c>
      <c r="P601" s="55">
        <f>IF(A601="",0,IF(AND(F601="C&amp;T",COUNTIFS($A$2:A601,A601,$F$2:F601,"C&amp;T")=1),1,0))</f>
        <v>0</v>
      </c>
    </row>
    <row r="602" spans="1:16" x14ac:dyDescent="0.35">
      <c r="A602" s="54">
        <f>IFERROR(IF(INDEX(SPOT_Import!$A$1:$Z$2488,602,'Live Data'!$C$12)="","",INDEX(SPOT_Import!$A$1:$Z$2488,602,'Live Data'!$C$12)),"")</f>
        <v>12192</v>
      </c>
      <c r="B602" s="54" t="str">
        <f>IFERROR(IF(INDEX(SPOT_Import!$A$1:$Z$2488,602,'Live Data'!$C$13)="","",INDEX(SPOT_Import!$A$1:$Z$2488,602,'Live Data'!$C$13)),"")</f>
        <v>Kaongo Health Centre</v>
      </c>
      <c r="C602" s="54" t="str">
        <f>IFERROR(IF(INDEX(SPOT_Import!$A$1:$Z$2488,602,'Live Data'!$C$14)="","",INDEX(SPOT_Import!$A$1:$Z$2488,602,'Live Data'!$C$14)),"")</f>
        <v>MERU</v>
      </c>
      <c r="D602" s="54" t="str">
        <f>IFERROR(IF(INDEX(SPOT_Import!$A$1:$Z$2488,602,'Live Data'!$C$15)="","",INDEX(SPOT_Import!$A$1:$Z$2488,602,'Live Data'!$C$15)),"")</f>
        <v>Imenti Central</v>
      </c>
      <c r="E602" s="54" t="str">
        <f>IFERROR(IF(INDEX(SPOT_Import!$A$1:$Z$2488,602,'Live Data'!$C$16)="","",INDEX(SPOT_Import!$A$1:$Z$2488,602,'Live Data'!$C$16)),"")</f>
        <v>USAID Jamii Tekelezi</v>
      </c>
      <c r="F602" s="54" t="str">
        <f>IFERROR(IF(INDEX(SPOT_Import!$A$1:$Z$2488,602,'Live Data'!$C$17)="","",INDEX(SPOT_Import!$A$1:$Z$2488,602,'Live Data'!$C$17)),"")</f>
        <v>CRS</v>
      </c>
      <c r="G602" s="54">
        <f>IFERROR(IF(INDEX(SPOT_Import!$A$1:$Z$2488,602,'Live Data'!$C$18)="","",INDEX(SPOT_Import!$A$1:$Z$2488,602,'Live Data'!$C$18)),"")</f>
        <v>95</v>
      </c>
      <c r="H602" s="54">
        <f>IFERROR(IF(INDEX(SPOT_Import!$A$1:$Z$2488,602,'Live Data'!$C$19)="","",INDEX(SPOT_Import!$A$1:$Z$2488,602,'Live Data'!$C$19)),"")</f>
        <v>95</v>
      </c>
      <c r="I602" s="54" t="str">
        <f>IFERROR(IF(INDEX(SPOT_Import!$A$1:$Z$2488,602,'Live Data'!$C$20)="","",INDEX(SPOT_Import!$A$1:$Z$2488,602,'Live Data'!$C$20)),"")</f>
        <v>Complete</v>
      </c>
      <c r="J602" s="54" t="str">
        <f>IFERROR(IF(INDEX(SPOT_Import!$A$1:$Z$2488,602,'Live Data'!$C$21)="","",INDEX(SPOT_Import!$A$1:$Z$2488,602,'Live Data'!$C$21)),"")</f>
        <v>2023-04-04T12:12:21.000Z</v>
      </c>
      <c r="K602" s="54" t="str">
        <f>IFERROR(IF(INDEX(SPOT_Import!$A$1:$Z$2488,602,'Live Data'!$C$22)="","",INDEX(SPOT_Import!$A$1:$Z$2488,602,'Live Data'!$C$22)),"")</f>
        <v>2023-04-04T12:12:21.000Z</v>
      </c>
      <c r="L602" s="55" t="str">
        <f t="shared" si="18"/>
        <v>2023-04</v>
      </c>
      <c r="M602" s="55" t="str">
        <f t="shared" si="19"/>
        <v>MERU</v>
      </c>
      <c r="N602" s="55" t="str">
        <f>IF(A602="","",IFERROR(INDEX('Cluster Map'!$A$4:$A$38,MATCH(M602,'Cluster Map'!$B$4:$B$38,0)),"Unmapped"))</f>
        <v>Cluster 1</v>
      </c>
      <c r="O602" s="55">
        <f>IF(A602="",0,IF(COUNTIFS($A$2:A602,A602,$F$2:F602,F602,$L$2:L602,L602)=1,1,0))</f>
        <v>1</v>
      </c>
      <c r="P602" s="55">
        <f>IF(A602="",0,IF(AND(F602="C&amp;T",COUNTIFS($A$2:A602,A602,$F$2:F602,"C&amp;T")=1),1,0))</f>
        <v>0</v>
      </c>
    </row>
    <row r="603" spans="1:16" x14ac:dyDescent="0.35">
      <c r="A603" s="54">
        <f>IFERROR(IF(INDEX(SPOT_Import!$A$1:$Z$2488,603,'Live Data'!$C$12)="","",INDEX(SPOT_Import!$A$1:$Z$2488,603,'Live Data'!$C$12)),"")</f>
        <v>10681</v>
      </c>
      <c r="B603" s="54" t="str">
        <f>IFERROR(IF(INDEX(SPOT_Import!$A$1:$Z$2488,603,'Live Data'!$C$13)="","",INDEX(SPOT_Import!$A$1:$Z$2488,603,'Live Data'!$C$13)),"")</f>
        <v>Manunga Health Centre</v>
      </c>
      <c r="C603" s="54" t="str">
        <f>IFERROR(IF(INDEX(SPOT_Import!$A$1:$Z$2488,603,'Live Data'!$C$14)="","",INDEX(SPOT_Import!$A$1:$Z$2488,603,'Live Data'!$C$14)),"")</f>
        <v>NYANDARUA</v>
      </c>
      <c r="D603" s="54" t="str">
        <f>IFERROR(IF(INDEX(SPOT_Import!$A$1:$Z$2488,603,'Live Data'!$C$15)="","",INDEX(SPOT_Import!$A$1:$Z$2488,603,'Live Data'!$C$15)),"")</f>
        <v>Kipipiri</v>
      </c>
      <c r="E603" s="54" t="str">
        <f>IFERROR(IF(INDEX(SPOT_Import!$A$1:$Z$2488,603,'Live Data'!$C$16)="","",INDEX(SPOT_Import!$A$1:$Z$2488,603,'Live Data'!$C$16)),"")</f>
        <v>USAID Jamii Tekelezi</v>
      </c>
      <c r="F603" s="54" t="str">
        <f>IFERROR(IF(INDEX(SPOT_Import!$A$1:$Z$2488,603,'Live Data'!$C$17)="","",INDEX(SPOT_Import!$A$1:$Z$2488,603,'Live Data'!$C$17)),"")</f>
        <v>CRS</v>
      </c>
      <c r="G603" s="54">
        <f>IFERROR(IF(INDEX(SPOT_Import!$A$1:$Z$2488,603,'Live Data'!$C$18)="","",INDEX(SPOT_Import!$A$1:$Z$2488,603,'Live Data'!$C$18)),"")</f>
        <v>321</v>
      </c>
      <c r="H603" s="54">
        <f>IFERROR(IF(INDEX(SPOT_Import!$A$1:$Z$2488,603,'Live Data'!$C$19)="","",INDEX(SPOT_Import!$A$1:$Z$2488,603,'Live Data'!$C$19)),"")</f>
        <v>321</v>
      </c>
      <c r="I603" s="54" t="str">
        <f>IFERROR(IF(INDEX(SPOT_Import!$A$1:$Z$2488,603,'Live Data'!$C$20)="","",INDEX(SPOT_Import!$A$1:$Z$2488,603,'Live Data'!$C$20)),"")</f>
        <v>Complete</v>
      </c>
      <c r="J603" s="54" t="str">
        <f>IFERROR(IF(INDEX(SPOT_Import!$A$1:$Z$2488,603,'Live Data'!$C$21)="","",INDEX(SPOT_Import!$A$1:$Z$2488,603,'Live Data'!$C$21)),"")</f>
        <v>2023-04-04T11:14:31.000Z</v>
      </c>
      <c r="K603" s="54" t="str">
        <f>IFERROR(IF(INDEX(SPOT_Import!$A$1:$Z$2488,603,'Live Data'!$C$22)="","",INDEX(SPOT_Import!$A$1:$Z$2488,603,'Live Data'!$C$22)),"")</f>
        <v>2023-04-04T11:14:31.000Z</v>
      </c>
      <c r="L603" s="55" t="str">
        <f t="shared" si="18"/>
        <v>2023-04</v>
      </c>
      <c r="M603" s="55" t="str">
        <f t="shared" si="19"/>
        <v>NYANDARUA</v>
      </c>
      <c r="N603" s="55" t="str">
        <f>IF(A603="","",IFERROR(INDEX('Cluster Map'!$A$4:$A$38,MATCH(M603,'Cluster Map'!$B$4:$B$38,0)),"Unmapped"))</f>
        <v>Cluster 4</v>
      </c>
      <c r="O603" s="55">
        <f>IF(A603="",0,IF(COUNTIFS($A$2:A603,A603,$F$2:F603,F603,$L$2:L603,L603)=1,1,0))</f>
        <v>1</v>
      </c>
      <c r="P603" s="55">
        <f>IF(A603="",0,IF(AND(F603="C&amp;T",COUNTIFS($A$2:A603,A603,$F$2:F603,"C&amp;T")=1),1,0))</f>
        <v>0</v>
      </c>
    </row>
    <row r="604" spans="1:16" x14ac:dyDescent="0.35">
      <c r="A604" s="54">
        <f>IFERROR(IF(INDEX(SPOT_Import!$A$1:$Z$2488,604,'Live Data'!$C$12)="","",INDEX(SPOT_Import!$A$1:$Z$2488,604,'Live Data'!$C$12)),"")</f>
        <v>12234</v>
      </c>
      <c r="B604" s="54" t="str">
        <f>IFERROR(IF(INDEX(SPOT_Import!$A$1:$Z$2488,604,'Live Data'!$C$13)="","",INDEX(SPOT_Import!$A$1:$Z$2488,604,'Live Data'!$C$13)),"")</f>
        <v>Kathithi Dispensary</v>
      </c>
      <c r="C604" s="54" t="str">
        <f>IFERROR(IF(INDEX(SPOT_Import!$A$1:$Z$2488,604,'Live Data'!$C$14)="","",INDEX(SPOT_Import!$A$1:$Z$2488,604,'Live Data'!$C$14)),"")</f>
        <v>MERU</v>
      </c>
      <c r="D604" s="54" t="str">
        <f>IFERROR(IF(INDEX(SPOT_Import!$A$1:$Z$2488,604,'Live Data'!$C$15)="","",INDEX(SPOT_Import!$A$1:$Z$2488,604,'Live Data'!$C$15)),"")</f>
        <v>Imenti North</v>
      </c>
      <c r="E604" s="54" t="str">
        <f>IFERROR(IF(INDEX(SPOT_Import!$A$1:$Z$2488,604,'Live Data'!$C$16)="","",INDEX(SPOT_Import!$A$1:$Z$2488,604,'Live Data'!$C$16)),"")</f>
        <v>USAID Jamii Tekelezi</v>
      </c>
      <c r="F604" s="54" t="str">
        <f>IFERROR(IF(INDEX(SPOT_Import!$A$1:$Z$2488,604,'Live Data'!$C$17)="","",INDEX(SPOT_Import!$A$1:$Z$2488,604,'Live Data'!$C$17)),"")</f>
        <v>CRS</v>
      </c>
      <c r="G604" s="54">
        <f>IFERROR(IF(INDEX(SPOT_Import!$A$1:$Z$2488,604,'Live Data'!$C$18)="","",INDEX(SPOT_Import!$A$1:$Z$2488,604,'Live Data'!$C$18)),"")</f>
        <v>211</v>
      </c>
      <c r="H604" s="54">
        <f>IFERROR(IF(INDEX(SPOT_Import!$A$1:$Z$2488,604,'Live Data'!$C$19)="","",INDEX(SPOT_Import!$A$1:$Z$2488,604,'Live Data'!$C$19)),"")</f>
        <v>211</v>
      </c>
      <c r="I604" s="54" t="str">
        <f>IFERROR(IF(INDEX(SPOT_Import!$A$1:$Z$2488,604,'Live Data'!$C$20)="","",INDEX(SPOT_Import!$A$1:$Z$2488,604,'Live Data'!$C$20)),"")</f>
        <v>Complete</v>
      </c>
      <c r="J604" s="54" t="str">
        <f>IFERROR(IF(INDEX(SPOT_Import!$A$1:$Z$2488,604,'Live Data'!$C$21)="","",INDEX(SPOT_Import!$A$1:$Z$2488,604,'Live Data'!$C$21)),"")</f>
        <v>2023-04-04T10:40:16.000Z</v>
      </c>
      <c r="K604" s="54" t="str">
        <f>IFERROR(IF(INDEX(SPOT_Import!$A$1:$Z$2488,604,'Live Data'!$C$22)="","",INDEX(SPOT_Import!$A$1:$Z$2488,604,'Live Data'!$C$22)),"")</f>
        <v>2023-04-04T10:40:16.000Z</v>
      </c>
      <c r="L604" s="55" t="str">
        <f t="shared" si="18"/>
        <v>2023-04</v>
      </c>
      <c r="M604" s="55" t="str">
        <f t="shared" si="19"/>
        <v>MERU</v>
      </c>
      <c r="N604" s="55" t="str">
        <f>IF(A604="","",IFERROR(INDEX('Cluster Map'!$A$4:$A$38,MATCH(M604,'Cluster Map'!$B$4:$B$38,0)),"Unmapped"))</f>
        <v>Cluster 1</v>
      </c>
      <c r="O604" s="55">
        <f>IF(A604="",0,IF(COUNTIFS($A$2:A604,A604,$F$2:F604,F604,$L$2:L604,L604)=1,1,0))</f>
        <v>1</v>
      </c>
      <c r="P604" s="55">
        <f>IF(A604="",0,IF(AND(F604="C&amp;T",COUNTIFS($A$2:A604,A604,$F$2:F604,"C&amp;T")=1),1,0))</f>
        <v>0</v>
      </c>
    </row>
    <row r="605" spans="1:16" x14ac:dyDescent="0.35">
      <c r="A605" s="54">
        <f>IFERROR(IF(INDEX(SPOT_Import!$A$1:$Z$2488,605,'Live Data'!$C$12)="","",INDEX(SPOT_Import!$A$1:$Z$2488,605,'Live Data'!$C$12)),"")</f>
        <v>12717</v>
      </c>
      <c r="B605" s="54" t="str">
        <f>IFERROR(IF(INDEX(SPOT_Import!$A$1:$Z$2488,605,'Live Data'!$C$13)="","",INDEX(SPOT_Import!$A$1:$Z$2488,605,'Live Data'!$C$13)),"")</f>
        <v>Ruiri Rural Health Demonstration Centre</v>
      </c>
      <c r="C605" s="54" t="str">
        <f>IFERROR(IF(INDEX(SPOT_Import!$A$1:$Z$2488,605,'Live Data'!$C$14)="","",INDEX(SPOT_Import!$A$1:$Z$2488,605,'Live Data'!$C$14)),"")</f>
        <v>MERU</v>
      </c>
      <c r="D605" s="54" t="str">
        <f>IFERROR(IF(INDEX(SPOT_Import!$A$1:$Z$2488,605,'Live Data'!$C$15)="","",INDEX(SPOT_Import!$A$1:$Z$2488,605,'Live Data'!$C$15)),"")</f>
        <v>Buuri</v>
      </c>
      <c r="E605" s="54" t="str">
        <f>IFERROR(IF(INDEX(SPOT_Import!$A$1:$Z$2488,605,'Live Data'!$C$16)="","",INDEX(SPOT_Import!$A$1:$Z$2488,605,'Live Data'!$C$16)),"")</f>
        <v>USAID Jamii Tekelezi</v>
      </c>
      <c r="F605" s="54" t="str">
        <f>IFERROR(IF(INDEX(SPOT_Import!$A$1:$Z$2488,605,'Live Data'!$C$17)="","",INDEX(SPOT_Import!$A$1:$Z$2488,605,'Live Data'!$C$17)),"")</f>
        <v>CRS</v>
      </c>
      <c r="G605" s="54">
        <f>IFERROR(IF(INDEX(SPOT_Import!$A$1:$Z$2488,605,'Live Data'!$C$18)="","",INDEX(SPOT_Import!$A$1:$Z$2488,605,'Live Data'!$C$18)),"")</f>
        <v>202</v>
      </c>
      <c r="H605" s="54">
        <f>IFERROR(IF(INDEX(SPOT_Import!$A$1:$Z$2488,605,'Live Data'!$C$19)="","",INDEX(SPOT_Import!$A$1:$Z$2488,605,'Live Data'!$C$19)),"")</f>
        <v>202</v>
      </c>
      <c r="I605" s="54" t="str">
        <f>IFERROR(IF(INDEX(SPOT_Import!$A$1:$Z$2488,605,'Live Data'!$C$20)="","",INDEX(SPOT_Import!$A$1:$Z$2488,605,'Live Data'!$C$20)),"")</f>
        <v>Complete</v>
      </c>
      <c r="J605" s="54" t="str">
        <f>IFERROR(IF(INDEX(SPOT_Import!$A$1:$Z$2488,605,'Live Data'!$C$21)="","",INDEX(SPOT_Import!$A$1:$Z$2488,605,'Live Data'!$C$21)),"")</f>
        <v>2023-04-04T09:29:38.000Z</v>
      </c>
      <c r="K605" s="54" t="str">
        <f>IFERROR(IF(INDEX(SPOT_Import!$A$1:$Z$2488,605,'Live Data'!$C$22)="","",INDEX(SPOT_Import!$A$1:$Z$2488,605,'Live Data'!$C$22)),"")</f>
        <v>2023-04-04T09:29:38.000Z</v>
      </c>
      <c r="L605" s="55" t="str">
        <f t="shared" si="18"/>
        <v>2023-04</v>
      </c>
      <c r="M605" s="55" t="str">
        <f t="shared" si="19"/>
        <v>MERU</v>
      </c>
      <c r="N605" s="55" t="str">
        <f>IF(A605="","",IFERROR(INDEX('Cluster Map'!$A$4:$A$38,MATCH(M605,'Cluster Map'!$B$4:$B$38,0)),"Unmapped"))</f>
        <v>Cluster 1</v>
      </c>
      <c r="O605" s="55">
        <f>IF(A605="",0,IF(COUNTIFS($A$2:A605,A605,$F$2:F605,F605,$L$2:L605,L605)=1,1,0))</f>
        <v>1</v>
      </c>
      <c r="P605" s="55">
        <f>IF(A605="",0,IF(AND(F605="C&amp;T",COUNTIFS($A$2:A605,A605,$F$2:F605,"C&amp;T")=1),1,0))</f>
        <v>0</v>
      </c>
    </row>
    <row r="606" spans="1:16" x14ac:dyDescent="0.35">
      <c r="A606" s="54">
        <f>IFERROR(IF(INDEX(SPOT_Import!$A$1:$Z$2488,606,'Live Data'!$C$12)="","",INDEX(SPOT_Import!$A$1:$Z$2488,606,'Live Data'!$C$12)),"")</f>
        <v>10481</v>
      </c>
      <c r="B606" s="54" t="str">
        <f>IFERROR(IF(INDEX(SPOT_Import!$A$1:$Z$2488,606,'Live Data'!$C$13)="","",INDEX(SPOT_Import!$A$1:$Z$2488,606,'Live Data'!$C$13)),"")</f>
        <v>Karangatha Health Centre</v>
      </c>
      <c r="C606" s="54" t="str">
        <f>IFERROR(IF(INDEX(SPOT_Import!$A$1:$Z$2488,606,'Live Data'!$C$14)="","",INDEX(SPOT_Import!$A$1:$Z$2488,606,'Live Data'!$C$14)),"")</f>
        <v>NYANDARUA</v>
      </c>
      <c r="D606" s="54" t="str">
        <f>IFERROR(IF(INDEX(SPOT_Import!$A$1:$Z$2488,606,'Live Data'!$C$15)="","",INDEX(SPOT_Import!$A$1:$Z$2488,606,'Live Data'!$C$15)),"")</f>
        <v>Kinangop</v>
      </c>
      <c r="E606" s="54" t="str">
        <f>IFERROR(IF(INDEX(SPOT_Import!$A$1:$Z$2488,606,'Live Data'!$C$16)="","",INDEX(SPOT_Import!$A$1:$Z$2488,606,'Live Data'!$C$16)),"")</f>
        <v>USAID Jamii Tekelezi</v>
      </c>
      <c r="F606" s="54" t="str">
        <f>IFERROR(IF(INDEX(SPOT_Import!$A$1:$Z$2488,606,'Live Data'!$C$17)="","",INDEX(SPOT_Import!$A$1:$Z$2488,606,'Live Data'!$C$17)),"")</f>
        <v>CRS</v>
      </c>
      <c r="G606" s="54">
        <f>IFERROR(IF(INDEX(SPOT_Import!$A$1:$Z$2488,606,'Live Data'!$C$18)="","",INDEX(SPOT_Import!$A$1:$Z$2488,606,'Live Data'!$C$18)),"")</f>
        <v>142</v>
      </c>
      <c r="H606" s="54">
        <f>IFERROR(IF(INDEX(SPOT_Import!$A$1:$Z$2488,606,'Live Data'!$C$19)="","",INDEX(SPOT_Import!$A$1:$Z$2488,606,'Live Data'!$C$19)),"")</f>
        <v>142</v>
      </c>
      <c r="I606" s="54" t="str">
        <f>IFERROR(IF(INDEX(SPOT_Import!$A$1:$Z$2488,606,'Live Data'!$C$20)="","",INDEX(SPOT_Import!$A$1:$Z$2488,606,'Live Data'!$C$20)),"")</f>
        <v>Complete</v>
      </c>
      <c r="J606" s="54" t="str">
        <f>IFERROR(IF(INDEX(SPOT_Import!$A$1:$Z$2488,606,'Live Data'!$C$21)="","",INDEX(SPOT_Import!$A$1:$Z$2488,606,'Live Data'!$C$21)),"")</f>
        <v>2023-04-04T08:27:52.000Z</v>
      </c>
      <c r="K606" s="54" t="str">
        <f>IFERROR(IF(INDEX(SPOT_Import!$A$1:$Z$2488,606,'Live Data'!$C$22)="","",INDEX(SPOT_Import!$A$1:$Z$2488,606,'Live Data'!$C$22)),"")</f>
        <v>2023-04-04T08:27:52.000Z</v>
      </c>
      <c r="L606" s="55" t="str">
        <f t="shared" si="18"/>
        <v>2023-04</v>
      </c>
      <c r="M606" s="55" t="str">
        <f t="shared" si="19"/>
        <v>NYANDARUA</v>
      </c>
      <c r="N606" s="55" t="str">
        <f>IF(A606="","",IFERROR(INDEX('Cluster Map'!$A$4:$A$38,MATCH(M606,'Cluster Map'!$B$4:$B$38,0)),"Unmapped"))</f>
        <v>Cluster 4</v>
      </c>
      <c r="O606" s="55">
        <f>IF(A606="",0,IF(COUNTIFS($A$2:A606,A606,$F$2:F606,F606,$L$2:L606,L606)=1,1,0))</f>
        <v>1</v>
      </c>
      <c r="P606" s="55">
        <f>IF(A606="",0,IF(AND(F606="C&amp;T",COUNTIFS($A$2:A606,A606,$F$2:F606,"C&amp;T")=1),1,0))</f>
        <v>0</v>
      </c>
    </row>
    <row r="607" spans="1:16" x14ac:dyDescent="0.35">
      <c r="A607" s="54">
        <f>IFERROR(IF(INDEX(SPOT_Import!$A$1:$Z$2488,607,'Live Data'!$C$12)="","",INDEX(SPOT_Import!$A$1:$Z$2488,607,'Live Data'!$C$12)),"")</f>
        <v>12516</v>
      </c>
      <c r="B607" s="54" t="str">
        <f>IFERROR(IF(INDEX(SPOT_Import!$A$1:$Z$2488,607,'Live Data'!$C$13)="","",INDEX(SPOT_Import!$A$1:$Z$2488,607,'Live Data'!$C$13)),"")</f>
        <v>Meru District hospital</v>
      </c>
      <c r="C607" s="54" t="str">
        <f>IFERROR(IF(INDEX(SPOT_Import!$A$1:$Z$2488,607,'Live Data'!$C$14)="","",INDEX(SPOT_Import!$A$1:$Z$2488,607,'Live Data'!$C$14)),"")</f>
        <v>MERU</v>
      </c>
      <c r="D607" s="54" t="str">
        <f>IFERROR(IF(INDEX(SPOT_Import!$A$1:$Z$2488,607,'Live Data'!$C$15)="","",INDEX(SPOT_Import!$A$1:$Z$2488,607,'Live Data'!$C$15)),"")</f>
        <v>Imenti North</v>
      </c>
      <c r="E607" s="54" t="str">
        <f>IFERROR(IF(INDEX(SPOT_Import!$A$1:$Z$2488,607,'Live Data'!$C$16)="","",INDEX(SPOT_Import!$A$1:$Z$2488,607,'Live Data'!$C$16)),"")</f>
        <v>USAID Jamii Tekelezi</v>
      </c>
      <c r="F607" s="54" t="str">
        <f>IFERROR(IF(INDEX(SPOT_Import!$A$1:$Z$2488,607,'Live Data'!$C$17)="","",INDEX(SPOT_Import!$A$1:$Z$2488,607,'Live Data'!$C$17)),"")</f>
        <v>CRS</v>
      </c>
      <c r="G607" s="54">
        <f>IFERROR(IF(INDEX(SPOT_Import!$A$1:$Z$2488,607,'Live Data'!$C$18)="","",INDEX(SPOT_Import!$A$1:$Z$2488,607,'Live Data'!$C$18)),"")</f>
        <v>9633</v>
      </c>
      <c r="H607" s="54">
        <f>IFERROR(IF(INDEX(SPOT_Import!$A$1:$Z$2488,607,'Live Data'!$C$19)="","",INDEX(SPOT_Import!$A$1:$Z$2488,607,'Live Data'!$C$19)),"")</f>
        <v>28822</v>
      </c>
      <c r="I607" s="54" t="str">
        <f>IFERROR(IF(INDEX(SPOT_Import!$A$1:$Z$2488,607,'Live Data'!$C$20)="","",INDEX(SPOT_Import!$A$1:$Z$2488,607,'Live Data'!$C$20)),"")</f>
        <v>Complete</v>
      </c>
      <c r="J607" s="54" t="str">
        <f>IFERROR(IF(INDEX(SPOT_Import!$A$1:$Z$2488,607,'Live Data'!$C$21)="","",INDEX(SPOT_Import!$A$1:$Z$2488,607,'Live Data'!$C$21)),"")</f>
        <v>2023-04-04T08:15:14.000Z</v>
      </c>
      <c r="K607" s="54" t="str">
        <f>IFERROR(IF(INDEX(SPOT_Import!$A$1:$Z$2488,607,'Live Data'!$C$22)="","",INDEX(SPOT_Import!$A$1:$Z$2488,607,'Live Data'!$C$22)),"")</f>
        <v>2023-04-04T08:15:14.000Z</v>
      </c>
      <c r="L607" s="55" t="str">
        <f t="shared" si="18"/>
        <v>2023-04</v>
      </c>
      <c r="M607" s="55" t="str">
        <f t="shared" si="19"/>
        <v>MERU</v>
      </c>
      <c r="N607" s="55" t="str">
        <f>IF(A607="","",IFERROR(INDEX('Cluster Map'!$A$4:$A$38,MATCH(M607,'Cluster Map'!$B$4:$B$38,0)),"Unmapped"))</f>
        <v>Cluster 1</v>
      </c>
      <c r="O607" s="55">
        <f>IF(A607="",0,IF(COUNTIFS($A$2:A607,A607,$F$2:F607,F607,$L$2:L607,L607)=1,1,0))</f>
        <v>1</v>
      </c>
      <c r="P607" s="55">
        <f>IF(A607="",0,IF(AND(F607="C&amp;T",COUNTIFS($A$2:A607,A607,$F$2:F607,"C&amp;T")=1),1,0))</f>
        <v>0</v>
      </c>
    </row>
    <row r="608" spans="1:16" x14ac:dyDescent="0.35">
      <c r="A608" s="54">
        <f>IFERROR(IF(INDEX(SPOT_Import!$A$1:$Z$2488,608,'Live Data'!$C$12)="","",INDEX(SPOT_Import!$A$1:$Z$2488,608,'Live Data'!$C$12)),"")</f>
        <v>12560</v>
      </c>
      <c r="B608" s="54" t="str">
        <f>IFERROR(IF(INDEX(SPOT_Import!$A$1:$Z$2488,608,'Live Data'!$C$13)="","",INDEX(SPOT_Import!$A$1:$Z$2488,608,'Live Data'!$C$13)),"")</f>
        <v>Mukothima Health Centre</v>
      </c>
      <c r="C608" s="54" t="str">
        <f>IFERROR(IF(INDEX(SPOT_Import!$A$1:$Z$2488,608,'Live Data'!$C$14)="","",INDEX(SPOT_Import!$A$1:$Z$2488,608,'Live Data'!$C$14)),"")</f>
        <v>THARAKA-NITHI</v>
      </c>
      <c r="D608" s="54" t="str">
        <f>IFERROR(IF(INDEX(SPOT_Import!$A$1:$Z$2488,608,'Live Data'!$C$15)="","",INDEX(SPOT_Import!$A$1:$Z$2488,608,'Live Data'!$C$15)),"")</f>
        <v>Tharaka North</v>
      </c>
      <c r="E608" s="54" t="str">
        <f>IFERROR(IF(INDEX(SPOT_Import!$A$1:$Z$2488,608,'Live Data'!$C$16)="","",INDEX(SPOT_Import!$A$1:$Z$2488,608,'Live Data'!$C$16)),"")</f>
        <v>USAID Jamii Tekelezi</v>
      </c>
      <c r="F608" s="54" t="str">
        <f>IFERROR(IF(INDEX(SPOT_Import!$A$1:$Z$2488,608,'Live Data'!$C$17)="","",INDEX(SPOT_Import!$A$1:$Z$2488,608,'Live Data'!$C$17)),"")</f>
        <v>CRS</v>
      </c>
      <c r="G608" s="54">
        <f>IFERROR(IF(INDEX(SPOT_Import!$A$1:$Z$2488,608,'Live Data'!$C$18)="","",INDEX(SPOT_Import!$A$1:$Z$2488,608,'Live Data'!$C$18)),"")</f>
        <v>97</v>
      </c>
      <c r="H608" s="54">
        <f>IFERROR(IF(INDEX(SPOT_Import!$A$1:$Z$2488,608,'Live Data'!$C$19)="","",INDEX(SPOT_Import!$A$1:$Z$2488,608,'Live Data'!$C$19)),"")</f>
        <v>97</v>
      </c>
      <c r="I608" s="54" t="str">
        <f>IFERROR(IF(INDEX(SPOT_Import!$A$1:$Z$2488,608,'Live Data'!$C$20)="","",INDEX(SPOT_Import!$A$1:$Z$2488,608,'Live Data'!$C$20)),"")</f>
        <v>Complete</v>
      </c>
      <c r="J608" s="54" t="str">
        <f>IFERROR(IF(INDEX(SPOT_Import!$A$1:$Z$2488,608,'Live Data'!$C$21)="","",INDEX(SPOT_Import!$A$1:$Z$2488,608,'Live Data'!$C$21)),"")</f>
        <v>2023-04-04T07:57:21.000Z</v>
      </c>
      <c r="K608" s="54" t="str">
        <f>IFERROR(IF(INDEX(SPOT_Import!$A$1:$Z$2488,608,'Live Data'!$C$22)="","",INDEX(SPOT_Import!$A$1:$Z$2488,608,'Live Data'!$C$22)),"")</f>
        <v>2023-04-04T07:57:21.000Z</v>
      </c>
      <c r="L608" s="55" t="str">
        <f t="shared" si="18"/>
        <v>2023-04</v>
      </c>
      <c r="M608" s="55" t="str">
        <f t="shared" si="19"/>
        <v>THARAKA-NITHI</v>
      </c>
      <c r="N608" s="55" t="str">
        <f>IF(A608="","",IFERROR(INDEX('Cluster Map'!$A$4:$A$38,MATCH(M608,'Cluster Map'!$B$4:$B$38,0)),"Unmapped"))</f>
        <v>Cluster 2</v>
      </c>
      <c r="O608" s="55">
        <f>IF(A608="",0,IF(COUNTIFS($A$2:A608,A608,$F$2:F608,F608,$L$2:L608,L608)=1,1,0))</f>
        <v>1</v>
      </c>
      <c r="P608" s="55">
        <f>IF(A608="",0,IF(AND(F608="C&amp;T",COUNTIFS($A$2:A608,A608,$F$2:F608,"C&amp;T")=1),1,0))</f>
        <v>0</v>
      </c>
    </row>
    <row r="609" spans="1:16" x14ac:dyDescent="0.35">
      <c r="A609" s="54">
        <f>IFERROR(IF(INDEX(SPOT_Import!$A$1:$Z$2488,609,'Live Data'!$C$12)="","",INDEX(SPOT_Import!$A$1:$Z$2488,609,'Live Data'!$C$12)),"")</f>
        <v>12119</v>
      </c>
      <c r="B609" s="54" t="str">
        <f>IFERROR(IF(INDEX(SPOT_Import!$A$1:$Z$2488,609,'Live Data'!$C$13)="","",INDEX(SPOT_Import!$A$1:$Z$2488,609,'Live Data'!$C$13)),"")</f>
        <v>Kaanwa Dispensary</v>
      </c>
      <c r="C609" s="54" t="str">
        <f>IFERROR(IF(INDEX(SPOT_Import!$A$1:$Z$2488,609,'Live Data'!$C$14)="","",INDEX(SPOT_Import!$A$1:$Z$2488,609,'Live Data'!$C$14)),"")</f>
        <v>THARAKA-NITHI</v>
      </c>
      <c r="D609" s="54" t="str">
        <f>IFERROR(IF(INDEX(SPOT_Import!$A$1:$Z$2488,609,'Live Data'!$C$15)="","",INDEX(SPOT_Import!$A$1:$Z$2488,609,'Live Data'!$C$15)),"")</f>
        <v>Igambangombe</v>
      </c>
      <c r="E609" s="54" t="str">
        <f>IFERROR(IF(INDEX(SPOT_Import!$A$1:$Z$2488,609,'Live Data'!$C$16)="","",INDEX(SPOT_Import!$A$1:$Z$2488,609,'Live Data'!$C$16)),"")</f>
        <v>USAID Jamii Tekelezi</v>
      </c>
      <c r="F609" s="54" t="str">
        <f>IFERROR(IF(INDEX(SPOT_Import!$A$1:$Z$2488,609,'Live Data'!$C$17)="","",INDEX(SPOT_Import!$A$1:$Z$2488,609,'Live Data'!$C$17)),"")</f>
        <v>CRS</v>
      </c>
      <c r="G609" s="54">
        <f>IFERROR(IF(INDEX(SPOT_Import!$A$1:$Z$2488,609,'Live Data'!$C$18)="","",INDEX(SPOT_Import!$A$1:$Z$2488,609,'Live Data'!$C$18)),"")</f>
        <v>179</v>
      </c>
      <c r="H609" s="54">
        <f>IFERROR(IF(INDEX(SPOT_Import!$A$1:$Z$2488,609,'Live Data'!$C$19)="","",INDEX(SPOT_Import!$A$1:$Z$2488,609,'Live Data'!$C$19)),"")</f>
        <v>179</v>
      </c>
      <c r="I609" s="54" t="str">
        <f>IFERROR(IF(INDEX(SPOT_Import!$A$1:$Z$2488,609,'Live Data'!$C$20)="","",INDEX(SPOT_Import!$A$1:$Z$2488,609,'Live Data'!$C$20)),"")</f>
        <v>Complete</v>
      </c>
      <c r="J609" s="54" t="str">
        <f>IFERROR(IF(INDEX(SPOT_Import!$A$1:$Z$2488,609,'Live Data'!$C$21)="","",INDEX(SPOT_Import!$A$1:$Z$2488,609,'Live Data'!$C$21)),"")</f>
        <v>2023-04-04T07:20:33.000Z</v>
      </c>
      <c r="K609" s="54" t="str">
        <f>IFERROR(IF(INDEX(SPOT_Import!$A$1:$Z$2488,609,'Live Data'!$C$22)="","",INDEX(SPOT_Import!$A$1:$Z$2488,609,'Live Data'!$C$22)),"")</f>
        <v>2023-04-04T07:20:33.000Z</v>
      </c>
      <c r="L609" s="55" t="str">
        <f t="shared" si="18"/>
        <v>2023-04</v>
      </c>
      <c r="M609" s="55" t="str">
        <f t="shared" si="19"/>
        <v>THARAKA-NITHI</v>
      </c>
      <c r="N609" s="55" t="str">
        <f>IF(A609="","",IFERROR(INDEX('Cluster Map'!$A$4:$A$38,MATCH(M609,'Cluster Map'!$B$4:$B$38,0)),"Unmapped"))</f>
        <v>Cluster 2</v>
      </c>
      <c r="O609" s="55">
        <f>IF(A609="",0,IF(COUNTIFS($A$2:A609,A609,$F$2:F609,F609,$L$2:L609,L609)=1,1,0))</f>
        <v>1</v>
      </c>
      <c r="P609" s="55">
        <f>IF(A609="",0,IF(AND(F609="C&amp;T",COUNTIFS($A$2:A609,A609,$F$2:F609,"C&amp;T")=1),1,0))</f>
        <v>0</v>
      </c>
    </row>
    <row r="610" spans="1:16" x14ac:dyDescent="0.35">
      <c r="A610" s="54">
        <f>IFERROR(IF(INDEX(SPOT_Import!$A$1:$Z$2488,610,'Live Data'!$C$12)="","",INDEX(SPOT_Import!$A$1:$Z$2488,610,'Live Data'!$C$12)),"")</f>
        <v>10732</v>
      </c>
      <c r="B610" s="54" t="str">
        <f>IFERROR(IF(INDEX(SPOT_Import!$A$1:$Z$2488,610,'Live Data'!$C$13)="","",INDEX(SPOT_Import!$A$1:$Z$2488,610,'Live Data'!$C$13)),"")</f>
        <v>Mirangine Health Centre</v>
      </c>
      <c r="C610" s="54" t="str">
        <f>IFERROR(IF(INDEX(SPOT_Import!$A$1:$Z$2488,610,'Live Data'!$C$14)="","",INDEX(SPOT_Import!$A$1:$Z$2488,610,'Live Data'!$C$14)),"")</f>
        <v>NYANDARUA</v>
      </c>
      <c r="D610" s="54" t="str">
        <f>IFERROR(IF(INDEX(SPOT_Import!$A$1:$Z$2488,610,'Live Data'!$C$15)="","",INDEX(SPOT_Import!$A$1:$Z$2488,610,'Live Data'!$C$15)),"")</f>
        <v>Olkalou</v>
      </c>
      <c r="E610" s="54" t="str">
        <f>IFERROR(IF(INDEX(SPOT_Import!$A$1:$Z$2488,610,'Live Data'!$C$16)="","",INDEX(SPOT_Import!$A$1:$Z$2488,610,'Live Data'!$C$16)),"")</f>
        <v>USAID Jamii Tekelezi</v>
      </c>
      <c r="F610" s="54" t="str">
        <f>IFERROR(IF(INDEX(SPOT_Import!$A$1:$Z$2488,610,'Live Data'!$C$17)="","",INDEX(SPOT_Import!$A$1:$Z$2488,610,'Live Data'!$C$17)),"")</f>
        <v>CRS</v>
      </c>
      <c r="G610" s="54">
        <f>IFERROR(IF(INDEX(SPOT_Import!$A$1:$Z$2488,610,'Live Data'!$C$18)="","",INDEX(SPOT_Import!$A$1:$Z$2488,610,'Live Data'!$C$18)),"")</f>
        <v>719</v>
      </c>
      <c r="H610" s="54">
        <f>IFERROR(IF(INDEX(SPOT_Import!$A$1:$Z$2488,610,'Live Data'!$C$19)="","",INDEX(SPOT_Import!$A$1:$Z$2488,610,'Live Data'!$C$19)),"")</f>
        <v>719</v>
      </c>
      <c r="I610" s="54" t="str">
        <f>IFERROR(IF(INDEX(SPOT_Import!$A$1:$Z$2488,610,'Live Data'!$C$20)="","",INDEX(SPOT_Import!$A$1:$Z$2488,610,'Live Data'!$C$20)),"")</f>
        <v>Complete</v>
      </c>
      <c r="J610" s="54" t="str">
        <f>IFERROR(IF(INDEX(SPOT_Import!$A$1:$Z$2488,610,'Live Data'!$C$21)="","",INDEX(SPOT_Import!$A$1:$Z$2488,610,'Live Data'!$C$21)),"")</f>
        <v>2023-04-04T05:24:18.000Z</v>
      </c>
      <c r="K610" s="54" t="str">
        <f>IFERROR(IF(INDEX(SPOT_Import!$A$1:$Z$2488,610,'Live Data'!$C$22)="","",INDEX(SPOT_Import!$A$1:$Z$2488,610,'Live Data'!$C$22)),"")</f>
        <v>2023-04-04T05:24:18.000Z</v>
      </c>
      <c r="L610" s="55" t="str">
        <f t="shared" si="18"/>
        <v>2023-04</v>
      </c>
      <c r="M610" s="55" t="str">
        <f t="shared" si="19"/>
        <v>NYANDARUA</v>
      </c>
      <c r="N610" s="55" t="str">
        <f>IF(A610="","",IFERROR(INDEX('Cluster Map'!$A$4:$A$38,MATCH(M610,'Cluster Map'!$B$4:$B$38,0)),"Unmapped"))</f>
        <v>Cluster 4</v>
      </c>
      <c r="O610" s="55">
        <f>IF(A610="",0,IF(COUNTIFS($A$2:A610,A610,$F$2:F610,F610,$L$2:L610,L610)=1,1,0))</f>
        <v>1</v>
      </c>
      <c r="P610" s="55">
        <f>IF(A610="",0,IF(AND(F610="C&amp;T",COUNTIFS($A$2:A610,A610,$F$2:F610,"C&amp;T")=1),1,0))</f>
        <v>0</v>
      </c>
    </row>
    <row r="611" spans="1:16" x14ac:dyDescent="0.35">
      <c r="A611" s="54">
        <f>IFERROR(IF(INDEX(SPOT_Import!$A$1:$Z$2488,611,'Live Data'!$C$12)="","",INDEX(SPOT_Import!$A$1:$Z$2488,611,'Live Data'!$C$12)),"")</f>
        <v>12303</v>
      </c>
      <c r="B611" s="54" t="str">
        <f>IFERROR(IF(INDEX(SPOT_Import!$A$1:$Z$2488,611,'Live Data'!$C$13)="","",INDEX(SPOT_Import!$A$1:$Z$2488,611,'Live Data'!$C$13)),"")</f>
        <v>St Theresa Hospital (Kiirua)</v>
      </c>
      <c r="C611" s="54" t="str">
        <f>IFERROR(IF(INDEX(SPOT_Import!$A$1:$Z$2488,611,'Live Data'!$C$14)="","",INDEX(SPOT_Import!$A$1:$Z$2488,611,'Live Data'!$C$14)),"")</f>
        <v>MERU</v>
      </c>
      <c r="D611" s="54" t="str">
        <f>IFERROR(IF(INDEX(SPOT_Import!$A$1:$Z$2488,611,'Live Data'!$C$15)="","",INDEX(SPOT_Import!$A$1:$Z$2488,611,'Live Data'!$C$15)),"")</f>
        <v>Buuri</v>
      </c>
      <c r="E611" s="54" t="str">
        <f>IFERROR(IF(INDEX(SPOT_Import!$A$1:$Z$2488,611,'Live Data'!$C$16)="","",INDEX(SPOT_Import!$A$1:$Z$2488,611,'Live Data'!$C$16)),"")</f>
        <v>USAID Jamii Tekelezi</v>
      </c>
      <c r="F611" s="54" t="str">
        <f>IFERROR(IF(INDEX(SPOT_Import!$A$1:$Z$2488,611,'Live Data'!$C$17)="","",INDEX(SPOT_Import!$A$1:$Z$2488,611,'Live Data'!$C$17)),"")</f>
        <v>CRS</v>
      </c>
      <c r="G611" s="54">
        <f>IFERROR(IF(INDEX(SPOT_Import!$A$1:$Z$2488,611,'Live Data'!$C$18)="","",INDEX(SPOT_Import!$A$1:$Z$2488,611,'Live Data'!$C$18)),"")</f>
        <v>1557</v>
      </c>
      <c r="H611" s="54">
        <f>IFERROR(IF(INDEX(SPOT_Import!$A$1:$Z$2488,611,'Live Data'!$C$19)="","",INDEX(SPOT_Import!$A$1:$Z$2488,611,'Live Data'!$C$19)),"")</f>
        <v>1557</v>
      </c>
      <c r="I611" s="54" t="str">
        <f>IFERROR(IF(INDEX(SPOT_Import!$A$1:$Z$2488,611,'Live Data'!$C$20)="","",INDEX(SPOT_Import!$A$1:$Z$2488,611,'Live Data'!$C$20)),"")</f>
        <v>Complete</v>
      </c>
      <c r="J611" s="54" t="str">
        <f>IFERROR(IF(INDEX(SPOT_Import!$A$1:$Z$2488,611,'Live Data'!$C$21)="","",INDEX(SPOT_Import!$A$1:$Z$2488,611,'Live Data'!$C$21)),"")</f>
        <v>2023-04-03T13:59:30.000Z</v>
      </c>
      <c r="K611" s="54" t="str">
        <f>IFERROR(IF(INDEX(SPOT_Import!$A$1:$Z$2488,611,'Live Data'!$C$22)="","",INDEX(SPOT_Import!$A$1:$Z$2488,611,'Live Data'!$C$22)),"")</f>
        <v>2023-04-03T13:59:30.000Z</v>
      </c>
      <c r="L611" s="55" t="str">
        <f t="shared" si="18"/>
        <v>2023-04</v>
      </c>
      <c r="M611" s="55" t="str">
        <f t="shared" si="19"/>
        <v>MERU</v>
      </c>
      <c r="N611" s="55" t="str">
        <f>IF(A611="","",IFERROR(INDEX('Cluster Map'!$A$4:$A$38,MATCH(M611,'Cluster Map'!$B$4:$B$38,0)),"Unmapped"))</f>
        <v>Cluster 1</v>
      </c>
      <c r="O611" s="55">
        <f>IF(A611="",0,IF(COUNTIFS($A$2:A611,A611,$F$2:F611,F611,$L$2:L611,L611)=1,1,0))</f>
        <v>1</v>
      </c>
      <c r="P611" s="55">
        <f>IF(A611="",0,IF(AND(F611="C&amp;T",COUNTIFS($A$2:A611,A611,$F$2:F611,"C&amp;T")=1),1,0))</f>
        <v>0</v>
      </c>
    </row>
    <row r="612" spans="1:16" x14ac:dyDescent="0.35">
      <c r="A612" s="54">
        <f>IFERROR(IF(INDEX(SPOT_Import!$A$1:$Z$2488,612,'Live Data'!$C$12)="","",INDEX(SPOT_Import!$A$1:$Z$2488,612,'Live Data'!$C$12)),"")</f>
        <v>10657</v>
      </c>
      <c r="B612" s="54" t="str">
        <f>IFERROR(IF(INDEX(SPOT_Import!$A$1:$Z$2488,612,'Live Data'!$C$13)="","",INDEX(SPOT_Import!$A$1:$Z$2488,612,'Live Data'!$C$13)),"")</f>
        <v>Leshau Pondo Health Centre</v>
      </c>
      <c r="C612" s="54" t="str">
        <f>IFERROR(IF(INDEX(SPOT_Import!$A$1:$Z$2488,612,'Live Data'!$C$14)="","",INDEX(SPOT_Import!$A$1:$Z$2488,612,'Live Data'!$C$14)),"")</f>
        <v>NYANDARUA</v>
      </c>
      <c r="D612" s="54" t="str">
        <f>IFERROR(IF(INDEX(SPOT_Import!$A$1:$Z$2488,612,'Live Data'!$C$15)="","",INDEX(SPOT_Import!$A$1:$Z$2488,612,'Live Data'!$C$15)),"")</f>
        <v>Ndaragwa</v>
      </c>
      <c r="E612" s="54" t="str">
        <f>IFERROR(IF(INDEX(SPOT_Import!$A$1:$Z$2488,612,'Live Data'!$C$16)="","",INDEX(SPOT_Import!$A$1:$Z$2488,612,'Live Data'!$C$16)),"")</f>
        <v>USAID Jamii Tekelezi</v>
      </c>
      <c r="F612" s="54" t="str">
        <f>IFERROR(IF(INDEX(SPOT_Import!$A$1:$Z$2488,612,'Live Data'!$C$17)="","",INDEX(SPOT_Import!$A$1:$Z$2488,612,'Live Data'!$C$17)),"")</f>
        <v>CRS</v>
      </c>
      <c r="G612" s="54">
        <f>IFERROR(IF(INDEX(SPOT_Import!$A$1:$Z$2488,612,'Live Data'!$C$18)="","",INDEX(SPOT_Import!$A$1:$Z$2488,612,'Live Data'!$C$18)),"")</f>
        <v>213</v>
      </c>
      <c r="H612" s="54">
        <f>IFERROR(IF(INDEX(SPOT_Import!$A$1:$Z$2488,612,'Live Data'!$C$19)="","",INDEX(SPOT_Import!$A$1:$Z$2488,612,'Live Data'!$C$19)),"")</f>
        <v>213</v>
      </c>
      <c r="I612" s="54" t="str">
        <f>IFERROR(IF(INDEX(SPOT_Import!$A$1:$Z$2488,612,'Live Data'!$C$20)="","",INDEX(SPOT_Import!$A$1:$Z$2488,612,'Live Data'!$C$20)),"")</f>
        <v>Complete</v>
      </c>
      <c r="J612" s="54" t="str">
        <f>IFERROR(IF(INDEX(SPOT_Import!$A$1:$Z$2488,612,'Live Data'!$C$21)="","",INDEX(SPOT_Import!$A$1:$Z$2488,612,'Live Data'!$C$21)),"")</f>
        <v>2023-04-03T13:32:57.000Z</v>
      </c>
      <c r="K612" s="54" t="str">
        <f>IFERROR(IF(INDEX(SPOT_Import!$A$1:$Z$2488,612,'Live Data'!$C$22)="","",INDEX(SPOT_Import!$A$1:$Z$2488,612,'Live Data'!$C$22)),"")</f>
        <v>2023-04-03T13:32:57.000Z</v>
      </c>
      <c r="L612" s="55" t="str">
        <f t="shared" si="18"/>
        <v>2023-04</v>
      </c>
      <c r="M612" s="55" t="str">
        <f t="shared" si="19"/>
        <v>NYANDARUA</v>
      </c>
      <c r="N612" s="55" t="str">
        <f>IF(A612="","",IFERROR(INDEX('Cluster Map'!$A$4:$A$38,MATCH(M612,'Cluster Map'!$B$4:$B$38,0)),"Unmapped"))</f>
        <v>Cluster 4</v>
      </c>
      <c r="O612" s="55">
        <f>IF(A612="",0,IF(COUNTIFS($A$2:A612,A612,$F$2:F612,F612,$L$2:L612,L612)=1,1,0))</f>
        <v>1</v>
      </c>
      <c r="P612" s="55">
        <f>IF(A612="",0,IF(AND(F612="C&amp;T",COUNTIFS($A$2:A612,A612,$F$2:F612,"C&amp;T")=1),1,0))</f>
        <v>0</v>
      </c>
    </row>
    <row r="613" spans="1:16" x14ac:dyDescent="0.35">
      <c r="A613" s="54">
        <f>IFERROR(IF(INDEX(SPOT_Import!$A$1:$Z$2488,613,'Live Data'!$C$12)="","",INDEX(SPOT_Import!$A$1:$Z$2488,613,'Live Data'!$C$12)),"")</f>
        <v>12036</v>
      </c>
      <c r="B613" s="54" t="str">
        <f>IFERROR(IF(INDEX(SPOT_Import!$A$1:$Z$2488,613,'Live Data'!$C$13)="","",INDEX(SPOT_Import!$A$1:$Z$2488,613,'Live Data'!$C$13)),"")</f>
        <v>Giaki Sub-District Hospital</v>
      </c>
      <c r="C613" s="54" t="str">
        <f>IFERROR(IF(INDEX(SPOT_Import!$A$1:$Z$2488,613,'Live Data'!$C$14)="","",INDEX(SPOT_Import!$A$1:$Z$2488,613,'Live Data'!$C$14)),"")</f>
        <v>MERU</v>
      </c>
      <c r="D613" s="54" t="str">
        <f>IFERROR(IF(INDEX(SPOT_Import!$A$1:$Z$2488,613,'Live Data'!$C$15)="","",INDEX(SPOT_Import!$A$1:$Z$2488,613,'Live Data'!$C$15)),"")</f>
        <v>Imenti North</v>
      </c>
      <c r="E613" s="54" t="str">
        <f>IFERROR(IF(INDEX(SPOT_Import!$A$1:$Z$2488,613,'Live Data'!$C$16)="","",INDEX(SPOT_Import!$A$1:$Z$2488,613,'Live Data'!$C$16)),"")</f>
        <v>USAID Jamii Tekelezi</v>
      </c>
      <c r="F613" s="54" t="str">
        <f>IFERROR(IF(INDEX(SPOT_Import!$A$1:$Z$2488,613,'Live Data'!$C$17)="","",INDEX(SPOT_Import!$A$1:$Z$2488,613,'Live Data'!$C$17)),"")</f>
        <v>CRS</v>
      </c>
      <c r="G613" s="54">
        <f>IFERROR(IF(INDEX(SPOT_Import!$A$1:$Z$2488,613,'Live Data'!$C$18)="","",INDEX(SPOT_Import!$A$1:$Z$2488,613,'Live Data'!$C$18)),"")</f>
        <v>443</v>
      </c>
      <c r="H613" s="54">
        <f>IFERROR(IF(INDEX(SPOT_Import!$A$1:$Z$2488,613,'Live Data'!$C$19)="","",INDEX(SPOT_Import!$A$1:$Z$2488,613,'Live Data'!$C$19)),"")</f>
        <v>443</v>
      </c>
      <c r="I613" s="54" t="str">
        <f>IFERROR(IF(INDEX(SPOT_Import!$A$1:$Z$2488,613,'Live Data'!$C$20)="","",INDEX(SPOT_Import!$A$1:$Z$2488,613,'Live Data'!$C$20)),"")</f>
        <v>Complete</v>
      </c>
      <c r="J613" s="54" t="str">
        <f>IFERROR(IF(INDEX(SPOT_Import!$A$1:$Z$2488,613,'Live Data'!$C$21)="","",INDEX(SPOT_Import!$A$1:$Z$2488,613,'Live Data'!$C$21)),"")</f>
        <v>2023-04-03T13:31:24.000Z</v>
      </c>
      <c r="K613" s="54" t="str">
        <f>IFERROR(IF(INDEX(SPOT_Import!$A$1:$Z$2488,613,'Live Data'!$C$22)="","",INDEX(SPOT_Import!$A$1:$Z$2488,613,'Live Data'!$C$22)),"")</f>
        <v>2023-04-03T13:31:24.000Z</v>
      </c>
      <c r="L613" s="55" t="str">
        <f t="shared" si="18"/>
        <v>2023-04</v>
      </c>
      <c r="M613" s="55" t="str">
        <f t="shared" si="19"/>
        <v>MERU</v>
      </c>
      <c r="N613" s="55" t="str">
        <f>IF(A613="","",IFERROR(INDEX('Cluster Map'!$A$4:$A$38,MATCH(M613,'Cluster Map'!$B$4:$B$38,0)),"Unmapped"))</f>
        <v>Cluster 1</v>
      </c>
      <c r="O613" s="55">
        <f>IF(A613="",0,IF(COUNTIFS($A$2:A613,A613,$F$2:F613,F613,$L$2:L613,L613)=1,1,0))</f>
        <v>1</v>
      </c>
      <c r="P613" s="55">
        <f>IF(A613="",0,IF(AND(F613="C&amp;T",COUNTIFS($A$2:A613,A613,$F$2:F613,"C&amp;T")=1),1,0))</f>
        <v>0</v>
      </c>
    </row>
    <row r="614" spans="1:16" x14ac:dyDescent="0.35">
      <c r="A614" s="54">
        <f>IFERROR(IF(INDEX(SPOT_Import!$A$1:$Z$2488,614,'Live Data'!$C$12)="","",INDEX(SPOT_Import!$A$1:$Z$2488,614,'Live Data'!$C$12)),"")</f>
        <v>18782</v>
      </c>
      <c r="B614" s="54" t="str">
        <f>IFERROR(IF(INDEX(SPOT_Import!$A$1:$Z$2488,614,'Live Data'!$C$13)="","",INDEX(SPOT_Import!$A$1:$Z$2488,614,'Live Data'!$C$13)),"")</f>
        <v>Chamuka Dispensary</v>
      </c>
      <c r="C614" s="54" t="str">
        <f>IFERROR(IF(INDEX(SPOT_Import!$A$1:$Z$2488,614,'Live Data'!$C$14)="","",INDEX(SPOT_Import!$A$1:$Z$2488,614,'Live Data'!$C$14)),"")</f>
        <v>NYANDARUA</v>
      </c>
      <c r="D614" s="54" t="str">
        <f>IFERROR(IF(INDEX(SPOT_Import!$A$1:$Z$2488,614,'Live Data'!$C$15)="","",INDEX(SPOT_Import!$A$1:$Z$2488,614,'Live Data'!$C$15)),"")</f>
        <v>Oljororok</v>
      </c>
      <c r="E614" s="54" t="str">
        <f>IFERROR(IF(INDEX(SPOT_Import!$A$1:$Z$2488,614,'Live Data'!$C$16)="","",INDEX(SPOT_Import!$A$1:$Z$2488,614,'Live Data'!$C$16)),"")</f>
        <v>USAID Jamii Tekelezi</v>
      </c>
      <c r="F614" s="54" t="str">
        <f>IFERROR(IF(INDEX(SPOT_Import!$A$1:$Z$2488,614,'Live Data'!$C$17)="","",INDEX(SPOT_Import!$A$1:$Z$2488,614,'Live Data'!$C$17)),"")</f>
        <v>CRS</v>
      </c>
      <c r="G614" s="54">
        <f>IFERROR(IF(INDEX(SPOT_Import!$A$1:$Z$2488,614,'Live Data'!$C$18)="","",INDEX(SPOT_Import!$A$1:$Z$2488,614,'Live Data'!$C$18)),"")</f>
        <v>176</v>
      </c>
      <c r="H614" s="54">
        <f>IFERROR(IF(INDEX(SPOT_Import!$A$1:$Z$2488,614,'Live Data'!$C$19)="","",INDEX(SPOT_Import!$A$1:$Z$2488,614,'Live Data'!$C$19)),"")</f>
        <v>176</v>
      </c>
      <c r="I614" s="54" t="str">
        <f>IFERROR(IF(INDEX(SPOT_Import!$A$1:$Z$2488,614,'Live Data'!$C$20)="","",INDEX(SPOT_Import!$A$1:$Z$2488,614,'Live Data'!$C$20)),"")</f>
        <v>Complete</v>
      </c>
      <c r="J614" s="54" t="str">
        <f>IFERROR(IF(INDEX(SPOT_Import!$A$1:$Z$2488,614,'Live Data'!$C$21)="","",INDEX(SPOT_Import!$A$1:$Z$2488,614,'Live Data'!$C$21)),"")</f>
        <v>2023-04-03T10:45:43.000Z</v>
      </c>
      <c r="K614" s="54" t="str">
        <f>IFERROR(IF(INDEX(SPOT_Import!$A$1:$Z$2488,614,'Live Data'!$C$22)="","",INDEX(SPOT_Import!$A$1:$Z$2488,614,'Live Data'!$C$22)),"")</f>
        <v>2023-04-03T10:45:43.000Z</v>
      </c>
      <c r="L614" s="55" t="str">
        <f t="shared" si="18"/>
        <v>2023-04</v>
      </c>
      <c r="M614" s="55" t="str">
        <f t="shared" si="19"/>
        <v>NYANDARUA</v>
      </c>
      <c r="N614" s="55" t="str">
        <f>IF(A614="","",IFERROR(INDEX('Cluster Map'!$A$4:$A$38,MATCH(M614,'Cluster Map'!$B$4:$B$38,0)),"Unmapped"))</f>
        <v>Cluster 4</v>
      </c>
      <c r="O614" s="55">
        <f>IF(A614="",0,IF(COUNTIFS($A$2:A614,A614,$F$2:F614,F614,$L$2:L614,L614)=1,1,0))</f>
        <v>1</v>
      </c>
      <c r="P614" s="55">
        <f>IF(A614="",0,IF(AND(F614="C&amp;T",COUNTIFS($A$2:A614,A614,$F$2:F614,"C&amp;T")=1),1,0))</f>
        <v>0</v>
      </c>
    </row>
    <row r="615" spans="1:16" x14ac:dyDescent="0.35">
      <c r="A615" s="54">
        <f>IFERROR(IF(INDEX(SPOT_Import!$A$1:$Z$2488,615,'Live Data'!$C$12)="","",INDEX(SPOT_Import!$A$1:$Z$2488,615,'Live Data'!$C$12)),"")</f>
        <v>10878</v>
      </c>
      <c r="B615" s="54" t="str">
        <f>IFERROR(IF(INDEX(SPOT_Import!$A$1:$Z$2488,615,'Live Data'!$C$13)="","",INDEX(SPOT_Import!$A$1:$Z$2488,615,'Live Data'!$C$13)),"")</f>
        <v>Njabini Health Centre</v>
      </c>
      <c r="C615" s="54" t="str">
        <f>IFERROR(IF(INDEX(SPOT_Import!$A$1:$Z$2488,615,'Live Data'!$C$14)="","",INDEX(SPOT_Import!$A$1:$Z$2488,615,'Live Data'!$C$14)),"")</f>
        <v>NYANDARUA</v>
      </c>
      <c r="D615" s="54" t="str">
        <f>IFERROR(IF(INDEX(SPOT_Import!$A$1:$Z$2488,615,'Live Data'!$C$15)="","",INDEX(SPOT_Import!$A$1:$Z$2488,615,'Live Data'!$C$15)),"")</f>
        <v>Kinangop</v>
      </c>
      <c r="E615" s="54" t="str">
        <f>IFERROR(IF(INDEX(SPOT_Import!$A$1:$Z$2488,615,'Live Data'!$C$16)="","",INDEX(SPOT_Import!$A$1:$Z$2488,615,'Live Data'!$C$16)),"")</f>
        <v>USAID Jamii Tekelezi</v>
      </c>
      <c r="F615" s="54" t="str">
        <f>IFERROR(IF(INDEX(SPOT_Import!$A$1:$Z$2488,615,'Live Data'!$C$17)="","",INDEX(SPOT_Import!$A$1:$Z$2488,615,'Live Data'!$C$17)),"")</f>
        <v>CRS</v>
      </c>
      <c r="G615" s="54">
        <f>IFERROR(IF(INDEX(SPOT_Import!$A$1:$Z$2488,615,'Live Data'!$C$18)="","",INDEX(SPOT_Import!$A$1:$Z$2488,615,'Live Data'!$C$18)),"")</f>
        <v>1211</v>
      </c>
      <c r="H615" s="54">
        <f>IFERROR(IF(INDEX(SPOT_Import!$A$1:$Z$2488,615,'Live Data'!$C$19)="","",INDEX(SPOT_Import!$A$1:$Z$2488,615,'Live Data'!$C$19)),"")</f>
        <v>1211</v>
      </c>
      <c r="I615" s="54" t="str">
        <f>IFERROR(IF(INDEX(SPOT_Import!$A$1:$Z$2488,615,'Live Data'!$C$20)="","",INDEX(SPOT_Import!$A$1:$Z$2488,615,'Live Data'!$C$20)),"")</f>
        <v>Complete</v>
      </c>
      <c r="J615" s="54" t="str">
        <f>IFERROR(IF(INDEX(SPOT_Import!$A$1:$Z$2488,615,'Live Data'!$C$21)="","",INDEX(SPOT_Import!$A$1:$Z$2488,615,'Live Data'!$C$21)),"")</f>
        <v>2023-04-03T09:56:56.000Z</v>
      </c>
      <c r="K615" s="54" t="str">
        <f>IFERROR(IF(INDEX(SPOT_Import!$A$1:$Z$2488,615,'Live Data'!$C$22)="","",INDEX(SPOT_Import!$A$1:$Z$2488,615,'Live Data'!$C$22)),"")</f>
        <v>2023-04-03T09:56:56.000Z</v>
      </c>
      <c r="L615" s="55" t="str">
        <f t="shared" si="18"/>
        <v>2023-04</v>
      </c>
      <c r="M615" s="55" t="str">
        <f t="shared" si="19"/>
        <v>NYANDARUA</v>
      </c>
      <c r="N615" s="55" t="str">
        <f>IF(A615="","",IFERROR(INDEX('Cluster Map'!$A$4:$A$38,MATCH(M615,'Cluster Map'!$B$4:$B$38,0)),"Unmapped"))</f>
        <v>Cluster 4</v>
      </c>
      <c r="O615" s="55">
        <f>IF(A615="",0,IF(COUNTIFS($A$2:A615,A615,$F$2:F615,F615,$L$2:L615,L615)=1,1,0))</f>
        <v>1</v>
      </c>
      <c r="P615" s="55">
        <f>IF(A615="",0,IF(AND(F615="C&amp;T",COUNTIFS($A$2:A615,A615,$F$2:F615,"C&amp;T")=1),1,0))</f>
        <v>0</v>
      </c>
    </row>
    <row r="616" spans="1:16" x14ac:dyDescent="0.35">
      <c r="A616" s="54">
        <f>IFERROR(IF(INDEX(SPOT_Import!$A$1:$Z$2488,616,'Live Data'!$C$12)="","",INDEX(SPOT_Import!$A$1:$Z$2488,616,'Live Data'!$C$12)),"")</f>
        <v>10786</v>
      </c>
      <c r="B616" s="54" t="str">
        <f>IFERROR(IF(INDEX(SPOT_Import!$A$1:$Z$2488,616,'Live Data'!$C$13)="","",INDEX(SPOT_Import!$A$1:$Z$2488,616,'Live Data'!$C$13)),"")</f>
        <v>Murungaru Health Centre</v>
      </c>
      <c r="C616" s="54" t="str">
        <f>IFERROR(IF(INDEX(SPOT_Import!$A$1:$Z$2488,616,'Live Data'!$C$14)="","",INDEX(SPOT_Import!$A$1:$Z$2488,616,'Live Data'!$C$14)),"")</f>
        <v>NYANDARUA</v>
      </c>
      <c r="D616" s="54" t="str">
        <f>IFERROR(IF(INDEX(SPOT_Import!$A$1:$Z$2488,616,'Live Data'!$C$15)="","",INDEX(SPOT_Import!$A$1:$Z$2488,616,'Live Data'!$C$15)),"")</f>
        <v>Kinangop</v>
      </c>
      <c r="E616" s="54" t="str">
        <f>IFERROR(IF(INDEX(SPOT_Import!$A$1:$Z$2488,616,'Live Data'!$C$16)="","",INDEX(SPOT_Import!$A$1:$Z$2488,616,'Live Data'!$C$16)),"")</f>
        <v>USAID Jamii Tekelezi</v>
      </c>
      <c r="F616" s="54" t="str">
        <f>IFERROR(IF(INDEX(SPOT_Import!$A$1:$Z$2488,616,'Live Data'!$C$17)="","",INDEX(SPOT_Import!$A$1:$Z$2488,616,'Live Data'!$C$17)),"")</f>
        <v>CRS</v>
      </c>
      <c r="G616" s="54">
        <f>IFERROR(IF(INDEX(SPOT_Import!$A$1:$Z$2488,616,'Live Data'!$C$18)="","",INDEX(SPOT_Import!$A$1:$Z$2488,616,'Live Data'!$C$18)),"")</f>
        <v>577</v>
      </c>
      <c r="H616" s="54">
        <f>IFERROR(IF(INDEX(SPOT_Import!$A$1:$Z$2488,616,'Live Data'!$C$19)="","",INDEX(SPOT_Import!$A$1:$Z$2488,616,'Live Data'!$C$19)),"")</f>
        <v>577</v>
      </c>
      <c r="I616" s="54" t="str">
        <f>IFERROR(IF(INDEX(SPOT_Import!$A$1:$Z$2488,616,'Live Data'!$C$20)="","",INDEX(SPOT_Import!$A$1:$Z$2488,616,'Live Data'!$C$20)),"")</f>
        <v>Complete</v>
      </c>
      <c r="J616" s="54" t="str">
        <f>IFERROR(IF(INDEX(SPOT_Import!$A$1:$Z$2488,616,'Live Data'!$C$21)="","",INDEX(SPOT_Import!$A$1:$Z$2488,616,'Live Data'!$C$21)),"")</f>
        <v>2023-04-03T08:59:17.000Z</v>
      </c>
      <c r="K616" s="54" t="str">
        <f>IFERROR(IF(INDEX(SPOT_Import!$A$1:$Z$2488,616,'Live Data'!$C$22)="","",INDEX(SPOT_Import!$A$1:$Z$2488,616,'Live Data'!$C$22)),"")</f>
        <v>2023-04-03T08:59:17.000Z</v>
      </c>
      <c r="L616" s="55" t="str">
        <f t="shared" si="18"/>
        <v>2023-04</v>
      </c>
      <c r="M616" s="55" t="str">
        <f t="shared" si="19"/>
        <v>NYANDARUA</v>
      </c>
      <c r="N616" s="55" t="str">
        <f>IF(A616="","",IFERROR(INDEX('Cluster Map'!$A$4:$A$38,MATCH(M616,'Cluster Map'!$B$4:$B$38,0)),"Unmapped"))</f>
        <v>Cluster 4</v>
      </c>
      <c r="O616" s="55">
        <f>IF(A616="",0,IF(COUNTIFS($A$2:A616,A616,$F$2:F616,F616,$L$2:L616,L616)=1,1,0))</f>
        <v>1</v>
      </c>
      <c r="P616" s="55">
        <f>IF(A616="",0,IF(AND(F616="C&amp;T",COUNTIFS($A$2:A616,A616,$F$2:F616,"C&amp;T")=1),1,0))</f>
        <v>0</v>
      </c>
    </row>
    <row r="617" spans="1:16" x14ac:dyDescent="0.35">
      <c r="A617" s="54">
        <f>IFERROR(IF(INDEX(SPOT_Import!$A$1:$Z$2488,617,'Live Data'!$C$12)="","",INDEX(SPOT_Import!$A$1:$Z$2488,617,'Live Data'!$C$12)),"")</f>
        <v>12132</v>
      </c>
      <c r="B617" s="54" t="str">
        <f>IFERROR(IF(INDEX(SPOT_Import!$A$1:$Z$2488,617,'Live Data'!$C$13)="","",INDEX(SPOT_Import!$A$1:$Z$2488,617,'Live Data'!$C$13)),"")</f>
        <v>Kajuki Health Centre</v>
      </c>
      <c r="C617" s="54" t="str">
        <f>IFERROR(IF(INDEX(SPOT_Import!$A$1:$Z$2488,617,'Live Data'!$C$14)="","",INDEX(SPOT_Import!$A$1:$Z$2488,617,'Live Data'!$C$14)),"")</f>
        <v>THARAKA-NITHI</v>
      </c>
      <c r="D617" s="54" t="str">
        <f>IFERROR(IF(INDEX(SPOT_Import!$A$1:$Z$2488,617,'Live Data'!$C$15)="","",INDEX(SPOT_Import!$A$1:$Z$2488,617,'Live Data'!$C$15)),"")</f>
        <v>Igambangombe</v>
      </c>
      <c r="E617" s="54" t="str">
        <f>IFERROR(IF(INDEX(SPOT_Import!$A$1:$Z$2488,617,'Live Data'!$C$16)="","",INDEX(SPOT_Import!$A$1:$Z$2488,617,'Live Data'!$C$16)),"")</f>
        <v>USAID Jamii Tekelezi</v>
      </c>
      <c r="F617" s="54" t="str">
        <f>IFERROR(IF(INDEX(SPOT_Import!$A$1:$Z$2488,617,'Live Data'!$C$17)="","",INDEX(SPOT_Import!$A$1:$Z$2488,617,'Live Data'!$C$17)),"")</f>
        <v>CRS</v>
      </c>
      <c r="G617" s="54">
        <f>IFERROR(IF(INDEX(SPOT_Import!$A$1:$Z$2488,617,'Live Data'!$C$18)="","",INDEX(SPOT_Import!$A$1:$Z$2488,617,'Live Data'!$C$18)),"")</f>
        <v>331</v>
      </c>
      <c r="H617" s="54">
        <f>IFERROR(IF(INDEX(SPOT_Import!$A$1:$Z$2488,617,'Live Data'!$C$19)="","",INDEX(SPOT_Import!$A$1:$Z$2488,617,'Live Data'!$C$19)),"")</f>
        <v>331</v>
      </c>
      <c r="I617" s="54" t="str">
        <f>IFERROR(IF(INDEX(SPOT_Import!$A$1:$Z$2488,617,'Live Data'!$C$20)="","",INDEX(SPOT_Import!$A$1:$Z$2488,617,'Live Data'!$C$20)),"")</f>
        <v>Complete</v>
      </c>
      <c r="J617" s="54" t="str">
        <f>IFERROR(IF(INDEX(SPOT_Import!$A$1:$Z$2488,617,'Live Data'!$C$21)="","",INDEX(SPOT_Import!$A$1:$Z$2488,617,'Live Data'!$C$21)),"")</f>
        <v>2023-04-03T08:24:33.000Z</v>
      </c>
      <c r="K617" s="54" t="str">
        <f>IFERROR(IF(INDEX(SPOT_Import!$A$1:$Z$2488,617,'Live Data'!$C$22)="","",INDEX(SPOT_Import!$A$1:$Z$2488,617,'Live Data'!$C$22)),"")</f>
        <v>2023-04-03T08:24:33.000Z</v>
      </c>
      <c r="L617" s="55" t="str">
        <f t="shared" si="18"/>
        <v>2023-04</v>
      </c>
      <c r="M617" s="55" t="str">
        <f t="shared" si="19"/>
        <v>THARAKA-NITHI</v>
      </c>
      <c r="N617" s="55" t="str">
        <f>IF(A617="","",IFERROR(INDEX('Cluster Map'!$A$4:$A$38,MATCH(M617,'Cluster Map'!$B$4:$B$38,0)),"Unmapped"))</f>
        <v>Cluster 2</v>
      </c>
      <c r="O617" s="55">
        <f>IF(A617="",0,IF(COUNTIFS($A$2:A617,A617,$F$2:F617,F617,$L$2:L617,L617)=1,1,0))</f>
        <v>1</v>
      </c>
      <c r="P617" s="55">
        <f>IF(A617="",0,IF(AND(F617="C&amp;T",COUNTIFS($A$2:A617,A617,$F$2:F617,"C&amp;T")=1),1,0))</f>
        <v>0</v>
      </c>
    </row>
    <row r="618" spans="1:16" x14ac:dyDescent="0.35">
      <c r="A618" s="54">
        <f>IFERROR(IF(INDEX(SPOT_Import!$A$1:$Z$2488,618,'Live Data'!$C$12)="","",INDEX(SPOT_Import!$A$1:$Z$2488,618,'Live Data'!$C$12)),"")</f>
        <v>10871</v>
      </c>
      <c r="B618" s="54" t="str">
        <f>IFERROR(IF(INDEX(SPOT_Import!$A$1:$Z$2488,618,'Live Data'!$C$13)="","",INDEX(SPOT_Import!$A$1:$Z$2488,618,'Live Data'!$C$13)),"")</f>
        <v>Ngorika Dispensary</v>
      </c>
      <c r="C618" s="54" t="str">
        <f>IFERROR(IF(INDEX(SPOT_Import!$A$1:$Z$2488,618,'Live Data'!$C$14)="","",INDEX(SPOT_Import!$A$1:$Z$2488,618,'Live Data'!$C$14)),"")</f>
        <v>NYANDARUA</v>
      </c>
      <c r="D618" s="54" t="str">
        <f>IFERROR(IF(INDEX(SPOT_Import!$A$1:$Z$2488,618,'Live Data'!$C$15)="","",INDEX(SPOT_Import!$A$1:$Z$2488,618,'Live Data'!$C$15)),"")</f>
        <v>Olkalou</v>
      </c>
      <c r="E618" s="54" t="str">
        <f>IFERROR(IF(INDEX(SPOT_Import!$A$1:$Z$2488,618,'Live Data'!$C$16)="","",INDEX(SPOT_Import!$A$1:$Z$2488,618,'Live Data'!$C$16)),"")</f>
        <v>USAID Jamii Tekelezi</v>
      </c>
      <c r="F618" s="54" t="str">
        <f>IFERROR(IF(INDEX(SPOT_Import!$A$1:$Z$2488,618,'Live Data'!$C$17)="","",INDEX(SPOT_Import!$A$1:$Z$2488,618,'Live Data'!$C$17)),"")</f>
        <v>CRS</v>
      </c>
      <c r="G618" s="54">
        <f>IFERROR(IF(INDEX(SPOT_Import!$A$1:$Z$2488,618,'Live Data'!$C$18)="","",INDEX(SPOT_Import!$A$1:$Z$2488,618,'Live Data'!$C$18)),"")</f>
        <v>154</v>
      </c>
      <c r="H618" s="54">
        <f>IFERROR(IF(INDEX(SPOT_Import!$A$1:$Z$2488,618,'Live Data'!$C$19)="","",INDEX(SPOT_Import!$A$1:$Z$2488,618,'Live Data'!$C$19)),"")</f>
        <v>154</v>
      </c>
      <c r="I618" s="54" t="str">
        <f>IFERROR(IF(INDEX(SPOT_Import!$A$1:$Z$2488,618,'Live Data'!$C$20)="","",INDEX(SPOT_Import!$A$1:$Z$2488,618,'Live Data'!$C$20)),"")</f>
        <v>Complete</v>
      </c>
      <c r="J618" s="54" t="str">
        <f>IFERROR(IF(INDEX(SPOT_Import!$A$1:$Z$2488,618,'Live Data'!$C$21)="","",INDEX(SPOT_Import!$A$1:$Z$2488,618,'Live Data'!$C$21)),"")</f>
        <v>2023-04-01T10:37:46.000Z</v>
      </c>
      <c r="K618" s="54" t="str">
        <f>IFERROR(IF(INDEX(SPOT_Import!$A$1:$Z$2488,618,'Live Data'!$C$22)="","",INDEX(SPOT_Import!$A$1:$Z$2488,618,'Live Data'!$C$22)),"")</f>
        <v>2023-04-01T10:37:46.000Z</v>
      </c>
      <c r="L618" s="55" t="str">
        <f t="shared" si="18"/>
        <v>2023-04</v>
      </c>
      <c r="M618" s="55" t="str">
        <f t="shared" si="19"/>
        <v>NYANDARUA</v>
      </c>
      <c r="N618" s="55" t="str">
        <f>IF(A618="","",IFERROR(INDEX('Cluster Map'!$A$4:$A$38,MATCH(M618,'Cluster Map'!$B$4:$B$38,0)),"Unmapped"))</f>
        <v>Cluster 4</v>
      </c>
      <c r="O618" s="55">
        <f>IF(A618="",0,IF(COUNTIFS($A$2:A618,A618,$F$2:F618,F618,$L$2:L618,L618)=1,1,0))</f>
        <v>1</v>
      </c>
      <c r="P618" s="55">
        <f>IF(A618="",0,IF(AND(F618="C&amp;T",COUNTIFS($A$2:A618,A618,$F$2:F618,"C&amp;T")=1),1,0))</f>
        <v>0</v>
      </c>
    </row>
    <row r="619" spans="1:16" x14ac:dyDescent="0.35">
      <c r="A619" s="54">
        <f>IFERROR(IF(INDEX(SPOT_Import!$A$1:$Z$2488,619,'Live Data'!$C$12)="","",INDEX(SPOT_Import!$A$1:$Z$2488,619,'Live Data'!$C$12)),"")</f>
        <v>12675</v>
      </c>
      <c r="B619" s="54" t="str">
        <f>IFERROR(IF(INDEX(SPOT_Import!$A$1:$Z$2488,619,'Live Data'!$C$13)="","",INDEX(SPOT_Import!$A$1:$Z$2488,619,'Live Data'!$C$13)),"")</f>
        <v>Nthambiro Dispensary</v>
      </c>
      <c r="C619" s="54" t="str">
        <f>IFERROR(IF(INDEX(SPOT_Import!$A$1:$Z$2488,619,'Live Data'!$C$14)="","",INDEX(SPOT_Import!$A$1:$Z$2488,619,'Live Data'!$C$14)),"")</f>
        <v>MERU</v>
      </c>
      <c r="D619" s="54" t="str">
        <f>IFERROR(IF(INDEX(SPOT_Import!$A$1:$Z$2488,619,'Live Data'!$C$15)="","",INDEX(SPOT_Import!$A$1:$Z$2488,619,'Live Data'!$C$15)),"")</f>
        <v>Igembe Central</v>
      </c>
      <c r="E619" s="54" t="str">
        <f>IFERROR(IF(INDEX(SPOT_Import!$A$1:$Z$2488,619,'Live Data'!$C$16)="","",INDEX(SPOT_Import!$A$1:$Z$2488,619,'Live Data'!$C$16)),"")</f>
        <v>USAID Jamii Tekelezi</v>
      </c>
      <c r="F619" s="54" t="str">
        <f>IFERROR(IF(INDEX(SPOT_Import!$A$1:$Z$2488,619,'Live Data'!$C$17)="","",INDEX(SPOT_Import!$A$1:$Z$2488,619,'Live Data'!$C$17)),"")</f>
        <v>CRS</v>
      </c>
      <c r="G619" s="54">
        <f>IFERROR(IF(INDEX(SPOT_Import!$A$1:$Z$2488,619,'Live Data'!$C$18)="","",INDEX(SPOT_Import!$A$1:$Z$2488,619,'Live Data'!$C$18)),"")</f>
        <v>272</v>
      </c>
      <c r="H619" s="54">
        <f>IFERROR(IF(INDEX(SPOT_Import!$A$1:$Z$2488,619,'Live Data'!$C$19)="","",INDEX(SPOT_Import!$A$1:$Z$2488,619,'Live Data'!$C$19)),"")</f>
        <v>272</v>
      </c>
      <c r="I619" s="54" t="str">
        <f>IFERROR(IF(INDEX(SPOT_Import!$A$1:$Z$2488,619,'Live Data'!$C$20)="","",INDEX(SPOT_Import!$A$1:$Z$2488,619,'Live Data'!$C$20)),"")</f>
        <v>Complete</v>
      </c>
      <c r="J619" s="54" t="str">
        <f>IFERROR(IF(INDEX(SPOT_Import!$A$1:$Z$2488,619,'Live Data'!$C$21)="","",INDEX(SPOT_Import!$A$1:$Z$2488,619,'Live Data'!$C$21)),"")</f>
        <v>2023-03-31T14:19:20.000Z</v>
      </c>
      <c r="K619" s="54" t="str">
        <f>IFERROR(IF(INDEX(SPOT_Import!$A$1:$Z$2488,619,'Live Data'!$C$22)="","",INDEX(SPOT_Import!$A$1:$Z$2488,619,'Live Data'!$C$22)),"")</f>
        <v>2023-03-31T14:19:20.000Z</v>
      </c>
      <c r="L619" s="55" t="str">
        <f t="shared" si="18"/>
        <v>2023-03</v>
      </c>
      <c r="M619" s="55" t="str">
        <f t="shared" si="19"/>
        <v>MERU</v>
      </c>
      <c r="N619" s="55" t="str">
        <f>IF(A619="","",IFERROR(INDEX('Cluster Map'!$A$4:$A$38,MATCH(M619,'Cluster Map'!$B$4:$B$38,0)),"Unmapped"))</f>
        <v>Cluster 1</v>
      </c>
      <c r="O619" s="55">
        <f>IF(A619="",0,IF(COUNTIFS($A$2:A619,A619,$F$2:F619,F619,$L$2:L619,L619)=1,1,0))</f>
        <v>1</v>
      </c>
      <c r="P619" s="55">
        <f>IF(A619="",0,IF(AND(F619="C&amp;T",COUNTIFS($A$2:A619,A619,$F$2:F619,"C&amp;T")=1),1,0))</f>
        <v>0</v>
      </c>
    </row>
    <row r="620" spans="1:16" x14ac:dyDescent="0.35">
      <c r="A620" s="54">
        <f>IFERROR(IF(INDEX(SPOT_Import!$A$1:$Z$2488,620,'Live Data'!$C$12)="","",INDEX(SPOT_Import!$A$1:$Z$2488,620,'Live Data'!$C$12)),"")</f>
        <v>12300</v>
      </c>
      <c r="B620" s="54" t="str">
        <f>IFERROR(IF(INDEX(SPOT_Import!$A$1:$Z$2488,620,'Live Data'!$C$13)="","",INDEX(SPOT_Import!$A$1:$Z$2488,620,'Live Data'!$C$13)),"")</f>
        <v>Kigumo Health center</v>
      </c>
      <c r="C620" s="54" t="str">
        <f>IFERROR(IF(INDEX(SPOT_Import!$A$1:$Z$2488,620,'Live Data'!$C$14)="","",INDEX(SPOT_Import!$A$1:$Z$2488,620,'Live Data'!$C$14)),"")</f>
        <v>EMBU</v>
      </c>
      <c r="D620" s="54" t="str">
        <f>IFERROR(IF(INDEX(SPOT_Import!$A$1:$Z$2488,620,'Live Data'!$C$15)="","",INDEX(SPOT_Import!$A$1:$Z$2488,620,'Live Data'!$C$15)),"")</f>
        <v>Runyenjes</v>
      </c>
      <c r="E620" s="54" t="str">
        <f>IFERROR(IF(INDEX(SPOT_Import!$A$1:$Z$2488,620,'Live Data'!$C$16)="","",INDEX(SPOT_Import!$A$1:$Z$2488,620,'Live Data'!$C$16)),"")</f>
        <v>USAID Jamii Tekelezi</v>
      </c>
      <c r="F620" s="54" t="str">
        <f>IFERROR(IF(INDEX(SPOT_Import!$A$1:$Z$2488,620,'Live Data'!$C$17)="","",INDEX(SPOT_Import!$A$1:$Z$2488,620,'Live Data'!$C$17)),"")</f>
        <v>CRS</v>
      </c>
      <c r="G620" s="54">
        <f>IFERROR(IF(INDEX(SPOT_Import!$A$1:$Z$2488,620,'Live Data'!$C$18)="","",INDEX(SPOT_Import!$A$1:$Z$2488,620,'Live Data'!$C$18)),"")</f>
        <v>77</v>
      </c>
      <c r="H620" s="54" t="str">
        <f>IFERROR(IF(INDEX(SPOT_Import!$A$1:$Z$2488,620,'Live Data'!$C$19)="","",INDEX(SPOT_Import!$A$1:$Z$2488,620,'Live Data'!$C$19)),"")</f>
        <v/>
      </c>
      <c r="I620" s="54" t="str">
        <f>IFERROR(IF(INDEX(SPOT_Import!$A$1:$Z$2488,620,'Live Data'!$C$20)="","",INDEX(SPOT_Import!$A$1:$Z$2488,620,'Live Data'!$C$20)),"")</f>
        <v>Complete</v>
      </c>
      <c r="J620" s="54" t="str">
        <f>IFERROR(IF(INDEX(SPOT_Import!$A$1:$Z$2488,620,'Live Data'!$C$21)="","",INDEX(SPOT_Import!$A$1:$Z$2488,620,'Live Data'!$C$21)),"")</f>
        <v>2023-03-15T08:27:08.000Z</v>
      </c>
      <c r="K620" s="54" t="str">
        <f>IFERROR(IF(INDEX(SPOT_Import!$A$1:$Z$2488,620,'Live Data'!$C$22)="","",INDEX(SPOT_Import!$A$1:$Z$2488,620,'Live Data'!$C$22)),"")</f>
        <v>2023-03-15T08:27:08.000Z</v>
      </c>
      <c r="L620" s="55" t="str">
        <f t="shared" si="18"/>
        <v>2023-03</v>
      </c>
      <c r="M620" s="55" t="str">
        <f t="shared" si="19"/>
        <v>EMBU</v>
      </c>
      <c r="N620" s="55" t="str">
        <f>IF(A620="","",IFERROR(INDEX('Cluster Map'!$A$4:$A$38,MATCH(M620,'Cluster Map'!$B$4:$B$38,0)),"Unmapped"))</f>
        <v>Cluster 2</v>
      </c>
      <c r="O620" s="55">
        <f>IF(A620="",0,IF(COUNTIFS($A$2:A620,A620,$F$2:F620,F620,$L$2:L620,L620)=1,1,0))</f>
        <v>1</v>
      </c>
      <c r="P620" s="55">
        <f>IF(A620="",0,IF(AND(F620="C&amp;T",COUNTIFS($A$2:A620,A620,$F$2:F620,"C&amp;T")=1),1,0))</f>
        <v>0</v>
      </c>
    </row>
    <row r="621" spans="1:16" x14ac:dyDescent="0.35">
      <c r="A621" s="54">
        <f>IFERROR(IF(INDEX(SPOT_Import!$A$1:$Z$2488,621,'Live Data'!$C$12)="","",INDEX(SPOT_Import!$A$1:$Z$2488,621,'Live Data'!$C$12)),"")</f>
        <v>10244</v>
      </c>
      <c r="B621" s="54" t="str">
        <f>IFERROR(IF(INDEX(SPOT_Import!$A$1:$Z$2488,621,'Live Data'!$C$13)="","",INDEX(SPOT_Import!$A$1:$Z$2488,621,'Live Data'!$C$13)),"")</f>
        <v>Geta Bush Health centre</v>
      </c>
      <c r="C621" s="54" t="str">
        <f>IFERROR(IF(INDEX(SPOT_Import!$A$1:$Z$2488,621,'Live Data'!$C$14)="","",INDEX(SPOT_Import!$A$1:$Z$2488,621,'Live Data'!$C$14)),"")</f>
        <v>NYANDARUA</v>
      </c>
      <c r="D621" s="54" t="str">
        <f>IFERROR(IF(INDEX(SPOT_Import!$A$1:$Z$2488,621,'Live Data'!$C$15)="","",INDEX(SPOT_Import!$A$1:$Z$2488,621,'Live Data'!$C$15)),"")</f>
        <v>Kipipiri</v>
      </c>
      <c r="E621" s="54" t="str">
        <f>IFERROR(IF(INDEX(SPOT_Import!$A$1:$Z$2488,621,'Live Data'!$C$16)="","",INDEX(SPOT_Import!$A$1:$Z$2488,621,'Live Data'!$C$16)),"")</f>
        <v>USAID Jamii Tekelezi</v>
      </c>
      <c r="F621" s="54" t="str">
        <f>IFERROR(IF(INDEX(SPOT_Import!$A$1:$Z$2488,621,'Live Data'!$C$17)="","",INDEX(SPOT_Import!$A$1:$Z$2488,621,'Live Data'!$C$17)),"")</f>
        <v>CRS</v>
      </c>
      <c r="G621" s="54">
        <f>IFERROR(IF(INDEX(SPOT_Import!$A$1:$Z$2488,621,'Live Data'!$C$18)="","",INDEX(SPOT_Import!$A$1:$Z$2488,621,'Live Data'!$C$18)),"")</f>
        <v>186</v>
      </c>
      <c r="H621" s="54">
        <f>IFERROR(IF(INDEX(SPOT_Import!$A$1:$Z$2488,621,'Live Data'!$C$19)="","",INDEX(SPOT_Import!$A$1:$Z$2488,621,'Live Data'!$C$19)),"")</f>
        <v>186</v>
      </c>
      <c r="I621" s="54" t="str">
        <f>IFERROR(IF(INDEX(SPOT_Import!$A$1:$Z$2488,621,'Live Data'!$C$20)="","",INDEX(SPOT_Import!$A$1:$Z$2488,621,'Live Data'!$C$20)),"")</f>
        <v>Complete</v>
      </c>
      <c r="J621" s="54" t="str">
        <f>IFERROR(IF(INDEX(SPOT_Import!$A$1:$Z$2488,621,'Live Data'!$C$21)="","",INDEX(SPOT_Import!$A$1:$Z$2488,621,'Live Data'!$C$21)),"")</f>
        <v>2023-03-14T09:13:32.000Z</v>
      </c>
      <c r="K621" s="54" t="str">
        <f>IFERROR(IF(INDEX(SPOT_Import!$A$1:$Z$2488,621,'Live Data'!$C$22)="","",INDEX(SPOT_Import!$A$1:$Z$2488,621,'Live Data'!$C$22)),"")</f>
        <v>2023-03-14T09:13:32.000Z</v>
      </c>
      <c r="L621" s="55" t="str">
        <f t="shared" si="18"/>
        <v>2023-03</v>
      </c>
      <c r="M621" s="55" t="str">
        <f t="shared" si="19"/>
        <v>NYANDARUA</v>
      </c>
      <c r="N621" s="55" t="str">
        <f>IF(A621="","",IFERROR(INDEX('Cluster Map'!$A$4:$A$38,MATCH(M621,'Cluster Map'!$B$4:$B$38,0)),"Unmapped"))</f>
        <v>Cluster 4</v>
      </c>
      <c r="O621" s="55">
        <f>IF(A621="",0,IF(COUNTIFS($A$2:A621,A621,$F$2:F621,F621,$L$2:L621,L621)=1,1,0))</f>
        <v>1</v>
      </c>
      <c r="P621" s="55">
        <f>IF(A621="",0,IF(AND(F621="C&amp;T",COUNTIFS($A$2:A621,A621,$F$2:F621,"C&amp;T")=1),1,0))</f>
        <v>0</v>
      </c>
    </row>
    <row r="622" spans="1:16" x14ac:dyDescent="0.35">
      <c r="A622" s="54">
        <f>IFERROR(IF(INDEX(SPOT_Import!$A$1:$Z$2488,622,'Live Data'!$C$12)="","",INDEX(SPOT_Import!$A$1:$Z$2488,622,'Live Data'!$C$12)),"")</f>
        <v>16463</v>
      </c>
      <c r="B622" s="54" t="str">
        <f>IFERROR(IF(INDEX(SPOT_Import!$A$1:$Z$2488,622,'Live Data'!$C$13)="","",INDEX(SPOT_Import!$A$1:$Z$2488,622,'Live Data'!$C$13)),"")</f>
        <v>Gategi Health Centre</v>
      </c>
      <c r="C622" s="54" t="str">
        <f>IFERROR(IF(INDEX(SPOT_Import!$A$1:$Z$2488,622,'Live Data'!$C$14)="","",INDEX(SPOT_Import!$A$1:$Z$2488,622,'Live Data'!$C$14)),"")</f>
        <v>EMBU</v>
      </c>
      <c r="D622" s="54" t="str">
        <f>IFERROR(IF(INDEX(SPOT_Import!$A$1:$Z$2488,622,'Live Data'!$C$15)="","",INDEX(SPOT_Import!$A$1:$Z$2488,622,'Live Data'!$C$15)),"")</f>
        <v>Mbeere South</v>
      </c>
      <c r="E622" s="54" t="str">
        <f>IFERROR(IF(INDEX(SPOT_Import!$A$1:$Z$2488,622,'Live Data'!$C$16)="","",INDEX(SPOT_Import!$A$1:$Z$2488,622,'Live Data'!$C$16)),"")</f>
        <v>USAID Jamii Tekelezi</v>
      </c>
      <c r="F622" s="54" t="str">
        <f>IFERROR(IF(INDEX(SPOT_Import!$A$1:$Z$2488,622,'Live Data'!$C$17)="","",INDEX(SPOT_Import!$A$1:$Z$2488,622,'Live Data'!$C$17)),"")</f>
        <v>CRS</v>
      </c>
      <c r="G622" s="54">
        <f>IFERROR(IF(INDEX(SPOT_Import!$A$1:$Z$2488,622,'Live Data'!$C$18)="","",INDEX(SPOT_Import!$A$1:$Z$2488,622,'Live Data'!$C$18)),"")</f>
        <v>348</v>
      </c>
      <c r="H622" s="54">
        <f>IFERROR(IF(INDEX(SPOT_Import!$A$1:$Z$2488,622,'Live Data'!$C$19)="","",INDEX(SPOT_Import!$A$1:$Z$2488,622,'Live Data'!$C$19)),"")</f>
        <v>348</v>
      </c>
      <c r="I622" s="54" t="str">
        <f>IFERROR(IF(INDEX(SPOT_Import!$A$1:$Z$2488,622,'Live Data'!$C$20)="","",INDEX(SPOT_Import!$A$1:$Z$2488,622,'Live Data'!$C$20)),"")</f>
        <v>Complete</v>
      </c>
      <c r="J622" s="54" t="str">
        <f>IFERROR(IF(INDEX(SPOT_Import!$A$1:$Z$2488,622,'Live Data'!$C$21)="","",INDEX(SPOT_Import!$A$1:$Z$2488,622,'Live Data'!$C$21)),"")</f>
        <v>2023-03-13T13:22:38.000Z</v>
      </c>
      <c r="K622" s="54" t="str">
        <f>IFERROR(IF(INDEX(SPOT_Import!$A$1:$Z$2488,622,'Live Data'!$C$22)="","",INDEX(SPOT_Import!$A$1:$Z$2488,622,'Live Data'!$C$22)),"")</f>
        <v>2023-03-13T13:22:38.000Z</v>
      </c>
      <c r="L622" s="55" t="str">
        <f t="shared" si="18"/>
        <v>2023-03</v>
      </c>
      <c r="M622" s="55" t="str">
        <f t="shared" si="19"/>
        <v>EMBU</v>
      </c>
      <c r="N622" s="55" t="str">
        <f>IF(A622="","",IFERROR(INDEX('Cluster Map'!$A$4:$A$38,MATCH(M622,'Cluster Map'!$B$4:$B$38,0)),"Unmapped"))</f>
        <v>Cluster 2</v>
      </c>
      <c r="O622" s="55">
        <f>IF(A622="",0,IF(COUNTIFS($A$2:A622,A622,$F$2:F622,F622,$L$2:L622,L622)=1,1,0))</f>
        <v>1</v>
      </c>
      <c r="P622" s="55">
        <f>IF(A622="",0,IF(AND(F622="C&amp;T",COUNTIFS($A$2:A622,A622,$F$2:F622,"C&amp;T")=1),1,0))</f>
        <v>0</v>
      </c>
    </row>
    <row r="623" spans="1:16" x14ac:dyDescent="0.35">
      <c r="A623" s="54">
        <f>IFERROR(IF(INDEX(SPOT_Import!$A$1:$Z$2488,623,'Live Data'!$C$12)="","",INDEX(SPOT_Import!$A$1:$Z$2488,623,'Live Data'!$C$12)),"")</f>
        <v>12719</v>
      </c>
      <c r="B623" s="54" t="str">
        <f>IFERROR(IF(INDEX(SPOT_Import!$A$1:$Z$2488,623,'Live Data'!$C$13)="","",INDEX(SPOT_Import!$A$1:$Z$2488,623,'Live Data'!$C$13)),"")</f>
        <v>Runyenjes District Hospital</v>
      </c>
      <c r="C623" s="54" t="str">
        <f>IFERROR(IF(INDEX(SPOT_Import!$A$1:$Z$2488,623,'Live Data'!$C$14)="","",INDEX(SPOT_Import!$A$1:$Z$2488,623,'Live Data'!$C$14)),"")</f>
        <v>EMBU</v>
      </c>
      <c r="D623" s="54" t="str">
        <f>IFERROR(IF(INDEX(SPOT_Import!$A$1:$Z$2488,623,'Live Data'!$C$15)="","",INDEX(SPOT_Import!$A$1:$Z$2488,623,'Live Data'!$C$15)),"")</f>
        <v>Runyenjes</v>
      </c>
      <c r="E623" s="54" t="str">
        <f>IFERROR(IF(INDEX(SPOT_Import!$A$1:$Z$2488,623,'Live Data'!$C$16)="","",INDEX(SPOT_Import!$A$1:$Z$2488,623,'Live Data'!$C$16)),"")</f>
        <v>USAID Jamii Tekelezi</v>
      </c>
      <c r="F623" s="54" t="str">
        <f>IFERROR(IF(INDEX(SPOT_Import!$A$1:$Z$2488,623,'Live Data'!$C$17)="","",INDEX(SPOT_Import!$A$1:$Z$2488,623,'Live Data'!$C$17)),"")</f>
        <v>CRS</v>
      </c>
      <c r="G623" s="54">
        <f>IFERROR(IF(INDEX(SPOT_Import!$A$1:$Z$2488,623,'Live Data'!$C$18)="","",INDEX(SPOT_Import!$A$1:$Z$2488,623,'Live Data'!$C$18)),"")</f>
        <v>1605</v>
      </c>
      <c r="H623" s="54">
        <f>IFERROR(IF(INDEX(SPOT_Import!$A$1:$Z$2488,623,'Live Data'!$C$19)="","",INDEX(SPOT_Import!$A$1:$Z$2488,623,'Live Data'!$C$19)),"")</f>
        <v>1605</v>
      </c>
      <c r="I623" s="54" t="str">
        <f>IFERROR(IF(INDEX(SPOT_Import!$A$1:$Z$2488,623,'Live Data'!$C$20)="","",INDEX(SPOT_Import!$A$1:$Z$2488,623,'Live Data'!$C$20)),"")</f>
        <v>Complete</v>
      </c>
      <c r="J623" s="54" t="str">
        <f>IFERROR(IF(INDEX(SPOT_Import!$A$1:$Z$2488,623,'Live Data'!$C$21)="","",INDEX(SPOT_Import!$A$1:$Z$2488,623,'Live Data'!$C$21)),"")</f>
        <v>2023-03-13T12:16:51.000Z</v>
      </c>
      <c r="K623" s="54" t="str">
        <f>IFERROR(IF(INDEX(SPOT_Import!$A$1:$Z$2488,623,'Live Data'!$C$22)="","",INDEX(SPOT_Import!$A$1:$Z$2488,623,'Live Data'!$C$22)),"")</f>
        <v>2023-03-13T12:16:51.000Z</v>
      </c>
      <c r="L623" s="55" t="str">
        <f t="shared" si="18"/>
        <v>2023-03</v>
      </c>
      <c r="M623" s="55" t="str">
        <f t="shared" si="19"/>
        <v>EMBU</v>
      </c>
      <c r="N623" s="55" t="str">
        <f>IF(A623="","",IFERROR(INDEX('Cluster Map'!$A$4:$A$38,MATCH(M623,'Cluster Map'!$B$4:$B$38,0)),"Unmapped"))</f>
        <v>Cluster 2</v>
      </c>
      <c r="O623" s="55">
        <f>IF(A623="",0,IF(COUNTIFS($A$2:A623,A623,$F$2:F623,F623,$L$2:L623,L623)=1,1,0))</f>
        <v>1</v>
      </c>
      <c r="P623" s="55">
        <f>IF(A623="",0,IF(AND(F623="C&amp;T",COUNTIFS($A$2:A623,A623,$F$2:F623,"C&amp;T")=1),1,0))</f>
        <v>0</v>
      </c>
    </row>
    <row r="624" spans="1:16" x14ac:dyDescent="0.35">
      <c r="A624" s="54">
        <f>IFERROR(IF(INDEX(SPOT_Import!$A$1:$Z$2488,624,'Live Data'!$C$12)="","",INDEX(SPOT_Import!$A$1:$Z$2488,624,'Live Data'!$C$12)),"")</f>
        <v>12673</v>
      </c>
      <c r="B624" s="54" t="str">
        <f>IFERROR(IF(INDEX(SPOT_Import!$A$1:$Z$2488,624,'Live Data'!$C$13)="","",INDEX(SPOT_Import!$A$1:$Z$2488,624,'Live Data'!$C$13)),"")</f>
        <v>Nthagaiya Catholic Dispensary</v>
      </c>
      <c r="C624" s="54" t="str">
        <f>IFERROR(IF(INDEX(SPOT_Import!$A$1:$Z$2488,624,'Live Data'!$C$14)="","",INDEX(SPOT_Import!$A$1:$Z$2488,624,'Live Data'!$C$14)),"")</f>
        <v>EMBU</v>
      </c>
      <c r="D624" s="54" t="str">
        <f>IFERROR(IF(INDEX(SPOT_Import!$A$1:$Z$2488,624,'Live Data'!$C$15)="","",INDEX(SPOT_Import!$A$1:$Z$2488,624,'Live Data'!$C$15)),"")</f>
        <v>Runyenjes</v>
      </c>
      <c r="E624" s="54" t="str">
        <f>IFERROR(IF(INDEX(SPOT_Import!$A$1:$Z$2488,624,'Live Data'!$C$16)="","",INDEX(SPOT_Import!$A$1:$Z$2488,624,'Live Data'!$C$16)),"")</f>
        <v>USAID Jamii Tekelezi</v>
      </c>
      <c r="F624" s="54" t="str">
        <f>IFERROR(IF(INDEX(SPOT_Import!$A$1:$Z$2488,624,'Live Data'!$C$17)="","",INDEX(SPOT_Import!$A$1:$Z$2488,624,'Live Data'!$C$17)),"")</f>
        <v>CRS</v>
      </c>
      <c r="G624" s="54">
        <f>IFERROR(IF(INDEX(SPOT_Import!$A$1:$Z$2488,624,'Live Data'!$C$18)="","",INDEX(SPOT_Import!$A$1:$Z$2488,624,'Live Data'!$C$18)),"")</f>
        <v>95</v>
      </c>
      <c r="H624" s="54">
        <f>IFERROR(IF(INDEX(SPOT_Import!$A$1:$Z$2488,624,'Live Data'!$C$19)="","",INDEX(SPOT_Import!$A$1:$Z$2488,624,'Live Data'!$C$19)),"")</f>
        <v>95</v>
      </c>
      <c r="I624" s="54" t="str">
        <f>IFERROR(IF(INDEX(SPOT_Import!$A$1:$Z$2488,624,'Live Data'!$C$20)="","",INDEX(SPOT_Import!$A$1:$Z$2488,624,'Live Data'!$C$20)),"")</f>
        <v>Complete</v>
      </c>
      <c r="J624" s="54" t="str">
        <f>IFERROR(IF(INDEX(SPOT_Import!$A$1:$Z$2488,624,'Live Data'!$C$21)="","",INDEX(SPOT_Import!$A$1:$Z$2488,624,'Live Data'!$C$21)),"")</f>
        <v>2023-03-13T08:32:34.000Z</v>
      </c>
      <c r="K624" s="54" t="str">
        <f>IFERROR(IF(INDEX(SPOT_Import!$A$1:$Z$2488,624,'Live Data'!$C$22)="","",INDEX(SPOT_Import!$A$1:$Z$2488,624,'Live Data'!$C$22)),"")</f>
        <v>2023-03-13T08:32:34.000Z</v>
      </c>
      <c r="L624" s="55" t="str">
        <f t="shared" si="18"/>
        <v>2023-03</v>
      </c>
      <c r="M624" s="55" t="str">
        <f t="shared" si="19"/>
        <v>EMBU</v>
      </c>
      <c r="N624" s="55" t="str">
        <f>IF(A624="","",IFERROR(INDEX('Cluster Map'!$A$4:$A$38,MATCH(M624,'Cluster Map'!$B$4:$B$38,0)),"Unmapped"))</f>
        <v>Cluster 2</v>
      </c>
      <c r="O624" s="55">
        <f>IF(A624="",0,IF(COUNTIFS($A$2:A624,A624,$F$2:F624,F624,$L$2:L624,L624)=1,1,0))</f>
        <v>1</v>
      </c>
      <c r="P624" s="55">
        <f>IF(A624="",0,IF(AND(F624="C&amp;T",COUNTIFS($A$2:A624,A624,$F$2:F624,"C&amp;T")=1),1,0))</f>
        <v>0</v>
      </c>
    </row>
    <row r="625" spans="1:16" x14ac:dyDescent="0.35">
      <c r="A625" s="54">
        <f>IFERROR(IF(INDEX(SPOT_Import!$A$1:$Z$2488,625,'Live Data'!$C$12)="","",INDEX(SPOT_Import!$A$1:$Z$2488,625,'Live Data'!$C$12)),"")</f>
        <v>12004</v>
      </c>
      <c r="B625" s="54" t="str">
        <f>IFERROR(IF(INDEX(SPOT_Import!$A$1:$Z$2488,625,'Live Data'!$C$13)="","",INDEX(SPOT_Import!$A$1:$Z$2488,625,'Live Data'!$C$13)),"")</f>
        <v>Embu Provincial General Hospital</v>
      </c>
      <c r="C625" s="54" t="str">
        <f>IFERROR(IF(INDEX(SPOT_Import!$A$1:$Z$2488,625,'Live Data'!$C$14)="","",INDEX(SPOT_Import!$A$1:$Z$2488,625,'Live Data'!$C$14)),"")</f>
        <v>EMBU</v>
      </c>
      <c r="D625" s="54" t="str">
        <f>IFERROR(IF(INDEX(SPOT_Import!$A$1:$Z$2488,625,'Live Data'!$C$15)="","",INDEX(SPOT_Import!$A$1:$Z$2488,625,'Live Data'!$C$15)),"")</f>
        <v>Manyatta</v>
      </c>
      <c r="E625" s="54" t="str">
        <f>IFERROR(IF(INDEX(SPOT_Import!$A$1:$Z$2488,625,'Live Data'!$C$16)="","",INDEX(SPOT_Import!$A$1:$Z$2488,625,'Live Data'!$C$16)),"")</f>
        <v>USAID Jamii Tekelezi</v>
      </c>
      <c r="F625" s="54" t="str">
        <f>IFERROR(IF(INDEX(SPOT_Import!$A$1:$Z$2488,625,'Live Data'!$C$17)="","",INDEX(SPOT_Import!$A$1:$Z$2488,625,'Live Data'!$C$17)),"")</f>
        <v>CRS</v>
      </c>
      <c r="G625" s="54">
        <f>IFERROR(IF(INDEX(SPOT_Import!$A$1:$Z$2488,625,'Live Data'!$C$18)="","",INDEX(SPOT_Import!$A$1:$Z$2488,625,'Live Data'!$C$18)),"")</f>
        <v>7360</v>
      </c>
      <c r="H625" s="54">
        <f>IFERROR(IF(INDEX(SPOT_Import!$A$1:$Z$2488,625,'Live Data'!$C$19)="","",INDEX(SPOT_Import!$A$1:$Z$2488,625,'Live Data'!$C$19)),"")</f>
        <v>7360</v>
      </c>
      <c r="I625" s="54" t="str">
        <f>IFERROR(IF(INDEX(SPOT_Import!$A$1:$Z$2488,625,'Live Data'!$C$20)="","",INDEX(SPOT_Import!$A$1:$Z$2488,625,'Live Data'!$C$20)),"")</f>
        <v>Complete</v>
      </c>
      <c r="J625" s="54" t="str">
        <f>IFERROR(IF(INDEX(SPOT_Import!$A$1:$Z$2488,625,'Live Data'!$C$21)="","",INDEX(SPOT_Import!$A$1:$Z$2488,625,'Live Data'!$C$21)),"")</f>
        <v>2023-03-10T13:21:48.000Z</v>
      </c>
      <c r="K625" s="54" t="str">
        <f>IFERROR(IF(INDEX(SPOT_Import!$A$1:$Z$2488,625,'Live Data'!$C$22)="","",INDEX(SPOT_Import!$A$1:$Z$2488,625,'Live Data'!$C$22)),"")</f>
        <v>2023-03-10T13:21:48.000Z</v>
      </c>
      <c r="L625" s="55" t="str">
        <f t="shared" si="18"/>
        <v>2023-03</v>
      </c>
      <c r="M625" s="55" t="str">
        <f t="shared" si="19"/>
        <v>EMBU</v>
      </c>
      <c r="N625" s="55" t="str">
        <f>IF(A625="","",IFERROR(INDEX('Cluster Map'!$A$4:$A$38,MATCH(M625,'Cluster Map'!$B$4:$B$38,0)),"Unmapped"))</f>
        <v>Cluster 2</v>
      </c>
      <c r="O625" s="55">
        <f>IF(A625="",0,IF(COUNTIFS($A$2:A625,A625,$F$2:F625,F625,$L$2:L625,L625)=1,1,0))</f>
        <v>1</v>
      </c>
      <c r="P625" s="55">
        <f>IF(A625="",0,IF(AND(F625="C&amp;T",COUNTIFS($A$2:A625,A625,$F$2:F625,"C&amp;T")=1),1,0))</f>
        <v>0</v>
      </c>
    </row>
    <row r="626" spans="1:16" x14ac:dyDescent="0.35">
      <c r="A626" s="54">
        <f>IFERROR(IF(INDEX(SPOT_Import!$A$1:$Z$2488,626,'Live Data'!$C$12)="","",INDEX(SPOT_Import!$A$1:$Z$2488,626,'Live Data'!$C$12)),"")</f>
        <v>12174</v>
      </c>
      <c r="B626" s="54" t="str">
        <f>IFERROR(IF(INDEX(SPOT_Import!$A$1:$Z$2488,626,'Live Data'!$C$13)="","",INDEX(SPOT_Import!$A$1:$Z$2488,626,'Live Data'!$C$13)),"")</f>
        <v>Kangeta Heaith Centre</v>
      </c>
      <c r="C626" s="54" t="str">
        <f>IFERROR(IF(INDEX(SPOT_Import!$A$1:$Z$2488,626,'Live Data'!$C$14)="","",INDEX(SPOT_Import!$A$1:$Z$2488,626,'Live Data'!$C$14)),"")</f>
        <v>MERU</v>
      </c>
      <c r="D626" s="54" t="str">
        <f>IFERROR(IF(INDEX(SPOT_Import!$A$1:$Z$2488,626,'Live Data'!$C$15)="","",INDEX(SPOT_Import!$A$1:$Z$2488,626,'Live Data'!$C$15)),"")</f>
        <v>Igembe Central</v>
      </c>
      <c r="E626" s="54" t="str">
        <f>IFERROR(IF(INDEX(SPOT_Import!$A$1:$Z$2488,626,'Live Data'!$C$16)="","",INDEX(SPOT_Import!$A$1:$Z$2488,626,'Live Data'!$C$16)),"")</f>
        <v>USAID Jamii Tekelezi</v>
      </c>
      <c r="F626" s="54" t="str">
        <f>IFERROR(IF(INDEX(SPOT_Import!$A$1:$Z$2488,626,'Live Data'!$C$17)="","",INDEX(SPOT_Import!$A$1:$Z$2488,626,'Live Data'!$C$17)),"")</f>
        <v>CRS</v>
      </c>
      <c r="G626" s="54">
        <f>IFERROR(IF(INDEX(SPOT_Import!$A$1:$Z$2488,626,'Live Data'!$C$18)="","",INDEX(SPOT_Import!$A$1:$Z$2488,626,'Live Data'!$C$18)),"")</f>
        <v>756</v>
      </c>
      <c r="H626" s="54">
        <f>IFERROR(IF(INDEX(SPOT_Import!$A$1:$Z$2488,626,'Live Data'!$C$19)="","",INDEX(SPOT_Import!$A$1:$Z$2488,626,'Live Data'!$C$19)),"")</f>
        <v>756</v>
      </c>
      <c r="I626" s="54" t="str">
        <f>IFERROR(IF(INDEX(SPOT_Import!$A$1:$Z$2488,626,'Live Data'!$C$20)="","",INDEX(SPOT_Import!$A$1:$Z$2488,626,'Live Data'!$C$20)),"")</f>
        <v>Complete</v>
      </c>
      <c r="J626" s="54" t="str">
        <f>IFERROR(IF(INDEX(SPOT_Import!$A$1:$Z$2488,626,'Live Data'!$C$21)="","",INDEX(SPOT_Import!$A$1:$Z$2488,626,'Live Data'!$C$21)),"")</f>
        <v>2023-03-10T11:55:43.000Z</v>
      </c>
      <c r="K626" s="54" t="str">
        <f>IFERROR(IF(INDEX(SPOT_Import!$A$1:$Z$2488,626,'Live Data'!$C$22)="","",INDEX(SPOT_Import!$A$1:$Z$2488,626,'Live Data'!$C$22)),"")</f>
        <v>2023-03-10T11:55:43.000Z</v>
      </c>
      <c r="L626" s="55" t="str">
        <f t="shared" si="18"/>
        <v>2023-03</v>
      </c>
      <c r="M626" s="55" t="str">
        <f t="shared" si="19"/>
        <v>MERU</v>
      </c>
      <c r="N626" s="55" t="str">
        <f>IF(A626="","",IFERROR(INDEX('Cluster Map'!$A$4:$A$38,MATCH(M626,'Cluster Map'!$B$4:$B$38,0)),"Unmapped"))</f>
        <v>Cluster 1</v>
      </c>
      <c r="O626" s="55">
        <f>IF(A626="",0,IF(COUNTIFS($A$2:A626,A626,$F$2:F626,F626,$L$2:L626,L626)=1,1,0))</f>
        <v>1</v>
      </c>
      <c r="P626" s="55">
        <f>IF(A626="",0,IF(AND(F626="C&amp;T",COUNTIFS($A$2:A626,A626,$F$2:F626,"C&amp;T")=1),1,0))</f>
        <v>0</v>
      </c>
    </row>
    <row r="627" spans="1:16" x14ac:dyDescent="0.35">
      <c r="A627" s="54">
        <f>IFERROR(IF(INDEX(SPOT_Import!$A$1:$Z$2488,627,'Live Data'!$C$12)="","",INDEX(SPOT_Import!$A$1:$Z$2488,627,'Live Data'!$C$12)),"")</f>
        <v>12203</v>
      </c>
      <c r="B627" s="54" t="str">
        <f>IFERROR(IF(INDEX(SPOT_Import!$A$1:$Z$2488,627,'Live Data'!$C$13)="","",INDEX(SPOT_Import!$A$1:$Z$2488,627,'Live Data'!$C$13)),"")</f>
        <v>Karurumo RHTC</v>
      </c>
      <c r="C627" s="54" t="str">
        <f>IFERROR(IF(INDEX(SPOT_Import!$A$1:$Z$2488,627,'Live Data'!$C$14)="","",INDEX(SPOT_Import!$A$1:$Z$2488,627,'Live Data'!$C$14)),"")</f>
        <v>EMBU</v>
      </c>
      <c r="D627" s="54" t="str">
        <f>IFERROR(IF(INDEX(SPOT_Import!$A$1:$Z$2488,627,'Live Data'!$C$15)="","",INDEX(SPOT_Import!$A$1:$Z$2488,627,'Live Data'!$C$15)),"")</f>
        <v>Runyenjes</v>
      </c>
      <c r="E627" s="54" t="str">
        <f>IFERROR(IF(INDEX(SPOT_Import!$A$1:$Z$2488,627,'Live Data'!$C$16)="","",INDEX(SPOT_Import!$A$1:$Z$2488,627,'Live Data'!$C$16)),"")</f>
        <v>USAID Jamii Tekelezi</v>
      </c>
      <c r="F627" s="54" t="str">
        <f>IFERROR(IF(INDEX(SPOT_Import!$A$1:$Z$2488,627,'Live Data'!$C$17)="","",INDEX(SPOT_Import!$A$1:$Z$2488,627,'Live Data'!$C$17)),"")</f>
        <v>CRS</v>
      </c>
      <c r="G627" s="54">
        <f>IFERROR(IF(INDEX(SPOT_Import!$A$1:$Z$2488,627,'Live Data'!$C$18)="","",INDEX(SPOT_Import!$A$1:$Z$2488,627,'Live Data'!$C$18)),"")</f>
        <v>512</v>
      </c>
      <c r="H627" s="54">
        <f>IFERROR(IF(INDEX(SPOT_Import!$A$1:$Z$2488,627,'Live Data'!$C$19)="","",INDEX(SPOT_Import!$A$1:$Z$2488,627,'Live Data'!$C$19)),"")</f>
        <v>512</v>
      </c>
      <c r="I627" s="54" t="str">
        <f>IFERROR(IF(INDEX(SPOT_Import!$A$1:$Z$2488,627,'Live Data'!$C$20)="","",INDEX(SPOT_Import!$A$1:$Z$2488,627,'Live Data'!$C$20)),"")</f>
        <v>Complete</v>
      </c>
      <c r="J627" s="54" t="str">
        <f>IFERROR(IF(INDEX(SPOT_Import!$A$1:$Z$2488,627,'Live Data'!$C$21)="","",INDEX(SPOT_Import!$A$1:$Z$2488,627,'Live Data'!$C$21)),"")</f>
        <v>2023-03-10T07:46:26.000Z</v>
      </c>
      <c r="K627" s="54" t="str">
        <f>IFERROR(IF(INDEX(SPOT_Import!$A$1:$Z$2488,627,'Live Data'!$C$22)="","",INDEX(SPOT_Import!$A$1:$Z$2488,627,'Live Data'!$C$22)),"")</f>
        <v>2023-03-10T07:46:26.000Z</v>
      </c>
      <c r="L627" s="55" t="str">
        <f t="shared" si="18"/>
        <v>2023-03</v>
      </c>
      <c r="M627" s="55" t="str">
        <f t="shared" si="19"/>
        <v>EMBU</v>
      </c>
      <c r="N627" s="55" t="str">
        <f>IF(A627="","",IFERROR(INDEX('Cluster Map'!$A$4:$A$38,MATCH(M627,'Cluster Map'!$B$4:$B$38,0)),"Unmapped"))</f>
        <v>Cluster 2</v>
      </c>
      <c r="O627" s="55">
        <f>IF(A627="",0,IF(COUNTIFS($A$2:A627,A627,$F$2:F627,F627,$L$2:L627,L627)=1,1,0))</f>
        <v>1</v>
      </c>
      <c r="P627" s="55">
        <f>IF(A627="",0,IF(AND(F627="C&amp;T",COUNTIFS($A$2:A627,A627,$F$2:F627,"C&amp;T")=1),1,0))</f>
        <v>0</v>
      </c>
    </row>
    <row r="628" spans="1:16" x14ac:dyDescent="0.35">
      <c r="A628" s="54">
        <f>IFERROR(IF(INDEX(SPOT_Import!$A$1:$Z$2488,628,'Live Data'!$C$12)="","",INDEX(SPOT_Import!$A$1:$Z$2488,628,'Live Data'!$C$12)),"")</f>
        <v>12198</v>
      </c>
      <c r="B628" s="54" t="str">
        <f>IFERROR(IF(INDEX(SPOT_Import!$A$1:$Z$2488,628,'Live Data'!$C$13)="","",INDEX(SPOT_Import!$A$1:$Z$2488,628,'Live Data'!$C$13)),"")</f>
        <v>Karau Health Centre</v>
      </c>
      <c r="C628" s="54" t="str">
        <f>IFERROR(IF(INDEX(SPOT_Import!$A$1:$Z$2488,628,'Live Data'!$C$14)="","",INDEX(SPOT_Import!$A$1:$Z$2488,628,'Live Data'!$C$14)),"")</f>
        <v>EMBU</v>
      </c>
      <c r="D628" s="54" t="str">
        <f>IFERROR(IF(INDEX(SPOT_Import!$A$1:$Z$2488,628,'Live Data'!$C$15)="","",INDEX(SPOT_Import!$A$1:$Z$2488,628,'Live Data'!$C$15)),"")</f>
        <v>Manyatta</v>
      </c>
      <c r="E628" s="54" t="str">
        <f>IFERROR(IF(INDEX(SPOT_Import!$A$1:$Z$2488,628,'Live Data'!$C$16)="","",INDEX(SPOT_Import!$A$1:$Z$2488,628,'Live Data'!$C$16)),"")</f>
        <v>USAID Jamii Tekelezi</v>
      </c>
      <c r="F628" s="54" t="str">
        <f>IFERROR(IF(INDEX(SPOT_Import!$A$1:$Z$2488,628,'Live Data'!$C$17)="","",INDEX(SPOT_Import!$A$1:$Z$2488,628,'Live Data'!$C$17)),"")</f>
        <v>CRS</v>
      </c>
      <c r="G628" s="54">
        <f>IFERROR(IF(INDEX(SPOT_Import!$A$1:$Z$2488,628,'Live Data'!$C$18)="","",INDEX(SPOT_Import!$A$1:$Z$2488,628,'Live Data'!$C$18)),"")</f>
        <v>297</v>
      </c>
      <c r="H628" s="54">
        <f>IFERROR(IF(INDEX(SPOT_Import!$A$1:$Z$2488,628,'Live Data'!$C$19)="","",INDEX(SPOT_Import!$A$1:$Z$2488,628,'Live Data'!$C$19)),"")</f>
        <v>297</v>
      </c>
      <c r="I628" s="54" t="str">
        <f>IFERROR(IF(INDEX(SPOT_Import!$A$1:$Z$2488,628,'Live Data'!$C$20)="","",INDEX(SPOT_Import!$A$1:$Z$2488,628,'Live Data'!$C$20)),"")</f>
        <v>Complete</v>
      </c>
      <c r="J628" s="54" t="str">
        <f>IFERROR(IF(INDEX(SPOT_Import!$A$1:$Z$2488,628,'Live Data'!$C$21)="","",INDEX(SPOT_Import!$A$1:$Z$2488,628,'Live Data'!$C$21)),"")</f>
        <v>2023-03-10T07:13:52.000Z</v>
      </c>
      <c r="K628" s="54" t="str">
        <f>IFERROR(IF(INDEX(SPOT_Import!$A$1:$Z$2488,628,'Live Data'!$C$22)="","",INDEX(SPOT_Import!$A$1:$Z$2488,628,'Live Data'!$C$22)),"")</f>
        <v>2023-03-10T07:13:52.000Z</v>
      </c>
      <c r="L628" s="55" t="str">
        <f t="shared" si="18"/>
        <v>2023-03</v>
      </c>
      <c r="M628" s="55" t="str">
        <f t="shared" si="19"/>
        <v>EMBU</v>
      </c>
      <c r="N628" s="55" t="str">
        <f>IF(A628="","",IFERROR(INDEX('Cluster Map'!$A$4:$A$38,MATCH(M628,'Cluster Map'!$B$4:$B$38,0)),"Unmapped"))</f>
        <v>Cluster 2</v>
      </c>
      <c r="O628" s="55">
        <f>IF(A628="",0,IF(COUNTIFS($A$2:A628,A628,$F$2:F628,F628,$L$2:L628,L628)=1,1,0))</f>
        <v>1</v>
      </c>
      <c r="P628" s="55">
        <f>IF(A628="",0,IF(AND(F628="C&amp;T",COUNTIFS($A$2:A628,A628,$F$2:F628,"C&amp;T")=1),1,0))</f>
        <v>0</v>
      </c>
    </row>
    <row r="629" spans="1:16" x14ac:dyDescent="0.35">
      <c r="A629" s="54">
        <f>IFERROR(IF(INDEX(SPOT_Import!$A$1:$Z$2488,629,'Live Data'!$C$12)="","",INDEX(SPOT_Import!$A$1:$Z$2488,629,'Live Data'!$C$12)),"")</f>
        <v>12271</v>
      </c>
      <c r="B629" s="54" t="str">
        <f>IFERROR(IF(INDEX(SPOT_Import!$A$1:$Z$2488,629,'Live Data'!$C$13)="","",INDEX(SPOT_Import!$A$1:$Z$2488,629,'Live Data'!$C$13)),"")</f>
        <v>Kiambere Dam Dispensary</v>
      </c>
      <c r="C629" s="54" t="str">
        <f>IFERROR(IF(INDEX(SPOT_Import!$A$1:$Z$2488,629,'Live Data'!$C$14)="","",INDEX(SPOT_Import!$A$1:$Z$2488,629,'Live Data'!$C$14)),"")</f>
        <v>EMBU</v>
      </c>
      <c r="D629" s="54" t="str">
        <f>IFERROR(IF(INDEX(SPOT_Import!$A$1:$Z$2488,629,'Live Data'!$C$15)="","",INDEX(SPOT_Import!$A$1:$Z$2488,629,'Live Data'!$C$15)),"")</f>
        <v>Mbeere North</v>
      </c>
      <c r="E629" s="54" t="str">
        <f>IFERROR(IF(INDEX(SPOT_Import!$A$1:$Z$2488,629,'Live Data'!$C$16)="","",INDEX(SPOT_Import!$A$1:$Z$2488,629,'Live Data'!$C$16)),"")</f>
        <v>USAID Jamii Tekelezi</v>
      </c>
      <c r="F629" s="54" t="str">
        <f>IFERROR(IF(INDEX(SPOT_Import!$A$1:$Z$2488,629,'Live Data'!$C$17)="","",INDEX(SPOT_Import!$A$1:$Z$2488,629,'Live Data'!$C$17)),"")</f>
        <v>CRS</v>
      </c>
      <c r="G629" s="54">
        <f>IFERROR(IF(INDEX(SPOT_Import!$A$1:$Z$2488,629,'Live Data'!$C$18)="","",INDEX(SPOT_Import!$A$1:$Z$2488,629,'Live Data'!$C$18)),"")</f>
        <v>237</v>
      </c>
      <c r="H629" s="54">
        <f>IFERROR(IF(INDEX(SPOT_Import!$A$1:$Z$2488,629,'Live Data'!$C$19)="","",INDEX(SPOT_Import!$A$1:$Z$2488,629,'Live Data'!$C$19)),"")</f>
        <v>237</v>
      </c>
      <c r="I629" s="54" t="str">
        <f>IFERROR(IF(INDEX(SPOT_Import!$A$1:$Z$2488,629,'Live Data'!$C$20)="","",INDEX(SPOT_Import!$A$1:$Z$2488,629,'Live Data'!$C$20)),"")</f>
        <v>Complete</v>
      </c>
      <c r="J629" s="54" t="str">
        <f>IFERROR(IF(INDEX(SPOT_Import!$A$1:$Z$2488,629,'Live Data'!$C$21)="","",INDEX(SPOT_Import!$A$1:$Z$2488,629,'Live Data'!$C$21)),"")</f>
        <v>2023-03-09T13:23:08.000Z</v>
      </c>
      <c r="K629" s="54" t="str">
        <f>IFERROR(IF(INDEX(SPOT_Import!$A$1:$Z$2488,629,'Live Data'!$C$22)="","",INDEX(SPOT_Import!$A$1:$Z$2488,629,'Live Data'!$C$22)),"")</f>
        <v>2023-03-09T13:23:08.000Z</v>
      </c>
      <c r="L629" s="55" t="str">
        <f t="shared" si="18"/>
        <v>2023-03</v>
      </c>
      <c r="M629" s="55" t="str">
        <f t="shared" si="19"/>
        <v>EMBU</v>
      </c>
      <c r="N629" s="55" t="str">
        <f>IF(A629="","",IFERROR(INDEX('Cluster Map'!$A$4:$A$38,MATCH(M629,'Cluster Map'!$B$4:$B$38,0)),"Unmapped"))</f>
        <v>Cluster 2</v>
      </c>
      <c r="O629" s="55">
        <f>IF(A629="",0,IF(COUNTIFS($A$2:A629,A629,$F$2:F629,F629,$L$2:L629,L629)=1,1,0))</f>
        <v>1</v>
      </c>
      <c r="P629" s="55">
        <f>IF(A629="",0,IF(AND(F629="C&amp;T",COUNTIFS($A$2:A629,A629,$F$2:F629,"C&amp;T")=1),1,0))</f>
        <v>0</v>
      </c>
    </row>
    <row r="630" spans="1:16" x14ac:dyDescent="0.35">
      <c r="A630" s="54">
        <f>IFERROR(IF(INDEX(SPOT_Import!$A$1:$Z$2488,630,'Live Data'!$C$12)="","",INDEX(SPOT_Import!$A$1:$Z$2488,630,'Live Data'!$C$12)),"")</f>
        <v>12279</v>
      </c>
      <c r="B630" s="54" t="str">
        <f>IFERROR(IF(INDEX(SPOT_Import!$A$1:$Z$2488,630,'Live Data'!$C$13)="","",INDEX(SPOT_Import!$A$1:$Z$2488,630,'Live Data'!$C$13)),"")</f>
        <v>Kianjokoma Sub-District Hospital</v>
      </c>
      <c r="C630" s="54" t="str">
        <f>IFERROR(IF(INDEX(SPOT_Import!$A$1:$Z$2488,630,'Live Data'!$C$14)="","",INDEX(SPOT_Import!$A$1:$Z$2488,630,'Live Data'!$C$14)),"")</f>
        <v>EMBU</v>
      </c>
      <c r="D630" s="54" t="str">
        <f>IFERROR(IF(INDEX(SPOT_Import!$A$1:$Z$2488,630,'Live Data'!$C$15)="","",INDEX(SPOT_Import!$A$1:$Z$2488,630,'Live Data'!$C$15)),"")</f>
        <v>Runyenjes</v>
      </c>
      <c r="E630" s="54" t="str">
        <f>IFERROR(IF(INDEX(SPOT_Import!$A$1:$Z$2488,630,'Live Data'!$C$16)="","",INDEX(SPOT_Import!$A$1:$Z$2488,630,'Live Data'!$C$16)),"")</f>
        <v>USAID Jamii Tekelezi</v>
      </c>
      <c r="F630" s="54" t="str">
        <f>IFERROR(IF(INDEX(SPOT_Import!$A$1:$Z$2488,630,'Live Data'!$C$17)="","",INDEX(SPOT_Import!$A$1:$Z$2488,630,'Live Data'!$C$17)),"")</f>
        <v>CRS</v>
      </c>
      <c r="G630" s="54">
        <f>IFERROR(IF(INDEX(SPOT_Import!$A$1:$Z$2488,630,'Live Data'!$C$18)="","",INDEX(SPOT_Import!$A$1:$Z$2488,630,'Live Data'!$C$18)),"")</f>
        <v>942</v>
      </c>
      <c r="H630" s="54">
        <f>IFERROR(IF(INDEX(SPOT_Import!$A$1:$Z$2488,630,'Live Data'!$C$19)="","",INDEX(SPOT_Import!$A$1:$Z$2488,630,'Live Data'!$C$19)),"")</f>
        <v>942</v>
      </c>
      <c r="I630" s="54" t="str">
        <f>IFERROR(IF(INDEX(SPOT_Import!$A$1:$Z$2488,630,'Live Data'!$C$20)="","",INDEX(SPOT_Import!$A$1:$Z$2488,630,'Live Data'!$C$20)),"")</f>
        <v>Complete</v>
      </c>
      <c r="J630" s="54" t="str">
        <f>IFERROR(IF(INDEX(SPOT_Import!$A$1:$Z$2488,630,'Live Data'!$C$21)="","",INDEX(SPOT_Import!$A$1:$Z$2488,630,'Live Data'!$C$21)),"")</f>
        <v>2023-03-09T09:22:08.000Z</v>
      </c>
      <c r="K630" s="54" t="str">
        <f>IFERROR(IF(INDEX(SPOT_Import!$A$1:$Z$2488,630,'Live Data'!$C$22)="","",INDEX(SPOT_Import!$A$1:$Z$2488,630,'Live Data'!$C$22)),"")</f>
        <v>2023-03-09T09:22:08.000Z</v>
      </c>
      <c r="L630" s="55" t="str">
        <f t="shared" si="18"/>
        <v>2023-03</v>
      </c>
      <c r="M630" s="55" t="str">
        <f t="shared" si="19"/>
        <v>EMBU</v>
      </c>
      <c r="N630" s="55" t="str">
        <f>IF(A630="","",IFERROR(INDEX('Cluster Map'!$A$4:$A$38,MATCH(M630,'Cluster Map'!$B$4:$B$38,0)),"Unmapped"))</f>
        <v>Cluster 2</v>
      </c>
      <c r="O630" s="55">
        <f>IF(A630="",0,IF(COUNTIFS($A$2:A630,A630,$F$2:F630,F630,$L$2:L630,L630)=1,1,0))</f>
        <v>1</v>
      </c>
      <c r="P630" s="55">
        <f>IF(A630="",0,IF(AND(F630="C&amp;T",COUNTIFS($A$2:A630,A630,$F$2:F630,"C&amp;T")=1),1,0))</f>
        <v>0</v>
      </c>
    </row>
    <row r="631" spans="1:16" x14ac:dyDescent="0.35">
      <c r="A631" s="54">
        <f>IFERROR(IF(INDEX(SPOT_Import!$A$1:$Z$2488,631,'Live Data'!$C$12)="","",INDEX(SPOT_Import!$A$1:$Z$2488,631,'Live Data'!$C$12)),"")</f>
        <v>12799</v>
      </c>
      <c r="B631" s="54" t="str">
        <f>IFERROR(IF(INDEX(SPOT_Import!$A$1:$Z$2488,631,'Live Data'!$C$13)="","",INDEX(SPOT_Import!$A$1:$Z$2488,631,'Live Data'!$C$13)),"")</f>
        <v>St John of God Hospital Tigania</v>
      </c>
      <c r="C631" s="54" t="str">
        <f>IFERROR(IF(INDEX(SPOT_Import!$A$1:$Z$2488,631,'Live Data'!$C$14)="","",INDEX(SPOT_Import!$A$1:$Z$2488,631,'Live Data'!$C$14)),"")</f>
        <v>MERU</v>
      </c>
      <c r="D631" s="54" t="str">
        <f>IFERROR(IF(INDEX(SPOT_Import!$A$1:$Z$2488,631,'Live Data'!$C$15)="","",INDEX(SPOT_Import!$A$1:$Z$2488,631,'Live Data'!$C$15)),"")</f>
        <v>Tigania East</v>
      </c>
      <c r="E631" s="54" t="str">
        <f>IFERROR(IF(INDEX(SPOT_Import!$A$1:$Z$2488,631,'Live Data'!$C$16)="","",INDEX(SPOT_Import!$A$1:$Z$2488,631,'Live Data'!$C$16)),"")</f>
        <v>USAID Jamii Tekelezi</v>
      </c>
      <c r="F631" s="54" t="str">
        <f>IFERROR(IF(INDEX(SPOT_Import!$A$1:$Z$2488,631,'Live Data'!$C$17)="","",INDEX(SPOT_Import!$A$1:$Z$2488,631,'Live Data'!$C$17)),"")</f>
        <v>CRS</v>
      </c>
      <c r="G631" s="54">
        <f>IFERROR(IF(INDEX(SPOT_Import!$A$1:$Z$2488,631,'Live Data'!$C$18)="","",INDEX(SPOT_Import!$A$1:$Z$2488,631,'Live Data'!$C$18)),"")</f>
        <v>594</v>
      </c>
      <c r="H631" s="54">
        <f>IFERROR(IF(INDEX(SPOT_Import!$A$1:$Z$2488,631,'Live Data'!$C$19)="","",INDEX(SPOT_Import!$A$1:$Z$2488,631,'Live Data'!$C$19)),"")</f>
        <v>594</v>
      </c>
      <c r="I631" s="54" t="str">
        <f>IFERROR(IF(INDEX(SPOT_Import!$A$1:$Z$2488,631,'Live Data'!$C$20)="","",INDEX(SPOT_Import!$A$1:$Z$2488,631,'Live Data'!$C$20)),"")</f>
        <v>Complete</v>
      </c>
      <c r="J631" s="54" t="str">
        <f>IFERROR(IF(INDEX(SPOT_Import!$A$1:$Z$2488,631,'Live Data'!$C$21)="","",INDEX(SPOT_Import!$A$1:$Z$2488,631,'Live Data'!$C$21)),"")</f>
        <v>2023-03-07T13:27:35.000Z</v>
      </c>
      <c r="K631" s="54" t="str">
        <f>IFERROR(IF(INDEX(SPOT_Import!$A$1:$Z$2488,631,'Live Data'!$C$22)="","",INDEX(SPOT_Import!$A$1:$Z$2488,631,'Live Data'!$C$22)),"")</f>
        <v>2023-03-07T13:27:35.000Z</v>
      </c>
      <c r="L631" s="55" t="str">
        <f t="shared" si="18"/>
        <v>2023-03</v>
      </c>
      <c r="M631" s="55" t="str">
        <f t="shared" si="19"/>
        <v>MERU</v>
      </c>
      <c r="N631" s="55" t="str">
        <f>IF(A631="","",IFERROR(INDEX('Cluster Map'!$A$4:$A$38,MATCH(M631,'Cluster Map'!$B$4:$B$38,0)),"Unmapped"))</f>
        <v>Cluster 1</v>
      </c>
      <c r="O631" s="55">
        <f>IF(A631="",0,IF(COUNTIFS($A$2:A631,A631,$F$2:F631,F631,$L$2:L631,L631)=1,1,0))</f>
        <v>1</v>
      </c>
      <c r="P631" s="55">
        <f>IF(A631="",0,IF(AND(F631="C&amp;T",COUNTIFS($A$2:A631,A631,$F$2:F631,"C&amp;T")=1),1,0))</f>
        <v>0</v>
      </c>
    </row>
    <row r="632" spans="1:16" x14ac:dyDescent="0.35">
      <c r="A632" s="54">
        <f>IFERROR(IF(INDEX(SPOT_Import!$A$1:$Z$2488,632,'Live Data'!$C$12)="","",INDEX(SPOT_Import!$A$1:$Z$2488,632,'Live Data'!$C$12)),"")</f>
        <v>11973</v>
      </c>
      <c r="B632" s="54" t="str">
        <f>IFERROR(IF(INDEX(SPOT_Import!$A$1:$Z$2488,632,'Live Data'!$C$13)="","",INDEX(SPOT_Import!$A$1:$Z$2488,632,'Live Data'!$C$13)),"")</f>
        <v>Chuka County Refferal Hospital</v>
      </c>
      <c r="C632" s="54" t="str">
        <f>IFERROR(IF(INDEX(SPOT_Import!$A$1:$Z$2488,632,'Live Data'!$C$14)="","",INDEX(SPOT_Import!$A$1:$Z$2488,632,'Live Data'!$C$14)),"")</f>
        <v>THARAKA-NITHI</v>
      </c>
      <c r="D632" s="54" t="str">
        <f>IFERROR(IF(INDEX(SPOT_Import!$A$1:$Z$2488,632,'Live Data'!$C$15)="","",INDEX(SPOT_Import!$A$1:$Z$2488,632,'Live Data'!$C$15)),"")</f>
        <v>Chuka</v>
      </c>
      <c r="E632" s="54" t="str">
        <f>IFERROR(IF(INDEX(SPOT_Import!$A$1:$Z$2488,632,'Live Data'!$C$16)="","",INDEX(SPOT_Import!$A$1:$Z$2488,632,'Live Data'!$C$16)),"")</f>
        <v>USAID Jamii Tekelezi</v>
      </c>
      <c r="F632" s="54" t="str">
        <f>IFERROR(IF(INDEX(SPOT_Import!$A$1:$Z$2488,632,'Live Data'!$C$17)="","",INDEX(SPOT_Import!$A$1:$Z$2488,632,'Live Data'!$C$17)),"")</f>
        <v>CRS</v>
      </c>
      <c r="G632" s="54">
        <f>IFERROR(IF(INDEX(SPOT_Import!$A$1:$Z$2488,632,'Live Data'!$C$18)="","",INDEX(SPOT_Import!$A$1:$Z$2488,632,'Live Data'!$C$18)),"")</f>
        <v>3055</v>
      </c>
      <c r="H632" s="54">
        <f>IFERROR(IF(INDEX(SPOT_Import!$A$1:$Z$2488,632,'Live Data'!$C$19)="","",INDEX(SPOT_Import!$A$1:$Z$2488,632,'Live Data'!$C$19)),"")</f>
        <v>3055</v>
      </c>
      <c r="I632" s="54" t="str">
        <f>IFERROR(IF(INDEX(SPOT_Import!$A$1:$Z$2488,632,'Live Data'!$C$20)="","",INDEX(SPOT_Import!$A$1:$Z$2488,632,'Live Data'!$C$20)),"")</f>
        <v>Complete</v>
      </c>
      <c r="J632" s="54" t="str">
        <f>IFERROR(IF(INDEX(SPOT_Import!$A$1:$Z$2488,632,'Live Data'!$C$21)="","",INDEX(SPOT_Import!$A$1:$Z$2488,632,'Live Data'!$C$21)),"")</f>
        <v>2023-03-06T20:10:56.000Z</v>
      </c>
      <c r="K632" s="54" t="str">
        <f>IFERROR(IF(INDEX(SPOT_Import!$A$1:$Z$2488,632,'Live Data'!$C$22)="","",INDEX(SPOT_Import!$A$1:$Z$2488,632,'Live Data'!$C$22)),"")</f>
        <v>2023-03-06T20:10:56.000Z</v>
      </c>
      <c r="L632" s="55" t="str">
        <f t="shared" si="18"/>
        <v>2023-03</v>
      </c>
      <c r="M632" s="55" t="str">
        <f t="shared" si="19"/>
        <v>THARAKA-NITHI</v>
      </c>
      <c r="N632" s="55" t="str">
        <f>IF(A632="","",IFERROR(INDEX('Cluster Map'!$A$4:$A$38,MATCH(M632,'Cluster Map'!$B$4:$B$38,0)),"Unmapped"))</f>
        <v>Cluster 2</v>
      </c>
      <c r="O632" s="55">
        <f>IF(A632="",0,IF(COUNTIFS($A$2:A632,A632,$F$2:F632,F632,$L$2:L632,L632)=1,1,0))</f>
        <v>1</v>
      </c>
      <c r="P632" s="55">
        <f>IF(A632="",0,IF(AND(F632="C&amp;T",COUNTIFS($A$2:A632,A632,$F$2:F632,"C&amp;T")=1),1,0))</f>
        <v>0</v>
      </c>
    </row>
    <row r="633" spans="1:16" x14ac:dyDescent="0.35">
      <c r="A633" s="54">
        <f>IFERROR(IF(INDEX(SPOT_Import!$A$1:$Z$2488,633,'Live Data'!$C$12)="","",INDEX(SPOT_Import!$A$1:$Z$2488,633,'Live Data'!$C$12)),"")</f>
        <v>12793</v>
      </c>
      <c r="B633" s="54" t="str">
        <f>IFERROR(IF(INDEX(SPOT_Import!$A$1:$Z$2488,633,'Live Data'!$C$13)="","",INDEX(SPOT_Import!$A$1:$Z$2488,633,'Live Data'!$C$13)),"")</f>
        <v>Thanantu Faith Clinic Dispensary</v>
      </c>
      <c r="C633" s="54" t="str">
        <f>IFERROR(IF(INDEX(SPOT_Import!$A$1:$Z$2488,633,'Live Data'!$C$14)="","",INDEX(SPOT_Import!$A$1:$Z$2488,633,'Live Data'!$C$14)),"")</f>
        <v>THARAKA-NITHI</v>
      </c>
      <c r="D633" s="54" t="str">
        <f>IFERROR(IF(INDEX(SPOT_Import!$A$1:$Z$2488,633,'Live Data'!$C$15)="","",INDEX(SPOT_Import!$A$1:$Z$2488,633,'Live Data'!$C$15)),"")</f>
        <v>Tharaka North</v>
      </c>
      <c r="E633" s="54" t="str">
        <f>IFERROR(IF(INDEX(SPOT_Import!$A$1:$Z$2488,633,'Live Data'!$C$16)="","",INDEX(SPOT_Import!$A$1:$Z$2488,633,'Live Data'!$C$16)),"")</f>
        <v>USAID Jamii Tekelezi</v>
      </c>
      <c r="F633" s="54" t="str">
        <f>IFERROR(IF(INDEX(SPOT_Import!$A$1:$Z$2488,633,'Live Data'!$C$17)="","",INDEX(SPOT_Import!$A$1:$Z$2488,633,'Live Data'!$C$17)),"")</f>
        <v>CRS</v>
      </c>
      <c r="G633" s="54">
        <f>IFERROR(IF(INDEX(SPOT_Import!$A$1:$Z$2488,633,'Live Data'!$C$18)="","",INDEX(SPOT_Import!$A$1:$Z$2488,633,'Live Data'!$C$18)),"")</f>
        <v>123</v>
      </c>
      <c r="H633" s="54">
        <f>IFERROR(IF(INDEX(SPOT_Import!$A$1:$Z$2488,633,'Live Data'!$C$19)="","",INDEX(SPOT_Import!$A$1:$Z$2488,633,'Live Data'!$C$19)),"")</f>
        <v>123</v>
      </c>
      <c r="I633" s="54" t="str">
        <f>IFERROR(IF(INDEX(SPOT_Import!$A$1:$Z$2488,633,'Live Data'!$C$20)="","",INDEX(SPOT_Import!$A$1:$Z$2488,633,'Live Data'!$C$20)),"")</f>
        <v>Complete</v>
      </c>
      <c r="J633" s="54" t="str">
        <f>IFERROR(IF(INDEX(SPOT_Import!$A$1:$Z$2488,633,'Live Data'!$C$21)="","",INDEX(SPOT_Import!$A$1:$Z$2488,633,'Live Data'!$C$21)),"")</f>
        <v>2023-03-06T13:02:38.000Z</v>
      </c>
      <c r="K633" s="54" t="str">
        <f>IFERROR(IF(INDEX(SPOT_Import!$A$1:$Z$2488,633,'Live Data'!$C$22)="","",INDEX(SPOT_Import!$A$1:$Z$2488,633,'Live Data'!$C$22)),"")</f>
        <v>2023-03-06T13:02:38.000Z</v>
      </c>
      <c r="L633" s="55" t="str">
        <f t="shared" si="18"/>
        <v>2023-03</v>
      </c>
      <c r="M633" s="55" t="str">
        <f t="shared" si="19"/>
        <v>THARAKA-NITHI</v>
      </c>
      <c r="N633" s="55" t="str">
        <f>IF(A633="","",IFERROR(INDEX('Cluster Map'!$A$4:$A$38,MATCH(M633,'Cluster Map'!$B$4:$B$38,0)),"Unmapped"))</f>
        <v>Cluster 2</v>
      </c>
      <c r="O633" s="55">
        <f>IF(A633="",0,IF(COUNTIFS($A$2:A633,A633,$F$2:F633,F633,$L$2:L633,L633)=1,1,0))</f>
        <v>1</v>
      </c>
      <c r="P633" s="55">
        <f>IF(A633="",0,IF(AND(F633="C&amp;T",COUNTIFS($A$2:A633,A633,$F$2:F633,"C&amp;T")=1),1,0))</f>
        <v>0</v>
      </c>
    </row>
    <row r="634" spans="1:16" x14ac:dyDescent="0.35">
      <c r="A634" s="54">
        <f>IFERROR(IF(INDEX(SPOT_Import!$A$1:$Z$2488,634,'Live Data'!$C$12)="","",INDEX(SPOT_Import!$A$1:$Z$2488,634,'Live Data'!$C$12)),"")</f>
        <v>12591</v>
      </c>
      <c r="B634" s="54" t="str">
        <f>IFERROR(IF(INDEX(SPOT_Import!$A$1:$Z$2488,634,'Live Data'!$C$13)="","",INDEX(SPOT_Import!$A$1:$Z$2488,634,'Live Data'!$C$13)),"")</f>
        <v>Muthara Sub-District Hospital</v>
      </c>
      <c r="C634" s="54" t="str">
        <f>IFERROR(IF(INDEX(SPOT_Import!$A$1:$Z$2488,634,'Live Data'!$C$14)="","",INDEX(SPOT_Import!$A$1:$Z$2488,634,'Live Data'!$C$14)),"")</f>
        <v>MERU</v>
      </c>
      <c r="D634" s="54" t="str">
        <f>IFERROR(IF(INDEX(SPOT_Import!$A$1:$Z$2488,634,'Live Data'!$C$15)="","",INDEX(SPOT_Import!$A$1:$Z$2488,634,'Live Data'!$C$15)),"")</f>
        <v>Tigania East</v>
      </c>
      <c r="E634" s="54" t="str">
        <f>IFERROR(IF(INDEX(SPOT_Import!$A$1:$Z$2488,634,'Live Data'!$C$16)="","",INDEX(SPOT_Import!$A$1:$Z$2488,634,'Live Data'!$C$16)),"")</f>
        <v>USAID Jamii Tekelezi</v>
      </c>
      <c r="F634" s="54" t="str">
        <f>IFERROR(IF(INDEX(SPOT_Import!$A$1:$Z$2488,634,'Live Data'!$C$17)="","",INDEX(SPOT_Import!$A$1:$Z$2488,634,'Live Data'!$C$17)),"")</f>
        <v>CRS</v>
      </c>
      <c r="G634" s="54">
        <f>IFERROR(IF(INDEX(SPOT_Import!$A$1:$Z$2488,634,'Live Data'!$C$18)="","",INDEX(SPOT_Import!$A$1:$Z$2488,634,'Live Data'!$C$18)),"")</f>
        <v>1086</v>
      </c>
      <c r="H634" s="54">
        <f>IFERROR(IF(INDEX(SPOT_Import!$A$1:$Z$2488,634,'Live Data'!$C$19)="","",INDEX(SPOT_Import!$A$1:$Z$2488,634,'Live Data'!$C$19)),"")</f>
        <v>1086</v>
      </c>
      <c r="I634" s="54" t="str">
        <f>IFERROR(IF(INDEX(SPOT_Import!$A$1:$Z$2488,634,'Live Data'!$C$20)="","",INDEX(SPOT_Import!$A$1:$Z$2488,634,'Live Data'!$C$20)),"")</f>
        <v>Complete</v>
      </c>
      <c r="J634" s="54" t="str">
        <f>IFERROR(IF(INDEX(SPOT_Import!$A$1:$Z$2488,634,'Live Data'!$C$21)="","",INDEX(SPOT_Import!$A$1:$Z$2488,634,'Live Data'!$C$21)),"")</f>
        <v>2023-03-06T11:49:13.000Z</v>
      </c>
      <c r="K634" s="54" t="str">
        <f>IFERROR(IF(INDEX(SPOT_Import!$A$1:$Z$2488,634,'Live Data'!$C$22)="","",INDEX(SPOT_Import!$A$1:$Z$2488,634,'Live Data'!$C$22)),"")</f>
        <v>2023-03-06T11:49:13.000Z</v>
      </c>
      <c r="L634" s="55" t="str">
        <f t="shared" si="18"/>
        <v>2023-03</v>
      </c>
      <c r="M634" s="55" t="str">
        <f t="shared" si="19"/>
        <v>MERU</v>
      </c>
      <c r="N634" s="55" t="str">
        <f>IF(A634="","",IFERROR(INDEX('Cluster Map'!$A$4:$A$38,MATCH(M634,'Cluster Map'!$B$4:$B$38,0)),"Unmapped"))</f>
        <v>Cluster 1</v>
      </c>
      <c r="O634" s="55">
        <f>IF(A634="",0,IF(COUNTIFS($A$2:A634,A634,$F$2:F634,F634,$L$2:L634,L634)=1,1,0))</f>
        <v>1</v>
      </c>
      <c r="P634" s="55">
        <f>IF(A634="",0,IF(AND(F634="C&amp;T",COUNTIFS($A$2:A634,A634,$F$2:F634,"C&amp;T")=1),1,0))</f>
        <v>0</v>
      </c>
    </row>
    <row r="635" spans="1:16" x14ac:dyDescent="0.35">
      <c r="A635" s="54">
        <f>IFERROR(IF(INDEX(SPOT_Import!$A$1:$Z$2488,635,'Live Data'!$C$12)="","",INDEX(SPOT_Import!$A$1:$Z$2488,635,'Live Data'!$C$12)),"")</f>
        <v>12287</v>
      </c>
      <c r="B635" s="54" t="str">
        <f>IFERROR(IF(INDEX(SPOT_Import!$A$1:$Z$2488,635,'Live Data'!$C$13)="","",INDEX(SPOT_Import!$A$1:$Z$2488,635,'Live Data'!$C$13)),"")</f>
        <v>Kibugu Health Centre</v>
      </c>
      <c r="C635" s="54" t="str">
        <f>IFERROR(IF(INDEX(SPOT_Import!$A$1:$Z$2488,635,'Live Data'!$C$14)="","",INDEX(SPOT_Import!$A$1:$Z$2488,635,'Live Data'!$C$14)),"")</f>
        <v>EMBU</v>
      </c>
      <c r="D635" s="54" t="str">
        <f>IFERROR(IF(INDEX(SPOT_Import!$A$1:$Z$2488,635,'Live Data'!$C$15)="","",INDEX(SPOT_Import!$A$1:$Z$2488,635,'Live Data'!$C$15)),"")</f>
        <v>Manyatta</v>
      </c>
      <c r="E635" s="54" t="str">
        <f>IFERROR(IF(INDEX(SPOT_Import!$A$1:$Z$2488,635,'Live Data'!$C$16)="","",INDEX(SPOT_Import!$A$1:$Z$2488,635,'Live Data'!$C$16)),"")</f>
        <v>USAID Jamii Tekelezi</v>
      </c>
      <c r="F635" s="54" t="str">
        <f>IFERROR(IF(INDEX(SPOT_Import!$A$1:$Z$2488,635,'Live Data'!$C$17)="","",INDEX(SPOT_Import!$A$1:$Z$2488,635,'Live Data'!$C$17)),"")</f>
        <v>CRS</v>
      </c>
      <c r="G635" s="54">
        <f>IFERROR(IF(INDEX(SPOT_Import!$A$1:$Z$2488,635,'Live Data'!$C$18)="","",INDEX(SPOT_Import!$A$1:$Z$2488,635,'Live Data'!$C$18)),"")</f>
        <v>467</v>
      </c>
      <c r="H635" s="54">
        <f>IFERROR(IF(INDEX(SPOT_Import!$A$1:$Z$2488,635,'Live Data'!$C$19)="","",INDEX(SPOT_Import!$A$1:$Z$2488,635,'Live Data'!$C$19)),"")</f>
        <v>467</v>
      </c>
      <c r="I635" s="54" t="str">
        <f>IFERROR(IF(INDEX(SPOT_Import!$A$1:$Z$2488,635,'Live Data'!$C$20)="","",INDEX(SPOT_Import!$A$1:$Z$2488,635,'Live Data'!$C$20)),"")</f>
        <v>Complete</v>
      </c>
      <c r="J635" s="54" t="str">
        <f>IFERROR(IF(INDEX(SPOT_Import!$A$1:$Z$2488,635,'Live Data'!$C$21)="","",INDEX(SPOT_Import!$A$1:$Z$2488,635,'Live Data'!$C$21)),"")</f>
        <v>2023-03-03T09:45:56.000Z</v>
      </c>
      <c r="K635" s="54" t="str">
        <f>IFERROR(IF(INDEX(SPOT_Import!$A$1:$Z$2488,635,'Live Data'!$C$22)="","",INDEX(SPOT_Import!$A$1:$Z$2488,635,'Live Data'!$C$22)),"")</f>
        <v>2023-03-03T09:45:56.000Z</v>
      </c>
      <c r="L635" s="55" t="str">
        <f t="shared" si="18"/>
        <v>2023-03</v>
      </c>
      <c r="M635" s="55" t="str">
        <f t="shared" si="19"/>
        <v>EMBU</v>
      </c>
      <c r="N635" s="55" t="str">
        <f>IF(A635="","",IFERROR(INDEX('Cluster Map'!$A$4:$A$38,MATCH(M635,'Cluster Map'!$B$4:$B$38,0)),"Unmapped"))</f>
        <v>Cluster 2</v>
      </c>
      <c r="O635" s="55">
        <f>IF(A635="",0,IF(COUNTIFS($A$2:A635,A635,$F$2:F635,F635,$L$2:L635,L635)=1,1,0))</f>
        <v>1</v>
      </c>
      <c r="P635" s="55">
        <f>IF(A635="",0,IF(AND(F635="C&amp;T",COUNTIFS($A$2:A635,A635,$F$2:F635,"C&amp;T")=1),1,0))</f>
        <v>0</v>
      </c>
    </row>
    <row r="636" spans="1:16" x14ac:dyDescent="0.35">
      <c r="A636" s="54">
        <f>IFERROR(IF(INDEX(SPOT_Import!$A$1:$Z$2488,636,'Live Data'!$C$12)="","",INDEX(SPOT_Import!$A$1:$Z$2488,636,'Live Data'!$C$12)),"")</f>
        <v>12453</v>
      </c>
      <c r="B636" s="54" t="str">
        <f>IFERROR(IF(INDEX(SPOT_Import!$A$1:$Z$2488,636,'Live Data'!$C$13)="","",INDEX(SPOT_Import!$A$1:$Z$2488,636,'Live Data'!$C$13)),"")</f>
        <v>Makengi Dispensary (Embu)</v>
      </c>
      <c r="C636" s="54" t="str">
        <f>IFERROR(IF(INDEX(SPOT_Import!$A$1:$Z$2488,636,'Live Data'!$C$14)="","",INDEX(SPOT_Import!$A$1:$Z$2488,636,'Live Data'!$C$14)),"")</f>
        <v>EMBU</v>
      </c>
      <c r="D636" s="54" t="str">
        <f>IFERROR(IF(INDEX(SPOT_Import!$A$1:$Z$2488,636,'Live Data'!$C$15)="","",INDEX(SPOT_Import!$A$1:$Z$2488,636,'Live Data'!$C$15)),"")</f>
        <v>Manyatta</v>
      </c>
      <c r="E636" s="54" t="str">
        <f>IFERROR(IF(INDEX(SPOT_Import!$A$1:$Z$2488,636,'Live Data'!$C$16)="","",INDEX(SPOT_Import!$A$1:$Z$2488,636,'Live Data'!$C$16)),"")</f>
        <v>USAID Jamii Tekelezi</v>
      </c>
      <c r="F636" s="54" t="str">
        <f>IFERROR(IF(INDEX(SPOT_Import!$A$1:$Z$2488,636,'Live Data'!$C$17)="","",INDEX(SPOT_Import!$A$1:$Z$2488,636,'Live Data'!$C$17)),"")</f>
        <v>CRS</v>
      </c>
      <c r="G636" s="54">
        <f>IFERROR(IF(INDEX(SPOT_Import!$A$1:$Z$2488,636,'Live Data'!$C$18)="","",INDEX(SPOT_Import!$A$1:$Z$2488,636,'Live Data'!$C$18)),"")</f>
        <v>101</v>
      </c>
      <c r="H636" s="54">
        <f>IFERROR(IF(INDEX(SPOT_Import!$A$1:$Z$2488,636,'Live Data'!$C$19)="","",INDEX(SPOT_Import!$A$1:$Z$2488,636,'Live Data'!$C$19)),"")</f>
        <v>101</v>
      </c>
      <c r="I636" s="54" t="str">
        <f>IFERROR(IF(INDEX(SPOT_Import!$A$1:$Z$2488,636,'Live Data'!$C$20)="","",INDEX(SPOT_Import!$A$1:$Z$2488,636,'Live Data'!$C$20)),"")</f>
        <v>Complete</v>
      </c>
      <c r="J636" s="54" t="str">
        <f>IFERROR(IF(INDEX(SPOT_Import!$A$1:$Z$2488,636,'Live Data'!$C$21)="","",INDEX(SPOT_Import!$A$1:$Z$2488,636,'Live Data'!$C$21)),"")</f>
        <v>2023-03-01T11:50:28.000Z</v>
      </c>
      <c r="K636" s="54" t="str">
        <f>IFERROR(IF(INDEX(SPOT_Import!$A$1:$Z$2488,636,'Live Data'!$C$22)="","",INDEX(SPOT_Import!$A$1:$Z$2488,636,'Live Data'!$C$22)),"")</f>
        <v>2023-03-01T11:50:28.000Z</v>
      </c>
      <c r="L636" s="55" t="str">
        <f t="shared" si="18"/>
        <v>2023-03</v>
      </c>
      <c r="M636" s="55" t="str">
        <f t="shared" si="19"/>
        <v>EMBU</v>
      </c>
      <c r="N636" s="55" t="str">
        <f>IF(A636="","",IFERROR(INDEX('Cluster Map'!$A$4:$A$38,MATCH(M636,'Cluster Map'!$B$4:$B$38,0)),"Unmapped"))</f>
        <v>Cluster 2</v>
      </c>
      <c r="O636" s="55">
        <f>IF(A636="",0,IF(COUNTIFS($A$2:A636,A636,$F$2:F636,F636,$L$2:L636,L636)=1,1,0))</f>
        <v>1</v>
      </c>
      <c r="P636" s="55">
        <f>IF(A636="",0,IF(AND(F636="C&amp;T",COUNTIFS($A$2:A636,A636,$F$2:F636,"C&amp;T")=1),1,0))</f>
        <v>0</v>
      </c>
    </row>
    <row r="637" spans="1:16" x14ac:dyDescent="0.35">
      <c r="A637" s="54">
        <f>IFERROR(IF(INDEX(SPOT_Import!$A$1:$Z$2488,637,'Live Data'!$C$12)="","",INDEX(SPOT_Import!$A$1:$Z$2488,637,'Live Data'!$C$12)),"")</f>
        <v>11004</v>
      </c>
      <c r="B637" s="54" t="str">
        <f>IFERROR(IF(INDEX(SPOT_Import!$A$1:$Z$2488,637,'Live Data'!$C$13)="","",INDEX(SPOT_Import!$A$1:$Z$2488,637,'Live Data'!$C$13)),"")</f>
        <v>Shamata Health Centre</v>
      </c>
      <c r="C637" s="54" t="str">
        <f>IFERROR(IF(INDEX(SPOT_Import!$A$1:$Z$2488,637,'Live Data'!$C$14)="","",INDEX(SPOT_Import!$A$1:$Z$2488,637,'Live Data'!$C$14)),"")</f>
        <v>NYANDARUA</v>
      </c>
      <c r="D637" s="54" t="str">
        <f>IFERROR(IF(INDEX(SPOT_Import!$A$1:$Z$2488,637,'Live Data'!$C$15)="","",INDEX(SPOT_Import!$A$1:$Z$2488,637,'Live Data'!$C$15)),"")</f>
        <v>Ndaragwa</v>
      </c>
      <c r="E637" s="54" t="str">
        <f>IFERROR(IF(INDEX(SPOT_Import!$A$1:$Z$2488,637,'Live Data'!$C$16)="","",INDEX(SPOT_Import!$A$1:$Z$2488,637,'Live Data'!$C$16)),"")</f>
        <v>USAID Jamii Tekelezi</v>
      </c>
      <c r="F637" s="54" t="str">
        <f>IFERROR(IF(INDEX(SPOT_Import!$A$1:$Z$2488,637,'Live Data'!$C$17)="","",INDEX(SPOT_Import!$A$1:$Z$2488,637,'Live Data'!$C$17)),"")</f>
        <v>CRS</v>
      </c>
      <c r="G637" s="54">
        <f>IFERROR(IF(INDEX(SPOT_Import!$A$1:$Z$2488,637,'Live Data'!$C$18)="","",INDEX(SPOT_Import!$A$1:$Z$2488,637,'Live Data'!$C$18)),"")</f>
        <v>549</v>
      </c>
      <c r="H637" s="54">
        <f>IFERROR(IF(INDEX(SPOT_Import!$A$1:$Z$2488,637,'Live Data'!$C$19)="","",INDEX(SPOT_Import!$A$1:$Z$2488,637,'Live Data'!$C$19)),"")</f>
        <v>549</v>
      </c>
      <c r="I637" s="54" t="str">
        <f>IFERROR(IF(INDEX(SPOT_Import!$A$1:$Z$2488,637,'Live Data'!$C$20)="","",INDEX(SPOT_Import!$A$1:$Z$2488,637,'Live Data'!$C$20)),"")</f>
        <v>Complete</v>
      </c>
      <c r="J637" s="54" t="str">
        <f>IFERROR(IF(INDEX(SPOT_Import!$A$1:$Z$2488,637,'Live Data'!$C$21)="","",INDEX(SPOT_Import!$A$1:$Z$2488,637,'Live Data'!$C$21)),"")</f>
        <v>2023-03-01T07:56:15.000Z</v>
      </c>
      <c r="K637" s="54" t="str">
        <f>IFERROR(IF(INDEX(SPOT_Import!$A$1:$Z$2488,637,'Live Data'!$C$22)="","",INDEX(SPOT_Import!$A$1:$Z$2488,637,'Live Data'!$C$22)),"")</f>
        <v>2023-03-01T07:56:15.000Z</v>
      </c>
      <c r="L637" s="55" t="str">
        <f t="shared" si="18"/>
        <v>2023-03</v>
      </c>
      <c r="M637" s="55" t="str">
        <f t="shared" si="19"/>
        <v>NYANDARUA</v>
      </c>
      <c r="N637" s="55" t="str">
        <f>IF(A637="","",IFERROR(INDEX('Cluster Map'!$A$4:$A$38,MATCH(M637,'Cluster Map'!$B$4:$B$38,0)),"Unmapped"))</f>
        <v>Cluster 4</v>
      </c>
      <c r="O637" s="55">
        <f>IF(A637="",0,IF(COUNTIFS($A$2:A637,A637,$F$2:F637,F637,$L$2:L637,L637)=1,1,0))</f>
        <v>1</v>
      </c>
      <c r="P637" s="55">
        <f>IF(A637="",0,IF(AND(F637="C&amp;T",COUNTIFS($A$2:A637,A637,$F$2:F637,"C&amp;T")=1),1,0))</f>
        <v>0</v>
      </c>
    </row>
    <row r="638" spans="1:16" x14ac:dyDescent="0.35">
      <c r="A638" s="54">
        <f>IFERROR(IF(INDEX(SPOT_Import!$A$1:$Z$2488,638,'Live Data'!$C$12)="","",INDEX(SPOT_Import!$A$1:$Z$2488,638,'Live Data'!$C$12)),"")</f>
        <v>10916</v>
      </c>
      <c r="B638" s="54" t="str">
        <f>IFERROR(IF(INDEX(SPOT_Import!$A$1:$Z$2488,638,'Live Data'!$C$13)="","",INDEX(SPOT_Import!$A$1:$Z$2488,638,'Live Data'!$C$13)),"")</f>
        <v>JM Kariuki County Memorial Hospital (Olkalou)</v>
      </c>
      <c r="C638" s="54" t="str">
        <f>IFERROR(IF(INDEX(SPOT_Import!$A$1:$Z$2488,638,'Live Data'!$C$14)="","",INDEX(SPOT_Import!$A$1:$Z$2488,638,'Live Data'!$C$14)),"")</f>
        <v>NYANDARUA</v>
      </c>
      <c r="D638" s="54" t="str">
        <f>IFERROR(IF(INDEX(SPOT_Import!$A$1:$Z$2488,638,'Live Data'!$C$15)="","",INDEX(SPOT_Import!$A$1:$Z$2488,638,'Live Data'!$C$15)),"")</f>
        <v>Olkalou</v>
      </c>
      <c r="E638" s="54" t="str">
        <f>IFERROR(IF(INDEX(SPOT_Import!$A$1:$Z$2488,638,'Live Data'!$C$16)="","",INDEX(SPOT_Import!$A$1:$Z$2488,638,'Live Data'!$C$16)),"")</f>
        <v>USAID Jamii Tekelezi</v>
      </c>
      <c r="F638" s="54" t="str">
        <f>IFERROR(IF(INDEX(SPOT_Import!$A$1:$Z$2488,638,'Live Data'!$C$17)="","",INDEX(SPOT_Import!$A$1:$Z$2488,638,'Live Data'!$C$17)),"")</f>
        <v>PKV</v>
      </c>
      <c r="G638" s="54">
        <f>IFERROR(IF(INDEX(SPOT_Import!$A$1:$Z$2488,638,'Live Data'!$C$18)="","",INDEX(SPOT_Import!$A$1:$Z$2488,638,'Live Data'!$C$18)),"")</f>
        <v>13343</v>
      </c>
      <c r="H638" s="54">
        <f>IFERROR(IF(INDEX(SPOT_Import!$A$1:$Z$2488,638,'Live Data'!$C$19)="","",INDEX(SPOT_Import!$A$1:$Z$2488,638,'Live Data'!$C$19)),"")</f>
        <v>107002</v>
      </c>
      <c r="I638" s="54" t="str">
        <f>IFERROR(IF(INDEX(SPOT_Import!$A$1:$Z$2488,638,'Live Data'!$C$20)="","",INDEX(SPOT_Import!$A$1:$Z$2488,638,'Live Data'!$C$20)),"")</f>
        <v>Complete</v>
      </c>
      <c r="J638" s="54" t="str">
        <f>IFERROR(IF(INDEX(SPOT_Import!$A$1:$Z$2488,638,'Live Data'!$C$21)="","",INDEX(SPOT_Import!$A$1:$Z$2488,638,'Live Data'!$C$21)),"")</f>
        <v>2023-02-09T14:34:56.000Z</v>
      </c>
      <c r="K638" s="54" t="str">
        <f>IFERROR(IF(INDEX(SPOT_Import!$A$1:$Z$2488,638,'Live Data'!$C$22)="","",INDEX(SPOT_Import!$A$1:$Z$2488,638,'Live Data'!$C$22)),"")</f>
        <v>2023-02-09T14:34:56.000Z</v>
      </c>
      <c r="L638" s="55" t="str">
        <f t="shared" si="18"/>
        <v>2023-02</v>
      </c>
      <c r="M638" s="55" t="str">
        <f t="shared" si="19"/>
        <v>NYANDARUA</v>
      </c>
      <c r="N638" s="55" t="str">
        <f>IF(A638="","",IFERROR(INDEX('Cluster Map'!$A$4:$A$38,MATCH(M638,'Cluster Map'!$B$4:$B$38,0)),"Unmapped"))</f>
        <v>Cluster 4</v>
      </c>
      <c r="O638" s="55">
        <f>IF(A638="",0,IF(COUNTIFS($A$2:A638,A638,$F$2:F638,F638,$L$2:L638,L638)=1,1,0))</f>
        <v>1</v>
      </c>
      <c r="P638" s="55">
        <f>IF(A638="",0,IF(AND(F638="C&amp;T",COUNTIFS($A$2:A638,A638,$F$2:F638,"C&amp;T")=1),1,0))</f>
        <v>0</v>
      </c>
    </row>
    <row r="639" spans="1:16" x14ac:dyDescent="0.35">
      <c r="A639" s="54">
        <f>IFERROR(IF(INDEX(SPOT_Import!$A$1:$Z$2488,639,'Live Data'!$C$12)="","",INDEX(SPOT_Import!$A$1:$Z$2488,639,'Live Data'!$C$12)),"")</f>
        <v>12359</v>
      </c>
      <c r="B639" s="54" t="str">
        <f>IFERROR(IF(INDEX(SPOT_Import!$A$1:$Z$2488,639,'Live Data'!$C$13)="","",INDEX(SPOT_Import!$A$1:$Z$2488,639,'Live Data'!$C$13)),"")</f>
        <v>Kithimu Dispensary</v>
      </c>
      <c r="C639" s="54" t="str">
        <f>IFERROR(IF(INDEX(SPOT_Import!$A$1:$Z$2488,639,'Live Data'!$C$14)="","",INDEX(SPOT_Import!$A$1:$Z$2488,639,'Live Data'!$C$14)),"")</f>
        <v>EMBU</v>
      </c>
      <c r="D639" s="54" t="str">
        <f>IFERROR(IF(INDEX(SPOT_Import!$A$1:$Z$2488,639,'Live Data'!$C$15)="","",INDEX(SPOT_Import!$A$1:$Z$2488,639,'Live Data'!$C$15)),"")</f>
        <v>Manyatta</v>
      </c>
      <c r="E639" s="54" t="str">
        <f>IFERROR(IF(INDEX(SPOT_Import!$A$1:$Z$2488,639,'Live Data'!$C$16)="","",INDEX(SPOT_Import!$A$1:$Z$2488,639,'Live Data'!$C$16)),"")</f>
        <v>USAID Jamii Tekelezi</v>
      </c>
      <c r="F639" s="54" t="str">
        <f>IFERROR(IF(INDEX(SPOT_Import!$A$1:$Z$2488,639,'Live Data'!$C$17)="","",INDEX(SPOT_Import!$A$1:$Z$2488,639,'Live Data'!$C$17)),"")</f>
        <v>PKV</v>
      </c>
      <c r="G639" s="54">
        <f>IFERROR(IF(INDEX(SPOT_Import!$A$1:$Z$2488,639,'Live Data'!$C$18)="","",INDEX(SPOT_Import!$A$1:$Z$2488,639,'Live Data'!$C$18)),"")</f>
        <v>502</v>
      </c>
      <c r="H639" s="54" t="str">
        <f>IFERROR(IF(INDEX(SPOT_Import!$A$1:$Z$2488,639,'Live Data'!$C$19)="","",INDEX(SPOT_Import!$A$1:$Z$2488,639,'Live Data'!$C$19)),"")</f>
        <v/>
      </c>
      <c r="I639" s="54" t="str">
        <f>IFERROR(IF(INDEX(SPOT_Import!$A$1:$Z$2488,639,'Live Data'!$C$20)="","",INDEX(SPOT_Import!$A$1:$Z$2488,639,'Live Data'!$C$20)),"")</f>
        <v>Complete</v>
      </c>
      <c r="J639" s="54" t="str">
        <f>IFERROR(IF(INDEX(SPOT_Import!$A$1:$Z$2488,639,'Live Data'!$C$21)="","",INDEX(SPOT_Import!$A$1:$Z$2488,639,'Live Data'!$C$21)),"")</f>
        <v>2023-02-09T12:19:01.000Z</v>
      </c>
      <c r="K639" s="54" t="str">
        <f>IFERROR(IF(INDEX(SPOT_Import!$A$1:$Z$2488,639,'Live Data'!$C$22)="","",INDEX(SPOT_Import!$A$1:$Z$2488,639,'Live Data'!$C$22)),"")</f>
        <v>2023-02-09T12:19:01.000Z</v>
      </c>
      <c r="L639" s="55" t="str">
        <f t="shared" si="18"/>
        <v>2023-02</v>
      </c>
      <c r="M639" s="55" t="str">
        <f t="shared" si="19"/>
        <v>EMBU</v>
      </c>
      <c r="N639" s="55" t="str">
        <f>IF(A639="","",IFERROR(INDEX('Cluster Map'!$A$4:$A$38,MATCH(M639,'Cluster Map'!$B$4:$B$38,0)),"Unmapped"))</f>
        <v>Cluster 2</v>
      </c>
      <c r="O639" s="55">
        <f>IF(A639="",0,IF(COUNTIFS($A$2:A639,A639,$F$2:F639,F639,$L$2:L639,L639)=1,1,0))</f>
        <v>1</v>
      </c>
      <c r="P639" s="55">
        <f>IF(A639="",0,IF(AND(F639="C&amp;T",COUNTIFS($A$2:A639,A639,$F$2:F639,"C&amp;T")=1),1,0))</f>
        <v>0</v>
      </c>
    </row>
    <row r="640" spans="1:16" x14ac:dyDescent="0.35">
      <c r="A640" s="54">
        <f>IFERROR(IF(INDEX(SPOT_Import!$A$1:$Z$2488,640,'Live Data'!$C$12)="","",INDEX(SPOT_Import!$A$1:$Z$2488,640,'Live Data'!$C$12)),"")</f>
        <v>12279</v>
      </c>
      <c r="B640" s="54" t="str">
        <f>IFERROR(IF(INDEX(SPOT_Import!$A$1:$Z$2488,640,'Live Data'!$C$13)="","",INDEX(SPOT_Import!$A$1:$Z$2488,640,'Live Data'!$C$13)),"")</f>
        <v>Kianjokoma Sub-District Hospital</v>
      </c>
      <c r="C640" s="54" t="str">
        <f>IFERROR(IF(INDEX(SPOT_Import!$A$1:$Z$2488,640,'Live Data'!$C$14)="","",INDEX(SPOT_Import!$A$1:$Z$2488,640,'Live Data'!$C$14)),"")</f>
        <v>EMBU</v>
      </c>
      <c r="D640" s="54" t="str">
        <f>IFERROR(IF(INDEX(SPOT_Import!$A$1:$Z$2488,640,'Live Data'!$C$15)="","",INDEX(SPOT_Import!$A$1:$Z$2488,640,'Live Data'!$C$15)),"")</f>
        <v>Runyenjes</v>
      </c>
      <c r="E640" s="54" t="str">
        <f>IFERROR(IF(INDEX(SPOT_Import!$A$1:$Z$2488,640,'Live Data'!$C$16)="","",INDEX(SPOT_Import!$A$1:$Z$2488,640,'Live Data'!$C$16)),"")</f>
        <v>USAID Jamii Tekelezi</v>
      </c>
      <c r="F640" s="54" t="str">
        <f>IFERROR(IF(INDEX(SPOT_Import!$A$1:$Z$2488,640,'Live Data'!$C$17)="","",INDEX(SPOT_Import!$A$1:$Z$2488,640,'Live Data'!$C$17)),"")</f>
        <v>PKV</v>
      </c>
      <c r="G640" s="54">
        <f>IFERROR(IF(INDEX(SPOT_Import!$A$1:$Z$2488,640,'Live Data'!$C$18)="","",INDEX(SPOT_Import!$A$1:$Z$2488,640,'Live Data'!$C$18)),"")</f>
        <v>566</v>
      </c>
      <c r="H640" s="54" t="str">
        <f>IFERROR(IF(INDEX(SPOT_Import!$A$1:$Z$2488,640,'Live Data'!$C$19)="","",INDEX(SPOT_Import!$A$1:$Z$2488,640,'Live Data'!$C$19)),"")</f>
        <v/>
      </c>
      <c r="I640" s="54" t="str">
        <f>IFERROR(IF(INDEX(SPOT_Import!$A$1:$Z$2488,640,'Live Data'!$C$20)="","",INDEX(SPOT_Import!$A$1:$Z$2488,640,'Live Data'!$C$20)),"")</f>
        <v>Complete</v>
      </c>
      <c r="J640" s="54" t="str">
        <f>IFERROR(IF(INDEX(SPOT_Import!$A$1:$Z$2488,640,'Live Data'!$C$21)="","",INDEX(SPOT_Import!$A$1:$Z$2488,640,'Live Data'!$C$21)),"")</f>
        <v>2023-02-09T10:38:05.000Z</v>
      </c>
      <c r="K640" s="54" t="str">
        <f>IFERROR(IF(INDEX(SPOT_Import!$A$1:$Z$2488,640,'Live Data'!$C$22)="","",INDEX(SPOT_Import!$A$1:$Z$2488,640,'Live Data'!$C$22)),"")</f>
        <v>2023-02-09T10:38:05.000Z</v>
      </c>
      <c r="L640" s="55" t="str">
        <f t="shared" si="18"/>
        <v>2023-02</v>
      </c>
      <c r="M640" s="55" t="str">
        <f t="shared" si="19"/>
        <v>EMBU</v>
      </c>
      <c r="N640" s="55" t="str">
        <f>IF(A640="","",IFERROR(INDEX('Cluster Map'!$A$4:$A$38,MATCH(M640,'Cluster Map'!$B$4:$B$38,0)),"Unmapped"))</f>
        <v>Cluster 2</v>
      </c>
      <c r="O640" s="55">
        <f>IF(A640="",0,IF(COUNTIFS($A$2:A640,A640,$F$2:F640,F640,$L$2:L640,L640)=1,1,0))</f>
        <v>1</v>
      </c>
      <c r="P640" s="55">
        <f>IF(A640="",0,IF(AND(F640="C&amp;T",COUNTIFS($A$2:A640,A640,$F$2:F640,"C&amp;T")=1),1,0))</f>
        <v>0</v>
      </c>
    </row>
    <row r="641" spans="1:16" x14ac:dyDescent="0.35">
      <c r="A641" s="54">
        <f>IFERROR(IF(INDEX(SPOT_Import!$A$1:$Z$2488,641,'Live Data'!$C$12)="","",INDEX(SPOT_Import!$A$1:$Z$2488,641,'Live Data'!$C$12)),"")</f>
        <v>12799</v>
      </c>
      <c r="B641" s="54" t="str">
        <f>IFERROR(IF(INDEX(SPOT_Import!$A$1:$Z$2488,641,'Live Data'!$C$13)="","",INDEX(SPOT_Import!$A$1:$Z$2488,641,'Live Data'!$C$13)),"")</f>
        <v>St John of God Hospital Tigania</v>
      </c>
      <c r="C641" s="54" t="str">
        <f>IFERROR(IF(INDEX(SPOT_Import!$A$1:$Z$2488,641,'Live Data'!$C$14)="","",INDEX(SPOT_Import!$A$1:$Z$2488,641,'Live Data'!$C$14)),"")</f>
        <v>MERU</v>
      </c>
      <c r="D641" s="54" t="str">
        <f>IFERROR(IF(INDEX(SPOT_Import!$A$1:$Z$2488,641,'Live Data'!$C$15)="","",INDEX(SPOT_Import!$A$1:$Z$2488,641,'Live Data'!$C$15)),"")</f>
        <v>Tigania East</v>
      </c>
      <c r="E641" s="54" t="str">
        <f>IFERROR(IF(INDEX(SPOT_Import!$A$1:$Z$2488,641,'Live Data'!$C$16)="","",INDEX(SPOT_Import!$A$1:$Z$2488,641,'Live Data'!$C$16)),"")</f>
        <v>USAID Jamii Tekelezi</v>
      </c>
      <c r="F641" s="54" t="str">
        <f>IFERROR(IF(INDEX(SPOT_Import!$A$1:$Z$2488,641,'Live Data'!$C$17)="","",INDEX(SPOT_Import!$A$1:$Z$2488,641,'Live Data'!$C$17)),"")</f>
        <v>PKV</v>
      </c>
      <c r="G641" s="54">
        <f>IFERROR(IF(INDEX(SPOT_Import!$A$1:$Z$2488,641,'Live Data'!$C$18)="","",INDEX(SPOT_Import!$A$1:$Z$2488,641,'Live Data'!$C$18)),"")</f>
        <v>16177</v>
      </c>
      <c r="H641" s="54" t="str">
        <f>IFERROR(IF(INDEX(SPOT_Import!$A$1:$Z$2488,641,'Live Data'!$C$19)="","",INDEX(SPOT_Import!$A$1:$Z$2488,641,'Live Data'!$C$19)),"")</f>
        <v/>
      </c>
      <c r="I641" s="54" t="str">
        <f>IFERROR(IF(INDEX(SPOT_Import!$A$1:$Z$2488,641,'Live Data'!$C$20)="","",INDEX(SPOT_Import!$A$1:$Z$2488,641,'Live Data'!$C$20)),"")</f>
        <v>Complete</v>
      </c>
      <c r="J641" s="54" t="str">
        <f>IFERROR(IF(INDEX(SPOT_Import!$A$1:$Z$2488,641,'Live Data'!$C$21)="","",INDEX(SPOT_Import!$A$1:$Z$2488,641,'Live Data'!$C$21)),"")</f>
        <v>2023-02-09T08:39:50.000Z</v>
      </c>
      <c r="K641" s="54" t="str">
        <f>IFERROR(IF(INDEX(SPOT_Import!$A$1:$Z$2488,641,'Live Data'!$C$22)="","",INDEX(SPOT_Import!$A$1:$Z$2488,641,'Live Data'!$C$22)),"")</f>
        <v>2023-02-09T08:39:50.000Z</v>
      </c>
      <c r="L641" s="55" t="str">
        <f t="shared" si="18"/>
        <v>2023-02</v>
      </c>
      <c r="M641" s="55" t="str">
        <f t="shared" si="19"/>
        <v>MERU</v>
      </c>
      <c r="N641" s="55" t="str">
        <f>IF(A641="","",IFERROR(INDEX('Cluster Map'!$A$4:$A$38,MATCH(M641,'Cluster Map'!$B$4:$B$38,0)),"Unmapped"))</f>
        <v>Cluster 1</v>
      </c>
      <c r="O641" s="55">
        <f>IF(A641="",0,IF(COUNTIFS($A$2:A641,A641,$F$2:F641,F641,$L$2:L641,L641)=1,1,0))</f>
        <v>1</v>
      </c>
      <c r="P641" s="55">
        <f>IF(A641="",0,IF(AND(F641="C&amp;T",COUNTIFS($A$2:A641,A641,$F$2:F641,"C&amp;T")=1),1,0))</f>
        <v>0</v>
      </c>
    </row>
    <row r="642" spans="1:16" x14ac:dyDescent="0.35">
      <c r="A642" s="54">
        <f>IFERROR(IF(INDEX(SPOT_Import!$A$1:$Z$2488,642,'Live Data'!$C$12)="","",INDEX(SPOT_Import!$A$1:$Z$2488,642,'Live Data'!$C$12)),"")</f>
        <v>11004</v>
      </c>
      <c r="B642" s="54" t="str">
        <f>IFERROR(IF(INDEX(SPOT_Import!$A$1:$Z$2488,642,'Live Data'!$C$13)="","",INDEX(SPOT_Import!$A$1:$Z$2488,642,'Live Data'!$C$13)),"")</f>
        <v>Shamata Health Centre</v>
      </c>
      <c r="C642" s="54" t="str">
        <f>IFERROR(IF(INDEX(SPOT_Import!$A$1:$Z$2488,642,'Live Data'!$C$14)="","",INDEX(SPOT_Import!$A$1:$Z$2488,642,'Live Data'!$C$14)),"")</f>
        <v>NYANDARUA</v>
      </c>
      <c r="D642" s="54" t="str">
        <f>IFERROR(IF(INDEX(SPOT_Import!$A$1:$Z$2488,642,'Live Data'!$C$15)="","",INDEX(SPOT_Import!$A$1:$Z$2488,642,'Live Data'!$C$15)),"")</f>
        <v>Ndaragwa</v>
      </c>
      <c r="E642" s="54" t="str">
        <f>IFERROR(IF(INDEX(SPOT_Import!$A$1:$Z$2488,642,'Live Data'!$C$16)="","",INDEX(SPOT_Import!$A$1:$Z$2488,642,'Live Data'!$C$16)),"")</f>
        <v>USAID Jamii Tekelezi</v>
      </c>
      <c r="F642" s="54" t="str">
        <f>IFERROR(IF(INDEX(SPOT_Import!$A$1:$Z$2488,642,'Live Data'!$C$17)="","",INDEX(SPOT_Import!$A$1:$Z$2488,642,'Live Data'!$C$17)),"")</f>
        <v>PKV</v>
      </c>
      <c r="G642" s="54">
        <f>IFERROR(IF(INDEX(SPOT_Import!$A$1:$Z$2488,642,'Live Data'!$C$18)="","",INDEX(SPOT_Import!$A$1:$Z$2488,642,'Live Data'!$C$18)),"")</f>
        <v>1462</v>
      </c>
      <c r="H642" s="54" t="str">
        <f>IFERROR(IF(INDEX(SPOT_Import!$A$1:$Z$2488,642,'Live Data'!$C$19)="","",INDEX(SPOT_Import!$A$1:$Z$2488,642,'Live Data'!$C$19)),"")</f>
        <v/>
      </c>
      <c r="I642" s="54" t="str">
        <f>IFERROR(IF(INDEX(SPOT_Import!$A$1:$Z$2488,642,'Live Data'!$C$20)="","",INDEX(SPOT_Import!$A$1:$Z$2488,642,'Live Data'!$C$20)),"")</f>
        <v>Complete</v>
      </c>
      <c r="J642" s="54" t="str">
        <f>IFERROR(IF(INDEX(SPOT_Import!$A$1:$Z$2488,642,'Live Data'!$C$21)="","",INDEX(SPOT_Import!$A$1:$Z$2488,642,'Live Data'!$C$21)),"")</f>
        <v>2023-02-09T08:09:31.000Z</v>
      </c>
      <c r="K642" s="54" t="str">
        <f>IFERROR(IF(INDEX(SPOT_Import!$A$1:$Z$2488,642,'Live Data'!$C$22)="","",INDEX(SPOT_Import!$A$1:$Z$2488,642,'Live Data'!$C$22)),"")</f>
        <v>2023-02-09T08:09:31.000Z</v>
      </c>
      <c r="L642" s="55" t="str">
        <f t="shared" ref="L642:L705" si="20">IF(A642="","",IF(ISNUMBER(K642),TEXT(K642,"yyyy-mm"),LEFT(K642,7)))</f>
        <v>2023-02</v>
      </c>
      <c r="M642" s="55" t="str">
        <f t="shared" ref="M642:M705" si="21">IF(A642="","",UPPER(TRIM(SUBSTITUTE(C642," - ","-"))))</f>
        <v>NYANDARUA</v>
      </c>
      <c r="N642" s="55" t="str">
        <f>IF(A642="","",IFERROR(INDEX('Cluster Map'!$A$4:$A$38,MATCH(M642,'Cluster Map'!$B$4:$B$38,0)),"Unmapped"))</f>
        <v>Cluster 4</v>
      </c>
      <c r="O642" s="55">
        <f>IF(A642="",0,IF(COUNTIFS($A$2:A642,A642,$F$2:F642,F642,$L$2:L642,L642)=1,1,0))</f>
        <v>1</v>
      </c>
      <c r="P642" s="55">
        <f>IF(A642="",0,IF(AND(F642="C&amp;T",COUNTIFS($A$2:A642,A642,$F$2:F642,"C&amp;T")=1),1,0))</f>
        <v>0</v>
      </c>
    </row>
    <row r="643" spans="1:16" x14ac:dyDescent="0.35">
      <c r="A643" s="54">
        <f>IFERROR(IF(INDEX(SPOT_Import!$A$1:$Z$2488,643,'Live Data'!$C$12)="","",INDEX(SPOT_Import!$A$1:$Z$2488,643,'Live Data'!$C$12)),"")</f>
        <v>12516</v>
      </c>
      <c r="B643" s="54" t="str">
        <f>IFERROR(IF(INDEX(SPOT_Import!$A$1:$Z$2488,643,'Live Data'!$C$13)="","",INDEX(SPOT_Import!$A$1:$Z$2488,643,'Live Data'!$C$13)),"")</f>
        <v>Meru District hospital</v>
      </c>
      <c r="C643" s="54" t="str">
        <f>IFERROR(IF(INDEX(SPOT_Import!$A$1:$Z$2488,643,'Live Data'!$C$14)="","",INDEX(SPOT_Import!$A$1:$Z$2488,643,'Live Data'!$C$14)),"")</f>
        <v>MERU</v>
      </c>
      <c r="D643" s="54" t="str">
        <f>IFERROR(IF(INDEX(SPOT_Import!$A$1:$Z$2488,643,'Live Data'!$C$15)="","",INDEX(SPOT_Import!$A$1:$Z$2488,643,'Live Data'!$C$15)),"")</f>
        <v>Imenti North</v>
      </c>
      <c r="E643" s="54" t="str">
        <f>IFERROR(IF(INDEX(SPOT_Import!$A$1:$Z$2488,643,'Live Data'!$C$16)="","",INDEX(SPOT_Import!$A$1:$Z$2488,643,'Live Data'!$C$16)),"")</f>
        <v>USAID Jamii Tekelezi</v>
      </c>
      <c r="F643" s="54" t="str">
        <f>IFERROR(IF(INDEX(SPOT_Import!$A$1:$Z$2488,643,'Live Data'!$C$17)="","",INDEX(SPOT_Import!$A$1:$Z$2488,643,'Live Data'!$C$17)),"")</f>
        <v>PKV</v>
      </c>
      <c r="G643" s="54">
        <f>IFERROR(IF(INDEX(SPOT_Import!$A$1:$Z$2488,643,'Live Data'!$C$18)="","",INDEX(SPOT_Import!$A$1:$Z$2488,643,'Live Data'!$C$18)),"")</f>
        <v>10964</v>
      </c>
      <c r="H643" s="54" t="str">
        <f>IFERROR(IF(INDEX(SPOT_Import!$A$1:$Z$2488,643,'Live Data'!$C$19)="","",INDEX(SPOT_Import!$A$1:$Z$2488,643,'Live Data'!$C$19)),"")</f>
        <v/>
      </c>
      <c r="I643" s="54" t="str">
        <f>IFERROR(IF(INDEX(SPOT_Import!$A$1:$Z$2488,643,'Live Data'!$C$20)="","",INDEX(SPOT_Import!$A$1:$Z$2488,643,'Live Data'!$C$20)),"")</f>
        <v>Complete</v>
      </c>
      <c r="J643" s="54" t="str">
        <f>IFERROR(IF(INDEX(SPOT_Import!$A$1:$Z$2488,643,'Live Data'!$C$21)="","",INDEX(SPOT_Import!$A$1:$Z$2488,643,'Live Data'!$C$21)),"")</f>
        <v>2023-02-09T05:27:44.000Z</v>
      </c>
      <c r="K643" s="54" t="str">
        <f>IFERROR(IF(INDEX(SPOT_Import!$A$1:$Z$2488,643,'Live Data'!$C$22)="","",INDEX(SPOT_Import!$A$1:$Z$2488,643,'Live Data'!$C$22)),"")</f>
        <v>2023-02-09T05:27:44.000Z</v>
      </c>
      <c r="L643" s="55" t="str">
        <f t="shared" si="20"/>
        <v>2023-02</v>
      </c>
      <c r="M643" s="55" t="str">
        <f t="shared" si="21"/>
        <v>MERU</v>
      </c>
      <c r="N643" s="55" t="str">
        <f>IF(A643="","",IFERROR(INDEX('Cluster Map'!$A$4:$A$38,MATCH(M643,'Cluster Map'!$B$4:$B$38,0)),"Unmapped"))</f>
        <v>Cluster 1</v>
      </c>
      <c r="O643" s="55">
        <f>IF(A643="",0,IF(COUNTIFS($A$2:A643,A643,$F$2:F643,F643,$L$2:L643,L643)=1,1,0))</f>
        <v>1</v>
      </c>
      <c r="P643" s="55">
        <f>IF(A643="",0,IF(AND(F643="C&amp;T",COUNTIFS($A$2:A643,A643,$F$2:F643,"C&amp;T")=1),1,0))</f>
        <v>0</v>
      </c>
    </row>
    <row r="644" spans="1:16" x14ac:dyDescent="0.35">
      <c r="A644" s="54">
        <f>IFERROR(IF(INDEX(SPOT_Import!$A$1:$Z$2488,644,'Live Data'!$C$12)="","",INDEX(SPOT_Import!$A$1:$Z$2488,644,'Live Data'!$C$12)),"")</f>
        <v>12325</v>
      </c>
      <c r="B644" s="54" t="str">
        <f>IFERROR(IF(INDEX(SPOT_Import!$A$1:$Z$2488,644,'Live Data'!$C$13)="","",INDEX(SPOT_Import!$A$1:$Z$2488,644,'Live Data'!$C$13)),"")</f>
        <v>Kinoro Sub-District Hospital</v>
      </c>
      <c r="C644" s="54" t="str">
        <f>IFERROR(IF(INDEX(SPOT_Import!$A$1:$Z$2488,644,'Live Data'!$C$14)="","",INDEX(SPOT_Import!$A$1:$Z$2488,644,'Live Data'!$C$14)),"")</f>
        <v>MERU</v>
      </c>
      <c r="D644" s="54" t="str">
        <f>IFERROR(IF(INDEX(SPOT_Import!$A$1:$Z$2488,644,'Live Data'!$C$15)="","",INDEX(SPOT_Import!$A$1:$Z$2488,644,'Live Data'!$C$15)),"")</f>
        <v>Imenti South</v>
      </c>
      <c r="E644" s="54" t="str">
        <f>IFERROR(IF(INDEX(SPOT_Import!$A$1:$Z$2488,644,'Live Data'!$C$16)="","",INDEX(SPOT_Import!$A$1:$Z$2488,644,'Live Data'!$C$16)),"")</f>
        <v>USAID Jamii Tekelezi</v>
      </c>
      <c r="F644" s="54" t="str">
        <f>IFERROR(IF(INDEX(SPOT_Import!$A$1:$Z$2488,644,'Live Data'!$C$17)="","",INDEX(SPOT_Import!$A$1:$Z$2488,644,'Live Data'!$C$17)),"")</f>
        <v>PKV</v>
      </c>
      <c r="G644" s="54">
        <f>IFERROR(IF(INDEX(SPOT_Import!$A$1:$Z$2488,644,'Live Data'!$C$18)="","",INDEX(SPOT_Import!$A$1:$Z$2488,644,'Live Data'!$C$18)),"")</f>
        <v>3437</v>
      </c>
      <c r="H644" s="54" t="str">
        <f>IFERROR(IF(INDEX(SPOT_Import!$A$1:$Z$2488,644,'Live Data'!$C$19)="","",INDEX(SPOT_Import!$A$1:$Z$2488,644,'Live Data'!$C$19)),"")</f>
        <v/>
      </c>
      <c r="I644" s="54" t="str">
        <f>IFERROR(IF(INDEX(SPOT_Import!$A$1:$Z$2488,644,'Live Data'!$C$20)="","",INDEX(SPOT_Import!$A$1:$Z$2488,644,'Live Data'!$C$20)),"")</f>
        <v>Complete</v>
      </c>
      <c r="J644" s="54" t="str">
        <f>IFERROR(IF(INDEX(SPOT_Import!$A$1:$Z$2488,644,'Live Data'!$C$21)="","",INDEX(SPOT_Import!$A$1:$Z$2488,644,'Live Data'!$C$21)),"")</f>
        <v>2023-02-08T15:21:18.000Z</v>
      </c>
      <c r="K644" s="54" t="str">
        <f>IFERROR(IF(INDEX(SPOT_Import!$A$1:$Z$2488,644,'Live Data'!$C$22)="","",INDEX(SPOT_Import!$A$1:$Z$2488,644,'Live Data'!$C$22)),"")</f>
        <v>2023-02-08T15:21:18.000Z</v>
      </c>
      <c r="L644" s="55" t="str">
        <f t="shared" si="20"/>
        <v>2023-02</v>
      </c>
      <c r="M644" s="55" t="str">
        <f t="shared" si="21"/>
        <v>MERU</v>
      </c>
      <c r="N644" s="55" t="str">
        <f>IF(A644="","",IFERROR(INDEX('Cluster Map'!$A$4:$A$38,MATCH(M644,'Cluster Map'!$B$4:$B$38,0)),"Unmapped"))</f>
        <v>Cluster 1</v>
      </c>
      <c r="O644" s="55">
        <f>IF(A644="",0,IF(COUNTIFS($A$2:A644,A644,$F$2:F644,F644,$L$2:L644,L644)=1,1,0))</f>
        <v>1</v>
      </c>
      <c r="P644" s="55">
        <f>IF(A644="",0,IF(AND(F644="C&amp;T",COUNTIFS($A$2:A644,A644,$F$2:F644,"C&amp;T")=1),1,0))</f>
        <v>0</v>
      </c>
    </row>
    <row r="645" spans="1:16" x14ac:dyDescent="0.35">
      <c r="A645" s="54">
        <f>IFERROR(IF(INDEX(SPOT_Import!$A$1:$Z$2488,645,'Live Data'!$C$12)="","",INDEX(SPOT_Import!$A$1:$Z$2488,645,'Live Data'!$C$12)),"")</f>
        <v>12287</v>
      </c>
      <c r="B645" s="54" t="str">
        <f>IFERROR(IF(INDEX(SPOT_Import!$A$1:$Z$2488,645,'Live Data'!$C$13)="","",INDEX(SPOT_Import!$A$1:$Z$2488,645,'Live Data'!$C$13)),"")</f>
        <v>Kibugu Health Centre</v>
      </c>
      <c r="C645" s="54" t="str">
        <f>IFERROR(IF(INDEX(SPOT_Import!$A$1:$Z$2488,645,'Live Data'!$C$14)="","",INDEX(SPOT_Import!$A$1:$Z$2488,645,'Live Data'!$C$14)),"")</f>
        <v>EMBU</v>
      </c>
      <c r="D645" s="54" t="str">
        <f>IFERROR(IF(INDEX(SPOT_Import!$A$1:$Z$2488,645,'Live Data'!$C$15)="","",INDEX(SPOT_Import!$A$1:$Z$2488,645,'Live Data'!$C$15)),"")</f>
        <v>Manyatta</v>
      </c>
      <c r="E645" s="54" t="str">
        <f>IFERROR(IF(INDEX(SPOT_Import!$A$1:$Z$2488,645,'Live Data'!$C$16)="","",INDEX(SPOT_Import!$A$1:$Z$2488,645,'Live Data'!$C$16)),"")</f>
        <v>USAID Jamii Tekelezi</v>
      </c>
      <c r="F645" s="54" t="str">
        <f>IFERROR(IF(INDEX(SPOT_Import!$A$1:$Z$2488,645,'Live Data'!$C$17)="","",INDEX(SPOT_Import!$A$1:$Z$2488,645,'Live Data'!$C$17)),"")</f>
        <v>PKV</v>
      </c>
      <c r="G645" s="54">
        <f>IFERROR(IF(INDEX(SPOT_Import!$A$1:$Z$2488,645,'Live Data'!$C$18)="","",INDEX(SPOT_Import!$A$1:$Z$2488,645,'Live Data'!$C$18)),"")</f>
        <v>974</v>
      </c>
      <c r="H645" s="54" t="str">
        <f>IFERROR(IF(INDEX(SPOT_Import!$A$1:$Z$2488,645,'Live Data'!$C$19)="","",INDEX(SPOT_Import!$A$1:$Z$2488,645,'Live Data'!$C$19)),"")</f>
        <v/>
      </c>
      <c r="I645" s="54" t="str">
        <f>IFERROR(IF(INDEX(SPOT_Import!$A$1:$Z$2488,645,'Live Data'!$C$20)="","",INDEX(SPOT_Import!$A$1:$Z$2488,645,'Live Data'!$C$20)),"")</f>
        <v>Complete</v>
      </c>
      <c r="J645" s="54" t="str">
        <f>IFERROR(IF(INDEX(SPOT_Import!$A$1:$Z$2488,645,'Live Data'!$C$21)="","",INDEX(SPOT_Import!$A$1:$Z$2488,645,'Live Data'!$C$21)),"")</f>
        <v>2023-02-08T13:07:39.000Z</v>
      </c>
      <c r="K645" s="54" t="str">
        <f>IFERROR(IF(INDEX(SPOT_Import!$A$1:$Z$2488,645,'Live Data'!$C$22)="","",INDEX(SPOT_Import!$A$1:$Z$2488,645,'Live Data'!$C$22)),"")</f>
        <v>2023-02-08T13:07:39.000Z</v>
      </c>
      <c r="L645" s="55" t="str">
        <f t="shared" si="20"/>
        <v>2023-02</v>
      </c>
      <c r="M645" s="55" t="str">
        <f t="shared" si="21"/>
        <v>EMBU</v>
      </c>
      <c r="N645" s="55" t="str">
        <f>IF(A645="","",IFERROR(INDEX('Cluster Map'!$A$4:$A$38,MATCH(M645,'Cluster Map'!$B$4:$B$38,0)),"Unmapped"))</f>
        <v>Cluster 2</v>
      </c>
      <c r="O645" s="55">
        <f>IF(A645="",0,IF(COUNTIFS($A$2:A645,A645,$F$2:F645,F645,$L$2:L645,L645)=1,1,0))</f>
        <v>1</v>
      </c>
      <c r="P645" s="55">
        <f>IF(A645="",0,IF(AND(F645="C&amp;T",COUNTIFS($A$2:A645,A645,$F$2:F645,"C&amp;T")=1),1,0))</f>
        <v>0</v>
      </c>
    </row>
    <row r="646" spans="1:16" x14ac:dyDescent="0.35">
      <c r="A646" s="54">
        <f>IFERROR(IF(INDEX(SPOT_Import!$A$1:$Z$2488,646,'Live Data'!$C$12)="","",INDEX(SPOT_Import!$A$1:$Z$2488,646,'Live Data'!$C$12)),"")</f>
        <v>16464</v>
      </c>
      <c r="B646" s="54" t="str">
        <f>IFERROR(IF(INDEX(SPOT_Import!$A$1:$Z$2488,646,'Live Data'!$C$13)="","",INDEX(SPOT_Import!$A$1:$Z$2488,646,'Live Data'!$C$13)),"")</f>
        <v>Ishiara Sub-District Hospital</v>
      </c>
      <c r="C646" s="54" t="str">
        <f>IFERROR(IF(INDEX(SPOT_Import!$A$1:$Z$2488,646,'Live Data'!$C$14)="","",INDEX(SPOT_Import!$A$1:$Z$2488,646,'Live Data'!$C$14)),"")</f>
        <v>EMBU</v>
      </c>
      <c r="D646" s="54" t="str">
        <f>IFERROR(IF(INDEX(SPOT_Import!$A$1:$Z$2488,646,'Live Data'!$C$15)="","",INDEX(SPOT_Import!$A$1:$Z$2488,646,'Live Data'!$C$15)),"")</f>
        <v>Mbeere North</v>
      </c>
      <c r="E646" s="54" t="str">
        <f>IFERROR(IF(INDEX(SPOT_Import!$A$1:$Z$2488,646,'Live Data'!$C$16)="","",INDEX(SPOT_Import!$A$1:$Z$2488,646,'Live Data'!$C$16)),"")</f>
        <v>USAID Jamii Tekelezi</v>
      </c>
      <c r="F646" s="54" t="str">
        <f>IFERROR(IF(INDEX(SPOT_Import!$A$1:$Z$2488,646,'Live Data'!$C$17)="","",INDEX(SPOT_Import!$A$1:$Z$2488,646,'Live Data'!$C$17)),"")</f>
        <v>PKV</v>
      </c>
      <c r="G646" s="54">
        <f>IFERROR(IF(INDEX(SPOT_Import!$A$1:$Z$2488,646,'Live Data'!$C$18)="","",INDEX(SPOT_Import!$A$1:$Z$2488,646,'Live Data'!$C$18)),"")</f>
        <v>1417</v>
      </c>
      <c r="H646" s="54" t="str">
        <f>IFERROR(IF(INDEX(SPOT_Import!$A$1:$Z$2488,646,'Live Data'!$C$19)="","",INDEX(SPOT_Import!$A$1:$Z$2488,646,'Live Data'!$C$19)),"")</f>
        <v/>
      </c>
      <c r="I646" s="54" t="str">
        <f>IFERROR(IF(INDEX(SPOT_Import!$A$1:$Z$2488,646,'Live Data'!$C$20)="","",INDEX(SPOT_Import!$A$1:$Z$2488,646,'Live Data'!$C$20)),"")</f>
        <v>Complete</v>
      </c>
      <c r="J646" s="54" t="str">
        <f>IFERROR(IF(INDEX(SPOT_Import!$A$1:$Z$2488,646,'Live Data'!$C$21)="","",INDEX(SPOT_Import!$A$1:$Z$2488,646,'Live Data'!$C$21)),"")</f>
        <v>2023-02-08T13:00:17.000Z</v>
      </c>
      <c r="K646" s="54" t="str">
        <f>IFERROR(IF(INDEX(SPOT_Import!$A$1:$Z$2488,646,'Live Data'!$C$22)="","",INDEX(SPOT_Import!$A$1:$Z$2488,646,'Live Data'!$C$22)),"")</f>
        <v>2023-02-08T13:00:17.000Z</v>
      </c>
      <c r="L646" s="55" t="str">
        <f t="shared" si="20"/>
        <v>2023-02</v>
      </c>
      <c r="M646" s="55" t="str">
        <f t="shared" si="21"/>
        <v>EMBU</v>
      </c>
      <c r="N646" s="55" t="str">
        <f>IF(A646="","",IFERROR(INDEX('Cluster Map'!$A$4:$A$38,MATCH(M646,'Cluster Map'!$B$4:$B$38,0)),"Unmapped"))</f>
        <v>Cluster 2</v>
      </c>
      <c r="O646" s="55">
        <f>IF(A646="",0,IF(COUNTIFS($A$2:A646,A646,$F$2:F646,F646,$L$2:L646,L646)=1,1,0))</f>
        <v>1</v>
      </c>
      <c r="P646" s="55">
        <f>IF(A646="",0,IF(AND(F646="C&amp;T",COUNTIFS($A$2:A646,A646,$F$2:F646,"C&amp;T")=1),1,0))</f>
        <v>0</v>
      </c>
    </row>
    <row r="647" spans="1:16" x14ac:dyDescent="0.35">
      <c r="A647" s="54">
        <f>IFERROR(IF(INDEX(SPOT_Import!$A$1:$Z$2488,647,'Live Data'!$C$12)="","",INDEX(SPOT_Import!$A$1:$Z$2488,647,'Live Data'!$C$12)),"")</f>
        <v>12071</v>
      </c>
      <c r="B647" s="54" t="str">
        <f>IFERROR(IF(INDEX(SPOT_Import!$A$1:$Z$2488,647,'Live Data'!$C$13)="","",INDEX(SPOT_Import!$A$1:$Z$2488,647,'Live Data'!$C$13)),"")</f>
        <v>Igoki Dispensary</v>
      </c>
      <c r="C647" s="54" t="str">
        <f>IFERROR(IF(INDEX(SPOT_Import!$A$1:$Z$2488,647,'Live Data'!$C$14)="","",INDEX(SPOT_Import!$A$1:$Z$2488,647,'Live Data'!$C$14)),"")</f>
        <v>MERU</v>
      </c>
      <c r="D647" s="54" t="str">
        <f>IFERROR(IF(INDEX(SPOT_Import!$A$1:$Z$2488,647,'Live Data'!$C$15)="","",INDEX(SPOT_Import!$A$1:$Z$2488,647,'Live Data'!$C$15)),"")</f>
        <v>Imenti North</v>
      </c>
      <c r="E647" s="54" t="str">
        <f>IFERROR(IF(INDEX(SPOT_Import!$A$1:$Z$2488,647,'Live Data'!$C$16)="","",INDEX(SPOT_Import!$A$1:$Z$2488,647,'Live Data'!$C$16)),"")</f>
        <v>USAID Jamii Tekelezi</v>
      </c>
      <c r="F647" s="54" t="str">
        <f>IFERROR(IF(INDEX(SPOT_Import!$A$1:$Z$2488,647,'Live Data'!$C$17)="","",INDEX(SPOT_Import!$A$1:$Z$2488,647,'Live Data'!$C$17)),"")</f>
        <v>PKV</v>
      </c>
      <c r="G647" s="54">
        <f>IFERROR(IF(INDEX(SPOT_Import!$A$1:$Z$2488,647,'Live Data'!$C$18)="","",INDEX(SPOT_Import!$A$1:$Z$2488,647,'Live Data'!$C$18)),"")</f>
        <v>143</v>
      </c>
      <c r="H647" s="54" t="str">
        <f>IFERROR(IF(INDEX(SPOT_Import!$A$1:$Z$2488,647,'Live Data'!$C$19)="","",INDEX(SPOT_Import!$A$1:$Z$2488,647,'Live Data'!$C$19)),"")</f>
        <v/>
      </c>
      <c r="I647" s="54" t="str">
        <f>IFERROR(IF(INDEX(SPOT_Import!$A$1:$Z$2488,647,'Live Data'!$C$20)="","",INDEX(SPOT_Import!$A$1:$Z$2488,647,'Live Data'!$C$20)),"")</f>
        <v>Complete</v>
      </c>
      <c r="J647" s="54" t="str">
        <f>IFERROR(IF(INDEX(SPOT_Import!$A$1:$Z$2488,647,'Live Data'!$C$21)="","",INDEX(SPOT_Import!$A$1:$Z$2488,647,'Live Data'!$C$21)),"")</f>
        <v>2023-02-08T09:39:49.000Z</v>
      </c>
      <c r="K647" s="54" t="str">
        <f>IFERROR(IF(INDEX(SPOT_Import!$A$1:$Z$2488,647,'Live Data'!$C$22)="","",INDEX(SPOT_Import!$A$1:$Z$2488,647,'Live Data'!$C$22)),"")</f>
        <v>2023-02-08T09:39:49.000Z</v>
      </c>
      <c r="L647" s="55" t="str">
        <f t="shared" si="20"/>
        <v>2023-02</v>
      </c>
      <c r="M647" s="55" t="str">
        <f t="shared" si="21"/>
        <v>MERU</v>
      </c>
      <c r="N647" s="55" t="str">
        <f>IF(A647="","",IFERROR(INDEX('Cluster Map'!$A$4:$A$38,MATCH(M647,'Cluster Map'!$B$4:$B$38,0)),"Unmapped"))</f>
        <v>Cluster 1</v>
      </c>
      <c r="O647" s="55">
        <f>IF(A647="",0,IF(COUNTIFS($A$2:A647,A647,$F$2:F647,F647,$L$2:L647,L647)=1,1,0))</f>
        <v>1</v>
      </c>
      <c r="P647" s="55">
        <f>IF(A647="",0,IF(AND(F647="C&amp;T",COUNTIFS($A$2:A647,A647,$F$2:F647,"C&amp;T")=1),1,0))</f>
        <v>0</v>
      </c>
    </row>
    <row r="648" spans="1:16" x14ac:dyDescent="0.35">
      <c r="A648" s="54">
        <f>IFERROR(IF(INDEX(SPOT_Import!$A$1:$Z$2488,648,'Live Data'!$C$12)="","",INDEX(SPOT_Import!$A$1:$Z$2488,648,'Live Data'!$C$12)),"")</f>
        <v>12203</v>
      </c>
      <c r="B648" s="54" t="str">
        <f>IFERROR(IF(INDEX(SPOT_Import!$A$1:$Z$2488,648,'Live Data'!$C$13)="","",INDEX(SPOT_Import!$A$1:$Z$2488,648,'Live Data'!$C$13)),"")</f>
        <v>Karurumo RHTC</v>
      </c>
      <c r="C648" s="54" t="str">
        <f>IFERROR(IF(INDEX(SPOT_Import!$A$1:$Z$2488,648,'Live Data'!$C$14)="","",INDEX(SPOT_Import!$A$1:$Z$2488,648,'Live Data'!$C$14)),"")</f>
        <v>EMBU</v>
      </c>
      <c r="D648" s="54" t="str">
        <f>IFERROR(IF(INDEX(SPOT_Import!$A$1:$Z$2488,648,'Live Data'!$C$15)="","",INDEX(SPOT_Import!$A$1:$Z$2488,648,'Live Data'!$C$15)),"")</f>
        <v>Runyenjes</v>
      </c>
      <c r="E648" s="54" t="str">
        <f>IFERROR(IF(INDEX(SPOT_Import!$A$1:$Z$2488,648,'Live Data'!$C$16)="","",INDEX(SPOT_Import!$A$1:$Z$2488,648,'Live Data'!$C$16)),"")</f>
        <v>USAID Jamii Tekelezi</v>
      </c>
      <c r="F648" s="54" t="str">
        <f>IFERROR(IF(INDEX(SPOT_Import!$A$1:$Z$2488,648,'Live Data'!$C$17)="","",INDEX(SPOT_Import!$A$1:$Z$2488,648,'Live Data'!$C$17)),"")</f>
        <v>PKV</v>
      </c>
      <c r="G648" s="54">
        <f>IFERROR(IF(INDEX(SPOT_Import!$A$1:$Z$2488,648,'Live Data'!$C$18)="","",INDEX(SPOT_Import!$A$1:$Z$2488,648,'Live Data'!$C$18)),"")</f>
        <v>786</v>
      </c>
      <c r="H648" s="54" t="str">
        <f>IFERROR(IF(INDEX(SPOT_Import!$A$1:$Z$2488,648,'Live Data'!$C$19)="","",INDEX(SPOT_Import!$A$1:$Z$2488,648,'Live Data'!$C$19)),"")</f>
        <v/>
      </c>
      <c r="I648" s="54" t="str">
        <f>IFERROR(IF(INDEX(SPOT_Import!$A$1:$Z$2488,648,'Live Data'!$C$20)="","",INDEX(SPOT_Import!$A$1:$Z$2488,648,'Live Data'!$C$20)),"")</f>
        <v>Complete</v>
      </c>
      <c r="J648" s="54" t="str">
        <f>IFERROR(IF(INDEX(SPOT_Import!$A$1:$Z$2488,648,'Live Data'!$C$21)="","",INDEX(SPOT_Import!$A$1:$Z$2488,648,'Live Data'!$C$21)),"")</f>
        <v>2023-02-08T07:57:51.000Z</v>
      </c>
      <c r="K648" s="54" t="str">
        <f>IFERROR(IF(INDEX(SPOT_Import!$A$1:$Z$2488,648,'Live Data'!$C$22)="","",INDEX(SPOT_Import!$A$1:$Z$2488,648,'Live Data'!$C$22)),"")</f>
        <v>2023-02-08T07:57:51.000Z</v>
      </c>
      <c r="L648" s="55" t="str">
        <f t="shared" si="20"/>
        <v>2023-02</v>
      </c>
      <c r="M648" s="55" t="str">
        <f t="shared" si="21"/>
        <v>EMBU</v>
      </c>
      <c r="N648" s="55" t="str">
        <f>IF(A648="","",IFERROR(INDEX('Cluster Map'!$A$4:$A$38,MATCH(M648,'Cluster Map'!$B$4:$B$38,0)),"Unmapped"))</f>
        <v>Cluster 2</v>
      </c>
      <c r="O648" s="55">
        <f>IF(A648="",0,IF(COUNTIFS($A$2:A648,A648,$F$2:F648,F648,$L$2:L648,L648)=1,1,0))</f>
        <v>1</v>
      </c>
      <c r="P648" s="55">
        <f>IF(A648="",0,IF(AND(F648="C&amp;T",COUNTIFS($A$2:A648,A648,$F$2:F648,"C&amp;T")=1),1,0))</f>
        <v>0</v>
      </c>
    </row>
    <row r="649" spans="1:16" x14ac:dyDescent="0.35">
      <c r="A649" s="54">
        <f>IFERROR(IF(INDEX(SPOT_Import!$A$1:$Z$2488,649,'Live Data'!$C$12)="","",INDEX(SPOT_Import!$A$1:$Z$2488,649,'Live Data'!$C$12)),"")</f>
        <v>12534</v>
      </c>
      <c r="B649" s="54" t="str">
        <f>IFERROR(IF(INDEX(SPOT_Import!$A$1:$Z$2488,649,'Live Data'!$C$13)="","",INDEX(SPOT_Import!$A$1:$Z$2488,649,'Live Data'!$C$13)),"")</f>
        <v>Mitunguu Dispensary</v>
      </c>
      <c r="C649" s="54" t="str">
        <f>IFERROR(IF(INDEX(SPOT_Import!$A$1:$Z$2488,649,'Live Data'!$C$14)="","",INDEX(SPOT_Import!$A$1:$Z$2488,649,'Live Data'!$C$14)),"")</f>
        <v>MERU</v>
      </c>
      <c r="D649" s="54" t="str">
        <f>IFERROR(IF(INDEX(SPOT_Import!$A$1:$Z$2488,649,'Live Data'!$C$15)="","",INDEX(SPOT_Import!$A$1:$Z$2488,649,'Live Data'!$C$15)),"")</f>
        <v>Imenti South</v>
      </c>
      <c r="E649" s="54" t="str">
        <f>IFERROR(IF(INDEX(SPOT_Import!$A$1:$Z$2488,649,'Live Data'!$C$16)="","",INDEX(SPOT_Import!$A$1:$Z$2488,649,'Live Data'!$C$16)),"")</f>
        <v>USAID Jamii Tekelezi</v>
      </c>
      <c r="F649" s="54" t="str">
        <f>IFERROR(IF(INDEX(SPOT_Import!$A$1:$Z$2488,649,'Live Data'!$C$17)="","",INDEX(SPOT_Import!$A$1:$Z$2488,649,'Live Data'!$C$17)),"")</f>
        <v>PKV</v>
      </c>
      <c r="G649" s="54">
        <f>IFERROR(IF(INDEX(SPOT_Import!$A$1:$Z$2488,649,'Live Data'!$C$18)="","",INDEX(SPOT_Import!$A$1:$Z$2488,649,'Live Data'!$C$18)),"")</f>
        <v>811</v>
      </c>
      <c r="H649" s="54" t="str">
        <f>IFERROR(IF(INDEX(SPOT_Import!$A$1:$Z$2488,649,'Live Data'!$C$19)="","",INDEX(SPOT_Import!$A$1:$Z$2488,649,'Live Data'!$C$19)),"")</f>
        <v/>
      </c>
      <c r="I649" s="54" t="str">
        <f>IFERROR(IF(INDEX(SPOT_Import!$A$1:$Z$2488,649,'Live Data'!$C$20)="","",INDEX(SPOT_Import!$A$1:$Z$2488,649,'Live Data'!$C$20)),"")</f>
        <v>Complete</v>
      </c>
      <c r="J649" s="54" t="str">
        <f>IFERROR(IF(INDEX(SPOT_Import!$A$1:$Z$2488,649,'Live Data'!$C$21)="","",INDEX(SPOT_Import!$A$1:$Z$2488,649,'Live Data'!$C$21)),"")</f>
        <v>2023-02-08T06:56:33.000Z</v>
      </c>
      <c r="K649" s="54" t="str">
        <f>IFERROR(IF(INDEX(SPOT_Import!$A$1:$Z$2488,649,'Live Data'!$C$22)="","",INDEX(SPOT_Import!$A$1:$Z$2488,649,'Live Data'!$C$22)),"")</f>
        <v>2023-02-08T06:56:33.000Z</v>
      </c>
      <c r="L649" s="55" t="str">
        <f t="shared" si="20"/>
        <v>2023-02</v>
      </c>
      <c r="M649" s="55" t="str">
        <f t="shared" si="21"/>
        <v>MERU</v>
      </c>
      <c r="N649" s="55" t="str">
        <f>IF(A649="","",IFERROR(INDEX('Cluster Map'!$A$4:$A$38,MATCH(M649,'Cluster Map'!$B$4:$B$38,0)),"Unmapped"))</f>
        <v>Cluster 1</v>
      </c>
      <c r="O649" s="55">
        <f>IF(A649="",0,IF(COUNTIFS($A$2:A649,A649,$F$2:F649,F649,$L$2:L649,L649)=1,1,0))</f>
        <v>1</v>
      </c>
      <c r="P649" s="55">
        <f>IF(A649="",0,IF(AND(F649="C&amp;T",COUNTIFS($A$2:A649,A649,$F$2:F649,"C&amp;T")=1),1,0))</f>
        <v>0</v>
      </c>
    </row>
    <row r="650" spans="1:16" x14ac:dyDescent="0.35">
      <c r="A650" s="54">
        <f>IFERROR(IF(INDEX(SPOT_Import!$A$1:$Z$2488,650,'Live Data'!$C$12)="","",INDEX(SPOT_Import!$A$1:$Z$2488,650,'Live Data'!$C$12)),"")</f>
        <v>11973</v>
      </c>
      <c r="B650" s="54" t="str">
        <f>IFERROR(IF(INDEX(SPOT_Import!$A$1:$Z$2488,650,'Live Data'!$C$13)="","",INDEX(SPOT_Import!$A$1:$Z$2488,650,'Live Data'!$C$13)),"")</f>
        <v>Chuka County Refferal Hospital</v>
      </c>
      <c r="C650" s="54" t="str">
        <f>IFERROR(IF(INDEX(SPOT_Import!$A$1:$Z$2488,650,'Live Data'!$C$14)="","",INDEX(SPOT_Import!$A$1:$Z$2488,650,'Live Data'!$C$14)),"")</f>
        <v>THARAKA-NITHI</v>
      </c>
      <c r="D650" s="54" t="str">
        <f>IFERROR(IF(INDEX(SPOT_Import!$A$1:$Z$2488,650,'Live Data'!$C$15)="","",INDEX(SPOT_Import!$A$1:$Z$2488,650,'Live Data'!$C$15)),"")</f>
        <v>Chuka</v>
      </c>
      <c r="E650" s="54" t="str">
        <f>IFERROR(IF(INDEX(SPOT_Import!$A$1:$Z$2488,650,'Live Data'!$C$16)="","",INDEX(SPOT_Import!$A$1:$Z$2488,650,'Live Data'!$C$16)),"")</f>
        <v>USAID Jamii Tekelezi</v>
      </c>
      <c r="F650" s="54" t="str">
        <f>IFERROR(IF(INDEX(SPOT_Import!$A$1:$Z$2488,650,'Live Data'!$C$17)="","",INDEX(SPOT_Import!$A$1:$Z$2488,650,'Live Data'!$C$17)),"")</f>
        <v>PKV</v>
      </c>
      <c r="G650" s="54">
        <f>IFERROR(IF(INDEX(SPOT_Import!$A$1:$Z$2488,650,'Live Data'!$C$18)="","",INDEX(SPOT_Import!$A$1:$Z$2488,650,'Live Data'!$C$18)),"")</f>
        <v>11867</v>
      </c>
      <c r="H650" s="54" t="str">
        <f>IFERROR(IF(INDEX(SPOT_Import!$A$1:$Z$2488,650,'Live Data'!$C$19)="","",INDEX(SPOT_Import!$A$1:$Z$2488,650,'Live Data'!$C$19)),"")</f>
        <v/>
      </c>
      <c r="I650" s="54" t="str">
        <f>IFERROR(IF(INDEX(SPOT_Import!$A$1:$Z$2488,650,'Live Data'!$C$20)="","",INDEX(SPOT_Import!$A$1:$Z$2488,650,'Live Data'!$C$20)),"")</f>
        <v>Complete</v>
      </c>
      <c r="J650" s="54" t="str">
        <f>IFERROR(IF(INDEX(SPOT_Import!$A$1:$Z$2488,650,'Live Data'!$C$21)="","",INDEX(SPOT_Import!$A$1:$Z$2488,650,'Live Data'!$C$21)),"")</f>
        <v>2023-02-07T22:15:46.000Z</v>
      </c>
      <c r="K650" s="54" t="str">
        <f>IFERROR(IF(INDEX(SPOT_Import!$A$1:$Z$2488,650,'Live Data'!$C$22)="","",INDEX(SPOT_Import!$A$1:$Z$2488,650,'Live Data'!$C$22)),"")</f>
        <v>2023-02-07T22:15:46.000Z</v>
      </c>
      <c r="L650" s="55" t="str">
        <f t="shared" si="20"/>
        <v>2023-02</v>
      </c>
      <c r="M650" s="55" t="str">
        <f t="shared" si="21"/>
        <v>THARAKA-NITHI</v>
      </c>
      <c r="N650" s="55" t="str">
        <f>IF(A650="","",IFERROR(INDEX('Cluster Map'!$A$4:$A$38,MATCH(M650,'Cluster Map'!$B$4:$B$38,0)),"Unmapped"))</f>
        <v>Cluster 2</v>
      </c>
      <c r="O650" s="55">
        <f>IF(A650="",0,IF(COUNTIFS($A$2:A650,A650,$F$2:F650,F650,$L$2:L650,L650)=1,1,0))</f>
        <v>1</v>
      </c>
      <c r="P650" s="55">
        <f>IF(A650="",0,IF(AND(F650="C&amp;T",COUNTIFS($A$2:A650,A650,$F$2:F650,"C&amp;T")=1),1,0))</f>
        <v>0</v>
      </c>
    </row>
    <row r="651" spans="1:16" x14ac:dyDescent="0.35">
      <c r="A651" s="54">
        <f>IFERROR(IF(INDEX(SPOT_Import!$A$1:$Z$2488,651,'Live Data'!$C$12)="","",INDEX(SPOT_Import!$A$1:$Z$2488,651,'Live Data'!$C$12)),"")</f>
        <v>12319</v>
      </c>
      <c r="B651" s="54" t="str">
        <f>IFERROR(IF(INDEX(SPOT_Import!$A$1:$Z$2488,651,'Live Data'!$C$13)="","",INDEX(SPOT_Import!$A$1:$Z$2488,651,'Live Data'!$C$13)),"")</f>
        <v>Kina Dispensary</v>
      </c>
      <c r="C651" s="54" t="str">
        <f>IFERROR(IF(INDEX(SPOT_Import!$A$1:$Z$2488,651,'Live Data'!$C$14)="","",INDEX(SPOT_Import!$A$1:$Z$2488,651,'Live Data'!$C$14)),"")</f>
        <v>MERU</v>
      </c>
      <c r="D651" s="54" t="str">
        <f>IFERROR(IF(INDEX(SPOT_Import!$A$1:$Z$2488,651,'Live Data'!$C$15)="","",INDEX(SPOT_Import!$A$1:$Z$2488,651,'Live Data'!$C$15)),"")</f>
        <v>Igembe Central</v>
      </c>
      <c r="E651" s="54" t="str">
        <f>IFERROR(IF(INDEX(SPOT_Import!$A$1:$Z$2488,651,'Live Data'!$C$16)="","",INDEX(SPOT_Import!$A$1:$Z$2488,651,'Live Data'!$C$16)),"")</f>
        <v>USAID Jamii Tekelezi</v>
      </c>
      <c r="F651" s="54" t="str">
        <f>IFERROR(IF(INDEX(SPOT_Import!$A$1:$Z$2488,651,'Live Data'!$C$17)="","",INDEX(SPOT_Import!$A$1:$Z$2488,651,'Live Data'!$C$17)),"")</f>
        <v>PKV</v>
      </c>
      <c r="G651" s="54">
        <f>IFERROR(IF(INDEX(SPOT_Import!$A$1:$Z$2488,651,'Live Data'!$C$18)="","",INDEX(SPOT_Import!$A$1:$Z$2488,651,'Live Data'!$C$18)),"")</f>
        <v>475</v>
      </c>
      <c r="H651" s="54" t="str">
        <f>IFERROR(IF(INDEX(SPOT_Import!$A$1:$Z$2488,651,'Live Data'!$C$19)="","",INDEX(SPOT_Import!$A$1:$Z$2488,651,'Live Data'!$C$19)),"")</f>
        <v/>
      </c>
      <c r="I651" s="54" t="str">
        <f>IFERROR(IF(INDEX(SPOT_Import!$A$1:$Z$2488,651,'Live Data'!$C$20)="","",INDEX(SPOT_Import!$A$1:$Z$2488,651,'Live Data'!$C$20)),"")</f>
        <v>Complete</v>
      </c>
      <c r="J651" s="54" t="str">
        <f>IFERROR(IF(INDEX(SPOT_Import!$A$1:$Z$2488,651,'Live Data'!$C$21)="","",INDEX(SPOT_Import!$A$1:$Z$2488,651,'Live Data'!$C$21)),"")</f>
        <v>2023-02-07T13:23:08.000Z</v>
      </c>
      <c r="K651" s="54" t="str">
        <f>IFERROR(IF(INDEX(SPOT_Import!$A$1:$Z$2488,651,'Live Data'!$C$22)="","",INDEX(SPOT_Import!$A$1:$Z$2488,651,'Live Data'!$C$22)),"")</f>
        <v>2023-02-07T13:23:08.000Z</v>
      </c>
      <c r="L651" s="55" t="str">
        <f t="shared" si="20"/>
        <v>2023-02</v>
      </c>
      <c r="M651" s="55" t="str">
        <f t="shared" si="21"/>
        <v>MERU</v>
      </c>
      <c r="N651" s="55" t="str">
        <f>IF(A651="","",IFERROR(INDEX('Cluster Map'!$A$4:$A$38,MATCH(M651,'Cluster Map'!$B$4:$B$38,0)),"Unmapped"))</f>
        <v>Cluster 1</v>
      </c>
      <c r="O651" s="55">
        <f>IF(A651="",0,IF(COUNTIFS($A$2:A651,A651,$F$2:F651,F651,$L$2:L651,L651)=1,1,0))</f>
        <v>1</v>
      </c>
      <c r="P651" s="55">
        <f>IF(A651="",0,IF(AND(F651="C&amp;T",COUNTIFS($A$2:A651,A651,$F$2:F651,"C&amp;T")=1),1,0))</f>
        <v>0</v>
      </c>
    </row>
    <row r="652" spans="1:16" x14ac:dyDescent="0.35">
      <c r="A652" s="54">
        <f>IFERROR(IF(INDEX(SPOT_Import!$A$1:$Z$2488,652,'Live Data'!$C$12)="","",INDEX(SPOT_Import!$A$1:$Z$2488,652,'Live Data'!$C$12)),"")</f>
        <v>24622</v>
      </c>
      <c r="B652" s="54" t="str">
        <f>IFERROR(IF(INDEX(SPOT_Import!$A$1:$Z$2488,652,'Live Data'!$C$13)="","",INDEX(SPOT_Import!$A$1:$Z$2488,652,'Live Data'!$C$13)),"")</f>
        <v>HWWK Maua Dice</v>
      </c>
      <c r="C652" s="54" t="str">
        <f>IFERROR(IF(INDEX(SPOT_Import!$A$1:$Z$2488,652,'Live Data'!$C$14)="","",INDEX(SPOT_Import!$A$1:$Z$2488,652,'Live Data'!$C$14)),"")</f>
        <v>MERU</v>
      </c>
      <c r="D652" s="54" t="str">
        <f>IFERROR(IF(INDEX(SPOT_Import!$A$1:$Z$2488,652,'Live Data'!$C$15)="","",INDEX(SPOT_Import!$A$1:$Z$2488,652,'Live Data'!$C$15)),"")</f>
        <v>Igembe South</v>
      </c>
      <c r="E652" s="54" t="str">
        <f>IFERROR(IF(INDEX(SPOT_Import!$A$1:$Z$2488,652,'Live Data'!$C$16)="","",INDEX(SPOT_Import!$A$1:$Z$2488,652,'Live Data'!$C$16)),"")</f>
        <v>USAID Jamii Tekelezi</v>
      </c>
      <c r="F652" s="54" t="str">
        <f>IFERROR(IF(INDEX(SPOT_Import!$A$1:$Z$2488,652,'Live Data'!$C$17)="","",INDEX(SPOT_Import!$A$1:$Z$2488,652,'Live Data'!$C$17)),"")</f>
        <v>PKV</v>
      </c>
      <c r="G652" s="54">
        <f>IFERROR(IF(INDEX(SPOT_Import!$A$1:$Z$2488,652,'Live Data'!$C$18)="","",INDEX(SPOT_Import!$A$1:$Z$2488,652,'Live Data'!$C$18)),"")</f>
        <v>2185</v>
      </c>
      <c r="H652" s="54" t="str">
        <f>IFERROR(IF(INDEX(SPOT_Import!$A$1:$Z$2488,652,'Live Data'!$C$19)="","",INDEX(SPOT_Import!$A$1:$Z$2488,652,'Live Data'!$C$19)),"")</f>
        <v/>
      </c>
      <c r="I652" s="54" t="str">
        <f>IFERROR(IF(INDEX(SPOT_Import!$A$1:$Z$2488,652,'Live Data'!$C$20)="","",INDEX(SPOT_Import!$A$1:$Z$2488,652,'Live Data'!$C$20)),"")</f>
        <v>Complete</v>
      </c>
      <c r="J652" s="54" t="str">
        <f>IFERROR(IF(INDEX(SPOT_Import!$A$1:$Z$2488,652,'Live Data'!$C$21)="","",INDEX(SPOT_Import!$A$1:$Z$2488,652,'Live Data'!$C$21)),"")</f>
        <v>2023-02-07T12:25:51.000Z</v>
      </c>
      <c r="K652" s="54" t="str">
        <f>IFERROR(IF(INDEX(SPOT_Import!$A$1:$Z$2488,652,'Live Data'!$C$22)="","",INDEX(SPOT_Import!$A$1:$Z$2488,652,'Live Data'!$C$22)),"")</f>
        <v>2023-02-07T12:25:51.000Z</v>
      </c>
      <c r="L652" s="55" t="str">
        <f t="shared" si="20"/>
        <v>2023-02</v>
      </c>
      <c r="M652" s="55" t="str">
        <f t="shared" si="21"/>
        <v>MERU</v>
      </c>
      <c r="N652" s="55" t="str">
        <f>IF(A652="","",IFERROR(INDEX('Cluster Map'!$A$4:$A$38,MATCH(M652,'Cluster Map'!$B$4:$B$38,0)),"Unmapped"))</f>
        <v>Cluster 1</v>
      </c>
      <c r="O652" s="55">
        <f>IF(A652="",0,IF(COUNTIFS($A$2:A652,A652,$F$2:F652,F652,$L$2:L652,L652)=1,1,0))</f>
        <v>1</v>
      </c>
      <c r="P652" s="55">
        <f>IF(A652="",0,IF(AND(F652="C&amp;T",COUNTIFS($A$2:A652,A652,$F$2:F652,"C&amp;T")=1),1,0))</f>
        <v>0</v>
      </c>
    </row>
    <row r="653" spans="1:16" x14ac:dyDescent="0.35">
      <c r="A653" s="54">
        <f>IFERROR(IF(INDEX(SPOT_Import!$A$1:$Z$2488,653,'Live Data'!$C$12)="","",INDEX(SPOT_Import!$A$1:$Z$2488,653,'Live Data'!$C$12)),"")</f>
        <v>12198</v>
      </c>
      <c r="B653" s="54" t="str">
        <f>IFERROR(IF(INDEX(SPOT_Import!$A$1:$Z$2488,653,'Live Data'!$C$13)="","",INDEX(SPOT_Import!$A$1:$Z$2488,653,'Live Data'!$C$13)),"")</f>
        <v>Karau Health Centre</v>
      </c>
      <c r="C653" s="54" t="str">
        <f>IFERROR(IF(INDEX(SPOT_Import!$A$1:$Z$2488,653,'Live Data'!$C$14)="","",INDEX(SPOT_Import!$A$1:$Z$2488,653,'Live Data'!$C$14)),"")</f>
        <v>EMBU</v>
      </c>
      <c r="D653" s="54" t="str">
        <f>IFERROR(IF(INDEX(SPOT_Import!$A$1:$Z$2488,653,'Live Data'!$C$15)="","",INDEX(SPOT_Import!$A$1:$Z$2488,653,'Live Data'!$C$15)),"")</f>
        <v>Manyatta</v>
      </c>
      <c r="E653" s="54" t="str">
        <f>IFERROR(IF(INDEX(SPOT_Import!$A$1:$Z$2488,653,'Live Data'!$C$16)="","",INDEX(SPOT_Import!$A$1:$Z$2488,653,'Live Data'!$C$16)),"")</f>
        <v>USAID Jamii Tekelezi</v>
      </c>
      <c r="F653" s="54" t="str">
        <f>IFERROR(IF(INDEX(SPOT_Import!$A$1:$Z$2488,653,'Live Data'!$C$17)="","",INDEX(SPOT_Import!$A$1:$Z$2488,653,'Live Data'!$C$17)),"")</f>
        <v>PKV</v>
      </c>
      <c r="G653" s="54">
        <f>IFERROR(IF(INDEX(SPOT_Import!$A$1:$Z$2488,653,'Live Data'!$C$18)="","",INDEX(SPOT_Import!$A$1:$Z$2488,653,'Live Data'!$C$18)),"")</f>
        <v>351</v>
      </c>
      <c r="H653" s="54" t="str">
        <f>IFERROR(IF(INDEX(SPOT_Import!$A$1:$Z$2488,653,'Live Data'!$C$19)="","",INDEX(SPOT_Import!$A$1:$Z$2488,653,'Live Data'!$C$19)),"")</f>
        <v/>
      </c>
      <c r="I653" s="54" t="str">
        <f>IFERROR(IF(INDEX(SPOT_Import!$A$1:$Z$2488,653,'Live Data'!$C$20)="","",INDEX(SPOT_Import!$A$1:$Z$2488,653,'Live Data'!$C$20)),"")</f>
        <v>Incomplete</v>
      </c>
      <c r="J653" s="54" t="str">
        <f>IFERROR(IF(INDEX(SPOT_Import!$A$1:$Z$2488,653,'Live Data'!$C$21)="","",INDEX(SPOT_Import!$A$1:$Z$2488,653,'Live Data'!$C$21)),"")</f>
        <v>2023-02-07T11:57:31.000Z</v>
      </c>
      <c r="K653" s="54" t="str">
        <f>IFERROR(IF(INDEX(SPOT_Import!$A$1:$Z$2488,653,'Live Data'!$C$22)="","",INDEX(SPOT_Import!$A$1:$Z$2488,653,'Live Data'!$C$22)),"")</f>
        <v>2023-02-07T11:57:31.000Z</v>
      </c>
      <c r="L653" s="55" t="str">
        <f t="shared" si="20"/>
        <v>2023-02</v>
      </c>
      <c r="M653" s="55" t="str">
        <f t="shared" si="21"/>
        <v>EMBU</v>
      </c>
      <c r="N653" s="55" t="str">
        <f>IF(A653="","",IFERROR(INDEX('Cluster Map'!$A$4:$A$38,MATCH(M653,'Cluster Map'!$B$4:$B$38,0)),"Unmapped"))</f>
        <v>Cluster 2</v>
      </c>
      <c r="O653" s="55">
        <f>IF(A653="",0,IF(COUNTIFS($A$2:A653,A653,$F$2:F653,F653,$L$2:L653,L653)=1,1,0))</f>
        <v>1</v>
      </c>
      <c r="P653" s="55">
        <f>IF(A653="",0,IF(AND(F653="C&amp;T",COUNTIFS($A$2:A653,A653,$F$2:F653,"C&amp;T")=1),1,0))</f>
        <v>0</v>
      </c>
    </row>
    <row r="654" spans="1:16" x14ac:dyDescent="0.35">
      <c r="A654" s="54">
        <f>IFERROR(IF(INDEX(SPOT_Import!$A$1:$Z$2488,654,'Live Data'!$C$12)="","",INDEX(SPOT_Import!$A$1:$Z$2488,654,'Live Data'!$C$12)),"")</f>
        <v>12453</v>
      </c>
      <c r="B654" s="54" t="str">
        <f>IFERROR(IF(INDEX(SPOT_Import!$A$1:$Z$2488,654,'Live Data'!$C$13)="","",INDEX(SPOT_Import!$A$1:$Z$2488,654,'Live Data'!$C$13)),"")</f>
        <v>Makengi Dispensary (Embu)</v>
      </c>
      <c r="C654" s="54" t="str">
        <f>IFERROR(IF(INDEX(SPOT_Import!$A$1:$Z$2488,654,'Live Data'!$C$14)="","",INDEX(SPOT_Import!$A$1:$Z$2488,654,'Live Data'!$C$14)),"")</f>
        <v>EMBU</v>
      </c>
      <c r="D654" s="54" t="str">
        <f>IFERROR(IF(INDEX(SPOT_Import!$A$1:$Z$2488,654,'Live Data'!$C$15)="","",INDEX(SPOT_Import!$A$1:$Z$2488,654,'Live Data'!$C$15)),"")</f>
        <v>Manyatta</v>
      </c>
      <c r="E654" s="54" t="str">
        <f>IFERROR(IF(INDEX(SPOT_Import!$A$1:$Z$2488,654,'Live Data'!$C$16)="","",INDEX(SPOT_Import!$A$1:$Z$2488,654,'Live Data'!$C$16)),"")</f>
        <v>USAID Jamii Tekelezi</v>
      </c>
      <c r="F654" s="54" t="str">
        <f>IFERROR(IF(INDEX(SPOT_Import!$A$1:$Z$2488,654,'Live Data'!$C$17)="","",INDEX(SPOT_Import!$A$1:$Z$2488,654,'Live Data'!$C$17)),"")</f>
        <v>PKV</v>
      </c>
      <c r="G654" s="54">
        <f>IFERROR(IF(INDEX(SPOT_Import!$A$1:$Z$2488,654,'Live Data'!$C$18)="","",INDEX(SPOT_Import!$A$1:$Z$2488,654,'Live Data'!$C$18)),"")</f>
        <v>202</v>
      </c>
      <c r="H654" s="54" t="str">
        <f>IFERROR(IF(INDEX(SPOT_Import!$A$1:$Z$2488,654,'Live Data'!$C$19)="","",INDEX(SPOT_Import!$A$1:$Z$2488,654,'Live Data'!$C$19)),"")</f>
        <v/>
      </c>
      <c r="I654" s="54" t="str">
        <f>IFERROR(IF(INDEX(SPOT_Import!$A$1:$Z$2488,654,'Live Data'!$C$20)="","",INDEX(SPOT_Import!$A$1:$Z$2488,654,'Live Data'!$C$20)),"")</f>
        <v>Complete</v>
      </c>
      <c r="J654" s="54" t="str">
        <f>IFERROR(IF(INDEX(SPOT_Import!$A$1:$Z$2488,654,'Live Data'!$C$21)="","",INDEX(SPOT_Import!$A$1:$Z$2488,654,'Live Data'!$C$21)),"")</f>
        <v>2023-02-07T11:19:05.000Z</v>
      </c>
      <c r="K654" s="54" t="str">
        <f>IFERROR(IF(INDEX(SPOT_Import!$A$1:$Z$2488,654,'Live Data'!$C$22)="","",INDEX(SPOT_Import!$A$1:$Z$2488,654,'Live Data'!$C$22)),"")</f>
        <v>2023-02-07T11:19:05.000Z</v>
      </c>
      <c r="L654" s="55" t="str">
        <f t="shared" si="20"/>
        <v>2023-02</v>
      </c>
      <c r="M654" s="55" t="str">
        <f t="shared" si="21"/>
        <v>EMBU</v>
      </c>
      <c r="N654" s="55" t="str">
        <f>IF(A654="","",IFERROR(INDEX('Cluster Map'!$A$4:$A$38,MATCH(M654,'Cluster Map'!$B$4:$B$38,0)),"Unmapped"))</f>
        <v>Cluster 2</v>
      </c>
      <c r="O654" s="55">
        <f>IF(A654="",0,IF(COUNTIFS($A$2:A654,A654,$F$2:F654,F654,$L$2:L654,L654)=1,1,0))</f>
        <v>1</v>
      </c>
      <c r="P654" s="55">
        <f>IF(A654="",0,IF(AND(F654="C&amp;T",COUNTIFS($A$2:A654,A654,$F$2:F654,"C&amp;T")=1),1,0))</f>
        <v>0</v>
      </c>
    </row>
    <row r="655" spans="1:16" x14ac:dyDescent="0.35">
      <c r="A655" s="54">
        <f>IFERROR(IF(INDEX(SPOT_Import!$A$1:$Z$2488,655,'Live Data'!$C$12)="","",INDEX(SPOT_Import!$A$1:$Z$2488,655,'Live Data'!$C$12)),"")</f>
        <v>12302</v>
      </c>
      <c r="B655" s="54" t="str">
        <f>IFERROR(IF(INDEX(SPOT_Import!$A$1:$Z$2488,655,'Live Data'!$C$13)="","",INDEX(SPOT_Import!$A$1:$Z$2488,655,'Live Data'!$C$13)),"")</f>
        <v>Kiirua Health Centre</v>
      </c>
      <c r="C655" s="54" t="str">
        <f>IFERROR(IF(INDEX(SPOT_Import!$A$1:$Z$2488,655,'Live Data'!$C$14)="","",INDEX(SPOT_Import!$A$1:$Z$2488,655,'Live Data'!$C$14)),"")</f>
        <v>MERU</v>
      </c>
      <c r="D655" s="54" t="str">
        <f>IFERROR(IF(INDEX(SPOT_Import!$A$1:$Z$2488,655,'Live Data'!$C$15)="","",INDEX(SPOT_Import!$A$1:$Z$2488,655,'Live Data'!$C$15)),"")</f>
        <v>Buuri</v>
      </c>
      <c r="E655" s="54" t="str">
        <f>IFERROR(IF(INDEX(SPOT_Import!$A$1:$Z$2488,655,'Live Data'!$C$16)="","",INDEX(SPOT_Import!$A$1:$Z$2488,655,'Live Data'!$C$16)),"")</f>
        <v>USAID Jamii Tekelezi</v>
      </c>
      <c r="F655" s="54" t="str">
        <f>IFERROR(IF(INDEX(SPOT_Import!$A$1:$Z$2488,655,'Live Data'!$C$17)="","",INDEX(SPOT_Import!$A$1:$Z$2488,655,'Live Data'!$C$17)),"")</f>
        <v>PKV</v>
      </c>
      <c r="G655" s="54">
        <f>IFERROR(IF(INDEX(SPOT_Import!$A$1:$Z$2488,655,'Live Data'!$C$18)="","",INDEX(SPOT_Import!$A$1:$Z$2488,655,'Live Data'!$C$18)),"")</f>
        <v>332</v>
      </c>
      <c r="H655" s="54" t="str">
        <f>IFERROR(IF(INDEX(SPOT_Import!$A$1:$Z$2488,655,'Live Data'!$C$19)="","",INDEX(SPOT_Import!$A$1:$Z$2488,655,'Live Data'!$C$19)),"")</f>
        <v/>
      </c>
      <c r="I655" s="54" t="str">
        <f>IFERROR(IF(INDEX(SPOT_Import!$A$1:$Z$2488,655,'Live Data'!$C$20)="","",INDEX(SPOT_Import!$A$1:$Z$2488,655,'Live Data'!$C$20)),"")</f>
        <v>Complete</v>
      </c>
      <c r="J655" s="54" t="str">
        <f>IFERROR(IF(INDEX(SPOT_Import!$A$1:$Z$2488,655,'Live Data'!$C$21)="","",INDEX(SPOT_Import!$A$1:$Z$2488,655,'Live Data'!$C$21)),"")</f>
        <v>2023-02-07T10:06:33.000Z</v>
      </c>
      <c r="K655" s="54" t="str">
        <f>IFERROR(IF(INDEX(SPOT_Import!$A$1:$Z$2488,655,'Live Data'!$C$22)="","",INDEX(SPOT_Import!$A$1:$Z$2488,655,'Live Data'!$C$22)),"")</f>
        <v>2023-02-07T10:06:33.000Z</v>
      </c>
      <c r="L655" s="55" t="str">
        <f t="shared" si="20"/>
        <v>2023-02</v>
      </c>
      <c r="M655" s="55" t="str">
        <f t="shared" si="21"/>
        <v>MERU</v>
      </c>
      <c r="N655" s="55" t="str">
        <f>IF(A655="","",IFERROR(INDEX('Cluster Map'!$A$4:$A$38,MATCH(M655,'Cluster Map'!$B$4:$B$38,0)),"Unmapped"))</f>
        <v>Cluster 1</v>
      </c>
      <c r="O655" s="55">
        <f>IF(A655="",0,IF(COUNTIFS($A$2:A655,A655,$F$2:F655,F655,$L$2:L655,L655)=1,1,0))</f>
        <v>1</v>
      </c>
      <c r="P655" s="55">
        <f>IF(A655="",0,IF(AND(F655="C&amp;T",COUNTIFS($A$2:A655,A655,$F$2:F655,"C&amp;T")=1),1,0))</f>
        <v>0</v>
      </c>
    </row>
    <row r="656" spans="1:16" x14ac:dyDescent="0.35">
      <c r="A656" s="54">
        <f>IFERROR(IF(INDEX(SPOT_Import!$A$1:$Z$2488,656,'Live Data'!$C$12)="","",INDEX(SPOT_Import!$A$1:$Z$2488,656,'Live Data'!$C$12)),"")</f>
        <v>12526</v>
      </c>
      <c r="B656" s="54" t="str">
        <f>IFERROR(IF(INDEX(SPOT_Import!$A$1:$Z$2488,656,'Live Data'!$C$13)="","",INDEX(SPOT_Import!$A$1:$Z$2488,656,'Live Data'!$C$13)),"")</f>
        <v>Mikumbune Sub-District Hospital</v>
      </c>
      <c r="C656" s="54" t="str">
        <f>IFERROR(IF(INDEX(SPOT_Import!$A$1:$Z$2488,656,'Live Data'!$C$14)="","",INDEX(SPOT_Import!$A$1:$Z$2488,656,'Live Data'!$C$14)),"")</f>
        <v>MERU</v>
      </c>
      <c r="D656" s="54" t="str">
        <f>IFERROR(IF(INDEX(SPOT_Import!$A$1:$Z$2488,656,'Live Data'!$C$15)="","",INDEX(SPOT_Import!$A$1:$Z$2488,656,'Live Data'!$C$15)),"")</f>
        <v>Imenti South</v>
      </c>
      <c r="E656" s="54" t="str">
        <f>IFERROR(IF(INDEX(SPOT_Import!$A$1:$Z$2488,656,'Live Data'!$C$16)="","",INDEX(SPOT_Import!$A$1:$Z$2488,656,'Live Data'!$C$16)),"")</f>
        <v>USAID Jamii Tekelezi</v>
      </c>
      <c r="F656" s="54" t="str">
        <f>IFERROR(IF(INDEX(SPOT_Import!$A$1:$Z$2488,656,'Live Data'!$C$17)="","",INDEX(SPOT_Import!$A$1:$Z$2488,656,'Live Data'!$C$17)),"")</f>
        <v>PKV</v>
      </c>
      <c r="G656" s="54">
        <f>IFERROR(IF(INDEX(SPOT_Import!$A$1:$Z$2488,656,'Live Data'!$C$18)="","",INDEX(SPOT_Import!$A$1:$Z$2488,656,'Live Data'!$C$18)),"")</f>
        <v>6588</v>
      </c>
      <c r="H656" s="54" t="str">
        <f>IFERROR(IF(INDEX(SPOT_Import!$A$1:$Z$2488,656,'Live Data'!$C$19)="","",INDEX(SPOT_Import!$A$1:$Z$2488,656,'Live Data'!$C$19)),"")</f>
        <v/>
      </c>
      <c r="I656" s="54" t="str">
        <f>IFERROR(IF(INDEX(SPOT_Import!$A$1:$Z$2488,656,'Live Data'!$C$20)="","",INDEX(SPOT_Import!$A$1:$Z$2488,656,'Live Data'!$C$20)),"")</f>
        <v>Complete</v>
      </c>
      <c r="J656" s="54" t="str">
        <f>IFERROR(IF(INDEX(SPOT_Import!$A$1:$Z$2488,656,'Live Data'!$C$21)="","",INDEX(SPOT_Import!$A$1:$Z$2488,656,'Live Data'!$C$21)),"")</f>
        <v>2023-02-07T09:32:44.000Z</v>
      </c>
      <c r="K656" s="54" t="str">
        <f>IFERROR(IF(INDEX(SPOT_Import!$A$1:$Z$2488,656,'Live Data'!$C$22)="","",INDEX(SPOT_Import!$A$1:$Z$2488,656,'Live Data'!$C$22)),"")</f>
        <v>2023-02-07T09:32:44.000Z</v>
      </c>
      <c r="L656" s="55" t="str">
        <f t="shared" si="20"/>
        <v>2023-02</v>
      </c>
      <c r="M656" s="55" t="str">
        <f t="shared" si="21"/>
        <v>MERU</v>
      </c>
      <c r="N656" s="55" t="str">
        <f>IF(A656="","",IFERROR(INDEX('Cluster Map'!$A$4:$A$38,MATCH(M656,'Cluster Map'!$B$4:$B$38,0)),"Unmapped"))</f>
        <v>Cluster 1</v>
      </c>
      <c r="O656" s="55">
        <f>IF(A656="",0,IF(COUNTIFS($A$2:A656,A656,$F$2:F656,F656,$L$2:L656,L656)=1,1,0))</f>
        <v>1</v>
      </c>
      <c r="P656" s="55">
        <f>IF(A656="",0,IF(AND(F656="C&amp;T",COUNTIFS($A$2:A656,A656,$F$2:F656,"C&amp;T")=1),1,0))</f>
        <v>0</v>
      </c>
    </row>
    <row r="657" spans="1:16" x14ac:dyDescent="0.35">
      <c r="A657" s="54">
        <f>IFERROR(IF(INDEX(SPOT_Import!$A$1:$Z$2488,657,'Live Data'!$C$12)="","",INDEX(SPOT_Import!$A$1:$Z$2488,657,'Live Data'!$C$12)),"")</f>
        <v>19879</v>
      </c>
      <c r="B657" s="54" t="str">
        <f>IFERROR(IF(INDEX(SPOT_Import!$A$1:$Z$2488,657,'Live Data'!$C$13)="","",INDEX(SPOT_Import!$A$1:$Z$2488,657,'Live Data'!$C$13)),"")</f>
        <v>Imenti North Dice (Meru)</v>
      </c>
      <c r="C657" s="54" t="str">
        <f>IFERROR(IF(INDEX(SPOT_Import!$A$1:$Z$2488,657,'Live Data'!$C$14)="","",INDEX(SPOT_Import!$A$1:$Z$2488,657,'Live Data'!$C$14)),"")</f>
        <v>MERU</v>
      </c>
      <c r="D657" s="54" t="str">
        <f>IFERROR(IF(INDEX(SPOT_Import!$A$1:$Z$2488,657,'Live Data'!$C$15)="","",INDEX(SPOT_Import!$A$1:$Z$2488,657,'Live Data'!$C$15)),"")</f>
        <v>Imenti North</v>
      </c>
      <c r="E657" s="54" t="str">
        <f>IFERROR(IF(INDEX(SPOT_Import!$A$1:$Z$2488,657,'Live Data'!$C$16)="","",INDEX(SPOT_Import!$A$1:$Z$2488,657,'Live Data'!$C$16)),"")</f>
        <v>USAID Jamii Tekelezi</v>
      </c>
      <c r="F657" s="54" t="str">
        <f>IFERROR(IF(INDEX(SPOT_Import!$A$1:$Z$2488,657,'Live Data'!$C$17)="","",INDEX(SPOT_Import!$A$1:$Z$2488,657,'Live Data'!$C$17)),"")</f>
        <v>PKV</v>
      </c>
      <c r="G657" s="54">
        <f>IFERROR(IF(INDEX(SPOT_Import!$A$1:$Z$2488,657,'Live Data'!$C$18)="","",INDEX(SPOT_Import!$A$1:$Z$2488,657,'Live Data'!$C$18)),"")</f>
        <v>3680</v>
      </c>
      <c r="H657" s="54" t="str">
        <f>IFERROR(IF(INDEX(SPOT_Import!$A$1:$Z$2488,657,'Live Data'!$C$19)="","",INDEX(SPOT_Import!$A$1:$Z$2488,657,'Live Data'!$C$19)),"")</f>
        <v/>
      </c>
      <c r="I657" s="54" t="str">
        <f>IFERROR(IF(INDEX(SPOT_Import!$A$1:$Z$2488,657,'Live Data'!$C$20)="","",INDEX(SPOT_Import!$A$1:$Z$2488,657,'Live Data'!$C$20)),"")</f>
        <v>Complete</v>
      </c>
      <c r="J657" s="54" t="str">
        <f>IFERROR(IF(INDEX(SPOT_Import!$A$1:$Z$2488,657,'Live Data'!$C$21)="","",INDEX(SPOT_Import!$A$1:$Z$2488,657,'Live Data'!$C$21)),"")</f>
        <v>2023-02-07T07:51:08.000Z</v>
      </c>
      <c r="K657" s="54" t="str">
        <f>IFERROR(IF(INDEX(SPOT_Import!$A$1:$Z$2488,657,'Live Data'!$C$22)="","",INDEX(SPOT_Import!$A$1:$Z$2488,657,'Live Data'!$C$22)),"")</f>
        <v>2023-02-07T07:51:08.000Z</v>
      </c>
      <c r="L657" s="55" t="str">
        <f t="shared" si="20"/>
        <v>2023-02</v>
      </c>
      <c r="M657" s="55" t="str">
        <f t="shared" si="21"/>
        <v>MERU</v>
      </c>
      <c r="N657" s="55" t="str">
        <f>IF(A657="","",IFERROR(INDEX('Cluster Map'!$A$4:$A$38,MATCH(M657,'Cluster Map'!$B$4:$B$38,0)),"Unmapped"))</f>
        <v>Cluster 1</v>
      </c>
      <c r="O657" s="55">
        <f>IF(A657="",0,IF(COUNTIFS($A$2:A657,A657,$F$2:F657,F657,$L$2:L657,L657)=1,1,0))</f>
        <v>1</v>
      </c>
      <c r="P657" s="55">
        <f>IF(A657="",0,IF(AND(F657="C&amp;T",COUNTIFS($A$2:A657,A657,$F$2:F657,"C&amp;T")=1),1,0))</f>
        <v>0</v>
      </c>
    </row>
    <row r="658" spans="1:16" x14ac:dyDescent="0.35">
      <c r="A658" s="54">
        <f>IFERROR(IF(INDEX(SPOT_Import!$A$1:$Z$2488,658,'Live Data'!$C$12)="","",INDEX(SPOT_Import!$A$1:$Z$2488,658,'Live Data'!$C$12)),"")</f>
        <v>12795</v>
      </c>
      <c r="B658" s="54" t="str">
        <f>IFERROR(IF(INDEX(SPOT_Import!$A$1:$Z$2488,658,'Live Data'!$C$13)="","",INDEX(SPOT_Import!$A$1:$Z$2488,658,'Live Data'!$C$13)),"")</f>
        <v>Tharaka District Hospital</v>
      </c>
      <c r="C658" s="54" t="str">
        <f>IFERROR(IF(INDEX(SPOT_Import!$A$1:$Z$2488,658,'Live Data'!$C$14)="","",INDEX(SPOT_Import!$A$1:$Z$2488,658,'Live Data'!$C$14)),"")</f>
        <v>THARAKA-NITHI</v>
      </c>
      <c r="D658" s="54" t="str">
        <f>IFERROR(IF(INDEX(SPOT_Import!$A$1:$Z$2488,658,'Live Data'!$C$15)="","",INDEX(SPOT_Import!$A$1:$Z$2488,658,'Live Data'!$C$15)),"")</f>
        <v>Tharaka South</v>
      </c>
      <c r="E658" s="54" t="str">
        <f>IFERROR(IF(INDEX(SPOT_Import!$A$1:$Z$2488,658,'Live Data'!$C$16)="","",INDEX(SPOT_Import!$A$1:$Z$2488,658,'Live Data'!$C$16)),"")</f>
        <v>USAID Jamii Tekelezi</v>
      </c>
      <c r="F658" s="54" t="str">
        <f>IFERROR(IF(INDEX(SPOT_Import!$A$1:$Z$2488,658,'Live Data'!$C$17)="","",INDEX(SPOT_Import!$A$1:$Z$2488,658,'Live Data'!$C$17)),"")</f>
        <v>PKV</v>
      </c>
      <c r="G658" s="54">
        <f>IFERROR(IF(INDEX(SPOT_Import!$A$1:$Z$2488,658,'Live Data'!$C$18)="","",INDEX(SPOT_Import!$A$1:$Z$2488,658,'Live Data'!$C$18)),"")</f>
        <v>1463</v>
      </c>
      <c r="H658" s="54" t="str">
        <f>IFERROR(IF(INDEX(SPOT_Import!$A$1:$Z$2488,658,'Live Data'!$C$19)="","",INDEX(SPOT_Import!$A$1:$Z$2488,658,'Live Data'!$C$19)),"")</f>
        <v/>
      </c>
      <c r="I658" s="54" t="str">
        <f>IFERROR(IF(INDEX(SPOT_Import!$A$1:$Z$2488,658,'Live Data'!$C$20)="","",INDEX(SPOT_Import!$A$1:$Z$2488,658,'Live Data'!$C$20)),"")</f>
        <v>Complete</v>
      </c>
      <c r="J658" s="54" t="str">
        <f>IFERROR(IF(INDEX(SPOT_Import!$A$1:$Z$2488,658,'Live Data'!$C$21)="","",INDEX(SPOT_Import!$A$1:$Z$2488,658,'Live Data'!$C$21)),"")</f>
        <v>2023-02-06T14:33:09.000Z</v>
      </c>
      <c r="K658" s="54" t="str">
        <f>IFERROR(IF(INDEX(SPOT_Import!$A$1:$Z$2488,658,'Live Data'!$C$22)="","",INDEX(SPOT_Import!$A$1:$Z$2488,658,'Live Data'!$C$22)),"")</f>
        <v>2023-02-06T14:33:09.000Z</v>
      </c>
      <c r="L658" s="55" t="str">
        <f t="shared" si="20"/>
        <v>2023-02</v>
      </c>
      <c r="M658" s="55" t="str">
        <f t="shared" si="21"/>
        <v>THARAKA-NITHI</v>
      </c>
      <c r="N658" s="55" t="str">
        <f>IF(A658="","",IFERROR(INDEX('Cluster Map'!$A$4:$A$38,MATCH(M658,'Cluster Map'!$B$4:$B$38,0)),"Unmapped"))</f>
        <v>Cluster 2</v>
      </c>
      <c r="O658" s="55">
        <f>IF(A658="",0,IF(COUNTIFS($A$2:A658,A658,$F$2:F658,F658,$L$2:L658,L658)=1,1,0))</f>
        <v>1</v>
      </c>
      <c r="P658" s="55">
        <f>IF(A658="",0,IF(AND(F658="C&amp;T",COUNTIFS($A$2:A658,A658,$F$2:F658,"C&amp;T")=1),1,0))</f>
        <v>0</v>
      </c>
    </row>
    <row r="659" spans="1:16" x14ac:dyDescent="0.35">
      <c r="A659" s="54">
        <f>IFERROR(IF(INDEX(SPOT_Import!$A$1:$Z$2488,659,'Live Data'!$C$12)="","",INDEX(SPOT_Import!$A$1:$Z$2488,659,'Live Data'!$C$12)),"")</f>
        <v>12642</v>
      </c>
      <c r="B659" s="54" t="str">
        <f>IFERROR(IF(INDEX(SPOT_Import!$A$1:$Z$2488,659,'Live Data'!$C$13)="","",INDEX(SPOT_Import!$A$1:$Z$2488,659,'Live Data'!$C$13)),"")</f>
        <v>Nembure Health Centre</v>
      </c>
      <c r="C659" s="54" t="str">
        <f>IFERROR(IF(INDEX(SPOT_Import!$A$1:$Z$2488,659,'Live Data'!$C$14)="","",INDEX(SPOT_Import!$A$1:$Z$2488,659,'Live Data'!$C$14)),"")</f>
        <v>EMBU</v>
      </c>
      <c r="D659" s="54" t="str">
        <f>IFERROR(IF(INDEX(SPOT_Import!$A$1:$Z$2488,659,'Live Data'!$C$15)="","",INDEX(SPOT_Import!$A$1:$Z$2488,659,'Live Data'!$C$15)),"")</f>
        <v>Manyatta</v>
      </c>
      <c r="E659" s="54" t="str">
        <f>IFERROR(IF(INDEX(SPOT_Import!$A$1:$Z$2488,659,'Live Data'!$C$16)="","",INDEX(SPOT_Import!$A$1:$Z$2488,659,'Live Data'!$C$16)),"")</f>
        <v>USAID Jamii Tekelezi</v>
      </c>
      <c r="F659" s="54" t="str">
        <f>IFERROR(IF(INDEX(SPOT_Import!$A$1:$Z$2488,659,'Live Data'!$C$17)="","",INDEX(SPOT_Import!$A$1:$Z$2488,659,'Live Data'!$C$17)),"")</f>
        <v>CRS</v>
      </c>
      <c r="G659" s="54">
        <f>IFERROR(IF(INDEX(SPOT_Import!$A$1:$Z$2488,659,'Live Data'!$C$18)="","",INDEX(SPOT_Import!$A$1:$Z$2488,659,'Live Data'!$C$18)),"")</f>
        <v>709</v>
      </c>
      <c r="H659" s="54">
        <f>IFERROR(IF(INDEX(SPOT_Import!$A$1:$Z$2488,659,'Live Data'!$C$19)="","",INDEX(SPOT_Import!$A$1:$Z$2488,659,'Live Data'!$C$19)),"")</f>
        <v>709</v>
      </c>
      <c r="I659" s="54" t="str">
        <f>IFERROR(IF(INDEX(SPOT_Import!$A$1:$Z$2488,659,'Live Data'!$C$20)="","",INDEX(SPOT_Import!$A$1:$Z$2488,659,'Live Data'!$C$20)),"")</f>
        <v>Complete</v>
      </c>
      <c r="J659" s="54" t="str">
        <f>IFERROR(IF(INDEX(SPOT_Import!$A$1:$Z$2488,659,'Live Data'!$C$21)="","",INDEX(SPOT_Import!$A$1:$Z$2488,659,'Live Data'!$C$21)),"")</f>
        <v>2023-02-06T13:16:09.000Z</v>
      </c>
      <c r="K659" s="54" t="str">
        <f>IFERROR(IF(INDEX(SPOT_Import!$A$1:$Z$2488,659,'Live Data'!$C$22)="","",INDEX(SPOT_Import!$A$1:$Z$2488,659,'Live Data'!$C$22)),"")</f>
        <v>2023-02-06T13:16:09.000Z</v>
      </c>
      <c r="L659" s="55" t="str">
        <f t="shared" si="20"/>
        <v>2023-02</v>
      </c>
      <c r="M659" s="55" t="str">
        <f t="shared" si="21"/>
        <v>EMBU</v>
      </c>
      <c r="N659" s="55" t="str">
        <f>IF(A659="","",IFERROR(INDEX('Cluster Map'!$A$4:$A$38,MATCH(M659,'Cluster Map'!$B$4:$B$38,0)),"Unmapped"))</f>
        <v>Cluster 2</v>
      </c>
      <c r="O659" s="55">
        <f>IF(A659="",0,IF(COUNTIFS($A$2:A659,A659,$F$2:F659,F659,$L$2:L659,L659)=1,1,0))</f>
        <v>1</v>
      </c>
      <c r="P659" s="55">
        <f>IF(A659="",0,IF(AND(F659="C&amp;T",COUNTIFS($A$2:A659,A659,$F$2:F659,"C&amp;T")=1),1,0))</f>
        <v>0</v>
      </c>
    </row>
    <row r="660" spans="1:16" x14ac:dyDescent="0.35">
      <c r="A660" s="54">
        <f>IFERROR(IF(INDEX(SPOT_Import!$A$1:$Z$2488,660,'Live Data'!$C$12)="","",INDEX(SPOT_Import!$A$1:$Z$2488,660,'Live Data'!$C$12)),"")</f>
        <v>12642</v>
      </c>
      <c r="B660" s="54" t="str">
        <f>IFERROR(IF(INDEX(SPOT_Import!$A$1:$Z$2488,660,'Live Data'!$C$13)="","",INDEX(SPOT_Import!$A$1:$Z$2488,660,'Live Data'!$C$13)),"")</f>
        <v>Nembure Health Centre</v>
      </c>
      <c r="C660" s="54" t="str">
        <f>IFERROR(IF(INDEX(SPOT_Import!$A$1:$Z$2488,660,'Live Data'!$C$14)="","",INDEX(SPOT_Import!$A$1:$Z$2488,660,'Live Data'!$C$14)),"")</f>
        <v>EMBU</v>
      </c>
      <c r="D660" s="54" t="str">
        <f>IFERROR(IF(INDEX(SPOT_Import!$A$1:$Z$2488,660,'Live Data'!$C$15)="","",INDEX(SPOT_Import!$A$1:$Z$2488,660,'Live Data'!$C$15)),"")</f>
        <v>Manyatta</v>
      </c>
      <c r="E660" s="54" t="str">
        <f>IFERROR(IF(INDEX(SPOT_Import!$A$1:$Z$2488,660,'Live Data'!$C$16)="","",INDEX(SPOT_Import!$A$1:$Z$2488,660,'Live Data'!$C$16)),"")</f>
        <v>USAID Jamii Tekelezi</v>
      </c>
      <c r="F660" s="54" t="str">
        <f>IFERROR(IF(INDEX(SPOT_Import!$A$1:$Z$2488,660,'Live Data'!$C$17)="","",INDEX(SPOT_Import!$A$1:$Z$2488,660,'Live Data'!$C$17)),"")</f>
        <v>PKV</v>
      </c>
      <c r="G660" s="54">
        <f>IFERROR(IF(INDEX(SPOT_Import!$A$1:$Z$2488,660,'Live Data'!$C$18)="","",INDEX(SPOT_Import!$A$1:$Z$2488,660,'Live Data'!$C$18)),"")</f>
        <v>1159</v>
      </c>
      <c r="H660" s="54" t="str">
        <f>IFERROR(IF(INDEX(SPOT_Import!$A$1:$Z$2488,660,'Live Data'!$C$19)="","",INDEX(SPOT_Import!$A$1:$Z$2488,660,'Live Data'!$C$19)),"")</f>
        <v/>
      </c>
      <c r="I660" s="54" t="str">
        <f>IFERROR(IF(INDEX(SPOT_Import!$A$1:$Z$2488,660,'Live Data'!$C$20)="","",INDEX(SPOT_Import!$A$1:$Z$2488,660,'Live Data'!$C$20)),"")</f>
        <v>Complete</v>
      </c>
      <c r="J660" s="54" t="str">
        <f>IFERROR(IF(INDEX(SPOT_Import!$A$1:$Z$2488,660,'Live Data'!$C$21)="","",INDEX(SPOT_Import!$A$1:$Z$2488,660,'Live Data'!$C$21)),"")</f>
        <v>2023-02-06T13:12:29.000Z</v>
      </c>
      <c r="K660" s="54" t="str">
        <f>IFERROR(IF(INDEX(SPOT_Import!$A$1:$Z$2488,660,'Live Data'!$C$22)="","",INDEX(SPOT_Import!$A$1:$Z$2488,660,'Live Data'!$C$22)),"")</f>
        <v>2023-02-06T13:12:29.000Z</v>
      </c>
      <c r="L660" s="55" t="str">
        <f t="shared" si="20"/>
        <v>2023-02</v>
      </c>
      <c r="M660" s="55" t="str">
        <f t="shared" si="21"/>
        <v>EMBU</v>
      </c>
      <c r="N660" s="55" t="str">
        <f>IF(A660="","",IFERROR(INDEX('Cluster Map'!$A$4:$A$38,MATCH(M660,'Cluster Map'!$B$4:$B$38,0)),"Unmapped"))</f>
        <v>Cluster 2</v>
      </c>
      <c r="O660" s="55">
        <f>IF(A660="",0,IF(COUNTIFS($A$2:A660,A660,$F$2:F660,F660,$L$2:L660,L660)=1,1,0))</f>
        <v>1</v>
      </c>
      <c r="P660" s="55">
        <f>IF(A660="",0,IF(AND(F660="C&amp;T",COUNTIFS($A$2:A660,A660,$F$2:F660,"C&amp;T")=1),1,0))</f>
        <v>0</v>
      </c>
    </row>
    <row r="661" spans="1:16" x14ac:dyDescent="0.35">
      <c r="A661" s="54">
        <f>IFERROR(IF(INDEX(SPOT_Import!$A$1:$Z$2488,661,'Live Data'!$C$12)="","",INDEX(SPOT_Import!$A$1:$Z$2488,661,'Live Data'!$C$12)),"")</f>
        <v>11971</v>
      </c>
      <c r="B661" s="54" t="str">
        <f>IFERROR(IF(INDEX(SPOT_Import!$A$1:$Z$2488,661,'Live Data'!$C$13)="","",INDEX(SPOT_Import!$A$1:$Z$2488,661,'Live Data'!$C$13)),"")</f>
        <v>Chugu Dispensary</v>
      </c>
      <c r="C661" s="54" t="str">
        <f>IFERROR(IF(INDEX(SPOT_Import!$A$1:$Z$2488,661,'Live Data'!$C$14)="","",INDEX(SPOT_Import!$A$1:$Z$2488,661,'Live Data'!$C$14)),"")</f>
        <v>MERU</v>
      </c>
      <c r="D661" s="54" t="str">
        <f>IFERROR(IF(INDEX(SPOT_Import!$A$1:$Z$2488,661,'Live Data'!$C$15)="","",INDEX(SPOT_Import!$A$1:$Z$2488,661,'Live Data'!$C$15)),"")</f>
        <v>Imenti North</v>
      </c>
      <c r="E661" s="54" t="str">
        <f>IFERROR(IF(INDEX(SPOT_Import!$A$1:$Z$2488,661,'Live Data'!$C$16)="","",INDEX(SPOT_Import!$A$1:$Z$2488,661,'Live Data'!$C$16)),"")</f>
        <v>USAID Jamii Tekelezi</v>
      </c>
      <c r="F661" s="54" t="str">
        <f>IFERROR(IF(INDEX(SPOT_Import!$A$1:$Z$2488,661,'Live Data'!$C$17)="","",INDEX(SPOT_Import!$A$1:$Z$2488,661,'Live Data'!$C$17)),"")</f>
        <v>PKV</v>
      </c>
      <c r="G661" s="54">
        <f>IFERROR(IF(INDEX(SPOT_Import!$A$1:$Z$2488,661,'Live Data'!$C$18)="","",INDEX(SPOT_Import!$A$1:$Z$2488,661,'Live Data'!$C$18)),"")</f>
        <v>136</v>
      </c>
      <c r="H661" s="54" t="str">
        <f>IFERROR(IF(INDEX(SPOT_Import!$A$1:$Z$2488,661,'Live Data'!$C$19)="","",INDEX(SPOT_Import!$A$1:$Z$2488,661,'Live Data'!$C$19)),"")</f>
        <v/>
      </c>
      <c r="I661" s="54" t="str">
        <f>IFERROR(IF(INDEX(SPOT_Import!$A$1:$Z$2488,661,'Live Data'!$C$20)="","",INDEX(SPOT_Import!$A$1:$Z$2488,661,'Live Data'!$C$20)),"")</f>
        <v>Complete</v>
      </c>
      <c r="J661" s="54" t="str">
        <f>IFERROR(IF(INDEX(SPOT_Import!$A$1:$Z$2488,661,'Live Data'!$C$21)="","",INDEX(SPOT_Import!$A$1:$Z$2488,661,'Live Data'!$C$21)),"")</f>
        <v>2023-02-06T13:09:49.000Z</v>
      </c>
      <c r="K661" s="54" t="str">
        <f>IFERROR(IF(INDEX(SPOT_Import!$A$1:$Z$2488,661,'Live Data'!$C$22)="","",INDEX(SPOT_Import!$A$1:$Z$2488,661,'Live Data'!$C$22)),"")</f>
        <v>2023-02-06T13:09:49.000Z</v>
      </c>
      <c r="L661" s="55" t="str">
        <f t="shared" si="20"/>
        <v>2023-02</v>
      </c>
      <c r="M661" s="55" t="str">
        <f t="shared" si="21"/>
        <v>MERU</v>
      </c>
      <c r="N661" s="55" t="str">
        <f>IF(A661="","",IFERROR(INDEX('Cluster Map'!$A$4:$A$38,MATCH(M661,'Cluster Map'!$B$4:$B$38,0)),"Unmapped"))</f>
        <v>Cluster 1</v>
      </c>
      <c r="O661" s="55">
        <f>IF(A661="",0,IF(COUNTIFS($A$2:A661,A661,$F$2:F661,F661,$L$2:L661,L661)=1,1,0))</f>
        <v>1</v>
      </c>
      <c r="P661" s="55">
        <f>IF(A661="",0,IF(AND(F661="C&amp;T",COUNTIFS($A$2:A661,A661,$F$2:F661,"C&amp;T")=1),1,0))</f>
        <v>0</v>
      </c>
    </row>
    <row r="662" spans="1:16" x14ac:dyDescent="0.35">
      <c r="A662" s="54">
        <f>IFERROR(IF(INDEX(SPOT_Import!$A$1:$Z$2488,662,'Live Data'!$C$12)="","",INDEX(SPOT_Import!$A$1:$Z$2488,662,'Live Data'!$C$12)),"")</f>
        <v>12525</v>
      </c>
      <c r="B662" s="54" t="str">
        <f>IFERROR(IF(INDEX(SPOT_Import!$A$1:$Z$2488,662,'Live Data'!$C$13)="","",INDEX(SPOT_Import!$A$1:$Z$2488,662,'Live Data'!$C$13)),"")</f>
        <v>Mikinduri Sub-District Hospial</v>
      </c>
      <c r="C662" s="54" t="str">
        <f>IFERROR(IF(INDEX(SPOT_Import!$A$1:$Z$2488,662,'Live Data'!$C$14)="","",INDEX(SPOT_Import!$A$1:$Z$2488,662,'Live Data'!$C$14)),"")</f>
        <v>MERU</v>
      </c>
      <c r="D662" s="54" t="str">
        <f>IFERROR(IF(INDEX(SPOT_Import!$A$1:$Z$2488,662,'Live Data'!$C$15)="","",INDEX(SPOT_Import!$A$1:$Z$2488,662,'Live Data'!$C$15)),"")</f>
        <v>Tigania East</v>
      </c>
      <c r="E662" s="54" t="str">
        <f>IFERROR(IF(INDEX(SPOT_Import!$A$1:$Z$2488,662,'Live Data'!$C$16)="","",INDEX(SPOT_Import!$A$1:$Z$2488,662,'Live Data'!$C$16)),"")</f>
        <v>USAID Jamii Tekelezi</v>
      </c>
      <c r="F662" s="54" t="str">
        <f>IFERROR(IF(INDEX(SPOT_Import!$A$1:$Z$2488,662,'Live Data'!$C$17)="","",INDEX(SPOT_Import!$A$1:$Z$2488,662,'Live Data'!$C$17)),"")</f>
        <v>PKV</v>
      </c>
      <c r="G662" s="54">
        <f>IFERROR(IF(INDEX(SPOT_Import!$A$1:$Z$2488,662,'Live Data'!$C$18)="","",INDEX(SPOT_Import!$A$1:$Z$2488,662,'Live Data'!$C$18)),"")</f>
        <v>727</v>
      </c>
      <c r="H662" s="54" t="str">
        <f>IFERROR(IF(INDEX(SPOT_Import!$A$1:$Z$2488,662,'Live Data'!$C$19)="","",INDEX(SPOT_Import!$A$1:$Z$2488,662,'Live Data'!$C$19)),"")</f>
        <v/>
      </c>
      <c r="I662" s="54" t="str">
        <f>IFERROR(IF(INDEX(SPOT_Import!$A$1:$Z$2488,662,'Live Data'!$C$20)="","",INDEX(SPOT_Import!$A$1:$Z$2488,662,'Live Data'!$C$20)),"")</f>
        <v>Complete</v>
      </c>
      <c r="J662" s="54" t="str">
        <f>IFERROR(IF(INDEX(SPOT_Import!$A$1:$Z$2488,662,'Live Data'!$C$21)="","",INDEX(SPOT_Import!$A$1:$Z$2488,662,'Live Data'!$C$21)),"")</f>
        <v>2023-02-06T12:47:25.000Z</v>
      </c>
      <c r="K662" s="54" t="str">
        <f>IFERROR(IF(INDEX(SPOT_Import!$A$1:$Z$2488,662,'Live Data'!$C$22)="","",INDEX(SPOT_Import!$A$1:$Z$2488,662,'Live Data'!$C$22)),"")</f>
        <v>2023-02-06T12:47:25.000Z</v>
      </c>
      <c r="L662" s="55" t="str">
        <f t="shared" si="20"/>
        <v>2023-02</v>
      </c>
      <c r="M662" s="55" t="str">
        <f t="shared" si="21"/>
        <v>MERU</v>
      </c>
      <c r="N662" s="55" t="str">
        <f>IF(A662="","",IFERROR(INDEX('Cluster Map'!$A$4:$A$38,MATCH(M662,'Cluster Map'!$B$4:$B$38,0)),"Unmapped"))</f>
        <v>Cluster 1</v>
      </c>
      <c r="O662" s="55">
        <f>IF(A662="",0,IF(COUNTIFS($A$2:A662,A662,$F$2:F662,F662,$L$2:L662,L662)=1,1,0))</f>
        <v>1</v>
      </c>
      <c r="P662" s="55">
        <f>IF(A662="",0,IF(AND(F662="C&amp;T",COUNTIFS($A$2:A662,A662,$F$2:F662,"C&amp;T")=1),1,0))</f>
        <v>0</v>
      </c>
    </row>
    <row r="663" spans="1:16" x14ac:dyDescent="0.35">
      <c r="A663" s="54">
        <f>IFERROR(IF(INDEX(SPOT_Import!$A$1:$Z$2488,663,'Live Data'!$C$12)="","",INDEX(SPOT_Import!$A$1:$Z$2488,663,'Live Data'!$C$12)),"")</f>
        <v>12426</v>
      </c>
      <c r="B663" s="54" t="str">
        <f>IFERROR(IF(INDEX(SPOT_Import!$A$1:$Z$2488,663,'Live Data'!$C$13)="","",INDEX(SPOT_Import!$A$1:$Z$2488,663,'Live Data'!$C$13)),"")</f>
        <v>Lewa Downs Dispensary</v>
      </c>
      <c r="C663" s="54" t="str">
        <f>IFERROR(IF(INDEX(SPOT_Import!$A$1:$Z$2488,663,'Live Data'!$C$14)="","",INDEX(SPOT_Import!$A$1:$Z$2488,663,'Live Data'!$C$14)),"")</f>
        <v>MERU</v>
      </c>
      <c r="D663" s="54" t="str">
        <f>IFERROR(IF(INDEX(SPOT_Import!$A$1:$Z$2488,663,'Live Data'!$C$15)="","",INDEX(SPOT_Import!$A$1:$Z$2488,663,'Live Data'!$C$15)),"")</f>
        <v>Buuri</v>
      </c>
      <c r="E663" s="54" t="str">
        <f>IFERROR(IF(INDEX(SPOT_Import!$A$1:$Z$2488,663,'Live Data'!$C$16)="","",INDEX(SPOT_Import!$A$1:$Z$2488,663,'Live Data'!$C$16)),"")</f>
        <v>USAID Jamii Tekelezi</v>
      </c>
      <c r="F663" s="54" t="str">
        <f>IFERROR(IF(INDEX(SPOT_Import!$A$1:$Z$2488,663,'Live Data'!$C$17)="","",INDEX(SPOT_Import!$A$1:$Z$2488,663,'Live Data'!$C$17)),"")</f>
        <v>PKV</v>
      </c>
      <c r="G663" s="54">
        <f>IFERROR(IF(INDEX(SPOT_Import!$A$1:$Z$2488,663,'Live Data'!$C$18)="","",INDEX(SPOT_Import!$A$1:$Z$2488,663,'Live Data'!$C$18)),"")</f>
        <v>13174</v>
      </c>
      <c r="H663" s="54" t="str">
        <f>IFERROR(IF(INDEX(SPOT_Import!$A$1:$Z$2488,663,'Live Data'!$C$19)="","",INDEX(SPOT_Import!$A$1:$Z$2488,663,'Live Data'!$C$19)),"")</f>
        <v/>
      </c>
      <c r="I663" s="54" t="str">
        <f>IFERROR(IF(INDEX(SPOT_Import!$A$1:$Z$2488,663,'Live Data'!$C$20)="","",INDEX(SPOT_Import!$A$1:$Z$2488,663,'Live Data'!$C$20)),"")</f>
        <v>Complete</v>
      </c>
      <c r="J663" s="54" t="str">
        <f>IFERROR(IF(INDEX(SPOT_Import!$A$1:$Z$2488,663,'Live Data'!$C$21)="","",INDEX(SPOT_Import!$A$1:$Z$2488,663,'Live Data'!$C$21)),"")</f>
        <v>2023-02-06T12:31:01.000Z</v>
      </c>
      <c r="K663" s="54" t="str">
        <f>IFERROR(IF(INDEX(SPOT_Import!$A$1:$Z$2488,663,'Live Data'!$C$22)="","",INDEX(SPOT_Import!$A$1:$Z$2488,663,'Live Data'!$C$22)),"")</f>
        <v>2023-02-06T12:31:01.000Z</v>
      </c>
      <c r="L663" s="55" t="str">
        <f t="shared" si="20"/>
        <v>2023-02</v>
      </c>
      <c r="M663" s="55" t="str">
        <f t="shared" si="21"/>
        <v>MERU</v>
      </c>
      <c r="N663" s="55" t="str">
        <f>IF(A663="","",IFERROR(INDEX('Cluster Map'!$A$4:$A$38,MATCH(M663,'Cluster Map'!$B$4:$B$38,0)),"Unmapped"))</f>
        <v>Cluster 1</v>
      </c>
      <c r="O663" s="55">
        <f>IF(A663="",0,IF(COUNTIFS($A$2:A663,A663,$F$2:F663,F663,$L$2:L663,L663)=1,1,0))</f>
        <v>1</v>
      </c>
      <c r="P663" s="55">
        <f>IF(A663="",0,IF(AND(F663="C&amp;T",COUNTIFS($A$2:A663,A663,$F$2:F663,"C&amp;T")=1),1,0))</f>
        <v>0</v>
      </c>
    </row>
    <row r="664" spans="1:16" x14ac:dyDescent="0.35">
      <c r="A664" s="54">
        <f>IFERROR(IF(INDEX(SPOT_Import!$A$1:$Z$2488,664,'Live Data'!$C$12)="","",INDEX(SPOT_Import!$A$1:$Z$2488,664,'Live Data'!$C$12)),"")</f>
        <v>10820</v>
      </c>
      <c r="B664" s="54" t="str">
        <f>IFERROR(IF(INDEX(SPOT_Import!$A$1:$Z$2488,664,'Live Data'!$C$13)="","",INDEX(SPOT_Import!$A$1:$Z$2488,664,'Live Data'!$C$13)),"")</f>
        <v>Nandarasi Dispensary</v>
      </c>
      <c r="C664" s="54" t="str">
        <f>IFERROR(IF(INDEX(SPOT_Import!$A$1:$Z$2488,664,'Live Data'!$C$14)="","",INDEX(SPOT_Import!$A$1:$Z$2488,664,'Live Data'!$C$14)),"")</f>
        <v>NYANDARUA</v>
      </c>
      <c r="D664" s="54" t="str">
        <f>IFERROR(IF(INDEX(SPOT_Import!$A$1:$Z$2488,664,'Live Data'!$C$15)="","",INDEX(SPOT_Import!$A$1:$Z$2488,664,'Live Data'!$C$15)),"")</f>
        <v>Kinangop</v>
      </c>
      <c r="E664" s="54" t="str">
        <f>IFERROR(IF(INDEX(SPOT_Import!$A$1:$Z$2488,664,'Live Data'!$C$16)="","",INDEX(SPOT_Import!$A$1:$Z$2488,664,'Live Data'!$C$16)),"")</f>
        <v>USAID Jamii Tekelezi</v>
      </c>
      <c r="F664" s="54" t="str">
        <f>IFERROR(IF(INDEX(SPOT_Import!$A$1:$Z$2488,664,'Live Data'!$C$17)="","",INDEX(SPOT_Import!$A$1:$Z$2488,664,'Live Data'!$C$17)),"")</f>
        <v>PKV</v>
      </c>
      <c r="G664" s="54">
        <f>IFERROR(IF(INDEX(SPOT_Import!$A$1:$Z$2488,664,'Live Data'!$C$18)="","",INDEX(SPOT_Import!$A$1:$Z$2488,664,'Live Data'!$C$18)),"")</f>
        <v>371</v>
      </c>
      <c r="H664" s="54" t="str">
        <f>IFERROR(IF(INDEX(SPOT_Import!$A$1:$Z$2488,664,'Live Data'!$C$19)="","",INDEX(SPOT_Import!$A$1:$Z$2488,664,'Live Data'!$C$19)),"")</f>
        <v/>
      </c>
      <c r="I664" s="54" t="str">
        <f>IFERROR(IF(INDEX(SPOT_Import!$A$1:$Z$2488,664,'Live Data'!$C$20)="","",INDEX(SPOT_Import!$A$1:$Z$2488,664,'Live Data'!$C$20)),"")</f>
        <v>Complete</v>
      </c>
      <c r="J664" s="54" t="str">
        <f>IFERROR(IF(INDEX(SPOT_Import!$A$1:$Z$2488,664,'Live Data'!$C$21)="","",INDEX(SPOT_Import!$A$1:$Z$2488,664,'Live Data'!$C$21)),"")</f>
        <v>2023-02-06T10:40:41.000Z</v>
      </c>
      <c r="K664" s="54" t="str">
        <f>IFERROR(IF(INDEX(SPOT_Import!$A$1:$Z$2488,664,'Live Data'!$C$22)="","",INDEX(SPOT_Import!$A$1:$Z$2488,664,'Live Data'!$C$22)),"")</f>
        <v>2023-02-06T10:40:41.000Z</v>
      </c>
      <c r="L664" s="55" t="str">
        <f t="shared" si="20"/>
        <v>2023-02</v>
      </c>
      <c r="M664" s="55" t="str">
        <f t="shared" si="21"/>
        <v>NYANDARUA</v>
      </c>
      <c r="N664" s="55" t="str">
        <f>IF(A664="","",IFERROR(INDEX('Cluster Map'!$A$4:$A$38,MATCH(M664,'Cluster Map'!$B$4:$B$38,0)),"Unmapped"))</f>
        <v>Cluster 4</v>
      </c>
      <c r="O664" s="55">
        <f>IF(A664="",0,IF(COUNTIFS($A$2:A664,A664,$F$2:F664,F664,$L$2:L664,L664)=1,1,0))</f>
        <v>1</v>
      </c>
      <c r="P664" s="55">
        <f>IF(A664="",0,IF(AND(F664="C&amp;T",COUNTIFS($A$2:A664,A664,$F$2:F664,"C&amp;T")=1),1,0))</f>
        <v>0</v>
      </c>
    </row>
    <row r="665" spans="1:16" x14ac:dyDescent="0.35">
      <c r="A665" s="54">
        <f>IFERROR(IF(INDEX(SPOT_Import!$A$1:$Z$2488,665,'Live Data'!$C$12)="","",INDEX(SPOT_Import!$A$1:$Z$2488,665,'Live Data'!$C$12)),"")</f>
        <v>10912</v>
      </c>
      <c r="B665" s="54" t="str">
        <f>IFERROR(IF(INDEX(SPOT_Import!$A$1:$Z$2488,665,'Live Data'!$C$13)="","",INDEX(SPOT_Import!$A$1:$Z$2488,665,'Live Data'!$C$13)),"")</f>
        <v>Old Mawingu Health Centre</v>
      </c>
      <c r="C665" s="54" t="str">
        <f>IFERROR(IF(INDEX(SPOT_Import!$A$1:$Z$2488,665,'Live Data'!$C$14)="","",INDEX(SPOT_Import!$A$1:$Z$2488,665,'Live Data'!$C$14)),"")</f>
        <v>NYANDARUA</v>
      </c>
      <c r="D665" s="54" t="str">
        <f>IFERROR(IF(INDEX(SPOT_Import!$A$1:$Z$2488,665,'Live Data'!$C$15)="","",INDEX(SPOT_Import!$A$1:$Z$2488,665,'Live Data'!$C$15)),"")</f>
        <v>Kipipiri</v>
      </c>
      <c r="E665" s="54" t="str">
        <f>IFERROR(IF(INDEX(SPOT_Import!$A$1:$Z$2488,665,'Live Data'!$C$16)="","",INDEX(SPOT_Import!$A$1:$Z$2488,665,'Live Data'!$C$16)),"")</f>
        <v>USAID Jamii Tekelezi</v>
      </c>
      <c r="F665" s="54" t="str">
        <f>IFERROR(IF(INDEX(SPOT_Import!$A$1:$Z$2488,665,'Live Data'!$C$17)="","",INDEX(SPOT_Import!$A$1:$Z$2488,665,'Live Data'!$C$17)),"")</f>
        <v>PKV</v>
      </c>
      <c r="G665" s="54">
        <f>IFERROR(IF(INDEX(SPOT_Import!$A$1:$Z$2488,665,'Live Data'!$C$18)="","",INDEX(SPOT_Import!$A$1:$Z$2488,665,'Live Data'!$C$18)),"")</f>
        <v>1118</v>
      </c>
      <c r="H665" s="54" t="str">
        <f>IFERROR(IF(INDEX(SPOT_Import!$A$1:$Z$2488,665,'Live Data'!$C$19)="","",INDEX(SPOT_Import!$A$1:$Z$2488,665,'Live Data'!$C$19)),"")</f>
        <v/>
      </c>
      <c r="I665" s="54" t="str">
        <f>IFERROR(IF(INDEX(SPOT_Import!$A$1:$Z$2488,665,'Live Data'!$C$20)="","",INDEX(SPOT_Import!$A$1:$Z$2488,665,'Live Data'!$C$20)),"")</f>
        <v>Complete</v>
      </c>
      <c r="J665" s="54" t="str">
        <f>IFERROR(IF(INDEX(SPOT_Import!$A$1:$Z$2488,665,'Live Data'!$C$21)="","",INDEX(SPOT_Import!$A$1:$Z$2488,665,'Live Data'!$C$21)),"")</f>
        <v>2023-02-06T08:16:29.000Z</v>
      </c>
      <c r="K665" s="54" t="str">
        <f>IFERROR(IF(INDEX(SPOT_Import!$A$1:$Z$2488,665,'Live Data'!$C$22)="","",INDEX(SPOT_Import!$A$1:$Z$2488,665,'Live Data'!$C$22)),"")</f>
        <v>2023-02-06T08:16:29.000Z</v>
      </c>
      <c r="L665" s="55" t="str">
        <f t="shared" si="20"/>
        <v>2023-02</v>
      </c>
      <c r="M665" s="55" t="str">
        <f t="shared" si="21"/>
        <v>NYANDARUA</v>
      </c>
      <c r="N665" s="55" t="str">
        <f>IF(A665="","",IFERROR(INDEX('Cluster Map'!$A$4:$A$38,MATCH(M665,'Cluster Map'!$B$4:$B$38,0)),"Unmapped"))</f>
        <v>Cluster 4</v>
      </c>
      <c r="O665" s="55">
        <f>IF(A665="",0,IF(COUNTIFS($A$2:A665,A665,$F$2:F665,F665,$L$2:L665,L665)=1,1,0))</f>
        <v>1</v>
      </c>
      <c r="P665" s="55">
        <f>IF(A665="",0,IF(AND(F665="C&amp;T",COUNTIFS($A$2:A665,A665,$F$2:F665,"C&amp;T")=1),1,0))</f>
        <v>0</v>
      </c>
    </row>
    <row r="666" spans="1:16" x14ac:dyDescent="0.35">
      <c r="A666" s="54">
        <f>IFERROR(IF(INDEX(SPOT_Import!$A$1:$Z$2488,666,'Live Data'!$C$12)="","",INDEX(SPOT_Import!$A$1:$Z$2488,666,'Live Data'!$C$12)),"")</f>
        <v>12119</v>
      </c>
      <c r="B666" s="54" t="str">
        <f>IFERROR(IF(INDEX(SPOT_Import!$A$1:$Z$2488,666,'Live Data'!$C$13)="","",INDEX(SPOT_Import!$A$1:$Z$2488,666,'Live Data'!$C$13)),"")</f>
        <v>Kaanwa Dispensary</v>
      </c>
      <c r="C666" s="54" t="str">
        <f>IFERROR(IF(INDEX(SPOT_Import!$A$1:$Z$2488,666,'Live Data'!$C$14)="","",INDEX(SPOT_Import!$A$1:$Z$2488,666,'Live Data'!$C$14)),"")</f>
        <v>THARAKA-NITHI</v>
      </c>
      <c r="D666" s="54" t="str">
        <f>IFERROR(IF(INDEX(SPOT_Import!$A$1:$Z$2488,666,'Live Data'!$C$15)="","",INDEX(SPOT_Import!$A$1:$Z$2488,666,'Live Data'!$C$15)),"")</f>
        <v>Igambangombe</v>
      </c>
      <c r="E666" s="54" t="str">
        <f>IFERROR(IF(INDEX(SPOT_Import!$A$1:$Z$2488,666,'Live Data'!$C$16)="","",INDEX(SPOT_Import!$A$1:$Z$2488,666,'Live Data'!$C$16)),"")</f>
        <v>USAID Jamii Tekelezi</v>
      </c>
      <c r="F666" s="54" t="str">
        <f>IFERROR(IF(INDEX(SPOT_Import!$A$1:$Z$2488,666,'Live Data'!$C$17)="","",INDEX(SPOT_Import!$A$1:$Z$2488,666,'Live Data'!$C$17)),"")</f>
        <v>PKV</v>
      </c>
      <c r="G666" s="54">
        <f>IFERROR(IF(INDEX(SPOT_Import!$A$1:$Z$2488,666,'Live Data'!$C$18)="","",INDEX(SPOT_Import!$A$1:$Z$2488,666,'Live Data'!$C$18)),"")</f>
        <v>912</v>
      </c>
      <c r="H666" s="54" t="str">
        <f>IFERROR(IF(INDEX(SPOT_Import!$A$1:$Z$2488,666,'Live Data'!$C$19)="","",INDEX(SPOT_Import!$A$1:$Z$2488,666,'Live Data'!$C$19)),"")</f>
        <v/>
      </c>
      <c r="I666" s="54" t="str">
        <f>IFERROR(IF(INDEX(SPOT_Import!$A$1:$Z$2488,666,'Live Data'!$C$20)="","",INDEX(SPOT_Import!$A$1:$Z$2488,666,'Live Data'!$C$20)),"")</f>
        <v>Complete</v>
      </c>
      <c r="J666" s="54" t="str">
        <f>IFERROR(IF(INDEX(SPOT_Import!$A$1:$Z$2488,666,'Live Data'!$C$21)="","",INDEX(SPOT_Import!$A$1:$Z$2488,666,'Live Data'!$C$21)),"")</f>
        <v>2023-02-06T07:57:29.000Z</v>
      </c>
      <c r="K666" s="54" t="str">
        <f>IFERROR(IF(INDEX(SPOT_Import!$A$1:$Z$2488,666,'Live Data'!$C$22)="","",INDEX(SPOT_Import!$A$1:$Z$2488,666,'Live Data'!$C$22)),"")</f>
        <v>2023-02-06T07:57:29.000Z</v>
      </c>
      <c r="L666" s="55" t="str">
        <f t="shared" si="20"/>
        <v>2023-02</v>
      </c>
      <c r="M666" s="55" t="str">
        <f t="shared" si="21"/>
        <v>THARAKA-NITHI</v>
      </c>
      <c r="N666" s="55" t="str">
        <f>IF(A666="","",IFERROR(INDEX('Cluster Map'!$A$4:$A$38,MATCH(M666,'Cluster Map'!$B$4:$B$38,0)),"Unmapped"))</f>
        <v>Cluster 2</v>
      </c>
      <c r="O666" s="55">
        <f>IF(A666="",0,IF(COUNTIFS($A$2:A666,A666,$F$2:F666,F666,$L$2:L666,L666)=1,1,0))</f>
        <v>1</v>
      </c>
      <c r="P666" s="55">
        <f>IF(A666="",0,IF(AND(F666="C&amp;T",COUNTIFS($A$2:A666,A666,$F$2:F666,"C&amp;T")=1),1,0))</f>
        <v>0</v>
      </c>
    </row>
    <row r="667" spans="1:16" x14ac:dyDescent="0.35">
      <c r="A667" s="54">
        <f>IFERROR(IF(INDEX(SPOT_Import!$A$1:$Z$2488,667,'Live Data'!$C$12)="","",INDEX(SPOT_Import!$A$1:$Z$2488,667,'Live Data'!$C$12)),"")</f>
        <v>12605</v>
      </c>
      <c r="B667" s="54" t="str">
        <f>IFERROR(IF(INDEX(SPOT_Import!$A$1:$Z$2488,667,'Live Data'!$C$13)="","",INDEX(SPOT_Import!$A$1:$Z$2488,667,'Live Data'!$C$13)),"")</f>
        <v>Mutuati Sub-County Hospital</v>
      </c>
      <c r="C667" s="54" t="str">
        <f>IFERROR(IF(INDEX(SPOT_Import!$A$1:$Z$2488,667,'Live Data'!$C$14)="","",INDEX(SPOT_Import!$A$1:$Z$2488,667,'Live Data'!$C$14)),"")</f>
        <v>MERU</v>
      </c>
      <c r="D667" s="54" t="str">
        <f>IFERROR(IF(INDEX(SPOT_Import!$A$1:$Z$2488,667,'Live Data'!$C$15)="","",INDEX(SPOT_Import!$A$1:$Z$2488,667,'Live Data'!$C$15)),"")</f>
        <v>Igembe North</v>
      </c>
      <c r="E667" s="54" t="str">
        <f>IFERROR(IF(INDEX(SPOT_Import!$A$1:$Z$2488,667,'Live Data'!$C$16)="","",INDEX(SPOT_Import!$A$1:$Z$2488,667,'Live Data'!$C$16)),"")</f>
        <v>USAID Jamii Tekelezi</v>
      </c>
      <c r="F667" s="54" t="str">
        <f>IFERROR(IF(INDEX(SPOT_Import!$A$1:$Z$2488,667,'Live Data'!$C$17)="","",INDEX(SPOT_Import!$A$1:$Z$2488,667,'Live Data'!$C$17)),"")</f>
        <v>PKV</v>
      </c>
      <c r="G667" s="54">
        <f>IFERROR(IF(INDEX(SPOT_Import!$A$1:$Z$2488,667,'Live Data'!$C$18)="","",INDEX(SPOT_Import!$A$1:$Z$2488,667,'Live Data'!$C$18)),"")</f>
        <v>1272</v>
      </c>
      <c r="H667" s="54">
        <f>IFERROR(IF(INDEX(SPOT_Import!$A$1:$Z$2488,667,'Live Data'!$C$19)="","",INDEX(SPOT_Import!$A$1:$Z$2488,667,'Live Data'!$C$19)),"")</f>
        <v>9803</v>
      </c>
      <c r="I667" s="54" t="str">
        <f>IFERROR(IF(INDEX(SPOT_Import!$A$1:$Z$2488,667,'Live Data'!$C$20)="","",INDEX(SPOT_Import!$A$1:$Z$2488,667,'Live Data'!$C$20)),"")</f>
        <v>Complete</v>
      </c>
      <c r="J667" s="54" t="str">
        <f>IFERROR(IF(INDEX(SPOT_Import!$A$1:$Z$2488,667,'Live Data'!$C$21)="","",INDEX(SPOT_Import!$A$1:$Z$2488,667,'Live Data'!$C$21)),"")</f>
        <v>2023-02-04T09:59:22.000Z</v>
      </c>
      <c r="K667" s="54" t="str">
        <f>IFERROR(IF(INDEX(SPOT_Import!$A$1:$Z$2488,667,'Live Data'!$C$22)="","",INDEX(SPOT_Import!$A$1:$Z$2488,667,'Live Data'!$C$22)),"")</f>
        <v>2023-02-04T09:59:22.000Z</v>
      </c>
      <c r="L667" s="55" t="str">
        <f t="shared" si="20"/>
        <v>2023-02</v>
      </c>
      <c r="M667" s="55" t="str">
        <f t="shared" si="21"/>
        <v>MERU</v>
      </c>
      <c r="N667" s="55" t="str">
        <f>IF(A667="","",IFERROR(INDEX('Cluster Map'!$A$4:$A$38,MATCH(M667,'Cluster Map'!$B$4:$B$38,0)),"Unmapped"))</f>
        <v>Cluster 1</v>
      </c>
      <c r="O667" s="55">
        <f>IF(A667="",0,IF(COUNTIFS($A$2:A667,A667,$F$2:F667,F667,$L$2:L667,L667)=1,1,0))</f>
        <v>1</v>
      </c>
      <c r="P667" s="55">
        <f>IF(A667="",0,IF(AND(F667="C&amp;T",COUNTIFS($A$2:A667,A667,$F$2:F667,"C&amp;T")=1),1,0))</f>
        <v>0</v>
      </c>
    </row>
    <row r="668" spans="1:16" x14ac:dyDescent="0.35">
      <c r="A668" s="54">
        <f>IFERROR(IF(INDEX(SPOT_Import!$A$1:$Z$2488,668,'Live Data'!$C$12)="","",INDEX(SPOT_Import!$A$1:$Z$2488,668,'Live Data'!$C$12)),"")</f>
        <v>12027</v>
      </c>
      <c r="B668" s="54" t="str">
        <f>IFERROR(IF(INDEX(SPOT_Import!$A$1:$Z$2488,668,'Live Data'!$C$13)="","",INDEX(SPOT_Import!$A$1:$Z$2488,668,'Live Data'!$C$13)),"")</f>
        <v>Gakoromone Dispensary</v>
      </c>
      <c r="C668" s="54" t="str">
        <f>IFERROR(IF(INDEX(SPOT_Import!$A$1:$Z$2488,668,'Live Data'!$C$14)="","",INDEX(SPOT_Import!$A$1:$Z$2488,668,'Live Data'!$C$14)),"")</f>
        <v>MERU</v>
      </c>
      <c r="D668" s="54" t="str">
        <f>IFERROR(IF(INDEX(SPOT_Import!$A$1:$Z$2488,668,'Live Data'!$C$15)="","",INDEX(SPOT_Import!$A$1:$Z$2488,668,'Live Data'!$C$15)),"")</f>
        <v>Imenti North</v>
      </c>
      <c r="E668" s="54" t="str">
        <f>IFERROR(IF(INDEX(SPOT_Import!$A$1:$Z$2488,668,'Live Data'!$C$16)="","",INDEX(SPOT_Import!$A$1:$Z$2488,668,'Live Data'!$C$16)),"")</f>
        <v>USAID Jamii Tekelezi</v>
      </c>
      <c r="F668" s="54" t="str">
        <f>IFERROR(IF(INDEX(SPOT_Import!$A$1:$Z$2488,668,'Live Data'!$C$17)="","",INDEX(SPOT_Import!$A$1:$Z$2488,668,'Live Data'!$C$17)),"")</f>
        <v>PKV</v>
      </c>
      <c r="G668" s="54">
        <f>IFERROR(IF(INDEX(SPOT_Import!$A$1:$Z$2488,668,'Live Data'!$C$18)="","",INDEX(SPOT_Import!$A$1:$Z$2488,668,'Live Data'!$C$18)),"")</f>
        <v>481</v>
      </c>
      <c r="H668" s="54" t="str">
        <f>IFERROR(IF(INDEX(SPOT_Import!$A$1:$Z$2488,668,'Live Data'!$C$19)="","",INDEX(SPOT_Import!$A$1:$Z$2488,668,'Live Data'!$C$19)),"")</f>
        <v/>
      </c>
      <c r="I668" s="54" t="str">
        <f>IFERROR(IF(INDEX(SPOT_Import!$A$1:$Z$2488,668,'Live Data'!$C$20)="","",INDEX(SPOT_Import!$A$1:$Z$2488,668,'Live Data'!$C$20)),"")</f>
        <v>Complete</v>
      </c>
      <c r="J668" s="54" t="str">
        <f>IFERROR(IF(INDEX(SPOT_Import!$A$1:$Z$2488,668,'Live Data'!$C$21)="","",INDEX(SPOT_Import!$A$1:$Z$2488,668,'Live Data'!$C$21)),"")</f>
        <v>2023-02-03T15:05:50.000Z</v>
      </c>
      <c r="K668" s="54" t="str">
        <f>IFERROR(IF(INDEX(SPOT_Import!$A$1:$Z$2488,668,'Live Data'!$C$22)="","",INDEX(SPOT_Import!$A$1:$Z$2488,668,'Live Data'!$C$22)),"")</f>
        <v>2023-02-03T15:05:50.000Z</v>
      </c>
      <c r="L668" s="55" t="str">
        <f t="shared" si="20"/>
        <v>2023-02</v>
      </c>
      <c r="M668" s="55" t="str">
        <f t="shared" si="21"/>
        <v>MERU</v>
      </c>
      <c r="N668" s="55" t="str">
        <f>IF(A668="","",IFERROR(INDEX('Cluster Map'!$A$4:$A$38,MATCH(M668,'Cluster Map'!$B$4:$B$38,0)),"Unmapped"))</f>
        <v>Cluster 1</v>
      </c>
      <c r="O668" s="55">
        <f>IF(A668="",0,IF(COUNTIFS($A$2:A668,A668,$F$2:F668,F668,$L$2:L668,L668)=1,1,0))</f>
        <v>1</v>
      </c>
      <c r="P668" s="55">
        <f>IF(A668="",0,IF(AND(F668="C&amp;T",COUNTIFS($A$2:A668,A668,$F$2:F668,"C&amp;T")=1),1,0))</f>
        <v>0</v>
      </c>
    </row>
    <row r="669" spans="1:16" x14ac:dyDescent="0.35">
      <c r="A669" s="54">
        <f>IFERROR(IF(INDEX(SPOT_Import!$A$1:$Z$2488,669,'Live Data'!$C$12)="","",INDEX(SPOT_Import!$A$1:$Z$2488,669,'Live Data'!$C$12)),"")</f>
        <v>11984</v>
      </c>
      <c r="B669" s="54" t="str">
        <f>IFERROR(IF(INDEX(SPOT_Import!$A$1:$Z$2488,669,'Live Data'!$C$13)="","",INDEX(SPOT_Import!$A$1:$Z$2488,669,'Live Data'!$C$13)),"")</f>
        <v>Dallas Dispensary</v>
      </c>
      <c r="C669" s="54" t="str">
        <f>IFERROR(IF(INDEX(SPOT_Import!$A$1:$Z$2488,669,'Live Data'!$C$14)="","",INDEX(SPOT_Import!$A$1:$Z$2488,669,'Live Data'!$C$14)),"")</f>
        <v>EMBU</v>
      </c>
      <c r="D669" s="54" t="str">
        <f>IFERROR(IF(INDEX(SPOT_Import!$A$1:$Z$2488,669,'Live Data'!$C$15)="","",INDEX(SPOT_Import!$A$1:$Z$2488,669,'Live Data'!$C$15)),"")</f>
        <v>Manyatta</v>
      </c>
      <c r="E669" s="54" t="str">
        <f>IFERROR(IF(INDEX(SPOT_Import!$A$1:$Z$2488,669,'Live Data'!$C$16)="","",INDEX(SPOT_Import!$A$1:$Z$2488,669,'Live Data'!$C$16)),"")</f>
        <v>USAID Jamii Tekelezi</v>
      </c>
      <c r="F669" s="54" t="str">
        <f>IFERROR(IF(INDEX(SPOT_Import!$A$1:$Z$2488,669,'Live Data'!$C$17)="","",INDEX(SPOT_Import!$A$1:$Z$2488,669,'Live Data'!$C$17)),"")</f>
        <v>PKV</v>
      </c>
      <c r="G669" s="54">
        <f>IFERROR(IF(INDEX(SPOT_Import!$A$1:$Z$2488,669,'Live Data'!$C$18)="","",INDEX(SPOT_Import!$A$1:$Z$2488,669,'Live Data'!$C$18)),"")</f>
        <v>1870</v>
      </c>
      <c r="H669" s="54" t="str">
        <f>IFERROR(IF(INDEX(SPOT_Import!$A$1:$Z$2488,669,'Live Data'!$C$19)="","",INDEX(SPOT_Import!$A$1:$Z$2488,669,'Live Data'!$C$19)),"")</f>
        <v/>
      </c>
      <c r="I669" s="54" t="str">
        <f>IFERROR(IF(INDEX(SPOT_Import!$A$1:$Z$2488,669,'Live Data'!$C$20)="","",INDEX(SPOT_Import!$A$1:$Z$2488,669,'Live Data'!$C$20)),"")</f>
        <v>Complete</v>
      </c>
      <c r="J669" s="54" t="str">
        <f>IFERROR(IF(INDEX(SPOT_Import!$A$1:$Z$2488,669,'Live Data'!$C$21)="","",INDEX(SPOT_Import!$A$1:$Z$2488,669,'Live Data'!$C$21)),"")</f>
        <v>2023-02-03T13:29:39.000Z</v>
      </c>
      <c r="K669" s="54" t="str">
        <f>IFERROR(IF(INDEX(SPOT_Import!$A$1:$Z$2488,669,'Live Data'!$C$22)="","",INDEX(SPOT_Import!$A$1:$Z$2488,669,'Live Data'!$C$22)),"")</f>
        <v>2023-02-03T13:29:39.000Z</v>
      </c>
      <c r="L669" s="55" t="str">
        <f t="shared" si="20"/>
        <v>2023-02</v>
      </c>
      <c r="M669" s="55" t="str">
        <f t="shared" si="21"/>
        <v>EMBU</v>
      </c>
      <c r="N669" s="55" t="str">
        <f>IF(A669="","",IFERROR(INDEX('Cluster Map'!$A$4:$A$38,MATCH(M669,'Cluster Map'!$B$4:$B$38,0)),"Unmapped"))</f>
        <v>Cluster 2</v>
      </c>
      <c r="O669" s="55">
        <f>IF(A669="",0,IF(COUNTIFS($A$2:A669,A669,$F$2:F669,F669,$L$2:L669,L669)=1,1,0))</f>
        <v>1</v>
      </c>
      <c r="P669" s="55">
        <f>IF(A669="",0,IF(AND(F669="C&amp;T",COUNTIFS($A$2:A669,A669,$F$2:F669,"C&amp;T")=1),1,0))</f>
        <v>0</v>
      </c>
    </row>
    <row r="670" spans="1:16" x14ac:dyDescent="0.35">
      <c r="A670" s="54">
        <f>IFERROR(IF(INDEX(SPOT_Import!$A$1:$Z$2488,670,'Live Data'!$C$12)="","",INDEX(SPOT_Import!$A$1:$Z$2488,670,'Live Data'!$C$12)),"")</f>
        <v>12282</v>
      </c>
      <c r="B670" s="54" t="str">
        <f>IFERROR(IF(INDEX(SPOT_Import!$A$1:$Z$2488,670,'Live Data'!$C$13)="","",INDEX(SPOT_Import!$A$1:$Z$2488,670,'Live Data'!$C$13)),"")</f>
        <v>Kibirichia Sub-district Hospital</v>
      </c>
      <c r="C670" s="54" t="str">
        <f>IFERROR(IF(INDEX(SPOT_Import!$A$1:$Z$2488,670,'Live Data'!$C$14)="","",INDEX(SPOT_Import!$A$1:$Z$2488,670,'Live Data'!$C$14)),"")</f>
        <v>MERU</v>
      </c>
      <c r="D670" s="54" t="str">
        <f>IFERROR(IF(INDEX(SPOT_Import!$A$1:$Z$2488,670,'Live Data'!$C$15)="","",INDEX(SPOT_Import!$A$1:$Z$2488,670,'Live Data'!$C$15)),"")</f>
        <v>Buuri</v>
      </c>
      <c r="E670" s="54" t="str">
        <f>IFERROR(IF(INDEX(SPOT_Import!$A$1:$Z$2488,670,'Live Data'!$C$16)="","",INDEX(SPOT_Import!$A$1:$Z$2488,670,'Live Data'!$C$16)),"")</f>
        <v>USAID Jamii Tekelezi</v>
      </c>
      <c r="F670" s="54" t="str">
        <f>IFERROR(IF(INDEX(SPOT_Import!$A$1:$Z$2488,670,'Live Data'!$C$17)="","",INDEX(SPOT_Import!$A$1:$Z$2488,670,'Live Data'!$C$17)),"")</f>
        <v>PKV</v>
      </c>
      <c r="G670" s="54">
        <f>IFERROR(IF(INDEX(SPOT_Import!$A$1:$Z$2488,670,'Live Data'!$C$18)="","",INDEX(SPOT_Import!$A$1:$Z$2488,670,'Live Data'!$C$18)),"")</f>
        <v>432</v>
      </c>
      <c r="H670" s="54">
        <f>IFERROR(IF(INDEX(SPOT_Import!$A$1:$Z$2488,670,'Live Data'!$C$19)="","",INDEX(SPOT_Import!$A$1:$Z$2488,670,'Live Data'!$C$19)),"")</f>
        <v>756</v>
      </c>
      <c r="I670" s="54" t="str">
        <f>IFERROR(IF(INDEX(SPOT_Import!$A$1:$Z$2488,670,'Live Data'!$C$20)="","",INDEX(SPOT_Import!$A$1:$Z$2488,670,'Live Data'!$C$20)),"")</f>
        <v>Complete</v>
      </c>
      <c r="J670" s="54" t="str">
        <f>IFERROR(IF(INDEX(SPOT_Import!$A$1:$Z$2488,670,'Live Data'!$C$21)="","",INDEX(SPOT_Import!$A$1:$Z$2488,670,'Live Data'!$C$21)),"")</f>
        <v>2023-02-03T12:54:05.000Z</v>
      </c>
      <c r="K670" s="54" t="str">
        <f>IFERROR(IF(INDEX(SPOT_Import!$A$1:$Z$2488,670,'Live Data'!$C$22)="","",INDEX(SPOT_Import!$A$1:$Z$2488,670,'Live Data'!$C$22)),"")</f>
        <v>2023-02-03T12:54:05.000Z</v>
      </c>
      <c r="L670" s="55" t="str">
        <f t="shared" si="20"/>
        <v>2023-02</v>
      </c>
      <c r="M670" s="55" t="str">
        <f t="shared" si="21"/>
        <v>MERU</v>
      </c>
      <c r="N670" s="55" t="str">
        <f>IF(A670="","",IFERROR(INDEX('Cluster Map'!$A$4:$A$38,MATCH(M670,'Cluster Map'!$B$4:$B$38,0)),"Unmapped"))</f>
        <v>Cluster 1</v>
      </c>
      <c r="O670" s="55">
        <f>IF(A670="",0,IF(COUNTIFS($A$2:A670,A670,$F$2:F670,F670,$L$2:L670,L670)=1,1,0))</f>
        <v>1</v>
      </c>
      <c r="P670" s="55">
        <f>IF(A670="",0,IF(AND(F670="C&amp;T",COUNTIFS($A$2:A670,A670,$F$2:F670,"C&amp;T")=1),1,0))</f>
        <v>0</v>
      </c>
    </row>
    <row r="671" spans="1:16" x14ac:dyDescent="0.35">
      <c r="A671" s="54">
        <f>IFERROR(IF(INDEX(SPOT_Import!$A$1:$Z$2488,671,'Live Data'!$C$12)="","",INDEX(SPOT_Import!$A$1:$Z$2488,671,'Live Data'!$C$12)),"")</f>
        <v>11923</v>
      </c>
      <c r="B671" s="54" t="str">
        <f>IFERROR(IF(INDEX(SPOT_Import!$A$1:$Z$2488,671,'Live Data'!$C$13)="","",INDEX(SPOT_Import!$A$1:$Z$2488,671,'Live Data'!$C$13)),"")</f>
        <v>Akachiu Health Centre</v>
      </c>
      <c r="C671" s="54" t="str">
        <f>IFERROR(IF(INDEX(SPOT_Import!$A$1:$Z$2488,671,'Live Data'!$C$14)="","",INDEX(SPOT_Import!$A$1:$Z$2488,671,'Live Data'!$C$14)),"")</f>
        <v>MERU</v>
      </c>
      <c r="D671" s="54" t="str">
        <f>IFERROR(IF(INDEX(SPOT_Import!$A$1:$Z$2488,671,'Live Data'!$C$15)="","",INDEX(SPOT_Import!$A$1:$Z$2488,671,'Live Data'!$C$15)),"")</f>
        <v>Igembe South</v>
      </c>
      <c r="E671" s="54" t="str">
        <f>IFERROR(IF(INDEX(SPOT_Import!$A$1:$Z$2488,671,'Live Data'!$C$16)="","",INDEX(SPOT_Import!$A$1:$Z$2488,671,'Live Data'!$C$16)),"")</f>
        <v>USAID Jamii Tekelezi</v>
      </c>
      <c r="F671" s="54" t="str">
        <f>IFERROR(IF(INDEX(SPOT_Import!$A$1:$Z$2488,671,'Live Data'!$C$17)="","",INDEX(SPOT_Import!$A$1:$Z$2488,671,'Live Data'!$C$17)),"")</f>
        <v>PKV</v>
      </c>
      <c r="G671" s="54">
        <f>IFERROR(IF(INDEX(SPOT_Import!$A$1:$Z$2488,671,'Live Data'!$C$18)="","",INDEX(SPOT_Import!$A$1:$Z$2488,671,'Live Data'!$C$18)),"")</f>
        <v>397</v>
      </c>
      <c r="H671" s="54" t="str">
        <f>IFERROR(IF(INDEX(SPOT_Import!$A$1:$Z$2488,671,'Live Data'!$C$19)="","",INDEX(SPOT_Import!$A$1:$Z$2488,671,'Live Data'!$C$19)),"")</f>
        <v/>
      </c>
      <c r="I671" s="54" t="str">
        <f>IFERROR(IF(INDEX(SPOT_Import!$A$1:$Z$2488,671,'Live Data'!$C$20)="","",INDEX(SPOT_Import!$A$1:$Z$2488,671,'Live Data'!$C$20)),"")</f>
        <v>Complete</v>
      </c>
      <c r="J671" s="54" t="str">
        <f>IFERROR(IF(INDEX(SPOT_Import!$A$1:$Z$2488,671,'Live Data'!$C$21)="","",INDEX(SPOT_Import!$A$1:$Z$2488,671,'Live Data'!$C$21)),"")</f>
        <v>2023-02-03T12:42:56.000Z</v>
      </c>
      <c r="K671" s="54" t="str">
        <f>IFERROR(IF(INDEX(SPOT_Import!$A$1:$Z$2488,671,'Live Data'!$C$22)="","",INDEX(SPOT_Import!$A$1:$Z$2488,671,'Live Data'!$C$22)),"")</f>
        <v>2023-02-03T12:42:56.000Z</v>
      </c>
      <c r="L671" s="55" t="str">
        <f t="shared" si="20"/>
        <v>2023-02</v>
      </c>
      <c r="M671" s="55" t="str">
        <f t="shared" si="21"/>
        <v>MERU</v>
      </c>
      <c r="N671" s="55" t="str">
        <f>IF(A671="","",IFERROR(INDEX('Cluster Map'!$A$4:$A$38,MATCH(M671,'Cluster Map'!$B$4:$B$38,0)),"Unmapped"))</f>
        <v>Cluster 1</v>
      </c>
      <c r="O671" s="55">
        <f>IF(A671="",0,IF(COUNTIFS($A$2:A671,A671,$F$2:F671,F671,$L$2:L671,L671)=1,1,0))</f>
        <v>1</v>
      </c>
      <c r="P671" s="55">
        <f>IF(A671="",0,IF(AND(F671="C&amp;T",COUNTIFS($A$2:A671,A671,$F$2:F671,"C&amp;T")=1),1,0))</f>
        <v>0</v>
      </c>
    </row>
    <row r="672" spans="1:16" x14ac:dyDescent="0.35">
      <c r="A672" s="54">
        <f>IFERROR(IF(INDEX(SPOT_Import!$A$1:$Z$2488,672,'Live Data'!$C$12)="","",INDEX(SPOT_Import!$A$1:$Z$2488,672,'Live Data'!$C$12)),"")</f>
        <v>11923</v>
      </c>
      <c r="B672" s="54" t="str">
        <f>IFERROR(IF(INDEX(SPOT_Import!$A$1:$Z$2488,672,'Live Data'!$C$13)="","",INDEX(SPOT_Import!$A$1:$Z$2488,672,'Live Data'!$C$13)),"")</f>
        <v>Akachiu Health Centre</v>
      </c>
      <c r="C672" s="54" t="str">
        <f>IFERROR(IF(INDEX(SPOT_Import!$A$1:$Z$2488,672,'Live Data'!$C$14)="","",INDEX(SPOT_Import!$A$1:$Z$2488,672,'Live Data'!$C$14)),"")</f>
        <v>MERU</v>
      </c>
      <c r="D672" s="54" t="str">
        <f>IFERROR(IF(INDEX(SPOT_Import!$A$1:$Z$2488,672,'Live Data'!$C$15)="","",INDEX(SPOT_Import!$A$1:$Z$2488,672,'Live Data'!$C$15)),"")</f>
        <v>Igembe South</v>
      </c>
      <c r="E672" s="54" t="str">
        <f>IFERROR(IF(INDEX(SPOT_Import!$A$1:$Z$2488,672,'Live Data'!$C$16)="","",INDEX(SPOT_Import!$A$1:$Z$2488,672,'Live Data'!$C$16)),"")</f>
        <v>USAID Jamii Tekelezi</v>
      </c>
      <c r="F672" s="54" t="str">
        <f>IFERROR(IF(INDEX(SPOT_Import!$A$1:$Z$2488,672,'Live Data'!$C$17)="","",INDEX(SPOT_Import!$A$1:$Z$2488,672,'Live Data'!$C$17)),"")</f>
        <v>CRS</v>
      </c>
      <c r="G672" s="54">
        <f>IFERROR(IF(INDEX(SPOT_Import!$A$1:$Z$2488,672,'Live Data'!$C$18)="","",INDEX(SPOT_Import!$A$1:$Z$2488,672,'Live Data'!$C$18)),"")</f>
        <v>253</v>
      </c>
      <c r="H672" s="54">
        <f>IFERROR(IF(INDEX(SPOT_Import!$A$1:$Z$2488,672,'Live Data'!$C$19)="","",INDEX(SPOT_Import!$A$1:$Z$2488,672,'Live Data'!$C$19)),"")</f>
        <v>253</v>
      </c>
      <c r="I672" s="54" t="str">
        <f>IFERROR(IF(INDEX(SPOT_Import!$A$1:$Z$2488,672,'Live Data'!$C$20)="","",INDEX(SPOT_Import!$A$1:$Z$2488,672,'Live Data'!$C$20)),"")</f>
        <v>Complete</v>
      </c>
      <c r="J672" s="54" t="str">
        <f>IFERROR(IF(INDEX(SPOT_Import!$A$1:$Z$2488,672,'Live Data'!$C$21)="","",INDEX(SPOT_Import!$A$1:$Z$2488,672,'Live Data'!$C$21)),"")</f>
        <v>2023-02-03T12:42:06.000Z</v>
      </c>
      <c r="K672" s="54" t="str">
        <f>IFERROR(IF(INDEX(SPOT_Import!$A$1:$Z$2488,672,'Live Data'!$C$22)="","",INDEX(SPOT_Import!$A$1:$Z$2488,672,'Live Data'!$C$22)),"")</f>
        <v>2023-02-03T12:42:06.000Z</v>
      </c>
      <c r="L672" s="55" t="str">
        <f t="shared" si="20"/>
        <v>2023-02</v>
      </c>
      <c r="M672" s="55" t="str">
        <f t="shared" si="21"/>
        <v>MERU</v>
      </c>
      <c r="N672" s="55" t="str">
        <f>IF(A672="","",IFERROR(INDEX('Cluster Map'!$A$4:$A$38,MATCH(M672,'Cluster Map'!$B$4:$B$38,0)),"Unmapped"))</f>
        <v>Cluster 1</v>
      </c>
      <c r="O672" s="55">
        <f>IF(A672="",0,IF(COUNTIFS($A$2:A672,A672,$F$2:F672,F672,$L$2:L672,L672)=1,1,0))</f>
        <v>1</v>
      </c>
      <c r="P672" s="55">
        <f>IF(A672="",0,IF(AND(F672="C&amp;T",COUNTIFS($A$2:A672,A672,$F$2:F672,"C&amp;T")=1),1,0))</f>
        <v>0</v>
      </c>
    </row>
    <row r="673" spans="1:16" x14ac:dyDescent="0.35">
      <c r="A673" s="54">
        <f>IFERROR(IF(INDEX(SPOT_Import!$A$1:$Z$2488,673,'Live Data'!$C$12)="","",INDEX(SPOT_Import!$A$1:$Z$2488,673,'Live Data'!$C$12)),"")</f>
        <v>12675</v>
      </c>
      <c r="B673" s="54" t="str">
        <f>IFERROR(IF(INDEX(SPOT_Import!$A$1:$Z$2488,673,'Live Data'!$C$13)="","",INDEX(SPOT_Import!$A$1:$Z$2488,673,'Live Data'!$C$13)),"")</f>
        <v>Nthambiro Dispensary</v>
      </c>
      <c r="C673" s="54" t="str">
        <f>IFERROR(IF(INDEX(SPOT_Import!$A$1:$Z$2488,673,'Live Data'!$C$14)="","",INDEX(SPOT_Import!$A$1:$Z$2488,673,'Live Data'!$C$14)),"")</f>
        <v>MERU</v>
      </c>
      <c r="D673" s="54" t="str">
        <f>IFERROR(IF(INDEX(SPOT_Import!$A$1:$Z$2488,673,'Live Data'!$C$15)="","",INDEX(SPOT_Import!$A$1:$Z$2488,673,'Live Data'!$C$15)),"")</f>
        <v>Igembe Central</v>
      </c>
      <c r="E673" s="54" t="str">
        <f>IFERROR(IF(INDEX(SPOT_Import!$A$1:$Z$2488,673,'Live Data'!$C$16)="","",INDEX(SPOT_Import!$A$1:$Z$2488,673,'Live Data'!$C$16)),"")</f>
        <v>USAID Jamii Tekelezi</v>
      </c>
      <c r="F673" s="54" t="str">
        <f>IFERROR(IF(INDEX(SPOT_Import!$A$1:$Z$2488,673,'Live Data'!$C$17)="","",INDEX(SPOT_Import!$A$1:$Z$2488,673,'Live Data'!$C$17)),"")</f>
        <v>PKV</v>
      </c>
      <c r="G673" s="54">
        <f>IFERROR(IF(INDEX(SPOT_Import!$A$1:$Z$2488,673,'Live Data'!$C$18)="","",INDEX(SPOT_Import!$A$1:$Z$2488,673,'Live Data'!$C$18)),"")</f>
        <v>288</v>
      </c>
      <c r="H673" s="54" t="str">
        <f>IFERROR(IF(INDEX(SPOT_Import!$A$1:$Z$2488,673,'Live Data'!$C$19)="","",INDEX(SPOT_Import!$A$1:$Z$2488,673,'Live Data'!$C$19)),"")</f>
        <v/>
      </c>
      <c r="I673" s="54" t="str">
        <f>IFERROR(IF(INDEX(SPOT_Import!$A$1:$Z$2488,673,'Live Data'!$C$20)="","",INDEX(SPOT_Import!$A$1:$Z$2488,673,'Live Data'!$C$20)),"")</f>
        <v>Complete</v>
      </c>
      <c r="J673" s="54" t="str">
        <f>IFERROR(IF(INDEX(SPOT_Import!$A$1:$Z$2488,673,'Live Data'!$C$21)="","",INDEX(SPOT_Import!$A$1:$Z$2488,673,'Live Data'!$C$21)),"")</f>
        <v>2023-02-03T12:36:12.000Z</v>
      </c>
      <c r="K673" s="54" t="str">
        <f>IFERROR(IF(INDEX(SPOT_Import!$A$1:$Z$2488,673,'Live Data'!$C$22)="","",INDEX(SPOT_Import!$A$1:$Z$2488,673,'Live Data'!$C$22)),"")</f>
        <v>2023-02-03T12:36:12.000Z</v>
      </c>
      <c r="L673" s="55" t="str">
        <f t="shared" si="20"/>
        <v>2023-02</v>
      </c>
      <c r="M673" s="55" t="str">
        <f t="shared" si="21"/>
        <v>MERU</v>
      </c>
      <c r="N673" s="55" t="str">
        <f>IF(A673="","",IFERROR(INDEX('Cluster Map'!$A$4:$A$38,MATCH(M673,'Cluster Map'!$B$4:$B$38,0)),"Unmapped"))</f>
        <v>Cluster 1</v>
      </c>
      <c r="O673" s="55">
        <f>IF(A673="",0,IF(COUNTIFS($A$2:A673,A673,$F$2:F673,F673,$L$2:L673,L673)=1,1,0))</f>
        <v>1</v>
      </c>
      <c r="P673" s="55">
        <f>IF(A673="",0,IF(AND(F673="C&amp;T",COUNTIFS($A$2:A673,A673,$F$2:F673,"C&amp;T")=1),1,0))</f>
        <v>0</v>
      </c>
    </row>
    <row r="674" spans="1:16" x14ac:dyDescent="0.35">
      <c r="A674" s="54">
        <f>IFERROR(IF(INDEX(SPOT_Import!$A$1:$Z$2488,674,'Live Data'!$C$12)="","",INDEX(SPOT_Import!$A$1:$Z$2488,674,'Live Data'!$C$12)),"")</f>
        <v>12181</v>
      </c>
      <c r="B674" s="54" t="str">
        <f>IFERROR(IF(INDEX(SPOT_Import!$A$1:$Z$2488,674,'Live Data'!$C$13)="","",INDEX(SPOT_Import!$A$1:$Z$2488,674,'Live Data'!$C$13)),"")</f>
        <v>Kanyakine District Hospital</v>
      </c>
      <c r="C674" s="54" t="str">
        <f>IFERROR(IF(INDEX(SPOT_Import!$A$1:$Z$2488,674,'Live Data'!$C$14)="","",INDEX(SPOT_Import!$A$1:$Z$2488,674,'Live Data'!$C$14)),"")</f>
        <v>MERU</v>
      </c>
      <c r="D674" s="54" t="str">
        <f>IFERROR(IF(INDEX(SPOT_Import!$A$1:$Z$2488,674,'Live Data'!$C$15)="","",INDEX(SPOT_Import!$A$1:$Z$2488,674,'Live Data'!$C$15)),"")</f>
        <v>Imenti South</v>
      </c>
      <c r="E674" s="54" t="str">
        <f>IFERROR(IF(INDEX(SPOT_Import!$A$1:$Z$2488,674,'Live Data'!$C$16)="","",INDEX(SPOT_Import!$A$1:$Z$2488,674,'Live Data'!$C$16)),"")</f>
        <v>USAID Jamii Tekelezi</v>
      </c>
      <c r="F674" s="54" t="str">
        <f>IFERROR(IF(INDEX(SPOT_Import!$A$1:$Z$2488,674,'Live Data'!$C$17)="","",INDEX(SPOT_Import!$A$1:$Z$2488,674,'Live Data'!$C$17)),"")</f>
        <v>PKV</v>
      </c>
      <c r="G674" s="54">
        <f>IFERROR(IF(INDEX(SPOT_Import!$A$1:$Z$2488,674,'Live Data'!$C$18)="","",INDEX(SPOT_Import!$A$1:$Z$2488,674,'Live Data'!$C$18)),"")</f>
        <v>2827</v>
      </c>
      <c r="H674" s="54">
        <f>IFERROR(IF(INDEX(SPOT_Import!$A$1:$Z$2488,674,'Live Data'!$C$19)="","",INDEX(SPOT_Import!$A$1:$Z$2488,674,'Live Data'!$C$19)),"")</f>
        <v>43775</v>
      </c>
      <c r="I674" s="54" t="str">
        <f>IFERROR(IF(INDEX(SPOT_Import!$A$1:$Z$2488,674,'Live Data'!$C$20)="","",INDEX(SPOT_Import!$A$1:$Z$2488,674,'Live Data'!$C$20)),"")</f>
        <v>Complete</v>
      </c>
      <c r="J674" s="54" t="str">
        <f>IFERROR(IF(INDEX(SPOT_Import!$A$1:$Z$2488,674,'Live Data'!$C$21)="","",INDEX(SPOT_Import!$A$1:$Z$2488,674,'Live Data'!$C$21)),"")</f>
        <v>2023-02-03T12:35:39.000Z</v>
      </c>
      <c r="K674" s="54" t="str">
        <f>IFERROR(IF(INDEX(SPOT_Import!$A$1:$Z$2488,674,'Live Data'!$C$22)="","",INDEX(SPOT_Import!$A$1:$Z$2488,674,'Live Data'!$C$22)),"")</f>
        <v>2023-02-03T12:35:39.000Z</v>
      </c>
      <c r="L674" s="55" t="str">
        <f t="shared" si="20"/>
        <v>2023-02</v>
      </c>
      <c r="M674" s="55" t="str">
        <f t="shared" si="21"/>
        <v>MERU</v>
      </c>
      <c r="N674" s="55" t="str">
        <f>IF(A674="","",IFERROR(INDEX('Cluster Map'!$A$4:$A$38,MATCH(M674,'Cluster Map'!$B$4:$B$38,0)),"Unmapped"))</f>
        <v>Cluster 1</v>
      </c>
      <c r="O674" s="55">
        <f>IF(A674="",0,IF(COUNTIFS($A$2:A674,A674,$F$2:F674,F674,$L$2:L674,L674)=1,1,0))</f>
        <v>1</v>
      </c>
      <c r="P674" s="55">
        <f>IF(A674="",0,IF(AND(F674="C&amp;T",COUNTIFS($A$2:A674,A674,$F$2:F674,"C&amp;T")=1),1,0))</f>
        <v>0</v>
      </c>
    </row>
    <row r="675" spans="1:16" x14ac:dyDescent="0.35">
      <c r="A675" s="54">
        <f>IFERROR(IF(INDEX(SPOT_Import!$A$1:$Z$2488,675,'Live Data'!$C$12)="","",INDEX(SPOT_Import!$A$1:$Z$2488,675,'Live Data'!$C$12)),"")</f>
        <v>10043</v>
      </c>
      <c r="B675" s="54" t="str">
        <f>IFERROR(IF(INDEX(SPOT_Import!$A$1:$Z$2488,675,'Live Data'!$C$13)="","",INDEX(SPOT_Import!$A$1:$Z$2488,675,'Live Data'!$C$13)),"")</f>
        <v>Baari Health centre</v>
      </c>
      <c r="C675" s="54" t="str">
        <f>IFERROR(IF(INDEX(SPOT_Import!$A$1:$Z$2488,675,'Live Data'!$C$14)="","",INDEX(SPOT_Import!$A$1:$Z$2488,675,'Live Data'!$C$14)),"")</f>
        <v>NYANDARUA</v>
      </c>
      <c r="D675" s="54" t="str">
        <f>IFERROR(IF(INDEX(SPOT_Import!$A$1:$Z$2488,675,'Live Data'!$C$15)="","",INDEX(SPOT_Import!$A$1:$Z$2488,675,'Live Data'!$C$15)),"")</f>
        <v>Ndaragwa</v>
      </c>
      <c r="E675" s="54" t="str">
        <f>IFERROR(IF(INDEX(SPOT_Import!$A$1:$Z$2488,675,'Live Data'!$C$16)="","",INDEX(SPOT_Import!$A$1:$Z$2488,675,'Live Data'!$C$16)),"")</f>
        <v>USAID Jamii Tekelezi</v>
      </c>
      <c r="F675" s="54" t="str">
        <f>IFERROR(IF(INDEX(SPOT_Import!$A$1:$Z$2488,675,'Live Data'!$C$17)="","",INDEX(SPOT_Import!$A$1:$Z$2488,675,'Live Data'!$C$17)),"")</f>
        <v>PKV</v>
      </c>
      <c r="G675" s="54">
        <f>IFERROR(IF(INDEX(SPOT_Import!$A$1:$Z$2488,675,'Live Data'!$C$18)="","",INDEX(SPOT_Import!$A$1:$Z$2488,675,'Live Data'!$C$18)),"")</f>
        <v>1065</v>
      </c>
      <c r="H675" s="54" t="str">
        <f>IFERROR(IF(INDEX(SPOT_Import!$A$1:$Z$2488,675,'Live Data'!$C$19)="","",INDEX(SPOT_Import!$A$1:$Z$2488,675,'Live Data'!$C$19)),"")</f>
        <v/>
      </c>
      <c r="I675" s="54" t="str">
        <f>IFERROR(IF(INDEX(SPOT_Import!$A$1:$Z$2488,675,'Live Data'!$C$20)="","",INDEX(SPOT_Import!$A$1:$Z$2488,675,'Live Data'!$C$20)),"")</f>
        <v>Complete</v>
      </c>
      <c r="J675" s="54" t="str">
        <f>IFERROR(IF(INDEX(SPOT_Import!$A$1:$Z$2488,675,'Live Data'!$C$21)="","",INDEX(SPOT_Import!$A$1:$Z$2488,675,'Live Data'!$C$21)),"")</f>
        <v>2023-02-03T12:34:52.000Z</v>
      </c>
      <c r="K675" s="54" t="str">
        <f>IFERROR(IF(INDEX(SPOT_Import!$A$1:$Z$2488,675,'Live Data'!$C$22)="","",INDEX(SPOT_Import!$A$1:$Z$2488,675,'Live Data'!$C$22)),"")</f>
        <v>2023-02-03T12:34:52.000Z</v>
      </c>
      <c r="L675" s="55" t="str">
        <f t="shared" si="20"/>
        <v>2023-02</v>
      </c>
      <c r="M675" s="55" t="str">
        <f t="shared" si="21"/>
        <v>NYANDARUA</v>
      </c>
      <c r="N675" s="55" t="str">
        <f>IF(A675="","",IFERROR(INDEX('Cluster Map'!$A$4:$A$38,MATCH(M675,'Cluster Map'!$B$4:$B$38,0)),"Unmapped"))</f>
        <v>Cluster 4</v>
      </c>
      <c r="O675" s="55">
        <f>IF(A675="",0,IF(COUNTIFS($A$2:A675,A675,$F$2:F675,F675,$L$2:L675,L675)=1,1,0))</f>
        <v>1</v>
      </c>
      <c r="P675" s="55">
        <f>IF(A675="",0,IF(AND(F675="C&amp;T",COUNTIFS($A$2:A675,A675,$F$2:F675,"C&amp;T")=1),1,0))</f>
        <v>0</v>
      </c>
    </row>
    <row r="676" spans="1:16" x14ac:dyDescent="0.35">
      <c r="A676" s="54">
        <f>IFERROR(IF(INDEX(SPOT_Import!$A$1:$Z$2488,676,'Live Data'!$C$12)="","",INDEX(SPOT_Import!$A$1:$Z$2488,676,'Live Data'!$C$12)),"")</f>
        <v>12041</v>
      </c>
      <c r="B676" s="54" t="str">
        <f>IFERROR(IF(INDEX(SPOT_Import!$A$1:$Z$2488,676,'Live Data'!$C$13)="","",INDEX(SPOT_Import!$A$1:$Z$2488,676,'Live Data'!$C$13)),"")</f>
        <v>Githongo District Hospital</v>
      </c>
      <c r="C676" s="54" t="str">
        <f>IFERROR(IF(INDEX(SPOT_Import!$A$1:$Z$2488,676,'Live Data'!$C$14)="","",INDEX(SPOT_Import!$A$1:$Z$2488,676,'Live Data'!$C$14)),"")</f>
        <v>MERU</v>
      </c>
      <c r="D676" s="54" t="str">
        <f>IFERROR(IF(INDEX(SPOT_Import!$A$1:$Z$2488,676,'Live Data'!$C$15)="","",INDEX(SPOT_Import!$A$1:$Z$2488,676,'Live Data'!$C$15)),"")</f>
        <v>Imenti Central</v>
      </c>
      <c r="E676" s="54" t="str">
        <f>IFERROR(IF(INDEX(SPOT_Import!$A$1:$Z$2488,676,'Live Data'!$C$16)="","",INDEX(SPOT_Import!$A$1:$Z$2488,676,'Live Data'!$C$16)),"")</f>
        <v>USAID Jamii Tekelezi</v>
      </c>
      <c r="F676" s="54" t="str">
        <f>IFERROR(IF(INDEX(SPOT_Import!$A$1:$Z$2488,676,'Live Data'!$C$17)="","",INDEX(SPOT_Import!$A$1:$Z$2488,676,'Live Data'!$C$17)),"")</f>
        <v>PKV</v>
      </c>
      <c r="G676" s="54">
        <f>IFERROR(IF(INDEX(SPOT_Import!$A$1:$Z$2488,676,'Live Data'!$C$18)="","",INDEX(SPOT_Import!$A$1:$Z$2488,676,'Live Data'!$C$18)),"")</f>
        <v>29203</v>
      </c>
      <c r="H676" s="54" t="str">
        <f>IFERROR(IF(INDEX(SPOT_Import!$A$1:$Z$2488,676,'Live Data'!$C$19)="","",INDEX(SPOT_Import!$A$1:$Z$2488,676,'Live Data'!$C$19)),"")</f>
        <v/>
      </c>
      <c r="I676" s="54" t="str">
        <f>IFERROR(IF(INDEX(SPOT_Import!$A$1:$Z$2488,676,'Live Data'!$C$20)="","",INDEX(SPOT_Import!$A$1:$Z$2488,676,'Live Data'!$C$20)),"")</f>
        <v>Complete</v>
      </c>
      <c r="J676" s="54" t="str">
        <f>IFERROR(IF(INDEX(SPOT_Import!$A$1:$Z$2488,676,'Live Data'!$C$21)="","",INDEX(SPOT_Import!$A$1:$Z$2488,676,'Live Data'!$C$21)),"")</f>
        <v>2023-02-03T11:05:33.000Z</v>
      </c>
      <c r="K676" s="54" t="str">
        <f>IFERROR(IF(INDEX(SPOT_Import!$A$1:$Z$2488,676,'Live Data'!$C$22)="","",INDEX(SPOT_Import!$A$1:$Z$2488,676,'Live Data'!$C$22)),"")</f>
        <v>2023-02-03T11:05:33.000Z</v>
      </c>
      <c r="L676" s="55" t="str">
        <f t="shared" si="20"/>
        <v>2023-02</v>
      </c>
      <c r="M676" s="55" t="str">
        <f t="shared" si="21"/>
        <v>MERU</v>
      </c>
      <c r="N676" s="55" t="str">
        <f>IF(A676="","",IFERROR(INDEX('Cluster Map'!$A$4:$A$38,MATCH(M676,'Cluster Map'!$B$4:$B$38,0)),"Unmapped"))</f>
        <v>Cluster 1</v>
      </c>
      <c r="O676" s="55">
        <f>IF(A676="",0,IF(COUNTIFS($A$2:A676,A676,$F$2:F676,F676,$L$2:L676,L676)=1,1,0))</f>
        <v>1</v>
      </c>
      <c r="P676" s="55">
        <f>IF(A676="",0,IF(AND(F676="C&amp;T",COUNTIFS($A$2:A676,A676,$F$2:F676,"C&amp;T")=1),1,0))</f>
        <v>0</v>
      </c>
    </row>
    <row r="677" spans="1:16" x14ac:dyDescent="0.35">
      <c r="A677" s="54">
        <f>IFERROR(IF(INDEX(SPOT_Import!$A$1:$Z$2488,677,'Live Data'!$C$12)="","",INDEX(SPOT_Import!$A$1:$Z$2488,677,'Live Data'!$C$12)),"")</f>
        <v>10681</v>
      </c>
      <c r="B677" s="54" t="str">
        <f>IFERROR(IF(INDEX(SPOT_Import!$A$1:$Z$2488,677,'Live Data'!$C$13)="","",INDEX(SPOT_Import!$A$1:$Z$2488,677,'Live Data'!$C$13)),"")</f>
        <v>Manunga Health Centre</v>
      </c>
      <c r="C677" s="54" t="str">
        <f>IFERROR(IF(INDEX(SPOT_Import!$A$1:$Z$2488,677,'Live Data'!$C$14)="","",INDEX(SPOT_Import!$A$1:$Z$2488,677,'Live Data'!$C$14)),"")</f>
        <v>NYANDARUA</v>
      </c>
      <c r="D677" s="54" t="str">
        <f>IFERROR(IF(INDEX(SPOT_Import!$A$1:$Z$2488,677,'Live Data'!$C$15)="","",INDEX(SPOT_Import!$A$1:$Z$2488,677,'Live Data'!$C$15)),"")</f>
        <v>Kipipiri</v>
      </c>
      <c r="E677" s="54" t="str">
        <f>IFERROR(IF(INDEX(SPOT_Import!$A$1:$Z$2488,677,'Live Data'!$C$16)="","",INDEX(SPOT_Import!$A$1:$Z$2488,677,'Live Data'!$C$16)),"")</f>
        <v>USAID Jamii Tekelezi</v>
      </c>
      <c r="F677" s="54" t="str">
        <f>IFERROR(IF(INDEX(SPOT_Import!$A$1:$Z$2488,677,'Live Data'!$C$17)="","",INDEX(SPOT_Import!$A$1:$Z$2488,677,'Live Data'!$C$17)),"")</f>
        <v>PKV</v>
      </c>
      <c r="G677" s="54">
        <f>IFERROR(IF(INDEX(SPOT_Import!$A$1:$Z$2488,677,'Live Data'!$C$18)="","",INDEX(SPOT_Import!$A$1:$Z$2488,677,'Live Data'!$C$18)),"")</f>
        <v>888</v>
      </c>
      <c r="H677" s="54" t="str">
        <f>IFERROR(IF(INDEX(SPOT_Import!$A$1:$Z$2488,677,'Live Data'!$C$19)="","",INDEX(SPOT_Import!$A$1:$Z$2488,677,'Live Data'!$C$19)),"")</f>
        <v/>
      </c>
      <c r="I677" s="54" t="str">
        <f>IFERROR(IF(INDEX(SPOT_Import!$A$1:$Z$2488,677,'Live Data'!$C$20)="","",INDEX(SPOT_Import!$A$1:$Z$2488,677,'Live Data'!$C$20)),"")</f>
        <v>Complete</v>
      </c>
      <c r="J677" s="54" t="str">
        <f>IFERROR(IF(INDEX(SPOT_Import!$A$1:$Z$2488,677,'Live Data'!$C$21)="","",INDEX(SPOT_Import!$A$1:$Z$2488,677,'Live Data'!$C$21)),"")</f>
        <v>2023-02-03T10:57:50.000Z</v>
      </c>
      <c r="K677" s="54" t="str">
        <f>IFERROR(IF(INDEX(SPOT_Import!$A$1:$Z$2488,677,'Live Data'!$C$22)="","",INDEX(SPOT_Import!$A$1:$Z$2488,677,'Live Data'!$C$22)),"")</f>
        <v>2023-02-03T10:57:50.000Z</v>
      </c>
      <c r="L677" s="55" t="str">
        <f t="shared" si="20"/>
        <v>2023-02</v>
      </c>
      <c r="M677" s="55" t="str">
        <f t="shared" si="21"/>
        <v>NYANDARUA</v>
      </c>
      <c r="N677" s="55" t="str">
        <f>IF(A677="","",IFERROR(INDEX('Cluster Map'!$A$4:$A$38,MATCH(M677,'Cluster Map'!$B$4:$B$38,0)),"Unmapped"))</f>
        <v>Cluster 4</v>
      </c>
      <c r="O677" s="55">
        <f>IF(A677="",0,IF(COUNTIFS($A$2:A677,A677,$F$2:F677,F677,$L$2:L677,L677)=1,1,0))</f>
        <v>1</v>
      </c>
      <c r="P677" s="55">
        <f>IF(A677="",0,IF(AND(F677="C&amp;T",COUNTIFS($A$2:A677,A677,$F$2:F677,"C&amp;T")=1),1,0))</f>
        <v>0</v>
      </c>
    </row>
    <row r="678" spans="1:16" x14ac:dyDescent="0.35">
      <c r="A678" s="54">
        <f>IFERROR(IF(INDEX(SPOT_Import!$A$1:$Z$2488,678,'Live Data'!$C$12)="","",INDEX(SPOT_Import!$A$1:$Z$2488,678,'Live Data'!$C$12)),"")</f>
        <v>12717</v>
      </c>
      <c r="B678" s="54" t="str">
        <f>IFERROR(IF(INDEX(SPOT_Import!$A$1:$Z$2488,678,'Live Data'!$C$13)="","",INDEX(SPOT_Import!$A$1:$Z$2488,678,'Live Data'!$C$13)),"")</f>
        <v>Ruiri Rural Health Demonstration Centre</v>
      </c>
      <c r="C678" s="54" t="str">
        <f>IFERROR(IF(INDEX(SPOT_Import!$A$1:$Z$2488,678,'Live Data'!$C$14)="","",INDEX(SPOT_Import!$A$1:$Z$2488,678,'Live Data'!$C$14)),"")</f>
        <v>MERU</v>
      </c>
      <c r="D678" s="54" t="str">
        <f>IFERROR(IF(INDEX(SPOT_Import!$A$1:$Z$2488,678,'Live Data'!$C$15)="","",INDEX(SPOT_Import!$A$1:$Z$2488,678,'Live Data'!$C$15)),"")</f>
        <v>Buuri</v>
      </c>
      <c r="E678" s="54" t="str">
        <f>IFERROR(IF(INDEX(SPOT_Import!$A$1:$Z$2488,678,'Live Data'!$C$16)="","",INDEX(SPOT_Import!$A$1:$Z$2488,678,'Live Data'!$C$16)),"")</f>
        <v>USAID Jamii Tekelezi</v>
      </c>
      <c r="F678" s="54" t="str">
        <f>IFERROR(IF(INDEX(SPOT_Import!$A$1:$Z$2488,678,'Live Data'!$C$17)="","",INDEX(SPOT_Import!$A$1:$Z$2488,678,'Live Data'!$C$17)),"")</f>
        <v>PKV</v>
      </c>
      <c r="G678" s="54">
        <f>IFERROR(IF(INDEX(SPOT_Import!$A$1:$Z$2488,678,'Live Data'!$C$18)="","",INDEX(SPOT_Import!$A$1:$Z$2488,678,'Live Data'!$C$18)),"")</f>
        <v>222</v>
      </c>
      <c r="H678" s="54" t="str">
        <f>IFERROR(IF(INDEX(SPOT_Import!$A$1:$Z$2488,678,'Live Data'!$C$19)="","",INDEX(SPOT_Import!$A$1:$Z$2488,678,'Live Data'!$C$19)),"")</f>
        <v/>
      </c>
      <c r="I678" s="54" t="str">
        <f>IFERROR(IF(INDEX(SPOT_Import!$A$1:$Z$2488,678,'Live Data'!$C$20)="","",INDEX(SPOT_Import!$A$1:$Z$2488,678,'Live Data'!$C$20)),"")</f>
        <v>Complete</v>
      </c>
      <c r="J678" s="54" t="str">
        <f>IFERROR(IF(INDEX(SPOT_Import!$A$1:$Z$2488,678,'Live Data'!$C$21)="","",INDEX(SPOT_Import!$A$1:$Z$2488,678,'Live Data'!$C$21)),"")</f>
        <v>2023-02-03T10:22:10.000Z</v>
      </c>
      <c r="K678" s="54" t="str">
        <f>IFERROR(IF(INDEX(SPOT_Import!$A$1:$Z$2488,678,'Live Data'!$C$22)="","",INDEX(SPOT_Import!$A$1:$Z$2488,678,'Live Data'!$C$22)),"")</f>
        <v>2023-02-03T10:22:10.000Z</v>
      </c>
      <c r="L678" s="55" t="str">
        <f t="shared" si="20"/>
        <v>2023-02</v>
      </c>
      <c r="M678" s="55" t="str">
        <f t="shared" si="21"/>
        <v>MERU</v>
      </c>
      <c r="N678" s="55" t="str">
        <f>IF(A678="","",IFERROR(INDEX('Cluster Map'!$A$4:$A$38,MATCH(M678,'Cluster Map'!$B$4:$B$38,0)),"Unmapped"))</f>
        <v>Cluster 1</v>
      </c>
      <c r="O678" s="55">
        <f>IF(A678="",0,IF(COUNTIFS($A$2:A678,A678,$F$2:F678,F678,$L$2:L678,L678)=1,1,0))</f>
        <v>1</v>
      </c>
      <c r="P678" s="55">
        <f>IF(A678="",0,IF(AND(F678="C&amp;T",COUNTIFS($A$2:A678,A678,$F$2:F678,"C&amp;T")=1),1,0))</f>
        <v>0</v>
      </c>
    </row>
    <row r="679" spans="1:16" x14ac:dyDescent="0.35">
      <c r="A679" s="54">
        <f>IFERROR(IF(INDEX(SPOT_Import!$A$1:$Z$2488,679,'Live Data'!$C$12)="","",INDEX(SPOT_Import!$A$1:$Z$2488,679,'Live Data'!$C$12)),"")</f>
        <v>10509</v>
      </c>
      <c r="B679" s="54" t="str">
        <f>IFERROR(IF(INDEX(SPOT_Import!$A$1:$Z$2488,679,'Live Data'!$C$13)="","",INDEX(SPOT_Import!$A$1:$Z$2488,679,'Live Data'!$C$13)),"")</f>
        <v>Kasuku Health Centre</v>
      </c>
      <c r="C679" s="54" t="str">
        <f>IFERROR(IF(INDEX(SPOT_Import!$A$1:$Z$2488,679,'Live Data'!$C$14)="","",INDEX(SPOT_Import!$A$1:$Z$2488,679,'Live Data'!$C$14)),"")</f>
        <v>NYANDARUA</v>
      </c>
      <c r="D679" s="54" t="str">
        <f>IFERROR(IF(INDEX(SPOT_Import!$A$1:$Z$2488,679,'Live Data'!$C$15)="","",INDEX(SPOT_Import!$A$1:$Z$2488,679,'Live Data'!$C$15)),"")</f>
        <v>Oljororok</v>
      </c>
      <c r="E679" s="54" t="str">
        <f>IFERROR(IF(INDEX(SPOT_Import!$A$1:$Z$2488,679,'Live Data'!$C$16)="","",INDEX(SPOT_Import!$A$1:$Z$2488,679,'Live Data'!$C$16)),"")</f>
        <v>USAID Jamii Tekelezi</v>
      </c>
      <c r="F679" s="54" t="str">
        <f>IFERROR(IF(INDEX(SPOT_Import!$A$1:$Z$2488,679,'Live Data'!$C$17)="","",INDEX(SPOT_Import!$A$1:$Z$2488,679,'Live Data'!$C$17)),"")</f>
        <v>PKV</v>
      </c>
      <c r="G679" s="54">
        <f>IFERROR(IF(INDEX(SPOT_Import!$A$1:$Z$2488,679,'Live Data'!$C$18)="","",INDEX(SPOT_Import!$A$1:$Z$2488,679,'Live Data'!$C$18)),"")</f>
        <v>2660</v>
      </c>
      <c r="H679" s="54" t="str">
        <f>IFERROR(IF(INDEX(SPOT_Import!$A$1:$Z$2488,679,'Live Data'!$C$19)="","",INDEX(SPOT_Import!$A$1:$Z$2488,679,'Live Data'!$C$19)),"")</f>
        <v/>
      </c>
      <c r="I679" s="54" t="str">
        <f>IFERROR(IF(INDEX(SPOT_Import!$A$1:$Z$2488,679,'Live Data'!$C$20)="","",INDEX(SPOT_Import!$A$1:$Z$2488,679,'Live Data'!$C$20)),"")</f>
        <v>Complete</v>
      </c>
      <c r="J679" s="54" t="str">
        <f>IFERROR(IF(INDEX(SPOT_Import!$A$1:$Z$2488,679,'Live Data'!$C$21)="","",INDEX(SPOT_Import!$A$1:$Z$2488,679,'Live Data'!$C$21)),"")</f>
        <v>2023-02-03T09:40:56.000Z</v>
      </c>
      <c r="K679" s="54" t="str">
        <f>IFERROR(IF(INDEX(SPOT_Import!$A$1:$Z$2488,679,'Live Data'!$C$22)="","",INDEX(SPOT_Import!$A$1:$Z$2488,679,'Live Data'!$C$22)),"")</f>
        <v>2023-02-03T09:40:56.000Z</v>
      </c>
      <c r="L679" s="55" t="str">
        <f t="shared" si="20"/>
        <v>2023-02</v>
      </c>
      <c r="M679" s="55" t="str">
        <f t="shared" si="21"/>
        <v>NYANDARUA</v>
      </c>
      <c r="N679" s="55" t="str">
        <f>IF(A679="","",IFERROR(INDEX('Cluster Map'!$A$4:$A$38,MATCH(M679,'Cluster Map'!$B$4:$B$38,0)),"Unmapped"))</f>
        <v>Cluster 4</v>
      </c>
      <c r="O679" s="55">
        <f>IF(A679="",0,IF(COUNTIFS($A$2:A679,A679,$F$2:F679,F679,$L$2:L679,L679)=1,1,0))</f>
        <v>1</v>
      </c>
      <c r="P679" s="55">
        <f>IF(A679="",0,IF(AND(F679="C&amp;T",COUNTIFS($A$2:A679,A679,$F$2:F679,"C&amp;T")=1),1,0))</f>
        <v>0</v>
      </c>
    </row>
    <row r="680" spans="1:16" x14ac:dyDescent="0.35">
      <c r="A680" s="54">
        <f>IFERROR(IF(INDEX(SPOT_Import!$A$1:$Z$2488,680,'Live Data'!$C$12)="","",INDEX(SPOT_Import!$A$1:$Z$2488,680,'Live Data'!$C$12)),"")</f>
        <v>12666</v>
      </c>
      <c r="B680" s="54" t="str">
        <f>IFERROR(IF(INDEX(SPOT_Import!$A$1:$Z$2488,680,'Live Data'!$C$13)="","",INDEX(SPOT_Import!$A$1:$Z$2488,680,'Live Data'!$C$13)),"")</f>
        <v>Nkubu Dispensary</v>
      </c>
      <c r="C680" s="54" t="str">
        <f>IFERROR(IF(INDEX(SPOT_Import!$A$1:$Z$2488,680,'Live Data'!$C$14)="","",INDEX(SPOT_Import!$A$1:$Z$2488,680,'Live Data'!$C$14)),"")</f>
        <v>MERU</v>
      </c>
      <c r="D680" s="54" t="str">
        <f>IFERROR(IF(INDEX(SPOT_Import!$A$1:$Z$2488,680,'Live Data'!$C$15)="","",INDEX(SPOT_Import!$A$1:$Z$2488,680,'Live Data'!$C$15)),"")</f>
        <v>Imenti South</v>
      </c>
      <c r="E680" s="54" t="str">
        <f>IFERROR(IF(INDEX(SPOT_Import!$A$1:$Z$2488,680,'Live Data'!$C$16)="","",INDEX(SPOT_Import!$A$1:$Z$2488,680,'Live Data'!$C$16)),"")</f>
        <v>USAID Jamii Tekelezi</v>
      </c>
      <c r="F680" s="54" t="str">
        <f>IFERROR(IF(INDEX(SPOT_Import!$A$1:$Z$2488,680,'Live Data'!$C$17)="","",INDEX(SPOT_Import!$A$1:$Z$2488,680,'Live Data'!$C$17)),"")</f>
        <v>PKV</v>
      </c>
      <c r="G680" s="54">
        <f>IFERROR(IF(INDEX(SPOT_Import!$A$1:$Z$2488,680,'Live Data'!$C$18)="","",INDEX(SPOT_Import!$A$1:$Z$2488,680,'Live Data'!$C$18)),"")</f>
        <v>386</v>
      </c>
      <c r="H680" s="54">
        <f>IFERROR(IF(INDEX(SPOT_Import!$A$1:$Z$2488,680,'Live Data'!$C$19)="","",INDEX(SPOT_Import!$A$1:$Z$2488,680,'Live Data'!$C$19)),"")</f>
        <v>150</v>
      </c>
      <c r="I680" s="54" t="str">
        <f>IFERROR(IF(INDEX(SPOT_Import!$A$1:$Z$2488,680,'Live Data'!$C$20)="","",INDEX(SPOT_Import!$A$1:$Z$2488,680,'Live Data'!$C$20)),"")</f>
        <v>Complete</v>
      </c>
      <c r="J680" s="54" t="str">
        <f>IFERROR(IF(INDEX(SPOT_Import!$A$1:$Z$2488,680,'Live Data'!$C$21)="","",INDEX(SPOT_Import!$A$1:$Z$2488,680,'Live Data'!$C$21)),"")</f>
        <v>2023-02-03T09:24:39.000Z</v>
      </c>
      <c r="K680" s="54" t="str">
        <f>IFERROR(IF(INDEX(SPOT_Import!$A$1:$Z$2488,680,'Live Data'!$C$22)="","",INDEX(SPOT_Import!$A$1:$Z$2488,680,'Live Data'!$C$22)),"")</f>
        <v>2023-02-03T09:24:39.000Z</v>
      </c>
      <c r="L680" s="55" t="str">
        <f t="shared" si="20"/>
        <v>2023-02</v>
      </c>
      <c r="M680" s="55" t="str">
        <f t="shared" si="21"/>
        <v>MERU</v>
      </c>
      <c r="N680" s="55" t="str">
        <f>IF(A680="","",IFERROR(INDEX('Cluster Map'!$A$4:$A$38,MATCH(M680,'Cluster Map'!$B$4:$B$38,0)),"Unmapped"))</f>
        <v>Cluster 1</v>
      </c>
      <c r="O680" s="55">
        <f>IF(A680="",0,IF(COUNTIFS($A$2:A680,A680,$F$2:F680,F680,$L$2:L680,L680)=1,1,0))</f>
        <v>1</v>
      </c>
      <c r="P680" s="55">
        <f>IF(A680="",0,IF(AND(F680="C&amp;T",COUNTIFS($A$2:A680,A680,$F$2:F680,"C&amp;T")=1),1,0))</f>
        <v>0</v>
      </c>
    </row>
    <row r="681" spans="1:16" x14ac:dyDescent="0.35">
      <c r="A681" s="54">
        <f>IFERROR(IF(INDEX(SPOT_Import!$A$1:$Z$2488,681,'Live Data'!$C$12)="","",INDEX(SPOT_Import!$A$1:$Z$2488,681,'Live Data'!$C$12)),"")</f>
        <v>12791</v>
      </c>
      <c r="B681" s="54" t="str">
        <f>IFERROR(IF(INDEX(SPOT_Import!$A$1:$Z$2488,681,'Live Data'!$C$13)="","",INDEX(SPOT_Import!$A$1:$Z$2488,681,'Live Data'!$C$13)),"")</f>
        <v>Acef Ena Health Centre</v>
      </c>
      <c r="C681" s="54" t="str">
        <f>IFERROR(IF(INDEX(SPOT_Import!$A$1:$Z$2488,681,'Live Data'!$C$14)="","",INDEX(SPOT_Import!$A$1:$Z$2488,681,'Live Data'!$C$14)),"")</f>
        <v>EMBU</v>
      </c>
      <c r="D681" s="54" t="str">
        <f>IFERROR(IF(INDEX(SPOT_Import!$A$1:$Z$2488,681,'Live Data'!$C$15)="","",INDEX(SPOT_Import!$A$1:$Z$2488,681,'Live Data'!$C$15)),"")</f>
        <v>Runyenjes</v>
      </c>
      <c r="E681" s="54" t="str">
        <f>IFERROR(IF(INDEX(SPOT_Import!$A$1:$Z$2488,681,'Live Data'!$C$16)="","",INDEX(SPOT_Import!$A$1:$Z$2488,681,'Live Data'!$C$16)),"")</f>
        <v>USAID Jamii Tekelezi</v>
      </c>
      <c r="F681" s="54" t="str">
        <f>IFERROR(IF(INDEX(SPOT_Import!$A$1:$Z$2488,681,'Live Data'!$C$17)="","",INDEX(SPOT_Import!$A$1:$Z$2488,681,'Live Data'!$C$17)),"")</f>
        <v>PKV</v>
      </c>
      <c r="G681" s="54">
        <f>IFERROR(IF(INDEX(SPOT_Import!$A$1:$Z$2488,681,'Live Data'!$C$18)="","",INDEX(SPOT_Import!$A$1:$Z$2488,681,'Live Data'!$C$18)),"")</f>
        <v>1567</v>
      </c>
      <c r="H681" s="54" t="str">
        <f>IFERROR(IF(INDEX(SPOT_Import!$A$1:$Z$2488,681,'Live Data'!$C$19)="","",INDEX(SPOT_Import!$A$1:$Z$2488,681,'Live Data'!$C$19)),"")</f>
        <v/>
      </c>
      <c r="I681" s="54" t="str">
        <f>IFERROR(IF(INDEX(SPOT_Import!$A$1:$Z$2488,681,'Live Data'!$C$20)="","",INDEX(SPOT_Import!$A$1:$Z$2488,681,'Live Data'!$C$20)),"")</f>
        <v>Complete</v>
      </c>
      <c r="J681" s="54" t="str">
        <f>IFERROR(IF(INDEX(SPOT_Import!$A$1:$Z$2488,681,'Live Data'!$C$21)="","",INDEX(SPOT_Import!$A$1:$Z$2488,681,'Live Data'!$C$21)),"")</f>
        <v>2023-02-03T09:12:47.000Z</v>
      </c>
      <c r="K681" s="54" t="str">
        <f>IFERROR(IF(INDEX(SPOT_Import!$A$1:$Z$2488,681,'Live Data'!$C$22)="","",INDEX(SPOT_Import!$A$1:$Z$2488,681,'Live Data'!$C$22)),"")</f>
        <v>2023-02-03T09:12:47.000Z</v>
      </c>
      <c r="L681" s="55" t="str">
        <f t="shared" si="20"/>
        <v>2023-02</v>
      </c>
      <c r="M681" s="55" t="str">
        <f t="shared" si="21"/>
        <v>EMBU</v>
      </c>
      <c r="N681" s="55" t="str">
        <f>IF(A681="","",IFERROR(INDEX('Cluster Map'!$A$4:$A$38,MATCH(M681,'Cluster Map'!$B$4:$B$38,0)),"Unmapped"))</f>
        <v>Cluster 2</v>
      </c>
      <c r="O681" s="55">
        <f>IF(A681="",0,IF(COUNTIFS($A$2:A681,A681,$F$2:F681,F681,$L$2:L681,L681)=1,1,0))</f>
        <v>1</v>
      </c>
      <c r="P681" s="55">
        <f>IF(A681="",0,IF(AND(F681="C&amp;T",COUNTIFS($A$2:A681,A681,$F$2:F681,"C&amp;T")=1),1,0))</f>
        <v>0</v>
      </c>
    </row>
    <row r="682" spans="1:16" x14ac:dyDescent="0.35">
      <c r="A682" s="54">
        <f>IFERROR(IF(INDEX(SPOT_Import!$A$1:$Z$2488,682,'Live Data'!$C$12)="","",INDEX(SPOT_Import!$A$1:$Z$2488,682,'Live Data'!$C$12)),"")</f>
        <v>12589</v>
      </c>
      <c r="B682" s="54" t="str">
        <f>IFERROR(IF(INDEX(SPOT_Import!$A$1:$Z$2488,682,'Live Data'!$C$13)="","",INDEX(SPOT_Import!$A$1:$Z$2488,682,'Live Data'!$C$13)),"")</f>
        <v>Muthambi Health Centre</v>
      </c>
      <c r="C682" s="54" t="str">
        <f>IFERROR(IF(INDEX(SPOT_Import!$A$1:$Z$2488,682,'Live Data'!$C$14)="","",INDEX(SPOT_Import!$A$1:$Z$2488,682,'Live Data'!$C$14)),"")</f>
        <v>THARAKA-NITHI</v>
      </c>
      <c r="D682" s="54" t="str">
        <f>IFERROR(IF(INDEX(SPOT_Import!$A$1:$Z$2488,682,'Live Data'!$C$15)="","",INDEX(SPOT_Import!$A$1:$Z$2488,682,'Live Data'!$C$15)),"")</f>
        <v>Muthambi</v>
      </c>
      <c r="E682" s="54" t="str">
        <f>IFERROR(IF(INDEX(SPOT_Import!$A$1:$Z$2488,682,'Live Data'!$C$16)="","",INDEX(SPOT_Import!$A$1:$Z$2488,682,'Live Data'!$C$16)),"")</f>
        <v>USAID Jamii Tekelezi</v>
      </c>
      <c r="F682" s="54" t="str">
        <f>IFERROR(IF(INDEX(SPOT_Import!$A$1:$Z$2488,682,'Live Data'!$C$17)="","",INDEX(SPOT_Import!$A$1:$Z$2488,682,'Live Data'!$C$17)),"")</f>
        <v>PKV</v>
      </c>
      <c r="G682" s="54">
        <f>IFERROR(IF(INDEX(SPOT_Import!$A$1:$Z$2488,682,'Live Data'!$C$18)="","",INDEX(SPOT_Import!$A$1:$Z$2488,682,'Live Data'!$C$18)),"")</f>
        <v>4056</v>
      </c>
      <c r="H682" s="54" t="str">
        <f>IFERROR(IF(INDEX(SPOT_Import!$A$1:$Z$2488,682,'Live Data'!$C$19)="","",INDEX(SPOT_Import!$A$1:$Z$2488,682,'Live Data'!$C$19)),"")</f>
        <v/>
      </c>
      <c r="I682" s="54" t="str">
        <f>IFERROR(IF(INDEX(SPOT_Import!$A$1:$Z$2488,682,'Live Data'!$C$20)="","",INDEX(SPOT_Import!$A$1:$Z$2488,682,'Live Data'!$C$20)),"")</f>
        <v>Complete</v>
      </c>
      <c r="J682" s="54" t="str">
        <f>IFERROR(IF(INDEX(SPOT_Import!$A$1:$Z$2488,682,'Live Data'!$C$21)="","",INDEX(SPOT_Import!$A$1:$Z$2488,682,'Live Data'!$C$21)),"")</f>
        <v>2023-02-03T06:46:21.000Z</v>
      </c>
      <c r="K682" s="54" t="str">
        <f>IFERROR(IF(INDEX(SPOT_Import!$A$1:$Z$2488,682,'Live Data'!$C$22)="","",INDEX(SPOT_Import!$A$1:$Z$2488,682,'Live Data'!$C$22)),"")</f>
        <v>2023-02-03T06:46:21.000Z</v>
      </c>
      <c r="L682" s="55" t="str">
        <f t="shared" si="20"/>
        <v>2023-02</v>
      </c>
      <c r="M682" s="55" t="str">
        <f t="shared" si="21"/>
        <v>THARAKA-NITHI</v>
      </c>
      <c r="N682" s="55" t="str">
        <f>IF(A682="","",IFERROR(INDEX('Cluster Map'!$A$4:$A$38,MATCH(M682,'Cluster Map'!$B$4:$B$38,0)),"Unmapped"))</f>
        <v>Cluster 2</v>
      </c>
      <c r="O682" s="55">
        <f>IF(A682="",0,IF(COUNTIFS($A$2:A682,A682,$F$2:F682,F682,$L$2:L682,L682)=1,1,0))</f>
        <v>1</v>
      </c>
      <c r="P682" s="55">
        <f>IF(A682="",0,IF(AND(F682="C&amp;T",COUNTIFS($A$2:A682,A682,$F$2:F682,"C&amp;T")=1),1,0))</f>
        <v>0</v>
      </c>
    </row>
    <row r="683" spans="1:16" x14ac:dyDescent="0.35">
      <c r="A683" s="54">
        <f>IFERROR(IF(INDEX(SPOT_Import!$A$1:$Z$2488,683,'Live Data'!$C$12)="","",INDEX(SPOT_Import!$A$1:$Z$2488,683,'Live Data'!$C$12)),"")</f>
        <v>12326</v>
      </c>
      <c r="B683" s="54" t="str">
        <f>IFERROR(IF(INDEX(SPOT_Import!$A$1:$Z$2488,683,'Live Data'!$C$13)="","",INDEX(SPOT_Import!$A$1:$Z$2488,683,'Live Data'!$C$13)),"")</f>
        <v>Kinoru Dispensary</v>
      </c>
      <c r="C683" s="54" t="str">
        <f>IFERROR(IF(INDEX(SPOT_Import!$A$1:$Z$2488,683,'Live Data'!$C$14)="","",INDEX(SPOT_Import!$A$1:$Z$2488,683,'Live Data'!$C$14)),"")</f>
        <v>MERU</v>
      </c>
      <c r="D683" s="54" t="str">
        <f>IFERROR(IF(INDEX(SPOT_Import!$A$1:$Z$2488,683,'Live Data'!$C$15)="","",INDEX(SPOT_Import!$A$1:$Z$2488,683,'Live Data'!$C$15)),"")</f>
        <v>Imenti North</v>
      </c>
      <c r="E683" s="54" t="str">
        <f>IFERROR(IF(INDEX(SPOT_Import!$A$1:$Z$2488,683,'Live Data'!$C$16)="","",INDEX(SPOT_Import!$A$1:$Z$2488,683,'Live Data'!$C$16)),"")</f>
        <v>USAID Jamii Tekelezi</v>
      </c>
      <c r="F683" s="54" t="str">
        <f>IFERROR(IF(INDEX(SPOT_Import!$A$1:$Z$2488,683,'Live Data'!$C$17)="","",INDEX(SPOT_Import!$A$1:$Z$2488,683,'Live Data'!$C$17)),"")</f>
        <v>PKV</v>
      </c>
      <c r="G683" s="54">
        <f>IFERROR(IF(INDEX(SPOT_Import!$A$1:$Z$2488,683,'Live Data'!$C$18)="","",INDEX(SPOT_Import!$A$1:$Z$2488,683,'Live Data'!$C$18)),"")</f>
        <v>934</v>
      </c>
      <c r="H683" s="54" t="str">
        <f>IFERROR(IF(INDEX(SPOT_Import!$A$1:$Z$2488,683,'Live Data'!$C$19)="","",INDEX(SPOT_Import!$A$1:$Z$2488,683,'Live Data'!$C$19)),"")</f>
        <v/>
      </c>
      <c r="I683" s="54" t="str">
        <f>IFERROR(IF(INDEX(SPOT_Import!$A$1:$Z$2488,683,'Live Data'!$C$20)="","",INDEX(SPOT_Import!$A$1:$Z$2488,683,'Live Data'!$C$20)),"")</f>
        <v>Complete</v>
      </c>
      <c r="J683" s="54" t="str">
        <f>IFERROR(IF(INDEX(SPOT_Import!$A$1:$Z$2488,683,'Live Data'!$C$21)="","",INDEX(SPOT_Import!$A$1:$Z$2488,683,'Live Data'!$C$21)),"")</f>
        <v>2023-02-02T16:13:46.000Z</v>
      </c>
      <c r="K683" s="54" t="str">
        <f>IFERROR(IF(INDEX(SPOT_Import!$A$1:$Z$2488,683,'Live Data'!$C$22)="","",INDEX(SPOT_Import!$A$1:$Z$2488,683,'Live Data'!$C$22)),"")</f>
        <v>2023-02-02T16:13:46.000Z</v>
      </c>
      <c r="L683" s="55" t="str">
        <f t="shared" si="20"/>
        <v>2023-02</v>
      </c>
      <c r="M683" s="55" t="str">
        <f t="shared" si="21"/>
        <v>MERU</v>
      </c>
      <c r="N683" s="55" t="str">
        <f>IF(A683="","",IFERROR(INDEX('Cluster Map'!$A$4:$A$38,MATCH(M683,'Cluster Map'!$B$4:$B$38,0)),"Unmapped"))</f>
        <v>Cluster 1</v>
      </c>
      <c r="O683" s="55">
        <f>IF(A683="",0,IF(COUNTIFS($A$2:A683,A683,$F$2:F683,F683,$L$2:L683,L683)=1,1,0))</f>
        <v>1</v>
      </c>
      <c r="P683" s="55">
        <f>IF(A683="",0,IF(AND(F683="C&amp;T",COUNTIFS($A$2:A683,A683,$F$2:F683,"C&amp;T")=1),1,0))</f>
        <v>0</v>
      </c>
    </row>
    <row r="684" spans="1:16" x14ac:dyDescent="0.35">
      <c r="A684" s="54">
        <f>IFERROR(IF(INDEX(SPOT_Import!$A$1:$Z$2488,684,'Live Data'!$C$12)="","",INDEX(SPOT_Import!$A$1:$Z$2488,684,'Live Data'!$C$12)),"")</f>
        <v>10829</v>
      </c>
      <c r="B684" s="54" t="str">
        <f>IFERROR(IF(INDEX(SPOT_Import!$A$1:$Z$2488,684,'Live Data'!$C$13)="","",INDEX(SPOT_Import!$A$1:$Z$2488,684,'Live Data'!$C$13)),"")</f>
        <v>Ndaragwa Health Centre</v>
      </c>
      <c r="C684" s="54" t="str">
        <f>IFERROR(IF(INDEX(SPOT_Import!$A$1:$Z$2488,684,'Live Data'!$C$14)="","",INDEX(SPOT_Import!$A$1:$Z$2488,684,'Live Data'!$C$14)),"")</f>
        <v>NYANDARUA</v>
      </c>
      <c r="D684" s="54" t="str">
        <f>IFERROR(IF(INDEX(SPOT_Import!$A$1:$Z$2488,684,'Live Data'!$C$15)="","",INDEX(SPOT_Import!$A$1:$Z$2488,684,'Live Data'!$C$15)),"")</f>
        <v>Ndaragwa</v>
      </c>
      <c r="E684" s="54" t="str">
        <f>IFERROR(IF(INDEX(SPOT_Import!$A$1:$Z$2488,684,'Live Data'!$C$16)="","",INDEX(SPOT_Import!$A$1:$Z$2488,684,'Live Data'!$C$16)),"")</f>
        <v>USAID Jamii Tekelezi</v>
      </c>
      <c r="F684" s="54" t="str">
        <f>IFERROR(IF(INDEX(SPOT_Import!$A$1:$Z$2488,684,'Live Data'!$C$17)="","",INDEX(SPOT_Import!$A$1:$Z$2488,684,'Live Data'!$C$17)),"")</f>
        <v>PKV</v>
      </c>
      <c r="G684" s="54">
        <f>IFERROR(IF(INDEX(SPOT_Import!$A$1:$Z$2488,684,'Live Data'!$C$18)="","",INDEX(SPOT_Import!$A$1:$Z$2488,684,'Live Data'!$C$18)),"")</f>
        <v>4400</v>
      </c>
      <c r="H684" s="54" t="str">
        <f>IFERROR(IF(INDEX(SPOT_Import!$A$1:$Z$2488,684,'Live Data'!$C$19)="","",INDEX(SPOT_Import!$A$1:$Z$2488,684,'Live Data'!$C$19)),"")</f>
        <v/>
      </c>
      <c r="I684" s="54" t="str">
        <f>IFERROR(IF(INDEX(SPOT_Import!$A$1:$Z$2488,684,'Live Data'!$C$20)="","",INDEX(SPOT_Import!$A$1:$Z$2488,684,'Live Data'!$C$20)),"")</f>
        <v>Complete</v>
      </c>
      <c r="J684" s="54" t="str">
        <f>IFERROR(IF(INDEX(SPOT_Import!$A$1:$Z$2488,684,'Live Data'!$C$21)="","",INDEX(SPOT_Import!$A$1:$Z$2488,684,'Live Data'!$C$21)),"")</f>
        <v>2023-02-02T15:29:29.000Z</v>
      </c>
      <c r="K684" s="54" t="str">
        <f>IFERROR(IF(INDEX(SPOT_Import!$A$1:$Z$2488,684,'Live Data'!$C$22)="","",INDEX(SPOT_Import!$A$1:$Z$2488,684,'Live Data'!$C$22)),"")</f>
        <v>2023-02-02T15:29:29.000Z</v>
      </c>
      <c r="L684" s="55" t="str">
        <f t="shared" si="20"/>
        <v>2023-02</v>
      </c>
      <c r="M684" s="55" t="str">
        <f t="shared" si="21"/>
        <v>NYANDARUA</v>
      </c>
      <c r="N684" s="55" t="str">
        <f>IF(A684="","",IFERROR(INDEX('Cluster Map'!$A$4:$A$38,MATCH(M684,'Cluster Map'!$B$4:$B$38,0)),"Unmapped"))</f>
        <v>Cluster 4</v>
      </c>
      <c r="O684" s="55">
        <f>IF(A684="",0,IF(COUNTIFS($A$2:A684,A684,$F$2:F684,F684,$L$2:L684,L684)=1,1,0))</f>
        <v>1</v>
      </c>
      <c r="P684" s="55">
        <f>IF(A684="",0,IF(AND(F684="C&amp;T",COUNTIFS($A$2:A684,A684,$F$2:F684,"C&amp;T")=1),1,0))</f>
        <v>0</v>
      </c>
    </row>
    <row r="685" spans="1:16" x14ac:dyDescent="0.35">
      <c r="A685" s="54">
        <f>IFERROR(IF(INDEX(SPOT_Import!$A$1:$Z$2488,685,'Live Data'!$C$12)="","",INDEX(SPOT_Import!$A$1:$Z$2488,685,'Live Data'!$C$12)),"")</f>
        <v>16234</v>
      </c>
      <c r="B685" s="54" t="str">
        <f>IFERROR(IF(INDEX(SPOT_Import!$A$1:$Z$2488,685,'Live Data'!$C$13)="","",INDEX(SPOT_Import!$A$1:$Z$2488,685,'Live Data'!$C$13)),"")</f>
        <v>Miathene District Hospital</v>
      </c>
      <c r="C685" s="54" t="str">
        <f>IFERROR(IF(INDEX(SPOT_Import!$A$1:$Z$2488,685,'Live Data'!$C$14)="","",INDEX(SPOT_Import!$A$1:$Z$2488,685,'Live Data'!$C$14)),"")</f>
        <v>MERU</v>
      </c>
      <c r="D685" s="54" t="str">
        <f>IFERROR(IF(INDEX(SPOT_Import!$A$1:$Z$2488,685,'Live Data'!$C$15)="","",INDEX(SPOT_Import!$A$1:$Z$2488,685,'Live Data'!$C$15)),"")</f>
        <v>Tigania West</v>
      </c>
      <c r="E685" s="54" t="str">
        <f>IFERROR(IF(INDEX(SPOT_Import!$A$1:$Z$2488,685,'Live Data'!$C$16)="","",INDEX(SPOT_Import!$A$1:$Z$2488,685,'Live Data'!$C$16)),"")</f>
        <v>USAID Jamii Tekelezi</v>
      </c>
      <c r="F685" s="54" t="str">
        <f>IFERROR(IF(INDEX(SPOT_Import!$A$1:$Z$2488,685,'Live Data'!$C$17)="","",INDEX(SPOT_Import!$A$1:$Z$2488,685,'Live Data'!$C$17)),"")</f>
        <v>PKV</v>
      </c>
      <c r="G685" s="54">
        <f>IFERROR(IF(INDEX(SPOT_Import!$A$1:$Z$2488,685,'Live Data'!$C$18)="","",INDEX(SPOT_Import!$A$1:$Z$2488,685,'Live Data'!$C$18)),"")</f>
        <v>2221</v>
      </c>
      <c r="H685" s="54">
        <f>IFERROR(IF(INDEX(SPOT_Import!$A$1:$Z$2488,685,'Live Data'!$C$19)="","",INDEX(SPOT_Import!$A$1:$Z$2488,685,'Live Data'!$C$19)),"")</f>
        <v>13154</v>
      </c>
      <c r="I685" s="54" t="str">
        <f>IFERROR(IF(INDEX(SPOT_Import!$A$1:$Z$2488,685,'Live Data'!$C$20)="","",INDEX(SPOT_Import!$A$1:$Z$2488,685,'Live Data'!$C$20)),"")</f>
        <v>Complete</v>
      </c>
      <c r="J685" s="54" t="str">
        <f>IFERROR(IF(INDEX(SPOT_Import!$A$1:$Z$2488,685,'Live Data'!$C$21)="","",INDEX(SPOT_Import!$A$1:$Z$2488,685,'Live Data'!$C$21)),"")</f>
        <v>2023-02-02T13:55:21.000Z</v>
      </c>
      <c r="K685" s="54" t="str">
        <f>IFERROR(IF(INDEX(SPOT_Import!$A$1:$Z$2488,685,'Live Data'!$C$22)="","",INDEX(SPOT_Import!$A$1:$Z$2488,685,'Live Data'!$C$22)),"")</f>
        <v>2023-02-02T13:55:21.000Z</v>
      </c>
      <c r="L685" s="55" t="str">
        <f t="shared" si="20"/>
        <v>2023-02</v>
      </c>
      <c r="M685" s="55" t="str">
        <f t="shared" si="21"/>
        <v>MERU</v>
      </c>
      <c r="N685" s="55" t="str">
        <f>IF(A685="","",IFERROR(INDEX('Cluster Map'!$A$4:$A$38,MATCH(M685,'Cluster Map'!$B$4:$B$38,0)),"Unmapped"))</f>
        <v>Cluster 1</v>
      </c>
      <c r="O685" s="55">
        <f>IF(A685="",0,IF(COUNTIFS($A$2:A685,A685,$F$2:F685,F685,$L$2:L685,L685)=1,1,0))</f>
        <v>1</v>
      </c>
      <c r="P685" s="55">
        <f>IF(A685="",0,IF(AND(F685="C&amp;T",COUNTIFS($A$2:A685,A685,$F$2:F685,"C&amp;T")=1),1,0))</f>
        <v>0</v>
      </c>
    </row>
    <row r="686" spans="1:16" x14ac:dyDescent="0.35">
      <c r="A686" s="54">
        <f>IFERROR(IF(INDEX(SPOT_Import!$A$1:$Z$2488,686,'Live Data'!$C$12)="","",INDEX(SPOT_Import!$A$1:$Z$2488,686,'Live Data'!$C$12)),"")</f>
        <v>16466</v>
      </c>
      <c r="B686" s="54" t="str">
        <f>IFERROR(IF(INDEX(SPOT_Import!$A$1:$Z$2488,686,'Live Data'!$C$13)="","",INDEX(SPOT_Import!$A$1:$Z$2488,686,'Live Data'!$C$13)),"")</f>
        <v>Kiritiri Health Centre</v>
      </c>
      <c r="C686" s="54" t="str">
        <f>IFERROR(IF(INDEX(SPOT_Import!$A$1:$Z$2488,686,'Live Data'!$C$14)="","",INDEX(SPOT_Import!$A$1:$Z$2488,686,'Live Data'!$C$14)),"")</f>
        <v>EMBU</v>
      </c>
      <c r="D686" s="54" t="str">
        <f>IFERROR(IF(INDEX(SPOT_Import!$A$1:$Z$2488,686,'Live Data'!$C$15)="","",INDEX(SPOT_Import!$A$1:$Z$2488,686,'Live Data'!$C$15)),"")</f>
        <v>Mbeere South</v>
      </c>
      <c r="E686" s="54" t="str">
        <f>IFERROR(IF(INDEX(SPOT_Import!$A$1:$Z$2488,686,'Live Data'!$C$16)="","",INDEX(SPOT_Import!$A$1:$Z$2488,686,'Live Data'!$C$16)),"")</f>
        <v>USAID Jamii Tekelezi</v>
      </c>
      <c r="F686" s="54" t="str">
        <f>IFERROR(IF(INDEX(SPOT_Import!$A$1:$Z$2488,686,'Live Data'!$C$17)="","",INDEX(SPOT_Import!$A$1:$Z$2488,686,'Live Data'!$C$17)),"")</f>
        <v>PKV</v>
      </c>
      <c r="G686" s="54">
        <f>IFERROR(IF(INDEX(SPOT_Import!$A$1:$Z$2488,686,'Live Data'!$C$18)="","",INDEX(SPOT_Import!$A$1:$Z$2488,686,'Live Data'!$C$18)),"")</f>
        <v>1352</v>
      </c>
      <c r="H686" s="54" t="str">
        <f>IFERROR(IF(INDEX(SPOT_Import!$A$1:$Z$2488,686,'Live Data'!$C$19)="","",INDEX(SPOT_Import!$A$1:$Z$2488,686,'Live Data'!$C$19)),"")</f>
        <v/>
      </c>
      <c r="I686" s="54" t="str">
        <f>IFERROR(IF(INDEX(SPOT_Import!$A$1:$Z$2488,686,'Live Data'!$C$20)="","",INDEX(SPOT_Import!$A$1:$Z$2488,686,'Live Data'!$C$20)),"")</f>
        <v>Complete</v>
      </c>
      <c r="J686" s="54" t="str">
        <f>IFERROR(IF(INDEX(SPOT_Import!$A$1:$Z$2488,686,'Live Data'!$C$21)="","",INDEX(SPOT_Import!$A$1:$Z$2488,686,'Live Data'!$C$21)),"")</f>
        <v>2023-02-02T13:40:15.000Z</v>
      </c>
      <c r="K686" s="54" t="str">
        <f>IFERROR(IF(INDEX(SPOT_Import!$A$1:$Z$2488,686,'Live Data'!$C$22)="","",INDEX(SPOT_Import!$A$1:$Z$2488,686,'Live Data'!$C$22)),"")</f>
        <v>2023-02-02T13:40:15.000Z</v>
      </c>
      <c r="L686" s="55" t="str">
        <f t="shared" si="20"/>
        <v>2023-02</v>
      </c>
      <c r="M686" s="55" t="str">
        <f t="shared" si="21"/>
        <v>EMBU</v>
      </c>
      <c r="N686" s="55" t="str">
        <f>IF(A686="","",IFERROR(INDEX('Cluster Map'!$A$4:$A$38,MATCH(M686,'Cluster Map'!$B$4:$B$38,0)),"Unmapped"))</f>
        <v>Cluster 2</v>
      </c>
      <c r="O686" s="55">
        <f>IF(A686="",0,IF(COUNTIFS($A$2:A686,A686,$F$2:F686,F686,$L$2:L686,L686)=1,1,0))</f>
        <v>1</v>
      </c>
      <c r="P686" s="55">
        <f>IF(A686="",0,IF(AND(F686="C&amp;T",COUNTIFS($A$2:A686,A686,$F$2:F686,"C&amp;T")=1),1,0))</f>
        <v>0</v>
      </c>
    </row>
    <row r="687" spans="1:16" x14ac:dyDescent="0.35">
      <c r="A687" s="54">
        <f>IFERROR(IF(INDEX(SPOT_Import!$A$1:$Z$2488,687,'Live Data'!$C$12)="","",INDEX(SPOT_Import!$A$1:$Z$2488,687,'Live Data'!$C$12)),"")</f>
        <v>10312</v>
      </c>
      <c r="B687" s="54" t="str">
        <f>IFERROR(IF(INDEX(SPOT_Import!$A$1:$Z$2488,687,'Live Data'!$C$13)="","",INDEX(SPOT_Import!$A$1:$Z$2488,687,'Live Data'!$C$13)),"")</f>
        <v>Heni Health Centre</v>
      </c>
      <c r="C687" s="54" t="str">
        <f>IFERROR(IF(INDEX(SPOT_Import!$A$1:$Z$2488,687,'Live Data'!$C$14)="","",INDEX(SPOT_Import!$A$1:$Z$2488,687,'Live Data'!$C$14)),"")</f>
        <v>NYANDARUA</v>
      </c>
      <c r="D687" s="54" t="str">
        <f>IFERROR(IF(INDEX(SPOT_Import!$A$1:$Z$2488,687,'Live Data'!$C$15)="","",INDEX(SPOT_Import!$A$1:$Z$2488,687,'Live Data'!$C$15)),"")</f>
        <v>Kinangop</v>
      </c>
      <c r="E687" s="54" t="str">
        <f>IFERROR(IF(INDEX(SPOT_Import!$A$1:$Z$2488,687,'Live Data'!$C$16)="","",INDEX(SPOT_Import!$A$1:$Z$2488,687,'Live Data'!$C$16)),"")</f>
        <v>USAID Jamii Tekelezi</v>
      </c>
      <c r="F687" s="54" t="str">
        <f>IFERROR(IF(INDEX(SPOT_Import!$A$1:$Z$2488,687,'Live Data'!$C$17)="","",INDEX(SPOT_Import!$A$1:$Z$2488,687,'Live Data'!$C$17)),"")</f>
        <v>PKV</v>
      </c>
      <c r="G687" s="54">
        <f>IFERROR(IF(INDEX(SPOT_Import!$A$1:$Z$2488,687,'Live Data'!$C$18)="","",INDEX(SPOT_Import!$A$1:$Z$2488,687,'Live Data'!$C$18)),"")</f>
        <v>1219</v>
      </c>
      <c r="H687" s="54" t="str">
        <f>IFERROR(IF(INDEX(SPOT_Import!$A$1:$Z$2488,687,'Live Data'!$C$19)="","",INDEX(SPOT_Import!$A$1:$Z$2488,687,'Live Data'!$C$19)),"")</f>
        <v/>
      </c>
      <c r="I687" s="54" t="str">
        <f>IFERROR(IF(INDEX(SPOT_Import!$A$1:$Z$2488,687,'Live Data'!$C$20)="","",INDEX(SPOT_Import!$A$1:$Z$2488,687,'Live Data'!$C$20)),"")</f>
        <v>Complete</v>
      </c>
      <c r="J687" s="54" t="str">
        <f>IFERROR(IF(INDEX(SPOT_Import!$A$1:$Z$2488,687,'Live Data'!$C$21)="","",INDEX(SPOT_Import!$A$1:$Z$2488,687,'Live Data'!$C$21)),"")</f>
        <v>2023-02-02T12:52:06.000Z</v>
      </c>
      <c r="K687" s="54" t="str">
        <f>IFERROR(IF(INDEX(SPOT_Import!$A$1:$Z$2488,687,'Live Data'!$C$22)="","",INDEX(SPOT_Import!$A$1:$Z$2488,687,'Live Data'!$C$22)),"")</f>
        <v>2023-02-02T12:52:06.000Z</v>
      </c>
      <c r="L687" s="55" t="str">
        <f t="shared" si="20"/>
        <v>2023-02</v>
      </c>
      <c r="M687" s="55" t="str">
        <f t="shared" si="21"/>
        <v>NYANDARUA</v>
      </c>
      <c r="N687" s="55" t="str">
        <f>IF(A687="","",IFERROR(INDEX('Cluster Map'!$A$4:$A$38,MATCH(M687,'Cluster Map'!$B$4:$B$38,0)),"Unmapped"))</f>
        <v>Cluster 4</v>
      </c>
      <c r="O687" s="55">
        <f>IF(A687="",0,IF(COUNTIFS($A$2:A687,A687,$F$2:F687,F687,$L$2:L687,L687)=1,1,0))</f>
        <v>1</v>
      </c>
      <c r="P687" s="55">
        <f>IF(A687="",0,IF(AND(F687="C&amp;T",COUNTIFS($A$2:A687,A687,$F$2:F687,"C&amp;T")=1),1,0))</f>
        <v>0</v>
      </c>
    </row>
    <row r="688" spans="1:16" x14ac:dyDescent="0.35">
      <c r="A688" s="54">
        <f>IFERROR(IF(INDEX(SPOT_Import!$A$1:$Z$2488,688,'Live Data'!$C$12)="","",INDEX(SPOT_Import!$A$1:$Z$2488,688,'Live Data'!$C$12)),"")</f>
        <v>12445</v>
      </c>
      <c r="B688" s="54" t="str">
        <f>IFERROR(IF(INDEX(SPOT_Import!$A$1:$Z$2488,688,'Live Data'!$C$13)="","",INDEX(SPOT_Import!$A$1:$Z$2488,688,'Live Data'!$C$13)),"")</f>
        <v>Magutuni District Hospital</v>
      </c>
      <c r="C688" s="54" t="str">
        <f>IFERROR(IF(INDEX(SPOT_Import!$A$1:$Z$2488,688,'Live Data'!$C$14)="","",INDEX(SPOT_Import!$A$1:$Z$2488,688,'Live Data'!$C$14)),"")</f>
        <v>THARAKA-NITHI</v>
      </c>
      <c r="D688" s="54" t="str">
        <f>IFERROR(IF(INDEX(SPOT_Import!$A$1:$Z$2488,688,'Live Data'!$C$15)="","",INDEX(SPOT_Import!$A$1:$Z$2488,688,'Live Data'!$C$15)),"")</f>
        <v>Mwimbi</v>
      </c>
      <c r="E688" s="54" t="str">
        <f>IFERROR(IF(INDEX(SPOT_Import!$A$1:$Z$2488,688,'Live Data'!$C$16)="","",INDEX(SPOT_Import!$A$1:$Z$2488,688,'Live Data'!$C$16)),"")</f>
        <v>USAID Jamii Tekelezi</v>
      </c>
      <c r="F688" s="54" t="str">
        <f>IFERROR(IF(INDEX(SPOT_Import!$A$1:$Z$2488,688,'Live Data'!$C$17)="","",INDEX(SPOT_Import!$A$1:$Z$2488,688,'Live Data'!$C$17)),"")</f>
        <v>PKV</v>
      </c>
      <c r="G688" s="54">
        <f>IFERROR(IF(INDEX(SPOT_Import!$A$1:$Z$2488,688,'Live Data'!$C$18)="","",INDEX(SPOT_Import!$A$1:$Z$2488,688,'Live Data'!$C$18)),"")</f>
        <v>3338</v>
      </c>
      <c r="H688" s="54">
        <f>IFERROR(IF(INDEX(SPOT_Import!$A$1:$Z$2488,688,'Live Data'!$C$19)="","",INDEX(SPOT_Import!$A$1:$Z$2488,688,'Live Data'!$C$19)),"")</f>
        <v>19611</v>
      </c>
      <c r="I688" s="54" t="str">
        <f>IFERROR(IF(INDEX(SPOT_Import!$A$1:$Z$2488,688,'Live Data'!$C$20)="","",INDEX(SPOT_Import!$A$1:$Z$2488,688,'Live Data'!$C$20)),"")</f>
        <v>Complete</v>
      </c>
      <c r="J688" s="54" t="str">
        <f>IFERROR(IF(INDEX(SPOT_Import!$A$1:$Z$2488,688,'Live Data'!$C$21)="","",INDEX(SPOT_Import!$A$1:$Z$2488,688,'Live Data'!$C$21)),"")</f>
        <v>2023-02-02T12:29:21.000Z</v>
      </c>
      <c r="K688" s="54" t="str">
        <f>IFERROR(IF(INDEX(SPOT_Import!$A$1:$Z$2488,688,'Live Data'!$C$22)="","",INDEX(SPOT_Import!$A$1:$Z$2488,688,'Live Data'!$C$22)),"")</f>
        <v>2023-02-02T12:29:21.000Z</v>
      </c>
      <c r="L688" s="55" t="str">
        <f t="shared" si="20"/>
        <v>2023-02</v>
      </c>
      <c r="M688" s="55" t="str">
        <f t="shared" si="21"/>
        <v>THARAKA-NITHI</v>
      </c>
      <c r="N688" s="55" t="str">
        <f>IF(A688="","",IFERROR(INDEX('Cluster Map'!$A$4:$A$38,MATCH(M688,'Cluster Map'!$B$4:$B$38,0)),"Unmapped"))</f>
        <v>Cluster 2</v>
      </c>
      <c r="O688" s="55">
        <f>IF(A688="",0,IF(COUNTIFS($A$2:A688,A688,$F$2:F688,F688,$L$2:L688,L688)=1,1,0))</f>
        <v>1</v>
      </c>
      <c r="P688" s="55">
        <f>IF(A688="",0,IF(AND(F688="C&amp;T",COUNTIFS($A$2:A688,A688,$F$2:F688,"C&amp;T")=1),1,0))</f>
        <v>0</v>
      </c>
    </row>
    <row r="689" spans="1:16" x14ac:dyDescent="0.35">
      <c r="A689" s="54">
        <f>IFERROR(IF(INDEX(SPOT_Import!$A$1:$Z$2488,689,'Live Data'!$C$12)="","",INDEX(SPOT_Import!$A$1:$Z$2488,689,'Live Data'!$C$12)),"")</f>
        <v>12036</v>
      </c>
      <c r="B689" s="54" t="str">
        <f>IFERROR(IF(INDEX(SPOT_Import!$A$1:$Z$2488,689,'Live Data'!$C$13)="","",INDEX(SPOT_Import!$A$1:$Z$2488,689,'Live Data'!$C$13)),"")</f>
        <v>Giaki Sub-District Hospital</v>
      </c>
      <c r="C689" s="54" t="str">
        <f>IFERROR(IF(INDEX(SPOT_Import!$A$1:$Z$2488,689,'Live Data'!$C$14)="","",INDEX(SPOT_Import!$A$1:$Z$2488,689,'Live Data'!$C$14)),"")</f>
        <v>MERU</v>
      </c>
      <c r="D689" s="54" t="str">
        <f>IFERROR(IF(INDEX(SPOT_Import!$A$1:$Z$2488,689,'Live Data'!$C$15)="","",INDEX(SPOT_Import!$A$1:$Z$2488,689,'Live Data'!$C$15)),"")</f>
        <v>Imenti North</v>
      </c>
      <c r="E689" s="54" t="str">
        <f>IFERROR(IF(INDEX(SPOT_Import!$A$1:$Z$2488,689,'Live Data'!$C$16)="","",INDEX(SPOT_Import!$A$1:$Z$2488,689,'Live Data'!$C$16)),"")</f>
        <v>USAID Jamii Tekelezi</v>
      </c>
      <c r="F689" s="54" t="str">
        <f>IFERROR(IF(INDEX(SPOT_Import!$A$1:$Z$2488,689,'Live Data'!$C$17)="","",INDEX(SPOT_Import!$A$1:$Z$2488,689,'Live Data'!$C$17)),"")</f>
        <v>PKV</v>
      </c>
      <c r="G689" s="54">
        <f>IFERROR(IF(INDEX(SPOT_Import!$A$1:$Z$2488,689,'Live Data'!$C$18)="","",INDEX(SPOT_Import!$A$1:$Z$2488,689,'Live Data'!$C$18)),"")</f>
        <v>8265</v>
      </c>
      <c r="H689" s="54">
        <f>IFERROR(IF(INDEX(SPOT_Import!$A$1:$Z$2488,689,'Live Data'!$C$19)="","",INDEX(SPOT_Import!$A$1:$Z$2488,689,'Live Data'!$C$19)),"")</f>
        <v>92099</v>
      </c>
      <c r="I689" s="54" t="str">
        <f>IFERROR(IF(INDEX(SPOT_Import!$A$1:$Z$2488,689,'Live Data'!$C$20)="","",INDEX(SPOT_Import!$A$1:$Z$2488,689,'Live Data'!$C$20)),"")</f>
        <v>Complete</v>
      </c>
      <c r="J689" s="54" t="str">
        <f>IFERROR(IF(INDEX(SPOT_Import!$A$1:$Z$2488,689,'Live Data'!$C$21)="","",INDEX(SPOT_Import!$A$1:$Z$2488,689,'Live Data'!$C$21)),"")</f>
        <v>2023-02-02T12:28:27.000Z</v>
      </c>
      <c r="K689" s="54" t="str">
        <f>IFERROR(IF(INDEX(SPOT_Import!$A$1:$Z$2488,689,'Live Data'!$C$22)="","",INDEX(SPOT_Import!$A$1:$Z$2488,689,'Live Data'!$C$22)),"")</f>
        <v>2023-02-02T12:28:27.000Z</v>
      </c>
      <c r="L689" s="55" t="str">
        <f t="shared" si="20"/>
        <v>2023-02</v>
      </c>
      <c r="M689" s="55" t="str">
        <f t="shared" si="21"/>
        <v>MERU</v>
      </c>
      <c r="N689" s="55" t="str">
        <f>IF(A689="","",IFERROR(INDEX('Cluster Map'!$A$4:$A$38,MATCH(M689,'Cluster Map'!$B$4:$B$38,0)),"Unmapped"))</f>
        <v>Cluster 1</v>
      </c>
      <c r="O689" s="55">
        <f>IF(A689="",0,IF(COUNTIFS($A$2:A689,A689,$F$2:F689,F689,$L$2:L689,L689)=1,1,0))</f>
        <v>1</v>
      </c>
      <c r="P689" s="55">
        <f>IF(A689="",0,IF(AND(F689="C&amp;T",COUNTIFS($A$2:A689,A689,$F$2:F689,"C&amp;T")=1),1,0))</f>
        <v>0</v>
      </c>
    </row>
    <row r="690" spans="1:16" x14ac:dyDescent="0.35">
      <c r="A690" s="54">
        <f>IFERROR(IF(INDEX(SPOT_Import!$A$1:$Z$2488,690,'Live Data'!$C$12)="","",INDEX(SPOT_Import!$A$1:$Z$2488,690,'Live Data'!$C$12)),"")</f>
        <v>12288</v>
      </c>
      <c r="B690" s="54" t="str">
        <f>IFERROR(IF(INDEX(SPOT_Import!$A$1:$Z$2488,690,'Live Data'!$C$13)="","",INDEX(SPOT_Import!$A$1:$Z$2488,690,'Live Data'!$C$13)),"")</f>
        <v>Kibugua Health Centre</v>
      </c>
      <c r="C690" s="54" t="str">
        <f>IFERROR(IF(INDEX(SPOT_Import!$A$1:$Z$2488,690,'Live Data'!$C$14)="","",INDEX(SPOT_Import!$A$1:$Z$2488,690,'Live Data'!$C$14)),"")</f>
        <v>THARAKA-NITHI</v>
      </c>
      <c r="D690" s="54" t="str">
        <f>IFERROR(IF(INDEX(SPOT_Import!$A$1:$Z$2488,690,'Live Data'!$C$15)="","",INDEX(SPOT_Import!$A$1:$Z$2488,690,'Live Data'!$C$15)),"")</f>
        <v>Chuka</v>
      </c>
      <c r="E690" s="54" t="str">
        <f>IFERROR(IF(INDEX(SPOT_Import!$A$1:$Z$2488,690,'Live Data'!$C$16)="","",INDEX(SPOT_Import!$A$1:$Z$2488,690,'Live Data'!$C$16)),"")</f>
        <v>USAID Jamii Tekelezi</v>
      </c>
      <c r="F690" s="54" t="str">
        <f>IFERROR(IF(INDEX(SPOT_Import!$A$1:$Z$2488,690,'Live Data'!$C$17)="","",INDEX(SPOT_Import!$A$1:$Z$2488,690,'Live Data'!$C$17)),"")</f>
        <v>PKV</v>
      </c>
      <c r="G690" s="54">
        <f>IFERROR(IF(INDEX(SPOT_Import!$A$1:$Z$2488,690,'Live Data'!$C$18)="","",INDEX(SPOT_Import!$A$1:$Z$2488,690,'Live Data'!$C$18)),"")</f>
        <v>1012</v>
      </c>
      <c r="H690" s="54" t="str">
        <f>IFERROR(IF(INDEX(SPOT_Import!$A$1:$Z$2488,690,'Live Data'!$C$19)="","",INDEX(SPOT_Import!$A$1:$Z$2488,690,'Live Data'!$C$19)),"")</f>
        <v/>
      </c>
      <c r="I690" s="54" t="str">
        <f>IFERROR(IF(INDEX(SPOT_Import!$A$1:$Z$2488,690,'Live Data'!$C$20)="","",INDEX(SPOT_Import!$A$1:$Z$2488,690,'Live Data'!$C$20)),"")</f>
        <v>Complete</v>
      </c>
      <c r="J690" s="54" t="str">
        <f>IFERROR(IF(INDEX(SPOT_Import!$A$1:$Z$2488,690,'Live Data'!$C$21)="","",INDEX(SPOT_Import!$A$1:$Z$2488,690,'Live Data'!$C$21)),"")</f>
        <v>2023-02-02T12:26:02.000Z</v>
      </c>
      <c r="K690" s="54" t="str">
        <f>IFERROR(IF(INDEX(SPOT_Import!$A$1:$Z$2488,690,'Live Data'!$C$22)="","",INDEX(SPOT_Import!$A$1:$Z$2488,690,'Live Data'!$C$22)),"")</f>
        <v>2023-02-02T12:26:02.000Z</v>
      </c>
      <c r="L690" s="55" t="str">
        <f t="shared" si="20"/>
        <v>2023-02</v>
      </c>
      <c r="M690" s="55" t="str">
        <f t="shared" si="21"/>
        <v>THARAKA-NITHI</v>
      </c>
      <c r="N690" s="55" t="str">
        <f>IF(A690="","",IFERROR(INDEX('Cluster Map'!$A$4:$A$38,MATCH(M690,'Cluster Map'!$B$4:$B$38,0)),"Unmapped"))</f>
        <v>Cluster 2</v>
      </c>
      <c r="O690" s="55">
        <f>IF(A690="",0,IF(COUNTIFS($A$2:A690,A690,$F$2:F690,F690,$L$2:L690,L690)=1,1,0))</f>
        <v>1</v>
      </c>
      <c r="P690" s="55">
        <f>IF(A690="",0,IF(AND(F690="C&amp;T",COUNTIFS($A$2:A690,A690,$F$2:F690,"C&amp;T")=1),1,0))</f>
        <v>0</v>
      </c>
    </row>
    <row r="691" spans="1:16" x14ac:dyDescent="0.35">
      <c r="A691" s="54">
        <f>IFERROR(IF(INDEX(SPOT_Import!$A$1:$Z$2488,691,'Live Data'!$C$12)="","",INDEX(SPOT_Import!$A$1:$Z$2488,691,'Live Data'!$C$12)),"")</f>
        <v>10171</v>
      </c>
      <c r="B691" s="54" t="str">
        <f>IFERROR(IF(INDEX(SPOT_Import!$A$1:$Z$2488,691,'Live Data'!$C$13)="","",INDEX(SPOT_Import!$A$1:$Z$2488,691,'Live Data'!$C$13)),"")</f>
        <v>Engineer District Hospital</v>
      </c>
      <c r="C691" s="54" t="str">
        <f>IFERROR(IF(INDEX(SPOT_Import!$A$1:$Z$2488,691,'Live Data'!$C$14)="","",INDEX(SPOT_Import!$A$1:$Z$2488,691,'Live Data'!$C$14)),"")</f>
        <v>NYANDARUA</v>
      </c>
      <c r="D691" s="54" t="str">
        <f>IFERROR(IF(INDEX(SPOT_Import!$A$1:$Z$2488,691,'Live Data'!$C$15)="","",INDEX(SPOT_Import!$A$1:$Z$2488,691,'Live Data'!$C$15)),"")</f>
        <v>Kinangop</v>
      </c>
      <c r="E691" s="54" t="str">
        <f>IFERROR(IF(INDEX(SPOT_Import!$A$1:$Z$2488,691,'Live Data'!$C$16)="","",INDEX(SPOT_Import!$A$1:$Z$2488,691,'Live Data'!$C$16)),"")</f>
        <v>USAID Jamii Tekelezi</v>
      </c>
      <c r="F691" s="54" t="str">
        <f>IFERROR(IF(INDEX(SPOT_Import!$A$1:$Z$2488,691,'Live Data'!$C$17)="","",INDEX(SPOT_Import!$A$1:$Z$2488,691,'Live Data'!$C$17)),"")</f>
        <v>PKV</v>
      </c>
      <c r="G691" s="54">
        <f>IFERROR(IF(INDEX(SPOT_Import!$A$1:$Z$2488,691,'Live Data'!$C$18)="","",INDEX(SPOT_Import!$A$1:$Z$2488,691,'Live Data'!$C$18)),"")</f>
        <v>8007</v>
      </c>
      <c r="H691" s="54" t="str">
        <f>IFERROR(IF(INDEX(SPOT_Import!$A$1:$Z$2488,691,'Live Data'!$C$19)="","",INDEX(SPOT_Import!$A$1:$Z$2488,691,'Live Data'!$C$19)),"")</f>
        <v/>
      </c>
      <c r="I691" s="54" t="str">
        <f>IFERROR(IF(INDEX(SPOT_Import!$A$1:$Z$2488,691,'Live Data'!$C$20)="","",INDEX(SPOT_Import!$A$1:$Z$2488,691,'Live Data'!$C$20)),"")</f>
        <v>Complete</v>
      </c>
      <c r="J691" s="54" t="str">
        <f>IFERROR(IF(INDEX(SPOT_Import!$A$1:$Z$2488,691,'Live Data'!$C$21)="","",INDEX(SPOT_Import!$A$1:$Z$2488,691,'Live Data'!$C$21)),"")</f>
        <v>2023-02-02T12:23:28.000Z</v>
      </c>
      <c r="K691" s="54" t="str">
        <f>IFERROR(IF(INDEX(SPOT_Import!$A$1:$Z$2488,691,'Live Data'!$C$22)="","",INDEX(SPOT_Import!$A$1:$Z$2488,691,'Live Data'!$C$22)),"")</f>
        <v>2023-02-02T12:23:28.000Z</v>
      </c>
      <c r="L691" s="55" t="str">
        <f t="shared" si="20"/>
        <v>2023-02</v>
      </c>
      <c r="M691" s="55" t="str">
        <f t="shared" si="21"/>
        <v>NYANDARUA</v>
      </c>
      <c r="N691" s="55" t="str">
        <f>IF(A691="","",IFERROR(INDEX('Cluster Map'!$A$4:$A$38,MATCH(M691,'Cluster Map'!$B$4:$B$38,0)),"Unmapped"))</f>
        <v>Cluster 4</v>
      </c>
      <c r="O691" s="55">
        <f>IF(A691="",0,IF(COUNTIFS($A$2:A691,A691,$F$2:F691,F691,$L$2:L691,L691)=1,1,0))</f>
        <v>1</v>
      </c>
      <c r="P691" s="55">
        <f>IF(A691="",0,IF(AND(F691="C&amp;T",COUNTIFS($A$2:A691,A691,$F$2:F691,"C&amp;T")=1),1,0))</f>
        <v>0</v>
      </c>
    </row>
    <row r="692" spans="1:16" x14ac:dyDescent="0.35">
      <c r="A692" s="54">
        <f>IFERROR(IF(INDEX(SPOT_Import!$A$1:$Z$2488,692,'Live Data'!$C$12)="","",INDEX(SPOT_Import!$A$1:$Z$2488,692,'Live Data'!$C$12)),"")</f>
        <v>12044</v>
      </c>
      <c r="B692" s="54" t="str">
        <f>IFERROR(IF(INDEX(SPOT_Import!$A$1:$Z$2488,692,'Live Data'!$C$13)="","",INDEX(SPOT_Import!$A$1:$Z$2488,692,'Live Data'!$C$13)),"")</f>
        <v>Gitoro Dispensary</v>
      </c>
      <c r="C692" s="54" t="str">
        <f>IFERROR(IF(INDEX(SPOT_Import!$A$1:$Z$2488,692,'Live Data'!$C$14)="","",INDEX(SPOT_Import!$A$1:$Z$2488,692,'Live Data'!$C$14)),"")</f>
        <v>MERU</v>
      </c>
      <c r="D692" s="54" t="str">
        <f>IFERROR(IF(INDEX(SPOT_Import!$A$1:$Z$2488,692,'Live Data'!$C$15)="","",INDEX(SPOT_Import!$A$1:$Z$2488,692,'Live Data'!$C$15)),"")</f>
        <v>Imenti North</v>
      </c>
      <c r="E692" s="54" t="str">
        <f>IFERROR(IF(INDEX(SPOT_Import!$A$1:$Z$2488,692,'Live Data'!$C$16)="","",INDEX(SPOT_Import!$A$1:$Z$2488,692,'Live Data'!$C$16)),"")</f>
        <v>USAID Jamii Tekelezi</v>
      </c>
      <c r="F692" s="54" t="str">
        <f>IFERROR(IF(INDEX(SPOT_Import!$A$1:$Z$2488,692,'Live Data'!$C$17)="","",INDEX(SPOT_Import!$A$1:$Z$2488,692,'Live Data'!$C$17)),"")</f>
        <v>PKV</v>
      </c>
      <c r="G692" s="54">
        <f>IFERROR(IF(INDEX(SPOT_Import!$A$1:$Z$2488,692,'Live Data'!$C$18)="","",INDEX(SPOT_Import!$A$1:$Z$2488,692,'Live Data'!$C$18)),"")</f>
        <v>557</v>
      </c>
      <c r="H692" s="54">
        <f>IFERROR(IF(INDEX(SPOT_Import!$A$1:$Z$2488,692,'Live Data'!$C$19)="","",INDEX(SPOT_Import!$A$1:$Z$2488,692,'Live Data'!$C$19)),"")</f>
        <v>3008</v>
      </c>
      <c r="I692" s="54" t="str">
        <f>IFERROR(IF(INDEX(SPOT_Import!$A$1:$Z$2488,692,'Live Data'!$C$20)="","",INDEX(SPOT_Import!$A$1:$Z$2488,692,'Live Data'!$C$20)),"")</f>
        <v>Complete</v>
      </c>
      <c r="J692" s="54" t="str">
        <f>IFERROR(IF(INDEX(SPOT_Import!$A$1:$Z$2488,692,'Live Data'!$C$21)="","",INDEX(SPOT_Import!$A$1:$Z$2488,692,'Live Data'!$C$21)),"")</f>
        <v>2023-02-02T10:57:03.000Z</v>
      </c>
      <c r="K692" s="54" t="str">
        <f>IFERROR(IF(INDEX(SPOT_Import!$A$1:$Z$2488,692,'Live Data'!$C$22)="","",INDEX(SPOT_Import!$A$1:$Z$2488,692,'Live Data'!$C$22)),"")</f>
        <v>2023-02-02T10:57:03.000Z</v>
      </c>
      <c r="L692" s="55" t="str">
        <f t="shared" si="20"/>
        <v>2023-02</v>
      </c>
      <c r="M692" s="55" t="str">
        <f t="shared" si="21"/>
        <v>MERU</v>
      </c>
      <c r="N692" s="55" t="str">
        <f>IF(A692="","",IFERROR(INDEX('Cluster Map'!$A$4:$A$38,MATCH(M692,'Cluster Map'!$B$4:$B$38,0)),"Unmapped"))</f>
        <v>Cluster 1</v>
      </c>
      <c r="O692" s="55">
        <f>IF(A692="",0,IF(COUNTIFS($A$2:A692,A692,$F$2:F692,F692,$L$2:L692,L692)=1,1,0))</f>
        <v>1</v>
      </c>
      <c r="P692" s="55">
        <f>IF(A692="",0,IF(AND(F692="C&amp;T",COUNTIFS($A$2:A692,A692,$F$2:F692,"C&amp;T")=1),1,0))</f>
        <v>0</v>
      </c>
    </row>
    <row r="693" spans="1:16" x14ac:dyDescent="0.35">
      <c r="A693" s="54">
        <f>IFERROR(IF(INDEX(SPOT_Import!$A$1:$Z$2488,693,'Live Data'!$C$12)="","",INDEX(SPOT_Import!$A$1:$Z$2488,693,'Live Data'!$C$12)),"")</f>
        <v>10732</v>
      </c>
      <c r="B693" s="54" t="str">
        <f>IFERROR(IF(INDEX(SPOT_Import!$A$1:$Z$2488,693,'Live Data'!$C$13)="","",INDEX(SPOT_Import!$A$1:$Z$2488,693,'Live Data'!$C$13)),"")</f>
        <v>Mirangine Health Centre</v>
      </c>
      <c r="C693" s="54" t="str">
        <f>IFERROR(IF(INDEX(SPOT_Import!$A$1:$Z$2488,693,'Live Data'!$C$14)="","",INDEX(SPOT_Import!$A$1:$Z$2488,693,'Live Data'!$C$14)),"")</f>
        <v>NYANDARUA</v>
      </c>
      <c r="D693" s="54" t="str">
        <f>IFERROR(IF(INDEX(SPOT_Import!$A$1:$Z$2488,693,'Live Data'!$C$15)="","",INDEX(SPOT_Import!$A$1:$Z$2488,693,'Live Data'!$C$15)),"")</f>
        <v>Olkalou</v>
      </c>
      <c r="E693" s="54" t="str">
        <f>IFERROR(IF(INDEX(SPOT_Import!$A$1:$Z$2488,693,'Live Data'!$C$16)="","",INDEX(SPOT_Import!$A$1:$Z$2488,693,'Live Data'!$C$16)),"")</f>
        <v>USAID Jamii Tekelezi</v>
      </c>
      <c r="F693" s="54" t="str">
        <f>IFERROR(IF(INDEX(SPOT_Import!$A$1:$Z$2488,693,'Live Data'!$C$17)="","",INDEX(SPOT_Import!$A$1:$Z$2488,693,'Live Data'!$C$17)),"")</f>
        <v>PKV</v>
      </c>
      <c r="G693" s="54">
        <f>IFERROR(IF(INDEX(SPOT_Import!$A$1:$Z$2488,693,'Live Data'!$C$18)="","",INDEX(SPOT_Import!$A$1:$Z$2488,693,'Live Data'!$C$18)),"")</f>
        <v>2262</v>
      </c>
      <c r="H693" s="54" t="str">
        <f>IFERROR(IF(INDEX(SPOT_Import!$A$1:$Z$2488,693,'Live Data'!$C$19)="","",INDEX(SPOT_Import!$A$1:$Z$2488,693,'Live Data'!$C$19)),"")</f>
        <v/>
      </c>
      <c r="I693" s="54" t="str">
        <f>IFERROR(IF(INDEX(SPOT_Import!$A$1:$Z$2488,693,'Live Data'!$C$20)="","",INDEX(SPOT_Import!$A$1:$Z$2488,693,'Live Data'!$C$20)),"")</f>
        <v>Complete</v>
      </c>
      <c r="J693" s="54" t="str">
        <f>IFERROR(IF(INDEX(SPOT_Import!$A$1:$Z$2488,693,'Live Data'!$C$21)="","",INDEX(SPOT_Import!$A$1:$Z$2488,693,'Live Data'!$C$21)),"")</f>
        <v>2023-02-02T10:48:48.000Z</v>
      </c>
      <c r="K693" s="54" t="str">
        <f>IFERROR(IF(INDEX(SPOT_Import!$A$1:$Z$2488,693,'Live Data'!$C$22)="","",INDEX(SPOT_Import!$A$1:$Z$2488,693,'Live Data'!$C$22)),"")</f>
        <v>2023-02-02T10:48:48.000Z</v>
      </c>
      <c r="L693" s="55" t="str">
        <f t="shared" si="20"/>
        <v>2023-02</v>
      </c>
      <c r="M693" s="55" t="str">
        <f t="shared" si="21"/>
        <v>NYANDARUA</v>
      </c>
      <c r="N693" s="55" t="str">
        <f>IF(A693="","",IFERROR(INDEX('Cluster Map'!$A$4:$A$38,MATCH(M693,'Cluster Map'!$B$4:$B$38,0)),"Unmapped"))</f>
        <v>Cluster 4</v>
      </c>
      <c r="O693" s="55">
        <f>IF(A693="",0,IF(COUNTIFS($A$2:A693,A693,$F$2:F693,F693,$L$2:L693,L693)=1,1,0))</f>
        <v>1</v>
      </c>
      <c r="P693" s="55">
        <f>IF(A693="",0,IF(AND(F693="C&amp;T",COUNTIFS($A$2:A693,A693,$F$2:F693,"C&amp;T")=1),1,0))</f>
        <v>0</v>
      </c>
    </row>
    <row r="694" spans="1:16" x14ac:dyDescent="0.35">
      <c r="A694" s="54">
        <f>IFERROR(IF(INDEX(SPOT_Import!$A$1:$Z$2488,694,'Live Data'!$C$12)="","",INDEX(SPOT_Import!$A$1:$Z$2488,694,'Live Data'!$C$12)),"")</f>
        <v>10657</v>
      </c>
      <c r="B694" s="54" t="str">
        <f>IFERROR(IF(INDEX(SPOT_Import!$A$1:$Z$2488,694,'Live Data'!$C$13)="","",INDEX(SPOT_Import!$A$1:$Z$2488,694,'Live Data'!$C$13)),"")</f>
        <v>Leshau Pondo Health Centre</v>
      </c>
      <c r="C694" s="54" t="str">
        <f>IFERROR(IF(INDEX(SPOT_Import!$A$1:$Z$2488,694,'Live Data'!$C$14)="","",INDEX(SPOT_Import!$A$1:$Z$2488,694,'Live Data'!$C$14)),"")</f>
        <v>NYANDARUA</v>
      </c>
      <c r="D694" s="54" t="str">
        <f>IFERROR(IF(INDEX(SPOT_Import!$A$1:$Z$2488,694,'Live Data'!$C$15)="","",INDEX(SPOT_Import!$A$1:$Z$2488,694,'Live Data'!$C$15)),"")</f>
        <v>Ndaragwa</v>
      </c>
      <c r="E694" s="54" t="str">
        <f>IFERROR(IF(INDEX(SPOT_Import!$A$1:$Z$2488,694,'Live Data'!$C$16)="","",INDEX(SPOT_Import!$A$1:$Z$2488,694,'Live Data'!$C$16)),"")</f>
        <v>USAID Jamii Tekelezi</v>
      </c>
      <c r="F694" s="54" t="str">
        <f>IFERROR(IF(INDEX(SPOT_Import!$A$1:$Z$2488,694,'Live Data'!$C$17)="","",INDEX(SPOT_Import!$A$1:$Z$2488,694,'Live Data'!$C$17)),"")</f>
        <v>PKV</v>
      </c>
      <c r="G694" s="54">
        <f>IFERROR(IF(INDEX(SPOT_Import!$A$1:$Z$2488,694,'Live Data'!$C$18)="","",INDEX(SPOT_Import!$A$1:$Z$2488,694,'Live Data'!$C$18)),"")</f>
        <v>540</v>
      </c>
      <c r="H694" s="54" t="str">
        <f>IFERROR(IF(INDEX(SPOT_Import!$A$1:$Z$2488,694,'Live Data'!$C$19)="","",INDEX(SPOT_Import!$A$1:$Z$2488,694,'Live Data'!$C$19)),"")</f>
        <v/>
      </c>
      <c r="I694" s="54" t="str">
        <f>IFERROR(IF(INDEX(SPOT_Import!$A$1:$Z$2488,694,'Live Data'!$C$20)="","",INDEX(SPOT_Import!$A$1:$Z$2488,694,'Live Data'!$C$20)),"")</f>
        <v>Complete</v>
      </c>
      <c r="J694" s="54" t="str">
        <f>IFERROR(IF(INDEX(SPOT_Import!$A$1:$Z$2488,694,'Live Data'!$C$21)="","",INDEX(SPOT_Import!$A$1:$Z$2488,694,'Live Data'!$C$21)),"")</f>
        <v>2023-02-02T10:28:58.000Z</v>
      </c>
      <c r="K694" s="54" t="str">
        <f>IFERROR(IF(INDEX(SPOT_Import!$A$1:$Z$2488,694,'Live Data'!$C$22)="","",INDEX(SPOT_Import!$A$1:$Z$2488,694,'Live Data'!$C$22)),"")</f>
        <v>2023-02-02T10:28:58.000Z</v>
      </c>
      <c r="L694" s="55" t="str">
        <f t="shared" si="20"/>
        <v>2023-02</v>
      </c>
      <c r="M694" s="55" t="str">
        <f t="shared" si="21"/>
        <v>NYANDARUA</v>
      </c>
      <c r="N694" s="55" t="str">
        <f>IF(A694="","",IFERROR(INDEX('Cluster Map'!$A$4:$A$38,MATCH(M694,'Cluster Map'!$B$4:$B$38,0)),"Unmapped"))</f>
        <v>Cluster 4</v>
      </c>
      <c r="O694" s="55">
        <f>IF(A694="",0,IF(COUNTIFS($A$2:A694,A694,$F$2:F694,F694,$L$2:L694,L694)=1,1,0))</f>
        <v>1</v>
      </c>
      <c r="P694" s="55">
        <f>IF(A694="",0,IF(AND(F694="C&amp;T",COUNTIFS($A$2:A694,A694,$F$2:F694,"C&amp;T")=1),1,0))</f>
        <v>0</v>
      </c>
    </row>
    <row r="695" spans="1:16" x14ac:dyDescent="0.35">
      <c r="A695" s="54">
        <f>IFERROR(IF(INDEX(SPOT_Import!$A$1:$Z$2488,695,'Live Data'!$C$12)="","",INDEX(SPOT_Import!$A$1:$Z$2488,695,'Live Data'!$C$12)),"")</f>
        <v>12274</v>
      </c>
      <c r="B695" s="54" t="str">
        <f>IFERROR(IF(INDEX(SPOT_Import!$A$1:$Z$2488,695,'Live Data'!$C$13)="","",INDEX(SPOT_Import!$A$1:$Z$2488,695,'Live Data'!$C$13)),"")</f>
        <v>Kiamuringa Dispensary</v>
      </c>
      <c r="C695" s="54" t="str">
        <f>IFERROR(IF(INDEX(SPOT_Import!$A$1:$Z$2488,695,'Live Data'!$C$14)="","",INDEX(SPOT_Import!$A$1:$Z$2488,695,'Live Data'!$C$14)),"")</f>
        <v>EMBU</v>
      </c>
      <c r="D695" s="54" t="str">
        <f>IFERROR(IF(INDEX(SPOT_Import!$A$1:$Z$2488,695,'Live Data'!$C$15)="","",INDEX(SPOT_Import!$A$1:$Z$2488,695,'Live Data'!$C$15)),"")</f>
        <v>Mbeere South</v>
      </c>
      <c r="E695" s="54" t="str">
        <f>IFERROR(IF(INDEX(SPOT_Import!$A$1:$Z$2488,695,'Live Data'!$C$16)="","",INDEX(SPOT_Import!$A$1:$Z$2488,695,'Live Data'!$C$16)),"")</f>
        <v>USAID Jamii Tekelezi</v>
      </c>
      <c r="F695" s="54" t="str">
        <f>IFERROR(IF(INDEX(SPOT_Import!$A$1:$Z$2488,695,'Live Data'!$C$17)="","",INDEX(SPOT_Import!$A$1:$Z$2488,695,'Live Data'!$C$17)),"")</f>
        <v>PKV</v>
      </c>
      <c r="G695" s="54">
        <f>IFERROR(IF(INDEX(SPOT_Import!$A$1:$Z$2488,695,'Live Data'!$C$18)="","",INDEX(SPOT_Import!$A$1:$Z$2488,695,'Live Data'!$C$18)),"")</f>
        <v>119</v>
      </c>
      <c r="H695" s="54" t="str">
        <f>IFERROR(IF(INDEX(SPOT_Import!$A$1:$Z$2488,695,'Live Data'!$C$19)="","",INDEX(SPOT_Import!$A$1:$Z$2488,695,'Live Data'!$C$19)),"")</f>
        <v/>
      </c>
      <c r="I695" s="54" t="str">
        <f>IFERROR(IF(INDEX(SPOT_Import!$A$1:$Z$2488,695,'Live Data'!$C$20)="","",INDEX(SPOT_Import!$A$1:$Z$2488,695,'Live Data'!$C$20)),"")</f>
        <v>Complete</v>
      </c>
      <c r="J695" s="54" t="str">
        <f>IFERROR(IF(INDEX(SPOT_Import!$A$1:$Z$2488,695,'Live Data'!$C$21)="","",INDEX(SPOT_Import!$A$1:$Z$2488,695,'Live Data'!$C$21)),"")</f>
        <v>2023-02-02T10:28:05.000Z</v>
      </c>
      <c r="K695" s="54" t="str">
        <f>IFERROR(IF(INDEX(SPOT_Import!$A$1:$Z$2488,695,'Live Data'!$C$22)="","",INDEX(SPOT_Import!$A$1:$Z$2488,695,'Live Data'!$C$22)),"")</f>
        <v>2023-02-02T10:28:05.000Z</v>
      </c>
      <c r="L695" s="55" t="str">
        <f t="shared" si="20"/>
        <v>2023-02</v>
      </c>
      <c r="M695" s="55" t="str">
        <f t="shared" si="21"/>
        <v>EMBU</v>
      </c>
      <c r="N695" s="55" t="str">
        <f>IF(A695="","",IFERROR(INDEX('Cluster Map'!$A$4:$A$38,MATCH(M695,'Cluster Map'!$B$4:$B$38,0)),"Unmapped"))</f>
        <v>Cluster 2</v>
      </c>
      <c r="O695" s="55">
        <f>IF(A695="",0,IF(COUNTIFS($A$2:A695,A695,$F$2:F695,F695,$L$2:L695,L695)=1,1,0))</f>
        <v>1</v>
      </c>
      <c r="P695" s="55">
        <f>IF(A695="",0,IF(AND(F695="C&amp;T",COUNTIFS($A$2:A695,A695,$F$2:F695,"C&amp;T")=1),1,0))</f>
        <v>0</v>
      </c>
    </row>
    <row r="696" spans="1:16" x14ac:dyDescent="0.35">
      <c r="A696" s="54">
        <f>IFERROR(IF(INDEX(SPOT_Import!$A$1:$Z$2488,696,'Live Data'!$C$12)="","",INDEX(SPOT_Import!$A$1:$Z$2488,696,'Live Data'!$C$12)),"")</f>
        <v>12802</v>
      </c>
      <c r="B696" s="54" t="str">
        <f>IFERROR(IF(INDEX(SPOT_Import!$A$1:$Z$2488,696,'Live Data'!$C$13)="","",INDEX(SPOT_Import!$A$1:$Z$2488,696,'Live Data'!$C$13)),"")</f>
        <v>Timau Sub-County Hospital</v>
      </c>
      <c r="C696" s="54" t="str">
        <f>IFERROR(IF(INDEX(SPOT_Import!$A$1:$Z$2488,696,'Live Data'!$C$14)="","",INDEX(SPOT_Import!$A$1:$Z$2488,696,'Live Data'!$C$14)),"")</f>
        <v>MERU</v>
      </c>
      <c r="D696" s="54" t="str">
        <f>IFERROR(IF(INDEX(SPOT_Import!$A$1:$Z$2488,696,'Live Data'!$C$15)="","",INDEX(SPOT_Import!$A$1:$Z$2488,696,'Live Data'!$C$15)),"")</f>
        <v>Buuri</v>
      </c>
      <c r="E696" s="54" t="str">
        <f>IFERROR(IF(INDEX(SPOT_Import!$A$1:$Z$2488,696,'Live Data'!$C$16)="","",INDEX(SPOT_Import!$A$1:$Z$2488,696,'Live Data'!$C$16)),"")</f>
        <v>USAID Jamii Tekelezi</v>
      </c>
      <c r="F696" s="54" t="str">
        <f>IFERROR(IF(INDEX(SPOT_Import!$A$1:$Z$2488,696,'Live Data'!$C$17)="","",INDEX(SPOT_Import!$A$1:$Z$2488,696,'Live Data'!$C$17)),"")</f>
        <v>PKV</v>
      </c>
      <c r="G696" s="54">
        <f>IFERROR(IF(INDEX(SPOT_Import!$A$1:$Z$2488,696,'Live Data'!$C$18)="","",INDEX(SPOT_Import!$A$1:$Z$2488,696,'Live Data'!$C$18)),"")</f>
        <v>1346</v>
      </c>
      <c r="H696" s="54">
        <f>IFERROR(IF(INDEX(SPOT_Import!$A$1:$Z$2488,696,'Live Data'!$C$19)="","",INDEX(SPOT_Import!$A$1:$Z$2488,696,'Live Data'!$C$19)),"")</f>
        <v>13526</v>
      </c>
      <c r="I696" s="54" t="str">
        <f>IFERROR(IF(INDEX(SPOT_Import!$A$1:$Z$2488,696,'Live Data'!$C$20)="","",INDEX(SPOT_Import!$A$1:$Z$2488,696,'Live Data'!$C$20)),"")</f>
        <v>Complete</v>
      </c>
      <c r="J696" s="54" t="str">
        <f>IFERROR(IF(INDEX(SPOT_Import!$A$1:$Z$2488,696,'Live Data'!$C$21)="","",INDEX(SPOT_Import!$A$1:$Z$2488,696,'Live Data'!$C$21)),"")</f>
        <v>2023-02-02T10:18:38.000Z</v>
      </c>
      <c r="K696" s="54" t="str">
        <f>IFERROR(IF(INDEX(SPOT_Import!$A$1:$Z$2488,696,'Live Data'!$C$22)="","",INDEX(SPOT_Import!$A$1:$Z$2488,696,'Live Data'!$C$22)),"")</f>
        <v>2023-02-02T10:18:38.000Z</v>
      </c>
      <c r="L696" s="55" t="str">
        <f t="shared" si="20"/>
        <v>2023-02</v>
      </c>
      <c r="M696" s="55" t="str">
        <f t="shared" si="21"/>
        <v>MERU</v>
      </c>
      <c r="N696" s="55" t="str">
        <f>IF(A696="","",IFERROR(INDEX('Cluster Map'!$A$4:$A$38,MATCH(M696,'Cluster Map'!$B$4:$B$38,0)),"Unmapped"))</f>
        <v>Cluster 1</v>
      </c>
      <c r="O696" s="55">
        <f>IF(A696="",0,IF(COUNTIFS($A$2:A696,A696,$F$2:F696,F696,$L$2:L696,L696)=1,1,0))</f>
        <v>1</v>
      </c>
      <c r="P696" s="55">
        <f>IF(A696="",0,IF(AND(F696="C&amp;T",COUNTIFS($A$2:A696,A696,$F$2:F696,"C&amp;T")=1),1,0))</f>
        <v>0</v>
      </c>
    </row>
    <row r="697" spans="1:16" x14ac:dyDescent="0.35">
      <c r="A697" s="54">
        <f>IFERROR(IF(INDEX(SPOT_Import!$A$1:$Z$2488,697,'Live Data'!$C$12)="","",INDEX(SPOT_Import!$A$1:$Z$2488,697,'Live Data'!$C$12)),"")</f>
        <v>10852</v>
      </c>
      <c r="B697" s="54" t="str">
        <f>IFERROR(IF(INDEX(SPOT_Import!$A$1:$Z$2488,697,'Live Data'!$C$13)="","",INDEX(SPOT_Import!$A$1:$Z$2488,697,'Live Data'!$C$13)),"")</f>
        <v>New Tumaini Health Centre</v>
      </c>
      <c r="C697" s="54" t="str">
        <f>IFERROR(IF(INDEX(SPOT_Import!$A$1:$Z$2488,697,'Live Data'!$C$14)="","",INDEX(SPOT_Import!$A$1:$Z$2488,697,'Live Data'!$C$14)),"")</f>
        <v>NYANDARUA</v>
      </c>
      <c r="D697" s="54" t="str">
        <f>IFERROR(IF(INDEX(SPOT_Import!$A$1:$Z$2488,697,'Live Data'!$C$15)="","",INDEX(SPOT_Import!$A$1:$Z$2488,697,'Live Data'!$C$15)),"")</f>
        <v>Olkalou</v>
      </c>
      <c r="E697" s="54" t="str">
        <f>IFERROR(IF(INDEX(SPOT_Import!$A$1:$Z$2488,697,'Live Data'!$C$16)="","",INDEX(SPOT_Import!$A$1:$Z$2488,697,'Live Data'!$C$16)),"")</f>
        <v>USAID Jamii Tekelezi</v>
      </c>
      <c r="F697" s="54" t="str">
        <f>IFERROR(IF(INDEX(SPOT_Import!$A$1:$Z$2488,697,'Live Data'!$C$17)="","",INDEX(SPOT_Import!$A$1:$Z$2488,697,'Live Data'!$C$17)),"")</f>
        <v>PKV</v>
      </c>
      <c r="G697" s="54">
        <f>IFERROR(IF(INDEX(SPOT_Import!$A$1:$Z$2488,697,'Live Data'!$C$18)="","",INDEX(SPOT_Import!$A$1:$Z$2488,697,'Live Data'!$C$18)),"")</f>
        <v>1559</v>
      </c>
      <c r="H697" s="54" t="str">
        <f>IFERROR(IF(INDEX(SPOT_Import!$A$1:$Z$2488,697,'Live Data'!$C$19)="","",INDEX(SPOT_Import!$A$1:$Z$2488,697,'Live Data'!$C$19)),"")</f>
        <v/>
      </c>
      <c r="I697" s="54" t="str">
        <f>IFERROR(IF(INDEX(SPOT_Import!$A$1:$Z$2488,697,'Live Data'!$C$20)="","",INDEX(SPOT_Import!$A$1:$Z$2488,697,'Live Data'!$C$20)),"")</f>
        <v>Complete</v>
      </c>
      <c r="J697" s="54" t="str">
        <f>IFERROR(IF(INDEX(SPOT_Import!$A$1:$Z$2488,697,'Live Data'!$C$21)="","",INDEX(SPOT_Import!$A$1:$Z$2488,697,'Live Data'!$C$21)),"")</f>
        <v>2023-02-02T10:04:05.000Z</v>
      </c>
      <c r="K697" s="54" t="str">
        <f>IFERROR(IF(INDEX(SPOT_Import!$A$1:$Z$2488,697,'Live Data'!$C$22)="","",INDEX(SPOT_Import!$A$1:$Z$2488,697,'Live Data'!$C$22)),"")</f>
        <v>2023-02-02T10:04:05.000Z</v>
      </c>
      <c r="L697" s="55" t="str">
        <f t="shared" si="20"/>
        <v>2023-02</v>
      </c>
      <c r="M697" s="55" t="str">
        <f t="shared" si="21"/>
        <v>NYANDARUA</v>
      </c>
      <c r="N697" s="55" t="str">
        <f>IF(A697="","",IFERROR(INDEX('Cluster Map'!$A$4:$A$38,MATCH(M697,'Cluster Map'!$B$4:$B$38,0)),"Unmapped"))</f>
        <v>Cluster 4</v>
      </c>
      <c r="O697" s="55">
        <f>IF(A697="",0,IF(COUNTIFS($A$2:A697,A697,$F$2:F697,F697,$L$2:L697,L697)=1,1,0))</f>
        <v>1</v>
      </c>
      <c r="P697" s="55">
        <f>IF(A697="",0,IF(AND(F697="C&amp;T",COUNTIFS($A$2:A697,A697,$F$2:F697,"C&amp;T")=1),1,0))</f>
        <v>0</v>
      </c>
    </row>
    <row r="698" spans="1:16" x14ac:dyDescent="0.35">
      <c r="A698" s="54">
        <f>IFERROR(IF(INDEX(SPOT_Import!$A$1:$Z$2488,698,'Live Data'!$C$12)="","",INDEX(SPOT_Import!$A$1:$Z$2488,698,'Live Data'!$C$12)),"")</f>
        <v>12500</v>
      </c>
      <c r="B698" s="54" t="str">
        <f>IFERROR(IF(INDEX(SPOT_Import!$A$1:$Z$2488,698,'Live Data'!$C$13)="","",INDEX(SPOT_Import!$A$1:$Z$2488,698,'Live Data'!$C$13)),"")</f>
        <v>Mbeu Sub-District Hospital</v>
      </c>
      <c r="C698" s="54" t="str">
        <f>IFERROR(IF(INDEX(SPOT_Import!$A$1:$Z$2488,698,'Live Data'!$C$14)="","",INDEX(SPOT_Import!$A$1:$Z$2488,698,'Live Data'!$C$14)),"")</f>
        <v>MERU</v>
      </c>
      <c r="D698" s="54" t="str">
        <f>IFERROR(IF(INDEX(SPOT_Import!$A$1:$Z$2488,698,'Live Data'!$C$15)="","",INDEX(SPOT_Import!$A$1:$Z$2488,698,'Live Data'!$C$15)),"")</f>
        <v>Tigania West</v>
      </c>
      <c r="E698" s="54" t="str">
        <f>IFERROR(IF(INDEX(SPOT_Import!$A$1:$Z$2488,698,'Live Data'!$C$16)="","",INDEX(SPOT_Import!$A$1:$Z$2488,698,'Live Data'!$C$16)),"")</f>
        <v>USAID Jamii Tekelezi</v>
      </c>
      <c r="F698" s="54" t="str">
        <f>IFERROR(IF(INDEX(SPOT_Import!$A$1:$Z$2488,698,'Live Data'!$C$17)="","",INDEX(SPOT_Import!$A$1:$Z$2488,698,'Live Data'!$C$17)),"")</f>
        <v>PKV</v>
      </c>
      <c r="G698" s="54">
        <f>IFERROR(IF(INDEX(SPOT_Import!$A$1:$Z$2488,698,'Live Data'!$C$18)="","",INDEX(SPOT_Import!$A$1:$Z$2488,698,'Live Data'!$C$18)),"")</f>
        <v>230</v>
      </c>
      <c r="H698" s="54" t="str">
        <f>IFERROR(IF(INDEX(SPOT_Import!$A$1:$Z$2488,698,'Live Data'!$C$19)="","",INDEX(SPOT_Import!$A$1:$Z$2488,698,'Live Data'!$C$19)),"")</f>
        <v/>
      </c>
      <c r="I698" s="54" t="str">
        <f>IFERROR(IF(INDEX(SPOT_Import!$A$1:$Z$2488,698,'Live Data'!$C$20)="","",INDEX(SPOT_Import!$A$1:$Z$2488,698,'Live Data'!$C$20)),"")</f>
        <v>Complete</v>
      </c>
      <c r="J698" s="54" t="str">
        <f>IFERROR(IF(INDEX(SPOT_Import!$A$1:$Z$2488,698,'Live Data'!$C$21)="","",INDEX(SPOT_Import!$A$1:$Z$2488,698,'Live Data'!$C$21)),"")</f>
        <v>2023-02-02T09:59:59.000Z</v>
      </c>
      <c r="K698" s="54" t="str">
        <f>IFERROR(IF(INDEX(SPOT_Import!$A$1:$Z$2488,698,'Live Data'!$C$22)="","",INDEX(SPOT_Import!$A$1:$Z$2488,698,'Live Data'!$C$22)),"")</f>
        <v>2023-02-02T09:59:59.000Z</v>
      </c>
      <c r="L698" s="55" t="str">
        <f t="shared" si="20"/>
        <v>2023-02</v>
      </c>
      <c r="M698" s="55" t="str">
        <f t="shared" si="21"/>
        <v>MERU</v>
      </c>
      <c r="N698" s="55" t="str">
        <f>IF(A698="","",IFERROR(INDEX('Cluster Map'!$A$4:$A$38,MATCH(M698,'Cluster Map'!$B$4:$B$38,0)),"Unmapped"))</f>
        <v>Cluster 1</v>
      </c>
      <c r="O698" s="55">
        <f>IF(A698="",0,IF(COUNTIFS($A$2:A698,A698,$F$2:F698,F698,$L$2:L698,L698)=1,1,0))</f>
        <v>1</v>
      </c>
      <c r="P698" s="55">
        <f>IF(A698="",0,IF(AND(F698="C&amp;T",COUNTIFS($A$2:A698,A698,$F$2:F698,"C&amp;T")=1),1,0))</f>
        <v>0</v>
      </c>
    </row>
    <row r="699" spans="1:16" x14ac:dyDescent="0.35">
      <c r="A699" s="54">
        <f>IFERROR(IF(INDEX(SPOT_Import!$A$1:$Z$2488,699,'Live Data'!$C$12)="","",INDEX(SPOT_Import!$A$1:$Z$2488,699,'Live Data'!$C$12)),"")</f>
        <v>16555</v>
      </c>
      <c r="B699" s="54" t="str">
        <f>IFERROR(IF(INDEX(SPOT_Import!$A$1:$Z$2488,699,'Live Data'!$C$13)="","",INDEX(SPOT_Import!$A$1:$Z$2488,699,'Live Data'!$C$13)),"")</f>
        <v>Theere Health Centre</v>
      </c>
      <c r="C699" s="54" t="str">
        <f>IFERROR(IF(INDEX(SPOT_Import!$A$1:$Z$2488,699,'Live Data'!$C$14)="","",INDEX(SPOT_Import!$A$1:$Z$2488,699,'Live Data'!$C$14)),"")</f>
        <v>MERU</v>
      </c>
      <c r="D699" s="54" t="str">
        <f>IFERROR(IF(INDEX(SPOT_Import!$A$1:$Z$2488,699,'Live Data'!$C$15)="","",INDEX(SPOT_Import!$A$1:$Z$2488,699,'Live Data'!$C$15)),"")</f>
        <v>Igembe North</v>
      </c>
      <c r="E699" s="54" t="str">
        <f>IFERROR(IF(INDEX(SPOT_Import!$A$1:$Z$2488,699,'Live Data'!$C$16)="","",INDEX(SPOT_Import!$A$1:$Z$2488,699,'Live Data'!$C$16)),"")</f>
        <v>USAID Jamii Tekelezi</v>
      </c>
      <c r="F699" s="54" t="str">
        <f>IFERROR(IF(INDEX(SPOT_Import!$A$1:$Z$2488,699,'Live Data'!$C$17)="","",INDEX(SPOT_Import!$A$1:$Z$2488,699,'Live Data'!$C$17)),"")</f>
        <v>PKV</v>
      </c>
      <c r="G699" s="54">
        <f>IFERROR(IF(INDEX(SPOT_Import!$A$1:$Z$2488,699,'Live Data'!$C$18)="","",INDEX(SPOT_Import!$A$1:$Z$2488,699,'Live Data'!$C$18)),"")</f>
        <v>316</v>
      </c>
      <c r="H699" s="54" t="str">
        <f>IFERROR(IF(INDEX(SPOT_Import!$A$1:$Z$2488,699,'Live Data'!$C$19)="","",INDEX(SPOT_Import!$A$1:$Z$2488,699,'Live Data'!$C$19)),"")</f>
        <v/>
      </c>
      <c r="I699" s="54" t="str">
        <f>IFERROR(IF(INDEX(SPOT_Import!$A$1:$Z$2488,699,'Live Data'!$C$20)="","",INDEX(SPOT_Import!$A$1:$Z$2488,699,'Live Data'!$C$20)),"")</f>
        <v>Complete</v>
      </c>
      <c r="J699" s="54" t="str">
        <f>IFERROR(IF(INDEX(SPOT_Import!$A$1:$Z$2488,699,'Live Data'!$C$21)="","",INDEX(SPOT_Import!$A$1:$Z$2488,699,'Live Data'!$C$21)),"")</f>
        <v>2023-02-02T08:38:41.000Z</v>
      </c>
      <c r="K699" s="54" t="str">
        <f>IFERROR(IF(INDEX(SPOT_Import!$A$1:$Z$2488,699,'Live Data'!$C$22)="","",INDEX(SPOT_Import!$A$1:$Z$2488,699,'Live Data'!$C$22)),"")</f>
        <v>2023-02-02T08:38:41.000Z</v>
      </c>
      <c r="L699" s="55" t="str">
        <f t="shared" si="20"/>
        <v>2023-02</v>
      </c>
      <c r="M699" s="55" t="str">
        <f t="shared" si="21"/>
        <v>MERU</v>
      </c>
      <c r="N699" s="55" t="str">
        <f>IF(A699="","",IFERROR(INDEX('Cluster Map'!$A$4:$A$38,MATCH(M699,'Cluster Map'!$B$4:$B$38,0)),"Unmapped"))</f>
        <v>Cluster 1</v>
      </c>
      <c r="O699" s="55">
        <f>IF(A699="",0,IF(COUNTIFS($A$2:A699,A699,$F$2:F699,F699,$L$2:L699,L699)=1,1,0))</f>
        <v>1</v>
      </c>
      <c r="P699" s="55">
        <f>IF(A699="",0,IF(AND(F699="C&amp;T",COUNTIFS($A$2:A699,A699,$F$2:F699,"C&amp;T")=1),1,0))</f>
        <v>0</v>
      </c>
    </row>
    <row r="700" spans="1:16" x14ac:dyDescent="0.35">
      <c r="A700" s="54">
        <f>IFERROR(IF(INDEX(SPOT_Import!$A$1:$Z$2488,700,'Live Data'!$C$12)="","",INDEX(SPOT_Import!$A$1:$Z$2488,700,'Live Data'!$C$12)),"")</f>
        <v>12132</v>
      </c>
      <c r="B700" s="54" t="str">
        <f>IFERROR(IF(INDEX(SPOT_Import!$A$1:$Z$2488,700,'Live Data'!$C$13)="","",INDEX(SPOT_Import!$A$1:$Z$2488,700,'Live Data'!$C$13)),"")</f>
        <v>Kajuki Health Centre</v>
      </c>
      <c r="C700" s="54" t="str">
        <f>IFERROR(IF(INDEX(SPOT_Import!$A$1:$Z$2488,700,'Live Data'!$C$14)="","",INDEX(SPOT_Import!$A$1:$Z$2488,700,'Live Data'!$C$14)),"")</f>
        <v>THARAKA-NITHI</v>
      </c>
      <c r="D700" s="54" t="str">
        <f>IFERROR(IF(INDEX(SPOT_Import!$A$1:$Z$2488,700,'Live Data'!$C$15)="","",INDEX(SPOT_Import!$A$1:$Z$2488,700,'Live Data'!$C$15)),"")</f>
        <v>Igambangombe</v>
      </c>
      <c r="E700" s="54" t="str">
        <f>IFERROR(IF(INDEX(SPOT_Import!$A$1:$Z$2488,700,'Live Data'!$C$16)="","",INDEX(SPOT_Import!$A$1:$Z$2488,700,'Live Data'!$C$16)),"")</f>
        <v>USAID Jamii Tekelezi</v>
      </c>
      <c r="F700" s="54" t="str">
        <f>IFERROR(IF(INDEX(SPOT_Import!$A$1:$Z$2488,700,'Live Data'!$C$17)="","",INDEX(SPOT_Import!$A$1:$Z$2488,700,'Live Data'!$C$17)),"")</f>
        <v>PKV</v>
      </c>
      <c r="G700" s="54">
        <f>IFERROR(IF(INDEX(SPOT_Import!$A$1:$Z$2488,700,'Live Data'!$C$18)="","",INDEX(SPOT_Import!$A$1:$Z$2488,700,'Live Data'!$C$18)),"")</f>
        <v>5349</v>
      </c>
      <c r="H700" s="54" t="str">
        <f>IFERROR(IF(INDEX(SPOT_Import!$A$1:$Z$2488,700,'Live Data'!$C$19)="","",INDEX(SPOT_Import!$A$1:$Z$2488,700,'Live Data'!$C$19)),"")</f>
        <v/>
      </c>
      <c r="I700" s="54" t="str">
        <f>IFERROR(IF(INDEX(SPOT_Import!$A$1:$Z$2488,700,'Live Data'!$C$20)="","",INDEX(SPOT_Import!$A$1:$Z$2488,700,'Live Data'!$C$20)),"")</f>
        <v>Complete</v>
      </c>
      <c r="J700" s="54" t="str">
        <f>IFERROR(IF(INDEX(SPOT_Import!$A$1:$Z$2488,700,'Live Data'!$C$21)="","",INDEX(SPOT_Import!$A$1:$Z$2488,700,'Live Data'!$C$21)),"")</f>
        <v>2023-02-02T08:33:38.000Z</v>
      </c>
      <c r="K700" s="54" t="str">
        <f>IFERROR(IF(INDEX(SPOT_Import!$A$1:$Z$2488,700,'Live Data'!$C$22)="","",INDEX(SPOT_Import!$A$1:$Z$2488,700,'Live Data'!$C$22)),"")</f>
        <v>2023-02-02T08:33:38.000Z</v>
      </c>
      <c r="L700" s="55" t="str">
        <f t="shared" si="20"/>
        <v>2023-02</v>
      </c>
      <c r="M700" s="55" t="str">
        <f t="shared" si="21"/>
        <v>THARAKA-NITHI</v>
      </c>
      <c r="N700" s="55" t="str">
        <f>IF(A700="","",IFERROR(INDEX('Cluster Map'!$A$4:$A$38,MATCH(M700,'Cluster Map'!$B$4:$B$38,0)),"Unmapped"))</f>
        <v>Cluster 2</v>
      </c>
      <c r="O700" s="55">
        <f>IF(A700="",0,IF(COUNTIFS($A$2:A700,A700,$F$2:F700,F700,$L$2:L700,L700)=1,1,0))</f>
        <v>1</v>
      </c>
      <c r="P700" s="55">
        <f>IF(A700="",0,IF(AND(F700="C&amp;T",COUNTIFS($A$2:A700,A700,$F$2:F700,"C&amp;T")=1),1,0))</f>
        <v>0</v>
      </c>
    </row>
    <row r="701" spans="1:16" x14ac:dyDescent="0.35">
      <c r="A701" s="54">
        <f>IFERROR(IF(INDEX(SPOT_Import!$A$1:$Z$2488,701,'Live Data'!$C$12)="","",INDEX(SPOT_Import!$A$1:$Z$2488,701,'Live Data'!$C$12)),"")</f>
        <v>11009</v>
      </c>
      <c r="B701" s="54" t="str">
        <f>IFERROR(IF(INDEX(SPOT_Import!$A$1:$Z$2488,701,'Live Data'!$C$13)="","",INDEX(SPOT_Import!$A$1:$Z$2488,701,'Live Data'!$C$13)),"")</f>
        <v>Silibwet Health Centre (Nyandarua West)</v>
      </c>
      <c r="C701" s="54" t="str">
        <f>IFERROR(IF(INDEX(SPOT_Import!$A$1:$Z$2488,701,'Live Data'!$C$14)="","",INDEX(SPOT_Import!$A$1:$Z$2488,701,'Live Data'!$C$14)),"")</f>
        <v>NYANDARUA</v>
      </c>
      <c r="D701" s="54" t="str">
        <f>IFERROR(IF(INDEX(SPOT_Import!$A$1:$Z$2488,701,'Live Data'!$C$15)="","",INDEX(SPOT_Import!$A$1:$Z$2488,701,'Live Data'!$C$15)),"")</f>
        <v>Oljororok</v>
      </c>
      <c r="E701" s="54" t="str">
        <f>IFERROR(IF(INDEX(SPOT_Import!$A$1:$Z$2488,701,'Live Data'!$C$16)="","",INDEX(SPOT_Import!$A$1:$Z$2488,701,'Live Data'!$C$16)),"")</f>
        <v>USAID Jamii Tekelezi</v>
      </c>
      <c r="F701" s="54" t="str">
        <f>IFERROR(IF(INDEX(SPOT_Import!$A$1:$Z$2488,701,'Live Data'!$C$17)="","",INDEX(SPOT_Import!$A$1:$Z$2488,701,'Live Data'!$C$17)),"")</f>
        <v>PKV</v>
      </c>
      <c r="G701" s="54">
        <f>IFERROR(IF(INDEX(SPOT_Import!$A$1:$Z$2488,701,'Live Data'!$C$18)="","",INDEX(SPOT_Import!$A$1:$Z$2488,701,'Live Data'!$C$18)),"")</f>
        <v>1080</v>
      </c>
      <c r="H701" s="54" t="str">
        <f>IFERROR(IF(INDEX(SPOT_Import!$A$1:$Z$2488,701,'Live Data'!$C$19)="","",INDEX(SPOT_Import!$A$1:$Z$2488,701,'Live Data'!$C$19)),"")</f>
        <v/>
      </c>
      <c r="I701" s="54" t="str">
        <f>IFERROR(IF(INDEX(SPOT_Import!$A$1:$Z$2488,701,'Live Data'!$C$20)="","",INDEX(SPOT_Import!$A$1:$Z$2488,701,'Live Data'!$C$20)),"")</f>
        <v>Complete</v>
      </c>
      <c r="J701" s="54" t="str">
        <f>IFERROR(IF(INDEX(SPOT_Import!$A$1:$Z$2488,701,'Live Data'!$C$21)="","",INDEX(SPOT_Import!$A$1:$Z$2488,701,'Live Data'!$C$21)),"")</f>
        <v>2023-02-02T07:21:25.000Z</v>
      </c>
      <c r="K701" s="54" t="str">
        <f>IFERROR(IF(INDEX(SPOT_Import!$A$1:$Z$2488,701,'Live Data'!$C$22)="","",INDEX(SPOT_Import!$A$1:$Z$2488,701,'Live Data'!$C$22)),"")</f>
        <v>2023-02-02T07:21:25.000Z</v>
      </c>
      <c r="L701" s="55" t="str">
        <f t="shared" si="20"/>
        <v>2023-02</v>
      </c>
      <c r="M701" s="55" t="str">
        <f t="shared" si="21"/>
        <v>NYANDARUA</v>
      </c>
      <c r="N701" s="55" t="str">
        <f>IF(A701="","",IFERROR(INDEX('Cluster Map'!$A$4:$A$38,MATCH(M701,'Cluster Map'!$B$4:$B$38,0)),"Unmapped"))</f>
        <v>Cluster 4</v>
      </c>
      <c r="O701" s="55">
        <f>IF(A701="",0,IF(COUNTIFS($A$2:A701,A701,$F$2:F701,F701,$L$2:L701,L701)=1,1,0))</f>
        <v>1</v>
      </c>
      <c r="P701" s="55">
        <f>IF(A701="",0,IF(AND(F701="C&amp;T",COUNTIFS($A$2:A701,A701,$F$2:F701,"C&amp;T")=1),1,0))</f>
        <v>0</v>
      </c>
    </row>
    <row r="702" spans="1:16" x14ac:dyDescent="0.35">
      <c r="A702" s="54">
        <f>IFERROR(IF(INDEX(SPOT_Import!$A$1:$Z$2488,702,'Live Data'!$C$12)="","",INDEX(SPOT_Import!$A$1:$Z$2488,702,'Live Data'!$C$12)),"")</f>
        <v>12303</v>
      </c>
      <c r="B702" s="54" t="str">
        <f>IFERROR(IF(INDEX(SPOT_Import!$A$1:$Z$2488,702,'Live Data'!$C$13)="","",INDEX(SPOT_Import!$A$1:$Z$2488,702,'Live Data'!$C$13)),"")</f>
        <v>St Theresa Hospital (Kiirua)</v>
      </c>
      <c r="C702" s="54" t="str">
        <f>IFERROR(IF(INDEX(SPOT_Import!$A$1:$Z$2488,702,'Live Data'!$C$14)="","",INDEX(SPOT_Import!$A$1:$Z$2488,702,'Live Data'!$C$14)),"")</f>
        <v>MERU</v>
      </c>
      <c r="D702" s="54" t="str">
        <f>IFERROR(IF(INDEX(SPOT_Import!$A$1:$Z$2488,702,'Live Data'!$C$15)="","",INDEX(SPOT_Import!$A$1:$Z$2488,702,'Live Data'!$C$15)),"")</f>
        <v>Buuri</v>
      </c>
      <c r="E702" s="54" t="str">
        <f>IFERROR(IF(INDEX(SPOT_Import!$A$1:$Z$2488,702,'Live Data'!$C$16)="","",INDEX(SPOT_Import!$A$1:$Z$2488,702,'Live Data'!$C$16)),"")</f>
        <v>USAID Jamii Tekelezi</v>
      </c>
      <c r="F702" s="54" t="str">
        <f>IFERROR(IF(INDEX(SPOT_Import!$A$1:$Z$2488,702,'Live Data'!$C$17)="","",INDEX(SPOT_Import!$A$1:$Z$2488,702,'Live Data'!$C$17)),"")</f>
        <v>PKV</v>
      </c>
      <c r="G702" s="54">
        <f>IFERROR(IF(INDEX(SPOT_Import!$A$1:$Z$2488,702,'Live Data'!$C$18)="","",INDEX(SPOT_Import!$A$1:$Z$2488,702,'Live Data'!$C$18)),"")</f>
        <v>2124</v>
      </c>
      <c r="H702" s="54">
        <f>IFERROR(IF(INDEX(SPOT_Import!$A$1:$Z$2488,702,'Live Data'!$C$19)="","",INDEX(SPOT_Import!$A$1:$Z$2488,702,'Live Data'!$C$19)),"")</f>
        <v>20066</v>
      </c>
      <c r="I702" s="54" t="str">
        <f>IFERROR(IF(INDEX(SPOT_Import!$A$1:$Z$2488,702,'Live Data'!$C$20)="","",INDEX(SPOT_Import!$A$1:$Z$2488,702,'Live Data'!$C$20)),"")</f>
        <v>Complete</v>
      </c>
      <c r="J702" s="54" t="str">
        <f>IFERROR(IF(INDEX(SPOT_Import!$A$1:$Z$2488,702,'Live Data'!$C$21)="","",INDEX(SPOT_Import!$A$1:$Z$2488,702,'Live Data'!$C$21)),"")</f>
        <v>2023-02-01T15:00:45.000Z</v>
      </c>
      <c r="K702" s="54" t="str">
        <f>IFERROR(IF(INDEX(SPOT_Import!$A$1:$Z$2488,702,'Live Data'!$C$22)="","",INDEX(SPOT_Import!$A$1:$Z$2488,702,'Live Data'!$C$22)),"")</f>
        <v>2023-02-01T15:00:45.000Z</v>
      </c>
      <c r="L702" s="55" t="str">
        <f t="shared" si="20"/>
        <v>2023-02</v>
      </c>
      <c r="M702" s="55" t="str">
        <f t="shared" si="21"/>
        <v>MERU</v>
      </c>
      <c r="N702" s="55" t="str">
        <f>IF(A702="","",IFERROR(INDEX('Cluster Map'!$A$4:$A$38,MATCH(M702,'Cluster Map'!$B$4:$B$38,0)),"Unmapped"))</f>
        <v>Cluster 1</v>
      </c>
      <c r="O702" s="55">
        <f>IF(A702="",0,IF(COUNTIFS($A$2:A702,A702,$F$2:F702,F702,$L$2:L702,L702)=1,1,0))</f>
        <v>1</v>
      </c>
      <c r="P702" s="55">
        <f>IF(A702="",0,IF(AND(F702="C&amp;T",COUNTIFS($A$2:A702,A702,$F$2:F702,"C&amp;T")=1),1,0))</f>
        <v>0</v>
      </c>
    </row>
    <row r="703" spans="1:16" x14ac:dyDescent="0.35">
      <c r="A703" s="54">
        <f>IFERROR(IF(INDEX(SPOT_Import!$A$1:$Z$2488,703,'Live Data'!$C$12)="","",INDEX(SPOT_Import!$A$1:$Z$2488,703,'Live Data'!$C$12)),"")</f>
        <v>12031</v>
      </c>
      <c r="B703" s="54" t="str">
        <f>IFERROR(IF(INDEX(SPOT_Import!$A$1:$Z$2488,703,'Live Data'!$C$13)="","",INDEX(SPOT_Import!$A$1:$Z$2488,703,'Live Data'!$C$13)),"")</f>
        <v>Gatimbi Health Centre</v>
      </c>
      <c r="C703" s="54" t="str">
        <f>IFERROR(IF(INDEX(SPOT_Import!$A$1:$Z$2488,703,'Live Data'!$C$14)="","",INDEX(SPOT_Import!$A$1:$Z$2488,703,'Live Data'!$C$14)),"")</f>
        <v>MERU</v>
      </c>
      <c r="D703" s="54" t="str">
        <f>IFERROR(IF(INDEX(SPOT_Import!$A$1:$Z$2488,703,'Live Data'!$C$15)="","",INDEX(SPOT_Import!$A$1:$Z$2488,703,'Live Data'!$C$15)),"")</f>
        <v>Imenti Central</v>
      </c>
      <c r="E703" s="54" t="str">
        <f>IFERROR(IF(INDEX(SPOT_Import!$A$1:$Z$2488,703,'Live Data'!$C$16)="","",INDEX(SPOT_Import!$A$1:$Z$2488,703,'Live Data'!$C$16)),"")</f>
        <v>USAID Jamii Tekelezi</v>
      </c>
      <c r="F703" s="54" t="str">
        <f>IFERROR(IF(INDEX(SPOT_Import!$A$1:$Z$2488,703,'Live Data'!$C$17)="","",INDEX(SPOT_Import!$A$1:$Z$2488,703,'Live Data'!$C$17)),"")</f>
        <v>PKV</v>
      </c>
      <c r="G703" s="54">
        <f>IFERROR(IF(INDEX(SPOT_Import!$A$1:$Z$2488,703,'Live Data'!$C$18)="","",INDEX(SPOT_Import!$A$1:$Z$2488,703,'Live Data'!$C$18)),"")</f>
        <v>266</v>
      </c>
      <c r="H703" s="54">
        <f>IFERROR(IF(INDEX(SPOT_Import!$A$1:$Z$2488,703,'Live Data'!$C$19)="","",INDEX(SPOT_Import!$A$1:$Z$2488,703,'Live Data'!$C$19)),"")</f>
        <v>211</v>
      </c>
      <c r="I703" s="54" t="str">
        <f>IFERROR(IF(INDEX(SPOT_Import!$A$1:$Z$2488,703,'Live Data'!$C$20)="","",INDEX(SPOT_Import!$A$1:$Z$2488,703,'Live Data'!$C$20)),"")</f>
        <v>Complete</v>
      </c>
      <c r="J703" s="54" t="str">
        <f>IFERROR(IF(INDEX(SPOT_Import!$A$1:$Z$2488,703,'Live Data'!$C$21)="","",INDEX(SPOT_Import!$A$1:$Z$2488,703,'Live Data'!$C$21)),"")</f>
        <v>2023-02-01T14:27:25.000Z</v>
      </c>
      <c r="K703" s="54" t="str">
        <f>IFERROR(IF(INDEX(SPOT_Import!$A$1:$Z$2488,703,'Live Data'!$C$22)="","",INDEX(SPOT_Import!$A$1:$Z$2488,703,'Live Data'!$C$22)),"")</f>
        <v>2023-02-01T14:27:25.000Z</v>
      </c>
      <c r="L703" s="55" t="str">
        <f t="shared" si="20"/>
        <v>2023-02</v>
      </c>
      <c r="M703" s="55" t="str">
        <f t="shared" si="21"/>
        <v>MERU</v>
      </c>
      <c r="N703" s="55" t="str">
        <f>IF(A703="","",IFERROR(INDEX('Cluster Map'!$A$4:$A$38,MATCH(M703,'Cluster Map'!$B$4:$B$38,0)),"Unmapped"))</f>
        <v>Cluster 1</v>
      </c>
      <c r="O703" s="55">
        <f>IF(A703="",0,IF(COUNTIFS($A$2:A703,A703,$F$2:F703,F703,$L$2:L703,L703)=1,1,0))</f>
        <v>1</v>
      </c>
      <c r="P703" s="55">
        <f>IF(A703="",0,IF(AND(F703="C&amp;T",COUNTIFS($A$2:A703,A703,$F$2:F703,"C&amp;T")=1),1,0))</f>
        <v>0</v>
      </c>
    </row>
    <row r="704" spans="1:16" x14ac:dyDescent="0.35">
      <c r="A704" s="54">
        <f>IFERROR(IF(INDEX(SPOT_Import!$A$1:$Z$2488,704,'Live Data'!$C$12)="","",INDEX(SPOT_Import!$A$1:$Z$2488,704,'Live Data'!$C$12)),"")</f>
        <v>18782</v>
      </c>
      <c r="B704" s="54" t="str">
        <f>IFERROR(IF(INDEX(SPOT_Import!$A$1:$Z$2488,704,'Live Data'!$C$13)="","",INDEX(SPOT_Import!$A$1:$Z$2488,704,'Live Data'!$C$13)),"")</f>
        <v>Chamuka Dispensary</v>
      </c>
      <c r="C704" s="54" t="str">
        <f>IFERROR(IF(INDEX(SPOT_Import!$A$1:$Z$2488,704,'Live Data'!$C$14)="","",INDEX(SPOT_Import!$A$1:$Z$2488,704,'Live Data'!$C$14)),"")</f>
        <v>NYANDARUA</v>
      </c>
      <c r="D704" s="54" t="str">
        <f>IFERROR(IF(INDEX(SPOT_Import!$A$1:$Z$2488,704,'Live Data'!$C$15)="","",INDEX(SPOT_Import!$A$1:$Z$2488,704,'Live Data'!$C$15)),"")</f>
        <v>Oljororok</v>
      </c>
      <c r="E704" s="54" t="str">
        <f>IFERROR(IF(INDEX(SPOT_Import!$A$1:$Z$2488,704,'Live Data'!$C$16)="","",INDEX(SPOT_Import!$A$1:$Z$2488,704,'Live Data'!$C$16)),"")</f>
        <v>USAID Jamii Tekelezi</v>
      </c>
      <c r="F704" s="54" t="str">
        <f>IFERROR(IF(INDEX(SPOT_Import!$A$1:$Z$2488,704,'Live Data'!$C$17)="","",INDEX(SPOT_Import!$A$1:$Z$2488,704,'Live Data'!$C$17)),"")</f>
        <v>PKV</v>
      </c>
      <c r="G704" s="54">
        <f>IFERROR(IF(INDEX(SPOT_Import!$A$1:$Z$2488,704,'Live Data'!$C$18)="","",INDEX(SPOT_Import!$A$1:$Z$2488,704,'Live Data'!$C$18)),"")</f>
        <v>806</v>
      </c>
      <c r="H704" s="54" t="str">
        <f>IFERROR(IF(INDEX(SPOT_Import!$A$1:$Z$2488,704,'Live Data'!$C$19)="","",INDEX(SPOT_Import!$A$1:$Z$2488,704,'Live Data'!$C$19)),"")</f>
        <v/>
      </c>
      <c r="I704" s="54" t="str">
        <f>IFERROR(IF(INDEX(SPOT_Import!$A$1:$Z$2488,704,'Live Data'!$C$20)="","",INDEX(SPOT_Import!$A$1:$Z$2488,704,'Live Data'!$C$20)),"")</f>
        <v>Complete</v>
      </c>
      <c r="J704" s="54" t="str">
        <f>IFERROR(IF(INDEX(SPOT_Import!$A$1:$Z$2488,704,'Live Data'!$C$21)="","",INDEX(SPOT_Import!$A$1:$Z$2488,704,'Live Data'!$C$21)),"")</f>
        <v>2023-02-01T12:48:06.000Z</v>
      </c>
      <c r="K704" s="54" t="str">
        <f>IFERROR(IF(INDEX(SPOT_Import!$A$1:$Z$2488,704,'Live Data'!$C$22)="","",INDEX(SPOT_Import!$A$1:$Z$2488,704,'Live Data'!$C$22)),"")</f>
        <v>2023-02-01T12:48:06.000Z</v>
      </c>
      <c r="L704" s="55" t="str">
        <f t="shared" si="20"/>
        <v>2023-02</v>
      </c>
      <c r="M704" s="55" t="str">
        <f t="shared" si="21"/>
        <v>NYANDARUA</v>
      </c>
      <c r="N704" s="55" t="str">
        <f>IF(A704="","",IFERROR(INDEX('Cluster Map'!$A$4:$A$38,MATCH(M704,'Cluster Map'!$B$4:$B$38,0)),"Unmapped"))</f>
        <v>Cluster 4</v>
      </c>
      <c r="O704" s="55">
        <f>IF(A704="",0,IF(COUNTIFS($A$2:A704,A704,$F$2:F704,F704,$L$2:L704,L704)=1,1,0))</f>
        <v>1</v>
      </c>
      <c r="P704" s="55">
        <f>IF(A704="",0,IF(AND(F704="C&amp;T",COUNTIFS($A$2:A704,A704,$F$2:F704,"C&amp;T")=1),1,0))</f>
        <v>0</v>
      </c>
    </row>
    <row r="705" spans="1:16" x14ac:dyDescent="0.35">
      <c r="A705" s="54">
        <f>IFERROR(IF(INDEX(SPOT_Import!$A$1:$Z$2488,705,'Live Data'!$C$12)="","",INDEX(SPOT_Import!$A$1:$Z$2488,705,'Live Data'!$C$12)),"")</f>
        <v>11942</v>
      </c>
      <c r="B705" s="54" t="str">
        <f>IFERROR(IF(INDEX(SPOT_Import!$A$1:$Z$2488,705,'Live Data'!$C$13)="","",INDEX(SPOT_Import!$A$1:$Z$2488,705,'Live Data'!$C$13)),"")</f>
        <v>Baragu Health Centre</v>
      </c>
      <c r="C705" s="54" t="str">
        <f>IFERROR(IF(INDEX(SPOT_Import!$A$1:$Z$2488,705,'Live Data'!$C$14)="","",INDEX(SPOT_Import!$A$1:$Z$2488,705,'Live Data'!$C$14)),"")</f>
        <v>THARAKA-NITHI</v>
      </c>
      <c r="D705" s="54" t="str">
        <f>IFERROR(IF(INDEX(SPOT_Import!$A$1:$Z$2488,705,'Live Data'!$C$15)="","",INDEX(SPOT_Import!$A$1:$Z$2488,705,'Live Data'!$C$15)),"")</f>
        <v>Mwimbi</v>
      </c>
      <c r="E705" s="54" t="str">
        <f>IFERROR(IF(INDEX(SPOT_Import!$A$1:$Z$2488,705,'Live Data'!$C$16)="","",INDEX(SPOT_Import!$A$1:$Z$2488,705,'Live Data'!$C$16)),"")</f>
        <v>USAID Jamii Tekelezi</v>
      </c>
      <c r="F705" s="54" t="str">
        <f>IFERROR(IF(INDEX(SPOT_Import!$A$1:$Z$2488,705,'Live Data'!$C$17)="","",INDEX(SPOT_Import!$A$1:$Z$2488,705,'Live Data'!$C$17)),"")</f>
        <v>PKV</v>
      </c>
      <c r="G705" s="54">
        <f>IFERROR(IF(INDEX(SPOT_Import!$A$1:$Z$2488,705,'Live Data'!$C$18)="","",INDEX(SPOT_Import!$A$1:$Z$2488,705,'Live Data'!$C$18)),"")</f>
        <v>799</v>
      </c>
      <c r="H705" s="54" t="str">
        <f>IFERROR(IF(INDEX(SPOT_Import!$A$1:$Z$2488,705,'Live Data'!$C$19)="","",INDEX(SPOT_Import!$A$1:$Z$2488,705,'Live Data'!$C$19)),"")</f>
        <v/>
      </c>
      <c r="I705" s="54" t="str">
        <f>IFERROR(IF(INDEX(SPOT_Import!$A$1:$Z$2488,705,'Live Data'!$C$20)="","",INDEX(SPOT_Import!$A$1:$Z$2488,705,'Live Data'!$C$20)),"")</f>
        <v>Complete</v>
      </c>
      <c r="J705" s="54" t="str">
        <f>IFERROR(IF(INDEX(SPOT_Import!$A$1:$Z$2488,705,'Live Data'!$C$21)="","",INDEX(SPOT_Import!$A$1:$Z$2488,705,'Live Data'!$C$21)),"")</f>
        <v>2023-02-01T12:27:27.000Z</v>
      </c>
      <c r="K705" s="54" t="str">
        <f>IFERROR(IF(INDEX(SPOT_Import!$A$1:$Z$2488,705,'Live Data'!$C$22)="","",INDEX(SPOT_Import!$A$1:$Z$2488,705,'Live Data'!$C$22)),"")</f>
        <v>2023-02-01T12:27:27.000Z</v>
      </c>
      <c r="L705" s="55" t="str">
        <f t="shared" si="20"/>
        <v>2023-02</v>
      </c>
      <c r="M705" s="55" t="str">
        <f t="shared" si="21"/>
        <v>THARAKA-NITHI</v>
      </c>
      <c r="N705" s="55" t="str">
        <f>IF(A705="","",IFERROR(INDEX('Cluster Map'!$A$4:$A$38,MATCH(M705,'Cluster Map'!$B$4:$B$38,0)),"Unmapped"))</f>
        <v>Cluster 2</v>
      </c>
      <c r="O705" s="55">
        <f>IF(A705="",0,IF(COUNTIFS($A$2:A705,A705,$F$2:F705,F705,$L$2:L705,L705)=1,1,0))</f>
        <v>1</v>
      </c>
      <c r="P705" s="55">
        <f>IF(A705="",0,IF(AND(F705="C&amp;T",COUNTIFS($A$2:A705,A705,$F$2:F705,"C&amp;T")=1),1,0))</f>
        <v>0</v>
      </c>
    </row>
    <row r="706" spans="1:16" x14ac:dyDescent="0.35">
      <c r="A706" s="54">
        <f>IFERROR(IF(INDEX(SPOT_Import!$A$1:$Z$2488,706,'Live Data'!$C$12)="","",INDEX(SPOT_Import!$A$1:$Z$2488,706,'Live Data'!$C$12)),"")</f>
        <v>12179</v>
      </c>
      <c r="B706" s="54" t="str">
        <f>IFERROR(IF(INDEX(SPOT_Import!$A$1:$Z$2488,706,'Live Data'!$C$13)="","",INDEX(SPOT_Import!$A$1:$Z$2488,706,'Live Data'!$C$13)),"")</f>
        <v>Kanja Health Centre</v>
      </c>
      <c r="C706" s="54" t="str">
        <f>IFERROR(IF(INDEX(SPOT_Import!$A$1:$Z$2488,706,'Live Data'!$C$14)="","",INDEX(SPOT_Import!$A$1:$Z$2488,706,'Live Data'!$C$14)),"")</f>
        <v>EMBU</v>
      </c>
      <c r="D706" s="54" t="str">
        <f>IFERROR(IF(INDEX(SPOT_Import!$A$1:$Z$2488,706,'Live Data'!$C$15)="","",INDEX(SPOT_Import!$A$1:$Z$2488,706,'Live Data'!$C$15)),"")</f>
        <v>Runyenjes</v>
      </c>
      <c r="E706" s="54" t="str">
        <f>IFERROR(IF(INDEX(SPOT_Import!$A$1:$Z$2488,706,'Live Data'!$C$16)="","",INDEX(SPOT_Import!$A$1:$Z$2488,706,'Live Data'!$C$16)),"")</f>
        <v>USAID Jamii Tekelezi</v>
      </c>
      <c r="F706" s="54" t="str">
        <f>IFERROR(IF(INDEX(SPOT_Import!$A$1:$Z$2488,706,'Live Data'!$C$17)="","",INDEX(SPOT_Import!$A$1:$Z$2488,706,'Live Data'!$C$17)),"")</f>
        <v>PKV</v>
      </c>
      <c r="G706" s="54">
        <f>IFERROR(IF(INDEX(SPOT_Import!$A$1:$Z$2488,706,'Live Data'!$C$18)="","",INDEX(SPOT_Import!$A$1:$Z$2488,706,'Live Data'!$C$18)),"")</f>
        <v>259</v>
      </c>
      <c r="H706" s="54" t="str">
        <f>IFERROR(IF(INDEX(SPOT_Import!$A$1:$Z$2488,706,'Live Data'!$C$19)="","",INDEX(SPOT_Import!$A$1:$Z$2488,706,'Live Data'!$C$19)),"")</f>
        <v/>
      </c>
      <c r="I706" s="54" t="str">
        <f>IFERROR(IF(INDEX(SPOT_Import!$A$1:$Z$2488,706,'Live Data'!$C$20)="","",INDEX(SPOT_Import!$A$1:$Z$2488,706,'Live Data'!$C$20)),"")</f>
        <v>Complete</v>
      </c>
      <c r="J706" s="54" t="str">
        <f>IFERROR(IF(INDEX(SPOT_Import!$A$1:$Z$2488,706,'Live Data'!$C$21)="","",INDEX(SPOT_Import!$A$1:$Z$2488,706,'Live Data'!$C$21)),"")</f>
        <v>2023-02-01T12:18:53.000Z</v>
      </c>
      <c r="K706" s="54" t="str">
        <f>IFERROR(IF(INDEX(SPOT_Import!$A$1:$Z$2488,706,'Live Data'!$C$22)="","",INDEX(SPOT_Import!$A$1:$Z$2488,706,'Live Data'!$C$22)),"")</f>
        <v>2023-02-01T12:18:53.000Z</v>
      </c>
      <c r="L706" s="55" t="str">
        <f t="shared" ref="L706:L769" si="22">IF(A706="","",IF(ISNUMBER(K706),TEXT(K706,"yyyy-mm"),LEFT(K706,7)))</f>
        <v>2023-02</v>
      </c>
      <c r="M706" s="55" t="str">
        <f t="shared" ref="M706:M769" si="23">IF(A706="","",UPPER(TRIM(SUBSTITUTE(C706," - ","-"))))</f>
        <v>EMBU</v>
      </c>
      <c r="N706" s="55" t="str">
        <f>IF(A706="","",IFERROR(INDEX('Cluster Map'!$A$4:$A$38,MATCH(M706,'Cluster Map'!$B$4:$B$38,0)),"Unmapped"))</f>
        <v>Cluster 2</v>
      </c>
      <c r="O706" s="55">
        <f>IF(A706="",0,IF(COUNTIFS($A$2:A706,A706,$F$2:F706,F706,$L$2:L706,L706)=1,1,0))</f>
        <v>1</v>
      </c>
      <c r="P706" s="55">
        <f>IF(A706="",0,IF(AND(F706="C&amp;T",COUNTIFS($A$2:A706,A706,$F$2:F706,"C&amp;T")=1),1,0))</f>
        <v>0</v>
      </c>
    </row>
    <row r="707" spans="1:16" x14ac:dyDescent="0.35">
      <c r="A707" s="54">
        <f>IFERROR(IF(INDEX(SPOT_Import!$A$1:$Z$2488,707,'Live Data'!$C$12)="","",INDEX(SPOT_Import!$A$1:$Z$2488,707,'Live Data'!$C$12)),"")</f>
        <v>12793</v>
      </c>
      <c r="B707" s="54" t="str">
        <f>IFERROR(IF(INDEX(SPOT_Import!$A$1:$Z$2488,707,'Live Data'!$C$13)="","",INDEX(SPOT_Import!$A$1:$Z$2488,707,'Live Data'!$C$13)),"")</f>
        <v>Thanantu Faith Clinic Dispensary</v>
      </c>
      <c r="C707" s="54" t="str">
        <f>IFERROR(IF(INDEX(SPOT_Import!$A$1:$Z$2488,707,'Live Data'!$C$14)="","",INDEX(SPOT_Import!$A$1:$Z$2488,707,'Live Data'!$C$14)),"")</f>
        <v>THARAKA-NITHI</v>
      </c>
      <c r="D707" s="54" t="str">
        <f>IFERROR(IF(INDEX(SPOT_Import!$A$1:$Z$2488,707,'Live Data'!$C$15)="","",INDEX(SPOT_Import!$A$1:$Z$2488,707,'Live Data'!$C$15)),"")</f>
        <v>Tharaka North</v>
      </c>
      <c r="E707" s="54" t="str">
        <f>IFERROR(IF(INDEX(SPOT_Import!$A$1:$Z$2488,707,'Live Data'!$C$16)="","",INDEX(SPOT_Import!$A$1:$Z$2488,707,'Live Data'!$C$16)),"")</f>
        <v>USAID Jamii Tekelezi</v>
      </c>
      <c r="F707" s="54" t="str">
        <f>IFERROR(IF(INDEX(SPOT_Import!$A$1:$Z$2488,707,'Live Data'!$C$17)="","",INDEX(SPOT_Import!$A$1:$Z$2488,707,'Live Data'!$C$17)),"")</f>
        <v>PKV</v>
      </c>
      <c r="G707" s="54">
        <f>IFERROR(IF(INDEX(SPOT_Import!$A$1:$Z$2488,707,'Live Data'!$C$18)="","",INDEX(SPOT_Import!$A$1:$Z$2488,707,'Live Data'!$C$18)),"")</f>
        <v>446</v>
      </c>
      <c r="H707" s="54" t="str">
        <f>IFERROR(IF(INDEX(SPOT_Import!$A$1:$Z$2488,707,'Live Data'!$C$19)="","",INDEX(SPOT_Import!$A$1:$Z$2488,707,'Live Data'!$C$19)),"")</f>
        <v/>
      </c>
      <c r="I707" s="54" t="str">
        <f>IFERROR(IF(INDEX(SPOT_Import!$A$1:$Z$2488,707,'Live Data'!$C$20)="","",INDEX(SPOT_Import!$A$1:$Z$2488,707,'Live Data'!$C$20)),"")</f>
        <v>Complete</v>
      </c>
      <c r="J707" s="54" t="str">
        <f>IFERROR(IF(INDEX(SPOT_Import!$A$1:$Z$2488,707,'Live Data'!$C$21)="","",INDEX(SPOT_Import!$A$1:$Z$2488,707,'Live Data'!$C$21)),"")</f>
        <v>2023-02-01T12:12:23.000Z</v>
      </c>
      <c r="K707" s="54" t="str">
        <f>IFERROR(IF(INDEX(SPOT_Import!$A$1:$Z$2488,707,'Live Data'!$C$22)="","",INDEX(SPOT_Import!$A$1:$Z$2488,707,'Live Data'!$C$22)),"")</f>
        <v>2023-02-01T12:12:23.000Z</v>
      </c>
      <c r="L707" s="55" t="str">
        <f t="shared" si="22"/>
        <v>2023-02</v>
      </c>
      <c r="M707" s="55" t="str">
        <f t="shared" si="23"/>
        <v>THARAKA-NITHI</v>
      </c>
      <c r="N707" s="55" t="str">
        <f>IF(A707="","",IFERROR(INDEX('Cluster Map'!$A$4:$A$38,MATCH(M707,'Cluster Map'!$B$4:$B$38,0)),"Unmapped"))</f>
        <v>Cluster 2</v>
      </c>
      <c r="O707" s="55">
        <f>IF(A707="",0,IF(COUNTIFS($A$2:A707,A707,$F$2:F707,F707,$L$2:L707,L707)=1,1,0))</f>
        <v>1</v>
      </c>
      <c r="P707" s="55">
        <f>IF(A707="",0,IF(AND(F707="C&amp;T",COUNTIFS($A$2:A707,A707,$F$2:F707,"C&amp;T")=1),1,0))</f>
        <v>0</v>
      </c>
    </row>
    <row r="708" spans="1:16" x14ac:dyDescent="0.35">
      <c r="A708" s="54">
        <f>IFERROR(IF(INDEX(SPOT_Import!$A$1:$Z$2488,708,'Live Data'!$C$12)="","",INDEX(SPOT_Import!$A$1:$Z$2488,708,'Live Data'!$C$12)),"")</f>
        <v>10786</v>
      </c>
      <c r="B708" s="54" t="str">
        <f>IFERROR(IF(INDEX(SPOT_Import!$A$1:$Z$2488,708,'Live Data'!$C$13)="","",INDEX(SPOT_Import!$A$1:$Z$2488,708,'Live Data'!$C$13)),"")</f>
        <v>Murungaru Health Centre</v>
      </c>
      <c r="C708" s="54" t="str">
        <f>IFERROR(IF(INDEX(SPOT_Import!$A$1:$Z$2488,708,'Live Data'!$C$14)="","",INDEX(SPOT_Import!$A$1:$Z$2488,708,'Live Data'!$C$14)),"")</f>
        <v>NYANDARUA</v>
      </c>
      <c r="D708" s="54" t="str">
        <f>IFERROR(IF(INDEX(SPOT_Import!$A$1:$Z$2488,708,'Live Data'!$C$15)="","",INDEX(SPOT_Import!$A$1:$Z$2488,708,'Live Data'!$C$15)),"")</f>
        <v>Kinangop</v>
      </c>
      <c r="E708" s="54" t="str">
        <f>IFERROR(IF(INDEX(SPOT_Import!$A$1:$Z$2488,708,'Live Data'!$C$16)="","",INDEX(SPOT_Import!$A$1:$Z$2488,708,'Live Data'!$C$16)),"")</f>
        <v>USAID Jamii Tekelezi</v>
      </c>
      <c r="F708" s="54" t="str">
        <f>IFERROR(IF(INDEX(SPOT_Import!$A$1:$Z$2488,708,'Live Data'!$C$17)="","",INDEX(SPOT_Import!$A$1:$Z$2488,708,'Live Data'!$C$17)),"")</f>
        <v>PKV</v>
      </c>
      <c r="G708" s="54">
        <f>IFERROR(IF(INDEX(SPOT_Import!$A$1:$Z$2488,708,'Live Data'!$C$18)="","",INDEX(SPOT_Import!$A$1:$Z$2488,708,'Live Data'!$C$18)),"")</f>
        <v>1571</v>
      </c>
      <c r="H708" s="54" t="str">
        <f>IFERROR(IF(INDEX(SPOT_Import!$A$1:$Z$2488,708,'Live Data'!$C$19)="","",INDEX(SPOT_Import!$A$1:$Z$2488,708,'Live Data'!$C$19)),"")</f>
        <v/>
      </c>
      <c r="I708" s="54" t="str">
        <f>IFERROR(IF(INDEX(SPOT_Import!$A$1:$Z$2488,708,'Live Data'!$C$20)="","",INDEX(SPOT_Import!$A$1:$Z$2488,708,'Live Data'!$C$20)),"")</f>
        <v>Complete</v>
      </c>
      <c r="J708" s="54" t="str">
        <f>IFERROR(IF(INDEX(SPOT_Import!$A$1:$Z$2488,708,'Live Data'!$C$21)="","",INDEX(SPOT_Import!$A$1:$Z$2488,708,'Live Data'!$C$21)),"")</f>
        <v>2023-02-01T11:45:35.000Z</v>
      </c>
      <c r="K708" s="54" t="str">
        <f>IFERROR(IF(INDEX(SPOT_Import!$A$1:$Z$2488,708,'Live Data'!$C$22)="","",INDEX(SPOT_Import!$A$1:$Z$2488,708,'Live Data'!$C$22)),"")</f>
        <v>2023-02-01T11:45:35.000Z</v>
      </c>
      <c r="L708" s="55" t="str">
        <f t="shared" si="22"/>
        <v>2023-02</v>
      </c>
      <c r="M708" s="55" t="str">
        <f t="shared" si="23"/>
        <v>NYANDARUA</v>
      </c>
      <c r="N708" s="55" t="str">
        <f>IF(A708="","",IFERROR(INDEX('Cluster Map'!$A$4:$A$38,MATCH(M708,'Cluster Map'!$B$4:$B$38,0)),"Unmapped"))</f>
        <v>Cluster 4</v>
      </c>
      <c r="O708" s="55">
        <f>IF(A708="",0,IF(COUNTIFS($A$2:A708,A708,$F$2:F708,F708,$L$2:L708,L708)=1,1,0))</f>
        <v>1</v>
      </c>
      <c r="P708" s="55">
        <f>IF(A708="",0,IF(AND(F708="C&amp;T",COUNTIFS($A$2:A708,A708,$F$2:F708,"C&amp;T")=1),1,0))</f>
        <v>0</v>
      </c>
    </row>
    <row r="709" spans="1:16" x14ac:dyDescent="0.35">
      <c r="A709" s="54">
        <f>IFERROR(IF(INDEX(SPOT_Import!$A$1:$Z$2488,709,'Live Data'!$C$12)="","",INDEX(SPOT_Import!$A$1:$Z$2488,709,'Live Data'!$C$12)),"")</f>
        <v>12591</v>
      </c>
      <c r="B709" s="54" t="str">
        <f>IFERROR(IF(INDEX(SPOT_Import!$A$1:$Z$2488,709,'Live Data'!$C$13)="","",INDEX(SPOT_Import!$A$1:$Z$2488,709,'Live Data'!$C$13)),"")</f>
        <v>Muthara Sub-District Hospital</v>
      </c>
      <c r="C709" s="54" t="str">
        <f>IFERROR(IF(INDEX(SPOT_Import!$A$1:$Z$2488,709,'Live Data'!$C$14)="","",INDEX(SPOT_Import!$A$1:$Z$2488,709,'Live Data'!$C$14)),"")</f>
        <v>MERU</v>
      </c>
      <c r="D709" s="54" t="str">
        <f>IFERROR(IF(INDEX(SPOT_Import!$A$1:$Z$2488,709,'Live Data'!$C$15)="","",INDEX(SPOT_Import!$A$1:$Z$2488,709,'Live Data'!$C$15)),"")</f>
        <v>Tigania East</v>
      </c>
      <c r="E709" s="54" t="str">
        <f>IFERROR(IF(INDEX(SPOT_Import!$A$1:$Z$2488,709,'Live Data'!$C$16)="","",INDEX(SPOT_Import!$A$1:$Z$2488,709,'Live Data'!$C$16)),"")</f>
        <v>USAID Jamii Tekelezi</v>
      </c>
      <c r="F709" s="54" t="str">
        <f>IFERROR(IF(INDEX(SPOT_Import!$A$1:$Z$2488,709,'Live Data'!$C$17)="","",INDEX(SPOT_Import!$A$1:$Z$2488,709,'Live Data'!$C$17)),"")</f>
        <v>PKV</v>
      </c>
      <c r="G709" s="54">
        <f>IFERROR(IF(INDEX(SPOT_Import!$A$1:$Z$2488,709,'Live Data'!$C$18)="","",INDEX(SPOT_Import!$A$1:$Z$2488,709,'Live Data'!$C$18)),"")</f>
        <v>4332</v>
      </c>
      <c r="H709" s="54">
        <f>IFERROR(IF(INDEX(SPOT_Import!$A$1:$Z$2488,709,'Live Data'!$C$19)="","",INDEX(SPOT_Import!$A$1:$Z$2488,709,'Live Data'!$C$19)),"")</f>
        <v>53694</v>
      </c>
      <c r="I709" s="54" t="str">
        <f>IFERROR(IF(INDEX(SPOT_Import!$A$1:$Z$2488,709,'Live Data'!$C$20)="","",INDEX(SPOT_Import!$A$1:$Z$2488,709,'Live Data'!$C$20)),"")</f>
        <v>Complete</v>
      </c>
      <c r="J709" s="54" t="str">
        <f>IFERROR(IF(INDEX(SPOT_Import!$A$1:$Z$2488,709,'Live Data'!$C$21)="","",INDEX(SPOT_Import!$A$1:$Z$2488,709,'Live Data'!$C$21)),"")</f>
        <v>2023-02-01T11:39:32.000Z</v>
      </c>
      <c r="K709" s="54" t="str">
        <f>IFERROR(IF(INDEX(SPOT_Import!$A$1:$Z$2488,709,'Live Data'!$C$22)="","",INDEX(SPOT_Import!$A$1:$Z$2488,709,'Live Data'!$C$22)),"")</f>
        <v>2023-02-01T11:39:32.000Z</v>
      </c>
      <c r="L709" s="55" t="str">
        <f t="shared" si="22"/>
        <v>2023-02</v>
      </c>
      <c r="M709" s="55" t="str">
        <f t="shared" si="23"/>
        <v>MERU</v>
      </c>
      <c r="N709" s="55" t="str">
        <f>IF(A709="","",IFERROR(INDEX('Cluster Map'!$A$4:$A$38,MATCH(M709,'Cluster Map'!$B$4:$B$38,0)),"Unmapped"))</f>
        <v>Cluster 1</v>
      </c>
      <c r="O709" s="55">
        <f>IF(A709="",0,IF(COUNTIFS($A$2:A709,A709,$F$2:F709,F709,$L$2:L709,L709)=1,1,0))</f>
        <v>1</v>
      </c>
      <c r="P709" s="55">
        <f>IF(A709="",0,IF(AND(F709="C&amp;T",COUNTIFS($A$2:A709,A709,$F$2:F709,"C&amp;T")=1),1,0))</f>
        <v>0</v>
      </c>
    </row>
    <row r="710" spans="1:16" x14ac:dyDescent="0.35">
      <c r="A710" s="54">
        <f>IFERROR(IF(INDEX(SPOT_Import!$A$1:$Z$2488,710,'Live Data'!$C$12)="","",INDEX(SPOT_Import!$A$1:$Z$2488,710,'Live Data'!$C$12)),"")</f>
        <v>10871</v>
      </c>
      <c r="B710" s="54" t="str">
        <f>IFERROR(IF(INDEX(SPOT_Import!$A$1:$Z$2488,710,'Live Data'!$C$13)="","",INDEX(SPOT_Import!$A$1:$Z$2488,710,'Live Data'!$C$13)),"")</f>
        <v>Ngorika Dispensary</v>
      </c>
      <c r="C710" s="54" t="str">
        <f>IFERROR(IF(INDEX(SPOT_Import!$A$1:$Z$2488,710,'Live Data'!$C$14)="","",INDEX(SPOT_Import!$A$1:$Z$2488,710,'Live Data'!$C$14)),"")</f>
        <v>NYANDARUA</v>
      </c>
      <c r="D710" s="54" t="str">
        <f>IFERROR(IF(INDEX(SPOT_Import!$A$1:$Z$2488,710,'Live Data'!$C$15)="","",INDEX(SPOT_Import!$A$1:$Z$2488,710,'Live Data'!$C$15)),"")</f>
        <v>Olkalou</v>
      </c>
      <c r="E710" s="54" t="str">
        <f>IFERROR(IF(INDEX(SPOT_Import!$A$1:$Z$2488,710,'Live Data'!$C$16)="","",INDEX(SPOT_Import!$A$1:$Z$2488,710,'Live Data'!$C$16)),"")</f>
        <v>USAID Jamii Tekelezi</v>
      </c>
      <c r="F710" s="54" t="str">
        <f>IFERROR(IF(INDEX(SPOT_Import!$A$1:$Z$2488,710,'Live Data'!$C$17)="","",INDEX(SPOT_Import!$A$1:$Z$2488,710,'Live Data'!$C$17)),"")</f>
        <v>PKV</v>
      </c>
      <c r="G710" s="54">
        <f>IFERROR(IF(INDEX(SPOT_Import!$A$1:$Z$2488,710,'Live Data'!$C$18)="","",INDEX(SPOT_Import!$A$1:$Z$2488,710,'Live Data'!$C$18)),"")</f>
        <v>612</v>
      </c>
      <c r="H710" s="54" t="str">
        <f>IFERROR(IF(INDEX(SPOT_Import!$A$1:$Z$2488,710,'Live Data'!$C$19)="","",INDEX(SPOT_Import!$A$1:$Z$2488,710,'Live Data'!$C$19)),"")</f>
        <v/>
      </c>
      <c r="I710" s="54" t="str">
        <f>IFERROR(IF(INDEX(SPOT_Import!$A$1:$Z$2488,710,'Live Data'!$C$20)="","",INDEX(SPOT_Import!$A$1:$Z$2488,710,'Live Data'!$C$20)),"")</f>
        <v>Complete</v>
      </c>
      <c r="J710" s="54" t="str">
        <f>IFERROR(IF(INDEX(SPOT_Import!$A$1:$Z$2488,710,'Live Data'!$C$21)="","",INDEX(SPOT_Import!$A$1:$Z$2488,710,'Live Data'!$C$21)),"")</f>
        <v>2023-02-01T11:31:42.000Z</v>
      </c>
      <c r="K710" s="54" t="str">
        <f>IFERROR(IF(INDEX(SPOT_Import!$A$1:$Z$2488,710,'Live Data'!$C$22)="","",INDEX(SPOT_Import!$A$1:$Z$2488,710,'Live Data'!$C$22)),"")</f>
        <v>2023-02-01T11:31:42.000Z</v>
      </c>
      <c r="L710" s="55" t="str">
        <f t="shared" si="22"/>
        <v>2023-02</v>
      </c>
      <c r="M710" s="55" t="str">
        <f t="shared" si="23"/>
        <v>NYANDARUA</v>
      </c>
      <c r="N710" s="55" t="str">
        <f>IF(A710="","",IFERROR(INDEX('Cluster Map'!$A$4:$A$38,MATCH(M710,'Cluster Map'!$B$4:$B$38,0)),"Unmapped"))</f>
        <v>Cluster 4</v>
      </c>
      <c r="O710" s="55">
        <f>IF(A710="",0,IF(COUNTIFS($A$2:A710,A710,$F$2:F710,F710,$L$2:L710,L710)=1,1,0))</f>
        <v>1</v>
      </c>
      <c r="P710" s="55">
        <f>IF(A710="",0,IF(AND(F710="C&amp;T",COUNTIFS($A$2:A710,A710,$F$2:F710,"C&amp;T")=1),1,0))</f>
        <v>0</v>
      </c>
    </row>
    <row r="711" spans="1:16" x14ac:dyDescent="0.35">
      <c r="A711" s="54">
        <f>IFERROR(IF(INDEX(SPOT_Import!$A$1:$Z$2488,711,'Live Data'!$C$12)="","",INDEX(SPOT_Import!$A$1:$Z$2488,711,'Live Data'!$C$12)),"")</f>
        <v>11173</v>
      </c>
      <c r="B711" s="54" t="str">
        <f>IFERROR(IF(INDEX(SPOT_Import!$A$1:$Z$2488,711,'Live Data'!$C$13)="","",INDEX(SPOT_Import!$A$1:$Z$2488,711,'Live Data'!$C$13)),"")</f>
        <v>Wanjohi Health Centre</v>
      </c>
      <c r="C711" s="54" t="str">
        <f>IFERROR(IF(INDEX(SPOT_Import!$A$1:$Z$2488,711,'Live Data'!$C$14)="","",INDEX(SPOT_Import!$A$1:$Z$2488,711,'Live Data'!$C$14)),"")</f>
        <v>NYANDARUA</v>
      </c>
      <c r="D711" s="54" t="str">
        <f>IFERROR(IF(INDEX(SPOT_Import!$A$1:$Z$2488,711,'Live Data'!$C$15)="","",INDEX(SPOT_Import!$A$1:$Z$2488,711,'Live Data'!$C$15)),"")</f>
        <v>Kipipiri</v>
      </c>
      <c r="E711" s="54" t="str">
        <f>IFERROR(IF(INDEX(SPOT_Import!$A$1:$Z$2488,711,'Live Data'!$C$16)="","",INDEX(SPOT_Import!$A$1:$Z$2488,711,'Live Data'!$C$16)),"")</f>
        <v>USAID Jamii Tekelezi</v>
      </c>
      <c r="F711" s="54" t="str">
        <f>IFERROR(IF(INDEX(SPOT_Import!$A$1:$Z$2488,711,'Live Data'!$C$17)="","",INDEX(SPOT_Import!$A$1:$Z$2488,711,'Live Data'!$C$17)),"")</f>
        <v>PKV</v>
      </c>
      <c r="G711" s="54">
        <f>IFERROR(IF(INDEX(SPOT_Import!$A$1:$Z$2488,711,'Live Data'!$C$18)="","",INDEX(SPOT_Import!$A$1:$Z$2488,711,'Live Data'!$C$18)),"")</f>
        <v>1213</v>
      </c>
      <c r="H711" s="54">
        <f>IFERROR(IF(INDEX(SPOT_Import!$A$1:$Z$2488,711,'Live Data'!$C$19)="","",INDEX(SPOT_Import!$A$1:$Z$2488,711,'Live Data'!$C$19)),"")</f>
        <v>3348</v>
      </c>
      <c r="I711" s="54" t="str">
        <f>IFERROR(IF(INDEX(SPOT_Import!$A$1:$Z$2488,711,'Live Data'!$C$20)="","",INDEX(SPOT_Import!$A$1:$Z$2488,711,'Live Data'!$C$20)),"")</f>
        <v>Complete</v>
      </c>
      <c r="J711" s="54" t="str">
        <f>IFERROR(IF(INDEX(SPOT_Import!$A$1:$Z$2488,711,'Live Data'!$C$21)="","",INDEX(SPOT_Import!$A$1:$Z$2488,711,'Live Data'!$C$21)),"")</f>
        <v>2023-02-01T10:45:00.000Z</v>
      </c>
      <c r="K711" s="54" t="str">
        <f>IFERROR(IF(INDEX(SPOT_Import!$A$1:$Z$2488,711,'Live Data'!$C$22)="","",INDEX(SPOT_Import!$A$1:$Z$2488,711,'Live Data'!$C$22)),"")</f>
        <v>2023-02-01T10:45:00.000Z</v>
      </c>
      <c r="L711" s="55" t="str">
        <f t="shared" si="22"/>
        <v>2023-02</v>
      </c>
      <c r="M711" s="55" t="str">
        <f t="shared" si="23"/>
        <v>NYANDARUA</v>
      </c>
      <c r="N711" s="55" t="str">
        <f>IF(A711="","",IFERROR(INDEX('Cluster Map'!$A$4:$A$38,MATCH(M711,'Cluster Map'!$B$4:$B$38,0)),"Unmapped"))</f>
        <v>Cluster 4</v>
      </c>
      <c r="O711" s="55">
        <f>IF(A711="",0,IF(COUNTIFS($A$2:A711,A711,$F$2:F711,F711,$L$2:L711,L711)=1,1,0))</f>
        <v>1</v>
      </c>
      <c r="P711" s="55">
        <f>IF(A711="",0,IF(AND(F711="C&amp;T",COUNTIFS($A$2:A711,A711,$F$2:F711,"C&amp;T")=1),1,0))</f>
        <v>0</v>
      </c>
    </row>
    <row r="712" spans="1:16" x14ac:dyDescent="0.35">
      <c r="A712" s="54">
        <f>IFERROR(IF(INDEX(SPOT_Import!$A$1:$Z$2488,712,'Live Data'!$C$12)="","",INDEX(SPOT_Import!$A$1:$Z$2488,712,'Live Data'!$C$12)),"")</f>
        <v>12192</v>
      </c>
      <c r="B712" s="54" t="str">
        <f>IFERROR(IF(INDEX(SPOT_Import!$A$1:$Z$2488,712,'Live Data'!$C$13)="","",INDEX(SPOT_Import!$A$1:$Z$2488,712,'Live Data'!$C$13)),"")</f>
        <v>Kaongo Health Centre</v>
      </c>
      <c r="C712" s="54" t="str">
        <f>IFERROR(IF(INDEX(SPOT_Import!$A$1:$Z$2488,712,'Live Data'!$C$14)="","",INDEX(SPOT_Import!$A$1:$Z$2488,712,'Live Data'!$C$14)),"")</f>
        <v>MERU</v>
      </c>
      <c r="D712" s="54" t="str">
        <f>IFERROR(IF(INDEX(SPOT_Import!$A$1:$Z$2488,712,'Live Data'!$C$15)="","",INDEX(SPOT_Import!$A$1:$Z$2488,712,'Live Data'!$C$15)),"")</f>
        <v>Imenti Central</v>
      </c>
      <c r="E712" s="54" t="str">
        <f>IFERROR(IF(INDEX(SPOT_Import!$A$1:$Z$2488,712,'Live Data'!$C$16)="","",INDEX(SPOT_Import!$A$1:$Z$2488,712,'Live Data'!$C$16)),"")</f>
        <v>USAID Jamii Tekelezi</v>
      </c>
      <c r="F712" s="54" t="str">
        <f>IFERROR(IF(INDEX(SPOT_Import!$A$1:$Z$2488,712,'Live Data'!$C$17)="","",INDEX(SPOT_Import!$A$1:$Z$2488,712,'Live Data'!$C$17)),"")</f>
        <v>PKV</v>
      </c>
      <c r="G712" s="54">
        <f>IFERROR(IF(INDEX(SPOT_Import!$A$1:$Z$2488,712,'Live Data'!$C$18)="","",INDEX(SPOT_Import!$A$1:$Z$2488,712,'Live Data'!$C$18)),"")</f>
        <v>92</v>
      </c>
      <c r="H712" s="54" t="str">
        <f>IFERROR(IF(INDEX(SPOT_Import!$A$1:$Z$2488,712,'Live Data'!$C$19)="","",INDEX(SPOT_Import!$A$1:$Z$2488,712,'Live Data'!$C$19)),"")</f>
        <v/>
      </c>
      <c r="I712" s="54" t="str">
        <f>IFERROR(IF(INDEX(SPOT_Import!$A$1:$Z$2488,712,'Live Data'!$C$20)="","",INDEX(SPOT_Import!$A$1:$Z$2488,712,'Live Data'!$C$20)),"")</f>
        <v>Complete</v>
      </c>
      <c r="J712" s="54" t="str">
        <f>IFERROR(IF(INDEX(SPOT_Import!$A$1:$Z$2488,712,'Live Data'!$C$21)="","",INDEX(SPOT_Import!$A$1:$Z$2488,712,'Live Data'!$C$21)),"")</f>
        <v>2023-02-01T10:36:17.000Z</v>
      </c>
      <c r="K712" s="54" t="str">
        <f>IFERROR(IF(INDEX(SPOT_Import!$A$1:$Z$2488,712,'Live Data'!$C$22)="","",INDEX(SPOT_Import!$A$1:$Z$2488,712,'Live Data'!$C$22)),"")</f>
        <v>2023-02-01T10:36:17.000Z</v>
      </c>
      <c r="L712" s="55" t="str">
        <f t="shared" si="22"/>
        <v>2023-02</v>
      </c>
      <c r="M712" s="55" t="str">
        <f t="shared" si="23"/>
        <v>MERU</v>
      </c>
      <c r="N712" s="55" t="str">
        <f>IF(A712="","",IFERROR(INDEX('Cluster Map'!$A$4:$A$38,MATCH(M712,'Cluster Map'!$B$4:$B$38,0)),"Unmapped"))</f>
        <v>Cluster 1</v>
      </c>
      <c r="O712" s="55">
        <f>IF(A712="",0,IF(COUNTIFS($A$2:A712,A712,$F$2:F712,F712,$L$2:L712,L712)=1,1,0))</f>
        <v>1</v>
      </c>
      <c r="P712" s="55">
        <f>IF(A712="",0,IF(AND(F712="C&amp;T",COUNTIFS($A$2:A712,A712,$F$2:F712,"C&amp;T")=1),1,0))</f>
        <v>0</v>
      </c>
    </row>
    <row r="713" spans="1:16" x14ac:dyDescent="0.35">
      <c r="A713" s="54">
        <f>IFERROR(IF(INDEX(SPOT_Import!$A$1:$Z$2488,713,'Live Data'!$C$12)="","",INDEX(SPOT_Import!$A$1:$Z$2488,713,'Live Data'!$C$12)),"")</f>
        <v>10878</v>
      </c>
      <c r="B713" s="54" t="str">
        <f>IFERROR(IF(INDEX(SPOT_Import!$A$1:$Z$2488,713,'Live Data'!$C$13)="","",INDEX(SPOT_Import!$A$1:$Z$2488,713,'Live Data'!$C$13)),"")</f>
        <v>Njabini Health Centre</v>
      </c>
      <c r="C713" s="54" t="str">
        <f>IFERROR(IF(INDEX(SPOT_Import!$A$1:$Z$2488,713,'Live Data'!$C$14)="","",INDEX(SPOT_Import!$A$1:$Z$2488,713,'Live Data'!$C$14)),"")</f>
        <v>NYANDARUA</v>
      </c>
      <c r="D713" s="54" t="str">
        <f>IFERROR(IF(INDEX(SPOT_Import!$A$1:$Z$2488,713,'Live Data'!$C$15)="","",INDEX(SPOT_Import!$A$1:$Z$2488,713,'Live Data'!$C$15)),"")</f>
        <v>Kinangop</v>
      </c>
      <c r="E713" s="54" t="str">
        <f>IFERROR(IF(INDEX(SPOT_Import!$A$1:$Z$2488,713,'Live Data'!$C$16)="","",INDEX(SPOT_Import!$A$1:$Z$2488,713,'Live Data'!$C$16)),"")</f>
        <v>USAID Jamii Tekelezi</v>
      </c>
      <c r="F713" s="54" t="str">
        <f>IFERROR(IF(INDEX(SPOT_Import!$A$1:$Z$2488,713,'Live Data'!$C$17)="","",INDEX(SPOT_Import!$A$1:$Z$2488,713,'Live Data'!$C$17)),"")</f>
        <v>PKV</v>
      </c>
      <c r="G713" s="54">
        <f>IFERROR(IF(INDEX(SPOT_Import!$A$1:$Z$2488,713,'Live Data'!$C$18)="","",INDEX(SPOT_Import!$A$1:$Z$2488,713,'Live Data'!$C$18)),"")</f>
        <v>3725</v>
      </c>
      <c r="H713" s="54">
        <f>IFERROR(IF(INDEX(SPOT_Import!$A$1:$Z$2488,713,'Live Data'!$C$19)="","",INDEX(SPOT_Import!$A$1:$Z$2488,713,'Live Data'!$C$19)),"")</f>
        <v>49949</v>
      </c>
      <c r="I713" s="54" t="str">
        <f>IFERROR(IF(INDEX(SPOT_Import!$A$1:$Z$2488,713,'Live Data'!$C$20)="","",INDEX(SPOT_Import!$A$1:$Z$2488,713,'Live Data'!$C$20)),"")</f>
        <v>Complete</v>
      </c>
      <c r="J713" s="54" t="str">
        <f>IFERROR(IF(INDEX(SPOT_Import!$A$1:$Z$2488,713,'Live Data'!$C$21)="","",INDEX(SPOT_Import!$A$1:$Z$2488,713,'Live Data'!$C$21)),"")</f>
        <v>2023-02-01T09:43:06.000Z</v>
      </c>
      <c r="K713" s="54" t="str">
        <f>IFERROR(IF(INDEX(SPOT_Import!$A$1:$Z$2488,713,'Live Data'!$C$22)="","",INDEX(SPOT_Import!$A$1:$Z$2488,713,'Live Data'!$C$22)),"")</f>
        <v>2023-02-01T09:43:06.000Z</v>
      </c>
      <c r="L713" s="55" t="str">
        <f t="shared" si="22"/>
        <v>2023-02</v>
      </c>
      <c r="M713" s="55" t="str">
        <f t="shared" si="23"/>
        <v>NYANDARUA</v>
      </c>
      <c r="N713" s="55" t="str">
        <f>IF(A713="","",IFERROR(INDEX('Cluster Map'!$A$4:$A$38,MATCH(M713,'Cluster Map'!$B$4:$B$38,0)),"Unmapped"))</f>
        <v>Cluster 4</v>
      </c>
      <c r="O713" s="55">
        <f>IF(A713="",0,IF(COUNTIFS($A$2:A713,A713,$F$2:F713,F713,$L$2:L713,L713)=1,1,0))</f>
        <v>1</v>
      </c>
      <c r="P713" s="55">
        <f>IF(A713="",0,IF(AND(F713="C&amp;T",COUNTIFS($A$2:A713,A713,$F$2:F713,"C&amp;T")=1),1,0))</f>
        <v>0</v>
      </c>
    </row>
    <row r="714" spans="1:16" x14ac:dyDescent="0.35">
      <c r="A714" s="54">
        <f>IFERROR(IF(INDEX(SPOT_Import!$A$1:$Z$2488,714,'Live Data'!$C$12)="","",INDEX(SPOT_Import!$A$1:$Z$2488,714,'Live Data'!$C$12)),"")</f>
        <v>12560</v>
      </c>
      <c r="B714" s="54" t="str">
        <f>IFERROR(IF(INDEX(SPOT_Import!$A$1:$Z$2488,714,'Live Data'!$C$13)="","",INDEX(SPOT_Import!$A$1:$Z$2488,714,'Live Data'!$C$13)),"")</f>
        <v>Mukothima Health Centre</v>
      </c>
      <c r="C714" s="54" t="str">
        <f>IFERROR(IF(INDEX(SPOT_Import!$A$1:$Z$2488,714,'Live Data'!$C$14)="","",INDEX(SPOT_Import!$A$1:$Z$2488,714,'Live Data'!$C$14)),"")</f>
        <v>THARAKA-NITHI</v>
      </c>
      <c r="D714" s="54" t="str">
        <f>IFERROR(IF(INDEX(SPOT_Import!$A$1:$Z$2488,714,'Live Data'!$C$15)="","",INDEX(SPOT_Import!$A$1:$Z$2488,714,'Live Data'!$C$15)),"")</f>
        <v>Tharaka North</v>
      </c>
      <c r="E714" s="54" t="str">
        <f>IFERROR(IF(INDEX(SPOT_Import!$A$1:$Z$2488,714,'Live Data'!$C$16)="","",INDEX(SPOT_Import!$A$1:$Z$2488,714,'Live Data'!$C$16)),"")</f>
        <v>USAID Jamii Tekelezi</v>
      </c>
      <c r="F714" s="54" t="str">
        <f>IFERROR(IF(INDEX(SPOT_Import!$A$1:$Z$2488,714,'Live Data'!$C$17)="","",INDEX(SPOT_Import!$A$1:$Z$2488,714,'Live Data'!$C$17)),"")</f>
        <v>PKV</v>
      </c>
      <c r="G714" s="54">
        <f>IFERROR(IF(INDEX(SPOT_Import!$A$1:$Z$2488,714,'Live Data'!$C$18)="","",INDEX(SPOT_Import!$A$1:$Z$2488,714,'Live Data'!$C$18)),"")</f>
        <v>621</v>
      </c>
      <c r="H714" s="54" t="str">
        <f>IFERROR(IF(INDEX(SPOT_Import!$A$1:$Z$2488,714,'Live Data'!$C$19)="","",INDEX(SPOT_Import!$A$1:$Z$2488,714,'Live Data'!$C$19)),"")</f>
        <v/>
      </c>
      <c r="I714" s="54" t="str">
        <f>IFERROR(IF(INDEX(SPOT_Import!$A$1:$Z$2488,714,'Live Data'!$C$20)="","",INDEX(SPOT_Import!$A$1:$Z$2488,714,'Live Data'!$C$20)),"")</f>
        <v>Complete</v>
      </c>
      <c r="J714" s="54" t="str">
        <f>IFERROR(IF(INDEX(SPOT_Import!$A$1:$Z$2488,714,'Live Data'!$C$21)="","",INDEX(SPOT_Import!$A$1:$Z$2488,714,'Live Data'!$C$21)),"")</f>
        <v>2023-02-01T08:41:37.000Z</v>
      </c>
      <c r="K714" s="54" t="str">
        <f>IFERROR(IF(INDEX(SPOT_Import!$A$1:$Z$2488,714,'Live Data'!$C$22)="","",INDEX(SPOT_Import!$A$1:$Z$2488,714,'Live Data'!$C$22)),"")</f>
        <v>2023-02-01T08:41:37.000Z</v>
      </c>
      <c r="L714" s="55" t="str">
        <f t="shared" si="22"/>
        <v>2023-02</v>
      </c>
      <c r="M714" s="55" t="str">
        <f t="shared" si="23"/>
        <v>THARAKA-NITHI</v>
      </c>
      <c r="N714" s="55" t="str">
        <f>IF(A714="","",IFERROR(INDEX('Cluster Map'!$A$4:$A$38,MATCH(M714,'Cluster Map'!$B$4:$B$38,0)),"Unmapped"))</f>
        <v>Cluster 2</v>
      </c>
      <c r="O714" s="55">
        <f>IF(A714="",0,IF(COUNTIFS($A$2:A714,A714,$F$2:F714,F714,$L$2:L714,L714)=1,1,0))</f>
        <v>1</v>
      </c>
      <c r="P714" s="55">
        <f>IF(A714="",0,IF(AND(F714="C&amp;T",COUNTIFS($A$2:A714,A714,$F$2:F714,"C&amp;T")=1),1,0))</f>
        <v>0</v>
      </c>
    </row>
    <row r="715" spans="1:16" x14ac:dyDescent="0.35">
      <c r="A715" s="54">
        <f>IFERROR(IF(INDEX(SPOT_Import!$A$1:$Z$2488,715,'Live Data'!$C$12)="","",INDEX(SPOT_Import!$A$1:$Z$2488,715,'Live Data'!$C$12)),"")</f>
        <v>12272</v>
      </c>
      <c r="B715" s="54" t="str">
        <f>IFERROR(IF(INDEX(SPOT_Import!$A$1:$Z$2488,715,'Live Data'!$C$13)="","",INDEX(SPOT_Import!$A$1:$Z$2488,715,'Live Data'!$C$13)),"")</f>
        <v>Kiamuchairu Health Centre</v>
      </c>
      <c r="C715" s="54" t="str">
        <f>IFERROR(IF(INDEX(SPOT_Import!$A$1:$Z$2488,715,'Live Data'!$C$14)="","",INDEX(SPOT_Import!$A$1:$Z$2488,715,'Live Data'!$C$14)),"")</f>
        <v>THARAKA-NITHI</v>
      </c>
      <c r="D715" s="54" t="str">
        <f>IFERROR(IF(INDEX(SPOT_Import!$A$1:$Z$2488,715,'Live Data'!$C$15)="","",INDEX(SPOT_Import!$A$1:$Z$2488,715,'Live Data'!$C$15)),"")</f>
        <v>Mwimbi</v>
      </c>
      <c r="E715" s="54" t="str">
        <f>IFERROR(IF(INDEX(SPOT_Import!$A$1:$Z$2488,715,'Live Data'!$C$16)="","",INDEX(SPOT_Import!$A$1:$Z$2488,715,'Live Data'!$C$16)),"")</f>
        <v>USAID Jamii Tekelezi</v>
      </c>
      <c r="F715" s="54" t="str">
        <f>IFERROR(IF(INDEX(SPOT_Import!$A$1:$Z$2488,715,'Live Data'!$C$17)="","",INDEX(SPOT_Import!$A$1:$Z$2488,715,'Live Data'!$C$17)),"")</f>
        <v>PKV</v>
      </c>
      <c r="G715" s="54">
        <f>IFERROR(IF(INDEX(SPOT_Import!$A$1:$Z$2488,715,'Live Data'!$C$18)="","",INDEX(SPOT_Import!$A$1:$Z$2488,715,'Live Data'!$C$18)),"")</f>
        <v>355</v>
      </c>
      <c r="H715" s="54" t="str">
        <f>IFERROR(IF(INDEX(SPOT_Import!$A$1:$Z$2488,715,'Live Data'!$C$19)="","",INDEX(SPOT_Import!$A$1:$Z$2488,715,'Live Data'!$C$19)),"")</f>
        <v/>
      </c>
      <c r="I715" s="54" t="str">
        <f>IFERROR(IF(INDEX(SPOT_Import!$A$1:$Z$2488,715,'Live Data'!$C$20)="","",INDEX(SPOT_Import!$A$1:$Z$2488,715,'Live Data'!$C$20)),"")</f>
        <v>Complete</v>
      </c>
      <c r="J715" s="54" t="str">
        <f>IFERROR(IF(INDEX(SPOT_Import!$A$1:$Z$2488,715,'Live Data'!$C$21)="","",INDEX(SPOT_Import!$A$1:$Z$2488,715,'Live Data'!$C$21)),"")</f>
        <v>2023-02-01T08:29:05.000Z</v>
      </c>
      <c r="K715" s="54" t="str">
        <f>IFERROR(IF(INDEX(SPOT_Import!$A$1:$Z$2488,715,'Live Data'!$C$22)="","",INDEX(SPOT_Import!$A$1:$Z$2488,715,'Live Data'!$C$22)),"")</f>
        <v>2023-02-01T08:29:05.000Z</v>
      </c>
      <c r="L715" s="55" t="str">
        <f t="shared" si="22"/>
        <v>2023-02</v>
      </c>
      <c r="M715" s="55" t="str">
        <f t="shared" si="23"/>
        <v>THARAKA-NITHI</v>
      </c>
      <c r="N715" s="55" t="str">
        <f>IF(A715="","",IFERROR(INDEX('Cluster Map'!$A$4:$A$38,MATCH(M715,'Cluster Map'!$B$4:$B$38,0)),"Unmapped"))</f>
        <v>Cluster 2</v>
      </c>
      <c r="O715" s="55">
        <f>IF(A715="",0,IF(COUNTIFS($A$2:A715,A715,$F$2:F715,F715,$L$2:L715,L715)=1,1,0))</f>
        <v>1</v>
      </c>
      <c r="P715" s="55">
        <f>IF(A715="",0,IF(AND(F715="C&amp;T",COUNTIFS($A$2:A715,A715,$F$2:F715,"C&amp;T")=1),1,0))</f>
        <v>0</v>
      </c>
    </row>
    <row r="716" spans="1:16" x14ac:dyDescent="0.35">
      <c r="A716" s="54">
        <f>IFERROR(IF(INDEX(SPOT_Import!$A$1:$Z$2488,716,'Live Data'!$C$12)="","",INDEX(SPOT_Import!$A$1:$Z$2488,716,'Live Data'!$C$12)),"")</f>
        <v>12546</v>
      </c>
      <c r="B716" s="54" t="str">
        <f>IFERROR(IF(INDEX(SPOT_Import!$A$1:$Z$2488,716,'Live Data'!$C$13)="","",INDEX(SPOT_Import!$A$1:$Z$2488,716,'Live Data'!$C$13)),"")</f>
        <v>Mpukoni Health Centre</v>
      </c>
      <c r="C716" s="54" t="str">
        <f>IFERROR(IF(INDEX(SPOT_Import!$A$1:$Z$2488,716,'Live Data'!$C$14)="","",INDEX(SPOT_Import!$A$1:$Z$2488,716,'Live Data'!$C$14)),"")</f>
        <v>THARAKA-NITHI</v>
      </c>
      <c r="D716" s="54" t="str">
        <f>IFERROR(IF(INDEX(SPOT_Import!$A$1:$Z$2488,716,'Live Data'!$C$15)="","",INDEX(SPOT_Import!$A$1:$Z$2488,716,'Live Data'!$C$15)),"")</f>
        <v>Chuka</v>
      </c>
      <c r="E716" s="54" t="str">
        <f>IFERROR(IF(INDEX(SPOT_Import!$A$1:$Z$2488,716,'Live Data'!$C$16)="","",INDEX(SPOT_Import!$A$1:$Z$2488,716,'Live Data'!$C$16)),"")</f>
        <v>USAID Jamii Tekelezi</v>
      </c>
      <c r="F716" s="54" t="str">
        <f>IFERROR(IF(INDEX(SPOT_Import!$A$1:$Z$2488,716,'Live Data'!$C$17)="","",INDEX(SPOT_Import!$A$1:$Z$2488,716,'Live Data'!$C$17)),"")</f>
        <v>PKV</v>
      </c>
      <c r="G716" s="54">
        <f>IFERROR(IF(INDEX(SPOT_Import!$A$1:$Z$2488,716,'Live Data'!$C$18)="","",INDEX(SPOT_Import!$A$1:$Z$2488,716,'Live Data'!$C$18)),"")</f>
        <v>1307</v>
      </c>
      <c r="H716" s="54" t="str">
        <f>IFERROR(IF(INDEX(SPOT_Import!$A$1:$Z$2488,716,'Live Data'!$C$19)="","",INDEX(SPOT_Import!$A$1:$Z$2488,716,'Live Data'!$C$19)),"")</f>
        <v/>
      </c>
      <c r="I716" s="54" t="str">
        <f>IFERROR(IF(INDEX(SPOT_Import!$A$1:$Z$2488,716,'Live Data'!$C$20)="","",INDEX(SPOT_Import!$A$1:$Z$2488,716,'Live Data'!$C$20)),"")</f>
        <v>Complete</v>
      </c>
      <c r="J716" s="54" t="str">
        <f>IFERROR(IF(INDEX(SPOT_Import!$A$1:$Z$2488,716,'Live Data'!$C$21)="","",INDEX(SPOT_Import!$A$1:$Z$2488,716,'Live Data'!$C$21)),"")</f>
        <v>2023-02-01T07:47:42.000Z</v>
      </c>
      <c r="K716" s="54" t="str">
        <f>IFERROR(IF(INDEX(SPOT_Import!$A$1:$Z$2488,716,'Live Data'!$C$22)="","",INDEX(SPOT_Import!$A$1:$Z$2488,716,'Live Data'!$C$22)),"")</f>
        <v>2023-02-01T07:47:42.000Z</v>
      </c>
      <c r="L716" s="55" t="str">
        <f t="shared" si="22"/>
        <v>2023-02</v>
      </c>
      <c r="M716" s="55" t="str">
        <f t="shared" si="23"/>
        <v>THARAKA-NITHI</v>
      </c>
      <c r="N716" s="55" t="str">
        <f>IF(A716="","",IFERROR(INDEX('Cluster Map'!$A$4:$A$38,MATCH(M716,'Cluster Map'!$B$4:$B$38,0)),"Unmapped"))</f>
        <v>Cluster 2</v>
      </c>
      <c r="O716" s="55">
        <f>IF(A716="",0,IF(COUNTIFS($A$2:A716,A716,$F$2:F716,F716,$L$2:L716,L716)=1,1,0))</f>
        <v>1</v>
      </c>
      <c r="P716" s="55">
        <f>IF(A716="",0,IF(AND(F716="C&amp;T",COUNTIFS($A$2:A716,A716,$F$2:F716,"C&amp;T")=1),1,0))</f>
        <v>0</v>
      </c>
    </row>
    <row r="717" spans="1:16" x14ac:dyDescent="0.35">
      <c r="A717" s="54">
        <f>IFERROR(IF(INDEX(SPOT_Import!$A$1:$Z$2488,717,'Live Data'!$C$12)="","",INDEX(SPOT_Import!$A$1:$Z$2488,717,'Live Data'!$C$12)),"")</f>
        <v>12300</v>
      </c>
      <c r="B717" s="54" t="str">
        <f>IFERROR(IF(INDEX(SPOT_Import!$A$1:$Z$2488,717,'Live Data'!$C$13)="","",INDEX(SPOT_Import!$A$1:$Z$2488,717,'Live Data'!$C$13)),"")</f>
        <v>Kigumo Health center</v>
      </c>
      <c r="C717" s="54" t="str">
        <f>IFERROR(IF(INDEX(SPOT_Import!$A$1:$Z$2488,717,'Live Data'!$C$14)="","",INDEX(SPOT_Import!$A$1:$Z$2488,717,'Live Data'!$C$14)),"")</f>
        <v>EMBU</v>
      </c>
      <c r="D717" s="54" t="str">
        <f>IFERROR(IF(INDEX(SPOT_Import!$A$1:$Z$2488,717,'Live Data'!$C$15)="","",INDEX(SPOT_Import!$A$1:$Z$2488,717,'Live Data'!$C$15)),"")</f>
        <v>Runyenjes</v>
      </c>
      <c r="E717" s="54" t="str">
        <f>IFERROR(IF(INDEX(SPOT_Import!$A$1:$Z$2488,717,'Live Data'!$C$16)="","",INDEX(SPOT_Import!$A$1:$Z$2488,717,'Live Data'!$C$16)),"")</f>
        <v>USAID Jamii Tekelezi</v>
      </c>
      <c r="F717" s="54" t="str">
        <f>IFERROR(IF(INDEX(SPOT_Import!$A$1:$Z$2488,717,'Live Data'!$C$17)="","",INDEX(SPOT_Import!$A$1:$Z$2488,717,'Live Data'!$C$17)),"")</f>
        <v>PKV</v>
      </c>
      <c r="G717" s="54">
        <f>IFERROR(IF(INDEX(SPOT_Import!$A$1:$Z$2488,717,'Live Data'!$C$18)="","",INDEX(SPOT_Import!$A$1:$Z$2488,717,'Live Data'!$C$18)),"")</f>
        <v>85</v>
      </c>
      <c r="H717" s="54">
        <f>IFERROR(IF(INDEX(SPOT_Import!$A$1:$Z$2488,717,'Live Data'!$C$19)="","",INDEX(SPOT_Import!$A$1:$Z$2488,717,'Live Data'!$C$19)),"")</f>
        <v>924</v>
      </c>
      <c r="I717" s="54" t="str">
        <f>IFERROR(IF(INDEX(SPOT_Import!$A$1:$Z$2488,717,'Live Data'!$C$20)="","",INDEX(SPOT_Import!$A$1:$Z$2488,717,'Live Data'!$C$20)),"")</f>
        <v>Complete</v>
      </c>
      <c r="J717" s="54" t="str">
        <f>IFERROR(IF(INDEX(SPOT_Import!$A$1:$Z$2488,717,'Live Data'!$C$21)="","",INDEX(SPOT_Import!$A$1:$Z$2488,717,'Live Data'!$C$21)),"")</f>
        <v>2023-01-19T15:35:19.000Z</v>
      </c>
      <c r="K717" s="54" t="str">
        <f>IFERROR(IF(INDEX(SPOT_Import!$A$1:$Z$2488,717,'Live Data'!$C$22)="","",INDEX(SPOT_Import!$A$1:$Z$2488,717,'Live Data'!$C$22)),"")</f>
        <v>2023-01-19T15:35:19.000Z</v>
      </c>
      <c r="L717" s="55" t="str">
        <f t="shared" si="22"/>
        <v>2023-01</v>
      </c>
      <c r="M717" s="55" t="str">
        <f t="shared" si="23"/>
        <v>EMBU</v>
      </c>
      <c r="N717" s="55" t="str">
        <f>IF(A717="","",IFERROR(INDEX('Cluster Map'!$A$4:$A$38,MATCH(M717,'Cluster Map'!$B$4:$B$38,0)),"Unmapped"))</f>
        <v>Cluster 2</v>
      </c>
      <c r="O717" s="55">
        <f>IF(A717="",0,IF(COUNTIFS($A$2:A717,A717,$F$2:F717,F717,$L$2:L717,L717)=1,1,0))</f>
        <v>1</v>
      </c>
      <c r="P717" s="55">
        <f>IF(A717="",0,IF(AND(F717="C&amp;T",COUNTIFS($A$2:A717,A717,$F$2:F717,"C&amp;T")=1),1,0))</f>
        <v>0</v>
      </c>
    </row>
    <row r="718" spans="1:16" x14ac:dyDescent="0.35">
      <c r="A718" s="54">
        <f>IFERROR(IF(INDEX(SPOT_Import!$A$1:$Z$2488,718,'Live Data'!$C$12)="","",INDEX(SPOT_Import!$A$1:$Z$2488,718,'Live Data'!$C$12)),"")</f>
        <v>12684</v>
      </c>
      <c r="B718" s="54" t="str">
        <f>IFERROR(IF(INDEX(SPOT_Import!$A$1:$Z$2488,718,'Live Data'!$C$13)="","",INDEX(SPOT_Import!$A$1:$Z$2488,718,'Live Data'!$C$13)),"")</f>
        <v>Nyambene District Hospital</v>
      </c>
      <c r="C718" s="54" t="str">
        <f>IFERROR(IF(INDEX(SPOT_Import!$A$1:$Z$2488,718,'Live Data'!$C$14)="","",INDEX(SPOT_Import!$A$1:$Z$2488,718,'Live Data'!$C$14)),"")</f>
        <v>MERU</v>
      </c>
      <c r="D718" s="54" t="str">
        <f>IFERROR(IF(INDEX(SPOT_Import!$A$1:$Z$2488,718,'Live Data'!$C$15)="","",INDEX(SPOT_Import!$A$1:$Z$2488,718,'Live Data'!$C$15)),"")</f>
        <v>Igembe South</v>
      </c>
      <c r="E718" s="54" t="str">
        <f>IFERROR(IF(INDEX(SPOT_Import!$A$1:$Z$2488,718,'Live Data'!$C$16)="","",INDEX(SPOT_Import!$A$1:$Z$2488,718,'Live Data'!$C$16)),"")</f>
        <v>USAID Jamii Tekelezi</v>
      </c>
      <c r="F718" s="54" t="str">
        <f>IFERROR(IF(INDEX(SPOT_Import!$A$1:$Z$2488,718,'Live Data'!$C$17)="","",INDEX(SPOT_Import!$A$1:$Z$2488,718,'Live Data'!$C$17)),"")</f>
        <v>PKV</v>
      </c>
      <c r="G718" s="54">
        <f>IFERROR(IF(INDEX(SPOT_Import!$A$1:$Z$2488,718,'Live Data'!$C$18)="","",INDEX(SPOT_Import!$A$1:$Z$2488,718,'Live Data'!$C$18)),"")</f>
        <v>6599</v>
      </c>
      <c r="H718" s="54">
        <f>IFERROR(IF(INDEX(SPOT_Import!$A$1:$Z$2488,718,'Live Data'!$C$19)="","",INDEX(SPOT_Import!$A$1:$Z$2488,718,'Live Data'!$C$19)),"")</f>
        <v>76748</v>
      </c>
      <c r="I718" s="54" t="str">
        <f>IFERROR(IF(INDEX(SPOT_Import!$A$1:$Z$2488,718,'Live Data'!$C$20)="","",INDEX(SPOT_Import!$A$1:$Z$2488,718,'Live Data'!$C$20)),"")</f>
        <v>Complete</v>
      </c>
      <c r="J718" s="54" t="str">
        <f>IFERROR(IF(INDEX(SPOT_Import!$A$1:$Z$2488,718,'Live Data'!$C$21)="","",INDEX(SPOT_Import!$A$1:$Z$2488,718,'Live Data'!$C$21)),"")</f>
        <v>2023-01-19T10:11:10.000Z</v>
      </c>
      <c r="K718" s="54" t="str">
        <f>IFERROR(IF(INDEX(SPOT_Import!$A$1:$Z$2488,718,'Live Data'!$C$22)="","",INDEX(SPOT_Import!$A$1:$Z$2488,718,'Live Data'!$C$22)),"")</f>
        <v>2023-01-19T10:11:10.000Z</v>
      </c>
      <c r="L718" s="55" t="str">
        <f t="shared" si="22"/>
        <v>2023-01</v>
      </c>
      <c r="M718" s="55" t="str">
        <f t="shared" si="23"/>
        <v>MERU</v>
      </c>
      <c r="N718" s="55" t="str">
        <f>IF(A718="","",IFERROR(INDEX('Cluster Map'!$A$4:$A$38,MATCH(M718,'Cluster Map'!$B$4:$B$38,0)),"Unmapped"))</f>
        <v>Cluster 1</v>
      </c>
      <c r="O718" s="55">
        <f>IF(A718="",0,IF(COUNTIFS($A$2:A718,A718,$F$2:F718,F718,$L$2:L718,L718)=1,1,0))</f>
        <v>1</v>
      </c>
      <c r="P718" s="55">
        <f>IF(A718="",0,IF(AND(F718="C&amp;T",COUNTIFS($A$2:A718,A718,$F$2:F718,"C&amp;T")=1),1,0))</f>
        <v>0</v>
      </c>
    </row>
    <row r="719" spans="1:16" x14ac:dyDescent="0.35">
      <c r="A719" s="54">
        <f>IFERROR(IF(INDEX(SPOT_Import!$A$1:$Z$2488,719,'Live Data'!$C$12)="","",INDEX(SPOT_Import!$A$1:$Z$2488,719,'Live Data'!$C$12)),"")</f>
        <v>12234</v>
      </c>
      <c r="B719" s="54" t="str">
        <f>IFERROR(IF(INDEX(SPOT_Import!$A$1:$Z$2488,719,'Live Data'!$C$13)="","",INDEX(SPOT_Import!$A$1:$Z$2488,719,'Live Data'!$C$13)),"")</f>
        <v>Kathithi Dispensary</v>
      </c>
      <c r="C719" s="54" t="str">
        <f>IFERROR(IF(INDEX(SPOT_Import!$A$1:$Z$2488,719,'Live Data'!$C$14)="","",INDEX(SPOT_Import!$A$1:$Z$2488,719,'Live Data'!$C$14)),"")</f>
        <v>MERU</v>
      </c>
      <c r="D719" s="54" t="str">
        <f>IFERROR(IF(INDEX(SPOT_Import!$A$1:$Z$2488,719,'Live Data'!$C$15)="","",INDEX(SPOT_Import!$A$1:$Z$2488,719,'Live Data'!$C$15)),"")</f>
        <v>Imenti North</v>
      </c>
      <c r="E719" s="54" t="str">
        <f>IFERROR(IF(INDEX(SPOT_Import!$A$1:$Z$2488,719,'Live Data'!$C$16)="","",INDEX(SPOT_Import!$A$1:$Z$2488,719,'Live Data'!$C$16)),"")</f>
        <v>USAID Jamii Tekelezi</v>
      </c>
      <c r="F719" s="54" t="str">
        <f>IFERROR(IF(INDEX(SPOT_Import!$A$1:$Z$2488,719,'Live Data'!$C$17)="","",INDEX(SPOT_Import!$A$1:$Z$2488,719,'Live Data'!$C$17)),"")</f>
        <v>PKV</v>
      </c>
      <c r="G719" s="54">
        <f>IFERROR(IF(INDEX(SPOT_Import!$A$1:$Z$2488,719,'Live Data'!$C$18)="","",INDEX(SPOT_Import!$A$1:$Z$2488,719,'Live Data'!$C$18)),"")</f>
        <v>215</v>
      </c>
      <c r="H719" s="54">
        <f>IFERROR(IF(INDEX(SPOT_Import!$A$1:$Z$2488,719,'Live Data'!$C$19)="","",INDEX(SPOT_Import!$A$1:$Z$2488,719,'Live Data'!$C$19)),"")</f>
        <v>1220</v>
      </c>
      <c r="I719" s="54" t="str">
        <f>IFERROR(IF(INDEX(SPOT_Import!$A$1:$Z$2488,719,'Live Data'!$C$20)="","",INDEX(SPOT_Import!$A$1:$Z$2488,719,'Live Data'!$C$20)),"")</f>
        <v>Complete</v>
      </c>
      <c r="J719" s="54" t="str">
        <f>IFERROR(IF(INDEX(SPOT_Import!$A$1:$Z$2488,719,'Live Data'!$C$21)="","",INDEX(SPOT_Import!$A$1:$Z$2488,719,'Live Data'!$C$21)),"")</f>
        <v>2022-12-09T11:47:19.000Z</v>
      </c>
      <c r="K719" s="54" t="str">
        <f>IFERROR(IF(INDEX(SPOT_Import!$A$1:$Z$2488,719,'Live Data'!$C$22)="","",INDEX(SPOT_Import!$A$1:$Z$2488,719,'Live Data'!$C$22)),"")</f>
        <v>2022-12-09T11:47:19.000Z</v>
      </c>
      <c r="L719" s="55" t="str">
        <f t="shared" si="22"/>
        <v>2022-12</v>
      </c>
      <c r="M719" s="55" t="str">
        <f t="shared" si="23"/>
        <v>MERU</v>
      </c>
      <c r="N719" s="55" t="str">
        <f>IF(A719="","",IFERROR(INDEX('Cluster Map'!$A$4:$A$38,MATCH(M719,'Cluster Map'!$B$4:$B$38,0)),"Unmapped"))</f>
        <v>Cluster 1</v>
      </c>
      <c r="O719" s="55">
        <f>IF(A719="",0,IF(COUNTIFS($A$2:A719,A719,$F$2:F719,F719,$L$2:L719,L719)=1,1,0))</f>
        <v>1</v>
      </c>
      <c r="P719" s="55">
        <f>IF(A719="",0,IF(AND(F719="C&amp;T",COUNTIFS($A$2:A719,A719,$F$2:F719,"C&amp;T")=1),1,0))</f>
        <v>0</v>
      </c>
    </row>
    <row r="720" spans="1:16" x14ac:dyDescent="0.35">
      <c r="A720" s="54">
        <f>IFERROR(IF(INDEX(SPOT_Import!$A$1:$Z$2488,720,'Live Data'!$C$12)="","",INDEX(SPOT_Import!$A$1:$Z$2488,720,'Live Data'!$C$12)),"")</f>
        <v>12790</v>
      </c>
      <c r="B720" s="54" t="str">
        <f>IFERROR(IF(INDEX(SPOT_Import!$A$1:$Z$2488,720,'Live Data'!$C$13)="","",INDEX(SPOT_Import!$A$1:$Z$2488,720,'Live Data'!$C$13)),"")</f>
        <v>Embu Children Hospital</v>
      </c>
      <c r="C720" s="54" t="str">
        <f>IFERROR(IF(INDEX(SPOT_Import!$A$1:$Z$2488,720,'Live Data'!$C$14)="","",INDEX(SPOT_Import!$A$1:$Z$2488,720,'Live Data'!$C$14)),"")</f>
        <v>EMBU</v>
      </c>
      <c r="D720" s="54" t="str">
        <f>IFERROR(IF(INDEX(SPOT_Import!$A$1:$Z$2488,720,'Live Data'!$C$15)="","",INDEX(SPOT_Import!$A$1:$Z$2488,720,'Live Data'!$C$15)),"")</f>
        <v>Manyatta</v>
      </c>
      <c r="E720" s="54" t="str">
        <f>IFERROR(IF(INDEX(SPOT_Import!$A$1:$Z$2488,720,'Live Data'!$C$16)="","",INDEX(SPOT_Import!$A$1:$Z$2488,720,'Live Data'!$C$16)),"")</f>
        <v>USAID Jamii Tekelezi</v>
      </c>
      <c r="F720" s="54" t="str">
        <f>IFERROR(IF(INDEX(SPOT_Import!$A$1:$Z$2488,720,'Live Data'!$C$17)="","",INDEX(SPOT_Import!$A$1:$Z$2488,720,'Live Data'!$C$17)),"")</f>
        <v>PKV</v>
      </c>
      <c r="G720" s="54">
        <f>IFERROR(IF(INDEX(SPOT_Import!$A$1:$Z$2488,720,'Live Data'!$C$18)="","",INDEX(SPOT_Import!$A$1:$Z$2488,720,'Live Data'!$C$18)),"")</f>
        <v>1003</v>
      </c>
      <c r="H720" s="54">
        <f>IFERROR(IF(INDEX(SPOT_Import!$A$1:$Z$2488,720,'Live Data'!$C$19)="","",INDEX(SPOT_Import!$A$1:$Z$2488,720,'Live Data'!$C$19)),"")</f>
        <v>5999</v>
      </c>
      <c r="I720" s="54" t="str">
        <f>IFERROR(IF(INDEX(SPOT_Import!$A$1:$Z$2488,720,'Live Data'!$C$20)="","",INDEX(SPOT_Import!$A$1:$Z$2488,720,'Live Data'!$C$20)),"")</f>
        <v>Complete</v>
      </c>
      <c r="J720" s="54" t="str">
        <f>IFERROR(IF(INDEX(SPOT_Import!$A$1:$Z$2488,720,'Live Data'!$C$21)="","",INDEX(SPOT_Import!$A$1:$Z$2488,720,'Live Data'!$C$21)),"")</f>
        <v>2022-12-09T08:32:14.000Z</v>
      </c>
      <c r="K720" s="54" t="str">
        <f>IFERROR(IF(INDEX(SPOT_Import!$A$1:$Z$2488,720,'Live Data'!$C$22)="","",INDEX(SPOT_Import!$A$1:$Z$2488,720,'Live Data'!$C$22)),"")</f>
        <v>2022-12-09T08:32:14.000Z</v>
      </c>
      <c r="L720" s="55" t="str">
        <f t="shared" si="22"/>
        <v>2022-12</v>
      </c>
      <c r="M720" s="55" t="str">
        <f t="shared" si="23"/>
        <v>EMBU</v>
      </c>
      <c r="N720" s="55" t="str">
        <f>IF(A720="","",IFERROR(INDEX('Cluster Map'!$A$4:$A$38,MATCH(M720,'Cluster Map'!$B$4:$B$38,0)),"Unmapped"))</f>
        <v>Cluster 2</v>
      </c>
      <c r="O720" s="55">
        <f>IF(A720="",0,IF(COUNTIFS($A$2:A720,A720,$F$2:F720,F720,$L$2:L720,L720)=1,1,0))</f>
        <v>1</v>
      </c>
      <c r="P720" s="55">
        <f>IF(A720="",0,IF(AND(F720="C&amp;T",COUNTIFS($A$2:A720,A720,$F$2:F720,"C&amp;T")=1),1,0))</f>
        <v>0</v>
      </c>
    </row>
    <row r="721" spans="1:16" x14ac:dyDescent="0.35">
      <c r="A721" s="54">
        <f>IFERROR(IF(INDEX(SPOT_Import!$A$1:$Z$2488,721,'Live Data'!$C$12)="","",INDEX(SPOT_Import!$A$1:$Z$2488,721,'Live Data'!$C$12)),"")</f>
        <v>12719</v>
      </c>
      <c r="B721" s="54" t="str">
        <f>IFERROR(IF(INDEX(SPOT_Import!$A$1:$Z$2488,721,'Live Data'!$C$13)="","",INDEX(SPOT_Import!$A$1:$Z$2488,721,'Live Data'!$C$13)),"")</f>
        <v>Runyenjes District Hospital</v>
      </c>
      <c r="C721" s="54" t="str">
        <f>IFERROR(IF(INDEX(SPOT_Import!$A$1:$Z$2488,721,'Live Data'!$C$14)="","",INDEX(SPOT_Import!$A$1:$Z$2488,721,'Live Data'!$C$14)),"")</f>
        <v>EMBU</v>
      </c>
      <c r="D721" s="54" t="str">
        <f>IFERROR(IF(INDEX(SPOT_Import!$A$1:$Z$2488,721,'Live Data'!$C$15)="","",INDEX(SPOT_Import!$A$1:$Z$2488,721,'Live Data'!$C$15)),"")</f>
        <v>Runyenjes</v>
      </c>
      <c r="E721" s="54" t="str">
        <f>IFERROR(IF(INDEX(SPOT_Import!$A$1:$Z$2488,721,'Live Data'!$C$16)="","",INDEX(SPOT_Import!$A$1:$Z$2488,721,'Live Data'!$C$16)),"")</f>
        <v>USAID Jamii Tekelezi</v>
      </c>
      <c r="F721" s="54" t="str">
        <f>IFERROR(IF(INDEX(SPOT_Import!$A$1:$Z$2488,721,'Live Data'!$C$17)="","",INDEX(SPOT_Import!$A$1:$Z$2488,721,'Live Data'!$C$17)),"")</f>
        <v>PKV</v>
      </c>
      <c r="G721" s="54">
        <f>IFERROR(IF(INDEX(SPOT_Import!$A$1:$Z$2488,721,'Live Data'!$C$18)="","",INDEX(SPOT_Import!$A$1:$Z$2488,721,'Live Data'!$C$18)),"")</f>
        <v>2170</v>
      </c>
      <c r="H721" s="54">
        <f>IFERROR(IF(INDEX(SPOT_Import!$A$1:$Z$2488,721,'Live Data'!$C$19)="","",INDEX(SPOT_Import!$A$1:$Z$2488,721,'Live Data'!$C$19)),"")</f>
        <v>16332</v>
      </c>
      <c r="I721" s="54" t="str">
        <f>IFERROR(IF(INDEX(SPOT_Import!$A$1:$Z$2488,721,'Live Data'!$C$20)="","",INDEX(SPOT_Import!$A$1:$Z$2488,721,'Live Data'!$C$20)),"")</f>
        <v>Complete</v>
      </c>
      <c r="J721" s="54" t="str">
        <f>IFERROR(IF(INDEX(SPOT_Import!$A$1:$Z$2488,721,'Live Data'!$C$21)="","",INDEX(SPOT_Import!$A$1:$Z$2488,721,'Live Data'!$C$21)),"")</f>
        <v>2022-11-10T11:33:09.000Z</v>
      </c>
      <c r="K721" s="54" t="str">
        <f>IFERROR(IF(INDEX(SPOT_Import!$A$1:$Z$2488,721,'Live Data'!$C$22)="","",INDEX(SPOT_Import!$A$1:$Z$2488,721,'Live Data'!$C$22)),"")</f>
        <v>2022-11-10T11:33:09.000Z</v>
      </c>
      <c r="L721" s="55" t="str">
        <f t="shared" si="22"/>
        <v>2022-11</v>
      </c>
      <c r="M721" s="55" t="str">
        <f t="shared" si="23"/>
        <v>EMBU</v>
      </c>
      <c r="N721" s="55" t="str">
        <f>IF(A721="","",IFERROR(INDEX('Cluster Map'!$A$4:$A$38,MATCH(M721,'Cluster Map'!$B$4:$B$38,0)),"Unmapped"))</f>
        <v>Cluster 2</v>
      </c>
      <c r="O721" s="55">
        <f>IF(A721="",0,IF(COUNTIFS($A$2:A721,A721,$F$2:F721,F721,$L$2:L721,L721)=1,1,0))</f>
        <v>1</v>
      </c>
      <c r="P721" s="55">
        <f>IF(A721="",0,IF(AND(F721="C&amp;T",COUNTIFS($A$2:A721,A721,$F$2:F721,"C&amp;T")=1),1,0))</f>
        <v>0</v>
      </c>
    </row>
    <row r="722" spans="1:16" x14ac:dyDescent="0.35">
      <c r="A722" s="54">
        <f>IFERROR(IF(INDEX(SPOT_Import!$A$1:$Z$2488,722,'Live Data'!$C$12)="","",INDEX(SPOT_Import!$A$1:$Z$2488,722,'Live Data'!$C$12)),"")</f>
        <v>12004</v>
      </c>
      <c r="B722" s="54" t="str">
        <f>IFERROR(IF(INDEX(SPOT_Import!$A$1:$Z$2488,722,'Live Data'!$C$13)="","",INDEX(SPOT_Import!$A$1:$Z$2488,722,'Live Data'!$C$13)),"")</f>
        <v>Embu Provincial General Hospital</v>
      </c>
      <c r="C722" s="54" t="str">
        <f>IFERROR(IF(INDEX(SPOT_Import!$A$1:$Z$2488,722,'Live Data'!$C$14)="","",INDEX(SPOT_Import!$A$1:$Z$2488,722,'Live Data'!$C$14)),"")</f>
        <v>EMBU</v>
      </c>
      <c r="D722" s="54" t="str">
        <f>IFERROR(IF(INDEX(SPOT_Import!$A$1:$Z$2488,722,'Live Data'!$C$15)="","",INDEX(SPOT_Import!$A$1:$Z$2488,722,'Live Data'!$C$15)),"")</f>
        <v>Manyatta</v>
      </c>
      <c r="E722" s="54" t="str">
        <f>IFERROR(IF(INDEX(SPOT_Import!$A$1:$Z$2488,722,'Live Data'!$C$16)="","",INDEX(SPOT_Import!$A$1:$Z$2488,722,'Live Data'!$C$16)),"")</f>
        <v>USAID Jamii Tekelezi</v>
      </c>
      <c r="F722" s="54" t="str">
        <f>IFERROR(IF(INDEX(SPOT_Import!$A$1:$Z$2488,722,'Live Data'!$C$17)="","",INDEX(SPOT_Import!$A$1:$Z$2488,722,'Live Data'!$C$17)),"")</f>
        <v>PKV</v>
      </c>
      <c r="G722" s="54">
        <f>IFERROR(IF(INDEX(SPOT_Import!$A$1:$Z$2488,722,'Live Data'!$C$18)="","",INDEX(SPOT_Import!$A$1:$Z$2488,722,'Live Data'!$C$18)),"")</f>
        <v>8614</v>
      </c>
      <c r="H722" s="54">
        <f>IFERROR(IF(INDEX(SPOT_Import!$A$1:$Z$2488,722,'Live Data'!$C$19)="","",INDEX(SPOT_Import!$A$1:$Z$2488,722,'Live Data'!$C$19)),"")</f>
        <v>92591</v>
      </c>
      <c r="I722" s="54" t="str">
        <f>IFERROR(IF(INDEX(SPOT_Import!$A$1:$Z$2488,722,'Live Data'!$C$20)="","",INDEX(SPOT_Import!$A$1:$Z$2488,722,'Live Data'!$C$20)),"")</f>
        <v>Complete</v>
      </c>
      <c r="J722" s="54" t="str">
        <f>IFERROR(IF(INDEX(SPOT_Import!$A$1:$Z$2488,722,'Live Data'!$C$21)="","",INDEX(SPOT_Import!$A$1:$Z$2488,722,'Live Data'!$C$21)),"")</f>
        <v>2022-11-08T14:02:52.000Z</v>
      </c>
      <c r="K722" s="54" t="str">
        <f>IFERROR(IF(INDEX(SPOT_Import!$A$1:$Z$2488,722,'Live Data'!$C$22)="","",INDEX(SPOT_Import!$A$1:$Z$2488,722,'Live Data'!$C$22)),"")</f>
        <v>2022-11-08T14:02:52.000Z</v>
      </c>
      <c r="L722" s="55" t="str">
        <f t="shared" si="22"/>
        <v>2022-11</v>
      </c>
      <c r="M722" s="55" t="str">
        <f t="shared" si="23"/>
        <v>EMBU</v>
      </c>
      <c r="N722" s="55" t="str">
        <f>IF(A722="","",IFERROR(INDEX('Cluster Map'!$A$4:$A$38,MATCH(M722,'Cluster Map'!$B$4:$B$38,0)),"Unmapped"))</f>
        <v>Cluster 2</v>
      </c>
      <c r="O722" s="55">
        <f>IF(A722="",0,IF(COUNTIFS($A$2:A722,A722,$F$2:F722,F722,$L$2:L722,L722)=1,1,0))</f>
        <v>1</v>
      </c>
      <c r="P722" s="55">
        <f>IF(A722="",0,IF(AND(F722="C&amp;T",COUNTIFS($A$2:A722,A722,$F$2:F722,"C&amp;T")=1),1,0))</f>
        <v>0</v>
      </c>
    </row>
    <row r="723" spans="1:16" x14ac:dyDescent="0.35">
      <c r="A723" s="54">
        <f>IFERROR(IF(INDEX(SPOT_Import!$A$1:$Z$2488,723,'Live Data'!$C$12)="","",INDEX(SPOT_Import!$A$1:$Z$2488,723,'Live Data'!$C$12)),"")</f>
        <v>16463</v>
      </c>
      <c r="B723" s="54" t="str">
        <f>IFERROR(IF(INDEX(SPOT_Import!$A$1:$Z$2488,723,'Live Data'!$C$13)="","",INDEX(SPOT_Import!$A$1:$Z$2488,723,'Live Data'!$C$13)),"")</f>
        <v>Gategi Health Centre</v>
      </c>
      <c r="C723" s="54" t="str">
        <f>IFERROR(IF(INDEX(SPOT_Import!$A$1:$Z$2488,723,'Live Data'!$C$14)="","",INDEX(SPOT_Import!$A$1:$Z$2488,723,'Live Data'!$C$14)),"")</f>
        <v>EMBU</v>
      </c>
      <c r="D723" s="54" t="str">
        <f>IFERROR(IF(INDEX(SPOT_Import!$A$1:$Z$2488,723,'Live Data'!$C$15)="","",INDEX(SPOT_Import!$A$1:$Z$2488,723,'Live Data'!$C$15)),"")</f>
        <v>Mbeere South</v>
      </c>
      <c r="E723" s="54" t="str">
        <f>IFERROR(IF(INDEX(SPOT_Import!$A$1:$Z$2488,723,'Live Data'!$C$16)="","",INDEX(SPOT_Import!$A$1:$Z$2488,723,'Live Data'!$C$16)),"")</f>
        <v>USAID Jamii Tekelezi</v>
      </c>
      <c r="F723" s="54" t="str">
        <f>IFERROR(IF(INDEX(SPOT_Import!$A$1:$Z$2488,723,'Live Data'!$C$17)="","",INDEX(SPOT_Import!$A$1:$Z$2488,723,'Live Data'!$C$17)),"")</f>
        <v>PKV</v>
      </c>
      <c r="G723" s="54">
        <f>IFERROR(IF(INDEX(SPOT_Import!$A$1:$Z$2488,723,'Live Data'!$C$18)="","",INDEX(SPOT_Import!$A$1:$Z$2488,723,'Live Data'!$C$18)),"")</f>
        <v>395</v>
      </c>
      <c r="H723" s="54" t="str">
        <f>IFERROR(IF(INDEX(SPOT_Import!$A$1:$Z$2488,723,'Live Data'!$C$19)="","",INDEX(SPOT_Import!$A$1:$Z$2488,723,'Live Data'!$C$19)),"")</f>
        <v/>
      </c>
      <c r="I723" s="54" t="str">
        <f>IFERROR(IF(INDEX(SPOT_Import!$A$1:$Z$2488,723,'Live Data'!$C$20)="","",INDEX(SPOT_Import!$A$1:$Z$2488,723,'Live Data'!$C$20)),"")</f>
        <v>Complete</v>
      </c>
      <c r="J723" s="54" t="str">
        <f>IFERROR(IF(INDEX(SPOT_Import!$A$1:$Z$2488,723,'Live Data'!$C$21)="","",INDEX(SPOT_Import!$A$1:$Z$2488,723,'Live Data'!$C$21)),"")</f>
        <v>2022-11-08T13:05:40.000Z</v>
      </c>
      <c r="K723" s="54" t="str">
        <f>IFERROR(IF(INDEX(SPOT_Import!$A$1:$Z$2488,723,'Live Data'!$C$22)="","",INDEX(SPOT_Import!$A$1:$Z$2488,723,'Live Data'!$C$22)),"")</f>
        <v>2022-11-08T13:05:40.000Z</v>
      </c>
      <c r="L723" s="55" t="str">
        <f t="shared" si="22"/>
        <v>2022-11</v>
      </c>
      <c r="M723" s="55" t="str">
        <f t="shared" si="23"/>
        <v>EMBU</v>
      </c>
      <c r="N723" s="55" t="str">
        <f>IF(A723="","",IFERROR(INDEX('Cluster Map'!$A$4:$A$38,MATCH(M723,'Cluster Map'!$B$4:$B$38,0)),"Unmapped"))</f>
        <v>Cluster 2</v>
      </c>
      <c r="O723" s="55">
        <f>IF(A723="",0,IF(COUNTIFS($A$2:A723,A723,$F$2:F723,F723,$L$2:L723,L723)=1,1,0))</f>
        <v>1</v>
      </c>
      <c r="P723" s="55">
        <f>IF(A723="",0,IF(AND(F723="C&amp;T",COUNTIFS($A$2:A723,A723,$F$2:F723,"C&amp;T")=1),1,0))</f>
        <v>0</v>
      </c>
    </row>
    <row r="724" spans="1:16" x14ac:dyDescent="0.35">
      <c r="A724" s="54">
        <f>IFERROR(IF(INDEX(SPOT_Import!$A$1:$Z$2488,724,'Live Data'!$C$12)="","",INDEX(SPOT_Import!$A$1:$Z$2488,724,'Live Data'!$C$12)),"")</f>
        <v>12174</v>
      </c>
      <c r="B724" s="54" t="str">
        <f>IFERROR(IF(INDEX(SPOT_Import!$A$1:$Z$2488,724,'Live Data'!$C$13)="","",INDEX(SPOT_Import!$A$1:$Z$2488,724,'Live Data'!$C$13)),"")</f>
        <v>Kangeta Heaith Centre</v>
      </c>
      <c r="C724" s="54" t="str">
        <f>IFERROR(IF(INDEX(SPOT_Import!$A$1:$Z$2488,724,'Live Data'!$C$14)="","",INDEX(SPOT_Import!$A$1:$Z$2488,724,'Live Data'!$C$14)),"")</f>
        <v>MERU</v>
      </c>
      <c r="D724" s="54" t="str">
        <f>IFERROR(IF(INDEX(SPOT_Import!$A$1:$Z$2488,724,'Live Data'!$C$15)="","",INDEX(SPOT_Import!$A$1:$Z$2488,724,'Live Data'!$C$15)),"")</f>
        <v>Igembe Central</v>
      </c>
      <c r="E724" s="54" t="str">
        <f>IFERROR(IF(INDEX(SPOT_Import!$A$1:$Z$2488,724,'Live Data'!$C$16)="","",INDEX(SPOT_Import!$A$1:$Z$2488,724,'Live Data'!$C$16)),"")</f>
        <v>USAID Jamii Tekelezi</v>
      </c>
      <c r="F724" s="54" t="str">
        <f>IFERROR(IF(INDEX(SPOT_Import!$A$1:$Z$2488,724,'Live Data'!$C$17)="","",INDEX(SPOT_Import!$A$1:$Z$2488,724,'Live Data'!$C$17)),"")</f>
        <v>PKV</v>
      </c>
      <c r="G724" s="54">
        <f>IFERROR(IF(INDEX(SPOT_Import!$A$1:$Z$2488,724,'Live Data'!$C$18)="","",INDEX(SPOT_Import!$A$1:$Z$2488,724,'Live Data'!$C$18)),"")</f>
        <v>785</v>
      </c>
      <c r="H724" s="54">
        <f>IFERROR(IF(INDEX(SPOT_Import!$A$1:$Z$2488,724,'Live Data'!$C$19)="","",INDEX(SPOT_Import!$A$1:$Z$2488,724,'Live Data'!$C$19)),"")</f>
        <v>9830</v>
      </c>
      <c r="I724" s="54" t="str">
        <f>IFERROR(IF(INDEX(SPOT_Import!$A$1:$Z$2488,724,'Live Data'!$C$20)="","",INDEX(SPOT_Import!$A$1:$Z$2488,724,'Live Data'!$C$20)),"")</f>
        <v>Complete</v>
      </c>
      <c r="J724" s="54" t="str">
        <f>IFERROR(IF(INDEX(SPOT_Import!$A$1:$Z$2488,724,'Live Data'!$C$21)="","",INDEX(SPOT_Import!$A$1:$Z$2488,724,'Live Data'!$C$21)),"")</f>
        <v>2022-11-07T10:48:59.000Z</v>
      </c>
      <c r="K724" s="54" t="str">
        <f>IFERROR(IF(INDEX(SPOT_Import!$A$1:$Z$2488,724,'Live Data'!$C$22)="","",INDEX(SPOT_Import!$A$1:$Z$2488,724,'Live Data'!$C$22)),"")</f>
        <v>2022-11-07T10:48:59.000Z</v>
      </c>
      <c r="L724" s="55" t="str">
        <f t="shared" si="22"/>
        <v>2022-11</v>
      </c>
      <c r="M724" s="55" t="str">
        <f t="shared" si="23"/>
        <v>MERU</v>
      </c>
      <c r="N724" s="55" t="str">
        <f>IF(A724="","",IFERROR(INDEX('Cluster Map'!$A$4:$A$38,MATCH(M724,'Cluster Map'!$B$4:$B$38,0)),"Unmapped"))</f>
        <v>Cluster 1</v>
      </c>
      <c r="O724" s="55">
        <f>IF(A724="",0,IF(COUNTIFS($A$2:A724,A724,$F$2:F724,F724,$L$2:L724,L724)=1,1,0))</f>
        <v>1</v>
      </c>
      <c r="P724" s="55">
        <f>IF(A724="",0,IF(AND(F724="C&amp;T",COUNTIFS($A$2:A724,A724,$F$2:F724,"C&amp;T")=1),1,0))</f>
        <v>0</v>
      </c>
    </row>
    <row r="725" spans="1:16" x14ac:dyDescent="0.35">
      <c r="A725" s="54">
        <f>IFERROR(IF(INDEX(SPOT_Import!$A$1:$Z$2488,725,'Live Data'!$C$12)="","",INDEX(SPOT_Import!$A$1:$Z$2488,725,'Live Data'!$C$12)),"")</f>
        <v>10419</v>
      </c>
      <c r="B725" s="54" t="str">
        <f>IFERROR(IF(INDEX(SPOT_Import!$A$1:$Z$2488,725,'Live Data'!$C$13)="","",INDEX(SPOT_Import!$A$1:$Z$2488,725,'Live Data'!$C$13)),"")</f>
        <v>Kahembe Health Centre</v>
      </c>
      <c r="C725" s="54" t="str">
        <f>IFERROR(IF(INDEX(SPOT_Import!$A$1:$Z$2488,725,'Live Data'!$C$14)="","",INDEX(SPOT_Import!$A$1:$Z$2488,725,'Live Data'!$C$14)),"")</f>
        <v>NYANDARUA</v>
      </c>
      <c r="D725" s="54" t="str">
        <f>IFERROR(IF(INDEX(SPOT_Import!$A$1:$Z$2488,725,'Live Data'!$C$15)="","",INDEX(SPOT_Import!$A$1:$Z$2488,725,'Live Data'!$C$15)),"")</f>
        <v>Ndaragwa</v>
      </c>
      <c r="E725" s="54" t="str">
        <f>IFERROR(IF(INDEX(SPOT_Import!$A$1:$Z$2488,725,'Live Data'!$C$16)="","",INDEX(SPOT_Import!$A$1:$Z$2488,725,'Live Data'!$C$16)),"")</f>
        <v>USAID Jamii Tekelezi</v>
      </c>
      <c r="F725" s="54" t="str">
        <f>IFERROR(IF(INDEX(SPOT_Import!$A$1:$Z$2488,725,'Live Data'!$C$17)="","",INDEX(SPOT_Import!$A$1:$Z$2488,725,'Live Data'!$C$17)),"")</f>
        <v>PKV</v>
      </c>
      <c r="G725" s="54">
        <f>IFERROR(IF(INDEX(SPOT_Import!$A$1:$Z$2488,725,'Live Data'!$C$18)="","",INDEX(SPOT_Import!$A$1:$Z$2488,725,'Live Data'!$C$18)),"")</f>
        <v>1328</v>
      </c>
      <c r="H725" s="54">
        <f>IFERROR(IF(INDEX(SPOT_Import!$A$1:$Z$2488,725,'Live Data'!$C$19)="","",INDEX(SPOT_Import!$A$1:$Z$2488,725,'Live Data'!$C$19)),"")</f>
        <v>14183</v>
      </c>
      <c r="I725" s="54" t="str">
        <f>IFERROR(IF(INDEX(SPOT_Import!$A$1:$Z$2488,725,'Live Data'!$C$20)="","",INDEX(SPOT_Import!$A$1:$Z$2488,725,'Live Data'!$C$20)),"")</f>
        <v>Complete</v>
      </c>
      <c r="J725" s="54" t="str">
        <f>IFERROR(IF(INDEX(SPOT_Import!$A$1:$Z$2488,725,'Live Data'!$C$21)="","",INDEX(SPOT_Import!$A$1:$Z$2488,725,'Live Data'!$C$21)),"")</f>
        <v>2022-11-07T06:38:32.000Z</v>
      </c>
      <c r="K725" s="54" t="str">
        <f>IFERROR(IF(INDEX(SPOT_Import!$A$1:$Z$2488,725,'Live Data'!$C$22)="","",INDEX(SPOT_Import!$A$1:$Z$2488,725,'Live Data'!$C$22)),"")</f>
        <v>2022-11-07T06:38:32.000Z</v>
      </c>
      <c r="L725" s="55" t="str">
        <f t="shared" si="22"/>
        <v>2022-11</v>
      </c>
      <c r="M725" s="55" t="str">
        <f t="shared" si="23"/>
        <v>NYANDARUA</v>
      </c>
      <c r="N725" s="55" t="str">
        <f>IF(A725="","",IFERROR(INDEX('Cluster Map'!$A$4:$A$38,MATCH(M725,'Cluster Map'!$B$4:$B$38,0)),"Unmapped"))</f>
        <v>Cluster 4</v>
      </c>
      <c r="O725" s="55">
        <f>IF(A725="",0,IF(COUNTIFS($A$2:A725,A725,$F$2:F725,F725,$L$2:L725,L725)=1,1,0))</f>
        <v>1</v>
      </c>
      <c r="P725" s="55">
        <f>IF(A725="",0,IF(AND(F725="C&amp;T",COUNTIFS($A$2:A725,A725,$F$2:F725,"C&amp;T")=1),1,0))</f>
        <v>0</v>
      </c>
    </row>
    <row r="726" spans="1:16" x14ac:dyDescent="0.35">
      <c r="A726" s="54">
        <f>IFERROR(IF(INDEX(SPOT_Import!$A$1:$Z$2488,726,'Live Data'!$C$12)="","",INDEX(SPOT_Import!$A$1:$Z$2488,726,'Live Data'!$C$12)),"")</f>
        <v>10044</v>
      </c>
      <c r="B726" s="54" t="str">
        <f>IFERROR(IF(INDEX(SPOT_Import!$A$1:$Z$2488,726,'Live Data'!$C$13)="","",INDEX(SPOT_Import!$A$1:$Z$2488,726,'Live Data'!$C$13)),"")</f>
        <v>Bamboo Health Centre</v>
      </c>
      <c r="C726" s="54" t="str">
        <f>IFERROR(IF(INDEX(SPOT_Import!$A$1:$Z$2488,726,'Live Data'!$C$14)="","",INDEX(SPOT_Import!$A$1:$Z$2488,726,'Live Data'!$C$14)),"")</f>
        <v>NYANDARUA</v>
      </c>
      <c r="D726" s="54" t="str">
        <f>IFERROR(IF(INDEX(SPOT_Import!$A$1:$Z$2488,726,'Live Data'!$C$15)="","",INDEX(SPOT_Import!$A$1:$Z$2488,726,'Live Data'!$C$15)),"")</f>
        <v>Kinangop</v>
      </c>
      <c r="E726" s="54" t="str">
        <f>IFERROR(IF(INDEX(SPOT_Import!$A$1:$Z$2488,726,'Live Data'!$C$16)="","",INDEX(SPOT_Import!$A$1:$Z$2488,726,'Live Data'!$C$16)),"")</f>
        <v>USAID Jamii Tekelezi</v>
      </c>
      <c r="F726" s="54" t="str">
        <f>IFERROR(IF(INDEX(SPOT_Import!$A$1:$Z$2488,726,'Live Data'!$C$17)="","",INDEX(SPOT_Import!$A$1:$Z$2488,726,'Live Data'!$C$17)),"")</f>
        <v>PKV</v>
      </c>
      <c r="G726" s="54">
        <f>IFERROR(IF(INDEX(SPOT_Import!$A$1:$Z$2488,726,'Live Data'!$C$18)="","",INDEX(SPOT_Import!$A$1:$Z$2488,726,'Live Data'!$C$18)),"")</f>
        <v>2285</v>
      </c>
      <c r="H726" s="54">
        <f>IFERROR(IF(INDEX(SPOT_Import!$A$1:$Z$2488,726,'Live Data'!$C$19)="","",INDEX(SPOT_Import!$A$1:$Z$2488,726,'Live Data'!$C$19)),"")</f>
        <v>11408</v>
      </c>
      <c r="I726" s="54" t="str">
        <f>IFERROR(IF(INDEX(SPOT_Import!$A$1:$Z$2488,726,'Live Data'!$C$20)="","",INDEX(SPOT_Import!$A$1:$Z$2488,726,'Live Data'!$C$20)),"")</f>
        <v>Complete</v>
      </c>
      <c r="J726" s="54" t="str">
        <f>IFERROR(IF(INDEX(SPOT_Import!$A$1:$Z$2488,726,'Live Data'!$C$21)="","",INDEX(SPOT_Import!$A$1:$Z$2488,726,'Live Data'!$C$21)),"")</f>
        <v>2022-11-04T06:30:13.000Z</v>
      </c>
      <c r="K726" s="54" t="str">
        <f>IFERROR(IF(INDEX(SPOT_Import!$A$1:$Z$2488,726,'Live Data'!$C$22)="","",INDEX(SPOT_Import!$A$1:$Z$2488,726,'Live Data'!$C$22)),"")</f>
        <v>2022-11-04T06:30:13.000Z</v>
      </c>
      <c r="L726" s="55" t="str">
        <f t="shared" si="22"/>
        <v>2022-11</v>
      </c>
      <c r="M726" s="55" t="str">
        <f t="shared" si="23"/>
        <v>NYANDARUA</v>
      </c>
      <c r="N726" s="55" t="str">
        <f>IF(A726="","",IFERROR(INDEX('Cluster Map'!$A$4:$A$38,MATCH(M726,'Cluster Map'!$B$4:$B$38,0)),"Unmapped"))</f>
        <v>Cluster 4</v>
      </c>
      <c r="O726" s="55">
        <f>IF(A726="",0,IF(COUNTIFS($A$2:A726,A726,$F$2:F726,F726,$L$2:L726,L726)=1,1,0))</f>
        <v>1</v>
      </c>
      <c r="P726" s="55">
        <f>IF(A726="",0,IF(AND(F726="C&amp;T",COUNTIFS($A$2:A726,A726,$F$2:F726,"C&amp;T")=1),1,0))</f>
        <v>0</v>
      </c>
    </row>
    <row r="727" spans="1:16" x14ac:dyDescent="0.35">
      <c r="A727" s="54">
        <f>IFERROR(IF(INDEX(SPOT_Import!$A$1:$Z$2488,727,'Live Data'!$C$12)="","",INDEX(SPOT_Import!$A$1:$Z$2488,727,'Live Data'!$C$12)),"")</f>
        <v>12673</v>
      </c>
      <c r="B727" s="54" t="str">
        <f>IFERROR(IF(INDEX(SPOT_Import!$A$1:$Z$2488,727,'Live Data'!$C$13)="","",INDEX(SPOT_Import!$A$1:$Z$2488,727,'Live Data'!$C$13)),"")</f>
        <v>Nthagaiya Catholic Dispensary</v>
      </c>
      <c r="C727" s="54" t="str">
        <f>IFERROR(IF(INDEX(SPOT_Import!$A$1:$Z$2488,727,'Live Data'!$C$14)="","",INDEX(SPOT_Import!$A$1:$Z$2488,727,'Live Data'!$C$14)),"")</f>
        <v>EMBU</v>
      </c>
      <c r="D727" s="54" t="str">
        <f>IFERROR(IF(INDEX(SPOT_Import!$A$1:$Z$2488,727,'Live Data'!$C$15)="","",INDEX(SPOT_Import!$A$1:$Z$2488,727,'Live Data'!$C$15)),"")</f>
        <v>Runyenjes</v>
      </c>
      <c r="E727" s="54" t="str">
        <f>IFERROR(IF(INDEX(SPOT_Import!$A$1:$Z$2488,727,'Live Data'!$C$16)="","",INDEX(SPOT_Import!$A$1:$Z$2488,727,'Live Data'!$C$16)),"")</f>
        <v>USAID Jamii Tekelezi</v>
      </c>
      <c r="F727" s="54" t="str">
        <f>IFERROR(IF(INDEX(SPOT_Import!$A$1:$Z$2488,727,'Live Data'!$C$17)="","",INDEX(SPOT_Import!$A$1:$Z$2488,727,'Live Data'!$C$17)),"")</f>
        <v>PKV</v>
      </c>
      <c r="G727" s="54">
        <f>IFERROR(IF(INDEX(SPOT_Import!$A$1:$Z$2488,727,'Live Data'!$C$18)="","",INDEX(SPOT_Import!$A$1:$Z$2488,727,'Live Data'!$C$18)),"")</f>
        <v>105</v>
      </c>
      <c r="H727" s="54">
        <f>IFERROR(IF(INDEX(SPOT_Import!$A$1:$Z$2488,727,'Live Data'!$C$19)="","",INDEX(SPOT_Import!$A$1:$Z$2488,727,'Live Data'!$C$19)),"")</f>
        <v>2471</v>
      </c>
      <c r="I727" s="54" t="str">
        <f>IFERROR(IF(INDEX(SPOT_Import!$A$1:$Z$2488,727,'Live Data'!$C$20)="","",INDEX(SPOT_Import!$A$1:$Z$2488,727,'Live Data'!$C$20)),"")</f>
        <v>Complete</v>
      </c>
      <c r="J727" s="54" t="str">
        <f>IFERROR(IF(INDEX(SPOT_Import!$A$1:$Z$2488,727,'Live Data'!$C$21)="","",INDEX(SPOT_Import!$A$1:$Z$2488,727,'Live Data'!$C$21)),"")</f>
        <v>2022-11-03T10:40:02.000Z</v>
      </c>
      <c r="K727" s="54" t="str">
        <f>IFERROR(IF(INDEX(SPOT_Import!$A$1:$Z$2488,727,'Live Data'!$C$22)="","",INDEX(SPOT_Import!$A$1:$Z$2488,727,'Live Data'!$C$22)),"")</f>
        <v>2022-11-03T10:40:02.000Z</v>
      </c>
      <c r="L727" s="55" t="str">
        <f t="shared" si="22"/>
        <v>2022-11</v>
      </c>
      <c r="M727" s="55" t="str">
        <f t="shared" si="23"/>
        <v>EMBU</v>
      </c>
      <c r="N727" s="55" t="str">
        <f>IF(A727="","",IFERROR(INDEX('Cluster Map'!$A$4:$A$38,MATCH(M727,'Cluster Map'!$B$4:$B$38,0)),"Unmapped"))</f>
        <v>Cluster 2</v>
      </c>
      <c r="O727" s="55">
        <f>IF(A727="",0,IF(COUNTIFS($A$2:A727,A727,$F$2:F727,F727,$L$2:L727,L727)=1,1,0))</f>
        <v>1</v>
      </c>
      <c r="P727" s="55">
        <f>IF(A727="",0,IF(AND(F727="C&amp;T",COUNTIFS($A$2:A727,A727,$F$2:F727,"C&amp;T")=1),1,0))</f>
        <v>0</v>
      </c>
    </row>
    <row r="728" spans="1:16" x14ac:dyDescent="0.35">
      <c r="A728" s="54">
        <f>IFERROR(IF(INDEX(SPOT_Import!$A$1:$Z$2488,728,'Live Data'!$C$12)="","",INDEX(SPOT_Import!$A$1:$Z$2488,728,'Live Data'!$C$12)),"")</f>
        <v>10481</v>
      </c>
      <c r="B728" s="54" t="str">
        <f>IFERROR(IF(INDEX(SPOT_Import!$A$1:$Z$2488,728,'Live Data'!$C$13)="","",INDEX(SPOT_Import!$A$1:$Z$2488,728,'Live Data'!$C$13)),"")</f>
        <v>Karangatha Health Centre</v>
      </c>
      <c r="C728" s="54" t="str">
        <f>IFERROR(IF(INDEX(SPOT_Import!$A$1:$Z$2488,728,'Live Data'!$C$14)="","",INDEX(SPOT_Import!$A$1:$Z$2488,728,'Live Data'!$C$14)),"")</f>
        <v>NYANDARUA</v>
      </c>
      <c r="D728" s="54" t="str">
        <f>IFERROR(IF(INDEX(SPOT_Import!$A$1:$Z$2488,728,'Live Data'!$C$15)="","",INDEX(SPOT_Import!$A$1:$Z$2488,728,'Live Data'!$C$15)),"")</f>
        <v>Kinangop</v>
      </c>
      <c r="E728" s="54" t="str">
        <f>IFERROR(IF(INDEX(SPOT_Import!$A$1:$Z$2488,728,'Live Data'!$C$16)="","",INDEX(SPOT_Import!$A$1:$Z$2488,728,'Live Data'!$C$16)),"")</f>
        <v>USAID Jamii Tekelezi</v>
      </c>
      <c r="F728" s="54" t="str">
        <f>IFERROR(IF(INDEX(SPOT_Import!$A$1:$Z$2488,728,'Live Data'!$C$17)="","",INDEX(SPOT_Import!$A$1:$Z$2488,728,'Live Data'!$C$17)),"")</f>
        <v>PKV</v>
      </c>
      <c r="G728" s="54">
        <f>IFERROR(IF(INDEX(SPOT_Import!$A$1:$Z$2488,728,'Live Data'!$C$18)="","",INDEX(SPOT_Import!$A$1:$Z$2488,728,'Live Data'!$C$18)),"")</f>
        <v>345</v>
      </c>
      <c r="H728" s="54">
        <f>IFERROR(IF(INDEX(SPOT_Import!$A$1:$Z$2488,728,'Live Data'!$C$19)="","",INDEX(SPOT_Import!$A$1:$Z$2488,728,'Live Data'!$C$19)),"")</f>
        <v>582</v>
      </c>
      <c r="I728" s="54" t="str">
        <f>IFERROR(IF(INDEX(SPOT_Import!$A$1:$Z$2488,728,'Live Data'!$C$20)="","",INDEX(SPOT_Import!$A$1:$Z$2488,728,'Live Data'!$C$20)),"")</f>
        <v>Complete</v>
      </c>
      <c r="J728" s="54" t="str">
        <f>IFERROR(IF(INDEX(SPOT_Import!$A$1:$Z$2488,728,'Live Data'!$C$21)="","",INDEX(SPOT_Import!$A$1:$Z$2488,728,'Live Data'!$C$21)),"")</f>
        <v>2022-11-03T09:31:56.000Z</v>
      </c>
      <c r="K728" s="54" t="str">
        <f>IFERROR(IF(INDEX(SPOT_Import!$A$1:$Z$2488,728,'Live Data'!$C$22)="","",INDEX(SPOT_Import!$A$1:$Z$2488,728,'Live Data'!$C$22)),"")</f>
        <v>2022-11-03T09:31:56.000Z</v>
      </c>
      <c r="L728" s="55" t="str">
        <f t="shared" si="22"/>
        <v>2022-11</v>
      </c>
      <c r="M728" s="55" t="str">
        <f t="shared" si="23"/>
        <v>NYANDARUA</v>
      </c>
      <c r="N728" s="55" t="str">
        <f>IF(A728="","",IFERROR(INDEX('Cluster Map'!$A$4:$A$38,MATCH(M728,'Cluster Map'!$B$4:$B$38,0)),"Unmapped"))</f>
        <v>Cluster 4</v>
      </c>
      <c r="O728" s="55">
        <f>IF(A728="",0,IF(COUNTIFS($A$2:A728,A728,$F$2:F728,F728,$L$2:L728,L728)=1,1,0))</f>
        <v>1</v>
      </c>
      <c r="P728" s="55">
        <f>IF(A728="",0,IF(AND(F728="C&amp;T",COUNTIFS($A$2:A728,A728,$F$2:F728,"C&amp;T")=1),1,0))</f>
        <v>0</v>
      </c>
    </row>
    <row r="729" spans="1:16" x14ac:dyDescent="0.35">
      <c r="A729" s="54">
        <f>IFERROR(IF(INDEX(SPOT_Import!$A$1:$Z$2488,729,'Live Data'!$C$12)="","",INDEX(SPOT_Import!$A$1:$Z$2488,729,'Live Data'!$C$12)),"")</f>
        <v>12271</v>
      </c>
      <c r="B729" s="54" t="str">
        <f>IFERROR(IF(INDEX(SPOT_Import!$A$1:$Z$2488,729,'Live Data'!$C$13)="","",INDEX(SPOT_Import!$A$1:$Z$2488,729,'Live Data'!$C$13)),"")</f>
        <v>Kiambere Dam Dispensary</v>
      </c>
      <c r="C729" s="54" t="str">
        <f>IFERROR(IF(INDEX(SPOT_Import!$A$1:$Z$2488,729,'Live Data'!$C$14)="","",INDEX(SPOT_Import!$A$1:$Z$2488,729,'Live Data'!$C$14)),"")</f>
        <v>EMBU</v>
      </c>
      <c r="D729" s="54" t="str">
        <f>IFERROR(IF(INDEX(SPOT_Import!$A$1:$Z$2488,729,'Live Data'!$C$15)="","",INDEX(SPOT_Import!$A$1:$Z$2488,729,'Live Data'!$C$15)),"")</f>
        <v>Mbeere North</v>
      </c>
      <c r="E729" s="54" t="str">
        <f>IFERROR(IF(INDEX(SPOT_Import!$A$1:$Z$2488,729,'Live Data'!$C$16)="","",INDEX(SPOT_Import!$A$1:$Z$2488,729,'Live Data'!$C$16)),"")</f>
        <v>USAID Jamii Tekelezi</v>
      </c>
      <c r="F729" s="54" t="str">
        <f>IFERROR(IF(INDEX(SPOT_Import!$A$1:$Z$2488,729,'Live Data'!$C$17)="","",INDEX(SPOT_Import!$A$1:$Z$2488,729,'Live Data'!$C$17)),"")</f>
        <v>PKV</v>
      </c>
      <c r="G729" s="54">
        <f>IFERROR(IF(INDEX(SPOT_Import!$A$1:$Z$2488,729,'Live Data'!$C$18)="","",INDEX(SPOT_Import!$A$1:$Z$2488,729,'Live Data'!$C$18)),"")</f>
        <v>523</v>
      </c>
      <c r="H729" s="54">
        <f>IFERROR(IF(INDEX(SPOT_Import!$A$1:$Z$2488,729,'Live Data'!$C$19)="","",INDEX(SPOT_Import!$A$1:$Z$2488,729,'Live Data'!$C$19)),"")</f>
        <v>1303</v>
      </c>
      <c r="I729" s="54" t="str">
        <f>IFERROR(IF(INDEX(SPOT_Import!$A$1:$Z$2488,729,'Live Data'!$C$20)="","",INDEX(SPOT_Import!$A$1:$Z$2488,729,'Live Data'!$C$20)),"")</f>
        <v>Complete</v>
      </c>
      <c r="J729" s="54" t="str">
        <f>IFERROR(IF(INDEX(SPOT_Import!$A$1:$Z$2488,729,'Live Data'!$C$21)="","",INDEX(SPOT_Import!$A$1:$Z$2488,729,'Live Data'!$C$21)),"")</f>
        <v>2022-11-03T08:28:16.000Z</v>
      </c>
      <c r="K729" s="54" t="str">
        <f>IFERROR(IF(INDEX(SPOT_Import!$A$1:$Z$2488,729,'Live Data'!$C$22)="","",INDEX(SPOT_Import!$A$1:$Z$2488,729,'Live Data'!$C$22)),"")</f>
        <v>2022-11-03T08:28:16.000Z</v>
      </c>
      <c r="L729" s="55" t="str">
        <f t="shared" si="22"/>
        <v>2022-11</v>
      </c>
      <c r="M729" s="55" t="str">
        <f t="shared" si="23"/>
        <v>EMBU</v>
      </c>
      <c r="N729" s="55" t="str">
        <f>IF(A729="","",IFERROR(INDEX('Cluster Map'!$A$4:$A$38,MATCH(M729,'Cluster Map'!$B$4:$B$38,0)),"Unmapped"))</f>
        <v>Cluster 2</v>
      </c>
      <c r="O729" s="55">
        <f>IF(A729="",0,IF(COUNTIFS($A$2:A729,A729,$F$2:F729,F729,$L$2:L729,L729)=1,1,0))</f>
        <v>1</v>
      </c>
      <c r="P729" s="55">
        <f>IF(A729="",0,IF(AND(F729="C&amp;T",COUNTIFS($A$2:A729,A729,$F$2:F729,"C&amp;T")=1),1,0))</f>
        <v>0</v>
      </c>
    </row>
    <row r="730" spans="1:16" x14ac:dyDescent="0.35">
      <c r="A730" s="54">
        <f>IFERROR(IF(INDEX(SPOT_Import!$A$1:$Z$2488,730,'Live Data'!$C$12)="","",INDEX(SPOT_Import!$A$1:$Z$2488,730,'Live Data'!$C$12)),"")</f>
        <v>12185</v>
      </c>
      <c r="B730" s="54" t="str">
        <f>IFERROR(IF(INDEX(SPOT_Import!$A$1:$Z$2488,730,'Live Data'!$C$13)="","",INDEX(SPOT_Import!$A$1:$Z$2488,730,'Live Data'!$C$13)),"")</f>
        <v>Kanyuambora Dispensary</v>
      </c>
      <c r="C730" s="54" t="str">
        <f>IFERROR(IF(INDEX(SPOT_Import!$A$1:$Z$2488,730,'Live Data'!$C$14)="","",INDEX(SPOT_Import!$A$1:$Z$2488,730,'Live Data'!$C$14)),"")</f>
        <v>EMBU</v>
      </c>
      <c r="D730" s="54" t="str">
        <f>IFERROR(IF(INDEX(SPOT_Import!$A$1:$Z$2488,730,'Live Data'!$C$15)="","",INDEX(SPOT_Import!$A$1:$Z$2488,730,'Live Data'!$C$15)),"")</f>
        <v>Mbeere North</v>
      </c>
      <c r="E730" s="54" t="str">
        <f>IFERROR(IF(INDEX(SPOT_Import!$A$1:$Z$2488,730,'Live Data'!$C$16)="","",INDEX(SPOT_Import!$A$1:$Z$2488,730,'Live Data'!$C$16)),"")</f>
        <v>USAID Jamii Tekelezi</v>
      </c>
      <c r="F730" s="54" t="str">
        <f>IFERROR(IF(INDEX(SPOT_Import!$A$1:$Z$2488,730,'Live Data'!$C$17)="","",INDEX(SPOT_Import!$A$1:$Z$2488,730,'Live Data'!$C$17)),"")</f>
        <v>PKV</v>
      </c>
      <c r="G730" s="54">
        <f>IFERROR(IF(INDEX(SPOT_Import!$A$1:$Z$2488,730,'Live Data'!$C$18)="","",INDEX(SPOT_Import!$A$1:$Z$2488,730,'Live Data'!$C$18)),"")</f>
        <v>49</v>
      </c>
      <c r="H730" s="54">
        <f>IFERROR(IF(INDEX(SPOT_Import!$A$1:$Z$2488,730,'Live Data'!$C$19)="","",INDEX(SPOT_Import!$A$1:$Z$2488,730,'Live Data'!$C$19)),"")</f>
        <v>100</v>
      </c>
      <c r="I730" s="54" t="str">
        <f>IFERROR(IF(INDEX(SPOT_Import!$A$1:$Z$2488,730,'Live Data'!$C$20)="","",INDEX(SPOT_Import!$A$1:$Z$2488,730,'Live Data'!$C$20)),"")</f>
        <v>Complete</v>
      </c>
      <c r="J730" s="54" t="str">
        <f>IFERROR(IF(INDEX(SPOT_Import!$A$1:$Z$2488,730,'Live Data'!$C$21)="","",INDEX(SPOT_Import!$A$1:$Z$2488,730,'Live Data'!$C$21)),"")</f>
        <v>2022-11-02T12:32:14.000Z</v>
      </c>
      <c r="K730" s="54" t="str">
        <f>IFERROR(IF(INDEX(SPOT_Import!$A$1:$Z$2488,730,'Live Data'!$C$22)="","",INDEX(SPOT_Import!$A$1:$Z$2488,730,'Live Data'!$C$22)),"")</f>
        <v>2022-11-02T12:32:14.000Z</v>
      </c>
      <c r="L730" s="55" t="str">
        <f t="shared" si="22"/>
        <v>2022-11</v>
      </c>
      <c r="M730" s="55" t="str">
        <f t="shared" si="23"/>
        <v>EMBU</v>
      </c>
      <c r="N730" s="55" t="str">
        <f>IF(A730="","",IFERROR(INDEX('Cluster Map'!$A$4:$A$38,MATCH(M730,'Cluster Map'!$B$4:$B$38,0)),"Unmapped"))</f>
        <v>Cluster 2</v>
      </c>
      <c r="O730" s="55">
        <f>IF(A730="",0,IF(COUNTIFS($A$2:A730,A730,$F$2:F730,F730,$L$2:L730,L730)=1,1,0))</f>
        <v>1</v>
      </c>
      <c r="P730" s="55">
        <f>IF(A730="",0,IF(AND(F730="C&amp;T",COUNTIFS($A$2:A730,A730,$F$2:F730,"C&amp;T")=1),1,0))</f>
        <v>0</v>
      </c>
    </row>
    <row r="731" spans="1:16" x14ac:dyDescent="0.35">
      <c r="A731" s="54">
        <f>IFERROR(IF(INDEX(SPOT_Import!$A$1:$Z$2488,731,'Live Data'!$C$12)="","",INDEX(SPOT_Import!$A$1:$Z$2488,731,'Live Data'!$C$12)),"")</f>
        <v>12454</v>
      </c>
      <c r="B731" s="54" t="str">
        <f>IFERROR(IF(INDEX(SPOT_Import!$A$1:$Z$2488,731,'Live Data'!$C$13)="","",INDEX(SPOT_Import!$A$1:$Z$2488,731,'Live Data'!$C$13)),"")</f>
        <v>Makima Dispensary</v>
      </c>
      <c r="C731" s="54" t="str">
        <f>IFERROR(IF(INDEX(SPOT_Import!$A$1:$Z$2488,731,'Live Data'!$C$14)="","",INDEX(SPOT_Import!$A$1:$Z$2488,731,'Live Data'!$C$14)),"")</f>
        <v>EMBU</v>
      </c>
      <c r="D731" s="54" t="str">
        <f>IFERROR(IF(INDEX(SPOT_Import!$A$1:$Z$2488,731,'Live Data'!$C$15)="","",INDEX(SPOT_Import!$A$1:$Z$2488,731,'Live Data'!$C$15)),"")</f>
        <v>Mbeere South</v>
      </c>
      <c r="E731" s="54" t="str">
        <f>IFERROR(IF(INDEX(SPOT_Import!$A$1:$Z$2488,731,'Live Data'!$C$16)="","",INDEX(SPOT_Import!$A$1:$Z$2488,731,'Live Data'!$C$16)),"")</f>
        <v>USAID Jamii Tekelezi</v>
      </c>
      <c r="F731" s="54" t="str">
        <f>IFERROR(IF(INDEX(SPOT_Import!$A$1:$Z$2488,731,'Live Data'!$C$17)="","",INDEX(SPOT_Import!$A$1:$Z$2488,731,'Live Data'!$C$17)),"")</f>
        <v>PKV</v>
      </c>
      <c r="G731" s="54">
        <f>IFERROR(IF(INDEX(SPOT_Import!$A$1:$Z$2488,731,'Live Data'!$C$18)="","",INDEX(SPOT_Import!$A$1:$Z$2488,731,'Live Data'!$C$18)),"")</f>
        <v>79</v>
      </c>
      <c r="H731" s="54" t="str">
        <f>IFERROR(IF(INDEX(SPOT_Import!$A$1:$Z$2488,731,'Live Data'!$C$19)="","",INDEX(SPOT_Import!$A$1:$Z$2488,731,'Live Data'!$C$19)),"")</f>
        <v/>
      </c>
      <c r="I731" s="54" t="str">
        <f>IFERROR(IF(INDEX(SPOT_Import!$A$1:$Z$2488,731,'Live Data'!$C$20)="","",INDEX(SPOT_Import!$A$1:$Z$2488,731,'Live Data'!$C$20)),"")</f>
        <v>Complete</v>
      </c>
      <c r="J731" s="54" t="str">
        <f>IFERROR(IF(INDEX(SPOT_Import!$A$1:$Z$2488,731,'Live Data'!$C$21)="","",INDEX(SPOT_Import!$A$1:$Z$2488,731,'Live Data'!$C$21)),"")</f>
        <v>2022-10-05T11:14:53.000Z</v>
      </c>
      <c r="K731" s="54" t="str">
        <f>IFERROR(IF(INDEX(SPOT_Import!$A$1:$Z$2488,731,'Live Data'!$C$22)="","",INDEX(SPOT_Import!$A$1:$Z$2488,731,'Live Data'!$C$22)),"")</f>
        <v>2022-10-05T11:14:53.000Z</v>
      </c>
      <c r="L731" s="55" t="str">
        <f t="shared" si="22"/>
        <v>2022-10</v>
      </c>
      <c r="M731" s="55" t="str">
        <f t="shared" si="23"/>
        <v>EMBU</v>
      </c>
      <c r="N731" s="55" t="str">
        <f>IF(A731="","",IFERROR(INDEX('Cluster Map'!$A$4:$A$38,MATCH(M731,'Cluster Map'!$B$4:$B$38,0)),"Unmapped"))</f>
        <v>Cluster 2</v>
      </c>
      <c r="O731" s="55">
        <f>IF(A731="",0,IF(COUNTIFS($A$2:A731,A731,$F$2:F731,F731,$L$2:L731,L731)=1,1,0))</f>
        <v>1</v>
      </c>
      <c r="P731" s="55">
        <f>IF(A731="",0,IF(AND(F731="C&amp;T",COUNTIFS($A$2:A731,A731,$F$2:F731,"C&amp;T")=1),1,0))</f>
        <v>0</v>
      </c>
    </row>
    <row r="732" spans="1:16" x14ac:dyDescent="0.35">
      <c r="A732" s="54">
        <f>IFERROR(IF(INDEX(SPOT_Import!$A$1:$Z$2488,732,'Live Data'!$C$12)="","",INDEX(SPOT_Import!$A$1:$Z$2488,732,'Live Data'!$C$12)),"")</f>
        <v>16467</v>
      </c>
      <c r="B732" s="54" t="str">
        <f>IFERROR(IF(INDEX(SPOT_Import!$A$1:$Z$2488,732,'Live Data'!$C$13)="","",INDEX(SPOT_Import!$A$1:$Z$2488,732,'Live Data'!$C$13)),"")</f>
        <v>Mbeere District Hospital</v>
      </c>
      <c r="C732" s="54" t="str">
        <f>IFERROR(IF(INDEX(SPOT_Import!$A$1:$Z$2488,732,'Live Data'!$C$14)="","",INDEX(SPOT_Import!$A$1:$Z$2488,732,'Live Data'!$C$14)),"")</f>
        <v>EMBU</v>
      </c>
      <c r="D732" s="54" t="str">
        <f>IFERROR(IF(INDEX(SPOT_Import!$A$1:$Z$2488,732,'Live Data'!$C$15)="","",INDEX(SPOT_Import!$A$1:$Z$2488,732,'Live Data'!$C$15)),"")</f>
        <v>Mbeere North</v>
      </c>
      <c r="E732" s="54" t="str">
        <f>IFERROR(IF(INDEX(SPOT_Import!$A$1:$Z$2488,732,'Live Data'!$C$16)="","",INDEX(SPOT_Import!$A$1:$Z$2488,732,'Live Data'!$C$16)),"")</f>
        <v>USAID Jamii Tekelezi</v>
      </c>
      <c r="F732" s="54" t="str">
        <f>IFERROR(IF(INDEX(SPOT_Import!$A$1:$Z$2488,732,'Live Data'!$C$17)="","",INDEX(SPOT_Import!$A$1:$Z$2488,732,'Live Data'!$C$17)),"")</f>
        <v>PKV</v>
      </c>
      <c r="G732" s="54">
        <f>IFERROR(IF(INDEX(SPOT_Import!$A$1:$Z$2488,732,'Live Data'!$C$18)="","",INDEX(SPOT_Import!$A$1:$Z$2488,732,'Live Data'!$C$18)),"")</f>
        <v>1956</v>
      </c>
      <c r="H732" s="54">
        <f>IFERROR(IF(INDEX(SPOT_Import!$A$1:$Z$2488,732,'Live Data'!$C$19)="","",INDEX(SPOT_Import!$A$1:$Z$2488,732,'Live Data'!$C$19)),"")</f>
        <v>18591</v>
      </c>
      <c r="I732" s="54" t="str">
        <f>IFERROR(IF(INDEX(SPOT_Import!$A$1:$Z$2488,732,'Live Data'!$C$20)="","",INDEX(SPOT_Import!$A$1:$Z$2488,732,'Live Data'!$C$20)),"")</f>
        <v>Complete</v>
      </c>
      <c r="J732" s="54" t="str">
        <f>IFERROR(IF(INDEX(SPOT_Import!$A$1:$Z$2488,732,'Live Data'!$C$21)="","",INDEX(SPOT_Import!$A$1:$Z$2488,732,'Live Data'!$C$21)),"")</f>
        <v>2022-07-07T08:49:08.000Z</v>
      </c>
      <c r="K732" s="54" t="str">
        <f>IFERROR(IF(INDEX(SPOT_Import!$A$1:$Z$2488,732,'Live Data'!$C$22)="","",INDEX(SPOT_Import!$A$1:$Z$2488,732,'Live Data'!$C$22)),"")</f>
        <v>2022-07-07T08:49:08.000Z</v>
      </c>
      <c r="L732" s="55" t="str">
        <f t="shared" si="22"/>
        <v>2022-07</v>
      </c>
      <c r="M732" s="55" t="str">
        <f t="shared" si="23"/>
        <v>EMBU</v>
      </c>
      <c r="N732" s="55" t="str">
        <f>IF(A732="","",IFERROR(INDEX('Cluster Map'!$A$4:$A$38,MATCH(M732,'Cluster Map'!$B$4:$B$38,0)),"Unmapped"))</f>
        <v>Cluster 2</v>
      </c>
      <c r="O732" s="55">
        <f>IF(A732="",0,IF(COUNTIFS($A$2:A732,A732,$F$2:F732,F732,$L$2:L732,L732)=1,1,0))</f>
        <v>1</v>
      </c>
      <c r="P732" s="55">
        <f>IF(A732="",0,IF(AND(F732="C&amp;T",COUNTIFS($A$2:A732,A732,$F$2:F732,"C&amp;T")=1),1,0))</f>
        <v>0</v>
      </c>
    </row>
    <row r="733" spans="1:16" x14ac:dyDescent="0.35">
      <c r="A733" s="54">
        <f>IFERROR(IF(INDEX(SPOT_Import!$A$1:$Z$2488,733,'Live Data'!$C$12)="","",INDEX(SPOT_Import!$A$1:$Z$2488,733,'Live Data'!$C$12)),"")</f>
        <v>12232</v>
      </c>
      <c r="B733" s="54" t="str">
        <f>IFERROR(IF(INDEX(SPOT_Import!$A$1:$Z$2488,733,'Live Data'!$C$13)="","",INDEX(SPOT_Import!$A$1:$Z$2488,733,'Live Data'!$C$13)),"")</f>
        <v>Kathigu Health Centre</v>
      </c>
      <c r="C733" s="54" t="str">
        <f>IFERROR(IF(INDEX(SPOT_Import!$A$1:$Z$2488,733,'Live Data'!$C$14)="","",INDEX(SPOT_Import!$A$1:$Z$2488,733,'Live Data'!$C$14)),"")</f>
        <v>MERU</v>
      </c>
      <c r="D733" s="54" t="str">
        <f>IFERROR(IF(INDEX(SPOT_Import!$A$1:$Z$2488,733,'Live Data'!$C$15)="","",INDEX(SPOT_Import!$A$1:$Z$2488,733,'Live Data'!$C$15)),"")</f>
        <v>Imenti South</v>
      </c>
      <c r="E733" s="54" t="str">
        <f>IFERROR(IF(INDEX(SPOT_Import!$A$1:$Z$2488,733,'Live Data'!$C$16)="","",INDEX(SPOT_Import!$A$1:$Z$2488,733,'Live Data'!$C$16)),"")</f>
        <v>USAID Jamii Tekelezi</v>
      </c>
      <c r="F733" s="54" t="str">
        <f>IFERROR(IF(INDEX(SPOT_Import!$A$1:$Z$2488,733,'Live Data'!$C$17)="","",INDEX(SPOT_Import!$A$1:$Z$2488,733,'Live Data'!$C$17)),"")</f>
        <v>HTS</v>
      </c>
      <c r="G733" s="54">
        <f>IFERROR(IF(INDEX(SPOT_Import!$A$1:$Z$2488,733,'Live Data'!$C$18)="","",INDEX(SPOT_Import!$A$1:$Z$2488,733,'Live Data'!$C$18)),"")</f>
        <v>4622</v>
      </c>
      <c r="H733" s="54">
        <f>IFERROR(IF(INDEX(SPOT_Import!$A$1:$Z$2488,733,'Live Data'!$C$19)="","",INDEX(SPOT_Import!$A$1:$Z$2488,733,'Live Data'!$C$19)),"")</f>
        <v>4258</v>
      </c>
      <c r="I733" s="54" t="str">
        <f>IFERROR(IF(INDEX(SPOT_Import!$A$1:$Z$2488,733,'Live Data'!$C$20)="","",INDEX(SPOT_Import!$A$1:$Z$2488,733,'Live Data'!$C$20)),"")</f>
        <v/>
      </c>
      <c r="J733" s="54" t="str">
        <f>IFERROR(IF(INDEX(SPOT_Import!$A$1:$Z$2488,733,'Live Data'!$C$21)="","",INDEX(SPOT_Import!$A$1:$Z$2488,733,'Live Data'!$C$21)),"")</f>
        <v>2021-07-06T09:18:12.000Z</v>
      </c>
      <c r="K733" s="54" t="str">
        <f>IFERROR(IF(INDEX(SPOT_Import!$A$1:$Z$2488,733,'Live Data'!$C$22)="","",INDEX(SPOT_Import!$A$1:$Z$2488,733,'Live Data'!$C$22)),"")</f>
        <v>2021-07-06T09:18:12.000Z</v>
      </c>
      <c r="L733" s="55" t="str">
        <f t="shared" si="22"/>
        <v>2021-07</v>
      </c>
      <c r="M733" s="55" t="str">
        <f t="shared" si="23"/>
        <v>MERU</v>
      </c>
      <c r="N733" s="55" t="str">
        <f>IF(A733="","",IFERROR(INDEX('Cluster Map'!$A$4:$A$38,MATCH(M733,'Cluster Map'!$B$4:$B$38,0)),"Unmapped"))</f>
        <v>Cluster 1</v>
      </c>
      <c r="O733" s="55">
        <f>IF(A733="",0,IF(COUNTIFS($A$2:A733,A733,$F$2:F733,F733,$L$2:L733,L733)=1,1,0))</f>
        <v>1</v>
      </c>
      <c r="P733" s="55">
        <f>IF(A733="",0,IF(AND(F733="C&amp;T",COUNTIFS($A$2:A733,A733,$F$2:F733,"C&amp;T")=1),1,0))</f>
        <v>0</v>
      </c>
    </row>
    <row r="734" spans="1:16" x14ac:dyDescent="0.35">
      <c r="A734" s="54">
        <f>IFERROR(IF(INDEX(SPOT_Import!$A$1:$Z$2488,734,'Live Data'!$C$12)="","",INDEX(SPOT_Import!$A$1:$Z$2488,734,'Live Data'!$C$12)),"")</f>
        <v>10808</v>
      </c>
      <c r="B734" s="54" t="str">
        <f>IFERROR(IF(INDEX(SPOT_Import!$A$1:$Z$2488,734,'Live Data'!$C$13)="","",INDEX(SPOT_Import!$A$1:$Z$2488,734,'Live Data'!$C$13)),"")</f>
        <v>Mwea Mission (Our Lady Of Lourdes) Hospital</v>
      </c>
      <c r="C734" s="54" t="str">
        <f>IFERROR(IF(INDEX(SPOT_Import!$A$1:$Z$2488,734,'Live Data'!$C$14)="","",INDEX(SPOT_Import!$A$1:$Z$2488,734,'Live Data'!$C$14)),"")</f>
        <v>KIRINYAGA</v>
      </c>
      <c r="D734" s="54" t="str">
        <f>IFERROR(IF(INDEX(SPOT_Import!$A$1:$Z$2488,734,'Live Data'!$C$15)="","",INDEX(SPOT_Import!$A$1:$Z$2488,734,'Live Data'!$C$15)),"")</f>
        <v>Kirinyaga North/Mwea West</v>
      </c>
      <c r="E734" s="54" t="str">
        <f>IFERROR(IF(INDEX(SPOT_Import!$A$1:$Z$2488,734,'Live Data'!$C$16)="","",INDEX(SPOT_Import!$A$1:$Z$2488,734,'Live Data'!$C$16)),"")</f>
        <v>CHAK CHAP STAWISHA</v>
      </c>
      <c r="F734" s="54" t="str">
        <f>IFERROR(IF(INDEX(SPOT_Import!$A$1:$Z$2488,734,'Live Data'!$C$17)="","",INDEX(SPOT_Import!$A$1:$Z$2488,734,'Live Data'!$C$17)),"")</f>
        <v>PREP</v>
      </c>
      <c r="G734" s="54">
        <f>IFERROR(IF(INDEX(SPOT_Import!$A$1:$Z$2488,734,'Live Data'!$C$18)="","",INDEX(SPOT_Import!$A$1:$Z$2488,734,'Live Data'!$C$18)),"")</f>
        <v>3548</v>
      </c>
      <c r="H734" s="54">
        <f>IFERROR(IF(INDEX(SPOT_Import!$A$1:$Z$2488,734,'Live Data'!$C$19)="","",INDEX(SPOT_Import!$A$1:$Z$2488,734,'Live Data'!$C$19)),"")</f>
        <v>3548</v>
      </c>
      <c r="I734" s="54" t="str">
        <f>IFERROR(IF(INDEX(SPOT_Import!$A$1:$Z$2488,734,'Live Data'!$C$20)="","",INDEX(SPOT_Import!$A$1:$Z$2488,734,'Live Data'!$C$20)),"")</f>
        <v>In Progress</v>
      </c>
      <c r="J734" s="54" t="str">
        <f>IFERROR(IF(INDEX(SPOT_Import!$A$1:$Z$2488,734,'Live Data'!$C$21)="","",INDEX(SPOT_Import!$A$1:$Z$2488,734,'Live Data'!$C$21)),"")</f>
        <v>2026-10-15T07:30:32.000Z</v>
      </c>
      <c r="K734" s="54" t="str">
        <f>IFERROR(IF(INDEX(SPOT_Import!$A$1:$Z$2488,734,'Live Data'!$C$22)="","",INDEX(SPOT_Import!$A$1:$Z$2488,734,'Live Data'!$C$22)),"")</f>
        <v>2026-10-15T07:30:32.000Z</v>
      </c>
      <c r="L734" s="55" t="str">
        <f t="shared" si="22"/>
        <v>2026-10</v>
      </c>
      <c r="M734" s="55" t="str">
        <f t="shared" si="23"/>
        <v>KIRINYAGA</v>
      </c>
      <c r="N734" s="55" t="str">
        <f>IF(A734="","",IFERROR(INDEX('Cluster Map'!$A$4:$A$38,MATCH(M734,'Cluster Map'!$B$4:$B$38,0)),"Unmapped"))</f>
        <v>Cluster 2</v>
      </c>
      <c r="O734" s="55">
        <f>IF(A734="",0,IF(COUNTIFS($A$2:A734,A734,$F$2:F734,F734,$L$2:L734,L734)=1,1,0))</f>
        <v>1</v>
      </c>
      <c r="P734" s="55">
        <f>IF(A734="",0,IF(AND(F734="C&amp;T",COUNTIFS($A$2:A734,A734,$F$2:F734,"C&amp;T")=1),1,0))</f>
        <v>0</v>
      </c>
    </row>
    <row r="735" spans="1:16" x14ac:dyDescent="0.35">
      <c r="A735" s="54">
        <f>IFERROR(IF(INDEX(SPOT_Import!$A$1:$Z$2488,735,'Live Data'!$C$12)="","",INDEX(SPOT_Import!$A$1:$Z$2488,735,'Live Data'!$C$12)),"")</f>
        <v>10808</v>
      </c>
      <c r="B735" s="54" t="str">
        <f>IFERROR(IF(INDEX(SPOT_Import!$A$1:$Z$2488,735,'Live Data'!$C$13)="","",INDEX(SPOT_Import!$A$1:$Z$2488,735,'Live Data'!$C$13)),"")</f>
        <v>Mwea Mission (Our Lady Of Lourdes) Hospital</v>
      </c>
      <c r="C735" s="54" t="str">
        <f>IFERROR(IF(INDEX(SPOT_Import!$A$1:$Z$2488,735,'Live Data'!$C$14)="","",INDEX(SPOT_Import!$A$1:$Z$2488,735,'Live Data'!$C$14)),"")</f>
        <v>KIRINYAGA</v>
      </c>
      <c r="D735" s="54" t="str">
        <f>IFERROR(IF(INDEX(SPOT_Import!$A$1:$Z$2488,735,'Live Data'!$C$15)="","",INDEX(SPOT_Import!$A$1:$Z$2488,735,'Live Data'!$C$15)),"")</f>
        <v>Kirinyaga North/Mwea West</v>
      </c>
      <c r="E735" s="54" t="str">
        <f>IFERROR(IF(INDEX(SPOT_Import!$A$1:$Z$2488,735,'Live Data'!$C$16)="","",INDEX(SPOT_Import!$A$1:$Z$2488,735,'Live Data'!$C$16)),"")</f>
        <v>CHAK CHAP STAWISHA</v>
      </c>
      <c r="F735" s="54" t="str">
        <f>IFERROR(IF(INDEX(SPOT_Import!$A$1:$Z$2488,735,'Live Data'!$C$17)="","",INDEX(SPOT_Import!$A$1:$Z$2488,735,'Live Data'!$C$17)),"")</f>
        <v>MNCH</v>
      </c>
      <c r="G735" s="54">
        <f>IFERROR(IF(INDEX(SPOT_Import!$A$1:$Z$2488,735,'Live Data'!$C$18)="","",INDEX(SPOT_Import!$A$1:$Z$2488,735,'Live Data'!$C$18)),"")</f>
        <v>1025</v>
      </c>
      <c r="H735" s="54">
        <f>IFERROR(IF(INDEX(SPOT_Import!$A$1:$Z$2488,735,'Live Data'!$C$19)="","",INDEX(SPOT_Import!$A$1:$Z$2488,735,'Live Data'!$C$19)),"")</f>
        <v>1025</v>
      </c>
      <c r="I735" s="54" t="str">
        <f>IFERROR(IF(INDEX(SPOT_Import!$A$1:$Z$2488,735,'Live Data'!$C$20)="","",INDEX(SPOT_Import!$A$1:$Z$2488,735,'Live Data'!$C$20)),"")</f>
        <v>In Progress</v>
      </c>
      <c r="J735" s="54" t="str">
        <f>IFERROR(IF(INDEX(SPOT_Import!$A$1:$Z$2488,735,'Live Data'!$C$21)="","",INDEX(SPOT_Import!$A$1:$Z$2488,735,'Live Data'!$C$21)),"")</f>
        <v>2026-10-15T07:29:57.000Z</v>
      </c>
      <c r="K735" s="54" t="str">
        <f>IFERROR(IF(INDEX(SPOT_Import!$A$1:$Z$2488,735,'Live Data'!$C$22)="","",INDEX(SPOT_Import!$A$1:$Z$2488,735,'Live Data'!$C$22)),"")</f>
        <v>2026-10-15T07:29:57.000Z</v>
      </c>
      <c r="L735" s="55" t="str">
        <f t="shared" si="22"/>
        <v>2026-10</v>
      </c>
      <c r="M735" s="55" t="str">
        <f t="shared" si="23"/>
        <v>KIRINYAGA</v>
      </c>
      <c r="N735" s="55" t="str">
        <f>IF(A735="","",IFERROR(INDEX('Cluster Map'!$A$4:$A$38,MATCH(M735,'Cluster Map'!$B$4:$B$38,0)),"Unmapped"))</f>
        <v>Cluster 2</v>
      </c>
      <c r="O735" s="55">
        <f>IF(A735="",0,IF(COUNTIFS($A$2:A735,A735,$F$2:F735,F735,$L$2:L735,L735)=1,1,0))</f>
        <v>1</v>
      </c>
      <c r="P735" s="55">
        <f>IF(A735="",0,IF(AND(F735="C&amp;T",COUNTIFS($A$2:A735,A735,$F$2:F735,"C&amp;T")=1),1,0))</f>
        <v>0</v>
      </c>
    </row>
    <row r="736" spans="1:16" x14ac:dyDescent="0.35">
      <c r="A736" s="54">
        <f>IFERROR(IF(INDEX(SPOT_Import!$A$1:$Z$2488,736,'Live Data'!$C$12)="","",INDEX(SPOT_Import!$A$1:$Z$2488,736,'Live Data'!$C$12)),"")</f>
        <v>10808</v>
      </c>
      <c r="B736" s="54" t="str">
        <f>IFERROR(IF(INDEX(SPOT_Import!$A$1:$Z$2488,736,'Live Data'!$C$13)="","",INDEX(SPOT_Import!$A$1:$Z$2488,736,'Live Data'!$C$13)),"")</f>
        <v>Mwea Mission (Our Lady Of Lourdes) Hospital</v>
      </c>
      <c r="C736" s="54" t="str">
        <f>IFERROR(IF(INDEX(SPOT_Import!$A$1:$Z$2488,736,'Live Data'!$C$14)="","",INDEX(SPOT_Import!$A$1:$Z$2488,736,'Live Data'!$C$14)),"")</f>
        <v>KIRINYAGA</v>
      </c>
      <c r="D736" s="54" t="str">
        <f>IFERROR(IF(INDEX(SPOT_Import!$A$1:$Z$2488,736,'Live Data'!$C$15)="","",INDEX(SPOT_Import!$A$1:$Z$2488,736,'Live Data'!$C$15)),"")</f>
        <v>Kirinyaga North/Mwea West</v>
      </c>
      <c r="E736" s="54" t="str">
        <f>IFERROR(IF(INDEX(SPOT_Import!$A$1:$Z$2488,736,'Live Data'!$C$16)="","",INDEX(SPOT_Import!$A$1:$Z$2488,736,'Live Data'!$C$16)),"")</f>
        <v>CHAK CHAP STAWISHA</v>
      </c>
      <c r="F736" s="54" t="str">
        <f>IFERROR(IF(INDEX(SPOT_Import!$A$1:$Z$2488,736,'Live Data'!$C$17)="","",INDEX(SPOT_Import!$A$1:$Z$2488,736,'Live Data'!$C$17)),"")</f>
        <v>HTS</v>
      </c>
      <c r="G736" s="54">
        <f>IFERROR(IF(INDEX(SPOT_Import!$A$1:$Z$2488,736,'Live Data'!$C$18)="","",INDEX(SPOT_Import!$A$1:$Z$2488,736,'Live Data'!$C$18)),"")</f>
        <v>9239</v>
      </c>
      <c r="H736" s="54">
        <f>IFERROR(IF(INDEX(SPOT_Import!$A$1:$Z$2488,736,'Live Data'!$C$19)="","",INDEX(SPOT_Import!$A$1:$Z$2488,736,'Live Data'!$C$19)),"")</f>
        <v>9239</v>
      </c>
      <c r="I736" s="54" t="str">
        <f>IFERROR(IF(INDEX(SPOT_Import!$A$1:$Z$2488,736,'Live Data'!$C$20)="","",INDEX(SPOT_Import!$A$1:$Z$2488,736,'Live Data'!$C$20)),"")</f>
        <v>Complete</v>
      </c>
      <c r="J736" s="54" t="str">
        <f>IFERROR(IF(INDEX(SPOT_Import!$A$1:$Z$2488,736,'Live Data'!$C$21)="","",INDEX(SPOT_Import!$A$1:$Z$2488,736,'Live Data'!$C$21)),"")</f>
        <v>2026-10-15T07:29:00.000Z</v>
      </c>
      <c r="K736" s="54" t="str">
        <f>IFERROR(IF(INDEX(SPOT_Import!$A$1:$Z$2488,736,'Live Data'!$C$22)="","",INDEX(SPOT_Import!$A$1:$Z$2488,736,'Live Data'!$C$22)),"")</f>
        <v>2026-10-15T07:29:00.000Z</v>
      </c>
      <c r="L736" s="55" t="str">
        <f t="shared" si="22"/>
        <v>2026-10</v>
      </c>
      <c r="M736" s="55" t="str">
        <f t="shared" si="23"/>
        <v>KIRINYAGA</v>
      </c>
      <c r="N736" s="55" t="str">
        <f>IF(A736="","",IFERROR(INDEX('Cluster Map'!$A$4:$A$38,MATCH(M736,'Cluster Map'!$B$4:$B$38,0)),"Unmapped"))</f>
        <v>Cluster 2</v>
      </c>
      <c r="O736" s="55">
        <f>IF(A736="",0,IF(COUNTIFS($A$2:A736,A736,$F$2:F736,F736,$L$2:L736,L736)=1,1,0))</f>
        <v>1</v>
      </c>
      <c r="P736" s="55">
        <f>IF(A736="",0,IF(AND(F736="C&amp;T",COUNTIFS($A$2:A736,A736,$F$2:F736,"C&amp;T")=1),1,0))</f>
        <v>0</v>
      </c>
    </row>
    <row r="737" spans="1:16" x14ac:dyDescent="0.35">
      <c r="A737" s="54">
        <f>IFERROR(IF(INDEX(SPOT_Import!$A$1:$Z$2488,737,'Live Data'!$C$12)="","",INDEX(SPOT_Import!$A$1:$Z$2488,737,'Live Data'!$C$12)),"")</f>
        <v>10808</v>
      </c>
      <c r="B737" s="54" t="str">
        <f>IFERROR(IF(INDEX(SPOT_Import!$A$1:$Z$2488,737,'Live Data'!$C$13)="","",INDEX(SPOT_Import!$A$1:$Z$2488,737,'Live Data'!$C$13)),"")</f>
        <v>Mwea Mission (Our Lady of Lourdes) Hospital</v>
      </c>
      <c r="C737" s="54" t="str">
        <f>IFERROR(IF(INDEX(SPOT_Import!$A$1:$Z$2488,737,'Live Data'!$C$14)="","",INDEX(SPOT_Import!$A$1:$Z$2488,737,'Live Data'!$C$14)),"")</f>
        <v>KIRINYAGA</v>
      </c>
      <c r="D737" s="54" t="str">
        <f>IFERROR(IF(INDEX(SPOT_Import!$A$1:$Z$2488,737,'Live Data'!$C$15)="","",INDEX(SPOT_Import!$A$1:$Z$2488,737,'Live Data'!$C$15)),"")</f>
        <v>Kirinyaga North/Mwea West</v>
      </c>
      <c r="E737" s="54" t="str">
        <f>IFERROR(IF(INDEX(SPOT_Import!$A$1:$Z$2488,737,'Live Data'!$C$16)="","",INDEX(SPOT_Import!$A$1:$Z$2488,737,'Live Data'!$C$16)),"")</f>
        <v>CHAK CHAP STAWISHA</v>
      </c>
      <c r="F737" s="54" t="str">
        <f>IFERROR(IF(INDEX(SPOT_Import!$A$1:$Z$2488,737,'Live Data'!$C$17)="","",INDEX(SPOT_Import!$A$1:$Z$2488,737,'Live Data'!$C$17)),"")</f>
        <v>C&amp;T</v>
      </c>
      <c r="G737" s="54">
        <f>IFERROR(IF(INDEX(SPOT_Import!$A$1:$Z$2488,737,'Live Data'!$C$18)="","",INDEX(SPOT_Import!$A$1:$Z$2488,737,'Live Data'!$C$18)),"")</f>
        <v>4600</v>
      </c>
      <c r="H737" s="54">
        <f>IFERROR(IF(INDEX(SPOT_Import!$A$1:$Z$2488,737,'Live Data'!$C$19)="","",INDEX(SPOT_Import!$A$1:$Z$2488,737,'Live Data'!$C$19)),"")</f>
        <v>4600</v>
      </c>
      <c r="I737" s="54" t="str">
        <f>IFERROR(IF(INDEX(SPOT_Import!$A$1:$Z$2488,737,'Live Data'!$C$20)="","",INDEX(SPOT_Import!$A$1:$Z$2488,737,'Live Data'!$C$20)),"")</f>
        <v>Complete</v>
      </c>
      <c r="J737" s="54" t="str">
        <f>IFERROR(IF(INDEX(SPOT_Import!$A$1:$Z$2488,737,'Live Data'!$C$21)="","",INDEX(SPOT_Import!$A$1:$Z$2488,737,'Live Data'!$C$21)),"")</f>
        <v>2026-10-15T06:52:54.000Z</v>
      </c>
      <c r="K737" s="54" t="str">
        <f>IFERROR(IF(INDEX(SPOT_Import!$A$1:$Z$2488,737,'Live Data'!$C$22)="","",INDEX(SPOT_Import!$A$1:$Z$2488,737,'Live Data'!$C$22)),"")</f>
        <v>2026-10-15T06:52:54.000Z</v>
      </c>
      <c r="L737" s="55" t="str">
        <f t="shared" si="22"/>
        <v>2026-10</v>
      </c>
      <c r="M737" s="55" t="str">
        <f t="shared" si="23"/>
        <v>KIRINYAGA</v>
      </c>
      <c r="N737" s="55" t="str">
        <f>IF(A737="","",IFERROR(INDEX('Cluster Map'!$A$4:$A$38,MATCH(M737,'Cluster Map'!$B$4:$B$38,0)),"Unmapped"))</f>
        <v>Cluster 2</v>
      </c>
      <c r="O737" s="55">
        <f>IF(A737="",0,IF(COUNTIFS($A$2:A737,A737,$F$2:F737,F737,$L$2:L737,L737)=1,1,0))</f>
        <v>1</v>
      </c>
      <c r="P737" s="55">
        <f>IF(A737="",0,IF(AND(F737="C&amp;T",COUNTIFS($A$2:A737,A737,$F$2:F737,"C&amp;T")=1),1,0))</f>
        <v>1</v>
      </c>
    </row>
    <row r="738" spans="1:16" x14ac:dyDescent="0.35">
      <c r="A738" s="54">
        <f>IFERROR(IF(INDEX(SPOT_Import!$A$1:$Z$2488,738,'Live Data'!$C$12)="","",INDEX(SPOT_Import!$A$1:$Z$2488,738,'Live Data'!$C$12)),"")</f>
        <v>10887</v>
      </c>
      <c r="B738" s="54" t="str">
        <f>IFERROR(IF(INDEX(SPOT_Import!$A$1:$Z$2488,738,'Live Data'!$C$13)="","",INDEX(SPOT_Import!$A$1:$Z$2488,738,'Live Data'!$C$13)),"")</f>
        <v>North Kinangop Catholic Hospital</v>
      </c>
      <c r="C738" s="54" t="str">
        <f>IFERROR(IF(INDEX(SPOT_Import!$A$1:$Z$2488,738,'Live Data'!$C$14)="","",INDEX(SPOT_Import!$A$1:$Z$2488,738,'Live Data'!$C$14)),"")</f>
        <v>NYANDARUA</v>
      </c>
      <c r="D738" s="54" t="str">
        <f>IFERROR(IF(INDEX(SPOT_Import!$A$1:$Z$2488,738,'Live Data'!$C$15)="","",INDEX(SPOT_Import!$A$1:$Z$2488,738,'Live Data'!$C$15)),"")</f>
        <v>Kinangop</v>
      </c>
      <c r="E738" s="54" t="str">
        <f>IFERROR(IF(INDEX(SPOT_Import!$A$1:$Z$2488,738,'Live Data'!$C$16)="","",INDEX(SPOT_Import!$A$1:$Z$2488,738,'Live Data'!$C$16)),"")</f>
        <v>CHAK CHAP STAWISHA</v>
      </c>
      <c r="F738" s="54" t="str">
        <f>IFERROR(IF(INDEX(SPOT_Import!$A$1:$Z$2488,738,'Live Data'!$C$17)="","",INDEX(SPOT_Import!$A$1:$Z$2488,738,'Live Data'!$C$17)),"")</f>
        <v>C&amp;T</v>
      </c>
      <c r="G738" s="54">
        <f>IFERROR(IF(INDEX(SPOT_Import!$A$1:$Z$2488,738,'Live Data'!$C$18)="","",INDEX(SPOT_Import!$A$1:$Z$2488,738,'Live Data'!$C$18)),"")</f>
        <v>2801</v>
      </c>
      <c r="H738" s="54">
        <f>IFERROR(IF(INDEX(SPOT_Import!$A$1:$Z$2488,738,'Live Data'!$C$19)="","",INDEX(SPOT_Import!$A$1:$Z$2488,738,'Live Data'!$C$19)),"")</f>
        <v>2801</v>
      </c>
      <c r="I738" s="54" t="str">
        <f>IFERROR(IF(INDEX(SPOT_Import!$A$1:$Z$2488,738,'Live Data'!$C$20)="","",INDEX(SPOT_Import!$A$1:$Z$2488,738,'Live Data'!$C$20)),"")</f>
        <v>Complete</v>
      </c>
      <c r="J738" s="54" t="str">
        <f>IFERROR(IF(INDEX(SPOT_Import!$A$1:$Z$2488,738,'Live Data'!$C$21)="","",INDEX(SPOT_Import!$A$1:$Z$2488,738,'Live Data'!$C$21)),"")</f>
        <v>2026-10-14T21:37:12.000Z</v>
      </c>
      <c r="K738" s="54" t="str">
        <f>IFERROR(IF(INDEX(SPOT_Import!$A$1:$Z$2488,738,'Live Data'!$C$22)="","",INDEX(SPOT_Import!$A$1:$Z$2488,738,'Live Data'!$C$22)),"")</f>
        <v>2026-10-14T21:37:12.000Z</v>
      </c>
      <c r="L738" s="55" t="str">
        <f t="shared" si="22"/>
        <v>2026-10</v>
      </c>
      <c r="M738" s="55" t="str">
        <f t="shared" si="23"/>
        <v>NYANDARUA</v>
      </c>
      <c r="N738" s="55" t="str">
        <f>IF(A738="","",IFERROR(INDEX('Cluster Map'!$A$4:$A$38,MATCH(M738,'Cluster Map'!$B$4:$B$38,0)),"Unmapped"))</f>
        <v>Cluster 4</v>
      </c>
      <c r="O738" s="55">
        <f>IF(A738="",0,IF(COUNTIFS($A$2:A738,A738,$F$2:F738,F738,$L$2:L738,L738)=1,1,0))</f>
        <v>1</v>
      </c>
      <c r="P738" s="55">
        <f>IF(A738="",0,IF(AND(F738="C&amp;T",COUNTIFS($A$2:A738,A738,$F$2:F738,"C&amp;T")=1),1,0))</f>
        <v>1</v>
      </c>
    </row>
    <row r="739" spans="1:16" x14ac:dyDescent="0.35">
      <c r="A739" s="54">
        <f>IFERROR(IF(INDEX(SPOT_Import!$A$1:$Z$2488,739,'Live Data'!$C$12)="","",INDEX(SPOT_Import!$A$1:$Z$2488,739,'Live Data'!$C$12)),"")</f>
        <v>14485</v>
      </c>
      <c r="B739" s="54" t="str">
        <f>IFERROR(IF(INDEX(SPOT_Import!$A$1:$Z$2488,739,'Live Data'!$C$13)="","",INDEX(SPOT_Import!$A$1:$Z$2488,739,'Live Data'!$C$13)),"")</f>
        <v>Ewaso Ngiro Health Centre</v>
      </c>
      <c r="C739" s="54" t="str">
        <f>IFERROR(IF(INDEX(SPOT_Import!$A$1:$Z$2488,739,'Live Data'!$C$14)="","",INDEX(SPOT_Import!$A$1:$Z$2488,739,'Live Data'!$C$14)),"")</f>
        <v>NAROK</v>
      </c>
      <c r="D739" s="54" t="str">
        <f>IFERROR(IF(INDEX(SPOT_Import!$A$1:$Z$2488,739,'Live Data'!$C$15)="","",INDEX(SPOT_Import!$A$1:$Z$2488,739,'Live Data'!$C$15)),"")</f>
        <v>Narok South</v>
      </c>
      <c r="E739" s="54" t="str">
        <f>IFERROR(IF(INDEX(SPOT_Import!$A$1:$Z$2488,739,'Live Data'!$C$16)="","",INDEX(SPOT_Import!$A$1:$Z$2488,739,'Live Data'!$C$16)),"")</f>
        <v>CHAK CHAP STAWISHA</v>
      </c>
      <c r="F739" s="54" t="str">
        <f>IFERROR(IF(INDEX(SPOT_Import!$A$1:$Z$2488,739,'Live Data'!$C$17)="","",INDEX(SPOT_Import!$A$1:$Z$2488,739,'Live Data'!$C$17)),"")</f>
        <v>PREP</v>
      </c>
      <c r="G739" s="54">
        <f>IFERROR(IF(INDEX(SPOT_Import!$A$1:$Z$2488,739,'Live Data'!$C$18)="","",INDEX(SPOT_Import!$A$1:$Z$2488,739,'Live Data'!$C$18)),"")</f>
        <v>1419</v>
      </c>
      <c r="H739" s="54">
        <f>IFERROR(IF(INDEX(SPOT_Import!$A$1:$Z$2488,739,'Live Data'!$C$19)="","",INDEX(SPOT_Import!$A$1:$Z$2488,739,'Live Data'!$C$19)),"")</f>
        <v>1419</v>
      </c>
      <c r="I739" s="54" t="str">
        <f>IFERROR(IF(INDEX(SPOT_Import!$A$1:$Z$2488,739,'Live Data'!$C$20)="","",INDEX(SPOT_Import!$A$1:$Z$2488,739,'Live Data'!$C$20)),"")</f>
        <v>Incomplete</v>
      </c>
      <c r="J739" s="54" t="str">
        <f>IFERROR(IF(INDEX(SPOT_Import!$A$1:$Z$2488,739,'Live Data'!$C$21)="","",INDEX(SPOT_Import!$A$1:$Z$2488,739,'Live Data'!$C$21)),"")</f>
        <v>2026-10-14T19:28:17.000Z</v>
      </c>
      <c r="K739" s="54" t="str">
        <f>IFERROR(IF(INDEX(SPOT_Import!$A$1:$Z$2488,739,'Live Data'!$C$22)="","",INDEX(SPOT_Import!$A$1:$Z$2488,739,'Live Data'!$C$22)),"")</f>
        <v>2026-10-14T19:28:17.000Z</v>
      </c>
      <c r="L739" s="55" t="str">
        <f t="shared" si="22"/>
        <v>2026-10</v>
      </c>
      <c r="M739" s="55" t="str">
        <f t="shared" si="23"/>
        <v>NAROK</v>
      </c>
      <c r="N739" s="55" t="str">
        <f>IF(A739="","",IFERROR(INDEX('Cluster Map'!$A$4:$A$38,MATCH(M739,'Cluster Map'!$B$4:$B$38,0)),"Unmapped"))</f>
        <v>Cluster 4</v>
      </c>
      <c r="O739" s="55">
        <f>IF(A739="",0,IF(COUNTIFS($A$2:A739,A739,$F$2:F739,F739,$L$2:L739,L739)=1,1,0))</f>
        <v>1</v>
      </c>
      <c r="P739" s="55">
        <f>IF(A739="",0,IF(AND(F739="C&amp;T",COUNTIFS($A$2:A739,A739,$F$2:F739,"C&amp;T")=1),1,0))</f>
        <v>0</v>
      </c>
    </row>
    <row r="740" spans="1:16" x14ac:dyDescent="0.35">
      <c r="A740" s="54">
        <f>IFERROR(IF(INDEX(SPOT_Import!$A$1:$Z$2488,740,'Live Data'!$C$12)="","",INDEX(SPOT_Import!$A$1:$Z$2488,740,'Live Data'!$C$12)),"")</f>
        <v>14485</v>
      </c>
      <c r="B740" s="54" t="str">
        <f>IFERROR(IF(INDEX(SPOT_Import!$A$1:$Z$2488,740,'Live Data'!$C$13)="","",INDEX(SPOT_Import!$A$1:$Z$2488,740,'Live Data'!$C$13)),"")</f>
        <v>Ewaso Ngiro Health Centre</v>
      </c>
      <c r="C740" s="54" t="str">
        <f>IFERROR(IF(INDEX(SPOT_Import!$A$1:$Z$2488,740,'Live Data'!$C$14)="","",INDEX(SPOT_Import!$A$1:$Z$2488,740,'Live Data'!$C$14)),"")</f>
        <v>NAROK</v>
      </c>
      <c r="D740" s="54" t="str">
        <f>IFERROR(IF(INDEX(SPOT_Import!$A$1:$Z$2488,740,'Live Data'!$C$15)="","",INDEX(SPOT_Import!$A$1:$Z$2488,740,'Live Data'!$C$15)),"")</f>
        <v>Narok South</v>
      </c>
      <c r="E740" s="54" t="str">
        <f>IFERROR(IF(INDEX(SPOT_Import!$A$1:$Z$2488,740,'Live Data'!$C$16)="","",INDEX(SPOT_Import!$A$1:$Z$2488,740,'Live Data'!$C$16)),"")</f>
        <v>CHAK CHAP STAWISHA</v>
      </c>
      <c r="F740" s="54" t="str">
        <f>IFERROR(IF(INDEX(SPOT_Import!$A$1:$Z$2488,740,'Live Data'!$C$17)="","",INDEX(SPOT_Import!$A$1:$Z$2488,740,'Live Data'!$C$17)),"")</f>
        <v>MNCH</v>
      </c>
      <c r="G740" s="54">
        <f>IFERROR(IF(INDEX(SPOT_Import!$A$1:$Z$2488,740,'Live Data'!$C$18)="","",INDEX(SPOT_Import!$A$1:$Z$2488,740,'Live Data'!$C$18)),"")</f>
        <v>66</v>
      </c>
      <c r="H740" s="54" t="str">
        <f>IFERROR(IF(INDEX(SPOT_Import!$A$1:$Z$2488,740,'Live Data'!$C$19)="","",INDEX(SPOT_Import!$A$1:$Z$2488,740,'Live Data'!$C$19)),"")</f>
        <v/>
      </c>
      <c r="I740" s="54" t="str">
        <f>IFERROR(IF(INDEX(SPOT_Import!$A$1:$Z$2488,740,'Live Data'!$C$20)="","",INDEX(SPOT_Import!$A$1:$Z$2488,740,'Live Data'!$C$20)),"")</f>
        <v>Incomplete</v>
      </c>
      <c r="J740" s="54" t="str">
        <f>IFERROR(IF(INDEX(SPOT_Import!$A$1:$Z$2488,740,'Live Data'!$C$21)="","",INDEX(SPOT_Import!$A$1:$Z$2488,740,'Live Data'!$C$21)),"")</f>
        <v>2026-10-14T19:28:00.000Z</v>
      </c>
      <c r="K740" s="54" t="str">
        <f>IFERROR(IF(INDEX(SPOT_Import!$A$1:$Z$2488,740,'Live Data'!$C$22)="","",INDEX(SPOT_Import!$A$1:$Z$2488,740,'Live Data'!$C$22)),"")</f>
        <v>2026-10-14T19:28:00.000Z</v>
      </c>
      <c r="L740" s="55" t="str">
        <f t="shared" si="22"/>
        <v>2026-10</v>
      </c>
      <c r="M740" s="55" t="str">
        <f t="shared" si="23"/>
        <v>NAROK</v>
      </c>
      <c r="N740" s="55" t="str">
        <f>IF(A740="","",IFERROR(INDEX('Cluster Map'!$A$4:$A$38,MATCH(M740,'Cluster Map'!$B$4:$B$38,0)),"Unmapped"))</f>
        <v>Cluster 4</v>
      </c>
      <c r="O740" s="55">
        <f>IF(A740="",0,IF(COUNTIFS($A$2:A740,A740,$F$2:F740,F740,$L$2:L740,L740)=1,1,0))</f>
        <v>1</v>
      </c>
      <c r="P740" s="55">
        <f>IF(A740="",0,IF(AND(F740="C&amp;T",COUNTIFS($A$2:A740,A740,$F$2:F740,"C&amp;T")=1),1,0))</f>
        <v>0</v>
      </c>
    </row>
    <row r="741" spans="1:16" x14ac:dyDescent="0.35">
      <c r="A741" s="54">
        <f>IFERROR(IF(INDEX(SPOT_Import!$A$1:$Z$2488,741,'Live Data'!$C$12)="","",INDEX(SPOT_Import!$A$1:$Z$2488,741,'Live Data'!$C$12)),"")</f>
        <v>14485</v>
      </c>
      <c r="B741" s="54" t="str">
        <f>IFERROR(IF(INDEX(SPOT_Import!$A$1:$Z$2488,741,'Live Data'!$C$13)="","",INDEX(SPOT_Import!$A$1:$Z$2488,741,'Live Data'!$C$13)),"")</f>
        <v>Ewaso Ngiro Health Centre</v>
      </c>
      <c r="C741" s="54" t="str">
        <f>IFERROR(IF(INDEX(SPOT_Import!$A$1:$Z$2488,741,'Live Data'!$C$14)="","",INDEX(SPOT_Import!$A$1:$Z$2488,741,'Live Data'!$C$14)),"")</f>
        <v>NAROK</v>
      </c>
      <c r="D741" s="54" t="str">
        <f>IFERROR(IF(INDEX(SPOT_Import!$A$1:$Z$2488,741,'Live Data'!$C$15)="","",INDEX(SPOT_Import!$A$1:$Z$2488,741,'Live Data'!$C$15)),"")</f>
        <v>Narok South</v>
      </c>
      <c r="E741" s="54" t="str">
        <f>IFERROR(IF(INDEX(SPOT_Import!$A$1:$Z$2488,741,'Live Data'!$C$16)="","",INDEX(SPOT_Import!$A$1:$Z$2488,741,'Live Data'!$C$16)),"")</f>
        <v>CHAK CHAP STAWISHA</v>
      </c>
      <c r="F741" s="54" t="str">
        <f>IFERROR(IF(INDEX(SPOT_Import!$A$1:$Z$2488,741,'Live Data'!$C$17)="","",INDEX(SPOT_Import!$A$1:$Z$2488,741,'Live Data'!$C$17)),"")</f>
        <v>HTS</v>
      </c>
      <c r="G741" s="54">
        <f>IFERROR(IF(INDEX(SPOT_Import!$A$1:$Z$2488,741,'Live Data'!$C$18)="","",INDEX(SPOT_Import!$A$1:$Z$2488,741,'Live Data'!$C$18)),"")</f>
        <v>10007</v>
      </c>
      <c r="H741" s="54">
        <f>IFERROR(IF(INDEX(SPOT_Import!$A$1:$Z$2488,741,'Live Data'!$C$19)="","",INDEX(SPOT_Import!$A$1:$Z$2488,741,'Live Data'!$C$19)),"")</f>
        <v>10007</v>
      </c>
      <c r="I741" s="54" t="str">
        <f>IFERROR(IF(INDEX(SPOT_Import!$A$1:$Z$2488,741,'Live Data'!$C$20)="","",INDEX(SPOT_Import!$A$1:$Z$2488,741,'Live Data'!$C$20)),"")</f>
        <v>Incomplete</v>
      </c>
      <c r="J741" s="54" t="str">
        <f>IFERROR(IF(INDEX(SPOT_Import!$A$1:$Z$2488,741,'Live Data'!$C$21)="","",INDEX(SPOT_Import!$A$1:$Z$2488,741,'Live Data'!$C$21)),"")</f>
        <v>2026-10-14T19:26:49.000Z</v>
      </c>
      <c r="K741" s="54" t="str">
        <f>IFERROR(IF(INDEX(SPOT_Import!$A$1:$Z$2488,741,'Live Data'!$C$22)="","",INDEX(SPOT_Import!$A$1:$Z$2488,741,'Live Data'!$C$22)),"")</f>
        <v>2026-10-14T19:26:49.000Z</v>
      </c>
      <c r="L741" s="55" t="str">
        <f t="shared" si="22"/>
        <v>2026-10</v>
      </c>
      <c r="M741" s="55" t="str">
        <f t="shared" si="23"/>
        <v>NAROK</v>
      </c>
      <c r="N741" s="55" t="str">
        <f>IF(A741="","",IFERROR(INDEX('Cluster Map'!$A$4:$A$38,MATCH(M741,'Cluster Map'!$B$4:$B$38,0)),"Unmapped"))</f>
        <v>Cluster 4</v>
      </c>
      <c r="O741" s="55">
        <f>IF(A741="",0,IF(COUNTIFS($A$2:A741,A741,$F$2:F741,F741,$L$2:L741,L741)=1,1,0))</f>
        <v>1</v>
      </c>
      <c r="P741" s="55">
        <f>IF(A741="",0,IF(AND(F741="C&amp;T",COUNTIFS($A$2:A741,A741,$F$2:F741,"C&amp;T")=1),1,0))</f>
        <v>0</v>
      </c>
    </row>
    <row r="742" spans="1:16" x14ac:dyDescent="0.35">
      <c r="A742" s="54">
        <f>IFERROR(IF(INDEX(SPOT_Import!$A$1:$Z$2488,742,'Live Data'!$C$12)="","",INDEX(SPOT_Import!$A$1:$Z$2488,742,'Live Data'!$C$12)),"")</f>
        <v>14485</v>
      </c>
      <c r="B742" s="54" t="str">
        <f>IFERROR(IF(INDEX(SPOT_Import!$A$1:$Z$2488,742,'Live Data'!$C$13)="","",INDEX(SPOT_Import!$A$1:$Z$2488,742,'Live Data'!$C$13)),"")</f>
        <v>Ewaso Ngiro Health Centre</v>
      </c>
      <c r="C742" s="54" t="str">
        <f>IFERROR(IF(INDEX(SPOT_Import!$A$1:$Z$2488,742,'Live Data'!$C$14)="","",INDEX(SPOT_Import!$A$1:$Z$2488,742,'Live Data'!$C$14)),"")</f>
        <v>NAROK</v>
      </c>
      <c r="D742" s="54" t="str">
        <f>IFERROR(IF(INDEX(SPOT_Import!$A$1:$Z$2488,742,'Live Data'!$C$15)="","",INDEX(SPOT_Import!$A$1:$Z$2488,742,'Live Data'!$C$15)),"")</f>
        <v>Narok South</v>
      </c>
      <c r="E742" s="54" t="str">
        <f>IFERROR(IF(INDEX(SPOT_Import!$A$1:$Z$2488,742,'Live Data'!$C$16)="","",INDEX(SPOT_Import!$A$1:$Z$2488,742,'Live Data'!$C$16)),"")</f>
        <v>CHAK CHAP STAWISHA</v>
      </c>
      <c r="F742" s="54" t="str">
        <f>IFERROR(IF(INDEX(SPOT_Import!$A$1:$Z$2488,742,'Live Data'!$C$17)="","",INDEX(SPOT_Import!$A$1:$Z$2488,742,'Live Data'!$C$17)),"")</f>
        <v>C&amp;T</v>
      </c>
      <c r="G742" s="54">
        <f>IFERROR(IF(INDEX(SPOT_Import!$A$1:$Z$2488,742,'Live Data'!$C$18)="","",INDEX(SPOT_Import!$A$1:$Z$2488,742,'Live Data'!$C$18)),"")</f>
        <v>2845</v>
      </c>
      <c r="H742" s="54">
        <f>IFERROR(IF(INDEX(SPOT_Import!$A$1:$Z$2488,742,'Live Data'!$C$19)="","",INDEX(SPOT_Import!$A$1:$Z$2488,742,'Live Data'!$C$19)),"")</f>
        <v>2845</v>
      </c>
      <c r="I742" s="54" t="str">
        <f>IFERROR(IF(INDEX(SPOT_Import!$A$1:$Z$2488,742,'Live Data'!$C$20)="","",INDEX(SPOT_Import!$A$1:$Z$2488,742,'Live Data'!$C$20)),"")</f>
        <v>Complete</v>
      </c>
      <c r="J742" s="54" t="str">
        <f>IFERROR(IF(INDEX(SPOT_Import!$A$1:$Z$2488,742,'Live Data'!$C$21)="","",INDEX(SPOT_Import!$A$1:$Z$2488,742,'Live Data'!$C$21)),"")</f>
        <v>2026-10-14T18:59:14.000Z</v>
      </c>
      <c r="K742" s="54" t="str">
        <f>IFERROR(IF(INDEX(SPOT_Import!$A$1:$Z$2488,742,'Live Data'!$C$22)="","",INDEX(SPOT_Import!$A$1:$Z$2488,742,'Live Data'!$C$22)),"")</f>
        <v>2026-10-14T18:59:14.000Z</v>
      </c>
      <c r="L742" s="55" t="str">
        <f t="shared" si="22"/>
        <v>2026-10</v>
      </c>
      <c r="M742" s="55" t="str">
        <f t="shared" si="23"/>
        <v>NAROK</v>
      </c>
      <c r="N742" s="55" t="str">
        <f>IF(A742="","",IFERROR(INDEX('Cluster Map'!$A$4:$A$38,MATCH(M742,'Cluster Map'!$B$4:$B$38,0)),"Unmapped"))</f>
        <v>Cluster 4</v>
      </c>
      <c r="O742" s="55">
        <f>IF(A742="",0,IF(COUNTIFS($A$2:A742,A742,$F$2:F742,F742,$L$2:L742,L742)=1,1,0))</f>
        <v>1</v>
      </c>
      <c r="P742" s="55">
        <f>IF(A742="",0,IF(AND(F742="C&amp;T",COUNTIFS($A$2:A742,A742,$F$2:F742,"C&amp;T")=1),1,0))</f>
        <v>1</v>
      </c>
    </row>
    <row r="743" spans="1:16" x14ac:dyDescent="0.35">
      <c r="A743" s="54">
        <f>IFERROR(IF(INDEX(SPOT_Import!$A$1:$Z$2488,743,'Live Data'!$C$12)="","",INDEX(SPOT_Import!$A$1:$Z$2488,743,'Live Data'!$C$12)),"")</f>
        <v>12277</v>
      </c>
      <c r="B743" s="54" t="str">
        <f>IFERROR(IF(INDEX(SPOT_Import!$A$1:$Z$2488,743,'Live Data'!$C$13)="","",INDEX(SPOT_Import!$A$1:$Z$2488,743,'Live Data'!$C$13)),"")</f>
        <v>Kiangondu Dispensary</v>
      </c>
      <c r="C743" s="54" t="str">
        <f>IFERROR(IF(INDEX(SPOT_Import!$A$1:$Z$2488,743,'Live Data'!$C$14)="","",INDEX(SPOT_Import!$A$1:$Z$2488,743,'Live Data'!$C$14)),"")</f>
        <v>THARAKA - NITHI</v>
      </c>
      <c r="D743" s="54" t="str">
        <f>IFERROR(IF(INDEX(SPOT_Import!$A$1:$Z$2488,743,'Live Data'!$C$15)="","",INDEX(SPOT_Import!$A$1:$Z$2488,743,'Live Data'!$C$15)),"")</f>
        <v>CHUKA</v>
      </c>
      <c r="E743" s="54" t="str">
        <f>IFERROR(IF(INDEX(SPOT_Import!$A$1:$Z$2488,743,'Live Data'!$C$16)="","",INDEX(SPOT_Import!$A$1:$Z$2488,743,'Live Data'!$C$16)),"")</f>
        <v>CHAK CHAP STAWISHA</v>
      </c>
      <c r="F743" s="54" t="str">
        <f>IFERROR(IF(INDEX(SPOT_Import!$A$1:$Z$2488,743,'Live Data'!$C$17)="","",INDEX(SPOT_Import!$A$1:$Z$2488,743,'Live Data'!$C$17)),"")</f>
        <v>HTS</v>
      </c>
      <c r="G743" s="54">
        <f>IFERROR(IF(INDEX(SPOT_Import!$A$1:$Z$2488,743,'Live Data'!$C$18)="","",INDEX(SPOT_Import!$A$1:$Z$2488,743,'Live Data'!$C$18)),"")</f>
        <v>2511</v>
      </c>
      <c r="H743" s="54">
        <f>IFERROR(IF(INDEX(SPOT_Import!$A$1:$Z$2488,743,'Live Data'!$C$19)="","",INDEX(SPOT_Import!$A$1:$Z$2488,743,'Live Data'!$C$19)),"")</f>
        <v>2511</v>
      </c>
      <c r="I743" s="54" t="str">
        <f>IFERROR(IF(INDEX(SPOT_Import!$A$1:$Z$2488,743,'Live Data'!$C$20)="","",INDEX(SPOT_Import!$A$1:$Z$2488,743,'Live Data'!$C$20)),"")</f>
        <v>Complete</v>
      </c>
      <c r="J743" s="54" t="str">
        <f>IFERROR(IF(INDEX(SPOT_Import!$A$1:$Z$2488,743,'Live Data'!$C$21)="","",INDEX(SPOT_Import!$A$1:$Z$2488,743,'Live Data'!$C$21)),"")</f>
        <v>2026-10-14T18:14:49.000Z</v>
      </c>
      <c r="K743" s="54" t="str">
        <f>IFERROR(IF(INDEX(SPOT_Import!$A$1:$Z$2488,743,'Live Data'!$C$22)="","",INDEX(SPOT_Import!$A$1:$Z$2488,743,'Live Data'!$C$22)),"")</f>
        <v>2026-10-14T18:14:49.000Z</v>
      </c>
      <c r="L743" s="55" t="str">
        <f t="shared" si="22"/>
        <v>2026-10</v>
      </c>
      <c r="M743" s="55" t="str">
        <f t="shared" si="23"/>
        <v>THARAKA-NITHI</v>
      </c>
      <c r="N743" s="55" t="str">
        <f>IF(A743="","",IFERROR(INDEX('Cluster Map'!$A$4:$A$38,MATCH(M743,'Cluster Map'!$B$4:$B$38,0)),"Unmapped"))</f>
        <v>Cluster 2</v>
      </c>
      <c r="O743" s="55">
        <f>IF(A743="",0,IF(COUNTIFS($A$2:A743,A743,$F$2:F743,F743,$L$2:L743,L743)=1,1,0))</f>
        <v>1</v>
      </c>
      <c r="P743" s="55">
        <f>IF(A743="",0,IF(AND(F743="C&amp;T",COUNTIFS($A$2:A743,A743,$F$2:F743,"C&amp;T")=1),1,0))</f>
        <v>0</v>
      </c>
    </row>
    <row r="744" spans="1:16" x14ac:dyDescent="0.35">
      <c r="A744" s="54">
        <f>IFERROR(IF(INDEX(SPOT_Import!$A$1:$Z$2488,744,'Live Data'!$C$12)="","",INDEX(SPOT_Import!$A$1:$Z$2488,744,'Live Data'!$C$12)),"")</f>
        <v>12277</v>
      </c>
      <c r="B744" s="54" t="str">
        <f>IFERROR(IF(INDEX(SPOT_Import!$A$1:$Z$2488,744,'Live Data'!$C$13)="","",INDEX(SPOT_Import!$A$1:$Z$2488,744,'Live Data'!$C$13)),"")</f>
        <v>Kiangondu Dispensary</v>
      </c>
      <c r="C744" s="54" t="str">
        <f>IFERROR(IF(INDEX(SPOT_Import!$A$1:$Z$2488,744,'Live Data'!$C$14)="","",INDEX(SPOT_Import!$A$1:$Z$2488,744,'Live Data'!$C$14)),"")</f>
        <v>THARAKA - NITHI</v>
      </c>
      <c r="D744" s="54" t="str">
        <f>IFERROR(IF(INDEX(SPOT_Import!$A$1:$Z$2488,744,'Live Data'!$C$15)="","",INDEX(SPOT_Import!$A$1:$Z$2488,744,'Live Data'!$C$15)),"")</f>
        <v>CHUKA</v>
      </c>
      <c r="E744" s="54" t="str">
        <f>IFERROR(IF(INDEX(SPOT_Import!$A$1:$Z$2488,744,'Live Data'!$C$16)="","",INDEX(SPOT_Import!$A$1:$Z$2488,744,'Live Data'!$C$16)),"")</f>
        <v>CHAK CHAP STAWISHA</v>
      </c>
      <c r="F744" s="54" t="str">
        <f>IFERROR(IF(INDEX(SPOT_Import!$A$1:$Z$2488,744,'Live Data'!$C$17)="","",INDEX(SPOT_Import!$A$1:$Z$2488,744,'Live Data'!$C$17)),"")</f>
        <v>MNCH</v>
      </c>
      <c r="G744" s="54">
        <f>IFERROR(IF(INDEX(SPOT_Import!$A$1:$Z$2488,744,'Live Data'!$C$18)="","",INDEX(SPOT_Import!$A$1:$Z$2488,744,'Live Data'!$C$18)),"")</f>
        <v>2</v>
      </c>
      <c r="H744" s="54">
        <f>IFERROR(IF(INDEX(SPOT_Import!$A$1:$Z$2488,744,'Live Data'!$C$19)="","",INDEX(SPOT_Import!$A$1:$Z$2488,744,'Live Data'!$C$19)),"")</f>
        <v>2</v>
      </c>
      <c r="I744" s="54" t="str">
        <f>IFERROR(IF(INDEX(SPOT_Import!$A$1:$Z$2488,744,'Live Data'!$C$20)="","",INDEX(SPOT_Import!$A$1:$Z$2488,744,'Live Data'!$C$20)),"")</f>
        <v>Complete</v>
      </c>
      <c r="J744" s="54" t="str">
        <f>IFERROR(IF(INDEX(SPOT_Import!$A$1:$Z$2488,744,'Live Data'!$C$21)="","",INDEX(SPOT_Import!$A$1:$Z$2488,744,'Live Data'!$C$21)),"")</f>
        <v>2026-10-14T18:14:36.000Z</v>
      </c>
      <c r="K744" s="54" t="str">
        <f>IFERROR(IF(INDEX(SPOT_Import!$A$1:$Z$2488,744,'Live Data'!$C$22)="","",INDEX(SPOT_Import!$A$1:$Z$2488,744,'Live Data'!$C$22)),"")</f>
        <v>2026-10-14T18:14:36.000Z</v>
      </c>
      <c r="L744" s="55" t="str">
        <f t="shared" si="22"/>
        <v>2026-10</v>
      </c>
      <c r="M744" s="55" t="str">
        <f t="shared" si="23"/>
        <v>THARAKA-NITHI</v>
      </c>
      <c r="N744" s="55" t="str">
        <f>IF(A744="","",IFERROR(INDEX('Cluster Map'!$A$4:$A$38,MATCH(M744,'Cluster Map'!$B$4:$B$38,0)),"Unmapped"))</f>
        <v>Cluster 2</v>
      </c>
      <c r="O744" s="55">
        <f>IF(A744="",0,IF(COUNTIFS($A$2:A744,A744,$F$2:F744,F744,$L$2:L744,L744)=1,1,0))</f>
        <v>1</v>
      </c>
      <c r="P744" s="55">
        <f>IF(A744="",0,IF(AND(F744="C&amp;T",COUNTIFS($A$2:A744,A744,$F$2:F744,"C&amp;T")=1),1,0))</f>
        <v>0</v>
      </c>
    </row>
    <row r="745" spans="1:16" x14ac:dyDescent="0.35">
      <c r="A745" s="54">
        <f>IFERROR(IF(INDEX(SPOT_Import!$A$1:$Z$2488,745,'Live Data'!$C$12)="","",INDEX(SPOT_Import!$A$1:$Z$2488,745,'Live Data'!$C$12)),"")</f>
        <v>12277</v>
      </c>
      <c r="B745" s="54" t="str">
        <f>IFERROR(IF(INDEX(SPOT_Import!$A$1:$Z$2488,745,'Live Data'!$C$13)="","",INDEX(SPOT_Import!$A$1:$Z$2488,745,'Live Data'!$C$13)),"")</f>
        <v>Kiangondu Dispensary</v>
      </c>
      <c r="C745" s="54" t="str">
        <f>IFERROR(IF(INDEX(SPOT_Import!$A$1:$Z$2488,745,'Live Data'!$C$14)="","",INDEX(SPOT_Import!$A$1:$Z$2488,745,'Live Data'!$C$14)),"")</f>
        <v>THARAKA - NITHI</v>
      </c>
      <c r="D745" s="54" t="str">
        <f>IFERROR(IF(INDEX(SPOT_Import!$A$1:$Z$2488,745,'Live Data'!$C$15)="","",INDEX(SPOT_Import!$A$1:$Z$2488,745,'Live Data'!$C$15)),"")</f>
        <v>CHUKA</v>
      </c>
      <c r="E745" s="54" t="str">
        <f>IFERROR(IF(INDEX(SPOT_Import!$A$1:$Z$2488,745,'Live Data'!$C$16)="","",INDEX(SPOT_Import!$A$1:$Z$2488,745,'Live Data'!$C$16)),"")</f>
        <v>CHAK CHAP STAWISHA</v>
      </c>
      <c r="F745" s="54" t="str">
        <f>IFERROR(IF(INDEX(SPOT_Import!$A$1:$Z$2488,745,'Live Data'!$C$17)="","",INDEX(SPOT_Import!$A$1:$Z$2488,745,'Live Data'!$C$17)),"")</f>
        <v>PREP</v>
      </c>
      <c r="G745" s="54">
        <f>IFERROR(IF(INDEX(SPOT_Import!$A$1:$Z$2488,745,'Live Data'!$C$18)="","",INDEX(SPOT_Import!$A$1:$Z$2488,745,'Live Data'!$C$18)),"")</f>
        <v>410</v>
      </c>
      <c r="H745" s="54" t="str">
        <f>IFERROR(IF(INDEX(SPOT_Import!$A$1:$Z$2488,745,'Live Data'!$C$19)="","",INDEX(SPOT_Import!$A$1:$Z$2488,745,'Live Data'!$C$19)),"")</f>
        <v/>
      </c>
      <c r="I745" s="54" t="str">
        <f>IFERROR(IF(INDEX(SPOT_Import!$A$1:$Z$2488,745,'Live Data'!$C$20)="","",INDEX(SPOT_Import!$A$1:$Z$2488,745,'Live Data'!$C$20)),"")</f>
        <v>Incomplete</v>
      </c>
      <c r="J745" s="54" t="str">
        <f>IFERROR(IF(INDEX(SPOT_Import!$A$1:$Z$2488,745,'Live Data'!$C$21)="","",INDEX(SPOT_Import!$A$1:$Z$2488,745,'Live Data'!$C$21)),"")</f>
        <v>2026-10-14T18:14:24.000Z</v>
      </c>
      <c r="K745" s="54" t="str">
        <f>IFERROR(IF(INDEX(SPOT_Import!$A$1:$Z$2488,745,'Live Data'!$C$22)="","",INDEX(SPOT_Import!$A$1:$Z$2488,745,'Live Data'!$C$22)),"")</f>
        <v>2026-10-14T18:14:24.000Z</v>
      </c>
      <c r="L745" s="55" t="str">
        <f t="shared" si="22"/>
        <v>2026-10</v>
      </c>
      <c r="M745" s="55" t="str">
        <f t="shared" si="23"/>
        <v>THARAKA-NITHI</v>
      </c>
      <c r="N745" s="55" t="str">
        <f>IF(A745="","",IFERROR(INDEX('Cluster Map'!$A$4:$A$38,MATCH(M745,'Cluster Map'!$B$4:$B$38,0)),"Unmapped"))</f>
        <v>Cluster 2</v>
      </c>
      <c r="O745" s="55">
        <f>IF(A745="",0,IF(COUNTIFS($A$2:A745,A745,$F$2:F745,F745,$L$2:L745,L745)=1,1,0))</f>
        <v>1</v>
      </c>
      <c r="P745" s="55">
        <f>IF(A745="",0,IF(AND(F745="C&amp;T",COUNTIFS($A$2:A745,A745,$F$2:F745,"C&amp;T")=1),1,0))</f>
        <v>0</v>
      </c>
    </row>
    <row r="746" spans="1:16" x14ac:dyDescent="0.35">
      <c r="A746" s="54">
        <f>IFERROR(IF(INDEX(SPOT_Import!$A$1:$Z$2488,746,'Live Data'!$C$12)="","",INDEX(SPOT_Import!$A$1:$Z$2488,746,'Live Data'!$C$12)),"")</f>
        <v>12277</v>
      </c>
      <c r="B746" s="54" t="str">
        <f>IFERROR(IF(INDEX(SPOT_Import!$A$1:$Z$2488,746,'Live Data'!$C$13)="","",INDEX(SPOT_Import!$A$1:$Z$2488,746,'Live Data'!$C$13)),"")</f>
        <v>Kiangondu Dispensary</v>
      </c>
      <c r="C746" s="54" t="str">
        <f>IFERROR(IF(INDEX(SPOT_Import!$A$1:$Z$2488,746,'Live Data'!$C$14)="","",INDEX(SPOT_Import!$A$1:$Z$2488,746,'Live Data'!$C$14)),"")</f>
        <v>THARAKA - NITHI</v>
      </c>
      <c r="D746" s="54" t="str">
        <f>IFERROR(IF(INDEX(SPOT_Import!$A$1:$Z$2488,746,'Live Data'!$C$15)="","",INDEX(SPOT_Import!$A$1:$Z$2488,746,'Live Data'!$C$15)),"")</f>
        <v>CHUKA</v>
      </c>
      <c r="E746" s="54" t="str">
        <f>IFERROR(IF(INDEX(SPOT_Import!$A$1:$Z$2488,746,'Live Data'!$C$16)="","",INDEX(SPOT_Import!$A$1:$Z$2488,746,'Live Data'!$C$16)),"")</f>
        <v>CHAK CHAP STAWISHA</v>
      </c>
      <c r="F746" s="54" t="str">
        <f>IFERROR(IF(INDEX(SPOT_Import!$A$1:$Z$2488,746,'Live Data'!$C$17)="","",INDEX(SPOT_Import!$A$1:$Z$2488,746,'Live Data'!$C$17)),"")</f>
        <v>C&amp;T</v>
      </c>
      <c r="G746" s="54">
        <f>IFERROR(IF(INDEX(SPOT_Import!$A$1:$Z$2488,746,'Live Data'!$C$18)="","",INDEX(SPOT_Import!$A$1:$Z$2488,746,'Live Data'!$C$18)),"")</f>
        <v>209</v>
      </c>
      <c r="H746" s="54">
        <f>IFERROR(IF(INDEX(SPOT_Import!$A$1:$Z$2488,746,'Live Data'!$C$19)="","",INDEX(SPOT_Import!$A$1:$Z$2488,746,'Live Data'!$C$19)),"")</f>
        <v>209</v>
      </c>
      <c r="I746" s="54" t="str">
        <f>IFERROR(IF(INDEX(SPOT_Import!$A$1:$Z$2488,746,'Live Data'!$C$20)="","",INDEX(SPOT_Import!$A$1:$Z$2488,746,'Live Data'!$C$20)),"")</f>
        <v>Complete</v>
      </c>
      <c r="J746" s="54" t="str">
        <f>IFERROR(IF(INDEX(SPOT_Import!$A$1:$Z$2488,746,'Live Data'!$C$21)="","",INDEX(SPOT_Import!$A$1:$Z$2488,746,'Live Data'!$C$21)),"")</f>
        <v>2026-10-14T17:50:54.000Z</v>
      </c>
      <c r="K746" s="54" t="str">
        <f>IFERROR(IF(INDEX(SPOT_Import!$A$1:$Z$2488,746,'Live Data'!$C$22)="","",INDEX(SPOT_Import!$A$1:$Z$2488,746,'Live Data'!$C$22)),"")</f>
        <v>2026-10-14T17:50:54.000Z</v>
      </c>
      <c r="L746" s="55" t="str">
        <f t="shared" si="22"/>
        <v>2026-10</v>
      </c>
      <c r="M746" s="55" t="str">
        <f t="shared" si="23"/>
        <v>THARAKA-NITHI</v>
      </c>
      <c r="N746" s="55" t="str">
        <f>IF(A746="","",IFERROR(INDEX('Cluster Map'!$A$4:$A$38,MATCH(M746,'Cluster Map'!$B$4:$B$38,0)),"Unmapped"))</f>
        <v>Cluster 2</v>
      </c>
      <c r="O746" s="55">
        <f>IF(A746="",0,IF(COUNTIFS($A$2:A746,A746,$F$2:F746,F746,$L$2:L746,L746)=1,1,0))</f>
        <v>1</v>
      </c>
      <c r="P746" s="55">
        <f>IF(A746="",0,IF(AND(F746="C&amp;T",COUNTIFS($A$2:A746,A746,$F$2:F746,"C&amp;T")=1),1,0))</f>
        <v>1</v>
      </c>
    </row>
    <row r="747" spans="1:16" x14ac:dyDescent="0.35">
      <c r="A747" s="54">
        <f>IFERROR(IF(INDEX(SPOT_Import!$A$1:$Z$2488,747,'Live Data'!$C$12)="","",INDEX(SPOT_Import!$A$1:$Z$2488,747,'Live Data'!$C$12)),"")</f>
        <v>12456</v>
      </c>
      <c r="B747" s="54" t="str">
        <f>IFERROR(IF(INDEX(SPOT_Import!$A$1:$Z$2488,747,'Live Data'!$C$13)="","",INDEX(SPOT_Import!$A$1:$Z$2488,747,'Live Data'!$C$13)),"")</f>
        <v>Makueni Catholic Dispensary</v>
      </c>
      <c r="C747" s="54" t="str">
        <f>IFERROR(IF(INDEX(SPOT_Import!$A$1:$Z$2488,747,'Live Data'!$C$14)="","",INDEX(SPOT_Import!$A$1:$Z$2488,747,'Live Data'!$C$14)),"")</f>
        <v>MAKUENI</v>
      </c>
      <c r="D747" s="54" t="str">
        <f>IFERROR(IF(INDEX(SPOT_Import!$A$1:$Z$2488,747,'Live Data'!$C$15)="","",INDEX(SPOT_Import!$A$1:$Z$2488,747,'Live Data'!$C$15)),"")</f>
        <v>Makueni</v>
      </c>
      <c r="E747" s="54" t="str">
        <f>IFERROR(IF(INDEX(SPOT_Import!$A$1:$Z$2488,747,'Live Data'!$C$16)="","",INDEX(SPOT_Import!$A$1:$Z$2488,747,'Live Data'!$C$16)),"")</f>
        <v>CHAK CHAP STAWISHA</v>
      </c>
      <c r="F747" s="54" t="str">
        <f>IFERROR(IF(INDEX(SPOT_Import!$A$1:$Z$2488,747,'Live Data'!$C$17)="","",INDEX(SPOT_Import!$A$1:$Z$2488,747,'Live Data'!$C$17)),"")</f>
        <v>PREP</v>
      </c>
      <c r="G747" s="54">
        <f>IFERROR(IF(INDEX(SPOT_Import!$A$1:$Z$2488,747,'Live Data'!$C$18)="","",INDEX(SPOT_Import!$A$1:$Z$2488,747,'Live Data'!$C$18)),"")</f>
        <v>108</v>
      </c>
      <c r="H747" s="54">
        <f>IFERROR(IF(INDEX(SPOT_Import!$A$1:$Z$2488,747,'Live Data'!$C$19)="","",INDEX(SPOT_Import!$A$1:$Z$2488,747,'Live Data'!$C$19)),"")</f>
        <v>108</v>
      </c>
      <c r="I747" s="54" t="str">
        <f>IFERROR(IF(INDEX(SPOT_Import!$A$1:$Z$2488,747,'Live Data'!$C$20)="","",INDEX(SPOT_Import!$A$1:$Z$2488,747,'Live Data'!$C$20)),"")</f>
        <v>Complete</v>
      </c>
      <c r="J747" s="54" t="str">
        <f>IFERROR(IF(INDEX(SPOT_Import!$A$1:$Z$2488,747,'Live Data'!$C$21)="","",INDEX(SPOT_Import!$A$1:$Z$2488,747,'Live Data'!$C$21)),"")</f>
        <v>2026-10-14T11:41:02.000Z</v>
      </c>
      <c r="K747" s="54" t="str">
        <f>IFERROR(IF(INDEX(SPOT_Import!$A$1:$Z$2488,747,'Live Data'!$C$22)="","",INDEX(SPOT_Import!$A$1:$Z$2488,747,'Live Data'!$C$22)),"")</f>
        <v>2026-10-14T11:41:02.000Z</v>
      </c>
      <c r="L747" s="55" t="str">
        <f t="shared" si="22"/>
        <v>2026-10</v>
      </c>
      <c r="M747" s="55" t="str">
        <f t="shared" si="23"/>
        <v>MAKUENI</v>
      </c>
      <c r="N747" s="55" t="str">
        <f>IF(A747="","",IFERROR(INDEX('Cluster Map'!$A$4:$A$38,MATCH(M747,'Cluster Map'!$B$4:$B$38,0)),"Unmapped"))</f>
        <v>Cluster 5</v>
      </c>
      <c r="O747" s="55">
        <f>IF(A747="",0,IF(COUNTIFS($A$2:A747,A747,$F$2:F747,F747,$L$2:L747,L747)=1,1,0))</f>
        <v>1</v>
      </c>
      <c r="P747" s="55">
        <f>IF(A747="",0,IF(AND(F747="C&amp;T",COUNTIFS($A$2:A747,A747,$F$2:F747,"C&amp;T")=1),1,0))</f>
        <v>0</v>
      </c>
    </row>
    <row r="748" spans="1:16" x14ac:dyDescent="0.35">
      <c r="A748" s="54">
        <f>IFERROR(IF(INDEX(SPOT_Import!$A$1:$Z$2488,748,'Live Data'!$C$12)="","",INDEX(SPOT_Import!$A$1:$Z$2488,748,'Live Data'!$C$12)),"")</f>
        <v>12456</v>
      </c>
      <c r="B748" s="54" t="str">
        <f>IFERROR(IF(INDEX(SPOT_Import!$A$1:$Z$2488,748,'Live Data'!$C$13)="","",INDEX(SPOT_Import!$A$1:$Z$2488,748,'Live Data'!$C$13)),"")</f>
        <v>Makueni Catholic Dispensary</v>
      </c>
      <c r="C748" s="54" t="str">
        <f>IFERROR(IF(INDEX(SPOT_Import!$A$1:$Z$2488,748,'Live Data'!$C$14)="","",INDEX(SPOT_Import!$A$1:$Z$2488,748,'Live Data'!$C$14)),"")</f>
        <v>MAKUENI</v>
      </c>
      <c r="D748" s="54" t="str">
        <f>IFERROR(IF(INDEX(SPOT_Import!$A$1:$Z$2488,748,'Live Data'!$C$15)="","",INDEX(SPOT_Import!$A$1:$Z$2488,748,'Live Data'!$C$15)),"")</f>
        <v>Makueni</v>
      </c>
      <c r="E748" s="54" t="str">
        <f>IFERROR(IF(INDEX(SPOT_Import!$A$1:$Z$2488,748,'Live Data'!$C$16)="","",INDEX(SPOT_Import!$A$1:$Z$2488,748,'Live Data'!$C$16)),"")</f>
        <v>CHAK CHAP STAWISHA</v>
      </c>
      <c r="F748" s="54" t="str">
        <f>IFERROR(IF(INDEX(SPOT_Import!$A$1:$Z$2488,748,'Live Data'!$C$17)="","",INDEX(SPOT_Import!$A$1:$Z$2488,748,'Live Data'!$C$17)),"")</f>
        <v>MNCH</v>
      </c>
      <c r="G748" s="54">
        <f>IFERROR(IF(INDEX(SPOT_Import!$A$1:$Z$2488,748,'Live Data'!$C$18)="","",INDEX(SPOT_Import!$A$1:$Z$2488,748,'Live Data'!$C$18)),"")</f>
        <v>112</v>
      </c>
      <c r="H748" s="54" t="str">
        <f>IFERROR(IF(INDEX(SPOT_Import!$A$1:$Z$2488,748,'Live Data'!$C$19)="","",INDEX(SPOT_Import!$A$1:$Z$2488,748,'Live Data'!$C$19)),"")</f>
        <v/>
      </c>
      <c r="I748" s="54" t="str">
        <f>IFERROR(IF(INDEX(SPOT_Import!$A$1:$Z$2488,748,'Live Data'!$C$20)="","",INDEX(SPOT_Import!$A$1:$Z$2488,748,'Live Data'!$C$20)),"")</f>
        <v>Incomplete</v>
      </c>
      <c r="J748" s="54" t="str">
        <f>IFERROR(IF(INDEX(SPOT_Import!$A$1:$Z$2488,748,'Live Data'!$C$21)="","",INDEX(SPOT_Import!$A$1:$Z$2488,748,'Live Data'!$C$21)),"")</f>
        <v>2026-10-14T11:40:51.000Z</v>
      </c>
      <c r="K748" s="54" t="str">
        <f>IFERROR(IF(INDEX(SPOT_Import!$A$1:$Z$2488,748,'Live Data'!$C$22)="","",INDEX(SPOT_Import!$A$1:$Z$2488,748,'Live Data'!$C$22)),"")</f>
        <v>2026-10-14T11:40:51.000Z</v>
      </c>
      <c r="L748" s="55" t="str">
        <f t="shared" si="22"/>
        <v>2026-10</v>
      </c>
      <c r="M748" s="55" t="str">
        <f t="shared" si="23"/>
        <v>MAKUENI</v>
      </c>
      <c r="N748" s="55" t="str">
        <f>IF(A748="","",IFERROR(INDEX('Cluster Map'!$A$4:$A$38,MATCH(M748,'Cluster Map'!$B$4:$B$38,0)),"Unmapped"))</f>
        <v>Cluster 5</v>
      </c>
      <c r="O748" s="55">
        <f>IF(A748="",0,IF(COUNTIFS($A$2:A748,A748,$F$2:F748,F748,$L$2:L748,L748)=1,1,0))</f>
        <v>1</v>
      </c>
      <c r="P748" s="55">
        <f>IF(A748="",0,IF(AND(F748="C&amp;T",COUNTIFS($A$2:A748,A748,$F$2:F748,"C&amp;T")=1),1,0))</f>
        <v>0</v>
      </c>
    </row>
    <row r="749" spans="1:16" x14ac:dyDescent="0.35">
      <c r="A749" s="54">
        <f>IFERROR(IF(INDEX(SPOT_Import!$A$1:$Z$2488,749,'Live Data'!$C$12)="","",INDEX(SPOT_Import!$A$1:$Z$2488,749,'Live Data'!$C$12)),"")</f>
        <v>12456</v>
      </c>
      <c r="B749" s="54" t="str">
        <f>IFERROR(IF(INDEX(SPOT_Import!$A$1:$Z$2488,749,'Live Data'!$C$13)="","",INDEX(SPOT_Import!$A$1:$Z$2488,749,'Live Data'!$C$13)),"")</f>
        <v>Makueni Catholic Dispensary</v>
      </c>
      <c r="C749" s="54" t="str">
        <f>IFERROR(IF(INDEX(SPOT_Import!$A$1:$Z$2488,749,'Live Data'!$C$14)="","",INDEX(SPOT_Import!$A$1:$Z$2488,749,'Live Data'!$C$14)),"")</f>
        <v>MAKUENI</v>
      </c>
      <c r="D749" s="54" t="str">
        <f>IFERROR(IF(INDEX(SPOT_Import!$A$1:$Z$2488,749,'Live Data'!$C$15)="","",INDEX(SPOT_Import!$A$1:$Z$2488,749,'Live Data'!$C$15)),"")</f>
        <v>Makueni</v>
      </c>
      <c r="E749" s="54" t="str">
        <f>IFERROR(IF(INDEX(SPOT_Import!$A$1:$Z$2488,749,'Live Data'!$C$16)="","",INDEX(SPOT_Import!$A$1:$Z$2488,749,'Live Data'!$C$16)),"")</f>
        <v>CHAK CHAP STAWISHA</v>
      </c>
      <c r="F749" s="54" t="str">
        <f>IFERROR(IF(INDEX(SPOT_Import!$A$1:$Z$2488,749,'Live Data'!$C$17)="","",INDEX(SPOT_Import!$A$1:$Z$2488,749,'Live Data'!$C$17)),"")</f>
        <v>HTS</v>
      </c>
      <c r="G749" s="54">
        <f>IFERROR(IF(INDEX(SPOT_Import!$A$1:$Z$2488,749,'Live Data'!$C$18)="","",INDEX(SPOT_Import!$A$1:$Z$2488,749,'Live Data'!$C$18)),"")</f>
        <v>969</v>
      </c>
      <c r="H749" s="54">
        <f>IFERROR(IF(INDEX(SPOT_Import!$A$1:$Z$2488,749,'Live Data'!$C$19)="","",INDEX(SPOT_Import!$A$1:$Z$2488,749,'Live Data'!$C$19)),"")</f>
        <v>969</v>
      </c>
      <c r="I749" s="54" t="str">
        <f>IFERROR(IF(INDEX(SPOT_Import!$A$1:$Z$2488,749,'Live Data'!$C$20)="","",INDEX(SPOT_Import!$A$1:$Z$2488,749,'Live Data'!$C$20)),"")</f>
        <v>Complete</v>
      </c>
      <c r="J749" s="54" t="str">
        <f>IFERROR(IF(INDEX(SPOT_Import!$A$1:$Z$2488,749,'Live Data'!$C$21)="","",INDEX(SPOT_Import!$A$1:$Z$2488,749,'Live Data'!$C$21)),"")</f>
        <v>2026-10-14T11:39:32.000Z</v>
      </c>
      <c r="K749" s="54" t="str">
        <f>IFERROR(IF(INDEX(SPOT_Import!$A$1:$Z$2488,749,'Live Data'!$C$22)="","",INDEX(SPOT_Import!$A$1:$Z$2488,749,'Live Data'!$C$22)),"")</f>
        <v>2026-10-14T11:39:32.000Z</v>
      </c>
      <c r="L749" s="55" t="str">
        <f t="shared" si="22"/>
        <v>2026-10</v>
      </c>
      <c r="M749" s="55" t="str">
        <f t="shared" si="23"/>
        <v>MAKUENI</v>
      </c>
      <c r="N749" s="55" t="str">
        <f>IF(A749="","",IFERROR(INDEX('Cluster Map'!$A$4:$A$38,MATCH(M749,'Cluster Map'!$B$4:$B$38,0)),"Unmapped"))</f>
        <v>Cluster 5</v>
      </c>
      <c r="O749" s="55">
        <f>IF(A749="",0,IF(COUNTIFS($A$2:A749,A749,$F$2:F749,F749,$L$2:L749,L749)=1,1,0))</f>
        <v>1</v>
      </c>
      <c r="P749" s="55">
        <f>IF(A749="",0,IF(AND(F749="C&amp;T",COUNTIFS($A$2:A749,A749,$F$2:F749,"C&amp;T")=1),1,0))</f>
        <v>0</v>
      </c>
    </row>
    <row r="750" spans="1:16" x14ac:dyDescent="0.35">
      <c r="A750" s="54">
        <f>IFERROR(IF(INDEX(SPOT_Import!$A$1:$Z$2488,750,'Live Data'!$C$12)="","",INDEX(SPOT_Import!$A$1:$Z$2488,750,'Live Data'!$C$12)),"")</f>
        <v>12456</v>
      </c>
      <c r="B750" s="54" t="str">
        <f>IFERROR(IF(INDEX(SPOT_Import!$A$1:$Z$2488,750,'Live Data'!$C$13)="","",INDEX(SPOT_Import!$A$1:$Z$2488,750,'Live Data'!$C$13)),"")</f>
        <v>Makueni Catholic Dispensary</v>
      </c>
      <c r="C750" s="54" t="str">
        <f>IFERROR(IF(INDEX(SPOT_Import!$A$1:$Z$2488,750,'Live Data'!$C$14)="","",INDEX(SPOT_Import!$A$1:$Z$2488,750,'Live Data'!$C$14)),"")</f>
        <v>MAKUENI</v>
      </c>
      <c r="D750" s="54" t="str">
        <f>IFERROR(IF(INDEX(SPOT_Import!$A$1:$Z$2488,750,'Live Data'!$C$15)="","",INDEX(SPOT_Import!$A$1:$Z$2488,750,'Live Data'!$C$15)),"")</f>
        <v>Makueni</v>
      </c>
      <c r="E750" s="54" t="str">
        <f>IFERROR(IF(INDEX(SPOT_Import!$A$1:$Z$2488,750,'Live Data'!$C$16)="","",INDEX(SPOT_Import!$A$1:$Z$2488,750,'Live Data'!$C$16)),"")</f>
        <v>CHAK CHAP STAWISHA</v>
      </c>
      <c r="F750" s="54" t="str">
        <f>IFERROR(IF(INDEX(SPOT_Import!$A$1:$Z$2488,750,'Live Data'!$C$17)="","",INDEX(SPOT_Import!$A$1:$Z$2488,750,'Live Data'!$C$17)),"")</f>
        <v>C&amp;T</v>
      </c>
      <c r="G750" s="54">
        <f>IFERROR(IF(INDEX(SPOT_Import!$A$1:$Z$2488,750,'Live Data'!$C$18)="","",INDEX(SPOT_Import!$A$1:$Z$2488,750,'Live Data'!$C$18)),"")</f>
        <v>74</v>
      </c>
      <c r="H750" s="54">
        <f>IFERROR(IF(INDEX(SPOT_Import!$A$1:$Z$2488,750,'Live Data'!$C$19)="","",INDEX(SPOT_Import!$A$1:$Z$2488,750,'Live Data'!$C$19)),"")</f>
        <v>74</v>
      </c>
      <c r="I750" s="54" t="str">
        <f>IFERROR(IF(INDEX(SPOT_Import!$A$1:$Z$2488,750,'Live Data'!$C$20)="","",INDEX(SPOT_Import!$A$1:$Z$2488,750,'Live Data'!$C$20)),"")</f>
        <v>Complete</v>
      </c>
      <c r="J750" s="54" t="str">
        <f>IFERROR(IF(INDEX(SPOT_Import!$A$1:$Z$2488,750,'Live Data'!$C$21)="","",INDEX(SPOT_Import!$A$1:$Z$2488,750,'Live Data'!$C$21)),"")</f>
        <v>2026-10-14T11:14:16.000Z</v>
      </c>
      <c r="K750" s="54" t="str">
        <f>IFERROR(IF(INDEX(SPOT_Import!$A$1:$Z$2488,750,'Live Data'!$C$22)="","",INDEX(SPOT_Import!$A$1:$Z$2488,750,'Live Data'!$C$22)),"")</f>
        <v>2026-10-14T11:14:16.000Z</v>
      </c>
      <c r="L750" s="55" t="str">
        <f t="shared" si="22"/>
        <v>2026-10</v>
      </c>
      <c r="M750" s="55" t="str">
        <f t="shared" si="23"/>
        <v>MAKUENI</v>
      </c>
      <c r="N750" s="55" t="str">
        <f>IF(A750="","",IFERROR(INDEX('Cluster Map'!$A$4:$A$38,MATCH(M750,'Cluster Map'!$B$4:$B$38,0)),"Unmapped"))</f>
        <v>Cluster 5</v>
      </c>
      <c r="O750" s="55">
        <f>IF(A750="",0,IF(COUNTIFS($A$2:A750,A750,$F$2:F750,F750,$L$2:L750,L750)=1,1,0))</f>
        <v>1</v>
      </c>
      <c r="P750" s="55">
        <f>IF(A750="",0,IF(AND(F750="C&amp;T",COUNTIFS($A$2:A750,A750,$F$2:F750,"C&amp;T")=1),1,0))</f>
        <v>1</v>
      </c>
    </row>
    <row r="751" spans="1:16" x14ac:dyDescent="0.35">
      <c r="A751" s="54">
        <f>IFERROR(IF(INDEX(SPOT_Import!$A$1:$Z$2488,751,'Live Data'!$C$12)="","",INDEX(SPOT_Import!$A$1:$Z$2488,751,'Live Data'!$C$12)),"")</f>
        <v>10398</v>
      </c>
      <c r="B751" s="54" t="str">
        <f>IFERROR(IF(INDEX(SPOT_Import!$A$1:$Z$2488,751,'Live Data'!$C$13)="","",INDEX(SPOT_Import!$A$1:$Z$2488,751,'Live Data'!$C$13)),"")</f>
        <v>Kagio Catholic Dispensary (Mary Immucate Catholic Dispensary)</v>
      </c>
      <c r="C751" s="54" t="str">
        <f>IFERROR(IF(INDEX(SPOT_Import!$A$1:$Z$2488,751,'Live Data'!$C$14)="","",INDEX(SPOT_Import!$A$1:$Z$2488,751,'Live Data'!$C$14)),"")</f>
        <v>KIRINYAGA</v>
      </c>
      <c r="D751" s="54" t="str">
        <f>IFERROR(IF(INDEX(SPOT_Import!$A$1:$Z$2488,751,'Live Data'!$C$15)="","",INDEX(SPOT_Import!$A$1:$Z$2488,751,'Live Data'!$C$15)),"")</f>
        <v>Kirinyaga West</v>
      </c>
      <c r="E751" s="54" t="str">
        <f>IFERROR(IF(INDEX(SPOT_Import!$A$1:$Z$2488,751,'Live Data'!$C$16)="","",INDEX(SPOT_Import!$A$1:$Z$2488,751,'Live Data'!$C$16)),"")</f>
        <v>CHAK CHAP STAWISHA</v>
      </c>
      <c r="F751" s="54" t="str">
        <f>IFERROR(IF(INDEX(SPOT_Import!$A$1:$Z$2488,751,'Live Data'!$C$17)="","",INDEX(SPOT_Import!$A$1:$Z$2488,751,'Live Data'!$C$17)),"")</f>
        <v>MNCH</v>
      </c>
      <c r="G751" s="54">
        <f>IFERROR(IF(INDEX(SPOT_Import!$A$1:$Z$2488,751,'Live Data'!$C$18)="","",INDEX(SPOT_Import!$A$1:$Z$2488,751,'Live Data'!$C$18)),"")</f>
        <v>155</v>
      </c>
      <c r="H751" s="54" t="str">
        <f>IFERROR(IF(INDEX(SPOT_Import!$A$1:$Z$2488,751,'Live Data'!$C$19)="","",INDEX(SPOT_Import!$A$1:$Z$2488,751,'Live Data'!$C$19)),"")</f>
        <v/>
      </c>
      <c r="I751" s="54" t="str">
        <f>IFERROR(IF(INDEX(SPOT_Import!$A$1:$Z$2488,751,'Live Data'!$C$20)="","",INDEX(SPOT_Import!$A$1:$Z$2488,751,'Live Data'!$C$20)),"")</f>
        <v>Incomplete</v>
      </c>
      <c r="J751" s="54" t="str">
        <f>IFERROR(IF(INDEX(SPOT_Import!$A$1:$Z$2488,751,'Live Data'!$C$21)="","",INDEX(SPOT_Import!$A$1:$Z$2488,751,'Live Data'!$C$21)),"")</f>
        <v>2026-10-14T10:43:38.000Z</v>
      </c>
      <c r="K751" s="54" t="str">
        <f>IFERROR(IF(INDEX(SPOT_Import!$A$1:$Z$2488,751,'Live Data'!$C$22)="","",INDEX(SPOT_Import!$A$1:$Z$2488,751,'Live Data'!$C$22)),"")</f>
        <v>2026-10-14T10:43:38.000Z</v>
      </c>
      <c r="L751" s="55" t="str">
        <f t="shared" si="22"/>
        <v>2026-10</v>
      </c>
      <c r="M751" s="55" t="str">
        <f t="shared" si="23"/>
        <v>KIRINYAGA</v>
      </c>
      <c r="N751" s="55" t="str">
        <f>IF(A751="","",IFERROR(INDEX('Cluster Map'!$A$4:$A$38,MATCH(M751,'Cluster Map'!$B$4:$B$38,0)),"Unmapped"))</f>
        <v>Cluster 2</v>
      </c>
      <c r="O751" s="55">
        <f>IF(A751="",0,IF(COUNTIFS($A$2:A751,A751,$F$2:F751,F751,$L$2:L751,L751)=1,1,0))</f>
        <v>1</v>
      </c>
      <c r="P751" s="55">
        <f>IF(A751="",0,IF(AND(F751="C&amp;T",COUNTIFS($A$2:A751,A751,$F$2:F751,"C&amp;T")=1),1,0))</f>
        <v>0</v>
      </c>
    </row>
    <row r="752" spans="1:16" x14ac:dyDescent="0.35">
      <c r="A752" s="54">
        <f>IFERROR(IF(INDEX(SPOT_Import!$A$1:$Z$2488,752,'Live Data'!$C$12)="","",INDEX(SPOT_Import!$A$1:$Z$2488,752,'Live Data'!$C$12)),"")</f>
        <v>10398</v>
      </c>
      <c r="B752" s="54" t="str">
        <f>IFERROR(IF(INDEX(SPOT_Import!$A$1:$Z$2488,752,'Live Data'!$C$13)="","",INDEX(SPOT_Import!$A$1:$Z$2488,752,'Live Data'!$C$13)),"")</f>
        <v>Kagio Catholic Dispensary (Mary Immucate Catholic Dispensary)</v>
      </c>
      <c r="C752" s="54" t="str">
        <f>IFERROR(IF(INDEX(SPOT_Import!$A$1:$Z$2488,752,'Live Data'!$C$14)="","",INDEX(SPOT_Import!$A$1:$Z$2488,752,'Live Data'!$C$14)),"")</f>
        <v>KIRINYAGA</v>
      </c>
      <c r="D752" s="54" t="str">
        <f>IFERROR(IF(INDEX(SPOT_Import!$A$1:$Z$2488,752,'Live Data'!$C$15)="","",INDEX(SPOT_Import!$A$1:$Z$2488,752,'Live Data'!$C$15)),"")</f>
        <v>Kirinyaga West</v>
      </c>
      <c r="E752" s="54" t="str">
        <f>IFERROR(IF(INDEX(SPOT_Import!$A$1:$Z$2488,752,'Live Data'!$C$16)="","",INDEX(SPOT_Import!$A$1:$Z$2488,752,'Live Data'!$C$16)),"")</f>
        <v>CHAK CHAP STAWISHA</v>
      </c>
      <c r="F752" s="54" t="str">
        <f>IFERROR(IF(INDEX(SPOT_Import!$A$1:$Z$2488,752,'Live Data'!$C$17)="","",INDEX(SPOT_Import!$A$1:$Z$2488,752,'Live Data'!$C$17)),"")</f>
        <v>PREP</v>
      </c>
      <c r="G752" s="54">
        <f>IFERROR(IF(INDEX(SPOT_Import!$A$1:$Z$2488,752,'Live Data'!$C$18)="","",INDEX(SPOT_Import!$A$1:$Z$2488,752,'Live Data'!$C$18)),"")</f>
        <v>376</v>
      </c>
      <c r="H752" s="54">
        <f>IFERROR(IF(INDEX(SPOT_Import!$A$1:$Z$2488,752,'Live Data'!$C$19)="","",INDEX(SPOT_Import!$A$1:$Z$2488,752,'Live Data'!$C$19)),"")</f>
        <v>200</v>
      </c>
      <c r="I752" s="54" t="str">
        <f>IFERROR(IF(INDEX(SPOT_Import!$A$1:$Z$2488,752,'Live Data'!$C$20)="","",INDEX(SPOT_Import!$A$1:$Z$2488,752,'Live Data'!$C$20)),"")</f>
        <v>Incomplete</v>
      </c>
      <c r="J752" s="54" t="str">
        <f>IFERROR(IF(INDEX(SPOT_Import!$A$1:$Z$2488,752,'Live Data'!$C$21)="","",INDEX(SPOT_Import!$A$1:$Z$2488,752,'Live Data'!$C$21)),"")</f>
        <v>2026-10-14T10:43:25.000Z</v>
      </c>
      <c r="K752" s="54" t="str">
        <f>IFERROR(IF(INDEX(SPOT_Import!$A$1:$Z$2488,752,'Live Data'!$C$22)="","",INDEX(SPOT_Import!$A$1:$Z$2488,752,'Live Data'!$C$22)),"")</f>
        <v>2026-10-14T10:43:25.000Z</v>
      </c>
      <c r="L752" s="55" t="str">
        <f t="shared" si="22"/>
        <v>2026-10</v>
      </c>
      <c r="M752" s="55" t="str">
        <f t="shared" si="23"/>
        <v>KIRINYAGA</v>
      </c>
      <c r="N752" s="55" t="str">
        <f>IF(A752="","",IFERROR(INDEX('Cluster Map'!$A$4:$A$38,MATCH(M752,'Cluster Map'!$B$4:$B$38,0)),"Unmapped"))</f>
        <v>Cluster 2</v>
      </c>
      <c r="O752" s="55">
        <f>IF(A752="",0,IF(COUNTIFS($A$2:A752,A752,$F$2:F752,F752,$L$2:L752,L752)=1,1,0))</f>
        <v>1</v>
      </c>
      <c r="P752" s="55">
        <f>IF(A752="",0,IF(AND(F752="C&amp;T",COUNTIFS($A$2:A752,A752,$F$2:F752,"C&amp;T")=1),1,0))</f>
        <v>0</v>
      </c>
    </row>
    <row r="753" spans="1:16" x14ac:dyDescent="0.35">
      <c r="A753" s="54">
        <f>IFERROR(IF(INDEX(SPOT_Import!$A$1:$Z$2488,753,'Live Data'!$C$12)="","",INDEX(SPOT_Import!$A$1:$Z$2488,753,'Live Data'!$C$12)),"")</f>
        <v>10398</v>
      </c>
      <c r="B753" s="54" t="str">
        <f>IFERROR(IF(INDEX(SPOT_Import!$A$1:$Z$2488,753,'Live Data'!$C$13)="","",INDEX(SPOT_Import!$A$1:$Z$2488,753,'Live Data'!$C$13)),"")</f>
        <v>Kagio Catholic Dispensary (Mary Immucate Catholic Dispensary)</v>
      </c>
      <c r="C753" s="54" t="str">
        <f>IFERROR(IF(INDEX(SPOT_Import!$A$1:$Z$2488,753,'Live Data'!$C$14)="","",INDEX(SPOT_Import!$A$1:$Z$2488,753,'Live Data'!$C$14)),"")</f>
        <v>KIRINYAGA</v>
      </c>
      <c r="D753" s="54" t="str">
        <f>IFERROR(IF(INDEX(SPOT_Import!$A$1:$Z$2488,753,'Live Data'!$C$15)="","",INDEX(SPOT_Import!$A$1:$Z$2488,753,'Live Data'!$C$15)),"")</f>
        <v>Kirinyaga West</v>
      </c>
      <c r="E753" s="54" t="str">
        <f>IFERROR(IF(INDEX(SPOT_Import!$A$1:$Z$2488,753,'Live Data'!$C$16)="","",INDEX(SPOT_Import!$A$1:$Z$2488,753,'Live Data'!$C$16)),"")</f>
        <v>CHAK CHAP STAWISHA</v>
      </c>
      <c r="F753" s="54" t="str">
        <f>IFERROR(IF(INDEX(SPOT_Import!$A$1:$Z$2488,753,'Live Data'!$C$17)="","",INDEX(SPOT_Import!$A$1:$Z$2488,753,'Live Data'!$C$17)),"")</f>
        <v>MNCH</v>
      </c>
      <c r="G753" s="54">
        <f>IFERROR(IF(INDEX(SPOT_Import!$A$1:$Z$2488,753,'Live Data'!$C$18)="","",INDEX(SPOT_Import!$A$1:$Z$2488,753,'Live Data'!$C$18)),"")</f>
        <v>155</v>
      </c>
      <c r="H753" s="54">
        <f>IFERROR(IF(INDEX(SPOT_Import!$A$1:$Z$2488,753,'Live Data'!$C$19)="","",INDEX(SPOT_Import!$A$1:$Z$2488,753,'Live Data'!$C$19)),"")</f>
        <v>155</v>
      </c>
      <c r="I753" s="54" t="str">
        <f>IFERROR(IF(INDEX(SPOT_Import!$A$1:$Z$2488,753,'Live Data'!$C$20)="","",INDEX(SPOT_Import!$A$1:$Z$2488,753,'Live Data'!$C$20)),"")</f>
        <v>Complete</v>
      </c>
      <c r="J753" s="54" t="str">
        <f>IFERROR(IF(INDEX(SPOT_Import!$A$1:$Z$2488,753,'Live Data'!$C$21)="","",INDEX(SPOT_Import!$A$1:$Z$2488,753,'Live Data'!$C$21)),"")</f>
        <v>2026-10-14T10:43:04.000Z</v>
      </c>
      <c r="K753" s="54" t="str">
        <f>IFERROR(IF(INDEX(SPOT_Import!$A$1:$Z$2488,753,'Live Data'!$C$22)="","",INDEX(SPOT_Import!$A$1:$Z$2488,753,'Live Data'!$C$22)),"")</f>
        <v>2026-10-14T10:43:04.000Z</v>
      </c>
      <c r="L753" s="55" t="str">
        <f t="shared" si="22"/>
        <v>2026-10</v>
      </c>
      <c r="M753" s="55" t="str">
        <f t="shared" si="23"/>
        <v>KIRINYAGA</v>
      </c>
      <c r="N753" s="55" t="str">
        <f>IF(A753="","",IFERROR(INDEX('Cluster Map'!$A$4:$A$38,MATCH(M753,'Cluster Map'!$B$4:$B$38,0)),"Unmapped"))</f>
        <v>Cluster 2</v>
      </c>
      <c r="O753" s="55">
        <f>IF(A753="",0,IF(COUNTIFS($A$2:A753,A753,$F$2:F753,F753,$L$2:L753,L753)=1,1,0))</f>
        <v>0</v>
      </c>
      <c r="P753" s="55">
        <f>IF(A753="",0,IF(AND(F753="C&amp;T",COUNTIFS($A$2:A753,A753,$F$2:F753,"C&amp;T")=1),1,0))</f>
        <v>0</v>
      </c>
    </row>
    <row r="754" spans="1:16" x14ac:dyDescent="0.35">
      <c r="A754" s="54">
        <f>IFERROR(IF(INDEX(SPOT_Import!$A$1:$Z$2488,754,'Live Data'!$C$12)="","",INDEX(SPOT_Import!$A$1:$Z$2488,754,'Live Data'!$C$12)),"")</f>
        <v>10398</v>
      </c>
      <c r="B754" s="54" t="str">
        <f>IFERROR(IF(INDEX(SPOT_Import!$A$1:$Z$2488,754,'Live Data'!$C$13)="","",INDEX(SPOT_Import!$A$1:$Z$2488,754,'Live Data'!$C$13)),"")</f>
        <v>Kagio Catholic Dispensary (Mary Immucate Catholic Dispensary)</v>
      </c>
      <c r="C754" s="54" t="str">
        <f>IFERROR(IF(INDEX(SPOT_Import!$A$1:$Z$2488,754,'Live Data'!$C$14)="","",INDEX(SPOT_Import!$A$1:$Z$2488,754,'Live Data'!$C$14)),"")</f>
        <v>KIRINYAGA</v>
      </c>
      <c r="D754" s="54" t="str">
        <f>IFERROR(IF(INDEX(SPOT_Import!$A$1:$Z$2488,754,'Live Data'!$C$15)="","",INDEX(SPOT_Import!$A$1:$Z$2488,754,'Live Data'!$C$15)),"")</f>
        <v>Kirinyaga West</v>
      </c>
      <c r="E754" s="54" t="str">
        <f>IFERROR(IF(INDEX(SPOT_Import!$A$1:$Z$2488,754,'Live Data'!$C$16)="","",INDEX(SPOT_Import!$A$1:$Z$2488,754,'Live Data'!$C$16)),"")</f>
        <v>CHAK CHAP STAWISHA</v>
      </c>
      <c r="F754" s="54" t="str">
        <f>IFERROR(IF(INDEX(SPOT_Import!$A$1:$Z$2488,754,'Live Data'!$C$17)="","",INDEX(SPOT_Import!$A$1:$Z$2488,754,'Live Data'!$C$17)),"")</f>
        <v>HTS</v>
      </c>
      <c r="G754" s="54">
        <f>IFERROR(IF(INDEX(SPOT_Import!$A$1:$Z$2488,754,'Live Data'!$C$18)="","",INDEX(SPOT_Import!$A$1:$Z$2488,754,'Live Data'!$C$18)),"")</f>
        <v>2622</v>
      </c>
      <c r="H754" s="54" t="str">
        <f>IFERROR(IF(INDEX(SPOT_Import!$A$1:$Z$2488,754,'Live Data'!$C$19)="","",INDEX(SPOT_Import!$A$1:$Z$2488,754,'Live Data'!$C$19)),"")</f>
        <v/>
      </c>
      <c r="I754" s="54" t="str">
        <f>IFERROR(IF(INDEX(SPOT_Import!$A$1:$Z$2488,754,'Live Data'!$C$20)="","",INDEX(SPOT_Import!$A$1:$Z$2488,754,'Live Data'!$C$20)),"")</f>
        <v>Incomplete</v>
      </c>
      <c r="J754" s="54" t="str">
        <f>IFERROR(IF(INDEX(SPOT_Import!$A$1:$Z$2488,754,'Live Data'!$C$21)="","",INDEX(SPOT_Import!$A$1:$Z$2488,754,'Live Data'!$C$21)),"")</f>
        <v>2026-10-14T10:42:27.000Z</v>
      </c>
      <c r="K754" s="54" t="str">
        <f>IFERROR(IF(INDEX(SPOT_Import!$A$1:$Z$2488,754,'Live Data'!$C$22)="","",INDEX(SPOT_Import!$A$1:$Z$2488,754,'Live Data'!$C$22)),"")</f>
        <v>2026-10-14T10:42:27.000Z</v>
      </c>
      <c r="L754" s="55" t="str">
        <f t="shared" si="22"/>
        <v>2026-10</v>
      </c>
      <c r="M754" s="55" t="str">
        <f t="shared" si="23"/>
        <v>KIRINYAGA</v>
      </c>
      <c r="N754" s="55" t="str">
        <f>IF(A754="","",IFERROR(INDEX('Cluster Map'!$A$4:$A$38,MATCH(M754,'Cluster Map'!$B$4:$B$38,0)),"Unmapped"))</f>
        <v>Cluster 2</v>
      </c>
      <c r="O754" s="55">
        <f>IF(A754="",0,IF(COUNTIFS($A$2:A754,A754,$F$2:F754,F754,$L$2:L754,L754)=1,1,0))</f>
        <v>1</v>
      </c>
      <c r="P754" s="55">
        <f>IF(A754="",0,IF(AND(F754="C&amp;T",COUNTIFS($A$2:A754,A754,$F$2:F754,"C&amp;T")=1),1,0))</f>
        <v>0</v>
      </c>
    </row>
    <row r="755" spans="1:16" x14ac:dyDescent="0.35">
      <c r="A755" s="54">
        <f>IFERROR(IF(INDEX(SPOT_Import!$A$1:$Z$2488,755,'Live Data'!$C$12)="","",INDEX(SPOT_Import!$A$1:$Z$2488,755,'Live Data'!$C$12)),"")</f>
        <v>12813</v>
      </c>
      <c r="B755" s="54" t="str">
        <f>IFERROR(IF(INDEX(SPOT_Import!$A$1:$Z$2488,755,'Live Data'!$C$13)="","",INDEX(SPOT_Import!$A$1:$Z$2488,755,'Live Data'!$C$13)),"")</f>
        <v>Tunyai Health centre</v>
      </c>
      <c r="C755" s="54" t="str">
        <f>IFERROR(IF(INDEX(SPOT_Import!$A$1:$Z$2488,755,'Live Data'!$C$14)="","",INDEX(SPOT_Import!$A$1:$Z$2488,755,'Live Data'!$C$14)),"")</f>
        <v>THARAKA - NITHI</v>
      </c>
      <c r="D755" s="54" t="str">
        <f>IFERROR(IF(INDEX(SPOT_Import!$A$1:$Z$2488,755,'Live Data'!$C$15)="","",INDEX(SPOT_Import!$A$1:$Z$2488,755,'Live Data'!$C$15)),"")</f>
        <v>THARAKA SOUTH</v>
      </c>
      <c r="E755" s="54" t="str">
        <f>IFERROR(IF(INDEX(SPOT_Import!$A$1:$Z$2488,755,'Live Data'!$C$16)="","",INDEX(SPOT_Import!$A$1:$Z$2488,755,'Live Data'!$C$16)),"")</f>
        <v>CHAK CHAP STAWISHA</v>
      </c>
      <c r="F755" s="54" t="str">
        <f>IFERROR(IF(INDEX(SPOT_Import!$A$1:$Z$2488,755,'Live Data'!$C$17)="","",INDEX(SPOT_Import!$A$1:$Z$2488,755,'Live Data'!$C$17)),"")</f>
        <v>PREP</v>
      </c>
      <c r="G755" s="54">
        <f>IFERROR(IF(INDEX(SPOT_Import!$A$1:$Z$2488,755,'Live Data'!$C$18)="","",INDEX(SPOT_Import!$A$1:$Z$2488,755,'Live Data'!$C$18)),"")</f>
        <v>645</v>
      </c>
      <c r="H755" s="54">
        <f>IFERROR(IF(INDEX(SPOT_Import!$A$1:$Z$2488,755,'Live Data'!$C$19)="","",INDEX(SPOT_Import!$A$1:$Z$2488,755,'Live Data'!$C$19)),"")</f>
        <v>645</v>
      </c>
      <c r="I755" s="54" t="str">
        <f>IFERROR(IF(INDEX(SPOT_Import!$A$1:$Z$2488,755,'Live Data'!$C$20)="","",INDEX(SPOT_Import!$A$1:$Z$2488,755,'Live Data'!$C$20)),"")</f>
        <v>Complete</v>
      </c>
      <c r="J755" s="54" t="str">
        <f>IFERROR(IF(INDEX(SPOT_Import!$A$1:$Z$2488,755,'Live Data'!$C$21)="","",INDEX(SPOT_Import!$A$1:$Z$2488,755,'Live Data'!$C$21)),"")</f>
        <v>2026-10-14T10:41:55.000Z</v>
      </c>
      <c r="K755" s="54" t="str">
        <f>IFERROR(IF(INDEX(SPOT_Import!$A$1:$Z$2488,755,'Live Data'!$C$22)="","",INDEX(SPOT_Import!$A$1:$Z$2488,755,'Live Data'!$C$22)),"")</f>
        <v>2026-10-14T10:41:55.000Z</v>
      </c>
      <c r="L755" s="55" t="str">
        <f t="shared" si="22"/>
        <v>2026-10</v>
      </c>
      <c r="M755" s="55" t="str">
        <f t="shared" si="23"/>
        <v>THARAKA-NITHI</v>
      </c>
      <c r="N755" s="55" t="str">
        <f>IF(A755="","",IFERROR(INDEX('Cluster Map'!$A$4:$A$38,MATCH(M755,'Cluster Map'!$B$4:$B$38,0)),"Unmapped"))</f>
        <v>Cluster 2</v>
      </c>
      <c r="O755" s="55">
        <f>IF(A755="",0,IF(COUNTIFS($A$2:A755,A755,$F$2:F755,F755,$L$2:L755,L755)=1,1,0))</f>
        <v>1</v>
      </c>
      <c r="P755" s="55">
        <f>IF(A755="",0,IF(AND(F755="C&amp;T",COUNTIFS($A$2:A755,A755,$F$2:F755,"C&amp;T")=1),1,0))</f>
        <v>0</v>
      </c>
    </row>
    <row r="756" spans="1:16" x14ac:dyDescent="0.35">
      <c r="A756" s="54">
        <f>IFERROR(IF(INDEX(SPOT_Import!$A$1:$Z$2488,756,'Live Data'!$C$12)="","",INDEX(SPOT_Import!$A$1:$Z$2488,756,'Live Data'!$C$12)),"")</f>
        <v>12813</v>
      </c>
      <c r="B756" s="54" t="str">
        <f>IFERROR(IF(INDEX(SPOT_Import!$A$1:$Z$2488,756,'Live Data'!$C$13)="","",INDEX(SPOT_Import!$A$1:$Z$2488,756,'Live Data'!$C$13)),"")</f>
        <v>Tunyai Health centre</v>
      </c>
      <c r="C756" s="54" t="str">
        <f>IFERROR(IF(INDEX(SPOT_Import!$A$1:$Z$2488,756,'Live Data'!$C$14)="","",INDEX(SPOT_Import!$A$1:$Z$2488,756,'Live Data'!$C$14)),"")</f>
        <v>THARAKA - NITHI</v>
      </c>
      <c r="D756" s="54" t="str">
        <f>IFERROR(IF(INDEX(SPOT_Import!$A$1:$Z$2488,756,'Live Data'!$C$15)="","",INDEX(SPOT_Import!$A$1:$Z$2488,756,'Live Data'!$C$15)),"")</f>
        <v>THARAKA SOUTH</v>
      </c>
      <c r="E756" s="54" t="str">
        <f>IFERROR(IF(INDEX(SPOT_Import!$A$1:$Z$2488,756,'Live Data'!$C$16)="","",INDEX(SPOT_Import!$A$1:$Z$2488,756,'Live Data'!$C$16)),"")</f>
        <v>CHAK CHAP STAWISHA</v>
      </c>
      <c r="F756" s="54" t="str">
        <f>IFERROR(IF(INDEX(SPOT_Import!$A$1:$Z$2488,756,'Live Data'!$C$17)="","",INDEX(SPOT_Import!$A$1:$Z$2488,756,'Live Data'!$C$17)),"")</f>
        <v>MNCH</v>
      </c>
      <c r="G756" s="54">
        <f>IFERROR(IF(INDEX(SPOT_Import!$A$1:$Z$2488,756,'Live Data'!$C$18)="","",INDEX(SPOT_Import!$A$1:$Z$2488,756,'Live Data'!$C$18)),"")</f>
        <v>172</v>
      </c>
      <c r="H756" s="54" t="str">
        <f>IFERROR(IF(INDEX(SPOT_Import!$A$1:$Z$2488,756,'Live Data'!$C$19)="","",INDEX(SPOT_Import!$A$1:$Z$2488,756,'Live Data'!$C$19)),"")</f>
        <v/>
      </c>
      <c r="I756" s="54" t="str">
        <f>IFERROR(IF(INDEX(SPOT_Import!$A$1:$Z$2488,756,'Live Data'!$C$20)="","",INDEX(SPOT_Import!$A$1:$Z$2488,756,'Live Data'!$C$20)),"")</f>
        <v>Incomplete</v>
      </c>
      <c r="J756" s="54" t="str">
        <f>IFERROR(IF(INDEX(SPOT_Import!$A$1:$Z$2488,756,'Live Data'!$C$21)="","",INDEX(SPOT_Import!$A$1:$Z$2488,756,'Live Data'!$C$21)),"")</f>
        <v>2026-10-14T10:41:32.000Z</v>
      </c>
      <c r="K756" s="54" t="str">
        <f>IFERROR(IF(INDEX(SPOT_Import!$A$1:$Z$2488,756,'Live Data'!$C$22)="","",INDEX(SPOT_Import!$A$1:$Z$2488,756,'Live Data'!$C$22)),"")</f>
        <v>2026-10-14T10:41:32.000Z</v>
      </c>
      <c r="L756" s="55" t="str">
        <f t="shared" si="22"/>
        <v>2026-10</v>
      </c>
      <c r="M756" s="55" t="str">
        <f t="shared" si="23"/>
        <v>THARAKA-NITHI</v>
      </c>
      <c r="N756" s="55" t="str">
        <f>IF(A756="","",IFERROR(INDEX('Cluster Map'!$A$4:$A$38,MATCH(M756,'Cluster Map'!$B$4:$B$38,0)),"Unmapped"))</f>
        <v>Cluster 2</v>
      </c>
      <c r="O756" s="55">
        <f>IF(A756="",0,IF(COUNTIFS($A$2:A756,A756,$F$2:F756,F756,$L$2:L756,L756)=1,1,0))</f>
        <v>1</v>
      </c>
      <c r="P756" s="55">
        <f>IF(A756="",0,IF(AND(F756="C&amp;T",COUNTIFS($A$2:A756,A756,$F$2:F756,"C&amp;T")=1),1,0))</f>
        <v>0</v>
      </c>
    </row>
    <row r="757" spans="1:16" x14ac:dyDescent="0.35">
      <c r="A757" s="54">
        <f>IFERROR(IF(INDEX(SPOT_Import!$A$1:$Z$2488,757,'Live Data'!$C$12)="","",INDEX(SPOT_Import!$A$1:$Z$2488,757,'Live Data'!$C$12)),"")</f>
        <v>12813</v>
      </c>
      <c r="B757" s="54" t="str">
        <f>IFERROR(IF(INDEX(SPOT_Import!$A$1:$Z$2488,757,'Live Data'!$C$13)="","",INDEX(SPOT_Import!$A$1:$Z$2488,757,'Live Data'!$C$13)),"")</f>
        <v>Tunyai Health centre</v>
      </c>
      <c r="C757" s="54" t="str">
        <f>IFERROR(IF(INDEX(SPOT_Import!$A$1:$Z$2488,757,'Live Data'!$C$14)="","",INDEX(SPOT_Import!$A$1:$Z$2488,757,'Live Data'!$C$14)),"")</f>
        <v>THARAKA - NITHI</v>
      </c>
      <c r="D757" s="54" t="str">
        <f>IFERROR(IF(INDEX(SPOT_Import!$A$1:$Z$2488,757,'Live Data'!$C$15)="","",INDEX(SPOT_Import!$A$1:$Z$2488,757,'Live Data'!$C$15)),"")</f>
        <v>THARAKA SOUTH</v>
      </c>
      <c r="E757" s="54" t="str">
        <f>IFERROR(IF(INDEX(SPOT_Import!$A$1:$Z$2488,757,'Live Data'!$C$16)="","",INDEX(SPOT_Import!$A$1:$Z$2488,757,'Live Data'!$C$16)),"")</f>
        <v>CHAK CHAP STAWISHA</v>
      </c>
      <c r="F757" s="54" t="str">
        <f>IFERROR(IF(INDEX(SPOT_Import!$A$1:$Z$2488,757,'Live Data'!$C$17)="","",INDEX(SPOT_Import!$A$1:$Z$2488,757,'Live Data'!$C$17)),"")</f>
        <v>HTS</v>
      </c>
      <c r="G757" s="54">
        <f>IFERROR(IF(INDEX(SPOT_Import!$A$1:$Z$2488,757,'Live Data'!$C$18)="","",INDEX(SPOT_Import!$A$1:$Z$2488,757,'Live Data'!$C$18)),"")</f>
        <v>5718</v>
      </c>
      <c r="H757" s="54" t="str">
        <f>IFERROR(IF(INDEX(SPOT_Import!$A$1:$Z$2488,757,'Live Data'!$C$19)="","",INDEX(SPOT_Import!$A$1:$Z$2488,757,'Live Data'!$C$19)),"")</f>
        <v/>
      </c>
      <c r="I757" s="54" t="str">
        <f>IFERROR(IF(INDEX(SPOT_Import!$A$1:$Z$2488,757,'Live Data'!$C$20)="","",INDEX(SPOT_Import!$A$1:$Z$2488,757,'Live Data'!$C$20)),"")</f>
        <v>Complete</v>
      </c>
      <c r="J757" s="54" t="str">
        <f>IFERROR(IF(INDEX(SPOT_Import!$A$1:$Z$2488,757,'Live Data'!$C$21)="","",INDEX(SPOT_Import!$A$1:$Z$2488,757,'Live Data'!$C$21)),"")</f>
        <v>2026-10-14T10:40:36.000Z</v>
      </c>
      <c r="K757" s="54" t="str">
        <f>IFERROR(IF(INDEX(SPOT_Import!$A$1:$Z$2488,757,'Live Data'!$C$22)="","",INDEX(SPOT_Import!$A$1:$Z$2488,757,'Live Data'!$C$22)),"")</f>
        <v>2026-10-14T10:40:36.000Z</v>
      </c>
      <c r="L757" s="55" t="str">
        <f t="shared" si="22"/>
        <v>2026-10</v>
      </c>
      <c r="M757" s="55" t="str">
        <f t="shared" si="23"/>
        <v>THARAKA-NITHI</v>
      </c>
      <c r="N757" s="55" t="str">
        <f>IF(A757="","",IFERROR(INDEX('Cluster Map'!$A$4:$A$38,MATCH(M757,'Cluster Map'!$B$4:$B$38,0)),"Unmapped"))</f>
        <v>Cluster 2</v>
      </c>
      <c r="O757" s="55">
        <f>IF(A757="",0,IF(COUNTIFS($A$2:A757,A757,$F$2:F757,F757,$L$2:L757,L757)=1,1,0))</f>
        <v>1</v>
      </c>
      <c r="P757" s="55">
        <f>IF(A757="",0,IF(AND(F757="C&amp;T",COUNTIFS($A$2:A757,A757,$F$2:F757,"C&amp;T")=1),1,0))</f>
        <v>0</v>
      </c>
    </row>
    <row r="758" spans="1:16" x14ac:dyDescent="0.35">
      <c r="A758" s="54">
        <f>IFERROR(IF(INDEX(SPOT_Import!$A$1:$Z$2488,758,'Live Data'!$C$12)="","",INDEX(SPOT_Import!$A$1:$Z$2488,758,'Live Data'!$C$12)),"")</f>
        <v>12813</v>
      </c>
      <c r="B758" s="54" t="str">
        <f>IFERROR(IF(INDEX(SPOT_Import!$A$1:$Z$2488,758,'Live Data'!$C$13)="","",INDEX(SPOT_Import!$A$1:$Z$2488,758,'Live Data'!$C$13)),"")</f>
        <v>Tunyai Health centre</v>
      </c>
      <c r="C758" s="54" t="str">
        <f>IFERROR(IF(INDEX(SPOT_Import!$A$1:$Z$2488,758,'Live Data'!$C$14)="","",INDEX(SPOT_Import!$A$1:$Z$2488,758,'Live Data'!$C$14)),"")</f>
        <v>THARAKA - NITHI</v>
      </c>
      <c r="D758" s="54" t="str">
        <f>IFERROR(IF(INDEX(SPOT_Import!$A$1:$Z$2488,758,'Live Data'!$C$15)="","",INDEX(SPOT_Import!$A$1:$Z$2488,758,'Live Data'!$C$15)),"")</f>
        <v>THARAKA SOUTH</v>
      </c>
      <c r="E758" s="54" t="str">
        <f>IFERROR(IF(INDEX(SPOT_Import!$A$1:$Z$2488,758,'Live Data'!$C$16)="","",INDEX(SPOT_Import!$A$1:$Z$2488,758,'Live Data'!$C$16)),"")</f>
        <v>CHAK CHAP STAWISHA</v>
      </c>
      <c r="F758" s="54" t="str">
        <f>IFERROR(IF(INDEX(SPOT_Import!$A$1:$Z$2488,758,'Live Data'!$C$17)="","",INDEX(SPOT_Import!$A$1:$Z$2488,758,'Live Data'!$C$17)),"")</f>
        <v>C&amp;T</v>
      </c>
      <c r="G758" s="54">
        <f>IFERROR(IF(INDEX(SPOT_Import!$A$1:$Z$2488,758,'Live Data'!$C$18)="","",INDEX(SPOT_Import!$A$1:$Z$2488,758,'Live Data'!$C$18)),"")</f>
        <v>593</v>
      </c>
      <c r="H758" s="54">
        <f>IFERROR(IF(INDEX(SPOT_Import!$A$1:$Z$2488,758,'Live Data'!$C$19)="","",INDEX(SPOT_Import!$A$1:$Z$2488,758,'Live Data'!$C$19)),"")</f>
        <v>593</v>
      </c>
      <c r="I758" s="54" t="str">
        <f>IFERROR(IF(INDEX(SPOT_Import!$A$1:$Z$2488,758,'Live Data'!$C$20)="","",INDEX(SPOT_Import!$A$1:$Z$2488,758,'Live Data'!$C$20)),"")</f>
        <v>Complete</v>
      </c>
      <c r="J758" s="54" t="str">
        <f>IFERROR(IF(INDEX(SPOT_Import!$A$1:$Z$2488,758,'Live Data'!$C$21)="","",INDEX(SPOT_Import!$A$1:$Z$2488,758,'Live Data'!$C$21)),"")</f>
        <v>2026-10-14T10:15:54.000Z</v>
      </c>
      <c r="K758" s="54" t="str">
        <f>IFERROR(IF(INDEX(SPOT_Import!$A$1:$Z$2488,758,'Live Data'!$C$22)="","",INDEX(SPOT_Import!$A$1:$Z$2488,758,'Live Data'!$C$22)),"")</f>
        <v>2026-10-14T10:15:54.000Z</v>
      </c>
      <c r="L758" s="55" t="str">
        <f t="shared" si="22"/>
        <v>2026-10</v>
      </c>
      <c r="M758" s="55" t="str">
        <f t="shared" si="23"/>
        <v>THARAKA-NITHI</v>
      </c>
      <c r="N758" s="55" t="str">
        <f>IF(A758="","",IFERROR(INDEX('Cluster Map'!$A$4:$A$38,MATCH(M758,'Cluster Map'!$B$4:$B$38,0)),"Unmapped"))</f>
        <v>Cluster 2</v>
      </c>
      <c r="O758" s="55">
        <f>IF(A758="",0,IF(COUNTIFS($A$2:A758,A758,$F$2:F758,F758,$L$2:L758,L758)=1,1,0))</f>
        <v>1</v>
      </c>
      <c r="P758" s="55">
        <f>IF(A758="",0,IF(AND(F758="C&amp;T",COUNTIFS($A$2:A758,A758,$F$2:F758,"C&amp;T")=1),1,0))</f>
        <v>1</v>
      </c>
    </row>
    <row r="759" spans="1:16" x14ac:dyDescent="0.35">
      <c r="A759" s="54">
        <f>IFERROR(IF(INDEX(SPOT_Import!$A$1:$Z$2488,759,'Live Data'!$C$12)="","",INDEX(SPOT_Import!$A$1:$Z$2488,759,'Live Data'!$C$12)),"")</f>
        <v>10398</v>
      </c>
      <c r="B759" s="54" t="str">
        <f>IFERROR(IF(INDEX(SPOT_Import!$A$1:$Z$2488,759,'Live Data'!$C$13)="","",INDEX(SPOT_Import!$A$1:$Z$2488,759,'Live Data'!$C$13)),"")</f>
        <v>Kagio Catholic Dispensary (Mary Immucate Catholic</v>
      </c>
      <c r="C759" s="54" t="str">
        <f>IFERROR(IF(INDEX(SPOT_Import!$A$1:$Z$2488,759,'Live Data'!$C$14)="","",INDEX(SPOT_Import!$A$1:$Z$2488,759,'Live Data'!$C$14)),"")</f>
        <v>KIRINYAGA</v>
      </c>
      <c r="D759" s="54" t="str">
        <f>IFERROR(IF(INDEX(SPOT_Import!$A$1:$Z$2488,759,'Live Data'!$C$15)="","",INDEX(SPOT_Import!$A$1:$Z$2488,759,'Live Data'!$C$15)),"")</f>
        <v>Kirinyaga West</v>
      </c>
      <c r="E759" s="54" t="str">
        <f>IFERROR(IF(INDEX(SPOT_Import!$A$1:$Z$2488,759,'Live Data'!$C$16)="","",INDEX(SPOT_Import!$A$1:$Z$2488,759,'Live Data'!$C$16)),"")</f>
        <v>CHAK CHAP STAWISHA</v>
      </c>
      <c r="F759" s="54" t="str">
        <f>IFERROR(IF(INDEX(SPOT_Import!$A$1:$Z$2488,759,'Live Data'!$C$17)="","",INDEX(SPOT_Import!$A$1:$Z$2488,759,'Live Data'!$C$17)),"")</f>
        <v>C&amp;T</v>
      </c>
      <c r="G759" s="54">
        <f>IFERROR(IF(INDEX(SPOT_Import!$A$1:$Z$2488,759,'Live Data'!$C$18)="","",INDEX(SPOT_Import!$A$1:$Z$2488,759,'Live Data'!$C$18)),"")</f>
        <v>634</v>
      </c>
      <c r="H759" s="54">
        <f>IFERROR(IF(INDEX(SPOT_Import!$A$1:$Z$2488,759,'Live Data'!$C$19)="","",INDEX(SPOT_Import!$A$1:$Z$2488,759,'Live Data'!$C$19)),"")</f>
        <v>634</v>
      </c>
      <c r="I759" s="54" t="str">
        <f>IFERROR(IF(INDEX(SPOT_Import!$A$1:$Z$2488,759,'Live Data'!$C$20)="","",INDEX(SPOT_Import!$A$1:$Z$2488,759,'Live Data'!$C$20)),"")</f>
        <v>Complete</v>
      </c>
      <c r="J759" s="54" t="str">
        <f>IFERROR(IF(INDEX(SPOT_Import!$A$1:$Z$2488,759,'Live Data'!$C$21)="","",INDEX(SPOT_Import!$A$1:$Z$2488,759,'Live Data'!$C$21)),"")</f>
        <v>2026-10-14T10:11:38.000Z</v>
      </c>
      <c r="K759" s="54" t="str">
        <f>IFERROR(IF(INDEX(SPOT_Import!$A$1:$Z$2488,759,'Live Data'!$C$22)="","",INDEX(SPOT_Import!$A$1:$Z$2488,759,'Live Data'!$C$22)),"")</f>
        <v>2026-10-14T10:11:38.000Z</v>
      </c>
      <c r="L759" s="55" t="str">
        <f t="shared" si="22"/>
        <v>2026-10</v>
      </c>
      <c r="M759" s="55" t="str">
        <f t="shared" si="23"/>
        <v>KIRINYAGA</v>
      </c>
      <c r="N759" s="55" t="str">
        <f>IF(A759="","",IFERROR(INDEX('Cluster Map'!$A$4:$A$38,MATCH(M759,'Cluster Map'!$B$4:$B$38,0)),"Unmapped"))</f>
        <v>Cluster 2</v>
      </c>
      <c r="O759" s="55">
        <f>IF(A759="",0,IF(COUNTIFS($A$2:A759,A759,$F$2:F759,F759,$L$2:L759,L759)=1,1,0))</f>
        <v>1</v>
      </c>
      <c r="P759" s="55">
        <f>IF(A759="",0,IF(AND(F759="C&amp;T",COUNTIFS($A$2:A759,A759,$F$2:F759,"C&amp;T")=1),1,0))</f>
        <v>1</v>
      </c>
    </row>
    <row r="760" spans="1:16" x14ac:dyDescent="0.35">
      <c r="A760" s="54">
        <f>IFERROR(IF(INDEX(SPOT_Import!$A$1:$Z$2488,760,'Live Data'!$C$12)="","",INDEX(SPOT_Import!$A$1:$Z$2488,760,'Live Data'!$C$12)),"")</f>
        <v>12566</v>
      </c>
      <c r="B760" s="54" t="str">
        <f>IFERROR(IF(INDEX(SPOT_Import!$A$1:$Z$2488,760,'Live Data'!$C$13)="","",INDEX(SPOT_Import!$A$1:$Z$2488,760,'Live Data'!$C$13)),"")</f>
        <v>Mulango (AIC) Health Centre</v>
      </c>
      <c r="C760" s="54" t="str">
        <f>IFERROR(IF(INDEX(SPOT_Import!$A$1:$Z$2488,760,'Live Data'!$C$14)="","",INDEX(SPOT_Import!$A$1:$Z$2488,760,'Live Data'!$C$14)),"")</f>
        <v>KITUI</v>
      </c>
      <c r="D760" s="54" t="str">
        <f>IFERROR(IF(INDEX(SPOT_Import!$A$1:$Z$2488,760,'Live Data'!$C$15)="","",INDEX(SPOT_Import!$A$1:$Z$2488,760,'Live Data'!$C$15)),"")</f>
        <v>Kitui Central</v>
      </c>
      <c r="E760" s="54" t="str">
        <f>IFERROR(IF(INDEX(SPOT_Import!$A$1:$Z$2488,760,'Live Data'!$C$16)="","",INDEX(SPOT_Import!$A$1:$Z$2488,760,'Live Data'!$C$16)),"")</f>
        <v>CHAK CHAP STAWISHA</v>
      </c>
      <c r="F760" s="54" t="str">
        <f>IFERROR(IF(INDEX(SPOT_Import!$A$1:$Z$2488,760,'Live Data'!$C$17)="","",INDEX(SPOT_Import!$A$1:$Z$2488,760,'Live Data'!$C$17)),"")</f>
        <v>PREP</v>
      </c>
      <c r="G760" s="54">
        <f>IFERROR(IF(INDEX(SPOT_Import!$A$1:$Z$2488,760,'Live Data'!$C$18)="","",INDEX(SPOT_Import!$A$1:$Z$2488,760,'Live Data'!$C$18)),"")</f>
        <v>164</v>
      </c>
      <c r="H760" s="54">
        <f>IFERROR(IF(INDEX(SPOT_Import!$A$1:$Z$2488,760,'Live Data'!$C$19)="","",INDEX(SPOT_Import!$A$1:$Z$2488,760,'Live Data'!$C$19)),"")</f>
        <v>164</v>
      </c>
      <c r="I760" s="54" t="str">
        <f>IFERROR(IF(INDEX(SPOT_Import!$A$1:$Z$2488,760,'Live Data'!$C$20)="","",INDEX(SPOT_Import!$A$1:$Z$2488,760,'Live Data'!$C$20)),"")</f>
        <v>Complete</v>
      </c>
      <c r="J760" s="54" t="str">
        <f>IFERROR(IF(INDEX(SPOT_Import!$A$1:$Z$2488,760,'Live Data'!$C$21)="","",INDEX(SPOT_Import!$A$1:$Z$2488,760,'Live Data'!$C$21)),"")</f>
        <v>2026-10-14T09:40:50.000Z</v>
      </c>
      <c r="K760" s="54" t="str">
        <f>IFERROR(IF(INDEX(SPOT_Import!$A$1:$Z$2488,760,'Live Data'!$C$22)="","",INDEX(SPOT_Import!$A$1:$Z$2488,760,'Live Data'!$C$22)),"")</f>
        <v>2026-10-14T09:40:50.000Z</v>
      </c>
      <c r="L760" s="55" t="str">
        <f t="shared" si="22"/>
        <v>2026-10</v>
      </c>
      <c r="M760" s="55" t="str">
        <f t="shared" si="23"/>
        <v>KITUI</v>
      </c>
      <c r="N760" s="55" t="str">
        <f>IF(A760="","",IFERROR(INDEX('Cluster Map'!$A$4:$A$38,MATCH(M760,'Cluster Map'!$B$4:$B$38,0)),"Unmapped"))</f>
        <v>Cluster 5</v>
      </c>
      <c r="O760" s="55">
        <f>IF(A760="",0,IF(COUNTIFS($A$2:A760,A760,$F$2:F760,F760,$L$2:L760,L760)=1,1,0))</f>
        <v>1</v>
      </c>
      <c r="P760" s="55">
        <f>IF(A760="",0,IF(AND(F760="C&amp;T",COUNTIFS($A$2:A760,A760,$F$2:F760,"C&amp;T")=1),1,0))</f>
        <v>0</v>
      </c>
    </row>
    <row r="761" spans="1:16" x14ac:dyDescent="0.35">
      <c r="A761" s="54">
        <f>IFERROR(IF(INDEX(SPOT_Import!$A$1:$Z$2488,761,'Live Data'!$C$12)="","",INDEX(SPOT_Import!$A$1:$Z$2488,761,'Live Data'!$C$12)),"")</f>
        <v>12566</v>
      </c>
      <c r="B761" s="54" t="str">
        <f>IFERROR(IF(INDEX(SPOT_Import!$A$1:$Z$2488,761,'Live Data'!$C$13)="","",INDEX(SPOT_Import!$A$1:$Z$2488,761,'Live Data'!$C$13)),"")</f>
        <v>Mulango (AIC) Health Centre</v>
      </c>
      <c r="C761" s="54" t="str">
        <f>IFERROR(IF(INDEX(SPOT_Import!$A$1:$Z$2488,761,'Live Data'!$C$14)="","",INDEX(SPOT_Import!$A$1:$Z$2488,761,'Live Data'!$C$14)),"")</f>
        <v>KITUI</v>
      </c>
      <c r="D761" s="54" t="str">
        <f>IFERROR(IF(INDEX(SPOT_Import!$A$1:$Z$2488,761,'Live Data'!$C$15)="","",INDEX(SPOT_Import!$A$1:$Z$2488,761,'Live Data'!$C$15)),"")</f>
        <v>Kitui Central</v>
      </c>
      <c r="E761" s="54" t="str">
        <f>IFERROR(IF(INDEX(SPOT_Import!$A$1:$Z$2488,761,'Live Data'!$C$16)="","",INDEX(SPOT_Import!$A$1:$Z$2488,761,'Live Data'!$C$16)),"")</f>
        <v>CHAK CHAP STAWISHA</v>
      </c>
      <c r="F761" s="54" t="str">
        <f>IFERROR(IF(INDEX(SPOT_Import!$A$1:$Z$2488,761,'Live Data'!$C$17)="","",INDEX(SPOT_Import!$A$1:$Z$2488,761,'Live Data'!$C$17)),"")</f>
        <v>MNCH</v>
      </c>
      <c r="G761" s="54">
        <f>IFERROR(IF(INDEX(SPOT_Import!$A$1:$Z$2488,761,'Live Data'!$C$18)="","",INDEX(SPOT_Import!$A$1:$Z$2488,761,'Live Data'!$C$18)),"")</f>
        <v>612</v>
      </c>
      <c r="H761" s="54" t="str">
        <f>IFERROR(IF(INDEX(SPOT_Import!$A$1:$Z$2488,761,'Live Data'!$C$19)="","",INDEX(SPOT_Import!$A$1:$Z$2488,761,'Live Data'!$C$19)),"")</f>
        <v/>
      </c>
      <c r="I761" s="54" t="str">
        <f>IFERROR(IF(INDEX(SPOT_Import!$A$1:$Z$2488,761,'Live Data'!$C$20)="","",INDEX(SPOT_Import!$A$1:$Z$2488,761,'Live Data'!$C$20)),"")</f>
        <v>Incomplete</v>
      </c>
      <c r="J761" s="54" t="str">
        <f>IFERROR(IF(INDEX(SPOT_Import!$A$1:$Z$2488,761,'Live Data'!$C$21)="","",INDEX(SPOT_Import!$A$1:$Z$2488,761,'Live Data'!$C$21)),"")</f>
        <v>2026-10-14T09:40:31.000Z</v>
      </c>
      <c r="K761" s="54" t="str">
        <f>IFERROR(IF(INDEX(SPOT_Import!$A$1:$Z$2488,761,'Live Data'!$C$22)="","",INDEX(SPOT_Import!$A$1:$Z$2488,761,'Live Data'!$C$22)),"")</f>
        <v>2026-10-14T09:40:31.000Z</v>
      </c>
      <c r="L761" s="55" t="str">
        <f t="shared" si="22"/>
        <v>2026-10</v>
      </c>
      <c r="M761" s="55" t="str">
        <f t="shared" si="23"/>
        <v>KITUI</v>
      </c>
      <c r="N761" s="55" t="str">
        <f>IF(A761="","",IFERROR(INDEX('Cluster Map'!$A$4:$A$38,MATCH(M761,'Cluster Map'!$B$4:$B$38,0)),"Unmapped"))</f>
        <v>Cluster 5</v>
      </c>
      <c r="O761" s="55">
        <f>IF(A761="",0,IF(COUNTIFS($A$2:A761,A761,$F$2:F761,F761,$L$2:L761,L761)=1,1,0))</f>
        <v>1</v>
      </c>
      <c r="P761" s="55">
        <f>IF(A761="",0,IF(AND(F761="C&amp;T",COUNTIFS($A$2:A761,A761,$F$2:F761,"C&amp;T")=1),1,0))</f>
        <v>0</v>
      </c>
    </row>
    <row r="762" spans="1:16" x14ac:dyDescent="0.35">
      <c r="A762" s="54">
        <f>IFERROR(IF(INDEX(SPOT_Import!$A$1:$Z$2488,762,'Live Data'!$C$12)="","",INDEX(SPOT_Import!$A$1:$Z$2488,762,'Live Data'!$C$12)),"")</f>
        <v>12566</v>
      </c>
      <c r="B762" s="54" t="str">
        <f>IFERROR(IF(INDEX(SPOT_Import!$A$1:$Z$2488,762,'Live Data'!$C$13)="","",INDEX(SPOT_Import!$A$1:$Z$2488,762,'Live Data'!$C$13)),"")</f>
        <v>Mulango (AIC) Health Centre</v>
      </c>
      <c r="C762" s="54" t="str">
        <f>IFERROR(IF(INDEX(SPOT_Import!$A$1:$Z$2488,762,'Live Data'!$C$14)="","",INDEX(SPOT_Import!$A$1:$Z$2488,762,'Live Data'!$C$14)),"")</f>
        <v>KITUI</v>
      </c>
      <c r="D762" s="54" t="str">
        <f>IFERROR(IF(INDEX(SPOT_Import!$A$1:$Z$2488,762,'Live Data'!$C$15)="","",INDEX(SPOT_Import!$A$1:$Z$2488,762,'Live Data'!$C$15)),"")</f>
        <v>Kitui Central</v>
      </c>
      <c r="E762" s="54" t="str">
        <f>IFERROR(IF(INDEX(SPOT_Import!$A$1:$Z$2488,762,'Live Data'!$C$16)="","",INDEX(SPOT_Import!$A$1:$Z$2488,762,'Live Data'!$C$16)),"")</f>
        <v>CHAK CHAP STAWISHA</v>
      </c>
      <c r="F762" s="54" t="str">
        <f>IFERROR(IF(INDEX(SPOT_Import!$A$1:$Z$2488,762,'Live Data'!$C$17)="","",INDEX(SPOT_Import!$A$1:$Z$2488,762,'Live Data'!$C$17)),"")</f>
        <v>HTS</v>
      </c>
      <c r="G762" s="54">
        <f>IFERROR(IF(INDEX(SPOT_Import!$A$1:$Z$2488,762,'Live Data'!$C$18)="","",INDEX(SPOT_Import!$A$1:$Z$2488,762,'Live Data'!$C$18)),"")</f>
        <v>3310</v>
      </c>
      <c r="H762" s="54" t="str">
        <f>IFERROR(IF(INDEX(SPOT_Import!$A$1:$Z$2488,762,'Live Data'!$C$19)="","",INDEX(SPOT_Import!$A$1:$Z$2488,762,'Live Data'!$C$19)),"")</f>
        <v/>
      </c>
      <c r="I762" s="54" t="str">
        <f>IFERROR(IF(INDEX(SPOT_Import!$A$1:$Z$2488,762,'Live Data'!$C$20)="","",INDEX(SPOT_Import!$A$1:$Z$2488,762,'Live Data'!$C$20)),"")</f>
        <v>Complete</v>
      </c>
      <c r="J762" s="54" t="str">
        <f>IFERROR(IF(INDEX(SPOT_Import!$A$1:$Z$2488,762,'Live Data'!$C$21)="","",INDEX(SPOT_Import!$A$1:$Z$2488,762,'Live Data'!$C$21)),"")</f>
        <v>2026-10-14T09:39:50.000Z</v>
      </c>
      <c r="K762" s="54" t="str">
        <f>IFERROR(IF(INDEX(SPOT_Import!$A$1:$Z$2488,762,'Live Data'!$C$22)="","",INDEX(SPOT_Import!$A$1:$Z$2488,762,'Live Data'!$C$22)),"")</f>
        <v>2026-10-14T09:39:50.000Z</v>
      </c>
      <c r="L762" s="55" t="str">
        <f t="shared" si="22"/>
        <v>2026-10</v>
      </c>
      <c r="M762" s="55" t="str">
        <f t="shared" si="23"/>
        <v>KITUI</v>
      </c>
      <c r="N762" s="55" t="str">
        <f>IF(A762="","",IFERROR(INDEX('Cluster Map'!$A$4:$A$38,MATCH(M762,'Cluster Map'!$B$4:$B$38,0)),"Unmapped"))</f>
        <v>Cluster 5</v>
      </c>
      <c r="O762" s="55">
        <f>IF(A762="",0,IF(COUNTIFS($A$2:A762,A762,$F$2:F762,F762,$L$2:L762,L762)=1,1,0))</f>
        <v>1</v>
      </c>
      <c r="P762" s="55">
        <f>IF(A762="",0,IF(AND(F762="C&amp;T",COUNTIFS($A$2:A762,A762,$F$2:F762,"C&amp;T")=1),1,0))</f>
        <v>0</v>
      </c>
    </row>
    <row r="763" spans="1:16" x14ac:dyDescent="0.35">
      <c r="A763" s="54">
        <f>IFERROR(IF(INDEX(SPOT_Import!$A$1:$Z$2488,763,'Live Data'!$C$12)="","",INDEX(SPOT_Import!$A$1:$Z$2488,763,'Live Data'!$C$12)),"")</f>
        <v>12566</v>
      </c>
      <c r="B763" s="54" t="str">
        <f>IFERROR(IF(INDEX(SPOT_Import!$A$1:$Z$2488,763,'Live Data'!$C$13)="","",INDEX(SPOT_Import!$A$1:$Z$2488,763,'Live Data'!$C$13)),"")</f>
        <v>Mulango (AIC) Health Centre</v>
      </c>
      <c r="C763" s="54" t="str">
        <f>IFERROR(IF(INDEX(SPOT_Import!$A$1:$Z$2488,763,'Live Data'!$C$14)="","",INDEX(SPOT_Import!$A$1:$Z$2488,763,'Live Data'!$C$14)),"")</f>
        <v>KITUI</v>
      </c>
      <c r="D763" s="54" t="str">
        <f>IFERROR(IF(INDEX(SPOT_Import!$A$1:$Z$2488,763,'Live Data'!$C$15)="","",INDEX(SPOT_Import!$A$1:$Z$2488,763,'Live Data'!$C$15)),"")</f>
        <v>Kitui Central</v>
      </c>
      <c r="E763" s="54" t="str">
        <f>IFERROR(IF(INDEX(SPOT_Import!$A$1:$Z$2488,763,'Live Data'!$C$16)="","",INDEX(SPOT_Import!$A$1:$Z$2488,763,'Live Data'!$C$16)),"")</f>
        <v>CHAK CHAP STAWISHA</v>
      </c>
      <c r="F763" s="54" t="str">
        <f>IFERROR(IF(INDEX(SPOT_Import!$A$1:$Z$2488,763,'Live Data'!$C$17)="","",INDEX(SPOT_Import!$A$1:$Z$2488,763,'Live Data'!$C$17)),"")</f>
        <v>C&amp;T</v>
      </c>
      <c r="G763" s="54">
        <f>IFERROR(IF(INDEX(SPOT_Import!$A$1:$Z$2488,763,'Live Data'!$C$18)="","",INDEX(SPOT_Import!$A$1:$Z$2488,763,'Live Data'!$C$18)),"")</f>
        <v>594</v>
      </c>
      <c r="H763" s="54">
        <f>IFERROR(IF(INDEX(SPOT_Import!$A$1:$Z$2488,763,'Live Data'!$C$19)="","",INDEX(SPOT_Import!$A$1:$Z$2488,763,'Live Data'!$C$19)),"")</f>
        <v>594</v>
      </c>
      <c r="I763" s="54" t="str">
        <f>IFERROR(IF(INDEX(SPOT_Import!$A$1:$Z$2488,763,'Live Data'!$C$20)="","",INDEX(SPOT_Import!$A$1:$Z$2488,763,'Live Data'!$C$20)),"")</f>
        <v>Complete</v>
      </c>
      <c r="J763" s="54" t="str">
        <f>IFERROR(IF(INDEX(SPOT_Import!$A$1:$Z$2488,763,'Live Data'!$C$21)="","",INDEX(SPOT_Import!$A$1:$Z$2488,763,'Live Data'!$C$21)),"")</f>
        <v>2026-10-14T09:14:50.000Z</v>
      </c>
      <c r="K763" s="54" t="str">
        <f>IFERROR(IF(INDEX(SPOT_Import!$A$1:$Z$2488,763,'Live Data'!$C$22)="","",INDEX(SPOT_Import!$A$1:$Z$2488,763,'Live Data'!$C$22)),"")</f>
        <v>2026-10-14T09:14:50.000Z</v>
      </c>
      <c r="L763" s="55" t="str">
        <f t="shared" si="22"/>
        <v>2026-10</v>
      </c>
      <c r="M763" s="55" t="str">
        <f t="shared" si="23"/>
        <v>KITUI</v>
      </c>
      <c r="N763" s="55" t="str">
        <f>IF(A763="","",IFERROR(INDEX('Cluster Map'!$A$4:$A$38,MATCH(M763,'Cluster Map'!$B$4:$B$38,0)),"Unmapped"))</f>
        <v>Cluster 5</v>
      </c>
      <c r="O763" s="55">
        <f>IF(A763="",0,IF(COUNTIFS($A$2:A763,A763,$F$2:F763,F763,$L$2:L763,L763)=1,1,0))</f>
        <v>1</v>
      </c>
      <c r="P763" s="55">
        <f>IF(A763="",0,IF(AND(F763="C&amp;T",COUNTIFS($A$2:A763,A763,$F$2:F763,"C&amp;T")=1),1,0))</f>
        <v>1</v>
      </c>
    </row>
    <row r="764" spans="1:16" x14ac:dyDescent="0.35">
      <c r="A764" s="54">
        <f>IFERROR(IF(INDEX(SPOT_Import!$A$1:$Z$2488,764,'Live Data'!$C$12)="","",INDEX(SPOT_Import!$A$1:$Z$2488,764,'Live Data'!$C$12)),"")</f>
        <v>11030</v>
      </c>
      <c r="B764" s="54" t="str">
        <f>IFERROR(IF(INDEX(SPOT_Import!$A$1:$Z$2488,764,'Live Data'!$C$13)="","",INDEX(SPOT_Import!$A$1:$Z$2488,764,'Live Data'!$C$13)),"")</f>
        <v>St Charles Lwanga Dispensary</v>
      </c>
      <c r="C764" s="54" t="str">
        <f>IFERROR(IF(INDEX(SPOT_Import!$A$1:$Z$2488,764,'Live Data'!$C$14)="","",INDEX(SPOT_Import!$A$1:$Z$2488,764,'Live Data'!$C$14)),"")</f>
        <v>KIAMBU</v>
      </c>
      <c r="D764" s="54" t="str">
        <f>IFERROR(IF(INDEX(SPOT_Import!$A$1:$Z$2488,764,'Live Data'!$C$15)="","",INDEX(SPOT_Import!$A$1:$Z$2488,764,'Live Data'!$C$15)),"")</f>
        <v>Limuru</v>
      </c>
      <c r="E764" s="54" t="str">
        <f>IFERROR(IF(INDEX(SPOT_Import!$A$1:$Z$2488,764,'Live Data'!$C$16)="","",INDEX(SPOT_Import!$A$1:$Z$2488,764,'Live Data'!$C$16)),"")</f>
        <v>CHAK CHAP STAWISHA</v>
      </c>
      <c r="F764" s="54" t="str">
        <f>IFERROR(IF(INDEX(SPOT_Import!$A$1:$Z$2488,764,'Live Data'!$C$17)="","",INDEX(SPOT_Import!$A$1:$Z$2488,764,'Live Data'!$C$17)),"")</f>
        <v>PREP</v>
      </c>
      <c r="G764" s="54">
        <f>IFERROR(IF(INDEX(SPOT_Import!$A$1:$Z$2488,764,'Live Data'!$C$18)="","",INDEX(SPOT_Import!$A$1:$Z$2488,764,'Live Data'!$C$18)),"")</f>
        <v>175</v>
      </c>
      <c r="H764" s="54" t="str">
        <f>IFERROR(IF(INDEX(SPOT_Import!$A$1:$Z$2488,764,'Live Data'!$C$19)="","",INDEX(SPOT_Import!$A$1:$Z$2488,764,'Live Data'!$C$19)),"")</f>
        <v/>
      </c>
      <c r="I764" s="54" t="str">
        <f>IFERROR(IF(INDEX(SPOT_Import!$A$1:$Z$2488,764,'Live Data'!$C$20)="","",INDEX(SPOT_Import!$A$1:$Z$2488,764,'Live Data'!$C$20)),"")</f>
        <v>Incomplete</v>
      </c>
      <c r="J764" s="54" t="str">
        <f>IFERROR(IF(INDEX(SPOT_Import!$A$1:$Z$2488,764,'Live Data'!$C$21)="","",INDEX(SPOT_Import!$A$1:$Z$2488,764,'Live Data'!$C$21)),"")</f>
        <v>2026-10-14T08:24:08.000Z</v>
      </c>
      <c r="K764" s="54" t="str">
        <f>IFERROR(IF(INDEX(SPOT_Import!$A$1:$Z$2488,764,'Live Data'!$C$22)="","",INDEX(SPOT_Import!$A$1:$Z$2488,764,'Live Data'!$C$22)),"")</f>
        <v>2026-10-14T08:24:08.000Z</v>
      </c>
      <c r="L764" s="55" t="str">
        <f t="shared" si="22"/>
        <v>2026-10</v>
      </c>
      <c r="M764" s="55" t="str">
        <f t="shared" si="23"/>
        <v>KIAMBU</v>
      </c>
      <c r="N764" s="55" t="str">
        <f>IF(A764="","",IFERROR(INDEX('Cluster Map'!$A$4:$A$38,MATCH(M764,'Cluster Map'!$B$4:$B$38,0)),"Unmapped"))</f>
        <v>Cluster 3</v>
      </c>
      <c r="O764" s="55">
        <f>IF(A764="",0,IF(COUNTIFS($A$2:A764,A764,$F$2:F764,F764,$L$2:L764,L764)=1,1,0))</f>
        <v>1</v>
      </c>
      <c r="P764" s="55">
        <f>IF(A764="",0,IF(AND(F764="C&amp;T",COUNTIFS($A$2:A764,A764,$F$2:F764,"C&amp;T")=1),1,0))</f>
        <v>0</v>
      </c>
    </row>
    <row r="765" spans="1:16" x14ac:dyDescent="0.35">
      <c r="A765" s="54">
        <f>IFERROR(IF(INDEX(SPOT_Import!$A$1:$Z$2488,765,'Live Data'!$C$12)="","",INDEX(SPOT_Import!$A$1:$Z$2488,765,'Live Data'!$C$12)),"")</f>
        <v>11030</v>
      </c>
      <c r="B765" s="54" t="str">
        <f>IFERROR(IF(INDEX(SPOT_Import!$A$1:$Z$2488,765,'Live Data'!$C$13)="","",INDEX(SPOT_Import!$A$1:$Z$2488,765,'Live Data'!$C$13)),"")</f>
        <v>St Charles Lwanga Dispensary</v>
      </c>
      <c r="C765" s="54" t="str">
        <f>IFERROR(IF(INDEX(SPOT_Import!$A$1:$Z$2488,765,'Live Data'!$C$14)="","",INDEX(SPOT_Import!$A$1:$Z$2488,765,'Live Data'!$C$14)),"")</f>
        <v>KIAMBU</v>
      </c>
      <c r="D765" s="54" t="str">
        <f>IFERROR(IF(INDEX(SPOT_Import!$A$1:$Z$2488,765,'Live Data'!$C$15)="","",INDEX(SPOT_Import!$A$1:$Z$2488,765,'Live Data'!$C$15)),"")</f>
        <v>Limuru</v>
      </c>
      <c r="E765" s="54" t="str">
        <f>IFERROR(IF(INDEX(SPOT_Import!$A$1:$Z$2488,765,'Live Data'!$C$16)="","",INDEX(SPOT_Import!$A$1:$Z$2488,765,'Live Data'!$C$16)),"")</f>
        <v>CHAK CHAP STAWISHA</v>
      </c>
      <c r="F765" s="54" t="str">
        <f>IFERROR(IF(INDEX(SPOT_Import!$A$1:$Z$2488,765,'Live Data'!$C$17)="","",INDEX(SPOT_Import!$A$1:$Z$2488,765,'Live Data'!$C$17)),"")</f>
        <v>MNCH</v>
      </c>
      <c r="G765" s="54">
        <f>IFERROR(IF(INDEX(SPOT_Import!$A$1:$Z$2488,765,'Live Data'!$C$18)="","",INDEX(SPOT_Import!$A$1:$Z$2488,765,'Live Data'!$C$18)),"")</f>
        <v>145</v>
      </c>
      <c r="H765" s="54" t="str">
        <f>IFERROR(IF(INDEX(SPOT_Import!$A$1:$Z$2488,765,'Live Data'!$C$19)="","",INDEX(SPOT_Import!$A$1:$Z$2488,765,'Live Data'!$C$19)),"")</f>
        <v/>
      </c>
      <c r="I765" s="54" t="str">
        <f>IFERROR(IF(INDEX(SPOT_Import!$A$1:$Z$2488,765,'Live Data'!$C$20)="","",INDEX(SPOT_Import!$A$1:$Z$2488,765,'Live Data'!$C$20)),"")</f>
        <v>Incomplete</v>
      </c>
      <c r="J765" s="54" t="str">
        <f>IFERROR(IF(INDEX(SPOT_Import!$A$1:$Z$2488,765,'Live Data'!$C$21)="","",INDEX(SPOT_Import!$A$1:$Z$2488,765,'Live Data'!$C$21)),"")</f>
        <v>2026-10-14T08:23:52.000Z</v>
      </c>
      <c r="K765" s="54" t="str">
        <f>IFERROR(IF(INDEX(SPOT_Import!$A$1:$Z$2488,765,'Live Data'!$C$22)="","",INDEX(SPOT_Import!$A$1:$Z$2488,765,'Live Data'!$C$22)),"")</f>
        <v>2026-10-14T08:23:52.000Z</v>
      </c>
      <c r="L765" s="55" t="str">
        <f t="shared" si="22"/>
        <v>2026-10</v>
      </c>
      <c r="M765" s="55" t="str">
        <f t="shared" si="23"/>
        <v>KIAMBU</v>
      </c>
      <c r="N765" s="55" t="str">
        <f>IF(A765="","",IFERROR(INDEX('Cluster Map'!$A$4:$A$38,MATCH(M765,'Cluster Map'!$B$4:$B$38,0)),"Unmapped"))</f>
        <v>Cluster 3</v>
      </c>
      <c r="O765" s="55">
        <f>IF(A765="",0,IF(COUNTIFS($A$2:A765,A765,$F$2:F765,F765,$L$2:L765,L765)=1,1,0))</f>
        <v>1</v>
      </c>
      <c r="P765" s="55">
        <f>IF(A765="",0,IF(AND(F765="C&amp;T",COUNTIFS($A$2:A765,A765,$F$2:F765,"C&amp;T")=1),1,0))</f>
        <v>0</v>
      </c>
    </row>
    <row r="766" spans="1:16" x14ac:dyDescent="0.35">
      <c r="A766" s="54">
        <f>IFERROR(IF(INDEX(SPOT_Import!$A$1:$Z$2488,766,'Live Data'!$C$12)="","",INDEX(SPOT_Import!$A$1:$Z$2488,766,'Live Data'!$C$12)),"")</f>
        <v>11030</v>
      </c>
      <c r="B766" s="54" t="str">
        <f>IFERROR(IF(INDEX(SPOT_Import!$A$1:$Z$2488,766,'Live Data'!$C$13)="","",INDEX(SPOT_Import!$A$1:$Z$2488,766,'Live Data'!$C$13)),"")</f>
        <v>St Charles Lwanga Dispensary</v>
      </c>
      <c r="C766" s="54" t="str">
        <f>IFERROR(IF(INDEX(SPOT_Import!$A$1:$Z$2488,766,'Live Data'!$C$14)="","",INDEX(SPOT_Import!$A$1:$Z$2488,766,'Live Data'!$C$14)),"")</f>
        <v>KIAMBU</v>
      </c>
      <c r="D766" s="54" t="str">
        <f>IFERROR(IF(INDEX(SPOT_Import!$A$1:$Z$2488,766,'Live Data'!$C$15)="","",INDEX(SPOT_Import!$A$1:$Z$2488,766,'Live Data'!$C$15)),"")</f>
        <v>Limuru</v>
      </c>
      <c r="E766" s="54" t="str">
        <f>IFERROR(IF(INDEX(SPOT_Import!$A$1:$Z$2488,766,'Live Data'!$C$16)="","",INDEX(SPOT_Import!$A$1:$Z$2488,766,'Live Data'!$C$16)),"")</f>
        <v>CHAK CHAP STAWISHA</v>
      </c>
      <c r="F766" s="54" t="str">
        <f>IFERROR(IF(INDEX(SPOT_Import!$A$1:$Z$2488,766,'Live Data'!$C$17)="","",INDEX(SPOT_Import!$A$1:$Z$2488,766,'Live Data'!$C$17)),"")</f>
        <v>HTS</v>
      </c>
      <c r="G766" s="54">
        <f>IFERROR(IF(INDEX(SPOT_Import!$A$1:$Z$2488,766,'Live Data'!$C$18)="","",INDEX(SPOT_Import!$A$1:$Z$2488,766,'Live Data'!$C$18)),"")</f>
        <v>2424</v>
      </c>
      <c r="H766" s="54">
        <f>IFERROR(IF(INDEX(SPOT_Import!$A$1:$Z$2488,766,'Live Data'!$C$19)="","",INDEX(SPOT_Import!$A$1:$Z$2488,766,'Live Data'!$C$19)),"")</f>
        <v>2424</v>
      </c>
      <c r="I766" s="54" t="str">
        <f>IFERROR(IF(INDEX(SPOT_Import!$A$1:$Z$2488,766,'Live Data'!$C$20)="","",INDEX(SPOT_Import!$A$1:$Z$2488,766,'Live Data'!$C$20)),"")</f>
        <v>Complete</v>
      </c>
      <c r="J766" s="54" t="str">
        <f>IFERROR(IF(INDEX(SPOT_Import!$A$1:$Z$2488,766,'Live Data'!$C$21)="","",INDEX(SPOT_Import!$A$1:$Z$2488,766,'Live Data'!$C$21)),"")</f>
        <v>2026-10-14T08:23:16.000Z</v>
      </c>
      <c r="K766" s="54" t="str">
        <f>IFERROR(IF(INDEX(SPOT_Import!$A$1:$Z$2488,766,'Live Data'!$C$22)="","",INDEX(SPOT_Import!$A$1:$Z$2488,766,'Live Data'!$C$22)),"")</f>
        <v>2026-10-14T08:23:16.000Z</v>
      </c>
      <c r="L766" s="55" t="str">
        <f t="shared" si="22"/>
        <v>2026-10</v>
      </c>
      <c r="M766" s="55" t="str">
        <f t="shared" si="23"/>
        <v>KIAMBU</v>
      </c>
      <c r="N766" s="55" t="str">
        <f>IF(A766="","",IFERROR(INDEX('Cluster Map'!$A$4:$A$38,MATCH(M766,'Cluster Map'!$B$4:$B$38,0)),"Unmapped"))</f>
        <v>Cluster 3</v>
      </c>
      <c r="O766" s="55">
        <f>IF(A766="",0,IF(COUNTIFS($A$2:A766,A766,$F$2:F766,F766,$L$2:L766,L766)=1,1,0))</f>
        <v>1</v>
      </c>
      <c r="P766" s="55">
        <f>IF(A766="",0,IF(AND(F766="C&amp;T",COUNTIFS($A$2:A766,A766,$F$2:F766,"C&amp;T")=1),1,0))</f>
        <v>0</v>
      </c>
    </row>
    <row r="767" spans="1:16" x14ac:dyDescent="0.35">
      <c r="A767" s="54">
        <f>IFERROR(IF(INDEX(SPOT_Import!$A$1:$Z$2488,767,'Live Data'!$C$12)="","",INDEX(SPOT_Import!$A$1:$Z$2488,767,'Live Data'!$C$12)),"")</f>
        <v>11030</v>
      </c>
      <c r="B767" s="54" t="str">
        <f>IFERROR(IF(INDEX(SPOT_Import!$A$1:$Z$2488,767,'Live Data'!$C$13)="","",INDEX(SPOT_Import!$A$1:$Z$2488,767,'Live Data'!$C$13)),"")</f>
        <v>St Charles Lwanga Dispensary</v>
      </c>
      <c r="C767" s="54" t="str">
        <f>IFERROR(IF(INDEX(SPOT_Import!$A$1:$Z$2488,767,'Live Data'!$C$14)="","",INDEX(SPOT_Import!$A$1:$Z$2488,767,'Live Data'!$C$14)),"")</f>
        <v>KIAMBU</v>
      </c>
      <c r="D767" s="54" t="str">
        <f>IFERROR(IF(INDEX(SPOT_Import!$A$1:$Z$2488,767,'Live Data'!$C$15)="","",INDEX(SPOT_Import!$A$1:$Z$2488,767,'Live Data'!$C$15)),"")</f>
        <v>Limuru</v>
      </c>
      <c r="E767" s="54" t="str">
        <f>IFERROR(IF(INDEX(SPOT_Import!$A$1:$Z$2488,767,'Live Data'!$C$16)="","",INDEX(SPOT_Import!$A$1:$Z$2488,767,'Live Data'!$C$16)),"")</f>
        <v>CHAK CHAP STAWISHA</v>
      </c>
      <c r="F767" s="54" t="str">
        <f>IFERROR(IF(INDEX(SPOT_Import!$A$1:$Z$2488,767,'Live Data'!$C$17)="","",INDEX(SPOT_Import!$A$1:$Z$2488,767,'Live Data'!$C$17)),"")</f>
        <v>C&amp;T</v>
      </c>
      <c r="G767" s="54">
        <f>IFERROR(IF(INDEX(SPOT_Import!$A$1:$Z$2488,767,'Live Data'!$C$18)="","",INDEX(SPOT_Import!$A$1:$Z$2488,767,'Live Data'!$C$18)),"")</f>
        <v>1034</v>
      </c>
      <c r="H767" s="54">
        <f>IFERROR(IF(INDEX(SPOT_Import!$A$1:$Z$2488,767,'Live Data'!$C$19)="","",INDEX(SPOT_Import!$A$1:$Z$2488,767,'Live Data'!$C$19)),"")</f>
        <v>1034</v>
      </c>
      <c r="I767" s="54" t="str">
        <f>IFERROR(IF(INDEX(SPOT_Import!$A$1:$Z$2488,767,'Live Data'!$C$20)="","",INDEX(SPOT_Import!$A$1:$Z$2488,767,'Live Data'!$C$20)),"")</f>
        <v>Complete</v>
      </c>
      <c r="J767" s="54" t="str">
        <f>IFERROR(IF(INDEX(SPOT_Import!$A$1:$Z$2488,767,'Live Data'!$C$21)="","",INDEX(SPOT_Import!$A$1:$Z$2488,767,'Live Data'!$C$21)),"")</f>
        <v>2026-10-14T07:56:49.000Z</v>
      </c>
      <c r="K767" s="54" t="str">
        <f>IFERROR(IF(INDEX(SPOT_Import!$A$1:$Z$2488,767,'Live Data'!$C$22)="","",INDEX(SPOT_Import!$A$1:$Z$2488,767,'Live Data'!$C$22)),"")</f>
        <v>2026-10-14T07:56:49.000Z</v>
      </c>
      <c r="L767" s="55" t="str">
        <f t="shared" si="22"/>
        <v>2026-10</v>
      </c>
      <c r="M767" s="55" t="str">
        <f t="shared" si="23"/>
        <v>KIAMBU</v>
      </c>
      <c r="N767" s="55" t="str">
        <f>IF(A767="","",IFERROR(INDEX('Cluster Map'!$A$4:$A$38,MATCH(M767,'Cluster Map'!$B$4:$B$38,0)),"Unmapped"))</f>
        <v>Cluster 3</v>
      </c>
      <c r="O767" s="55">
        <f>IF(A767="",0,IF(COUNTIFS($A$2:A767,A767,$F$2:F767,F767,$L$2:L767,L767)=1,1,0))</f>
        <v>1</v>
      </c>
      <c r="P767" s="55">
        <f>IF(A767="",0,IF(AND(F767="C&amp;T",COUNTIFS($A$2:A767,A767,$F$2:F767,"C&amp;T")=1),1,0))</f>
        <v>1</v>
      </c>
    </row>
    <row r="768" spans="1:16" x14ac:dyDescent="0.35">
      <c r="A768" s="54">
        <f>IFERROR(IF(INDEX(SPOT_Import!$A$1:$Z$2488,768,'Live Data'!$C$12)="","",INDEX(SPOT_Import!$A$1:$Z$2488,768,'Live Data'!$C$12)),"")</f>
        <v>11970</v>
      </c>
      <c r="B768" s="54" t="str">
        <f>IFERROR(IF(INDEX(SPOT_Import!$A$1:$Z$2488,768,'Live Data'!$C$13)="","",INDEX(SPOT_Import!$A$1:$Z$2488,768,'Live Data'!$C$13)),"")</f>
        <v>Chogoria (PCEA) Hospital</v>
      </c>
      <c r="C768" s="54" t="str">
        <f>IFERROR(IF(INDEX(SPOT_Import!$A$1:$Z$2488,768,'Live Data'!$C$14)="","",INDEX(SPOT_Import!$A$1:$Z$2488,768,'Live Data'!$C$14)),"")</f>
        <v>THARAKA - NITHI</v>
      </c>
      <c r="D768" s="54" t="str">
        <f>IFERROR(IF(INDEX(SPOT_Import!$A$1:$Z$2488,768,'Live Data'!$C$15)="","",INDEX(SPOT_Import!$A$1:$Z$2488,768,'Live Data'!$C$15)),"")</f>
        <v>MWIMBI</v>
      </c>
      <c r="E768" s="54" t="str">
        <f>IFERROR(IF(INDEX(SPOT_Import!$A$1:$Z$2488,768,'Live Data'!$C$16)="","",INDEX(SPOT_Import!$A$1:$Z$2488,768,'Live Data'!$C$16)),"")</f>
        <v>CHAK CHAP STAWISHA</v>
      </c>
      <c r="F768" s="54" t="str">
        <f>IFERROR(IF(INDEX(SPOT_Import!$A$1:$Z$2488,768,'Live Data'!$C$17)="","",INDEX(SPOT_Import!$A$1:$Z$2488,768,'Live Data'!$C$17)),"")</f>
        <v>PREP</v>
      </c>
      <c r="G768" s="54">
        <f>IFERROR(IF(INDEX(SPOT_Import!$A$1:$Z$2488,768,'Live Data'!$C$18)="","",INDEX(SPOT_Import!$A$1:$Z$2488,768,'Live Data'!$C$18)),"")</f>
        <v>2171</v>
      </c>
      <c r="H768" s="54" t="str">
        <f>IFERROR(IF(INDEX(SPOT_Import!$A$1:$Z$2488,768,'Live Data'!$C$19)="","",INDEX(SPOT_Import!$A$1:$Z$2488,768,'Live Data'!$C$19)),"")</f>
        <v/>
      </c>
      <c r="I768" s="54" t="str">
        <f>IFERROR(IF(INDEX(SPOT_Import!$A$1:$Z$2488,768,'Live Data'!$C$20)="","",INDEX(SPOT_Import!$A$1:$Z$2488,768,'Live Data'!$C$20)),"")</f>
        <v>Incomplete</v>
      </c>
      <c r="J768" s="54" t="str">
        <f>IFERROR(IF(INDEX(SPOT_Import!$A$1:$Z$2488,768,'Live Data'!$C$21)="","",INDEX(SPOT_Import!$A$1:$Z$2488,768,'Live Data'!$C$21)),"")</f>
        <v>2026-10-14T07:01:52.000Z</v>
      </c>
      <c r="K768" s="54" t="str">
        <f>IFERROR(IF(INDEX(SPOT_Import!$A$1:$Z$2488,768,'Live Data'!$C$22)="","",INDEX(SPOT_Import!$A$1:$Z$2488,768,'Live Data'!$C$22)),"")</f>
        <v>2026-10-14T07:01:52.000Z</v>
      </c>
      <c r="L768" s="55" t="str">
        <f t="shared" si="22"/>
        <v>2026-10</v>
      </c>
      <c r="M768" s="55" t="str">
        <f t="shared" si="23"/>
        <v>THARAKA-NITHI</v>
      </c>
      <c r="N768" s="55" t="str">
        <f>IF(A768="","",IFERROR(INDEX('Cluster Map'!$A$4:$A$38,MATCH(M768,'Cluster Map'!$B$4:$B$38,0)),"Unmapped"))</f>
        <v>Cluster 2</v>
      </c>
      <c r="O768" s="55">
        <f>IF(A768="",0,IF(COUNTIFS($A$2:A768,A768,$F$2:F768,F768,$L$2:L768,L768)=1,1,0))</f>
        <v>1</v>
      </c>
      <c r="P768" s="55">
        <f>IF(A768="",0,IF(AND(F768="C&amp;T",COUNTIFS($A$2:A768,A768,$F$2:F768,"C&amp;T")=1),1,0))</f>
        <v>0</v>
      </c>
    </row>
    <row r="769" spans="1:16" x14ac:dyDescent="0.35">
      <c r="A769" s="54">
        <f>IFERROR(IF(INDEX(SPOT_Import!$A$1:$Z$2488,769,'Live Data'!$C$12)="","",INDEX(SPOT_Import!$A$1:$Z$2488,769,'Live Data'!$C$12)),"")</f>
        <v>10321</v>
      </c>
      <c r="B769" s="54" t="str">
        <f>IFERROR(IF(INDEX(SPOT_Import!$A$1:$Z$2488,769,'Live Data'!$C$13)="","",INDEX(SPOT_Import!$A$1:$Z$2488,769,'Live Data'!$C$13)),"")</f>
        <v>Holy Cross Dispensary</v>
      </c>
      <c r="C769" s="54" t="str">
        <f>IFERROR(IF(INDEX(SPOT_Import!$A$1:$Z$2488,769,'Live Data'!$C$14)="","",INDEX(SPOT_Import!$A$1:$Z$2488,769,'Live Data'!$C$14)),"")</f>
        <v>KIAMBU</v>
      </c>
      <c r="D769" s="54" t="str">
        <f>IFERROR(IF(INDEX(SPOT_Import!$A$1:$Z$2488,769,'Live Data'!$C$15)="","",INDEX(SPOT_Import!$A$1:$Z$2488,769,'Live Data'!$C$15)),"")</f>
        <v>Limuru</v>
      </c>
      <c r="E769" s="54" t="str">
        <f>IFERROR(IF(INDEX(SPOT_Import!$A$1:$Z$2488,769,'Live Data'!$C$16)="","",INDEX(SPOT_Import!$A$1:$Z$2488,769,'Live Data'!$C$16)),"")</f>
        <v>CHAK CHAP STAWISHA</v>
      </c>
      <c r="F769" s="54" t="str">
        <f>IFERROR(IF(INDEX(SPOT_Import!$A$1:$Z$2488,769,'Live Data'!$C$17)="","",INDEX(SPOT_Import!$A$1:$Z$2488,769,'Live Data'!$C$17)),"")</f>
        <v>PREP</v>
      </c>
      <c r="G769" s="54">
        <f>IFERROR(IF(INDEX(SPOT_Import!$A$1:$Z$2488,769,'Live Data'!$C$18)="","",INDEX(SPOT_Import!$A$1:$Z$2488,769,'Live Data'!$C$18)),"")</f>
        <v>265</v>
      </c>
      <c r="H769" s="54" t="str">
        <f>IFERROR(IF(INDEX(SPOT_Import!$A$1:$Z$2488,769,'Live Data'!$C$19)="","",INDEX(SPOT_Import!$A$1:$Z$2488,769,'Live Data'!$C$19)),"")</f>
        <v/>
      </c>
      <c r="I769" s="54" t="str">
        <f>IFERROR(IF(INDEX(SPOT_Import!$A$1:$Z$2488,769,'Live Data'!$C$20)="","",INDEX(SPOT_Import!$A$1:$Z$2488,769,'Live Data'!$C$20)),"")</f>
        <v>Complete</v>
      </c>
      <c r="J769" s="54" t="str">
        <f>IFERROR(IF(INDEX(SPOT_Import!$A$1:$Z$2488,769,'Live Data'!$C$21)="","",INDEX(SPOT_Import!$A$1:$Z$2488,769,'Live Data'!$C$21)),"")</f>
        <v>2026-10-14T06:52:23.000Z</v>
      </c>
      <c r="K769" s="54" t="str">
        <f>IFERROR(IF(INDEX(SPOT_Import!$A$1:$Z$2488,769,'Live Data'!$C$22)="","",INDEX(SPOT_Import!$A$1:$Z$2488,769,'Live Data'!$C$22)),"")</f>
        <v>2026-10-14T06:52:23.000Z</v>
      </c>
      <c r="L769" s="55" t="str">
        <f t="shared" si="22"/>
        <v>2026-10</v>
      </c>
      <c r="M769" s="55" t="str">
        <f t="shared" si="23"/>
        <v>KIAMBU</v>
      </c>
      <c r="N769" s="55" t="str">
        <f>IF(A769="","",IFERROR(INDEX('Cluster Map'!$A$4:$A$38,MATCH(M769,'Cluster Map'!$B$4:$B$38,0)),"Unmapped"))</f>
        <v>Cluster 3</v>
      </c>
      <c r="O769" s="55">
        <f>IF(A769="",0,IF(COUNTIFS($A$2:A769,A769,$F$2:F769,F769,$L$2:L769,L769)=1,1,0))</f>
        <v>1</v>
      </c>
      <c r="P769" s="55">
        <f>IF(A769="",0,IF(AND(F769="C&amp;T",COUNTIFS($A$2:A769,A769,$F$2:F769,"C&amp;T")=1),1,0))</f>
        <v>0</v>
      </c>
    </row>
    <row r="770" spans="1:16" x14ac:dyDescent="0.35">
      <c r="A770" s="54">
        <f>IFERROR(IF(INDEX(SPOT_Import!$A$1:$Z$2488,770,'Live Data'!$C$12)="","",INDEX(SPOT_Import!$A$1:$Z$2488,770,'Live Data'!$C$12)),"")</f>
        <v>10321</v>
      </c>
      <c r="B770" s="54" t="str">
        <f>IFERROR(IF(INDEX(SPOT_Import!$A$1:$Z$2488,770,'Live Data'!$C$13)="","",INDEX(SPOT_Import!$A$1:$Z$2488,770,'Live Data'!$C$13)),"")</f>
        <v>Holy Cross Dispensary</v>
      </c>
      <c r="C770" s="54" t="str">
        <f>IFERROR(IF(INDEX(SPOT_Import!$A$1:$Z$2488,770,'Live Data'!$C$14)="","",INDEX(SPOT_Import!$A$1:$Z$2488,770,'Live Data'!$C$14)),"")</f>
        <v>KIAMBU</v>
      </c>
      <c r="D770" s="54" t="str">
        <f>IFERROR(IF(INDEX(SPOT_Import!$A$1:$Z$2488,770,'Live Data'!$C$15)="","",INDEX(SPOT_Import!$A$1:$Z$2488,770,'Live Data'!$C$15)),"")</f>
        <v>Limuru</v>
      </c>
      <c r="E770" s="54" t="str">
        <f>IFERROR(IF(INDEX(SPOT_Import!$A$1:$Z$2488,770,'Live Data'!$C$16)="","",INDEX(SPOT_Import!$A$1:$Z$2488,770,'Live Data'!$C$16)),"")</f>
        <v>CHAK CHAP STAWISHA</v>
      </c>
      <c r="F770" s="54" t="str">
        <f>IFERROR(IF(INDEX(SPOT_Import!$A$1:$Z$2488,770,'Live Data'!$C$17)="","",INDEX(SPOT_Import!$A$1:$Z$2488,770,'Live Data'!$C$17)),"")</f>
        <v>MNCH</v>
      </c>
      <c r="G770" s="54">
        <f>IFERROR(IF(INDEX(SPOT_Import!$A$1:$Z$2488,770,'Live Data'!$C$18)="","",INDEX(SPOT_Import!$A$1:$Z$2488,770,'Live Data'!$C$18)),"")</f>
        <v>183</v>
      </c>
      <c r="H770" s="54" t="str">
        <f>IFERROR(IF(INDEX(SPOT_Import!$A$1:$Z$2488,770,'Live Data'!$C$19)="","",INDEX(SPOT_Import!$A$1:$Z$2488,770,'Live Data'!$C$19)),"")</f>
        <v/>
      </c>
      <c r="I770" s="54" t="str">
        <f>IFERROR(IF(INDEX(SPOT_Import!$A$1:$Z$2488,770,'Live Data'!$C$20)="","",INDEX(SPOT_Import!$A$1:$Z$2488,770,'Live Data'!$C$20)),"")</f>
        <v>Complete</v>
      </c>
      <c r="J770" s="54" t="str">
        <f>IFERROR(IF(INDEX(SPOT_Import!$A$1:$Z$2488,770,'Live Data'!$C$21)="","",INDEX(SPOT_Import!$A$1:$Z$2488,770,'Live Data'!$C$21)),"")</f>
        <v>2026-10-14T06:51:57.000Z</v>
      </c>
      <c r="K770" s="54" t="str">
        <f>IFERROR(IF(INDEX(SPOT_Import!$A$1:$Z$2488,770,'Live Data'!$C$22)="","",INDEX(SPOT_Import!$A$1:$Z$2488,770,'Live Data'!$C$22)),"")</f>
        <v>2026-10-14T06:51:57.000Z</v>
      </c>
      <c r="L770" s="55" t="str">
        <f t="shared" ref="L770:L833" si="24">IF(A770="","",IF(ISNUMBER(K770),TEXT(K770,"yyyy-mm"),LEFT(K770,7)))</f>
        <v>2026-10</v>
      </c>
      <c r="M770" s="55" t="str">
        <f t="shared" ref="M770:M833" si="25">IF(A770="","",UPPER(TRIM(SUBSTITUTE(C770," - ","-"))))</f>
        <v>KIAMBU</v>
      </c>
      <c r="N770" s="55" t="str">
        <f>IF(A770="","",IFERROR(INDEX('Cluster Map'!$A$4:$A$38,MATCH(M770,'Cluster Map'!$B$4:$B$38,0)),"Unmapped"))</f>
        <v>Cluster 3</v>
      </c>
      <c r="O770" s="55">
        <f>IF(A770="",0,IF(COUNTIFS($A$2:A770,A770,$F$2:F770,F770,$L$2:L770,L770)=1,1,0))</f>
        <v>1</v>
      </c>
      <c r="P770" s="55">
        <f>IF(A770="",0,IF(AND(F770="C&amp;T",COUNTIFS($A$2:A770,A770,$F$2:F770,"C&amp;T")=1),1,0))</f>
        <v>0</v>
      </c>
    </row>
    <row r="771" spans="1:16" x14ac:dyDescent="0.35">
      <c r="A771" s="54">
        <f>IFERROR(IF(INDEX(SPOT_Import!$A$1:$Z$2488,771,'Live Data'!$C$12)="","",INDEX(SPOT_Import!$A$1:$Z$2488,771,'Live Data'!$C$12)),"")</f>
        <v>10321</v>
      </c>
      <c r="B771" s="54" t="str">
        <f>IFERROR(IF(INDEX(SPOT_Import!$A$1:$Z$2488,771,'Live Data'!$C$13)="","",INDEX(SPOT_Import!$A$1:$Z$2488,771,'Live Data'!$C$13)),"")</f>
        <v>Holy Cross Dispensary</v>
      </c>
      <c r="C771" s="54" t="str">
        <f>IFERROR(IF(INDEX(SPOT_Import!$A$1:$Z$2488,771,'Live Data'!$C$14)="","",INDEX(SPOT_Import!$A$1:$Z$2488,771,'Live Data'!$C$14)),"")</f>
        <v>KIAMBU</v>
      </c>
      <c r="D771" s="54" t="str">
        <f>IFERROR(IF(INDEX(SPOT_Import!$A$1:$Z$2488,771,'Live Data'!$C$15)="","",INDEX(SPOT_Import!$A$1:$Z$2488,771,'Live Data'!$C$15)),"")</f>
        <v>Limuru</v>
      </c>
      <c r="E771" s="54" t="str">
        <f>IFERROR(IF(INDEX(SPOT_Import!$A$1:$Z$2488,771,'Live Data'!$C$16)="","",INDEX(SPOT_Import!$A$1:$Z$2488,771,'Live Data'!$C$16)),"")</f>
        <v>CHAK CHAP STAWISHA</v>
      </c>
      <c r="F771" s="54" t="str">
        <f>IFERROR(IF(INDEX(SPOT_Import!$A$1:$Z$2488,771,'Live Data'!$C$17)="","",INDEX(SPOT_Import!$A$1:$Z$2488,771,'Live Data'!$C$17)),"")</f>
        <v>HTS</v>
      </c>
      <c r="G771" s="54">
        <f>IFERROR(IF(INDEX(SPOT_Import!$A$1:$Z$2488,771,'Live Data'!$C$18)="","",INDEX(SPOT_Import!$A$1:$Z$2488,771,'Live Data'!$C$18)),"")</f>
        <v>1691</v>
      </c>
      <c r="H771" s="54">
        <f>IFERROR(IF(INDEX(SPOT_Import!$A$1:$Z$2488,771,'Live Data'!$C$19)="","",INDEX(SPOT_Import!$A$1:$Z$2488,771,'Live Data'!$C$19)),"")</f>
        <v>1691</v>
      </c>
      <c r="I771" s="54" t="str">
        <f>IFERROR(IF(INDEX(SPOT_Import!$A$1:$Z$2488,771,'Live Data'!$C$20)="","",INDEX(SPOT_Import!$A$1:$Z$2488,771,'Live Data'!$C$20)),"")</f>
        <v>Complete</v>
      </c>
      <c r="J771" s="54" t="str">
        <f>IFERROR(IF(INDEX(SPOT_Import!$A$1:$Z$2488,771,'Live Data'!$C$21)="","",INDEX(SPOT_Import!$A$1:$Z$2488,771,'Live Data'!$C$21)),"")</f>
        <v>2026-10-14T06:51:24.000Z</v>
      </c>
      <c r="K771" s="54" t="str">
        <f>IFERROR(IF(INDEX(SPOT_Import!$A$1:$Z$2488,771,'Live Data'!$C$22)="","",INDEX(SPOT_Import!$A$1:$Z$2488,771,'Live Data'!$C$22)),"")</f>
        <v>2026-10-14T06:51:24.000Z</v>
      </c>
      <c r="L771" s="55" t="str">
        <f t="shared" si="24"/>
        <v>2026-10</v>
      </c>
      <c r="M771" s="55" t="str">
        <f t="shared" si="25"/>
        <v>KIAMBU</v>
      </c>
      <c r="N771" s="55" t="str">
        <f>IF(A771="","",IFERROR(INDEX('Cluster Map'!$A$4:$A$38,MATCH(M771,'Cluster Map'!$B$4:$B$38,0)),"Unmapped"))</f>
        <v>Cluster 3</v>
      </c>
      <c r="O771" s="55">
        <f>IF(A771="",0,IF(COUNTIFS($A$2:A771,A771,$F$2:F771,F771,$L$2:L771,L771)=1,1,0))</f>
        <v>1</v>
      </c>
      <c r="P771" s="55">
        <f>IF(A771="",0,IF(AND(F771="C&amp;T",COUNTIFS($A$2:A771,A771,$F$2:F771,"C&amp;T")=1),1,0))</f>
        <v>0</v>
      </c>
    </row>
    <row r="772" spans="1:16" x14ac:dyDescent="0.35">
      <c r="A772" s="54">
        <f>IFERROR(IF(INDEX(SPOT_Import!$A$1:$Z$2488,772,'Live Data'!$C$12)="","",INDEX(SPOT_Import!$A$1:$Z$2488,772,'Live Data'!$C$12)),"")</f>
        <v>10321</v>
      </c>
      <c r="B772" s="54" t="str">
        <f>IFERROR(IF(INDEX(SPOT_Import!$A$1:$Z$2488,772,'Live Data'!$C$13)="","",INDEX(SPOT_Import!$A$1:$Z$2488,772,'Live Data'!$C$13)),"")</f>
        <v>Holy Cross Dispensary</v>
      </c>
      <c r="C772" s="54" t="str">
        <f>IFERROR(IF(INDEX(SPOT_Import!$A$1:$Z$2488,772,'Live Data'!$C$14)="","",INDEX(SPOT_Import!$A$1:$Z$2488,772,'Live Data'!$C$14)),"")</f>
        <v>KIAMBU</v>
      </c>
      <c r="D772" s="54" t="str">
        <f>IFERROR(IF(INDEX(SPOT_Import!$A$1:$Z$2488,772,'Live Data'!$C$15)="","",INDEX(SPOT_Import!$A$1:$Z$2488,772,'Live Data'!$C$15)),"")</f>
        <v>Limuru</v>
      </c>
      <c r="E772" s="54" t="str">
        <f>IFERROR(IF(INDEX(SPOT_Import!$A$1:$Z$2488,772,'Live Data'!$C$16)="","",INDEX(SPOT_Import!$A$1:$Z$2488,772,'Live Data'!$C$16)),"")</f>
        <v>CHAK CHAP STAWISHA</v>
      </c>
      <c r="F772" s="54" t="str">
        <f>IFERROR(IF(INDEX(SPOT_Import!$A$1:$Z$2488,772,'Live Data'!$C$17)="","",INDEX(SPOT_Import!$A$1:$Z$2488,772,'Live Data'!$C$17)),"")</f>
        <v>C&amp;T</v>
      </c>
      <c r="G772" s="54">
        <f>IFERROR(IF(INDEX(SPOT_Import!$A$1:$Z$2488,772,'Live Data'!$C$18)="","",INDEX(SPOT_Import!$A$1:$Z$2488,772,'Live Data'!$C$18)),"")</f>
        <v>626</v>
      </c>
      <c r="H772" s="54">
        <f>IFERROR(IF(INDEX(SPOT_Import!$A$1:$Z$2488,772,'Live Data'!$C$19)="","",INDEX(SPOT_Import!$A$1:$Z$2488,772,'Live Data'!$C$19)),"")</f>
        <v>626</v>
      </c>
      <c r="I772" s="54" t="str">
        <f>IFERROR(IF(INDEX(SPOT_Import!$A$1:$Z$2488,772,'Live Data'!$C$20)="","",INDEX(SPOT_Import!$A$1:$Z$2488,772,'Live Data'!$C$20)),"")</f>
        <v>Complete</v>
      </c>
      <c r="J772" s="54" t="str">
        <f>IFERROR(IF(INDEX(SPOT_Import!$A$1:$Z$2488,772,'Live Data'!$C$21)="","",INDEX(SPOT_Import!$A$1:$Z$2488,772,'Live Data'!$C$21)),"")</f>
        <v>2026-10-14T06:17:56.000Z</v>
      </c>
      <c r="K772" s="54" t="str">
        <f>IFERROR(IF(INDEX(SPOT_Import!$A$1:$Z$2488,772,'Live Data'!$C$22)="","",INDEX(SPOT_Import!$A$1:$Z$2488,772,'Live Data'!$C$22)),"")</f>
        <v>2026-10-14T06:17:56.000Z</v>
      </c>
      <c r="L772" s="55" t="str">
        <f t="shared" si="24"/>
        <v>2026-10</v>
      </c>
      <c r="M772" s="55" t="str">
        <f t="shared" si="25"/>
        <v>KIAMBU</v>
      </c>
      <c r="N772" s="55" t="str">
        <f>IF(A772="","",IFERROR(INDEX('Cluster Map'!$A$4:$A$38,MATCH(M772,'Cluster Map'!$B$4:$B$38,0)),"Unmapped"))</f>
        <v>Cluster 3</v>
      </c>
      <c r="O772" s="55">
        <f>IF(A772="",0,IF(COUNTIFS($A$2:A772,A772,$F$2:F772,F772,$L$2:L772,L772)=1,1,0))</f>
        <v>1</v>
      </c>
      <c r="P772" s="55">
        <f>IF(A772="",0,IF(AND(F772="C&amp;T",COUNTIFS($A$2:A772,A772,$F$2:F772,"C&amp;T")=1),1,0))</f>
        <v>1</v>
      </c>
    </row>
    <row r="773" spans="1:16" x14ac:dyDescent="0.35">
      <c r="A773" s="54">
        <f>IFERROR(IF(INDEX(SPOT_Import!$A$1:$Z$2488,773,'Live Data'!$C$12)="","",INDEX(SPOT_Import!$A$1:$Z$2488,773,'Live Data'!$C$12)),"")</f>
        <v>12205</v>
      </c>
      <c r="B773" s="54" t="str">
        <f>IFERROR(IF(INDEX(SPOT_Import!$A$1:$Z$2488,773,'Live Data'!$C$13)="","",INDEX(SPOT_Import!$A$1:$Z$2488,773,'Live Data'!$C$13)),"")</f>
        <v>PCEA Kasasule Dispensary</v>
      </c>
      <c r="C773" s="54" t="str">
        <f>IFERROR(IF(INDEX(SPOT_Import!$A$1:$Z$2488,773,'Live Data'!$C$14)="","",INDEX(SPOT_Import!$A$1:$Z$2488,773,'Live Data'!$C$14)),"")</f>
        <v>MAKUENI</v>
      </c>
      <c r="D773" s="54" t="str">
        <f>IFERROR(IF(INDEX(SPOT_Import!$A$1:$Z$2488,773,'Live Data'!$C$15)="","",INDEX(SPOT_Import!$A$1:$Z$2488,773,'Live Data'!$C$15)),"")</f>
        <v>Kibwezi East</v>
      </c>
      <c r="E773" s="54" t="str">
        <f>IFERROR(IF(INDEX(SPOT_Import!$A$1:$Z$2488,773,'Live Data'!$C$16)="","",INDEX(SPOT_Import!$A$1:$Z$2488,773,'Live Data'!$C$16)),"")</f>
        <v>CHAK CHAP STAWISHA</v>
      </c>
      <c r="F773" s="54" t="str">
        <f>IFERROR(IF(INDEX(SPOT_Import!$A$1:$Z$2488,773,'Live Data'!$C$17)="","",INDEX(SPOT_Import!$A$1:$Z$2488,773,'Live Data'!$C$17)),"")</f>
        <v>PREP</v>
      </c>
      <c r="G773" s="54">
        <f>IFERROR(IF(INDEX(SPOT_Import!$A$1:$Z$2488,773,'Live Data'!$C$18)="","",INDEX(SPOT_Import!$A$1:$Z$2488,773,'Live Data'!$C$18)),"")</f>
        <v>962</v>
      </c>
      <c r="H773" s="54">
        <f>IFERROR(IF(INDEX(SPOT_Import!$A$1:$Z$2488,773,'Live Data'!$C$19)="","",INDEX(SPOT_Import!$A$1:$Z$2488,773,'Live Data'!$C$19)),"")</f>
        <v>600</v>
      </c>
      <c r="I773" s="54" t="str">
        <f>IFERROR(IF(INDEX(SPOT_Import!$A$1:$Z$2488,773,'Live Data'!$C$20)="","",INDEX(SPOT_Import!$A$1:$Z$2488,773,'Live Data'!$C$20)),"")</f>
        <v>Incomplete</v>
      </c>
      <c r="J773" s="54" t="str">
        <f>IFERROR(IF(INDEX(SPOT_Import!$A$1:$Z$2488,773,'Live Data'!$C$21)="","",INDEX(SPOT_Import!$A$1:$Z$2488,773,'Live Data'!$C$21)),"")</f>
        <v>2026-10-13T12:27:24.000Z</v>
      </c>
      <c r="K773" s="54" t="str">
        <f>IFERROR(IF(INDEX(SPOT_Import!$A$1:$Z$2488,773,'Live Data'!$C$22)="","",INDEX(SPOT_Import!$A$1:$Z$2488,773,'Live Data'!$C$22)),"")</f>
        <v>2026-10-13T12:27:24.000Z</v>
      </c>
      <c r="L773" s="55" t="str">
        <f t="shared" si="24"/>
        <v>2026-10</v>
      </c>
      <c r="M773" s="55" t="str">
        <f t="shared" si="25"/>
        <v>MAKUENI</v>
      </c>
      <c r="N773" s="55" t="str">
        <f>IF(A773="","",IFERROR(INDEX('Cluster Map'!$A$4:$A$38,MATCH(M773,'Cluster Map'!$B$4:$B$38,0)),"Unmapped"))</f>
        <v>Cluster 5</v>
      </c>
      <c r="O773" s="55">
        <f>IF(A773="",0,IF(COUNTIFS($A$2:A773,A773,$F$2:F773,F773,$L$2:L773,L773)=1,1,0))</f>
        <v>1</v>
      </c>
      <c r="P773" s="55">
        <f>IF(A773="",0,IF(AND(F773="C&amp;T",COUNTIFS($A$2:A773,A773,$F$2:F773,"C&amp;T")=1),1,0))</f>
        <v>0</v>
      </c>
    </row>
    <row r="774" spans="1:16" x14ac:dyDescent="0.35">
      <c r="A774" s="54">
        <f>IFERROR(IF(INDEX(SPOT_Import!$A$1:$Z$2488,774,'Live Data'!$C$12)="","",INDEX(SPOT_Import!$A$1:$Z$2488,774,'Live Data'!$C$12)),"")</f>
        <v>12205</v>
      </c>
      <c r="B774" s="54" t="str">
        <f>IFERROR(IF(INDEX(SPOT_Import!$A$1:$Z$2488,774,'Live Data'!$C$13)="","",INDEX(SPOT_Import!$A$1:$Z$2488,774,'Live Data'!$C$13)),"")</f>
        <v>PCEA Kasasule Dispensary</v>
      </c>
      <c r="C774" s="54" t="str">
        <f>IFERROR(IF(INDEX(SPOT_Import!$A$1:$Z$2488,774,'Live Data'!$C$14)="","",INDEX(SPOT_Import!$A$1:$Z$2488,774,'Live Data'!$C$14)),"")</f>
        <v>MAKUENI</v>
      </c>
      <c r="D774" s="54" t="str">
        <f>IFERROR(IF(INDEX(SPOT_Import!$A$1:$Z$2488,774,'Live Data'!$C$15)="","",INDEX(SPOT_Import!$A$1:$Z$2488,774,'Live Data'!$C$15)),"")</f>
        <v>Kibwezi East</v>
      </c>
      <c r="E774" s="54" t="str">
        <f>IFERROR(IF(INDEX(SPOT_Import!$A$1:$Z$2488,774,'Live Data'!$C$16)="","",INDEX(SPOT_Import!$A$1:$Z$2488,774,'Live Data'!$C$16)),"")</f>
        <v>CHAK CHAP STAWISHA</v>
      </c>
      <c r="F774" s="54" t="str">
        <f>IFERROR(IF(INDEX(SPOT_Import!$A$1:$Z$2488,774,'Live Data'!$C$17)="","",INDEX(SPOT_Import!$A$1:$Z$2488,774,'Live Data'!$C$17)),"")</f>
        <v>MNCH</v>
      </c>
      <c r="G774" s="54">
        <f>IFERROR(IF(INDEX(SPOT_Import!$A$1:$Z$2488,774,'Live Data'!$C$18)="","",INDEX(SPOT_Import!$A$1:$Z$2488,774,'Live Data'!$C$18)),"")</f>
        <v>523</v>
      </c>
      <c r="H774" s="54">
        <f>IFERROR(IF(INDEX(SPOT_Import!$A$1:$Z$2488,774,'Live Data'!$C$19)="","",INDEX(SPOT_Import!$A$1:$Z$2488,774,'Live Data'!$C$19)),"")</f>
        <v>523</v>
      </c>
      <c r="I774" s="54" t="str">
        <f>IFERROR(IF(INDEX(SPOT_Import!$A$1:$Z$2488,774,'Live Data'!$C$20)="","",INDEX(SPOT_Import!$A$1:$Z$2488,774,'Live Data'!$C$20)),"")</f>
        <v>Complete</v>
      </c>
      <c r="J774" s="54" t="str">
        <f>IFERROR(IF(INDEX(SPOT_Import!$A$1:$Z$2488,774,'Live Data'!$C$21)="","",INDEX(SPOT_Import!$A$1:$Z$2488,774,'Live Data'!$C$21)),"")</f>
        <v>2026-10-13T12:26:36.000Z</v>
      </c>
      <c r="K774" s="54" t="str">
        <f>IFERROR(IF(INDEX(SPOT_Import!$A$1:$Z$2488,774,'Live Data'!$C$22)="","",INDEX(SPOT_Import!$A$1:$Z$2488,774,'Live Data'!$C$22)),"")</f>
        <v>2026-10-13T12:26:36.000Z</v>
      </c>
      <c r="L774" s="55" t="str">
        <f t="shared" si="24"/>
        <v>2026-10</v>
      </c>
      <c r="M774" s="55" t="str">
        <f t="shared" si="25"/>
        <v>MAKUENI</v>
      </c>
      <c r="N774" s="55" t="str">
        <f>IF(A774="","",IFERROR(INDEX('Cluster Map'!$A$4:$A$38,MATCH(M774,'Cluster Map'!$B$4:$B$38,0)),"Unmapped"))</f>
        <v>Cluster 5</v>
      </c>
      <c r="O774" s="55">
        <f>IF(A774="",0,IF(COUNTIFS($A$2:A774,A774,$F$2:F774,F774,$L$2:L774,L774)=1,1,0))</f>
        <v>1</v>
      </c>
      <c r="P774" s="55">
        <f>IF(A774="",0,IF(AND(F774="C&amp;T",COUNTIFS($A$2:A774,A774,$F$2:F774,"C&amp;T")=1),1,0))</f>
        <v>0</v>
      </c>
    </row>
    <row r="775" spans="1:16" x14ac:dyDescent="0.35">
      <c r="A775" s="54">
        <f>IFERROR(IF(INDEX(SPOT_Import!$A$1:$Z$2488,775,'Live Data'!$C$12)="","",INDEX(SPOT_Import!$A$1:$Z$2488,775,'Live Data'!$C$12)),"")</f>
        <v>12205</v>
      </c>
      <c r="B775" s="54" t="str">
        <f>IFERROR(IF(INDEX(SPOT_Import!$A$1:$Z$2488,775,'Live Data'!$C$13)="","",INDEX(SPOT_Import!$A$1:$Z$2488,775,'Live Data'!$C$13)),"")</f>
        <v>PCEA Kasasule Dispensary</v>
      </c>
      <c r="C775" s="54" t="str">
        <f>IFERROR(IF(INDEX(SPOT_Import!$A$1:$Z$2488,775,'Live Data'!$C$14)="","",INDEX(SPOT_Import!$A$1:$Z$2488,775,'Live Data'!$C$14)),"")</f>
        <v>MAKUENI</v>
      </c>
      <c r="D775" s="54" t="str">
        <f>IFERROR(IF(INDEX(SPOT_Import!$A$1:$Z$2488,775,'Live Data'!$C$15)="","",INDEX(SPOT_Import!$A$1:$Z$2488,775,'Live Data'!$C$15)),"")</f>
        <v>Kibwezi East</v>
      </c>
      <c r="E775" s="54" t="str">
        <f>IFERROR(IF(INDEX(SPOT_Import!$A$1:$Z$2488,775,'Live Data'!$C$16)="","",INDEX(SPOT_Import!$A$1:$Z$2488,775,'Live Data'!$C$16)),"")</f>
        <v>CHAK CHAP STAWISHA</v>
      </c>
      <c r="F775" s="54" t="str">
        <f>IFERROR(IF(INDEX(SPOT_Import!$A$1:$Z$2488,775,'Live Data'!$C$17)="","",INDEX(SPOT_Import!$A$1:$Z$2488,775,'Live Data'!$C$17)),"")</f>
        <v>HTS</v>
      </c>
      <c r="G775" s="54">
        <f>IFERROR(IF(INDEX(SPOT_Import!$A$1:$Z$2488,775,'Live Data'!$C$18)="","",INDEX(SPOT_Import!$A$1:$Z$2488,775,'Live Data'!$C$18)),"")</f>
        <v>2437</v>
      </c>
      <c r="H775" s="54" t="str">
        <f>IFERROR(IF(INDEX(SPOT_Import!$A$1:$Z$2488,775,'Live Data'!$C$19)="","",INDEX(SPOT_Import!$A$1:$Z$2488,775,'Live Data'!$C$19)),"")</f>
        <v/>
      </c>
      <c r="I775" s="54" t="str">
        <f>IFERROR(IF(INDEX(SPOT_Import!$A$1:$Z$2488,775,'Live Data'!$C$20)="","",INDEX(SPOT_Import!$A$1:$Z$2488,775,'Live Data'!$C$20)),"")</f>
        <v>Complete</v>
      </c>
      <c r="J775" s="54" t="str">
        <f>IFERROR(IF(INDEX(SPOT_Import!$A$1:$Z$2488,775,'Live Data'!$C$21)="","",INDEX(SPOT_Import!$A$1:$Z$2488,775,'Live Data'!$C$21)),"")</f>
        <v>2026-10-13T12:25:54.000Z</v>
      </c>
      <c r="K775" s="54" t="str">
        <f>IFERROR(IF(INDEX(SPOT_Import!$A$1:$Z$2488,775,'Live Data'!$C$22)="","",INDEX(SPOT_Import!$A$1:$Z$2488,775,'Live Data'!$C$22)),"")</f>
        <v>2026-10-13T12:25:54.000Z</v>
      </c>
      <c r="L775" s="55" t="str">
        <f t="shared" si="24"/>
        <v>2026-10</v>
      </c>
      <c r="M775" s="55" t="str">
        <f t="shared" si="25"/>
        <v>MAKUENI</v>
      </c>
      <c r="N775" s="55" t="str">
        <f>IF(A775="","",IFERROR(INDEX('Cluster Map'!$A$4:$A$38,MATCH(M775,'Cluster Map'!$B$4:$B$38,0)),"Unmapped"))</f>
        <v>Cluster 5</v>
      </c>
      <c r="O775" s="55">
        <f>IF(A775="",0,IF(COUNTIFS($A$2:A775,A775,$F$2:F775,F775,$L$2:L775,L775)=1,1,0))</f>
        <v>1</v>
      </c>
      <c r="P775" s="55">
        <f>IF(A775="",0,IF(AND(F775="C&amp;T",COUNTIFS($A$2:A775,A775,$F$2:F775,"C&amp;T")=1),1,0))</f>
        <v>0</v>
      </c>
    </row>
    <row r="776" spans="1:16" x14ac:dyDescent="0.35">
      <c r="A776" s="54">
        <f>IFERROR(IF(INDEX(SPOT_Import!$A$1:$Z$2488,776,'Live Data'!$C$12)="","",INDEX(SPOT_Import!$A$1:$Z$2488,776,'Live Data'!$C$12)),"")</f>
        <v>19963</v>
      </c>
      <c r="B776" s="54" t="str">
        <f>IFERROR(IF(INDEX(SPOT_Import!$A$1:$Z$2488,776,'Live Data'!$C$13)="","",INDEX(SPOT_Import!$A$1:$Z$2488,776,'Live Data'!$C$13)),"")</f>
        <v>Holy family Catholic Hospital (Githunguri)</v>
      </c>
      <c r="C776" s="54" t="str">
        <f>IFERROR(IF(INDEX(SPOT_Import!$A$1:$Z$2488,776,'Live Data'!$C$14)="","",INDEX(SPOT_Import!$A$1:$Z$2488,776,'Live Data'!$C$14)),"")</f>
        <v>KIAMBU</v>
      </c>
      <c r="D776" s="54" t="str">
        <f>IFERROR(IF(INDEX(SPOT_Import!$A$1:$Z$2488,776,'Live Data'!$C$15)="","",INDEX(SPOT_Import!$A$1:$Z$2488,776,'Live Data'!$C$15)),"")</f>
        <v>Githunguri</v>
      </c>
      <c r="E776" s="54" t="str">
        <f>IFERROR(IF(INDEX(SPOT_Import!$A$1:$Z$2488,776,'Live Data'!$C$16)="","",INDEX(SPOT_Import!$A$1:$Z$2488,776,'Live Data'!$C$16)),"")</f>
        <v>CHAK CHAP STAWISHA</v>
      </c>
      <c r="F776" s="54" t="str">
        <f>IFERROR(IF(INDEX(SPOT_Import!$A$1:$Z$2488,776,'Live Data'!$C$17)="","",INDEX(SPOT_Import!$A$1:$Z$2488,776,'Live Data'!$C$17)),"")</f>
        <v>MNCH</v>
      </c>
      <c r="G776" s="54">
        <f>IFERROR(IF(INDEX(SPOT_Import!$A$1:$Z$2488,776,'Live Data'!$C$18)="","",INDEX(SPOT_Import!$A$1:$Z$2488,776,'Live Data'!$C$18)),"")</f>
        <v>70</v>
      </c>
      <c r="H776" s="54" t="str">
        <f>IFERROR(IF(INDEX(SPOT_Import!$A$1:$Z$2488,776,'Live Data'!$C$19)="","",INDEX(SPOT_Import!$A$1:$Z$2488,776,'Live Data'!$C$19)),"")</f>
        <v/>
      </c>
      <c r="I776" s="54" t="str">
        <f>IFERROR(IF(INDEX(SPOT_Import!$A$1:$Z$2488,776,'Live Data'!$C$20)="","",INDEX(SPOT_Import!$A$1:$Z$2488,776,'Live Data'!$C$20)),"")</f>
        <v>Incomplete</v>
      </c>
      <c r="J776" s="54" t="str">
        <f>IFERROR(IF(INDEX(SPOT_Import!$A$1:$Z$2488,776,'Live Data'!$C$21)="","",INDEX(SPOT_Import!$A$1:$Z$2488,776,'Live Data'!$C$21)),"")</f>
        <v>2026-10-13T12:23:56.000Z</v>
      </c>
      <c r="K776" s="54" t="str">
        <f>IFERROR(IF(INDEX(SPOT_Import!$A$1:$Z$2488,776,'Live Data'!$C$22)="","",INDEX(SPOT_Import!$A$1:$Z$2488,776,'Live Data'!$C$22)),"")</f>
        <v>2026-10-13T12:23:56.000Z</v>
      </c>
      <c r="L776" s="55" t="str">
        <f t="shared" si="24"/>
        <v>2026-10</v>
      </c>
      <c r="M776" s="55" t="str">
        <f t="shared" si="25"/>
        <v>KIAMBU</v>
      </c>
      <c r="N776" s="55" t="str">
        <f>IF(A776="","",IFERROR(INDEX('Cluster Map'!$A$4:$A$38,MATCH(M776,'Cluster Map'!$B$4:$B$38,0)),"Unmapped"))</f>
        <v>Cluster 3</v>
      </c>
      <c r="O776" s="55">
        <f>IF(A776="",0,IF(COUNTIFS($A$2:A776,A776,$F$2:F776,F776,$L$2:L776,L776)=1,1,0))</f>
        <v>1</v>
      </c>
      <c r="P776" s="55">
        <f>IF(A776="",0,IF(AND(F776="C&amp;T",COUNTIFS($A$2:A776,A776,$F$2:F776,"C&amp;T")=1),1,0))</f>
        <v>0</v>
      </c>
    </row>
    <row r="777" spans="1:16" x14ac:dyDescent="0.35">
      <c r="A777" s="54">
        <f>IFERROR(IF(INDEX(SPOT_Import!$A$1:$Z$2488,777,'Live Data'!$C$12)="","",INDEX(SPOT_Import!$A$1:$Z$2488,777,'Live Data'!$C$12)),"")</f>
        <v>19963</v>
      </c>
      <c r="B777" s="54" t="str">
        <f>IFERROR(IF(INDEX(SPOT_Import!$A$1:$Z$2488,777,'Live Data'!$C$13)="","",INDEX(SPOT_Import!$A$1:$Z$2488,777,'Live Data'!$C$13)),"")</f>
        <v>Holy family Catholic Hospital (Githunguri)</v>
      </c>
      <c r="C777" s="54" t="str">
        <f>IFERROR(IF(INDEX(SPOT_Import!$A$1:$Z$2488,777,'Live Data'!$C$14)="","",INDEX(SPOT_Import!$A$1:$Z$2488,777,'Live Data'!$C$14)),"")</f>
        <v>KIAMBU</v>
      </c>
      <c r="D777" s="54" t="str">
        <f>IFERROR(IF(INDEX(SPOT_Import!$A$1:$Z$2488,777,'Live Data'!$C$15)="","",INDEX(SPOT_Import!$A$1:$Z$2488,777,'Live Data'!$C$15)),"")</f>
        <v>Githunguri</v>
      </c>
      <c r="E777" s="54" t="str">
        <f>IFERROR(IF(INDEX(SPOT_Import!$A$1:$Z$2488,777,'Live Data'!$C$16)="","",INDEX(SPOT_Import!$A$1:$Z$2488,777,'Live Data'!$C$16)),"")</f>
        <v>CHAK CHAP STAWISHA</v>
      </c>
      <c r="F777" s="54" t="str">
        <f>IFERROR(IF(INDEX(SPOT_Import!$A$1:$Z$2488,777,'Live Data'!$C$17)="","",INDEX(SPOT_Import!$A$1:$Z$2488,777,'Live Data'!$C$17)),"")</f>
        <v>PREP</v>
      </c>
      <c r="G777" s="54">
        <f>IFERROR(IF(INDEX(SPOT_Import!$A$1:$Z$2488,777,'Live Data'!$C$18)="","",INDEX(SPOT_Import!$A$1:$Z$2488,777,'Live Data'!$C$18)),"")</f>
        <v>896</v>
      </c>
      <c r="H777" s="54">
        <f>IFERROR(IF(INDEX(SPOT_Import!$A$1:$Z$2488,777,'Live Data'!$C$19)="","",INDEX(SPOT_Import!$A$1:$Z$2488,777,'Live Data'!$C$19)),"")</f>
        <v>896</v>
      </c>
      <c r="I777" s="54" t="str">
        <f>IFERROR(IF(INDEX(SPOT_Import!$A$1:$Z$2488,777,'Live Data'!$C$20)="","",INDEX(SPOT_Import!$A$1:$Z$2488,777,'Live Data'!$C$20)),"")</f>
        <v>Complete</v>
      </c>
      <c r="J777" s="54" t="str">
        <f>IFERROR(IF(INDEX(SPOT_Import!$A$1:$Z$2488,777,'Live Data'!$C$21)="","",INDEX(SPOT_Import!$A$1:$Z$2488,777,'Live Data'!$C$21)),"")</f>
        <v>2026-10-13T12:21:50.000Z</v>
      </c>
      <c r="K777" s="54" t="str">
        <f>IFERROR(IF(INDEX(SPOT_Import!$A$1:$Z$2488,777,'Live Data'!$C$22)="","",INDEX(SPOT_Import!$A$1:$Z$2488,777,'Live Data'!$C$22)),"")</f>
        <v>2026-10-13T12:21:50.000Z</v>
      </c>
      <c r="L777" s="55" t="str">
        <f t="shared" si="24"/>
        <v>2026-10</v>
      </c>
      <c r="M777" s="55" t="str">
        <f t="shared" si="25"/>
        <v>KIAMBU</v>
      </c>
      <c r="N777" s="55" t="str">
        <f>IF(A777="","",IFERROR(INDEX('Cluster Map'!$A$4:$A$38,MATCH(M777,'Cluster Map'!$B$4:$B$38,0)),"Unmapped"))</f>
        <v>Cluster 3</v>
      </c>
      <c r="O777" s="55">
        <f>IF(A777="",0,IF(COUNTIFS($A$2:A777,A777,$F$2:F777,F777,$L$2:L777,L777)=1,1,0))</f>
        <v>1</v>
      </c>
      <c r="P777" s="55">
        <f>IF(A777="",0,IF(AND(F777="C&amp;T",COUNTIFS($A$2:A777,A777,$F$2:F777,"C&amp;T")=1),1,0))</f>
        <v>0</v>
      </c>
    </row>
    <row r="778" spans="1:16" x14ac:dyDescent="0.35">
      <c r="A778" s="54">
        <f>IFERROR(IF(INDEX(SPOT_Import!$A$1:$Z$2488,778,'Live Data'!$C$12)="","",INDEX(SPOT_Import!$A$1:$Z$2488,778,'Live Data'!$C$12)),"")</f>
        <v>15652</v>
      </c>
      <c r="B778" s="54" t="str">
        <f>IFERROR(IF(INDEX(SPOT_Import!$A$1:$Z$2488,778,'Live Data'!$C$13)="","",INDEX(SPOT_Import!$A$1:$Z$2488,778,'Live Data'!$C$13)),"")</f>
        <v>St Mary Health Centre (Kiserian)</v>
      </c>
      <c r="C778" s="54" t="str">
        <f>IFERROR(IF(INDEX(SPOT_Import!$A$1:$Z$2488,778,'Live Data'!$C$14)="","",INDEX(SPOT_Import!$A$1:$Z$2488,778,'Live Data'!$C$14)),"")</f>
        <v>KAJIADO</v>
      </c>
      <c r="D778" s="54" t="str">
        <f>IFERROR(IF(INDEX(SPOT_Import!$A$1:$Z$2488,778,'Live Data'!$C$15)="","",INDEX(SPOT_Import!$A$1:$Z$2488,778,'Live Data'!$C$15)),"")</f>
        <v>Kajiado West</v>
      </c>
      <c r="E778" s="54" t="str">
        <f>IFERROR(IF(INDEX(SPOT_Import!$A$1:$Z$2488,778,'Live Data'!$C$16)="","",INDEX(SPOT_Import!$A$1:$Z$2488,778,'Live Data'!$C$16)),"")</f>
        <v>CHAK CHAP STAWISHA</v>
      </c>
      <c r="F778" s="54" t="str">
        <f>IFERROR(IF(INDEX(SPOT_Import!$A$1:$Z$2488,778,'Live Data'!$C$17)="","",INDEX(SPOT_Import!$A$1:$Z$2488,778,'Live Data'!$C$17)),"")</f>
        <v>MNCH</v>
      </c>
      <c r="G778" s="54">
        <f>IFERROR(IF(INDEX(SPOT_Import!$A$1:$Z$2488,778,'Live Data'!$C$18)="","",INDEX(SPOT_Import!$A$1:$Z$2488,778,'Live Data'!$C$18)),"")</f>
        <v>60</v>
      </c>
      <c r="H778" s="54" t="str">
        <f>IFERROR(IF(INDEX(SPOT_Import!$A$1:$Z$2488,778,'Live Data'!$C$19)="","",INDEX(SPOT_Import!$A$1:$Z$2488,778,'Live Data'!$C$19)),"")</f>
        <v/>
      </c>
      <c r="I778" s="54" t="str">
        <f>IFERROR(IF(INDEX(SPOT_Import!$A$1:$Z$2488,778,'Live Data'!$C$20)="","",INDEX(SPOT_Import!$A$1:$Z$2488,778,'Live Data'!$C$20)),"")</f>
        <v>Incomplete</v>
      </c>
      <c r="J778" s="54" t="str">
        <f>IFERROR(IF(INDEX(SPOT_Import!$A$1:$Z$2488,778,'Live Data'!$C$21)="","",INDEX(SPOT_Import!$A$1:$Z$2488,778,'Live Data'!$C$21)),"")</f>
        <v>2026-10-13T12:13:59.000Z</v>
      </c>
      <c r="K778" s="54" t="str">
        <f>IFERROR(IF(INDEX(SPOT_Import!$A$1:$Z$2488,778,'Live Data'!$C$22)="","",INDEX(SPOT_Import!$A$1:$Z$2488,778,'Live Data'!$C$22)),"")</f>
        <v>2026-10-13T12:13:59.000Z</v>
      </c>
      <c r="L778" s="55" t="str">
        <f t="shared" si="24"/>
        <v>2026-10</v>
      </c>
      <c r="M778" s="55" t="str">
        <f t="shared" si="25"/>
        <v>KAJIADO</v>
      </c>
      <c r="N778" s="55" t="str">
        <f>IF(A778="","",IFERROR(INDEX('Cluster Map'!$A$4:$A$38,MATCH(M778,'Cluster Map'!$B$4:$B$38,0)),"Unmapped"))</f>
        <v>Cluster 3</v>
      </c>
      <c r="O778" s="55">
        <f>IF(A778="",0,IF(COUNTIFS($A$2:A778,A778,$F$2:F778,F778,$L$2:L778,L778)=1,1,0))</f>
        <v>1</v>
      </c>
      <c r="P778" s="55">
        <f>IF(A778="",0,IF(AND(F778="C&amp;T",COUNTIFS($A$2:A778,A778,$F$2:F778,"C&amp;T")=1),1,0))</f>
        <v>0</v>
      </c>
    </row>
    <row r="779" spans="1:16" x14ac:dyDescent="0.35">
      <c r="A779" s="54">
        <f>IFERROR(IF(INDEX(SPOT_Import!$A$1:$Z$2488,779,'Live Data'!$C$12)="","",INDEX(SPOT_Import!$A$1:$Z$2488,779,'Live Data'!$C$12)),"")</f>
        <v>15652</v>
      </c>
      <c r="B779" s="54" t="str">
        <f>IFERROR(IF(INDEX(SPOT_Import!$A$1:$Z$2488,779,'Live Data'!$C$13)="","",INDEX(SPOT_Import!$A$1:$Z$2488,779,'Live Data'!$C$13)),"")</f>
        <v>St Mary Health Centre (Kiserian)</v>
      </c>
      <c r="C779" s="54" t="str">
        <f>IFERROR(IF(INDEX(SPOT_Import!$A$1:$Z$2488,779,'Live Data'!$C$14)="","",INDEX(SPOT_Import!$A$1:$Z$2488,779,'Live Data'!$C$14)),"")</f>
        <v>KAJIADO</v>
      </c>
      <c r="D779" s="54" t="str">
        <f>IFERROR(IF(INDEX(SPOT_Import!$A$1:$Z$2488,779,'Live Data'!$C$15)="","",INDEX(SPOT_Import!$A$1:$Z$2488,779,'Live Data'!$C$15)),"")</f>
        <v>Kajiado West</v>
      </c>
      <c r="E779" s="54" t="str">
        <f>IFERROR(IF(INDEX(SPOT_Import!$A$1:$Z$2488,779,'Live Data'!$C$16)="","",INDEX(SPOT_Import!$A$1:$Z$2488,779,'Live Data'!$C$16)),"")</f>
        <v>CHAK CHAP STAWISHA</v>
      </c>
      <c r="F779" s="54" t="str">
        <f>IFERROR(IF(INDEX(SPOT_Import!$A$1:$Z$2488,779,'Live Data'!$C$17)="","",INDEX(SPOT_Import!$A$1:$Z$2488,779,'Live Data'!$C$17)),"")</f>
        <v>PREP</v>
      </c>
      <c r="G779" s="54">
        <f>IFERROR(IF(INDEX(SPOT_Import!$A$1:$Z$2488,779,'Live Data'!$C$18)="","",INDEX(SPOT_Import!$A$1:$Z$2488,779,'Live Data'!$C$18)),"")</f>
        <v>1600</v>
      </c>
      <c r="H779" s="54" t="str">
        <f>IFERROR(IF(INDEX(SPOT_Import!$A$1:$Z$2488,779,'Live Data'!$C$19)="","",INDEX(SPOT_Import!$A$1:$Z$2488,779,'Live Data'!$C$19)),"")</f>
        <v/>
      </c>
      <c r="I779" s="54" t="str">
        <f>IFERROR(IF(INDEX(SPOT_Import!$A$1:$Z$2488,779,'Live Data'!$C$20)="","",INDEX(SPOT_Import!$A$1:$Z$2488,779,'Live Data'!$C$20)),"")</f>
        <v>Incomplete</v>
      </c>
      <c r="J779" s="54" t="str">
        <f>IFERROR(IF(INDEX(SPOT_Import!$A$1:$Z$2488,779,'Live Data'!$C$21)="","",INDEX(SPOT_Import!$A$1:$Z$2488,779,'Live Data'!$C$21)),"")</f>
        <v>2026-10-13T12:13:25.000Z</v>
      </c>
      <c r="K779" s="54" t="str">
        <f>IFERROR(IF(INDEX(SPOT_Import!$A$1:$Z$2488,779,'Live Data'!$C$22)="","",INDEX(SPOT_Import!$A$1:$Z$2488,779,'Live Data'!$C$22)),"")</f>
        <v>2026-10-13T12:13:25.000Z</v>
      </c>
      <c r="L779" s="55" t="str">
        <f t="shared" si="24"/>
        <v>2026-10</v>
      </c>
      <c r="M779" s="55" t="str">
        <f t="shared" si="25"/>
        <v>KAJIADO</v>
      </c>
      <c r="N779" s="55" t="str">
        <f>IF(A779="","",IFERROR(INDEX('Cluster Map'!$A$4:$A$38,MATCH(M779,'Cluster Map'!$B$4:$B$38,0)),"Unmapped"))</f>
        <v>Cluster 3</v>
      </c>
      <c r="O779" s="55">
        <f>IF(A779="",0,IF(COUNTIFS($A$2:A779,A779,$F$2:F779,F779,$L$2:L779,L779)=1,1,0))</f>
        <v>1</v>
      </c>
      <c r="P779" s="55">
        <f>IF(A779="",0,IF(AND(F779="C&amp;T",COUNTIFS($A$2:A779,A779,$F$2:F779,"C&amp;T")=1),1,0))</f>
        <v>0</v>
      </c>
    </row>
    <row r="780" spans="1:16" x14ac:dyDescent="0.35">
      <c r="A780" s="54">
        <f>IFERROR(IF(INDEX(SPOT_Import!$A$1:$Z$2488,780,'Live Data'!$C$12)="","",INDEX(SPOT_Import!$A$1:$Z$2488,780,'Live Data'!$C$12)),"")</f>
        <v>12205</v>
      </c>
      <c r="B780" s="54" t="str">
        <f>IFERROR(IF(INDEX(SPOT_Import!$A$1:$Z$2488,780,'Live Data'!$C$13)="","",INDEX(SPOT_Import!$A$1:$Z$2488,780,'Live Data'!$C$13)),"")</f>
        <v>PCEA Kasasule Dispensary</v>
      </c>
      <c r="C780" s="54" t="str">
        <f>IFERROR(IF(INDEX(SPOT_Import!$A$1:$Z$2488,780,'Live Data'!$C$14)="","",INDEX(SPOT_Import!$A$1:$Z$2488,780,'Live Data'!$C$14)),"")</f>
        <v>MAKUENI</v>
      </c>
      <c r="D780" s="54" t="str">
        <f>IFERROR(IF(INDEX(SPOT_Import!$A$1:$Z$2488,780,'Live Data'!$C$15)="","",INDEX(SPOT_Import!$A$1:$Z$2488,780,'Live Data'!$C$15)),"")</f>
        <v>Kibwezi East</v>
      </c>
      <c r="E780" s="54" t="str">
        <f>IFERROR(IF(INDEX(SPOT_Import!$A$1:$Z$2488,780,'Live Data'!$C$16)="","",INDEX(SPOT_Import!$A$1:$Z$2488,780,'Live Data'!$C$16)),"")</f>
        <v>CHAK CHAP STAWISHA</v>
      </c>
      <c r="F780" s="54" t="str">
        <f>IFERROR(IF(INDEX(SPOT_Import!$A$1:$Z$2488,780,'Live Data'!$C$17)="","",INDEX(SPOT_Import!$A$1:$Z$2488,780,'Live Data'!$C$17)),"")</f>
        <v>C&amp;T</v>
      </c>
      <c r="G780" s="54">
        <f>IFERROR(IF(INDEX(SPOT_Import!$A$1:$Z$2488,780,'Live Data'!$C$18)="","",INDEX(SPOT_Import!$A$1:$Z$2488,780,'Live Data'!$C$18)),"")</f>
        <v>145</v>
      </c>
      <c r="H780" s="54">
        <f>IFERROR(IF(INDEX(SPOT_Import!$A$1:$Z$2488,780,'Live Data'!$C$19)="","",INDEX(SPOT_Import!$A$1:$Z$2488,780,'Live Data'!$C$19)),"")</f>
        <v>145</v>
      </c>
      <c r="I780" s="54" t="str">
        <f>IFERROR(IF(INDEX(SPOT_Import!$A$1:$Z$2488,780,'Live Data'!$C$20)="","",INDEX(SPOT_Import!$A$1:$Z$2488,780,'Live Data'!$C$20)),"")</f>
        <v>Complete</v>
      </c>
      <c r="J780" s="54" t="str">
        <f>IFERROR(IF(INDEX(SPOT_Import!$A$1:$Z$2488,780,'Live Data'!$C$21)="","",INDEX(SPOT_Import!$A$1:$Z$2488,780,'Live Data'!$C$21)),"")</f>
        <v>2026-10-13T12:00:15.000Z</v>
      </c>
      <c r="K780" s="54" t="str">
        <f>IFERROR(IF(INDEX(SPOT_Import!$A$1:$Z$2488,780,'Live Data'!$C$22)="","",INDEX(SPOT_Import!$A$1:$Z$2488,780,'Live Data'!$C$22)),"")</f>
        <v>2026-10-13T12:00:15.000Z</v>
      </c>
      <c r="L780" s="55" t="str">
        <f t="shared" si="24"/>
        <v>2026-10</v>
      </c>
      <c r="M780" s="55" t="str">
        <f t="shared" si="25"/>
        <v>MAKUENI</v>
      </c>
      <c r="N780" s="55" t="str">
        <f>IF(A780="","",IFERROR(INDEX('Cluster Map'!$A$4:$A$38,MATCH(M780,'Cluster Map'!$B$4:$B$38,0)),"Unmapped"))</f>
        <v>Cluster 5</v>
      </c>
      <c r="O780" s="55">
        <f>IF(A780="",0,IF(COUNTIFS($A$2:A780,A780,$F$2:F780,F780,$L$2:L780,L780)=1,1,0))</f>
        <v>1</v>
      </c>
      <c r="P780" s="55">
        <f>IF(A780="",0,IF(AND(F780="C&amp;T",COUNTIFS($A$2:A780,A780,$F$2:F780,"C&amp;T")=1),1,0))</f>
        <v>1</v>
      </c>
    </row>
    <row r="781" spans="1:16" x14ac:dyDescent="0.35">
      <c r="A781" s="54">
        <f>IFERROR(IF(INDEX(SPOT_Import!$A$1:$Z$2488,781,'Live Data'!$C$12)="","",INDEX(SPOT_Import!$A$1:$Z$2488,781,'Live Data'!$C$12)),"")</f>
        <v>12860</v>
      </c>
      <c r="B781" s="54" t="str">
        <f>IFERROR(IF(INDEX(SPOT_Import!$A$1:$Z$2488,781,'Live Data'!$C$13)="","",INDEX(SPOT_Import!$A$1:$Z$2488,781,'Live Data'!$C$13)),"")</f>
        <v>Zombe (AIC) Health Centre</v>
      </c>
      <c r="C781" s="54" t="str">
        <f>IFERROR(IF(INDEX(SPOT_Import!$A$1:$Z$2488,781,'Live Data'!$C$14)="","",INDEX(SPOT_Import!$A$1:$Z$2488,781,'Live Data'!$C$14)),"")</f>
        <v>KITUI</v>
      </c>
      <c r="D781" s="54" t="str">
        <f>IFERROR(IF(INDEX(SPOT_Import!$A$1:$Z$2488,781,'Live Data'!$C$15)="","",INDEX(SPOT_Import!$A$1:$Z$2488,781,'Live Data'!$C$15)),"")</f>
        <v>Kitui East</v>
      </c>
      <c r="E781" s="54" t="str">
        <f>IFERROR(IF(INDEX(SPOT_Import!$A$1:$Z$2488,781,'Live Data'!$C$16)="","",INDEX(SPOT_Import!$A$1:$Z$2488,781,'Live Data'!$C$16)),"")</f>
        <v>CHAK CHAP STAWISHA</v>
      </c>
      <c r="F781" s="54" t="str">
        <f>IFERROR(IF(INDEX(SPOT_Import!$A$1:$Z$2488,781,'Live Data'!$C$17)="","",INDEX(SPOT_Import!$A$1:$Z$2488,781,'Live Data'!$C$17)),"")</f>
        <v>MNCH</v>
      </c>
      <c r="G781" s="54">
        <f>IFERROR(IF(INDEX(SPOT_Import!$A$1:$Z$2488,781,'Live Data'!$C$18)="","",INDEX(SPOT_Import!$A$1:$Z$2488,781,'Live Data'!$C$18)),"")</f>
        <v>760</v>
      </c>
      <c r="H781" s="54">
        <f>IFERROR(IF(INDEX(SPOT_Import!$A$1:$Z$2488,781,'Live Data'!$C$19)="","",INDEX(SPOT_Import!$A$1:$Z$2488,781,'Live Data'!$C$19)),"")</f>
        <v>760</v>
      </c>
      <c r="I781" s="54" t="str">
        <f>IFERROR(IF(INDEX(SPOT_Import!$A$1:$Z$2488,781,'Live Data'!$C$20)="","",INDEX(SPOT_Import!$A$1:$Z$2488,781,'Live Data'!$C$20)),"")</f>
        <v>Complete</v>
      </c>
      <c r="J781" s="54" t="str">
        <f>IFERROR(IF(INDEX(SPOT_Import!$A$1:$Z$2488,781,'Live Data'!$C$21)="","",INDEX(SPOT_Import!$A$1:$Z$2488,781,'Live Data'!$C$21)),"")</f>
        <v>2026-10-13T11:24:13.000Z</v>
      </c>
      <c r="K781" s="54" t="str">
        <f>IFERROR(IF(INDEX(SPOT_Import!$A$1:$Z$2488,781,'Live Data'!$C$22)="","",INDEX(SPOT_Import!$A$1:$Z$2488,781,'Live Data'!$C$22)),"")</f>
        <v>2026-10-13T11:24:13.000Z</v>
      </c>
      <c r="L781" s="55" t="str">
        <f t="shared" si="24"/>
        <v>2026-10</v>
      </c>
      <c r="M781" s="55" t="str">
        <f t="shared" si="25"/>
        <v>KITUI</v>
      </c>
      <c r="N781" s="55" t="str">
        <f>IF(A781="","",IFERROR(INDEX('Cluster Map'!$A$4:$A$38,MATCH(M781,'Cluster Map'!$B$4:$B$38,0)),"Unmapped"))</f>
        <v>Cluster 5</v>
      </c>
      <c r="O781" s="55">
        <f>IF(A781="",0,IF(COUNTIFS($A$2:A781,A781,$F$2:F781,F781,$L$2:L781,L781)=1,1,0))</f>
        <v>1</v>
      </c>
      <c r="P781" s="55">
        <f>IF(A781="",0,IF(AND(F781="C&amp;T",COUNTIFS($A$2:A781,A781,$F$2:F781,"C&amp;T")=1),1,0))</f>
        <v>0</v>
      </c>
    </row>
    <row r="782" spans="1:16" x14ac:dyDescent="0.35">
      <c r="A782" s="54">
        <f>IFERROR(IF(INDEX(SPOT_Import!$A$1:$Z$2488,782,'Live Data'!$C$12)="","",INDEX(SPOT_Import!$A$1:$Z$2488,782,'Live Data'!$C$12)),"")</f>
        <v>12860</v>
      </c>
      <c r="B782" s="54" t="str">
        <f>IFERROR(IF(INDEX(SPOT_Import!$A$1:$Z$2488,782,'Live Data'!$C$13)="","",INDEX(SPOT_Import!$A$1:$Z$2488,782,'Live Data'!$C$13)),"")</f>
        <v>Zombe (AIC) Health Centre</v>
      </c>
      <c r="C782" s="54" t="str">
        <f>IFERROR(IF(INDEX(SPOT_Import!$A$1:$Z$2488,782,'Live Data'!$C$14)="","",INDEX(SPOT_Import!$A$1:$Z$2488,782,'Live Data'!$C$14)),"")</f>
        <v>KITUI</v>
      </c>
      <c r="D782" s="54" t="str">
        <f>IFERROR(IF(INDEX(SPOT_Import!$A$1:$Z$2488,782,'Live Data'!$C$15)="","",INDEX(SPOT_Import!$A$1:$Z$2488,782,'Live Data'!$C$15)),"")</f>
        <v>Kitui East</v>
      </c>
      <c r="E782" s="54" t="str">
        <f>IFERROR(IF(INDEX(SPOT_Import!$A$1:$Z$2488,782,'Live Data'!$C$16)="","",INDEX(SPOT_Import!$A$1:$Z$2488,782,'Live Data'!$C$16)),"")</f>
        <v>CHAK CHAP STAWISHA</v>
      </c>
      <c r="F782" s="54" t="str">
        <f>IFERROR(IF(INDEX(SPOT_Import!$A$1:$Z$2488,782,'Live Data'!$C$17)="","",INDEX(SPOT_Import!$A$1:$Z$2488,782,'Live Data'!$C$17)),"")</f>
        <v>PREP</v>
      </c>
      <c r="G782" s="54">
        <f>IFERROR(IF(INDEX(SPOT_Import!$A$1:$Z$2488,782,'Live Data'!$C$18)="","",INDEX(SPOT_Import!$A$1:$Z$2488,782,'Live Data'!$C$18)),"")</f>
        <v>1187</v>
      </c>
      <c r="H782" s="54" t="str">
        <f>IFERROR(IF(INDEX(SPOT_Import!$A$1:$Z$2488,782,'Live Data'!$C$19)="","",INDEX(SPOT_Import!$A$1:$Z$2488,782,'Live Data'!$C$19)),"")</f>
        <v/>
      </c>
      <c r="I782" s="54" t="str">
        <f>IFERROR(IF(INDEX(SPOT_Import!$A$1:$Z$2488,782,'Live Data'!$C$20)="","",INDEX(SPOT_Import!$A$1:$Z$2488,782,'Live Data'!$C$20)),"")</f>
        <v>Incomplete</v>
      </c>
      <c r="J782" s="54" t="str">
        <f>IFERROR(IF(INDEX(SPOT_Import!$A$1:$Z$2488,782,'Live Data'!$C$21)="","",INDEX(SPOT_Import!$A$1:$Z$2488,782,'Live Data'!$C$21)),"")</f>
        <v>2026-10-13T11:23:43.000Z</v>
      </c>
      <c r="K782" s="54" t="str">
        <f>IFERROR(IF(INDEX(SPOT_Import!$A$1:$Z$2488,782,'Live Data'!$C$22)="","",INDEX(SPOT_Import!$A$1:$Z$2488,782,'Live Data'!$C$22)),"")</f>
        <v>2026-10-13T11:23:43.000Z</v>
      </c>
      <c r="L782" s="55" t="str">
        <f t="shared" si="24"/>
        <v>2026-10</v>
      </c>
      <c r="M782" s="55" t="str">
        <f t="shared" si="25"/>
        <v>KITUI</v>
      </c>
      <c r="N782" s="55" t="str">
        <f>IF(A782="","",IFERROR(INDEX('Cluster Map'!$A$4:$A$38,MATCH(M782,'Cluster Map'!$B$4:$B$38,0)),"Unmapped"))</f>
        <v>Cluster 5</v>
      </c>
      <c r="O782" s="55">
        <f>IF(A782="",0,IF(COUNTIFS($A$2:A782,A782,$F$2:F782,F782,$L$2:L782,L782)=1,1,0))</f>
        <v>1</v>
      </c>
      <c r="P782" s="55">
        <f>IF(A782="",0,IF(AND(F782="C&amp;T",COUNTIFS($A$2:A782,A782,$F$2:F782,"C&amp;T")=1),1,0))</f>
        <v>0</v>
      </c>
    </row>
    <row r="783" spans="1:16" x14ac:dyDescent="0.35">
      <c r="A783" s="54">
        <f>IFERROR(IF(INDEX(SPOT_Import!$A$1:$Z$2488,783,'Live Data'!$C$12)="","",INDEX(SPOT_Import!$A$1:$Z$2488,783,'Live Data'!$C$12)),"")</f>
        <v>12860</v>
      </c>
      <c r="B783" s="54" t="str">
        <f>IFERROR(IF(INDEX(SPOT_Import!$A$1:$Z$2488,783,'Live Data'!$C$13)="","",INDEX(SPOT_Import!$A$1:$Z$2488,783,'Live Data'!$C$13)),"")</f>
        <v>Zombe (AIC) Health Centre</v>
      </c>
      <c r="C783" s="54" t="str">
        <f>IFERROR(IF(INDEX(SPOT_Import!$A$1:$Z$2488,783,'Live Data'!$C$14)="","",INDEX(SPOT_Import!$A$1:$Z$2488,783,'Live Data'!$C$14)),"")</f>
        <v>KITUI</v>
      </c>
      <c r="D783" s="54" t="str">
        <f>IFERROR(IF(INDEX(SPOT_Import!$A$1:$Z$2488,783,'Live Data'!$C$15)="","",INDEX(SPOT_Import!$A$1:$Z$2488,783,'Live Data'!$C$15)),"")</f>
        <v>Kitui East</v>
      </c>
      <c r="E783" s="54" t="str">
        <f>IFERROR(IF(INDEX(SPOT_Import!$A$1:$Z$2488,783,'Live Data'!$C$16)="","",INDEX(SPOT_Import!$A$1:$Z$2488,783,'Live Data'!$C$16)),"")</f>
        <v>CHAK CHAP STAWISHA</v>
      </c>
      <c r="F783" s="54" t="str">
        <f>IFERROR(IF(INDEX(SPOT_Import!$A$1:$Z$2488,783,'Live Data'!$C$17)="","",INDEX(SPOT_Import!$A$1:$Z$2488,783,'Live Data'!$C$17)),"")</f>
        <v>HTS</v>
      </c>
      <c r="G783" s="54">
        <f>IFERROR(IF(INDEX(SPOT_Import!$A$1:$Z$2488,783,'Live Data'!$C$18)="","",INDEX(SPOT_Import!$A$1:$Z$2488,783,'Live Data'!$C$18)),"")</f>
        <v>4788</v>
      </c>
      <c r="H783" s="54">
        <f>IFERROR(IF(INDEX(SPOT_Import!$A$1:$Z$2488,783,'Live Data'!$C$19)="","",INDEX(SPOT_Import!$A$1:$Z$2488,783,'Live Data'!$C$19)),"")</f>
        <v>4788</v>
      </c>
      <c r="I783" s="54" t="str">
        <f>IFERROR(IF(INDEX(SPOT_Import!$A$1:$Z$2488,783,'Live Data'!$C$20)="","",INDEX(SPOT_Import!$A$1:$Z$2488,783,'Live Data'!$C$20)),"")</f>
        <v>Complete</v>
      </c>
      <c r="J783" s="54" t="str">
        <f>IFERROR(IF(INDEX(SPOT_Import!$A$1:$Z$2488,783,'Live Data'!$C$21)="","",INDEX(SPOT_Import!$A$1:$Z$2488,783,'Live Data'!$C$21)),"")</f>
        <v>2026-10-13T11:22:33.000Z</v>
      </c>
      <c r="K783" s="54" t="str">
        <f>IFERROR(IF(INDEX(SPOT_Import!$A$1:$Z$2488,783,'Live Data'!$C$22)="","",INDEX(SPOT_Import!$A$1:$Z$2488,783,'Live Data'!$C$22)),"")</f>
        <v>2026-10-13T11:22:33.000Z</v>
      </c>
      <c r="L783" s="55" t="str">
        <f t="shared" si="24"/>
        <v>2026-10</v>
      </c>
      <c r="M783" s="55" t="str">
        <f t="shared" si="25"/>
        <v>KITUI</v>
      </c>
      <c r="N783" s="55" t="str">
        <f>IF(A783="","",IFERROR(INDEX('Cluster Map'!$A$4:$A$38,MATCH(M783,'Cluster Map'!$B$4:$B$38,0)),"Unmapped"))</f>
        <v>Cluster 5</v>
      </c>
      <c r="O783" s="55">
        <f>IF(A783="",0,IF(COUNTIFS($A$2:A783,A783,$F$2:F783,F783,$L$2:L783,L783)=1,1,0))</f>
        <v>1</v>
      </c>
      <c r="P783" s="55">
        <f>IF(A783="",0,IF(AND(F783="C&amp;T",COUNTIFS($A$2:A783,A783,$F$2:F783,"C&amp;T")=1),1,0))</f>
        <v>0</v>
      </c>
    </row>
    <row r="784" spans="1:16" x14ac:dyDescent="0.35">
      <c r="A784" s="54">
        <f>IFERROR(IF(INDEX(SPOT_Import!$A$1:$Z$2488,784,'Live Data'!$C$12)="","",INDEX(SPOT_Import!$A$1:$Z$2488,784,'Live Data'!$C$12)),"")</f>
        <v>12860</v>
      </c>
      <c r="B784" s="54" t="str">
        <f>IFERROR(IF(INDEX(SPOT_Import!$A$1:$Z$2488,784,'Live Data'!$C$13)="","",INDEX(SPOT_Import!$A$1:$Z$2488,784,'Live Data'!$C$13)),"")</f>
        <v>AIC Zombe  Dispensary</v>
      </c>
      <c r="C784" s="54" t="str">
        <f>IFERROR(IF(INDEX(SPOT_Import!$A$1:$Z$2488,784,'Live Data'!$C$14)="","",INDEX(SPOT_Import!$A$1:$Z$2488,784,'Live Data'!$C$14)),"")</f>
        <v>KITUI</v>
      </c>
      <c r="D784" s="54" t="str">
        <f>IFERROR(IF(INDEX(SPOT_Import!$A$1:$Z$2488,784,'Live Data'!$C$15)="","",INDEX(SPOT_Import!$A$1:$Z$2488,784,'Live Data'!$C$15)),"")</f>
        <v>Kitui East</v>
      </c>
      <c r="E784" s="54" t="str">
        <f>IFERROR(IF(INDEX(SPOT_Import!$A$1:$Z$2488,784,'Live Data'!$C$16)="","",INDEX(SPOT_Import!$A$1:$Z$2488,784,'Live Data'!$C$16)),"")</f>
        <v>CHAK CHAP STAWISHA</v>
      </c>
      <c r="F784" s="54" t="str">
        <f>IFERROR(IF(INDEX(SPOT_Import!$A$1:$Z$2488,784,'Live Data'!$C$17)="","",INDEX(SPOT_Import!$A$1:$Z$2488,784,'Live Data'!$C$17)),"")</f>
        <v>C&amp;T</v>
      </c>
      <c r="G784" s="54">
        <f>IFERROR(IF(INDEX(SPOT_Import!$A$1:$Z$2488,784,'Live Data'!$C$18)="","",INDEX(SPOT_Import!$A$1:$Z$2488,784,'Live Data'!$C$18)),"")</f>
        <v>773</v>
      </c>
      <c r="H784" s="54">
        <f>IFERROR(IF(INDEX(SPOT_Import!$A$1:$Z$2488,784,'Live Data'!$C$19)="","",INDEX(SPOT_Import!$A$1:$Z$2488,784,'Live Data'!$C$19)),"")</f>
        <v>773</v>
      </c>
      <c r="I784" s="54" t="str">
        <f>IFERROR(IF(INDEX(SPOT_Import!$A$1:$Z$2488,784,'Live Data'!$C$20)="","",INDEX(SPOT_Import!$A$1:$Z$2488,784,'Live Data'!$C$20)),"")</f>
        <v>Complete</v>
      </c>
      <c r="J784" s="54" t="str">
        <f>IFERROR(IF(INDEX(SPOT_Import!$A$1:$Z$2488,784,'Live Data'!$C$21)="","",INDEX(SPOT_Import!$A$1:$Z$2488,784,'Live Data'!$C$21)),"")</f>
        <v>2026-10-13T10:59:59.000Z</v>
      </c>
      <c r="K784" s="54" t="str">
        <f>IFERROR(IF(INDEX(SPOT_Import!$A$1:$Z$2488,784,'Live Data'!$C$22)="","",INDEX(SPOT_Import!$A$1:$Z$2488,784,'Live Data'!$C$22)),"")</f>
        <v>2026-10-13T10:59:59.000Z</v>
      </c>
      <c r="L784" s="55" t="str">
        <f t="shared" si="24"/>
        <v>2026-10</v>
      </c>
      <c r="M784" s="55" t="str">
        <f t="shared" si="25"/>
        <v>KITUI</v>
      </c>
      <c r="N784" s="55" t="str">
        <f>IF(A784="","",IFERROR(INDEX('Cluster Map'!$A$4:$A$38,MATCH(M784,'Cluster Map'!$B$4:$B$38,0)),"Unmapped"))</f>
        <v>Cluster 5</v>
      </c>
      <c r="O784" s="55">
        <f>IF(A784="",0,IF(COUNTIFS($A$2:A784,A784,$F$2:F784,F784,$L$2:L784,L784)=1,1,0))</f>
        <v>1</v>
      </c>
      <c r="P784" s="55">
        <f>IF(A784="",0,IF(AND(F784="C&amp;T",COUNTIFS($A$2:A784,A784,$F$2:F784,"C&amp;T")=1),1,0))</f>
        <v>1</v>
      </c>
    </row>
    <row r="785" spans="1:16" x14ac:dyDescent="0.35">
      <c r="A785" s="54">
        <f>IFERROR(IF(INDEX(SPOT_Import!$A$1:$Z$2488,785,'Live Data'!$C$12)="","",INDEX(SPOT_Import!$A$1:$Z$2488,785,'Live Data'!$C$12)),"")</f>
        <v>11981</v>
      </c>
      <c r="B785" s="54" t="str">
        <f>IFERROR(IF(INDEX(SPOT_Import!$A$1:$Z$2488,785,'Live Data'!$C$13)="","",INDEX(SPOT_Import!$A$1:$Z$2488,785,'Live Data'!$C$13)),"")</f>
        <v>D Comboni Mission</v>
      </c>
      <c r="C785" s="54" t="str">
        <f>IFERROR(IF(INDEX(SPOT_Import!$A$1:$Z$2488,785,'Live Data'!$C$14)="","",INDEX(SPOT_Import!$A$1:$Z$2488,785,'Live Data'!$C$14)),"")</f>
        <v>MACHAKOS</v>
      </c>
      <c r="D785" s="54" t="str">
        <f>IFERROR(IF(INDEX(SPOT_Import!$A$1:$Z$2488,785,'Live Data'!$C$15)="","",INDEX(SPOT_Import!$A$1:$Z$2488,785,'Live Data'!$C$15)),"")</f>
        <v>Masinga</v>
      </c>
      <c r="E785" s="54" t="str">
        <f>IFERROR(IF(INDEX(SPOT_Import!$A$1:$Z$2488,785,'Live Data'!$C$16)="","",INDEX(SPOT_Import!$A$1:$Z$2488,785,'Live Data'!$C$16)),"")</f>
        <v>CHAK CHAP STAWISHA</v>
      </c>
      <c r="F785" s="54" t="str">
        <f>IFERROR(IF(INDEX(SPOT_Import!$A$1:$Z$2488,785,'Live Data'!$C$17)="","",INDEX(SPOT_Import!$A$1:$Z$2488,785,'Live Data'!$C$17)),"")</f>
        <v>PREP</v>
      </c>
      <c r="G785" s="54">
        <f>IFERROR(IF(INDEX(SPOT_Import!$A$1:$Z$2488,785,'Live Data'!$C$18)="","",INDEX(SPOT_Import!$A$1:$Z$2488,785,'Live Data'!$C$18)),"")</f>
        <v>724</v>
      </c>
      <c r="H785" s="54">
        <f>IFERROR(IF(INDEX(SPOT_Import!$A$1:$Z$2488,785,'Live Data'!$C$19)="","",INDEX(SPOT_Import!$A$1:$Z$2488,785,'Live Data'!$C$19)),"")</f>
        <v>200</v>
      </c>
      <c r="I785" s="54" t="str">
        <f>IFERROR(IF(INDEX(SPOT_Import!$A$1:$Z$2488,785,'Live Data'!$C$20)="","",INDEX(SPOT_Import!$A$1:$Z$2488,785,'Live Data'!$C$20)),"")</f>
        <v>Incomplete</v>
      </c>
      <c r="J785" s="54" t="str">
        <f>IFERROR(IF(INDEX(SPOT_Import!$A$1:$Z$2488,785,'Live Data'!$C$21)="","",INDEX(SPOT_Import!$A$1:$Z$2488,785,'Live Data'!$C$21)),"")</f>
        <v>2026-10-13T10:19:00.000Z</v>
      </c>
      <c r="K785" s="54" t="str">
        <f>IFERROR(IF(INDEX(SPOT_Import!$A$1:$Z$2488,785,'Live Data'!$C$22)="","",INDEX(SPOT_Import!$A$1:$Z$2488,785,'Live Data'!$C$22)),"")</f>
        <v>2026-10-13T10:19:00.000Z</v>
      </c>
      <c r="L785" s="55" t="str">
        <f t="shared" si="24"/>
        <v>2026-10</v>
      </c>
      <c r="M785" s="55" t="str">
        <f t="shared" si="25"/>
        <v>MACHAKOS</v>
      </c>
      <c r="N785" s="55" t="str">
        <f>IF(A785="","",IFERROR(INDEX('Cluster Map'!$A$4:$A$38,MATCH(M785,'Cluster Map'!$B$4:$B$38,0)),"Unmapped"))</f>
        <v>Cluster 5</v>
      </c>
      <c r="O785" s="55">
        <f>IF(A785="",0,IF(COUNTIFS($A$2:A785,A785,$F$2:F785,F785,$L$2:L785,L785)=1,1,0))</f>
        <v>1</v>
      </c>
      <c r="P785" s="55">
        <f>IF(A785="",0,IF(AND(F785="C&amp;T",COUNTIFS($A$2:A785,A785,$F$2:F785,"C&amp;T")=1),1,0))</f>
        <v>0</v>
      </c>
    </row>
    <row r="786" spans="1:16" x14ac:dyDescent="0.35">
      <c r="A786" s="54">
        <f>IFERROR(IF(INDEX(SPOT_Import!$A$1:$Z$2488,786,'Live Data'!$C$12)="","",INDEX(SPOT_Import!$A$1:$Z$2488,786,'Live Data'!$C$12)),"")</f>
        <v>11981</v>
      </c>
      <c r="B786" s="54" t="str">
        <f>IFERROR(IF(INDEX(SPOT_Import!$A$1:$Z$2488,786,'Live Data'!$C$13)="","",INDEX(SPOT_Import!$A$1:$Z$2488,786,'Live Data'!$C$13)),"")</f>
        <v>D Comboni Mission</v>
      </c>
      <c r="C786" s="54" t="str">
        <f>IFERROR(IF(INDEX(SPOT_Import!$A$1:$Z$2488,786,'Live Data'!$C$14)="","",INDEX(SPOT_Import!$A$1:$Z$2488,786,'Live Data'!$C$14)),"")</f>
        <v>MACHAKOS</v>
      </c>
      <c r="D786" s="54" t="str">
        <f>IFERROR(IF(INDEX(SPOT_Import!$A$1:$Z$2488,786,'Live Data'!$C$15)="","",INDEX(SPOT_Import!$A$1:$Z$2488,786,'Live Data'!$C$15)),"")</f>
        <v>Masinga</v>
      </c>
      <c r="E786" s="54" t="str">
        <f>IFERROR(IF(INDEX(SPOT_Import!$A$1:$Z$2488,786,'Live Data'!$C$16)="","",INDEX(SPOT_Import!$A$1:$Z$2488,786,'Live Data'!$C$16)),"")</f>
        <v>CHAK CHAP STAWISHA</v>
      </c>
      <c r="F786" s="54" t="str">
        <f>IFERROR(IF(INDEX(SPOT_Import!$A$1:$Z$2488,786,'Live Data'!$C$17)="","",INDEX(SPOT_Import!$A$1:$Z$2488,786,'Live Data'!$C$17)),"")</f>
        <v>MNCH</v>
      </c>
      <c r="G786" s="54">
        <f>IFERROR(IF(INDEX(SPOT_Import!$A$1:$Z$2488,786,'Live Data'!$C$18)="","",INDEX(SPOT_Import!$A$1:$Z$2488,786,'Live Data'!$C$18)),"")</f>
        <v>153</v>
      </c>
      <c r="H786" s="54">
        <f>IFERROR(IF(INDEX(SPOT_Import!$A$1:$Z$2488,786,'Live Data'!$C$19)="","",INDEX(SPOT_Import!$A$1:$Z$2488,786,'Live Data'!$C$19)),"")</f>
        <v>153</v>
      </c>
      <c r="I786" s="54" t="str">
        <f>IFERROR(IF(INDEX(SPOT_Import!$A$1:$Z$2488,786,'Live Data'!$C$20)="","",INDEX(SPOT_Import!$A$1:$Z$2488,786,'Live Data'!$C$20)),"")</f>
        <v>Complete</v>
      </c>
      <c r="J786" s="54" t="str">
        <f>IFERROR(IF(INDEX(SPOT_Import!$A$1:$Z$2488,786,'Live Data'!$C$21)="","",INDEX(SPOT_Import!$A$1:$Z$2488,786,'Live Data'!$C$21)),"")</f>
        <v>2026-10-13T10:18:37.000Z</v>
      </c>
      <c r="K786" s="54" t="str">
        <f>IFERROR(IF(INDEX(SPOT_Import!$A$1:$Z$2488,786,'Live Data'!$C$22)="","",INDEX(SPOT_Import!$A$1:$Z$2488,786,'Live Data'!$C$22)),"")</f>
        <v>2026-10-13T10:18:37.000Z</v>
      </c>
      <c r="L786" s="55" t="str">
        <f t="shared" si="24"/>
        <v>2026-10</v>
      </c>
      <c r="M786" s="55" t="str">
        <f t="shared" si="25"/>
        <v>MACHAKOS</v>
      </c>
      <c r="N786" s="55" t="str">
        <f>IF(A786="","",IFERROR(INDEX('Cluster Map'!$A$4:$A$38,MATCH(M786,'Cluster Map'!$B$4:$B$38,0)),"Unmapped"))</f>
        <v>Cluster 5</v>
      </c>
      <c r="O786" s="55">
        <f>IF(A786="",0,IF(COUNTIFS($A$2:A786,A786,$F$2:F786,F786,$L$2:L786,L786)=1,1,0))</f>
        <v>1</v>
      </c>
      <c r="P786" s="55">
        <f>IF(A786="",0,IF(AND(F786="C&amp;T",COUNTIFS($A$2:A786,A786,$F$2:F786,"C&amp;T")=1),1,0))</f>
        <v>0</v>
      </c>
    </row>
    <row r="787" spans="1:16" x14ac:dyDescent="0.35">
      <c r="A787" s="54">
        <f>IFERROR(IF(INDEX(SPOT_Import!$A$1:$Z$2488,787,'Live Data'!$C$12)="","",INDEX(SPOT_Import!$A$1:$Z$2488,787,'Live Data'!$C$12)),"")</f>
        <v>11981</v>
      </c>
      <c r="B787" s="54" t="str">
        <f>IFERROR(IF(INDEX(SPOT_Import!$A$1:$Z$2488,787,'Live Data'!$C$13)="","",INDEX(SPOT_Import!$A$1:$Z$2488,787,'Live Data'!$C$13)),"")</f>
        <v>D Comboni Mission</v>
      </c>
      <c r="C787" s="54" t="str">
        <f>IFERROR(IF(INDEX(SPOT_Import!$A$1:$Z$2488,787,'Live Data'!$C$14)="","",INDEX(SPOT_Import!$A$1:$Z$2488,787,'Live Data'!$C$14)),"")</f>
        <v>MACHAKOS</v>
      </c>
      <c r="D787" s="54" t="str">
        <f>IFERROR(IF(INDEX(SPOT_Import!$A$1:$Z$2488,787,'Live Data'!$C$15)="","",INDEX(SPOT_Import!$A$1:$Z$2488,787,'Live Data'!$C$15)),"")</f>
        <v>Masinga</v>
      </c>
      <c r="E787" s="54" t="str">
        <f>IFERROR(IF(INDEX(SPOT_Import!$A$1:$Z$2488,787,'Live Data'!$C$16)="","",INDEX(SPOT_Import!$A$1:$Z$2488,787,'Live Data'!$C$16)),"")</f>
        <v>CHAK CHAP STAWISHA</v>
      </c>
      <c r="F787" s="54" t="str">
        <f>IFERROR(IF(INDEX(SPOT_Import!$A$1:$Z$2488,787,'Live Data'!$C$17)="","",INDEX(SPOT_Import!$A$1:$Z$2488,787,'Live Data'!$C$17)),"")</f>
        <v>HTS</v>
      </c>
      <c r="G787" s="54">
        <f>IFERROR(IF(INDEX(SPOT_Import!$A$1:$Z$2488,787,'Live Data'!$C$18)="","",INDEX(SPOT_Import!$A$1:$Z$2488,787,'Live Data'!$C$18)),"")</f>
        <v>2508</v>
      </c>
      <c r="H787" s="54">
        <f>IFERROR(IF(INDEX(SPOT_Import!$A$1:$Z$2488,787,'Live Data'!$C$19)="","",INDEX(SPOT_Import!$A$1:$Z$2488,787,'Live Data'!$C$19)),"")</f>
        <v>2500</v>
      </c>
      <c r="I787" s="54" t="str">
        <f>IFERROR(IF(INDEX(SPOT_Import!$A$1:$Z$2488,787,'Live Data'!$C$20)="","",INDEX(SPOT_Import!$A$1:$Z$2488,787,'Live Data'!$C$20)),"")</f>
        <v>Incomplete</v>
      </c>
      <c r="J787" s="54" t="str">
        <f>IFERROR(IF(INDEX(SPOT_Import!$A$1:$Z$2488,787,'Live Data'!$C$21)="","",INDEX(SPOT_Import!$A$1:$Z$2488,787,'Live Data'!$C$21)),"")</f>
        <v>2026-10-13T10:18:20.000Z</v>
      </c>
      <c r="K787" s="54" t="str">
        <f>IFERROR(IF(INDEX(SPOT_Import!$A$1:$Z$2488,787,'Live Data'!$C$22)="","",INDEX(SPOT_Import!$A$1:$Z$2488,787,'Live Data'!$C$22)),"")</f>
        <v>2026-10-13T10:18:20.000Z</v>
      </c>
      <c r="L787" s="55" t="str">
        <f t="shared" si="24"/>
        <v>2026-10</v>
      </c>
      <c r="M787" s="55" t="str">
        <f t="shared" si="25"/>
        <v>MACHAKOS</v>
      </c>
      <c r="N787" s="55" t="str">
        <f>IF(A787="","",IFERROR(INDEX('Cluster Map'!$A$4:$A$38,MATCH(M787,'Cluster Map'!$B$4:$B$38,0)),"Unmapped"))</f>
        <v>Cluster 5</v>
      </c>
      <c r="O787" s="55">
        <f>IF(A787="",0,IF(COUNTIFS($A$2:A787,A787,$F$2:F787,F787,$L$2:L787,L787)=1,1,0))</f>
        <v>1</v>
      </c>
      <c r="P787" s="55">
        <f>IF(A787="",0,IF(AND(F787="C&amp;T",COUNTIFS($A$2:A787,A787,$F$2:F787,"C&amp;T")=1),1,0))</f>
        <v>0</v>
      </c>
    </row>
    <row r="788" spans="1:16" x14ac:dyDescent="0.35">
      <c r="A788" s="54">
        <f>IFERROR(IF(INDEX(SPOT_Import!$A$1:$Z$2488,788,'Live Data'!$C$12)="","",INDEX(SPOT_Import!$A$1:$Z$2488,788,'Live Data'!$C$12)),"")</f>
        <v>11981</v>
      </c>
      <c r="B788" s="54" t="str">
        <f>IFERROR(IF(INDEX(SPOT_Import!$A$1:$Z$2488,788,'Live Data'!$C$13)="","",INDEX(SPOT_Import!$A$1:$Z$2488,788,'Live Data'!$C$13)),"")</f>
        <v>D Comboni Mission</v>
      </c>
      <c r="C788" s="54" t="str">
        <f>IFERROR(IF(INDEX(SPOT_Import!$A$1:$Z$2488,788,'Live Data'!$C$14)="","",INDEX(SPOT_Import!$A$1:$Z$2488,788,'Live Data'!$C$14)),"")</f>
        <v>MACHAKOS</v>
      </c>
      <c r="D788" s="54" t="str">
        <f>IFERROR(IF(INDEX(SPOT_Import!$A$1:$Z$2488,788,'Live Data'!$C$15)="","",INDEX(SPOT_Import!$A$1:$Z$2488,788,'Live Data'!$C$15)),"")</f>
        <v>Masinga</v>
      </c>
      <c r="E788" s="54" t="str">
        <f>IFERROR(IF(INDEX(SPOT_Import!$A$1:$Z$2488,788,'Live Data'!$C$16)="","",INDEX(SPOT_Import!$A$1:$Z$2488,788,'Live Data'!$C$16)),"")</f>
        <v>CHAK CHAP STAWISHA</v>
      </c>
      <c r="F788" s="54" t="str">
        <f>IFERROR(IF(INDEX(SPOT_Import!$A$1:$Z$2488,788,'Live Data'!$C$17)="","",INDEX(SPOT_Import!$A$1:$Z$2488,788,'Live Data'!$C$17)),"")</f>
        <v>C&amp;T</v>
      </c>
      <c r="G788" s="54">
        <f>IFERROR(IF(INDEX(SPOT_Import!$A$1:$Z$2488,788,'Live Data'!$C$18)="","",INDEX(SPOT_Import!$A$1:$Z$2488,788,'Live Data'!$C$18)),"")</f>
        <v>527</v>
      </c>
      <c r="H788" s="54">
        <f>IFERROR(IF(INDEX(SPOT_Import!$A$1:$Z$2488,788,'Live Data'!$C$19)="","",INDEX(SPOT_Import!$A$1:$Z$2488,788,'Live Data'!$C$19)),"")</f>
        <v>527</v>
      </c>
      <c r="I788" s="54" t="str">
        <f>IFERROR(IF(INDEX(SPOT_Import!$A$1:$Z$2488,788,'Live Data'!$C$20)="","",INDEX(SPOT_Import!$A$1:$Z$2488,788,'Live Data'!$C$20)),"")</f>
        <v>Complete</v>
      </c>
      <c r="J788" s="54" t="str">
        <f>IFERROR(IF(INDEX(SPOT_Import!$A$1:$Z$2488,788,'Live Data'!$C$21)="","",INDEX(SPOT_Import!$A$1:$Z$2488,788,'Live Data'!$C$21)),"")</f>
        <v>2026-10-13T09:53:15.000Z</v>
      </c>
      <c r="K788" s="54" t="str">
        <f>IFERROR(IF(INDEX(SPOT_Import!$A$1:$Z$2488,788,'Live Data'!$C$22)="","",INDEX(SPOT_Import!$A$1:$Z$2488,788,'Live Data'!$C$22)),"")</f>
        <v>2026-10-13T09:53:15.000Z</v>
      </c>
      <c r="L788" s="55" t="str">
        <f t="shared" si="24"/>
        <v>2026-10</v>
      </c>
      <c r="M788" s="55" t="str">
        <f t="shared" si="25"/>
        <v>MACHAKOS</v>
      </c>
      <c r="N788" s="55" t="str">
        <f>IF(A788="","",IFERROR(INDEX('Cluster Map'!$A$4:$A$38,MATCH(M788,'Cluster Map'!$B$4:$B$38,0)),"Unmapped"))</f>
        <v>Cluster 5</v>
      </c>
      <c r="O788" s="55">
        <f>IF(A788="",0,IF(COUNTIFS($A$2:A788,A788,$F$2:F788,F788,$L$2:L788,L788)=1,1,0))</f>
        <v>1</v>
      </c>
      <c r="P788" s="55">
        <f>IF(A788="",0,IF(AND(F788="C&amp;T",COUNTIFS($A$2:A788,A788,$F$2:F788,"C&amp;T")=1),1,0))</f>
        <v>1</v>
      </c>
    </row>
    <row r="789" spans="1:16" x14ac:dyDescent="0.35">
      <c r="A789" s="54">
        <f>IFERROR(IF(INDEX(SPOT_Import!$A$1:$Z$2488,789,'Live Data'!$C$12)="","",INDEX(SPOT_Import!$A$1:$Z$2488,789,'Live Data'!$C$12)),"")</f>
        <v>12769</v>
      </c>
      <c r="B789" s="54" t="str">
        <f>IFERROR(IF(INDEX(SPOT_Import!$A$1:$Z$2488,789,'Live Data'!$C$13)="","",INDEX(SPOT_Import!$A$1:$Z$2488,789,'Live Data'!$C$13)),"")</f>
        <v>St Orsola Mission Hospital</v>
      </c>
      <c r="C789" s="54" t="str">
        <f>IFERROR(IF(INDEX(SPOT_Import!$A$1:$Z$2488,789,'Live Data'!$C$14)="","",INDEX(SPOT_Import!$A$1:$Z$2488,789,'Live Data'!$C$14)),"")</f>
        <v>THARAKA - NITHI</v>
      </c>
      <c r="D789" s="54" t="str">
        <f>IFERROR(IF(INDEX(SPOT_Import!$A$1:$Z$2488,789,'Live Data'!$C$15)="","",INDEX(SPOT_Import!$A$1:$Z$2488,789,'Live Data'!$C$15)),"")</f>
        <v>THARAKA SOUTH</v>
      </c>
      <c r="E789" s="54" t="str">
        <f>IFERROR(IF(INDEX(SPOT_Import!$A$1:$Z$2488,789,'Live Data'!$C$16)="","",INDEX(SPOT_Import!$A$1:$Z$2488,789,'Live Data'!$C$16)),"")</f>
        <v>CHAK CHAP STAWISHA</v>
      </c>
      <c r="F789" s="54" t="str">
        <f>IFERROR(IF(INDEX(SPOT_Import!$A$1:$Z$2488,789,'Live Data'!$C$17)="","",INDEX(SPOT_Import!$A$1:$Z$2488,789,'Live Data'!$C$17)),"")</f>
        <v>C&amp;T</v>
      </c>
      <c r="G789" s="54">
        <f>IFERROR(IF(INDEX(SPOT_Import!$A$1:$Z$2488,789,'Live Data'!$C$18)="","",INDEX(SPOT_Import!$A$1:$Z$2488,789,'Live Data'!$C$18)),"")</f>
        <v>706</v>
      </c>
      <c r="H789" s="54">
        <f>IFERROR(IF(INDEX(SPOT_Import!$A$1:$Z$2488,789,'Live Data'!$C$19)="","",INDEX(SPOT_Import!$A$1:$Z$2488,789,'Live Data'!$C$19)),"")</f>
        <v>706</v>
      </c>
      <c r="I789" s="54" t="str">
        <f>IFERROR(IF(INDEX(SPOT_Import!$A$1:$Z$2488,789,'Live Data'!$C$20)="","",INDEX(SPOT_Import!$A$1:$Z$2488,789,'Live Data'!$C$20)),"")</f>
        <v>Complete</v>
      </c>
      <c r="J789" s="54" t="str">
        <f>IFERROR(IF(INDEX(SPOT_Import!$A$1:$Z$2488,789,'Live Data'!$C$21)="","",INDEX(SPOT_Import!$A$1:$Z$2488,789,'Live Data'!$C$21)),"")</f>
        <v>2026-10-13T09:50:40.000Z</v>
      </c>
      <c r="K789" s="54" t="str">
        <f>IFERROR(IF(INDEX(SPOT_Import!$A$1:$Z$2488,789,'Live Data'!$C$22)="","",INDEX(SPOT_Import!$A$1:$Z$2488,789,'Live Data'!$C$22)),"")</f>
        <v>2026-10-13T09:50:40.000Z</v>
      </c>
      <c r="L789" s="55" t="str">
        <f t="shared" si="24"/>
        <v>2026-10</v>
      </c>
      <c r="M789" s="55" t="str">
        <f t="shared" si="25"/>
        <v>THARAKA-NITHI</v>
      </c>
      <c r="N789" s="55" t="str">
        <f>IF(A789="","",IFERROR(INDEX('Cluster Map'!$A$4:$A$38,MATCH(M789,'Cluster Map'!$B$4:$B$38,0)),"Unmapped"))</f>
        <v>Cluster 2</v>
      </c>
      <c r="O789" s="55">
        <f>IF(A789="",0,IF(COUNTIFS($A$2:A789,A789,$F$2:F789,F789,$L$2:L789,L789)=1,1,0))</f>
        <v>1</v>
      </c>
      <c r="P789" s="55">
        <f>IF(A789="",0,IF(AND(F789="C&amp;T",COUNTIFS($A$2:A789,A789,$F$2:F789,"C&amp;T")=1),1,0))</f>
        <v>1</v>
      </c>
    </row>
    <row r="790" spans="1:16" x14ac:dyDescent="0.35">
      <c r="A790" s="54">
        <f>IFERROR(IF(INDEX(SPOT_Import!$A$1:$Z$2488,790,'Live Data'!$C$12)="","",INDEX(SPOT_Import!$A$1:$Z$2488,790,'Live Data'!$C$12)),"")</f>
        <v>10988</v>
      </c>
      <c r="B790" s="54" t="str">
        <f>IFERROR(IF(INDEX(SPOT_Import!$A$1:$Z$2488,790,'Live Data'!$C$13)="","",INDEX(SPOT_Import!$A$1:$Z$2488,790,'Live Data'!$C$13)),"")</f>
        <v>Sacred Heart Dispensary</v>
      </c>
      <c r="C790" s="54" t="str">
        <f>IFERROR(IF(INDEX(SPOT_Import!$A$1:$Z$2488,790,'Live Data'!$C$14)="","",INDEX(SPOT_Import!$A$1:$Z$2488,790,'Live Data'!$C$14)),"")</f>
        <v>KIAMBU</v>
      </c>
      <c r="D790" s="54" t="str">
        <f>IFERROR(IF(INDEX(SPOT_Import!$A$1:$Z$2488,790,'Live Data'!$C$15)="","",INDEX(SPOT_Import!$A$1:$Z$2488,790,'Live Data'!$C$15)),"")</f>
        <v>Kiambaa</v>
      </c>
      <c r="E790" s="54" t="str">
        <f>IFERROR(IF(INDEX(SPOT_Import!$A$1:$Z$2488,790,'Live Data'!$C$16)="","",INDEX(SPOT_Import!$A$1:$Z$2488,790,'Live Data'!$C$16)),"")</f>
        <v>CHAK CHAP STAWISHA</v>
      </c>
      <c r="F790" s="54" t="str">
        <f>IFERROR(IF(INDEX(SPOT_Import!$A$1:$Z$2488,790,'Live Data'!$C$17)="","",INDEX(SPOT_Import!$A$1:$Z$2488,790,'Live Data'!$C$17)),"")</f>
        <v>HTS</v>
      </c>
      <c r="G790" s="54">
        <f>IFERROR(IF(INDEX(SPOT_Import!$A$1:$Z$2488,790,'Live Data'!$C$18)="","",INDEX(SPOT_Import!$A$1:$Z$2488,790,'Live Data'!$C$18)),"")</f>
        <v>8550</v>
      </c>
      <c r="H790" s="54" t="str">
        <f>IFERROR(IF(INDEX(SPOT_Import!$A$1:$Z$2488,790,'Live Data'!$C$19)="","",INDEX(SPOT_Import!$A$1:$Z$2488,790,'Live Data'!$C$19)),"")</f>
        <v/>
      </c>
      <c r="I790" s="54" t="str">
        <f>IFERROR(IF(INDEX(SPOT_Import!$A$1:$Z$2488,790,'Live Data'!$C$20)="","",INDEX(SPOT_Import!$A$1:$Z$2488,790,'Live Data'!$C$20)),"")</f>
        <v>Complete</v>
      </c>
      <c r="J790" s="54" t="str">
        <f>IFERROR(IF(INDEX(SPOT_Import!$A$1:$Z$2488,790,'Live Data'!$C$21)="","",INDEX(SPOT_Import!$A$1:$Z$2488,790,'Live Data'!$C$21)),"")</f>
        <v>2026-10-12T08:10:51.000Z</v>
      </c>
      <c r="K790" s="54" t="str">
        <f>IFERROR(IF(INDEX(SPOT_Import!$A$1:$Z$2488,790,'Live Data'!$C$22)="","",INDEX(SPOT_Import!$A$1:$Z$2488,790,'Live Data'!$C$22)),"")</f>
        <v>2026-10-12T08:10:51.000Z</v>
      </c>
      <c r="L790" s="55" t="str">
        <f t="shared" si="24"/>
        <v>2026-10</v>
      </c>
      <c r="M790" s="55" t="str">
        <f t="shared" si="25"/>
        <v>KIAMBU</v>
      </c>
      <c r="N790" s="55" t="str">
        <f>IF(A790="","",IFERROR(INDEX('Cluster Map'!$A$4:$A$38,MATCH(M790,'Cluster Map'!$B$4:$B$38,0)),"Unmapped"))</f>
        <v>Cluster 3</v>
      </c>
      <c r="O790" s="55">
        <f>IF(A790="",0,IF(COUNTIFS($A$2:A790,A790,$F$2:F790,F790,$L$2:L790,L790)=1,1,0))</f>
        <v>1</v>
      </c>
      <c r="P790" s="55">
        <f>IF(A790="",0,IF(AND(F790="C&amp;T",COUNTIFS($A$2:A790,A790,$F$2:F790,"C&amp;T")=1),1,0))</f>
        <v>0</v>
      </c>
    </row>
    <row r="791" spans="1:16" x14ac:dyDescent="0.35">
      <c r="A791" s="54">
        <f>IFERROR(IF(INDEX(SPOT_Import!$A$1:$Z$2488,791,'Live Data'!$C$12)="","",INDEX(SPOT_Import!$A$1:$Z$2488,791,'Live Data'!$C$12)),"")</f>
        <v>12413</v>
      </c>
      <c r="B791" s="54" t="str">
        <f>IFERROR(IF(INDEX(SPOT_Import!$A$1:$Z$2488,791,'Live Data'!$C$13)="","",INDEX(SPOT_Import!$A$1:$Z$2488,791,'Live Data'!$C$13)),"")</f>
        <v>Consolata Kyeni Hospital</v>
      </c>
      <c r="C791" s="54" t="str">
        <f>IFERROR(IF(INDEX(SPOT_Import!$A$1:$Z$2488,791,'Live Data'!$C$14)="","",INDEX(SPOT_Import!$A$1:$Z$2488,791,'Live Data'!$C$14)),"")</f>
        <v>EMBU</v>
      </c>
      <c r="D791" s="54" t="str">
        <f>IFERROR(IF(INDEX(SPOT_Import!$A$1:$Z$2488,791,'Live Data'!$C$15)="","",INDEX(SPOT_Import!$A$1:$Z$2488,791,'Live Data'!$C$15)),"")</f>
        <v>Runyenjes</v>
      </c>
      <c r="E791" s="54" t="str">
        <f>IFERROR(IF(INDEX(SPOT_Import!$A$1:$Z$2488,791,'Live Data'!$C$16)="","",INDEX(SPOT_Import!$A$1:$Z$2488,791,'Live Data'!$C$16)),"")</f>
        <v>CHAK CHAP STAWISHA</v>
      </c>
      <c r="F791" s="54" t="str">
        <f>IFERROR(IF(INDEX(SPOT_Import!$A$1:$Z$2488,791,'Live Data'!$C$17)="","",INDEX(SPOT_Import!$A$1:$Z$2488,791,'Live Data'!$C$17)),"")</f>
        <v>MNCH</v>
      </c>
      <c r="G791" s="54">
        <f>IFERROR(IF(INDEX(SPOT_Import!$A$1:$Z$2488,791,'Live Data'!$C$18)="","",INDEX(SPOT_Import!$A$1:$Z$2488,791,'Live Data'!$C$18)),"")</f>
        <v>594</v>
      </c>
      <c r="H791" s="54">
        <f>IFERROR(IF(INDEX(SPOT_Import!$A$1:$Z$2488,791,'Live Data'!$C$19)="","",INDEX(SPOT_Import!$A$1:$Z$2488,791,'Live Data'!$C$19)),"")</f>
        <v>594</v>
      </c>
      <c r="I791" s="54" t="str">
        <f>IFERROR(IF(INDEX(SPOT_Import!$A$1:$Z$2488,791,'Live Data'!$C$20)="","",INDEX(SPOT_Import!$A$1:$Z$2488,791,'Live Data'!$C$20)),"")</f>
        <v>Complete</v>
      </c>
      <c r="J791" s="54" t="str">
        <f>IFERROR(IF(INDEX(SPOT_Import!$A$1:$Z$2488,791,'Live Data'!$C$21)="","",INDEX(SPOT_Import!$A$1:$Z$2488,791,'Live Data'!$C$21)),"")</f>
        <v>2026-10-12T08:02:07.000Z</v>
      </c>
      <c r="K791" s="54" t="str">
        <f>IFERROR(IF(INDEX(SPOT_Import!$A$1:$Z$2488,791,'Live Data'!$C$22)="","",INDEX(SPOT_Import!$A$1:$Z$2488,791,'Live Data'!$C$22)),"")</f>
        <v>2026-10-12T08:02:07.000Z</v>
      </c>
      <c r="L791" s="55" t="str">
        <f t="shared" si="24"/>
        <v>2026-10</v>
      </c>
      <c r="M791" s="55" t="str">
        <f t="shared" si="25"/>
        <v>EMBU</v>
      </c>
      <c r="N791" s="55" t="str">
        <f>IF(A791="","",IFERROR(INDEX('Cluster Map'!$A$4:$A$38,MATCH(M791,'Cluster Map'!$B$4:$B$38,0)),"Unmapped"))</f>
        <v>Cluster 2</v>
      </c>
      <c r="O791" s="55">
        <f>IF(A791="",0,IF(COUNTIFS($A$2:A791,A791,$F$2:F791,F791,$L$2:L791,L791)=1,1,0))</f>
        <v>1</v>
      </c>
      <c r="P791" s="55">
        <f>IF(A791="",0,IF(AND(F791="C&amp;T",COUNTIFS($A$2:A791,A791,$F$2:F791,"C&amp;T")=1),1,0))</f>
        <v>0</v>
      </c>
    </row>
    <row r="792" spans="1:16" x14ac:dyDescent="0.35">
      <c r="A792" s="54">
        <f>IFERROR(IF(INDEX(SPOT_Import!$A$1:$Z$2488,792,'Live Data'!$C$12)="","",INDEX(SPOT_Import!$A$1:$Z$2488,792,'Live Data'!$C$12)),"")</f>
        <v>12413</v>
      </c>
      <c r="B792" s="54" t="str">
        <f>IFERROR(IF(INDEX(SPOT_Import!$A$1:$Z$2488,792,'Live Data'!$C$13)="","",INDEX(SPOT_Import!$A$1:$Z$2488,792,'Live Data'!$C$13)),"")</f>
        <v>Consolata Kyeni Hospital</v>
      </c>
      <c r="C792" s="54" t="str">
        <f>IFERROR(IF(INDEX(SPOT_Import!$A$1:$Z$2488,792,'Live Data'!$C$14)="","",INDEX(SPOT_Import!$A$1:$Z$2488,792,'Live Data'!$C$14)),"")</f>
        <v>EMBU</v>
      </c>
      <c r="D792" s="54" t="str">
        <f>IFERROR(IF(INDEX(SPOT_Import!$A$1:$Z$2488,792,'Live Data'!$C$15)="","",INDEX(SPOT_Import!$A$1:$Z$2488,792,'Live Data'!$C$15)),"")</f>
        <v>Runyenjes</v>
      </c>
      <c r="E792" s="54" t="str">
        <f>IFERROR(IF(INDEX(SPOT_Import!$A$1:$Z$2488,792,'Live Data'!$C$16)="","",INDEX(SPOT_Import!$A$1:$Z$2488,792,'Live Data'!$C$16)),"")</f>
        <v>CHAK CHAP STAWISHA</v>
      </c>
      <c r="F792" s="54" t="str">
        <f>IFERROR(IF(INDEX(SPOT_Import!$A$1:$Z$2488,792,'Live Data'!$C$17)="","",INDEX(SPOT_Import!$A$1:$Z$2488,792,'Live Data'!$C$17)),"")</f>
        <v>PREP</v>
      </c>
      <c r="G792" s="54">
        <f>IFERROR(IF(INDEX(SPOT_Import!$A$1:$Z$2488,792,'Live Data'!$C$18)="","",INDEX(SPOT_Import!$A$1:$Z$2488,792,'Live Data'!$C$18)),"")</f>
        <v>320</v>
      </c>
      <c r="H792" s="54" t="str">
        <f>IFERROR(IF(INDEX(SPOT_Import!$A$1:$Z$2488,792,'Live Data'!$C$19)="","",INDEX(SPOT_Import!$A$1:$Z$2488,792,'Live Data'!$C$19)),"")</f>
        <v/>
      </c>
      <c r="I792" s="54" t="str">
        <f>IFERROR(IF(INDEX(SPOT_Import!$A$1:$Z$2488,792,'Live Data'!$C$20)="","",INDEX(SPOT_Import!$A$1:$Z$2488,792,'Live Data'!$C$20)),"")</f>
        <v>Incomplete</v>
      </c>
      <c r="J792" s="54" t="str">
        <f>IFERROR(IF(INDEX(SPOT_Import!$A$1:$Z$2488,792,'Live Data'!$C$21)="","",INDEX(SPOT_Import!$A$1:$Z$2488,792,'Live Data'!$C$21)),"")</f>
        <v>2026-10-12T08:00:59.000Z</v>
      </c>
      <c r="K792" s="54" t="str">
        <f>IFERROR(IF(INDEX(SPOT_Import!$A$1:$Z$2488,792,'Live Data'!$C$22)="","",INDEX(SPOT_Import!$A$1:$Z$2488,792,'Live Data'!$C$22)),"")</f>
        <v>2026-10-12T08:00:59.000Z</v>
      </c>
      <c r="L792" s="55" t="str">
        <f t="shared" si="24"/>
        <v>2026-10</v>
      </c>
      <c r="M792" s="55" t="str">
        <f t="shared" si="25"/>
        <v>EMBU</v>
      </c>
      <c r="N792" s="55" t="str">
        <f>IF(A792="","",IFERROR(INDEX('Cluster Map'!$A$4:$A$38,MATCH(M792,'Cluster Map'!$B$4:$B$38,0)),"Unmapped"))</f>
        <v>Cluster 2</v>
      </c>
      <c r="O792" s="55">
        <f>IF(A792="",0,IF(COUNTIFS($A$2:A792,A792,$F$2:F792,F792,$L$2:L792,L792)=1,1,0))</f>
        <v>1</v>
      </c>
      <c r="P792" s="55">
        <f>IF(A792="",0,IF(AND(F792="C&amp;T",COUNTIFS($A$2:A792,A792,$F$2:F792,"C&amp;T")=1),1,0))</f>
        <v>0</v>
      </c>
    </row>
    <row r="793" spans="1:16" x14ac:dyDescent="0.35">
      <c r="A793" s="54">
        <f>IFERROR(IF(INDEX(SPOT_Import!$A$1:$Z$2488,793,'Live Data'!$C$12)="","",INDEX(SPOT_Import!$A$1:$Z$2488,793,'Live Data'!$C$12)),"")</f>
        <v>12413</v>
      </c>
      <c r="B793" s="54" t="str">
        <f>IFERROR(IF(INDEX(SPOT_Import!$A$1:$Z$2488,793,'Live Data'!$C$13)="","",INDEX(SPOT_Import!$A$1:$Z$2488,793,'Live Data'!$C$13)),"")</f>
        <v>Consolata Kyeni Hospital</v>
      </c>
      <c r="C793" s="54" t="str">
        <f>IFERROR(IF(INDEX(SPOT_Import!$A$1:$Z$2488,793,'Live Data'!$C$14)="","",INDEX(SPOT_Import!$A$1:$Z$2488,793,'Live Data'!$C$14)),"")</f>
        <v>EMBU</v>
      </c>
      <c r="D793" s="54" t="str">
        <f>IFERROR(IF(INDEX(SPOT_Import!$A$1:$Z$2488,793,'Live Data'!$C$15)="","",INDEX(SPOT_Import!$A$1:$Z$2488,793,'Live Data'!$C$15)),"")</f>
        <v>Runyenjes</v>
      </c>
      <c r="E793" s="54" t="str">
        <f>IFERROR(IF(INDEX(SPOT_Import!$A$1:$Z$2488,793,'Live Data'!$C$16)="","",INDEX(SPOT_Import!$A$1:$Z$2488,793,'Live Data'!$C$16)),"")</f>
        <v>CHAK CHAP STAWISHA</v>
      </c>
      <c r="F793" s="54" t="str">
        <f>IFERROR(IF(INDEX(SPOT_Import!$A$1:$Z$2488,793,'Live Data'!$C$17)="","",INDEX(SPOT_Import!$A$1:$Z$2488,793,'Live Data'!$C$17)),"")</f>
        <v>C&amp;T</v>
      </c>
      <c r="G793" s="54">
        <f>IFERROR(IF(INDEX(SPOT_Import!$A$1:$Z$2488,793,'Live Data'!$C$18)="","",INDEX(SPOT_Import!$A$1:$Z$2488,793,'Live Data'!$C$18)),"")</f>
        <v>1823</v>
      </c>
      <c r="H793" s="54">
        <f>IFERROR(IF(INDEX(SPOT_Import!$A$1:$Z$2488,793,'Live Data'!$C$19)="","",INDEX(SPOT_Import!$A$1:$Z$2488,793,'Live Data'!$C$19)),"")</f>
        <v>1823</v>
      </c>
      <c r="I793" s="54" t="str">
        <f>IFERROR(IF(INDEX(SPOT_Import!$A$1:$Z$2488,793,'Live Data'!$C$20)="","",INDEX(SPOT_Import!$A$1:$Z$2488,793,'Live Data'!$C$20)),"")</f>
        <v>Complete</v>
      </c>
      <c r="J793" s="54" t="str">
        <f>IFERROR(IF(INDEX(SPOT_Import!$A$1:$Z$2488,793,'Live Data'!$C$21)="","",INDEX(SPOT_Import!$A$1:$Z$2488,793,'Live Data'!$C$21)),"")</f>
        <v>2026-10-12T07:59:16.000Z</v>
      </c>
      <c r="K793" s="54" t="str">
        <f>IFERROR(IF(INDEX(SPOT_Import!$A$1:$Z$2488,793,'Live Data'!$C$22)="","",INDEX(SPOT_Import!$A$1:$Z$2488,793,'Live Data'!$C$22)),"")</f>
        <v>2026-10-12T07:59:16.000Z</v>
      </c>
      <c r="L793" s="55" t="str">
        <f t="shared" si="24"/>
        <v>2026-10</v>
      </c>
      <c r="M793" s="55" t="str">
        <f t="shared" si="25"/>
        <v>EMBU</v>
      </c>
      <c r="N793" s="55" t="str">
        <f>IF(A793="","",IFERROR(INDEX('Cluster Map'!$A$4:$A$38,MATCH(M793,'Cluster Map'!$B$4:$B$38,0)),"Unmapped"))</f>
        <v>Cluster 2</v>
      </c>
      <c r="O793" s="55">
        <f>IF(A793="",0,IF(COUNTIFS($A$2:A793,A793,$F$2:F793,F793,$L$2:L793,L793)=1,1,0))</f>
        <v>1</v>
      </c>
      <c r="P793" s="55">
        <f>IF(A793="",0,IF(AND(F793="C&amp;T",COUNTIFS($A$2:A793,A793,$F$2:F793,"C&amp;T")=1),1,0))</f>
        <v>1</v>
      </c>
    </row>
    <row r="794" spans="1:16" x14ac:dyDescent="0.35">
      <c r="A794" s="54">
        <f>IFERROR(IF(INDEX(SPOT_Import!$A$1:$Z$2488,794,'Live Data'!$C$12)="","",INDEX(SPOT_Import!$A$1:$Z$2488,794,'Live Data'!$C$12)),"")</f>
        <v>12413</v>
      </c>
      <c r="B794" s="54" t="str">
        <f>IFERROR(IF(INDEX(SPOT_Import!$A$1:$Z$2488,794,'Live Data'!$C$13)="","",INDEX(SPOT_Import!$A$1:$Z$2488,794,'Live Data'!$C$13)),"")</f>
        <v>Consolata Kyeni Hospital</v>
      </c>
      <c r="C794" s="54" t="str">
        <f>IFERROR(IF(INDEX(SPOT_Import!$A$1:$Z$2488,794,'Live Data'!$C$14)="","",INDEX(SPOT_Import!$A$1:$Z$2488,794,'Live Data'!$C$14)),"")</f>
        <v>EMBU</v>
      </c>
      <c r="D794" s="54" t="str">
        <f>IFERROR(IF(INDEX(SPOT_Import!$A$1:$Z$2488,794,'Live Data'!$C$15)="","",INDEX(SPOT_Import!$A$1:$Z$2488,794,'Live Data'!$C$15)),"")</f>
        <v>Runyenjes</v>
      </c>
      <c r="E794" s="54" t="str">
        <f>IFERROR(IF(INDEX(SPOT_Import!$A$1:$Z$2488,794,'Live Data'!$C$16)="","",INDEX(SPOT_Import!$A$1:$Z$2488,794,'Live Data'!$C$16)),"")</f>
        <v>CHAK CHAP STAWISHA</v>
      </c>
      <c r="F794" s="54" t="str">
        <f>IFERROR(IF(INDEX(SPOT_Import!$A$1:$Z$2488,794,'Live Data'!$C$17)="","",INDEX(SPOT_Import!$A$1:$Z$2488,794,'Live Data'!$C$17)),"")</f>
        <v>HTS</v>
      </c>
      <c r="G794" s="54">
        <f>IFERROR(IF(INDEX(SPOT_Import!$A$1:$Z$2488,794,'Live Data'!$C$18)="","",INDEX(SPOT_Import!$A$1:$Z$2488,794,'Live Data'!$C$18)),"")</f>
        <v>8013</v>
      </c>
      <c r="H794" s="54">
        <f>IFERROR(IF(INDEX(SPOT_Import!$A$1:$Z$2488,794,'Live Data'!$C$19)="","",INDEX(SPOT_Import!$A$1:$Z$2488,794,'Live Data'!$C$19)),"")</f>
        <v>8013</v>
      </c>
      <c r="I794" s="54" t="str">
        <f>IFERROR(IF(INDEX(SPOT_Import!$A$1:$Z$2488,794,'Live Data'!$C$20)="","",INDEX(SPOT_Import!$A$1:$Z$2488,794,'Live Data'!$C$20)),"")</f>
        <v>Complete</v>
      </c>
      <c r="J794" s="54" t="str">
        <f>IFERROR(IF(INDEX(SPOT_Import!$A$1:$Z$2488,794,'Live Data'!$C$21)="","",INDEX(SPOT_Import!$A$1:$Z$2488,794,'Live Data'!$C$21)),"")</f>
        <v>2026-10-12T07:47:30.000Z</v>
      </c>
      <c r="K794" s="54" t="str">
        <f>IFERROR(IF(INDEX(SPOT_Import!$A$1:$Z$2488,794,'Live Data'!$C$22)="","",INDEX(SPOT_Import!$A$1:$Z$2488,794,'Live Data'!$C$22)),"")</f>
        <v>2026-10-12T07:47:30.000Z</v>
      </c>
      <c r="L794" s="55" t="str">
        <f t="shared" si="24"/>
        <v>2026-10</v>
      </c>
      <c r="M794" s="55" t="str">
        <f t="shared" si="25"/>
        <v>EMBU</v>
      </c>
      <c r="N794" s="55" t="str">
        <f>IF(A794="","",IFERROR(INDEX('Cluster Map'!$A$4:$A$38,MATCH(M794,'Cluster Map'!$B$4:$B$38,0)),"Unmapped"))</f>
        <v>Cluster 2</v>
      </c>
      <c r="O794" s="55">
        <f>IF(A794="",0,IF(COUNTIFS($A$2:A794,A794,$F$2:F794,F794,$L$2:L794,L794)=1,1,0))</f>
        <v>1</v>
      </c>
      <c r="P794" s="55">
        <f>IF(A794="",0,IF(AND(F794="C&amp;T",COUNTIFS($A$2:A794,A794,$F$2:F794,"C&amp;T")=1),1,0))</f>
        <v>0</v>
      </c>
    </row>
    <row r="795" spans="1:16" x14ac:dyDescent="0.35">
      <c r="A795" s="54">
        <f>IFERROR(IF(INDEX(SPOT_Import!$A$1:$Z$2488,795,'Live Data'!$C$12)="","",INDEX(SPOT_Import!$A$1:$Z$2488,795,'Live Data'!$C$12)),"")</f>
        <v>10267</v>
      </c>
      <c r="B795" s="54" t="str">
        <f>IFERROR(IF(INDEX(SPOT_Import!$A$1:$Z$2488,795,'Live Data'!$C$13)="","",INDEX(SPOT_Import!$A$1:$Z$2488,795,'Live Data'!$C$13)),"")</f>
        <v>Githumu Hospital</v>
      </c>
      <c r="C795" s="54" t="str">
        <f>IFERROR(IF(INDEX(SPOT_Import!$A$1:$Z$2488,795,'Live Data'!$C$14)="","",INDEX(SPOT_Import!$A$1:$Z$2488,795,'Live Data'!$C$14)),"")</f>
        <v>MURANG'A</v>
      </c>
      <c r="D795" s="54" t="str">
        <f>IFERROR(IF(INDEX(SPOT_Import!$A$1:$Z$2488,795,'Live Data'!$C$15)="","",INDEX(SPOT_Import!$A$1:$Z$2488,795,'Live Data'!$C$15)),"")</f>
        <v>Kandara</v>
      </c>
      <c r="E795" s="54" t="str">
        <f>IFERROR(IF(INDEX(SPOT_Import!$A$1:$Z$2488,795,'Live Data'!$C$16)="","",INDEX(SPOT_Import!$A$1:$Z$2488,795,'Live Data'!$C$16)),"")</f>
        <v>CHAK CHAP STAWISHA</v>
      </c>
      <c r="F795" s="54" t="str">
        <f>IFERROR(IF(INDEX(SPOT_Import!$A$1:$Z$2488,795,'Live Data'!$C$17)="","",INDEX(SPOT_Import!$A$1:$Z$2488,795,'Live Data'!$C$17)),"")</f>
        <v>MNCH</v>
      </c>
      <c r="G795" s="54">
        <f>IFERROR(IF(INDEX(SPOT_Import!$A$1:$Z$2488,795,'Live Data'!$C$18)="","",INDEX(SPOT_Import!$A$1:$Z$2488,795,'Live Data'!$C$18)),"")</f>
        <v>68</v>
      </c>
      <c r="H795" s="54">
        <f>IFERROR(IF(INDEX(SPOT_Import!$A$1:$Z$2488,795,'Live Data'!$C$19)="","",INDEX(SPOT_Import!$A$1:$Z$2488,795,'Live Data'!$C$19)),"")</f>
        <v>68</v>
      </c>
      <c r="I795" s="54" t="str">
        <f>IFERROR(IF(INDEX(SPOT_Import!$A$1:$Z$2488,795,'Live Data'!$C$20)="","",INDEX(SPOT_Import!$A$1:$Z$2488,795,'Live Data'!$C$20)),"")</f>
        <v>Complete</v>
      </c>
      <c r="J795" s="54" t="str">
        <f>IFERROR(IF(INDEX(SPOT_Import!$A$1:$Z$2488,795,'Live Data'!$C$21)="","",INDEX(SPOT_Import!$A$1:$Z$2488,795,'Live Data'!$C$21)),"")</f>
        <v>2026-10-12T06:56:29.000Z</v>
      </c>
      <c r="K795" s="54" t="str">
        <f>IFERROR(IF(INDEX(SPOT_Import!$A$1:$Z$2488,795,'Live Data'!$C$22)="","",INDEX(SPOT_Import!$A$1:$Z$2488,795,'Live Data'!$C$22)),"")</f>
        <v>2026-10-12T06:56:29.000Z</v>
      </c>
      <c r="L795" s="55" t="str">
        <f t="shared" si="24"/>
        <v>2026-10</v>
      </c>
      <c r="M795" s="55" t="str">
        <f t="shared" si="25"/>
        <v>MURANG'A</v>
      </c>
      <c r="N795" s="55" t="str">
        <f>IF(A795="","",IFERROR(INDEX('Cluster Map'!$A$4:$A$38,MATCH(M795,'Cluster Map'!$B$4:$B$38,0)),"Unmapped"))</f>
        <v>Cluster 3</v>
      </c>
      <c r="O795" s="55">
        <f>IF(A795="",0,IF(COUNTIFS($A$2:A795,A795,$F$2:F795,F795,$L$2:L795,L795)=1,1,0))</f>
        <v>1</v>
      </c>
      <c r="P795" s="55">
        <f>IF(A795="",0,IF(AND(F795="C&amp;T",COUNTIFS($A$2:A795,A795,$F$2:F795,"C&amp;T")=1),1,0))</f>
        <v>0</v>
      </c>
    </row>
    <row r="796" spans="1:16" x14ac:dyDescent="0.35">
      <c r="A796" s="54">
        <f>IFERROR(IF(INDEX(SPOT_Import!$A$1:$Z$2488,796,'Live Data'!$C$12)="","",INDEX(SPOT_Import!$A$1:$Z$2488,796,'Live Data'!$C$12)),"")</f>
        <v>10267</v>
      </c>
      <c r="B796" s="54" t="str">
        <f>IFERROR(IF(INDEX(SPOT_Import!$A$1:$Z$2488,796,'Live Data'!$C$13)="","",INDEX(SPOT_Import!$A$1:$Z$2488,796,'Live Data'!$C$13)),"")</f>
        <v>Githumu Hospital</v>
      </c>
      <c r="C796" s="54" t="str">
        <f>IFERROR(IF(INDEX(SPOT_Import!$A$1:$Z$2488,796,'Live Data'!$C$14)="","",INDEX(SPOT_Import!$A$1:$Z$2488,796,'Live Data'!$C$14)),"")</f>
        <v>MURANG'A</v>
      </c>
      <c r="D796" s="54" t="str">
        <f>IFERROR(IF(INDEX(SPOT_Import!$A$1:$Z$2488,796,'Live Data'!$C$15)="","",INDEX(SPOT_Import!$A$1:$Z$2488,796,'Live Data'!$C$15)),"")</f>
        <v>Kandara</v>
      </c>
      <c r="E796" s="54" t="str">
        <f>IFERROR(IF(INDEX(SPOT_Import!$A$1:$Z$2488,796,'Live Data'!$C$16)="","",INDEX(SPOT_Import!$A$1:$Z$2488,796,'Live Data'!$C$16)),"")</f>
        <v>CHAK CHAP STAWISHA</v>
      </c>
      <c r="F796" s="54" t="str">
        <f>IFERROR(IF(INDEX(SPOT_Import!$A$1:$Z$2488,796,'Live Data'!$C$17)="","",INDEX(SPOT_Import!$A$1:$Z$2488,796,'Live Data'!$C$17)),"")</f>
        <v>PREP</v>
      </c>
      <c r="G796" s="54">
        <f>IFERROR(IF(INDEX(SPOT_Import!$A$1:$Z$2488,796,'Live Data'!$C$18)="","",INDEX(SPOT_Import!$A$1:$Z$2488,796,'Live Data'!$C$18)),"")</f>
        <v>1513</v>
      </c>
      <c r="H796" s="54">
        <f>IFERROR(IF(INDEX(SPOT_Import!$A$1:$Z$2488,796,'Live Data'!$C$19)="","",INDEX(SPOT_Import!$A$1:$Z$2488,796,'Live Data'!$C$19)),"")</f>
        <v>1513</v>
      </c>
      <c r="I796" s="54" t="str">
        <f>IFERROR(IF(INDEX(SPOT_Import!$A$1:$Z$2488,796,'Live Data'!$C$20)="","",INDEX(SPOT_Import!$A$1:$Z$2488,796,'Live Data'!$C$20)),"")</f>
        <v>Complete</v>
      </c>
      <c r="J796" s="54" t="str">
        <f>IFERROR(IF(INDEX(SPOT_Import!$A$1:$Z$2488,796,'Live Data'!$C$21)="","",INDEX(SPOT_Import!$A$1:$Z$2488,796,'Live Data'!$C$21)),"")</f>
        <v>2026-10-12T06:56:15.000Z</v>
      </c>
      <c r="K796" s="54" t="str">
        <f>IFERROR(IF(INDEX(SPOT_Import!$A$1:$Z$2488,796,'Live Data'!$C$22)="","",INDEX(SPOT_Import!$A$1:$Z$2488,796,'Live Data'!$C$22)),"")</f>
        <v>2026-10-12T06:56:15.000Z</v>
      </c>
      <c r="L796" s="55" t="str">
        <f t="shared" si="24"/>
        <v>2026-10</v>
      </c>
      <c r="M796" s="55" t="str">
        <f t="shared" si="25"/>
        <v>MURANG'A</v>
      </c>
      <c r="N796" s="55" t="str">
        <f>IF(A796="","",IFERROR(INDEX('Cluster Map'!$A$4:$A$38,MATCH(M796,'Cluster Map'!$B$4:$B$38,0)),"Unmapped"))</f>
        <v>Cluster 3</v>
      </c>
      <c r="O796" s="55">
        <f>IF(A796="",0,IF(COUNTIFS($A$2:A796,A796,$F$2:F796,F796,$L$2:L796,L796)=1,1,0))</f>
        <v>1</v>
      </c>
      <c r="P796" s="55">
        <f>IF(A796="",0,IF(AND(F796="C&amp;T",COUNTIFS($A$2:A796,A796,$F$2:F796,"C&amp;T")=1),1,0))</f>
        <v>0</v>
      </c>
    </row>
    <row r="797" spans="1:16" x14ac:dyDescent="0.35">
      <c r="A797" s="54">
        <f>IFERROR(IF(INDEX(SPOT_Import!$A$1:$Z$2488,797,'Live Data'!$C$12)="","",INDEX(SPOT_Import!$A$1:$Z$2488,797,'Live Data'!$C$12)),"")</f>
        <v>10602</v>
      </c>
      <c r="B797" s="54" t="str">
        <f>IFERROR(IF(INDEX(SPOT_Import!$A$1:$Z$2488,797,'Live Data'!$C$13)="","",INDEX(SPOT_Import!$A$1:$Z$2488,797,'Live Data'!$C$13)),"")</f>
        <v>Kijabe (AIC) Hospital</v>
      </c>
      <c r="C797" s="54" t="str">
        <f>IFERROR(IF(INDEX(SPOT_Import!$A$1:$Z$2488,797,'Live Data'!$C$14)="","",INDEX(SPOT_Import!$A$1:$Z$2488,797,'Live Data'!$C$14)),"")</f>
        <v>KIAMBU</v>
      </c>
      <c r="D797" s="54" t="str">
        <f>IFERROR(IF(INDEX(SPOT_Import!$A$1:$Z$2488,797,'Live Data'!$C$15)="","",INDEX(SPOT_Import!$A$1:$Z$2488,797,'Live Data'!$C$15)),"")</f>
        <v>Lari</v>
      </c>
      <c r="E797" s="54" t="str">
        <f>IFERROR(IF(INDEX(SPOT_Import!$A$1:$Z$2488,797,'Live Data'!$C$16)="","",INDEX(SPOT_Import!$A$1:$Z$2488,797,'Live Data'!$C$16)),"")</f>
        <v>CHAK CHAP STAWISHA</v>
      </c>
      <c r="F797" s="54" t="str">
        <f>IFERROR(IF(INDEX(SPOT_Import!$A$1:$Z$2488,797,'Live Data'!$C$17)="","",INDEX(SPOT_Import!$A$1:$Z$2488,797,'Live Data'!$C$17)),"")</f>
        <v>PREP</v>
      </c>
      <c r="G797" s="54">
        <f>IFERROR(IF(INDEX(SPOT_Import!$A$1:$Z$2488,797,'Live Data'!$C$18)="","",INDEX(SPOT_Import!$A$1:$Z$2488,797,'Live Data'!$C$18)),"")</f>
        <v>1493</v>
      </c>
      <c r="H797" s="54" t="str">
        <f>IFERROR(IF(INDEX(SPOT_Import!$A$1:$Z$2488,797,'Live Data'!$C$19)="","",INDEX(SPOT_Import!$A$1:$Z$2488,797,'Live Data'!$C$19)),"")</f>
        <v/>
      </c>
      <c r="I797" s="54" t="str">
        <f>IFERROR(IF(INDEX(SPOT_Import!$A$1:$Z$2488,797,'Live Data'!$C$20)="","",INDEX(SPOT_Import!$A$1:$Z$2488,797,'Live Data'!$C$20)),"")</f>
        <v>Incomplete</v>
      </c>
      <c r="J797" s="54" t="str">
        <f>IFERROR(IF(INDEX(SPOT_Import!$A$1:$Z$2488,797,'Live Data'!$C$21)="","",INDEX(SPOT_Import!$A$1:$Z$2488,797,'Live Data'!$C$21)),"")</f>
        <v>2026-10-11T19:20:34.000Z</v>
      </c>
      <c r="K797" s="54" t="str">
        <f>IFERROR(IF(INDEX(SPOT_Import!$A$1:$Z$2488,797,'Live Data'!$C$22)="","",INDEX(SPOT_Import!$A$1:$Z$2488,797,'Live Data'!$C$22)),"")</f>
        <v>2026-10-11T19:20:34.000Z</v>
      </c>
      <c r="L797" s="55" t="str">
        <f t="shared" si="24"/>
        <v>2026-10</v>
      </c>
      <c r="M797" s="55" t="str">
        <f t="shared" si="25"/>
        <v>KIAMBU</v>
      </c>
      <c r="N797" s="55" t="str">
        <f>IF(A797="","",IFERROR(INDEX('Cluster Map'!$A$4:$A$38,MATCH(M797,'Cluster Map'!$B$4:$B$38,0)),"Unmapped"))</f>
        <v>Cluster 3</v>
      </c>
      <c r="O797" s="55">
        <f>IF(A797="",0,IF(COUNTIFS($A$2:A797,A797,$F$2:F797,F797,$L$2:L797,L797)=1,1,0))</f>
        <v>1</v>
      </c>
      <c r="P797" s="55">
        <f>IF(A797="",0,IF(AND(F797="C&amp;T",COUNTIFS($A$2:A797,A797,$F$2:F797,"C&amp;T")=1),1,0))</f>
        <v>0</v>
      </c>
    </row>
    <row r="798" spans="1:16" x14ac:dyDescent="0.35">
      <c r="A798" s="54">
        <f>IFERROR(IF(INDEX(SPOT_Import!$A$1:$Z$2488,798,'Live Data'!$C$12)="","",INDEX(SPOT_Import!$A$1:$Z$2488,798,'Live Data'!$C$12)),"")</f>
        <v>10602</v>
      </c>
      <c r="B798" s="54" t="str">
        <f>IFERROR(IF(INDEX(SPOT_Import!$A$1:$Z$2488,798,'Live Data'!$C$13)="","",INDEX(SPOT_Import!$A$1:$Z$2488,798,'Live Data'!$C$13)),"")</f>
        <v>Kijabe (AIC) Hospital</v>
      </c>
      <c r="C798" s="54" t="str">
        <f>IFERROR(IF(INDEX(SPOT_Import!$A$1:$Z$2488,798,'Live Data'!$C$14)="","",INDEX(SPOT_Import!$A$1:$Z$2488,798,'Live Data'!$C$14)),"")</f>
        <v>KIAMBU</v>
      </c>
      <c r="D798" s="54" t="str">
        <f>IFERROR(IF(INDEX(SPOT_Import!$A$1:$Z$2488,798,'Live Data'!$C$15)="","",INDEX(SPOT_Import!$A$1:$Z$2488,798,'Live Data'!$C$15)),"")</f>
        <v>Lari</v>
      </c>
      <c r="E798" s="54" t="str">
        <f>IFERROR(IF(INDEX(SPOT_Import!$A$1:$Z$2488,798,'Live Data'!$C$16)="","",INDEX(SPOT_Import!$A$1:$Z$2488,798,'Live Data'!$C$16)),"")</f>
        <v>CHAK CHAP STAWISHA</v>
      </c>
      <c r="F798" s="54" t="str">
        <f>IFERROR(IF(INDEX(SPOT_Import!$A$1:$Z$2488,798,'Live Data'!$C$17)="","",INDEX(SPOT_Import!$A$1:$Z$2488,798,'Live Data'!$C$17)),"")</f>
        <v>C&amp;T</v>
      </c>
      <c r="G798" s="54">
        <f>IFERROR(IF(INDEX(SPOT_Import!$A$1:$Z$2488,798,'Live Data'!$C$18)="","",INDEX(SPOT_Import!$A$1:$Z$2488,798,'Live Data'!$C$18)),"")</f>
        <v>4079</v>
      </c>
      <c r="H798" s="54">
        <f>IFERROR(IF(INDEX(SPOT_Import!$A$1:$Z$2488,798,'Live Data'!$C$19)="","",INDEX(SPOT_Import!$A$1:$Z$2488,798,'Live Data'!$C$19)),"")</f>
        <v>4079</v>
      </c>
      <c r="I798" s="54" t="str">
        <f>IFERROR(IF(INDEX(SPOT_Import!$A$1:$Z$2488,798,'Live Data'!$C$20)="","",INDEX(SPOT_Import!$A$1:$Z$2488,798,'Live Data'!$C$20)),"")</f>
        <v>Complete</v>
      </c>
      <c r="J798" s="54" t="str">
        <f>IFERROR(IF(INDEX(SPOT_Import!$A$1:$Z$2488,798,'Live Data'!$C$21)="","",INDEX(SPOT_Import!$A$1:$Z$2488,798,'Live Data'!$C$21)),"")</f>
        <v>2026-10-11T16:20:35.000Z</v>
      </c>
      <c r="K798" s="54" t="str">
        <f>IFERROR(IF(INDEX(SPOT_Import!$A$1:$Z$2488,798,'Live Data'!$C$22)="","",INDEX(SPOT_Import!$A$1:$Z$2488,798,'Live Data'!$C$22)),"")</f>
        <v>2026-10-11T16:20:35.000Z</v>
      </c>
      <c r="L798" s="55" t="str">
        <f t="shared" si="24"/>
        <v>2026-10</v>
      </c>
      <c r="M798" s="55" t="str">
        <f t="shared" si="25"/>
        <v>KIAMBU</v>
      </c>
      <c r="N798" s="55" t="str">
        <f>IF(A798="","",IFERROR(INDEX('Cluster Map'!$A$4:$A$38,MATCH(M798,'Cluster Map'!$B$4:$B$38,0)),"Unmapped"))</f>
        <v>Cluster 3</v>
      </c>
      <c r="O798" s="55">
        <f>IF(A798="",0,IF(COUNTIFS($A$2:A798,A798,$F$2:F798,F798,$L$2:L798,L798)=1,1,0))</f>
        <v>1</v>
      </c>
      <c r="P798" s="55">
        <f>IF(A798="",0,IF(AND(F798="C&amp;T",COUNTIFS($A$2:A798,A798,$F$2:F798,"C&amp;T")=1),1,0))</f>
        <v>1</v>
      </c>
    </row>
    <row r="799" spans="1:16" x14ac:dyDescent="0.35">
      <c r="A799" s="54">
        <f>IFERROR(IF(INDEX(SPOT_Import!$A$1:$Z$2488,799,'Live Data'!$C$12)="","",INDEX(SPOT_Import!$A$1:$Z$2488,799,'Live Data'!$C$12)),"")</f>
        <v>10602</v>
      </c>
      <c r="B799" s="54" t="str">
        <f>IFERROR(IF(INDEX(SPOT_Import!$A$1:$Z$2488,799,'Live Data'!$C$13)="","",INDEX(SPOT_Import!$A$1:$Z$2488,799,'Live Data'!$C$13)),"")</f>
        <v>Kijabe (AIC) Hospital</v>
      </c>
      <c r="C799" s="54" t="str">
        <f>IFERROR(IF(INDEX(SPOT_Import!$A$1:$Z$2488,799,'Live Data'!$C$14)="","",INDEX(SPOT_Import!$A$1:$Z$2488,799,'Live Data'!$C$14)),"")</f>
        <v>KIAMBU</v>
      </c>
      <c r="D799" s="54" t="str">
        <f>IFERROR(IF(INDEX(SPOT_Import!$A$1:$Z$2488,799,'Live Data'!$C$15)="","",INDEX(SPOT_Import!$A$1:$Z$2488,799,'Live Data'!$C$15)),"")</f>
        <v>Lari</v>
      </c>
      <c r="E799" s="54" t="str">
        <f>IFERROR(IF(INDEX(SPOT_Import!$A$1:$Z$2488,799,'Live Data'!$C$16)="","",INDEX(SPOT_Import!$A$1:$Z$2488,799,'Live Data'!$C$16)),"")</f>
        <v>CHAK CHAP STAWISHA</v>
      </c>
      <c r="F799" s="54" t="str">
        <f>IFERROR(IF(INDEX(SPOT_Import!$A$1:$Z$2488,799,'Live Data'!$C$17)="","",INDEX(SPOT_Import!$A$1:$Z$2488,799,'Live Data'!$C$17)),"")</f>
        <v>MNCH</v>
      </c>
      <c r="G799" s="54">
        <f>IFERROR(IF(INDEX(SPOT_Import!$A$1:$Z$2488,799,'Live Data'!$C$18)="","",INDEX(SPOT_Import!$A$1:$Z$2488,799,'Live Data'!$C$18)),"")</f>
        <v>64</v>
      </c>
      <c r="H799" s="54">
        <f>IFERROR(IF(INDEX(SPOT_Import!$A$1:$Z$2488,799,'Live Data'!$C$19)="","",INDEX(SPOT_Import!$A$1:$Z$2488,799,'Live Data'!$C$19)),"")</f>
        <v>64</v>
      </c>
      <c r="I799" s="54" t="str">
        <f>IFERROR(IF(INDEX(SPOT_Import!$A$1:$Z$2488,799,'Live Data'!$C$20)="","",INDEX(SPOT_Import!$A$1:$Z$2488,799,'Live Data'!$C$20)),"")</f>
        <v>Complete</v>
      </c>
      <c r="J799" s="54" t="str">
        <f>IFERROR(IF(INDEX(SPOT_Import!$A$1:$Z$2488,799,'Live Data'!$C$21)="","",INDEX(SPOT_Import!$A$1:$Z$2488,799,'Live Data'!$C$21)),"")</f>
        <v>2026-10-11T16:10:55.000Z</v>
      </c>
      <c r="K799" s="54" t="str">
        <f>IFERROR(IF(INDEX(SPOT_Import!$A$1:$Z$2488,799,'Live Data'!$C$22)="","",INDEX(SPOT_Import!$A$1:$Z$2488,799,'Live Data'!$C$22)),"")</f>
        <v>2026-10-11T16:10:55.000Z</v>
      </c>
      <c r="L799" s="55" t="str">
        <f t="shared" si="24"/>
        <v>2026-10</v>
      </c>
      <c r="M799" s="55" t="str">
        <f t="shared" si="25"/>
        <v>KIAMBU</v>
      </c>
      <c r="N799" s="55" t="str">
        <f>IF(A799="","",IFERROR(INDEX('Cluster Map'!$A$4:$A$38,MATCH(M799,'Cluster Map'!$B$4:$B$38,0)),"Unmapped"))</f>
        <v>Cluster 3</v>
      </c>
      <c r="O799" s="55">
        <f>IF(A799="",0,IF(COUNTIFS($A$2:A799,A799,$F$2:F799,F799,$L$2:L799,L799)=1,1,0))</f>
        <v>1</v>
      </c>
      <c r="P799" s="55">
        <f>IF(A799="",0,IF(AND(F799="C&amp;T",COUNTIFS($A$2:A799,A799,$F$2:F799,"C&amp;T")=1),1,0))</f>
        <v>0</v>
      </c>
    </row>
    <row r="800" spans="1:16" x14ac:dyDescent="0.35">
      <c r="A800" s="54">
        <f>IFERROR(IF(INDEX(SPOT_Import!$A$1:$Z$2488,800,'Live Data'!$C$12)="","",INDEX(SPOT_Import!$A$1:$Z$2488,800,'Live Data'!$C$12)),"")</f>
        <v>10602</v>
      </c>
      <c r="B800" s="54" t="str">
        <f>IFERROR(IF(INDEX(SPOT_Import!$A$1:$Z$2488,800,'Live Data'!$C$13)="","",INDEX(SPOT_Import!$A$1:$Z$2488,800,'Live Data'!$C$13)),"")</f>
        <v>Kijabe (AIC) Hospital</v>
      </c>
      <c r="C800" s="54" t="str">
        <f>IFERROR(IF(INDEX(SPOT_Import!$A$1:$Z$2488,800,'Live Data'!$C$14)="","",INDEX(SPOT_Import!$A$1:$Z$2488,800,'Live Data'!$C$14)),"")</f>
        <v>KIAMBU</v>
      </c>
      <c r="D800" s="54" t="str">
        <f>IFERROR(IF(INDEX(SPOT_Import!$A$1:$Z$2488,800,'Live Data'!$C$15)="","",INDEX(SPOT_Import!$A$1:$Z$2488,800,'Live Data'!$C$15)),"")</f>
        <v>Lari</v>
      </c>
      <c r="E800" s="54" t="str">
        <f>IFERROR(IF(INDEX(SPOT_Import!$A$1:$Z$2488,800,'Live Data'!$C$16)="","",INDEX(SPOT_Import!$A$1:$Z$2488,800,'Live Data'!$C$16)),"")</f>
        <v>CHAK CHAP STAWISHA</v>
      </c>
      <c r="F800" s="54" t="str">
        <f>IFERROR(IF(INDEX(SPOT_Import!$A$1:$Z$2488,800,'Live Data'!$C$17)="","",INDEX(SPOT_Import!$A$1:$Z$2488,800,'Live Data'!$C$17)),"")</f>
        <v>HTS</v>
      </c>
      <c r="G800" s="54">
        <f>IFERROR(IF(INDEX(SPOT_Import!$A$1:$Z$2488,800,'Live Data'!$C$18)="","",INDEX(SPOT_Import!$A$1:$Z$2488,800,'Live Data'!$C$18)),"")</f>
        <v>19145</v>
      </c>
      <c r="H800" s="54">
        <f>IFERROR(IF(INDEX(SPOT_Import!$A$1:$Z$2488,800,'Live Data'!$C$19)="","",INDEX(SPOT_Import!$A$1:$Z$2488,800,'Live Data'!$C$19)),"")</f>
        <v>19145</v>
      </c>
      <c r="I800" s="54" t="str">
        <f>IFERROR(IF(INDEX(SPOT_Import!$A$1:$Z$2488,800,'Live Data'!$C$20)="","",INDEX(SPOT_Import!$A$1:$Z$2488,800,'Live Data'!$C$20)),"")</f>
        <v>Complete</v>
      </c>
      <c r="J800" s="54" t="str">
        <f>IFERROR(IF(INDEX(SPOT_Import!$A$1:$Z$2488,800,'Live Data'!$C$21)="","",INDEX(SPOT_Import!$A$1:$Z$2488,800,'Live Data'!$C$21)),"")</f>
        <v>2026-10-11T16:09:05.000Z</v>
      </c>
      <c r="K800" s="54" t="str">
        <f>IFERROR(IF(INDEX(SPOT_Import!$A$1:$Z$2488,800,'Live Data'!$C$22)="","",INDEX(SPOT_Import!$A$1:$Z$2488,800,'Live Data'!$C$22)),"")</f>
        <v>2026-10-11T16:09:05.000Z</v>
      </c>
      <c r="L800" s="55" t="str">
        <f t="shared" si="24"/>
        <v>2026-10</v>
      </c>
      <c r="M800" s="55" t="str">
        <f t="shared" si="25"/>
        <v>KIAMBU</v>
      </c>
      <c r="N800" s="55" t="str">
        <f>IF(A800="","",IFERROR(INDEX('Cluster Map'!$A$4:$A$38,MATCH(M800,'Cluster Map'!$B$4:$B$38,0)),"Unmapped"))</f>
        <v>Cluster 3</v>
      </c>
      <c r="O800" s="55">
        <f>IF(A800="",0,IF(COUNTIFS($A$2:A800,A800,$F$2:F800,F800,$L$2:L800,L800)=1,1,0))</f>
        <v>1</v>
      </c>
      <c r="P800" s="55">
        <f>IF(A800="",0,IF(AND(F800="C&amp;T",COUNTIFS($A$2:A800,A800,$F$2:F800,"C&amp;T")=1),1,0))</f>
        <v>0</v>
      </c>
    </row>
    <row r="801" spans="1:16" x14ac:dyDescent="0.35">
      <c r="A801" s="54">
        <f>IFERROR(IF(INDEX(SPOT_Import!$A$1:$Z$2488,801,'Live Data'!$C$12)="","",INDEX(SPOT_Import!$A$1:$Z$2488,801,'Live Data'!$C$12)),"")</f>
        <v>22152</v>
      </c>
      <c r="B801" s="54" t="str">
        <f>IFERROR(IF(INDEX(SPOT_Import!$A$1:$Z$2488,801,'Live Data'!$C$13)="","",INDEX(SPOT_Import!$A$1:$Z$2488,801,'Live Data'!$C$13)),"")</f>
        <v>Kitololoni Catholic Dispensary</v>
      </c>
      <c r="C801" s="54" t="str">
        <f>IFERROR(IF(INDEX(SPOT_Import!$A$1:$Z$2488,801,'Live Data'!$C$14)="","",INDEX(SPOT_Import!$A$1:$Z$2488,801,'Live Data'!$C$14)),"")</f>
        <v>EMBU</v>
      </c>
      <c r="D801" s="54" t="str">
        <f>IFERROR(IF(INDEX(SPOT_Import!$A$1:$Z$2488,801,'Live Data'!$C$15)="","",INDEX(SPOT_Import!$A$1:$Z$2488,801,'Live Data'!$C$15)),"")</f>
        <v>Mbeere South</v>
      </c>
      <c r="E801" s="54" t="str">
        <f>IFERROR(IF(INDEX(SPOT_Import!$A$1:$Z$2488,801,'Live Data'!$C$16)="","",INDEX(SPOT_Import!$A$1:$Z$2488,801,'Live Data'!$C$16)),"")</f>
        <v>CHAK CHAP STAWISHA</v>
      </c>
      <c r="F801" s="54" t="str">
        <f>IFERROR(IF(INDEX(SPOT_Import!$A$1:$Z$2488,801,'Live Data'!$C$17)="","",INDEX(SPOT_Import!$A$1:$Z$2488,801,'Live Data'!$C$17)),"")</f>
        <v>PREP</v>
      </c>
      <c r="G801" s="54">
        <f>IFERROR(IF(INDEX(SPOT_Import!$A$1:$Z$2488,801,'Live Data'!$C$18)="","",INDEX(SPOT_Import!$A$1:$Z$2488,801,'Live Data'!$C$18)),"")</f>
        <v>216</v>
      </c>
      <c r="H801" s="54">
        <f>IFERROR(IF(INDEX(SPOT_Import!$A$1:$Z$2488,801,'Live Data'!$C$19)="","",INDEX(SPOT_Import!$A$1:$Z$2488,801,'Live Data'!$C$19)),"")</f>
        <v>216</v>
      </c>
      <c r="I801" s="54" t="str">
        <f>IFERROR(IF(INDEX(SPOT_Import!$A$1:$Z$2488,801,'Live Data'!$C$20)="","",INDEX(SPOT_Import!$A$1:$Z$2488,801,'Live Data'!$C$20)),"")</f>
        <v>Complete</v>
      </c>
      <c r="J801" s="54" t="str">
        <f>IFERROR(IF(INDEX(SPOT_Import!$A$1:$Z$2488,801,'Live Data'!$C$21)="","",INDEX(SPOT_Import!$A$1:$Z$2488,801,'Live Data'!$C$21)),"")</f>
        <v>2026-10-10T10:35:25.000Z</v>
      </c>
      <c r="K801" s="54" t="str">
        <f>IFERROR(IF(INDEX(SPOT_Import!$A$1:$Z$2488,801,'Live Data'!$C$22)="","",INDEX(SPOT_Import!$A$1:$Z$2488,801,'Live Data'!$C$22)),"")</f>
        <v>2026-10-10T10:35:25.000Z</v>
      </c>
      <c r="L801" s="55" t="str">
        <f t="shared" si="24"/>
        <v>2026-10</v>
      </c>
      <c r="M801" s="55" t="str">
        <f t="shared" si="25"/>
        <v>EMBU</v>
      </c>
      <c r="N801" s="55" t="str">
        <f>IF(A801="","",IFERROR(INDEX('Cluster Map'!$A$4:$A$38,MATCH(M801,'Cluster Map'!$B$4:$B$38,0)),"Unmapped"))</f>
        <v>Cluster 2</v>
      </c>
      <c r="O801" s="55">
        <f>IF(A801="",0,IF(COUNTIFS($A$2:A801,A801,$F$2:F801,F801,$L$2:L801,L801)=1,1,0))</f>
        <v>1</v>
      </c>
      <c r="P801" s="55">
        <f>IF(A801="",0,IF(AND(F801="C&amp;T",COUNTIFS($A$2:A801,A801,$F$2:F801,"C&amp;T")=1),1,0))</f>
        <v>0</v>
      </c>
    </row>
    <row r="802" spans="1:16" x14ac:dyDescent="0.35">
      <c r="A802" s="54">
        <f>IFERROR(IF(INDEX(SPOT_Import!$A$1:$Z$2488,802,'Live Data'!$C$12)="","",INDEX(SPOT_Import!$A$1:$Z$2488,802,'Live Data'!$C$12)),"")</f>
        <v>22152</v>
      </c>
      <c r="B802" s="54" t="str">
        <f>IFERROR(IF(INDEX(SPOT_Import!$A$1:$Z$2488,802,'Live Data'!$C$13)="","",INDEX(SPOT_Import!$A$1:$Z$2488,802,'Live Data'!$C$13)),"")</f>
        <v>Kitololoni Catholic Dispensary</v>
      </c>
      <c r="C802" s="54" t="str">
        <f>IFERROR(IF(INDEX(SPOT_Import!$A$1:$Z$2488,802,'Live Data'!$C$14)="","",INDEX(SPOT_Import!$A$1:$Z$2488,802,'Live Data'!$C$14)),"")</f>
        <v>EMBU</v>
      </c>
      <c r="D802" s="54" t="str">
        <f>IFERROR(IF(INDEX(SPOT_Import!$A$1:$Z$2488,802,'Live Data'!$C$15)="","",INDEX(SPOT_Import!$A$1:$Z$2488,802,'Live Data'!$C$15)),"")</f>
        <v>Mbeere South</v>
      </c>
      <c r="E802" s="54" t="str">
        <f>IFERROR(IF(INDEX(SPOT_Import!$A$1:$Z$2488,802,'Live Data'!$C$16)="","",INDEX(SPOT_Import!$A$1:$Z$2488,802,'Live Data'!$C$16)),"")</f>
        <v>CHAK CHAP STAWISHA</v>
      </c>
      <c r="F802" s="54" t="str">
        <f>IFERROR(IF(INDEX(SPOT_Import!$A$1:$Z$2488,802,'Live Data'!$C$17)="","",INDEX(SPOT_Import!$A$1:$Z$2488,802,'Live Data'!$C$17)),"")</f>
        <v>MNCH</v>
      </c>
      <c r="G802" s="54">
        <f>IFERROR(IF(INDEX(SPOT_Import!$A$1:$Z$2488,802,'Live Data'!$C$18)="","",INDEX(SPOT_Import!$A$1:$Z$2488,802,'Live Data'!$C$18)),"")</f>
        <v>27</v>
      </c>
      <c r="H802" s="54" t="str">
        <f>IFERROR(IF(INDEX(SPOT_Import!$A$1:$Z$2488,802,'Live Data'!$C$19)="","",INDEX(SPOT_Import!$A$1:$Z$2488,802,'Live Data'!$C$19)),"")</f>
        <v/>
      </c>
      <c r="I802" s="54" t="str">
        <f>IFERROR(IF(INDEX(SPOT_Import!$A$1:$Z$2488,802,'Live Data'!$C$20)="","",INDEX(SPOT_Import!$A$1:$Z$2488,802,'Live Data'!$C$20)),"")</f>
        <v>Complete</v>
      </c>
      <c r="J802" s="54" t="str">
        <f>IFERROR(IF(INDEX(SPOT_Import!$A$1:$Z$2488,802,'Live Data'!$C$21)="","",INDEX(SPOT_Import!$A$1:$Z$2488,802,'Live Data'!$C$21)),"")</f>
        <v>2026-10-10T10:34:49.000Z</v>
      </c>
      <c r="K802" s="54" t="str">
        <f>IFERROR(IF(INDEX(SPOT_Import!$A$1:$Z$2488,802,'Live Data'!$C$22)="","",INDEX(SPOT_Import!$A$1:$Z$2488,802,'Live Data'!$C$22)),"")</f>
        <v>2026-10-10T10:34:49.000Z</v>
      </c>
      <c r="L802" s="55" t="str">
        <f t="shared" si="24"/>
        <v>2026-10</v>
      </c>
      <c r="M802" s="55" t="str">
        <f t="shared" si="25"/>
        <v>EMBU</v>
      </c>
      <c r="N802" s="55" t="str">
        <f>IF(A802="","",IFERROR(INDEX('Cluster Map'!$A$4:$A$38,MATCH(M802,'Cluster Map'!$B$4:$B$38,0)),"Unmapped"))</f>
        <v>Cluster 2</v>
      </c>
      <c r="O802" s="55">
        <f>IF(A802="",0,IF(COUNTIFS($A$2:A802,A802,$F$2:F802,F802,$L$2:L802,L802)=1,1,0))</f>
        <v>1</v>
      </c>
      <c r="P802" s="55">
        <f>IF(A802="",0,IF(AND(F802="C&amp;T",COUNTIFS($A$2:A802,A802,$F$2:F802,"C&amp;T")=1),1,0))</f>
        <v>0</v>
      </c>
    </row>
    <row r="803" spans="1:16" x14ac:dyDescent="0.35">
      <c r="A803" s="54">
        <f>IFERROR(IF(INDEX(SPOT_Import!$A$1:$Z$2488,803,'Live Data'!$C$12)="","",INDEX(SPOT_Import!$A$1:$Z$2488,803,'Live Data'!$C$12)),"")</f>
        <v>22152</v>
      </c>
      <c r="B803" s="54" t="str">
        <f>IFERROR(IF(INDEX(SPOT_Import!$A$1:$Z$2488,803,'Live Data'!$C$13)="","",INDEX(SPOT_Import!$A$1:$Z$2488,803,'Live Data'!$C$13)),"")</f>
        <v>Kitololoni Catholic Dispensary</v>
      </c>
      <c r="C803" s="54" t="str">
        <f>IFERROR(IF(INDEX(SPOT_Import!$A$1:$Z$2488,803,'Live Data'!$C$14)="","",INDEX(SPOT_Import!$A$1:$Z$2488,803,'Live Data'!$C$14)),"")</f>
        <v>EMBU</v>
      </c>
      <c r="D803" s="54" t="str">
        <f>IFERROR(IF(INDEX(SPOT_Import!$A$1:$Z$2488,803,'Live Data'!$C$15)="","",INDEX(SPOT_Import!$A$1:$Z$2488,803,'Live Data'!$C$15)),"")</f>
        <v>Mbeere South</v>
      </c>
      <c r="E803" s="54" t="str">
        <f>IFERROR(IF(INDEX(SPOT_Import!$A$1:$Z$2488,803,'Live Data'!$C$16)="","",INDEX(SPOT_Import!$A$1:$Z$2488,803,'Live Data'!$C$16)),"")</f>
        <v>CHAK CHAP STAWISHA</v>
      </c>
      <c r="F803" s="54" t="str">
        <f>IFERROR(IF(INDEX(SPOT_Import!$A$1:$Z$2488,803,'Live Data'!$C$17)="","",INDEX(SPOT_Import!$A$1:$Z$2488,803,'Live Data'!$C$17)),"")</f>
        <v>HTS</v>
      </c>
      <c r="G803" s="54">
        <f>IFERROR(IF(INDEX(SPOT_Import!$A$1:$Z$2488,803,'Live Data'!$C$18)="","",INDEX(SPOT_Import!$A$1:$Z$2488,803,'Live Data'!$C$18)),"")</f>
        <v>1396</v>
      </c>
      <c r="H803" s="54">
        <f>IFERROR(IF(INDEX(SPOT_Import!$A$1:$Z$2488,803,'Live Data'!$C$19)="","",INDEX(SPOT_Import!$A$1:$Z$2488,803,'Live Data'!$C$19)),"")</f>
        <v>1396</v>
      </c>
      <c r="I803" s="54" t="str">
        <f>IFERROR(IF(INDEX(SPOT_Import!$A$1:$Z$2488,803,'Live Data'!$C$20)="","",INDEX(SPOT_Import!$A$1:$Z$2488,803,'Live Data'!$C$20)),"")</f>
        <v>Complete</v>
      </c>
      <c r="J803" s="54" t="str">
        <f>IFERROR(IF(INDEX(SPOT_Import!$A$1:$Z$2488,803,'Live Data'!$C$21)="","",INDEX(SPOT_Import!$A$1:$Z$2488,803,'Live Data'!$C$21)),"")</f>
        <v>2026-10-10T10:34:22.000Z</v>
      </c>
      <c r="K803" s="54" t="str">
        <f>IFERROR(IF(INDEX(SPOT_Import!$A$1:$Z$2488,803,'Live Data'!$C$22)="","",INDEX(SPOT_Import!$A$1:$Z$2488,803,'Live Data'!$C$22)),"")</f>
        <v>2026-10-10T10:34:22.000Z</v>
      </c>
      <c r="L803" s="55" t="str">
        <f t="shared" si="24"/>
        <v>2026-10</v>
      </c>
      <c r="M803" s="55" t="str">
        <f t="shared" si="25"/>
        <v>EMBU</v>
      </c>
      <c r="N803" s="55" t="str">
        <f>IF(A803="","",IFERROR(INDEX('Cluster Map'!$A$4:$A$38,MATCH(M803,'Cluster Map'!$B$4:$B$38,0)),"Unmapped"))</f>
        <v>Cluster 2</v>
      </c>
      <c r="O803" s="55">
        <f>IF(A803="",0,IF(COUNTIFS($A$2:A803,A803,$F$2:F803,F803,$L$2:L803,L803)=1,1,0))</f>
        <v>1</v>
      </c>
      <c r="P803" s="55">
        <f>IF(A803="",0,IF(AND(F803="C&amp;T",COUNTIFS($A$2:A803,A803,$F$2:F803,"C&amp;T")=1),1,0))</f>
        <v>0</v>
      </c>
    </row>
    <row r="804" spans="1:16" x14ac:dyDescent="0.35">
      <c r="A804" s="54">
        <f>IFERROR(IF(INDEX(SPOT_Import!$A$1:$Z$2488,804,'Live Data'!$C$12)="","",INDEX(SPOT_Import!$A$1:$Z$2488,804,'Live Data'!$C$12)),"")</f>
        <v>22152</v>
      </c>
      <c r="B804" s="54" t="str">
        <f>IFERROR(IF(INDEX(SPOT_Import!$A$1:$Z$2488,804,'Live Data'!$C$13)="","",INDEX(SPOT_Import!$A$1:$Z$2488,804,'Live Data'!$C$13)),"")</f>
        <v>Kitololoni Catholic Dispensary</v>
      </c>
      <c r="C804" s="54" t="str">
        <f>IFERROR(IF(INDEX(SPOT_Import!$A$1:$Z$2488,804,'Live Data'!$C$14)="","",INDEX(SPOT_Import!$A$1:$Z$2488,804,'Live Data'!$C$14)),"")</f>
        <v>EMBU</v>
      </c>
      <c r="D804" s="54" t="str">
        <f>IFERROR(IF(INDEX(SPOT_Import!$A$1:$Z$2488,804,'Live Data'!$C$15)="","",INDEX(SPOT_Import!$A$1:$Z$2488,804,'Live Data'!$C$15)),"")</f>
        <v>Mbeere South</v>
      </c>
      <c r="E804" s="54" t="str">
        <f>IFERROR(IF(INDEX(SPOT_Import!$A$1:$Z$2488,804,'Live Data'!$C$16)="","",INDEX(SPOT_Import!$A$1:$Z$2488,804,'Live Data'!$C$16)),"")</f>
        <v>CHAK CHAP STAWISHA</v>
      </c>
      <c r="F804" s="54" t="str">
        <f>IFERROR(IF(INDEX(SPOT_Import!$A$1:$Z$2488,804,'Live Data'!$C$17)="","",INDEX(SPOT_Import!$A$1:$Z$2488,804,'Live Data'!$C$17)),"")</f>
        <v>C&amp;T</v>
      </c>
      <c r="G804" s="54">
        <f>IFERROR(IF(INDEX(SPOT_Import!$A$1:$Z$2488,804,'Live Data'!$C$18)="","",INDEX(SPOT_Import!$A$1:$Z$2488,804,'Live Data'!$C$18)),"")</f>
        <v>484</v>
      </c>
      <c r="H804" s="54">
        <f>IFERROR(IF(INDEX(SPOT_Import!$A$1:$Z$2488,804,'Live Data'!$C$19)="","",INDEX(SPOT_Import!$A$1:$Z$2488,804,'Live Data'!$C$19)),"")</f>
        <v>484</v>
      </c>
      <c r="I804" s="54" t="str">
        <f>IFERROR(IF(INDEX(SPOT_Import!$A$1:$Z$2488,804,'Live Data'!$C$20)="","",INDEX(SPOT_Import!$A$1:$Z$2488,804,'Live Data'!$C$20)),"")</f>
        <v>Complete</v>
      </c>
      <c r="J804" s="54" t="str">
        <f>IFERROR(IF(INDEX(SPOT_Import!$A$1:$Z$2488,804,'Live Data'!$C$21)="","",INDEX(SPOT_Import!$A$1:$Z$2488,804,'Live Data'!$C$21)),"")</f>
        <v>2026-10-10T10:18:31.000Z</v>
      </c>
      <c r="K804" s="54" t="str">
        <f>IFERROR(IF(INDEX(SPOT_Import!$A$1:$Z$2488,804,'Live Data'!$C$22)="","",INDEX(SPOT_Import!$A$1:$Z$2488,804,'Live Data'!$C$22)),"")</f>
        <v>2026-10-10T10:18:31.000Z</v>
      </c>
      <c r="L804" s="55" t="str">
        <f t="shared" si="24"/>
        <v>2026-10</v>
      </c>
      <c r="M804" s="55" t="str">
        <f t="shared" si="25"/>
        <v>EMBU</v>
      </c>
      <c r="N804" s="55" t="str">
        <f>IF(A804="","",IFERROR(INDEX('Cluster Map'!$A$4:$A$38,MATCH(M804,'Cluster Map'!$B$4:$B$38,0)),"Unmapped"))</f>
        <v>Cluster 2</v>
      </c>
      <c r="O804" s="55">
        <f>IF(A804="",0,IF(COUNTIFS($A$2:A804,A804,$F$2:F804,F804,$L$2:L804,L804)=1,1,0))</f>
        <v>1</v>
      </c>
      <c r="P804" s="55">
        <f>IF(A804="",0,IF(AND(F804="C&amp;T",COUNTIFS($A$2:A804,A804,$F$2:F804,"C&amp;T")=1),1,0))</f>
        <v>1</v>
      </c>
    </row>
    <row r="805" spans="1:16" x14ac:dyDescent="0.35">
      <c r="A805" s="54">
        <f>IFERROR(IF(INDEX(SPOT_Import!$A$1:$Z$2488,805,'Live Data'!$C$12)="","",INDEX(SPOT_Import!$A$1:$Z$2488,805,'Live Data'!$C$12)),"")</f>
        <v>10603</v>
      </c>
      <c r="B805" s="54" t="str">
        <f>IFERROR(IF(INDEX(SPOT_Import!$A$1:$Z$2488,805,'Live Data'!$C$13)="","",INDEX(SPOT_Import!$A$1:$Z$2488,805,'Live Data'!$C$13)),"")</f>
        <v>Kikuyu (PCEA) Hospital</v>
      </c>
      <c r="C805" s="54" t="str">
        <f>IFERROR(IF(INDEX(SPOT_Import!$A$1:$Z$2488,805,'Live Data'!$C$14)="","",INDEX(SPOT_Import!$A$1:$Z$2488,805,'Live Data'!$C$14)),"")</f>
        <v>KIAMBU</v>
      </c>
      <c r="D805" s="54" t="str">
        <f>IFERROR(IF(INDEX(SPOT_Import!$A$1:$Z$2488,805,'Live Data'!$C$15)="","",INDEX(SPOT_Import!$A$1:$Z$2488,805,'Live Data'!$C$15)),"")</f>
        <v>Kikuyu</v>
      </c>
      <c r="E805" s="54" t="str">
        <f>IFERROR(IF(INDEX(SPOT_Import!$A$1:$Z$2488,805,'Live Data'!$C$16)="","",INDEX(SPOT_Import!$A$1:$Z$2488,805,'Live Data'!$C$16)),"")</f>
        <v>CHAK CHAP STAWISHA</v>
      </c>
      <c r="F805" s="54" t="str">
        <f>IFERROR(IF(INDEX(SPOT_Import!$A$1:$Z$2488,805,'Live Data'!$C$17)="","",INDEX(SPOT_Import!$A$1:$Z$2488,805,'Live Data'!$C$17)),"")</f>
        <v>MNCH</v>
      </c>
      <c r="G805" s="54">
        <f>IFERROR(IF(INDEX(SPOT_Import!$A$1:$Z$2488,805,'Live Data'!$C$18)="","",INDEX(SPOT_Import!$A$1:$Z$2488,805,'Live Data'!$C$18)),"")</f>
        <v>94</v>
      </c>
      <c r="H805" s="54" t="str">
        <f>IFERROR(IF(INDEX(SPOT_Import!$A$1:$Z$2488,805,'Live Data'!$C$19)="","",INDEX(SPOT_Import!$A$1:$Z$2488,805,'Live Data'!$C$19)),"")</f>
        <v/>
      </c>
      <c r="I805" s="54" t="str">
        <f>IFERROR(IF(INDEX(SPOT_Import!$A$1:$Z$2488,805,'Live Data'!$C$20)="","",INDEX(SPOT_Import!$A$1:$Z$2488,805,'Live Data'!$C$20)),"")</f>
        <v>Complete</v>
      </c>
      <c r="J805" s="54" t="str">
        <f>IFERROR(IF(INDEX(SPOT_Import!$A$1:$Z$2488,805,'Live Data'!$C$21)="","",INDEX(SPOT_Import!$A$1:$Z$2488,805,'Live Data'!$C$21)),"")</f>
        <v>2026-10-10T08:46:28.000Z</v>
      </c>
      <c r="K805" s="54" t="str">
        <f>IFERROR(IF(INDEX(SPOT_Import!$A$1:$Z$2488,805,'Live Data'!$C$22)="","",INDEX(SPOT_Import!$A$1:$Z$2488,805,'Live Data'!$C$22)),"")</f>
        <v>2026-10-10T08:46:28.000Z</v>
      </c>
      <c r="L805" s="55" t="str">
        <f t="shared" si="24"/>
        <v>2026-10</v>
      </c>
      <c r="M805" s="55" t="str">
        <f t="shared" si="25"/>
        <v>KIAMBU</v>
      </c>
      <c r="N805" s="55" t="str">
        <f>IF(A805="","",IFERROR(INDEX('Cluster Map'!$A$4:$A$38,MATCH(M805,'Cluster Map'!$B$4:$B$38,0)),"Unmapped"))</f>
        <v>Cluster 3</v>
      </c>
      <c r="O805" s="55">
        <f>IF(A805="",0,IF(COUNTIFS($A$2:A805,A805,$F$2:F805,F805,$L$2:L805,L805)=1,1,0))</f>
        <v>1</v>
      </c>
      <c r="P805" s="55">
        <f>IF(A805="",0,IF(AND(F805="C&amp;T",COUNTIFS($A$2:A805,A805,$F$2:F805,"C&amp;T")=1),1,0))</f>
        <v>0</v>
      </c>
    </row>
    <row r="806" spans="1:16" x14ac:dyDescent="0.35">
      <c r="A806" s="54">
        <f>IFERROR(IF(INDEX(SPOT_Import!$A$1:$Z$2488,806,'Live Data'!$C$12)="","",INDEX(SPOT_Import!$A$1:$Z$2488,806,'Live Data'!$C$12)),"")</f>
        <v>14553</v>
      </c>
      <c r="B806" s="54" t="str">
        <f>IFERROR(IF(INDEX(SPOT_Import!$A$1:$Z$2488,806,'Live Data'!$C$13)="","",INDEX(SPOT_Import!$A$1:$Z$2488,806,'Live Data'!$C$13)),"")</f>
        <v>Mother Angela Huruma Hospital</v>
      </c>
      <c r="C806" s="54" t="str">
        <f>IFERROR(IF(INDEX(SPOT_Import!$A$1:$Z$2488,806,'Live Data'!$C$14)="","",INDEX(SPOT_Import!$A$1:$Z$2488,806,'Live Data'!$C$14)),"")</f>
        <v>LAIKIPIA</v>
      </c>
      <c r="D806" s="54" t="str">
        <f>IFERROR(IF(INDEX(SPOT_Import!$A$1:$Z$2488,806,'Live Data'!$C$15)="","",INDEX(SPOT_Import!$A$1:$Z$2488,806,'Live Data'!$C$15)),"")</f>
        <v>Laikipia East</v>
      </c>
      <c r="E806" s="54" t="str">
        <f>IFERROR(IF(INDEX(SPOT_Import!$A$1:$Z$2488,806,'Live Data'!$C$16)="","",INDEX(SPOT_Import!$A$1:$Z$2488,806,'Live Data'!$C$16)),"")</f>
        <v>CHAK CHAP STAWISHA</v>
      </c>
      <c r="F806" s="54" t="str">
        <f>IFERROR(IF(INDEX(SPOT_Import!$A$1:$Z$2488,806,'Live Data'!$C$17)="","",INDEX(SPOT_Import!$A$1:$Z$2488,806,'Live Data'!$C$17)),"")</f>
        <v>HTS</v>
      </c>
      <c r="G806" s="54">
        <f>IFERROR(IF(INDEX(SPOT_Import!$A$1:$Z$2488,806,'Live Data'!$C$18)="","",INDEX(SPOT_Import!$A$1:$Z$2488,806,'Live Data'!$C$18)),"")</f>
        <v>13254</v>
      </c>
      <c r="H806" s="54">
        <f>IFERROR(IF(INDEX(SPOT_Import!$A$1:$Z$2488,806,'Live Data'!$C$19)="","",INDEX(SPOT_Import!$A$1:$Z$2488,806,'Live Data'!$C$19)),"")</f>
        <v>13254</v>
      </c>
      <c r="I806" s="54" t="str">
        <f>IFERROR(IF(INDEX(SPOT_Import!$A$1:$Z$2488,806,'Live Data'!$C$20)="","",INDEX(SPOT_Import!$A$1:$Z$2488,806,'Live Data'!$C$20)),"")</f>
        <v>Complete</v>
      </c>
      <c r="J806" s="54" t="str">
        <f>IFERROR(IF(INDEX(SPOT_Import!$A$1:$Z$2488,806,'Live Data'!$C$21)="","",INDEX(SPOT_Import!$A$1:$Z$2488,806,'Live Data'!$C$21)),"")</f>
        <v>2026-10-09T15:11:59.000Z</v>
      </c>
      <c r="K806" s="54" t="str">
        <f>IFERROR(IF(INDEX(SPOT_Import!$A$1:$Z$2488,806,'Live Data'!$C$22)="","",INDEX(SPOT_Import!$A$1:$Z$2488,806,'Live Data'!$C$22)),"")</f>
        <v>2026-10-09T15:11:59.000Z</v>
      </c>
      <c r="L806" s="55" t="str">
        <f t="shared" si="24"/>
        <v>2026-10</v>
      </c>
      <c r="M806" s="55" t="str">
        <f t="shared" si="25"/>
        <v>LAIKIPIA</v>
      </c>
      <c r="N806" s="55" t="str">
        <f>IF(A806="","",IFERROR(INDEX('Cluster Map'!$A$4:$A$38,MATCH(M806,'Cluster Map'!$B$4:$B$38,0)),"Unmapped"))</f>
        <v>Cluster 1</v>
      </c>
      <c r="O806" s="55">
        <f>IF(A806="",0,IF(COUNTIFS($A$2:A806,A806,$F$2:F806,F806,$L$2:L806,L806)=1,1,0))</f>
        <v>1</v>
      </c>
      <c r="P806" s="55">
        <f>IF(A806="",0,IF(AND(F806="C&amp;T",COUNTIFS($A$2:A806,A806,$F$2:F806,"C&amp;T")=1),1,0))</f>
        <v>0</v>
      </c>
    </row>
    <row r="807" spans="1:16" x14ac:dyDescent="0.35">
      <c r="A807" s="54">
        <f>IFERROR(IF(INDEX(SPOT_Import!$A$1:$Z$2488,807,'Live Data'!$C$12)="","",INDEX(SPOT_Import!$A$1:$Z$2488,807,'Live Data'!$C$12)),"")</f>
        <v>14553</v>
      </c>
      <c r="B807" s="54" t="str">
        <f>IFERROR(IF(INDEX(SPOT_Import!$A$1:$Z$2488,807,'Live Data'!$C$13)="","",INDEX(SPOT_Import!$A$1:$Z$2488,807,'Live Data'!$C$13)),"")</f>
        <v>Mother Angela Huruma Hospital</v>
      </c>
      <c r="C807" s="54" t="str">
        <f>IFERROR(IF(INDEX(SPOT_Import!$A$1:$Z$2488,807,'Live Data'!$C$14)="","",INDEX(SPOT_Import!$A$1:$Z$2488,807,'Live Data'!$C$14)),"")</f>
        <v>LAIKIPIA</v>
      </c>
      <c r="D807" s="54" t="str">
        <f>IFERROR(IF(INDEX(SPOT_Import!$A$1:$Z$2488,807,'Live Data'!$C$15)="","",INDEX(SPOT_Import!$A$1:$Z$2488,807,'Live Data'!$C$15)),"")</f>
        <v>Laikipia East</v>
      </c>
      <c r="E807" s="54" t="str">
        <f>IFERROR(IF(INDEX(SPOT_Import!$A$1:$Z$2488,807,'Live Data'!$C$16)="","",INDEX(SPOT_Import!$A$1:$Z$2488,807,'Live Data'!$C$16)),"")</f>
        <v>CHAK CHAP STAWISHA</v>
      </c>
      <c r="F807" s="54" t="str">
        <f>IFERROR(IF(INDEX(SPOT_Import!$A$1:$Z$2488,807,'Live Data'!$C$17)="","",INDEX(SPOT_Import!$A$1:$Z$2488,807,'Live Data'!$C$17)),"")</f>
        <v>MNCH</v>
      </c>
      <c r="G807" s="54">
        <f>IFERROR(IF(INDEX(SPOT_Import!$A$1:$Z$2488,807,'Live Data'!$C$18)="","",INDEX(SPOT_Import!$A$1:$Z$2488,807,'Live Data'!$C$18)),"")</f>
        <v>914</v>
      </c>
      <c r="H807" s="54" t="str">
        <f>IFERROR(IF(INDEX(SPOT_Import!$A$1:$Z$2488,807,'Live Data'!$C$19)="","",INDEX(SPOT_Import!$A$1:$Z$2488,807,'Live Data'!$C$19)),"")</f>
        <v/>
      </c>
      <c r="I807" s="54" t="str">
        <f>IFERROR(IF(INDEX(SPOT_Import!$A$1:$Z$2488,807,'Live Data'!$C$20)="","",INDEX(SPOT_Import!$A$1:$Z$2488,807,'Live Data'!$C$20)),"")</f>
        <v>Incomplete</v>
      </c>
      <c r="J807" s="54" t="str">
        <f>IFERROR(IF(INDEX(SPOT_Import!$A$1:$Z$2488,807,'Live Data'!$C$21)="","",INDEX(SPOT_Import!$A$1:$Z$2488,807,'Live Data'!$C$21)),"")</f>
        <v>2026-10-09T15:07:45.000Z</v>
      </c>
      <c r="K807" s="54" t="str">
        <f>IFERROR(IF(INDEX(SPOT_Import!$A$1:$Z$2488,807,'Live Data'!$C$22)="","",INDEX(SPOT_Import!$A$1:$Z$2488,807,'Live Data'!$C$22)),"")</f>
        <v>2026-10-09T15:07:45.000Z</v>
      </c>
      <c r="L807" s="55" t="str">
        <f t="shared" si="24"/>
        <v>2026-10</v>
      </c>
      <c r="M807" s="55" t="str">
        <f t="shared" si="25"/>
        <v>LAIKIPIA</v>
      </c>
      <c r="N807" s="55" t="str">
        <f>IF(A807="","",IFERROR(INDEX('Cluster Map'!$A$4:$A$38,MATCH(M807,'Cluster Map'!$B$4:$B$38,0)),"Unmapped"))</f>
        <v>Cluster 1</v>
      </c>
      <c r="O807" s="55">
        <f>IF(A807="",0,IF(COUNTIFS($A$2:A807,A807,$F$2:F807,F807,$L$2:L807,L807)=1,1,0))</f>
        <v>1</v>
      </c>
      <c r="P807" s="55">
        <f>IF(A807="",0,IF(AND(F807="C&amp;T",COUNTIFS($A$2:A807,A807,$F$2:F807,"C&amp;T")=1),1,0))</f>
        <v>0</v>
      </c>
    </row>
    <row r="808" spans="1:16" x14ac:dyDescent="0.35">
      <c r="A808" s="54">
        <f>IFERROR(IF(INDEX(SPOT_Import!$A$1:$Z$2488,808,'Live Data'!$C$12)="","",INDEX(SPOT_Import!$A$1:$Z$2488,808,'Live Data'!$C$12)),"")</f>
        <v>14553</v>
      </c>
      <c r="B808" s="54" t="str">
        <f>IFERROR(IF(INDEX(SPOT_Import!$A$1:$Z$2488,808,'Live Data'!$C$13)="","",INDEX(SPOT_Import!$A$1:$Z$2488,808,'Live Data'!$C$13)),"")</f>
        <v>Mother Angela Huruma Hospital</v>
      </c>
      <c r="C808" s="54" t="str">
        <f>IFERROR(IF(INDEX(SPOT_Import!$A$1:$Z$2488,808,'Live Data'!$C$14)="","",INDEX(SPOT_Import!$A$1:$Z$2488,808,'Live Data'!$C$14)),"")</f>
        <v>LAIKIPIA</v>
      </c>
      <c r="D808" s="54" t="str">
        <f>IFERROR(IF(INDEX(SPOT_Import!$A$1:$Z$2488,808,'Live Data'!$C$15)="","",INDEX(SPOT_Import!$A$1:$Z$2488,808,'Live Data'!$C$15)),"")</f>
        <v>Laikipia East</v>
      </c>
      <c r="E808" s="54" t="str">
        <f>IFERROR(IF(INDEX(SPOT_Import!$A$1:$Z$2488,808,'Live Data'!$C$16)="","",INDEX(SPOT_Import!$A$1:$Z$2488,808,'Live Data'!$C$16)),"")</f>
        <v>CHAK CHAP STAWISHA</v>
      </c>
      <c r="F808" s="54" t="str">
        <f>IFERROR(IF(INDEX(SPOT_Import!$A$1:$Z$2488,808,'Live Data'!$C$17)="","",INDEX(SPOT_Import!$A$1:$Z$2488,808,'Live Data'!$C$17)),"")</f>
        <v>PREP</v>
      </c>
      <c r="G808" s="54">
        <f>IFERROR(IF(INDEX(SPOT_Import!$A$1:$Z$2488,808,'Live Data'!$C$18)="","",INDEX(SPOT_Import!$A$1:$Z$2488,808,'Live Data'!$C$18)),"")</f>
        <v>1518</v>
      </c>
      <c r="H808" s="54" t="str">
        <f>IFERROR(IF(INDEX(SPOT_Import!$A$1:$Z$2488,808,'Live Data'!$C$19)="","",INDEX(SPOT_Import!$A$1:$Z$2488,808,'Live Data'!$C$19)),"")</f>
        <v/>
      </c>
      <c r="I808" s="54" t="str">
        <f>IFERROR(IF(INDEX(SPOT_Import!$A$1:$Z$2488,808,'Live Data'!$C$20)="","",INDEX(SPOT_Import!$A$1:$Z$2488,808,'Live Data'!$C$20)),"")</f>
        <v>Incomplete</v>
      </c>
      <c r="J808" s="54" t="str">
        <f>IFERROR(IF(INDEX(SPOT_Import!$A$1:$Z$2488,808,'Live Data'!$C$21)="","",INDEX(SPOT_Import!$A$1:$Z$2488,808,'Live Data'!$C$21)),"")</f>
        <v>2026-10-09T15:06:07.000Z</v>
      </c>
      <c r="K808" s="54" t="str">
        <f>IFERROR(IF(INDEX(SPOT_Import!$A$1:$Z$2488,808,'Live Data'!$C$22)="","",INDEX(SPOT_Import!$A$1:$Z$2488,808,'Live Data'!$C$22)),"")</f>
        <v>2026-10-09T15:06:07.000Z</v>
      </c>
      <c r="L808" s="55" t="str">
        <f t="shared" si="24"/>
        <v>2026-10</v>
      </c>
      <c r="M808" s="55" t="str">
        <f t="shared" si="25"/>
        <v>LAIKIPIA</v>
      </c>
      <c r="N808" s="55" t="str">
        <f>IF(A808="","",IFERROR(INDEX('Cluster Map'!$A$4:$A$38,MATCH(M808,'Cluster Map'!$B$4:$B$38,0)),"Unmapped"))</f>
        <v>Cluster 1</v>
      </c>
      <c r="O808" s="55">
        <f>IF(A808="",0,IF(COUNTIFS($A$2:A808,A808,$F$2:F808,F808,$L$2:L808,L808)=1,1,0))</f>
        <v>1</v>
      </c>
      <c r="P808" s="55">
        <f>IF(A808="",0,IF(AND(F808="C&amp;T",COUNTIFS($A$2:A808,A808,$F$2:F808,"C&amp;T")=1),1,0))</f>
        <v>0</v>
      </c>
    </row>
    <row r="809" spans="1:16" x14ac:dyDescent="0.35">
      <c r="A809" s="54">
        <f>IFERROR(IF(INDEX(SPOT_Import!$A$1:$Z$2488,809,'Live Data'!$C$12)="","",INDEX(SPOT_Import!$A$1:$Z$2488,809,'Live Data'!$C$12)),"")</f>
        <v>14553</v>
      </c>
      <c r="B809" s="54" t="str">
        <f>IFERROR(IF(INDEX(SPOT_Import!$A$1:$Z$2488,809,'Live Data'!$C$13)="","",INDEX(SPOT_Import!$A$1:$Z$2488,809,'Live Data'!$C$13)),"")</f>
        <v>Huruma Health Centre (Laikipia East)</v>
      </c>
      <c r="C809" s="54" t="str">
        <f>IFERROR(IF(INDEX(SPOT_Import!$A$1:$Z$2488,809,'Live Data'!$C$14)="","",INDEX(SPOT_Import!$A$1:$Z$2488,809,'Live Data'!$C$14)),"")</f>
        <v>LAIKIPIA</v>
      </c>
      <c r="D809" s="54" t="str">
        <f>IFERROR(IF(INDEX(SPOT_Import!$A$1:$Z$2488,809,'Live Data'!$C$15)="","",INDEX(SPOT_Import!$A$1:$Z$2488,809,'Live Data'!$C$15)),"")</f>
        <v>Laikipia East</v>
      </c>
      <c r="E809" s="54" t="str">
        <f>IFERROR(IF(INDEX(SPOT_Import!$A$1:$Z$2488,809,'Live Data'!$C$16)="","",INDEX(SPOT_Import!$A$1:$Z$2488,809,'Live Data'!$C$16)),"")</f>
        <v>CHAK CHAP STAWISHA</v>
      </c>
      <c r="F809" s="54" t="str">
        <f>IFERROR(IF(INDEX(SPOT_Import!$A$1:$Z$2488,809,'Live Data'!$C$17)="","",INDEX(SPOT_Import!$A$1:$Z$2488,809,'Live Data'!$C$17)),"")</f>
        <v>C&amp;T</v>
      </c>
      <c r="G809" s="54">
        <f>IFERROR(IF(INDEX(SPOT_Import!$A$1:$Z$2488,809,'Live Data'!$C$18)="","",INDEX(SPOT_Import!$A$1:$Z$2488,809,'Live Data'!$C$18)),"")</f>
        <v>1528</v>
      </c>
      <c r="H809" s="54">
        <f>IFERROR(IF(INDEX(SPOT_Import!$A$1:$Z$2488,809,'Live Data'!$C$19)="","",INDEX(SPOT_Import!$A$1:$Z$2488,809,'Live Data'!$C$19)),"")</f>
        <v>1528</v>
      </c>
      <c r="I809" s="54" t="str">
        <f>IFERROR(IF(INDEX(SPOT_Import!$A$1:$Z$2488,809,'Live Data'!$C$20)="","",INDEX(SPOT_Import!$A$1:$Z$2488,809,'Live Data'!$C$20)),"")</f>
        <v>Complete</v>
      </c>
      <c r="J809" s="54" t="str">
        <f>IFERROR(IF(INDEX(SPOT_Import!$A$1:$Z$2488,809,'Live Data'!$C$21)="","",INDEX(SPOT_Import!$A$1:$Z$2488,809,'Live Data'!$C$21)),"")</f>
        <v>2026-10-09T14:56:01.000Z</v>
      </c>
      <c r="K809" s="54" t="str">
        <f>IFERROR(IF(INDEX(SPOT_Import!$A$1:$Z$2488,809,'Live Data'!$C$22)="","",INDEX(SPOT_Import!$A$1:$Z$2488,809,'Live Data'!$C$22)),"")</f>
        <v>2026-10-09T14:56:01.000Z</v>
      </c>
      <c r="L809" s="55" t="str">
        <f t="shared" si="24"/>
        <v>2026-10</v>
      </c>
      <c r="M809" s="55" t="str">
        <f t="shared" si="25"/>
        <v>LAIKIPIA</v>
      </c>
      <c r="N809" s="55" t="str">
        <f>IF(A809="","",IFERROR(INDEX('Cluster Map'!$A$4:$A$38,MATCH(M809,'Cluster Map'!$B$4:$B$38,0)),"Unmapped"))</f>
        <v>Cluster 1</v>
      </c>
      <c r="O809" s="55">
        <f>IF(A809="",0,IF(COUNTIFS($A$2:A809,A809,$F$2:F809,F809,$L$2:L809,L809)=1,1,0))</f>
        <v>1</v>
      </c>
      <c r="P809" s="55">
        <f>IF(A809="",0,IF(AND(F809="C&amp;T",COUNTIFS($A$2:A809,A809,$F$2:F809,"C&amp;T")=1),1,0))</f>
        <v>1</v>
      </c>
    </row>
    <row r="810" spans="1:16" x14ac:dyDescent="0.35">
      <c r="A810" s="54">
        <f>IFERROR(IF(INDEX(SPOT_Import!$A$1:$Z$2488,810,'Live Data'!$C$12)="","",INDEX(SPOT_Import!$A$1:$Z$2488,810,'Live Data'!$C$12)),"")</f>
        <v>17490</v>
      </c>
      <c r="B810" s="54" t="str">
        <f>IFERROR(IF(INDEX(SPOT_Import!$A$1:$Z$2488,810,'Live Data'!$C$13)="","",INDEX(SPOT_Import!$A$1:$Z$2488,810,'Live Data'!$C$13)),"")</f>
        <v>Nazareth Hospital (Ruiru)</v>
      </c>
      <c r="C810" s="54" t="str">
        <f>IFERROR(IF(INDEX(SPOT_Import!$A$1:$Z$2488,810,'Live Data'!$C$14)="","",INDEX(SPOT_Import!$A$1:$Z$2488,810,'Live Data'!$C$14)),"")</f>
        <v>KIAMBU</v>
      </c>
      <c r="D810" s="54" t="str">
        <f>IFERROR(IF(INDEX(SPOT_Import!$A$1:$Z$2488,810,'Live Data'!$C$15)="","",INDEX(SPOT_Import!$A$1:$Z$2488,810,'Live Data'!$C$15)),"")</f>
        <v>Ruiru</v>
      </c>
      <c r="E810" s="54" t="str">
        <f>IFERROR(IF(INDEX(SPOT_Import!$A$1:$Z$2488,810,'Live Data'!$C$16)="","",INDEX(SPOT_Import!$A$1:$Z$2488,810,'Live Data'!$C$16)),"")</f>
        <v>CHAK CHAP STAWISHA</v>
      </c>
      <c r="F810" s="54" t="str">
        <f>IFERROR(IF(INDEX(SPOT_Import!$A$1:$Z$2488,810,'Live Data'!$C$17)="","",INDEX(SPOT_Import!$A$1:$Z$2488,810,'Live Data'!$C$17)),"")</f>
        <v>PREP</v>
      </c>
      <c r="G810" s="54">
        <f>IFERROR(IF(INDEX(SPOT_Import!$A$1:$Z$2488,810,'Live Data'!$C$18)="","",INDEX(SPOT_Import!$A$1:$Z$2488,810,'Live Data'!$C$18)),"")</f>
        <v>432</v>
      </c>
      <c r="H810" s="54">
        <f>IFERROR(IF(INDEX(SPOT_Import!$A$1:$Z$2488,810,'Live Data'!$C$19)="","",INDEX(SPOT_Import!$A$1:$Z$2488,810,'Live Data'!$C$19)),"")</f>
        <v>432</v>
      </c>
      <c r="I810" s="54" t="str">
        <f>IFERROR(IF(INDEX(SPOT_Import!$A$1:$Z$2488,810,'Live Data'!$C$20)="","",INDEX(SPOT_Import!$A$1:$Z$2488,810,'Live Data'!$C$20)),"")</f>
        <v>Complete</v>
      </c>
      <c r="J810" s="54" t="str">
        <f>IFERROR(IF(INDEX(SPOT_Import!$A$1:$Z$2488,810,'Live Data'!$C$21)="","",INDEX(SPOT_Import!$A$1:$Z$2488,810,'Live Data'!$C$21)),"")</f>
        <v>2026-10-09T13:12:14.000Z</v>
      </c>
      <c r="K810" s="54" t="str">
        <f>IFERROR(IF(INDEX(SPOT_Import!$A$1:$Z$2488,810,'Live Data'!$C$22)="","",INDEX(SPOT_Import!$A$1:$Z$2488,810,'Live Data'!$C$22)),"")</f>
        <v>2026-10-09T13:12:14.000Z</v>
      </c>
      <c r="L810" s="55" t="str">
        <f t="shared" si="24"/>
        <v>2026-10</v>
      </c>
      <c r="M810" s="55" t="str">
        <f t="shared" si="25"/>
        <v>KIAMBU</v>
      </c>
      <c r="N810" s="55" t="str">
        <f>IF(A810="","",IFERROR(INDEX('Cluster Map'!$A$4:$A$38,MATCH(M810,'Cluster Map'!$B$4:$B$38,0)),"Unmapped"))</f>
        <v>Cluster 3</v>
      </c>
      <c r="O810" s="55">
        <f>IF(A810="",0,IF(COUNTIFS($A$2:A810,A810,$F$2:F810,F810,$L$2:L810,L810)=1,1,0))</f>
        <v>1</v>
      </c>
      <c r="P810" s="55">
        <f>IF(A810="",0,IF(AND(F810="C&amp;T",COUNTIFS($A$2:A810,A810,$F$2:F810,"C&amp;T")=1),1,0))</f>
        <v>0</v>
      </c>
    </row>
    <row r="811" spans="1:16" x14ac:dyDescent="0.35">
      <c r="A811" s="54">
        <f>IFERROR(IF(INDEX(SPOT_Import!$A$1:$Z$2488,811,'Live Data'!$C$12)="","",INDEX(SPOT_Import!$A$1:$Z$2488,811,'Live Data'!$C$12)),"")</f>
        <v>10603</v>
      </c>
      <c r="B811" s="54" t="str">
        <f>IFERROR(IF(INDEX(SPOT_Import!$A$1:$Z$2488,811,'Live Data'!$C$13)="","",INDEX(SPOT_Import!$A$1:$Z$2488,811,'Live Data'!$C$13)),"")</f>
        <v>Kikuyu (PCEA) Hospital</v>
      </c>
      <c r="C811" s="54" t="str">
        <f>IFERROR(IF(INDEX(SPOT_Import!$A$1:$Z$2488,811,'Live Data'!$C$14)="","",INDEX(SPOT_Import!$A$1:$Z$2488,811,'Live Data'!$C$14)),"")</f>
        <v>KIAMBU</v>
      </c>
      <c r="D811" s="54" t="str">
        <f>IFERROR(IF(INDEX(SPOT_Import!$A$1:$Z$2488,811,'Live Data'!$C$15)="","",INDEX(SPOT_Import!$A$1:$Z$2488,811,'Live Data'!$C$15)),"")</f>
        <v>Kikuyu</v>
      </c>
      <c r="E811" s="54" t="str">
        <f>IFERROR(IF(INDEX(SPOT_Import!$A$1:$Z$2488,811,'Live Data'!$C$16)="","",INDEX(SPOT_Import!$A$1:$Z$2488,811,'Live Data'!$C$16)),"")</f>
        <v>CHAK CHAP STAWISHA</v>
      </c>
      <c r="F811" s="54" t="str">
        <f>IFERROR(IF(INDEX(SPOT_Import!$A$1:$Z$2488,811,'Live Data'!$C$17)="","",INDEX(SPOT_Import!$A$1:$Z$2488,811,'Live Data'!$C$17)),"")</f>
        <v>C&amp;T</v>
      </c>
      <c r="G811" s="54">
        <f>IFERROR(IF(INDEX(SPOT_Import!$A$1:$Z$2488,811,'Live Data'!$C$18)="","",INDEX(SPOT_Import!$A$1:$Z$2488,811,'Live Data'!$C$18)),"")</f>
        <v>6851</v>
      </c>
      <c r="H811" s="54">
        <f>IFERROR(IF(INDEX(SPOT_Import!$A$1:$Z$2488,811,'Live Data'!$C$19)="","",INDEX(SPOT_Import!$A$1:$Z$2488,811,'Live Data'!$C$19)),"")</f>
        <v>6851</v>
      </c>
      <c r="I811" s="54" t="str">
        <f>IFERROR(IF(INDEX(SPOT_Import!$A$1:$Z$2488,811,'Live Data'!$C$20)="","",INDEX(SPOT_Import!$A$1:$Z$2488,811,'Live Data'!$C$20)),"")</f>
        <v>Complete</v>
      </c>
      <c r="J811" s="54" t="str">
        <f>IFERROR(IF(INDEX(SPOT_Import!$A$1:$Z$2488,811,'Live Data'!$C$21)="","",INDEX(SPOT_Import!$A$1:$Z$2488,811,'Live Data'!$C$21)),"")</f>
        <v>2026-10-09T11:45:58.000Z</v>
      </c>
      <c r="K811" s="54" t="str">
        <f>IFERROR(IF(INDEX(SPOT_Import!$A$1:$Z$2488,811,'Live Data'!$C$22)="","",INDEX(SPOT_Import!$A$1:$Z$2488,811,'Live Data'!$C$22)),"")</f>
        <v>2026-10-09T11:45:58.000Z</v>
      </c>
      <c r="L811" s="55" t="str">
        <f t="shared" si="24"/>
        <v>2026-10</v>
      </c>
      <c r="M811" s="55" t="str">
        <f t="shared" si="25"/>
        <v>KIAMBU</v>
      </c>
      <c r="N811" s="55" t="str">
        <f>IF(A811="","",IFERROR(INDEX('Cluster Map'!$A$4:$A$38,MATCH(M811,'Cluster Map'!$B$4:$B$38,0)),"Unmapped"))</f>
        <v>Cluster 3</v>
      </c>
      <c r="O811" s="55">
        <f>IF(A811="",0,IF(COUNTIFS($A$2:A811,A811,$F$2:F811,F811,$L$2:L811,L811)=1,1,0))</f>
        <v>1</v>
      </c>
      <c r="P811" s="55">
        <f>IF(A811="",0,IF(AND(F811="C&amp;T",COUNTIFS($A$2:A811,A811,$F$2:F811,"C&amp;T")=1),1,0))</f>
        <v>1</v>
      </c>
    </row>
    <row r="812" spans="1:16" x14ac:dyDescent="0.35">
      <c r="A812" s="54">
        <f>IFERROR(IF(INDEX(SPOT_Import!$A$1:$Z$2488,812,'Live Data'!$C$12)="","",INDEX(SPOT_Import!$A$1:$Z$2488,812,'Live Data'!$C$12)),"")</f>
        <v>10603</v>
      </c>
      <c r="B812" s="54" t="str">
        <f>IFERROR(IF(INDEX(SPOT_Import!$A$1:$Z$2488,812,'Live Data'!$C$13)="","",INDEX(SPOT_Import!$A$1:$Z$2488,812,'Live Data'!$C$13)),"")</f>
        <v>Kikuyu (PCEA) Hospital</v>
      </c>
      <c r="C812" s="54" t="str">
        <f>IFERROR(IF(INDEX(SPOT_Import!$A$1:$Z$2488,812,'Live Data'!$C$14)="","",INDEX(SPOT_Import!$A$1:$Z$2488,812,'Live Data'!$C$14)),"")</f>
        <v>KIAMBU</v>
      </c>
      <c r="D812" s="54" t="str">
        <f>IFERROR(IF(INDEX(SPOT_Import!$A$1:$Z$2488,812,'Live Data'!$C$15)="","",INDEX(SPOT_Import!$A$1:$Z$2488,812,'Live Data'!$C$15)),"")</f>
        <v>Kikuyu</v>
      </c>
      <c r="E812" s="54" t="str">
        <f>IFERROR(IF(INDEX(SPOT_Import!$A$1:$Z$2488,812,'Live Data'!$C$16)="","",INDEX(SPOT_Import!$A$1:$Z$2488,812,'Live Data'!$C$16)),"")</f>
        <v>CHAK CHAP STAWISHA</v>
      </c>
      <c r="F812" s="54" t="str">
        <f>IFERROR(IF(INDEX(SPOT_Import!$A$1:$Z$2488,812,'Live Data'!$C$17)="","",INDEX(SPOT_Import!$A$1:$Z$2488,812,'Live Data'!$C$17)),"")</f>
        <v>HTS</v>
      </c>
      <c r="G812" s="54">
        <f>IFERROR(IF(INDEX(SPOT_Import!$A$1:$Z$2488,812,'Live Data'!$C$18)="","",INDEX(SPOT_Import!$A$1:$Z$2488,812,'Live Data'!$C$18)),"")</f>
        <v>14469</v>
      </c>
      <c r="H812" s="54">
        <f>IFERROR(IF(INDEX(SPOT_Import!$A$1:$Z$2488,812,'Live Data'!$C$19)="","",INDEX(SPOT_Import!$A$1:$Z$2488,812,'Live Data'!$C$19)),"")</f>
        <v>14469</v>
      </c>
      <c r="I812" s="54" t="str">
        <f>IFERROR(IF(INDEX(SPOT_Import!$A$1:$Z$2488,812,'Live Data'!$C$20)="","",INDEX(SPOT_Import!$A$1:$Z$2488,812,'Live Data'!$C$20)),"")</f>
        <v>Complete</v>
      </c>
      <c r="J812" s="54" t="str">
        <f>IFERROR(IF(INDEX(SPOT_Import!$A$1:$Z$2488,812,'Live Data'!$C$21)="","",INDEX(SPOT_Import!$A$1:$Z$2488,812,'Live Data'!$C$21)),"")</f>
        <v>2026-10-09T11:24:36.000Z</v>
      </c>
      <c r="K812" s="54" t="str">
        <f>IFERROR(IF(INDEX(SPOT_Import!$A$1:$Z$2488,812,'Live Data'!$C$22)="","",INDEX(SPOT_Import!$A$1:$Z$2488,812,'Live Data'!$C$22)),"")</f>
        <v>2026-10-09T11:24:36.000Z</v>
      </c>
      <c r="L812" s="55" t="str">
        <f t="shared" si="24"/>
        <v>2026-10</v>
      </c>
      <c r="M812" s="55" t="str">
        <f t="shared" si="25"/>
        <v>KIAMBU</v>
      </c>
      <c r="N812" s="55" t="str">
        <f>IF(A812="","",IFERROR(INDEX('Cluster Map'!$A$4:$A$38,MATCH(M812,'Cluster Map'!$B$4:$B$38,0)),"Unmapped"))</f>
        <v>Cluster 3</v>
      </c>
      <c r="O812" s="55">
        <f>IF(A812="",0,IF(COUNTIFS($A$2:A812,A812,$F$2:F812,F812,$L$2:L812,L812)=1,1,0))</f>
        <v>1</v>
      </c>
      <c r="P812" s="55">
        <f>IF(A812="",0,IF(AND(F812="C&amp;T",COUNTIFS($A$2:A812,A812,$F$2:F812,"C&amp;T")=1),1,0))</f>
        <v>0</v>
      </c>
    </row>
    <row r="813" spans="1:16" x14ac:dyDescent="0.35">
      <c r="A813" s="54">
        <f>IFERROR(IF(INDEX(SPOT_Import!$A$1:$Z$2488,813,'Live Data'!$C$12)="","",INDEX(SPOT_Import!$A$1:$Z$2488,813,'Live Data'!$C$12)),"")</f>
        <v>10603</v>
      </c>
      <c r="B813" s="54" t="str">
        <f>IFERROR(IF(INDEX(SPOT_Import!$A$1:$Z$2488,813,'Live Data'!$C$13)="","",INDEX(SPOT_Import!$A$1:$Z$2488,813,'Live Data'!$C$13)),"")</f>
        <v>Kikuyu (PCEA) Hospital</v>
      </c>
      <c r="C813" s="54" t="str">
        <f>IFERROR(IF(INDEX(SPOT_Import!$A$1:$Z$2488,813,'Live Data'!$C$14)="","",INDEX(SPOT_Import!$A$1:$Z$2488,813,'Live Data'!$C$14)),"")</f>
        <v>KIAMBU</v>
      </c>
      <c r="D813" s="54" t="str">
        <f>IFERROR(IF(INDEX(SPOT_Import!$A$1:$Z$2488,813,'Live Data'!$C$15)="","",INDEX(SPOT_Import!$A$1:$Z$2488,813,'Live Data'!$C$15)),"")</f>
        <v>Kikuyu</v>
      </c>
      <c r="E813" s="54" t="str">
        <f>IFERROR(IF(INDEX(SPOT_Import!$A$1:$Z$2488,813,'Live Data'!$C$16)="","",INDEX(SPOT_Import!$A$1:$Z$2488,813,'Live Data'!$C$16)),"")</f>
        <v>CHAK CHAP STAWISHA</v>
      </c>
      <c r="F813" s="54" t="str">
        <f>IFERROR(IF(INDEX(SPOT_Import!$A$1:$Z$2488,813,'Live Data'!$C$17)="","",INDEX(SPOT_Import!$A$1:$Z$2488,813,'Live Data'!$C$17)),"")</f>
        <v>PREP</v>
      </c>
      <c r="G813" s="54">
        <f>IFERROR(IF(INDEX(SPOT_Import!$A$1:$Z$2488,813,'Live Data'!$C$18)="","",INDEX(SPOT_Import!$A$1:$Z$2488,813,'Live Data'!$C$18)),"")</f>
        <v>1457</v>
      </c>
      <c r="H813" s="54">
        <f>IFERROR(IF(INDEX(SPOT_Import!$A$1:$Z$2488,813,'Live Data'!$C$19)="","",INDEX(SPOT_Import!$A$1:$Z$2488,813,'Live Data'!$C$19)),"")</f>
        <v>1400</v>
      </c>
      <c r="I813" s="54" t="str">
        <f>IFERROR(IF(INDEX(SPOT_Import!$A$1:$Z$2488,813,'Live Data'!$C$20)="","",INDEX(SPOT_Import!$A$1:$Z$2488,813,'Live Data'!$C$20)),"")</f>
        <v>Incomplete</v>
      </c>
      <c r="J813" s="54" t="str">
        <f>IFERROR(IF(INDEX(SPOT_Import!$A$1:$Z$2488,813,'Live Data'!$C$21)="","",INDEX(SPOT_Import!$A$1:$Z$2488,813,'Live Data'!$C$21)),"")</f>
        <v>2026-10-09T11:22:30.000Z</v>
      </c>
      <c r="K813" s="54" t="str">
        <f>IFERROR(IF(INDEX(SPOT_Import!$A$1:$Z$2488,813,'Live Data'!$C$22)="","",INDEX(SPOT_Import!$A$1:$Z$2488,813,'Live Data'!$C$22)),"")</f>
        <v>2026-10-09T11:22:30.000Z</v>
      </c>
      <c r="L813" s="55" t="str">
        <f t="shared" si="24"/>
        <v>2026-10</v>
      </c>
      <c r="M813" s="55" t="str">
        <f t="shared" si="25"/>
        <v>KIAMBU</v>
      </c>
      <c r="N813" s="55" t="str">
        <f>IF(A813="","",IFERROR(INDEX('Cluster Map'!$A$4:$A$38,MATCH(M813,'Cluster Map'!$B$4:$B$38,0)),"Unmapped"))</f>
        <v>Cluster 3</v>
      </c>
      <c r="O813" s="55">
        <f>IF(A813="",0,IF(COUNTIFS($A$2:A813,A813,$F$2:F813,F813,$L$2:L813,L813)=1,1,0))</f>
        <v>1</v>
      </c>
      <c r="P813" s="55">
        <f>IF(A813="",0,IF(AND(F813="C&amp;T",COUNTIFS($A$2:A813,A813,$F$2:F813,"C&amp;T")=1),1,0))</f>
        <v>0</v>
      </c>
    </row>
    <row r="814" spans="1:16" x14ac:dyDescent="0.35">
      <c r="A814" s="54">
        <f>IFERROR(IF(INDEX(SPOT_Import!$A$1:$Z$2488,814,'Live Data'!$C$12)="","",INDEX(SPOT_Import!$A$1:$Z$2488,814,'Live Data'!$C$12)),"")</f>
        <v>19963</v>
      </c>
      <c r="B814" s="54" t="str">
        <f>IFERROR(IF(INDEX(SPOT_Import!$A$1:$Z$2488,814,'Live Data'!$C$13)="","",INDEX(SPOT_Import!$A$1:$Z$2488,814,'Live Data'!$C$13)),"")</f>
        <v>Holy Family Mission Hospital Githunguri</v>
      </c>
      <c r="C814" s="54" t="str">
        <f>IFERROR(IF(INDEX(SPOT_Import!$A$1:$Z$2488,814,'Live Data'!$C$14)="","",INDEX(SPOT_Import!$A$1:$Z$2488,814,'Live Data'!$C$14)),"")</f>
        <v>KIAMBU</v>
      </c>
      <c r="D814" s="54" t="str">
        <f>IFERROR(IF(INDEX(SPOT_Import!$A$1:$Z$2488,814,'Live Data'!$C$15)="","",INDEX(SPOT_Import!$A$1:$Z$2488,814,'Live Data'!$C$15)),"")</f>
        <v>Githunguri</v>
      </c>
      <c r="E814" s="54" t="str">
        <f>IFERROR(IF(INDEX(SPOT_Import!$A$1:$Z$2488,814,'Live Data'!$C$16)="","",INDEX(SPOT_Import!$A$1:$Z$2488,814,'Live Data'!$C$16)),"")</f>
        <v>CHAK CHAP STAWISHA</v>
      </c>
      <c r="F814" s="54" t="str">
        <f>IFERROR(IF(INDEX(SPOT_Import!$A$1:$Z$2488,814,'Live Data'!$C$17)="","",INDEX(SPOT_Import!$A$1:$Z$2488,814,'Live Data'!$C$17)),"")</f>
        <v>C&amp;T</v>
      </c>
      <c r="G814" s="54">
        <f>IFERROR(IF(INDEX(SPOT_Import!$A$1:$Z$2488,814,'Live Data'!$C$18)="","",INDEX(SPOT_Import!$A$1:$Z$2488,814,'Live Data'!$C$18)),"")</f>
        <v>1589</v>
      </c>
      <c r="H814" s="54">
        <f>IFERROR(IF(INDEX(SPOT_Import!$A$1:$Z$2488,814,'Live Data'!$C$19)="","",INDEX(SPOT_Import!$A$1:$Z$2488,814,'Live Data'!$C$19)),"")</f>
        <v>1589</v>
      </c>
      <c r="I814" s="54" t="str">
        <f>IFERROR(IF(INDEX(SPOT_Import!$A$1:$Z$2488,814,'Live Data'!$C$20)="","",INDEX(SPOT_Import!$A$1:$Z$2488,814,'Live Data'!$C$20)),"")</f>
        <v>Complete</v>
      </c>
      <c r="J814" s="54" t="str">
        <f>IFERROR(IF(INDEX(SPOT_Import!$A$1:$Z$2488,814,'Live Data'!$C$21)="","",INDEX(SPOT_Import!$A$1:$Z$2488,814,'Live Data'!$C$21)),"")</f>
        <v>2026-10-09T08:59:51.000Z</v>
      </c>
      <c r="K814" s="54" t="str">
        <f>IFERROR(IF(INDEX(SPOT_Import!$A$1:$Z$2488,814,'Live Data'!$C$22)="","",INDEX(SPOT_Import!$A$1:$Z$2488,814,'Live Data'!$C$22)),"")</f>
        <v>2026-10-09T08:59:51.000Z</v>
      </c>
      <c r="L814" s="55" t="str">
        <f t="shared" si="24"/>
        <v>2026-10</v>
      </c>
      <c r="M814" s="55" t="str">
        <f t="shared" si="25"/>
        <v>KIAMBU</v>
      </c>
      <c r="N814" s="55" t="str">
        <f>IF(A814="","",IFERROR(INDEX('Cluster Map'!$A$4:$A$38,MATCH(M814,'Cluster Map'!$B$4:$B$38,0)),"Unmapped"))</f>
        <v>Cluster 3</v>
      </c>
      <c r="O814" s="55">
        <f>IF(A814="",0,IF(COUNTIFS($A$2:A814,A814,$F$2:F814,F814,$L$2:L814,L814)=1,1,0))</f>
        <v>1</v>
      </c>
      <c r="P814" s="55">
        <f>IF(A814="",0,IF(AND(F814="C&amp;T",COUNTIFS($A$2:A814,A814,$F$2:F814,"C&amp;T")=1),1,0))</f>
        <v>1</v>
      </c>
    </row>
    <row r="815" spans="1:16" x14ac:dyDescent="0.35">
      <c r="A815" s="54">
        <f>IFERROR(IF(INDEX(SPOT_Import!$A$1:$Z$2488,815,'Live Data'!$C$12)="","",INDEX(SPOT_Import!$A$1:$Z$2488,815,'Live Data'!$C$12)),"")</f>
        <v>19963</v>
      </c>
      <c r="B815" s="54" t="str">
        <f>IFERROR(IF(INDEX(SPOT_Import!$A$1:$Z$2488,815,'Live Data'!$C$13)="","",INDEX(SPOT_Import!$A$1:$Z$2488,815,'Live Data'!$C$13)),"")</f>
        <v>Holy family Catholic Hospital (Githunguri)</v>
      </c>
      <c r="C815" s="54" t="str">
        <f>IFERROR(IF(INDEX(SPOT_Import!$A$1:$Z$2488,815,'Live Data'!$C$14)="","",INDEX(SPOT_Import!$A$1:$Z$2488,815,'Live Data'!$C$14)),"")</f>
        <v>KIAMBU</v>
      </c>
      <c r="D815" s="54" t="str">
        <f>IFERROR(IF(INDEX(SPOT_Import!$A$1:$Z$2488,815,'Live Data'!$C$15)="","",INDEX(SPOT_Import!$A$1:$Z$2488,815,'Live Data'!$C$15)),"")</f>
        <v>Githunguri</v>
      </c>
      <c r="E815" s="54" t="str">
        <f>IFERROR(IF(INDEX(SPOT_Import!$A$1:$Z$2488,815,'Live Data'!$C$16)="","",INDEX(SPOT_Import!$A$1:$Z$2488,815,'Live Data'!$C$16)),"")</f>
        <v>CHAK CHAP STAWISHA</v>
      </c>
      <c r="F815" s="54" t="str">
        <f>IFERROR(IF(INDEX(SPOT_Import!$A$1:$Z$2488,815,'Live Data'!$C$17)="","",INDEX(SPOT_Import!$A$1:$Z$2488,815,'Live Data'!$C$17)),"")</f>
        <v>MNCH</v>
      </c>
      <c r="G815" s="54">
        <f>IFERROR(IF(INDEX(SPOT_Import!$A$1:$Z$2488,815,'Live Data'!$C$18)="","",INDEX(SPOT_Import!$A$1:$Z$2488,815,'Live Data'!$C$18)),"")</f>
        <v>70</v>
      </c>
      <c r="H815" s="54">
        <f>IFERROR(IF(INDEX(SPOT_Import!$A$1:$Z$2488,815,'Live Data'!$C$19)="","",INDEX(SPOT_Import!$A$1:$Z$2488,815,'Live Data'!$C$19)),"")</f>
        <v>70</v>
      </c>
      <c r="I815" s="54" t="str">
        <f>IFERROR(IF(INDEX(SPOT_Import!$A$1:$Z$2488,815,'Live Data'!$C$20)="","",INDEX(SPOT_Import!$A$1:$Z$2488,815,'Live Data'!$C$20)),"")</f>
        <v>Complete</v>
      </c>
      <c r="J815" s="54" t="str">
        <f>IFERROR(IF(INDEX(SPOT_Import!$A$1:$Z$2488,815,'Live Data'!$C$21)="","",INDEX(SPOT_Import!$A$1:$Z$2488,815,'Live Data'!$C$21)),"")</f>
        <v>2026-10-09T08:54:23.000Z</v>
      </c>
      <c r="K815" s="54" t="str">
        <f>IFERROR(IF(INDEX(SPOT_Import!$A$1:$Z$2488,815,'Live Data'!$C$22)="","",INDEX(SPOT_Import!$A$1:$Z$2488,815,'Live Data'!$C$22)),"")</f>
        <v>2026-10-09T08:54:23.000Z</v>
      </c>
      <c r="L815" s="55" t="str">
        <f t="shared" si="24"/>
        <v>2026-10</v>
      </c>
      <c r="M815" s="55" t="str">
        <f t="shared" si="25"/>
        <v>KIAMBU</v>
      </c>
      <c r="N815" s="55" t="str">
        <f>IF(A815="","",IFERROR(INDEX('Cluster Map'!$A$4:$A$38,MATCH(M815,'Cluster Map'!$B$4:$B$38,0)),"Unmapped"))</f>
        <v>Cluster 3</v>
      </c>
      <c r="O815" s="55">
        <f>IF(A815="",0,IF(COUNTIFS($A$2:A815,A815,$F$2:F815,F815,$L$2:L815,L815)=1,1,0))</f>
        <v>0</v>
      </c>
      <c r="P815" s="55">
        <f>IF(A815="",0,IF(AND(F815="C&amp;T",COUNTIFS($A$2:A815,A815,$F$2:F815,"C&amp;T")=1),1,0))</f>
        <v>0</v>
      </c>
    </row>
    <row r="816" spans="1:16" x14ac:dyDescent="0.35">
      <c r="A816" s="54">
        <f>IFERROR(IF(INDEX(SPOT_Import!$A$1:$Z$2488,816,'Live Data'!$C$12)="","",INDEX(SPOT_Import!$A$1:$Z$2488,816,'Live Data'!$C$12)),"")</f>
        <v>10267</v>
      </c>
      <c r="B816" s="54" t="str">
        <f>IFERROR(IF(INDEX(SPOT_Import!$A$1:$Z$2488,816,'Live Data'!$C$13)="","",INDEX(SPOT_Import!$A$1:$Z$2488,816,'Live Data'!$C$13)),"")</f>
        <v>Githumu Hospital</v>
      </c>
      <c r="C816" s="54" t="str">
        <f>IFERROR(IF(INDEX(SPOT_Import!$A$1:$Z$2488,816,'Live Data'!$C$14)="","",INDEX(SPOT_Import!$A$1:$Z$2488,816,'Live Data'!$C$14)),"")</f>
        <v>MURANG'A</v>
      </c>
      <c r="D816" s="54" t="str">
        <f>IFERROR(IF(INDEX(SPOT_Import!$A$1:$Z$2488,816,'Live Data'!$C$15)="","",INDEX(SPOT_Import!$A$1:$Z$2488,816,'Live Data'!$C$15)),"")</f>
        <v>Kandara</v>
      </c>
      <c r="E816" s="54" t="str">
        <f>IFERROR(IF(INDEX(SPOT_Import!$A$1:$Z$2488,816,'Live Data'!$C$16)="","",INDEX(SPOT_Import!$A$1:$Z$2488,816,'Live Data'!$C$16)),"")</f>
        <v>CHAK CHAP STAWISHA</v>
      </c>
      <c r="F816" s="54" t="str">
        <f>IFERROR(IF(INDEX(SPOT_Import!$A$1:$Z$2488,816,'Live Data'!$C$17)="","",INDEX(SPOT_Import!$A$1:$Z$2488,816,'Live Data'!$C$17)),"")</f>
        <v>HTS</v>
      </c>
      <c r="G816" s="54">
        <f>IFERROR(IF(INDEX(SPOT_Import!$A$1:$Z$2488,816,'Live Data'!$C$18)="","",INDEX(SPOT_Import!$A$1:$Z$2488,816,'Live Data'!$C$18)),"")</f>
        <v>9076</v>
      </c>
      <c r="H816" s="54">
        <f>IFERROR(IF(INDEX(SPOT_Import!$A$1:$Z$2488,816,'Live Data'!$C$19)="","",INDEX(SPOT_Import!$A$1:$Z$2488,816,'Live Data'!$C$19)),"")</f>
        <v>9076</v>
      </c>
      <c r="I816" s="54" t="str">
        <f>IFERROR(IF(INDEX(SPOT_Import!$A$1:$Z$2488,816,'Live Data'!$C$20)="","",INDEX(SPOT_Import!$A$1:$Z$2488,816,'Live Data'!$C$20)),"")</f>
        <v>Complete</v>
      </c>
      <c r="J816" s="54" t="str">
        <f>IFERROR(IF(INDEX(SPOT_Import!$A$1:$Z$2488,816,'Live Data'!$C$21)="","",INDEX(SPOT_Import!$A$1:$Z$2488,816,'Live Data'!$C$21)),"")</f>
        <v>2026-10-09T07:16:47.000Z</v>
      </c>
      <c r="K816" s="54" t="str">
        <f>IFERROR(IF(INDEX(SPOT_Import!$A$1:$Z$2488,816,'Live Data'!$C$22)="","",INDEX(SPOT_Import!$A$1:$Z$2488,816,'Live Data'!$C$22)),"")</f>
        <v>2026-10-09T07:16:47.000Z</v>
      </c>
      <c r="L816" s="55" t="str">
        <f t="shared" si="24"/>
        <v>2026-10</v>
      </c>
      <c r="M816" s="55" t="str">
        <f t="shared" si="25"/>
        <v>MURANG'A</v>
      </c>
      <c r="N816" s="55" t="str">
        <f>IF(A816="","",IFERROR(INDEX('Cluster Map'!$A$4:$A$38,MATCH(M816,'Cluster Map'!$B$4:$B$38,0)),"Unmapped"))</f>
        <v>Cluster 3</v>
      </c>
      <c r="O816" s="55">
        <f>IF(A816="",0,IF(COUNTIFS($A$2:A816,A816,$F$2:F816,F816,$L$2:L816,L816)=1,1,0))</f>
        <v>1</v>
      </c>
      <c r="P816" s="55">
        <f>IF(A816="",0,IF(AND(F816="C&amp;T",COUNTIFS($A$2:A816,A816,$F$2:F816,"C&amp;T")=1),1,0))</f>
        <v>0</v>
      </c>
    </row>
    <row r="817" spans="1:16" x14ac:dyDescent="0.35">
      <c r="A817" s="54">
        <f>IFERROR(IF(INDEX(SPOT_Import!$A$1:$Z$2488,817,'Live Data'!$C$12)="","",INDEX(SPOT_Import!$A$1:$Z$2488,817,'Live Data'!$C$12)),"")</f>
        <v>15652</v>
      </c>
      <c r="B817" s="54" t="str">
        <f>IFERROR(IF(INDEX(SPOT_Import!$A$1:$Z$2488,817,'Live Data'!$C$13)="","",INDEX(SPOT_Import!$A$1:$Z$2488,817,'Live Data'!$C$13)),"")</f>
        <v>St Mary Health Centre (Kiserian)</v>
      </c>
      <c r="C817" s="54" t="str">
        <f>IFERROR(IF(INDEX(SPOT_Import!$A$1:$Z$2488,817,'Live Data'!$C$14)="","",INDEX(SPOT_Import!$A$1:$Z$2488,817,'Live Data'!$C$14)),"")</f>
        <v>KAJIADO</v>
      </c>
      <c r="D817" s="54" t="str">
        <f>IFERROR(IF(INDEX(SPOT_Import!$A$1:$Z$2488,817,'Live Data'!$C$15)="","",INDEX(SPOT_Import!$A$1:$Z$2488,817,'Live Data'!$C$15)),"")</f>
        <v>Kajiado West</v>
      </c>
      <c r="E817" s="54" t="str">
        <f>IFERROR(IF(INDEX(SPOT_Import!$A$1:$Z$2488,817,'Live Data'!$C$16)="","",INDEX(SPOT_Import!$A$1:$Z$2488,817,'Live Data'!$C$16)),"")</f>
        <v>CHAK CHAP STAWISHA</v>
      </c>
      <c r="F817" s="54" t="str">
        <f>IFERROR(IF(INDEX(SPOT_Import!$A$1:$Z$2488,817,'Live Data'!$C$17)="","",INDEX(SPOT_Import!$A$1:$Z$2488,817,'Live Data'!$C$17)),"")</f>
        <v>MNCH</v>
      </c>
      <c r="G817" s="54">
        <f>IFERROR(IF(INDEX(SPOT_Import!$A$1:$Z$2488,817,'Live Data'!$C$18)="","",INDEX(SPOT_Import!$A$1:$Z$2488,817,'Live Data'!$C$18)),"")</f>
        <v>60</v>
      </c>
      <c r="H817" s="54">
        <f>IFERROR(IF(INDEX(SPOT_Import!$A$1:$Z$2488,817,'Live Data'!$C$19)="","",INDEX(SPOT_Import!$A$1:$Z$2488,817,'Live Data'!$C$19)),"")</f>
        <v>60</v>
      </c>
      <c r="I817" s="54" t="str">
        <f>IFERROR(IF(INDEX(SPOT_Import!$A$1:$Z$2488,817,'Live Data'!$C$20)="","",INDEX(SPOT_Import!$A$1:$Z$2488,817,'Live Data'!$C$20)),"")</f>
        <v>Complete</v>
      </c>
      <c r="J817" s="54" t="str">
        <f>IFERROR(IF(INDEX(SPOT_Import!$A$1:$Z$2488,817,'Live Data'!$C$21)="","",INDEX(SPOT_Import!$A$1:$Z$2488,817,'Live Data'!$C$21)),"")</f>
        <v>2026-10-09T06:54:08.000Z</v>
      </c>
      <c r="K817" s="54" t="str">
        <f>IFERROR(IF(INDEX(SPOT_Import!$A$1:$Z$2488,817,'Live Data'!$C$22)="","",INDEX(SPOT_Import!$A$1:$Z$2488,817,'Live Data'!$C$22)),"")</f>
        <v>2026-10-09T06:54:08.000Z</v>
      </c>
      <c r="L817" s="55" t="str">
        <f t="shared" si="24"/>
        <v>2026-10</v>
      </c>
      <c r="M817" s="55" t="str">
        <f t="shared" si="25"/>
        <v>KAJIADO</v>
      </c>
      <c r="N817" s="55" t="str">
        <f>IF(A817="","",IFERROR(INDEX('Cluster Map'!$A$4:$A$38,MATCH(M817,'Cluster Map'!$B$4:$B$38,0)),"Unmapped"))</f>
        <v>Cluster 3</v>
      </c>
      <c r="O817" s="55">
        <f>IF(A817="",0,IF(COUNTIFS($A$2:A817,A817,$F$2:F817,F817,$L$2:L817,L817)=1,1,0))</f>
        <v>0</v>
      </c>
      <c r="P817" s="55">
        <f>IF(A817="",0,IF(AND(F817="C&amp;T",COUNTIFS($A$2:A817,A817,$F$2:F817,"C&amp;T")=1),1,0))</f>
        <v>0</v>
      </c>
    </row>
    <row r="818" spans="1:16" x14ac:dyDescent="0.35">
      <c r="A818" s="54">
        <f>IFERROR(IF(INDEX(SPOT_Import!$A$1:$Z$2488,818,'Live Data'!$C$12)="","",INDEX(SPOT_Import!$A$1:$Z$2488,818,'Live Data'!$C$12)),"")</f>
        <v>15652</v>
      </c>
      <c r="B818" s="54" t="str">
        <f>IFERROR(IF(INDEX(SPOT_Import!$A$1:$Z$2488,818,'Live Data'!$C$13)="","",INDEX(SPOT_Import!$A$1:$Z$2488,818,'Live Data'!$C$13)),"")</f>
        <v>St Mary Health Centre (Kiserian)</v>
      </c>
      <c r="C818" s="54" t="str">
        <f>IFERROR(IF(INDEX(SPOT_Import!$A$1:$Z$2488,818,'Live Data'!$C$14)="","",INDEX(SPOT_Import!$A$1:$Z$2488,818,'Live Data'!$C$14)),"")</f>
        <v>KAJIADO</v>
      </c>
      <c r="D818" s="54" t="str">
        <f>IFERROR(IF(INDEX(SPOT_Import!$A$1:$Z$2488,818,'Live Data'!$C$15)="","",INDEX(SPOT_Import!$A$1:$Z$2488,818,'Live Data'!$C$15)),"")</f>
        <v>Kajiado West</v>
      </c>
      <c r="E818" s="54" t="str">
        <f>IFERROR(IF(INDEX(SPOT_Import!$A$1:$Z$2488,818,'Live Data'!$C$16)="","",INDEX(SPOT_Import!$A$1:$Z$2488,818,'Live Data'!$C$16)),"")</f>
        <v>CHAK CHAP STAWISHA</v>
      </c>
      <c r="F818" s="54" t="str">
        <f>IFERROR(IF(INDEX(SPOT_Import!$A$1:$Z$2488,818,'Live Data'!$C$17)="","",INDEX(SPOT_Import!$A$1:$Z$2488,818,'Live Data'!$C$17)),"")</f>
        <v>HTS</v>
      </c>
      <c r="G818" s="54">
        <f>IFERROR(IF(INDEX(SPOT_Import!$A$1:$Z$2488,818,'Live Data'!$C$18)="","",INDEX(SPOT_Import!$A$1:$Z$2488,818,'Live Data'!$C$18)),"")</f>
        <v>6307</v>
      </c>
      <c r="H818" s="54">
        <f>IFERROR(IF(INDEX(SPOT_Import!$A$1:$Z$2488,818,'Live Data'!$C$19)="","",INDEX(SPOT_Import!$A$1:$Z$2488,818,'Live Data'!$C$19)),"")</f>
        <v>6307</v>
      </c>
      <c r="I818" s="54" t="str">
        <f>IFERROR(IF(INDEX(SPOT_Import!$A$1:$Z$2488,818,'Live Data'!$C$20)="","",INDEX(SPOT_Import!$A$1:$Z$2488,818,'Live Data'!$C$20)),"")</f>
        <v>Complete</v>
      </c>
      <c r="J818" s="54" t="str">
        <f>IFERROR(IF(INDEX(SPOT_Import!$A$1:$Z$2488,818,'Live Data'!$C$21)="","",INDEX(SPOT_Import!$A$1:$Z$2488,818,'Live Data'!$C$21)),"")</f>
        <v>2026-10-09T06:51:24.000Z</v>
      </c>
      <c r="K818" s="54" t="str">
        <f>IFERROR(IF(INDEX(SPOT_Import!$A$1:$Z$2488,818,'Live Data'!$C$22)="","",INDEX(SPOT_Import!$A$1:$Z$2488,818,'Live Data'!$C$22)),"")</f>
        <v>2026-10-09T06:51:24.000Z</v>
      </c>
      <c r="L818" s="55" t="str">
        <f t="shared" si="24"/>
        <v>2026-10</v>
      </c>
      <c r="M818" s="55" t="str">
        <f t="shared" si="25"/>
        <v>KAJIADO</v>
      </c>
      <c r="N818" s="55" t="str">
        <f>IF(A818="","",IFERROR(INDEX('Cluster Map'!$A$4:$A$38,MATCH(M818,'Cluster Map'!$B$4:$B$38,0)),"Unmapped"))</f>
        <v>Cluster 3</v>
      </c>
      <c r="O818" s="55">
        <f>IF(A818="",0,IF(COUNTIFS($A$2:A818,A818,$F$2:F818,F818,$L$2:L818,L818)=1,1,0))</f>
        <v>1</v>
      </c>
      <c r="P818" s="55">
        <f>IF(A818="",0,IF(AND(F818="C&amp;T",COUNTIFS($A$2:A818,A818,$F$2:F818,"C&amp;T")=1),1,0))</f>
        <v>0</v>
      </c>
    </row>
    <row r="819" spans="1:16" x14ac:dyDescent="0.35">
      <c r="A819" s="54">
        <f>IFERROR(IF(INDEX(SPOT_Import!$A$1:$Z$2488,819,'Live Data'!$C$12)="","",INDEX(SPOT_Import!$A$1:$Z$2488,819,'Live Data'!$C$12)),"")</f>
        <v>19963</v>
      </c>
      <c r="B819" s="54" t="str">
        <f>IFERROR(IF(INDEX(SPOT_Import!$A$1:$Z$2488,819,'Live Data'!$C$13)="","",INDEX(SPOT_Import!$A$1:$Z$2488,819,'Live Data'!$C$13)),"")</f>
        <v>Holy family Catholic Hospital (Githunguri)</v>
      </c>
      <c r="C819" s="54" t="str">
        <f>IFERROR(IF(INDEX(SPOT_Import!$A$1:$Z$2488,819,'Live Data'!$C$14)="","",INDEX(SPOT_Import!$A$1:$Z$2488,819,'Live Data'!$C$14)),"")</f>
        <v>KIAMBU</v>
      </c>
      <c r="D819" s="54" t="str">
        <f>IFERROR(IF(INDEX(SPOT_Import!$A$1:$Z$2488,819,'Live Data'!$C$15)="","",INDEX(SPOT_Import!$A$1:$Z$2488,819,'Live Data'!$C$15)),"")</f>
        <v>Githunguri</v>
      </c>
      <c r="E819" s="54" t="str">
        <f>IFERROR(IF(INDEX(SPOT_Import!$A$1:$Z$2488,819,'Live Data'!$C$16)="","",INDEX(SPOT_Import!$A$1:$Z$2488,819,'Live Data'!$C$16)),"")</f>
        <v>CHAK CHAP STAWISHA</v>
      </c>
      <c r="F819" s="54" t="str">
        <f>IFERROR(IF(INDEX(SPOT_Import!$A$1:$Z$2488,819,'Live Data'!$C$17)="","",INDEX(SPOT_Import!$A$1:$Z$2488,819,'Live Data'!$C$17)),"")</f>
        <v>HTS</v>
      </c>
      <c r="G819" s="54">
        <f>IFERROR(IF(INDEX(SPOT_Import!$A$1:$Z$2488,819,'Live Data'!$C$18)="","",INDEX(SPOT_Import!$A$1:$Z$2488,819,'Live Data'!$C$18)),"")</f>
        <v>4202</v>
      </c>
      <c r="H819" s="54">
        <f>IFERROR(IF(INDEX(SPOT_Import!$A$1:$Z$2488,819,'Live Data'!$C$19)="","",INDEX(SPOT_Import!$A$1:$Z$2488,819,'Live Data'!$C$19)),"")</f>
        <v>4202</v>
      </c>
      <c r="I819" s="54" t="str">
        <f>IFERROR(IF(INDEX(SPOT_Import!$A$1:$Z$2488,819,'Live Data'!$C$20)="","",INDEX(SPOT_Import!$A$1:$Z$2488,819,'Live Data'!$C$20)),"")</f>
        <v>Complete</v>
      </c>
      <c r="J819" s="54" t="str">
        <f>IFERROR(IF(INDEX(SPOT_Import!$A$1:$Z$2488,819,'Live Data'!$C$21)="","",INDEX(SPOT_Import!$A$1:$Z$2488,819,'Live Data'!$C$21)),"")</f>
        <v>2026-10-09T06:45:14.000Z</v>
      </c>
      <c r="K819" s="54" t="str">
        <f>IFERROR(IF(INDEX(SPOT_Import!$A$1:$Z$2488,819,'Live Data'!$C$22)="","",INDEX(SPOT_Import!$A$1:$Z$2488,819,'Live Data'!$C$22)),"")</f>
        <v>2026-10-09T06:45:14.000Z</v>
      </c>
      <c r="L819" s="55" t="str">
        <f t="shared" si="24"/>
        <v>2026-10</v>
      </c>
      <c r="M819" s="55" t="str">
        <f t="shared" si="25"/>
        <v>KIAMBU</v>
      </c>
      <c r="N819" s="55" t="str">
        <f>IF(A819="","",IFERROR(INDEX('Cluster Map'!$A$4:$A$38,MATCH(M819,'Cluster Map'!$B$4:$B$38,0)),"Unmapped"))</f>
        <v>Cluster 3</v>
      </c>
      <c r="O819" s="55">
        <f>IF(A819="",0,IF(COUNTIFS($A$2:A819,A819,$F$2:F819,F819,$L$2:L819,L819)=1,1,0))</f>
        <v>1</v>
      </c>
      <c r="P819" s="55">
        <f>IF(A819="",0,IF(AND(F819="C&amp;T",COUNTIFS($A$2:A819,A819,$F$2:F819,"C&amp;T")=1),1,0))</f>
        <v>0</v>
      </c>
    </row>
    <row r="820" spans="1:16" x14ac:dyDescent="0.35">
      <c r="A820" s="54">
        <f>IFERROR(IF(INDEX(SPOT_Import!$A$1:$Z$2488,820,'Live Data'!$C$12)="","",INDEX(SPOT_Import!$A$1:$Z$2488,820,'Live Data'!$C$12)),"")</f>
        <v>15652</v>
      </c>
      <c r="B820" s="54" t="str">
        <f>IFERROR(IF(INDEX(SPOT_Import!$A$1:$Z$2488,820,'Live Data'!$C$13)="","",INDEX(SPOT_Import!$A$1:$Z$2488,820,'Live Data'!$C$13)),"")</f>
        <v>St Mary Health Centre (Kiserian)</v>
      </c>
      <c r="C820" s="54" t="str">
        <f>IFERROR(IF(INDEX(SPOT_Import!$A$1:$Z$2488,820,'Live Data'!$C$14)="","",INDEX(SPOT_Import!$A$1:$Z$2488,820,'Live Data'!$C$14)),"")</f>
        <v>KAJIADO</v>
      </c>
      <c r="D820" s="54" t="str">
        <f>IFERROR(IF(INDEX(SPOT_Import!$A$1:$Z$2488,820,'Live Data'!$C$15)="","",INDEX(SPOT_Import!$A$1:$Z$2488,820,'Live Data'!$C$15)),"")</f>
        <v>Kajiado West</v>
      </c>
      <c r="E820" s="54" t="str">
        <f>IFERROR(IF(INDEX(SPOT_Import!$A$1:$Z$2488,820,'Live Data'!$C$16)="","",INDEX(SPOT_Import!$A$1:$Z$2488,820,'Live Data'!$C$16)),"")</f>
        <v>CHAK CHAP STAWISHA</v>
      </c>
      <c r="F820" s="54" t="str">
        <f>IFERROR(IF(INDEX(SPOT_Import!$A$1:$Z$2488,820,'Live Data'!$C$17)="","",INDEX(SPOT_Import!$A$1:$Z$2488,820,'Live Data'!$C$17)),"")</f>
        <v>C&amp;T</v>
      </c>
      <c r="G820" s="54">
        <f>IFERROR(IF(INDEX(SPOT_Import!$A$1:$Z$2488,820,'Live Data'!$C$18)="","",INDEX(SPOT_Import!$A$1:$Z$2488,820,'Live Data'!$C$18)),"")</f>
        <v>1310</v>
      </c>
      <c r="H820" s="54">
        <f>IFERROR(IF(INDEX(SPOT_Import!$A$1:$Z$2488,820,'Live Data'!$C$19)="","",INDEX(SPOT_Import!$A$1:$Z$2488,820,'Live Data'!$C$19)),"")</f>
        <v>1310</v>
      </c>
      <c r="I820" s="54" t="str">
        <f>IFERROR(IF(INDEX(SPOT_Import!$A$1:$Z$2488,820,'Live Data'!$C$20)="","",INDEX(SPOT_Import!$A$1:$Z$2488,820,'Live Data'!$C$20)),"")</f>
        <v>Complete</v>
      </c>
      <c r="J820" s="54" t="str">
        <f>IFERROR(IF(INDEX(SPOT_Import!$A$1:$Z$2488,820,'Live Data'!$C$21)="","",INDEX(SPOT_Import!$A$1:$Z$2488,820,'Live Data'!$C$21)),"")</f>
        <v>2026-10-09T06:44:01.000Z</v>
      </c>
      <c r="K820" s="54" t="str">
        <f>IFERROR(IF(INDEX(SPOT_Import!$A$1:$Z$2488,820,'Live Data'!$C$22)="","",INDEX(SPOT_Import!$A$1:$Z$2488,820,'Live Data'!$C$22)),"")</f>
        <v>2026-10-09T06:44:01.000Z</v>
      </c>
      <c r="L820" s="55" t="str">
        <f t="shared" si="24"/>
        <v>2026-10</v>
      </c>
      <c r="M820" s="55" t="str">
        <f t="shared" si="25"/>
        <v>KAJIADO</v>
      </c>
      <c r="N820" s="55" t="str">
        <f>IF(A820="","",IFERROR(INDEX('Cluster Map'!$A$4:$A$38,MATCH(M820,'Cluster Map'!$B$4:$B$38,0)),"Unmapped"))</f>
        <v>Cluster 3</v>
      </c>
      <c r="O820" s="55">
        <f>IF(A820="",0,IF(COUNTIFS($A$2:A820,A820,$F$2:F820,F820,$L$2:L820,L820)=1,1,0))</f>
        <v>1</v>
      </c>
      <c r="P820" s="55">
        <f>IF(A820="",0,IF(AND(F820="C&amp;T",COUNTIFS($A$2:A820,A820,$F$2:F820,"C&amp;T")=1),1,0))</f>
        <v>1</v>
      </c>
    </row>
    <row r="821" spans="1:16" x14ac:dyDescent="0.35">
      <c r="A821" s="54">
        <f>IFERROR(IF(INDEX(SPOT_Import!$A$1:$Z$2488,821,'Live Data'!$C$12)="","",INDEX(SPOT_Import!$A$1:$Z$2488,821,'Live Data'!$C$12)),"")</f>
        <v>10267</v>
      </c>
      <c r="B821" s="54" t="str">
        <f>IFERROR(IF(INDEX(SPOT_Import!$A$1:$Z$2488,821,'Live Data'!$C$13)="","",INDEX(SPOT_Import!$A$1:$Z$2488,821,'Live Data'!$C$13)),"")</f>
        <v>Githumu Hospital</v>
      </c>
      <c r="C821" s="54" t="str">
        <f>IFERROR(IF(INDEX(SPOT_Import!$A$1:$Z$2488,821,'Live Data'!$C$14)="","",INDEX(SPOT_Import!$A$1:$Z$2488,821,'Live Data'!$C$14)),"")</f>
        <v>MURANG'A</v>
      </c>
      <c r="D821" s="54" t="str">
        <f>IFERROR(IF(INDEX(SPOT_Import!$A$1:$Z$2488,821,'Live Data'!$C$15)="","",INDEX(SPOT_Import!$A$1:$Z$2488,821,'Live Data'!$C$15)),"")</f>
        <v>Kandara</v>
      </c>
      <c r="E821" s="54" t="str">
        <f>IFERROR(IF(INDEX(SPOT_Import!$A$1:$Z$2488,821,'Live Data'!$C$16)="","",INDEX(SPOT_Import!$A$1:$Z$2488,821,'Live Data'!$C$16)),"")</f>
        <v>CHAK CHAP STAWISHA</v>
      </c>
      <c r="F821" s="54" t="str">
        <f>IFERROR(IF(INDEX(SPOT_Import!$A$1:$Z$2488,821,'Live Data'!$C$17)="","",INDEX(SPOT_Import!$A$1:$Z$2488,821,'Live Data'!$C$17)),"")</f>
        <v>C&amp;T</v>
      </c>
      <c r="G821" s="54">
        <f>IFERROR(IF(INDEX(SPOT_Import!$A$1:$Z$2488,821,'Live Data'!$C$18)="","",INDEX(SPOT_Import!$A$1:$Z$2488,821,'Live Data'!$C$18)),"")</f>
        <v>1331</v>
      </c>
      <c r="H821" s="54">
        <f>IFERROR(IF(INDEX(SPOT_Import!$A$1:$Z$2488,821,'Live Data'!$C$19)="","",INDEX(SPOT_Import!$A$1:$Z$2488,821,'Live Data'!$C$19)),"")</f>
        <v>1331</v>
      </c>
      <c r="I821" s="54" t="str">
        <f>IFERROR(IF(INDEX(SPOT_Import!$A$1:$Z$2488,821,'Live Data'!$C$20)="","",INDEX(SPOT_Import!$A$1:$Z$2488,821,'Live Data'!$C$20)),"")</f>
        <v>Complete</v>
      </c>
      <c r="J821" s="54" t="str">
        <f>IFERROR(IF(INDEX(SPOT_Import!$A$1:$Z$2488,821,'Live Data'!$C$21)="","",INDEX(SPOT_Import!$A$1:$Z$2488,821,'Live Data'!$C$21)),"")</f>
        <v>2026-10-09T06:38:21.000Z</v>
      </c>
      <c r="K821" s="54" t="str">
        <f>IFERROR(IF(INDEX(SPOT_Import!$A$1:$Z$2488,821,'Live Data'!$C$22)="","",INDEX(SPOT_Import!$A$1:$Z$2488,821,'Live Data'!$C$22)),"")</f>
        <v>2026-10-09T06:38:21.000Z</v>
      </c>
      <c r="L821" s="55" t="str">
        <f t="shared" si="24"/>
        <v>2026-10</v>
      </c>
      <c r="M821" s="55" t="str">
        <f t="shared" si="25"/>
        <v>MURANG'A</v>
      </c>
      <c r="N821" s="55" t="str">
        <f>IF(A821="","",IFERROR(INDEX('Cluster Map'!$A$4:$A$38,MATCH(M821,'Cluster Map'!$B$4:$B$38,0)),"Unmapped"))</f>
        <v>Cluster 3</v>
      </c>
      <c r="O821" s="55">
        <f>IF(A821="",0,IF(COUNTIFS($A$2:A821,A821,$F$2:F821,F821,$L$2:L821,L821)=1,1,0))</f>
        <v>1</v>
      </c>
      <c r="P821" s="55">
        <f>IF(A821="",0,IF(AND(F821="C&amp;T",COUNTIFS($A$2:A821,A821,$F$2:F821,"C&amp;T")=1),1,0))</f>
        <v>1</v>
      </c>
    </row>
    <row r="822" spans="1:16" x14ac:dyDescent="0.35">
      <c r="A822" s="54">
        <f>IFERROR(IF(INDEX(SPOT_Import!$A$1:$Z$2488,822,'Live Data'!$C$12)="","",INDEX(SPOT_Import!$A$1:$Z$2488,822,'Live Data'!$C$12)),"")</f>
        <v>11041</v>
      </c>
      <c r="B822" s="54" t="str">
        <f>IFERROR(IF(INDEX(SPOT_Import!$A$1:$Z$2488,822,'Live Data'!$C$13)="","",INDEX(SPOT_Import!$A$1:$Z$2488,822,'Live Data'!$C$13)),"")</f>
        <v>St Joseph Catholic Dispensary (Ruiru)</v>
      </c>
      <c r="C822" s="54" t="str">
        <f>IFERROR(IF(INDEX(SPOT_Import!$A$1:$Z$2488,822,'Live Data'!$C$14)="","",INDEX(SPOT_Import!$A$1:$Z$2488,822,'Live Data'!$C$14)),"")</f>
        <v>KIAMBU</v>
      </c>
      <c r="D822" s="54" t="str">
        <f>IFERROR(IF(INDEX(SPOT_Import!$A$1:$Z$2488,822,'Live Data'!$C$15)="","",INDEX(SPOT_Import!$A$1:$Z$2488,822,'Live Data'!$C$15)),"")</f>
        <v>Ruiru</v>
      </c>
      <c r="E822" s="54" t="str">
        <f>IFERROR(IF(INDEX(SPOT_Import!$A$1:$Z$2488,822,'Live Data'!$C$16)="","",INDEX(SPOT_Import!$A$1:$Z$2488,822,'Live Data'!$C$16)),"")</f>
        <v>CHAK CHAP STAWISHA</v>
      </c>
      <c r="F822" s="54" t="str">
        <f>IFERROR(IF(INDEX(SPOT_Import!$A$1:$Z$2488,822,'Live Data'!$C$17)="","",INDEX(SPOT_Import!$A$1:$Z$2488,822,'Live Data'!$C$17)),"")</f>
        <v>PREP</v>
      </c>
      <c r="G822" s="54">
        <f>IFERROR(IF(INDEX(SPOT_Import!$A$1:$Z$2488,822,'Live Data'!$C$18)="","",INDEX(SPOT_Import!$A$1:$Z$2488,822,'Live Data'!$C$18)),"")</f>
        <v>263</v>
      </c>
      <c r="H822" s="54">
        <f>IFERROR(IF(INDEX(SPOT_Import!$A$1:$Z$2488,822,'Live Data'!$C$19)="","",INDEX(SPOT_Import!$A$1:$Z$2488,822,'Live Data'!$C$19)),"")</f>
        <v>263</v>
      </c>
      <c r="I822" s="54" t="str">
        <f>IFERROR(IF(INDEX(SPOT_Import!$A$1:$Z$2488,822,'Live Data'!$C$20)="","",INDEX(SPOT_Import!$A$1:$Z$2488,822,'Live Data'!$C$20)),"")</f>
        <v>Complete</v>
      </c>
      <c r="J822" s="54" t="str">
        <f>IFERROR(IF(INDEX(SPOT_Import!$A$1:$Z$2488,822,'Live Data'!$C$21)="","",INDEX(SPOT_Import!$A$1:$Z$2488,822,'Live Data'!$C$21)),"")</f>
        <v>2026-10-09T05:48:25.000Z</v>
      </c>
      <c r="K822" s="54" t="str">
        <f>IFERROR(IF(INDEX(SPOT_Import!$A$1:$Z$2488,822,'Live Data'!$C$22)="","",INDEX(SPOT_Import!$A$1:$Z$2488,822,'Live Data'!$C$22)),"")</f>
        <v>2026-10-09T05:48:25.000Z</v>
      </c>
      <c r="L822" s="55" t="str">
        <f t="shared" si="24"/>
        <v>2026-10</v>
      </c>
      <c r="M822" s="55" t="str">
        <f t="shared" si="25"/>
        <v>KIAMBU</v>
      </c>
      <c r="N822" s="55" t="str">
        <f>IF(A822="","",IFERROR(INDEX('Cluster Map'!$A$4:$A$38,MATCH(M822,'Cluster Map'!$B$4:$B$38,0)),"Unmapped"))</f>
        <v>Cluster 3</v>
      </c>
      <c r="O822" s="55">
        <f>IF(A822="",0,IF(COUNTIFS($A$2:A822,A822,$F$2:F822,F822,$L$2:L822,L822)=1,1,0))</f>
        <v>1</v>
      </c>
      <c r="P822" s="55">
        <f>IF(A822="",0,IF(AND(F822="C&amp;T",COUNTIFS($A$2:A822,A822,$F$2:F822,"C&amp;T")=1),1,0))</f>
        <v>0</v>
      </c>
    </row>
    <row r="823" spans="1:16" x14ac:dyDescent="0.35">
      <c r="A823" s="54">
        <f>IFERROR(IF(INDEX(SPOT_Import!$A$1:$Z$2488,823,'Live Data'!$C$12)="","",INDEX(SPOT_Import!$A$1:$Z$2488,823,'Live Data'!$C$12)),"")</f>
        <v>12013</v>
      </c>
      <c r="B823" s="54" t="str">
        <f>IFERROR(IF(INDEX(SPOT_Import!$A$1:$Z$2488,823,'Live Data'!$C$13)="","",INDEX(SPOT_Import!$A$1:$Z$2488,823,'Live Data'!$C$13)),"")</f>
        <v>Faith Nursing Home (Ikutha)</v>
      </c>
      <c r="C823" s="54" t="str">
        <f>IFERROR(IF(INDEX(SPOT_Import!$A$1:$Z$2488,823,'Live Data'!$C$14)="","",INDEX(SPOT_Import!$A$1:$Z$2488,823,'Live Data'!$C$14)),"")</f>
        <v>KITUI</v>
      </c>
      <c r="D823" s="54" t="str">
        <f>IFERROR(IF(INDEX(SPOT_Import!$A$1:$Z$2488,823,'Live Data'!$C$15)="","",INDEX(SPOT_Import!$A$1:$Z$2488,823,'Live Data'!$C$15)),"")</f>
        <v>Kitui South</v>
      </c>
      <c r="E823" s="54" t="str">
        <f>IFERROR(IF(INDEX(SPOT_Import!$A$1:$Z$2488,823,'Live Data'!$C$16)="","",INDEX(SPOT_Import!$A$1:$Z$2488,823,'Live Data'!$C$16)),"")</f>
        <v>CHAK CHAP STAWISHA</v>
      </c>
      <c r="F823" s="54" t="str">
        <f>IFERROR(IF(INDEX(SPOT_Import!$A$1:$Z$2488,823,'Live Data'!$C$17)="","",INDEX(SPOT_Import!$A$1:$Z$2488,823,'Live Data'!$C$17)),"")</f>
        <v>MNCH</v>
      </c>
      <c r="G823" s="54">
        <f>IFERROR(IF(INDEX(SPOT_Import!$A$1:$Z$2488,823,'Live Data'!$C$18)="","",INDEX(SPOT_Import!$A$1:$Z$2488,823,'Live Data'!$C$18)),"")</f>
        <v>12</v>
      </c>
      <c r="H823" s="54">
        <f>IFERROR(IF(INDEX(SPOT_Import!$A$1:$Z$2488,823,'Live Data'!$C$19)="","",INDEX(SPOT_Import!$A$1:$Z$2488,823,'Live Data'!$C$19)),"")</f>
        <v>12</v>
      </c>
      <c r="I823" s="54" t="str">
        <f>IFERROR(IF(INDEX(SPOT_Import!$A$1:$Z$2488,823,'Live Data'!$C$20)="","",INDEX(SPOT_Import!$A$1:$Z$2488,823,'Live Data'!$C$20)),"")</f>
        <v>Complete</v>
      </c>
      <c r="J823" s="54" t="str">
        <f>IFERROR(IF(INDEX(SPOT_Import!$A$1:$Z$2488,823,'Live Data'!$C$21)="","",INDEX(SPOT_Import!$A$1:$Z$2488,823,'Live Data'!$C$21)),"")</f>
        <v>2026-10-08T16:51:49.000Z</v>
      </c>
      <c r="K823" s="54" t="str">
        <f>IFERROR(IF(INDEX(SPOT_Import!$A$1:$Z$2488,823,'Live Data'!$C$22)="","",INDEX(SPOT_Import!$A$1:$Z$2488,823,'Live Data'!$C$22)),"")</f>
        <v>2026-10-08T16:51:49.000Z</v>
      </c>
      <c r="L823" s="55" t="str">
        <f t="shared" si="24"/>
        <v>2026-10</v>
      </c>
      <c r="M823" s="55" t="str">
        <f t="shared" si="25"/>
        <v>KITUI</v>
      </c>
      <c r="N823" s="55" t="str">
        <f>IF(A823="","",IFERROR(INDEX('Cluster Map'!$A$4:$A$38,MATCH(M823,'Cluster Map'!$B$4:$B$38,0)),"Unmapped"))</f>
        <v>Cluster 5</v>
      </c>
      <c r="O823" s="55">
        <f>IF(A823="",0,IF(COUNTIFS($A$2:A823,A823,$F$2:F823,F823,$L$2:L823,L823)=1,1,0))</f>
        <v>1</v>
      </c>
      <c r="P823" s="55">
        <f>IF(A823="",0,IF(AND(F823="C&amp;T",COUNTIFS($A$2:A823,A823,$F$2:F823,"C&amp;T")=1),1,0))</f>
        <v>0</v>
      </c>
    </row>
    <row r="824" spans="1:16" x14ac:dyDescent="0.35">
      <c r="A824" s="54">
        <f>IFERROR(IF(INDEX(SPOT_Import!$A$1:$Z$2488,824,'Live Data'!$C$12)="","",INDEX(SPOT_Import!$A$1:$Z$2488,824,'Live Data'!$C$12)),"")</f>
        <v>12013</v>
      </c>
      <c r="B824" s="54" t="str">
        <f>IFERROR(IF(INDEX(SPOT_Import!$A$1:$Z$2488,824,'Live Data'!$C$13)="","",INDEX(SPOT_Import!$A$1:$Z$2488,824,'Live Data'!$C$13)),"")</f>
        <v>Faith Nursing Home (Ikutha)</v>
      </c>
      <c r="C824" s="54" t="str">
        <f>IFERROR(IF(INDEX(SPOT_Import!$A$1:$Z$2488,824,'Live Data'!$C$14)="","",INDEX(SPOT_Import!$A$1:$Z$2488,824,'Live Data'!$C$14)),"")</f>
        <v>KITUI</v>
      </c>
      <c r="D824" s="54" t="str">
        <f>IFERROR(IF(INDEX(SPOT_Import!$A$1:$Z$2488,824,'Live Data'!$C$15)="","",INDEX(SPOT_Import!$A$1:$Z$2488,824,'Live Data'!$C$15)),"")</f>
        <v>Kitui South</v>
      </c>
      <c r="E824" s="54" t="str">
        <f>IFERROR(IF(INDEX(SPOT_Import!$A$1:$Z$2488,824,'Live Data'!$C$16)="","",INDEX(SPOT_Import!$A$1:$Z$2488,824,'Live Data'!$C$16)),"")</f>
        <v>CHAK CHAP STAWISHA</v>
      </c>
      <c r="F824" s="54" t="str">
        <f>IFERROR(IF(INDEX(SPOT_Import!$A$1:$Z$2488,824,'Live Data'!$C$17)="","",INDEX(SPOT_Import!$A$1:$Z$2488,824,'Live Data'!$C$17)),"")</f>
        <v>C&amp;T</v>
      </c>
      <c r="G824" s="54">
        <f>IFERROR(IF(INDEX(SPOT_Import!$A$1:$Z$2488,824,'Live Data'!$C$18)="","",INDEX(SPOT_Import!$A$1:$Z$2488,824,'Live Data'!$C$18)),"")</f>
        <v>90</v>
      </c>
      <c r="H824" s="54">
        <f>IFERROR(IF(INDEX(SPOT_Import!$A$1:$Z$2488,824,'Live Data'!$C$19)="","",INDEX(SPOT_Import!$A$1:$Z$2488,824,'Live Data'!$C$19)),"")</f>
        <v>90</v>
      </c>
      <c r="I824" s="54" t="str">
        <f>IFERROR(IF(INDEX(SPOT_Import!$A$1:$Z$2488,824,'Live Data'!$C$20)="","",INDEX(SPOT_Import!$A$1:$Z$2488,824,'Live Data'!$C$20)),"")</f>
        <v>Complete</v>
      </c>
      <c r="J824" s="54" t="str">
        <f>IFERROR(IF(INDEX(SPOT_Import!$A$1:$Z$2488,824,'Live Data'!$C$21)="","",INDEX(SPOT_Import!$A$1:$Z$2488,824,'Live Data'!$C$21)),"")</f>
        <v>2026-10-08T16:24:58.000Z</v>
      </c>
      <c r="K824" s="54" t="str">
        <f>IFERROR(IF(INDEX(SPOT_Import!$A$1:$Z$2488,824,'Live Data'!$C$22)="","",INDEX(SPOT_Import!$A$1:$Z$2488,824,'Live Data'!$C$22)),"")</f>
        <v>2026-10-08T16:24:58.000Z</v>
      </c>
      <c r="L824" s="55" t="str">
        <f t="shared" si="24"/>
        <v>2026-10</v>
      </c>
      <c r="M824" s="55" t="str">
        <f t="shared" si="25"/>
        <v>KITUI</v>
      </c>
      <c r="N824" s="55" t="str">
        <f>IF(A824="","",IFERROR(INDEX('Cluster Map'!$A$4:$A$38,MATCH(M824,'Cluster Map'!$B$4:$B$38,0)),"Unmapped"))</f>
        <v>Cluster 5</v>
      </c>
      <c r="O824" s="55">
        <f>IF(A824="",0,IF(COUNTIFS($A$2:A824,A824,$F$2:F824,F824,$L$2:L824,L824)=1,1,0))</f>
        <v>1</v>
      </c>
      <c r="P824" s="55">
        <f>IF(A824="",0,IF(AND(F824="C&amp;T",COUNTIFS($A$2:A824,A824,$F$2:F824,"C&amp;T")=1),1,0))</f>
        <v>1</v>
      </c>
    </row>
    <row r="825" spans="1:16" x14ac:dyDescent="0.35">
      <c r="A825" s="54">
        <f>IFERROR(IF(INDEX(SPOT_Import!$A$1:$Z$2488,825,'Live Data'!$C$12)="","",INDEX(SPOT_Import!$A$1:$Z$2488,825,'Live Data'!$C$12)),"")</f>
        <v>20579</v>
      </c>
      <c r="B825" s="54" t="str">
        <f>IFERROR(IF(INDEX(SPOT_Import!$A$1:$Z$2488,825,'Live Data'!$C$13)="","",INDEX(SPOT_Import!$A$1:$Z$2488,825,'Live Data'!$C$13)),"")</f>
        <v>Kaliani Dispensary</v>
      </c>
      <c r="C825" s="54" t="str">
        <f>IFERROR(IF(INDEX(SPOT_Import!$A$1:$Z$2488,825,'Live Data'!$C$14)="","",INDEX(SPOT_Import!$A$1:$Z$2488,825,'Live Data'!$C$14)),"")</f>
        <v>KITUI</v>
      </c>
      <c r="D825" s="54" t="str">
        <f>IFERROR(IF(INDEX(SPOT_Import!$A$1:$Z$2488,825,'Live Data'!$C$15)="","",INDEX(SPOT_Import!$A$1:$Z$2488,825,'Live Data'!$C$15)),"")</f>
        <v>Kitui South</v>
      </c>
      <c r="E825" s="54" t="str">
        <f>IFERROR(IF(INDEX(SPOT_Import!$A$1:$Z$2488,825,'Live Data'!$C$16)="","",INDEX(SPOT_Import!$A$1:$Z$2488,825,'Live Data'!$C$16)),"")</f>
        <v>CHAK CHAP STAWISHA</v>
      </c>
      <c r="F825" s="54" t="str">
        <f>IFERROR(IF(INDEX(SPOT_Import!$A$1:$Z$2488,825,'Live Data'!$C$17)="","",INDEX(SPOT_Import!$A$1:$Z$2488,825,'Live Data'!$C$17)),"")</f>
        <v>MNCH</v>
      </c>
      <c r="G825" s="54">
        <f>IFERROR(IF(INDEX(SPOT_Import!$A$1:$Z$2488,825,'Live Data'!$C$18)="","",INDEX(SPOT_Import!$A$1:$Z$2488,825,'Live Data'!$C$18)),"")</f>
        <v>4</v>
      </c>
      <c r="H825" s="54" t="str">
        <f>IFERROR(IF(INDEX(SPOT_Import!$A$1:$Z$2488,825,'Live Data'!$C$19)="","",INDEX(SPOT_Import!$A$1:$Z$2488,825,'Live Data'!$C$19)),"")</f>
        <v/>
      </c>
      <c r="I825" s="54" t="str">
        <f>IFERROR(IF(INDEX(SPOT_Import!$A$1:$Z$2488,825,'Live Data'!$C$20)="","",INDEX(SPOT_Import!$A$1:$Z$2488,825,'Live Data'!$C$20)),"")</f>
        <v>Incomplete</v>
      </c>
      <c r="J825" s="54" t="str">
        <f>IFERROR(IF(INDEX(SPOT_Import!$A$1:$Z$2488,825,'Live Data'!$C$21)="","",INDEX(SPOT_Import!$A$1:$Z$2488,825,'Live Data'!$C$21)),"")</f>
        <v>2026-10-08T15:33:35.000Z</v>
      </c>
      <c r="K825" s="54" t="str">
        <f>IFERROR(IF(INDEX(SPOT_Import!$A$1:$Z$2488,825,'Live Data'!$C$22)="","",INDEX(SPOT_Import!$A$1:$Z$2488,825,'Live Data'!$C$22)),"")</f>
        <v>2026-10-08T15:33:35.000Z</v>
      </c>
      <c r="L825" s="55" t="str">
        <f t="shared" si="24"/>
        <v>2026-10</v>
      </c>
      <c r="M825" s="55" t="str">
        <f t="shared" si="25"/>
        <v>KITUI</v>
      </c>
      <c r="N825" s="55" t="str">
        <f>IF(A825="","",IFERROR(INDEX('Cluster Map'!$A$4:$A$38,MATCH(M825,'Cluster Map'!$B$4:$B$38,0)),"Unmapped"))</f>
        <v>Cluster 5</v>
      </c>
      <c r="O825" s="55">
        <f>IF(A825="",0,IF(COUNTIFS($A$2:A825,A825,$F$2:F825,F825,$L$2:L825,L825)=1,1,0))</f>
        <v>1</v>
      </c>
      <c r="P825" s="55">
        <f>IF(A825="",0,IF(AND(F825="C&amp;T",COUNTIFS($A$2:A825,A825,$F$2:F825,"C&amp;T")=1),1,0))</f>
        <v>0</v>
      </c>
    </row>
    <row r="826" spans="1:16" x14ac:dyDescent="0.35">
      <c r="A826" s="54">
        <f>IFERROR(IF(INDEX(SPOT_Import!$A$1:$Z$2488,826,'Live Data'!$C$12)="","",INDEX(SPOT_Import!$A$1:$Z$2488,826,'Live Data'!$C$12)),"")</f>
        <v>20579</v>
      </c>
      <c r="B826" s="54" t="str">
        <f>IFERROR(IF(INDEX(SPOT_Import!$A$1:$Z$2488,826,'Live Data'!$C$13)="","",INDEX(SPOT_Import!$A$1:$Z$2488,826,'Live Data'!$C$13)),"")</f>
        <v>Kaliani Dispensary</v>
      </c>
      <c r="C826" s="54" t="str">
        <f>IFERROR(IF(INDEX(SPOT_Import!$A$1:$Z$2488,826,'Live Data'!$C$14)="","",INDEX(SPOT_Import!$A$1:$Z$2488,826,'Live Data'!$C$14)),"")</f>
        <v>KITUI</v>
      </c>
      <c r="D826" s="54" t="str">
        <f>IFERROR(IF(INDEX(SPOT_Import!$A$1:$Z$2488,826,'Live Data'!$C$15)="","",INDEX(SPOT_Import!$A$1:$Z$2488,826,'Live Data'!$C$15)),"")</f>
        <v>Kitui South</v>
      </c>
      <c r="E826" s="54" t="str">
        <f>IFERROR(IF(INDEX(SPOT_Import!$A$1:$Z$2488,826,'Live Data'!$C$16)="","",INDEX(SPOT_Import!$A$1:$Z$2488,826,'Live Data'!$C$16)),"")</f>
        <v>CHAK CHAP STAWISHA</v>
      </c>
      <c r="F826" s="54" t="str">
        <f>IFERROR(IF(INDEX(SPOT_Import!$A$1:$Z$2488,826,'Live Data'!$C$17)="","",INDEX(SPOT_Import!$A$1:$Z$2488,826,'Live Data'!$C$17)),"")</f>
        <v>HTS</v>
      </c>
      <c r="G826" s="54">
        <f>IFERROR(IF(INDEX(SPOT_Import!$A$1:$Z$2488,826,'Live Data'!$C$18)="","",INDEX(SPOT_Import!$A$1:$Z$2488,826,'Live Data'!$C$18)),"")</f>
        <v>1065</v>
      </c>
      <c r="H826" s="54">
        <f>IFERROR(IF(INDEX(SPOT_Import!$A$1:$Z$2488,826,'Live Data'!$C$19)="","",INDEX(SPOT_Import!$A$1:$Z$2488,826,'Live Data'!$C$19)),"")</f>
        <v>1065</v>
      </c>
      <c r="I826" s="54" t="str">
        <f>IFERROR(IF(INDEX(SPOT_Import!$A$1:$Z$2488,826,'Live Data'!$C$20)="","",INDEX(SPOT_Import!$A$1:$Z$2488,826,'Live Data'!$C$20)),"")</f>
        <v>Complete</v>
      </c>
      <c r="J826" s="54" t="str">
        <f>IFERROR(IF(INDEX(SPOT_Import!$A$1:$Z$2488,826,'Live Data'!$C$21)="","",INDEX(SPOT_Import!$A$1:$Z$2488,826,'Live Data'!$C$21)),"")</f>
        <v>2026-10-08T15:33:11.000Z</v>
      </c>
      <c r="K826" s="54" t="str">
        <f>IFERROR(IF(INDEX(SPOT_Import!$A$1:$Z$2488,826,'Live Data'!$C$22)="","",INDEX(SPOT_Import!$A$1:$Z$2488,826,'Live Data'!$C$22)),"")</f>
        <v>2026-10-08T15:33:11.000Z</v>
      </c>
      <c r="L826" s="55" t="str">
        <f t="shared" si="24"/>
        <v>2026-10</v>
      </c>
      <c r="M826" s="55" t="str">
        <f t="shared" si="25"/>
        <v>KITUI</v>
      </c>
      <c r="N826" s="55" t="str">
        <f>IF(A826="","",IFERROR(INDEX('Cluster Map'!$A$4:$A$38,MATCH(M826,'Cluster Map'!$B$4:$B$38,0)),"Unmapped"))</f>
        <v>Cluster 5</v>
      </c>
      <c r="O826" s="55">
        <f>IF(A826="",0,IF(COUNTIFS($A$2:A826,A826,$F$2:F826,F826,$L$2:L826,L826)=1,1,0))</f>
        <v>1</v>
      </c>
      <c r="P826" s="55">
        <f>IF(A826="",0,IF(AND(F826="C&amp;T",COUNTIFS($A$2:A826,A826,$F$2:F826,"C&amp;T")=1),1,0))</f>
        <v>0</v>
      </c>
    </row>
    <row r="827" spans="1:16" x14ac:dyDescent="0.35">
      <c r="A827" s="54">
        <f>IFERROR(IF(INDEX(SPOT_Import!$A$1:$Z$2488,827,'Live Data'!$C$12)="","",INDEX(SPOT_Import!$A$1:$Z$2488,827,'Live Data'!$C$12)),"")</f>
        <v>20579</v>
      </c>
      <c r="B827" s="54" t="str">
        <f>IFERROR(IF(INDEX(SPOT_Import!$A$1:$Z$2488,827,'Live Data'!$C$13)="","",INDEX(SPOT_Import!$A$1:$Z$2488,827,'Live Data'!$C$13)),"")</f>
        <v>Kaliani Dispensary</v>
      </c>
      <c r="C827" s="54" t="str">
        <f>IFERROR(IF(INDEX(SPOT_Import!$A$1:$Z$2488,827,'Live Data'!$C$14)="","",INDEX(SPOT_Import!$A$1:$Z$2488,827,'Live Data'!$C$14)),"")</f>
        <v>KITUI</v>
      </c>
      <c r="D827" s="54" t="str">
        <f>IFERROR(IF(INDEX(SPOT_Import!$A$1:$Z$2488,827,'Live Data'!$C$15)="","",INDEX(SPOT_Import!$A$1:$Z$2488,827,'Live Data'!$C$15)),"")</f>
        <v>Kitui South</v>
      </c>
      <c r="E827" s="54" t="str">
        <f>IFERROR(IF(INDEX(SPOT_Import!$A$1:$Z$2488,827,'Live Data'!$C$16)="","",INDEX(SPOT_Import!$A$1:$Z$2488,827,'Live Data'!$C$16)),"")</f>
        <v>CHAK CHAP STAWISHA</v>
      </c>
      <c r="F827" s="54" t="str">
        <f>IFERROR(IF(INDEX(SPOT_Import!$A$1:$Z$2488,827,'Live Data'!$C$17)="","",INDEX(SPOT_Import!$A$1:$Z$2488,827,'Live Data'!$C$17)),"")</f>
        <v>PREP</v>
      </c>
      <c r="G827" s="54">
        <f>IFERROR(IF(INDEX(SPOT_Import!$A$1:$Z$2488,827,'Live Data'!$C$18)="","",INDEX(SPOT_Import!$A$1:$Z$2488,827,'Live Data'!$C$18)),"")</f>
        <v>159</v>
      </c>
      <c r="H827" s="54">
        <f>IFERROR(IF(INDEX(SPOT_Import!$A$1:$Z$2488,827,'Live Data'!$C$19)="","",INDEX(SPOT_Import!$A$1:$Z$2488,827,'Live Data'!$C$19)),"")</f>
        <v>159</v>
      </c>
      <c r="I827" s="54" t="str">
        <f>IFERROR(IF(INDEX(SPOT_Import!$A$1:$Z$2488,827,'Live Data'!$C$20)="","",INDEX(SPOT_Import!$A$1:$Z$2488,827,'Live Data'!$C$20)),"")</f>
        <v>Complete</v>
      </c>
      <c r="J827" s="54" t="str">
        <f>IFERROR(IF(INDEX(SPOT_Import!$A$1:$Z$2488,827,'Live Data'!$C$21)="","",INDEX(SPOT_Import!$A$1:$Z$2488,827,'Live Data'!$C$21)),"")</f>
        <v>2026-10-08T15:32:49.000Z</v>
      </c>
      <c r="K827" s="54" t="str">
        <f>IFERROR(IF(INDEX(SPOT_Import!$A$1:$Z$2488,827,'Live Data'!$C$22)="","",INDEX(SPOT_Import!$A$1:$Z$2488,827,'Live Data'!$C$22)),"")</f>
        <v>2026-10-08T15:32:49.000Z</v>
      </c>
      <c r="L827" s="55" t="str">
        <f t="shared" si="24"/>
        <v>2026-10</v>
      </c>
      <c r="M827" s="55" t="str">
        <f t="shared" si="25"/>
        <v>KITUI</v>
      </c>
      <c r="N827" s="55" t="str">
        <f>IF(A827="","",IFERROR(INDEX('Cluster Map'!$A$4:$A$38,MATCH(M827,'Cluster Map'!$B$4:$B$38,0)),"Unmapped"))</f>
        <v>Cluster 5</v>
      </c>
      <c r="O827" s="55">
        <f>IF(A827="",0,IF(COUNTIFS($A$2:A827,A827,$F$2:F827,F827,$L$2:L827,L827)=1,1,0))</f>
        <v>1</v>
      </c>
      <c r="P827" s="55">
        <f>IF(A827="",0,IF(AND(F827="C&amp;T",COUNTIFS($A$2:A827,A827,$F$2:F827,"C&amp;T")=1),1,0))</f>
        <v>0</v>
      </c>
    </row>
    <row r="828" spans="1:16" x14ac:dyDescent="0.35">
      <c r="A828" s="54">
        <f>IFERROR(IF(INDEX(SPOT_Import!$A$1:$Z$2488,828,'Live Data'!$C$12)="","",INDEX(SPOT_Import!$A$1:$Z$2488,828,'Live Data'!$C$12)),"")</f>
        <v>20579</v>
      </c>
      <c r="B828" s="54" t="str">
        <f>IFERROR(IF(INDEX(SPOT_Import!$A$1:$Z$2488,828,'Live Data'!$C$13)="","",INDEX(SPOT_Import!$A$1:$Z$2488,828,'Live Data'!$C$13)),"")</f>
        <v>Kaliani Dispensary</v>
      </c>
      <c r="C828" s="54" t="str">
        <f>IFERROR(IF(INDEX(SPOT_Import!$A$1:$Z$2488,828,'Live Data'!$C$14)="","",INDEX(SPOT_Import!$A$1:$Z$2488,828,'Live Data'!$C$14)),"")</f>
        <v>KITUI</v>
      </c>
      <c r="D828" s="54" t="str">
        <f>IFERROR(IF(INDEX(SPOT_Import!$A$1:$Z$2488,828,'Live Data'!$C$15)="","",INDEX(SPOT_Import!$A$1:$Z$2488,828,'Live Data'!$C$15)),"")</f>
        <v>Kitui South</v>
      </c>
      <c r="E828" s="54" t="str">
        <f>IFERROR(IF(INDEX(SPOT_Import!$A$1:$Z$2488,828,'Live Data'!$C$16)="","",INDEX(SPOT_Import!$A$1:$Z$2488,828,'Live Data'!$C$16)),"")</f>
        <v>CHAK CHAP STAWISHA</v>
      </c>
      <c r="F828" s="54" t="str">
        <f>IFERROR(IF(INDEX(SPOT_Import!$A$1:$Z$2488,828,'Live Data'!$C$17)="","",INDEX(SPOT_Import!$A$1:$Z$2488,828,'Live Data'!$C$17)),"")</f>
        <v>C&amp;T</v>
      </c>
      <c r="G828" s="54">
        <f>IFERROR(IF(INDEX(SPOT_Import!$A$1:$Z$2488,828,'Live Data'!$C$18)="","",INDEX(SPOT_Import!$A$1:$Z$2488,828,'Live Data'!$C$18)),"")</f>
        <v>75</v>
      </c>
      <c r="H828" s="54">
        <f>IFERROR(IF(INDEX(SPOT_Import!$A$1:$Z$2488,828,'Live Data'!$C$19)="","",INDEX(SPOT_Import!$A$1:$Z$2488,828,'Live Data'!$C$19)),"")</f>
        <v>75</v>
      </c>
      <c r="I828" s="54" t="str">
        <f>IFERROR(IF(INDEX(SPOT_Import!$A$1:$Z$2488,828,'Live Data'!$C$20)="","",INDEX(SPOT_Import!$A$1:$Z$2488,828,'Live Data'!$C$20)),"")</f>
        <v>Complete</v>
      </c>
      <c r="J828" s="54" t="str">
        <f>IFERROR(IF(INDEX(SPOT_Import!$A$1:$Z$2488,828,'Live Data'!$C$21)="","",INDEX(SPOT_Import!$A$1:$Z$2488,828,'Live Data'!$C$21)),"")</f>
        <v>2026-10-08T15:17:58.000Z</v>
      </c>
      <c r="K828" s="54" t="str">
        <f>IFERROR(IF(INDEX(SPOT_Import!$A$1:$Z$2488,828,'Live Data'!$C$22)="","",INDEX(SPOT_Import!$A$1:$Z$2488,828,'Live Data'!$C$22)),"")</f>
        <v>2026-10-08T15:17:58.000Z</v>
      </c>
      <c r="L828" s="55" t="str">
        <f t="shared" si="24"/>
        <v>2026-10</v>
      </c>
      <c r="M828" s="55" t="str">
        <f t="shared" si="25"/>
        <v>KITUI</v>
      </c>
      <c r="N828" s="55" t="str">
        <f>IF(A828="","",IFERROR(INDEX('Cluster Map'!$A$4:$A$38,MATCH(M828,'Cluster Map'!$B$4:$B$38,0)),"Unmapped"))</f>
        <v>Cluster 5</v>
      </c>
      <c r="O828" s="55">
        <f>IF(A828="",0,IF(COUNTIFS($A$2:A828,A828,$F$2:F828,F828,$L$2:L828,L828)=1,1,0))</f>
        <v>1</v>
      </c>
      <c r="P828" s="55">
        <f>IF(A828="",0,IF(AND(F828="C&amp;T",COUNTIFS($A$2:A828,A828,$F$2:F828,"C&amp;T")=1),1,0))</f>
        <v>1</v>
      </c>
    </row>
    <row r="829" spans="1:16" x14ac:dyDescent="0.35">
      <c r="A829" s="54">
        <f>IFERROR(IF(INDEX(SPOT_Import!$A$1:$Z$2488,829,'Live Data'!$C$12)="","",INDEX(SPOT_Import!$A$1:$Z$2488,829,'Live Data'!$C$12)),"")</f>
        <v>11041</v>
      </c>
      <c r="B829" s="54" t="str">
        <f>IFERROR(IF(INDEX(SPOT_Import!$A$1:$Z$2488,829,'Live Data'!$C$13)="","",INDEX(SPOT_Import!$A$1:$Z$2488,829,'Live Data'!$C$13)),"")</f>
        <v>St Joseph Catholic Dispensary (Ruiru)</v>
      </c>
      <c r="C829" s="54" t="str">
        <f>IFERROR(IF(INDEX(SPOT_Import!$A$1:$Z$2488,829,'Live Data'!$C$14)="","",INDEX(SPOT_Import!$A$1:$Z$2488,829,'Live Data'!$C$14)),"")</f>
        <v>KIAMBU</v>
      </c>
      <c r="D829" s="54" t="str">
        <f>IFERROR(IF(INDEX(SPOT_Import!$A$1:$Z$2488,829,'Live Data'!$C$15)="","",INDEX(SPOT_Import!$A$1:$Z$2488,829,'Live Data'!$C$15)),"")</f>
        <v>Ruiru</v>
      </c>
      <c r="E829" s="54" t="str">
        <f>IFERROR(IF(INDEX(SPOT_Import!$A$1:$Z$2488,829,'Live Data'!$C$16)="","",INDEX(SPOT_Import!$A$1:$Z$2488,829,'Live Data'!$C$16)),"")</f>
        <v>CHAK CHAP STAWISHA</v>
      </c>
      <c r="F829" s="54" t="str">
        <f>IFERROR(IF(INDEX(SPOT_Import!$A$1:$Z$2488,829,'Live Data'!$C$17)="","",INDEX(SPOT_Import!$A$1:$Z$2488,829,'Live Data'!$C$17)),"")</f>
        <v>HTS</v>
      </c>
      <c r="G829" s="54">
        <f>IFERROR(IF(INDEX(SPOT_Import!$A$1:$Z$2488,829,'Live Data'!$C$18)="","",INDEX(SPOT_Import!$A$1:$Z$2488,829,'Live Data'!$C$18)),"")</f>
        <v>3532</v>
      </c>
      <c r="H829" s="54">
        <f>IFERROR(IF(INDEX(SPOT_Import!$A$1:$Z$2488,829,'Live Data'!$C$19)="","",INDEX(SPOT_Import!$A$1:$Z$2488,829,'Live Data'!$C$19)),"")</f>
        <v>3532</v>
      </c>
      <c r="I829" s="54" t="str">
        <f>IFERROR(IF(INDEX(SPOT_Import!$A$1:$Z$2488,829,'Live Data'!$C$20)="","",INDEX(SPOT_Import!$A$1:$Z$2488,829,'Live Data'!$C$20)),"")</f>
        <v>Complete</v>
      </c>
      <c r="J829" s="54" t="str">
        <f>IFERROR(IF(INDEX(SPOT_Import!$A$1:$Z$2488,829,'Live Data'!$C$21)="","",INDEX(SPOT_Import!$A$1:$Z$2488,829,'Live Data'!$C$21)),"")</f>
        <v>2026-10-08T13:14:41.000Z</v>
      </c>
      <c r="K829" s="54" t="str">
        <f>IFERROR(IF(INDEX(SPOT_Import!$A$1:$Z$2488,829,'Live Data'!$C$22)="","",INDEX(SPOT_Import!$A$1:$Z$2488,829,'Live Data'!$C$22)),"")</f>
        <v>2026-10-08T13:14:41.000Z</v>
      </c>
      <c r="L829" s="55" t="str">
        <f t="shared" si="24"/>
        <v>2026-10</v>
      </c>
      <c r="M829" s="55" t="str">
        <f t="shared" si="25"/>
        <v>KIAMBU</v>
      </c>
      <c r="N829" s="55" t="str">
        <f>IF(A829="","",IFERROR(INDEX('Cluster Map'!$A$4:$A$38,MATCH(M829,'Cluster Map'!$B$4:$B$38,0)),"Unmapped"))</f>
        <v>Cluster 3</v>
      </c>
      <c r="O829" s="55">
        <f>IF(A829="",0,IF(COUNTIFS($A$2:A829,A829,$F$2:F829,F829,$L$2:L829,L829)=1,1,0))</f>
        <v>1</v>
      </c>
      <c r="P829" s="55">
        <f>IF(A829="",0,IF(AND(F829="C&amp;T",COUNTIFS($A$2:A829,A829,$F$2:F829,"C&amp;T")=1),1,0))</f>
        <v>0</v>
      </c>
    </row>
    <row r="830" spans="1:16" x14ac:dyDescent="0.35">
      <c r="A830" s="54">
        <f>IFERROR(IF(INDEX(SPOT_Import!$A$1:$Z$2488,830,'Live Data'!$C$12)="","",INDEX(SPOT_Import!$A$1:$Z$2488,830,'Live Data'!$C$12)),"")</f>
        <v>11041</v>
      </c>
      <c r="B830" s="54" t="str">
        <f>IFERROR(IF(INDEX(SPOT_Import!$A$1:$Z$2488,830,'Live Data'!$C$13)="","",INDEX(SPOT_Import!$A$1:$Z$2488,830,'Live Data'!$C$13)),"")</f>
        <v>St Joseph Catholic Dispensary (Ruiru)</v>
      </c>
      <c r="C830" s="54" t="str">
        <f>IFERROR(IF(INDEX(SPOT_Import!$A$1:$Z$2488,830,'Live Data'!$C$14)="","",INDEX(SPOT_Import!$A$1:$Z$2488,830,'Live Data'!$C$14)),"")</f>
        <v>KIAMBU</v>
      </c>
      <c r="D830" s="54" t="str">
        <f>IFERROR(IF(INDEX(SPOT_Import!$A$1:$Z$2488,830,'Live Data'!$C$15)="","",INDEX(SPOT_Import!$A$1:$Z$2488,830,'Live Data'!$C$15)),"")</f>
        <v>Ruiru</v>
      </c>
      <c r="E830" s="54" t="str">
        <f>IFERROR(IF(INDEX(SPOT_Import!$A$1:$Z$2488,830,'Live Data'!$C$16)="","",INDEX(SPOT_Import!$A$1:$Z$2488,830,'Live Data'!$C$16)),"")</f>
        <v>CHAK CHAP STAWISHA</v>
      </c>
      <c r="F830" s="54" t="str">
        <f>IFERROR(IF(INDEX(SPOT_Import!$A$1:$Z$2488,830,'Live Data'!$C$17)="","",INDEX(SPOT_Import!$A$1:$Z$2488,830,'Live Data'!$C$17)),"")</f>
        <v>MNCH</v>
      </c>
      <c r="G830" s="54">
        <f>IFERROR(IF(INDEX(SPOT_Import!$A$1:$Z$2488,830,'Live Data'!$C$18)="","",INDEX(SPOT_Import!$A$1:$Z$2488,830,'Live Data'!$C$18)),"")</f>
        <v>19</v>
      </c>
      <c r="H830" s="54">
        <f>IFERROR(IF(INDEX(SPOT_Import!$A$1:$Z$2488,830,'Live Data'!$C$19)="","",INDEX(SPOT_Import!$A$1:$Z$2488,830,'Live Data'!$C$19)),"")</f>
        <v>19</v>
      </c>
      <c r="I830" s="54" t="str">
        <f>IFERROR(IF(INDEX(SPOT_Import!$A$1:$Z$2488,830,'Live Data'!$C$20)="","",INDEX(SPOT_Import!$A$1:$Z$2488,830,'Live Data'!$C$20)),"")</f>
        <v>Complete</v>
      </c>
      <c r="J830" s="54" t="str">
        <f>IFERROR(IF(INDEX(SPOT_Import!$A$1:$Z$2488,830,'Live Data'!$C$21)="","",INDEX(SPOT_Import!$A$1:$Z$2488,830,'Live Data'!$C$21)),"")</f>
        <v>2026-10-08T13:14:17.000Z</v>
      </c>
      <c r="K830" s="54" t="str">
        <f>IFERROR(IF(INDEX(SPOT_Import!$A$1:$Z$2488,830,'Live Data'!$C$22)="","",INDEX(SPOT_Import!$A$1:$Z$2488,830,'Live Data'!$C$22)),"")</f>
        <v>2026-10-08T13:14:17.000Z</v>
      </c>
      <c r="L830" s="55" t="str">
        <f t="shared" si="24"/>
        <v>2026-10</v>
      </c>
      <c r="M830" s="55" t="str">
        <f t="shared" si="25"/>
        <v>KIAMBU</v>
      </c>
      <c r="N830" s="55" t="str">
        <f>IF(A830="","",IFERROR(INDEX('Cluster Map'!$A$4:$A$38,MATCH(M830,'Cluster Map'!$B$4:$B$38,0)),"Unmapped"))</f>
        <v>Cluster 3</v>
      </c>
      <c r="O830" s="55">
        <f>IF(A830="",0,IF(COUNTIFS($A$2:A830,A830,$F$2:F830,F830,$L$2:L830,L830)=1,1,0))</f>
        <v>1</v>
      </c>
      <c r="P830" s="55">
        <f>IF(A830="",0,IF(AND(F830="C&amp;T",COUNTIFS($A$2:A830,A830,$F$2:F830,"C&amp;T")=1),1,0))</f>
        <v>0</v>
      </c>
    </row>
    <row r="831" spans="1:16" x14ac:dyDescent="0.35">
      <c r="A831" s="54">
        <f>IFERROR(IF(INDEX(SPOT_Import!$A$1:$Z$2488,831,'Live Data'!$C$12)="","",INDEX(SPOT_Import!$A$1:$Z$2488,831,'Live Data'!$C$12)),"")</f>
        <v>12251</v>
      </c>
      <c r="B831" s="54" t="str">
        <f>IFERROR(IF(INDEX(SPOT_Import!$A$1:$Z$2488,831,'Live Data'!$C$13)="","",INDEX(SPOT_Import!$A$1:$Z$2488,831,'Live Data'!$C$13)),"")</f>
        <v>Katyethoka Health Centre</v>
      </c>
      <c r="C831" s="54" t="str">
        <f>IFERROR(IF(INDEX(SPOT_Import!$A$1:$Z$2488,831,'Live Data'!$C$14)="","",INDEX(SPOT_Import!$A$1:$Z$2488,831,'Live Data'!$C$14)),"")</f>
        <v>KITUI</v>
      </c>
      <c r="D831" s="54" t="str">
        <f>IFERROR(IF(INDEX(SPOT_Import!$A$1:$Z$2488,831,'Live Data'!$C$15)="","",INDEX(SPOT_Import!$A$1:$Z$2488,831,'Live Data'!$C$15)),"")</f>
        <v>Kitui South</v>
      </c>
      <c r="E831" s="54" t="str">
        <f>IFERROR(IF(INDEX(SPOT_Import!$A$1:$Z$2488,831,'Live Data'!$C$16)="","",INDEX(SPOT_Import!$A$1:$Z$2488,831,'Live Data'!$C$16)),"")</f>
        <v>CHAK CHAP STAWISHA</v>
      </c>
      <c r="F831" s="54" t="str">
        <f>IFERROR(IF(INDEX(SPOT_Import!$A$1:$Z$2488,831,'Live Data'!$C$17)="","",INDEX(SPOT_Import!$A$1:$Z$2488,831,'Live Data'!$C$17)),"")</f>
        <v>MNCH</v>
      </c>
      <c r="G831" s="54">
        <f>IFERROR(IF(INDEX(SPOT_Import!$A$1:$Z$2488,831,'Live Data'!$C$18)="","",INDEX(SPOT_Import!$A$1:$Z$2488,831,'Live Data'!$C$18)),"")</f>
        <v>4</v>
      </c>
      <c r="H831" s="54">
        <f>IFERROR(IF(INDEX(SPOT_Import!$A$1:$Z$2488,831,'Live Data'!$C$19)="","",INDEX(SPOT_Import!$A$1:$Z$2488,831,'Live Data'!$C$19)),"")</f>
        <v>4</v>
      </c>
      <c r="I831" s="54" t="str">
        <f>IFERROR(IF(INDEX(SPOT_Import!$A$1:$Z$2488,831,'Live Data'!$C$20)="","",INDEX(SPOT_Import!$A$1:$Z$2488,831,'Live Data'!$C$20)),"")</f>
        <v>Complete</v>
      </c>
      <c r="J831" s="54" t="str">
        <f>IFERROR(IF(INDEX(SPOT_Import!$A$1:$Z$2488,831,'Live Data'!$C$21)="","",INDEX(SPOT_Import!$A$1:$Z$2488,831,'Live Data'!$C$21)),"")</f>
        <v>2026-10-08T13:13:45.000Z</v>
      </c>
      <c r="K831" s="54" t="str">
        <f>IFERROR(IF(INDEX(SPOT_Import!$A$1:$Z$2488,831,'Live Data'!$C$22)="","",INDEX(SPOT_Import!$A$1:$Z$2488,831,'Live Data'!$C$22)),"")</f>
        <v>2026-10-08T13:13:45.000Z</v>
      </c>
      <c r="L831" s="55" t="str">
        <f t="shared" si="24"/>
        <v>2026-10</v>
      </c>
      <c r="M831" s="55" t="str">
        <f t="shared" si="25"/>
        <v>KITUI</v>
      </c>
      <c r="N831" s="55" t="str">
        <f>IF(A831="","",IFERROR(INDEX('Cluster Map'!$A$4:$A$38,MATCH(M831,'Cluster Map'!$B$4:$B$38,0)),"Unmapped"))</f>
        <v>Cluster 5</v>
      </c>
      <c r="O831" s="55">
        <f>IF(A831="",0,IF(COUNTIFS($A$2:A831,A831,$F$2:F831,F831,$L$2:L831,L831)=1,1,0))</f>
        <v>1</v>
      </c>
      <c r="P831" s="55">
        <f>IF(A831="",0,IF(AND(F831="C&amp;T",COUNTIFS($A$2:A831,A831,$F$2:F831,"C&amp;T")=1),1,0))</f>
        <v>0</v>
      </c>
    </row>
    <row r="832" spans="1:16" x14ac:dyDescent="0.35">
      <c r="A832" s="54">
        <f>IFERROR(IF(INDEX(SPOT_Import!$A$1:$Z$2488,832,'Live Data'!$C$12)="","",INDEX(SPOT_Import!$A$1:$Z$2488,832,'Live Data'!$C$12)),"")</f>
        <v>17490</v>
      </c>
      <c r="B832" s="54" t="str">
        <f>IFERROR(IF(INDEX(SPOT_Import!$A$1:$Z$2488,832,'Live Data'!$C$13)="","",INDEX(SPOT_Import!$A$1:$Z$2488,832,'Live Data'!$C$13)),"")</f>
        <v>Nazareth Hospital (Ruiru)</v>
      </c>
      <c r="C832" s="54" t="str">
        <f>IFERROR(IF(INDEX(SPOT_Import!$A$1:$Z$2488,832,'Live Data'!$C$14)="","",INDEX(SPOT_Import!$A$1:$Z$2488,832,'Live Data'!$C$14)),"")</f>
        <v>KIAMBU</v>
      </c>
      <c r="D832" s="54" t="str">
        <f>IFERROR(IF(INDEX(SPOT_Import!$A$1:$Z$2488,832,'Live Data'!$C$15)="","",INDEX(SPOT_Import!$A$1:$Z$2488,832,'Live Data'!$C$15)),"")</f>
        <v>Ruiru</v>
      </c>
      <c r="E832" s="54" t="str">
        <f>IFERROR(IF(INDEX(SPOT_Import!$A$1:$Z$2488,832,'Live Data'!$C$16)="","",INDEX(SPOT_Import!$A$1:$Z$2488,832,'Live Data'!$C$16)),"")</f>
        <v>CHAK CHAP STAWISHA</v>
      </c>
      <c r="F832" s="54" t="str">
        <f>IFERROR(IF(INDEX(SPOT_Import!$A$1:$Z$2488,832,'Live Data'!$C$17)="","",INDEX(SPOT_Import!$A$1:$Z$2488,832,'Live Data'!$C$17)),"")</f>
        <v>MNCH</v>
      </c>
      <c r="G832" s="54">
        <f>IFERROR(IF(INDEX(SPOT_Import!$A$1:$Z$2488,832,'Live Data'!$C$18)="","",INDEX(SPOT_Import!$A$1:$Z$2488,832,'Live Data'!$C$18)),"")</f>
        <v>85</v>
      </c>
      <c r="H832" s="54">
        <f>IFERROR(IF(INDEX(SPOT_Import!$A$1:$Z$2488,832,'Live Data'!$C$19)="","",INDEX(SPOT_Import!$A$1:$Z$2488,832,'Live Data'!$C$19)),"")</f>
        <v>85</v>
      </c>
      <c r="I832" s="54" t="str">
        <f>IFERROR(IF(INDEX(SPOT_Import!$A$1:$Z$2488,832,'Live Data'!$C$20)="","",INDEX(SPOT_Import!$A$1:$Z$2488,832,'Live Data'!$C$20)),"")</f>
        <v>Complete</v>
      </c>
      <c r="J832" s="54" t="str">
        <f>IFERROR(IF(INDEX(SPOT_Import!$A$1:$Z$2488,832,'Live Data'!$C$21)="","",INDEX(SPOT_Import!$A$1:$Z$2488,832,'Live Data'!$C$21)),"")</f>
        <v>2026-10-08T13:02:31.000Z</v>
      </c>
      <c r="K832" s="54" t="str">
        <f>IFERROR(IF(INDEX(SPOT_Import!$A$1:$Z$2488,832,'Live Data'!$C$22)="","",INDEX(SPOT_Import!$A$1:$Z$2488,832,'Live Data'!$C$22)),"")</f>
        <v>2026-10-08T13:02:31.000Z</v>
      </c>
      <c r="L832" s="55" t="str">
        <f t="shared" si="24"/>
        <v>2026-10</v>
      </c>
      <c r="M832" s="55" t="str">
        <f t="shared" si="25"/>
        <v>KIAMBU</v>
      </c>
      <c r="N832" s="55" t="str">
        <f>IF(A832="","",IFERROR(INDEX('Cluster Map'!$A$4:$A$38,MATCH(M832,'Cluster Map'!$B$4:$B$38,0)),"Unmapped"))</f>
        <v>Cluster 3</v>
      </c>
      <c r="O832" s="55">
        <f>IF(A832="",0,IF(COUNTIFS($A$2:A832,A832,$F$2:F832,F832,$L$2:L832,L832)=1,1,0))</f>
        <v>1</v>
      </c>
      <c r="P832" s="55">
        <f>IF(A832="",0,IF(AND(F832="C&amp;T",COUNTIFS($A$2:A832,A832,$F$2:F832,"C&amp;T")=1),1,0))</f>
        <v>0</v>
      </c>
    </row>
    <row r="833" spans="1:16" x14ac:dyDescent="0.35">
      <c r="A833" s="54">
        <f>IFERROR(IF(INDEX(SPOT_Import!$A$1:$Z$2488,833,'Live Data'!$C$12)="","",INDEX(SPOT_Import!$A$1:$Z$2488,833,'Live Data'!$C$12)),"")</f>
        <v>12251</v>
      </c>
      <c r="B833" s="54" t="str">
        <f>IFERROR(IF(INDEX(SPOT_Import!$A$1:$Z$2488,833,'Live Data'!$C$13)="","",INDEX(SPOT_Import!$A$1:$Z$2488,833,'Live Data'!$C$13)),"")</f>
        <v>Katyethoka Health Centre</v>
      </c>
      <c r="C833" s="54" t="str">
        <f>IFERROR(IF(INDEX(SPOT_Import!$A$1:$Z$2488,833,'Live Data'!$C$14)="","",INDEX(SPOT_Import!$A$1:$Z$2488,833,'Live Data'!$C$14)),"")</f>
        <v>KITUI</v>
      </c>
      <c r="D833" s="54" t="str">
        <f>IFERROR(IF(INDEX(SPOT_Import!$A$1:$Z$2488,833,'Live Data'!$C$15)="","",INDEX(SPOT_Import!$A$1:$Z$2488,833,'Live Data'!$C$15)),"")</f>
        <v>Kitui South</v>
      </c>
      <c r="E833" s="54" t="str">
        <f>IFERROR(IF(INDEX(SPOT_Import!$A$1:$Z$2488,833,'Live Data'!$C$16)="","",INDEX(SPOT_Import!$A$1:$Z$2488,833,'Live Data'!$C$16)),"")</f>
        <v>CHAK CHAP STAWISHA</v>
      </c>
      <c r="F833" s="54" t="str">
        <f>IFERROR(IF(INDEX(SPOT_Import!$A$1:$Z$2488,833,'Live Data'!$C$17)="","",INDEX(SPOT_Import!$A$1:$Z$2488,833,'Live Data'!$C$17)),"")</f>
        <v>HTS</v>
      </c>
      <c r="G833" s="54">
        <f>IFERROR(IF(INDEX(SPOT_Import!$A$1:$Z$2488,833,'Live Data'!$C$18)="","",INDEX(SPOT_Import!$A$1:$Z$2488,833,'Live Data'!$C$18)),"")</f>
        <v>1065</v>
      </c>
      <c r="H833" s="54">
        <f>IFERROR(IF(INDEX(SPOT_Import!$A$1:$Z$2488,833,'Live Data'!$C$19)="","",INDEX(SPOT_Import!$A$1:$Z$2488,833,'Live Data'!$C$19)),"")</f>
        <v>1065</v>
      </c>
      <c r="I833" s="54" t="str">
        <f>IFERROR(IF(INDEX(SPOT_Import!$A$1:$Z$2488,833,'Live Data'!$C$20)="","",INDEX(SPOT_Import!$A$1:$Z$2488,833,'Live Data'!$C$20)),"")</f>
        <v>Complete</v>
      </c>
      <c r="J833" s="54" t="str">
        <f>IFERROR(IF(INDEX(SPOT_Import!$A$1:$Z$2488,833,'Live Data'!$C$21)="","",INDEX(SPOT_Import!$A$1:$Z$2488,833,'Live Data'!$C$21)),"")</f>
        <v>2026-10-08T13:01:37.000Z</v>
      </c>
      <c r="K833" s="54" t="str">
        <f>IFERROR(IF(INDEX(SPOT_Import!$A$1:$Z$2488,833,'Live Data'!$C$22)="","",INDEX(SPOT_Import!$A$1:$Z$2488,833,'Live Data'!$C$22)),"")</f>
        <v>2026-10-08T13:01:37.000Z</v>
      </c>
      <c r="L833" s="55" t="str">
        <f t="shared" si="24"/>
        <v>2026-10</v>
      </c>
      <c r="M833" s="55" t="str">
        <f t="shared" si="25"/>
        <v>KITUI</v>
      </c>
      <c r="N833" s="55" t="str">
        <f>IF(A833="","",IFERROR(INDEX('Cluster Map'!$A$4:$A$38,MATCH(M833,'Cluster Map'!$B$4:$B$38,0)),"Unmapped"))</f>
        <v>Cluster 5</v>
      </c>
      <c r="O833" s="55">
        <f>IF(A833="",0,IF(COUNTIFS($A$2:A833,A833,$F$2:F833,F833,$L$2:L833,L833)=1,1,0))</f>
        <v>1</v>
      </c>
      <c r="P833" s="55">
        <f>IF(A833="",0,IF(AND(F833="C&amp;T",COUNTIFS($A$2:A833,A833,$F$2:F833,"C&amp;T")=1),1,0))</f>
        <v>0</v>
      </c>
    </row>
    <row r="834" spans="1:16" x14ac:dyDescent="0.35">
      <c r="A834" s="54">
        <f>IFERROR(IF(INDEX(SPOT_Import!$A$1:$Z$2488,834,'Live Data'!$C$12)="","",INDEX(SPOT_Import!$A$1:$Z$2488,834,'Live Data'!$C$12)),"")</f>
        <v>12251</v>
      </c>
      <c r="B834" s="54" t="str">
        <f>IFERROR(IF(INDEX(SPOT_Import!$A$1:$Z$2488,834,'Live Data'!$C$13)="","",INDEX(SPOT_Import!$A$1:$Z$2488,834,'Live Data'!$C$13)),"")</f>
        <v>Katyethoka Health Centre</v>
      </c>
      <c r="C834" s="54" t="str">
        <f>IFERROR(IF(INDEX(SPOT_Import!$A$1:$Z$2488,834,'Live Data'!$C$14)="","",INDEX(SPOT_Import!$A$1:$Z$2488,834,'Live Data'!$C$14)),"")</f>
        <v>KITUI</v>
      </c>
      <c r="D834" s="54" t="str">
        <f>IFERROR(IF(INDEX(SPOT_Import!$A$1:$Z$2488,834,'Live Data'!$C$15)="","",INDEX(SPOT_Import!$A$1:$Z$2488,834,'Live Data'!$C$15)),"")</f>
        <v>Kitui South</v>
      </c>
      <c r="E834" s="54" t="str">
        <f>IFERROR(IF(INDEX(SPOT_Import!$A$1:$Z$2488,834,'Live Data'!$C$16)="","",INDEX(SPOT_Import!$A$1:$Z$2488,834,'Live Data'!$C$16)),"")</f>
        <v>CHAK CHAP STAWISHA</v>
      </c>
      <c r="F834" s="54" t="str">
        <f>IFERROR(IF(INDEX(SPOT_Import!$A$1:$Z$2488,834,'Live Data'!$C$17)="","",INDEX(SPOT_Import!$A$1:$Z$2488,834,'Live Data'!$C$17)),"")</f>
        <v>PREP</v>
      </c>
      <c r="G834" s="54">
        <f>IFERROR(IF(INDEX(SPOT_Import!$A$1:$Z$2488,834,'Live Data'!$C$18)="","",INDEX(SPOT_Import!$A$1:$Z$2488,834,'Live Data'!$C$18)),"")</f>
        <v>159</v>
      </c>
      <c r="H834" s="54">
        <f>IFERROR(IF(INDEX(SPOT_Import!$A$1:$Z$2488,834,'Live Data'!$C$19)="","",INDEX(SPOT_Import!$A$1:$Z$2488,834,'Live Data'!$C$19)),"")</f>
        <v>159</v>
      </c>
      <c r="I834" s="54" t="str">
        <f>IFERROR(IF(INDEX(SPOT_Import!$A$1:$Z$2488,834,'Live Data'!$C$20)="","",INDEX(SPOT_Import!$A$1:$Z$2488,834,'Live Data'!$C$20)),"")</f>
        <v>Complete</v>
      </c>
      <c r="J834" s="54" t="str">
        <f>IFERROR(IF(INDEX(SPOT_Import!$A$1:$Z$2488,834,'Live Data'!$C$21)="","",INDEX(SPOT_Import!$A$1:$Z$2488,834,'Live Data'!$C$21)),"")</f>
        <v>2026-10-08T13:00:32.000Z</v>
      </c>
      <c r="K834" s="54" t="str">
        <f>IFERROR(IF(INDEX(SPOT_Import!$A$1:$Z$2488,834,'Live Data'!$C$22)="","",INDEX(SPOT_Import!$A$1:$Z$2488,834,'Live Data'!$C$22)),"")</f>
        <v>2026-10-08T13:00:32.000Z</v>
      </c>
      <c r="L834" s="55" t="str">
        <f t="shared" ref="L834:L897" si="26">IF(A834="","",IF(ISNUMBER(K834),TEXT(K834,"yyyy-mm"),LEFT(K834,7)))</f>
        <v>2026-10</v>
      </c>
      <c r="M834" s="55" t="str">
        <f t="shared" ref="M834:M897" si="27">IF(A834="","",UPPER(TRIM(SUBSTITUTE(C834," - ","-"))))</f>
        <v>KITUI</v>
      </c>
      <c r="N834" s="55" t="str">
        <f>IF(A834="","",IFERROR(INDEX('Cluster Map'!$A$4:$A$38,MATCH(M834,'Cluster Map'!$B$4:$B$38,0)),"Unmapped"))</f>
        <v>Cluster 5</v>
      </c>
      <c r="O834" s="55">
        <f>IF(A834="",0,IF(COUNTIFS($A$2:A834,A834,$F$2:F834,F834,$L$2:L834,L834)=1,1,0))</f>
        <v>1</v>
      </c>
      <c r="P834" s="55">
        <f>IF(A834="",0,IF(AND(F834="C&amp;T",COUNTIFS($A$2:A834,A834,$F$2:F834,"C&amp;T")=1),1,0))</f>
        <v>0</v>
      </c>
    </row>
    <row r="835" spans="1:16" x14ac:dyDescent="0.35">
      <c r="A835" s="54">
        <f>IFERROR(IF(INDEX(SPOT_Import!$A$1:$Z$2488,835,'Live Data'!$C$12)="","",INDEX(SPOT_Import!$A$1:$Z$2488,835,'Live Data'!$C$12)),"")</f>
        <v>11041</v>
      </c>
      <c r="B835" s="54" t="str">
        <f>IFERROR(IF(INDEX(SPOT_Import!$A$1:$Z$2488,835,'Live Data'!$C$13)="","",INDEX(SPOT_Import!$A$1:$Z$2488,835,'Live Data'!$C$13)),"")</f>
        <v>St Joseph Catholic Dispensary (Ruiru)</v>
      </c>
      <c r="C835" s="54" t="str">
        <f>IFERROR(IF(INDEX(SPOT_Import!$A$1:$Z$2488,835,'Live Data'!$C$14)="","",INDEX(SPOT_Import!$A$1:$Z$2488,835,'Live Data'!$C$14)),"")</f>
        <v>KIAMBU</v>
      </c>
      <c r="D835" s="54" t="str">
        <f>IFERROR(IF(INDEX(SPOT_Import!$A$1:$Z$2488,835,'Live Data'!$C$15)="","",INDEX(SPOT_Import!$A$1:$Z$2488,835,'Live Data'!$C$15)),"")</f>
        <v>Ruiru</v>
      </c>
      <c r="E835" s="54" t="str">
        <f>IFERROR(IF(INDEX(SPOT_Import!$A$1:$Z$2488,835,'Live Data'!$C$16)="","",INDEX(SPOT_Import!$A$1:$Z$2488,835,'Live Data'!$C$16)),"")</f>
        <v>CHAK CHAP STAWISHA</v>
      </c>
      <c r="F835" s="54" t="str">
        <f>IFERROR(IF(INDEX(SPOT_Import!$A$1:$Z$2488,835,'Live Data'!$C$17)="","",INDEX(SPOT_Import!$A$1:$Z$2488,835,'Live Data'!$C$17)),"")</f>
        <v>C&amp;T</v>
      </c>
      <c r="G835" s="54">
        <f>IFERROR(IF(INDEX(SPOT_Import!$A$1:$Z$2488,835,'Live Data'!$C$18)="","",INDEX(SPOT_Import!$A$1:$Z$2488,835,'Live Data'!$C$18)),"")</f>
        <v>1064</v>
      </c>
      <c r="H835" s="54">
        <f>IFERROR(IF(INDEX(SPOT_Import!$A$1:$Z$2488,835,'Live Data'!$C$19)="","",INDEX(SPOT_Import!$A$1:$Z$2488,835,'Live Data'!$C$19)),"")</f>
        <v>1064</v>
      </c>
      <c r="I835" s="54" t="str">
        <f>IFERROR(IF(INDEX(SPOT_Import!$A$1:$Z$2488,835,'Live Data'!$C$20)="","",INDEX(SPOT_Import!$A$1:$Z$2488,835,'Live Data'!$C$20)),"")</f>
        <v>Complete</v>
      </c>
      <c r="J835" s="54" t="str">
        <f>IFERROR(IF(INDEX(SPOT_Import!$A$1:$Z$2488,835,'Live Data'!$C$21)="","",INDEX(SPOT_Import!$A$1:$Z$2488,835,'Live Data'!$C$21)),"")</f>
        <v>2026-10-08T12:55:33.000Z</v>
      </c>
      <c r="K835" s="54" t="str">
        <f>IFERROR(IF(INDEX(SPOT_Import!$A$1:$Z$2488,835,'Live Data'!$C$22)="","",INDEX(SPOT_Import!$A$1:$Z$2488,835,'Live Data'!$C$22)),"")</f>
        <v>2026-10-08T12:55:33.000Z</v>
      </c>
      <c r="L835" s="55" t="str">
        <f t="shared" si="26"/>
        <v>2026-10</v>
      </c>
      <c r="M835" s="55" t="str">
        <f t="shared" si="27"/>
        <v>KIAMBU</v>
      </c>
      <c r="N835" s="55" t="str">
        <f>IF(A835="","",IFERROR(INDEX('Cluster Map'!$A$4:$A$38,MATCH(M835,'Cluster Map'!$B$4:$B$38,0)),"Unmapped"))</f>
        <v>Cluster 3</v>
      </c>
      <c r="O835" s="55">
        <f>IF(A835="",0,IF(COUNTIFS($A$2:A835,A835,$F$2:F835,F835,$L$2:L835,L835)=1,1,0))</f>
        <v>1</v>
      </c>
      <c r="P835" s="55">
        <f>IF(A835="",0,IF(AND(F835="C&amp;T",COUNTIFS($A$2:A835,A835,$F$2:F835,"C&amp;T")=1),1,0))</f>
        <v>1</v>
      </c>
    </row>
    <row r="836" spans="1:16" x14ac:dyDescent="0.35">
      <c r="A836" s="54">
        <f>IFERROR(IF(INDEX(SPOT_Import!$A$1:$Z$2488,836,'Live Data'!$C$12)="","",INDEX(SPOT_Import!$A$1:$Z$2488,836,'Live Data'!$C$12)),"")</f>
        <v>17490</v>
      </c>
      <c r="B836" s="54" t="str">
        <f>IFERROR(IF(INDEX(SPOT_Import!$A$1:$Z$2488,836,'Live Data'!$C$13)="","",INDEX(SPOT_Import!$A$1:$Z$2488,836,'Live Data'!$C$13)),"")</f>
        <v>Nazareth Hospital (Ruiru)</v>
      </c>
      <c r="C836" s="54" t="str">
        <f>IFERROR(IF(INDEX(SPOT_Import!$A$1:$Z$2488,836,'Live Data'!$C$14)="","",INDEX(SPOT_Import!$A$1:$Z$2488,836,'Live Data'!$C$14)),"")</f>
        <v>KIAMBU</v>
      </c>
      <c r="D836" s="54" t="str">
        <f>IFERROR(IF(INDEX(SPOT_Import!$A$1:$Z$2488,836,'Live Data'!$C$15)="","",INDEX(SPOT_Import!$A$1:$Z$2488,836,'Live Data'!$C$15)),"")</f>
        <v>Ruiru</v>
      </c>
      <c r="E836" s="54" t="str">
        <f>IFERROR(IF(INDEX(SPOT_Import!$A$1:$Z$2488,836,'Live Data'!$C$16)="","",INDEX(SPOT_Import!$A$1:$Z$2488,836,'Live Data'!$C$16)),"")</f>
        <v>CHAK CHAP STAWISHA</v>
      </c>
      <c r="F836" s="54" t="str">
        <f>IFERROR(IF(INDEX(SPOT_Import!$A$1:$Z$2488,836,'Live Data'!$C$17)="","",INDEX(SPOT_Import!$A$1:$Z$2488,836,'Live Data'!$C$17)),"")</f>
        <v>HTS</v>
      </c>
      <c r="G836" s="54">
        <f>IFERROR(IF(INDEX(SPOT_Import!$A$1:$Z$2488,836,'Live Data'!$C$18)="","",INDEX(SPOT_Import!$A$1:$Z$2488,836,'Live Data'!$C$18)),"")</f>
        <v>8784</v>
      </c>
      <c r="H836" s="54">
        <f>IFERROR(IF(INDEX(SPOT_Import!$A$1:$Z$2488,836,'Live Data'!$C$19)="","",INDEX(SPOT_Import!$A$1:$Z$2488,836,'Live Data'!$C$19)),"")</f>
        <v>8784</v>
      </c>
      <c r="I836" s="54" t="str">
        <f>IFERROR(IF(INDEX(SPOT_Import!$A$1:$Z$2488,836,'Live Data'!$C$20)="","",INDEX(SPOT_Import!$A$1:$Z$2488,836,'Live Data'!$C$20)),"")</f>
        <v>Complete</v>
      </c>
      <c r="J836" s="54" t="str">
        <f>IFERROR(IF(INDEX(SPOT_Import!$A$1:$Z$2488,836,'Live Data'!$C$21)="","",INDEX(SPOT_Import!$A$1:$Z$2488,836,'Live Data'!$C$21)),"")</f>
        <v>2026-10-08T12:51:21.000Z</v>
      </c>
      <c r="K836" s="54" t="str">
        <f>IFERROR(IF(INDEX(SPOT_Import!$A$1:$Z$2488,836,'Live Data'!$C$22)="","",INDEX(SPOT_Import!$A$1:$Z$2488,836,'Live Data'!$C$22)),"")</f>
        <v>2026-10-08T12:51:21.000Z</v>
      </c>
      <c r="L836" s="55" t="str">
        <f t="shared" si="26"/>
        <v>2026-10</v>
      </c>
      <c r="M836" s="55" t="str">
        <f t="shared" si="27"/>
        <v>KIAMBU</v>
      </c>
      <c r="N836" s="55" t="str">
        <f>IF(A836="","",IFERROR(INDEX('Cluster Map'!$A$4:$A$38,MATCH(M836,'Cluster Map'!$B$4:$B$38,0)),"Unmapped"))</f>
        <v>Cluster 3</v>
      </c>
      <c r="O836" s="55">
        <f>IF(A836="",0,IF(COUNTIFS($A$2:A836,A836,$F$2:F836,F836,$L$2:L836,L836)=1,1,0))</f>
        <v>1</v>
      </c>
      <c r="P836" s="55">
        <f>IF(A836="",0,IF(AND(F836="C&amp;T",COUNTIFS($A$2:A836,A836,$F$2:F836,"C&amp;T")=1),1,0))</f>
        <v>0</v>
      </c>
    </row>
    <row r="837" spans="1:16" x14ac:dyDescent="0.35">
      <c r="A837" s="54">
        <f>IFERROR(IF(INDEX(SPOT_Import!$A$1:$Z$2488,837,'Live Data'!$C$12)="","",INDEX(SPOT_Import!$A$1:$Z$2488,837,'Live Data'!$C$12)),"")</f>
        <v>11970</v>
      </c>
      <c r="B837" s="54" t="str">
        <f>IFERROR(IF(INDEX(SPOT_Import!$A$1:$Z$2488,837,'Live Data'!$C$13)="","",INDEX(SPOT_Import!$A$1:$Z$2488,837,'Live Data'!$C$13)),"")</f>
        <v>Chogoria (PCEA) Hospital</v>
      </c>
      <c r="C837" s="54" t="str">
        <f>IFERROR(IF(INDEX(SPOT_Import!$A$1:$Z$2488,837,'Live Data'!$C$14)="","",INDEX(SPOT_Import!$A$1:$Z$2488,837,'Live Data'!$C$14)),"")</f>
        <v>THARAKA - NITHI</v>
      </c>
      <c r="D837" s="54" t="str">
        <f>IFERROR(IF(INDEX(SPOT_Import!$A$1:$Z$2488,837,'Live Data'!$C$15)="","",INDEX(SPOT_Import!$A$1:$Z$2488,837,'Live Data'!$C$15)),"")</f>
        <v>MWIMBI</v>
      </c>
      <c r="E837" s="54" t="str">
        <f>IFERROR(IF(INDEX(SPOT_Import!$A$1:$Z$2488,837,'Live Data'!$C$16)="","",INDEX(SPOT_Import!$A$1:$Z$2488,837,'Live Data'!$C$16)),"")</f>
        <v>CHAK CHAP STAWISHA</v>
      </c>
      <c r="F837" s="54" t="str">
        <f>IFERROR(IF(INDEX(SPOT_Import!$A$1:$Z$2488,837,'Live Data'!$C$17)="","",INDEX(SPOT_Import!$A$1:$Z$2488,837,'Live Data'!$C$17)),"")</f>
        <v>MNCH</v>
      </c>
      <c r="G837" s="54">
        <f>IFERROR(IF(INDEX(SPOT_Import!$A$1:$Z$2488,837,'Live Data'!$C$18)="","",INDEX(SPOT_Import!$A$1:$Z$2488,837,'Live Data'!$C$18)),"")</f>
        <v>1137</v>
      </c>
      <c r="H837" s="54">
        <f>IFERROR(IF(INDEX(SPOT_Import!$A$1:$Z$2488,837,'Live Data'!$C$19)="","",INDEX(SPOT_Import!$A$1:$Z$2488,837,'Live Data'!$C$19)),"")</f>
        <v>1137</v>
      </c>
      <c r="I837" s="54" t="str">
        <f>IFERROR(IF(INDEX(SPOT_Import!$A$1:$Z$2488,837,'Live Data'!$C$20)="","",INDEX(SPOT_Import!$A$1:$Z$2488,837,'Live Data'!$C$20)),"")</f>
        <v>Complete</v>
      </c>
      <c r="J837" s="54" t="str">
        <f>IFERROR(IF(INDEX(SPOT_Import!$A$1:$Z$2488,837,'Live Data'!$C$21)="","",INDEX(SPOT_Import!$A$1:$Z$2488,837,'Live Data'!$C$21)),"")</f>
        <v>2026-10-08T12:38:03.000Z</v>
      </c>
      <c r="K837" s="54" t="str">
        <f>IFERROR(IF(INDEX(SPOT_Import!$A$1:$Z$2488,837,'Live Data'!$C$22)="","",INDEX(SPOT_Import!$A$1:$Z$2488,837,'Live Data'!$C$22)),"")</f>
        <v>2026-10-08T12:38:03.000Z</v>
      </c>
      <c r="L837" s="55" t="str">
        <f t="shared" si="26"/>
        <v>2026-10</v>
      </c>
      <c r="M837" s="55" t="str">
        <f t="shared" si="27"/>
        <v>THARAKA-NITHI</v>
      </c>
      <c r="N837" s="55" t="str">
        <f>IF(A837="","",IFERROR(INDEX('Cluster Map'!$A$4:$A$38,MATCH(M837,'Cluster Map'!$B$4:$B$38,0)),"Unmapped"))</f>
        <v>Cluster 2</v>
      </c>
      <c r="O837" s="55">
        <f>IF(A837="",0,IF(COUNTIFS($A$2:A837,A837,$F$2:F837,F837,$L$2:L837,L837)=1,1,0))</f>
        <v>1</v>
      </c>
      <c r="P837" s="55">
        <f>IF(A837="",0,IF(AND(F837="C&amp;T",COUNTIFS($A$2:A837,A837,$F$2:F837,"C&amp;T")=1),1,0))</f>
        <v>0</v>
      </c>
    </row>
    <row r="838" spans="1:16" x14ac:dyDescent="0.35">
      <c r="A838" s="54">
        <f>IFERROR(IF(INDEX(SPOT_Import!$A$1:$Z$2488,838,'Live Data'!$C$12)="","",INDEX(SPOT_Import!$A$1:$Z$2488,838,'Live Data'!$C$12)),"")</f>
        <v>11970</v>
      </c>
      <c r="B838" s="54" t="str">
        <f>IFERROR(IF(INDEX(SPOT_Import!$A$1:$Z$2488,838,'Live Data'!$C$13)="","",INDEX(SPOT_Import!$A$1:$Z$2488,838,'Live Data'!$C$13)),"")</f>
        <v>Chogoria (PCEA) Hospital</v>
      </c>
      <c r="C838" s="54" t="str">
        <f>IFERROR(IF(INDEX(SPOT_Import!$A$1:$Z$2488,838,'Live Data'!$C$14)="","",INDEX(SPOT_Import!$A$1:$Z$2488,838,'Live Data'!$C$14)),"")</f>
        <v>THARAKA - NITHI</v>
      </c>
      <c r="D838" s="54" t="str">
        <f>IFERROR(IF(INDEX(SPOT_Import!$A$1:$Z$2488,838,'Live Data'!$C$15)="","",INDEX(SPOT_Import!$A$1:$Z$2488,838,'Live Data'!$C$15)),"")</f>
        <v>MWIMBI</v>
      </c>
      <c r="E838" s="54" t="str">
        <f>IFERROR(IF(INDEX(SPOT_Import!$A$1:$Z$2488,838,'Live Data'!$C$16)="","",INDEX(SPOT_Import!$A$1:$Z$2488,838,'Live Data'!$C$16)),"")</f>
        <v>CHAK CHAP STAWISHA</v>
      </c>
      <c r="F838" s="54" t="str">
        <f>IFERROR(IF(INDEX(SPOT_Import!$A$1:$Z$2488,838,'Live Data'!$C$17)="","",INDEX(SPOT_Import!$A$1:$Z$2488,838,'Live Data'!$C$17)),"")</f>
        <v>HTS</v>
      </c>
      <c r="G838" s="54">
        <f>IFERROR(IF(INDEX(SPOT_Import!$A$1:$Z$2488,838,'Live Data'!$C$18)="","",INDEX(SPOT_Import!$A$1:$Z$2488,838,'Live Data'!$C$18)),"")</f>
        <v>12517</v>
      </c>
      <c r="H838" s="54">
        <f>IFERROR(IF(INDEX(SPOT_Import!$A$1:$Z$2488,838,'Live Data'!$C$19)="","",INDEX(SPOT_Import!$A$1:$Z$2488,838,'Live Data'!$C$19)),"")</f>
        <v>12517</v>
      </c>
      <c r="I838" s="54" t="str">
        <f>IFERROR(IF(INDEX(SPOT_Import!$A$1:$Z$2488,838,'Live Data'!$C$20)="","",INDEX(SPOT_Import!$A$1:$Z$2488,838,'Live Data'!$C$20)),"")</f>
        <v>Complete</v>
      </c>
      <c r="J838" s="54" t="str">
        <f>IFERROR(IF(INDEX(SPOT_Import!$A$1:$Z$2488,838,'Live Data'!$C$21)="","",INDEX(SPOT_Import!$A$1:$Z$2488,838,'Live Data'!$C$21)),"")</f>
        <v>2026-10-08T12:36:21.000Z</v>
      </c>
      <c r="K838" s="54" t="str">
        <f>IFERROR(IF(INDEX(SPOT_Import!$A$1:$Z$2488,838,'Live Data'!$C$22)="","",INDEX(SPOT_Import!$A$1:$Z$2488,838,'Live Data'!$C$22)),"")</f>
        <v>2026-10-08T12:36:21.000Z</v>
      </c>
      <c r="L838" s="55" t="str">
        <f t="shared" si="26"/>
        <v>2026-10</v>
      </c>
      <c r="M838" s="55" t="str">
        <f t="shared" si="27"/>
        <v>THARAKA-NITHI</v>
      </c>
      <c r="N838" s="55" t="str">
        <f>IF(A838="","",IFERROR(INDEX('Cluster Map'!$A$4:$A$38,MATCH(M838,'Cluster Map'!$B$4:$B$38,0)),"Unmapped"))</f>
        <v>Cluster 2</v>
      </c>
      <c r="O838" s="55">
        <f>IF(A838="",0,IF(COUNTIFS($A$2:A838,A838,$F$2:F838,F838,$L$2:L838,L838)=1,1,0))</f>
        <v>1</v>
      </c>
      <c r="P838" s="55">
        <f>IF(A838="",0,IF(AND(F838="C&amp;T",COUNTIFS($A$2:A838,A838,$F$2:F838,"C&amp;T")=1),1,0))</f>
        <v>0</v>
      </c>
    </row>
    <row r="839" spans="1:16" x14ac:dyDescent="0.35">
      <c r="A839" s="54">
        <f>IFERROR(IF(INDEX(SPOT_Import!$A$1:$Z$2488,839,'Live Data'!$C$12)="","",INDEX(SPOT_Import!$A$1:$Z$2488,839,'Live Data'!$C$12)),"")</f>
        <v>11970</v>
      </c>
      <c r="B839" s="54" t="str">
        <f>IFERROR(IF(INDEX(SPOT_Import!$A$1:$Z$2488,839,'Live Data'!$C$13)="","",INDEX(SPOT_Import!$A$1:$Z$2488,839,'Live Data'!$C$13)),"")</f>
        <v>Chogoria (PCEA) Hospital</v>
      </c>
      <c r="C839" s="54" t="str">
        <f>IFERROR(IF(INDEX(SPOT_Import!$A$1:$Z$2488,839,'Live Data'!$C$14)="","",INDEX(SPOT_Import!$A$1:$Z$2488,839,'Live Data'!$C$14)),"")</f>
        <v>THARAKA - NITHI</v>
      </c>
      <c r="D839" s="54" t="str">
        <f>IFERROR(IF(INDEX(SPOT_Import!$A$1:$Z$2488,839,'Live Data'!$C$15)="","",INDEX(SPOT_Import!$A$1:$Z$2488,839,'Live Data'!$C$15)),"")</f>
        <v>MWIMBI</v>
      </c>
      <c r="E839" s="54" t="str">
        <f>IFERROR(IF(INDEX(SPOT_Import!$A$1:$Z$2488,839,'Live Data'!$C$16)="","",INDEX(SPOT_Import!$A$1:$Z$2488,839,'Live Data'!$C$16)),"")</f>
        <v>CHAK CHAP STAWISHA</v>
      </c>
      <c r="F839" s="54" t="str">
        <f>IFERROR(IF(INDEX(SPOT_Import!$A$1:$Z$2488,839,'Live Data'!$C$17)="","",INDEX(SPOT_Import!$A$1:$Z$2488,839,'Live Data'!$C$17)),"")</f>
        <v>C&amp;T</v>
      </c>
      <c r="G839" s="54">
        <f>IFERROR(IF(INDEX(SPOT_Import!$A$1:$Z$2488,839,'Live Data'!$C$18)="","",INDEX(SPOT_Import!$A$1:$Z$2488,839,'Live Data'!$C$18)),"")</f>
        <v>6409</v>
      </c>
      <c r="H839" s="54">
        <f>IFERROR(IF(INDEX(SPOT_Import!$A$1:$Z$2488,839,'Live Data'!$C$19)="","",INDEX(SPOT_Import!$A$1:$Z$2488,839,'Live Data'!$C$19)),"")</f>
        <v>6409</v>
      </c>
      <c r="I839" s="54" t="str">
        <f>IFERROR(IF(INDEX(SPOT_Import!$A$1:$Z$2488,839,'Live Data'!$C$20)="","",INDEX(SPOT_Import!$A$1:$Z$2488,839,'Live Data'!$C$20)),"")</f>
        <v>Complete</v>
      </c>
      <c r="J839" s="54" t="str">
        <f>IFERROR(IF(INDEX(SPOT_Import!$A$1:$Z$2488,839,'Live Data'!$C$21)="","",INDEX(SPOT_Import!$A$1:$Z$2488,839,'Live Data'!$C$21)),"")</f>
        <v>2026-10-08T12:33:00.000Z</v>
      </c>
      <c r="K839" s="54" t="str">
        <f>IFERROR(IF(INDEX(SPOT_Import!$A$1:$Z$2488,839,'Live Data'!$C$22)="","",INDEX(SPOT_Import!$A$1:$Z$2488,839,'Live Data'!$C$22)),"")</f>
        <v>2026-10-08T12:33:00.000Z</v>
      </c>
      <c r="L839" s="55" t="str">
        <f t="shared" si="26"/>
        <v>2026-10</v>
      </c>
      <c r="M839" s="55" t="str">
        <f t="shared" si="27"/>
        <v>THARAKA-NITHI</v>
      </c>
      <c r="N839" s="55" t="str">
        <f>IF(A839="","",IFERROR(INDEX('Cluster Map'!$A$4:$A$38,MATCH(M839,'Cluster Map'!$B$4:$B$38,0)),"Unmapped"))</f>
        <v>Cluster 2</v>
      </c>
      <c r="O839" s="55">
        <f>IF(A839="",0,IF(COUNTIFS($A$2:A839,A839,$F$2:F839,F839,$L$2:L839,L839)=1,1,0))</f>
        <v>1</v>
      </c>
      <c r="P839" s="55">
        <f>IF(A839="",0,IF(AND(F839="C&amp;T",COUNTIFS($A$2:A839,A839,$F$2:F839,"C&amp;T")=1),1,0))</f>
        <v>1</v>
      </c>
    </row>
    <row r="840" spans="1:16" x14ac:dyDescent="0.35">
      <c r="A840" s="54">
        <f>IFERROR(IF(INDEX(SPOT_Import!$A$1:$Z$2488,840,'Live Data'!$C$12)="","",INDEX(SPOT_Import!$A$1:$Z$2488,840,'Live Data'!$C$12)),"")</f>
        <v>17490</v>
      </c>
      <c r="B840" s="54" t="str">
        <f>IFERROR(IF(INDEX(SPOT_Import!$A$1:$Z$2488,840,'Live Data'!$C$13)="","",INDEX(SPOT_Import!$A$1:$Z$2488,840,'Live Data'!$C$13)),"")</f>
        <v>Nazareth Hospital (Ruiru)</v>
      </c>
      <c r="C840" s="54" t="str">
        <f>IFERROR(IF(INDEX(SPOT_Import!$A$1:$Z$2488,840,'Live Data'!$C$14)="","",INDEX(SPOT_Import!$A$1:$Z$2488,840,'Live Data'!$C$14)),"")</f>
        <v>KIAMBU</v>
      </c>
      <c r="D840" s="54" t="str">
        <f>IFERROR(IF(INDEX(SPOT_Import!$A$1:$Z$2488,840,'Live Data'!$C$15)="","",INDEX(SPOT_Import!$A$1:$Z$2488,840,'Live Data'!$C$15)),"")</f>
        <v>Ruiru</v>
      </c>
      <c r="E840" s="54" t="str">
        <f>IFERROR(IF(INDEX(SPOT_Import!$A$1:$Z$2488,840,'Live Data'!$C$16)="","",INDEX(SPOT_Import!$A$1:$Z$2488,840,'Live Data'!$C$16)),"")</f>
        <v>CHAK CHAP STAWISHA</v>
      </c>
      <c r="F840" s="54" t="str">
        <f>IFERROR(IF(INDEX(SPOT_Import!$A$1:$Z$2488,840,'Live Data'!$C$17)="","",INDEX(SPOT_Import!$A$1:$Z$2488,840,'Live Data'!$C$17)),"")</f>
        <v>C&amp;T</v>
      </c>
      <c r="G840" s="54">
        <f>IFERROR(IF(INDEX(SPOT_Import!$A$1:$Z$2488,840,'Live Data'!$C$18)="","",INDEX(SPOT_Import!$A$1:$Z$2488,840,'Live Data'!$C$18)),"")</f>
        <v>1261</v>
      </c>
      <c r="H840" s="54">
        <f>IFERROR(IF(INDEX(SPOT_Import!$A$1:$Z$2488,840,'Live Data'!$C$19)="","",INDEX(SPOT_Import!$A$1:$Z$2488,840,'Live Data'!$C$19)),"")</f>
        <v>1261</v>
      </c>
      <c r="I840" s="54" t="str">
        <f>IFERROR(IF(INDEX(SPOT_Import!$A$1:$Z$2488,840,'Live Data'!$C$20)="","",INDEX(SPOT_Import!$A$1:$Z$2488,840,'Live Data'!$C$20)),"")</f>
        <v>Complete</v>
      </c>
      <c r="J840" s="54" t="str">
        <f>IFERROR(IF(INDEX(SPOT_Import!$A$1:$Z$2488,840,'Live Data'!$C$21)="","",INDEX(SPOT_Import!$A$1:$Z$2488,840,'Live Data'!$C$21)),"")</f>
        <v>2026-10-08T12:32:27.000Z</v>
      </c>
      <c r="K840" s="54" t="str">
        <f>IFERROR(IF(INDEX(SPOT_Import!$A$1:$Z$2488,840,'Live Data'!$C$22)="","",INDEX(SPOT_Import!$A$1:$Z$2488,840,'Live Data'!$C$22)),"")</f>
        <v>2026-10-08T12:32:27.000Z</v>
      </c>
      <c r="L840" s="55" t="str">
        <f t="shared" si="26"/>
        <v>2026-10</v>
      </c>
      <c r="M840" s="55" t="str">
        <f t="shared" si="27"/>
        <v>KIAMBU</v>
      </c>
      <c r="N840" s="55" t="str">
        <f>IF(A840="","",IFERROR(INDEX('Cluster Map'!$A$4:$A$38,MATCH(M840,'Cluster Map'!$B$4:$B$38,0)),"Unmapped"))</f>
        <v>Cluster 3</v>
      </c>
      <c r="O840" s="55">
        <f>IF(A840="",0,IF(COUNTIFS($A$2:A840,A840,$F$2:F840,F840,$L$2:L840,L840)=1,1,0))</f>
        <v>1</v>
      </c>
      <c r="P840" s="55">
        <f>IF(A840="",0,IF(AND(F840="C&amp;T",COUNTIFS($A$2:A840,A840,$F$2:F840,"C&amp;T")=1),1,0))</f>
        <v>1</v>
      </c>
    </row>
    <row r="841" spans="1:16" x14ac:dyDescent="0.35">
      <c r="A841" s="54">
        <f>IFERROR(IF(INDEX(SPOT_Import!$A$1:$Z$2488,841,'Live Data'!$C$12)="","",INDEX(SPOT_Import!$A$1:$Z$2488,841,'Live Data'!$C$12)),"")</f>
        <v>11970</v>
      </c>
      <c r="B841" s="54" t="str">
        <f>IFERROR(IF(INDEX(SPOT_Import!$A$1:$Z$2488,841,'Live Data'!$C$13)="","",INDEX(SPOT_Import!$A$1:$Z$2488,841,'Live Data'!$C$13)),"")</f>
        <v>Chogoria (PCEA) Hospital</v>
      </c>
      <c r="C841" s="54" t="str">
        <f>IFERROR(IF(INDEX(SPOT_Import!$A$1:$Z$2488,841,'Live Data'!$C$14)="","",INDEX(SPOT_Import!$A$1:$Z$2488,841,'Live Data'!$C$14)),"")</f>
        <v>THARAKA - NITHI</v>
      </c>
      <c r="D841" s="54" t="str">
        <f>IFERROR(IF(INDEX(SPOT_Import!$A$1:$Z$2488,841,'Live Data'!$C$15)="","",INDEX(SPOT_Import!$A$1:$Z$2488,841,'Live Data'!$C$15)),"")</f>
        <v>MWIMBI</v>
      </c>
      <c r="E841" s="54" t="str">
        <f>IFERROR(IF(INDEX(SPOT_Import!$A$1:$Z$2488,841,'Live Data'!$C$16)="","",INDEX(SPOT_Import!$A$1:$Z$2488,841,'Live Data'!$C$16)),"")</f>
        <v>CHAK CHAP STAWISHA</v>
      </c>
      <c r="F841" s="54" t="str">
        <f>IFERROR(IF(INDEX(SPOT_Import!$A$1:$Z$2488,841,'Live Data'!$C$17)="","",INDEX(SPOT_Import!$A$1:$Z$2488,841,'Live Data'!$C$17)),"")</f>
        <v>PREP</v>
      </c>
      <c r="G841" s="54">
        <f>IFERROR(IF(INDEX(SPOT_Import!$A$1:$Z$2488,841,'Live Data'!$C$18)="","",INDEX(SPOT_Import!$A$1:$Z$2488,841,'Live Data'!$C$18)),"")</f>
        <v>2160</v>
      </c>
      <c r="H841" s="54">
        <f>IFERROR(IF(INDEX(SPOT_Import!$A$1:$Z$2488,841,'Live Data'!$C$19)="","",INDEX(SPOT_Import!$A$1:$Z$2488,841,'Live Data'!$C$19)),"")</f>
        <v>1600</v>
      </c>
      <c r="I841" s="54" t="str">
        <f>IFERROR(IF(INDEX(SPOT_Import!$A$1:$Z$2488,841,'Live Data'!$C$20)="","",INDEX(SPOT_Import!$A$1:$Z$2488,841,'Live Data'!$C$20)),"")</f>
        <v>Incomplete</v>
      </c>
      <c r="J841" s="54" t="str">
        <f>IFERROR(IF(INDEX(SPOT_Import!$A$1:$Z$2488,841,'Live Data'!$C$21)="","",INDEX(SPOT_Import!$A$1:$Z$2488,841,'Live Data'!$C$21)),"")</f>
        <v>2026-10-08T12:28:55.000Z</v>
      </c>
      <c r="K841" s="54" t="str">
        <f>IFERROR(IF(INDEX(SPOT_Import!$A$1:$Z$2488,841,'Live Data'!$C$22)="","",INDEX(SPOT_Import!$A$1:$Z$2488,841,'Live Data'!$C$22)),"")</f>
        <v>2026-10-08T12:28:55.000Z</v>
      </c>
      <c r="L841" s="55" t="str">
        <f t="shared" si="26"/>
        <v>2026-10</v>
      </c>
      <c r="M841" s="55" t="str">
        <f t="shared" si="27"/>
        <v>THARAKA-NITHI</v>
      </c>
      <c r="N841" s="55" t="str">
        <f>IF(A841="","",IFERROR(INDEX('Cluster Map'!$A$4:$A$38,MATCH(M841,'Cluster Map'!$B$4:$B$38,0)),"Unmapped"))</f>
        <v>Cluster 2</v>
      </c>
      <c r="O841" s="55">
        <f>IF(A841="",0,IF(COUNTIFS($A$2:A841,A841,$F$2:F841,F841,$L$2:L841,L841)=1,1,0))</f>
        <v>0</v>
      </c>
      <c r="P841" s="55">
        <f>IF(A841="",0,IF(AND(F841="C&amp;T",COUNTIFS($A$2:A841,A841,$F$2:F841,"C&amp;T")=1),1,0))</f>
        <v>0</v>
      </c>
    </row>
    <row r="842" spans="1:16" x14ac:dyDescent="0.35">
      <c r="A842" s="54">
        <f>IFERROR(IF(INDEX(SPOT_Import!$A$1:$Z$2488,842,'Live Data'!$C$12)="","",INDEX(SPOT_Import!$A$1:$Z$2488,842,'Live Data'!$C$12)),"")</f>
        <v>17560</v>
      </c>
      <c r="B842" s="54" t="str">
        <f>IFERROR(IF(INDEX(SPOT_Import!$A$1:$Z$2488,842,'Live Data'!$C$13)="","",INDEX(SPOT_Import!$A$1:$Z$2488,842,'Live Data'!$C$13)),"")</f>
        <v>Njabini Catholic Dispensary</v>
      </c>
      <c r="C842" s="54" t="str">
        <f>IFERROR(IF(INDEX(SPOT_Import!$A$1:$Z$2488,842,'Live Data'!$C$14)="","",INDEX(SPOT_Import!$A$1:$Z$2488,842,'Live Data'!$C$14)),"")</f>
        <v>NYANDARUA</v>
      </c>
      <c r="D842" s="54" t="str">
        <f>IFERROR(IF(INDEX(SPOT_Import!$A$1:$Z$2488,842,'Live Data'!$C$15)="","",INDEX(SPOT_Import!$A$1:$Z$2488,842,'Live Data'!$C$15)),"")</f>
        <v>Kinangop</v>
      </c>
      <c r="E842" s="54" t="str">
        <f>IFERROR(IF(INDEX(SPOT_Import!$A$1:$Z$2488,842,'Live Data'!$C$16)="","",INDEX(SPOT_Import!$A$1:$Z$2488,842,'Live Data'!$C$16)),"")</f>
        <v>CHAK CHAP STAWISHA</v>
      </c>
      <c r="F842" s="54" t="str">
        <f>IFERROR(IF(INDEX(SPOT_Import!$A$1:$Z$2488,842,'Live Data'!$C$17)="","",INDEX(SPOT_Import!$A$1:$Z$2488,842,'Live Data'!$C$17)),"")</f>
        <v>MNCH</v>
      </c>
      <c r="G842" s="54">
        <f>IFERROR(IF(INDEX(SPOT_Import!$A$1:$Z$2488,842,'Live Data'!$C$18)="","",INDEX(SPOT_Import!$A$1:$Z$2488,842,'Live Data'!$C$18)),"")</f>
        <v>13</v>
      </c>
      <c r="H842" s="54">
        <f>IFERROR(IF(INDEX(SPOT_Import!$A$1:$Z$2488,842,'Live Data'!$C$19)="","",INDEX(SPOT_Import!$A$1:$Z$2488,842,'Live Data'!$C$19)),"")</f>
        <v>13</v>
      </c>
      <c r="I842" s="54" t="str">
        <f>IFERROR(IF(INDEX(SPOT_Import!$A$1:$Z$2488,842,'Live Data'!$C$20)="","",INDEX(SPOT_Import!$A$1:$Z$2488,842,'Live Data'!$C$20)),"")</f>
        <v>Complete</v>
      </c>
      <c r="J842" s="54" t="str">
        <f>IFERROR(IF(INDEX(SPOT_Import!$A$1:$Z$2488,842,'Live Data'!$C$21)="","",INDEX(SPOT_Import!$A$1:$Z$2488,842,'Live Data'!$C$21)),"")</f>
        <v>2026-10-08T12:20:57.000Z</v>
      </c>
      <c r="K842" s="54" t="str">
        <f>IFERROR(IF(INDEX(SPOT_Import!$A$1:$Z$2488,842,'Live Data'!$C$22)="","",INDEX(SPOT_Import!$A$1:$Z$2488,842,'Live Data'!$C$22)),"")</f>
        <v>2026-10-08T12:20:57.000Z</v>
      </c>
      <c r="L842" s="55" t="str">
        <f t="shared" si="26"/>
        <v>2026-10</v>
      </c>
      <c r="M842" s="55" t="str">
        <f t="shared" si="27"/>
        <v>NYANDARUA</v>
      </c>
      <c r="N842" s="55" t="str">
        <f>IF(A842="","",IFERROR(INDEX('Cluster Map'!$A$4:$A$38,MATCH(M842,'Cluster Map'!$B$4:$B$38,0)),"Unmapped"))</f>
        <v>Cluster 4</v>
      </c>
      <c r="O842" s="55">
        <f>IF(A842="",0,IF(COUNTIFS($A$2:A842,A842,$F$2:F842,F842,$L$2:L842,L842)=1,1,0))</f>
        <v>1</v>
      </c>
      <c r="P842" s="55">
        <f>IF(A842="",0,IF(AND(F842="C&amp;T",COUNTIFS($A$2:A842,A842,$F$2:F842,"C&amp;T")=1),1,0))</f>
        <v>0</v>
      </c>
    </row>
    <row r="843" spans="1:16" x14ac:dyDescent="0.35">
      <c r="A843" s="54">
        <f>IFERROR(IF(INDEX(SPOT_Import!$A$1:$Z$2488,843,'Live Data'!$C$12)="","",INDEX(SPOT_Import!$A$1:$Z$2488,843,'Live Data'!$C$12)),"")</f>
        <v>17560</v>
      </c>
      <c r="B843" s="54" t="str">
        <f>IFERROR(IF(INDEX(SPOT_Import!$A$1:$Z$2488,843,'Live Data'!$C$13)="","",INDEX(SPOT_Import!$A$1:$Z$2488,843,'Live Data'!$C$13)),"")</f>
        <v>Njabini Catholic Dispensary</v>
      </c>
      <c r="C843" s="54" t="str">
        <f>IFERROR(IF(INDEX(SPOT_Import!$A$1:$Z$2488,843,'Live Data'!$C$14)="","",INDEX(SPOT_Import!$A$1:$Z$2488,843,'Live Data'!$C$14)),"")</f>
        <v>NYANDARUA</v>
      </c>
      <c r="D843" s="54" t="str">
        <f>IFERROR(IF(INDEX(SPOT_Import!$A$1:$Z$2488,843,'Live Data'!$C$15)="","",INDEX(SPOT_Import!$A$1:$Z$2488,843,'Live Data'!$C$15)),"")</f>
        <v>Kinangop</v>
      </c>
      <c r="E843" s="54" t="str">
        <f>IFERROR(IF(INDEX(SPOT_Import!$A$1:$Z$2488,843,'Live Data'!$C$16)="","",INDEX(SPOT_Import!$A$1:$Z$2488,843,'Live Data'!$C$16)),"")</f>
        <v>CHAK CHAP STAWISHA</v>
      </c>
      <c r="F843" s="54" t="str">
        <f>IFERROR(IF(INDEX(SPOT_Import!$A$1:$Z$2488,843,'Live Data'!$C$17)="","",INDEX(SPOT_Import!$A$1:$Z$2488,843,'Live Data'!$C$17)),"")</f>
        <v>HTS</v>
      </c>
      <c r="G843" s="54">
        <f>IFERROR(IF(INDEX(SPOT_Import!$A$1:$Z$2488,843,'Live Data'!$C$18)="","",INDEX(SPOT_Import!$A$1:$Z$2488,843,'Live Data'!$C$18)),"")</f>
        <v>3943</v>
      </c>
      <c r="H843" s="54">
        <f>IFERROR(IF(INDEX(SPOT_Import!$A$1:$Z$2488,843,'Live Data'!$C$19)="","",INDEX(SPOT_Import!$A$1:$Z$2488,843,'Live Data'!$C$19)),"")</f>
        <v>3943</v>
      </c>
      <c r="I843" s="54" t="str">
        <f>IFERROR(IF(INDEX(SPOT_Import!$A$1:$Z$2488,843,'Live Data'!$C$20)="","",INDEX(SPOT_Import!$A$1:$Z$2488,843,'Live Data'!$C$20)),"")</f>
        <v>Complete</v>
      </c>
      <c r="J843" s="54" t="str">
        <f>IFERROR(IF(INDEX(SPOT_Import!$A$1:$Z$2488,843,'Live Data'!$C$21)="","",INDEX(SPOT_Import!$A$1:$Z$2488,843,'Live Data'!$C$21)),"")</f>
        <v>2026-10-08T11:37:50.000Z</v>
      </c>
      <c r="K843" s="54" t="str">
        <f>IFERROR(IF(INDEX(SPOT_Import!$A$1:$Z$2488,843,'Live Data'!$C$22)="","",INDEX(SPOT_Import!$A$1:$Z$2488,843,'Live Data'!$C$22)),"")</f>
        <v>2026-10-08T11:37:50.000Z</v>
      </c>
      <c r="L843" s="55" t="str">
        <f t="shared" si="26"/>
        <v>2026-10</v>
      </c>
      <c r="M843" s="55" t="str">
        <f t="shared" si="27"/>
        <v>NYANDARUA</v>
      </c>
      <c r="N843" s="55" t="str">
        <f>IF(A843="","",IFERROR(INDEX('Cluster Map'!$A$4:$A$38,MATCH(M843,'Cluster Map'!$B$4:$B$38,0)),"Unmapped"))</f>
        <v>Cluster 4</v>
      </c>
      <c r="O843" s="55">
        <f>IF(A843="",0,IF(COUNTIFS($A$2:A843,A843,$F$2:F843,F843,$L$2:L843,L843)=1,1,0))</f>
        <v>1</v>
      </c>
      <c r="P843" s="55">
        <f>IF(A843="",0,IF(AND(F843="C&amp;T",COUNTIFS($A$2:A843,A843,$F$2:F843,"C&amp;T")=1),1,0))</f>
        <v>0</v>
      </c>
    </row>
    <row r="844" spans="1:16" x14ac:dyDescent="0.35">
      <c r="A844" s="54">
        <f>IFERROR(IF(INDEX(SPOT_Import!$A$1:$Z$2488,844,'Live Data'!$C$12)="","",INDEX(SPOT_Import!$A$1:$Z$2488,844,'Live Data'!$C$12)),"")</f>
        <v>17560</v>
      </c>
      <c r="B844" s="54" t="str">
        <f>IFERROR(IF(INDEX(SPOT_Import!$A$1:$Z$2488,844,'Live Data'!$C$13)="","",INDEX(SPOT_Import!$A$1:$Z$2488,844,'Live Data'!$C$13)),"")</f>
        <v>Njabini Catholic Dispensary</v>
      </c>
      <c r="C844" s="54" t="str">
        <f>IFERROR(IF(INDEX(SPOT_Import!$A$1:$Z$2488,844,'Live Data'!$C$14)="","",INDEX(SPOT_Import!$A$1:$Z$2488,844,'Live Data'!$C$14)),"")</f>
        <v>NYANDARUA</v>
      </c>
      <c r="D844" s="54" t="str">
        <f>IFERROR(IF(INDEX(SPOT_Import!$A$1:$Z$2488,844,'Live Data'!$C$15)="","",INDEX(SPOT_Import!$A$1:$Z$2488,844,'Live Data'!$C$15)),"")</f>
        <v>Kinangop</v>
      </c>
      <c r="E844" s="54" t="str">
        <f>IFERROR(IF(INDEX(SPOT_Import!$A$1:$Z$2488,844,'Live Data'!$C$16)="","",INDEX(SPOT_Import!$A$1:$Z$2488,844,'Live Data'!$C$16)),"")</f>
        <v>CHAK CHAP STAWISHA</v>
      </c>
      <c r="F844" s="54" t="str">
        <f>IFERROR(IF(INDEX(SPOT_Import!$A$1:$Z$2488,844,'Live Data'!$C$17)="","",INDEX(SPOT_Import!$A$1:$Z$2488,844,'Live Data'!$C$17)),"")</f>
        <v>C&amp;T</v>
      </c>
      <c r="G844" s="54">
        <f>IFERROR(IF(INDEX(SPOT_Import!$A$1:$Z$2488,844,'Live Data'!$C$18)="","",INDEX(SPOT_Import!$A$1:$Z$2488,844,'Live Data'!$C$18)),"")</f>
        <v>1083</v>
      </c>
      <c r="H844" s="54">
        <f>IFERROR(IF(INDEX(SPOT_Import!$A$1:$Z$2488,844,'Live Data'!$C$19)="","",INDEX(SPOT_Import!$A$1:$Z$2488,844,'Live Data'!$C$19)),"")</f>
        <v>1083</v>
      </c>
      <c r="I844" s="54" t="str">
        <f>IFERROR(IF(INDEX(SPOT_Import!$A$1:$Z$2488,844,'Live Data'!$C$20)="","",INDEX(SPOT_Import!$A$1:$Z$2488,844,'Live Data'!$C$20)),"")</f>
        <v>Complete</v>
      </c>
      <c r="J844" s="54" t="str">
        <f>IFERROR(IF(INDEX(SPOT_Import!$A$1:$Z$2488,844,'Live Data'!$C$21)="","",INDEX(SPOT_Import!$A$1:$Z$2488,844,'Live Data'!$C$21)),"")</f>
        <v>2026-10-08T11:35:32.000Z</v>
      </c>
      <c r="K844" s="54" t="str">
        <f>IFERROR(IF(INDEX(SPOT_Import!$A$1:$Z$2488,844,'Live Data'!$C$22)="","",INDEX(SPOT_Import!$A$1:$Z$2488,844,'Live Data'!$C$22)),"")</f>
        <v>2026-10-08T11:35:32.000Z</v>
      </c>
      <c r="L844" s="55" t="str">
        <f t="shared" si="26"/>
        <v>2026-10</v>
      </c>
      <c r="M844" s="55" t="str">
        <f t="shared" si="27"/>
        <v>NYANDARUA</v>
      </c>
      <c r="N844" s="55" t="str">
        <f>IF(A844="","",IFERROR(INDEX('Cluster Map'!$A$4:$A$38,MATCH(M844,'Cluster Map'!$B$4:$B$38,0)),"Unmapped"))</f>
        <v>Cluster 4</v>
      </c>
      <c r="O844" s="55">
        <f>IF(A844="",0,IF(COUNTIFS($A$2:A844,A844,$F$2:F844,F844,$L$2:L844,L844)=1,1,0))</f>
        <v>1</v>
      </c>
      <c r="P844" s="55">
        <f>IF(A844="",0,IF(AND(F844="C&amp;T",COUNTIFS($A$2:A844,A844,$F$2:F844,"C&amp;T")=1),1,0))</f>
        <v>1</v>
      </c>
    </row>
    <row r="845" spans="1:16" x14ac:dyDescent="0.35">
      <c r="A845" s="54">
        <f>IFERROR(IF(INDEX(SPOT_Import!$A$1:$Z$2488,845,'Live Data'!$C$12)="","",INDEX(SPOT_Import!$A$1:$Z$2488,845,'Live Data'!$C$12)),"")</f>
        <v>17560</v>
      </c>
      <c r="B845" s="54" t="str">
        <f>IFERROR(IF(INDEX(SPOT_Import!$A$1:$Z$2488,845,'Live Data'!$C$13)="","",INDEX(SPOT_Import!$A$1:$Z$2488,845,'Live Data'!$C$13)),"")</f>
        <v>Njabini Catholic Dispensary</v>
      </c>
      <c r="C845" s="54" t="str">
        <f>IFERROR(IF(INDEX(SPOT_Import!$A$1:$Z$2488,845,'Live Data'!$C$14)="","",INDEX(SPOT_Import!$A$1:$Z$2488,845,'Live Data'!$C$14)),"")</f>
        <v>NYANDARUA</v>
      </c>
      <c r="D845" s="54" t="str">
        <f>IFERROR(IF(INDEX(SPOT_Import!$A$1:$Z$2488,845,'Live Data'!$C$15)="","",INDEX(SPOT_Import!$A$1:$Z$2488,845,'Live Data'!$C$15)),"")</f>
        <v>Kinangop</v>
      </c>
      <c r="E845" s="54" t="str">
        <f>IFERROR(IF(INDEX(SPOT_Import!$A$1:$Z$2488,845,'Live Data'!$C$16)="","",INDEX(SPOT_Import!$A$1:$Z$2488,845,'Live Data'!$C$16)),"")</f>
        <v>CHAK CHAP STAWISHA</v>
      </c>
      <c r="F845" s="54" t="str">
        <f>IFERROR(IF(INDEX(SPOT_Import!$A$1:$Z$2488,845,'Live Data'!$C$17)="","",INDEX(SPOT_Import!$A$1:$Z$2488,845,'Live Data'!$C$17)),"")</f>
        <v>PREP</v>
      </c>
      <c r="G845" s="54">
        <f>IFERROR(IF(INDEX(SPOT_Import!$A$1:$Z$2488,845,'Live Data'!$C$18)="","",INDEX(SPOT_Import!$A$1:$Z$2488,845,'Live Data'!$C$18)),"")</f>
        <v>713</v>
      </c>
      <c r="H845" s="54">
        <f>IFERROR(IF(INDEX(SPOT_Import!$A$1:$Z$2488,845,'Live Data'!$C$19)="","",INDEX(SPOT_Import!$A$1:$Z$2488,845,'Live Data'!$C$19)),"")</f>
        <v>713</v>
      </c>
      <c r="I845" s="54" t="str">
        <f>IFERROR(IF(INDEX(SPOT_Import!$A$1:$Z$2488,845,'Live Data'!$C$20)="","",INDEX(SPOT_Import!$A$1:$Z$2488,845,'Live Data'!$C$20)),"")</f>
        <v>Complete</v>
      </c>
      <c r="J845" s="54" t="str">
        <f>IFERROR(IF(INDEX(SPOT_Import!$A$1:$Z$2488,845,'Live Data'!$C$21)="","",INDEX(SPOT_Import!$A$1:$Z$2488,845,'Live Data'!$C$21)),"")</f>
        <v>2026-10-08T11:32:55.000Z</v>
      </c>
      <c r="K845" s="54" t="str">
        <f>IFERROR(IF(INDEX(SPOT_Import!$A$1:$Z$2488,845,'Live Data'!$C$22)="","",INDEX(SPOT_Import!$A$1:$Z$2488,845,'Live Data'!$C$22)),"")</f>
        <v>2026-10-08T11:32:55.000Z</v>
      </c>
      <c r="L845" s="55" t="str">
        <f t="shared" si="26"/>
        <v>2026-10</v>
      </c>
      <c r="M845" s="55" t="str">
        <f t="shared" si="27"/>
        <v>NYANDARUA</v>
      </c>
      <c r="N845" s="55" t="str">
        <f>IF(A845="","",IFERROR(INDEX('Cluster Map'!$A$4:$A$38,MATCH(M845,'Cluster Map'!$B$4:$B$38,0)),"Unmapped"))</f>
        <v>Cluster 4</v>
      </c>
      <c r="O845" s="55">
        <f>IF(A845="",0,IF(COUNTIFS($A$2:A845,A845,$F$2:F845,F845,$L$2:L845,L845)=1,1,0))</f>
        <v>1</v>
      </c>
      <c r="P845" s="55">
        <f>IF(A845="",0,IF(AND(F845="C&amp;T",COUNTIFS($A$2:A845,A845,$F$2:F845,"C&amp;T")=1),1,0))</f>
        <v>0</v>
      </c>
    </row>
    <row r="846" spans="1:16" x14ac:dyDescent="0.35">
      <c r="A846" s="54">
        <f>IFERROR(IF(INDEX(SPOT_Import!$A$1:$Z$2488,846,'Live Data'!$C$12)="","",INDEX(SPOT_Import!$A$1:$Z$2488,846,'Live Data'!$C$12)),"")</f>
        <v>12251</v>
      </c>
      <c r="B846" s="54" t="str">
        <f>IFERROR(IF(INDEX(SPOT_Import!$A$1:$Z$2488,846,'Live Data'!$C$13)="","",INDEX(SPOT_Import!$A$1:$Z$2488,846,'Live Data'!$C$13)),"")</f>
        <v>Katyethoka Health Centre</v>
      </c>
      <c r="C846" s="54" t="str">
        <f>IFERROR(IF(INDEX(SPOT_Import!$A$1:$Z$2488,846,'Live Data'!$C$14)="","",INDEX(SPOT_Import!$A$1:$Z$2488,846,'Live Data'!$C$14)),"")</f>
        <v>KITUI</v>
      </c>
      <c r="D846" s="54" t="str">
        <f>IFERROR(IF(INDEX(SPOT_Import!$A$1:$Z$2488,846,'Live Data'!$C$15)="","",INDEX(SPOT_Import!$A$1:$Z$2488,846,'Live Data'!$C$15)),"")</f>
        <v>Kitui South</v>
      </c>
      <c r="E846" s="54" t="str">
        <f>IFERROR(IF(INDEX(SPOT_Import!$A$1:$Z$2488,846,'Live Data'!$C$16)="","",INDEX(SPOT_Import!$A$1:$Z$2488,846,'Live Data'!$C$16)),"")</f>
        <v>CHAK CHAP STAWISHA</v>
      </c>
      <c r="F846" s="54" t="str">
        <f>IFERROR(IF(INDEX(SPOT_Import!$A$1:$Z$2488,846,'Live Data'!$C$17)="","",INDEX(SPOT_Import!$A$1:$Z$2488,846,'Live Data'!$C$17)),"")</f>
        <v>C&amp;T</v>
      </c>
      <c r="G846" s="54">
        <f>IFERROR(IF(INDEX(SPOT_Import!$A$1:$Z$2488,846,'Live Data'!$C$18)="","",INDEX(SPOT_Import!$A$1:$Z$2488,846,'Live Data'!$C$18)),"")</f>
        <v>240</v>
      </c>
      <c r="H846" s="54">
        <f>IFERROR(IF(INDEX(SPOT_Import!$A$1:$Z$2488,846,'Live Data'!$C$19)="","",INDEX(SPOT_Import!$A$1:$Z$2488,846,'Live Data'!$C$19)),"")</f>
        <v>240</v>
      </c>
      <c r="I846" s="54" t="str">
        <f>IFERROR(IF(INDEX(SPOT_Import!$A$1:$Z$2488,846,'Live Data'!$C$20)="","",INDEX(SPOT_Import!$A$1:$Z$2488,846,'Live Data'!$C$20)),"")</f>
        <v>Complete</v>
      </c>
      <c r="J846" s="54" t="str">
        <f>IFERROR(IF(INDEX(SPOT_Import!$A$1:$Z$2488,846,'Live Data'!$C$21)="","",INDEX(SPOT_Import!$A$1:$Z$2488,846,'Live Data'!$C$21)),"")</f>
        <v>2026-10-08T10:53:52.000Z</v>
      </c>
      <c r="K846" s="54" t="str">
        <f>IFERROR(IF(INDEX(SPOT_Import!$A$1:$Z$2488,846,'Live Data'!$C$22)="","",INDEX(SPOT_Import!$A$1:$Z$2488,846,'Live Data'!$C$22)),"")</f>
        <v>2026-10-08T10:53:52.000Z</v>
      </c>
      <c r="L846" s="55" t="str">
        <f t="shared" si="26"/>
        <v>2026-10</v>
      </c>
      <c r="M846" s="55" t="str">
        <f t="shared" si="27"/>
        <v>KITUI</v>
      </c>
      <c r="N846" s="55" t="str">
        <f>IF(A846="","",IFERROR(INDEX('Cluster Map'!$A$4:$A$38,MATCH(M846,'Cluster Map'!$B$4:$B$38,0)),"Unmapped"))</f>
        <v>Cluster 5</v>
      </c>
      <c r="O846" s="55">
        <f>IF(A846="",0,IF(COUNTIFS($A$2:A846,A846,$F$2:F846,F846,$L$2:L846,L846)=1,1,0))</f>
        <v>1</v>
      </c>
      <c r="P846" s="55">
        <f>IF(A846="",0,IF(AND(F846="C&amp;T",COUNTIFS($A$2:A846,A846,$F$2:F846,"C&amp;T")=1),1,0))</f>
        <v>1</v>
      </c>
    </row>
    <row r="847" spans="1:16" x14ac:dyDescent="0.35">
      <c r="A847" s="54">
        <f>IFERROR(IF(INDEX(SPOT_Import!$A$1:$Z$2488,847,'Live Data'!$C$12)="","",INDEX(SPOT_Import!$A$1:$Z$2488,847,'Live Data'!$C$12)),"")</f>
        <v>12306</v>
      </c>
      <c r="B847" s="54" t="str">
        <f>IFERROR(IF(INDEX(SPOT_Import!$A$1:$Z$2488,847,'Live Data'!$C$13)="","",INDEX(SPOT_Import!$A$1:$Z$2488,847,'Live Data'!$C$13)),"")</f>
        <v>Kikoko Mission Hospital</v>
      </c>
      <c r="C847" s="54" t="str">
        <f>IFERROR(IF(INDEX(SPOT_Import!$A$1:$Z$2488,847,'Live Data'!$C$14)="","",INDEX(SPOT_Import!$A$1:$Z$2488,847,'Live Data'!$C$14)),"")</f>
        <v>MAKUENI</v>
      </c>
      <c r="D847" s="54" t="str">
        <f>IFERROR(IF(INDEX(SPOT_Import!$A$1:$Z$2488,847,'Live Data'!$C$15)="","",INDEX(SPOT_Import!$A$1:$Z$2488,847,'Live Data'!$C$15)),"")</f>
        <v>Kaiti</v>
      </c>
      <c r="E847" s="54" t="str">
        <f>IFERROR(IF(INDEX(SPOT_Import!$A$1:$Z$2488,847,'Live Data'!$C$16)="","",INDEX(SPOT_Import!$A$1:$Z$2488,847,'Live Data'!$C$16)),"")</f>
        <v>CHAK CHAP STAWISHA</v>
      </c>
      <c r="F847" s="54" t="str">
        <f>IFERROR(IF(INDEX(SPOT_Import!$A$1:$Z$2488,847,'Live Data'!$C$17)="","",INDEX(SPOT_Import!$A$1:$Z$2488,847,'Live Data'!$C$17)),"")</f>
        <v>HTS</v>
      </c>
      <c r="G847" s="54">
        <f>IFERROR(IF(INDEX(SPOT_Import!$A$1:$Z$2488,847,'Live Data'!$C$18)="","",INDEX(SPOT_Import!$A$1:$Z$2488,847,'Live Data'!$C$18)),"")</f>
        <v>3019</v>
      </c>
      <c r="H847" s="54">
        <f>IFERROR(IF(INDEX(SPOT_Import!$A$1:$Z$2488,847,'Live Data'!$C$19)="","",INDEX(SPOT_Import!$A$1:$Z$2488,847,'Live Data'!$C$19)),"")</f>
        <v>3019</v>
      </c>
      <c r="I847" s="54" t="str">
        <f>IFERROR(IF(INDEX(SPOT_Import!$A$1:$Z$2488,847,'Live Data'!$C$20)="","",INDEX(SPOT_Import!$A$1:$Z$2488,847,'Live Data'!$C$20)),"")</f>
        <v>Complete</v>
      </c>
      <c r="J847" s="54" t="str">
        <f>IFERROR(IF(INDEX(SPOT_Import!$A$1:$Z$2488,847,'Live Data'!$C$21)="","",INDEX(SPOT_Import!$A$1:$Z$2488,847,'Live Data'!$C$21)),"")</f>
        <v>2026-10-08T09:46:33.000Z</v>
      </c>
      <c r="K847" s="54" t="str">
        <f>IFERROR(IF(INDEX(SPOT_Import!$A$1:$Z$2488,847,'Live Data'!$C$22)="","",INDEX(SPOT_Import!$A$1:$Z$2488,847,'Live Data'!$C$22)),"")</f>
        <v>2026-10-08T09:46:33.000Z</v>
      </c>
      <c r="L847" s="55" t="str">
        <f t="shared" si="26"/>
        <v>2026-10</v>
      </c>
      <c r="M847" s="55" t="str">
        <f t="shared" si="27"/>
        <v>MAKUENI</v>
      </c>
      <c r="N847" s="55" t="str">
        <f>IF(A847="","",IFERROR(INDEX('Cluster Map'!$A$4:$A$38,MATCH(M847,'Cluster Map'!$B$4:$B$38,0)),"Unmapped"))</f>
        <v>Cluster 5</v>
      </c>
      <c r="O847" s="55">
        <f>IF(A847="",0,IF(COUNTIFS($A$2:A847,A847,$F$2:F847,F847,$L$2:L847,L847)=1,1,0))</f>
        <v>1</v>
      </c>
      <c r="P847" s="55">
        <f>IF(A847="",0,IF(AND(F847="C&amp;T",COUNTIFS($A$2:A847,A847,$F$2:F847,"C&amp;T")=1),1,0))</f>
        <v>0</v>
      </c>
    </row>
    <row r="848" spans="1:16" x14ac:dyDescent="0.35">
      <c r="A848" s="54">
        <f>IFERROR(IF(INDEX(SPOT_Import!$A$1:$Z$2488,848,'Live Data'!$C$12)="","",INDEX(SPOT_Import!$A$1:$Z$2488,848,'Live Data'!$C$12)),"")</f>
        <v>11976</v>
      </c>
      <c r="B848" s="54" t="str">
        <f>IFERROR(IF(INDEX(SPOT_Import!$A$1:$Z$2488,848,'Live Data'!$C$13)="","",INDEX(SPOT_Import!$A$1:$Z$2488,848,'Live Data'!$C$13)),"")</f>
        <v>Consolata Hospital (Nkubu)</v>
      </c>
      <c r="C848" s="54" t="str">
        <f>IFERROR(IF(INDEX(SPOT_Import!$A$1:$Z$2488,848,'Live Data'!$C$14)="","",INDEX(SPOT_Import!$A$1:$Z$2488,848,'Live Data'!$C$14)),"")</f>
        <v>MERU</v>
      </c>
      <c r="D848" s="54" t="str">
        <f>IFERROR(IF(INDEX(SPOT_Import!$A$1:$Z$2488,848,'Live Data'!$C$15)="","",INDEX(SPOT_Import!$A$1:$Z$2488,848,'Live Data'!$C$15)),"")</f>
        <v>Imenti South</v>
      </c>
      <c r="E848" s="54" t="str">
        <f>IFERROR(IF(INDEX(SPOT_Import!$A$1:$Z$2488,848,'Live Data'!$C$16)="","",INDEX(SPOT_Import!$A$1:$Z$2488,848,'Live Data'!$C$16)),"")</f>
        <v>CHAK CHAP STAWISHA</v>
      </c>
      <c r="F848" s="54" t="str">
        <f>IFERROR(IF(INDEX(SPOT_Import!$A$1:$Z$2488,848,'Live Data'!$C$17)="","",INDEX(SPOT_Import!$A$1:$Z$2488,848,'Live Data'!$C$17)),"")</f>
        <v>C&amp;T</v>
      </c>
      <c r="G848" s="54">
        <f>IFERROR(IF(INDEX(SPOT_Import!$A$1:$Z$2488,848,'Live Data'!$C$18)="","",INDEX(SPOT_Import!$A$1:$Z$2488,848,'Live Data'!$C$18)),"")</f>
        <v>4977</v>
      </c>
      <c r="H848" s="54">
        <f>IFERROR(IF(INDEX(SPOT_Import!$A$1:$Z$2488,848,'Live Data'!$C$19)="","",INDEX(SPOT_Import!$A$1:$Z$2488,848,'Live Data'!$C$19)),"")</f>
        <v>4977</v>
      </c>
      <c r="I848" s="54" t="str">
        <f>IFERROR(IF(INDEX(SPOT_Import!$A$1:$Z$2488,848,'Live Data'!$C$20)="","",INDEX(SPOT_Import!$A$1:$Z$2488,848,'Live Data'!$C$20)),"")</f>
        <v>Complete</v>
      </c>
      <c r="J848" s="54" t="str">
        <f>IFERROR(IF(INDEX(SPOT_Import!$A$1:$Z$2488,848,'Live Data'!$C$21)="","",INDEX(SPOT_Import!$A$1:$Z$2488,848,'Live Data'!$C$21)),"")</f>
        <v>2026-10-08T09:46:17.000Z</v>
      </c>
      <c r="K848" s="54" t="str">
        <f>IFERROR(IF(INDEX(SPOT_Import!$A$1:$Z$2488,848,'Live Data'!$C$22)="","",INDEX(SPOT_Import!$A$1:$Z$2488,848,'Live Data'!$C$22)),"")</f>
        <v>2026-10-08T09:46:17.000Z</v>
      </c>
      <c r="L848" s="55" t="str">
        <f t="shared" si="26"/>
        <v>2026-10</v>
      </c>
      <c r="M848" s="55" t="str">
        <f t="shared" si="27"/>
        <v>MERU</v>
      </c>
      <c r="N848" s="55" t="str">
        <f>IF(A848="","",IFERROR(INDEX('Cluster Map'!$A$4:$A$38,MATCH(M848,'Cluster Map'!$B$4:$B$38,0)),"Unmapped"))</f>
        <v>Cluster 1</v>
      </c>
      <c r="O848" s="55">
        <f>IF(A848="",0,IF(COUNTIFS($A$2:A848,A848,$F$2:F848,F848,$L$2:L848,L848)=1,1,0))</f>
        <v>1</v>
      </c>
      <c r="P848" s="55">
        <f>IF(A848="",0,IF(AND(F848="C&amp;T",COUNTIFS($A$2:A848,A848,$F$2:F848,"C&amp;T")=1),1,0))</f>
        <v>1</v>
      </c>
    </row>
    <row r="849" spans="1:16" x14ac:dyDescent="0.35">
      <c r="A849" s="54">
        <f>IFERROR(IF(INDEX(SPOT_Import!$A$1:$Z$2488,849,'Live Data'!$C$12)="","",INDEX(SPOT_Import!$A$1:$Z$2488,849,'Live Data'!$C$12)),"")</f>
        <v>11976</v>
      </c>
      <c r="B849" s="54" t="str">
        <f>IFERROR(IF(INDEX(SPOT_Import!$A$1:$Z$2488,849,'Live Data'!$C$13)="","",INDEX(SPOT_Import!$A$1:$Z$2488,849,'Live Data'!$C$13)),"")</f>
        <v>Consolata Mission Hospital (Nkubu)</v>
      </c>
      <c r="C849" s="54" t="str">
        <f>IFERROR(IF(INDEX(SPOT_Import!$A$1:$Z$2488,849,'Live Data'!$C$14)="","",INDEX(SPOT_Import!$A$1:$Z$2488,849,'Live Data'!$C$14)),"")</f>
        <v>MERU</v>
      </c>
      <c r="D849" s="54" t="str">
        <f>IFERROR(IF(INDEX(SPOT_Import!$A$1:$Z$2488,849,'Live Data'!$C$15)="","",INDEX(SPOT_Import!$A$1:$Z$2488,849,'Live Data'!$C$15)),"")</f>
        <v>Imenti South</v>
      </c>
      <c r="E849" s="54" t="str">
        <f>IFERROR(IF(INDEX(SPOT_Import!$A$1:$Z$2488,849,'Live Data'!$C$16)="","",INDEX(SPOT_Import!$A$1:$Z$2488,849,'Live Data'!$C$16)),"")</f>
        <v>CHAK CHAP STAWISHA</v>
      </c>
      <c r="F849" s="54" t="str">
        <f>IFERROR(IF(INDEX(SPOT_Import!$A$1:$Z$2488,849,'Live Data'!$C$17)="","",INDEX(SPOT_Import!$A$1:$Z$2488,849,'Live Data'!$C$17)),"")</f>
        <v>HTS</v>
      </c>
      <c r="G849" s="54">
        <f>IFERROR(IF(INDEX(SPOT_Import!$A$1:$Z$2488,849,'Live Data'!$C$18)="","",INDEX(SPOT_Import!$A$1:$Z$2488,849,'Live Data'!$C$18)),"")</f>
        <v>18921</v>
      </c>
      <c r="H849" s="54">
        <f>IFERROR(IF(INDEX(SPOT_Import!$A$1:$Z$2488,849,'Live Data'!$C$19)="","",INDEX(SPOT_Import!$A$1:$Z$2488,849,'Live Data'!$C$19)),"")</f>
        <v>18921</v>
      </c>
      <c r="I849" s="54" t="str">
        <f>IFERROR(IF(INDEX(SPOT_Import!$A$1:$Z$2488,849,'Live Data'!$C$20)="","",INDEX(SPOT_Import!$A$1:$Z$2488,849,'Live Data'!$C$20)),"")</f>
        <v>Complete</v>
      </c>
      <c r="J849" s="54" t="str">
        <f>IFERROR(IF(INDEX(SPOT_Import!$A$1:$Z$2488,849,'Live Data'!$C$21)="","",INDEX(SPOT_Import!$A$1:$Z$2488,849,'Live Data'!$C$21)),"")</f>
        <v>2026-10-08T09:37:21.000Z</v>
      </c>
      <c r="K849" s="54" t="str">
        <f>IFERROR(IF(INDEX(SPOT_Import!$A$1:$Z$2488,849,'Live Data'!$C$22)="","",INDEX(SPOT_Import!$A$1:$Z$2488,849,'Live Data'!$C$22)),"")</f>
        <v>2026-10-08T09:37:21.000Z</v>
      </c>
      <c r="L849" s="55" t="str">
        <f t="shared" si="26"/>
        <v>2026-10</v>
      </c>
      <c r="M849" s="55" t="str">
        <f t="shared" si="27"/>
        <v>MERU</v>
      </c>
      <c r="N849" s="55" t="str">
        <f>IF(A849="","",IFERROR(INDEX('Cluster Map'!$A$4:$A$38,MATCH(M849,'Cluster Map'!$B$4:$B$38,0)),"Unmapped"))</f>
        <v>Cluster 1</v>
      </c>
      <c r="O849" s="55">
        <f>IF(A849="",0,IF(COUNTIFS($A$2:A849,A849,$F$2:F849,F849,$L$2:L849,L849)=1,1,0))</f>
        <v>1</v>
      </c>
      <c r="P849" s="55">
        <f>IF(A849="",0,IF(AND(F849="C&amp;T",COUNTIFS($A$2:A849,A849,$F$2:F849,"C&amp;T")=1),1,0))</f>
        <v>0</v>
      </c>
    </row>
    <row r="850" spans="1:16" x14ac:dyDescent="0.35">
      <c r="A850" s="54">
        <f>IFERROR(IF(INDEX(SPOT_Import!$A$1:$Z$2488,850,'Live Data'!$C$12)="","",INDEX(SPOT_Import!$A$1:$Z$2488,850,'Live Data'!$C$12)),"")</f>
        <v>11976</v>
      </c>
      <c r="B850" s="54" t="str">
        <f>IFERROR(IF(INDEX(SPOT_Import!$A$1:$Z$2488,850,'Live Data'!$C$13)="","",INDEX(SPOT_Import!$A$1:$Z$2488,850,'Live Data'!$C$13)),"")</f>
        <v>Consolata Mission Hospital (Nkubu)</v>
      </c>
      <c r="C850" s="54" t="str">
        <f>IFERROR(IF(INDEX(SPOT_Import!$A$1:$Z$2488,850,'Live Data'!$C$14)="","",INDEX(SPOT_Import!$A$1:$Z$2488,850,'Live Data'!$C$14)),"")</f>
        <v>MERU</v>
      </c>
      <c r="D850" s="54" t="str">
        <f>IFERROR(IF(INDEX(SPOT_Import!$A$1:$Z$2488,850,'Live Data'!$C$15)="","",INDEX(SPOT_Import!$A$1:$Z$2488,850,'Live Data'!$C$15)),"")</f>
        <v>Imenti South</v>
      </c>
      <c r="E850" s="54" t="str">
        <f>IFERROR(IF(INDEX(SPOT_Import!$A$1:$Z$2488,850,'Live Data'!$C$16)="","",INDEX(SPOT_Import!$A$1:$Z$2488,850,'Live Data'!$C$16)),"")</f>
        <v>CHAK CHAP STAWISHA</v>
      </c>
      <c r="F850" s="54" t="str">
        <f>IFERROR(IF(INDEX(SPOT_Import!$A$1:$Z$2488,850,'Live Data'!$C$17)="","",INDEX(SPOT_Import!$A$1:$Z$2488,850,'Live Data'!$C$17)),"")</f>
        <v>MNCH</v>
      </c>
      <c r="G850" s="54">
        <f>IFERROR(IF(INDEX(SPOT_Import!$A$1:$Z$2488,850,'Live Data'!$C$18)="","",INDEX(SPOT_Import!$A$1:$Z$2488,850,'Live Data'!$C$18)),"")</f>
        <v>2202</v>
      </c>
      <c r="H850" s="54">
        <f>IFERROR(IF(INDEX(SPOT_Import!$A$1:$Z$2488,850,'Live Data'!$C$19)="","",INDEX(SPOT_Import!$A$1:$Z$2488,850,'Live Data'!$C$19)),"")</f>
        <v>2200</v>
      </c>
      <c r="I850" s="54" t="str">
        <f>IFERROR(IF(INDEX(SPOT_Import!$A$1:$Z$2488,850,'Live Data'!$C$20)="","",INDEX(SPOT_Import!$A$1:$Z$2488,850,'Live Data'!$C$20)),"")</f>
        <v>Incomplete</v>
      </c>
      <c r="J850" s="54" t="str">
        <f>IFERROR(IF(INDEX(SPOT_Import!$A$1:$Z$2488,850,'Live Data'!$C$21)="","",INDEX(SPOT_Import!$A$1:$Z$2488,850,'Live Data'!$C$21)),"")</f>
        <v>2026-10-08T09:28:46.000Z</v>
      </c>
      <c r="K850" s="54" t="str">
        <f>IFERROR(IF(INDEX(SPOT_Import!$A$1:$Z$2488,850,'Live Data'!$C$22)="","",INDEX(SPOT_Import!$A$1:$Z$2488,850,'Live Data'!$C$22)),"")</f>
        <v>2026-10-08T09:28:46.000Z</v>
      </c>
      <c r="L850" s="55" t="str">
        <f t="shared" si="26"/>
        <v>2026-10</v>
      </c>
      <c r="M850" s="55" t="str">
        <f t="shared" si="27"/>
        <v>MERU</v>
      </c>
      <c r="N850" s="55" t="str">
        <f>IF(A850="","",IFERROR(INDEX('Cluster Map'!$A$4:$A$38,MATCH(M850,'Cluster Map'!$B$4:$B$38,0)),"Unmapped"))</f>
        <v>Cluster 1</v>
      </c>
      <c r="O850" s="55">
        <f>IF(A850="",0,IF(COUNTIFS($A$2:A850,A850,$F$2:F850,F850,$L$2:L850,L850)=1,1,0))</f>
        <v>1</v>
      </c>
      <c r="P850" s="55">
        <f>IF(A850="",0,IF(AND(F850="C&amp;T",COUNTIFS($A$2:A850,A850,$F$2:F850,"C&amp;T")=1),1,0))</f>
        <v>0</v>
      </c>
    </row>
    <row r="851" spans="1:16" x14ac:dyDescent="0.35">
      <c r="A851" s="54">
        <f>IFERROR(IF(INDEX(SPOT_Import!$A$1:$Z$2488,851,'Live Data'!$C$12)="","",INDEX(SPOT_Import!$A$1:$Z$2488,851,'Live Data'!$C$12)),"")</f>
        <v>11976</v>
      </c>
      <c r="B851" s="54" t="str">
        <f>IFERROR(IF(INDEX(SPOT_Import!$A$1:$Z$2488,851,'Live Data'!$C$13)="","",INDEX(SPOT_Import!$A$1:$Z$2488,851,'Live Data'!$C$13)),"")</f>
        <v>Consolata Mission Hospital (Nkubu)</v>
      </c>
      <c r="C851" s="54" t="str">
        <f>IFERROR(IF(INDEX(SPOT_Import!$A$1:$Z$2488,851,'Live Data'!$C$14)="","",INDEX(SPOT_Import!$A$1:$Z$2488,851,'Live Data'!$C$14)),"")</f>
        <v>MERU</v>
      </c>
      <c r="D851" s="54" t="str">
        <f>IFERROR(IF(INDEX(SPOT_Import!$A$1:$Z$2488,851,'Live Data'!$C$15)="","",INDEX(SPOT_Import!$A$1:$Z$2488,851,'Live Data'!$C$15)),"")</f>
        <v>Imenti South</v>
      </c>
      <c r="E851" s="54" t="str">
        <f>IFERROR(IF(INDEX(SPOT_Import!$A$1:$Z$2488,851,'Live Data'!$C$16)="","",INDEX(SPOT_Import!$A$1:$Z$2488,851,'Live Data'!$C$16)),"")</f>
        <v>CHAK CHAP STAWISHA</v>
      </c>
      <c r="F851" s="54" t="str">
        <f>IFERROR(IF(INDEX(SPOT_Import!$A$1:$Z$2488,851,'Live Data'!$C$17)="","",INDEX(SPOT_Import!$A$1:$Z$2488,851,'Live Data'!$C$17)),"")</f>
        <v>PREP</v>
      </c>
      <c r="G851" s="54">
        <f>IFERROR(IF(INDEX(SPOT_Import!$A$1:$Z$2488,851,'Live Data'!$C$18)="","",INDEX(SPOT_Import!$A$1:$Z$2488,851,'Live Data'!$C$18)),"")</f>
        <v>2054</v>
      </c>
      <c r="H851" s="54">
        <f>IFERROR(IF(INDEX(SPOT_Import!$A$1:$Z$2488,851,'Live Data'!$C$19)="","",INDEX(SPOT_Import!$A$1:$Z$2488,851,'Live Data'!$C$19)),"")</f>
        <v>2054</v>
      </c>
      <c r="I851" s="54" t="str">
        <f>IFERROR(IF(INDEX(SPOT_Import!$A$1:$Z$2488,851,'Live Data'!$C$20)="","",INDEX(SPOT_Import!$A$1:$Z$2488,851,'Live Data'!$C$20)),"")</f>
        <v>Complete</v>
      </c>
      <c r="J851" s="54" t="str">
        <f>IFERROR(IF(INDEX(SPOT_Import!$A$1:$Z$2488,851,'Live Data'!$C$21)="","",INDEX(SPOT_Import!$A$1:$Z$2488,851,'Live Data'!$C$21)),"")</f>
        <v>2026-10-08T09:27:59.000Z</v>
      </c>
      <c r="K851" s="54" t="str">
        <f>IFERROR(IF(INDEX(SPOT_Import!$A$1:$Z$2488,851,'Live Data'!$C$22)="","",INDEX(SPOT_Import!$A$1:$Z$2488,851,'Live Data'!$C$22)),"")</f>
        <v>2026-10-08T09:27:59.000Z</v>
      </c>
      <c r="L851" s="55" t="str">
        <f t="shared" si="26"/>
        <v>2026-10</v>
      </c>
      <c r="M851" s="55" t="str">
        <f t="shared" si="27"/>
        <v>MERU</v>
      </c>
      <c r="N851" s="55" t="str">
        <f>IF(A851="","",IFERROR(INDEX('Cluster Map'!$A$4:$A$38,MATCH(M851,'Cluster Map'!$B$4:$B$38,0)),"Unmapped"))</f>
        <v>Cluster 1</v>
      </c>
      <c r="O851" s="55">
        <f>IF(A851="",0,IF(COUNTIFS($A$2:A851,A851,$F$2:F851,F851,$L$2:L851,L851)=1,1,0))</f>
        <v>1</v>
      </c>
      <c r="P851" s="55">
        <f>IF(A851="",0,IF(AND(F851="C&amp;T",COUNTIFS($A$2:A851,A851,$F$2:F851,"C&amp;T")=1),1,0))</f>
        <v>0</v>
      </c>
    </row>
    <row r="852" spans="1:16" x14ac:dyDescent="0.35">
      <c r="A852" s="54">
        <f>IFERROR(IF(INDEX(SPOT_Import!$A$1:$Z$2488,852,'Live Data'!$C$12)="","",INDEX(SPOT_Import!$A$1:$Z$2488,852,'Live Data'!$C$12)),"")</f>
        <v>12306</v>
      </c>
      <c r="B852" s="54" t="str">
        <f>IFERROR(IF(INDEX(SPOT_Import!$A$1:$Z$2488,852,'Live Data'!$C$13)="","",INDEX(SPOT_Import!$A$1:$Z$2488,852,'Live Data'!$C$13)),"")</f>
        <v>Kikoko Mission Hospital</v>
      </c>
      <c r="C852" s="54" t="str">
        <f>IFERROR(IF(INDEX(SPOT_Import!$A$1:$Z$2488,852,'Live Data'!$C$14)="","",INDEX(SPOT_Import!$A$1:$Z$2488,852,'Live Data'!$C$14)),"")</f>
        <v>MAKUENI</v>
      </c>
      <c r="D852" s="54" t="str">
        <f>IFERROR(IF(INDEX(SPOT_Import!$A$1:$Z$2488,852,'Live Data'!$C$15)="","",INDEX(SPOT_Import!$A$1:$Z$2488,852,'Live Data'!$C$15)),"")</f>
        <v>Kaiti</v>
      </c>
      <c r="E852" s="54" t="str">
        <f>IFERROR(IF(INDEX(SPOT_Import!$A$1:$Z$2488,852,'Live Data'!$C$16)="","",INDEX(SPOT_Import!$A$1:$Z$2488,852,'Live Data'!$C$16)),"")</f>
        <v>CHAK CHAP STAWISHA</v>
      </c>
      <c r="F852" s="54" t="str">
        <f>IFERROR(IF(INDEX(SPOT_Import!$A$1:$Z$2488,852,'Live Data'!$C$17)="","",INDEX(SPOT_Import!$A$1:$Z$2488,852,'Live Data'!$C$17)),"")</f>
        <v>C&amp;T</v>
      </c>
      <c r="G852" s="54">
        <f>IFERROR(IF(INDEX(SPOT_Import!$A$1:$Z$2488,852,'Live Data'!$C$18)="","",INDEX(SPOT_Import!$A$1:$Z$2488,852,'Live Data'!$C$18)),"")</f>
        <v>1076</v>
      </c>
      <c r="H852" s="54">
        <f>IFERROR(IF(INDEX(SPOT_Import!$A$1:$Z$2488,852,'Live Data'!$C$19)="","",INDEX(SPOT_Import!$A$1:$Z$2488,852,'Live Data'!$C$19)),"")</f>
        <v>1076</v>
      </c>
      <c r="I852" s="54" t="str">
        <f>IFERROR(IF(INDEX(SPOT_Import!$A$1:$Z$2488,852,'Live Data'!$C$20)="","",INDEX(SPOT_Import!$A$1:$Z$2488,852,'Live Data'!$C$20)),"")</f>
        <v>Complete</v>
      </c>
      <c r="J852" s="54" t="str">
        <f>IFERROR(IF(INDEX(SPOT_Import!$A$1:$Z$2488,852,'Live Data'!$C$21)="","",INDEX(SPOT_Import!$A$1:$Z$2488,852,'Live Data'!$C$21)),"")</f>
        <v>2026-10-08T09:03:16.000Z</v>
      </c>
      <c r="K852" s="54" t="str">
        <f>IFERROR(IF(INDEX(SPOT_Import!$A$1:$Z$2488,852,'Live Data'!$C$22)="","",INDEX(SPOT_Import!$A$1:$Z$2488,852,'Live Data'!$C$22)),"")</f>
        <v>2026-10-08T09:03:16.000Z</v>
      </c>
      <c r="L852" s="55" t="str">
        <f t="shared" si="26"/>
        <v>2026-10</v>
      </c>
      <c r="M852" s="55" t="str">
        <f t="shared" si="27"/>
        <v>MAKUENI</v>
      </c>
      <c r="N852" s="55" t="str">
        <f>IF(A852="","",IFERROR(INDEX('Cluster Map'!$A$4:$A$38,MATCH(M852,'Cluster Map'!$B$4:$B$38,0)),"Unmapped"))</f>
        <v>Cluster 5</v>
      </c>
      <c r="O852" s="55">
        <f>IF(A852="",0,IF(COUNTIFS($A$2:A852,A852,$F$2:F852,F852,$L$2:L852,L852)=1,1,0))</f>
        <v>1</v>
      </c>
      <c r="P852" s="55">
        <f>IF(A852="",0,IF(AND(F852="C&amp;T",COUNTIFS($A$2:A852,A852,$F$2:F852,"C&amp;T")=1),1,0))</f>
        <v>1</v>
      </c>
    </row>
    <row r="853" spans="1:16" x14ac:dyDescent="0.35">
      <c r="A853" s="54">
        <f>IFERROR(IF(INDEX(SPOT_Import!$A$1:$Z$2488,853,'Live Data'!$C$12)="","",INDEX(SPOT_Import!$A$1:$Z$2488,853,'Live Data'!$C$12)),"")</f>
        <v>12241</v>
      </c>
      <c r="B853" s="54" t="str">
        <f>IFERROR(IF(INDEX(SPOT_Import!$A$1:$Z$2488,853,'Live Data'!$C$13)="","",INDEX(SPOT_Import!$A$1:$Z$2488,853,'Live Data'!$C$13)),"")</f>
        <v>Katilini Health Centre</v>
      </c>
      <c r="C853" s="54" t="str">
        <f>IFERROR(IF(INDEX(SPOT_Import!$A$1:$Z$2488,853,'Live Data'!$C$14)="","",INDEX(SPOT_Import!$A$1:$Z$2488,853,'Live Data'!$C$14)),"")</f>
        <v>KITUI</v>
      </c>
      <c r="D853" s="54" t="str">
        <f>IFERROR(IF(INDEX(SPOT_Import!$A$1:$Z$2488,853,'Live Data'!$C$15)="","",INDEX(SPOT_Import!$A$1:$Z$2488,853,'Live Data'!$C$15)),"")</f>
        <v>Kitui South</v>
      </c>
      <c r="E853" s="54" t="str">
        <f>IFERROR(IF(INDEX(SPOT_Import!$A$1:$Z$2488,853,'Live Data'!$C$16)="","",INDEX(SPOT_Import!$A$1:$Z$2488,853,'Live Data'!$C$16)),"")</f>
        <v>CHAK CHAP STAWISHA</v>
      </c>
      <c r="F853" s="54" t="str">
        <f>IFERROR(IF(INDEX(SPOT_Import!$A$1:$Z$2488,853,'Live Data'!$C$17)="","",INDEX(SPOT_Import!$A$1:$Z$2488,853,'Live Data'!$C$17)),"")</f>
        <v>MNCH</v>
      </c>
      <c r="G853" s="54">
        <f>IFERROR(IF(INDEX(SPOT_Import!$A$1:$Z$2488,853,'Live Data'!$C$18)="","",INDEX(SPOT_Import!$A$1:$Z$2488,853,'Live Data'!$C$18)),"")</f>
        <v>4</v>
      </c>
      <c r="H853" s="54">
        <f>IFERROR(IF(INDEX(SPOT_Import!$A$1:$Z$2488,853,'Live Data'!$C$19)="","",INDEX(SPOT_Import!$A$1:$Z$2488,853,'Live Data'!$C$19)),"")</f>
        <v>4</v>
      </c>
      <c r="I853" s="54" t="str">
        <f>IFERROR(IF(INDEX(SPOT_Import!$A$1:$Z$2488,853,'Live Data'!$C$20)="","",INDEX(SPOT_Import!$A$1:$Z$2488,853,'Live Data'!$C$20)),"")</f>
        <v>Complete</v>
      </c>
      <c r="J853" s="54" t="str">
        <f>IFERROR(IF(INDEX(SPOT_Import!$A$1:$Z$2488,853,'Live Data'!$C$21)="","",INDEX(SPOT_Import!$A$1:$Z$2488,853,'Live Data'!$C$21)),"")</f>
        <v>2026-10-08T08:17:40.000Z</v>
      </c>
      <c r="K853" s="54" t="str">
        <f>IFERROR(IF(INDEX(SPOT_Import!$A$1:$Z$2488,853,'Live Data'!$C$22)="","",INDEX(SPOT_Import!$A$1:$Z$2488,853,'Live Data'!$C$22)),"")</f>
        <v>2026-10-08T08:17:40.000Z</v>
      </c>
      <c r="L853" s="55" t="str">
        <f t="shared" si="26"/>
        <v>2026-10</v>
      </c>
      <c r="M853" s="55" t="str">
        <f t="shared" si="27"/>
        <v>KITUI</v>
      </c>
      <c r="N853" s="55" t="str">
        <f>IF(A853="","",IFERROR(INDEX('Cluster Map'!$A$4:$A$38,MATCH(M853,'Cluster Map'!$B$4:$B$38,0)),"Unmapped"))</f>
        <v>Cluster 5</v>
      </c>
      <c r="O853" s="55">
        <f>IF(A853="",0,IF(COUNTIFS($A$2:A853,A853,$F$2:F853,F853,$L$2:L853,L853)=1,1,0))</f>
        <v>1</v>
      </c>
      <c r="P853" s="55">
        <f>IF(A853="",0,IF(AND(F853="C&amp;T",COUNTIFS($A$2:A853,A853,$F$2:F853,"C&amp;T")=1),1,0))</f>
        <v>0</v>
      </c>
    </row>
    <row r="854" spans="1:16" x14ac:dyDescent="0.35">
      <c r="A854" s="54">
        <f>IFERROR(IF(INDEX(SPOT_Import!$A$1:$Z$2488,854,'Live Data'!$C$12)="","",INDEX(SPOT_Import!$A$1:$Z$2488,854,'Live Data'!$C$12)),"")</f>
        <v>12241</v>
      </c>
      <c r="B854" s="54" t="str">
        <f>IFERROR(IF(INDEX(SPOT_Import!$A$1:$Z$2488,854,'Live Data'!$C$13)="","",INDEX(SPOT_Import!$A$1:$Z$2488,854,'Live Data'!$C$13)),"")</f>
        <v>Katilini Health Centre</v>
      </c>
      <c r="C854" s="54" t="str">
        <f>IFERROR(IF(INDEX(SPOT_Import!$A$1:$Z$2488,854,'Live Data'!$C$14)="","",INDEX(SPOT_Import!$A$1:$Z$2488,854,'Live Data'!$C$14)),"")</f>
        <v>KITUI</v>
      </c>
      <c r="D854" s="54" t="str">
        <f>IFERROR(IF(INDEX(SPOT_Import!$A$1:$Z$2488,854,'Live Data'!$C$15)="","",INDEX(SPOT_Import!$A$1:$Z$2488,854,'Live Data'!$C$15)),"")</f>
        <v>Kitui South</v>
      </c>
      <c r="E854" s="54" t="str">
        <f>IFERROR(IF(INDEX(SPOT_Import!$A$1:$Z$2488,854,'Live Data'!$C$16)="","",INDEX(SPOT_Import!$A$1:$Z$2488,854,'Live Data'!$C$16)),"")</f>
        <v>CHAK CHAP STAWISHA</v>
      </c>
      <c r="F854" s="54" t="str">
        <f>IFERROR(IF(INDEX(SPOT_Import!$A$1:$Z$2488,854,'Live Data'!$C$17)="","",INDEX(SPOT_Import!$A$1:$Z$2488,854,'Live Data'!$C$17)),"")</f>
        <v>PREP</v>
      </c>
      <c r="G854" s="54">
        <f>IFERROR(IF(INDEX(SPOT_Import!$A$1:$Z$2488,854,'Live Data'!$C$18)="","",INDEX(SPOT_Import!$A$1:$Z$2488,854,'Live Data'!$C$18)),"")</f>
        <v>259</v>
      </c>
      <c r="H854" s="54">
        <f>IFERROR(IF(INDEX(SPOT_Import!$A$1:$Z$2488,854,'Live Data'!$C$19)="","",INDEX(SPOT_Import!$A$1:$Z$2488,854,'Live Data'!$C$19)),"")</f>
        <v>259</v>
      </c>
      <c r="I854" s="54" t="str">
        <f>IFERROR(IF(INDEX(SPOT_Import!$A$1:$Z$2488,854,'Live Data'!$C$20)="","",INDEX(SPOT_Import!$A$1:$Z$2488,854,'Live Data'!$C$20)),"")</f>
        <v>Complete</v>
      </c>
      <c r="J854" s="54" t="str">
        <f>IFERROR(IF(INDEX(SPOT_Import!$A$1:$Z$2488,854,'Live Data'!$C$21)="","",INDEX(SPOT_Import!$A$1:$Z$2488,854,'Live Data'!$C$21)),"")</f>
        <v>2026-10-08T08:16:20.000Z</v>
      </c>
      <c r="K854" s="54" t="str">
        <f>IFERROR(IF(INDEX(SPOT_Import!$A$1:$Z$2488,854,'Live Data'!$C$22)="","",INDEX(SPOT_Import!$A$1:$Z$2488,854,'Live Data'!$C$22)),"")</f>
        <v>2026-10-08T08:16:20.000Z</v>
      </c>
      <c r="L854" s="55" t="str">
        <f t="shared" si="26"/>
        <v>2026-10</v>
      </c>
      <c r="M854" s="55" t="str">
        <f t="shared" si="27"/>
        <v>KITUI</v>
      </c>
      <c r="N854" s="55" t="str">
        <f>IF(A854="","",IFERROR(INDEX('Cluster Map'!$A$4:$A$38,MATCH(M854,'Cluster Map'!$B$4:$B$38,0)),"Unmapped"))</f>
        <v>Cluster 5</v>
      </c>
      <c r="O854" s="55">
        <f>IF(A854="",0,IF(COUNTIFS($A$2:A854,A854,$F$2:F854,F854,$L$2:L854,L854)=1,1,0))</f>
        <v>1</v>
      </c>
      <c r="P854" s="55">
        <f>IF(A854="",0,IF(AND(F854="C&amp;T",COUNTIFS($A$2:A854,A854,$F$2:F854,"C&amp;T")=1),1,0))</f>
        <v>0</v>
      </c>
    </row>
    <row r="855" spans="1:16" x14ac:dyDescent="0.35">
      <c r="A855" s="54">
        <f>IFERROR(IF(INDEX(SPOT_Import!$A$1:$Z$2488,855,'Live Data'!$C$12)="","",INDEX(SPOT_Import!$A$1:$Z$2488,855,'Live Data'!$C$12)),"")</f>
        <v>12241</v>
      </c>
      <c r="B855" s="54" t="str">
        <f>IFERROR(IF(INDEX(SPOT_Import!$A$1:$Z$2488,855,'Live Data'!$C$13)="","",INDEX(SPOT_Import!$A$1:$Z$2488,855,'Live Data'!$C$13)),"")</f>
        <v>Katilini Health Centre</v>
      </c>
      <c r="C855" s="54" t="str">
        <f>IFERROR(IF(INDEX(SPOT_Import!$A$1:$Z$2488,855,'Live Data'!$C$14)="","",INDEX(SPOT_Import!$A$1:$Z$2488,855,'Live Data'!$C$14)),"")</f>
        <v>KITUI</v>
      </c>
      <c r="D855" s="54" t="str">
        <f>IFERROR(IF(INDEX(SPOT_Import!$A$1:$Z$2488,855,'Live Data'!$C$15)="","",INDEX(SPOT_Import!$A$1:$Z$2488,855,'Live Data'!$C$15)),"")</f>
        <v>Kitui South</v>
      </c>
      <c r="E855" s="54" t="str">
        <f>IFERROR(IF(INDEX(SPOT_Import!$A$1:$Z$2488,855,'Live Data'!$C$16)="","",INDEX(SPOT_Import!$A$1:$Z$2488,855,'Live Data'!$C$16)),"")</f>
        <v>CHAK CHAP STAWISHA</v>
      </c>
      <c r="F855" s="54" t="str">
        <f>IFERROR(IF(INDEX(SPOT_Import!$A$1:$Z$2488,855,'Live Data'!$C$17)="","",INDEX(SPOT_Import!$A$1:$Z$2488,855,'Live Data'!$C$17)),"")</f>
        <v>HTS</v>
      </c>
      <c r="G855" s="54">
        <f>IFERROR(IF(INDEX(SPOT_Import!$A$1:$Z$2488,855,'Live Data'!$C$18)="","",INDEX(SPOT_Import!$A$1:$Z$2488,855,'Live Data'!$C$18)),"")</f>
        <v>2619</v>
      </c>
      <c r="H855" s="54">
        <f>IFERROR(IF(INDEX(SPOT_Import!$A$1:$Z$2488,855,'Live Data'!$C$19)="","",INDEX(SPOT_Import!$A$1:$Z$2488,855,'Live Data'!$C$19)),"")</f>
        <v>2619</v>
      </c>
      <c r="I855" s="54" t="str">
        <f>IFERROR(IF(INDEX(SPOT_Import!$A$1:$Z$2488,855,'Live Data'!$C$20)="","",INDEX(SPOT_Import!$A$1:$Z$2488,855,'Live Data'!$C$20)),"")</f>
        <v>Complete</v>
      </c>
      <c r="J855" s="54" t="str">
        <f>IFERROR(IF(INDEX(SPOT_Import!$A$1:$Z$2488,855,'Live Data'!$C$21)="","",INDEX(SPOT_Import!$A$1:$Z$2488,855,'Live Data'!$C$21)),"")</f>
        <v>2026-10-08T08:15:08.000Z</v>
      </c>
      <c r="K855" s="54" t="str">
        <f>IFERROR(IF(INDEX(SPOT_Import!$A$1:$Z$2488,855,'Live Data'!$C$22)="","",INDEX(SPOT_Import!$A$1:$Z$2488,855,'Live Data'!$C$22)),"")</f>
        <v>2026-10-08T08:15:08.000Z</v>
      </c>
      <c r="L855" s="55" t="str">
        <f t="shared" si="26"/>
        <v>2026-10</v>
      </c>
      <c r="M855" s="55" t="str">
        <f t="shared" si="27"/>
        <v>KITUI</v>
      </c>
      <c r="N855" s="55" t="str">
        <f>IF(A855="","",IFERROR(INDEX('Cluster Map'!$A$4:$A$38,MATCH(M855,'Cluster Map'!$B$4:$B$38,0)),"Unmapped"))</f>
        <v>Cluster 5</v>
      </c>
      <c r="O855" s="55">
        <f>IF(A855="",0,IF(COUNTIFS($A$2:A855,A855,$F$2:F855,F855,$L$2:L855,L855)=1,1,0))</f>
        <v>1</v>
      </c>
      <c r="P855" s="55">
        <f>IF(A855="",0,IF(AND(F855="C&amp;T",COUNTIFS($A$2:A855,A855,$F$2:F855,"C&amp;T")=1),1,0))</f>
        <v>0</v>
      </c>
    </row>
    <row r="856" spans="1:16" x14ac:dyDescent="0.35">
      <c r="A856" s="54">
        <f>IFERROR(IF(INDEX(SPOT_Import!$A$1:$Z$2488,856,'Live Data'!$C$12)="","",INDEX(SPOT_Import!$A$1:$Z$2488,856,'Live Data'!$C$12)),"")</f>
        <v>12241</v>
      </c>
      <c r="B856" s="54" t="str">
        <f>IFERROR(IF(INDEX(SPOT_Import!$A$1:$Z$2488,856,'Live Data'!$C$13)="","",INDEX(SPOT_Import!$A$1:$Z$2488,856,'Live Data'!$C$13)),"")</f>
        <v>Katilini Health Centre</v>
      </c>
      <c r="C856" s="54" t="str">
        <f>IFERROR(IF(INDEX(SPOT_Import!$A$1:$Z$2488,856,'Live Data'!$C$14)="","",INDEX(SPOT_Import!$A$1:$Z$2488,856,'Live Data'!$C$14)),"")</f>
        <v>KITUI</v>
      </c>
      <c r="D856" s="54" t="str">
        <f>IFERROR(IF(INDEX(SPOT_Import!$A$1:$Z$2488,856,'Live Data'!$C$15)="","",INDEX(SPOT_Import!$A$1:$Z$2488,856,'Live Data'!$C$15)),"")</f>
        <v>Kitui South</v>
      </c>
      <c r="E856" s="54" t="str">
        <f>IFERROR(IF(INDEX(SPOT_Import!$A$1:$Z$2488,856,'Live Data'!$C$16)="","",INDEX(SPOT_Import!$A$1:$Z$2488,856,'Live Data'!$C$16)),"")</f>
        <v>CHAK CHAP STAWISHA</v>
      </c>
      <c r="F856" s="54" t="str">
        <f>IFERROR(IF(INDEX(SPOT_Import!$A$1:$Z$2488,856,'Live Data'!$C$17)="","",INDEX(SPOT_Import!$A$1:$Z$2488,856,'Live Data'!$C$17)),"")</f>
        <v>C&amp;T</v>
      </c>
      <c r="G856" s="54">
        <f>IFERROR(IF(INDEX(SPOT_Import!$A$1:$Z$2488,856,'Live Data'!$C$18)="","",INDEX(SPOT_Import!$A$1:$Z$2488,856,'Live Data'!$C$18)),"")</f>
        <v>126</v>
      </c>
      <c r="H856" s="54">
        <f>IFERROR(IF(INDEX(SPOT_Import!$A$1:$Z$2488,856,'Live Data'!$C$19)="","",INDEX(SPOT_Import!$A$1:$Z$2488,856,'Live Data'!$C$19)),"")</f>
        <v>126</v>
      </c>
      <c r="I856" s="54" t="str">
        <f>IFERROR(IF(INDEX(SPOT_Import!$A$1:$Z$2488,856,'Live Data'!$C$20)="","",INDEX(SPOT_Import!$A$1:$Z$2488,856,'Live Data'!$C$20)),"")</f>
        <v>Complete</v>
      </c>
      <c r="J856" s="54" t="str">
        <f>IFERROR(IF(INDEX(SPOT_Import!$A$1:$Z$2488,856,'Live Data'!$C$21)="","",INDEX(SPOT_Import!$A$1:$Z$2488,856,'Live Data'!$C$21)),"")</f>
        <v>2026-10-08T07:59:01.000Z</v>
      </c>
      <c r="K856" s="54" t="str">
        <f>IFERROR(IF(INDEX(SPOT_Import!$A$1:$Z$2488,856,'Live Data'!$C$22)="","",INDEX(SPOT_Import!$A$1:$Z$2488,856,'Live Data'!$C$22)),"")</f>
        <v>2026-10-08T07:59:01.000Z</v>
      </c>
      <c r="L856" s="55" t="str">
        <f t="shared" si="26"/>
        <v>2026-10</v>
      </c>
      <c r="M856" s="55" t="str">
        <f t="shared" si="27"/>
        <v>KITUI</v>
      </c>
      <c r="N856" s="55" t="str">
        <f>IF(A856="","",IFERROR(INDEX('Cluster Map'!$A$4:$A$38,MATCH(M856,'Cluster Map'!$B$4:$B$38,0)),"Unmapped"))</f>
        <v>Cluster 5</v>
      </c>
      <c r="O856" s="55">
        <f>IF(A856="",0,IF(COUNTIFS($A$2:A856,A856,$F$2:F856,F856,$L$2:L856,L856)=1,1,0))</f>
        <v>1</v>
      </c>
      <c r="P856" s="55">
        <f>IF(A856="",0,IF(AND(F856="C&amp;T",COUNTIFS($A$2:A856,A856,$F$2:F856,"C&amp;T")=1),1,0))</f>
        <v>1</v>
      </c>
    </row>
    <row r="857" spans="1:16" x14ac:dyDescent="0.35">
      <c r="A857" s="54">
        <f>IFERROR(IF(INDEX(SPOT_Import!$A$1:$Z$2488,857,'Live Data'!$C$12)="","",INDEX(SPOT_Import!$A$1:$Z$2488,857,'Live Data'!$C$12)),"")</f>
        <v>12306</v>
      </c>
      <c r="B857" s="54" t="str">
        <f>IFERROR(IF(INDEX(SPOT_Import!$A$1:$Z$2488,857,'Live Data'!$C$13)="","",INDEX(SPOT_Import!$A$1:$Z$2488,857,'Live Data'!$C$13)),"")</f>
        <v>Kikoko Mission Hospital</v>
      </c>
      <c r="C857" s="54" t="str">
        <f>IFERROR(IF(INDEX(SPOT_Import!$A$1:$Z$2488,857,'Live Data'!$C$14)="","",INDEX(SPOT_Import!$A$1:$Z$2488,857,'Live Data'!$C$14)),"")</f>
        <v>MAKUENI</v>
      </c>
      <c r="D857" s="54" t="str">
        <f>IFERROR(IF(INDEX(SPOT_Import!$A$1:$Z$2488,857,'Live Data'!$C$15)="","",INDEX(SPOT_Import!$A$1:$Z$2488,857,'Live Data'!$C$15)),"")</f>
        <v>Kaiti</v>
      </c>
      <c r="E857" s="54" t="str">
        <f>IFERROR(IF(INDEX(SPOT_Import!$A$1:$Z$2488,857,'Live Data'!$C$16)="","",INDEX(SPOT_Import!$A$1:$Z$2488,857,'Live Data'!$C$16)),"")</f>
        <v>CHAK CHAP STAWISHA</v>
      </c>
      <c r="F857" s="54" t="str">
        <f>IFERROR(IF(INDEX(SPOT_Import!$A$1:$Z$2488,857,'Live Data'!$C$17)="","",INDEX(SPOT_Import!$A$1:$Z$2488,857,'Live Data'!$C$17)),"")</f>
        <v>MNCH</v>
      </c>
      <c r="G857" s="54">
        <f>IFERROR(IF(INDEX(SPOT_Import!$A$1:$Z$2488,857,'Live Data'!$C$18)="","",INDEX(SPOT_Import!$A$1:$Z$2488,857,'Live Data'!$C$18)),"")</f>
        <v>480</v>
      </c>
      <c r="H857" s="54" t="str">
        <f>IFERROR(IF(INDEX(SPOT_Import!$A$1:$Z$2488,857,'Live Data'!$C$19)="","",INDEX(SPOT_Import!$A$1:$Z$2488,857,'Live Data'!$C$19)),"")</f>
        <v/>
      </c>
      <c r="I857" s="54" t="str">
        <f>IFERROR(IF(INDEX(SPOT_Import!$A$1:$Z$2488,857,'Live Data'!$C$20)="","",INDEX(SPOT_Import!$A$1:$Z$2488,857,'Live Data'!$C$20)),"")</f>
        <v>Complete</v>
      </c>
      <c r="J857" s="54" t="str">
        <f>IFERROR(IF(INDEX(SPOT_Import!$A$1:$Z$2488,857,'Live Data'!$C$21)="","",INDEX(SPOT_Import!$A$1:$Z$2488,857,'Live Data'!$C$21)),"")</f>
        <v>2026-10-07T16:40:04.000Z</v>
      </c>
      <c r="K857" s="54" t="str">
        <f>IFERROR(IF(INDEX(SPOT_Import!$A$1:$Z$2488,857,'Live Data'!$C$22)="","",INDEX(SPOT_Import!$A$1:$Z$2488,857,'Live Data'!$C$22)),"")</f>
        <v>2026-10-07T16:40:04.000Z</v>
      </c>
      <c r="L857" s="55" t="str">
        <f t="shared" si="26"/>
        <v>2026-10</v>
      </c>
      <c r="M857" s="55" t="str">
        <f t="shared" si="27"/>
        <v>MAKUENI</v>
      </c>
      <c r="N857" s="55" t="str">
        <f>IF(A857="","",IFERROR(INDEX('Cluster Map'!$A$4:$A$38,MATCH(M857,'Cluster Map'!$B$4:$B$38,0)),"Unmapped"))</f>
        <v>Cluster 5</v>
      </c>
      <c r="O857" s="55">
        <f>IF(A857="",0,IF(COUNTIFS($A$2:A857,A857,$F$2:F857,F857,$L$2:L857,L857)=1,1,0))</f>
        <v>1</v>
      </c>
      <c r="P857" s="55">
        <f>IF(A857="",0,IF(AND(F857="C&amp;T",COUNTIFS($A$2:A857,A857,$F$2:F857,"C&amp;T")=1),1,0))</f>
        <v>0</v>
      </c>
    </row>
    <row r="858" spans="1:16" x14ac:dyDescent="0.35">
      <c r="A858" s="54">
        <f>IFERROR(IF(INDEX(SPOT_Import!$A$1:$Z$2488,858,'Live Data'!$C$12)="","",INDEX(SPOT_Import!$A$1:$Z$2488,858,'Live Data'!$C$12)),"")</f>
        <v>12306</v>
      </c>
      <c r="B858" s="54" t="str">
        <f>IFERROR(IF(INDEX(SPOT_Import!$A$1:$Z$2488,858,'Live Data'!$C$13)="","",INDEX(SPOT_Import!$A$1:$Z$2488,858,'Live Data'!$C$13)),"")</f>
        <v>Kikoko Mission Hospital</v>
      </c>
      <c r="C858" s="54" t="str">
        <f>IFERROR(IF(INDEX(SPOT_Import!$A$1:$Z$2488,858,'Live Data'!$C$14)="","",INDEX(SPOT_Import!$A$1:$Z$2488,858,'Live Data'!$C$14)),"")</f>
        <v>MAKUENI</v>
      </c>
      <c r="D858" s="54" t="str">
        <f>IFERROR(IF(INDEX(SPOT_Import!$A$1:$Z$2488,858,'Live Data'!$C$15)="","",INDEX(SPOT_Import!$A$1:$Z$2488,858,'Live Data'!$C$15)),"")</f>
        <v>Kaiti</v>
      </c>
      <c r="E858" s="54" t="str">
        <f>IFERROR(IF(INDEX(SPOT_Import!$A$1:$Z$2488,858,'Live Data'!$C$16)="","",INDEX(SPOT_Import!$A$1:$Z$2488,858,'Live Data'!$C$16)),"")</f>
        <v>CHAK CHAP STAWISHA</v>
      </c>
      <c r="F858" s="54" t="str">
        <f>IFERROR(IF(INDEX(SPOT_Import!$A$1:$Z$2488,858,'Live Data'!$C$17)="","",INDEX(SPOT_Import!$A$1:$Z$2488,858,'Live Data'!$C$17)),"")</f>
        <v>PREP</v>
      </c>
      <c r="G858" s="54">
        <f>IFERROR(IF(INDEX(SPOT_Import!$A$1:$Z$2488,858,'Live Data'!$C$18)="","",INDEX(SPOT_Import!$A$1:$Z$2488,858,'Live Data'!$C$18)),"")</f>
        <v>936</v>
      </c>
      <c r="H858" s="54" t="str">
        <f>IFERROR(IF(INDEX(SPOT_Import!$A$1:$Z$2488,858,'Live Data'!$C$19)="","",INDEX(SPOT_Import!$A$1:$Z$2488,858,'Live Data'!$C$19)),"")</f>
        <v/>
      </c>
      <c r="I858" s="54" t="str">
        <f>IFERROR(IF(INDEX(SPOT_Import!$A$1:$Z$2488,858,'Live Data'!$C$20)="","",INDEX(SPOT_Import!$A$1:$Z$2488,858,'Live Data'!$C$20)),"")</f>
        <v>Complete</v>
      </c>
      <c r="J858" s="54" t="str">
        <f>IFERROR(IF(INDEX(SPOT_Import!$A$1:$Z$2488,858,'Live Data'!$C$21)="","",INDEX(SPOT_Import!$A$1:$Z$2488,858,'Live Data'!$C$21)),"")</f>
        <v>2026-10-07T16:33:20.000Z</v>
      </c>
      <c r="K858" s="54" t="str">
        <f>IFERROR(IF(INDEX(SPOT_Import!$A$1:$Z$2488,858,'Live Data'!$C$22)="","",INDEX(SPOT_Import!$A$1:$Z$2488,858,'Live Data'!$C$22)),"")</f>
        <v>2026-10-07T16:33:20.000Z</v>
      </c>
      <c r="L858" s="55" t="str">
        <f t="shared" si="26"/>
        <v>2026-10</v>
      </c>
      <c r="M858" s="55" t="str">
        <f t="shared" si="27"/>
        <v>MAKUENI</v>
      </c>
      <c r="N858" s="55" t="str">
        <f>IF(A858="","",IFERROR(INDEX('Cluster Map'!$A$4:$A$38,MATCH(M858,'Cluster Map'!$B$4:$B$38,0)),"Unmapped"))</f>
        <v>Cluster 5</v>
      </c>
      <c r="O858" s="55">
        <f>IF(A858="",0,IF(COUNTIFS($A$2:A858,A858,$F$2:F858,F858,$L$2:L858,L858)=1,1,0))</f>
        <v>1</v>
      </c>
      <c r="P858" s="55">
        <f>IF(A858="",0,IF(AND(F858="C&amp;T",COUNTIFS($A$2:A858,A858,$F$2:F858,"C&amp;T")=1),1,0))</f>
        <v>0</v>
      </c>
    </row>
    <row r="859" spans="1:16" x14ac:dyDescent="0.35">
      <c r="A859" s="54">
        <f>IFERROR(IF(INDEX(SPOT_Import!$A$1:$Z$2488,859,'Live Data'!$C$12)="","",INDEX(SPOT_Import!$A$1:$Z$2488,859,'Live Data'!$C$12)),"")</f>
        <v>17431</v>
      </c>
      <c r="B859" s="54" t="str">
        <f>IFERROR(IF(INDEX(SPOT_Import!$A$1:$Z$2488,859,'Live Data'!$C$13)="","",INDEX(SPOT_Import!$A$1:$Z$2488,859,'Live Data'!$C$13)),"")</f>
        <v>AIC Kalamba Dispensary</v>
      </c>
      <c r="C859" s="54" t="str">
        <f>IFERROR(IF(INDEX(SPOT_Import!$A$1:$Z$2488,859,'Live Data'!$C$14)="","",INDEX(SPOT_Import!$A$1:$Z$2488,859,'Live Data'!$C$14)),"")</f>
        <v>MAKUENI</v>
      </c>
      <c r="D859" s="54" t="str">
        <f>IFERROR(IF(INDEX(SPOT_Import!$A$1:$Z$2488,859,'Live Data'!$C$15)="","",INDEX(SPOT_Import!$A$1:$Z$2488,859,'Live Data'!$C$15)),"")</f>
        <v>Makueni</v>
      </c>
      <c r="E859" s="54" t="str">
        <f>IFERROR(IF(INDEX(SPOT_Import!$A$1:$Z$2488,859,'Live Data'!$C$16)="","",INDEX(SPOT_Import!$A$1:$Z$2488,859,'Live Data'!$C$16)),"")</f>
        <v>CHAK CHAP STAWISHA</v>
      </c>
      <c r="F859" s="54" t="str">
        <f>IFERROR(IF(INDEX(SPOT_Import!$A$1:$Z$2488,859,'Live Data'!$C$17)="","",INDEX(SPOT_Import!$A$1:$Z$2488,859,'Live Data'!$C$17)),"")</f>
        <v>HTS</v>
      </c>
      <c r="G859" s="54">
        <f>IFERROR(IF(INDEX(SPOT_Import!$A$1:$Z$2488,859,'Live Data'!$C$18)="","",INDEX(SPOT_Import!$A$1:$Z$2488,859,'Live Data'!$C$18)),"")</f>
        <v>2749</v>
      </c>
      <c r="H859" s="54">
        <f>IFERROR(IF(INDEX(SPOT_Import!$A$1:$Z$2488,859,'Live Data'!$C$19)="","",INDEX(SPOT_Import!$A$1:$Z$2488,859,'Live Data'!$C$19)),"")</f>
        <v>2749</v>
      </c>
      <c r="I859" s="54" t="str">
        <f>IFERROR(IF(INDEX(SPOT_Import!$A$1:$Z$2488,859,'Live Data'!$C$20)="","",INDEX(SPOT_Import!$A$1:$Z$2488,859,'Live Data'!$C$20)),"")</f>
        <v>Complete</v>
      </c>
      <c r="J859" s="54" t="str">
        <f>IFERROR(IF(INDEX(SPOT_Import!$A$1:$Z$2488,859,'Live Data'!$C$21)="","",INDEX(SPOT_Import!$A$1:$Z$2488,859,'Live Data'!$C$21)),"")</f>
        <v>2026-10-07T15:45:32.000Z</v>
      </c>
      <c r="K859" s="54" t="str">
        <f>IFERROR(IF(INDEX(SPOT_Import!$A$1:$Z$2488,859,'Live Data'!$C$22)="","",INDEX(SPOT_Import!$A$1:$Z$2488,859,'Live Data'!$C$22)),"")</f>
        <v>2026-10-07T15:45:32.000Z</v>
      </c>
      <c r="L859" s="55" t="str">
        <f t="shared" si="26"/>
        <v>2026-10</v>
      </c>
      <c r="M859" s="55" t="str">
        <f t="shared" si="27"/>
        <v>MAKUENI</v>
      </c>
      <c r="N859" s="55" t="str">
        <f>IF(A859="","",IFERROR(INDEX('Cluster Map'!$A$4:$A$38,MATCH(M859,'Cluster Map'!$B$4:$B$38,0)),"Unmapped"))</f>
        <v>Cluster 5</v>
      </c>
      <c r="O859" s="55">
        <f>IF(A859="",0,IF(COUNTIFS($A$2:A859,A859,$F$2:F859,F859,$L$2:L859,L859)=1,1,0))</f>
        <v>1</v>
      </c>
      <c r="P859" s="55">
        <f>IF(A859="",0,IF(AND(F859="C&amp;T",COUNTIFS($A$2:A859,A859,$F$2:F859,"C&amp;T")=1),1,0))</f>
        <v>0</v>
      </c>
    </row>
    <row r="860" spans="1:16" x14ac:dyDescent="0.35">
      <c r="A860" s="54">
        <f>IFERROR(IF(INDEX(SPOT_Import!$A$1:$Z$2488,860,'Live Data'!$C$12)="","",INDEX(SPOT_Import!$A$1:$Z$2488,860,'Live Data'!$C$12)),"")</f>
        <v>17431</v>
      </c>
      <c r="B860" s="54" t="str">
        <f>IFERROR(IF(INDEX(SPOT_Import!$A$1:$Z$2488,860,'Live Data'!$C$13)="","",INDEX(SPOT_Import!$A$1:$Z$2488,860,'Live Data'!$C$13)),"")</f>
        <v>AIC Kalamba Dispensary</v>
      </c>
      <c r="C860" s="54" t="str">
        <f>IFERROR(IF(INDEX(SPOT_Import!$A$1:$Z$2488,860,'Live Data'!$C$14)="","",INDEX(SPOT_Import!$A$1:$Z$2488,860,'Live Data'!$C$14)),"")</f>
        <v>MAKUENI</v>
      </c>
      <c r="D860" s="54" t="str">
        <f>IFERROR(IF(INDEX(SPOT_Import!$A$1:$Z$2488,860,'Live Data'!$C$15)="","",INDEX(SPOT_Import!$A$1:$Z$2488,860,'Live Data'!$C$15)),"")</f>
        <v>Makueni</v>
      </c>
      <c r="E860" s="54" t="str">
        <f>IFERROR(IF(INDEX(SPOT_Import!$A$1:$Z$2488,860,'Live Data'!$C$16)="","",INDEX(SPOT_Import!$A$1:$Z$2488,860,'Live Data'!$C$16)),"")</f>
        <v>CHAK CHAP STAWISHA</v>
      </c>
      <c r="F860" s="54" t="str">
        <f>IFERROR(IF(INDEX(SPOT_Import!$A$1:$Z$2488,860,'Live Data'!$C$17)="","",INDEX(SPOT_Import!$A$1:$Z$2488,860,'Live Data'!$C$17)),"")</f>
        <v>PREP</v>
      </c>
      <c r="G860" s="54">
        <f>IFERROR(IF(INDEX(SPOT_Import!$A$1:$Z$2488,860,'Live Data'!$C$18)="","",INDEX(SPOT_Import!$A$1:$Z$2488,860,'Live Data'!$C$18)),"")</f>
        <v>450</v>
      </c>
      <c r="H860" s="54" t="str">
        <f>IFERROR(IF(INDEX(SPOT_Import!$A$1:$Z$2488,860,'Live Data'!$C$19)="","",INDEX(SPOT_Import!$A$1:$Z$2488,860,'Live Data'!$C$19)),"")</f>
        <v/>
      </c>
      <c r="I860" s="54" t="str">
        <f>IFERROR(IF(INDEX(SPOT_Import!$A$1:$Z$2488,860,'Live Data'!$C$20)="","",INDEX(SPOT_Import!$A$1:$Z$2488,860,'Live Data'!$C$20)),"")</f>
        <v>Incomplete</v>
      </c>
      <c r="J860" s="54" t="str">
        <f>IFERROR(IF(INDEX(SPOT_Import!$A$1:$Z$2488,860,'Live Data'!$C$21)="","",INDEX(SPOT_Import!$A$1:$Z$2488,860,'Live Data'!$C$21)),"")</f>
        <v>2026-10-07T15:45:06.000Z</v>
      </c>
      <c r="K860" s="54" t="str">
        <f>IFERROR(IF(INDEX(SPOT_Import!$A$1:$Z$2488,860,'Live Data'!$C$22)="","",INDEX(SPOT_Import!$A$1:$Z$2488,860,'Live Data'!$C$22)),"")</f>
        <v>2026-10-07T15:45:06.000Z</v>
      </c>
      <c r="L860" s="55" t="str">
        <f t="shared" si="26"/>
        <v>2026-10</v>
      </c>
      <c r="M860" s="55" t="str">
        <f t="shared" si="27"/>
        <v>MAKUENI</v>
      </c>
      <c r="N860" s="55" t="str">
        <f>IF(A860="","",IFERROR(INDEX('Cluster Map'!$A$4:$A$38,MATCH(M860,'Cluster Map'!$B$4:$B$38,0)),"Unmapped"))</f>
        <v>Cluster 5</v>
      </c>
      <c r="O860" s="55">
        <f>IF(A860="",0,IF(COUNTIFS($A$2:A860,A860,$F$2:F860,F860,$L$2:L860,L860)=1,1,0))</f>
        <v>1</v>
      </c>
      <c r="P860" s="55">
        <f>IF(A860="",0,IF(AND(F860="C&amp;T",COUNTIFS($A$2:A860,A860,$F$2:F860,"C&amp;T")=1),1,0))</f>
        <v>0</v>
      </c>
    </row>
    <row r="861" spans="1:16" x14ac:dyDescent="0.35">
      <c r="A861" s="54">
        <f>IFERROR(IF(INDEX(SPOT_Import!$A$1:$Z$2488,861,'Live Data'!$C$12)="","",INDEX(SPOT_Import!$A$1:$Z$2488,861,'Live Data'!$C$12)),"")</f>
        <v>17431</v>
      </c>
      <c r="B861" s="54" t="str">
        <f>IFERROR(IF(INDEX(SPOT_Import!$A$1:$Z$2488,861,'Live Data'!$C$13)="","",INDEX(SPOT_Import!$A$1:$Z$2488,861,'Live Data'!$C$13)),"")</f>
        <v>AIC Kalamba Dispensary</v>
      </c>
      <c r="C861" s="54" t="str">
        <f>IFERROR(IF(INDEX(SPOT_Import!$A$1:$Z$2488,861,'Live Data'!$C$14)="","",INDEX(SPOT_Import!$A$1:$Z$2488,861,'Live Data'!$C$14)),"")</f>
        <v>MAKUENI</v>
      </c>
      <c r="D861" s="54" t="str">
        <f>IFERROR(IF(INDEX(SPOT_Import!$A$1:$Z$2488,861,'Live Data'!$C$15)="","",INDEX(SPOT_Import!$A$1:$Z$2488,861,'Live Data'!$C$15)),"")</f>
        <v>Makueni</v>
      </c>
      <c r="E861" s="54" t="str">
        <f>IFERROR(IF(INDEX(SPOT_Import!$A$1:$Z$2488,861,'Live Data'!$C$16)="","",INDEX(SPOT_Import!$A$1:$Z$2488,861,'Live Data'!$C$16)),"")</f>
        <v>CHAK CHAP STAWISHA</v>
      </c>
      <c r="F861" s="54" t="str">
        <f>IFERROR(IF(INDEX(SPOT_Import!$A$1:$Z$2488,861,'Live Data'!$C$17)="","",INDEX(SPOT_Import!$A$1:$Z$2488,861,'Live Data'!$C$17)),"")</f>
        <v>C&amp;T</v>
      </c>
      <c r="G861" s="54">
        <f>IFERROR(IF(INDEX(SPOT_Import!$A$1:$Z$2488,861,'Live Data'!$C$18)="","",INDEX(SPOT_Import!$A$1:$Z$2488,861,'Live Data'!$C$18)),"")</f>
        <v>384</v>
      </c>
      <c r="H861" s="54">
        <f>IFERROR(IF(INDEX(SPOT_Import!$A$1:$Z$2488,861,'Live Data'!$C$19)="","",INDEX(SPOT_Import!$A$1:$Z$2488,861,'Live Data'!$C$19)),"")</f>
        <v>384</v>
      </c>
      <c r="I861" s="54" t="str">
        <f>IFERROR(IF(INDEX(SPOT_Import!$A$1:$Z$2488,861,'Live Data'!$C$20)="","",INDEX(SPOT_Import!$A$1:$Z$2488,861,'Live Data'!$C$20)),"")</f>
        <v>Complete</v>
      </c>
      <c r="J861" s="54" t="str">
        <f>IFERROR(IF(INDEX(SPOT_Import!$A$1:$Z$2488,861,'Live Data'!$C$21)="","",INDEX(SPOT_Import!$A$1:$Z$2488,861,'Live Data'!$C$21)),"")</f>
        <v>2026-10-07T15:24:54.000Z</v>
      </c>
      <c r="K861" s="54" t="str">
        <f>IFERROR(IF(INDEX(SPOT_Import!$A$1:$Z$2488,861,'Live Data'!$C$22)="","",INDEX(SPOT_Import!$A$1:$Z$2488,861,'Live Data'!$C$22)),"")</f>
        <v>2026-10-07T15:24:54.000Z</v>
      </c>
      <c r="L861" s="55" t="str">
        <f t="shared" si="26"/>
        <v>2026-10</v>
      </c>
      <c r="M861" s="55" t="str">
        <f t="shared" si="27"/>
        <v>MAKUENI</v>
      </c>
      <c r="N861" s="55" t="str">
        <f>IF(A861="","",IFERROR(INDEX('Cluster Map'!$A$4:$A$38,MATCH(M861,'Cluster Map'!$B$4:$B$38,0)),"Unmapped"))</f>
        <v>Cluster 5</v>
      </c>
      <c r="O861" s="55">
        <f>IF(A861="",0,IF(COUNTIFS($A$2:A861,A861,$F$2:F861,F861,$L$2:L861,L861)=1,1,0))</f>
        <v>1</v>
      </c>
      <c r="P861" s="55">
        <f>IF(A861="",0,IF(AND(F861="C&amp;T",COUNTIFS($A$2:A861,A861,$F$2:F861,"C&amp;T")=1),1,0))</f>
        <v>1</v>
      </c>
    </row>
    <row r="862" spans="1:16" x14ac:dyDescent="0.35">
      <c r="A862" s="54">
        <f>IFERROR(IF(INDEX(SPOT_Import!$A$1:$Z$2488,862,'Live Data'!$C$12)="","",INDEX(SPOT_Import!$A$1:$Z$2488,862,'Live Data'!$C$12)),"")</f>
        <v>12190</v>
      </c>
      <c r="B862" s="54" t="str">
        <f>IFERROR(IF(INDEX(SPOT_Import!$A$1:$Z$2488,862,'Live Data'!$C$13)="","",INDEX(SPOT_Import!$A$1:$Z$2488,862,'Live Data'!$C$13)),"")</f>
        <v>Kanziku Health Centre</v>
      </c>
      <c r="C862" s="54" t="str">
        <f>IFERROR(IF(INDEX(SPOT_Import!$A$1:$Z$2488,862,'Live Data'!$C$14)="","",INDEX(SPOT_Import!$A$1:$Z$2488,862,'Live Data'!$C$14)),"")</f>
        <v>KITUI</v>
      </c>
      <c r="D862" s="54" t="str">
        <f>IFERROR(IF(INDEX(SPOT_Import!$A$1:$Z$2488,862,'Live Data'!$C$15)="","",INDEX(SPOT_Import!$A$1:$Z$2488,862,'Live Data'!$C$15)),"")</f>
        <v>Kitui South</v>
      </c>
      <c r="E862" s="54" t="str">
        <f>IFERROR(IF(INDEX(SPOT_Import!$A$1:$Z$2488,862,'Live Data'!$C$16)="","",INDEX(SPOT_Import!$A$1:$Z$2488,862,'Live Data'!$C$16)),"")</f>
        <v>CHAK CHAP STAWISHA</v>
      </c>
      <c r="F862" s="54" t="str">
        <f>IFERROR(IF(INDEX(SPOT_Import!$A$1:$Z$2488,862,'Live Data'!$C$17)="","",INDEX(SPOT_Import!$A$1:$Z$2488,862,'Live Data'!$C$17)),"")</f>
        <v>MNCH</v>
      </c>
      <c r="G862" s="54">
        <f>IFERROR(IF(INDEX(SPOT_Import!$A$1:$Z$2488,862,'Live Data'!$C$18)="","",INDEX(SPOT_Import!$A$1:$Z$2488,862,'Live Data'!$C$18)),"")</f>
        <v>11</v>
      </c>
      <c r="H862" s="54" t="str">
        <f>IFERROR(IF(INDEX(SPOT_Import!$A$1:$Z$2488,862,'Live Data'!$C$19)="","",INDEX(SPOT_Import!$A$1:$Z$2488,862,'Live Data'!$C$19)),"")</f>
        <v/>
      </c>
      <c r="I862" s="54" t="str">
        <f>IFERROR(IF(INDEX(SPOT_Import!$A$1:$Z$2488,862,'Live Data'!$C$20)="","",INDEX(SPOT_Import!$A$1:$Z$2488,862,'Live Data'!$C$20)),"")</f>
        <v>Incomplete</v>
      </c>
      <c r="J862" s="54" t="str">
        <f>IFERROR(IF(INDEX(SPOT_Import!$A$1:$Z$2488,862,'Live Data'!$C$21)="","",INDEX(SPOT_Import!$A$1:$Z$2488,862,'Live Data'!$C$21)),"")</f>
        <v>2026-10-07T13:52:53.000Z</v>
      </c>
      <c r="K862" s="54" t="str">
        <f>IFERROR(IF(INDEX(SPOT_Import!$A$1:$Z$2488,862,'Live Data'!$C$22)="","",INDEX(SPOT_Import!$A$1:$Z$2488,862,'Live Data'!$C$22)),"")</f>
        <v>2026-10-07T13:52:53.000Z</v>
      </c>
      <c r="L862" s="55" t="str">
        <f t="shared" si="26"/>
        <v>2026-10</v>
      </c>
      <c r="M862" s="55" t="str">
        <f t="shared" si="27"/>
        <v>KITUI</v>
      </c>
      <c r="N862" s="55" t="str">
        <f>IF(A862="","",IFERROR(INDEX('Cluster Map'!$A$4:$A$38,MATCH(M862,'Cluster Map'!$B$4:$B$38,0)),"Unmapped"))</f>
        <v>Cluster 5</v>
      </c>
      <c r="O862" s="55">
        <f>IF(A862="",0,IF(COUNTIFS($A$2:A862,A862,$F$2:F862,F862,$L$2:L862,L862)=1,1,0))</f>
        <v>1</v>
      </c>
      <c r="P862" s="55">
        <f>IF(A862="",0,IF(AND(F862="C&amp;T",COUNTIFS($A$2:A862,A862,$F$2:F862,"C&amp;T")=1),1,0))</f>
        <v>0</v>
      </c>
    </row>
    <row r="863" spans="1:16" x14ac:dyDescent="0.35">
      <c r="A863" s="54">
        <f>IFERROR(IF(INDEX(SPOT_Import!$A$1:$Z$2488,863,'Live Data'!$C$12)="","",INDEX(SPOT_Import!$A$1:$Z$2488,863,'Live Data'!$C$12)),"")</f>
        <v>12190</v>
      </c>
      <c r="B863" s="54" t="str">
        <f>IFERROR(IF(INDEX(SPOT_Import!$A$1:$Z$2488,863,'Live Data'!$C$13)="","",INDEX(SPOT_Import!$A$1:$Z$2488,863,'Live Data'!$C$13)),"")</f>
        <v>Kanziku Health Centre</v>
      </c>
      <c r="C863" s="54" t="str">
        <f>IFERROR(IF(INDEX(SPOT_Import!$A$1:$Z$2488,863,'Live Data'!$C$14)="","",INDEX(SPOT_Import!$A$1:$Z$2488,863,'Live Data'!$C$14)),"")</f>
        <v>KITUI</v>
      </c>
      <c r="D863" s="54" t="str">
        <f>IFERROR(IF(INDEX(SPOT_Import!$A$1:$Z$2488,863,'Live Data'!$C$15)="","",INDEX(SPOT_Import!$A$1:$Z$2488,863,'Live Data'!$C$15)),"")</f>
        <v>Kitui South</v>
      </c>
      <c r="E863" s="54" t="str">
        <f>IFERROR(IF(INDEX(SPOT_Import!$A$1:$Z$2488,863,'Live Data'!$C$16)="","",INDEX(SPOT_Import!$A$1:$Z$2488,863,'Live Data'!$C$16)),"")</f>
        <v>CHAK CHAP STAWISHA</v>
      </c>
      <c r="F863" s="54" t="str">
        <f>IFERROR(IF(INDEX(SPOT_Import!$A$1:$Z$2488,863,'Live Data'!$C$17)="","",INDEX(SPOT_Import!$A$1:$Z$2488,863,'Live Data'!$C$17)),"")</f>
        <v>HTS</v>
      </c>
      <c r="G863" s="54">
        <f>IFERROR(IF(INDEX(SPOT_Import!$A$1:$Z$2488,863,'Live Data'!$C$18)="","",INDEX(SPOT_Import!$A$1:$Z$2488,863,'Live Data'!$C$18)),"")</f>
        <v>2286</v>
      </c>
      <c r="H863" s="54" t="str">
        <f>IFERROR(IF(INDEX(SPOT_Import!$A$1:$Z$2488,863,'Live Data'!$C$19)="","",INDEX(SPOT_Import!$A$1:$Z$2488,863,'Live Data'!$C$19)),"")</f>
        <v/>
      </c>
      <c r="I863" s="54" t="str">
        <f>IFERROR(IF(INDEX(SPOT_Import!$A$1:$Z$2488,863,'Live Data'!$C$20)="","",INDEX(SPOT_Import!$A$1:$Z$2488,863,'Live Data'!$C$20)),"")</f>
        <v>Complete</v>
      </c>
      <c r="J863" s="54" t="str">
        <f>IFERROR(IF(INDEX(SPOT_Import!$A$1:$Z$2488,863,'Live Data'!$C$21)="","",INDEX(SPOT_Import!$A$1:$Z$2488,863,'Live Data'!$C$21)),"")</f>
        <v>2026-10-07T13:52:13.000Z</v>
      </c>
      <c r="K863" s="54" t="str">
        <f>IFERROR(IF(INDEX(SPOT_Import!$A$1:$Z$2488,863,'Live Data'!$C$22)="","",INDEX(SPOT_Import!$A$1:$Z$2488,863,'Live Data'!$C$22)),"")</f>
        <v>2026-10-07T13:52:13.000Z</v>
      </c>
      <c r="L863" s="55" t="str">
        <f t="shared" si="26"/>
        <v>2026-10</v>
      </c>
      <c r="M863" s="55" t="str">
        <f t="shared" si="27"/>
        <v>KITUI</v>
      </c>
      <c r="N863" s="55" t="str">
        <f>IF(A863="","",IFERROR(INDEX('Cluster Map'!$A$4:$A$38,MATCH(M863,'Cluster Map'!$B$4:$B$38,0)),"Unmapped"))</f>
        <v>Cluster 5</v>
      </c>
      <c r="O863" s="55">
        <f>IF(A863="",0,IF(COUNTIFS($A$2:A863,A863,$F$2:F863,F863,$L$2:L863,L863)=1,1,0))</f>
        <v>1</v>
      </c>
      <c r="P863" s="55">
        <f>IF(A863="",0,IF(AND(F863="C&amp;T",COUNTIFS($A$2:A863,A863,$F$2:F863,"C&amp;T")=1),1,0))</f>
        <v>0</v>
      </c>
    </row>
    <row r="864" spans="1:16" x14ac:dyDescent="0.35">
      <c r="A864" s="54">
        <f>IFERROR(IF(INDEX(SPOT_Import!$A$1:$Z$2488,864,'Live Data'!$C$12)="","",INDEX(SPOT_Import!$A$1:$Z$2488,864,'Live Data'!$C$12)),"")</f>
        <v>12190</v>
      </c>
      <c r="B864" s="54" t="str">
        <f>IFERROR(IF(INDEX(SPOT_Import!$A$1:$Z$2488,864,'Live Data'!$C$13)="","",INDEX(SPOT_Import!$A$1:$Z$2488,864,'Live Data'!$C$13)),"")</f>
        <v>Kanziku Health Centre</v>
      </c>
      <c r="C864" s="54" t="str">
        <f>IFERROR(IF(INDEX(SPOT_Import!$A$1:$Z$2488,864,'Live Data'!$C$14)="","",INDEX(SPOT_Import!$A$1:$Z$2488,864,'Live Data'!$C$14)),"")</f>
        <v>KITUI</v>
      </c>
      <c r="D864" s="54" t="str">
        <f>IFERROR(IF(INDEX(SPOT_Import!$A$1:$Z$2488,864,'Live Data'!$C$15)="","",INDEX(SPOT_Import!$A$1:$Z$2488,864,'Live Data'!$C$15)),"")</f>
        <v>Kitui South</v>
      </c>
      <c r="E864" s="54" t="str">
        <f>IFERROR(IF(INDEX(SPOT_Import!$A$1:$Z$2488,864,'Live Data'!$C$16)="","",INDEX(SPOT_Import!$A$1:$Z$2488,864,'Live Data'!$C$16)),"")</f>
        <v>CHAK CHAP STAWISHA</v>
      </c>
      <c r="F864" s="54" t="str">
        <f>IFERROR(IF(INDEX(SPOT_Import!$A$1:$Z$2488,864,'Live Data'!$C$17)="","",INDEX(SPOT_Import!$A$1:$Z$2488,864,'Live Data'!$C$17)),"")</f>
        <v>PREP</v>
      </c>
      <c r="G864" s="54">
        <f>IFERROR(IF(INDEX(SPOT_Import!$A$1:$Z$2488,864,'Live Data'!$C$18)="","",INDEX(SPOT_Import!$A$1:$Z$2488,864,'Live Data'!$C$18)),"")</f>
        <v>236</v>
      </c>
      <c r="H864" s="54" t="str">
        <f>IFERROR(IF(INDEX(SPOT_Import!$A$1:$Z$2488,864,'Live Data'!$C$19)="","",INDEX(SPOT_Import!$A$1:$Z$2488,864,'Live Data'!$C$19)),"")</f>
        <v/>
      </c>
      <c r="I864" s="54" t="str">
        <f>IFERROR(IF(INDEX(SPOT_Import!$A$1:$Z$2488,864,'Live Data'!$C$20)="","",INDEX(SPOT_Import!$A$1:$Z$2488,864,'Live Data'!$C$20)),"")</f>
        <v>Incomplete</v>
      </c>
      <c r="J864" s="54" t="str">
        <f>IFERROR(IF(INDEX(SPOT_Import!$A$1:$Z$2488,864,'Live Data'!$C$21)="","",INDEX(SPOT_Import!$A$1:$Z$2488,864,'Live Data'!$C$21)),"")</f>
        <v>2026-10-07T13:51:42.000Z</v>
      </c>
      <c r="K864" s="54" t="str">
        <f>IFERROR(IF(INDEX(SPOT_Import!$A$1:$Z$2488,864,'Live Data'!$C$22)="","",INDEX(SPOT_Import!$A$1:$Z$2488,864,'Live Data'!$C$22)),"")</f>
        <v>2026-10-07T13:51:42.000Z</v>
      </c>
      <c r="L864" s="55" t="str">
        <f t="shared" si="26"/>
        <v>2026-10</v>
      </c>
      <c r="M864" s="55" t="str">
        <f t="shared" si="27"/>
        <v>KITUI</v>
      </c>
      <c r="N864" s="55" t="str">
        <f>IF(A864="","",IFERROR(INDEX('Cluster Map'!$A$4:$A$38,MATCH(M864,'Cluster Map'!$B$4:$B$38,0)),"Unmapped"))</f>
        <v>Cluster 5</v>
      </c>
      <c r="O864" s="55">
        <f>IF(A864="",0,IF(COUNTIFS($A$2:A864,A864,$F$2:F864,F864,$L$2:L864,L864)=1,1,0))</f>
        <v>1</v>
      </c>
      <c r="P864" s="55">
        <f>IF(A864="",0,IF(AND(F864="C&amp;T",COUNTIFS($A$2:A864,A864,$F$2:F864,"C&amp;T")=1),1,0))</f>
        <v>0</v>
      </c>
    </row>
    <row r="865" spans="1:16" x14ac:dyDescent="0.35">
      <c r="A865" s="54">
        <f>IFERROR(IF(INDEX(SPOT_Import!$A$1:$Z$2488,865,'Live Data'!$C$12)="","",INDEX(SPOT_Import!$A$1:$Z$2488,865,'Live Data'!$C$12)),"")</f>
        <v>12190</v>
      </c>
      <c r="B865" s="54" t="str">
        <f>IFERROR(IF(INDEX(SPOT_Import!$A$1:$Z$2488,865,'Live Data'!$C$13)="","",INDEX(SPOT_Import!$A$1:$Z$2488,865,'Live Data'!$C$13)),"")</f>
        <v>Kanziku Health Centre</v>
      </c>
      <c r="C865" s="54" t="str">
        <f>IFERROR(IF(INDEX(SPOT_Import!$A$1:$Z$2488,865,'Live Data'!$C$14)="","",INDEX(SPOT_Import!$A$1:$Z$2488,865,'Live Data'!$C$14)),"")</f>
        <v>KITUI</v>
      </c>
      <c r="D865" s="54" t="str">
        <f>IFERROR(IF(INDEX(SPOT_Import!$A$1:$Z$2488,865,'Live Data'!$C$15)="","",INDEX(SPOT_Import!$A$1:$Z$2488,865,'Live Data'!$C$15)),"")</f>
        <v>Kitui South</v>
      </c>
      <c r="E865" s="54" t="str">
        <f>IFERROR(IF(INDEX(SPOT_Import!$A$1:$Z$2488,865,'Live Data'!$C$16)="","",INDEX(SPOT_Import!$A$1:$Z$2488,865,'Live Data'!$C$16)),"")</f>
        <v>CHAK CHAP STAWISHA</v>
      </c>
      <c r="F865" s="54" t="str">
        <f>IFERROR(IF(INDEX(SPOT_Import!$A$1:$Z$2488,865,'Live Data'!$C$17)="","",INDEX(SPOT_Import!$A$1:$Z$2488,865,'Live Data'!$C$17)),"")</f>
        <v>C&amp;T</v>
      </c>
      <c r="G865" s="54">
        <f>IFERROR(IF(INDEX(SPOT_Import!$A$1:$Z$2488,865,'Live Data'!$C$18)="","",INDEX(SPOT_Import!$A$1:$Z$2488,865,'Live Data'!$C$18)),"")</f>
        <v>272</v>
      </c>
      <c r="H865" s="54">
        <f>IFERROR(IF(INDEX(SPOT_Import!$A$1:$Z$2488,865,'Live Data'!$C$19)="","",INDEX(SPOT_Import!$A$1:$Z$2488,865,'Live Data'!$C$19)),"")</f>
        <v>272</v>
      </c>
      <c r="I865" s="54" t="str">
        <f>IFERROR(IF(INDEX(SPOT_Import!$A$1:$Z$2488,865,'Live Data'!$C$20)="","",INDEX(SPOT_Import!$A$1:$Z$2488,865,'Live Data'!$C$20)),"")</f>
        <v>Complete</v>
      </c>
      <c r="J865" s="54" t="str">
        <f>IFERROR(IF(INDEX(SPOT_Import!$A$1:$Z$2488,865,'Live Data'!$C$21)="","",INDEX(SPOT_Import!$A$1:$Z$2488,865,'Live Data'!$C$21)),"")</f>
        <v>2026-10-07T13:40:20.000Z</v>
      </c>
      <c r="K865" s="54" t="str">
        <f>IFERROR(IF(INDEX(SPOT_Import!$A$1:$Z$2488,865,'Live Data'!$C$22)="","",INDEX(SPOT_Import!$A$1:$Z$2488,865,'Live Data'!$C$22)),"")</f>
        <v>2026-10-07T13:40:20.000Z</v>
      </c>
      <c r="L865" s="55" t="str">
        <f t="shared" si="26"/>
        <v>2026-10</v>
      </c>
      <c r="M865" s="55" t="str">
        <f t="shared" si="27"/>
        <v>KITUI</v>
      </c>
      <c r="N865" s="55" t="str">
        <f>IF(A865="","",IFERROR(INDEX('Cluster Map'!$A$4:$A$38,MATCH(M865,'Cluster Map'!$B$4:$B$38,0)),"Unmapped"))</f>
        <v>Cluster 5</v>
      </c>
      <c r="O865" s="55">
        <f>IF(A865="",0,IF(COUNTIFS($A$2:A865,A865,$F$2:F865,F865,$L$2:L865,L865)=1,1,0))</f>
        <v>1</v>
      </c>
      <c r="P865" s="55">
        <f>IF(A865="",0,IF(AND(F865="C&amp;T",COUNTIFS($A$2:A865,A865,$F$2:F865,"C&amp;T")=1),1,0))</f>
        <v>1</v>
      </c>
    </row>
    <row r="866" spans="1:16" x14ac:dyDescent="0.35">
      <c r="A866" s="54">
        <f>IFERROR(IF(INDEX(SPOT_Import!$A$1:$Z$2488,866,'Live Data'!$C$12)="","",INDEX(SPOT_Import!$A$1:$Z$2488,866,'Live Data'!$C$12)),"")</f>
        <v>10221</v>
      </c>
      <c r="B866" s="54" t="str">
        <f>IFERROR(IF(INDEX(SPOT_Import!$A$1:$Z$2488,866,'Live Data'!$C$13)="","",INDEX(SPOT_Import!$A$1:$Z$2488,866,'Live Data'!$C$13)),"")</f>
        <v>Gatithi Dispensary</v>
      </c>
      <c r="C866" s="54" t="str">
        <f>IFERROR(IF(INDEX(SPOT_Import!$A$1:$Z$2488,866,'Live Data'!$C$14)="","",INDEX(SPOT_Import!$A$1:$Z$2488,866,'Live Data'!$C$14)),"")</f>
        <v>KIRINYAGA</v>
      </c>
      <c r="D866" s="54" t="str">
        <f>IFERROR(IF(INDEX(SPOT_Import!$A$1:$Z$2488,866,'Live Data'!$C$15)="","",INDEX(SPOT_Import!$A$1:$Z$2488,866,'Live Data'!$C$15)),"")</f>
        <v>Kirinyaga West</v>
      </c>
      <c r="E866" s="54" t="str">
        <f>IFERROR(IF(INDEX(SPOT_Import!$A$1:$Z$2488,866,'Live Data'!$C$16)="","",INDEX(SPOT_Import!$A$1:$Z$2488,866,'Live Data'!$C$16)),"")</f>
        <v>CHAK CHAP STAWISHA</v>
      </c>
      <c r="F866" s="54" t="str">
        <f>IFERROR(IF(INDEX(SPOT_Import!$A$1:$Z$2488,866,'Live Data'!$C$17)="","",INDEX(SPOT_Import!$A$1:$Z$2488,866,'Live Data'!$C$17)),"")</f>
        <v>PREP</v>
      </c>
      <c r="G866" s="54">
        <f>IFERROR(IF(INDEX(SPOT_Import!$A$1:$Z$2488,866,'Live Data'!$C$18)="","",INDEX(SPOT_Import!$A$1:$Z$2488,866,'Live Data'!$C$18)),"")</f>
        <v>386</v>
      </c>
      <c r="H866" s="54">
        <f>IFERROR(IF(INDEX(SPOT_Import!$A$1:$Z$2488,866,'Live Data'!$C$19)="","",INDEX(SPOT_Import!$A$1:$Z$2488,866,'Live Data'!$C$19)),"")</f>
        <v>386</v>
      </c>
      <c r="I866" s="54" t="str">
        <f>IFERROR(IF(INDEX(SPOT_Import!$A$1:$Z$2488,866,'Live Data'!$C$20)="","",INDEX(SPOT_Import!$A$1:$Z$2488,866,'Live Data'!$C$20)),"")</f>
        <v>Complete</v>
      </c>
      <c r="J866" s="54" t="str">
        <f>IFERROR(IF(INDEX(SPOT_Import!$A$1:$Z$2488,866,'Live Data'!$C$21)="","",INDEX(SPOT_Import!$A$1:$Z$2488,866,'Live Data'!$C$21)),"")</f>
        <v>2026-10-07T13:11:45.000Z</v>
      </c>
      <c r="K866" s="54" t="str">
        <f>IFERROR(IF(INDEX(SPOT_Import!$A$1:$Z$2488,866,'Live Data'!$C$22)="","",INDEX(SPOT_Import!$A$1:$Z$2488,866,'Live Data'!$C$22)),"")</f>
        <v>2026-10-07T13:11:45.000Z</v>
      </c>
      <c r="L866" s="55" t="str">
        <f t="shared" si="26"/>
        <v>2026-10</v>
      </c>
      <c r="M866" s="55" t="str">
        <f t="shared" si="27"/>
        <v>KIRINYAGA</v>
      </c>
      <c r="N866" s="55" t="str">
        <f>IF(A866="","",IFERROR(INDEX('Cluster Map'!$A$4:$A$38,MATCH(M866,'Cluster Map'!$B$4:$B$38,0)),"Unmapped"))</f>
        <v>Cluster 2</v>
      </c>
      <c r="O866" s="55">
        <f>IF(A866="",0,IF(COUNTIFS($A$2:A866,A866,$F$2:F866,F866,$L$2:L866,L866)=1,1,0))</f>
        <v>1</v>
      </c>
      <c r="P866" s="55">
        <f>IF(A866="",0,IF(AND(F866="C&amp;T",COUNTIFS($A$2:A866,A866,$F$2:F866,"C&amp;T")=1),1,0))</f>
        <v>0</v>
      </c>
    </row>
    <row r="867" spans="1:16" x14ac:dyDescent="0.35">
      <c r="A867" s="54">
        <f>IFERROR(IF(INDEX(SPOT_Import!$A$1:$Z$2488,867,'Live Data'!$C$12)="","",INDEX(SPOT_Import!$A$1:$Z$2488,867,'Live Data'!$C$12)),"")</f>
        <v>10221</v>
      </c>
      <c r="B867" s="54" t="str">
        <f>IFERROR(IF(INDEX(SPOT_Import!$A$1:$Z$2488,867,'Live Data'!$C$13)="","",INDEX(SPOT_Import!$A$1:$Z$2488,867,'Live Data'!$C$13)),"")</f>
        <v>Gatithi Dispensary</v>
      </c>
      <c r="C867" s="54" t="str">
        <f>IFERROR(IF(INDEX(SPOT_Import!$A$1:$Z$2488,867,'Live Data'!$C$14)="","",INDEX(SPOT_Import!$A$1:$Z$2488,867,'Live Data'!$C$14)),"")</f>
        <v>KIRINYAGA</v>
      </c>
      <c r="D867" s="54" t="str">
        <f>IFERROR(IF(INDEX(SPOT_Import!$A$1:$Z$2488,867,'Live Data'!$C$15)="","",INDEX(SPOT_Import!$A$1:$Z$2488,867,'Live Data'!$C$15)),"")</f>
        <v>Kirinyaga West</v>
      </c>
      <c r="E867" s="54" t="str">
        <f>IFERROR(IF(INDEX(SPOT_Import!$A$1:$Z$2488,867,'Live Data'!$C$16)="","",INDEX(SPOT_Import!$A$1:$Z$2488,867,'Live Data'!$C$16)),"")</f>
        <v>CHAK CHAP STAWISHA</v>
      </c>
      <c r="F867" s="54" t="str">
        <f>IFERROR(IF(INDEX(SPOT_Import!$A$1:$Z$2488,867,'Live Data'!$C$17)="","",INDEX(SPOT_Import!$A$1:$Z$2488,867,'Live Data'!$C$17)),"")</f>
        <v>MNCH</v>
      </c>
      <c r="G867" s="54">
        <f>IFERROR(IF(INDEX(SPOT_Import!$A$1:$Z$2488,867,'Live Data'!$C$18)="","",INDEX(SPOT_Import!$A$1:$Z$2488,867,'Live Data'!$C$18)),"")</f>
        <v>132</v>
      </c>
      <c r="H867" s="54">
        <f>IFERROR(IF(INDEX(SPOT_Import!$A$1:$Z$2488,867,'Live Data'!$C$19)="","",INDEX(SPOT_Import!$A$1:$Z$2488,867,'Live Data'!$C$19)),"")</f>
        <v>132</v>
      </c>
      <c r="I867" s="54" t="str">
        <f>IFERROR(IF(INDEX(SPOT_Import!$A$1:$Z$2488,867,'Live Data'!$C$20)="","",INDEX(SPOT_Import!$A$1:$Z$2488,867,'Live Data'!$C$20)),"")</f>
        <v>Complete</v>
      </c>
      <c r="J867" s="54" t="str">
        <f>IFERROR(IF(INDEX(SPOT_Import!$A$1:$Z$2488,867,'Live Data'!$C$21)="","",INDEX(SPOT_Import!$A$1:$Z$2488,867,'Live Data'!$C$21)),"")</f>
        <v>2026-10-07T13:09:46.000Z</v>
      </c>
      <c r="K867" s="54" t="str">
        <f>IFERROR(IF(INDEX(SPOT_Import!$A$1:$Z$2488,867,'Live Data'!$C$22)="","",INDEX(SPOT_Import!$A$1:$Z$2488,867,'Live Data'!$C$22)),"")</f>
        <v>2026-10-07T13:09:46.000Z</v>
      </c>
      <c r="L867" s="55" t="str">
        <f t="shared" si="26"/>
        <v>2026-10</v>
      </c>
      <c r="M867" s="55" t="str">
        <f t="shared" si="27"/>
        <v>KIRINYAGA</v>
      </c>
      <c r="N867" s="55" t="str">
        <f>IF(A867="","",IFERROR(INDEX('Cluster Map'!$A$4:$A$38,MATCH(M867,'Cluster Map'!$B$4:$B$38,0)),"Unmapped"))</f>
        <v>Cluster 2</v>
      </c>
      <c r="O867" s="55">
        <f>IF(A867="",0,IF(COUNTIFS($A$2:A867,A867,$F$2:F867,F867,$L$2:L867,L867)=1,1,0))</f>
        <v>1</v>
      </c>
      <c r="P867" s="55">
        <f>IF(A867="",0,IF(AND(F867="C&amp;T",COUNTIFS($A$2:A867,A867,$F$2:F867,"C&amp;T")=1),1,0))</f>
        <v>0</v>
      </c>
    </row>
    <row r="868" spans="1:16" x14ac:dyDescent="0.35">
      <c r="A868" s="54">
        <f>IFERROR(IF(INDEX(SPOT_Import!$A$1:$Z$2488,868,'Live Data'!$C$12)="","",INDEX(SPOT_Import!$A$1:$Z$2488,868,'Live Data'!$C$12)),"")</f>
        <v>10221</v>
      </c>
      <c r="B868" s="54" t="str">
        <f>IFERROR(IF(INDEX(SPOT_Import!$A$1:$Z$2488,868,'Live Data'!$C$13)="","",INDEX(SPOT_Import!$A$1:$Z$2488,868,'Live Data'!$C$13)),"")</f>
        <v>Gatithi Dispensary</v>
      </c>
      <c r="C868" s="54" t="str">
        <f>IFERROR(IF(INDEX(SPOT_Import!$A$1:$Z$2488,868,'Live Data'!$C$14)="","",INDEX(SPOT_Import!$A$1:$Z$2488,868,'Live Data'!$C$14)),"")</f>
        <v>KIRINYAGA</v>
      </c>
      <c r="D868" s="54" t="str">
        <f>IFERROR(IF(INDEX(SPOT_Import!$A$1:$Z$2488,868,'Live Data'!$C$15)="","",INDEX(SPOT_Import!$A$1:$Z$2488,868,'Live Data'!$C$15)),"")</f>
        <v>Kirinyaga West</v>
      </c>
      <c r="E868" s="54" t="str">
        <f>IFERROR(IF(INDEX(SPOT_Import!$A$1:$Z$2488,868,'Live Data'!$C$16)="","",INDEX(SPOT_Import!$A$1:$Z$2488,868,'Live Data'!$C$16)),"")</f>
        <v>CHAK CHAP STAWISHA</v>
      </c>
      <c r="F868" s="54" t="str">
        <f>IFERROR(IF(INDEX(SPOT_Import!$A$1:$Z$2488,868,'Live Data'!$C$17)="","",INDEX(SPOT_Import!$A$1:$Z$2488,868,'Live Data'!$C$17)),"")</f>
        <v>HTS</v>
      </c>
      <c r="G868" s="54">
        <f>IFERROR(IF(INDEX(SPOT_Import!$A$1:$Z$2488,868,'Live Data'!$C$18)="","",INDEX(SPOT_Import!$A$1:$Z$2488,868,'Live Data'!$C$18)),"")</f>
        <v>2437</v>
      </c>
      <c r="H868" s="54">
        <f>IFERROR(IF(INDEX(SPOT_Import!$A$1:$Z$2488,868,'Live Data'!$C$19)="","",INDEX(SPOT_Import!$A$1:$Z$2488,868,'Live Data'!$C$19)),"")</f>
        <v>2437</v>
      </c>
      <c r="I868" s="54" t="str">
        <f>IFERROR(IF(INDEX(SPOT_Import!$A$1:$Z$2488,868,'Live Data'!$C$20)="","",INDEX(SPOT_Import!$A$1:$Z$2488,868,'Live Data'!$C$20)),"")</f>
        <v>Complete</v>
      </c>
      <c r="J868" s="54" t="str">
        <f>IFERROR(IF(INDEX(SPOT_Import!$A$1:$Z$2488,868,'Live Data'!$C$21)="","",INDEX(SPOT_Import!$A$1:$Z$2488,868,'Live Data'!$C$21)),"")</f>
        <v>2026-10-07T13:08:00.000Z</v>
      </c>
      <c r="K868" s="54" t="str">
        <f>IFERROR(IF(INDEX(SPOT_Import!$A$1:$Z$2488,868,'Live Data'!$C$22)="","",INDEX(SPOT_Import!$A$1:$Z$2488,868,'Live Data'!$C$22)),"")</f>
        <v>2026-10-07T13:08:00.000Z</v>
      </c>
      <c r="L868" s="55" t="str">
        <f t="shared" si="26"/>
        <v>2026-10</v>
      </c>
      <c r="M868" s="55" t="str">
        <f t="shared" si="27"/>
        <v>KIRINYAGA</v>
      </c>
      <c r="N868" s="55" t="str">
        <f>IF(A868="","",IFERROR(INDEX('Cluster Map'!$A$4:$A$38,MATCH(M868,'Cluster Map'!$B$4:$B$38,0)),"Unmapped"))</f>
        <v>Cluster 2</v>
      </c>
      <c r="O868" s="55">
        <f>IF(A868="",0,IF(COUNTIFS($A$2:A868,A868,$F$2:F868,F868,$L$2:L868,L868)=1,1,0))</f>
        <v>1</v>
      </c>
      <c r="P868" s="55">
        <f>IF(A868="",0,IF(AND(F868="C&amp;T",COUNTIFS($A$2:A868,A868,$F$2:F868,"C&amp;T")=1),1,0))</f>
        <v>0</v>
      </c>
    </row>
    <row r="869" spans="1:16" x14ac:dyDescent="0.35">
      <c r="A869" s="54">
        <f>IFERROR(IF(INDEX(SPOT_Import!$A$1:$Z$2488,869,'Live Data'!$C$12)="","",INDEX(SPOT_Import!$A$1:$Z$2488,869,'Live Data'!$C$12)),"")</f>
        <v>10221</v>
      </c>
      <c r="B869" s="54" t="str">
        <f>IFERROR(IF(INDEX(SPOT_Import!$A$1:$Z$2488,869,'Live Data'!$C$13)="","",INDEX(SPOT_Import!$A$1:$Z$2488,869,'Live Data'!$C$13)),"")</f>
        <v>Gatithi Dispensary</v>
      </c>
      <c r="C869" s="54" t="str">
        <f>IFERROR(IF(INDEX(SPOT_Import!$A$1:$Z$2488,869,'Live Data'!$C$14)="","",INDEX(SPOT_Import!$A$1:$Z$2488,869,'Live Data'!$C$14)),"")</f>
        <v>KIRINYAGA</v>
      </c>
      <c r="D869" s="54" t="str">
        <f>IFERROR(IF(INDEX(SPOT_Import!$A$1:$Z$2488,869,'Live Data'!$C$15)="","",INDEX(SPOT_Import!$A$1:$Z$2488,869,'Live Data'!$C$15)),"")</f>
        <v>Kirinyaga West</v>
      </c>
      <c r="E869" s="54" t="str">
        <f>IFERROR(IF(INDEX(SPOT_Import!$A$1:$Z$2488,869,'Live Data'!$C$16)="","",INDEX(SPOT_Import!$A$1:$Z$2488,869,'Live Data'!$C$16)),"")</f>
        <v>CHAK CHAP STAWISHA</v>
      </c>
      <c r="F869" s="54" t="str">
        <f>IFERROR(IF(INDEX(SPOT_Import!$A$1:$Z$2488,869,'Live Data'!$C$17)="","",INDEX(SPOT_Import!$A$1:$Z$2488,869,'Live Data'!$C$17)),"")</f>
        <v>C&amp;T</v>
      </c>
      <c r="G869" s="54">
        <f>IFERROR(IF(INDEX(SPOT_Import!$A$1:$Z$2488,869,'Live Data'!$C$18)="","",INDEX(SPOT_Import!$A$1:$Z$2488,869,'Live Data'!$C$18)),"")</f>
        <v>312</v>
      </c>
      <c r="H869" s="54">
        <f>IFERROR(IF(INDEX(SPOT_Import!$A$1:$Z$2488,869,'Live Data'!$C$19)="","",INDEX(SPOT_Import!$A$1:$Z$2488,869,'Live Data'!$C$19)),"")</f>
        <v>312</v>
      </c>
      <c r="I869" s="54" t="str">
        <f>IFERROR(IF(INDEX(SPOT_Import!$A$1:$Z$2488,869,'Live Data'!$C$20)="","",INDEX(SPOT_Import!$A$1:$Z$2488,869,'Live Data'!$C$20)),"")</f>
        <v>Complete</v>
      </c>
      <c r="J869" s="54" t="str">
        <f>IFERROR(IF(INDEX(SPOT_Import!$A$1:$Z$2488,869,'Live Data'!$C$21)="","",INDEX(SPOT_Import!$A$1:$Z$2488,869,'Live Data'!$C$21)),"")</f>
        <v>2026-10-07T12:21:18.000Z</v>
      </c>
      <c r="K869" s="54" t="str">
        <f>IFERROR(IF(INDEX(SPOT_Import!$A$1:$Z$2488,869,'Live Data'!$C$22)="","",INDEX(SPOT_Import!$A$1:$Z$2488,869,'Live Data'!$C$22)),"")</f>
        <v>2026-10-07T12:21:18.000Z</v>
      </c>
      <c r="L869" s="55" t="str">
        <f t="shared" si="26"/>
        <v>2026-10</v>
      </c>
      <c r="M869" s="55" t="str">
        <f t="shared" si="27"/>
        <v>KIRINYAGA</v>
      </c>
      <c r="N869" s="55" t="str">
        <f>IF(A869="","",IFERROR(INDEX('Cluster Map'!$A$4:$A$38,MATCH(M869,'Cluster Map'!$B$4:$B$38,0)),"Unmapped"))</f>
        <v>Cluster 2</v>
      </c>
      <c r="O869" s="55">
        <f>IF(A869="",0,IF(COUNTIFS($A$2:A869,A869,$F$2:F869,F869,$L$2:L869,L869)=1,1,0))</f>
        <v>1</v>
      </c>
      <c r="P869" s="55">
        <f>IF(A869="",0,IF(AND(F869="C&amp;T",COUNTIFS($A$2:A869,A869,$F$2:F869,"C&amp;T")=1),1,0))</f>
        <v>1</v>
      </c>
    </row>
    <row r="870" spans="1:16" x14ac:dyDescent="0.35">
      <c r="A870" s="54">
        <f>IFERROR(IF(INDEX(SPOT_Import!$A$1:$Z$2488,870,'Live Data'!$C$12)="","",INDEX(SPOT_Import!$A$1:$Z$2488,870,'Live Data'!$C$12)),"")</f>
        <v>12604</v>
      </c>
      <c r="B870" s="54" t="str">
        <f>IFERROR(IF(INDEX(SPOT_Import!$A$1:$Z$2488,870,'Live Data'!$C$13)="","",INDEX(SPOT_Import!$A$1:$Z$2488,870,'Live Data'!$C$13)),"")</f>
        <v>Our Lady of Lourdes Mutomo  Hospital</v>
      </c>
      <c r="C870" s="54" t="str">
        <f>IFERROR(IF(INDEX(SPOT_Import!$A$1:$Z$2488,870,'Live Data'!$C$14)="","",INDEX(SPOT_Import!$A$1:$Z$2488,870,'Live Data'!$C$14)),"")</f>
        <v>KITUI</v>
      </c>
      <c r="D870" s="54" t="str">
        <f>IFERROR(IF(INDEX(SPOT_Import!$A$1:$Z$2488,870,'Live Data'!$C$15)="","",INDEX(SPOT_Import!$A$1:$Z$2488,870,'Live Data'!$C$15)),"")</f>
        <v>Kitui South</v>
      </c>
      <c r="E870" s="54" t="str">
        <f>IFERROR(IF(INDEX(SPOT_Import!$A$1:$Z$2488,870,'Live Data'!$C$16)="","",INDEX(SPOT_Import!$A$1:$Z$2488,870,'Live Data'!$C$16)),"")</f>
        <v>CHAK CHAP STAWISHA</v>
      </c>
      <c r="F870" s="54" t="str">
        <f>IFERROR(IF(INDEX(SPOT_Import!$A$1:$Z$2488,870,'Live Data'!$C$17)="","",INDEX(SPOT_Import!$A$1:$Z$2488,870,'Live Data'!$C$17)),"")</f>
        <v>PREP</v>
      </c>
      <c r="G870" s="54">
        <f>IFERROR(IF(INDEX(SPOT_Import!$A$1:$Z$2488,870,'Live Data'!$C$18)="","",INDEX(SPOT_Import!$A$1:$Z$2488,870,'Live Data'!$C$18)),"")</f>
        <v>1277</v>
      </c>
      <c r="H870" s="54">
        <f>IFERROR(IF(INDEX(SPOT_Import!$A$1:$Z$2488,870,'Live Data'!$C$19)="","",INDEX(SPOT_Import!$A$1:$Z$2488,870,'Live Data'!$C$19)),"")</f>
        <v>1277</v>
      </c>
      <c r="I870" s="54" t="str">
        <f>IFERROR(IF(INDEX(SPOT_Import!$A$1:$Z$2488,870,'Live Data'!$C$20)="","",INDEX(SPOT_Import!$A$1:$Z$2488,870,'Live Data'!$C$20)),"")</f>
        <v>Complete</v>
      </c>
      <c r="J870" s="54" t="str">
        <f>IFERROR(IF(INDEX(SPOT_Import!$A$1:$Z$2488,870,'Live Data'!$C$21)="","",INDEX(SPOT_Import!$A$1:$Z$2488,870,'Live Data'!$C$21)),"")</f>
        <v>2026-10-07T12:16:13.000Z</v>
      </c>
      <c r="K870" s="54" t="str">
        <f>IFERROR(IF(INDEX(SPOT_Import!$A$1:$Z$2488,870,'Live Data'!$C$22)="","",INDEX(SPOT_Import!$A$1:$Z$2488,870,'Live Data'!$C$22)),"")</f>
        <v>2026-10-07T12:16:13.000Z</v>
      </c>
      <c r="L870" s="55" t="str">
        <f t="shared" si="26"/>
        <v>2026-10</v>
      </c>
      <c r="M870" s="55" t="str">
        <f t="shared" si="27"/>
        <v>KITUI</v>
      </c>
      <c r="N870" s="55" t="str">
        <f>IF(A870="","",IFERROR(INDEX('Cluster Map'!$A$4:$A$38,MATCH(M870,'Cluster Map'!$B$4:$B$38,0)),"Unmapped"))</f>
        <v>Cluster 5</v>
      </c>
      <c r="O870" s="55">
        <f>IF(A870="",0,IF(COUNTIFS($A$2:A870,A870,$F$2:F870,F870,$L$2:L870,L870)=1,1,0))</f>
        <v>1</v>
      </c>
      <c r="P870" s="55">
        <f>IF(A870="",0,IF(AND(F870="C&amp;T",COUNTIFS($A$2:A870,A870,$F$2:F870,"C&amp;T")=1),1,0))</f>
        <v>0</v>
      </c>
    </row>
    <row r="871" spans="1:16" x14ac:dyDescent="0.35">
      <c r="A871" s="54">
        <f>IFERROR(IF(INDEX(SPOT_Import!$A$1:$Z$2488,871,'Live Data'!$C$12)="","",INDEX(SPOT_Import!$A$1:$Z$2488,871,'Live Data'!$C$12)),"")</f>
        <v>12604</v>
      </c>
      <c r="B871" s="54" t="str">
        <f>IFERROR(IF(INDEX(SPOT_Import!$A$1:$Z$2488,871,'Live Data'!$C$13)="","",INDEX(SPOT_Import!$A$1:$Z$2488,871,'Live Data'!$C$13)),"")</f>
        <v>Mutomo Mission Hospital</v>
      </c>
      <c r="C871" s="54" t="str">
        <f>IFERROR(IF(INDEX(SPOT_Import!$A$1:$Z$2488,871,'Live Data'!$C$14)="","",INDEX(SPOT_Import!$A$1:$Z$2488,871,'Live Data'!$C$14)),"")</f>
        <v>KITUI</v>
      </c>
      <c r="D871" s="54" t="str">
        <f>IFERROR(IF(INDEX(SPOT_Import!$A$1:$Z$2488,871,'Live Data'!$C$15)="","",INDEX(SPOT_Import!$A$1:$Z$2488,871,'Live Data'!$C$15)),"")</f>
        <v>Kitui South</v>
      </c>
      <c r="E871" s="54" t="str">
        <f>IFERROR(IF(INDEX(SPOT_Import!$A$1:$Z$2488,871,'Live Data'!$C$16)="","",INDEX(SPOT_Import!$A$1:$Z$2488,871,'Live Data'!$C$16)),"")</f>
        <v>CHAK CHAP STAWISHA</v>
      </c>
      <c r="F871" s="54" t="str">
        <f>IFERROR(IF(INDEX(SPOT_Import!$A$1:$Z$2488,871,'Live Data'!$C$17)="","",INDEX(SPOT_Import!$A$1:$Z$2488,871,'Live Data'!$C$17)),"")</f>
        <v>C&amp;T</v>
      </c>
      <c r="G871" s="54">
        <f>IFERROR(IF(INDEX(SPOT_Import!$A$1:$Z$2488,871,'Live Data'!$C$18)="","",INDEX(SPOT_Import!$A$1:$Z$2488,871,'Live Data'!$C$18)),"")</f>
        <v>3092</v>
      </c>
      <c r="H871" s="54">
        <f>IFERROR(IF(INDEX(SPOT_Import!$A$1:$Z$2488,871,'Live Data'!$C$19)="","",INDEX(SPOT_Import!$A$1:$Z$2488,871,'Live Data'!$C$19)),"")</f>
        <v>3092</v>
      </c>
      <c r="I871" s="54" t="str">
        <f>IFERROR(IF(INDEX(SPOT_Import!$A$1:$Z$2488,871,'Live Data'!$C$20)="","",INDEX(SPOT_Import!$A$1:$Z$2488,871,'Live Data'!$C$20)),"")</f>
        <v>Complete</v>
      </c>
      <c r="J871" s="54" t="str">
        <f>IFERROR(IF(INDEX(SPOT_Import!$A$1:$Z$2488,871,'Live Data'!$C$21)="","",INDEX(SPOT_Import!$A$1:$Z$2488,871,'Live Data'!$C$21)),"")</f>
        <v>2026-10-07T11:58:58.000Z</v>
      </c>
      <c r="K871" s="54" t="str">
        <f>IFERROR(IF(INDEX(SPOT_Import!$A$1:$Z$2488,871,'Live Data'!$C$22)="","",INDEX(SPOT_Import!$A$1:$Z$2488,871,'Live Data'!$C$22)),"")</f>
        <v>2026-10-07T11:58:58.000Z</v>
      </c>
      <c r="L871" s="55" t="str">
        <f t="shared" si="26"/>
        <v>2026-10</v>
      </c>
      <c r="M871" s="55" t="str">
        <f t="shared" si="27"/>
        <v>KITUI</v>
      </c>
      <c r="N871" s="55" t="str">
        <f>IF(A871="","",IFERROR(INDEX('Cluster Map'!$A$4:$A$38,MATCH(M871,'Cluster Map'!$B$4:$B$38,0)),"Unmapped"))</f>
        <v>Cluster 5</v>
      </c>
      <c r="O871" s="55">
        <f>IF(A871="",0,IF(COUNTIFS($A$2:A871,A871,$F$2:F871,F871,$L$2:L871,L871)=1,1,0))</f>
        <v>1</v>
      </c>
      <c r="P871" s="55">
        <f>IF(A871="",0,IF(AND(F871="C&amp;T",COUNTIFS($A$2:A871,A871,$F$2:F871,"C&amp;T")=1),1,0))</f>
        <v>1</v>
      </c>
    </row>
    <row r="872" spans="1:16" x14ac:dyDescent="0.35">
      <c r="A872" s="54">
        <f>IFERROR(IF(INDEX(SPOT_Import!$A$1:$Z$2488,872,'Live Data'!$C$12)="","",INDEX(SPOT_Import!$A$1:$Z$2488,872,'Live Data'!$C$12)),"")</f>
        <v>11124</v>
      </c>
      <c r="B872" s="54" t="str">
        <f>IFERROR(IF(INDEX(SPOT_Import!$A$1:$Z$2488,872,'Live Data'!$C$13)="","",INDEX(SPOT_Import!$A$1:$Z$2488,872,'Live Data'!$C$13)),"")</f>
        <v>Tumutumu (PCEA) Hospital</v>
      </c>
      <c r="C872" s="54" t="str">
        <f>IFERROR(IF(INDEX(SPOT_Import!$A$1:$Z$2488,872,'Live Data'!$C$14)="","",INDEX(SPOT_Import!$A$1:$Z$2488,872,'Live Data'!$C$14)),"")</f>
        <v>NYERI</v>
      </c>
      <c r="D872" s="54" t="str">
        <f>IFERROR(IF(INDEX(SPOT_Import!$A$1:$Z$2488,872,'Live Data'!$C$15)="","",INDEX(SPOT_Import!$A$1:$Z$2488,872,'Live Data'!$C$15)),"")</f>
        <v>Mathira West</v>
      </c>
      <c r="E872" s="54" t="str">
        <f>IFERROR(IF(INDEX(SPOT_Import!$A$1:$Z$2488,872,'Live Data'!$C$16)="","",INDEX(SPOT_Import!$A$1:$Z$2488,872,'Live Data'!$C$16)),"")</f>
        <v>CHAK CHAP STAWISHA</v>
      </c>
      <c r="F872" s="54" t="str">
        <f>IFERROR(IF(INDEX(SPOT_Import!$A$1:$Z$2488,872,'Live Data'!$C$17)="","",INDEX(SPOT_Import!$A$1:$Z$2488,872,'Live Data'!$C$17)),"")</f>
        <v>C&amp;T</v>
      </c>
      <c r="G872" s="54">
        <f>IFERROR(IF(INDEX(SPOT_Import!$A$1:$Z$2488,872,'Live Data'!$C$18)="","",INDEX(SPOT_Import!$A$1:$Z$2488,872,'Live Data'!$C$18)),"")</f>
        <v>3818</v>
      </c>
      <c r="H872" s="54">
        <f>IFERROR(IF(INDEX(SPOT_Import!$A$1:$Z$2488,872,'Live Data'!$C$19)="","",INDEX(SPOT_Import!$A$1:$Z$2488,872,'Live Data'!$C$19)),"")</f>
        <v>3818</v>
      </c>
      <c r="I872" s="54" t="str">
        <f>IFERROR(IF(INDEX(SPOT_Import!$A$1:$Z$2488,872,'Live Data'!$C$20)="","",INDEX(SPOT_Import!$A$1:$Z$2488,872,'Live Data'!$C$20)),"")</f>
        <v>Complete</v>
      </c>
      <c r="J872" s="54" t="str">
        <f>IFERROR(IF(INDEX(SPOT_Import!$A$1:$Z$2488,872,'Live Data'!$C$21)="","",INDEX(SPOT_Import!$A$1:$Z$2488,872,'Live Data'!$C$21)),"")</f>
        <v>2026-10-07T11:51:00.000Z</v>
      </c>
      <c r="K872" s="54" t="str">
        <f>IFERROR(IF(INDEX(SPOT_Import!$A$1:$Z$2488,872,'Live Data'!$C$22)="","",INDEX(SPOT_Import!$A$1:$Z$2488,872,'Live Data'!$C$22)),"")</f>
        <v>2026-10-07T11:51:00.000Z</v>
      </c>
      <c r="L872" s="55" t="str">
        <f t="shared" si="26"/>
        <v>2026-10</v>
      </c>
      <c r="M872" s="55" t="str">
        <f t="shared" si="27"/>
        <v>NYERI</v>
      </c>
      <c r="N872" s="55" t="str">
        <f>IF(A872="","",IFERROR(INDEX('Cluster Map'!$A$4:$A$38,MATCH(M872,'Cluster Map'!$B$4:$B$38,0)),"Unmapped"))</f>
        <v>Cluster 2</v>
      </c>
      <c r="O872" s="55">
        <f>IF(A872="",0,IF(COUNTIFS($A$2:A872,A872,$F$2:F872,F872,$L$2:L872,L872)=1,1,0))</f>
        <v>1</v>
      </c>
      <c r="P872" s="55">
        <f>IF(A872="",0,IF(AND(F872="C&amp;T",COUNTIFS($A$2:A872,A872,$F$2:F872,"C&amp;T")=1),1,0))</f>
        <v>1</v>
      </c>
    </row>
    <row r="873" spans="1:16" x14ac:dyDescent="0.35">
      <c r="A873" s="54">
        <f>IFERROR(IF(INDEX(SPOT_Import!$A$1:$Z$2488,873,'Live Data'!$C$12)="","",INDEX(SPOT_Import!$A$1:$Z$2488,873,'Live Data'!$C$12)),"")</f>
        <v>11124</v>
      </c>
      <c r="B873" s="54" t="str">
        <f>IFERROR(IF(INDEX(SPOT_Import!$A$1:$Z$2488,873,'Live Data'!$C$13)="","",INDEX(SPOT_Import!$A$1:$Z$2488,873,'Live Data'!$C$13)),"")</f>
        <v>Tumutumu (PCEA) Hospital</v>
      </c>
      <c r="C873" s="54" t="str">
        <f>IFERROR(IF(INDEX(SPOT_Import!$A$1:$Z$2488,873,'Live Data'!$C$14)="","",INDEX(SPOT_Import!$A$1:$Z$2488,873,'Live Data'!$C$14)),"")</f>
        <v>NYERI</v>
      </c>
      <c r="D873" s="54" t="str">
        <f>IFERROR(IF(INDEX(SPOT_Import!$A$1:$Z$2488,873,'Live Data'!$C$15)="","",INDEX(SPOT_Import!$A$1:$Z$2488,873,'Live Data'!$C$15)),"")</f>
        <v>Mathira West</v>
      </c>
      <c r="E873" s="54" t="str">
        <f>IFERROR(IF(INDEX(SPOT_Import!$A$1:$Z$2488,873,'Live Data'!$C$16)="","",INDEX(SPOT_Import!$A$1:$Z$2488,873,'Live Data'!$C$16)),"")</f>
        <v>CHAK CHAP STAWISHA</v>
      </c>
      <c r="F873" s="54" t="str">
        <f>IFERROR(IF(INDEX(SPOT_Import!$A$1:$Z$2488,873,'Live Data'!$C$17)="","",INDEX(SPOT_Import!$A$1:$Z$2488,873,'Live Data'!$C$17)),"")</f>
        <v>HTS</v>
      </c>
      <c r="G873" s="54">
        <f>IFERROR(IF(INDEX(SPOT_Import!$A$1:$Z$2488,873,'Live Data'!$C$18)="","",INDEX(SPOT_Import!$A$1:$Z$2488,873,'Live Data'!$C$18)),"")</f>
        <v>15229</v>
      </c>
      <c r="H873" s="54">
        <f>IFERROR(IF(INDEX(SPOT_Import!$A$1:$Z$2488,873,'Live Data'!$C$19)="","",INDEX(SPOT_Import!$A$1:$Z$2488,873,'Live Data'!$C$19)),"")</f>
        <v>15229</v>
      </c>
      <c r="I873" s="54" t="str">
        <f>IFERROR(IF(INDEX(SPOT_Import!$A$1:$Z$2488,873,'Live Data'!$C$20)="","",INDEX(SPOT_Import!$A$1:$Z$2488,873,'Live Data'!$C$20)),"")</f>
        <v>Complete</v>
      </c>
      <c r="J873" s="54" t="str">
        <f>IFERROR(IF(INDEX(SPOT_Import!$A$1:$Z$2488,873,'Live Data'!$C$21)="","",INDEX(SPOT_Import!$A$1:$Z$2488,873,'Live Data'!$C$21)),"")</f>
        <v>2026-10-07T11:40:38.000Z</v>
      </c>
      <c r="K873" s="54" t="str">
        <f>IFERROR(IF(INDEX(SPOT_Import!$A$1:$Z$2488,873,'Live Data'!$C$22)="","",INDEX(SPOT_Import!$A$1:$Z$2488,873,'Live Data'!$C$22)),"")</f>
        <v>2026-10-07T11:40:38.000Z</v>
      </c>
      <c r="L873" s="55" t="str">
        <f t="shared" si="26"/>
        <v>2026-10</v>
      </c>
      <c r="M873" s="55" t="str">
        <f t="shared" si="27"/>
        <v>NYERI</v>
      </c>
      <c r="N873" s="55" t="str">
        <f>IF(A873="","",IFERROR(INDEX('Cluster Map'!$A$4:$A$38,MATCH(M873,'Cluster Map'!$B$4:$B$38,0)),"Unmapped"))</f>
        <v>Cluster 2</v>
      </c>
      <c r="O873" s="55">
        <f>IF(A873="",0,IF(COUNTIFS($A$2:A873,A873,$F$2:F873,F873,$L$2:L873,L873)=1,1,0))</f>
        <v>1</v>
      </c>
      <c r="P873" s="55">
        <f>IF(A873="",0,IF(AND(F873="C&amp;T",COUNTIFS($A$2:A873,A873,$F$2:F873,"C&amp;T")=1),1,0))</f>
        <v>0</v>
      </c>
    </row>
    <row r="874" spans="1:16" x14ac:dyDescent="0.35">
      <c r="A874" s="54">
        <f>IFERROR(IF(INDEX(SPOT_Import!$A$1:$Z$2488,874,'Live Data'!$C$12)="","",INDEX(SPOT_Import!$A$1:$Z$2488,874,'Live Data'!$C$12)),"")</f>
        <v>11124</v>
      </c>
      <c r="B874" s="54" t="str">
        <f>IFERROR(IF(INDEX(SPOT_Import!$A$1:$Z$2488,874,'Live Data'!$C$13)="","",INDEX(SPOT_Import!$A$1:$Z$2488,874,'Live Data'!$C$13)),"")</f>
        <v>Tumutumu (PCEA) Hospital</v>
      </c>
      <c r="C874" s="54" t="str">
        <f>IFERROR(IF(INDEX(SPOT_Import!$A$1:$Z$2488,874,'Live Data'!$C$14)="","",INDEX(SPOT_Import!$A$1:$Z$2488,874,'Live Data'!$C$14)),"")</f>
        <v>NYERI</v>
      </c>
      <c r="D874" s="54" t="str">
        <f>IFERROR(IF(INDEX(SPOT_Import!$A$1:$Z$2488,874,'Live Data'!$C$15)="","",INDEX(SPOT_Import!$A$1:$Z$2488,874,'Live Data'!$C$15)),"")</f>
        <v>Mathira West</v>
      </c>
      <c r="E874" s="54" t="str">
        <f>IFERROR(IF(INDEX(SPOT_Import!$A$1:$Z$2488,874,'Live Data'!$C$16)="","",INDEX(SPOT_Import!$A$1:$Z$2488,874,'Live Data'!$C$16)),"")</f>
        <v>CHAK CHAP STAWISHA</v>
      </c>
      <c r="F874" s="54" t="str">
        <f>IFERROR(IF(INDEX(SPOT_Import!$A$1:$Z$2488,874,'Live Data'!$C$17)="","",INDEX(SPOT_Import!$A$1:$Z$2488,874,'Live Data'!$C$17)),"")</f>
        <v>MNCH</v>
      </c>
      <c r="G874" s="54">
        <f>IFERROR(IF(INDEX(SPOT_Import!$A$1:$Z$2488,874,'Live Data'!$C$18)="","",INDEX(SPOT_Import!$A$1:$Z$2488,874,'Live Data'!$C$18)),"")</f>
        <v>33</v>
      </c>
      <c r="H874" s="54">
        <f>IFERROR(IF(INDEX(SPOT_Import!$A$1:$Z$2488,874,'Live Data'!$C$19)="","",INDEX(SPOT_Import!$A$1:$Z$2488,874,'Live Data'!$C$19)),"")</f>
        <v>33</v>
      </c>
      <c r="I874" s="54" t="str">
        <f>IFERROR(IF(INDEX(SPOT_Import!$A$1:$Z$2488,874,'Live Data'!$C$20)="","",INDEX(SPOT_Import!$A$1:$Z$2488,874,'Live Data'!$C$20)),"")</f>
        <v>Complete</v>
      </c>
      <c r="J874" s="54" t="str">
        <f>IFERROR(IF(INDEX(SPOT_Import!$A$1:$Z$2488,874,'Live Data'!$C$21)="","",INDEX(SPOT_Import!$A$1:$Z$2488,874,'Live Data'!$C$21)),"")</f>
        <v>2026-10-07T11:34:45.000Z</v>
      </c>
      <c r="K874" s="54" t="str">
        <f>IFERROR(IF(INDEX(SPOT_Import!$A$1:$Z$2488,874,'Live Data'!$C$22)="","",INDEX(SPOT_Import!$A$1:$Z$2488,874,'Live Data'!$C$22)),"")</f>
        <v>2026-10-07T11:34:45.000Z</v>
      </c>
      <c r="L874" s="55" t="str">
        <f t="shared" si="26"/>
        <v>2026-10</v>
      </c>
      <c r="M874" s="55" t="str">
        <f t="shared" si="27"/>
        <v>NYERI</v>
      </c>
      <c r="N874" s="55" t="str">
        <f>IF(A874="","",IFERROR(INDEX('Cluster Map'!$A$4:$A$38,MATCH(M874,'Cluster Map'!$B$4:$B$38,0)),"Unmapped"))</f>
        <v>Cluster 2</v>
      </c>
      <c r="O874" s="55">
        <f>IF(A874="",0,IF(COUNTIFS($A$2:A874,A874,$F$2:F874,F874,$L$2:L874,L874)=1,1,0))</f>
        <v>1</v>
      </c>
      <c r="P874" s="55">
        <f>IF(A874="",0,IF(AND(F874="C&amp;T",COUNTIFS($A$2:A874,A874,$F$2:F874,"C&amp;T")=1),1,0))</f>
        <v>0</v>
      </c>
    </row>
    <row r="875" spans="1:16" x14ac:dyDescent="0.35">
      <c r="A875" s="54">
        <f>IFERROR(IF(INDEX(SPOT_Import!$A$1:$Z$2488,875,'Live Data'!$C$12)="","",INDEX(SPOT_Import!$A$1:$Z$2488,875,'Live Data'!$C$12)),"")</f>
        <v>11124</v>
      </c>
      <c r="B875" s="54" t="str">
        <f>IFERROR(IF(INDEX(SPOT_Import!$A$1:$Z$2488,875,'Live Data'!$C$13)="","",INDEX(SPOT_Import!$A$1:$Z$2488,875,'Live Data'!$C$13)),"")</f>
        <v>Tumutumu (PCEA) Hospital</v>
      </c>
      <c r="C875" s="54" t="str">
        <f>IFERROR(IF(INDEX(SPOT_Import!$A$1:$Z$2488,875,'Live Data'!$C$14)="","",INDEX(SPOT_Import!$A$1:$Z$2488,875,'Live Data'!$C$14)),"")</f>
        <v>NYERI</v>
      </c>
      <c r="D875" s="54" t="str">
        <f>IFERROR(IF(INDEX(SPOT_Import!$A$1:$Z$2488,875,'Live Data'!$C$15)="","",INDEX(SPOT_Import!$A$1:$Z$2488,875,'Live Data'!$C$15)),"")</f>
        <v>Mathira West</v>
      </c>
      <c r="E875" s="54" t="str">
        <f>IFERROR(IF(INDEX(SPOT_Import!$A$1:$Z$2488,875,'Live Data'!$C$16)="","",INDEX(SPOT_Import!$A$1:$Z$2488,875,'Live Data'!$C$16)),"")</f>
        <v>CHAK CHAP STAWISHA</v>
      </c>
      <c r="F875" s="54" t="str">
        <f>IFERROR(IF(INDEX(SPOT_Import!$A$1:$Z$2488,875,'Live Data'!$C$17)="","",INDEX(SPOT_Import!$A$1:$Z$2488,875,'Live Data'!$C$17)),"")</f>
        <v>PREP</v>
      </c>
      <c r="G875" s="54">
        <f>IFERROR(IF(INDEX(SPOT_Import!$A$1:$Z$2488,875,'Live Data'!$C$18)="","",INDEX(SPOT_Import!$A$1:$Z$2488,875,'Live Data'!$C$18)),"")</f>
        <v>3643</v>
      </c>
      <c r="H875" s="54">
        <f>IFERROR(IF(INDEX(SPOT_Import!$A$1:$Z$2488,875,'Live Data'!$C$19)="","",INDEX(SPOT_Import!$A$1:$Z$2488,875,'Live Data'!$C$19)),"")</f>
        <v>3400</v>
      </c>
      <c r="I875" s="54" t="str">
        <f>IFERROR(IF(INDEX(SPOT_Import!$A$1:$Z$2488,875,'Live Data'!$C$20)="","",INDEX(SPOT_Import!$A$1:$Z$2488,875,'Live Data'!$C$20)),"")</f>
        <v>Complete</v>
      </c>
      <c r="J875" s="54" t="str">
        <f>IFERROR(IF(INDEX(SPOT_Import!$A$1:$Z$2488,875,'Live Data'!$C$21)="","",INDEX(SPOT_Import!$A$1:$Z$2488,875,'Live Data'!$C$21)),"")</f>
        <v>2026-10-07T11:33:52.000Z</v>
      </c>
      <c r="K875" s="54" t="str">
        <f>IFERROR(IF(INDEX(SPOT_Import!$A$1:$Z$2488,875,'Live Data'!$C$22)="","",INDEX(SPOT_Import!$A$1:$Z$2488,875,'Live Data'!$C$22)),"")</f>
        <v>2026-10-07T11:33:52.000Z</v>
      </c>
      <c r="L875" s="55" t="str">
        <f t="shared" si="26"/>
        <v>2026-10</v>
      </c>
      <c r="M875" s="55" t="str">
        <f t="shared" si="27"/>
        <v>NYERI</v>
      </c>
      <c r="N875" s="55" t="str">
        <f>IF(A875="","",IFERROR(INDEX('Cluster Map'!$A$4:$A$38,MATCH(M875,'Cluster Map'!$B$4:$B$38,0)),"Unmapped"))</f>
        <v>Cluster 2</v>
      </c>
      <c r="O875" s="55">
        <f>IF(A875="",0,IF(COUNTIFS($A$2:A875,A875,$F$2:F875,F875,$L$2:L875,L875)=1,1,0))</f>
        <v>1</v>
      </c>
      <c r="P875" s="55">
        <f>IF(A875="",0,IF(AND(F875="C&amp;T",COUNTIFS($A$2:A875,A875,$F$2:F875,"C&amp;T")=1),1,0))</f>
        <v>0</v>
      </c>
    </row>
    <row r="876" spans="1:16" x14ac:dyDescent="0.35">
      <c r="A876" s="54">
        <f>IFERROR(IF(INDEX(SPOT_Import!$A$1:$Z$2488,876,'Live Data'!$C$12)="","",INDEX(SPOT_Import!$A$1:$Z$2488,876,'Live Data'!$C$12)),"")</f>
        <v>11069</v>
      </c>
      <c r="B876" s="54" t="str">
        <f>IFERROR(IF(INDEX(SPOT_Import!$A$1:$Z$2488,876,'Live Data'!$C$13)="","",INDEX(SPOT_Import!$A$1:$Z$2488,876,'Live Data'!$C$13)),"")</f>
        <v>St Teresa Catholic Dispensary</v>
      </c>
      <c r="C876" s="54" t="str">
        <f>IFERROR(IF(INDEX(SPOT_Import!$A$1:$Z$2488,876,'Live Data'!$C$14)="","",INDEX(SPOT_Import!$A$1:$Z$2488,876,'Live Data'!$C$14)),"")</f>
        <v>KIRINYAGA</v>
      </c>
      <c r="D876" s="54" t="str">
        <f>IFERROR(IF(INDEX(SPOT_Import!$A$1:$Z$2488,876,'Live Data'!$C$15)="","",INDEX(SPOT_Import!$A$1:$Z$2488,876,'Live Data'!$C$15)),"")</f>
        <v>Kirinyaga North/Mwea West</v>
      </c>
      <c r="E876" s="54" t="str">
        <f>IFERROR(IF(INDEX(SPOT_Import!$A$1:$Z$2488,876,'Live Data'!$C$16)="","",INDEX(SPOT_Import!$A$1:$Z$2488,876,'Live Data'!$C$16)),"")</f>
        <v>CHAK CHAP STAWISHA</v>
      </c>
      <c r="F876" s="54" t="str">
        <f>IFERROR(IF(INDEX(SPOT_Import!$A$1:$Z$2488,876,'Live Data'!$C$17)="","",INDEX(SPOT_Import!$A$1:$Z$2488,876,'Live Data'!$C$17)),"")</f>
        <v>PREP</v>
      </c>
      <c r="G876" s="54">
        <f>IFERROR(IF(INDEX(SPOT_Import!$A$1:$Z$2488,876,'Live Data'!$C$18)="","",INDEX(SPOT_Import!$A$1:$Z$2488,876,'Live Data'!$C$18)),"")</f>
        <v>362</v>
      </c>
      <c r="H876" s="54">
        <f>IFERROR(IF(INDEX(SPOT_Import!$A$1:$Z$2488,876,'Live Data'!$C$19)="","",INDEX(SPOT_Import!$A$1:$Z$2488,876,'Live Data'!$C$19)),"")</f>
        <v>200</v>
      </c>
      <c r="I876" s="54" t="str">
        <f>IFERROR(IF(INDEX(SPOT_Import!$A$1:$Z$2488,876,'Live Data'!$C$20)="","",INDEX(SPOT_Import!$A$1:$Z$2488,876,'Live Data'!$C$20)),"")</f>
        <v>Incomplete</v>
      </c>
      <c r="J876" s="54" t="str">
        <f>IFERROR(IF(INDEX(SPOT_Import!$A$1:$Z$2488,876,'Live Data'!$C$21)="","",INDEX(SPOT_Import!$A$1:$Z$2488,876,'Live Data'!$C$21)),"")</f>
        <v>2026-10-07T10:48:26.000Z</v>
      </c>
      <c r="K876" s="54" t="str">
        <f>IFERROR(IF(INDEX(SPOT_Import!$A$1:$Z$2488,876,'Live Data'!$C$22)="","",INDEX(SPOT_Import!$A$1:$Z$2488,876,'Live Data'!$C$22)),"")</f>
        <v>2026-10-07T10:48:26.000Z</v>
      </c>
      <c r="L876" s="55" t="str">
        <f t="shared" si="26"/>
        <v>2026-10</v>
      </c>
      <c r="M876" s="55" t="str">
        <f t="shared" si="27"/>
        <v>KIRINYAGA</v>
      </c>
      <c r="N876" s="55" t="str">
        <f>IF(A876="","",IFERROR(INDEX('Cluster Map'!$A$4:$A$38,MATCH(M876,'Cluster Map'!$B$4:$B$38,0)),"Unmapped"))</f>
        <v>Cluster 2</v>
      </c>
      <c r="O876" s="55">
        <f>IF(A876="",0,IF(COUNTIFS($A$2:A876,A876,$F$2:F876,F876,$L$2:L876,L876)=1,1,0))</f>
        <v>1</v>
      </c>
      <c r="P876" s="55">
        <f>IF(A876="",0,IF(AND(F876="C&amp;T",COUNTIFS($A$2:A876,A876,$F$2:F876,"C&amp;T")=1),1,0))</f>
        <v>0</v>
      </c>
    </row>
    <row r="877" spans="1:16" x14ac:dyDescent="0.35">
      <c r="A877" s="54">
        <f>IFERROR(IF(INDEX(SPOT_Import!$A$1:$Z$2488,877,'Live Data'!$C$12)="","",INDEX(SPOT_Import!$A$1:$Z$2488,877,'Live Data'!$C$12)),"")</f>
        <v>11069</v>
      </c>
      <c r="B877" s="54" t="str">
        <f>IFERROR(IF(INDEX(SPOT_Import!$A$1:$Z$2488,877,'Live Data'!$C$13)="","",INDEX(SPOT_Import!$A$1:$Z$2488,877,'Live Data'!$C$13)),"")</f>
        <v>St Teresa Catholic Dispensary</v>
      </c>
      <c r="C877" s="54" t="str">
        <f>IFERROR(IF(INDEX(SPOT_Import!$A$1:$Z$2488,877,'Live Data'!$C$14)="","",INDEX(SPOT_Import!$A$1:$Z$2488,877,'Live Data'!$C$14)),"")</f>
        <v>KIRINYAGA</v>
      </c>
      <c r="D877" s="54" t="str">
        <f>IFERROR(IF(INDEX(SPOT_Import!$A$1:$Z$2488,877,'Live Data'!$C$15)="","",INDEX(SPOT_Import!$A$1:$Z$2488,877,'Live Data'!$C$15)),"")</f>
        <v>Kirinyaga North/Mwea West</v>
      </c>
      <c r="E877" s="54" t="str">
        <f>IFERROR(IF(INDEX(SPOT_Import!$A$1:$Z$2488,877,'Live Data'!$C$16)="","",INDEX(SPOT_Import!$A$1:$Z$2488,877,'Live Data'!$C$16)),"")</f>
        <v>CHAK CHAP STAWISHA</v>
      </c>
      <c r="F877" s="54" t="str">
        <f>IFERROR(IF(INDEX(SPOT_Import!$A$1:$Z$2488,877,'Live Data'!$C$17)="","",INDEX(SPOT_Import!$A$1:$Z$2488,877,'Live Data'!$C$17)),"")</f>
        <v>MNCH</v>
      </c>
      <c r="G877" s="54">
        <f>IFERROR(IF(INDEX(SPOT_Import!$A$1:$Z$2488,877,'Live Data'!$C$18)="","",INDEX(SPOT_Import!$A$1:$Z$2488,877,'Live Data'!$C$18)),"")</f>
        <v>229</v>
      </c>
      <c r="H877" s="54">
        <f>IFERROR(IF(INDEX(SPOT_Import!$A$1:$Z$2488,877,'Live Data'!$C$19)="","",INDEX(SPOT_Import!$A$1:$Z$2488,877,'Live Data'!$C$19)),"")</f>
        <v>229</v>
      </c>
      <c r="I877" s="54" t="str">
        <f>IFERROR(IF(INDEX(SPOT_Import!$A$1:$Z$2488,877,'Live Data'!$C$20)="","",INDEX(SPOT_Import!$A$1:$Z$2488,877,'Live Data'!$C$20)),"")</f>
        <v>Complete</v>
      </c>
      <c r="J877" s="54" t="str">
        <f>IFERROR(IF(INDEX(SPOT_Import!$A$1:$Z$2488,877,'Live Data'!$C$21)="","",INDEX(SPOT_Import!$A$1:$Z$2488,877,'Live Data'!$C$21)),"")</f>
        <v>2026-10-07T10:47:08.000Z</v>
      </c>
      <c r="K877" s="54" t="str">
        <f>IFERROR(IF(INDEX(SPOT_Import!$A$1:$Z$2488,877,'Live Data'!$C$22)="","",INDEX(SPOT_Import!$A$1:$Z$2488,877,'Live Data'!$C$22)),"")</f>
        <v>2026-10-07T10:47:08.000Z</v>
      </c>
      <c r="L877" s="55" t="str">
        <f t="shared" si="26"/>
        <v>2026-10</v>
      </c>
      <c r="M877" s="55" t="str">
        <f t="shared" si="27"/>
        <v>KIRINYAGA</v>
      </c>
      <c r="N877" s="55" t="str">
        <f>IF(A877="","",IFERROR(INDEX('Cluster Map'!$A$4:$A$38,MATCH(M877,'Cluster Map'!$B$4:$B$38,0)),"Unmapped"))</f>
        <v>Cluster 2</v>
      </c>
      <c r="O877" s="55">
        <f>IF(A877="",0,IF(COUNTIFS($A$2:A877,A877,$F$2:F877,F877,$L$2:L877,L877)=1,1,0))</f>
        <v>1</v>
      </c>
      <c r="P877" s="55">
        <f>IF(A877="",0,IF(AND(F877="C&amp;T",COUNTIFS($A$2:A877,A877,$F$2:F877,"C&amp;T")=1),1,0))</f>
        <v>0</v>
      </c>
    </row>
    <row r="878" spans="1:16" x14ac:dyDescent="0.35">
      <c r="A878" s="54">
        <f>IFERROR(IF(INDEX(SPOT_Import!$A$1:$Z$2488,878,'Live Data'!$C$12)="","",INDEX(SPOT_Import!$A$1:$Z$2488,878,'Live Data'!$C$12)),"")</f>
        <v>11069</v>
      </c>
      <c r="B878" s="54" t="str">
        <f>IFERROR(IF(INDEX(SPOT_Import!$A$1:$Z$2488,878,'Live Data'!$C$13)="","",INDEX(SPOT_Import!$A$1:$Z$2488,878,'Live Data'!$C$13)),"")</f>
        <v>St Teresa Catholic Dispensary</v>
      </c>
      <c r="C878" s="54" t="str">
        <f>IFERROR(IF(INDEX(SPOT_Import!$A$1:$Z$2488,878,'Live Data'!$C$14)="","",INDEX(SPOT_Import!$A$1:$Z$2488,878,'Live Data'!$C$14)),"")</f>
        <v>KIRINYAGA</v>
      </c>
      <c r="D878" s="54" t="str">
        <f>IFERROR(IF(INDEX(SPOT_Import!$A$1:$Z$2488,878,'Live Data'!$C$15)="","",INDEX(SPOT_Import!$A$1:$Z$2488,878,'Live Data'!$C$15)),"")</f>
        <v>Kirinyaga North/Mwea West</v>
      </c>
      <c r="E878" s="54" t="str">
        <f>IFERROR(IF(INDEX(SPOT_Import!$A$1:$Z$2488,878,'Live Data'!$C$16)="","",INDEX(SPOT_Import!$A$1:$Z$2488,878,'Live Data'!$C$16)),"")</f>
        <v>CHAK CHAP STAWISHA</v>
      </c>
      <c r="F878" s="54" t="str">
        <f>IFERROR(IF(INDEX(SPOT_Import!$A$1:$Z$2488,878,'Live Data'!$C$17)="","",INDEX(SPOT_Import!$A$1:$Z$2488,878,'Live Data'!$C$17)),"")</f>
        <v>HTS</v>
      </c>
      <c r="G878" s="54">
        <f>IFERROR(IF(INDEX(SPOT_Import!$A$1:$Z$2488,878,'Live Data'!$C$18)="","",INDEX(SPOT_Import!$A$1:$Z$2488,878,'Live Data'!$C$18)),"")</f>
        <v>282</v>
      </c>
      <c r="H878" s="54">
        <f>IFERROR(IF(INDEX(SPOT_Import!$A$1:$Z$2488,878,'Live Data'!$C$19)="","",INDEX(SPOT_Import!$A$1:$Z$2488,878,'Live Data'!$C$19)),"")</f>
        <v>282</v>
      </c>
      <c r="I878" s="54" t="str">
        <f>IFERROR(IF(INDEX(SPOT_Import!$A$1:$Z$2488,878,'Live Data'!$C$20)="","",INDEX(SPOT_Import!$A$1:$Z$2488,878,'Live Data'!$C$20)),"")</f>
        <v>Complete</v>
      </c>
      <c r="J878" s="54" t="str">
        <f>IFERROR(IF(INDEX(SPOT_Import!$A$1:$Z$2488,878,'Live Data'!$C$21)="","",INDEX(SPOT_Import!$A$1:$Z$2488,878,'Live Data'!$C$21)),"")</f>
        <v>2026-10-07T10:44:31.000Z</v>
      </c>
      <c r="K878" s="54" t="str">
        <f>IFERROR(IF(INDEX(SPOT_Import!$A$1:$Z$2488,878,'Live Data'!$C$22)="","",INDEX(SPOT_Import!$A$1:$Z$2488,878,'Live Data'!$C$22)),"")</f>
        <v>2026-10-07T10:44:31.000Z</v>
      </c>
      <c r="L878" s="55" t="str">
        <f t="shared" si="26"/>
        <v>2026-10</v>
      </c>
      <c r="M878" s="55" t="str">
        <f t="shared" si="27"/>
        <v>KIRINYAGA</v>
      </c>
      <c r="N878" s="55" t="str">
        <f>IF(A878="","",IFERROR(INDEX('Cluster Map'!$A$4:$A$38,MATCH(M878,'Cluster Map'!$B$4:$B$38,0)),"Unmapped"))</f>
        <v>Cluster 2</v>
      </c>
      <c r="O878" s="55">
        <f>IF(A878="",0,IF(COUNTIFS($A$2:A878,A878,$F$2:F878,F878,$L$2:L878,L878)=1,1,0))</f>
        <v>1</v>
      </c>
      <c r="P878" s="55">
        <f>IF(A878="",0,IF(AND(F878="C&amp;T",COUNTIFS($A$2:A878,A878,$F$2:F878,"C&amp;T")=1),1,0))</f>
        <v>0</v>
      </c>
    </row>
    <row r="879" spans="1:16" x14ac:dyDescent="0.35">
      <c r="A879" s="54">
        <f>IFERROR(IF(INDEX(SPOT_Import!$A$1:$Z$2488,879,'Live Data'!$C$12)="","",INDEX(SPOT_Import!$A$1:$Z$2488,879,'Live Data'!$C$12)),"")</f>
        <v>11069</v>
      </c>
      <c r="B879" s="54" t="str">
        <f>IFERROR(IF(INDEX(SPOT_Import!$A$1:$Z$2488,879,'Live Data'!$C$13)="","",INDEX(SPOT_Import!$A$1:$Z$2488,879,'Live Data'!$C$13)),"")</f>
        <v>St Teresa Catholic Dispensary</v>
      </c>
      <c r="C879" s="54" t="str">
        <f>IFERROR(IF(INDEX(SPOT_Import!$A$1:$Z$2488,879,'Live Data'!$C$14)="","",INDEX(SPOT_Import!$A$1:$Z$2488,879,'Live Data'!$C$14)),"")</f>
        <v>KIRINYAGA</v>
      </c>
      <c r="D879" s="54" t="str">
        <f>IFERROR(IF(INDEX(SPOT_Import!$A$1:$Z$2488,879,'Live Data'!$C$15)="","",INDEX(SPOT_Import!$A$1:$Z$2488,879,'Live Data'!$C$15)),"")</f>
        <v>Kirinyaga North/Mwea West</v>
      </c>
      <c r="E879" s="54" t="str">
        <f>IFERROR(IF(INDEX(SPOT_Import!$A$1:$Z$2488,879,'Live Data'!$C$16)="","",INDEX(SPOT_Import!$A$1:$Z$2488,879,'Live Data'!$C$16)),"")</f>
        <v>CHAK CHAP STAWISHA</v>
      </c>
      <c r="F879" s="54" t="str">
        <f>IFERROR(IF(INDEX(SPOT_Import!$A$1:$Z$2488,879,'Live Data'!$C$17)="","",INDEX(SPOT_Import!$A$1:$Z$2488,879,'Live Data'!$C$17)),"")</f>
        <v>C&amp;T</v>
      </c>
      <c r="G879" s="54">
        <f>IFERROR(IF(INDEX(SPOT_Import!$A$1:$Z$2488,879,'Live Data'!$C$18)="","",INDEX(SPOT_Import!$A$1:$Z$2488,879,'Live Data'!$C$18)),"")</f>
        <v>696</v>
      </c>
      <c r="H879" s="54">
        <f>IFERROR(IF(INDEX(SPOT_Import!$A$1:$Z$2488,879,'Live Data'!$C$19)="","",INDEX(SPOT_Import!$A$1:$Z$2488,879,'Live Data'!$C$19)),"")</f>
        <v>696</v>
      </c>
      <c r="I879" s="54" t="str">
        <f>IFERROR(IF(INDEX(SPOT_Import!$A$1:$Z$2488,879,'Live Data'!$C$20)="","",INDEX(SPOT_Import!$A$1:$Z$2488,879,'Live Data'!$C$20)),"")</f>
        <v>Complete</v>
      </c>
      <c r="J879" s="54" t="str">
        <f>IFERROR(IF(INDEX(SPOT_Import!$A$1:$Z$2488,879,'Live Data'!$C$21)="","",INDEX(SPOT_Import!$A$1:$Z$2488,879,'Live Data'!$C$21)),"")</f>
        <v>2026-10-07T10:33:27.000Z</v>
      </c>
      <c r="K879" s="54" t="str">
        <f>IFERROR(IF(INDEX(SPOT_Import!$A$1:$Z$2488,879,'Live Data'!$C$22)="","",INDEX(SPOT_Import!$A$1:$Z$2488,879,'Live Data'!$C$22)),"")</f>
        <v>2026-10-07T10:33:27.000Z</v>
      </c>
      <c r="L879" s="55" t="str">
        <f t="shared" si="26"/>
        <v>2026-10</v>
      </c>
      <c r="M879" s="55" t="str">
        <f t="shared" si="27"/>
        <v>KIRINYAGA</v>
      </c>
      <c r="N879" s="55" t="str">
        <f>IF(A879="","",IFERROR(INDEX('Cluster Map'!$A$4:$A$38,MATCH(M879,'Cluster Map'!$B$4:$B$38,0)),"Unmapped"))</f>
        <v>Cluster 2</v>
      </c>
      <c r="O879" s="55">
        <f>IF(A879="",0,IF(COUNTIFS($A$2:A879,A879,$F$2:F879,F879,$L$2:L879,L879)=1,1,0))</f>
        <v>1</v>
      </c>
      <c r="P879" s="55">
        <f>IF(A879="",0,IF(AND(F879="C&amp;T",COUNTIFS($A$2:A879,A879,$F$2:F879,"C&amp;T")=1),1,0))</f>
        <v>1</v>
      </c>
    </row>
    <row r="880" spans="1:16" x14ac:dyDescent="0.35">
      <c r="A880" s="54">
        <f>IFERROR(IF(INDEX(SPOT_Import!$A$1:$Z$2488,880,'Live Data'!$C$12)="","",INDEX(SPOT_Import!$A$1:$Z$2488,880,'Live Data'!$C$12)),"")</f>
        <v>22085</v>
      </c>
      <c r="B880" s="54" t="str">
        <f>IFERROR(IF(INDEX(SPOT_Import!$A$1:$Z$2488,880,'Live Data'!$C$13)="","",INDEX(SPOT_Import!$A$1:$Z$2488,880,'Live Data'!$C$13)),"")</f>
        <v>Athi Mission Clinic</v>
      </c>
      <c r="C880" s="54" t="str">
        <f>IFERROR(IF(INDEX(SPOT_Import!$A$1:$Z$2488,880,'Live Data'!$C$14)="","",INDEX(SPOT_Import!$A$1:$Z$2488,880,'Live Data'!$C$14)),"")</f>
        <v>KITUI</v>
      </c>
      <c r="D880" s="54" t="str">
        <f>IFERROR(IF(INDEX(SPOT_Import!$A$1:$Z$2488,880,'Live Data'!$C$15)="","",INDEX(SPOT_Import!$A$1:$Z$2488,880,'Live Data'!$C$15)),"")</f>
        <v>Kitui South</v>
      </c>
      <c r="E880" s="54" t="str">
        <f>IFERROR(IF(INDEX(SPOT_Import!$A$1:$Z$2488,880,'Live Data'!$C$16)="","",INDEX(SPOT_Import!$A$1:$Z$2488,880,'Live Data'!$C$16)),"")</f>
        <v>CHAK CHAP STAWISHA</v>
      </c>
      <c r="F880" s="54" t="str">
        <f>IFERROR(IF(INDEX(SPOT_Import!$A$1:$Z$2488,880,'Live Data'!$C$17)="","",INDEX(SPOT_Import!$A$1:$Z$2488,880,'Live Data'!$C$17)),"")</f>
        <v>PREP</v>
      </c>
      <c r="G880" s="54">
        <f>IFERROR(IF(INDEX(SPOT_Import!$A$1:$Z$2488,880,'Live Data'!$C$18)="","",INDEX(SPOT_Import!$A$1:$Z$2488,880,'Live Data'!$C$18)),"")</f>
        <v>474</v>
      </c>
      <c r="H880" s="54">
        <f>IFERROR(IF(INDEX(SPOT_Import!$A$1:$Z$2488,880,'Live Data'!$C$19)="","",INDEX(SPOT_Import!$A$1:$Z$2488,880,'Live Data'!$C$19)),"")</f>
        <v>474</v>
      </c>
      <c r="I880" s="54" t="str">
        <f>IFERROR(IF(INDEX(SPOT_Import!$A$1:$Z$2488,880,'Live Data'!$C$20)="","",INDEX(SPOT_Import!$A$1:$Z$2488,880,'Live Data'!$C$20)),"")</f>
        <v>Complete</v>
      </c>
      <c r="J880" s="54" t="str">
        <f>IFERROR(IF(INDEX(SPOT_Import!$A$1:$Z$2488,880,'Live Data'!$C$21)="","",INDEX(SPOT_Import!$A$1:$Z$2488,880,'Live Data'!$C$21)),"")</f>
        <v>2026-10-07T09:39:45.000Z</v>
      </c>
      <c r="K880" s="54" t="str">
        <f>IFERROR(IF(INDEX(SPOT_Import!$A$1:$Z$2488,880,'Live Data'!$C$22)="","",INDEX(SPOT_Import!$A$1:$Z$2488,880,'Live Data'!$C$22)),"")</f>
        <v>2026-10-07T09:39:45.000Z</v>
      </c>
      <c r="L880" s="55" t="str">
        <f t="shared" si="26"/>
        <v>2026-10</v>
      </c>
      <c r="M880" s="55" t="str">
        <f t="shared" si="27"/>
        <v>KITUI</v>
      </c>
      <c r="N880" s="55" t="str">
        <f>IF(A880="","",IFERROR(INDEX('Cluster Map'!$A$4:$A$38,MATCH(M880,'Cluster Map'!$B$4:$B$38,0)),"Unmapped"))</f>
        <v>Cluster 5</v>
      </c>
      <c r="O880" s="55">
        <f>IF(A880="",0,IF(COUNTIFS($A$2:A880,A880,$F$2:F880,F880,$L$2:L880,L880)=1,1,0))</f>
        <v>1</v>
      </c>
      <c r="P880" s="55">
        <f>IF(A880="",0,IF(AND(F880="C&amp;T",COUNTIFS($A$2:A880,A880,$F$2:F880,"C&amp;T")=1),1,0))</f>
        <v>0</v>
      </c>
    </row>
    <row r="881" spans="1:16" x14ac:dyDescent="0.35">
      <c r="A881" s="54">
        <f>IFERROR(IF(INDEX(SPOT_Import!$A$1:$Z$2488,881,'Live Data'!$C$12)="","",INDEX(SPOT_Import!$A$1:$Z$2488,881,'Live Data'!$C$12)),"")</f>
        <v>22085</v>
      </c>
      <c r="B881" s="54" t="str">
        <f>IFERROR(IF(INDEX(SPOT_Import!$A$1:$Z$2488,881,'Live Data'!$C$13)="","",INDEX(SPOT_Import!$A$1:$Z$2488,881,'Live Data'!$C$13)),"")</f>
        <v>Athi Mission Clinic</v>
      </c>
      <c r="C881" s="54" t="str">
        <f>IFERROR(IF(INDEX(SPOT_Import!$A$1:$Z$2488,881,'Live Data'!$C$14)="","",INDEX(SPOT_Import!$A$1:$Z$2488,881,'Live Data'!$C$14)),"")</f>
        <v>KITUI</v>
      </c>
      <c r="D881" s="54" t="str">
        <f>IFERROR(IF(INDEX(SPOT_Import!$A$1:$Z$2488,881,'Live Data'!$C$15)="","",INDEX(SPOT_Import!$A$1:$Z$2488,881,'Live Data'!$C$15)),"")</f>
        <v>Kitui South</v>
      </c>
      <c r="E881" s="54" t="str">
        <f>IFERROR(IF(INDEX(SPOT_Import!$A$1:$Z$2488,881,'Live Data'!$C$16)="","",INDEX(SPOT_Import!$A$1:$Z$2488,881,'Live Data'!$C$16)),"")</f>
        <v>CHAK CHAP STAWISHA</v>
      </c>
      <c r="F881" s="54" t="str">
        <f>IFERROR(IF(INDEX(SPOT_Import!$A$1:$Z$2488,881,'Live Data'!$C$17)="","",INDEX(SPOT_Import!$A$1:$Z$2488,881,'Live Data'!$C$17)),"")</f>
        <v>MNCH</v>
      </c>
      <c r="G881" s="54">
        <f>IFERROR(IF(INDEX(SPOT_Import!$A$1:$Z$2488,881,'Live Data'!$C$18)="","",INDEX(SPOT_Import!$A$1:$Z$2488,881,'Live Data'!$C$18)),"")</f>
        <v>10</v>
      </c>
      <c r="H881" s="54">
        <f>IFERROR(IF(INDEX(SPOT_Import!$A$1:$Z$2488,881,'Live Data'!$C$19)="","",INDEX(SPOT_Import!$A$1:$Z$2488,881,'Live Data'!$C$19)),"")</f>
        <v>10</v>
      </c>
      <c r="I881" s="54" t="str">
        <f>IFERROR(IF(INDEX(SPOT_Import!$A$1:$Z$2488,881,'Live Data'!$C$20)="","",INDEX(SPOT_Import!$A$1:$Z$2488,881,'Live Data'!$C$20)),"")</f>
        <v>Complete</v>
      </c>
      <c r="J881" s="54" t="str">
        <f>IFERROR(IF(INDEX(SPOT_Import!$A$1:$Z$2488,881,'Live Data'!$C$21)="","",INDEX(SPOT_Import!$A$1:$Z$2488,881,'Live Data'!$C$21)),"")</f>
        <v>2026-10-07T09:38:43.000Z</v>
      </c>
      <c r="K881" s="54" t="str">
        <f>IFERROR(IF(INDEX(SPOT_Import!$A$1:$Z$2488,881,'Live Data'!$C$22)="","",INDEX(SPOT_Import!$A$1:$Z$2488,881,'Live Data'!$C$22)),"")</f>
        <v>2026-10-07T09:38:43.000Z</v>
      </c>
      <c r="L881" s="55" t="str">
        <f t="shared" si="26"/>
        <v>2026-10</v>
      </c>
      <c r="M881" s="55" t="str">
        <f t="shared" si="27"/>
        <v>KITUI</v>
      </c>
      <c r="N881" s="55" t="str">
        <f>IF(A881="","",IFERROR(INDEX('Cluster Map'!$A$4:$A$38,MATCH(M881,'Cluster Map'!$B$4:$B$38,0)),"Unmapped"))</f>
        <v>Cluster 5</v>
      </c>
      <c r="O881" s="55">
        <f>IF(A881="",0,IF(COUNTIFS($A$2:A881,A881,$F$2:F881,F881,$L$2:L881,L881)=1,1,0))</f>
        <v>1</v>
      </c>
      <c r="P881" s="55">
        <f>IF(A881="",0,IF(AND(F881="C&amp;T",COUNTIFS($A$2:A881,A881,$F$2:F881,"C&amp;T")=1),1,0))</f>
        <v>0</v>
      </c>
    </row>
    <row r="882" spans="1:16" x14ac:dyDescent="0.35">
      <c r="A882" s="54">
        <f>IFERROR(IF(INDEX(SPOT_Import!$A$1:$Z$2488,882,'Live Data'!$C$12)="","",INDEX(SPOT_Import!$A$1:$Z$2488,882,'Live Data'!$C$12)),"")</f>
        <v>22085</v>
      </c>
      <c r="B882" s="54" t="str">
        <f>IFERROR(IF(INDEX(SPOT_Import!$A$1:$Z$2488,882,'Live Data'!$C$13)="","",INDEX(SPOT_Import!$A$1:$Z$2488,882,'Live Data'!$C$13)),"")</f>
        <v>Athi Mission Clinic</v>
      </c>
      <c r="C882" s="54" t="str">
        <f>IFERROR(IF(INDEX(SPOT_Import!$A$1:$Z$2488,882,'Live Data'!$C$14)="","",INDEX(SPOT_Import!$A$1:$Z$2488,882,'Live Data'!$C$14)),"")</f>
        <v>KITUI</v>
      </c>
      <c r="D882" s="54" t="str">
        <f>IFERROR(IF(INDEX(SPOT_Import!$A$1:$Z$2488,882,'Live Data'!$C$15)="","",INDEX(SPOT_Import!$A$1:$Z$2488,882,'Live Data'!$C$15)),"")</f>
        <v>Kitui South</v>
      </c>
      <c r="E882" s="54" t="str">
        <f>IFERROR(IF(INDEX(SPOT_Import!$A$1:$Z$2488,882,'Live Data'!$C$16)="","",INDEX(SPOT_Import!$A$1:$Z$2488,882,'Live Data'!$C$16)),"")</f>
        <v>CHAK CHAP STAWISHA</v>
      </c>
      <c r="F882" s="54" t="str">
        <f>IFERROR(IF(INDEX(SPOT_Import!$A$1:$Z$2488,882,'Live Data'!$C$17)="","",INDEX(SPOT_Import!$A$1:$Z$2488,882,'Live Data'!$C$17)),"")</f>
        <v>HTS</v>
      </c>
      <c r="G882" s="54">
        <f>IFERROR(IF(INDEX(SPOT_Import!$A$1:$Z$2488,882,'Live Data'!$C$18)="","",INDEX(SPOT_Import!$A$1:$Z$2488,882,'Live Data'!$C$18)),"")</f>
        <v>1083</v>
      </c>
      <c r="H882" s="54">
        <f>IFERROR(IF(INDEX(SPOT_Import!$A$1:$Z$2488,882,'Live Data'!$C$19)="","",INDEX(SPOT_Import!$A$1:$Z$2488,882,'Live Data'!$C$19)),"")</f>
        <v>1083</v>
      </c>
      <c r="I882" s="54" t="str">
        <f>IFERROR(IF(INDEX(SPOT_Import!$A$1:$Z$2488,882,'Live Data'!$C$20)="","",INDEX(SPOT_Import!$A$1:$Z$2488,882,'Live Data'!$C$20)),"")</f>
        <v>Complete</v>
      </c>
      <c r="J882" s="54" t="str">
        <f>IFERROR(IF(INDEX(SPOT_Import!$A$1:$Z$2488,882,'Live Data'!$C$21)="","",INDEX(SPOT_Import!$A$1:$Z$2488,882,'Live Data'!$C$21)),"")</f>
        <v>2026-10-07T09:31:21.000Z</v>
      </c>
      <c r="K882" s="54" t="str">
        <f>IFERROR(IF(INDEX(SPOT_Import!$A$1:$Z$2488,882,'Live Data'!$C$22)="","",INDEX(SPOT_Import!$A$1:$Z$2488,882,'Live Data'!$C$22)),"")</f>
        <v>2026-10-07T09:31:21.000Z</v>
      </c>
      <c r="L882" s="55" t="str">
        <f t="shared" si="26"/>
        <v>2026-10</v>
      </c>
      <c r="M882" s="55" t="str">
        <f t="shared" si="27"/>
        <v>KITUI</v>
      </c>
      <c r="N882" s="55" t="str">
        <f>IF(A882="","",IFERROR(INDEX('Cluster Map'!$A$4:$A$38,MATCH(M882,'Cluster Map'!$B$4:$B$38,0)),"Unmapped"))</f>
        <v>Cluster 5</v>
      </c>
      <c r="O882" s="55">
        <f>IF(A882="",0,IF(COUNTIFS($A$2:A882,A882,$F$2:F882,F882,$L$2:L882,L882)=1,1,0))</f>
        <v>1</v>
      </c>
      <c r="P882" s="55">
        <f>IF(A882="",0,IF(AND(F882="C&amp;T",COUNTIFS($A$2:A882,A882,$F$2:F882,"C&amp;T")=1),1,0))</f>
        <v>0</v>
      </c>
    </row>
    <row r="883" spans="1:16" x14ac:dyDescent="0.35">
      <c r="A883" s="54">
        <f>IFERROR(IF(INDEX(SPOT_Import!$A$1:$Z$2488,883,'Live Data'!$C$12)="","",INDEX(SPOT_Import!$A$1:$Z$2488,883,'Live Data'!$C$12)),"")</f>
        <v>22085</v>
      </c>
      <c r="B883" s="54" t="str">
        <f>IFERROR(IF(INDEX(SPOT_Import!$A$1:$Z$2488,883,'Live Data'!$C$13)="","",INDEX(SPOT_Import!$A$1:$Z$2488,883,'Live Data'!$C$13)),"")</f>
        <v>Athi Mission Clinic</v>
      </c>
      <c r="C883" s="54" t="str">
        <f>IFERROR(IF(INDEX(SPOT_Import!$A$1:$Z$2488,883,'Live Data'!$C$14)="","",INDEX(SPOT_Import!$A$1:$Z$2488,883,'Live Data'!$C$14)),"")</f>
        <v>KITUI</v>
      </c>
      <c r="D883" s="54" t="str">
        <f>IFERROR(IF(INDEX(SPOT_Import!$A$1:$Z$2488,883,'Live Data'!$C$15)="","",INDEX(SPOT_Import!$A$1:$Z$2488,883,'Live Data'!$C$15)),"")</f>
        <v>Kitui South</v>
      </c>
      <c r="E883" s="54" t="str">
        <f>IFERROR(IF(INDEX(SPOT_Import!$A$1:$Z$2488,883,'Live Data'!$C$16)="","",INDEX(SPOT_Import!$A$1:$Z$2488,883,'Live Data'!$C$16)),"")</f>
        <v>CHAK CHAP STAWISHA</v>
      </c>
      <c r="F883" s="54" t="str">
        <f>IFERROR(IF(INDEX(SPOT_Import!$A$1:$Z$2488,883,'Live Data'!$C$17)="","",INDEX(SPOT_Import!$A$1:$Z$2488,883,'Live Data'!$C$17)),"")</f>
        <v>C&amp;T</v>
      </c>
      <c r="G883" s="54">
        <f>IFERROR(IF(INDEX(SPOT_Import!$A$1:$Z$2488,883,'Live Data'!$C$18)="","",INDEX(SPOT_Import!$A$1:$Z$2488,883,'Live Data'!$C$18)),"")</f>
        <v>435</v>
      </c>
      <c r="H883" s="54">
        <f>IFERROR(IF(INDEX(SPOT_Import!$A$1:$Z$2488,883,'Live Data'!$C$19)="","",INDEX(SPOT_Import!$A$1:$Z$2488,883,'Live Data'!$C$19)),"")</f>
        <v>435</v>
      </c>
      <c r="I883" s="54" t="str">
        <f>IFERROR(IF(INDEX(SPOT_Import!$A$1:$Z$2488,883,'Live Data'!$C$20)="","",INDEX(SPOT_Import!$A$1:$Z$2488,883,'Live Data'!$C$20)),"")</f>
        <v>Complete</v>
      </c>
      <c r="J883" s="54" t="str">
        <f>IFERROR(IF(INDEX(SPOT_Import!$A$1:$Z$2488,883,'Live Data'!$C$21)="","",INDEX(SPOT_Import!$A$1:$Z$2488,883,'Live Data'!$C$21)),"")</f>
        <v>2026-10-07T09:09:25.000Z</v>
      </c>
      <c r="K883" s="54" t="str">
        <f>IFERROR(IF(INDEX(SPOT_Import!$A$1:$Z$2488,883,'Live Data'!$C$22)="","",INDEX(SPOT_Import!$A$1:$Z$2488,883,'Live Data'!$C$22)),"")</f>
        <v>2026-10-07T09:09:25.000Z</v>
      </c>
      <c r="L883" s="55" t="str">
        <f t="shared" si="26"/>
        <v>2026-10</v>
      </c>
      <c r="M883" s="55" t="str">
        <f t="shared" si="27"/>
        <v>KITUI</v>
      </c>
      <c r="N883" s="55" t="str">
        <f>IF(A883="","",IFERROR(INDEX('Cluster Map'!$A$4:$A$38,MATCH(M883,'Cluster Map'!$B$4:$B$38,0)),"Unmapped"))</f>
        <v>Cluster 5</v>
      </c>
      <c r="O883" s="55">
        <f>IF(A883="",0,IF(COUNTIFS($A$2:A883,A883,$F$2:F883,F883,$L$2:L883,L883)=1,1,0))</f>
        <v>1</v>
      </c>
      <c r="P883" s="55">
        <f>IF(A883="",0,IF(AND(F883="C&amp;T",COUNTIFS($A$2:A883,A883,$F$2:F883,"C&amp;T")=1),1,0))</f>
        <v>1</v>
      </c>
    </row>
    <row r="884" spans="1:16" x14ac:dyDescent="0.35">
      <c r="A884" s="54">
        <f>IFERROR(IF(INDEX(SPOT_Import!$A$1:$Z$2488,884,'Live Data'!$C$12)="","",INDEX(SPOT_Import!$A$1:$Z$2488,884,'Live Data'!$C$12)),"")</f>
        <v>12502</v>
      </c>
      <c r="B884" s="54" t="str">
        <f>IFERROR(IF(INDEX(SPOT_Import!$A$1:$Z$2488,884,'Live Data'!$C$13)="","",INDEX(SPOT_Import!$A$1:$Z$2488,884,'Live Data'!$C$13)),"")</f>
        <v>Mbitini Catholic Dispensary</v>
      </c>
      <c r="C884" s="54" t="str">
        <f>IFERROR(IF(INDEX(SPOT_Import!$A$1:$Z$2488,884,'Live Data'!$C$14)="","",INDEX(SPOT_Import!$A$1:$Z$2488,884,'Live Data'!$C$14)),"")</f>
        <v>MAKUENI</v>
      </c>
      <c r="D884" s="54" t="str">
        <f>IFERROR(IF(INDEX(SPOT_Import!$A$1:$Z$2488,884,'Live Data'!$C$15)="","",INDEX(SPOT_Import!$A$1:$Z$2488,884,'Live Data'!$C$15)),"")</f>
        <v>Kibwezi West</v>
      </c>
      <c r="E884" s="54" t="str">
        <f>IFERROR(IF(INDEX(SPOT_Import!$A$1:$Z$2488,884,'Live Data'!$C$16)="","",INDEX(SPOT_Import!$A$1:$Z$2488,884,'Live Data'!$C$16)),"")</f>
        <v>CHAK CHAP STAWISHA</v>
      </c>
      <c r="F884" s="54" t="str">
        <f>IFERROR(IF(INDEX(SPOT_Import!$A$1:$Z$2488,884,'Live Data'!$C$17)="","",INDEX(SPOT_Import!$A$1:$Z$2488,884,'Live Data'!$C$17)),"")</f>
        <v>MNCH</v>
      </c>
      <c r="G884" s="54">
        <f>IFERROR(IF(INDEX(SPOT_Import!$A$1:$Z$2488,884,'Live Data'!$C$18)="","",INDEX(SPOT_Import!$A$1:$Z$2488,884,'Live Data'!$C$18)),"")</f>
        <v>12</v>
      </c>
      <c r="H884" s="54" t="str">
        <f>IFERROR(IF(INDEX(SPOT_Import!$A$1:$Z$2488,884,'Live Data'!$C$19)="","",INDEX(SPOT_Import!$A$1:$Z$2488,884,'Live Data'!$C$19)),"")</f>
        <v/>
      </c>
      <c r="I884" s="54" t="str">
        <f>IFERROR(IF(INDEX(SPOT_Import!$A$1:$Z$2488,884,'Live Data'!$C$20)="","",INDEX(SPOT_Import!$A$1:$Z$2488,884,'Live Data'!$C$20)),"")</f>
        <v>Incomplete</v>
      </c>
      <c r="J884" s="54" t="str">
        <f>IFERROR(IF(INDEX(SPOT_Import!$A$1:$Z$2488,884,'Live Data'!$C$21)="","",INDEX(SPOT_Import!$A$1:$Z$2488,884,'Live Data'!$C$21)),"")</f>
        <v>2026-10-07T07:13:25.000Z</v>
      </c>
      <c r="K884" s="54" t="str">
        <f>IFERROR(IF(INDEX(SPOT_Import!$A$1:$Z$2488,884,'Live Data'!$C$22)="","",INDEX(SPOT_Import!$A$1:$Z$2488,884,'Live Data'!$C$22)),"")</f>
        <v>2026-10-07T07:13:25.000Z</v>
      </c>
      <c r="L884" s="55" t="str">
        <f t="shared" si="26"/>
        <v>2026-10</v>
      </c>
      <c r="M884" s="55" t="str">
        <f t="shared" si="27"/>
        <v>MAKUENI</v>
      </c>
      <c r="N884" s="55" t="str">
        <f>IF(A884="","",IFERROR(INDEX('Cluster Map'!$A$4:$A$38,MATCH(M884,'Cluster Map'!$B$4:$B$38,0)),"Unmapped"))</f>
        <v>Cluster 5</v>
      </c>
      <c r="O884" s="55">
        <f>IF(A884="",0,IF(COUNTIFS($A$2:A884,A884,$F$2:F884,F884,$L$2:L884,L884)=1,1,0))</f>
        <v>1</v>
      </c>
      <c r="P884" s="55">
        <f>IF(A884="",0,IF(AND(F884="C&amp;T",COUNTIFS($A$2:A884,A884,$F$2:F884,"C&amp;T")=1),1,0))</f>
        <v>0</v>
      </c>
    </row>
    <row r="885" spans="1:16" x14ac:dyDescent="0.35">
      <c r="A885" s="54">
        <f>IFERROR(IF(INDEX(SPOT_Import!$A$1:$Z$2488,885,'Live Data'!$C$12)="","",INDEX(SPOT_Import!$A$1:$Z$2488,885,'Live Data'!$C$12)),"")</f>
        <v>12502</v>
      </c>
      <c r="B885" s="54" t="str">
        <f>IFERROR(IF(INDEX(SPOT_Import!$A$1:$Z$2488,885,'Live Data'!$C$13)="","",INDEX(SPOT_Import!$A$1:$Z$2488,885,'Live Data'!$C$13)),"")</f>
        <v>Mbitini Catholic Dispensary</v>
      </c>
      <c r="C885" s="54" t="str">
        <f>IFERROR(IF(INDEX(SPOT_Import!$A$1:$Z$2488,885,'Live Data'!$C$14)="","",INDEX(SPOT_Import!$A$1:$Z$2488,885,'Live Data'!$C$14)),"")</f>
        <v>MAKUENI</v>
      </c>
      <c r="D885" s="54" t="str">
        <f>IFERROR(IF(INDEX(SPOT_Import!$A$1:$Z$2488,885,'Live Data'!$C$15)="","",INDEX(SPOT_Import!$A$1:$Z$2488,885,'Live Data'!$C$15)),"")</f>
        <v>Kibwezi West</v>
      </c>
      <c r="E885" s="54" t="str">
        <f>IFERROR(IF(INDEX(SPOT_Import!$A$1:$Z$2488,885,'Live Data'!$C$16)="","",INDEX(SPOT_Import!$A$1:$Z$2488,885,'Live Data'!$C$16)),"")</f>
        <v>CHAK CHAP STAWISHA</v>
      </c>
      <c r="F885" s="54" t="str">
        <f>IFERROR(IF(INDEX(SPOT_Import!$A$1:$Z$2488,885,'Live Data'!$C$17)="","",INDEX(SPOT_Import!$A$1:$Z$2488,885,'Live Data'!$C$17)),"")</f>
        <v>HTS</v>
      </c>
      <c r="G885" s="54">
        <f>IFERROR(IF(INDEX(SPOT_Import!$A$1:$Z$2488,885,'Live Data'!$C$18)="","",INDEX(SPOT_Import!$A$1:$Z$2488,885,'Live Data'!$C$18)),"")</f>
        <v>2794</v>
      </c>
      <c r="H885" s="54">
        <f>IFERROR(IF(INDEX(SPOT_Import!$A$1:$Z$2488,885,'Live Data'!$C$19)="","",INDEX(SPOT_Import!$A$1:$Z$2488,885,'Live Data'!$C$19)),"")</f>
        <v>2794</v>
      </c>
      <c r="I885" s="54" t="str">
        <f>IFERROR(IF(INDEX(SPOT_Import!$A$1:$Z$2488,885,'Live Data'!$C$20)="","",INDEX(SPOT_Import!$A$1:$Z$2488,885,'Live Data'!$C$20)),"")</f>
        <v>Complete</v>
      </c>
      <c r="J885" s="54" t="str">
        <f>IFERROR(IF(INDEX(SPOT_Import!$A$1:$Z$2488,885,'Live Data'!$C$21)="","",INDEX(SPOT_Import!$A$1:$Z$2488,885,'Live Data'!$C$21)),"")</f>
        <v>2026-10-07T07:12:51.000Z</v>
      </c>
      <c r="K885" s="54" t="str">
        <f>IFERROR(IF(INDEX(SPOT_Import!$A$1:$Z$2488,885,'Live Data'!$C$22)="","",INDEX(SPOT_Import!$A$1:$Z$2488,885,'Live Data'!$C$22)),"")</f>
        <v>2026-10-07T07:12:51.000Z</v>
      </c>
      <c r="L885" s="55" t="str">
        <f t="shared" si="26"/>
        <v>2026-10</v>
      </c>
      <c r="M885" s="55" t="str">
        <f t="shared" si="27"/>
        <v>MAKUENI</v>
      </c>
      <c r="N885" s="55" t="str">
        <f>IF(A885="","",IFERROR(INDEX('Cluster Map'!$A$4:$A$38,MATCH(M885,'Cluster Map'!$B$4:$B$38,0)),"Unmapped"))</f>
        <v>Cluster 5</v>
      </c>
      <c r="O885" s="55">
        <f>IF(A885="",0,IF(COUNTIFS($A$2:A885,A885,$F$2:F885,F885,$L$2:L885,L885)=1,1,0))</f>
        <v>1</v>
      </c>
      <c r="P885" s="55">
        <f>IF(A885="",0,IF(AND(F885="C&amp;T",COUNTIFS($A$2:A885,A885,$F$2:F885,"C&amp;T")=1),1,0))</f>
        <v>0</v>
      </c>
    </row>
    <row r="886" spans="1:16" x14ac:dyDescent="0.35">
      <c r="A886" s="54">
        <f>IFERROR(IF(INDEX(SPOT_Import!$A$1:$Z$2488,886,'Live Data'!$C$12)="","",INDEX(SPOT_Import!$A$1:$Z$2488,886,'Live Data'!$C$12)),"")</f>
        <v>12502</v>
      </c>
      <c r="B886" s="54" t="str">
        <f>IFERROR(IF(INDEX(SPOT_Import!$A$1:$Z$2488,886,'Live Data'!$C$13)="","",INDEX(SPOT_Import!$A$1:$Z$2488,886,'Live Data'!$C$13)),"")</f>
        <v>Mbitini Catholic Dispensary</v>
      </c>
      <c r="C886" s="54" t="str">
        <f>IFERROR(IF(INDEX(SPOT_Import!$A$1:$Z$2488,886,'Live Data'!$C$14)="","",INDEX(SPOT_Import!$A$1:$Z$2488,886,'Live Data'!$C$14)),"")</f>
        <v>MAKUENI</v>
      </c>
      <c r="D886" s="54" t="str">
        <f>IFERROR(IF(INDEX(SPOT_Import!$A$1:$Z$2488,886,'Live Data'!$C$15)="","",INDEX(SPOT_Import!$A$1:$Z$2488,886,'Live Data'!$C$15)),"")</f>
        <v>Kibwezi West</v>
      </c>
      <c r="E886" s="54" t="str">
        <f>IFERROR(IF(INDEX(SPOT_Import!$A$1:$Z$2488,886,'Live Data'!$C$16)="","",INDEX(SPOT_Import!$A$1:$Z$2488,886,'Live Data'!$C$16)),"")</f>
        <v>CHAK CHAP STAWISHA</v>
      </c>
      <c r="F886" s="54" t="str">
        <f>IFERROR(IF(INDEX(SPOT_Import!$A$1:$Z$2488,886,'Live Data'!$C$17)="","",INDEX(SPOT_Import!$A$1:$Z$2488,886,'Live Data'!$C$17)),"")</f>
        <v>PREP</v>
      </c>
      <c r="G886" s="54">
        <f>IFERROR(IF(INDEX(SPOT_Import!$A$1:$Z$2488,886,'Live Data'!$C$18)="","",INDEX(SPOT_Import!$A$1:$Z$2488,886,'Live Data'!$C$18)),"")</f>
        <v>251</v>
      </c>
      <c r="H886" s="54" t="str">
        <f>IFERROR(IF(INDEX(SPOT_Import!$A$1:$Z$2488,886,'Live Data'!$C$19)="","",INDEX(SPOT_Import!$A$1:$Z$2488,886,'Live Data'!$C$19)),"")</f>
        <v/>
      </c>
      <c r="I886" s="54" t="str">
        <f>IFERROR(IF(INDEX(SPOT_Import!$A$1:$Z$2488,886,'Live Data'!$C$20)="","",INDEX(SPOT_Import!$A$1:$Z$2488,886,'Live Data'!$C$20)),"")</f>
        <v>Incomplete</v>
      </c>
      <c r="J886" s="54" t="str">
        <f>IFERROR(IF(INDEX(SPOT_Import!$A$1:$Z$2488,886,'Live Data'!$C$21)="","",INDEX(SPOT_Import!$A$1:$Z$2488,886,'Live Data'!$C$21)),"")</f>
        <v>2026-10-07T07:11:27.000Z</v>
      </c>
      <c r="K886" s="54" t="str">
        <f>IFERROR(IF(INDEX(SPOT_Import!$A$1:$Z$2488,886,'Live Data'!$C$22)="","",INDEX(SPOT_Import!$A$1:$Z$2488,886,'Live Data'!$C$22)),"")</f>
        <v>2026-10-07T07:11:27.000Z</v>
      </c>
      <c r="L886" s="55" t="str">
        <f t="shared" si="26"/>
        <v>2026-10</v>
      </c>
      <c r="M886" s="55" t="str">
        <f t="shared" si="27"/>
        <v>MAKUENI</v>
      </c>
      <c r="N886" s="55" t="str">
        <f>IF(A886="","",IFERROR(INDEX('Cluster Map'!$A$4:$A$38,MATCH(M886,'Cluster Map'!$B$4:$B$38,0)),"Unmapped"))</f>
        <v>Cluster 5</v>
      </c>
      <c r="O886" s="55">
        <f>IF(A886="",0,IF(COUNTIFS($A$2:A886,A886,$F$2:F886,F886,$L$2:L886,L886)=1,1,0))</f>
        <v>1</v>
      </c>
      <c r="P886" s="55">
        <f>IF(A886="",0,IF(AND(F886="C&amp;T",COUNTIFS($A$2:A886,A886,$F$2:F886,"C&amp;T")=1),1,0))</f>
        <v>0</v>
      </c>
    </row>
    <row r="887" spans="1:16" x14ac:dyDescent="0.35">
      <c r="A887" s="54">
        <f>IFERROR(IF(INDEX(SPOT_Import!$A$1:$Z$2488,887,'Live Data'!$C$12)="","",INDEX(SPOT_Import!$A$1:$Z$2488,887,'Live Data'!$C$12)),"")</f>
        <v>12502</v>
      </c>
      <c r="B887" s="54" t="str">
        <f>IFERROR(IF(INDEX(SPOT_Import!$A$1:$Z$2488,887,'Live Data'!$C$13)="","",INDEX(SPOT_Import!$A$1:$Z$2488,887,'Live Data'!$C$13)),"")</f>
        <v>Mbitini Catholic Dispensary</v>
      </c>
      <c r="C887" s="54" t="str">
        <f>IFERROR(IF(INDEX(SPOT_Import!$A$1:$Z$2488,887,'Live Data'!$C$14)="","",INDEX(SPOT_Import!$A$1:$Z$2488,887,'Live Data'!$C$14)),"")</f>
        <v>MAKUENI</v>
      </c>
      <c r="D887" s="54" t="str">
        <f>IFERROR(IF(INDEX(SPOT_Import!$A$1:$Z$2488,887,'Live Data'!$C$15)="","",INDEX(SPOT_Import!$A$1:$Z$2488,887,'Live Data'!$C$15)),"")</f>
        <v>Kibwezi West</v>
      </c>
      <c r="E887" s="54" t="str">
        <f>IFERROR(IF(INDEX(SPOT_Import!$A$1:$Z$2488,887,'Live Data'!$C$16)="","",INDEX(SPOT_Import!$A$1:$Z$2488,887,'Live Data'!$C$16)),"")</f>
        <v>CHAK CHAP STAWISHA</v>
      </c>
      <c r="F887" s="54" t="str">
        <f>IFERROR(IF(INDEX(SPOT_Import!$A$1:$Z$2488,887,'Live Data'!$C$17)="","",INDEX(SPOT_Import!$A$1:$Z$2488,887,'Live Data'!$C$17)),"")</f>
        <v>C&amp;T</v>
      </c>
      <c r="G887" s="54">
        <f>IFERROR(IF(INDEX(SPOT_Import!$A$1:$Z$2488,887,'Live Data'!$C$18)="","",INDEX(SPOT_Import!$A$1:$Z$2488,887,'Live Data'!$C$18)),"")</f>
        <v>90</v>
      </c>
      <c r="H887" s="54">
        <f>IFERROR(IF(INDEX(SPOT_Import!$A$1:$Z$2488,887,'Live Data'!$C$19)="","",INDEX(SPOT_Import!$A$1:$Z$2488,887,'Live Data'!$C$19)),"")</f>
        <v>90</v>
      </c>
      <c r="I887" s="54" t="str">
        <f>IFERROR(IF(INDEX(SPOT_Import!$A$1:$Z$2488,887,'Live Data'!$C$20)="","",INDEX(SPOT_Import!$A$1:$Z$2488,887,'Live Data'!$C$20)),"")</f>
        <v>Complete</v>
      </c>
      <c r="J887" s="54" t="str">
        <f>IFERROR(IF(INDEX(SPOT_Import!$A$1:$Z$2488,887,'Live Data'!$C$21)="","",INDEX(SPOT_Import!$A$1:$Z$2488,887,'Live Data'!$C$21)),"")</f>
        <v>2026-10-07T06:50:21.000Z</v>
      </c>
      <c r="K887" s="54" t="str">
        <f>IFERROR(IF(INDEX(SPOT_Import!$A$1:$Z$2488,887,'Live Data'!$C$22)="","",INDEX(SPOT_Import!$A$1:$Z$2488,887,'Live Data'!$C$22)),"")</f>
        <v>2026-10-07T06:50:21.000Z</v>
      </c>
      <c r="L887" s="55" t="str">
        <f t="shared" si="26"/>
        <v>2026-10</v>
      </c>
      <c r="M887" s="55" t="str">
        <f t="shared" si="27"/>
        <v>MAKUENI</v>
      </c>
      <c r="N887" s="55" t="str">
        <f>IF(A887="","",IFERROR(INDEX('Cluster Map'!$A$4:$A$38,MATCH(M887,'Cluster Map'!$B$4:$B$38,0)),"Unmapped"))</f>
        <v>Cluster 5</v>
      </c>
      <c r="O887" s="55">
        <f>IF(A887="",0,IF(COUNTIFS($A$2:A887,A887,$F$2:F887,F887,$L$2:L887,L887)=1,1,0))</f>
        <v>1</v>
      </c>
      <c r="P887" s="55">
        <f>IF(A887="",0,IF(AND(F887="C&amp;T",COUNTIFS($A$2:A887,A887,$F$2:F887,"C&amp;T")=1),1,0))</f>
        <v>1</v>
      </c>
    </row>
    <row r="888" spans="1:16" x14ac:dyDescent="0.35">
      <c r="A888" s="54">
        <f>IFERROR(IF(INDEX(SPOT_Import!$A$1:$Z$2488,888,'Live Data'!$C$12)="","",INDEX(SPOT_Import!$A$1:$Z$2488,888,'Live Data'!$C$12)),"")</f>
        <v>12569</v>
      </c>
      <c r="B888" s="54" t="str">
        <f>IFERROR(IF(INDEX(SPOT_Import!$A$1:$Z$2488,888,'Live Data'!$C$13)="","",INDEX(SPOT_Import!$A$1:$Z$2488,888,'Live Data'!$C$13)),"")</f>
        <v>Mulutu Mission Dispensary</v>
      </c>
      <c r="C888" s="54" t="str">
        <f>IFERROR(IF(INDEX(SPOT_Import!$A$1:$Z$2488,888,'Live Data'!$C$14)="","",INDEX(SPOT_Import!$A$1:$Z$2488,888,'Live Data'!$C$14)),"")</f>
        <v>KITUI</v>
      </c>
      <c r="D888" s="54" t="str">
        <f>IFERROR(IF(INDEX(SPOT_Import!$A$1:$Z$2488,888,'Live Data'!$C$15)="","",INDEX(SPOT_Import!$A$1:$Z$2488,888,'Live Data'!$C$15)),"")</f>
        <v>Kitui Central</v>
      </c>
      <c r="E888" s="54" t="str">
        <f>IFERROR(IF(INDEX(SPOT_Import!$A$1:$Z$2488,888,'Live Data'!$C$16)="","",INDEX(SPOT_Import!$A$1:$Z$2488,888,'Live Data'!$C$16)),"")</f>
        <v>CHAK CHAP STAWISHA</v>
      </c>
      <c r="F888" s="54" t="str">
        <f>IFERROR(IF(INDEX(SPOT_Import!$A$1:$Z$2488,888,'Live Data'!$C$17)="","",INDEX(SPOT_Import!$A$1:$Z$2488,888,'Live Data'!$C$17)),"")</f>
        <v>PREP</v>
      </c>
      <c r="G888" s="54">
        <f>IFERROR(IF(INDEX(SPOT_Import!$A$1:$Z$2488,888,'Live Data'!$C$18)="","",INDEX(SPOT_Import!$A$1:$Z$2488,888,'Live Data'!$C$18)),"")</f>
        <v>745</v>
      </c>
      <c r="H888" s="54" t="str">
        <f>IFERROR(IF(INDEX(SPOT_Import!$A$1:$Z$2488,888,'Live Data'!$C$19)="","",INDEX(SPOT_Import!$A$1:$Z$2488,888,'Live Data'!$C$19)),"")</f>
        <v/>
      </c>
      <c r="I888" s="54" t="str">
        <f>IFERROR(IF(INDEX(SPOT_Import!$A$1:$Z$2488,888,'Live Data'!$C$20)="","",INDEX(SPOT_Import!$A$1:$Z$2488,888,'Live Data'!$C$20)),"")</f>
        <v>Complete</v>
      </c>
      <c r="J888" s="54" t="str">
        <f>IFERROR(IF(INDEX(SPOT_Import!$A$1:$Z$2488,888,'Live Data'!$C$21)="","",INDEX(SPOT_Import!$A$1:$Z$2488,888,'Live Data'!$C$21)),"")</f>
        <v>2026-10-07T06:20:30.000Z</v>
      </c>
      <c r="K888" s="54" t="str">
        <f>IFERROR(IF(INDEX(SPOT_Import!$A$1:$Z$2488,888,'Live Data'!$C$22)="","",INDEX(SPOT_Import!$A$1:$Z$2488,888,'Live Data'!$C$22)),"")</f>
        <v>2026-10-07T06:20:30.000Z</v>
      </c>
      <c r="L888" s="55" t="str">
        <f t="shared" si="26"/>
        <v>2026-10</v>
      </c>
      <c r="M888" s="55" t="str">
        <f t="shared" si="27"/>
        <v>KITUI</v>
      </c>
      <c r="N888" s="55" t="str">
        <f>IF(A888="","",IFERROR(INDEX('Cluster Map'!$A$4:$A$38,MATCH(M888,'Cluster Map'!$B$4:$B$38,0)),"Unmapped"))</f>
        <v>Cluster 5</v>
      </c>
      <c r="O888" s="55">
        <f>IF(A888="",0,IF(COUNTIFS($A$2:A888,A888,$F$2:F888,F888,$L$2:L888,L888)=1,1,0))</f>
        <v>1</v>
      </c>
      <c r="P888" s="55">
        <f>IF(A888="",0,IF(AND(F888="C&amp;T",COUNTIFS($A$2:A888,A888,$F$2:F888,"C&amp;T")=1),1,0))</f>
        <v>0</v>
      </c>
    </row>
    <row r="889" spans="1:16" x14ac:dyDescent="0.35">
      <c r="A889" s="54">
        <f>IFERROR(IF(INDEX(SPOT_Import!$A$1:$Z$2488,889,'Live Data'!$C$12)="","",INDEX(SPOT_Import!$A$1:$Z$2488,889,'Live Data'!$C$12)),"")</f>
        <v>12569</v>
      </c>
      <c r="B889" s="54" t="str">
        <f>IFERROR(IF(INDEX(SPOT_Import!$A$1:$Z$2488,889,'Live Data'!$C$13)="","",INDEX(SPOT_Import!$A$1:$Z$2488,889,'Live Data'!$C$13)),"")</f>
        <v>Mulutu Mission Dispensary</v>
      </c>
      <c r="C889" s="54" t="str">
        <f>IFERROR(IF(INDEX(SPOT_Import!$A$1:$Z$2488,889,'Live Data'!$C$14)="","",INDEX(SPOT_Import!$A$1:$Z$2488,889,'Live Data'!$C$14)),"")</f>
        <v>KITUI</v>
      </c>
      <c r="D889" s="54" t="str">
        <f>IFERROR(IF(INDEX(SPOT_Import!$A$1:$Z$2488,889,'Live Data'!$C$15)="","",INDEX(SPOT_Import!$A$1:$Z$2488,889,'Live Data'!$C$15)),"")</f>
        <v>Kitui Central</v>
      </c>
      <c r="E889" s="54" t="str">
        <f>IFERROR(IF(INDEX(SPOT_Import!$A$1:$Z$2488,889,'Live Data'!$C$16)="","",INDEX(SPOT_Import!$A$1:$Z$2488,889,'Live Data'!$C$16)),"")</f>
        <v>CHAK CHAP STAWISHA</v>
      </c>
      <c r="F889" s="54" t="str">
        <f>IFERROR(IF(INDEX(SPOT_Import!$A$1:$Z$2488,889,'Live Data'!$C$17)="","",INDEX(SPOT_Import!$A$1:$Z$2488,889,'Live Data'!$C$17)),"")</f>
        <v>HTS</v>
      </c>
      <c r="G889" s="54">
        <f>IFERROR(IF(INDEX(SPOT_Import!$A$1:$Z$2488,889,'Live Data'!$C$18)="","",INDEX(SPOT_Import!$A$1:$Z$2488,889,'Live Data'!$C$18)),"")</f>
        <v>3233</v>
      </c>
      <c r="H889" s="54">
        <f>IFERROR(IF(INDEX(SPOT_Import!$A$1:$Z$2488,889,'Live Data'!$C$19)="","",INDEX(SPOT_Import!$A$1:$Z$2488,889,'Live Data'!$C$19)),"")</f>
        <v>3233</v>
      </c>
      <c r="I889" s="54" t="str">
        <f>IFERROR(IF(INDEX(SPOT_Import!$A$1:$Z$2488,889,'Live Data'!$C$20)="","",INDEX(SPOT_Import!$A$1:$Z$2488,889,'Live Data'!$C$20)),"")</f>
        <v>Complete</v>
      </c>
      <c r="J889" s="54" t="str">
        <f>IFERROR(IF(INDEX(SPOT_Import!$A$1:$Z$2488,889,'Live Data'!$C$21)="","",INDEX(SPOT_Import!$A$1:$Z$2488,889,'Live Data'!$C$21)),"")</f>
        <v>2026-10-07T05:28:28.000Z</v>
      </c>
      <c r="K889" s="54" t="str">
        <f>IFERROR(IF(INDEX(SPOT_Import!$A$1:$Z$2488,889,'Live Data'!$C$22)="","",INDEX(SPOT_Import!$A$1:$Z$2488,889,'Live Data'!$C$22)),"")</f>
        <v>2026-10-07T05:28:28.000Z</v>
      </c>
      <c r="L889" s="55" t="str">
        <f t="shared" si="26"/>
        <v>2026-10</v>
      </c>
      <c r="M889" s="55" t="str">
        <f t="shared" si="27"/>
        <v>KITUI</v>
      </c>
      <c r="N889" s="55" t="str">
        <f>IF(A889="","",IFERROR(INDEX('Cluster Map'!$A$4:$A$38,MATCH(M889,'Cluster Map'!$B$4:$B$38,0)),"Unmapped"))</f>
        <v>Cluster 5</v>
      </c>
      <c r="O889" s="55">
        <f>IF(A889="",0,IF(COUNTIFS($A$2:A889,A889,$F$2:F889,F889,$L$2:L889,L889)=1,1,0))</f>
        <v>1</v>
      </c>
      <c r="P889" s="55">
        <f>IF(A889="",0,IF(AND(F889="C&amp;T",COUNTIFS($A$2:A889,A889,$F$2:F889,"C&amp;T")=1),1,0))</f>
        <v>0</v>
      </c>
    </row>
    <row r="890" spans="1:16" x14ac:dyDescent="0.35">
      <c r="A890" s="54">
        <f>IFERROR(IF(INDEX(SPOT_Import!$A$1:$Z$2488,890,'Live Data'!$C$12)="","",INDEX(SPOT_Import!$A$1:$Z$2488,890,'Live Data'!$C$12)),"")</f>
        <v>12569</v>
      </c>
      <c r="B890" s="54" t="str">
        <f>IFERROR(IF(INDEX(SPOT_Import!$A$1:$Z$2488,890,'Live Data'!$C$13)="","",INDEX(SPOT_Import!$A$1:$Z$2488,890,'Live Data'!$C$13)),"")</f>
        <v>Mulutu Mission Dispensary</v>
      </c>
      <c r="C890" s="54" t="str">
        <f>IFERROR(IF(INDEX(SPOT_Import!$A$1:$Z$2488,890,'Live Data'!$C$14)="","",INDEX(SPOT_Import!$A$1:$Z$2488,890,'Live Data'!$C$14)),"")</f>
        <v>KITUI</v>
      </c>
      <c r="D890" s="54" t="str">
        <f>IFERROR(IF(INDEX(SPOT_Import!$A$1:$Z$2488,890,'Live Data'!$C$15)="","",INDEX(SPOT_Import!$A$1:$Z$2488,890,'Live Data'!$C$15)),"")</f>
        <v>Kitui Central</v>
      </c>
      <c r="E890" s="54" t="str">
        <f>IFERROR(IF(INDEX(SPOT_Import!$A$1:$Z$2488,890,'Live Data'!$C$16)="","",INDEX(SPOT_Import!$A$1:$Z$2488,890,'Live Data'!$C$16)),"")</f>
        <v>CHAK CHAP STAWISHA</v>
      </c>
      <c r="F890" s="54" t="str">
        <f>IFERROR(IF(INDEX(SPOT_Import!$A$1:$Z$2488,890,'Live Data'!$C$17)="","",INDEX(SPOT_Import!$A$1:$Z$2488,890,'Live Data'!$C$17)),"")</f>
        <v>C&amp;T</v>
      </c>
      <c r="G890" s="54">
        <f>IFERROR(IF(INDEX(SPOT_Import!$A$1:$Z$2488,890,'Live Data'!$C$18)="","",INDEX(SPOT_Import!$A$1:$Z$2488,890,'Live Data'!$C$18)),"")</f>
        <v>484</v>
      </c>
      <c r="H890" s="54">
        <f>IFERROR(IF(INDEX(SPOT_Import!$A$1:$Z$2488,890,'Live Data'!$C$19)="","",INDEX(SPOT_Import!$A$1:$Z$2488,890,'Live Data'!$C$19)),"")</f>
        <v>484</v>
      </c>
      <c r="I890" s="54" t="str">
        <f>IFERROR(IF(INDEX(SPOT_Import!$A$1:$Z$2488,890,'Live Data'!$C$20)="","",INDEX(SPOT_Import!$A$1:$Z$2488,890,'Live Data'!$C$20)),"")</f>
        <v>Complete</v>
      </c>
      <c r="J890" s="54" t="str">
        <f>IFERROR(IF(INDEX(SPOT_Import!$A$1:$Z$2488,890,'Live Data'!$C$21)="","",INDEX(SPOT_Import!$A$1:$Z$2488,890,'Live Data'!$C$21)),"")</f>
        <v>2026-10-07T05:16:42.000Z</v>
      </c>
      <c r="K890" s="54" t="str">
        <f>IFERROR(IF(INDEX(SPOT_Import!$A$1:$Z$2488,890,'Live Data'!$C$22)="","",INDEX(SPOT_Import!$A$1:$Z$2488,890,'Live Data'!$C$22)),"")</f>
        <v>2026-10-07T05:16:42.000Z</v>
      </c>
      <c r="L890" s="55" t="str">
        <f t="shared" si="26"/>
        <v>2026-10</v>
      </c>
      <c r="M890" s="55" t="str">
        <f t="shared" si="27"/>
        <v>KITUI</v>
      </c>
      <c r="N890" s="55" t="str">
        <f>IF(A890="","",IFERROR(INDEX('Cluster Map'!$A$4:$A$38,MATCH(M890,'Cluster Map'!$B$4:$B$38,0)),"Unmapped"))</f>
        <v>Cluster 5</v>
      </c>
      <c r="O890" s="55">
        <f>IF(A890="",0,IF(COUNTIFS($A$2:A890,A890,$F$2:F890,F890,$L$2:L890,L890)=1,1,0))</f>
        <v>1</v>
      </c>
      <c r="P890" s="55">
        <f>IF(A890="",0,IF(AND(F890="C&amp;T",COUNTIFS($A$2:A890,A890,$F$2:F890,"C&amp;T")=1),1,0))</f>
        <v>1</v>
      </c>
    </row>
    <row r="891" spans="1:16" x14ac:dyDescent="0.35">
      <c r="A891" s="54">
        <f>IFERROR(IF(INDEX(SPOT_Import!$A$1:$Z$2488,891,'Live Data'!$C$12)="","",INDEX(SPOT_Import!$A$1:$Z$2488,891,'Live Data'!$C$12)),"")</f>
        <v>16742</v>
      </c>
      <c r="B891" s="54" t="str">
        <f>IFERROR(IF(INDEX(SPOT_Import!$A$1:$Z$2488,891,'Live Data'!$C$13)="","",INDEX(SPOT_Import!$A$1:$Z$2488,891,'Live Data'!$C$13)),"")</f>
        <v>St Mark Medical Clinic - Tala</v>
      </c>
      <c r="C891" s="54" t="str">
        <f>IFERROR(IF(INDEX(SPOT_Import!$A$1:$Z$2488,891,'Live Data'!$C$14)="","",INDEX(SPOT_Import!$A$1:$Z$2488,891,'Live Data'!$C$14)),"")</f>
        <v>MACHAKOS</v>
      </c>
      <c r="D891" s="54" t="str">
        <f>IFERROR(IF(INDEX(SPOT_Import!$A$1:$Z$2488,891,'Live Data'!$C$15)="","",INDEX(SPOT_Import!$A$1:$Z$2488,891,'Live Data'!$C$15)),"")</f>
        <v>Matungulu</v>
      </c>
      <c r="E891" s="54" t="str">
        <f>IFERROR(IF(INDEX(SPOT_Import!$A$1:$Z$2488,891,'Live Data'!$C$16)="","",INDEX(SPOT_Import!$A$1:$Z$2488,891,'Live Data'!$C$16)),"")</f>
        <v>CHAK CHAP STAWISHA</v>
      </c>
      <c r="F891" s="54" t="str">
        <f>IFERROR(IF(INDEX(SPOT_Import!$A$1:$Z$2488,891,'Live Data'!$C$17)="","",INDEX(SPOT_Import!$A$1:$Z$2488,891,'Live Data'!$C$17)),"")</f>
        <v>PREP</v>
      </c>
      <c r="G891" s="54">
        <f>IFERROR(IF(INDEX(SPOT_Import!$A$1:$Z$2488,891,'Live Data'!$C$18)="","",INDEX(SPOT_Import!$A$1:$Z$2488,891,'Live Data'!$C$18)),"")</f>
        <v>226</v>
      </c>
      <c r="H891" s="54">
        <f>IFERROR(IF(INDEX(SPOT_Import!$A$1:$Z$2488,891,'Live Data'!$C$19)="","",INDEX(SPOT_Import!$A$1:$Z$2488,891,'Live Data'!$C$19)),"")</f>
        <v>226</v>
      </c>
      <c r="I891" s="54" t="str">
        <f>IFERROR(IF(INDEX(SPOT_Import!$A$1:$Z$2488,891,'Live Data'!$C$20)="","",INDEX(SPOT_Import!$A$1:$Z$2488,891,'Live Data'!$C$20)),"")</f>
        <v>Complete</v>
      </c>
      <c r="J891" s="54" t="str">
        <f>IFERROR(IF(INDEX(SPOT_Import!$A$1:$Z$2488,891,'Live Data'!$C$21)="","",INDEX(SPOT_Import!$A$1:$Z$2488,891,'Live Data'!$C$21)),"")</f>
        <v>2026-10-06T14:31:28.000Z</v>
      </c>
      <c r="K891" s="54" t="str">
        <f>IFERROR(IF(INDEX(SPOT_Import!$A$1:$Z$2488,891,'Live Data'!$C$22)="","",INDEX(SPOT_Import!$A$1:$Z$2488,891,'Live Data'!$C$22)),"")</f>
        <v>2026-10-06T14:31:28.000Z</v>
      </c>
      <c r="L891" s="55" t="str">
        <f t="shared" si="26"/>
        <v>2026-10</v>
      </c>
      <c r="M891" s="55" t="str">
        <f t="shared" si="27"/>
        <v>MACHAKOS</v>
      </c>
      <c r="N891" s="55" t="str">
        <f>IF(A891="","",IFERROR(INDEX('Cluster Map'!$A$4:$A$38,MATCH(M891,'Cluster Map'!$B$4:$B$38,0)),"Unmapped"))</f>
        <v>Cluster 5</v>
      </c>
      <c r="O891" s="55">
        <f>IF(A891="",0,IF(COUNTIFS($A$2:A891,A891,$F$2:F891,F891,$L$2:L891,L891)=1,1,0))</f>
        <v>1</v>
      </c>
      <c r="P891" s="55">
        <f>IF(A891="",0,IF(AND(F891="C&amp;T",COUNTIFS($A$2:A891,A891,$F$2:F891,"C&amp;T")=1),1,0))</f>
        <v>0</v>
      </c>
    </row>
    <row r="892" spans="1:16" x14ac:dyDescent="0.35">
      <c r="A892" s="54">
        <f>IFERROR(IF(INDEX(SPOT_Import!$A$1:$Z$2488,892,'Live Data'!$C$12)="","",INDEX(SPOT_Import!$A$1:$Z$2488,892,'Live Data'!$C$12)),"")</f>
        <v>16742</v>
      </c>
      <c r="B892" s="54" t="str">
        <f>IFERROR(IF(INDEX(SPOT_Import!$A$1:$Z$2488,892,'Live Data'!$C$13)="","",INDEX(SPOT_Import!$A$1:$Z$2488,892,'Live Data'!$C$13)),"")</f>
        <v>St Mark Medical Clinic - Tala</v>
      </c>
      <c r="C892" s="54" t="str">
        <f>IFERROR(IF(INDEX(SPOT_Import!$A$1:$Z$2488,892,'Live Data'!$C$14)="","",INDEX(SPOT_Import!$A$1:$Z$2488,892,'Live Data'!$C$14)),"")</f>
        <v>MACHAKOS</v>
      </c>
      <c r="D892" s="54" t="str">
        <f>IFERROR(IF(INDEX(SPOT_Import!$A$1:$Z$2488,892,'Live Data'!$C$15)="","",INDEX(SPOT_Import!$A$1:$Z$2488,892,'Live Data'!$C$15)),"")</f>
        <v>Matungulu</v>
      </c>
      <c r="E892" s="54" t="str">
        <f>IFERROR(IF(INDEX(SPOT_Import!$A$1:$Z$2488,892,'Live Data'!$C$16)="","",INDEX(SPOT_Import!$A$1:$Z$2488,892,'Live Data'!$C$16)),"")</f>
        <v>CHAK CHAP STAWISHA</v>
      </c>
      <c r="F892" s="54" t="str">
        <f>IFERROR(IF(INDEX(SPOT_Import!$A$1:$Z$2488,892,'Live Data'!$C$17)="","",INDEX(SPOT_Import!$A$1:$Z$2488,892,'Live Data'!$C$17)),"")</f>
        <v>MNCH</v>
      </c>
      <c r="G892" s="54">
        <f>IFERROR(IF(INDEX(SPOT_Import!$A$1:$Z$2488,892,'Live Data'!$C$18)="","",INDEX(SPOT_Import!$A$1:$Z$2488,892,'Live Data'!$C$18)),"")</f>
        <v>95</v>
      </c>
      <c r="H892" s="54">
        <f>IFERROR(IF(INDEX(SPOT_Import!$A$1:$Z$2488,892,'Live Data'!$C$19)="","",INDEX(SPOT_Import!$A$1:$Z$2488,892,'Live Data'!$C$19)),"")</f>
        <v>95</v>
      </c>
      <c r="I892" s="54" t="str">
        <f>IFERROR(IF(INDEX(SPOT_Import!$A$1:$Z$2488,892,'Live Data'!$C$20)="","",INDEX(SPOT_Import!$A$1:$Z$2488,892,'Live Data'!$C$20)),"")</f>
        <v>Complete</v>
      </c>
      <c r="J892" s="54" t="str">
        <f>IFERROR(IF(INDEX(SPOT_Import!$A$1:$Z$2488,892,'Live Data'!$C$21)="","",INDEX(SPOT_Import!$A$1:$Z$2488,892,'Live Data'!$C$21)),"")</f>
        <v>2026-10-06T14:30:39.000Z</v>
      </c>
      <c r="K892" s="54" t="str">
        <f>IFERROR(IF(INDEX(SPOT_Import!$A$1:$Z$2488,892,'Live Data'!$C$22)="","",INDEX(SPOT_Import!$A$1:$Z$2488,892,'Live Data'!$C$22)),"")</f>
        <v>2026-10-06T14:30:39.000Z</v>
      </c>
      <c r="L892" s="55" t="str">
        <f t="shared" si="26"/>
        <v>2026-10</v>
      </c>
      <c r="M892" s="55" t="str">
        <f t="shared" si="27"/>
        <v>MACHAKOS</v>
      </c>
      <c r="N892" s="55" t="str">
        <f>IF(A892="","",IFERROR(INDEX('Cluster Map'!$A$4:$A$38,MATCH(M892,'Cluster Map'!$B$4:$B$38,0)),"Unmapped"))</f>
        <v>Cluster 5</v>
      </c>
      <c r="O892" s="55">
        <f>IF(A892="",0,IF(COUNTIFS($A$2:A892,A892,$F$2:F892,F892,$L$2:L892,L892)=1,1,0))</f>
        <v>1</v>
      </c>
      <c r="P892" s="55">
        <f>IF(A892="",0,IF(AND(F892="C&amp;T",COUNTIFS($A$2:A892,A892,$F$2:F892,"C&amp;T")=1),1,0))</f>
        <v>0</v>
      </c>
    </row>
    <row r="893" spans="1:16" x14ac:dyDescent="0.35">
      <c r="A893" s="54">
        <f>IFERROR(IF(INDEX(SPOT_Import!$A$1:$Z$2488,893,'Live Data'!$C$12)="","",INDEX(SPOT_Import!$A$1:$Z$2488,893,'Live Data'!$C$12)),"")</f>
        <v>16995</v>
      </c>
      <c r="B893" s="54" t="str">
        <f>IFERROR(IF(INDEX(SPOT_Import!$A$1:$Z$2488,893,'Live Data'!$C$13)="","",INDEX(SPOT_Import!$A$1:$Z$2488,893,'Live Data'!$C$13)),"")</f>
        <v>St Joseph Kavisuni Health Centre</v>
      </c>
      <c r="C893" s="54" t="str">
        <f>IFERROR(IF(INDEX(SPOT_Import!$A$1:$Z$2488,893,'Live Data'!$C$14)="","",INDEX(SPOT_Import!$A$1:$Z$2488,893,'Live Data'!$C$14)),"")</f>
        <v>KITUI</v>
      </c>
      <c r="D893" s="54" t="str">
        <f>IFERROR(IF(INDEX(SPOT_Import!$A$1:$Z$2488,893,'Live Data'!$C$15)="","",INDEX(SPOT_Import!$A$1:$Z$2488,893,'Live Data'!$C$15)),"")</f>
        <v>Kitui Rural</v>
      </c>
      <c r="E893" s="54" t="str">
        <f>IFERROR(IF(INDEX(SPOT_Import!$A$1:$Z$2488,893,'Live Data'!$C$16)="","",INDEX(SPOT_Import!$A$1:$Z$2488,893,'Live Data'!$C$16)),"")</f>
        <v>CHAK CHAP STAWISHA</v>
      </c>
      <c r="F893" s="54" t="str">
        <f>IFERROR(IF(INDEX(SPOT_Import!$A$1:$Z$2488,893,'Live Data'!$C$17)="","",INDEX(SPOT_Import!$A$1:$Z$2488,893,'Live Data'!$C$17)),"")</f>
        <v>HTS</v>
      </c>
      <c r="G893" s="54">
        <f>IFERROR(IF(INDEX(SPOT_Import!$A$1:$Z$2488,893,'Live Data'!$C$18)="","",INDEX(SPOT_Import!$A$1:$Z$2488,893,'Live Data'!$C$18)),"")</f>
        <v>1717</v>
      </c>
      <c r="H893" s="54">
        <f>IFERROR(IF(INDEX(SPOT_Import!$A$1:$Z$2488,893,'Live Data'!$C$19)="","",INDEX(SPOT_Import!$A$1:$Z$2488,893,'Live Data'!$C$19)),"")</f>
        <v>1717</v>
      </c>
      <c r="I893" s="54" t="str">
        <f>IFERROR(IF(INDEX(SPOT_Import!$A$1:$Z$2488,893,'Live Data'!$C$20)="","",INDEX(SPOT_Import!$A$1:$Z$2488,893,'Live Data'!$C$20)),"")</f>
        <v>Complete</v>
      </c>
      <c r="J893" s="54" t="str">
        <f>IFERROR(IF(INDEX(SPOT_Import!$A$1:$Z$2488,893,'Live Data'!$C$21)="","",INDEX(SPOT_Import!$A$1:$Z$2488,893,'Live Data'!$C$21)),"")</f>
        <v>2026-10-06T07:42:55.000Z</v>
      </c>
      <c r="K893" s="54" t="str">
        <f>IFERROR(IF(INDEX(SPOT_Import!$A$1:$Z$2488,893,'Live Data'!$C$22)="","",INDEX(SPOT_Import!$A$1:$Z$2488,893,'Live Data'!$C$22)),"")</f>
        <v>2026-10-06T07:42:55.000Z</v>
      </c>
      <c r="L893" s="55" t="str">
        <f t="shared" si="26"/>
        <v>2026-10</v>
      </c>
      <c r="M893" s="55" t="str">
        <f t="shared" si="27"/>
        <v>KITUI</v>
      </c>
      <c r="N893" s="55" t="str">
        <f>IF(A893="","",IFERROR(INDEX('Cluster Map'!$A$4:$A$38,MATCH(M893,'Cluster Map'!$B$4:$B$38,0)),"Unmapped"))</f>
        <v>Cluster 5</v>
      </c>
      <c r="O893" s="55">
        <f>IF(A893="",0,IF(COUNTIFS($A$2:A893,A893,$F$2:F893,F893,$L$2:L893,L893)=1,1,0))</f>
        <v>1</v>
      </c>
      <c r="P893" s="55">
        <f>IF(A893="",0,IF(AND(F893="C&amp;T",COUNTIFS($A$2:A893,A893,$F$2:F893,"C&amp;T")=1),1,0))</f>
        <v>0</v>
      </c>
    </row>
    <row r="894" spans="1:16" x14ac:dyDescent="0.35">
      <c r="A894" s="54">
        <f>IFERROR(IF(INDEX(SPOT_Import!$A$1:$Z$2488,894,'Live Data'!$C$12)="","",INDEX(SPOT_Import!$A$1:$Z$2488,894,'Live Data'!$C$12)),"")</f>
        <v>16995</v>
      </c>
      <c r="B894" s="54" t="str">
        <f>IFERROR(IF(INDEX(SPOT_Import!$A$1:$Z$2488,894,'Live Data'!$C$13)="","",INDEX(SPOT_Import!$A$1:$Z$2488,894,'Live Data'!$C$13)),"")</f>
        <v>St Joseph Kavisuni Health Centre</v>
      </c>
      <c r="C894" s="54" t="str">
        <f>IFERROR(IF(INDEX(SPOT_Import!$A$1:$Z$2488,894,'Live Data'!$C$14)="","",INDEX(SPOT_Import!$A$1:$Z$2488,894,'Live Data'!$C$14)),"")</f>
        <v>KITUI</v>
      </c>
      <c r="D894" s="54" t="str">
        <f>IFERROR(IF(INDEX(SPOT_Import!$A$1:$Z$2488,894,'Live Data'!$C$15)="","",INDEX(SPOT_Import!$A$1:$Z$2488,894,'Live Data'!$C$15)),"")</f>
        <v>Kitui Rural</v>
      </c>
      <c r="E894" s="54" t="str">
        <f>IFERROR(IF(INDEX(SPOT_Import!$A$1:$Z$2488,894,'Live Data'!$C$16)="","",INDEX(SPOT_Import!$A$1:$Z$2488,894,'Live Data'!$C$16)),"")</f>
        <v>CHAK CHAP STAWISHA</v>
      </c>
      <c r="F894" s="54" t="str">
        <f>IFERROR(IF(INDEX(SPOT_Import!$A$1:$Z$2488,894,'Live Data'!$C$17)="","",INDEX(SPOT_Import!$A$1:$Z$2488,894,'Live Data'!$C$17)),"")</f>
        <v>C&amp;T</v>
      </c>
      <c r="G894" s="54">
        <f>IFERROR(IF(INDEX(SPOT_Import!$A$1:$Z$2488,894,'Live Data'!$C$18)="","",INDEX(SPOT_Import!$A$1:$Z$2488,894,'Live Data'!$C$18)),"")</f>
        <v>270</v>
      </c>
      <c r="H894" s="54">
        <f>IFERROR(IF(INDEX(SPOT_Import!$A$1:$Z$2488,894,'Live Data'!$C$19)="","",INDEX(SPOT_Import!$A$1:$Z$2488,894,'Live Data'!$C$19)),"")</f>
        <v>270</v>
      </c>
      <c r="I894" s="54" t="str">
        <f>IFERROR(IF(INDEX(SPOT_Import!$A$1:$Z$2488,894,'Live Data'!$C$20)="","",INDEX(SPOT_Import!$A$1:$Z$2488,894,'Live Data'!$C$20)),"")</f>
        <v>Complete</v>
      </c>
      <c r="J894" s="54" t="str">
        <f>IFERROR(IF(INDEX(SPOT_Import!$A$1:$Z$2488,894,'Live Data'!$C$21)="","",INDEX(SPOT_Import!$A$1:$Z$2488,894,'Live Data'!$C$21)),"")</f>
        <v>2026-10-06T07:25:37.000Z</v>
      </c>
      <c r="K894" s="54" t="str">
        <f>IFERROR(IF(INDEX(SPOT_Import!$A$1:$Z$2488,894,'Live Data'!$C$22)="","",INDEX(SPOT_Import!$A$1:$Z$2488,894,'Live Data'!$C$22)),"")</f>
        <v>2026-10-06T07:25:37.000Z</v>
      </c>
      <c r="L894" s="55" t="str">
        <f t="shared" si="26"/>
        <v>2026-10</v>
      </c>
      <c r="M894" s="55" t="str">
        <f t="shared" si="27"/>
        <v>KITUI</v>
      </c>
      <c r="N894" s="55" t="str">
        <f>IF(A894="","",IFERROR(INDEX('Cluster Map'!$A$4:$A$38,MATCH(M894,'Cluster Map'!$B$4:$B$38,0)),"Unmapped"))</f>
        <v>Cluster 5</v>
      </c>
      <c r="O894" s="55">
        <f>IF(A894="",0,IF(COUNTIFS($A$2:A894,A894,$F$2:F894,F894,$L$2:L894,L894)=1,1,0))</f>
        <v>1</v>
      </c>
      <c r="P894" s="55">
        <f>IF(A894="",0,IF(AND(F894="C&amp;T",COUNTIFS($A$2:A894,A894,$F$2:F894,"C&amp;T")=1),1,0))</f>
        <v>1</v>
      </c>
    </row>
    <row r="895" spans="1:16" x14ac:dyDescent="0.35">
      <c r="A895" s="54">
        <f>IFERROR(IF(INDEX(SPOT_Import!$A$1:$Z$2488,895,'Live Data'!$C$12)="","",INDEX(SPOT_Import!$A$1:$Z$2488,895,'Live Data'!$C$12)),"")</f>
        <v>12213</v>
      </c>
      <c r="B895" s="54" t="str">
        <f>IFERROR(IF(INDEX(SPOT_Import!$A$1:$Z$2488,895,'Live Data'!$C$13)="","",INDEX(SPOT_Import!$A$1:$Z$2488,895,'Live Data'!$C$13)),"")</f>
        <v>Katakani Dispensary</v>
      </c>
      <c r="C895" s="54" t="str">
        <f>IFERROR(IF(INDEX(SPOT_Import!$A$1:$Z$2488,895,'Live Data'!$C$14)="","",INDEX(SPOT_Import!$A$1:$Z$2488,895,'Live Data'!$C$14)),"")</f>
        <v>KITUI</v>
      </c>
      <c r="D895" s="54" t="str">
        <f>IFERROR(IF(INDEX(SPOT_Import!$A$1:$Z$2488,895,'Live Data'!$C$15)="","",INDEX(SPOT_Import!$A$1:$Z$2488,895,'Live Data'!$C$15)),"")</f>
        <v>Mwingi North</v>
      </c>
      <c r="E895" s="54" t="str">
        <f>IFERROR(IF(INDEX(SPOT_Import!$A$1:$Z$2488,895,'Live Data'!$C$16)="","",INDEX(SPOT_Import!$A$1:$Z$2488,895,'Live Data'!$C$16)),"")</f>
        <v>CHAK CHAP STAWISHA</v>
      </c>
      <c r="F895" s="54" t="str">
        <f>IFERROR(IF(INDEX(SPOT_Import!$A$1:$Z$2488,895,'Live Data'!$C$17)="","",INDEX(SPOT_Import!$A$1:$Z$2488,895,'Live Data'!$C$17)),"")</f>
        <v>HTS</v>
      </c>
      <c r="G895" s="54">
        <f>IFERROR(IF(INDEX(SPOT_Import!$A$1:$Z$2488,895,'Live Data'!$C$18)="","",INDEX(SPOT_Import!$A$1:$Z$2488,895,'Live Data'!$C$18)),"")</f>
        <v>1030</v>
      </c>
      <c r="H895" s="54">
        <f>IFERROR(IF(INDEX(SPOT_Import!$A$1:$Z$2488,895,'Live Data'!$C$19)="","",INDEX(SPOT_Import!$A$1:$Z$2488,895,'Live Data'!$C$19)),"")</f>
        <v>1030</v>
      </c>
      <c r="I895" s="54" t="str">
        <f>IFERROR(IF(INDEX(SPOT_Import!$A$1:$Z$2488,895,'Live Data'!$C$20)="","",INDEX(SPOT_Import!$A$1:$Z$2488,895,'Live Data'!$C$20)),"")</f>
        <v>Complete</v>
      </c>
      <c r="J895" s="54" t="str">
        <f>IFERROR(IF(INDEX(SPOT_Import!$A$1:$Z$2488,895,'Live Data'!$C$21)="","",INDEX(SPOT_Import!$A$1:$Z$2488,895,'Live Data'!$C$21)),"")</f>
        <v>2026-10-06T06:32:55.000Z</v>
      </c>
      <c r="K895" s="54" t="str">
        <f>IFERROR(IF(INDEX(SPOT_Import!$A$1:$Z$2488,895,'Live Data'!$C$22)="","",INDEX(SPOT_Import!$A$1:$Z$2488,895,'Live Data'!$C$22)),"")</f>
        <v>2026-10-06T06:32:55.000Z</v>
      </c>
      <c r="L895" s="55" t="str">
        <f t="shared" si="26"/>
        <v>2026-10</v>
      </c>
      <c r="M895" s="55" t="str">
        <f t="shared" si="27"/>
        <v>KITUI</v>
      </c>
      <c r="N895" s="55" t="str">
        <f>IF(A895="","",IFERROR(INDEX('Cluster Map'!$A$4:$A$38,MATCH(M895,'Cluster Map'!$B$4:$B$38,0)),"Unmapped"))</f>
        <v>Cluster 5</v>
      </c>
      <c r="O895" s="55">
        <f>IF(A895="",0,IF(COUNTIFS($A$2:A895,A895,$F$2:F895,F895,$L$2:L895,L895)=1,1,0))</f>
        <v>1</v>
      </c>
      <c r="P895" s="55">
        <f>IF(A895="",0,IF(AND(F895="C&amp;T",COUNTIFS($A$2:A895,A895,$F$2:F895,"C&amp;T")=1),1,0))</f>
        <v>0</v>
      </c>
    </row>
    <row r="896" spans="1:16" x14ac:dyDescent="0.35">
      <c r="A896" s="54">
        <f>IFERROR(IF(INDEX(SPOT_Import!$A$1:$Z$2488,896,'Live Data'!$C$12)="","",INDEX(SPOT_Import!$A$1:$Z$2488,896,'Live Data'!$C$12)),"")</f>
        <v>12213</v>
      </c>
      <c r="B896" s="54" t="str">
        <f>IFERROR(IF(INDEX(SPOT_Import!$A$1:$Z$2488,896,'Live Data'!$C$13)="","",INDEX(SPOT_Import!$A$1:$Z$2488,896,'Live Data'!$C$13)),"")</f>
        <v>Katakani Dispensary</v>
      </c>
      <c r="C896" s="54" t="str">
        <f>IFERROR(IF(INDEX(SPOT_Import!$A$1:$Z$2488,896,'Live Data'!$C$14)="","",INDEX(SPOT_Import!$A$1:$Z$2488,896,'Live Data'!$C$14)),"")</f>
        <v>KITUI</v>
      </c>
      <c r="D896" s="54" t="str">
        <f>IFERROR(IF(INDEX(SPOT_Import!$A$1:$Z$2488,896,'Live Data'!$C$15)="","",INDEX(SPOT_Import!$A$1:$Z$2488,896,'Live Data'!$C$15)),"")</f>
        <v>Mwingi North</v>
      </c>
      <c r="E896" s="54" t="str">
        <f>IFERROR(IF(INDEX(SPOT_Import!$A$1:$Z$2488,896,'Live Data'!$C$16)="","",INDEX(SPOT_Import!$A$1:$Z$2488,896,'Live Data'!$C$16)),"")</f>
        <v>CHAK CHAP STAWISHA</v>
      </c>
      <c r="F896" s="54" t="str">
        <f>IFERROR(IF(INDEX(SPOT_Import!$A$1:$Z$2488,896,'Live Data'!$C$17)="","",INDEX(SPOT_Import!$A$1:$Z$2488,896,'Live Data'!$C$17)),"")</f>
        <v>PREP</v>
      </c>
      <c r="G896" s="54">
        <f>IFERROR(IF(INDEX(SPOT_Import!$A$1:$Z$2488,896,'Live Data'!$C$18)="","",INDEX(SPOT_Import!$A$1:$Z$2488,896,'Live Data'!$C$18)),"")</f>
        <v>95</v>
      </c>
      <c r="H896" s="54">
        <f>IFERROR(IF(INDEX(SPOT_Import!$A$1:$Z$2488,896,'Live Data'!$C$19)="","",INDEX(SPOT_Import!$A$1:$Z$2488,896,'Live Data'!$C$19)),"")</f>
        <v>95</v>
      </c>
      <c r="I896" s="54" t="str">
        <f>IFERROR(IF(INDEX(SPOT_Import!$A$1:$Z$2488,896,'Live Data'!$C$20)="","",INDEX(SPOT_Import!$A$1:$Z$2488,896,'Live Data'!$C$20)),"")</f>
        <v>Complete</v>
      </c>
      <c r="J896" s="54" t="str">
        <f>IFERROR(IF(INDEX(SPOT_Import!$A$1:$Z$2488,896,'Live Data'!$C$21)="","",INDEX(SPOT_Import!$A$1:$Z$2488,896,'Live Data'!$C$21)),"")</f>
        <v>2026-10-06T06:30:45.000Z</v>
      </c>
      <c r="K896" s="54" t="str">
        <f>IFERROR(IF(INDEX(SPOT_Import!$A$1:$Z$2488,896,'Live Data'!$C$22)="","",INDEX(SPOT_Import!$A$1:$Z$2488,896,'Live Data'!$C$22)),"")</f>
        <v>2026-10-06T06:30:45.000Z</v>
      </c>
      <c r="L896" s="55" t="str">
        <f t="shared" si="26"/>
        <v>2026-10</v>
      </c>
      <c r="M896" s="55" t="str">
        <f t="shared" si="27"/>
        <v>KITUI</v>
      </c>
      <c r="N896" s="55" t="str">
        <f>IF(A896="","",IFERROR(INDEX('Cluster Map'!$A$4:$A$38,MATCH(M896,'Cluster Map'!$B$4:$B$38,0)),"Unmapped"))</f>
        <v>Cluster 5</v>
      </c>
      <c r="O896" s="55">
        <f>IF(A896="",0,IF(COUNTIFS($A$2:A896,A896,$F$2:F896,F896,$L$2:L896,L896)=1,1,0))</f>
        <v>1</v>
      </c>
      <c r="P896" s="55">
        <f>IF(A896="",0,IF(AND(F896="C&amp;T",COUNTIFS($A$2:A896,A896,$F$2:F896,"C&amp;T")=1),1,0))</f>
        <v>0</v>
      </c>
    </row>
    <row r="897" spans="1:16" x14ac:dyDescent="0.35">
      <c r="A897" s="54">
        <f>IFERROR(IF(INDEX(SPOT_Import!$A$1:$Z$2488,897,'Live Data'!$C$12)="","",INDEX(SPOT_Import!$A$1:$Z$2488,897,'Live Data'!$C$12)),"")</f>
        <v>12213</v>
      </c>
      <c r="B897" s="54" t="str">
        <f>IFERROR(IF(INDEX(SPOT_Import!$A$1:$Z$2488,897,'Live Data'!$C$13)="","",INDEX(SPOT_Import!$A$1:$Z$2488,897,'Live Data'!$C$13)),"")</f>
        <v>Katakani Dispensary</v>
      </c>
      <c r="C897" s="54" t="str">
        <f>IFERROR(IF(INDEX(SPOT_Import!$A$1:$Z$2488,897,'Live Data'!$C$14)="","",INDEX(SPOT_Import!$A$1:$Z$2488,897,'Live Data'!$C$14)),"")</f>
        <v>KITUI</v>
      </c>
      <c r="D897" s="54" t="str">
        <f>IFERROR(IF(INDEX(SPOT_Import!$A$1:$Z$2488,897,'Live Data'!$C$15)="","",INDEX(SPOT_Import!$A$1:$Z$2488,897,'Live Data'!$C$15)),"")</f>
        <v>Mwingi North</v>
      </c>
      <c r="E897" s="54" t="str">
        <f>IFERROR(IF(INDEX(SPOT_Import!$A$1:$Z$2488,897,'Live Data'!$C$16)="","",INDEX(SPOT_Import!$A$1:$Z$2488,897,'Live Data'!$C$16)),"")</f>
        <v>CHAK CHAP STAWISHA</v>
      </c>
      <c r="F897" s="54" t="str">
        <f>IFERROR(IF(INDEX(SPOT_Import!$A$1:$Z$2488,897,'Live Data'!$C$17)="","",INDEX(SPOT_Import!$A$1:$Z$2488,897,'Live Data'!$C$17)),"")</f>
        <v>C&amp;T</v>
      </c>
      <c r="G897" s="54">
        <f>IFERROR(IF(INDEX(SPOT_Import!$A$1:$Z$2488,897,'Live Data'!$C$18)="","",INDEX(SPOT_Import!$A$1:$Z$2488,897,'Live Data'!$C$18)),"")</f>
        <v>147</v>
      </c>
      <c r="H897" s="54">
        <f>IFERROR(IF(INDEX(SPOT_Import!$A$1:$Z$2488,897,'Live Data'!$C$19)="","",INDEX(SPOT_Import!$A$1:$Z$2488,897,'Live Data'!$C$19)),"")</f>
        <v>147</v>
      </c>
      <c r="I897" s="54" t="str">
        <f>IFERROR(IF(INDEX(SPOT_Import!$A$1:$Z$2488,897,'Live Data'!$C$20)="","",INDEX(SPOT_Import!$A$1:$Z$2488,897,'Live Data'!$C$20)),"")</f>
        <v>Complete</v>
      </c>
      <c r="J897" s="54" t="str">
        <f>IFERROR(IF(INDEX(SPOT_Import!$A$1:$Z$2488,897,'Live Data'!$C$21)="","",INDEX(SPOT_Import!$A$1:$Z$2488,897,'Live Data'!$C$21)),"")</f>
        <v>2026-10-06T06:22:51.000Z</v>
      </c>
      <c r="K897" s="54" t="str">
        <f>IFERROR(IF(INDEX(SPOT_Import!$A$1:$Z$2488,897,'Live Data'!$C$22)="","",INDEX(SPOT_Import!$A$1:$Z$2488,897,'Live Data'!$C$22)),"")</f>
        <v>2026-10-06T06:22:51.000Z</v>
      </c>
      <c r="L897" s="55" t="str">
        <f t="shared" si="26"/>
        <v>2026-10</v>
      </c>
      <c r="M897" s="55" t="str">
        <f t="shared" si="27"/>
        <v>KITUI</v>
      </c>
      <c r="N897" s="55" t="str">
        <f>IF(A897="","",IFERROR(INDEX('Cluster Map'!$A$4:$A$38,MATCH(M897,'Cluster Map'!$B$4:$B$38,0)),"Unmapped"))</f>
        <v>Cluster 5</v>
      </c>
      <c r="O897" s="55">
        <f>IF(A897="",0,IF(COUNTIFS($A$2:A897,A897,$F$2:F897,F897,$L$2:L897,L897)=1,1,0))</f>
        <v>1</v>
      </c>
      <c r="P897" s="55">
        <f>IF(A897="",0,IF(AND(F897="C&amp;T",COUNTIFS($A$2:A897,A897,$F$2:F897,"C&amp;T")=1),1,0))</f>
        <v>1</v>
      </c>
    </row>
    <row r="898" spans="1:16" x14ac:dyDescent="0.35">
      <c r="A898" s="54">
        <f>IFERROR(IF(INDEX(SPOT_Import!$A$1:$Z$2488,898,'Live Data'!$C$12)="","",INDEX(SPOT_Import!$A$1:$Z$2488,898,'Live Data'!$C$12)),"")</f>
        <v>11962</v>
      </c>
      <c r="B898" s="54" t="str">
        <f>IFERROR(IF(INDEX(SPOT_Import!$A$1:$Z$2488,898,'Live Data'!$C$13)="","",INDEX(SPOT_Import!$A$1:$Z$2488,898,'Live Data'!$C$13)),"")</f>
        <v>Kambu Catholic Dispensary</v>
      </c>
      <c r="C898" s="54" t="str">
        <f>IFERROR(IF(INDEX(SPOT_Import!$A$1:$Z$2488,898,'Live Data'!$C$14)="","",INDEX(SPOT_Import!$A$1:$Z$2488,898,'Live Data'!$C$14)),"")</f>
        <v>MAKUENI</v>
      </c>
      <c r="D898" s="54" t="str">
        <f>IFERROR(IF(INDEX(SPOT_Import!$A$1:$Z$2488,898,'Live Data'!$C$15)="","",INDEX(SPOT_Import!$A$1:$Z$2488,898,'Live Data'!$C$15)),"")</f>
        <v>Kibwezi East</v>
      </c>
      <c r="E898" s="54" t="str">
        <f>IFERROR(IF(INDEX(SPOT_Import!$A$1:$Z$2488,898,'Live Data'!$C$16)="","",INDEX(SPOT_Import!$A$1:$Z$2488,898,'Live Data'!$C$16)),"")</f>
        <v>CHAK CHAP STAWISHA</v>
      </c>
      <c r="F898" s="54" t="str">
        <f>IFERROR(IF(INDEX(SPOT_Import!$A$1:$Z$2488,898,'Live Data'!$C$17)="","",INDEX(SPOT_Import!$A$1:$Z$2488,898,'Live Data'!$C$17)),"")</f>
        <v>HTS</v>
      </c>
      <c r="G898" s="54">
        <f>IFERROR(IF(INDEX(SPOT_Import!$A$1:$Z$2488,898,'Live Data'!$C$18)="","",INDEX(SPOT_Import!$A$1:$Z$2488,898,'Live Data'!$C$18)),"")</f>
        <v>3287</v>
      </c>
      <c r="H898" s="54">
        <f>IFERROR(IF(INDEX(SPOT_Import!$A$1:$Z$2488,898,'Live Data'!$C$19)="","",INDEX(SPOT_Import!$A$1:$Z$2488,898,'Live Data'!$C$19)),"")</f>
        <v>3287</v>
      </c>
      <c r="I898" s="54" t="str">
        <f>IFERROR(IF(INDEX(SPOT_Import!$A$1:$Z$2488,898,'Live Data'!$C$20)="","",INDEX(SPOT_Import!$A$1:$Z$2488,898,'Live Data'!$C$20)),"")</f>
        <v>Complete</v>
      </c>
      <c r="J898" s="54" t="str">
        <f>IFERROR(IF(INDEX(SPOT_Import!$A$1:$Z$2488,898,'Live Data'!$C$21)="","",INDEX(SPOT_Import!$A$1:$Z$2488,898,'Live Data'!$C$21)),"")</f>
        <v>2026-10-06T04:59:51.000Z</v>
      </c>
      <c r="K898" s="54" t="str">
        <f>IFERROR(IF(INDEX(SPOT_Import!$A$1:$Z$2488,898,'Live Data'!$C$22)="","",INDEX(SPOT_Import!$A$1:$Z$2488,898,'Live Data'!$C$22)),"")</f>
        <v>2026-10-06T04:59:51.000Z</v>
      </c>
      <c r="L898" s="55" t="str">
        <f t="shared" ref="L898:L961" si="28">IF(A898="","",IF(ISNUMBER(K898),TEXT(K898,"yyyy-mm"),LEFT(K898,7)))</f>
        <v>2026-10</v>
      </c>
      <c r="M898" s="55" t="str">
        <f t="shared" ref="M898:M961" si="29">IF(A898="","",UPPER(TRIM(SUBSTITUTE(C898," - ","-"))))</f>
        <v>MAKUENI</v>
      </c>
      <c r="N898" s="55" t="str">
        <f>IF(A898="","",IFERROR(INDEX('Cluster Map'!$A$4:$A$38,MATCH(M898,'Cluster Map'!$B$4:$B$38,0)),"Unmapped"))</f>
        <v>Cluster 5</v>
      </c>
      <c r="O898" s="55">
        <f>IF(A898="",0,IF(COUNTIFS($A$2:A898,A898,$F$2:F898,F898,$L$2:L898,L898)=1,1,0))</f>
        <v>1</v>
      </c>
      <c r="P898" s="55">
        <f>IF(A898="",0,IF(AND(F898="C&amp;T",COUNTIFS($A$2:A898,A898,$F$2:F898,"C&amp;T")=1),1,0))</f>
        <v>0</v>
      </c>
    </row>
    <row r="899" spans="1:16" x14ac:dyDescent="0.35">
      <c r="A899" s="54">
        <f>IFERROR(IF(INDEX(SPOT_Import!$A$1:$Z$2488,899,'Live Data'!$C$12)="","",INDEX(SPOT_Import!$A$1:$Z$2488,899,'Live Data'!$C$12)),"")</f>
        <v>11962</v>
      </c>
      <c r="B899" s="54" t="str">
        <f>IFERROR(IF(INDEX(SPOT_Import!$A$1:$Z$2488,899,'Live Data'!$C$13)="","",INDEX(SPOT_Import!$A$1:$Z$2488,899,'Live Data'!$C$13)),"")</f>
        <v>Kambu Catholic Dispensary</v>
      </c>
      <c r="C899" s="54" t="str">
        <f>IFERROR(IF(INDEX(SPOT_Import!$A$1:$Z$2488,899,'Live Data'!$C$14)="","",INDEX(SPOT_Import!$A$1:$Z$2488,899,'Live Data'!$C$14)),"")</f>
        <v>MAKUENI</v>
      </c>
      <c r="D899" s="54" t="str">
        <f>IFERROR(IF(INDEX(SPOT_Import!$A$1:$Z$2488,899,'Live Data'!$C$15)="","",INDEX(SPOT_Import!$A$1:$Z$2488,899,'Live Data'!$C$15)),"")</f>
        <v>Kibwezi East</v>
      </c>
      <c r="E899" s="54" t="str">
        <f>IFERROR(IF(INDEX(SPOT_Import!$A$1:$Z$2488,899,'Live Data'!$C$16)="","",INDEX(SPOT_Import!$A$1:$Z$2488,899,'Live Data'!$C$16)),"")</f>
        <v>CHAK CHAP STAWISHA</v>
      </c>
      <c r="F899" s="54" t="str">
        <f>IFERROR(IF(INDEX(SPOT_Import!$A$1:$Z$2488,899,'Live Data'!$C$17)="","",INDEX(SPOT_Import!$A$1:$Z$2488,899,'Live Data'!$C$17)),"")</f>
        <v>PREP</v>
      </c>
      <c r="G899" s="54">
        <f>IFERROR(IF(INDEX(SPOT_Import!$A$1:$Z$2488,899,'Live Data'!$C$18)="","",INDEX(SPOT_Import!$A$1:$Z$2488,899,'Live Data'!$C$18)),"")</f>
        <v>695</v>
      </c>
      <c r="H899" s="54">
        <f>IFERROR(IF(INDEX(SPOT_Import!$A$1:$Z$2488,899,'Live Data'!$C$19)="","",INDEX(SPOT_Import!$A$1:$Z$2488,899,'Live Data'!$C$19)),"")</f>
        <v>695</v>
      </c>
      <c r="I899" s="54" t="str">
        <f>IFERROR(IF(INDEX(SPOT_Import!$A$1:$Z$2488,899,'Live Data'!$C$20)="","",INDEX(SPOT_Import!$A$1:$Z$2488,899,'Live Data'!$C$20)),"")</f>
        <v>Complete</v>
      </c>
      <c r="J899" s="54" t="str">
        <f>IFERROR(IF(INDEX(SPOT_Import!$A$1:$Z$2488,899,'Live Data'!$C$21)="","",INDEX(SPOT_Import!$A$1:$Z$2488,899,'Live Data'!$C$21)),"")</f>
        <v>2026-10-06T04:57:15.000Z</v>
      </c>
      <c r="K899" s="54" t="str">
        <f>IFERROR(IF(INDEX(SPOT_Import!$A$1:$Z$2488,899,'Live Data'!$C$22)="","",INDEX(SPOT_Import!$A$1:$Z$2488,899,'Live Data'!$C$22)),"")</f>
        <v>2026-10-06T04:57:15.000Z</v>
      </c>
      <c r="L899" s="55" t="str">
        <f t="shared" si="28"/>
        <v>2026-10</v>
      </c>
      <c r="M899" s="55" t="str">
        <f t="shared" si="29"/>
        <v>MAKUENI</v>
      </c>
      <c r="N899" s="55" t="str">
        <f>IF(A899="","",IFERROR(INDEX('Cluster Map'!$A$4:$A$38,MATCH(M899,'Cluster Map'!$B$4:$B$38,0)),"Unmapped"))</f>
        <v>Cluster 5</v>
      </c>
      <c r="O899" s="55">
        <f>IF(A899="",0,IF(COUNTIFS($A$2:A899,A899,$F$2:F899,F899,$L$2:L899,L899)=1,1,0))</f>
        <v>1</v>
      </c>
      <c r="P899" s="55">
        <f>IF(A899="",0,IF(AND(F899="C&amp;T",COUNTIFS($A$2:A899,A899,$F$2:F899,"C&amp;T")=1),1,0))</f>
        <v>0</v>
      </c>
    </row>
    <row r="900" spans="1:16" x14ac:dyDescent="0.35">
      <c r="A900" s="54">
        <f>IFERROR(IF(INDEX(SPOT_Import!$A$1:$Z$2488,900,'Live Data'!$C$12)="","",INDEX(SPOT_Import!$A$1:$Z$2488,900,'Live Data'!$C$12)),"")</f>
        <v>11962</v>
      </c>
      <c r="B900" s="54" t="str">
        <f>IFERROR(IF(INDEX(SPOT_Import!$A$1:$Z$2488,900,'Live Data'!$C$13)="","",INDEX(SPOT_Import!$A$1:$Z$2488,900,'Live Data'!$C$13)),"")</f>
        <v>Kambu Catholic Dispensary</v>
      </c>
      <c r="C900" s="54" t="str">
        <f>IFERROR(IF(INDEX(SPOT_Import!$A$1:$Z$2488,900,'Live Data'!$C$14)="","",INDEX(SPOT_Import!$A$1:$Z$2488,900,'Live Data'!$C$14)),"")</f>
        <v>MAKUENI</v>
      </c>
      <c r="D900" s="54" t="str">
        <f>IFERROR(IF(INDEX(SPOT_Import!$A$1:$Z$2488,900,'Live Data'!$C$15)="","",INDEX(SPOT_Import!$A$1:$Z$2488,900,'Live Data'!$C$15)),"")</f>
        <v>Kibwezi East</v>
      </c>
      <c r="E900" s="54" t="str">
        <f>IFERROR(IF(INDEX(SPOT_Import!$A$1:$Z$2488,900,'Live Data'!$C$16)="","",INDEX(SPOT_Import!$A$1:$Z$2488,900,'Live Data'!$C$16)),"")</f>
        <v>CHAK CHAP STAWISHA</v>
      </c>
      <c r="F900" s="54" t="str">
        <f>IFERROR(IF(INDEX(SPOT_Import!$A$1:$Z$2488,900,'Live Data'!$C$17)="","",INDEX(SPOT_Import!$A$1:$Z$2488,900,'Live Data'!$C$17)),"")</f>
        <v>MNCH</v>
      </c>
      <c r="G900" s="54">
        <f>IFERROR(IF(INDEX(SPOT_Import!$A$1:$Z$2488,900,'Live Data'!$C$18)="","",INDEX(SPOT_Import!$A$1:$Z$2488,900,'Live Data'!$C$18)),"")</f>
        <v>436</v>
      </c>
      <c r="H900" s="54">
        <f>IFERROR(IF(INDEX(SPOT_Import!$A$1:$Z$2488,900,'Live Data'!$C$19)="","",INDEX(SPOT_Import!$A$1:$Z$2488,900,'Live Data'!$C$19)),"")</f>
        <v>436</v>
      </c>
      <c r="I900" s="54" t="str">
        <f>IFERROR(IF(INDEX(SPOT_Import!$A$1:$Z$2488,900,'Live Data'!$C$20)="","",INDEX(SPOT_Import!$A$1:$Z$2488,900,'Live Data'!$C$20)),"")</f>
        <v>Complete</v>
      </c>
      <c r="J900" s="54" t="str">
        <f>IFERROR(IF(INDEX(SPOT_Import!$A$1:$Z$2488,900,'Live Data'!$C$21)="","",INDEX(SPOT_Import!$A$1:$Z$2488,900,'Live Data'!$C$21)),"")</f>
        <v>2026-10-06T04:56:02.000Z</v>
      </c>
      <c r="K900" s="54" t="str">
        <f>IFERROR(IF(INDEX(SPOT_Import!$A$1:$Z$2488,900,'Live Data'!$C$22)="","",INDEX(SPOT_Import!$A$1:$Z$2488,900,'Live Data'!$C$22)),"")</f>
        <v>2026-10-06T04:56:02.000Z</v>
      </c>
      <c r="L900" s="55" t="str">
        <f t="shared" si="28"/>
        <v>2026-10</v>
      </c>
      <c r="M900" s="55" t="str">
        <f t="shared" si="29"/>
        <v>MAKUENI</v>
      </c>
      <c r="N900" s="55" t="str">
        <f>IF(A900="","",IFERROR(INDEX('Cluster Map'!$A$4:$A$38,MATCH(M900,'Cluster Map'!$B$4:$B$38,0)),"Unmapped"))</f>
        <v>Cluster 5</v>
      </c>
      <c r="O900" s="55">
        <f>IF(A900="",0,IF(COUNTIFS($A$2:A900,A900,$F$2:F900,F900,$L$2:L900,L900)=1,1,0))</f>
        <v>1</v>
      </c>
      <c r="P900" s="55">
        <f>IF(A900="",0,IF(AND(F900="C&amp;T",COUNTIFS($A$2:A900,A900,$F$2:F900,"C&amp;T")=1),1,0))</f>
        <v>0</v>
      </c>
    </row>
    <row r="901" spans="1:16" x14ac:dyDescent="0.35">
      <c r="A901" s="54">
        <f>IFERROR(IF(INDEX(SPOT_Import!$A$1:$Z$2488,901,'Live Data'!$C$12)="","",INDEX(SPOT_Import!$A$1:$Z$2488,901,'Live Data'!$C$12)),"")</f>
        <v>11962</v>
      </c>
      <c r="B901" s="54" t="str">
        <f>IFERROR(IF(INDEX(SPOT_Import!$A$1:$Z$2488,901,'Live Data'!$C$13)="","",INDEX(SPOT_Import!$A$1:$Z$2488,901,'Live Data'!$C$13)),"")</f>
        <v>Kambu Catholic Dispensary</v>
      </c>
      <c r="C901" s="54" t="str">
        <f>IFERROR(IF(INDEX(SPOT_Import!$A$1:$Z$2488,901,'Live Data'!$C$14)="","",INDEX(SPOT_Import!$A$1:$Z$2488,901,'Live Data'!$C$14)),"")</f>
        <v>MAKUENI</v>
      </c>
      <c r="D901" s="54" t="str">
        <f>IFERROR(IF(INDEX(SPOT_Import!$A$1:$Z$2488,901,'Live Data'!$C$15)="","",INDEX(SPOT_Import!$A$1:$Z$2488,901,'Live Data'!$C$15)),"")</f>
        <v>Kibwezi East</v>
      </c>
      <c r="E901" s="54" t="str">
        <f>IFERROR(IF(INDEX(SPOT_Import!$A$1:$Z$2488,901,'Live Data'!$C$16)="","",INDEX(SPOT_Import!$A$1:$Z$2488,901,'Live Data'!$C$16)),"")</f>
        <v>CHAK CHAP STAWISHA</v>
      </c>
      <c r="F901" s="54" t="str">
        <f>IFERROR(IF(INDEX(SPOT_Import!$A$1:$Z$2488,901,'Live Data'!$C$17)="","",INDEX(SPOT_Import!$A$1:$Z$2488,901,'Live Data'!$C$17)),"")</f>
        <v>C&amp;T</v>
      </c>
      <c r="G901" s="54">
        <f>IFERROR(IF(INDEX(SPOT_Import!$A$1:$Z$2488,901,'Live Data'!$C$18)="","",INDEX(SPOT_Import!$A$1:$Z$2488,901,'Live Data'!$C$18)),"")</f>
        <v>746</v>
      </c>
      <c r="H901" s="54">
        <f>IFERROR(IF(INDEX(SPOT_Import!$A$1:$Z$2488,901,'Live Data'!$C$19)="","",INDEX(SPOT_Import!$A$1:$Z$2488,901,'Live Data'!$C$19)),"")</f>
        <v>746</v>
      </c>
      <c r="I901" s="54" t="str">
        <f>IFERROR(IF(INDEX(SPOT_Import!$A$1:$Z$2488,901,'Live Data'!$C$20)="","",INDEX(SPOT_Import!$A$1:$Z$2488,901,'Live Data'!$C$20)),"")</f>
        <v>Complete</v>
      </c>
      <c r="J901" s="54" t="str">
        <f>IFERROR(IF(INDEX(SPOT_Import!$A$1:$Z$2488,901,'Live Data'!$C$21)="","",INDEX(SPOT_Import!$A$1:$Z$2488,901,'Live Data'!$C$21)),"")</f>
        <v>2026-10-06T04:44:29.000Z</v>
      </c>
      <c r="K901" s="54" t="str">
        <f>IFERROR(IF(INDEX(SPOT_Import!$A$1:$Z$2488,901,'Live Data'!$C$22)="","",INDEX(SPOT_Import!$A$1:$Z$2488,901,'Live Data'!$C$22)),"")</f>
        <v>2026-10-06T04:44:29.000Z</v>
      </c>
      <c r="L901" s="55" t="str">
        <f t="shared" si="28"/>
        <v>2026-10</v>
      </c>
      <c r="M901" s="55" t="str">
        <f t="shared" si="29"/>
        <v>MAKUENI</v>
      </c>
      <c r="N901" s="55" t="str">
        <f>IF(A901="","",IFERROR(INDEX('Cluster Map'!$A$4:$A$38,MATCH(M901,'Cluster Map'!$B$4:$B$38,0)),"Unmapped"))</f>
        <v>Cluster 5</v>
      </c>
      <c r="O901" s="55">
        <f>IF(A901="",0,IF(COUNTIFS($A$2:A901,A901,$F$2:F901,F901,$L$2:L901,L901)=1,1,0))</f>
        <v>1</v>
      </c>
      <c r="P901" s="55">
        <f>IF(A901="",0,IF(AND(F901="C&amp;T",COUNTIFS($A$2:A901,A901,$F$2:F901,"C&amp;T")=1),1,0))</f>
        <v>1</v>
      </c>
    </row>
    <row r="902" spans="1:16" x14ac:dyDescent="0.35">
      <c r="A902" s="54">
        <f>IFERROR(IF(INDEX(SPOT_Import!$A$1:$Z$2488,902,'Live Data'!$C$12)="","",INDEX(SPOT_Import!$A$1:$Z$2488,902,'Live Data'!$C$12)),"")</f>
        <v>12599</v>
      </c>
      <c r="B902" s="54" t="str">
        <f>IFERROR(IF(INDEX(SPOT_Import!$A$1:$Z$2488,902,'Live Data'!$C$13)="","",INDEX(SPOT_Import!$A$1:$Z$2488,902,'Live Data'!$C$13)),"")</f>
        <v>Mutito Catholic Dispensary</v>
      </c>
      <c r="C902" s="54" t="str">
        <f>IFERROR(IF(INDEX(SPOT_Import!$A$1:$Z$2488,902,'Live Data'!$C$14)="","",INDEX(SPOT_Import!$A$1:$Z$2488,902,'Live Data'!$C$14)),"")</f>
        <v>KITUI</v>
      </c>
      <c r="D902" s="54" t="str">
        <f>IFERROR(IF(INDEX(SPOT_Import!$A$1:$Z$2488,902,'Live Data'!$C$15)="","",INDEX(SPOT_Import!$A$1:$Z$2488,902,'Live Data'!$C$15)),"")</f>
        <v>Kitui East</v>
      </c>
      <c r="E902" s="54" t="str">
        <f>IFERROR(IF(INDEX(SPOT_Import!$A$1:$Z$2488,902,'Live Data'!$C$16)="","",INDEX(SPOT_Import!$A$1:$Z$2488,902,'Live Data'!$C$16)),"")</f>
        <v>CHAK CHAP STAWISHA</v>
      </c>
      <c r="F902" s="54" t="str">
        <f>IFERROR(IF(INDEX(SPOT_Import!$A$1:$Z$2488,902,'Live Data'!$C$17)="","",INDEX(SPOT_Import!$A$1:$Z$2488,902,'Live Data'!$C$17)),"")</f>
        <v>HTS</v>
      </c>
      <c r="G902" s="54">
        <f>IFERROR(IF(INDEX(SPOT_Import!$A$1:$Z$2488,902,'Live Data'!$C$18)="","",INDEX(SPOT_Import!$A$1:$Z$2488,902,'Live Data'!$C$18)),"")</f>
        <v>2884</v>
      </c>
      <c r="H902" s="54">
        <f>IFERROR(IF(INDEX(SPOT_Import!$A$1:$Z$2488,902,'Live Data'!$C$19)="","",INDEX(SPOT_Import!$A$1:$Z$2488,902,'Live Data'!$C$19)),"")</f>
        <v>2884</v>
      </c>
      <c r="I902" s="54" t="str">
        <f>IFERROR(IF(INDEX(SPOT_Import!$A$1:$Z$2488,902,'Live Data'!$C$20)="","",INDEX(SPOT_Import!$A$1:$Z$2488,902,'Live Data'!$C$20)),"")</f>
        <v>Complete</v>
      </c>
      <c r="J902" s="54" t="str">
        <f>IFERROR(IF(INDEX(SPOT_Import!$A$1:$Z$2488,902,'Live Data'!$C$21)="","",INDEX(SPOT_Import!$A$1:$Z$2488,902,'Live Data'!$C$21)),"")</f>
        <v>2026-10-05T20:48:40.000Z</v>
      </c>
      <c r="K902" s="54" t="str">
        <f>IFERROR(IF(INDEX(SPOT_Import!$A$1:$Z$2488,902,'Live Data'!$C$22)="","",INDEX(SPOT_Import!$A$1:$Z$2488,902,'Live Data'!$C$22)),"")</f>
        <v>2026-10-05T20:48:40.000Z</v>
      </c>
      <c r="L902" s="55" t="str">
        <f t="shared" si="28"/>
        <v>2026-10</v>
      </c>
      <c r="M902" s="55" t="str">
        <f t="shared" si="29"/>
        <v>KITUI</v>
      </c>
      <c r="N902" s="55" t="str">
        <f>IF(A902="","",IFERROR(INDEX('Cluster Map'!$A$4:$A$38,MATCH(M902,'Cluster Map'!$B$4:$B$38,0)),"Unmapped"))</f>
        <v>Cluster 5</v>
      </c>
      <c r="O902" s="55">
        <f>IF(A902="",0,IF(COUNTIFS($A$2:A902,A902,$F$2:F902,F902,$L$2:L902,L902)=1,1,0))</f>
        <v>1</v>
      </c>
      <c r="P902" s="55">
        <f>IF(A902="",0,IF(AND(F902="C&amp;T",COUNTIFS($A$2:A902,A902,$F$2:F902,"C&amp;T")=1),1,0))</f>
        <v>0</v>
      </c>
    </row>
    <row r="903" spans="1:16" x14ac:dyDescent="0.35">
      <c r="A903" s="54">
        <f>IFERROR(IF(INDEX(SPOT_Import!$A$1:$Z$2488,903,'Live Data'!$C$12)="","",INDEX(SPOT_Import!$A$1:$Z$2488,903,'Live Data'!$C$12)),"")</f>
        <v>12599</v>
      </c>
      <c r="B903" s="54" t="str">
        <f>IFERROR(IF(INDEX(SPOT_Import!$A$1:$Z$2488,903,'Live Data'!$C$13)="","",INDEX(SPOT_Import!$A$1:$Z$2488,903,'Live Data'!$C$13)),"")</f>
        <v>Mutito Catholic Dispensary</v>
      </c>
      <c r="C903" s="54" t="str">
        <f>IFERROR(IF(INDEX(SPOT_Import!$A$1:$Z$2488,903,'Live Data'!$C$14)="","",INDEX(SPOT_Import!$A$1:$Z$2488,903,'Live Data'!$C$14)),"")</f>
        <v>KITUI</v>
      </c>
      <c r="D903" s="54" t="str">
        <f>IFERROR(IF(INDEX(SPOT_Import!$A$1:$Z$2488,903,'Live Data'!$C$15)="","",INDEX(SPOT_Import!$A$1:$Z$2488,903,'Live Data'!$C$15)),"")</f>
        <v>Kitui East</v>
      </c>
      <c r="E903" s="54" t="str">
        <f>IFERROR(IF(INDEX(SPOT_Import!$A$1:$Z$2488,903,'Live Data'!$C$16)="","",INDEX(SPOT_Import!$A$1:$Z$2488,903,'Live Data'!$C$16)),"")</f>
        <v>CHAK CHAP STAWISHA</v>
      </c>
      <c r="F903" s="54" t="str">
        <f>IFERROR(IF(INDEX(SPOT_Import!$A$1:$Z$2488,903,'Live Data'!$C$17)="","",INDEX(SPOT_Import!$A$1:$Z$2488,903,'Live Data'!$C$17)),"")</f>
        <v>MNCH</v>
      </c>
      <c r="G903" s="54">
        <f>IFERROR(IF(INDEX(SPOT_Import!$A$1:$Z$2488,903,'Live Data'!$C$18)="","",INDEX(SPOT_Import!$A$1:$Z$2488,903,'Live Data'!$C$18)),"")</f>
        <v>9</v>
      </c>
      <c r="H903" s="54">
        <f>IFERROR(IF(INDEX(SPOT_Import!$A$1:$Z$2488,903,'Live Data'!$C$19)="","",INDEX(SPOT_Import!$A$1:$Z$2488,903,'Live Data'!$C$19)),"")</f>
        <v>9</v>
      </c>
      <c r="I903" s="54" t="str">
        <f>IFERROR(IF(INDEX(SPOT_Import!$A$1:$Z$2488,903,'Live Data'!$C$20)="","",INDEX(SPOT_Import!$A$1:$Z$2488,903,'Live Data'!$C$20)),"")</f>
        <v>Complete</v>
      </c>
      <c r="J903" s="54" t="str">
        <f>IFERROR(IF(INDEX(SPOT_Import!$A$1:$Z$2488,903,'Live Data'!$C$21)="","",INDEX(SPOT_Import!$A$1:$Z$2488,903,'Live Data'!$C$21)),"")</f>
        <v>2026-10-05T20:47:59.000Z</v>
      </c>
      <c r="K903" s="54" t="str">
        <f>IFERROR(IF(INDEX(SPOT_Import!$A$1:$Z$2488,903,'Live Data'!$C$22)="","",INDEX(SPOT_Import!$A$1:$Z$2488,903,'Live Data'!$C$22)),"")</f>
        <v>2026-10-05T20:47:59.000Z</v>
      </c>
      <c r="L903" s="55" t="str">
        <f t="shared" si="28"/>
        <v>2026-10</v>
      </c>
      <c r="M903" s="55" t="str">
        <f t="shared" si="29"/>
        <v>KITUI</v>
      </c>
      <c r="N903" s="55" t="str">
        <f>IF(A903="","",IFERROR(INDEX('Cluster Map'!$A$4:$A$38,MATCH(M903,'Cluster Map'!$B$4:$B$38,0)),"Unmapped"))</f>
        <v>Cluster 5</v>
      </c>
      <c r="O903" s="55">
        <f>IF(A903="",0,IF(COUNTIFS($A$2:A903,A903,$F$2:F903,F903,$L$2:L903,L903)=1,1,0))</f>
        <v>1</v>
      </c>
      <c r="P903" s="55">
        <f>IF(A903="",0,IF(AND(F903="C&amp;T",COUNTIFS($A$2:A903,A903,$F$2:F903,"C&amp;T")=1),1,0))</f>
        <v>0</v>
      </c>
    </row>
    <row r="904" spans="1:16" x14ac:dyDescent="0.35">
      <c r="A904" s="54">
        <f>IFERROR(IF(INDEX(SPOT_Import!$A$1:$Z$2488,904,'Live Data'!$C$12)="","",INDEX(SPOT_Import!$A$1:$Z$2488,904,'Live Data'!$C$12)),"")</f>
        <v>12599</v>
      </c>
      <c r="B904" s="54" t="str">
        <f>IFERROR(IF(INDEX(SPOT_Import!$A$1:$Z$2488,904,'Live Data'!$C$13)="","",INDEX(SPOT_Import!$A$1:$Z$2488,904,'Live Data'!$C$13)),"")</f>
        <v>Mutito Catholic Dispensary</v>
      </c>
      <c r="C904" s="54" t="str">
        <f>IFERROR(IF(INDEX(SPOT_Import!$A$1:$Z$2488,904,'Live Data'!$C$14)="","",INDEX(SPOT_Import!$A$1:$Z$2488,904,'Live Data'!$C$14)),"")</f>
        <v>KITUI</v>
      </c>
      <c r="D904" s="54" t="str">
        <f>IFERROR(IF(INDEX(SPOT_Import!$A$1:$Z$2488,904,'Live Data'!$C$15)="","",INDEX(SPOT_Import!$A$1:$Z$2488,904,'Live Data'!$C$15)),"")</f>
        <v>Kitui East</v>
      </c>
      <c r="E904" s="54" t="str">
        <f>IFERROR(IF(INDEX(SPOT_Import!$A$1:$Z$2488,904,'Live Data'!$C$16)="","",INDEX(SPOT_Import!$A$1:$Z$2488,904,'Live Data'!$C$16)),"")</f>
        <v>CHAK CHAP STAWISHA</v>
      </c>
      <c r="F904" s="54" t="str">
        <f>IFERROR(IF(INDEX(SPOT_Import!$A$1:$Z$2488,904,'Live Data'!$C$17)="","",INDEX(SPOT_Import!$A$1:$Z$2488,904,'Live Data'!$C$17)),"")</f>
        <v>PREP</v>
      </c>
      <c r="G904" s="54">
        <f>IFERROR(IF(INDEX(SPOT_Import!$A$1:$Z$2488,904,'Live Data'!$C$18)="","",INDEX(SPOT_Import!$A$1:$Z$2488,904,'Live Data'!$C$18)),"")</f>
        <v>139</v>
      </c>
      <c r="H904" s="54" t="str">
        <f>IFERROR(IF(INDEX(SPOT_Import!$A$1:$Z$2488,904,'Live Data'!$C$19)="","",INDEX(SPOT_Import!$A$1:$Z$2488,904,'Live Data'!$C$19)),"")</f>
        <v/>
      </c>
      <c r="I904" s="54" t="str">
        <f>IFERROR(IF(INDEX(SPOT_Import!$A$1:$Z$2488,904,'Live Data'!$C$20)="","",INDEX(SPOT_Import!$A$1:$Z$2488,904,'Live Data'!$C$20)),"")</f>
        <v>Incomplete</v>
      </c>
      <c r="J904" s="54" t="str">
        <f>IFERROR(IF(INDEX(SPOT_Import!$A$1:$Z$2488,904,'Live Data'!$C$21)="","",INDEX(SPOT_Import!$A$1:$Z$2488,904,'Live Data'!$C$21)),"")</f>
        <v>2026-10-05T20:47:14.000Z</v>
      </c>
      <c r="K904" s="54" t="str">
        <f>IFERROR(IF(INDEX(SPOT_Import!$A$1:$Z$2488,904,'Live Data'!$C$22)="","",INDEX(SPOT_Import!$A$1:$Z$2488,904,'Live Data'!$C$22)),"")</f>
        <v>2026-10-05T20:47:14.000Z</v>
      </c>
      <c r="L904" s="55" t="str">
        <f t="shared" si="28"/>
        <v>2026-10</v>
      </c>
      <c r="M904" s="55" t="str">
        <f t="shared" si="29"/>
        <v>KITUI</v>
      </c>
      <c r="N904" s="55" t="str">
        <f>IF(A904="","",IFERROR(INDEX('Cluster Map'!$A$4:$A$38,MATCH(M904,'Cluster Map'!$B$4:$B$38,0)),"Unmapped"))</f>
        <v>Cluster 5</v>
      </c>
      <c r="O904" s="55">
        <f>IF(A904="",0,IF(COUNTIFS($A$2:A904,A904,$F$2:F904,F904,$L$2:L904,L904)=1,1,0))</f>
        <v>1</v>
      </c>
      <c r="P904" s="55">
        <f>IF(A904="",0,IF(AND(F904="C&amp;T",COUNTIFS($A$2:A904,A904,$F$2:F904,"C&amp;T")=1),1,0))</f>
        <v>0</v>
      </c>
    </row>
    <row r="905" spans="1:16" x14ac:dyDescent="0.35">
      <c r="A905" s="54">
        <f>IFERROR(IF(INDEX(SPOT_Import!$A$1:$Z$2488,905,'Live Data'!$C$12)="","",INDEX(SPOT_Import!$A$1:$Z$2488,905,'Live Data'!$C$12)),"")</f>
        <v>12599</v>
      </c>
      <c r="B905" s="54" t="str">
        <f>IFERROR(IF(INDEX(SPOT_Import!$A$1:$Z$2488,905,'Live Data'!$C$13)="","",INDEX(SPOT_Import!$A$1:$Z$2488,905,'Live Data'!$C$13)),"")</f>
        <v>Mutito Catholic Dispensary</v>
      </c>
      <c r="C905" s="54" t="str">
        <f>IFERROR(IF(INDEX(SPOT_Import!$A$1:$Z$2488,905,'Live Data'!$C$14)="","",INDEX(SPOT_Import!$A$1:$Z$2488,905,'Live Data'!$C$14)),"")</f>
        <v>KITUI</v>
      </c>
      <c r="D905" s="54" t="str">
        <f>IFERROR(IF(INDEX(SPOT_Import!$A$1:$Z$2488,905,'Live Data'!$C$15)="","",INDEX(SPOT_Import!$A$1:$Z$2488,905,'Live Data'!$C$15)),"")</f>
        <v>Kitui East</v>
      </c>
      <c r="E905" s="54" t="str">
        <f>IFERROR(IF(INDEX(SPOT_Import!$A$1:$Z$2488,905,'Live Data'!$C$16)="","",INDEX(SPOT_Import!$A$1:$Z$2488,905,'Live Data'!$C$16)),"")</f>
        <v>CHAK CHAP STAWISHA</v>
      </c>
      <c r="F905" s="54" t="str">
        <f>IFERROR(IF(INDEX(SPOT_Import!$A$1:$Z$2488,905,'Live Data'!$C$17)="","",INDEX(SPOT_Import!$A$1:$Z$2488,905,'Live Data'!$C$17)),"")</f>
        <v>C&amp;T</v>
      </c>
      <c r="G905" s="54">
        <f>IFERROR(IF(INDEX(SPOT_Import!$A$1:$Z$2488,905,'Live Data'!$C$18)="","",INDEX(SPOT_Import!$A$1:$Z$2488,905,'Live Data'!$C$18)),"")</f>
        <v>116</v>
      </c>
      <c r="H905" s="54">
        <f>IFERROR(IF(INDEX(SPOT_Import!$A$1:$Z$2488,905,'Live Data'!$C$19)="","",INDEX(SPOT_Import!$A$1:$Z$2488,905,'Live Data'!$C$19)),"")</f>
        <v>116</v>
      </c>
      <c r="I905" s="54" t="str">
        <f>IFERROR(IF(INDEX(SPOT_Import!$A$1:$Z$2488,905,'Live Data'!$C$20)="","",INDEX(SPOT_Import!$A$1:$Z$2488,905,'Live Data'!$C$20)),"")</f>
        <v>Complete</v>
      </c>
      <c r="J905" s="54" t="str">
        <f>IFERROR(IF(INDEX(SPOT_Import!$A$1:$Z$2488,905,'Live Data'!$C$21)="","",INDEX(SPOT_Import!$A$1:$Z$2488,905,'Live Data'!$C$21)),"")</f>
        <v>2026-10-05T20:28:08.000Z</v>
      </c>
      <c r="K905" s="54" t="str">
        <f>IFERROR(IF(INDEX(SPOT_Import!$A$1:$Z$2488,905,'Live Data'!$C$22)="","",INDEX(SPOT_Import!$A$1:$Z$2488,905,'Live Data'!$C$22)),"")</f>
        <v>2026-10-05T20:28:08.000Z</v>
      </c>
      <c r="L905" s="55" t="str">
        <f t="shared" si="28"/>
        <v>2026-10</v>
      </c>
      <c r="M905" s="55" t="str">
        <f t="shared" si="29"/>
        <v>KITUI</v>
      </c>
      <c r="N905" s="55" t="str">
        <f>IF(A905="","",IFERROR(INDEX('Cluster Map'!$A$4:$A$38,MATCH(M905,'Cluster Map'!$B$4:$B$38,0)),"Unmapped"))</f>
        <v>Cluster 5</v>
      </c>
      <c r="O905" s="55">
        <f>IF(A905="",0,IF(COUNTIFS($A$2:A905,A905,$F$2:F905,F905,$L$2:L905,L905)=1,1,0))</f>
        <v>1</v>
      </c>
      <c r="P905" s="55">
        <f>IF(A905="",0,IF(AND(F905="C&amp;T",COUNTIFS($A$2:A905,A905,$F$2:F905,"C&amp;T")=1),1,0))</f>
        <v>1</v>
      </c>
    </row>
    <row r="906" spans="1:16" x14ac:dyDescent="0.35">
      <c r="A906" s="54">
        <f>IFERROR(IF(INDEX(SPOT_Import!$A$1:$Z$2488,906,'Live Data'!$C$12)="","",INDEX(SPOT_Import!$A$1:$Z$2488,906,'Live Data'!$C$12)),"")</f>
        <v>14394</v>
      </c>
      <c r="B906" s="54" t="str">
        <f>IFERROR(IF(INDEX(SPOT_Import!$A$1:$Z$2488,906,'Live Data'!$C$13)="","",INDEX(SPOT_Import!$A$1:$Z$2488,906,'Live Data'!$C$13)),"")</f>
        <v>CMF Aitong Health Centre</v>
      </c>
      <c r="C906" s="54" t="str">
        <f>IFERROR(IF(INDEX(SPOT_Import!$A$1:$Z$2488,906,'Live Data'!$C$14)="","",INDEX(SPOT_Import!$A$1:$Z$2488,906,'Live Data'!$C$14)),"")</f>
        <v>NAROK</v>
      </c>
      <c r="D906" s="54" t="str">
        <f>IFERROR(IF(INDEX(SPOT_Import!$A$1:$Z$2488,906,'Live Data'!$C$15)="","",INDEX(SPOT_Import!$A$1:$Z$2488,906,'Live Data'!$C$15)),"")</f>
        <v>Narok West</v>
      </c>
      <c r="E906" s="54" t="str">
        <f>IFERROR(IF(INDEX(SPOT_Import!$A$1:$Z$2488,906,'Live Data'!$C$16)="","",INDEX(SPOT_Import!$A$1:$Z$2488,906,'Live Data'!$C$16)),"")</f>
        <v>CHAK CHAP STAWISHA</v>
      </c>
      <c r="F906" s="54" t="str">
        <f>IFERROR(IF(INDEX(SPOT_Import!$A$1:$Z$2488,906,'Live Data'!$C$17)="","",INDEX(SPOT_Import!$A$1:$Z$2488,906,'Live Data'!$C$17)),"")</f>
        <v>PREP</v>
      </c>
      <c r="G906" s="54">
        <f>IFERROR(IF(INDEX(SPOT_Import!$A$1:$Z$2488,906,'Live Data'!$C$18)="","",INDEX(SPOT_Import!$A$1:$Z$2488,906,'Live Data'!$C$18)),"")</f>
        <v>370</v>
      </c>
      <c r="H906" s="54">
        <f>IFERROR(IF(INDEX(SPOT_Import!$A$1:$Z$2488,906,'Live Data'!$C$19)="","",INDEX(SPOT_Import!$A$1:$Z$2488,906,'Live Data'!$C$19)),"")</f>
        <v>370</v>
      </c>
      <c r="I906" s="54" t="str">
        <f>IFERROR(IF(INDEX(SPOT_Import!$A$1:$Z$2488,906,'Live Data'!$C$20)="","",INDEX(SPOT_Import!$A$1:$Z$2488,906,'Live Data'!$C$20)),"")</f>
        <v>Complete</v>
      </c>
      <c r="J906" s="54" t="str">
        <f>IFERROR(IF(INDEX(SPOT_Import!$A$1:$Z$2488,906,'Live Data'!$C$21)="","",INDEX(SPOT_Import!$A$1:$Z$2488,906,'Live Data'!$C$21)),"")</f>
        <v>2026-10-05T16:26:18.000Z</v>
      </c>
      <c r="K906" s="54" t="str">
        <f>IFERROR(IF(INDEX(SPOT_Import!$A$1:$Z$2488,906,'Live Data'!$C$22)="","",INDEX(SPOT_Import!$A$1:$Z$2488,906,'Live Data'!$C$22)),"")</f>
        <v>2026-10-05T16:26:18.000Z</v>
      </c>
      <c r="L906" s="55" t="str">
        <f t="shared" si="28"/>
        <v>2026-10</v>
      </c>
      <c r="M906" s="55" t="str">
        <f t="shared" si="29"/>
        <v>NAROK</v>
      </c>
      <c r="N906" s="55" t="str">
        <f>IF(A906="","",IFERROR(INDEX('Cluster Map'!$A$4:$A$38,MATCH(M906,'Cluster Map'!$B$4:$B$38,0)),"Unmapped"))</f>
        <v>Cluster 4</v>
      </c>
      <c r="O906" s="55">
        <f>IF(A906="",0,IF(COUNTIFS($A$2:A906,A906,$F$2:F906,F906,$L$2:L906,L906)=1,1,0))</f>
        <v>1</v>
      </c>
      <c r="P906" s="55">
        <f>IF(A906="",0,IF(AND(F906="C&amp;T",COUNTIFS($A$2:A906,A906,$F$2:F906,"C&amp;T")=1),1,0))</f>
        <v>0</v>
      </c>
    </row>
    <row r="907" spans="1:16" x14ac:dyDescent="0.35">
      <c r="A907" s="54">
        <f>IFERROR(IF(INDEX(SPOT_Import!$A$1:$Z$2488,907,'Live Data'!$C$12)="","",INDEX(SPOT_Import!$A$1:$Z$2488,907,'Live Data'!$C$12)),"")</f>
        <v>12013</v>
      </c>
      <c r="B907" s="54" t="str">
        <f>IFERROR(IF(INDEX(SPOT_Import!$A$1:$Z$2488,907,'Live Data'!$C$13)="","",INDEX(SPOT_Import!$A$1:$Z$2488,907,'Live Data'!$C$13)),"")</f>
        <v>Faith Nursing Home (Ikutha)</v>
      </c>
      <c r="C907" s="54" t="str">
        <f>IFERROR(IF(INDEX(SPOT_Import!$A$1:$Z$2488,907,'Live Data'!$C$14)="","",INDEX(SPOT_Import!$A$1:$Z$2488,907,'Live Data'!$C$14)),"")</f>
        <v>KITUI</v>
      </c>
      <c r="D907" s="54" t="str">
        <f>IFERROR(IF(INDEX(SPOT_Import!$A$1:$Z$2488,907,'Live Data'!$C$15)="","",INDEX(SPOT_Import!$A$1:$Z$2488,907,'Live Data'!$C$15)),"")</f>
        <v>Kitui South</v>
      </c>
      <c r="E907" s="54" t="str">
        <f>IFERROR(IF(INDEX(SPOT_Import!$A$1:$Z$2488,907,'Live Data'!$C$16)="","",INDEX(SPOT_Import!$A$1:$Z$2488,907,'Live Data'!$C$16)),"")</f>
        <v>CHAK CHAP STAWISHA</v>
      </c>
      <c r="F907" s="54" t="str">
        <f>IFERROR(IF(INDEX(SPOT_Import!$A$1:$Z$2488,907,'Live Data'!$C$17)="","",INDEX(SPOT_Import!$A$1:$Z$2488,907,'Live Data'!$C$17)),"")</f>
        <v>HTS</v>
      </c>
      <c r="G907" s="54">
        <f>IFERROR(IF(INDEX(SPOT_Import!$A$1:$Z$2488,907,'Live Data'!$C$18)="","",INDEX(SPOT_Import!$A$1:$Z$2488,907,'Live Data'!$C$18)),"")</f>
        <v>2794</v>
      </c>
      <c r="H907" s="54">
        <f>IFERROR(IF(INDEX(SPOT_Import!$A$1:$Z$2488,907,'Live Data'!$C$19)="","",INDEX(SPOT_Import!$A$1:$Z$2488,907,'Live Data'!$C$19)),"")</f>
        <v>2794</v>
      </c>
      <c r="I907" s="54" t="str">
        <f>IFERROR(IF(INDEX(SPOT_Import!$A$1:$Z$2488,907,'Live Data'!$C$20)="","",INDEX(SPOT_Import!$A$1:$Z$2488,907,'Live Data'!$C$20)),"")</f>
        <v>Complete</v>
      </c>
      <c r="J907" s="54" t="str">
        <f>IFERROR(IF(INDEX(SPOT_Import!$A$1:$Z$2488,907,'Live Data'!$C$21)="","",INDEX(SPOT_Import!$A$1:$Z$2488,907,'Live Data'!$C$21)),"")</f>
        <v>2026-10-05T16:09:08.000Z</v>
      </c>
      <c r="K907" s="54" t="str">
        <f>IFERROR(IF(INDEX(SPOT_Import!$A$1:$Z$2488,907,'Live Data'!$C$22)="","",INDEX(SPOT_Import!$A$1:$Z$2488,907,'Live Data'!$C$22)),"")</f>
        <v>2026-10-05T16:09:08.000Z</v>
      </c>
      <c r="L907" s="55" t="str">
        <f t="shared" si="28"/>
        <v>2026-10</v>
      </c>
      <c r="M907" s="55" t="str">
        <f t="shared" si="29"/>
        <v>KITUI</v>
      </c>
      <c r="N907" s="55" t="str">
        <f>IF(A907="","",IFERROR(INDEX('Cluster Map'!$A$4:$A$38,MATCH(M907,'Cluster Map'!$B$4:$B$38,0)),"Unmapped"))</f>
        <v>Cluster 5</v>
      </c>
      <c r="O907" s="55">
        <f>IF(A907="",0,IF(COUNTIFS($A$2:A907,A907,$F$2:F907,F907,$L$2:L907,L907)=1,1,0))</f>
        <v>1</v>
      </c>
      <c r="P907" s="55">
        <f>IF(A907="",0,IF(AND(F907="C&amp;T",COUNTIFS($A$2:A907,A907,$F$2:F907,"C&amp;T")=1),1,0))</f>
        <v>0</v>
      </c>
    </row>
    <row r="908" spans="1:16" x14ac:dyDescent="0.35">
      <c r="A908" s="54">
        <f>IFERROR(IF(INDEX(SPOT_Import!$A$1:$Z$2488,908,'Live Data'!$C$12)="","",INDEX(SPOT_Import!$A$1:$Z$2488,908,'Live Data'!$C$12)),"")</f>
        <v>12013</v>
      </c>
      <c r="B908" s="54" t="str">
        <f>IFERROR(IF(INDEX(SPOT_Import!$A$1:$Z$2488,908,'Live Data'!$C$13)="","",INDEX(SPOT_Import!$A$1:$Z$2488,908,'Live Data'!$C$13)),"")</f>
        <v>Faith Nursing Home (Ikutha)</v>
      </c>
      <c r="C908" s="54" t="str">
        <f>IFERROR(IF(INDEX(SPOT_Import!$A$1:$Z$2488,908,'Live Data'!$C$14)="","",INDEX(SPOT_Import!$A$1:$Z$2488,908,'Live Data'!$C$14)),"")</f>
        <v>KITUI</v>
      </c>
      <c r="D908" s="54" t="str">
        <f>IFERROR(IF(INDEX(SPOT_Import!$A$1:$Z$2488,908,'Live Data'!$C$15)="","",INDEX(SPOT_Import!$A$1:$Z$2488,908,'Live Data'!$C$15)),"")</f>
        <v>Kitui South</v>
      </c>
      <c r="E908" s="54" t="str">
        <f>IFERROR(IF(INDEX(SPOT_Import!$A$1:$Z$2488,908,'Live Data'!$C$16)="","",INDEX(SPOT_Import!$A$1:$Z$2488,908,'Live Data'!$C$16)),"")</f>
        <v>CHAK CHAP STAWISHA</v>
      </c>
      <c r="F908" s="54" t="str">
        <f>IFERROR(IF(INDEX(SPOT_Import!$A$1:$Z$2488,908,'Live Data'!$C$17)="","",INDEX(SPOT_Import!$A$1:$Z$2488,908,'Live Data'!$C$17)),"")</f>
        <v>PREP</v>
      </c>
      <c r="G908" s="54">
        <f>IFERROR(IF(INDEX(SPOT_Import!$A$1:$Z$2488,908,'Live Data'!$C$18)="","",INDEX(SPOT_Import!$A$1:$Z$2488,908,'Live Data'!$C$18)),"")</f>
        <v>251</v>
      </c>
      <c r="H908" s="54">
        <f>IFERROR(IF(INDEX(SPOT_Import!$A$1:$Z$2488,908,'Live Data'!$C$19)="","",INDEX(SPOT_Import!$A$1:$Z$2488,908,'Live Data'!$C$19)),"")</f>
        <v>251</v>
      </c>
      <c r="I908" s="54" t="str">
        <f>IFERROR(IF(INDEX(SPOT_Import!$A$1:$Z$2488,908,'Live Data'!$C$20)="","",INDEX(SPOT_Import!$A$1:$Z$2488,908,'Live Data'!$C$20)),"")</f>
        <v>Complete</v>
      </c>
      <c r="J908" s="54" t="str">
        <f>IFERROR(IF(INDEX(SPOT_Import!$A$1:$Z$2488,908,'Live Data'!$C$21)="","",INDEX(SPOT_Import!$A$1:$Z$2488,908,'Live Data'!$C$21)),"")</f>
        <v>2026-10-05T16:03:57.000Z</v>
      </c>
      <c r="K908" s="54" t="str">
        <f>IFERROR(IF(INDEX(SPOT_Import!$A$1:$Z$2488,908,'Live Data'!$C$22)="","",INDEX(SPOT_Import!$A$1:$Z$2488,908,'Live Data'!$C$22)),"")</f>
        <v>2026-10-05T16:03:57.000Z</v>
      </c>
      <c r="L908" s="55" t="str">
        <f t="shared" si="28"/>
        <v>2026-10</v>
      </c>
      <c r="M908" s="55" t="str">
        <f t="shared" si="29"/>
        <v>KITUI</v>
      </c>
      <c r="N908" s="55" t="str">
        <f>IF(A908="","",IFERROR(INDEX('Cluster Map'!$A$4:$A$38,MATCH(M908,'Cluster Map'!$B$4:$B$38,0)),"Unmapped"))</f>
        <v>Cluster 5</v>
      </c>
      <c r="O908" s="55">
        <f>IF(A908="",0,IF(COUNTIFS($A$2:A908,A908,$F$2:F908,F908,$L$2:L908,L908)=1,1,0))</f>
        <v>1</v>
      </c>
      <c r="P908" s="55">
        <f>IF(A908="",0,IF(AND(F908="C&amp;T",COUNTIFS($A$2:A908,A908,$F$2:F908,"C&amp;T")=1),1,0))</f>
        <v>0</v>
      </c>
    </row>
    <row r="909" spans="1:16" x14ac:dyDescent="0.35">
      <c r="A909" s="54">
        <f>IFERROR(IF(INDEX(SPOT_Import!$A$1:$Z$2488,909,'Live Data'!$C$12)="","",INDEX(SPOT_Import!$A$1:$Z$2488,909,'Live Data'!$C$12)),"")</f>
        <v>12743</v>
      </c>
      <c r="B909" s="54" t="str">
        <f>IFERROR(IF(INDEX(SPOT_Import!$A$1:$Z$2488,909,'Live Data'!$C$13)="","",INDEX(SPOT_Import!$A$1:$Z$2488,909,'Live Data'!$C$13)),"")</f>
        <v>St Ann Hospital</v>
      </c>
      <c r="C909" s="54" t="str">
        <f>IFERROR(IF(INDEX(SPOT_Import!$A$1:$Z$2488,909,'Live Data'!$C$14)="","",INDEX(SPOT_Import!$A$1:$Z$2488,909,'Live Data'!$C$14)),"")</f>
        <v>MERU</v>
      </c>
      <c r="D909" s="54" t="str">
        <f>IFERROR(IF(INDEX(SPOT_Import!$A$1:$Z$2488,909,'Live Data'!$C$15)="","",INDEX(SPOT_Import!$A$1:$Z$2488,909,'Live Data'!$C$15)),"")</f>
        <v>Imenti South</v>
      </c>
      <c r="E909" s="54" t="str">
        <f>IFERROR(IF(INDEX(SPOT_Import!$A$1:$Z$2488,909,'Live Data'!$C$16)="","",INDEX(SPOT_Import!$A$1:$Z$2488,909,'Live Data'!$C$16)),"")</f>
        <v>CHAK CHAP STAWISHA</v>
      </c>
      <c r="F909" s="54" t="str">
        <f>IFERROR(IF(INDEX(SPOT_Import!$A$1:$Z$2488,909,'Live Data'!$C$17)="","",INDEX(SPOT_Import!$A$1:$Z$2488,909,'Live Data'!$C$17)),"")</f>
        <v>PREP</v>
      </c>
      <c r="G909" s="54">
        <f>IFERROR(IF(INDEX(SPOT_Import!$A$1:$Z$2488,909,'Live Data'!$C$18)="","",INDEX(SPOT_Import!$A$1:$Z$2488,909,'Live Data'!$C$18)),"")</f>
        <v>2077</v>
      </c>
      <c r="H909" s="54">
        <f>IFERROR(IF(INDEX(SPOT_Import!$A$1:$Z$2488,909,'Live Data'!$C$19)="","",INDEX(SPOT_Import!$A$1:$Z$2488,909,'Live Data'!$C$19)),"")</f>
        <v>2077</v>
      </c>
      <c r="I909" s="54" t="str">
        <f>IFERROR(IF(INDEX(SPOT_Import!$A$1:$Z$2488,909,'Live Data'!$C$20)="","",INDEX(SPOT_Import!$A$1:$Z$2488,909,'Live Data'!$C$20)),"")</f>
        <v>Complete</v>
      </c>
      <c r="J909" s="54" t="str">
        <f>IFERROR(IF(INDEX(SPOT_Import!$A$1:$Z$2488,909,'Live Data'!$C$21)="","",INDEX(SPOT_Import!$A$1:$Z$2488,909,'Live Data'!$C$21)),"")</f>
        <v>2026-10-05T14:07:19.000Z</v>
      </c>
      <c r="K909" s="54" t="str">
        <f>IFERROR(IF(INDEX(SPOT_Import!$A$1:$Z$2488,909,'Live Data'!$C$22)="","",INDEX(SPOT_Import!$A$1:$Z$2488,909,'Live Data'!$C$22)),"")</f>
        <v>2026-10-05T14:07:19.000Z</v>
      </c>
      <c r="L909" s="55" t="str">
        <f t="shared" si="28"/>
        <v>2026-10</v>
      </c>
      <c r="M909" s="55" t="str">
        <f t="shared" si="29"/>
        <v>MERU</v>
      </c>
      <c r="N909" s="55" t="str">
        <f>IF(A909="","",IFERROR(INDEX('Cluster Map'!$A$4:$A$38,MATCH(M909,'Cluster Map'!$B$4:$B$38,0)),"Unmapped"))</f>
        <v>Cluster 1</v>
      </c>
      <c r="O909" s="55">
        <f>IF(A909="",0,IF(COUNTIFS($A$2:A909,A909,$F$2:F909,F909,$L$2:L909,L909)=1,1,0))</f>
        <v>1</v>
      </c>
      <c r="P909" s="55">
        <f>IF(A909="",0,IF(AND(F909="C&amp;T",COUNTIFS($A$2:A909,A909,$F$2:F909,"C&amp;T")=1),1,0))</f>
        <v>0</v>
      </c>
    </row>
    <row r="910" spans="1:16" x14ac:dyDescent="0.35">
      <c r="A910" s="54">
        <f>IFERROR(IF(INDEX(SPOT_Import!$A$1:$Z$2488,910,'Live Data'!$C$12)="","",INDEX(SPOT_Import!$A$1:$Z$2488,910,'Live Data'!$C$12)),"")</f>
        <v>12743</v>
      </c>
      <c r="B910" s="54" t="str">
        <f>IFERROR(IF(INDEX(SPOT_Import!$A$1:$Z$2488,910,'Live Data'!$C$13)="","",INDEX(SPOT_Import!$A$1:$Z$2488,910,'Live Data'!$C$13)),"")</f>
        <v>St Ann Hospital</v>
      </c>
      <c r="C910" s="54" t="str">
        <f>IFERROR(IF(INDEX(SPOT_Import!$A$1:$Z$2488,910,'Live Data'!$C$14)="","",INDEX(SPOT_Import!$A$1:$Z$2488,910,'Live Data'!$C$14)),"")</f>
        <v>MERU</v>
      </c>
      <c r="D910" s="54" t="str">
        <f>IFERROR(IF(INDEX(SPOT_Import!$A$1:$Z$2488,910,'Live Data'!$C$15)="","",INDEX(SPOT_Import!$A$1:$Z$2488,910,'Live Data'!$C$15)),"")</f>
        <v>Imenti South</v>
      </c>
      <c r="E910" s="54" t="str">
        <f>IFERROR(IF(INDEX(SPOT_Import!$A$1:$Z$2488,910,'Live Data'!$C$16)="","",INDEX(SPOT_Import!$A$1:$Z$2488,910,'Live Data'!$C$16)),"")</f>
        <v>CHAK CHAP STAWISHA</v>
      </c>
      <c r="F910" s="54" t="str">
        <f>IFERROR(IF(INDEX(SPOT_Import!$A$1:$Z$2488,910,'Live Data'!$C$17)="","",INDEX(SPOT_Import!$A$1:$Z$2488,910,'Live Data'!$C$17)),"")</f>
        <v>MNCH</v>
      </c>
      <c r="G910" s="54">
        <f>IFERROR(IF(INDEX(SPOT_Import!$A$1:$Z$2488,910,'Live Data'!$C$18)="","",INDEX(SPOT_Import!$A$1:$Z$2488,910,'Live Data'!$C$18)),"")</f>
        <v>337</v>
      </c>
      <c r="H910" s="54">
        <f>IFERROR(IF(INDEX(SPOT_Import!$A$1:$Z$2488,910,'Live Data'!$C$19)="","",INDEX(SPOT_Import!$A$1:$Z$2488,910,'Live Data'!$C$19)),"")</f>
        <v>337</v>
      </c>
      <c r="I910" s="54" t="str">
        <f>IFERROR(IF(INDEX(SPOT_Import!$A$1:$Z$2488,910,'Live Data'!$C$20)="","",INDEX(SPOT_Import!$A$1:$Z$2488,910,'Live Data'!$C$20)),"")</f>
        <v>Complete</v>
      </c>
      <c r="J910" s="54" t="str">
        <f>IFERROR(IF(INDEX(SPOT_Import!$A$1:$Z$2488,910,'Live Data'!$C$21)="","",INDEX(SPOT_Import!$A$1:$Z$2488,910,'Live Data'!$C$21)),"")</f>
        <v>2026-10-05T14:04:49.000Z</v>
      </c>
      <c r="K910" s="54" t="str">
        <f>IFERROR(IF(INDEX(SPOT_Import!$A$1:$Z$2488,910,'Live Data'!$C$22)="","",INDEX(SPOT_Import!$A$1:$Z$2488,910,'Live Data'!$C$22)),"")</f>
        <v>2026-10-05T14:04:49.000Z</v>
      </c>
      <c r="L910" s="55" t="str">
        <f t="shared" si="28"/>
        <v>2026-10</v>
      </c>
      <c r="M910" s="55" t="str">
        <f t="shared" si="29"/>
        <v>MERU</v>
      </c>
      <c r="N910" s="55" t="str">
        <f>IF(A910="","",IFERROR(INDEX('Cluster Map'!$A$4:$A$38,MATCH(M910,'Cluster Map'!$B$4:$B$38,0)),"Unmapped"))</f>
        <v>Cluster 1</v>
      </c>
      <c r="O910" s="55">
        <f>IF(A910="",0,IF(COUNTIFS($A$2:A910,A910,$F$2:F910,F910,$L$2:L910,L910)=1,1,0))</f>
        <v>1</v>
      </c>
      <c r="P910" s="55">
        <f>IF(A910="",0,IF(AND(F910="C&amp;T",COUNTIFS($A$2:A910,A910,$F$2:F910,"C&amp;T")=1),1,0))</f>
        <v>0</v>
      </c>
    </row>
    <row r="911" spans="1:16" x14ac:dyDescent="0.35">
      <c r="A911" s="54">
        <f>IFERROR(IF(INDEX(SPOT_Import!$A$1:$Z$2488,911,'Live Data'!$C$12)="","",INDEX(SPOT_Import!$A$1:$Z$2488,911,'Live Data'!$C$12)),"")</f>
        <v>12743</v>
      </c>
      <c r="B911" s="54" t="str">
        <f>IFERROR(IF(INDEX(SPOT_Import!$A$1:$Z$2488,911,'Live Data'!$C$13)="","",INDEX(SPOT_Import!$A$1:$Z$2488,911,'Live Data'!$C$13)),"")</f>
        <v>St Ann Hospital</v>
      </c>
      <c r="C911" s="54" t="str">
        <f>IFERROR(IF(INDEX(SPOT_Import!$A$1:$Z$2488,911,'Live Data'!$C$14)="","",INDEX(SPOT_Import!$A$1:$Z$2488,911,'Live Data'!$C$14)),"")</f>
        <v>MERU</v>
      </c>
      <c r="D911" s="54" t="str">
        <f>IFERROR(IF(INDEX(SPOT_Import!$A$1:$Z$2488,911,'Live Data'!$C$15)="","",INDEX(SPOT_Import!$A$1:$Z$2488,911,'Live Data'!$C$15)),"")</f>
        <v>Imenti South</v>
      </c>
      <c r="E911" s="54" t="str">
        <f>IFERROR(IF(INDEX(SPOT_Import!$A$1:$Z$2488,911,'Live Data'!$C$16)="","",INDEX(SPOT_Import!$A$1:$Z$2488,911,'Live Data'!$C$16)),"")</f>
        <v>CHAK CHAP STAWISHA</v>
      </c>
      <c r="F911" s="54" t="str">
        <f>IFERROR(IF(INDEX(SPOT_Import!$A$1:$Z$2488,911,'Live Data'!$C$17)="","",INDEX(SPOT_Import!$A$1:$Z$2488,911,'Live Data'!$C$17)),"")</f>
        <v>HTS</v>
      </c>
      <c r="G911" s="54">
        <f>IFERROR(IF(INDEX(SPOT_Import!$A$1:$Z$2488,911,'Live Data'!$C$18)="","",INDEX(SPOT_Import!$A$1:$Z$2488,911,'Live Data'!$C$18)),"")</f>
        <v>8177</v>
      </c>
      <c r="H911" s="54">
        <f>IFERROR(IF(INDEX(SPOT_Import!$A$1:$Z$2488,911,'Live Data'!$C$19)="","",INDEX(SPOT_Import!$A$1:$Z$2488,911,'Live Data'!$C$19)),"")</f>
        <v>8177</v>
      </c>
      <c r="I911" s="54" t="str">
        <f>IFERROR(IF(INDEX(SPOT_Import!$A$1:$Z$2488,911,'Live Data'!$C$20)="","",INDEX(SPOT_Import!$A$1:$Z$2488,911,'Live Data'!$C$20)),"")</f>
        <v>Complete</v>
      </c>
      <c r="J911" s="54" t="str">
        <f>IFERROR(IF(INDEX(SPOT_Import!$A$1:$Z$2488,911,'Live Data'!$C$21)="","",INDEX(SPOT_Import!$A$1:$Z$2488,911,'Live Data'!$C$21)),"")</f>
        <v>2026-10-05T14:01:55.000Z</v>
      </c>
      <c r="K911" s="54" t="str">
        <f>IFERROR(IF(INDEX(SPOT_Import!$A$1:$Z$2488,911,'Live Data'!$C$22)="","",INDEX(SPOT_Import!$A$1:$Z$2488,911,'Live Data'!$C$22)),"")</f>
        <v>2026-10-05T14:01:55.000Z</v>
      </c>
      <c r="L911" s="55" t="str">
        <f t="shared" si="28"/>
        <v>2026-10</v>
      </c>
      <c r="M911" s="55" t="str">
        <f t="shared" si="29"/>
        <v>MERU</v>
      </c>
      <c r="N911" s="55" t="str">
        <f>IF(A911="","",IFERROR(INDEX('Cluster Map'!$A$4:$A$38,MATCH(M911,'Cluster Map'!$B$4:$B$38,0)),"Unmapped"))</f>
        <v>Cluster 1</v>
      </c>
      <c r="O911" s="55">
        <f>IF(A911="",0,IF(COUNTIFS($A$2:A911,A911,$F$2:F911,F911,$L$2:L911,L911)=1,1,0))</f>
        <v>1</v>
      </c>
      <c r="P911" s="55">
        <f>IF(A911="",0,IF(AND(F911="C&amp;T",COUNTIFS($A$2:A911,A911,$F$2:F911,"C&amp;T")=1),1,0))</f>
        <v>0</v>
      </c>
    </row>
    <row r="912" spans="1:16" x14ac:dyDescent="0.35">
      <c r="A912" s="54">
        <f>IFERROR(IF(INDEX(SPOT_Import!$A$1:$Z$2488,912,'Live Data'!$C$12)="","",INDEX(SPOT_Import!$A$1:$Z$2488,912,'Live Data'!$C$12)),"")</f>
        <v>12604</v>
      </c>
      <c r="B912" s="54" t="str">
        <f>IFERROR(IF(INDEX(SPOT_Import!$A$1:$Z$2488,912,'Live Data'!$C$13)="","",INDEX(SPOT_Import!$A$1:$Z$2488,912,'Live Data'!$C$13)),"")</f>
        <v>Our Lady of Lourdes Mutomo  Hospital</v>
      </c>
      <c r="C912" s="54" t="str">
        <f>IFERROR(IF(INDEX(SPOT_Import!$A$1:$Z$2488,912,'Live Data'!$C$14)="","",INDEX(SPOT_Import!$A$1:$Z$2488,912,'Live Data'!$C$14)),"")</f>
        <v>KITUI</v>
      </c>
      <c r="D912" s="54" t="str">
        <f>IFERROR(IF(INDEX(SPOT_Import!$A$1:$Z$2488,912,'Live Data'!$C$15)="","",INDEX(SPOT_Import!$A$1:$Z$2488,912,'Live Data'!$C$15)),"")</f>
        <v>Kitui South</v>
      </c>
      <c r="E912" s="54" t="str">
        <f>IFERROR(IF(INDEX(SPOT_Import!$A$1:$Z$2488,912,'Live Data'!$C$16)="","",INDEX(SPOT_Import!$A$1:$Z$2488,912,'Live Data'!$C$16)),"")</f>
        <v>CHAK CHAP STAWISHA</v>
      </c>
      <c r="F912" s="54" t="str">
        <f>IFERROR(IF(INDEX(SPOT_Import!$A$1:$Z$2488,912,'Live Data'!$C$17)="","",INDEX(SPOT_Import!$A$1:$Z$2488,912,'Live Data'!$C$17)),"")</f>
        <v>HTS</v>
      </c>
      <c r="G912" s="54">
        <f>IFERROR(IF(INDEX(SPOT_Import!$A$1:$Z$2488,912,'Live Data'!$C$18)="","",INDEX(SPOT_Import!$A$1:$Z$2488,912,'Live Data'!$C$18)),"")</f>
        <v>12293</v>
      </c>
      <c r="H912" s="54">
        <f>IFERROR(IF(INDEX(SPOT_Import!$A$1:$Z$2488,912,'Live Data'!$C$19)="","",INDEX(SPOT_Import!$A$1:$Z$2488,912,'Live Data'!$C$19)),"")</f>
        <v>12293</v>
      </c>
      <c r="I912" s="54" t="str">
        <f>IFERROR(IF(INDEX(SPOT_Import!$A$1:$Z$2488,912,'Live Data'!$C$20)="","",INDEX(SPOT_Import!$A$1:$Z$2488,912,'Live Data'!$C$20)),"")</f>
        <v>Complete</v>
      </c>
      <c r="J912" s="54" t="str">
        <f>IFERROR(IF(INDEX(SPOT_Import!$A$1:$Z$2488,912,'Live Data'!$C$21)="","",INDEX(SPOT_Import!$A$1:$Z$2488,912,'Live Data'!$C$21)),"")</f>
        <v>2026-10-05T14:00:50.000Z</v>
      </c>
      <c r="K912" s="54" t="str">
        <f>IFERROR(IF(INDEX(SPOT_Import!$A$1:$Z$2488,912,'Live Data'!$C$22)="","",INDEX(SPOT_Import!$A$1:$Z$2488,912,'Live Data'!$C$22)),"")</f>
        <v>2026-10-05T14:00:50.000Z</v>
      </c>
      <c r="L912" s="55" t="str">
        <f t="shared" si="28"/>
        <v>2026-10</v>
      </c>
      <c r="M912" s="55" t="str">
        <f t="shared" si="29"/>
        <v>KITUI</v>
      </c>
      <c r="N912" s="55" t="str">
        <f>IF(A912="","",IFERROR(INDEX('Cluster Map'!$A$4:$A$38,MATCH(M912,'Cluster Map'!$B$4:$B$38,0)),"Unmapped"))</f>
        <v>Cluster 5</v>
      </c>
      <c r="O912" s="55">
        <f>IF(A912="",0,IF(COUNTIFS($A$2:A912,A912,$F$2:F912,F912,$L$2:L912,L912)=1,1,0))</f>
        <v>1</v>
      </c>
      <c r="P912" s="55">
        <f>IF(A912="",0,IF(AND(F912="C&amp;T",COUNTIFS($A$2:A912,A912,$F$2:F912,"C&amp;T")=1),1,0))</f>
        <v>0</v>
      </c>
    </row>
    <row r="913" spans="1:16" x14ac:dyDescent="0.35">
      <c r="A913" s="54">
        <f>IFERROR(IF(INDEX(SPOT_Import!$A$1:$Z$2488,913,'Live Data'!$C$12)="","",INDEX(SPOT_Import!$A$1:$Z$2488,913,'Live Data'!$C$12)),"")</f>
        <v>16742</v>
      </c>
      <c r="B913" s="54" t="str">
        <f>IFERROR(IF(INDEX(SPOT_Import!$A$1:$Z$2488,913,'Live Data'!$C$13)="","",INDEX(SPOT_Import!$A$1:$Z$2488,913,'Live Data'!$C$13)),"")</f>
        <v>St Mark Medical Clinic - Tala</v>
      </c>
      <c r="C913" s="54" t="str">
        <f>IFERROR(IF(INDEX(SPOT_Import!$A$1:$Z$2488,913,'Live Data'!$C$14)="","",INDEX(SPOT_Import!$A$1:$Z$2488,913,'Live Data'!$C$14)),"")</f>
        <v>MACHAKOS</v>
      </c>
      <c r="D913" s="54" t="str">
        <f>IFERROR(IF(INDEX(SPOT_Import!$A$1:$Z$2488,913,'Live Data'!$C$15)="","",INDEX(SPOT_Import!$A$1:$Z$2488,913,'Live Data'!$C$15)),"")</f>
        <v>Matungulu</v>
      </c>
      <c r="E913" s="54" t="str">
        <f>IFERROR(IF(INDEX(SPOT_Import!$A$1:$Z$2488,913,'Live Data'!$C$16)="","",INDEX(SPOT_Import!$A$1:$Z$2488,913,'Live Data'!$C$16)),"")</f>
        <v>CHAK CHAP STAWISHA</v>
      </c>
      <c r="F913" s="54" t="str">
        <f>IFERROR(IF(INDEX(SPOT_Import!$A$1:$Z$2488,913,'Live Data'!$C$17)="","",INDEX(SPOT_Import!$A$1:$Z$2488,913,'Live Data'!$C$17)),"")</f>
        <v>HTS</v>
      </c>
      <c r="G913" s="54">
        <f>IFERROR(IF(INDEX(SPOT_Import!$A$1:$Z$2488,913,'Live Data'!$C$18)="","",INDEX(SPOT_Import!$A$1:$Z$2488,913,'Live Data'!$C$18)),"")</f>
        <v>964</v>
      </c>
      <c r="H913" s="54">
        <f>IFERROR(IF(INDEX(SPOT_Import!$A$1:$Z$2488,913,'Live Data'!$C$19)="","",INDEX(SPOT_Import!$A$1:$Z$2488,913,'Live Data'!$C$19)),"")</f>
        <v>964</v>
      </c>
      <c r="I913" s="54" t="str">
        <f>IFERROR(IF(INDEX(SPOT_Import!$A$1:$Z$2488,913,'Live Data'!$C$20)="","",INDEX(SPOT_Import!$A$1:$Z$2488,913,'Live Data'!$C$20)),"")</f>
        <v>Complete</v>
      </c>
      <c r="J913" s="54" t="str">
        <f>IFERROR(IF(INDEX(SPOT_Import!$A$1:$Z$2488,913,'Live Data'!$C$21)="","",INDEX(SPOT_Import!$A$1:$Z$2488,913,'Live Data'!$C$21)),"")</f>
        <v>2026-10-05T13:58:25.000Z</v>
      </c>
      <c r="K913" s="54" t="str">
        <f>IFERROR(IF(INDEX(SPOT_Import!$A$1:$Z$2488,913,'Live Data'!$C$22)="","",INDEX(SPOT_Import!$A$1:$Z$2488,913,'Live Data'!$C$22)),"")</f>
        <v>2026-10-05T13:58:25.000Z</v>
      </c>
      <c r="L913" s="55" t="str">
        <f t="shared" si="28"/>
        <v>2026-10</v>
      </c>
      <c r="M913" s="55" t="str">
        <f t="shared" si="29"/>
        <v>MACHAKOS</v>
      </c>
      <c r="N913" s="55" t="str">
        <f>IF(A913="","",IFERROR(INDEX('Cluster Map'!$A$4:$A$38,MATCH(M913,'Cluster Map'!$B$4:$B$38,0)),"Unmapped"))</f>
        <v>Cluster 5</v>
      </c>
      <c r="O913" s="55">
        <f>IF(A913="",0,IF(COUNTIFS($A$2:A913,A913,$F$2:F913,F913,$L$2:L913,L913)=1,1,0))</f>
        <v>1</v>
      </c>
      <c r="P913" s="55">
        <f>IF(A913="",0,IF(AND(F913="C&amp;T",COUNTIFS($A$2:A913,A913,$F$2:F913,"C&amp;T")=1),1,0))</f>
        <v>0</v>
      </c>
    </row>
    <row r="914" spans="1:16" x14ac:dyDescent="0.35">
      <c r="A914" s="54">
        <f>IFERROR(IF(INDEX(SPOT_Import!$A$1:$Z$2488,914,'Live Data'!$C$12)="","",INDEX(SPOT_Import!$A$1:$Z$2488,914,'Live Data'!$C$12)),"")</f>
        <v>12604</v>
      </c>
      <c r="B914" s="54" t="str">
        <f>IFERROR(IF(INDEX(SPOT_Import!$A$1:$Z$2488,914,'Live Data'!$C$13)="","",INDEX(SPOT_Import!$A$1:$Z$2488,914,'Live Data'!$C$13)),"")</f>
        <v>Our Lady of Lourdes Mutomo  Hospital</v>
      </c>
      <c r="C914" s="54" t="str">
        <f>IFERROR(IF(INDEX(SPOT_Import!$A$1:$Z$2488,914,'Live Data'!$C$14)="","",INDEX(SPOT_Import!$A$1:$Z$2488,914,'Live Data'!$C$14)),"")</f>
        <v>KITUI</v>
      </c>
      <c r="D914" s="54" t="str">
        <f>IFERROR(IF(INDEX(SPOT_Import!$A$1:$Z$2488,914,'Live Data'!$C$15)="","",INDEX(SPOT_Import!$A$1:$Z$2488,914,'Live Data'!$C$15)),"")</f>
        <v>Kitui South</v>
      </c>
      <c r="E914" s="54" t="str">
        <f>IFERROR(IF(INDEX(SPOT_Import!$A$1:$Z$2488,914,'Live Data'!$C$16)="","",INDEX(SPOT_Import!$A$1:$Z$2488,914,'Live Data'!$C$16)),"")</f>
        <v>CHAK CHAP STAWISHA</v>
      </c>
      <c r="F914" s="54" t="str">
        <f>IFERROR(IF(INDEX(SPOT_Import!$A$1:$Z$2488,914,'Live Data'!$C$17)="","",INDEX(SPOT_Import!$A$1:$Z$2488,914,'Live Data'!$C$17)),"")</f>
        <v>MNCH</v>
      </c>
      <c r="G914" s="54">
        <f>IFERROR(IF(INDEX(SPOT_Import!$A$1:$Z$2488,914,'Live Data'!$C$18)="","",INDEX(SPOT_Import!$A$1:$Z$2488,914,'Live Data'!$C$18)),"")</f>
        <v>1205</v>
      </c>
      <c r="H914" s="54">
        <f>IFERROR(IF(INDEX(SPOT_Import!$A$1:$Z$2488,914,'Live Data'!$C$19)="","",INDEX(SPOT_Import!$A$1:$Z$2488,914,'Live Data'!$C$19)),"")</f>
        <v>1205</v>
      </c>
      <c r="I914" s="54" t="str">
        <f>IFERROR(IF(INDEX(SPOT_Import!$A$1:$Z$2488,914,'Live Data'!$C$20)="","",INDEX(SPOT_Import!$A$1:$Z$2488,914,'Live Data'!$C$20)),"")</f>
        <v>Complete</v>
      </c>
      <c r="J914" s="54" t="str">
        <f>IFERROR(IF(INDEX(SPOT_Import!$A$1:$Z$2488,914,'Live Data'!$C$21)="","",INDEX(SPOT_Import!$A$1:$Z$2488,914,'Live Data'!$C$21)),"")</f>
        <v>2026-10-05T13:54:55.000Z</v>
      </c>
      <c r="K914" s="54" t="str">
        <f>IFERROR(IF(INDEX(SPOT_Import!$A$1:$Z$2488,914,'Live Data'!$C$22)="","",INDEX(SPOT_Import!$A$1:$Z$2488,914,'Live Data'!$C$22)),"")</f>
        <v>2026-10-05T13:54:55.000Z</v>
      </c>
      <c r="L914" s="55" t="str">
        <f t="shared" si="28"/>
        <v>2026-10</v>
      </c>
      <c r="M914" s="55" t="str">
        <f t="shared" si="29"/>
        <v>KITUI</v>
      </c>
      <c r="N914" s="55" t="str">
        <f>IF(A914="","",IFERROR(INDEX('Cluster Map'!$A$4:$A$38,MATCH(M914,'Cluster Map'!$B$4:$B$38,0)),"Unmapped"))</f>
        <v>Cluster 5</v>
      </c>
      <c r="O914" s="55">
        <f>IF(A914="",0,IF(COUNTIFS($A$2:A914,A914,$F$2:F914,F914,$L$2:L914,L914)=1,1,0))</f>
        <v>1</v>
      </c>
      <c r="P914" s="55">
        <f>IF(A914="",0,IF(AND(F914="C&amp;T",COUNTIFS($A$2:A914,A914,$F$2:F914,"C&amp;T")=1),1,0))</f>
        <v>0</v>
      </c>
    </row>
    <row r="915" spans="1:16" x14ac:dyDescent="0.35">
      <c r="A915" s="54">
        <f>IFERROR(IF(INDEX(SPOT_Import!$A$1:$Z$2488,915,'Live Data'!$C$12)="","",INDEX(SPOT_Import!$A$1:$Z$2488,915,'Live Data'!$C$12)),"")</f>
        <v>12745</v>
      </c>
      <c r="B915" s="54" t="str">
        <f>IFERROR(IF(INDEX(SPOT_Import!$A$1:$Z$2488,915,'Live Data'!$C$13)="","",INDEX(SPOT_Import!$A$1:$Z$2488,915,'Live Data'!$C$13)),"")</f>
        <v>St Assisi Sisters of Mary Immaculate Nursing Home</v>
      </c>
      <c r="C915" s="54" t="str">
        <f>IFERROR(IF(INDEX(SPOT_Import!$A$1:$Z$2488,915,'Live Data'!$C$14)="","",INDEX(SPOT_Import!$A$1:$Z$2488,915,'Live Data'!$C$14)),"")</f>
        <v>MACHAKOS</v>
      </c>
      <c r="D915" s="54" t="str">
        <f>IFERROR(IF(INDEX(SPOT_Import!$A$1:$Z$2488,915,'Live Data'!$C$15)="","",INDEX(SPOT_Import!$A$1:$Z$2488,915,'Live Data'!$C$15)),"")</f>
        <v>Athi River</v>
      </c>
      <c r="E915" s="54" t="str">
        <f>IFERROR(IF(INDEX(SPOT_Import!$A$1:$Z$2488,915,'Live Data'!$C$16)="","",INDEX(SPOT_Import!$A$1:$Z$2488,915,'Live Data'!$C$16)),"")</f>
        <v>CHAK CHAP STAWISHA</v>
      </c>
      <c r="F915" s="54" t="str">
        <f>IFERROR(IF(INDEX(SPOT_Import!$A$1:$Z$2488,915,'Live Data'!$C$17)="","",INDEX(SPOT_Import!$A$1:$Z$2488,915,'Live Data'!$C$17)),"")</f>
        <v>PREP</v>
      </c>
      <c r="G915" s="54">
        <f>IFERROR(IF(INDEX(SPOT_Import!$A$1:$Z$2488,915,'Live Data'!$C$18)="","",INDEX(SPOT_Import!$A$1:$Z$2488,915,'Live Data'!$C$18)),"")</f>
        <v>156</v>
      </c>
      <c r="H915" s="54">
        <f>IFERROR(IF(INDEX(SPOT_Import!$A$1:$Z$2488,915,'Live Data'!$C$19)="","",INDEX(SPOT_Import!$A$1:$Z$2488,915,'Live Data'!$C$19)),"")</f>
        <v>156</v>
      </c>
      <c r="I915" s="54" t="str">
        <f>IFERROR(IF(INDEX(SPOT_Import!$A$1:$Z$2488,915,'Live Data'!$C$20)="","",INDEX(SPOT_Import!$A$1:$Z$2488,915,'Live Data'!$C$20)),"")</f>
        <v>Complete</v>
      </c>
      <c r="J915" s="54" t="str">
        <f>IFERROR(IF(INDEX(SPOT_Import!$A$1:$Z$2488,915,'Live Data'!$C$21)="","",INDEX(SPOT_Import!$A$1:$Z$2488,915,'Live Data'!$C$21)),"")</f>
        <v>2026-10-05T13:49:27.000Z</v>
      </c>
      <c r="K915" s="54" t="str">
        <f>IFERROR(IF(INDEX(SPOT_Import!$A$1:$Z$2488,915,'Live Data'!$C$22)="","",INDEX(SPOT_Import!$A$1:$Z$2488,915,'Live Data'!$C$22)),"")</f>
        <v>2026-10-05T13:49:27.000Z</v>
      </c>
      <c r="L915" s="55" t="str">
        <f t="shared" si="28"/>
        <v>2026-10</v>
      </c>
      <c r="M915" s="55" t="str">
        <f t="shared" si="29"/>
        <v>MACHAKOS</v>
      </c>
      <c r="N915" s="55" t="str">
        <f>IF(A915="","",IFERROR(INDEX('Cluster Map'!$A$4:$A$38,MATCH(M915,'Cluster Map'!$B$4:$B$38,0)),"Unmapped"))</f>
        <v>Cluster 5</v>
      </c>
      <c r="O915" s="55">
        <f>IF(A915="",0,IF(COUNTIFS($A$2:A915,A915,$F$2:F915,F915,$L$2:L915,L915)=1,1,0))</f>
        <v>1</v>
      </c>
      <c r="P915" s="55">
        <f>IF(A915="",0,IF(AND(F915="C&amp;T",COUNTIFS($A$2:A915,A915,$F$2:F915,"C&amp;T")=1),1,0))</f>
        <v>0</v>
      </c>
    </row>
    <row r="916" spans="1:16" x14ac:dyDescent="0.35">
      <c r="A916" s="54">
        <f>IFERROR(IF(INDEX(SPOT_Import!$A$1:$Z$2488,916,'Live Data'!$C$12)="","",INDEX(SPOT_Import!$A$1:$Z$2488,916,'Live Data'!$C$12)),"")</f>
        <v>12745</v>
      </c>
      <c r="B916" s="54" t="str">
        <f>IFERROR(IF(INDEX(SPOT_Import!$A$1:$Z$2488,916,'Live Data'!$C$13)="","",INDEX(SPOT_Import!$A$1:$Z$2488,916,'Live Data'!$C$13)),"")</f>
        <v>St Assisi Sisters of Mary Immaculate Nursing Home</v>
      </c>
      <c r="C916" s="54" t="str">
        <f>IFERROR(IF(INDEX(SPOT_Import!$A$1:$Z$2488,916,'Live Data'!$C$14)="","",INDEX(SPOT_Import!$A$1:$Z$2488,916,'Live Data'!$C$14)),"")</f>
        <v>MACHAKOS</v>
      </c>
      <c r="D916" s="54" t="str">
        <f>IFERROR(IF(INDEX(SPOT_Import!$A$1:$Z$2488,916,'Live Data'!$C$15)="","",INDEX(SPOT_Import!$A$1:$Z$2488,916,'Live Data'!$C$15)),"")</f>
        <v>Athi River</v>
      </c>
      <c r="E916" s="54" t="str">
        <f>IFERROR(IF(INDEX(SPOT_Import!$A$1:$Z$2488,916,'Live Data'!$C$16)="","",INDEX(SPOT_Import!$A$1:$Z$2488,916,'Live Data'!$C$16)),"")</f>
        <v>CHAK CHAP STAWISHA</v>
      </c>
      <c r="F916" s="54" t="str">
        <f>IFERROR(IF(INDEX(SPOT_Import!$A$1:$Z$2488,916,'Live Data'!$C$17)="","",INDEX(SPOT_Import!$A$1:$Z$2488,916,'Live Data'!$C$17)),"")</f>
        <v>MNCH</v>
      </c>
      <c r="G916" s="54">
        <f>IFERROR(IF(INDEX(SPOT_Import!$A$1:$Z$2488,916,'Live Data'!$C$18)="","",INDEX(SPOT_Import!$A$1:$Z$2488,916,'Live Data'!$C$18)),"")</f>
        <v>189</v>
      </c>
      <c r="H916" s="54">
        <f>IFERROR(IF(INDEX(SPOT_Import!$A$1:$Z$2488,916,'Live Data'!$C$19)="","",INDEX(SPOT_Import!$A$1:$Z$2488,916,'Live Data'!$C$19)),"")</f>
        <v>189</v>
      </c>
      <c r="I916" s="54" t="str">
        <f>IFERROR(IF(INDEX(SPOT_Import!$A$1:$Z$2488,916,'Live Data'!$C$20)="","",INDEX(SPOT_Import!$A$1:$Z$2488,916,'Live Data'!$C$20)),"")</f>
        <v>Complete</v>
      </c>
      <c r="J916" s="54" t="str">
        <f>IFERROR(IF(INDEX(SPOT_Import!$A$1:$Z$2488,916,'Live Data'!$C$21)="","",INDEX(SPOT_Import!$A$1:$Z$2488,916,'Live Data'!$C$21)),"")</f>
        <v>2026-10-05T13:48:16.000Z</v>
      </c>
      <c r="K916" s="54" t="str">
        <f>IFERROR(IF(INDEX(SPOT_Import!$A$1:$Z$2488,916,'Live Data'!$C$22)="","",INDEX(SPOT_Import!$A$1:$Z$2488,916,'Live Data'!$C$22)),"")</f>
        <v>2026-10-05T13:48:16.000Z</v>
      </c>
      <c r="L916" s="55" t="str">
        <f t="shared" si="28"/>
        <v>2026-10</v>
      </c>
      <c r="M916" s="55" t="str">
        <f t="shared" si="29"/>
        <v>MACHAKOS</v>
      </c>
      <c r="N916" s="55" t="str">
        <f>IF(A916="","",IFERROR(INDEX('Cluster Map'!$A$4:$A$38,MATCH(M916,'Cluster Map'!$B$4:$B$38,0)),"Unmapped"))</f>
        <v>Cluster 5</v>
      </c>
      <c r="O916" s="55">
        <f>IF(A916="",0,IF(COUNTIFS($A$2:A916,A916,$F$2:F916,F916,$L$2:L916,L916)=1,1,0))</f>
        <v>1</v>
      </c>
      <c r="P916" s="55">
        <f>IF(A916="",0,IF(AND(F916="C&amp;T",COUNTIFS($A$2:A916,A916,$F$2:F916,"C&amp;T")=1),1,0))</f>
        <v>0</v>
      </c>
    </row>
    <row r="917" spans="1:16" x14ac:dyDescent="0.35">
      <c r="A917" s="54">
        <f>IFERROR(IF(INDEX(SPOT_Import!$A$1:$Z$2488,917,'Live Data'!$C$12)="","",INDEX(SPOT_Import!$A$1:$Z$2488,917,'Live Data'!$C$12)),"")</f>
        <v>12745</v>
      </c>
      <c r="B917" s="54" t="str">
        <f>IFERROR(IF(INDEX(SPOT_Import!$A$1:$Z$2488,917,'Live Data'!$C$13)="","",INDEX(SPOT_Import!$A$1:$Z$2488,917,'Live Data'!$C$13)),"")</f>
        <v>St Assisi Sisters of Mary Immaculate Nursing Home</v>
      </c>
      <c r="C917" s="54" t="str">
        <f>IFERROR(IF(INDEX(SPOT_Import!$A$1:$Z$2488,917,'Live Data'!$C$14)="","",INDEX(SPOT_Import!$A$1:$Z$2488,917,'Live Data'!$C$14)),"")</f>
        <v>MACHAKOS</v>
      </c>
      <c r="D917" s="54" t="str">
        <f>IFERROR(IF(INDEX(SPOT_Import!$A$1:$Z$2488,917,'Live Data'!$C$15)="","",INDEX(SPOT_Import!$A$1:$Z$2488,917,'Live Data'!$C$15)),"")</f>
        <v>Athi River</v>
      </c>
      <c r="E917" s="54" t="str">
        <f>IFERROR(IF(INDEX(SPOT_Import!$A$1:$Z$2488,917,'Live Data'!$C$16)="","",INDEX(SPOT_Import!$A$1:$Z$2488,917,'Live Data'!$C$16)),"")</f>
        <v>CHAK CHAP STAWISHA</v>
      </c>
      <c r="F917" s="54" t="str">
        <f>IFERROR(IF(INDEX(SPOT_Import!$A$1:$Z$2488,917,'Live Data'!$C$17)="","",INDEX(SPOT_Import!$A$1:$Z$2488,917,'Live Data'!$C$17)),"")</f>
        <v>HTS</v>
      </c>
      <c r="G917" s="54">
        <f>IFERROR(IF(INDEX(SPOT_Import!$A$1:$Z$2488,917,'Live Data'!$C$18)="","",INDEX(SPOT_Import!$A$1:$Z$2488,917,'Live Data'!$C$18)),"")</f>
        <v>3131</v>
      </c>
      <c r="H917" s="54">
        <f>IFERROR(IF(INDEX(SPOT_Import!$A$1:$Z$2488,917,'Live Data'!$C$19)="","",INDEX(SPOT_Import!$A$1:$Z$2488,917,'Live Data'!$C$19)),"")</f>
        <v>3131</v>
      </c>
      <c r="I917" s="54" t="str">
        <f>IFERROR(IF(INDEX(SPOT_Import!$A$1:$Z$2488,917,'Live Data'!$C$20)="","",INDEX(SPOT_Import!$A$1:$Z$2488,917,'Live Data'!$C$20)),"")</f>
        <v>Complete</v>
      </c>
      <c r="J917" s="54" t="str">
        <f>IFERROR(IF(INDEX(SPOT_Import!$A$1:$Z$2488,917,'Live Data'!$C$21)="","",INDEX(SPOT_Import!$A$1:$Z$2488,917,'Live Data'!$C$21)),"")</f>
        <v>2026-10-05T13:46:14.000Z</v>
      </c>
      <c r="K917" s="54" t="str">
        <f>IFERROR(IF(INDEX(SPOT_Import!$A$1:$Z$2488,917,'Live Data'!$C$22)="","",INDEX(SPOT_Import!$A$1:$Z$2488,917,'Live Data'!$C$22)),"")</f>
        <v>2026-10-05T13:46:14.000Z</v>
      </c>
      <c r="L917" s="55" t="str">
        <f t="shared" si="28"/>
        <v>2026-10</v>
      </c>
      <c r="M917" s="55" t="str">
        <f t="shared" si="29"/>
        <v>MACHAKOS</v>
      </c>
      <c r="N917" s="55" t="str">
        <f>IF(A917="","",IFERROR(INDEX('Cluster Map'!$A$4:$A$38,MATCH(M917,'Cluster Map'!$B$4:$B$38,0)),"Unmapped"))</f>
        <v>Cluster 5</v>
      </c>
      <c r="O917" s="55">
        <f>IF(A917="",0,IF(COUNTIFS($A$2:A917,A917,$F$2:F917,F917,$L$2:L917,L917)=1,1,0))</f>
        <v>1</v>
      </c>
      <c r="P917" s="55">
        <f>IF(A917="",0,IF(AND(F917="C&amp;T",COUNTIFS($A$2:A917,A917,$F$2:F917,"C&amp;T")=1),1,0))</f>
        <v>0</v>
      </c>
    </row>
    <row r="918" spans="1:16" x14ac:dyDescent="0.35">
      <c r="A918" s="54">
        <f>IFERROR(IF(INDEX(SPOT_Import!$A$1:$Z$2488,918,'Live Data'!$C$12)="","",INDEX(SPOT_Import!$A$1:$Z$2488,918,'Live Data'!$C$12)),"")</f>
        <v>12743</v>
      </c>
      <c r="B918" s="54" t="str">
        <f>IFERROR(IF(INDEX(SPOT_Import!$A$1:$Z$2488,918,'Live Data'!$C$13)="","",INDEX(SPOT_Import!$A$1:$Z$2488,918,'Live Data'!$C$13)),"")</f>
        <v>St Ann Hospital</v>
      </c>
      <c r="C918" s="54" t="str">
        <f>IFERROR(IF(INDEX(SPOT_Import!$A$1:$Z$2488,918,'Live Data'!$C$14)="","",INDEX(SPOT_Import!$A$1:$Z$2488,918,'Live Data'!$C$14)),"")</f>
        <v>MERU</v>
      </c>
      <c r="D918" s="54" t="str">
        <f>IFERROR(IF(INDEX(SPOT_Import!$A$1:$Z$2488,918,'Live Data'!$C$15)="","",INDEX(SPOT_Import!$A$1:$Z$2488,918,'Live Data'!$C$15)),"")</f>
        <v>Imenti South</v>
      </c>
      <c r="E918" s="54" t="str">
        <f>IFERROR(IF(INDEX(SPOT_Import!$A$1:$Z$2488,918,'Live Data'!$C$16)="","",INDEX(SPOT_Import!$A$1:$Z$2488,918,'Live Data'!$C$16)),"")</f>
        <v>CHAK CHAP STAWISHA</v>
      </c>
      <c r="F918" s="54" t="str">
        <f>IFERROR(IF(INDEX(SPOT_Import!$A$1:$Z$2488,918,'Live Data'!$C$17)="","",INDEX(SPOT_Import!$A$1:$Z$2488,918,'Live Data'!$C$17)),"")</f>
        <v>C&amp;T</v>
      </c>
      <c r="G918" s="54">
        <f>IFERROR(IF(INDEX(SPOT_Import!$A$1:$Z$2488,918,'Live Data'!$C$18)="","",INDEX(SPOT_Import!$A$1:$Z$2488,918,'Live Data'!$C$18)),"")</f>
        <v>809</v>
      </c>
      <c r="H918" s="54">
        <f>IFERROR(IF(INDEX(SPOT_Import!$A$1:$Z$2488,918,'Live Data'!$C$19)="","",INDEX(SPOT_Import!$A$1:$Z$2488,918,'Live Data'!$C$19)),"")</f>
        <v>809</v>
      </c>
      <c r="I918" s="54" t="str">
        <f>IFERROR(IF(INDEX(SPOT_Import!$A$1:$Z$2488,918,'Live Data'!$C$20)="","",INDEX(SPOT_Import!$A$1:$Z$2488,918,'Live Data'!$C$20)),"")</f>
        <v>Complete</v>
      </c>
      <c r="J918" s="54" t="str">
        <f>IFERROR(IF(INDEX(SPOT_Import!$A$1:$Z$2488,918,'Live Data'!$C$21)="","",INDEX(SPOT_Import!$A$1:$Z$2488,918,'Live Data'!$C$21)),"")</f>
        <v>2026-10-05T13:34:32.000Z</v>
      </c>
      <c r="K918" s="54" t="str">
        <f>IFERROR(IF(INDEX(SPOT_Import!$A$1:$Z$2488,918,'Live Data'!$C$22)="","",INDEX(SPOT_Import!$A$1:$Z$2488,918,'Live Data'!$C$22)),"")</f>
        <v>2026-10-05T13:34:32.000Z</v>
      </c>
      <c r="L918" s="55" t="str">
        <f t="shared" si="28"/>
        <v>2026-10</v>
      </c>
      <c r="M918" s="55" t="str">
        <f t="shared" si="29"/>
        <v>MERU</v>
      </c>
      <c r="N918" s="55" t="str">
        <f>IF(A918="","",IFERROR(INDEX('Cluster Map'!$A$4:$A$38,MATCH(M918,'Cluster Map'!$B$4:$B$38,0)),"Unmapped"))</f>
        <v>Cluster 1</v>
      </c>
      <c r="O918" s="55">
        <f>IF(A918="",0,IF(COUNTIFS($A$2:A918,A918,$F$2:F918,F918,$L$2:L918,L918)=1,1,0))</f>
        <v>1</v>
      </c>
      <c r="P918" s="55">
        <f>IF(A918="",0,IF(AND(F918="C&amp;T",COUNTIFS($A$2:A918,A918,$F$2:F918,"C&amp;T")=1),1,0))</f>
        <v>1</v>
      </c>
    </row>
    <row r="919" spans="1:16" x14ac:dyDescent="0.35">
      <c r="A919" s="54">
        <f>IFERROR(IF(INDEX(SPOT_Import!$A$1:$Z$2488,919,'Live Data'!$C$12)="","",INDEX(SPOT_Import!$A$1:$Z$2488,919,'Live Data'!$C$12)),"")</f>
        <v>16742</v>
      </c>
      <c r="B919" s="54" t="str">
        <f>IFERROR(IF(INDEX(SPOT_Import!$A$1:$Z$2488,919,'Live Data'!$C$13)="","",INDEX(SPOT_Import!$A$1:$Z$2488,919,'Live Data'!$C$13)),"")</f>
        <v>St Mark Maternity</v>
      </c>
      <c r="C919" s="54" t="str">
        <f>IFERROR(IF(INDEX(SPOT_Import!$A$1:$Z$2488,919,'Live Data'!$C$14)="","",INDEX(SPOT_Import!$A$1:$Z$2488,919,'Live Data'!$C$14)),"")</f>
        <v>MACHAKOS</v>
      </c>
      <c r="D919" s="54" t="str">
        <f>IFERROR(IF(INDEX(SPOT_Import!$A$1:$Z$2488,919,'Live Data'!$C$15)="","",INDEX(SPOT_Import!$A$1:$Z$2488,919,'Live Data'!$C$15)),"")</f>
        <v>Matungulu</v>
      </c>
      <c r="E919" s="54" t="str">
        <f>IFERROR(IF(INDEX(SPOT_Import!$A$1:$Z$2488,919,'Live Data'!$C$16)="","",INDEX(SPOT_Import!$A$1:$Z$2488,919,'Live Data'!$C$16)),"")</f>
        <v>CHAK CHAP STAWISHA</v>
      </c>
      <c r="F919" s="54" t="str">
        <f>IFERROR(IF(INDEX(SPOT_Import!$A$1:$Z$2488,919,'Live Data'!$C$17)="","",INDEX(SPOT_Import!$A$1:$Z$2488,919,'Live Data'!$C$17)),"")</f>
        <v>C&amp;T</v>
      </c>
      <c r="G919" s="54">
        <f>IFERROR(IF(INDEX(SPOT_Import!$A$1:$Z$2488,919,'Live Data'!$C$18)="","",INDEX(SPOT_Import!$A$1:$Z$2488,919,'Live Data'!$C$18)),"")</f>
        <v>294</v>
      </c>
      <c r="H919" s="54">
        <f>IFERROR(IF(INDEX(SPOT_Import!$A$1:$Z$2488,919,'Live Data'!$C$19)="","",INDEX(SPOT_Import!$A$1:$Z$2488,919,'Live Data'!$C$19)),"")</f>
        <v>294</v>
      </c>
      <c r="I919" s="54" t="str">
        <f>IFERROR(IF(INDEX(SPOT_Import!$A$1:$Z$2488,919,'Live Data'!$C$20)="","",INDEX(SPOT_Import!$A$1:$Z$2488,919,'Live Data'!$C$20)),"")</f>
        <v>Complete</v>
      </c>
      <c r="J919" s="54" t="str">
        <f>IFERROR(IF(INDEX(SPOT_Import!$A$1:$Z$2488,919,'Live Data'!$C$21)="","",INDEX(SPOT_Import!$A$1:$Z$2488,919,'Live Data'!$C$21)),"")</f>
        <v>2026-10-05T13:34:30.000Z</v>
      </c>
      <c r="K919" s="54" t="str">
        <f>IFERROR(IF(INDEX(SPOT_Import!$A$1:$Z$2488,919,'Live Data'!$C$22)="","",INDEX(SPOT_Import!$A$1:$Z$2488,919,'Live Data'!$C$22)),"")</f>
        <v>2026-10-05T13:34:30.000Z</v>
      </c>
      <c r="L919" s="55" t="str">
        <f t="shared" si="28"/>
        <v>2026-10</v>
      </c>
      <c r="M919" s="55" t="str">
        <f t="shared" si="29"/>
        <v>MACHAKOS</v>
      </c>
      <c r="N919" s="55" t="str">
        <f>IF(A919="","",IFERROR(INDEX('Cluster Map'!$A$4:$A$38,MATCH(M919,'Cluster Map'!$B$4:$B$38,0)),"Unmapped"))</f>
        <v>Cluster 5</v>
      </c>
      <c r="O919" s="55">
        <f>IF(A919="",0,IF(COUNTIFS($A$2:A919,A919,$F$2:F919,F919,$L$2:L919,L919)=1,1,0))</f>
        <v>1</v>
      </c>
      <c r="P919" s="55">
        <f>IF(A919="",0,IF(AND(F919="C&amp;T",COUNTIFS($A$2:A919,A919,$F$2:F919,"C&amp;T")=1),1,0))</f>
        <v>1</v>
      </c>
    </row>
    <row r="920" spans="1:16" x14ac:dyDescent="0.35">
      <c r="A920" s="54">
        <f>IFERROR(IF(INDEX(SPOT_Import!$A$1:$Z$2488,920,'Live Data'!$C$12)="","",INDEX(SPOT_Import!$A$1:$Z$2488,920,'Live Data'!$C$12)),"")</f>
        <v>12745</v>
      </c>
      <c r="B920" s="54" t="str">
        <f>IFERROR(IF(INDEX(SPOT_Import!$A$1:$Z$2488,920,'Live Data'!$C$13)="","",INDEX(SPOT_Import!$A$1:$Z$2488,920,'Live Data'!$C$13)),"")</f>
        <v>St Assisi Sisters of Mary Immaculate Nursing Home</v>
      </c>
      <c r="C920" s="54" t="str">
        <f>IFERROR(IF(INDEX(SPOT_Import!$A$1:$Z$2488,920,'Live Data'!$C$14)="","",INDEX(SPOT_Import!$A$1:$Z$2488,920,'Live Data'!$C$14)),"")</f>
        <v>MACHAKOS</v>
      </c>
      <c r="D920" s="54" t="str">
        <f>IFERROR(IF(INDEX(SPOT_Import!$A$1:$Z$2488,920,'Live Data'!$C$15)="","",INDEX(SPOT_Import!$A$1:$Z$2488,920,'Live Data'!$C$15)),"")</f>
        <v>Athi River</v>
      </c>
      <c r="E920" s="54" t="str">
        <f>IFERROR(IF(INDEX(SPOT_Import!$A$1:$Z$2488,920,'Live Data'!$C$16)="","",INDEX(SPOT_Import!$A$1:$Z$2488,920,'Live Data'!$C$16)),"")</f>
        <v>CHAK CHAP STAWISHA</v>
      </c>
      <c r="F920" s="54" t="str">
        <f>IFERROR(IF(INDEX(SPOT_Import!$A$1:$Z$2488,920,'Live Data'!$C$17)="","",INDEX(SPOT_Import!$A$1:$Z$2488,920,'Live Data'!$C$17)),"")</f>
        <v>C&amp;T</v>
      </c>
      <c r="G920" s="54">
        <f>IFERROR(IF(INDEX(SPOT_Import!$A$1:$Z$2488,920,'Live Data'!$C$18)="","",INDEX(SPOT_Import!$A$1:$Z$2488,920,'Live Data'!$C$18)),"")</f>
        <v>335</v>
      </c>
      <c r="H920" s="54">
        <f>IFERROR(IF(INDEX(SPOT_Import!$A$1:$Z$2488,920,'Live Data'!$C$19)="","",INDEX(SPOT_Import!$A$1:$Z$2488,920,'Live Data'!$C$19)),"")</f>
        <v>335</v>
      </c>
      <c r="I920" s="54" t="str">
        <f>IFERROR(IF(INDEX(SPOT_Import!$A$1:$Z$2488,920,'Live Data'!$C$20)="","",INDEX(SPOT_Import!$A$1:$Z$2488,920,'Live Data'!$C$20)),"")</f>
        <v>Complete</v>
      </c>
      <c r="J920" s="54" t="str">
        <f>IFERROR(IF(INDEX(SPOT_Import!$A$1:$Z$2488,920,'Live Data'!$C$21)="","",INDEX(SPOT_Import!$A$1:$Z$2488,920,'Live Data'!$C$21)),"")</f>
        <v>2026-10-05T13:22:40.000Z</v>
      </c>
      <c r="K920" s="54" t="str">
        <f>IFERROR(IF(INDEX(SPOT_Import!$A$1:$Z$2488,920,'Live Data'!$C$22)="","",INDEX(SPOT_Import!$A$1:$Z$2488,920,'Live Data'!$C$22)),"")</f>
        <v>2026-10-05T13:22:40.000Z</v>
      </c>
      <c r="L920" s="55" t="str">
        <f t="shared" si="28"/>
        <v>2026-10</v>
      </c>
      <c r="M920" s="55" t="str">
        <f t="shared" si="29"/>
        <v>MACHAKOS</v>
      </c>
      <c r="N920" s="55" t="str">
        <f>IF(A920="","",IFERROR(INDEX('Cluster Map'!$A$4:$A$38,MATCH(M920,'Cluster Map'!$B$4:$B$38,0)),"Unmapped"))</f>
        <v>Cluster 5</v>
      </c>
      <c r="O920" s="55">
        <f>IF(A920="",0,IF(COUNTIFS($A$2:A920,A920,$F$2:F920,F920,$L$2:L920,L920)=1,1,0))</f>
        <v>1</v>
      </c>
      <c r="P920" s="55">
        <f>IF(A920="",0,IF(AND(F920="C&amp;T",COUNTIFS($A$2:A920,A920,$F$2:F920,"C&amp;T")=1),1,0))</f>
        <v>1</v>
      </c>
    </row>
    <row r="921" spans="1:16" x14ac:dyDescent="0.35">
      <c r="A921" s="54">
        <f>IFERROR(IF(INDEX(SPOT_Import!$A$1:$Z$2488,921,'Live Data'!$C$12)="","",INDEX(SPOT_Import!$A$1:$Z$2488,921,'Live Data'!$C$12)),"")</f>
        <v>10825</v>
      </c>
      <c r="B921" s="54" t="str">
        <f>IFERROR(IF(INDEX(SPOT_Import!$A$1:$Z$2488,921,'Live Data'!$C$13)="","",INDEX(SPOT_Import!$A$1:$Z$2488,921,'Live Data'!$C$13)),"")</f>
        <v>Nazareth Hospital</v>
      </c>
      <c r="C921" s="54" t="str">
        <f>IFERROR(IF(INDEX(SPOT_Import!$A$1:$Z$2488,921,'Live Data'!$C$14)="","",INDEX(SPOT_Import!$A$1:$Z$2488,921,'Live Data'!$C$14)),"")</f>
        <v>KIAMBU</v>
      </c>
      <c r="D921" s="54" t="str">
        <f>IFERROR(IF(INDEX(SPOT_Import!$A$1:$Z$2488,921,'Live Data'!$C$15)="","",INDEX(SPOT_Import!$A$1:$Z$2488,921,'Live Data'!$C$15)),"")</f>
        <v>Limuru</v>
      </c>
      <c r="E921" s="54" t="str">
        <f>IFERROR(IF(INDEX(SPOT_Import!$A$1:$Z$2488,921,'Live Data'!$C$16)="","",INDEX(SPOT_Import!$A$1:$Z$2488,921,'Live Data'!$C$16)),"")</f>
        <v>CHAK CHAP STAWISHA</v>
      </c>
      <c r="F921" s="54" t="str">
        <f>IFERROR(IF(INDEX(SPOT_Import!$A$1:$Z$2488,921,'Live Data'!$C$17)="","",INDEX(SPOT_Import!$A$1:$Z$2488,921,'Live Data'!$C$17)),"")</f>
        <v>C&amp;T</v>
      </c>
      <c r="G921" s="54">
        <f>IFERROR(IF(INDEX(SPOT_Import!$A$1:$Z$2488,921,'Live Data'!$C$18)="","",INDEX(SPOT_Import!$A$1:$Z$2488,921,'Live Data'!$C$18)),"")</f>
        <v>6822</v>
      </c>
      <c r="H921" s="54">
        <f>IFERROR(IF(INDEX(SPOT_Import!$A$1:$Z$2488,921,'Live Data'!$C$19)="","",INDEX(SPOT_Import!$A$1:$Z$2488,921,'Live Data'!$C$19)),"")</f>
        <v>6822</v>
      </c>
      <c r="I921" s="54" t="str">
        <f>IFERROR(IF(INDEX(SPOT_Import!$A$1:$Z$2488,921,'Live Data'!$C$20)="","",INDEX(SPOT_Import!$A$1:$Z$2488,921,'Live Data'!$C$20)),"")</f>
        <v>Complete</v>
      </c>
      <c r="J921" s="54" t="str">
        <f>IFERROR(IF(INDEX(SPOT_Import!$A$1:$Z$2488,921,'Live Data'!$C$21)="","",INDEX(SPOT_Import!$A$1:$Z$2488,921,'Live Data'!$C$21)),"")</f>
        <v>2026-10-05T12:16:15.000Z</v>
      </c>
      <c r="K921" s="54" t="str">
        <f>IFERROR(IF(INDEX(SPOT_Import!$A$1:$Z$2488,921,'Live Data'!$C$22)="","",INDEX(SPOT_Import!$A$1:$Z$2488,921,'Live Data'!$C$22)),"")</f>
        <v>2026-10-05T12:16:15.000Z</v>
      </c>
      <c r="L921" s="55" t="str">
        <f t="shared" si="28"/>
        <v>2026-10</v>
      </c>
      <c r="M921" s="55" t="str">
        <f t="shared" si="29"/>
        <v>KIAMBU</v>
      </c>
      <c r="N921" s="55" t="str">
        <f>IF(A921="","",IFERROR(INDEX('Cluster Map'!$A$4:$A$38,MATCH(M921,'Cluster Map'!$B$4:$B$38,0)),"Unmapped"))</f>
        <v>Cluster 3</v>
      </c>
      <c r="O921" s="55">
        <f>IF(A921="",0,IF(COUNTIFS($A$2:A921,A921,$F$2:F921,F921,$L$2:L921,L921)=1,1,0))</f>
        <v>1</v>
      </c>
      <c r="P921" s="55">
        <f>IF(A921="",0,IF(AND(F921="C&amp;T",COUNTIFS($A$2:A921,A921,$F$2:F921,"C&amp;T")=1),1,0))</f>
        <v>1</v>
      </c>
    </row>
    <row r="922" spans="1:16" x14ac:dyDescent="0.35">
      <c r="A922" s="54">
        <f>IFERROR(IF(INDEX(SPOT_Import!$A$1:$Z$2488,922,'Live Data'!$C$12)="","",INDEX(SPOT_Import!$A$1:$Z$2488,922,'Live Data'!$C$12)),"")</f>
        <v>12489</v>
      </c>
      <c r="B922" s="54" t="str">
        <f>IFERROR(IF(INDEX(SPOT_Import!$A$1:$Z$2488,922,'Live Data'!$C$13)="","",INDEX(SPOT_Import!$A$1:$Z$2488,922,'Live Data'!$C$13)),"")</f>
        <v>Matuu Mission Health Centre</v>
      </c>
      <c r="C922" s="54" t="str">
        <f>IFERROR(IF(INDEX(SPOT_Import!$A$1:$Z$2488,922,'Live Data'!$C$14)="","",INDEX(SPOT_Import!$A$1:$Z$2488,922,'Live Data'!$C$14)),"")</f>
        <v>MACHAKOS</v>
      </c>
      <c r="D922" s="54" t="str">
        <f>IFERROR(IF(INDEX(SPOT_Import!$A$1:$Z$2488,922,'Live Data'!$C$15)="","",INDEX(SPOT_Import!$A$1:$Z$2488,922,'Live Data'!$C$15)),"")</f>
        <v>Yatta</v>
      </c>
      <c r="E922" s="54" t="str">
        <f>IFERROR(IF(INDEX(SPOT_Import!$A$1:$Z$2488,922,'Live Data'!$C$16)="","",INDEX(SPOT_Import!$A$1:$Z$2488,922,'Live Data'!$C$16)),"")</f>
        <v>CHAK CHAP STAWISHA</v>
      </c>
      <c r="F922" s="54" t="str">
        <f>IFERROR(IF(INDEX(SPOT_Import!$A$1:$Z$2488,922,'Live Data'!$C$17)="","",INDEX(SPOT_Import!$A$1:$Z$2488,922,'Live Data'!$C$17)),"")</f>
        <v>MNCH</v>
      </c>
      <c r="G922" s="54">
        <f>IFERROR(IF(INDEX(SPOT_Import!$A$1:$Z$2488,922,'Live Data'!$C$18)="","",INDEX(SPOT_Import!$A$1:$Z$2488,922,'Live Data'!$C$18)),"")</f>
        <v>718</v>
      </c>
      <c r="H922" s="54">
        <f>IFERROR(IF(INDEX(SPOT_Import!$A$1:$Z$2488,922,'Live Data'!$C$19)="","",INDEX(SPOT_Import!$A$1:$Z$2488,922,'Live Data'!$C$19)),"")</f>
        <v>718</v>
      </c>
      <c r="I922" s="54" t="str">
        <f>IFERROR(IF(INDEX(SPOT_Import!$A$1:$Z$2488,922,'Live Data'!$C$20)="","",INDEX(SPOT_Import!$A$1:$Z$2488,922,'Live Data'!$C$20)),"")</f>
        <v>Complete</v>
      </c>
      <c r="J922" s="54" t="str">
        <f>IFERROR(IF(INDEX(SPOT_Import!$A$1:$Z$2488,922,'Live Data'!$C$21)="","",INDEX(SPOT_Import!$A$1:$Z$2488,922,'Live Data'!$C$21)),"")</f>
        <v>2026-10-05T09:51:37.000Z</v>
      </c>
      <c r="K922" s="54" t="str">
        <f>IFERROR(IF(INDEX(SPOT_Import!$A$1:$Z$2488,922,'Live Data'!$C$22)="","",INDEX(SPOT_Import!$A$1:$Z$2488,922,'Live Data'!$C$22)),"")</f>
        <v>2026-10-05T09:51:37.000Z</v>
      </c>
      <c r="L922" s="55" t="str">
        <f t="shared" si="28"/>
        <v>2026-10</v>
      </c>
      <c r="M922" s="55" t="str">
        <f t="shared" si="29"/>
        <v>MACHAKOS</v>
      </c>
      <c r="N922" s="55" t="str">
        <f>IF(A922="","",IFERROR(INDEX('Cluster Map'!$A$4:$A$38,MATCH(M922,'Cluster Map'!$B$4:$B$38,0)),"Unmapped"))</f>
        <v>Cluster 5</v>
      </c>
      <c r="O922" s="55">
        <f>IF(A922="",0,IF(COUNTIFS($A$2:A922,A922,$F$2:F922,F922,$L$2:L922,L922)=1,1,0))</f>
        <v>1</v>
      </c>
      <c r="P922" s="55">
        <f>IF(A922="",0,IF(AND(F922="C&amp;T",COUNTIFS($A$2:A922,A922,$F$2:F922,"C&amp;T")=1),1,0))</f>
        <v>0</v>
      </c>
    </row>
    <row r="923" spans="1:16" x14ac:dyDescent="0.35">
      <c r="A923" s="54">
        <f>IFERROR(IF(INDEX(SPOT_Import!$A$1:$Z$2488,923,'Live Data'!$C$12)="","",INDEX(SPOT_Import!$A$1:$Z$2488,923,'Live Data'!$C$12)),"")</f>
        <v>12489</v>
      </c>
      <c r="B923" s="54" t="str">
        <f>IFERROR(IF(INDEX(SPOT_Import!$A$1:$Z$2488,923,'Live Data'!$C$13)="","",INDEX(SPOT_Import!$A$1:$Z$2488,923,'Live Data'!$C$13)),"")</f>
        <v>Matuu Mission Health Centre</v>
      </c>
      <c r="C923" s="54" t="str">
        <f>IFERROR(IF(INDEX(SPOT_Import!$A$1:$Z$2488,923,'Live Data'!$C$14)="","",INDEX(SPOT_Import!$A$1:$Z$2488,923,'Live Data'!$C$14)),"")</f>
        <v>MACHAKOS</v>
      </c>
      <c r="D923" s="54" t="str">
        <f>IFERROR(IF(INDEX(SPOT_Import!$A$1:$Z$2488,923,'Live Data'!$C$15)="","",INDEX(SPOT_Import!$A$1:$Z$2488,923,'Live Data'!$C$15)),"")</f>
        <v>Yatta</v>
      </c>
      <c r="E923" s="54" t="str">
        <f>IFERROR(IF(INDEX(SPOT_Import!$A$1:$Z$2488,923,'Live Data'!$C$16)="","",INDEX(SPOT_Import!$A$1:$Z$2488,923,'Live Data'!$C$16)),"")</f>
        <v>CHAK CHAP STAWISHA</v>
      </c>
      <c r="F923" s="54" t="str">
        <f>IFERROR(IF(INDEX(SPOT_Import!$A$1:$Z$2488,923,'Live Data'!$C$17)="","",INDEX(SPOT_Import!$A$1:$Z$2488,923,'Live Data'!$C$17)),"")</f>
        <v>HTS</v>
      </c>
      <c r="G923" s="54">
        <f>IFERROR(IF(INDEX(SPOT_Import!$A$1:$Z$2488,923,'Live Data'!$C$18)="","",INDEX(SPOT_Import!$A$1:$Z$2488,923,'Live Data'!$C$18)),"")</f>
        <v>5609</v>
      </c>
      <c r="H923" s="54">
        <f>IFERROR(IF(INDEX(SPOT_Import!$A$1:$Z$2488,923,'Live Data'!$C$19)="","",INDEX(SPOT_Import!$A$1:$Z$2488,923,'Live Data'!$C$19)),"")</f>
        <v>5609</v>
      </c>
      <c r="I923" s="54" t="str">
        <f>IFERROR(IF(INDEX(SPOT_Import!$A$1:$Z$2488,923,'Live Data'!$C$20)="","",INDEX(SPOT_Import!$A$1:$Z$2488,923,'Live Data'!$C$20)),"")</f>
        <v>Complete</v>
      </c>
      <c r="J923" s="54" t="str">
        <f>IFERROR(IF(INDEX(SPOT_Import!$A$1:$Z$2488,923,'Live Data'!$C$21)="","",INDEX(SPOT_Import!$A$1:$Z$2488,923,'Live Data'!$C$21)),"")</f>
        <v>2026-10-05T09:50:01.000Z</v>
      </c>
      <c r="K923" s="54" t="str">
        <f>IFERROR(IF(INDEX(SPOT_Import!$A$1:$Z$2488,923,'Live Data'!$C$22)="","",INDEX(SPOT_Import!$A$1:$Z$2488,923,'Live Data'!$C$22)),"")</f>
        <v>2026-10-05T09:50:01.000Z</v>
      </c>
      <c r="L923" s="55" t="str">
        <f t="shared" si="28"/>
        <v>2026-10</v>
      </c>
      <c r="M923" s="55" t="str">
        <f t="shared" si="29"/>
        <v>MACHAKOS</v>
      </c>
      <c r="N923" s="55" t="str">
        <f>IF(A923="","",IFERROR(INDEX('Cluster Map'!$A$4:$A$38,MATCH(M923,'Cluster Map'!$B$4:$B$38,0)),"Unmapped"))</f>
        <v>Cluster 5</v>
      </c>
      <c r="O923" s="55">
        <f>IF(A923="",0,IF(COUNTIFS($A$2:A923,A923,$F$2:F923,F923,$L$2:L923,L923)=1,1,0))</f>
        <v>1</v>
      </c>
      <c r="P923" s="55">
        <f>IF(A923="",0,IF(AND(F923="C&amp;T",COUNTIFS($A$2:A923,A923,$F$2:F923,"C&amp;T")=1),1,0))</f>
        <v>0</v>
      </c>
    </row>
    <row r="924" spans="1:16" x14ac:dyDescent="0.35">
      <c r="A924" s="54">
        <f>IFERROR(IF(INDEX(SPOT_Import!$A$1:$Z$2488,924,'Live Data'!$C$12)="","",INDEX(SPOT_Import!$A$1:$Z$2488,924,'Live Data'!$C$12)),"")</f>
        <v>12489</v>
      </c>
      <c r="B924" s="54" t="str">
        <f>IFERROR(IF(INDEX(SPOT_Import!$A$1:$Z$2488,924,'Live Data'!$C$13)="","",INDEX(SPOT_Import!$A$1:$Z$2488,924,'Live Data'!$C$13)),"")</f>
        <v>Matuu Mission Health Centre</v>
      </c>
      <c r="C924" s="54" t="str">
        <f>IFERROR(IF(INDEX(SPOT_Import!$A$1:$Z$2488,924,'Live Data'!$C$14)="","",INDEX(SPOT_Import!$A$1:$Z$2488,924,'Live Data'!$C$14)),"")</f>
        <v>MACHAKOS</v>
      </c>
      <c r="D924" s="54" t="str">
        <f>IFERROR(IF(INDEX(SPOT_Import!$A$1:$Z$2488,924,'Live Data'!$C$15)="","",INDEX(SPOT_Import!$A$1:$Z$2488,924,'Live Data'!$C$15)),"")</f>
        <v>Yatta</v>
      </c>
      <c r="E924" s="54" t="str">
        <f>IFERROR(IF(INDEX(SPOT_Import!$A$1:$Z$2488,924,'Live Data'!$C$16)="","",INDEX(SPOT_Import!$A$1:$Z$2488,924,'Live Data'!$C$16)),"")</f>
        <v>CHAK CHAP STAWISHA</v>
      </c>
      <c r="F924" s="54" t="str">
        <f>IFERROR(IF(INDEX(SPOT_Import!$A$1:$Z$2488,924,'Live Data'!$C$17)="","",INDEX(SPOT_Import!$A$1:$Z$2488,924,'Live Data'!$C$17)),"")</f>
        <v>PREP</v>
      </c>
      <c r="G924" s="54">
        <f>IFERROR(IF(INDEX(SPOT_Import!$A$1:$Z$2488,924,'Live Data'!$C$18)="","",INDEX(SPOT_Import!$A$1:$Z$2488,924,'Live Data'!$C$18)),"")</f>
        <v>409</v>
      </c>
      <c r="H924" s="54">
        <f>IFERROR(IF(INDEX(SPOT_Import!$A$1:$Z$2488,924,'Live Data'!$C$19)="","",INDEX(SPOT_Import!$A$1:$Z$2488,924,'Live Data'!$C$19)),"")</f>
        <v>409</v>
      </c>
      <c r="I924" s="54" t="str">
        <f>IFERROR(IF(INDEX(SPOT_Import!$A$1:$Z$2488,924,'Live Data'!$C$20)="","",INDEX(SPOT_Import!$A$1:$Z$2488,924,'Live Data'!$C$20)),"")</f>
        <v>Complete</v>
      </c>
      <c r="J924" s="54" t="str">
        <f>IFERROR(IF(INDEX(SPOT_Import!$A$1:$Z$2488,924,'Live Data'!$C$21)="","",INDEX(SPOT_Import!$A$1:$Z$2488,924,'Live Data'!$C$21)),"")</f>
        <v>2026-10-05T09:47:43.000Z</v>
      </c>
      <c r="K924" s="54" t="str">
        <f>IFERROR(IF(INDEX(SPOT_Import!$A$1:$Z$2488,924,'Live Data'!$C$22)="","",INDEX(SPOT_Import!$A$1:$Z$2488,924,'Live Data'!$C$22)),"")</f>
        <v>2026-10-05T09:47:43.000Z</v>
      </c>
      <c r="L924" s="55" t="str">
        <f t="shared" si="28"/>
        <v>2026-10</v>
      </c>
      <c r="M924" s="55" t="str">
        <f t="shared" si="29"/>
        <v>MACHAKOS</v>
      </c>
      <c r="N924" s="55" t="str">
        <f>IF(A924="","",IFERROR(INDEX('Cluster Map'!$A$4:$A$38,MATCH(M924,'Cluster Map'!$B$4:$B$38,0)),"Unmapped"))</f>
        <v>Cluster 5</v>
      </c>
      <c r="O924" s="55">
        <f>IF(A924="",0,IF(COUNTIFS($A$2:A924,A924,$F$2:F924,F924,$L$2:L924,L924)=1,1,0))</f>
        <v>1</v>
      </c>
      <c r="P924" s="55">
        <f>IF(A924="",0,IF(AND(F924="C&amp;T",COUNTIFS($A$2:A924,A924,$F$2:F924,"C&amp;T")=1),1,0))</f>
        <v>0</v>
      </c>
    </row>
    <row r="925" spans="1:16" x14ac:dyDescent="0.35">
      <c r="A925" s="54">
        <f>IFERROR(IF(INDEX(SPOT_Import!$A$1:$Z$2488,925,'Live Data'!$C$12)="","",INDEX(SPOT_Import!$A$1:$Z$2488,925,'Live Data'!$C$12)),"")</f>
        <v>10693</v>
      </c>
      <c r="B925" s="54" t="str">
        <f>IFERROR(IF(INDEX(SPOT_Import!$A$1:$Z$2488,925,'Live Data'!$C$13)="","",INDEX(SPOT_Import!$A$1:$Z$2488,925,'Live Data'!$C$13)),"")</f>
        <v>Kijabe (AIC) Hospital Marira Medical Clinic</v>
      </c>
      <c r="C925" s="54" t="str">
        <f>IFERROR(IF(INDEX(SPOT_Import!$A$1:$Z$2488,925,'Live Data'!$C$14)="","",INDEX(SPOT_Import!$A$1:$Z$2488,925,'Live Data'!$C$14)),"")</f>
        <v>KIAMBU</v>
      </c>
      <c r="D925" s="54" t="str">
        <f>IFERROR(IF(INDEX(SPOT_Import!$A$1:$Z$2488,925,'Live Data'!$C$15)="","",INDEX(SPOT_Import!$A$1:$Z$2488,925,'Live Data'!$C$15)),"")</f>
        <v>Lari</v>
      </c>
      <c r="E925" s="54" t="str">
        <f>IFERROR(IF(INDEX(SPOT_Import!$A$1:$Z$2488,925,'Live Data'!$C$16)="","",INDEX(SPOT_Import!$A$1:$Z$2488,925,'Live Data'!$C$16)),"")</f>
        <v>CHAK CHAP STAWISHA</v>
      </c>
      <c r="F925" s="54" t="str">
        <f>IFERROR(IF(INDEX(SPOT_Import!$A$1:$Z$2488,925,'Live Data'!$C$17)="","",INDEX(SPOT_Import!$A$1:$Z$2488,925,'Live Data'!$C$17)),"")</f>
        <v>PREP</v>
      </c>
      <c r="G925" s="54">
        <f>IFERROR(IF(INDEX(SPOT_Import!$A$1:$Z$2488,925,'Live Data'!$C$18)="","",INDEX(SPOT_Import!$A$1:$Z$2488,925,'Live Data'!$C$18)),"")</f>
        <v>872</v>
      </c>
      <c r="H925" s="54">
        <f>IFERROR(IF(INDEX(SPOT_Import!$A$1:$Z$2488,925,'Live Data'!$C$19)="","",INDEX(SPOT_Import!$A$1:$Z$2488,925,'Live Data'!$C$19)),"")</f>
        <v>872</v>
      </c>
      <c r="I925" s="54" t="str">
        <f>IFERROR(IF(INDEX(SPOT_Import!$A$1:$Z$2488,925,'Live Data'!$C$20)="","",INDEX(SPOT_Import!$A$1:$Z$2488,925,'Live Data'!$C$20)),"")</f>
        <v>Complete</v>
      </c>
      <c r="J925" s="54" t="str">
        <f>IFERROR(IF(INDEX(SPOT_Import!$A$1:$Z$2488,925,'Live Data'!$C$21)="","",INDEX(SPOT_Import!$A$1:$Z$2488,925,'Live Data'!$C$21)),"")</f>
        <v>2026-10-05T09:42:18.000Z</v>
      </c>
      <c r="K925" s="54" t="str">
        <f>IFERROR(IF(INDEX(SPOT_Import!$A$1:$Z$2488,925,'Live Data'!$C$22)="","",INDEX(SPOT_Import!$A$1:$Z$2488,925,'Live Data'!$C$22)),"")</f>
        <v>2026-10-05T09:42:18.000Z</v>
      </c>
      <c r="L925" s="55" t="str">
        <f t="shared" si="28"/>
        <v>2026-10</v>
      </c>
      <c r="M925" s="55" t="str">
        <f t="shared" si="29"/>
        <v>KIAMBU</v>
      </c>
      <c r="N925" s="55" t="str">
        <f>IF(A925="","",IFERROR(INDEX('Cluster Map'!$A$4:$A$38,MATCH(M925,'Cluster Map'!$B$4:$B$38,0)),"Unmapped"))</f>
        <v>Cluster 3</v>
      </c>
      <c r="O925" s="55">
        <f>IF(A925="",0,IF(COUNTIFS($A$2:A925,A925,$F$2:F925,F925,$L$2:L925,L925)=1,1,0))</f>
        <v>1</v>
      </c>
      <c r="P925" s="55">
        <f>IF(A925="",0,IF(AND(F925="C&amp;T",COUNTIFS($A$2:A925,A925,$F$2:F925,"C&amp;T")=1),1,0))</f>
        <v>0</v>
      </c>
    </row>
    <row r="926" spans="1:16" x14ac:dyDescent="0.35">
      <c r="A926" s="54">
        <f>IFERROR(IF(INDEX(SPOT_Import!$A$1:$Z$2488,926,'Live Data'!$C$12)="","",INDEX(SPOT_Import!$A$1:$Z$2488,926,'Live Data'!$C$12)),"")</f>
        <v>12489</v>
      </c>
      <c r="B926" s="54" t="str">
        <f>IFERROR(IF(INDEX(SPOT_Import!$A$1:$Z$2488,926,'Live Data'!$C$13)="","",INDEX(SPOT_Import!$A$1:$Z$2488,926,'Live Data'!$C$13)),"")</f>
        <v>Matuu Mission Health Centre</v>
      </c>
      <c r="C926" s="54" t="str">
        <f>IFERROR(IF(INDEX(SPOT_Import!$A$1:$Z$2488,926,'Live Data'!$C$14)="","",INDEX(SPOT_Import!$A$1:$Z$2488,926,'Live Data'!$C$14)),"")</f>
        <v>MACHAKOS</v>
      </c>
      <c r="D926" s="54" t="str">
        <f>IFERROR(IF(INDEX(SPOT_Import!$A$1:$Z$2488,926,'Live Data'!$C$15)="","",INDEX(SPOT_Import!$A$1:$Z$2488,926,'Live Data'!$C$15)),"")</f>
        <v>Yatta</v>
      </c>
      <c r="E926" s="54" t="str">
        <f>IFERROR(IF(INDEX(SPOT_Import!$A$1:$Z$2488,926,'Live Data'!$C$16)="","",INDEX(SPOT_Import!$A$1:$Z$2488,926,'Live Data'!$C$16)),"")</f>
        <v>CHAK CHAP STAWISHA</v>
      </c>
      <c r="F926" s="54" t="str">
        <f>IFERROR(IF(INDEX(SPOT_Import!$A$1:$Z$2488,926,'Live Data'!$C$17)="","",INDEX(SPOT_Import!$A$1:$Z$2488,926,'Live Data'!$C$17)),"")</f>
        <v>C&amp;T</v>
      </c>
      <c r="G926" s="54">
        <f>IFERROR(IF(INDEX(SPOT_Import!$A$1:$Z$2488,926,'Live Data'!$C$18)="","",INDEX(SPOT_Import!$A$1:$Z$2488,926,'Live Data'!$C$18)),"")</f>
        <v>848</v>
      </c>
      <c r="H926" s="54">
        <f>IFERROR(IF(INDEX(SPOT_Import!$A$1:$Z$2488,926,'Live Data'!$C$19)="","",INDEX(SPOT_Import!$A$1:$Z$2488,926,'Live Data'!$C$19)),"")</f>
        <v>848</v>
      </c>
      <c r="I926" s="54" t="str">
        <f>IFERROR(IF(INDEX(SPOT_Import!$A$1:$Z$2488,926,'Live Data'!$C$20)="","",INDEX(SPOT_Import!$A$1:$Z$2488,926,'Live Data'!$C$20)),"")</f>
        <v>Complete</v>
      </c>
      <c r="J926" s="54" t="str">
        <f>IFERROR(IF(INDEX(SPOT_Import!$A$1:$Z$2488,926,'Live Data'!$C$21)="","",INDEX(SPOT_Import!$A$1:$Z$2488,926,'Live Data'!$C$21)),"")</f>
        <v>2026-10-05T09:34:24.000Z</v>
      </c>
      <c r="K926" s="54" t="str">
        <f>IFERROR(IF(INDEX(SPOT_Import!$A$1:$Z$2488,926,'Live Data'!$C$22)="","",INDEX(SPOT_Import!$A$1:$Z$2488,926,'Live Data'!$C$22)),"")</f>
        <v>2026-10-05T09:34:24.000Z</v>
      </c>
      <c r="L926" s="55" t="str">
        <f t="shared" si="28"/>
        <v>2026-10</v>
      </c>
      <c r="M926" s="55" t="str">
        <f t="shared" si="29"/>
        <v>MACHAKOS</v>
      </c>
      <c r="N926" s="55" t="str">
        <f>IF(A926="","",IFERROR(INDEX('Cluster Map'!$A$4:$A$38,MATCH(M926,'Cluster Map'!$B$4:$B$38,0)),"Unmapped"))</f>
        <v>Cluster 5</v>
      </c>
      <c r="O926" s="55">
        <f>IF(A926="",0,IF(COUNTIFS($A$2:A926,A926,$F$2:F926,F926,$L$2:L926,L926)=1,1,0))</f>
        <v>1</v>
      </c>
      <c r="P926" s="55">
        <f>IF(A926="",0,IF(AND(F926="C&amp;T",COUNTIFS($A$2:A926,A926,$F$2:F926,"C&amp;T")=1),1,0))</f>
        <v>1</v>
      </c>
    </row>
    <row r="927" spans="1:16" x14ac:dyDescent="0.35">
      <c r="A927" s="54">
        <f>IFERROR(IF(INDEX(SPOT_Import!$A$1:$Z$2488,927,'Live Data'!$C$12)="","",INDEX(SPOT_Import!$A$1:$Z$2488,927,'Live Data'!$C$12)),"")</f>
        <v>10825</v>
      </c>
      <c r="B927" s="54" t="str">
        <f>IFERROR(IF(INDEX(SPOT_Import!$A$1:$Z$2488,927,'Live Data'!$C$13)="","",INDEX(SPOT_Import!$A$1:$Z$2488,927,'Live Data'!$C$13)),"")</f>
        <v>Nazareth Hospital</v>
      </c>
      <c r="C927" s="54" t="str">
        <f>IFERROR(IF(INDEX(SPOT_Import!$A$1:$Z$2488,927,'Live Data'!$C$14)="","",INDEX(SPOT_Import!$A$1:$Z$2488,927,'Live Data'!$C$14)),"")</f>
        <v>KIAMBU</v>
      </c>
      <c r="D927" s="54" t="str">
        <f>IFERROR(IF(INDEX(SPOT_Import!$A$1:$Z$2488,927,'Live Data'!$C$15)="","",INDEX(SPOT_Import!$A$1:$Z$2488,927,'Live Data'!$C$15)),"")</f>
        <v>Limuru</v>
      </c>
      <c r="E927" s="54" t="str">
        <f>IFERROR(IF(INDEX(SPOT_Import!$A$1:$Z$2488,927,'Live Data'!$C$16)="","",INDEX(SPOT_Import!$A$1:$Z$2488,927,'Live Data'!$C$16)),"")</f>
        <v>CHAK CHAP STAWISHA</v>
      </c>
      <c r="F927" s="54" t="str">
        <f>IFERROR(IF(INDEX(SPOT_Import!$A$1:$Z$2488,927,'Live Data'!$C$17)="","",INDEX(SPOT_Import!$A$1:$Z$2488,927,'Live Data'!$C$17)),"")</f>
        <v>HTS</v>
      </c>
      <c r="G927" s="54">
        <f>IFERROR(IF(INDEX(SPOT_Import!$A$1:$Z$2488,927,'Live Data'!$C$18)="","",INDEX(SPOT_Import!$A$1:$Z$2488,927,'Live Data'!$C$18)),"")</f>
        <v>13587</v>
      </c>
      <c r="H927" s="54">
        <f>IFERROR(IF(INDEX(SPOT_Import!$A$1:$Z$2488,927,'Live Data'!$C$19)="","",INDEX(SPOT_Import!$A$1:$Z$2488,927,'Live Data'!$C$19)),"")</f>
        <v>13587</v>
      </c>
      <c r="I927" s="54" t="str">
        <f>IFERROR(IF(INDEX(SPOT_Import!$A$1:$Z$2488,927,'Live Data'!$C$20)="","",INDEX(SPOT_Import!$A$1:$Z$2488,927,'Live Data'!$C$20)),"")</f>
        <v>Complete</v>
      </c>
      <c r="J927" s="54" t="str">
        <f>IFERROR(IF(INDEX(SPOT_Import!$A$1:$Z$2488,927,'Live Data'!$C$21)="","",INDEX(SPOT_Import!$A$1:$Z$2488,927,'Live Data'!$C$21)),"")</f>
        <v>2026-10-05T08:56:10.000Z</v>
      </c>
      <c r="K927" s="54" t="str">
        <f>IFERROR(IF(INDEX(SPOT_Import!$A$1:$Z$2488,927,'Live Data'!$C$22)="","",INDEX(SPOT_Import!$A$1:$Z$2488,927,'Live Data'!$C$22)),"")</f>
        <v>2026-10-05T08:56:10.000Z</v>
      </c>
      <c r="L927" s="55" t="str">
        <f t="shared" si="28"/>
        <v>2026-10</v>
      </c>
      <c r="M927" s="55" t="str">
        <f t="shared" si="29"/>
        <v>KIAMBU</v>
      </c>
      <c r="N927" s="55" t="str">
        <f>IF(A927="","",IFERROR(INDEX('Cluster Map'!$A$4:$A$38,MATCH(M927,'Cluster Map'!$B$4:$B$38,0)),"Unmapped"))</f>
        <v>Cluster 3</v>
      </c>
      <c r="O927" s="55">
        <f>IF(A927="",0,IF(COUNTIFS($A$2:A927,A927,$F$2:F927,F927,$L$2:L927,L927)=1,1,0))</f>
        <v>1</v>
      </c>
      <c r="P927" s="55">
        <f>IF(A927="",0,IF(AND(F927="C&amp;T",COUNTIFS($A$2:A927,A927,$F$2:F927,"C&amp;T")=1),1,0))</f>
        <v>0</v>
      </c>
    </row>
    <row r="928" spans="1:16" x14ac:dyDescent="0.35">
      <c r="A928" s="54">
        <f>IFERROR(IF(INDEX(SPOT_Import!$A$1:$Z$2488,928,'Live Data'!$C$12)="","",INDEX(SPOT_Import!$A$1:$Z$2488,928,'Live Data'!$C$12)),"")</f>
        <v>10825</v>
      </c>
      <c r="B928" s="54" t="str">
        <f>IFERROR(IF(INDEX(SPOT_Import!$A$1:$Z$2488,928,'Live Data'!$C$13)="","",INDEX(SPOT_Import!$A$1:$Z$2488,928,'Live Data'!$C$13)),"")</f>
        <v>Nazareth Hospital</v>
      </c>
      <c r="C928" s="54" t="str">
        <f>IFERROR(IF(INDEX(SPOT_Import!$A$1:$Z$2488,928,'Live Data'!$C$14)="","",INDEX(SPOT_Import!$A$1:$Z$2488,928,'Live Data'!$C$14)),"")</f>
        <v>KIAMBU</v>
      </c>
      <c r="D928" s="54" t="str">
        <f>IFERROR(IF(INDEX(SPOT_Import!$A$1:$Z$2488,928,'Live Data'!$C$15)="","",INDEX(SPOT_Import!$A$1:$Z$2488,928,'Live Data'!$C$15)),"")</f>
        <v>Limuru</v>
      </c>
      <c r="E928" s="54" t="str">
        <f>IFERROR(IF(INDEX(SPOT_Import!$A$1:$Z$2488,928,'Live Data'!$C$16)="","",INDEX(SPOT_Import!$A$1:$Z$2488,928,'Live Data'!$C$16)),"")</f>
        <v>CHAK CHAP STAWISHA</v>
      </c>
      <c r="F928" s="54" t="str">
        <f>IFERROR(IF(INDEX(SPOT_Import!$A$1:$Z$2488,928,'Live Data'!$C$17)="","",INDEX(SPOT_Import!$A$1:$Z$2488,928,'Live Data'!$C$17)),"")</f>
        <v>PREP</v>
      </c>
      <c r="G928" s="54">
        <f>IFERROR(IF(INDEX(SPOT_Import!$A$1:$Z$2488,928,'Live Data'!$C$18)="","",INDEX(SPOT_Import!$A$1:$Z$2488,928,'Live Data'!$C$18)),"")</f>
        <v>1684</v>
      </c>
      <c r="H928" s="54">
        <f>IFERROR(IF(INDEX(SPOT_Import!$A$1:$Z$2488,928,'Live Data'!$C$19)="","",INDEX(SPOT_Import!$A$1:$Z$2488,928,'Live Data'!$C$19)),"")</f>
        <v>1684</v>
      </c>
      <c r="I928" s="54" t="str">
        <f>IFERROR(IF(INDEX(SPOT_Import!$A$1:$Z$2488,928,'Live Data'!$C$20)="","",INDEX(SPOT_Import!$A$1:$Z$2488,928,'Live Data'!$C$20)),"")</f>
        <v>Complete</v>
      </c>
      <c r="J928" s="54" t="str">
        <f>IFERROR(IF(INDEX(SPOT_Import!$A$1:$Z$2488,928,'Live Data'!$C$21)="","",INDEX(SPOT_Import!$A$1:$Z$2488,928,'Live Data'!$C$21)),"")</f>
        <v>2026-10-05T08:54:36.000Z</v>
      </c>
      <c r="K928" s="54" t="str">
        <f>IFERROR(IF(INDEX(SPOT_Import!$A$1:$Z$2488,928,'Live Data'!$C$22)="","",INDEX(SPOT_Import!$A$1:$Z$2488,928,'Live Data'!$C$22)),"")</f>
        <v>2026-10-05T08:54:36.000Z</v>
      </c>
      <c r="L928" s="55" t="str">
        <f t="shared" si="28"/>
        <v>2026-10</v>
      </c>
      <c r="M928" s="55" t="str">
        <f t="shared" si="29"/>
        <v>KIAMBU</v>
      </c>
      <c r="N928" s="55" t="str">
        <f>IF(A928="","",IFERROR(INDEX('Cluster Map'!$A$4:$A$38,MATCH(M928,'Cluster Map'!$B$4:$B$38,0)),"Unmapped"))</f>
        <v>Cluster 3</v>
      </c>
      <c r="O928" s="55">
        <f>IF(A928="",0,IF(COUNTIFS($A$2:A928,A928,$F$2:F928,F928,$L$2:L928,L928)=1,1,0))</f>
        <v>1</v>
      </c>
      <c r="P928" s="55">
        <f>IF(A928="",0,IF(AND(F928="C&amp;T",COUNTIFS($A$2:A928,A928,$F$2:F928,"C&amp;T")=1),1,0))</f>
        <v>0</v>
      </c>
    </row>
    <row r="929" spans="1:16" x14ac:dyDescent="0.35">
      <c r="A929" s="54">
        <f>IFERROR(IF(INDEX(SPOT_Import!$A$1:$Z$2488,929,'Live Data'!$C$12)="","",INDEX(SPOT_Import!$A$1:$Z$2488,929,'Live Data'!$C$12)),"")</f>
        <v>14394</v>
      </c>
      <c r="B929" s="54" t="str">
        <f>IFERROR(IF(INDEX(SPOT_Import!$A$1:$Z$2488,929,'Live Data'!$C$13)="","",INDEX(SPOT_Import!$A$1:$Z$2488,929,'Live Data'!$C$13)),"")</f>
        <v>CMF Aitong Health Centre</v>
      </c>
      <c r="C929" s="54" t="str">
        <f>IFERROR(IF(INDEX(SPOT_Import!$A$1:$Z$2488,929,'Live Data'!$C$14)="","",INDEX(SPOT_Import!$A$1:$Z$2488,929,'Live Data'!$C$14)),"")</f>
        <v>NAROK</v>
      </c>
      <c r="D929" s="54" t="str">
        <f>IFERROR(IF(INDEX(SPOT_Import!$A$1:$Z$2488,929,'Live Data'!$C$15)="","",INDEX(SPOT_Import!$A$1:$Z$2488,929,'Live Data'!$C$15)),"")</f>
        <v>Narok West</v>
      </c>
      <c r="E929" s="54" t="str">
        <f>IFERROR(IF(INDEX(SPOT_Import!$A$1:$Z$2488,929,'Live Data'!$C$16)="","",INDEX(SPOT_Import!$A$1:$Z$2488,929,'Live Data'!$C$16)),"")</f>
        <v>CHAK CHAP STAWISHA</v>
      </c>
      <c r="F929" s="54" t="str">
        <f>IFERROR(IF(INDEX(SPOT_Import!$A$1:$Z$2488,929,'Live Data'!$C$17)="","",INDEX(SPOT_Import!$A$1:$Z$2488,929,'Live Data'!$C$17)),"")</f>
        <v>MNCH</v>
      </c>
      <c r="G929" s="54">
        <f>IFERROR(IF(INDEX(SPOT_Import!$A$1:$Z$2488,929,'Live Data'!$C$18)="","",INDEX(SPOT_Import!$A$1:$Z$2488,929,'Live Data'!$C$18)),"")</f>
        <v>31</v>
      </c>
      <c r="H929" s="54">
        <f>IFERROR(IF(INDEX(SPOT_Import!$A$1:$Z$2488,929,'Live Data'!$C$19)="","",INDEX(SPOT_Import!$A$1:$Z$2488,929,'Live Data'!$C$19)),"")</f>
        <v>31</v>
      </c>
      <c r="I929" s="54" t="str">
        <f>IFERROR(IF(INDEX(SPOT_Import!$A$1:$Z$2488,929,'Live Data'!$C$20)="","",INDEX(SPOT_Import!$A$1:$Z$2488,929,'Live Data'!$C$20)),"")</f>
        <v>Complete</v>
      </c>
      <c r="J929" s="54" t="str">
        <f>IFERROR(IF(INDEX(SPOT_Import!$A$1:$Z$2488,929,'Live Data'!$C$21)="","",INDEX(SPOT_Import!$A$1:$Z$2488,929,'Live Data'!$C$21)),"")</f>
        <v>2026-10-05T08:38:49.000Z</v>
      </c>
      <c r="K929" s="54" t="str">
        <f>IFERROR(IF(INDEX(SPOT_Import!$A$1:$Z$2488,929,'Live Data'!$C$22)="","",INDEX(SPOT_Import!$A$1:$Z$2488,929,'Live Data'!$C$22)),"")</f>
        <v>2026-10-05T08:38:49.000Z</v>
      </c>
      <c r="L929" s="55" t="str">
        <f t="shared" si="28"/>
        <v>2026-10</v>
      </c>
      <c r="M929" s="55" t="str">
        <f t="shared" si="29"/>
        <v>NAROK</v>
      </c>
      <c r="N929" s="55" t="str">
        <f>IF(A929="","",IFERROR(INDEX('Cluster Map'!$A$4:$A$38,MATCH(M929,'Cluster Map'!$B$4:$B$38,0)),"Unmapped"))</f>
        <v>Cluster 4</v>
      </c>
      <c r="O929" s="55">
        <f>IF(A929="",0,IF(COUNTIFS($A$2:A929,A929,$F$2:F929,F929,$L$2:L929,L929)=1,1,0))</f>
        <v>1</v>
      </c>
      <c r="P929" s="55">
        <f>IF(A929="",0,IF(AND(F929="C&amp;T",COUNTIFS($A$2:A929,A929,$F$2:F929,"C&amp;T")=1),1,0))</f>
        <v>0</v>
      </c>
    </row>
    <row r="930" spans="1:16" x14ac:dyDescent="0.35">
      <c r="A930" s="54">
        <f>IFERROR(IF(INDEX(SPOT_Import!$A$1:$Z$2488,930,'Live Data'!$C$12)="","",INDEX(SPOT_Import!$A$1:$Z$2488,930,'Live Data'!$C$12)),"")</f>
        <v>14394</v>
      </c>
      <c r="B930" s="54" t="str">
        <f>IFERROR(IF(INDEX(SPOT_Import!$A$1:$Z$2488,930,'Live Data'!$C$13)="","",INDEX(SPOT_Import!$A$1:$Z$2488,930,'Live Data'!$C$13)),"")</f>
        <v>CMF Aitong Health Centre</v>
      </c>
      <c r="C930" s="54" t="str">
        <f>IFERROR(IF(INDEX(SPOT_Import!$A$1:$Z$2488,930,'Live Data'!$C$14)="","",INDEX(SPOT_Import!$A$1:$Z$2488,930,'Live Data'!$C$14)),"")</f>
        <v>NAROK</v>
      </c>
      <c r="D930" s="54" t="str">
        <f>IFERROR(IF(INDEX(SPOT_Import!$A$1:$Z$2488,930,'Live Data'!$C$15)="","",INDEX(SPOT_Import!$A$1:$Z$2488,930,'Live Data'!$C$15)),"")</f>
        <v>Narok West</v>
      </c>
      <c r="E930" s="54" t="str">
        <f>IFERROR(IF(INDEX(SPOT_Import!$A$1:$Z$2488,930,'Live Data'!$C$16)="","",INDEX(SPOT_Import!$A$1:$Z$2488,930,'Live Data'!$C$16)),"")</f>
        <v>CHAK CHAP STAWISHA</v>
      </c>
      <c r="F930" s="54" t="str">
        <f>IFERROR(IF(INDEX(SPOT_Import!$A$1:$Z$2488,930,'Live Data'!$C$17)="","",INDEX(SPOT_Import!$A$1:$Z$2488,930,'Live Data'!$C$17)),"")</f>
        <v>HTS</v>
      </c>
      <c r="G930" s="54">
        <f>IFERROR(IF(INDEX(SPOT_Import!$A$1:$Z$2488,930,'Live Data'!$C$18)="","",INDEX(SPOT_Import!$A$1:$Z$2488,930,'Live Data'!$C$18)),"")</f>
        <v>3374</v>
      </c>
      <c r="H930" s="54">
        <f>IFERROR(IF(INDEX(SPOT_Import!$A$1:$Z$2488,930,'Live Data'!$C$19)="","",INDEX(SPOT_Import!$A$1:$Z$2488,930,'Live Data'!$C$19)),"")</f>
        <v>3374</v>
      </c>
      <c r="I930" s="54" t="str">
        <f>IFERROR(IF(INDEX(SPOT_Import!$A$1:$Z$2488,930,'Live Data'!$C$20)="","",INDEX(SPOT_Import!$A$1:$Z$2488,930,'Live Data'!$C$20)),"")</f>
        <v>Complete</v>
      </c>
      <c r="J930" s="54" t="str">
        <f>IFERROR(IF(INDEX(SPOT_Import!$A$1:$Z$2488,930,'Live Data'!$C$21)="","",INDEX(SPOT_Import!$A$1:$Z$2488,930,'Live Data'!$C$21)),"")</f>
        <v>2026-10-05T08:36:42.000Z</v>
      </c>
      <c r="K930" s="54" t="str">
        <f>IFERROR(IF(INDEX(SPOT_Import!$A$1:$Z$2488,930,'Live Data'!$C$22)="","",INDEX(SPOT_Import!$A$1:$Z$2488,930,'Live Data'!$C$22)),"")</f>
        <v>2026-10-05T08:36:42.000Z</v>
      </c>
      <c r="L930" s="55" t="str">
        <f t="shared" si="28"/>
        <v>2026-10</v>
      </c>
      <c r="M930" s="55" t="str">
        <f t="shared" si="29"/>
        <v>NAROK</v>
      </c>
      <c r="N930" s="55" t="str">
        <f>IF(A930="","",IFERROR(INDEX('Cluster Map'!$A$4:$A$38,MATCH(M930,'Cluster Map'!$B$4:$B$38,0)),"Unmapped"))</f>
        <v>Cluster 4</v>
      </c>
      <c r="O930" s="55">
        <f>IF(A930="",0,IF(COUNTIFS($A$2:A930,A930,$F$2:F930,F930,$L$2:L930,L930)=1,1,0))</f>
        <v>1</v>
      </c>
      <c r="P930" s="55">
        <f>IF(A930="",0,IF(AND(F930="C&amp;T",COUNTIFS($A$2:A930,A930,$F$2:F930,"C&amp;T")=1),1,0))</f>
        <v>0</v>
      </c>
    </row>
    <row r="931" spans="1:16" x14ac:dyDescent="0.35">
      <c r="A931" s="54">
        <f>IFERROR(IF(INDEX(SPOT_Import!$A$1:$Z$2488,931,'Live Data'!$C$12)="","",INDEX(SPOT_Import!$A$1:$Z$2488,931,'Live Data'!$C$12)),"")</f>
        <v>17094</v>
      </c>
      <c r="B931" s="54" t="str">
        <f>IFERROR(IF(INDEX(SPOT_Import!$A$1:$Z$2488,931,'Live Data'!$C$13)="","",INDEX(SPOT_Import!$A$1:$Z$2488,931,'Live Data'!$C$13)),"")</f>
        <v>Tinganga Catholic Dispensary</v>
      </c>
      <c r="C931" s="54" t="str">
        <f>IFERROR(IF(INDEX(SPOT_Import!$A$1:$Z$2488,931,'Live Data'!$C$14)="","",INDEX(SPOT_Import!$A$1:$Z$2488,931,'Live Data'!$C$14)),"")</f>
        <v>KIAMBU</v>
      </c>
      <c r="D931" s="54" t="str">
        <f>IFERROR(IF(INDEX(SPOT_Import!$A$1:$Z$2488,931,'Live Data'!$C$15)="","",INDEX(SPOT_Import!$A$1:$Z$2488,931,'Live Data'!$C$15)),"")</f>
        <v>Kiambu Town</v>
      </c>
      <c r="E931" s="54" t="str">
        <f>IFERROR(IF(INDEX(SPOT_Import!$A$1:$Z$2488,931,'Live Data'!$C$16)="","",INDEX(SPOT_Import!$A$1:$Z$2488,931,'Live Data'!$C$16)),"")</f>
        <v>CHAK CHAP STAWISHA</v>
      </c>
      <c r="F931" s="54" t="str">
        <f>IFERROR(IF(INDEX(SPOT_Import!$A$1:$Z$2488,931,'Live Data'!$C$17)="","",INDEX(SPOT_Import!$A$1:$Z$2488,931,'Live Data'!$C$17)),"")</f>
        <v>C&amp;T</v>
      </c>
      <c r="G931" s="54">
        <f>IFERROR(IF(INDEX(SPOT_Import!$A$1:$Z$2488,931,'Live Data'!$C$18)="","",INDEX(SPOT_Import!$A$1:$Z$2488,931,'Live Data'!$C$18)),"")</f>
        <v>1361</v>
      </c>
      <c r="H931" s="54">
        <f>IFERROR(IF(INDEX(SPOT_Import!$A$1:$Z$2488,931,'Live Data'!$C$19)="","",INDEX(SPOT_Import!$A$1:$Z$2488,931,'Live Data'!$C$19)),"")</f>
        <v>1361</v>
      </c>
      <c r="I931" s="54" t="str">
        <f>IFERROR(IF(INDEX(SPOT_Import!$A$1:$Z$2488,931,'Live Data'!$C$20)="","",INDEX(SPOT_Import!$A$1:$Z$2488,931,'Live Data'!$C$20)),"")</f>
        <v>Complete</v>
      </c>
      <c r="J931" s="54" t="str">
        <f>IFERROR(IF(INDEX(SPOT_Import!$A$1:$Z$2488,931,'Live Data'!$C$21)="","",INDEX(SPOT_Import!$A$1:$Z$2488,931,'Live Data'!$C$21)),"")</f>
        <v>2026-10-05T08:36:29.000Z</v>
      </c>
      <c r="K931" s="54" t="str">
        <f>IFERROR(IF(INDEX(SPOT_Import!$A$1:$Z$2488,931,'Live Data'!$C$22)="","",INDEX(SPOT_Import!$A$1:$Z$2488,931,'Live Data'!$C$22)),"")</f>
        <v>2026-10-05T08:36:29.000Z</v>
      </c>
      <c r="L931" s="55" t="str">
        <f t="shared" si="28"/>
        <v>2026-10</v>
      </c>
      <c r="M931" s="55" t="str">
        <f t="shared" si="29"/>
        <v>KIAMBU</v>
      </c>
      <c r="N931" s="55" t="str">
        <f>IF(A931="","",IFERROR(INDEX('Cluster Map'!$A$4:$A$38,MATCH(M931,'Cluster Map'!$B$4:$B$38,0)),"Unmapped"))</f>
        <v>Cluster 3</v>
      </c>
      <c r="O931" s="55">
        <f>IF(A931="",0,IF(COUNTIFS($A$2:A931,A931,$F$2:F931,F931,$L$2:L931,L931)=1,1,0))</f>
        <v>1</v>
      </c>
      <c r="P931" s="55">
        <f>IF(A931="",0,IF(AND(F931="C&amp;T",COUNTIFS($A$2:A931,A931,$F$2:F931,"C&amp;T")=1),1,0))</f>
        <v>1</v>
      </c>
    </row>
    <row r="932" spans="1:16" x14ac:dyDescent="0.35">
      <c r="A932" s="54">
        <f>IFERROR(IF(INDEX(SPOT_Import!$A$1:$Z$2488,932,'Live Data'!$C$12)="","",INDEX(SPOT_Import!$A$1:$Z$2488,932,'Live Data'!$C$12)),"")</f>
        <v>10693</v>
      </c>
      <c r="B932" s="54" t="str">
        <f>IFERROR(IF(INDEX(SPOT_Import!$A$1:$Z$2488,932,'Live Data'!$C$13)="","",INDEX(SPOT_Import!$A$1:$Z$2488,932,'Live Data'!$C$13)),"")</f>
        <v>Kijabe (AIC) Hospital Marira Medical Clinic</v>
      </c>
      <c r="C932" s="54" t="str">
        <f>IFERROR(IF(INDEX(SPOT_Import!$A$1:$Z$2488,932,'Live Data'!$C$14)="","",INDEX(SPOT_Import!$A$1:$Z$2488,932,'Live Data'!$C$14)),"")</f>
        <v>KIAMBU</v>
      </c>
      <c r="D932" s="54" t="str">
        <f>IFERROR(IF(INDEX(SPOT_Import!$A$1:$Z$2488,932,'Live Data'!$C$15)="","",INDEX(SPOT_Import!$A$1:$Z$2488,932,'Live Data'!$C$15)),"")</f>
        <v>Lari</v>
      </c>
      <c r="E932" s="54" t="str">
        <f>IFERROR(IF(INDEX(SPOT_Import!$A$1:$Z$2488,932,'Live Data'!$C$16)="","",INDEX(SPOT_Import!$A$1:$Z$2488,932,'Live Data'!$C$16)),"")</f>
        <v>CHAK CHAP STAWISHA</v>
      </c>
      <c r="F932" s="54" t="str">
        <f>IFERROR(IF(INDEX(SPOT_Import!$A$1:$Z$2488,932,'Live Data'!$C$17)="","",INDEX(SPOT_Import!$A$1:$Z$2488,932,'Live Data'!$C$17)),"")</f>
        <v>MNCH</v>
      </c>
      <c r="G932" s="54">
        <f>IFERROR(IF(INDEX(SPOT_Import!$A$1:$Z$2488,932,'Live Data'!$C$18)="","",INDEX(SPOT_Import!$A$1:$Z$2488,932,'Live Data'!$C$18)),"")</f>
        <v>598</v>
      </c>
      <c r="H932" s="54">
        <f>IFERROR(IF(INDEX(SPOT_Import!$A$1:$Z$2488,932,'Live Data'!$C$19)="","",INDEX(SPOT_Import!$A$1:$Z$2488,932,'Live Data'!$C$19)),"")</f>
        <v>598</v>
      </c>
      <c r="I932" s="54" t="str">
        <f>IFERROR(IF(INDEX(SPOT_Import!$A$1:$Z$2488,932,'Live Data'!$C$20)="","",INDEX(SPOT_Import!$A$1:$Z$2488,932,'Live Data'!$C$20)),"")</f>
        <v>Complete</v>
      </c>
      <c r="J932" s="54" t="str">
        <f>IFERROR(IF(INDEX(SPOT_Import!$A$1:$Z$2488,932,'Live Data'!$C$21)="","",INDEX(SPOT_Import!$A$1:$Z$2488,932,'Live Data'!$C$21)),"")</f>
        <v>2026-10-05T08:04:19.000Z</v>
      </c>
      <c r="K932" s="54" t="str">
        <f>IFERROR(IF(INDEX(SPOT_Import!$A$1:$Z$2488,932,'Live Data'!$C$22)="","",INDEX(SPOT_Import!$A$1:$Z$2488,932,'Live Data'!$C$22)),"")</f>
        <v>2026-10-05T08:04:19.000Z</v>
      </c>
      <c r="L932" s="55" t="str">
        <f t="shared" si="28"/>
        <v>2026-10</v>
      </c>
      <c r="M932" s="55" t="str">
        <f t="shared" si="29"/>
        <v>KIAMBU</v>
      </c>
      <c r="N932" s="55" t="str">
        <f>IF(A932="","",IFERROR(INDEX('Cluster Map'!$A$4:$A$38,MATCH(M932,'Cluster Map'!$B$4:$B$38,0)),"Unmapped"))</f>
        <v>Cluster 3</v>
      </c>
      <c r="O932" s="55">
        <f>IF(A932="",0,IF(COUNTIFS($A$2:A932,A932,$F$2:F932,F932,$L$2:L932,L932)=1,1,0))</f>
        <v>1</v>
      </c>
      <c r="P932" s="55">
        <f>IF(A932="",0,IF(AND(F932="C&amp;T",COUNTIFS($A$2:A932,A932,$F$2:F932,"C&amp;T")=1),1,0))</f>
        <v>0</v>
      </c>
    </row>
    <row r="933" spans="1:16" x14ac:dyDescent="0.35">
      <c r="A933" s="54">
        <f>IFERROR(IF(INDEX(SPOT_Import!$A$1:$Z$2488,933,'Live Data'!$C$12)="","",INDEX(SPOT_Import!$A$1:$Z$2488,933,'Live Data'!$C$12)),"")</f>
        <v>14394</v>
      </c>
      <c r="B933" s="54" t="str">
        <f>IFERROR(IF(INDEX(SPOT_Import!$A$1:$Z$2488,933,'Live Data'!$C$13)="","",INDEX(SPOT_Import!$A$1:$Z$2488,933,'Live Data'!$C$13)),"")</f>
        <v>Cmf Aitong Health Centre</v>
      </c>
      <c r="C933" s="54" t="str">
        <f>IFERROR(IF(INDEX(SPOT_Import!$A$1:$Z$2488,933,'Live Data'!$C$14)="","",INDEX(SPOT_Import!$A$1:$Z$2488,933,'Live Data'!$C$14)),"")</f>
        <v>NAROK</v>
      </c>
      <c r="D933" s="54" t="str">
        <f>IFERROR(IF(INDEX(SPOT_Import!$A$1:$Z$2488,933,'Live Data'!$C$15)="","",INDEX(SPOT_Import!$A$1:$Z$2488,933,'Live Data'!$C$15)),"")</f>
        <v>Narok West</v>
      </c>
      <c r="E933" s="54" t="str">
        <f>IFERROR(IF(INDEX(SPOT_Import!$A$1:$Z$2488,933,'Live Data'!$C$16)="","",INDEX(SPOT_Import!$A$1:$Z$2488,933,'Live Data'!$C$16)),"")</f>
        <v>CHAK CHAP STAWISHA</v>
      </c>
      <c r="F933" s="54" t="str">
        <f>IFERROR(IF(INDEX(SPOT_Import!$A$1:$Z$2488,933,'Live Data'!$C$17)="","",INDEX(SPOT_Import!$A$1:$Z$2488,933,'Live Data'!$C$17)),"")</f>
        <v>C&amp;T</v>
      </c>
      <c r="G933" s="54">
        <f>IFERROR(IF(INDEX(SPOT_Import!$A$1:$Z$2488,933,'Live Data'!$C$18)="","",INDEX(SPOT_Import!$A$1:$Z$2488,933,'Live Data'!$C$18)),"")</f>
        <v>433</v>
      </c>
      <c r="H933" s="54">
        <f>IFERROR(IF(INDEX(SPOT_Import!$A$1:$Z$2488,933,'Live Data'!$C$19)="","",INDEX(SPOT_Import!$A$1:$Z$2488,933,'Live Data'!$C$19)),"")</f>
        <v>433</v>
      </c>
      <c r="I933" s="54" t="str">
        <f>IFERROR(IF(INDEX(SPOT_Import!$A$1:$Z$2488,933,'Live Data'!$C$20)="","",INDEX(SPOT_Import!$A$1:$Z$2488,933,'Live Data'!$C$20)),"")</f>
        <v>Complete</v>
      </c>
      <c r="J933" s="54" t="str">
        <f>IFERROR(IF(INDEX(SPOT_Import!$A$1:$Z$2488,933,'Live Data'!$C$21)="","",INDEX(SPOT_Import!$A$1:$Z$2488,933,'Live Data'!$C$21)),"")</f>
        <v>2026-10-05T08:01:59.000Z</v>
      </c>
      <c r="K933" s="54" t="str">
        <f>IFERROR(IF(INDEX(SPOT_Import!$A$1:$Z$2488,933,'Live Data'!$C$22)="","",INDEX(SPOT_Import!$A$1:$Z$2488,933,'Live Data'!$C$22)),"")</f>
        <v>2026-10-05T08:01:59.000Z</v>
      </c>
      <c r="L933" s="55" t="str">
        <f t="shared" si="28"/>
        <v>2026-10</v>
      </c>
      <c r="M933" s="55" t="str">
        <f t="shared" si="29"/>
        <v>NAROK</v>
      </c>
      <c r="N933" s="55" t="str">
        <f>IF(A933="","",IFERROR(INDEX('Cluster Map'!$A$4:$A$38,MATCH(M933,'Cluster Map'!$B$4:$B$38,0)),"Unmapped"))</f>
        <v>Cluster 4</v>
      </c>
      <c r="O933" s="55">
        <f>IF(A933="",0,IF(COUNTIFS($A$2:A933,A933,$F$2:F933,F933,$L$2:L933,L933)=1,1,0))</f>
        <v>1</v>
      </c>
      <c r="P933" s="55">
        <f>IF(A933="",0,IF(AND(F933="C&amp;T",COUNTIFS($A$2:A933,A933,$F$2:F933,"C&amp;T")=1),1,0))</f>
        <v>1</v>
      </c>
    </row>
    <row r="934" spans="1:16" x14ac:dyDescent="0.35">
      <c r="A934" s="54">
        <f>IFERROR(IF(INDEX(SPOT_Import!$A$1:$Z$2488,934,'Live Data'!$C$12)="","",INDEX(SPOT_Import!$A$1:$Z$2488,934,'Live Data'!$C$12)),"")</f>
        <v>17094</v>
      </c>
      <c r="B934" s="54" t="str">
        <f>IFERROR(IF(INDEX(SPOT_Import!$A$1:$Z$2488,934,'Live Data'!$C$13)="","",INDEX(SPOT_Import!$A$1:$Z$2488,934,'Live Data'!$C$13)),"")</f>
        <v>Tinganga Catholic Dispensary</v>
      </c>
      <c r="C934" s="54" t="str">
        <f>IFERROR(IF(INDEX(SPOT_Import!$A$1:$Z$2488,934,'Live Data'!$C$14)="","",INDEX(SPOT_Import!$A$1:$Z$2488,934,'Live Data'!$C$14)),"")</f>
        <v>KIAMBU</v>
      </c>
      <c r="D934" s="54" t="str">
        <f>IFERROR(IF(INDEX(SPOT_Import!$A$1:$Z$2488,934,'Live Data'!$C$15)="","",INDEX(SPOT_Import!$A$1:$Z$2488,934,'Live Data'!$C$15)),"")</f>
        <v>Kiambu Town</v>
      </c>
      <c r="E934" s="54" t="str">
        <f>IFERROR(IF(INDEX(SPOT_Import!$A$1:$Z$2488,934,'Live Data'!$C$16)="","",INDEX(SPOT_Import!$A$1:$Z$2488,934,'Live Data'!$C$16)),"")</f>
        <v>CHAK CHAP STAWISHA</v>
      </c>
      <c r="F934" s="54" t="str">
        <f>IFERROR(IF(INDEX(SPOT_Import!$A$1:$Z$2488,934,'Live Data'!$C$17)="","",INDEX(SPOT_Import!$A$1:$Z$2488,934,'Live Data'!$C$17)),"")</f>
        <v>HTS</v>
      </c>
      <c r="G934" s="54">
        <f>IFERROR(IF(INDEX(SPOT_Import!$A$1:$Z$2488,934,'Live Data'!$C$18)="","",INDEX(SPOT_Import!$A$1:$Z$2488,934,'Live Data'!$C$18)),"")</f>
        <v>2878</v>
      </c>
      <c r="H934" s="54">
        <f>IFERROR(IF(INDEX(SPOT_Import!$A$1:$Z$2488,934,'Live Data'!$C$19)="","",INDEX(SPOT_Import!$A$1:$Z$2488,934,'Live Data'!$C$19)),"")</f>
        <v>2878</v>
      </c>
      <c r="I934" s="54" t="str">
        <f>IFERROR(IF(INDEX(SPOT_Import!$A$1:$Z$2488,934,'Live Data'!$C$20)="","",INDEX(SPOT_Import!$A$1:$Z$2488,934,'Live Data'!$C$20)),"")</f>
        <v>Complete</v>
      </c>
      <c r="J934" s="54" t="str">
        <f>IFERROR(IF(INDEX(SPOT_Import!$A$1:$Z$2488,934,'Live Data'!$C$21)="","",INDEX(SPOT_Import!$A$1:$Z$2488,934,'Live Data'!$C$21)),"")</f>
        <v>2026-10-05T07:49:56.000Z</v>
      </c>
      <c r="K934" s="54" t="str">
        <f>IFERROR(IF(INDEX(SPOT_Import!$A$1:$Z$2488,934,'Live Data'!$C$22)="","",INDEX(SPOT_Import!$A$1:$Z$2488,934,'Live Data'!$C$22)),"")</f>
        <v>2026-10-05T07:49:56.000Z</v>
      </c>
      <c r="L934" s="55" t="str">
        <f t="shared" si="28"/>
        <v>2026-10</v>
      </c>
      <c r="M934" s="55" t="str">
        <f t="shared" si="29"/>
        <v>KIAMBU</v>
      </c>
      <c r="N934" s="55" t="str">
        <f>IF(A934="","",IFERROR(INDEX('Cluster Map'!$A$4:$A$38,MATCH(M934,'Cluster Map'!$B$4:$B$38,0)),"Unmapped"))</f>
        <v>Cluster 3</v>
      </c>
      <c r="O934" s="55">
        <f>IF(A934="",0,IF(COUNTIFS($A$2:A934,A934,$F$2:F934,F934,$L$2:L934,L934)=1,1,0))</f>
        <v>1</v>
      </c>
      <c r="P934" s="55">
        <f>IF(A934="",0,IF(AND(F934="C&amp;T",COUNTIFS($A$2:A934,A934,$F$2:F934,"C&amp;T")=1),1,0))</f>
        <v>0</v>
      </c>
    </row>
    <row r="935" spans="1:16" x14ac:dyDescent="0.35">
      <c r="A935" s="54">
        <f>IFERROR(IF(INDEX(SPOT_Import!$A$1:$Z$2488,935,'Live Data'!$C$12)="","",INDEX(SPOT_Import!$A$1:$Z$2488,935,'Live Data'!$C$12)),"")</f>
        <v>17094</v>
      </c>
      <c r="B935" s="54" t="str">
        <f>IFERROR(IF(INDEX(SPOT_Import!$A$1:$Z$2488,935,'Live Data'!$C$13)="","",INDEX(SPOT_Import!$A$1:$Z$2488,935,'Live Data'!$C$13)),"")</f>
        <v>Tinganga Catholic Dispensary</v>
      </c>
      <c r="C935" s="54" t="str">
        <f>IFERROR(IF(INDEX(SPOT_Import!$A$1:$Z$2488,935,'Live Data'!$C$14)="","",INDEX(SPOT_Import!$A$1:$Z$2488,935,'Live Data'!$C$14)),"")</f>
        <v>KIAMBU</v>
      </c>
      <c r="D935" s="54" t="str">
        <f>IFERROR(IF(INDEX(SPOT_Import!$A$1:$Z$2488,935,'Live Data'!$C$15)="","",INDEX(SPOT_Import!$A$1:$Z$2488,935,'Live Data'!$C$15)),"")</f>
        <v>Kiambu Town</v>
      </c>
      <c r="E935" s="54" t="str">
        <f>IFERROR(IF(INDEX(SPOT_Import!$A$1:$Z$2488,935,'Live Data'!$C$16)="","",INDEX(SPOT_Import!$A$1:$Z$2488,935,'Live Data'!$C$16)),"")</f>
        <v>CHAK CHAP STAWISHA</v>
      </c>
      <c r="F935" s="54" t="str">
        <f>IFERROR(IF(INDEX(SPOT_Import!$A$1:$Z$2488,935,'Live Data'!$C$17)="","",INDEX(SPOT_Import!$A$1:$Z$2488,935,'Live Data'!$C$17)),"")</f>
        <v>MNCH</v>
      </c>
      <c r="G935" s="54">
        <f>IFERROR(IF(INDEX(SPOT_Import!$A$1:$Z$2488,935,'Live Data'!$C$18)="","",INDEX(SPOT_Import!$A$1:$Z$2488,935,'Live Data'!$C$18)),"")</f>
        <v>303</v>
      </c>
      <c r="H935" s="54">
        <f>IFERROR(IF(INDEX(SPOT_Import!$A$1:$Z$2488,935,'Live Data'!$C$19)="","",INDEX(SPOT_Import!$A$1:$Z$2488,935,'Live Data'!$C$19)),"")</f>
        <v>200</v>
      </c>
      <c r="I935" s="54" t="str">
        <f>IFERROR(IF(INDEX(SPOT_Import!$A$1:$Z$2488,935,'Live Data'!$C$20)="","",INDEX(SPOT_Import!$A$1:$Z$2488,935,'Live Data'!$C$20)),"")</f>
        <v>Complete</v>
      </c>
      <c r="J935" s="54" t="str">
        <f>IFERROR(IF(INDEX(SPOT_Import!$A$1:$Z$2488,935,'Live Data'!$C$21)="","",INDEX(SPOT_Import!$A$1:$Z$2488,935,'Live Data'!$C$21)),"")</f>
        <v>2026-10-05T07:49:12.000Z</v>
      </c>
      <c r="K935" s="54" t="str">
        <f>IFERROR(IF(INDEX(SPOT_Import!$A$1:$Z$2488,935,'Live Data'!$C$22)="","",INDEX(SPOT_Import!$A$1:$Z$2488,935,'Live Data'!$C$22)),"")</f>
        <v>2026-10-05T07:49:12.000Z</v>
      </c>
      <c r="L935" s="55" t="str">
        <f t="shared" si="28"/>
        <v>2026-10</v>
      </c>
      <c r="M935" s="55" t="str">
        <f t="shared" si="29"/>
        <v>KIAMBU</v>
      </c>
      <c r="N935" s="55" t="str">
        <f>IF(A935="","",IFERROR(INDEX('Cluster Map'!$A$4:$A$38,MATCH(M935,'Cluster Map'!$B$4:$B$38,0)),"Unmapped"))</f>
        <v>Cluster 3</v>
      </c>
      <c r="O935" s="55">
        <f>IF(A935="",0,IF(COUNTIFS($A$2:A935,A935,$F$2:F935,F935,$L$2:L935,L935)=1,1,0))</f>
        <v>1</v>
      </c>
      <c r="P935" s="55">
        <f>IF(A935="",0,IF(AND(F935="C&amp;T",COUNTIFS($A$2:A935,A935,$F$2:F935,"C&amp;T")=1),1,0))</f>
        <v>0</v>
      </c>
    </row>
    <row r="936" spans="1:16" x14ac:dyDescent="0.35">
      <c r="A936" s="54">
        <f>IFERROR(IF(INDEX(SPOT_Import!$A$1:$Z$2488,936,'Live Data'!$C$12)="","",INDEX(SPOT_Import!$A$1:$Z$2488,936,'Live Data'!$C$12)),"")</f>
        <v>17094</v>
      </c>
      <c r="B936" s="54" t="str">
        <f>IFERROR(IF(INDEX(SPOT_Import!$A$1:$Z$2488,936,'Live Data'!$C$13)="","",INDEX(SPOT_Import!$A$1:$Z$2488,936,'Live Data'!$C$13)),"")</f>
        <v>Tinganga Catholic Dispensary</v>
      </c>
      <c r="C936" s="54" t="str">
        <f>IFERROR(IF(INDEX(SPOT_Import!$A$1:$Z$2488,936,'Live Data'!$C$14)="","",INDEX(SPOT_Import!$A$1:$Z$2488,936,'Live Data'!$C$14)),"")</f>
        <v>KIAMBU</v>
      </c>
      <c r="D936" s="54" t="str">
        <f>IFERROR(IF(INDEX(SPOT_Import!$A$1:$Z$2488,936,'Live Data'!$C$15)="","",INDEX(SPOT_Import!$A$1:$Z$2488,936,'Live Data'!$C$15)),"")</f>
        <v>Kiambu Town</v>
      </c>
      <c r="E936" s="54" t="str">
        <f>IFERROR(IF(INDEX(SPOT_Import!$A$1:$Z$2488,936,'Live Data'!$C$16)="","",INDEX(SPOT_Import!$A$1:$Z$2488,936,'Live Data'!$C$16)),"")</f>
        <v>CHAK CHAP STAWISHA</v>
      </c>
      <c r="F936" s="54" t="str">
        <f>IFERROR(IF(INDEX(SPOT_Import!$A$1:$Z$2488,936,'Live Data'!$C$17)="","",INDEX(SPOT_Import!$A$1:$Z$2488,936,'Live Data'!$C$17)),"")</f>
        <v>PREP</v>
      </c>
      <c r="G936" s="54">
        <f>IFERROR(IF(INDEX(SPOT_Import!$A$1:$Z$2488,936,'Live Data'!$C$18)="","",INDEX(SPOT_Import!$A$1:$Z$2488,936,'Live Data'!$C$18)),"")</f>
        <v>797</v>
      </c>
      <c r="H936" s="54">
        <f>IFERROR(IF(INDEX(SPOT_Import!$A$1:$Z$2488,936,'Live Data'!$C$19)="","",INDEX(SPOT_Import!$A$1:$Z$2488,936,'Live Data'!$C$19)),"")</f>
        <v>797</v>
      </c>
      <c r="I936" s="54" t="str">
        <f>IFERROR(IF(INDEX(SPOT_Import!$A$1:$Z$2488,936,'Live Data'!$C$20)="","",INDEX(SPOT_Import!$A$1:$Z$2488,936,'Live Data'!$C$20)),"")</f>
        <v>Complete</v>
      </c>
      <c r="J936" s="54" t="str">
        <f>IFERROR(IF(INDEX(SPOT_Import!$A$1:$Z$2488,936,'Live Data'!$C$21)="","",INDEX(SPOT_Import!$A$1:$Z$2488,936,'Live Data'!$C$21)),"")</f>
        <v>2026-10-05T07:48:11.000Z</v>
      </c>
      <c r="K936" s="54" t="str">
        <f>IFERROR(IF(INDEX(SPOT_Import!$A$1:$Z$2488,936,'Live Data'!$C$22)="","",INDEX(SPOT_Import!$A$1:$Z$2488,936,'Live Data'!$C$22)),"")</f>
        <v>2026-10-05T07:48:11.000Z</v>
      </c>
      <c r="L936" s="55" t="str">
        <f t="shared" si="28"/>
        <v>2026-10</v>
      </c>
      <c r="M936" s="55" t="str">
        <f t="shared" si="29"/>
        <v>KIAMBU</v>
      </c>
      <c r="N936" s="55" t="str">
        <f>IF(A936="","",IFERROR(INDEX('Cluster Map'!$A$4:$A$38,MATCH(M936,'Cluster Map'!$B$4:$B$38,0)),"Unmapped"))</f>
        <v>Cluster 3</v>
      </c>
      <c r="O936" s="55">
        <f>IF(A936="",0,IF(COUNTIFS($A$2:A936,A936,$F$2:F936,F936,$L$2:L936,L936)=1,1,0))</f>
        <v>1</v>
      </c>
      <c r="P936" s="55">
        <f>IF(A936="",0,IF(AND(F936="C&amp;T",COUNTIFS($A$2:A936,A936,$F$2:F936,"C&amp;T")=1),1,0))</f>
        <v>0</v>
      </c>
    </row>
    <row r="937" spans="1:16" x14ac:dyDescent="0.35">
      <c r="A937" s="54">
        <f>IFERROR(IF(INDEX(SPOT_Import!$A$1:$Z$2488,937,'Live Data'!$C$12)="","",INDEX(SPOT_Import!$A$1:$Z$2488,937,'Live Data'!$C$12)),"")</f>
        <v>10100</v>
      </c>
      <c r="B937" s="54" t="str">
        <f>IFERROR(IF(INDEX(SPOT_Import!$A$1:$Z$2488,937,'Live Data'!$C$13)="","",INDEX(SPOT_Import!$A$1:$Z$2488,937,'Live Data'!$C$13)),"")</f>
        <v>Consolata Mission Hospital (Mathari)</v>
      </c>
      <c r="C937" s="54" t="str">
        <f>IFERROR(IF(INDEX(SPOT_Import!$A$1:$Z$2488,937,'Live Data'!$C$14)="","",INDEX(SPOT_Import!$A$1:$Z$2488,937,'Live Data'!$C$14)),"")</f>
        <v>NYERI</v>
      </c>
      <c r="D937" s="54" t="str">
        <f>IFERROR(IF(INDEX(SPOT_Import!$A$1:$Z$2488,937,'Live Data'!$C$15)="","",INDEX(SPOT_Import!$A$1:$Z$2488,937,'Live Data'!$C$15)),"")</f>
        <v>Nyeri Central</v>
      </c>
      <c r="E937" s="54" t="str">
        <f>IFERROR(IF(INDEX(SPOT_Import!$A$1:$Z$2488,937,'Live Data'!$C$16)="","",INDEX(SPOT_Import!$A$1:$Z$2488,937,'Live Data'!$C$16)),"")</f>
        <v>CHAK CHAP STAWISHA</v>
      </c>
      <c r="F937" s="54" t="str">
        <f>IFERROR(IF(INDEX(SPOT_Import!$A$1:$Z$2488,937,'Live Data'!$C$17)="","",INDEX(SPOT_Import!$A$1:$Z$2488,937,'Live Data'!$C$17)),"")</f>
        <v>PREP</v>
      </c>
      <c r="G937" s="54">
        <f>IFERROR(IF(INDEX(SPOT_Import!$A$1:$Z$2488,937,'Live Data'!$C$18)="","",INDEX(SPOT_Import!$A$1:$Z$2488,937,'Live Data'!$C$18)),"")</f>
        <v>2344</v>
      </c>
      <c r="H937" s="54">
        <f>IFERROR(IF(INDEX(SPOT_Import!$A$1:$Z$2488,937,'Live Data'!$C$19)="","",INDEX(SPOT_Import!$A$1:$Z$2488,937,'Live Data'!$C$19)),"")</f>
        <v>2344</v>
      </c>
      <c r="I937" s="54" t="str">
        <f>IFERROR(IF(INDEX(SPOT_Import!$A$1:$Z$2488,937,'Live Data'!$C$20)="","",INDEX(SPOT_Import!$A$1:$Z$2488,937,'Live Data'!$C$20)),"")</f>
        <v>Complete</v>
      </c>
      <c r="J937" s="54" t="str">
        <f>IFERROR(IF(INDEX(SPOT_Import!$A$1:$Z$2488,937,'Live Data'!$C$21)="","",INDEX(SPOT_Import!$A$1:$Z$2488,937,'Live Data'!$C$21)),"")</f>
        <v>2026-10-05T07:00:22.000Z</v>
      </c>
      <c r="K937" s="54" t="str">
        <f>IFERROR(IF(INDEX(SPOT_Import!$A$1:$Z$2488,937,'Live Data'!$C$22)="","",INDEX(SPOT_Import!$A$1:$Z$2488,937,'Live Data'!$C$22)),"")</f>
        <v>2026-10-05T07:00:22.000Z</v>
      </c>
      <c r="L937" s="55" t="str">
        <f t="shared" si="28"/>
        <v>2026-10</v>
      </c>
      <c r="M937" s="55" t="str">
        <f t="shared" si="29"/>
        <v>NYERI</v>
      </c>
      <c r="N937" s="55" t="str">
        <f>IF(A937="","",IFERROR(INDEX('Cluster Map'!$A$4:$A$38,MATCH(M937,'Cluster Map'!$B$4:$B$38,0)),"Unmapped"))</f>
        <v>Cluster 2</v>
      </c>
      <c r="O937" s="55">
        <f>IF(A937="",0,IF(COUNTIFS($A$2:A937,A937,$F$2:F937,F937,$L$2:L937,L937)=1,1,0))</f>
        <v>1</v>
      </c>
      <c r="P937" s="55">
        <f>IF(A937="",0,IF(AND(F937="C&amp;T",COUNTIFS($A$2:A937,A937,$F$2:F937,"C&amp;T")=1),1,0))</f>
        <v>0</v>
      </c>
    </row>
    <row r="938" spans="1:16" x14ac:dyDescent="0.35">
      <c r="A938" s="54">
        <f>IFERROR(IF(INDEX(SPOT_Import!$A$1:$Z$2488,938,'Live Data'!$C$12)="","",INDEX(SPOT_Import!$A$1:$Z$2488,938,'Live Data'!$C$12)),"")</f>
        <v>15702</v>
      </c>
      <c r="B938" s="54" t="str">
        <f>IFERROR(IF(INDEX(SPOT_Import!$A$1:$Z$2488,938,'Live Data'!$C$13)="","",INDEX(SPOT_Import!$A$1:$Z$2488,938,'Live Data'!$C$13)),"")</f>
        <v>Talek Health Centre</v>
      </c>
      <c r="C938" s="54" t="str">
        <f>IFERROR(IF(INDEX(SPOT_Import!$A$1:$Z$2488,938,'Live Data'!$C$14)="","",INDEX(SPOT_Import!$A$1:$Z$2488,938,'Live Data'!$C$14)),"")</f>
        <v>NAROK</v>
      </c>
      <c r="D938" s="54" t="str">
        <f>IFERROR(IF(INDEX(SPOT_Import!$A$1:$Z$2488,938,'Live Data'!$C$15)="","",INDEX(SPOT_Import!$A$1:$Z$2488,938,'Live Data'!$C$15)),"")</f>
        <v>Narok West</v>
      </c>
      <c r="E938" s="54" t="str">
        <f>IFERROR(IF(INDEX(SPOT_Import!$A$1:$Z$2488,938,'Live Data'!$C$16)="","",INDEX(SPOT_Import!$A$1:$Z$2488,938,'Live Data'!$C$16)),"")</f>
        <v>CHAK CHAP STAWISHA</v>
      </c>
      <c r="F938" s="54" t="str">
        <f>IFERROR(IF(INDEX(SPOT_Import!$A$1:$Z$2488,938,'Live Data'!$C$17)="","",INDEX(SPOT_Import!$A$1:$Z$2488,938,'Live Data'!$C$17)),"")</f>
        <v>PREP</v>
      </c>
      <c r="G938" s="54">
        <f>IFERROR(IF(INDEX(SPOT_Import!$A$1:$Z$2488,938,'Live Data'!$C$18)="","",INDEX(SPOT_Import!$A$1:$Z$2488,938,'Live Data'!$C$18)),"")</f>
        <v>370</v>
      </c>
      <c r="H938" s="54">
        <f>IFERROR(IF(INDEX(SPOT_Import!$A$1:$Z$2488,938,'Live Data'!$C$19)="","",INDEX(SPOT_Import!$A$1:$Z$2488,938,'Live Data'!$C$19)),"")</f>
        <v>370</v>
      </c>
      <c r="I938" s="54" t="str">
        <f>IFERROR(IF(INDEX(SPOT_Import!$A$1:$Z$2488,938,'Live Data'!$C$20)="","",INDEX(SPOT_Import!$A$1:$Z$2488,938,'Live Data'!$C$20)),"")</f>
        <v>Complete</v>
      </c>
      <c r="J938" s="54" t="str">
        <f>IFERROR(IF(INDEX(SPOT_Import!$A$1:$Z$2488,938,'Live Data'!$C$21)="","",INDEX(SPOT_Import!$A$1:$Z$2488,938,'Live Data'!$C$21)),"")</f>
        <v>2026-10-05T06:38:29.000Z</v>
      </c>
      <c r="K938" s="54" t="str">
        <f>IFERROR(IF(INDEX(SPOT_Import!$A$1:$Z$2488,938,'Live Data'!$C$22)="","",INDEX(SPOT_Import!$A$1:$Z$2488,938,'Live Data'!$C$22)),"")</f>
        <v>2026-10-05T06:38:29.000Z</v>
      </c>
      <c r="L938" s="55" t="str">
        <f t="shared" si="28"/>
        <v>2026-10</v>
      </c>
      <c r="M938" s="55" t="str">
        <f t="shared" si="29"/>
        <v>NAROK</v>
      </c>
      <c r="N938" s="55" t="str">
        <f>IF(A938="","",IFERROR(INDEX('Cluster Map'!$A$4:$A$38,MATCH(M938,'Cluster Map'!$B$4:$B$38,0)),"Unmapped"))</f>
        <v>Cluster 4</v>
      </c>
      <c r="O938" s="55">
        <f>IF(A938="",0,IF(COUNTIFS($A$2:A938,A938,$F$2:F938,F938,$L$2:L938,L938)=1,1,0))</f>
        <v>1</v>
      </c>
      <c r="P938" s="55">
        <f>IF(A938="",0,IF(AND(F938="C&amp;T",COUNTIFS($A$2:A938,A938,$F$2:F938,"C&amp;T")=1),1,0))</f>
        <v>0</v>
      </c>
    </row>
    <row r="939" spans="1:16" x14ac:dyDescent="0.35">
      <c r="A939" s="54">
        <f>IFERROR(IF(INDEX(SPOT_Import!$A$1:$Z$2488,939,'Live Data'!$C$12)="","",INDEX(SPOT_Import!$A$1:$Z$2488,939,'Live Data'!$C$12)),"")</f>
        <v>10887</v>
      </c>
      <c r="B939" s="54" t="str">
        <f>IFERROR(IF(INDEX(SPOT_Import!$A$1:$Z$2488,939,'Live Data'!$C$13)="","",INDEX(SPOT_Import!$A$1:$Z$2488,939,'Live Data'!$C$13)),"")</f>
        <v>North Kinangop Catholic Hospital</v>
      </c>
      <c r="C939" s="54" t="str">
        <f>IFERROR(IF(INDEX(SPOT_Import!$A$1:$Z$2488,939,'Live Data'!$C$14)="","",INDEX(SPOT_Import!$A$1:$Z$2488,939,'Live Data'!$C$14)),"")</f>
        <v>NYANDARUA</v>
      </c>
      <c r="D939" s="54" t="str">
        <f>IFERROR(IF(INDEX(SPOT_Import!$A$1:$Z$2488,939,'Live Data'!$C$15)="","",INDEX(SPOT_Import!$A$1:$Z$2488,939,'Live Data'!$C$15)),"")</f>
        <v>Kinangop</v>
      </c>
      <c r="E939" s="54" t="str">
        <f>IFERROR(IF(INDEX(SPOT_Import!$A$1:$Z$2488,939,'Live Data'!$C$16)="","",INDEX(SPOT_Import!$A$1:$Z$2488,939,'Live Data'!$C$16)),"")</f>
        <v>CHAK CHAP STAWISHA</v>
      </c>
      <c r="F939" s="54" t="str">
        <f>IFERROR(IF(INDEX(SPOT_Import!$A$1:$Z$2488,939,'Live Data'!$C$17)="","",INDEX(SPOT_Import!$A$1:$Z$2488,939,'Live Data'!$C$17)),"")</f>
        <v>MNCH</v>
      </c>
      <c r="G939" s="54">
        <f>IFERROR(IF(INDEX(SPOT_Import!$A$1:$Z$2488,939,'Live Data'!$C$18)="","",INDEX(SPOT_Import!$A$1:$Z$2488,939,'Live Data'!$C$18)),"")</f>
        <v>783</v>
      </c>
      <c r="H939" s="54">
        <f>IFERROR(IF(INDEX(SPOT_Import!$A$1:$Z$2488,939,'Live Data'!$C$19)="","",INDEX(SPOT_Import!$A$1:$Z$2488,939,'Live Data'!$C$19)),"")</f>
        <v>783</v>
      </c>
      <c r="I939" s="54" t="str">
        <f>IFERROR(IF(INDEX(SPOT_Import!$A$1:$Z$2488,939,'Live Data'!$C$20)="","",INDEX(SPOT_Import!$A$1:$Z$2488,939,'Live Data'!$C$20)),"")</f>
        <v>Complete</v>
      </c>
      <c r="J939" s="54" t="str">
        <f>IFERROR(IF(INDEX(SPOT_Import!$A$1:$Z$2488,939,'Live Data'!$C$21)="","",INDEX(SPOT_Import!$A$1:$Z$2488,939,'Live Data'!$C$21)),"")</f>
        <v>2026-10-05T05:57:53.000Z</v>
      </c>
      <c r="K939" s="54" t="str">
        <f>IFERROR(IF(INDEX(SPOT_Import!$A$1:$Z$2488,939,'Live Data'!$C$22)="","",INDEX(SPOT_Import!$A$1:$Z$2488,939,'Live Data'!$C$22)),"")</f>
        <v>2026-10-05T05:57:53.000Z</v>
      </c>
      <c r="L939" s="55" t="str">
        <f t="shared" si="28"/>
        <v>2026-10</v>
      </c>
      <c r="M939" s="55" t="str">
        <f t="shared" si="29"/>
        <v>NYANDARUA</v>
      </c>
      <c r="N939" s="55" t="str">
        <f>IF(A939="","",IFERROR(INDEX('Cluster Map'!$A$4:$A$38,MATCH(M939,'Cluster Map'!$B$4:$B$38,0)),"Unmapped"))</f>
        <v>Cluster 4</v>
      </c>
      <c r="O939" s="55">
        <f>IF(A939="",0,IF(COUNTIFS($A$2:A939,A939,$F$2:F939,F939,$L$2:L939,L939)=1,1,0))</f>
        <v>1</v>
      </c>
      <c r="P939" s="55">
        <f>IF(A939="",0,IF(AND(F939="C&amp;T",COUNTIFS($A$2:A939,A939,$F$2:F939,"C&amp;T")=1),1,0))</f>
        <v>0</v>
      </c>
    </row>
    <row r="940" spans="1:16" x14ac:dyDescent="0.35">
      <c r="A940" s="54">
        <f>IFERROR(IF(INDEX(SPOT_Import!$A$1:$Z$2488,940,'Live Data'!$C$12)="","",INDEX(SPOT_Import!$A$1:$Z$2488,940,'Live Data'!$C$12)),"")</f>
        <v>10887</v>
      </c>
      <c r="B940" s="54" t="str">
        <f>IFERROR(IF(INDEX(SPOT_Import!$A$1:$Z$2488,940,'Live Data'!$C$13)="","",INDEX(SPOT_Import!$A$1:$Z$2488,940,'Live Data'!$C$13)),"")</f>
        <v>North Kinangop Catholic Hospital</v>
      </c>
      <c r="C940" s="54" t="str">
        <f>IFERROR(IF(INDEX(SPOT_Import!$A$1:$Z$2488,940,'Live Data'!$C$14)="","",INDEX(SPOT_Import!$A$1:$Z$2488,940,'Live Data'!$C$14)),"")</f>
        <v>NYANDARUA</v>
      </c>
      <c r="D940" s="54" t="str">
        <f>IFERROR(IF(INDEX(SPOT_Import!$A$1:$Z$2488,940,'Live Data'!$C$15)="","",INDEX(SPOT_Import!$A$1:$Z$2488,940,'Live Data'!$C$15)),"")</f>
        <v>Kinangop</v>
      </c>
      <c r="E940" s="54" t="str">
        <f>IFERROR(IF(INDEX(SPOT_Import!$A$1:$Z$2488,940,'Live Data'!$C$16)="","",INDEX(SPOT_Import!$A$1:$Z$2488,940,'Live Data'!$C$16)),"")</f>
        <v>CHAK CHAP STAWISHA</v>
      </c>
      <c r="F940" s="54" t="str">
        <f>IFERROR(IF(INDEX(SPOT_Import!$A$1:$Z$2488,940,'Live Data'!$C$17)="","",INDEX(SPOT_Import!$A$1:$Z$2488,940,'Live Data'!$C$17)),"")</f>
        <v>PREP</v>
      </c>
      <c r="G940" s="54">
        <f>IFERROR(IF(INDEX(SPOT_Import!$A$1:$Z$2488,940,'Live Data'!$C$18)="","",INDEX(SPOT_Import!$A$1:$Z$2488,940,'Live Data'!$C$18)),"")</f>
        <v>1744</v>
      </c>
      <c r="H940" s="54">
        <f>IFERROR(IF(INDEX(SPOT_Import!$A$1:$Z$2488,940,'Live Data'!$C$19)="","",INDEX(SPOT_Import!$A$1:$Z$2488,940,'Live Data'!$C$19)),"")</f>
        <v>1744</v>
      </c>
      <c r="I940" s="54" t="str">
        <f>IFERROR(IF(INDEX(SPOT_Import!$A$1:$Z$2488,940,'Live Data'!$C$20)="","",INDEX(SPOT_Import!$A$1:$Z$2488,940,'Live Data'!$C$20)),"")</f>
        <v>Complete</v>
      </c>
      <c r="J940" s="54" t="str">
        <f>IFERROR(IF(INDEX(SPOT_Import!$A$1:$Z$2488,940,'Live Data'!$C$21)="","",INDEX(SPOT_Import!$A$1:$Z$2488,940,'Live Data'!$C$21)),"")</f>
        <v>2026-10-05T05:56:28.000Z</v>
      </c>
      <c r="K940" s="54" t="str">
        <f>IFERROR(IF(INDEX(SPOT_Import!$A$1:$Z$2488,940,'Live Data'!$C$22)="","",INDEX(SPOT_Import!$A$1:$Z$2488,940,'Live Data'!$C$22)),"")</f>
        <v>2026-10-05T05:56:28.000Z</v>
      </c>
      <c r="L940" s="55" t="str">
        <f t="shared" si="28"/>
        <v>2026-10</v>
      </c>
      <c r="M940" s="55" t="str">
        <f t="shared" si="29"/>
        <v>NYANDARUA</v>
      </c>
      <c r="N940" s="55" t="str">
        <f>IF(A940="","",IFERROR(INDEX('Cluster Map'!$A$4:$A$38,MATCH(M940,'Cluster Map'!$B$4:$B$38,0)),"Unmapped"))</f>
        <v>Cluster 4</v>
      </c>
      <c r="O940" s="55">
        <f>IF(A940="",0,IF(COUNTIFS($A$2:A940,A940,$F$2:F940,F940,$L$2:L940,L940)=1,1,0))</f>
        <v>1</v>
      </c>
      <c r="P940" s="55">
        <f>IF(A940="",0,IF(AND(F940="C&amp;T",COUNTIFS($A$2:A940,A940,$F$2:F940,"C&amp;T")=1),1,0))</f>
        <v>0</v>
      </c>
    </row>
    <row r="941" spans="1:16" x14ac:dyDescent="0.35">
      <c r="A941" s="54">
        <f>IFERROR(IF(INDEX(SPOT_Import!$A$1:$Z$2488,941,'Live Data'!$C$12)="","",INDEX(SPOT_Import!$A$1:$Z$2488,941,'Live Data'!$C$12)),"")</f>
        <v>10887</v>
      </c>
      <c r="B941" s="54" t="str">
        <f>IFERROR(IF(INDEX(SPOT_Import!$A$1:$Z$2488,941,'Live Data'!$C$13)="","",INDEX(SPOT_Import!$A$1:$Z$2488,941,'Live Data'!$C$13)),"")</f>
        <v>North Kinangop Catholic Hospital</v>
      </c>
      <c r="C941" s="54" t="str">
        <f>IFERROR(IF(INDEX(SPOT_Import!$A$1:$Z$2488,941,'Live Data'!$C$14)="","",INDEX(SPOT_Import!$A$1:$Z$2488,941,'Live Data'!$C$14)),"")</f>
        <v>NYANDARUA</v>
      </c>
      <c r="D941" s="54" t="str">
        <f>IFERROR(IF(INDEX(SPOT_Import!$A$1:$Z$2488,941,'Live Data'!$C$15)="","",INDEX(SPOT_Import!$A$1:$Z$2488,941,'Live Data'!$C$15)),"")</f>
        <v>Kinangop</v>
      </c>
      <c r="E941" s="54" t="str">
        <f>IFERROR(IF(INDEX(SPOT_Import!$A$1:$Z$2488,941,'Live Data'!$C$16)="","",INDEX(SPOT_Import!$A$1:$Z$2488,941,'Live Data'!$C$16)),"")</f>
        <v>CHAK CHAP STAWISHA</v>
      </c>
      <c r="F941" s="54" t="str">
        <f>IFERROR(IF(INDEX(SPOT_Import!$A$1:$Z$2488,941,'Live Data'!$C$17)="","",INDEX(SPOT_Import!$A$1:$Z$2488,941,'Live Data'!$C$17)),"")</f>
        <v>HTS</v>
      </c>
      <c r="G941" s="54">
        <f>IFERROR(IF(INDEX(SPOT_Import!$A$1:$Z$2488,941,'Live Data'!$C$18)="","",INDEX(SPOT_Import!$A$1:$Z$2488,941,'Live Data'!$C$18)),"")</f>
        <v>26977</v>
      </c>
      <c r="H941" s="54" t="str">
        <f>IFERROR(IF(INDEX(SPOT_Import!$A$1:$Z$2488,941,'Live Data'!$C$19)="","",INDEX(SPOT_Import!$A$1:$Z$2488,941,'Live Data'!$C$19)),"")</f>
        <v/>
      </c>
      <c r="I941" s="54" t="str">
        <f>IFERROR(IF(INDEX(SPOT_Import!$A$1:$Z$2488,941,'Live Data'!$C$20)="","",INDEX(SPOT_Import!$A$1:$Z$2488,941,'Live Data'!$C$20)),"")</f>
        <v>Complete</v>
      </c>
      <c r="J941" s="54" t="str">
        <f>IFERROR(IF(INDEX(SPOT_Import!$A$1:$Z$2488,941,'Live Data'!$C$21)="","",INDEX(SPOT_Import!$A$1:$Z$2488,941,'Live Data'!$C$21)),"")</f>
        <v>2026-10-05T05:54:19.000Z</v>
      </c>
      <c r="K941" s="54" t="str">
        <f>IFERROR(IF(INDEX(SPOT_Import!$A$1:$Z$2488,941,'Live Data'!$C$22)="","",INDEX(SPOT_Import!$A$1:$Z$2488,941,'Live Data'!$C$22)),"")</f>
        <v>2026-10-05T05:54:19.000Z</v>
      </c>
      <c r="L941" s="55" t="str">
        <f t="shared" si="28"/>
        <v>2026-10</v>
      </c>
      <c r="M941" s="55" t="str">
        <f t="shared" si="29"/>
        <v>NYANDARUA</v>
      </c>
      <c r="N941" s="55" t="str">
        <f>IF(A941="","",IFERROR(INDEX('Cluster Map'!$A$4:$A$38,MATCH(M941,'Cluster Map'!$B$4:$B$38,0)),"Unmapped"))</f>
        <v>Cluster 4</v>
      </c>
      <c r="O941" s="55">
        <f>IF(A941="",0,IF(COUNTIFS($A$2:A941,A941,$F$2:F941,F941,$L$2:L941,L941)=1,1,0))</f>
        <v>1</v>
      </c>
      <c r="P941" s="55">
        <f>IF(A941="",0,IF(AND(F941="C&amp;T",COUNTIFS($A$2:A941,A941,$F$2:F941,"C&amp;T")=1),1,0))</f>
        <v>0</v>
      </c>
    </row>
    <row r="942" spans="1:16" x14ac:dyDescent="0.35">
      <c r="A942" s="54">
        <f>IFERROR(IF(INDEX(SPOT_Import!$A$1:$Z$2488,942,'Live Data'!$C$12)="","",INDEX(SPOT_Import!$A$1:$Z$2488,942,'Live Data'!$C$12)),"")</f>
        <v>15636</v>
      </c>
      <c r="B942" s="54" t="str">
        <f>IFERROR(IF(INDEX(SPOT_Import!$A$1:$Z$2488,942,'Live Data'!$C$13)="","",INDEX(SPOT_Import!$A$1:$Z$2488,942,'Live Data'!$C$13)),"")</f>
        <v>St Elizabeth Health Centre</v>
      </c>
      <c r="C942" s="54" t="str">
        <f>IFERROR(IF(INDEX(SPOT_Import!$A$1:$Z$2488,942,'Live Data'!$C$14)="","",INDEX(SPOT_Import!$A$1:$Z$2488,942,'Live Data'!$C$14)),"")</f>
        <v>NAROK</v>
      </c>
      <c r="D942" s="54" t="str">
        <f>IFERROR(IF(INDEX(SPOT_Import!$A$1:$Z$2488,942,'Live Data'!$C$15)="","",INDEX(SPOT_Import!$A$1:$Z$2488,942,'Live Data'!$C$15)),"")</f>
        <v>Narok South</v>
      </c>
      <c r="E942" s="54" t="str">
        <f>IFERROR(IF(INDEX(SPOT_Import!$A$1:$Z$2488,942,'Live Data'!$C$16)="","",INDEX(SPOT_Import!$A$1:$Z$2488,942,'Live Data'!$C$16)),"")</f>
        <v>CHAK CHAP STAWISHA</v>
      </c>
      <c r="F942" s="54" t="str">
        <f>IFERROR(IF(INDEX(SPOT_Import!$A$1:$Z$2488,942,'Live Data'!$C$17)="","",INDEX(SPOT_Import!$A$1:$Z$2488,942,'Live Data'!$C$17)),"")</f>
        <v>PREP</v>
      </c>
      <c r="G942" s="54">
        <f>IFERROR(IF(INDEX(SPOT_Import!$A$1:$Z$2488,942,'Live Data'!$C$18)="","",INDEX(SPOT_Import!$A$1:$Z$2488,942,'Live Data'!$C$18)),"")</f>
        <v>67</v>
      </c>
      <c r="H942" s="54" t="str">
        <f>IFERROR(IF(INDEX(SPOT_Import!$A$1:$Z$2488,942,'Live Data'!$C$19)="","",INDEX(SPOT_Import!$A$1:$Z$2488,942,'Live Data'!$C$19)),"")</f>
        <v/>
      </c>
      <c r="I942" s="54" t="str">
        <f>IFERROR(IF(INDEX(SPOT_Import!$A$1:$Z$2488,942,'Live Data'!$C$20)="","",INDEX(SPOT_Import!$A$1:$Z$2488,942,'Live Data'!$C$20)),"")</f>
        <v>Incomplete</v>
      </c>
      <c r="J942" s="54" t="str">
        <f>IFERROR(IF(INDEX(SPOT_Import!$A$1:$Z$2488,942,'Live Data'!$C$21)="","",INDEX(SPOT_Import!$A$1:$Z$2488,942,'Live Data'!$C$21)),"")</f>
        <v>2026-10-04T20:50:58.000Z</v>
      </c>
      <c r="K942" s="54" t="str">
        <f>IFERROR(IF(INDEX(SPOT_Import!$A$1:$Z$2488,942,'Live Data'!$C$22)="","",INDEX(SPOT_Import!$A$1:$Z$2488,942,'Live Data'!$C$22)),"")</f>
        <v>2026-10-04T20:50:58.000Z</v>
      </c>
      <c r="L942" s="55" t="str">
        <f t="shared" si="28"/>
        <v>2026-10</v>
      </c>
      <c r="M942" s="55" t="str">
        <f t="shared" si="29"/>
        <v>NAROK</v>
      </c>
      <c r="N942" s="55" t="str">
        <f>IF(A942="","",IFERROR(INDEX('Cluster Map'!$A$4:$A$38,MATCH(M942,'Cluster Map'!$B$4:$B$38,0)),"Unmapped"))</f>
        <v>Cluster 4</v>
      </c>
      <c r="O942" s="55">
        <f>IF(A942="",0,IF(COUNTIFS($A$2:A942,A942,$F$2:F942,F942,$L$2:L942,L942)=1,1,0))</f>
        <v>1</v>
      </c>
      <c r="P942" s="55">
        <f>IF(A942="",0,IF(AND(F942="C&amp;T",COUNTIFS($A$2:A942,A942,$F$2:F942,"C&amp;T")=1),1,0))</f>
        <v>0</v>
      </c>
    </row>
    <row r="943" spans="1:16" x14ac:dyDescent="0.35">
      <c r="A943" s="54">
        <f>IFERROR(IF(INDEX(SPOT_Import!$A$1:$Z$2488,943,'Live Data'!$C$12)="","",INDEX(SPOT_Import!$A$1:$Z$2488,943,'Live Data'!$C$12)),"")</f>
        <v>15636</v>
      </c>
      <c r="B943" s="54" t="str">
        <f>IFERROR(IF(INDEX(SPOT_Import!$A$1:$Z$2488,943,'Live Data'!$C$13)="","",INDEX(SPOT_Import!$A$1:$Z$2488,943,'Live Data'!$C$13)),"")</f>
        <v>St Elizabeth Health Centre</v>
      </c>
      <c r="C943" s="54" t="str">
        <f>IFERROR(IF(INDEX(SPOT_Import!$A$1:$Z$2488,943,'Live Data'!$C$14)="","",INDEX(SPOT_Import!$A$1:$Z$2488,943,'Live Data'!$C$14)),"")</f>
        <v>NAROK</v>
      </c>
      <c r="D943" s="54" t="str">
        <f>IFERROR(IF(INDEX(SPOT_Import!$A$1:$Z$2488,943,'Live Data'!$C$15)="","",INDEX(SPOT_Import!$A$1:$Z$2488,943,'Live Data'!$C$15)),"")</f>
        <v>Narok South</v>
      </c>
      <c r="E943" s="54" t="str">
        <f>IFERROR(IF(INDEX(SPOT_Import!$A$1:$Z$2488,943,'Live Data'!$C$16)="","",INDEX(SPOT_Import!$A$1:$Z$2488,943,'Live Data'!$C$16)),"")</f>
        <v>CHAK CHAP STAWISHA</v>
      </c>
      <c r="F943" s="54" t="str">
        <f>IFERROR(IF(INDEX(SPOT_Import!$A$1:$Z$2488,943,'Live Data'!$C$17)="","",INDEX(SPOT_Import!$A$1:$Z$2488,943,'Live Data'!$C$17)),"")</f>
        <v>C&amp;T</v>
      </c>
      <c r="G943" s="54">
        <f>IFERROR(IF(INDEX(SPOT_Import!$A$1:$Z$2488,943,'Live Data'!$C$18)="","",INDEX(SPOT_Import!$A$1:$Z$2488,943,'Live Data'!$C$18)),"")</f>
        <v>289</v>
      </c>
      <c r="H943" s="54">
        <f>IFERROR(IF(INDEX(SPOT_Import!$A$1:$Z$2488,943,'Live Data'!$C$19)="","",INDEX(SPOT_Import!$A$1:$Z$2488,943,'Live Data'!$C$19)),"")</f>
        <v>289</v>
      </c>
      <c r="I943" s="54" t="str">
        <f>IFERROR(IF(INDEX(SPOT_Import!$A$1:$Z$2488,943,'Live Data'!$C$20)="","",INDEX(SPOT_Import!$A$1:$Z$2488,943,'Live Data'!$C$20)),"")</f>
        <v>Complete</v>
      </c>
      <c r="J943" s="54" t="str">
        <f>IFERROR(IF(INDEX(SPOT_Import!$A$1:$Z$2488,943,'Live Data'!$C$21)="","",INDEX(SPOT_Import!$A$1:$Z$2488,943,'Live Data'!$C$21)),"")</f>
        <v>2026-10-04T20:06:04.000Z</v>
      </c>
      <c r="K943" s="54" t="str">
        <f>IFERROR(IF(INDEX(SPOT_Import!$A$1:$Z$2488,943,'Live Data'!$C$22)="","",INDEX(SPOT_Import!$A$1:$Z$2488,943,'Live Data'!$C$22)),"")</f>
        <v>2026-10-04T20:06:04.000Z</v>
      </c>
      <c r="L943" s="55" t="str">
        <f t="shared" si="28"/>
        <v>2026-10</v>
      </c>
      <c r="M943" s="55" t="str">
        <f t="shared" si="29"/>
        <v>NAROK</v>
      </c>
      <c r="N943" s="55" t="str">
        <f>IF(A943="","",IFERROR(INDEX('Cluster Map'!$A$4:$A$38,MATCH(M943,'Cluster Map'!$B$4:$B$38,0)),"Unmapped"))</f>
        <v>Cluster 4</v>
      </c>
      <c r="O943" s="55">
        <f>IF(A943="",0,IF(COUNTIFS($A$2:A943,A943,$F$2:F943,F943,$L$2:L943,L943)=1,1,0))</f>
        <v>1</v>
      </c>
      <c r="P943" s="55">
        <f>IF(A943="",0,IF(AND(F943="C&amp;T",COUNTIFS($A$2:A943,A943,$F$2:F943,"C&amp;T")=1),1,0))</f>
        <v>1</v>
      </c>
    </row>
    <row r="944" spans="1:16" x14ac:dyDescent="0.35">
      <c r="A944" s="54">
        <f>IFERROR(IF(INDEX(SPOT_Import!$A$1:$Z$2488,944,'Live Data'!$C$12)="","",INDEX(SPOT_Import!$A$1:$Z$2488,944,'Live Data'!$C$12)),"")</f>
        <v>10693</v>
      </c>
      <c r="B944" s="54" t="str">
        <f>IFERROR(IF(INDEX(SPOT_Import!$A$1:$Z$2488,944,'Live Data'!$C$13)="","",INDEX(SPOT_Import!$A$1:$Z$2488,944,'Live Data'!$C$13)),"")</f>
        <v>Kijabe (AIC) Hospital Marira Medical Clinic</v>
      </c>
      <c r="C944" s="54" t="str">
        <f>IFERROR(IF(INDEX(SPOT_Import!$A$1:$Z$2488,944,'Live Data'!$C$14)="","",INDEX(SPOT_Import!$A$1:$Z$2488,944,'Live Data'!$C$14)),"")</f>
        <v>KIAMBU</v>
      </c>
      <c r="D944" s="54" t="str">
        <f>IFERROR(IF(INDEX(SPOT_Import!$A$1:$Z$2488,944,'Live Data'!$C$15)="","",INDEX(SPOT_Import!$A$1:$Z$2488,944,'Live Data'!$C$15)),"")</f>
        <v>Lari</v>
      </c>
      <c r="E944" s="54" t="str">
        <f>IFERROR(IF(INDEX(SPOT_Import!$A$1:$Z$2488,944,'Live Data'!$C$16)="","",INDEX(SPOT_Import!$A$1:$Z$2488,944,'Live Data'!$C$16)),"")</f>
        <v>CHAK CHAP STAWISHA</v>
      </c>
      <c r="F944" s="54" t="str">
        <f>IFERROR(IF(INDEX(SPOT_Import!$A$1:$Z$2488,944,'Live Data'!$C$17)="","",INDEX(SPOT_Import!$A$1:$Z$2488,944,'Live Data'!$C$17)),"")</f>
        <v>C&amp;T</v>
      </c>
      <c r="G944" s="54">
        <f>IFERROR(IF(INDEX(SPOT_Import!$A$1:$Z$2488,944,'Live Data'!$C$18)="","",INDEX(SPOT_Import!$A$1:$Z$2488,944,'Live Data'!$C$18)),"")</f>
        <v>2641</v>
      </c>
      <c r="H944" s="54">
        <f>IFERROR(IF(INDEX(SPOT_Import!$A$1:$Z$2488,944,'Live Data'!$C$19)="","",INDEX(SPOT_Import!$A$1:$Z$2488,944,'Live Data'!$C$19)),"")</f>
        <v>2641</v>
      </c>
      <c r="I944" s="54" t="str">
        <f>IFERROR(IF(INDEX(SPOT_Import!$A$1:$Z$2488,944,'Live Data'!$C$20)="","",INDEX(SPOT_Import!$A$1:$Z$2488,944,'Live Data'!$C$20)),"")</f>
        <v>Complete</v>
      </c>
      <c r="J944" s="54" t="str">
        <f>IFERROR(IF(INDEX(SPOT_Import!$A$1:$Z$2488,944,'Live Data'!$C$21)="","",INDEX(SPOT_Import!$A$1:$Z$2488,944,'Live Data'!$C$21)),"")</f>
        <v>2026-10-04T19:07:32.000Z</v>
      </c>
      <c r="K944" s="54" t="str">
        <f>IFERROR(IF(INDEX(SPOT_Import!$A$1:$Z$2488,944,'Live Data'!$C$22)="","",INDEX(SPOT_Import!$A$1:$Z$2488,944,'Live Data'!$C$22)),"")</f>
        <v>2026-10-04T19:07:32.000Z</v>
      </c>
      <c r="L944" s="55" t="str">
        <f t="shared" si="28"/>
        <v>2026-10</v>
      </c>
      <c r="M944" s="55" t="str">
        <f t="shared" si="29"/>
        <v>KIAMBU</v>
      </c>
      <c r="N944" s="55" t="str">
        <f>IF(A944="","",IFERROR(INDEX('Cluster Map'!$A$4:$A$38,MATCH(M944,'Cluster Map'!$B$4:$B$38,0)),"Unmapped"))</f>
        <v>Cluster 3</v>
      </c>
      <c r="O944" s="55">
        <f>IF(A944="",0,IF(COUNTIFS($A$2:A944,A944,$F$2:F944,F944,$L$2:L944,L944)=1,1,0))</f>
        <v>1</v>
      </c>
      <c r="P944" s="55">
        <f>IF(A944="",0,IF(AND(F944="C&amp;T",COUNTIFS($A$2:A944,A944,$F$2:F944,"C&amp;T")=1),1,0))</f>
        <v>1</v>
      </c>
    </row>
    <row r="945" spans="1:16" x14ac:dyDescent="0.35">
      <c r="A945" s="54">
        <f>IFERROR(IF(INDEX(SPOT_Import!$A$1:$Z$2488,945,'Live Data'!$C$12)="","",INDEX(SPOT_Import!$A$1:$Z$2488,945,'Live Data'!$C$12)),"")</f>
        <v>15128</v>
      </c>
      <c r="B945" s="54" t="str">
        <f>IFERROR(IF(INDEX(SPOT_Import!$A$1:$Z$2488,945,'Live Data'!$C$13)="","",INDEX(SPOT_Import!$A$1:$Z$2488,945,'Live Data'!$C$13)),"")</f>
        <v>Mararianta Dispensary</v>
      </c>
      <c r="C945" s="54" t="str">
        <f>IFERROR(IF(INDEX(SPOT_Import!$A$1:$Z$2488,945,'Live Data'!$C$14)="","",INDEX(SPOT_Import!$A$1:$Z$2488,945,'Live Data'!$C$14)),"")</f>
        <v>NAROK</v>
      </c>
      <c r="D945" s="54" t="str">
        <f>IFERROR(IF(INDEX(SPOT_Import!$A$1:$Z$2488,945,'Live Data'!$C$15)="","",INDEX(SPOT_Import!$A$1:$Z$2488,945,'Live Data'!$C$15)),"")</f>
        <v>Narok West</v>
      </c>
      <c r="E945" s="54" t="str">
        <f>IFERROR(IF(INDEX(SPOT_Import!$A$1:$Z$2488,945,'Live Data'!$C$16)="","",INDEX(SPOT_Import!$A$1:$Z$2488,945,'Live Data'!$C$16)),"")</f>
        <v>CHAK CHAP STAWISHA</v>
      </c>
      <c r="F945" s="54" t="str">
        <f>IFERROR(IF(INDEX(SPOT_Import!$A$1:$Z$2488,945,'Live Data'!$C$17)="","",INDEX(SPOT_Import!$A$1:$Z$2488,945,'Live Data'!$C$17)),"")</f>
        <v>MNCH</v>
      </c>
      <c r="G945" s="54">
        <f>IFERROR(IF(INDEX(SPOT_Import!$A$1:$Z$2488,945,'Live Data'!$C$18)="","",INDEX(SPOT_Import!$A$1:$Z$2488,945,'Live Data'!$C$18)),"")</f>
        <v>9</v>
      </c>
      <c r="H945" s="54" t="str">
        <f>IFERROR(IF(INDEX(SPOT_Import!$A$1:$Z$2488,945,'Live Data'!$C$19)="","",INDEX(SPOT_Import!$A$1:$Z$2488,945,'Live Data'!$C$19)),"")</f>
        <v/>
      </c>
      <c r="I945" s="54" t="str">
        <f>IFERROR(IF(INDEX(SPOT_Import!$A$1:$Z$2488,945,'Live Data'!$C$20)="","",INDEX(SPOT_Import!$A$1:$Z$2488,945,'Live Data'!$C$20)),"")</f>
        <v>Incomplete</v>
      </c>
      <c r="J945" s="54" t="str">
        <f>IFERROR(IF(INDEX(SPOT_Import!$A$1:$Z$2488,945,'Live Data'!$C$21)="","",INDEX(SPOT_Import!$A$1:$Z$2488,945,'Live Data'!$C$21)),"")</f>
        <v>2026-10-04T18:30:40.000Z</v>
      </c>
      <c r="K945" s="54" t="str">
        <f>IFERROR(IF(INDEX(SPOT_Import!$A$1:$Z$2488,945,'Live Data'!$C$22)="","",INDEX(SPOT_Import!$A$1:$Z$2488,945,'Live Data'!$C$22)),"")</f>
        <v>2026-10-04T18:30:40.000Z</v>
      </c>
      <c r="L945" s="55" t="str">
        <f t="shared" si="28"/>
        <v>2026-10</v>
      </c>
      <c r="M945" s="55" t="str">
        <f t="shared" si="29"/>
        <v>NAROK</v>
      </c>
      <c r="N945" s="55" t="str">
        <f>IF(A945="","",IFERROR(INDEX('Cluster Map'!$A$4:$A$38,MATCH(M945,'Cluster Map'!$B$4:$B$38,0)),"Unmapped"))</f>
        <v>Cluster 4</v>
      </c>
      <c r="O945" s="55">
        <f>IF(A945="",0,IF(COUNTIFS($A$2:A945,A945,$F$2:F945,F945,$L$2:L945,L945)=1,1,0))</f>
        <v>1</v>
      </c>
      <c r="P945" s="55">
        <f>IF(A945="",0,IF(AND(F945="C&amp;T",COUNTIFS($A$2:A945,A945,$F$2:F945,"C&amp;T")=1),1,0))</f>
        <v>0</v>
      </c>
    </row>
    <row r="946" spans="1:16" x14ac:dyDescent="0.35">
      <c r="A946" s="54">
        <f>IFERROR(IF(INDEX(SPOT_Import!$A$1:$Z$2488,946,'Live Data'!$C$12)="","",INDEX(SPOT_Import!$A$1:$Z$2488,946,'Live Data'!$C$12)),"")</f>
        <v>15128</v>
      </c>
      <c r="B946" s="54" t="str">
        <f>IFERROR(IF(INDEX(SPOT_Import!$A$1:$Z$2488,946,'Live Data'!$C$13)="","",INDEX(SPOT_Import!$A$1:$Z$2488,946,'Live Data'!$C$13)),"")</f>
        <v>Mararianta Dispensary</v>
      </c>
      <c r="C946" s="54" t="str">
        <f>IFERROR(IF(INDEX(SPOT_Import!$A$1:$Z$2488,946,'Live Data'!$C$14)="","",INDEX(SPOT_Import!$A$1:$Z$2488,946,'Live Data'!$C$14)),"")</f>
        <v>NAROK</v>
      </c>
      <c r="D946" s="54" t="str">
        <f>IFERROR(IF(INDEX(SPOT_Import!$A$1:$Z$2488,946,'Live Data'!$C$15)="","",INDEX(SPOT_Import!$A$1:$Z$2488,946,'Live Data'!$C$15)),"")</f>
        <v>Narok West</v>
      </c>
      <c r="E946" s="54" t="str">
        <f>IFERROR(IF(INDEX(SPOT_Import!$A$1:$Z$2488,946,'Live Data'!$C$16)="","",INDEX(SPOT_Import!$A$1:$Z$2488,946,'Live Data'!$C$16)),"")</f>
        <v>CHAK CHAP STAWISHA</v>
      </c>
      <c r="F946" s="54" t="str">
        <f>IFERROR(IF(INDEX(SPOT_Import!$A$1:$Z$2488,946,'Live Data'!$C$17)="","",INDEX(SPOT_Import!$A$1:$Z$2488,946,'Live Data'!$C$17)),"")</f>
        <v>PREP</v>
      </c>
      <c r="G946" s="54">
        <f>IFERROR(IF(INDEX(SPOT_Import!$A$1:$Z$2488,946,'Live Data'!$C$18)="","",INDEX(SPOT_Import!$A$1:$Z$2488,946,'Live Data'!$C$18)),"")</f>
        <v>148</v>
      </c>
      <c r="H946" s="54" t="str">
        <f>IFERROR(IF(INDEX(SPOT_Import!$A$1:$Z$2488,946,'Live Data'!$C$19)="","",INDEX(SPOT_Import!$A$1:$Z$2488,946,'Live Data'!$C$19)),"")</f>
        <v/>
      </c>
      <c r="I946" s="54" t="str">
        <f>IFERROR(IF(INDEX(SPOT_Import!$A$1:$Z$2488,946,'Live Data'!$C$20)="","",INDEX(SPOT_Import!$A$1:$Z$2488,946,'Live Data'!$C$20)),"")</f>
        <v>Incomplete</v>
      </c>
      <c r="J946" s="54" t="str">
        <f>IFERROR(IF(INDEX(SPOT_Import!$A$1:$Z$2488,946,'Live Data'!$C$21)="","",INDEX(SPOT_Import!$A$1:$Z$2488,946,'Live Data'!$C$21)),"")</f>
        <v>2026-10-04T18:22:10.000Z</v>
      </c>
      <c r="K946" s="54" t="str">
        <f>IFERROR(IF(INDEX(SPOT_Import!$A$1:$Z$2488,946,'Live Data'!$C$22)="","",INDEX(SPOT_Import!$A$1:$Z$2488,946,'Live Data'!$C$22)),"")</f>
        <v>2026-10-04T18:22:10.000Z</v>
      </c>
      <c r="L946" s="55" t="str">
        <f t="shared" si="28"/>
        <v>2026-10</v>
      </c>
      <c r="M946" s="55" t="str">
        <f t="shared" si="29"/>
        <v>NAROK</v>
      </c>
      <c r="N946" s="55" t="str">
        <f>IF(A946="","",IFERROR(INDEX('Cluster Map'!$A$4:$A$38,MATCH(M946,'Cluster Map'!$B$4:$B$38,0)),"Unmapped"))</f>
        <v>Cluster 4</v>
      </c>
      <c r="O946" s="55">
        <f>IF(A946="",0,IF(COUNTIFS($A$2:A946,A946,$F$2:F946,F946,$L$2:L946,L946)=1,1,0))</f>
        <v>1</v>
      </c>
      <c r="P946" s="55">
        <f>IF(A946="",0,IF(AND(F946="C&amp;T",COUNTIFS($A$2:A946,A946,$F$2:F946,"C&amp;T")=1),1,0))</f>
        <v>0</v>
      </c>
    </row>
    <row r="947" spans="1:16" x14ac:dyDescent="0.35">
      <c r="A947" s="54">
        <f>IFERROR(IF(INDEX(SPOT_Import!$A$1:$Z$2488,947,'Live Data'!$C$12)="","",INDEX(SPOT_Import!$A$1:$Z$2488,947,'Live Data'!$C$12)),"")</f>
        <v>15128</v>
      </c>
      <c r="B947" s="54" t="str">
        <f>IFERROR(IF(INDEX(SPOT_Import!$A$1:$Z$2488,947,'Live Data'!$C$13)="","",INDEX(SPOT_Import!$A$1:$Z$2488,947,'Live Data'!$C$13)),"")</f>
        <v>Mararianta Dispensary</v>
      </c>
      <c r="C947" s="54" t="str">
        <f>IFERROR(IF(INDEX(SPOT_Import!$A$1:$Z$2488,947,'Live Data'!$C$14)="","",INDEX(SPOT_Import!$A$1:$Z$2488,947,'Live Data'!$C$14)),"")</f>
        <v>NAROK</v>
      </c>
      <c r="D947" s="54" t="str">
        <f>IFERROR(IF(INDEX(SPOT_Import!$A$1:$Z$2488,947,'Live Data'!$C$15)="","",INDEX(SPOT_Import!$A$1:$Z$2488,947,'Live Data'!$C$15)),"")</f>
        <v>Narok West</v>
      </c>
      <c r="E947" s="54" t="str">
        <f>IFERROR(IF(INDEX(SPOT_Import!$A$1:$Z$2488,947,'Live Data'!$C$16)="","",INDEX(SPOT_Import!$A$1:$Z$2488,947,'Live Data'!$C$16)),"")</f>
        <v>CHAK CHAP STAWISHA</v>
      </c>
      <c r="F947" s="54" t="str">
        <f>IFERROR(IF(INDEX(SPOT_Import!$A$1:$Z$2488,947,'Live Data'!$C$17)="","",INDEX(SPOT_Import!$A$1:$Z$2488,947,'Live Data'!$C$17)),"")</f>
        <v>MNCH</v>
      </c>
      <c r="G947" s="54">
        <f>IFERROR(IF(INDEX(SPOT_Import!$A$1:$Z$2488,947,'Live Data'!$C$18)="","",INDEX(SPOT_Import!$A$1:$Z$2488,947,'Live Data'!$C$18)),"")</f>
        <v>9</v>
      </c>
      <c r="H947" s="54">
        <f>IFERROR(IF(INDEX(SPOT_Import!$A$1:$Z$2488,947,'Live Data'!$C$19)="","",INDEX(SPOT_Import!$A$1:$Z$2488,947,'Live Data'!$C$19)),"")</f>
        <v>9</v>
      </c>
      <c r="I947" s="54" t="str">
        <f>IFERROR(IF(INDEX(SPOT_Import!$A$1:$Z$2488,947,'Live Data'!$C$20)="","",INDEX(SPOT_Import!$A$1:$Z$2488,947,'Live Data'!$C$20)),"")</f>
        <v>Complete</v>
      </c>
      <c r="J947" s="54" t="str">
        <f>IFERROR(IF(INDEX(SPOT_Import!$A$1:$Z$2488,947,'Live Data'!$C$21)="","",INDEX(SPOT_Import!$A$1:$Z$2488,947,'Live Data'!$C$21)),"")</f>
        <v>2026-10-04T18:21:05.000Z</v>
      </c>
      <c r="K947" s="54" t="str">
        <f>IFERROR(IF(INDEX(SPOT_Import!$A$1:$Z$2488,947,'Live Data'!$C$22)="","",INDEX(SPOT_Import!$A$1:$Z$2488,947,'Live Data'!$C$22)),"")</f>
        <v>2026-10-04T18:21:05.000Z</v>
      </c>
      <c r="L947" s="55" t="str">
        <f t="shared" si="28"/>
        <v>2026-10</v>
      </c>
      <c r="M947" s="55" t="str">
        <f t="shared" si="29"/>
        <v>NAROK</v>
      </c>
      <c r="N947" s="55" t="str">
        <f>IF(A947="","",IFERROR(INDEX('Cluster Map'!$A$4:$A$38,MATCH(M947,'Cluster Map'!$B$4:$B$38,0)),"Unmapped"))</f>
        <v>Cluster 4</v>
      </c>
      <c r="O947" s="55">
        <f>IF(A947="",0,IF(COUNTIFS($A$2:A947,A947,$F$2:F947,F947,$L$2:L947,L947)=1,1,0))</f>
        <v>0</v>
      </c>
      <c r="P947" s="55">
        <f>IF(A947="",0,IF(AND(F947="C&amp;T",COUNTIFS($A$2:A947,A947,$F$2:F947,"C&amp;T")=1),1,0))</f>
        <v>0</v>
      </c>
    </row>
    <row r="948" spans="1:16" x14ac:dyDescent="0.35">
      <c r="A948" s="54">
        <f>IFERROR(IF(INDEX(SPOT_Import!$A$1:$Z$2488,948,'Live Data'!$C$12)="","",INDEX(SPOT_Import!$A$1:$Z$2488,948,'Live Data'!$C$12)),"")</f>
        <v>15128</v>
      </c>
      <c r="B948" s="54" t="str">
        <f>IFERROR(IF(INDEX(SPOT_Import!$A$1:$Z$2488,948,'Live Data'!$C$13)="","",INDEX(SPOT_Import!$A$1:$Z$2488,948,'Live Data'!$C$13)),"")</f>
        <v>Mararianta Dispensary</v>
      </c>
      <c r="C948" s="54" t="str">
        <f>IFERROR(IF(INDEX(SPOT_Import!$A$1:$Z$2488,948,'Live Data'!$C$14)="","",INDEX(SPOT_Import!$A$1:$Z$2488,948,'Live Data'!$C$14)),"")</f>
        <v>NAROK</v>
      </c>
      <c r="D948" s="54" t="str">
        <f>IFERROR(IF(INDEX(SPOT_Import!$A$1:$Z$2488,948,'Live Data'!$C$15)="","",INDEX(SPOT_Import!$A$1:$Z$2488,948,'Live Data'!$C$15)),"")</f>
        <v>Narok West</v>
      </c>
      <c r="E948" s="54" t="str">
        <f>IFERROR(IF(INDEX(SPOT_Import!$A$1:$Z$2488,948,'Live Data'!$C$16)="","",INDEX(SPOT_Import!$A$1:$Z$2488,948,'Live Data'!$C$16)),"")</f>
        <v>CHAK CHAP STAWISHA</v>
      </c>
      <c r="F948" s="54" t="str">
        <f>IFERROR(IF(INDEX(SPOT_Import!$A$1:$Z$2488,948,'Live Data'!$C$17)="","",INDEX(SPOT_Import!$A$1:$Z$2488,948,'Live Data'!$C$17)),"")</f>
        <v>HTS</v>
      </c>
      <c r="G948" s="54">
        <f>IFERROR(IF(INDEX(SPOT_Import!$A$1:$Z$2488,948,'Live Data'!$C$18)="","",INDEX(SPOT_Import!$A$1:$Z$2488,948,'Live Data'!$C$18)),"")</f>
        <v>2458</v>
      </c>
      <c r="H948" s="54">
        <f>IFERROR(IF(INDEX(SPOT_Import!$A$1:$Z$2488,948,'Live Data'!$C$19)="","",INDEX(SPOT_Import!$A$1:$Z$2488,948,'Live Data'!$C$19)),"")</f>
        <v>2458</v>
      </c>
      <c r="I948" s="54" t="str">
        <f>IFERROR(IF(INDEX(SPOT_Import!$A$1:$Z$2488,948,'Live Data'!$C$20)="","",INDEX(SPOT_Import!$A$1:$Z$2488,948,'Live Data'!$C$20)),"")</f>
        <v>Complete</v>
      </c>
      <c r="J948" s="54" t="str">
        <f>IFERROR(IF(INDEX(SPOT_Import!$A$1:$Z$2488,948,'Live Data'!$C$21)="","",INDEX(SPOT_Import!$A$1:$Z$2488,948,'Live Data'!$C$21)),"")</f>
        <v>2026-10-04T18:19:58.000Z</v>
      </c>
      <c r="K948" s="54" t="str">
        <f>IFERROR(IF(INDEX(SPOT_Import!$A$1:$Z$2488,948,'Live Data'!$C$22)="","",INDEX(SPOT_Import!$A$1:$Z$2488,948,'Live Data'!$C$22)),"")</f>
        <v>2026-10-04T18:19:58.000Z</v>
      </c>
      <c r="L948" s="55" t="str">
        <f t="shared" si="28"/>
        <v>2026-10</v>
      </c>
      <c r="M948" s="55" t="str">
        <f t="shared" si="29"/>
        <v>NAROK</v>
      </c>
      <c r="N948" s="55" t="str">
        <f>IF(A948="","",IFERROR(INDEX('Cluster Map'!$A$4:$A$38,MATCH(M948,'Cluster Map'!$B$4:$B$38,0)),"Unmapped"))</f>
        <v>Cluster 4</v>
      </c>
      <c r="O948" s="55">
        <f>IF(A948="",0,IF(COUNTIFS($A$2:A948,A948,$F$2:F948,F948,$L$2:L948,L948)=1,1,0))</f>
        <v>1</v>
      </c>
      <c r="P948" s="55">
        <f>IF(A948="",0,IF(AND(F948="C&amp;T",COUNTIFS($A$2:A948,A948,$F$2:F948,"C&amp;T")=1),1,0))</f>
        <v>0</v>
      </c>
    </row>
    <row r="949" spans="1:16" x14ac:dyDescent="0.35">
      <c r="A949" s="54">
        <f>IFERROR(IF(INDEX(SPOT_Import!$A$1:$Z$2488,949,'Live Data'!$C$12)="","",INDEX(SPOT_Import!$A$1:$Z$2488,949,'Live Data'!$C$12)),"")</f>
        <v>15128</v>
      </c>
      <c r="B949" s="54" t="str">
        <f>IFERROR(IF(INDEX(SPOT_Import!$A$1:$Z$2488,949,'Live Data'!$C$13)="","",INDEX(SPOT_Import!$A$1:$Z$2488,949,'Live Data'!$C$13)),"")</f>
        <v>Mararianta Dispensary</v>
      </c>
      <c r="C949" s="54" t="str">
        <f>IFERROR(IF(INDEX(SPOT_Import!$A$1:$Z$2488,949,'Live Data'!$C$14)="","",INDEX(SPOT_Import!$A$1:$Z$2488,949,'Live Data'!$C$14)),"")</f>
        <v>NAROK</v>
      </c>
      <c r="D949" s="54" t="str">
        <f>IFERROR(IF(INDEX(SPOT_Import!$A$1:$Z$2488,949,'Live Data'!$C$15)="","",INDEX(SPOT_Import!$A$1:$Z$2488,949,'Live Data'!$C$15)),"")</f>
        <v>Narok West</v>
      </c>
      <c r="E949" s="54" t="str">
        <f>IFERROR(IF(INDEX(SPOT_Import!$A$1:$Z$2488,949,'Live Data'!$C$16)="","",INDEX(SPOT_Import!$A$1:$Z$2488,949,'Live Data'!$C$16)),"")</f>
        <v>CHAK CHAP STAWISHA</v>
      </c>
      <c r="F949" s="54" t="str">
        <f>IFERROR(IF(INDEX(SPOT_Import!$A$1:$Z$2488,949,'Live Data'!$C$17)="","",INDEX(SPOT_Import!$A$1:$Z$2488,949,'Live Data'!$C$17)),"")</f>
        <v>C&amp;T</v>
      </c>
      <c r="G949" s="54">
        <f>IFERROR(IF(INDEX(SPOT_Import!$A$1:$Z$2488,949,'Live Data'!$C$18)="","",INDEX(SPOT_Import!$A$1:$Z$2488,949,'Live Data'!$C$18)),"")</f>
        <v>173</v>
      </c>
      <c r="H949" s="54">
        <f>IFERROR(IF(INDEX(SPOT_Import!$A$1:$Z$2488,949,'Live Data'!$C$19)="","",INDEX(SPOT_Import!$A$1:$Z$2488,949,'Live Data'!$C$19)),"")</f>
        <v>173</v>
      </c>
      <c r="I949" s="54" t="str">
        <f>IFERROR(IF(INDEX(SPOT_Import!$A$1:$Z$2488,949,'Live Data'!$C$20)="","",INDEX(SPOT_Import!$A$1:$Z$2488,949,'Live Data'!$C$20)),"")</f>
        <v>Complete</v>
      </c>
      <c r="J949" s="54" t="str">
        <f>IFERROR(IF(INDEX(SPOT_Import!$A$1:$Z$2488,949,'Live Data'!$C$21)="","",INDEX(SPOT_Import!$A$1:$Z$2488,949,'Live Data'!$C$21)),"")</f>
        <v>2026-10-04T17:42:30.000Z</v>
      </c>
      <c r="K949" s="54" t="str">
        <f>IFERROR(IF(INDEX(SPOT_Import!$A$1:$Z$2488,949,'Live Data'!$C$22)="","",INDEX(SPOT_Import!$A$1:$Z$2488,949,'Live Data'!$C$22)),"")</f>
        <v>2026-10-04T17:42:30.000Z</v>
      </c>
      <c r="L949" s="55" t="str">
        <f t="shared" si="28"/>
        <v>2026-10</v>
      </c>
      <c r="M949" s="55" t="str">
        <f t="shared" si="29"/>
        <v>NAROK</v>
      </c>
      <c r="N949" s="55" t="str">
        <f>IF(A949="","",IFERROR(INDEX('Cluster Map'!$A$4:$A$38,MATCH(M949,'Cluster Map'!$B$4:$B$38,0)),"Unmapped"))</f>
        <v>Cluster 4</v>
      </c>
      <c r="O949" s="55">
        <f>IF(A949="",0,IF(COUNTIFS($A$2:A949,A949,$F$2:F949,F949,$L$2:L949,L949)=1,1,0))</f>
        <v>1</v>
      </c>
      <c r="P949" s="55">
        <f>IF(A949="",0,IF(AND(F949="C&amp;T",COUNTIFS($A$2:A949,A949,$F$2:F949,"C&amp;T")=1),1,0))</f>
        <v>1</v>
      </c>
    </row>
    <row r="950" spans="1:16" x14ac:dyDescent="0.35">
      <c r="A950" s="54">
        <f>IFERROR(IF(INDEX(SPOT_Import!$A$1:$Z$2488,950,'Live Data'!$C$12)="","",INDEX(SPOT_Import!$A$1:$Z$2488,950,'Live Data'!$C$12)),"")</f>
        <v>10100</v>
      </c>
      <c r="B950" s="54" t="str">
        <f>IFERROR(IF(INDEX(SPOT_Import!$A$1:$Z$2488,950,'Live Data'!$C$13)="","",INDEX(SPOT_Import!$A$1:$Z$2488,950,'Live Data'!$C$13)),"")</f>
        <v>Consolata Mission Hospital (Mathari)</v>
      </c>
      <c r="C950" s="54" t="str">
        <f>IFERROR(IF(INDEX(SPOT_Import!$A$1:$Z$2488,950,'Live Data'!$C$14)="","",INDEX(SPOT_Import!$A$1:$Z$2488,950,'Live Data'!$C$14)),"")</f>
        <v>NYERI</v>
      </c>
      <c r="D950" s="54" t="str">
        <f>IFERROR(IF(INDEX(SPOT_Import!$A$1:$Z$2488,950,'Live Data'!$C$15)="","",INDEX(SPOT_Import!$A$1:$Z$2488,950,'Live Data'!$C$15)),"")</f>
        <v>Nyeri Central</v>
      </c>
      <c r="E950" s="54" t="str">
        <f>IFERROR(IF(INDEX(SPOT_Import!$A$1:$Z$2488,950,'Live Data'!$C$16)="","",INDEX(SPOT_Import!$A$1:$Z$2488,950,'Live Data'!$C$16)),"")</f>
        <v>CHAK CHAP STAWISHA</v>
      </c>
      <c r="F950" s="54" t="str">
        <f>IFERROR(IF(INDEX(SPOT_Import!$A$1:$Z$2488,950,'Live Data'!$C$17)="","",INDEX(SPOT_Import!$A$1:$Z$2488,950,'Live Data'!$C$17)),"")</f>
        <v>HTS</v>
      </c>
      <c r="G950" s="54">
        <f>IFERROR(IF(INDEX(SPOT_Import!$A$1:$Z$2488,950,'Live Data'!$C$18)="","",INDEX(SPOT_Import!$A$1:$Z$2488,950,'Live Data'!$C$18)),"")</f>
        <v>11992</v>
      </c>
      <c r="H950" s="54">
        <f>IFERROR(IF(INDEX(SPOT_Import!$A$1:$Z$2488,950,'Live Data'!$C$19)="","",INDEX(SPOT_Import!$A$1:$Z$2488,950,'Live Data'!$C$19)),"")</f>
        <v>11992</v>
      </c>
      <c r="I950" s="54" t="str">
        <f>IFERROR(IF(INDEX(SPOT_Import!$A$1:$Z$2488,950,'Live Data'!$C$20)="","",INDEX(SPOT_Import!$A$1:$Z$2488,950,'Live Data'!$C$20)),"")</f>
        <v>Complete</v>
      </c>
      <c r="J950" s="54" t="str">
        <f>IFERROR(IF(INDEX(SPOT_Import!$A$1:$Z$2488,950,'Live Data'!$C$21)="","",INDEX(SPOT_Import!$A$1:$Z$2488,950,'Live Data'!$C$21)),"")</f>
        <v>2026-10-04T13:47:38.000Z</v>
      </c>
      <c r="K950" s="54" t="str">
        <f>IFERROR(IF(INDEX(SPOT_Import!$A$1:$Z$2488,950,'Live Data'!$C$22)="","",INDEX(SPOT_Import!$A$1:$Z$2488,950,'Live Data'!$C$22)),"")</f>
        <v>2026-10-04T13:47:38.000Z</v>
      </c>
      <c r="L950" s="55" t="str">
        <f t="shared" si="28"/>
        <v>2026-10</v>
      </c>
      <c r="M950" s="55" t="str">
        <f t="shared" si="29"/>
        <v>NYERI</v>
      </c>
      <c r="N950" s="55" t="str">
        <f>IF(A950="","",IFERROR(INDEX('Cluster Map'!$A$4:$A$38,MATCH(M950,'Cluster Map'!$B$4:$B$38,0)),"Unmapped"))</f>
        <v>Cluster 2</v>
      </c>
      <c r="O950" s="55">
        <f>IF(A950="",0,IF(COUNTIFS($A$2:A950,A950,$F$2:F950,F950,$L$2:L950,L950)=1,1,0))</f>
        <v>1</v>
      </c>
      <c r="P950" s="55">
        <f>IF(A950="",0,IF(AND(F950="C&amp;T",COUNTIFS($A$2:A950,A950,$F$2:F950,"C&amp;T")=1),1,0))</f>
        <v>0</v>
      </c>
    </row>
    <row r="951" spans="1:16" x14ac:dyDescent="0.35">
      <c r="A951" s="54">
        <f>IFERROR(IF(INDEX(SPOT_Import!$A$1:$Z$2488,951,'Live Data'!$C$12)="","",INDEX(SPOT_Import!$A$1:$Z$2488,951,'Live Data'!$C$12)),"")</f>
        <v>10100</v>
      </c>
      <c r="B951" s="54" t="str">
        <f>IFERROR(IF(INDEX(SPOT_Import!$A$1:$Z$2488,951,'Live Data'!$C$13)="","",INDEX(SPOT_Import!$A$1:$Z$2488,951,'Live Data'!$C$13)),"")</f>
        <v>Consolata Mission Hospital (Mathari)</v>
      </c>
      <c r="C951" s="54" t="str">
        <f>IFERROR(IF(INDEX(SPOT_Import!$A$1:$Z$2488,951,'Live Data'!$C$14)="","",INDEX(SPOT_Import!$A$1:$Z$2488,951,'Live Data'!$C$14)),"")</f>
        <v>NYERI</v>
      </c>
      <c r="D951" s="54" t="str">
        <f>IFERROR(IF(INDEX(SPOT_Import!$A$1:$Z$2488,951,'Live Data'!$C$15)="","",INDEX(SPOT_Import!$A$1:$Z$2488,951,'Live Data'!$C$15)),"")</f>
        <v>Nyeri Central</v>
      </c>
      <c r="E951" s="54" t="str">
        <f>IFERROR(IF(INDEX(SPOT_Import!$A$1:$Z$2488,951,'Live Data'!$C$16)="","",INDEX(SPOT_Import!$A$1:$Z$2488,951,'Live Data'!$C$16)),"")</f>
        <v>CHAK CHAP STAWISHA</v>
      </c>
      <c r="F951" s="54" t="str">
        <f>IFERROR(IF(INDEX(SPOT_Import!$A$1:$Z$2488,951,'Live Data'!$C$17)="","",INDEX(SPOT_Import!$A$1:$Z$2488,951,'Live Data'!$C$17)),"")</f>
        <v>C&amp;T</v>
      </c>
      <c r="G951" s="54">
        <f>IFERROR(IF(INDEX(SPOT_Import!$A$1:$Z$2488,951,'Live Data'!$C$18)="","",INDEX(SPOT_Import!$A$1:$Z$2488,951,'Live Data'!$C$18)),"")</f>
        <v>3406</v>
      </c>
      <c r="H951" s="54">
        <f>IFERROR(IF(INDEX(SPOT_Import!$A$1:$Z$2488,951,'Live Data'!$C$19)="","",INDEX(SPOT_Import!$A$1:$Z$2488,951,'Live Data'!$C$19)),"")</f>
        <v>3406</v>
      </c>
      <c r="I951" s="54" t="str">
        <f>IFERROR(IF(INDEX(SPOT_Import!$A$1:$Z$2488,951,'Live Data'!$C$20)="","",INDEX(SPOT_Import!$A$1:$Z$2488,951,'Live Data'!$C$20)),"")</f>
        <v>Complete</v>
      </c>
      <c r="J951" s="54" t="str">
        <f>IFERROR(IF(INDEX(SPOT_Import!$A$1:$Z$2488,951,'Live Data'!$C$21)="","",INDEX(SPOT_Import!$A$1:$Z$2488,951,'Live Data'!$C$21)),"")</f>
        <v>2026-10-04T13:33:30.000Z</v>
      </c>
      <c r="K951" s="54" t="str">
        <f>IFERROR(IF(INDEX(SPOT_Import!$A$1:$Z$2488,951,'Live Data'!$C$22)="","",INDEX(SPOT_Import!$A$1:$Z$2488,951,'Live Data'!$C$22)),"")</f>
        <v>2026-10-04T13:33:30.000Z</v>
      </c>
      <c r="L951" s="55" t="str">
        <f t="shared" si="28"/>
        <v>2026-10</v>
      </c>
      <c r="M951" s="55" t="str">
        <f t="shared" si="29"/>
        <v>NYERI</v>
      </c>
      <c r="N951" s="55" t="str">
        <f>IF(A951="","",IFERROR(INDEX('Cluster Map'!$A$4:$A$38,MATCH(M951,'Cluster Map'!$B$4:$B$38,0)),"Unmapped"))</f>
        <v>Cluster 2</v>
      </c>
      <c r="O951" s="55">
        <f>IF(A951="",0,IF(COUNTIFS($A$2:A951,A951,$F$2:F951,F951,$L$2:L951,L951)=1,1,0))</f>
        <v>1</v>
      </c>
      <c r="P951" s="55">
        <f>IF(A951="",0,IF(AND(F951="C&amp;T",COUNTIFS($A$2:A951,A951,$F$2:F951,"C&amp;T")=1),1,0))</f>
        <v>1</v>
      </c>
    </row>
    <row r="952" spans="1:16" x14ac:dyDescent="0.35">
      <c r="A952" s="54">
        <f>IFERROR(IF(INDEX(SPOT_Import!$A$1:$Z$2488,952,'Live Data'!$C$12)="","",INDEX(SPOT_Import!$A$1:$Z$2488,952,'Live Data'!$C$12)),"")</f>
        <v>10100</v>
      </c>
      <c r="B952" s="54" t="str">
        <f>IFERROR(IF(INDEX(SPOT_Import!$A$1:$Z$2488,952,'Live Data'!$C$13)="","",INDEX(SPOT_Import!$A$1:$Z$2488,952,'Live Data'!$C$13)),"")</f>
        <v>Consolata Mission Hospital (Mathari)</v>
      </c>
      <c r="C952" s="54" t="str">
        <f>IFERROR(IF(INDEX(SPOT_Import!$A$1:$Z$2488,952,'Live Data'!$C$14)="","",INDEX(SPOT_Import!$A$1:$Z$2488,952,'Live Data'!$C$14)),"")</f>
        <v>NYERI</v>
      </c>
      <c r="D952" s="54" t="str">
        <f>IFERROR(IF(INDEX(SPOT_Import!$A$1:$Z$2488,952,'Live Data'!$C$15)="","",INDEX(SPOT_Import!$A$1:$Z$2488,952,'Live Data'!$C$15)),"")</f>
        <v>Nyeri Central</v>
      </c>
      <c r="E952" s="54" t="str">
        <f>IFERROR(IF(INDEX(SPOT_Import!$A$1:$Z$2488,952,'Live Data'!$C$16)="","",INDEX(SPOT_Import!$A$1:$Z$2488,952,'Live Data'!$C$16)),"")</f>
        <v>CHAK CHAP STAWISHA</v>
      </c>
      <c r="F952" s="54" t="str">
        <f>IFERROR(IF(INDEX(SPOT_Import!$A$1:$Z$2488,952,'Live Data'!$C$17)="","",INDEX(SPOT_Import!$A$1:$Z$2488,952,'Live Data'!$C$17)),"")</f>
        <v>MNCH</v>
      </c>
      <c r="G952" s="54">
        <f>IFERROR(IF(INDEX(SPOT_Import!$A$1:$Z$2488,952,'Live Data'!$C$18)="","",INDEX(SPOT_Import!$A$1:$Z$2488,952,'Live Data'!$C$18)),"")</f>
        <v>692</v>
      </c>
      <c r="H952" s="54">
        <f>IFERROR(IF(INDEX(SPOT_Import!$A$1:$Z$2488,952,'Live Data'!$C$19)="","",INDEX(SPOT_Import!$A$1:$Z$2488,952,'Live Data'!$C$19)),"")</f>
        <v>692</v>
      </c>
      <c r="I952" s="54" t="str">
        <f>IFERROR(IF(INDEX(SPOT_Import!$A$1:$Z$2488,952,'Live Data'!$C$20)="","",INDEX(SPOT_Import!$A$1:$Z$2488,952,'Live Data'!$C$20)),"")</f>
        <v>Complete</v>
      </c>
      <c r="J952" s="54" t="str">
        <f>IFERROR(IF(INDEX(SPOT_Import!$A$1:$Z$2488,952,'Live Data'!$C$21)="","",INDEX(SPOT_Import!$A$1:$Z$2488,952,'Live Data'!$C$21)),"")</f>
        <v>2026-10-04T11:08:54.000Z</v>
      </c>
      <c r="K952" s="54" t="str">
        <f>IFERROR(IF(INDEX(SPOT_Import!$A$1:$Z$2488,952,'Live Data'!$C$22)="","",INDEX(SPOT_Import!$A$1:$Z$2488,952,'Live Data'!$C$22)),"")</f>
        <v>2026-10-04T11:08:54.000Z</v>
      </c>
      <c r="L952" s="55" t="str">
        <f t="shared" si="28"/>
        <v>2026-10</v>
      </c>
      <c r="M952" s="55" t="str">
        <f t="shared" si="29"/>
        <v>NYERI</v>
      </c>
      <c r="N952" s="55" t="str">
        <f>IF(A952="","",IFERROR(INDEX('Cluster Map'!$A$4:$A$38,MATCH(M952,'Cluster Map'!$B$4:$B$38,0)),"Unmapped"))</f>
        <v>Cluster 2</v>
      </c>
      <c r="O952" s="55">
        <f>IF(A952="",0,IF(COUNTIFS($A$2:A952,A952,$F$2:F952,F952,$L$2:L952,L952)=1,1,0))</f>
        <v>1</v>
      </c>
      <c r="P952" s="55">
        <f>IF(A952="",0,IF(AND(F952="C&amp;T",COUNTIFS($A$2:A952,A952,$F$2:F952,"C&amp;T")=1),1,0))</f>
        <v>0</v>
      </c>
    </row>
    <row r="953" spans="1:16" x14ac:dyDescent="0.35">
      <c r="A953" s="54">
        <f>IFERROR(IF(INDEX(SPOT_Import!$A$1:$Z$2488,953,'Live Data'!$C$12)="","",INDEX(SPOT_Import!$A$1:$Z$2488,953,'Live Data'!$C$12)),"")</f>
        <v>12769</v>
      </c>
      <c r="B953" s="54" t="str">
        <f>IFERROR(IF(INDEX(SPOT_Import!$A$1:$Z$2488,953,'Live Data'!$C$13)="","",INDEX(SPOT_Import!$A$1:$Z$2488,953,'Live Data'!$C$13)),"")</f>
        <v>St Orsola Mission Hospital</v>
      </c>
      <c r="C953" s="54" t="str">
        <f>IFERROR(IF(INDEX(SPOT_Import!$A$1:$Z$2488,953,'Live Data'!$C$14)="","",INDEX(SPOT_Import!$A$1:$Z$2488,953,'Live Data'!$C$14)),"")</f>
        <v>THARAKA - NITHI</v>
      </c>
      <c r="D953" s="54" t="str">
        <f>IFERROR(IF(INDEX(SPOT_Import!$A$1:$Z$2488,953,'Live Data'!$C$15)="","",INDEX(SPOT_Import!$A$1:$Z$2488,953,'Live Data'!$C$15)),"")</f>
        <v>THARAKA SOUTH</v>
      </c>
      <c r="E953" s="54" t="str">
        <f>IFERROR(IF(INDEX(SPOT_Import!$A$1:$Z$2488,953,'Live Data'!$C$16)="","",INDEX(SPOT_Import!$A$1:$Z$2488,953,'Live Data'!$C$16)),"")</f>
        <v>CHAK CHAP STAWISHA</v>
      </c>
      <c r="F953" s="54" t="str">
        <f>IFERROR(IF(INDEX(SPOT_Import!$A$1:$Z$2488,953,'Live Data'!$C$17)="","",INDEX(SPOT_Import!$A$1:$Z$2488,953,'Live Data'!$C$17)),"")</f>
        <v>PREP</v>
      </c>
      <c r="G953" s="54">
        <f>IFERROR(IF(INDEX(SPOT_Import!$A$1:$Z$2488,953,'Live Data'!$C$18)="","",INDEX(SPOT_Import!$A$1:$Z$2488,953,'Live Data'!$C$18)),"")</f>
        <v>316</v>
      </c>
      <c r="H953" s="54" t="str">
        <f>IFERROR(IF(INDEX(SPOT_Import!$A$1:$Z$2488,953,'Live Data'!$C$19)="","",INDEX(SPOT_Import!$A$1:$Z$2488,953,'Live Data'!$C$19)),"")</f>
        <v/>
      </c>
      <c r="I953" s="54" t="str">
        <f>IFERROR(IF(INDEX(SPOT_Import!$A$1:$Z$2488,953,'Live Data'!$C$20)="","",INDEX(SPOT_Import!$A$1:$Z$2488,953,'Live Data'!$C$20)),"")</f>
        <v>Complete</v>
      </c>
      <c r="J953" s="54" t="str">
        <f>IFERROR(IF(INDEX(SPOT_Import!$A$1:$Z$2488,953,'Live Data'!$C$21)="","",INDEX(SPOT_Import!$A$1:$Z$2488,953,'Live Data'!$C$21)),"")</f>
        <v>2026-10-03T22:15:09.000Z</v>
      </c>
      <c r="K953" s="54" t="str">
        <f>IFERROR(IF(INDEX(SPOT_Import!$A$1:$Z$2488,953,'Live Data'!$C$22)="","",INDEX(SPOT_Import!$A$1:$Z$2488,953,'Live Data'!$C$22)),"")</f>
        <v>2026-10-03T22:15:09.000Z</v>
      </c>
      <c r="L953" s="55" t="str">
        <f t="shared" si="28"/>
        <v>2026-10</v>
      </c>
      <c r="M953" s="55" t="str">
        <f t="shared" si="29"/>
        <v>THARAKA-NITHI</v>
      </c>
      <c r="N953" s="55" t="str">
        <f>IF(A953="","",IFERROR(INDEX('Cluster Map'!$A$4:$A$38,MATCH(M953,'Cluster Map'!$B$4:$B$38,0)),"Unmapped"))</f>
        <v>Cluster 2</v>
      </c>
      <c r="O953" s="55">
        <f>IF(A953="",0,IF(COUNTIFS($A$2:A953,A953,$F$2:F953,F953,$L$2:L953,L953)=1,1,0))</f>
        <v>1</v>
      </c>
      <c r="P953" s="55">
        <f>IF(A953="",0,IF(AND(F953="C&amp;T",COUNTIFS($A$2:A953,A953,$F$2:F953,"C&amp;T")=1),1,0))</f>
        <v>0</v>
      </c>
    </row>
    <row r="954" spans="1:16" x14ac:dyDescent="0.35">
      <c r="A954" s="54">
        <f>IFERROR(IF(INDEX(SPOT_Import!$A$1:$Z$2488,954,'Live Data'!$C$12)="","",INDEX(SPOT_Import!$A$1:$Z$2488,954,'Live Data'!$C$12)),"")</f>
        <v>12769</v>
      </c>
      <c r="B954" s="54" t="str">
        <f>IFERROR(IF(INDEX(SPOT_Import!$A$1:$Z$2488,954,'Live Data'!$C$13)="","",INDEX(SPOT_Import!$A$1:$Z$2488,954,'Live Data'!$C$13)),"")</f>
        <v>St Orsola Mission Hospital</v>
      </c>
      <c r="C954" s="54" t="str">
        <f>IFERROR(IF(INDEX(SPOT_Import!$A$1:$Z$2488,954,'Live Data'!$C$14)="","",INDEX(SPOT_Import!$A$1:$Z$2488,954,'Live Data'!$C$14)),"")</f>
        <v>THARAKA - NITHI</v>
      </c>
      <c r="D954" s="54" t="str">
        <f>IFERROR(IF(INDEX(SPOT_Import!$A$1:$Z$2488,954,'Live Data'!$C$15)="","",INDEX(SPOT_Import!$A$1:$Z$2488,954,'Live Data'!$C$15)),"")</f>
        <v>THARAKA SOUTH</v>
      </c>
      <c r="E954" s="54" t="str">
        <f>IFERROR(IF(INDEX(SPOT_Import!$A$1:$Z$2488,954,'Live Data'!$C$16)="","",INDEX(SPOT_Import!$A$1:$Z$2488,954,'Live Data'!$C$16)),"")</f>
        <v>CHAK CHAP STAWISHA</v>
      </c>
      <c r="F954" s="54" t="str">
        <f>IFERROR(IF(INDEX(SPOT_Import!$A$1:$Z$2488,954,'Live Data'!$C$17)="","",INDEX(SPOT_Import!$A$1:$Z$2488,954,'Live Data'!$C$17)),"")</f>
        <v>MNCH</v>
      </c>
      <c r="G954" s="54">
        <f>IFERROR(IF(INDEX(SPOT_Import!$A$1:$Z$2488,954,'Live Data'!$C$18)="","",INDEX(SPOT_Import!$A$1:$Z$2488,954,'Live Data'!$C$18)),"")</f>
        <v>229</v>
      </c>
      <c r="H954" s="54" t="str">
        <f>IFERROR(IF(INDEX(SPOT_Import!$A$1:$Z$2488,954,'Live Data'!$C$19)="","",INDEX(SPOT_Import!$A$1:$Z$2488,954,'Live Data'!$C$19)),"")</f>
        <v/>
      </c>
      <c r="I954" s="54" t="str">
        <f>IFERROR(IF(INDEX(SPOT_Import!$A$1:$Z$2488,954,'Live Data'!$C$20)="","",INDEX(SPOT_Import!$A$1:$Z$2488,954,'Live Data'!$C$20)),"")</f>
        <v>Complete</v>
      </c>
      <c r="J954" s="54" t="str">
        <f>IFERROR(IF(INDEX(SPOT_Import!$A$1:$Z$2488,954,'Live Data'!$C$21)="","",INDEX(SPOT_Import!$A$1:$Z$2488,954,'Live Data'!$C$21)),"")</f>
        <v>2026-10-03T22:12:59.000Z</v>
      </c>
      <c r="K954" s="54" t="str">
        <f>IFERROR(IF(INDEX(SPOT_Import!$A$1:$Z$2488,954,'Live Data'!$C$22)="","",INDEX(SPOT_Import!$A$1:$Z$2488,954,'Live Data'!$C$22)),"")</f>
        <v>2026-10-03T22:12:59.000Z</v>
      </c>
      <c r="L954" s="55" t="str">
        <f t="shared" si="28"/>
        <v>2026-10</v>
      </c>
      <c r="M954" s="55" t="str">
        <f t="shared" si="29"/>
        <v>THARAKA-NITHI</v>
      </c>
      <c r="N954" s="55" t="str">
        <f>IF(A954="","",IFERROR(INDEX('Cluster Map'!$A$4:$A$38,MATCH(M954,'Cluster Map'!$B$4:$B$38,0)),"Unmapped"))</f>
        <v>Cluster 2</v>
      </c>
      <c r="O954" s="55">
        <f>IF(A954="",0,IF(COUNTIFS($A$2:A954,A954,$F$2:F954,F954,$L$2:L954,L954)=1,1,0))</f>
        <v>1</v>
      </c>
      <c r="P954" s="55">
        <f>IF(A954="",0,IF(AND(F954="C&amp;T",COUNTIFS($A$2:A954,A954,$F$2:F954,"C&amp;T")=1),1,0))</f>
        <v>0</v>
      </c>
    </row>
    <row r="955" spans="1:16" x14ac:dyDescent="0.35">
      <c r="A955" s="54">
        <f>IFERROR(IF(INDEX(SPOT_Import!$A$1:$Z$2488,955,'Live Data'!$C$12)="","",INDEX(SPOT_Import!$A$1:$Z$2488,955,'Live Data'!$C$12)),"")</f>
        <v>12769</v>
      </c>
      <c r="B955" s="54" t="str">
        <f>IFERROR(IF(INDEX(SPOT_Import!$A$1:$Z$2488,955,'Live Data'!$C$13)="","",INDEX(SPOT_Import!$A$1:$Z$2488,955,'Live Data'!$C$13)),"")</f>
        <v>St Orsola Mission Hospital</v>
      </c>
      <c r="C955" s="54" t="str">
        <f>IFERROR(IF(INDEX(SPOT_Import!$A$1:$Z$2488,955,'Live Data'!$C$14)="","",INDEX(SPOT_Import!$A$1:$Z$2488,955,'Live Data'!$C$14)),"")</f>
        <v>THARAKA - NITHI</v>
      </c>
      <c r="D955" s="54" t="str">
        <f>IFERROR(IF(INDEX(SPOT_Import!$A$1:$Z$2488,955,'Live Data'!$C$15)="","",INDEX(SPOT_Import!$A$1:$Z$2488,955,'Live Data'!$C$15)),"")</f>
        <v>THARAKA SOUTH</v>
      </c>
      <c r="E955" s="54" t="str">
        <f>IFERROR(IF(INDEX(SPOT_Import!$A$1:$Z$2488,955,'Live Data'!$C$16)="","",INDEX(SPOT_Import!$A$1:$Z$2488,955,'Live Data'!$C$16)),"")</f>
        <v>CHAK CHAP STAWISHA</v>
      </c>
      <c r="F955" s="54" t="str">
        <f>IFERROR(IF(INDEX(SPOT_Import!$A$1:$Z$2488,955,'Live Data'!$C$17)="","",INDEX(SPOT_Import!$A$1:$Z$2488,955,'Live Data'!$C$17)),"")</f>
        <v>HTS</v>
      </c>
      <c r="G955" s="54">
        <f>IFERROR(IF(INDEX(SPOT_Import!$A$1:$Z$2488,955,'Live Data'!$C$18)="","",INDEX(SPOT_Import!$A$1:$Z$2488,955,'Live Data'!$C$18)),"")</f>
        <v>5284</v>
      </c>
      <c r="H955" s="54" t="str">
        <f>IFERROR(IF(INDEX(SPOT_Import!$A$1:$Z$2488,955,'Live Data'!$C$19)="","",INDEX(SPOT_Import!$A$1:$Z$2488,955,'Live Data'!$C$19)),"")</f>
        <v/>
      </c>
      <c r="I955" s="54" t="str">
        <f>IFERROR(IF(INDEX(SPOT_Import!$A$1:$Z$2488,955,'Live Data'!$C$20)="","",INDEX(SPOT_Import!$A$1:$Z$2488,955,'Live Data'!$C$20)),"")</f>
        <v>Complete</v>
      </c>
      <c r="J955" s="54" t="str">
        <f>IFERROR(IF(INDEX(SPOT_Import!$A$1:$Z$2488,955,'Live Data'!$C$21)="","",INDEX(SPOT_Import!$A$1:$Z$2488,955,'Live Data'!$C$21)),"")</f>
        <v>2026-10-03T22:10:05.000Z</v>
      </c>
      <c r="K955" s="54" t="str">
        <f>IFERROR(IF(INDEX(SPOT_Import!$A$1:$Z$2488,955,'Live Data'!$C$22)="","",INDEX(SPOT_Import!$A$1:$Z$2488,955,'Live Data'!$C$22)),"")</f>
        <v>2026-10-03T22:10:05.000Z</v>
      </c>
      <c r="L955" s="55" t="str">
        <f t="shared" si="28"/>
        <v>2026-10</v>
      </c>
      <c r="M955" s="55" t="str">
        <f t="shared" si="29"/>
        <v>THARAKA-NITHI</v>
      </c>
      <c r="N955" s="55" t="str">
        <f>IF(A955="","",IFERROR(INDEX('Cluster Map'!$A$4:$A$38,MATCH(M955,'Cluster Map'!$B$4:$B$38,0)),"Unmapped"))</f>
        <v>Cluster 2</v>
      </c>
      <c r="O955" s="55">
        <f>IF(A955="",0,IF(COUNTIFS($A$2:A955,A955,$F$2:F955,F955,$L$2:L955,L955)=1,1,0))</f>
        <v>1</v>
      </c>
      <c r="P955" s="55">
        <f>IF(A955="",0,IF(AND(F955="C&amp;T",COUNTIFS($A$2:A955,A955,$F$2:F955,"C&amp;T")=1),1,0))</f>
        <v>0</v>
      </c>
    </row>
    <row r="956" spans="1:16" x14ac:dyDescent="0.35">
      <c r="A956" s="54">
        <f>IFERROR(IF(INDEX(SPOT_Import!$A$1:$Z$2488,956,'Live Data'!$C$12)="","",INDEX(SPOT_Import!$A$1:$Z$2488,956,'Live Data'!$C$12)),"")</f>
        <v>12492</v>
      </c>
      <c r="B956" s="54" t="str">
        <f>IFERROR(IF(INDEX(SPOT_Import!$A$1:$Z$2488,956,'Live Data'!$C$13)="","",INDEX(SPOT_Import!$A$1:$Z$2488,956,'Live Data'!$C$13)),"")</f>
        <v>Maua Methodist Hospital</v>
      </c>
      <c r="C956" s="54" t="str">
        <f>IFERROR(IF(INDEX(SPOT_Import!$A$1:$Z$2488,956,'Live Data'!$C$14)="","",INDEX(SPOT_Import!$A$1:$Z$2488,956,'Live Data'!$C$14)),"")</f>
        <v>MERU</v>
      </c>
      <c r="D956" s="54" t="str">
        <f>IFERROR(IF(INDEX(SPOT_Import!$A$1:$Z$2488,956,'Live Data'!$C$15)="","",INDEX(SPOT_Import!$A$1:$Z$2488,956,'Live Data'!$C$15)),"")</f>
        <v>Igembe South</v>
      </c>
      <c r="E956" s="54" t="str">
        <f>IFERROR(IF(INDEX(SPOT_Import!$A$1:$Z$2488,956,'Live Data'!$C$16)="","",INDEX(SPOT_Import!$A$1:$Z$2488,956,'Live Data'!$C$16)),"")</f>
        <v>CHAK CHAP STAWISHA</v>
      </c>
      <c r="F956" s="54" t="str">
        <f>IFERROR(IF(INDEX(SPOT_Import!$A$1:$Z$2488,956,'Live Data'!$C$17)="","",INDEX(SPOT_Import!$A$1:$Z$2488,956,'Live Data'!$C$17)),"")</f>
        <v>PREP</v>
      </c>
      <c r="G956" s="54">
        <f>IFERROR(IF(INDEX(SPOT_Import!$A$1:$Z$2488,956,'Live Data'!$C$18)="","",INDEX(SPOT_Import!$A$1:$Z$2488,956,'Live Data'!$C$18)),"")</f>
        <v>3838</v>
      </c>
      <c r="H956" s="54">
        <f>IFERROR(IF(INDEX(SPOT_Import!$A$1:$Z$2488,956,'Live Data'!$C$19)="","",INDEX(SPOT_Import!$A$1:$Z$2488,956,'Live Data'!$C$19)),"")</f>
        <v>3838</v>
      </c>
      <c r="I956" s="54" t="str">
        <f>IFERROR(IF(INDEX(SPOT_Import!$A$1:$Z$2488,956,'Live Data'!$C$20)="","",INDEX(SPOT_Import!$A$1:$Z$2488,956,'Live Data'!$C$20)),"")</f>
        <v>Complete</v>
      </c>
      <c r="J956" s="54" t="str">
        <f>IFERROR(IF(INDEX(SPOT_Import!$A$1:$Z$2488,956,'Live Data'!$C$21)="","",INDEX(SPOT_Import!$A$1:$Z$2488,956,'Live Data'!$C$21)),"")</f>
        <v>2026-10-03T17:43:17.000Z</v>
      </c>
      <c r="K956" s="54" t="str">
        <f>IFERROR(IF(INDEX(SPOT_Import!$A$1:$Z$2488,956,'Live Data'!$C$22)="","",INDEX(SPOT_Import!$A$1:$Z$2488,956,'Live Data'!$C$22)),"")</f>
        <v>2026-10-03T17:43:17.000Z</v>
      </c>
      <c r="L956" s="55" t="str">
        <f t="shared" si="28"/>
        <v>2026-10</v>
      </c>
      <c r="M956" s="55" t="str">
        <f t="shared" si="29"/>
        <v>MERU</v>
      </c>
      <c r="N956" s="55" t="str">
        <f>IF(A956="","",IFERROR(INDEX('Cluster Map'!$A$4:$A$38,MATCH(M956,'Cluster Map'!$B$4:$B$38,0)),"Unmapped"))</f>
        <v>Cluster 1</v>
      </c>
      <c r="O956" s="55">
        <f>IF(A956="",0,IF(COUNTIFS($A$2:A956,A956,$F$2:F956,F956,$L$2:L956,L956)=1,1,0))</f>
        <v>1</v>
      </c>
      <c r="P956" s="55">
        <f>IF(A956="",0,IF(AND(F956="C&amp;T",COUNTIFS($A$2:A956,A956,$F$2:F956,"C&amp;T")=1),1,0))</f>
        <v>0</v>
      </c>
    </row>
    <row r="957" spans="1:16" x14ac:dyDescent="0.35">
      <c r="A957" s="54">
        <f>IFERROR(IF(INDEX(SPOT_Import!$A$1:$Z$2488,957,'Live Data'!$C$12)="","",INDEX(SPOT_Import!$A$1:$Z$2488,957,'Live Data'!$C$12)),"")</f>
        <v>12492</v>
      </c>
      <c r="B957" s="54" t="str">
        <f>IFERROR(IF(INDEX(SPOT_Import!$A$1:$Z$2488,957,'Live Data'!$C$13)="","",INDEX(SPOT_Import!$A$1:$Z$2488,957,'Live Data'!$C$13)),"")</f>
        <v>Maua Methodist Hospital</v>
      </c>
      <c r="C957" s="54" t="str">
        <f>IFERROR(IF(INDEX(SPOT_Import!$A$1:$Z$2488,957,'Live Data'!$C$14)="","",INDEX(SPOT_Import!$A$1:$Z$2488,957,'Live Data'!$C$14)),"")</f>
        <v>MERU</v>
      </c>
      <c r="D957" s="54" t="str">
        <f>IFERROR(IF(INDEX(SPOT_Import!$A$1:$Z$2488,957,'Live Data'!$C$15)="","",INDEX(SPOT_Import!$A$1:$Z$2488,957,'Live Data'!$C$15)),"")</f>
        <v>Igembe South</v>
      </c>
      <c r="E957" s="54" t="str">
        <f>IFERROR(IF(INDEX(SPOT_Import!$A$1:$Z$2488,957,'Live Data'!$C$16)="","",INDEX(SPOT_Import!$A$1:$Z$2488,957,'Live Data'!$C$16)),"")</f>
        <v>CHAK CHAP STAWISHA</v>
      </c>
      <c r="F957" s="54" t="str">
        <f>IFERROR(IF(INDEX(SPOT_Import!$A$1:$Z$2488,957,'Live Data'!$C$17)="","",INDEX(SPOT_Import!$A$1:$Z$2488,957,'Live Data'!$C$17)),"")</f>
        <v>MNCH</v>
      </c>
      <c r="G957" s="54">
        <f>IFERROR(IF(INDEX(SPOT_Import!$A$1:$Z$2488,957,'Live Data'!$C$18)="","",INDEX(SPOT_Import!$A$1:$Z$2488,957,'Live Data'!$C$18)),"")</f>
        <v>51</v>
      </c>
      <c r="H957" s="54" t="str">
        <f>IFERROR(IF(INDEX(SPOT_Import!$A$1:$Z$2488,957,'Live Data'!$C$19)="","",INDEX(SPOT_Import!$A$1:$Z$2488,957,'Live Data'!$C$19)),"")</f>
        <v/>
      </c>
      <c r="I957" s="54" t="str">
        <f>IFERROR(IF(INDEX(SPOT_Import!$A$1:$Z$2488,957,'Live Data'!$C$20)="","",INDEX(SPOT_Import!$A$1:$Z$2488,957,'Live Data'!$C$20)),"")</f>
        <v>Incomplete</v>
      </c>
      <c r="J957" s="54" t="str">
        <f>IFERROR(IF(INDEX(SPOT_Import!$A$1:$Z$2488,957,'Live Data'!$C$21)="","",INDEX(SPOT_Import!$A$1:$Z$2488,957,'Live Data'!$C$21)),"")</f>
        <v>2026-10-03T17:42:33.000Z</v>
      </c>
      <c r="K957" s="54" t="str">
        <f>IFERROR(IF(INDEX(SPOT_Import!$A$1:$Z$2488,957,'Live Data'!$C$22)="","",INDEX(SPOT_Import!$A$1:$Z$2488,957,'Live Data'!$C$22)),"")</f>
        <v>2026-10-03T17:42:33.000Z</v>
      </c>
      <c r="L957" s="55" t="str">
        <f t="shared" si="28"/>
        <v>2026-10</v>
      </c>
      <c r="M957" s="55" t="str">
        <f t="shared" si="29"/>
        <v>MERU</v>
      </c>
      <c r="N957" s="55" t="str">
        <f>IF(A957="","",IFERROR(INDEX('Cluster Map'!$A$4:$A$38,MATCH(M957,'Cluster Map'!$B$4:$B$38,0)),"Unmapped"))</f>
        <v>Cluster 1</v>
      </c>
      <c r="O957" s="55">
        <f>IF(A957="",0,IF(COUNTIFS($A$2:A957,A957,$F$2:F957,F957,$L$2:L957,L957)=1,1,0))</f>
        <v>1</v>
      </c>
      <c r="P957" s="55">
        <f>IF(A957="",0,IF(AND(F957="C&amp;T",COUNTIFS($A$2:A957,A957,$F$2:F957,"C&amp;T")=1),1,0))</f>
        <v>0</v>
      </c>
    </row>
    <row r="958" spans="1:16" x14ac:dyDescent="0.35">
      <c r="A958" s="54">
        <f>IFERROR(IF(INDEX(SPOT_Import!$A$1:$Z$2488,958,'Live Data'!$C$12)="","",INDEX(SPOT_Import!$A$1:$Z$2488,958,'Live Data'!$C$12)),"")</f>
        <v>12492</v>
      </c>
      <c r="B958" s="54" t="str">
        <f>IFERROR(IF(INDEX(SPOT_Import!$A$1:$Z$2488,958,'Live Data'!$C$13)="","",INDEX(SPOT_Import!$A$1:$Z$2488,958,'Live Data'!$C$13)),"")</f>
        <v>Maua Methodist Hospital</v>
      </c>
      <c r="C958" s="54" t="str">
        <f>IFERROR(IF(INDEX(SPOT_Import!$A$1:$Z$2488,958,'Live Data'!$C$14)="","",INDEX(SPOT_Import!$A$1:$Z$2488,958,'Live Data'!$C$14)),"")</f>
        <v>MERU</v>
      </c>
      <c r="D958" s="54" t="str">
        <f>IFERROR(IF(INDEX(SPOT_Import!$A$1:$Z$2488,958,'Live Data'!$C$15)="","",INDEX(SPOT_Import!$A$1:$Z$2488,958,'Live Data'!$C$15)),"")</f>
        <v>Igembe South</v>
      </c>
      <c r="E958" s="54" t="str">
        <f>IFERROR(IF(INDEX(SPOT_Import!$A$1:$Z$2488,958,'Live Data'!$C$16)="","",INDEX(SPOT_Import!$A$1:$Z$2488,958,'Live Data'!$C$16)),"")</f>
        <v>CHAK CHAP STAWISHA</v>
      </c>
      <c r="F958" s="54" t="str">
        <f>IFERROR(IF(INDEX(SPOT_Import!$A$1:$Z$2488,958,'Live Data'!$C$17)="","",INDEX(SPOT_Import!$A$1:$Z$2488,958,'Live Data'!$C$17)),"")</f>
        <v>HTS</v>
      </c>
      <c r="G958" s="54">
        <f>IFERROR(IF(INDEX(SPOT_Import!$A$1:$Z$2488,958,'Live Data'!$C$18)="","",INDEX(SPOT_Import!$A$1:$Z$2488,958,'Live Data'!$C$18)),"")</f>
        <v>21452</v>
      </c>
      <c r="H958" s="54">
        <f>IFERROR(IF(INDEX(SPOT_Import!$A$1:$Z$2488,958,'Live Data'!$C$19)="","",INDEX(SPOT_Import!$A$1:$Z$2488,958,'Live Data'!$C$19)),"")</f>
        <v>21452</v>
      </c>
      <c r="I958" s="54" t="str">
        <f>IFERROR(IF(INDEX(SPOT_Import!$A$1:$Z$2488,958,'Live Data'!$C$20)="","",INDEX(SPOT_Import!$A$1:$Z$2488,958,'Live Data'!$C$20)),"")</f>
        <v>Complete</v>
      </c>
      <c r="J958" s="54" t="str">
        <f>IFERROR(IF(INDEX(SPOT_Import!$A$1:$Z$2488,958,'Live Data'!$C$21)="","",INDEX(SPOT_Import!$A$1:$Z$2488,958,'Live Data'!$C$21)),"")</f>
        <v>2026-10-03T17:40:29.000Z</v>
      </c>
      <c r="K958" s="54" t="str">
        <f>IFERROR(IF(INDEX(SPOT_Import!$A$1:$Z$2488,958,'Live Data'!$C$22)="","",INDEX(SPOT_Import!$A$1:$Z$2488,958,'Live Data'!$C$22)),"")</f>
        <v>2026-10-03T17:40:29.000Z</v>
      </c>
      <c r="L958" s="55" t="str">
        <f t="shared" si="28"/>
        <v>2026-10</v>
      </c>
      <c r="M958" s="55" t="str">
        <f t="shared" si="29"/>
        <v>MERU</v>
      </c>
      <c r="N958" s="55" t="str">
        <f>IF(A958="","",IFERROR(INDEX('Cluster Map'!$A$4:$A$38,MATCH(M958,'Cluster Map'!$B$4:$B$38,0)),"Unmapped"))</f>
        <v>Cluster 1</v>
      </c>
      <c r="O958" s="55">
        <f>IF(A958="",0,IF(COUNTIFS($A$2:A958,A958,$F$2:F958,F958,$L$2:L958,L958)=1,1,0))</f>
        <v>1</v>
      </c>
      <c r="P958" s="55">
        <f>IF(A958="",0,IF(AND(F958="C&amp;T",COUNTIFS($A$2:A958,A958,$F$2:F958,"C&amp;T")=1),1,0))</f>
        <v>0</v>
      </c>
    </row>
    <row r="959" spans="1:16" x14ac:dyDescent="0.35">
      <c r="A959" s="54">
        <f>IFERROR(IF(INDEX(SPOT_Import!$A$1:$Z$2488,959,'Live Data'!$C$12)="","",INDEX(SPOT_Import!$A$1:$Z$2488,959,'Live Data'!$C$12)),"")</f>
        <v>12492</v>
      </c>
      <c r="B959" s="54" t="str">
        <f>IFERROR(IF(INDEX(SPOT_Import!$A$1:$Z$2488,959,'Live Data'!$C$13)="","",INDEX(SPOT_Import!$A$1:$Z$2488,959,'Live Data'!$C$13)),"")</f>
        <v>Maua Methodist Hospital</v>
      </c>
      <c r="C959" s="54" t="str">
        <f>IFERROR(IF(INDEX(SPOT_Import!$A$1:$Z$2488,959,'Live Data'!$C$14)="","",INDEX(SPOT_Import!$A$1:$Z$2488,959,'Live Data'!$C$14)),"")</f>
        <v>MERU</v>
      </c>
      <c r="D959" s="54" t="str">
        <f>IFERROR(IF(INDEX(SPOT_Import!$A$1:$Z$2488,959,'Live Data'!$C$15)="","",INDEX(SPOT_Import!$A$1:$Z$2488,959,'Live Data'!$C$15)),"")</f>
        <v>Igembe South</v>
      </c>
      <c r="E959" s="54" t="str">
        <f>IFERROR(IF(INDEX(SPOT_Import!$A$1:$Z$2488,959,'Live Data'!$C$16)="","",INDEX(SPOT_Import!$A$1:$Z$2488,959,'Live Data'!$C$16)),"")</f>
        <v>CHAK CHAP STAWISHA</v>
      </c>
      <c r="F959" s="54" t="str">
        <f>IFERROR(IF(INDEX(SPOT_Import!$A$1:$Z$2488,959,'Live Data'!$C$17)="","",INDEX(SPOT_Import!$A$1:$Z$2488,959,'Live Data'!$C$17)),"")</f>
        <v>C&amp;T</v>
      </c>
      <c r="G959" s="54">
        <f>IFERROR(IF(INDEX(SPOT_Import!$A$1:$Z$2488,959,'Live Data'!$C$18)="","",INDEX(SPOT_Import!$A$1:$Z$2488,959,'Live Data'!$C$18)),"")</f>
        <v>7445</v>
      </c>
      <c r="H959" s="54">
        <f>IFERROR(IF(INDEX(SPOT_Import!$A$1:$Z$2488,959,'Live Data'!$C$19)="","",INDEX(SPOT_Import!$A$1:$Z$2488,959,'Live Data'!$C$19)),"")</f>
        <v>7445</v>
      </c>
      <c r="I959" s="54" t="str">
        <f>IFERROR(IF(INDEX(SPOT_Import!$A$1:$Z$2488,959,'Live Data'!$C$20)="","",INDEX(SPOT_Import!$A$1:$Z$2488,959,'Live Data'!$C$20)),"")</f>
        <v>Complete</v>
      </c>
      <c r="J959" s="54" t="str">
        <f>IFERROR(IF(INDEX(SPOT_Import!$A$1:$Z$2488,959,'Live Data'!$C$21)="","",INDEX(SPOT_Import!$A$1:$Z$2488,959,'Live Data'!$C$21)),"")</f>
        <v>2026-10-03T16:50:32.000Z</v>
      </c>
      <c r="K959" s="54" t="str">
        <f>IFERROR(IF(INDEX(SPOT_Import!$A$1:$Z$2488,959,'Live Data'!$C$22)="","",INDEX(SPOT_Import!$A$1:$Z$2488,959,'Live Data'!$C$22)),"")</f>
        <v>2026-10-03T16:50:32.000Z</v>
      </c>
      <c r="L959" s="55" t="str">
        <f t="shared" si="28"/>
        <v>2026-10</v>
      </c>
      <c r="M959" s="55" t="str">
        <f t="shared" si="29"/>
        <v>MERU</v>
      </c>
      <c r="N959" s="55" t="str">
        <f>IF(A959="","",IFERROR(INDEX('Cluster Map'!$A$4:$A$38,MATCH(M959,'Cluster Map'!$B$4:$B$38,0)),"Unmapped"))</f>
        <v>Cluster 1</v>
      </c>
      <c r="O959" s="55">
        <f>IF(A959="",0,IF(COUNTIFS($A$2:A959,A959,$F$2:F959,F959,$L$2:L959,L959)=1,1,0))</f>
        <v>1</v>
      </c>
      <c r="P959" s="55">
        <f>IF(A959="",0,IF(AND(F959="C&amp;T",COUNTIFS($A$2:A959,A959,$F$2:F959,"C&amp;T")=1),1,0))</f>
        <v>1</v>
      </c>
    </row>
    <row r="960" spans="1:16" x14ac:dyDescent="0.35">
      <c r="A960" s="54">
        <f>IFERROR(IF(INDEX(SPOT_Import!$A$1:$Z$2488,960,'Live Data'!$C$12)="","",INDEX(SPOT_Import!$A$1:$Z$2488,960,'Live Data'!$C$12)),"")</f>
        <v>10693</v>
      </c>
      <c r="B960" s="54" t="str">
        <f>IFERROR(IF(INDEX(SPOT_Import!$A$1:$Z$2488,960,'Live Data'!$C$13)="","",INDEX(SPOT_Import!$A$1:$Z$2488,960,'Live Data'!$C$13)),"")</f>
        <v>Kijabe (AIC) Hospital Marira Medical Clinic</v>
      </c>
      <c r="C960" s="54" t="str">
        <f>IFERROR(IF(INDEX(SPOT_Import!$A$1:$Z$2488,960,'Live Data'!$C$14)="","",INDEX(SPOT_Import!$A$1:$Z$2488,960,'Live Data'!$C$14)),"")</f>
        <v>KIAMBU</v>
      </c>
      <c r="D960" s="54" t="str">
        <f>IFERROR(IF(INDEX(SPOT_Import!$A$1:$Z$2488,960,'Live Data'!$C$15)="","",INDEX(SPOT_Import!$A$1:$Z$2488,960,'Live Data'!$C$15)),"")</f>
        <v>Lari</v>
      </c>
      <c r="E960" s="54" t="str">
        <f>IFERROR(IF(INDEX(SPOT_Import!$A$1:$Z$2488,960,'Live Data'!$C$16)="","",INDEX(SPOT_Import!$A$1:$Z$2488,960,'Live Data'!$C$16)),"")</f>
        <v>CHAK CHAP STAWISHA</v>
      </c>
      <c r="F960" s="54" t="str">
        <f>IFERROR(IF(INDEX(SPOT_Import!$A$1:$Z$2488,960,'Live Data'!$C$17)="","",INDEX(SPOT_Import!$A$1:$Z$2488,960,'Live Data'!$C$17)),"")</f>
        <v>HTS</v>
      </c>
      <c r="G960" s="54">
        <f>IFERROR(IF(INDEX(SPOT_Import!$A$1:$Z$2488,960,'Live Data'!$C$18)="","",INDEX(SPOT_Import!$A$1:$Z$2488,960,'Live Data'!$C$18)),"")</f>
        <v>3882</v>
      </c>
      <c r="H960" s="54">
        <f>IFERROR(IF(INDEX(SPOT_Import!$A$1:$Z$2488,960,'Live Data'!$C$19)="","",INDEX(SPOT_Import!$A$1:$Z$2488,960,'Live Data'!$C$19)),"")</f>
        <v>3882</v>
      </c>
      <c r="I960" s="54" t="str">
        <f>IFERROR(IF(INDEX(SPOT_Import!$A$1:$Z$2488,960,'Live Data'!$C$20)="","",INDEX(SPOT_Import!$A$1:$Z$2488,960,'Live Data'!$C$20)),"")</f>
        <v>Complete</v>
      </c>
      <c r="J960" s="54" t="str">
        <f>IFERROR(IF(INDEX(SPOT_Import!$A$1:$Z$2488,960,'Live Data'!$C$21)="","",INDEX(SPOT_Import!$A$1:$Z$2488,960,'Live Data'!$C$21)),"")</f>
        <v>2026-10-03T15:04:43.000Z</v>
      </c>
      <c r="K960" s="54" t="str">
        <f>IFERROR(IF(INDEX(SPOT_Import!$A$1:$Z$2488,960,'Live Data'!$C$22)="","",INDEX(SPOT_Import!$A$1:$Z$2488,960,'Live Data'!$C$22)),"")</f>
        <v>2026-10-03T15:04:43.000Z</v>
      </c>
      <c r="L960" s="55" t="str">
        <f t="shared" si="28"/>
        <v>2026-10</v>
      </c>
      <c r="M960" s="55" t="str">
        <f t="shared" si="29"/>
        <v>KIAMBU</v>
      </c>
      <c r="N960" s="55" t="str">
        <f>IF(A960="","",IFERROR(INDEX('Cluster Map'!$A$4:$A$38,MATCH(M960,'Cluster Map'!$B$4:$B$38,0)),"Unmapped"))</f>
        <v>Cluster 3</v>
      </c>
      <c r="O960" s="55">
        <f>IF(A960="",0,IF(COUNTIFS($A$2:A960,A960,$F$2:F960,F960,$L$2:L960,L960)=1,1,0))</f>
        <v>1</v>
      </c>
      <c r="P960" s="55">
        <f>IF(A960="",0,IF(AND(F960="C&amp;T",COUNTIFS($A$2:A960,A960,$F$2:F960,"C&amp;T")=1),1,0))</f>
        <v>0</v>
      </c>
    </row>
    <row r="961" spans="1:16" x14ac:dyDescent="0.35">
      <c r="A961" s="54">
        <f>IFERROR(IF(INDEX(SPOT_Import!$A$1:$Z$2488,961,'Live Data'!$C$12)="","",INDEX(SPOT_Import!$A$1:$Z$2488,961,'Live Data'!$C$12)),"")</f>
        <v>15636</v>
      </c>
      <c r="B961" s="54" t="str">
        <f>IFERROR(IF(INDEX(SPOT_Import!$A$1:$Z$2488,961,'Live Data'!$C$13)="","",INDEX(SPOT_Import!$A$1:$Z$2488,961,'Live Data'!$C$13)),"")</f>
        <v>St Elizabeth Health Centre</v>
      </c>
      <c r="C961" s="54" t="str">
        <f>IFERROR(IF(INDEX(SPOT_Import!$A$1:$Z$2488,961,'Live Data'!$C$14)="","",INDEX(SPOT_Import!$A$1:$Z$2488,961,'Live Data'!$C$14)),"")</f>
        <v>NAROK</v>
      </c>
      <c r="D961" s="54" t="str">
        <f>IFERROR(IF(INDEX(SPOT_Import!$A$1:$Z$2488,961,'Live Data'!$C$15)="","",INDEX(SPOT_Import!$A$1:$Z$2488,961,'Live Data'!$C$15)),"")</f>
        <v>Narok South</v>
      </c>
      <c r="E961" s="54" t="str">
        <f>IFERROR(IF(INDEX(SPOT_Import!$A$1:$Z$2488,961,'Live Data'!$C$16)="","",INDEX(SPOT_Import!$A$1:$Z$2488,961,'Live Data'!$C$16)),"")</f>
        <v>CHAK CHAP STAWISHA</v>
      </c>
      <c r="F961" s="54" t="str">
        <f>IFERROR(IF(INDEX(SPOT_Import!$A$1:$Z$2488,961,'Live Data'!$C$17)="","",INDEX(SPOT_Import!$A$1:$Z$2488,961,'Live Data'!$C$17)),"")</f>
        <v>HTS</v>
      </c>
      <c r="G961" s="54">
        <f>IFERROR(IF(INDEX(SPOT_Import!$A$1:$Z$2488,961,'Live Data'!$C$18)="","",INDEX(SPOT_Import!$A$1:$Z$2488,961,'Live Data'!$C$18)),"")</f>
        <v>5408</v>
      </c>
      <c r="H961" s="54">
        <f>IFERROR(IF(INDEX(SPOT_Import!$A$1:$Z$2488,961,'Live Data'!$C$19)="","",INDEX(SPOT_Import!$A$1:$Z$2488,961,'Live Data'!$C$19)),"")</f>
        <v>5408</v>
      </c>
      <c r="I961" s="54" t="str">
        <f>IFERROR(IF(INDEX(SPOT_Import!$A$1:$Z$2488,961,'Live Data'!$C$20)="","",INDEX(SPOT_Import!$A$1:$Z$2488,961,'Live Data'!$C$20)),"")</f>
        <v>Complete</v>
      </c>
      <c r="J961" s="54" t="str">
        <f>IFERROR(IF(INDEX(SPOT_Import!$A$1:$Z$2488,961,'Live Data'!$C$21)="","",INDEX(SPOT_Import!$A$1:$Z$2488,961,'Live Data'!$C$21)),"")</f>
        <v>2026-10-03T10:14:23.000Z</v>
      </c>
      <c r="K961" s="54" t="str">
        <f>IFERROR(IF(INDEX(SPOT_Import!$A$1:$Z$2488,961,'Live Data'!$C$22)="","",INDEX(SPOT_Import!$A$1:$Z$2488,961,'Live Data'!$C$22)),"")</f>
        <v>2026-10-03T10:14:23.000Z</v>
      </c>
      <c r="L961" s="55" t="str">
        <f t="shared" si="28"/>
        <v>2026-10</v>
      </c>
      <c r="M961" s="55" t="str">
        <f t="shared" si="29"/>
        <v>NAROK</v>
      </c>
      <c r="N961" s="55" t="str">
        <f>IF(A961="","",IFERROR(INDEX('Cluster Map'!$A$4:$A$38,MATCH(M961,'Cluster Map'!$B$4:$B$38,0)),"Unmapped"))</f>
        <v>Cluster 4</v>
      </c>
      <c r="O961" s="55">
        <f>IF(A961="",0,IF(COUNTIFS($A$2:A961,A961,$F$2:F961,F961,$L$2:L961,L961)=1,1,0))</f>
        <v>1</v>
      </c>
      <c r="P961" s="55">
        <f>IF(A961="",0,IF(AND(F961="C&amp;T",COUNTIFS($A$2:A961,A961,$F$2:F961,"C&amp;T")=1),1,0))</f>
        <v>0</v>
      </c>
    </row>
    <row r="962" spans="1:16" x14ac:dyDescent="0.35">
      <c r="A962" s="54">
        <f>IFERROR(IF(INDEX(SPOT_Import!$A$1:$Z$2488,962,'Live Data'!$C$12)="","",INDEX(SPOT_Import!$A$1:$Z$2488,962,'Live Data'!$C$12)),"")</f>
        <v>15282</v>
      </c>
      <c r="B962" s="54" t="str">
        <f>IFERROR(IF(INDEX(SPOT_Import!$A$1:$Z$2488,962,'Live Data'!$C$13)="","",INDEX(SPOT_Import!$A$1:$Z$2488,962,'Live Data'!$C$13)),"")</f>
        <v>Naivasha (AIC) Medical Centre</v>
      </c>
      <c r="C962" s="54" t="str">
        <f>IFERROR(IF(INDEX(SPOT_Import!$A$1:$Z$2488,962,'Live Data'!$C$14)="","",INDEX(SPOT_Import!$A$1:$Z$2488,962,'Live Data'!$C$14)),"")</f>
        <v>NAKURU</v>
      </c>
      <c r="D962" s="54" t="str">
        <f>IFERROR(IF(INDEX(SPOT_Import!$A$1:$Z$2488,962,'Live Data'!$C$15)="","",INDEX(SPOT_Import!$A$1:$Z$2488,962,'Live Data'!$C$15)),"")</f>
        <v>Naivasha</v>
      </c>
      <c r="E962" s="54" t="str">
        <f>IFERROR(IF(INDEX(SPOT_Import!$A$1:$Z$2488,962,'Live Data'!$C$16)="","",INDEX(SPOT_Import!$A$1:$Z$2488,962,'Live Data'!$C$16)),"")</f>
        <v>CHAK CHAP STAWISHA</v>
      </c>
      <c r="F962" s="54" t="str">
        <f>IFERROR(IF(INDEX(SPOT_Import!$A$1:$Z$2488,962,'Live Data'!$C$17)="","",INDEX(SPOT_Import!$A$1:$Z$2488,962,'Live Data'!$C$17)),"")</f>
        <v>MNCH</v>
      </c>
      <c r="G962" s="54">
        <f>IFERROR(IF(INDEX(SPOT_Import!$A$1:$Z$2488,962,'Live Data'!$C$18)="","",INDEX(SPOT_Import!$A$1:$Z$2488,962,'Live Data'!$C$18)),"")</f>
        <v>2311</v>
      </c>
      <c r="H962" s="54" t="str">
        <f>IFERROR(IF(INDEX(SPOT_Import!$A$1:$Z$2488,962,'Live Data'!$C$19)="","",INDEX(SPOT_Import!$A$1:$Z$2488,962,'Live Data'!$C$19)),"")</f>
        <v/>
      </c>
      <c r="I962" s="54" t="str">
        <f>IFERROR(IF(INDEX(SPOT_Import!$A$1:$Z$2488,962,'Live Data'!$C$20)="","",INDEX(SPOT_Import!$A$1:$Z$2488,962,'Live Data'!$C$20)),"")</f>
        <v>Incomplete</v>
      </c>
      <c r="J962" s="54" t="str">
        <f>IFERROR(IF(INDEX(SPOT_Import!$A$1:$Z$2488,962,'Live Data'!$C$21)="","",INDEX(SPOT_Import!$A$1:$Z$2488,962,'Live Data'!$C$21)),"")</f>
        <v>2026-10-03T08:44:11.000Z</v>
      </c>
      <c r="K962" s="54" t="str">
        <f>IFERROR(IF(INDEX(SPOT_Import!$A$1:$Z$2488,962,'Live Data'!$C$22)="","",INDEX(SPOT_Import!$A$1:$Z$2488,962,'Live Data'!$C$22)),"")</f>
        <v>2026-10-03T08:44:11.000Z</v>
      </c>
      <c r="L962" s="55" t="str">
        <f t="shared" ref="L962:L1025" si="30">IF(A962="","",IF(ISNUMBER(K962),TEXT(K962,"yyyy-mm"),LEFT(K962,7)))</f>
        <v>2026-10</v>
      </c>
      <c r="M962" s="55" t="str">
        <f t="shared" ref="M962:M1025" si="31">IF(A962="","",UPPER(TRIM(SUBSTITUTE(C962," - ","-"))))</f>
        <v>NAKURU</v>
      </c>
      <c r="N962" s="55" t="str">
        <f>IF(A962="","",IFERROR(INDEX('Cluster Map'!$A$4:$A$38,MATCH(M962,'Cluster Map'!$B$4:$B$38,0)),"Unmapped"))</f>
        <v>Cluster 4</v>
      </c>
      <c r="O962" s="55">
        <f>IF(A962="",0,IF(COUNTIFS($A$2:A962,A962,$F$2:F962,F962,$L$2:L962,L962)=1,1,0))</f>
        <v>1</v>
      </c>
      <c r="P962" s="55">
        <f>IF(A962="",0,IF(AND(F962="C&amp;T",COUNTIFS($A$2:A962,A962,$F$2:F962,"C&amp;T")=1),1,0))</f>
        <v>0</v>
      </c>
    </row>
    <row r="963" spans="1:16" x14ac:dyDescent="0.35">
      <c r="A963" s="54">
        <f>IFERROR(IF(INDEX(SPOT_Import!$A$1:$Z$2488,963,'Live Data'!$C$12)="","",INDEX(SPOT_Import!$A$1:$Z$2488,963,'Live Data'!$C$12)),"")</f>
        <v>12422</v>
      </c>
      <c r="B963" s="54" t="str">
        <f>IFERROR(IF(INDEX(SPOT_Import!$A$1:$Z$2488,963,'Live Data'!$C$13)="","",INDEX(SPOT_Import!$A$1:$Z$2488,963,'Live Data'!$C$13)),"")</f>
        <v>Laare Health Centre</v>
      </c>
      <c r="C963" s="54" t="str">
        <f>IFERROR(IF(INDEX(SPOT_Import!$A$1:$Z$2488,963,'Live Data'!$C$14)="","",INDEX(SPOT_Import!$A$1:$Z$2488,963,'Live Data'!$C$14)),"")</f>
        <v>MERU</v>
      </c>
      <c r="D963" s="54" t="str">
        <f>IFERROR(IF(INDEX(SPOT_Import!$A$1:$Z$2488,963,'Live Data'!$C$15)="","",INDEX(SPOT_Import!$A$1:$Z$2488,963,'Live Data'!$C$15)),"")</f>
        <v>Igembe North</v>
      </c>
      <c r="E963" s="54" t="str">
        <f>IFERROR(IF(INDEX(SPOT_Import!$A$1:$Z$2488,963,'Live Data'!$C$16)="","",INDEX(SPOT_Import!$A$1:$Z$2488,963,'Live Data'!$C$16)),"")</f>
        <v>CHAK CHAP STAWISHA</v>
      </c>
      <c r="F963" s="54" t="str">
        <f>IFERROR(IF(INDEX(SPOT_Import!$A$1:$Z$2488,963,'Live Data'!$C$17)="","",INDEX(SPOT_Import!$A$1:$Z$2488,963,'Live Data'!$C$17)),"")</f>
        <v>PREP</v>
      </c>
      <c r="G963" s="54">
        <f>IFERROR(IF(INDEX(SPOT_Import!$A$1:$Z$2488,963,'Live Data'!$C$18)="","",INDEX(SPOT_Import!$A$1:$Z$2488,963,'Live Data'!$C$18)),"")</f>
        <v>3833</v>
      </c>
      <c r="H963" s="54" t="str">
        <f>IFERROR(IF(INDEX(SPOT_Import!$A$1:$Z$2488,963,'Live Data'!$C$19)="","",INDEX(SPOT_Import!$A$1:$Z$2488,963,'Live Data'!$C$19)),"")</f>
        <v/>
      </c>
      <c r="I963" s="54" t="str">
        <f>IFERROR(IF(INDEX(SPOT_Import!$A$1:$Z$2488,963,'Live Data'!$C$20)="","",INDEX(SPOT_Import!$A$1:$Z$2488,963,'Live Data'!$C$20)),"")</f>
        <v>Complete</v>
      </c>
      <c r="J963" s="54" t="str">
        <f>IFERROR(IF(INDEX(SPOT_Import!$A$1:$Z$2488,963,'Live Data'!$C$21)="","",INDEX(SPOT_Import!$A$1:$Z$2488,963,'Live Data'!$C$21)),"")</f>
        <v>2026-10-03T08:25:34.000Z</v>
      </c>
      <c r="K963" s="54" t="str">
        <f>IFERROR(IF(INDEX(SPOT_Import!$A$1:$Z$2488,963,'Live Data'!$C$22)="","",INDEX(SPOT_Import!$A$1:$Z$2488,963,'Live Data'!$C$22)),"")</f>
        <v>2026-10-03T08:25:34.000Z</v>
      </c>
      <c r="L963" s="55" t="str">
        <f t="shared" si="30"/>
        <v>2026-10</v>
      </c>
      <c r="M963" s="55" t="str">
        <f t="shared" si="31"/>
        <v>MERU</v>
      </c>
      <c r="N963" s="55" t="str">
        <f>IF(A963="","",IFERROR(INDEX('Cluster Map'!$A$4:$A$38,MATCH(M963,'Cluster Map'!$B$4:$B$38,0)),"Unmapped"))</f>
        <v>Cluster 1</v>
      </c>
      <c r="O963" s="55">
        <f>IF(A963="",0,IF(COUNTIFS($A$2:A963,A963,$F$2:F963,F963,$L$2:L963,L963)=1,1,0))</f>
        <v>1</v>
      </c>
      <c r="P963" s="55">
        <f>IF(A963="",0,IF(AND(F963="C&amp;T",COUNTIFS($A$2:A963,A963,$F$2:F963,"C&amp;T")=1),1,0))</f>
        <v>0</v>
      </c>
    </row>
    <row r="964" spans="1:16" x14ac:dyDescent="0.35">
      <c r="A964" s="54">
        <f>IFERROR(IF(INDEX(SPOT_Import!$A$1:$Z$2488,964,'Live Data'!$C$12)="","",INDEX(SPOT_Import!$A$1:$Z$2488,964,'Live Data'!$C$12)),"")</f>
        <v>12422</v>
      </c>
      <c r="B964" s="54" t="str">
        <f>IFERROR(IF(INDEX(SPOT_Import!$A$1:$Z$2488,964,'Live Data'!$C$13)="","",INDEX(SPOT_Import!$A$1:$Z$2488,964,'Live Data'!$C$13)),"")</f>
        <v>Laare Health Centre</v>
      </c>
      <c r="C964" s="54" t="str">
        <f>IFERROR(IF(INDEX(SPOT_Import!$A$1:$Z$2488,964,'Live Data'!$C$14)="","",INDEX(SPOT_Import!$A$1:$Z$2488,964,'Live Data'!$C$14)),"")</f>
        <v>MERU</v>
      </c>
      <c r="D964" s="54" t="str">
        <f>IFERROR(IF(INDEX(SPOT_Import!$A$1:$Z$2488,964,'Live Data'!$C$15)="","",INDEX(SPOT_Import!$A$1:$Z$2488,964,'Live Data'!$C$15)),"")</f>
        <v>Igembe North</v>
      </c>
      <c r="E964" s="54" t="str">
        <f>IFERROR(IF(INDEX(SPOT_Import!$A$1:$Z$2488,964,'Live Data'!$C$16)="","",INDEX(SPOT_Import!$A$1:$Z$2488,964,'Live Data'!$C$16)),"")</f>
        <v>CHAK CHAP STAWISHA</v>
      </c>
      <c r="F964" s="54" t="str">
        <f>IFERROR(IF(INDEX(SPOT_Import!$A$1:$Z$2488,964,'Live Data'!$C$17)="","",INDEX(SPOT_Import!$A$1:$Z$2488,964,'Live Data'!$C$17)),"")</f>
        <v>MNCH</v>
      </c>
      <c r="G964" s="54">
        <f>IFERROR(IF(INDEX(SPOT_Import!$A$1:$Z$2488,964,'Live Data'!$C$18)="","",INDEX(SPOT_Import!$A$1:$Z$2488,964,'Live Data'!$C$18)),"")</f>
        <v>112</v>
      </c>
      <c r="H964" s="54" t="str">
        <f>IFERROR(IF(INDEX(SPOT_Import!$A$1:$Z$2488,964,'Live Data'!$C$19)="","",INDEX(SPOT_Import!$A$1:$Z$2488,964,'Live Data'!$C$19)),"")</f>
        <v/>
      </c>
      <c r="I964" s="54" t="str">
        <f>IFERROR(IF(INDEX(SPOT_Import!$A$1:$Z$2488,964,'Live Data'!$C$20)="","",INDEX(SPOT_Import!$A$1:$Z$2488,964,'Live Data'!$C$20)),"")</f>
        <v>Incomplete</v>
      </c>
      <c r="J964" s="54" t="str">
        <f>IFERROR(IF(INDEX(SPOT_Import!$A$1:$Z$2488,964,'Live Data'!$C$21)="","",INDEX(SPOT_Import!$A$1:$Z$2488,964,'Live Data'!$C$21)),"")</f>
        <v>2026-10-03T08:23:52.000Z</v>
      </c>
      <c r="K964" s="54" t="str">
        <f>IFERROR(IF(INDEX(SPOT_Import!$A$1:$Z$2488,964,'Live Data'!$C$22)="","",INDEX(SPOT_Import!$A$1:$Z$2488,964,'Live Data'!$C$22)),"")</f>
        <v>2026-10-03T08:23:52.000Z</v>
      </c>
      <c r="L964" s="55" t="str">
        <f t="shared" si="30"/>
        <v>2026-10</v>
      </c>
      <c r="M964" s="55" t="str">
        <f t="shared" si="31"/>
        <v>MERU</v>
      </c>
      <c r="N964" s="55" t="str">
        <f>IF(A964="","",IFERROR(INDEX('Cluster Map'!$A$4:$A$38,MATCH(M964,'Cluster Map'!$B$4:$B$38,0)),"Unmapped"))</f>
        <v>Cluster 1</v>
      </c>
      <c r="O964" s="55">
        <f>IF(A964="",0,IF(COUNTIFS($A$2:A964,A964,$F$2:F964,F964,$L$2:L964,L964)=1,1,0))</f>
        <v>1</v>
      </c>
      <c r="P964" s="55">
        <f>IF(A964="",0,IF(AND(F964="C&amp;T",COUNTIFS($A$2:A964,A964,$F$2:F964,"C&amp;T")=1),1,0))</f>
        <v>0</v>
      </c>
    </row>
    <row r="965" spans="1:16" x14ac:dyDescent="0.35">
      <c r="A965" s="54">
        <f>IFERROR(IF(INDEX(SPOT_Import!$A$1:$Z$2488,965,'Live Data'!$C$12)="","",INDEX(SPOT_Import!$A$1:$Z$2488,965,'Live Data'!$C$12)),"")</f>
        <v>12422</v>
      </c>
      <c r="B965" s="54" t="str">
        <f>IFERROR(IF(INDEX(SPOT_Import!$A$1:$Z$2488,965,'Live Data'!$C$13)="","",INDEX(SPOT_Import!$A$1:$Z$2488,965,'Live Data'!$C$13)),"")</f>
        <v>Laare Health Centre</v>
      </c>
      <c r="C965" s="54" t="str">
        <f>IFERROR(IF(INDEX(SPOT_Import!$A$1:$Z$2488,965,'Live Data'!$C$14)="","",INDEX(SPOT_Import!$A$1:$Z$2488,965,'Live Data'!$C$14)),"")</f>
        <v>MERU</v>
      </c>
      <c r="D965" s="54" t="str">
        <f>IFERROR(IF(INDEX(SPOT_Import!$A$1:$Z$2488,965,'Live Data'!$C$15)="","",INDEX(SPOT_Import!$A$1:$Z$2488,965,'Live Data'!$C$15)),"")</f>
        <v>Igembe North</v>
      </c>
      <c r="E965" s="54" t="str">
        <f>IFERROR(IF(INDEX(SPOT_Import!$A$1:$Z$2488,965,'Live Data'!$C$16)="","",INDEX(SPOT_Import!$A$1:$Z$2488,965,'Live Data'!$C$16)),"")</f>
        <v>CHAK CHAP STAWISHA</v>
      </c>
      <c r="F965" s="54" t="str">
        <f>IFERROR(IF(INDEX(SPOT_Import!$A$1:$Z$2488,965,'Live Data'!$C$17)="","",INDEX(SPOT_Import!$A$1:$Z$2488,965,'Live Data'!$C$17)),"")</f>
        <v>HTS</v>
      </c>
      <c r="G965" s="54">
        <f>IFERROR(IF(INDEX(SPOT_Import!$A$1:$Z$2488,965,'Live Data'!$C$18)="","",INDEX(SPOT_Import!$A$1:$Z$2488,965,'Live Data'!$C$18)),"")</f>
        <v>10887</v>
      </c>
      <c r="H965" s="54" t="str">
        <f>IFERROR(IF(INDEX(SPOT_Import!$A$1:$Z$2488,965,'Live Data'!$C$19)="","",INDEX(SPOT_Import!$A$1:$Z$2488,965,'Live Data'!$C$19)),"")</f>
        <v/>
      </c>
      <c r="I965" s="54" t="str">
        <f>IFERROR(IF(INDEX(SPOT_Import!$A$1:$Z$2488,965,'Live Data'!$C$20)="","",INDEX(SPOT_Import!$A$1:$Z$2488,965,'Live Data'!$C$20)),"")</f>
        <v>Complete</v>
      </c>
      <c r="J965" s="54" t="str">
        <f>IFERROR(IF(INDEX(SPOT_Import!$A$1:$Z$2488,965,'Live Data'!$C$21)="","",INDEX(SPOT_Import!$A$1:$Z$2488,965,'Live Data'!$C$21)),"")</f>
        <v>2026-10-03T08:21:38.000Z</v>
      </c>
      <c r="K965" s="54" t="str">
        <f>IFERROR(IF(INDEX(SPOT_Import!$A$1:$Z$2488,965,'Live Data'!$C$22)="","",INDEX(SPOT_Import!$A$1:$Z$2488,965,'Live Data'!$C$22)),"")</f>
        <v>2026-10-03T08:21:38.000Z</v>
      </c>
      <c r="L965" s="55" t="str">
        <f t="shared" si="30"/>
        <v>2026-10</v>
      </c>
      <c r="M965" s="55" t="str">
        <f t="shared" si="31"/>
        <v>MERU</v>
      </c>
      <c r="N965" s="55" t="str">
        <f>IF(A965="","",IFERROR(INDEX('Cluster Map'!$A$4:$A$38,MATCH(M965,'Cluster Map'!$B$4:$B$38,0)),"Unmapped"))</f>
        <v>Cluster 1</v>
      </c>
      <c r="O965" s="55">
        <f>IF(A965="",0,IF(COUNTIFS($A$2:A965,A965,$F$2:F965,F965,$L$2:L965,L965)=1,1,0))</f>
        <v>1</v>
      </c>
      <c r="P965" s="55">
        <f>IF(A965="",0,IF(AND(F965="C&amp;T",COUNTIFS($A$2:A965,A965,$F$2:F965,"C&amp;T")=1),1,0))</f>
        <v>0</v>
      </c>
    </row>
    <row r="966" spans="1:16" x14ac:dyDescent="0.35">
      <c r="A966" s="54">
        <f>IFERROR(IF(INDEX(SPOT_Import!$A$1:$Z$2488,966,'Live Data'!$C$12)="","",INDEX(SPOT_Import!$A$1:$Z$2488,966,'Live Data'!$C$12)),"")</f>
        <v>12422</v>
      </c>
      <c r="B966" s="54" t="str">
        <f>IFERROR(IF(INDEX(SPOT_Import!$A$1:$Z$2488,966,'Live Data'!$C$13)="","",INDEX(SPOT_Import!$A$1:$Z$2488,966,'Live Data'!$C$13)),"")</f>
        <v>Laare Health Centre</v>
      </c>
      <c r="C966" s="54" t="str">
        <f>IFERROR(IF(INDEX(SPOT_Import!$A$1:$Z$2488,966,'Live Data'!$C$14)="","",INDEX(SPOT_Import!$A$1:$Z$2488,966,'Live Data'!$C$14)),"")</f>
        <v>MERU</v>
      </c>
      <c r="D966" s="54" t="str">
        <f>IFERROR(IF(INDEX(SPOT_Import!$A$1:$Z$2488,966,'Live Data'!$C$15)="","",INDEX(SPOT_Import!$A$1:$Z$2488,966,'Live Data'!$C$15)),"")</f>
        <v>Igembe North</v>
      </c>
      <c r="E966" s="54" t="str">
        <f>IFERROR(IF(INDEX(SPOT_Import!$A$1:$Z$2488,966,'Live Data'!$C$16)="","",INDEX(SPOT_Import!$A$1:$Z$2488,966,'Live Data'!$C$16)),"")</f>
        <v>CHAK CHAP STAWISHA</v>
      </c>
      <c r="F966" s="54" t="str">
        <f>IFERROR(IF(INDEX(SPOT_Import!$A$1:$Z$2488,966,'Live Data'!$C$17)="","",INDEX(SPOT_Import!$A$1:$Z$2488,966,'Live Data'!$C$17)),"")</f>
        <v>C&amp;T</v>
      </c>
      <c r="G966" s="54">
        <f>IFERROR(IF(INDEX(SPOT_Import!$A$1:$Z$2488,966,'Live Data'!$C$18)="","",INDEX(SPOT_Import!$A$1:$Z$2488,966,'Live Data'!$C$18)),"")</f>
        <v>1070</v>
      </c>
      <c r="H966" s="54">
        <f>IFERROR(IF(INDEX(SPOT_Import!$A$1:$Z$2488,966,'Live Data'!$C$19)="","",INDEX(SPOT_Import!$A$1:$Z$2488,966,'Live Data'!$C$19)),"")</f>
        <v>1070</v>
      </c>
      <c r="I966" s="54" t="str">
        <f>IFERROR(IF(INDEX(SPOT_Import!$A$1:$Z$2488,966,'Live Data'!$C$20)="","",INDEX(SPOT_Import!$A$1:$Z$2488,966,'Live Data'!$C$20)),"")</f>
        <v>Complete</v>
      </c>
      <c r="J966" s="54" t="str">
        <f>IFERROR(IF(INDEX(SPOT_Import!$A$1:$Z$2488,966,'Live Data'!$C$21)="","",INDEX(SPOT_Import!$A$1:$Z$2488,966,'Live Data'!$C$21)),"")</f>
        <v>2026-10-03T08:16:17.000Z</v>
      </c>
      <c r="K966" s="54" t="str">
        <f>IFERROR(IF(INDEX(SPOT_Import!$A$1:$Z$2488,966,'Live Data'!$C$22)="","",INDEX(SPOT_Import!$A$1:$Z$2488,966,'Live Data'!$C$22)),"")</f>
        <v>2026-10-03T08:16:17.000Z</v>
      </c>
      <c r="L966" s="55" t="str">
        <f t="shared" si="30"/>
        <v>2026-10</v>
      </c>
      <c r="M966" s="55" t="str">
        <f t="shared" si="31"/>
        <v>MERU</v>
      </c>
      <c r="N966" s="55" t="str">
        <f>IF(A966="","",IFERROR(INDEX('Cluster Map'!$A$4:$A$38,MATCH(M966,'Cluster Map'!$B$4:$B$38,0)),"Unmapped"))</f>
        <v>Cluster 1</v>
      </c>
      <c r="O966" s="55">
        <f>IF(A966="",0,IF(COUNTIFS($A$2:A966,A966,$F$2:F966,F966,$L$2:L966,L966)=1,1,0))</f>
        <v>1</v>
      </c>
      <c r="P966" s="55">
        <f>IF(A966="",0,IF(AND(F966="C&amp;T",COUNTIFS($A$2:A966,A966,$F$2:F966,"C&amp;T")=1),1,0))</f>
        <v>1</v>
      </c>
    </row>
    <row r="967" spans="1:16" x14ac:dyDescent="0.35">
      <c r="A967" s="54">
        <f>IFERROR(IF(INDEX(SPOT_Import!$A$1:$Z$2488,967,'Live Data'!$C$12)="","",INDEX(SPOT_Import!$A$1:$Z$2488,967,'Live Data'!$C$12)),"")</f>
        <v>15282</v>
      </c>
      <c r="B967" s="54" t="str">
        <f>IFERROR(IF(INDEX(SPOT_Import!$A$1:$Z$2488,967,'Live Data'!$C$13)="","",INDEX(SPOT_Import!$A$1:$Z$2488,967,'Live Data'!$C$13)),"")</f>
        <v>Naivasha (AIC) Medical Centre</v>
      </c>
      <c r="C967" s="54" t="str">
        <f>IFERROR(IF(INDEX(SPOT_Import!$A$1:$Z$2488,967,'Live Data'!$C$14)="","",INDEX(SPOT_Import!$A$1:$Z$2488,967,'Live Data'!$C$14)),"")</f>
        <v>NAKURU</v>
      </c>
      <c r="D967" s="54" t="str">
        <f>IFERROR(IF(INDEX(SPOT_Import!$A$1:$Z$2488,967,'Live Data'!$C$15)="","",INDEX(SPOT_Import!$A$1:$Z$2488,967,'Live Data'!$C$15)),"")</f>
        <v>Naivasha</v>
      </c>
      <c r="E967" s="54" t="str">
        <f>IFERROR(IF(INDEX(SPOT_Import!$A$1:$Z$2488,967,'Live Data'!$C$16)="","",INDEX(SPOT_Import!$A$1:$Z$2488,967,'Live Data'!$C$16)),"")</f>
        <v>CHAK CHAP STAWISHA</v>
      </c>
      <c r="F967" s="54" t="str">
        <f>IFERROR(IF(INDEX(SPOT_Import!$A$1:$Z$2488,967,'Live Data'!$C$17)="","",INDEX(SPOT_Import!$A$1:$Z$2488,967,'Live Data'!$C$17)),"")</f>
        <v>PREP</v>
      </c>
      <c r="G967" s="54">
        <f>IFERROR(IF(INDEX(SPOT_Import!$A$1:$Z$2488,967,'Live Data'!$C$18)="","",INDEX(SPOT_Import!$A$1:$Z$2488,967,'Live Data'!$C$18)),"")</f>
        <v>2979</v>
      </c>
      <c r="H967" s="54">
        <f>IFERROR(IF(INDEX(SPOT_Import!$A$1:$Z$2488,967,'Live Data'!$C$19)="","",INDEX(SPOT_Import!$A$1:$Z$2488,967,'Live Data'!$C$19)),"")</f>
        <v>1400</v>
      </c>
      <c r="I967" s="54" t="str">
        <f>IFERROR(IF(INDEX(SPOT_Import!$A$1:$Z$2488,967,'Live Data'!$C$20)="","",INDEX(SPOT_Import!$A$1:$Z$2488,967,'Live Data'!$C$20)),"")</f>
        <v>Complete</v>
      </c>
      <c r="J967" s="54" t="str">
        <f>IFERROR(IF(INDEX(SPOT_Import!$A$1:$Z$2488,967,'Live Data'!$C$21)="","",INDEX(SPOT_Import!$A$1:$Z$2488,967,'Live Data'!$C$21)),"")</f>
        <v>2026-10-03T06:49:08.000Z</v>
      </c>
      <c r="K967" s="54" t="str">
        <f>IFERROR(IF(INDEX(SPOT_Import!$A$1:$Z$2488,967,'Live Data'!$C$22)="","",INDEX(SPOT_Import!$A$1:$Z$2488,967,'Live Data'!$C$22)),"")</f>
        <v>2026-10-03T06:49:08.000Z</v>
      </c>
      <c r="L967" s="55" t="str">
        <f t="shared" si="30"/>
        <v>2026-10</v>
      </c>
      <c r="M967" s="55" t="str">
        <f t="shared" si="31"/>
        <v>NAKURU</v>
      </c>
      <c r="N967" s="55" t="str">
        <f>IF(A967="","",IFERROR(INDEX('Cluster Map'!$A$4:$A$38,MATCH(M967,'Cluster Map'!$B$4:$B$38,0)),"Unmapped"))</f>
        <v>Cluster 4</v>
      </c>
      <c r="O967" s="55">
        <f>IF(A967="",0,IF(COUNTIFS($A$2:A967,A967,$F$2:F967,F967,$L$2:L967,L967)=1,1,0))</f>
        <v>1</v>
      </c>
      <c r="P967" s="55">
        <f>IF(A967="",0,IF(AND(F967="C&amp;T",COUNTIFS($A$2:A967,A967,$F$2:F967,"C&amp;T")=1),1,0))</f>
        <v>0</v>
      </c>
    </row>
    <row r="968" spans="1:16" x14ac:dyDescent="0.35">
      <c r="A968" s="54">
        <f>IFERROR(IF(INDEX(SPOT_Import!$A$1:$Z$2488,968,'Live Data'!$C$12)="","",INDEX(SPOT_Import!$A$1:$Z$2488,968,'Live Data'!$C$12)),"")</f>
        <v>15282</v>
      </c>
      <c r="B968" s="54" t="str">
        <f>IFERROR(IF(INDEX(SPOT_Import!$A$1:$Z$2488,968,'Live Data'!$C$13)="","",INDEX(SPOT_Import!$A$1:$Z$2488,968,'Live Data'!$C$13)),"")</f>
        <v>Naivasha (AIC) Medical Centre</v>
      </c>
      <c r="C968" s="54" t="str">
        <f>IFERROR(IF(INDEX(SPOT_Import!$A$1:$Z$2488,968,'Live Data'!$C$14)="","",INDEX(SPOT_Import!$A$1:$Z$2488,968,'Live Data'!$C$14)),"")</f>
        <v>NAKURU</v>
      </c>
      <c r="D968" s="54" t="str">
        <f>IFERROR(IF(INDEX(SPOT_Import!$A$1:$Z$2488,968,'Live Data'!$C$15)="","",INDEX(SPOT_Import!$A$1:$Z$2488,968,'Live Data'!$C$15)),"")</f>
        <v>Naivasha</v>
      </c>
      <c r="E968" s="54" t="str">
        <f>IFERROR(IF(INDEX(SPOT_Import!$A$1:$Z$2488,968,'Live Data'!$C$16)="","",INDEX(SPOT_Import!$A$1:$Z$2488,968,'Live Data'!$C$16)),"")</f>
        <v>CHAK CHAP STAWISHA</v>
      </c>
      <c r="F968" s="54" t="str">
        <f>IFERROR(IF(INDEX(SPOT_Import!$A$1:$Z$2488,968,'Live Data'!$C$17)="","",INDEX(SPOT_Import!$A$1:$Z$2488,968,'Live Data'!$C$17)),"")</f>
        <v>MNCH</v>
      </c>
      <c r="G968" s="54">
        <f>IFERROR(IF(INDEX(SPOT_Import!$A$1:$Z$2488,968,'Live Data'!$C$18)="","",INDEX(SPOT_Import!$A$1:$Z$2488,968,'Live Data'!$C$18)),"")</f>
        <v>2311</v>
      </c>
      <c r="H968" s="54">
        <f>IFERROR(IF(INDEX(SPOT_Import!$A$1:$Z$2488,968,'Live Data'!$C$19)="","",INDEX(SPOT_Import!$A$1:$Z$2488,968,'Live Data'!$C$19)),"")</f>
        <v>2200</v>
      </c>
      <c r="I968" s="54" t="str">
        <f>IFERROR(IF(INDEX(SPOT_Import!$A$1:$Z$2488,968,'Live Data'!$C$20)="","",INDEX(SPOT_Import!$A$1:$Z$2488,968,'Live Data'!$C$20)),"")</f>
        <v>Incomplete</v>
      </c>
      <c r="J968" s="54" t="str">
        <f>IFERROR(IF(INDEX(SPOT_Import!$A$1:$Z$2488,968,'Live Data'!$C$21)="","",INDEX(SPOT_Import!$A$1:$Z$2488,968,'Live Data'!$C$21)),"")</f>
        <v>2026-10-03T06:09:23.000Z</v>
      </c>
      <c r="K968" s="54" t="str">
        <f>IFERROR(IF(INDEX(SPOT_Import!$A$1:$Z$2488,968,'Live Data'!$C$22)="","",INDEX(SPOT_Import!$A$1:$Z$2488,968,'Live Data'!$C$22)),"")</f>
        <v>2026-10-03T06:09:23.000Z</v>
      </c>
      <c r="L968" s="55" t="str">
        <f t="shared" si="30"/>
        <v>2026-10</v>
      </c>
      <c r="M968" s="55" t="str">
        <f t="shared" si="31"/>
        <v>NAKURU</v>
      </c>
      <c r="N968" s="55" t="str">
        <f>IF(A968="","",IFERROR(INDEX('Cluster Map'!$A$4:$A$38,MATCH(M968,'Cluster Map'!$B$4:$B$38,0)),"Unmapped"))</f>
        <v>Cluster 4</v>
      </c>
      <c r="O968" s="55">
        <f>IF(A968="",0,IF(COUNTIFS($A$2:A968,A968,$F$2:F968,F968,$L$2:L968,L968)=1,1,0))</f>
        <v>0</v>
      </c>
      <c r="P968" s="55">
        <f>IF(A968="",0,IF(AND(F968="C&amp;T",COUNTIFS($A$2:A968,A968,$F$2:F968,"C&amp;T")=1),1,0))</f>
        <v>0</v>
      </c>
    </row>
    <row r="969" spans="1:16" x14ac:dyDescent="0.35">
      <c r="A969" s="54">
        <f>IFERROR(IF(INDEX(SPOT_Import!$A$1:$Z$2488,969,'Live Data'!$C$12)="","",INDEX(SPOT_Import!$A$1:$Z$2488,969,'Live Data'!$C$12)),"")</f>
        <v>10988</v>
      </c>
      <c r="B969" s="54" t="str">
        <f>IFERROR(IF(INDEX(SPOT_Import!$A$1:$Z$2488,969,'Live Data'!$C$13)="","",INDEX(SPOT_Import!$A$1:$Z$2488,969,'Live Data'!$C$13)),"")</f>
        <v>Sacred Heart Dispensary</v>
      </c>
      <c r="C969" s="54" t="str">
        <f>IFERROR(IF(INDEX(SPOT_Import!$A$1:$Z$2488,969,'Live Data'!$C$14)="","",INDEX(SPOT_Import!$A$1:$Z$2488,969,'Live Data'!$C$14)),"")</f>
        <v>KIAMBU</v>
      </c>
      <c r="D969" s="54" t="str">
        <f>IFERROR(IF(INDEX(SPOT_Import!$A$1:$Z$2488,969,'Live Data'!$C$15)="","",INDEX(SPOT_Import!$A$1:$Z$2488,969,'Live Data'!$C$15)),"")</f>
        <v>Kiambaa</v>
      </c>
      <c r="E969" s="54" t="str">
        <f>IFERROR(IF(INDEX(SPOT_Import!$A$1:$Z$2488,969,'Live Data'!$C$16)="","",INDEX(SPOT_Import!$A$1:$Z$2488,969,'Live Data'!$C$16)),"")</f>
        <v>CHAK CHAP STAWISHA</v>
      </c>
      <c r="F969" s="54" t="str">
        <f>IFERROR(IF(INDEX(SPOT_Import!$A$1:$Z$2488,969,'Live Data'!$C$17)="","",INDEX(SPOT_Import!$A$1:$Z$2488,969,'Live Data'!$C$17)),"")</f>
        <v>PREP</v>
      </c>
      <c r="G969" s="54">
        <f>IFERROR(IF(INDEX(SPOT_Import!$A$1:$Z$2488,969,'Live Data'!$C$18)="","",INDEX(SPOT_Import!$A$1:$Z$2488,969,'Live Data'!$C$18)),"")</f>
        <v>1444</v>
      </c>
      <c r="H969" s="54">
        <f>IFERROR(IF(INDEX(SPOT_Import!$A$1:$Z$2488,969,'Live Data'!$C$19)="","",INDEX(SPOT_Import!$A$1:$Z$2488,969,'Live Data'!$C$19)),"")</f>
        <v>1400</v>
      </c>
      <c r="I969" s="54" t="str">
        <f>IFERROR(IF(INDEX(SPOT_Import!$A$1:$Z$2488,969,'Live Data'!$C$20)="","",INDEX(SPOT_Import!$A$1:$Z$2488,969,'Live Data'!$C$20)),"")</f>
        <v>Incomplete</v>
      </c>
      <c r="J969" s="54" t="str">
        <f>IFERROR(IF(INDEX(SPOT_Import!$A$1:$Z$2488,969,'Live Data'!$C$21)="","",INDEX(SPOT_Import!$A$1:$Z$2488,969,'Live Data'!$C$21)),"")</f>
        <v>2026-10-01T10:27:14.000Z</v>
      </c>
      <c r="K969" s="54" t="str">
        <f>IFERROR(IF(INDEX(SPOT_Import!$A$1:$Z$2488,969,'Live Data'!$C$22)="","",INDEX(SPOT_Import!$A$1:$Z$2488,969,'Live Data'!$C$22)),"")</f>
        <v>2026-10-01T10:27:14.000Z</v>
      </c>
      <c r="L969" s="55" t="str">
        <f t="shared" si="30"/>
        <v>2026-10</v>
      </c>
      <c r="M969" s="55" t="str">
        <f t="shared" si="31"/>
        <v>KIAMBU</v>
      </c>
      <c r="N969" s="55" t="str">
        <f>IF(A969="","",IFERROR(INDEX('Cluster Map'!$A$4:$A$38,MATCH(M969,'Cluster Map'!$B$4:$B$38,0)),"Unmapped"))</f>
        <v>Cluster 3</v>
      </c>
      <c r="O969" s="55">
        <f>IF(A969="",0,IF(COUNTIFS($A$2:A969,A969,$F$2:F969,F969,$L$2:L969,L969)=1,1,0))</f>
        <v>1</v>
      </c>
      <c r="P969" s="55">
        <f>IF(A969="",0,IF(AND(F969="C&amp;T",COUNTIFS($A$2:A969,A969,$F$2:F969,"C&amp;T")=1),1,0))</f>
        <v>0</v>
      </c>
    </row>
    <row r="970" spans="1:16" x14ac:dyDescent="0.35">
      <c r="A970" s="54">
        <f>IFERROR(IF(INDEX(SPOT_Import!$A$1:$Z$2488,970,'Live Data'!$C$12)="","",INDEX(SPOT_Import!$A$1:$Z$2488,970,'Live Data'!$C$12)),"")</f>
        <v>12204</v>
      </c>
      <c r="B970" s="54" t="str">
        <f>IFERROR(IF(INDEX(SPOT_Import!$A$1:$Z$2488,970,'Live Data'!$C$13)="","",INDEX(SPOT_Import!$A$1:$Z$2488,970,'Live Data'!$C$13)),"")</f>
        <v>Kasaala Health Centre</v>
      </c>
      <c r="C970" s="54" t="str">
        <f>IFERROR(IF(INDEX(SPOT_Import!$A$1:$Z$2488,970,'Live Data'!$C$14)="","",INDEX(SPOT_Import!$A$1:$Z$2488,970,'Live Data'!$C$14)),"")</f>
        <v>KITUI</v>
      </c>
      <c r="D970" s="54" t="str">
        <f>IFERROR(IF(INDEX(SPOT_Import!$A$1:$Z$2488,970,'Live Data'!$C$15)="","",INDEX(SPOT_Import!$A$1:$Z$2488,970,'Live Data'!$C$15)),"")</f>
        <v>Kitui South</v>
      </c>
      <c r="E970" s="54" t="str">
        <f>IFERROR(IF(INDEX(SPOT_Import!$A$1:$Z$2488,970,'Live Data'!$C$16)="","",INDEX(SPOT_Import!$A$1:$Z$2488,970,'Live Data'!$C$16)),"")</f>
        <v>CHAK CHAP STAWISHA</v>
      </c>
      <c r="F970" s="54" t="str">
        <f>IFERROR(IF(INDEX(SPOT_Import!$A$1:$Z$2488,970,'Live Data'!$C$17)="","",INDEX(SPOT_Import!$A$1:$Z$2488,970,'Live Data'!$C$17)),"")</f>
        <v>PREP</v>
      </c>
      <c r="G970" s="54">
        <f>IFERROR(IF(INDEX(SPOT_Import!$A$1:$Z$2488,970,'Live Data'!$C$18)="","",INDEX(SPOT_Import!$A$1:$Z$2488,970,'Live Data'!$C$18)),"")</f>
        <v>718</v>
      </c>
      <c r="H970" s="54" t="str">
        <f>IFERROR(IF(INDEX(SPOT_Import!$A$1:$Z$2488,970,'Live Data'!$C$19)="","",INDEX(SPOT_Import!$A$1:$Z$2488,970,'Live Data'!$C$19)),"")</f>
        <v/>
      </c>
      <c r="I970" s="54" t="str">
        <f>IFERROR(IF(INDEX(SPOT_Import!$A$1:$Z$2488,970,'Live Data'!$C$20)="","",INDEX(SPOT_Import!$A$1:$Z$2488,970,'Live Data'!$C$20)),"")</f>
        <v>Incomplete</v>
      </c>
      <c r="J970" s="54" t="str">
        <f>IFERROR(IF(INDEX(SPOT_Import!$A$1:$Z$2488,970,'Live Data'!$C$21)="","",INDEX(SPOT_Import!$A$1:$Z$2488,970,'Live Data'!$C$21)),"")</f>
        <v>2026-10-01T10:19:16.000Z</v>
      </c>
      <c r="K970" s="54" t="str">
        <f>IFERROR(IF(INDEX(SPOT_Import!$A$1:$Z$2488,970,'Live Data'!$C$22)="","",INDEX(SPOT_Import!$A$1:$Z$2488,970,'Live Data'!$C$22)),"")</f>
        <v>2026-10-01T10:19:16.000Z</v>
      </c>
      <c r="L970" s="55" t="str">
        <f t="shared" si="30"/>
        <v>2026-10</v>
      </c>
      <c r="M970" s="55" t="str">
        <f t="shared" si="31"/>
        <v>KITUI</v>
      </c>
      <c r="N970" s="55" t="str">
        <f>IF(A970="","",IFERROR(INDEX('Cluster Map'!$A$4:$A$38,MATCH(M970,'Cluster Map'!$B$4:$B$38,0)),"Unmapped"))</f>
        <v>Cluster 5</v>
      </c>
      <c r="O970" s="55">
        <f>IF(A970="",0,IF(COUNTIFS($A$2:A970,A970,$F$2:F970,F970,$L$2:L970,L970)=1,1,0))</f>
        <v>1</v>
      </c>
      <c r="P970" s="55">
        <f>IF(A970="",0,IF(AND(F970="C&amp;T",COUNTIFS($A$2:A970,A970,$F$2:F970,"C&amp;T")=1),1,0))</f>
        <v>0</v>
      </c>
    </row>
    <row r="971" spans="1:16" x14ac:dyDescent="0.35">
      <c r="A971" s="54">
        <f>IFERROR(IF(INDEX(SPOT_Import!$A$1:$Z$2488,971,'Live Data'!$C$12)="","",INDEX(SPOT_Import!$A$1:$Z$2488,971,'Live Data'!$C$12)),"")</f>
        <v>12204</v>
      </c>
      <c r="B971" s="54" t="str">
        <f>IFERROR(IF(INDEX(SPOT_Import!$A$1:$Z$2488,971,'Live Data'!$C$13)="","",INDEX(SPOT_Import!$A$1:$Z$2488,971,'Live Data'!$C$13)),"")</f>
        <v>Kasaala Health Centre</v>
      </c>
      <c r="C971" s="54" t="str">
        <f>IFERROR(IF(INDEX(SPOT_Import!$A$1:$Z$2488,971,'Live Data'!$C$14)="","",INDEX(SPOT_Import!$A$1:$Z$2488,971,'Live Data'!$C$14)),"")</f>
        <v>KITUI</v>
      </c>
      <c r="D971" s="54" t="str">
        <f>IFERROR(IF(INDEX(SPOT_Import!$A$1:$Z$2488,971,'Live Data'!$C$15)="","",INDEX(SPOT_Import!$A$1:$Z$2488,971,'Live Data'!$C$15)),"")</f>
        <v>Kitui South</v>
      </c>
      <c r="E971" s="54" t="str">
        <f>IFERROR(IF(INDEX(SPOT_Import!$A$1:$Z$2488,971,'Live Data'!$C$16)="","",INDEX(SPOT_Import!$A$1:$Z$2488,971,'Live Data'!$C$16)),"")</f>
        <v>CHAK CHAP STAWISHA</v>
      </c>
      <c r="F971" s="54" t="str">
        <f>IFERROR(IF(INDEX(SPOT_Import!$A$1:$Z$2488,971,'Live Data'!$C$17)="","",INDEX(SPOT_Import!$A$1:$Z$2488,971,'Live Data'!$C$17)),"")</f>
        <v>MNCH</v>
      </c>
      <c r="G971" s="54">
        <f>IFERROR(IF(INDEX(SPOT_Import!$A$1:$Z$2488,971,'Live Data'!$C$18)="","",INDEX(SPOT_Import!$A$1:$Z$2488,971,'Live Data'!$C$18)),"")</f>
        <v>122</v>
      </c>
      <c r="H971" s="54" t="str">
        <f>IFERROR(IF(INDEX(SPOT_Import!$A$1:$Z$2488,971,'Live Data'!$C$19)="","",INDEX(SPOT_Import!$A$1:$Z$2488,971,'Live Data'!$C$19)),"")</f>
        <v/>
      </c>
      <c r="I971" s="54" t="str">
        <f>IFERROR(IF(INDEX(SPOT_Import!$A$1:$Z$2488,971,'Live Data'!$C$20)="","",INDEX(SPOT_Import!$A$1:$Z$2488,971,'Live Data'!$C$20)),"")</f>
        <v>Incomplete</v>
      </c>
      <c r="J971" s="54" t="str">
        <f>IFERROR(IF(INDEX(SPOT_Import!$A$1:$Z$2488,971,'Live Data'!$C$21)="","",INDEX(SPOT_Import!$A$1:$Z$2488,971,'Live Data'!$C$21)),"")</f>
        <v>2026-10-01T10:18:46.000Z</v>
      </c>
      <c r="K971" s="54" t="str">
        <f>IFERROR(IF(INDEX(SPOT_Import!$A$1:$Z$2488,971,'Live Data'!$C$22)="","",INDEX(SPOT_Import!$A$1:$Z$2488,971,'Live Data'!$C$22)),"")</f>
        <v>2026-10-01T10:18:46.000Z</v>
      </c>
      <c r="L971" s="55" t="str">
        <f t="shared" si="30"/>
        <v>2026-10</v>
      </c>
      <c r="M971" s="55" t="str">
        <f t="shared" si="31"/>
        <v>KITUI</v>
      </c>
      <c r="N971" s="55" t="str">
        <f>IF(A971="","",IFERROR(INDEX('Cluster Map'!$A$4:$A$38,MATCH(M971,'Cluster Map'!$B$4:$B$38,0)),"Unmapped"))</f>
        <v>Cluster 5</v>
      </c>
      <c r="O971" s="55">
        <f>IF(A971="",0,IF(COUNTIFS($A$2:A971,A971,$F$2:F971,F971,$L$2:L971,L971)=1,1,0))</f>
        <v>1</v>
      </c>
      <c r="P971" s="55">
        <f>IF(A971="",0,IF(AND(F971="C&amp;T",COUNTIFS($A$2:A971,A971,$F$2:F971,"C&amp;T")=1),1,0))</f>
        <v>0</v>
      </c>
    </row>
    <row r="972" spans="1:16" x14ac:dyDescent="0.35">
      <c r="A972" s="54">
        <f>IFERROR(IF(INDEX(SPOT_Import!$A$1:$Z$2488,972,'Live Data'!$C$12)="","",INDEX(SPOT_Import!$A$1:$Z$2488,972,'Live Data'!$C$12)),"")</f>
        <v>10988</v>
      </c>
      <c r="B972" s="54" t="str">
        <f>IFERROR(IF(INDEX(SPOT_Import!$A$1:$Z$2488,972,'Live Data'!$C$13)="","",INDEX(SPOT_Import!$A$1:$Z$2488,972,'Live Data'!$C$13)),"")</f>
        <v>Sacred Heart Dispensary</v>
      </c>
      <c r="C972" s="54" t="str">
        <f>IFERROR(IF(INDEX(SPOT_Import!$A$1:$Z$2488,972,'Live Data'!$C$14)="","",INDEX(SPOT_Import!$A$1:$Z$2488,972,'Live Data'!$C$14)),"")</f>
        <v>KIAMBU</v>
      </c>
      <c r="D972" s="54" t="str">
        <f>IFERROR(IF(INDEX(SPOT_Import!$A$1:$Z$2488,972,'Live Data'!$C$15)="","",INDEX(SPOT_Import!$A$1:$Z$2488,972,'Live Data'!$C$15)),"")</f>
        <v>Kiambaa</v>
      </c>
      <c r="E972" s="54" t="str">
        <f>IFERROR(IF(INDEX(SPOT_Import!$A$1:$Z$2488,972,'Live Data'!$C$16)="","",INDEX(SPOT_Import!$A$1:$Z$2488,972,'Live Data'!$C$16)),"")</f>
        <v>CHAK CHAP STAWISHA</v>
      </c>
      <c r="F972" s="54" t="str">
        <f>IFERROR(IF(INDEX(SPOT_Import!$A$1:$Z$2488,972,'Live Data'!$C$17)="","",INDEX(SPOT_Import!$A$1:$Z$2488,972,'Live Data'!$C$17)),"")</f>
        <v>MNCH</v>
      </c>
      <c r="G972" s="54">
        <f>IFERROR(IF(INDEX(SPOT_Import!$A$1:$Z$2488,972,'Live Data'!$C$18)="","",INDEX(SPOT_Import!$A$1:$Z$2488,972,'Live Data'!$C$18)),"")</f>
        <v>374</v>
      </c>
      <c r="H972" s="54">
        <f>IFERROR(IF(INDEX(SPOT_Import!$A$1:$Z$2488,972,'Live Data'!$C$19)="","",INDEX(SPOT_Import!$A$1:$Z$2488,972,'Live Data'!$C$19)),"")</f>
        <v>374</v>
      </c>
      <c r="I972" s="54" t="str">
        <f>IFERROR(IF(INDEX(SPOT_Import!$A$1:$Z$2488,972,'Live Data'!$C$20)="","",INDEX(SPOT_Import!$A$1:$Z$2488,972,'Live Data'!$C$20)),"")</f>
        <v>Complete</v>
      </c>
      <c r="J972" s="54" t="str">
        <f>IFERROR(IF(INDEX(SPOT_Import!$A$1:$Z$2488,972,'Live Data'!$C$21)="","",INDEX(SPOT_Import!$A$1:$Z$2488,972,'Live Data'!$C$21)),"")</f>
        <v>2026-10-01T10:18:16.000Z</v>
      </c>
      <c r="K972" s="54" t="str">
        <f>IFERROR(IF(INDEX(SPOT_Import!$A$1:$Z$2488,972,'Live Data'!$C$22)="","",INDEX(SPOT_Import!$A$1:$Z$2488,972,'Live Data'!$C$22)),"")</f>
        <v>2026-10-01T10:18:16.000Z</v>
      </c>
      <c r="L972" s="55" t="str">
        <f t="shared" si="30"/>
        <v>2026-10</v>
      </c>
      <c r="M972" s="55" t="str">
        <f t="shared" si="31"/>
        <v>KIAMBU</v>
      </c>
      <c r="N972" s="55" t="str">
        <f>IF(A972="","",IFERROR(INDEX('Cluster Map'!$A$4:$A$38,MATCH(M972,'Cluster Map'!$B$4:$B$38,0)),"Unmapped"))</f>
        <v>Cluster 3</v>
      </c>
      <c r="O972" s="55">
        <f>IF(A972="",0,IF(COUNTIFS($A$2:A972,A972,$F$2:F972,F972,$L$2:L972,L972)=1,1,0))</f>
        <v>1</v>
      </c>
      <c r="P972" s="55">
        <f>IF(A972="",0,IF(AND(F972="C&amp;T",COUNTIFS($A$2:A972,A972,$F$2:F972,"C&amp;T")=1),1,0))</f>
        <v>0</v>
      </c>
    </row>
    <row r="973" spans="1:16" x14ac:dyDescent="0.35">
      <c r="A973" s="54">
        <f>IFERROR(IF(INDEX(SPOT_Import!$A$1:$Z$2488,973,'Live Data'!$C$12)="","",INDEX(SPOT_Import!$A$1:$Z$2488,973,'Live Data'!$C$12)),"")</f>
        <v>12204</v>
      </c>
      <c r="B973" s="54" t="str">
        <f>IFERROR(IF(INDEX(SPOT_Import!$A$1:$Z$2488,973,'Live Data'!$C$13)="","",INDEX(SPOT_Import!$A$1:$Z$2488,973,'Live Data'!$C$13)),"")</f>
        <v>Kasaala Health Centre</v>
      </c>
      <c r="C973" s="54" t="str">
        <f>IFERROR(IF(INDEX(SPOT_Import!$A$1:$Z$2488,973,'Live Data'!$C$14)="","",INDEX(SPOT_Import!$A$1:$Z$2488,973,'Live Data'!$C$14)),"")</f>
        <v>KITUI</v>
      </c>
      <c r="D973" s="54" t="str">
        <f>IFERROR(IF(INDEX(SPOT_Import!$A$1:$Z$2488,973,'Live Data'!$C$15)="","",INDEX(SPOT_Import!$A$1:$Z$2488,973,'Live Data'!$C$15)),"")</f>
        <v>Kitui South</v>
      </c>
      <c r="E973" s="54" t="str">
        <f>IFERROR(IF(INDEX(SPOT_Import!$A$1:$Z$2488,973,'Live Data'!$C$16)="","",INDEX(SPOT_Import!$A$1:$Z$2488,973,'Live Data'!$C$16)),"")</f>
        <v>CHAK CHAP STAWISHA</v>
      </c>
      <c r="F973" s="54" t="str">
        <f>IFERROR(IF(INDEX(SPOT_Import!$A$1:$Z$2488,973,'Live Data'!$C$17)="","",INDEX(SPOT_Import!$A$1:$Z$2488,973,'Live Data'!$C$17)),"")</f>
        <v>HTS</v>
      </c>
      <c r="G973" s="54">
        <f>IFERROR(IF(INDEX(SPOT_Import!$A$1:$Z$2488,973,'Live Data'!$C$18)="","",INDEX(SPOT_Import!$A$1:$Z$2488,973,'Live Data'!$C$18)),"")</f>
        <v>3268</v>
      </c>
      <c r="H973" s="54">
        <f>IFERROR(IF(INDEX(SPOT_Import!$A$1:$Z$2488,973,'Live Data'!$C$19)="","",INDEX(SPOT_Import!$A$1:$Z$2488,973,'Live Data'!$C$19)),"")</f>
        <v>3268</v>
      </c>
      <c r="I973" s="54" t="str">
        <f>IFERROR(IF(INDEX(SPOT_Import!$A$1:$Z$2488,973,'Live Data'!$C$20)="","",INDEX(SPOT_Import!$A$1:$Z$2488,973,'Live Data'!$C$20)),"")</f>
        <v>Complete</v>
      </c>
      <c r="J973" s="54" t="str">
        <f>IFERROR(IF(INDEX(SPOT_Import!$A$1:$Z$2488,973,'Live Data'!$C$21)="","",INDEX(SPOT_Import!$A$1:$Z$2488,973,'Live Data'!$C$21)),"")</f>
        <v>2026-10-01T10:17:39.000Z</v>
      </c>
      <c r="K973" s="54" t="str">
        <f>IFERROR(IF(INDEX(SPOT_Import!$A$1:$Z$2488,973,'Live Data'!$C$22)="","",INDEX(SPOT_Import!$A$1:$Z$2488,973,'Live Data'!$C$22)),"")</f>
        <v>2026-10-01T10:17:39.000Z</v>
      </c>
      <c r="L973" s="55" t="str">
        <f t="shared" si="30"/>
        <v>2026-10</v>
      </c>
      <c r="M973" s="55" t="str">
        <f t="shared" si="31"/>
        <v>KITUI</v>
      </c>
      <c r="N973" s="55" t="str">
        <f>IF(A973="","",IFERROR(INDEX('Cluster Map'!$A$4:$A$38,MATCH(M973,'Cluster Map'!$B$4:$B$38,0)),"Unmapped"))</f>
        <v>Cluster 5</v>
      </c>
      <c r="O973" s="55">
        <f>IF(A973="",0,IF(COUNTIFS($A$2:A973,A973,$F$2:F973,F973,$L$2:L973,L973)=1,1,0))</f>
        <v>1</v>
      </c>
      <c r="P973" s="55">
        <f>IF(A973="",0,IF(AND(F973="C&amp;T",COUNTIFS($A$2:A973,A973,$F$2:F973,"C&amp;T")=1),1,0))</f>
        <v>0</v>
      </c>
    </row>
    <row r="974" spans="1:16" x14ac:dyDescent="0.35">
      <c r="A974" s="54">
        <f>IFERROR(IF(INDEX(SPOT_Import!$A$1:$Z$2488,974,'Live Data'!$C$12)="","",INDEX(SPOT_Import!$A$1:$Z$2488,974,'Live Data'!$C$12)),"")</f>
        <v>15636</v>
      </c>
      <c r="B974" s="54" t="str">
        <f>IFERROR(IF(INDEX(SPOT_Import!$A$1:$Z$2488,974,'Live Data'!$C$13)="","",INDEX(SPOT_Import!$A$1:$Z$2488,974,'Live Data'!$C$13)),"")</f>
        <v>St Elizabeth Health Centre</v>
      </c>
      <c r="C974" s="54" t="str">
        <f>IFERROR(IF(INDEX(SPOT_Import!$A$1:$Z$2488,974,'Live Data'!$C$14)="","",INDEX(SPOT_Import!$A$1:$Z$2488,974,'Live Data'!$C$14)),"")</f>
        <v>NAROK</v>
      </c>
      <c r="D974" s="54" t="str">
        <f>IFERROR(IF(INDEX(SPOT_Import!$A$1:$Z$2488,974,'Live Data'!$C$15)="","",INDEX(SPOT_Import!$A$1:$Z$2488,974,'Live Data'!$C$15)),"")</f>
        <v>Narok South</v>
      </c>
      <c r="E974" s="54" t="str">
        <f>IFERROR(IF(INDEX(SPOT_Import!$A$1:$Z$2488,974,'Live Data'!$C$16)="","",INDEX(SPOT_Import!$A$1:$Z$2488,974,'Live Data'!$C$16)),"")</f>
        <v>CHAK CHAP STAWISHA</v>
      </c>
      <c r="F974" s="54" t="str">
        <f>IFERROR(IF(INDEX(SPOT_Import!$A$1:$Z$2488,974,'Live Data'!$C$17)="","",INDEX(SPOT_Import!$A$1:$Z$2488,974,'Live Data'!$C$17)),"")</f>
        <v>MNCH</v>
      </c>
      <c r="G974" s="54">
        <f>IFERROR(IF(INDEX(SPOT_Import!$A$1:$Z$2488,974,'Live Data'!$C$18)="","",INDEX(SPOT_Import!$A$1:$Z$2488,974,'Live Data'!$C$18)),"")</f>
        <v>7</v>
      </c>
      <c r="H974" s="54">
        <f>IFERROR(IF(INDEX(SPOT_Import!$A$1:$Z$2488,974,'Live Data'!$C$19)="","",INDEX(SPOT_Import!$A$1:$Z$2488,974,'Live Data'!$C$19)),"")</f>
        <v>7</v>
      </c>
      <c r="I974" s="54" t="str">
        <f>IFERROR(IF(INDEX(SPOT_Import!$A$1:$Z$2488,974,'Live Data'!$C$20)="","",INDEX(SPOT_Import!$A$1:$Z$2488,974,'Live Data'!$C$20)),"")</f>
        <v>Complete</v>
      </c>
      <c r="J974" s="54" t="str">
        <f>IFERROR(IF(INDEX(SPOT_Import!$A$1:$Z$2488,974,'Live Data'!$C$21)="","",INDEX(SPOT_Import!$A$1:$Z$2488,974,'Live Data'!$C$21)),"")</f>
        <v>2026-10-01T10:17:32.000Z</v>
      </c>
      <c r="K974" s="54" t="str">
        <f>IFERROR(IF(INDEX(SPOT_Import!$A$1:$Z$2488,974,'Live Data'!$C$22)="","",INDEX(SPOT_Import!$A$1:$Z$2488,974,'Live Data'!$C$22)),"")</f>
        <v>2026-10-01T10:17:32.000Z</v>
      </c>
      <c r="L974" s="55" t="str">
        <f t="shared" si="30"/>
        <v>2026-10</v>
      </c>
      <c r="M974" s="55" t="str">
        <f t="shared" si="31"/>
        <v>NAROK</v>
      </c>
      <c r="N974" s="55" t="str">
        <f>IF(A974="","",IFERROR(INDEX('Cluster Map'!$A$4:$A$38,MATCH(M974,'Cluster Map'!$B$4:$B$38,0)),"Unmapped"))</f>
        <v>Cluster 4</v>
      </c>
      <c r="O974" s="55">
        <f>IF(A974="",0,IF(COUNTIFS($A$2:A974,A974,$F$2:F974,F974,$L$2:L974,L974)=1,1,0))</f>
        <v>1</v>
      </c>
      <c r="P974" s="55">
        <f>IF(A974="",0,IF(AND(F974="C&amp;T",COUNTIFS($A$2:A974,A974,$F$2:F974,"C&amp;T")=1),1,0))</f>
        <v>0</v>
      </c>
    </row>
    <row r="975" spans="1:16" x14ac:dyDescent="0.35">
      <c r="A975" s="54">
        <f>IFERROR(IF(INDEX(SPOT_Import!$A$1:$Z$2488,975,'Live Data'!$C$12)="","",INDEX(SPOT_Import!$A$1:$Z$2488,975,'Live Data'!$C$12)),"")</f>
        <v>10988</v>
      </c>
      <c r="B975" s="54" t="str">
        <f>IFERROR(IF(INDEX(SPOT_Import!$A$1:$Z$2488,975,'Live Data'!$C$13)="","",INDEX(SPOT_Import!$A$1:$Z$2488,975,'Live Data'!$C$13)),"")</f>
        <v>Sacred Heart Dispensary</v>
      </c>
      <c r="C975" s="54" t="str">
        <f>IFERROR(IF(INDEX(SPOT_Import!$A$1:$Z$2488,975,'Live Data'!$C$14)="","",INDEX(SPOT_Import!$A$1:$Z$2488,975,'Live Data'!$C$14)),"")</f>
        <v>KIAMBU</v>
      </c>
      <c r="D975" s="54" t="str">
        <f>IFERROR(IF(INDEX(SPOT_Import!$A$1:$Z$2488,975,'Live Data'!$C$15)="","",INDEX(SPOT_Import!$A$1:$Z$2488,975,'Live Data'!$C$15)),"")</f>
        <v>Kiambaa</v>
      </c>
      <c r="E975" s="54" t="str">
        <f>IFERROR(IF(INDEX(SPOT_Import!$A$1:$Z$2488,975,'Live Data'!$C$16)="","",INDEX(SPOT_Import!$A$1:$Z$2488,975,'Live Data'!$C$16)),"")</f>
        <v>CHAK CHAP STAWISHA</v>
      </c>
      <c r="F975" s="54" t="str">
        <f>IFERROR(IF(INDEX(SPOT_Import!$A$1:$Z$2488,975,'Live Data'!$C$17)="","",INDEX(SPOT_Import!$A$1:$Z$2488,975,'Live Data'!$C$17)),"")</f>
        <v>C&amp;T</v>
      </c>
      <c r="G975" s="54">
        <f>IFERROR(IF(INDEX(SPOT_Import!$A$1:$Z$2488,975,'Live Data'!$C$18)="","",INDEX(SPOT_Import!$A$1:$Z$2488,975,'Live Data'!$C$18)),"")</f>
        <v>1712</v>
      </c>
      <c r="H975" s="54">
        <f>IFERROR(IF(INDEX(SPOT_Import!$A$1:$Z$2488,975,'Live Data'!$C$19)="","",INDEX(SPOT_Import!$A$1:$Z$2488,975,'Live Data'!$C$19)),"")</f>
        <v>1712</v>
      </c>
      <c r="I975" s="54" t="str">
        <f>IFERROR(IF(INDEX(SPOT_Import!$A$1:$Z$2488,975,'Live Data'!$C$20)="","",INDEX(SPOT_Import!$A$1:$Z$2488,975,'Live Data'!$C$20)),"")</f>
        <v>Complete</v>
      </c>
      <c r="J975" s="54" t="str">
        <f>IFERROR(IF(INDEX(SPOT_Import!$A$1:$Z$2488,975,'Live Data'!$C$21)="","",INDEX(SPOT_Import!$A$1:$Z$2488,975,'Live Data'!$C$21)),"")</f>
        <v>2026-10-01T10:07:32.000Z</v>
      </c>
      <c r="K975" s="54" t="str">
        <f>IFERROR(IF(INDEX(SPOT_Import!$A$1:$Z$2488,975,'Live Data'!$C$22)="","",INDEX(SPOT_Import!$A$1:$Z$2488,975,'Live Data'!$C$22)),"")</f>
        <v>2026-10-01T10:07:32.000Z</v>
      </c>
      <c r="L975" s="55" t="str">
        <f t="shared" si="30"/>
        <v>2026-10</v>
      </c>
      <c r="M975" s="55" t="str">
        <f t="shared" si="31"/>
        <v>KIAMBU</v>
      </c>
      <c r="N975" s="55" t="str">
        <f>IF(A975="","",IFERROR(INDEX('Cluster Map'!$A$4:$A$38,MATCH(M975,'Cluster Map'!$B$4:$B$38,0)),"Unmapped"))</f>
        <v>Cluster 3</v>
      </c>
      <c r="O975" s="55">
        <f>IF(A975="",0,IF(COUNTIFS($A$2:A975,A975,$F$2:F975,F975,$L$2:L975,L975)=1,1,0))</f>
        <v>1</v>
      </c>
      <c r="P975" s="55">
        <f>IF(A975="",0,IF(AND(F975="C&amp;T",COUNTIFS($A$2:A975,A975,$F$2:F975,"C&amp;T")=1),1,0))</f>
        <v>1</v>
      </c>
    </row>
    <row r="976" spans="1:16" x14ac:dyDescent="0.35">
      <c r="A976" s="54">
        <f>IFERROR(IF(INDEX(SPOT_Import!$A$1:$Z$2488,976,'Live Data'!$C$12)="","",INDEX(SPOT_Import!$A$1:$Z$2488,976,'Live Data'!$C$12)),"")</f>
        <v>12204</v>
      </c>
      <c r="B976" s="54" t="str">
        <f>IFERROR(IF(INDEX(SPOT_Import!$A$1:$Z$2488,976,'Live Data'!$C$13)="","",INDEX(SPOT_Import!$A$1:$Z$2488,976,'Live Data'!$C$13)),"")</f>
        <v>Kasaala Health Centre</v>
      </c>
      <c r="C976" s="54" t="str">
        <f>IFERROR(IF(INDEX(SPOT_Import!$A$1:$Z$2488,976,'Live Data'!$C$14)="","",INDEX(SPOT_Import!$A$1:$Z$2488,976,'Live Data'!$C$14)),"")</f>
        <v>KITUI</v>
      </c>
      <c r="D976" s="54" t="str">
        <f>IFERROR(IF(INDEX(SPOT_Import!$A$1:$Z$2488,976,'Live Data'!$C$15)="","",INDEX(SPOT_Import!$A$1:$Z$2488,976,'Live Data'!$C$15)),"")</f>
        <v>Kitui South</v>
      </c>
      <c r="E976" s="54" t="str">
        <f>IFERROR(IF(INDEX(SPOT_Import!$A$1:$Z$2488,976,'Live Data'!$C$16)="","",INDEX(SPOT_Import!$A$1:$Z$2488,976,'Live Data'!$C$16)),"")</f>
        <v>CHAK CHAP STAWISHA</v>
      </c>
      <c r="F976" s="54" t="str">
        <f>IFERROR(IF(INDEX(SPOT_Import!$A$1:$Z$2488,976,'Live Data'!$C$17)="","",INDEX(SPOT_Import!$A$1:$Z$2488,976,'Live Data'!$C$17)),"")</f>
        <v>C&amp;T</v>
      </c>
      <c r="G976" s="54">
        <f>IFERROR(IF(INDEX(SPOT_Import!$A$1:$Z$2488,976,'Live Data'!$C$18)="","",INDEX(SPOT_Import!$A$1:$Z$2488,976,'Live Data'!$C$18)),"")</f>
        <v>355</v>
      </c>
      <c r="H976" s="54">
        <f>IFERROR(IF(INDEX(SPOT_Import!$A$1:$Z$2488,976,'Live Data'!$C$19)="","",INDEX(SPOT_Import!$A$1:$Z$2488,976,'Live Data'!$C$19)),"")</f>
        <v>355</v>
      </c>
      <c r="I976" s="54" t="str">
        <f>IFERROR(IF(INDEX(SPOT_Import!$A$1:$Z$2488,976,'Live Data'!$C$20)="","",INDEX(SPOT_Import!$A$1:$Z$2488,976,'Live Data'!$C$20)),"")</f>
        <v>Complete</v>
      </c>
      <c r="J976" s="54" t="str">
        <f>IFERROR(IF(INDEX(SPOT_Import!$A$1:$Z$2488,976,'Live Data'!$C$21)="","",INDEX(SPOT_Import!$A$1:$Z$2488,976,'Live Data'!$C$21)),"")</f>
        <v>2026-10-01T09:58:52.000Z</v>
      </c>
      <c r="K976" s="54" t="str">
        <f>IFERROR(IF(INDEX(SPOT_Import!$A$1:$Z$2488,976,'Live Data'!$C$22)="","",INDEX(SPOT_Import!$A$1:$Z$2488,976,'Live Data'!$C$22)),"")</f>
        <v>2026-10-01T09:58:52.000Z</v>
      </c>
      <c r="L976" s="55" t="str">
        <f t="shared" si="30"/>
        <v>2026-10</v>
      </c>
      <c r="M976" s="55" t="str">
        <f t="shared" si="31"/>
        <v>KITUI</v>
      </c>
      <c r="N976" s="55" t="str">
        <f>IF(A976="","",IFERROR(INDEX('Cluster Map'!$A$4:$A$38,MATCH(M976,'Cluster Map'!$B$4:$B$38,0)),"Unmapped"))</f>
        <v>Cluster 5</v>
      </c>
      <c r="O976" s="55">
        <f>IF(A976="",0,IF(COUNTIFS($A$2:A976,A976,$F$2:F976,F976,$L$2:L976,L976)=1,1,0))</f>
        <v>1</v>
      </c>
      <c r="P976" s="55">
        <f>IF(A976="",0,IF(AND(F976="C&amp;T",COUNTIFS($A$2:A976,A976,$F$2:F976,"C&amp;T")=1),1,0))</f>
        <v>1</v>
      </c>
    </row>
    <row r="977" spans="1:16" x14ac:dyDescent="0.35">
      <c r="A977" s="54">
        <f>IFERROR(IF(INDEX(SPOT_Import!$A$1:$Z$2488,977,'Live Data'!$C$12)="","",INDEX(SPOT_Import!$A$1:$Z$2488,977,'Live Data'!$C$12)),"")</f>
        <v>15702</v>
      </c>
      <c r="B977" s="54" t="str">
        <f>IFERROR(IF(INDEX(SPOT_Import!$A$1:$Z$2488,977,'Live Data'!$C$13)="","",INDEX(SPOT_Import!$A$1:$Z$2488,977,'Live Data'!$C$13)),"")</f>
        <v>Talek Health Centre</v>
      </c>
      <c r="C977" s="54" t="str">
        <f>IFERROR(IF(INDEX(SPOT_Import!$A$1:$Z$2488,977,'Live Data'!$C$14)="","",INDEX(SPOT_Import!$A$1:$Z$2488,977,'Live Data'!$C$14)),"")</f>
        <v>NAROK</v>
      </c>
      <c r="D977" s="54" t="str">
        <f>IFERROR(IF(INDEX(SPOT_Import!$A$1:$Z$2488,977,'Live Data'!$C$15)="","",INDEX(SPOT_Import!$A$1:$Z$2488,977,'Live Data'!$C$15)),"")</f>
        <v>Narok West</v>
      </c>
      <c r="E977" s="54" t="str">
        <f>IFERROR(IF(INDEX(SPOT_Import!$A$1:$Z$2488,977,'Live Data'!$C$16)="","",INDEX(SPOT_Import!$A$1:$Z$2488,977,'Live Data'!$C$16)),"")</f>
        <v>CHAK CHAP STAWISHA</v>
      </c>
      <c r="F977" s="54" t="str">
        <f>IFERROR(IF(INDEX(SPOT_Import!$A$1:$Z$2488,977,'Live Data'!$C$17)="","",INDEX(SPOT_Import!$A$1:$Z$2488,977,'Live Data'!$C$17)),"")</f>
        <v>C&amp;T</v>
      </c>
      <c r="G977" s="54">
        <f>IFERROR(IF(INDEX(SPOT_Import!$A$1:$Z$2488,977,'Live Data'!$C$18)="","",INDEX(SPOT_Import!$A$1:$Z$2488,977,'Live Data'!$C$18)),"")</f>
        <v>396</v>
      </c>
      <c r="H977" s="54">
        <f>IFERROR(IF(INDEX(SPOT_Import!$A$1:$Z$2488,977,'Live Data'!$C$19)="","",INDEX(SPOT_Import!$A$1:$Z$2488,977,'Live Data'!$C$19)),"")</f>
        <v>396</v>
      </c>
      <c r="I977" s="54" t="str">
        <f>IFERROR(IF(INDEX(SPOT_Import!$A$1:$Z$2488,977,'Live Data'!$C$20)="","",INDEX(SPOT_Import!$A$1:$Z$2488,977,'Live Data'!$C$20)),"")</f>
        <v>Complete</v>
      </c>
      <c r="J977" s="54" t="str">
        <f>IFERROR(IF(INDEX(SPOT_Import!$A$1:$Z$2488,977,'Live Data'!$C$21)="","",INDEX(SPOT_Import!$A$1:$Z$2488,977,'Live Data'!$C$21)),"")</f>
        <v>2026-10-01T06:24:26.000Z</v>
      </c>
      <c r="K977" s="54" t="str">
        <f>IFERROR(IF(INDEX(SPOT_Import!$A$1:$Z$2488,977,'Live Data'!$C$22)="","",INDEX(SPOT_Import!$A$1:$Z$2488,977,'Live Data'!$C$22)),"")</f>
        <v>2026-10-01T06:24:26.000Z</v>
      </c>
      <c r="L977" s="55" t="str">
        <f t="shared" si="30"/>
        <v>2026-10</v>
      </c>
      <c r="M977" s="55" t="str">
        <f t="shared" si="31"/>
        <v>NAROK</v>
      </c>
      <c r="N977" s="55" t="str">
        <f>IF(A977="","",IFERROR(INDEX('Cluster Map'!$A$4:$A$38,MATCH(M977,'Cluster Map'!$B$4:$B$38,0)),"Unmapped"))</f>
        <v>Cluster 4</v>
      </c>
      <c r="O977" s="55">
        <f>IF(A977="",0,IF(COUNTIFS($A$2:A977,A977,$F$2:F977,F977,$L$2:L977,L977)=1,1,0))</f>
        <v>1</v>
      </c>
      <c r="P977" s="55">
        <f>IF(A977="",0,IF(AND(F977="C&amp;T",COUNTIFS($A$2:A977,A977,$F$2:F977,"C&amp;T")=1),1,0))</f>
        <v>1</v>
      </c>
    </row>
    <row r="978" spans="1:16" x14ac:dyDescent="0.35">
      <c r="A978" s="54">
        <f>IFERROR(IF(INDEX(SPOT_Import!$A$1:$Z$2488,978,'Live Data'!$C$12)="","",INDEX(SPOT_Import!$A$1:$Z$2488,978,'Live Data'!$C$12)),"")</f>
        <v>15702</v>
      </c>
      <c r="B978" s="54" t="str">
        <f>IFERROR(IF(INDEX(SPOT_Import!$A$1:$Z$2488,978,'Live Data'!$C$13)="","",INDEX(SPOT_Import!$A$1:$Z$2488,978,'Live Data'!$C$13)),"")</f>
        <v>Talek Health Centre</v>
      </c>
      <c r="C978" s="54" t="str">
        <f>IFERROR(IF(INDEX(SPOT_Import!$A$1:$Z$2488,978,'Live Data'!$C$14)="","",INDEX(SPOT_Import!$A$1:$Z$2488,978,'Live Data'!$C$14)),"")</f>
        <v>NAROK</v>
      </c>
      <c r="D978" s="54" t="str">
        <f>IFERROR(IF(INDEX(SPOT_Import!$A$1:$Z$2488,978,'Live Data'!$C$15)="","",INDEX(SPOT_Import!$A$1:$Z$2488,978,'Live Data'!$C$15)),"")</f>
        <v>Narok West</v>
      </c>
      <c r="E978" s="54" t="str">
        <f>IFERROR(IF(INDEX(SPOT_Import!$A$1:$Z$2488,978,'Live Data'!$C$16)="","",INDEX(SPOT_Import!$A$1:$Z$2488,978,'Live Data'!$C$16)),"")</f>
        <v>CHAK CHAP STAWISHA</v>
      </c>
      <c r="F978" s="54" t="str">
        <f>IFERROR(IF(INDEX(SPOT_Import!$A$1:$Z$2488,978,'Live Data'!$C$17)="","",INDEX(SPOT_Import!$A$1:$Z$2488,978,'Live Data'!$C$17)),"")</f>
        <v>HTS</v>
      </c>
      <c r="G978" s="54">
        <f>IFERROR(IF(INDEX(SPOT_Import!$A$1:$Z$2488,978,'Live Data'!$C$18)="","",INDEX(SPOT_Import!$A$1:$Z$2488,978,'Live Data'!$C$18)),"")</f>
        <v>5537</v>
      </c>
      <c r="H978" s="54">
        <f>IFERROR(IF(INDEX(SPOT_Import!$A$1:$Z$2488,978,'Live Data'!$C$19)="","",INDEX(SPOT_Import!$A$1:$Z$2488,978,'Live Data'!$C$19)),"")</f>
        <v>5537</v>
      </c>
      <c r="I978" s="54" t="str">
        <f>IFERROR(IF(INDEX(SPOT_Import!$A$1:$Z$2488,978,'Live Data'!$C$20)="","",INDEX(SPOT_Import!$A$1:$Z$2488,978,'Live Data'!$C$20)),"")</f>
        <v>Complete</v>
      </c>
      <c r="J978" s="54" t="str">
        <f>IFERROR(IF(INDEX(SPOT_Import!$A$1:$Z$2488,978,'Live Data'!$C$21)="","",INDEX(SPOT_Import!$A$1:$Z$2488,978,'Live Data'!$C$21)),"")</f>
        <v>2026-10-01T06:02:06.000Z</v>
      </c>
      <c r="K978" s="54" t="str">
        <f>IFERROR(IF(INDEX(SPOT_Import!$A$1:$Z$2488,978,'Live Data'!$C$22)="","",INDEX(SPOT_Import!$A$1:$Z$2488,978,'Live Data'!$C$22)),"")</f>
        <v>2026-10-01T06:02:06.000Z</v>
      </c>
      <c r="L978" s="55" t="str">
        <f t="shared" si="30"/>
        <v>2026-10</v>
      </c>
      <c r="M978" s="55" t="str">
        <f t="shared" si="31"/>
        <v>NAROK</v>
      </c>
      <c r="N978" s="55" t="str">
        <f>IF(A978="","",IFERROR(INDEX('Cluster Map'!$A$4:$A$38,MATCH(M978,'Cluster Map'!$B$4:$B$38,0)),"Unmapped"))</f>
        <v>Cluster 4</v>
      </c>
      <c r="O978" s="55">
        <f>IF(A978="",0,IF(COUNTIFS($A$2:A978,A978,$F$2:F978,F978,$L$2:L978,L978)=1,1,0))</f>
        <v>1</v>
      </c>
      <c r="P978" s="55">
        <f>IF(A978="",0,IF(AND(F978="C&amp;T",COUNTIFS($A$2:A978,A978,$F$2:F978,"C&amp;T")=1),1,0))</f>
        <v>0</v>
      </c>
    </row>
    <row r="979" spans="1:16" x14ac:dyDescent="0.35">
      <c r="A979" s="54">
        <f>IFERROR(IF(INDEX(SPOT_Import!$A$1:$Z$2488,979,'Live Data'!$C$12)="","",INDEX(SPOT_Import!$A$1:$Z$2488,979,'Live Data'!$C$12)),"")</f>
        <v>15282</v>
      </c>
      <c r="B979" s="54" t="str">
        <f>IFERROR(IF(INDEX(SPOT_Import!$A$1:$Z$2488,979,'Live Data'!$C$13)="","",INDEX(SPOT_Import!$A$1:$Z$2488,979,'Live Data'!$C$13)),"")</f>
        <v>Naivasha (AIC) Medical Centre</v>
      </c>
      <c r="C979" s="54" t="str">
        <f>IFERROR(IF(INDEX(SPOT_Import!$A$1:$Z$2488,979,'Live Data'!$C$14)="","",INDEX(SPOT_Import!$A$1:$Z$2488,979,'Live Data'!$C$14)),"")</f>
        <v>NAKURU</v>
      </c>
      <c r="D979" s="54" t="str">
        <f>IFERROR(IF(INDEX(SPOT_Import!$A$1:$Z$2488,979,'Live Data'!$C$15)="","",INDEX(SPOT_Import!$A$1:$Z$2488,979,'Live Data'!$C$15)),"")</f>
        <v>Naivasha</v>
      </c>
      <c r="E979" s="54" t="str">
        <f>IFERROR(IF(INDEX(SPOT_Import!$A$1:$Z$2488,979,'Live Data'!$C$16)="","",INDEX(SPOT_Import!$A$1:$Z$2488,979,'Live Data'!$C$16)),"")</f>
        <v>CHAK CHAP STAWISHA</v>
      </c>
      <c r="F979" s="54" t="str">
        <f>IFERROR(IF(INDEX(SPOT_Import!$A$1:$Z$2488,979,'Live Data'!$C$17)="","",INDEX(SPOT_Import!$A$1:$Z$2488,979,'Live Data'!$C$17)),"")</f>
        <v>C&amp;T</v>
      </c>
      <c r="G979" s="54">
        <f>IFERROR(IF(INDEX(SPOT_Import!$A$1:$Z$2488,979,'Live Data'!$C$18)="","",INDEX(SPOT_Import!$A$1:$Z$2488,979,'Live Data'!$C$18)),"")</f>
        <v>5789</v>
      </c>
      <c r="H979" s="54">
        <f>IFERROR(IF(INDEX(SPOT_Import!$A$1:$Z$2488,979,'Live Data'!$C$19)="","",INDEX(SPOT_Import!$A$1:$Z$2488,979,'Live Data'!$C$19)),"")</f>
        <v>5789</v>
      </c>
      <c r="I979" s="54" t="str">
        <f>IFERROR(IF(INDEX(SPOT_Import!$A$1:$Z$2488,979,'Live Data'!$C$20)="","",INDEX(SPOT_Import!$A$1:$Z$2488,979,'Live Data'!$C$20)),"")</f>
        <v>Complete</v>
      </c>
      <c r="J979" s="54" t="str">
        <f>IFERROR(IF(INDEX(SPOT_Import!$A$1:$Z$2488,979,'Live Data'!$C$21)="","",INDEX(SPOT_Import!$A$1:$Z$2488,979,'Live Data'!$C$21)),"")</f>
        <v>2026-10-01T03:15:53.000Z</v>
      </c>
      <c r="K979" s="54" t="str">
        <f>IFERROR(IF(INDEX(SPOT_Import!$A$1:$Z$2488,979,'Live Data'!$C$22)="","",INDEX(SPOT_Import!$A$1:$Z$2488,979,'Live Data'!$C$22)),"")</f>
        <v>2026-10-01T03:15:53.000Z</v>
      </c>
      <c r="L979" s="55" t="str">
        <f t="shared" si="30"/>
        <v>2026-10</v>
      </c>
      <c r="M979" s="55" t="str">
        <f t="shared" si="31"/>
        <v>NAKURU</v>
      </c>
      <c r="N979" s="55" t="str">
        <f>IF(A979="","",IFERROR(INDEX('Cluster Map'!$A$4:$A$38,MATCH(M979,'Cluster Map'!$B$4:$B$38,0)),"Unmapped"))</f>
        <v>Cluster 4</v>
      </c>
      <c r="O979" s="55">
        <f>IF(A979="",0,IF(COUNTIFS($A$2:A979,A979,$F$2:F979,F979,$L$2:L979,L979)=1,1,0))</f>
        <v>1</v>
      </c>
      <c r="P979" s="55">
        <f>IF(A979="",0,IF(AND(F979="C&amp;T",COUNTIFS($A$2:A979,A979,$F$2:F979,"C&amp;T")=1),1,0))</f>
        <v>1</v>
      </c>
    </row>
    <row r="980" spans="1:16" x14ac:dyDescent="0.35">
      <c r="A980" s="54">
        <f>IFERROR(IF(INDEX(SPOT_Import!$A$1:$Z$2488,980,'Live Data'!$C$12)="","",INDEX(SPOT_Import!$A$1:$Z$2488,980,'Live Data'!$C$12)),"")</f>
        <v>15282</v>
      </c>
      <c r="B980" s="54" t="str">
        <f>IFERROR(IF(INDEX(SPOT_Import!$A$1:$Z$2488,980,'Live Data'!$C$13)="","",INDEX(SPOT_Import!$A$1:$Z$2488,980,'Live Data'!$C$13)),"")</f>
        <v>Naivasha (AIC) Medical Centre</v>
      </c>
      <c r="C980" s="54" t="str">
        <f>IFERROR(IF(INDEX(SPOT_Import!$A$1:$Z$2488,980,'Live Data'!$C$14)="","",INDEX(SPOT_Import!$A$1:$Z$2488,980,'Live Data'!$C$14)),"")</f>
        <v>NAKURU</v>
      </c>
      <c r="D980" s="54" t="str">
        <f>IFERROR(IF(INDEX(SPOT_Import!$A$1:$Z$2488,980,'Live Data'!$C$15)="","",INDEX(SPOT_Import!$A$1:$Z$2488,980,'Live Data'!$C$15)),"")</f>
        <v>Naivasha</v>
      </c>
      <c r="E980" s="54" t="str">
        <f>IFERROR(IF(INDEX(SPOT_Import!$A$1:$Z$2488,980,'Live Data'!$C$16)="","",INDEX(SPOT_Import!$A$1:$Z$2488,980,'Live Data'!$C$16)),"")</f>
        <v>CHAK CHAP STAWISHA</v>
      </c>
      <c r="F980" s="54" t="str">
        <f>IFERROR(IF(INDEX(SPOT_Import!$A$1:$Z$2488,980,'Live Data'!$C$17)="","",INDEX(SPOT_Import!$A$1:$Z$2488,980,'Live Data'!$C$17)),"")</f>
        <v>HTS</v>
      </c>
      <c r="G980" s="54">
        <f>IFERROR(IF(INDEX(SPOT_Import!$A$1:$Z$2488,980,'Live Data'!$C$18)="","",INDEX(SPOT_Import!$A$1:$Z$2488,980,'Live Data'!$C$18)),"")</f>
        <v>17460</v>
      </c>
      <c r="H980" s="54">
        <f>IFERROR(IF(INDEX(SPOT_Import!$A$1:$Z$2488,980,'Live Data'!$C$19)="","",INDEX(SPOT_Import!$A$1:$Z$2488,980,'Live Data'!$C$19)),"")</f>
        <v>17460</v>
      </c>
      <c r="I980" s="54" t="str">
        <f>IFERROR(IF(INDEX(SPOT_Import!$A$1:$Z$2488,980,'Live Data'!$C$20)="","",INDEX(SPOT_Import!$A$1:$Z$2488,980,'Live Data'!$C$20)),"")</f>
        <v>Complete</v>
      </c>
      <c r="J980" s="54" t="str">
        <f>IFERROR(IF(INDEX(SPOT_Import!$A$1:$Z$2488,980,'Live Data'!$C$21)="","",INDEX(SPOT_Import!$A$1:$Z$2488,980,'Live Data'!$C$21)),"")</f>
        <v>2026-10-01T02:55:22.000Z</v>
      </c>
      <c r="K980" s="54" t="str">
        <f>IFERROR(IF(INDEX(SPOT_Import!$A$1:$Z$2488,980,'Live Data'!$C$22)="","",INDEX(SPOT_Import!$A$1:$Z$2488,980,'Live Data'!$C$22)),"")</f>
        <v>2026-10-01T02:55:22.000Z</v>
      </c>
      <c r="L980" s="55" t="str">
        <f t="shared" si="30"/>
        <v>2026-10</v>
      </c>
      <c r="M980" s="55" t="str">
        <f t="shared" si="31"/>
        <v>NAKURU</v>
      </c>
      <c r="N980" s="55" t="str">
        <f>IF(A980="","",IFERROR(INDEX('Cluster Map'!$A$4:$A$38,MATCH(M980,'Cluster Map'!$B$4:$B$38,0)),"Unmapped"))</f>
        <v>Cluster 4</v>
      </c>
      <c r="O980" s="55">
        <f>IF(A980="",0,IF(COUNTIFS($A$2:A980,A980,$F$2:F980,F980,$L$2:L980,L980)=1,1,0))</f>
        <v>1</v>
      </c>
      <c r="P980" s="55">
        <f>IF(A980="",0,IF(AND(F980="C&amp;T",COUNTIFS($A$2:A980,A980,$F$2:F980,"C&amp;T")=1),1,0))</f>
        <v>0</v>
      </c>
    </row>
    <row r="981" spans="1:16" x14ac:dyDescent="0.35">
      <c r="A981" s="54">
        <f>IFERROR(IF(INDEX(SPOT_Import!$A$1:$Z$2488,981,'Live Data'!$C$12)="","",INDEX(SPOT_Import!$A$1:$Z$2488,981,'Live Data'!$C$12)),"")</f>
        <v>12456</v>
      </c>
      <c r="B981" s="54" t="str">
        <f>IFERROR(IF(INDEX(SPOT_Import!$A$1:$Z$2488,981,'Live Data'!$C$13)="","",INDEX(SPOT_Import!$A$1:$Z$2488,981,'Live Data'!$C$13)),"")</f>
        <v>Makueni Catholic Dispensary</v>
      </c>
      <c r="C981" s="54" t="str">
        <f>IFERROR(IF(INDEX(SPOT_Import!$A$1:$Z$2488,981,'Live Data'!$C$14)="","",INDEX(SPOT_Import!$A$1:$Z$2488,981,'Live Data'!$C$14)),"")</f>
        <v>MAKUENI</v>
      </c>
      <c r="D981" s="54" t="str">
        <f>IFERROR(IF(INDEX(SPOT_Import!$A$1:$Z$2488,981,'Live Data'!$C$15)="","",INDEX(SPOT_Import!$A$1:$Z$2488,981,'Live Data'!$C$15)),"")</f>
        <v>Makueni</v>
      </c>
      <c r="E981" s="54" t="str">
        <f>IFERROR(IF(INDEX(SPOT_Import!$A$1:$Z$2488,981,'Live Data'!$C$16)="","",INDEX(SPOT_Import!$A$1:$Z$2488,981,'Live Data'!$C$16)),"")</f>
        <v>CHAK CHAP STAWISHA</v>
      </c>
      <c r="F981" s="54" t="str">
        <f>IFERROR(IF(INDEX(SPOT_Import!$A$1:$Z$2488,981,'Live Data'!$C$17)="","",INDEX(SPOT_Import!$A$1:$Z$2488,981,'Live Data'!$C$17)),"")</f>
        <v>MNCH</v>
      </c>
      <c r="G981" s="54">
        <f>IFERROR(IF(INDEX(SPOT_Import!$A$1:$Z$2488,981,'Live Data'!$C$18)="","",INDEX(SPOT_Import!$A$1:$Z$2488,981,'Live Data'!$C$18)),"")</f>
        <v>2</v>
      </c>
      <c r="H981" s="54">
        <f>IFERROR(IF(INDEX(SPOT_Import!$A$1:$Z$2488,981,'Live Data'!$C$19)="","",INDEX(SPOT_Import!$A$1:$Z$2488,981,'Live Data'!$C$19)),"")</f>
        <v>112</v>
      </c>
      <c r="I981" s="54" t="str">
        <f>IFERROR(IF(INDEX(SPOT_Import!$A$1:$Z$2488,981,'Live Data'!$C$20)="","",INDEX(SPOT_Import!$A$1:$Z$2488,981,'Live Data'!$C$20)),"")</f>
        <v>Incomplete</v>
      </c>
      <c r="J981" s="54" t="str">
        <f>IFERROR(IF(INDEX(SPOT_Import!$A$1:$Z$2488,981,'Live Data'!$C$21)="","",INDEX(SPOT_Import!$A$1:$Z$2488,981,'Live Data'!$C$21)),"")</f>
        <v>2026-09-10T12:49:57.000Z</v>
      </c>
      <c r="K981" s="54" t="str">
        <f>IFERROR(IF(INDEX(SPOT_Import!$A$1:$Z$2488,981,'Live Data'!$C$22)="","",INDEX(SPOT_Import!$A$1:$Z$2488,981,'Live Data'!$C$22)),"")</f>
        <v>2026-09-10T12:49:57.000Z</v>
      </c>
      <c r="L981" s="55" t="str">
        <f t="shared" si="30"/>
        <v>2026-09</v>
      </c>
      <c r="M981" s="55" t="str">
        <f t="shared" si="31"/>
        <v>MAKUENI</v>
      </c>
      <c r="N981" s="55" t="str">
        <f>IF(A981="","",IFERROR(INDEX('Cluster Map'!$A$4:$A$38,MATCH(M981,'Cluster Map'!$B$4:$B$38,0)),"Unmapped"))</f>
        <v>Cluster 5</v>
      </c>
      <c r="O981" s="55">
        <f>IF(A981="",0,IF(COUNTIFS($A$2:A981,A981,$F$2:F981,F981,$L$2:L981,L981)=1,1,0))</f>
        <v>1</v>
      </c>
      <c r="P981" s="55">
        <f>IF(A981="",0,IF(AND(F981="C&amp;T",COUNTIFS($A$2:A981,A981,$F$2:F981,"C&amp;T")=1),1,0))</f>
        <v>0</v>
      </c>
    </row>
    <row r="982" spans="1:16" x14ac:dyDescent="0.35">
      <c r="A982" s="54">
        <f>IFERROR(IF(INDEX(SPOT_Import!$A$1:$Z$2488,982,'Live Data'!$C$12)="","",INDEX(SPOT_Import!$A$1:$Z$2488,982,'Live Data'!$C$12)),"")</f>
        <v>17431</v>
      </c>
      <c r="B982" s="54" t="str">
        <f>IFERROR(IF(INDEX(SPOT_Import!$A$1:$Z$2488,982,'Live Data'!$C$13)="","",INDEX(SPOT_Import!$A$1:$Z$2488,982,'Live Data'!$C$13)),"")</f>
        <v>AIC Kalamba Dispensary</v>
      </c>
      <c r="C982" s="54" t="str">
        <f>IFERROR(IF(INDEX(SPOT_Import!$A$1:$Z$2488,982,'Live Data'!$C$14)="","",INDEX(SPOT_Import!$A$1:$Z$2488,982,'Live Data'!$C$14)),"")</f>
        <v>MAKUENI</v>
      </c>
      <c r="D982" s="54" t="str">
        <f>IFERROR(IF(INDEX(SPOT_Import!$A$1:$Z$2488,982,'Live Data'!$C$15)="","",INDEX(SPOT_Import!$A$1:$Z$2488,982,'Live Data'!$C$15)),"")</f>
        <v>Makueni</v>
      </c>
      <c r="E982" s="54" t="str">
        <f>IFERROR(IF(INDEX(SPOT_Import!$A$1:$Z$2488,982,'Live Data'!$C$16)="","",INDEX(SPOT_Import!$A$1:$Z$2488,982,'Live Data'!$C$16)),"")</f>
        <v>CHAK CHAP STAWISHA</v>
      </c>
      <c r="F982" s="54" t="str">
        <f>IFERROR(IF(INDEX(SPOT_Import!$A$1:$Z$2488,982,'Live Data'!$C$17)="","",INDEX(SPOT_Import!$A$1:$Z$2488,982,'Live Data'!$C$17)),"")</f>
        <v>MNCH</v>
      </c>
      <c r="G982" s="54">
        <f>IFERROR(IF(INDEX(SPOT_Import!$A$1:$Z$2488,982,'Live Data'!$C$18)="","",INDEX(SPOT_Import!$A$1:$Z$2488,982,'Live Data'!$C$18)),"")</f>
        <v>6</v>
      </c>
      <c r="H982" s="54">
        <f>IFERROR(IF(INDEX(SPOT_Import!$A$1:$Z$2488,982,'Live Data'!$C$19)="","",INDEX(SPOT_Import!$A$1:$Z$2488,982,'Live Data'!$C$19)),"")</f>
        <v>6</v>
      </c>
      <c r="I982" s="54" t="str">
        <f>IFERROR(IF(INDEX(SPOT_Import!$A$1:$Z$2488,982,'Live Data'!$C$20)="","",INDEX(SPOT_Import!$A$1:$Z$2488,982,'Live Data'!$C$20)),"")</f>
        <v>Complete</v>
      </c>
      <c r="J982" s="54" t="str">
        <f>IFERROR(IF(INDEX(SPOT_Import!$A$1:$Z$2488,982,'Live Data'!$C$21)="","",INDEX(SPOT_Import!$A$1:$Z$2488,982,'Live Data'!$C$21)),"")</f>
        <v>2026-09-09T12:45:21.000Z</v>
      </c>
      <c r="K982" s="54" t="str">
        <f>IFERROR(IF(INDEX(SPOT_Import!$A$1:$Z$2488,982,'Live Data'!$C$22)="","",INDEX(SPOT_Import!$A$1:$Z$2488,982,'Live Data'!$C$22)),"")</f>
        <v>2026-09-09T12:45:21.000Z</v>
      </c>
      <c r="L982" s="55" t="str">
        <f t="shared" si="30"/>
        <v>2026-09</v>
      </c>
      <c r="M982" s="55" t="str">
        <f t="shared" si="31"/>
        <v>MAKUENI</v>
      </c>
      <c r="N982" s="55" t="str">
        <f>IF(A982="","",IFERROR(INDEX('Cluster Map'!$A$4:$A$38,MATCH(M982,'Cluster Map'!$B$4:$B$38,0)),"Unmapped"))</f>
        <v>Cluster 5</v>
      </c>
      <c r="O982" s="55">
        <f>IF(A982="",0,IF(COUNTIFS($A$2:A982,A982,$F$2:F982,F982,$L$2:L982,L982)=1,1,0))</f>
        <v>1</v>
      </c>
      <c r="P982" s="55">
        <f>IF(A982="",0,IF(AND(F982="C&amp;T",COUNTIFS($A$2:A982,A982,$F$2:F982,"C&amp;T")=1),1,0))</f>
        <v>0</v>
      </c>
    </row>
    <row r="983" spans="1:16" x14ac:dyDescent="0.35">
      <c r="A983" s="54">
        <f>IFERROR(IF(INDEX(SPOT_Import!$A$1:$Z$2488,983,'Live Data'!$C$12)="","",INDEX(SPOT_Import!$A$1:$Z$2488,983,'Live Data'!$C$12)),"")</f>
        <v>12213</v>
      </c>
      <c r="B983" s="54" t="str">
        <f>IFERROR(IF(INDEX(SPOT_Import!$A$1:$Z$2488,983,'Live Data'!$C$13)="","",INDEX(SPOT_Import!$A$1:$Z$2488,983,'Live Data'!$C$13)),"")</f>
        <v>Katakani Dispensary</v>
      </c>
      <c r="C983" s="54" t="str">
        <f>IFERROR(IF(INDEX(SPOT_Import!$A$1:$Z$2488,983,'Live Data'!$C$14)="","",INDEX(SPOT_Import!$A$1:$Z$2488,983,'Live Data'!$C$14)),"")</f>
        <v>KITUI</v>
      </c>
      <c r="D983" s="54" t="str">
        <f>IFERROR(IF(INDEX(SPOT_Import!$A$1:$Z$2488,983,'Live Data'!$C$15)="","",INDEX(SPOT_Import!$A$1:$Z$2488,983,'Live Data'!$C$15)),"")</f>
        <v>Mwingi North</v>
      </c>
      <c r="E983" s="54" t="str">
        <f>IFERROR(IF(INDEX(SPOT_Import!$A$1:$Z$2488,983,'Live Data'!$C$16)="","",INDEX(SPOT_Import!$A$1:$Z$2488,983,'Live Data'!$C$16)),"")</f>
        <v>CHAK CHAP STAWISHA</v>
      </c>
      <c r="F983" s="54" t="str">
        <f>IFERROR(IF(INDEX(SPOT_Import!$A$1:$Z$2488,983,'Live Data'!$C$17)="","",INDEX(SPOT_Import!$A$1:$Z$2488,983,'Live Data'!$C$17)),"")</f>
        <v>MNCH</v>
      </c>
      <c r="G983" s="54">
        <f>IFERROR(IF(INDEX(SPOT_Import!$A$1:$Z$2488,983,'Live Data'!$C$18)="","",INDEX(SPOT_Import!$A$1:$Z$2488,983,'Live Data'!$C$18)),"")</f>
        <v>3</v>
      </c>
      <c r="H983" s="54">
        <f>IFERROR(IF(INDEX(SPOT_Import!$A$1:$Z$2488,983,'Live Data'!$C$19)="","",INDEX(SPOT_Import!$A$1:$Z$2488,983,'Live Data'!$C$19)),"")</f>
        <v>3</v>
      </c>
      <c r="I983" s="54" t="str">
        <f>IFERROR(IF(INDEX(SPOT_Import!$A$1:$Z$2488,983,'Live Data'!$C$20)="","",INDEX(SPOT_Import!$A$1:$Z$2488,983,'Live Data'!$C$20)),"")</f>
        <v>Complete</v>
      </c>
      <c r="J983" s="54" t="str">
        <f>IFERROR(IF(INDEX(SPOT_Import!$A$1:$Z$2488,983,'Live Data'!$C$21)="","",INDEX(SPOT_Import!$A$1:$Z$2488,983,'Live Data'!$C$21)),"")</f>
        <v>2026-09-07T13:17:09.000Z</v>
      </c>
      <c r="K983" s="54" t="str">
        <f>IFERROR(IF(INDEX(SPOT_Import!$A$1:$Z$2488,983,'Live Data'!$C$22)="","",INDEX(SPOT_Import!$A$1:$Z$2488,983,'Live Data'!$C$22)),"")</f>
        <v>2026-09-07T13:17:09.000Z</v>
      </c>
      <c r="L983" s="55" t="str">
        <f t="shared" si="30"/>
        <v>2026-09</v>
      </c>
      <c r="M983" s="55" t="str">
        <f t="shared" si="31"/>
        <v>KITUI</v>
      </c>
      <c r="N983" s="55" t="str">
        <f>IF(A983="","",IFERROR(INDEX('Cluster Map'!$A$4:$A$38,MATCH(M983,'Cluster Map'!$B$4:$B$38,0)),"Unmapped"))</f>
        <v>Cluster 5</v>
      </c>
      <c r="O983" s="55">
        <f>IF(A983="",0,IF(COUNTIFS($A$2:A983,A983,$F$2:F983,F983,$L$2:L983,L983)=1,1,0))</f>
        <v>1</v>
      </c>
      <c r="P983" s="55">
        <f>IF(A983="",0,IF(AND(F983="C&amp;T",COUNTIFS($A$2:A983,A983,$F$2:F983,"C&amp;T")=1),1,0))</f>
        <v>0</v>
      </c>
    </row>
    <row r="984" spans="1:16" x14ac:dyDescent="0.35">
      <c r="A984" s="54">
        <f>IFERROR(IF(INDEX(SPOT_Import!$A$1:$Z$2488,984,'Live Data'!$C$12)="","",INDEX(SPOT_Import!$A$1:$Z$2488,984,'Live Data'!$C$12)),"")</f>
        <v>16995</v>
      </c>
      <c r="B984" s="54" t="str">
        <f>IFERROR(IF(INDEX(SPOT_Import!$A$1:$Z$2488,984,'Live Data'!$C$13)="","",INDEX(SPOT_Import!$A$1:$Z$2488,984,'Live Data'!$C$13)),"")</f>
        <v>St Joseph Kavisuni Health Centre</v>
      </c>
      <c r="C984" s="54" t="str">
        <f>IFERROR(IF(INDEX(SPOT_Import!$A$1:$Z$2488,984,'Live Data'!$C$14)="","",INDEX(SPOT_Import!$A$1:$Z$2488,984,'Live Data'!$C$14)),"")</f>
        <v>KITUI</v>
      </c>
      <c r="D984" s="54" t="str">
        <f>IFERROR(IF(INDEX(SPOT_Import!$A$1:$Z$2488,984,'Live Data'!$C$15)="","",INDEX(SPOT_Import!$A$1:$Z$2488,984,'Live Data'!$C$15)),"")</f>
        <v>Kitui Rural</v>
      </c>
      <c r="E984" s="54" t="str">
        <f>IFERROR(IF(INDEX(SPOT_Import!$A$1:$Z$2488,984,'Live Data'!$C$16)="","",INDEX(SPOT_Import!$A$1:$Z$2488,984,'Live Data'!$C$16)),"")</f>
        <v>CHAK CHAP STAWISHA</v>
      </c>
      <c r="F984" s="54" t="str">
        <f>IFERROR(IF(INDEX(SPOT_Import!$A$1:$Z$2488,984,'Live Data'!$C$17)="","",INDEX(SPOT_Import!$A$1:$Z$2488,984,'Live Data'!$C$17)),"")</f>
        <v>PREP</v>
      </c>
      <c r="G984" s="54">
        <f>IFERROR(IF(INDEX(SPOT_Import!$A$1:$Z$2488,984,'Live Data'!$C$18)="","",INDEX(SPOT_Import!$A$1:$Z$2488,984,'Live Data'!$C$18)),"")</f>
        <v>44</v>
      </c>
      <c r="H984" s="54">
        <f>IFERROR(IF(INDEX(SPOT_Import!$A$1:$Z$2488,984,'Live Data'!$C$19)="","",INDEX(SPOT_Import!$A$1:$Z$2488,984,'Live Data'!$C$19)),"")</f>
        <v>44</v>
      </c>
      <c r="I984" s="54" t="str">
        <f>IFERROR(IF(INDEX(SPOT_Import!$A$1:$Z$2488,984,'Live Data'!$C$20)="","",INDEX(SPOT_Import!$A$1:$Z$2488,984,'Live Data'!$C$20)),"")</f>
        <v>Complete</v>
      </c>
      <c r="J984" s="54" t="str">
        <f>IFERROR(IF(INDEX(SPOT_Import!$A$1:$Z$2488,984,'Live Data'!$C$21)="","",INDEX(SPOT_Import!$A$1:$Z$2488,984,'Live Data'!$C$21)),"")</f>
        <v>2026-09-04T11:14:02.000Z</v>
      </c>
      <c r="K984" s="54" t="str">
        <f>IFERROR(IF(INDEX(SPOT_Import!$A$1:$Z$2488,984,'Live Data'!$C$22)="","",INDEX(SPOT_Import!$A$1:$Z$2488,984,'Live Data'!$C$22)),"")</f>
        <v>2026-09-04T11:14:02.000Z</v>
      </c>
      <c r="L984" s="55" t="str">
        <f t="shared" si="30"/>
        <v>2026-09</v>
      </c>
      <c r="M984" s="55" t="str">
        <f t="shared" si="31"/>
        <v>KITUI</v>
      </c>
      <c r="N984" s="55" t="str">
        <f>IF(A984="","",IFERROR(INDEX('Cluster Map'!$A$4:$A$38,MATCH(M984,'Cluster Map'!$B$4:$B$38,0)),"Unmapped"))</f>
        <v>Cluster 5</v>
      </c>
      <c r="O984" s="55">
        <f>IF(A984="",0,IF(COUNTIFS($A$2:A984,A984,$F$2:F984,F984,$L$2:L984,L984)=1,1,0))</f>
        <v>1</v>
      </c>
      <c r="P984" s="55">
        <f>IF(A984="",0,IF(AND(F984="C&amp;T",COUNTIFS($A$2:A984,A984,$F$2:F984,"C&amp;T")=1),1,0))</f>
        <v>0</v>
      </c>
    </row>
    <row r="985" spans="1:16" x14ac:dyDescent="0.35">
      <c r="A985" s="54">
        <f>IFERROR(IF(INDEX(SPOT_Import!$A$1:$Z$2488,985,'Live Data'!$C$12)="","",INDEX(SPOT_Import!$A$1:$Z$2488,985,'Live Data'!$C$12)),"")</f>
        <v>16995</v>
      </c>
      <c r="B985" s="54" t="str">
        <f>IFERROR(IF(INDEX(SPOT_Import!$A$1:$Z$2488,985,'Live Data'!$C$13)="","",INDEX(SPOT_Import!$A$1:$Z$2488,985,'Live Data'!$C$13)),"")</f>
        <v>St Joseph Kavisuni Health Centre</v>
      </c>
      <c r="C985" s="54" t="str">
        <f>IFERROR(IF(INDEX(SPOT_Import!$A$1:$Z$2488,985,'Live Data'!$C$14)="","",INDEX(SPOT_Import!$A$1:$Z$2488,985,'Live Data'!$C$14)),"")</f>
        <v>KITUI</v>
      </c>
      <c r="D985" s="54" t="str">
        <f>IFERROR(IF(INDEX(SPOT_Import!$A$1:$Z$2488,985,'Live Data'!$C$15)="","",INDEX(SPOT_Import!$A$1:$Z$2488,985,'Live Data'!$C$15)),"")</f>
        <v>Kitui Rural</v>
      </c>
      <c r="E985" s="54" t="str">
        <f>IFERROR(IF(INDEX(SPOT_Import!$A$1:$Z$2488,985,'Live Data'!$C$16)="","",INDEX(SPOT_Import!$A$1:$Z$2488,985,'Live Data'!$C$16)),"")</f>
        <v>CHAK CHAP STAWISHA</v>
      </c>
      <c r="F985" s="54" t="str">
        <f>IFERROR(IF(INDEX(SPOT_Import!$A$1:$Z$2488,985,'Live Data'!$C$17)="","",INDEX(SPOT_Import!$A$1:$Z$2488,985,'Live Data'!$C$17)),"")</f>
        <v>MNCH</v>
      </c>
      <c r="G985" s="54">
        <f>IFERROR(IF(INDEX(SPOT_Import!$A$1:$Z$2488,985,'Live Data'!$C$18)="","",INDEX(SPOT_Import!$A$1:$Z$2488,985,'Live Data'!$C$18)),"")</f>
        <v>102</v>
      </c>
      <c r="H985" s="54">
        <f>IFERROR(IF(INDEX(SPOT_Import!$A$1:$Z$2488,985,'Live Data'!$C$19)="","",INDEX(SPOT_Import!$A$1:$Z$2488,985,'Live Data'!$C$19)),"")</f>
        <v>102</v>
      </c>
      <c r="I985" s="54" t="str">
        <f>IFERROR(IF(INDEX(SPOT_Import!$A$1:$Z$2488,985,'Live Data'!$C$20)="","",INDEX(SPOT_Import!$A$1:$Z$2488,985,'Live Data'!$C$20)),"")</f>
        <v>Complete</v>
      </c>
      <c r="J985" s="54" t="str">
        <f>IFERROR(IF(INDEX(SPOT_Import!$A$1:$Z$2488,985,'Live Data'!$C$21)="","",INDEX(SPOT_Import!$A$1:$Z$2488,985,'Live Data'!$C$21)),"")</f>
        <v>2026-09-04T11:13:06.000Z</v>
      </c>
      <c r="K985" s="54" t="str">
        <f>IFERROR(IF(INDEX(SPOT_Import!$A$1:$Z$2488,985,'Live Data'!$C$22)="","",INDEX(SPOT_Import!$A$1:$Z$2488,985,'Live Data'!$C$22)),"")</f>
        <v>2026-09-04T11:13:06.000Z</v>
      </c>
      <c r="L985" s="55" t="str">
        <f t="shared" si="30"/>
        <v>2026-09</v>
      </c>
      <c r="M985" s="55" t="str">
        <f t="shared" si="31"/>
        <v>KITUI</v>
      </c>
      <c r="N985" s="55" t="str">
        <f>IF(A985="","",IFERROR(INDEX('Cluster Map'!$A$4:$A$38,MATCH(M985,'Cluster Map'!$B$4:$B$38,0)),"Unmapped"))</f>
        <v>Cluster 5</v>
      </c>
      <c r="O985" s="55">
        <f>IF(A985="",0,IF(COUNTIFS($A$2:A985,A985,$F$2:F985,F985,$L$2:L985,L985)=1,1,0))</f>
        <v>1</v>
      </c>
      <c r="P985" s="55">
        <f>IF(A985="",0,IF(AND(F985="C&amp;T",COUNTIFS($A$2:A985,A985,$F$2:F985,"C&amp;T")=1),1,0))</f>
        <v>0</v>
      </c>
    </row>
    <row r="986" spans="1:16" x14ac:dyDescent="0.35">
      <c r="A986" s="54">
        <f>IFERROR(IF(INDEX(SPOT_Import!$A$1:$Z$2488,986,'Live Data'!$C$12)="","",INDEX(SPOT_Import!$A$1:$Z$2488,986,'Live Data'!$C$12)),"")</f>
        <v>12569</v>
      </c>
      <c r="B986" s="54" t="str">
        <f>IFERROR(IF(INDEX(SPOT_Import!$A$1:$Z$2488,986,'Live Data'!$C$13)="","",INDEX(SPOT_Import!$A$1:$Z$2488,986,'Live Data'!$C$13)),"")</f>
        <v>Mulutu Mission Dispensary</v>
      </c>
      <c r="C986" s="54" t="str">
        <f>IFERROR(IF(INDEX(SPOT_Import!$A$1:$Z$2488,986,'Live Data'!$C$14)="","",INDEX(SPOT_Import!$A$1:$Z$2488,986,'Live Data'!$C$14)),"")</f>
        <v>KITUI</v>
      </c>
      <c r="D986" s="54" t="str">
        <f>IFERROR(IF(INDEX(SPOT_Import!$A$1:$Z$2488,986,'Live Data'!$C$15)="","",INDEX(SPOT_Import!$A$1:$Z$2488,986,'Live Data'!$C$15)),"")</f>
        <v>Kitui Central</v>
      </c>
      <c r="E986" s="54" t="str">
        <f>IFERROR(IF(INDEX(SPOT_Import!$A$1:$Z$2488,986,'Live Data'!$C$16)="","",INDEX(SPOT_Import!$A$1:$Z$2488,986,'Live Data'!$C$16)),"")</f>
        <v>CHAK CHAP STAWISHA</v>
      </c>
      <c r="F986" s="54" t="str">
        <f>IFERROR(IF(INDEX(SPOT_Import!$A$1:$Z$2488,986,'Live Data'!$C$17)="","",INDEX(SPOT_Import!$A$1:$Z$2488,986,'Live Data'!$C$17)),"")</f>
        <v>MNCH</v>
      </c>
      <c r="G986" s="54">
        <f>IFERROR(IF(INDEX(SPOT_Import!$A$1:$Z$2488,986,'Live Data'!$C$18)="","",INDEX(SPOT_Import!$A$1:$Z$2488,986,'Live Data'!$C$18)),"")</f>
        <v>555</v>
      </c>
      <c r="H986" s="54">
        <f>IFERROR(IF(INDEX(SPOT_Import!$A$1:$Z$2488,986,'Live Data'!$C$19)="","",INDEX(SPOT_Import!$A$1:$Z$2488,986,'Live Data'!$C$19)),"")</f>
        <v>555</v>
      </c>
      <c r="I986" s="54" t="str">
        <f>IFERROR(IF(INDEX(SPOT_Import!$A$1:$Z$2488,986,'Live Data'!$C$20)="","",INDEX(SPOT_Import!$A$1:$Z$2488,986,'Live Data'!$C$20)),"")</f>
        <v>Complete</v>
      </c>
      <c r="J986" s="54" t="str">
        <f>IFERROR(IF(INDEX(SPOT_Import!$A$1:$Z$2488,986,'Live Data'!$C$21)="","",INDEX(SPOT_Import!$A$1:$Z$2488,986,'Live Data'!$C$21)),"")</f>
        <v>2026-09-04T08:27:35.000Z</v>
      </c>
      <c r="K986" s="54" t="str">
        <f>IFERROR(IF(INDEX(SPOT_Import!$A$1:$Z$2488,986,'Live Data'!$C$22)="","",INDEX(SPOT_Import!$A$1:$Z$2488,986,'Live Data'!$C$22)),"")</f>
        <v>2026-09-04T08:27:35.000Z</v>
      </c>
      <c r="L986" s="55" t="str">
        <f t="shared" si="30"/>
        <v>2026-09</v>
      </c>
      <c r="M986" s="55" t="str">
        <f t="shared" si="31"/>
        <v>KITUI</v>
      </c>
      <c r="N986" s="55" t="str">
        <f>IF(A986="","",IFERROR(INDEX('Cluster Map'!$A$4:$A$38,MATCH(M986,'Cluster Map'!$B$4:$B$38,0)),"Unmapped"))</f>
        <v>Cluster 5</v>
      </c>
      <c r="O986" s="55">
        <f>IF(A986="",0,IF(COUNTIFS($A$2:A986,A986,$F$2:F986,F986,$L$2:L986,L986)=1,1,0))</f>
        <v>1</v>
      </c>
      <c r="P986" s="55">
        <f>IF(A986="",0,IF(AND(F986="C&amp;T",COUNTIFS($A$2:A986,A986,$F$2:F986,"C&amp;T")=1),1,0))</f>
        <v>0</v>
      </c>
    </row>
    <row r="987" spans="1:16" x14ac:dyDescent="0.35">
      <c r="A987" s="54">
        <f>IFERROR(IF(INDEX(SPOT_Import!$A$1:$Z$2488,987,'Live Data'!$C$12)="","",INDEX(SPOT_Import!$A$1:$Z$2488,987,'Live Data'!$C$12)),"")</f>
        <v>15702</v>
      </c>
      <c r="B987" s="54" t="str">
        <f>IFERROR(IF(INDEX(SPOT_Import!$A$1:$Z$2488,987,'Live Data'!$C$13)="","",INDEX(SPOT_Import!$A$1:$Z$2488,987,'Live Data'!$C$13)),"")</f>
        <v>Talek Health Centre</v>
      </c>
      <c r="C987" s="54" t="str">
        <f>IFERROR(IF(INDEX(SPOT_Import!$A$1:$Z$2488,987,'Live Data'!$C$14)="","",INDEX(SPOT_Import!$A$1:$Z$2488,987,'Live Data'!$C$14)),"")</f>
        <v>NAROK</v>
      </c>
      <c r="D987" s="54" t="str">
        <f>IFERROR(IF(INDEX(SPOT_Import!$A$1:$Z$2488,987,'Live Data'!$C$15)="","",INDEX(SPOT_Import!$A$1:$Z$2488,987,'Live Data'!$C$15)),"")</f>
        <v>Narok West</v>
      </c>
      <c r="E987" s="54" t="str">
        <f>IFERROR(IF(INDEX(SPOT_Import!$A$1:$Z$2488,987,'Live Data'!$C$16)="","",INDEX(SPOT_Import!$A$1:$Z$2488,987,'Live Data'!$C$16)),"")</f>
        <v>CHAK CHAP STAWISHA</v>
      </c>
      <c r="F987" s="54" t="str">
        <f>IFERROR(IF(INDEX(SPOT_Import!$A$1:$Z$2488,987,'Live Data'!$C$17)="","",INDEX(SPOT_Import!$A$1:$Z$2488,987,'Live Data'!$C$17)),"")</f>
        <v>MNCH</v>
      </c>
      <c r="G987" s="54">
        <f>IFERROR(IF(INDEX(SPOT_Import!$A$1:$Z$2488,987,'Live Data'!$C$18)="","",INDEX(SPOT_Import!$A$1:$Z$2488,987,'Live Data'!$C$18)),"")</f>
        <v>135</v>
      </c>
      <c r="H987" s="54">
        <f>IFERROR(IF(INDEX(SPOT_Import!$A$1:$Z$2488,987,'Live Data'!$C$19)="","",INDEX(SPOT_Import!$A$1:$Z$2488,987,'Live Data'!$C$19)),"")</f>
        <v>135</v>
      </c>
      <c r="I987" s="54" t="str">
        <f>IFERROR(IF(INDEX(SPOT_Import!$A$1:$Z$2488,987,'Live Data'!$C$20)="","",INDEX(SPOT_Import!$A$1:$Z$2488,987,'Live Data'!$C$20)),"")</f>
        <v>Complete</v>
      </c>
      <c r="J987" s="54" t="str">
        <f>IFERROR(IF(INDEX(SPOT_Import!$A$1:$Z$2488,987,'Live Data'!$C$21)="","",INDEX(SPOT_Import!$A$1:$Z$2488,987,'Live Data'!$C$21)),"")</f>
        <v>2026-09-03T07:48:40.000Z</v>
      </c>
      <c r="K987" s="54" t="str">
        <f>IFERROR(IF(INDEX(SPOT_Import!$A$1:$Z$2488,987,'Live Data'!$C$22)="","",INDEX(SPOT_Import!$A$1:$Z$2488,987,'Live Data'!$C$22)),"")</f>
        <v>2026-09-03T07:48:40.000Z</v>
      </c>
      <c r="L987" s="55" t="str">
        <f t="shared" si="30"/>
        <v>2026-09</v>
      </c>
      <c r="M987" s="55" t="str">
        <f t="shared" si="31"/>
        <v>NAROK</v>
      </c>
      <c r="N987" s="55" t="str">
        <f>IF(A987="","",IFERROR(INDEX('Cluster Map'!$A$4:$A$38,MATCH(M987,'Cluster Map'!$B$4:$B$38,0)),"Unmapped"))</f>
        <v>Cluster 4</v>
      </c>
      <c r="O987" s="55">
        <f>IF(A987="",0,IF(COUNTIFS($A$2:A987,A987,$F$2:F987,F987,$L$2:L987,L987)=1,1,0))</f>
        <v>1</v>
      </c>
      <c r="P987" s="55">
        <f>IF(A987="",0,IF(AND(F987="C&amp;T",COUNTIFS($A$2:A987,A987,$F$2:F987,"C&amp;T")=1),1,0))</f>
        <v>0</v>
      </c>
    </row>
    <row r="988" spans="1:16" x14ac:dyDescent="0.35">
      <c r="A988" s="54">
        <f>IFERROR(IF(INDEX(SPOT_Import!$A$1:$Z$2488,988,'Live Data'!$C$12)="","",INDEX(SPOT_Import!$A$1:$Z$2488,988,'Live Data'!$C$12)),"")</f>
        <v>10988</v>
      </c>
      <c r="B988" s="54" t="str">
        <f>IFERROR(IF(INDEX(SPOT_Import!$A$1:$Z$2488,988,'Live Data'!$C$13)="","",INDEX(SPOT_Import!$A$1:$Z$2488,988,'Live Data'!$C$13)),"")</f>
        <v>Sacred Heart Dispensary</v>
      </c>
      <c r="C988" s="54" t="str">
        <f>IFERROR(IF(INDEX(SPOT_Import!$A$1:$Z$2488,988,'Live Data'!$C$14)="","",INDEX(SPOT_Import!$A$1:$Z$2488,988,'Live Data'!$C$14)),"")</f>
        <v>KIAMBU</v>
      </c>
      <c r="D988" s="54" t="str">
        <f>IFERROR(IF(INDEX(SPOT_Import!$A$1:$Z$2488,988,'Live Data'!$C$15)="","",INDEX(SPOT_Import!$A$1:$Z$2488,988,'Live Data'!$C$15)),"")</f>
        <v>Kiambaa</v>
      </c>
      <c r="E988" s="54" t="str">
        <f>IFERROR(IF(INDEX(SPOT_Import!$A$1:$Z$2488,988,'Live Data'!$C$16)="","",INDEX(SPOT_Import!$A$1:$Z$2488,988,'Live Data'!$C$16)),"")</f>
        <v>CHAK CHAP STAWISHA</v>
      </c>
      <c r="F988" s="54" t="str">
        <f>IFERROR(IF(INDEX(SPOT_Import!$A$1:$Z$2488,988,'Live Data'!$C$17)="","",INDEX(SPOT_Import!$A$1:$Z$2488,988,'Live Data'!$C$17)),"")</f>
        <v>HTS</v>
      </c>
      <c r="G988" s="54">
        <f>IFERROR(IF(INDEX(SPOT_Import!$A$1:$Z$2488,988,'Live Data'!$C$18)="","",INDEX(SPOT_Import!$A$1:$Z$2488,988,'Live Data'!$C$18)),"")</f>
        <v>8550</v>
      </c>
      <c r="H988" s="54">
        <f>IFERROR(IF(INDEX(SPOT_Import!$A$1:$Z$2488,988,'Live Data'!$C$19)="","",INDEX(SPOT_Import!$A$1:$Z$2488,988,'Live Data'!$C$19)),"")</f>
        <v>8550</v>
      </c>
      <c r="I988" s="54" t="str">
        <f>IFERROR(IF(INDEX(SPOT_Import!$A$1:$Z$2488,988,'Live Data'!$C$20)="","",INDEX(SPOT_Import!$A$1:$Z$2488,988,'Live Data'!$C$20)),"")</f>
        <v>Complete</v>
      </c>
      <c r="J988" s="54" t="str">
        <f>IFERROR(IF(INDEX(SPOT_Import!$A$1:$Z$2488,988,'Live Data'!$C$21)="","",INDEX(SPOT_Import!$A$1:$Z$2488,988,'Live Data'!$C$21)),"")</f>
        <v>2026-09-01T10:23:17.000Z</v>
      </c>
      <c r="K988" s="54" t="str">
        <f>IFERROR(IF(INDEX(SPOT_Import!$A$1:$Z$2488,988,'Live Data'!$C$22)="","",INDEX(SPOT_Import!$A$1:$Z$2488,988,'Live Data'!$C$22)),"")</f>
        <v>2026-09-01T10:23:17.000Z</v>
      </c>
      <c r="L988" s="55" t="str">
        <f t="shared" si="30"/>
        <v>2026-09</v>
      </c>
      <c r="M988" s="55" t="str">
        <f t="shared" si="31"/>
        <v>KIAMBU</v>
      </c>
      <c r="N988" s="55" t="str">
        <f>IF(A988="","",IFERROR(INDEX('Cluster Map'!$A$4:$A$38,MATCH(M988,'Cluster Map'!$B$4:$B$38,0)),"Unmapped"))</f>
        <v>Cluster 3</v>
      </c>
      <c r="O988" s="55">
        <f>IF(A988="",0,IF(COUNTIFS($A$2:A988,A988,$F$2:F988,F988,$L$2:L988,L988)=1,1,0))</f>
        <v>1</v>
      </c>
      <c r="P988" s="55">
        <f>IF(A988="",0,IF(AND(F988="C&amp;T",COUNTIFS($A$2:A988,A988,$F$2:F988,"C&amp;T")=1),1,0))</f>
        <v>0</v>
      </c>
    </row>
    <row r="989" spans="1:16" x14ac:dyDescent="0.35">
      <c r="A989" s="54">
        <f>IFERROR(IF(INDEX(SPOT_Import!$A$1:$Z$2488,989,'Live Data'!$C$12)="","",INDEX(SPOT_Import!$A$1:$Z$2488,989,'Live Data'!$C$12)),"")</f>
        <v>10825</v>
      </c>
      <c r="B989" s="54" t="str">
        <f>IFERROR(IF(INDEX(SPOT_Import!$A$1:$Z$2488,989,'Live Data'!$C$13)="","",INDEX(SPOT_Import!$A$1:$Z$2488,989,'Live Data'!$C$13)),"")</f>
        <v>Nazareth Hospital</v>
      </c>
      <c r="C989" s="54" t="str">
        <f>IFERROR(IF(INDEX(SPOT_Import!$A$1:$Z$2488,989,'Live Data'!$C$14)="","",INDEX(SPOT_Import!$A$1:$Z$2488,989,'Live Data'!$C$14)),"")</f>
        <v>KIAMBU</v>
      </c>
      <c r="D989" s="54" t="str">
        <f>IFERROR(IF(INDEX(SPOT_Import!$A$1:$Z$2488,989,'Live Data'!$C$15)="","",INDEX(SPOT_Import!$A$1:$Z$2488,989,'Live Data'!$C$15)),"")</f>
        <v>Limuru</v>
      </c>
      <c r="E989" s="54" t="str">
        <f>IFERROR(IF(INDEX(SPOT_Import!$A$1:$Z$2488,989,'Live Data'!$C$16)="","",INDEX(SPOT_Import!$A$1:$Z$2488,989,'Live Data'!$C$16)),"")</f>
        <v>CHAK CHAP STAWISHA</v>
      </c>
      <c r="F989" s="54" t="str">
        <f>IFERROR(IF(INDEX(SPOT_Import!$A$1:$Z$2488,989,'Live Data'!$C$17)="","",INDEX(SPOT_Import!$A$1:$Z$2488,989,'Live Data'!$C$17)),"")</f>
        <v>MNCH</v>
      </c>
      <c r="G989" s="54">
        <f>IFERROR(IF(INDEX(SPOT_Import!$A$1:$Z$2488,989,'Live Data'!$C$18)="","",INDEX(SPOT_Import!$A$1:$Z$2488,989,'Live Data'!$C$18)),"")</f>
        <v>1167</v>
      </c>
      <c r="H989" s="54" t="str">
        <f>IFERROR(IF(INDEX(SPOT_Import!$A$1:$Z$2488,989,'Live Data'!$C$19)="","",INDEX(SPOT_Import!$A$1:$Z$2488,989,'Live Data'!$C$19)),"")</f>
        <v/>
      </c>
      <c r="I989" s="54" t="str">
        <f>IFERROR(IF(INDEX(SPOT_Import!$A$1:$Z$2488,989,'Live Data'!$C$20)="","",INDEX(SPOT_Import!$A$1:$Z$2488,989,'Live Data'!$C$20)),"")</f>
        <v>Complete</v>
      </c>
      <c r="J989" s="54" t="str">
        <f>IFERROR(IF(INDEX(SPOT_Import!$A$1:$Z$2488,989,'Live Data'!$C$21)="","",INDEX(SPOT_Import!$A$1:$Z$2488,989,'Live Data'!$C$21)),"")</f>
        <v>2026-09-01T08:54:05.000Z</v>
      </c>
      <c r="K989" s="54" t="str">
        <f>IFERROR(IF(INDEX(SPOT_Import!$A$1:$Z$2488,989,'Live Data'!$C$22)="","",INDEX(SPOT_Import!$A$1:$Z$2488,989,'Live Data'!$C$22)),"")</f>
        <v>2026-09-01T08:54:05.000Z</v>
      </c>
      <c r="L989" s="55" t="str">
        <f t="shared" si="30"/>
        <v>2026-09</v>
      </c>
      <c r="M989" s="55" t="str">
        <f t="shared" si="31"/>
        <v>KIAMBU</v>
      </c>
      <c r="N989" s="55" t="str">
        <f>IF(A989="","",IFERROR(INDEX('Cluster Map'!$A$4:$A$38,MATCH(M989,'Cluster Map'!$B$4:$B$38,0)),"Unmapped"))</f>
        <v>Cluster 3</v>
      </c>
      <c r="O989" s="55">
        <f>IF(A989="",0,IF(COUNTIFS($A$2:A989,A989,$F$2:F989,F989,$L$2:L989,L989)=1,1,0))</f>
        <v>1</v>
      </c>
      <c r="P989" s="55">
        <f>IF(A989="",0,IF(AND(F989="C&amp;T",COUNTIFS($A$2:A989,A989,$F$2:F989,"C&amp;T")=1),1,0))</f>
        <v>0</v>
      </c>
    </row>
    <row r="990" spans="1:16" x14ac:dyDescent="0.35">
      <c r="A990" s="54">
        <f>IFERROR(IF(INDEX(SPOT_Import!$A$1:$Z$2488,990,'Live Data'!$C$12)="","",INDEX(SPOT_Import!$A$1:$Z$2488,990,'Live Data'!$C$12)),"")</f>
        <v>12205</v>
      </c>
      <c r="B990" s="54" t="str">
        <f>IFERROR(IF(INDEX(SPOT_Import!$A$1:$Z$2488,990,'Live Data'!$C$13)="","",INDEX(SPOT_Import!$A$1:$Z$2488,990,'Live Data'!$C$13)),"")</f>
        <v>PCEA Kasasule Dispensary</v>
      </c>
      <c r="C990" s="54" t="str">
        <f>IFERROR(IF(INDEX(SPOT_Import!$A$1:$Z$2488,990,'Live Data'!$C$14)="","",INDEX(SPOT_Import!$A$1:$Z$2488,990,'Live Data'!$C$14)),"")</f>
        <v>MAKUENI</v>
      </c>
      <c r="D990" s="54" t="str">
        <f>IFERROR(IF(INDEX(SPOT_Import!$A$1:$Z$2488,990,'Live Data'!$C$15)="","",INDEX(SPOT_Import!$A$1:$Z$2488,990,'Live Data'!$C$15)),"")</f>
        <v>Kibwezi East</v>
      </c>
      <c r="E990" s="54" t="str">
        <f>IFERROR(IF(INDEX(SPOT_Import!$A$1:$Z$2488,990,'Live Data'!$C$16)="","",INDEX(SPOT_Import!$A$1:$Z$2488,990,'Live Data'!$C$16)),"")</f>
        <v>CHAK CHAP STAWISHA</v>
      </c>
      <c r="F990" s="54" t="str">
        <f>IFERROR(IF(INDEX(SPOT_Import!$A$1:$Z$2488,990,'Live Data'!$C$17)="","",INDEX(SPOT_Import!$A$1:$Z$2488,990,'Live Data'!$C$17)),"")</f>
        <v>HTS</v>
      </c>
      <c r="G990" s="54">
        <f>IFERROR(IF(INDEX(SPOT_Import!$A$1:$Z$2488,990,'Live Data'!$C$18)="","",INDEX(SPOT_Import!$A$1:$Z$2488,990,'Live Data'!$C$18)),"")</f>
        <v>2401</v>
      </c>
      <c r="H990" s="54">
        <f>IFERROR(IF(INDEX(SPOT_Import!$A$1:$Z$2488,990,'Live Data'!$C$19)="","",INDEX(SPOT_Import!$A$1:$Z$2488,990,'Live Data'!$C$19)),"")</f>
        <v>2437</v>
      </c>
      <c r="I990" s="54" t="str">
        <f>IFERROR(IF(INDEX(SPOT_Import!$A$1:$Z$2488,990,'Live Data'!$C$20)="","",INDEX(SPOT_Import!$A$1:$Z$2488,990,'Live Data'!$C$20)),"")</f>
        <v>Complete</v>
      </c>
      <c r="J990" s="54" t="str">
        <f>IFERROR(IF(INDEX(SPOT_Import!$A$1:$Z$2488,990,'Live Data'!$C$21)="","",INDEX(SPOT_Import!$A$1:$Z$2488,990,'Live Data'!$C$21)),"")</f>
        <v>2026-08-06T05:47:11.000Z</v>
      </c>
      <c r="K990" s="54" t="str">
        <f>IFERROR(IF(INDEX(SPOT_Import!$A$1:$Z$2488,990,'Live Data'!$C$22)="","",INDEX(SPOT_Import!$A$1:$Z$2488,990,'Live Data'!$C$22)),"")</f>
        <v>2026-08-06T05:47:11.000Z</v>
      </c>
      <c r="L990" s="55" t="str">
        <f t="shared" si="30"/>
        <v>2026-08</v>
      </c>
      <c r="M990" s="55" t="str">
        <f t="shared" si="31"/>
        <v>MAKUENI</v>
      </c>
      <c r="N990" s="55" t="str">
        <f>IF(A990="","",IFERROR(INDEX('Cluster Map'!$A$4:$A$38,MATCH(M990,'Cluster Map'!$B$4:$B$38,0)),"Unmapped"))</f>
        <v>Cluster 5</v>
      </c>
      <c r="O990" s="55">
        <f>IF(A990="",0,IF(COUNTIFS($A$2:A990,A990,$F$2:F990,F990,$L$2:L990,L990)=1,1,0))</f>
        <v>1</v>
      </c>
      <c r="P990" s="55">
        <f>IF(A990="",0,IF(AND(F990="C&amp;T",COUNTIFS($A$2:A990,A990,$F$2:F990,"C&amp;T")=1),1,0))</f>
        <v>0</v>
      </c>
    </row>
    <row r="991" spans="1:16" x14ac:dyDescent="0.35">
      <c r="A991" s="54">
        <f>IFERROR(IF(INDEX(SPOT_Import!$A$1:$Z$2488,991,'Live Data'!$C$12)="","",INDEX(SPOT_Import!$A$1:$Z$2488,991,'Live Data'!$C$12)),"")</f>
        <v>12566</v>
      </c>
      <c r="B991" s="54" t="str">
        <f>IFERROR(IF(INDEX(SPOT_Import!$A$1:$Z$2488,991,'Live Data'!$C$13)="","",INDEX(SPOT_Import!$A$1:$Z$2488,991,'Live Data'!$C$13)),"")</f>
        <v>Mulango (AIC) Health Centre</v>
      </c>
      <c r="C991" s="54" t="str">
        <f>IFERROR(IF(INDEX(SPOT_Import!$A$1:$Z$2488,991,'Live Data'!$C$14)="","",INDEX(SPOT_Import!$A$1:$Z$2488,991,'Live Data'!$C$14)),"")</f>
        <v>KITUI</v>
      </c>
      <c r="D991" s="54" t="str">
        <f>IFERROR(IF(INDEX(SPOT_Import!$A$1:$Z$2488,991,'Live Data'!$C$15)="","",INDEX(SPOT_Import!$A$1:$Z$2488,991,'Live Data'!$C$15)),"")</f>
        <v>Kitui Central</v>
      </c>
      <c r="E991" s="54" t="str">
        <f>IFERROR(IF(INDEX(SPOT_Import!$A$1:$Z$2488,991,'Live Data'!$C$16)="","",INDEX(SPOT_Import!$A$1:$Z$2488,991,'Live Data'!$C$16)),"")</f>
        <v>CHAK CHAP STAWISHA</v>
      </c>
      <c r="F991" s="54" t="str">
        <f>IFERROR(IF(INDEX(SPOT_Import!$A$1:$Z$2488,991,'Live Data'!$C$17)="","",INDEX(SPOT_Import!$A$1:$Z$2488,991,'Live Data'!$C$17)),"")</f>
        <v>MNCH</v>
      </c>
      <c r="G991" s="54">
        <f>IFERROR(IF(INDEX(SPOT_Import!$A$1:$Z$2488,991,'Live Data'!$C$18)="","",INDEX(SPOT_Import!$A$1:$Z$2488,991,'Live Data'!$C$18)),"")</f>
        <v>612</v>
      </c>
      <c r="H991" s="54">
        <f>IFERROR(IF(INDEX(SPOT_Import!$A$1:$Z$2488,991,'Live Data'!$C$19)="","",INDEX(SPOT_Import!$A$1:$Z$2488,991,'Live Data'!$C$19)),"")</f>
        <v>612</v>
      </c>
      <c r="I991" s="54" t="str">
        <f>IFERROR(IF(INDEX(SPOT_Import!$A$1:$Z$2488,991,'Live Data'!$C$20)="","",INDEX(SPOT_Import!$A$1:$Z$2488,991,'Live Data'!$C$20)),"")</f>
        <v>Complete</v>
      </c>
      <c r="J991" s="54" t="str">
        <f>IFERROR(IF(INDEX(SPOT_Import!$A$1:$Z$2488,991,'Live Data'!$C$21)="","",INDEX(SPOT_Import!$A$1:$Z$2488,991,'Live Data'!$C$21)),"")</f>
        <v>2026-08-04T10:30:45.000Z</v>
      </c>
      <c r="K991" s="54" t="str">
        <f>IFERROR(IF(INDEX(SPOT_Import!$A$1:$Z$2488,991,'Live Data'!$C$22)="","",INDEX(SPOT_Import!$A$1:$Z$2488,991,'Live Data'!$C$22)),"")</f>
        <v>2026-08-04T10:30:45.000Z</v>
      </c>
      <c r="L991" s="55" t="str">
        <f t="shared" si="30"/>
        <v>2026-08</v>
      </c>
      <c r="M991" s="55" t="str">
        <f t="shared" si="31"/>
        <v>KITUI</v>
      </c>
      <c r="N991" s="55" t="str">
        <f>IF(A991="","",IFERROR(INDEX('Cluster Map'!$A$4:$A$38,MATCH(M991,'Cluster Map'!$B$4:$B$38,0)),"Unmapped"))</f>
        <v>Cluster 5</v>
      </c>
      <c r="O991" s="55">
        <f>IF(A991="",0,IF(COUNTIFS($A$2:A991,A991,$F$2:F991,F991,$L$2:L991,L991)=1,1,0))</f>
        <v>1</v>
      </c>
      <c r="P991" s="55">
        <f>IF(A991="",0,IF(AND(F991="C&amp;T",COUNTIFS($A$2:A991,A991,$F$2:F991,"C&amp;T")=1),1,0))</f>
        <v>0</v>
      </c>
    </row>
    <row r="992" spans="1:16" x14ac:dyDescent="0.35">
      <c r="A992" s="54">
        <f>IFERROR(IF(INDEX(SPOT_Import!$A$1:$Z$2488,992,'Live Data'!$C$12)="","",INDEX(SPOT_Import!$A$1:$Z$2488,992,'Live Data'!$C$12)),"")</f>
        <v>12566</v>
      </c>
      <c r="B992" s="54" t="str">
        <f>IFERROR(IF(INDEX(SPOT_Import!$A$1:$Z$2488,992,'Live Data'!$C$13)="","",INDEX(SPOT_Import!$A$1:$Z$2488,992,'Live Data'!$C$13)),"")</f>
        <v>Mulango (AIC) Health Centre</v>
      </c>
      <c r="C992" s="54" t="str">
        <f>IFERROR(IF(INDEX(SPOT_Import!$A$1:$Z$2488,992,'Live Data'!$C$14)="","",INDEX(SPOT_Import!$A$1:$Z$2488,992,'Live Data'!$C$14)),"")</f>
        <v>KITUI</v>
      </c>
      <c r="D992" s="54" t="str">
        <f>IFERROR(IF(INDEX(SPOT_Import!$A$1:$Z$2488,992,'Live Data'!$C$15)="","",INDEX(SPOT_Import!$A$1:$Z$2488,992,'Live Data'!$C$15)),"")</f>
        <v>Kitui Central</v>
      </c>
      <c r="E992" s="54" t="str">
        <f>IFERROR(IF(INDEX(SPOT_Import!$A$1:$Z$2488,992,'Live Data'!$C$16)="","",INDEX(SPOT_Import!$A$1:$Z$2488,992,'Live Data'!$C$16)),"")</f>
        <v>CHAK CHAP STAWISHA</v>
      </c>
      <c r="F992" s="54" t="str">
        <f>IFERROR(IF(INDEX(SPOT_Import!$A$1:$Z$2488,992,'Live Data'!$C$17)="","",INDEX(SPOT_Import!$A$1:$Z$2488,992,'Live Data'!$C$17)),"")</f>
        <v>HTS</v>
      </c>
      <c r="G992" s="54">
        <f>IFERROR(IF(INDEX(SPOT_Import!$A$1:$Z$2488,992,'Live Data'!$C$18)="","",INDEX(SPOT_Import!$A$1:$Z$2488,992,'Live Data'!$C$18)),"")</f>
        <v>3209</v>
      </c>
      <c r="H992" s="54">
        <f>IFERROR(IF(INDEX(SPOT_Import!$A$1:$Z$2488,992,'Live Data'!$C$19)="","",INDEX(SPOT_Import!$A$1:$Z$2488,992,'Live Data'!$C$19)),"")</f>
        <v>3310</v>
      </c>
      <c r="I992" s="54" t="str">
        <f>IFERROR(IF(INDEX(SPOT_Import!$A$1:$Z$2488,992,'Live Data'!$C$20)="","",INDEX(SPOT_Import!$A$1:$Z$2488,992,'Live Data'!$C$20)),"")</f>
        <v>Complete</v>
      </c>
      <c r="J992" s="54" t="str">
        <f>IFERROR(IF(INDEX(SPOT_Import!$A$1:$Z$2488,992,'Live Data'!$C$21)="","",INDEX(SPOT_Import!$A$1:$Z$2488,992,'Live Data'!$C$21)),"")</f>
        <v>2026-08-04T10:17:30.000Z</v>
      </c>
      <c r="K992" s="54" t="str">
        <f>IFERROR(IF(INDEX(SPOT_Import!$A$1:$Z$2488,992,'Live Data'!$C$22)="","",INDEX(SPOT_Import!$A$1:$Z$2488,992,'Live Data'!$C$22)),"")</f>
        <v>2026-08-04T10:17:30.000Z</v>
      </c>
      <c r="L992" s="55" t="str">
        <f t="shared" si="30"/>
        <v>2026-08</v>
      </c>
      <c r="M992" s="55" t="str">
        <f t="shared" si="31"/>
        <v>KITUI</v>
      </c>
      <c r="N992" s="55" t="str">
        <f>IF(A992="","",IFERROR(INDEX('Cluster Map'!$A$4:$A$38,MATCH(M992,'Cluster Map'!$B$4:$B$38,0)),"Unmapped"))</f>
        <v>Cluster 5</v>
      </c>
      <c r="O992" s="55">
        <f>IF(A992="",0,IF(COUNTIFS($A$2:A992,A992,$F$2:F992,F992,$L$2:L992,L992)=1,1,0))</f>
        <v>1</v>
      </c>
      <c r="P992" s="55">
        <f>IF(A992="",0,IF(AND(F992="C&amp;T",COUNTIFS($A$2:A992,A992,$F$2:F992,"C&amp;T")=1),1,0))</f>
        <v>0</v>
      </c>
    </row>
    <row r="993" spans="1:16" x14ac:dyDescent="0.35">
      <c r="A993" s="54">
        <f>IFERROR(IF(INDEX(SPOT_Import!$A$1:$Z$2488,993,'Live Data'!$C$12)="","",INDEX(SPOT_Import!$A$1:$Z$2488,993,'Live Data'!$C$12)),"")</f>
        <v>16995</v>
      </c>
      <c r="B993" s="54" t="str">
        <f>IFERROR(IF(INDEX(SPOT_Import!$A$1:$Z$2488,993,'Live Data'!$C$13)="","",INDEX(SPOT_Import!$A$1:$Z$2488,993,'Live Data'!$C$13)),"")</f>
        <v>St Joseph Kavisuni Health Centre</v>
      </c>
      <c r="C993" s="54" t="str">
        <f>IFERROR(IF(INDEX(SPOT_Import!$A$1:$Z$2488,993,'Live Data'!$C$14)="","",INDEX(SPOT_Import!$A$1:$Z$2488,993,'Live Data'!$C$14)),"")</f>
        <v>KITUI</v>
      </c>
      <c r="D993" s="54" t="str">
        <f>IFERROR(IF(INDEX(SPOT_Import!$A$1:$Z$2488,993,'Live Data'!$C$15)="","",INDEX(SPOT_Import!$A$1:$Z$2488,993,'Live Data'!$C$15)),"")</f>
        <v>Kitui Rural</v>
      </c>
      <c r="E993" s="54" t="str">
        <f>IFERROR(IF(INDEX(SPOT_Import!$A$1:$Z$2488,993,'Live Data'!$C$16)="","",INDEX(SPOT_Import!$A$1:$Z$2488,993,'Live Data'!$C$16)),"")</f>
        <v>CHAK CHAP STAWISHA</v>
      </c>
      <c r="F993" s="54" t="str">
        <f>IFERROR(IF(INDEX(SPOT_Import!$A$1:$Z$2488,993,'Live Data'!$C$17)="","",INDEX(SPOT_Import!$A$1:$Z$2488,993,'Live Data'!$C$17)),"")</f>
        <v>CRS</v>
      </c>
      <c r="G993" s="54">
        <f>IFERROR(IF(INDEX(SPOT_Import!$A$1:$Z$2488,993,'Live Data'!$C$18)="","",INDEX(SPOT_Import!$A$1:$Z$2488,993,'Live Data'!$C$18)),"")</f>
        <v>225</v>
      </c>
      <c r="H993" s="54">
        <f>IFERROR(IF(INDEX(SPOT_Import!$A$1:$Z$2488,993,'Live Data'!$C$19)="","",INDEX(SPOT_Import!$A$1:$Z$2488,993,'Live Data'!$C$19)),"")</f>
        <v>225</v>
      </c>
      <c r="I993" s="54" t="str">
        <f>IFERROR(IF(INDEX(SPOT_Import!$A$1:$Z$2488,993,'Live Data'!$C$20)="","",INDEX(SPOT_Import!$A$1:$Z$2488,993,'Live Data'!$C$20)),"")</f>
        <v>Complete</v>
      </c>
      <c r="J993" s="54" t="str">
        <f>IFERROR(IF(INDEX(SPOT_Import!$A$1:$Z$2488,993,'Live Data'!$C$21)="","",INDEX(SPOT_Import!$A$1:$Z$2488,993,'Live Data'!$C$21)),"")</f>
        <v>2023-04-13T07:56:19.000Z</v>
      </c>
      <c r="K993" s="54" t="str">
        <f>IFERROR(IF(INDEX(SPOT_Import!$A$1:$Z$2488,993,'Live Data'!$C$22)="","",INDEX(SPOT_Import!$A$1:$Z$2488,993,'Live Data'!$C$22)),"")</f>
        <v>2023-04-13T07:56:19.000Z</v>
      </c>
      <c r="L993" s="55" t="str">
        <f t="shared" si="30"/>
        <v>2023-04</v>
      </c>
      <c r="M993" s="55" t="str">
        <f t="shared" si="31"/>
        <v>KITUI</v>
      </c>
      <c r="N993" s="55" t="str">
        <f>IF(A993="","",IFERROR(INDEX('Cluster Map'!$A$4:$A$38,MATCH(M993,'Cluster Map'!$B$4:$B$38,0)),"Unmapped"))</f>
        <v>Cluster 5</v>
      </c>
      <c r="O993" s="55">
        <f>IF(A993="",0,IF(COUNTIFS($A$2:A993,A993,$F$2:F993,F993,$L$2:L993,L993)=1,1,0))</f>
        <v>1</v>
      </c>
      <c r="P993" s="55">
        <f>IF(A993="",0,IF(AND(F993="C&amp;T",COUNTIFS($A$2:A993,A993,$F$2:F993,"C&amp;T")=1),1,0))</f>
        <v>0</v>
      </c>
    </row>
    <row r="994" spans="1:16" x14ac:dyDescent="0.35">
      <c r="A994" s="54">
        <f>IFERROR(IF(INDEX(SPOT_Import!$A$1:$Z$2488,994,'Live Data'!$C$12)="","",INDEX(SPOT_Import!$A$1:$Z$2488,994,'Live Data'!$C$12)),"")</f>
        <v>12456</v>
      </c>
      <c r="B994" s="54" t="str">
        <f>IFERROR(IF(INDEX(SPOT_Import!$A$1:$Z$2488,994,'Live Data'!$C$13)="","",INDEX(SPOT_Import!$A$1:$Z$2488,994,'Live Data'!$C$13)),"")</f>
        <v>Makueni Catholic Dispensary</v>
      </c>
      <c r="C994" s="54" t="str">
        <f>IFERROR(IF(INDEX(SPOT_Import!$A$1:$Z$2488,994,'Live Data'!$C$14)="","",INDEX(SPOT_Import!$A$1:$Z$2488,994,'Live Data'!$C$14)),"")</f>
        <v>MAKUENI</v>
      </c>
      <c r="D994" s="54" t="str">
        <f>IFERROR(IF(INDEX(SPOT_Import!$A$1:$Z$2488,994,'Live Data'!$C$15)="","",INDEX(SPOT_Import!$A$1:$Z$2488,994,'Live Data'!$C$15)),"")</f>
        <v>Makueni</v>
      </c>
      <c r="E994" s="54" t="str">
        <f>IFERROR(IF(INDEX(SPOT_Import!$A$1:$Z$2488,994,'Live Data'!$C$16)="","",INDEX(SPOT_Import!$A$1:$Z$2488,994,'Live Data'!$C$16)),"")</f>
        <v>CHAK CHAP STAWISHA</v>
      </c>
      <c r="F994" s="54" t="str">
        <f>IFERROR(IF(INDEX(SPOT_Import!$A$1:$Z$2488,994,'Live Data'!$C$17)="","",INDEX(SPOT_Import!$A$1:$Z$2488,994,'Live Data'!$C$17)),"")</f>
        <v>CRS</v>
      </c>
      <c r="G994" s="54">
        <f>IFERROR(IF(INDEX(SPOT_Import!$A$1:$Z$2488,994,'Live Data'!$C$18)="","",INDEX(SPOT_Import!$A$1:$Z$2488,994,'Live Data'!$C$18)),"")</f>
        <v>41</v>
      </c>
      <c r="H994" s="54">
        <f>IFERROR(IF(INDEX(SPOT_Import!$A$1:$Z$2488,994,'Live Data'!$C$19)="","",INDEX(SPOT_Import!$A$1:$Z$2488,994,'Live Data'!$C$19)),"")</f>
        <v>41</v>
      </c>
      <c r="I994" s="54" t="str">
        <f>IFERROR(IF(INDEX(SPOT_Import!$A$1:$Z$2488,994,'Live Data'!$C$20)="","",INDEX(SPOT_Import!$A$1:$Z$2488,994,'Live Data'!$C$20)),"")</f>
        <v>Complete</v>
      </c>
      <c r="J994" s="54" t="str">
        <f>IFERROR(IF(INDEX(SPOT_Import!$A$1:$Z$2488,994,'Live Data'!$C$21)="","",INDEX(SPOT_Import!$A$1:$Z$2488,994,'Live Data'!$C$21)),"")</f>
        <v>2023-04-11T10:17:18.000Z</v>
      </c>
      <c r="K994" s="54" t="str">
        <f>IFERROR(IF(INDEX(SPOT_Import!$A$1:$Z$2488,994,'Live Data'!$C$22)="","",INDEX(SPOT_Import!$A$1:$Z$2488,994,'Live Data'!$C$22)),"")</f>
        <v>2023-04-11T10:17:18.000Z</v>
      </c>
      <c r="L994" s="55" t="str">
        <f t="shared" si="30"/>
        <v>2023-04</v>
      </c>
      <c r="M994" s="55" t="str">
        <f t="shared" si="31"/>
        <v>MAKUENI</v>
      </c>
      <c r="N994" s="55" t="str">
        <f>IF(A994="","",IFERROR(INDEX('Cluster Map'!$A$4:$A$38,MATCH(M994,'Cluster Map'!$B$4:$B$38,0)),"Unmapped"))</f>
        <v>Cluster 5</v>
      </c>
      <c r="O994" s="55">
        <f>IF(A994="",0,IF(COUNTIFS($A$2:A994,A994,$F$2:F994,F994,$L$2:L994,L994)=1,1,0))</f>
        <v>1</v>
      </c>
      <c r="P994" s="55">
        <f>IF(A994="",0,IF(AND(F994="C&amp;T",COUNTIFS($A$2:A994,A994,$F$2:F994,"C&amp;T")=1),1,0))</f>
        <v>0</v>
      </c>
    </row>
    <row r="995" spans="1:16" x14ac:dyDescent="0.35">
      <c r="A995" s="54">
        <f>IFERROR(IF(INDEX(SPOT_Import!$A$1:$Z$2488,995,'Live Data'!$C$12)="","",INDEX(SPOT_Import!$A$1:$Z$2488,995,'Live Data'!$C$12)),"")</f>
        <v>19963</v>
      </c>
      <c r="B995" s="54" t="str">
        <f>IFERROR(IF(INDEX(SPOT_Import!$A$1:$Z$2488,995,'Live Data'!$C$13)="","",INDEX(SPOT_Import!$A$1:$Z$2488,995,'Live Data'!$C$13)),"")</f>
        <v>Holy family Catholic Hospital (Githunguri)</v>
      </c>
      <c r="C995" s="54" t="str">
        <f>IFERROR(IF(INDEX(SPOT_Import!$A$1:$Z$2488,995,'Live Data'!$C$14)="","",INDEX(SPOT_Import!$A$1:$Z$2488,995,'Live Data'!$C$14)),"")</f>
        <v>KIAMBU</v>
      </c>
      <c r="D995" s="54" t="str">
        <f>IFERROR(IF(INDEX(SPOT_Import!$A$1:$Z$2488,995,'Live Data'!$C$15)="","",INDEX(SPOT_Import!$A$1:$Z$2488,995,'Live Data'!$C$15)),"")</f>
        <v>Githunguri</v>
      </c>
      <c r="E995" s="54" t="str">
        <f>IFERROR(IF(INDEX(SPOT_Import!$A$1:$Z$2488,995,'Live Data'!$C$16)="","",INDEX(SPOT_Import!$A$1:$Z$2488,995,'Live Data'!$C$16)),"")</f>
        <v>CHAK CHAP STAWISHA</v>
      </c>
      <c r="F995" s="54" t="str">
        <f>IFERROR(IF(INDEX(SPOT_Import!$A$1:$Z$2488,995,'Live Data'!$C$17)="","",INDEX(SPOT_Import!$A$1:$Z$2488,995,'Live Data'!$C$17)),"")</f>
        <v>CRS</v>
      </c>
      <c r="G995" s="54">
        <f>IFERROR(IF(INDEX(SPOT_Import!$A$1:$Z$2488,995,'Live Data'!$C$18)="","",INDEX(SPOT_Import!$A$1:$Z$2488,995,'Live Data'!$C$18)),"")</f>
        <v>1420</v>
      </c>
      <c r="H995" s="54">
        <f>IFERROR(IF(INDEX(SPOT_Import!$A$1:$Z$2488,995,'Live Data'!$C$19)="","",INDEX(SPOT_Import!$A$1:$Z$2488,995,'Live Data'!$C$19)),"")</f>
        <v>1420</v>
      </c>
      <c r="I995" s="54" t="str">
        <f>IFERROR(IF(INDEX(SPOT_Import!$A$1:$Z$2488,995,'Live Data'!$C$20)="","",INDEX(SPOT_Import!$A$1:$Z$2488,995,'Live Data'!$C$20)),"")</f>
        <v>Complete</v>
      </c>
      <c r="J995" s="54" t="str">
        <f>IFERROR(IF(INDEX(SPOT_Import!$A$1:$Z$2488,995,'Live Data'!$C$21)="","",INDEX(SPOT_Import!$A$1:$Z$2488,995,'Live Data'!$C$21)),"")</f>
        <v>2023-04-06T10:43:05.000Z</v>
      </c>
      <c r="K995" s="54" t="str">
        <f>IFERROR(IF(INDEX(SPOT_Import!$A$1:$Z$2488,995,'Live Data'!$C$22)="","",INDEX(SPOT_Import!$A$1:$Z$2488,995,'Live Data'!$C$22)),"")</f>
        <v>2023-04-06T10:43:05.000Z</v>
      </c>
      <c r="L995" s="55" t="str">
        <f t="shared" si="30"/>
        <v>2023-04</v>
      </c>
      <c r="M995" s="55" t="str">
        <f t="shared" si="31"/>
        <v>KIAMBU</v>
      </c>
      <c r="N995" s="55" t="str">
        <f>IF(A995="","",IFERROR(INDEX('Cluster Map'!$A$4:$A$38,MATCH(M995,'Cluster Map'!$B$4:$B$38,0)),"Unmapped"))</f>
        <v>Cluster 3</v>
      </c>
      <c r="O995" s="55">
        <f>IF(A995="",0,IF(COUNTIFS($A$2:A995,A995,$F$2:F995,F995,$L$2:L995,L995)=1,1,0))</f>
        <v>1</v>
      </c>
      <c r="P995" s="55">
        <f>IF(A995="",0,IF(AND(F995="C&amp;T",COUNTIFS($A$2:A995,A995,$F$2:F995,"C&amp;T")=1),1,0))</f>
        <v>0</v>
      </c>
    </row>
    <row r="996" spans="1:16" x14ac:dyDescent="0.35">
      <c r="A996" s="54">
        <f>IFERROR(IF(INDEX(SPOT_Import!$A$1:$Z$2488,996,'Live Data'!$C$12)="","",INDEX(SPOT_Import!$A$1:$Z$2488,996,'Live Data'!$C$12)),"")</f>
        <v>15282</v>
      </c>
      <c r="B996" s="54" t="str">
        <f>IFERROR(IF(INDEX(SPOT_Import!$A$1:$Z$2488,996,'Live Data'!$C$13)="","",INDEX(SPOT_Import!$A$1:$Z$2488,996,'Live Data'!$C$13)),"")</f>
        <v>Naivasha (AIC) Medical Centre</v>
      </c>
      <c r="C996" s="54" t="str">
        <f>IFERROR(IF(INDEX(SPOT_Import!$A$1:$Z$2488,996,'Live Data'!$C$14)="","",INDEX(SPOT_Import!$A$1:$Z$2488,996,'Live Data'!$C$14)),"")</f>
        <v>NAKURU</v>
      </c>
      <c r="D996" s="54" t="str">
        <f>IFERROR(IF(INDEX(SPOT_Import!$A$1:$Z$2488,996,'Live Data'!$C$15)="","",INDEX(SPOT_Import!$A$1:$Z$2488,996,'Live Data'!$C$15)),"")</f>
        <v>Naivasha</v>
      </c>
      <c r="E996" s="54" t="str">
        <f>IFERROR(IF(INDEX(SPOT_Import!$A$1:$Z$2488,996,'Live Data'!$C$16)="","",INDEX(SPOT_Import!$A$1:$Z$2488,996,'Live Data'!$C$16)),"")</f>
        <v>CHAK CHAP STAWISHA</v>
      </c>
      <c r="F996" s="54" t="str">
        <f>IFERROR(IF(INDEX(SPOT_Import!$A$1:$Z$2488,996,'Live Data'!$C$17)="","",INDEX(SPOT_Import!$A$1:$Z$2488,996,'Live Data'!$C$17)),"")</f>
        <v>CRS</v>
      </c>
      <c r="G996" s="54">
        <f>IFERROR(IF(INDEX(SPOT_Import!$A$1:$Z$2488,996,'Live Data'!$C$18)="","",INDEX(SPOT_Import!$A$1:$Z$2488,996,'Live Data'!$C$18)),"")</f>
        <v>5447</v>
      </c>
      <c r="H996" s="54">
        <f>IFERROR(IF(INDEX(SPOT_Import!$A$1:$Z$2488,996,'Live Data'!$C$19)="","",INDEX(SPOT_Import!$A$1:$Z$2488,996,'Live Data'!$C$19)),"")</f>
        <v>16319</v>
      </c>
      <c r="I996" s="54" t="str">
        <f>IFERROR(IF(INDEX(SPOT_Import!$A$1:$Z$2488,996,'Live Data'!$C$20)="","",INDEX(SPOT_Import!$A$1:$Z$2488,996,'Live Data'!$C$20)),"")</f>
        <v>Complete</v>
      </c>
      <c r="J996" s="54" t="str">
        <f>IFERROR(IF(INDEX(SPOT_Import!$A$1:$Z$2488,996,'Live Data'!$C$21)="","",INDEX(SPOT_Import!$A$1:$Z$2488,996,'Live Data'!$C$21)),"")</f>
        <v>2023-04-06T10:16:20.000Z</v>
      </c>
      <c r="K996" s="54" t="str">
        <f>IFERROR(IF(INDEX(SPOT_Import!$A$1:$Z$2488,996,'Live Data'!$C$22)="","",INDEX(SPOT_Import!$A$1:$Z$2488,996,'Live Data'!$C$22)),"")</f>
        <v>2023-04-06T10:16:20.000Z</v>
      </c>
      <c r="L996" s="55" t="str">
        <f t="shared" si="30"/>
        <v>2023-04</v>
      </c>
      <c r="M996" s="55" t="str">
        <f t="shared" si="31"/>
        <v>NAKURU</v>
      </c>
      <c r="N996" s="55" t="str">
        <f>IF(A996="","",IFERROR(INDEX('Cluster Map'!$A$4:$A$38,MATCH(M996,'Cluster Map'!$B$4:$B$38,0)),"Unmapped"))</f>
        <v>Cluster 4</v>
      </c>
      <c r="O996" s="55">
        <f>IF(A996="",0,IF(COUNTIFS($A$2:A996,A996,$F$2:F996,F996,$L$2:L996,L996)=1,1,0))</f>
        <v>1</v>
      </c>
      <c r="P996" s="55">
        <f>IF(A996="",0,IF(AND(F996="C&amp;T",COUNTIFS($A$2:A996,A996,$F$2:F996,"C&amp;T")=1),1,0))</f>
        <v>0</v>
      </c>
    </row>
    <row r="997" spans="1:16" x14ac:dyDescent="0.35">
      <c r="A997" s="54">
        <f>IFERROR(IF(INDEX(SPOT_Import!$A$1:$Z$2488,997,'Live Data'!$C$12)="","",INDEX(SPOT_Import!$A$1:$Z$2488,997,'Live Data'!$C$12)),"")</f>
        <v>10100</v>
      </c>
      <c r="B997" s="54" t="str">
        <f>IFERROR(IF(INDEX(SPOT_Import!$A$1:$Z$2488,997,'Live Data'!$C$13)="","",INDEX(SPOT_Import!$A$1:$Z$2488,997,'Live Data'!$C$13)),"")</f>
        <v>Consolata Mission Hospital (Mathari)</v>
      </c>
      <c r="C997" s="54" t="str">
        <f>IFERROR(IF(INDEX(SPOT_Import!$A$1:$Z$2488,997,'Live Data'!$C$14)="","",INDEX(SPOT_Import!$A$1:$Z$2488,997,'Live Data'!$C$14)),"")</f>
        <v>NYERI</v>
      </c>
      <c r="D997" s="54" t="str">
        <f>IFERROR(IF(INDEX(SPOT_Import!$A$1:$Z$2488,997,'Live Data'!$C$15)="","",INDEX(SPOT_Import!$A$1:$Z$2488,997,'Live Data'!$C$15)),"")</f>
        <v>Nyeri Central</v>
      </c>
      <c r="E997" s="54" t="str">
        <f>IFERROR(IF(INDEX(SPOT_Import!$A$1:$Z$2488,997,'Live Data'!$C$16)="","",INDEX(SPOT_Import!$A$1:$Z$2488,997,'Live Data'!$C$16)),"")</f>
        <v>CHAK CHAP STAWISHA</v>
      </c>
      <c r="F997" s="54" t="str">
        <f>IFERROR(IF(INDEX(SPOT_Import!$A$1:$Z$2488,997,'Live Data'!$C$17)="","",INDEX(SPOT_Import!$A$1:$Z$2488,997,'Live Data'!$C$17)),"")</f>
        <v>CRS</v>
      </c>
      <c r="G997" s="54">
        <f>IFERROR(IF(INDEX(SPOT_Import!$A$1:$Z$2488,997,'Live Data'!$C$18)="","",INDEX(SPOT_Import!$A$1:$Z$2488,997,'Live Data'!$C$18)),"")</f>
        <v>3204</v>
      </c>
      <c r="H997" s="54">
        <f>IFERROR(IF(INDEX(SPOT_Import!$A$1:$Z$2488,997,'Live Data'!$C$19)="","",INDEX(SPOT_Import!$A$1:$Z$2488,997,'Live Data'!$C$19)),"")</f>
        <v>3204</v>
      </c>
      <c r="I997" s="54" t="str">
        <f>IFERROR(IF(INDEX(SPOT_Import!$A$1:$Z$2488,997,'Live Data'!$C$20)="","",INDEX(SPOT_Import!$A$1:$Z$2488,997,'Live Data'!$C$20)),"")</f>
        <v>Complete</v>
      </c>
      <c r="J997" s="54" t="str">
        <f>IFERROR(IF(INDEX(SPOT_Import!$A$1:$Z$2488,997,'Live Data'!$C$21)="","",INDEX(SPOT_Import!$A$1:$Z$2488,997,'Live Data'!$C$21)),"")</f>
        <v>2023-04-06T08:06:03.000Z</v>
      </c>
      <c r="K997" s="54" t="str">
        <f>IFERROR(IF(INDEX(SPOT_Import!$A$1:$Z$2488,997,'Live Data'!$C$22)="","",INDEX(SPOT_Import!$A$1:$Z$2488,997,'Live Data'!$C$22)),"")</f>
        <v>2023-04-06T08:06:03.000Z</v>
      </c>
      <c r="L997" s="55" t="str">
        <f t="shared" si="30"/>
        <v>2023-04</v>
      </c>
      <c r="M997" s="55" t="str">
        <f t="shared" si="31"/>
        <v>NYERI</v>
      </c>
      <c r="N997" s="55" t="str">
        <f>IF(A997="","",IFERROR(INDEX('Cluster Map'!$A$4:$A$38,MATCH(M997,'Cluster Map'!$B$4:$B$38,0)),"Unmapped"))</f>
        <v>Cluster 2</v>
      </c>
      <c r="O997" s="55">
        <f>IF(A997="",0,IF(COUNTIFS($A$2:A997,A997,$F$2:F997,F997,$L$2:L997,L997)=1,1,0))</f>
        <v>1</v>
      </c>
      <c r="P997" s="55">
        <f>IF(A997="",0,IF(AND(F997="C&amp;T",COUNTIFS($A$2:A997,A997,$F$2:F997,"C&amp;T")=1),1,0))</f>
        <v>0</v>
      </c>
    </row>
    <row r="998" spans="1:16" x14ac:dyDescent="0.35">
      <c r="A998" s="54">
        <f>IFERROR(IF(INDEX(SPOT_Import!$A$1:$Z$2488,998,'Live Data'!$C$12)="","",INDEX(SPOT_Import!$A$1:$Z$2488,998,'Live Data'!$C$12)),"")</f>
        <v>10602</v>
      </c>
      <c r="B998" s="54" t="str">
        <f>IFERROR(IF(INDEX(SPOT_Import!$A$1:$Z$2488,998,'Live Data'!$C$13)="","",INDEX(SPOT_Import!$A$1:$Z$2488,998,'Live Data'!$C$13)),"")</f>
        <v>Kijabe (AIC) Hospital</v>
      </c>
      <c r="C998" s="54" t="str">
        <f>IFERROR(IF(INDEX(SPOT_Import!$A$1:$Z$2488,998,'Live Data'!$C$14)="","",INDEX(SPOT_Import!$A$1:$Z$2488,998,'Live Data'!$C$14)),"")</f>
        <v>KIAMBU</v>
      </c>
      <c r="D998" s="54" t="str">
        <f>IFERROR(IF(INDEX(SPOT_Import!$A$1:$Z$2488,998,'Live Data'!$C$15)="","",INDEX(SPOT_Import!$A$1:$Z$2488,998,'Live Data'!$C$15)),"")</f>
        <v>Lari</v>
      </c>
      <c r="E998" s="54" t="str">
        <f>IFERROR(IF(INDEX(SPOT_Import!$A$1:$Z$2488,998,'Live Data'!$C$16)="","",INDEX(SPOT_Import!$A$1:$Z$2488,998,'Live Data'!$C$16)),"")</f>
        <v>CHAK CHAP STAWISHA</v>
      </c>
      <c r="F998" s="54" t="str">
        <f>IFERROR(IF(INDEX(SPOT_Import!$A$1:$Z$2488,998,'Live Data'!$C$17)="","",INDEX(SPOT_Import!$A$1:$Z$2488,998,'Live Data'!$C$17)),"")</f>
        <v>CRS</v>
      </c>
      <c r="G998" s="54">
        <f>IFERROR(IF(INDEX(SPOT_Import!$A$1:$Z$2488,998,'Live Data'!$C$18)="","",INDEX(SPOT_Import!$A$1:$Z$2488,998,'Live Data'!$C$18)),"")</f>
        <v>3848</v>
      </c>
      <c r="H998" s="54">
        <f>IFERROR(IF(INDEX(SPOT_Import!$A$1:$Z$2488,998,'Live Data'!$C$19)="","",INDEX(SPOT_Import!$A$1:$Z$2488,998,'Live Data'!$C$19)),"")</f>
        <v>15367</v>
      </c>
      <c r="I998" s="54" t="str">
        <f>IFERROR(IF(INDEX(SPOT_Import!$A$1:$Z$2488,998,'Live Data'!$C$20)="","",INDEX(SPOT_Import!$A$1:$Z$2488,998,'Live Data'!$C$20)),"")</f>
        <v>Complete</v>
      </c>
      <c r="J998" s="54" t="str">
        <f>IFERROR(IF(INDEX(SPOT_Import!$A$1:$Z$2488,998,'Live Data'!$C$21)="","",INDEX(SPOT_Import!$A$1:$Z$2488,998,'Live Data'!$C$21)),"")</f>
        <v>2023-04-05T17:21:45.000Z</v>
      </c>
      <c r="K998" s="54" t="str">
        <f>IFERROR(IF(INDEX(SPOT_Import!$A$1:$Z$2488,998,'Live Data'!$C$22)="","",INDEX(SPOT_Import!$A$1:$Z$2488,998,'Live Data'!$C$22)),"")</f>
        <v>2023-04-05T17:21:45.000Z</v>
      </c>
      <c r="L998" s="55" t="str">
        <f t="shared" si="30"/>
        <v>2023-04</v>
      </c>
      <c r="M998" s="55" t="str">
        <f t="shared" si="31"/>
        <v>KIAMBU</v>
      </c>
      <c r="N998" s="55" t="str">
        <f>IF(A998="","",IFERROR(INDEX('Cluster Map'!$A$4:$A$38,MATCH(M998,'Cluster Map'!$B$4:$B$38,0)),"Unmapped"))</f>
        <v>Cluster 3</v>
      </c>
      <c r="O998" s="55">
        <f>IF(A998="",0,IF(COUNTIFS($A$2:A998,A998,$F$2:F998,F998,$L$2:L998,L998)=1,1,0))</f>
        <v>1</v>
      </c>
      <c r="P998" s="55">
        <f>IF(A998="",0,IF(AND(F998="C&amp;T",COUNTIFS($A$2:A998,A998,$F$2:F998,"C&amp;T")=1),1,0))</f>
        <v>0</v>
      </c>
    </row>
    <row r="999" spans="1:16" x14ac:dyDescent="0.35">
      <c r="A999" s="54">
        <f>IFERROR(IF(INDEX(SPOT_Import!$A$1:$Z$2488,999,'Live Data'!$C$12)="","",INDEX(SPOT_Import!$A$1:$Z$2488,999,'Live Data'!$C$12)),"")</f>
        <v>10693</v>
      </c>
      <c r="B999" s="54" t="str">
        <f>IFERROR(IF(INDEX(SPOT_Import!$A$1:$Z$2488,999,'Live Data'!$C$13)="","",INDEX(SPOT_Import!$A$1:$Z$2488,999,'Live Data'!$C$13)),"")</f>
        <v>Kijabe (AIC) Hospital Marira Medical Clinic</v>
      </c>
      <c r="C999" s="54" t="str">
        <f>IFERROR(IF(INDEX(SPOT_Import!$A$1:$Z$2488,999,'Live Data'!$C$14)="","",INDEX(SPOT_Import!$A$1:$Z$2488,999,'Live Data'!$C$14)),"")</f>
        <v>KIAMBU</v>
      </c>
      <c r="D999" s="54" t="str">
        <f>IFERROR(IF(INDEX(SPOT_Import!$A$1:$Z$2488,999,'Live Data'!$C$15)="","",INDEX(SPOT_Import!$A$1:$Z$2488,999,'Live Data'!$C$15)),"")</f>
        <v>Lari</v>
      </c>
      <c r="E999" s="54" t="str">
        <f>IFERROR(IF(INDEX(SPOT_Import!$A$1:$Z$2488,999,'Live Data'!$C$16)="","",INDEX(SPOT_Import!$A$1:$Z$2488,999,'Live Data'!$C$16)),"")</f>
        <v>CHAK CHAP STAWISHA</v>
      </c>
      <c r="F999" s="54" t="str">
        <f>IFERROR(IF(INDEX(SPOT_Import!$A$1:$Z$2488,999,'Live Data'!$C$17)="","",INDEX(SPOT_Import!$A$1:$Z$2488,999,'Live Data'!$C$17)),"")</f>
        <v>CRS</v>
      </c>
      <c r="G999" s="54">
        <f>IFERROR(IF(INDEX(SPOT_Import!$A$1:$Z$2488,999,'Live Data'!$C$18)="","",INDEX(SPOT_Import!$A$1:$Z$2488,999,'Live Data'!$C$18)),"")</f>
        <v>2429</v>
      </c>
      <c r="H999" s="54">
        <f>IFERROR(IF(INDEX(SPOT_Import!$A$1:$Z$2488,999,'Live Data'!$C$19)="","",INDEX(SPOT_Import!$A$1:$Z$2488,999,'Live Data'!$C$19)),"")</f>
        <v>2429</v>
      </c>
      <c r="I999" s="54" t="str">
        <f>IFERROR(IF(INDEX(SPOT_Import!$A$1:$Z$2488,999,'Live Data'!$C$20)="","",INDEX(SPOT_Import!$A$1:$Z$2488,999,'Live Data'!$C$20)),"")</f>
        <v>Complete</v>
      </c>
      <c r="J999" s="54" t="str">
        <f>IFERROR(IF(INDEX(SPOT_Import!$A$1:$Z$2488,999,'Live Data'!$C$21)="","",INDEX(SPOT_Import!$A$1:$Z$2488,999,'Live Data'!$C$21)),"")</f>
        <v>2023-04-05T10:44:25.000Z</v>
      </c>
      <c r="K999" s="54" t="str">
        <f>IFERROR(IF(INDEX(SPOT_Import!$A$1:$Z$2488,999,'Live Data'!$C$22)="","",INDEX(SPOT_Import!$A$1:$Z$2488,999,'Live Data'!$C$22)),"")</f>
        <v>2023-04-05T10:44:25.000Z</v>
      </c>
      <c r="L999" s="55" t="str">
        <f t="shared" si="30"/>
        <v>2023-04</v>
      </c>
      <c r="M999" s="55" t="str">
        <f t="shared" si="31"/>
        <v>KIAMBU</v>
      </c>
      <c r="N999" s="55" t="str">
        <f>IF(A999="","",IFERROR(INDEX('Cluster Map'!$A$4:$A$38,MATCH(M999,'Cluster Map'!$B$4:$B$38,0)),"Unmapped"))</f>
        <v>Cluster 3</v>
      </c>
      <c r="O999" s="55">
        <f>IF(A999="",0,IF(COUNTIFS($A$2:A999,A999,$F$2:F999,F999,$L$2:L999,L999)=1,1,0))</f>
        <v>1</v>
      </c>
      <c r="P999" s="55">
        <f>IF(A999="",0,IF(AND(F999="C&amp;T",COUNTIFS($A$2:A999,A999,$F$2:F999,"C&amp;T")=1),1,0))</f>
        <v>0</v>
      </c>
    </row>
    <row r="1000" spans="1:16" x14ac:dyDescent="0.35">
      <c r="A1000" s="54">
        <f>IFERROR(IF(INDEX(SPOT_Import!$A$1:$Z$2488,1000,'Live Data'!$C$12)="","",INDEX(SPOT_Import!$A$1:$Z$2488,1000,'Live Data'!$C$12)),"")</f>
        <v>12251</v>
      </c>
      <c r="B1000" s="54" t="str">
        <f>IFERROR(IF(INDEX(SPOT_Import!$A$1:$Z$2488,1000,'Live Data'!$C$13)="","",INDEX(SPOT_Import!$A$1:$Z$2488,1000,'Live Data'!$C$13)),"")</f>
        <v>Katyethoka Health Centre</v>
      </c>
      <c r="C1000" s="54" t="str">
        <f>IFERROR(IF(INDEX(SPOT_Import!$A$1:$Z$2488,1000,'Live Data'!$C$14)="","",INDEX(SPOT_Import!$A$1:$Z$2488,1000,'Live Data'!$C$14)),"")</f>
        <v>KITUI</v>
      </c>
      <c r="D1000" s="54" t="str">
        <f>IFERROR(IF(INDEX(SPOT_Import!$A$1:$Z$2488,1000,'Live Data'!$C$15)="","",INDEX(SPOT_Import!$A$1:$Z$2488,1000,'Live Data'!$C$15)),"")</f>
        <v>Kitui South</v>
      </c>
      <c r="E1000" s="54" t="str">
        <f>IFERROR(IF(INDEX(SPOT_Import!$A$1:$Z$2488,1000,'Live Data'!$C$16)="","",INDEX(SPOT_Import!$A$1:$Z$2488,1000,'Live Data'!$C$16)),"")</f>
        <v>CHAK CHAP STAWISHA</v>
      </c>
      <c r="F1000" s="54" t="str">
        <f>IFERROR(IF(INDEX(SPOT_Import!$A$1:$Z$2488,1000,'Live Data'!$C$17)="","",INDEX(SPOT_Import!$A$1:$Z$2488,1000,'Live Data'!$C$17)),"")</f>
        <v>CRS</v>
      </c>
      <c r="G1000" s="54">
        <f>IFERROR(IF(INDEX(SPOT_Import!$A$1:$Z$2488,1000,'Live Data'!$C$18)="","",INDEX(SPOT_Import!$A$1:$Z$2488,1000,'Live Data'!$C$18)),"")</f>
        <v>204</v>
      </c>
      <c r="H1000" s="54">
        <f>IFERROR(IF(INDEX(SPOT_Import!$A$1:$Z$2488,1000,'Live Data'!$C$19)="","",INDEX(SPOT_Import!$A$1:$Z$2488,1000,'Live Data'!$C$19)),"")</f>
        <v>204</v>
      </c>
      <c r="I1000" s="54" t="str">
        <f>IFERROR(IF(INDEX(SPOT_Import!$A$1:$Z$2488,1000,'Live Data'!$C$20)="","",INDEX(SPOT_Import!$A$1:$Z$2488,1000,'Live Data'!$C$20)),"")</f>
        <v>Complete</v>
      </c>
      <c r="J1000" s="54" t="str">
        <f>IFERROR(IF(INDEX(SPOT_Import!$A$1:$Z$2488,1000,'Live Data'!$C$21)="","",INDEX(SPOT_Import!$A$1:$Z$2488,1000,'Live Data'!$C$21)),"")</f>
        <v>2023-04-05T10:31:31.000Z</v>
      </c>
      <c r="K1000" s="54" t="str">
        <f>IFERROR(IF(INDEX(SPOT_Import!$A$1:$Z$2488,1000,'Live Data'!$C$22)="","",INDEX(SPOT_Import!$A$1:$Z$2488,1000,'Live Data'!$C$22)),"")</f>
        <v>2023-04-05T10:31:31.000Z</v>
      </c>
      <c r="L1000" s="55" t="str">
        <f t="shared" si="30"/>
        <v>2023-04</v>
      </c>
      <c r="M1000" s="55" t="str">
        <f t="shared" si="31"/>
        <v>KITUI</v>
      </c>
      <c r="N1000" s="55" t="str">
        <f>IF(A1000="","",IFERROR(INDEX('Cluster Map'!$A$4:$A$38,MATCH(M1000,'Cluster Map'!$B$4:$B$38,0)),"Unmapped"))</f>
        <v>Cluster 5</v>
      </c>
      <c r="O1000" s="55">
        <f>IF(A1000="",0,IF(COUNTIFS($A$2:A1000,A1000,$F$2:F1000,F1000,$L$2:L1000,L1000)=1,1,0))</f>
        <v>1</v>
      </c>
      <c r="P1000" s="55">
        <f>IF(A1000="",0,IF(AND(F1000="C&amp;T",COUNTIFS($A$2:A1000,A1000,$F$2:F1000,"C&amp;T")=1),1,0))</f>
        <v>0</v>
      </c>
    </row>
    <row r="1001" spans="1:16" x14ac:dyDescent="0.35">
      <c r="A1001" s="54">
        <f>IFERROR(IF(INDEX(SPOT_Import!$A$1:$Z$2488,1001,'Live Data'!$C$12)="","",INDEX(SPOT_Import!$A$1:$Z$2488,1001,'Live Data'!$C$12)),"")</f>
        <v>12190</v>
      </c>
      <c r="B1001" s="54" t="str">
        <f>IFERROR(IF(INDEX(SPOT_Import!$A$1:$Z$2488,1001,'Live Data'!$C$13)="","",INDEX(SPOT_Import!$A$1:$Z$2488,1001,'Live Data'!$C$13)),"")</f>
        <v>Kanziku Health Centre</v>
      </c>
      <c r="C1001" s="54" t="str">
        <f>IFERROR(IF(INDEX(SPOT_Import!$A$1:$Z$2488,1001,'Live Data'!$C$14)="","",INDEX(SPOT_Import!$A$1:$Z$2488,1001,'Live Data'!$C$14)),"")</f>
        <v>KITUI</v>
      </c>
      <c r="D1001" s="54" t="str">
        <f>IFERROR(IF(INDEX(SPOT_Import!$A$1:$Z$2488,1001,'Live Data'!$C$15)="","",INDEX(SPOT_Import!$A$1:$Z$2488,1001,'Live Data'!$C$15)),"")</f>
        <v>Kitui South</v>
      </c>
      <c r="E1001" s="54" t="str">
        <f>IFERROR(IF(INDEX(SPOT_Import!$A$1:$Z$2488,1001,'Live Data'!$C$16)="","",INDEX(SPOT_Import!$A$1:$Z$2488,1001,'Live Data'!$C$16)),"")</f>
        <v>CHAK CHAP STAWISHA</v>
      </c>
      <c r="F1001" s="54" t="str">
        <f>IFERROR(IF(INDEX(SPOT_Import!$A$1:$Z$2488,1001,'Live Data'!$C$17)="","",INDEX(SPOT_Import!$A$1:$Z$2488,1001,'Live Data'!$C$17)),"")</f>
        <v>CRS</v>
      </c>
      <c r="G1001" s="54">
        <f>IFERROR(IF(INDEX(SPOT_Import!$A$1:$Z$2488,1001,'Live Data'!$C$18)="","",INDEX(SPOT_Import!$A$1:$Z$2488,1001,'Live Data'!$C$18)),"")</f>
        <v>217</v>
      </c>
      <c r="H1001" s="54">
        <f>IFERROR(IF(INDEX(SPOT_Import!$A$1:$Z$2488,1001,'Live Data'!$C$19)="","",INDEX(SPOT_Import!$A$1:$Z$2488,1001,'Live Data'!$C$19)),"")</f>
        <v>217</v>
      </c>
      <c r="I1001" s="54" t="str">
        <f>IFERROR(IF(INDEX(SPOT_Import!$A$1:$Z$2488,1001,'Live Data'!$C$20)="","",INDEX(SPOT_Import!$A$1:$Z$2488,1001,'Live Data'!$C$20)),"")</f>
        <v>Complete</v>
      </c>
      <c r="J1001" s="54" t="str">
        <f>IFERROR(IF(INDEX(SPOT_Import!$A$1:$Z$2488,1001,'Live Data'!$C$21)="","",INDEX(SPOT_Import!$A$1:$Z$2488,1001,'Live Data'!$C$21)),"")</f>
        <v>2023-04-05T07:52:42.000Z</v>
      </c>
      <c r="K1001" s="54" t="str">
        <f>IFERROR(IF(INDEX(SPOT_Import!$A$1:$Z$2488,1001,'Live Data'!$C$22)="","",INDEX(SPOT_Import!$A$1:$Z$2488,1001,'Live Data'!$C$22)),"")</f>
        <v>2023-04-05T07:52:42.000Z</v>
      </c>
      <c r="L1001" s="55" t="str">
        <f t="shared" si="30"/>
        <v>2023-04</v>
      </c>
      <c r="M1001" s="55" t="str">
        <f t="shared" si="31"/>
        <v>KITUI</v>
      </c>
      <c r="N1001" s="55" t="str">
        <f>IF(A1001="","",IFERROR(INDEX('Cluster Map'!$A$4:$A$38,MATCH(M1001,'Cluster Map'!$B$4:$B$38,0)),"Unmapped"))</f>
        <v>Cluster 5</v>
      </c>
      <c r="O1001" s="55">
        <f>IF(A1001="",0,IF(COUNTIFS($A$2:A1001,A1001,$F$2:F1001,F1001,$L$2:L1001,L1001)=1,1,0))</f>
        <v>1</v>
      </c>
      <c r="P1001" s="55">
        <f>IF(A1001="",0,IF(AND(F1001="C&amp;T",COUNTIFS($A$2:A1001,A1001,$F$2:F1001,"C&amp;T")=1),1,0))</f>
        <v>0</v>
      </c>
    </row>
    <row r="1002" spans="1:16" x14ac:dyDescent="0.35">
      <c r="A1002" s="54">
        <f>IFERROR(IF(INDEX(SPOT_Import!$A$1:$Z$2488,1002,'Live Data'!$C$12)="","",INDEX(SPOT_Import!$A$1:$Z$2488,1002,'Live Data'!$C$12)),"")</f>
        <v>15636</v>
      </c>
      <c r="B1002" s="54" t="str">
        <f>IFERROR(IF(INDEX(SPOT_Import!$A$1:$Z$2488,1002,'Live Data'!$C$13)="","",INDEX(SPOT_Import!$A$1:$Z$2488,1002,'Live Data'!$C$13)),"")</f>
        <v>St Elizabeth Health Centre</v>
      </c>
      <c r="C1002" s="54" t="str">
        <f>IFERROR(IF(INDEX(SPOT_Import!$A$1:$Z$2488,1002,'Live Data'!$C$14)="","",INDEX(SPOT_Import!$A$1:$Z$2488,1002,'Live Data'!$C$14)),"")</f>
        <v>NAROK</v>
      </c>
      <c r="D1002" s="54" t="str">
        <f>IFERROR(IF(INDEX(SPOT_Import!$A$1:$Z$2488,1002,'Live Data'!$C$15)="","",INDEX(SPOT_Import!$A$1:$Z$2488,1002,'Live Data'!$C$15)),"")</f>
        <v>Narok South</v>
      </c>
      <c r="E1002" s="54" t="str">
        <f>IFERROR(IF(INDEX(SPOT_Import!$A$1:$Z$2488,1002,'Live Data'!$C$16)="","",INDEX(SPOT_Import!$A$1:$Z$2488,1002,'Live Data'!$C$16)),"")</f>
        <v>CHAK CHAP STAWISHA</v>
      </c>
      <c r="F1002" s="54" t="str">
        <f>IFERROR(IF(INDEX(SPOT_Import!$A$1:$Z$2488,1002,'Live Data'!$C$17)="","",INDEX(SPOT_Import!$A$1:$Z$2488,1002,'Live Data'!$C$17)),"")</f>
        <v>CRS</v>
      </c>
      <c r="G1002" s="54">
        <f>IFERROR(IF(INDEX(SPOT_Import!$A$1:$Z$2488,1002,'Live Data'!$C$18)="","",INDEX(SPOT_Import!$A$1:$Z$2488,1002,'Live Data'!$C$18)),"")</f>
        <v>250</v>
      </c>
      <c r="H1002" s="54">
        <f>IFERROR(IF(INDEX(SPOT_Import!$A$1:$Z$2488,1002,'Live Data'!$C$19)="","",INDEX(SPOT_Import!$A$1:$Z$2488,1002,'Live Data'!$C$19)),"")</f>
        <v>250</v>
      </c>
      <c r="I1002" s="54" t="str">
        <f>IFERROR(IF(INDEX(SPOT_Import!$A$1:$Z$2488,1002,'Live Data'!$C$20)="","",INDEX(SPOT_Import!$A$1:$Z$2488,1002,'Live Data'!$C$20)),"")</f>
        <v>Complete</v>
      </c>
      <c r="J1002" s="54" t="str">
        <f>IFERROR(IF(INDEX(SPOT_Import!$A$1:$Z$2488,1002,'Live Data'!$C$21)="","",INDEX(SPOT_Import!$A$1:$Z$2488,1002,'Live Data'!$C$21)),"")</f>
        <v>2023-04-04T19:21:26.000Z</v>
      </c>
      <c r="K1002" s="54" t="str">
        <f>IFERROR(IF(INDEX(SPOT_Import!$A$1:$Z$2488,1002,'Live Data'!$C$22)="","",INDEX(SPOT_Import!$A$1:$Z$2488,1002,'Live Data'!$C$22)),"")</f>
        <v>2023-04-04T19:21:26.000Z</v>
      </c>
      <c r="L1002" s="55" t="str">
        <f t="shared" si="30"/>
        <v>2023-04</v>
      </c>
      <c r="M1002" s="55" t="str">
        <f t="shared" si="31"/>
        <v>NAROK</v>
      </c>
      <c r="N1002" s="55" t="str">
        <f>IF(A1002="","",IFERROR(INDEX('Cluster Map'!$A$4:$A$38,MATCH(M1002,'Cluster Map'!$B$4:$B$38,0)),"Unmapped"))</f>
        <v>Cluster 4</v>
      </c>
      <c r="O1002" s="55">
        <f>IF(A1002="",0,IF(COUNTIFS($A$2:A1002,A1002,$F$2:F1002,F1002,$L$2:L1002,L1002)=1,1,0))</f>
        <v>1</v>
      </c>
      <c r="P1002" s="55">
        <f>IF(A1002="",0,IF(AND(F1002="C&amp;T",COUNTIFS($A$2:A1002,A1002,$F$2:F1002,"C&amp;T")=1),1,0))</f>
        <v>0</v>
      </c>
    </row>
    <row r="1003" spans="1:16" x14ac:dyDescent="0.35">
      <c r="A1003" s="54">
        <f>IFERROR(IF(INDEX(SPOT_Import!$A$1:$Z$2488,1003,'Live Data'!$C$12)="","",INDEX(SPOT_Import!$A$1:$Z$2488,1003,'Live Data'!$C$12)),"")</f>
        <v>22152</v>
      </c>
      <c r="B1003" s="54" t="str">
        <f>IFERROR(IF(INDEX(SPOT_Import!$A$1:$Z$2488,1003,'Live Data'!$C$13)="","",INDEX(SPOT_Import!$A$1:$Z$2488,1003,'Live Data'!$C$13)),"")</f>
        <v>Kitololoni Catholic Dispensary</v>
      </c>
      <c r="C1003" s="54" t="str">
        <f>IFERROR(IF(INDEX(SPOT_Import!$A$1:$Z$2488,1003,'Live Data'!$C$14)="","",INDEX(SPOT_Import!$A$1:$Z$2488,1003,'Live Data'!$C$14)),"")</f>
        <v>EMBU</v>
      </c>
      <c r="D1003" s="54" t="str">
        <f>IFERROR(IF(INDEX(SPOT_Import!$A$1:$Z$2488,1003,'Live Data'!$C$15)="","",INDEX(SPOT_Import!$A$1:$Z$2488,1003,'Live Data'!$C$15)),"")</f>
        <v>Mbeere South</v>
      </c>
      <c r="E1003" s="54" t="str">
        <f>IFERROR(IF(INDEX(SPOT_Import!$A$1:$Z$2488,1003,'Live Data'!$C$16)="","",INDEX(SPOT_Import!$A$1:$Z$2488,1003,'Live Data'!$C$16)),"")</f>
        <v>CHAK CHAP STAWISHA</v>
      </c>
      <c r="F1003" s="54" t="str">
        <f>IFERROR(IF(INDEX(SPOT_Import!$A$1:$Z$2488,1003,'Live Data'!$C$17)="","",INDEX(SPOT_Import!$A$1:$Z$2488,1003,'Live Data'!$C$17)),"")</f>
        <v>CRS</v>
      </c>
      <c r="G1003" s="54">
        <f>IFERROR(IF(INDEX(SPOT_Import!$A$1:$Z$2488,1003,'Live Data'!$C$18)="","",INDEX(SPOT_Import!$A$1:$Z$2488,1003,'Live Data'!$C$18)),"")</f>
        <v>426</v>
      </c>
      <c r="H1003" s="54">
        <f>IFERROR(IF(INDEX(SPOT_Import!$A$1:$Z$2488,1003,'Live Data'!$C$19)="","",INDEX(SPOT_Import!$A$1:$Z$2488,1003,'Live Data'!$C$19)),"")</f>
        <v>426</v>
      </c>
      <c r="I1003" s="54" t="str">
        <f>IFERROR(IF(INDEX(SPOT_Import!$A$1:$Z$2488,1003,'Live Data'!$C$20)="","",INDEX(SPOT_Import!$A$1:$Z$2488,1003,'Live Data'!$C$20)),"")</f>
        <v>Complete</v>
      </c>
      <c r="J1003" s="54" t="str">
        <f>IFERROR(IF(INDEX(SPOT_Import!$A$1:$Z$2488,1003,'Live Data'!$C$21)="","",INDEX(SPOT_Import!$A$1:$Z$2488,1003,'Live Data'!$C$21)),"")</f>
        <v>2023-04-04T15:16:05.000Z</v>
      </c>
      <c r="K1003" s="54" t="str">
        <f>IFERROR(IF(INDEX(SPOT_Import!$A$1:$Z$2488,1003,'Live Data'!$C$22)="","",INDEX(SPOT_Import!$A$1:$Z$2488,1003,'Live Data'!$C$22)),"")</f>
        <v>2023-04-04T15:16:05.000Z</v>
      </c>
      <c r="L1003" s="55" t="str">
        <f t="shared" si="30"/>
        <v>2023-04</v>
      </c>
      <c r="M1003" s="55" t="str">
        <f t="shared" si="31"/>
        <v>EMBU</v>
      </c>
      <c r="N1003" s="55" t="str">
        <f>IF(A1003="","",IFERROR(INDEX('Cluster Map'!$A$4:$A$38,MATCH(M1003,'Cluster Map'!$B$4:$B$38,0)),"Unmapped"))</f>
        <v>Cluster 2</v>
      </c>
      <c r="O1003" s="55">
        <f>IF(A1003="",0,IF(COUNTIFS($A$2:A1003,A1003,$F$2:F1003,F1003,$L$2:L1003,L1003)=1,1,0))</f>
        <v>1</v>
      </c>
      <c r="P1003" s="55">
        <f>IF(A1003="",0,IF(AND(F1003="C&amp;T",COUNTIFS($A$2:A1003,A1003,$F$2:F1003,"C&amp;T")=1),1,0))</f>
        <v>0</v>
      </c>
    </row>
    <row r="1004" spans="1:16" x14ac:dyDescent="0.35">
      <c r="A1004" s="54">
        <f>IFERROR(IF(INDEX(SPOT_Import!$A$1:$Z$2488,1004,'Live Data'!$C$12)="","",INDEX(SPOT_Import!$A$1:$Z$2488,1004,'Live Data'!$C$12)),"")</f>
        <v>12745</v>
      </c>
      <c r="B1004" s="54" t="str">
        <f>IFERROR(IF(INDEX(SPOT_Import!$A$1:$Z$2488,1004,'Live Data'!$C$13)="","",INDEX(SPOT_Import!$A$1:$Z$2488,1004,'Live Data'!$C$13)),"")</f>
        <v>St Assisi Sisters of Mary Immaculate Nursing Home</v>
      </c>
      <c r="C1004" s="54" t="str">
        <f>IFERROR(IF(INDEX(SPOT_Import!$A$1:$Z$2488,1004,'Live Data'!$C$14)="","",INDEX(SPOT_Import!$A$1:$Z$2488,1004,'Live Data'!$C$14)),"")</f>
        <v>MACHAKOS</v>
      </c>
      <c r="D1004" s="54" t="str">
        <f>IFERROR(IF(INDEX(SPOT_Import!$A$1:$Z$2488,1004,'Live Data'!$C$15)="","",INDEX(SPOT_Import!$A$1:$Z$2488,1004,'Live Data'!$C$15)),"")</f>
        <v>Athi River</v>
      </c>
      <c r="E1004" s="54" t="str">
        <f>IFERROR(IF(INDEX(SPOT_Import!$A$1:$Z$2488,1004,'Live Data'!$C$16)="","",INDEX(SPOT_Import!$A$1:$Z$2488,1004,'Live Data'!$C$16)),"")</f>
        <v>CHAK CHAP STAWISHA</v>
      </c>
      <c r="F1004" s="54" t="str">
        <f>IFERROR(IF(INDEX(SPOT_Import!$A$1:$Z$2488,1004,'Live Data'!$C$17)="","",INDEX(SPOT_Import!$A$1:$Z$2488,1004,'Live Data'!$C$17)),"")</f>
        <v>CRS</v>
      </c>
      <c r="G1004" s="54">
        <f>IFERROR(IF(INDEX(SPOT_Import!$A$1:$Z$2488,1004,'Live Data'!$C$18)="","",INDEX(SPOT_Import!$A$1:$Z$2488,1004,'Live Data'!$C$18)),"")</f>
        <v>202</v>
      </c>
      <c r="H1004" s="54">
        <f>IFERROR(IF(INDEX(SPOT_Import!$A$1:$Z$2488,1004,'Live Data'!$C$19)="","",INDEX(SPOT_Import!$A$1:$Z$2488,1004,'Live Data'!$C$19)),"")</f>
        <v>202</v>
      </c>
      <c r="I1004" s="54" t="str">
        <f>IFERROR(IF(INDEX(SPOT_Import!$A$1:$Z$2488,1004,'Live Data'!$C$20)="","",INDEX(SPOT_Import!$A$1:$Z$2488,1004,'Live Data'!$C$20)),"")</f>
        <v>Complete</v>
      </c>
      <c r="J1004" s="54" t="str">
        <f>IFERROR(IF(INDEX(SPOT_Import!$A$1:$Z$2488,1004,'Live Data'!$C$21)="","",INDEX(SPOT_Import!$A$1:$Z$2488,1004,'Live Data'!$C$21)),"")</f>
        <v>2023-04-04T14:07:39.000Z</v>
      </c>
      <c r="K1004" s="54" t="str">
        <f>IFERROR(IF(INDEX(SPOT_Import!$A$1:$Z$2488,1004,'Live Data'!$C$22)="","",INDEX(SPOT_Import!$A$1:$Z$2488,1004,'Live Data'!$C$22)),"")</f>
        <v>2023-04-04T14:07:39.000Z</v>
      </c>
      <c r="L1004" s="55" t="str">
        <f t="shared" si="30"/>
        <v>2023-04</v>
      </c>
      <c r="M1004" s="55" t="str">
        <f t="shared" si="31"/>
        <v>MACHAKOS</v>
      </c>
      <c r="N1004" s="55" t="str">
        <f>IF(A1004="","",IFERROR(INDEX('Cluster Map'!$A$4:$A$38,MATCH(M1004,'Cluster Map'!$B$4:$B$38,0)),"Unmapped"))</f>
        <v>Cluster 5</v>
      </c>
      <c r="O1004" s="55">
        <f>IF(A1004="",0,IF(COUNTIFS($A$2:A1004,A1004,$F$2:F1004,F1004,$L$2:L1004,L1004)=1,1,0))</f>
        <v>1</v>
      </c>
      <c r="P1004" s="55">
        <f>IF(A1004="",0,IF(AND(F1004="C&amp;T",COUNTIFS($A$2:A1004,A1004,$F$2:F1004,"C&amp;T")=1),1,0))</f>
        <v>0</v>
      </c>
    </row>
    <row r="1005" spans="1:16" x14ac:dyDescent="0.35">
      <c r="A1005" s="54">
        <f>IFERROR(IF(INDEX(SPOT_Import!$A$1:$Z$2488,1005,'Live Data'!$C$12)="","",INDEX(SPOT_Import!$A$1:$Z$2488,1005,'Live Data'!$C$12)),"")</f>
        <v>11962</v>
      </c>
      <c r="B1005" s="54" t="str">
        <f>IFERROR(IF(INDEX(SPOT_Import!$A$1:$Z$2488,1005,'Live Data'!$C$13)="","",INDEX(SPOT_Import!$A$1:$Z$2488,1005,'Live Data'!$C$13)),"")</f>
        <v>Kambu Catholic Dispensary</v>
      </c>
      <c r="C1005" s="54" t="str">
        <f>IFERROR(IF(INDEX(SPOT_Import!$A$1:$Z$2488,1005,'Live Data'!$C$14)="","",INDEX(SPOT_Import!$A$1:$Z$2488,1005,'Live Data'!$C$14)),"")</f>
        <v>MAKUENI</v>
      </c>
      <c r="D1005" s="54" t="str">
        <f>IFERROR(IF(INDEX(SPOT_Import!$A$1:$Z$2488,1005,'Live Data'!$C$15)="","",INDEX(SPOT_Import!$A$1:$Z$2488,1005,'Live Data'!$C$15)),"")</f>
        <v>Kibwezi East</v>
      </c>
      <c r="E1005" s="54" t="str">
        <f>IFERROR(IF(INDEX(SPOT_Import!$A$1:$Z$2488,1005,'Live Data'!$C$16)="","",INDEX(SPOT_Import!$A$1:$Z$2488,1005,'Live Data'!$C$16)),"")</f>
        <v>CHAK CHAP STAWISHA</v>
      </c>
      <c r="F1005" s="54" t="str">
        <f>IFERROR(IF(INDEX(SPOT_Import!$A$1:$Z$2488,1005,'Live Data'!$C$17)="","",INDEX(SPOT_Import!$A$1:$Z$2488,1005,'Live Data'!$C$17)),"")</f>
        <v>CRS</v>
      </c>
      <c r="G1005" s="54">
        <f>IFERROR(IF(INDEX(SPOT_Import!$A$1:$Z$2488,1005,'Live Data'!$C$18)="","",INDEX(SPOT_Import!$A$1:$Z$2488,1005,'Live Data'!$C$18)),"")</f>
        <v>671</v>
      </c>
      <c r="H1005" s="54">
        <f>IFERROR(IF(INDEX(SPOT_Import!$A$1:$Z$2488,1005,'Live Data'!$C$19)="","",INDEX(SPOT_Import!$A$1:$Z$2488,1005,'Live Data'!$C$19)),"")</f>
        <v>671</v>
      </c>
      <c r="I1005" s="54" t="str">
        <f>IFERROR(IF(INDEX(SPOT_Import!$A$1:$Z$2488,1005,'Live Data'!$C$20)="","",INDEX(SPOT_Import!$A$1:$Z$2488,1005,'Live Data'!$C$20)),"")</f>
        <v>Complete</v>
      </c>
      <c r="J1005" s="54" t="str">
        <f>IFERROR(IF(INDEX(SPOT_Import!$A$1:$Z$2488,1005,'Live Data'!$C$21)="","",INDEX(SPOT_Import!$A$1:$Z$2488,1005,'Live Data'!$C$21)),"")</f>
        <v>2023-04-04T13:21:25.000Z</v>
      </c>
      <c r="K1005" s="54" t="str">
        <f>IFERROR(IF(INDEX(SPOT_Import!$A$1:$Z$2488,1005,'Live Data'!$C$22)="","",INDEX(SPOT_Import!$A$1:$Z$2488,1005,'Live Data'!$C$22)),"")</f>
        <v>2023-04-04T13:21:25.000Z</v>
      </c>
      <c r="L1005" s="55" t="str">
        <f t="shared" si="30"/>
        <v>2023-04</v>
      </c>
      <c r="M1005" s="55" t="str">
        <f t="shared" si="31"/>
        <v>MAKUENI</v>
      </c>
      <c r="N1005" s="55" t="str">
        <f>IF(A1005="","",IFERROR(INDEX('Cluster Map'!$A$4:$A$38,MATCH(M1005,'Cluster Map'!$B$4:$B$38,0)),"Unmapped"))</f>
        <v>Cluster 5</v>
      </c>
      <c r="O1005" s="55">
        <f>IF(A1005="",0,IF(COUNTIFS($A$2:A1005,A1005,$F$2:F1005,F1005,$L$2:L1005,L1005)=1,1,0))</f>
        <v>1</v>
      </c>
      <c r="P1005" s="55">
        <f>IF(A1005="",0,IF(AND(F1005="C&amp;T",COUNTIFS($A$2:A1005,A1005,$F$2:F1005,"C&amp;T")=1),1,0))</f>
        <v>0</v>
      </c>
    </row>
    <row r="1006" spans="1:16" x14ac:dyDescent="0.35">
      <c r="A1006" s="54">
        <f>IFERROR(IF(INDEX(SPOT_Import!$A$1:$Z$2488,1006,'Live Data'!$C$12)="","",INDEX(SPOT_Import!$A$1:$Z$2488,1006,'Live Data'!$C$12)),"")</f>
        <v>11069</v>
      </c>
      <c r="B1006" s="54" t="str">
        <f>IFERROR(IF(INDEX(SPOT_Import!$A$1:$Z$2488,1006,'Live Data'!$C$13)="","",INDEX(SPOT_Import!$A$1:$Z$2488,1006,'Live Data'!$C$13)),"")</f>
        <v>St Teresa Catholic Dispensary</v>
      </c>
      <c r="C1006" s="54" t="str">
        <f>IFERROR(IF(INDEX(SPOT_Import!$A$1:$Z$2488,1006,'Live Data'!$C$14)="","",INDEX(SPOT_Import!$A$1:$Z$2488,1006,'Live Data'!$C$14)),"")</f>
        <v>KIRINYAGA</v>
      </c>
      <c r="D1006" s="54" t="str">
        <f>IFERROR(IF(INDEX(SPOT_Import!$A$1:$Z$2488,1006,'Live Data'!$C$15)="","",INDEX(SPOT_Import!$A$1:$Z$2488,1006,'Live Data'!$C$15)),"")</f>
        <v>Kirinyaga North/Mwea West</v>
      </c>
      <c r="E1006" s="54" t="str">
        <f>IFERROR(IF(INDEX(SPOT_Import!$A$1:$Z$2488,1006,'Live Data'!$C$16)="","",INDEX(SPOT_Import!$A$1:$Z$2488,1006,'Live Data'!$C$16)),"")</f>
        <v>CHAK CHAP STAWISHA</v>
      </c>
      <c r="F1006" s="54" t="str">
        <f>IFERROR(IF(INDEX(SPOT_Import!$A$1:$Z$2488,1006,'Live Data'!$C$17)="","",INDEX(SPOT_Import!$A$1:$Z$2488,1006,'Live Data'!$C$17)),"")</f>
        <v>CRS</v>
      </c>
      <c r="G1006" s="54">
        <f>IFERROR(IF(INDEX(SPOT_Import!$A$1:$Z$2488,1006,'Live Data'!$C$18)="","",INDEX(SPOT_Import!$A$1:$Z$2488,1006,'Live Data'!$C$18)),"")</f>
        <v>650</v>
      </c>
      <c r="H1006" s="54" t="str">
        <f>IFERROR(IF(INDEX(SPOT_Import!$A$1:$Z$2488,1006,'Live Data'!$C$19)="","",INDEX(SPOT_Import!$A$1:$Z$2488,1006,'Live Data'!$C$19)),"")</f>
        <v/>
      </c>
      <c r="I1006" s="54" t="str">
        <f>IFERROR(IF(INDEX(SPOT_Import!$A$1:$Z$2488,1006,'Live Data'!$C$20)="","",INDEX(SPOT_Import!$A$1:$Z$2488,1006,'Live Data'!$C$20)),"")</f>
        <v>Complete</v>
      </c>
      <c r="J1006" s="54" t="str">
        <f>IFERROR(IF(INDEX(SPOT_Import!$A$1:$Z$2488,1006,'Live Data'!$C$21)="","",INDEX(SPOT_Import!$A$1:$Z$2488,1006,'Live Data'!$C$21)),"")</f>
        <v>2023-04-04T12:27:05.000Z</v>
      </c>
      <c r="K1006" s="54" t="str">
        <f>IFERROR(IF(INDEX(SPOT_Import!$A$1:$Z$2488,1006,'Live Data'!$C$22)="","",INDEX(SPOT_Import!$A$1:$Z$2488,1006,'Live Data'!$C$22)),"")</f>
        <v>2023-04-04T12:27:05.000Z</v>
      </c>
      <c r="L1006" s="55" t="str">
        <f t="shared" si="30"/>
        <v>2023-04</v>
      </c>
      <c r="M1006" s="55" t="str">
        <f t="shared" si="31"/>
        <v>KIRINYAGA</v>
      </c>
      <c r="N1006" s="55" t="str">
        <f>IF(A1006="","",IFERROR(INDEX('Cluster Map'!$A$4:$A$38,MATCH(M1006,'Cluster Map'!$B$4:$B$38,0)),"Unmapped"))</f>
        <v>Cluster 2</v>
      </c>
      <c r="O1006" s="55">
        <f>IF(A1006="",0,IF(COUNTIFS($A$2:A1006,A1006,$F$2:F1006,F1006,$L$2:L1006,L1006)=1,1,0))</f>
        <v>1</v>
      </c>
      <c r="P1006" s="55">
        <f>IF(A1006="",0,IF(AND(F1006="C&amp;T",COUNTIFS($A$2:A1006,A1006,$F$2:F1006,"C&amp;T")=1),1,0))</f>
        <v>0</v>
      </c>
    </row>
    <row r="1007" spans="1:16" x14ac:dyDescent="0.35">
      <c r="A1007" s="54">
        <f>IFERROR(IF(INDEX(SPOT_Import!$A$1:$Z$2488,1007,'Live Data'!$C$12)="","",INDEX(SPOT_Import!$A$1:$Z$2488,1007,'Live Data'!$C$12)),"")</f>
        <v>11970</v>
      </c>
      <c r="B1007" s="54" t="str">
        <f>IFERROR(IF(INDEX(SPOT_Import!$A$1:$Z$2488,1007,'Live Data'!$C$13)="","",INDEX(SPOT_Import!$A$1:$Z$2488,1007,'Live Data'!$C$13)),"")</f>
        <v>Chogoria (PCEA) Hospital</v>
      </c>
      <c r="C1007" s="54" t="str">
        <f>IFERROR(IF(INDEX(SPOT_Import!$A$1:$Z$2488,1007,'Live Data'!$C$14)="","",INDEX(SPOT_Import!$A$1:$Z$2488,1007,'Live Data'!$C$14)),"")</f>
        <v>THARAKA - NITHI</v>
      </c>
      <c r="D1007" s="54" t="str">
        <f>IFERROR(IF(INDEX(SPOT_Import!$A$1:$Z$2488,1007,'Live Data'!$C$15)="","",INDEX(SPOT_Import!$A$1:$Z$2488,1007,'Live Data'!$C$15)),"")</f>
        <v>MWIMBI</v>
      </c>
      <c r="E1007" s="54" t="str">
        <f>IFERROR(IF(INDEX(SPOT_Import!$A$1:$Z$2488,1007,'Live Data'!$C$16)="","",INDEX(SPOT_Import!$A$1:$Z$2488,1007,'Live Data'!$C$16)),"")</f>
        <v>CHAK CHAP STAWISHA</v>
      </c>
      <c r="F1007" s="54" t="str">
        <f>IFERROR(IF(INDEX(SPOT_Import!$A$1:$Z$2488,1007,'Live Data'!$C$17)="","",INDEX(SPOT_Import!$A$1:$Z$2488,1007,'Live Data'!$C$17)),"")</f>
        <v>CRS</v>
      </c>
      <c r="G1007" s="54">
        <f>IFERROR(IF(INDEX(SPOT_Import!$A$1:$Z$2488,1007,'Live Data'!$C$18)="","",INDEX(SPOT_Import!$A$1:$Z$2488,1007,'Live Data'!$C$18)),"")</f>
        <v>6143</v>
      </c>
      <c r="H1007" s="54">
        <f>IFERROR(IF(INDEX(SPOT_Import!$A$1:$Z$2488,1007,'Live Data'!$C$19)="","",INDEX(SPOT_Import!$A$1:$Z$2488,1007,'Live Data'!$C$19)),"")</f>
        <v>18409</v>
      </c>
      <c r="I1007" s="54" t="str">
        <f>IFERROR(IF(INDEX(SPOT_Import!$A$1:$Z$2488,1007,'Live Data'!$C$20)="","",INDEX(SPOT_Import!$A$1:$Z$2488,1007,'Live Data'!$C$20)),"")</f>
        <v>Complete</v>
      </c>
      <c r="J1007" s="54" t="str">
        <f>IFERROR(IF(INDEX(SPOT_Import!$A$1:$Z$2488,1007,'Live Data'!$C$21)="","",INDEX(SPOT_Import!$A$1:$Z$2488,1007,'Live Data'!$C$21)),"")</f>
        <v>2023-04-04T10:40:20.000Z</v>
      </c>
      <c r="K1007" s="54" t="str">
        <f>IFERROR(IF(INDEX(SPOT_Import!$A$1:$Z$2488,1007,'Live Data'!$C$22)="","",INDEX(SPOT_Import!$A$1:$Z$2488,1007,'Live Data'!$C$22)),"")</f>
        <v>2023-04-04T10:40:20.000Z</v>
      </c>
      <c r="L1007" s="55" t="str">
        <f t="shared" si="30"/>
        <v>2023-04</v>
      </c>
      <c r="M1007" s="55" t="str">
        <f t="shared" si="31"/>
        <v>THARAKA-NITHI</v>
      </c>
      <c r="N1007" s="55" t="str">
        <f>IF(A1007="","",IFERROR(INDEX('Cluster Map'!$A$4:$A$38,MATCH(M1007,'Cluster Map'!$B$4:$B$38,0)),"Unmapped"))</f>
        <v>Cluster 2</v>
      </c>
      <c r="O1007" s="55">
        <f>IF(A1007="",0,IF(COUNTIFS($A$2:A1007,A1007,$F$2:F1007,F1007,$L$2:L1007,L1007)=1,1,0))</f>
        <v>1</v>
      </c>
      <c r="P1007" s="55">
        <f>IF(A1007="",0,IF(AND(F1007="C&amp;T",COUNTIFS($A$2:A1007,A1007,$F$2:F1007,"C&amp;T")=1),1,0))</f>
        <v>0</v>
      </c>
    </row>
    <row r="1008" spans="1:16" x14ac:dyDescent="0.35">
      <c r="A1008" s="54">
        <f>IFERROR(IF(INDEX(SPOT_Import!$A$1:$Z$2488,1008,'Live Data'!$C$12)="","",INDEX(SPOT_Import!$A$1:$Z$2488,1008,'Live Data'!$C$12)),"")</f>
        <v>20579</v>
      </c>
      <c r="B1008" s="54" t="str">
        <f>IFERROR(IF(INDEX(SPOT_Import!$A$1:$Z$2488,1008,'Live Data'!$C$13)="","",INDEX(SPOT_Import!$A$1:$Z$2488,1008,'Live Data'!$C$13)),"")</f>
        <v>Kaliani Dispensary</v>
      </c>
      <c r="C1008" s="54" t="str">
        <f>IFERROR(IF(INDEX(SPOT_Import!$A$1:$Z$2488,1008,'Live Data'!$C$14)="","",INDEX(SPOT_Import!$A$1:$Z$2488,1008,'Live Data'!$C$14)),"")</f>
        <v>KITUI</v>
      </c>
      <c r="D1008" s="54" t="str">
        <f>IFERROR(IF(INDEX(SPOT_Import!$A$1:$Z$2488,1008,'Live Data'!$C$15)="","",INDEX(SPOT_Import!$A$1:$Z$2488,1008,'Live Data'!$C$15)),"")</f>
        <v>Kitui South</v>
      </c>
      <c r="E1008" s="54" t="str">
        <f>IFERROR(IF(INDEX(SPOT_Import!$A$1:$Z$2488,1008,'Live Data'!$C$16)="","",INDEX(SPOT_Import!$A$1:$Z$2488,1008,'Live Data'!$C$16)),"")</f>
        <v>CHAK CHAP STAWISHA</v>
      </c>
      <c r="F1008" s="54" t="str">
        <f>IFERROR(IF(INDEX(SPOT_Import!$A$1:$Z$2488,1008,'Live Data'!$C$17)="","",INDEX(SPOT_Import!$A$1:$Z$2488,1008,'Live Data'!$C$17)),"")</f>
        <v>CRS</v>
      </c>
      <c r="G1008" s="54">
        <f>IFERROR(IF(INDEX(SPOT_Import!$A$1:$Z$2488,1008,'Live Data'!$C$18)="","",INDEX(SPOT_Import!$A$1:$Z$2488,1008,'Live Data'!$C$18)),"")</f>
        <v>68</v>
      </c>
      <c r="H1008" s="54">
        <f>IFERROR(IF(INDEX(SPOT_Import!$A$1:$Z$2488,1008,'Live Data'!$C$19)="","",INDEX(SPOT_Import!$A$1:$Z$2488,1008,'Live Data'!$C$19)),"")</f>
        <v>68</v>
      </c>
      <c r="I1008" s="54" t="str">
        <f>IFERROR(IF(INDEX(SPOT_Import!$A$1:$Z$2488,1008,'Live Data'!$C$20)="","",INDEX(SPOT_Import!$A$1:$Z$2488,1008,'Live Data'!$C$20)),"")</f>
        <v>Complete</v>
      </c>
      <c r="J1008" s="54" t="str">
        <f>IFERROR(IF(INDEX(SPOT_Import!$A$1:$Z$2488,1008,'Live Data'!$C$21)="","",INDEX(SPOT_Import!$A$1:$Z$2488,1008,'Live Data'!$C$21)),"")</f>
        <v>2023-04-04T10:18:37.000Z</v>
      </c>
      <c r="K1008" s="54" t="str">
        <f>IFERROR(IF(INDEX(SPOT_Import!$A$1:$Z$2488,1008,'Live Data'!$C$22)="","",INDEX(SPOT_Import!$A$1:$Z$2488,1008,'Live Data'!$C$22)),"")</f>
        <v>2023-04-04T10:18:37.000Z</v>
      </c>
      <c r="L1008" s="55" t="str">
        <f t="shared" si="30"/>
        <v>2023-04</v>
      </c>
      <c r="M1008" s="55" t="str">
        <f t="shared" si="31"/>
        <v>KITUI</v>
      </c>
      <c r="N1008" s="55" t="str">
        <f>IF(A1008="","",IFERROR(INDEX('Cluster Map'!$A$4:$A$38,MATCH(M1008,'Cluster Map'!$B$4:$B$38,0)),"Unmapped"))</f>
        <v>Cluster 5</v>
      </c>
      <c r="O1008" s="55">
        <f>IF(A1008="",0,IF(COUNTIFS($A$2:A1008,A1008,$F$2:F1008,F1008,$L$2:L1008,L1008)=1,1,0))</f>
        <v>1</v>
      </c>
      <c r="P1008" s="55">
        <f>IF(A1008="",0,IF(AND(F1008="C&amp;T",COUNTIFS($A$2:A1008,A1008,$F$2:F1008,"C&amp;T")=1),1,0))</f>
        <v>0</v>
      </c>
    </row>
    <row r="1009" spans="1:16" x14ac:dyDescent="0.35">
      <c r="A1009" s="54">
        <f>IFERROR(IF(INDEX(SPOT_Import!$A$1:$Z$2488,1009,'Live Data'!$C$12)="","",INDEX(SPOT_Import!$A$1:$Z$2488,1009,'Live Data'!$C$12)),"")</f>
        <v>16742</v>
      </c>
      <c r="B1009" s="54" t="str">
        <f>IFERROR(IF(INDEX(SPOT_Import!$A$1:$Z$2488,1009,'Live Data'!$C$13)="","",INDEX(SPOT_Import!$A$1:$Z$2488,1009,'Live Data'!$C$13)),"")</f>
        <v>St Mark Medical Clinic - Tala</v>
      </c>
      <c r="C1009" s="54" t="str">
        <f>IFERROR(IF(INDEX(SPOT_Import!$A$1:$Z$2488,1009,'Live Data'!$C$14)="","",INDEX(SPOT_Import!$A$1:$Z$2488,1009,'Live Data'!$C$14)),"")</f>
        <v>MACHAKOS</v>
      </c>
      <c r="D1009" s="54" t="str">
        <f>IFERROR(IF(INDEX(SPOT_Import!$A$1:$Z$2488,1009,'Live Data'!$C$15)="","",INDEX(SPOT_Import!$A$1:$Z$2488,1009,'Live Data'!$C$15)),"")</f>
        <v>Matungulu</v>
      </c>
      <c r="E1009" s="54" t="str">
        <f>IFERROR(IF(INDEX(SPOT_Import!$A$1:$Z$2488,1009,'Live Data'!$C$16)="","",INDEX(SPOT_Import!$A$1:$Z$2488,1009,'Live Data'!$C$16)),"")</f>
        <v>CHAK CHAP STAWISHA</v>
      </c>
      <c r="F1009" s="54" t="str">
        <f>IFERROR(IF(INDEX(SPOT_Import!$A$1:$Z$2488,1009,'Live Data'!$C$17)="","",INDEX(SPOT_Import!$A$1:$Z$2488,1009,'Live Data'!$C$17)),"")</f>
        <v>CRS</v>
      </c>
      <c r="G1009" s="54">
        <f>IFERROR(IF(INDEX(SPOT_Import!$A$1:$Z$2488,1009,'Live Data'!$C$18)="","",INDEX(SPOT_Import!$A$1:$Z$2488,1009,'Live Data'!$C$18)),"")</f>
        <v>201</v>
      </c>
      <c r="H1009" s="54">
        <f>IFERROR(IF(INDEX(SPOT_Import!$A$1:$Z$2488,1009,'Live Data'!$C$19)="","",INDEX(SPOT_Import!$A$1:$Z$2488,1009,'Live Data'!$C$19)),"")</f>
        <v>201</v>
      </c>
      <c r="I1009" s="54" t="str">
        <f>IFERROR(IF(INDEX(SPOT_Import!$A$1:$Z$2488,1009,'Live Data'!$C$20)="","",INDEX(SPOT_Import!$A$1:$Z$2488,1009,'Live Data'!$C$20)),"")</f>
        <v>Complete</v>
      </c>
      <c r="J1009" s="54" t="str">
        <f>IFERROR(IF(INDEX(SPOT_Import!$A$1:$Z$2488,1009,'Live Data'!$C$21)="","",INDEX(SPOT_Import!$A$1:$Z$2488,1009,'Live Data'!$C$21)),"")</f>
        <v>2023-04-04T10:10:01.000Z</v>
      </c>
      <c r="K1009" s="54" t="str">
        <f>IFERROR(IF(INDEX(SPOT_Import!$A$1:$Z$2488,1009,'Live Data'!$C$22)="","",INDEX(SPOT_Import!$A$1:$Z$2488,1009,'Live Data'!$C$22)),"")</f>
        <v>2023-04-04T10:10:01.000Z</v>
      </c>
      <c r="L1009" s="55" t="str">
        <f t="shared" si="30"/>
        <v>2023-04</v>
      </c>
      <c r="M1009" s="55" t="str">
        <f t="shared" si="31"/>
        <v>MACHAKOS</v>
      </c>
      <c r="N1009" s="55" t="str">
        <f>IF(A1009="","",IFERROR(INDEX('Cluster Map'!$A$4:$A$38,MATCH(M1009,'Cluster Map'!$B$4:$B$38,0)),"Unmapped"))</f>
        <v>Cluster 5</v>
      </c>
      <c r="O1009" s="55">
        <f>IF(A1009="",0,IF(COUNTIFS($A$2:A1009,A1009,$F$2:F1009,F1009,$L$2:L1009,L1009)=1,1,0))</f>
        <v>1</v>
      </c>
      <c r="P1009" s="55">
        <f>IF(A1009="",0,IF(AND(F1009="C&amp;T",COUNTIFS($A$2:A1009,A1009,$F$2:F1009,"C&amp;T")=1),1,0))</f>
        <v>0</v>
      </c>
    </row>
    <row r="1010" spans="1:16" x14ac:dyDescent="0.35">
      <c r="A1010" s="54">
        <f>IFERROR(IF(INDEX(SPOT_Import!$A$1:$Z$2488,1010,'Live Data'!$C$12)="","",INDEX(SPOT_Import!$A$1:$Z$2488,1010,'Live Data'!$C$12)),"")</f>
        <v>12204</v>
      </c>
      <c r="B1010" s="54" t="str">
        <f>IFERROR(IF(INDEX(SPOT_Import!$A$1:$Z$2488,1010,'Live Data'!$C$13)="","",INDEX(SPOT_Import!$A$1:$Z$2488,1010,'Live Data'!$C$13)),"")</f>
        <v>Kasaala Health Centre</v>
      </c>
      <c r="C1010" s="54" t="str">
        <f>IFERROR(IF(INDEX(SPOT_Import!$A$1:$Z$2488,1010,'Live Data'!$C$14)="","",INDEX(SPOT_Import!$A$1:$Z$2488,1010,'Live Data'!$C$14)),"")</f>
        <v>KITUI</v>
      </c>
      <c r="D1010" s="54" t="str">
        <f>IFERROR(IF(INDEX(SPOT_Import!$A$1:$Z$2488,1010,'Live Data'!$C$15)="","",INDEX(SPOT_Import!$A$1:$Z$2488,1010,'Live Data'!$C$15)),"")</f>
        <v>Kitui South</v>
      </c>
      <c r="E1010" s="54" t="str">
        <f>IFERROR(IF(INDEX(SPOT_Import!$A$1:$Z$2488,1010,'Live Data'!$C$16)="","",INDEX(SPOT_Import!$A$1:$Z$2488,1010,'Live Data'!$C$16)),"")</f>
        <v>CHAK CHAP STAWISHA</v>
      </c>
      <c r="F1010" s="54" t="str">
        <f>IFERROR(IF(INDEX(SPOT_Import!$A$1:$Z$2488,1010,'Live Data'!$C$17)="","",INDEX(SPOT_Import!$A$1:$Z$2488,1010,'Live Data'!$C$17)),"")</f>
        <v>CRS</v>
      </c>
      <c r="G1010" s="54">
        <f>IFERROR(IF(INDEX(SPOT_Import!$A$1:$Z$2488,1010,'Live Data'!$C$18)="","",INDEX(SPOT_Import!$A$1:$Z$2488,1010,'Live Data'!$C$18)),"")</f>
        <v>302</v>
      </c>
      <c r="H1010" s="54">
        <f>IFERROR(IF(INDEX(SPOT_Import!$A$1:$Z$2488,1010,'Live Data'!$C$19)="","",INDEX(SPOT_Import!$A$1:$Z$2488,1010,'Live Data'!$C$19)),"")</f>
        <v>302</v>
      </c>
      <c r="I1010" s="54" t="str">
        <f>IFERROR(IF(INDEX(SPOT_Import!$A$1:$Z$2488,1010,'Live Data'!$C$20)="","",INDEX(SPOT_Import!$A$1:$Z$2488,1010,'Live Data'!$C$20)),"")</f>
        <v>Complete</v>
      </c>
      <c r="J1010" s="54" t="str">
        <f>IFERROR(IF(INDEX(SPOT_Import!$A$1:$Z$2488,1010,'Live Data'!$C$21)="","",INDEX(SPOT_Import!$A$1:$Z$2488,1010,'Live Data'!$C$21)),"")</f>
        <v>2023-04-04T09:22:51.000Z</v>
      </c>
      <c r="K1010" s="54" t="str">
        <f>IFERROR(IF(INDEX(SPOT_Import!$A$1:$Z$2488,1010,'Live Data'!$C$22)="","",INDEX(SPOT_Import!$A$1:$Z$2488,1010,'Live Data'!$C$22)),"")</f>
        <v>2023-04-04T09:22:51.000Z</v>
      </c>
      <c r="L1010" s="55" t="str">
        <f t="shared" si="30"/>
        <v>2023-04</v>
      </c>
      <c r="M1010" s="55" t="str">
        <f t="shared" si="31"/>
        <v>KITUI</v>
      </c>
      <c r="N1010" s="55" t="str">
        <f>IF(A1010="","",IFERROR(INDEX('Cluster Map'!$A$4:$A$38,MATCH(M1010,'Cluster Map'!$B$4:$B$38,0)),"Unmapped"))</f>
        <v>Cluster 5</v>
      </c>
      <c r="O1010" s="55">
        <f>IF(A1010="",0,IF(COUNTIFS($A$2:A1010,A1010,$F$2:F1010,F1010,$L$2:L1010,L1010)=1,1,0))</f>
        <v>1</v>
      </c>
      <c r="P1010" s="55">
        <f>IF(A1010="",0,IF(AND(F1010="C&amp;T",COUNTIFS($A$2:A1010,A1010,$F$2:F1010,"C&amp;T")=1),1,0))</f>
        <v>0</v>
      </c>
    </row>
    <row r="1011" spans="1:16" x14ac:dyDescent="0.35">
      <c r="A1011" s="54">
        <f>IFERROR(IF(INDEX(SPOT_Import!$A$1:$Z$2488,1011,'Live Data'!$C$12)="","",INDEX(SPOT_Import!$A$1:$Z$2488,1011,'Live Data'!$C$12)),"")</f>
        <v>14553</v>
      </c>
      <c r="B1011" s="54" t="str">
        <f>IFERROR(IF(INDEX(SPOT_Import!$A$1:$Z$2488,1011,'Live Data'!$C$13)="","",INDEX(SPOT_Import!$A$1:$Z$2488,1011,'Live Data'!$C$13)),"")</f>
        <v>Mother Angela Huruma Hospital</v>
      </c>
      <c r="C1011" s="54" t="str">
        <f>IFERROR(IF(INDEX(SPOT_Import!$A$1:$Z$2488,1011,'Live Data'!$C$14)="","",INDEX(SPOT_Import!$A$1:$Z$2488,1011,'Live Data'!$C$14)),"")</f>
        <v>LAIKIPIA</v>
      </c>
      <c r="D1011" s="54" t="str">
        <f>IFERROR(IF(INDEX(SPOT_Import!$A$1:$Z$2488,1011,'Live Data'!$C$15)="","",INDEX(SPOT_Import!$A$1:$Z$2488,1011,'Live Data'!$C$15)),"")</f>
        <v>Laikipia East</v>
      </c>
      <c r="E1011" s="54" t="str">
        <f>IFERROR(IF(INDEX(SPOT_Import!$A$1:$Z$2488,1011,'Live Data'!$C$16)="","",INDEX(SPOT_Import!$A$1:$Z$2488,1011,'Live Data'!$C$16)),"")</f>
        <v>CHAK CHAP STAWISHA</v>
      </c>
      <c r="F1011" s="54" t="str">
        <f>IFERROR(IF(INDEX(SPOT_Import!$A$1:$Z$2488,1011,'Live Data'!$C$17)="","",INDEX(SPOT_Import!$A$1:$Z$2488,1011,'Live Data'!$C$17)),"")</f>
        <v>CRS</v>
      </c>
      <c r="G1011" s="54">
        <f>IFERROR(IF(INDEX(SPOT_Import!$A$1:$Z$2488,1011,'Live Data'!$C$18)="","",INDEX(SPOT_Import!$A$1:$Z$2488,1011,'Live Data'!$C$18)),"")</f>
        <v>2650</v>
      </c>
      <c r="H1011" s="54">
        <f>IFERROR(IF(INDEX(SPOT_Import!$A$1:$Z$2488,1011,'Live Data'!$C$19)="","",INDEX(SPOT_Import!$A$1:$Z$2488,1011,'Live Data'!$C$19)),"")</f>
        <v>2650</v>
      </c>
      <c r="I1011" s="54" t="str">
        <f>IFERROR(IF(INDEX(SPOT_Import!$A$1:$Z$2488,1011,'Live Data'!$C$20)="","",INDEX(SPOT_Import!$A$1:$Z$2488,1011,'Live Data'!$C$20)),"")</f>
        <v>Complete</v>
      </c>
      <c r="J1011" s="54" t="str">
        <f>IFERROR(IF(INDEX(SPOT_Import!$A$1:$Z$2488,1011,'Live Data'!$C$21)="","",INDEX(SPOT_Import!$A$1:$Z$2488,1011,'Live Data'!$C$21)),"")</f>
        <v>2023-04-04T08:53:49.000Z</v>
      </c>
      <c r="K1011" s="54" t="str">
        <f>IFERROR(IF(INDEX(SPOT_Import!$A$1:$Z$2488,1011,'Live Data'!$C$22)="","",INDEX(SPOT_Import!$A$1:$Z$2488,1011,'Live Data'!$C$22)),"")</f>
        <v>2023-04-04T08:53:49.000Z</v>
      </c>
      <c r="L1011" s="55" t="str">
        <f t="shared" si="30"/>
        <v>2023-04</v>
      </c>
      <c r="M1011" s="55" t="str">
        <f t="shared" si="31"/>
        <v>LAIKIPIA</v>
      </c>
      <c r="N1011" s="55" t="str">
        <f>IF(A1011="","",IFERROR(INDEX('Cluster Map'!$A$4:$A$38,MATCH(M1011,'Cluster Map'!$B$4:$B$38,0)),"Unmapped"))</f>
        <v>Cluster 1</v>
      </c>
      <c r="O1011" s="55">
        <f>IF(A1011="",0,IF(COUNTIFS($A$2:A1011,A1011,$F$2:F1011,F1011,$L$2:L1011,L1011)=1,1,0))</f>
        <v>1</v>
      </c>
      <c r="P1011" s="55">
        <f>IF(A1011="",0,IF(AND(F1011="C&amp;T",COUNTIFS($A$2:A1011,A1011,$F$2:F1011,"C&amp;T")=1),1,0))</f>
        <v>0</v>
      </c>
    </row>
    <row r="1012" spans="1:16" x14ac:dyDescent="0.35">
      <c r="A1012" s="54">
        <f>IFERROR(IF(INDEX(SPOT_Import!$A$1:$Z$2488,1012,'Live Data'!$C$12)="","",INDEX(SPOT_Import!$A$1:$Z$2488,1012,'Live Data'!$C$12)),"")</f>
        <v>15652</v>
      </c>
      <c r="B1012" s="54" t="str">
        <f>IFERROR(IF(INDEX(SPOT_Import!$A$1:$Z$2488,1012,'Live Data'!$C$13)="","",INDEX(SPOT_Import!$A$1:$Z$2488,1012,'Live Data'!$C$13)),"")</f>
        <v>St Mary Health Centre (Kiserian)</v>
      </c>
      <c r="C1012" s="54" t="str">
        <f>IFERROR(IF(INDEX(SPOT_Import!$A$1:$Z$2488,1012,'Live Data'!$C$14)="","",INDEX(SPOT_Import!$A$1:$Z$2488,1012,'Live Data'!$C$14)),"")</f>
        <v>KAJIADO</v>
      </c>
      <c r="D1012" s="54" t="str">
        <f>IFERROR(IF(INDEX(SPOT_Import!$A$1:$Z$2488,1012,'Live Data'!$C$15)="","",INDEX(SPOT_Import!$A$1:$Z$2488,1012,'Live Data'!$C$15)),"")</f>
        <v>Kajiado West</v>
      </c>
      <c r="E1012" s="54" t="str">
        <f>IFERROR(IF(INDEX(SPOT_Import!$A$1:$Z$2488,1012,'Live Data'!$C$16)="","",INDEX(SPOT_Import!$A$1:$Z$2488,1012,'Live Data'!$C$16)),"")</f>
        <v>CHAK CHAP STAWISHA</v>
      </c>
      <c r="F1012" s="54" t="str">
        <f>IFERROR(IF(INDEX(SPOT_Import!$A$1:$Z$2488,1012,'Live Data'!$C$17)="","",INDEX(SPOT_Import!$A$1:$Z$2488,1012,'Live Data'!$C$17)),"")</f>
        <v>CRS</v>
      </c>
      <c r="G1012" s="54">
        <f>IFERROR(IF(INDEX(SPOT_Import!$A$1:$Z$2488,1012,'Live Data'!$C$18)="","",INDEX(SPOT_Import!$A$1:$Z$2488,1012,'Live Data'!$C$18)),"")</f>
        <v>1113</v>
      </c>
      <c r="H1012" s="54">
        <f>IFERROR(IF(INDEX(SPOT_Import!$A$1:$Z$2488,1012,'Live Data'!$C$19)="","",INDEX(SPOT_Import!$A$1:$Z$2488,1012,'Live Data'!$C$19)),"")</f>
        <v>1113</v>
      </c>
      <c r="I1012" s="54" t="str">
        <f>IFERROR(IF(INDEX(SPOT_Import!$A$1:$Z$2488,1012,'Live Data'!$C$20)="","",INDEX(SPOT_Import!$A$1:$Z$2488,1012,'Live Data'!$C$20)),"")</f>
        <v>Complete</v>
      </c>
      <c r="J1012" s="54" t="str">
        <f>IFERROR(IF(INDEX(SPOT_Import!$A$1:$Z$2488,1012,'Live Data'!$C$21)="","",INDEX(SPOT_Import!$A$1:$Z$2488,1012,'Live Data'!$C$21)),"")</f>
        <v>2023-04-04T08:13:37.000Z</v>
      </c>
      <c r="K1012" s="54" t="str">
        <f>IFERROR(IF(INDEX(SPOT_Import!$A$1:$Z$2488,1012,'Live Data'!$C$22)="","",INDEX(SPOT_Import!$A$1:$Z$2488,1012,'Live Data'!$C$22)),"")</f>
        <v>2023-04-04T08:13:37.000Z</v>
      </c>
      <c r="L1012" s="55" t="str">
        <f t="shared" si="30"/>
        <v>2023-04</v>
      </c>
      <c r="M1012" s="55" t="str">
        <f t="shared" si="31"/>
        <v>KAJIADO</v>
      </c>
      <c r="N1012" s="55" t="str">
        <f>IF(A1012="","",IFERROR(INDEX('Cluster Map'!$A$4:$A$38,MATCH(M1012,'Cluster Map'!$B$4:$B$38,0)),"Unmapped"))</f>
        <v>Cluster 3</v>
      </c>
      <c r="O1012" s="55">
        <f>IF(A1012="",0,IF(COUNTIFS($A$2:A1012,A1012,$F$2:F1012,F1012,$L$2:L1012,L1012)=1,1,0))</f>
        <v>1</v>
      </c>
      <c r="P1012" s="55">
        <f>IF(A1012="",0,IF(AND(F1012="C&amp;T",COUNTIFS($A$2:A1012,A1012,$F$2:F1012,"C&amp;T")=1),1,0))</f>
        <v>0</v>
      </c>
    </row>
    <row r="1013" spans="1:16" x14ac:dyDescent="0.35">
      <c r="A1013" s="54">
        <f>IFERROR(IF(INDEX(SPOT_Import!$A$1:$Z$2488,1013,'Live Data'!$C$12)="","",INDEX(SPOT_Import!$A$1:$Z$2488,1013,'Live Data'!$C$12)),"")</f>
        <v>12489</v>
      </c>
      <c r="B1013" s="54" t="str">
        <f>IFERROR(IF(INDEX(SPOT_Import!$A$1:$Z$2488,1013,'Live Data'!$C$13)="","",INDEX(SPOT_Import!$A$1:$Z$2488,1013,'Live Data'!$C$13)),"")</f>
        <v>Matuu Mission Health Centre</v>
      </c>
      <c r="C1013" s="54" t="str">
        <f>IFERROR(IF(INDEX(SPOT_Import!$A$1:$Z$2488,1013,'Live Data'!$C$14)="","",INDEX(SPOT_Import!$A$1:$Z$2488,1013,'Live Data'!$C$14)),"")</f>
        <v>MACHAKOS</v>
      </c>
      <c r="D1013" s="54" t="str">
        <f>IFERROR(IF(INDEX(SPOT_Import!$A$1:$Z$2488,1013,'Live Data'!$C$15)="","",INDEX(SPOT_Import!$A$1:$Z$2488,1013,'Live Data'!$C$15)),"")</f>
        <v>Yatta</v>
      </c>
      <c r="E1013" s="54" t="str">
        <f>IFERROR(IF(INDEX(SPOT_Import!$A$1:$Z$2488,1013,'Live Data'!$C$16)="","",INDEX(SPOT_Import!$A$1:$Z$2488,1013,'Live Data'!$C$16)),"")</f>
        <v>CHAK CHAP STAWISHA</v>
      </c>
      <c r="F1013" s="54" t="str">
        <f>IFERROR(IF(INDEX(SPOT_Import!$A$1:$Z$2488,1013,'Live Data'!$C$17)="","",INDEX(SPOT_Import!$A$1:$Z$2488,1013,'Live Data'!$C$17)),"")</f>
        <v>CRS</v>
      </c>
      <c r="G1013" s="54">
        <f>IFERROR(IF(INDEX(SPOT_Import!$A$1:$Z$2488,1013,'Live Data'!$C$18)="","",INDEX(SPOT_Import!$A$1:$Z$2488,1013,'Live Data'!$C$18)),"")</f>
        <v>703</v>
      </c>
      <c r="H1013" s="54">
        <f>IFERROR(IF(INDEX(SPOT_Import!$A$1:$Z$2488,1013,'Live Data'!$C$19)="","",INDEX(SPOT_Import!$A$1:$Z$2488,1013,'Live Data'!$C$19)),"")</f>
        <v>703</v>
      </c>
      <c r="I1013" s="54" t="str">
        <f>IFERROR(IF(INDEX(SPOT_Import!$A$1:$Z$2488,1013,'Live Data'!$C$20)="","",INDEX(SPOT_Import!$A$1:$Z$2488,1013,'Live Data'!$C$20)),"")</f>
        <v>Complete</v>
      </c>
      <c r="J1013" s="54" t="str">
        <f>IFERROR(IF(INDEX(SPOT_Import!$A$1:$Z$2488,1013,'Live Data'!$C$21)="","",INDEX(SPOT_Import!$A$1:$Z$2488,1013,'Live Data'!$C$21)),"")</f>
        <v>2023-04-04T08:04:59.000Z</v>
      </c>
      <c r="K1013" s="54" t="str">
        <f>IFERROR(IF(INDEX(SPOT_Import!$A$1:$Z$2488,1013,'Live Data'!$C$22)="","",INDEX(SPOT_Import!$A$1:$Z$2488,1013,'Live Data'!$C$22)),"")</f>
        <v>2023-04-04T08:04:59.000Z</v>
      </c>
      <c r="L1013" s="55" t="str">
        <f t="shared" si="30"/>
        <v>2023-04</v>
      </c>
      <c r="M1013" s="55" t="str">
        <f t="shared" si="31"/>
        <v>MACHAKOS</v>
      </c>
      <c r="N1013" s="55" t="str">
        <f>IF(A1013="","",IFERROR(INDEX('Cluster Map'!$A$4:$A$38,MATCH(M1013,'Cluster Map'!$B$4:$B$38,0)),"Unmapped"))</f>
        <v>Cluster 5</v>
      </c>
      <c r="O1013" s="55">
        <f>IF(A1013="",0,IF(COUNTIFS($A$2:A1013,A1013,$F$2:F1013,F1013,$L$2:L1013,L1013)=1,1,0))</f>
        <v>1</v>
      </c>
      <c r="P1013" s="55">
        <f>IF(A1013="",0,IF(AND(F1013="C&amp;T",COUNTIFS($A$2:A1013,A1013,$F$2:F1013,"C&amp;T")=1),1,0))</f>
        <v>0</v>
      </c>
    </row>
    <row r="1014" spans="1:16" x14ac:dyDescent="0.35">
      <c r="A1014" s="54">
        <f>IFERROR(IF(INDEX(SPOT_Import!$A$1:$Z$2488,1014,'Live Data'!$C$12)="","",INDEX(SPOT_Import!$A$1:$Z$2488,1014,'Live Data'!$C$12)),"")</f>
        <v>10221</v>
      </c>
      <c r="B1014" s="54" t="str">
        <f>IFERROR(IF(INDEX(SPOT_Import!$A$1:$Z$2488,1014,'Live Data'!$C$13)="","",INDEX(SPOT_Import!$A$1:$Z$2488,1014,'Live Data'!$C$13)),"")</f>
        <v>Gatithi Dispensary</v>
      </c>
      <c r="C1014" s="54" t="str">
        <f>IFERROR(IF(INDEX(SPOT_Import!$A$1:$Z$2488,1014,'Live Data'!$C$14)="","",INDEX(SPOT_Import!$A$1:$Z$2488,1014,'Live Data'!$C$14)),"")</f>
        <v>KIRINYAGA</v>
      </c>
      <c r="D1014" s="54" t="str">
        <f>IFERROR(IF(INDEX(SPOT_Import!$A$1:$Z$2488,1014,'Live Data'!$C$15)="","",INDEX(SPOT_Import!$A$1:$Z$2488,1014,'Live Data'!$C$15)),"")</f>
        <v>Kirinyaga West</v>
      </c>
      <c r="E1014" s="54" t="str">
        <f>IFERROR(IF(INDEX(SPOT_Import!$A$1:$Z$2488,1014,'Live Data'!$C$16)="","",INDEX(SPOT_Import!$A$1:$Z$2488,1014,'Live Data'!$C$16)),"")</f>
        <v>CHAK CHAP STAWISHA</v>
      </c>
      <c r="F1014" s="54" t="str">
        <f>IFERROR(IF(INDEX(SPOT_Import!$A$1:$Z$2488,1014,'Live Data'!$C$17)="","",INDEX(SPOT_Import!$A$1:$Z$2488,1014,'Live Data'!$C$17)),"")</f>
        <v>CRS</v>
      </c>
      <c r="G1014" s="54">
        <f>IFERROR(IF(INDEX(SPOT_Import!$A$1:$Z$2488,1014,'Live Data'!$C$18)="","",INDEX(SPOT_Import!$A$1:$Z$2488,1014,'Live Data'!$C$18)),"")</f>
        <v>259</v>
      </c>
      <c r="H1014" s="54">
        <f>IFERROR(IF(INDEX(SPOT_Import!$A$1:$Z$2488,1014,'Live Data'!$C$19)="","",INDEX(SPOT_Import!$A$1:$Z$2488,1014,'Live Data'!$C$19)),"")</f>
        <v>259</v>
      </c>
      <c r="I1014" s="54" t="str">
        <f>IFERROR(IF(INDEX(SPOT_Import!$A$1:$Z$2488,1014,'Live Data'!$C$20)="","",INDEX(SPOT_Import!$A$1:$Z$2488,1014,'Live Data'!$C$20)),"")</f>
        <v>Complete</v>
      </c>
      <c r="J1014" s="54" t="str">
        <f>IFERROR(IF(INDEX(SPOT_Import!$A$1:$Z$2488,1014,'Live Data'!$C$21)="","",INDEX(SPOT_Import!$A$1:$Z$2488,1014,'Live Data'!$C$21)),"")</f>
        <v>2023-04-04T06:43:42.000Z</v>
      </c>
      <c r="K1014" s="54" t="str">
        <f>IFERROR(IF(INDEX(SPOT_Import!$A$1:$Z$2488,1014,'Live Data'!$C$22)="","",INDEX(SPOT_Import!$A$1:$Z$2488,1014,'Live Data'!$C$22)),"")</f>
        <v>2023-04-04T06:43:42.000Z</v>
      </c>
      <c r="L1014" s="55" t="str">
        <f t="shared" si="30"/>
        <v>2023-04</v>
      </c>
      <c r="M1014" s="55" t="str">
        <f t="shared" si="31"/>
        <v>KIRINYAGA</v>
      </c>
      <c r="N1014" s="55" t="str">
        <f>IF(A1014="","",IFERROR(INDEX('Cluster Map'!$A$4:$A$38,MATCH(M1014,'Cluster Map'!$B$4:$B$38,0)),"Unmapped"))</f>
        <v>Cluster 2</v>
      </c>
      <c r="O1014" s="55">
        <f>IF(A1014="",0,IF(COUNTIFS($A$2:A1014,A1014,$F$2:F1014,F1014,$L$2:L1014,L1014)=1,1,0))</f>
        <v>1</v>
      </c>
      <c r="P1014" s="55">
        <f>IF(A1014="",0,IF(AND(F1014="C&amp;T",COUNTIFS($A$2:A1014,A1014,$F$2:F1014,"C&amp;T")=1),1,0))</f>
        <v>0</v>
      </c>
    </row>
    <row r="1015" spans="1:16" x14ac:dyDescent="0.35">
      <c r="A1015" s="54">
        <f>IFERROR(IF(INDEX(SPOT_Import!$A$1:$Z$2488,1015,'Live Data'!$C$12)="","",INDEX(SPOT_Import!$A$1:$Z$2488,1015,'Live Data'!$C$12)),"")</f>
        <v>12205</v>
      </c>
      <c r="B1015" s="54" t="str">
        <f>IFERROR(IF(INDEX(SPOT_Import!$A$1:$Z$2488,1015,'Live Data'!$C$13)="","",INDEX(SPOT_Import!$A$1:$Z$2488,1015,'Live Data'!$C$13)),"")</f>
        <v>PCEA Kasasule Dispensary</v>
      </c>
      <c r="C1015" s="54" t="str">
        <f>IFERROR(IF(INDEX(SPOT_Import!$A$1:$Z$2488,1015,'Live Data'!$C$14)="","",INDEX(SPOT_Import!$A$1:$Z$2488,1015,'Live Data'!$C$14)),"")</f>
        <v>MAKUENI</v>
      </c>
      <c r="D1015" s="54" t="str">
        <f>IFERROR(IF(INDEX(SPOT_Import!$A$1:$Z$2488,1015,'Live Data'!$C$15)="","",INDEX(SPOT_Import!$A$1:$Z$2488,1015,'Live Data'!$C$15)),"")</f>
        <v>Kibwezi East</v>
      </c>
      <c r="E1015" s="54" t="str">
        <f>IFERROR(IF(INDEX(SPOT_Import!$A$1:$Z$2488,1015,'Live Data'!$C$16)="","",INDEX(SPOT_Import!$A$1:$Z$2488,1015,'Live Data'!$C$16)),"")</f>
        <v>CHAK CHAP STAWISHA</v>
      </c>
      <c r="F1015" s="54" t="str">
        <f>IFERROR(IF(INDEX(SPOT_Import!$A$1:$Z$2488,1015,'Live Data'!$C$17)="","",INDEX(SPOT_Import!$A$1:$Z$2488,1015,'Live Data'!$C$17)),"")</f>
        <v>CRS</v>
      </c>
      <c r="G1015" s="54">
        <f>IFERROR(IF(INDEX(SPOT_Import!$A$1:$Z$2488,1015,'Live Data'!$C$18)="","",INDEX(SPOT_Import!$A$1:$Z$2488,1015,'Live Data'!$C$18)),"")</f>
        <v>102</v>
      </c>
      <c r="H1015" s="54">
        <f>IFERROR(IF(INDEX(SPOT_Import!$A$1:$Z$2488,1015,'Live Data'!$C$19)="","",INDEX(SPOT_Import!$A$1:$Z$2488,1015,'Live Data'!$C$19)),"")</f>
        <v>102</v>
      </c>
      <c r="I1015" s="54" t="str">
        <f>IFERROR(IF(INDEX(SPOT_Import!$A$1:$Z$2488,1015,'Live Data'!$C$20)="","",INDEX(SPOT_Import!$A$1:$Z$2488,1015,'Live Data'!$C$20)),"")</f>
        <v>Complete</v>
      </c>
      <c r="J1015" s="54" t="str">
        <f>IFERROR(IF(INDEX(SPOT_Import!$A$1:$Z$2488,1015,'Live Data'!$C$21)="","",INDEX(SPOT_Import!$A$1:$Z$2488,1015,'Live Data'!$C$21)),"")</f>
        <v>2023-04-04T06:36:50.000Z</v>
      </c>
      <c r="K1015" s="54" t="str">
        <f>IFERROR(IF(INDEX(SPOT_Import!$A$1:$Z$2488,1015,'Live Data'!$C$22)="","",INDEX(SPOT_Import!$A$1:$Z$2488,1015,'Live Data'!$C$22)),"")</f>
        <v>2023-04-04T06:36:50.000Z</v>
      </c>
      <c r="L1015" s="55" t="str">
        <f t="shared" si="30"/>
        <v>2023-04</v>
      </c>
      <c r="M1015" s="55" t="str">
        <f t="shared" si="31"/>
        <v>MAKUENI</v>
      </c>
      <c r="N1015" s="55" t="str">
        <f>IF(A1015="","",IFERROR(INDEX('Cluster Map'!$A$4:$A$38,MATCH(M1015,'Cluster Map'!$B$4:$B$38,0)),"Unmapped"))</f>
        <v>Cluster 5</v>
      </c>
      <c r="O1015" s="55">
        <f>IF(A1015="",0,IF(COUNTIFS($A$2:A1015,A1015,$F$2:F1015,F1015,$L$2:L1015,L1015)=1,1,0))</f>
        <v>1</v>
      </c>
      <c r="P1015" s="55">
        <f>IF(A1015="",0,IF(AND(F1015="C&amp;T",COUNTIFS($A$2:A1015,A1015,$F$2:F1015,"C&amp;T")=1),1,0))</f>
        <v>0</v>
      </c>
    </row>
    <row r="1016" spans="1:16" x14ac:dyDescent="0.35">
      <c r="A1016" s="54">
        <f>IFERROR(IF(INDEX(SPOT_Import!$A$1:$Z$2488,1016,'Live Data'!$C$12)="","",INDEX(SPOT_Import!$A$1:$Z$2488,1016,'Live Data'!$C$12)),"")</f>
        <v>12743</v>
      </c>
      <c r="B1016" s="54" t="str">
        <f>IFERROR(IF(INDEX(SPOT_Import!$A$1:$Z$2488,1016,'Live Data'!$C$13)="","",INDEX(SPOT_Import!$A$1:$Z$2488,1016,'Live Data'!$C$13)),"")</f>
        <v>St Ann Hospital</v>
      </c>
      <c r="C1016" s="54" t="str">
        <f>IFERROR(IF(INDEX(SPOT_Import!$A$1:$Z$2488,1016,'Live Data'!$C$14)="","",INDEX(SPOT_Import!$A$1:$Z$2488,1016,'Live Data'!$C$14)),"")</f>
        <v>MERU</v>
      </c>
      <c r="D1016" s="54" t="str">
        <f>IFERROR(IF(INDEX(SPOT_Import!$A$1:$Z$2488,1016,'Live Data'!$C$15)="","",INDEX(SPOT_Import!$A$1:$Z$2488,1016,'Live Data'!$C$15)),"")</f>
        <v>Imenti South</v>
      </c>
      <c r="E1016" s="54" t="str">
        <f>IFERROR(IF(INDEX(SPOT_Import!$A$1:$Z$2488,1016,'Live Data'!$C$16)="","",INDEX(SPOT_Import!$A$1:$Z$2488,1016,'Live Data'!$C$16)),"")</f>
        <v>CHAK CHAP STAWISHA</v>
      </c>
      <c r="F1016" s="54" t="str">
        <f>IFERROR(IF(INDEX(SPOT_Import!$A$1:$Z$2488,1016,'Live Data'!$C$17)="","",INDEX(SPOT_Import!$A$1:$Z$2488,1016,'Live Data'!$C$17)),"")</f>
        <v>CRS</v>
      </c>
      <c r="G1016" s="54">
        <f>IFERROR(IF(INDEX(SPOT_Import!$A$1:$Z$2488,1016,'Live Data'!$C$18)="","",INDEX(SPOT_Import!$A$1:$Z$2488,1016,'Live Data'!$C$18)),"")</f>
        <v>674</v>
      </c>
      <c r="H1016" s="54">
        <f>IFERROR(IF(INDEX(SPOT_Import!$A$1:$Z$2488,1016,'Live Data'!$C$19)="","",INDEX(SPOT_Import!$A$1:$Z$2488,1016,'Live Data'!$C$19)),"")</f>
        <v>674</v>
      </c>
      <c r="I1016" s="54" t="str">
        <f>IFERROR(IF(INDEX(SPOT_Import!$A$1:$Z$2488,1016,'Live Data'!$C$20)="","",INDEX(SPOT_Import!$A$1:$Z$2488,1016,'Live Data'!$C$20)),"")</f>
        <v>Complete</v>
      </c>
      <c r="J1016" s="54" t="str">
        <f>IFERROR(IF(INDEX(SPOT_Import!$A$1:$Z$2488,1016,'Live Data'!$C$21)="","",INDEX(SPOT_Import!$A$1:$Z$2488,1016,'Live Data'!$C$21)),"")</f>
        <v>2023-04-04T06:26:29.000Z</v>
      </c>
      <c r="K1016" s="54" t="str">
        <f>IFERROR(IF(INDEX(SPOT_Import!$A$1:$Z$2488,1016,'Live Data'!$C$22)="","",INDEX(SPOT_Import!$A$1:$Z$2488,1016,'Live Data'!$C$22)),"")</f>
        <v>2023-04-04T06:26:29.000Z</v>
      </c>
      <c r="L1016" s="55" t="str">
        <f t="shared" si="30"/>
        <v>2023-04</v>
      </c>
      <c r="M1016" s="55" t="str">
        <f t="shared" si="31"/>
        <v>MERU</v>
      </c>
      <c r="N1016" s="55" t="str">
        <f>IF(A1016="","",IFERROR(INDEX('Cluster Map'!$A$4:$A$38,MATCH(M1016,'Cluster Map'!$B$4:$B$38,0)),"Unmapped"))</f>
        <v>Cluster 1</v>
      </c>
      <c r="O1016" s="55">
        <f>IF(A1016="",0,IF(COUNTIFS($A$2:A1016,A1016,$F$2:F1016,F1016,$L$2:L1016,L1016)=1,1,0))</f>
        <v>1</v>
      </c>
      <c r="P1016" s="55">
        <f>IF(A1016="",0,IF(AND(F1016="C&amp;T",COUNTIFS($A$2:A1016,A1016,$F$2:F1016,"C&amp;T")=1),1,0))</f>
        <v>0</v>
      </c>
    </row>
    <row r="1017" spans="1:16" x14ac:dyDescent="0.35">
      <c r="A1017" s="54">
        <f>IFERROR(IF(INDEX(SPOT_Import!$A$1:$Z$2488,1017,'Live Data'!$C$12)="","",INDEX(SPOT_Import!$A$1:$Z$2488,1017,'Live Data'!$C$12)),"")</f>
        <v>12413</v>
      </c>
      <c r="B1017" s="54" t="str">
        <f>IFERROR(IF(INDEX(SPOT_Import!$A$1:$Z$2488,1017,'Live Data'!$C$13)="","",INDEX(SPOT_Import!$A$1:$Z$2488,1017,'Live Data'!$C$13)),"")</f>
        <v>Consolata Kyeni Hospital</v>
      </c>
      <c r="C1017" s="54" t="str">
        <f>IFERROR(IF(INDEX(SPOT_Import!$A$1:$Z$2488,1017,'Live Data'!$C$14)="","",INDEX(SPOT_Import!$A$1:$Z$2488,1017,'Live Data'!$C$14)),"")</f>
        <v>EMBU</v>
      </c>
      <c r="D1017" s="54" t="str">
        <f>IFERROR(IF(INDEX(SPOT_Import!$A$1:$Z$2488,1017,'Live Data'!$C$15)="","",INDEX(SPOT_Import!$A$1:$Z$2488,1017,'Live Data'!$C$15)),"")</f>
        <v>Runyenjes</v>
      </c>
      <c r="E1017" s="54" t="str">
        <f>IFERROR(IF(INDEX(SPOT_Import!$A$1:$Z$2488,1017,'Live Data'!$C$16)="","",INDEX(SPOT_Import!$A$1:$Z$2488,1017,'Live Data'!$C$16)),"")</f>
        <v>CHAK CHAP STAWISHA</v>
      </c>
      <c r="F1017" s="54" t="str">
        <f>IFERROR(IF(INDEX(SPOT_Import!$A$1:$Z$2488,1017,'Live Data'!$C$17)="","",INDEX(SPOT_Import!$A$1:$Z$2488,1017,'Live Data'!$C$17)),"")</f>
        <v>CRS</v>
      </c>
      <c r="G1017" s="54">
        <f>IFERROR(IF(INDEX(SPOT_Import!$A$1:$Z$2488,1017,'Live Data'!$C$18)="","",INDEX(SPOT_Import!$A$1:$Z$2488,1017,'Live Data'!$C$18)),"")</f>
        <v>1696</v>
      </c>
      <c r="H1017" s="54">
        <f>IFERROR(IF(INDEX(SPOT_Import!$A$1:$Z$2488,1017,'Live Data'!$C$19)="","",INDEX(SPOT_Import!$A$1:$Z$2488,1017,'Live Data'!$C$19)),"")</f>
        <v>1696</v>
      </c>
      <c r="I1017" s="54" t="str">
        <f>IFERROR(IF(INDEX(SPOT_Import!$A$1:$Z$2488,1017,'Live Data'!$C$20)="","",INDEX(SPOT_Import!$A$1:$Z$2488,1017,'Live Data'!$C$20)),"")</f>
        <v>Complete</v>
      </c>
      <c r="J1017" s="54" t="str">
        <f>IFERROR(IF(INDEX(SPOT_Import!$A$1:$Z$2488,1017,'Live Data'!$C$21)="","",INDEX(SPOT_Import!$A$1:$Z$2488,1017,'Live Data'!$C$21)),"")</f>
        <v>2023-04-04T04:27:14.000Z</v>
      </c>
      <c r="K1017" s="54" t="str">
        <f>IFERROR(IF(INDEX(SPOT_Import!$A$1:$Z$2488,1017,'Live Data'!$C$22)="","",INDEX(SPOT_Import!$A$1:$Z$2488,1017,'Live Data'!$C$22)),"")</f>
        <v>2023-04-04T04:27:14.000Z</v>
      </c>
      <c r="L1017" s="55" t="str">
        <f t="shared" si="30"/>
        <v>2023-04</v>
      </c>
      <c r="M1017" s="55" t="str">
        <f t="shared" si="31"/>
        <v>EMBU</v>
      </c>
      <c r="N1017" s="55" t="str">
        <f>IF(A1017="","",IFERROR(INDEX('Cluster Map'!$A$4:$A$38,MATCH(M1017,'Cluster Map'!$B$4:$B$38,0)),"Unmapped"))</f>
        <v>Cluster 2</v>
      </c>
      <c r="O1017" s="55">
        <f>IF(A1017="",0,IF(COUNTIFS($A$2:A1017,A1017,$F$2:F1017,F1017,$L$2:L1017,L1017)=1,1,0))</f>
        <v>1</v>
      </c>
      <c r="P1017" s="55">
        <f>IF(A1017="",0,IF(AND(F1017="C&amp;T",COUNTIFS($A$2:A1017,A1017,$F$2:F1017,"C&amp;T")=1),1,0))</f>
        <v>0</v>
      </c>
    </row>
    <row r="1018" spans="1:16" x14ac:dyDescent="0.35">
      <c r="A1018" s="54">
        <f>IFERROR(IF(INDEX(SPOT_Import!$A$1:$Z$2488,1018,'Live Data'!$C$12)="","",INDEX(SPOT_Import!$A$1:$Z$2488,1018,'Live Data'!$C$12)),"")</f>
        <v>11981</v>
      </c>
      <c r="B1018" s="54" t="str">
        <f>IFERROR(IF(INDEX(SPOT_Import!$A$1:$Z$2488,1018,'Live Data'!$C$13)="","",INDEX(SPOT_Import!$A$1:$Z$2488,1018,'Live Data'!$C$13)),"")</f>
        <v>D Comboni Mission</v>
      </c>
      <c r="C1018" s="54" t="str">
        <f>IFERROR(IF(INDEX(SPOT_Import!$A$1:$Z$2488,1018,'Live Data'!$C$14)="","",INDEX(SPOT_Import!$A$1:$Z$2488,1018,'Live Data'!$C$14)),"")</f>
        <v>MACHAKOS</v>
      </c>
      <c r="D1018" s="54" t="str">
        <f>IFERROR(IF(INDEX(SPOT_Import!$A$1:$Z$2488,1018,'Live Data'!$C$15)="","",INDEX(SPOT_Import!$A$1:$Z$2488,1018,'Live Data'!$C$15)),"")</f>
        <v>Masinga</v>
      </c>
      <c r="E1018" s="54" t="str">
        <f>IFERROR(IF(INDEX(SPOT_Import!$A$1:$Z$2488,1018,'Live Data'!$C$16)="","",INDEX(SPOT_Import!$A$1:$Z$2488,1018,'Live Data'!$C$16)),"")</f>
        <v>CHAK CHAP STAWISHA</v>
      </c>
      <c r="F1018" s="54" t="str">
        <f>IFERROR(IF(INDEX(SPOT_Import!$A$1:$Z$2488,1018,'Live Data'!$C$17)="","",INDEX(SPOT_Import!$A$1:$Z$2488,1018,'Live Data'!$C$17)),"")</f>
        <v>CRS</v>
      </c>
      <c r="G1018" s="54">
        <f>IFERROR(IF(INDEX(SPOT_Import!$A$1:$Z$2488,1018,'Live Data'!$C$18)="","",INDEX(SPOT_Import!$A$1:$Z$2488,1018,'Live Data'!$C$18)),"")</f>
        <v>441</v>
      </c>
      <c r="H1018" s="54">
        <f>IFERROR(IF(INDEX(SPOT_Import!$A$1:$Z$2488,1018,'Live Data'!$C$19)="","",INDEX(SPOT_Import!$A$1:$Z$2488,1018,'Live Data'!$C$19)),"")</f>
        <v>441</v>
      </c>
      <c r="I1018" s="54" t="str">
        <f>IFERROR(IF(INDEX(SPOT_Import!$A$1:$Z$2488,1018,'Live Data'!$C$20)="","",INDEX(SPOT_Import!$A$1:$Z$2488,1018,'Live Data'!$C$20)),"")</f>
        <v>Complete</v>
      </c>
      <c r="J1018" s="54" t="str">
        <f>IFERROR(IF(INDEX(SPOT_Import!$A$1:$Z$2488,1018,'Live Data'!$C$21)="","",INDEX(SPOT_Import!$A$1:$Z$2488,1018,'Live Data'!$C$21)),"")</f>
        <v>2023-04-03T19:07:04.000Z</v>
      </c>
      <c r="K1018" s="54" t="str">
        <f>IFERROR(IF(INDEX(SPOT_Import!$A$1:$Z$2488,1018,'Live Data'!$C$22)="","",INDEX(SPOT_Import!$A$1:$Z$2488,1018,'Live Data'!$C$22)),"")</f>
        <v>2023-04-03T19:07:04.000Z</v>
      </c>
      <c r="L1018" s="55" t="str">
        <f t="shared" si="30"/>
        <v>2023-04</v>
      </c>
      <c r="M1018" s="55" t="str">
        <f t="shared" si="31"/>
        <v>MACHAKOS</v>
      </c>
      <c r="N1018" s="55" t="str">
        <f>IF(A1018="","",IFERROR(INDEX('Cluster Map'!$A$4:$A$38,MATCH(M1018,'Cluster Map'!$B$4:$B$38,0)),"Unmapped"))</f>
        <v>Cluster 5</v>
      </c>
      <c r="O1018" s="55">
        <f>IF(A1018="",0,IF(COUNTIFS($A$2:A1018,A1018,$F$2:F1018,F1018,$L$2:L1018,L1018)=1,1,0))</f>
        <v>1</v>
      </c>
      <c r="P1018" s="55">
        <f>IF(A1018="",0,IF(AND(F1018="C&amp;T",COUNTIFS($A$2:A1018,A1018,$F$2:F1018,"C&amp;T")=1),1,0))</f>
        <v>0</v>
      </c>
    </row>
    <row r="1019" spans="1:16" x14ac:dyDescent="0.35">
      <c r="A1019" s="54">
        <f>IFERROR(IF(INDEX(SPOT_Import!$A$1:$Z$2488,1019,'Live Data'!$C$12)="","",INDEX(SPOT_Import!$A$1:$Z$2488,1019,'Live Data'!$C$12)),"")</f>
        <v>12422</v>
      </c>
      <c r="B1019" s="54" t="str">
        <f>IFERROR(IF(INDEX(SPOT_Import!$A$1:$Z$2488,1019,'Live Data'!$C$13)="","",INDEX(SPOT_Import!$A$1:$Z$2488,1019,'Live Data'!$C$13)),"")</f>
        <v>Laare Health Centre</v>
      </c>
      <c r="C1019" s="54" t="str">
        <f>IFERROR(IF(INDEX(SPOT_Import!$A$1:$Z$2488,1019,'Live Data'!$C$14)="","",INDEX(SPOT_Import!$A$1:$Z$2488,1019,'Live Data'!$C$14)),"")</f>
        <v>MERU</v>
      </c>
      <c r="D1019" s="54" t="str">
        <f>IFERROR(IF(INDEX(SPOT_Import!$A$1:$Z$2488,1019,'Live Data'!$C$15)="","",INDEX(SPOT_Import!$A$1:$Z$2488,1019,'Live Data'!$C$15)),"")</f>
        <v>Igembe North</v>
      </c>
      <c r="E1019" s="54" t="str">
        <f>IFERROR(IF(INDEX(SPOT_Import!$A$1:$Z$2488,1019,'Live Data'!$C$16)="","",INDEX(SPOT_Import!$A$1:$Z$2488,1019,'Live Data'!$C$16)),"")</f>
        <v>CHAK CHAP STAWISHA</v>
      </c>
      <c r="F1019" s="54" t="str">
        <f>IFERROR(IF(INDEX(SPOT_Import!$A$1:$Z$2488,1019,'Live Data'!$C$17)="","",INDEX(SPOT_Import!$A$1:$Z$2488,1019,'Live Data'!$C$17)),"")</f>
        <v>CRS</v>
      </c>
      <c r="G1019" s="54">
        <f>IFERROR(IF(INDEX(SPOT_Import!$A$1:$Z$2488,1019,'Live Data'!$C$18)="","",INDEX(SPOT_Import!$A$1:$Z$2488,1019,'Live Data'!$C$18)),"")</f>
        <v>894</v>
      </c>
      <c r="H1019" s="54">
        <f>IFERROR(IF(INDEX(SPOT_Import!$A$1:$Z$2488,1019,'Live Data'!$C$19)="","",INDEX(SPOT_Import!$A$1:$Z$2488,1019,'Live Data'!$C$19)),"")</f>
        <v>894</v>
      </c>
      <c r="I1019" s="54" t="str">
        <f>IFERROR(IF(INDEX(SPOT_Import!$A$1:$Z$2488,1019,'Live Data'!$C$20)="","",INDEX(SPOT_Import!$A$1:$Z$2488,1019,'Live Data'!$C$20)),"")</f>
        <v>Complete</v>
      </c>
      <c r="J1019" s="54" t="str">
        <f>IFERROR(IF(INDEX(SPOT_Import!$A$1:$Z$2488,1019,'Live Data'!$C$21)="","",INDEX(SPOT_Import!$A$1:$Z$2488,1019,'Live Data'!$C$21)),"")</f>
        <v>2023-04-03T18:08:42.000Z</v>
      </c>
      <c r="K1019" s="54" t="str">
        <f>IFERROR(IF(INDEX(SPOT_Import!$A$1:$Z$2488,1019,'Live Data'!$C$22)="","",INDEX(SPOT_Import!$A$1:$Z$2488,1019,'Live Data'!$C$22)),"")</f>
        <v>2023-04-03T18:08:42.000Z</v>
      </c>
      <c r="L1019" s="55" t="str">
        <f t="shared" si="30"/>
        <v>2023-04</v>
      </c>
      <c r="M1019" s="55" t="str">
        <f t="shared" si="31"/>
        <v>MERU</v>
      </c>
      <c r="N1019" s="55" t="str">
        <f>IF(A1019="","",IFERROR(INDEX('Cluster Map'!$A$4:$A$38,MATCH(M1019,'Cluster Map'!$B$4:$B$38,0)),"Unmapped"))</f>
        <v>Cluster 1</v>
      </c>
      <c r="O1019" s="55">
        <f>IF(A1019="",0,IF(COUNTIFS($A$2:A1019,A1019,$F$2:F1019,F1019,$L$2:L1019,L1019)=1,1,0))</f>
        <v>1</v>
      </c>
      <c r="P1019" s="55">
        <f>IF(A1019="",0,IF(AND(F1019="C&amp;T",COUNTIFS($A$2:A1019,A1019,$F$2:F1019,"C&amp;T")=1),1,0))</f>
        <v>0</v>
      </c>
    </row>
    <row r="1020" spans="1:16" x14ac:dyDescent="0.35">
      <c r="A1020" s="54">
        <f>IFERROR(IF(INDEX(SPOT_Import!$A$1:$Z$2488,1020,'Live Data'!$C$12)="","",INDEX(SPOT_Import!$A$1:$Z$2488,1020,'Live Data'!$C$12)),"")</f>
        <v>12492</v>
      </c>
      <c r="B1020" s="54" t="str">
        <f>IFERROR(IF(INDEX(SPOT_Import!$A$1:$Z$2488,1020,'Live Data'!$C$13)="","",INDEX(SPOT_Import!$A$1:$Z$2488,1020,'Live Data'!$C$13)),"")</f>
        <v>Maua Methodist Hospital</v>
      </c>
      <c r="C1020" s="54" t="str">
        <f>IFERROR(IF(INDEX(SPOT_Import!$A$1:$Z$2488,1020,'Live Data'!$C$14)="","",INDEX(SPOT_Import!$A$1:$Z$2488,1020,'Live Data'!$C$14)),"")</f>
        <v>MERU</v>
      </c>
      <c r="D1020" s="54" t="str">
        <f>IFERROR(IF(INDEX(SPOT_Import!$A$1:$Z$2488,1020,'Live Data'!$C$15)="","",INDEX(SPOT_Import!$A$1:$Z$2488,1020,'Live Data'!$C$15)),"")</f>
        <v>Igembe South</v>
      </c>
      <c r="E1020" s="54" t="str">
        <f>IFERROR(IF(INDEX(SPOT_Import!$A$1:$Z$2488,1020,'Live Data'!$C$16)="","",INDEX(SPOT_Import!$A$1:$Z$2488,1020,'Live Data'!$C$16)),"")</f>
        <v>CHAK CHAP STAWISHA</v>
      </c>
      <c r="F1020" s="54" t="str">
        <f>IFERROR(IF(INDEX(SPOT_Import!$A$1:$Z$2488,1020,'Live Data'!$C$17)="","",INDEX(SPOT_Import!$A$1:$Z$2488,1020,'Live Data'!$C$17)),"")</f>
        <v>CRS</v>
      </c>
      <c r="G1020" s="54">
        <f>IFERROR(IF(INDEX(SPOT_Import!$A$1:$Z$2488,1020,'Live Data'!$C$18)="","",INDEX(SPOT_Import!$A$1:$Z$2488,1020,'Live Data'!$C$18)),"")</f>
        <v>7159</v>
      </c>
      <c r="H1020" s="54">
        <f>IFERROR(IF(INDEX(SPOT_Import!$A$1:$Z$2488,1020,'Live Data'!$C$19)="","",INDEX(SPOT_Import!$A$1:$Z$2488,1020,'Live Data'!$C$19)),"")</f>
        <v>16137</v>
      </c>
      <c r="I1020" s="54" t="str">
        <f>IFERROR(IF(INDEX(SPOT_Import!$A$1:$Z$2488,1020,'Live Data'!$C$20)="","",INDEX(SPOT_Import!$A$1:$Z$2488,1020,'Live Data'!$C$20)),"")</f>
        <v>Complete</v>
      </c>
      <c r="J1020" s="54" t="str">
        <f>IFERROR(IF(INDEX(SPOT_Import!$A$1:$Z$2488,1020,'Live Data'!$C$21)="","",INDEX(SPOT_Import!$A$1:$Z$2488,1020,'Live Data'!$C$21)),"")</f>
        <v>2023-04-03T17:02:13.000Z</v>
      </c>
      <c r="K1020" s="54" t="str">
        <f>IFERROR(IF(INDEX(SPOT_Import!$A$1:$Z$2488,1020,'Live Data'!$C$22)="","",INDEX(SPOT_Import!$A$1:$Z$2488,1020,'Live Data'!$C$22)),"")</f>
        <v>2023-04-03T17:02:13.000Z</v>
      </c>
      <c r="L1020" s="55" t="str">
        <f t="shared" si="30"/>
        <v>2023-04</v>
      </c>
      <c r="M1020" s="55" t="str">
        <f t="shared" si="31"/>
        <v>MERU</v>
      </c>
      <c r="N1020" s="55" t="str">
        <f>IF(A1020="","",IFERROR(INDEX('Cluster Map'!$A$4:$A$38,MATCH(M1020,'Cluster Map'!$B$4:$B$38,0)),"Unmapped"))</f>
        <v>Cluster 1</v>
      </c>
      <c r="O1020" s="55">
        <f>IF(A1020="",0,IF(COUNTIFS($A$2:A1020,A1020,$F$2:F1020,F1020,$L$2:L1020,L1020)=1,1,0))</f>
        <v>1</v>
      </c>
      <c r="P1020" s="55">
        <f>IF(A1020="",0,IF(AND(F1020="C&amp;T",COUNTIFS($A$2:A1020,A1020,$F$2:F1020,"C&amp;T")=1),1,0))</f>
        <v>0</v>
      </c>
    </row>
    <row r="1021" spans="1:16" x14ac:dyDescent="0.35">
      <c r="A1021" s="54">
        <f>IFERROR(IF(INDEX(SPOT_Import!$A$1:$Z$2488,1021,'Live Data'!$C$12)="","",INDEX(SPOT_Import!$A$1:$Z$2488,1021,'Live Data'!$C$12)),"")</f>
        <v>11030</v>
      </c>
      <c r="B1021" s="54" t="str">
        <f>IFERROR(IF(INDEX(SPOT_Import!$A$1:$Z$2488,1021,'Live Data'!$C$13)="","",INDEX(SPOT_Import!$A$1:$Z$2488,1021,'Live Data'!$C$13)),"")</f>
        <v>St Charles Lwanga Dispensary</v>
      </c>
      <c r="C1021" s="54" t="str">
        <f>IFERROR(IF(INDEX(SPOT_Import!$A$1:$Z$2488,1021,'Live Data'!$C$14)="","",INDEX(SPOT_Import!$A$1:$Z$2488,1021,'Live Data'!$C$14)),"")</f>
        <v>KIAMBU</v>
      </c>
      <c r="D1021" s="54" t="str">
        <f>IFERROR(IF(INDEX(SPOT_Import!$A$1:$Z$2488,1021,'Live Data'!$C$15)="","",INDEX(SPOT_Import!$A$1:$Z$2488,1021,'Live Data'!$C$15)),"")</f>
        <v>Limuru</v>
      </c>
      <c r="E1021" s="54" t="str">
        <f>IFERROR(IF(INDEX(SPOT_Import!$A$1:$Z$2488,1021,'Live Data'!$C$16)="","",INDEX(SPOT_Import!$A$1:$Z$2488,1021,'Live Data'!$C$16)),"")</f>
        <v>CHAK CHAP STAWISHA</v>
      </c>
      <c r="F1021" s="54" t="str">
        <f>IFERROR(IF(INDEX(SPOT_Import!$A$1:$Z$2488,1021,'Live Data'!$C$17)="","",INDEX(SPOT_Import!$A$1:$Z$2488,1021,'Live Data'!$C$17)),"")</f>
        <v>CRS</v>
      </c>
      <c r="G1021" s="54">
        <f>IFERROR(IF(INDEX(SPOT_Import!$A$1:$Z$2488,1021,'Live Data'!$C$18)="","",INDEX(SPOT_Import!$A$1:$Z$2488,1021,'Live Data'!$C$18)),"")</f>
        <v>933</v>
      </c>
      <c r="H1021" s="54">
        <f>IFERROR(IF(INDEX(SPOT_Import!$A$1:$Z$2488,1021,'Live Data'!$C$19)="","",INDEX(SPOT_Import!$A$1:$Z$2488,1021,'Live Data'!$C$19)),"")</f>
        <v>933</v>
      </c>
      <c r="I1021" s="54" t="str">
        <f>IFERROR(IF(INDEX(SPOT_Import!$A$1:$Z$2488,1021,'Live Data'!$C$20)="","",INDEX(SPOT_Import!$A$1:$Z$2488,1021,'Live Data'!$C$20)),"")</f>
        <v>Complete</v>
      </c>
      <c r="J1021" s="54" t="str">
        <f>IFERROR(IF(INDEX(SPOT_Import!$A$1:$Z$2488,1021,'Live Data'!$C$21)="","",INDEX(SPOT_Import!$A$1:$Z$2488,1021,'Live Data'!$C$21)),"")</f>
        <v>2023-04-03T15:27:43.000Z</v>
      </c>
      <c r="K1021" s="54" t="str">
        <f>IFERROR(IF(INDEX(SPOT_Import!$A$1:$Z$2488,1021,'Live Data'!$C$22)="","",INDEX(SPOT_Import!$A$1:$Z$2488,1021,'Live Data'!$C$22)),"")</f>
        <v>2023-04-03T15:27:43.000Z</v>
      </c>
      <c r="L1021" s="55" t="str">
        <f t="shared" si="30"/>
        <v>2023-04</v>
      </c>
      <c r="M1021" s="55" t="str">
        <f t="shared" si="31"/>
        <v>KIAMBU</v>
      </c>
      <c r="N1021" s="55" t="str">
        <f>IF(A1021="","",IFERROR(INDEX('Cluster Map'!$A$4:$A$38,MATCH(M1021,'Cluster Map'!$B$4:$B$38,0)),"Unmapped"))</f>
        <v>Cluster 3</v>
      </c>
      <c r="O1021" s="55">
        <f>IF(A1021="",0,IF(COUNTIFS($A$2:A1021,A1021,$F$2:F1021,F1021,$L$2:L1021,L1021)=1,1,0))</f>
        <v>1</v>
      </c>
      <c r="P1021" s="55">
        <f>IF(A1021="",0,IF(AND(F1021="C&amp;T",COUNTIFS($A$2:A1021,A1021,$F$2:F1021,"C&amp;T")=1),1,0))</f>
        <v>0</v>
      </c>
    </row>
    <row r="1022" spans="1:16" x14ac:dyDescent="0.35">
      <c r="A1022" s="54">
        <f>IFERROR(IF(INDEX(SPOT_Import!$A$1:$Z$2488,1022,'Live Data'!$C$12)="","",INDEX(SPOT_Import!$A$1:$Z$2488,1022,'Live Data'!$C$12)),"")</f>
        <v>15702</v>
      </c>
      <c r="B1022" s="54" t="str">
        <f>IFERROR(IF(INDEX(SPOT_Import!$A$1:$Z$2488,1022,'Live Data'!$C$13)="","",INDEX(SPOT_Import!$A$1:$Z$2488,1022,'Live Data'!$C$13)),"")</f>
        <v>Talek Health Centre</v>
      </c>
      <c r="C1022" s="54" t="str">
        <f>IFERROR(IF(INDEX(SPOT_Import!$A$1:$Z$2488,1022,'Live Data'!$C$14)="","",INDEX(SPOT_Import!$A$1:$Z$2488,1022,'Live Data'!$C$14)),"")</f>
        <v>NAROK</v>
      </c>
      <c r="D1022" s="54" t="str">
        <f>IFERROR(IF(INDEX(SPOT_Import!$A$1:$Z$2488,1022,'Live Data'!$C$15)="","",INDEX(SPOT_Import!$A$1:$Z$2488,1022,'Live Data'!$C$15)),"")</f>
        <v>Narok West</v>
      </c>
      <c r="E1022" s="54" t="str">
        <f>IFERROR(IF(INDEX(SPOT_Import!$A$1:$Z$2488,1022,'Live Data'!$C$16)="","",INDEX(SPOT_Import!$A$1:$Z$2488,1022,'Live Data'!$C$16)),"")</f>
        <v>CHAK CHAP STAWISHA</v>
      </c>
      <c r="F1022" s="54" t="str">
        <f>IFERROR(IF(INDEX(SPOT_Import!$A$1:$Z$2488,1022,'Live Data'!$C$17)="","",INDEX(SPOT_Import!$A$1:$Z$2488,1022,'Live Data'!$C$17)),"")</f>
        <v>CRS</v>
      </c>
      <c r="G1022" s="54">
        <f>IFERROR(IF(INDEX(SPOT_Import!$A$1:$Z$2488,1022,'Live Data'!$C$18)="","",INDEX(SPOT_Import!$A$1:$Z$2488,1022,'Live Data'!$C$18)),"")</f>
        <v>315</v>
      </c>
      <c r="H1022" s="54">
        <f>IFERROR(IF(INDEX(SPOT_Import!$A$1:$Z$2488,1022,'Live Data'!$C$19)="","",INDEX(SPOT_Import!$A$1:$Z$2488,1022,'Live Data'!$C$19)),"")</f>
        <v>315</v>
      </c>
      <c r="I1022" s="54" t="str">
        <f>IFERROR(IF(INDEX(SPOT_Import!$A$1:$Z$2488,1022,'Live Data'!$C$20)="","",INDEX(SPOT_Import!$A$1:$Z$2488,1022,'Live Data'!$C$20)),"")</f>
        <v>Complete</v>
      </c>
      <c r="J1022" s="54" t="str">
        <f>IFERROR(IF(INDEX(SPOT_Import!$A$1:$Z$2488,1022,'Live Data'!$C$21)="","",INDEX(SPOT_Import!$A$1:$Z$2488,1022,'Live Data'!$C$21)),"")</f>
        <v>2023-04-03T13:44:58.000Z</v>
      </c>
      <c r="K1022" s="54" t="str">
        <f>IFERROR(IF(INDEX(SPOT_Import!$A$1:$Z$2488,1022,'Live Data'!$C$22)="","",INDEX(SPOT_Import!$A$1:$Z$2488,1022,'Live Data'!$C$22)),"")</f>
        <v>2023-04-03T13:44:58.000Z</v>
      </c>
      <c r="L1022" s="55" t="str">
        <f t="shared" si="30"/>
        <v>2023-04</v>
      </c>
      <c r="M1022" s="55" t="str">
        <f t="shared" si="31"/>
        <v>NAROK</v>
      </c>
      <c r="N1022" s="55" t="str">
        <f>IF(A1022="","",IFERROR(INDEX('Cluster Map'!$A$4:$A$38,MATCH(M1022,'Cluster Map'!$B$4:$B$38,0)),"Unmapped"))</f>
        <v>Cluster 4</v>
      </c>
      <c r="O1022" s="55">
        <f>IF(A1022="",0,IF(COUNTIFS($A$2:A1022,A1022,$F$2:F1022,F1022,$L$2:L1022,L1022)=1,1,0))</f>
        <v>1</v>
      </c>
      <c r="P1022" s="55">
        <f>IF(A1022="",0,IF(AND(F1022="C&amp;T",COUNTIFS($A$2:A1022,A1022,$F$2:F1022,"C&amp;T")=1),1,0))</f>
        <v>0</v>
      </c>
    </row>
    <row r="1023" spans="1:16" x14ac:dyDescent="0.35">
      <c r="A1023" s="54">
        <f>IFERROR(IF(INDEX(SPOT_Import!$A$1:$Z$2488,1023,'Live Data'!$C$12)="","",INDEX(SPOT_Import!$A$1:$Z$2488,1023,'Live Data'!$C$12)),"")</f>
        <v>12502</v>
      </c>
      <c r="B1023" s="54" t="str">
        <f>IFERROR(IF(INDEX(SPOT_Import!$A$1:$Z$2488,1023,'Live Data'!$C$13)="","",INDEX(SPOT_Import!$A$1:$Z$2488,1023,'Live Data'!$C$13)),"")</f>
        <v>Mbitini Catholic Dispensary</v>
      </c>
      <c r="C1023" s="54" t="str">
        <f>IFERROR(IF(INDEX(SPOT_Import!$A$1:$Z$2488,1023,'Live Data'!$C$14)="","",INDEX(SPOT_Import!$A$1:$Z$2488,1023,'Live Data'!$C$14)),"")</f>
        <v>MAKUENI</v>
      </c>
      <c r="D1023" s="54" t="str">
        <f>IFERROR(IF(INDEX(SPOT_Import!$A$1:$Z$2488,1023,'Live Data'!$C$15)="","",INDEX(SPOT_Import!$A$1:$Z$2488,1023,'Live Data'!$C$15)),"")</f>
        <v>Kibwezi West</v>
      </c>
      <c r="E1023" s="54" t="str">
        <f>IFERROR(IF(INDEX(SPOT_Import!$A$1:$Z$2488,1023,'Live Data'!$C$16)="","",INDEX(SPOT_Import!$A$1:$Z$2488,1023,'Live Data'!$C$16)),"")</f>
        <v>CHAK CHAP STAWISHA</v>
      </c>
      <c r="F1023" s="54" t="str">
        <f>IFERROR(IF(INDEX(SPOT_Import!$A$1:$Z$2488,1023,'Live Data'!$C$17)="","",INDEX(SPOT_Import!$A$1:$Z$2488,1023,'Live Data'!$C$17)),"")</f>
        <v>CRS</v>
      </c>
      <c r="G1023" s="54">
        <f>IFERROR(IF(INDEX(SPOT_Import!$A$1:$Z$2488,1023,'Live Data'!$C$18)="","",INDEX(SPOT_Import!$A$1:$Z$2488,1023,'Live Data'!$C$18)),"")</f>
        <v>230</v>
      </c>
      <c r="H1023" s="54">
        <f>IFERROR(IF(INDEX(SPOT_Import!$A$1:$Z$2488,1023,'Live Data'!$C$19)="","",INDEX(SPOT_Import!$A$1:$Z$2488,1023,'Live Data'!$C$19)),"")</f>
        <v>230</v>
      </c>
      <c r="I1023" s="54" t="str">
        <f>IFERROR(IF(INDEX(SPOT_Import!$A$1:$Z$2488,1023,'Live Data'!$C$20)="","",INDEX(SPOT_Import!$A$1:$Z$2488,1023,'Live Data'!$C$20)),"")</f>
        <v>Complete</v>
      </c>
      <c r="J1023" s="54" t="str">
        <f>IFERROR(IF(INDEX(SPOT_Import!$A$1:$Z$2488,1023,'Live Data'!$C$21)="","",INDEX(SPOT_Import!$A$1:$Z$2488,1023,'Live Data'!$C$21)),"")</f>
        <v>2023-04-03T13:39:57.000Z</v>
      </c>
      <c r="K1023" s="54" t="str">
        <f>IFERROR(IF(INDEX(SPOT_Import!$A$1:$Z$2488,1023,'Live Data'!$C$22)="","",INDEX(SPOT_Import!$A$1:$Z$2488,1023,'Live Data'!$C$22)),"")</f>
        <v>2023-04-03T13:39:57.000Z</v>
      </c>
      <c r="L1023" s="55" t="str">
        <f t="shared" si="30"/>
        <v>2023-04</v>
      </c>
      <c r="M1023" s="55" t="str">
        <f t="shared" si="31"/>
        <v>MAKUENI</v>
      </c>
      <c r="N1023" s="55" t="str">
        <f>IF(A1023="","",IFERROR(INDEX('Cluster Map'!$A$4:$A$38,MATCH(M1023,'Cluster Map'!$B$4:$B$38,0)),"Unmapped"))</f>
        <v>Cluster 5</v>
      </c>
      <c r="O1023" s="55">
        <f>IF(A1023="",0,IF(COUNTIFS($A$2:A1023,A1023,$F$2:F1023,F1023,$L$2:L1023,L1023)=1,1,0))</f>
        <v>1</v>
      </c>
      <c r="P1023" s="55">
        <f>IF(A1023="",0,IF(AND(F1023="C&amp;T",COUNTIFS($A$2:A1023,A1023,$F$2:F1023,"C&amp;T")=1),1,0))</f>
        <v>0</v>
      </c>
    </row>
    <row r="1024" spans="1:16" x14ac:dyDescent="0.35">
      <c r="A1024" s="54">
        <f>IFERROR(IF(INDEX(SPOT_Import!$A$1:$Z$2488,1024,'Live Data'!$C$12)="","",INDEX(SPOT_Import!$A$1:$Z$2488,1024,'Live Data'!$C$12)),"")</f>
        <v>10398</v>
      </c>
      <c r="B1024" s="54" t="str">
        <f>IFERROR(IF(INDEX(SPOT_Import!$A$1:$Z$2488,1024,'Live Data'!$C$13)="","",INDEX(SPOT_Import!$A$1:$Z$2488,1024,'Live Data'!$C$13)),"")</f>
        <v>Kagio Catholic Dispensary (Mary Immucate Catholic Dispensary)</v>
      </c>
      <c r="C1024" s="54" t="str">
        <f>IFERROR(IF(INDEX(SPOT_Import!$A$1:$Z$2488,1024,'Live Data'!$C$14)="","",INDEX(SPOT_Import!$A$1:$Z$2488,1024,'Live Data'!$C$14)),"")</f>
        <v>KIRINYAGA</v>
      </c>
      <c r="D1024" s="54" t="str">
        <f>IFERROR(IF(INDEX(SPOT_Import!$A$1:$Z$2488,1024,'Live Data'!$C$15)="","",INDEX(SPOT_Import!$A$1:$Z$2488,1024,'Live Data'!$C$15)),"")</f>
        <v>Kirinyaga West</v>
      </c>
      <c r="E1024" s="54" t="str">
        <f>IFERROR(IF(INDEX(SPOT_Import!$A$1:$Z$2488,1024,'Live Data'!$C$16)="","",INDEX(SPOT_Import!$A$1:$Z$2488,1024,'Live Data'!$C$16)),"")</f>
        <v>CHAK CHAP STAWISHA</v>
      </c>
      <c r="F1024" s="54" t="str">
        <f>IFERROR(IF(INDEX(SPOT_Import!$A$1:$Z$2488,1024,'Live Data'!$C$17)="","",INDEX(SPOT_Import!$A$1:$Z$2488,1024,'Live Data'!$C$17)),"")</f>
        <v>CRS</v>
      </c>
      <c r="G1024" s="54">
        <f>IFERROR(IF(INDEX(SPOT_Import!$A$1:$Z$2488,1024,'Live Data'!$C$18)="","",INDEX(SPOT_Import!$A$1:$Z$2488,1024,'Live Data'!$C$18)),"")</f>
        <v>573</v>
      </c>
      <c r="H1024" s="54">
        <f>IFERROR(IF(INDEX(SPOT_Import!$A$1:$Z$2488,1024,'Live Data'!$C$19)="","",INDEX(SPOT_Import!$A$1:$Z$2488,1024,'Live Data'!$C$19)),"")</f>
        <v>573</v>
      </c>
      <c r="I1024" s="54" t="str">
        <f>IFERROR(IF(INDEX(SPOT_Import!$A$1:$Z$2488,1024,'Live Data'!$C$20)="","",INDEX(SPOT_Import!$A$1:$Z$2488,1024,'Live Data'!$C$20)),"")</f>
        <v>Complete</v>
      </c>
      <c r="J1024" s="54" t="str">
        <f>IFERROR(IF(INDEX(SPOT_Import!$A$1:$Z$2488,1024,'Live Data'!$C$21)="","",INDEX(SPOT_Import!$A$1:$Z$2488,1024,'Live Data'!$C$21)),"")</f>
        <v>2023-04-03T12:58:46.000Z</v>
      </c>
      <c r="K1024" s="54" t="str">
        <f>IFERROR(IF(INDEX(SPOT_Import!$A$1:$Z$2488,1024,'Live Data'!$C$22)="","",INDEX(SPOT_Import!$A$1:$Z$2488,1024,'Live Data'!$C$22)),"")</f>
        <v>2023-04-03T12:58:46.000Z</v>
      </c>
      <c r="L1024" s="55" t="str">
        <f t="shared" si="30"/>
        <v>2023-04</v>
      </c>
      <c r="M1024" s="55" t="str">
        <f t="shared" si="31"/>
        <v>KIRINYAGA</v>
      </c>
      <c r="N1024" s="55" t="str">
        <f>IF(A1024="","",IFERROR(INDEX('Cluster Map'!$A$4:$A$38,MATCH(M1024,'Cluster Map'!$B$4:$B$38,0)),"Unmapped"))</f>
        <v>Cluster 2</v>
      </c>
      <c r="O1024" s="55">
        <f>IF(A1024="",0,IF(COUNTIFS($A$2:A1024,A1024,$F$2:F1024,F1024,$L$2:L1024,L1024)=1,1,0))</f>
        <v>1</v>
      </c>
      <c r="P1024" s="55">
        <f>IF(A1024="",0,IF(AND(F1024="C&amp;T",COUNTIFS($A$2:A1024,A1024,$F$2:F1024,"C&amp;T")=1),1,0))</f>
        <v>0</v>
      </c>
    </row>
    <row r="1025" spans="1:16" x14ac:dyDescent="0.35">
      <c r="A1025" s="54">
        <f>IFERROR(IF(INDEX(SPOT_Import!$A$1:$Z$2488,1025,'Live Data'!$C$12)="","",INDEX(SPOT_Import!$A$1:$Z$2488,1025,'Live Data'!$C$12)),"")</f>
        <v>12769</v>
      </c>
      <c r="B1025" s="54" t="str">
        <f>IFERROR(IF(INDEX(SPOT_Import!$A$1:$Z$2488,1025,'Live Data'!$C$13)="","",INDEX(SPOT_Import!$A$1:$Z$2488,1025,'Live Data'!$C$13)),"")</f>
        <v>St Orsola Mission Hospital</v>
      </c>
      <c r="C1025" s="54" t="str">
        <f>IFERROR(IF(INDEX(SPOT_Import!$A$1:$Z$2488,1025,'Live Data'!$C$14)="","",INDEX(SPOT_Import!$A$1:$Z$2488,1025,'Live Data'!$C$14)),"")</f>
        <v>THARAKA - NITHI</v>
      </c>
      <c r="D1025" s="54" t="str">
        <f>IFERROR(IF(INDEX(SPOT_Import!$A$1:$Z$2488,1025,'Live Data'!$C$15)="","",INDEX(SPOT_Import!$A$1:$Z$2488,1025,'Live Data'!$C$15)),"")</f>
        <v>THARAKA SOUTH</v>
      </c>
      <c r="E1025" s="54" t="str">
        <f>IFERROR(IF(INDEX(SPOT_Import!$A$1:$Z$2488,1025,'Live Data'!$C$16)="","",INDEX(SPOT_Import!$A$1:$Z$2488,1025,'Live Data'!$C$16)),"")</f>
        <v>CHAK CHAP STAWISHA</v>
      </c>
      <c r="F1025" s="54" t="str">
        <f>IFERROR(IF(INDEX(SPOT_Import!$A$1:$Z$2488,1025,'Live Data'!$C$17)="","",INDEX(SPOT_Import!$A$1:$Z$2488,1025,'Live Data'!$C$17)),"")</f>
        <v>CRS</v>
      </c>
      <c r="G1025" s="54">
        <f>IFERROR(IF(INDEX(SPOT_Import!$A$1:$Z$2488,1025,'Live Data'!$C$18)="","",INDEX(SPOT_Import!$A$1:$Z$2488,1025,'Live Data'!$C$18)),"")</f>
        <v>644</v>
      </c>
      <c r="H1025" s="54">
        <f>IFERROR(IF(INDEX(SPOT_Import!$A$1:$Z$2488,1025,'Live Data'!$C$19)="","",INDEX(SPOT_Import!$A$1:$Z$2488,1025,'Live Data'!$C$19)),"")</f>
        <v>644</v>
      </c>
      <c r="I1025" s="54" t="str">
        <f>IFERROR(IF(INDEX(SPOT_Import!$A$1:$Z$2488,1025,'Live Data'!$C$20)="","",INDEX(SPOT_Import!$A$1:$Z$2488,1025,'Live Data'!$C$20)),"")</f>
        <v>Complete</v>
      </c>
      <c r="J1025" s="54" t="str">
        <f>IFERROR(IF(INDEX(SPOT_Import!$A$1:$Z$2488,1025,'Live Data'!$C$21)="","",INDEX(SPOT_Import!$A$1:$Z$2488,1025,'Live Data'!$C$21)),"")</f>
        <v>2023-04-03T12:41:18.000Z</v>
      </c>
      <c r="K1025" s="54" t="str">
        <f>IFERROR(IF(INDEX(SPOT_Import!$A$1:$Z$2488,1025,'Live Data'!$C$22)="","",INDEX(SPOT_Import!$A$1:$Z$2488,1025,'Live Data'!$C$22)),"")</f>
        <v>2023-04-03T12:41:18.000Z</v>
      </c>
      <c r="L1025" s="55" t="str">
        <f t="shared" si="30"/>
        <v>2023-04</v>
      </c>
      <c r="M1025" s="55" t="str">
        <f t="shared" si="31"/>
        <v>THARAKA-NITHI</v>
      </c>
      <c r="N1025" s="55" t="str">
        <f>IF(A1025="","",IFERROR(INDEX('Cluster Map'!$A$4:$A$38,MATCH(M1025,'Cluster Map'!$B$4:$B$38,0)),"Unmapped"))</f>
        <v>Cluster 2</v>
      </c>
      <c r="O1025" s="55">
        <f>IF(A1025="",0,IF(COUNTIFS($A$2:A1025,A1025,$F$2:F1025,F1025,$L$2:L1025,L1025)=1,1,0))</f>
        <v>1</v>
      </c>
      <c r="P1025" s="55">
        <f>IF(A1025="",0,IF(AND(F1025="C&amp;T",COUNTIFS($A$2:A1025,A1025,$F$2:F1025,"C&amp;T")=1),1,0))</f>
        <v>0</v>
      </c>
    </row>
    <row r="1026" spans="1:16" x14ac:dyDescent="0.35">
      <c r="A1026" s="54">
        <f>IFERROR(IF(INDEX(SPOT_Import!$A$1:$Z$2488,1026,'Live Data'!$C$12)="","",INDEX(SPOT_Import!$A$1:$Z$2488,1026,'Live Data'!$C$12)),"")</f>
        <v>12813</v>
      </c>
      <c r="B1026" s="54" t="str">
        <f>IFERROR(IF(INDEX(SPOT_Import!$A$1:$Z$2488,1026,'Live Data'!$C$13)="","",INDEX(SPOT_Import!$A$1:$Z$2488,1026,'Live Data'!$C$13)),"")</f>
        <v>Tunyai Health centre</v>
      </c>
      <c r="C1026" s="54" t="str">
        <f>IFERROR(IF(INDEX(SPOT_Import!$A$1:$Z$2488,1026,'Live Data'!$C$14)="","",INDEX(SPOT_Import!$A$1:$Z$2488,1026,'Live Data'!$C$14)),"")</f>
        <v>THARAKA - NITHI</v>
      </c>
      <c r="D1026" s="54" t="str">
        <f>IFERROR(IF(INDEX(SPOT_Import!$A$1:$Z$2488,1026,'Live Data'!$C$15)="","",INDEX(SPOT_Import!$A$1:$Z$2488,1026,'Live Data'!$C$15)),"")</f>
        <v>THARAKA SOUTH</v>
      </c>
      <c r="E1026" s="54" t="str">
        <f>IFERROR(IF(INDEX(SPOT_Import!$A$1:$Z$2488,1026,'Live Data'!$C$16)="","",INDEX(SPOT_Import!$A$1:$Z$2488,1026,'Live Data'!$C$16)),"")</f>
        <v>CHAK CHAP STAWISHA</v>
      </c>
      <c r="F1026" s="54" t="str">
        <f>IFERROR(IF(INDEX(SPOT_Import!$A$1:$Z$2488,1026,'Live Data'!$C$17)="","",INDEX(SPOT_Import!$A$1:$Z$2488,1026,'Live Data'!$C$17)),"")</f>
        <v>CRS</v>
      </c>
      <c r="G1026" s="54">
        <f>IFERROR(IF(INDEX(SPOT_Import!$A$1:$Z$2488,1026,'Live Data'!$C$18)="","",INDEX(SPOT_Import!$A$1:$Z$2488,1026,'Live Data'!$C$18)),"")</f>
        <v>484</v>
      </c>
      <c r="H1026" s="54">
        <f>IFERROR(IF(INDEX(SPOT_Import!$A$1:$Z$2488,1026,'Live Data'!$C$19)="","",INDEX(SPOT_Import!$A$1:$Z$2488,1026,'Live Data'!$C$19)),"")</f>
        <v>484</v>
      </c>
      <c r="I1026" s="54" t="str">
        <f>IFERROR(IF(INDEX(SPOT_Import!$A$1:$Z$2488,1026,'Live Data'!$C$20)="","",INDEX(SPOT_Import!$A$1:$Z$2488,1026,'Live Data'!$C$20)),"")</f>
        <v>Complete</v>
      </c>
      <c r="J1026" s="54" t="str">
        <f>IFERROR(IF(INDEX(SPOT_Import!$A$1:$Z$2488,1026,'Live Data'!$C$21)="","",INDEX(SPOT_Import!$A$1:$Z$2488,1026,'Live Data'!$C$21)),"")</f>
        <v>2023-04-03T12:24:10.000Z</v>
      </c>
      <c r="K1026" s="54" t="str">
        <f>IFERROR(IF(INDEX(SPOT_Import!$A$1:$Z$2488,1026,'Live Data'!$C$22)="","",INDEX(SPOT_Import!$A$1:$Z$2488,1026,'Live Data'!$C$22)),"")</f>
        <v>2023-04-03T12:24:10.000Z</v>
      </c>
      <c r="L1026" s="55" t="str">
        <f t="shared" ref="L1026:L1089" si="32">IF(A1026="","",IF(ISNUMBER(K1026),TEXT(K1026,"yyyy-mm"),LEFT(K1026,7)))</f>
        <v>2023-04</v>
      </c>
      <c r="M1026" s="55" t="str">
        <f t="shared" ref="M1026:M1089" si="33">IF(A1026="","",UPPER(TRIM(SUBSTITUTE(C1026," - ","-"))))</f>
        <v>THARAKA-NITHI</v>
      </c>
      <c r="N1026" s="55" t="str">
        <f>IF(A1026="","",IFERROR(INDEX('Cluster Map'!$A$4:$A$38,MATCH(M1026,'Cluster Map'!$B$4:$B$38,0)),"Unmapped"))</f>
        <v>Cluster 2</v>
      </c>
      <c r="O1026" s="55">
        <f>IF(A1026="",0,IF(COUNTIFS($A$2:A1026,A1026,$F$2:F1026,F1026,$L$2:L1026,L1026)=1,1,0))</f>
        <v>1</v>
      </c>
      <c r="P1026" s="55">
        <f>IF(A1026="",0,IF(AND(F1026="C&amp;T",COUNTIFS($A$2:A1026,A1026,$F$2:F1026,"C&amp;T")=1),1,0))</f>
        <v>0</v>
      </c>
    </row>
    <row r="1027" spans="1:16" x14ac:dyDescent="0.35">
      <c r="A1027" s="54">
        <f>IFERROR(IF(INDEX(SPOT_Import!$A$1:$Z$2488,1027,'Live Data'!$C$12)="","",INDEX(SPOT_Import!$A$1:$Z$2488,1027,'Live Data'!$C$12)),"")</f>
        <v>10808</v>
      </c>
      <c r="B1027" s="54" t="str">
        <f>IFERROR(IF(INDEX(SPOT_Import!$A$1:$Z$2488,1027,'Live Data'!$C$13)="","",INDEX(SPOT_Import!$A$1:$Z$2488,1027,'Live Data'!$C$13)),"")</f>
        <v>Mwea Mission (Our Lady Of Lourdes) Hospital</v>
      </c>
      <c r="C1027" s="54" t="str">
        <f>IFERROR(IF(INDEX(SPOT_Import!$A$1:$Z$2488,1027,'Live Data'!$C$14)="","",INDEX(SPOT_Import!$A$1:$Z$2488,1027,'Live Data'!$C$14)),"")</f>
        <v>KIRINYAGA</v>
      </c>
      <c r="D1027" s="54" t="str">
        <f>IFERROR(IF(INDEX(SPOT_Import!$A$1:$Z$2488,1027,'Live Data'!$C$15)="","",INDEX(SPOT_Import!$A$1:$Z$2488,1027,'Live Data'!$C$15)),"")</f>
        <v>Kirinyaga North/Mwea West</v>
      </c>
      <c r="E1027" s="54" t="str">
        <f>IFERROR(IF(INDEX(SPOT_Import!$A$1:$Z$2488,1027,'Live Data'!$C$16)="","",INDEX(SPOT_Import!$A$1:$Z$2488,1027,'Live Data'!$C$16)),"")</f>
        <v>CHAK CHAP STAWISHA</v>
      </c>
      <c r="F1027" s="54" t="str">
        <f>IFERROR(IF(INDEX(SPOT_Import!$A$1:$Z$2488,1027,'Live Data'!$C$17)="","",INDEX(SPOT_Import!$A$1:$Z$2488,1027,'Live Data'!$C$17)),"")</f>
        <v>CRS</v>
      </c>
      <c r="G1027" s="54">
        <f>IFERROR(IF(INDEX(SPOT_Import!$A$1:$Z$2488,1027,'Live Data'!$C$18)="","",INDEX(SPOT_Import!$A$1:$Z$2488,1027,'Live Data'!$C$18)),"")</f>
        <v>4343</v>
      </c>
      <c r="H1027" s="54">
        <f>IFERROR(IF(INDEX(SPOT_Import!$A$1:$Z$2488,1027,'Live Data'!$C$19)="","",INDEX(SPOT_Import!$A$1:$Z$2488,1027,'Live Data'!$C$19)),"")</f>
        <v>4343</v>
      </c>
      <c r="I1027" s="54" t="str">
        <f>IFERROR(IF(INDEX(SPOT_Import!$A$1:$Z$2488,1027,'Live Data'!$C$20)="","",INDEX(SPOT_Import!$A$1:$Z$2488,1027,'Live Data'!$C$20)),"")</f>
        <v>Complete</v>
      </c>
      <c r="J1027" s="54" t="str">
        <f>IFERROR(IF(INDEX(SPOT_Import!$A$1:$Z$2488,1027,'Live Data'!$C$21)="","",INDEX(SPOT_Import!$A$1:$Z$2488,1027,'Live Data'!$C$21)),"")</f>
        <v>2023-04-03T11:49:45.000Z</v>
      </c>
      <c r="K1027" s="54" t="str">
        <f>IFERROR(IF(INDEX(SPOT_Import!$A$1:$Z$2488,1027,'Live Data'!$C$22)="","",INDEX(SPOT_Import!$A$1:$Z$2488,1027,'Live Data'!$C$22)),"")</f>
        <v>2023-04-03T11:49:45.000Z</v>
      </c>
      <c r="L1027" s="55" t="str">
        <f t="shared" si="32"/>
        <v>2023-04</v>
      </c>
      <c r="M1027" s="55" t="str">
        <f t="shared" si="33"/>
        <v>KIRINYAGA</v>
      </c>
      <c r="N1027" s="55" t="str">
        <f>IF(A1027="","",IFERROR(INDEX('Cluster Map'!$A$4:$A$38,MATCH(M1027,'Cluster Map'!$B$4:$B$38,0)),"Unmapped"))</f>
        <v>Cluster 2</v>
      </c>
      <c r="O1027" s="55">
        <f>IF(A1027="",0,IF(COUNTIFS($A$2:A1027,A1027,$F$2:F1027,F1027,$L$2:L1027,L1027)=1,1,0))</f>
        <v>1</v>
      </c>
      <c r="P1027" s="55">
        <f>IF(A1027="",0,IF(AND(F1027="C&amp;T",COUNTIFS($A$2:A1027,A1027,$F$2:F1027,"C&amp;T")=1),1,0))</f>
        <v>0</v>
      </c>
    </row>
    <row r="1028" spans="1:16" x14ac:dyDescent="0.35">
      <c r="A1028" s="54">
        <f>IFERROR(IF(INDEX(SPOT_Import!$A$1:$Z$2488,1028,'Live Data'!$C$12)="","",INDEX(SPOT_Import!$A$1:$Z$2488,1028,'Live Data'!$C$12)),"")</f>
        <v>11041</v>
      </c>
      <c r="B1028" s="54" t="str">
        <f>IFERROR(IF(INDEX(SPOT_Import!$A$1:$Z$2488,1028,'Live Data'!$C$13)="","",INDEX(SPOT_Import!$A$1:$Z$2488,1028,'Live Data'!$C$13)),"")</f>
        <v>St Joseph Catholic Dispensary (Ruiru)</v>
      </c>
      <c r="C1028" s="54" t="str">
        <f>IFERROR(IF(INDEX(SPOT_Import!$A$1:$Z$2488,1028,'Live Data'!$C$14)="","",INDEX(SPOT_Import!$A$1:$Z$2488,1028,'Live Data'!$C$14)),"")</f>
        <v>KIAMBU</v>
      </c>
      <c r="D1028" s="54" t="str">
        <f>IFERROR(IF(INDEX(SPOT_Import!$A$1:$Z$2488,1028,'Live Data'!$C$15)="","",INDEX(SPOT_Import!$A$1:$Z$2488,1028,'Live Data'!$C$15)),"")</f>
        <v>Ruiru</v>
      </c>
      <c r="E1028" s="54" t="str">
        <f>IFERROR(IF(INDEX(SPOT_Import!$A$1:$Z$2488,1028,'Live Data'!$C$16)="","",INDEX(SPOT_Import!$A$1:$Z$2488,1028,'Live Data'!$C$16)),"")</f>
        <v>CHAK CHAP STAWISHA</v>
      </c>
      <c r="F1028" s="54" t="str">
        <f>IFERROR(IF(INDEX(SPOT_Import!$A$1:$Z$2488,1028,'Live Data'!$C$17)="","",INDEX(SPOT_Import!$A$1:$Z$2488,1028,'Live Data'!$C$17)),"")</f>
        <v>CRS</v>
      </c>
      <c r="G1028" s="54">
        <f>IFERROR(IF(INDEX(SPOT_Import!$A$1:$Z$2488,1028,'Live Data'!$C$18)="","",INDEX(SPOT_Import!$A$1:$Z$2488,1028,'Live Data'!$C$18)),"")</f>
        <v>912</v>
      </c>
      <c r="H1028" s="54">
        <f>IFERROR(IF(INDEX(SPOT_Import!$A$1:$Z$2488,1028,'Live Data'!$C$19)="","",INDEX(SPOT_Import!$A$1:$Z$2488,1028,'Live Data'!$C$19)),"")</f>
        <v>912</v>
      </c>
      <c r="I1028" s="54" t="str">
        <f>IFERROR(IF(INDEX(SPOT_Import!$A$1:$Z$2488,1028,'Live Data'!$C$20)="","",INDEX(SPOT_Import!$A$1:$Z$2488,1028,'Live Data'!$C$20)),"")</f>
        <v>Complete</v>
      </c>
      <c r="J1028" s="54" t="str">
        <f>IFERROR(IF(INDEX(SPOT_Import!$A$1:$Z$2488,1028,'Live Data'!$C$21)="","",INDEX(SPOT_Import!$A$1:$Z$2488,1028,'Live Data'!$C$21)),"")</f>
        <v>2023-04-03T09:36:33.000Z</v>
      </c>
      <c r="K1028" s="54" t="str">
        <f>IFERROR(IF(INDEX(SPOT_Import!$A$1:$Z$2488,1028,'Live Data'!$C$22)="","",INDEX(SPOT_Import!$A$1:$Z$2488,1028,'Live Data'!$C$22)),"")</f>
        <v>2023-04-03T09:36:33.000Z</v>
      </c>
      <c r="L1028" s="55" t="str">
        <f t="shared" si="32"/>
        <v>2023-04</v>
      </c>
      <c r="M1028" s="55" t="str">
        <f t="shared" si="33"/>
        <v>KIAMBU</v>
      </c>
      <c r="N1028" s="55" t="str">
        <f>IF(A1028="","",IFERROR(INDEX('Cluster Map'!$A$4:$A$38,MATCH(M1028,'Cluster Map'!$B$4:$B$38,0)),"Unmapped"))</f>
        <v>Cluster 3</v>
      </c>
      <c r="O1028" s="55">
        <f>IF(A1028="",0,IF(COUNTIFS($A$2:A1028,A1028,$F$2:F1028,F1028,$L$2:L1028,L1028)=1,1,0))</f>
        <v>1</v>
      </c>
      <c r="P1028" s="55">
        <f>IF(A1028="",0,IF(AND(F1028="C&amp;T",COUNTIFS($A$2:A1028,A1028,$F$2:F1028,"C&amp;T")=1),1,0))</f>
        <v>0</v>
      </c>
    </row>
    <row r="1029" spans="1:16" x14ac:dyDescent="0.35">
      <c r="A1029" s="54">
        <f>IFERROR(IF(INDEX(SPOT_Import!$A$1:$Z$2488,1029,'Live Data'!$C$12)="","",INDEX(SPOT_Import!$A$1:$Z$2488,1029,'Live Data'!$C$12)),"")</f>
        <v>14485</v>
      </c>
      <c r="B1029" s="54" t="str">
        <f>IFERROR(IF(INDEX(SPOT_Import!$A$1:$Z$2488,1029,'Live Data'!$C$13)="","",INDEX(SPOT_Import!$A$1:$Z$2488,1029,'Live Data'!$C$13)),"")</f>
        <v>Ewaso Ngiro Health Centre</v>
      </c>
      <c r="C1029" s="54" t="str">
        <f>IFERROR(IF(INDEX(SPOT_Import!$A$1:$Z$2488,1029,'Live Data'!$C$14)="","",INDEX(SPOT_Import!$A$1:$Z$2488,1029,'Live Data'!$C$14)),"")</f>
        <v>NAROK</v>
      </c>
      <c r="D1029" s="54" t="str">
        <f>IFERROR(IF(INDEX(SPOT_Import!$A$1:$Z$2488,1029,'Live Data'!$C$15)="","",INDEX(SPOT_Import!$A$1:$Z$2488,1029,'Live Data'!$C$15)),"")</f>
        <v>Narok South</v>
      </c>
      <c r="E1029" s="54" t="str">
        <f>IFERROR(IF(INDEX(SPOT_Import!$A$1:$Z$2488,1029,'Live Data'!$C$16)="","",INDEX(SPOT_Import!$A$1:$Z$2488,1029,'Live Data'!$C$16)),"")</f>
        <v>CHAK CHAP STAWISHA</v>
      </c>
      <c r="F1029" s="54" t="str">
        <f>IFERROR(IF(INDEX(SPOT_Import!$A$1:$Z$2488,1029,'Live Data'!$C$17)="","",INDEX(SPOT_Import!$A$1:$Z$2488,1029,'Live Data'!$C$17)),"")</f>
        <v>CRS</v>
      </c>
      <c r="G1029" s="54">
        <f>IFERROR(IF(INDEX(SPOT_Import!$A$1:$Z$2488,1029,'Live Data'!$C$18)="","",INDEX(SPOT_Import!$A$1:$Z$2488,1029,'Live Data'!$C$18)),"")</f>
        <v>2728</v>
      </c>
      <c r="H1029" s="54">
        <f>IFERROR(IF(INDEX(SPOT_Import!$A$1:$Z$2488,1029,'Live Data'!$C$19)="","",INDEX(SPOT_Import!$A$1:$Z$2488,1029,'Live Data'!$C$19)),"")</f>
        <v>2728</v>
      </c>
      <c r="I1029" s="54" t="str">
        <f>IFERROR(IF(INDEX(SPOT_Import!$A$1:$Z$2488,1029,'Live Data'!$C$20)="","",INDEX(SPOT_Import!$A$1:$Z$2488,1029,'Live Data'!$C$20)),"")</f>
        <v>Complete</v>
      </c>
      <c r="J1029" s="54" t="str">
        <f>IFERROR(IF(INDEX(SPOT_Import!$A$1:$Z$2488,1029,'Live Data'!$C$21)="","",INDEX(SPOT_Import!$A$1:$Z$2488,1029,'Live Data'!$C$21)),"")</f>
        <v>2023-04-03T09:34:06.000Z</v>
      </c>
      <c r="K1029" s="54" t="str">
        <f>IFERROR(IF(INDEX(SPOT_Import!$A$1:$Z$2488,1029,'Live Data'!$C$22)="","",INDEX(SPOT_Import!$A$1:$Z$2488,1029,'Live Data'!$C$22)),"")</f>
        <v>2023-04-03T09:34:06.000Z</v>
      </c>
      <c r="L1029" s="55" t="str">
        <f t="shared" si="32"/>
        <v>2023-04</v>
      </c>
      <c r="M1029" s="55" t="str">
        <f t="shared" si="33"/>
        <v>NAROK</v>
      </c>
      <c r="N1029" s="55" t="str">
        <f>IF(A1029="","",IFERROR(INDEX('Cluster Map'!$A$4:$A$38,MATCH(M1029,'Cluster Map'!$B$4:$B$38,0)),"Unmapped"))</f>
        <v>Cluster 4</v>
      </c>
      <c r="O1029" s="55">
        <f>IF(A1029="",0,IF(COUNTIFS($A$2:A1029,A1029,$F$2:F1029,F1029,$L$2:L1029,L1029)=1,1,0))</f>
        <v>1</v>
      </c>
      <c r="P1029" s="55">
        <f>IF(A1029="",0,IF(AND(F1029="C&amp;T",COUNTIFS($A$2:A1029,A1029,$F$2:F1029,"C&amp;T")=1),1,0))</f>
        <v>0</v>
      </c>
    </row>
    <row r="1030" spans="1:16" x14ac:dyDescent="0.35">
      <c r="A1030" s="54">
        <f>IFERROR(IF(INDEX(SPOT_Import!$A$1:$Z$2488,1030,'Live Data'!$C$12)="","",INDEX(SPOT_Import!$A$1:$Z$2488,1030,'Live Data'!$C$12)),"")</f>
        <v>17490</v>
      </c>
      <c r="B1030" s="54" t="str">
        <f>IFERROR(IF(INDEX(SPOT_Import!$A$1:$Z$2488,1030,'Live Data'!$C$13)="","",INDEX(SPOT_Import!$A$1:$Z$2488,1030,'Live Data'!$C$13)),"")</f>
        <v>Nazareth Hospital (Ruiru)</v>
      </c>
      <c r="C1030" s="54" t="str">
        <f>IFERROR(IF(INDEX(SPOT_Import!$A$1:$Z$2488,1030,'Live Data'!$C$14)="","",INDEX(SPOT_Import!$A$1:$Z$2488,1030,'Live Data'!$C$14)),"")</f>
        <v>KIAMBU</v>
      </c>
      <c r="D1030" s="54" t="str">
        <f>IFERROR(IF(INDEX(SPOT_Import!$A$1:$Z$2488,1030,'Live Data'!$C$15)="","",INDEX(SPOT_Import!$A$1:$Z$2488,1030,'Live Data'!$C$15)),"")</f>
        <v>Ruiru</v>
      </c>
      <c r="E1030" s="54" t="str">
        <f>IFERROR(IF(INDEX(SPOT_Import!$A$1:$Z$2488,1030,'Live Data'!$C$16)="","",INDEX(SPOT_Import!$A$1:$Z$2488,1030,'Live Data'!$C$16)),"")</f>
        <v>CHAK CHAP STAWISHA</v>
      </c>
      <c r="F1030" s="54" t="str">
        <f>IFERROR(IF(INDEX(SPOT_Import!$A$1:$Z$2488,1030,'Live Data'!$C$17)="","",INDEX(SPOT_Import!$A$1:$Z$2488,1030,'Live Data'!$C$17)),"")</f>
        <v>CRS</v>
      </c>
      <c r="G1030" s="54">
        <f>IFERROR(IF(INDEX(SPOT_Import!$A$1:$Z$2488,1030,'Live Data'!$C$18)="","",INDEX(SPOT_Import!$A$1:$Z$2488,1030,'Live Data'!$C$18)),"")</f>
        <v>1105</v>
      </c>
      <c r="H1030" s="54">
        <f>IFERROR(IF(INDEX(SPOT_Import!$A$1:$Z$2488,1030,'Live Data'!$C$19)="","",INDEX(SPOT_Import!$A$1:$Z$2488,1030,'Live Data'!$C$19)),"")</f>
        <v>1105</v>
      </c>
      <c r="I1030" s="54" t="str">
        <f>IFERROR(IF(INDEX(SPOT_Import!$A$1:$Z$2488,1030,'Live Data'!$C$20)="","",INDEX(SPOT_Import!$A$1:$Z$2488,1030,'Live Data'!$C$20)),"")</f>
        <v>Complete</v>
      </c>
      <c r="J1030" s="54" t="str">
        <f>IFERROR(IF(INDEX(SPOT_Import!$A$1:$Z$2488,1030,'Live Data'!$C$21)="","",INDEX(SPOT_Import!$A$1:$Z$2488,1030,'Live Data'!$C$21)),"")</f>
        <v>2023-04-03T09:31:47.000Z</v>
      </c>
      <c r="K1030" s="54" t="str">
        <f>IFERROR(IF(INDEX(SPOT_Import!$A$1:$Z$2488,1030,'Live Data'!$C$22)="","",INDEX(SPOT_Import!$A$1:$Z$2488,1030,'Live Data'!$C$22)),"")</f>
        <v>2023-04-03T09:31:47.000Z</v>
      </c>
      <c r="L1030" s="55" t="str">
        <f t="shared" si="32"/>
        <v>2023-04</v>
      </c>
      <c r="M1030" s="55" t="str">
        <f t="shared" si="33"/>
        <v>KIAMBU</v>
      </c>
      <c r="N1030" s="55" t="str">
        <f>IF(A1030="","",IFERROR(INDEX('Cluster Map'!$A$4:$A$38,MATCH(M1030,'Cluster Map'!$B$4:$B$38,0)),"Unmapped"))</f>
        <v>Cluster 3</v>
      </c>
      <c r="O1030" s="55">
        <f>IF(A1030="",0,IF(COUNTIFS($A$2:A1030,A1030,$F$2:F1030,F1030,$L$2:L1030,L1030)=1,1,0))</f>
        <v>1</v>
      </c>
      <c r="P1030" s="55">
        <f>IF(A1030="",0,IF(AND(F1030="C&amp;T",COUNTIFS($A$2:A1030,A1030,$F$2:F1030,"C&amp;T")=1),1,0))</f>
        <v>0</v>
      </c>
    </row>
    <row r="1031" spans="1:16" x14ac:dyDescent="0.35">
      <c r="A1031" s="54">
        <f>IFERROR(IF(INDEX(SPOT_Import!$A$1:$Z$2488,1031,'Live Data'!$C$12)="","",INDEX(SPOT_Import!$A$1:$Z$2488,1031,'Live Data'!$C$12)),"")</f>
        <v>12566</v>
      </c>
      <c r="B1031" s="54" t="str">
        <f>IFERROR(IF(INDEX(SPOT_Import!$A$1:$Z$2488,1031,'Live Data'!$C$13)="","",INDEX(SPOT_Import!$A$1:$Z$2488,1031,'Live Data'!$C$13)),"")</f>
        <v>Mulango (AIC) Health Centre</v>
      </c>
      <c r="C1031" s="54" t="str">
        <f>IFERROR(IF(INDEX(SPOT_Import!$A$1:$Z$2488,1031,'Live Data'!$C$14)="","",INDEX(SPOT_Import!$A$1:$Z$2488,1031,'Live Data'!$C$14)),"")</f>
        <v>KITUI</v>
      </c>
      <c r="D1031" s="54" t="str">
        <f>IFERROR(IF(INDEX(SPOT_Import!$A$1:$Z$2488,1031,'Live Data'!$C$15)="","",INDEX(SPOT_Import!$A$1:$Z$2488,1031,'Live Data'!$C$15)),"")</f>
        <v>Kitui Central</v>
      </c>
      <c r="E1031" s="54" t="str">
        <f>IFERROR(IF(INDEX(SPOT_Import!$A$1:$Z$2488,1031,'Live Data'!$C$16)="","",INDEX(SPOT_Import!$A$1:$Z$2488,1031,'Live Data'!$C$16)),"")</f>
        <v>CHAK CHAP STAWISHA</v>
      </c>
      <c r="F1031" s="54" t="str">
        <f>IFERROR(IF(INDEX(SPOT_Import!$A$1:$Z$2488,1031,'Live Data'!$C$17)="","",INDEX(SPOT_Import!$A$1:$Z$2488,1031,'Live Data'!$C$17)),"")</f>
        <v>CRS</v>
      </c>
      <c r="G1031" s="54">
        <f>IFERROR(IF(INDEX(SPOT_Import!$A$1:$Z$2488,1031,'Live Data'!$C$18)="","",INDEX(SPOT_Import!$A$1:$Z$2488,1031,'Live Data'!$C$18)),"")</f>
        <v>503</v>
      </c>
      <c r="H1031" s="54">
        <f>IFERROR(IF(INDEX(SPOT_Import!$A$1:$Z$2488,1031,'Live Data'!$C$19)="","",INDEX(SPOT_Import!$A$1:$Z$2488,1031,'Live Data'!$C$19)),"")</f>
        <v>503</v>
      </c>
      <c r="I1031" s="54" t="str">
        <f>IFERROR(IF(INDEX(SPOT_Import!$A$1:$Z$2488,1031,'Live Data'!$C$20)="","",INDEX(SPOT_Import!$A$1:$Z$2488,1031,'Live Data'!$C$20)),"")</f>
        <v>Complete</v>
      </c>
      <c r="J1031" s="54" t="str">
        <f>IFERROR(IF(INDEX(SPOT_Import!$A$1:$Z$2488,1031,'Live Data'!$C$21)="","",INDEX(SPOT_Import!$A$1:$Z$2488,1031,'Live Data'!$C$21)),"")</f>
        <v>2023-04-03T08:41:55.000Z</v>
      </c>
      <c r="K1031" s="54" t="str">
        <f>IFERROR(IF(INDEX(SPOT_Import!$A$1:$Z$2488,1031,'Live Data'!$C$22)="","",INDEX(SPOT_Import!$A$1:$Z$2488,1031,'Live Data'!$C$22)),"")</f>
        <v>2023-04-03T08:41:55.000Z</v>
      </c>
      <c r="L1031" s="55" t="str">
        <f t="shared" si="32"/>
        <v>2023-04</v>
      </c>
      <c r="M1031" s="55" t="str">
        <f t="shared" si="33"/>
        <v>KITUI</v>
      </c>
      <c r="N1031" s="55" t="str">
        <f>IF(A1031="","",IFERROR(INDEX('Cluster Map'!$A$4:$A$38,MATCH(M1031,'Cluster Map'!$B$4:$B$38,0)),"Unmapped"))</f>
        <v>Cluster 5</v>
      </c>
      <c r="O1031" s="55">
        <f>IF(A1031="",0,IF(COUNTIFS($A$2:A1031,A1031,$F$2:F1031,F1031,$L$2:L1031,L1031)=1,1,0))</f>
        <v>1</v>
      </c>
      <c r="P1031" s="55">
        <f>IF(A1031="",0,IF(AND(F1031="C&amp;T",COUNTIFS($A$2:A1031,A1031,$F$2:F1031,"C&amp;T")=1),1,0))</f>
        <v>0</v>
      </c>
    </row>
    <row r="1032" spans="1:16" x14ac:dyDescent="0.35">
      <c r="A1032" s="54">
        <f>IFERROR(IF(INDEX(SPOT_Import!$A$1:$Z$2488,1032,'Live Data'!$C$12)="","",INDEX(SPOT_Import!$A$1:$Z$2488,1032,'Live Data'!$C$12)),"")</f>
        <v>12013</v>
      </c>
      <c r="B1032" s="54" t="str">
        <f>IFERROR(IF(INDEX(SPOT_Import!$A$1:$Z$2488,1032,'Live Data'!$C$13)="","",INDEX(SPOT_Import!$A$1:$Z$2488,1032,'Live Data'!$C$13)),"")</f>
        <v>Faith Nursing Home (Ikutha)</v>
      </c>
      <c r="C1032" s="54" t="str">
        <f>IFERROR(IF(INDEX(SPOT_Import!$A$1:$Z$2488,1032,'Live Data'!$C$14)="","",INDEX(SPOT_Import!$A$1:$Z$2488,1032,'Live Data'!$C$14)),"")</f>
        <v>KITUI</v>
      </c>
      <c r="D1032" s="54" t="str">
        <f>IFERROR(IF(INDEX(SPOT_Import!$A$1:$Z$2488,1032,'Live Data'!$C$15)="","",INDEX(SPOT_Import!$A$1:$Z$2488,1032,'Live Data'!$C$15)),"")</f>
        <v>Kitui South</v>
      </c>
      <c r="E1032" s="54" t="str">
        <f>IFERROR(IF(INDEX(SPOT_Import!$A$1:$Z$2488,1032,'Live Data'!$C$16)="","",INDEX(SPOT_Import!$A$1:$Z$2488,1032,'Live Data'!$C$16)),"")</f>
        <v>CHAK CHAP STAWISHA</v>
      </c>
      <c r="F1032" s="54" t="str">
        <f>IFERROR(IF(INDEX(SPOT_Import!$A$1:$Z$2488,1032,'Live Data'!$C$17)="","",INDEX(SPOT_Import!$A$1:$Z$2488,1032,'Live Data'!$C$17)),"")</f>
        <v>CRS</v>
      </c>
      <c r="G1032" s="54">
        <f>IFERROR(IF(INDEX(SPOT_Import!$A$1:$Z$2488,1032,'Live Data'!$C$18)="","",INDEX(SPOT_Import!$A$1:$Z$2488,1032,'Live Data'!$C$18)),"")</f>
        <v>60</v>
      </c>
      <c r="H1032" s="54">
        <f>IFERROR(IF(INDEX(SPOT_Import!$A$1:$Z$2488,1032,'Live Data'!$C$19)="","",INDEX(SPOT_Import!$A$1:$Z$2488,1032,'Live Data'!$C$19)),"")</f>
        <v>60</v>
      </c>
      <c r="I1032" s="54" t="str">
        <f>IFERROR(IF(INDEX(SPOT_Import!$A$1:$Z$2488,1032,'Live Data'!$C$20)="","",INDEX(SPOT_Import!$A$1:$Z$2488,1032,'Live Data'!$C$20)),"")</f>
        <v>Complete</v>
      </c>
      <c r="J1032" s="54" t="str">
        <f>IFERROR(IF(INDEX(SPOT_Import!$A$1:$Z$2488,1032,'Live Data'!$C$21)="","",INDEX(SPOT_Import!$A$1:$Z$2488,1032,'Live Data'!$C$21)),"")</f>
        <v>2023-04-03T07:33:55.000Z</v>
      </c>
      <c r="K1032" s="54" t="str">
        <f>IFERROR(IF(INDEX(SPOT_Import!$A$1:$Z$2488,1032,'Live Data'!$C$22)="","",INDEX(SPOT_Import!$A$1:$Z$2488,1032,'Live Data'!$C$22)),"")</f>
        <v>2023-04-03T07:33:55.000Z</v>
      </c>
      <c r="L1032" s="55" t="str">
        <f t="shared" si="32"/>
        <v>2023-04</v>
      </c>
      <c r="M1032" s="55" t="str">
        <f t="shared" si="33"/>
        <v>KITUI</v>
      </c>
      <c r="N1032" s="55" t="str">
        <f>IF(A1032="","",IFERROR(INDEX('Cluster Map'!$A$4:$A$38,MATCH(M1032,'Cluster Map'!$B$4:$B$38,0)),"Unmapped"))</f>
        <v>Cluster 5</v>
      </c>
      <c r="O1032" s="55">
        <f>IF(A1032="",0,IF(COUNTIFS($A$2:A1032,A1032,$F$2:F1032,F1032,$L$2:L1032,L1032)=1,1,0))</f>
        <v>1</v>
      </c>
      <c r="P1032" s="55">
        <f>IF(A1032="",0,IF(AND(F1032="C&amp;T",COUNTIFS($A$2:A1032,A1032,$F$2:F1032,"C&amp;T")=1),1,0))</f>
        <v>0</v>
      </c>
    </row>
    <row r="1033" spans="1:16" x14ac:dyDescent="0.35">
      <c r="A1033" s="54">
        <f>IFERROR(IF(INDEX(SPOT_Import!$A$1:$Z$2488,1033,'Live Data'!$C$12)="","",INDEX(SPOT_Import!$A$1:$Z$2488,1033,'Live Data'!$C$12)),"")</f>
        <v>12241</v>
      </c>
      <c r="B1033" s="54" t="str">
        <f>IFERROR(IF(INDEX(SPOT_Import!$A$1:$Z$2488,1033,'Live Data'!$C$13)="","",INDEX(SPOT_Import!$A$1:$Z$2488,1033,'Live Data'!$C$13)),"")</f>
        <v>Katilini Health Centre</v>
      </c>
      <c r="C1033" s="54" t="str">
        <f>IFERROR(IF(INDEX(SPOT_Import!$A$1:$Z$2488,1033,'Live Data'!$C$14)="","",INDEX(SPOT_Import!$A$1:$Z$2488,1033,'Live Data'!$C$14)),"")</f>
        <v>KITUI</v>
      </c>
      <c r="D1033" s="54" t="str">
        <f>IFERROR(IF(INDEX(SPOT_Import!$A$1:$Z$2488,1033,'Live Data'!$C$15)="","",INDEX(SPOT_Import!$A$1:$Z$2488,1033,'Live Data'!$C$15)),"")</f>
        <v>Kitui South</v>
      </c>
      <c r="E1033" s="54" t="str">
        <f>IFERROR(IF(INDEX(SPOT_Import!$A$1:$Z$2488,1033,'Live Data'!$C$16)="","",INDEX(SPOT_Import!$A$1:$Z$2488,1033,'Live Data'!$C$16)),"")</f>
        <v>CHAK CHAP STAWISHA</v>
      </c>
      <c r="F1033" s="54" t="str">
        <f>IFERROR(IF(INDEX(SPOT_Import!$A$1:$Z$2488,1033,'Live Data'!$C$17)="","",INDEX(SPOT_Import!$A$1:$Z$2488,1033,'Live Data'!$C$17)),"")</f>
        <v>CRS</v>
      </c>
      <c r="G1033" s="54">
        <f>IFERROR(IF(INDEX(SPOT_Import!$A$1:$Z$2488,1033,'Live Data'!$C$18)="","",INDEX(SPOT_Import!$A$1:$Z$2488,1033,'Live Data'!$C$18)),"")</f>
        <v>105</v>
      </c>
      <c r="H1033" s="54">
        <f>IFERROR(IF(INDEX(SPOT_Import!$A$1:$Z$2488,1033,'Live Data'!$C$19)="","",INDEX(SPOT_Import!$A$1:$Z$2488,1033,'Live Data'!$C$19)),"")</f>
        <v>105</v>
      </c>
      <c r="I1033" s="54" t="str">
        <f>IFERROR(IF(INDEX(SPOT_Import!$A$1:$Z$2488,1033,'Live Data'!$C$20)="","",INDEX(SPOT_Import!$A$1:$Z$2488,1033,'Live Data'!$C$20)),"")</f>
        <v>Complete</v>
      </c>
      <c r="J1033" s="54" t="str">
        <f>IFERROR(IF(INDEX(SPOT_Import!$A$1:$Z$2488,1033,'Live Data'!$C$21)="","",INDEX(SPOT_Import!$A$1:$Z$2488,1033,'Live Data'!$C$21)),"")</f>
        <v>2023-04-03T06:34:33.000Z</v>
      </c>
      <c r="K1033" s="54" t="str">
        <f>IFERROR(IF(INDEX(SPOT_Import!$A$1:$Z$2488,1033,'Live Data'!$C$22)="","",INDEX(SPOT_Import!$A$1:$Z$2488,1033,'Live Data'!$C$22)),"")</f>
        <v>2023-04-03T06:34:33.000Z</v>
      </c>
      <c r="L1033" s="55" t="str">
        <f t="shared" si="32"/>
        <v>2023-04</v>
      </c>
      <c r="M1033" s="55" t="str">
        <f t="shared" si="33"/>
        <v>KITUI</v>
      </c>
      <c r="N1033" s="55" t="str">
        <f>IF(A1033="","",IFERROR(INDEX('Cluster Map'!$A$4:$A$38,MATCH(M1033,'Cluster Map'!$B$4:$B$38,0)),"Unmapped"))</f>
        <v>Cluster 5</v>
      </c>
      <c r="O1033" s="55">
        <f>IF(A1033="",0,IF(COUNTIFS($A$2:A1033,A1033,$F$2:F1033,F1033,$L$2:L1033,L1033)=1,1,0))</f>
        <v>1</v>
      </c>
      <c r="P1033" s="55">
        <f>IF(A1033="",0,IF(AND(F1033="C&amp;T",COUNTIFS($A$2:A1033,A1033,$F$2:F1033,"C&amp;T")=1),1,0))</f>
        <v>0</v>
      </c>
    </row>
    <row r="1034" spans="1:16" x14ac:dyDescent="0.35">
      <c r="A1034" s="54">
        <f>IFERROR(IF(INDEX(SPOT_Import!$A$1:$Z$2488,1034,'Live Data'!$C$12)="","",INDEX(SPOT_Import!$A$1:$Z$2488,1034,'Live Data'!$C$12)),"")</f>
        <v>10603</v>
      </c>
      <c r="B1034" s="54" t="str">
        <f>IFERROR(IF(INDEX(SPOT_Import!$A$1:$Z$2488,1034,'Live Data'!$C$13)="","",INDEX(SPOT_Import!$A$1:$Z$2488,1034,'Live Data'!$C$13)),"")</f>
        <v>Kikuyu (PCEA) Hospital</v>
      </c>
      <c r="C1034" s="54" t="str">
        <f>IFERROR(IF(INDEX(SPOT_Import!$A$1:$Z$2488,1034,'Live Data'!$C$14)="","",INDEX(SPOT_Import!$A$1:$Z$2488,1034,'Live Data'!$C$14)),"")</f>
        <v>KIAMBU</v>
      </c>
      <c r="D1034" s="54" t="str">
        <f>IFERROR(IF(INDEX(SPOT_Import!$A$1:$Z$2488,1034,'Live Data'!$C$15)="","",INDEX(SPOT_Import!$A$1:$Z$2488,1034,'Live Data'!$C$15)),"")</f>
        <v>Kikuyu</v>
      </c>
      <c r="E1034" s="54" t="str">
        <f>IFERROR(IF(INDEX(SPOT_Import!$A$1:$Z$2488,1034,'Live Data'!$C$16)="","",INDEX(SPOT_Import!$A$1:$Z$2488,1034,'Live Data'!$C$16)),"")</f>
        <v>CHAK CHAP STAWISHA</v>
      </c>
      <c r="F1034" s="54" t="str">
        <f>IFERROR(IF(INDEX(SPOT_Import!$A$1:$Z$2488,1034,'Live Data'!$C$17)="","",INDEX(SPOT_Import!$A$1:$Z$2488,1034,'Live Data'!$C$17)),"")</f>
        <v>CRS</v>
      </c>
      <c r="G1034" s="54">
        <f>IFERROR(IF(INDEX(SPOT_Import!$A$1:$Z$2488,1034,'Live Data'!$C$18)="","",INDEX(SPOT_Import!$A$1:$Z$2488,1034,'Live Data'!$C$18)),"")</f>
        <v>6424</v>
      </c>
      <c r="H1034" s="54">
        <f>IFERROR(IF(INDEX(SPOT_Import!$A$1:$Z$2488,1034,'Live Data'!$C$19)="","",INDEX(SPOT_Import!$A$1:$Z$2488,1034,'Live Data'!$C$19)),"")</f>
        <v>33938</v>
      </c>
      <c r="I1034" s="54" t="str">
        <f>IFERROR(IF(INDEX(SPOT_Import!$A$1:$Z$2488,1034,'Live Data'!$C$20)="","",INDEX(SPOT_Import!$A$1:$Z$2488,1034,'Live Data'!$C$20)),"")</f>
        <v>Complete</v>
      </c>
      <c r="J1034" s="54" t="str">
        <f>IFERROR(IF(INDEX(SPOT_Import!$A$1:$Z$2488,1034,'Live Data'!$C$21)="","",INDEX(SPOT_Import!$A$1:$Z$2488,1034,'Live Data'!$C$21)),"")</f>
        <v>2023-04-03T05:55:02.000Z</v>
      </c>
      <c r="K1034" s="54" t="str">
        <f>IFERROR(IF(INDEX(SPOT_Import!$A$1:$Z$2488,1034,'Live Data'!$C$22)="","",INDEX(SPOT_Import!$A$1:$Z$2488,1034,'Live Data'!$C$22)),"")</f>
        <v>2023-04-03T05:55:02.000Z</v>
      </c>
      <c r="L1034" s="55" t="str">
        <f t="shared" si="32"/>
        <v>2023-04</v>
      </c>
      <c r="M1034" s="55" t="str">
        <f t="shared" si="33"/>
        <v>KIAMBU</v>
      </c>
      <c r="N1034" s="55" t="str">
        <f>IF(A1034="","",IFERROR(INDEX('Cluster Map'!$A$4:$A$38,MATCH(M1034,'Cluster Map'!$B$4:$B$38,0)),"Unmapped"))</f>
        <v>Cluster 3</v>
      </c>
      <c r="O1034" s="55">
        <f>IF(A1034="",0,IF(COUNTIFS($A$2:A1034,A1034,$F$2:F1034,F1034,$L$2:L1034,L1034)=1,1,0))</f>
        <v>1</v>
      </c>
      <c r="P1034" s="55">
        <f>IF(A1034="",0,IF(AND(F1034="C&amp;T",COUNTIFS($A$2:A1034,A1034,$F$2:F1034,"C&amp;T")=1),1,0))</f>
        <v>0</v>
      </c>
    </row>
    <row r="1035" spans="1:16" x14ac:dyDescent="0.35">
      <c r="A1035" s="54">
        <f>IFERROR(IF(INDEX(SPOT_Import!$A$1:$Z$2488,1035,'Live Data'!$C$12)="","",INDEX(SPOT_Import!$A$1:$Z$2488,1035,'Live Data'!$C$12)),"")</f>
        <v>17094</v>
      </c>
      <c r="B1035" s="54" t="str">
        <f>IFERROR(IF(INDEX(SPOT_Import!$A$1:$Z$2488,1035,'Live Data'!$C$13)="","",INDEX(SPOT_Import!$A$1:$Z$2488,1035,'Live Data'!$C$13)),"")</f>
        <v>Tinganga Catholic Dispensary</v>
      </c>
      <c r="C1035" s="54" t="str">
        <f>IFERROR(IF(INDEX(SPOT_Import!$A$1:$Z$2488,1035,'Live Data'!$C$14)="","",INDEX(SPOT_Import!$A$1:$Z$2488,1035,'Live Data'!$C$14)),"")</f>
        <v>KIAMBU</v>
      </c>
      <c r="D1035" s="54" t="str">
        <f>IFERROR(IF(INDEX(SPOT_Import!$A$1:$Z$2488,1035,'Live Data'!$C$15)="","",INDEX(SPOT_Import!$A$1:$Z$2488,1035,'Live Data'!$C$15)),"")</f>
        <v>Kiambu Town</v>
      </c>
      <c r="E1035" s="54" t="str">
        <f>IFERROR(IF(INDEX(SPOT_Import!$A$1:$Z$2488,1035,'Live Data'!$C$16)="","",INDEX(SPOT_Import!$A$1:$Z$2488,1035,'Live Data'!$C$16)),"")</f>
        <v>CHAK CHAP STAWISHA</v>
      </c>
      <c r="F1035" s="54" t="str">
        <f>IFERROR(IF(INDEX(SPOT_Import!$A$1:$Z$2488,1035,'Live Data'!$C$17)="","",INDEX(SPOT_Import!$A$1:$Z$2488,1035,'Live Data'!$C$17)),"")</f>
        <v>CRS</v>
      </c>
      <c r="G1035" s="54">
        <f>IFERROR(IF(INDEX(SPOT_Import!$A$1:$Z$2488,1035,'Live Data'!$C$18)="","",INDEX(SPOT_Import!$A$1:$Z$2488,1035,'Live Data'!$C$18)),"")</f>
        <v>1123</v>
      </c>
      <c r="H1035" s="54">
        <f>IFERROR(IF(INDEX(SPOT_Import!$A$1:$Z$2488,1035,'Live Data'!$C$19)="","",INDEX(SPOT_Import!$A$1:$Z$2488,1035,'Live Data'!$C$19)),"")</f>
        <v>1123</v>
      </c>
      <c r="I1035" s="54" t="str">
        <f>IFERROR(IF(INDEX(SPOT_Import!$A$1:$Z$2488,1035,'Live Data'!$C$20)="","",INDEX(SPOT_Import!$A$1:$Z$2488,1035,'Live Data'!$C$20)),"")</f>
        <v>Complete</v>
      </c>
      <c r="J1035" s="54" t="str">
        <f>IFERROR(IF(INDEX(SPOT_Import!$A$1:$Z$2488,1035,'Live Data'!$C$21)="","",INDEX(SPOT_Import!$A$1:$Z$2488,1035,'Live Data'!$C$21)),"")</f>
        <v>2023-04-03T05:53:48.000Z</v>
      </c>
      <c r="K1035" s="54" t="str">
        <f>IFERROR(IF(INDEX(SPOT_Import!$A$1:$Z$2488,1035,'Live Data'!$C$22)="","",INDEX(SPOT_Import!$A$1:$Z$2488,1035,'Live Data'!$C$22)),"")</f>
        <v>2023-04-03T05:53:48.000Z</v>
      </c>
      <c r="L1035" s="55" t="str">
        <f t="shared" si="32"/>
        <v>2023-04</v>
      </c>
      <c r="M1035" s="55" t="str">
        <f t="shared" si="33"/>
        <v>KIAMBU</v>
      </c>
      <c r="N1035" s="55" t="str">
        <f>IF(A1035="","",IFERROR(INDEX('Cluster Map'!$A$4:$A$38,MATCH(M1035,'Cluster Map'!$B$4:$B$38,0)),"Unmapped"))</f>
        <v>Cluster 3</v>
      </c>
      <c r="O1035" s="55">
        <f>IF(A1035="",0,IF(COUNTIFS($A$2:A1035,A1035,$F$2:F1035,F1035,$L$2:L1035,L1035)=1,1,0))</f>
        <v>1</v>
      </c>
      <c r="P1035" s="55">
        <f>IF(A1035="",0,IF(AND(F1035="C&amp;T",COUNTIFS($A$2:A1035,A1035,$F$2:F1035,"C&amp;T")=1),1,0))</f>
        <v>0</v>
      </c>
    </row>
    <row r="1036" spans="1:16" x14ac:dyDescent="0.35">
      <c r="A1036" s="54">
        <f>IFERROR(IF(INDEX(SPOT_Import!$A$1:$Z$2488,1036,'Live Data'!$C$12)="","",INDEX(SPOT_Import!$A$1:$Z$2488,1036,'Live Data'!$C$12)),"")</f>
        <v>10321</v>
      </c>
      <c r="B1036" s="54" t="str">
        <f>IFERROR(IF(INDEX(SPOT_Import!$A$1:$Z$2488,1036,'Live Data'!$C$13)="","",INDEX(SPOT_Import!$A$1:$Z$2488,1036,'Live Data'!$C$13)),"")</f>
        <v>Holy Cross Dispensary</v>
      </c>
      <c r="C1036" s="54" t="str">
        <f>IFERROR(IF(INDEX(SPOT_Import!$A$1:$Z$2488,1036,'Live Data'!$C$14)="","",INDEX(SPOT_Import!$A$1:$Z$2488,1036,'Live Data'!$C$14)),"")</f>
        <v>KIAMBU</v>
      </c>
      <c r="D1036" s="54" t="str">
        <f>IFERROR(IF(INDEX(SPOT_Import!$A$1:$Z$2488,1036,'Live Data'!$C$15)="","",INDEX(SPOT_Import!$A$1:$Z$2488,1036,'Live Data'!$C$15)),"")</f>
        <v>Limuru</v>
      </c>
      <c r="E1036" s="54" t="str">
        <f>IFERROR(IF(INDEX(SPOT_Import!$A$1:$Z$2488,1036,'Live Data'!$C$16)="","",INDEX(SPOT_Import!$A$1:$Z$2488,1036,'Live Data'!$C$16)),"")</f>
        <v>CHAK CHAP STAWISHA</v>
      </c>
      <c r="F1036" s="54" t="str">
        <f>IFERROR(IF(INDEX(SPOT_Import!$A$1:$Z$2488,1036,'Live Data'!$C$17)="","",INDEX(SPOT_Import!$A$1:$Z$2488,1036,'Live Data'!$C$17)),"")</f>
        <v>CRS</v>
      </c>
      <c r="G1036" s="54">
        <f>IFERROR(IF(INDEX(SPOT_Import!$A$1:$Z$2488,1036,'Live Data'!$C$18)="","",INDEX(SPOT_Import!$A$1:$Z$2488,1036,'Live Data'!$C$18)),"")</f>
        <v>577</v>
      </c>
      <c r="H1036" s="54">
        <f>IFERROR(IF(INDEX(SPOT_Import!$A$1:$Z$2488,1036,'Live Data'!$C$19)="","",INDEX(SPOT_Import!$A$1:$Z$2488,1036,'Live Data'!$C$19)),"")</f>
        <v>577</v>
      </c>
      <c r="I1036" s="54" t="str">
        <f>IFERROR(IF(INDEX(SPOT_Import!$A$1:$Z$2488,1036,'Live Data'!$C$20)="","",INDEX(SPOT_Import!$A$1:$Z$2488,1036,'Live Data'!$C$20)),"")</f>
        <v>Complete</v>
      </c>
      <c r="J1036" s="54" t="str">
        <f>IFERROR(IF(INDEX(SPOT_Import!$A$1:$Z$2488,1036,'Live Data'!$C$21)="","",INDEX(SPOT_Import!$A$1:$Z$2488,1036,'Live Data'!$C$21)),"")</f>
        <v>2023-04-02T20:08:17.000Z</v>
      </c>
      <c r="K1036" s="54" t="str">
        <f>IFERROR(IF(INDEX(SPOT_Import!$A$1:$Z$2488,1036,'Live Data'!$C$22)="","",INDEX(SPOT_Import!$A$1:$Z$2488,1036,'Live Data'!$C$22)),"")</f>
        <v>2023-04-02T20:08:17.000Z</v>
      </c>
      <c r="L1036" s="55" t="str">
        <f t="shared" si="32"/>
        <v>2023-04</v>
      </c>
      <c r="M1036" s="55" t="str">
        <f t="shared" si="33"/>
        <v>KIAMBU</v>
      </c>
      <c r="N1036" s="55" t="str">
        <f>IF(A1036="","",IFERROR(INDEX('Cluster Map'!$A$4:$A$38,MATCH(M1036,'Cluster Map'!$B$4:$B$38,0)),"Unmapped"))</f>
        <v>Cluster 3</v>
      </c>
      <c r="O1036" s="55">
        <f>IF(A1036="",0,IF(COUNTIFS($A$2:A1036,A1036,$F$2:F1036,F1036,$L$2:L1036,L1036)=1,1,0))</f>
        <v>1</v>
      </c>
      <c r="P1036" s="55">
        <f>IF(A1036="",0,IF(AND(F1036="C&amp;T",COUNTIFS($A$2:A1036,A1036,$F$2:F1036,"C&amp;T")=1),1,0))</f>
        <v>0</v>
      </c>
    </row>
    <row r="1037" spans="1:16" x14ac:dyDescent="0.35">
      <c r="A1037" s="54">
        <f>IFERROR(IF(INDEX(SPOT_Import!$A$1:$Z$2488,1037,'Live Data'!$C$12)="","",INDEX(SPOT_Import!$A$1:$Z$2488,1037,'Live Data'!$C$12)),"")</f>
        <v>11124</v>
      </c>
      <c r="B1037" s="54" t="str">
        <f>IFERROR(IF(INDEX(SPOT_Import!$A$1:$Z$2488,1037,'Live Data'!$C$13)="","",INDEX(SPOT_Import!$A$1:$Z$2488,1037,'Live Data'!$C$13)),"")</f>
        <v>Tumutumu (PCEA) Hospital</v>
      </c>
      <c r="C1037" s="54" t="str">
        <f>IFERROR(IF(INDEX(SPOT_Import!$A$1:$Z$2488,1037,'Live Data'!$C$14)="","",INDEX(SPOT_Import!$A$1:$Z$2488,1037,'Live Data'!$C$14)),"")</f>
        <v>NYERI</v>
      </c>
      <c r="D1037" s="54" t="str">
        <f>IFERROR(IF(INDEX(SPOT_Import!$A$1:$Z$2488,1037,'Live Data'!$C$15)="","",INDEX(SPOT_Import!$A$1:$Z$2488,1037,'Live Data'!$C$15)),"")</f>
        <v>Mathira West</v>
      </c>
      <c r="E1037" s="54" t="str">
        <f>IFERROR(IF(INDEX(SPOT_Import!$A$1:$Z$2488,1037,'Live Data'!$C$16)="","",INDEX(SPOT_Import!$A$1:$Z$2488,1037,'Live Data'!$C$16)),"")</f>
        <v>CHAK CHAP STAWISHA</v>
      </c>
      <c r="F1037" s="54" t="str">
        <f>IFERROR(IF(INDEX(SPOT_Import!$A$1:$Z$2488,1037,'Live Data'!$C$17)="","",INDEX(SPOT_Import!$A$1:$Z$2488,1037,'Live Data'!$C$17)),"")</f>
        <v>CRS</v>
      </c>
      <c r="G1037" s="54">
        <f>IFERROR(IF(INDEX(SPOT_Import!$A$1:$Z$2488,1037,'Live Data'!$C$18)="","",INDEX(SPOT_Import!$A$1:$Z$2488,1037,'Live Data'!$C$18)),"")</f>
        <v>3703</v>
      </c>
      <c r="H1037" s="54">
        <f>IFERROR(IF(INDEX(SPOT_Import!$A$1:$Z$2488,1037,'Live Data'!$C$19)="","",INDEX(SPOT_Import!$A$1:$Z$2488,1037,'Live Data'!$C$19)),"")</f>
        <v>3703</v>
      </c>
      <c r="I1037" s="54" t="str">
        <f>IFERROR(IF(INDEX(SPOT_Import!$A$1:$Z$2488,1037,'Live Data'!$C$20)="","",INDEX(SPOT_Import!$A$1:$Z$2488,1037,'Live Data'!$C$20)),"")</f>
        <v>Complete</v>
      </c>
      <c r="J1037" s="54" t="str">
        <f>IFERROR(IF(INDEX(SPOT_Import!$A$1:$Z$2488,1037,'Live Data'!$C$21)="","",INDEX(SPOT_Import!$A$1:$Z$2488,1037,'Live Data'!$C$21)),"")</f>
        <v>2023-04-01T16:41:30.000Z</v>
      </c>
      <c r="K1037" s="54" t="str">
        <f>IFERROR(IF(INDEX(SPOT_Import!$A$1:$Z$2488,1037,'Live Data'!$C$22)="","",INDEX(SPOT_Import!$A$1:$Z$2488,1037,'Live Data'!$C$22)),"")</f>
        <v>2023-04-01T16:41:30.000Z</v>
      </c>
      <c r="L1037" s="55" t="str">
        <f t="shared" si="32"/>
        <v>2023-04</v>
      </c>
      <c r="M1037" s="55" t="str">
        <f t="shared" si="33"/>
        <v>NYERI</v>
      </c>
      <c r="N1037" s="55" t="str">
        <f>IF(A1037="","",IFERROR(INDEX('Cluster Map'!$A$4:$A$38,MATCH(M1037,'Cluster Map'!$B$4:$B$38,0)),"Unmapped"))</f>
        <v>Cluster 2</v>
      </c>
      <c r="O1037" s="55">
        <f>IF(A1037="",0,IF(COUNTIFS($A$2:A1037,A1037,$F$2:F1037,F1037,$L$2:L1037,L1037)=1,1,0))</f>
        <v>1</v>
      </c>
      <c r="P1037" s="55">
        <f>IF(A1037="",0,IF(AND(F1037="C&amp;T",COUNTIFS($A$2:A1037,A1037,$F$2:F1037,"C&amp;T")=1),1,0))</f>
        <v>0</v>
      </c>
    </row>
    <row r="1038" spans="1:16" x14ac:dyDescent="0.35">
      <c r="A1038" s="54">
        <f>IFERROR(IF(INDEX(SPOT_Import!$A$1:$Z$2488,1038,'Live Data'!$C$12)="","",INDEX(SPOT_Import!$A$1:$Z$2488,1038,'Live Data'!$C$12)),"")</f>
        <v>15128</v>
      </c>
      <c r="B1038" s="54" t="str">
        <f>IFERROR(IF(INDEX(SPOT_Import!$A$1:$Z$2488,1038,'Live Data'!$C$13)="","",INDEX(SPOT_Import!$A$1:$Z$2488,1038,'Live Data'!$C$13)),"")</f>
        <v>Mararianta Dispensary</v>
      </c>
      <c r="C1038" s="54" t="str">
        <f>IFERROR(IF(INDEX(SPOT_Import!$A$1:$Z$2488,1038,'Live Data'!$C$14)="","",INDEX(SPOT_Import!$A$1:$Z$2488,1038,'Live Data'!$C$14)),"")</f>
        <v>NAROK</v>
      </c>
      <c r="D1038" s="54" t="str">
        <f>IFERROR(IF(INDEX(SPOT_Import!$A$1:$Z$2488,1038,'Live Data'!$C$15)="","",INDEX(SPOT_Import!$A$1:$Z$2488,1038,'Live Data'!$C$15)),"")</f>
        <v>Narok West</v>
      </c>
      <c r="E1038" s="54" t="str">
        <f>IFERROR(IF(INDEX(SPOT_Import!$A$1:$Z$2488,1038,'Live Data'!$C$16)="","",INDEX(SPOT_Import!$A$1:$Z$2488,1038,'Live Data'!$C$16)),"")</f>
        <v>CHAK CHAP STAWISHA</v>
      </c>
      <c r="F1038" s="54" t="str">
        <f>IFERROR(IF(INDEX(SPOT_Import!$A$1:$Z$2488,1038,'Live Data'!$C$17)="","",INDEX(SPOT_Import!$A$1:$Z$2488,1038,'Live Data'!$C$17)),"")</f>
        <v>CRS</v>
      </c>
      <c r="G1038" s="54">
        <f>IFERROR(IF(INDEX(SPOT_Import!$A$1:$Z$2488,1038,'Live Data'!$C$18)="","",INDEX(SPOT_Import!$A$1:$Z$2488,1038,'Live Data'!$C$18)),"")</f>
        <v>133</v>
      </c>
      <c r="H1038" s="54">
        <f>IFERROR(IF(INDEX(SPOT_Import!$A$1:$Z$2488,1038,'Live Data'!$C$19)="","",INDEX(SPOT_Import!$A$1:$Z$2488,1038,'Live Data'!$C$19)),"")</f>
        <v>133</v>
      </c>
      <c r="I1038" s="54" t="str">
        <f>IFERROR(IF(INDEX(SPOT_Import!$A$1:$Z$2488,1038,'Live Data'!$C$20)="","",INDEX(SPOT_Import!$A$1:$Z$2488,1038,'Live Data'!$C$20)),"")</f>
        <v>Complete</v>
      </c>
      <c r="J1038" s="54" t="str">
        <f>IFERROR(IF(INDEX(SPOT_Import!$A$1:$Z$2488,1038,'Live Data'!$C$21)="","",INDEX(SPOT_Import!$A$1:$Z$2488,1038,'Live Data'!$C$21)),"")</f>
        <v>2023-04-01T10:53:15.000Z</v>
      </c>
      <c r="K1038" s="54" t="str">
        <f>IFERROR(IF(INDEX(SPOT_Import!$A$1:$Z$2488,1038,'Live Data'!$C$22)="","",INDEX(SPOT_Import!$A$1:$Z$2488,1038,'Live Data'!$C$22)),"")</f>
        <v>2023-04-01T10:53:15.000Z</v>
      </c>
      <c r="L1038" s="55" t="str">
        <f t="shared" si="32"/>
        <v>2023-04</v>
      </c>
      <c r="M1038" s="55" t="str">
        <f t="shared" si="33"/>
        <v>NAROK</v>
      </c>
      <c r="N1038" s="55" t="str">
        <f>IF(A1038="","",IFERROR(INDEX('Cluster Map'!$A$4:$A$38,MATCH(M1038,'Cluster Map'!$B$4:$B$38,0)),"Unmapped"))</f>
        <v>Cluster 4</v>
      </c>
      <c r="O1038" s="55">
        <f>IF(A1038="",0,IF(COUNTIFS($A$2:A1038,A1038,$F$2:F1038,F1038,$L$2:L1038,L1038)=1,1,0))</f>
        <v>1</v>
      </c>
      <c r="P1038" s="55">
        <f>IF(A1038="",0,IF(AND(F1038="C&amp;T",COUNTIFS($A$2:A1038,A1038,$F$2:F1038,"C&amp;T")=1),1,0))</f>
        <v>0</v>
      </c>
    </row>
    <row r="1039" spans="1:16" x14ac:dyDescent="0.35">
      <c r="A1039" s="54">
        <f>IFERROR(IF(INDEX(SPOT_Import!$A$1:$Z$2488,1039,'Live Data'!$C$12)="","",INDEX(SPOT_Import!$A$1:$Z$2488,1039,'Live Data'!$C$12)),"")</f>
        <v>12306</v>
      </c>
      <c r="B1039" s="54" t="str">
        <f>IFERROR(IF(INDEX(SPOT_Import!$A$1:$Z$2488,1039,'Live Data'!$C$13)="","",INDEX(SPOT_Import!$A$1:$Z$2488,1039,'Live Data'!$C$13)),"")</f>
        <v>Kikoko Mission Hospital</v>
      </c>
      <c r="C1039" s="54" t="str">
        <f>IFERROR(IF(INDEX(SPOT_Import!$A$1:$Z$2488,1039,'Live Data'!$C$14)="","",INDEX(SPOT_Import!$A$1:$Z$2488,1039,'Live Data'!$C$14)),"")</f>
        <v>MAKUENI</v>
      </c>
      <c r="D1039" s="54" t="str">
        <f>IFERROR(IF(INDEX(SPOT_Import!$A$1:$Z$2488,1039,'Live Data'!$C$15)="","",INDEX(SPOT_Import!$A$1:$Z$2488,1039,'Live Data'!$C$15)),"")</f>
        <v>Kaiti</v>
      </c>
      <c r="E1039" s="54" t="str">
        <f>IFERROR(IF(INDEX(SPOT_Import!$A$1:$Z$2488,1039,'Live Data'!$C$16)="","",INDEX(SPOT_Import!$A$1:$Z$2488,1039,'Live Data'!$C$16)),"")</f>
        <v>CHAK CHAP STAWISHA</v>
      </c>
      <c r="F1039" s="54" t="str">
        <f>IFERROR(IF(INDEX(SPOT_Import!$A$1:$Z$2488,1039,'Live Data'!$C$17)="","",INDEX(SPOT_Import!$A$1:$Z$2488,1039,'Live Data'!$C$17)),"")</f>
        <v>CRS</v>
      </c>
      <c r="G1039" s="54">
        <f>IFERROR(IF(INDEX(SPOT_Import!$A$1:$Z$2488,1039,'Live Data'!$C$18)="","",INDEX(SPOT_Import!$A$1:$Z$2488,1039,'Live Data'!$C$18)),"")</f>
        <v>1010</v>
      </c>
      <c r="H1039" s="54">
        <f>IFERROR(IF(INDEX(SPOT_Import!$A$1:$Z$2488,1039,'Live Data'!$C$19)="","",INDEX(SPOT_Import!$A$1:$Z$2488,1039,'Live Data'!$C$19)),"")</f>
        <v>1010</v>
      </c>
      <c r="I1039" s="54" t="str">
        <f>IFERROR(IF(INDEX(SPOT_Import!$A$1:$Z$2488,1039,'Live Data'!$C$20)="","",INDEX(SPOT_Import!$A$1:$Z$2488,1039,'Live Data'!$C$20)),"")</f>
        <v>Complete</v>
      </c>
      <c r="J1039" s="54" t="str">
        <f>IFERROR(IF(INDEX(SPOT_Import!$A$1:$Z$2488,1039,'Live Data'!$C$21)="","",INDEX(SPOT_Import!$A$1:$Z$2488,1039,'Live Data'!$C$21)),"")</f>
        <v>2023-04-01T10:28:05.000Z</v>
      </c>
      <c r="K1039" s="54" t="str">
        <f>IFERROR(IF(INDEX(SPOT_Import!$A$1:$Z$2488,1039,'Live Data'!$C$22)="","",INDEX(SPOT_Import!$A$1:$Z$2488,1039,'Live Data'!$C$22)),"")</f>
        <v>2023-04-01T10:28:05.000Z</v>
      </c>
      <c r="L1039" s="55" t="str">
        <f t="shared" si="32"/>
        <v>2023-04</v>
      </c>
      <c r="M1039" s="55" t="str">
        <f t="shared" si="33"/>
        <v>MAKUENI</v>
      </c>
      <c r="N1039" s="55" t="str">
        <f>IF(A1039="","",IFERROR(INDEX('Cluster Map'!$A$4:$A$38,MATCH(M1039,'Cluster Map'!$B$4:$B$38,0)),"Unmapped"))</f>
        <v>Cluster 5</v>
      </c>
      <c r="O1039" s="55">
        <f>IF(A1039="",0,IF(COUNTIFS($A$2:A1039,A1039,$F$2:F1039,F1039,$L$2:L1039,L1039)=1,1,0))</f>
        <v>1</v>
      </c>
      <c r="P1039" s="55">
        <f>IF(A1039="",0,IF(AND(F1039="C&amp;T",COUNTIFS($A$2:A1039,A1039,$F$2:F1039,"C&amp;T")=1),1,0))</f>
        <v>0</v>
      </c>
    </row>
    <row r="1040" spans="1:16" x14ac:dyDescent="0.35">
      <c r="A1040" s="54">
        <f>IFERROR(IF(INDEX(SPOT_Import!$A$1:$Z$2488,1040,'Live Data'!$C$12)="","",INDEX(SPOT_Import!$A$1:$Z$2488,1040,'Live Data'!$C$12)),"")</f>
        <v>17560</v>
      </c>
      <c r="B1040" s="54" t="str">
        <f>IFERROR(IF(INDEX(SPOT_Import!$A$1:$Z$2488,1040,'Live Data'!$C$13)="","",INDEX(SPOT_Import!$A$1:$Z$2488,1040,'Live Data'!$C$13)),"")</f>
        <v>Njabini Catholic Dispensary</v>
      </c>
      <c r="C1040" s="54" t="str">
        <f>IFERROR(IF(INDEX(SPOT_Import!$A$1:$Z$2488,1040,'Live Data'!$C$14)="","",INDEX(SPOT_Import!$A$1:$Z$2488,1040,'Live Data'!$C$14)),"")</f>
        <v>NYANDARUA</v>
      </c>
      <c r="D1040" s="54" t="str">
        <f>IFERROR(IF(INDEX(SPOT_Import!$A$1:$Z$2488,1040,'Live Data'!$C$15)="","",INDEX(SPOT_Import!$A$1:$Z$2488,1040,'Live Data'!$C$15)),"")</f>
        <v>Kinangop</v>
      </c>
      <c r="E1040" s="54" t="str">
        <f>IFERROR(IF(INDEX(SPOT_Import!$A$1:$Z$2488,1040,'Live Data'!$C$16)="","",INDEX(SPOT_Import!$A$1:$Z$2488,1040,'Live Data'!$C$16)),"")</f>
        <v>CHAK CHAP STAWISHA</v>
      </c>
      <c r="F1040" s="54" t="str">
        <f>IFERROR(IF(INDEX(SPOT_Import!$A$1:$Z$2488,1040,'Live Data'!$C$17)="","",INDEX(SPOT_Import!$A$1:$Z$2488,1040,'Live Data'!$C$17)),"")</f>
        <v>CRS</v>
      </c>
      <c r="G1040" s="54">
        <f>IFERROR(IF(INDEX(SPOT_Import!$A$1:$Z$2488,1040,'Live Data'!$C$18)="","",INDEX(SPOT_Import!$A$1:$Z$2488,1040,'Live Data'!$C$18)),"")</f>
        <v>989</v>
      </c>
      <c r="H1040" s="54">
        <f>IFERROR(IF(INDEX(SPOT_Import!$A$1:$Z$2488,1040,'Live Data'!$C$19)="","",INDEX(SPOT_Import!$A$1:$Z$2488,1040,'Live Data'!$C$19)),"")</f>
        <v>989</v>
      </c>
      <c r="I1040" s="54" t="str">
        <f>IFERROR(IF(INDEX(SPOT_Import!$A$1:$Z$2488,1040,'Live Data'!$C$20)="","",INDEX(SPOT_Import!$A$1:$Z$2488,1040,'Live Data'!$C$20)),"")</f>
        <v>Complete</v>
      </c>
      <c r="J1040" s="54" t="str">
        <f>IFERROR(IF(INDEX(SPOT_Import!$A$1:$Z$2488,1040,'Live Data'!$C$21)="","",INDEX(SPOT_Import!$A$1:$Z$2488,1040,'Live Data'!$C$21)),"")</f>
        <v>2023-04-01T10:05:14.000Z</v>
      </c>
      <c r="K1040" s="54" t="str">
        <f>IFERROR(IF(INDEX(SPOT_Import!$A$1:$Z$2488,1040,'Live Data'!$C$22)="","",INDEX(SPOT_Import!$A$1:$Z$2488,1040,'Live Data'!$C$22)),"")</f>
        <v>2023-04-01T10:05:14.000Z</v>
      </c>
      <c r="L1040" s="55" t="str">
        <f t="shared" si="32"/>
        <v>2023-04</v>
      </c>
      <c r="M1040" s="55" t="str">
        <f t="shared" si="33"/>
        <v>NYANDARUA</v>
      </c>
      <c r="N1040" s="55" t="str">
        <f>IF(A1040="","",IFERROR(INDEX('Cluster Map'!$A$4:$A$38,MATCH(M1040,'Cluster Map'!$B$4:$B$38,0)),"Unmapped"))</f>
        <v>Cluster 4</v>
      </c>
      <c r="O1040" s="55">
        <f>IF(A1040="",0,IF(COUNTIFS($A$2:A1040,A1040,$F$2:F1040,F1040,$L$2:L1040,L1040)=1,1,0))</f>
        <v>1</v>
      </c>
      <c r="P1040" s="55">
        <f>IF(A1040="",0,IF(AND(F1040="C&amp;T",COUNTIFS($A$2:A1040,A1040,$F$2:F1040,"C&amp;T")=1),1,0))</f>
        <v>0</v>
      </c>
    </row>
    <row r="1041" spans="1:16" x14ac:dyDescent="0.35">
      <c r="A1041" s="54">
        <f>IFERROR(IF(INDEX(SPOT_Import!$A$1:$Z$2488,1041,'Live Data'!$C$12)="","",INDEX(SPOT_Import!$A$1:$Z$2488,1041,'Live Data'!$C$12)),"")</f>
        <v>14394</v>
      </c>
      <c r="B1041" s="54" t="str">
        <f>IFERROR(IF(INDEX(SPOT_Import!$A$1:$Z$2488,1041,'Live Data'!$C$13)="","",INDEX(SPOT_Import!$A$1:$Z$2488,1041,'Live Data'!$C$13)),"")</f>
        <v>CMF Aitong Health Centre</v>
      </c>
      <c r="C1041" s="54" t="str">
        <f>IFERROR(IF(INDEX(SPOT_Import!$A$1:$Z$2488,1041,'Live Data'!$C$14)="","",INDEX(SPOT_Import!$A$1:$Z$2488,1041,'Live Data'!$C$14)),"")</f>
        <v>NAROK</v>
      </c>
      <c r="D1041" s="54" t="str">
        <f>IFERROR(IF(INDEX(SPOT_Import!$A$1:$Z$2488,1041,'Live Data'!$C$15)="","",INDEX(SPOT_Import!$A$1:$Z$2488,1041,'Live Data'!$C$15)),"")</f>
        <v>Narok West</v>
      </c>
      <c r="E1041" s="54" t="str">
        <f>IFERROR(IF(INDEX(SPOT_Import!$A$1:$Z$2488,1041,'Live Data'!$C$16)="","",INDEX(SPOT_Import!$A$1:$Z$2488,1041,'Live Data'!$C$16)),"")</f>
        <v>CHAK CHAP STAWISHA</v>
      </c>
      <c r="F1041" s="54" t="str">
        <f>IFERROR(IF(INDEX(SPOT_Import!$A$1:$Z$2488,1041,'Live Data'!$C$17)="","",INDEX(SPOT_Import!$A$1:$Z$2488,1041,'Live Data'!$C$17)),"")</f>
        <v>CRS</v>
      </c>
      <c r="G1041" s="54">
        <f>IFERROR(IF(INDEX(SPOT_Import!$A$1:$Z$2488,1041,'Live Data'!$C$18)="","",INDEX(SPOT_Import!$A$1:$Z$2488,1041,'Live Data'!$C$18)),"")</f>
        <v>387</v>
      </c>
      <c r="H1041" s="54">
        <f>IFERROR(IF(INDEX(SPOT_Import!$A$1:$Z$2488,1041,'Live Data'!$C$19)="","",INDEX(SPOT_Import!$A$1:$Z$2488,1041,'Live Data'!$C$19)),"")</f>
        <v>387</v>
      </c>
      <c r="I1041" s="54" t="str">
        <f>IFERROR(IF(INDEX(SPOT_Import!$A$1:$Z$2488,1041,'Live Data'!$C$20)="","",INDEX(SPOT_Import!$A$1:$Z$2488,1041,'Live Data'!$C$20)),"")</f>
        <v>Complete</v>
      </c>
      <c r="J1041" s="54" t="str">
        <f>IFERROR(IF(INDEX(SPOT_Import!$A$1:$Z$2488,1041,'Live Data'!$C$21)="","",INDEX(SPOT_Import!$A$1:$Z$2488,1041,'Live Data'!$C$21)),"")</f>
        <v>2023-04-01T09:53:10.000Z</v>
      </c>
      <c r="K1041" s="54" t="str">
        <f>IFERROR(IF(INDEX(SPOT_Import!$A$1:$Z$2488,1041,'Live Data'!$C$22)="","",INDEX(SPOT_Import!$A$1:$Z$2488,1041,'Live Data'!$C$22)),"")</f>
        <v>2023-04-01T09:53:10.000Z</v>
      </c>
      <c r="L1041" s="55" t="str">
        <f t="shared" si="32"/>
        <v>2023-04</v>
      </c>
      <c r="M1041" s="55" t="str">
        <f t="shared" si="33"/>
        <v>NAROK</v>
      </c>
      <c r="N1041" s="55" t="str">
        <f>IF(A1041="","",IFERROR(INDEX('Cluster Map'!$A$4:$A$38,MATCH(M1041,'Cluster Map'!$B$4:$B$38,0)),"Unmapped"))</f>
        <v>Cluster 4</v>
      </c>
      <c r="O1041" s="55">
        <f>IF(A1041="",0,IF(COUNTIFS($A$2:A1041,A1041,$F$2:F1041,F1041,$L$2:L1041,L1041)=1,1,0))</f>
        <v>1</v>
      </c>
      <c r="P1041" s="55">
        <f>IF(A1041="",0,IF(AND(F1041="C&amp;T",COUNTIFS($A$2:A1041,A1041,$F$2:F1041,"C&amp;T")=1),1,0))</f>
        <v>0</v>
      </c>
    </row>
    <row r="1042" spans="1:16" x14ac:dyDescent="0.35">
      <c r="A1042" s="54">
        <f>IFERROR(IF(INDEX(SPOT_Import!$A$1:$Z$2488,1042,'Live Data'!$C$12)="","",INDEX(SPOT_Import!$A$1:$Z$2488,1042,'Live Data'!$C$12)),"")</f>
        <v>10825</v>
      </c>
      <c r="B1042" s="54" t="str">
        <f>IFERROR(IF(INDEX(SPOT_Import!$A$1:$Z$2488,1042,'Live Data'!$C$13)="","",INDEX(SPOT_Import!$A$1:$Z$2488,1042,'Live Data'!$C$13)),"")</f>
        <v>Nazareth Hospital</v>
      </c>
      <c r="C1042" s="54" t="str">
        <f>IFERROR(IF(INDEX(SPOT_Import!$A$1:$Z$2488,1042,'Live Data'!$C$14)="","",INDEX(SPOT_Import!$A$1:$Z$2488,1042,'Live Data'!$C$14)),"")</f>
        <v>KIAMBU</v>
      </c>
      <c r="D1042" s="54" t="str">
        <f>IFERROR(IF(INDEX(SPOT_Import!$A$1:$Z$2488,1042,'Live Data'!$C$15)="","",INDEX(SPOT_Import!$A$1:$Z$2488,1042,'Live Data'!$C$15)),"")</f>
        <v>Limuru</v>
      </c>
      <c r="E1042" s="54" t="str">
        <f>IFERROR(IF(INDEX(SPOT_Import!$A$1:$Z$2488,1042,'Live Data'!$C$16)="","",INDEX(SPOT_Import!$A$1:$Z$2488,1042,'Live Data'!$C$16)),"")</f>
        <v>CHAK CHAP STAWISHA</v>
      </c>
      <c r="F1042" s="54" t="str">
        <f>IFERROR(IF(INDEX(SPOT_Import!$A$1:$Z$2488,1042,'Live Data'!$C$17)="","",INDEX(SPOT_Import!$A$1:$Z$2488,1042,'Live Data'!$C$17)),"")</f>
        <v>CRS</v>
      </c>
      <c r="G1042" s="54">
        <f>IFERROR(IF(INDEX(SPOT_Import!$A$1:$Z$2488,1042,'Live Data'!$C$18)="","",INDEX(SPOT_Import!$A$1:$Z$2488,1042,'Live Data'!$C$18)),"")</f>
        <v>6516</v>
      </c>
      <c r="H1042" s="54">
        <f>IFERROR(IF(INDEX(SPOT_Import!$A$1:$Z$2488,1042,'Live Data'!$C$19)="","",INDEX(SPOT_Import!$A$1:$Z$2488,1042,'Live Data'!$C$19)),"")</f>
        <v>19533</v>
      </c>
      <c r="I1042" s="54" t="str">
        <f>IFERROR(IF(INDEX(SPOT_Import!$A$1:$Z$2488,1042,'Live Data'!$C$20)="","",INDEX(SPOT_Import!$A$1:$Z$2488,1042,'Live Data'!$C$20)),"")</f>
        <v>Complete</v>
      </c>
      <c r="J1042" s="54" t="str">
        <f>IFERROR(IF(INDEX(SPOT_Import!$A$1:$Z$2488,1042,'Live Data'!$C$21)="","",INDEX(SPOT_Import!$A$1:$Z$2488,1042,'Live Data'!$C$21)),"")</f>
        <v>2023-04-01T09:37:03.000Z</v>
      </c>
      <c r="K1042" s="54" t="str">
        <f>IFERROR(IF(INDEX(SPOT_Import!$A$1:$Z$2488,1042,'Live Data'!$C$22)="","",INDEX(SPOT_Import!$A$1:$Z$2488,1042,'Live Data'!$C$22)),"")</f>
        <v>2023-04-01T09:37:03.000Z</v>
      </c>
      <c r="L1042" s="55" t="str">
        <f t="shared" si="32"/>
        <v>2023-04</v>
      </c>
      <c r="M1042" s="55" t="str">
        <f t="shared" si="33"/>
        <v>KIAMBU</v>
      </c>
      <c r="N1042" s="55" t="str">
        <f>IF(A1042="","",IFERROR(INDEX('Cluster Map'!$A$4:$A$38,MATCH(M1042,'Cluster Map'!$B$4:$B$38,0)),"Unmapped"))</f>
        <v>Cluster 3</v>
      </c>
      <c r="O1042" s="55">
        <f>IF(A1042="",0,IF(COUNTIFS($A$2:A1042,A1042,$F$2:F1042,F1042,$L$2:L1042,L1042)=1,1,0))</f>
        <v>1</v>
      </c>
      <c r="P1042" s="55">
        <f>IF(A1042="",0,IF(AND(F1042="C&amp;T",COUNTIFS($A$2:A1042,A1042,$F$2:F1042,"C&amp;T")=1),1,0))</f>
        <v>0</v>
      </c>
    </row>
    <row r="1043" spans="1:16" x14ac:dyDescent="0.35">
      <c r="A1043" s="54">
        <f>IFERROR(IF(INDEX(SPOT_Import!$A$1:$Z$2488,1043,'Live Data'!$C$12)="","",INDEX(SPOT_Import!$A$1:$Z$2488,1043,'Live Data'!$C$12)),"")</f>
        <v>10267</v>
      </c>
      <c r="B1043" s="54" t="str">
        <f>IFERROR(IF(INDEX(SPOT_Import!$A$1:$Z$2488,1043,'Live Data'!$C$13)="","",INDEX(SPOT_Import!$A$1:$Z$2488,1043,'Live Data'!$C$13)),"")</f>
        <v>Githumu Hospital</v>
      </c>
      <c r="C1043" s="54" t="str">
        <f>IFERROR(IF(INDEX(SPOT_Import!$A$1:$Z$2488,1043,'Live Data'!$C$14)="","",INDEX(SPOT_Import!$A$1:$Z$2488,1043,'Live Data'!$C$14)),"")</f>
        <v>MURANG'A</v>
      </c>
      <c r="D1043" s="54" t="str">
        <f>IFERROR(IF(INDEX(SPOT_Import!$A$1:$Z$2488,1043,'Live Data'!$C$15)="","",INDEX(SPOT_Import!$A$1:$Z$2488,1043,'Live Data'!$C$15)),"")</f>
        <v>Kandara</v>
      </c>
      <c r="E1043" s="54" t="str">
        <f>IFERROR(IF(INDEX(SPOT_Import!$A$1:$Z$2488,1043,'Live Data'!$C$16)="","",INDEX(SPOT_Import!$A$1:$Z$2488,1043,'Live Data'!$C$16)),"")</f>
        <v>CHAK CHAP STAWISHA</v>
      </c>
      <c r="F1043" s="54" t="str">
        <f>IFERROR(IF(INDEX(SPOT_Import!$A$1:$Z$2488,1043,'Live Data'!$C$17)="","",INDEX(SPOT_Import!$A$1:$Z$2488,1043,'Live Data'!$C$17)),"")</f>
        <v>CRS</v>
      </c>
      <c r="G1043" s="54">
        <f>IFERROR(IF(INDEX(SPOT_Import!$A$1:$Z$2488,1043,'Live Data'!$C$18)="","",INDEX(SPOT_Import!$A$1:$Z$2488,1043,'Live Data'!$C$18)),"")</f>
        <v>1158</v>
      </c>
      <c r="H1043" s="54">
        <f>IFERROR(IF(INDEX(SPOT_Import!$A$1:$Z$2488,1043,'Live Data'!$C$19)="","",INDEX(SPOT_Import!$A$1:$Z$2488,1043,'Live Data'!$C$19)),"")</f>
        <v>1158</v>
      </c>
      <c r="I1043" s="54" t="str">
        <f>IFERROR(IF(INDEX(SPOT_Import!$A$1:$Z$2488,1043,'Live Data'!$C$20)="","",INDEX(SPOT_Import!$A$1:$Z$2488,1043,'Live Data'!$C$20)),"")</f>
        <v>Complete</v>
      </c>
      <c r="J1043" s="54" t="str">
        <f>IFERROR(IF(INDEX(SPOT_Import!$A$1:$Z$2488,1043,'Live Data'!$C$21)="","",INDEX(SPOT_Import!$A$1:$Z$2488,1043,'Live Data'!$C$21)),"")</f>
        <v>2023-04-01T07:45:19.000Z</v>
      </c>
      <c r="K1043" s="54" t="str">
        <f>IFERROR(IF(INDEX(SPOT_Import!$A$1:$Z$2488,1043,'Live Data'!$C$22)="","",INDEX(SPOT_Import!$A$1:$Z$2488,1043,'Live Data'!$C$22)),"")</f>
        <v>2023-04-01T07:45:19.000Z</v>
      </c>
      <c r="L1043" s="55" t="str">
        <f t="shared" si="32"/>
        <v>2023-04</v>
      </c>
      <c r="M1043" s="55" t="str">
        <f t="shared" si="33"/>
        <v>MURANG'A</v>
      </c>
      <c r="N1043" s="55" t="str">
        <f>IF(A1043="","",IFERROR(INDEX('Cluster Map'!$A$4:$A$38,MATCH(M1043,'Cluster Map'!$B$4:$B$38,0)),"Unmapped"))</f>
        <v>Cluster 3</v>
      </c>
      <c r="O1043" s="55">
        <f>IF(A1043="",0,IF(COUNTIFS($A$2:A1043,A1043,$F$2:F1043,F1043,$L$2:L1043,L1043)=1,1,0))</f>
        <v>1</v>
      </c>
      <c r="P1043" s="55">
        <f>IF(A1043="",0,IF(AND(F1043="C&amp;T",COUNTIFS($A$2:A1043,A1043,$F$2:F1043,"C&amp;T")=1),1,0))</f>
        <v>0</v>
      </c>
    </row>
    <row r="1044" spans="1:16" x14ac:dyDescent="0.35">
      <c r="A1044" s="54">
        <f>IFERROR(IF(INDEX(SPOT_Import!$A$1:$Z$2488,1044,'Live Data'!$C$12)="","",INDEX(SPOT_Import!$A$1:$Z$2488,1044,'Live Data'!$C$12)),"")</f>
        <v>22085</v>
      </c>
      <c r="B1044" s="54" t="str">
        <f>IFERROR(IF(INDEX(SPOT_Import!$A$1:$Z$2488,1044,'Live Data'!$C$13)="","",INDEX(SPOT_Import!$A$1:$Z$2488,1044,'Live Data'!$C$13)),"")</f>
        <v>Athi Mission Clinic</v>
      </c>
      <c r="C1044" s="54" t="str">
        <f>IFERROR(IF(INDEX(SPOT_Import!$A$1:$Z$2488,1044,'Live Data'!$C$14)="","",INDEX(SPOT_Import!$A$1:$Z$2488,1044,'Live Data'!$C$14)),"")</f>
        <v>KITUI</v>
      </c>
      <c r="D1044" s="54" t="str">
        <f>IFERROR(IF(INDEX(SPOT_Import!$A$1:$Z$2488,1044,'Live Data'!$C$15)="","",INDEX(SPOT_Import!$A$1:$Z$2488,1044,'Live Data'!$C$15)),"")</f>
        <v>Kitui South</v>
      </c>
      <c r="E1044" s="54" t="str">
        <f>IFERROR(IF(INDEX(SPOT_Import!$A$1:$Z$2488,1044,'Live Data'!$C$16)="","",INDEX(SPOT_Import!$A$1:$Z$2488,1044,'Live Data'!$C$16)),"")</f>
        <v>CHAK CHAP STAWISHA</v>
      </c>
      <c r="F1044" s="54" t="str">
        <f>IFERROR(IF(INDEX(SPOT_Import!$A$1:$Z$2488,1044,'Live Data'!$C$17)="","",INDEX(SPOT_Import!$A$1:$Z$2488,1044,'Live Data'!$C$17)),"")</f>
        <v>CRS</v>
      </c>
      <c r="G1044" s="54">
        <f>IFERROR(IF(INDEX(SPOT_Import!$A$1:$Z$2488,1044,'Live Data'!$C$18)="","",INDEX(SPOT_Import!$A$1:$Z$2488,1044,'Live Data'!$C$18)),"")</f>
        <v>585</v>
      </c>
      <c r="H1044" s="54">
        <f>IFERROR(IF(INDEX(SPOT_Import!$A$1:$Z$2488,1044,'Live Data'!$C$19)="","",INDEX(SPOT_Import!$A$1:$Z$2488,1044,'Live Data'!$C$19)),"")</f>
        <v>1085</v>
      </c>
      <c r="I1044" s="54" t="str">
        <f>IFERROR(IF(INDEX(SPOT_Import!$A$1:$Z$2488,1044,'Live Data'!$C$20)="","",INDEX(SPOT_Import!$A$1:$Z$2488,1044,'Live Data'!$C$20)),"")</f>
        <v>Complete</v>
      </c>
      <c r="J1044" s="54" t="str">
        <f>IFERROR(IF(INDEX(SPOT_Import!$A$1:$Z$2488,1044,'Live Data'!$C$21)="","",INDEX(SPOT_Import!$A$1:$Z$2488,1044,'Live Data'!$C$21)),"")</f>
        <v>2023-04-01T07:39:39.000Z</v>
      </c>
      <c r="K1044" s="54" t="str">
        <f>IFERROR(IF(INDEX(SPOT_Import!$A$1:$Z$2488,1044,'Live Data'!$C$22)="","",INDEX(SPOT_Import!$A$1:$Z$2488,1044,'Live Data'!$C$22)),"")</f>
        <v>2023-04-01T07:39:39.000Z</v>
      </c>
      <c r="L1044" s="55" t="str">
        <f t="shared" si="32"/>
        <v>2023-04</v>
      </c>
      <c r="M1044" s="55" t="str">
        <f t="shared" si="33"/>
        <v>KITUI</v>
      </c>
      <c r="N1044" s="55" t="str">
        <f>IF(A1044="","",IFERROR(INDEX('Cluster Map'!$A$4:$A$38,MATCH(M1044,'Cluster Map'!$B$4:$B$38,0)),"Unmapped"))</f>
        <v>Cluster 5</v>
      </c>
      <c r="O1044" s="55">
        <f>IF(A1044="",0,IF(COUNTIFS($A$2:A1044,A1044,$F$2:F1044,F1044,$L$2:L1044,L1044)=1,1,0))</f>
        <v>1</v>
      </c>
      <c r="P1044" s="55">
        <f>IF(A1044="",0,IF(AND(F1044="C&amp;T",COUNTIFS($A$2:A1044,A1044,$F$2:F1044,"C&amp;T")=1),1,0))</f>
        <v>0</v>
      </c>
    </row>
    <row r="1045" spans="1:16" x14ac:dyDescent="0.35">
      <c r="A1045" s="54">
        <f>IFERROR(IF(INDEX(SPOT_Import!$A$1:$Z$2488,1045,'Live Data'!$C$12)="","",INDEX(SPOT_Import!$A$1:$Z$2488,1045,'Live Data'!$C$12)),"")</f>
        <v>10988</v>
      </c>
      <c r="B1045" s="54" t="str">
        <f>IFERROR(IF(INDEX(SPOT_Import!$A$1:$Z$2488,1045,'Live Data'!$C$13)="","",INDEX(SPOT_Import!$A$1:$Z$2488,1045,'Live Data'!$C$13)),"")</f>
        <v>Sacred Heart Dispensary</v>
      </c>
      <c r="C1045" s="54" t="str">
        <f>IFERROR(IF(INDEX(SPOT_Import!$A$1:$Z$2488,1045,'Live Data'!$C$14)="","",INDEX(SPOT_Import!$A$1:$Z$2488,1045,'Live Data'!$C$14)),"")</f>
        <v>KIAMBU</v>
      </c>
      <c r="D1045" s="54" t="str">
        <f>IFERROR(IF(INDEX(SPOT_Import!$A$1:$Z$2488,1045,'Live Data'!$C$15)="","",INDEX(SPOT_Import!$A$1:$Z$2488,1045,'Live Data'!$C$15)),"")</f>
        <v>Kiambaa</v>
      </c>
      <c r="E1045" s="54" t="str">
        <f>IFERROR(IF(INDEX(SPOT_Import!$A$1:$Z$2488,1045,'Live Data'!$C$16)="","",INDEX(SPOT_Import!$A$1:$Z$2488,1045,'Live Data'!$C$16)),"")</f>
        <v>CHAK CHAP STAWISHA</v>
      </c>
      <c r="F1045" s="54" t="str">
        <f>IFERROR(IF(INDEX(SPOT_Import!$A$1:$Z$2488,1045,'Live Data'!$C$17)="","",INDEX(SPOT_Import!$A$1:$Z$2488,1045,'Live Data'!$C$17)),"")</f>
        <v>CRS</v>
      </c>
      <c r="G1045" s="54">
        <f>IFERROR(IF(INDEX(SPOT_Import!$A$1:$Z$2488,1045,'Live Data'!$C$18)="","",INDEX(SPOT_Import!$A$1:$Z$2488,1045,'Live Data'!$C$18)),"")</f>
        <v>1530</v>
      </c>
      <c r="H1045" s="54">
        <f>IFERROR(IF(INDEX(SPOT_Import!$A$1:$Z$2488,1045,'Live Data'!$C$19)="","",INDEX(SPOT_Import!$A$1:$Z$2488,1045,'Live Data'!$C$19)),"")</f>
        <v>1530</v>
      </c>
      <c r="I1045" s="54" t="str">
        <f>IFERROR(IF(INDEX(SPOT_Import!$A$1:$Z$2488,1045,'Live Data'!$C$20)="","",INDEX(SPOT_Import!$A$1:$Z$2488,1045,'Live Data'!$C$20)),"")</f>
        <v>Complete</v>
      </c>
      <c r="J1045" s="54" t="str">
        <f>IFERROR(IF(INDEX(SPOT_Import!$A$1:$Z$2488,1045,'Live Data'!$C$21)="","",INDEX(SPOT_Import!$A$1:$Z$2488,1045,'Live Data'!$C$21)),"")</f>
        <v>2023-04-01T06:17:08.000Z</v>
      </c>
      <c r="K1045" s="54" t="str">
        <f>IFERROR(IF(INDEX(SPOT_Import!$A$1:$Z$2488,1045,'Live Data'!$C$22)="","",INDEX(SPOT_Import!$A$1:$Z$2488,1045,'Live Data'!$C$22)),"")</f>
        <v>2023-04-01T06:17:08.000Z</v>
      </c>
      <c r="L1045" s="55" t="str">
        <f t="shared" si="32"/>
        <v>2023-04</v>
      </c>
      <c r="M1045" s="55" t="str">
        <f t="shared" si="33"/>
        <v>KIAMBU</v>
      </c>
      <c r="N1045" s="55" t="str">
        <f>IF(A1045="","",IFERROR(INDEX('Cluster Map'!$A$4:$A$38,MATCH(M1045,'Cluster Map'!$B$4:$B$38,0)),"Unmapped"))</f>
        <v>Cluster 3</v>
      </c>
      <c r="O1045" s="55">
        <f>IF(A1045="",0,IF(COUNTIFS($A$2:A1045,A1045,$F$2:F1045,F1045,$L$2:L1045,L1045)=1,1,0))</f>
        <v>1</v>
      </c>
      <c r="P1045" s="55">
        <f>IF(A1045="",0,IF(AND(F1045="C&amp;T",COUNTIFS($A$2:A1045,A1045,$F$2:F1045,"C&amp;T")=1),1,0))</f>
        <v>0</v>
      </c>
    </row>
    <row r="1046" spans="1:16" x14ac:dyDescent="0.35">
      <c r="A1046" s="54">
        <f>IFERROR(IF(INDEX(SPOT_Import!$A$1:$Z$2488,1046,'Live Data'!$C$12)="","",INDEX(SPOT_Import!$A$1:$Z$2488,1046,'Live Data'!$C$12)),"")</f>
        <v>17431</v>
      </c>
      <c r="B1046" s="54" t="str">
        <f>IFERROR(IF(INDEX(SPOT_Import!$A$1:$Z$2488,1046,'Live Data'!$C$13)="","",INDEX(SPOT_Import!$A$1:$Z$2488,1046,'Live Data'!$C$13)),"")</f>
        <v>AIC Kalamba Dispensary</v>
      </c>
      <c r="C1046" s="54" t="str">
        <f>IFERROR(IF(INDEX(SPOT_Import!$A$1:$Z$2488,1046,'Live Data'!$C$14)="","",INDEX(SPOT_Import!$A$1:$Z$2488,1046,'Live Data'!$C$14)),"")</f>
        <v>MAKUENI</v>
      </c>
      <c r="D1046" s="54" t="str">
        <f>IFERROR(IF(INDEX(SPOT_Import!$A$1:$Z$2488,1046,'Live Data'!$C$15)="","",INDEX(SPOT_Import!$A$1:$Z$2488,1046,'Live Data'!$C$15)),"")</f>
        <v>Makueni</v>
      </c>
      <c r="E1046" s="54" t="str">
        <f>IFERROR(IF(INDEX(SPOT_Import!$A$1:$Z$2488,1046,'Live Data'!$C$16)="","",INDEX(SPOT_Import!$A$1:$Z$2488,1046,'Live Data'!$C$16)),"")</f>
        <v>CHAK CHAP STAWISHA</v>
      </c>
      <c r="F1046" s="54" t="str">
        <f>IFERROR(IF(INDEX(SPOT_Import!$A$1:$Z$2488,1046,'Live Data'!$C$17)="","",INDEX(SPOT_Import!$A$1:$Z$2488,1046,'Live Data'!$C$17)),"")</f>
        <v>CRS</v>
      </c>
      <c r="G1046" s="54">
        <f>IFERROR(IF(INDEX(SPOT_Import!$A$1:$Z$2488,1046,'Live Data'!$C$18)="","",INDEX(SPOT_Import!$A$1:$Z$2488,1046,'Live Data'!$C$18)),"")</f>
        <v>330</v>
      </c>
      <c r="H1046" s="54">
        <f>IFERROR(IF(INDEX(SPOT_Import!$A$1:$Z$2488,1046,'Live Data'!$C$19)="","",INDEX(SPOT_Import!$A$1:$Z$2488,1046,'Live Data'!$C$19)),"")</f>
        <v>330</v>
      </c>
      <c r="I1046" s="54" t="str">
        <f>IFERROR(IF(INDEX(SPOT_Import!$A$1:$Z$2488,1046,'Live Data'!$C$20)="","",INDEX(SPOT_Import!$A$1:$Z$2488,1046,'Live Data'!$C$20)),"")</f>
        <v>Complete</v>
      </c>
      <c r="J1046" s="54" t="str">
        <f>IFERROR(IF(INDEX(SPOT_Import!$A$1:$Z$2488,1046,'Live Data'!$C$21)="","",INDEX(SPOT_Import!$A$1:$Z$2488,1046,'Live Data'!$C$21)),"")</f>
        <v>2023-04-01T04:48:04.000Z</v>
      </c>
      <c r="K1046" s="54" t="str">
        <f>IFERROR(IF(INDEX(SPOT_Import!$A$1:$Z$2488,1046,'Live Data'!$C$22)="","",INDEX(SPOT_Import!$A$1:$Z$2488,1046,'Live Data'!$C$22)),"")</f>
        <v>2023-04-01T04:48:04.000Z</v>
      </c>
      <c r="L1046" s="55" t="str">
        <f t="shared" si="32"/>
        <v>2023-04</v>
      </c>
      <c r="M1046" s="55" t="str">
        <f t="shared" si="33"/>
        <v>MAKUENI</v>
      </c>
      <c r="N1046" s="55" t="str">
        <f>IF(A1046="","",IFERROR(INDEX('Cluster Map'!$A$4:$A$38,MATCH(M1046,'Cluster Map'!$B$4:$B$38,0)),"Unmapped"))</f>
        <v>Cluster 5</v>
      </c>
      <c r="O1046" s="55">
        <f>IF(A1046="",0,IF(COUNTIFS($A$2:A1046,A1046,$F$2:F1046,F1046,$L$2:L1046,L1046)=1,1,0))</f>
        <v>1</v>
      </c>
      <c r="P1046" s="55">
        <f>IF(A1046="",0,IF(AND(F1046="C&amp;T",COUNTIFS($A$2:A1046,A1046,$F$2:F1046,"C&amp;T")=1),1,0))</f>
        <v>0</v>
      </c>
    </row>
    <row r="1047" spans="1:16" x14ac:dyDescent="0.35">
      <c r="A1047" s="54">
        <f>IFERROR(IF(INDEX(SPOT_Import!$A$1:$Z$2488,1047,'Live Data'!$C$12)="","",INDEX(SPOT_Import!$A$1:$Z$2488,1047,'Live Data'!$C$12)),"")</f>
        <v>10887</v>
      </c>
      <c r="B1047" s="54" t="str">
        <f>IFERROR(IF(INDEX(SPOT_Import!$A$1:$Z$2488,1047,'Live Data'!$C$13)="","",INDEX(SPOT_Import!$A$1:$Z$2488,1047,'Live Data'!$C$13)),"")</f>
        <v>North Kinangop Catholic Hospital</v>
      </c>
      <c r="C1047" s="54" t="str">
        <f>IFERROR(IF(INDEX(SPOT_Import!$A$1:$Z$2488,1047,'Live Data'!$C$14)="","",INDEX(SPOT_Import!$A$1:$Z$2488,1047,'Live Data'!$C$14)),"")</f>
        <v>NYANDARUA</v>
      </c>
      <c r="D1047" s="54" t="str">
        <f>IFERROR(IF(INDEX(SPOT_Import!$A$1:$Z$2488,1047,'Live Data'!$C$15)="","",INDEX(SPOT_Import!$A$1:$Z$2488,1047,'Live Data'!$C$15)),"")</f>
        <v>Kinangop</v>
      </c>
      <c r="E1047" s="54" t="str">
        <f>IFERROR(IF(INDEX(SPOT_Import!$A$1:$Z$2488,1047,'Live Data'!$C$16)="","",INDEX(SPOT_Import!$A$1:$Z$2488,1047,'Live Data'!$C$16)),"")</f>
        <v>CHAK CHAP STAWISHA</v>
      </c>
      <c r="F1047" s="54" t="str">
        <f>IFERROR(IF(INDEX(SPOT_Import!$A$1:$Z$2488,1047,'Live Data'!$C$17)="","",INDEX(SPOT_Import!$A$1:$Z$2488,1047,'Live Data'!$C$17)),"")</f>
        <v>CRS</v>
      </c>
      <c r="G1047" s="54">
        <f>IFERROR(IF(INDEX(SPOT_Import!$A$1:$Z$2488,1047,'Live Data'!$C$18)="","",INDEX(SPOT_Import!$A$1:$Z$2488,1047,'Live Data'!$C$18)),"")</f>
        <v>2572</v>
      </c>
      <c r="H1047" s="54">
        <f>IFERROR(IF(INDEX(SPOT_Import!$A$1:$Z$2488,1047,'Live Data'!$C$19)="","",INDEX(SPOT_Import!$A$1:$Z$2488,1047,'Live Data'!$C$19)),"")</f>
        <v>15403</v>
      </c>
      <c r="I1047" s="54" t="str">
        <f>IFERROR(IF(INDEX(SPOT_Import!$A$1:$Z$2488,1047,'Live Data'!$C$20)="","",INDEX(SPOT_Import!$A$1:$Z$2488,1047,'Live Data'!$C$20)),"")</f>
        <v>Incomplete</v>
      </c>
      <c r="J1047" s="54" t="str">
        <f>IFERROR(IF(INDEX(SPOT_Import!$A$1:$Z$2488,1047,'Live Data'!$C$21)="","",INDEX(SPOT_Import!$A$1:$Z$2488,1047,'Live Data'!$C$21)),"")</f>
        <v>2023-03-28T13:42:45.000Z</v>
      </c>
      <c r="K1047" s="54" t="str">
        <f>IFERROR(IF(INDEX(SPOT_Import!$A$1:$Z$2488,1047,'Live Data'!$C$22)="","",INDEX(SPOT_Import!$A$1:$Z$2488,1047,'Live Data'!$C$22)),"")</f>
        <v>2023-03-28T13:42:45.000Z</v>
      </c>
      <c r="L1047" s="55" t="str">
        <f t="shared" si="32"/>
        <v>2023-03</v>
      </c>
      <c r="M1047" s="55" t="str">
        <f t="shared" si="33"/>
        <v>NYANDARUA</v>
      </c>
      <c r="N1047" s="55" t="str">
        <f>IF(A1047="","",IFERROR(INDEX('Cluster Map'!$A$4:$A$38,MATCH(M1047,'Cluster Map'!$B$4:$B$38,0)),"Unmapped"))</f>
        <v>Cluster 4</v>
      </c>
      <c r="O1047" s="55">
        <f>IF(A1047="",0,IF(COUNTIFS($A$2:A1047,A1047,$F$2:F1047,F1047,$L$2:L1047,L1047)=1,1,0))</f>
        <v>1</v>
      </c>
      <c r="P1047" s="55">
        <f>IF(A1047="",0,IF(AND(F1047="C&amp;T",COUNTIFS($A$2:A1047,A1047,$F$2:F1047,"C&amp;T")=1),1,0))</f>
        <v>0</v>
      </c>
    </row>
    <row r="1048" spans="1:16" x14ac:dyDescent="0.35">
      <c r="A1048" s="54">
        <f>IFERROR(IF(INDEX(SPOT_Import!$A$1:$Z$2488,1048,'Live Data'!$C$12)="","",INDEX(SPOT_Import!$A$1:$Z$2488,1048,'Live Data'!$C$12)),"")</f>
        <v>12213</v>
      </c>
      <c r="B1048" s="54" t="str">
        <f>IFERROR(IF(INDEX(SPOT_Import!$A$1:$Z$2488,1048,'Live Data'!$C$13)="","",INDEX(SPOT_Import!$A$1:$Z$2488,1048,'Live Data'!$C$13)),"")</f>
        <v>Katakani Dispensary</v>
      </c>
      <c r="C1048" s="54" t="str">
        <f>IFERROR(IF(INDEX(SPOT_Import!$A$1:$Z$2488,1048,'Live Data'!$C$14)="","",INDEX(SPOT_Import!$A$1:$Z$2488,1048,'Live Data'!$C$14)),"")</f>
        <v>KITUI</v>
      </c>
      <c r="D1048" s="54" t="str">
        <f>IFERROR(IF(INDEX(SPOT_Import!$A$1:$Z$2488,1048,'Live Data'!$C$15)="","",INDEX(SPOT_Import!$A$1:$Z$2488,1048,'Live Data'!$C$15)),"")</f>
        <v>Mwingi North</v>
      </c>
      <c r="E1048" s="54" t="str">
        <f>IFERROR(IF(INDEX(SPOT_Import!$A$1:$Z$2488,1048,'Live Data'!$C$16)="","",INDEX(SPOT_Import!$A$1:$Z$2488,1048,'Live Data'!$C$16)),"")</f>
        <v>CHAK CHAP STAWISHA</v>
      </c>
      <c r="F1048" s="54" t="str">
        <f>IFERROR(IF(INDEX(SPOT_Import!$A$1:$Z$2488,1048,'Live Data'!$C$17)="","",INDEX(SPOT_Import!$A$1:$Z$2488,1048,'Live Data'!$C$17)),"")</f>
        <v>CRS</v>
      </c>
      <c r="G1048" s="54">
        <f>IFERROR(IF(INDEX(SPOT_Import!$A$1:$Z$2488,1048,'Live Data'!$C$18)="","",INDEX(SPOT_Import!$A$1:$Z$2488,1048,'Live Data'!$C$18)),"")</f>
        <v>118</v>
      </c>
      <c r="H1048" s="54">
        <f>IFERROR(IF(INDEX(SPOT_Import!$A$1:$Z$2488,1048,'Live Data'!$C$19)="","",INDEX(SPOT_Import!$A$1:$Z$2488,1048,'Live Data'!$C$19)),"")</f>
        <v>118</v>
      </c>
      <c r="I1048" s="54" t="str">
        <f>IFERROR(IF(INDEX(SPOT_Import!$A$1:$Z$2488,1048,'Live Data'!$C$20)="","",INDEX(SPOT_Import!$A$1:$Z$2488,1048,'Live Data'!$C$20)),"")</f>
        <v>Complete</v>
      </c>
      <c r="J1048" s="54" t="str">
        <f>IFERROR(IF(INDEX(SPOT_Import!$A$1:$Z$2488,1048,'Live Data'!$C$21)="","",INDEX(SPOT_Import!$A$1:$Z$2488,1048,'Live Data'!$C$21)),"")</f>
        <v>2023-03-05T18:44:27.000Z</v>
      </c>
      <c r="K1048" s="54" t="str">
        <f>IFERROR(IF(INDEX(SPOT_Import!$A$1:$Z$2488,1048,'Live Data'!$C$22)="","",INDEX(SPOT_Import!$A$1:$Z$2488,1048,'Live Data'!$C$22)),"")</f>
        <v>2023-03-05T18:44:27.000Z</v>
      </c>
      <c r="L1048" s="55" t="str">
        <f t="shared" si="32"/>
        <v>2023-03</v>
      </c>
      <c r="M1048" s="55" t="str">
        <f t="shared" si="33"/>
        <v>KITUI</v>
      </c>
      <c r="N1048" s="55" t="str">
        <f>IF(A1048="","",IFERROR(INDEX('Cluster Map'!$A$4:$A$38,MATCH(M1048,'Cluster Map'!$B$4:$B$38,0)),"Unmapped"))</f>
        <v>Cluster 5</v>
      </c>
      <c r="O1048" s="55">
        <f>IF(A1048="",0,IF(COUNTIFS($A$2:A1048,A1048,$F$2:F1048,F1048,$L$2:L1048,L1048)=1,1,0))</f>
        <v>1</v>
      </c>
      <c r="P1048" s="55">
        <f>IF(A1048="",0,IF(AND(F1048="C&amp;T",COUNTIFS($A$2:A1048,A1048,$F$2:F1048,"C&amp;T")=1),1,0))</f>
        <v>0</v>
      </c>
    </row>
    <row r="1049" spans="1:16" x14ac:dyDescent="0.35">
      <c r="A1049" s="54">
        <f>IFERROR(IF(INDEX(SPOT_Import!$A$1:$Z$2488,1049,'Live Data'!$C$12)="","",INDEX(SPOT_Import!$A$1:$Z$2488,1049,'Live Data'!$C$12)),"")</f>
        <v>12599</v>
      </c>
      <c r="B1049" s="54" t="str">
        <f>IFERROR(IF(INDEX(SPOT_Import!$A$1:$Z$2488,1049,'Live Data'!$C$13)="","",INDEX(SPOT_Import!$A$1:$Z$2488,1049,'Live Data'!$C$13)),"")</f>
        <v>Mutito Catholic Dispensary</v>
      </c>
      <c r="C1049" s="54" t="str">
        <f>IFERROR(IF(INDEX(SPOT_Import!$A$1:$Z$2488,1049,'Live Data'!$C$14)="","",INDEX(SPOT_Import!$A$1:$Z$2488,1049,'Live Data'!$C$14)),"")</f>
        <v>KITUI</v>
      </c>
      <c r="D1049" s="54" t="str">
        <f>IFERROR(IF(INDEX(SPOT_Import!$A$1:$Z$2488,1049,'Live Data'!$C$15)="","",INDEX(SPOT_Import!$A$1:$Z$2488,1049,'Live Data'!$C$15)),"")</f>
        <v>Kitui East</v>
      </c>
      <c r="E1049" s="54" t="str">
        <f>IFERROR(IF(INDEX(SPOT_Import!$A$1:$Z$2488,1049,'Live Data'!$C$16)="","",INDEX(SPOT_Import!$A$1:$Z$2488,1049,'Live Data'!$C$16)),"")</f>
        <v>CHAK CHAP STAWISHA</v>
      </c>
      <c r="F1049" s="54" t="str">
        <f>IFERROR(IF(INDEX(SPOT_Import!$A$1:$Z$2488,1049,'Live Data'!$C$17)="","",INDEX(SPOT_Import!$A$1:$Z$2488,1049,'Live Data'!$C$17)),"")</f>
        <v>CRS</v>
      </c>
      <c r="G1049" s="54">
        <f>IFERROR(IF(INDEX(SPOT_Import!$A$1:$Z$2488,1049,'Live Data'!$C$18)="","",INDEX(SPOT_Import!$A$1:$Z$2488,1049,'Live Data'!$C$18)),"")</f>
        <v>56</v>
      </c>
      <c r="H1049" s="54">
        <f>IFERROR(IF(INDEX(SPOT_Import!$A$1:$Z$2488,1049,'Live Data'!$C$19)="","",INDEX(SPOT_Import!$A$1:$Z$2488,1049,'Live Data'!$C$19)),"")</f>
        <v>112</v>
      </c>
      <c r="I1049" s="54" t="str">
        <f>IFERROR(IF(INDEX(SPOT_Import!$A$1:$Z$2488,1049,'Live Data'!$C$20)="","",INDEX(SPOT_Import!$A$1:$Z$2488,1049,'Live Data'!$C$20)),"")</f>
        <v>Complete</v>
      </c>
      <c r="J1049" s="54" t="str">
        <f>IFERROR(IF(INDEX(SPOT_Import!$A$1:$Z$2488,1049,'Live Data'!$C$21)="","",INDEX(SPOT_Import!$A$1:$Z$2488,1049,'Live Data'!$C$21)),"")</f>
        <v>2023-03-03T09:59:24.000Z</v>
      </c>
      <c r="K1049" s="54" t="str">
        <f>IFERROR(IF(INDEX(SPOT_Import!$A$1:$Z$2488,1049,'Live Data'!$C$22)="","",INDEX(SPOT_Import!$A$1:$Z$2488,1049,'Live Data'!$C$22)),"")</f>
        <v>2023-03-03T09:59:24.000Z</v>
      </c>
      <c r="L1049" s="55" t="str">
        <f t="shared" si="32"/>
        <v>2023-03</v>
      </c>
      <c r="M1049" s="55" t="str">
        <f t="shared" si="33"/>
        <v>KITUI</v>
      </c>
      <c r="N1049" s="55" t="str">
        <f>IF(A1049="","",IFERROR(INDEX('Cluster Map'!$A$4:$A$38,MATCH(M1049,'Cluster Map'!$B$4:$B$38,0)),"Unmapped"))</f>
        <v>Cluster 5</v>
      </c>
      <c r="O1049" s="55">
        <f>IF(A1049="",0,IF(COUNTIFS($A$2:A1049,A1049,$F$2:F1049,F1049,$L$2:L1049,L1049)=1,1,0))</f>
        <v>1</v>
      </c>
      <c r="P1049" s="55">
        <f>IF(A1049="",0,IF(AND(F1049="C&amp;T",COUNTIFS($A$2:A1049,A1049,$F$2:F1049,"C&amp;T")=1),1,0))</f>
        <v>0</v>
      </c>
    </row>
    <row r="1050" spans="1:16" x14ac:dyDescent="0.35">
      <c r="A1050" s="54">
        <f>IFERROR(IF(INDEX(SPOT_Import!$A$1:$Z$2488,1050,'Live Data'!$C$12)="","",INDEX(SPOT_Import!$A$1:$Z$2488,1050,'Live Data'!$C$12)),"")</f>
        <v>11976</v>
      </c>
      <c r="B1050" s="54" t="str">
        <f>IFERROR(IF(INDEX(SPOT_Import!$A$1:$Z$2488,1050,'Live Data'!$C$13)="","",INDEX(SPOT_Import!$A$1:$Z$2488,1050,'Live Data'!$C$13)),"")</f>
        <v>Consolata Mission Hospital (Nkubu)</v>
      </c>
      <c r="C1050" s="54" t="str">
        <f>IFERROR(IF(INDEX(SPOT_Import!$A$1:$Z$2488,1050,'Live Data'!$C$14)="","",INDEX(SPOT_Import!$A$1:$Z$2488,1050,'Live Data'!$C$14)),"")</f>
        <v>MERU</v>
      </c>
      <c r="D1050" s="54" t="str">
        <f>IFERROR(IF(INDEX(SPOT_Import!$A$1:$Z$2488,1050,'Live Data'!$C$15)="","",INDEX(SPOT_Import!$A$1:$Z$2488,1050,'Live Data'!$C$15)),"")</f>
        <v>Imenti South</v>
      </c>
      <c r="E1050" s="54" t="str">
        <f>IFERROR(IF(INDEX(SPOT_Import!$A$1:$Z$2488,1050,'Live Data'!$C$16)="","",INDEX(SPOT_Import!$A$1:$Z$2488,1050,'Live Data'!$C$16)),"")</f>
        <v>CHAK CHAP STAWISHA</v>
      </c>
      <c r="F1050" s="54" t="str">
        <f>IFERROR(IF(INDEX(SPOT_Import!$A$1:$Z$2488,1050,'Live Data'!$C$17)="","",INDEX(SPOT_Import!$A$1:$Z$2488,1050,'Live Data'!$C$17)),"")</f>
        <v>CRS</v>
      </c>
      <c r="G1050" s="54">
        <f>IFERROR(IF(INDEX(SPOT_Import!$A$1:$Z$2488,1050,'Live Data'!$C$18)="","",INDEX(SPOT_Import!$A$1:$Z$2488,1050,'Live Data'!$C$18)),"")</f>
        <v>4512</v>
      </c>
      <c r="H1050" s="54">
        <f>IFERROR(IF(INDEX(SPOT_Import!$A$1:$Z$2488,1050,'Live Data'!$C$19)="","",INDEX(SPOT_Import!$A$1:$Z$2488,1050,'Live Data'!$C$19)),"")</f>
        <v>4512</v>
      </c>
      <c r="I1050" s="54" t="str">
        <f>IFERROR(IF(INDEX(SPOT_Import!$A$1:$Z$2488,1050,'Live Data'!$C$20)="","",INDEX(SPOT_Import!$A$1:$Z$2488,1050,'Live Data'!$C$20)),"")</f>
        <v>Complete</v>
      </c>
      <c r="J1050" s="54" t="str">
        <f>IFERROR(IF(INDEX(SPOT_Import!$A$1:$Z$2488,1050,'Live Data'!$C$21)="","",INDEX(SPOT_Import!$A$1:$Z$2488,1050,'Live Data'!$C$21)),"")</f>
        <v>2023-03-03T08:58:53.000Z</v>
      </c>
      <c r="K1050" s="54" t="str">
        <f>IFERROR(IF(INDEX(SPOT_Import!$A$1:$Z$2488,1050,'Live Data'!$C$22)="","",INDEX(SPOT_Import!$A$1:$Z$2488,1050,'Live Data'!$C$22)),"")</f>
        <v>2023-03-03T08:58:53.000Z</v>
      </c>
      <c r="L1050" s="55" t="str">
        <f t="shared" si="32"/>
        <v>2023-03</v>
      </c>
      <c r="M1050" s="55" t="str">
        <f t="shared" si="33"/>
        <v>MERU</v>
      </c>
      <c r="N1050" s="55" t="str">
        <f>IF(A1050="","",IFERROR(INDEX('Cluster Map'!$A$4:$A$38,MATCH(M1050,'Cluster Map'!$B$4:$B$38,0)),"Unmapped"))</f>
        <v>Cluster 1</v>
      </c>
      <c r="O1050" s="55">
        <f>IF(A1050="",0,IF(COUNTIFS($A$2:A1050,A1050,$F$2:F1050,F1050,$L$2:L1050,L1050)=1,1,0))</f>
        <v>1</v>
      </c>
      <c r="P1050" s="55">
        <f>IF(A1050="",0,IF(AND(F1050="C&amp;T",COUNTIFS($A$2:A1050,A1050,$F$2:F1050,"C&amp;T")=1),1,0))</f>
        <v>0</v>
      </c>
    </row>
    <row r="1051" spans="1:16" x14ac:dyDescent="0.35">
      <c r="A1051" s="54">
        <f>IFERROR(IF(INDEX(SPOT_Import!$A$1:$Z$2488,1051,'Live Data'!$C$12)="","",INDEX(SPOT_Import!$A$1:$Z$2488,1051,'Live Data'!$C$12)),"")</f>
        <v>12569</v>
      </c>
      <c r="B1051" s="54" t="str">
        <f>IFERROR(IF(INDEX(SPOT_Import!$A$1:$Z$2488,1051,'Live Data'!$C$13)="","",INDEX(SPOT_Import!$A$1:$Z$2488,1051,'Live Data'!$C$13)),"")</f>
        <v>Mulutu Mission Dispensary</v>
      </c>
      <c r="C1051" s="54" t="str">
        <f>IFERROR(IF(INDEX(SPOT_Import!$A$1:$Z$2488,1051,'Live Data'!$C$14)="","",INDEX(SPOT_Import!$A$1:$Z$2488,1051,'Live Data'!$C$14)),"")</f>
        <v>KITUI</v>
      </c>
      <c r="D1051" s="54" t="str">
        <f>IFERROR(IF(INDEX(SPOT_Import!$A$1:$Z$2488,1051,'Live Data'!$C$15)="","",INDEX(SPOT_Import!$A$1:$Z$2488,1051,'Live Data'!$C$15)),"")</f>
        <v>Kitui Central</v>
      </c>
      <c r="E1051" s="54" t="str">
        <f>IFERROR(IF(INDEX(SPOT_Import!$A$1:$Z$2488,1051,'Live Data'!$C$16)="","",INDEX(SPOT_Import!$A$1:$Z$2488,1051,'Live Data'!$C$16)),"")</f>
        <v>CHAK CHAP STAWISHA</v>
      </c>
      <c r="F1051" s="54" t="str">
        <f>IFERROR(IF(INDEX(SPOT_Import!$A$1:$Z$2488,1051,'Live Data'!$C$17)="","",INDEX(SPOT_Import!$A$1:$Z$2488,1051,'Live Data'!$C$17)),"")</f>
        <v>CRS</v>
      </c>
      <c r="G1051" s="54">
        <f>IFERROR(IF(INDEX(SPOT_Import!$A$1:$Z$2488,1051,'Live Data'!$C$18)="","",INDEX(SPOT_Import!$A$1:$Z$2488,1051,'Live Data'!$C$18)),"")</f>
        <v>382</v>
      </c>
      <c r="H1051" s="54">
        <f>IFERROR(IF(INDEX(SPOT_Import!$A$1:$Z$2488,1051,'Live Data'!$C$19)="","",INDEX(SPOT_Import!$A$1:$Z$2488,1051,'Live Data'!$C$19)),"")</f>
        <v>382</v>
      </c>
      <c r="I1051" s="54" t="str">
        <f>IFERROR(IF(INDEX(SPOT_Import!$A$1:$Z$2488,1051,'Live Data'!$C$20)="","",INDEX(SPOT_Import!$A$1:$Z$2488,1051,'Live Data'!$C$20)),"")</f>
        <v>Complete</v>
      </c>
      <c r="J1051" s="54" t="str">
        <f>IFERROR(IF(INDEX(SPOT_Import!$A$1:$Z$2488,1051,'Live Data'!$C$21)="","",INDEX(SPOT_Import!$A$1:$Z$2488,1051,'Live Data'!$C$21)),"")</f>
        <v>2023-03-03T05:52:55.000Z</v>
      </c>
      <c r="K1051" s="54" t="str">
        <f>IFERROR(IF(INDEX(SPOT_Import!$A$1:$Z$2488,1051,'Live Data'!$C$22)="","",INDEX(SPOT_Import!$A$1:$Z$2488,1051,'Live Data'!$C$22)),"")</f>
        <v>2023-03-03T05:52:55.000Z</v>
      </c>
      <c r="L1051" s="55" t="str">
        <f t="shared" si="32"/>
        <v>2023-03</v>
      </c>
      <c r="M1051" s="55" t="str">
        <f t="shared" si="33"/>
        <v>KITUI</v>
      </c>
      <c r="N1051" s="55" t="str">
        <f>IF(A1051="","",IFERROR(INDEX('Cluster Map'!$A$4:$A$38,MATCH(M1051,'Cluster Map'!$B$4:$B$38,0)),"Unmapped"))</f>
        <v>Cluster 5</v>
      </c>
      <c r="O1051" s="55">
        <f>IF(A1051="",0,IF(COUNTIFS($A$2:A1051,A1051,$F$2:F1051,F1051,$L$2:L1051,L1051)=1,1,0))</f>
        <v>1</v>
      </c>
      <c r="P1051" s="55">
        <f>IF(A1051="",0,IF(AND(F1051="C&amp;T",COUNTIFS($A$2:A1051,A1051,$F$2:F1051,"C&amp;T")=1),1,0))</f>
        <v>0</v>
      </c>
    </row>
    <row r="1052" spans="1:16" x14ac:dyDescent="0.35">
      <c r="A1052" s="54">
        <f>IFERROR(IF(INDEX(SPOT_Import!$A$1:$Z$2488,1052,'Live Data'!$C$12)="","",INDEX(SPOT_Import!$A$1:$Z$2488,1052,'Live Data'!$C$12)),"")</f>
        <v>12860</v>
      </c>
      <c r="B1052" s="54" t="str">
        <f>IFERROR(IF(INDEX(SPOT_Import!$A$1:$Z$2488,1052,'Live Data'!$C$13)="","",INDEX(SPOT_Import!$A$1:$Z$2488,1052,'Live Data'!$C$13)),"")</f>
        <v>Zombe (AIC) Health Centre</v>
      </c>
      <c r="C1052" s="54" t="str">
        <f>IFERROR(IF(INDEX(SPOT_Import!$A$1:$Z$2488,1052,'Live Data'!$C$14)="","",INDEX(SPOT_Import!$A$1:$Z$2488,1052,'Live Data'!$C$14)),"")</f>
        <v>KITUI</v>
      </c>
      <c r="D1052" s="54" t="str">
        <f>IFERROR(IF(INDEX(SPOT_Import!$A$1:$Z$2488,1052,'Live Data'!$C$15)="","",INDEX(SPOT_Import!$A$1:$Z$2488,1052,'Live Data'!$C$15)),"")</f>
        <v>Kitui East</v>
      </c>
      <c r="E1052" s="54" t="str">
        <f>IFERROR(IF(INDEX(SPOT_Import!$A$1:$Z$2488,1052,'Live Data'!$C$16)="","",INDEX(SPOT_Import!$A$1:$Z$2488,1052,'Live Data'!$C$16)),"")</f>
        <v>CHAK CHAP STAWISHA</v>
      </c>
      <c r="F1052" s="54" t="str">
        <f>IFERROR(IF(INDEX(SPOT_Import!$A$1:$Z$2488,1052,'Live Data'!$C$17)="","",INDEX(SPOT_Import!$A$1:$Z$2488,1052,'Live Data'!$C$17)),"")</f>
        <v>CRS</v>
      </c>
      <c r="G1052" s="54">
        <f>IFERROR(IF(INDEX(SPOT_Import!$A$1:$Z$2488,1052,'Live Data'!$C$18)="","",INDEX(SPOT_Import!$A$1:$Z$2488,1052,'Live Data'!$C$18)),"")</f>
        <v>642</v>
      </c>
      <c r="H1052" s="54">
        <f>IFERROR(IF(INDEX(SPOT_Import!$A$1:$Z$2488,1052,'Live Data'!$C$19)="","",INDEX(SPOT_Import!$A$1:$Z$2488,1052,'Live Data'!$C$19)),"")</f>
        <v>642</v>
      </c>
      <c r="I1052" s="54" t="str">
        <f>IFERROR(IF(INDEX(SPOT_Import!$A$1:$Z$2488,1052,'Live Data'!$C$20)="","",INDEX(SPOT_Import!$A$1:$Z$2488,1052,'Live Data'!$C$20)),"")</f>
        <v>Complete</v>
      </c>
      <c r="J1052" s="54" t="str">
        <f>IFERROR(IF(INDEX(SPOT_Import!$A$1:$Z$2488,1052,'Live Data'!$C$21)="","",INDEX(SPOT_Import!$A$1:$Z$2488,1052,'Live Data'!$C$21)),"")</f>
        <v>2023-03-02T06:28:37.000Z</v>
      </c>
      <c r="K1052" s="54" t="str">
        <f>IFERROR(IF(INDEX(SPOT_Import!$A$1:$Z$2488,1052,'Live Data'!$C$22)="","",INDEX(SPOT_Import!$A$1:$Z$2488,1052,'Live Data'!$C$22)),"")</f>
        <v>2023-03-02T06:28:37.000Z</v>
      </c>
      <c r="L1052" s="55" t="str">
        <f t="shared" si="32"/>
        <v>2023-03</v>
      </c>
      <c r="M1052" s="55" t="str">
        <f t="shared" si="33"/>
        <v>KITUI</v>
      </c>
      <c r="N1052" s="55" t="str">
        <f>IF(A1052="","",IFERROR(INDEX('Cluster Map'!$A$4:$A$38,MATCH(M1052,'Cluster Map'!$B$4:$B$38,0)),"Unmapped"))</f>
        <v>Cluster 5</v>
      </c>
      <c r="O1052" s="55">
        <f>IF(A1052="",0,IF(COUNTIFS($A$2:A1052,A1052,$F$2:F1052,F1052,$L$2:L1052,L1052)=1,1,0))</f>
        <v>1</v>
      </c>
      <c r="P1052" s="55">
        <f>IF(A1052="",0,IF(AND(F1052="C&amp;T",COUNTIFS($A$2:A1052,A1052,$F$2:F1052,"C&amp;T")=1),1,0))</f>
        <v>0</v>
      </c>
    </row>
    <row r="1053" spans="1:16" x14ac:dyDescent="0.35">
      <c r="A1053" s="54">
        <f>IFERROR(IF(INDEX(SPOT_Import!$A$1:$Z$2488,1053,'Live Data'!$C$12)="","",INDEX(SPOT_Import!$A$1:$Z$2488,1053,'Live Data'!$C$12)),"")</f>
        <v>12277</v>
      </c>
      <c r="B1053" s="54" t="str">
        <f>IFERROR(IF(INDEX(SPOT_Import!$A$1:$Z$2488,1053,'Live Data'!$C$13)="","",INDEX(SPOT_Import!$A$1:$Z$2488,1053,'Live Data'!$C$13)),"")</f>
        <v>Kiangondu Dispensary</v>
      </c>
      <c r="C1053" s="54" t="str">
        <f>IFERROR(IF(INDEX(SPOT_Import!$A$1:$Z$2488,1053,'Live Data'!$C$14)="","",INDEX(SPOT_Import!$A$1:$Z$2488,1053,'Live Data'!$C$14)),"")</f>
        <v>THARAKA - NITHI</v>
      </c>
      <c r="D1053" s="54" t="str">
        <f>IFERROR(IF(INDEX(SPOT_Import!$A$1:$Z$2488,1053,'Live Data'!$C$15)="","",INDEX(SPOT_Import!$A$1:$Z$2488,1053,'Live Data'!$C$15)),"")</f>
        <v>CHUKA</v>
      </c>
      <c r="E1053" s="54" t="str">
        <f>IFERROR(IF(INDEX(SPOT_Import!$A$1:$Z$2488,1053,'Live Data'!$C$16)="","",INDEX(SPOT_Import!$A$1:$Z$2488,1053,'Live Data'!$C$16)),"")</f>
        <v>CHAK CHAP STAWISHA</v>
      </c>
      <c r="F1053" s="54" t="str">
        <f>IFERROR(IF(INDEX(SPOT_Import!$A$1:$Z$2488,1053,'Live Data'!$C$17)="","",INDEX(SPOT_Import!$A$1:$Z$2488,1053,'Live Data'!$C$17)),"")</f>
        <v>CRS</v>
      </c>
      <c r="G1053" s="54">
        <f>IFERROR(IF(INDEX(SPOT_Import!$A$1:$Z$2488,1053,'Live Data'!$C$18)="","",INDEX(SPOT_Import!$A$1:$Z$2488,1053,'Live Data'!$C$18)),"")</f>
        <v>163</v>
      </c>
      <c r="H1053" s="54">
        <f>IFERROR(IF(INDEX(SPOT_Import!$A$1:$Z$2488,1053,'Live Data'!$C$19)="","",INDEX(SPOT_Import!$A$1:$Z$2488,1053,'Live Data'!$C$19)),"")</f>
        <v>163</v>
      </c>
      <c r="I1053" s="54" t="str">
        <f>IFERROR(IF(INDEX(SPOT_Import!$A$1:$Z$2488,1053,'Live Data'!$C$20)="","",INDEX(SPOT_Import!$A$1:$Z$2488,1053,'Live Data'!$C$20)),"")</f>
        <v>Complete</v>
      </c>
      <c r="J1053" s="54" t="str">
        <f>IFERROR(IF(INDEX(SPOT_Import!$A$1:$Z$2488,1053,'Live Data'!$C$21)="","",INDEX(SPOT_Import!$A$1:$Z$2488,1053,'Live Data'!$C$21)),"")</f>
        <v>2023-03-01T09:56:16.000Z</v>
      </c>
      <c r="K1053" s="54" t="str">
        <f>IFERROR(IF(INDEX(SPOT_Import!$A$1:$Z$2488,1053,'Live Data'!$C$22)="","",INDEX(SPOT_Import!$A$1:$Z$2488,1053,'Live Data'!$C$22)),"")</f>
        <v>2023-03-01T09:56:16.000Z</v>
      </c>
      <c r="L1053" s="55" t="str">
        <f t="shared" si="32"/>
        <v>2023-03</v>
      </c>
      <c r="M1053" s="55" t="str">
        <f t="shared" si="33"/>
        <v>THARAKA-NITHI</v>
      </c>
      <c r="N1053" s="55" t="str">
        <f>IF(A1053="","",IFERROR(INDEX('Cluster Map'!$A$4:$A$38,MATCH(M1053,'Cluster Map'!$B$4:$B$38,0)),"Unmapped"))</f>
        <v>Cluster 2</v>
      </c>
      <c r="O1053" s="55">
        <f>IF(A1053="",0,IF(COUNTIFS($A$2:A1053,A1053,$F$2:F1053,F1053,$L$2:L1053,L1053)=1,1,0))</f>
        <v>1</v>
      </c>
      <c r="P1053" s="55">
        <f>IF(A1053="",0,IF(AND(F1053="C&amp;T",COUNTIFS($A$2:A1053,A1053,$F$2:F1053,"C&amp;T")=1),1,0))</f>
        <v>0</v>
      </c>
    </row>
    <row r="1054" spans="1:16" x14ac:dyDescent="0.35">
      <c r="A1054" s="54">
        <f>IFERROR(IF(INDEX(SPOT_Import!$A$1:$Z$2488,1054,'Live Data'!$C$12)="","",INDEX(SPOT_Import!$A$1:$Z$2488,1054,'Live Data'!$C$12)),"")</f>
        <v>12604</v>
      </c>
      <c r="B1054" s="54" t="str">
        <f>IFERROR(IF(INDEX(SPOT_Import!$A$1:$Z$2488,1054,'Live Data'!$C$13)="","",INDEX(SPOT_Import!$A$1:$Z$2488,1054,'Live Data'!$C$13)),"")</f>
        <v>Our Lady of Lourdes Mutomo  Hospital</v>
      </c>
      <c r="C1054" s="54" t="str">
        <f>IFERROR(IF(INDEX(SPOT_Import!$A$1:$Z$2488,1054,'Live Data'!$C$14)="","",INDEX(SPOT_Import!$A$1:$Z$2488,1054,'Live Data'!$C$14)),"")</f>
        <v>KITUI</v>
      </c>
      <c r="D1054" s="54" t="str">
        <f>IFERROR(IF(INDEX(SPOT_Import!$A$1:$Z$2488,1054,'Live Data'!$C$15)="","",INDEX(SPOT_Import!$A$1:$Z$2488,1054,'Live Data'!$C$15)),"")</f>
        <v>Kitui South</v>
      </c>
      <c r="E1054" s="54" t="str">
        <f>IFERROR(IF(INDEX(SPOT_Import!$A$1:$Z$2488,1054,'Live Data'!$C$16)="","",INDEX(SPOT_Import!$A$1:$Z$2488,1054,'Live Data'!$C$16)),"")</f>
        <v>CHAK CHAP STAWISHA</v>
      </c>
      <c r="F1054" s="54" t="str">
        <f>IFERROR(IF(INDEX(SPOT_Import!$A$1:$Z$2488,1054,'Live Data'!$C$17)="","",INDEX(SPOT_Import!$A$1:$Z$2488,1054,'Live Data'!$C$17)),"")</f>
        <v>CRS</v>
      </c>
      <c r="G1054" s="54">
        <f>IFERROR(IF(INDEX(SPOT_Import!$A$1:$Z$2488,1054,'Live Data'!$C$18)="","",INDEX(SPOT_Import!$A$1:$Z$2488,1054,'Live Data'!$C$18)),"")</f>
        <v>2933</v>
      </c>
      <c r="H1054" s="54">
        <f>IFERROR(IF(INDEX(SPOT_Import!$A$1:$Z$2488,1054,'Live Data'!$C$19)="","",INDEX(SPOT_Import!$A$1:$Z$2488,1054,'Live Data'!$C$19)),"")</f>
        <v>2933</v>
      </c>
      <c r="I1054" s="54" t="str">
        <f>IFERROR(IF(INDEX(SPOT_Import!$A$1:$Z$2488,1054,'Live Data'!$C$20)="","",INDEX(SPOT_Import!$A$1:$Z$2488,1054,'Live Data'!$C$20)),"")</f>
        <v>Complete</v>
      </c>
      <c r="J1054" s="54" t="str">
        <f>IFERROR(IF(INDEX(SPOT_Import!$A$1:$Z$2488,1054,'Live Data'!$C$21)="","",INDEX(SPOT_Import!$A$1:$Z$2488,1054,'Live Data'!$C$21)),"")</f>
        <v>2023-03-01T09:19:03.000Z</v>
      </c>
      <c r="K1054" s="54" t="str">
        <f>IFERROR(IF(INDEX(SPOT_Import!$A$1:$Z$2488,1054,'Live Data'!$C$22)="","",INDEX(SPOT_Import!$A$1:$Z$2488,1054,'Live Data'!$C$22)),"")</f>
        <v>2023-03-01T09:19:03.000Z</v>
      </c>
      <c r="L1054" s="55" t="str">
        <f t="shared" si="32"/>
        <v>2023-03</v>
      </c>
      <c r="M1054" s="55" t="str">
        <f t="shared" si="33"/>
        <v>KITUI</v>
      </c>
      <c r="N1054" s="55" t="str">
        <f>IF(A1054="","",IFERROR(INDEX('Cluster Map'!$A$4:$A$38,MATCH(M1054,'Cluster Map'!$B$4:$B$38,0)),"Unmapped"))</f>
        <v>Cluster 5</v>
      </c>
      <c r="O1054" s="55">
        <f>IF(A1054="",0,IF(COUNTIFS($A$2:A1054,A1054,$F$2:F1054,F1054,$L$2:L1054,L1054)=1,1,0))</f>
        <v>1</v>
      </c>
      <c r="P1054" s="55">
        <f>IF(A1054="",0,IF(AND(F1054="C&amp;T",COUNTIFS($A$2:A1054,A1054,$F$2:F1054,"C&amp;T")=1),1,0))</f>
        <v>0</v>
      </c>
    </row>
    <row r="1055" spans="1:16" x14ac:dyDescent="0.35">
      <c r="A1055" s="54">
        <f>IFERROR(IF(INDEX(SPOT_Import!$A$1:$Z$2488,1055,'Live Data'!$C$12)="","",INDEX(SPOT_Import!$A$1:$Z$2488,1055,'Live Data'!$C$12)),"")</f>
        <v>12489</v>
      </c>
      <c r="B1055" s="54" t="str">
        <f>IFERROR(IF(INDEX(SPOT_Import!$A$1:$Z$2488,1055,'Live Data'!$C$13)="","",INDEX(SPOT_Import!$A$1:$Z$2488,1055,'Live Data'!$C$13)),"")</f>
        <v>Matuu Mission Health Centre</v>
      </c>
      <c r="C1055" s="54" t="str">
        <f>IFERROR(IF(INDEX(SPOT_Import!$A$1:$Z$2488,1055,'Live Data'!$C$14)="","",INDEX(SPOT_Import!$A$1:$Z$2488,1055,'Live Data'!$C$14)),"")</f>
        <v>MACHAKOS</v>
      </c>
      <c r="D1055" s="54" t="str">
        <f>IFERROR(IF(INDEX(SPOT_Import!$A$1:$Z$2488,1055,'Live Data'!$C$15)="","",INDEX(SPOT_Import!$A$1:$Z$2488,1055,'Live Data'!$C$15)),"")</f>
        <v>Yatta</v>
      </c>
      <c r="E1055" s="54" t="str">
        <f>IFERROR(IF(INDEX(SPOT_Import!$A$1:$Z$2488,1055,'Live Data'!$C$16)="","",INDEX(SPOT_Import!$A$1:$Z$2488,1055,'Live Data'!$C$16)),"")</f>
        <v>CHAK CHAP STAWISHA</v>
      </c>
      <c r="F1055" s="54" t="str">
        <f>IFERROR(IF(INDEX(SPOT_Import!$A$1:$Z$2488,1055,'Live Data'!$C$17)="","",INDEX(SPOT_Import!$A$1:$Z$2488,1055,'Live Data'!$C$17)),"")</f>
        <v>PKV</v>
      </c>
      <c r="G1055" s="54">
        <f>IFERROR(IF(INDEX(SPOT_Import!$A$1:$Z$2488,1055,'Live Data'!$C$18)="","",INDEX(SPOT_Import!$A$1:$Z$2488,1055,'Live Data'!$C$18)),"")</f>
        <v>2199</v>
      </c>
      <c r="H1055" s="54" t="str">
        <f>IFERROR(IF(INDEX(SPOT_Import!$A$1:$Z$2488,1055,'Live Data'!$C$19)="","",INDEX(SPOT_Import!$A$1:$Z$2488,1055,'Live Data'!$C$19)),"")</f>
        <v/>
      </c>
      <c r="I1055" s="54" t="str">
        <f>IFERROR(IF(INDEX(SPOT_Import!$A$1:$Z$2488,1055,'Live Data'!$C$20)="","",INDEX(SPOT_Import!$A$1:$Z$2488,1055,'Live Data'!$C$20)),"")</f>
        <v>Complete</v>
      </c>
      <c r="J1055" s="54" t="str">
        <f>IFERROR(IF(INDEX(SPOT_Import!$A$1:$Z$2488,1055,'Live Data'!$C$21)="","",INDEX(SPOT_Import!$A$1:$Z$2488,1055,'Live Data'!$C$21)),"")</f>
        <v>2023-02-09T06:16:35.000Z</v>
      </c>
      <c r="K1055" s="54" t="str">
        <f>IFERROR(IF(INDEX(SPOT_Import!$A$1:$Z$2488,1055,'Live Data'!$C$22)="","",INDEX(SPOT_Import!$A$1:$Z$2488,1055,'Live Data'!$C$22)),"")</f>
        <v>2023-02-09T06:16:35.000Z</v>
      </c>
      <c r="L1055" s="55" t="str">
        <f t="shared" si="32"/>
        <v>2023-02</v>
      </c>
      <c r="M1055" s="55" t="str">
        <f t="shared" si="33"/>
        <v>MACHAKOS</v>
      </c>
      <c r="N1055" s="55" t="str">
        <f>IF(A1055="","",IFERROR(INDEX('Cluster Map'!$A$4:$A$38,MATCH(M1055,'Cluster Map'!$B$4:$B$38,0)),"Unmapped"))</f>
        <v>Cluster 5</v>
      </c>
      <c r="O1055" s="55">
        <f>IF(A1055="",0,IF(COUNTIFS($A$2:A1055,A1055,$F$2:F1055,F1055,$L$2:L1055,L1055)=1,1,0))</f>
        <v>1</v>
      </c>
      <c r="P1055" s="55">
        <f>IF(A1055="",0,IF(AND(F1055="C&amp;T",COUNTIFS($A$2:A1055,A1055,$F$2:F1055,"C&amp;T")=1),1,0))</f>
        <v>0</v>
      </c>
    </row>
    <row r="1056" spans="1:16" x14ac:dyDescent="0.35">
      <c r="A1056" s="54">
        <f>IFERROR(IF(INDEX(SPOT_Import!$A$1:$Z$2488,1056,'Live Data'!$C$12)="","",INDEX(SPOT_Import!$A$1:$Z$2488,1056,'Live Data'!$C$12)),"")</f>
        <v>15282</v>
      </c>
      <c r="B1056" s="54" t="str">
        <f>IFERROR(IF(INDEX(SPOT_Import!$A$1:$Z$2488,1056,'Live Data'!$C$13)="","",INDEX(SPOT_Import!$A$1:$Z$2488,1056,'Live Data'!$C$13)),"")</f>
        <v>Naivasha (AIC) Medical Centre</v>
      </c>
      <c r="C1056" s="54" t="str">
        <f>IFERROR(IF(INDEX(SPOT_Import!$A$1:$Z$2488,1056,'Live Data'!$C$14)="","",INDEX(SPOT_Import!$A$1:$Z$2488,1056,'Live Data'!$C$14)),"")</f>
        <v>NAKURU</v>
      </c>
      <c r="D1056" s="54" t="str">
        <f>IFERROR(IF(INDEX(SPOT_Import!$A$1:$Z$2488,1056,'Live Data'!$C$15)="","",INDEX(SPOT_Import!$A$1:$Z$2488,1056,'Live Data'!$C$15)),"")</f>
        <v>Naivasha</v>
      </c>
      <c r="E1056" s="54" t="str">
        <f>IFERROR(IF(INDEX(SPOT_Import!$A$1:$Z$2488,1056,'Live Data'!$C$16)="","",INDEX(SPOT_Import!$A$1:$Z$2488,1056,'Live Data'!$C$16)),"")</f>
        <v>CHAK CHAP STAWISHA</v>
      </c>
      <c r="F1056" s="54" t="str">
        <f>IFERROR(IF(INDEX(SPOT_Import!$A$1:$Z$2488,1056,'Live Data'!$C$17)="","",INDEX(SPOT_Import!$A$1:$Z$2488,1056,'Live Data'!$C$17)),"")</f>
        <v>PKV</v>
      </c>
      <c r="G1056" s="54">
        <f>IFERROR(IF(INDEX(SPOT_Import!$A$1:$Z$2488,1056,'Live Data'!$C$18)="","",INDEX(SPOT_Import!$A$1:$Z$2488,1056,'Live Data'!$C$18)),"")</f>
        <v>13557</v>
      </c>
      <c r="H1056" s="54" t="str">
        <f>IFERROR(IF(INDEX(SPOT_Import!$A$1:$Z$2488,1056,'Live Data'!$C$19)="","",INDEX(SPOT_Import!$A$1:$Z$2488,1056,'Live Data'!$C$19)),"")</f>
        <v/>
      </c>
      <c r="I1056" s="54" t="str">
        <f>IFERROR(IF(INDEX(SPOT_Import!$A$1:$Z$2488,1056,'Live Data'!$C$20)="","",INDEX(SPOT_Import!$A$1:$Z$2488,1056,'Live Data'!$C$20)),"")</f>
        <v>Complete</v>
      </c>
      <c r="J1056" s="54" t="str">
        <f>IFERROR(IF(INDEX(SPOT_Import!$A$1:$Z$2488,1056,'Live Data'!$C$21)="","",INDEX(SPOT_Import!$A$1:$Z$2488,1056,'Live Data'!$C$21)),"")</f>
        <v>2023-02-07T13:34:10.000Z</v>
      </c>
      <c r="K1056" s="54" t="str">
        <f>IFERROR(IF(INDEX(SPOT_Import!$A$1:$Z$2488,1056,'Live Data'!$C$22)="","",INDEX(SPOT_Import!$A$1:$Z$2488,1056,'Live Data'!$C$22)),"")</f>
        <v>2023-02-07T13:34:10.000Z</v>
      </c>
      <c r="L1056" s="55" t="str">
        <f t="shared" si="32"/>
        <v>2023-02</v>
      </c>
      <c r="M1056" s="55" t="str">
        <f t="shared" si="33"/>
        <v>NAKURU</v>
      </c>
      <c r="N1056" s="55" t="str">
        <f>IF(A1056="","",IFERROR(INDEX('Cluster Map'!$A$4:$A$38,MATCH(M1056,'Cluster Map'!$B$4:$B$38,0)),"Unmapped"))</f>
        <v>Cluster 4</v>
      </c>
      <c r="O1056" s="55">
        <f>IF(A1056="",0,IF(COUNTIFS($A$2:A1056,A1056,$F$2:F1056,F1056,$L$2:L1056,L1056)=1,1,0))</f>
        <v>1</v>
      </c>
      <c r="P1056" s="55">
        <f>IF(A1056="",0,IF(AND(F1056="C&amp;T",COUNTIFS($A$2:A1056,A1056,$F$2:F1056,"C&amp;T")=1),1,0))</f>
        <v>0</v>
      </c>
    </row>
    <row r="1057" spans="1:16" x14ac:dyDescent="0.35">
      <c r="A1057" s="54">
        <f>IFERROR(IF(INDEX(SPOT_Import!$A$1:$Z$2488,1057,'Live Data'!$C$12)="","",INDEX(SPOT_Import!$A$1:$Z$2488,1057,'Live Data'!$C$12)),"")</f>
        <v>12502</v>
      </c>
      <c r="B1057" s="54" t="str">
        <f>IFERROR(IF(INDEX(SPOT_Import!$A$1:$Z$2488,1057,'Live Data'!$C$13)="","",INDEX(SPOT_Import!$A$1:$Z$2488,1057,'Live Data'!$C$13)),"")</f>
        <v>Mbitini Catholic Dispensary</v>
      </c>
      <c r="C1057" s="54" t="str">
        <f>IFERROR(IF(INDEX(SPOT_Import!$A$1:$Z$2488,1057,'Live Data'!$C$14)="","",INDEX(SPOT_Import!$A$1:$Z$2488,1057,'Live Data'!$C$14)),"")</f>
        <v>MAKUENI</v>
      </c>
      <c r="D1057" s="54" t="str">
        <f>IFERROR(IF(INDEX(SPOT_Import!$A$1:$Z$2488,1057,'Live Data'!$C$15)="","",INDEX(SPOT_Import!$A$1:$Z$2488,1057,'Live Data'!$C$15)),"")</f>
        <v>Kibwezi West</v>
      </c>
      <c r="E1057" s="54" t="str">
        <f>IFERROR(IF(INDEX(SPOT_Import!$A$1:$Z$2488,1057,'Live Data'!$C$16)="","",INDEX(SPOT_Import!$A$1:$Z$2488,1057,'Live Data'!$C$16)),"")</f>
        <v>CHAK CHAP STAWISHA</v>
      </c>
      <c r="F1057" s="54" t="str">
        <f>IFERROR(IF(INDEX(SPOT_Import!$A$1:$Z$2488,1057,'Live Data'!$C$17)="","",INDEX(SPOT_Import!$A$1:$Z$2488,1057,'Live Data'!$C$17)),"")</f>
        <v>PKV</v>
      </c>
      <c r="G1057" s="54">
        <f>IFERROR(IF(INDEX(SPOT_Import!$A$1:$Z$2488,1057,'Live Data'!$C$18)="","",INDEX(SPOT_Import!$A$1:$Z$2488,1057,'Live Data'!$C$18)),"")</f>
        <v>874</v>
      </c>
      <c r="H1057" s="54" t="str">
        <f>IFERROR(IF(INDEX(SPOT_Import!$A$1:$Z$2488,1057,'Live Data'!$C$19)="","",INDEX(SPOT_Import!$A$1:$Z$2488,1057,'Live Data'!$C$19)),"")</f>
        <v/>
      </c>
      <c r="I1057" s="54" t="str">
        <f>IFERROR(IF(INDEX(SPOT_Import!$A$1:$Z$2488,1057,'Live Data'!$C$20)="","",INDEX(SPOT_Import!$A$1:$Z$2488,1057,'Live Data'!$C$20)),"")</f>
        <v>Complete</v>
      </c>
      <c r="J1057" s="54" t="str">
        <f>IFERROR(IF(INDEX(SPOT_Import!$A$1:$Z$2488,1057,'Live Data'!$C$21)="","",INDEX(SPOT_Import!$A$1:$Z$2488,1057,'Live Data'!$C$21)),"")</f>
        <v>2023-02-07T08:00:33.000Z</v>
      </c>
      <c r="K1057" s="54" t="str">
        <f>IFERROR(IF(INDEX(SPOT_Import!$A$1:$Z$2488,1057,'Live Data'!$C$22)="","",INDEX(SPOT_Import!$A$1:$Z$2488,1057,'Live Data'!$C$22)),"")</f>
        <v>2023-02-07T08:00:33.000Z</v>
      </c>
      <c r="L1057" s="55" t="str">
        <f t="shared" si="32"/>
        <v>2023-02</v>
      </c>
      <c r="M1057" s="55" t="str">
        <f t="shared" si="33"/>
        <v>MAKUENI</v>
      </c>
      <c r="N1057" s="55" t="str">
        <f>IF(A1057="","",IFERROR(INDEX('Cluster Map'!$A$4:$A$38,MATCH(M1057,'Cluster Map'!$B$4:$B$38,0)),"Unmapped"))</f>
        <v>Cluster 5</v>
      </c>
      <c r="O1057" s="55">
        <f>IF(A1057="",0,IF(COUNTIFS($A$2:A1057,A1057,$F$2:F1057,F1057,$L$2:L1057,L1057)=1,1,0))</f>
        <v>1</v>
      </c>
      <c r="P1057" s="55">
        <f>IF(A1057="",0,IF(AND(F1057="C&amp;T",COUNTIFS($A$2:A1057,A1057,$F$2:F1057,"C&amp;T")=1),1,0))</f>
        <v>0</v>
      </c>
    </row>
    <row r="1058" spans="1:16" x14ac:dyDescent="0.35">
      <c r="A1058" s="54">
        <f>IFERROR(IF(INDEX(SPOT_Import!$A$1:$Z$2488,1058,'Live Data'!$C$12)="","",INDEX(SPOT_Import!$A$1:$Z$2488,1058,'Live Data'!$C$12)),"")</f>
        <v>12456</v>
      </c>
      <c r="B1058" s="54" t="str">
        <f>IFERROR(IF(INDEX(SPOT_Import!$A$1:$Z$2488,1058,'Live Data'!$C$13)="","",INDEX(SPOT_Import!$A$1:$Z$2488,1058,'Live Data'!$C$13)),"")</f>
        <v>Makueni Catholic Dispensary</v>
      </c>
      <c r="C1058" s="54" t="str">
        <f>IFERROR(IF(INDEX(SPOT_Import!$A$1:$Z$2488,1058,'Live Data'!$C$14)="","",INDEX(SPOT_Import!$A$1:$Z$2488,1058,'Live Data'!$C$14)),"")</f>
        <v>MAKUENI</v>
      </c>
      <c r="D1058" s="54" t="str">
        <f>IFERROR(IF(INDEX(SPOT_Import!$A$1:$Z$2488,1058,'Live Data'!$C$15)="","",INDEX(SPOT_Import!$A$1:$Z$2488,1058,'Live Data'!$C$15)),"")</f>
        <v>Makueni</v>
      </c>
      <c r="E1058" s="54" t="str">
        <f>IFERROR(IF(INDEX(SPOT_Import!$A$1:$Z$2488,1058,'Live Data'!$C$16)="","",INDEX(SPOT_Import!$A$1:$Z$2488,1058,'Live Data'!$C$16)),"")</f>
        <v>CHAK CHAP STAWISHA</v>
      </c>
      <c r="F1058" s="54" t="str">
        <f>IFERROR(IF(INDEX(SPOT_Import!$A$1:$Z$2488,1058,'Live Data'!$C$17)="","",INDEX(SPOT_Import!$A$1:$Z$2488,1058,'Live Data'!$C$17)),"")</f>
        <v>PKV</v>
      </c>
      <c r="G1058" s="54">
        <f>IFERROR(IF(INDEX(SPOT_Import!$A$1:$Z$2488,1058,'Live Data'!$C$18)="","",INDEX(SPOT_Import!$A$1:$Z$2488,1058,'Live Data'!$C$18)),"")</f>
        <v>534</v>
      </c>
      <c r="H1058" s="54" t="str">
        <f>IFERROR(IF(INDEX(SPOT_Import!$A$1:$Z$2488,1058,'Live Data'!$C$19)="","",INDEX(SPOT_Import!$A$1:$Z$2488,1058,'Live Data'!$C$19)),"")</f>
        <v/>
      </c>
      <c r="I1058" s="54" t="str">
        <f>IFERROR(IF(INDEX(SPOT_Import!$A$1:$Z$2488,1058,'Live Data'!$C$20)="","",INDEX(SPOT_Import!$A$1:$Z$2488,1058,'Live Data'!$C$20)),"")</f>
        <v>Complete</v>
      </c>
      <c r="J1058" s="54" t="str">
        <f>IFERROR(IF(INDEX(SPOT_Import!$A$1:$Z$2488,1058,'Live Data'!$C$21)="","",INDEX(SPOT_Import!$A$1:$Z$2488,1058,'Live Data'!$C$21)),"")</f>
        <v>2023-02-07T06:26:30.000Z</v>
      </c>
      <c r="K1058" s="54" t="str">
        <f>IFERROR(IF(INDEX(SPOT_Import!$A$1:$Z$2488,1058,'Live Data'!$C$22)="","",INDEX(SPOT_Import!$A$1:$Z$2488,1058,'Live Data'!$C$22)),"")</f>
        <v>2023-02-07T06:26:30.000Z</v>
      </c>
      <c r="L1058" s="55" t="str">
        <f t="shared" si="32"/>
        <v>2023-02</v>
      </c>
      <c r="M1058" s="55" t="str">
        <f t="shared" si="33"/>
        <v>MAKUENI</v>
      </c>
      <c r="N1058" s="55" t="str">
        <f>IF(A1058="","",IFERROR(INDEX('Cluster Map'!$A$4:$A$38,MATCH(M1058,'Cluster Map'!$B$4:$B$38,0)),"Unmapped"))</f>
        <v>Cluster 5</v>
      </c>
      <c r="O1058" s="55">
        <f>IF(A1058="",0,IF(COUNTIFS($A$2:A1058,A1058,$F$2:F1058,F1058,$L$2:L1058,L1058)=1,1,0))</f>
        <v>1</v>
      </c>
      <c r="P1058" s="55">
        <f>IF(A1058="",0,IF(AND(F1058="C&amp;T",COUNTIFS($A$2:A1058,A1058,$F$2:F1058,"C&amp;T")=1),1,0))</f>
        <v>0</v>
      </c>
    </row>
    <row r="1059" spans="1:16" x14ac:dyDescent="0.35">
      <c r="A1059" s="54">
        <f>IFERROR(IF(INDEX(SPOT_Import!$A$1:$Z$2488,1059,'Live Data'!$C$12)="","",INDEX(SPOT_Import!$A$1:$Z$2488,1059,'Live Data'!$C$12)),"")</f>
        <v>10887</v>
      </c>
      <c r="B1059" s="54" t="str">
        <f>IFERROR(IF(INDEX(SPOT_Import!$A$1:$Z$2488,1059,'Live Data'!$C$13)="","",INDEX(SPOT_Import!$A$1:$Z$2488,1059,'Live Data'!$C$13)),"")</f>
        <v>North Kinangop Catholic Hospital</v>
      </c>
      <c r="C1059" s="54" t="str">
        <f>IFERROR(IF(INDEX(SPOT_Import!$A$1:$Z$2488,1059,'Live Data'!$C$14)="","",INDEX(SPOT_Import!$A$1:$Z$2488,1059,'Live Data'!$C$14)),"")</f>
        <v>NYANDARUA</v>
      </c>
      <c r="D1059" s="54" t="str">
        <f>IFERROR(IF(INDEX(SPOT_Import!$A$1:$Z$2488,1059,'Live Data'!$C$15)="","",INDEX(SPOT_Import!$A$1:$Z$2488,1059,'Live Data'!$C$15)),"")</f>
        <v>Kinangop</v>
      </c>
      <c r="E1059" s="54" t="str">
        <f>IFERROR(IF(INDEX(SPOT_Import!$A$1:$Z$2488,1059,'Live Data'!$C$16)="","",INDEX(SPOT_Import!$A$1:$Z$2488,1059,'Live Data'!$C$16)),"")</f>
        <v>CHAK CHAP STAWISHA</v>
      </c>
      <c r="F1059" s="54" t="str">
        <f>IFERROR(IF(INDEX(SPOT_Import!$A$1:$Z$2488,1059,'Live Data'!$C$17)="","",INDEX(SPOT_Import!$A$1:$Z$2488,1059,'Live Data'!$C$17)),"")</f>
        <v>PKV</v>
      </c>
      <c r="G1059" s="54">
        <f>IFERROR(IF(INDEX(SPOT_Import!$A$1:$Z$2488,1059,'Live Data'!$C$18)="","",INDEX(SPOT_Import!$A$1:$Z$2488,1059,'Live Data'!$C$18)),"")</f>
        <v>206287</v>
      </c>
      <c r="H1059" s="54" t="str">
        <f>IFERROR(IF(INDEX(SPOT_Import!$A$1:$Z$2488,1059,'Live Data'!$C$19)="","",INDEX(SPOT_Import!$A$1:$Z$2488,1059,'Live Data'!$C$19)),"")</f>
        <v/>
      </c>
      <c r="I1059" s="54" t="str">
        <f>IFERROR(IF(INDEX(SPOT_Import!$A$1:$Z$2488,1059,'Live Data'!$C$20)="","",INDEX(SPOT_Import!$A$1:$Z$2488,1059,'Live Data'!$C$20)),"")</f>
        <v>Complete</v>
      </c>
      <c r="J1059" s="54" t="str">
        <f>IFERROR(IF(INDEX(SPOT_Import!$A$1:$Z$2488,1059,'Live Data'!$C$21)="","",INDEX(SPOT_Import!$A$1:$Z$2488,1059,'Live Data'!$C$21)),"")</f>
        <v>2023-02-06T15:06:24.000Z</v>
      </c>
      <c r="K1059" s="54" t="str">
        <f>IFERROR(IF(INDEX(SPOT_Import!$A$1:$Z$2488,1059,'Live Data'!$C$22)="","",INDEX(SPOT_Import!$A$1:$Z$2488,1059,'Live Data'!$C$22)),"")</f>
        <v>2023-02-06T15:06:24.000Z</v>
      </c>
      <c r="L1059" s="55" t="str">
        <f t="shared" si="32"/>
        <v>2023-02</v>
      </c>
      <c r="M1059" s="55" t="str">
        <f t="shared" si="33"/>
        <v>NYANDARUA</v>
      </c>
      <c r="N1059" s="55" t="str">
        <f>IF(A1059="","",IFERROR(INDEX('Cluster Map'!$A$4:$A$38,MATCH(M1059,'Cluster Map'!$B$4:$B$38,0)),"Unmapped"))</f>
        <v>Cluster 4</v>
      </c>
      <c r="O1059" s="55">
        <f>IF(A1059="",0,IF(COUNTIFS($A$2:A1059,A1059,$F$2:F1059,F1059,$L$2:L1059,L1059)=1,1,0))</f>
        <v>1</v>
      </c>
      <c r="P1059" s="55">
        <f>IF(A1059="",0,IF(AND(F1059="C&amp;T",COUNTIFS($A$2:A1059,A1059,$F$2:F1059,"C&amp;T")=1),1,0))</f>
        <v>0</v>
      </c>
    </row>
    <row r="1060" spans="1:16" x14ac:dyDescent="0.35">
      <c r="A1060" s="54">
        <f>IFERROR(IF(INDEX(SPOT_Import!$A$1:$Z$2488,1060,'Live Data'!$C$12)="","",INDEX(SPOT_Import!$A$1:$Z$2488,1060,'Live Data'!$C$12)),"")</f>
        <v>17431</v>
      </c>
      <c r="B1060" s="54" t="str">
        <f>IFERROR(IF(INDEX(SPOT_Import!$A$1:$Z$2488,1060,'Live Data'!$C$13)="","",INDEX(SPOT_Import!$A$1:$Z$2488,1060,'Live Data'!$C$13)),"")</f>
        <v>AIC Kalamba Dispensary</v>
      </c>
      <c r="C1060" s="54" t="str">
        <f>IFERROR(IF(INDEX(SPOT_Import!$A$1:$Z$2488,1060,'Live Data'!$C$14)="","",INDEX(SPOT_Import!$A$1:$Z$2488,1060,'Live Data'!$C$14)),"")</f>
        <v>MAKUENI</v>
      </c>
      <c r="D1060" s="54" t="str">
        <f>IFERROR(IF(INDEX(SPOT_Import!$A$1:$Z$2488,1060,'Live Data'!$C$15)="","",INDEX(SPOT_Import!$A$1:$Z$2488,1060,'Live Data'!$C$15)),"")</f>
        <v>Makueni</v>
      </c>
      <c r="E1060" s="54" t="str">
        <f>IFERROR(IF(INDEX(SPOT_Import!$A$1:$Z$2488,1060,'Live Data'!$C$16)="","",INDEX(SPOT_Import!$A$1:$Z$2488,1060,'Live Data'!$C$16)),"")</f>
        <v>CHAK CHAP STAWISHA</v>
      </c>
      <c r="F1060" s="54" t="str">
        <f>IFERROR(IF(INDEX(SPOT_Import!$A$1:$Z$2488,1060,'Live Data'!$C$17)="","",INDEX(SPOT_Import!$A$1:$Z$2488,1060,'Live Data'!$C$17)),"")</f>
        <v>PKV</v>
      </c>
      <c r="G1060" s="54">
        <f>IFERROR(IF(INDEX(SPOT_Import!$A$1:$Z$2488,1060,'Live Data'!$C$18)="","",INDEX(SPOT_Import!$A$1:$Z$2488,1060,'Live Data'!$C$18)),"")</f>
        <v>980</v>
      </c>
      <c r="H1060" s="54" t="str">
        <f>IFERROR(IF(INDEX(SPOT_Import!$A$1:$Z$2488,1060,'Live Data'!$C$19)="","",INDEX(SPOT_Import!$A$1:$Z$2488,1060,'Live Data'!$C$19)),"")</f>
        <v/>
      </c>
      <c r="I1060" s="54" t="str">
        <f>IFERROR(IF(INDEX(SPOT_Import!$A$1:$Z$2488,1060,'Live Data'!$C$20)="","",INDEX(SPOT_Import!$A$1:$Z$2488,1060,'Live Data'!$C$20)),"")</f>
        <v>Complete</v>
      </c>
      <c r="J1060" s="54" t="str">
        <f>IFERROR(IF(INDEX(SPOT_Import!$A$1:$Z$2488,1060,'Live Data'!$C$21)="","",INDEX(SPOT_Import!$A$1:$Z$2488,1060,'Live Data'!$C$21)),"")</f>
        <v>2023-02-06T13:24:20.000Z</v>
      </c>
      <c r="K1060" s="54" t="str">
        <f>IFERROR(IF(INDEX(SPOT_Import!$A$1:$Z$2488,1060,'Live Data'!$C$22)="","",INDEX(SPOT_Import!$A$1:$Z$2488,1060,'Live Data'!$C$22)),"")</f>
        <v>2023-02-06T13:24:20.000Z</v>
      </c>
      <c r="L1060" s="55" t="str">
        <f t="shared" si="32"/>
        <v>2023-02</v>
      </c>
      <c r="M1060" s="55" t="str">
        <f t="shared" si="33"/>
        <v>MAKUENI</v>
      </c>
      <c r="N1060" s="55" t="str">
        <f>IF(A1060="","",IFERROR(INDEX('Cluster Map'!$A$4:$A$38,MATCH(M1060,'Cluster Map'!$B$4:$B$38,0)),"Unmapped"))</f>
        <v>Cluster 5</v>
      </c>
      <c r="O1060" s="55">
        <f>IF(A1060="",0,IF(COUNTIFS($A$2:A1060,A1060,$F$2:F1060,F1060,$L$2:L1060,L1060)=1,1,0))</f>
        <v>1</v>
      </c>
      <c r="P1060" s="55">
        <f>IF(A1060="",0,IF(AND(F1060="C&amp;T",COUNTIFS($A$2:A1060,A1060,$F$2:F1060,"C&amp;T")=1),1,0))</f>
        <v>0</v>
      </c>
    </row>
    <row r="1061" spans="1:16" x14ac:dyDescent="0.35">
      <c r="A1061" s="54">
        <f>IFERROR(IF(INDEX(SPOT_Import!$A$1:$Z$2488,1061,'Live Data'!$C$12)="","",INDEX(SPOT_Import!$A$1:$Z$2488,1061,'Live Data'!$C$12)),"")</f>
        <v>11069</v>
      </c>
      <c r="B1061" s="54" t="str">
        <f>IFERROR(IF(INDEX(SPOT_Import!$A$1:$Z$2488,1061,'Live Data'!$C$13)="","",INDEX(SPOT_Import!$A$1:$Z$2488,1061,'Live Data'!$C$13)),"")</f>
        <v>St Teresa Catholic Dispensary</v>
      </c>
      <c r="C1061" s="54" t="str">
        <f>IFERROR(IF(INDEX(SPOT_Import!$A$1:$Z$2488,1061,'Live Data'!$C$14)="","",INDEX(SPOT_Import!$A$1:$Z$2488,1061,'Live Data'!$C$14)),"")</f>
        <v>KIRINYAGA</v>
      </c>
      <c r="D1061" s="54" t="str">
        <f>IFERROR(IF(INDEX(SPOT_Import!$A$1:$Z$2488,1061,'Live Data'!$C$15)="","",INDEX(SPOT_Import!$A$1:$Z$2488,1061,'Live Data'!$C$15)),"")</f>
        <v>Kirinyaga North/Mwea West</v>
      </c>
      <c r="E1061" s="54" t="str">
        <f>IFERROR(IF(INDEX(SPOT_Import!$A$1:$Z$2488,1061,'Live Data'!$C$16)="","",INDEX(SPOT_Import!$A$1:$Z$2488,1061,'Live Data'!$C$16)),"")</f>
        <v>CHAK CHAP STAWISHA</v>
      </c>
      <c r="F1061" s="54" t="str">
        <f>IFERROR(IF(INDEX(SPOT_Import!$A$1:$Z$2488,1061,'Live Data'!$C$17)="","",INDEX(SPOT_Import!$A$1:$Z$2488,1061,'Live Data'!$C$17)),"")</f>
        <v>PKV</v>
      </c>
      <c r="G1061" s="54">
        <f>IFERROR(IF(INDEX(SPOT_Import!$A$1:$Z$2488,1061,'Live Data'!$C$18)="","",INDEX(SPOT_Import!$A$1:$Z$2488,1061,'Live Data'!$C$18)),"")</f>
        <v>928</v>
      </c>
      <c r="H1061" s="54" t="str">
        <f>IFERROR(IF(INDEX(SPOT_Import!$A$1:$Z$2488,1061,'Live Data'!$C$19)="","",INDEX(SPOT_Import!$A$1:$Z$2488,1061,'Live Data'!$C$19)),"")</f>
        <v/>
      </c>
      <c r="I1061" s="54" t="str">
        <f>IFERROR(IF(INDEX(SPOT_Import!$A$1:$Z$2488,1061,'Live Data'!$C$20)="","",INDEX(SPOT_Import!$A$1:$Z$2488,1061,'Live Data'!$C$20)),"")</f>
        <v>Complete</v>
      </c>
      <c r="J1061" s="54" t="str">
        <f>IFERROR(IF(INDEX(SPOT_Import!$A$1:$Z$2488,1061,'Live Data'!$C$21)="","",INDEX(SPOT_Import!$A$1:$Z$2488,1061,'Live Data'!$C$21)),"")</f>
        <v>2023-02-06T11:24:36.000Z</v>
      </c>
      <c r="K1061" s="54" t="str">
        <f>IFERROR(IF(INDEX(SPOT_Import!$A$1:$Z$2488,1061,'Live Data'!$C$22)="","",INDEX(SPOT_Import!$A$1:$Z$2488,1061,'Live Data'!$C$22)),"")</f>
        <v>2023-02-06T11:24:36.000Z</v>
      </c>
      <c r="L1061" s="55" t="str">
        <f t="shared" si="32"/>
        <v>2023-02</v>
      </c>
      <c r="M1061" s="55" t="str">
        <f t="shared" si="33"/>
        <v>KIRINYAGA</v>
      </c>
      <c r="N1061" s="55" t="str">
        <f>IF(A1061="","",IFERROR(INDEX('Cluster Map'!$A$4:$A$38,MATCH(M1061,'Cluster Map'!$B$4:$B$38,0)),"Unmapped"))</f>
        <v>Cluster 2</v>
      </c>
      <c r="O1061" s="55">
        <f>IF(A1061="",0,IF(COUNTIFS($A$2:A1061,A1061,$F$2:F1061,F1061,$L$2:L1061,L1061)=1,1,0))</f>
        <v>1</v>
      </c>
      <c r="P1061" s="55">
        <f>IF(A1061="",0,IF(AND(F1061="C&amp;T",COUNTIFS($A$2:A1061,A1061,$F$2:F1061,"C&amp;T")=1),1,0))</f>
        <v>0</v>
      </c>
    </row>
    <row r="1062" spans="1:16" x14ac:dyDescent="0.35">
      <c r="A1062" s="54">
        <f>IFERROR(IF(INDEX(SPOT_Import!$A$1:$Z$2488,1062,'Live Data'!$C$12)="","",INDEX(SPOT_Import!$A$1:$Z$2488,1062,'Live Data'!$C$12)),"")</f>
        <v>15652</v>
      </c>
      <c r="B1062" s="54" t="str">
        <f>IFERROR(IF(INDEX(SPOT_Import!$A$1:$Z$2488,1062,'Live Data'!$C$13)="","",INDEX(SPOT_Import!$A$1:$Z$2488,1062,'Live Data'!$C$13)),"")</f>
        <v>St Mary Health Centre (Kiserian)</v>
      </c>
      <c r="C1062" s="54" t="str">
        <f>IFERROR(IF(INDEX(SPOT_Import!$A$1:$Z$2488,1062,'Live Data'!$C$14)="","",INDEX(SPOT_Import!$A$1:$Z$2488,1062,'Live Data'!$C$14)),"")</f>
        <v>KAJIADO</v>
      </c>
      <c r="D1062" s="54" t="str">
        <f>IFERROR(IF(INDEX(SPOT_Import!$A$1:$Z$2488,1062,'Live Data'!$C$15)="","",INDEX(SPOT_Import!$A$1:$Z$2488,1062,'Live Data'!$C$15)),"")</f>
        <v>Kajiado West</v>
      </c>
      <c r="E1062" s="54" t="str">
        <f>IFERROR(IF(INDEX(SPOT_Import!$A$1:$Z$2488,1062,'Live Data'!$C$16)="","",INDEX(SPOT_Import!$A$1:$Z$2488,1062,'Live Data'!$C$16)),"")</f>
        <v>CHAK CHAP STAWISHA</v>
      </c>
      <c r="F1062" s="54" t="str">
        <f>IFERROR(IF(INDEX(SPOT_Import!$A$1:$Z$2488,1062,'Live Data'!$C$17)="","",INDEX(SPOT_Import!$A$1:$Z$2488,1062,'Live Data'!$C$17)),"")</f>
        <v>PKV</v>
      </c>
      <c r="G1062" s="54">
        <f>IFERROR(IF(INDEX(SPOT_Import!$A$1:$Z$2488,1062,'Live Data'!$C$18)="","",INDEX(SPOT_Import!$A$1:$Z$2488,1062,'Live Data'!$C$18)),"")</f>
        <v>3783</v>
      </c>
      <c r="H1062" s="54" t="str">
        <f>IFERROR(IF(INDEX(SPOT_Import!$A$1:$Z$2488,1062,'Live Data'!$C$19)="","",INDEX(SPOT_Import!$A$1:$Z$2488,1062,'Live Data'!$C$19)),"")</f>
        <v/>
      </c>
      <c r="I1062" s="54" t="str">
        <f>IFERROR(IF(INDEX(SPOT_Import!$A$1:$Z$2488,1062,'Live Data'!$C$20)="","",INDEX(SPOT_Import!$A$1:$Z$2488,1062,'Live Data'!$C$20)),"")</f>
        <v>Complete</v>
      </c>
      <c r="J1062" s="54" t="str">
        <f>IFERROR(IF(INDEX(SPOT_Import!$A$1:$Z$2488,1062,'Live Data'!$C$21)="","",INDEX(SPOT_Import!$A$1:$Z$2488,1062,'Live Data'!$C$21)),"")</f>
        <v>2023-02-06T09:47:47.000Z</v>
      </c>
      <c r="K1062" s="54" t="str">
        <f>IFERROR(IF(INDEX(SPOT_Import!$A$1:$Z$2488,1062,'Live Data'!$C$22)="","",INDEX(SPOT_Import!$A$1:$Z$2488,1062,'Live Data'!$C$22)),"")</f>
        <v>2023-02-06T09:47:47.000Z</v>
      </c>
      <c r="L1062" s="55" t="str">
        <f t="shared" si="32"/>
        <v>2023-02</v>
      </c>
      <c r="M1062" s="55" t="str">
        <f t="shared" si="33"/>
        <v>KAJIADO</v>
      </c>
      <c r="N1062" s="55" t="str">
        <f>IF(A1062="","",IFERROR(INDEX('Cluster Map'!$A$4:$A$38,MATCH(M1062,'Cluster Map'!$B$4:$B$38,0)),"Unmapped"))</f>
        <v>Cluster 3</v>
      </c>
      <c r="O1062" s="55">
        <f>IF(A1062="",0,IF(COUNTIFS($A$2:A1062,A1062,$F$2:F1062,F1062,$L$2:L1062,L1062)=1,1,0))</f>
        <v>1</v>
      </c>
      <c r="P1062" s="55">
        <f>IF(A1062="",0,IF(AND(F1062="C&amp;T",COUNTIFS($A$2:A1062,A1062,$F$2:F1062,"C&amp;T")=1),1,0))</f>
        <v>0</v>
      </c>
    </row>
    <row r="1063" spans="1:16" x14ac:dyDescent="0.35">
      <c r="A1063" s="54">
        <f>IFERROR(IF(INDEX(SPOT_Import!$A$1:$Z$2488,1063,'Live Data'!$C$12)="","",INDEX(SPOT_Import!$A$1:$Z$2488,1063,'Live Data'!$C$12)),"")</f>
        <v>12769</v>
      </c>
      <c r="B1063" s="54" t="str">
        <f>IFERROR(IF(INDEX(SPOT_Import!$A$1:$Z$2488,1063,'Live Data'!$C$13)="","",INDEX(SPOT_Import!$A$1:$Z$2488,1063,'Live Data'!$C$13)),"")</f>
        <v>St Orsola Mission Hospital</v>
      </c>
      <c r="C1063" s="54" t="str">
        <f>IFERROR(IF(INDEX(SPOT_Import!$A$1:$Z$2488,1063,'Live Data'!$C$14)="","",INDEX(SPOT_Import!$A$1:$Z$2488,1063,'Live Data'!$C$14)),"")</f>
        <v>THARAKA - NITHI</v>
      </c>
      <c r="D1063" s="54" t="str">
        <f>IFERROR(IF(INDEX(SPOT_Import!$A$1:$Z$2488,1063,'Live Data'!$C$15)="","",INDEX(SPOT_Import!$A$1:$Z$2488,1063,'Live Data'!$C$15)),"")</f>
        <v>THARAKA SOUTH</v>
      </c>
      <c r="E1063" s="54" t="str">
        <f>IFERROR(IF(INDEX(SPOT_Import!$A$1:$Z$2488,1063,'Live Data'!$C$16)="","",INDEX(SPOT_Import!$A$1:$Z$2488,1063,'Live Data'!$C$16)),"")</f>
        <v>CHAK CHAP STAWISHA</v>
      </c>
      <c r="F1063" s="54" t="str">
        <f>IFERROR(IF(INDEX(SPOT_Import!$A$1:$Z$2488,1063,'Live Data'!$C$17)="","",INDEX(SPOT_Import!$A$1:$Z$2488,1063,'Live Data'!$C$17)),"")</f>
        <v>PKV</v>
      </c>
      <c r="G1063" s="54">
        <f>IFERROR(IF(INDEX(SPOT_Import!$A$1:$Z$2488,1063,'Live Data'!$C$18)="","",INDEX(SPOT_Import!$A$1:$Z$2488,1063,'Live Data'!$C$18)),"")</f>
        <v>2490</v>
      </c>
      <c r="H1063" s="54" t="str">
        <f>IFERROR(IF(INDEX(SPOT_Import!$A$1:$Z$2488,1063,'Live Data'!$C$19)="","",INDEX(SPOT_Import!$A$1:$Z$2488,1063,'Live Data'!$C$19)),"")</f>
        <v/>
      </c>
      <c r="I1063" s="54" t="str">
        <f>IFERROR(IF(INDEX(SPOT_Import!$A$1:$Z$2488,1063,'Live Data'!$C$20)="","",INDEX(SPOT_Import!$A$1:$Z$2488,1063,'Live Data'!$C$20)),"")</f>
        <v>Complete</v>
      </c>
      <c r="J1063" s="54" t="str">
        <f>IFERROR(IF(INDEX(SPOT_Import!$A$1:$Z$2488,1063,'Live Data'!$C$21)="","",INDEX(SPOT_Import!$A$1:$Z$2488,1063,'Live Data'!$C$21)),"")</f>
        <v>2023-02-06T07:55:25.000Z</v>
      </c>
      <c r="K1063" s="54" t="str">
        <f>IFERROR(IF(INDEX(SPOT_Import!$A$1:$Z$2488,1063,'Live Data'!$C$22)="","",INDEX(SPOT_Import!$A$1:$Z$2488,1063,'Live Data'!$C$22)),"")</f>
        <v>2023-02-06T07:55:25.000Z</v>
      </c>
      <c r="L1063" s="55" t="str">
        <f t="shared" si="32"/>
        <v>2023-02</v>
      </c>
      <c r="M1063" s="55" t="str">
        <f t="shared" si="33"/>
        <v>THARAKA-NITHI</v>
      </c>
      <c r="N1063" s="55" t="str">
        <f>IF(A1063="","",IFERROR(INDEX('Cluster Map'!$A$4:$A$38,MATCH(M1063,'Cluster Map'!$B$4:$B$38,0)),"Unmapped"))</f>
        <v>Cluster 2</v>
      </c>
      <c r="O1063" s="55">
        <f>IF(A1063="",0,IF(COUNTIFS($A$2:A1063,A1063,$F$2:F1063,F1063,$L$2:L1063,L1063)=1,1,0))</f>
        <v>1</v>
      </c>
      <c r="P1063" s="55">
        <f>IF(A1063="",0,IF(AND(F1063="C&amp;T",COUNTIFS($A$2:A1063,A1063,$F$2:F1063,"C&amp;T")=1),1,0))</f>
        <v>0</v>
      </c>
    </row>
    <row r="1064" spans="1:16" x14ac:dyDescent="0.35">
      <c r="A1064" s="54">
        <f>IFERROR(IF(INDEX(SPOT_Import!$A$1:$Z$2488,1064,'Live Data'!$C$12)="","",INDEX(SPOT_Import!$A$1:$Z$2488,1064,'Live Data'!$C$12)),"")</f>
        <v>11124</v>
      </c>
      <c r="B1064" s="54" t="str">
        <f>IFERROR(IF(INDEX(SPOT_Import!$A$1:$Z$2488,1064,'Live Data'!$C$13)="","",INDEX(SPOT_Import!$A$1:$Z$2488,1064,'Live Data'!$C$13)),"")</f>
        <v>Tumutumu (PCEA) Hospital</v>
      </c>
      <c r="C1064" s="54" t="str">
        <f>IFERROR(IF(INDEX(SPOT_Import!$A$1:$Z$2488,1064,'Live Data'!$C$14)="","",INDEX(SPOT_Import!$A$1:$Z$2488,1064,'Live Data'!$C$14)),"")</f>
        <v>NYERI</v>
      </c>
      <c r="D1064" s="54" t="str">
        <f>IFERROR(IF(INDEX(SPOT_Import!$A$1:$Z$2488,1064,'Live Data'!$C$15)="","",INDEX(SPOT_Import!$A$1:$Z$2488,1064,'Live Data'!$C$15)),"")</f>
        <v>Mathira West</v>
      </c>
      <c r="E1064" s="54" t="str">
        <f>IFERROR(IF(INDEX(SPOT_Import!$A$1:$Z$2488,1064,'Live Data'!$C$16)="","",INDEX(SPOT_Import!$A$1:$Z$2488,1064,'Live Data'!$C$16)),"")</f>
        <v>CHAK CHAP STAWISHA</v>
      </c>
      <c r="F1064" s="54" t="str">
        <f>IFERROR(IF(INDEX(SPOT_Import!$A$1:$Z$2488,1064,'Live Data'!$C$17)="","",INDEX(SPOT_Import!$A$1:$Z$2488,1064,'Live Data'!$C$17)),"")</f>
        <v>PKV</v>
      </c>
      <c r="G1064" s="54">
        <f>IFERROR(IF(INDEX(SPOT_Import!$A$1:$Z$2488,1064,'Live Data'!$C$18)="","",INDEX(SPOT_Import!$A$1:$Z$2488,1064,'Live Data'!$C$18)),"")</f>
        <v>11100</v>
      </c>
      <c r="H1064" s="54">
        <f>IFERROR(IF(INDEX(SPOT_Import!$A$1:$Z$2488,1064,'Live Data'!$C$19)="","",INDEX(SPOT_Import!$A$1:$Z$2488,1064,'Live Data'!$C$19)),"")</f>
        <v>208909</v>
      </c>
      <c r="I1064" s="54" t="str">
        <f>IFERROR(IF(INDEX(SPOT_Import!$A$1:$Z$2488,1064,'Live Data'!$C$20)="","",INDEX(SPOT_Import!$A$1:$Z$2488,1064,'Live Data'!$C$20)),"")</f>
        <v>Complete</v>
      </c>
      <c r="J1064" s="54" t="str">
        <f>IFERROR(IF(INDEX(SPOT_Import!$A$1:$Z$2488,1064,'Live Data'!$C$21)="","",INDEX(SPOT_Import!$A$1:$Z$2488,1064,'Live Data'!$C$21)),"")</f>
        <v>2023-02-04T16:07:59.000Z</v>
      </c>
      <c r="K1064" s="54" t="str">
        <f>IFERROR(IF(INDEX(SPOT_Import!$A$1:$Z$2488,1064,'Live Data'!$C$22)="","",INDEX(SPOT_Import!$A$1:$Z$2488,1064,'Live Data'!$C$22)),"")</f>
        <v>2023-02-04T16:07:59.000Z</v>
      </c>
      <c r="L1064" s="55" t="str">
        <f t="shared" si="32"/>
        <v>2023-02</v>
      </c>
      <c r="M1064" s="55" t="str">
        <f t="shared" si="33"/>
        <v>NYERI</v>
      </c>
      <c r="N1064" s="55" t="str">
        <f>IF(A1064="","",IFERROR(INDEX('Cluster Map'!$A$4:$A$38,MATCH(M1064,'Cluster Map'!$B$4:$B$38,0)),"Unmapped"))</f>
        <v>Cluster 2</v>
      </c>
      <c r="O1064" s="55">
        <f>IF(A1064="",0,IF(COUNTIFS($A$2:A1064,A1064,$F$2:F1064,F1064,$L$2:L1064,L1064)=1,1,0))</f>
        <v>1</v>
      </c>
      <c r="P1064" s="55">
        <f>IF(A1064="",0,IF(AND(F1064="C&amp;T",COUNTIFS($A$2:A1064,A1064,$F$2:F1064,"C&amp;T")=1),1,0))</f>
        <v>0</v>
      </c>
    </row>
    <row r="1065" spans="1:16" x14ac:dyDescent="0.35">
      <c r="A1065" s="54">
        <f>IFERROR(IF(INDEX(SPOT_Import!$A$1:$Z$2488,1065,'Live Data'!$C$12)="","",INDEX(SPOT_Import!$A$1:$Z$2488,1065,'Live Data'!$C$12)),"")</f>
        <v>10808</v>
      </c>
      <c r="B1065" s="54" t="str">
        <f>IFERROR(IF(INDEX(SPOT_Import!$A$1:$Z$2488,1065,'Live Data'!$C$13)="","",INDEX(SPOT_Import!$A$1:$Z$2488,1065,'Live Data'!$C$13)),"")</f>
        <v>Mwea Mission (Our Lady Of Lourdes) Hospital</v>
      </c>
      <c r="C1065" s="54" t="str">
        <f>IFERROR(IF(INDEX(SPOT_Import!$A$1:$Z$2488,1065,'Live Data'!$C$14)="","",INDEX(SPOT_Import!$A$1:$Z$2488,1065,'Live Data'!$C$14)),"")</f>
        <v>KIRINYAGA</v>
      </c>
      <c r="D1065" s="54" t="str">
        <f>IFERROR(IF(INDEX(SPOT_Import!$A$1:$Z$2488,1065,'Live Data'!$C$15)="","",INDEX(SPOT_Import!$A$1:$Z$2488,1065,'Live Data'!$C$15)),"")</f>
        <v>Kirinyaga North/Mwea West</v>
      </c>
      <c r="E1065" s="54" t="str">
        <f>IFERROR(IF(INDEX(SPOT_Import!$A$1:$Z$2488,1065,'Live Data'!$C$16)="","",INDEX(SPOT_Import!$A$1:$Z$2488,1065,'Live Data'!$C$16)),"")</f>
        <v>CHAK CHAP STAWISHA</v>
      </c>
      <c r="F1065" s="54" t="str">
        <f>IFERROR(IF(INDEX(SPOT_Import!$A$1:$Z$2488,1065,'Live Data'!$C$17)="","",INDEX(SPOT_Import!$A$1:$Z$2488,1065,'Live Data'!$C$17)),"")</f>
        <v>PKV</v>
      </c>
      <c r="G1065" s="54">
        <f>IFERROR(IF(INDEX(SPOT_Import!$A$1:$Z$2488,1065,'Live Data'!$C$18)="","",INDEX(SPOT_Import!$A$1:$Z$2488,1065,'Live Data'!$C$18)),"")</f>
        <v>9266</v>
      </c>
      <c r="H1065" s="54" t="str">
        <f>IFERROR(IF(INDEX(SPOT_Import!$A$1:$Z$2488,1065,'Live Data'!$C$19)="","",INDEX(SPOT_Import!$A$1:$Z$2488,1065,'Live Data'!$C$19)),"")</f>
        <v/>
      </c>
      <c r="I1065" s="54" t="str">
        <f>IFERROR(IF(INDEX(SPOT_Import!$A$1:$Z$2488,1065,'Live Data'!$C$20)="","",INDEX(SPOT_Import!$A$1:$Z$2488,1065,'Live Data'!$C$20)),"")</f>
        <v>Complete</v>
      </c>
      <c r="J1065" s="54" t="str">
        <f>IFERROR(IF(INDEX(SPOT_Import!$A$1:$Z$2488,1065,'Live Data'!$C$21)="","",INDEX(SPOT_Import!$A$1:$Z$2488,1065,'Live Data'!$C$21)),"")</f>
        <v>2023-02-04T08:32:00.000Z</v>
      </c>
      <c r="K1065" s="54" t="str">
        <f>IFERROR(IF(INDEX(SPOT_Import!$A$1:$Z$2488,1065,'Live Data'!$C$22)="","",INDEX(SPOT_Import!$A$1:$Z$2488,1065,'Live Data'!$C$22)),"")</f>
        <v>2023-02-04T08:32:00.000Z</v>
      </c>
      <c r="L1065" s="55" t="str">
        <f t="shared" si="32"/>
        <v>2023-02</v>
      </c>
      <c r="M1065" s="55" t="str">
        <f t="shared" si="33"/>
        <v>KIRINYAGA</v>
      </c>
      <c r="N1065" s="55" t="str">
        <f>IF(A1065="","",IFERROR(INDEX('Cluster Map'!$A$4:$A$38,MATCH(M1065,'Cluster Map'!$B$4:$B$38,0)),"Unmapped"))</f>
        <v>Cluster 2</v>
      </c>
      <c r="O1065" s="55">
        <f>IF(A1065="",0,IF(COUNTIFS($A$2:A1065,A1065,$F$2:F1065,F1065,$L$2:L1065,L1065)=1,1,0))</f>
        <v>1</v>
      </c>
      <c r="P1065" s="55">
        <f>IF(A1065="",0,IF(AND(F1065="C&amp;T",COUNTIFS($A$2:A1065,A1065,$F$2:F1065,"C&amp;T")=1),1,0))</f>
        <v>0</v>
      </c>
    </row>
    <row r="1066" spans="1:16" x14ac:dyDescent="0.35">
      <c r="A1066" s="54">
        <f>IFERROR(IF(INDEX(SPOT_Import!$A$1:$Z$2488,1066,'Live Data'!$C$12)="","",INDEX(SPOT_Import!$A$1:$Z$2488,1066,'Live Data'!$C$12)),"")</f>
        <v>20579</v>
      </c>
      <c r="B1066" s="54" t="str">
        <f>IFERROR(IF(INDEX(SPOT_Import!$A$1:$Z$2488,1066,'Live Data'!$C$13)="","",INDEX(SPOT_Import!$A$1:$Z$2488,1066,'Live Data'!$C$13)),"")</f>
        <v>Kaliani Dispensary</v>
      </c>
      <c r="C1066" s="54" t="str">
        <f>IFERROR(IF(INDEX(SPOT_Import!$A$1:$Z$2488,1066,'Live Data'!$C$14)="","",INDEX(SPOT_Import!$A$1:$Z$2488,1066,'Live Data'!$C$14)),"")</f>
        <v>KITUI</v>
      </c>
      <c r="D1066" s="54" t="str">
        <f>IFERROR(IF(INDEX(SPOT_Import!$A$1:$Z$2488,1066,'Live Data'!$C$15)="","",INDEX(SPOT_Import!$A$1:$Z$2488,1066,'Live Data'!$C$15)),"")</f>
        <v>Kitui South</v>
      </c>
      <c r="E1066" s="54" t="str">
        <f>IFERROR(IF(INDEX(SPOT_Import!$A$1:$Z$2488,1066,'Live Data'!$C$16)="","",INDEX(SPOT_Import!$A$1:$Z$2488,1066,'Live Data'!$C$16)),"")</f>
        <v>CHAK CHAP STAWISHA</v>
      </c>
      <c r="F1066" s="54" t="str">
        <f>IFERROR(IF(INDEX(SPOT_Import!$A$1:$Z$2488,1066,'Live Data'!$C$17)="","",INDEX(SPOT_Import!$A$1:$Z$2488,1066,'Live Data'!$C$17)),"")</f>
        <v>PKV</v>
      </c>
      <c r="G1066" s="54">
        <f>IFERROR(IF(INDEX(SPOT_Import!$A$1:$Z$2488,1066,'Live Data'!$C$18)="","",INDEX(SPOT_Import!$A$1:$Z$2488,1066,'Live Data'!$C$18)),"")</f>
        <v>598</v>
      </c>
      <c r="H1066" s="54" t="str">
        <f>IFERROR(IF(INDEX(SPOT_Import!$A$1:$Z$2488,1066,'Live Data'!$C$19)="","",INDEX(SPOT_Import!$A$1:$Z$2488,1066,'Live Data'!$C$19)),"")</f>
        <v/>
      </c>
      <c r="I1066" s="54" t="str">
        <f>IFERROR(IF(INDEX(SPOT_Import!$A$1:$Z$2488,1066,'Live Data'!$C$20)="","",INDEX(SPOT_Import!$A$1:$Z$2488,1066,'Live Data'!$C$20)),"")</f>
        <v>Complete</v>
      </c>
      <c r="J1066" s="54" t="str">
        <f>IFERROR(IF(INDEX(SPOT_Import!$A$1:$Z$2488,1066,'Live Data'!$C$21)="","",INDEX(SPOT_Import!$A$1:$Z$2488,1066,'Live Data'!$C$21)),"")</f>
        <v>2023-02-04T08:11:05.000Z</v>
      </c>
      <c r="K1066" s="54" t="str">
        <f>IFERROR(IF(INDEX(SPOT_Import!$A$1:$Z$2488,1066,'Live Data'!$C$22)="","",INDEX(SPOT_Import!$A$1:$Z$2488,1066,'Live Data'!$C$22)),"")</f>
        <v>2023-02-04T08:11:05.000Z</v>
      </c>
      <c r="L1066" s="55" t="str">
        <f t="shared" si="32"/>
        <v>2023-02</v>
      </c>
      <c r="M1066" s="55" t="str">
        <f t="shared" si="33"/>
        <v>KITUI</v>
      </c>
      <c r="N1066" s="55" t="str">
        <f>IF(A1066="","",IFERROR(INDEX('Cluster Map'!$A$4:$A$38,MATCH(M1066,'Cluster Map'!$B$4:$B$38,0)),"Unmapped"))</f>
        <v>Cluster 5</v>
      </c>
      <c r="O1066" s="55">
        <f>IF(A1066="",0,IF(COUNTIFS($A$2:A1066,A1066,$F$2:F1066,F1066,$L$2:L1066,L1066)=1,1,0))</f>
        <v>1</v>
      </c>
      <c r="P1066" s="55">
        <f>IF(A1066="",0,IF(AND(F1066="C&amp;T",COUNTIFS($A$2:A1066,A1066,$F$2:F1066,"C&amp;T")=1),1,0))</f>
        <v>0</v>
      </c>
    </row>
    <row r="1067" spans="1:16" x14ac:dyDescent="0.35">
      <c r="A1067" s="54">
        <f>IFERROR(IF(INDEX(SPOT_Import!$A$1:$Z$2488,1067,'Live Data'!$C$12)="","",INDEX(SPOT_Import!$A$1:$Z$2488,1067,'Live Data'!$C$12)),"")</f>
        <v>12569</v>
      </c>
      <c r="B1067" s="54" t="str">
        <f>IFERROR(IF(INDEX(SPOT_Import!$A$1:$Z$2488,1067,'Live Data'!$C$13)="","",INDEX(SPOT_Import!$A$1:$Z$2488,1067,'Live Data'!$C$13)),"")</f>
        <v>Mulutu Mission Dispensary</v>
      </c>
      <c r="C1067" s="54" t="str">
        <f>IFERROR(IF(INDEX(SPOT_Import!$A$1:$Z$2488,1067,'Live Data'!$C$14)="","",INDEX(SPOT_Import!$A$1:$Z$2488,1067,'Live Data'!$C$14)),"")</f>
        <v>KITUI</v>
      </c>
      <c r="D1067" s="54" t="str">
        <f>IFERROR(IF(INDEX(SPOT_Import!$A$1:$Z$2488,1067,'Live Data'!$C$15)="","",INDEX(SPOT_Import!$A$1:$Z$2488,1067,'Live Data'!$C$15)),"")</f>
        <v>Kitui Central</v>
      </c>
      <c r="E1067" s="54" t="str">
        <f>IFERROR(IF(INDEX(SPOT_Import!$A$1:$Z$2488,1067,'Live Data'!$C$16)="","",INDEX(SPOT_Import!$A$1:$Z$2488,1067,'Live Data'!$C$16)),"")</f>
        <v>CHAK CHAP STAWISHA</v>
      </c>
      <c r="F1067" s="54" t="str">
        <f>IFERROR(IF(INDEX(SPOT_Import!$A$1:$Z$2488,1067,'Live Data'!$C$17)="","",INDEX(SPOT_Import!$A$1:$Z$2488,1067,'Live Data'!$C$17)),"")</f>
        <v>PKV</v>
      </c>
      <c r="G1067" s="54">
        <f>IFERROR(IF(INDEX(SPOT_Import!$A$1:$Z$2488,1067,'Live Data'!$C$18)="","",INDEX(SPOT_Import!$A$1:$Z$2488,1067,'Live Data'!$C$18)),"")</f>
        <v>1735</v>
      </c>
      <c r="H1067" s="54" t="str">
        <f>IFERROR(IF(INDEX(SPOT_Import!$A$1:$Z$2488,1067,'Live Data'!$C$19)="","",INDEX(SPOT_Import!$A$1:$Z$2488,1067,'Live Data'!$C$19)),"")</f>
        <v/>
      </c>
      <c r="I1067" s="54" t="str">
        <f>IFERROR(IF(INDEX(SPOT_Import!$A$1:$Z$2488,1067,'Live Data'!$C$20)="","",INDEX(SPOT_Import!$A$1:$Z$2488,1067,'Live Data'!$C$20)),"")</f>
        <v>Complete</v>
      </c>
      <c r="J1067" s="54" t="str">
        <f>IFERROR(IF(INDEX(SPOT_Import!$A$1:$Z$2488,1067,'Live Data'!$C$21)="","",INDEX(SPOT_Import!$A$1:$Z$2488,1067,'Live Data'!$C$21)),"")</f>
        <v>2023-02-04T07:02:58.000Z</v>
      </c>
      <c r="K1067" s="54" t="str">
        <f>IFERROR(IF(INDEX(SPOT_Import!$A$1:$Z$2488,1067,'Live Data'!$C$22)="","",INDEX(SPOT_Import!$A$1:$Z$2488,1067,'Live Data'!$C$22)),"")</f>
        <v>2023-02-04T07:02:58.000Z</v>
      </c>
      <c r="L1067" s="55" t="str">
        <f t="shared" si="32"/>
        <v>2023-02</v>
      </c>
      <c r="M1067" s="55" t="str">
        <f t="shared" si="33"/>
        <v>KITUI</v>
      </c>
      <c r="N1067" s="55" t="str">
        <f>IF(A1067="","",IFERROR(INDEX('Cluster Map'!$A$4:$A$38,MATCH(M1067,'Cluster Map'!$B$4:$B$38,0)),"Unmapped"))</f>
        <v>Cluster 5</v>
      </c>
      <c r="O1067" s="55">
        <f>IF(A1067="",0,IF(COUNTIFS($A$2:A1067,A1067,$F$2:F1067,F1067,$L$2:L1067,L1067)=1,1,0))</f>
        <v>1</v>
      </c>
      <c r="P1067" s="55">
        <f>IF(A1067="",0,IF(AND(F1067="C&amp;T",COUNTIFS($A$2:A1067,A1067,$F$2:F1067,"C&amp;T")=1),1,0))</f>
        <v>0</v>
      </c>
    </row>
    <row r="1068" spans="1:16" x14ac:dyDescent="0.35">
      <c r="A1068" s="54">
        <f>IFERROR(IF(INDEX(SPOT_Import!$A$1:$Z$2488,1068,'Live Data'!$C$12)="","",INDEX(SPOT_Import!$A$1:$Z$2488,1068,'Live Data'!$C$12)),"")</f>
        <v>11981</v>
      </c>
      <c r="B1068" s="54" t="str">
        <f>IFERROR(IF(INDEX(SPOT_Import!$A$1:$Z$2488,1068,'Live Data'!$C$13)="","",INDEX(SPOT_Import!$A$1:$Z$2488,1068,'Live Data'!$C$13)),"")</f>
        <v>D Comboni Mission</v>
      </c>
      <c r="C1068" s="54" t="str">
        <f>IFERROR(IF(INDEX(SPOT_Import!$A$1:$Z$2488,1068,'Live Data'!$C$14)="","",INDEX(SPOT_Import!$A$1:$Z$2488,1068,'Live Data'!$C$14)),"")</f>
        <v>MACHAKOS</v>
      </c>
      <c r="D1068" s="54" t="str">
        <f>IFERROR(IF(INDEX(SPOT_Import!$A$1:$Z$2488,1068,'Live Data'!$C$15)="","",INDEX(SPOT_Import!$A$1:$Z$2488,1068,'Live Data'!$C$15)),"")</f>
        <v>Masinga</v>
      </c>
      <c r="E1068" s="54" t="str">
        <f>IFERROR(IF(INDEX(SPOT_Import!$A$1:$Z$2488,1068,'Live Data'!$C$16)="","",INDEX(SPOT_Import!$A$1:$Z$2488,1068,'Live Data'!$C$16)),"")</f>
        <v>CHAK CHAP STAWISHA</v>
      </c>
      <c r="F1068" s="54" t="str">
        <f>IFERROR(IF(INDEX(SPOT_Import!$A$1:$Z$2488,1068,'Live Data'!$C$17)="","",INDEX(SPOT_Import!$A$1:$Z$2488,1068,'Live Data'!$C$17)),"")</f>
        <v>PKV</v>
      </c>
      <c r="G1068" s="54">
        <f>IFERROR(IF(INDEX(SPOT_Import!$A$1:$Z$2488,1068,'Live Data'!$C$18)="","",INDEX(SPOT_Import!$A$1:$Z$2488,1068,'Live Data'!$C$18)),"")</f>
        <v>1454</v>
      </c>
      <c r="H1068" s="54" t="str">
        <f>IFERROR(IF(INDEX(SPOT_Import!$A$1:$Z$2488,1068,'Live Data'!$C$19)="","",INDEX(SPOT_Import!$A$1:$Z$2488,1068,'Live Data'!$C$19)),"")</f>
        <v/>
      </c>
      <c r="I1068" s="54" t="str">
        <f>IFERROR(IF(INDEX(SPOT_Import!$A$1:$Z$2488,1068,'Live Data'!$C$20)="","",INDEX(SPOT_Import!$A$1:$Z$2488,1068,'Live Data'!$C$20)),"")</f>
        <v>Complete</v>
      </c>
      <c r="J1068" s="54" t="str">
        <f>IFERROR(IF(INDEX(SPOT_Import!$A$1:$Z$2488,1068,'Live Data'!$C$21)="","",INDEX(SPOT_Import!$A$1:$Z$2488,1068,'Live Data'!$C$21)),"")</f>
        <v>2023-02-03T16:05:06.000Z</v>
      </c>
      <c r="K1068" s="54" t="str">
        <f>IFERROR(IF(INDEX(SPOT_Import!$A$1:$Z$2488,1068,'Live Data'!$C$22)="","",INDEX(SPOT_Import!$A$1:$Z$2488,1068,'Live Data'!$C$22)),"")</f>
        <v>2023-02-03T16:05:06.000Z</v>
      </c>
      <c r="L1068" s="55" t="str">
        <f t="shared" si="32"/>
        <v>2023-02</v>
      </c>
      <c r="M1068" s="55" t="str">
        <f t="shared" si="33"/>
        <v>MACHAKOS</v>
      </c>
      <c r="N1068" s="55" t="str">
        <f>IF(A1068="","",IFERROR(INDEX('Cluster Map'!$A$4:$A$38,MATCH(M1068,'Cluster Map'!$B$4:$B$38,0)),"Unmapped"))</f>
        <v>Cluster 5</v>
      </c>
      <c r="O1068" s="55">
        <f>IF(A1068="",0,IF(COUNTIFS($A$2:A1068,A1068,$F$2:F1068,F1068,$L$2:L1068,L1068)=1,1,0))</f>
        <v>1</v>
      </c>
      <c r="P1068" s="55">
        <f>IF(A1068="",0,IF(AND(F1068="C&amp;T",COUNTIFS($A$2:A1068,A1068,$F$2:F1068,"C&amp;T")=1),1,0))</f>
        <v>0</v>
      </c>
    </row>
    <row r="1069" spans="1:16" x14ac:dyDescent="0.35">
      <c r="A1069" s="54">
        <f>IFERROR(IF(INDEX(SPOT_Import!$A$1:$Z$2488,1069,'Live Data'!$C$12)="","",INDEX(SPOT_Import!$A$1:$Z$2488,1069,'Live Data'!$C$12)),"")</f>
        <v>12306</v>
      </c>
      <c r="B1069" s="54" t="str">
        <f>IFERROR(IF(INDEX(SPOT_Import!$A$1:$Z$2488,1069,'Live Data'!$C$13)="","",INDEX(SPOT_Import!$A$1:$Z$2488,1069,'Live Data'!$C$13)),"")</f>
        <v>Kikoko Mission Hospital</v>
      </c>
      <c r="C1069" s="54" t="str">
        <f>IFERROR(IF(INDEX(SPOT_Import!$A$1:$Z$2488,1069,'Live Data'!$C$14)="","",INDEX(SPOT_Import!$A$1:$Z$2488,1069,'Live Data'!$C$14)),"")</f>
        <v>MAKUENI</v>
      </c>
      <c r="D1069" s="54" t="str">
        <f>IFERROR(IF(INDEX(SPOT_Import!$A$1:$Z$2488,1069,'Live Data'!$C$15)="","",INDEX(SPOT_Import!$A$1:$Z$2488,1069,'Live Data'!$C$15)),"")</f>
        <v>Kaiti</v>
      </c>
      <c r="E1069" s="54" t="str">
        <f>IFERROR(IF(INDEX(SPOT_Import!$A$1:$Z$2488,1069,'Live Data'!$C$16)="","",INDEX(SPOT_Import!$A$1:$Z$2488,1069,'Live Data'!$C$16)),"")</f>
        <v>CHAK CHAP STAWISHA</v>
      </c>
      <c r="F1069" s="54" t="str">
        <f>IFERROR(IF(INDEX(SPOT_Import!$A$1:$Z$2488,1069,'Live Data'!$C$17)="","",INDEX(SPOT_Import!$A$1:$Z$2488,1069,'Live Data'!$C$17)),"")</f>
        <v>PKV</v>
      </c>
      <c r="G1069" s="54">
        <f>IFERROR(IF(INDEX(SPOT_Import!$A$1:$Z$2488,1069,'Live Data'!$C$18)="","",INDEX(SPOT_Import!$A$1:$Z$2488,1069,'Live Data'!$C$18)),"")</f>
        <v>2109</v>
      </c>
      <c r="H1069" s="54" t="str">
        <f>IFERROR(IF(INDEX(SPOT_Import!$A$1:$Z$2488,1069,'Live Data'!$C$19)="","",INDEX(SPOT_Import!$A$1:$Z$2488,1069,'Live Data'!$C$19)),"")</f>
        <v/>
      </c>
      <c r="I1069" s="54" t="str">
        <f>IFERROR(IF(INDEX(SPOT_Import!$A$1:$Z$2488,1069,'Live Data'!$C$20)="","",INDEX(SPOT_Import!$A$1:$Z$2488,1069,'Live Data'!$C$20)),"")</f>
        <v>Complete</v>
      </c>
      <c r="J1069" s="54" t="str">
        <f>IFERROR(IF(INDEX(SPOT_Import!$A$1:$Z$2488,1069,'Live Data'!$C$21)="","",INDEX(SPOT_Import!$A$1:$Z$2488,1069,'Live Data'!$C$21)),"")</f>
        <v>2023-02-03T15:23:28.000Z</v>
      </c>
      <c r="K1069" s="54" t="str">
        <f>IFERROR(IF(INDEX(SPOT_Import!$A$1:$Z$2488,1069,'Live Data'!$C$22)="","",INDEX(SPOT_Import!$A$1:$Z$2488,1069,'Live Data'!$C$22)),"")</f>
        <v>2023-02-03T15:23:28.000Z</v>
      </c>
      <c r="L1069" s="55" t="str">
        <f t="shared" si="32"/>
        <v>2023-02</v>
      </c>
      <c r="M1069" s="55" t="str">
        <f t="shared" si="33"/>
        <v>MAKUENI</v>
      </c>
      <c r="N1069" s="55" t="str">
        <f>IF(A1069="","",IFERROR(INDEX('Cluster Map'!$A$4:$A$38,MATCH(M1069,'Cluster Map'!$B$4:$B$38,0)),"Unmapped"))</f>
        <v>Cluster 5</v>
      </c>
      <c r="O1069" s="55">
        <f>IF(A1069="",0,IF(COUNTIFS($A$2:A1069,A1069,$F$2:F1069,F1069,$L$2:L1069,L1069)=1,1,0))</f>
        <v>1</v>
      </c>
      <c r="P1069" s="55">
        <f>IF(A1069="",0,IF(AND(F1069="C&amp;T",COUNTIFS($A$2:A1069,A1069,$F$2:F1069,"C&amp;T")=1),1,0))</f>
        <v>0</v>
      </c>
    </row>
    <row r="1070" spans="1:16" x14ac:dyDescent="0.35">
      <c r="A1070" s="54">
        <f>IFERROR(IF(INDEX(SPOT_Import!$A$1:$Z$2488,1070,'Live Data'!$C$12)="","",INDEX(SPOT_Import!$A$1:$Z$2488,1070,'Live Data'!$C$12)),"")</f>
        <v>12422</v>
      </c>
      <c r="B1070" s="54" t="str">
        <f>IFERROR(IF(INDEX(SPOT_Import!$A$1:$Z$2488,1070,'Live Data'!$C$13)="","",INDEX(SPOT_Import!$A$1:$Z$2488,1070,'Live Data'!$C$13)),"")</f>
        <v>Laare Health Centre</v>
      </c>
      <c r="C1070" s="54" t="str">
        <f>IFERROR(IF(INDEX(SPOT_Import!$A$1:$Z$2488,1070,'Live Data'!$C$14)="","",INDEX(SPOT_Import!$A$1:$Z$2488,1070,'Live Data'!$C$14)),"")</f>
        <v>MERU</v>
      </c>
      <c r="D1070" s="54" t="str">
        <f>IFERROR(IF(INDEX(SPOT_Import!$A$1:$Z$2488,1070,'Live Data'!$C$15)="","",INDEX(SPOT_Import!$A$1:$Z$2488,1070,'Live Data'!$C$15)),"")</f>
        <v>Igembe North</v>
      </c>
      <c r="E1070" s="54" t="str">
        <f>IFERROR(IF(INDEX(SPOT_Import!$A$1:$Z$2488,1070,'Live Data'!$C$16)="","",INDEX(SPOT_Import!$A$1:$Z$2488,1070,'Live Data'!$C$16)),"")</f>
        <v>CHAK CHAP STAWISHA</v>
      </c>
      <c r="F1070" s="54" t="str">
        <f>IFERROR(IF(INDEX(SPOT_Import!$A$1:$Z$2488,1070,'Live Data'!$C$17)="","",INDEX(SPOT_Import!$A$1:$Z$2488,1070,'Live Data'!$C$17)),"")</f>
        <v>PKV</v>
      </c>
      <c r="G1070" s="54">
        <f>IFERROR(IF(INDEX(SPOT_Import!$A$1:$Z$2488,1070,'Live Data'!$C$18)="","",INDEX(SPOT_Import!$A$1:$Z$2488,1070,'Live Data'!$C$18)),"")</f>
        <v>4977</v>
      </c>
      <c r="H1070" s="54" t="str">
        <f>IFERROR(IF(INDEX(SPOT_Import!$A$1:$Z$2488,1070,'Live Data'!$C$19)="","",INDEX(SPOT_Import!$A$1:$Z$2488,1070,'Live Data'!$C$19)),"")</f>
        <v/>
      </c>
      <c r="I1070" s="54" t="str">
        <f>IFERROR(IF(INDEX(SPOT_Import!$A$1:$Z$2488,1070,'Live Data'!$C$20)="","",INDEX(SPOT_Import!$A$1:$Z$2488,1070,'Live Data'!$C$20)),"")</f>
        <v>Complete</v>
      </c>
      <c r="J1070" s="54" t="str">
        <f>IFERROR(IF(INDEX(SPOT_Import!$A$1:$Z$2488,1070,'Live Data'!$C$21)="","",INDEX(SPOT_Import!$A$1:$Z$2488,1070,'Live Data'!$C$21)),"")</f>
        <v>2023-02-03T14:07:58.000Z</v>
      </c>
      <c r="K1070" s="54" t="str">
        <f>IFERROR(IF(INDEX(SPOT_Import!$A$1:$Z$2488,1070,'Live Data'!$C$22)="","",INDEX(SPOT_Import!$A$1:$Z$2488,1070,'Live Data'!$C$22)),"")</f>
        <v>2023-02-03T14:07:58.000Z</v>
      </c>
      <c r="L1070" s="55" t="str">
        <f t="shared" si="32"/>
        <v>2023-02</v>
      </c>
      <c r="M1070" s="55" t="str">
        <f t="shared" si="33"/>
        <v>MERU</v>
      </c>
      <c r="N1070" s="55" t="str">
        <f>IF(A1070="","",IFERROR(INDEX('Cluster Map'!$A$4:$A$38,MATCH(M1070,'Cluster Map'!$B$4:$B$38,0)),"Unmapped"))</f>
        <v>Cluster 1</v>
      </c>
      <c r="O1070" s="55">
        <f>IF(A1070="",0,IF(COUNTIFS($A$2:A1070,A1070,$F$2:F1070,F1070,$L$2:L1070,L1070)=1,1,0))</f>
        <v>1</v>
      </c>
      <c r="P1070" s="55">
        <f>IF(A1070="",0,IF(AND(F1070="C&amp;T",COUNTIFS($A$2:A1070,A1070,$F$2:F1070,"C&amp;T")=1),1,0))</f>
        <v>0</v>
      </c>
    </row>
    <row r="1071" spans="1:16" x14ac:dyDescent="0.35">
      <c r="A1071" s="54">
        <f>IFERROR(IF(INDEX(SPOT_Import!$A$1:$Z$2488,1071,'Live Data'!$C$12)="","",INDEX(SPOT_Import!$A$1:$Z$2488,1071,'Live Data'!$C$12)),"")</f>
        <v>11030</v>
      </c>
      <c r="B1071" s="54" t="str">
        <f>IFERROR(IF(INDEX(SPOT_Import!$A$1:$Z$2488,1071,'Live Data'!$C$13)="","",INDEX(SPOT_Import!$A$1:$Z$2488,1071,'Live Data'!$C$13)),"")</f>
        <v>St Charles Lwanga Dispensary</v>
      </c>
      <c r="C1071" s="54" t="str">
        <f>IFERROR(IF(INDEX(SPOT_Import!$A$1:$Z$2488,1071,'Live Data'!$C$14)="","",INDEX(SPOT_Import!$A$1:$Z$2488,1071,'Live Data'!$C$14)),"")</f>
        <v>KIAMBU</v>
      </c>
      <c r="D1071" s="54" t="str">
        <f>IFERROR(IF(INDEX(SPOT_Import!$A$1:$Z$2488,1071,'Live Data'!$C$15)="","",INDEX(SPOT_Import!$A$1:$Z$2488,1071,'Live Data'!$C$15)),"")</f>
        <v>Limuru</v>
      </c>
      <c r="E1071" s="54" t="str">
        <f>IFERROR(IF(INDEX(SPOT_Import!$A$1:$Z$2488,1071,'Live Data'!$C$16)="","",INDEX(SPOT_Import!$A$1:$Z$2488,1071,'Live Data'!$C$16)),"")</f>
        <v>CHAK CHAP STAWISHA</v>
      </c>
      <c r="F1071" s="54" t="str">
        <f>IFERROR(IF(INDEX(SPOT_Import!$A$1:$Z$2488,1071,'Live Data'!$C$17)="","",INDEX(SPOT_Import!$A$1:$Z$2488,1071,'Live Data'!$C$17)),"")</f>
        <v>PKV</v>
      </c>
      <c r="G1071" s="54">
        <f>IFERROR(IF(INDEX(SPOT_Import!$A$1:$Z$2488,1071,'Live Data'!$C$18)="","",INDEX(SPOT_Import!$A$1:$Z$2488,1071,'Live Data'!$C$18)),"")</f>
        <v>1820</v>
      </c>
      <c r="H1071" s="54" t="str">
        <f>IFERROR(IF(INDEX(SPOT_Import!$A$1:$Z$2488,1071,'Live Data'!$C$19)="","",INDEX(SPOT_Import!$A$1:$Z$2488,1071,'Live Data'!$C$19)),"")</f>
        <v/>
      </c>
      <c r="I1071" s="54" t="str">
        <f>IFERROR(IF(INDEX(SPOT_Import!$A$1:$Z$2488,1071,'Live Data'!$C$20)="","",INDEX(SPOT_Import!$A$1:$Z$2488,1071,'Live Data'!$C$20)),"")</f>
        <v>Complete</v>
      </c>
      <c r="J1071" s="54" t="str">
        <f>IFERROR(IF(INDEX(SPOT_Import!$A$1:$Z$2488,1071,'Live Data'!$C$21)="","",INDEX(SPOT_Import!$A$1:$Z$2488,1071,'Live Data'!$C$21)),"")</f>
        <v>2023-02-03T11:59:51.000Z</v>
      </c>
      <c r="K1071" s="54" t="str">
        <f>IFERROR(IF(INDEX(SPOT_Import!$A$1:$Z$2488,1071,'Live Data'!$C$22)="","",INDEX(SPOT_Import!$A$1:$Z$2488,1071,'Live Data'!$C$22)),"")</f>
        <v>2023-02-03T11:59:51.000Z</v>
      </c>
      <c r="L1071" s="55" t="str">
        <f t="shared" si="32"/>
        <v>2023-02</v>
      </c>
      <c r="M1071" s="55" t="str">
        <f t="shared" si="33"/>
        <v>KIAMBU</v>
      </c>
      <c r="N1071" s="55" t="str">
        <f>IF(A1071="","",IFERROR(INDEX('Cluster Map'!$A$4:$A$38,MATCH(M1071,'Cluster Map'!$B$4:$B$38,0)),"Unmapped"))</f>
        <v>Cluster 3</v>
      </c>
      <c r="O1071" s="55">
        <f>IF(A1071="",0,IF(COUNTIFS($A$2:A1071,A1071,$F$2:F1071,F1071,$L$2:L1071,L1071)=1,1,0))</f>
        <v>1</v>
      </c>
      <c r="P1071" s="55">
        <f>IF(A1071="",0,IF(AND(F1071="C&amp;T",COUNTIFS($A$2:A1071,A1071,$F$2:F1071,"C&amp;T")=1),1,0))</f>
        <v>0</v>
      </c>
    </row>
    <row r="1072" spans="1:16" x14ac:dyDescent="0.35">
      <c r="A1072" s="54">
        <f>IFERROR(IF(INDEX(SPOT_Import!$A$1:$Z$2488,1072,'Live Data'!$C$12)="","",INDEX(SPOT_Import!$A$1:$Z$2488,1072,'Live Data'!$C$12)),"")</f>
        <v>10603</v>
      </c>
      <c r="B1072" s="54" t="str">
        <f>IFERROR(IF(INDEX(SPOT_Import!$A$1:$Z$2488,1072,'Live Data'!$C$13)="","",INDEX(SPOT_Import!$A$1:$Z$2488,1072,'Live Data'!$C$13)),"")</f>
        <v>Kikuyu (PCEA) Hospital</v>
      </c>
      <c r="C1072" s="54" t="str">
        <f>IFERROR(IF(INDEX(SPOT_Import!$A$1:$Z$2488,1072,'Live Data'!$C$14)="","",INDEX(SPOT_Import!$A$1:$Z$2488,1072,'Live Data'!$C$14)),"")</f>
        <v>KIAMBU</v>
      </c>
      <c r="D1072" s="54" t="str">
        <f>IFERROR(IF(INDEX(SPOT_Import!$A$1:$Z$2488,1072,'Live Data'!$C$15)="","",INDEX(SPOT_Import!$A$1:$Z$2488,1072,'Live Data'!$C$15)),"")</f>
        <v>Kikuyu</v>
      </c>
      <c r="E1072" s="54" t="str">
        <f>IFERROR(IF(INDEX(SPOT_Import!$A$1:$Z$2488,1072,'Live Data'!$C$16)="","",INDEX(SPOT_Import!$A$1:$Z$2488,1072,'Live Data'!$C$16)),"")</f>
        <v>CHAK CHAP STAWISHA</v>
      </c>
      <c r="F1072" s="54" t="str">
        <f>IFERROR(IF(INDEX(SPOT_Import!$A$1:$Z$2488,1072,'Live Data'!$C$17)="","",INDEX(SPOT_Import!$A$1:$Z$2488,1072,'Live Data'!$C$17)),"")</f>
        <v>PKV</v>
      </c>
      <c r="G1072" s="54">
        <f>IFERROR(IF(INDEX(SPOT_Import!$A$1:$Z$2488,1072,'Live Data'!$C$18)="","",INDEX(SPOT_Import!$A$1:$Z$2488,1072,'Live Data'!$C$18)),"")</f>
        <v>14033</v>
      </c>
      <c r="H1072" s="54">
        <f>IFERROR(IF(INDEX(SPOT_Import!$A$1:$Z$2488,1072,'Live Data'!$C$19)="","",INDEX(SPOT_Import!$A$1:$Z$2488,1072,'Live Data'!$C$19)),"")</f>
        <v>115535</v>
      </c>
      <c r="I1072" s="54" t="str">
        <f>IFERROR(IF(INDEX(SPOT_Import!$A$1:$Z$2488,1072,'Live Data'!$C$20)="","",INDEX(SPOT_Import!$A$1:$Z$2488,1072,'Live Data'!$C$20)),"")</f>
        <v>Complete</v>
      </c>
      <c r="J1072" s="54" t="str">
        <f>IFERROR(IF(INDEX(SPOT_Import!$A$1:$Z$2488,1072,'Live Data'!$C$21)="","",INDEX(SPOT_Import!$A$1:$Z$2488,1072,'Live Data'!$C$21)),"")</f>
        <v>2023-02-03T11:58:01.000Z</v>
      </c>
      <c r="K1072" s="54" t="str">
        <f>IFERROR(IF(INDEX(SPOT_Import!$A$1:$Z$2488,1072,'Live Data'!$C$22)="","",INDEX(SPOT_Import!$A$1:$Z$2488,1072,'Live Data'!$C$22)),"")</f>
        <v>2023-02-03T11:58:01.000Z</v>
      </c>
      <c r="L1072" s="55" t="str">
        <f t="shared" si="32"/>
        <v>2023-02</v>
      </c>
      <c r="M1072" s="55" t="str">
        <f t="shared" si="33"/>
        <v>KIAMBU</v>
      </c>
      <c r="N1072" s="55" t="str">
        <f>IF(A1072="","",IFERROR(INDEX('Cluster Map'!$A$4:$A$38,MATCH(M1072,'Cluster Map'!$B$4:$B$38,0)),"Unmapped"))</f>
        <v>Cluster 3</v>
      </c>
      <c r="O1072" s="55">
        <f>IF(A1072="",0,IF(COUNTIFS($A$2:A1072,A1072,$F$2:F1072,F1072,$L$2:L1072,L1072)=1,1,0))</f>
        <v>1</v>
      </c>
      <c r="P1072" s="55">
        <f>IF(A1072="",0,IF(AND(F1072="C&amp;T",COUNTIFS($A$2:A1072,A1072,$F$2:F1072,"C&amp;T")=1),1,0))</f>
        <v>0</v>
      </c>
    </row>
    <row r="1073" spans="1:16" x14ac:dyDescent="0.35">
      <c r="A1073" s="54">
        <f>IFERROR(IF(INDEX(SPOT_Import!$A$1:$Z$2488,1073,'Live Data'!$C$12)="","",INDEX(SPOT_Import!$A$1:$Z$2488,1073,'Live Data'!$C$12)),"")</f>
        <v>22152</v>
      </c>
      <c r="B1073" s="54" t="str">
        <f>IFERROR(IF(INDEX(SPOT_Import!$A$1:$Z$2488,1073,'Live Data'!$C$13)="","",INDEX(SPOT_Import!$A$1:$Z$2488,1073,'Live Data'!$C$13)),"")</f>
        <v>Kitololoni Catholic Dispensary</v>
      </c>
      <c r="C1073" s="54" t="str">
        <f>IFERROR(IF(INDEX(SPOT_Import!$A$1:$Z$2488,1073,'Live Data'!$C$14)="","",INDEX(SPOT_Import!$A$1:$Z$2488,1073,'Live Data'!$C$14)),"")</f>
        <v>EMBU</v>
      </c>
      <c r="D1073" s="54" t="str">
        <f>IFERROR(IF(INDEX(SPOT_Import!$A$1:$Z$2488,1073,'Live Data'!$C$15)="","",INDEX(SPOT_Import!$A$1:$Z$2488,1073,'Live Data'!$C$15)),"")</f>
        <v>Mbeere South</v>
      </c>
      <c r="E1073" s="54" t="str">
        <f>IFERROR(IF(INDEX(SPOT_Import!$A$1:$Z$2488,1073,'Live Data'!$C$16)="","",INDEX(SPOT_Import!$A$1:$Z$2488,1073,'Live Data'!$C$16)),"")</f>
        <v>CHAK CHAP STAWISHA</v>
      </c>
      <c r="F1073" s="54" t="str">
        <f>IFERROR(IF(INDEX(SPOT_Import!$A$1:$Z$2488,1073,'Live Data'!$C$17)="","",INDEX(SPOT_Import!$A$1:$Z$2488,1073,'Live Data'!$C$17)),"")</f>
        <v>PKV</v>
      </c>
      <c r="G1073" s="54">
        <f>IFERROR(IF(INDEX(SPOT_Import!$A$1:$Z$2488,1073,'Live Data'!$C$18)="","",INDEX(SPOT_Import!$A$1:$Z$2488,1073,'Live Data'!$C$18)),"")</f>
        <v>1358</v>
      </c>
      <c r="H1073" s="54" t="str">
        <f>IFERROR(IF(INDEX(SPOT_Import!$A$1:$Z$2488,1073,'Live Data'!$C$19)="","",INDEX(SPOT_Import!$A$1:$Z$2488,1073,'Live Data'!$C$19)),"")</f>
        <v/>
      </c>
      <c r="I1073" s="54" t="str">
        <f>IFERROR(IF(INDEX(SPOT_Import!$A$1:$Z$2488,1073,'Live Data'!$C$20)="","",INDEX(SPOT_Import!$A$1:$Z$2488,1073,'Live Data'!$C$20)),"")</f>
        <v>Complete</v>
      </c>
      <c r="J1073" s="54" t="str">
        <f>IFERROR(IF(INDEX(SPOT_Import!$A$1:$Z$2488,1073,'Live Data'!$C$21)="","",INDEX(SPOT_Import!$A$1:$Z$2488,1073,'Live Data'!$C$21)),"")</f>
        <v>2023-02-03T11:48:15.000Z</v>
      </c>
      <c r="K1073" s="54" t="str">
        <f>IFERROR(IF(INDEX(SPOT_Import!$A$1:$Z$2488,1073,'Live Data'!$C$22)="","",INDEX(SPOT_Import!$A$1:$Z$2488,1073,'Live Data'!$C$22)),"")</f>
        <v>2023-02-03T11:48:15.000Z</v>
      </c>
      <c r="L1073" s="55" t="str">
        <f t="shared" si="32"/>
        <v>2023-02</v>
      </c>
      <c r="M1073" s="55" t="str">
        <f t="shared" si="33"/>
        <v>EMBU</v>
      </c>
      <c r="N1073" s="55" t="str">
        <f>IF(A1073="","",IFERROR(INDEX('Cluster Map'!$A$4:$A$38,MATCH(M1073,'Cluster Map'!$B$4:$B$38,0)),"Unmapped"))</f>
        <v>Cluster 2</v>
      </c>
      <c r="O1073" s="55">
        <f>IF(A1073="",0,IF(COUNTIFS($A$2:A1073,A1073,$F$2:F1073,F1073,$L$2:L1073,L1073)=1,1,0))</f>
        <v>1</v>
      </c>
      <c r="P1073" s="55">
        <f>IF(A1073="",0,IF(AND(F1073="C&amp;T",COUNTIFS($A$2:A1073,A1073,$F$2:F1073,"C&amp;T")=1),1,0))</f>
        <v>0</v>
      </c>
    </row>
    <row r="1074" spans="1:16" x14ac:dyDescent="0.35">
      <c r="A1074" s="54">
        <f>IFERROR(IF(INDEX(SPOT_Import!$A$1:$Z$2488,1074,'Live Data'!$C$12)="","",INDEX(SPOT_Import!$A$1:$Z$2488,1074,'Live Data'!$C$12)),"")</f>
        <v>10693</v>
      </c>
      <c r="B1074" s="54" t="str">
        <f>IFERROR(IF(INDEX(SPOT_Import!$A$1:$Z$2488,1074,'Live Data'!$C$13)="","",INDEX(SPOT_Import!$A$1:$Z$2488,1074,'Live Data'!$C$13)),"")</f>
        <v>Kijabe (AIC) Hospital Marira Medical Clinic</v>
      </c>
      <c r="C1074" s="54" t="str">
        <f>IFERROR(IF(INDEX(SPOT_Import!$A$1:$Z$2488,1074,'Live Data'!$C$14)="","",INDEX(SPOT_Import!$A$1:$Z$2488,1074,'Live Data'!$C$14)),"")</f>
        <v>KIAMBU</v>
      </c>
      <c r="D1074" s="54" t="str">
        <f>IFERROR(IF(INDEX(SPOT_Import!$A$1:$Z$2488,1074,'Live Data'!$C$15)="","",INDEX(SPOT_Import!$A$1:$Z$2488,1074,'Live Data'!$C$15)),"")</f>
        <v>Lari</v>
      </c>
      <c r="E1074" s="54" t="str">
        <f>IFERROR(IF(INDEX(SPOT_Import!$A$1:$Z$2488,1074,'Live Data'!$C$16)="","",INDEX(SPOT_Import!$A$1:$Z$2488,1074,'Live Data'!$C$16)),"")</f>
        <v>CHAK CHAP STAWISHA</v>
      </c>
      <c r="F1074" s="54" t="str">
        <f>IFERROR(IF(INDEX(SPOT_Import!$A$1:$Z$2488,1074,'Live Data'!$C$17)="","",INDEX(SPOT_Import!$A$1:$Z$2488,1074,'Live Data'!$C$17)),"")</f>
        <v>PKV</v>
      </c>
      <c r="G1074" s="54">
        <f>IFERROR(IF(INDEX(SPOT_Import!$A$1:$Z$2488,1074,'Live Data'!$C$18)="","",INDEX(SPOT_Import!$A$1:$Z$2488,1074,'Live Data'!$C$18)),"")</f>
        <v>4273</v>
      </c>
      <c r="H1074" s="54" t="str">
        <f>IFERROR(IF(INDEX(SPOT_Import!$A$1:$Z$2488,1074,'Live Data'!$C$19)="","",INDEX(SPOT_Import!$A$1:$Z$2488,1074,'Live Data'!$C$19)),"")</f>
        <v/>
      </c>
      <c r="I1074" s="54" t="str">
        <f>IFERROR(IF(INDEX(SPOT_Import!$A$1:$Z$2488,1074,'Live Data'!$C$20)="","",INDEX(SPOT_Import!$A$1:$Z$2488,1074,'Live Data'!$C$20)),"")</f>
        <v>Complete</v>
      </c>
      <c r="J1074" s="54" t="str">
        <f>IFERROR(IF(INDEX(SPOT_Import!$A$1:$Z$2488,1074,'Live Data'!$C$21)="","",INDEX(SPOT_Import!$A$1:$Z$2488,1074,'Live Data'!$C$21)),"")</f>
        <v>2023-02-03T08:08:37.000Z</v>
      </c>
      <c r="K1074" s="54" t="str">
        <f>IFERROR(IF(INDEX(SPOT_Import!$A$1:$Z$2488,1074,'Live Data'!$C$22)="","",INDEX(SPOT_Import!$A$1:$Z$2488,1074,'Live Data'!$C$22)),"")</f>
        <v>2023-02-03T08:08:37.000Z</v>
      </c>
      <c r="L1074" s="55" t="str">
        <f t="shared" si="32"/>
        <v>2023-02</v>
      </c>
      <c r="M1074" s="55" t="str">
        <f t="shared" si="33"/>
        <v>KIAMBU</v>
      </c>
      <c r="N1074" s="55" t="str">
        <f>IF(A1074="","",IFERROR(INDEX('Cluster Map'!$A$4:$A$38,MATCH(M1074,'Cluster Map'!$B$4:$B$38,0)),"Unmapped"))</f>
        <v>Cluster 3</v>
      </c>
      <c r="O1074" s="55">
        <f>IF(A1074="",0,IF(COUNTIFS($A$2:A1074,A1074,$F$2:F1074,F1074,$L$2:L1074,L1074)=1,1,0))</f>
        <v>1</v>
      </c>
      <c r="P1074" s="55">
        <f>IF(A1074="",0,IF(AND(F1074="C&amp;T",COUNTIFS($A$2:A1074,A1074,$F$2:F1074,"C&amp;T")=1),1,0))</f>
        <v>0</v>
      </c>
    </row>
    <row r="1075" spans="1:16" x14ac:dyDescent="0.35">
      <c r="A1075" s="54">
        <f>IFERROR(IF(INDEX(SPOT_Import!$A$1:$Z$2488,1075,'Live Data'!$C$12)="","",INDEX(SPOT_Import!$A$1:$Z$2488,1075,'Live Data'!$C$12)),"")</f>
        <v>11041</v>
      </c>
      <c r="B1075" s="54" t="str">
        <f>IFERROR(IF(INDEX(SPOT_Import!$A$1:$Z$2488,1075,'Live Data'!$C$13)="","",INDEX(SPOT_Import!$A$1:$Z$2488,1075,'Live Data'!$C$13)),"")</f>
        <v>St Joseph Catholic Dispensary (Ruiru)</v>
      </c>
      <c r="C1075" s="54" t="str">
        <f>IFERROR(IF(INDEX(SPOT_Import!$A$1:$Z$2488,1075,'Live Data'!$C$14)="","",INDEX(SPOT_Import!$A$1:$Z$2488,1075,'Live Data'!$C$14)),"")</f>
        <v>KIAMBU</v>
      </c>
      <c r="D1075" s="54" t="str">
        <f>IFERROR(IF(INDEX(SPOT_Import!$A$1:$Z$2488,1075,'Live Data'!$C$15)="","",INDEX(SPOT_Import!$A$1:$Z$2488,1075,'Live Data'!$C$15)),"")</f>
        <v>Ruiru</v>
      </c>
      <c r="E1075" s="54" t="str">
        <f>IFERROR(IF(INDEX(SPOT_Import!$A$1:$Z$2488,1075,'Live Data'!$C$16)="","",INDEX(SPOT_Import!$A$1:$Z$2488,1075,'Live Data'!$C$16)),"")</f>
        <v>CHAK CHAP STAWISHA</v>
      </c>
      <c r="F1075" s="54" t="str">
        <f>IFERROR(IF(INDEX(SPOT_Import!$A$1:$Z$2488,1075,'Live Data'!$C$17)="","",INDEX(SPOT_Import!$A$1:$Z$2488,1075,'Live Data'!$C$17)),"")</f>
        <v>PKV</v>
      </c>
      <c r="G1075" s="54">
        <f>IFERROR(IF(INDEX(SPOT_Import!$A$1:$Z$2488,1075,'Live Data'!$C$18)="","",INDEX(SPOT_Import!$A$1:$Z$2488,1075,'Live Data'!$C$18)),"")</f>
        <v>1999</v>
      </c>
      <c r="H1075" s="54" t="str">
        <f>IFERROR(IF(INDEX(SPOT_Import!$A$1:$Z$2488,1075,'Live Data'!$C$19)="","",INDEX(SPOT_Import!$A$1:$Z$2488,1075,'Live Data'!$C$19)),"")</f>
        <v/>
      </c>
      <c r="I1075" s="54" t="str">
        <f>IFERROR(IF(INDEX(SPOT_Import!$A$1:$Z$2488,1075,'Live Data'!$C$20)="","",INDEX(SPOT_Import!$A$1:$Z$2488,1075,'Live Data'!$C$20)),"")</f>
        <v>Complete</v>
      </c>
      <c r="J1075" s="54" t="str">
        <f>IFERROR(IF(INDEX(SPOT_Import!$A$1:$Z$2488,1075,'Live Data'!$C$21)="","",INDEX(SPOT_Import!$A$1:$Z$2488,1075,'Live Data'!$C$21)),"")</f>
        <v>2023-02-02T13:47:27.000Z</v>
      </c>
      <c r="K1075" s="54" t="str">
        <f>IFERROR(IF(INDEX(SPOT_Import!$A$1:$Z$2488,1075,'Live Data'!$C$22)="","",INDEX(SPOT_Import!$A$1:$Z$2488,1075,'Live Data'!$C$22)),"")</f>
        <v>2023-02-02T13:47:27.000Z</v>
      </c>
      <c r="L1075" s="55" t="str">
        <f t="shared" si="32"/>
        <v>2023-02</v>
      </c>
      <c r="M1075" s="55" t="str">
        <f t="shared" si="33"/>
        <v>KIAMBU</v>
      </c>
      <c r="N1075" s="55" t="str">
        <f>IF(A1075="","",IFERROR(INDEX('Cluster Map'!$A$4:$A$38,MATCH(M1075,'Cluster Map'!$B$4:$B$38,0)),"Unmapped"))</f>
        <v>Cluster 3</v>
      </c>
      <c r="O1075" s="55">
        <f>IF(A1075="",0,IF(COUNTIFS($A$2:A1075,A1075,$F$2:F1075,F1075,$L$2:L1075,L1075)=1,1,0))</f>
        <v>1</v>
      </c>
      <c r="P1075" s="55">
        <f>IF(A1075="",0,IF(AND(F1075="C&amp;T",COUNTIFS($A$2:A1075,A1075,$F$2:F1075,"C&amp;T")=1),1,0))</f>
        <v>0</v>
      </c>
    </row>
    <row r="1076" spans="1:16" x14ac:dyDescent="0.35">
      <c r="A1076" s="54">
        <f>IFERROR(IF(INDEX(SPOT_Import!$A$1:$Z$2488,1076,'Live Data'!$C$12)="","",INDEX(SPOT_Import!$A$1:$Z$2488,1076,'Live Data'!$C$12)),"")</f>
        <v>10100</v>
      </c>
      <c r="B1076" s="54" t="str">
        <f>IFERROR(IF(INDEX(SPOT_Import!$A$1:$Z$2488,1076,'Live Data'!$C$13)="","",INDEX(SPOT_Import!$A$1:$Z$2488,1076,'Live Data'!$C$13)),"")</f>
        <v>Consolata Mission Hospital (Mathari)</v>
      </c>
      <c r="C1076" s="54" t="str">
        <f>IFERROR(IF(INDEX(SPOT_Import!$A$1:$Z$2488,1076,'Live Data'!$C$14)="","",INDEX(SPOT_Import!$A$1:$Z$2488,1076,'Live Data'!$C$14)),"")</f>
        <v>NYERI</v>
      </c>
      <c r="D1076" s="54" t="str">
        <f>IFERROR(IF(INDEX(SPOT_Import!$A$1:$Z$2488,1076,'Live Data'!$C$15)="","",INDEX(SPOT_Import!$A$1:$Z$2488,1076,'Live Data'!$C$15)),"")</f>
        <v>Nyeri Central</v>
      </c>
      <c r="E1076" s="54" t="str">
        <f>IFERROR(IF(INDEX(SPOT_Import!$A$1:$Z$2488,1076,'Live Data'!$C$16)="","",INDEX(SPOT_Import!$A$1:$Z$2488,1076,'Live Data'!$C$16)),"")</f>
        <v>CHAK CHAP STAWISHA</v>
      </c>
      <c r="F1076" s="54" t="str">
        <f>IFERROR(IF(INDEX(SPOT_Import!$A$1:$Z$2488,1076,'Live Data'!$C$17)="","",INDEX(SPOT_Import!$A$1:$Z$2488,1076,'Live Data'!$C$17)),"")</f>
        <v>PKV</v>
      </c>
      <c r="G1076" s="54">
        <f>IFERROR(IF(INDEX(SPOT_Import!$A$1:$Z$2488,1076,'Live Data'!$C$18)="","",INDEX(SPOT_Import!$A$1:$Z$2488,1076,'Live Data'!$C$18)),"")</f>
        <v>7349</v>
      </c>
      <c r="H1076" s="54" t="str">
        <f>IFERROR(IF(INDEX(SPOT_Import!$A$1:$Z$2488,1076,'Live Data'!$C$19)="","",INDEX(SPOT_Import!$A$1:$Z$2488,1076,'Live Data'!$C$19)),"")</f>
        <v/>
      </c>
      <c r="I1076" s="54" t="str">
        <f>IFERROR(IF(INDEX(SPOT_Import!$A$1:$Z$2488,1076,'Live Data'!$C$20)="","",INDEX(SPOT_Import!$A$1:$Z$2488,1076,'Live Data'!$C$20)),"")</f>
        <v>Incomplete</v>
      </c>
      <c r="J1076" s="54" t="str">
        <f>IFERROR(IF(INDEX(SPOT_Import!$A$1:$Z$2488,1076,'Live Data'!$C$21)="","",INDEX(SPOT_Import!$A$1:$Z$2488,1076,'Live Data'!$C$21)),"")</f>
        <v>2023-02-02T13:12:25.000Z</v>
      </c>
      <c r="K1076" s="54" t="str">
        <f>IFERROR(IF(INDEX(SPOT_Import!$A$1:$Z$2488,1076,'Live Data'!$C$22)="","",INDEX(SPOT_Import!$A$1:$Z$2488,1076,'Live Data'!$C$22)),"")</f>
        <v>2023-02-02T13:12:25.000Z</v>
      </c>
      <c r="L1076" s="55" t="str">
        <f t="shared" si="32"/>
        <v>2023-02</v>
      </c>
      <c r="M1076" s="55" t="str">
        <f t="shared" si="33"/>
        <v>NYERI</v>
      </c>
      <c r="N1076" s="55" t="str">
        <f>IF(A1076="","",IFERROR(INDEX('Cluster Map'!$A$4:$A$38,MATCH(M1076,'Cluster Map'!$B$4:$B$38,0)),"Unmapped"))</f>
        <v>Cluster 2</v>
      </c>
      <c r="O1076" s="55">
        <f>IF(A1076="",0,IF(COUNTIFS($A$2:A1076,A1076,$F$2:F1076,F1076,$L$2:L1076,L1076)=1,1,0))</f>
        <v>1</v>
      </c>
      <c r="P1076" s="55">
        <f>IF(A1076="",0,IF(AND(F1076="C&amp;T",COUNTIFS($A$2:A1076,A1076,$F$2:F1076,"C&amp;T")=1),1,0))</f>
        <v>0</v>
      </c>
    </row>
    <row r="1077" spans="1:16" x14ac:dyDescent="0.35">
      <c r="A1077" s="54">
        <f>IFERROR(IF(INDEX(SPOT_Import!$A$1:$Z$2488,1077,'Live Data'!$C$12)="","",INDEX(SPOT_Import!$A$1:$Z$2488,1077,'Live Data'!$C$12)),"")</f>
        <v>16995</v>
      </c>
      <c r="B1077" s="54" t="str">
        <f>IFERROR(IF(INDEX(SPOT_Import!$A$1:$Z$2488,1077,'Live Data'!$C$13)="","",INDEX(SPOT_Import!$A$1:$Z$2488,1077,'Live Data'!$C$13)),"")</f>
        <v>St Joseph Kavisuni Health Centre</v>
      </c>
      <c r="C1077" s="54" t="str">
        <f>IFERROR(IF(INDEX(SPOT_Import!$A$1:$Z$2488,1077,'Live Data'!$C$14)="","",INDEX(SPOT_Import!$A$1:$Z$2488,1077,'Live Data'!$C$14)),"")</f>
        <v>KITUI</v>
      </c>
      <c r="D1077" s="54" t="str">
        <f>IFERROR(IF(INDEX(SPOT_Import!$A$1:$Z$2488,1077,'Live Data'!$C$15)="","",INDEX(SPOT_Import!$A$1:$Z$2488,1077,'Live Data'!$C$15)),"")</f>
        <v>Kitui Rural</v>
      </c>
      <c r="E1077" s="54" t="str">
        <f>IFERROR(IF(INDEX(SPOT_Import!$A$1:$Z$2488,1077,'Live Data'!$C$16)="","",INDEX(SPOT_Import!$A$1:$Z$2488,1077,'Live Data'!$C$16)),"")</f>
        <v>CHAK CHAP STAWISHA</v>
      </c>
      <c r="F1077" s="54" t="str">
        <f>IFERROR(IF(INDEX(SPOT_Import!$A$1:$Z$2488,1077,'Live Data'!$C$17)="","",INDEX(SPOT_Import!$A$1:$Z$2488,1077,'Live Data'!$C$17)),"")</f>
        <v>PKV</v>
      </c>
      <c r="G1077" s="54">
        <f>IFERROR(IF(INDEX(SPOT_Import!$A$1:$Z$2488,1077,'Live Data'!$C$18)="","",INDEX(SPOT_Import!$A$1:$Z$2488,1077,'Live Data'!$C$18)),"")</f>
        <v>953</v>
      </c>
      <c r="H1077" s="54" t="str">
        <f>IFERROR(IF(INDEX(SPOT_Import!$A$1:$Z$2488,1077,'Live Data'!$C$19)="","",INDEX(SPOT_Import!$A$1:$Z$2488,1077,'Live Data'!$C$19)),"")</f>
        <v/>
      </c>
      <c r="I1077" s="54" t="str">
        <f>IFERROR(IF(INDEX(SPOT_Import!$A$1:$Z$2488,1077,'Live Data'!$C$20)="","",INDEX(SPOT_Import!$A$1:$Z$2488,1077,'Live Data'!$C$20)),"")</f>
        <v>Complete</v>
      </c>
      <c r="J1077" s="54" t="str">
        <f>IFERROR(IF(INDEX(SPOT_Import!$A$1:$Z$2488,1077,'Live Data'!$C$21)="","",INDEX(SPOT_Import!$A$1:$Z$2488,1077,'Live Data'!$C$21)),"")</f>
        <v>2023-02-02T12:15:21.000Z</v>
      </c>
      <c r="K1077" s="54" t="str">
        <f>IFERROR(IF(INDEX(SPOT_Import!$A$1:$Z$2488,1077,'Live Data'!$C$22)="","",INDEX(SPOT_Import!$A$1:$Z$2488,1077,'Live Data'!$C$22)),"")</f>
        <v>2023-02-02T12:15:21.000Z</v>
      </c>
      <c r="L1077" s="55" t="str">
        <f t="shared" si="32"/>
        <v>2023-02</v>
      </c>
      <c r="M1077" s="55" t="str">
        <f t="shared" si="33"/>
        <v>KITUI</v>
      </c>
      <c r="N1077" s="55" t="str">
        <f>IF(A1077="","",IFERROR(INDEX('Cluster Map'!$A$4:$A$38,MATCH(M1077,'Cluster Map'!$B$4:$B$38,0)),"Unmapped"))</f>
        <v>Cluster 5</v>
      </c>
      <c r="O1077" s="55">
        <f>IF(A1077="",0,IF(COUNTIFS($A$2:A1077,A1077,$F$2:F1077,F1077,$L$2:L1077,L1077)=1,1,0))</f>
        <v>1</v>
      </c>
      <c r="P1077" s="55">
        <f>IF(A1077="",0,IF(AND(F1077="C&amp;T",COUNTIFS($A$2:A1077,A1077,$F$2:F1077,"C&amp;T")=1),1,0))</f>
        <v>0</v>
      </c>
    </row>
    <row r="1078" spans="1:16" x14ac:dyDescent="0.35">
      <c r="A1078" s="54">
        <f>IFERROR(IF(INDEX(SPOT_Import!$A$1:$Z$2488,1078,'Live Data'!$C$12)="","",INDEX(SPOT_Import!$A$1:$Z$2488,1078,'Live Data'!$C$12)),"")</f>
        <v>15636</v>
      </c>
      <c r="B1078" s="54" t="str">
        <f>IFERROR(IF(INDEX(SPOT_Import!$A$1:$Z$2488,1078,'Live Data'!$C$13)="","",INDEX(SPOT_Import!$A$1:$Z$2488,1078,'Live Data'!$C$13)),"")</f>
        <v>St Elizabeth Health Centre</v>
      </c>
      <c r="C1078" s="54" t="str">
        <f>IFERROR(IF(INDEX(SPOT_Import!$A$1:$Z$2488,1078,'Live Data'!$C$14)="","",INDEX(SPOT_Import!$A$1:$Z$2488,1078,'Live Data'!$C$14)),"")</f>
        <v>NAROK</v>
      </c>
      <c r="D1078" s="54" t="str">
        <f>IFERROR(IF(INDEX(SPOT_Import!$A$1:$Z$2488,1078,'Live Data'!$C$15)="","",INDEX(SPOT_Import!$A$1:$Z$2488,1078,'Live Data'!$C$15)),"")</f>
        <v>Narok South</v>
      </c>
      <c r="E1078" s="54" t="str">
        <f>IFERROR(IF(INDEX(SPOT_Import!$A$1:$Z$2488,1078,'Live Data'!$C$16)="","",INDEX(SPOT_Import!$A$1:$Z$2488,1078,'Live Data'!$C$16)),"")</f>
        <v>CHAK CHAP STAWISHA</v>
      </c>
      <c r="F1078" s="54" t="str">
        <f>IFERROR(IF(INDEX(SPOT_Import!$A$1:$Z$2488,1078,'Live Data'!$C$17)="","",INDEX(SPOT_Import!$A$1:$Z$2488,1078,'Live Data'!$C$17)),"")</f>
        <v>PKV</v>
      </c>
      <c r="G1078" s="54">
        <f>IFERROR(IF(INDEX(SPOT_Import!$A$1:$Z$2488,1078,'Live Data'!$C$18)="","",INDEX(SPOT_Import!$A$1:$Z$2488,1078,'Live Data'!$C$18)),"")</f>
        <v>2211</v>
      </c>
      <c r="H1078" s="54">
        <f>IFERROR(IF(INDEX(SPOT_Import!$A$1:$Z$2488,1078,'Live Data'!$C$19)="","",INDEX(SPOT_Import!$A$1:$Z$2488,1078,'Live Data'!$C$19)),"")</f>
        <v>28242</v>
      </c>
      <c r="I1078" s="54" t="str">
        <f>IFERROR(IF(INDEX(SPOT_Import!$A$1:$Z$2488,1078,'Live Data'!$C$20)="","",INDEX(SPOT_Import!$A$1:$Z$2488,1078,'Live Data'!$C$20)),"")</f>
        <v>Complete</v>
      </c>
      <c r="J1078" s="54" t="str">
        <f>IFERROR(IF(INDEX(SPOT_Import!$A$1:$Z$2488,1078,'Live Data'!$C$21)="","",INDEX(SPOT_Import!$A$1:$Z$2488,1078,'Live Data'!$C$21)),"")</f>
        <v>2023-02-02T11:38:52.000Z</v>
      </c>
      <c r="K1078" s="54" t="str">
        <f>IFERROR(IF(INDEX(SPOT_Import!$A$1:$Z$2488,1078,'Live Data'!$C$22)="","",INDEX(SPOT_Import!$A$1:$Z$2488,1078,'Live Data'!$C$22)),"")</f>
        <v>2023-02-02T11:38:52.000Z</v>
      </c>
      <c r="L1078" s="55" t="str">
        <f t="shared" si="32"/>
        <v>2023-02</v>
      </c>
      <c r="M1078" s="55" t="str">
        <f t="shared" si="33"/>
        <v>NAROK</v>
      </c>
      <c r="N1078" s="55" t="str">
        <f>IF(A1078="","",IFERROR(INDEX('Cluster Map'!$A$4:$A$38,MATCH(M1078,'Cluster Map'!$B$4:$B$38,0)),"Unmapped"))</f>
        <v>Cluster 4</v>
      </c>
      <c r="O1078" s="55">
        <f>IF(A1078="",0,IF(COUNTIFS($A$2:A1078,A1078,$F$2:F1078,F1078,$L$2:L1078,L1078)=1,1,0))</f>
        <v>1</v>
      </c>
      <c r="P1078" s="55">
        <f>IF(A1078="",0,IF(AND(F1078="C&amp;T",COUNTIFS($A$2:A1078,A1078,$F$2:F1078,"C&amp;T")=1),1,0))</f>
        <v>0</v>
      </c>
    </row>
    <row r="1079" spans="1:16" x14ac:dyDescent="0.35">
      <c r="A1079" s="54">
        <f>IFERROR(IF(INDEX(SPOT_Import!$A$1:$Z$2488,1079,'Live Data'!$C$12)="","",INDEX(SPOT_Import!$A$1:$Z$2488,1079,'Live Data'!$C$12)),"")</f>
        <v>12205</v>
      </c>
      <c r="B1079" s="54" t="str">
        <f>IFERROR(IF(INDEX(SPOT_Import!$A$1:$Z$2488,1079,'Live Data'!$C$13)="","",INDEX(SPOT_Import!$A$1:$Z$2488,1079,'Live Data'!$C$13)),"")</f>
        <v>PCEA Kasasule Dispensary</v>
      </c>
      <c r="C1079" s="54" t="str">
        <f>IFERROR(IF(INDEX(SPOT_Import!$A$1:$Z$2488,1079,'Live Data'!$C$14)="","",INDEX(SPOT_Import!$A$1:$Z$2488,1079,'Live Data'!$C$14)),"")</f>
        <v>MAKUENI</v>
      </c>
      <c r="D1079" s="54" t="str">
        <f>IFERROR(IF(INDEX(SPOT_Import!$A$1:$Z$2488,1079,'Live Data'!$C$15)="","",INDEX(SPOT_Import!$A$1:$Z$2488,1079,'Live Data'!$C$15)),"")</f>
        <v>Kibwezi East</v>
      </c>
      <c r="E1079" s="54" t="str">
        <f>IFERROR(IF(INDEX(SPOT_Import!$A$1:$Z$2488,1079,'Live Data'!$C$16)="","",INDEX(SPOT_Import!$A$1:$Z$2488,1079,'Live Data'!$C$16)),"")</f>
        <v>CHAK CHAP STAWISHA</v>
      </c>
      <c r="F1079" s="54" t="str">
        <f>IFERROR(IF(INDEX(SPOT_Import!$A$1:$Z$2488,1079,'Live Data'!$C$17)="","",INDEX(SPOT_Import!$A$1:$Z$2488,1079,'Live Data'!$C$17)),"")</f>
        <v>PKV</v>
      </c>
      <c r="G1079" s="54">
        <f>IFERROR(IF(INDEX(SPOT_Import!$A$1:$Z$2488,1079,'Live Data'!$C$18)="","",INDEX(SPOT_Import!$A$1:$Z$2488,1079,'Live Data'!$C$18)),"")</f>
        <v>1003</v>
      </c>
      <c r="H1079" s="54">
        <f>IFERROR(IF(INDEX(SPOT_Import!$A$1:$Z$2488,1079,'Live Data'!$C$19)="","",INDEX(SPOT_Import!$A$1:$Z$2488,1079,'Live Data'!$C$19)),"")</f>
        <v>8245</v>
      </c>
      <c r="I1079" s="54" t="str">
        <f>IFERROR(IF(INDEX(SPOT_Import!$A$1:$Z$2488,1079,'Live Data'!$C$20)="","",INDEX(SPOT_Import!$A$1:$Z$2488,1079,'Live Data'!$C$20)),"")</f>
        <v>Complete</v>
      </c>
      <c r="J1079" s="54" t="str">
        <f>IFERROR(IF(INDEX(SPOT_Import!$A$1:$Z$2488,1079,'Live Data'!$C$21)="","",INDEX(SPOT_Import!$A$1:$Z$2488,1079,'Live Data'!$C$21)),"")</f>
        <v>2023-02-02T11:19:57.000Z</v>
      </c>
      <c r="K1079" s="54" t="str">
        <f>IFERROR(IF(INDEX(SPOT_Import!$A$1:$Z$2488,1079,'Live Data'!$C$22)="","",INDEX(SPOT_Import!$A$1:$Z$2488,1079,'Live Data'!$C$22)),"")</f>
        <v>2023-02-02T11:19:57.000Z</v>
      </c>
      <c r="L1079" s="55" t="str">
        <f t="shared" si="32"/>
        <v>2023-02</v>
      </c>
      <c r="M1079" s="55" t="str">
        <f t="shared" si="33"/>
        <v>MAKUENI</v>
      </c>
      <c r="N1079" s="55" t="str">
        <f>IF(A1079="","",IFERROR(INDEX('Cluster Map'!$A$4:$A$38,MATCH(M1079,'Cluster Map'!$B$4:$B$38,0)),"Unmapped"))</f>
        <v>Cluster 5</v>
      </c>
      <c r="O1079" s="55">
        <f>IF(A1079="",0,IF(COUNTIFS($A$2:A1079,A1079,$F$2:F1079,F1079,$L$2:L1079,L1079)=1,1,0))</f>
        <v>1</v>
      </c>
      <c r="P1079" s="55">
        <f>IF(A1079="",0,IF(AND(F1079="C&amp;T",COUNTIFS($A$2:A1079,A1079,$F$2:F1079,"C&amp;T")=1),1,0))</f>
        <v>0</v>
      </c>
    </row>
    <row r="1080" spans="1:16" x14ac:dyDescent="0.35">
      <c r="A1080" s="54">
        <f>IFERROR(IF(INDEX(SPOT_Import!$A$1:$Z$2488,1080,'Live Data'!$C$12)="","",INDEX(SPOT_Import!$A$1:$Z$2488,1080,'Live Data'!$C$12)),"")</f>
        <v>17560</v>
      </c>
      <c r="B1080" s="54" t="str">
        <f>IFERROR(IF(INDEX(SPOT_Import!$A$1:$Z$2488,1080,'Live Data'!$C$13)="","",INDEX(SPOT_Import!$A$1:$Z$2488,1080,'Live Data'!$C$13)),"")</f>
        <v>Njabini Catholic Dispensary</v>
      </c>
      <c r="C1080" s="54" t="str">
        <f>IFERROR(IF(INDEX(SPOT_Import!$A$1:$Z$2488,1080,'Live Data'!$C$14)="","",INDEX(SPOT_Import!$A$1:$Z$2488,1080,'Live Data'!$C$14)),"")</f>
        <v>NYANDARUA</v>
      </c>
      <c r="D1080" s="54" t="str">
        <f>IFERROR(IF(INDEX(SPOT_Import!$A$1:$Z$2488,1080,'Live Data'!$C$15)="","",INDEX(SPOT_Import!$A$1:$Z$2488,1080,'Live Data'!$C$15)),"")</f>
        <v>Kinangop</v>
      </c>
      <c r="E1080" s="54" t="str">
        <f>IFERROR(IF(INDEX(SPOT_Import!$A$1:$Z$2488,1080,'Live Data'!$C$16)="","",INDEX(SPOT_Import!$A$1:$Z$2488,1080,'Live Data'!$C$16)),"")</f>
        <v>CHAK CHAP STAWISHA</v>
      </c>
      <c r="F1080" s="54" t="str">
        <f>IFERROR(IF(INDEX(SPOT_Import!$A$1:$Z$2488,1080,'Live Data'!$C$17)="","",INDEX(SPOT_Import!$A$1:$Z$2488,1080,'Live Data'!$C$17)),"")</f>
        <v>PKV</v>
      </c>
      <c r="G1080" s="54">
        <f>IFERROR(IF(INDEX(SPOT_Import!$A$1:$Z$2488,1080,'Live Data'!$C$18)="","",INDEX(SPOT_Import!$A$1:$Z$2488,1080,'Live Data'!$C$18)),"")</f>
        <v>2453</v>
      </c>
      <c r="H1080" s="54">
        <f>IFERROR(IF(INDEX(SPOT_Import!$A$1:$Z$2488,1080,'Live Data'!$C$19)="","",INDEX(SPOT_Import!$A$1:$Z$2488,1080,'Live Data'!$C$19)),"")</f>
        <v>39908</v>
      </c>
      <c r="I1080" s="54" t="str">
        <f>IFERROR(IF(INDEX(SPOT_Import!$A$1:$Z$2488,1080,'Live Data'!$C$20)="","",INDEX(SPOT_Import!$A$1:$Z$2488,1080,'Live Data'!$C$20)),"")</f>
        <v>Complete</v>
      </c>
      <c r="J1080" s="54" t="str">
        <f>IFERROR(IF(INDEX(SPOT_Import!$A$1:$Z$2488,1080,'Live Data'!$C$21)="","",INDEX(SPOT_Import!$A$1:$Z$2488,1080,'Live Data'!$C$21)),"")</f>
        <v>2023-02-02T09:08:47.000Z</v>
      </c>
      <c r="K1080" s="54" t="str">
        <f>IFERROR(IF(INDEX(SPOT_Import!$A$1:$Z$2488,1080,'Live Data'!$C$22)="","",INDEX(SPOT_Import!$A$1:$Z$2488,1080,'Live Data'!$C$22)),"")</f>
        <v>2023-02-02T09:08:47.000Z</v>
      </c>
      <c r="L1080" s="55" t="str">
        <f t="shared" si="32"/>
        <v>2023-02</v>
      </c>
      <c r="M1080" s="55" t="str">
        <f t="shared" si="33"/>
        <v>NYANDARUA</v>
      </c>
      <c r="N1080" s="55" t="str">
        <f>IF(A1080="","",IFERROR(INDEX('Cluster Map'!$A$4:$A$38,MATCH(M1080,'Cluster Map'!$B$4:$B$38,0)),"Unmapped"))</f>
        <v>Cluster 4</v>
      </c>
      <c r="O1080" s="55">
        <f>IF(A1080="",0,IF(COUNTIFS($A$2:A1080,A1080,$F$2:F1080,F1080,$L$2:L1080,L1080)=1,1,0))</f>
        <v>1</v>
      </c>
      <c r="P1080" s="55">
        <f>IF(A1080="",0,IF(AND(F1080="C&amp;T",COUNTIFS($A$2:A1080,A1080,$F$2:F1080,"C&amp;T")=1),1,0))</f>
        <v>0</v>
      </c>
    </row>
    <row r="1081" spans="1:16" x14ac:dyDescent="0.35">
      <c r="A1081" s="54">
        <f>IFERROR(IF(INDEX(SPOT_Import!$A$1:$Z$2488,1081,'Live Data'!$C$12)="","",INDEX(SPOT_Import!$A$1:$Z$2488,1081,'Live Data'!$C$12)),"")</f>
        <v>14553</v>
      </c>
      <c r="B1081" s="54" t="str">
        <f>IFERROR(IF(INDEX(SPOT_Import!$A$1:$Z$2488,1081,'Live Data'!$C$13)="","",INDEX(SPOT_Import!$A$1:$Z$2488,1081,'Live Data'!$C$13)),"")</f>
        <v>Huruma Health Centre (Laikipia East)</v>
      </c>
      <c r="C1081" s="54" t="str">
        <f>IFERROR(IF(INDEX(SPOT_Import!$A$1:$Z$2488,1081,'Live Data'!$C$14)="","",INDEX(SPOT_Import!$A$1:$Z$2488,1081,'Live Data'!$C$14)),"")</f>
        <v>LAIKIPIA</v>
      </c>
      <c r="D1081" s="54" t="str">
        <f>IFERROR(IF(INDEX(SPOT_Import!$A$1:$Z$2488,1081,'Live Data'!$C$15)="","",INDEX(SPOT_Import!$A$1:$Z$2488,1081,'Live Data'!$C$15)),"")</f>
        <v>Laikipia East</v>
      </c>
      <c r="E1081" s="54" t="str">
        <f>IFERROR(IF(INDEX(SPOT_Import!$A$1:$Z$2488,1081,'Live Data'!$C$16)="","",INDEX(SPOT_Import!$A$1:$Z$2488,1081,'Live Data'!$C$16)),"")</f>
        <v>CHAK CHAP STAWISHA</v>
      </c>
      <c r="F1081" s="54" t="str">
        <f>IFERROR(IF(INDEX(SPOT_Import!$A$1:$Z$2488,1081,'Live Data'!$C$17)="","",INDEX(SPOT_Import!$A$1:$Z$2488,1081,'Live Data'!$C$17)),"")</f>
        <v>PKV</v>
      </c>
      <c r="G1081" s="54">
        <f>IFERROR(IF(INDEX(SPOT_Import!$A$1:$Z$2488,1081,'Live Data'!$C$18)="","",INDEX(SPOT_Import!$A$1:$Z$2488,1081,'Live Data'!$C$18)),"")</f>
        <v>1400</v>
      </c>
      <c r="H1081" s="54" t="str">
        <f>IFERROR(IF(INDEX(SPOT_Import!$A$1:$Z$2488,1081,'Live Data'!$C$19)="","",INDEX(SPOT_Import!$A$1:$Z$2488,1081,'Live Data'!$C$19)),"")</f>
        <v/>
      </c>
      <c r="I1081" s="54" t="str">
        <f>IFERROR(IF(INDEX(SPOT_Import!$A$1:$Z$2488,1081,'Live Data'!$C$20)="","",INDEX(SPOT_Import!$A$1:$Z$2488,1081,'Live Data'!$C$20)),"")</f>
        <v>Complete</v>
      </c>
      <c r="J1081" s="54" t="str">
        <f>IFERROR(IF(INDEX(SPOT_Import!$A$1:$Z$2488,1081,'Live Data'!$C$21)="","",INDEX(SPOT_Import!$A$1:$Z$2488,1081,'Live Data'!$C$21)),"")</f>
        <v>2023-02-02T07:43:33.000Z</v>
      </c>
      <c r="K1081" s="54" t="str">
        <f>IFERROR(IF(INDEX(SPOT_Import!$A$1:$Z$2488,1081,'Live Data'!$C$22)="","",INDEX(SPOT_Import!$A$1:$Z$2488,1081,'Live Data'!$C$22)),"")</f>
        <v>2023-02-02T07:43:33.000Z</v>
      </c>
      <c r="L1081" s="55" t="str">
        <f t="shared" si="32"/>
        <v>2023-02</v>
      </c>
      <c r="M1081" s="55" t="str">
        <f t="shared" si="33"/>
        <v>LAIKIPIA</v>
      </c>
      <c r="N1081" s="55" t="str">
        <f>IF(A1081="","",IFERROR(INDEX('Cluster Map'!$A$4:$A$38,MATCH(M1081,'Cluster Map'!$B$4:$B$38,0)),"Unmapped"))</f>
        <v>Cluster 1</v>
      </c>
      <c r="O1081" s="55">
        <f>IF(A1081="",0,IF(COUNTIFS($A$2:A1081,A1081,$F$2:F1081,F1081,$L$2:L1081,L1081)=1,1,0))</f>
        <v>1</v>
      </c>
      <c r="P1081" s="55">
        <f>IF(A1081="",0,IF(AND(F1081="C&amp;T",COUNTIFS($A$2:A1081,A1081,$F$2:F1081,"C&amp;T")=1),1,0))</f>
        <v>0</v>
      </c>
    </row>
    <row r="1082" spans="1:16" x14ac:dyDescent="0.35">
      <c r="A1082" s="54">
        <f>IFERROR(IF(INDEX(SPOT_Import!$A$1:$Z$2488,1082,'Live Data'!$C$12)="","",INDEX(SPOT_Import!$A$1:$Z$2488,1082,'Live Data'!$C$12)),"")</f>
        <v>12566</v>
      </c>
      <c r="B1082" s="54" t="str">
        <f>IFERROR(IF(INDEX(SPOT_Import!$A$1:$Z$2488,1082,'Live Data'!$C$13)="","",INDEX(SPOT_Import!$A$1:$Z$2488,1082,'Live Data'!$C$13)),"")</f>
        <v>Mulango (AIC) Health Centre</v>
      </c>
      <c r="C1082" s="54" t="str">
        <f>IFERROR(IF(INDEX(SPOT_Import!$A$1:$Z$2488,1082,'Live Data'!$C$14)="","",INDEX(SPOT_Import!$A$1:$Z$2488,1082,'Live Data'!$C$14)),"")</f>
        <v>KITUI</v>
      </c>
      <c r="D1082" s="54" t="str">
        <f>IFERROR(IF(INDEX(SPOT_Import!$A$1:$Z$2488,1082,'Live Data'!$C$15)="","",INDEX(SPOT_Import!$A$1:$Z$2488,1082,'Live Data'!$C$15)),"")</f>
        <v>Kitui Central</v>
      </c>
      <c r="E1082" s="54" t="str">
        <f>IFERROR(IF(INDEX(SPOT_Import!$A$1:$Z$2488,1082,'Live Data'!$C$16)="","",INDEX(SPOT_Import!$A$1:$Z$2488,1082,'Live Data'!$C$16)),"")</f>
        <v>CHAK CHAP STAWISHA</v>
      </c>
      <c r="F1082" s="54" t="str">
        <f>IFERROR(IF(INDEX(SPOT_Import!$A$1:$Z$2488,1082,'Live Data'!$C$17)="","",INDEX(SPOT_Import!$A$1:$Z$2488,1082,'Live Data'!$C$17)),"")</f>
        <v>PKV</v>
      </c>
      <c r="G1082" s="54">
        <f>IFERROR(IF(INDEX(SPOT_Import!$A$1:$Z$2488,1082,'Live Data'!$C$18)="","",INDEX(SPOT_Import!$A$1:$Z$2488,1082,'Live Data'!$C$18)),"")</f>
        <v>2124</v>
      </c>
      <c r="H1082" s="54" t="str">
        <f>IFERROR(IF(INDEX(SPOT_Import!$A$1:$Z$2488,1082,'Live Data'!$C$19)="","",INDEX(SPOT_Import!$A$1:$Z$2488,1082,'Live Data'!$C$19)),"")</f>
        <v/>
      </c>
      <c r="I1082" s="54" t="str">
        <f>IFERROR(IF(INDEX(SPOT_Import!$A$1:$Z$2488,1082,'Live Data'!$C$20)="","",INDEX(SPOT_Import!$A$1:$Z$2488,1082,'Live Data'!$C$20)),"")</f>
        <v>Complete</v>
      </c>
      <c r="J1082" s="54" t="str">
        <f>IFERROR(IF(INDEX(SPOT_Import!$A$1:$Z$2488,1082,'Live Data'!$C$21)="","",INDEX(SPOT_Import!$A$1:$Z$2488,1082,'Live Data'!$C$21)),"")</f>
        <v>2023-02-02T07:35:20.000Z</v>
      </c>
      <c r="K1082" s="54" t="str">
        <f>IFERROR(IF(INDEX(SPOT_Import!$A$1:$Z$2488,1082,'Live Data'!$C$22)="","",INDEX(SPOT_Import!$A$1:$Z$2488,1082,'Live Data'!$C$22)),"")</f>
        <v>2023-02-02T07:35:20.000Z</v>
      </c>
      <c r="L1082" s="55" t="str">
        <f t="shared" si="32"/>
        <v>2023-02</v>
      </c>
      <c r="M1082" s="55" t="str">
        <f t="shared" si="33"/>
        <v>KITUI</v>
      </c>
      <c r="N1082" s="55" t="str">
        <f>IF(A1082="","",IFERROR(INDEX('Cluster Map'!$A$4:$A$38,MATCH(M1082,'Cluster Map'!$B$4:$B$38,0)),"Unmapped"))</f>
        <v>Cluster 5</v>
      </c>
      <c r="O1082" s="55">
        <f>IF(A1082="",0,IF(COUNTIFS($A$2:A1082,A1082,$F$2:F1082,F1082,$L$2:L1082,L1082)=1,1,0))</f>
        <v>1</v>
      </c>
      <c r="P1082" s="55">
        <f>IF(A1082="",0,IF(AND(F1082="C&amp;T",COUNTIFS($A$2:A1082,A1082,$F$2:F1082,"C&amp;T")=1),1,0))</f>
        <v>0</v>
      </c>
    </row>
    <row r="1083" spans="1:16" x14ac:dyDescent="0.35">
      <c r="A1083" s="54">
        <f>IFERROR(IF(INDEX(SPOT_Import!$A$1:$Z$2488,1083,'Live Data'!$C$12)="","",INDEX(SPOT_Import!$A$1:$Z$2488,1083,'Live Data'!$C$12)),"")</f>
        <v>12813</v>
      </c>
      <c r="B1083" s="54" t="str">
        <f>IFERROR(IF(INDEX(SPOT_Import!$A$1:$Z$2488,1083,'Live Data'!$C$13)="","",INDEX(SPOT_Import!$A$1:$Z$2488,1083,'Live Data'!$C$13)),"")</f>
        <v>Tunyai Health centre</v>
      </c>
      <c r="C1083" s="54" t="str">
        <f>IFERROR(IF(INDEX(SPOT_Import!$A$1:$Z$2488,1083,'Live Data'!$C$14)="","",INDEX(SPOT_Import!$A$1:$Z$2488,1083,'Live Data'!$C$14)),"")</f>
        <v>THARAKA - NITHI</v>
      </c>
      <c r="D1083" s="54" t="str">
        <f>IFERROR(IF(INDEX(SPOT_Import!$A$1:$Z$2488,1083,'Live Data'!$C$15)="","",INDEX(SPOT_Import!$A$1:$Z$2488,1083,'Live Data'!$C$15)),"")</f>
        <v>THARAKA SOUTH</v>
      </c>
      <c r="E1083" s="54" t="str">
        <f>IFERROR(IF(INDEX(SPOT_Import!$A$1:$Z$2488,1083,'Live Data'!$C$16)="","",INDEX(SPOT_Import!$A$1:$Z$2488,1083,'Live Data'!$C$16)),"")</f>
        <v>CHAK CHAP STAWISHA</v>
      </c>
      <c r="F1083" s="54" t="str">
        <f>IFERROR(IF(INDEX(SPOT_Import!$A$1:$Z$2488,1083,'Live Data'!$C$17)="","",INDEX(SPOT_Import!$A$1:$Z$2488,1083,'Live Data'!$C$17)),"")</f>
        <v>PKV</v>
      </c>
      <c r="G1083" s="54">
        <f>IFERROR(IF(INDEX(SPOT_Import!$A$1:$Z$2488,1083,'Live Data'!$C$18)="","",INDEX(SPOT_Import!$A$1:$Z$2488,1083,'Live Data'!$C$18)),"")</f>
        <v>1820</v>
      </c>
      <c r="H1083" s="54" t="str">
        <f>IFERROR(IF(INDEX(SPOT_Import!$A$1:$Z$2488,1083,'Live Data'!$C$19)="","",INDEX(SPOT_Import!$A$1:$Z$2488,1083,'Live Data'!$C$19)),"")</f>
        <v/>
      </c>
      <c r="I1083" s="54" t="str">
        <f>IFERROR(IF(INDEX(SPOT_Import!$A$1:$Z$2488,1083,'Live Data'!$C$20)="","",INDEX(SPOT_Import!$A$1:$Z$2488,1083,'Live Data'!$C$20)),"")</f>
        <v>Complete</v>
      </c>
      <c r="J1083" s="54" t="str">
        <f>IFERROR(IF(INDEX(SPOT_Import!$A$1:$Z$2488,1083,'Live Data'!$C$21)="","",INDEX(SPOT_Import!$A$1:$Z$2488,1083,'Live Data'!$C$21)),"")</f>
        <v>2023-02-02T07:17:14.000Z</v>
      </c>
      <c r="K1083" s="54" t="str">
        <f>IFERROR(IF(INDEX(SPOT_Import!$A$1:$Z$2488,1083,'Live Data'!$C$22)="","",INDEX(SPOT_Import!$A$1:$Z$2488,1083,'Live Data'!$C$22)),"")</f>
        <v>2023-02-02T07:17:14.000Z</v>
      </c>
      <c r="L1083" s="55" t="str">
        <f t="shared" si="32"/>
        <v>2023-02</v>
      </c>
      <c r="M1083" s="55" t="str">
        <f t="shared" si="33"/>
        <v>THARAKA-NITHI</v>
      </c>
      <c r="N1083" s="55" t="str">
        <f>IF(A1083="","",IFERROR(INDEX('Cluster Map'!$A$4:$A$38,MATCH(M1083,'Cluster Map'!$B$4:$B$38,0)),"Unmapped"))</f>
        <v>Cluster 2</v>
      </c>
      <c r="O1083" s="55">
        <f>IF(A1083="",0,IF(COUNTIFS($A$2:A1083,A1083,$F$2:F1083,F1083,$L$2:L1083,L1083)=1,1,0))</f>
        <v>1</v>
      </c>
      <c r="P1083" s="55">
        <f>IF(A1083="",0,IF(AND(F1083="C&amp;T",COUNTIFS($A$2:A1083,A1083,$F$2:F1083,"C&amp;T")=1),1,0))</f>
        <v>0</v>
      </c>
    </row>
    <row r="1084" spans="1:16" x14ac:dyDescent="0.35">
      <c r="A1084" s="54">
        <f>IFERROR(IF(INDEX(SPOT_Import!$A$1:$Z$2488,1084,'Live Data'!$C$12)="","",INDEX(SPOT_Import!$A$1:$Z$2488,1084,'Live Data'!$C$12)),"")</f>
        <v>17490</v>
      </c>
      <c r="B1084" s="54" t="str">
        <f>IFERROR(IF(INDEX(SPOT_Import!$A$1:$Z$2488,1084,'Live Data'!$C$13)="","",INDEX(SPOT_Import!$A$1:$Z$2488,1084,'Live Data'!$C$13)),"")</f>
        <v>Nazareth Hospital (Ruiru)</v>
      </c>
      <c r="C1084" s="54" t="str">
        <f>IFERROR(IF(INDEX(SPOT_Import!$A$1:$Z$2488,1084,'Live Data'!$C$14)="","",INDEX(SPOT_Import!$A$1:$Z$2488,1084,'Live Data'!$C$14)),"")</f>
        <v>KIAMBU</v>
      </c>
      <c r="D1084" s="54" t="str">
        <f>IFERROR(IF(INDEX(SPOT_Import!$A$1:$Z$2488,1084,'Live Data'!$C$15)="","",INDEX(SPOT_Import!$A$1:$Z$2488,1084,'Live Data'!$C$15)),"")</f>
        <v>Ruiru</v>
      </c>
      <c r="E1084" s="54" t="str">
        <f>IFERROR(IF(INDEX(SPOT_Import!$A$1:$Z$2488,1084,'Live Data'!$C$16)="","",INDEX(SPOT_Import!$A$1:$Z$2488,1084,'Live Data'!$C$16)),"")</f>
        <v>CHAK CHAP STAWISHA</v>
      </c>
      <c r="F1084" s="54" t="str">
        <f>IFERROR(IF(INDEX(SPOT_Import!$A$1:$Z$2488,1084,'Live Data'!$C$17)="","",INDEX(SPOT_Import!$A$1:$Z$2488,1084,'Live Data'!$C$17)),"")</f>
        <v>PKV</v>
      </c>
      <c r="G1084" s="54">
        <f>IFERROR(IF(INDEX(SPOT_Import!$A$1:$Z$2488,1084,'Live Data'!$C$18)="","",INDEX(SPOT_Import!$A$1:$Z$2488,1084,'Live Data'!$C$18)),"")</f>
        <v>4295</v>
      </c>
      <c r="H1084" s="54" t="str">
        <f>IFERROR(IF(INDEX(SPOT_Import!$A$1:$Z$2488,1084,'Live Data'!$C$19)="","",INDEX(SPOT_Import!$A$1:$Z$2488,1084,'Live Data'!$C$19)),"")</f>
        <v/>
      </c>
      <c r="I1084" s="54" t="str">
        <f>IFERROR(IF(INDEX(SPOT_Import!$A$1:$Z$2488,1084,'Live Data'!$C$20)="","",INDEX(SPOT_Import!$A$1:$Z$2488,1084,'Live Data'!$C$20)),"")</f>
        <v>Complete</v>
      </c>
      <c r="J1084" s="54" t="str">
        <f>IFERROR(IF(INDEX(SPOT_Import!$A$1:$Z$2488,1084,'Live Data'!$C$21)="","",INDEX(SPOT_Import!$A$1:$Z$2488,1084,'Live Data'!$C$21)),"")</f>
        <v>2023-02-02T05:39:25.000Z</v>
      </c>
      <c r="K1084" s="54" t="str">
        <f>IFERROR(IF(INDEX(SPOT_Import!$A$1:$Z$2488,1084,'Live Data'!$C$22)="","",INDEX(SPOT_Import!$A$1:$Z$2488,1084,'Live Data'!$C$22)),"")</f>
        <v>2023-02-02T05:39:25.000Z</v>
      </c>
      <c r="L1084" s="55" t="str">
        <f t="shared" si="32"/>
        <v>2023-02</v>
      </c>
      <c r="M1084" s="55" t="str">
        <f t="shared" si="33"/>
        <v>KIAMBU</v>
      </c>
      <c r="N1084" s="55" t="str">
        <f>IF(A1084="","",IFERROR(INDEX('Cluster Map'!$A$4:$A$38,MATCH(M1084,'Cluster Map'!$B$4:$B$38,0)),"Unmapped"))</f>
        <v>Cluster 3</v>
      </c>
      <c r="O1084" s="55">
        <f>IF(A1084="",0,IF(COUNTIFS($A$2:A1084,A1084,$F$2:F1084,F1084,$L$2:L1084,L1084)=1,1,0))</f>
        <v>1</v>
      </c>
      <c r="P1084" s="55">
        <f>IF(A1084="",0,IF(AND(F1084="C&amp;T",COUNTIFS($A$2:A1084,A1084,$F$2:F1084,"C&amp;T")=1),1,0))</f>
        <v>0</v>
      </c>
    </row>
    <row r="1085" spans="1:16" x14ac:dyDescent="0.35">
      <c r="A1085" s="54">
        <f>IFERROR(IF(INDEX(SPOT_Import!$A$1:$Z$2488,1085,'Live Data'!$C$12)="","",INDEX(SPOT_Import!$A$1:$Z$2488,1085,'Live Data'!$C$12)),"")</f>
        <v>12492</v>
      </c>
      <c r="B1085" s="54" t="str">
        <f>IFERROR(IF(INDEX(SPOT_Import!$A$1:$Z$2488,1085,'Live Data'!$C$13)="","",INDEX(SPOT_Import!$A$1:$Z$2488,1085,'Live Data'!$C$13)),"")</f>
        <v>Maua Methodist Hospital</v>
      </c>
      <c r="C1085" s="54" t="str">
        <f>IFERROR(IF(INDEX(SPOT_Import!$A$1:$Z$2488,1085,'Live Data'!$C$14)="","",INDEX(SPOT_Import!$A$1:$Z$2488,1085,'Live Data'!$C$14)),"")</f>
        <v>MERU</v>
      </c>
      <c r="D1085" s="54" t="str">
        <f>IFERROR(IF(INDEX(SPOT_Import!$A$1:$Z$2488,1085,'Live Data'!$C$15)="","",INDEX(SPOT_Import!$A$1:$Z$2488,1085,'Live Data'!$C$15)),"")</f>
        <v>Igembe South</v>
      </c>
      <c r="E1085" s="54" t="str">
        <f>IFERROR(IF(INDEX(SPOT_Import!$A$1:$Z$2488,1085,'Live Data'!$C$16)="","",INDEX(SPOT_Import!$A$1:$Z$2488,1085,'Live Data'!$C$16)),"")</f>
        <v>CHAK CHAP STAWISHA</v>
      </c>
      <c r="F1085" s="54" t="str">
        <f>IFERROR(IF(INDEX(SPOT_Import!$A$1:$Z$2488,1085,'Live Data'!$C$17)="","",INDEX(SPOT_Import!$A$1:$Z$2488,1085,'Live Data'!$C$17)),"")</f>
        <v>PKV</v>
      </c>
      <c r="G1085" s="54">
        <f>IFERROR(IF(INDEX(SPOT_Import!$A$1:$Z$2488,1085,'Live Data'!$C$18)="","",INDEX(SPOT_Import!$A$1:$Z$2488,1085,'Live Data'!$C$18)),"")</f>
        <v>18507</v>
      </c>
      <c r="H1085" s="54" t="str">
        <f>IFERROR(IF(INDEX(SPOT_Import!$A$1:$Z$2488,1085,'Live Data'!$C$19)="","",INDEX(SPOT_Import!$A$1:$Z$2488,1085,'Live Data'!$C$19)),"")</f>
        <v/>
      </c>
      <c r="I1085" s="54" t="str">
        <f>IFERROR(IF(INDEX(SPOT_Import!$A$1:$Z$2488,1085,'Live Data'!$C$20)="","",INDEX(SPOT_Import!$A$1:$Z$2488,1085,'Live Data'!$C$20)),"")</f>
        <v>Complete</v>
      </c>
      <c r="J1085" s="54" t="str">
        <f>IFERROR(IF(INDEX(SPOT_Import!$A$1:$Z$2488,1085,'Live Data'!$C$21)="","",INDEX(SPOT_Import!$A$1:$Z$2488,1085,'Live Data'!$C$21)),"")</f>
        <v>2023-02-02T02:49:48.000Z</v>
      </c>
      <c r="K1085" s="54" t="str">
        <f>IFERROR(IF(INDEX(SPOT_Import!$A$1:$Z$2488,1085,'Live Data'!$C$22)="","",INDEX(SPOT_Import!$A$1:$Z$2488,1085,'Live Data'!$C$22)),"")</f>
        <v>2023-02-02T02:49:48.000Z</v>
      </c>
      <c r="L1085" s="55" t="str">
        <f t="shared" si="32"/>
        <v>2023-02</v>
      </c>
      <c r="M1085" s="55" t="str">
        <f t="shared" si="33"/>
        <v>MERU</v>
      </c>
      <c r="N1085" s="55" t="str">
        <f>IF(A1085="","",IFERROR(INDEX('Cluster Map'!$A$4:$A$38,MATCH(M1085,'Cluster Map'!$B$4:$B$38,0)),"Unmapped"))</f>
        <v>Cluster 1</v>
      </c>
      <c r="O1085" s="55">
        <f>IF(A1085="",0,IF(COUNTIFS($A$2:A1085,A1085,$F$2:F1085,F1085,$L$2:L1085,L1085)=1,1,0))</f>
        <v>1</v>
      </c>
      <c r="P1085" s="55">
        <f>IF(A1085="",0,IF(AND(F1085="C&amp;T",COUNTIFS($A$2:A1085,A1085,$F$2:F1085,"C&amp;T")=1),1,0))</f>
        <v>0</v>
      </c>
    </row>
    <row r="1086" spans="1:16" x14ac:dyDescent="0.35">
      <c r="A1086" s="54">
        <f>IFERROR(IF(INDEX(SPOT_Import!$A$1:$Z$2488,1086,'Live Data'!$C$12)="","",INDEX(SPOT_Import!$A$1:$Z$2488,1086,'Live Data'!$C$12)),"")</f>
        <v>11962</v>
      </c>
      <c r="B1086" s="54" t="str">
        <f>IFERROR(IF(INDEX(SPOT_Import!$A$1:$Z$2488,1086,'Live Data'!$C$13)="","",INDEX(SPOT_Import!$A$1:$Z$2488,1086,'Live Data'!$C$13)),"")</f>
        <v>Kambu Catholic Dispensary</v>
      </c>
      <c r="C1086" s="54" t="str">
        <f>IFERROR(IF(INDEX(SPOT_Import!$A$1:$Z$2488,1086,'Live Data'!$C$14)="","",INDEX(SPOT_Import!$A$1:$Z$2488,1086,'Live Data'!$C$14)),"")</f>
        <v>MAKUENI</v>
      </c>
      <c r="D1086" s="54" t="str">
        <f>IFERROR(IF(INDEX(SPOT_Import!$A$1:$Z$2488,1086,'Live Data'!$C$15)="","",INDEX(SPOT_Import!$A$1:$Z$2488,1086,'Live Data'!$C$15)),"")</f>
        <v>Kibwezi East</v>
      </c>
      <c r="E1086" s="54" t="str">
        <f>IFERROR(IF(INDEX(SPOT_Import!$A$1:$Z$2488,1086,'Live Data'!$C$16)="","",INDEX(SPOT_Import!$A$1:$Z$2488,1086,'Live Data'!$C$16)),"")</f>
        <v>CHAK CHAP STAWISHA</v>
      </c>
      <c r="F1086" s="54" t="str">
        <f>IFERROR(IF(INDEX(SPOT_Import!$A$1:$Z$2488,1086,'Live Data'!$C$17)="","",INDEX(SPOT_Import!$A$1:$Z$2488,1086,'Live Data'!$C$17)),"")</f>
        <v>PKV</v>
      </c>
      <c r="G1086" s="54">
        <f>IFERROR(IF(INDEX(SPOT_Import!$A$1:$Z$2488,1086,'Live Data'!$C$18)="","",INDEX(SPOT_Import!$A$1:$Z$2488,1086,'Live Data'!$C$18)),"")</f>
        <v>2176</v>
      </c>
      <c r="H1086" s="54" t="str">
        <f>IFERROR(IF(INDEX(SPOT_Import!$A$1:$Z$2488,1086,'Live Data'!$C$19)="","",INDEX(SPOT_Import!$A$1:$Z$2488,1086,'Live Data'!$C$19)),"")</f>
        <v/>
      </c>
      <c r="I1086" s="54" t="str">
        <f>IFERROR(IF(INDEX(SPOT_Import!$A$1:$Z$2488,1086,'Live Data'!$C$20)="","",INDEX(SPOT_Import!$A$1:$Z$2488,1086,'Live Data'!$C$20)),"")</f>
        <v>Complete</v>
      </c>
      <c r="J1086" s="54" t="str">
        <f>IFERROR(IF(INDEX(SPOT_Import!$A$1:$Z$2488,1086,'Live Data'!$C$21)="","",INDEX(SPOT_Import!$A$1:$Z$2488,1086,'Live Data'!$C$21)),"")</f>
        <v>2023-02-01T14:58:10.000Z</v>
      </c>
      <c r="K1086" s="54" t="str">
        <f>IFERROR(IF(INDEX(SPOT_Import!$A$1:$Z$2488,1086,'Live Data'!$C$22)="","",INDEX(SPOT_Import!$A$1:$Z$2488,1086,'Live Data'!$C$22)),"")</f>
        <v>2023-02-01T14:58:10.000Z</v>
      </c>
      <c r="L1086" s="55" t="str">
        <f t="shared" si="32"/>
        <v>2023-02</v>
      </c>
      <c r="M1086" s="55" t="str">
        <f t="shared" si="33"/>
        <v>MAKUENI</v>
      </c>
      <c r="N1086" s="55" t="str">
        <f>IF(A1086="","",IFERROR(INDEX('Cluster Map'!$A$4:$A$38,MATCH(M1086,'Cluster Map'!$B$4:$B$38,0)),"Unmapped"))</f>
        <v>Cluster 5</v>
      </c>
      <c r="O1086" s="55">
        <f>IF(A1086="",0,IF(COUNTIFS($A$2:A1086,A1086,$F$2:F1086,F1086,$L$2:L1086,L1086)=1,1,0))</f>
        <v>1</v>
      </c>
      <c r="P1086" s="55">
        <f>IF(A1086="",0,IF(AND(F1086="C&amp;T",COUNTIFS($A$2:A1086,A1086,$F$2:F1086,"C&amp;T")=1),1,0))</f>
        <v>0</v>
      </c>
    </row>
    <row r="1087" spans="1:16" x14ac:dyDescent="0.35">
      <c r="A1087" s="54">
        <f>IFERROR(IF(INDEX(SPOT_Import!$A$1:$Z$2488,1087,'Live Data'!$C$12)="","",INDEX(SPOT_Import!$A$1:$Z$2488,1087,'Live Data'!$C$12)),"")</f>
        <v>15702</v>
      </c>
      <c r="B1087" s="54" t="str">
        <f>IFERROR(IF(INDEX(SPOT_Import!$A$1:$Z$2488,1087,'Live Data'!$C$13)="","",INDEX(SPOT_Import!$A$1:$Z$2488,1087,'Live Data'!$C$13)),"")</f>
        <v>Talek Health Centre</v>
      </c>
      <c r="C1087" s="54" t="str">
        <f>IFERROR(IF(INDEX(SPOT_Import!$A$1:$Z$2488,1087,'Live Data'!$C$14)="","",INDEX(SPOT_Import!$A$1:$Z$2488,1087,'Live Data'!$C$14)),"")</f>
        <v>NAROK</v>
      </c>
      <c r="D1087" s="54" t="str">
        <f>IFERROR(IF(INDEX(SPOT_Import!$A$1:$Z$2488,1087,'Live Data'!$C$15)="","",INDEX(SPOT_Import!$A$1:$Z$2488,1087,'Live Data'!$C$15)),"")</f>
        <v>Narok West</v>
      </c>
      <c r="E1087" s="54" t="str">
        <f>IFERROR(IF(INDEX(SPOT_Import!$A$1:$Z$2488,1087,'Live Data'!$C$16)="","",INDEX(SPOT_Import!$A$1:$Z$2488,1087,'Live Data'!$C$16)),"")</f>
        <v>CHAK CHAP STAWISHA</v>
      </c>
      <c r="F1087" s="54" t="str">
        <f>IFERROR(IF(INDEX(SPOT_Import!$A$1:$Z$2488,1087,'Live Data'!$C$17)="","",INDEX(SPOT_Import!$A$1:$Z$2488,1087,'Live Data'!$C$17)),"")</f>
        <v>PKV</v>
      </c>
      <c r="G1087" s="54">
        <f>IFERROR(IF(INDEX(SPOT_Import!$A$1:$Z$2488,1087,'Live Data'!$C$18)="","",INDEX(SPOT_Import!$A$1:$Z$2488,1087,'Live Data'!$C$18)),"")</f>
        <v>2481</v>
      </c>
      <c r="H1087" s="54" t="str">
        <f>IFERROR(IF(INDEX(SPOT_Import!$A$1:$Z$2488,1087,'Live Data'!$C$19)="","",INDEX(SPOT_Import!$A$1:$Z$2488,1087,'Live Data'!$C$19)),"")</f>
        <v/>
      </c>
      <c r="I1087" s="54" t="str">
        <f>IFERROR(IF(INDEX(SPOT_Import!$A$1:$Z$2488,1087,'Live Data'!$C$20)="","",INDEX(SPOT_Import!$A$1:$Z$2488,1087,'Live Data'!$C$20)),"")</f>
        <v>Complete</v>
      </c>
      <c r="J1087" s="54" t="str">
        <f>IFERROR(IF(INDEX(SPOT_Import!$A$1:$Z$2488,1087,'Live Data'!$C$21)="","",INDEX(SPOT_Import!$A$1:$Z$2488,1087,'Live Data'!$C$21)),"")</f>
        <v>2023-02-01T13:35:25.000Z</v>
      </c>
      <c r="K1087" s="54" t="str">
        <f>IFERROR(IF(INDEX(SPOT_Import!$A$1:$Z$2488,1087,'Live Data'!$C$22)="","",INDEX(SPOT_Import!$A$1:$Z$2488,1087,'Live Data'!$C$22)),"")</f>
        <v>2023-02-01T13:35:25.000Z</v>
      </c>
      <c r="L1087" s="55" t="str">
        <f t="shared" si="32"/>
        <v>2023-02</v>
      </c>
      <c r="M1087" s="55" t="str">
        <f t="shared" si="33"/>
        <v>NAROK</v>
      </c>
      <c r="N1087" s="55" t="str">
        <f>IF(A1087="","",IFERROR(INDEX('Cluster Map'!$A$4:$A$38,MATCH(M1087,'Cluster Map'!$B$4:$B$38,0)),"Unmapped"))</f>
        <v>Cluster 4</v>
      </c>
      <c r="O1087" s="55">
        <f>IF(A1087="",0,IF(COUNTIFS($A$2:A1087,A1087,$F$2:F1087,F1087,$L$2:L1087,L1087)=1,1,0))</f>
        <v>1</v>
      </c>
      <c r="P1087" s="55">
        <f>IF(A1087="",0,IF(AND(F1087="C&amp;T",COUNTIFS($A$2:A1087,A1087,$F$2:F1087,"C&amp;T")=1),1,0))</f>
        <v>0</v>
      </c>
    </row>
    <row r="1088" spans="1:16" x14ac:dyDescent="0.35">
      <c r="A1088" s="54">
        <f>IFERROR(IF(INDEX(SPOT_Import!$A$1:$Z$2488,1088,'Live Data'!$C$12)="","",INDEX(SPOT_Import!$A$1:$Z$2488,1088,'Live Data'!$C$12)),"")</f>
        <v>12013</v>
      </c>
      <c r="B1088" s="54" t="str">
        <f>IFERROR(IF(INDEX(SPOT_Import!$A$1:$Z$2488,1088,'Live Data'!$C$13)="","",INDEX(SPOT_Import!$A$1:$Z$2488,1088,'Live Data'!$C$13)),"")</f>
        <v>Faith Nursing Home (Ikutha)</v>
      </c>
      <c r="C1088" s="54" t="str">
        <f>IFERROR(IF(INDEX(SPOT_Import!$A$1:$Z$2488,1088,'Live Data'!$C$14)="","",INDEX(SPOT_Import!$A$1:$Z$2488,1088,'Live Data'!$C$14)),"")</f>
        <v>KITUI</v>
      </c>
      <c r="D1088" s="54" t="str">
        <f>IFERROR(IF(INDEX(SPOT_Import!$A$1:$Z$2488,1088,'Live Data'!$C$15)="","",INDEX(SPOT_Import!$A$1:$Z$2488,1088,'Live Data'!$C$15)),"")</f>
        <v>Kitui South</v>
      </c>
      <c r="E1088" s="54" t="str">
        <f>IFERROR(IF(INDEX(SPOT_Import!$A$1:$Z$2488,1088,'Live Data'!$C$16)="","",INDEX(SPOT_Import!$A$1:$Z$2488,1088,'Live Data'!$C$16)),"")</f>
        <v>CHAK CHAP STAWISHA</v>
      </c>
      <c r="F1088" s="54" t="str">
        <f>IFERROR(IF(INDEX(SPOT_Import!$A$1:$Z$2488,1088,'Live Data'!$C$17)="","",INDEX(SPOT_Import!$A$1:$Z$2488,1088,'Live Data'!$C$17)),"")</f>
        <v>PKV</v>
      </c>
      <c r="G1088" s="54">
        <f>IFERROR(IF(INDEX(SPOT_Import!$A$1:$Z$2488,1088,'Live Data'!$C$18)="","",INDEX(SPOT_Import!$A$1:$Z$2488,1088,'Live Data'!$C$18)),"")</f>
        <v>899</v>
      </c>
      <c r="H1088" s="54">
        <f>IFERROR(IF(INDEX(SPOT_Import!$A$1:$Z$2488,1088,'Live Data'!$C$19)="","",INDEX(SPOT_Import!$A$1:$Z$2488,1088,'Live Data'!$C$19)),"")</f>
        <v>8922</v>
      </c>
      <c r="I1088" s="54" t="str">
        <f>IFERROR(IF(INDEX(SPOT_Import!$A$1:$Z$2488,1088,'Live Data'!$C$20)="","",INDEX(SPOT_Import!$A$1:$Z$2488,1088,'Live Data'!$C$20)),"")</f>
        <v>Complete</v>
      </c>
      <c r="J1088" s="54" t="str">
        <f>IFERROR(IF(INDEX(SPOT_Import!$A$1:$Z$2488,1088,'Live Data'!$C$21)="","",INDEX(SPOT_Import!$A$1:$Z$2488,1088,'Live Data'!$C$21)),"")</f>
        <v>2023-02-01T12:58:23.000Z</v>
      </c>
      <c r="K1088" s="54" t="str">
        <f>IFERROR(IF(INDEX(SPOT_Import!$A$1:$Z$2488,1088,'Live Data'!$C$22)="","",INDEX(SPOT_Import!$A$1:$Z$2488,1088,'Live Data'!$C$22)),"")</f>
        <v>2023-02-01T12:58:23.000Z</v>
      </c>
      <c r="L1088" s="55" t="str">
        <f t="shared" si="32"/>
        <v>2023-02</v>
      </c>
      <c r="M1088" s="55" t="str">
        <f t="shared" si="33"/>
        <v>KITUI</v>
      </c>
      <c r="N1088" s="55" t="str">
        <f>IF(A1088="","",IFERROR(INDEX('Cluster Map'!$A$4:$A$38,MATCH(M1088,'Cluster Map'!$B$4:$B$38,0)),"Unmapped"))</f>
        <v>Cluster 5</v>
      </c>
      <c r="O1088" s="55">
        <f>IF(A1088="",0,IF(COUNTIFS($A$2:A1088,A1088,$F$2:F1088,F1088,$L$2:L1088,L1088)=1,1,0))</f>
        <v>1</v>
      </c>
      <c r="P1088" s="55">
        <f>IF(A1088="",0,IF(AND(F1088="C&amp;T",COUNTIFS($A$2:A1088,A1088,$F$2:F1088,"C&amp;T")=1),1,0))</f>
        <v>0</v>
      </c>
    </row>
    <row r="1089" spans="1:16" x14ac:dyDescent="0.35">
      <c r="A1089" s="54">
        <f>IFERROR(IF(INDEX(SPOT_Import!$A$1:$Z$2488,1089,'Live Data'!$C$12)="","",INDEX(SPOT_Import!$A$1:$Z$2488,1089,'Live Data'!$C$12)),"")</f>
        <v>10825</v>
      </c>
      <c r="B1089" s="54" t="str">
        <f>IFERROR(IF(INDEX(SPOT_Import!$A$1:$Z$2488,1089,'Live Data'!$C$13)="","",INDEX(SPOT_Import!$A$1:$Z$2488,1089,'Live Data'!$C$13)),"")</f>
        <v>Nazareth Hospital</v>
      </c>
      <c r="C1089" s="54" t="str">
        <f>IFERROR(IF(INDEX(SPOT_Import!$A$1:$Z$2488,1089,'Live Data'!$C$14)="","",INDEX(SPOT_Import!$A$1:$Z$2488,1089,'Live Data'!$C$14)),"")</f>
        <v>KIAMBU</v>
      </c>
      <c r="D1089" s="54" t="str">
        <f>IFERROR(IF(INDEX(SPOT_Import!$A$1:$Z$2488,1089,'Live Data'!$C$15)="","",INDEX(SPOT_Import!$A$1:$Z$2488,1089,'Live Data'!$C$15)),"")</f>
        <v>Limuru</v>
      </c>
      <c r="E1089" s="54" t="str">
        <f>IFERROR(IF(INDEX(SPOT_Import!$A$1:$Z$2488,1089,'Live Data'!$C$16)="","",INDEX(SPOT_Import!$A$1:$Z$2488,1089,'Live Data'!$C$16)),"")</f>
        <v>CHAK CHAP STAWISHA</v>
      </c>
      <c r="F1089" s="54" t="str">
        <f>IFERROR(IF(INDEX(SPOT_Import!$A$1:$Z$2488,1089,'Live Data'!$C$17)="","",INDEX(SPOT_Import!$A$1:$Z$2488,1089,'Live Data'!$C$17)),"")</f>
        <v>PKV</v>
      </c>
      <c r="G1089" s="54">
        <f>IFERROR(IF(INDEX(SPOT_Import!$A$1:$Z$2488,1089,'Live Data'!$C$18)="","",INDEX(SPOT_Import!$A$1:$Z$2488,1089,'Live Data'!$C$18)),"")</f>
        <v>12359</v>
      </c>
      <c r="H1089" s="54" t="str">
        <f>IFERROR(IF(INDEX(SPOT_Import!$A$1:$Z$2488,1089,'Live Data'!$C$19)="","",INDEX(SPOT_Import!$A$1:$Z$2488,1089,'Live Data'!$C$19)),"")</f>
        <v/>
      </c>
      <c r="I1089" s="54" t="str">
        <f>IFERROR(IF(INDEX(SPOT_Import!$A$1:$Z$2488,1089,'Live Data'!$C$20)="","",INDEX(SPOT_Import!$A$1:$Z$2488,1089,'Live Data'!$C$20)),"")</f>
        <v>Complete</v>
      </c>
      <c r="J1089" s="54" t="str">
        <f>IFERROR(IF(INDEX(SPOT_Import!$A$1:$Z$2488,1089,'Live Data'!$C$21)="","",INDEX(SPOT_Import!$A$1:$Z$2488,1089,'Live Data'!$C$21)),"")</f>
        <v>2023-02-01T12:53:55.000Z</v>
      </c>
      <c r="K1089" s="54" t="str">
        <f>IFERROR(IF(INDEX(SPOT_Import!$A$1:$Z$2488,1089,'Live Data'!$C$22)="","",INDEX(SPOT_Import!$A$1:$Z$2488,1089,'Live Data'!$C$22)),"")</f>
        <v>2023-02-01T12:53:55.000Z</v>
      </c>
      <c r="L1089" s="55" t="str">
        <f t="shared" si="32"/>
        <v>2023-02</v>
      </c>
      <c r="M1089" s="55" t="str">
        <f t="shared" si="33"/>
        <v>KIAMBU</v>
      </c>
      <c r="N1089" s="55" t="str">
        <f>IF(A1089="","",IFERROR(INDEX('Cluster Map'!$A$4:$A$38,MATCH(M1089,'Cluster Map'!$B$4:$B$38,0)),"Unmapped"))</f>
        <v>Cluster 3</v>
      </c>
      <c r="O1089" s="55">
        <f>IF(A1089="",0,IF(COUNTIFS($A$2:A1089,A1089,$F$2:F1089,F1089,$L$2:L1089,L1089)=1,1,0))</f>
        <v>1</v>
      </c>
      <c r="P1089" s="55">
        <f>IF(A1089="",0,IF(AND(F1089="C&amp;T",COUNTIFS($A$2:A1089,A1089,$F$2:F1089,"C&amp;T")=1),1,0))</f>
        <v>0</v>
      </c>
    </row>
    <row r="1090" spans="1:16" x14ac:dyDescent="0.35">
      <c r="A1090" s="54">
        <f>IFERROR(IF(INDEX(SPOT_Import!$A$1:$Z$2488,1090,'Live Data'!$C$12)="","",INDEX(SPOT_Import!$A$1:$Z$2488,1090,'Live Data'!$C$12)),"")</f>
        <v>10267</v>
      </c>
      <c r="B1090" s="54" t="str">
        <f>IFERROR(IF(INDEX(SPOT_Import!$A$1:$Z$2488,1090,'Live Data'!$C$13)="","",INDEX(SPOT_Import!$A$1:$Z$2488,1090,'Live Data'!$C$13)),"")</f>
        <v>Githumu Hospital</v>
      </c>
      <c r="C1090" s="54" t="str">
        <f>IFERROR(IF(INDEX(SPOT_Import!$A$1:$Z$2488,1090,'Live Data'!$C$14)="","",INDEX(SPOT_Import!$A$1:$Z$2488,1090,'Live Data'!$C$14)),"")</f>
        <v>MURANG'A</v>
      </c>
      <c r="D1090" s="54" t="str">
        <f>IFERROR(IF(INDEX(SPOT_Import!$A$1:$Z$2488,1090,'Live Data'!$C$15)="","",INDEX(SPOT_Import!$A$1:$Z$2488,1090,'Live Data'!$C$15)),"")</f>
        <v>Kandara</v>
      </c>
      <c r="E1090" s="54" t="str">
        <f>IFERROR(IF(INDEX(SPOT_Import!$A$1:$Z$2488,1090,'Live Data'!$C$16)="","",INDEX(SPOT_Import!$A$1:$Z$2488,1090,'Live Data'!$C$16)),"")</f>
        <v>CHAK CHAP STAWISHA</v>
      </c>
      <c r="F1090" s="54" t="str">
        <f>IFERROR(IF(INDEX(SPOT_Import!$A$1:$Z$2488,1090,'Live Data'!$C$17)="","",INDEX(SPOT_Import!$A$1:$Z$2488,1090,'Live Data'!$C$17)),"")</f>
        <v>PKV</v>
      </c>
      <c r="G1090" s="54">
        <f>IFERROR(IF(INDEX(SPOT_Import!$A$1:$Z$2488,1090,'Live Data'!$C$18)="","",INDEX(SPOT_Import!$A$1:$Z$2488,1090,'Live Data'!$C$18)),"")</f>
        <v>5372</v>
      </c>
      <c r="H1090" s="54" t="str">
        <f>IFERROR(IF(INDEX(SPOT_Import!$A$1:$Z$2488,1090,'Live Data'!$C$19)="","",INDEX(SPOT_Import!$A$1:$Z$2488,1090,'Live Data'!$C$19)),"")</f>
        <v/>
      </c>
      <c r="I1090" s="54" t="str">
        <f>IFERROR(IF(INDEX(SPOT_Import!$A$1:$Z$2488,1090,'Live Data'!$C$20)="","",INDEX(SPOT_Import!$A$1:$Z$2488,1090,'Live Data'!$C$20)),"")</f>
        <v>Complete</v>
      </c>
      <c r="J1090" s="54" t="str">
        <f>IFERROR(IF(INDEX(SPOT_Import!$A$1:$Z$2488,1090,'Live Data'!$C$21)="","",INDEX(SPOT_Import!$A$1:$Z$2488,1090,'Live Data'!$C$21)),"")</f>
        <v>2023-02-01T09:07:15.000Z</v>
      </c>
      <c r="K1090" s="54" t="str">
        <f>IFERROR(IF(INDEX(SPOT_Import!$A$1:$Z$2488,1090,'Live Data'!$C$22)="","",INDEX(SPOT_Import!$A$1:$Z$2488,1090,'Live Data'!$C$22)),"")</f>
        <v>2023-02-01T09:07:15.000Z</v>
      </c>
      <c r="L1090" s="55" t="str">
        <f t="shared" ref="L1090:L1153" si="34">IF(A1090="","",IF(ISNUMBER(K1090),TEXT(K1090,"yyyy-mm"),LEFT(K1090,7)))</f>
        <v>2023-02</v>
      </c>
      <c r="M1090" s="55" t="str">
        <f t="shared" ref="M1090:M1153" si="35">IF(A1090="","",UPPER(TRIM(SUBSTITUTE(C1090," - ","-"))))</f>
        <v>MURANG'A</v>
      </c>
      <c r="N1090" s="55" t="str">
        <f>IF(A1090="","",IFERROR(INDEX('Cluster Map'!$A$4:$A$38,MATCH(M1090,'Cluster Map'!$B$4:$B$38,0)),"Unmapped"))</f>
        <v>Cluster 3</v>
      </c>
      <c r="O1090" s="55">
        <f>IF(A1090="",0,IF(COUNTIFS($A$2:A1090,A1090,$F$2:F1090,F1090,$L$2:L1090,L1090)=1,1,0))</f>
        <v>1</v>
      </c>
      <c r="P1090" s="55">
        <f>IF(A1090="",0,IF(AND(F1090="C&amp;T",COUNTIFS($A$2:A1090,A1090,$F$2:F1090,"C&amp;T")=1),1,0))</f>
        <v>0</v>
      </c>
    </row>
    <row r="1091" spans="1:16" x14ac:dyDescent="0.35">
      <c r="A1091" s="54">
        <f>IFERROR(IF(INDEX(SPOT_Import!$A$1:$Z$2488,1091,'Live Data'!$C$12)="","",INDEX(SPOT_Import!$A$1:$Z$2488,1091,'Live Data'!$C$12)),"")</f>
        <v>12860</v>
      </c>
      <c r="B1091" s="54" t="str">
        <f>IFERROR(IF(INDEX(SPOT_Import!$A$1:$Z$2488,1091,'Live Data'!$C$13)="","",INDEX(SPOT_Import!$A$1:$Z$2488,1091,'Live Data'!$C$13)),"")</f>
        <v>Zombe (AIC) Health Centre</v>
      </c>
      <c r="C1091" s="54" t="str">
        <f>IFERROR(IF(INDEX(SPOT_Import!$A$1:$Z$2488,1091,'Live Data'!$C$14)="","",INDEX(SPOT_Import!$A$1:$Z$2488,1091,'Live Data'!$C$14)),"")</f>
        <v>KITUI</v>
      </c>
      <c r="D1091" s="54" t="str">
        <f>IFERROR(IF(INDEX(SPOT_Import!$A$1:$Z$2488,1091,'Live Data'!$C$15)="","",INDEX(SPOT_Import!$A$1:$Z$2488,1091,'Live Data'!$C$15)),"")</f>
        <v>Kitui East</v>
      </c>
      <c r="E1091" s="54" t="str">
        <f>IFERROR(IF(INDEX(SPOT_Import!$A$1:$Z$2488,1091,'Live Data'!$C$16)="","",INDEX(SPOT_Import!$A$1:$Z$2488,1091,'Live Data'!$C$16)),"")</f>
        <v>CHAK CHAP STAWISHA</v>
      </c>
      <c r="F1091" s="54" t="str">
        <f>IFERROR(IF(INDEX(SPOT_Import!$A$1:$Z$2488,1091,'Live Data'!$C$17)="","",INDEX(SPOT_Import!$A$1:$Z$2488,1091,'Live Data'!$C$17)),"")</f>
        <v>PKV</v>
      </c>
      <c r="G1091" s="54">
        <f>IFERROR(IF(INDEX(SPOT_Import!$A$1:$Z$2488,1091,'Live Data'!$C$18)="","",INDEX(SPOT_Import!$A$1:$Z$2488,1091,'Live Data'!$C$18)),"")</f>
        <v>2450</v>
      </c>
      <c r="H1091" s="54" t="str">
        <f>IFERROR(IF(INDEX(SPOT_Import!$A$1:$Z$2488,1091,'Live Data'!$C$19)="","",INDEX(SPOT_Import!$A$1:$Z$2488,1091,'Live Data'!$C$19)),"")</f>
        <v/>
      </c>
      <c r="I1091" s="54" t="str">
        <f>IFERROR(IF(INDEX(SPOT_Import!$A$1:$Z$2488,1091,'Live Data'!$C$20)="","",INDEX(SPOT_Import!$A$1:$Z$2488,1091,'Live Data'!$C$20)),"")</f>
        <v>Complete</v>
      </c>
      <c r="J1091" s="54" t="str">
        <f>IFERROR(IF(INDEX(SPOT_Import!$A$1:$Z$2488,1091,'Live Data'!$C$21)="","",INDEX(SPOT_Import!$A$1:$Z$2488,1091,'Live Data'!$C$21)),"")</f>
        <v>2023-02-01T09:03:49.000Z</v>
      </c>
      <c r="K1091" s="54" t="str">
        <f>IFERROR(IF(INDEX(SPOT_Import!$A$1:$Z$2488,1091,'Live Data'!$C$22)="","",INDEX(SPOT_Import!$A$1:$Z$2488,1091,'Live Data'!$C$22)),"")</f>
        <v>2023-02-01T09:03:49.000Z</v>
      </c>
      <c r="L1091" s="55" t="str">
        <f t="shared" si="34"/>
        <v>2023-02</v>
      </c>
      <c r="M1091" s="55" t="str">
        <f t="shared" si="35"/>
        <v>KITUI</v>
      </c>
      <c r="N1091" s="55" t="str">
        <f>IF(A1091="","",IFERROR(INDEX('Cluster Map'!$A$4:$A$38,MATCH(M1091,'Cluster Map'!$B$4:$B$38,0)),"Unmapped"))</f>
        <v>Cluster 5</v>
      </c>
      <c r="O1091" s="55">
        <f>IF(A1091="",0,IF(COUNTIFS($A$2:A1091,A1091,$F$2:F1091,F1091,$L$2:L1091,L1091)=1,1,0))</f>
        <v>1</v>
      </c>
      <c r="P1091" s="55">
        <f>IF(A1091="",0,IF(AND(F1091="C&amp;T",COUNTIFS($A$2:A1091,A1091,$F$2:F1091,"C&amp;T")=1),1,0))</f>
        <v>0</v>
      </c>
    </row>
    <row r="1092" spans="1:16" x14ac:dyDescent="0.35">
      <c r="A1092" s="54">
        <f>IFERROR(IF(INDEX(SPOT_Import!$A$1:$Z$2488,1092,'Live Data'!$C$12)="","",INDEX(SPOT_Import!$A$1:$Z$2488,1092,'Live Data'!$C$12)),"")</f>
        <v>12241</v>
      </c>
      <c r="B1092" s="54" t="str">
        <f>IFERROR(IF(INDEX(SPOT_Import!$A$1:$Z$2488,1092,'Live Data'!$C$13)="","",INDEX(SPOT_Import!$A$1:$Z$2488,1092,'Live Data'!$C$13)),"")</f>
        <v>Katilini Health Centre</v>
      </c>
      <c r="C1092" s="54" t="str">
        <f>IFERROR(IF(INDEX(SPOT_Import!$A$1:$Z$2488,1092,'Live Data'!$C$14)="","",INDEX(SPOT_Import!$A$1:$Z$2488,1092,'Live Data'!$C$14)),"")</f>
        <v>KITUI</v>
      </c>
      <c r="D1092" s="54" t="str">
        <f>IFERROR(IF(INDEX(SPOT_Import!$A$1:$Z$2488,1092,'Live Data'!$C$15)="","",INDEX(SPOT_Import!$A$1:$Z$2488,1092,'Live Data'!$C$15)),"")</f>
        <v>Kitui South</v>
      </c>
      <c r="E1092" s="54" t="str">
        <f>IFERROR(IF(INDEX(SPOT_Import!$A$1:$Z$2488,1092,'Live Data'!$C$16)="","",INDEX(SPOT_Import!$A$1:$Z$2488,1092,'Live Data'!$C$16)),"")</f>
        <v>CHAK CHAP STAWISHA</v>
      </c>
      <c r="F1092" s="54" t="str">
        <f>IFERROR(IF(INDEX(SPOT_Import!$A$1:$Z$2488,1092,'Live Data'!$C$17)="","",INDEX(SPOT_Import!$A$1:$Z$2488,1092,'Live Data'!$C$17)),"")</f>
        <v>PKV</v>
      </c>
      <c r="G1092" s="54">
        <f>IFERROR(IF(INDEX(SPOT_Import!$A$1:$Z$2488,1092,'Live Data'!$C$18)="","",INDEX(SPOT_Import!$A$1:$Z$2488,1092,'Live Data'!$C$18)),"")</f>
        <v>1119</v>
      </c>
      <c r="H1092" s="54" t="str">
        <f>IFERROR(IF(INDEX(SPOT_Import!$A$1:$Z$2488,1092,'Live Data'!$C$19)="","",INDEX(SPOT_Import!$A$1:$Z$2488,1092,'Live Data'!$C$19)),"")</f>
        <v/>
      </c>
      <c r="I1092" s="54" t="str">
        <f>IFERROR(IF(INDEX(SPOT_Import!$A$1:$Z$2488,1092,'Live Data'!$C$20)="","",INDEX(SPOT_Import!$A$1:$Z$2488,1092,'Live Data'!$C$20)),"")</f>
        <v>Complete</v>
      </c>
      <c r="J1092" s="54" t="str">
        <f>IFERROR(IF(INDEX(SPOT_Import!$A$1:$Z$2488,1092,'Live Data'!$C$21)="","",INDEX(SPOT_Import!$A$1:$Z$2488,1092,'Live Data'!$C$21)),"")</f>
        <v>2023-02-01T08:29:49.000Z</v>
      </c>
      <c r="K1092" s="54" t="str">
        <f>IFERROR(IF(INDEX(SPOT_Import!$A$1:$Z$2488,1092,'Live Data'!$C$22)="","",INDEX(SPOT_Import!$A$1:$Z$2488,1092,'Live Data'!$C$22)),"")</f>
        <v>2023-02-01T08:29:49.000Z</v>
      </c>
      <c r="L1092" s="55" t="str">
        <f t="shared" si="34"/>
        <v>2023-02</v>
      </c>
      <c r="M1092" s="55" t="str">
        <f t="shared" si="35"/>
        <v>KITUI</v>
      </c>
      <c r="N1092" s="55" t="str">
        <f>IF(A1092="","",IFERROR(INDEX('Cluster Map'!$A$4:$A$38,MATCH(M1092,'Cluster Map'!$B$4:$B$38,0)),"Unmapped"))</f>
        <v>Cluster 5</v>
      </c>
      <c r="O1092" s="55">
        <f>IF(A1092="",0,IF(COUNTIFS($A$2:A1092,A1092,$F$2:F1092,F1092,$L$2:L1092,L1092)=1,1,0))</f>
        <v>1</v>
      </c>
      <c r="P1092" s="55">
        <f>IF(A1092="",0,IF(AND(F1092="C&amp;T",COUNTIFS($A$2:A1092,A1092,$F$2:F1092,"C&amp;T")=1),1,0))</f>
        <v>0</v>
      </c>
    </row>
    <row r="1093" spans="1:16" x14ac:dyDescent="0.35">
      <c r="A1093" s="54">
        <f>IFERROR(IF(INDEX(SPOT_Import!$A$1:$Z$2488,1093,'Live Data'!$C$12)="","",INDEX(SPOT_Import!$A$1:$Z$2488,1093,'Live Data'!$C$12)),"")</f>
        <v>12604</v>
      </c>
      <c r="B1093" s="54" t="str">
        <f>IFERROR(IF(INDEX(SPOT_Import!$A$1:$Z$2488,1093,'Live Data'!$C$13)="","",INDEX(SPOT_Import!$A$1:$Z$2488,1093,'Live Data'!$C$13)),"")</f>
        <v>Our Lady of Lourdes Mutomo  Hospital</v>
      </c>
      <c r="C1093" s="54" t="str">
        <f>IFERROR(IF(INDEX(SPOT_Import!$A$1:$Z$2488,1093,'Live Data'!$C$14)="","",INDEX(SPOT_Import!$A$1:$Z$2488,1093,'Live Data'!$C$14)),"")</f>
        <v>KITUI</v>
      </c>
      <c r="D1093" s="54" t="str">
        <f>IFERROR(IF(INDEX(SPOT_Import!$A$1:$Z$2488,1093,'Live Data'!$C$15)="","",INDEX(SPOT_Import!$A$1:$Z$2488,1093,'Live Data'!$C$15)),"")</f>
        <v>Kitui South</v>
      </c>
      <c r="E1093" s="54" t="str">
        <f>IFERROR(IF(INDEX(SPOT_Import!$A$1:$Z$2488,1093,'Live Data'!$C$16)="","",INDEX(SPOT_Import!$A$1:$Z$2488,1093,'Live Data'!$C$16)),"")</f>
        <v>CHAK CHAP STAWISHA</v>
      </c>
      <c r="F1093" s="54" t="str">
        <f>IFERROR(IF(INDEX(SPOT_Import!$A$1:$Z$2488,1093,'Live Data'!$C$17)="","",INDEX(SPOT_Import!$A$1:$Z$2488,1093,'Live Data'!$C$17)),"")</f>
        <v>PKV</v>
      </c>
      <c r="G1093" s="54">
        <f>IFERROR(IF(INDEX(SPOT_Import!$A$1:$Z$2488,1093,'Live Data'!$C$18)="","",INDEX(SPOT_Import!$A$1:$Z$2488,1093,'Live Data'!$C$18)),"")</f>
        <v>25146</v>
      </c>
      <c r="H1093" s="54" t="str">
        <f>IFERROR(IF(INDEX(SPOT_Import!$A$1:$Z$2488,1093,'Live Data'!$C$19)="","",INDEX(SPOT_Import!$A$1:$Z$2488,1093,'Live Data'!$C$19)),"")</f>
        <v/>
      </c>
      <c r="I1093" s="54" t="str">
        <f>IFERROR(IF(INDEX(SPOT_Import!$A$1:$Z$2488,1093,'Live Data'!$C$20)="","",INDEX(SPOT_Import!$A$1:$Z$2488,1093,'Live Data'!$C$20)),"")</f>
        <v>Complete</v>
      </c>
      <c r="J1093" s="54" t="str">
        <f>IFERROR(IF(INDEX(SPOT_Import!$A$1:$Z$2488,1093,'Live Data'!$C$21)="","",INDEX(SPOT_Import!$A$1:$Z$2488,1093,'Live Data'!$C$21)),"")</f>
        <v>2023-02-01T06:17:34.000Z</v>
      </c>
      <c r="K1093" s="54" t="str">
        <f>IFERROR(IF(INDEX(SPOT_Import!$A$1:$Z$2488,1093,'Live Data'!$C$22)="","",INDEX(SPOT_Import!$A$1:$Z$2488,1093,'Live Data'!$C$22)),"")</f>
        <v>2023-02-01T06:17:34.000Z</v>
      </c>
      <c r="L1093" s="55" t="str">
        <f t="shared" si="34"/>
        <v>2023-02</v>
      </c>
      <c r="M1093" s="55" t="str">
        <f t="shared" si="35"/>
        <v>KITUI</v>
      </c>
      <c r="N1093" s="55" t="str">
        <f>IF(A1093="","",IFERROR(INDEX('Cluster Map'!$A$4:$A$38,MATCH(M1093,'Cluster Map'!$B$4:$B$38,0)),"Unmapped"))</f>
        <v>Cluster 5</v>
      </c>
      <c r="O1093" s="55">
        <f>IF(A1093="",0,IF(COUNTIFS($A$2:A1093,A1093,$F$2:F1093,F1093,$L$2:L1093,L1093)=1,1,0))</f>
        <v>1</v>
      </c>
      <c r="P1093" s="55">
        <f>IF(A1093="",0,IF(AND(F1093="C&amp;T",COUNTIFS($A$2:A1093,A1093,$F$2:F1093,"C&amp;T")=1),1,0))</f>
        <v>0</v>
      </c>
    </row>
    <row r="1094" spans="1:16" x14ac:dyDescent="0.35">
      <c r="A1094" s="54">
        <f>IFERROR(IF(INDEX(SPOT_Import!$A$1:$Z$2488,1094,'Live Data'!$C$12)="","",INDEX(SPOT_Import!$A$1:$Z$2488,1094,'Live Data'!$C$12)),"")</f>
        <v>22085</v>
      </c>
      <c r="B1094" s="54" t="str">
        <f>IFERROR(IF(INDEX(SPOT_Import!$A$1:$Z$2488,1094,'Live Data'!$C$13)="","",INDEX(SPOT_Import!$A$1:$Z$2488,1094,'Live Data'!$C$13)),"")</f>
        <v>Athi Mission Clinic</v>
      </c>
      <c r="C1094" s="54" t="str">
        <f>IFERROR(IF(INDEX(SPOT_Import!$A$1:$Z$2488,1094,'Live Data'!$C$14)="","",INDEX(SPOT_Import!$A$1:$Z$2488,1094,'Live Data'!$C$14)),"")</f>
        <v>KITUI</v>
      </c>
      <c r="D1094" s="54" t="str">
        <f>IFERROR(IF(INDEX(SPOT_Import!$A$1:$Z$2488,1094,'Live Data'!$C$15)="","",INDEX(SPOT_Import!$A$1:$Z$2488,1094,'Live Data'!$C$15)),"")</f>
        <v>Kitui South</v>
      </c>
      <c r="E1094" s="54" t="str">
        <f>IFERROR(IF(INDEX(SPOT_Import!$A$1:$Z$2488,1094,'Live Data'!$C$16)="","",INDEX(SPOT_Import!$A$1:$Z$2488,1094,'Live Data'!$C$16)),"")</f>
        <v>CHAK CHAP STAWISHA</v>
      </c>
      <c r="F1094" s="54" t="str">
        <f>IFERROR(IF(INDEX(SPOT_Import!$A$1:$Z$2488,1094,'Live Data'!$C$17)="","",INDEX(SPOT_Import!$A$1:$Z$2488,1094,'Live Data'!$C$17)),"")</f>
        <v>PKV</v>
      </c>
      <c r="G1094" s="54">
        <f>IFERROR(IF(INDEX(SPOT_Import!$A$1:$Z$2488,1094,'Live Data'!$C$18)="","",INDEX(SPOT_Import!$A$1:$Z$2488,1094,'Live Data'!$C$18)),"")</f>
        <v>933</v>
      </c>
      <c r="H1094" s="54" t="str">
        <f>IFERROR(IF(INDEX(SPOT_Import!$A$1:$Z$2488,1094,'Live Data'!$C$19)="","",INDEX(SPOT_Import!$A$1:$Z$2488,1094,'Live Data'!$C$19)),"")</f>
        <v/>
      </c>
      <c r="I1094" s="54" t="str">
        <f>IFERROR(IF(INDEX(SPOT_Import!$A$1:$Z$2488,1094,'Live Data'!$C$20)="","",INDEX(SPOT_Import!$A$1:$Z$2488,1094,'Live Data'!$C$20)),"")</f>
        <v>Complete</v>
      </c>
      <c r="J1094" s="54" t="str">
        <f>IFERROR(IF(INDEX(SPOT_Import!$A$1:$Z$2488,1094,'Live Data'!$C$21)="","",INDEX(SPOT_Import!$A$1:$Z$2488,1094,'Live Data'!$C$21)),"")</f>
        <v>2023-02-01T05:48:53.000Z</v>
      </c>
      <c r="K1094" s="54" t="str">
        <f>IFERROR(IF(INDEX(SPOT_Import!$A$1:$Z$2488,1094,'Live Data'!$C$22)="","",INDEX(SPOT_Import!$A$1:$Z$2488,1094,'Live Data'!$C$22)),"")</f>
        <v>2023-02-01T05:48:53.000Z</v>
      </c>
      <c r="L1094" s="55" t="str">
        <f t="shared" si="34"/>
        <v>2023-02</v>
      </c>
      <c r="M1094" s="55" t="str">
        <f t="shared" si="35"/>
        <v>KITUI</v>
      </c>
      <c r="N1094" s="55" t="str">
        <f>IF(A1094="","",IFERROR(INDEX('Cluster Map'!$A$4:$A$38,MATCH(M1094,'Cluster Map'!$B$4:$B$38,0)),"Unmapped"))</f>
        <v>Cluster 5</v>
      </c>
      <c r="O1094" s="55">
        <f>IF(A1094="",0,IF(COUNTIFS($A$2:A1094,A1094,$F$2:F1094,F1094,$L$2:L1094,L1094)=1,1,0))</f>
        <v>1</v>
      </c>
      <c r="P1094" s="55">
        <f>IF(A1094="",0,IF(AND(F1094="C&amp;T",COUNTIFS($A$2:A1094,A1094,$F$2:F1094,"C&amp;T")=1),1,0))</f>
        <v>0</v>
      </c>
    </row>
    <row r="1095" spans="1:16" x14ac:dyDescent="0.35">
      <c r="A1095" s="54">
        <f>IFERROR(IF(INDEX(SPOT_Import!$A$1:$Z$2488,1095,'Live Data'!$C$12)="","",INDEX(SPOT_Import!$A$1:$Z$2488,1095,'Live Data'!$C$12)),"")</f>
        <v>14485</v>
      </c>
      <c r="B1095" s="54" t="str">
        <f>IFERROR(IF(INDEX(SPOT_Import!$A$1:$Z$2488,1095,'Live Data'!$C$13)="","",INDEX(SPOT_Import!$A$1:$Z$2488,1095,'Live Data'!$C$13)),"")</f>
        <v>Ewaso Ngiro Health Centre</v>
      </c>
      <c r="C1095" s="54" t="str">
        <f>IFERROR(IF(INDEX(SPOT_Import!$A$1:$Z$2488,1095,'Live Data'!$C$14)="","",INDEX(SPOT_Import!$A$1:$Z$2488,1095,'Live Data'!$C$14)),"")</f>
        <v>NAROK</v>
      </c>
      <c r="D1095" s="54" t="str">
        <f>IFERROR(IF(INDEX(SPOT_Import!$A$1:$Z$2488,1095,'Live Data'!$C$15)="","",INDEX(SPOT_Import!$A$1:$Z$2488,1095,'Live Data'!$C$15)),"")</f>
        <v>Narok South</v>
      </c>
      <c r="E1095" s="54" t="str">
        <f>IFERROR(IF(INDEX(SPOT_Import!$A$1:$Z$2488,1095,'Live Data'!$C$16)="","",INDEX(SPOT_Import!$A$1:$Z$2488,1095,'Live Data'!$C$16)),"")</f>
        <v>CHAK CHAP STAWISHA</v>
      </c>
      <c r="F1095" s="54" t="str">
        <f>IFERROR(IF(INDEX(SPOT_Import!$A$1:$Z$2488,1095,'Live Data'!$C$17)="","",INDEX(SPOT_Import!$A$1:$Z$2488,1095,'Live Data'!$C$17)),"")</f>
        <v>PKV</v>
      </c>
      <c r="G1095" s="54">
        <f>IFERROR(IF(INDEX(SPOT_Import!$A$1:$Z$2488,1095,'Live Data'!$C$18)="","",INDEX(SPOT_Import!$A$1:$Z$2488,1095,'Live Data'!$C$18)),"")</f>
        <v>8225</v>
      </c>
      <c r="H1095" s="54">
        <f>IFERROR(IF(INDEX(SPOT_Import!$A$1:$Z$2488,1095,'Live Data'!$C$19)="","",INDEX(SPOT_Import!$A$1:$Z$2488,1095,'Live Data'!$C$19)),"")</f>
        <v>65629</v>
      </c>
      <c r="I1095" s="54" t="str">
        <f>IFERROR(IF(INDEX(SPOT_Import!$A$1:$Z$2488,1095,'Live Data'!$C$20)="","",INDEX(SPOT_Import!$A$1:$Z$2488,1095,'Live Data'!$C$20)),"")</f>
        <v>Complete</v>
      </c>
      <c r="J1095" s="54" t="str">
        <f>IFERROR(IF(INDEX(SPOT_Import!$A$1:$Z$2488,1095,'Live Data'!$C$21)="","",INDEX(SPOT_Import!$A$1:$Z$2488,1095,'Live Data'!$C$21)),"")</f>
        <v>2023-01-19T18:21:56.000Z</v>
      </c>
      <c r="K1095" s="54" t="str">
        <f>IFERROR(IF(INDEX(SPOT_Import!$A$1:$Z$2488,1095,'Live Data'!$C$22)="","",INDEX(SPOT_Import!$A$1:$Z$2488,1095,'Live Data'!$C$22)),"")</f>
        <v>2023-01-19T18:21:56.000Z</v>
      </c>
      <c r="L1095" s="55" t="str">
        <f t="shared" si="34"/>
        <v>2023-01</v>
      </c>
      <c r="M1095" s="55" t="str">
        <f t="shared" si="35"/>
        <v>NAROK</v>
      </c>
      <c r="N1095" s="55" t="str">
        <f>IF(A1095="","",IFERROR(INDEX('Cluster Map'!$A$4:$A$38,MATCH(M1095,'Cluster Map'!$B$4:$B$38,0)),"Unmapped"))</f>
        <v>Cluster 4</v>
      </c>
      <c r="O1095" s="55">
        <f>IF(A1095="",0,IF(COUNTIFS($A$2:A1095,A1095,$F$2:F1095,F1095,$L$2:L1095,L1095)=1,1,0))</f>
        <v>1</v>
      </c>
      <c r="P1095" s="55">
        <f>IF(A1095="",0,IF(AND(F1095="C&amp;T",COUNTIFS($A$2:A1095,A1095,$F$2:F1095,"C&amp;T")=1),1,0))</f>
        <v>0</v>
      </c>
    </row>
    <row r="1096" spans="1:16" x14ac:dyDescent="0.35">
      <c r="A1096" s="54">
        <f>IFERROR(IF(INDEX(SPOT_Import!$A$1:$Z$2488,1096,'Live Data'!$C$12)="","",INDEX(SPOT_Import!$A$1:$Z$2488,1096,'Live Data'!$C$12)),"")</f>
        <v>12745</v>
      </c>
      <c r="B1096" s="54" t="str">
        <f>IFERROR(IF(INDEX(SPOT_Import!$A$1:$Z$2488,1096,'Live Data'!$C$13)="","",INDEX(SPOT_Import!$A$1:$Z$2488,1096,'Live Data'!$C$13)),"")</f>
        <v>St Assisi Sisters of Mary Immaculate Nursing Home</v>
      </c>
      <c r="C1096" s="54" t="str">
        <f>IFERROR(IF(INDEX(SPOT_Import!$A$1:$Z$2488,1096,'Live Data'!$C$14)="","",INDEX(SPOT_Import!$A$1:$Z$2488,1096,'Live Data'!$C$14)),"")</f>
        <v>MACHAKOS</v>
      </c>
      <c r="D1096" s="54" t="str">
        <f>IFERROR(IF(INDEX(SPOT_Import!$A$1:$Z$2488,1096,'Live Data'!$C$15)="","",INDEX(SPOT_Import!$A$1:$Z$2488,1096,'Live Data'!$C$15)),"")</f>
        <v>Athi River</v>
      </c>
      <c r="E1096" s="54" t="str">
        <f>IFERROR(IF(INDEX(SPOT_Import!$A$1:$Z$2488,1096,'Live Data'!$C$16)="","",INDEX(SPOT_Import!$A$1:$Z$2488,1096,'Live Data'!$C$16)),"")</f>
        <v>CHAK CHAP STAWISHA</v>
      </c>
      <c r="F1096" s="54" t="str">
        <f>IFERROR(IF(INDEX(SPOT_Import!$A$1:$Z$2488,1096,'Live Data'!$C$17)="","",INDEX(SPOT_Import!$A$1:$Z$2488,1096,'Live Data'!$C$17)),"")</f>
        <v>PKV</v>
      </c>
      <c r="G1096" s="54">
        <f>IFERROR(IF(INDEX(SPOT_Import!$A$1:$Z$2488,1096,'Live Data'!$C$18)="","",INDEX(SPOT_Import!$A$1:$Z$2488,1096,'Live Data'!$C$18)),"")</f>
        <v>1327</v>
      </c>
      <c r="H1096" s="54">
        <f>IFERROR(IF(INDEX(SPOT_Import!$A$1:$Z$2488,1096,'Live Data'!$C$19)="","",INDEX(SPOT_Import!$A$1:$Z$2488,1096,'Live Data'!$C$19)),"")</f>
        <v>12975</v>
      </c>
      <c r="I1096" s="54" t="str">
        <f>IFERROR(IF(INDEX(SPOT_Import!$A$1:$Z$2488,1096,'Live Data'!$C$20)="","",INDEX(SPOT_Import!$A$1:$Z$2488,1096,'Live Data'!$C$20)),"")</f>
        <v>Complete</v>
      </c>
      <c r="J1096" s="54" t="str">
        <f>IFERROR(IF(INDEX(SPOT_Import!$A$1:$Z$2488,1096,'Live Data'!$C$21)="","",INDEX(SPOT_Import!$A$1:$Z$2488,1096,'Live Data'!$C$21)),"")</f>
        <v>2022-11-14T13:46:41.000Z</v>
      </c>
      <c r="K1096" s="54" t="str">
        <f>IFERROR(IF(INDEX(SPOT_Import!$A$1:$Z$2488,1096,'Live Data'!$C$22)="","",INDEX(SPOT_Import!$A$1:$Z$2488,1096,'Live Data'!$C$22)),"")</f>
        <v>2022-11-14T13:46:41.000Z</v>
      </c>
      <c r="L1096" s="55" t="str">
        <f t="shared" si="34"/>
        <v>2022-11</v>
      </c>
      <c r="M1096" s="55" t="str">
        <f t="shared" si="35"/>
        <v>MACHAKOS</v>
      </c>
      <c r="N1096" s="55" t="str">
        <f>IF(A1096="","",IFERROR(INDEX('Cluster Map'!$A$4:$A$38,MATCH(M1096,'Cluster Map'!$B$4:$B$38,0)),"Unmapped"))</f>
        <v>Cluster 5</v>
      </c>
      <c r="O1096" s="55">
        <f>IF(A1096="",0,IF(COUNTIFS($A$2:A1096,A1096,$F$2:F1096,F1096,$L$2:L1096,L1096)=1,1,0))</f>
        <v>1</v>
      </c>
      <c r="P1096" s="55">
        <f>IF(A1096="",0,IF(AND(F1096="C&amp;T",COUNTIFS($A$2:A1096,A1096,$F$2:F1096,"C&amp;T")=1),1,0))</f>
        <v>0</v>
      </c>
    </row>
    <row r="1097" spans="1:16" x14ac:dyDescent="0.35">
      <c r="A1097" s="54">
        <f>IFERROR(IF(INDEX(SPOT_Import!$A$1:$Z$2488,1097,'Live Data'!$C$12)="","",INDEX(SPOT_Import!$A$1:$Z$2488,1097,'Live Data'!$C$12)),"")</f>
        <v>10398</v>
      </c>
      <c r="B1097" s="54" t="str">
        <f>IFERROR(IF(INDEX(SPOT_Import!$A$1:$Z$2488,1097,'Live Data'!$C$13)="","",INDEX(SPOT_Import!$A$1:$Z$2488,1097,'Live Data'!$C$13)),"")</f>
        <v>Kagio Catholic Dispensary (Mary Immucate Catholic Dispensary)</v>
      </c>
      <c r="C1097" s="54" t="str">
        <f>IFERROR(IF(INDEX(SPOT_Import!$A$1:$Z$2488,1097,'Live Data'!$C$14)="","",INDEX(SPOT_Import!$A$1:$Z$2488,1097,'Live Data'!$C$14)),"")</f>
        <v>KIRINYAGA</v>
      </c>
      <c r="D1097" s="54" t="str">
        <f>IFERROR(IF(INDEX(SPOT_Import!$A$1:$Z$2488,1097,'Live Data'!$C$15)="","",INDEX(SPOT_Import!$A$1:$Z$2488,1097,'Live Data'!$C$15)),"")</f>
        <v>Kirinyaga West</v>
      </c>
      <c r="E1097" s="54" t="str">
        <f>IFERROR(IF(INDEX(SPOT_Import!$A$1:$Z$2488,1097,'Live Data'!$C$16)="","",INDEX(SPOT_Import!$A$1:$Z$2488,1097,'Live Data'!$C$16)),"")</f>
        <v>CHAK CHAP STAWISHA</v>
      </c>
      <c r="F1097" s="54" t="str">
        <f>IFERROR(IF(INDEX(SPOT_Import!$A$1:$Z$2488,1097,'Live Data'!$C$17)="","",INDEX(SPOT_Import!$A$1:$Z$2488,1097,'Live Data'!$C$17)),"")</f>
        <v>PKV</v>
      </c>
      <c r="G1097" s="54">
        <f>IFERROR(IF(INDEX(SPOT_Import!$A$1:$Z$2488,1097,'Live Data'!$C$18)="","",INDEX(SPOT_Import!$A$1:$Z$2488,1097,'Live Data'!$C$18)),"")</f>
        <v>1356</v>
      </c>
      <c r="H1097" s="54">
        <f>IFERROR(IF(INDEX(SPOT_Import!$A$1:$Z$2488,1097,'Live Data'!$C$19)="","",INDEX(SPOT_Import!$A$1:$Z$2488,1097,'Live Data'!$C$19)),"")</f>
        <v>13555</v>
      </c>
      <c r="I1097" s="54" t="str">
        <f>IFERROR(IF(INDEX(SPOT_Import!$A$1:$Z$2488,1097,'Live Data'!$C$20)="","",INDEX(SPOT_Import!$A$1:$Z$2488,1097,'Live Data'!$C$20)),"")</f>
        <v>Complete</v>
      </c>
      <c r="J1097" s="54" t="str">
        <f>IFERROR(IF(INDEX(SPOT_Import!$A$1:$Z$2488,1097,'Live Data'!$C$21)="","",INDEX(SPOT_Import!$A$1:$Z$2488,1097,'Live Data'!$C$21)),"")</f>
        <v>2022-11-07T10:56:38.000Z</v>
      </c>
      <c r="K1097" s="54" t="str">
        <f>IFERROR(IF(INDEX(SPOT_Import!$A$1:$Z$2488,1097,'Live Data'!$C$22)="","",INDEX(SPOT_Import!$A$1:$Z$2488,1097,'Live Data'!$C$22)),"")</f>
        <v>2022-11-07T10:56:38.000Z</v>
      </c>
      <c r="L1097" s="55" t="str">
        <f t="shared" si="34"/>
        <v>2022-11</v>
      </c>
      <c r="M1097" s="55" t="str">
        <f t="shared" si="35"/>
        <v>KIRINYAGA</v>
      </c>
      <c r="N1097" s="55" t="str">
        <f>IF(A1097="","",IFERROR(INDEX('Cluster Map'!$A$4:$A$38,MATCH(M1097,'Cluster Map'!$B$4:$B$38,0)),"Unmapped"))</f>
        <v>Cluster 2</v>
      </c>
      <c r="O1097" s="55">
        <f>IF(A1097="",0,IF(COUNTIFS($A$2:A1097,A1097,$F$2:F1097,F1097,$L$2:L1097,L1097)=1,1,0))</f>
        <v>1</v>
      </c>
      <c r="P1097" s="55">
        <f>IF(A1097="",0,IF(AND(F1097="C&amp;T",COUNTIFS($A$2:A1097,A1097,$F$2:F1097,"C&amp;T")=1),1,0))</f>
        <v>0</v>
      </c>
    </row>
    <row r="1098" spans="1:16" x14ac:dyDescent="0.35">
      <c r="A1098" s="54">
        <f>IFERROR(IF(INDEX(SPOT_Import!$A$1:$Z$2488,1098,'Live Data'!$C$12)="","",INDEX(SPOT_Import!$A$1:$Z$2488,1098,'Live Data'!$C$12)),"")</f>
        <v>16742</v>
      </c>
      <c r="B1098" s="54" t="str">
        <f>IFERROR(IF(INDEX(SPOT_Import!$A$1:$Z$2488,1098,'Live Data'!$C$13)="","",INDEX(SPOT_Import!$A$1:$Z$2488,1098,'Live Data'!$C$13)),"")</f>
        <v>St Mark Medical Clinic - Tala</v>
      </c>
      <c r="C1098" s="54" t="str">
        <f>IFERROR(IF(INDEX(SPOT_Import!$A$1:$Z$2488,1098,'Live Data'!$C$14)="","",INDEX(SPOT_Import!$A$1:$Z$2488,1098,'Live Data'!$C$14)),"")</f>
        <v>MACHAKOS</v>
      </c>
      <c r="D1098" s="54" t="str">
        <f>IFERROR(IF(INDEX(SPOT_Import!$A$1:$Z$2488,1098,'Live Data'!$C$15)="","",INDEX(SPOT_Import!$A$1:$Z$2488,1098,'Live Data'!$C$15)),"")</f>
        <v>Matungulu</v>
      </c>
      <c r="E1098" s="54" t="str">
        <f>IFERROR(IF(INDEX(SPOT_Import!$A$1:$Z$2488,1098,'Live Data'!$C$16)="","",INDEX(SPOT_Import!$A$1:$Z$2488,1098,'Live Data'!$C$16)),"")</f>
        <v>CHAK CHAP STAWISHA</v>
      </c>
      <c r="F1098" s="54" t="str">
        <f>IFERROR(IF(INDEX(SPOT_Import!$A$1:$Z$2488,1098,'Live Data'!$C$17)="","",INDEX(SPOT_Import!$A$1:$Z$2488,1098,'Live Data'!$C$17)),"")</f>
        <v>PKV</v>
      </c>
      <c r="G1098" s="54">
        <f>IFERROR(IF(INDEX(SPOT_Import!$A$1:$Z$2488,1098,'Live Data'!$C$18)="","",INDEX(SPOT_Import!$A$1:$Z$2488,1098,'Live Data'!$C$18)),"")</f>
        <v>585</v>
      </c>
      <c r="H1098" s="54">
        <f>IFERROR(IF(INDEX(SPOT_Import!$A$1:$Z$2488,1098,'Live Data'!$C$19)="","",INDEX(SPOT_Import!$A$1:$Z$2488,1098,'Live Data'!$C$19)),"")</f>
        <v>4959</v>
      </c>
      <c r="I1098" s="54" t="str">
        <f>IFERROR(IF(INDEX(SPOT_Import!$A$1:$Z$2488,1098,'Live Data'!$C$20)="","",INDEX(SPOT_Import!$A$1:$Z$2488,1098,'Live Data'!$C$20)),"")</f>
        <v>Complete</v>
      </c>
      <c r="J1098" s="54" t="str">
        <f>IFERROR(IF(INDEX(SPOT_Import!$A$1:$Z$2488,1098,'Live Data'!$C$21)="","",INDEX(SPOT_Import!$A$1:$Z$2488,1098,'Live Data'!$C$21)),"")</f>
        <v>2022-11-04T08:13:43.000Z</v>
      </c>
      <c r="K1098" s="54" t="str">
        <f>IFERROR(IF(INDEX(SPOT_Import!$A$1:$Z$2488,1098,'Live Data'!$C$22)="","",INDEX(SPOT_Import!$A$1:$Z$2488,1098,'Live Data'!$C$22)),"")</f>
        <v>2022-11-04T08:13:43.000Z</v>
      </c>
      <c r="L1098" s="55" t="str">
        <f t="shared" si="34"/>
        <v>2022-11</v>
      </c>
      <c r="M1098" s="55" t="str">
        <f t="shared" si="35"/>
        <v>MACHAKOS</v>
      </c>
      <c r="N1098" s="55" t="str">
        <f>IF(A1098="","",IFERROR(INDEX('Cluster Map'!$A$4:$A$38,MATCH(M1098,'Cluster Map'!$B$4:$B$38,0)),"Unmapped"))</f>
        <v>Cluster 5</v>
      </c>
      <c r="O1098" s="55">
        <f>IF(A1098="",0,IF(COUNTIFS($A$2:A1098,A1098,$F$2:F1098,F1098,$L$2:L1098,L1098)=1,1,0))</f>
        <v>1</v>
      </c>
      <c r="P1098" s="55">
        <f>IF(A1098="",0,IF(AND(F1098="C&amp;T",COUNTIFS($A$2:A1098,A1098,$F$2:F1098,"C&amp;T")=1),1,0))</f>
        <v>0</v>
      </c>
    </row>
    <row r="1099" spans="1:16" x14ac:dyDescent="0.35">
      <c r="A1099" s="54">
        <f>IFERROR(IF(INDEX(SPOT_Import!$A$1:$Z$2488,1099,'Live Data'!$C$12)="","",INDEX(SPOT_Import!$A$1:$Z$2488,1099,'Live Data'!$C$12)),"")</f>
        <v>15128</v>
      </c>
      <c r="B1099" s="54" t="str">
        <f>IFERROR(IF(INDEX(SPOT_Import!$A$1:$Z$2488,1099,'Live Data'!$C$13)="","",INDEX(SPOT_Import!$A$1:$Z$2488,1099,'Live Data'!$C$13)),"")</f>
        <v>Mararianta Dispensary</v>
      </c>
      <c r="C1099" s="54" t="str">
        <f>IFERROR(IF(INDEX(SPOT_Import!$A$1:$Z$2488,1099,'Live Data'!$C$14)="","",INDEX(SPOT_Import!$A$1:$Z$2488,1099,'Live Data'!$C$14)),"")</f>
        <v>NAROK</v>
      </c>
      <c r="D1099" s="54" t="str">
        <f>IFERROR(IF(INDEX(SPOT_Import!$A$1:$Z$2488,1099,'Live Data'!$C$15)="","",INDEX(SPOT_Import!$A$1:$Z$2488,1099,'Live Data'!$C$15)),"")</f>
        <v>Narok West</v>
      </c>
      <c r="E1099" s="54" t="str">
        <f>IFERROR(IF(INDEX(SPOT_Import!$A$1:$Z$2488,1099,'Live Data'!$C$16)="","",INDEX(SPOT_Import!$A$1:$Z$2488,1099,'Live Data'!$C$16)),"")</f>
        <v>CHAK CHAP STAWISHA</v>
      </c>
      <c r="F1099" s="54" t="str">
        <f>IFERROR(IF(INDEX(SPOT_Import!$A$1:$Z$2488,1099,'Live Data'!$C$17)="","",INDEX(SPOT_Import!$A$1:$Z$2488,1099,'Live Data'!$C$17)),"")</f>
        <v>PKV</v>
      </c>
      <c r="G1099" s="54">
        <f>IFERROR(IF(INDEX(SPOT_Import!$A$1:$Z$2488,1099,'Live Data'!$C$18)="","",INDEX(SPOT_Import!$A$1:$Z$2488,1099,'Live Data'!$C$18)),"")</f>
        <v>956</v>
      </c>
      <c r="H1099" s="54">
        <f>IFERROR(IF(INDEX(SPOT_Import!$A$1:$Z$2488,1099,'Live Data'!$C$19)="","",INDEX(SPOT_Import!$A$1:$Z$2488,1099,'Live Data'!$C$19)),"")</f>
        <v>5420</v>
      </c>
      <c r="I1099" s="54" t="str">
        <f>IFERROR(IF(INDEX(SPOT_Import!$A$1:$Z$2488,1099,'Live Data'!$C$20)="","",INDEX(SPOT_Import!$A$1:$Z$2488,1099,'Live Data'!$C$20)),"")</f>
        <v>Complete</v>
      </c>
      <c r="J1099" s="54" t="str">
        <f>IFERROR(IF(INDEX(SPOT_Import!$A$1:$Z$2488,1099,'Live Data'!$C$21)="","",INDEX(SPOT_Import!$A$1:$Z$2488,1099,'Live Data'!$C$21)),"")</f>
        <v>2022-11-04T06:53:50.000Z</v>
      </c>
      <c r="K1099" s="54" t="str">
        <f>IFERROR(IF(INDEX(SPOT_Import!$A$1:$Z$2488,1099,'Live Data'!$C$22)="","",INDEX(SPOT_Import!$A$1:$Z$2488,1099,'Live Data'!$C$22)),"")</f>
        <v>2022-11-04T06:53:50.000Z</v>
      </c>
      <c r="L1099" s="55" t="str">
        <f t="shared" si="34"/>
        <v>2022-11</v>
      </c>
      <c r="M1099" s="55" t="str">
        <f t="shared" si="35"/>
        <v>NAROK</v>
      </c>
      <c r="N1099" s="55" t="str">
        <f>IF(A1099="","",IFERROR(INDEX('Cluster Map'!$A$4:$A$38,MATCH(M1099,'Cluster Map'!$B$4:$B$38,0)),"Unmapped"))</f>
        <v>Cluster 4</v>
      </c>
      <c r="O1099" s="55">
        <f>IF(A1099="",0,IF(COUNTIFS($A$2:A1099,A1099,$F$2:F1099,F1099,$L$2:L1099,L1099)=1,1,0))</f>
        <v>1</v>
      </c>
      <c r="P1099" s="55">
        <f>IF(A1099="",0,IF(AND(F1099="C&amp;T",COUNTIFS($A$2:A1099,A1099,$F$2:F1099,"C&amp;T")=1),1,0))</f>
        <v>0</v>
      </c>
    </row>
    <row r="1100" spans="1:16" x14ac:dyDescent="0.35">
      <c r="A1100" s="54">
        <f>IFERROR(IF(INDEX(SPOT_Import!$A$1:$Z$2488,1100,'Live Data'!$C$12)="","",INDEX(SPOT_Import!$A$1:$Z$2488,1100,'Live Data'!$C$12)),"")</f>
        <v>10221</v>
      </c>
      <c r="B1100" s="54" t="str">
        <f>IFERROR(IF(INDEX(SPOT_Import!$A$1:$Z$2488,1100,'Live Data'!$C$13)="","",INDEX(SPOT_Import!$A$1:$Z$2488,1100,'Live Data'!$C$13)),"")</f>
        <v>Gatithi Dispensary</v>
      </c>
      <c r="C1100" s="54" t="str">
        <f>IFERROR(IF(INDEX(SPOT_Import!$A$1:$Z$2488,1100,'Live Data'!$C$14)="","",INDEX(SPOT_Import!$A$1:$Z$2488,1100,'Live Data'!$C$14)),"")</f>
        <v>KIRINYAGA</v>
      </c>
      <c r="D1100" s="54" t="str">
        <f>IFERROR(IF(INDEX(SPOT_Import!$A$1:$Z$2488,1100,'Live Data'!$C$15)="","",INDEX(SPOT_Import!$A$1:$Z$2488,1100,'Live Data'!$C$15)),"")</f>
        <v>Kirinyaga West</v>
      </c>
      <c r="E1100" s="54" t="str">
        <f>IFERROR(IF(INDEX(SPOT_Import!$A$1:$Z$2488,1100,'Live Data'!$C$16)="","",INDEX(SPOT_Import!$A$1:$Z$2488,1100,'Live Data'!$C$16)),"")</f>
        <v>CHAK CHAP STAWISHA</v>
      </c>
      <c r="F1100" s="54" t="str">
        <f>IFERROR(IF(INDEX(SPOT_Import!$A$1:$Z$2488,1100,'Live Data'!$C$17)="","",INDEX(SPOT_Import!$A$1:$Z$2488,1100,'Live Data'!$C$17)),"")</f>
        <v>PKV</v>
      </c>
      <c r="G1100" s="54">
        <f>IFERROR(IF(INDEX(SPOT_Import!$A$1:$Z$2488,1100,'Live Data'!$C$18)="","",INDEX(SPOT_Import!$A$1:$Z$2488,1100,'Live Data'!$C$18)),"")</f>
        <v>1269</v>
      </c>
      <c r="H1100" s="54">
        <f>IFERROR(IF(INDEX(SPOT_Import!$A$1:$Z$2488,1100,'Live Data'!$C$19)="","",INDEX(SPOT_Import!$A$1:$Z$2488,1100,'Live Data'!$C$19)),"")</f>
        <v>11832</v>
      </c>
      <c r="I1100" s="54" t="str">
        <f>IFERROR(IF(INDEX(SPOT_Import!$A$1:$Z$2488,1100,'Live Data'!$C$20)="","",INDEX(SPOT_Import!$A$1:$Z$2488,1100,'Live Data'!$C$20)),"")</f>
        <v>Complete</v>
      </c>
      <c r="J1100" s="54" t="str">
        <f>IFERROR(IF(INDEX(SPOT_Import!$A$1:$Z$2488,1100,'Live Data'!$C$21)="","",INDEX(SPOT_Import!$A$1:$Z$2488,1100,'Live Data'!$C$21)),"")</f>
        <v>2022-11-04T06:14:15.000Z</v>
      </c>
      <c r="K1100" s="54" t="str">
        <f>IFERROR(IF(INDEX(SPOT_Import!$A$1:$Z$2488,1100,'Live Data'!$C$22)="","",INDEX(SPOT_Import!$A$1:$Z$2488,1100,'Live Data'!$C$22)),"")</f>
        <v>2022-11-04T06:14:15.000Z</v>
      </c>
      <c r="L1100" s="55" t="str">
        <f t="shared" si="34"/>
        <v>2022-11</v>
      </c>
      <c r="M1100" s="55" t="str">
        <f t="shared" si="35"/>
        <v>KIRINYAGA</v>
      </c>
      <c r="N1100" s="55" t="str">
        <f>IF(A1100="","",IFERROR(INDEX('Cluster Map'!$A$4:$A$38,MATCH(M1100,'Cluster Map'!$B$4:$B$38,0)),"Unmapped"))</f>
        <v>Cluster 2</v>
      </c>
      <c r="O1100" s="55">
        <f>IF(A1100="",0,IF(COUNTIFS($A$2:A1100,A1100,$F$2:F1100,F1100,$L$2:L1100,L1100)=1,1,0))</f>
        <v>1</v>
      </c>
      <c r="P1100" s="55">
        <f>IF(A1100="",0,IF(AND(F1100="C&amp;T",COUNTIFS($A$2:A1100,A1100,$F$2:F1100,"C&amp;T")=1),1,0))</f>
        <v>0</v>
      </c>
    </row>
    <row r="1101" spans="1:16" x14ac:dyDescent="0.35">
      <c r="A1101" s="54">
        <f>IFERROR(IF(INDEX(SPOT_Import!$A$1:$Z$2488,1101,'Live Data'!$C$12)="","",INDEX(SPOT_Import!$A$1:$Z$2488,1101,'Live Data'!$C$12)),"")</f>
        <v>10602</v>
      </c>
      <c r="B1101" s="54" t="str">
        <f>IFERROR(IF(INDEX(SPOT_Import!$A$1:$Z$2488,1101,'Live Data'!$C$13)="","",INDEX(SPOT_Import!$A$1:$Z$2488,1101,'Live Data'!$C$13)),"")</f>
        <v>Kijabe (AIC) Hospital</v>
      </c>
      <c r="C1101" s="54" t="str">
        <f>IFERROR(IF(INDEX(SPOT_Import!$A$1:$Z$2488,1101,'Live Data'!$C$14)="","",INDEX(SPOT_Import!$A$1:$Z$2488,1101,'Live Data'!$C$14)),"")</f>
        <v>KIAMBU</v>
      </c>
      <c r="D1101" s="54" t="str">
        <f>IFERROR(IF(INDEX(SPOT_Import!$A$1:$Z$2488,1101,'Live Data'!$C$15)="","",INDEX(SPOT_Import!$A$1:$Z$2488,1101,'Live Data'!$C$15)),"")</f>
        <v>Lari</v>
      </c>
      <c r="E1101" s="54" t="str">
        <f>IFERROR(IF(INDEX(SPOT_Import!$A$1:$Z$2488,1101,'Live Data'!$C$16)="","",INDEX(SPOT_Import!$A$1:$Z$2488,1101,'Live Data'!$C$16)),"")</f>
        <v>CHAK CHAP STAWISHA</v>
      </c>
      <c r="F1101" s="54" t="str">
        <f>IFERROR(IF(INDEX(SPOT_Import!$A$1:$Z$2488,1101,'Live Data'!$C$17)="","",INDEX(SPOT_Import!$A$1:$Z$2488,1101,'Live Data'!$C$17)),"")</f>
        <v>PKV</v>
      </c>
      <c r="G1101" s="54">
        <f>IFERROR(IF(INDEX(SPOT_Import!$A$1:$Z$2488,1101,'Live Data'!$C$18)="","",INDEX(SPOT_Import!$A$1:$Z$2488,1101,'Live Data'!$C$18)),"")</f>
        <v>12789</v>
      </c>
      <c r="H1101" s="54">
        <f>IFERROR(IF(INDEX(SPOT_Import!$A$1:$Z$2488,1101,'Live Data'!$C$19)="","",INDEX(SPOT_Import!$A$1:$Z$2488,1101,'Live Data'!$C$19)),"")</f>
        <v>171086</v>
      </c>
      <c r="I1101" s="54" t="str">
        <f>IFERROR(IF(INDEX(SPOT_Import!$A$1:$Z$2488,1101,'Live Data'!$C$20)="","",INDEX(SPOT_Import!$A$1:$Z$2488,1101,'Live Data'!$C$20)),"")</f>
        <v>Complete</v>
      </c>
      <c r="J1101" s="54" t="str">
        <f>IFERROR(IF(INDEX(SPOT_Import!$A$1:$Z$2488,1101,'Live Data'!$C$21)="","",INDEX(SPOT_Import!$A$1:$Z$2488,1101,'Live Data'!$C$21)),"")</f>
        <v>2022-11-03T19:22:05.000Z</v>
      </c>
      <c r="K1101" s="54" t="str">
        <f>IFERROR(IF(INDEX(SPOT_Import!$A$1:$Z$2488,1101,'Live Data'!$C$22)="","",INDEX(SPOT_Import!$A$1:$Z$2488,1101,'Live Data'!$C$22)),"")</f>
        <v>2022-11-03T19:22:05.000Z</v>
      </c>
      <c r="L1101" s="55" t="str">
        <f t="shared" si="34"/>
        <v>2022-11</v>
      </c>
      <c r="M1101" s="55" t="str">
        <f t="shared" si="35"/>
        <v>KIAMBU</v>
      </c>
      <c r="N1101" s="55" t="str">
        <f>IF(A1101="","",IFERROR(INDEX('Cluster Map'!$A$4:$A$38,MATCH(M1101,'Cluster Map'!$B$4:$B$38,0)),"Unmapped"))</f>
        <v>Cluster 3</v>
      </c>
      <c r="O1101" s="55">
        <f>IF(A1101="",0,IF(COUNTIFS($A$2:A1101,A1101,$F$2:F1101,F1101,$L$2:L1101,L1101)=1,1,0))</f>
        <v>1</v>
      </c>
      <c r="P1101" s="55">
        <f>IF(A1101="",0,IF(AND(F1101="C&amp;T",COUNTIFS($A$2:A1101,A1101,$F$2:F1101,"C&amp;T")=1),1,0))</f>
        <v>0</v>
      </c>
    </row>
    <row r="1102" spans="1:16" x14ac:dyDescent="0.35">
      <c r="A1102" s="54">
        <f>IFERROR(IF(INDEX(SPOT_Import!$A$1:$Z$2488,1102,'Live Data'!$C$12)="","",INDEX(SPOT_Import!$A$1:$Z$2488,1102,'Live Data'!$C$12)),"")</f>
        <v>10321</v>
      </c>
      <c r="B1102" s="54" t="str">
        <f>IFERROR(IF(INDEX(SPOT_Import!$A$1:$Z$2488,1102,'Live Data'!$C$13)="","",INDEX(SPOT_Import!$A$1:$Z$2488,1102,'Live Data'!$C$13)),"")</f>
        <v>Holy Cross Dispensary</v>
      </c>
      <c r="C1102" s="54" t="str">
        <f>IFERROR(IF(INDEX(SPOT_Import!$A$1:$Z$2488,1102,'Live Data'!$C$14)="","",INDEX(SPOT_Import!$A$1:$Z$2488,1102,'Live Data'!$C$14)),"")</f>
        <v>KIAMBU</v>
      </c>
      <c r="D1102" s="54" t="str">
        <f>IFERROR(IF(INDEX(SPOT_Import!$A$1:$Z$2488,1102,'Live Data'!$C$15)="","",INDEX(SPOT_Import!$A$1:$Z$2488,1102,'Live Data'!$C$15)),"")</f>
        <v>Limuru</v>
      </c>
      <c r="E1102" s="54" t="str">
        <f>IFERROR(IF(INDEX(SPOT_Import!$A$1:$Z$2488,1102,'Live Data'!$C$16)="","",INDEX(SPOT_Import!$A$1:$Z$2488,1102,'Live Data'!$C$16)),"")</f>
        <v>CHAK CHAP STAWISHA</v>
      </c>
      <c r="F1102" s="54" t="str">
        <f>IFERROR(IF(INDEX(SPOT_Import!$A$1:$Z$2488,1102,'Live Data'!$C$17)="","",INDEX(SPOT_Import!$A$1:$Z$2488,1102,'Live Data'!$C$17)),"")</f>
        <v>PKV</v>
      </c>
      <c r="G1102" s="54">
        <f>IFERROR(IF(INDEX(SPOT_Import!$A$1:$Z$2488,1102,'Live Data'!$C$18)="","",INDEX(SPOT_Import!$A$1:$Z$2488,1102,'Live Data'!$C$18)),"")</f>
        <v>1320</v>
      </c>
      <c r="H1102" s="54">
        <f>IFERROR(IF(INDEX(SPOT_Import!$A$1:$Z$2488,1102,'Live Data'!$C$19)="","",INDEX(SPOT_Import!$A$1:$Z$2488,1102,'Live Data'!$C$19)),"")</f>
        <v>12680</v>
      </c>
      <c r="I1102" s="54" t="str">
        <f>IFERROR(IF(INDEX(SPOT_Import!$A$1:$Z$2488,1102,'Live Data'!$C$20)="","",INDEX(SPOT_Import!$A$1:$Z$2488,1102,'Live Data'!$C$20)),"")</f>
        <v>Complete</v>
      </c>
      <c r="J1102" s="54" t="str">
        <f>IFERROR(IF(INDEX(SPOT_Import!$A$1:$Z$2488,1102,'Live Data'!$C$21)="","",INDEX(SPOT_Import!$A$1:$Z$2488,1102,'Live Data'!$C$21)),"")</f>
        <v>2022-11-03T10:09:36.000Z</v>
      </c>
      <c r="K1102" s="54" t="str">
        <f>IFERROR(IF(INDEX(SPOT_Import!$A$1:$Z$2488,1102,'Live Data'!$C$22)="","",INDEX(SPOT_Import!$A$1:$Z$2488,1102,'Live Data'!$C$22)),"")</f>
        <v>2022-11-03T10:09:36.000Z</v>
      </c>
      <c r="L1102" s="55" t="str">
        <f t="shared" si="34"/>
        <v>2022-11</v>
      </c>
      <c r="M1102" s="55" t="str">
        <f t="shared" si="35"/>
        <v>KIAMBU</v>
      </c>
      <c r="N1102" s="55" t="str">
        <f>IF(A1102="","",IFERROR(INDEX('Cluster Map'!$A$4:$A$38,MATCH(M1102,'Cluster Map'!$B$4:$B$38,0)),"Unmapped"))</f>
        <v>Cluster 3</v>
      </c>
      <c r="O1102" s="55">
        <f>IF(A1102="",0,IF(COUNTIFS($A$2:A1102,A1102,$F$2:F1102,F1102,$L$2:L1102,L1102)=1,1,0))</f>
        <v>1</v>
      </c>
      <c r="P1102" s="55">
        <f>IF(A1102="",0,IF(AND(F1102="C&amp;T",COUNTIFS($A$2:A1102,A1102,$F$2:F1102,"C&amp;T")=1),1,0))</f>
        <v>0</v>
      </c>
    </row>
    <row r="1103" spans="1:16" x14ac:dyDescent="0.35">
      <c r="A1103" s="54">
        <f>IFERROR(IF(INDEX(SPOT_Import!$A$1:$Z$2488,1103,'Live Data'!$C$12)="","",INDEX(SPOT_Import!$A$1:$Z$2488,1103,'Live Data'!$C$12)),"")</f>
        <v>14394</v>
      </c>
      <c r="B1103" s="54" t="str">
        <f>IFERROR(IF(INDEX(SPOT_Import!$A$1:$Z$2488,1103,'Live Data'!$C$13)="","",INDEX(SPOT_Import!$A$1:$Z$2488,1103,'Live Data'!$C$13)),"")</f>
        <v>CMF Aitong Health Centre</v>
      </c>
      <c r="C1103" s="54" t="str">
        <f>IFERROR(IF(INDEX(SPOT_Import!$A$1:$Z$2488,1103,'Live Data'!$C$14)="","",INDEX(SPOT_Import!$A$1:$Z$2488,1103,'Live Data'!$C$14)),"")</f>
        <v>NAROK</v>
      </c>
      <c r="D1103" s="54" t="str">
        <f>IFERROR(IF(INDEX(SPOT_Import!$A$1:$Z$2488,1103,'Live Data'!$C$15)="","",INDEX(SPOT_Import!$A$1:$Z$2488,1103,'Live Data'!$C$15)),"")</f>
        <v>Narok West</v>
      </c>
      <c r="E1103" s="54" t="str">
        <f>IFERROR(IF(INDEX(SPOT_Import!$A$1:$Z$2488,1103,'Live Data'!$C$16)="","",INDEX(SPOT_Import!$A$1:$Z$2488,1103,'Live Data'!$C$16)),"")</f>
        <v>CHAK CHAP STAWISHA</v>
      </c>
      <c r="F1103" s="54" t="str">
        <f>IFERROR(IF(INDEX(SPOT_Import!$A$1:$Z$2488,1103,'Live Data'!$C$17)="","",INDEX(SPOT_Import!$A$1:$Z$2488,1103,'Live Data'!$C$17)),"")</f>
        <v>PKV</v>
      </c>
      <c r="G1103" s="54">
        <f>IFERROR(IF(INDEX(SPOT_Import!$A$1:$Z$2488,1103,'Live Data'!$C$18)="","",INDEX(SPOT_Import!$A$1:$Z$2488,1103,'Live Data'!$C$18)),"")</f>
        <v>1767</v>
      </c>
      <c r="H1103" s="54">
        <f>IFERROR(IF(INDEX(SPOT_Import!$A$1:$Z$2488,1103,'Live Data'!$C$19)="","",INDEX(SPOT_Import!$A$1:$Z$2488,1103,'Live Data'!$C$19)),"")</f>
        <v>18708</v>
      </c>
      <c r="I1103" s="54" t="str">
        <f>IFERROR(IF(INDEX(SPOT_Import!$A$1:$Z$2488,1103,'Live Data'!$C$20)="","",INDEX(SPOT_Import!$A$1:$Z$2488,1103,'Live Data'!$C$20)),"")</f>
        <v>Complete</v>
      </c>
      <c r="J1103" s="54" t="str">
        <f>IFERROR(IF(INDEX(SPOT_Import!$A$1:$Z$2488,1103,'Live Data'!$C$21)="","",INDEX(SPOT_Import!$A$1:$Z$2488,1103,'Live Data'!$C$21)),"")</f>
        <v>2022-11-02T06:46:26.000Z</v>
      </c>
      <c r="K1103" s="54" t="str">
        <f>IFERROR(IF(INDEX(SPOT_Import!$A$1:$Z$2488,1103,'Live Data'!$C$22)="","",INDEX(SPOT_Import!$A$1:$Z$2488,1103,'Live Data'!$C$22)),"")</f>
        <v>2022-11-02T06:46:26.000Z</v>
      </c>
      <c r="L1103" s="55" t="str">
        <f t="shared" si="34"/>
        <v>2022-11</v>
      </c>
      <c r="M1103" s="55" t="str">
        <f t="shared" si="35"/>
        <v>NAROK</v>
      </c>
      <c r="N1103" s="55" t="str">
        <f>IF(A1103="","",IFERROR(INDEX('Cluster Map'!$A$4:$A$38,MATCH(M1103,'Cluster Map'!$B$4:$B$38,0)),"Unmapped"))</f>
        <v>Cluster 4</v>
      </c>
      <c r="O1103" s="55">
        <f>IF(A1103="",0,IF(COUNTIFS($A$2:A1103,A1103,$F$2:F1103,F1103,$L$2:L1103,L1103)=1,1,0))</f>
        <v>1</v>
      </c>
      <c r="P1103" s="55">
        <f>IF(A1103="",0,IF(AND(F1103="C&amp;T",COUNTIFS($A$2:A1103,A1103,$F$2:F1103,"C&amp;T")=1),1,0))</f>
        <v>0</v>
      </c>
    </row>
    <row r="1104" spans="1:16" x14ac:dyDescent="0.35">
      <c r="A1104" s="54">
        <f>IFERROR(IF(INDEX(SPOT_Import!$A$1:$Z$2488,1104,'Live Data'!$C$12)="","",INDEX(SPOT_Import!$A$1:$Z$2488,1104,'Live Data'!$C$12)),"")</f>
        <v>10988</v>
      </c>
      <c r="B1104" s="54" t="str">
        <f>IFERROR(IF(INDEX(SPOT_Import!$A$1:$Z$2488,1104,'Live Data'!$C$13)="","",INDEX(SPOT_Import!$A$1:$Z$2488,1104,'Live Data'!$C$13)),"")</f>
        <v>Sacred Heart Dispensary</v>
      </c>
      <c r="C1104" s="54" t="str">
        <f>IFERROR(IF(INDEX(SPOT_Import!$A$1:$Z$2488,1104,'Live Data'!$C$14)="","",INDEX(SPOT_Import!$A$1:$Z$2488,1104,'Live Data'!$C$14)),"")</f>
        <v>KIAMBU</v>
      </c>
      <c r="D1104" s="54" t="str">
        <f>IFERROR(IF(INDEX(SPOT_Import!$A$1:$Z$2488,1104,'Live Data'!$C$15)="","",INDEX(SPOT_Import!$A$1:$Z$2488,1104,'Live Data'!$C$15)),"")</f>
        <v>Kiambaa</v>
      </c>
      <c r="E1104" s="54" t="str">
        <f>IFERROR(IF(INDEX(SPOT_Import!$A$1:$Z$2488,1104,'Live Data'!$C$16)="","",INDEX(SPOT_Import!$A$1:$Z$2488,1104,'Live Data'!$C$16)),"")</f>
        <v>CHAK CHAP STAWISHA</v>
      </c>
      <c r="F1104" s="54" t="str">
        <f>IFERROR(IF(INDEX(SPOT_Import!$A$1:$Z$2488,1104,'Live Data'!$C$17)="","",INDEX(SPOT_Import!$A$1:$Z$2488,1104,'Live Data'!$C$17)),"")</f>
        <v>PKV</v>
      </c>
      <c r="G1104" s="54">
        <f>IFERROR(IF(INDEX(SPOT_Import!$A$1:$Z$2488,1104,'Live Data'!$C$18)="","",INDEX(SPOT_Import!$A$1:$Z$2488,1104,'Live Data'!$C$18)),"")</f>
        <v>4454</v>
      </c>
      <c r="H1104" s="54">
        <f>IFERROR(IF(INDEX(SPOT_Import!$A$1:$Z$2488,1104,'Live Data'!$C$19)="","",INDEX(SPOT_Import!$A$1:$Z$2488,1104,'Live Data'!$C$19)),"")</f>
        <v>44059</v>
      </c>
      <c r="I1104" s="54" t="str">
        <f>IFERROR(IF(INDEX(SPOT_Import!$A$1:$Z$2488,1104,'Live Data'!$C$20)="","",INDEX(SPOT_Import!$A$1:$Z$2488,1104,'Live Data'!$C$20)),"")</f>
        <v>Complete</v>
      </c>
      <c r="J1104" s="54" t="str">
        <f>IFERROR(IF(INDEX(SPOT_Import!$A$1:$Z$2488,1104,'Live Data'!$C$21)="","",INDEX(SPOT_Import!$A$1:$Z$2488,1104,'Live Data'!$C$21)),"")</f>
        <v>2022-11-02T06:06:14.000Z</v>
      </c>
      <c r="K1104" s="54" t="str">
        <f>IFERROR(IF(INDEX(SPOT_Import!$A$1:$Z$2488,1104,'Live Data'!$C$22)="","",INDEX(SPOT_Import!$A$1:$Z$2488,1104,'Live Data'!$C$22)),"")</f>
        <v>2022-11-02T06:06:14.000Z</v>
      </c>
      <c r="L1104" s="55" t="str">
        <f t="shared" si="34"/>
        <v>2022-11</v>
      </c>
      <c r="M1104" s="55" t="str">
        <f t="shared" si="35"/>
        <v>KIAMBU</v>
      </c>
      <c r="N1104" s="55" t="str">
        <f>IF(A1104="","",IFERROR(INDEX('Cluster Map'!$A$4:$A$38,MATCH(M1104,'Cluster Map'!$B$4:$B$38,0)),"Unmapped"))</f>
        <v>Cluster 3</v>
      </c>
      <c r="O1104" s="55">
        <f>IF(A1104="",0,IF(COUNTIFS($A$2:A1104,A1104,$F$2:F1104,F1104,$L$2:L1104,L1104)=1,1,0))</f>
        <v>1</v>
      </c>
      <c r="P1104" s="55">
        <f>IF(A1104="",0,IF(AND(F1104="C&amp;T",COUNTIFS($A$2:A1104,A1104,$F$2:F1104,"C&amp;T")=1),1,0))</f>
        <v>0</v>
      </c>
    </row>
    <row r="1105" spans="1:16" x14ac:dyDescent="0.35">
      <c r="A1105" s="54">
        <f>IFERROR(IF(INDEX(SPOT_Import!$A$1:$Z$2488,1105,'Live Data'!$C$12)="","",INDEX(SPOT_Import!$A$1:$Z$2488,1105,'Live Data'!$C$12)),"")</f>
        <v>17094</v>
      </c>
      <c r="B1105" s="54" t="str">
        <f>IFERROR(IF(INDEX(SPOT_Import!$A$1:$Z$2488,1105,'Live Data'!$C$13)="","",INDEX(SPOT_Import!$A$1:$Z$2488,1105,'Live Data'!$C$13)),"")</f>
        <v>Tinganga Catholic Dispensary</v>
      </c>
      <c r="C1105" s="54" t="str">
        <f>IFERROR(IF(INDEX(SPOT_Import!$A$1:$Z$2488,1105,'Live Data'!$C$14)="","",INDEX(SPOT_Import!$A$1:$Z$2488,1105,'Live Data'!$C$14)),"")</f>
        <v>KIAMBU</v>
      </c>
      <c r="D1105" s="54" t="str">
        <f>IFERROR(IF(INDEX(SPOT_Import!$A$1:$Z$2488,1105,'Live Data'!$C$15)="","",INDEX(SPOT_Import!$A$1:$Z$2488,1105,'Live Data'!$C$15)),"")</f>
        <v>Kiambu Town</v>
      </c>
      <c r="E1105" s="54" t="str">
        <f>IFERROR(IF(INDEX(SPOT_Import!$A$1:$Z$2488,1105,'Live Data'!$C$16)="","",INDEX(SPOT_Import!$A$1:$Z$2488,1105,'Live Data'!$C$16)),"")</f>
        <v>CHAK CHAP STAWISHA</v>
      </c>
      <c r="F1105" s="54" t="str">
        <f>IFERROR(IF(INDEX(SPOT_Import!$A$1:$Z$2488,1105,'Live Data'!$C$17)="","",INDEX(SPOT_Import!$A$1:$Z$2488,1105,'Live Data'!$C$17)),"")</f>
        <v>PKV</v>
      </c>
      <c r="G1105" s="54">
        <f>IFERROR(IF(INDEX(SPOT_Import!$A$1:$Z$2488,1105,'Live Data'!$C$18)="","",INDEX(SPOT_Import!$A$1:$Z$2488,1105,'Live Data'!$C$18)),"")</f>
        <v>11273</v>
      </c>
      <c r="H1105" s="54">
        <f>IFERROR(IF(INDEX(SPOT_Import!$A$1:$Z$2488,1105,'Live Data'!$C$19)="","",INDEX(SPOT_Import!$A$1:$Z$2488,1105,'Live Data'!$C$19)),"")</f>
        <v>75098</v>
      </c>
      <c r="I1105" s="54" t="str">
        <f>IFERROR(IF(INDEX(SPOT_Import!$A$1:$Z$2488,1105,'Live Data'!$C$20)="","",INDEX(SPOT_Import!$A$1:$Z$2488,1105,'Live Data'!$C$20)),"")</f>
        <v>Complete</v>
      </c>
      <c r="J1105" s="54" t="str">
        <f>IFERROR(IF(INDEX(SPOT_Import!$A$1:$Z$2488,1105,'Live Data'!$C$21)="","",INDEX(SPOT_Import!$A$1:$Z$2488,1105,'Live Data'!$C$21)),"")</f>
        <v>2022-11-01T12:06:22.000Z</v>
      </c>
      <c r="K1105" s="54" t="str">
        <f>IFERROR(IF(INDEX(SPOT_Import!$A$1:$Z$2488,1105,'Live Data'!$C$22)="","",INDEX(SPOT_Import!$A$1:$Z$2488,1105,'Live Data'!$C$22)),"")</f>
        <v>2022-11-01T12:06:22.000Z</v>
      </c>
      <c r="L1105" s="55" t="str">
        <f t="shared" si="34"/>
        <v>2022-11</v>
      </c>
      <c r="M1105" s="55" t="str">
        <f t="shared" si="35"/>
        <v>KIAMBU</v>
      </c>
      <c r="N1105" s="55" t="str">
        <f>IF(A1105="","",IFERROR(INDEX('Cluster Map'!$A$4:$A$38,MATCH(M1105,'Cluster Map'!$B$4:$B$38,0)),"Unmapped"))</f>
        <v>Cluster 3</v>
      </c>
      <c r="O1105" s="55">
        <f>IF(A1105="",0,IF(COUNTIFS($A$2:A1105,A1105,$F$2:F1105,F1105,$L$2:L1105,L1105)=1,1,0))</f>
        <v>1</v>
      </c>
      <c r="P1105" s="55">
        <f>IF(A1105="",0,IF(AND(F1105="C&amp;T",COUNTIFS($A$2:A1105,A1105,$F$2:F1105,"C&amp;T")=1),1,0))</f>
        <v>0</v>
      </c>
    </row>
    <row r="1106" spans="1:16" x14ac:dyDescent="0.35">
      <c r="A1106" s="54">
        <f>IFERROR(IF(INDEX(SPOT_Import!$A$1:$Z$2488,1106,'Live Data'!$C$12)="","",INDEX(SPOT_Import!$A$1:$Z$2488,1106,'Live Data'!$C$12)),"")</f>
        <v>12413</v>
      </c>
      <c r="B1106" s="54" t="str">
        <f>IFERROR(IF(INDEX(SPOT_Import!$A$1:$Z$2488,1106,'Live Data'!$C$13)="","",INDEX(SPOT_Import!$A$1:$Z$2488,1106,'Live Data'!$C$13)),"")</f>
        <v>Consolata Kyeni Hospital</v>
      </c>
      <c r="C1106" s="54" t="str">
        <f>IFERROR(IF(INDEX(SPOT_Import!$A$1:$Z$2488,1106,'Live Data'!$C$14)="","",INDEX(SPOT_Import!$A$1:$Z$2488,1106,'Live Data'!$C$14)),"")</f>
        <v>EMBU</v>
      </c>
      <c r="D1106" s="54" t="str">
        <f>IFERROR(IF(INDEX(SPOT_Import!$A$1:$Z$2488,1106,'Live Data'!$C$15)="","",INDEX(SPOT_Import!$A$1:$Z$2488,1106,'Live Data'!$C$15)),"")</f>
        <v>Runyenjes</v>
      </c>
      <c r="E1106" s="54" t="str">
        <f>IFERROR(IF(INDEX(SPOT_Import!$A$1:$Z$2488,1106,'Live Data'!$C$16)="","",INDEX(SPOT_Import!$A$1:$Z$2488,1106,'Live Data'!$C$16)),"")</f>
        <v>CHAK CHAP STAWISHA</v>
      </c>
      <c r="F1106" s="54" t="str">
        <f>IFERROR(IF(INDEX(SPOT_Import!$A$1:$Z$2488,1106,'Live Data'!$C$17)="","",INDEX(SPOT_Import!$A$1:$Z$2488,1106,'Live Data'!$C$17)),"")</f>
        <v>PKV</v>
      </c>
      <c r="G1106" s="54">
        <f>IFERROR(IF(INDEX(SPOT_Import!$A$1:$Z$2488,1106,'Live Data'!$C$18)="","",INDEX(SPOT_Import!$A$1:$Z$2488,1106,'Live Data'!$C$18)),"")</f>
        <v>4151</v>
      </c>
      <c r="H1106" s="54">
        <f>IFERROR(IF(INDEX(SPOT_Import!$A$1:$Z$2488,1106,'Live Data'!$C$19)="","",INDEX(SPOT_Import!$A$1:$Z$2488,1106,'Live Data'!$C$19)),"")</f>
        <v>45952</v>
      </c>
      <c r="I1106" s="54" t="str">
        <f>IFERROR(IF(INDEX(SPOT_Import!$A$1:$Z$2488,1106,'Live Data'!$C$20)="","",INDEX(SPOT_Import!$A$1:$Z$2488,1106,'Live Data'!$C$20)),"")</f>
        <v>Complete</v>
      </c>
      <c r="J1106" s="54" t="str">
        <f>IFERROR(IF(INDEX(SPOT_Import!$A$1:$Z$2488,1106,'Live Data'!$C$21)="","",INDEX(SPOT_Import!$A$1:$Z$2488,1106,'Live Data'!$C$21)),"")</f>
        <v>2022-11-01T09:21:47.000Z</v>
      </c>
      <c r="K1106" s="54" t="str">
        <f>IFERROR(IF(INDEX(SPOT_Import!$A$1:$Z$2488,1106,'Live Data'!$C$22)="","",INDEX(SPOT_Import!$A$1:$Z$2488,1106,'Live Data'!$C$22)),"")</f>
        <v>2022-11-01T09:21:47.000Z</v>
      </c>
      <c r="L1106" s="55" t="str">
        <f t="shared" si="34"/>
        <v>2022-11</v>
      </c>
      <c r="M1106" s="55" t="str">
        <f t="shared" si="35"/>
        <v>EMBU</v>
      </c>
      <c r="N1106" s="55" t="str">
        <f>IF(A1106="","",IFERROR(INDEX('Cluster Map'!$A$4:$A$38,MATCH(M1106,'Cluster Map'!$B$4:$B$38,0)),"Unmapped"))</f>
        <v>Cluster 2</v>
      </c>
      <c r="O1106" s="55">
        <f>IF(A1106="",0,IF(COUNTIFS($A$2:A1106,A1106,$F$2:F1106,F1106,$L$2:L1106,L1106)=1,1,0))</f>
        <v>1</v>
      </c>
      <c r="P1106" s="55">
        <f>IF(A1106="",0,IF(AND(F1106="C&amp;T",COUNTIFS($A$2:A1106,A1106,$F$2:F1106,"C&amp;T")=1),1,0))</f>
        <v>0</v>
      </c>
    </row>
    <row r="1107" spans="1:16" x14ac:dyDescent="0.35">
      <c r="A1107" s="54">
        <f>IFERROR(IF(INDEX(SPOT_Import!$A$1:$Z$2488,1107,'Live Data'!$C$12)="","",INDEX(SPOT_Import!$A$1:$Z$2488,1107,'Live Data'!$C$12)),"")</f>
        <v>12277</v>
      </c>
      <c r="B1107" s="54" t="str">
        <f>IFERROR(IF(INDEX(SPOT_Import!$A$1:$Z$2488,1107,'Live Data'!$C$13)="","",INDEX(SPOT_Import!$A$1:$Z$2488,1107,'Live Data'!$C$13)),"")</f>
        <v>Kiangondu Dispensary</v>
      </c>
      <c r="C1107" s="54" t="str">
        <f>IFERROR(IF(INDEX(SPOT_Import!$A$1:$Z$2488,1107,'Live Data'!$C$14)="","",INDEX(SPOT_Import!$A$1:$Z$2488,1107,'Live Data'!$C$14)),"")</f>
        <v>THARAKA - NITHI</v>
      </c>
      <c r="D1107" s="54" t="str">
        <f>IFERROR(IF(INDEX(SPOT_Import!$A$1:$Z$2488,1107,'Live Data'!$C$15)="","",INDEX(SPOT_Import!$A$1:$Z$2488,1107,'Live Data'!$C$15)),"")</f>
        <v>CHUKA</v>
      </c>
      <c r="E1107" s="54" t="str">
        <f>IFERROR(IF(INDEX(SPOT_Import!$A$1:$Z$2488,1107,'Live Data'!$C$16)="","",INDEX(SPOT_Import!$A$1:$Z$2488,1107,'Live Data'!$C$16)),"")</f>
        <v>CHAK CHAP STAWISHA</v>
      </c>
      <c r="F1107" s="54" t="str">
        <f>IFERROR(IF(INDEX(SPOT_Import!$A$1:$Z$2488,1107,'Live Data'!$C$17)="","",INDEX(SPOT_Import!$A$1:$Z$2488,1107,'Live Data'!$C$17)),"")</f>
        <v>PKV</v>
      </c>
      <c r="G1107" s="54">
        <f>IFERROR(IF(INDEX(SPOT_Import!$A$1:$Z$2488,1107,'Live Data'!$C$18)="","",INDEX(SPOT_Import!$A$1:$Z$2488,1107,'Live Data'!$C$18)),"")</f>
        <v>1264</v>
      </c>
      <c r="H1107" s="54">
        <f>IFERROR(IF(INDEX(SPOT_Import!$A$1:$Z$2488,1107,'Live Data'!$C$19)="","",INDEX(SPOT_Import!$A$1:$Z$2488,1107,'Live Data'!$C$19)),"")</f>
        <v>8090</v>
      </c>
      <c r="I1107" s="54" t="str">
        <f>IFERROR(IF(INDEX(SPOT_Import!$A$1:$Z$2488,1107,'Live Data'!$C$20)="","",INDEX(SPOT_Import!$A$1:$Z$2488,1107,'Live Data'!$C$20)),"")</f>
        <v>Complete</v>
      </c>
      <c r="J1107" s="54" t="str">
        <f>IFERROR(IF(INDEX(SPOT_Import!$A$1:$Z$2488,1107,'Live Data'!$C$21)="","",INDEX(SPOT_Import!$A$1:$Z$2488,1107,'Live Data'!$C$21)),"")</f>
        <v>2022-11-01T06:37:25.000Z</v>
      </c>
      <c r="K1107" s="54" t="str">
        <f>IFERROR(IF(INDEX(SPOT_Import!$A$1:$Z$2488,1107,'Live Data'!$C$22)="","",INDEX(SPOT_Import!$A$1:$Z$2488,1107,'Live Data'!$C$22)),"")</f>
        <v>2022-11-01T06:37:25.000Z</v>
      </c>
      <c r="L1107" s="55" t="str">
        <f t="shared" si="34"/>
        <v>2022-11</v>
      </c>
      <c r="M1107" s="55" t="str">
        <f t="shared" si="35"/>
        <v>THARAKA-NITHI</v>
      </c>
      <c r="N1107" s="55" t="str">
        <f>IF(A1107="","",IFERROR(INDEX('Cluster Map'!$A$4:$A$38,MATCH(M1107,'Cluster Map'!$B$4:$B$38,0)),"Unmapped"))</f>
        <v>Cluster 2</v>
      </c>
      <c r="O1107" s="55">
        <f>IF(A1107="",0,IF(COUNTIFS($A$2:A1107,A1107,$F$2:F1107,F1107,$L$2:L1107,L1107)=1,1,0))</f>
        <v>1</v>
      </c>
      <c r="P1107" s="55">
        <f>IF(A1107="",0,IF(AND(F1107="C&amp;T",COUNTIFS($A$2:A1107,A1107,$F$2:F1107,"C&amp;T")=1),1,0))</f>
        <v>0</v>
      </c>
    </row>
    <row r="1108" spans="1:16" x14ac:dyDescent="0.35">
      <c r="A1108" s="54">
        <f>IFERROR(IF(INDEX(SPOT_Import!$A$1:$Z$2488,1108,'Live Data'!$C$12)="","",INDEX(SPOT_Import!$A$1:$Z$2488,1108,'Live Data'!$C$12)),"")</f>
        <v>11970</v>
      </c>
      <c r="B1108" s="54" t="str">
        <f>IFERROR(IF(INDEX(SPOT_Import!$A$1:$Z$2488,1108,'Live Data'!$C$13)="","",INDEX(SPOT_Import!$A$1:$Z$2488,1108,'Live Data'!$C$13)),"")</f>
        <v>Chogoria (PCEA) Hospital</v>
      </c>
      <c r="C1108" s="54" t="str">
        <f>IFERROR(IF(INDEX(SPOT_Import!$A$1:$Z$2488,1108,'Live Data'!$C$14)="","",INDEX(SPOT_Import!$A$1:$Z$2488,1108,'Live Data'!$C$14)),"")</f>
        <v>THARAKA - NITHI</v>
      </c>
      <c r="D1108" s="54" t="str">
        <f>IFERROR(IF(INDEX(SPOT_Import!$A$1:$Z$2488,1108,'Live Data'!$C$15)="","",INDEX(SPOT_Import!$A$1:$Z$2488,1108,'Live Data'!$C$15)),"")</f>
        <v>MWIMBI</v>
      </c>
      <c r="E1108" s="54" t="str">
        <f>IFERROR(IF(INDEX(SPOT_Import!$A$1:$Z$2488,1108,'Live Data'!$C$16)="","",INDEX(SPOT_Import!$A$1:$Z$2488,1108,'Live Data'!$C$16)),"")</f>
        <v>CHAK CHAP STAWISHA</v>
      </c>
      <c r="F1108" s="54" t="str">
        <f>IFERROR(IF(INDEX(SPOT_Import!$A$1:$Z$2488,1108,'Live Data'!$C$17)="","",INDEX(SPOT_Import!$A$1:$Z$2488,1108,'Live Data'!$C$17)),"")</f>
        <v>PKV</v>
      </c>
      <c r="G1108" s="54">
        <f>IFERROR(IF(INDEX(SPOT_Import!$A$1:$Z$2488,1108,'Live Data'!$C$18)="","",INDEX(SPOT_Import!$A$1:$Z$2488,1108,'Live Data'!$C$18)),"")</f>
        <v>12124</v>
      </c>
      <c r="H1108" s="54">
        <f>IFERROR(IF(INDEX(SPOT_Import!$A$1:$Z$2488,1108,'Live Data'!$C$19)="","",INDEX(SPOT_Import!$A$1:$Z$2488,1108,'Live Data'!$C$19)),"")</f>
        <v>133060</v>
      </c>
      <c r="I1108" s="54" t="str">
        <f>IFERROR(IF(INDEX(SPOT_Import!$A$1:$Z$2488,1108,'Live Data'!$C$20)="","",INDEX(SPOT_Import!$A$1:$Z$2488,1108,'Live Data'!$C$20)),"")</f>
        <v>Complete</v>
      </c>
      <c r="J1108" s="54" t="str">
        <f>IFERROR(IF(INDEX(SPOT_Import!$A$1:$Z$2488,1108,'Live Data'!$C$21)="","",INDEX(SPOT_Import!$A$1:$Z$2488,1108,'Live Data'!$C$21)),"")</f>
        <v>2022-10-31T21:14:17.000Z</v>
      </c>
      <c r="K1108" s="54" t="str">
        <f>IFERROR(IF(INDEX(SPOT_Import!$A$1:$Z$2488,1108,'Live Data'!$C$22)="","",INDEX(SPOT_Import!$A$1:$Z$2488,1108,'Live Data'!$C$22)),"")</f>
        <v>2022-10-31T21:14:17.000Z</v>
      </c>
      <c r="L1108" s="55" t="str">
        <f t="shared" si="34"/>
        <v>2022-10</v>
      </c>
      <c r="M1108" s="55" t="str">
        <f t="shared" si="35"/>
        <v>THARAKA-NITHI</v>
      </c>
      <c r="N1108" s="55" t="str">
        <f>IF(A1108="","",IFERROR(INDEX('Cluster Map'!$A$4:$A$38,MATCH(M1108,'Cluster Map'!$B$4:$B$38,0)),"Unmapped"))</f>
        <v>Cluster 2</v>
      </c>
      <c r="O1108" s="55">
        <f>IF(A1108="",0,IF(COUNTIFS($A$2:A1108,A1108,$F$2:F1108,F1108,$L$2:L1108,L1108)=1,1,0))</f>
        <v>1</v>
      </c>
      <c r="P1108" s="55">
        <f>IF(A1108="",0,IF(AND(F1108="C&amp;T",COUNTIFS($A$2:A1108,A1108,$F$2:F1108,"C&amp;T")=1),1,0))</f>
        <v>0</v>
      </c>
    </row>
    <row r="1109" spans="1:16" x14ac:dyDescent="0.35">
      <c r="A1109" s="54">
        <f>IFERROR(IF(INDEX(SPOT_Import!$A$1:$Z$2488,1109,'Live Data'!$C$12)="","",INDEX(SPOT_Import!$A$1:$Z$2488,1109,'Live Data'!$C$12)),"")</f>
        <v>12599</v>
      </c>
      <c r="B1109" s="54" t="str">
        <f>IFERROR(IF(INDEX(SPOT_Import!$A$1:$Z$2488,1109,'Live Data'!$C$13)="","",INDEX(SPOT_Import!$A$1:$Z$2488,1109,'Live Data'!$C$13)),"")</f>
        <v>Mutito Catholic Dispensary</v>
      </c>
      <c r="C1109" s="54" t="str">
        <f>IFERROR(IF(INDEX(SPOT_Import!$A$1:$Z$2488,1109,'Live Data'!$C$14)="","",INDEX(SPOT_Import!$A$1:$Z$2488,1109,'Live Data'!$C$14)),"")</f>
        <v>KITUI</v>
      </c>
      <c r="D1109" s="54" t="str">
        <f>IFERROR(IF(INDEX(SPOT_Import!$A$1:$Z$2488,1109,'Live Data'!$C$15)="","",INDEX(SPOT_Import!$A$1:$Z$2488,1109,'Live Data'!$C$15)),"")</f>
        <v>Kitui East</v>
      </c>
      <c r="E1109" s="54" t="str">
        <f>IFERROR(IF(INDEX(SPOT_Import!$A$1:$Z$2488,1109,'Live Data'!$C$16)="","",INDEX(SPOT_Import!$A$1:$Z$2488,1109,'Live Data'!$C$16)),"")</f>
        <v>CHAK CHAP STAWISHA</v>
      </c>
      <c r="F1109" s="54" t="str">
        <f>IFERROR(IF(INDEX(SPOT_Import!$A$1:$Z$2488,1109,'Live Data'!$C$17)="","",INDEX(SPOT_Import!$A$1:$Z$2488,1109,'Live Data'!$C$17)),"")</f>
        <v>PKV</v>
      </c>
      <c r="G1109" s="54">
        <f>IFERROR(IF(INDEX(SPOT_Import!$A$1:$Z$2488,1109,'Live Data'!$C$18)="","",INDEX(SPOT_Import!$A$1:$Z$2488,1109,'Live Data'!$C$18)),"")</f>
        <v>777</v>
      </c>
      <c r="H1109" s="54">
        <f>IFERROR(IF(INDEX(SPOT_Import!$A$1:$Z$2488,1109,'Live Data'!$C$19)="","",INDEX(SPOT_Import!$A$1:$Z$2488,1109,'Live Data'!$C$19)),"")</f>
        <v>6984</v>
      </c>
      <c r="I1109" s="54" t="str">
        <f>IFERROR(IF(INDEX(SPOT_Import!$A$1:$Z$2488,1109,'Live Data'!$C$20)="","",INDEX(SPOT_Import!$A$1:$Z$2488,1109,'Live Data'!$C$20)),"")</f>
        <v>Complete</v>
      </c>
      <c r="J1109" s="54" t="str">
        <f>IFERROR(IF(INDEX(SPOT_Import!$A$1:$Z$2488,1109,'Live Data'!$C$21)="","",INDEX(SPOT_Import!$A$1:$Z$2488,1109,'Live Data'!$C$21)),"")</f>
        <v>2022-10-05T07:16:58.000Z</v>
      </c>
      <c r="K1109" s="54" t="str">
        <f>IFERROR(IF(INDEX(SPOT_Import!$A$1:$Z$2488,1109,'Live Data'!$C$22)="","",INDEX(SPOT_Import!$A$1:$Z$2488,1109,'Live Data'!$C$22)),"")</f>
        <v>2022-10-05T07:16:58.000Z</v>
      </c>
      <c r="L1109" s="55" t="str">
        <f t="shared" si="34"/>
        <v>2022-10</v>
      </c>
      <c r="M1109" s="55" t="str">
        <f t="shared" si="35"/>
        <v>KITUI</v>
      </c>
      <c r="N1109" s="55" t="str">
        <f>IF(A1109="","",IFERROR(INDEX('Cluster Map'!$A$4:$A$38,MATCH(M1109,'Cluster Map'!$B$4:$B$38,0)),"Unmapped"))</f>
        <v>Cluster 5</v>
      </c>
      <c r="O1109" s="55">
        <f>IF(A1109="",0,IF(COUNTIFS($A$2:A1109,A1109,$F$2:F1109,F1109,$L$2:L1109,L1109)=1,1,0))</f>
        <v>1</v>
      </c>
      <c r="P1109" s="55">
        <f>IF(A1109="",0,IF(AND(F1109="C&amp;T",COUNTIFS($A$2:A1109,A1109,$F$2:F1109,"C&amp;T")=1),1,0))</f>
        <v>0</v>
      </c>
    </row>
    <row r="1110" spans="1:16" x14ac:dyDescent="0.35">
      <c r="A1110" s="54">
        <f>IFERROR(IF(INDEX(SPOT_Import!$A$1:$Z$2488,1110,'Live Data'!$C$12)="","",INDEX(SPOT_Import!$A$1:$Z$2488,1110,'Live Data'!$C$12)),"")</f>
        <v>12743</v>
      </c>
      <c r="B1110" s="54" t="str">
        <f>IFERROR(IF(INDEX(SPOT_Import!$A$1:$Z$2488,1110,'Live Data'!$C$13)="","",INDEX(SPOT_Import!$A$1:$Z$2488,1110,'Live Data'!$C$13)),"")</f>
        <v>St Ann Hospital</v>
      </c>
      <c r="C1110" s="54" t="str">
        <f>IFERROR(IF(INDEX(SPOT_Import!$A$1:$Z$2488,1110,'Live Data'!$C$14)="","",INDEX(SPOT_Import!$A$1:$Z$2488,1110,'Live Data'!$C$14)),"")</f>
        <v>MERU</v>
      </c>
      <c r="D1110" s="54" t="str">
        <f>IFERROR(IF(INDEX(SPOT_Import!$A$1:$Z$2488,1110,'Live Data'!$C$15)="","",INDEX(SPOT_Import!$A$1:$Z$2488,1110,'Live Data'!$C$15)),"")</f>
        <v>Imenti South</v>
      </c>
      <c r="E1110" s="54" t="str">
        <f>IFERROR(IF(INDEX(SPOT_Import!$A$1:$Z$2488,1110,'Live Data'!$C$16)="","",INDEX(SPOT_Import!$A$1:$Z$2488,1110,'Live Data'!$C$16)),"")</f>
        <v>CHAK CHAP STAWISHA</v>
      </c>
      <c r="F1110" s="54" t="str">
        <f>IFERROR(IF(INDEX(SPOT_Import!$A$1:$Z$2488,1110,'Live Data'!$C$17)="","",INDEX(SPOT_Import!$A$1:$Z$2488,1110,'Live Data'!$C$17)),"")</f>
        <v>PKV</v>
      </c>
      <c r="G1110" s="54">
        <f>IFERROR(IF(INDEX(SPOT_Import!$A$1:$Z$2488,1110,'Live Data'!$C$18)="","",INDEX(SPOT_Import!$A$1:$Z$2488,1110,'Live Data'!$C$18)),"")</f>
        <v>11223</v>
      </c>
      <c r="H1110" s="54">
        <f>IFERROR(IF(INDEX(SPOT_Import!$A$1:$Z$2488,1110,'Live Data'!$C$19)="","",INDEX(SPOT_Import!$A$1:$Z$2488,1110,'Live Data'!$C$19)),"")</f>
        <v>34565</v>
      </c>
      <c r="I1110" s="54" t="str">
        <f>IFERROR(IF(INDEX(SPOT_Import!$A$1:$Z$2488,1110,'Live Data'!$C$20)="","",INDEX(SPOT_Import!$A$1:$Z$2488,1110,'Live Data'!$C$20)),"")</f>
        <v>Complete</v>
      </c>
      <c r="J1110" s="54" t="str">
        <f>IFERROR(IF(INDEX(SPOT_Import!$A$1:$Z$2488,1110,'Live Data'!$C$21)="","",INDEX(SPOT_Import!$A$1:$Z$2488,1110,'Live Data'!$C$21)),"")</f>
        <v>2022-10-04T06:38:26.000Z</v>
      </c>
      <c r="K1110" s="54" t="str">
        <f>IFERROR(IF(INDEX(SPOT_Import!$A$1:$Z$2488,1110,'Live Data'!$C$22)="","",INDEX(SPOT_Import!$A$1:$Z$2488,1110,'Live Data'!$C$22)),"")</f>
        <v>2022-10-04T06:38:26.000Z</v>
      </c>
      <c r="L1110" s="55" t="str">
        <f t="shared" si="34"/>
        <v>2022-10</v>
      </c>
      <c r="M1110" s="55" t="str">
        <f t="shared" si="35"/>
        <v>MERU</v>
      </c>
      <c r="N1110" s="55" t="str">
        <f>IF(A1110="","",IFERROR(INDEX('Cluster Map'!$A$4:$A$38,MATCH(M1110,'Cluster Map'!$B$4:$B$38,0)),"Unmapped"))</f>
        <v>Cluster 1</v>
      </c>
      <c r="O1110" s="55">
        <f>IF(A1110="",0,IF(COUNTIFS($A$2:A1110,A1110,$F$2:F1110,F1110,$L$2:L1110,L1110)=1,1,0))</f>
        <v>1</v>
      </c>
      <c r="P1110" s="55">
        <f>IF(A1110="",0,IF(AND(F1110="C&amp;T",COUNTIFS($A$2:A1110,A1110,$F$2:F1110,"C&amp;T")=1),1,0))</f>
        <v>0</v>
      </c>
    </row>
    <row r="1111" spans="1:16" x14ac:dyDescent="0.35">
      <c r="A1111" s="54">
        <f>IFERROR(IF(INDEX(SPOT_Import!$A$1:$Z$2488,1111,'Live Data'!$C$12)="","",INDEX(SPOT_Import!$A$1:$Z$2488,1111,'Live Data'!$C$12)),"")</f>
        <v>11976</v>
      </c>
      <c r="B1111" s="54" t="str">
        <f>IFERROR(IF(INDEX(SPOT_Import!$A$1:$Z$2488,1111,'Live Data'!$C$13)="","",INDEX(SPOT_Import!$A$1:$Z$2488,1111,'Live Data'!$C$13)),"")</f>
        <v>Consolata Mission Hospital (Nkubu)</v>
      </c>
      <c r="C1111" s="54" t="str">
        <f>IFERROR(IF(INDEX(SPOT_Import!$A$1:$Z$2488,1111,'Live Data'!$C$14)="","",INDEX(SPOT_Import!$A$1:$Z$2488,1111,'Live Data'!$C$14)),"")</f>
        <v>MERU</v>
      </c>
      <c r="D1111" s="54" t="str">
        <f>IFERROR(IF(INDEX(SPOT_Import!$A$1:$Z$2488,1111,'Live Data'!$C$15)="","",INDEX(SPOT_Import!$A$1:$Z$2488,1111,'Live Data'!$C$15)),"")</f>
        <v>Imenti South</v>
      </c>
      <c r="E1111" s="54" t="str">
        <f>IFERROR(IF(INDEX(SPOT_Import!$A$1:$Z$2488,1111,'Live Data'!$C$16)="","",INDEX(SPOT_Import!$A$1:$Z$2488,1111,'Live Data'!$C$16)),"")</f>
        <v>CHAK CHAP STAWISHA</v>
      </c>
      <c r="F1111" s="54" t="str">
        <f>IFERROR(IF(INDEX(SPOT_Import!$A$1:$Z$2488,1111,'Live Data'!$C$17)="","",INDEX(SPOT_Import!$A$1:$Z$2488,1111,'Live Data'!$C$17)),"")</f>
        <v>PKV</v>
      </c>
      <c r="G1111" s="54">
        <f>IFERROR(IF(INDEX(SPOT_Import!$A$1:$Z$2488,1111,'Live Data'!$C$18)="","",INDEX(SPOT_Import!$A$1:$Z$2488,1111,'Live Data'!$C$18)),"")</f>
        <v>9190</v>
      </c>
      <c r="H1111" s="54">
        <f>IFERROR(IF(INDEX(SPOT_Import!$A$1:$Z$2488,1111,'Live Data'!$C$19)="","",INDEX(SPOT_Import!$A$1:$Z$2488,1111,'Live Data'!$C$19)),"")</f>
        <v>72663</v>
      </c>
      <c r="I1111" s="54" t="str">
        <f>IFERROR(IF(INDEX(SPOT_Import!$A$1:$Z$2488,1111,'Live Data'!$C$20)="","",INDEX(SPOT_Import!$A$1:$Z$2488,1111,'Live Data'!$C$20)),"")</f>
        <v>Complete</v>
      </c>
      <c r="J1111" s="54" t="str">
        <f>IFERROR(IF(INDEX(SPOT_Import!$A$1:$Z$2488,1111,'Live Data'!$C$21)="","",INDEX(SPOT_Import!$A$1:$Z$2488,1111,'Live Data'!$C$21)),"")</f>
        <v>2022-10-01T10:01:47.000Z</v>
      </c>
      <c r="K1111" s="54" t="str">
        <f>IFERROR(IF(INDEX(SPOT_Import!$A$1:$Z$2488,1111,'Live Data'!$C$22)="","",INDEX(SPOT_Import!$A$1:$Z$2488,1111,'Live Data'!$C$22)),"")</f>
        <v>2022-10-01T10:01:47.000Z</v>
      </c>
      <c r="L1111" s="55" t="str">
        <f t="shared" si="34"/>
        <v>2022-10</v>
      </c>
      <c r="M1111" s="55" t="str">
        <f t="shared" si="35"/>
        <v>MERU</v>
      </c>
      <c r="N1111" s="55" t="str">
        <f>IF(A1111="","",IFERROR(INDEX('Cluster Map'!$A$4:$A$38,MATCH(M1111,'Cluster Map'!$B$4:$B$38,0)),"Unmapped"))</f>
        <v>Cluster 1</v>
      </c>
      <c r="O1111" s="55">
        <f>IF(A1111="",0,IF(COUNTIFS($A$2:A1111,A1111,$F$2:F1111,F1111,$L$2:L1111,L1111)=1,1,0))</f>
        <v>1</v>
      </c>
      <c r="P1111" s="55">
        <f>IF(A1111="",0,IF(AND(F1111="C&amp;T",COUNTIFS($A$2:A1111,A1111,$F$2:F1111,"C&amp;T")=1),1,0))</f>
        <v>0</v>
      </c>
    </row>
    <row r="1112" spans="1:16" x14ac:dyDescent="0.35">
      <c r="A1112" s="54">
        <f>IFERROR(IF(INDEX(SPOT_Import!$A$1:$Z$2488,1112,'Live Data'!$C$12)="","",INDEX(SPOT_Import!$A$1:$Z$2488,1112,'Live Data'!$C$12)),"")</f>
        <v>19963</v>
      </c>
      <c r="B1112" s="54" t="str">
        <f>IFERROR(IF(INDEX(SPOT_Import!$A$1:$Z$2488,1112,'Live Data'!$C$13)="","",INDEX(SPOT_Import!$A$1:$Z$2488,1112,'Live Data'!$C$13)),"")</f>
        <v>Holy family Catholic Hospital (Githunguri)</v>
      </c>
      <c r="C1112" s="54" t="str">
        <f>IFERROR(IF(INDEX(SPOT_Import!$A$1:$Z$2488,1112,'Live Data'!$C$14)="","",INDEX(SPOT_Import!$A$1:$Z$2488,1112,'Live Data'!$C$14)),"")</f>
        <v>KIAMBU</v>
      </c>
      <c r="D1112" s="54" t="str">
        <f>IFERROR(IF(INDEX(SPOT_Import!$A$1:$Z$2488,1112,'Live Data'!$C$15)="","",INDEX(SPOT_Import!$A$1:$Z$2488,1112,'Live Data'!$C$15)),"")</f>
        <v>Githunguri</v>
      </c>
      <c r="E1112" s="54" t="str">
        <f>IFERROR(IF(INDEX(SPOT_Import!$A$1:$Z$2488,1112,'Live Data'!$C$16)="","",INDEX(SPOT_Import!$A$1:$Z$2488,1112,'Live Data'!$C$16)),"")</f>
        <v>CHAK CHAP STAWISHA</v>
      </c>
      <c r="F1112" s="54" t="str">
        <f>IFERROR(IF(INDEX(SPOT_Import!$A$1:$Z$2488,1112,'Live Data'!$C$17)="","",INDEX(SPOT_Import!$A$1:$Z$2488,1112,'Live Data'!$C$17)),"")</f>
        <v>PKV</v>
      </c>
      <c r="G1112" s="54">
        <f>IFERROR(IF(INDEX(SPOT_Import!$A$1:$Z$2488,1112,'Live Data'!$C$18)="","",INDEX(SPOT_Import!$A$1:$Z$2488,1112,'Live Data'!$C$18)),"")</f>
        <v>800</v>
      </c>
      <c r="H1112" s="54">
        <f>IFERROR(IF(INDEX(SPOT_Import!$A$1:$Z$2488,1112,'Live Data'!$C$19)="","",INDEX(SPOT_Import!$A$1:$Z$2488,1112,'Live Data'!$C$19)),"")</f>
        <v>36675</v>
      </c>
      <c r="I1112" s="54" t="str">
        <f>IFERROR(IF(INDEX(SPOT_Import!$A$1:$Z$2488,1112,'Live Data'!$C$20)="","",INDEX(SPOT_Import!$A$1:$Z$2488,1112,'Live Data'!$C$20)),"")</f>
        <v>Incomplete</v>
      </c>
      <c r="J1112" s="54" t="str">
        <f>IFERROR(IF(INDEX(SPOT_Import!$A$1:$Z$2488,1112,'Live Data'!$C$21)="","",INDEX(SPOT_Import!$A$1:$Z$2488,1112,'Live Data'!$C$21)),"")</f>
        <v>2022-09-27T13:36:44.000Z</v>
      </c>
      <c r="K1112" s="54" t="str">
        <f>IFERROR(IF(INDEX(SPOT_Import!$A$1:$Z$2488,1112,'Live Data'!$C$22)="","",INDEX(SPOT_Import!$A$1:$Z$2488,1112,'Live Data'!$C$22)),"")</f>
        <v>2022-09-27T13:36:44.000Z</v>
      </c>
      <c r="L1112" s="55" t="str">
        <f t="shared" si="34"/>
        <v>2022-09</v>
      </c>
      <c r="M1112" s="55" t="str">
        <f t="shared" si="35"/>
        <v>KIAMBU</v>
      </c>
      <c r="N1112" s="55" t="str">
        <f>IF(A1112="","",IFERROR(INDEX('Cluster Map'!$A$4:$A$38,MATCH(M1112,'Cluster Map'!$B$4:$B$38,0)),"Unmapped"))</f>
        <v>Cluster 3</v>
      </c>
      <c r="O1112" s="55">
        <f>IF(A1112="",0,IF(COUNTIFS($A$2:A1112,A1112,$F$2:F1112,F1112,$L$2:L1112,L1112)=1,1,0))</f>
        <v>1</v>
      </c>
      <c r="P1112" s="55">
        <f>IF(A1112="",0,IF(AND(F1112="C&amp;T",COUNTIFS($A$2:A1112,A1112,$F$2:F1112,"C&amp;T")=1),1,0))</f>
        <v>0</v>
      </c>
    </row>
    <row r="1113" spans="1:16" x14ac:dyDescent="0.35">
      <c r="A1113" s="54">
        <f>IFERROR(IF(INDEX(SPOT_Import!$A$1:$Z$2488,1113,'Live Data'!$C$12)="","",INDEX(SPOT_Import!$A$1:$Z$2488,1113,'Live Data'!$C$12)),"")</f>
        <v>12213</v>
      </c>
      <c r="B1113" s="54" t="str">
        <f>IFERROR(IF(INDEX(SPOT_Import!$A$1:$Z$2488,1113,'Live Data'!$C$13)="","",INDEX(SPOT_Import!$A$1:$Z$2488,1113,'Live Data'!$C$13)),"")</f>
        <v>Katakani Dispensary</v>
      </c>
      <c r="C1113" s="54" t="str">
        <f>IFERROR(IF(INDEX(SPOT_Import!$A$1:$Z$2488,1113,'Live Data'!$C$14)="","",INDEX(SPOT_Import!$A$1:$Z$2488,1113,'Live Data'!$C$14)),"")</f>
        <v>KITUI</v>
      </c>
      <c r="D1113" s="54" t="str">
        <f>IFERROR(IF(INDEX(SPOT_Import!$A$1:$Z$2488,1113,'Live Data'!$C$15)="","",INDEX(SPOT_Import!$A$1:$Z$2488,1113,'Live Data'!$C$15)),"")</f>
        <v>Mwingi North</v>
      </c>
      <c r="E1113" s="54" t="str">
        <f>IFERROR(IF(INDEX(SPOT_Import!$A$1:$Z$2488,1113,'Live Data'!$C$16)="","",INDEX(SPOT_Import!$A$1:$Z$2488,1113,'Live Data'!$C$16)),"")</f>
        <v>CHAK CHAP STAWISHA</v>
      </c>
      <c r="F1113" s="54" t="str">
        <f>IFERROR(IF(INDEX(SPOT_Import!$A$1:$Z$2488,1113,'Live Data'!$C$17)="","",INDEX(SPOT_Import!$A$1:$Z$2488,1113,'Live Data'!$C$17)),"")</f>
        <v>PKV</v>
      </c>
      <c r="G1113" s="54">
        <f>IFERROR(IF(INDEX(SPOT_Import!$A$1:$Z$2488,1113,'Live Data'!$C$18)="","",INDEX(SPOT_Import!$A$1:$Z$2488,1113,'Live Data'!$C$18)),"")</f>
        <v>448</v>
      </c>
      <c r="H1113" s="54">
        <f>IFERROR(IF(INDEX(SPOT_Import!$A$1:$Z$2488,1113,'Live Data'!$C$19)="","",INDEX(SPOT_Import!$A$1:$Z$2488,1113,'Live Data'!$C$19)),"")</f>
        <v>4868</v>
      </c>
      <c r="I1113" s="54" t="str">
        <f>IFERROR(IF(INDEX(SPOT_Import!$A$1:$Z$2488,1113,'Live Data'!$C$20)="","",INDEX(SPOT_Import!$A$1:$Z$2488,1113,'Live Data'!$C$20)),"")</f>
        <v>Complete</v>
      </c>
      <c r="J1113" s="54" t="str">
        <f>IFERROR(IF(INDEX(SPOT_Import!$A$1:$Z$2488,1113,'Live Data'!$C$21)="","",INDEX(SPOT_Import!$A$1:$Z$2488,1113,'Live Data'!$C$21)),"")</f>
        <v>2022-08-08T12:11:36.000Z</v>
      </c>
      <c r="K1113" s="54" t="str">
        <f>IFERROR(IF(INDEX(SPOT_Import!$A$1:$Z$2488,1113,'Live Data'!$C$22)="","",INDEX(SPOT_Import!$A$1:$Z$2488,1113,'Live Data'!$C$22)),"")</f>
        <v>2022-08-08T12:11:36.000Z</v>
      </c>
      <c r="L1113" s="55" t="str">
        <f t="shared" si="34"/>
        <v>2022-08</v>
      </c>
      <c r="M1113" s="55" t="str">
        <f t="shared" si="35"/>
        <v>KITUI</v>
      </c>
      <c r="N1113" s="55" t="str">
        <f>IF(A1113="","",IFERROR(INDEX('Cluster Map'!$A$4:$A$38,MATCH(M1113,'Cluster Map'!$B$4:$B$38,0)),"Unmapped"))</f>
        <v>Cluster 5</v>
      </c>
      <c r="O1113" s="55">
        <f>IF(A1113="",0,IF(COUNTIFS($A$2:A1113,A1113,$F$2:F1113,F1113,$L$2:L1113,L1113)=1,1,0))</f>
        <v>1</v>
      </c>
      <c r="P1113" s="55">
        <f>IF(A1113="",0,IF(AND(F1113="C&amp;T",COUNTIFS($A$2:A1113,A1113,$F$2:F1113,"C&amp;T")=1),1,0))</f>
        <v>0</v>
      </c>
    </row>
    <row r="1114" spans="1:16" x14ac:dyDescent="0.35">
      <c r="A1114" s="54">
        <f>IFERROR(IF(INDEX(SPOT_Import!$A$1:$Z$2488,1114,'Live Data'!$C$12)="","",INDEX(SPOT_Import!$A$1:$Z$2488,1114,'Live Data'!$C$12)),"")</f>
        <v>12190</v>
      </c>
      <c r="B1114" s="54" t="str">
        <f>IFERROR(IF(INDEX(SPOT_Import!$A$1:$Z$2488,1114,'Live Data'!$C$13)="","",INDEX(SPOT_Import!$A$1:$Z$2488,1114,'Live Data'!$C$13)),"")</f>
        <v>Kanziku Health Centre</v>
      </c>
      <c r="C1114" s="54" t="str">
        <f>IFERROR(IF(INDEX(SPOT_Import!$A$1:$Z$2488,1114,'Live Data'!$C$14)="","",INDEX(SPOT_Import!$A$1:$Z$2488,1114,'Live Data'!$C$14)),"")</f>
        <v>KITUI</v>
      </c>
      <c r="D1114" s="54" t="str">
        <f>IFERROR(IF(INDEX(SPOT_Import!$A$1:$Z$2488,1114,'Live Data'!$C$15)="","",INDEX(SPOT_Import!$A$1:$Z$2488,1114,'Live Data'!$C$15)),"")</f>
        <v>Kitui South</v>
      </c>
      <c r="E1114" s="54" t="str">
        <f>IFERROR(IF(INDEX(SPOT_Import!$A$1:$Z$2488,1114,'Live Data'!$C$16)="","",INDEX(SPOT_Import!$A$1:$Z$2488,1114,'Live Data'!$C$16)),"")</f>
        <v>CHAK CHAP STAWISHA</v>
      </c>
      <c r="F1114" s="54" t="str">
        <f>IFERROR(IF(INDEX(SPOT_Import!$A$1:$Z$2488,1114,'Live Data'!$C$17)="","",INDEX(SPOT_Import!$A$1:$Z$2488,1114,'Live Data'!$C$17)),"")</f>
        <v>PKV</v>
      </c>
      <c r="G1114" s="54">
        <f>IFERROR(IF(INDEX(SPOT_Import!$A$1:$Z$2488,1114,'Live Data'!$C$18)="","",INDEX(SPOT_Import!$A$1:$Z$2488,1114,'Live Data'!$C$18)),"")</f>
        <v>608</v>
      </c>
      <c r="H1114" s="54">
        <f>IFERROR(IF(INDEX(SPOT_Import!$A$1:$Z$2488,1114,'Live Data'!$C$19)="","",INDEX(SPOT_Import!$A$1:$Z$2488,1114,'Live Data'!$C$19)),"")</f>
        <v>5392</v>
      </c>
      <c r="I1114" s="54" t="str">
        <f>IFERROR(IF(INDEX(SPOT_Import!$A$1:$Z$2488,1114,'Live Data'!$C$20)="","",INDEX(SPOT_Import!$A$1:$Z$2488,1114,'Live Data'!$C$20)),"")</f>
        <v>Complete</v>
      </c>
      <c r="J1114" s="54" t="str">
        <f>IFERROR(IF(INDEX(SPOT_Import!$A$1:$Z$2488,1114,'Live Data'!$C$21)="","",INDEX(SPOT_Import!$A$1:$Z$2488,1114,'Live Data'!$C$21)),"")</f>
        <v>2022-08-01T13:03:56.000Z</v>
      </c>
      <c r="K1114" s="54" t="str">
        <f>IFERROR(IF(INDEX(SPOT_Import!$A$1:$Z$2488,1114,'Live Data'!$C$22)="","",INDEX(SPOT_Import!$A$1:$Z$2488,1114,'Live Data'!$C$22)),"")</f>
        <v>2022-08-01T13:03:56.000Z</v>
      </c>
      <c r="L1114" s="55" t="str">
        <f t="shared" si="34"/>
        <v>2022-08</v>
      </c>
      <c r="M1114" s="55" t="str">
        <f t="shared" si="35"/>
        <v>KITUI</v>
      </c>
      <c r="N1114" s="55" t="str">
        <f>IF(A1114="","",IFERROR(INDEX('Cluster Map'!$A$4:$A$38,MATCH(M1114,'Cluster Map'!$B$4:$B$38,0)),"Unmapped"))</f>
        <v>Cluster 5</v>
      </c>
      <c r="O1114" s="55">
        <f>IF(A1114="",0,IF(COUNTIFS($A$2:A1114,A1114,$F$2:F1114,F1114,$L$2:L1114,L1114)=1,1,0))</f>
        <v>1</v>
      </c>
      <c r="P1114" s="55">
        <f>IF(A1114="",0,IF(AND(F1114="C&amp;T",COUNTIFS($A$2:A1114,A1114,$F$2:F1114,"C&amp;T")=1),1,0))</f>
        <v>0</v>
      </c>
    </row>
    <row r="1115" spans="1:16" x14ac:dyDescent="0.35">
      <c r="A1115" s="54">
        <f>IFERROR(IF(INDEX(SPOT_Import!$A$1:$Z$2488,1115,'Live Data'!$C$12)="","",INDEX(SPOT_Import!$A$1:$Z$2488,1115,'Live Data'!$C$12)),"")</f>
        <v>12204</v>
      </c>
      <c r="B1115" s="54" t="str">
        <f>IFERROR(IF(INDEX(SPOT_Import!$A$1:$Z$2488,1115,'Live Data'!$C$13)="","",INDEX(SPOT_Import!$A$1:$Z$2488,1115,'Live Data'!$C$13)),"")</f>
        <v>Kasaala Health Centre</v>
      </c>
      <c r="C1115" s="54" t="str">
        <f>IFERROR(IF(INDEX(SPOT_Import!$A$1:$Z$2488,1115,'Live Data'!$C$14)="","",INDEX(SPOT_Import!$A$1:$Z$2488,1115,'Live Data'!$C$14)),"")</f>
        <v>KITUI</v>
      </c>
      <c r="D1115" s="54" t="str">
        <f>IFERROR(IF(INDEX(SPOT_Import!$A$1:$Z$2488,1115,'Live Data'!$C$15)="","",INDEX(SPOT_Import!$A$1:$Z$2488,1115,'Live Data'!$C$15)),"")</f>
        <v>Kitui South</v>
      </c>
      <c r="E1115" s="54" t="str">
        <f>IFERROR(IF(INDEX(SPOT_Import!$A$1:$Z$2488,1115,'Live Data'!$C$16)="","",INDEX(SPOT_Import!$A$1:$Z$2488,1115,'Live Data'!$C$16)),"")</f>
        <v>CHAK CHAP STAWISHA</v>
      </c>
      <c r="F1115" s="54" t="str">
        <f>IFERROR(IF(INDEX(SPOT_Import!$A$1:$Z$2488,1115,'Live Data'!$C$17)="","",INDEX(SPOT_Import!$A$1:$Z$2488,1115,'Live Data'!$C$17)),"")</f>
        <v>PKV</v>
      </c>
      <c r="G1115" s="54">
        <f>IFERROR(IF(INDEX(SPOT_Import!$A$1:$Z$2488,1115,'Live Data'!$C$18)="","",INDEX(SPOT_Import!$A$1:$Z$2488,1115,'Live Data'!$C$18)),"")</f>
        <v>934</v>
      </c>
      <c r="H1115" s="54">
        <f>IFERROR(IF(INDEX(SPOT_Import!$A$1:$Z$2488,1115,'Live Data'!$C$19)="","",INDEX(SPOT_Import!$A$1:$Z$2488,1115,'Live Data'!$C$19)),"")</f>
        <v>8591</v>
      </c>
      <c r="I1115" s="54" t="str">
        <f>IFERROR(IF(INDEX(SPOT_Import!$A$1:$Z$2488,1115,'Live Data'!$C$20)="","",INDEX(SPOT_Import!$A$1:$Z$2488,1115,'Live Data'!$C$20)),"")</f>
        <v>Complete</v>
      </c>
      <c r="J1115" s="54" t="str">
        <f>IFERROR(IF(INDEX(SPOT_Import!$A$1:$Z$2488,1115,'Live Data'!$C$21)="","",INDEX(SPOT_Import!$A$1:$Z$2488,1115,'Live Data'!$C$21)),"")</f>
        <v>2022-08-01T10:45:29.000Z</v>
      </c>
      <c r="K1115" s="54" t="str">
        <f>IFERROR(IF(INDEX(SPOT_Import!$A$1:$Z$2488,1115,'Live Data'!$C$22)="","",INDEX(SPOT_Import!$A$1:$Z$2488,1115,'Live Data'!$C$22)),"")</f>
        <v>2022-08-01T10:45:29.000Z</v>
      </c>
      <c r="L1115" s="55" t="str">
        <f t="shared" si="34"/>
        <v>2022-08</v>
      </c>
      <c r="M1115" s="55" t="str">
        <f t="shared" si="35"/>
        <v>KITUI</v>
      </c>
      <c r="N1115" s="55" t="str">
        <f>IF(A1115="","",IFERROR(INDEX('Cluster Map'!$A$4:$A$38,MATCH(M1115,'Cluster Map'!$B$4:$B$38,0)),"Unmapped"))</f>
        <v>Cluster 5</v>
      </c>
      <c r="O1115" s="55">
        <f>IF(A1115="",0,IF(COUNTIFS($A$2:A1115,A1115,$F$2:F1115,F1115,$L$2:L1115,L1115)=1,1,0))</f>
        <v>1</v>
      </c>
      <c r="P1115" s="55">
        <f>IF(A1115="",0,IF(AND(F1115="C&amp;T",COUNTIFS($A$2:A1115,A1115,$F$2:F1115,"C&amp;T")=1),1,0))</f>
        <v>0</v>
      </c>
    </row>
    <row r="1116" spans="1:16" x14ac:dyDescent="0.35">
      <c r="A1116" s="54">
        <f>IFERROR(IF(INDEX(SPOT_Import!$A$1:$Z$2488,1116,'Live Data'!$C$12)="","",INDEX(SPOT_Import!$A$1:$Z$2488,1116,'Live Data'!$C$12)),"")</f>
        <v>12251</v>
      </c>
      <c r="B1116" s="54" t="str">
        <f>IFERROR(IF(INDEX(SPOT_Import!$A$1:$Z$2488,1116,'Live Data'!$C$13)="","",INDEX(SPOT_Import!$A$1:$Z$2488,1116,'Live Data'!$C$13)),"")</f>
        <v>Katyethoka Health Centre</v>
      </c>
      <c r="C1116" s="54" t="str">
        <f>IFERROR(IF(INDEX(SPOT_Import!$A$1:$Z$2488,1116,'Live Data'!$C$14)="","",INDEX(SPOT_Import!$A$1:$Z$2488,1116,'Live Data'!$C$14)),"")</f>
        <v>KITUI</v>
      </c>
      <c r="D1116" s="54" t="str">
        <f>IFERROR(IF(INDEX(SPOT_Import!$A$1:$Z$2488,1116,'Live Data'!$C$15)="","",INDEX(SPOT_Import!$A$1:$Z$2488,1116,'Live Data'!$C$15)),"")</f>
        <v>Kitui South</v>
      </c>
      <c r="E1116" s="54" t="str">
        <f>IFERROR(IF(INDEX(SPOT_Import!$A$1:$Z$2488,1116,'Live Data'!$C$16)="","",INDEX(SPOT_Import!$A$1:$Z$2488,1116,'Live Data'!$C$16)),"")</f>
        <v>CHAK CHAP STAWISHA</v>
      </c>
      <c r="F1116" s="54" t="str">
        <f>IFERROR(IF(INDEX(SPOT_Import!$A$1:$Z$2488,1116,'Live Data'!$C$17)="","",INDEX(SPOT_Import!$A$1:$Z$2488,1116,'Live Data'!$C$17)),"")</f>
        <v>PKV</v>
      </c>
      <c r="G1116" s="54">
        <f>IFERROR(IF(INDEX(SPOT_Import!$A$1:$Z$2488,1116,'Live Data'!$C$18)="","",INDEX(SPOT_Import!$A$1:$Z$2488,1116,'Live Data'!$C$18)),"")</f>
        <v>818</v>
      </c>
      <c r="H1116" s="54">
        <f>IFERROR(IF(INDEX(SPOT_Import!$A$1:$Z$2488,1116,'Live Data'!$C$19)="","",INDEX(SPOT_Import!$A$1:$Z$2488,1116,'Live Data'!$C$19)),"")</f>
        <v>6352</v>
      </c>
      <c r="I1116" s="54" t="str">
        <f>IFERROR(IF(INDEX(SPOT_Import!$A$1:$Z$2488,1116,'Live Data'!$C$20)="","",INDEX(SPOT_Import!$A$1:$Z$2488,1116,'Live Data'!$C$20)),"")</f>
        <v>Complete</v>
      </c>
      <c r="J1116" s="54" t="str">
        <f>IFERROR(IF(INDEX(SPOT_Import!$A$1:$Z$2488,1116,'Live Data'!$C$21)="","",INDEX(SPOT_Import!$A$1:$Z$2488,1116,'Live Data'!$C$21)),"")</f>
        <v>2022-08-01T09:19:22.000Z</v>
      </c>
      <c r="K1116" s="54" t="str">
        <f>IFERROR(IF(INDEX(SPOT_Import!$A$1:$Z$2488,1116,'Live Data'!$C$22)="","",INDEX(SPOT_Import!$A$1:$Z$2488,1116,'Live Data'!$C$22)),"")</f>
        <v>2022-08-01T09:19:22.000Z</v>
      </c>
      <c r="L1116" s="55" t="str">
        <f t="shared" si="34"/>
        <v>2022-08</v>
      </c>
      <c r="M1116" s="55" t="str">
        <f t="shared" si="35"/>
        <v>KITUI</v>
      </c>
      <c r="N1116" s="55" t="str">
        <f>IF(A1116="","",IFERROR(INDEX('Cluster Map'!$A$4:$A$38,MATCH(M1116,'Cluster Map'!$B$4:$B$38,0)),"Unmapped"))</f>
        <v>Cluster 5</v>
      </c>
      <c r="O1116" s="55">
        <f>IF(A1116="",0,IF(COUNTIFS($A$2:A1116,A1116,$F$2:F1116,F1116,$L$2:L1116,L1116)=1,1,0))</f>
        <v>1</v>
      </c>
      <c r="P1116" s="55">
        <f>IF(A1116="",0,IF(AND(F1116="C&amp;T",COUNTIFS($A$2:A1116,A1116,$F$2:F1116,"C&amp;T")=1),1,0))</f>
        <v>0</v>
      </c>
    </row>
    <row r="1117" spans="1:16" x14ac:dyDescent="0.35">
      <c r="A1117" s="54" t="str">
        <f>IFERROR(IF(INDEX(SPOT_Import!$A$1:$Z$2488,1117,'Live Data'!$C$12)="","",INDEX(SPOT_Import!$A$1:$Z$2488,1117,'Live Data'!$C$12)),"")</f>
        <v/>
      </c>
      <c r="B1117" s="54" t="str">
        <f>IFERROR(IF(INDEX(SPOT_Import!$A$1:$Z$2488,1117,'Live Data'!$C$13)="","",INDEX(SPOT_Import!$A$1:$Z$2488,1117,'Live Data'!$C$13)),"")</f>
        <v/>
      </c>
      <c r="C1117" s="54" t="str">
        <f>IFERROR(IF(INDEX(SPOT_Import!$A$1:$Z$2488,1117,'Live Data'!$C$14)="","",INDEX(SPOT_Import!$A$1:$Z$2488,1117,'Live Data'!$C$14)),"")</f>
        <v/>
      </c>
      <c r="D1117" s="54" t="str">
        <f>IFERROR(IF(INDEX(SPOT_Import!$A$1:$Z$2488,1117,'Live Data'!$C$15)="","",INDEX(SPOT_Import!$A$1:$Z$2488,1117,'Live Data'!$C$15)),"")</f>
        <v/>
      </c>
      <c r="E1117" s="54" t="str">
        <f>IFERROR(IF(INDEX(SPOT_Import!$A$1:$Z$2488,1117,'Live Data'!$C$16)="","",INDEX(SPOT_Import!$A$1:$Z$2488,1117,'Live Data'!$C$16)),"")</f>
        <v/>
      </c>
      <c r="F1117" s="54" t="str">
        <f>IFERROR(IF(INDEX(SPOT_Import!$A$1:$Z$2488,1117,'Live Data'!$C$17)="","",INDEX(SPOT_Import!$A$1:$Z$2488,1117,'Live Data'!$C$17)),"")</f>
        <v/>
      </c>
      <c r="G1117" s="54" t="str">
        <f>IFERROR(IF(INDEX(SPOT_Import!$A$1:$Z$2488,1117,'Live Data'!$C$18)="","",INDEX(SPOT_Import!$A$1:$Z$2488,1117,'Live Data'!$C$18)),"")</f>
        <v/>
      </c>
      <c r="H1117" s="54" t="str">
        <f>IFERROR(IF(INDEX(SPOT_Import!$A$1:$Z$2488,1117,'Live Data'!$C$19)="","",INDEX(SPOT_Import!$A$1:$Z$2488,1117,'Live Data'!$C$19)),"")</f>
        <v/>
      </c>
      <c r="I1117" s="54" t="str">
        <f>IFERROR(IF(INDEX(SPOT_Import!$A$1:$Z$2488,1117,'Live Data'!$C$20)="","",INDEX(SPOT_Import!$A$1:$Z$2488,1117,'Live Data'!$C$20)),"")</f>
        <v/>
      </c>
      <c r="J1117" s="54" t="str">
        <f>IFERROR(IF(INDEX(SPOT_Import!$A$1:$Z$2488,1117,'Live Data'!$C$21)="","",INDEX(SPOT_Import!$A$1:$Z$2488,1117,'Live Data'!$C$21)),"")</f>
        <v/>
      </c>
      <c r="K1117" s="54" t="str">
        <f>IFERROR(IF(INDEX(SPOT_Import!$A$1:$Z$2488,1117,'Live Data'!$C$22)="","",INDEX(SPOT_Import!$A$1:$Z$2488,1117,'Live Data'!$C$22)),"")</f>
        <v/>
      </c>
      <c r="L1117" s="55" t="str">
        <f t="shared" si="34"/>
        <v/>
      </c>
      <c r="M1117" s="55" t="str">
        <f t="shared" si="35"/>
        <v/>
      </c>
      <c r="N1117" s="55" t="str">
        <f>IF(A1117="","",IFERROR(INDEX('Cluster Map'!$A$4:$A$38,MATCH(M1117,'Cluster Map'!$B$4:$B$38,0)),"Unmapped"))</f>
        <v/>
      </c>
      <c r="O1117" s="55">
        <f>IF(A1117="",0,IF(COUNTIFS($A$2:A1117,A1117,$F$2:F1117,F1117,$L$2:L1117,L1117)=1,1,0))</f>
        <v>0</v>
      </c>
      <c r="P1117" s="55">
        <f>IF(A1117="",0,IF(AND(F1117="C&amp;T",COUNTIFS($A$2:A1117,A1117,$F$2:F1117,"C&amp;T")=1),1,0))</f>
        <v>0</v>
      </c>
    </row>
    <row r="1118" spans="1:16" x14ac:dyDescent="0.35">
      <c r="A1118" s="54" t="str">
        <f>IFERROR(IF(INDEX(SPOT_Import!$A$1:$Z$2488,1118,'Live Data'!$C$12)="","",INDEX(SPOT_Import!$A$1:$Z$2488,1118,'Live Data'!$C$12)),"")</f>
        <v/>
      </c>
      <c r="B1118" s="54" t="str">
        <f>IFERROR(IF(INDEX(SPOT_Import!$A$1:$Z$2488,1118,'Live Data'!$C$13)="","",INDEX(SPOT_Import!$A$1:$Z$2488,1118,'Live Data'!$C$13)),"")</f>
        <v/>
      </c>
      <c r="C1118" s="54" t="str">
        <f>IFERROR(IF(INDEX(SPOT_Import!$A$1:$Z$2488,1118,'Live Data'!$C$14)="","",INDEX(SPOT_Import!$A$1:$Z$2488,1118,'Live Data'!$C$14)),"")</f>
        <v/>
      </c>
      <c r="D1118" s="54" t="str">
        <f>IFERROR(IF(INDEX(SPOT_Import!$A$1:$Z$2488,1118,'Live Data'!$C$15)="","",INDEX(SPOT_Import!$A$1:$Z$2488,1118,'Live Data'!$C$15)),"")</f>
        <v/>
      </c>
      <c r="E1118" s="54" t="str">
        <f>IFERROR(IF(INDEX(SPOT_Import!$A$1:$Z$2488,1118,'Live Data'!$C$16)="","",INDEX(SPOT_Import!$A$1:$Z$2488,1118,'Live Data'!$C$16)),"")</f>
        <v/>
      </c>
      <c r="F1118" s="54" t="str">
        <f>IFERROR(IF(INDEX(SPOT_Import!$A$1:$Z$2488,1118,'Live Data'!$C$17)="","",INDEX(SPOT_Import!$A$1:$Z$2488,1118,'Live Data'!$C$17)),"")</f>
        <v/>
      </c>
      <c r="G1118" s="54" t="str">
        <f>IFERROR(IF(INDEX(SPOT_Import!$A$1:$Z$2488,1118,'Live Data'!$C$18)="","",INDEX(SPOT_Import!$A$1:$Z$2488,1118,'Live Data'!$C$18)),"")</f>
        <v/>
      </c>
      <c r="H1118" s="54" t="str">
        <f>IFERROR(IF(INDEX(SPOT_Import!$A$1:$Z$2488,1118,'Live Data'!$C$19)="","",INDEX(SPOT_Import!$A$1:$Z$2488,1118,'Live Data'!$C$19)),"")</f>
        <v/>
      </c>
      <c r="I1118" s="54" t="str">
        <f>IFERROR(IF(INDEX(SPOT_Import!$A$1:$Z$2488,1118,'Live Data'!$C$20)="","",INDEX(SPOT_Import!$A$1:$Z$2488,1118,'Live Data'!$C$20)),"")</f>
        <v/>
      </c>
      <c r="J1118" s="54" t="str">
        <f>IFERROR(IF(INDEX(SPOT_Import!$A$1:$Z$2488,1118,'Live Data'!$C$21)="","",INDEX(SPOT_Import!$A$1:$Z$2488,1118,'Live Data'!$C$21)),"")</f>
        <v/>
      </c>
      <c r="K1118" s="54" t="str">
        <f>IFERROR(IF(INDEX(SPOT_Import!$A$1:$Z$2488,1118,'Live Data'!$C$22)="","",INDEX(SPOT_Import!$A$1:$Z$2488,1118,'Live Data'!$C$22)),"")</f>
        <v/>
      </c>
      <c r="L1118" s="55" t="str">
        <f t="shared" si="34"/>
        <v/>
      </c>
      <c r="M1118" s="55" t="str">
        <f t="shared" si="35"/>
        <v/>
      </c>
      <c r="N1118" s="55" t="str">
        <f>IF(A1118="","",IFERROR(INDEX('Cluster Map'!$A$4:$A$38,MATCH(M1118,'Cluster Map'!$B$4:$B$38,0)),"Unmapped"))</f>
        <v/>
      </c>
      <c r="O1118" s="55">
        <f>IF(A1118="",0,IF(COUNTIFS($A$2:A1118,A1118,$F$2:F1118,F1118,$L$2:L1118,L1118)=1,1,0))</f>
        <v>0</v>
      </c>
      <c r="P1118" s="55">
        <f>IF(A1118="",0,IF(AND(F1118="C&amp;T",COUNTIFS($A$2:A1118,A1118,$F$2:F1118,"C&amp;T")=1),1,0))</f>
        <v>0</v>
      </c>
    </row>
    <row r="1119" spans="1:16" x14ac:dyDescent="0.35">
      <c r="A1119" s="54" t="str">
        <f>IFERROR(IF(INDEX(SPOT_Import!$A$1:$Z$2488,1119,'Live Data'!$C$12)="","",INDEX(SPOT_Import!$A$1:$Z$2488,1119,'Live Data'!$C$12)),"")</f>
        <v/>
      </c>
      <c r="B1119" s="54" t="str">
        <f>IFERROR(IF(INDEX(SPOT_Import!$A$1:$Z$2488,1119,'Live Data'!$C$13)="","",INDEX(SPOT_Import!$A$1:$Z$2488,1119,'Live Data'!$C$13)),"")</f>
        <v/>
      </c>
      <c r="C1119" s="54" t="str">
        <f>IFERROR(IF(INDEX(SPOT_Import!$A$1:$Z$2488,1119,'Live Data'!$C$14)="","",INDEX(SPOT_Import!$A$1:$Z$2488,1119,'Live Data'!$C$14)),"")</f>
        <v/>
      </c>
      <c r="D1119" s="54" t="str">
        <f>IFERROR(IF(INDEX(SPOT_Import!$A$1:$Z$2488,1119,'Live Data'!$C$15)="","",INDEX(SPOT_Import!$A$1:$Z$2488,1119,'Live Data'!$C$15)),"")</f>
        <v/>
      </c>
      <c r="E1119" s="54" t="str">
        <f>IFERROR(IF(INDEX(SPOT_Import!$A$1:$Z$2488,1119,'Live Data'!$C$16)="","",INDEX(SPOT_Import!$A$1:$Z$2488,1119,'Live Data'!$C$16)),"")</f>
        <v/>
      </c>
      <c r="F1119" s="54" t="str">
        <f>IFERROR(IF(INDEX(SPOT_Import!$A$1:$Z$2488,1119,'Live Data'!$C$17)="","",INDEX(SPOT_Import!$A$1:$Z$2488,1119,'Live Data'!$C$17)),"")</f>
        <v/>
      </c>
      <c r="G1119" s="54" t="str">
        <f>IFERROR(IF(INDEX(SPOT_Import!$A$1:$Z$2488,1119,'Live Data'!$C$18)="","",INDEX(SPOT_Import!$A$1:$Z$2488,1119,'Live Data'!$C$18)),"")</f>
        <v/>
      </c>
      <c r="H1119" s="54" t="str">
        <f>IFERROR(IF(INDEX(SPOT_Import!$A$1:$Z$2488,1119,'Live Data'!$C$19)="","",INDEX(SPOT_Import!$A$1:$Z$2488,1119,'Live Data'!$C$19)),"")</f>
        <v/>
      </c>
      <c r="I1119" s="54" t="str">
        <f>IFERROR(IF(INDEX(SPOT_Import!$A$1:$Z$2488,1119,'Live Data'!$C$20)="","",INDEX(SPOT_Import!$A$1:$Z$2488,1119,'Live Data'!$C$20)),"")</f>
        <v/>
      </c>
      <c r="J1119" s="54" t="str">
        <f>IFERROR(IF(INDEX(SPOT_Import!$A$1:$Z$2488,1119,'Live Data'!$C$21)="","",INDEX(SPOT_Import!$A$1:$Z$2488,1119,'Live Data'!$C$21)),"")</f>
        <v/>
      </c>
      <c r="K1119" s="54" t="str">
        <f>IFERROR(IF(INDEX(SPOT_Import!$A$1:$Z$2488,1119,'Live Data'!$C$22)="","",INDEX(SPOT_Import!$A$1:$Z$2488,1119,'Live Data'!$C$22)),"")</f>
        <v/>
      </c>
      <c r="L1119" s="55" t="str">
        <f t="shared" si="34"/>
        <v/>
      </c>
      <c r="M1119" s="55" t="str">
        <f t="shared" si="35"/>
        <v/>
      </c>
      <c r="N1119" s="55" t="str">
        <f>IF(A1119="","",IFERROR(INDEX('Cluster Map'!$A$4:$A$38,MATCH(M1119,'Cluster Map'!$B$4:$B$38,0)),"Unmapped"))</f>
        <v/>
      </c>
      <c r="O1119" s="55">
        <f>IF(A1119="",0,IF(COUNTIFS($A$2:A1119,A1119,$F$2:F1119,F1119,$L$2:L1119,L1119)=1,1,0))</f>
        <v>0</v>
      </c>
      <c r="P1119" s="55">
        <f>IF(A1119="",0,IF(AND(F1119="C&amp;T",COUNTIFS($A$2:A1119,A1119,$F$2:F1119,"C&amp;T")=1),1,0))</f>
        <v>0</v>
      </c>
    </row>
    <row r="1120" spans="1:16" x14ac:dyDescent="0.35">
      <c r="A1120" s="54" t="str">
        <f>IFERROR(IF(INDEX(SPOT_Import!$A$1:$Z$2488,1120,'Live Data'!$C$12)="","",INDEX(SPOT_Import!$A$1:$Z$2488,1120,'Live Data'!$C$12)),"")</f>
        <v/>
      </c>
      <c r="B1120" s="54" t="str">
        <f>IFERROR(IF(INDEX(SPOT_Import!$A$1:$Z$2488,1120,'Live Data'!$C$13)="","",INDEX(SPOT_Import!$A$1:$Z$2488,1120,'Live Data'!$C$13)),"")</f>
        <v/>
      </c>
      <c r="C1120" s="54" t="str">
        <f>IFERROR(IF(INDEX(SPOT_Import!$A$1:$Z$2488,1120,'Live Data'!$C$14)="","",INDEX(SPOT_Import!$A$1:$Z$2488,1120,'Live Data'!$C$14)),"")</f>
        <v/>
      </c>
      <c r="D1120" s="54" t="str">
        <f>IFERROR(IF(INDEX(SPOT_Import!$A$1:$Z$2488,1120,'Live Data'!$C$15)="","",INDEX(SPOT_Import!$A$1:$Z$2488,1120,'Live Data'!$C$15)),"")</f>
        <v/>
      </c>
      <c r="E1120" s="54" t="str">
        <f>IFERROR(IF(INDEX(SPOT_Import!$A$1:$Z$2488,1120,'Live Data'!$C$16)="","",INDEX(SPOT_Import!$A$1:$Z$2488,1120,'Live Data'!$C$16)),"")</f>
        <v/>
      </c>
      <c r="F1120" s="54" t="str">
        <f>IFERROR(IF(INDEX(SPOT_Import!$A$1:$Z$2488,1120,'Live Data'!$C$17)="","",INDEX(SPOT_Import!$A$1:$Z$2488,1120,'Live Data'!$C$17)),"")</f>
        <v/>
      </c>
      <c r="G1120" s="54" t="str">
        <f>IFERROR(IF(INDEX(SPOT_Import!$A$1:$Z$2488,1120,'Live Data'!$C$18)="","",INDEX(SPOT_Import!$A$1:$Z$2488,1120,'Live Data'!$C$18)),"")</f>
        <v/>
      </c>
      <c r="H1120" s="54" t="str">
        <f>IFERROR(IF(INDEX(SPOT_Import!$A$1:$Z$2488,1120,'Live Data'!$C$19)="","",INDEX(SPOT_Import!$A$1:$Z$2488,1120,'Live Data'!$C$19)),"")</f>
        <v/>
      </c>
      <c r="I1120" s="54" t="str">
        <f>IFERROR(IF(INDEX(SPOT_Import!$A$1:$Z$2488,1120,'Live Data'!$C$20)="","",INDEX(SPOT_Import!$A$1:$Z$2488,1120,'Live Data'!$C$20)),"")</f>
        <v/>
      </c>
      <c r="J1120" s="54" t="str">
        <f>IFERROR(IF(INDEX(SPOT_Import!$A$1:$Z$2488,1120,'Live Data'!$C$21)="","",INDEX(SPOT_Import!$A$1:$Z$2488,1120,'Live Data'!$C$21)),"")</f>
        <v/>
      </c>
      <c r="K1120" s="54" t="str">
        <f>IFERROR(IF(INDEX(SPOT_Import!$A$1:$Z$2488,1120,'Live Data'!$C$22)="","",INDEX(SPOT_Import!$A$1:$Z$2488,1120,'Live Data'!$C$22)),"")</f>
        <v/>
      </c>
      <c r="L1120" s="55" t="str">
        <f t="shared" si="34"/>
        <v/>
      </c>
      <c r="M1120" s="55" t="str">
        <f t="shared" si="35"/>
        <v/>
      </c>
      <c r="N1120" s="55" t="str">
        <f>IF(A1120="","",IFERROR(INDEX('Cluster Map'!$A$4:$A$38,MATCH(M1120,'Cluster Map'!$B$4:$B$38,0)),"Unmapped"))</f>
        <v/>
      </c>
      <c r="O1120" s="55">
        <f>IF(A1120="",0,IF(COUNTIFS($A$2:A1120,A1120,$F$2:F1120,F1120,$L$2:L1120,L1120)=1,1,0))</f>
        <v>0</v>
      </c>
      <c r="P1120" s="55">
        <f>IF(A1120="",0,IF(AND(F1120="C&amp;T",COUNTIFS($A$2:A1120,A1120,$F$2:F1120,"C&amp;T")=1),1,0))</f>
        <v>0</v>
      </c>
    </row>
    <row r="1121" spans="1:16" x14ac:dyDescent="0.35">
      <c r="A1121" s="54" t="str">
        <f>IFERROR(IF(INDEX(SPOT_Import!$A$1:$Z$2488,1121,'Live Data'!$C$12)="","",INDEX(SPOT_Import!$A$1:$Z$2488,1121,'Live Data'!$C$12)),"")</f>
        <v/>
      </c>
      <c r="B1121" s="54" t="str">
        <f>IFERROR(IF(INDEX(SPOT_Import!$A$1:$Z$2488,1121,'Live Data'!$C$13)="","",INDEX(SPOT_Import!$A$1:$Z$2488,1121,'Live Data'!$C$13)),"")</f>
        <v/>
      </c>
      <c r="C1121" s="54" t="str">
        <f>IFERROR(IF(INDEX(SPOT_Import!$A$1:$Z$2488,1121,'Live Data'!$C$14)="","",INDEX(SPOT_Import!$A$1:$Z$2488,1121,'Live Data'!$C$14)),"")</f>
        <v/>
      </c>
      <c r="D1121" s="54" t="str">
        <f>IFERROR(IF(INDEX(SPOT_Import!$A$1:$Z$2488,1121,'Live Data'!$C$15)="","",INDEX(SPOT_Import!$A$1:$Z$2488,1121,'Live Data'!$C$15)),"")</f>
        <v/>
      </c>
      <c r="E1121" s="54" t="str">
        <f>IFERROR(IF(INDEX(SPOT_Import!$A$1:$Z$2488,1121,'Live Data'!$C$16)="","",INDEX(SPOT_Import!$A$1:$Z$2488,1121,'Live Data'!$C$16)),"")</f>
        <v/>
      </c>
      <c r="F1121" s="54" t="str">
        <f>IFERROR(IF(INDEX(SPOT_Import!$A$1:$Z$2488,1121,'Live Data'!$C$17)="","",INDEX(SPOT_Import!$A$1:$Z$2488,1121,'Live Data'!$C$17)),"")</f>
        <v/>
      </c>
      <c r="G1121" s="54" t="str">
        <f>IFERROR(IF(INDEX(SPOT_Import!$A$1:$Z$2488,1121,'Live Data'!$C$18)="","",INDEX(SPOT_Import!$A$1:$Z$2488,1121,'Live Data'!$C$18)),"")</f>
        <v/>
      </c>
      <c r="H1121" s="54" t="str">
        <f>IFERROR(IF(INDEX(SPOT_Import!$A$1:$Z$2488,1121,'Live Data'!$C$19)="","",INDEX(SPOT_Import!$A$1:$Z$2488,1121,'Live Data'!$C$19)),"")</f>
        <v/>
      </c>
      <c r="I1121" s="54" t="str">
        <f>IFERROR(IF(INDEX(SPOT_Import!$A$1:$Z$2488,1121,'Live Data'!$C$20)="","",INDEX(SPOT_Import!$A$1:$Z$2488,1121,'Live Data'!$C$20)),"")</f>
        <v/>
      </c>
      <c r="J1121" s="54" t="str">
        <f>IFERROR(IF(INDEX(SPOT_Import!$A$1:$Z$2488,1121,'Live Data'!$C$21)="","",INDEX(SPOT_Import!$A$1:$Z$2488,1121,'Live Data'!$C$21)),"")</f>
        <v/>
      </c>
      <c r="K1121" s="54" t="str">
        <f>IFERROR(IF(INDEX(SPOT_Import!$A$1:$Z$2488,1121,'Live Data'!$C$22)="","",INDEX(SPOT_Import!$A$1:$Z$2488,1121,'Live Data'!$C$22)),"")</f>
        <v/>
      </c>
      <c r="L1121" s="55" t="str">
        <f t="shared" si="34"/>
        <v/>
      </c>
      <c r="M1121" s="55" t="str">
        <f t="shared" si="35"/>
        <v/>
      </c>
      <c r="N1121" s="55" t="str">
        <f>IF(A1121="","",IFERROR(INDEX('Cluster Map'!$A$4:$A$38,MATCH(M1121,'Cluster Map'!$B$4:$B$38,0)),"Unmapped"))</f>
        <v/>
      </c>
      <c r="O1121" s="55">
        <f>IF(A1121="",0,IF(COUNTIFS($A$2:A1121,A1121,$F$2:F1121,F1121,$L$2:L1121,L1121)=1,1,0))</f>
        <v>0</v>
      </c>
      <c r="P1121" s="55">
        <f>IF(A1121="",0,IF(AND(F1121="C&amp;T",COUNTIFS($A$2:A1121,A1121,$F$2:F1121,"C&amp;T")=1),1,0))</f>
        <v>0</v>
      </c>
    </row>
    <row r="1122" spans="1:16" x14ac:dyDescent="0.35">
      <c r="A1122" s="54" t="str">
        <f>IFERROR(IF(INDEX(SPOT_Import!$A$1:$Z$2488,1122,'Live Data'!$C$12)="","",INDEX(SPOT_Import!$A$1:$Z$2488,1122,'Live Data'!$C$12)),"")</f>
        <v/>
      </c>
      <c r="B1122" s="54" t="str">
        <f>IFERROR(IF(INDEX(SPOT_Import!$A$1:$Z$2488,1122,'Live Data'!$C$13)="","",INDEX(SPOT_Import!$A$1:$Z$2488,1122,'Live Data'!$C$13)),"")</f>
        <v/>
      </c>
      <c r="C1122" s="54" t="str">
        <f>IFERROR(IF(INDEX(SPOT_Import!$A$1:$Z$2488,1122,'Live Data'!$C$14)="","",INDEX(SPOT_Import!$A$1:$Z$2488,1122,'Live Data'!$C$14)),"")</f>
        <v/>
      </c>
      <c r="D1122" s="54" t="str">
        <f>IFERROR(IF(INDEX(SPOT_Import!$A$1:$Z$2488,1122,'Live Data'!$C$15)="","",INDEX(SPOT_Import!$A$1:$Z$2488,1122,'Live Data'!$C$15)),"")</f>
        <v/>
      </c>
      <c r="E1122" s="54" t="str">
        <f>IFERROR(IF(INDEX(SPOT_Import!$A$1:$Z$2488,1122,'Live Data'!$C$16)="","",INDEX(SPOT_Import!$A$1:$Z$2488,1122,'Live Data'!$C$16)),"")</f>
        <v/>
      </c>
      <c r="F1122" s="54" t="str">
        <f>IFERROR(IF(INDEX(SPOT_Import!$A$1:$Z$2488,1122,'Live Data'!$C$17)="","",INDEX(SPOT_Import!$A$1:$Z$2488,1122,'Live Data'!$C$17)),"")</f>
        <v/>
      </c>
      <c r="G1122" s="54" t="str">
        <f>IFERROR(IF(INDEX(SPOT_Import!$A$1:$Z$2488,1122,'Live Data'!$C$18)="","",INDEX(SPOT_Import!$A$1:$Z$2488,1122,'Live Data'!$C$18)),"")</f>
        <v/>
      </c>
      <c r="H1122" s="54" t="str">
        <f>IFERROR(IF(INDEX(SPOT_Import!$A$1:$Z$2488,1122,'Live Data'!$C$19)="","",INDEX(SPOT_Import!$A$1:$Z$2488,1122,'Live Data'!$C$19)),"")</f>
        <v/>
      </c>
      <c r="I1122" s="54" t="str">
        <f>IFERROR(IF(INDEX(SPOT_Import!$A$1:$Z$2488,1122,'Live Data'!$C$20)="","",INDEX(SPOT_Import!$A$1:$Z$2488,1122,'Live Data'!$C$20)),"")</f>
        <v/>
      </c>
      <c r="J1122" s="54" t="str">
        <f>IFERROR(IF(INDEX(SPOT_Import!$A$1:$Z$2488,1122,'Live Data'!$C$21)="","",INDEX(SPOT_Import!$A$1:$Z$2488,1122,'Live Data'!$C$21)),"")</f>
        <v/>
      </c>
      <c r="K1122" s="54" t="str">
        <f>IFERROR(IF(INDEX(SPOT_Import!$A$1:$Z$2488,1122,'Live Data'!$C$22)="","",INDEX(SPOT_Import!$A$1:$Z$2488,1122,'Live Data'!$C$22)),"")</f>
        <v/>
      </c>
      <c r="L1122" s="55" t="str">
        <f t="shared" si="34"/>
        <v/>
      </c>
      <c r="M1122" s="55" t="str">
        <f t="shared" si="35"/>
        <v/>
      </c>
      <c r="N1122" s="55" t="str">
        <f>IF(A1122="","",IFERROR(INDEX('Cluster Map'!$A$4:$A$38,MATCH(M1122,'Cluster Map'!$B$4:$B$38,0)),"Unmapped"))</f>
        <v/>
      </c>
      <c r="O1122" s="55">
        <f>IF(A1122="",0,IF(COUNTIFS($A$2:A1122,A1122,$F$2:F1122,F1122,$L$2:L1122,L1122)=1,1,0))</f>
        <v>0</v>
      </c>
      <c r="P1122" s="55">
        <f>IF(A1122="",0,IF(AND(F1122="C&amp;T",COUNTIFS($A$2:A1122,A1122,$F$2:F1122,"C&amp;T")=1),1,0))</f>
        <v>0</v>
      </c>
    </row>
    <row r="1123" spans="1:16" x14ac:dyDescent="0.35">
      <c r="A1123" s="54" t="str">
        <f>IFERROR(IF(INDEX(SPOT_Import!$A$1:$Z$2488,1123,'Live Data'!$C$12)="","",INDEX(SPOT_Import!$A$1:$Z$2488,1123,'Live Data'!$C$12)),"")</f>
        <v/>
      </c>
      <c r="B1123" s="54" t="str">
        <f>IFERROR(IF(INDEX(SPOT_Import!$A$1:$Z$2488,1123,'Live Data'!$C$13)="","",INDEX(SPOT_Import!$A$1:$Z$2488,1123,'Live Data'!$C$13)),"")</f>
        <v/>
      </c>
      <c r="C1123" s="54" t="str">
        <f>IFERROR(IF(INDEX(SPOT_Import!$A$1:$Z$2488,1123,'Live Data'!$C$14)="","",INDEX(SPOT_Import!$A$1:$Z$2488,1123,'Live Data'!$C$14)),"")</f>
        <v/>
      </c>
      <c r="D1123" s="54" t="str">
        <f>IFERROR(IF(INDEX(SPOT_Import!$A$1:$Z$2488,1123,'Live Data'!$C$15)="","",INDEX(SPOT_Import!$A$1:$Z$2488,1123,'Live Data'!$C$15)),"")</f>
        <v/>
      </c>
      <c r="E1123" s="54" t="str">
        <f>IFERROR(IF(INDEX(SPOT_Import!$A$1:$Z$2488,1123,'Live Data'!$C$16)="","",INDEX(SPOT_Import!$A$1:$Z$2488,1123,'Live Data'!$C$16)),"")</f>
        <v/>
      </c>
      <c r="F1123" s="54" t="str">
        <f>IFERROR(IF(INDEX(SPOT_Import!$A$1:$Z$2488,1123,'Live Data'!$C$17)="","",INDEX(SPOT_Import!$A$1:$Z$2488,1123,'Live Data'!$C$17)),"")</f>
        <v/>
      </c>
      <c r="G1123" s="54" t="str">
        <f>IFERROR(IF(INDEX(SPOT_Import!$A$1:$Z$2488,1123,'Live Data'!$C$18)="","",INDEX(SPOT_Import!$A$1:$Z$2488,1123,'Live Data'!$C$18)),"")</f>
        <v/>
      </c>
      <c r="H1123" s="54" t="str">
        <f>IFERROR(IF(INDEX(SPOT_Import!$A$1:$Z$2488,1123,'Live Data'!$C$19)="","",INDEX(SPOT_Import!$A$1:$Z$2488,1123,'Live Data'!$C$19)),"")</f>
        <v/>
      </c>
      <c r="I1123" s="54" t="str">
        <f>IFERROR(IF(INDEX(SPOT_Import!$A$1:$Z$2488,1123,'Live Data'!$C$20)="","",INDEX(SPOT_Import!$A$1:$Z$2488,1123,'Live Data'!$C$20)),"")</f>
        <v/>
      </c>
      <c r="J1123" s="54" t="str">
        <f>IFERROR(IF(INDEX(SPOT_Import!$A$1:$Z$2488,1123,'Live Data'!$C$21)="","",INDEX(SPOT_Import!$A$1:$Z$2488,1123,'Live Data'!$C$21)),"")</f>
        <v/>
      </c>
      <c r="K1123" s="54" t="str">
        <f>IFERROR(IF(INDEX(SPOT_Import!$A$1:$Z$2488,1123,'Live Data'!$C$22)="","",INDEX(SPOT_Import!$A$1:$Z$2488,1123,'Live Data'!$C$22)),"")</f>
        <v/>
      </c>
      <c r="L1123" s="55" t="str">
        <f t="shared" si="34"/>
        <v/>
      </c>
      <c r="M1123" s="55" t="str">
        <f t="shared" si="35"/>
        <v/>
      </c>
      <c r="N1123" s="55" t="str">
        <f>IF(A1123="","",IFERROR(INDEX('Cluster Map'!$A$4:$A$38,MATCH(M1123,'Cluster Map'!$B$4:$B$38,0)),"Unmapped"))</f>
        <v/>
      </c>
      <c r="O1123" s="55">
        <f>IF(A1123="",0,IF(COUNTIFS($A$2:A1123,A1123,$F$2:F1123,F1123,$L$2:L1123,L1123)=1,1,0))</f>
        <v>0</v>
      </c>
      <c r="P1123" s="55">
        <f>IF(A1123="",0,IF(AND(F1123="C&amp;T",COUNTIFS($A$2:A1123,A1123,$F$2:F1123,"C&amp;T")=1),1,0))</f>
        <v>0</v>
      </c>
    </row>
    <row r="1124" spans="1:16" x14ac:dyDescent="0.35">
      <c r="A1124" s="54" t="str">
        <f>IFERROR(IF(INDEX(SPOT_Import!$A$1:$Z$2488,1124,'Live Data'!$C$12)="","",INDEX(SPOT_Import!$A$1:$Z$2488,1124,'Live Data'!$C$12)),"")</f>
        <v/>
      </c>
      <c r="B1124" s="54" t="str">
        <f>IFERROR(IF(INDEX(SPOT_Import!$A$1:$Z$2488,1124,'Live Data'!$C$13)="","",INDEX(SPOT_Import!$A$1:$Z$2488,1124,'Live Data'!$C$13)),"")</f>
        <v/>
      </c>
      <c r="C1124" s="54" t="str">
        <f>IFERROR(IF(INDEX(SPOT_Import!$A$1:$Z$2488,1124,'Live Data'!$C$14)="","",INDEX(SPOT_Import!$A$1:$Z$2488,1124,'Live Data'!$C$14)),"")</f>
        <v/>
      </c>
      <c r="D1124" s="54" t="str">
        <f>IFERROR(IF(INDEX(SPOT_Import!$A$1:$Z$2488,1124,'Live Data'!$C$15)="","",INDEX(SPOT_Import!$A$1:$Z$2488,1124,'Live Data'!$C$15)),"")</f>
        <v/>
      </c>
      <c r="E1124" s="54" t="str">
        <f>IFERROR(IF(INDEX(SPOT_Import!$A$1:$Z$2488,1124,'Live Data'!$C$16)="","",INDEX(SPOT_Import!$A$1:$Z$2488,1124,'Live Data'!$C$16)),"")</f>
        <v/>
      </c>
      <c r="F1124" s="54" t="str">
        <f>IFERROR(IF(INDEX(SPOT_Import!$A$1:$Z$2488,1124,'Live Data'!$C$17)="","",INDEX(SPOT_Import!$A$1:$Z$2488,1124,'Live Data'!$C$17)),"")</f>
        <v/>
      </c>
      <c r="G1124" s="54" t="str">
        <f>IFERROR(IF(INDEX(SPOT_Import!$A$1:$Z$2488,1124,'Live Data'!$C$18)="","",INDEX(SPOT_Import!$A$1:$Z$2488,1124,'Live Data'!$C$18)),"")</f>
        <v/>
      </c>
      <c r="H1124" s="54" t="str">
        <f>IFERROR(IF(INDEX(SPOT_Import!$A$1:$Z$2488,1124,'Live Data'!$C$19)="","",INDEX(SPOT_Import!$A$1:$Z$2488,1124,'Live Data'!$C$19)),"")</f>
        <v/>
      </c>
      <c r="I1124" s="54" t="str">
        <f>IFERROR(IF(INDEX(SPOT_Import!$A$1:$Z$2488,1124,'Live Data'!$C$20)="","",INDEX(SPOT_Import!$A$1:$Z$2488,1124,'Live Data'!$C$20)),"")</f>
        <v/>
      </c>
      <c r="J1124" s="54" t="str">
        <f>IFERROR(IF(INDEX(SPOT_Import!$A$1:$Z$2488,1124,'Live Data'!$C$21)="","",INDEX(SPOT_Import!$A$1:$Z$2488,1124,'Live Data'!$C$21)),"")</f>
        <v/>
      </c>
      <c r="K1124" s="54" t="str">
        <f>IFERROR(IF(INDEX(SPOT_Import!$A$1:$Z$2488,1124,'Live Data'!$C$22)="","",INDEX(SPOT_Import!$A$1:$Z$2488,1124,'Live Data'!$C$22)),"")</f>
        <v/>
      </c>
      <c r="L1124" s="55" t="str">
        <f t="shared" si="34"/>
        <v/>
      </c>
      <c r="M1124" s="55" t="str">
        <f t="shared" si="35"/>
        <v/>
      </c>
      <c r="N1124" s="55" t="str">
        <f>IF(A1124="","",IFERROR(INDEX('Cluster Map'!$A$4:$A$38,MATCH(M1124,'Cluster Map'!$B$4:$B$38,0)),"Unmapped"))</f>
        <v/>
      </c>
      <c r="O1124" s="55">
        <f>IF(A1124="",0,IF(COUNTIFS($A$2:A1124,A1124,$F$2:F1124,F1124,$L$2:L1124,L1124)=1,1,0))</f>
        <v>0</v>
      </c>
      <c r="P1124" s="55">
        <f>IF(A1124="",0,IF(AND(F1124="C&amp;T",COUNTIFS($A$2:A1124,A1124,$F$2:F1124,"C&amp;T")=1),1,0))</f>
        <v>0</v>
      </c>
    </row>
    <row r="1125" spans="1:16" x14ac:dyDescent="0.35">
      <c r="A1125" s="54" t="str">
        <f>IFERROR(IF(INDEX(SPOT_Import!$A$1:$Z$2488,1125,'Live Data'!$C$12)="","",INDEX(SPOT_Import!$A$1:$Z$2488,1125,'Live Data'!$C$12)),"")</f>
        <v/>
      </c>
      <c r="B1125" s="54" t="str">
        <f>IFERROR(IF(INDEX(SPOT_Import!$A$1:$Z$2488,1125,'Live Data'!$C$13)="","",INDEX(SPOT_Import!$A$1:$Z$2488,1125,'Live Data'!$C$13)),"")</f>
        <v/>
      </c>
      <c r="C1125" s="54" t="str">
        <f>IFERROR(IF(INDEX(SPOT_Import!$A$1:$Z$2488,1125,'Live Data'!$C$14)="","",INDEX(SPOT_Import!$A$1:$Z$2488,1125,'Live Data'!$C$14)),"")</f>
        <v/>
      </c>
      <c r="D1125" s="54" t="str">
        <f>IFERROR(IF(INDEX(SPOT_Import!$A$1:$Z$2488,1125,'Live Data'!$C$15)="","",INDEX(SPOT_Import!$A$1:$Z$2488,1125,'Live Data'!$C$15)),"")</f>
        <v/>
      </c>
      <c r="E1125" s="54" t="str">
        <f>IFERROR(IF(INDEX(SPOT_Import!$A$1:$Z$2488,1125,'Live Data'!$C$16)="","",INDEX(SPOT_Import!$A$1:$Z$2488,1125,'Live Data'!$C$16)),"")</f>
        <v/>
      </c>
      <c r="F1125" s="54" t="str">
        <f>IFERROR(IF(INDEX(SPOT_Import!$A$1:$Z$2488,1125,'Live Data'!$C$17)="","",INDEX(SPOT_Import!$A$1:$Z$2488,1125,'Live Data'!$C$17)),"")</f>
        <v/>
      </c>
      <c r="G1125" s="54" t="str">
        <f>IFERROR(IF(INDEX(SPOT_Import!$A$1:$Z$2488,1125,'Live Data'!$C$18)="","",INDEX(SPOT_Import!$A$1:$Z$2488,1125,'Live Data'!$C$18)),"")</f>
        <v/>
      </c>
      <c r="H1125" s="54" t="str">
        <f>IFERROR(IF(INDEX(SPOT_Import!$A$1:$Z$2488,1125,'Live Data'!$C$19)="","",INDEX(SPOT_Import!$A$1:$Z$2488,1125,'Live Data'!$C$19)),"")</f>
        <v/>
      </c>
      <c r="I1125" s="54" t="str">
        <f>IFERROR(IF(INDEX(SPOT_Import!$A$1:$Z$2488,1125,'Live Data'!$C$20)="","",INDEX(SPOT_Import!$A$1:$Z$2488,1125,'Live Data'!$C$20)),"")</f>
        <v/>
      </c>
      <c r="J1125" s="54" t="str">
        <f>IFERROR(IF(INDEX(SPOT_Import!$A$1:$Z$2488,1125,'Live Data'!$C$21)="","",INDEX(SPOT_Import!$A$1:$Z$2488,1125,'Live Data'!$C$21)),"")</f>
        <v/>
      </c>
      <c r="K1125" s="54" t="str">
        <f>IFERROR(IF(INDEX(SPOT_Import!$A$1:$Z$2488,1125,'Live Data'!$C$22)="","",INDEX(SPOT_Import!$A$1:$Z$2488,1125,'Live Data'!$C$22)),"")</f>
        <v/>
      </c>
      <c r="L1125" s="55" t="str">
        <f t="shared" si="34"/>
        <v/>
      </c>
      <c r="M1125" s="55" t="str">
        <f t="shared" si="35"/>
        <v/>
      </c>
      <c r="N1125" s="55" t="str">
        <f>IF(A1125="","",IFERROR(INDEX('Cluster Map'!$A$4:$A$38,MATCH(M1125,'Cluster Map'!$B$4:$B$38,0)),"Unmapped"))</f>
        <v/>
      </c>
      <c r="O1125" s="55">
        <f>IF(A1125="",0,IF(COUNTIFS($A$2:A1125,A1125,$F$2:F1125,F1125,$L$2:L1125,L1125)=1,1,0))</f>
        <v>0</v>
      </c>
      <c r="P1125" s="55">
        <f>IF(A1125="",0,IF(AND(F1125="C&amp;T",COUNTIFS($A$2:A1125,A1125,$F$2:F1125,"C&amp;T")=1),1,0))</f>
        <v>0</v>
      </c>
    </row>
    <row r="1126" spans="1:16" x14ac:dyDescent="0.35">
      <c r="A1126" s="54" t="str">
        <f>IFERROR(IF(INDEX(SPOT_Import!$A$1:$Z$2488,1126,'Live Data'!$C$12)="","",INDEX(SPOT_Import!$A$1:$Z$2488,1126,'Live Data'!$C$12)),"")</f>
        <v/>
      </c>
      <c r="B1126" s="54" t="str">
        <f>IFERROR(IF(INDEX(SPOT_Import!$A$1:$Z$2488,1126,'Live Data'!$C$13)="","",INDEX(SPOT_Import!$A$1:$Z$2488,1126,'Live Data'!$C$13)),"")</f>
        <v/>
      </c>
      <c r="C1126" s="54" t="str">
        <f>IFERROR(IF(INDEX(SPOT_Import!$A$1:$Z$2488,1126,'Live Data'!$C$14)="","",INDEX(SPOT_Import!$A$1:$Z$2488,1126,'Live Data'!$C$14)),"")</f>
        <v/>
      </c>
      <c r="D1126" s="54" t="str">
        <f>IFERROR(IF(INDEX(SPOT_Import!$A$1:$Z$2488,1126,'Live Data'!$C$15)="","",INDEX(SPOT_Import!$A$1:$Z$2488,1126,'Live Data'!$C$15)),"")</f>
        <v/>
      </c>
      <c r="E1126" s="54" t="str">
        <f>IFERROR(IF(INDEX(SPOT_Import!$A$1:$Z$2488,1126,'Live Data'!$C$16)="","",INDEX(SPOT_Import!$A$1:$Z$2488,1126,'Live Data'!$C$16)),"")</f>
        <v/>
      </c>
      <c r="F1126" s="54" t="str">
        <f>IFERROR(IF(INDEX(SPOT_Import!$A$1:$Z$2488,1126,'Live Data'!$C$17)="","",INDEX(SPOT_Import!$A$1:$Z$2488,1126,'Live Data'!$C$17)),"")</f>
        <v/>
      </c>
      <c r="G1126" s="54" t="str">
        <f>IFERROR(IF(INDEX(SPOT_Import!$A$1:$Z$2488,1126,'Live Data'!$C$18)="","",INDEX(SPOT_Import!$A$1:$Z$2488,1126,'Live Data'!$C$18)),"")</f>
        <v/>
      </c>
      <c r="H1126" s="54" t="str">
        <f>IFERROR(IF(INDEX(SPOT_Import!$A$1:$Z$2488,1126,'Live Data'!$C$19)="","",INDEX(SPOT_Import!$A$1:$Z$2488,1126,'Live Data'!$C$19)),"")</f>
        <v/>
      </c>
      <c r="I1126" s="54" t="str">
        <f>IFERROR(IF(INDEX(SPOT_Import!$A$1:$Z$2488,1126,'Live Data'!$C$20)="","",INDEX(SPOT_Import!$A$1:$Z$2488,1126,'Live Data'!$C$20)),"")</f>
        <v/>
      </c>
      <c r="J1126" s="54" t="str">
        <f>IFERROR(IF(INDEX(SPOT_Import!$A$1:$Z$2488,1126,'Live Data'!$C$21)="","",INDEX(SPOT_Import!$A$1:$Z$2488,1126,'Live Data'!$C$21)),"")</f>
        <v/>
      </c>
      <c r="K1126" s="54" t="str">
        <f>IFERROR(IF(INDEX(SPOT_Import!$A$1:$Z$2488,1126,'Live Data'!$C$22)="","",INDEX(SPOT_Import!$A$1:$Z$2488,1126,'Live Data'!$C$22)),"")</f>
        <v/>
      </c>
      <c r="L1126" s="55" t="str">
        <f t="shared" si="34"/>
        <v/>
      </c>
      <c r="M1126" s="55" t="str">
        <f t="shared" si="35"/>
        <v/>
      </c>
      <c r="N1126" s="55" t="str">
        <f>IF(A1126="","",IFERROR(INDEX('Cluster Map'!$A$4:$A$38,MATCH(M1126,'Cluster Map'!$B$4:$B$38,0)),"Unmapped"))</f>
        <v/>
      </c>
      <c r="O1126" s="55">
        <f>IF(A1126="",0,IF(COUNTIFS($A$2:A1126,A1126,$F$2:F1126,F1126,$L$2:L1126,L1126)=1,1,0))</f>
        <v>0</v>
      </c>
      <c r="P1126" s="55">
        <f>IF(A1126="",0,IF(AND(F1126="C&amp;T",COUNTIFS($A$2:A1126,A1126,$F$2:F1126,"C&amp;T")=1),1,0))</f>
        <v>0</v>
      </c>
    </row>
    <row r="1127" spans="1:16" x14ac:dyDescent="0.35">
      <c r="A1127" s="54" t="str">
        <f>IFERROR(IF(INDEX(SPOT_Import!$A$1:$Z$2488,1127,'Live Data'!$C$12)="","",INDEX(SPOT_Import!$A$1:$Z$2488,1127,'Live Data'!$C$12)),"")</f>
        <v/>
      </c>
      <c r="B1127" s="54" t="str">
        <f>IFERROR(IF(INDEX(SPOT_Import!$A$1:$Z$2488,1127,'Live Data'!$C$13)="","",INDEX(SPOT_Import!$A$1:$Z$2488,1127,'Live Data'!$C$13)),"")</f>
        <v/>
      </c>
      <c r="C1127" s="54" t="str">
        <f>IFERROR(IF(INDEX(SPOT_Import!$A$1:$Z$2488,1127,'Live Data'!$C$14)="","",INDEX(SPOT_Import!$A$1:$Z$2488,1127,'Live Data'!$C$14)),"")</f>
        <v/>
      </c>
      <c r="D1127" s="54" t="str">
        <f>IFERROR(IF(INDEX(SPOT_Import!$A$1:$Z$2488,1127,'Live Data'!$C$15)="","",INDEX(SPOT_Import!$A$1:$Z$2488,1127,'Live Data'!$C$15)),"")</f>
        <v/>
      </c>
      <c r="E1127" s="54" t="str">
        <f>IFERROR(IF(INDEX(SPOT_Import!$A$1:$Z$2488,1127,'Live Data'!$C$16)="","",INDEX(SPOT_Import!$A$1:$Z$2488,1127,'Live Data'!$C$16)),"")</f>
        <v/>
      </c>
      <c r="F1127" s="54" t="str">
        <f>IFERROR(IF(INDEX(SPOT_Import!$A$1:$Z$2488,1127,'Live Data'!$C$17)="","",INDEX(SPOT_Import!$A$1:$Z$2488,1127,'Live Data'!$C$17)),"")</f>
        <v/>
      </c>
      <c r="G1127" s="54" t="str">
        <f>IFERROR(IF(INDEX(SPOT_Import!$A$1:$Z$2488,1127,'Live Data'!$C$18)="","",INDEX(SPOT_Import!$A$1:$Z$2488,1127,'Live Data'!$C$18)),"")</f>
        <v/>
      </c>
      <c r="H1127" s="54" t="str">
        <f>IFERROR(IF(INDEX(SPOT_Import!$A$1:$Z$2488,1127,'Live Data'!$C$19)="","",INDEX(SPOT_Import!$A$1:$Z$2488,1127,'Live Data'!$C$19)),"")</f>
        <v/>
      </c>
      <c r="I1127" s="54" t="str">
        <f>IFERROR(IF(INDEX(SPOT_Import!$A$1:$Z$2488,1127,'Live Data'!$C$20)="","",INDEX(SPOT_Import!$A$1:$Z$2488,1127,'Live Data'!$C$20)),"")</f>
        <v/>
      </c>
      <c r="J1127" s="54" t="str">
        <f>IFERROR(IF(INDEX(SPOT_Import!$A$1:$Z$2488,1127,'Live Data'!$C$21)="","",INDEX(SPOT_Import!$A$1:$Z$2488,1127,'Live Data'!$C$21)),"")</f>
        <v/>
      </c>
      <c r="K1127" s="54" t="str">
        <f>IFERROR(IF(INDEX(SPOT_Import!$A$1:$Z$2488,1127,'Live Data'!$C$22)="","",INDEX(SPOT_Import!$A$1:$Z$2488,1127,'Live Data'!$C$22)),"")</f>
        <v/>
      </c>
      <c r="L1127" s="55" t="str">
        <f t="shared" si="34"/>
        <v/>
      </c>
      <c r="M1127" s="55" t="str">
        <f t="shared" si="35"/>
        <v/>
      </c>
      <c r="N1127" s="55" t="str">
        <f>IF(A1127="","",IFERROR(INDEX('Cluster Map'!$A$4:$A$38,MATCH(M1127,'Cluster Map'!$B$4:$B$38,0)),"Unmapped"))</f>
        <v/>
      </c>
      <c r="O1127" s="55">
        <f>IF(A1127="",0,IF(COUNTIFS($A$2:A1127,A1127,$F$2:F1127,F1127,$L$2:L1127,L1127)=1,1,0))</f>
        <v>0</v>
      </c>
      <c r="P1127" s="55">
        <f>IF(A1127="",0,IF(AND(F1127="C&amp;T",COUNTIFS($A$2:A1127,A1127,$F$2:F1127,"C&amp;T")=1),1,0))</f>
        <v>0</v>
      </c>
    </row>
    <row r="1128" spans="1:16" x14ac:dyDescent="0.35">
      <c r="A1128" s="54" t="str">
        <f>IFERROR(IF(INDEX(SPOT_Import!$A$1:$Z$2488,1128,'Live Data'!$C$12)="","",INDEX(SPOT_Import!$A$1:$Z$2488,1128,'Live Data'!$C$12)),"")</f>
        <v/>
      </c>
      <c r="B1128" s="54" t="str">
        <f>IFERROR(IF(INDEX(SPOT_Import!$A$1:$Z$2488,1128,'Live Data'!$C$13)="","",INDEX(SPOT_Import!$A$1:$Z$2488,1128,'Live Data'!$C$13)),"")</f>
        <v/>
      </c>
      <c r="C1128" s="54" t="str">
        <f>IFERROR(IF(INDEX(SPOT_Import!$A$1:$Z$2488,1128,'Live Data'!$C$14)="","",INDEX(SPOT_Import!$A$1:$Z$2488,1128,'Live Data'!$C$14)),"")</f>
        <v/>
      </c>
      <c r="D1128" s="54" t="str">
        <f>IFERROR(IF(INDEX(SPOT_Import!$A$1:$Z$2488,1128,'Live Data'!$C$15)="","",INDEX(SPOT_Import!$A$1:$Z$2488,1128,'Live Data'!$C$15)),"")</f>
        <v/>
      </c>
      <c r="E1128" s="54" t="str">
        <f>IFERROR(IF(INDEX(SPOT_Import!$A$1:$Z$2488,1128,'Live Data'!$C$16)="","",INDEX(SPOT_Import!$A$1:$Z$2488,1128,'Live Data'!$C$16)),"")</f>
        <v/>
      </c>
      <c r="F1128" s="54" t="str">
        <f>IFERROR(IF(INDEX(SPOT_Import!$A$1:$Z$2488,1128,'Live Data'!$C$17)="","",INDEX(SPOT_Import!$A$1:$Z$2488,1128,'Live Data'!$C$17)),"")</f>
        <v/>
      </c>
      <c r="G1128" s="54" t="str">
        <f>IFERROR(IF(INDEX(SPOT_Import!$A$1:$Z$2488,1128,'Live Data'!$C$18)="","",INDEX(SPOT_Import!$A$1:$Z$2488,1128,'Live Data'!$C$18)),"")</f>
        <v/>
      </c>
      <c r="H1128" s="54" t="str">
        <f>IFERROR(IF(INDEX(SPOT_Import!$A$1:$Z$2488,1128,'Live Data'!$C$19)="","",INDEX(SPOT_Import!$A$1:$Z$2488,1128,'Live Data'!$C$19)),"")</f>
        <v/>
      </c>
      <c r="I1128" s="54" t="str">
        <f>IFERROR(IF(INDEX(SPOT_Import!$A$1:$Z$2488,1128,'Live Data'!$C$20)="","",INDEX(SPOT_Import!$A$1:$Z$2488,1128,'Live Data'!$C$20)),"")</f>
        <v/>
      </c>
      <c r="J1128" s="54" t="str">
        <f>IFERROR(IF(INDEX(SPOT_Import!$A$1:$Z$2488,1128,'Live Data'!$C$21)="","",INDEX(SPOT_Import!$A$1:$Z$2488,1128,'Live Data'!$C$21)),"")</f>
        <v/>
      </c>
      <c r="K1128" s="54" t="str">
        <f>IFERROR(IF(INDEX(SPOT_Import!$A$1:$Z$2488,1128,'Live Data'!$C$22)="","",INDEX(SPOT_Import!$A$1:$Z$2488,1128,'Live Data'!$C$22)),"")</f>
        <v/>
      </c>
      <c r="L1128" s="55" t="str">
        <f t="shared" si="34"/>
        <v/>
      </c>
      <c r="M1128" s="55" t="str">
        <f t="shared" si="35"/>
        <v/>
      </c>
      <c r="N1128" s="55" t="str">
        <f>IF(A1128="","",IFERROR(INDEX('Cluster Map'!$A$4:$A$38,MATCH(M1128,'Cluster Map'!$B$4:$B$38,0)),"Unmapped"))</f>
        <v/>
      </c>
      <c r="O1128" s="55">
        <f>IF(A1128="",0,IF(COUNTIFS($A$2:A1128,A1128,$F$2:F1128,F1128,$L$2:L1128,L1128)=1,1,0))</f>
        <v>0</v>
      </c>
      <c r="P1128" s="55">
        <f>IF(A1128="",0,IF(AND(F1128="C&amp;T",COUNTIFS($A$2:A1128,A1128,$F$2:F1128,"C&amp;T")=1),1,0))</f>
        <v>0</v>
      </c>
    </row>
    <row r="1129" spans="1:16" x14ac:dyDescent="0.35">
      <c r="A1129" s="54" t="str">
        <f>IFERROR(IF(INDEX(SPOT_Import!$A$1:$Z$2488,1129,'Live Data'!$C$12)="","",INDEX(SPOT_Import!$A$1:$Z$2488,1129,'Live Data'!$C$12)),"")</f>
        <v/>
      </c>
      <c r="B1129" s="54" t="str">
        <f>IFERROR(IF(INDEX(SPOT_Import!$A$1:$Z$2488,1129,'Live Data'!$C$13)="","",INDEX(SPOT_Import!$A$1:$Z$2488,1129,'Live Data'!$C$13)),"")</f>
        <v/>
      </c>
      <c r="C1129" s="54" t="str">
        <f>IFERROR(IF(INDEX(SPOT_Import!$A$1:$Z$2488,1129,'Live Data'!$C$14)="","",INDEX(SPOT_Import!$A$1:$Z$2488,1129,'Live Data'!$C$14)),"")</f>
        <v/>
      </c>
      <c r="D1129" s="54" t="str">
        <f>IFERROR(IF(INDEX(SPOT_Import!$A$1:$Z$2488,1129,'Live Data'!$C$15)="","",INDEX(SPOT_Import!$A$1:$Z$2488,1129,'Live Data'!$C$15)),"")</f>
        <v/>
      </c>
      <c r="E1129" s="54" t="str">
        <f>IFERROR(IF(INDEX(SPOT_Import!$A$1:$Z$2488,1129,'Live Data'!$C$16)="","",INDEX(SPOT_Import!$A$1:$Z$2488,1129,'Live Data'!$C$16)),"")</f>
        <v/>
      </c>
      <c r="F1129" s="54" t="str">
        <f>IFERROR(IF(INDEX(SPOT_Import!$A$1:$Z$2488,1129,'Live Data'!$C$17)="","",INDEX(SPOT_Import!$A$1:$Z$2488,1129,'Live Data'!$C$17)),"")</f>
        <v/>
      </c>
      <c r="G1129" s="54" t="str">
        <f>IFERROR(IF(INDEX(SPOT_Import!$A$1:$Z$2488,1129,'Live Data'!$C$18)="","",INDEX(SPOT_Import!$A$1:$Z$2488,1129,'Live Data'!$C$18)),"")</f>
        <v/>
      </c>
      <c r="H1129" s="54" t="str">
        <f>IFERROR(IF(INDEX(SPOT_Import!$A$1:$Z$2488,1129,'Live Data'!$C$19)="","",INDEX(SPOT_Import!$A$1:$Z$2488,1129,'Live Data'!$C$19)),"")</f>
        <v/>
      </c>
      <c r="I1129" s="54" t="str">
        <f>IFERROR(IF(INDEX(SPOT_Import!$A$1:$Z$2488,1129,'Live Data'!$C$20)="","",INDEX(SPOT_Import!$A$1:$Z$2488,1129,'Live Data'!$C$20)),"")</f>
        <v/>
      </c>
      <c r="J1129" s="54" t="str">
        <f>IFERROR(IF(INDEX(SPOT_Import!$A$1:$Z$2488,1129,'Live Data'!$C$21)="","",INDEX(SPOT_Import!$A$1:$Z$2488,1129,'Live Data'!$C$21)),"")</f>
        <v/>
      </c>
      <c r="K1129" s="54" t="str">
        <f>IFERROR(IF(INDEX(SPOT_Import!$A$1:$Z$2488,1129,'Live Data'!$C$22)="","",INDEX(SPOT_Import!$A$1:$Z$2488,1129,'Live Data'!$C$22)),"")</f>
        <v/>
      </c>
      <c r="L1129" s="55" t="str">
        <f t="shared" si="34"/>
        <v/>
      </c>
      <c r="M1129" s="55" t="str">
        <f t="shared" si="35"/>
        <v/>
      </c>
      <c r="N1129" s="55" t="str">
        <f>IF(A1129="","",IFERROR(INDEX('Cluster Map'!$A$4:$A$38,MATCH(M1129,'Cluster Map'!$B$4:$B$38,0)),"Unmapped"))</f>
        <v/>
      </c>
      <c r="O1129" s="55">
        <f>IF(A1129="",0,IF(COUNTIFS($A$2:A1129,A1129,$F$2:F1129,F1129,$L$2:L1129,L1129)=1,1,0))</f>
        <v>0</v>
      </c>
      <c r="P1129" s="55">
        <f>IF(A1129="",0,IF(AND(F1129="C&amp;T",COUNTIFS($A$2:A1129,A1129,$F$2:F1129,"C&amp;T")=1),1,0))</f>
        <v>0</v>
      </c>
    </row>
    <row r="1130" spans="1:16" x14ac:dyDescent="0.35">
      <c r="A1130" s="54" t="str">
        <f>IFERROR(IF(INDEX(SPOT_Import!$A$1:$Z$2488,1130,'Live Data'!$C$12)="","",INDEX(SPOT_Import!$A$1:$Z$2488,1130,'Live Data'!$C$12)),"")</f>
        <v/>
      </c>
      <c r="B1130" s="54" t="str">
        <f>IFERROR(IF(INDEX(SPOT_Import!$A$1:$Z$2488,1130,'Live Data'!$C$13)="","",INDEX(SPOT_Import!$A$1:$Z$2488,1130,'Live Data'!$C$13)),"")</f>
        <v/>
      </c>
      <c r="C1130" s="54" t="str">
        <f>IFERROR(IF(INDEX(SPOT_Import!$A$1:$Z$2488,1130,'Live Data'!$C$14)="","",INDEX(SPOT_Import!$A$1:$Z$2488,1130,'Live Data'!$C$14)),"")</f>
        <v/>
      </c>
      <c r="D1130" s="54" t="str">
        <f>IFERROR(IF(INDEX(SPOT_Import!$A$1:$Z$2488,1130,'Live Data'!$C$15)="","",INDEX(SPOT_Import!$A$1:$Z$2488,1130,'Live Data'!$C$15)),"")</f>
        <v/>
      </c>
      <c r="E1130" s="54" t="str">
        <f>IFERROR(IF(INDEX(SPOT_Import!$A$1:$Z$2488,1130,'Live Data'!$C$16)="","",INDEX(SPOT_Import!$A$1:$Z$2488,1130,'Live Data'!$C$16)),"")</f>
        <v/>
      </c>
      <c r="F1130" s="54" t="str">
        <f>IFERROR(IF(INDEX(SPOT_Import!$A$1:$Z$2488,1130,'Live Data'!$C$17)="","",INDEX(SPOT_Import!$A$1:$Z$2488,1130,'Live Data'!$C$17)),"")</f>
        <v/>
      </c>
      <c r="G1130" s="54" t="str">
        <f>IFERROR(IF(INDEX(SPOT_Import!$A$1:$Z$2488,1130,'Live Data'!$C$18)="","",INDEX(SPOT_Import!$A$1:$Z$2488,1130,'Live Data'!$C$18)),"")</f>
        <v/>
      </c>
      <c r="H1130" s="54" t="str">
        <f>IFERROR(IF(INDEX(SPOT_Import!$A$1:$Z$2488,1130,'Live Data'!$C$19)="","",INDEX(SPOT_Import!$A$1:$Z$2488,1130,'Live Data'!$C$19)),"")</f>
        <v/>
      </c>
      <c r="I1130" s="54" t="str">
        <f>IFERROR(IF(INDEX(SPOT_Import!$A$1:$Z$2488,1130,'Live Data'!$C$20)="","",INDEX(SPOT_Import!$A$1:$Z$2488,1130,'Live Data'!$C$20)),"")</f>
        <v/>
      </c>
      <c r="J1130" s="54" t="str">
        <f>IFERROR(IF(INDEX(SPOT_Import!$A$1:$Z$2488,1130,'Live Data'!$C$21)="","",INDEX(SPOT_Import!$A$1:$Z$2488,1130,'Live Data'!$C$21)),"")</f>
        <v/>
      </c>
      <c r="K1130" s="54" t="str">
        <f>IFERROR(IF(INDEX(SPOT_Import!$A$1:$Z$2488,1130,'Live Data'!$C$22)="","",INDEX(SPOT_Import!$A$1:$Z$2488,1130,'Live Data'!$C$22)),"")</f>
        <v/>
      </c>
      <c r="L1130" s="55" t="str">
        <f t="shared" si="34"/>
        <v/>
      </c>
      <c r="M1130" s="55" t="str">
        <f t="shared" si="35"/>
        <v/>
      </c>
      <c r="N1130" s="55" t="str">
        <f>IF(A1130="","",IFERROR(INDEX('Cluster Map'!$A$4:$A$38,MATCH(M1130,'Cluster Map'!$B$4:$B$38,0)),"Unmapped"))</f>
        <v/>
      </c>
      <c r="O1130" s="55">
        <f>IF(A1130="",0,IF(COUNTIFS($A$2:A1130,A1130,$F$2:F1130,F1130,$L$2:L1130,L1130)=1,1,0))</f>
        <v>0</v>
      </c>
      <c r="P1130" s="55">
        <f>IF(A1130="",0,IF(AND(F1130="C&amp;T",COUNTIFS($A$2:A1130,A1130,$F$2:F1130,"C&amp;T")=1),1,0))</f>
        <v>0</v>
      </c>
    </row>
    <row r="1131" spans="1:16" x14ac:dyDescent="0.35">
      <c r="A1131" s="54" t="str">
        <f>IFERROR(IF(INDEX(SPOT_Import!$A$1:$Z$2488,1131,'Live Data'!$C$12)="","",INDEX(SPOT_Import!$A$1:$Z$2488,1131,'Live Data'!$C$12)),"")</f>
        <v/>
      </c>
      <c r="B1131" s="54" t="str">
        <f>IFERROR(IF(INDEX(SPOT_Import!$A$1:$Z$2488,1131,'Live Data'!$C$13)="","",INDEX(SPOT_Import!$A$1:$Z$2488,1131,'Live Data'!$C$13)),"")</f>
        <v/>
      </c>
      <c r="C1131" s="54" t="str">
        <f>IFERROR(IF(INDEX(SPOT_Import!$A$1:$Z$2488,1131,'Live Data'!$C$14)="","",INDEX(SPOT_Import!$A$1:$Z$2488,1131,'Live Data'!$C$14)),"")</f>
        <v/>
      </c>
      <c r="D1131" s="54" t="str">
        <f>IFERROR(IF(INDEX(SPOT_Import!$A$1:$Z$2488,1131,'Live Data'!$C$15)="","",INDEX(SPOT_Import!$A$1:$Z$2488,1131,'Live Data'!$C$15)),"")</f>
        <v/>
      </c>
      <c r="E1131" s="54" t="str">
        <f>IFERROR(IF(INDEX(SPOT_Import!$A$1:$Z$2488,1131,'Live Data'!$C$16)="","",INDEX(SPOT_Import!$A$1:$Z$2488,1131,'Live Data'!$C$16)),"")</f>
        <v/>
      </c>
      <c r="F1131" s="54" t="str">
        <f>IFERROR(IF(INDEX(SPOT_Import!$A$1:$Z$2488,1131,'Live Data'!$C$17)="","",INDEX(SPOT_Import!$A$1:$Z$2488,1131,'Live Data'!$C$17)),"")</f>
        <v/>
      </c>
      <c r="G1131" s="54" t="str">
        <f>IFERROR(IF(INDEX(SPOT_Import!$A$1:$Z$2488,1131,'Live Data'!$C$18)="","",INDEX(SPOT_Import!$A$1:$Z$2488,1131,'Live Data'!$C$18)),"")</f>
        <v/>
      </c>
      <c r="H1131" s="54" t="str">
        <f>IFERROR(IF(INDEX(SPOT_Import!$A$1:$Z$2488,1131,'Live Data'!$C$19)="","",INDEX(SPOT_Import!$A$1:$Z$2488,1131,'Live Data'!$C$19)),"")</f>
        <v/>
      </c>
      <c r="I1131" s="54" t="str">
        <f>IFERROR(IF(INDEX(SPOT_Import!$A$1:$Z$2488,1131,'Live Data'!$C$20)="","",INDEX(SPOT_Import!$A$1:$Z$2488,1131,'Live Data'!$C$20)),"")</f>
        <v/>
      </c>
      <c r="J1131" s="54" t="str">
        <f>IFERROR(IF(INDEX(SPOT_Import!$A$1:$Z$2488,1131,'Live Data'!$C$21)="","",INDEX(SPOT_Import!$A$1:$Z$2488,1131,'Live Data'!$C$21)),"")</f>
        <v/>
      </c>
      <c r="K1131" s="54" t="str">
        <f>IFERROR(IF(INDEX(SPOT_Import!$A$1:$Z$2488,1131,'Live Data'!$C$22)="","",INDEX(SPOT_Import!$A$1:$Z$2488,1131,'Live Data'!$C$22)),"")</f>
        <v/>
      </c>
      <c r="L1131" s="55" t="str">
        <f t="shared" si="34"/>
        <v/>
      </c>
      <c r="M1131" s="55" t="str">
        <f t="shared" si="35"/>
        <v/>
      </c>
      <c r="N1131" s="55" t="str">
        <f>IF(A1131="","",IFERROR(INDEX('Cluster Map'!$A$4:$A$38,MATCH(M1131,'Cluster Map'!$B$4:$B$38,0)),"Unmapped"))</f>
        <v/>
      </c>
      <c r="O1131" s="55">
        <f>IF(A1131="",0,IF(COUNTIFS($A$2:A1131,A1131,$F$2:F1131,F1131,$L$2:L1131,L1131)=1,1,0))</f>
        <v>0</v>
      </c>
      <c r="P1131" s="55">
        <f>IF(A1131="",0,IF(AND(F1131="C&amp;T",COUNTIFS($A$2:A1131,A1131,$F$2:F1131,"C&amp;T")=1),1,0))</f>
        <v>0</v>
      </c>
    </row>
    <row r="1132" spans="1:16" x14ac:dyDescent="0.35">
      <c r="A1132" s="54" t="str">
        <f>IFERROR(IF(INDEX(SPOT_Import!$A$1:$Z$2488,1132,'Live Data'!$C$12)="","",INDEX(SPOT_Import!$A$1:$Z$2488,1132,'Live Data'!$C$12)),"")</f>
        <v/>
      </c>
      <c r="B1132" s="54" t="str">
        <f>IFERROR(IF(INDEX(SPOT_Import!$A$1:$Z$2488,1132,'Live Data'!$C$13)="","",INDEX(SPOT_Import!$A$1:$Z$2488,1132,'Live Data'!$C$13)),"")</f>
        <v/>
      </c>
      <c r="C1132" s="54" t="str">
        <f>IFERROR(IF(INDEX(SPOT_Import!$A$1:$Z$2488,1132,'Live Data'!$C$14)="","",INDEX(SPOT_Import!$A$1:$Z$2488,1132,'Live Data'!$C$14)),"")</f>
        <v/>
      </c>
      <c r="D1132" s="54" t="str">
        <f>IFERROR(IF(INDEX(SPOT_Import!$A$1:$Z$2488,1132,'Live Data'!$C$15)="","",INDEX(SPOT_Import!$A$1:$Z$2488,1132,'Live Data'!$C$15)),"")</f>
        <v/>
      </c>
      <c r="E1132" s="54" t="str">
        <f>IFERROR(IF(INDEX(SPOT_Import!$A$1:$Z$2488,1132,'Live Data'!$C$16)="","",INDEX(SPOT_Import!$A$1:$Z$2488,1132,'Live Data'!$C$16)),"")</f>
        <v/>
      </c>
      <c r="F1132" s="54" t="str">
        <f>IFERROR(IF(INDEX(SPOT_Import!$A$1:$Z$2488,1132,'Live Data'!$C$17)="","",INDEX(SPOT_Import!$A$1:$Z$2488,1132,'Live Data'!$C$17)),"")</f>
        <v/>
      </c>
      <c r="G1132" s="54" t="str">
        <f>IFERROR(IF(INDEX(SPOT_Import!$A$1:$Z$2488,1132,'Live Data'!$C$18)="","",INDEX(SPOT_Import!$A$1:$Z$2488,1132,'Live Data'!$C$18)),"")</f>
        <v/>
      </c>
      <c r="H1132" s="54" t="str">
        <f>IFERROR(IF(INDEX(SPOT_Import!$A$1:$Z$2488,1132,'Live Data'!$C$19)="","",INDEX(SPOT_Import!$A$1:$Z$2488,1132,'Live Data'!$C$19)),"")</f>
        <v/>
      </c>
      <c r="I1132" s="54" t="str">
        <f>IFERROR(IF(INDEX(SPOT_Import!$A$1:$Z$2488,1132,'Live Data'!$C$20)="","",INDEX(SPOT_Import!$A$1:$Z$2488,1132,'Live Data'!$C$20)),"")</f>
        <v/>
      </c>
      <c r="J1132" s="54" t="str">
        <f>IFERROR(IF(INDEX(SPOT_Import!$A$1:$Z$2488,1132,'Live Data'!$C$21)="","",INDEX(SPOT_Import!$A$1:$Z$2488,1132,'Live Data'!$C$21)),"")</f>
        <v/>
      </c>
      <c r="K1132" s="54" t="str">
        <f>IFERROR(IF(INDEX(SPOT_Import!$A$1:$Z$2488,1132,'Live Data'!$C$22)="","",INDEX(SPOT_Import!$A$1:$Z$2488,1132,'Live Data'!$C$22)),"")</f>
        <v/>
      </c>
      <c r="L1132" s="55" t="str">
        <f t="shared" si="34"/>
        <v/>
      </c>
      <c r="M1132" s="55" t="str">
        <f t="shared" si="35"/>
        <v/>
      </c>
      <c r="N1132" s="55" t="str">
        <f>IF(A1132="","",IFERROR(INDEX('Cluster Map'!$A$4:$A$38,MATCH(M1132,'Cluster Map'!$B$4:$B$38,0)),"Unmapped"))</f>
        <v/>
      </c>
      <c r="O1132" s="55">
        <f>IF(A1132="",0,IF(COUNTIFS($A$2:A1132,A1132,$F$2:F1132,F1132,$L$2:L1132,L1132)=1,1,0))</f>
        <v>0</v>
      </c>
      <c r="P1132" s="55">
        <f>IF(A1132="",0,IF(AND(F1132="C&amp;T",COUNTIFS($A$2:A1132,A1132,$F$2:F1132,"C&amp;T")=1),1,0))</f>
        <v>0</v>
      </c>
    </row>
    <row r="1133" spans="1:16" x14ac:dyDescent="0.35">
      <c r="A1133" s="54" t="str">
        <f>IFERROR(IF(INDEX(SPOT_Import!$A$1:$Z$2488,1133,'Live Data'!$C$12)="","",INDEX(SPOT_Import!$A$1:$Z$2488,1133,'Live Data'!$C$12)),"")</f>
        <v/>
      </c>
      <c r="B1133" s="54" t="str">
        <f>IFERROR(IF(INDEX(SPOT_Import!$A$1:$Z$2488,1133,'Live Data'!$C$13)="","",INDEX(SPOT_Import!$A$1:$Z$2488,1133,'Live Data'!$C$13)),"")</f>
        <v/>
      </c>
      <c r="C1133" s="54" t="str">
        <f>IFERROR(IF(INDEX(SPOT_Import!$A$1:$Z$2488,1133,'Live Data'!$C$14)="","",INDEX(SPOT_Import!$A$1:$Z$2488,1133,'Live Data'!$C$14)),"")</f>
        <v/>
      </c>
      <c r="D1133" s="54" t="str">
        <f>IFERROR(IF(INDEX(SPOT_Import!$A$1:$Z$2488,1133,'Live Data'!$C$15)="","",INDEX(SPOT_Import!$A$1:$Z$2488,1133,'Live Data'!$C$15)),"")</f>
        <v/>
      </c>
      <c r="E1133" s="54" t="str">
        <f>IFERROR(IF(INDEX(SPOT_Import!$A$1:$Z$2488,1133,'Live Data'!$C$16)="","",INDEX(SPOT_Import!$A$1:$Z$2488,1133,'Live Data'!$C$16)),"")</f>
        <v/>
      </c>
      <c r="F1133" s="54" t="str">
        <f>IFERROR(IF(INDEX(SPOT_Import!$A$1:$Z$2488,1133,'Live Data'!$C$17)="","",INDEX(SPOT_Import!$A$1:$Z$2488,1133,'Live Data'!$C$17)),"")</f>
        <v/>
      </c>
      <c r="G1133" s="54" t="str">
        <f>IFERROR(IF(INDEX(SPOT_Import!$A$1:$Z$2488,1133,'Live Data'!$C$18)="","",INDEX(SPOT_Import!$A$1:$Z$2488,1133,'Live Data'!$C$18)),"")</f>
        <v/>
      </c>
      <c r="H1133" s="54" t="str">
        <f>IFERROR(IF(INDEX(SPOT_Import!$A$1:$Z$2488,1133,'Live Data'!$C$19)="","",INDEX(SPOT_Import!$A$1:$Z$2488,1133,'Live Data'!$C$19)),"")</f>
        <v/>
      </c>
      <c r="I1133" s="54" t="str">
        <f>IFERROR(IF(INDEX(SPOT_Import!$A$1:$Z$2488,1133,'Live Data'!$C$20)="","",INDEX(SPOT_Import!$A$1:$Z$2488,1133,'Live Data'!$C$20)),"")</f>
        <v/>
      </c>
      <c r="J1133" s="54" t="str">
        <f>IFERROR(IF(INDEX(SPOT_Import!$A$1:$Z$2488,1133,'Live Data'!$C$21)="","",INDEX(SPOT_Import!$A$1:$Z$2488,1133,'Live Data'!$C$21)),"")</f>
        <v/>
      </c>
      <c r="K1133" s="54" t="str">
        <f>IFERROR(IF(INDEX(SPOT_Import!$A$1:$Z$2488,1133,'Live Data'!$C$22)="","",INDEX(SPOT_Import!$A$1:$Z$2488,1133,'Live Data'!$C$22)),"")</f>
        <v/>
      </c>
      <c r="L1133" s="55" t="str">
        <f t="shared" si="34"/>
        <v/>
      </c>
      <c r="M1133" s="55" t="str">
        <f t="shared" si="35"/>
        <v/>
      </c>
      <c r="N1133" s="55" t="str">
        <f>IF(A1133="","",IFERROR(INDEX('Cluster Map'!$A$4:$A$38,MATCH(M1133,'Cluster Map'!$B$4:$B$38,0)),"Unmapped"))</f>
        <v/>
      </c>
      <c r="O1133" s="55">
        <f>IF(A1133="",0,IF(COUNTIFS($A$2:A1133,A1133,$F$2:F1133,F1133,$L$2:L1133,L1133)=1,1,0))</f>
        <v>0</v>
      </c>
      <c r="P1133" s="55">
        <f>IF(A1133="",0,IF(AND(F1133="C&amp;T",COUNTIFS($A$2:A1133,A1133,$F$2:F1133,"C&amp;T")=1),1,0))</f>
        <v>0</v>
      </c>
    </row>
    <row r="1134" spans="1:16" x14ac:dyDescent="0.35">
      <c r="A1134" s="54" t="str">
        <f>IFERROR(IF(INDEX(SPOT_Import!$A$1:$Z$2488,1134,'Live Data'!$C$12)="","",INDEX(SPOT_Import!$A$1:$Z$2488,1134,'Live Data'!$C$12)),"")</f>
        <v/>
      </c>
      <c r="B1134" s="54" t="str">
        <f>IFERROR(IF(INDEX(SPOT_Import!$A$1:$Z$2488,1134,'Live Data'!$C$13)="","",INDEX(SPOT_Import!$A$1:$Z$2488,1134,'Live Data'!$C$13)),"")</f>
        <v/>
      </c>
      <c r="C1134" s="54" t="str">
        <f>IFERROR(IF(INDEX(SPOT_Import!$A$1:$Z$2488,1134,'Live Data'!$C$14)="","",INDEX(SPOT_Import!$A$1:$Z$2488,1134,'Live Data'!$C$14)),"")</f>
        <v/>
      </c>
      <c r="D1134" s="54" t="str">
        <f>IFERROR(IF(INDEX(SPOT_Import!$A$1:$Z$2488,1134,'Live Data'!$C$15)="","",INDEX(SPOT_Import!$A$1:$Z$2488,1134,'Live Data'!$C$15)),"")</f>
        <v/>
      </c>
      <c r="E1134" s="54" t="str">
        <f>IFERROR(IF(INDEX(SPOT_Import!$A$1:$Z$2488,1134,'Live Data'!$C$16)="","",INDEX(SPOT_Import!$A$1:$Z$2488,1134,'Live Data'!$C$16)),"")</f>
        <v/>
      </c>
      <c r="F1134" s="54" t="str">
        <f>IFERROR(IF(INDEX(SPOT_Import!$A$1:$Z$2488,1134,'Live Data'!$C$17)="","",INDEX(SPOT_Import!$A$1:$Z$2488,1134,'Live Data'!$C$17)),"")</f>
        <v/>
      </c>
      <c r="G1134" s="54" t="str">
        <f>IFERROR(IF(INDEX(SPOT_Import!$A$1:$Z$2488,1134,'Live Data'!$C$18)="","",INDEX(SPOT_Import!$A$1:$Z$2488,1134,'Live Data'!$C$18)),"")</f>
        <v/>
      </c>
      <c r="H1134" s="54" t="str">
        <f>IFERROR(IF(INDEX(SPOT_Import!$A$1:$Z$2488,1134,'Live Data'!$C$19)="","",INDEX(SPOT_Import!$A$1:$Z$2488,1134,'Live Data'!$C$19)),"")</f>
        <v/>
      </c>
      <c r="I1134" s="54" t="str">
        <f>IFERROR(IF(INDEX(SPOT_Import!$A$1:$Z$2488,1134,'Live Data'!$C$20)="","",INDEX(SPOT_Import!$A$1:$Z$2488,1134,'Live Data'!$C$20)),"")</f>
        <v/>
      </c>
      <c r="J1134" s="54" t="str">
        <f>IFERROR(IF(INDEX(SPOT_Import!$A$1:$Z$2488,1134,'Live Data'!$C$21)="","",INDEX(SPOT_Import!$A$1:$Z$2488,1134,'Live Data'!$C$21)),"")</f>
        <v/>
      </c>
      <c r="K1134" s="54" t="str">
        <f>IFERROR(IF(INDEX(SPOT_Import!$A$1:$Z$2488,1134,'Live Data'!$C$22)="","",INDEX(SPOT_Import!$A$1:$Z$2488,1134,'Live Data'!$C$22)),"")</f>
        <v/>
      </c>
      <c r="L1134" s="55" t="str">
        <f t="shared" si="34"/>
        <v/>
      </c>
      <c r="M1134" s="55" t="str">
        <f t="shared" si="35"/>
        <v/>
      </c>
      <c r="N1134" s="55" t="str">
        <f>IF(A1134="","",IFERROR(INDEX('Cluster Map'!$A$4:$A$38,MATCH(M1134,'Cluster Map'!$B$4:$B$38,0)),"Unmapped"))</f>
        <v/>
      </c>
      <c r="O1134" s="55">
        <f>IF(A1134="",0,IF(COUNTIFS($A$2:A1134,A1134,$F$2:F1134,F1134,$L$2:L1134,L1134)=1,1,0))</f>
        <v>0</v>
      </c>
      <c r="P1134" s="55">
        <f>IF(A1134="",0,IF(AND(F1134="C&amp;T",COUNTIFS($A$2:A1134,A1134,$F$2:F1134,"C&amp;T")=1),1,0))</f>
        <v>0</v>
      </c>
    </row>
    <row r="1135" spans="1:16" x14ac:dyDescent="0.35">
      <c r="A1135" s="54" t="str">
        <f>IFERROR(IF(INDEX(SPOT_Import!$A$1:$Z$2488,1135,'Live Data'!$C$12)="","",INDEX(SPOT_Import!$A$1:$Z$2488,1135,'Live Data'!$C$12)),"")</f>
        <v/>
      </c>
      <c r="B1135" s="54" t="str">
        <f>IFERROR(IF(INDEX(SPOT_Import!$A$1:$Z$2488,1135,'Live Data'!$C$13)="","",INDEX(SPOT_Import!$A$1:$Z$2488,1135,'Live Data'!$C$13)),"")</f>
        <v/>
      </c>
      <c r="C1135" s="54" t="str">
        <f>IFERROR(IF(INDEX(SPOT_Import!$A$1:$Z$2488,1135,'Live Data'!$C$14)="","",INDEX(SPOT_Import!$A$1:$Z$2488,1135,'Live Data'!$C$14)),"")</f>
        <v/>
      </c>
      <c r="D1135" s="54" t="str">
        <f>IFERROR(IF(INDEX(SPOT_Import!$A$1:$Z$2488,1135,'Live Data'!$C$15)="","",INDEX(SPOT_Import!$A$1:$Z$2488,1135,'Live Data'!$C$15)),"")</f>
        <v/>
      </c>
      <c r="E1135" s="54" t="str">
        <f>IFERROR(IF(INDEX(SPOT_Import!$A$1:$Z$2488,1135,'Live Data'!$C$16)="","",INDEX(SPOT_Import!$A$1:$Z$2488,1135,'Live Data'!$C$16)),"")</f>
        <v/>
      </c>
      <c r="F1135" s="54" t="str">
        <f>IFERROR(IF(INDEX(SPOT_Import!$A$1:$Z$2488,1135,'Live Data'!$C$17)="","",INDEX(SPOT_Import!$A$1:$Z$2488,1135,'Live Data'!$C$17)),"")</f>
        <v/>
      </c>
      <c r="G1135" s="54" t="str">
        <f>IFERROR(IF(INDEX(SPOT_Import!$A$1:$Z$2488,1135,'Live Data'!$C$18)="","",INDEX(SPOT_Import!$A$1:$Z$2488,1135,'Live Data'!$C$18)),"")</f>
        <v/>
      </c>
      <c r="H1135" s="54" t="str">
        <f>IFERROR(IF(INDEX(SPOT_Import!$A$1:$Z$2488,1135,'Live Data'!$C$19)="","",INDEX(SPOT_Import!$A$1:$Z$2488,1135,'Live Data'!$C$19)),"")</f>
        <v/>
      </c>
      <c r="I1135" s="54" t="str">
        <f>IFERROR(IF(INDEX(SPOT_Import!$A$1:$Z$2488,1135,'Live Data'!$C$20)="","",INDEX(SPOT_Import!$A$1:$Z$2488,1135,'Live Data'!$C$20)),"")</f>
        <v/>
      </c>
      <c r="J1135" s="54" t="str">
        <f>IFERROR(IF(INDEX(SPOT_Import!$A$1:$Z$2488,1135,'Live Data'!$C$21)="","",INDEX(SPOT_Import!$A$1:$Z$2488,1135,'Live Data'!$C$21)),"")</f>
        <v/>
      </c>
      <c r="K1135" s="54" t="str">
        <f>IFERROR(IF(INDEX(SPOT_Import!$A$1:$Z$2488,1135,'Live Data'!$C$22)="","",INDEX(SPOT_Import!$A$1:$Z$2488,1135,'Live Data'!$C$22)),"")</f>
        <v/>
      </c>
      <c r="L1135" s="55" t="str">
        <f t="shared" si="34"/>
        <v/>
      </c>
      <c r="M1135" s="55" t="str">
        <f t="shared" si="35"/>
        <v/>
      </c>
      <c r="N1135" s="55" t="str">
        <f>IF(A1135="","",IFERROR(INDEX('Cluster Map'!$A$4:$A$38,MATCH(M1135,'Cluster Map'!$B$4:$B$38,0)),"Unmapped"))</f>
        <v/>
      </c>
      <c r="O1135" s="55">
        <f>IF(A1135="",0,IF(COUNTIFS($A$2:A1135,A1135,$F$2:F1135,F1135,$L$2:L1135,L1135)=1,1,0))</f>
        <v>0</v>
      </c>
      <c r="P1135" s="55">
        <f>IF(A1135="",0,IF(AND(F1135="C&amp;T",COUNTIFS($A$2:A1135,A1135,$F$2:F1135,"C&amp;T")=1),1,0))</f>
        <v>0</v>
      </c>
    </row>
    <row r="1136" spans="1:16" x14ac:dyDescent="0.35">
      <c r="A1136" s="54" t="str">
        <f>IFERROR(IF(INDEX(SPOT_Import!$A$1:$Z$2488,1136,'Live Data'!$C$12)="","",INDEX(SPOT_Import!$A$1:$Z$2488,1136,'Live Data'!$C$12)),"")</f>
        <v/>
      </c>
      <c r="B1136" s="54" t="str">
        <f>IFERROR(IF(INDEX(SPOT_Import!$A$1:$Z$2488,1136,'Live Data'!$C$13)="","",INDEX(SPOT_Import!$A$1:$Z$2488,1136,'Live Data'!$C$13)),"")</f>
        <v/>
      </c>
      <c r="C1136" s="54" t="str">
        <f>IFERROR(IF(INDEX(SPOT_Import!$A$1:$Z$2488,1136,'Live Data'!$C$14)="","",INDEX(SPOT_Import!$A$1:$Z$2488,1136,'Live Data'!$C$14)),"")</f>
        <v/>
      </c>
      <c r="D1136" s="54" t="str">
        <f>IFERROR(IF(INDEX(SPOT_Import!$A$1:$Z$2488,1136,'Live Data'!$C$15)="","",INDEX(SPOT_Import!$A$1:$Z$2488,1136,'Live Data'!$C$15)),"")</f>
        <v/>
      </c>
      <c r="E1136" s="54" t="str">
        <f>IFERROR(IF(INDEX(SPOT_Import!$A$1:$Z$2488,1136,'Live Data'!$C$16)="","",INDEX(SPOT_Import!$A$1:$Z$2488,1136,'Live Data'!$C$16)),"")</f>
        <v/>
      </c>
      <c r="F1136" s="54" t="str">
        <f>IFERROR(IF(INDEX(SPOT_Import!$A$1:$Z$2488,1136,'Live Data'!$C$17)="","",INDEX(SPOT_Import!$A$1:$Z$2488,1136,'Live Data'!$C$17)),"")</f>
        <v/>
      </c>
      <c r="G1136" s="54" t="str">
        <f>IFERROR(IF(INDEX(SPOT_Import!$A$1:$Z$2488,1136,'Live Data'!$C$18)="","",INDEX(SPOT_Import!$A$1:$Z$2488,1136,'Live Data'!$C$18)),"")</f>
        <v/>
      </c>
      <c r="H1136" s="54" t="str">
        <f>IFERROR(IF(INDEX(SPOT_Import!$A$1:$Z$2488,1136,'Live Data'!$C$19)="","",INDEX(SPOT_Import!$A$1:$Z$2488,1136,'Live Data'!$C$19)),"")</f>
        <v/>
      </c>
      <c r="I1136" s="54" t="str">
        <f>IFERROR(IF(INDEX(SPOT_Import!$A$1:$Z$2488,1136,'Live Data'!$C$20)="","",INDEX(SPOT_Import!$A$1:$Z$2488,1136,'Live Data'!$C$20)),"")</f>
        <v/>
      </c>
      <c r="J1136" s="54" t="str">
        <f>IFERROR(IF(INDEX(SPOT_Import!$A$1:$Z$2488,1136,'Live Data'!$C$21)="","",INDEX(SPOT_Import!$A$1:$Z$2488,1136,'Live Data'!$C$21)),"")</f>
        <v/>
      </c>
      <c r="K1136" s="54" t="str">
        <f>IFERROR(IF(INDEX(SPOT_Import!$A$1:$Z$2488,1136,'Live Data'!$C$22)="","",INDEX(SPOT_Import!$A$1:$Z$2488,1136,'Live Data'!$C$22)),"")</f>
        <v/>
      </c>
      <c r="L1136" s="55" t="str">
        <f t="shared" si="34"/>
        <v/>
      </c>
      <c r="M1136" s="55" t="str">
        <f t="shared" si="35"/>
        <v/>
      </c>
      <c r="N1136" s="55" t="str">
        <f>IF(A1136="","",IFERROR(INDEX('Cluster Map'!$A$4:$A$38,MATCH(M1136,'Cluster Map'!$B$4:$B$38,0)),"Unmapped"))</f>
        <v/>
      </c>
      <c r="O1136" s="55">
        <f>IF(A1136="",0,IF(COUNTIFS($A$2:A1136,A1136,$F$2:F1136,F1136,$L$2:L1136,L1136)=1,1,0))</f>
        <v>0</v>
      </c>
      <c r="P1136" s="55">
        <f>IF(A1136="",0,IF(AND(F1136="C&amp;T",COUNTIFS($A$2:A1136,A1136,$F$2:F1136,"C&amp;T")=1),1,0))</f>
        <v>0</v>
      </c>
    </row>
    <row r="1137" spans="1:16" x14ac:dyDescent="0.35">
      <c r="A1137" s="54" t="str">
        <f>IFERROR(IF(INDEX(SPOT_Import!$A$1:$Z$2488,1137,'Live Data'!$C$12)="","",INDEX(SPOT_Import!$A$1:$Z$2488,1137,'Live Data'!$C$12)),"")</f>
        <v/>
      </c>
      <c r="B1137" s="54" t="str">
        <f>IFERROR(IF(INDEX(SPOT_Import!$A$1:$Z$2488,1137,'Live Data'!$C$13)="","",INDEX(SPOT_Import!$A$1:$Z$2488,1137,'Live Data'!$C$13)),"")</f>
        <v/>
      </c>
      <c r="C1137" s="54" t="str">
        <f>IFERROR(IF(INDEX(SPOT_Import!$A$1:$Z$2488,1137,'Live Data'!$C$14)="","",INDEX(SPOT_Import!$A$1:$Z$2488,1137,'Live Data'!$C$14)),"")</f>
        <v/>
      </c>
      <c r="D1137" s="54" t="str">
        <f>IFERROR(IF(INDEX(SPOT_Import!$A$1:$Z$2488,1137,'Live Data'!$C$15)="","",INDEX(SPOT_Import!$A$1:$Z$2488,1137,'Live Data'!$C$15)),"")</f>
        <v/>
      </c>
      <c r="E1137" s="54" t="str">
        <f>IFERROR(IF(INDEX(SPOT_Import!$A$1:$Z$2488,1137,'Live Data'!$C$16)="","",INDEX(SPOT_Import!$A$1:$Z$2488,1137,'Live Data'!$C$16)),"")</f>
        <v/>
      </c>
      <c r="F1137" s="54" t="str">
        <f>IFERROR(IF(INDEX(SPOT_Import!$A$1:$Z$2488,1137,'Live Data'!$C$17)="","",INDEX(SPOT_Import!$A$1:$Z$2488,1137,'Live Data'!$C$17)),"")</f>
        <v/>
      </c>
      <c r="G1137" s="54" t="str">
        <f>IFERROR(IF(INDEX(SPOT_Import!$A$1:$Z$2488,1137,'Live Data'!$C$18)="","",INDEX(SPOT_Import!$A$1:$Z$2488,1137,'Live Data'!$C$18)),"")</f>
        <v/>
      </c>
      <c r="H1137" s="54" t="str">
        <f>IFERROR(IF(INDEX(SPOT_Import!$A$1:$Z$2488,1137,'Live Data'!$C$19)="","",INDEX(SPOT_Import!$A$1:$Z$2488,1137,'Live Data'!$C$19)),"")</f>
        <v/>
      </c>
      <c r="I1137" s="54" t="str">
        <f>IFERROR(IF(INDEX(SPOT_Import!$A$1:$Z$2488,1137,'Live Data'!$C$20)="","",INDEX(SPOT_Import!$A$1:$Z$2488,1137,'Live Data'!$C$20)),"")</f>
        <v/>
      </c>
      <c r="J1137" s="54" t="str">
        <f>IFERROR(IF(INDEX(SPOT_Import!$A$1:$Z$2488,1137,'Live Data'!$C$21)="","",INDEX(SPOT_Import!$A$1:$Z$2488,1137,'Live Data'!$C$21)),"")</f>
        <v/>
      </c>
      <c r="K1137" s="54" t="str">
        <f>IFERROR(IF(INDEX(SPOT_Import!$A$1:$Z$2488,1137,'Live Data'!$C$22)="","",INDEX(SPOT_Import!$A$1:$Z$2488,1137,'Live Data'!$C$22)),"")</f>
        <v/>
      </c>
      <c r="L1137" s="55" t="str">
        <f t="shared" si="34"/>
        <v/>
      </c>
      <c r="M1137" s="55" t="str">
        <f t="shared" si="35"/>
        <v/>
      </c>
      <c r="N1137" s="55" t="str">
        <f>IF(A1137="","",IFERROR(INDEX('Cluster Map'!$A$4:$A$38,MATCH(M1137,'Cluster Map'!$B$4:$B$38,0)),"Unmapped"))</f>
        <v/>
      </c>
      <c r="O1137" s="55">
        <f>IF(A1137="",0,IF(COUNTIFS($A$2:A1137,A1137,$F$2:F1137,F1137,$L$2:L1137,L1137)=1,1,0))</f>
        <v>0</v>
      </c>
      <c r="P1137" s="55">
        <f>IF(A1137="",0,IF(AND(F1137="C&amp;T",COUNTIFS($A$2:A1137,A1137,$F$2:F1137,"C&amp;T")=1),1,0))</f>
        <v>0</v>
      </c>
    </row>
    <row r="1138" spans="1:16" x14ac:dyDescent="0.35">
      <c r="A1138" s="54" t="str">
        <f>IFERROR(IF(INDEX(SPOT_Import!$A$1:$Z$2488,1138,'Live Data'!$C$12)="","",INDEX(SPOT_Import!$A$1:$Z$2488,1138,'Live Data'!$C$12)),"")</f>
        <v/>
      </c>
      <c r="B1138" s="54" t="str">
        <f>IFERROR(IF(INDEX(SPOT_Import!$A$1:$Z$2488,1138,'Live Data'!$C$13)="","",INDEX(SPOT_Import!$A$1:$Z$2488,1138,'Live Data'!$C$13)),"")</f>
        <v/>
      </c>
      <c r="C1138" s="54" t="str">
        <f>IFERROR(IF(INDEX(SPOT_Import!$A$1:$Z$2488,1138,'Live Data'!$C$14)="","",INDEX(SPOT_Import!$A$1:$Z$2488,1138,'Live Data'!$C$14)),"")</f>
        <v/>
      </c>
      <c r="D1138" s="54" t="str">
        <f>IFERROR(IF(INDEX(SPOT_Import!$A$1:$Z$2488,1138,'Live Data'!$C$15)="","",INDEX(SPOT_Import!$A$1:$Z$2488,1138,'Live Data'!$C$15)),"")</f>
        <v/>
      </c>
      <c r="E1138" s="54" t="str">
        <f>IFERROR(IF(INDEX(SPOT_Import!$A$1:$Z$2488,1138,'Live Data'!$C$16)="","",INDEX(SPOT_Import!$A$1:$Z$2488,1138,'Live Data'!$C$16)),"")</f>
        <v/>
      </c>
      <c r="F1138" s="54" t="str">
        <f>IFERROR(IF(INDEX(SPOT_Import!$A$1:$Z$2488,1138,'Live Data'!$C$17)="","",INDEX(SPOT_Import!$A$1:$Z$2488,1138,'Live Data'!$C$17)),"")</f>
        <v/>
      </c>
      <c r="G1138" s="54" t="str">
        <f>IFERROR(IF(INDEX(SPOT_Import!$A$1:$Z$2488,1138,'Live Data'!$C$18)="","",INDEX(SPOT_Import!$A$1:$Z$2488,1138,'Live Data'!$C$18)),"")</f>
        <v/>
      </c>
      <c r="H1138" s="54" t="str">
        <f>IFERROR(IF(INDEX(SPOT_Import!$A$1:$Z$2488,1138,'Live Data'!$C$19)="","",INDEX(SPOT_Import!$A$1:$Z$2488,1138,'Live Data'!$C$19)),"")</f>
        <v/>
      </c>
      <c r="I1138" s="54" t="str">
        <f>IFERROR(IF(INDEX(SPOT_Import!$A$1:$Z$2488,1138,'Live Data'!$C$20)="","",INDEX(SPOT_Import!$A$1:$Z$2488,1138,'Live Data'!$C$20)),"")</f>
        <v/>
      </c>
      <c r="J1138" s="54" t="str">
        <f>IFERROR(IF(INDEX(SPOT_Import!$A$1:$Z$2488,1138,'Live Data'!$C$21)="","",INDEX(SPOT_Import!$A$1:$Z$2488,1138,'Live Data'!$C$21)),"")</f>
        <v/>
      </c>
      <c r="K1138" s="54" t="str">
        <f>IFERROR(IF(INDEX(SPOT_Import!$A$1:$Z$2488,1138,'Live Data'!$C$22)="","",INDEX(SPOT_Import!$A$1:$Z$2488,1138,'Live Data'!$C$22)),"")</f>
        <v/>
      </c>
      <c r="L1138" s="55" t="str">
        <f t="shared" si="34"/>
        <v/>
      </c>
      <c r="M1138" s="55" t="str">
        <f t="shared" si="35"/>
        <v/>
      </c>
      <c r="N1138" s="55" t="str">
        <f>IF(A1138="","",IFERROR(INDEX('Cluster Map'!$A$4:$A$38,MATCH(M1138,'Cluster Map'!$B$4:$B$38,0)),"Unmapped"))</f>
        <v/>
      </c>
      <c r="O1138" s="55">
        <f>IF(A1138="",0,IF(COUNTIFS($A$2:A1138,A1138,$F$2:F1138,F1138,$L$2:L1138,L1138)=1,1,0))</f>
        <v>0</v>
      </c>
      <c r="P1138" s="55">
        <f>IF(A1138="",0,IF(AND(F1138="C&amp;T",COUNTIFS($A$2:A1138,A1138,$F$2:F1138,"C&amp;T")=1),1,0))</f>
        <v>0</v>
      </c>
    </row>
    <row r="1139" spans="1:16" x14ac:dyDescent="0.35">
      <c r="A1139" s="54" t="str">
        <f>IFERROR(IF(INDEX(SPOT_Import!$A$1:$Z$2488,1139,'Live Data'!$C$12)="","",INDEX(SPOT_Import!$A$1:$Z$2488,1139,'Live Data'!$C$12)),"")</f>
        <v/>
      </c>
      <c r="B1139" s="54" t="str">
        <f>IFERROR(IF(INDEX(SPOT_Import!$A$1:$Z$2488,1139,'Live Data'!$C$13)="","",INDEX(SPOT_Import!$A$1:$Z$2488,1139,'Live Data'!$C$13)),"")</f>
        <v/>
      </c>
      <c r="C1139" s="54" t="str">
        <f>IFERROR(IF(INDEX(SPOT_Import!$A$1:$Z$2488,1139,'Live Data'!$C$14)="","",INDEX(SPOT_Import!$A$1:$Z$2488,1139,'Live Data'!$C$14)),"")</f>
        <v/>
      </c>
      <c r="D1139" s="54" t="str">
        <f>IFERROR(IF(INDEX(SPOT_Import!$A$1:$Z$2488,1139,'Live Data'!$C$15)="","",INDEX(SPOT_Import!$A$1:$Z$2488,1139,'Live Data'!$C$15)),"")</f>
        <v/>
      </c>
      <c r="E1139" s="54" t="str">
        <f>IFERROR(IF(INDEX(SPOT_Import!$A$1:$Z$2488,1139,'Live Data'!$C$16)="","",INDEX(SPOT_Import!$A$1:$Z$2488,1139,'Live Data'!$C$16)),"")</f>
        <v/>
      </c>
      <c r="F1139" s="54" t="str">
        <f>IFERROR(IF(INDEX(SPOT_Import!$A$1:$Z$2488,1139,'Live Data'!$C$17)="","",INDEX(SPOT_Import!$A$1:$Z$2488,1139,'Live Data'!$C$17)),"")</f>
        <v/>
      </c>
      <c r="G1139" s="54" t="str">
        <f>IFERROR(IF(INDEX(SPOT_Import!$A$1:$Z$2488,1139,'Live Data'!$C$18)="","",INDEX(SPOT_Import!$A$1:$Z$2488,1139,'Live Data'!$C$18)),"")</f>
        <v/>
      </c>
      <c r="H1139" s="54" t="str">
        <f>IFERROR(IF(INDEX(SPOT_Import!$A$1:$Z$2488,1139,'Live Data'!$C$19)="","",INDEX(SPOT_Import!$A$1:$Z$2488,1139,'Live Data'!$C$19)),"")</f>
        <v/>
      </c>
      <c r="I1139" s="54" t="str">
        <f>IFERROR(IF(INDEX(SPOT_Import!$A$1:$Z$2488,1139,'Live Data'!$C$20)="","",INDEX(SPOT_Import!$A$1:$Z$2488,1139,'Live Data'!$C$20)),"")</f>
        <v/>
      </c>
      <c r="J1139" s="54" t="str">
        <f>IFERROR(IF(INDEX(SPOT_Import!$A$1:$Z$2488,1139,'Live Data'!$C$21)="","",INDEX(SPOT_Import!$A$1:$Z$2488,1139,'Live Data'!$C$21)),"")</f>
        <v/>
      </c>
      <c r="K1139" s="54" t="str">
        <f>IFERROR(IF(INDEX(SPOT_Import!$A$1:$Z$2488,1139,'Live Data'!$C$22)="","",INDEX(SPOT_Import!$A$1:$Z$2488,1139,'Live Data'!$C$22)),"")</f>
        <v/>
      </c>
      <c r="L1139" s="55" t="str">
        <f t="shared" si="34"/>
        <v/>
      </c>
      <c r="M1139" s="55" t="str">
        <f t="shared" si="35"/>
        <v/>
      </c>
      <c r="N1139" s="55" t="str">
        <f>IF(A1139="","",IFERROR(INDEX('Cluster Map'!$A$4:$A$38,MATCH(M1139,'Cluster Map'!$B$4:$B$38,0)),"Unmapped"))</f>
        <v/>
      </c>
      <c r="O1139" s="55">
        <f>IF(A1139="",0,IF(COUNTIFS($A$2:A1139,A1139,$F$2:F1139,F1139,$L$2:L1139,L1139)=1,1,0))</f>
        <v>0</v>
      </c>
      <c r="P1139" s="55">
        <f>IF(A1139="",0,IF(AND(F1139="C&amp;T",COUNTIFS($A$2:A1139,A1139,$F$2:F1139,"C&amp;T")=1),1,0))</f>
        <v>0</v>
      </c>
    </row>
    <row r="1140" spans="1:16" x14ac:dyDescent="0.35">
      <c r="A1140" s="54" t="str">
        <f>IFERROR(IF(INDEX(SPOT_Import!$A$1:$Z$2488,1140,'Live Data'!$C$12)="","",INDEX(SPOT_Import!$A$1:$Z$2488,1140,'Live Data'!$C$12)),"")</f>
        <v/>
      </c>
      <c r="B1140" s="54" t="str">
        <f>IFERROR(IF(INDEX(SPOT_Import!$A$1:$Z$2488,1140,'Live Data'!$C$13)="","",INDEX(SPOT_Import!$A$1:$Z$2488,1140,'Live Data'!$C$13)),"")</f>
        <v/>
      </c>
      <c r="C1140" s="54" t="str">
        <f>IFERROR(IF(INDEX(SPOT_Import!$A$1:$Z$2488,1140,'Live Data'!$C$14)="","",INDEX(SPOT_Import!$A$1:$Z$2488,1140,'Live Data'!$C$14)),"")</f>
        <v/>
      </c>
      <c r="D1140" s="54" t="str">
        <f>IFERROR(IF(INDEX(SPOT_Import!$A$1:$Z$2488,1140,'Live Data'!$C$15)="","",INDEX(SPOT_Import!$A$1:$Z$2488,1140,'Live Data'!$C$15)),"")</f>
        <v/>
      </c>
      <c r="E1140" s="54" t="str">
        <f>IFERROR(IF(INDEX(SPOT_Import!$A$1:$Z$2488,1140,'Live Data'!$C$16)="","",INDEX(SPOT_Import!$A$1:$Z$2488,1140,'Live Data'!$C$16)),"")</f>
        <v/>
      </c>
      <c r="F1140" s="54" t="str">
        <f>IFERROR(IF(INDEX(SPOT_Import!$A$1:$Z$2488,1140,'Live Data'!$C$17)="","",INDEX(SPOT_Import!$A$1:$Z$2488,1140,'Live Data'!$C$17)),"")</f>
        <v/>
      </c>
      <c r="G1140" s="54" t="str">
        <f>IFERROR(IF(INDEX(SPOT_Import!$A$1:$Z$2488,1140,'Live Data'!$C$18)="","",INDEX(SPOT_Import!$A$1:$Z$2488,1140,'Live Data'!$C$18)),"")</f>
        <v/>
      </c>
      <c r="H1140" s="54" t="str">
        <f>IFERROR(IF(INDEX(SPOT_Import!$A$1:$Z$2488,1140,'Live Data'!$C$19)="","",INDEX(SPOT_Import!$A$1:$Z$2488,1140,'Live Data'!$C$19)),"")</f>
        <v/>
      </c>
      <c r="I1140" s="54" t="str">
        <f>IFERROR(IF(INDEX(SPOT_Import!$A$1:$Z$2488,1140,'Live Data'!$C$20)="","",INDEX(SPOT_Import!$A$1:$Z$2488,1140,'Live Data'!$C$20)),"")</f>
        <v/>
      </c>
      <c r="J1140" s="54" t="str">
        <f>IFERROR(IF(INDEX(SPOT_Import!$A$1:$Z$2488,1140,'Live Data'!$C$21)="","",INDEX(SPOT_Import!$A$1:$Z$2488,1140,'Live Data'!$C$21)),"")</f>
        <v/>
      </c>
      <c r="K1140" s="54" t="str">
        <f>IFERROR(IF(INDEX(SPOT_Import!$A$1:$Z$2488,1140,'Live Data'!$C$22)="","",INDEX(SPOT_Import!$A$1:$Z$2488,1140,'Live Data'!$C$22)),"")</f>
        <v/>
      </c>
      <c r="L1140" s="55" t="str">
        <f t="shared" si="34"/>
        <v/>
      </c>
      <c r="M1140" s="55" t="str">
        <f t="shared" si="35"/>
        <v/>
      </c>
      <c r="N1140" s="55" t="str">
        <f>IF(A1140="","",IFERROR(INDEX('Cluster Map'!$A$4:$A$38,MATCH(M1140,'Cluster Map'!$B$4:$B$38,0)),"Unmapped"))</f>
        <v/>
      </c>
      <c r="O1140" s="55">
        <f>IF(A1140="",0,IF(COUNTIFS($A$2:A1140,A1140,$F$2:F1140,F1140,$L$2:L1140,L1140)=1,1,0))</f>
        <v>0</v>
      </c>
      <c r="P1140" s="55">
        <f>IF(A1140="",0,IF(AND(F1140="C&amp;T",COUNTIFS($A$2:A1140,A1140,$F$2:F1140,"C&amp;T")=1),1,0))</f>
        <v>0</v>
      </c>
    </row>
    <row r="1141" spans="1:16" x14ac:dyDescent="0.35">
      <c r="A1141" s="54" t="str">
        <f>IFERROR(IF(INDEX(SPOT_Import!$A$1:$Z$2488,1141,'Live Data'!$C$12)="","",INDEX(SPOT_Import!$A$1:$Z$2488,1141,'Live Data'!$C$12)),"")</f>
        <v/>
      </c>
      <c r="B1141" s="54" t="str">
        <f>IFERROR(IF(INDEX(SPOT_Import!$A$1:$Z$2488,1141,'Live Data'!$C$13)="","",INDEX(SPOT_Import!$A$1:$Z$2488,1141,'Live Data'!$C$13)),"")</f>
        <v/>
      </c>
      <c r="C1141" s="54" t="str">
        <f>IFERROR(IF(INDEX(SPOT_Import!$A$1:$Z$2488,1141,'Live Data'!$C$14)="","",INDEX(SPOT_Import!$A$1:$Z$2488,1141,'Live Data'!$C$14)),"")</f>
        <v/>
      </c>
      <c r="D1141" s="54" t="str">
        <f>IFERROR(IF(INDEX(SPOT_Import!$A$1:$Z$2488,1141,'Live Data'!$C$15)="","",INDEX(SPOT_Import!$A$1:$Z$2488,1141,'Live Data'!$C$15)),"")</f>
        <v/>
      </c>
      <c r="E1141" s="54" t="str">
        <f>IFERROR(IF(INDEX(SPOT_Import!$A$1:$Z$2488,1141,'Live Data'!$C$16)="","",INDEX(SPOT_Import!$A$1:$Z$2488,1141,'Live Data'!$C$16)),"")</f>
        <v/>
      </c>
      <c r="F1141" s="54" t="str">
        <f>IFERROR(IF(INDEX(SPOT_Import!$A$1:$Z$2488,1141,'Live Data'!$C$17)="","",INDEX(SPOT_Import!$A$1:$Z$2488,1141,'Live Data'!$C$17)),"")</f>
        <v/>
      </c>
      <c r="G1141" s="54" t="str">
        <f>IFERROR(IF(INDEX(SPOT_Import!$A$1:$Z$2488,1141,'Live Data'!$C$18)="","",INDEX(SPOT_Import!$A$1:$Z$2488,1141,'Live Data'!$C$18)),"")</f>
        <v/>
      </c>
      <c r="H1141" s="54" t="str">
        <f>IFERROR(IF(INDEX(SPOT_Import!$A$1:$Z$2488,1141,'Live Data'!$C$19)="","",INDEX(SPOT_Import!$A$1:$Z$2488,1141,'Live Data'!$C$19)),"")</f>
        <v/>
      </c>
      <c r="I1141" s="54" t="str">
        <f>IFERROR(IF(INDEX(SPOT_Import!$A$1:$Z$2488,1141,'Live Data'!$C$20)="","",INDEX(SPOT_Import!$A$1:$Z$2488,1141,'Live Data'!$C$20)),"")</f>
        <v/>
      </c>
      <c r="J1141" s="54" t="str">
        <f>IFERROR(IF(INDEX(SPOT_Import!$A$1:$Z$2488,1141,'Live Data'!$C$21)="","",INDEX(SPOT_Import!$A$1:$Z$2488,1141,'Live Data'!$C$21)),"")</f>
        <v/>
      </c>
      <c r="K1141" s="54" t="str">
        <f>IFERROR(IF(INDEX(SPOT_Import!$A$1:$Z$2488,1141,'Live Data'!$C$22)="","",INDEX(SPOT_Import!$A$1:$Z$2488,1141,'Live Data'!$C$22)),"")</f>
        <v/>
      </c>
      <c r="L1141" s="55" t="str">
        <f t="shared" si="34"/>
        <v/>
      </c>
      <c r="M1141" s="55" t="str">
        <f t="shared" si="35"/>
        <v/>
      </c>
      <c r="N1141" s="55" t="str">
        <f>IF(A1141="","",IFERROR(INDEX('Cluster Map'!$A$4:$A$38,MATCH(M1141,'Cluster Map'!$B$4:$B$38,0)),"Unmapped"))</f>
        <v/>
      </c>
      <c r="O1141" s="55">
        <f>IF(A1141="",0,IF(COUNTIFS($A$2:A1141,A1141,$F$2:F1141,F1141,$L$2:L1141,L1141)=1,1,0))</f>
        <v>0</v>
      </c>
      <c r="P1141" s="55">
        <f>IF(A1141="",0,IF(AND(F1141="C&amp;T",COUNTIFS($A$2:A1141,A1141,$F$2:F1141,"C&amp;T")=1),1,0))</f>
        <v>0</v>
      </c>
    </row>
    <row r="1142" spans="1:16" x14ac:dyDescent="0.35">
      <c r="A1142" s="54" t="str">
        <f>IFERROR(IF(INDEX(SPOT_Import!$A$1:$Z$2488,1142,'Live Data'!$C$12)="","",INDEX(SPOT_Import!$A$1:$Z$2488,1142,'Live Data'!$C$12)),"")</f>
        <v/>
      </c>
      <c r="B1142" s="54" t="str">
        <f>IFERROR(IF(INDEX(SPOT_Import!$A$1:$Z$2488,1142,'Live Data'!$C$13)="","",INDEX(SPOT_Import!$A$1:$Z$2488,1142,'Live Data'!$C$13)),"")</f>
        <v/>
      </c>
      <c r="C1142" s="54" t="str">
        <f>IFERROR(IF(INDEX(SPOT_Import!$A$1:$Z$2488,1142,'Live Data'!$C$14)="","",INDEX(SPOT_Import!$A$1:$Z$2488,1142,'Live Data'!$C$14)),"")</f>
        <v/>
      </c>
      <c r="D1142" s="54" t="str">
        <f>IFERROR(IF(INDEX(SPOT_Import!$A$1:$Z$2488,1142,'Live Data'!$C$15)="","",INDEX(SPOT_Import!$A$1:$Z$2488,1142,'Live Data'!$C$15)),"")</f>
        <v/>
      </c>
      <c r="E1142" s="54" t="str">
        <f>IFERROR(IF(INDEX(SPOT_Import!$A$1:$Z$2488,1142,'Live Data'!$C$16)="","",INDEX(SPOT_Import!$A$1:$Z$2488,1142,'Live Data'!$C$16)),"")</f>
        <v/>
      </c>
      <c r="F1142" s="54" t="str">
        <f>IFERROR(IF(INDEX(SPOT_Import!$A$1:$Z$2488,1142,'Live Data'!$C$17)="","",INDEX(SPOT_Import!$A$1:$Z$2488,1142,'Live Data'!$C$17)),"")</f>
        <v/>
      </c>
      <c r="G1142" s="54" t="str">
        <f>IFERROR(IF(INDEX(SPOT_Import!$A$1:$Z$2488,1142,'Live Data'!$C$18)="","",INDEX(SPOT_Import!$A$1:$Z$2488,1142,'Live Data'!$C$18)),"")</f>
        <v/>
      </c>
      <c r="H1142" s="54" t="str">
        <f>IFERROR(IF(INDEX(SPOT_Import!$A$1:$Z$2488,1142,'Live Data'!$C$19)="","",INDEX(SPOT_Import!$A$1:$Z$2488,1142,'Live Data'!$C$19)),"")</f>
        <v/>
      </c>
      <c r="I1142" s="54" t="str">
        <f>IFERROR(IF(INDEX(SPOT_Import!$A$1:$Z$2488,1142,'Live Data'!$C$20)="","",INDEX(SPOT_Import!$A$1:$Z$2488,1142,'Live Data'!$C$20)),"")</f>
        <v/>
      </c>
      <c r="J1142" s="54" t="str">
        <f>IFERROR(IF(INDEX(SPOT_Import!$A$1:$Z$2488,1142,'Live Data'!$C$21)="","",INDEX(SPOT_Import!$A$1:$Z$2488,1142,'Live Data'!$C$21)),"")</f>
        <v/>
      </c>
      <c r="K1142" s="54" t="str">
        <f>IFERROR(IF(INDEX(SPOT_Import!$A$1:$Z$2488,1142,'Live Data'!$C$22)="","",INDEX(SPOT_Import!$A$1:$Z$2488,1142,'Live Data'!$C$22)),"")</f>
        <v/>
      </c>
      <c r="L1142" s="55" t="str">
        <f t="shared" si="34"/>
        <v/>
      </c>
      <c r="M1142" s="55" t="str">
        <f t="shared" si="35"/>
        <v/>
      </c>
      <c r="N1142" s="55" t="str">
        <f>IF(A1142="","",IFERROR(INDEX('Cluster Map'!$A$4:$A$38,MATCH(M1142,'Cluster Map'!$B$4:$B$38,0)),"Unmapped"))</f>
        <v/>
      </c>
      <c r="O1142" s="55">
        <f>IF(A1142="",0,IF(COUNTIFS($A$2:A1142,A1142,$F$2:F1142,F1142,$L$2:L1142,L1142)=1,1,0))</f>
        <v>0</v>
      </c>
      <c r="P1142" s="55">
        <f>IF(A1142="",0,IF(AND(F1142="C&amp;T",COUNTIFS($A$2:A1142,A1142,$F$2:F1142,"C&amp;T")=1),1,0))</f>
        <v>0</v>
      </c>
    </row>
    <row r="1143" spans="1:16" x14ac:dyDescent="0.35">
      <c r="A1143" s="54" t="str">
        <f>IFERROR(IF(INDEX(SPOT_Import!$A$1:$Z$2488,1143,'Live Data'!$C$12)="","",INDEX(SPOT_Import!$A$1:$Z$2488,1143,'Live Data'!$C$12)),"")</f>
        <v/>
      </c>
      <c r="B1143" s="54" t="str">
        <f>IFERROR(IF(INDEX(SPOT_Import!$A$1:$Z$2488,1143,'Live Data'!$C$13)="","",INDEX(SPOT_Import!$A$1:$Z$2488,1143,'Live Data'!$C$13)),"")</f>
        <v/>
      </c>
      <c r="C1143" s="54" t="str">
        <f>IFERROR(IF(INDEX(SPOT_Import!$A$1:$Z$2488,1143,'Live Data'!$C$14)="","",INDEX(SPOT_Import!$A$1:$Z$2488,1143,'Live Data'!$C$14)),"")</f>
        <v/>
      </c>
      <c r="D1143" s="54" t="str">
        <f>IFERROR(IF(INDEX(SPOT_Import!$A$1:$Z$2488,1143,'Live Data'!$C$15)="","",INDEX(SPOT_Import!$A$1:$Z$2488,1143,'Live Data'!$C$15)),"")</f>
        <v/>
      </c>
      <c r="E1143" s="54" t="str">
        <f>IFERROR(IF(INDEX(SPOT_Import!$A$1:$Z$2488,1143,'Live Data'!$C$16)="","",INDEX(SPOT_Import!$A$1:$Z$2488,1143,'Live Data'!$C$16)),"")</f>
        <v/>
      </c>
      <c r="F1143" s="54" t="str">
        <f>IFERROR(IF(INDEX(SPOT_Import!$A$1:$Z$2488,1143,'Live Data'!$C$17)="","",INDEX(SPOT_Import!$A$1:$Z$2488,1143,'Live Data'!$C$17)),"")</f>
        <v/>
      </c>
      <c r="G1143" s="54" t="str">
        <f>IFERROR(IF(INDEX(SPOT_Import!$A$1:$Z$2488,1143,'Live Data'!$C$18)="","",INDEX(SPOT_Import!$A$1:$Z$2488,1143,'Live Data'!$C$18)),"")</f>
        <v/>
      </c>
      <c r="H1143" s="54" t="str">
        <f>IFERROR(IF(INDEX(SPOT_Import!$A$1:$Z$2488,1143,'Live Data'!$C$19)="","",INDEX(SPOT_Import!$A$1:$Z$2488,1143,'Live Data'!$C$19)),"")</f>
        <v/>
      </c>
      <c r="I1143" s="54" t="str">
        <f>IFERROR(IF(INDEX(SPOT_Import!$A$1:$Z$2488,1143,'Live Data'!$C$20)="","",INDEX(SPOT_Import!$A$1:$Z$2488,1143,'Live Data'!$C$20)),"")</f>
        <v/>
      </c>
      <c r="J1143" s="54" t="str">
        <f>IFERROR(IF(INDEX(SPOT_Import!$A$1:$Z$2488,1143,'Live Data'!$C$21)="","",INDEX(SPOT_Import!$A$1:$Z$2488,1143,'Live Data'!$C$21)),"")</f>
        <v/>
      </c>
      <c r="K1143" s="54" t="str">
        <f>IFERROR(IF(INDEX(SPOT_Import!$A$1:$Z$2488,1143,'Live Data'!$C$22)="","",INDEX(SPOT_Import!$A$1:$Z$2488,1143,'Live Data'!$C$22)),"")</f>
        <v/>
      </c>
      <c r="L1143" s="55" t="str">
        <f t="shared" si="34"/>
        <v/>
      </c>
      <c r="M1143" s="55" t="str">
        <f t="shared" si="35"/>
        <v/>
      </c>
      <c r="N1143" s="55" t="str">
        <f>IF(A1143="","",IFERROR(INDEX('Cluster Map'!$A$4:$A$38,MATCH(M1143,'Cluster Map'!$B$4:$B$38,0)),"Unmapped"))</f>
        <v/>
      </c>
      <c r="O1143" s="55">
        <f>IF(A1143="",0,IF(COUNTIFS($A$2:A1143,A1143,$F$2:F1143,F1143,$L$2:L1143,L1143)=1,1,0))</f>
        <v>0</v>
      </c>
      <c r="P1143" s="55">
        <f>IF(A1143="",0,IF(AND(F1143="C&amp;T",COUNTIFS($A$2:A1143,A1143,$F$2:F1143,"C&amp;T")=1),1,0))</f>
        <v>0</v>
      </c>
    </row>
    <row r="1144" spans="1:16" x14ac:dyDescent="0.35">
      <c r="A1144" s="54" t="str">
        <f>IFERROR(IF(INDEX(SPOT_Import!$A$1:$Z$2488,1144,'Live Data'!$C$12)="","",INDEX(SPOT_Import!$A$1:$Z$2488,1144,'Live Data'!$C$12)),"")</f>
        <v/>
      </c>
      <c r="B1144" s="54" t="str">
        <f>IFERROR(IF(INDEX(SPOT_Import!$A$1:$Z$2488,1144,'Live Data'!$C$13)="","",INDEX(SPOT_Import!$A$1:$Z$2488,1144,'Live Data'!$C$13)),"")</f>
        <v/>
      </c>
      <c r="C1144" s="54" t="str">
        <f>IFERROR(IF(INDEX(SPOT_Import!$A$1:$Z$2488,1144,'Live Data'!$C$14)="","",INDEX(SPOT_Import!$A$1:$Z$2488,1144,'Live Data'!$C$14)),"")</f>
        <v/>
      </c>
      <c r="D1144" s="54" t="str">
        <f>IFERROR(IF(INDEX(SPOT_Import!$A$1:$Z$2488,1144,'Live Data'!$C$15)="","",INDEX(SPOT_Import!$A$1:$Z$2488,1144,'Live Data'!$C$15)),"")</f>
        <v/>
      </c>
      <c r="E1144" s="54" t="str">
        <f>IFERROR(IF(INDEX(SPOT_Import!$A$1:$Z$2488,1144,'Live Data'!$C$16)="","",INDEX(SPOT_Import!$A$1:$Z$2488,1144,'Live Data'!$C$16)),"")</f>
        <v/>
      </c>
      <c r="F1144" s="54" t="str">
        <f>IFERROR(IF(INDEX(SPOT_Import!$A$1:$Z$2488,1144,'Live Data'!$C$17)="","",INDEX(SPOT_Import!$A$1:$Z$2488,1144,'Live Data'!$C$17)),"")</f>
        <v/>
      </c>
      <c r="G1144" s="54" t="str">
        <f>IFERROR(IF(INDEX(SPOT_Import!$A$1:$Z$2488,1144,'Live Data'!$C$18)="","",INDEX(SPOT_Import!$A$1:$Z$2488,1144,'Live Data'!$C$18)),"")</f>
        <v/>
      </c>
      <c r="H1144" s="54" t="str">
        <f>IFERROR(IF(INDEX(SPOT_Import!$A$1:$Z$2488,1144,'Live Data'!$C$19)="","",INDEX(SPOT_Import!$A$1:$Z$2488,1144,'Live Data'!$C$19)),"")</f>
        <v/>
      </c>
      <c r="I1144" s="54" t="str">
        <f>IFERROR(IF(INDEX(SPOT_Import!$A$1:$Z$2488,1144,'Live Data'!$C$20)="","",INDEX(SPOT_Import!$A$1:$Z$2488,1144,'Live Data'!$C$20)),"")</f>
        <v/>
      </c>
      <c r="J1144" s="54" t="str">
        <f>IFERROR(IF(INDEX(SPOT_Import!$A$1:$Z$2488,1144,'Live Data'!$C$21)="","",INDEX(SPOT_Import!$A$1:$Z$2488,1144,'Live Data'!$C$21)),"")</f>
        <v/>
      </c>
      <c r="K1144" s="54" t="str">
        <f>IFERROR(IF(INDEX(SPOT_Import!$A$1:$Z$2488,1144,'Live Data'!$C$22)="","",INDEX(SPOT_Import!$A$1:$Z$2488,1144,'Live Data'!$C$22)),"")</f>
        <v/>
      </c>
      <c r="L1144" s="55" t="str">
        <f t="shared" si="34"/>
        <v/>
      </c>
      <c r="M1144" s="55" t="str">
        <f t="shared" si="35"/>
        <v/>
      </c>
      <c r="N1144" s="55" t="str">
        <f>IF(A1144="","",IFERROR(INDEX('Cluster Map'!$A$4:$A$38,MATCH(M1144,'Cluster Map'!$B$4:$B$38,0)),"Unmapped"))</f>
        <v/>
      </c>
      <c r="O1144" s="55">
        <f>IF(A1144="",0,IF(COUNTIFS($A$2:A1144,A1144,$F$2:F1144,F1144,$L$2:L1144,L1144)=1,1,0))</f>
        <v>0</v>
      </c>
      <c r="P1144" s="55">
        <f>IF(A1144="",0,IF(AND(F1144="C&amp;T",COUNTIFS($A$2:A1144,A1144,$F$2:F1144,"C&amp;T")=1),1,0))</f>
        <v>0</v>
      </c>
    </row>
    <row r="1145" spans="1:16" x14ac:dyDescent="0.35">
      <c r="A1145" s="54" t="str">
        <f>IFERROR(IF(INDEX(SPOT_Import!$A$1:$Z$2488,1145,'Live Data'!$C$12)="","",INDEX(SPOT_Import!$A$1:$Z$2488,1145,'Live Data'!$C$12)),"")</f>
        <v/>
      </c>
      <c r="B1145" s="54" t="str">
        <f>IFERROR(IF(INDEX(SPOT_Import!$A$1:$Z$2488,1145,'Live Data'!$C$13)="","",INDEX(SPOT_Import!$A$1:$Z$2488,1145,'Live Data'!$C$13)),"")</f>
        <v/>
      </c>
      <c r="C1145" s="54" t="str">
        <f>IFERROR(IF(INDEX(SPOT_Import!$A$1:$Z$2488,1145,'Live Data'!$C$14)="","",INDEX(SPOT_Import!$A$1:$Z$2488,1145,'Live Data'!$C$14)),"")</f>
        <v/>
      </c>
      <c r="D1145" s="54" t="str">
        <f>IFERROR(IF(INDEX(SPOT_Import!$A$1:$Z$2488,1145,'Live Data'!$C$15)="","",INDEX(SPOT_Import!$A$1:$Z$2488,1145,'Live Data'!$C$15)),"")</f>
        <v/>
      </c>
      <c r="E1145" s="54" t="str">
        <f>IFERROR(IF(INDEX(SPOT_Import!$A$1:$Z$2488,1145,'Live Data'!$C$16)="","",INDEX(SPOT_Import!$A$1:$Z$2488,1145,'Live Data'!$C$16)),"")</f>
        <v/>
      </c>
      <c r="F1145" s="54" t="str">
        <f>IFERROR(IF(INDEX(SPOT_Import!$A$1:$Z$2488,1145,'Live Data'!$C$17)="","",INDEX(SPOT_Import!$A$1:$Z$2488,1145,'Live Data'!$C$17)),"")</f>
        <v/>
      </c>
      <c r="G1145" s="54" t="str">
        <f>IFERROR(IF(INDEX(SPOT_Import!$A$1:$Z$2488,1145,'Live Data'!$C$18)="","",INDEX(SPOT_Import!$A$1:$Z$2488,1145,'Live Data'!$C$18)),"")</f>
        <v/>
      </c>
      <c r="H1145" s="54" t="str">
        <f>IFERROR(IF(INDEX(SPOT_Import!$A$1:$Z$2488,1145,'Live Data'!$C$19)="","",INDEX(SPOT_Import!$A$1:$Z$2488,1145,'Live Data'!$C$19)),"")</f>
        <v/>
      </c>
      <c r="I1145" s="54" t="str">
        <f>IFERROR(IF(INDEX(SPOT_Import!$A$1:$Z$2488,1145,'Live Data'!$C$20)="","",INDEX(SPOT_Import!$A$1:$Z$2488,1145,'Live Data'!$C$20)),"")</f>
        <v/>
      </c>
      <c r="J1145" s="54" t="str">
        <f>IFERROR(IF(INDEX(SPOT_Import!$A$1:$Z$2488,1145,'Live Data'!$C$21)="","",INDEX(SPOT_Import!$A$1:$Z$2488,1145,'Live Data'!$C$21)),"")</f>
        <v/>
      </c>
      <c r="K1145" s="54" t="str">
        <f>IFERROR(IF(INDEX(SPOT_Import!$A$1:$Z$2488,1145,'Live Data'!$C$22)="","",INDEX(SPOT_Import!$A$1:$Z$2488,1145,'Live Data'!$C$22)),"")</f>
        <v/>
      </c>
      <c r="L1145" s="55" t="str">
        <f t="shared" si="34"/>
        <v/>
      </c>
      <c r="M1145" s="55" t="str">
        <f t="shared" si="35"/>
        <v/>
      </c>
      <c r="N1145" s="55" t="str">
        <f>IF(A1145="","",IFERROR(INDEX('Cluster Map'!$A$4:$A$38,MATCH(M1145,'Cluster Map'!$B$4:$B$38,0)),"Unmapped"))</f>
        <v/>
      </c>
      <c r="O1145" s="55">
        <f>IF(A1145="",0,IF(COUNTIFS($A$2:A1145,A1145,$F$2:F1145,F1145,$L$2:L1145,L1145)=1,1,0))</f>
        <v>0</v>
      </c>
      <c r="P1145" s="55">
        <f>IF(A1145="",0,IF(AND(F1145="C&amp;T",COUNTIFS($A$2:A1145,A1145,$F$2:F1145,"C&amp;T")=1),1,0))</f>
        <v>0</v>
      </c>
    </row>
    <row r="1146" spans="1:16" x14ac:dyDescent="0.35">
      <c r="A1146" s="54" t="str">
        <f>IFERROR(IF(INDEX(SPOT_Import!$A$1:$Z$2488,1146,'Live Data'!$C$12)="","",INDEX(SPOT_Import!$A$1:$Z$2488,1146,'Live Data'!$C$12)),"")</f>
        <v/>
      </c>
      <c r="B1146" s="54" t="str">
        <f>IFERROR(IF(INDEX(SPOT_Import!$A$1:$Z$2488,1146,'Live Data'!$C$13)="","",INDEX(SPOT_Import!$A$1:$Z$2488,1146,'Live Data'!$C$13)),"")</f>
        <v/>
      </c>
      <c r="C1146" s="54" t="str">
        <f>IFERROR(IF(INDEX(SPOT_Import!$A$1:$Z$2488,1146,'Live Data'!$C$14)="","",INDEX(SPOT_Import!$A$1:$Z$2488,1146,'Live Data'!$C$14)),"")</f>
        <v/>
      </c>
      <c r="D1146" s="54" t="str">
        <f>IFERROR(IF(INDEX(SPOT_Import!$A$1:$Z$2488,1146,'Live Data'!$C$15)="","",INDEX(SPOT_Import!$A$1:$Z$2488,1146,'Live Data'!$C$15)),"")</f>
        <v/>
      </c>
      <c r="E1146" s="54" t="str">
        <f>IFERROR(IF(INDEX(SPOT_Import!$A$1:$Z$2488,1146,'Live Data'!$C$16)="","",INDEX(SPOT_Import!$A$1:$Z$2488,1146,'Live Data'!$C$16)),"")</f>
        <v/>
      </c>
      <c r="F1146" s="54" t="str">
        <f>IFERROR(IF(INDEX(SPOT_Import!$A$1:$Z$2488,1146,'Live Data'!$C$17)="","",INDEX(SPOT_Import!$A$1:$Z$2488,1146,'Live Data'!$C$17)),"")</f>
        <v/>
      </c>
      <c r="G1146" s="54" t="str">
        <f>IFERROR(IF(INDEX(SPOT_Import!$A$1:$Z$2488,1146,'Live Data'!$C$18)="","",INDEX(SPOT_Import!$A$1:$Z$2488,1146,'Live Data'!$C$18)),"")</f>
        <v/>
      </c>
      <c r="H1146" s="54" t="str">
        <f>IFERROR(IF(INDEX(SPOT_Import!$A$1:$Z$2488,1146,'Live Data'!$C$19)="","",INDEX(SPOT_Import!$A$1:$Z$2488,1146,'Live Data'!$C$19)),"")</f>
        <v/>
      </c>
      <c r="I1146" s="54" t="str">
        <f>IFERROR(IF(INDEX(SPOT_Import!$A$1:$Z$2488,1146,'Live Data'!$C$20)="","",INDEX(SPOT_Import!$A$1:$Z$2488,1146,'Live Data'!$C$20)),"")</f>
        <v/>
      </c>
      <c r="J1146" s="54" t="str">
        <f>IFERROR(IF(INDEX(SPOT_Import!$A$1:$Z$2488,1146,'Live Data'!$C$21)="","",INDEX(SPOT_Import!$A$1:$Z$2488,1146,'Live Data'!$C$21)),"")</f>
        <v/>
      </c>
      <c r="K1146" s="54" t="str">
        <f>IFERROR(IF(INDEX(SPOT_Import!$A$1:$Z$2488,1146,'Live Data'!$C$22)="","",INDEX(SPOT_Import!$A$1:$Z$2488,1146,'Live Data'!$C$22)),"")</f>
        <v/>
      </c>
      <c r="L1146" s="55" t="str">
        <f t="shared" si="34"/>
        <v/>
      </c>
      <c r="M1146" s="55" t="str">
        <f t="shared" si="35"/>
        <v/>
      </c>
      <c r="N1146" s="55" t="str">
        <f>IF(A1146="","",IFERROR(INDEX('Cluster Map'!$A$4:$A$38,MATCH(M1146,'Cluster Map'!$B$4:$B$38,0)),"Unmapped"))</f>
        <v/>
      </c>
      <c r="O1146" s="55">
        <f>IF(A1146="",0,IF(COUNTIFS($A$2:A1146,A1146,$F$2:F1146,F1146,$L$2:L1146,L1146)=1,1,0))</f>
        <v>0</v>
      </c>
      <c r="P1146" s="55">
        <f>IF(A1146="",0,IF(AND(F1146="C&amp;T",COUNTIFS($A$2:A1146,A1146,$F$2:F1146,"C&amp;T")=1),1,0))</f>
        <v>0</v>
      </c>
    </row>
    <row r="1147" spans="1:16" x14ac:dyDescent="0.35">
      <c r="A1147" s="54" t="str">
        <f>IFERROR(IF(INDEX(SPOT_Import!$A$1:$Z$2488,1147,'Live Data'!$C$12)="","",INDEX(SPOT_Import!$A$1:$Z$2488,1147,'Live Data'!$C$12)),"")</f>
        <v/>
      </c>
      <c r="B1147" s="54" t="str">
        <f>IFERROR(IF(INDEX(SPOT_Import!$A$1:$Z$2488,1147,'Live Data'!$C$13)="","",INDEX(SPOT_Import!$A$1:$Z$2488,1147,'Live Data'!$C$13)),"")</f>
        <v/>
      </c>
      <c r="C1147" s="54" t="str">
        <f>IFERROR(IF(INDEX(SPOT_Import!$A$1:$Z$2488,1147,'Live Data'!$C$14)="","",INDEX(SPOT_Import!$A$1:$Z$2488,1147,'Live Data'!$C$14)),"")</f>
        <v/>
      </c>
      <c r="D1147" s="54" t="str">
        <f>IFERROR(IF(INDEX(SPOT_Import!$A$1:$Z$2488,1147,'Live Data'!$C$15)="","",INDEX(SPOT_Import!$A$1:$Z$2488,1147,'Live Data'!$C$15)),"")</f>
        <v/>
      </c>
      <c r="E1147" s="54" t="str">
        <f>IFERROR(IF(INDEX(SPOT_Import!$A$1:$Z$2488,1147,'Live Data'!$C$16)="","",INDEX(SPOT_Import!$A$1:$Z$2488,1147,'Live Data'!$C$16)),"")</f>
        <v/>
      </c>
      <c r="F1147" s="54" t="str">
        <f>IFERROR(IF(INDEX(SPOT_Import!$A$1:$Z$2488,1147,'Live Data'!$C$17)="","",INDEX(SPOT_Import!$A$1:$Z$2488,1147,'Live Data'!$C$17)),"")</f>
        <v/>
      </c>
      <c r="G1147" s="54" t="str">
        <f>IFERROR(IF(INDEX(SPOT_Import!$A$1:$Z$2488,1147,'Live Data'!$C$18)="","",INDEX(SPOT_Import!$A$1:$Z$2488,1147,'Live Data'!$C$18)),"")</f>
        <v/>
      </c>
      <c r="H1147" s="54" t="str">
        <f>IFERROR(IF(INDEX(SPOT_Import!$A$1:$Z$2488,1147,'Live Data'!$C$19)="","",INDEX(SPOT_Import!$A$1:$Z$2488,1147,'Live Data'!$C$19)),"")</f>
        <v/>
      </c>
      <c r="I1147" s="54" t="str">
        <f>IFERROR(IF(INDEX(SPOT_Import!$A$1:$Z$2488,1147,'Live Data'!$C$20)="","",INDEX(SPOT_Import!$A$1:$Z$2488,1147,'Live Data'!$C$20)),"")</f>
        <v/>
      </c>
      <c r="J1147" s="54" t="str">
        <f>IFERROR(IF(INDEX(SPOT_Import!$A$1:$Z$2488,1147,'Live Data'!$C$21)="","",INDEX(SPOT_Import!$A$1:$Z$2488,1147,'Live Data'!$C$21)),"")</f>
        <v/>
      </c>
      <c r="K1147" s="54" t="str">
        <f>IFERROR(IF(INDEX(SPOT_Import!$A$1:$Z$2488,1147,'Live Data'!$C$22)="","",INDEX(SPOT_Import!$A$1:$Z$2488,1147,'Live Data'!$C$22)),"")</f>
        <v/>
      </c>
      <c r="L1147" s="55" t="str">
        <f t="shared" si="34"/>
        <v/>
      </c>
      <c r="M1147" s="55" t="str">
        <f t="shared" si="35"/>
        <v/>
      </c>
      <c r="N1147" s="55" t="str">
        <f>IF(A1147="","",IFERROR(INDEX('Cluster Map'!$A$4:$A$38,MATCH(M1147,'Cluster Map'!$B$4:$B$38,0)),"Unmapped"))</f>
        <v/>
      </c>
      <c r="O1147" s="55">
        <f>IF(A1147="",0,IF(COUNTIFS($A$2:A1147,A1147,$F$2:F1147,F1147,$L$2:L1147,L1147)=1,1,0))</f>
        <v>0</v>
      </c>
      <c r="P1147" s="55">
        <f>IF(A1147="",0,IF(AND(F1147="C&amp;T",COUNTIFS($A$2:A1147,A1147,$F$2:F1147,"C&amp;T")=1),1,0))</f>
        <v>0</v>
      </c>
    </row>
    <row r="1148" spans="1:16" x14ac:dyDescent="0.35">
      <c r="A1148" s="54" t="str">
        <f>IFERROR(IF(INDEX(SPOT_Import!$A$1:$Z$2488,1148,'Live Data'!$C$12)="","",INDEX(SPOT_Import!$A$1:$Z$2488,1148,'Live Data'!$C$12)),"")</f>
        <v/>
      </c>
      <c r="B1148" s="54" t="str">
        <f>IFERROR(IF(INDEX(SPOT_Import!$A$1:$Z$2488,1148,'Live Data'!$C$13)="","",INDEX(SPOT_Import!$A$1:$Z$2488,1148,'Live Data'!$C$13)),"")</f>
        <v/>
      </c>
      <c r="C1148" s="54" t="str">
        <f>IFERROR(IF(INDEX(SPOT_Import!$A$1:$Z$2488,1148,'Live Data'!$C$14)="","",INDEX(SPOT_Import!$A$1:$Z$2488,1148,'Live Data'!$C$14)),"")</f>
        <v/>
      </c>
      <c r="D1148" s="54" t="str">
        <f>IFERROR(IF(INDEX(SPOT_Import!$A$1:$Z$2488,1148,'Live Data'!$C$15)="","",INDEX(SPOT_Import!$A$1:$Z$2488,1148,'Live Data'!$C$15)),"")</f>
        <v/>
      </c>
      <c r="E1148" s="54" t="str">
        <f>IFERROR(IF(INDEX(SPOT_Import!$A$1:$Z$2488,1148,'Live Data'!$C$16)="","",INDEX(SPOT_Import!$A$1:$Z$2488,1148,'Live Data'!$C$16)),"")</f>
        <v/>
      </c>
      <c r="F1148" s="54" t="str">
        <f>IFERROR(IF(INDEX(SPOT_Import!$A$1:$Z$2488,1148,'Live Data'!$C$17)="","",INDEX(SPOT_Import!$A$1:$Z$2488,1148,'Live Data'!$C$17)),"")</f>
        <v/>
      </c>
      <c r="G1148" s="54" t="str">
        <f>IFERROR(IF(INDEX(SPOT_Import!$A$1:$Z$2488,1148,'Live Data'!$C$18)="","",INDEX(SPOT_Import!$A$1:$Z$2488,1148,'Live Data'!$C$18)),"")</f>
        <v/>
      </c>
      <c r="H1148" s="54" t="str">
        <f>IFERROR(IF(INDEX(SPOT_Import!$A$1:$Z$2488,1148,'Live Data'!$C$19)="","",INDEX(SPOT_Import!$A$1:$Z$2488,1148,'Live Data'!$C$19)),"")</f>
        <v/>
      </c>
      <c r="I1148" s="54" t="str">
        <f>IFERROR(IF(INDEX(SPOT_Import!$A$1:$Z$2488,1148,'Live Data'!$C$20)="","",INDEX(SPOT_Import!$A$1:$Z$2488,1148,'Live Data'!$C$20)),"")</f>
        <v/>
      </c>
      <c r="J1148" s="54" t="str">
        <f>IFERROR(IF(INDEX(SPOT_Import!$A$1:$Z$2488,1148,'Live Data'!$C$21)="","",INDEX(SPOT_Import!$A$1:$Z$2488,1148,'Live Data'!$C$21)),"")</f>
        <v/>
      </c>
      <c r="K1148" s="54" t="str">
        <f>IFERROR(IF(INDEX(SPOT_Import!$A$1:$Z$2488,1148,'Live Data'!$C$22)="","",INDEX(SPOT_Import!$A$1:$Z$2488,1148,'Live Data'!$C$22)),"")</f>
        <v/>
      </c>
      <c r="L1148" s="55" t="str">
        <f t="shared" si="34"/>
        <v/>
      </c>
      <c r="M1148" s="55" t="str">
        <f t="shared" si="35"/>
        <v/>
      </c>
      <c r="N1148" s="55" t="str">
        <f>IF(A1148="","",IFERROR(INDEX('Cluster Map'!$A$4:$A$38,MATCH(M1148,'Cluster Map'!$B$4:$B$38,0)),"Unmapped"))</f>
        <v/>
      </c>
      <c r="O1148" s="55">
        <f>IF(A1148="",0,IF(COUNTIFS($A$2:A1148,A1148,$F$2:F1148,F1148,$L$2:L1148,L1148)=1,1,0))</f>
        <v>0</v>
      </c>
      <c r="P1148" s="55">
        <f>IF(A1148="",0,IF(AND(F1148="C&amp;T",COUNTIFS($A$2:A1148,A1148,$F$2:F1148,"C&amp;T")=1),1,0))</f>
        <v>0</v>
      </c>
    </row>
    <row r="1149" spans="1:16" x14ac:dyDescent="0.35">
      <c r="A1149" s="54" t="str">
        <f>IFERROR(IF(INDEX(SPOT_Import!$A$1:$Z$2488,1149,'Live Data'!$C$12)="","",INDEX(SPOT_Import!$A$1:$Z$2488,1149,'Live Data'!$C$12)),"")</f>
        <v/>
      </c>
      <c r="B1149" s="54" t="str">
        <f>IFERROR(IF(INDEX(SPOT_Import!$A$1:$Z$2488,1149,'Live Data'!$C$13)="","",INDEX(SPOT_Import!$A$1:$Z$2488,1149,'Live Data'!$C$13)),"")</f>
        <v/>
      </c>
      <c r="C1149" s="54" t="str">
        <f>IFERROR(IF(INDEX(SPOT_Import!$A$1:$Z$2488,1149,'Live Data'!$C$14)="","",INDEX(SPOT_Import!$A$1:$Z$2488,1149,'Live Data'!$C$14)),"")</f>
        <v/>
      </c>
      <c r="D1149" s="54" t="str">
        <f>IFERROR(IF(INDEX(SPOT_Import!$A$1:$Z$2488,1149,'Live Data'!$C$15)="","",INDEX(SPOT_Import!$A$1:$Z$2488,1149,'Live Data'!$C$15)),"")</f>
        <v/>
      </c>
      <c r="E1149" s="54" t="str">
        <f>IFERROR(IF(INDEX(SPOT_Import!$A$1:$Z$2488,1149,'Live Data'!$C$16)="","",INDEX(SPOT_Import!$A$1:$Z$2488,1149,'Live Data'!$C$16)),"")</f>
        <v/>
      </c>
      <c r="F1149" s="54" t="str">
        <f>IFERROR(IF(INDEX(SPOT_Import!$A$1:$Z$2488,1149,'Live Data'!$C$17)="","",INDEX(SPOT_Import!$A$1:$Z$2488,1149,'Live Data'!$C$17)),"")</f>
        <v/>
      </c>
      <c r="G1149" s="54" t="str">
        <f>IFERROR(IF(INDEX(SPOT_Import!$A$1:$Z$2488,1149,'Live Data'!$C$18)="","",INDEX(SPOT_Import!$A$1:$Z$2488,1149,'Live Data'!$C$18)),"")</f>
        <v/>
      </c>
      <c r="H1149" s="54" t="str">
        <f>IFERROR(IF(INDEX(SPOT_Import!$A$1:$Z$2488,1149,'Live Data'!$C$19)="","",INDEX(SPOT_Import!$A$1:$Z$2488,1149,'Live Data'!$C$19)),"")</f>
        <v/>
      </c>
      <c r="I1149" s="54" t="str">
        <f>IFERROR(IF(INDEX(SPOT_Import!$A$1:$Z$2488,1149,'Live Data'!$C$20)="","",INDEX(SPOT_Import!$A$1:$Z$2488,1149,'Live Data'!$C$20)),"")</f>
        <v/>
      </c>
      <c r="J1149" s="54" t="str">
        <f>IFERROR(IF(INDEX(SPOT_Import!$A$1:$Z$2488,1149,'Live Data'!$C$21)="","",INDEX(SPOT_Import!$A$1:$Z$2488,1149,'Live Data'!$C$21)),"")</f>
        <v/>
      </c>
      <c r="K1149" s="54" t="str">
        <f>IFERROR(IF(INDEX(SPOT_Import!$A$1:$Z$2488,1149,'Live Data'!$C$22)="","",INDEX(SPOT_Import!$A$1:$Z$2488,1149,'Live Data'!$C$22)),"")</f>
        <v/>
      </c>
      <c r="L1149" s="55" t="str">
        <f t="shared" si="34"/>
        <v/>
      </c>
      <c r="M1149" s="55" t="str">
        <f t="shared" si="35"/>
        <v/>
      </c>
      <c r="N1149" s="55" t="str">
        <f>IF(A1149="","",IFERROR(INDEX('Cluster Map'!$A$4:$A$38,MATCH(M1149,'Cluster Map'!$B$4:$B$38,0)),"Unmapped"))</f>
        <v/>
      </c>
      <c r="O1149" s="55">
        <f>IF(A1149="",0,IF(COUNTIFS($A$2:A1149,A1149,$F$2:F1149,F1149,$L$2:L1149,L1149)=1,1,0))</f>
        <v>0</v>
      </c>
      <c r="P1149" s="55">
        <f>IF(A1149="",0,IF(AND(F1149="C&amp;T",COUNTIFS($A$2:A1149,A1149,$F$2:F1149,"C&amp;T")=1),1,0))</f>
        <v>0</v>
      </c>
    </row>
    <row r="1150" spans="1:16" x14ac:dyDescent="0.35">
      <c r="A1150" s="54" t="str">
        <f>IFERROR(IF(INDEX(SPOT_Import!$A$1:$Z$2488,1150,'Live Data'!$C$12)="","",INDEX(SPOT_Import!$A$1:$Z$2488,1150,'Live Data'!$C$12)),"")</f>
        <v/>
      </c>
      <c r="B1150" s="54" t="str">
        <f>IFERROR(IF(INDEX(SPOT_Import!$A$1:$Z$2488,1150,'Live Data'!$C$13)="","",INDEX(SPOT_Import!$A$1:$Z$2488,1150,'Live Data'!$C$13)),"")</f>
        <v/>
      </c>
      <c r="C1150" s="54" t="str">
        <f>IFERROR(IF(INDEX(SPOT_Import!$A$1:$Z$2488,1150,'Live Data'!$C$14)="","",INDEX(SPOT_Import!$A$1:$Z$2488,1150,'Live Data'!$C$14)),"")</f>
        <v/>
      </c>
      <c r="D1150" s="54" t="str">
        <f>IFERROR(IF(INDEX(SPOT_Import!$A$1:$Z$2488,1150,'Live Data'!$C$15)="","",INDEX(SPOT_Import!$A$1:$Z$2488,1150,'Live Data'!$C$15)),"")</f>
        <v/>
      </c>
      <c r="E1150" s="54" t="str">
        <f>IFERROR(IF(INDEX(SPOT_Import!$A$1:$Z$2488,1150,'Live Data'!$C$16)="","",INDEX(SPOT_Import!$A$1:$Z$2488,1150,'Live Data'!$C$16)),"")</f>
        <v/>
      </c>
      <c r="F1150" s="54" t="str">
        <f>IFERROR(IF(INDEX(SPOT_Import!$A$1:$Z$2488,1150,'Live Data'!$C$17)="","",INDEX(SPOT_Import!$A$1:$Z$2488,1150,'Live Data'!$C$17)),"")</f>
        <v/>
      </c>
      <c r="G1150" s="54" t="str">
        <f>IFERROR(IF(INDEX(SPOT_Import!$A$1:$Z$2488,1150,'Live Data'!$C$18)="","",INDEX(SPOT_Import!$A$1:$Z$2488,1150,'Live Data'!$C$18)),"")</f>
        <v/>
      </c>
      <c r="H1150" s="54" t="str">
        <f>IFERROR(IF(INDEX(SPOT_Import!$A$1:$Z$2488,1150,'Live Data'!$C$19)="","",INDEX(SPOT_Import!$A$1:$Z$2488,1150,'Live Data'!$C$19)),"")</f>
        <v/>
      </c>
      <c r="I1150" s="54" t="str">
        <f>IFERROR(IF(INDEX(SPOT_Import!$A$1:$Z$2488,1150,'Live Data'!$C$20)="","",INDEX(SPOT_Import!$A$1:$Z$2488,1150,'Live Data'!$C$20)),"")</f>
        <v/>
      </c>
      <c r="J1150" s="54" t="str">
        <f>IFERROR(IF(INDEX(SPOT_Import!$A$1:$Z$2488,1150,'Live Data'!$C$21)="","",INDEX(SPOT_Import!$A$1:$Z$2488,1150,'Live Data'!$C$21)),"")</f>
        <v/>
      </c>
      <c r="K1150" s="54" t="str">
        <f>IFERROR(IF(INDEX(SPOT_Import!$A$1:$Z$2488,1150,'Live Data'!$C$22)="","",INDEX(SPOT_Import!$A$1:$Z$2488,1150,'Live Data'!$C$22)),"")</f>
        <v/>
      </c>
      <c r="L1150" s="55" t="str">
        <f t="shared" si="34"/>
        <v/>
      </c>
      <c r="M1150" s="55" t="str">
        <f t="shared" si="35"/>
        <v/>
      </c>
      <c r="N1150" s="55" t="str">
        <f>IF(A1150="","",IFERROR(INDEX('Cluster Map'!$A$4:$A$38,MATCH(M1150,'Cluster Map'!$B$4:$B$38,0)),"Unmapped"))</f>
        <v/>
      </c>
      <c r="O1150" s="55">
        <f>IF(A1150="",0,IF(COUNTIFS($A$2:A1150,A1150,$F$2:F1150,F1150,$L$2:L1150,L1150)=1,1,0))</f>
        <v>0</v>
      </c>
      <c r="P1150" s="55">
        <f>IF(A1150="",0,IF(AND(F1150="C&amp;T",COUNTIFS($A$2:A1150,A1150,$F$2:F1150,"C&amp;T")=1),1,0))</f>
        <v>0</v>
      </c>
    </row>
    <row r="1151" spans="1:16" x14ac:dyDescent="0.35">
      <c r="A1151" s="54" t="str">
        <f>IFERROR(IF(INDEX(SPOT_Import!$A$1:$Z$2488,1151,'Live Data'!$C$12)="","",INDEX(SPOT_Import!$A$1:$Z$2488,1151,'Live Data'!$C$12)),"")</f>
        <v/>
      </c>
      <c r="B1151" s="54" t="str">
        <f>IFERROR(IF(INDEX(SPOT_Import!$A$1:$Z$2488,1151,'Live Data'!$C$13)="","",INDEX(SPOT_Import!$A$1:$Z$2488,1151,'Live Data'!$C$13)),"")</f>
        <v/>
      </c>
      <c r="C1151" s="54" t="str">
        <f>IFERROR(IF(INDEX(SPOT_Import!$A$1:$Z$2488,1151,'Live Data'!$C$14)="","",INDEX(SPOT_Import!$A$1:$Z$2488,1151,'Live Data'!$C$14)),"")</f>
        <v/>
      </c>
      <c r="D1151" s="54" t="str">
        <f>IFERROR(IF(INDEX(SPOT_Import!$A$1:$Z$2488,1151,'Live Data'!$C$15)="","",INDEX(SPOT_Import!$A$1:$Z$2488,1151,'Live Data'!$C$15)),"")</f>
        <v/>
      </c>
      <c r="E1151" s="54" t="str">
        <f>IFERROR(IF(INDEX(SPOT_Import!$A$1:$Z$2488,1151,'Live Data'!$C$16)="","",INDEX(SPOT_Import!$A$1:$Z$2488,1151,'Live Data'!$C$16)),"")</f>
        <v/>
      </c>
      <c r="F1151" s="54" t="str">
        <f>IFERROR(IF(INDEX(SPOT_Import!$A$1:$Z$2488,1151,'Live Data'!$C$17)="","",INDEX(SPOT_Import!$A$1:$Z$2488,1151,'Live Data'!$C$17)),"")</f>
        <v/>
      </c>
      <c r="G1151" s="54" t="str">
        <f>IFERROR(IF(INDEX(SPOT_Import!$A$1:$Z$2488,1151,'Live Data'!$C$18)="","",INDEX(SPOT_Import!$A$1:$Z$2488,1151,'Live Data'!$C$18)),"")</f>
        <v/>
      </c>
      <c r="H1151" s="54" t="str">
        <f>IFERROR(IF(INDEX(SPOT_Import!$A$1:$Z$2488,1151,'Live Data'!$C$19)="","",INDEX(SPOT_Import!$A$1:$Z$2488,1151,'Live Data'!$C$19)),"")</f>
        <v/>
      </c>
      <c r="I1151" s="54" t="str">
        <f>IFERROR(IF(INDEX(SPOT_Import!$A$1:$Z$2488,1151,'Live Data'!$C$20)="","",INDEX(SPOT_Import!$A$1:$Z$2488,1151,'Live Data'!$C$20)),"")</f>
        <v/>
      </c>
      <c r="J1151" s="54" t="str">
        <f>IFERROR(IF(INDEX(SPOT_Import!$A$1:$Z$2488,1151,'Live Data'!$C$21)="","",INDEX(SPOT_Import!$A$1:$Z$2488,1151,'Live Data'!$C$21)),"")</f>
        <v/>
      </c>
      <c r="K1151" s="54" t="str">
        <f>IFERROR(IF(INDEX(SPOT_Import!$A$1:$Z$2488,1151,'Live Data'!$C$22)="","",INDEX(SPOT_Import!$A$1:$Z$2488,1151,'Live Data'!$C$22)),"")</f>
        <v/>
      </c>
      <c r="L1151" s="55" t="str">
        <f t="shared" si="34"/>
        <v/>
      </c>
      <c r="M1151" s="55" t="str">
        <f t="shared" si="35"/>
        <v/>
      </c>
      <c r="N1151" s="55" t="str">
        <f>IF(A1151="","",IFERROR(INDEX('Cluster Map'!$A$4:$A$38,MATCH(M1151,'Cluster Map'!$B$4:$B$38,0)),"Unmapped"))</f>
        <v/>
      </c>
      <c r="O1151" s="55">
        <f>IF(A1151="",0,IF(COUNTIFS($A$2:A1151,A1151,$F$2:F1151,F1151,$L$2:L1151,L1151)=1,1,0))</f>
        <v>0</v>
      </c>
      <c r="P1151" s="55">
        <f>IF(A1151="",0,IF(AND(F1151="C&amp;T",COUNTIFS($A$2:A1151,A1151,$F$2:F1151,"C&amp;T")=1),1,0))</f>
        <v>0</v>
      </c>
    </row>
    <row r="1152" spans="1:16" x14ac:dyDescent="0.35">
      <c r="A1152" s="54" t="str">
        <f>IFERROR(IF(INDEX(SPOT_Import!$A$1:$Z$2488,1152,'Live Data'!$C$12)="","",INDEX(SPOT_Import!$A$1:$Z$2488,1152,'Live Data'!$C$12)),"")</f>
        <v/>
      </c>
      <c r="B1152" s="54" t="str">
        <f>IFERROR(IF(INDEX(SPOT_Import!$A$1:$Z$2488,1152,'Live Data'!$C$13)="","",INDEX(SPOT_Import!$A$1:$Z$2488,1152,'Live Data'!$C$13)),"")</f>
        <v/>
      </c>
      <c r="C1152" s="54" t="str">
        <f>IFERROR(IF(INDEX(SPOT_Import!$A$1:$Z$2488,1152,'Live Data'!$C$14)="","",INDEX(SPOT_Import!$A$1:$Z$2488,1152,'Live Data'!$C$14)),"")</f>
        <v/>
      </c>
      <c r="D1152" s="54" t="str">
        <f>IFERROR(IF(INDEX(SPOT_Import!$A$1:$Z$2488,1152,'Live Data'!$C$15)="","",INDEX(SPOT_Import!$A$1:$Z$2488,1152,'Live Data'!$C$15)),"")</f>
        <v/>
      </c>
      <c r="E1152" s="54" t="str">
        <f>IFERROR(IF(INDEX(SPOT_Import!$A$1:$Z$2488,1152,'Live Data'!$C$16)="","",INDEX(SPOT_Import!$A$1:$Z$2488,1152,'Live Data'!$C$16)),"")</f>
        <v/>
      </c>
      <c r="F1152" s="54" t="str">
        <f>IFERROR(IF(INDEX(SPOT_Import!$A$1:$Z$2488,1152,'Live Data'!$C$17)="","",INDEX(SPOT_Import!$A$1:$Z$2488,1152,'Live Data'!$C$17)),"")</f>
        <v/>
      </c>
      <c r="G1152" s="54" t="str">
        <f>IFERROR(IF(INDEX(SPOT_Import!$A$1:$Z$2488,1152,'Live Data'!$C$18)="","",INDEX(SPOT_Import!$A$1:$Z$2488,1152,'Live Data'!$C$18)),"")</f>
        <v/>
      </c>
      <c r="H1152" s="54" t="str">
        <f>IFERROR(IF(INDEX(SPOT_Import!$A$1:$Z$2488,1152,'Live Data'!$C$19)="","",INDEX(SPOT_Import!$A$1:$Z$2488,1152,'Live Data'!$C$19)),"")</f>
        <v/>
      </c>
      <c r="I1152" s="54" t="str">
        <f>IFERROR(IF(INDEX(SPOT_Import!$A$1:$Z$2488,1152,'Live Data'!$C$20)="","",INDEX(SPOT_Import!$A$1:$Z$2488,1152,'Live Data'!$C$20)),"")</f>
        <v/>
      </c>
      <c r="J1152" s="54" t="str">
        <f>IFERROR(IF(INDEX(SPOT_Import!$A$1:$Z$2488,1152,'Live Data'!$C$21)="","",INDEX(SPOT_Import!$A$1:$Z$2488,1152,'Live Data'!$C$21)),"")</f>
        <v/>
      </c>
      <c r="K1152" s="54" t="str">
        <f>IFERROR(IF(INDEX(SPOT_Import!$A$1:$Z$2488,1152,'Live Data'!$C$22)="","",INDEX(SPOT_Import!$A$1:$Z$2488,1152,'Live Data'!$C$22)),"")</f>
        <v/>
      </c>
      <c r="L1152" s="55" t="str">
        <f t="shared" si="34"/>
        <v/>
      </c>
      <c r="M1152" s="55" t="str">
        <f t="shared" si="35"/>
        <v/>
      </c>
      <c r="N1152" s="55" t="str">
        <f>IF(A1152="","",IFERROR(INDEX('Cluster Map'!$A$4:$A$38,MATCH(M1152,'Cluster Map'!$B$4:$B$38,0)),"Unmapped"))</f>
        <v/>
      </c>
      <c r="O1152" s="55">
        <f>IF(A1152="",0,IF(COUNTIFS($A$2:A1152,A1152,$F$2:F1152,F1152,$L$2:L1152,L1152)=1,1,0))</f>
        <v>0</v>
      </c>
      <c r="P1152" s="55">
        <f>IF(A1152="",0,IF(AND(F1152="C&amp;T",COUNTIFS($A$2:A1152,A1152,$F$2:F1152,"C&amp;T")=1),1,0))</f>
        <v>0</v>
      </c>
    </row>
    <row r="1153" spans="1:16" x14ac:dyDescent="0.35">
      <c r="A1153" s="54" t="str">
        <f>IFERROR(IF(INDEX(SPOT_Import!$A$1:$Z$2488,1153,'Live Data'!$C$12)="","",INDEX(SPOT_Import!$A$1:$Z$2488,1153,'Live Data'!$C$12)),"")</f>
        <v/>
      </c>
      <c r="B1153" s="54" t="str">
        <f>IFERROR(IF(INDEX(SPOT_Import!$A$1:$Z$2488,1153,'Live Data'!$C$13)="","",INDEX(SPOT_Import!$A$1:$Z$2488,1153,'Live Data'!$C$13)),"")</f>
        <v/>
      </c>
      <c r="C1153" s="54" t="str">
        <f>IFERROR(IF(INDEX(SPOT_Import!$A$1:$Z$2488,1153,'Live Data'!$C$14)="","",INDEX(SPOT_Import!$A$1:$Z$2488,1153,'Live Data'!$C$14)),"")</f>
        <v/>
      </c>
      <c r="D1153" s="54" t="str">
        <f>IFERROR(IF(INDEX(SPOT_Import!$A$1:$Z$2488,1153,'Live Data'!$C$15)="","",INDEX(SPOT_Import!$A$1:$Z$2488,1153,'Live Data'!$C$15)),"")</f>
        <v/>
      </c>
      <c r="E1153" s="54" t="str">
        <f>IFERROR(IF(INDEX(SPOT_Import!$A$1:$Z$2488,1153,'Live Data'!$C$16)="","",INDEX(SPOT_Import!$A$1:$Z$2488,1153,'Live Data'!$C$16)),"")</f>
        <v/>
      </c>
      <c r="F1153" s="54" t="str">
        <f>IFERROR(IF(INDEX(SPOT_Import!$A$1:$Z$2488,1153,'Live Data'!$C$17)="","",INDEX(SPOT_Import!$A$1:$Z$2488,1153,'Live Data'!$C$17)),"")</f>
        <v/>
      </c>
      <c r="G1153" s="54" t="str">
        <f>IFERROR(IF(INDEX(SPOT_Import!$A$1:$Z$2488,1153,'Live Data'!$C$18)="","",INDEX(SPOT_Import!$A$1:$Z$2488,1153,'Live Data'!$C$18)),"")</f>
        <v/>
      </c>
      <c r="H1153" s="54" t="str">
        <f>IFERROR(IF(INDEX(SPOT_Import!$A$1:$Z$2488,1153,'Live Data'!$C$19)="","",INDEX(SPOT_Import!$A$1:$Z$2488,1153,'Live Data'!$C$19)),"")</f>
        <v/>
      </c>
      <c r="I1153" s="54" t="str">
        <f>IFERROR(IF(INDEX(SPOT_Import!$A$1:$Z$2488,1153,'Live Data'!$C$20)="","",INDEX(SPOT_Import!$A$1:$Z$2488,1153,'Live Data'!$C$20)),"")</f>
        <v/>
      </c>
      <c r="J1153" s="54" t="str">
        <f>IFERROR(IF(INDEX(SPOT_Import!$A$1:$Z$2488,1153,'Live Data'!$C$21)="","",INDEX(SPOT_Import!$A$1:$Z$2488,1153,'Live Data'!$C$21)),"")</f>
        <v/>
      </c>
      <c r="K1153" s="54" t="str">
        <f>IFERROR(IF(INDEX(SPOT_Import!$A$1:$Z$2488,1153,'Live Data'!$C$22)="","",INDEX(SPOT_Import!$A$1:$Z$2488,1153,'Live Data'!$C$22)),"")</f>
        <v/>
      </c>
      <c r="L1153" s="55" t="str">
        <f t="shared" si="34"/>
        <v/>
      </c>
      <c r="M1153" s="55" t="str">
        <f t="shared" si="35"/>
        <v/>
      </c>
      <c r="N1153" s="55" t="str">
        <f>IF(A1153="","",IFERROR(INDEX('Cluster Map'!$A$4:$A$38,MATCH(M1153,'Cluster Map'!$B$4:$B$38,0)),"Unmapped"))</f>
        <v/>
      </c>
      <c r="O1153" s="55">
        <f>IF(A1153="",0,IF(COUNTIFS($A$2:A1153,A1153,$F$2:F1153,F1153,$L$2:L1153,L1153)=1,1,0))</f>
        <v>0</v>
      </c>
      <c r="P1153" s="55">
        <f>IF(A1153="",0,IF(AND(F1153="C&amp;T",COUNTIFS($A$2:A1153,A1153,$F$2:F1153,"C&amp;T")=1),1,0))</f>
        <v>0</v>
      </c>
    </row>
    <row r="1154" spans="1:16" x14ac:dyDescent="0.35">
      <c r="A1154" s="54" t="str">
        <f>IFERROR(IF(INDEX(SPOT_Import!$A$1:$Z$2488,1154,'Live Data'!$C$12)="","",INDEX(SPOT_Import!$A$1:$Z$2488,1154,'Live Data'!$C$12)),"")</f>
        <v/>
      </c>
      <c r="B1154" s="54" t="str">
        <f>IFERROR(IF(INDEX(SPOT_Import!$A$1:$Z$2488,1154,'Live Data'!$C$13)="","",INDEX(SPOT_Import!$A$1:$Z$2488,1154,'Live Data'!$C$13)),"")</f>
        <v/>
      </c>
      <c r="C1154" s="54" t="str">
        <f>IFERROR(IF(INDEX(SPOT_Import!$A$1:$Z$2488,1154,'Live Data'!$C$14)="","",INDEX(SPOT_Import!$A$1:$Z$2488,1154,'Live Data'!$C$14)),"")</f>
        <v/>
      </c>
      <c r="D1154" s="54" t="str">
        <f>IFERROR(IF(INDEX(SPOT_Import!$A$1:$Z$2488,1154,'Live Data'!$C$15)="","",INDEX(SPOT_Import!$A$1:$Z$2488,1154,'Live Data'!$C$15)),"")</f>
        <v/>
      </c>
      <c r="E1154" s="54" t="str">
        <f>IFERROR(IF(INDEX(SPOT_Import!$A$1:$Z$2488,1154,'Live Data'!$C$16)="","",INDEX(SPOT_Import!$A$1:$Z$2488,1154,'Live Data'!$C$16)),"")</f>
        <v/>
      </c>
      <c r="F1154" s="54" t="str">
        <f>IFERROR(IF(INDEX(SPOT_Import!$A$1:$Z$2488,1154,'Live Data'!$C$17)="","",INDEX(SPOT_Import!$A$1:$Z$2488,1154,'Live Data'!$C$17)),"")</f>
        <v/>
      </c>
      <c r="G1154" s="54" t="str">
        <f>IFERROR(IF(INDEX(SPOT_Import!$A$1:$Z$2488,1154,'Live Data'!$C$18)="","",INDEX(SPOT_Import!$A$1:$Z$2488,1154,'Live Data'!$C$18)),"")</f>
        <v/>
      </c>
      <c r="H1154" s="54" t="str">
        <f>IFERROR(IF(INDEX(SPOT_Import!$A$1:$Z$2488,1154,'Live Data'!$C$19)="","",INDEX(SPOT_Import!$A$1:$Z$2488,1154,'Live Data'!$C$19)),"")</f>
        <v/>
      </c>
      <c r="I1154" s="54" t="str">
        <f>IFERROR(IF(INDEX(SPOT_Import!$A$1:$Z$2488,1154,'Live Data'!$C$20)="","",INDEX(SPOT_Import!$A$1:$Z$2488,1154,'Live Data'!$C$20)),"")</f>
        <v/>
      </c>
      <c r="J1154" s="54" t="str">
        <f>IFERROR(IF(INDEX(SPOT_Import!$A$1:$Z$2488,1154,'Live Data'!$C$21)="","",INDEX(SPOT_Import!$A$1:$Z$2488,1154,'Live Data'!$C$21)),"")</f>
        <v/>
      </c>
      <c r="K1154" s="54" t="str">
        <f>IFERROR(IF(INDEX(SPOT_Import!$A$1:$Z$2488,1154,'Live Data'!$C$22)="","",INDEX(SPOT_Import!$A$1:$Z$2488,1154,'Live Data'!$C$22)),"")</f>
        <v/>
      </c>
      <c r="L1154" s="55" t="str">
        <f t="shared" ref="L1154:L1217" si="36">IF(A1154="","",IF(ISNUMBER(K1154),TEXT(K1154,"yyyy-mm"),LEFT(K1154,7)))</f>
        <v/>
      </c>
      <c r="M1154" s="55" t="str">
        <f t="shared" ref="M1154:M1217" si="37">IF(A1154="","",UPPER(TRIM(SUBSTITUTE(C1154," - ","-"))))</f>
        <v/>
      </c>
      <c r="N1154" s="55" t="str">
        <f>IF(A1154="","",IFERROR(INDEX('Cluster Map'!$A$4:$A$38,MATCH(M1154,'Cluster Map'!$B$4:$B$38,0)),"Unmapped"))</f>
        <v/>
      </c>
      <c r="O1154" s="55">
        <f>IF(A1154="",0,IF(COUNTIFS($A$2:A1154,A1154,$F$2:F1154,F1154,$L$2:L1154,L1154)=1,1,0))</f>
        <v>0</v>
      </c>
      <c r="P1154" s="55">
        <f>IF(A1154="",0,IF(AND(F1154="C&amp;T",COUNTIFS($A$2:A1154,A1154,$F$2:F1154,"C&amp;T")=1),1,0))</f>
        <v>0</v>
      </c>
    </row>
    <row r="1155" spans="1:16" x14ac:dyDescent="0.35">
      <c r="A1155" s="54" t="str">
        <f>IFERROR(IF(INDEX(SPOT_Import!$A$1:$Z$2488,1155,'Live Data'!$C$12)="","",INDEX(SPOT_Import!$A$1:$Z$2488,1155,'Live Data'!$C$12)),"")</f>
        <v/>
      </c>
      <c r="B1155" s="54" t="str">
        <f>IFERROR(IF(INDEX(SPOT_Import!$A$1:$Z$2488,1155,'Live Data'!$C$13)="","",INDEX(SPOT_Import!$A$1:$Z$2488,1155,'Live Data'!$C$13)),"")</f>
        <v/>
      </c>
      <c r="C1155" s="54" t="str">
        <f>IFERROR(IF(INDEX(SPOT_Import!$A$1:$Z$2488,1155,'Live Data'!$C$14)="","",INDEX(SPOT_Import!$A$1:$Z$2488,1155,'Live Data'!$C$14)),"")</f>
        <v/>
      </c>
      <c r="D1155" s="54" t="str">
        <f>IFERROR(IF(INDEX(SPOT_Import!$A$1:$Z$2488,1155,'Live Data'!$C$15)="","",INDEX(SPOT_Import!$A$1:$Z$2488,1155,'Live Data'!$C$15)),"")</f>
        <v/>
      </c>
      <c r="E1155" s="54" t="str">
        <f>IFERROR(IF(INDEX(SPOT_Import!$A$1:$Z$2488,1155,'Live Data'!$C$16)="","",INDEX(SPOT_Import!$A$1:$Z$2488,1155,'Live Data'!$C$16)),"")</f>
        <v/>
      </c>
      <c r="F1155" s="54" t="str">
        <f>IFERROR(IF(INDEX(SPOT_Import!$A$1:$Z$2488,1155,'Live Data'!$C$17)="","",INDEX(SPOT_Import!$A$1:$Z$2488,1155,'Live Data'!$C$17)),"")</f>
        <v/>
      </c>
      <c r="G1155" s="54" t="str">
        <f>IFERROR(IF(INDEX(SPOT_Import!$A$1:$Z$2488,1155,'Live Data'!$C$18)="","",INDEX(SPOT_Import!$A$1:$Z$2488,1155,'Live Data'!$C$18)),"")</f>
        <v/>
      </c>
      <c r="H1155" s="54" t="str">
        <f>IFERROR(IF(INDEX(SPOT_Import!$A$1:$Z$2488,1155,'Live Data'!$C$19)="","",INDEX(SPOT_Import!$A$1:$Z$2488,1155,'Live Data'!$C$19)),"")</f>
        <v/>
      </c>
      <c r="I1155" s="54" t="str">
        <f>IFERROR(IF(INDEX(SPOT_Import!$A$1:$Z$2488,1155,'Live Data'!$C$20)="","",INDEX(SPOT_Import!$A$1:$Z$2488,1155,'Live Data'!$C$20)),"")</f>
        <v/>
      </c>
      <c r="J1155" s="54" t="str">
        <f>IFERROR(IF(INDEX(SPOT_Import!$A$1:$Z$2488,1155,'Live Data'!$C$21)="","",INDEX(SPOT_Import!$A$1:$Z$2488,1155,'Live Data'!$C$21)),"")</f>
        <v/>
      </c>
      <c r="K1155" s="54" t="str">
        <f>IFERROR(IF(INDEX(SPOT_Import!$A$1:$Z$2488,1155,'Live Data'!$C$22)="","",INDEX(SPOT_Import!$A$1:$Z$2488,1155,'Live Data'!$C$22)),"")</f>
        <v/>
      </c>
      <c r="L1155" s="55" t="str">
        <f t="shared" si="36"/>
        <v/>
      </c>
      <c r="M1155" s="55" t="str">
        <f t="shared" si="37"/>
        <v/>
      </c>
      <c r="N1155" s="55" t="str">
        <f>IF(A1155="","",IFERROR(INDEX('Cluster Map'!$A$4:$A$38,MATCH(M1155,'Cluster Map'!$B$4:$B$38,0)),"Unmapped"))</f>
        <v/>
      </c>
      <c r="O1155" s="55">
        <f>IF(A1155="",0,IF(COUNTIFS($A$2:A1155,A1155,$F$2:F1155,F1155,$L$2:L1155,L1155)=1,1,0))</f>
        <v>0</v>
      </c>
      <c r="P1155" s="55">
        <f>IF(A1155="",0,IF(AND(F1155="C&amp;T",COUNTIFS($A$2:A1155,A1155,$F$2:F1155,"C&amp;T")=1),1,0))</f>
        <v>0</v>
      </c>
    </row>
    <row r="1156" spans="1:16" x14ac:dyDescent="0.35">
      <c r="A1156" s="54" t="str">
        <f>IFERROR(IF(INDEX(SPOT_Import!$A$1:$Z$2488,1156,'Live Data'!$C$12)="","",INDEX(SPOT_Import!$A$1:$Z$2488,1156,'Live Data'!$C$12)),"")</f>
        <v/>
      </c>
      <c r="B1156" s="54" t="str">
        <f>IFERROR(IF(INDEX(SPOT_Import!$A$1:$Z$2488,1156,'Live Data'!$C$13)="","",INDEX(SPOT_Import!$A$1:$Z$2488,1156,'Live Data'!$C$13)),"")</f>
        <v/>
      </c>
      <c r="C1156" s="54" t="str">
        <f>IFERROR(IF(INDEX(SPOT_Import!$A$1:$Z$2488,1156,'Live Data'!$C$14)="","",INDEX(SPOT_Import!$A$1:$Z$2488,1156,'Live Data'!$C$14)),"")</f>
        <v/>
      </c>
      <c r="D1156" s="54" t="str">
        <f>IFERROR(IF(INDEX(SPOT_Import!$A$1:$Z$2488,1156,'Live Data'!$C$15)="","",INDEX(SPOT_Import!$A$1:$Z$2488,1156,'Live Data'!$C$15)),"")</f>
        <v/>
      </c>
      <c r="E1156" s="54" t="str">
        <f>IFERROR(IF(INDEX(SPOT_Import!$A$1:$Z$2488,1156,'Live Data'!$C$16)="","",INDEX(SPOT_Import!$A$1:$Z$2488,1156,'Live Data'!$C$16)),"")</f>
        <v/>
      </c>
      <c r="F1156" s="54" t="str">
        <f>IFERROR(IF(INDEX(SPOT_Import!$A$1:$Z$2488,1156,'Live Data'!$C$17)="","",INDEX(SPOT_Import!$A$1:$Z$2488,1156,'Live Data'!$C$17)),"")</f>
        <v/>
      </c>
      <c r="G1156" s="54" t="str">
        <f>IFERROR(IF(INDEX(SPOT_Import!$A$1:$Z$2488,1156,'Live Data'!$C$18)="","",INDEX(SPOT_Import!$A$1:$Z$2488,1156,'Live Data'!$C$18)),"")</f>
        <v/>
      </c>
      <c r="H1156" s="54" t="str">
        <f>IFERROR(IF(INDEX(SPOT_Import!$A$1:$Z$2488,1156,'Live Data'!$C$19)="","",INDEX(SPOT_Import!$A$1:$Z$2488,1156,'Live Data'!$C$19)),"")</f>
        <v/>
      </c>
      <c r="I1156" s="54" t="str">
        <f>IFERROR(IF(INDEX(SPOT_Import!$A$1:$Z$2488,1156,'Live Data'!$C$20)="","",INDEX(SPOT_Import!$A$1:$Z$2488,1156,'Live Data'!$C$20)),"")</f>
        <v/>
      </c>
      <c r="J1156" s="54" t="str">
        <f>IFERROR(IF(INDEX(SPOT_Import!$A$1:$Z$2488,1156,'Live Data'!$C$21)="","",INDEX(SPOT_Import!$A$1:$Z$2488,1156,'Live Data'!$C$21)),"")</f>
        <v/>
      </c>
      <c r="K1156" s="54" t="str">
        <f>IFERROR(IF(INDEX(SPOT_Import!$A$1:$Z$2488,1156,'Live Data'!$C$22)="","",INDEX(SPOT_Import!$A$1:$Z$2488,1156,'Live Data'!$C$22)),"")</f>
        <v/>
      </c>
      <c r="L1156" s="55" t="str">
        <f t="shared" si="36"/>
        <v/>
      </c>
      <c r="M1156" s="55" t="str">
        <f t="shared" si="37"/>
        <v/>
      </c>
      <c r="N1156" s="55" t="str">
        <f>IF(A1156="","",IFERROR(INDEX('Cluster Map'!$A$4:$A$38,MATCH(M1156,'Cluster Map'!$B$4:$B$38,0)),"Unmapped"))</f>
        <v/>
      </c>
      <c r="O1156" s="55">
        <f>IF(A1156="",0,IF(COUNTIFS($A$2:A1156,A1156,$F$2:F1156,F1156,$L$2:L1156,L1156)=1,1,0))</f>
        <v>0</v>
      </c>
      <c r="P1156" s="55">
        <f>IF(A1156="",0,IF(AND(F1156="C&amp;T",COUNTIFS($A$2:A1156,A1156,$F$2:F1156,"C&amp;T")=1),1,0))</f>
        <v>0</v>
      </c>
    </row>
    <row r="1157" spans="1:16" x14ac:dyDescent="0.35">
      <c r="A1157" s="54" t="str">
        <f>IFERROR(IF(INDEX(SPOT_Import!$A$1:$Z$2488,1157,'Live Data'!$C$12)="","",INDEX(SPOT_Import!$A$1:$Z$2488,1157,'Live Data'!$C$12)),"")</f>
        <v/>
      </c>
      <c r="B1157" s="54" t="str">
        <f>IFERROR(IF(INDEX(SPOT_Import!$A$1:$Z$2488,1157,'Live Data'!$C$13)="","",INDEX(SPOT_Import!$A$1:$Z$2488,1157,'Live Data'!$C$13)),"")</f>
        <v/>
      </c>
      <c r="C1157" s="54" t="str">
        <f>IFERROR(IF(INDEX(SPOT_Import!$A$1:$Z$2488,1157,'Live Data'!$C$14)="","",INDEX(SPOT_Import!$A$1:$Z$2488,1157,'Live Data'!$C$14)),"")</f>
        <v/>
      </c>
      <c r="D1157" s="54" t="str">
        <f>IFERROR(IF(INDEX(SPOT_Import!$A$1:$Z$2488,1157,'Live Data'!$C$15)="","",INDEX(SPOT_Import!$A$1:$Z$2488,1157,'Live Data'!$C$15)),"")</f>
        <v/>
      </c>
      <c r="E1157" s="54" t="str">
        <f>IFERROR(IF(INDEX(SPOT_Import!$A$1:$Z$2488,1157,'Live Data'!$C$16)="","",INDEX(SPOT_Import!$A$1:$Z$2488,1157,'Live Data'!$C$16)),"")</f>
        <v/>
      </c>
      <c r="F1157" s="54" t="str">
        <f>IFERROR(IF(INDEX(SPOT_Import!$A$1:$Z$2488,1157,'Live Data'!$C$17)="","",INDEX(SPOT_Import!$A$1:$Z$2488,1157,'Live Data'!$C$17)),"")</f>
        <v/>
      </c>
      <c r="G1157" s="54" t="str">
        <f>IFERROR(IF(INDEX(SPOT_Import!$A$1:$Z$2488,1157,'Live Data'!$C$18)="","",INDEX(SPOT_Import!$A$1:$Z$2488,1157,'Live Data'!$C$18)),"")</f>
        <v/>
      </c>
      <c r="H1157" s="54" t="str">
        <f>IFERROR(IF(INDEX(SPOT_Import!$A$1:$Z$2488,1157,'Live Data'!$C$19)="","",INDEX(SPOT_Import!$A$1:$Z$2488,1157,'Live Data'!$C$19)),"")</f>
        <v/>
      </c>
      <c r="I1157" s="54" t="str">
        <f>IFERROR(IF(INDEX(SPOT_Import!$A$1:$Z$2488,1157,'Live Data'!$C$20)="","",INDEX(SPOT_Import!$A$1:$Z$2488,1157,'Live Data'!$C$20)),"")</f>
        <v/>
      </c>
      <c r="J1157" s="54" t="str">
        <f>IFERROR(IF(INDEX(SPOT_Import!$A$1:$Z$2488,1157,'Live Data'!$C$21)="","",INDEX(SPOT_Import!$A$1:$Z$2488,1157,'Live Data'!$C$21)),"")</f>
        <v/>
      </c>
      <c r="K1157" s="54" t="str">
        <f>IFERROR(IF(INDEX(SPOT_Import!$A$1:$Z$2488,1157,'Live Data'!$C$22)="","",INDEX(SPOT_Import!$A$1:$Z$2488,1157,'Live Data'!$C$22)),"")</f>
        <v/>
      </c>
      <c r="L1157" s="55" t="str">
        <f t="shared" si="36"/>
        <v/>
      </c>
      <c r="M1157" s="55" t="str">
        <f t="shared" si="37"/>
        <v/>
      </c>
      <c r="N1157" s="55" t="str">
        <f>IF(A1157="","",IFERROR(INDEX('Cluster Map'!$A$4:$A$38,MATCH(M1157,'Cluster Map'!$B$4:$B$38,0)),"Unmapped"))</f>
        <v/>
      </c>
      <c r="O1157" s="55">
        <f>IF(A1157="",0,IF(COUNTIFS($A$2:A1157,A1157,$F$2:F1157,F1157,$L$2:L1157,L1157)=1,1,0))</f>
        <v>0</v>
      </c>
      <c r="P1157" s="55">
        <f>IF(A1157="",0,IF(AND(F1157="C&amp;T",COUNTIFS($A$2:A1157,A1157,$F$2:F1157,"C&amp;T")=1),1,0))</f>
        <v>0</v>
      </c>
    </row>
    <row r="1158" spans="1:16" x14ac:dyDescent="0.35">
      <c r="A1158" s="54" t="str">
        <f>IFERROR(IF(INDEX(SPOT_Import!$A$1:$Z$2488,1158,'Live Data'!$C$12)="","",INDEX(SPOT_Import!$A$1:$Z$2488,1158,'Live Data'!$C$12)),"")</f>
        <v/>
      </c>
      <c r="B1158" s="54" t="str">
        <f>IFERROR(IF(INDEX(SPOT_Import!$A$1:$Z$2488,1158,'Live Data'!$C$13)="","",INDEX(SPOT_Import!$A$1:$Z$2488,1158,'Live Data'!$C$13)),"")</f>
        <v/>
      </c>
      <c r="C1158" s="54" t="str">
        <f>IFERROR(IF(INDEX(SPOT_Import!$A$1:$Z$2488,1158,'Live Data'!$C$14)="","",INDEX(SPOT_Import!$A$1:$Z$2488,1158,'Live Data'!$C$14)),"")</f>
        <v/>
      </c>
      <c r="D1158" s="54" t="str">
        <f>IFERROR(IF(INDEX(SPOT_Import!$A$1:$Z$2488,1158,'Live Data'!$C$15)="","",INDEX(SPOT_Import!$A$1:$Z$2488,1158,'Live Data'!$C$15)),"")</f>
        <v/>
      </c>
      <c r="E1158" s="54" t="str">
        <f>IFERROR(IF(INDEX(SPOT_Import!$A$1:$Z$2488,1158,'Live Data'!$C$16)="","",INDEX(SPOT_Import!$A$1:$Z$2488,1158,'Live Data'!$C$16)),"")</f>
        <v/>
      </c>
      <c r="F1158" s="54" t="str">
        <f>IFERROR(IF(INDEX(SPOT_Import!$A$1:$Z$2488,1158,'Live Data'!$C$17)="","",INDEX(SPOT_Import!$A$1:$Z$2488,1158,'Live Data'!$C$17)),"")</f>
        <v/>
      </c>
      <c r="G1158" s="54" t="str">
        <f>IFERROR(IF(INDEX(SPOT_Import!$A$1:$Z$2488,1158,'Live Data'!$C$18)="","",INDEX(SPOT_Import!$A$1:$Z$2488,1158,'Live Data'!$C$18)),"")</f>
        <v/>
      </c>
      <c r="H1158" s="54" t="str">
        <f>IFERROR(IF(INDEX(SPOT_Import!$A$1:$Z$2488,1158,'Live Data'!$C$19)="","",INDEX(SPOT_Import!$A$1:$Z$2488,1158,'Live Data'!$C$19)),"")</f>
        <v/>
      </c>
      <c r="I1158" s="54" t="str">
        <f>IFERROR(IF(INDEX(SPOT_Import!$A$1:$Z$2488,1158,'Live Data'!$C$20)="","",INDEX(SPOT_Import!$A$1:$Z$2488,1158,'Live Data'!$C$20)),"")</f>
        <v/>
      </c>
      <c r="J1158" s="54" t="str">
        <f>IFERROR(IF(INDEX(SPOT_Import!$A$1:$Z$2488,1158,'Live Data'!$C$21)="","",INDEX(SPOT_Import!$A$1:$Z$2488,1158,'Live Data'!$C$21)),"")</f>
        <v/>
      </c>
      <c r="K1158" s="54" t="str">
        <f>IFERROR(IF(INDEX(SPOT_Import!$A$1:$Z$2488,1158,'Live Data'!$C$22)="","",INDEX(SPOT_Import!$A$1:$Z$2488,1158,'Live Data'!$C$22)),"")</f>
        <v/>
      </c>
      <c r="L1158" s="55" t="str">
        <f t="shared" si="36"/>
        <v/>
      </c>
      <c r="M1158" s="55" t="str">
        <f t="shared" si="37"/>
        <v/>
      </c>
      <c r="N1158" s="55" t="str">
        <f>IF(A1158="","",IFERROR(INDEX('Cluster Map'!$A$4:$A$38,MATCH(M1158,'Cluster Map'!$B$4:$B$38,0)),"Unmapped"))</f>
        <v/>
      </c>
      <c r="O1158" s="55">
        <f>IF(A1158="",0,IF(COUNTIFS($A$2:A1158,A1158,$F$2:F1158,F1158,$L$2:L1158,L1158)=1,1,0))</f>
        <v>0</v>
      </c>
      <c r="P1158" s="55">
        <f>IF(A1158="",0,IF(AND(F1158="C&amp;T",COUNTIFS($A$2:A1158,A1158,$F$2:F1158,"C&amp;T")=1),1,0))</f>
        <v>0</v>
      </c>
    </row>
    <row r="1159" spans="1:16" x14ac:dyDescent="0.35">
      <c r="A1159" s="54" t="str">
        <f>IFERROR(IF(INDEX(SPOT_Import!$A$1:$Z$2488,1159,'Live Data'!$C$12)="","",INDEX(SPOT_Import!$A$1:$Z$2488,1159,'Live Data'!$C$12)),"")</f>
        <v/>
      </c>
      <c r="B1159" s="54" t="str">
        <f>IFERROR(IF(INDEX(SPOT_Import!$A$1:$Z$2488,1159,'Live Data'!$C$13)="","",INDEX(SPOT_Import!$A$1:$Z$2488,1159,'Live Data'!$C$13)),"")</f>
        <v/>
      </c>
      <c r="C1159" s="54" t="str">
        <f>IFERROR(IF(INDEX(SPOT_Import!$A$1:$Z$2488,1159,'Live Data'!$C$14)="","",INDEX(SPOT_Import!$A$1:$Z$2488,1159,'Live Data'!$C$14)),"")</f>
        <v/>
      </c>
      <c r="D1159" s="54" t="str">
        <f>IFERROR(IF(INDEX(SPOT_Import!$A$1:$Z$2488,1159,'Live Data'!$C$15)="","",INDEX(SPOT_Import!$A$1:$Z$2488,1159,'Live Data'!$C$15)),"")</f>
        <v/>
      </c>
      <c r="E1159" s="54" t="str">
        <f>IFERROR(IF(INDEX(SPOT_Import!$A$1:$Z$2488,1159,'Live Data'!$C$16)="","",INDEX(SPOT_Import!$A$1:$Z$2488,1159,'Live Data'!$C$16)),"")</f>
        <v/>
      </c>
      <c r="F1159" s="54" t="str">
        <f>IFERROR(IF(INDEX(SPOT_Import!$A$1:$Z$2488,1159,'Live Data'!$C$17)="","",INDEX(SPOT_Import!$A$1:$Z$2488,1159,'Live Data'!$C$17)),"")</f>
        <v/>
      </c>
      <c r="G1159" s="54" t="str">
        <f>IFERROR(IF(INDEX(SPOT_Import!$A$1:$Z$2488,1159,'Live Data'!$C$18)="","",INDEX(SPOT_Import!$A$1:$Z$2488,1159,'Live Data'!$C$18)),"")</f>
        <v/>
      </c>
      <c r="H1159" s="54" t="str">
        <f>IFERROR(IF(INDEX(SPOT_Import!$A$1:$Z$2488,1159,'Live Data'!$C$19)="","",INDEX(SPOT_Import!$A$1:$Z$2488,1159,'Live Data'!$C$19)),"")</f>
        <v/>
      </c>
      <c r="I1159" s="54" t="str">
        <f>IFERROR(IF(INDEX(SPOT_Import!$A$1:$Z$2488,1159,'Live Data'!$C$20)="","",INDEX(SPOT_Import!$A$1:$Z$2488,1159,'Live Data'!$C$20)),"")</f>
        <v/>
      </c>
      <c r="J1159" s="54" t="str">
        <f>IFERROR(IF(INDEX(SPOT_Import!$A$1:$Z$2488,1159,'Live Data'!$C$21)="","",INDEX(SPOT_Import!$A$1:$Z$2488,1159,'Live Data'!$C$21)),"")</f>
        <v/>
      </c>
      <c r="K1159" s="54" t="str">
        <f>IFERROR(IF(INDEX(SPOT_Import!$A$1:$Z$2488,1159,'Live Data'!$C$22)="","",INDEX(SPOT_Import!$A$1:$Z$2488,1159,'Live Data'!$C$22)),"")</f>
        <v/>
      </c>
      <c r="L1159" s="55" t="str">
        <f t="shared" si="36"/>
        <v/>
      </c>
      <c r="M1159" s="55" t="str">
        <f t="shared" si="37"/>
        <v/>
      </c>
      <c r="N1159" s="55" t="str">
        <f>IF(A1159="","",IFERROR(INDEX('Cluster Map'!$A$4:$A$38,MATCH(M1159,'Cluster Map'!$B$4:$B$38,0)),"Unmapped"))</f>
        <v/>
      </c>
      <c r="O1159" s="55">
        <f>IF(A1159="",0,IF(COUNTIFS($A$2:A1159,A1159,$F$2:F1159,F1159,$L$2:L1159,L1159)=1,1,0))</f>
        <v>0</v>
      </c>
      <c r="P1159" s="55">
        <f>IF(A1159="",0,IF(AND(F1159="C&amp;T",COUNTIFS($A$2:A1159,A1159,$F$2:F1159,"C&amp;T")=1),1,0))</f>
        <v>0</v>
      </c>
    </row>
    <row r="1160" spans="1:16" x14ac:dyDescent="0.35">
      <c r="A1160" s="54" t="str">
        <f>IFERROR(IF(INDEX(SPOT_Import!$A$1:$Z$2488,1160,'Live Data'!$C$12)="","",INDEX(SPOT_Import!$A$1:$Z$2488,1160,'Live Data'!$C$12)),"")</f>
        <v/>
      </c>
      <c r="B1160" s="54" t="str">
        <f>IFERROR(IF(INDEX(SPOT_Import!$A$1:$Z$2488,1160,'Live Data'!$C$13)="","",INDEX(SPOT_Import!$A$1:$Z$2488,1160,'Live Data'!$C$13)),"")</f>
        <v/>
      </c>
      <c r="C1160" s="54" t="str">
        <f>IFERROR(IF(INDEX(SPOT_Import!$A$1:$Z$2488,1160,'Live Data'!$C$14)="","",INDEX(SPOT_Import!$A$1:$Z$2488,1160,'Live Data'!$C$14)),"")</f>
        <v/>
      </c>
      <c r="D1160" s="54" t="str">
        <f>IFERROR(IF(INDEX(SPOT_Import!$A$1:$Z$2488,1160,'Live Data'!$C$15)="","",INDEX(SPOT_Import!$A$1:$Z$2488,1160,'Live Data'!$C$15)),"")</f>
        <v/>
      </c>
      <c r="E1160" s="54" t="str">
        <f>IFERROR(IF(INDEX(SPOT_Import!$A$1:$Z$2488,1160,'Live Data'!$C$16)="","",INDEX(SPOT_Import!$A$1:$Z$2488,1160,'Live Data'!$C$16)),"")</f>
        <v/>
      </c>
      <c r="F1160" s="54" t="str">
        <f>IFERROR(IF(INDEX(SPOT_Import!$A$1:$Z$2488,1160,'Live Data'!$C$17)="","",INDEX(SPOT_Import!$A$1:$Z$2488,1160,'Live Data'!$C$17)),"")</f>
        <v/>
      </c>
      <c r="G1160" s="54" t="str">
        <f>IFERROR(IF(INDEX(SPOT_Import!$A$1:$Z$2488,1160,'Live Data'!$C$18)="","",INDEX(SPOT_Import!$A$1:$Z$2488,1160,'Live Data'!$C$18)),"")</f>
        <v/>
      </c>
      <c r="H1160" s="54" t="str">
        <f>IFERROR(IF(INDEX(SPOT_Import!$A$1:$Z$2488,1160,'Live Data'!$C$19)="","",INDEX(SPOT_Import!$A$1:$Z$2488,1160,'Live Data'!$C$19)),"")</f>
        <v/>
      </c>
      <c r="I1160" s="54" t="str">
        <f>IFERROR(IF(INDEX(SPOT_Import!$A$1:$Z$2488,1160,'Live Data'!$C$20)="","",INDEX(SPOT_Import!$A$1:$Z$2488,1160,'Live Data'!$C$20)),"")</f>
        <v/>
      </c>
      <c r="J1160" s="54" t="str">
        <f>IFERROR(IF(INDEX(SPOT_Import!$A$1:$Z$2488,1160,'Live Data'!$C$21)="","",INDEX(SPOT_Import!$A$1:$Z$2488,1160,'Live Data'!$C$21)),"")</f>
        <v/>
      </c>
      <c r="K1160" s="54" t="str">
        <f>IFERROR(IF(INDEX(SPOT_Import!$A$1:$Z$2488,1160,'Live Data'!$C$22)="","",INDEX(SPOT_Import!$A$1:$Z$2488,1160,'Live Data'!$C$22)),"")</f>
        <v/>
      </c>
      <c r="L1160" s="55" t="str">
        <f t="shared" si="36"/>
        <v/>
      </c>
      <c r="M1160" s="55" t="str">
        <f t="shared" si="37"/>
        <v/>
      </c>
      <c r="N1160" s="55" t="str">
        <f>IF(A1160="","",IFERROR(INDEX('Cluster Map'!$A$4:$A$38,MATCH(M1160,'Cluster Map'!$B$4:$B$38,0)),"Unmapped"))</f>
        <v/>
      </c>
      <c r="O1160" s="55">
        <f>IF(A1160="",0,IF(COUNTIFS($A$2:A1160,A1160,$F$2:F1160,F1160,$L$2:L1160,L1160)=1,1,0))</f>
        <v>0</v>
      </c>
      <c r="P1160" s="55">
        <f>IF(A1160="",0,IF(AND(F1160="C&amp;T",COUNTIFS($A$2:A1160,A1160,$F$2:F1160,"C&amp;T")=1),1,0))</f>
        <v>0</v>
      </c>
    </row>
    <row r="1161" spans="1:16" x14ac:dyDescent="0.35">
      <c r="A1161" s="54" t="str">
        <f>IFERROR(IF(INDEX(SPOT_Import!$A$1:$Z$2488,1161,'Live Data'!$C$12)="","",INDEX(SPOT_Import!$A$1:$Z$2488,1161,'Live Data'!$C$12)),"")</f>
        <v/>
      </c>
      <c r="B1161" s="54" t="str">
        <f>IFERROR(IF(INDEX(SPOT_Import!$A$1:$Z$2488,1161,'Live Data'!$C$13)="","",INDEX(SPOT_Import!$A$1:$Z$2488,1161,'Live Data'!$C$13)),"")</f>
        <v/>
      </c>
      <c r="C1161" s="54" t="str">
        <f>IFERROR(IF(INDEX(SPOT_Import!$A$1:$Z$2488,1161,'Live Data'!$C$14)="","",INDEX(SPOT_Import!$A$1:$Z$2488,1161,'Live Data'!$C$14)),"")</f>
        <v/>
      </c>
      <c r="D1161" s="54" t="str">
        <f>IFERROR(IF(INDEX(SPOT_Import!$A$1:$Z$2488,1161,'Live Data'!$C$15)="","",INDEX(SPOT_Import!$A$1:$Z$2488,1161,'Live Data'!$C$15)),"")</f>
        <v/>
      </c>
      <c r="E1161" s="54" t="str">
        <f>IFERROR(IF(INDEX(SPOT_Import!$A$1:$Z$2488,1161,'Live Data'!$C$16)="","",INDEX(SPOT_Import!$A$1:$Z$2488,1161,'Live Data'!$C$16)),"")</f>
        <v/>
      </c>
      <c r="F1161" s="54" t="str">
        <f>IFERROR(IF(INDEX(SPOT_Import!$A$1:$Z$2488,1161,'Live Data'!$C$17)="","",INDEX(SPOT_Import!$A$1:$Z$2488,1161,'Live Data'!$C$17)),"")</f>
        <v/>
      </c>
      <c r="G1161" s="54" t="str">
        <f>IFERROR(IF(INDEX(SPOT_Import!$A$1:$Z$2488,1161,'Live Data'!$C$18)="","",INDEX(SPOT_Import!$A$1:$Z$2488,1161,'Live Data'!$C$18)),"")</f>
        <v/>
      </c>
      <c r="H1161" s="54" t="str">
        <f>IFERROR(IF(INDEX(SPOT_Import!$A$1:$Z$2488,1161,'Live Data'!$C$19)="","",INDEX(SPOT_Import!$A$1:$Z$2488,1161,'Live Data'!$C$19)),"")</f>
        <v/>
      </c>
      <c r="I1161" s="54" t="str">
        <f>IFERROR(IF(INDEX(SPOT_Import!$A$1:$Z$2488,1161,'Live Data'!$C$20)="","",INDEX(SPOT_Import!$A$1:$Z$2488,1161,'Live Data'!$C$20)),"")</f>
        <v/>
      </c>
      <c r="J1161" s="54" t="str">
        <f>IFERROR(IF(INDEX(SPOT_Import!$A$1:$Z$2488,1161,'Live Data'!$C$21)="","",INDEX(SPOT_Import!$A$1:$Z$2488,1161,'Live Data'!$C$21)),"")</f>
        <v/>
      </c>
      <c r="K1161" s="54" t="str">
        <f>IFERROR(IF(INDEX(SPOT_Import!$A$1:$Z$2488,1161,'Live Data'!$C$22)="","",INDEX(SPOT_Import!$A$1:$Z$2488,1161,'Live Data'!$C$22)),"")</f>
        <v/>
      </c>
      <c r="L1161" s="55" t="str">
        <f t="shared" si="36"/>
        <v/>
      </c>
      <c r="M1161" s="55" t="str">
        <f t="shared" si="37"/>
        <v/>
      </c>
      <c r="N1161" s="55" t="str">
        <f>IF(A1161="","",IFERROR(INDEX('Cluster Map'!$A$4:$A$38,MATCH(M1161,'Cluster Map'!$B$4:$B$38,0)),"Unmapped"))</f>
        <v/>
      </c>
      <c r="O1161" s="55">
        <f>IF(A1161="",0,IF(COUNTIFS($A$2:A1161,A1161,$F$2:F1161,F1161,$L$2:L1161,L1161)=1,1,0))</f>
        <v>0</v>
      </c>
      <c r="P1161" s="55">
        <f>IF(A1161="",0,IF(AND(F1161="C&amp;T",COUNTIFS($A$2:A1161,A1161,$F$2:F1161,"C&amp;T")=1),1,0))</f>
        <v>0</v>
      </c>
    </row>
    <row r="1162" spans="1:16" x14ac:dyDescent="0.35">
      <c r="A1162" s="54" t="str">
        <f>IFERROR(IF(INDEX(SPOT_Import!$A$1:$Z$2488,1162,'Live Data'!$C$12)="","",INDEX(SPOT_Import!$A$1:$Z$2488,1162,'Live Data'!$C$12)),"")</f>
        <v/>
      </c>
      <c r="B1162" s="54" t="str">
        <f>IFERROR(IF(INDEX(SPOT_Import!$A$1:$Z$2488,1162,'Live Data'!$C$13)="","",INDEX(SPOT_Import!$A$1:$Z$2488,1162,'Live Data'!$C$13)),"")</f>
        <v/>
      </c>
      <c r="C1162" s="54" t="str">
        <f>IFERROR(IF(INDEX(SPOT_Import!$A$1:$Z$2488,1162,'Live Data'!$C$14)="","",INDEX(SPOT_Import!$A$1:$Z$2488,1162,'Live Data'!$C$14)),"")</f>
        <v/>
      </c>
      <c r="D1162" s="54" t="str">
        <f>IFERROR(IF(INDEX(SPOT_Import!$A$1:$Z$2488,1162,'Live Data'!$C$15)="","",INDEX(SPOT_Import!$A$1:$Z$2488,1162,'Live Data'!$C$15)),"")</f>
        <v/>
      </c>
      <c r="E1162" s="54" t="str">
        <f>IFERROR(IF(INDEX(SPOT_Import!$A$1:$Z$2488,1162,'Live Data'!$C$16)="","",INDEX(SPOT_Import!$A$1:$Z$2488,1162,'Live Data'!$C$16)),"")</f>
        <v/>
      </c>
      <c r="F1162" s="54" t="str">
        <f>IFERROR(IF(INDEX(SPOT_Import!$A$1:$Z$2488,1162,'Live Data'!$C$17)="","",INDEX(SPOT_Import!$A$1:$Z$2488,1162,'Live Data'!$C$17)),"")</f>
        <v/>
      </c>
      <c r="G1162" s="54" t="str">
        <f>IFERROR(IF(INDEX(SPOT_Import!$A$1:$Z$2488,1162,'Live Data'!$C$18)="","",INDEX(SPOT_Import!$A$1:$Z$2488,1162,'Live Data'!$C$18)),"")</f>
        <v/>
      </c>
      <c r="H1162" s="54" t="str">
        <f>IFERROR(IF(INDEX(SPOT_Import!$A$1:$Z$2488,1162,'Live Data'!$C$19)="","",INDEX(SPOT_Import!$A$1:$Z$2488,1162,'Live Data'!$C$19)),"")</f>
        <v/>
      </c>
      <c r="I1162" s="54" t="str">
        <f>IFERROR(IF(INDEX(SPOT_Import!$A$1:$Z$2488,1162,'Live Data'!$C$20)="","",INDEX(SPOT_Import!$A$1:$Z$2488,1162,'Live Data'!$C$20)),"")</f>
        <v/>
      </c>
      <c r="J1162" s="54" t="str">
        <f>IFERROR(IF(INDEX(SPOT_Import!$A$1:$Z$2488,1162,'Live Data'!$C$21)="","",INDEX(SPOT_Import!$A$1:$Z$2488,1162,'Live Data'!$C$21)),"")</f>
        <v/>
      </c>
      <c r="K1162" s="54" t="str">
        <f>IFERROR(IF(INDEX(SPOT_Import!$A$1:$Z$2488,1162,'Live Data'!$C$22)="","",INDEX(SPOT_Import!$A$1:$Z$2488,1162,'Live Data'!$C$22)),"")</f>
        <v/>
      </c>
      <c r="L1162" s="55" t="str">
        <f t="shared" si="36"/>
        <v/>
      </c>
      <c r="M1162" s="55" t="str">
        <f t="shared" si="37"/>
        <v/>
      </c>
      <c r="N1162" s="55" t="str">
        <f>IF(A1162="","",IFERROR(INDEX('Cluster Map'!$A$4:$A$38,MATCH(M1162,'Cluster Map'!$B$4:$B$38,0)),"Unmapped"))</f>
        <v/>
      </c>
      <c r="O1162" s="55">
        <f>IF(A1162="",0,IF(COUNTIFS($A$2:A1162,A1162,$F$2:F1162,F1162,$L$2:L1162,L1162)=1,1,0))</f>
        <v>0</v>
      </c>
      <c r="P1162" s="55">
        <f>IF(A1162="",0,IF(AND(F1162="C&amp;T",COUNTIFS($A$2:A1162,A1162,$F$2:F1162,"C&amp;T")=1),1,0))</f>
        <v>0</v>
      </c>
    </row>
    <row r="1163" spans="1:16" x14ac:dyDescent="0.35">
      <c r="A1163" s="54" t="str">
        <f>IFERROR(IF(INDEX(SPOT_Import!$A$1:$Z$2488,1163,'Live Data'!$C$12)="","",INDEX(SPOT_Import!$A$1:$Z$2488,1163,'Live Data'!$C$12)),"")</f>
        <v/>
      </c>
      <c r="B1163" s="54" t="str">
        <f>IFERROR(IF(INDEX(SPOT_Import!$A$1:$Z$2488,1163,'Live Data'!$C$13)="","",INDEX(SPOT_Import!$A$1:$Z$2488,1163,'Live Data'!$C$13)),"")</f>
        <v/>
      </c>
      <c r="C1163" s="54" t="str">
        <f>IFERROR(IF(INDEX(SPOT_Import!$A$1:$Z$2488,1163,'Live Data'!$C$14)="","",INDEX(SPOT_Import!$A$1:$Z$2488,1163,'Live Data'!$C$14)),"")</f>
        <v/>
      </c>
      <c r="D1163" s="54" t="str">
        <f>IFERROR(IF(INDEX(SPOT_Import!$A$1:$Z$2488,1163,'Live Data'!$C$15)="","",INDEX(SPOT_Import!$A$1:$Z$2488,1163,'Live Data'!$C$15)),"")</f>
        <v/>
      </c>
      <c r="E1163" s="54" t="str">
        <f>IFERROR(IF(INDEX(SPOT_Import!$A$1:$Z$2488,1163,'Live Data'!$C$16)="","",INDEX(SPOT_Import!$A$1:$Z$2488,1163,'Live Data'!$C$16)),"")</f>
        <v/>
      </c>
      <c r="F1163" s="54" t="str">
        <f>IFERROR(IF(INDEX(SPOT_Import!$A$1:$Z$2488,1163,'Live Data'!$C$17)="","",INDEX(SPOT_Import!$A$1:$Z$2488,1163,'Live Data'!$C$17)),"")</f>
        <v/>
      </c>
      <c r="G1163" s="54" t="str">
        <f>IFERROR(IF(INDEX(SPOT_Import!$A$1:$Z$2488,1163,'Live Data'!$C$18)="","",INDEX(SPOT_Import!$A$1:$Z$2488,1163,'Live Data'!$C$18)),"")</f>
        <v/>
      </c>
      <c r="H1163" s="54" t="str">
        <f>IFERROR(IF(INDEX(SPOT_Import!$A$1:$Z$2488,1163,'Live Data'!$C$19)="","",INDEX(SPOT_Import!$A$1:$Z$2488,1163,'Live Data'!$C$19)),"")</f>
        <v/>
      </c>
      <c r="I1163" s="54" t="str">
        <f>IFERROR(IF(INDEX(SPOT_Import!$A$1:$Z$2488,1163,'Live Data'!$C$20)="","",INDEX(SPOT_Import!$A$1:$Z$2488,1163,'Live Data'!$C$20)),"")</f>
        <v/>
      </c>
      <c r="J1163" s="54" t="str">
        <f>IFERROR(IF(INDEX(SPOT_Import!$A$1:$Z$2488,1163,'Live Data'!$C$21)="","",INDEX(SPOT_Import!$A$1:$Z$2488,1163,'Live Data'!$C$21)),"")</f>
        <v/>
      </c>
      <c r="K1163" s="54" t="str">
        <f>IFERROR(IF(INDEX(SPOT_Import!$A$1:$Z$2488,1163,'Live Data'!$C$22)="","",INDEX(SPOT_Import!$A$1:$Z$2488,1163,'Live Data'!$C$22)),"")</f>
        <v/>
      </c>
      <c r="L1163" s="55" t="str">
        <f t="shared" si="36"/>
        <v/>
      </c>
      <c r="M1163" s="55" t="str">
        <f t="shared" si="37"/>
        <v/>
      </c>
      <c r="N1163" s="55" t="str">
        <f>IF(A1163="","",IFERROR(INDEX('Cluster Map'!$A$4:$A$38,MATCH(M1163,'Cluster Map'!$B$4:$B$38,0)),"Unmapped"))</f>
        <v/>
      </c>
      <c r="O1163" s="55">
        <f>IF(A1163="",0,IF(COUNTIFS($A$2:A1163,A1163,$F$2:F1163,F1163,$L$2:L1163,L1163)=1,1,0))</f>
        <v>0</v>
      </c>
      <c r="P1163" s="55">
        <f>IF(A1163="",0,IF(AND(F1163="C&amp;T",COUNTIFS($A$2:A1163,A1163,$F$2:F1163,"C&amp;T")=1),1,0))</f>
        <v>0</v>
      </c>
    </row>
    <row r="1164" spans="1:16" x14ac:dyDescent="0.35">
      <c r="A1164" s="54" t="str">
        <f>IFERROR(IF(INDEX(SPOT_Import!$A$1:$Z$2488,1164,'Live Data'!$C$12)="","",INDEX(SPOT_Import!$A$1:$Z$2488,1164,'Live Data'!$C$12)),"")</f>
        <v/>
      </c>
      <c r="B1164" s="54" t="str">
        <f>IFERROR(IF(INDEX(SPOT_Import!$A$1:$Z$2488,1164,'Live Data'!$C$13)="","",INDEX(SPOT_Import!$A$1:$Z$2488,1164,'Live Data'!$C$13)),"")</f>
        <v/>
      </c>
      <c r="C1164" s="54" t="str">
        <f>IFERROR(IF(INDEX(SPOT_Import!$A$1:$Z$2488,1164,'Live Data'!$C$14)="","",INDEX(SPOT_Import!$A$1:$Z$2488,1164,'Live Data'!$C$14)),"")</f>
        <v/>
      </c>
      <c r="D1164" s="54" t="str">
        <f>IFERROR(IF(INDEX(SPOT_Import!$A$1:$Z$2488,1164,'Live Data'!$C$15)="","",INDEX(SPOT_Import!$A$1:$Z$2488,1164,'Live Data'!$C$15)),"")</f>
        <v/>
      </c>
      <c r="E1164" s="54" t="str">
        <f>IFERROR(IF(INDEX(SPOT_Import!$A$1:$Z$2488,1164,'Live Data'!$C$16)="","",INDEX(SPOT_Import!$A$1:$Z$2488,1164,'Live Data'!$C$16)),"")</f>
        <v/>
      </c>
      <c r="F1164" s="54" t="str">
        <f>IFERROR(IF(INDEX(SPOT_Import!$A$1:$Z$2488,1164,'Live Data'!$C$17)="","",INDEX(SPOT_Import!$A$1:$Z$2488,1164,'Live Data'!$C$17)),"")</f>
        <v/>
      </c>
      <c r="G1164" s="54" t="str">
        <f>IFERROR(IF(INDEX(SPOT_Import!$A$1:$Z$2488,1164,'Live Data'!$C$18)="","",INDEX(SPOT_Import!$A$1:$Z$2488,1164,'Live Data'!$C$18)),"")</f>
        <v/>
      </c>
      <c r="H1164" s="54" t="str">
        <f>IFERROR(IF(INDEX(SPOT_Import!$A$1:$Z$2488,1164,'Live Data'!$C$19)="","",INDEX(SPOT_Import!$A$1:$Z$2488,1164,'Live Data'!$C$19)),"")</f>
        <v/>
      </c>
      <c r="I1164" s="54" t="str">
        <f>IFERROR(IF(INDEX(SPOT_Import!$A$1:$Z$2488,1164,'Live Data'!$C$20)="","",INDEX(SPOT_Import!$A$1:$Z$2488,1164,'Live Data'!$C$20)),"")</f>
        <v/>
      </c>
      <c r="J1164" s="54" t="str">
        <f>IFERROR(IF(INDEX(SPOT_Import!$A$1:$Z$2488,1164,'Live Data'!$C$21)="","",INDEX(SPOT_Import!$A$1:$Z$2488,1164,'Live Data'!$C$21)),"")</f>
        <v/>
      </c>
      <c r="K1164" s="54" t="str">
        <f>IFERROR(IF(INDEX(SPOT_Import!$A$1:$Z$2488,1164,'Live Data'!$C$22)="","",INDEX(SPOT_Import!$A$1:$Z$2488,1164,'Live Data'!$C$22)),"")</f>
        <v/>
      </c>
      <c r="L1164" s="55" t="str">
        <f t="shared" si="36"/>
        <v/>
      </c>
      <c r="M1164" s="55" t="str">
        <f t="shared" si="37"/>
        <v/>
      </c>
      <c r="N1164" s="55" t="str">
        <f>IF(A1164="","",IFERROR(INDEX('Cluster Map'!$A$4:$A$38,MATCH(M1164,'Cluster Map'!$B$4:$B$38,0)),"Unmapped"))</f>
        <v/>
      </c>
      <c r="O1164" s="55">
        <f>IF(A1164="",0,IF(COUNTIFS($A$2:A1164,A1164,$F$2:F1164,F1164,$L$2:L1164,L1164)=1,1,0))</f>
        <v>0</v>
      </c>
      <c r="P1164" s="55">
        <f>IF(A1164="",0,IF(AND(F1164="C&amp;T",COUNTIFS($A$2:A1164,A1164,$F$2:F1164,"C&amp;T")=1),1,0))</f>
        <v>0</v>
      </c>
    </row>
    <row r="1165" spans="1:16" x14ac:dyDescent="0.35">
      <c r="A1165" s="54" t="str">
        <f>IFERROR(IF(INDEX(SPOT_Import!$A$1:$Z$2488,1165,'Live Data'!$C$12)="","",INDEX(SPOT_Import!$A$1:$Z$2488,1165,'Live Data'!$C$12)),"")</f>
        <v/>
      </c>
      <c r="B1165" s="54" t="str">
        <f>IFERROR(IF(INDEX(SPOT_Import!$A$1:$Z$2488,1165,'Live Data'!$C$13)="","",INDEX(SPOT_Import!$A$1:$Z$2488,1165,'Live Data'!$C$13)),"")</f>
        <v/>
      </c>
      <c r="C1165" s="54" t="str">
        <f>IFERROR(IF(INDEX(SPOT_Import!$A$1:$Z$2488,1165,'Live Data'!$C$14)="","",INDEX(SPOT_Import!$A$1:$Z$2488,1165,'Live Data'!$C$14)),"")</f>
        <v/>
      </c>
      <c r="D1165" s="54" t="str">
        <f>IFERROR(IF(INDEX(SPOT_Import!$A$1:$Z$2488,1165,'Live Data'!$C$15)="","",INDEX(SPOT_Import!$A$1:$Z$2488,1165,'Live Data'!$C$15)),"")</f>
        <v/>
      </c>
      <c r="E1165" s="54" t="str">
        <f>IFERROR(IF(INDEX(SPOT_Import!$A$1:$Z$2488,1165,'Live Data'!$C$16)="","",INDEX(SPOT_Import!$A$1:$Z$2488,1165,'Live Data'!$C$16)),"")</f>
        <v/>
      </c>
      <c r="F1165" s="54" t="str">
        <f>IFERROR(IF(INDEX(SPOT_Import!$A$1:$Z$2488,1165,'Live Data'!$C$17)="","",INDEX(SPOT_Import!$A$1:$Z$2488,1165,'Live Data'!$C$17)),"")</f>
        <v/>
      </c>
      <c r="G1165" s="54" t="str">
        <f>IFERROR(IF(INDEX(SPOT_Import!$A$1:$Z$2488,1165,'Live Data'!$C$18)="","",INDEX(SPOT_Import!$A$1:$Z$2488,1165,'Live Data'!$C$18)),"")</f>
        <v/>
      </c>
      <c r="H1165" s="54" t="str">
        <f>IFERROR(IF(INDEX(SPOT_Import!$A$1:$Z$2488,1165,'Live Data'!$C$19)="","",INDEX(SPOT_Import!$A$1:$Z$2488,1165,'Live Data'!$C$19)),"")</f>
        <v/>
      </c>
      <c r="I1165" s="54" t="str">
        <f>IFERROR(IF(INDEX(SPOT_Import!$A$1:$Z$2488,1165,'Live Data'!$C$20)="","",INDEX(SPOT_Import!$A$1:$Z$2488,1165,'Live Data'!$C$20)),"")</f>
        <v/>
      </c>
      <c r="J1165" s="54" t="str">
        <f>IFERROR(IF(INDEX(SPOT_Import!$A$1:$Z$2488,1165,'Live Data'!$C$21)="","",INDEX(SPOT_Import!$A$1:$Z$2488,1165,'Live Data'!$C$21)),"")</f>
        <v/>
      </c>
      <c r="K1165" s="54" t="str">
        <f>IFERROR(IF(INDEX(SPOT_Import!$A$1:$Z$2488,1165,'Live Data'!$C$22)="","",INDEX(SPOT_Import!$A$1:$Z$2488,1165,'Live Data'!$C$22)),"")</f>
        <v/>
      </c>
      <c r="L1165" s="55" t="str">
        <f t="shared" si="36"/>
        <v/>
      </c>
      <c r="M1165" s="55" t="str">
        <f t="shared" si="37"/>
        <v/>
      </c>
      <c r="N1165" s="55" t="str">
        <f>IF(A1165="","",IFERROR(INDEX('Cluster Map'!$A$4:$A$38,MATCH(M1165,'Cluster Map'!$B$4:$B$38,0)),"Unmapped"))</f>
        <v/>
      </c>
      <c r="O1165" s="55">
        <f>IF(A1165="",0,IF(COUNTIFS($A$2:A1165,A1165,$F$2:F1165,F1165,$L$2:L1165,L1165)=1,1,0))</f>
        <v>0</v>
      </c>
      <c r="P1165" s="55">
        <f>IF(A1165="",0,IF(AND(F1165="C&amp;T",COUNTIFS($A$2:A1165,A1165,$F$2:F1165,"C&amp;T")=1),1,0))</f>
        <v>0</v>
      </c>
    </row>
    <row r="1166" spans="1:16" x14ac:dyDescent="0.35">
      <c r="A1166" s="54" t="str">
        <f>IFERROR(IF(INDEX(SPOT_Import!$A$1:$Z$2488,1166,'Live Data'!$C$12)="","",INDEX(SPOT_Import!$A$1:$Z$2488,1166,'Live Data'!$C$12)),"")</f>
        <v/>
      </c>
      <c r="B1166" s="54" t="str">
        <f>IFERROR(IF(INDEX(SPOT_Import!$A$1:$Z$2488,1166,'Live Data'!$C$13)="","",INDEX(SPOT_Import!$A$1:$Z$2488,1166,'Live Data'!$C$13)),"")</f>
        <v/>
      </c>
      <c r="C1166" s="54" t="str">
        <f>IFERROR(IF(INDEX(SPOT_Import!$A$1:$Z$2488,1166,'Live Data'!$C$14)="","",INDEX(SPOT_Import!$A$1:$Z$2488,1166,'Live Data'!$C$14)),"")</f>
        <v/>
      </c>
      <c r="D1166" s="54" t="str">
        <f>IFERROR(IF(INDEX(SPOT_Import!$A$1:$Z$2488,1166,'Live Data'!$C$15)="","",INDEX(SPOT_Import!$A$1:$Z$2488,1166,'Live Data'!$C$15)),"")</f>
        <v/>
      </c>
      <c r="E1166" s="54" t="str">
        <f>IFERROR(IF(INDEX(SPOT_Import!$A$1:$Z$2488,1166,'Live Data'!$C$16)="","",INDEX(SPOT_Import!$A$1:$Z$2488,1166,'Live Data'!$C$16)),"")</f>
        <v/>
      </c>
      <c r="F1166" s="54" t="str">
        <f>IFERROR(IF(INDEX(SPOT_Import!$A$1:$Z$2488,1166,'Live Data'!$C$17)="","",INDEX(SPOT_Import!$A$1:$Z$2488,1166,'Live Data'!$C$17)),"")</f>
        <v/>
      </c>
      <c r="G1166" s="54" t="str">
        <f>IFERROR(IF(INDEX(SPOT_Import!$A$1:$Z$2488,1166,'Live Data'!$C$18)="","",INDEX(SPOT_Import!$A$1:$Z$2488,1166,'Live Data'!$C$18)),"")</f>
        <v/>
      </c>
      <c r="H1166" s="54" t="str">
        <f>IFERROR(IF(INDEX(SPOT_Import!$A$1:$Z$2488,1166,'Live Data'!$C$19)="","",INDEX(SPOT_Import!$A$1:$Z$2488,1166,'Live Data'!$C$19)),"")</f>
        <v/>
      </c>
      <c r="I1166" s="54" t="str">
        <f>IFERROR(IF(INDEX(SPOT_Import!$A$1:$Z$2488,1166,'Live Data'!$C$20)="","",INDEX(SPOT_Import!$A$1:$Z$2488,1166,'Live Data'!$C$20)),"")</f>
        <v/>
      </c>
      <c r="J1166" s="54" t="str">
        <f>IFERROR(IF(INDEX(SPOT_Import!$A$1:$Z$2488,1166,'Live Data'!$C$21)="","",INDEX(SPOT_Import!$A$1:$Z$2488,1166,'Live Data'!$C$21)),"")</f>
        <v/>
      </c>
      <c r="K1166" s="54" t="str">
        <f>IFERROR(IF(INDEX(SPOT_Import!$A$1:$Z$2488,1166,'Live Data'!$C$22)="","",INDEX(SPOT_Import!$A$1:$Z$2488,1166,'Live Data'!$C$22)),"")</f>
        <v/>
      </c>
      <c r="L1166" s="55" t="str">
        <f t="shared" si="36"/>
        <v/>
      </c>
      <c r="M1166" s="55" t="str">
        <f t="shared" si="37"/>
        <v/>
      </c>
      <c r="N1166" s="55" t="str">
        <f>IF(A1166="","",IFERROR(INDEX('Cluster Map'!$A$4:$A$38,MATCH(M1166,'Cluster Map'!$B$4:$B$38,0)),"Unmapped"))</f>
        <v/>
      </c>
      <c r="O1166" s="55">
        <f>IF(A1166="",0,IF(COUNTIFS($A$2:A1166,A1166,$F$2:F1166,F1166,$L$2:L1166,L1166)=1,1,0))</f>
        <v>0</v>
      </c>
      <c r="P1166" s="55">
        <f>IF(A1166="",0,IF(AND(F1166="C&amp;T",COUNTIFS($A$2:A1166,A1166,$F$2:F1166,"C&amp;T")=1),1,0))</f>
        <v>0</v>
      </c>
    </row>
    <row r="1167" spans="1:16" x14ac:dyDescent="0.35">
      <c r="A1167" s="54" t="str">
        <f>IFERROR(IF(INDEX(SPOT_Import!$A$1:$Z$2488,1167,'Live Data'!$C$12)="","",INDEX(SPOT_Import!$A$1:$Z$2488,1167,'Live Data'!$C$12)),"")</f>
        <v/>
      </c>
      <c r="B1167" s="54" t="str">
        <f>IFERROR(IF(INDEX(SPOT_Import!$A$1:$Z$2488,1167,'Live Data'!$C$13)="","",INDEX(SPOT_Import!$A$1:$Z$2488,1167,'Live Data'!$C$13)),"")</f>
        <v/>
      </c>
      <c r="C1167" s="54" t="str">
        <f>IFERROR(IF(INDEX(SPOT_Import!$A$1:$Z$2488,1167,'Live Data'!$C$14)="","",INDEX(SPOT_Import!$A$1:$Z$2488,1167,'Live Data'!$C$14)),"")</f>
        <v/>
      </c>
      <c r="D1167" s="54" t="str">
        <f>IFERROR(IF(INDEX(SPOT_Import!$A$1:$Z$2488,1167,'Live Data'!$C$15)="","",INDEX(SPOT_Import!$A$1:$Z$2488,1167,'Live Data'!$C$15)),"")</f>
        <v/>
      </c>
      <c r="E1167" s="54" t="str">
        <f>IFERROR(IF(INDEX(SPOT_Import!$A$1:$Z$2488,1167,'Live Data'!$C$16)="","",INDEX(SPOT_Import!$A$1:$Z$2488,1167,'Live Data'!$C$16)),"")</f>
        <v/>
      </c>
      <c r="F1167" s="54" t="str">
        <f>IFERROR(IF(INDEX(SPOT_Import!$A$1:$Z$2488,1167,'Live Data'!$C$17)="","",INDEX(SPOT_Import!$A$1:$Z$2488,1167,'Live Data'!$C$17)),"")</f>
        <v/>
      </c>
      <c r="G1167" s="54" t="str">
        <f>IFERROR(IF(INDEX(SPOT_Import!$A$1:$Z$2488,1167,'Live Data'!$C$18)="","",INDEX(SPOT_Import!$A$1:$Z$2488,1167,'Live Data'!$C$18)),"")</f>
        <v/>
      </c>
      <c r="H1167" s="54" t="str">
        <f>IFERROR(IF(INDEX(SPOT_Import!$A$1:$Z$2488,1167,'Live Data'!$C$19)="","",INDEX(SPOT_Import!$A$1:$Z$2488,1167,'Live Data'!$C$19)),"")</f>
        <v/>
      </c>
      <c r="I1167" s="54" t="str">
        <f>IFERROR(IF(INDEX(SPOT_Import!$A$1:$Z$2488,1167,'Live Data'!$C$20)="","",INDEX(SPOT_Import!$A$1:$Z$2488,1167,'Live Data'!$C$20)),"")</f>
        <v/>
      </c>
      <c r="J1167" s="54" t="str">
        <f>IFERROR(IF(INDEX(SPOT_Import!$A$1:$Z$2488,1167,'Live Data'!$C$21)="","",INDEX(SPOT_Import!$A$1:$Z$2488,1167,'Live Data'!$C$21)),"")</f>
        <v/>
      </c>
      <c r="K1167" s="54" t="str">
        <f>IFERROR(IF(INDEX(SPOT_Import!$A$1:$Z$2488,1167,'Live Data'!$C$22)="","",INDEX(SPOT_Import!$A$1:$Z$2488,1167,'Live Data'!$C$22)),"")</f>
        <v/>
      </c>
      <c r="L1167" s="55" t="str">
        <f t="shared" si="36"/>
        <v/>
      </c>
      <c r="M1167" s="55" t="str">
        <f t="shared" si="37"/>
        <v/>
      </c>
      <c r="N1167" s="55" t="str">
        <f>IF(A1167="","",IFERROR(INDEX('Cluster Map'!$A$4:$A$38,MATCH(M1167,'Cluster Map'!$B$4:$B$38,0)),"Unmapped"))</f>
        <v/>
      </c>
      <c r="O1167" s="55">
        <f>IF(A1167="",0,IF(COUNTIFS($A$2:A1167,A1167,$F$2:F1167,F1167,$L$2:L1167,L1167)=1,1,0))</f>
        <v>0</v>
      </c>
      <c r="P1167" s="55">
        <f>IF(A1167="",0,IF(AND(F1167="C&amp;T",COUNTIFS($A$2:A1167,A1167,$F$2:F1167,"C&amp;T")=1),1,0))</f>
        <v>0</v>
      </c>
    </row>
    <row r="1168" spans="1:16" x14ac:dyDescent="0.35">
      <c r="A1168" s="54" t="str">
        <f>IFERROR(IF(INDEX(SPOT_Import!$A$1:$Z$2488,1168,'Live Data'!$C$12)="","",INDEX(SPOT_Import!$A$1:$Z$2488,1168,'Live Data'!$C$12)),"")</f>
        <v/>
      </c>
      <c r="B1168" s="54" t="str">
        <f>IFERROR(IF(INDEX(SPOT_Import!$A$1:$Z$2488,1168,'Live Data'!$C$13)="","",INDEX(SPOT_Import!$A$1:$Z$2488,1168,'Live Data'!$C$13)),"")</f>
        <v/>
      </c>
      <c r="C1168" s="54" t="str">
        <f>IFERROR(IF(INDEX(SPOT_Import!$A$1:$Z$2488,1168,'Live Data'!$C$14)="","",INDEX(SPOT_Import!$A$1:$Z$2488,1168,'Live Data'!$C$14)),"")</f>
        <v/>
      </c>
      <c r="D1168" s="54" t="str">
        <f>IFERROR(IF(INDEX(SPOT_Import!$A$1:$Z$2488,1168,'Live Data'!$C$15)="","",INDEX(SPOT_Import!$A$1:$Z$2488,1168,'Live Data'!$C$15)),"")</f>
        <v/>
      </c>
      <c r="E1168" s="54" t="str">
        <f>IFERROR(IF(INDEX(SPOT_Import!$A$1:$Z$2488,1168,'Live Data'!$C$16)="","",INDEX(SPOT_Import!$A$1:$Z$2488,1168,'Live Data'!$C$16)),"")</f>
        <v/>
      </c>
      <c r="F1168" s="54" t="str">
        <f>IFERROR(IF(INDEX(SPOT_Import!$A$1:$Z$2488,1168,'Live Data'!$C$17)="","",INDEX(SPOT_Import!$A$1:$Z$2488,1168,'Live Data'!$C$17)),"")</f>
        <v/>
      </c>
      <c r="G1168" s="54" t="str">
        <f>IFERROR(IF(INDEX(SPOT_Import!$A$1:$Z$2488,1168,'Live Data'!$C$18)="","",INDEX(SPOT_Import!$A$1:$Z$2488,1168,'Live Data'!$C$18)),"")</f>
        <v/>
      </c>
      <c r="H1168" s="54" t="str">
        <f>IFERROR(IF(INDEX(SPOT_Import!$A$1:$Z$2488,1168,'Live Data'!$C$19)="","",INDEX(SPOT_Import!$A$1:$Z$2488,1168,'Live Data'!$C$19)),"")</f>
        <v/>
      </c>
      <c r="I1168" s="54" t="str">
        <f>IFERROR(IF(INDEX(SPOT_Import!$A$1:$Z$2488,1168,'Live Data'!$C$20)="","",INDEX(SPOT_Import!$A$1:$Z$2488,1168,'Live Data'!$C$20)),"")</f>
        <v/>
      </c>
      <c r="J1168" s="54" t="str">
        <f>IFERROR(IF(INDEX(SPOT_Import!$A$1:$Z$2488,1168,'Live Data'!$C$21)="","",INDEX(SPOT_Import!$A$1:$Z$2488,1168,'Live Data'!$C$21)),"")</f>
        <v/>
      </c>
      <c r="K1168" s="54" t="str">
        <f>IFERROR(IF(INDEX(SPOT_Import!$A$1:$Z$2488,1168,'Live Data'!$C$22)="","",INDEX(SPOT_Import!$A$1:$Z$2488,1168,'Live Data'!$C$22)),"")</f>
        <v/>
      </c>
      <c r="L1168" s="55" t="str">
        <f t="shared" si="36"/>
        <v/>
      </c>
      <c r="M1168" s="55" t="str">
        <f t="shared" si="37"/>
        <v/>
      </c>
      <c r="N1168" s="55" t="str">
        <f>IF(A1168="","",IFERROR(INDEX('Cluster Map'!$A$4:$A$38,MATCH(M1168,'Cluster Map'!$B$4:$B$38,0)),"Unmapped"))</f>
        <v/>
      </c>
      <c r="O1168" s="55">
        <f>IF(A1168="",0,IF(COUNTIFS($A$2:A1168,A1168,$F$2:F1168,F1168,$L$2:L1168,L1168)=1,1,0))</f>
        <v>0</v>
      </c>
      <c r="P1168" s="55">
        <f>IF(A1168="",0,IF(AND(F1168="C&amp;T",COUNTIFS($A$2:A1168,A1168,$F$2:F1168,"C&amp;T")=1),1,0))</f>
        <v>0</v>
      </c>
    </row>
    <row r="1169" spans="1:16" x14ac:dyDescent="0.35">
      <c r="A1169" s="54" t="str">
        <f>IFERROR(IF(INDEX(SPOT_Import!$A$1:$Z$2488,1169,'Live Data'!$C$12)="","",INDEX(SPOT_Import!$A$1:$Z$2488,1169,'Live Data'!$C$12)),"")</f>
        <v/>
      </c>
      <c r="B1169" s="54" t="str">
        <f>IFERROR(IF(INDEX(SPOT_Import!$A$1:$Z$2488,1169,'Live Data'!$C$13)="","",INDEX(SPOT_Import!$A$1:$Z$2488,1169,'Live Data'!$C$13)),"")</f>
        <v/>
      </c>
      <c r="C1169" s="54" t="str">
        <f>IFERROR(IF(INDEX(SPOT_Import!$A$1:$Z$2488,1169,'Live Data'!$C$14)="","",INDEX(SPOT_Import!$A$1:$Z$2488,1169,'Live Data'!$C$14)),"")</f>
        <v/>
      </c>
      <c r="D1169" s="54" t="str">
        <f>IFERROR(IF(INDEX(SPOT_Import!$A$1:$Z$2488,1169,'Live Data'!$C$15)="","",INDEX(SPOT_Import!$A$1:$Z$2488,1169,'Live Data'!$C$15)),"")</f>
        <v/>
      </c>
      <c r="E1169" s="54" t="str">
        <f>IFERROR(IF(INDEX(SPOT_Import!$A$1:$Z$2488,1169,'Live Data'!$C$16)="","",INDEX(SPOT_Import!$A$1:$Z$2488,1169,'Live Data'!$C$16)),"")</f>
        <v/>
      </c>
      <c r="F1169" s="54" t="str">
        <f>IFERROR(IF(INDEX(SPOT_Import!$A$1:$Z$2488,1169,'Live Data'!$C$17)="","",INDEX(SPOT_Import!$A$1:$Z$2488,1169,'Live Data'!$C$17)),"")</f>
        <v/>
      </c>
      <c r="G1169" s="54" t="str">
        <f>IFERROR(IF(INDEX(SPOT_Import!$A$1:$Z$2488,1169,'Live Data'!$C$18)="","",INDEX(SPOT_Import!$A$1:$Z$2488,1169,'Live Data'!$C$18)),"")</f>
        <v/>
      </c>
      <c r="H1169" s="54" t="str">
        <f>IFERROR(IF(INDEX(SPOT_Import!$A$1:$Z$2488,1169,'Live Data'!$C$19)="","",INDEX(SPOT_Import!$A$1:$Z$2488,1169,'Live Data'!$C$19)),"")</f>
        <v/>
      </c>
      <c r="I1169" s="54" t="str">
        <f>IFERROR(IF(INDEX(SPOT_Import!$A$1:$Z$2488,1169,'Live Data'!$C$20)="","",INDEX(SPOT_Import!$A$1:$Z$2488,1169,'Live Data'!$C$20)),"")</f>
        <v/>
      </c>
      <c r="J1169" s="54" t="str">
        <f>IFERROR(IF(INDEX(SPOT_Import!$A$1:$Z$2488,1169,'Live Data'!$C$21)="","",INDEX(SPOT_Import!$A$1:$Z$2488,1169,'Live Data'!$C$21)),"")</f>
        <v/>
      </c>
      <c r="K1169" s="54" t="str">
        <f>IFERROR(IF(INDEX(SPOT_Import!$A$1:$Z$2488,1169,'Live Data'!$C$22)="","",INDEX(SPOT_Import!$A$1:$Z$2488,1169,'Live Data'!$C$22)),"")</f>
        <v/>
      </c>
      <c r="L1169" s="55" t="str">
        <f t="shared" si="36"/>
        <v/>
      </c>
      <c r="M1169" s="55" t="str">
        <f t="shared" si="37"/>
        <v/>
      </c>
      <c r="N1169" s="55" t="str">
        <f>IF(A1169="","",IFERROR(INDEX('Cluster Map'!$A$4:$A$38,MATCH(M1169,'Cluster Map'!$B$4:$B$38,0)),"Unmapped"))</f>
        <v/>
      </c>
      <c r="O1169" s="55">
        <f>IF(A1169="",0,IF(COUNTIFS($A$2:A1169,A1169,$F$2:F1169,F1169,$L$2:L1169,L1169)=1,1,0))</f>
        <v>0</v>
      </c>
      <c r="P1169" s="55">
        <f>IF(A1169="",0,IF(AND(F1169="C&amp;T",COUNTIFS($A$2:A1169,A1169,$F$2:F1169,"C&amp;T")=1),1,0))</f>
        <v>0</v>
      </c>
    </row>
    <row r="1170" spans="1:16" x14ac:dyDescent="0.35">
      <c r="A1170" s="54" t="str">
        <f>IFERROR(IF(INDEX(SPOT_Import!$A$1:$Z$2488,1170,'Live Data'!$C$12)="","",INDEX(SPOT_Import!$A$1:$Z$2488,1170,'Live Data'!$C$12)),"")</f>
        <v/>
      </c>
      <c r="B1170" s="54" t="str">
        <f>IFERROR(IF(INDEX(SPOT_Import!$A$1:$Z$2488,1170,'Live Data'!$C$13)="","",INDEX(SPOT_Import!$A$1:$Z$2488,1170,'Live Data'!$C$13)),"")</f>
        <v/>
      </c>
      <c r="C1170" s="54" t="str">
        <f>IFERROR(IF(INDEX(SPOT_Import!$A$1:$Z$2488,1170,'Live Data'!$C$14)="","",INDEX(SPOT_Import!$A$1:$Z$2488,1170,'Live Data'!$C$14)),"")</f>
        <v/>
      </c>
      <c r="D1170" s="54" t="str">
        <f>IFERROR(IF(INDEX(SPOT_Import!$A$1:$Z$2488,1170,'Live Data'!$C$15)="","",INDEX(SPOT_Import!$A$1:$Z$2488,1170,'Live Data'!$C$15)),"")</f>
        <v/>
      </c>
      <c r="E1170" s="54" t="str">
        <f>IFERROR(IF(INDEX(SPOT_Import!$A$1:$Z$2488,1170,'Live Data'!$C$16)="","",INDEX(SPOT_Import!$A$1:$Z$2488,1170,'Live Data'!$C$16)),"")</f>
        <v/>
      </c>
      <c r="F1170" s="54" t="str">
        <f>IFERROR(IF(INDEX(SPOT_Import!$A$1:$Z$2488,1170,'Live Data'!$C$17)="","",INDEX(SPOT_Import!$A$1:$Z$2488,1170,'Live Data'!$C$17)),"")</f>
        <v/>
      </c>
      <c r="G1170" s="54" t="str">
        <f>IFERROR(IF(INDEX(SPOT_Import!$A$1:$Z$2488,1170,'Live Data'!$C$18)="","",INDEX(SPOT_Import!$A$1:$Z$2488,1170,'Live Data'!$C$18)),"")</f>
        <v/>
      </c>
      <c r="H1170" s="54" t="str">
        <f>IFERROR(IF(INDEX(SPOT_Import!$A$1:$Z$2488,1170,'Live Data'!$C$19)="","",INDEX(SPOT_Import!$A$1:$Z$2488,1170,'Live Data'!$C$19)),"")</f>
        <v/>
      </c>
      <c r="I1170" s="54" t="str">
        <f>IFERROR(IF(INDEX(SPOT_Import!$A$1:$Z$2488,1170,'Live Data'!$C$20)="","",INDEX(SPOT_Import!$A$1:$Z$2488,1170,'Live Data'!$C$20)),"")</f>
        <v/>
      </c>
      <c r="J1170" s="54" t="str">
        <f>IFERROR(IF(INDEX(SPOT_Import!$A$1:$Z$2488,1170,'Live Data'!$C$21)="","",INDEX(SPOT_Import!$A$1:$Z$2488,1170,'Live Data'!$C$21)),"")</f>
        <v/>
      </c>
      <c r="K1170" s="54" t="str">
        <f>IFERROR(IF(INDEX(SPOT_Import!$A$1:$Z$2488,1170,'Live Data'!$C$22)="","",INDEX(SPOT_Import!$A$1:$Z$2488,1170,'Live Data'!$C$22)),"")</f>
        <v/>
      </c>
      <c r="L1170" s="55" t="str">
        <f t="shared" si="36"/>
        <v/>
      </c>
      <c r="M1170" s="55" t="str">
        <f t="shared" si="37"/>
        <v/>
      </c>
      <c r="N1170" s="55" t="str">
        <f>IF(A1170="","",IFERROR(INDEX('Cluster Map'!$A$4:$A$38,MATCH(M1170,'Cluster Map'!$B$4:$B$38,0)),"Unmapped"))</f>
        <v/>
      </c>
      <c r="O1170" s="55">
        <f>IF(A1170="",0,IF(COUNTIFS($A$2:A1170,A1170,$F$2:F1170,F1170,$L$2:L1170,L1170)=1,1,0))</f>
        <v>0</v>
      </c>
      <c r="P1170" s="55">
        <f>IF(A1170="",0,IF(AND(F1170="C&amp;T",COUNTIFS($A$2:A1170,A1170,$F$2:F1170,"C&amp;T")=1),1,0))</f>
        <v>0</v>
      </c>
    </row>
    <row r="1171" spans="1:16" x14ac:dyDescent="0.35">
      <c r="A1171" s="54" t="str">
        <f>IFERROR(IF(INDEX(SPOT_Import!$A$1:$Z$2488,1171,'Live Data'!$C$12)="","",INDEX(SPOT_Import!$A$1:$Z$2488,1171,'Live Data'!$C$12)),"")</f>
        <v/>
      </c>
      <c r="B1171" s="54" t="str">
        <f>IFERROR(IF(INDEX(SPOT_Import!$A$1:$Z$2488,1171,'Live Data'!$C$13)="","",INDEX(SPOT_Import!$A$1:$Z$2488,1171,'Live Data'!$C$13)),"")</f>
        <v/>
      </c>
      <c r="C1171" s="54" t="str">
        <f>IFERROR(IF(INDEX(SPOT_Import!$A$1:$Z$2488,1171,'Live Data'!$C$14)="","",INDEX(SPOT_Import!$A$1:$Z$2488,1171,'Live Data'!$C$14)),"")</f>
        <v/>
      </c>
      <c r="D1171" s="54" t="str">
        <f>IFERROR(IF(INDEX(SPOT_Import!$A$1:$Z$2488,1171,'Live Data'!$C$15)="","",INDEX(SPOT_Import!$A$1:$Z$2488,1171,'Live Data'!$C$15)),"")</f>
        <v/>
      </c>
      <c r="E1171" s="54" t="str">
        <f>IFERROR(IF(INDEX(SPOT_Import!$A$1:$Z$2488,1171,'Live Data'!$C$16)="","",INDEX(SPOT_Import!$A$1:$Z$2488,1171,'Live Data'!$C$16)),"")</f>
        <v/>
      </c>
      <c r="F1171" s="54" t="str">
        <f>IFERROR(IF(INDEX(SPOT_Import!$A$1:$Z$2488,1171,'Live Data'!$C$17)="","",INDEX(SPOT_Import!$A$1:$Z$2488,1171,'Live Data'!$C$17)),"")</f>
        <v/>
      </c>
      <c r="G1171" s="54" t="str">
        <f>IFERROR(IF(INDEX(SPOT_Import!$A$1:$Z$2488,1171,'Live Data'!$C$18)="","",INDEX(SPOT_Import!$A$1:$Z$2488,1171,'Live Data'!$C$18)),"")</f>
        <v/>
      </c>
      <c r="H1171" s="54" t="str">
        <f>IFERROR(IF(INDEX(SPOT_Import!$A$1:$Z$2488,1171,'Live Data'!$C$19)="","",INDEX(SPOT_Import!$A$1:$Z$2488,1171,'Live Data'!$C$19)),"")</f>
        <v/>
      </c>
      <c r="I1171" s="54" t="str">
        <f>IFERROR(IF(INDEX(SPOT_Import!$A$1:$Z$2488,1171,'Live Data'!$C$20)="","",INDEX(SPOT_Import!$A$1:$Z$2488,1171,'Live Data'!$C$20)),"")</f>
        <v/>
      </c>
      <c r="J1171" s="54" t="str">
        <f>IFERROR(IF(INDEX(SPOT_Import!$A$1:$Z$2488,1171,'Live Data'!$C$21)="","",INDEX(SPOT_Import!$A$1:$Z$2488,1171,'Live Data'!$C$21)),"")</f>
        <v/>
      </c>
      <c r="K1171" s="54" t="str">
        <f>IFERROR(IF(INDEX(SPOT_Import!$A$1:$Z$2488,1171,'Live Data'!$C$22)="","",INDEX(SPOT_Import!$A$1:$Z$2488,1171,'Live Data'!$C$22)),"")</f>
        <v/>
      </c>
      <c r="L1171" s="55" t="str">
        <f t="shared" si="36"/>
        <v/>
      </c>
      <c r="M1171" s="55" t="str">
        <f t="shared" si="37"/>
        <v/>
      </c>
      <c r="N1171" s="55" t="str">
        <f>IF(A1171="","",IFERROR(INDEX('Cluster Map'!$A$4:$A$38,MATCH(M1171,'Cluster Map'!$B$4:$B$38,0)),"Unmapped"))</f>
        <v/>
      </c>
      <c r="O1171" s="55">
        <f>IF(A1171="",0,IF(COUNTIFS($A$2:A1171,A1171,$F$2:F1171,F1171,$L$2:L1171,L1171)=1,1,0))</f>
        <v>0</v>
      </c>
      <c r="P1171" s="55">
        <f>IF(A1171="",0,IF(AND(F1171="C&amp;T",COUNTIFS($A$2:A1171,A1171,$F$2:F1171,"C&amp;T")=1),1,0))</f>
        <v>0</v>
      </c>
    </row>
    <row r="1172" spans="1:16" x14ac:dyDescent="0.35">
      <c r="A1172" s="54" t="str">
        <f>IFERROR(IF(INDEX(SPOT_Import!$A$1:$Z$2488,1172,'Live Data'!$C$12)="","",INDEX(SPOT_Import!$A$1:$Z$2488,1172,'Live Data'!$C$12)),"")</f>
        <v/>
      </c>
      <c r="B1172" s="54" t="str">
        <f>IFERROR(IF(INDEX(SPOT_Import!$A$1:$Z$2488,1172,'Live Data'!$C$13)="","",INDEX(SPOT_Import!$A$1:$Z$2488,1172,'Live Data'!$C$13)),"")</f>
        <v/>
      </c>
      <c r="C1172" s="54" t="str">
        <f>IFERROR(IF(INDEX(SPOT_Import!$A$1:$Z$2488,1172,'Live Data'!$C$14)="","",INDEX(SPOT_Import!$A$1:$Z$2488,1172,'Live Data'!$C$14)),"")</f>
        <v/>
      </c>
      <c r="D1172" s="54" t="str">
        <f>IFERROR(IF(INDEX(SPOT_Import!$A$1:$Z$2488,1172,'Live Data'!$C$15)="","",INDEX(SPOT_Import!$A$1:$Z$2488,1172,'Live Data'!$C$15)),"")</f>
        <v/>
      </c>
      <c r="E1172" s="54" t="str">
        <f>IFERROR(IF(INDEX(SPOT_Import!$A$1:$Z$2488,1172,'Live Data'!$C$16)="","",INDEX(SPOT_Import!$A$1:$Z$2488,1172,'Live Data'!$C$16)),"")</f>
        <v/>
      </c>
      <c r="F1172" s="54" t="str">
        <f>IFERROR(IF(INDEX(SPOT_Import!$A$1:$Z$2488,1172,'Live Data'!$C$17)="","",INDEX(SPOT_Import!$A$1:$Z$2488,1172,'Live Data'!$C$17)),"")</f>
        <v/>
      </c>
      <c r="G1172" s="54" t="str">
        <f>IFERROR(IF(INDEX(SPOT_Import!$A$1:$Z$2488,1172,'Live Data'!$C$18)="","",INDEX(SPOT_Import!$A$1:$Z$2488,1172,'Live Data'!$C$18)),"")</f>
        <v/>
      </c>
      <c r="H1172" s="54" t="str">
        <f>IFERROR(IF(INDEX(SPOT_Import!$A$1:$Z$2488,1172,'Live Data'!$C$19)="","",INDEX(SPOT_Import!$A$1:$Z$2488,1172,'Live Data'!$C$19)),"")</f>
        <v/>
      </c>
      <c r="I1172" s="54" t="str">
        <f>IFERROR(IF(INDEX(SPOT_Import!$A$1:$Z$2488,1172,'Live Data'!$C$20)="","",INDEX(SPOT_Import!$A$1:$Z$2488,1172,'Live Data'!$C$20)),"")</f>
        <v/>
      </c>
      <c r="J1172" s="54" t="str">
        <f>IFERROR(IF(INDEX(SPOT_Import!$A$1:$Z$2488,1172,'Live Data'!$C$21)="","",INDEX(SPOT_Import!$A$1:$Z$2488,1172,'Live Data'!$C$21)),"")</f>
        <v/>
      </c>
      <c r="K1172" s="54" t="str">
        <f>IFERROR(IF(INDEX(SPOT_Import!$A$1:$Z$2488,1172,'Live Data'!$C$22)="","",INDEX(SPOT_Import!$A$1:$Z$2488,1172,'Live Data'!$C$22)),"")</f>
        <v/>
      </c>
      <c r="L1172" s="55" t="str">
        <f t="shared" si="36"/>
        <v/>
      </c>
      <c r="M1172" s="55" t="str">
        <f t="shared" si="37"/>
        <v/>
      </c>
      <c r="N1172" s="55" t="str">
        <f>IF(A1172="","",IFERROR(INDEX('Cluster Map'!$A$4:$A$38,MATCH(M1172,'Cluster Map'!$B$4:$B$38,0)),"Unmapped"))</f>
        <v/>
      </c>
      <c r="O1172" s="55">
        <f>IF(A1172="",0,IF(COUNTIFS($A$2:A1172,A1172,$F$2:F1172,F1172,$L$2:L1172,L1172)=1,1,0))</f>
        <v>0</v>
      </c>
      <c r="P1172" s="55">
        <f>IF(A1172="",0,IF(AND(F1172="C&amp;T",COUNTIFS($A$2:A1172,A1172,$F$2:F1172,"C&amp;T")=1),1,0))</f>
        <v>0</v>
      </c>
    </row>
    <row r="1173" spans="1:16" x14ac:dyDescent="0.35">
      <c r="A1173" s="54" t="str">
        <f>IFERROR(IF(INDEX(SPOT_Import!$A$1:$Z$2488,1173,'Live Data'!$C$12)="","",INDEX(SPOT_Import!$A$1:$Z$2488,1173,'Live Data'!$C$12)),"")</f>
        <v/>
      </c>
      <c r="B1173" s="54" t="str">
        <f>IFERROR(IF(INDEX(SPOT_Import!$A$1:$Z$2488,1173,'Live Data'!$C$13)="","",INDEX(SPOT_Import!$A$1:$Z$2488,1173,'Live Data'!$C$13)),"")</f>
        <v/>
      </c>
      <c r="C1173" s="54" t="str">
        <f>IFERROR(IF(INDEX(SPOT_Import!$A$1:$Z$2488,1173,'Live Data'!$C$14)="","",INDEX(SPOT_Import!$A$1:$Z$2488,1173,'Live Data'!$C$14)),"")</f>
        <v/>
      </c>
      <c r="D1173" s="54" t="str">
        <f>IFERROR(IF(INDEX(SPOT_Import!$A$1:$Z$2488,1173,'Live Data'!$C$15)="","",INDEX(SPOT_Import!$A$1:$Z$2488,1173,'Live Data'!$C$15)),"")</f>
        <v/>
      </c>
      <c r="E1173" s="54" t="str">
        <f>IFERROR(IF(INDEX(SPOT_Import!$A$1:$Z$2488,1173,'Live Data'!$C$16)="","",INDEX(SPOT_Import!$A$1:$Z$2488,1173,'Live Data'!$C$16)),"")</f>
        <v/>
      </c>
      <c r="F1173" s="54" t="str">
        <f>IFERROR(IF(INDEX(SPOT_Import!$A$1:$Z$2488,1173,'Live Data'!$C$17)="","",INDEX(SPOT_Import!$A$1:$Z$2488,1173,'Live Data'!$C$17)),"")</f>
        <v/>
      </c>
      <c r="G1173" s="54" t="str">
        <f>IFERROR(IF(INDEX(SPOT_Import!$A$1:$Z$2488,1173,'Live Data'!$C$18)="","",INDEX(SPOT_Import!$A$1:$Z$2488,1173,'Live Data'!$C$18)),"")</f>
        <v/>
      </c>
      <c r="H1173" s="54" t="str">
        <f>IFERROR(IF(INDEX(SPOT_Import!$A$1:$Z$2488,1173,'Live Data'!$C$19)="","",INDEX(SPOT_Import!$A$1:$Z$2488,1173,'Live Data'!$C$19)),"")</f>
        <v/>
      </c>
      <c r="I1173" s="54" t="str">
        <f>IFERROR(IF(INDEX(SPOT_Import!$A$1:$Z$2488,1173,'Live Data'!$C$20)="","",INDEX(SPOT_Import!$A$1:$Z$2488,1173,'Live Data'!$C$20)),"")</f>
        <v/>
      </c>
      <c r="J1173" s="54" t="str">
        <f>IFERROR(IF(INDEX(SPOT_Import!$A$1:$Z$2488,1173,'Live Data'!$C$21)="","",INDEX(SPOT_Import!$A$1:$Z$2488,1173,'Live Data'!$C$21)),"")</f>
        <v/>
      </c>
      <c r="K1173" s="54" t="str">
        <f>IFERROR(IF(INDEX(SPOT_Import!$A$1:$Z$2488,1173,'Live Data'!$C$22)="","",INDEX(SPOT_Import!$A$1:$Z$2488,1173,'Live Data'!$C$22)),"")</f>
        <v/>
      </c>
      <c r="L1173" s="55" t="str">
        <f t="shared" si="36"/>
        <v/>
      </c>
      <c r="M1173" s="55" t="str">
        <f t="shared" si="37"/>
        <v/>
      </c>
      <c r="N1173" s="55" t="str">
        <f>IF(A1173="","",IFERROR(INDEX('Cluster Map'!$A$4:$A$38,MATCH(M1173,'Cluster Map'!$B$4:$B$38,0)),"Unmapped"))</f>
        <v/>
      </c>
      <c r="O1173" s="55">
        <f>IF(A1173="",0,IF(COUNTIFS($A$2:A1173,A1173,$F$2:F1173,F1173,$L$2:L1173,L1173)=1,1,0))</f>
        <v>0</v>
      </c>
      <c r="P1173" s="55">
        <f>IF(A1173="",0,IF(AND(F1173="C&amp;T",COUNTIFS($A$2:A1173,A1173,$F$2:F1173,"C&amp;T")=1),1,0))</f>
        <v>0</v>
      </c>
    </row>
    <row r="1174" spans="1:16" x14ac:dyDescent="0.35">
      <c r="A1174" s="54" t="str">
        <f>IFERROR(IF(INDEX(SPOT_Import!$A$1:$Z$2488,1174,'Live Data'!$C$12)="","",INDEX(SPOT_Import!$A$1:$Z$2488,1174,'Live Data'!$C$12)),"")</f>
        <v/>
      </c>
      <c r="B1174" s="54" t="str">
        <f>IFERROR(IF(INDEX(SPOT_Import!$A$1:$Z$2488,1174,'Live Data'!$C$13)="","",INDEX(SPOT_Import!$A$1:$Z$2488,1174,'Live Data'!$C$13)),"")</f>
        <v/>
      </c>
      <c r="C1174" s="54" t="str">
        <f>IFERROR(IF(INDEX(SPOT_Import!$A$1:$Z$2488,1174,'Live Data'!$C$14)="","",INDEX(SPOT_Import!$A$1:$Z$2488,1174,'Live Data'!$C$14)),"")</f>
        <v/>
      </c>
      <c r="D1174" s="54" t="str">
        <f>IFERROR(IF(INDEX(SPOT_Import!$A$1:$Z$2488,1174,'Live Data'!$C$15)="","",INDEX(SPOT_Import!$A$1:$Z$2488,1174,'Live Data'!$C$15)),"")</f>
        <v/>
      </c>
      <c r="E1174" s="54" t="str">
        <f>IFERROR(IF(INDEX(SPOT_Import!$A$1:$Z$2488,1174,'Live Data'!$C$16)="","",INDEX(SPOT_Import!$A$1:$Z$2488,1174,'Live Data'!$C$16)),"")</f>
        <v/>
      </c>
      <c r="F1174" s="54" t="str">
        <f>IFERROR(IF(INDEX(SPOT_Import!$A$1:$Z$2488,1174,'Live Data'!$C$17)="","",INDEX(SPOT_Import!$A$1:$Z$2488,1174,'Live Data'!$C$17)),"")</f>
        <v/>
      </c>
      <c r="G1174" s="54" t="str">
        <f>IFERROR(IF(INDEX(SPOT_Import!$A$1:$Z$2488,1174,'Live Data'!$C$18)="","",INDEX(SPOT_Import!$A$1:$Z$2488,1174,'Live Data'!$C$18)),"")</f>
        <v/>
      </c>
      <c r="H1174" s="54" t="str">
        <f>IFERROR(IF(INDEX(SPOT_Import!$A$1:$Z$2488,1174,'Live Data'!$C$19)="","",INDEX(SPOT_Import!$A$1:$Z$2488,1174,'Live Data'!$C$19)),"")</f>
        <v/>
      </c>
      <c r="I1174" s="54" t="str">
        <f>IFERROR(IF(INDEX(SPOT_Import!$A$1:$Z$2488,1174,'Live Data'!$C$20)="","",INDEX(SPOT_Import!$A$1:$Z$2488,1174,'Live Data'!$C$20)),"")</f>
        <v/>
      </c>
      <c r="J1174" s="54" t="str">
        <f>IFERROR(IF(INDEX(SPOT_Import!$A$1:$Z$2488,1174,'Live Data'!$C$21)="","",INDEX(SPOT_Import!$A$1:$Z$2488,1174,'Live Data'!$C$21)),"")</f>
        <v/>
      </c>
      <c r="K1174" s="54" t="str">
        <f>IFERROR(IF(INDEX(SPOT_Import!$A$1:$Z$2488,1174,'Live Data'!$C$22)="","",INDEX(SPOT_Import!$A$1:$Z$2488,1174,'Live Data'!$C$22)),"")</f>
        <v/>
      </c>
      <c r="L1174" s="55" t="str">
        <f t="shared" si="36"/>
        <v/>
      </c>
      <c r="M1174" s="55" t="str">
        <f t="shared" si="37"/>
        <v/>
      </c>
      <c r="N1174" s="55" t="str">
        <f>IF(A1174="","",IFERROR(INDEX('Cluster Map'!$A$4:$A$38,MATCH(M1174,'Cluster Map'!$B$4:$B$38,0)),"Unmapped"))</f>
        <v/>
      </c>
      <c r="O1174" s="55">
        <f>IF(A1174="",0,IF(COUNTIFS($A$2:A1174,A1174,$F$2:F1174,F1174,$L$2:L1174,L1174)=1,1,0))</f>
        <v>0</v>
      </c>
      <c r="P1174" s="55">
        <f>IF(A1174="",0,IF(AND(F1174="C&amp;T",COUNTIFS($A$2:A1174,A1174,$F$2:F1174,"C&amp;T")=1),1,0))</f>
        <v>0</v>
      </c>
    </row>
    <row r="1175" spans="1:16" x14ac:dyDescent="0.35">
      <c r="A1175" s="54" t="str">
        <f>IFERROR(IF(INDEX(SPOT_Import!$A$1:$Z$2488,1175,'Live Data'!$C$12)="","",INDEX(SPOT_Import!$A$1:$Z$2488,1175,'Live Data'!$C$12)),"")</f>
        <v/>
      </c>
      <c r="B1175" s="54" t="str">
        <f>IFERROR(IF(INDEX(SPOT_Import!$A$1:$Z$2488,1175,'Live Data'!$C$13)="","",INDEX(SPOT_Import!$A$1:$Z$2488,1175,'Live Data'!$C$13)),"")</f>
        <v/>
      </c>
      <c r="C1175" s="54" t="str">
        <f>IFERROR(IF(INDEX(SPOT_Import!$A$1:$Z$2488,1175,'Live Data'!$C$14)="","",INDEX(SPOT_Import!$A$1:$Z$2488,1175,'Live Data'!$C$14)),"")</f>
        <v/>
      </c>
      <c r="D1175" s="54" t="str">
        <f>IFERROR(IF(INDEX(SPOT_Import!$A$1:$Z$2488,1175,'Live Data'!$C$15)="","",INDEX(SPOT_Import!$A$1:$Z$2488,1175,'Live Data'!$C$15)),"")</f>
        <v/>
      </c>
      <c r="E1175" s="54" t="str">
        <f>IFERROR(IF(INDEX(SPOT_Import!$A$1:$Z$2488,1175,'Live Data'!$C$16)="","",INDEX(SPOT_Import!$A$1:$Z$2488,1175,'Live Data'!$C$16)),"")</f>
        <v/>
      </c>
      <c r="F1175" s="54" t="str">
        <f>IFERROR(IF(INDEX(SPOT_Import!$A$1:$Z$2488,1175,'Live Data'!$C$17)="","",INDEX(SPOT_Import!$A$1:$Z$2488,1175,'Live Data'!$C$17)),"")</f>
        <v/>
      </c>
      <c r="G1175" s="54" t="str">
        <f>IFERROR(IF(INDEX(SPOT_Import!$A$1:$Z$2488,1175,'Live Data'!$C$18)="","",INDEX(SPOT_Import!$A$1:$Z$2488,1175,'Live Data'!$C$18)),"")</f>
        <v/>
      </c>
      <c r="H1175" s="54" t="str">
        <f>IFERROR(IF(INDEX(SPOT_Import!$A$1:$Z$2488,1175,'Live Data'!$C$19)="","",INDEX(SPOT_Import!$A$1:$Z$2488,1175,'Live Data'!$C$19)),"")</f>
        <v/>
      </c>
      <c r="I1175" s="54" t="str">
        <f>IFERROR(IF(INDEX(SPOT_Import!$A$1:$Z$2488,1175,'Live Data'!$C$20)="","",INDEX(SPOT_Import!$A$1:$Z$2488,1175,'Live Data'!$C$20)),"")</f>
        <v/>
      </c>
      <c r="J1175" s="54" t="str">
        <f>IFERROR(IF(INDEX(SPOT_Import!$A$1:$Z$2488,1175,'Live Data'!$C$21)="","",INDEX(SPOT_Import!$A$1:$Z$2488,1175,'Live Data'!$C$21)),"")</f>
        <v/>
      </c>
      <c r="K1175" s="54" t="str">
        <f>IFERROR(IF(INDEX(SPOT_Import!$A$1:$Z$2488,1175,'Live Data'!$C$22)="","",INDEX(SPOT_Import!$A$1:$Z$2488,1175,'Live Data'!$C$22)),"")</f>
        <v/>
      </c>
      <c r="L1175" s="55" t="str">
        <f t="shared" si="36"/>
        <v/>
      </c>
      <c r="M1175" s="55" t="str">
        <f t="shared" si="37"/>
        <v/>
      </c>
      <c r="N1175" s="55" t="str">
        <f>IF(A1175="","",IFERROR(INDEX('Cluster Map'!$A$4:$A$38,MATCH(M1175,'Cluster Map'!$B$4:$B$38,0)),"Unmapped"))</f>
        <v/>
      </c>
      <c r="O1175" s="55">
        <f>IF(A1175="",0,IF(COUNTIFS($A$2:A1175,A1175,$F$2:F1175,F1175,$L$2:L1175,L1175)=1,1,0))</f>
        <v>0</v>
      </c>
      <c r="P1175" s="55">
        <f>IF(A1175="",0,IF(AND(F1175="C&amp;T",COUNTIFS($A$2:A1175,A1175,$F$2:F1175,"C&amp;T")=1),1,0))</f>
        <v>0</v>
      </c>
    </row>
    <row r="1176" spans="1:16" x14ac:dyDescent="0.35">
      <c r="A1176" s="54" t="str">
        <f>IFERROR(IF(INDEX(SPOT_Import!$A$1:$Z$2488,1176,'Live Data'!$C$12)="","",INDEX(SPOT_Import!$A$1:$Z$2488,1176,'Live Data'!$C$12)),"")</f>
        <v/>
      </c>
      <c r="B1176" s="54" t="str">
        <f>IFERROR(IF(INDEX(SPOT_Import!$A$1:$Z$2488,1176,'Live Data'!$C$13)="","",INDEX(SPOT_Import!$A$1:$Z$2488,1176,'Live Data'!$C$13)),"")</f>
        <v/>
      </c>
      <c r="C1176" s="54" t="str">
        <f>IFERROR(IF(INDEX(SPOT_Import!$A$1:$Z$2488,1176,'Live Data'!$C$14)="","",INDEX(SPOT_Import!$A$1:$Z$2488,1176,'Live Data'!$C$14)),"")</f>
        <v/>
      </c>
      <c r="D1176" s="54" t="str">
        <f>IFERROR(IF(INDEX(SPOT_Import!$A$1:$Z$2488,1176,'Live Data'!$C$15)="","",INDEX(SPOT_Import!$A$1:$Z$2488,1176,'Live Data'!$C$15)),"")</f>
        <v/>
      </c>
      <c r="E1176" s="54" t="str">
        <f>IFERROR(IF(INDEX(SPOT_Import!$A$1:$Z$2488,1176,'Live Data'!$C$16)="","",INDEX(SPOT_Import!$A$1:$Z$2488,1176,'Live Data'!$C$16)),"")</f>
        <v/>
      </c>
      <c r="F1176" s="54" t="str">
        <f>IFERROR(IF(INDEX(SPOT_Import!$A$1:$Z$2488,1176,'Live Data'!$C$17)="","",INDEX(SPOT_Import!$A$1:$Z$2488,1176,'Live Data'!$C$17)),"")</f>
        <v/>
      </c>
      <c r="G1176" s="54" t="str">
        <f>IFERROR(IF(INDEX(SPOT_Import!$A$1:$Z$2488,1176,'Live Data'!$C$18)="","",INDEX(SPOT_Import!$A$1:$Z$2488,1176,'Live Data'!$C$18)),"")</f>
        <v/>
      </c>
      <c r="H1176" s="54" t="str">
        <f>IFERROR(IF(INDEX(SPOT_Import!$A$1:$Z$2488,1176,'Live Data'!$C$19)="","",INDEX(SPOT_Import!$A$1:$Z$2488,1176,'Live Data'!$C$19)),"")</f>
        <v/>
      </c>
      <c r="I1176" s="54" t="str">
        <f>IFERROR(IF(INDEX(SPOT_Import!$A$1:$Z$2488,1176,'Live Data'!$C$20)="","",INDEX(SPOT_Import!$A$1:$Z$2488,1176,'Live Data'!$C$20)),"")</f>
        <v/>
      </c>
      <c r="J1176" s="54" t="str">
        <f>IFERROR(IF(INDEX(SPOT_Import!$A$1:$Z$2488,1176,'Live Data'!$C$21)="","",INDEX(SPOT_Import!$A$1:$Z$2488,1176,'Live Data'!$C$21)),"")</f>
        <v/>
      </c>
      <c r="K1176" s="54" t="str">
        <f>IFERROR(IF(INDEX(SPOT_Import!$A$1:$Z$2488,1176,'Live Data'!$C$22)="","",INDEX(SPOT_Import!$A$1:$Z$2488,1176,'Live Data'!$C$22)),"")</f>
        <v/>
      </c>
      <c r="L1176" s="55" t="str">
        <f t="shared" si="36"/>
        <v/>
      </c>
      <c r="M1176" s="55" t="str">
        <f t="shared" si="37"/>
        <v/>
      </c>
      <c r="N1176" s="55" t="str">
        <f>IF(A1176="","",IFERROR(INDEX('Cluster Map'!$A$4:$A$38,MATCH(M1176,'Cluster Map'!$B$4:$B$38,0)),"Unmapped"))</f>
        <v/>
      </c>
      <c r="O1176" s="55">
        <f>IF(A1176="",0,IF(COUNTIFS($A$2:A1176,A1176,$F$2:F1176,F1176,$L$2:L1176,L1176)=1,1,0))</f>
        <v>0</v>
      </c>
      <c r="P1176" s="55">
        <f>IF(A1176="",0,IF(AND(F1176="C&amp;T",COUNTIFS($A$2:A1176,A1176,$F$2:F1176,"C&amp;T")=1),1,0))</f>
        <v>0</v>
      </c>
    </row>
    <row r="1177" spans="1:16" x14ac:dyDescent="0.35">
      <c r="A1177" s="54" t="str">
        <f>IFERROR(IF(INDEX(SPOT_Import!$A$1:$Z$2488,1177,'Live Data'!$C$12)="","",INDEX(SPOT_Import!$A$1:$Z$2488,1177,'Live Data'!$C$12)),"")</f>
        <v/>
      </c>
      <c r="B1177" s="54" t="str">
        <f>IFERROR(IF(INDEX(SPOT_Import!$A$1:$Z$2488,1177,'Live Data'!$C$13)="","",INDEX(SPOT_Import!$A$1:$Z$2488,1177,'Live Data'!$C$13)),"")</f>
        <v/>
      </c>
      <c r="C1177" s="54" t="str">
        <f>IFERROR(IF(INDEX(SPOT_Import!$A$1:$Z$2488,1177,'Live Data'!$C$14)="","",INDEX(SPOT_Import!$A$1:$Z$2488,1177,'Live Data'!$C$14)),"")</f>
        <v/>
      </c>
      <c r="D1177" s="54" t="str">
        <f>IFERROR(IF(INDEX(SPOT_Import!$A$1:$Z$2488,1177,'Live Data'!$C$15)="","",INDEX(SPOT_Import!$A$1:$Z$2488,1177,'Live Data'!$C$15)),"")</f>
        <v/>
      </c>
      <c r="E1177" s="54" t="str">
        <f>IFERROR(IF(INDEX(SPOT_Import!$A$1:$Z$2488,1177,'Live Data'!$C$16)="","",INDEX(SPOT_Import!$A$1:$Z$2488,1177,'Live Data'!$C$16)),"")</f>
        <v/>
      </c>
      <c r="F1177" s="54" t="str">
        <f>IFERROR(IF(INDEX(SPOT_Import!$A$1:$Z$2488,1177,'Live Data'!$C$17)="","",INDEX(SPOT_Import!$A$1:$Z$2488,1177,'Live Data'!$C$17)),"")</f>
        <v/>
      </c>
      <c r="G1177" s="54" t="str">
        <f>IFERROR(IF(INDEX(SPOT_Import!$A$1:$Z$2488,1177,'Live Data'!$C$18)="","",INDEX(SPOT_Import!$A$1:$Z$2488,1177,'Live Data'!$C$18)),"")</f>
        <v/>
      </c>
      <c r="H1177" s="54" t="str">
        <f>IFERROR(IF(INDEX(SPOT_Import!$A$1:$Z$2488,1177,'Live Data'!$C$19)="","",INDEX(SPOT_Import!$A$1:$Z$2488,1177,'Live Data'!$C$19)),"")</f>
        <v/>
      </c>
      <c r="I1177" s="54" t="str">
        <f>IFERROR(IF(INDEX(SPOT_Import!$A$1:$Z$2488,1177,'Live Data'!$C$20)="","",INDEX(SPOT_Import!$A$1:$Z$2488,1177,'Live Data'!$C$20)),"")</f>
        <v/>
      </c>
      <c r="J1177" s="54" t="str">
        <f>IFERROR(IF(INDEX(SPOT_Import!$A$1:$Z$2488,1177,'Live Data'!$C$21)="","",INDEX(SPOT_Import!$A$1:$Z$2488,1177,'Live Data'!$C$21)),"")</f>
        <v/>
      </c>
      <c r="K1177" s="54" t="str">
        <f>IFERROR(IF(INDEX(SPOT_Import!$A$1:$Z$2488,1177,'Live Data'!$C$22)="","",INDEX(SPOT_Import!$A$1:$Z$2488,1177,'Live Data'!$C$22)),"")</f>
        <v/>
      </c>
      <c r="L1177" s="55" t="str">
        <f t="shared" si="36"/>
        <v/>
      </c>
      <c r="M1177" s="55" t="str">
        <f t="shared" si="37"/>
        <v/>
      </c>
      <c r="N1177" s="55" t="str">
        <f>IF(A1177="","",IFERROR(INDEX('Cluster Map'!$A$4:$A$38,MATCH(M1177,'Cluster Map'!$B$4:$B$38,0)),"Unmapped"))</f>
        <v/>
      </c>
      <c r="O1177" s="55">
        <f>IF(A1177="",0,IF(COUNTIFS($A$2:A1177,A1177,$F$2:F1177,F1177,$L$2:L1177,L1177)=1,1,0))</f>
        <v>0</v>
      </c>
      <c r="P1177" s="55">
        <f>IF(A1177="",0,IF(AND(F1177="C&amp;T",COUNTIFS($A$2:A1177,A1177,$F$2:F1177,"C&amp;T")=1),1,0))</f>
        <v>0</v>
      </c>
    </row>
    <row r="1178" spans="1:16" x14ac:dyDescent="0.35">
      <c r="A1178" s="54" t="str">
        <f>IFERROR(IF(INDEX(SPOT_Import!$A$1:$Z$2488,1178,'Live Data'!$C$12)="","",INDEX(SPOT_Import!$A$1:$Z$2488,1178,'Live Data'!$C$12)),"")</f>
        <v/>
      </c>
      <c r="B1178" s="54" t="str">
        <f>IFERROR(IF(INDEX(SPOT_Import!$A$1:$Z$2488,1178,'Live Data'!$C$13)="","",INDEX(SPOT_Import!$A$1:$Z$2488,1178,'Live Data'!$C$13)),"")</f>
        <v/>
      </c>
      <c r="C1178" s="54" t="str">
        <f>IFERROR(IF(INDEX(SPOT_Import!$A$1:$Z$2488,1178,'Live Data'!$C$14)="","",INDEX(SPOT_Import!$A$1:$Z$2488,1178,'Live Data'!$C$14)),"")</f>
        <v/>
      </c>
      <c r="D1178" s="54" t="str">
        <f>IFERROR(IF(INDEX(SPOT_Import!$A$1:$Z$2488,1178,'Live Data'!$C$15)="","",INDEX(SPOT_Import!$A$1:$Z$2488,1178,'Live Data'!$C$15)),"")</f>
        <v/>
      </c>
      <c r="E1178" s="54" t="str">
        <f>IFERROR(IF(INDEX(SPOT_Import!$A$1:$Z$2488,1178,'Live Data'!$C$16)="","",INDEX(SPOT_Import!$A$1:$Z$2488,1178,'Live Data'!$C$16)),"")</f>
        <v/>
      </c>
      <c r="F1178" s="54" t="str">
        <f>IFERROR(IF(INDEX(SPOT_Import!$A$1:$Z$2488,1178,'Live Data'!$C$17)="","",INDEX(SPOT_Import!$A$1:$Z$2488,1178,'Live Data'!$C$17)),"")</f>
        <v/>
      </c>
      <c r="G1178" s="54" t="str">
        <f>IFERROR(IF(INDEX(SPOT_Import!$A$1:$Z$2488,1178,'Live Data'!$C$18)="","",INDEX(SPOT_Import!$A$1:$Z$2488,1178,'Live Data'!$C$18)),"")</f>
        <v/>
      </c>
      <c r="H1178" s="54" t="str">
        <f>IFERROR(IF(INDEX(SPOT_Import!$A$1:$Z$2488,1178,'Live Data'!$C$19)="","",INDEX(SPOT_Import!$A$1:$Z$2488,1178,'Live Data'!$C$19)),"")</f>
        <v/>
      </c>
      <c r="I1178" s="54" t="str">
        <f>IFERROR(IF(INDEX(SPOT_Import!$A$1:$Z$2488,1178,'Live Data'!$C$20)="","",INDEX(SPOT_Import!$A$1:$Z$2488,1178,'Live Data'!$C$20)),"")</f>
        <v/>
      </c>
      <c r="J1178" s="54" t="str">
        <f>IFERROR(IF(INDEX(SPOT_Import!$A$1:$Z$2488,1178,'Live Data'!$C$21)="","",INDEX(SPOT_Import!$A$1:$Z$2488,1178,'Live Data'!$C$21)),"")</f>
        <v/>
      </c>
      <c r="K1178" s="54" t="str">
        <f>IFERROR(IF(INDEX(SPOT_Import!$A$1:$Z$2488,1178,'Live Data'!$C$22)="","",INDEX(SPOT_Import!$A$1:$Z$2488,1178,'Live Data'!$C$22)),"")</f>
        <v/>
      </c>
      <c r="L1178" s="55" t="str">
        <f t="shared" si="36"/>
        <v/>
      </c>
      <c r="M1178" s="55" t="str">
        <f t="shared" si="37"/>
        <v/>
      </c>
      <c r="N1178" s="55" t="str">
        <f>IF(A1178="","",IFERROR(INDEX('Cluster Map'!$A$4:$A$38,MATCH(M1178,'Cluster Map'!$B$4:$B$38,0)),"Unmapped"))</f>
        <v/>
      </c>
      <c r="O1178" s="55">
        <f>IF(A1178="",0,IF(COUNTIFS($A$2:A1178,A1178,$F$2:F1178,F1178,$L$2:L1178,L1178)=1,1,0))</f>
        <v>0</v>
      </c>
      <c r="P1178" s="55">
        <f>IF(A1178="",0,IF(AND(F1178="C&amp;T",COUNTIFS($A$2:A1178,A1178,$F$2:F1178,"C&amp;T")=1),1,0))</f>
        <v>0</v>
      </c>
    </row>
    <row r="1179" spans="1:16" x14ac:dyDescent="0.35">
      <c r="A1179" s="54" t="str">
        <f>IFERROR(IF(INDEX(SPOT_Import!$A$1:$Z$2488,1179,'Live Data'!$C$12)="","",INDEX(SPOT_Import!$A$1:$Z$2488,1179,'Live Data'!$C$12)),"")</f>
        <v/>
      </c>
      <c r="B1179" s="54" t="str">
        <f>IFERROR(IF(INDEX(SPOT_Import!$A$1:$Z$2488,1179,'Live Data'!$C$13)="","",INDEX(SPOT_Import!$A$1:$Z$2488,1179,'Live Data'!$C$13)),"")</f>
        <v/>
      </c>
      <c r="C1179" s="54" t="str">
        <f>IFERROR(IF(INDEX(SPOT_Import!$A$1:$Z$2488,1179,'Live Data'!$C$14)="","",INDEX(SPOT_Import!$A$1:$Z$2488,1179,'Live Data'!$C$14)),"")</f>
        <v/>
      </c>
      <c r="D1179" s="54" t="str">
        <f>IFERROR(IF(INDEX(SPOT_Import!$A$1:$Z$2488,1179,'Live Data'!$C$15)="","",INDEX(SPOT_Import!$A$1:$Z$2488,1179,'Live Data'!$C$15)),"")</f>
        <v/>
      </c>
      <c r="E1179" s="54" t="str">
        <f>IFERROR(IF(INDEX(SPOT_Import!$A$1:$Z$2488,1179,'Live Data'!$C$16)="","",INDEX(SPOT_Import!$A$1:$Z$2488,1179,'Live Data'!$C$16)),"")</f>
        <v/>
      </c>
      <c r="F1179" s="54" t="str">
        <f>IFERROR(IF(INDEX(SPOT_Import!$A$1:$Z$2488,1179,'Live Data'!$C$17)="","",INDEX(SPOT_Import!$A$1:$Z$2488,1179,'Live Data'!$C$17)),"")</f>
        <v/>
      </c>
      <c r="G1179" s="54" t="str">
        <f>IFERROR(IF(INDEX(SPOT_Import!$A$1:$Z$2488,1179,'Live Data'!$C$18)="","",INDEX(SPOT_Import!$A$1:$Z$2488,1179,'Live Data'!$C$18)),"")</f>
        <v/>
      </c>
      <c r="H1179" s="54" t="str">
        <f>IFERROR(IF(INDEX(SPOT_Import!$A$1:$Z$2488,1179,'Live Data'!$C$19)="","",INDEX(SPOT_Import!$A$1:$Z$2488,1179,'Live Data'!$C$19)),"")</f>
        <v/>
      </c>
      <c r="I1179" s="54" t="str">
        <f>IFERROR(IF(INDEX(SPOT_Import!$A$1:$Z$2488,1179,'Live Data'!$C$20)="","",INDEX(SPOT_Import!$A$1:$Z$2488,1179,'Live Data'!$C$20)),"")</f>
        <v/>
      </c>
      <c r="J1179" s="54" t="str">
        <f>IFERROR(IF(INDEX(SPOT_Import!$A$1:$Z$2488,1179,'Live Data'!$C$21)="","",INDEX(SPOT_Import!$A$1:$Z$2488,1179,'Live Data'!$C$21)),"")</f>
        <v/>
      </c>
      <c r="K1179" s="54" t="str">
        <f>IFERROR(IF(INDEX(SPOT_Import!$A$1:$Z$2488,1179,'Live Data'!$C$22)="","",INDEX(SPOT_Import!$A$1:$Z$2488,1179,'Live Data'!$C$22)),"")</f>
        <v/>
      </c>
      <c r="L1179" s="55" t="str">
        <f t="shared" si="36"/>
        <v/>
      </c>
      <c r="M1179" s="55" t="str">
        <f t="shared" si="37"/>
        <v/>
      </c>
      <c r="N1179" s="55" t="str">
        <f>IF(A1179="","",IFERROR(INDEX('Cluster Map'!$A$4:$A$38,MATCH(M1179,'Cluster Map'!$B$4:$B$38,0)),"Unmapped"))</f>
        <v/>
      </c>
      <c r="O1179" s="55">
        <f>IF(A1179="",0,IF(COUNTIFS($A$2:A1179,A1179,$F$2:F1179,F1179,$L$2:L1179,L1179)=1,1,0))</f>
        <v>0</v>
      </c>
      <c r="P1179" s="55">
        <f>IF(A1179="",0,IF(AND(F1179="C&amp;T",COUNTIFS($A$2:A1179,A1179,$F$2:F1179,"C&amp;T")=1),1,0))</f>
        <v>0</v>
      </c>
    </row>
    <row r="1180" spans="1:16" x14ac:dyDescent="0.35">
      <c r="A1180" s="54" t="str">
        <f>IFERROR(IF(INDEX(SPOT_Import!$A$1:$Z$2488,1180,'Live Data'!$C$12)="","",INDEX(SPOT_Import!$A$1:$Z$2488,1180,'Live Data'!$C$12)),"")</f>
        <v/>
      </c>
      <c r="B1180" s="54" t="str">
        <f>IFERROR(IF(INDEX(SPOT_Import!$A$1:$Z$2488,1180,'Live Data'!$C$13)="","",INDEX(SPOT_Import!$A$1:$Z$2488,1180,'Live Data'!$C$13)),"")</f>
        <v/>
      </c>
      <c r="C1180" s="54" t="str">
        <f>IFERROR(IF(INDEX(SPOT_Import!$A$1:$Z$2488,1180,'Live Data'!$C$14)="","",INDEX(SPOT_Import!$A$1:$Z$2488,1180,'Live Data'!$C$14)),"")</f>
        <v/>
      </c>
      <c r="D1180" s="54" t="str">
        <f>IFERROR(IF(INDEX(SPOT_Import!$A$1:$Z$2488,1180,'Live Data'!$C$15)="","",INDEX(SPOT_Import!$A$1:$Z$2488,1180,'Live Data'!$C$15)),"")</f>
        <v/>
      </c>
      <c r="E1180" s="54" t="str">
        <f>IFERROR(IF(INDEX(SPOT_Import!$A$1:$Z$2488,1180,'Live Data'!$C$16)="","",INDEX(SPOT_Import!$A$1:$Z$2488,1180,'Live Data'!$C$16)),"")</f>
        <v/>
      </c>
      <c r="F1180" s="54" t="str">
        <f>IFERROR(IF(INDEX(SPOT_Import!$A$1:$Z$2488,1180,'Live Data'!$C$17)="","",INDEX(SPOT_Import!$A$1:$Z$2488,1180,'Live Data'!$C$17)),"")</f>
        <v/>
      </c>
      <c r="G1180" s="54" t="str">
        <f>IFERROR(IF(INDEX(SPOT_Import!$A$1:$Z$2488,1180,'Live Data'!$C$18)="","",INDEX(SPOT_Import!$A$1:$Z$2488,1180,'Live Data'!$C$18)),"")</f>
        <v/>
      </c>
      <c r="H1180" s="54" t="str">
        <f>IFERROR(IF(INDEX(SPOT_Import!$A$1:$Z$2488,1180,'Live Data'!$C$19)="","",INDEX(SPOT_Import!$A$1:$Z$2488,1180,'Live Data'!$C$19)),"")</f>
        <v/>
      </c>
      <c r="I1180" s="54" t="str">
        <f>IFERROR(IF(INDEX(SPOT_Import!$A$1:$Z$2488,1180,'Live Data'!$C$20)="","",INDEX(SPOT_Import!$A$1:$Z$2488,1180,'Live Data'!$C$20)),"")</f>
        <v/>
      </c>
      <c r="J1180" s="54" t="str">
        <f>IFERROR(IF(INDEX(SPOT_Import!$A$1:$Z$2488,1180,'Live Data'!$C$21)="","",INDEX(SPOT_Import!$A$1:$Z$2488,1180,'Live Data'!$C$21)),"")</f>
        <v/>
      </c>
      <c r="K1180" s="54" t="str">
        <f>IFERROR(IF(INDEX(SPOT_Import!$A$1:$Z$2488,1180,'Live Data'!$C$22)="","",INDEX(SPOT_Import!$A$1:$Z$2488,1180,'Live Data'!$C$22)),"")</f>
        <v/>
      </c>
      <c r="L1180" s="55" t="str">
        <f t="shared" si="36"/>
        <v/>
      </c>
      <c r="M1180" s="55" t="str">
        <f t="shared" si="37"/>
        <v/>
      </c>
      <c r="N1180" s="55" t="str">
        <f>IF(A1180="","",IFERROR(INDEX('Cluster Map'!$A$4:$A$38,MATCH(M1180,'Cluster Map'!$B$4:$B$38,0)),"Unmapped"))</f>
        <v/>
      </c>
      <c r="O1180" s="55">
        <f>IF(A1180="",0,IF(COUNTIFS($A$2:A1180,A1180,$F$2:F1180,F1180,$L$2:L1180,L1180)=1,1,0))</f>
        <v>0</v>
      </c>
      <c r="P1180" s="55">
        <f>IF(A1180="",0,IF(AND(F1180="C&amp;T",COUNTIFS($A$2:A1180,A1180,$F$2:F1180,"C&amp;T")=1),1,0))</f>
        <v>0</v>
      </c>
    </row>
    <row r="1181" spans="1:16" x14ac:dyDescent="0.35">
      <c r="A1181" s="54" t="str">
        <f>IFERROR(IF(INDEX(SPOT_Import!$A$1:$Z$2488,1181,'Live Data'!$C$12)="","",INDEX(SPOT_Import!$A$1:$Z$2488,1181,'Live Data'!$C$12)),"")</f>
        <v/>
      </c>
      <c r="B1181" s="54" t="str">
        <f>IFERROR(IF(INDEX(SPOT_Import!$A$1:$Z$2488,1181,'Live Data'!$C$13)="","",INDEX(SPOT_Import!$A$1:$Z$2488,1181,'Live Data'!$C$13)),"")</f>
        <v/>
      </c>
      <c r="C1181" s="54" t="str">
        <f>IFERROR(IF(INDEX(SPOT_Import!$A$1:$Z$2488,1181,'Live Data'!$C$14)="","",INDEX(SPOT_Import!$A$1:$Z$2488,1181,'Live Data'!$C$14)),"")</f>
        <v/>
      </c>
      <c r="D1181" s="54" t="str">
        <f>IFERROR(IF(INDEX(SPOT_Import!$A$1:$Z$2488,1181,'Live Data'!$C$15)="","",INDEX(SPOT_Import!$A$1:$Z$2488,1181,'Live Data'!$C$15)),"")</f>
        <v/>
      </c>
      <c r="E1181" s="54" t="str">
        <f>IFERROR(IF(INDEX(SPOT_Import!$A$1:$Z$2488,1181,'Live Data'!$C$16)="","",INDEX(SPOT_Import!$A$1:$Z$2488,1181,'Live Data'!$C$16)),"")</f>
        <v/>
      </c>
      <c r="F1181" s="54" t="str">
        <f>IFERROR(IF(INDEX(SPOT_Import!$A$1:$Z$2488,1181,'Live Data'!$C$17)="","",INDEX(SPOT_Import!$A$1:$Z$2488,1181,'Live Data'!$C$17)),"")</f>
        <v/>
      </c>
      <c r="G1181" s="54" t="str">
        <f>IFERROR(IF(INDEX(SPOT_Import!$A$1:$Z$2488,1181,'Live Data'!$C$18)="","",INDEX(SPOT_Import!$A$1:$Z$2488,1181,'Live Data'!$C$18)),"")</f>
        <v/>
      </c>
      <c r="H1181" s="54" t="str">
        <f>IFERROR(IF(INDEX(SPOT_Import!$A$1:$Z$2488,1181,'Live Data'!$C$19)="","",INDEX(SPOT_Import!$A$1:$Z$2488,1181,'Live Data'!$C$19)),"")</f>
        <v/>
      </c>
      <c r="I1181" s="54" t="str">
        <f>IFERROR(IF(INDEX(SPOT_Import!$A$1:$Z$2488,1181,'Live Data'!$C$20)="","",INDEX(SPOT_Import!$A$1:$Z$2488,1181,'Live Data'!$C$20)),"")</f>
        <v/>
      </c>
      <c r="J1181" s="54" t="str">
        <f>IFERROR(IF(INDEX(SPOT_Import!$A$1:$Z$2488,1181,'Live Data'!$C$21)="","",INDEX(SPOT_Import!$A$1:$Z$2488,1181,'Live Data'!$C$21)),"")</f>
        <v/>
      </c>
      <c r="K1181" s="54" t="str">
        <f>IFERROR(IF(INDEX(SPOT_Import!$A$1:$Z$2488,1181,'Live Data'!$C$22)="","",INDEX(SPOT_Import!$A$1:$Z$2488,1181,'Live Data'!$C$22)),"")</f>
        <v/>
      </c>
      <c r="L1181" s="55" t="str">
        <f t="shared" si="36"/>
        <v/>
      </c>
      <c r="M1181" s="55" t="str">
        <f t="shared" si="37"/>
        <v/>
      </c>
      <c r="N1181" s="55" t="str">
        <f>IF(A1181="","",IFERROR(INDEX('Cluster Map'!$A$4:$A$38,MATCH(M1181,'Cluster Map'!$B$4:$B$38,0)),"Unmapped"))</f>
        <v/>
      </c>
      <c r="O1181" s="55">
        <f>IF(A1181="",0,IF(COUNTIFS($A$2:A1181,A1181,$F$2:F1181,F1181,$L$2:L1181,L1181)=1,1,0))</f>
        <v>0</v>
      </c>
      <c r="P1181" s="55">
        <f>IF(A1181="",0,IF(AND(F1181="C&amp;T",COUNTIFS($A$2:A1181,A1181,$F$2:F1181,"C&amp;T")=1),1,0))</f>
        <v>0</v>
      </c>
    </row>
    <row r="1182" spans="1:16" x14ac:dyDescent="0.35">
      <c r="A1182" s="54" t="str">
        <f>IFERROR(IF(INDEX(SPOT_Import!$A$1:$Z$2488,1182,'Live Data'!$C$12)="","",INDEX(SPOT_Import!$A$1:$Z$2488,1182,'Live Data'!$C$12)),"")</f>
        <v/>
      </c>
      <c r="B1182" s="54" t="str">
        <f>IFERROR(IF(INDEX(SPOT_Import!$A$1:$Z$2488,1182,'Live Data'!$C$13)="","",INDEX(SPOT_Import!$A$1:$Z$2488,1182,'Live Data'!$C$13)),"")</f>
        <v/>
      </c>
      <c r="C1182" s="54" t="str">
        <f>IFERROR(IF(INDEX(SPOT_Import!$A$1:$Z$2488,1182,'Live Data'!$C$14)="","",INDEX(SPOT_Import!$A$1:$Z$2488,1182,'Live Data'!$C$14)),"")</f>
        <v/>
      </c>
      <c r="D1182" s="54" t="str">
        <f>IFERROR(IF(INDEX(SPOT_Import!$A$1:$Z$2488,1182,'Live Data'!$C$15)="","",INDEX(SPOT_Import!$A$1:$Z$2488,1182,'Live Data'!$C$15)),"")</f>
        <v/>
      </c>
      <c r="E1182" s="54" t="str">
        <f>IFERROR(IF(INDEX(SPOT_Import!$A$1:$Z$2488,1182,'Live Data'!$C$16)="","",INDEX(SPOT_Import!$A$1:$Z$2488,1182,'Live Data'!$C$16)),"")</f>
        <v/>
      </c>
      <c r="F1182" s="54" t="str">
        <f>IFERROR(IF(INDEX(SPOT_Import!$A$1:$Z$2488,1182,'Live Data'!$C$17)="","",INDEX(SPOT_Import!$A$1:$Z$2488,1182,'Live Data'!$C$17)),"")</f>
        <v/>
      </c>
      <c r="G1182" s="54" t="str">
        <f>IFERROR(IF(INDEX(SPOT_Import!$A$1:$Z$2488,1182,'Live Data'!$C$18)="","",INDEX(SPOT_Import!$A$1:$Z$2488,1182,'Live Data'!$C$18)),"")</f>
        <v/>
      </c>
      <c r="H1182" s="54" t="str">
        <f>IFERROR(IF(INDEX(SPOT_Import!$A$1:$Z$2488,1182,'Live Data'!$C$19)="","",INDEX(SPOT_Import!$A$1:$Z$2488,1182,'Live Data'!$C$19)),"")</f>
        <v/>
      </c>
      <c r="I1182" s="54" t="str">
        <f>IFERROR(IF(INDEX(SPOT_Import!$A$1:$Z$2488,1182,'Live Data'!$C$20)="","",INDEX(SPOT_Import!$A$1:$Z$2488,1182,'Live Data'!$C$20)),"")</f>
        <v/>
      </c>
      <c r="J1182" s="54" t="str">
        <f>IFERROR(IF(INDEX(SPOT_Import!$A$1:$Z$2488,1182,'Live Data'!$C$21)="","",INDEX(SPOT_Import!$A$1:$Z$2488,1182,'Live Data'!$C$21)),"")</f>
        <v/>
      </c>
      <c r="K1182" s="54" t="str">
        <f>IFERROR(IF(INDEX(SPOT_Import!$A$1:$Z$2488,1182,'Live Data'!$C$22)="","",INDEX(SPOT_Import!$A$1:$Z$2488,1182,'Live Data'!$C$22)),"")</f>
        <v/>
      </c>
      <c r="L1182" s="55" t="str">
        <f t="shared" si="36"/>
        <v/>
      </c>
      <c r="M1182" s="55" t="str">
        <f t="shared" si="37"/>
        <v/>
      </c>
      <c r="N1182" s="55" t="str">
        <f>IF(A1182="","",IFERROR(INDEX('Cluster Map'!$A$4:$A$38,MATCH(M1182,'Cluster Map'!$B$4:$B$38,0)),"Unmapped"))</f>
        <v/>
      </c>
      <c r="O1182" s="55">
        <f>IF(A1182="",0,IF(COUNTIFS($A$2:A1182,A1182,$F$2:F1182,F1182,$L$2:L1182,L1182)=1,1,0))</f>
        <v>0</v>
      </c>
      <c r="P1182" s="55">
        <f>IF(A1182="",0,IF(AND(F1182="C&amp;T",COUNTIFS($A$2:A1182,A1182,$F$2:F1182,"C&amp;T")=1),1,0))</f>
        <v>0</v>
      </c>
    </row>
    <row r="1183" spans="1:16" x14ac:dyDescent="0.35">
      <c r="A1183" s="54" t="str">
        <f>IFERROR(IF(INDEX(SPOT_Import!$A$1:$Z$2488,1183,'Live Data'!$C$12)="","",INDEX(SPOT_Import!$A$1:$Z$2488,1183,'Live Data'!$C$12)),"")</f>
        <v/>
      </c>
      <c r="B1183" s="54" t="str">
        <f>IFERROR(IF(INDEX(SPOT_Import!$A$1:$Z$2488,1183,'Live Data'!$C$13)="","",INDEX(SPOT_Import!$A$1:$Z$2488,1183,'Live Data'!$C$13)),"")</f>
        <v/>
      </c>
      <c r="C1183" s="54" t="str">
        <f>IFERROR(IF(INDEX(SPOT_Import!$A$1:$Z$2488,1183,'Live Data'!$C$14)="","",INDEX(SPOT_Import!$A$1:$Z$2488,1183,'Live Data'!$C$14)),"")</f>
        <v/>
      </c>
      <c r="D1183" s="54" t="str">
        <f>IFERROR(IF(INDEX(SPOT_Import!$A$1:$Z$2488,1183,'Live Data'!$C$15)="","",INDEX(SPOT_Import!$A$1:$Z$2488,1183,'Live Data'!$C$15)),"")</f>
        <v/>
      </c>
      <c r="E1183" s="54" t="str">
        <f>IFERROR(IF(INDEX(SPOT_Import!$A$1:$Z$2488,1183,'Live Data'!$C$16)="","",INDEX(SPOT_Import!$A$1:$Z$2488,1183,'Live Data'!$C$16)),"")</f>
        <v/>
      </c>
      <c r="F1183" s="54" t="str">
        <f>IFERROR(IF(INDEX(SPOT_Import!$A$1:$Z$2488,1183,'Live Data'!$C$17)="","",INDEX(SPOT_Import!$A$1:$Z$2488,1183,'Live Data'!$C$17)),"")</f>
        <v/>
      </c>
      <c r="G1183" s="54" t="str">
        <f>IFERROR(IF(INDEX(SPOT_Import!$A$1:$Z$2488,1183,'Live Data'!$C$18)="","",INDEX(SPOT_Import!$A$1:$Z$2488,1183,'Live Data'!$C$18)),"")</f>
        <v/>
      </c>
      <c r="H1183" s="54" t="str">
        <f>IFERROR(IF(INDEX(SPOT_Import!$A$1:$Z$2488,1183,'Live Data'!$C$19)="","",INDEX(SPOT_Import!$A$1:$Z$2488,1183,'Live Data'!$C$19)),"")</f>
        <v/>
      </c>
      <c r="I1183" s="54" t="str">
        <f>IFERROR(IF(INDEX(SPOT_Import!$A$1:$Z$2488,1183,'Live Data'!$C$20)="","",INDEX(SPOT_Import!$A$1:$Z$2488,1183,'Live Data'!$C$20)),"")</f>
        <v/>
      </c>
      <c r="J1183" s="54" t="str">
        <f>IFERROR(IF(INDEX(SPOT_Import!$A$1:$Z$2488,1183,'Live Data'!$C$21)="","",INDEX(SPOT_Import!$A$1:$Z$2488,1183,'Live Data'!$C$21)),"")</f>
        <v/>
      </c>
      <c r="K1183" s="54" t="str">
        <f>IFERROR(IF(INDEX(SPOT_Import!$A$1:$Z$2488,1183,'Live Data'!$C$22)="","",INDEX(SPOT_Import!$A$1:$Z$2488,1183,'Live Data'!$C$22)),"")</f>
        <v/>
      </c>
      <c r="L1183" s="55" t="str">
        <f t="shared" si="36"/>
        <v/>
      </c>
      <c r="M1183" s="55" t="str">
        <f t="shared" si="37"/>
        <v/>
      </c>
      <c r="N1183" s="55" t="str">
        <f>IF(A1183="","",IFERROR(INDEX('Cluster Map'!$A$4:$A$38,MATCH(M1183,'Cluster Map'!$B$4:$B$38,0)),"Unmapped"))</f>
        <v/>
      </c>
      <c r="O1183" s="55">
        <f>IF(A1183="",0,IF(COUNTIFS($A$2:A1183,A1183,$F$2:F1183,F1183,$L$2:L1183,L1183)=1,1,0))</f>
        <v>0</v>
      </c>
      <c r="P1183" s="55">
        <f>IF(A1183="",0,IF(AND(F1183="C&amp;T",COUNTIFS($A$2:A1183,A1183,$F$2:F1183,"C&amp;T")=1),1,0))</f>
        <v>0</v>
      </c>
    </row>
    <row r="1184" spans="1:16" x14ac:dyDescent="0.35">
      <c r="A1184" s="54" t="str">
        <f>IFERROR(IF(INDEX(SPOT_Import!$A$1:$Z$2488,1184,'Live Data'!$C$12)="","",INDEX(SPOT_Import!$A$1:$Z$2488,1184,'Live Data'!$C$12)),"")</f>
        <v/>
      </c>
      <c r="B1184" s="54" t="str">
        <f>IFERROR(IF(INDEX(SPOT_Import!$A$1:$Z$2488,1184,'Live Data'!$C$13)="","",INDEX(SPOT_Import!$A$1:$Z$2488,1184,'Live Data'!$C$13)),"")</f>
        <v/>
      </c>
      <c r="C1184" s="54" t="str">
        <f>IFERROR(IF(INDEX(SPOT_Import!$A$1:$Z$2488,1184,'Live Data'!$C$14)="","",INDEX(SPOT_Import!$A$1:$Z$2488,1184,'Live Data'!$C$14)),"")</f>
        <v/>
      </c>
      <c r="D1184" s="54" t="str">
        <f>IFERROR(IF(INDEX(SPOT_Import!$A$1:$Z$2488,1184,'Live Data'!$C$15)="","",INDEX(SPOT_Import!$A$1:$Z$2488,1184,'Live Data'!$C$15)),"")</f>
        <v/>
      </c>
      <c r="E1184" s="54" t="str">
        <f>IFERROR(IF(INDEX(SPOT_Import!$A$1:$Z$2488,1184,'Live Data'!$C$16)="","",INDEX(SPOT_Import!$A$1:$Z$2488,1184,'Live Data'!$C$16)),"")</f>
        <v/>
      </c>
      <c r="F1184" s="54" t="str">
        <f>IFERROR(IF(INDEX(SPOT_Import!$A$1:$Z$2488,1184,'Live Data'!$C$17)="","",INDEX(SPOT_Import!$A$1:$Z$2488,1184,'Live Data'!$C$17)),"")</f>
        <v/>
      </c>
      <c r="G1184" s="54" t="str">
        <f>IFERROR(IF(INDEX(SPOT_Import!$A$1:$Z$2488,1184,'Live Data'!$C$18)="","",INDEX(SPOT_Import!$A$1:$Z$2488,1184,'Live Data'!$C$18)),"")</f>
        <v/>
      </c>
      <c r="H1184" s="54" t="str">
        <f>IFERROR(IF(INDEX(SPOT_Import!$A$1:$Z$2488,1184,'Live Data'!$C$19)="","",INDEX(SPOT_Import!$A$1:$Z$2488,1184,'Live Data'!$C$19)),"")</f>
        <v/>
      </c>
      <c r="I1184" s="54" t="str">
        <f>IFERROR(IF(INDEX(SPOT_Import!$A$1:$Z$2488,1184,'Live Data'!$C$20)="","",INDEX(SPOT_Import!$A$1:$Z$2488,1184,'Live Data'!$C$20)),"")</f>
        <v/>
      </c>
      <c r="J1184" s="54" t="str">
        <f>IFERROR(IF(INDEX(SPOT_Import!$A$1:$Z$2488,1184,'Live Data'!$C$21)="","",INDEX(SPOT_Import!$A$1:$Z$2488,1184,'Live Data'!$C$21)),"")</f>
        <v/>
      </c>
      <c r="K1184" s="54" t="str">
        <f>IFERROR(IF(INDEX(SPOT_Import!$A$1:$Z$2488,1184,'Live Data'!$C$22)="","",INDEX(SPOT_Import!$A$1:$Z$2488,1184,'Live Data'!$C$22)),"")</f>
        <v/>
      </c>
      <c r="L1184" s="55" t="str">
        <f t="shared" si="36"/>
        <v/>
      </c>
      <c r="M1184" s="55" t="str">
        <f t="shared" si="37"/>
        <v/>
      </c>
      <c r="N1184" s="55" t="str">
        <f>IF(A1184="","",IFERROR(INDEX('Cluster Map'!$A$4:$A$38,MATCH(M1184,'Cluster Map'!$B$4:$B$38,0)),"Unmapped"))</f>
        <v/>
      </c>
      <c r="O1184" s="55">
        <f>IF(A1184="",0,IF(COUNTIFS($A$2:A1184,A1184,$F$2:F1184,F1184,$L$2:L1184,L1184)=1,1,0))</f>
        <v>0</v>
      </c>
      <c r="P1184" s="55">
        <f>IF(A1184="",0,IF(AND(F1184="C&amp;T",COUNTIFS($A$2:A1184,A1184,$F$2:F1184,"C&amp;T")=1),1,0))</f>
        <v>0</v>
      </c>
    </row>
    <row r="1185" spans="1:16" x14ac:dyDescent="0.35">
      <c r="A1185" s="54" t="str">
        <f>IFERROR(IF(INDEX(SPOT_Import!$A$1:$Z$2488,1185,'Live Data'!$C$12)="","",INDEX(SPOT_Import!$A$1:$Z$2488,1185,'Live Data'!$C$12)),"")</f>
        <v/>
      </c>
      <c r="B1185" s="54" t="str">
        <f>IFERROR(IF(INDEX(SPOT_Import!$A$1:$Z$2488,1185,'Live Data'!$C$13)="","",INDEX(SPOT_Import!$A$1:$Z$2488,1185,'Live Data'!$C$13)),"")</f>
        <v/>
      </c>
      <c r="C1185" s="54" t="str">
        <f>IFERROR(IF(INDEX(SPOT_Import!$A$1:$Z$2488,1185,'Live Data'!$C$14)="","",INDEX(SPOT_Import!$A$1:$Z$2488,1185,'Live Data'!$C$14)),"")</f>
        <v/>
      </c>
      <c r="D1185" s="54" t="str">
        <f>IFERROR(IF(INDEX(SPOT_Import!$A$1:$Z$2488,1185,'Live Data'!$C$15)="","",INDEX(SPOT_Import!$A$1:$Z$2488,1185,'Live Data'!$C$15)),"")</f>
        <v/>
      </c>
      <c r="E1185" s="54" t="str">
        <f>IFERROR(IF(INDEX(SPOT_Import!$A$1:$Z$2488,1185,'Live Data'!$C$16)="","",INDEX(SPOT_Import!$A$1:$Z$2488,1185,'Live Data'!$C$16)),"")</f>
        <v/>
      </c>
      <c r="F1185" s="54" t="str">
        <f>IFERROR(IF(INDEX(SPOT_Import!$A$1:$Z$2488,1185,'Live Data'!$C$17)="","",INDEX(SPOT_Import!$A$1:$Z$2488,1185,'Live Data'!$C$17)),"")</f>
        <v/>
      </c>
      <c r="G1185" s="54" t="str">
        <f>IFERROR(IF(INDEX(SPOT_Import!$A$1:$Z$2488,1185,'Live Data'!$C$18)="","",INDEX(SPOT_Import!$A$1:$Z$2488,1185,'Live Data'!$C$18)),"")</f>
        <v/>
      </c>
      <c r="H1185" s="54" t="str">
        <f>IFERROR(IF(INDEX(SPOT_Import!$A$1:$Z$2488,1185,'Live Data'!$C$19)="","",INDEX(SPOT_Import!$A$1:$Z$2488,1185,'Live Data'!$C$19)),"")</f>
        <v/>
      </c>
      <c r="I1185" s="54" t="str">
        <f>IFERROR(IF(INDEX(SPOT_Import!$A$1:$Z$2488,1185,'Live Data'!$C$20)="","",INDEX(SPOT_Import!$A$1:$Z$2488,1185,'Live Data'!$C$20)),"")</f>
        <v/>
      </c>
      <c r="J1185" s="54" t="str">
        <f>IFERROR(IF(INDEX(SPOT_Import!$A$1:$Z$2488,1185,'Live Data'!$C$21)="","",INDEX(SPOT_Import!$A$1:$Z$2488,1185,'Live Data'!$C$21)),"")</f>
        <v/>
      </c>
      <c r="K1185" s="54" t="str">
        <f>IFERROR(IF(INDEX(SPOT_Import!$A$1:$Z$2488,1185,'Live Data'!$C$22)="","",INDEX(SPOT_Import!$A$1:$Z$2488,1185,'Live Data'!$C$22)),"")</f>
        <v/>
      </c>
      <c r="L1185" s="55" t="str">
        <f t="shared" si="36"/>
        <v/>
      </c>
      <c r="M1185" s="55" t="str">
        <f t="shared" si="37"/>
        <v/>
      </c>
      <c r="N1185" s="55" t="str">
        <f>IF(A1185="","",IFERROR(INDEX('Cluster Map'!$A$4:$A$38,MATCH(M1185,'Cluster Map'!$B$4:$B$38,0)),"Unmapped"))</f>
        <v/>
      </c>
      <c r="O1185" s="55">
        <f>IF(A1185="",0,IF(COUNTIFS($A$2:A1185,A1185,$F$2:F1185,F1185,$L$2:L1185,L1185)=1,1,0))</f>
        <v>0</v>
      </c>
      <c r="P1185" s="55">
        <f>IF(A1185="",0,IF(AND(F1185="C&amp;T",COUNTIFS($A$2:A1185,A1185,$F$2:F1185,"C&amp;T")=1),1,0))</f>
        <v>0</v>
      </c>
    </row>
    <row r="1186" spans="1:16" x14ac:dyDescent="0.35">
      <c r="A1186" s="54" t="str">
        <f>IFERROR(IF(INDEX(SPOT_Import!$A$1:$Z$2488,1186,'Live Data'!$C$12)="","",INDEX(SPOT_Import!$A$1:$Z$2488,1186,'Live Data'!$C$12)),"")</f>
        <v/>
      </c>
      <c r="B1186" s="54" t="str">
        <f>IFERROR(IF(INDEX(SPOT_Import!$A$1:$Z$2488,1186,'Live Data'!$C$13)="","",INDEX(SPOT_Import!$A$1:$Z$2488,1186,'Live Data'!$C$13)),"")</f>
        <v/>
      </c>
      <c r="C1186" s="54" t="str">
        <f>IFERROR(IF(INDEX(SPOT_Import!$A$1:$Z$2488,1186,'Live Data'!$C$14)="","",INDEX(SPOT_Import!$A$1:$Z$2488,1186,'Live Data'!$C$14)),"")</f>
        <v/>
      </c>
      <c r="D1186" s="54" t="str">
        <f>IFERROR(IF(INDEX(SPOT_Import!$A$1:$Z$2488,1186,'Live Data'!$C$15)="","",INDEX(SPOT_Import!$A$1:$Z$2488,1186,'Live Data'!$C$15)),"")</f>
        <v/>
      </c>
      <c r="E1186" s="54" t="str">
        <f>IFERROR(IF(INDEX(SPOT_Import!$A$1:$Z$2488,1186,'Live Data'!$C$16)="","",INDEX(SPOT_Import!$A$1:$Z$2488,1186,'Live Data'!$C$16)),"")</f>
        <v/>
      </c>
      <c r="F1186" s="54" t="str">
        <f>IFERROR(IF(INDEX(SPOT_Import!$A$1:$Z$2488,1186,'Live Data'!$C$17)="","",INDEX(SPOT_Import!$A$1:$Z$2488,1186,'Live Data'!$C$17)),"")</f>
        <v/>
      </c>
      <c r="G1186" s="54" t="str">
        <f>IFERROR(IF(INDEX(SPOT_Import!$A$1:$Z$2488,1186,'Live Data'!$C$18)="","",INDEX(SPOT_Import!$A$1:$Z$2488,1186,'Live Data'!$C$18)),"")</f>
        <v/>
      </c>
      <c r="H1186" s="54" t="str">
        <f>IFERROR(IF(INDEX(SPOT_Import!$A$1:$Z$2488,1186,'Live Data'!$C$19)="","",INDEX(SPOT_Import!$A$1:$Z$2488,1186,'Live Data'!$C$19)),"")</f>
        <v/>
      </c>
      <c r="I1186" s="54" t="str">
        <f>IFERROR(IF(INDEX(SPOT_Import!$A$1:$Z$2488,1186,'Live Data'!$C$20)="","",INDEX(SPOT_Import!$A$1:$Z$2488,1186,'Live Data'!$C$20)),"")</f>
        <v/>
      </c>
      <c r="J1186" s="54" t="str">
        <f>IFERROR(IF(INDEX(SPOT_Import!$A$1:$Z$2488,1186,'Live Data'!$C$21)="","",INDEX(SPOT_Import!$A$1:$Z$2488,1186,'Live Data'!$C$21)),"")</f>
        <v/>
      </c>
      <c r="K1186" s="54" t="str">
        <f>IFERROR(IF(INDEX(SPOT_Import!$A$1:$Z$2488,1186,'Live Data'!$C$22)="","",INDEX(SPOT_Import!$A$1:$Z$2488,1186,'Live Data'!$C$22)),"")</f>
        <v/>
      </c>
      <c r="L1186" s="55" t="str">
        <f t="shared" si="36"/>
        <v/>
      </c>
      <c r="M1186" s="55" t="str">
        <f t="shared" si="37"/>
        <v/>
      </c>
      <c r="N1186" s="55" t="str">
        <f>IF(A1186="","",IFERROR(INDEX('Cluster Map'!$A$4:$A$38,MATCH(M1186,'Cluster Map'!$B$4:$B$38,0)),"Unmapped"))</f>
        <v/>
      </c>
      <c r="O1186" s="55">
        <f>IF(A1186="",0,IF(COUNTIFS($A$2:A1186,A1186,$F$2:F1186,F1186,$L$2:L1186,L1186)=1,1,0))</f>
        <v>0</v>
      </c>
      <c r="P1186" s="55">
        <f>IF(A1186="",0,IF(AND(F1186="C&amp;T",COUNTIFS($A$2:A1186,A1186,$F$2:F1186,"C&amp;T")=1),1,0))</f>
        <v>0</v>
      </c>
    </row>
    <row r="1187" spans="1:16" x14ac:dyDescent="0.35">
      <c r="A1187" s="54" t="str">
        <f>IFERROR(IF(INDEX(SPOT_Import!$A$1:$Z$2488,1187,'Live Data'!$C$12)="","",INDEX(SPOT_Import!$A$1:$Z$2488,1187,'Live Data'!$C$12)),"")</f>
        <v/>
      </c>
      <c r="B1187" s="54" t="str">
        <f>IFERROR(IF(INDEX(SPOT_Import!$A$1:$Z$2488,1187,'Live Data'!$C$13)="","",INDEX(SPOT_Import!$A$1:$Z$2488,1187,'Live Data'!$C$13)),"")</f>
        <v/>
      </c>
      <c r="C1187" s="54" t="str">
        <f>IFERROR(IF(INDEX(SPOT_Import!$A$1:$Z$2488,1187,'Live Data'!$C$14)="","",INDEX(SPOT_Import!$A$1:$Z$2488,1187,'Live Data'!$C$14)),"")</f>
        <v/>
      </c>
      <c r="D1187" s="54" t="str">
        <f>IFERROR(IF(INDEX(SPOT_Import!$A$1:$Z$2488,1187,'Live Data'!$C$15)="","",INDEX(SPOT_Import!$A$1:$Z$2488,1187,'Live Data'!$C$15)),"")</f>
        <v/>
      </c>
      <c r="E1187" s="54" t="str">
        <f>IFERROR(IF(INDEX(SPOT_Import!$A$1:$Z$2488,1187,'Live Data'!$C$16)="","",INDEX(SPOT_Import!$A$1:$Z$2488,1187,'Live Data'!$C$16)),"")</f>
        <v/>
      </c>
      <c r="F1187" s="54" t="str">
        <f>IFERROR(IF(INDEX(SPOT_Import!$A$1:$Z$2488,1187,'Live Data'!$C$17)="","",INDEX(SPOT_Import!$A$1:$Z$2488,1187,'Live Data'!$C$17)),"")</f>
        <v/>
      </c>
      <c r="G1187" s="54" t="str">
        <f>IFERROR(IF(INDEX(SPOT_Import!$A$1:$Z$2488,1187,'Live Data'!$C$18)="","",INDEX(SPOT_Import!$A$1:$Z$2488,1187,'Live Data'!$C$18)),"")</f>
        <v/>
      </c>
      <c r="H1187" s="54" t="str">
        <f>IFERROR(IF(INDEX(SPOT_Import!$A$1:$Z$2488,1187,'Live Data'!$C$19)="","",INDEX(SPOT_Import!$A$1:$Z$2488,1187,'Live Data'!$C$19)),"")</f>
        <v/>
      </c>
      <c r="I1187" s="54" t="str">
        <f>IFERROR(IF(INDEX(SPOT_Import!$A$1:$Z$2488,1187,'Live Data'!$C$20)="","",INDEX(SPOT_Import!$A$1:$Z$2488,1187,'Live Data'!$C$20)),"")</f>
        <v/>
      </c>
      <c r="J1187" s="54" t="str">
        <f>IFERROR(IF(INDEX(SPOT_Import!$A$1:$Z$2488,1187,'Live Data'!$C$21)="","",INDEX(SPOT_Import!$A$1:$Z$2488,1187,'Live Data'!$C$21)),"")</f>
        <v/>
      </c>
      <c r="K1187" s="54" t="str">
        <f>IFERROR(IF(INDEX(SPOT_Import!$A$1:$Z$2488,1187,'Live Data'!$C$22)="","",INDEX(SPOT_Import!$A$1:$Z$2488,1187,'Live Data'!$C$22)),"")</f>
        <v/>
      </c>
      <c r="L1187" s="55" t="str">
        <f t="shared" si="36"/>
        <v/>
      </c>
      <c r="M1187" s="55" t="str">
        <f t="shared" si="37"/>
        <v/>
      </c>
      <c r="N1187" s="55" t="str">
        <f>IF(A1187="","",IFERROR(INDEX('Cluster Map'!$A$4:$A$38,MATCH(M1187,'Cluster Map'!$B$4:$B$38,0)),"Unmapped"))</f>
        <v/>
      </c>
      <c r="O1187" s="55">
        <f>IF(A1187="",0,IF(COUNTIFS($A$2:A1187,A1187,$F$2:F1187,F1187,$L$2:L1187,L1187)=1,1,0))</f>
        <v>0</v>
      </c>
      <c r="P1187" s="55">
        <f>IF(A1187="",0,IF(AND(F1187="C&amp;T",COUNTIFS($A$2:A1187,A1187,$F$2:F1187,"C&amp;T")=1),1,0))</f>
        <v>0</v>
      </c>
    </row>
    <row r="1188" spans="1:16" x14ac:dyDescent="0.35">
      <c r="A1188" s="54" t="str">
        <f>IFERROR(IF(INDEX(SPOT_Import!$A$1:$Z$2488,1188,'Live Data'!$C$12)="","",INDEX(SPOT_Import!$A$1:$Z$2488,1188,'Live Data'!$C$12)),"")</f>
        <v/>
      </c>
      <c r="B1188" s="54" t="str">
        <f>IFERROR(IF(INDEX(SPOT_Import!$A$1:$Z$2488,1188,'Live Data'!$C$13)="","",INDEX(SPOT_Import!$A$1:$Z$2488,1188,'Live Data'!$C$13)),"")</f>
        <v/>
      </c>
      <c r="C1188" s="54" t="str">
        <f>IFERROR(IF(INDEX(SPOT_Import!$A$1:$Z$2488,1188,'Live Data'!$C$14)="","",INDEX(SPOT_Import!$A$1:$Z$2488,1188,'Live Data'!$C$14)),"")</f>
        <v/>
      </c>
      <c r="D1188" s="54" t="str">
        <f>IFERROR(IF(INDEX(SPOT_Import!$A$1:$Z$2488,1188,'Live Data'!$C$15)="","",INDEX(SPOT_Import!$A$1:$Z$2488,1188,'Live Data'!$C$15)),"")</f>
        <v/>
      </c>
      <c r="E1188" s="54" t="str">
        <f>IFERROR(IF(INDEX(SPOT_Import!$A$1:$Z$2488,1188,'Live Data'!$C$16)="","",INDEX(SPOT_Import!$A$1:$Z$2488,1188,'Live Data'!$C$16)),"")</f>
        <v/>
      </c>
      <c r="F1188" s="54" t="str">
        <f>IFERROR(IF(INDEX(SPOT_Import!$A$1:$Z$2488,1188,'Live Data'!$C$17)="","",INDEX(SPOT_Import!$A$1:$Z$2488,1188,'Live Data'!$C$17)),"")</f>
        <v/>
      </c>
      <c r="G1188" s="54" t="str">
        <f>IFERROR(IF(INDEX(SPOT_Import!$A$1:$Z$2488,1188,'Live Data'!$C$18)="","",INDEX(SPOT_Import!$A$1:$Z$2488,1188,'Live Data'!$C$18)),"")</f>
        <v/>
      </c>
      <c r="H1188" s="54" t="str">
        <f>IFERROR(IF(INDEX(SPOT_Import!$A$1:$Z$2488,1188,'Live Data'!$C$19)="","",INDEX(SPOT_Import!$A$1:$Z$2488,1188,'Live Data'!$C$19)),"")</f>
        <v/>
      </c>
      <c r="I1188" s="54" t="str">
        <f>IFERROR(IF(INDEX(SPOT_Import!$A$1:$Z$2488,1188,'Live Data'!$C$20)="","",INDEX(SPOT_Import!$A$1:$Z$2488,1188,'Live Data'!$C$20)),"")</f>
        <v/>
      </c>
      <c r="J1188" s="54" t="str">
        <f>IFERROR(IF(INDEX(SPOT_Import!$A$1:$Z$2488,1188,'Live Data'!$C$21)="","",INDEX(SPOT_Import!$A$1:$Z$2488,1188,'Live Data'!$C$21)),"")</f>
        <v/>
      </c>
      <c r="K1188" s="54" t="str">
        <f>IFERROR(IF(INDEX(SPOT_Import!$A$1:$Z$2488,1188,'Live Data'!$C$22)="","",INDEX(SPOT_Import!$A$1:$Z$2488,1188,'Live Data'!$C$22)),"")</f>
        <v/>
      </c>
      <c r="L1188" s="55" t="str">
        <f t="shared" si="36"/>
        <v/>
      </c>
      <c r="M1188" s="55" t="str">
        <f t="shared" si="37"/>
        <v/>
      </c>
      <c r="N1188" s="55" t="str">
        <f>IF(A1188="","",IFERROR(INDEX('Cluster Map'!$A$4:$A$38,MATCH(M1188,'Cluster Map'!$B$4:$B$38,0)),"Unmapped"))</f>
        <v/>
      </c>
      <c r="O1188" s="55">
        <f>IF(A1188="",0,IF(COUNTIFS($A$2:A1188,A1188,$F$2:F1188,F1188,$L$2:L1188,L1188)=1,1,0))</f>
        <v>0</v>
      </c>
      <c r="P1188" s="55">
        <f>IF(A1188="",0,IF(AND(F1188="C&amp;T",COUNTIFS($A$2:A1188,A1188,$F$2:F1188,"C&amp;T")=1),1,0))</f>
        <v>0</v>
      </c>
    </row>
    <row r="1189" spans="1:16" x14ac:dyDescent="0.35">
      <c r="A1189" s="54" t="str">
        <f>IFERROR(IF(INDEX(SPOT_Import!$A$1:$Z$2488,1189,'Live Data'!$C$12)="","",INDEX(SPOT_Import!$A$1:$Z$2488,1189,'Live Data'!$C$12)),"")</f>
        <v/>
      </c>
      <c r="B1189" s="54" t="str">
        <f>IFERROR(IF(INDEX(SPOT_Import!$A$1:$Z$2488,1189,'Live Data'!$C$13)="","",INDEX(SPOT_Import!$A$1:$Z$2488,1189,'Live Data'!$C$13)),"")</f>
        <v/>
      </c>
      <c r="C1189" s="54" t="str">
        <f>IFERROR(IF(INDEX(SPOT_Import!$A$1:$Z$2488,1189,'Live Data'!$C$14)="","",INDEX(SPOT_Import!$A$1:$Z$2488,1189,'Live Data'!$C$14)),"")</f>
        <v/>
      </c>
      <c r="D1189" s="54" t="str">
        <f>IFERROR(IF(INDEX(SPOT_Import!$A$1:$Z$2488,1189,'Live Data'!$C$15)="","",INDEX(SPOT_Import!$A$1:$Z$2488,1189,'Live Data'!$C$15)),"")</f>
        <v/>
      </c>
      <c r="E1189" s="54" t="str">
        <f>IFERROR(IF(INDEX(SPOT_Import!$A$1:$Z$2488,1189,'Live Data'!$C$16)="","",INDEX(SPOT_Import!$A$1:$Z$2488,1189,'Live Data'!$C$16)),"")</f>
        <v/>
      </c>
      <c r="F1189" s="54" t="str">
        <f>IFERROR(IF(INDEX(SPOT_Import!$A$1:$Z$2488,1189,'Live Data'!$C$17)="","",INDEX(SPOT_Import!$A$1:$Z$2488,1189,'Live Data'!$C$17)),"")</f>
        <v/>
      </c>
      <c r="G1189" s="54" t="str">
        <f>IFERROR(IF(INDEX(SPOT_Import!$A$1:$Z$2488,1189,'Live Data'!$C$18)="","",INDEX(SPOT_Import!$A$1:$Z$2488,1189,'Live Data'!$C$18)),"")</f>
        <v/>
      </c>
      <c r="H1189" s="54" t="str">
        <f>IFERROR(IF(INDEX(SPOT_Import!$A$1:$Z$2488,1189,'Live Data'!$C$19)="","",INDEX(SPOT_Import!$A$1:$Z$2488,1189,'Live Data'!$C$19)),"")</f>
        <v/>
      </c>
      <c r="I1189" s="54" t="str">
        <f>IFERROR(IF(INDEX(SPOT_Import!$A$1:$Z$2488,1189,'Live Data'!$C$20)="","",INDEX(SPOT_Import!$A$1:$Z$2488,1189,'Live Data'!$C$20)),"")</f>
        <v/>
      </c>
      <c r="J1189" s="54" t="str">
        <f>IFERROR(IF(INDEX(SPOT_Import!$A$1:$Z$2488,1189,'Live Data'!$C$21)="","",INDEX(SPOT_Import!$A$1:$Z$2488,1189,'Live Data'!$C$21)),"")</f>
        <v/>
      </c>
      <c r="K1189" s="54" t="str">
        <f>IFERROR(IF(INDEX(SPOT_Import!$A$1:$Z$2488,1189,'Live Data'!$C$22)="","",INDEX(SPOT_Import!$A$1:$Z$2488,1189,'Live Data'!$C$22)),"")</f>
        <v/>
      </c>
      <c r="L1189" s="55" t="str">
        <f t="shared" si="36"/>
        <v/>
      </c>
      <c r="M1189" s="55" t="str">
        <f t="shared" si="37"/>
        <v/>
      </c>
      <c r="N1189" s="55" t="str">
        <f>IF(A1189="","",IFERROR(INDEX('Cluster Map'!$A$4:$A$38,MATCH(M1189,'Cluster Map'!$B$4:$B$38,0)),"Unmapped"))</f>
        <v/>
      </c>
      <c r="O1189" s="55">
        <f>IF(A1189="",0,IF(COUNTIFS($A$2:A1189,A1189,$F$2:F1189,F1189,$L$2:L1189,L1189)=1,1,0))</f>
        <v>0</v>
      </c>
      <c r="P1189" s="55">
        <f>IF(A1189="",0,IF(AND(F1189="C&amp;T",COUNTIFS($A$2:A1189,A1189,$F$2:F1189,"C&amp;T")=1),1,0))</f>
        <v>0</v>
      </c>
    </row>
    <row r="1190" spans="1:16" x14ac:dyDescent="0.35">
      <c r="A1190" s="54" t="str">
        <f>IFERROR(IF(INDEX(SPOT_Import!$A$1:$Z$2488,1190,'Live Data'!$C$12)="","",INDEX(SPOT_Import!$A$1:$Z$2488,1190,'Live Data'!$C$12)),"")</f>
        <v/>
      </c>
      <c r="B1190" s="54" t="str">
        <f>IFERROR(IF(INDEX(SPOT_Import!$A$1:$Z$2488,1190,'Live Data'!$C$13)="","",INDEX(SPOT_Import!$A$1:$Z$2488,1190,'Live Data'!$C$13)),"")</f>
        <v/>
      </c>
      <c r="C1190" s="54" t="str">
        <f>IFERROR(IF(INDEX(SPOT_Import!$A$1:$Z$2488,1190,'Live Data'!$C$14)="","",INDEX(SPOT_Import!$A$1:$Z$2488,1190,'Live Data'!$C$14)),"")</f>
        <v/>
      </c>
      <c r="D1190" s="54" t="str">
        <f>IFERROR(IF(INDEX(SPOT_Import!$A$1:$Z$2488,1190,'Live Data'!$C$15)="","",INDEX(SPOT_Import!$A$1:$Z$2488,1190,'Live Data'!$C$15)),"")</f>
        <v/>
      </c>
      <c r="E1190" s="54" t="str">
        <f>IFERROR(IF(INDEX(SPOT_Import!$A$1:$Z$2488,1190,'Live Data'!$C$16)="","",INDEX(SPOT_Import!$A$1:$Z$2488,1190,'Live Data'!$C$16)),"")</f>
        <v/>
      </c>
      <c r="F1190" s="54" t="str">
        <f>IFERROR(IF(INDEX(SPOT_Import!$A$1:$Z$2488,1190,'Live Data'!$C$17)="","",INDEX(SPOT_Import!$A$1:$Z$2488,1190,'Live Data'!$C$17)),"")</f>
        <v/>
      </c>
      <c r="G1190" s="54" t="str">
        <f>IFERROR(IF(INDEX(SPOT_Import!$A$1:$Z$2488,1190,'Live Data'!$C$18)="","",INDEX(SPOT_Import!$A$1:$Z$2488,1190,'Live Data'!$C$18)),"")</f>
        <v/>
      </c>
      <c r="H1190" s="54" t="str">
        <f>IFERROR(IF(INDEX(SPOT_Import!$A$1:$Z$2488,1190,'Live Data'!$C$19)="","",INDEX(SPOT_Import!$A$1:$Z$2488,1190,'Live Data'!$C$19)),"")</f>
        <v/>
      </c>
      <c r="I1190" s="54" t="str">
        <f>IFERROR(IF(INDEX(SPOT_Import!$A$1:$Z$2488,1190,'Live Data'!$C$20)="","",INDEX(SPOT_Import!$A$1:$Z$2488,1190,'Live Data'!$C$20)),"")</f>
        <v/>
      </c>
      <c r="J1190" s="54" t="str">
        <f>IFERROR(IF(INDEX(SPOT_Import!$A$1:$Z$2488,1190,'Live Data'!$C$21)="","",INDEX(SPOT_Import!$A$1:$Z$2488,1190,'Live Data'!$C$21)),"")</f>
        <v/>
      </c>
      <c r="K1190" s="54" t="str">
        <f>IFERROR(IF(INDEX(SPOT_Import!$A$1:$Z$2488,1190,'Live Data'!$C$22)="","",INDEX(SPOT_Import!$A$1:$Z$2488,1190,'Live Data'!$C$22)),"")</f>
        <v/>
      </c>
      <c r="L1190" s="55" t="str">
        <f t="shared" si="36"/>
        <v/>
      </c>
      <c r="M1190" s="55" t="str">
        <f t="shared" si="37"/>
        <v/>
      </c>
      <c r="N1190" s="55" t="str">
        <f>IF(A1190="","",IFERROR(INDEX('Cluster Map'!$A$4:$A$38,MATCH(M1190,'Cluster Map'!$B$4:$B$38,0)),"Unmapped"))</f>
        <v/>
      </c>
      <c r="O1190" s="55">
        <f>IF(A1190="",0,IF(COUNTIFS($A$2:A1190,A1190,$F$2:F1190,F1190,$L$2:L1190,L1190)=1,1,0))</f>
        <v>0</v>
      </c>
      <c r="P1190" s="55">
        <f>IF(A1190="",0,IF(AND(F1190="C&amp;T",COUNTIFS($A$2:A1190,A1190,$F$2:F1190,"C&amp;T")=1),1,0))</f>
        <v>0</v>
      </c>
    </row>
    <row r="1191" spans="1:16" x14ac:dyDescent="0.35">
      <c r="A1191" s="54" t="str">
        <f>IFERROR(IF(INDEX(SPOT_Import!$A$1:$Z$2488,1191,'Live Data'!$C$12)="","",INDEX(SPOT_Import!$A$1:$Z$2488,1191,'Live Data'!$C$12)),"")</f>
        <v/>
      </c>
      <c r="B1191" s="54" t="str">
        <f>IFERROR(IF(INDEX(SPOT_Import!$A$1:$Z$2488,1191,'Live Data'!$C$13)="","",INDEX(SPOT_Import!$A$1:$Z$2488,1191,'Live Data'!$C$13)),"")</f>
        <v/>
      </c>
      <c r="C1191" s="54" t="str">
        <f>IFERROR(IF(INDEX(SPOT_Import!$A$1:$Z$2488,1191,'Live Data'!$C$14)="","",INDEX(SPOT_Import!$A$1:$Z$2488,1191,'Live Data'!$C$14)),"")</f>
        <v/>
      </c>
      <c r="D1191" s="54" t="str">
        <f>IFERROR(IF(INDEX(SPOT_Import!$A$1:$Z$2488,1191,'Live Data'!$C$15)="","",INDEX(SPOT_Import!$A$1:$Z$2488,1191,'Live Data'!$C$15)),"")</f>
        <v/>
      </c>
      <c r="E1191" s="54" t="str">
        <f>IFERROR(IF(INDEX(SPOT_Import!$A$1:$Z$2488,1191,'Live Data'!$C$16)="","",INDEX(SPOT_Import!$A$1:$Z$2488,1191,'Live Data'!$C$16)),"")</f>
        <v/>
      </c>
      <c r="F1191" s="54" t="str">
        <f>IFERROR(IF(INDEX(SPOT_Import!$A$1:$Z$2488,1191,'Live Data'!$C$17)="","",INDEX(SPOT_Import!$A$1:$Z$2488,1191,'Live Data'!$C$17)),"")</f>
        <v/>
      </c>
      <c r="G1191" s="54" t="str">
        <f>IFERROR(IF(INDEX(SPOT_Import!$A$1:$Z$2488,1191,'Live Data'!$C$18)="","",INDEX(SPOT_Import!$A$1:$Z$2488,1191,'Live Data'!$C$18)),"")</f>
        <v/>
      </c>
      <c r="H1191" s="54" t="str">
        <f>IFERROR(IF(INDEX(SPOT_Import!$A$1:$Z$2488,1191,'Live Data'!$C$19)="","",INDEX(SPOT_Import!$A$1:$Z$2488,1191,'Live Data'!$C$19)),"")</f>
        <v/>
      </c>
      <c r="I1191" s="54" t="str">
        <f>IFERROR(IF(INDEX(SPOT_Import!$A$1:$Z$2488,1191,'Live Data'!$C$20)="","",INDEX(SPOT_Import!$A$1:$Z$2488,1191,'Live Data'!$C$20)),"")</f>
        <v/>
      </c>
      <c r="J1191" s="54" t="str">
        <f>IFERROR(IF(INDEX(SPOT_Import!$A$1:$Z$2488,1191,'Live Data'!$C$21)="","",INDEX(SPOT_Import!$A$1:$Z$2488,1191,'Live Data'!$C$21)),"")</f>
        <v/>
      </c>
      <c r="K1191" s="54" t="str">
        <f>IFERROR(IF(INDEX(SPOT_Import!$A$1:$Z$2488,1191,'Live Data'!$C$22)="","",INDEX(SPOT_Import!$A$1:$Z$2488,1191,'Live Data'!$C$22)),"")</f>
        <v/>
      </c>
      <c r="L1191" s="55" t="str">
        <f t="shared" si="36"/>
        <v/>
      </c>
      <c r="M1191" s="55" t="str">
        <f t="shared" si="37"/>
        <v/>
      </c>
      <c r="N1191" s="55" t="str">
        <f>IF(A1191="","",IFERROR(INDEX('Cluster Map'!$A$4:$A$38,MATCH(M1191,'Cluster Map'!$B$4:$B$38,0)),"Unmapped"))</f>
        <v/>
      </c>
      <c r="O1191" s="55">
        <f>IF(A1191="",0,IF(COUNTIFS($A$2:A1191,A1191,$F$2:F1191,F1191,$L$2:L1191,L1191)=1,1,0))</f>
        <v>0</v>
      </c>
      <c r="P1191" s="55">
        <f>IF(A1191="",0,IF(AND(F1191="C&amp;T",COUNTIFS($A$2:A1191,A1191,$F$2:F1191,"C&amp;T")=1),1,0))</f>
        <v>0</v>
      </c>
    </row>
    <row r="1192" spans="1:16" x14ac:dyDescent="0.35">
      <c r="A1192" s="54" t="str">
        <f>IFERROR(IF(INDEX(SPOT_Import!$A$1:$Z$2488,1192,'Live Data'!$C$12)="","",INDEX(SPOT_Import!$A$1:$Z$2488,1192,'Live Data'!$C$12)),"")</f>
        <v/>
      </c>
      <c r="B1192" s="54" t="str">
        <f>IFERROR(IF(INDEX(SPOT_Import!$A$1:$Z$2488,1192,'Live Data'!$C$13)="","",INDEX(SPOT_Import!$A$1:$Z$2488,1192,'Live Data'!$C$13)),"")</f>
        <v/>
      </c>
      <c r="C1192" s="54" t="str">
        <f>IFERROR(IF(INDEX(SPOT_Import!$A$1:$Z$2488,1192,'Live Data'!$C$14)="","",INDEX(SPOT_Import!$A$1:$Z$2488,1192,'Live Data'!$C$14)),"")</f>
        <v/>
      </c>
      <c r="D1192" s="54" t="str">
        <f>IFERROR(IF(INDEX(SPOT_Import!$A$1:$Z$2488,1192,'Live Data'!$C$15)="","",INDEX(SPOT_Import!$A$1:$Z$2488,1192,'Live Data'!$C$15)),"")</f>
        <v/>
      </c>
      <c r="E1192" s="54" t="str">
        <f>IFERROR(IF(INDEX(SPOT_Import!$A$1:$Z$2488,1192,'Live Data'!$C$16)="","",INDEX(SPOT_Import!$A$1:$Z$2488,1192,'Live Data'!$C$16)),"")</f>
        <v/>
      </c>
      <c r="F1192" s="54" t="str">
        <f>IFERROR(IF(INDEX(SPOT_Import!$A$1:$Z$2488,1192,'Live Data'!$C$17)="","",INDEX(SPOT_Import!$A$1:$Z$2488,1192,'Live Data'!$C$17)),"")</f>
        <v/>
      </c>
      <c r="G1192" s="54" t="str">
        <f>IFERROR(IF(INDEX(SPOT_Import!$A$1:$Z$2488,1192,'Live Data'!$C$18)="","",INDEX(SPOT_Import!$A$1:$Z$2488,1192,'Live Data'!$C$18)),"")</f>
        <v/>
      </c>
      <c r="H1192" s="54" t="str">
        <f>IFERROR(IF(INDEX(SPOT_Import!$A$1:$Z$2488,1192,'Live Data'!$C$19)="","",INDEX(SPOT_Import!$A$1:$Z$2488,1192,'Live Data'!$C$19)),"")</f>
        <v/>
      </c>
      <c r="I1192" s="54" t="str">
        <f>IFERROR(IF(INDEX(SPOT_Import!$A$1:$Z$2488,1192,'Live Data'!$C$20)="","",INDEX(SPOT_Import!$A$1:$Z$2488,1192,'Live Data'!$C$20)),"")</f>
        <v/>
      </c>
      <c r="J1192" s="54" t="str">
        <f>IFERROR(IF(INDEX(SPOT_Import!$A$1:$Z$2488,1192,'Live Data'!$C$21)="","",INDEX(SPOT_Import!$A$1:$Z$2488,1192,'Live Data'!$C$21)),"")</f>
        <v/>
      </c>
      <c r="K1192" s="54" t="str">
        <f>IFERROR(IF(INDEX(SPOT_Import!$A$1:$Z$2488,1192,'Live Data'!$C$22)="","",INDEX(SPOT_Import!$A$1:$Z$2488,1192,'Live Data'!$C$22)),"")</f>
        <v/>
      </c>
      <c r="L1192" s="55" t="str">
        <f t="shared" si="36"/>
        <v/>
      </c>
      <c r="M1192" s="55" t="str">
        <f t="shared" si="37"/>
        <v/>
      </c>
      <c r="N1192" s="55" t="str">
        <f>IF(A1192="","",IFERROR(INDEX('Cluster Map'!$A$4:$A$38,MATCH(M1192,'Cluster Map'!$B$4:$B$38,0)),"Unmapped"))</f>
        <v/>
      </c>
      <c r="O1192" s="55">
        <f>IF(A1192="",0,IF(COUNTIFS($A$2:A1192,A1192,$F$2:F1192,F1192,$L$2:L1192,L1192)=1,1,0))</f>
        <v>0</v>
      </c>
      <c r="P1192" s="55">
        <f>IF(A1192="",0,IF(AND(F1192="C&amp;T",COUNTIFS($A$2:A1192,A1192,$F$2:F1192,"C&amp;T")=1),1,0))</f>
        <v>0</v>
      </c>
    </row>
    <row r="1193" spans="1:16" x14ac:dyDescent="0.35">
      <c r="A1193" s="54" t="str">
        <f>IFERROR(IF(INDEX(SPOT_Import!$A$1:$Z$2488,1193,'Live Data'!$C$12)="","",INDEX(SPOT_Import!$A$1:$Z$2488,1193,'Live Data'!$C$12)),"")</f>
        <v/>
      </c>
      <c r="B1193" s="54" t="str">
        <f>IFERROR(IF(INDEX(SPOT_Import!$A$1:$Z$2488,1193,'Live Data'!$C$13)="","",INDEX(SPOT_Import!$A$1:$Z$2488,1193,'Live Data'!$C$13)),"")</f>
        <v/>
      </c>
      <c r="C1193" s="54" t="str">
        <f>IFERROR(IF(INDEX(SPOT_Import!$A$1:$Z$2488,1193,'Live Data'!$C$14)="","",INDEX(SPOT_Import!$A$1:$Z$2488,1193,'Live Data'!$C$14)),"")</f>
        <v/>
      </c>
      <c r="D1193" s="54" t="str">
        <f>IFERROR(IF(INDEX(SPOT_Import!$A$1:$Z$2488,1193,'Live Data'!$C$15)="","",INDEX(SPOT_Import!$A$1:$Z$2488,1193,'Live Data'!$C$15)),"")</f>
        <v/>
      </c>
      <c r="E1193" s="54" t="str">
        <f>IFERROR(IF(INDEX(SPOT_Import!$A$1:$Z$2488,1193,'Live Data'!$C$16)="","",INDEX(SPOT_Import!$A$1:$Z$2488,1193,'Live Data'!$C$16)),"")</f>
        <v/>
      </c>
      <c r="F1193" s="54" t="str">
        <f>IFERROR(IF(INDEX(SPOT_Import!$A$1:$Z$2488,1193,'Live Data'!$C$17)="","",INDEX(SPOT_Import!$A$1:$Z$2488,1193,'Live Data'!$C$17)),"")</f>
        <v/>
      </c>
      <c r="G1193" s="54" t="str">
        <f>IFERROR(IF(INDEX(SPOT_Import!$A$1:$Z$2488,1193,'Live Data'!$C$18)="","",INDEX(SPOT_Import!$A$1:$Z$2488,1193,'Live Data'!$C$18)),"")</f>
        <v/>
      </c>
      <c r="H1193" s="54" t="str">
        <f>IFERROR(IF(INDEX(SPOT_Import!$A$1:$Z$2488,1193,'Live Data'!$C$19)="","",INDEX(SPOT_Import!$A$1:$Z$2488,1193,'Live Data'!$C$19)),"")</f>
        <v/>
      </c>
      <c r="I1193" s="54" t="str">
        <f>IFERROR(IF(INDEX(SPOT_Import!$A$1:$Z$2488,1193,'Live Data'!$C$20)="","",INDEX(SPOT_Import!$A$1:$Z$2488,1193,'Live Data'!$C$20)),"")</f>
        <v/>
      </c>
      <c r="J1193" s="54" t="str">
        <f>IFERROR(IF(INDEX(SPOT_Import!$A$1:$Z$2488,1193,'Live Data'!$C$21)="","",INDEX(SPOT_Import!$A$1:$Z$2488,1193,'Live Data'!$C$21)),"")</f>
        <v/>
      </c>
      <c r="K1193" s="54" t="str">
        <f>IFERROR(IF(INDEX(SPOT_Import!$A$1:$Z$2488,1193,'Live Data'!$C$22)="","",INDEX(SPOT_Import!$A$1:$Z$2488,1193,'Live Data'!$C$22)),"")</f>
        <v/>
      </c>
      <c r="L1193" s="55" t="str">
        <f t="shared" si="36"/>
        <v/>
      </c>
      <c r="M1193" s="55" t="str">
        <f t="shared" si="37"/>
        <v/>
      </c>
      <c r="N1193" s="55" t="str">
        <f>IF(A1193="","",IFERROR(INDEX('Cluster Map'!$A$4:$A$38,MATCH(M1193,'Cluster Map'!$B$4:$B$38,0)),"Unmapped"))</f>
        <v/>
      </c>
      <c r="O1193" s="55">
        <f>IF(A1193="",0,IF(COUNTIFS($A$2:A1193,A1193,$F$2:F1193,F1193,$L$2:L1193,L1193)=1,1,0))</f>
        <v>0</v>
      </c>
      <c r="P1193" s="55">
        <f>IF(A1193="",0,IF(AND(F1193="C&amp;T",COUNTIFS($A$2:A1193,A1193,$F$2:F1193,"C&amp;T")=1),1,0))</f>
        <v>0</v>
      </c>
    </row>
    <row r="1194" spans="1:16" x14ac:dyDescent="0.35">
      <c r="A1194" s="54" t="str">
        <f>IFERROR(IF(INDEX(SPOT_Import!$A$1:$Z$2488,1194,'Live Data'!$C$12)="","",INDEX(SPOT_Import!$A$1:$Z$2488,1194,'Live Data'!$C$12)),"")</f>
        <v/>
      </c>
      <c r="B1194" s="54" t="str">
        <f>IFERROR(IF(INDEX(SPOT_Import!$A$1:$Z$2488,1194,'Live Data'!$C$13)="","",INDEX(SPOT_Import!$A$1:$Z$2488,1194,'Live Data'!$C$13)),"")</f>
        <v/>
      </c>
      <c r="C1194" s="54" t="str">
        <f>IFERROR(IF(INDEX(SPOT_Import!$A$1:$Z$2488,1194,'Live Data'!$C$14)="","",INDEX(SPOT_Import!$A$1:$Z$2488,1194,'Live Data'!$C$14)),"")</f>
        <v/>
      </c>
      <c r="D1194" s="54" t="str">
        <f>IFERROR(IF(INDEX(SPOT_Import!$A$1:$Z$2488,1194,'Live Data'!$C$15)="","",INDEX(SPOT_Import!$A$1:$Z$2488,1194,'Live Data'!$C$15)),"")</f>
        <v/>
      </c>
      <c r="E1194" s="54" t="str">
        <f>IFERROR(IF(INDEX(SPOT_Import!$A$1:$Z$2488,1194,'Live Data'!$C$16)="","",INDEX(SPOT_Import!$A$1:$Z$2488,1194,'Live Data'!$C$16)),"")</f>
        <v/>
      </c>
      <c r="F1194" s="54" t="str">
        <f>IFERROR(IF(INDEX(SPOT_Import!$A$1:$Z$2488,1194,'Live Data'!$C$17)="","",INDEX(SPOT_Import!$A$1:$Z$2488,1194,'Live Data'!$C$17)),"")</f>
        <v/>
      </c>
      <c r="G1194" s="54" t="str">
        <f>IFERROR(IF(INDEX(SPOT_Import!$A$1:$Z$2488,1194,'Live Data'!$C$18)="","",INDEX(SPOT_Import!$A$1:$Z$2488,1194,'Live Data'!$C$18)),"")</f>
        <v/>
      </c>
      <c r="H1194" s="54" t="str">
        <f>IFERROR(IF(INDEX(SPOT_Import!$A$1:$Z$2488,1194,'Live Data'!$C$19)="","",INDEX(SPOT_Import!$A$1:$Z$2488,1194,'Live Data'!$C$19)),"")</f>
        <v/>
      </c>
      <c r="I1194" s="54" t="str">
        <f>IFERROR(IF(INDEX(SPOT_Import!$A$1:$Z$2488,1194,'Live Data'!$C$20)="","",INDEX(SPOT_Import!$A$1:$Z$2488,1194,'Live Data'!$C$20)),"")</f>
        <v/>
      </c>
      <c r="J1194" s="54" t="str">
        <f>IFERROR(IF(INDEX(SPOT_Import!$A$1:$Z$2488,1194,'Live Data'!$C$21)="","",INDEX(SPOT_Import!$A$1:$Z$2488,1194,'Live Data'!$C$21)),"")</f>
        <v/>
      </c>
      <c r="K1194" s="54" t="str">
        <f>IFERROR(IF(INDEX(SPOT_Import!$A$1:$Z$2488,1194,'Live Data'!$C$22)="","",INDEX(SPOT_Import!$A$1:$Z$2488,1194,'Live Data'!$C$22)),"")</f>
        <v/>
      </c>
      <c r="L1194" s="55" t="str">
        <f t="shared" si="36"/>
        <v/>
      </c>
      <c r="M1194" s="55" t="str">
        <f t="shared" si="37"/>
        <v/>
      </c>
      <c r="N1194" s="55" t="str">
        <f>IF(A1194="","",IFERROR(INDEX('Cluster Map'!$A$4:$A$38,MATCH(M1194,'Cluster Map'!$B$4:$B$38,0)),"Unmapped"))</f>
        <v/>
      </c>
      <c r="O1194" s="55">
        <f>IF(A1194="",0,IF(COUNTIFS($A$2:A1194,A1194,$F$2:F1194,F1194,$L$2:L1194,L1194)=1,1,0))</f>
        <v>0</v>
      </c>
      <c r="P1194" s="55">
        <f>IF(A1194="",0,IF(AND(F1194="C&amp;T",COUNTIFS($A$2:A1194,A1194,$F$2:F1194,"C&amp;T")=1),1,0))</f>
        <v>0</v>
      </c>
    </row>
    <row r="1195" spans="1:16" x14ac:dyDescent="0.35">
      <c r="A1195" s="54" t="str">
        <f>IFERROR(IF(INDEX(SPOT_Import!$A$1:$Z$2488,1195,'Live Data'!$C$12)="","",INDEX(SPOT_Import!$A$1:$Z$2488,1195,'Live Data'!$C$12)),"")</f>
        <v/>
      </c>
      <c r="B1195" s="54" t="str">
        <f>IFERROR(IF(INDEX(SPOT_Import!$A$1:$Z$2488,1195,'Live Data'!$C$13)="","",INDEX(SPOT_Import!$A$1:$Z$2488,1195,'Live Data'!$C$13)),"")</f>
        <v/>
      </c>
      <c r="C1195" s="54" t="str">
        <f>IFERROR(IF(INDEX(SPOT_Import!$A$1:$Z$2488,1195,'Live Data'!$C$14)="","",INDEX(SPOT_Import!$A$1:$Z$2488,1195,'Live Data'!$C$14)),"")</f>
        <v/>
      </c>
      <c r="D1195" s="54" t="str">
        <f>IFERROR(IF(INDEX(SPOT_Import!$A$1:$Z$2488,1195,'Live Data'!$C$15)="","",INDEX(SPOT_Import!$A$1:$Z$2488,1195,'Live Data'!$C$15)),"")</f>
        <v/>
      </c>
      <c r="E1195" s="54" t="str">
        <f>IFERROR(IF(INDEX(SPOT_Import!$A$1:$Z$2488,1195,'Live Data'!$C$16)="","",INDEX(SPOT_Import!$A$1:$Z$2488,1195,'Live Data'!$C$16)),"")</f>
        <v/>
      </c>
      <c r="F1195" s="54" t="str">
        <f>IFERROR(IF(INDEX(SPOT_Import!$A$1:$Z$2488,1195,'Live Data'!$C$17)="","",INDEX(SPOT_Import!$A$1:$Z$2488,1195,'Live Data'!$C$17)),"")</f>
        <v/>
      </c>
      <c r="G1195" s="54" t="str">
        <f>IFERROR(IF(INDEX(SPOT_Import!$A$1:$Z$2488,1195,'Live Data'!$C$18)="","",INDEX(SPOT_Import!$A$1:$Z$2488,1195,'Live Data'!$C$18)),"")</f>
        <v/>
      </c>
      <c r="H1195" s="54" t="str">
        <f>IFERROR(IF(INDEX(SPOT_Import!$A$1:$Z$2488,1195,'Live Data'!$C$19)="","",INDEX(SPOT_Import!$A$1:$Z$2488,1195,'Live Data'!$C$19)),"")</f>
        <v/>
      </c>
      <c r="I1195" s="54" t="str">
        <f>IFERROR(IF(INDEX(SPOT_Import!$A$1:$Z$2488,1195,'Live Data'!$C$20)="","",INDEX(SPOT_Import!$A$1:$Z$2488,1195,'Live Data'!$C$20)),"")</f>
        <v/>
      </c>
      <c r="J1195" s="54" t="str">
        <f>IFERROR(IF(INDEX(SPOT_Import!$A$1:$Z$2488,1195,'Live Data'!$C$21)="","",INDEX(SPOT_Import!$A$1:$Z$2488,1195,'Live Data'!$C$21)),"")</f>
        <v/>
      </c>
      <c r="K1195" s="54" t="str">
        <f>IFERROR(IF(INDEX(SPOT_Import!$A$1:$Z$2488,1195,'Live Data'!$C$22)="","",INDEX(SPOT_Import!$A$1:$Z$2488,1195,'Live Data'!$C$22)),"")</f>
        <v/>
      </c>
      <c r="L1195" s="55" t="str">
        <f t="shared" si="36"/>
        <v/>
      </c>
      <c r="M1195" s="55" t="str">
        <f t="shared" si="37"/>
        <v/>
      </c>
      <c r="N1195" s="55" t="str">
        <f>IF(A1195="","",IFERROR(INDEX('Cluster Map'!$A$4:$A$38,MATCH(M1195,'Cluster Map'!$B$4:$B$38,0)),"Unmapped"))</f>
        <v/>
      </c>
      <c r="O1195" s="55">
        <f>IF(A1195="",0,IF(COUNTIFS($A$2:A1195,A1195,$F$2:F1195,F1195,$L$2:L1195,L1195)=1,1,0))</f>
        <v>0</v>
      </c>
      <c r="P1195" s="55">
        <f>IF(A1195="",0,IF(AND(F1195="C&amp;T",COUNTIFS($A$2:A1195,A1195,$F$2:F1195,"C&amp;T")=1),1,0))</f>
        <v>0</v>
      </c>
    </row>
    <row r="1196" spans="1:16" x14ac:dyDescent="0.35">
      <c r="A1196" s="54" t="str">
        <f>IFERROR(IF(INDEX(SPOT_Import!$A$1:$Z$2488,1196,'Live Data'!$C$12)="","",INDEX(SPOT_Import!$A$1:$Z$2488,1196,'Live Data'!$C$12)),"")</f>
        <v/>
      </c>
      <c r="B1196" s="54" t="str">
        <f>IFERROR(IF(INDEX(SPOT_Import!$A$1:$Z$2488,1196,'Live Data'!$C$13)="","",INDEX(SPOT_Import!$A$1:$Z$2488,1196,'Live Data'!$C$13)),"")</f>
        <v/>
      </c>
      <c r="C1196" s="54" t="str">
        <f>IFERROR(IF(INDEX(SPOT_Import!$A$1:$Z$2488,1196,'Live Data'!$C$14)="","",INDEX(SPOT_Import!$A$1:$Z$2488,1196,'Live Data'!$C$14)),"")</f>
        <v/>
      </c>
      <c r="D1196" s="54" t="str">
        <f>IFERROR(IF(INDEX(SPOT_Import!$A$1:$Z$2488,1196,'Live Data'!$C$15)="","",INDEX(SPOT_Import!$A$1:$Z$2488,1196,'Live Data'!$C$15)),"")</f>
        <v/>
      </c>
      <c r="E1196" s="54" t="str">
        <f>IFERROR(IF(INDEX(SPOT_Import!$A$1:$Z$2488,1196,'Live Data'!$C$16)="","",INDEX(SPOT_Import!$A$1:$Z$2488,1196,'Live Data'!$C$16)),"")</f>
        <v/>
      </c>
      <c r="F1196" s="54" t="str">
        <f>IFERROR(IF(INDEX(SPOT_Import!$A$1:$Z$2488,1196,'Live Data'!$C$17)="","",INDEX(SPOT_Import!$A$1:$Z$2488,1196,'Live Data'!$C$17)),"")</f>
        <v/>
      </c>
      <c r="G1196" s="54" t="str">
        <f>IFERROR(IF(INDEX(SPOT_Import!$A$1:$Z$2488,1196,'Live Data'!$C$18)="","",INDEX(SPOT_Import!$A$1:$Z$2488,1196,'Live Data'!$C$18)),"")</f>
        <v/>
      </c>
      <c r="H1196" s="54" t="str">
        <f>IFERROR(IF(INDEX(SPOT_Import!$A$1:$Z$2488,1196,'Live Data'!$C$19)="","",INDEX(SPOT_Import!$A$1:$Z$2488,1196,'Live Data'!$C$19)),"")</f>
        <v/>
      </c>
      <c r="I1196" s="54" t="str">
        <f>IFERROR(IF(INDEX(SPOT_Import!$A$1:$Z$2488,1196,'Live Data'!$C$20)="","",INDEX(SPOT_Import!$A$1:$Z$2488,1196,'Live Data'!$C$20)),"")</f>
        <v/>
      </c>
      <c r="J1196" s="54" t="str">
        <f>IFERROR(IF(INDEX(SPOT_Import!$A$1:$Z$2488,1196,'Live Data'!$C$21)="","",INDEX(SPOT_Import!$A$1:$Z$2488,1196,'Live Data'!$C$21)),"")</f>
        <v/>
      </c>
      <c r="K1196" s="54" t="str">
        <f>IFERROR(IF(INDEX(SPOT_Import!$A$1:$Z$2488,1196,'Live Data'!$C$22)="","",INDEX(SPOT_Import!$A$1:$Z$2488,1196,'Live Data'!$C$22)),"")</f>
        <v/>
      </c>
      <c r="L1196" s="55" t="str">
        <f t="shared" si="36"/>
        <v/>
      </c>
      <c r="M1196" s="55" t="str">
        <f t="shared" si="37"/>
        <v/>
      </c>
      <c r="N1196" s="55" t="str">
        <f>IF(A1196="","",IFERROR(INDEX('Cluster Map'!$A$4:$A$38,MATCH(M1196,'Cluster Map'!$B$4:$B$38,0)),"Unmapped"))</f>
        <v/>
      </c>
      <c r="O1196" s="55">
        <f>IF(A1196="",0,IF(COUNTIFS($A$2:A1196,A1196,$F$2:F1196,F1196,$L$2:L1196,L1196)=1,1,0))</f>
        <v>0</v>
      </c>
      <c r="P1196" s="55">
        <f>IF(A1196="",0,IF(AND(F1196="C&amp;T",COUNTIFS($A$2:A1196,A1196,$F$2:F1196,"C&amp;T")=1),1,0))</f>
        <v>0</v>
      </c>
    </row>
    <row r="1197" spans="1:16" x14ac:dyDescent="0.35">
      <c r="A1197" s="54" t="str">
        <f>IFERROR(IF(INDEX(SPOT_Import!$A$1:$Z$2488,1197,'Live Data'!$C$12)="","",INDEX(SPOT_Import!$A$1:$Z$2488,1197,'Live Data'!$C$12)),"")</f>
        <v/>
      </c>
      <c r="B1197" s="54" t="str">
        <f>IFERROR(IF(INDEX(SPOT_Import!$A$1:$Z$2488,1197,'Live Data'!$C$13)="","",INDEX(SPOT_Import!$A$1:$Z$2488,1197,'Live Data'!$C$13)),"")</f>
        <v/>
      </c>
      <c r="C1197" s="54" t="str">
        <f>IFERROR(IF(INDEX(SPOT_Import!$A$1:$Z$2488,1197,'Live Data'!$C$14)="","",INDEX(SPOT_Import!$A$1:$Z$2488,1197,'Live Data'!$C$14)),"")</f>
        <v/>
      </c>
      <c r="D1197" s="54" t="str">
        <f>IFERROR(IF(INDEX(SPOT_Import!$A$1:$Z$2488,1197,'Live Data'!$C$15)="","",INDEX(SPOT_Import!$A$1:$Z$2488,1197,'Live Data'!$C$15)),"")</f>
        <v/>
      </c>
      <c r="E1197" s="54" t="str">
        <f>IFERROR(IF(INDEX(SPOT_Import!$A$1:$Z$2488,1197,'Live Data'!$C$16)="","",INDEX(SPOT_Import!$A$1:$Z$2488,1197,'Live Data'!$C$16)),"")</f>
        <v/>
      </c>
      <c r="F1197" s="54" t="str">
        <f>IFERROR(IF(INDEX(SPOT_Import!$A$1:$Z$2488,1197,'Live Data'!$C$17)="","",INDEX(SPOT_Import!$A$1:$Z$2488,1197,'Live Data'!$C$17)),"")</f>
        <v/>
      </c>
      <c r="G1197" s="54" t="str">
        <f>IFERROR(IF(INDEX(SPOT_Import!$A$1:$Z$2488,1197,'Live Data'!$C$18)="","",INDEX(SPOT_Import!$A$1:$Z$2488,1197,'Live Data'!$C$18)),"")</f>
        <v/>
      </c>
      <c r="H1197" s="54" t="str">
        <f>IFERROR(IF(INDEX(SPOT_Import!$A$1:$Z$2488,1197,'Live Data'!$C$19)="","",INDEX(SPOT_Import!$A$1:$Z$2488,1197,'Live Data'!$C$19)),"")</f>
        <v/>
      </c>
      <c r="I1197" s="54" t="str">
        <f>IFERROR(IF(INDEX(SPOT_Import!$A$1:$Z$2488,1197,'Live Data'!$C$20)="","",INDEX(SPOT_Import!$A$1:$Z$2488,1197,'Live Data'!$C$20)),"")</f>
        <v/>
      </c>
      <c r="J1197" s="54" t="str">
        <f>IFERROR(IF(INDEX(SPOT_Import!$A$1:$Z$2488,1197,'Live Data'!$C$21)="","",INDEX(SPOT_Import!$A$1:$Z$2488,1197,'Live Data'!$C$21)),"")</f>
        <v/>
      </c>
      <c r="K1197" s="54" t="str">
        <f>IFERROR(IF(INDEX(SPOT_Import!$A$1:$Z$2488,1197,'Live Data'!$C$22)="","",INDEX(SPOT_Import!$A$1:$Z$2488,1197,'Live Data'!$C$22)),"")</f>
        <v/>
      </c>
      <c r="L1197" s="55" t="str">
        <f t="shared" si="36"/>
        <v/>
      </c>
      <c r="M1197" s="55" t="str">
        <f t="shared" si="37"/>
        <v/>
      </c>
      <c r="N1197" s="55" t="str">
        <f>IF(A1197="","",IFERROR(INDEX('Cluster Map'!$A$4:$A$38,MATCH(M1197,'Cluster Map'!$B$4:$B$38,0)),"Unmapped"))</f>
        <v/>
      </c>
      <c r="O1197" s="55">
        <f>IF(A1197="",0,IF(COUNTIFS($A$2:A1197,A1197,$F$2:F1197,F1197,$L$2:L1197,L1197)=1,1,0))</f>
        <v>0</v>
      </c>
      <c r="P1197" s="55">
        <f>IF(A1197="",0,IF(AND(F1197="C&amp;T",COUNTIFS($A$2:A1197,A1197,$F$2:F1197,"C&amp;T")=1),1,0))</f>
        <v>0</v>
      </c>
    </row>
    <row r="1198" spans="1:16" x14ac:dyDescent="0.35">
      <c r="A1198" s="54" t="str">
        <f>IFERROR(IF(INDEX(SPOT_Import!$A$1:$Z$2488,1198,'Live Data'!$C$12)="","",INDEX(SPOT_Import!$A$1:$Z$2488,1198,'Live Data'!$C$12)),"")</f>
        <v/>
      </c>
      <c r="B1198" s="54" t="str">
        <f>IFERROR(IF(INDEX(SPOT_Import!$A$1:$Z$2488,1198,'Live Data'!$C$13)="","",INDEX(SPOT_Import!$A$1:$Z$2488,1198,'Live Data'!$C$13)),"")</f>
        <v/>
      </c>
      <c r="C1198" s="54" t="str">
        <f>IFERROR(IF(INDEX(SPOT_Import!$A$1:$Z$2488,1198,'Live Data'!$C$14)="","",INDEX(SPOT_Import!$A$1:$Z$2488,1198,'Live Data'!$C$14)),"")</f>
        <v/>
      </c>
      <c r="D1198" s="54" t="str">
        <f>IFERROR(IF(INDEX(SPOT_Import!$A$1:$Z$2488,1198,'Live Data'!$C$15)="","",INDEX(SPOT_Import!$A$1:$Z$2488,1198,'Live Data'!$C$15)),"")</f>
        <v/>
      </c>
      <c r="E1198" s="54" t="str">
        <f>IFERROR(IF(INDEX(SPOT_Import!$A$1:$Z$2488,1198,'Live Data'!$C$16)="","",INDEX(SPOT_Import!$A$1:$Z$2488,1198,'Live Data'!$C$16)),"")</f>
        <v/>
      </c>
      <c r="F1198" s="54" t="str">
        <f>IFERROR(IF(INDEX(SPOT_Import!$A$1:$Z$2488,1198,'Live Data'!$C$17)="","",INDEX(SPOT_Import!$A$1:$Z$2488,1198,'Live Data'!$C$17)),"")</f>
        <v/>
      </c>
      <c r="G1198" s="54" t="str">
        <f>IFERROR(IF(INDEX(SPOT_Import!$A$1:$Z$2488,1198,'Live Data'!$C$18)="","",INDEX(SPOT_Import!$A$1:$Z$2488,1198,'Live Data'!$C$18)),"")</f>
        <v/>
      </c>
      <c r="H1198" s="54" t="str">
        <f>IFERROR(IF(INDEX(SPOT_Import!$A$1:$Z$2488,1198,'Live Data'!$C$19)="","",INDEX(SPOT_Import!$A$1:$Z$2488,1198,'Live Data'!$C$19)),"")</f>
        <v/>
      </c>
      <c r="I1198" s="54" t="str">
        <f>IFERROR(IF(INDEX(SPOT_Import!$A$1:$Z$2488,1198,'Live Data'!$C$20)="","",INDEX(SPOT_Import!$A$1:$Z$2488,1198,'Live Data'!$C$20)),"")</f>
        <v/>
      </c>
      <c r="J1198" s="54" t="str">
        <f>IFERROR(IF(INDEX(SPOT_Import!$A$1:$Z$2488,1198,'Live Data'!$C$21)="","",INDEX(SPOT_Import!$A$1:$Z$2488,1198,'Live Data'!$C$21)),"")</f>
        <v/>
      </c>
      <c r="K1198" s="54" t="str">
        <f>IFERROR(IF(INDEX(SPOT_Import!$A$1:$Z$2488,1198,'Live Data'!$C$22)="","",INDEX(SPOT_Import!$A$1:$Z$2488,1198,'Live Data'!$C$22)),"")</f>
        <v/>
      </c>
      <c r="L1198" s="55" t="str">
        <f t="shared" si="36"/>
        <v/>
      </c>
      <c r="M1198" s="55" t="str">
        <f t="shared" si="37"/>
        <v/>
      </c>
      <c r="N1198" s="55" t="str">
        <f>IF(A1198="","",IFERROR(INDEX('Cluster Map'!$A$4:$A$38,MATCH(M1198,'Cluster Map'!$B$4:$B$38,0)),"Unmapped"))</f>
        <v/>
      </c>
      <c r="O1198" s="55">
        <f>IF(A1198="",0,IF(COUNTIFS($A$2:A1198,A1198,$F$2:F1198,F1198,$L$2:L1198,L1198)=1,1,0))</f>
        <v>0</v>
      </c>
      <c r="P1198" s="55">
        <f>IF(A1198="",0,IF(AND(F1198="C&amp;T",COUNTIFS($A$2:A1198,A1198,$F$2:F1198,"C&amp;T")=1),1,0))</f>
        <v>0</v>
      </c>
    </row>
    <row r="1199" spans="1:16" x14ac:dyDescent="0.35">
      <c r="A1199" s="54" t="str">
        <f>IFERROR(IF(INDEX(SPOT_Import!$A$1:$Z$2488,1199,'Live Data'!$C$12)="","",INDEX(SPOT_Import!$A$1:$Z$2488,1199,'Live Data'!$C$12)),"")</f>
        <v/>
      </c>
      <c r="B1199" s="54" t="str">
        <f>IFERROR(IF(INDEX(SPOT_Import!$A$1:$Z$2488,1199,'Live Data'!$C$13)="","",INDEX(SPOT_Import!$A$1:$Z$2488,1199,'Live Data'!$C$13)),"")</f>
        <v/>
      </c>
      <c r="C1199" s="54" t="str">
        <f>IFERROR(IF(INDEX(SPOT_Import!$A$1:$Z$2488,1199,'Live Data'!$C$14)="","",INDEX(SPOT_Import!$A$1:$Z$2488,1199,'Live Data'!$C$14)),"")</f>
        <v/>
      </c>
      <c r="D1199" s="54" t="str">
        <f>IFERROR(IF(INDEX(SPOT_Import!$A$1:$Z$2488,1199,'Live Data'!$C$15)="","",INDEX(SPOT_Import!$A$1:$Z$2488,1199,'Live Data'!$C$15)),"")</f>
        <v/>
      </c>
      <c r="E1199" s="54" t="str">
        <f>IFERROR(IF(INDEX(SPOT_Import!$A$1:$Z$2488,1199,'Live Data'!$C$16)="","",INDEX(SPOT_Import!$A$1:$Z$2488,1199,'Live Data'!$C$16)),"")</f>
        <v/>
      </c>
      <c r="F1199" s="54" t="str">
        <f>IFERROR(IF(INDEX(SPOT_Import!$A$1:$Z$2488,1199,'Live Data'!$C$17)="","",INDEX(SPOT_Import!$A$1:$Z$2488,1199,'Live Data'!$C$17)),"")</f>
        <v/>
      </c>
      <c r="G1199" s="54" t="str">
        <f>IFERROR(IF(INDEX(SPOT_Import!$A$1:$Z$2488,1199,'Live Data'!$C$18)="","",INDEX(SPOT_Import!$A$1:$Z$2488,1199,'Live Data'!$C$18)),"")</f>
        <v/>
      </c>
      <c r="H1199" s="54" t="str">
        <f>IFERROR(IF(INDEX(SPOT_Import!$A$1:$Z$2488,1199,'Live Data'!$C$19)="","",INDEX(SPOT_Import!$A$1:$Z$2488,1199,'Live Data'!$C$19)),"")</f>
        <v/>
      </c>
      <c r="I1199" s="54" t="str">
        <f>IFERROR(IF(INDEX(SPOT_Import!$A$1:$Z$2488,1199,'Live Data'!$C$20)="","",INDEX(SPOT_Import!$A$1:$Z$2488,1199,'Live Data'!$C$20)),"")</f>
        <v/>
      </c>
      <c r="J1199" s="54" t="str">
        <f>IFERROR(IF(INDEX(SPOT_Import!$A$1:$Z$2488,1199,'Live Data'!$C$21)="","",INDEX(SPOT_Import!$A$1:$Z$2488,1199,'Live Data'!$C$21)),"")</f>
        <v/>
      </c>
      <c r="K1199" s="54" t="str">
        <f>IFERROR(IF(INDEX(SPOT_Import!$A$1:$Z$2488,1199,'Live Data'!$C$22)="","",INDEX(SPOT_Import!$A$1:$Z$2488,1199,'Live Data'!$C$22)),"")</f>
        <v/>
      </c>
      <c r="L1199" s="55" t="str">
        <f t="shared" si="36"/>
        <v/>
      </c>
      <c r="M1199" s="55" t="str">
        <f t="shared" si="37"/>
        <v/>
      </c>
      <c r="N1199" s="55" t="str">
        <f>IF(A1199="","",IFERROR(INDEX('Cluster Map'!$A$4:$A$38,MATCH(M1199,'Cluster Map'!$B$4:$B$38,0)),"Unmapped"))</f>
        <v/>
      </c>
      <c r="O1199" s="55">
        <f>IF(A1199="",0,IF(COUNTIFS($A$2:A1199,A1199,$F$2:F1199,F1199,$L$2:L1199,L1199)=1,1,0))</f>
        <v>0</v>
      </c>
      <c r="P1199" s="55">
        <f>IF(A1199="",0,IF(AND(F1199="C&amp;T",COUNTIFS($A$2:A1199,A1199,$F$2:F1199,"C&amp;T")=1),1,0))</f>
        <v>0</v>
      </c>
    </row>
    <row r="1200" spans="1:16" x14ac:dyDescent="0.35">
      <c r="A1200" s="54" t="str">
        <f>IFERROR(IF(INDEX(SPOT_Import!$A$1:$Z$2488,1200,'Live Data'!$C$12)="","",INDEX(SPOT_Import!$A$1:$Z$2488,1200,'Live Data'!$C$12)),"")</f>
        <v/>
      </c>
      <c r="B1200" s="54" t="str">
        <f>IFERROR(IF(INDEX(SPOT_Import!$A$1:$Z$2488,1200,'Live Data'!$C$13)="","",INDEX(SPOT_Import!$A$1:$Z$2488,1200,'Live Data'!$C$13)),"")</f>
        <v/>
      </c>
      <c r="C1200" s="54" t="str">
        <f>IFERROR(IF(INDEX(SPOT_Import!$A$1:$Z$2488,1200,'Live Data'!$C$14)="","",INDEX(SPOT_Import!$A$1:$Z$2488,1200,'Live Data'!$C$14)),"")</f>
        <v/>
      </c>
      <c r="D1200" s="54" t="str">
        <f>IFERROR(IF(INDEX(SPOT_Import!$A$1:$Z$2488,1200,'Live Data'!$C$15)="","",INDEX(SPOT_Import!$A$1:$Z$2488,1200,'Live Data'!$C$15)),"")</f>
        <v/>
      </c>
      <c r="E1200" s="54" t="str">
        <f>IFERROR(IF(INDEX(SPOT_Import!$A$1:$Z$2488,1200,'Live Data'!$C$16)="","",INDEX(SPOT_Import!$A$1:$Z$2488,1200,'Live Data'!$C$16)),"")</f>
        <v/>
      </c>
      <c r="F1200" s="54" t="str">
        <f>IFERROR(IF(INDEX(SPOT_Import!$A$1:$Z$2488,1200,'Live Data'!$C$17)="","",INDEX(SPOT_Import!$A$1:$Z$2488,1200,'Live Data'!$C$17)),"")</f>
        <v/>
      </c>
      <c r="G1200" s="54" t="str">
        <f>IFERROR(IF(INDEX(SPOT_Import!$A$1:$Z$2488,1200,'Live Data'!$C$18)="","",INDEX(SPOT_Import!$A$1:$Z$2488,1200,'Live Data'!$C$18)),"")</f>
        <v/>
      </c>
      <c r="H1200" s="54" t="str">
        <f>IFERROR(IF(INDEX(SPOT_Import!$A$1:$Z$2488,1200,'Live Data'!$C$19)="","",INDEX(SPOT_Import!$A$1:$Z$2488,1200,'Live Data'!$C$19)),"")</f>
        <v/>
      </c>
      <c r="I1200" s="54" t="str">
        <f>IFERROR(IF(INDEX(SPOT_Import!$A$1:$Z$2488,1200,'Live Data'!$C$20)="","",INDEX(SPOT_Import!$A$1:$Z$2488,1200,'Live Data'!$C$20)),"")</f>
        <v/>
      </c>
      <c r="J1200" s="54" t="str">
        <f>IFERROR(IF(INDEX(SPOT_Import!$A$1:$Z$2488,1200,'Live Data'!$C$21)="","",INDEX(SPOT_Import!$A$1:$Z$2488,1200,'Live Data'!$C$21)),"")</f>
        <v/>
      </c>
      <c r="K1200" s="54" t="str">
        <f>IFERROR(IF(INDEX(SPOT_Import!$A$1:$Z$2488,1200,'Live Data'!$C$22)="","",INDEX(SPOT_Import!$A$1:$Z$2488,1200,'Live Data'!$C$22)),"")</f>
        <v/>
      </c>
      <c r="L1200" s="55" t="str">
        <f t="shared" si="36"/>
        <v/>
      </c>
      <c r="M1200" s="55" t="str">
        <f t="shared" si="37"/>
        <v/>
      </c>
      <c r="N1200" s="55" t="str">
        <f>IF(A1200="","",IFERROR(INDEX('Cluster Map'!$A$4:$A$38,MATCH(M1200,'Cluster Map'!$B$4:$B$38,0)),"Unmapped"))</f>
        <v/>
      </c>
      <c r="O1200" s="55">
        <f>IF(A1200="",0,IF(COUNTIFS($A$2:A1200,A1200,$F$2:F1200,F1200,$L$2:L1200,L1200)=1,1,0))</f>
        <v>0</v>
      </c>
      <c r="P1200" s="55">
        <f>IF(A1200="",0,IF(AND(F1200="C&amp;T",COUNTIFS($A$2:A1200,A1200,$F$2:F1200,"C&amp;T")=1),1,0))</f>
        <v>0</v>
      </c>
    </row>
    <row r="1201" spans="1:16" x14ac:dyDescent="0.35">
      <c r="A1201" s="54" t="str">
        <f>IFERROR(IF(INDEX(SPOT_Import!$A$1:$Z$2488,1201,'Live Data'!$C$12)="","",INDEX(SPOT_Import!$A$1:$Z$2488,1201,'Live Data'!$C$12)),"")</f>
        <v/>
      </c>
      <c r="B1201" s="54" t="str">
        <f>IFERROR(IF(INDEX(SPOT_Import!$A$1:$Z$2488,1201,'Live Data'!$C$13)="","",INDEX(SPOT_Import!$A$1:$Z$2488,1201,'Live Data'!$C$13)),"")</f>
        <v/>
      </c>
      <c r="C1201" s="54" t="str">
        <f>IFERROR(IF(INDEX(SPOT_Import!$A$1:$Z$2488,1201,'Live Data'!$C$14)="","",INDEX(SPOT_Import!$A$1:$Z$2488,1201,'Live Data'!$C$14)),"")</f>
        <v/>
      </c>
      <c r="D1201" s="54" t="str">
        <f>IFERROR(IF(INDEX(SPOT_Import!$A$1:$Z$2488,1201,'Live Data'!$C$15)="","",INDEX(SPOT_Import!$A$1:$Z$2488,1201,'Live Data'!$C$15)),"")</f>
        <v/>
      </c>
      <c r="E1201" s="54" t="str">
        <f>IFERROR(IF(INDEX(SPOT_Import!$A$1:$Z$2488,1201,'Live Data'!$C$16)="","",INDEX(SPOT_Import!$A$1:$Z$2488,1201,'Live Data'!$C$16)),"")</f>
        <v/>
      </c>
      <c r="F1201" s="54" t="str">
        <f>IFERROR(IF(INDEX(SPOT_Import!$A$1:$Z$2488,1201,'Live Data'!$C$17)="","",INDEX(SPOT_Import!$A$1:$Z$2488,1201,'Live Data'!$C$17)),"")</f>
        <v/>
      </c>
      <c r="G1201" s="54" t="str">
        <f>IFERROR(IF(INDEX(SPOT_Import!$A$1:$Z$2488,1201,'Live Data'!$C$18)="","",INDEX(SPOT_Import!$A$1:$Z$2488,1201,'Live Data'!$C$18)),"")</f>
        <v/>
      </c>
      <c r="H1201" s="54" t="str">
        <f>IFERROR(IF(INDEX(SPOT_Import!$A$1:$Z$2488,1201,'Live Data'!$C$19)="","",INDEX(SPOT_Import!$A$1:$Z$2488,1201,'Live Data'!$C$19)),"")</f>
        <v/>
      </c>
      <c r="I1201" s="54" t="str">
        <f>IFERROR(IF(INDEX(SPOT_Import!$A$1:$Z$2488,1201,'Live Data'!$C$20)="","",INDEX(SPOT_Import!$A$1:$Z$2488,1201,'Live Data'!$C$20)),"")</f>
        <v/>
      </c>
      <c r="J1201" s="54" t="str">
        <f>IFERROR(IF(INDEX(SPOT_Import!$A$1:$Z$2488,1201,'Live Data'!$C$21)="","",INDEX(SPOT_Import!$A$1:$Z$2488,1201,'Live Data'!$C$21)),"")</f>
        <v/>
      </c>
      <c r="K1201" s="54" t="str">
        <f>IFERROR(IF(INDEX(SPOT_Import!$A$1:$Z$2488,1201,'Live Data'!$C$22)="","",INDEX(SPOT_Import!$A$1:$Z$2488,1201,'Live Data'!$C$22)),"")</f>
        <v/>
      </c>
      <c r="L1201" s="55" t="str">
        <f t="shared" si="36"/>
        <v/>
      </c>
      <c r="M1201" s="55" t="str">
        <f t="shared" si="37"/>
        <v/>
      </c>
      <c r="N1201" s="55" t="str">
        <f>IF(A1201="","",IFERROR(INDEX('Cluster Map'!$A$4:$A$38,MATCH(M1201,'Cluster Map'!$B$4:$B$38,0)),"Unmapped"))</f>
        <v/>
      </c>
      <c r="O1201" s="55">
        <f>IF(A1201="",0,IF(COUNTIFS($A$2:A1201,A1201,$F$2:F1201,F1201,$L$2:L1201,L1201)=1,1,0))</f>
        <v>0</v>
      </c>
      <c r="P1201" s="55">
        <f>IF(A1201="",0,IF(AND(F1201="C&amp;T",COUNTIFS($A$2:A1201,A1201,$F$2:F1201,"C&amp;T")=1),1,0))</f>
        <v>0</v>
      </c>
    </row>
    <row r="1202" spans="1:16" x14ac:dyDescent="0.35">
      <c r="A1202" s="54" t="str">
        <f>IFERROR(IF(INDEX(SPOT_Import!$A$1:$Z$2488,1202,'Live Data'!$C$12)="","",INDEX(SPOT_Import!$A$1:$Z$2488,1202,'Live Data'!$C$12)),"")</f>
        <v/>
      </c>
      <c r="B1202" s="54" t="str">
        <f>IFERROR(IF(INDEX(SPOT_Import!$A$1:$Z$2488,1202,'Live Data'!$C$13)="","",INDEX(SPOT_Import!$A$1:$Z$2488,1202,'Live Data'!$C$13)),"")</f>
        <v/>
      </c>
      <c r="C1202" s="54" t="str">
        <f>IFERROR(IF(INDEX(SPOT_Import!$A$1:$Z$2488,1202,'Live Data'!$C$14)="","",INDEX(SPOT_Import!$A$1:$Z$2488,1202,'Live Data'!$C$14)),"")</f>
        <v/>
      </c>
      <c r="D1202" s="54" t="str">
        <f>IFERROR(IF(INDEX(SPOT_Import!$A$1:$Z$2488,1202,'Live Data'!$C$15)="","",INDEX(SPOT_Import!$A$1:$Z$2488,1202,'Live Data'!$C$15)),"")</f>
        <v/>
      </c>
      <c r="E1202" s="54" t="str">
        <f>IFERROR(IF(INDEX(SPOT_Import!$A$1:$Z$2488,1202,'Live Data'!$C$16)="","",INDEX(SPOT_Import!$A$1:$Z$2488,1202,'Live Data'!$C$16)),"")</f>
        <v/>
      </c>
      <c r="F1202" s="54" t="str">
        <f>IFERROR(IF(INDEX(SPOT_Import!$A$1:$Z$2488,1202,'Live Data'!$C$17)="","",INDEX(SPOT_Import!$A$1:$Z$2488,1202,'Live Data'!$C$17)),"")</f>
        <v/>
      </c>
      <c r="G1202" s="54" t="str">
        <f>IFERROR(IF(INDEX(SPOT_Import!$A$1:$Z$2488,1202,'Live Data'!$C$18)="","",INDEX(SPOT_Import!$A$1:$Z$2488,1202,'Live Data'!$C$18)),"")</f>
        <v/>
      </c>
      <c r="H1202" s="54" t="str">
        <f>IFERROR(IF(INDEX(SPOT_Import!$A$1:$Z$2488,1202,'Live Data'!$C$19)="","",INDEX(SPOT_Import!$A$1:$Z$2488,1202,'Live Data'!$C$19)),"")</f>
        <v/>
      </c>
      <c r="I1202" s="54" t="str">
        <f>IFERROR(IF(INDEX(SPOT_Import!$A$1:$Z$2488,1202,'Live Data'!$C$20)="","",INDEX(SPOT_Import!$A$1:$Z$2488,1202,'Live Data'!$C$20)),"")</f>
        <v/>
      </c>
      <c r="J1202" s="54" t="str">
        <f>IFERROR(IF(INDEX(SPOT_Import!$A$1:$Z$2488,1202,'Live Data'!$C$21)="","",INDEX(SPOT_Import!$A$1:$Z$2488,1202,'Live Data'!$C$21)),"")</f>
        <v/>
      </c>
      <c r="K1202" s="54" t="str">
        <f>IFERROR(IF(INDEX(SPOT_Import!$A$1:$Z$2488,1202,'Live Data'!$C$22)="","",INDEX(SPOT_Import!$A$1:$Z$2488,1202,'Live Data'!$C$22)),"")</f>
        <v/>
      </c>
      <c r="L1202" s="55" t="str">
        <f t="shared" si="36"/>
        <v/>
      </c>
      <c r="M1202" s="55" t="str">
        <f t="shared" si="37"/>
        <v/>
      </c>
      <c r="N1202" s="55" t="str">
        <f>IF(A1202="","",IFERROR(INDEX('Cluster Map'!$A$4:$A$38,MATCH(M1202,'Cluster Map'!$B$4:$B$38,0)),"Unmapped"))</f>
        <v/>
      </c>
      <c r="O1202" s="55">
        <f>IF(A1202="",0,IF(COUNTIFS($A$2:A1202,A1202,$F$2:F1202,F1202,$L$2:L1202,L1202)=1,1,0))</f>
        <v>0</v>
      </c>
      <c r="P1202" s="55">
        <f>IF(A1202="",0,IF(AND(F1202="C&amp;T",COUNTIFS($A$2:A1202,A1202,$F$2:F1202,"C&amp;T")=1),1,0))</f>
        <v>0</v>
      </c>
    </row>
    <row r="1203" spans="1:16" x14ac:dyDescent="0.35">
      <c r="A1203" s="54" t="str">
        <f>IFERROR(IF(INDEX(SPOT_Import!$A$1:$Z$2488,1203,'Live Data'!$C$12)="","",INDEX(SPOT_Import!$A$1:$Z$2488,1203,'Live Data'!$C$12)),"")</f>
        <v/>
      </c>
      <c r="B1203" s="54" t="str">
        <f>IFERROR(IF(INDEX(SPOT_Import!$A$1:$Z$2488,1203,'Live Data'!$C$13)="","",INDEX(SPOT_Import!$A$1:$Z$2488,1203,'Live Data'!$C$13)),"")</f>
        <v/>
      </c>
      <c r="C1203" s="54" t="str">
        <f>IFERROR(IF(INDEX(SPOT_Import!$A$1:$Z$2488,1203,'Live Data'!$C$14)="","",INDEX(SPOT_Import!$A$1:$Z$2488,1203,'Live Data'!$C$14)),"")</f>
        <v/>
      </c>
      <c r="D1203" s="54" t="str">
        <f>IFERROR(IF(INDEX(SPOT_Import!$A$1:$Z$2488,1203,'Live Data'!$C$15)="","",INDEX(SPOT_Import!$A$1:$Z$2488,1203,'Live Data'!$C$15)),"")</f>
        <v/>
      </c>
      <c r="E1203" s="54" t="str">
        <f>IFERROR(IF(INDEX(SPOT_Import!$A$1:$Z$2488,1203,'Live Data'!$C$16)="","",INDEX(SPOT_Import!$A$1:$Z$2488,1203,'Live Data'!$C$16)),"")</f>
        <v/>
      </c>
      <c r="F1203" s="54" t="str">
        <f>IFERROR(IF(INDEX(SPOT_Import!$A$1:$Z$2488,1203,'Live Data'!$C$17)="","",INDEX(SPOT_Import!$A$1:$Z$2488,1203,'Live Data'!$C$17)),"")</f>
        <v/>
      </c>
      <c r="G1203" s="54" t="str">
        <f>IFERROR(IF(INDEX(SPOT_Import!$A$1:$Z$2488,1203,'Live Data'!$C$18)="","",INDEX(SPOT_Import!$A$1:$Z$2488,1203,'Live Data'!$C$18)),"")</f>
        <v/>
      </c>
      <c r="H1203" s="54" t="str">
        <f>IFERROR(IF(INDEX(SPOT_Import!$A$1:$Z$2488,1203,'Live Data'!$C$19)="","",INDEX(SPOT_Import!$A$1:$Z$2488,1203,'Live Data'!$C$19)),"")</f>
        <v/>
      </c>
      <c r="I1203" s="54" t="str">
        <f>IFERROR(IF(INDEX(SPOT_Import!$A$1:$Z$2488,1203,'Live Data'!$C$20)="","",INDEX(SPOT_Import!$A$1:$Z$2488,1203,'Live Data'!$C$20)),"")</f>
        <v/>
      </c>
      <c r="J1203" s="54" t="str">
        <f>IFERROR(IF(INDEX(SPOT_Import!$A$1:$Z$2488,1203,'Live Data'!$C$21)="","",INDEX(SPOT_Import!$A$1:$Z$2488,1203,'Live Data'!$C$21)),"")</f>
        <v/>
      </c>
      <c r="K1203" s="54" t="str">
        <f>IFERROR(IF(INDEX(SPOT_Import!$A$1:$Z$2488,1203,'Live Data'!$C$22)="","",INDEX(SPOT_Import!$A$1:$Z$2488,1203,'Live Data'!$C$22)),"")</f>
        <v/>
      </c>
      <c r="L1203" s="55" t="str">
        <f t="shared" si="36"/>
        <v/>
      </c>
      <c r="M1203" s="55" t="str">
        <f t="shared" si="37"/>
        <v/>
      </c>
      <c r="N1203" s="55" t="str">
        <f>IF(A1203="","",IFERROR(INDEX('Cluster Map'!$A$4:$A$38,MATCH(M1203,'Cluster Map'!$B$4:$B$38,0)),"Unmapped"))</f>
        <v/>
      </c>
      <c r="O1203" s="55">
        <f>IF(A1203="",0,IF(COUNTIFS($A$2:A1203,A1203,$F$2:F1203,F1203,$L$2:L1203,L1203)=1,1,0))</f>
        <v>0</v>
      </c>
      <c r="P1203" s="55">
        <f>IF(A1203="",0,IF(AND(F1203="C&amp;T",COUNTIFS($A$2:A1203,A1203,$F$2:F1203,"C&amp;T")=1),1,0))</f>
        <v>0</v>
      </c>
    </row>
    <row r="1204" spans="1:16" x14ac:dyDescent="0.35">
      <c r="A1204" s="54" t="str">
        <f>IFERROR(IF(INDEX(SPOT_Import!$A$1:$Z$2488,1204,'Live Data'!$C$12)="","",INDEX(SPOT_Import!$A$1:$Z$2488,1204,'Live Data'!$C$12)),"")</f>
        <v/>
      </c>
      <c r="B1204" s="54" t="str">
        <f>IFERROR(IF(INDEX(SPOT_Import!$A$1:$Z$2488,1204,'Live Data'!$C$13)="","",INDEX(SPOT_Import!$A$1:$Z$2488,1204,'Live Data'!$C$13)),"")</f>
        <v/>
      </c>
      <c r="C1204" s="54" t="str">
        <f>IFERROR(IF(INDEX(SPOT_Import!$A$1:$Z$2488,1204,'Live Data'!$C$14)="","",INDEX(SPOT_Import!$A$1:$Z$2488,1204,'Live Data'!$C$14)),"")</f>
        <v/>
      </c>
      <c r="D1204" s="54" t="str">
        <f>IFERROR(IF(INDEX(SPOT_Import!$A$1:$Z$2488,1204,'Live Data'!$C$15)="","",INDEX(SPOT_Import!$A$1:$Z$2488,1204,'Live Data'!$C$15)),"")</f>
        <v/>
      </c>
      <c r="E1204" s="54" t="str">
        <f>IFERROR(IF(INDEX(SPOT_Import!$A$1:$Z$2488,1204,'Live Data'!$C$16)="","",INDEX(SPOT_Import!$A$1:$Z$2488,1204,'Live Data'!$C$16)),"")</f>
        <v/>
      </c>
      <c r="F1204" s="54" t="str">
        <f>IFERROR(IF(INDEX(SPOT_Import!$A$1:$Z$2488,1204,'Live Data'!$C$17)="","",INDEX(SPOT_Import!$A$1:$Z$2488,1204,'Live Data'!$C$17)),"")</f>
        <v/>
      </c>
      <c r="G1204" s="54" t="str">
        <f>IFERROR(IF(INDEX(SPOT_Import!$A$1:$Z$2488,1204,'Live Data'!$C$18)="","",INDEX(SPOT_Import!$A$1:$Z$2488,1204,'Live Data'!$C$18)),"")</f>
        <v/>
      </c>
      <c r="H1204" s="54" t="str">
        <f>IFERROR(IF(INDEX(SPOT_Import!$A$1:$Z$2488,1204,'Live Data'!$C$19)="","",INDEX(SPOT_Import!$A$1:$Z$2488,1204,'Live Data'!$C$19)),"")</f>
        <v/>
      </c>
      <c r="I1204" s="54" t="str">
        <f>IFERROR(IF(INDEX(SPOT_Import!$A$1:$Z$2488,1204,'Live Data'!$C$20)="","",INDEX(SPOT_Import!$A$1:$Z$2488,1204,'Live Data'!$C$20)),"")</f>
        <v/>
      </c>
      <c r="J1204" s="54" t="str">
        <f>IFERROR(IF(INDEX(SPOT_Import!$A$1:$Z$2488,1204,'Live Data'!$C$21)="","",INDEX(SPOT_Import!$A$1:$Z$2488,1204,'Live Data'!$C$21)),"")</f>
        <v/>
      </c>
      <c r="K1204" s="54" t="str">
        <f>IFERROR(IF(INDEX(SPOT_Import!$A$1:$Z$2488,1204,'Live Data'!$C$22)="","",INDEX(SPOT_Import!$A$1:$Z$2488,1204,'Live Data'!$C$22)),"")</f>
        <v/>
      </c>
      <c r="L1204" s="55" t="str">
        <f t="shared" si="36"/>
        <v/>
      </c>
      <c r="M1204" s="55" t="str">
        <f t="shared" si="37"/>
        <v/>
      </c>
      <c r="N1204" s="55" t="str">
        <f>IF(A1204="","",IFERROR(INDEX('Cluster Map'!$A$4:$A$38,MATCH(M1204,'Cluster Map'!$B$4:$B$38,0)),"Unmapped"))</f>
        <v/>
      </c>
      <c r="O1204" s="55">
        <f>IF(A1204="",0,IF(COUNTIFS($A$2:A1204,A1204,$F$2:F1204,F1204,$L$2:L1204,L1204)=1,1,0))</f>
        <v>0</v>
      </c>
      <c r="P1204" s="55">
        <f>IF(A1204="",0,IF(AND(F1204="C&amp;T",COUNTIFS($A$2:A1204,A1204,$F$2:F1204,"C&amp;T")=1),1,0))</f>
        <v>0</v>
      </c>
    </row>
    <row r="1205" spans="1:16" x14ac:dyDescent="0.35">
      <c r="A1205" s="54" t="str">
        <f>IFERROR(IF(INDEX(SPOT_Import!$A$1:$Z$2488,1205,'Live Data'!$C$12)="","",INDEX(SPOT_Import!$A$1:$Z$2488,1205,'Live Data'!$C$12)),"")</f>
        <v/>
      </c>
      <c r="B1205" s="54" t="str">
        <f>IFERROR(IF(INDEX(SPOT_Import!$A$1:$Z$2488,1205,'Live Data'!$C$13)="","",INDEX(SPOT_Import!$A$1:$Z$2488,1205,'Live Data'!$C$13)),"")</f>
        <v/>
      </c>
      <c r="C1205" s="54" t="str">
        <f>IFERROR(IF(INDEX(SPOT_Import!$A$1:$Z$2488,1205,'Live Data'!$C$14)="","",INDEX(SPOT_Import!$A$1:$Z$2488,1205,'Live Data'!$C$14)),"")</f>
        <v/>
      </c>
      <c r="D1205" s="54" t="str">
        <f>IFERROR(IF(INDEX(SPOT_Import!$A$1:$Z$2488,1205,'Live Data'!$C$15)="","",INDEX(SPOT_Import!$A$1:$Z$2488,1205,'Live Data'!$C$15)),"")</f>
        <v/>
      </c>
      <c r="E1205" s="54" t="str">
        <f>IFERROR(IF(INDEX(SPOT_Import!$A$1:$Z$2488,1205,'Live Data'!$C$16)="","",INDEX(SPOT_Import!$A$1:$Z$2488,1205,'Live Data'!$C$16)),"")</f>
        <v/>
      </c>
      <c r="F1205" s="54" t="str">
        <f>IFERROR(IF(INDEX(SPOT_Import!$A$1:$Z$2488,1205,'Live Data'!$C$17)="","",INDEX(SPOT_Import!$A$1:$Z$2488,1205,'Live Data'!$C$17)),"")</f>
        <v/>
      </c>
      <c r="G1205" s="54" t="str">
        <f>IFERROR(IF(INDEX(SPOT_Import!$A$1:$Z$2488,1205,'Live Data'!$C$18)="","",INDEX(SPOT_Import!$A$1:$Z$2488,1205,'Live Data'!$C$18)),"")</f>
        <v/>
      </c>
      <c r="H1205" s="54" t="str">
        <f>IFERROR(IF(INDEX(SPOT_Import!$A$1:$Z$2488,1205,'Live Data'!$C$19)="","",INDEX(SPOT_Import!$A$1:$Z$2488,1205,'Live Data'!$C$19)),"")</f>
        <v/>
      </c>
      <c r="I1205" s="54" t="str">
        <f>IFERROR(IF(INDEX(SPOT_Import!$A$1:$Z$2488,1205,'Live Data'!$C$20)="","",INDEX(SPOT_Import!$A$1:$Z$2488,1205,'Live Data'!$C$20)),"")</f>
        <v/>
      </c>
      <c r="J1205" s="54" t="str">
        <f>IFERROR(IF(INDEX(SPOT_Import!$A$1:$Z$2488,1205,'Live Data'!$C$21)="","",INDEX(SPOT_Import!$A$1:$Z$2488,1205,'Live Data'!$C$21)),"")</f>
        <v/>
      </c>
      <c r="K1205" s="54" t="str">
        <f>IFERROR(IF(INDEX(SPOT_Import!$A$1:$Z$2488,1205,'Live Data'!$C$22)="","",INDEX(SPOT_Import!$A$1:$Z$2488,1205,'Live Data'!$C$22)),"")</f>
        <v/>
      </c>
      <c r="L1205" s="55" t="str">
        <f t="shared" si="36"/>
        <v/>
      </c>
      <c r="M1205" s="55" t="str">
        <f t="shared" si="37"/>
        <v/>
      </c>
      <c r="N1205" s="55" t="str">
        <f>IF(A1205="","",IFERROR(INDEX('Cluster Map'!$A$4:$A$38,MATCH(M1205,'Cluster Map'!$B$4:$B$38,0)),"Unmapped"))</f>
        <v/>
      </c>
      <c r="O1205" s="55">
        <f>IF(A1205="",0,IF(COUNTIFS($A$2:A1205,A1205,$F$2:F1205,F1205,$L$2:L1205,L1205)=1,1,0))</f>
        <v>0</v>
      </c>
      <c r="P1205" s="55">
        <f>IF(A1205="",0,IF(AND(F1205="C&amp;T",COUNTIFS($A$2:A1205,A1205,$F$2:F1205,"C&amp;T")=1),1,0))</f>
        <v>0</v>
      </c>
    </row>
    <row r="1206" spans="1:16" x14ac:dyDescent="0.35">
      <c r="A1206" s="54" t="str">
        <f>IFERROR(IF(INDEX(SPOT_Import!$A$1:$Z$2488,1206,'Live Data'!$C$12)="","",INDEX(SPOT_Import!$A$1:$Z$2488,1206,'Live Data'!$C$12)),"")</f>
        <v/>
      </c>
      <c r="B1206" s="54" t="str">
        <f>IFERROR(IF(INDEX(SPOT_Import!$A$1:$Z$2488,1206,'Live Data'!$C$13)="","",INDEX(SPOT_Import!$A$1:$Z$2488,1206,'Live Data'!$C$13)),"")</f>
        <v/>
      </c>
      <c r="C1206" s="54" t="str">
        <f>IFERROR(IF(INDEX(SPOT_Import!$A$1:$Z$2488,1206,'Live Data'!$C$14)="","",INDEX(SPOT_Import!$A$1:$Z$2488,1206,'Live Data'!$C$14)),"")</f>
        <v/>
      </c>
      <c r="D1206" s="54" t="str">
        <f>IFERROR(IF(INDEX(SPOT_Import!$A$1:$Z$2488,1206,'Live Data'!$C$15)="","",INDEX(SPOT_Import!$A$1:$Z$2488,1206,'Live Data'!$C$15)),"")</f>
        <v/>
      </c>
      <c r="E1206" s="54" t="str">
        <f>IFERROR(IF(INDEX(SPOT_Import!$A$1:$Z$2488,1206,'Live Data'!$C$16)="","",INDEX(SPOT_Import!$A$1:$Z$2488,1206,'Live Data'!$C$16)),"")</f>
        <v/>
      </c>
      <c r="F1206" s="54" t="str">
        <f>IFERROR(IF(INDEX(SPOT_Import!$A$1:$Z$2488,1206,'Live Data'!$C$17)="","",INDEX(SPOT_Import!$A$1:$Z$2488,1206,'Live Data'!$C$17)),"")</f>
        <v/>
      </c>
      <c r="G1206" s="54" t="str">
        <f>IFERROR(IF(INDEX(SPOT_Import!$A$1:$Z$2488,1206,'Live Data'!$C$18)="","",INDEX(SPOT_Import!$A$1:$Z$2488,1206,'Live Data'!$C$18)),"")</f>
        <v/>
      </c>
      <c r="H1206" s="54" t="str">
        <f>IFERROR(IF(INDEX(SPOT_Import!$A$1:$Z$2488,1206,'Live Data'!$C$19)="","",INDEX(SPOT_Import!$A$1:$Z$2488,1206,'Live Data'!$C$19)),"")</f>
        <v/>
      </c>
      <c r="I1206" s="54" t="str">
        <f>IFERROR(IF(INDEX(SPOT_Import!$A$1:$Z$2488,1206,'Live Data'!$C$20)="","",INDEX(SPOT_Import!$A$1:$Z$2488,1206,'Live Data'!$C$20)),"")</f>
        <v/>
      </c>
      <c r="J1206" s="54" t="str">
        <f>IFERROR(IF(INDEX(SPOT_Import!$A$1:$Z$2488,1206,'Live Data'!$C$21)="","",INDEX(SPOT_Import!$A$1:$Z$2488,1206,'Live Data'!$C$21)),"")</f>
        <v/>
      </c>
      <c r="K1206" s="54" t="str">
        <f>IFERROR(IF(INDEX(SPOT_Import!$A$1:$Z$2488,1206,'Live Data'!$C$22)="","",INDEX(SPOT_Import!$A$1:$Z$2488,1206,'Live Data'!$C$22)),"")</f>
        <v/>
      </c>
      <c r="L1206" s="55" t="str">
        <f t="shared" si="36"/>
        <v/>
      </c>
      <c r="M1206" s="55" t="str">
        <f t="shared" si="37"/>
        <v/>
      </c>
      <c r="N1206" s="55" t="str">
        <f>IF(A1206="","",IFERROR(INDEX('Cluster Map'!$A$4:$A$38,MATCH(M1206,'Cluster Map'!$B$4:$B$38,0)),"Unmapped"))</f>
        <v/>
      </c>
      <c r="O1206" s="55">
        <f>IF(A1206="",0,IF(COUNTIFS($A$2:A1206,A1206,$F$2:F1206,F1206,$L$2:L1206,L1206)=1,1,0))</f>
        <v>0</v>
      </c>
      <c r="P1206" s="55">
        <f>IF(A1206="",0,IF(AND(F1206="C&amp;T",COUNTIFS($A$2:A1206,A1206,$F$2:F1206,"C&amp;T")=1),1,0))</f>
        <v>0</v>
      </c>
    </row>
    <row r="1207" spans="1:16" x14ac:dyDescent="0.35">
      <c r="A1207" s="54" t="str">
        <f>IFERROR(IF(INDEX(SPOT_Import!$A$1:$Z$2488,1207,'Live Data'!$C$12)="","",INDEX(SPOT_Import!$A$1:$Z$2488,1207,'Live Data'!$C$12)),"")</f>
        <v/>
      </c>
      <c r="B1207" s="54" t="str">
        <f>IFERROR(IF(INDEX(SPOT_Import!$A$1:$Z$2488,1207,'Live Data'!$C$13)="","",INDEX(SPOT_Import!$A$1:$Z$2488,1207,'Live Data'!$C$13)),"")</f>
        <v/>
      </c>
      <c r="C1207" s="54" t="str">
        <f>IFERROR(IF(INDEX(SPOT_Import!$A$1:$Z$2488,1207,'Live Data'!$C$14)="","",INDEX(SPOT_Import!$A$1:$Z$2488,1207,'Live Data'!$C$14)),"")</f>
        <v/>
      </c>
      <c r="D1207" s="54" t="str">
        <f>IFERROR(IF(INDEX(SPOT_Import!$A$1:$Z$2488,1207,'Live Data'!$C$15)="","",INDEX(SPOT_Import!$A$1:$Z$2488,1207,'Live Data'!$C$15)),"")</f>
        <v/>
      </c>
      <c r="E1207" s="54" t="str">
        <f>IFERROR(IF(INDEX(SPOT_Import!$A$1:$Z$2488,1207,'Live Data'!$C$16)="","",INDEX(SPOT_Import!$A$1:$Z$2488,1207,'Live Data'!$C$16)),"")</f>
        <v/>
      </c>
      <c r="F1207" s="54" t="str">
        <f>IFERROR(IF(INDEX(SPOT_Import!$A$1:$Z$2488,1207,'Live Data'!$C$17)="","",INDEX(SPOT_Import!$A$1:$Z$2488,1207,'Live Data'!$C$17)),"")</f>
        <v/>
      </c>
      <c r="G1207" s="54" t="str">
        <f>IFERROR(IF(INDEX(SPOT_Import!$A$1:$Z$2488,1207,'Live Data'!$C$18)="","",INDEX(SPOT_Import!$A$1:$Z$2488,1207,'Live Data'!$C$18)),"")</f>
        <v/>
      </c>
      <c r="H1207" s="54" t="str">
        <f>IFERROR(IF(INDEX(SPOT_Import!$A$1:$Z$2488,1207,'Live Data'!$C$19)="","",INDEX(SPOT_Import!$A$1:$Z$2488,1207,'Live Data'!$C$19)),"")</f>
        <v/>
      </c>
      <c r="I1207" s="54" t="str">
        <f>IFERROR(IF(INDEX(SPOT_Import!$A$1:$Z$2488,1207,'Live Data'!$C$20)="","",INDEX(SPOT_Import!$A$1:$Z$2488,1207,'Live Data'!$C$20)),"")</f>
        <v/>
      </c>
      <c r="J1207" s="54" t="str">
        <f>IFERROR(IF(INDEX(SPOT_Import!$A$1:$Z$2488,1207,'Live Data'!$C$21)="","",INDEX(SPOT_Import!$A$1:$Z$2488,1207,'Live Data'!$C$21)),"")</f>
        <v/>
      </c>
      <c r="K1207" s="54" t="str">
        <f>IFERROR(IF(INDEX(SPOT_Import!$A$1:$Z$2488,1207,'Live Data'!$C$22)="","",INDEX(SPOT_Import!$A$1:$Z$2488,1207,'Live Data'!$C$22)),"")</f>
        <v/>
      </c>
      <c r="L1207" s="55" t="str">
        <f t="shared" si="36"/>
        <v/>
      </c>
      <c r="M1207" s="55" t="str">
        <f t="shared" si="37"/>
        <v/>
      </c>
      <c r="N1207" s="55" t="str">
        <f>IF(A1207="","",IFERROR(INDEX('Cluster Map'!$A$4:$A$38,MATCH(M1207,'Cluster Map'!$B$4:$B$38,0)),"Unmapped"))</f>
        <v/>
      </c>
      <c r="O1207" s="55">
        <f>IF(A1207="",0,IF(COUNTIFS($A$2:A1207,A1207,$F$2:F1207,F1207,$L$2:L1207,L1207)=1,1,0))</f>
        <v>0</v>
      </c>
      <c r="P1207" s="55">
        <f>IF(A1207="",0,IF(AND(F1207="C&amp;T",COUNTIFS($A$2:A1207,A1207,$F$2:F1207,"C&amp;T")=1),1,0))</f>
        <v>0</v>
      </c>
    </row>
    <row r="1208" spans="1:16" x14ac:dyDescent="0.35">
      <c r="A1208" s="54" t="str">
        <f>IFERROR(IF(INDEX(SPOT_Import!$A$1:$Z$2488,1208,'Live Data'!$C$12)="","",INDEX(SPOT_Import!$A$1:$Z$2488,1208,'Live Data'!$C$12)),"")</f>
        <v/>
      </c>
      <c r="B1208" s="54" t="str">
        <f>IFERROR(IF(INDEX(SPOT_Import!$A$1:$Z$2488,1208,'Live Data'!$C$13)="","",INDEX(SPOT_Import!$A$1:$Z$2488,1208,'Live Data'!$C$13)),"")</f>
        <v/>
      </c>
      <c r="C1208" s="54" t="str">
        <f>IFERROR(IF(INDEX(SPOT_Import!$A$1:$Z$2488,1208,'Live Data'!$C$14)="","",INDEX(SPOT_Import!$A$1:$Z$2488,1208,'Live Data'!$C$14)),"")</f>
        <v/>
      </c>
      <c r="D1208" s="54" t="str">
        <f>IFERROR(IF(INDEX(SPOT_Import!$A$1:$Z$2488,1208,'Live Data'!$C$15)="","",INDEX(SPOT_Import!$A$1:$Z$2488,1208,'Live Data'!$C$15)),"")</f>
        <v/>
      </c>
      <c r="E1208" s="54" t="str">
        <f>IFERROR(IF(INDEX(SPOT_Import!$A$1:$Z$2488,1208,'Live Data'!$C$16)="","",INDEX(SPOT_Import!$A$1:$Z$2488,1208,'Live Data'!$C$16)),"")</f>
        <v/>
      </c>
      <c r="F1208" s="54" t="str">
        <f>IFERROR(IF(INDEX(SPOT_Import!$A$1:$Z$2488,1208,'Live Data'!$C$17)="","",INDEX(SPOT_Import!$A$1:$Z$2488,1208,'Live Data'!$C$17)),"")</f>
        <v/>
      </c>
      <c r="G1208" s="54" t="str">
        <f>IFERROR(IF(INDEX(SPOT_Import!$A$1:$Z$2488,1208,'Live Data'!$C$18)="","",INDEX(SPOT_Import!$A$1:$Z$2488,1208,'Live Data'!$C$18)),"")</f>
        <v/>
      </c>
      <c r="H1208" s="54" t="str">
        <f>IFERROR(IF(INDEX(SPOT_Import!$A$1:$Z$2488,1208,'Live Data'!$C$19)="","",INDEX(SPOT_Import!$A$1:$Z$2488,1208,'Live Data'!$C$19)),"")</f>
        <v/>
      </c>
      <c r="I1208" s="54" t="str">
        <f>IFERROR(IF(INDEX(SPOT_Import!$A$1:$Z$2488,1208,'Live Data'!$C$20)="","",INDEX(SPOT_Import!$A$1:$Z$2488,1208,'Live Data'!$C$20)),"")</f>
        <v/>
      </c>
      <c r="J1208" s="54" t="str">
        <f>IFERROR(IF(INDEX(SPOT_Import!$A$1:$Z$2488,1208,'Live Data'!$C$21)="","",INDEX(SPOT_Import!$A$1:$Z$2488,1208,'Live Data'!$C$21)),"")</f>
        <v/>
      </c>
      <c r="K1208" s="54" t="str">
        <f>IFERROR(IF(INDEX(SPOT_Import!$A$1:$Z$2488,1208,'Live Data'!$C$22)="","",INDEX(SPOT_Import!$A$1:$Z$2488,1208,'Live Data'!$C$22)),"")</f>
        <v/>
      </c>
      <c r="L1208" s="55" t="str">
        <f t="shared" si="36"/>
        <v/>
      </c>
      <c r="M1208" s="55" t="str">
        <f t="shared" si="37"/>
        <v/>
      </c>
      <c r="N1208" s="55" t="str">
        <f>IF(A1208="","",IFERROR(INDEX('Cluster Map'!$A$4:$A$38,MATCH(M1208,'Cluster Map'!$B$4:$B$38,0)),"Unmapped"))</f>
        <v/>
      </c>
      <c r="O1208" s="55">
        <f>IF(A1208="",0,IF(COUNTIFS($A$2:A1208,A1208,$F$2:F1208,F1208,$L$2:L1208,L1208)=1,1,0))</f>
        <v>0</v>
      </c>
      <c r="P1208" s="55">
        <f>IF(A1208="",0,IF(AND(F1208="C&amp;T",COUNTIFS($A$2:A1208,A1208,$F$2:F1208,"C&amp;T")=1),1,0))</f>
        <v>0</v>
      </c>
    </row>
    <row r="1209" spans="1:16" x14ac:dyDescent="0.35">
      <c r="A1209" s="54" t="str">
        <f>IFERROR(IF(INDEX(SPOT_Import!$A$1:$Z$2488,1209,'Live Data'!$C$12)="","",INDEX(SPOT_Import!$A$1:$Z$2488,1209,'Live Data'!$C$12)),"")</f>
        <v/>
      </c>
      <c r="B1209" s="54" t="str">
        <f>IFERROR(IF(INDEX(SPOT_Import!$A$1:$Z$2488,1209,'Live Data'!$C$13)="","",INDEX(SPOT_Import!$A$1:$Z$2488,1209,'Live Data'!$C$13)),"")</f>
        <v/>
      </c>
      <c r="C1209" s="54" t="str">
        <f>IFERROR(IF(INDEX(SPOT_Import!$A$1:$Z$2488,1209,'Live Data'!$C$14)="","",INDEX(SPOT_Import!$A$1:$Z$2488,1209,'Live Data'!$C$14)),"")</f>
        <v/>
      </c>
      <c r="D1209" s="54" t="str">
        <f>IFERROR(IF(INDEX(SPOT_Import!$A$1:$Z$2488,1209,'Live Data'!$C$15)="","",INDEX(SPOT_Import!$A$1:$Z$2488,1209,'Live Data'!$C$15)),"")</f>
        <v/>
      </c>
      <c r="E1209" s="54" t="str">
        <f>IFERROR(IF(INDEX(SPOT_Import!$A$1:$Z$2488,1209,'Live Data'!$C$16)="","",INDEX(SPOT_Import!$A$1:$Z$2488,1209,'Live Data'!$C$16)),"")</f>
        <v/>
      </c>
      <c r="F1209" s="54" t="str">
        <f>IFERROR(IF(INDEX(SPOT_Import!$A$1:$Z$2488,1209,'Live Data'!$C$17)="","",INDEX(SPOT_Import!$A$1:$Z$2488,1209,'Live Data'!$C$17)),"")</f>
        <v/>
      </c>
      <c r="G1209" s="54" t="str">
        <f>IFERROR(IF(INDEX(SPOT_Import!$A$1:$Z$2488,1209,'Live Data'!$C$18)="","",INDEX(SPOT_Import!$A$1:$Z$2488,1209,'Live Data'!$C$18)),"")</f>
        <v/>
      </c>
      <c r="H1209" s="54" t="str">
        <f>IFERROR(IF(INDEX(SPOT_Import!$A$1:$Z$2488,1209,'Live Data'!$C$19)="","",INDEX(SPOT_Import!$A$1:$Z$2488,1209,'Live Data'!$C$19)),"")</f>
        <v/>
      </c>
      <c r="I1209" s="54" t="str">
        <f>IFERROR(IF(INDEX(SPOT_Import!$A$1:$Z$2488,1209,'Live Data'!$C$20)="","",INDEX(SPOT_Import!$A$1:$Z$2488,1209,'Live Data'!$C$20)),"")</f>
        <v/>
      </c>
      <c r="J1209" s="54" t="str">
        <f>IFERROR(IF(INDEX(SPOT_Import!$A$1:$Z$2488,1209,'Live Data'!$C$21)="","",INDEX(SPOT_Import!$A$1:$Z$2488,1209,'Live Data'!$C$21)),"")</f>
        <v/>
      </c>
      <c r="K1209" s="54" t="str">
        <f>IFERROR(IF(INDEX(SPOT_Import!$A$1:$Z$2488,1209,'Live Data'!$C$22)="","",INDEX(SPOT_Import!$A$1:$Z$2488,1209,'Live Data'!$C$22)),"")</f>
        <v/>
      </c>
      <c r="L1209" s="55" t="str">
        <f t="shared" si="36"/>
        <v/>
      </c>
      <c r="M1209" s="55" t="str">
        <f t="shared" si="37"/>
        <v/>
      </c>
      <c r="N1209" s="55" t="str">
        <f>IF(A1209="","",IFERROR(INDEX('Cluster Map'!$A$4:$A$38,MATCH(M1209,'Cluster Map'!$B$4:$B$38,0)),"Unmapped"))</f>
        <v/>
      </c>
      <c r="O1209" s="55">
        <f>IF(A1209="",0,IF(COUNTIFS($A$2:A1209,A1209,$F$2:F1209,F1209,$L$2:L1209,L1209)=1,1,0))</f>
        <v>0</v>
      </c>
      <c r="P1209" s="55">
        <f>IF(A1209="",0,IF(AND(F1209="C&amp;T",COUNTIFS($A$2:A1209,A1209,$F$2:F1209,"C&amp;T")=1),1,0))</f>
        <v>0</v>
      </c>
    </row>
    <row r="1210" spans="1:16" x14ac:dyDescent="0.35">
      <c r="A1210" s="54" t="str">
        <f>IFERROR(IF(INDEX(SPOT_Import!$A$1:$Z$2488,1210,'Live Data'!$C$12)="","",INDEX(SPOT_Import!$A$1:$Z$2488,1210,'Live Data'!$C$12)),"")</f>
        <v/>
      </c>
      <c r="B1210" s="54" t="str">
        <f>IFERROR(IF(INDEX(SPOT_Import!$A$1:$Z$2488,1210,'Live Data'!$C$13)="","",INDEX(SPOT_Import!$A$1:$Z$2488,1210,'Live Data'!$C$13)),"")</f>
        <v/>
      </c>
      <c r="C1210" s="54" t="str">
        <f>IFERROR(IF(INDEX(SPOT_Import!$A$1:$Z$2488,1210,'Live Data'!$C$14)="","",INDEX(SPOT_Import!$A$1:$Z$2488,1210,'Live Data'!$C$14)),"")</f>
        <v/>
      </c>
      <c r="D1210" s="54" t="str">
        <f>IFERROR(IF(INDEX(SPOT_Import!$A$1:$Z$2488,1210,'Live Data'!$C$15)="","",INDEX(SPOT_Import!$A$1:$Z$2488,1210,'Live Data'!$C$15)),"")</f>
        <v/>
      </c>
      <c r="E1210" s="54" t="str">
        <f>IFERROR(IF(INDEX(SPOT_Import!$A$1:$Z$2488,1210,'Live Data'!$C$16)="","",INDEX(SPOT_Import!$A$1:$Z$2488,1210,'Live Data'!$C$16)),"")</f>
        <v/>
      </c>
      <c r="F1210" s="54" t="str">
        <f>IFERROR(IF(INDEX(SPOT_Import!$A$1:$Z$2488,1210,'Live Data'!$C$17)="","",INDEX(SPOT_Import!$A$1:$Z$2488,1210,'Live Data'!$C$17)),"")</f>
        <v/>
      </c>
      <c r="G1210" s="54" t="str">
        <f>IFERROR(IF(INDEX(SPOT_Import!$A$1:$Z$2488,1210,'Live Data'!$C$18)="","",INDEX(SPOT_Import!$A$1:$Z$2488,1210,'Live Data'!$C$18)),"")</f>
        <v/>
      </c>
      <c r="H1210" s="54" t="str">
        <f>IFERROR(IF(INDEX(SPOT_Import!$A$1:$Z$2488,1210,'Live Data'!$C$19)="","",INDEX(SPOT_Import!$A$1:$Z$2488,1210,'Live Data'!$C$19)),"")</f>
        <v/>
      </c>
      <c r="I1210" s="54" t="str">
        <f>IFERROR(IF(INDEX(SPOT_Import!$A$1:$Z$2488,1210,'Live Data'!$C$20)="","",INDEX(SPOT_Import!$A$1:$Z$2488,1210,'Live Data'!$C$20)),"")</f>
        <v/>
      </c>
      <c r="J1210" s="54" t="str">
        <f>IFERROR(IF(INDEX(SPOT_Import!$A$1:$Z$2488,1210,'Live Data'!$C$21)="","",INDEX(SPOT_Import!$A$1:$Z$2488,1210,'Live Data'!$C$21)),"")</f>
        <v/>
      </c>
      <c r="K1210" s="54" t="str">
        <f>IFERROR(IF(INDEX(SPOT_Import!$A$1:$Z$2488,1210,'Live Data'!$C$22)="","",INDEX(SPOT_Import!$A$1:$Z$2488,1210,'Live Data'!$C$22)),"")</f>
        <v/>
      </c>
      <c r="L1210" s="55" t="str">
        <f t="shared" si="36"/>
        <v/>
      </c>
      <c r="M1210" s="55" t="str">
        <f t="shared" si="37"/>
        <v/>
      </c>
      <c r="N1210" s="55" t="str">
        <f>IF(A1210="","",IFERROR(INDEX('Cluster Map'!$A$4:$A$38,MATCH(M1210,'Cluster Map'!$B$4:$B$38,0)),"Unmapped"))</f>
        <v/>
      </c>
      <c r="O1210" s="55">
        <f>IF(A1210="",0,IF(COUNTIFS($A$2:A1210,A1210,$F$2:F1210,F1210,$L$2:L1210,L1210)=1,1,0))</f>
        <v>0</v>
      </c>
      <c r="P1210" s="55">
        <f>IF(A1210="",0,IF(AND(F1210="C&amp;T",COUNTIFS($A$2:A1210,A1210,$F$2:F1210,"C&amp;T")=1),1,0))</f>
        <v>0</v>
      </c>
    </row>
    <row r="1211" spans="1:16" x14ac:dyDescent="0.35">
      <c r="A1211" s="54" t="str">
        <f>IFERROR(IF(INDEX(SPOT_Import!$A$1:$Z$2488,1211,'Live Data'!$C$12)="","",INDEX(SPOT_Import!$A$1:$Z$2488,1211,'Live Data'!$C$12)),"")</f>
        <v/>
      </c>
      <c r="B1211" s="54" t="str">
        <f>IFERROR(IF(INDEX(SPOT_Import!$A$1:$Z$2488,1211,'Live Data'!$C$13)="","",INDEX(SPOT_Import!$A$1:$Z$2488,1211,'Live Data'!$C$13)),"")</f>
        <v/>
      </c>
      <c r="C1211" s="54" t="str">
        <f>IFERROR(IF(INDEX(SPOT_Import!$A$1:$Z$2488,1211,'Live Data'!$C$14)="","",INDEX(SPOT_Import!$A$1:$Z$2488,1211,'Live Data'!$C$14)),"")</f>
        <v/>
      </c>
      <c r="D1211" s="54" t="str">
        <f>IFERROR(IF(INDEX(SPOT_Import!$A$1:$Z$2488,1211,'Live Data'!$C$15)="","",INDEX(SPOT_Import!$A$1:$Z$2488,1211,'Live Data'!$C$15)),"")</f>
        <v/>
      </c>
      <c r="E1211" s="54" t="str">
        <f>IFERROR(IF(INDEX(SPOT_Import!$A$1:$Z$2488,1211,'Live Data'!$C$16)="","",INDEX(SPOT_Import!$A$1:$Z$2488,1211,'Live Data'!$C$16)),"")</f>
        <v/>
      </c>
      <c r="F1211" s="54" t="str">
        <f>IFERROR(IF(INDEX(SPOT_Import!$A$1:$Z$2488,1211,'Live Data'!$C$17)="","",INDEX(SPOT_Import!$A$1:$Z$2488,1211,'Live Data'!$C$17)),"")</f>
        <v/>
      </c>
      <c r="G1211" s="54" t="str">
        <f>IFERROR(IF(INDEX(SPOT_Import!$A$1:$Z$2488,1211,'Live Data'!$C$18)="","",INDEX(SPOT_Import!$A$1:$Z$2488,1211,'Live Data'!$C$18)),"")</f>
        <v/>
      </c>
      <c r="H1211" s="54" t="str">
        <f>IFERROR(IF(INDEX(SPOT_Import!$A$1:$Z$2488,1211,'Live Data'!$C$19)="","",INDEX(SPOT_Import!$A$1:$Z$2488,1211,'Live Data'!$C$19)),"")</f>
        <v/>
      </c>
      <c r="I1211" s="54" t="str">
        <f>IFERROR(IF(INDEX(SPOT_Import!$A$1:$Z$2488,1211,'Live Data'!$C$20)="","",INDEX(SPOT_Import!$A$1:$Z$2488,1211,'Live Data'!$C$20)),"")</f>
        <v/>
      </c>
      <c r="J1211" s="54" t="str">
        <f>IFERROR(IF(INDEX(SPOT_Import!$A$1:$Z$2488,1211,'Live Data'!$C$21)="","",INDEX(SPOT_Import!$A$1:$Z$2488,1211,'Live Data'!$C$21)),"")</f>
        <v/>
      </c>
      <c r="K1211" s="54" t="str">
        <f>IFERROR(IF(INDEX(SPOT_Import!$A$1:$Z$2488,1211,'Live Data'!$C$22)="","",INDEX(SPOT_Import!$A$1:$Z$2488,1211,'Live Data'!$C$22)),"")</f>
        <v/>
      </c>
      <c r="L1211" s="55" t="str">
        <f t="shared" si="36"/>
        <v/>
      </c>
      <c r="M1211" s="55" t="str">
        <f t="shared" si="37"/>
        <v/>
      </c>
      <c r="N1211" s="55" t="str">
        <f>IF(A1211="","",IFERROR(INDEX('Cluster Map'!$A$4:$A$38,MATCH(M1211,'Cluster Map'!$B$4:$B$38,0)),"Unmapped"))</f>
        <v/>
      </c>
      <c r="O1211" s="55">
        <f>IF(A1211="",0,IF(COUNTIFS($A$2:A1211,A1211,$F$2:F1211,F1211,$L$2:L1211,L1211)=1,1,0))</f>
        <v>0</v>
      </c>
      <c r="P1211" s="55">
        <f>IF(A1211="",0,IF(AND(F1211="C&amp;T",COUNTIFS($A$2:A1211,A1211,$F$2:F1211,"C&amp;T")=1),1,0))</f>
        <v>0</v>
      </c>
    </row>
    <row r="1212" spans="1:16" x14ac:dyDescent="0.35">
      <c r="A1212" s="54" t="str">
        <f>IFERROR(IF(INDEX(SPOT_Import!$A$1:$Z$2488,1212,'Live Data'!$C$12)="","",INDEX(SPOT_Import!$A$1:$Z$2488,1212,'Live Data'!$C$12)),"")</f>
        <v/>
      </c>
      <c r="B1212" s="54" t="str">
        <f>IFERROR(IF(INDEX(SPOT_Import!$A$1:$Z$2488,1212,'Live Data'!$C$13)="","",INDEX(SPOT_Import!$A$1:$Z$2488,1212,'Live Data'!$C$13)),"")</f>
        <v/>
      </c>
      <c r="C1212" s="54" t="str">
        <f>IFERROR(IF(INDEX(SPOT_Import!$A$1:$Z$2488,1212,'Live Data'!$C$14)="","",INDEX(SPOT_Import!$A$1:$Z$2488,1212,'Live Data'!$C$14)),"")</f>
        <v/>
      </c>
      <c r="D1212" s="54" t="str">
        <f>IFERROR(IF(INDEX(SPOT_Import!$A$1:$Z$2488,1212,'Live Data'!$C$15)="","",INDEX(SPOT_Import!$A$1:$Z$2488,1212,'Live Data'!$C$15)),"")</f>
        <v/>
      </c>
      <c r="E1212" s="54" t="str">
        <f>IFERROR(IF(INDEX(SPOT_Import!$A$1:$Z$2488,1212,'Live Data'!$C$16)="","",INDEX(SPOT_Import!$A$1:$Z$2488,1212,'Live Data'!$C$16)),"")</f>
        <v/>
      </c>
      <c r="F1212" s="54" t="str">
        <f>IFERROR(IF(INDEX(SPOT_Import!$A$1:$Z$2488,1212,'Live Data'!$C$17)="","",INDEX(SPOT_Import!$A$1:$Z$2488,1212,'Live Data'!$C$17)),"")</f>
        <v/>
      </c>
      <c r="G1212" s="54" t="str">
        <f>IFERROR(IF(INDEX(SPOT_Import!$A$1:$Z$2488,1212,'Live Data'!$C$18)="","",INDEX(SPOT_Import!$A$1:$Z$2488,1212,'Live Data'!$C$18)),"")</f>
        <v/>
      </c>
      <c r="H1212" s="54" t="str">
        <f>IFERROR(IF(INDEX(SPOT_Import!$A$1:$Z$2488,1212,'Live Data'!$C$19)="","",INDEX(SPOT_Import!$A$1:$Z$2488,1212,'Live Data'!$C$19)),"")</f>
        <v/>
      </c>
      <c r="I1212" s="54" t="str">
        <f>IFERROR(IF(INDEX(SPOT_Import!$A$1:$Z$2488,1212,'Live Data'!$C$20)="","",INDEX(SPOT_Import!$A$1:$Z$2488,1212,'Live Data'!$C$20)),"")</f>
        <v/>
      </c>
      <c r="J1212" s="54" t="str">
        <f>IFERROR(IF(INDEX(SPOT_Import!$A$1:$Z$2488,1212,'Live Data'!$C$21)="","",INDEX(SPOT_Import!$A$1:$Z$2488,1212,'Live Data'!$C$21)),"")</f>
        <v/>
      </c>
      <c r="K1212" s="54" t="str">
        <f>IFERROR(IF(INDEX(SPOT_Import!$A$1:$Z$2488,1212,'Live Data'!$C$22)="","",INDEX(SPOT_Import!$A$1:$Z$2488,1212,'Live Data'!$C$22)),"")</f>
        <v/>
      </c>
      <c r="L1212" s="55" t="str">
        <f t="shared" si="36"/>
        <v/>
      </c>
      <c r="M1212" s="55" t="str">
        <f t="shared" si="37"/>
        <v/>
      </c>
      <c r="N1212" s="55" t="str">
        <f>IF(A1212="","",IFERROR(INDEX('Cluster Map'!$A$4:$A$38,MATCH(M1212,'Cluster Map'!$B$4:$B$38,0)),"Unmapped"))</f>
        <v/>
      </c>
      <c r="O1212" s="55">
        <f>IF(A1212="",0,IF(COUNTIFS($A$2:A1212,A1212,$F$2:F1212,F1212,$L$2:L1212,L1212)=1,1,0))</f>
        <v>0</v>
      </c>
      <c r="P1212" s="55">
        <f>IF(A1212="",0,IF(AND(F1212="C&amp;T",COUNTIFS($A$2:A1212,A1212,$F$2:F1212,"C&amp;T")=1),1,0))</f>
        <v>0</v>
      </c>
    </row>
    <row r="1213" spans="1:16" x14ac:dyDescent="0.35">
      <c r="A1213" s="54" t="str">
        <f>IFERROR(IF(INDEX(SPOT_Import!$A$1:$Z$2488,1213,'Live Data'!$C$12)="","",INDEX(SPOT_Import!$A$1:$Z$2488,1213,'Live Data'!$C$12)),"")</f>
        <v/>
      </c>
      <c r="B1213" s="54" t="str">
        <f>IFERROR(IF(INDEX(SPOT_Import!$A$1:$Z$2488,1213,'Live Data'!$C$13)="","",INDEX(SPOT_Import!$A$1:$Z$2488,1213,'Live Data'!$C$13)),"")</f>
        <v/>
      </c>
      <c r="C1213" s="54" t="str">
        <f>IFERROR(IF(INDEX(SPOT_Import!$A$1:$Z$2488,1213,'Live Data'!$C$14)="","",INDEX(SPOT_Import!$A$1:$Z$2488,1213,'Live Data'!$C$14)),"")</f>
        <v/>
      </c>
      <c r="D1213" s="54" t="str">
        <f>IFERROR(IF(INDEX(SPOT_Import!$A$1:$Z$2488,1213,'Live Data'!$C$15)="","",INDEX(SPOT_Import!$A$1:$Z$2488,1213,'Live Data'!$C$15)),"")</f>
        <v/>
      </c>
      <c r="E1213" s="54" t="str">
        <f>IFERROR(IF(INDEX(SPOT_Import!$A$1:$Z$2488,1213,'Live Data'!$C$16)="","",INDEX(SPOT_Import!$A$1:$Z$2488,1213,'Live Data'!$C$16)),"")</f>
        <v/>
      </c>
      <c r="F1213" s="54" t="str">
        <f>IFERROR(IF(INDEX(SPOT_Import!$A$1:$Z$2488,1213,'Live Data'!$C$17)="","",INDEX(SPOT_Import!$A$1:$Z$2488,1213,'Live Data'!$C$17)),"")</f>
        <v/>
      </c>
      <c r="G1213" s="54" t="str">
        <f>IFERROR(IF(INDEX(SPOT_Import!$A$1:$Z$2488,1213,'Live Data'!$C$18)="","",INDEX(SPOT_Import!$A$1:$Z$2488,1213,'Live Data'!$C$18)),"")</f>
        <v/>
      </c>
      <c r="H1213" s="54" t="str">
        <f>IFERROR(IF(INDEX(SPOT_Import!$A$1:$Z$2488,1213,'Live Data'!$C$19)="","",INDEX(SPOT_Import!$A$1:$Z$2488,1213,'Live Data'!$C$19)),"")</f>
        <v/>
      </c>
      <c r="I1213" s="54" t="str">
        <f>IFERROR(IF(INDEX(SPOT_Import!$A$1:$Z$2488,1213,'Live Data'!$C$20)="","",INDEX(SPOT_Import!$A$1:$Z$2488,1213,'Live Data'!$C$20)),"")</f>
        <v/>
      </c>
      <c r="J1213" s="54" t="str">
        <f>IFERROR(IF(INDEX(SPOT_Import!$A$1:$Z$2488,1213,'Live Data'!$C$21)="","",INDEX(SPOT_Import!$A$1:$Z$2488,1213,'Live Data'!$C$21)),"")</f>
        <v/>
      </c>
      <c r="K1213" s="54" t="str">
        <f>IFERROR(IF(INDEX(SPOT_Import!$A$1:$Z$2488,1213,'Live Data'!$C$22)="","",INDEX(SPOT_Import!$A$1:$Z$2488,1213,'Live Data'!$C$22)),"")</f>
        <v/>
      </c>
      <c r="L1213" s="55" t="str">
        <f t="shared" si="36"/>
        <v/>
      </c>
      <c r="M1213" s="55" t="str">
        <f t="shared" si="37"/>
        <v/>
      </c>
      <c r="N1213" s="55" t="str">
        <f>IF(A1213="","",IFERROR(INDEX('Cluster Map'!$A$4:$A$38,MATCH(M1213,'Cluster Map'!$B$4:$B$38,0)),"Unmapped"))</f>
        <v/>
      </c>
      <c r="O1213" s="55">
        <f>IF(A1213="",0,IF(COUNTIFS($A$2:A1213,A1213,$F$2:F1213,F1213,$L$2:L1213,L1213)=1,1,0))</f>
        <v>0</v>
      </c>
      <c r="P1213" s="55">
        <f>IF(A1213="",0,IF(AND(F1213="C&amp;T",COUNTIFS($A$2:A1213,A1213,$F$2:F1213,"C&amp;T")=1),1,0))</f>
        <v>0</v>
      </c>
    </row>
    <row r="1214" spans="1:16" x14ac:dyDescent="0.35">
      <c r="A1214" s="54" t="str">
        <f>IFERROR(IF(INDEX(SPOT_Import!$A$1:$Z$2488,1214,'Live Data'!$C$12)="","",INDEX(SPOT_Import!$A$1:$Z$2488,1214,'Live Data'!$C$12)),"")</f>
        <v/>
      </c>
      <c r="B1214" s="54" t="str">
        <f>IFERROR(IF(INDEX(SPOT_Import!$A$1:$Z$2488,1214,'Live Data'!$C$13)="","",INDEX(SPOT_Import!$A$1:$Z$2488,1214,'Live Data'!$C$13)),"")</f>
        <v/>
      </c>
      <c r="C1214" s="54" t="str">
        <f>IFERROR(IF(INDEX(SPOT_Import!$A$1:$Z$2488,1214,'Live Data'!$C$14)="","",INDEX(SPOT_Import!$A$1:$Z$2488,1214,'Live Data'!$C$14)),"")</f>
        <v/>
      </c>
      <c r="D1214" s="54" t="str">
        <f>IFERROR(IF(INDEX(SPOT_Import!$A$1:$Z$2488,1214,'Live Data'!$C$15)="","",INDEX(SPOT_Import!$A$1:$Z$2488,1214,'Live Data'!$C$15)),"")</f>
        <v/>
      </c>
      <c r="E1214" s="54" t="str">
        <f>IFERROR(IF(INDEX(SPOT_Import!$A$1:$Z$2488,1214,'Live Data'!$C$16)="","",INDEX(SPOT_Import!$A$1:$Z$2488,1214,'Live Data'!$C$16)),"")</f>
        <v/>
      </c>
      <c r="F1214" s="54" t="str">
        <f>IFERROR(IF(INDEX(SPOT_Import!$A$1:$Z$2488,1214,'Live Data'!$C$17)="","",INDEX(SPOT_Import!$A$1:$Z$2488,1214,'Live Data'!$C$17)),"")</f>
        <v/>
      </c>
      <c r="G1214" s="54" t="str">
        <f>IFERROR(IF(INDEX(SPOT_Import!$A$1:$Z$2488,1214,'Live Data'!$C$18)="","",INDEX(SPOT_Import!$A$1:$Z$2488,1214,'Live Data'!$C$18)),"")</f>
        <v/>
      </c>
      <c r="H1214" s="54" t="str">
        <f>IFERROR(IF(INDEX(SPOT_Import!$A$1:$Z$2488,1214,'Live Data'!$C$19)="","",INDEX(SPOT_Import!$A$1:$Z$2488,1214,'Live Data'!$C$19)),"")</f>
        <v/>
      </c>
      <c r="I1214" s="54" t="str">
        <f>IFERROR(IF(INDEX(SPOT_Import!$A$1:$Z$2488,1214,'Live Data'!$C$20)="","",INDEX(SPOT_Import!$A$1:$Z$2488,1214,'Live Data'!$C$20)),"")</f>
        <v/>
      </c>
      <c r="J1214" s="54" t="str">
        <f>IFERROR(IF(INDEX(SPOT_Import!$A$1:$Z$2488,1214,'Live Data'!$C$21)="","",INDEX(SPOT_Import!$A$1:$Z$2488,1214,'Live Data'!$C$21)),"")</f>
        <v/>
      </c>
      <c r="K1214" s="54" t="str">
        <f>IFERROR(IF(INDEX(SPOT_Import!$A$1:$Z$2488,1214,'Live Data'!$C$22)="","",INDEX(SPOT_Import!$A$1:$Z$2488,1214,'Live Data'!$C$22)),"")</f>
        <v/>
      </c>
      <c r="L1214" s="55" t="str">
        <f t="shared" si="36"/>
        <v/>
      </c>
      <c r="M1214" s="55" t="str">
        <f t="shared" si="37"/>
        <v/>
      </c>
      <c r="N1214" s="55" t="str">
        <f>IF(A1214="","",IFERROR(INDEX('Cluster Map'!$A$4:$A$38,MATCH(M1214,'Cluster Map'!$B$4:$B$38,0)),"Unmapped"))</f>
        <v/>
      </c>
      <c r="O1214" s="55">
        <f>IF(A1214="",0,IF(COUNTIFS($A$2:A1214,A1214,$F$2:F1214,F1214,$L$2:L1214,L1214)=1,1,0))</f>
        <v>0</v>
      </c>
      <c r="P1214" s="55">
        <f>IF(A1214="",0,IF(AND(F1214="C&amp;T",COUNTIFS($A$2:A1214,A1214,$F$2:F1214,"C&amp;T")=1),1,0))</f>
        <v>0</v>
      </c>
    </row>
    <row r="1215" spans="1:16" x14ac:dyDescent="0.35">
      <c r="A1215" s="54" t="str">
        <f>IFERROR(IF(INDEX(SPOT_Import!$A$1:$Z$2488,1215,'Live Data'!$C$12)="","",INDEX(SPOT_Import!$A$1:$Z$2488,1215,'Live Data'!$C$12)),"")</f>
        <v/>
      </c>
      <c r="B1215" s="54" t="str">
        <f>IFERROR(IF(INDEX(SPOT_Import!$A$1:$Z$2488,1215,'Live Data'!$C$13)="","",INDEX(SPOT_Import!$A$1:$Z$2488,1215,'Live Data'!$C$13)),"")</f>
        <v/>
      </c>
      <c r="C1215" s="54" t="str">
        <f>IFERROR(IF(INDEX(SPOT_Import!$A$1:$Z$2488,1215,'Live Data'!$C$14)="","",INDEX(SPOT_Import!$A$1:$Z$2488,1215,'Live Data'!$C$14)),"")</f>
        <v/>
      </c>
      <c r="D1215" s="54" t="str">
        <f>IFERROR(IF(INDEX(SPOT_Import!$A$1:$Z$2488,1215,'Live Data'!$C$15)="","",INDEX(SPOT_Import!$A$1:$Z$2488,1215,'Live Data'!$C$15)),"")</f>
        <v/>
      </c>
      <c r="E1215" s="54" t="str">
        <f>IFERROR(IF(INDEX(SPOT_Import!$A$1:$Z$2488,1215,'Live Data'!$C$16)="","",INDEX(SPOT_Import!$A$1:$Z$2488,1215,'Live Data'!$C$16)),"")</f>
        <v/>
      </c>
      <c r="F1215" s="54" t="str">
        <f>IFERROR(IF(INDEX(SPOT_Import!$A$1:$Z$2488,1215,'Live Data'!$C$17)="","",INDEX(SPOT_Import!$A$1:$Z$2488,1215,'Live Data'!$C$17)),"")</f>
        <v/>
      </c>
      <c r="G1215" s="54" t="str">
        <f>IFERROR(IF(INDEX(SPOT_Import!$A$1:$Z$2488,1215,'Live Data'!$C$18)="","",INDEX(SPOT_Import!$A$1:$Z$2488,1215,'Live Data'!$C$18)),"")</f>
        <v/>
      </c>
      <c r="H1215" s="54" t="str">
        <f>IFERROR(IF(INDEX(SPOT_Import!$A$1:$Z$2488,1215,'Live Data'!$C$19)="","",INDEX(SPOT_Import!$A$1:$Z$2488,1215,'Live Data'!$C$19)),"")</f>
        <v/>
      </c>
      <c r="I1215" s="54" t="str">
        <f>IFERROR(IF(INDEX(SPOT_Import!$A$1:$Z$2488,1215,'Live Data'!$C$20)="","",INDEX(SPOT_Import!$A$1:$Z$2488,1215,'Live Data'!$C$20)),"")</f>
        <v/>
      </c>
      <c r="J1215" s="54" t="str">
        <f>IFERROR(IF(INDEX(SPOT_Import!$A$1:$Z$2488,1215,'Live Data'!$C$21)="","",INDEX(SPOT_Import!$A$1:$Z$2488,1215,'Live Data'!$C$21)),"")</f>
        <v/>
      </c>
      <c r="K1215" s="54" t="str">
        <f>IFERROR(IF(INDEX(SPOT_Import!$A$1:$Z$2488,1215,'Live Data'!$C$22)="","",INDEX(SPOT_Import!$A$1:$Z$2488,1215,'Live Data'!$C$22)),"")</f>
        <v/>
      </c>
      <c r="L1215" s="55" t="str">
        <f t="shared" si="36"/>
        <v/>
      </c>
      <c r="M1215" s="55" t="str">
        <f t="shared" si="37"/>
        <v/>
      </c>
      <c r="N1215" s="55" t="str">
        <f>IF(A1215="","",IFERROR(INDEX('Cluster Map'!$A$4:$A$38,MATCH(M1215,'Cluster Map'!$B$4:$B$38,0)),"Unmapped"))</f>
        <v/>
      </c>
      <c r="O1215" s="55">
        <f>IF(A1215="",0,IF(COUNTIFS($A$2:A1215,A1215,$F$2:F1215,F1215,$L$2:L1215,L1215)=1,1,0))</f>
        <v>0</v>
      </c>
      <c r="P1215" s="55">
        <f>IF(A1215="",0,IF(AND(F1215="C&amp;T",COUNTIFS($A$2:A1215,A1215,$F$2:F1215,"C&amp;T")=1),1,0))</f>
        <v>0</v>
      </c>
    </row>
    <row r="1216" spans="1:16" x14ac:dyDescent="0.35">
      <c r="A1216" s="54" t="str">
        <f>IFERROR(IF(INDEX(SPOT_Import!$A$1:$Z$2488,1216,'Live Data'!$C$12)="","",INDEX(SPOT_Import!$A$1:$Z$2488,1216,'Live Data'!$C$12)),"")</f>
        <v/>
      </c>
      <c r="B1216" s="54" t="str">
        <f>IFERROR(IF(INDEX(SPOT_Import!$A$1:$Z$2488,1216,'Live Data'!$C$13)="","",INDEX(SPOT_Import!$A$1:$Z$2488,1216,'Live Data'!$C$13)),"")</f>
        <v/>
      </c>
      <c r="C1216" s="54" t="str">
        <f>IFERROR(IF(INDEX(SPOT_Import!$A$1:$Z$2488,1216,'Live Data'!$C$14)="","",INDEX(SPOT_Import!$A$1:$Z$2488,1216,'Live Data'!$C$14)),"")</f>
        <v/>
      </c>
      <c r="D1216" s="54" t="str">
        <f>IFERROR(IF(INDEX(SPOT_Import!$A$1:$Z$2488,1216,'Live Data'!$C$15)="","",INDEX(SPOT_Import!$A$1:$Z$2488,1216,'Live Data'!$C$15)),"")</f>
        <v/>
      </c>
      <c r="E1216" s="54" t="str">
        <f>IFERROR(IF(INDEX(SPOT_Import!$A$1:$Z$2488,1216,'Live Data'!$C$16)="","",INDEX(SPOT_Import!$A$1:$Z$2488,1216,'Live Data'!$C$16)),"")</f>
        <v/>
      </c>
      <c r="F1216" s="54" t="str">
        <f>IFERROR(IF(INDEX(SPOT_Import!$A$1:$Z$2488,1216,'Live Data'!$C$17)="","",INDEX(SPOT_Import!$A$1:$Z$2488,1216,'Live Data'!$C$17)),"")</f>
        <v/>
      </c>
      <c r="G1216" s="54" t="str">
        <f>IFERROR(IF(INDEX(SPOT_Import!$A$1:$Z$2488,1216,'Live Data'!$C$18)="","",INDEX(SPOT_Import!$A$1:$Z$2488,1216,'Live Data'!$C$18)),"")</f>
        <v/>
      </c>
      <c r="H1216" s="54" t="str">
        <f>IFERROR(IF(INDEX(SPOT_Import!$A$1:$Z$2488,1216,'Live Data'!$C$19)="","",INDEX(SPOT_Import!$A$1:$Z$2488,1216,'Live Data'!$C$19)),"")</f>
        <v/>
      </c>
      <c r="I1216" s="54" t="str">
        <f>IFERROR(IF(INDEX(SPOT_Import!$A$1:$Z$2488,1216,'Live Data'!$C$20)="","",INDEX(SPOT_Import!$A$1:$Z$2488,1216,'Live Data'!$C$20)),"")</f>
        <v/>
      </c>
      <c r="J1216" s="54" t="str">
        <f>IFERROR(IF(INDEX(SPOT_Import!$A$1:$Z$2488,1216,'Live Data'!$C$21)="","",INDEX(SPOT_Import!$A$1:$Z$2488,1216,'Live Data'!$C$21)),"")</f>
        <v/>
      </c>
      <c r="K1216" s="54" t="str">
        <f>IFERROR(IF(INDEX(SPOT_Import!$A$1:$Z$2488,1216,'Live Data'!$C$22)="","",INDEX(SPOT_Import!$A$1:$Z$2488,1216,'Live Data'!$C$22)),"")</f>
        <v/>
      </c>
      <c r="L1216" s="55" t="str">
        <f t="shared" si="36"/>
        <v/>
      </c>
      <c r="M1216" s="55" t="str">
        <f t="shared" si="37"/>
        <v/>
      </c>
      <c r="N1216" s="55" t="str">
        <f>IF(A1216="","",IFERROR(INDEX('Cluster Map'!$A$4:$A$38,MATCH(M1216,'Cluster Map'!$B$4:$B$38,0)),"Unmapped"))</f>
        <v/>
      </c>
      <c r="O1216" s="55">
        <f>IF(A1216="",0,IF(COUNTIFS($A$2:A1216,A1216,$F$2:F1216,F1216,$L$2:L1216,L1216)=1,1,0))</f>
        <v>0</v>
      </c>
      <c r="P1216" s="55">
        <f>IF(A1216="",0,IF(AND(F1216="C&amp;T",COUNTIFS($A$2:A1216,A1216,$F$2:F1216,"C&amp;T")=1),1,0))</f>
        <v>0</v>
      </c>
    </row>
    <row r="1217" spans="1:16" x14ac:dyDescent="0.35">
      <c r="A1217" s="54" t="str">
        <f>IFERROR(IF(INDEX(SPOT_Import!$A$1:$Z$2488,1217,'Live Data'!$C$12)="","",INDEX(SPOT_Import!$A$1:$Z$2488,1217,'Live Data'!$C$12)),"")</f>
        <v/>
      </c>
      <c r="B1217" s="54" t="str">
        <f>IFERROR(IF(INDEX(SPOT_Import!$A$1:$Z$2488,1217,'Live Data'!$C$13)="","",INDEX(SPOT_Import!$A$1:$Z$2488,1217,'Live Data'!$C$13)),"")</f>
        <v/>
      </c>
      <c r="C1217" s="54" t="str">
        <f>IFERROR(IF(INDEX(SPOT_Import!$A$1:$Z$2488,1217,'Live Data'!$C$14)="","",INDEX(SPOT_Import!$A$1:$Z$2488,1217,'Live Data'!$C$14)),"")</f>
        <v/>
      </c>
      <c r="D1217" s="54" t="str">
        <f>IFERROR(IF(INDEX(SPOT_Import!$A$1:$Z$2488,1217,'Live Data'!$C$15)="","",INDEX(SPOT_Import!$A$1:$Z$2488,1217,'Live Data'!$C$15)),"")</f>
        <v/>
      </c>
      <c r="E1217" s="54" t="str">
        <f>IFERROR(IF(INDEX(SPOT_Import!$A$1:$Z$2488,1217,'Live Data'!$C$16)="","",INDEX(SPOT_Import!$A$1:$Z$2488,1217,'Live Data'!$C$16)),"")</f>
        <v/>
      </c>
      <c r="F1217" s="54" t="str">
        <f>IFERROR(IF(INDEX(SPOT_Import!$A$1:$Z$2488,1217,'Live Data'!$C$17)="","",INDEX(SPOT_Import!$A$1:$Z$2488,1217,'Live Data'!$C$17)),"")</f>
        <v/>
      </c>
      <c r="G1217" s="54" t="str">
        <f>IFERROR(IF(INDEX(SPOT_Import!$A$1:$Z$2488,1217,'Live Data'!$C$18)="","",INDEX(SPOT_Import!$A$1:$Z$2488,1217,'Live Data'!$C$18)),"")</f>
        <v/>
      </c>
      <c r="H1217" s="54" t="str">
        <f>IFERROR(IF(INDEX(SPOT_Import!$A$1:$Z$2488,1217,'Live Data'!$C$19)="","",INDEX(SPOT_Import!$A$1:$Z$2488,1217,'Live Data'!$C$19)),"")</f>
        <v/>
      </c>
      <c r="I1217" s="54" t="str">
        <f>IFERROR(IF(INDEX(SPOT_Import!$A$1:$Z$2488,1217,'Live Data'!$C$20)="","",INDEX(SPOT_Import!$A$1:$Z$2488,1217,'Live Data'!$C$20)),"")</f>
        <v/>
      </c>
      <c r="J1217" s="54" t="str">
        <f>IFERROR(IF(INDEX(SPOT_Import!$A$1:$Z$2488,1217,'Live Data'!$C$21)="","",INDEX(SPOT_Import!$A$1:$Z$2488,1217,'Live Data'!$C$21)),"")</f>
        <v/>
      </c>
      <c r="K1217" s="54" t="str">
        <f>IFERROR(IF(INDEX(SPOT_Import!$A$1:$Z$2488,1217,'Live Data'!$C$22)="","",INDEX(SPOT_Import!$A$1:$Z$2488,1217,'Live Data'!$C$22)),"")</f>
        <v/>
      </c>
      <c r="L1217" s="55" t="str">
        <f t="shared" si="36"/>
        <v/>
      </c>
      <c r="M1217" s="55" t="str">
        <f t="shared" si="37"/>
        <v/>
      </c>
      <c r="N1217" s="55" t="str">
        <f>IF(A1217="","",IFERROR(INDEX('Cluster Map'!$A$4:$A$38,MATCH(M1217,'Cluster Map'!$B$4:$B$38,0)),"Unmapped"))</f>
        <v/>
      </c>
      <c r="O1217" s="55">
        <f>IF(A1217="",0,IF(COUNTIFS($A$2:A1217,A1217,$F$2:F1217,F1217,$L$2:L1217,L1217)=1,1,0))</f>
        <v>0</v>
      </c>
      <c r="P1217" s="55">
        <f>IF(A1217="",0,IF(AND(F1217="C&amp;T",COUNTIFS($A$2:A1217,A1217,$F$2:F1217,"C&amp;T")=1),1,0))</f>
        <v>0</v>
      </c>
    </row>
    <row r="1218" spans="1:16" x14ac:dyDescent="0.35">
      <c r="A1218" s="54" t="str">
        <f>IFERROR(IF(INDEX(SPOT_Import!$A$1:$Z$2488,1218,'Live Data'!$C$12)="","",INDEX(SPOT_Import!$A$1:$Z$2488,1218,'Live Data'!$C$12)),"")</f>
        <v/>
      </c>
      <c r="B1218" s="54" t="str">
        <f>IFERROR(IF(INDEX(SPOT_Import!$A$1:$Z$2488,1218,'Live Data'!$C$13)="","",INDEX(SPOT_Import!$A$1:$Z$2488,1218,'Live Data'!$C$13)),"")</f>
        <v/>
      </c>
      <c r="C1218" s="54" t="str">
        <f>IFERROR(IF(INDEX(SPOT_Import!$A$1:$Z$2488,1218,'Live Data'!$C$14)="","",INDEX(SPOT_Import!$A$1:$Z$2488,1218,'Live Data'!$C$14)),"")</f>
        <v/>
      </c>
      <c r="D1218" s="54" t="str">
        <f>IFERROR(IF(INDEX(SPOT_Import!$A$1:$Z$2488,1218,'Live Data'!$C$15)="","",INDEX(SPOT_Import!$A$1:$Z$2488,1218,'Live Data'!$C$15)),"")</f>
        <v/>
      </c>
      <c r="E1218" s="54" t="str">
        <f>IFERROR(IF(INDEX(SPOT_Import!$A$1:$Z$2488,1218,'Live Data'!$C$16)="","",INDEX(SPOT_Import!$A$1:$Z$2488,1218,'Live Data'!$C$16)),"")</f>
        <v/>
      </c>
      <c r="F1218" s="54" t="str">
        <f>IFERROR(IF(INDEX(SPOT_Import!$A$1:$Z$2488,1218,'Live Data'!$C$17)="","",INDEX(SPOT_Import!$A$1:$Z$2488,1218,'Live Data'!$C$17)),"")</f>
        <v/>
      </c>
      <c r="G1218" s="54" t="str">
        <f>IFERROR(IF(INDEX(SPOT_Import!$A$1:$Z$2488,1218,'Live Data'!$C$18)="","",INDEX(SPOT_Import!$A$1:$Z$2488,1218,'Live Data'!$C$18)),"")</f>
        <v/>
      </c>
      <c r="H1218" s="54" t="str">
        <f>IFERROR(IF(INDEX(SPOT_Import!$A$1:$Z$2488,1218,'Live Data'!$C$19)="","",INDEX(SPOT_Import!$A$1:$Z$2488,1218,'Live Data'!$C$19)),"")</f>
        <v/>
      </c>
      <c r="I1218" s="54" t="str">
        <f>IFERROR(IF(INDEX(SPOT_Import!$A$1:$Z$2488,1218,'Live Data'!$C$20)="","",INDEX(SPOT_Import!$A$1:$Z$2488,1218,'Live Data'!$C$20)),"")</f>
        <v/>
      </c>
      <c r="J1218" s="54" t="str">
        <f>IFERROR(IF(INDEX(SPOT_Import!$A$1:$Z$2488,1218,'Live Data'!$C$21)="","",INDEX(SPOT_Import!$A$1:$Z$2488,1218,'Live Data'!$C$21)),"")</f>
        <v/>
      </c>
      <c r="K1218" s="54" t="str">
        <f>IFERROR(IF(INDEX(SPOT_Import!$A$1:$Z$2488,1218,'Live Data'!$C$22)="","",INDEX(SPOT_Import!$A$1:$Z$2488,1218,'Live Data'!$C$22)),"")</f>
        <v/>
      </c>
      <c r="L1218" s="55" t="str">
        <f t="shared" ref="L1218:L1281" si="38">IF(A1218="","",IF(ISNUMBER(K1218),TEXT(K1218,"yyyy-mm"),LEFT(K1218,7)))</f>
        <v/>
      </c>
      <c r="M1218" s="55" t="str">
        <f t="shared" ref="M1218:M1281" si="39">IF(A1218="","",UPPER(TRIM(SUBSTITUTE(C1218," - ","-"))))</f>
        <v/>
      </c>
      <c r="N1218" s="55" t="str">
        <f>IF(A1218="","",IFERROR(INDEX('Cluster Map'!$A$4:$A$38,MATCH(M1218,'Cluster Map'!$B$4:$B$38,0)),"Unmapped"))</f>
        <v/>
      </c>
      <c r="O1218" s="55">
        <f>IF(A1218="",0,IF(COUNTIFS($A$2:A1218,A1218,$F$2:F1218,F1218,$L$2:L1218,L1218)=1,1,0))</f>
        <v>0</v>
      </c>
      <c r="P1218" s="55">
        <f>IF(A1218="",0,IF(AND(F1218="C&amp;T",COUNTIFS($A$2:A1218,A1218,$F$2:F1218,"C&amp;T")=1),1,0))</f>
        <v>0</v>
      </c>
    </row>
    <row r="1219" spans="1:16" x14ac:dyDescent="0.35">
      <c r="A1219" s="54" t="str">
        <f>IFERROR(IF(INDEX(SPOT_Import!$A$1:$Z$2488,1219,'Live Data'!$C$12)="","",INDEX(SPOT_Import!$A$1:$Z$2488,1219,'Live Data'!$C$12)),"")</f>
        <v/>
      </c>
      <c r="B1219" s="54" t="str">
        <f>IFERROR(IF(INDEX(SPOT_Import!$A$1:$Z$2488,1219,'Live Data'!$C$13)="","",INDEX(SPOT_Import!$A$1:$Z$2488,1219,'Live Data'!$C$13)),"")</f>
        <v/>
      </c>
      <c r="C1219" s="54" t="str">
        <f>IFERROR(IF(INDEX(SPOT_Import!$A$1:$Z$2488,1219,'Live Data'!$C$14)="","",INDEX(SPOT_Import!$A$1:$Z$2488,1219,'Live Data'!$C$14)),"")</f>
        <v/>
      </c>
      <c r="D1219" s="54" t="str">
        <f>IFERROR(IF(INDEX(SPOT_Import!$A$1:$Z$2488,1219,'Live Data'!$C$15)="","",INDEX(SPOT_Import!$A$1:$Z$2488,1219,'Live Data'!$C$15)),"")</f>
        <v/>
      </c>
      <c r="E1219" s="54" t="str">
        <f>IFERROR(IF(INDEX(SPOT_Import!$A$1:$Z$2488,1219,'Live Data'!$C$16)="","",INDEX(SPOT_Import!$A$1:$Z$2488,1219,'Live Data'!$C$16)),"")</f>
        <v/>
      </c>
      <c r="F1219" s="54" t="str">
        <f>IFERROR(IF(INDEX(SPOT_Import!$A$1:$Z$2488,1219,'Live Data'!$C$17)="","",INDEX(SPOT_Import!$A$1:$Z$2488,1219,'Live Data'!$C$17)),"")</f>
        <v/>
      </c>
      <c r="G1219" s="54" t="str">
        <f>IFERROR(IF(INDEX(SPOT_Import!$A$1:$Z$2488,1219,'Live Data'!$C$18)="","",INDEX(SPOT_Import!$A$1:$Z$2488,1219,'Live Data'!$C$18)),"")</f>
        <v/>
      </c>
      <c r="H1219" s="54" t="str">
        <f>IFERROR(IF(INDEX(SPOT_Import!$A$1:$Z$2488,1219,'Live Data'!$C$19)="","",INDEX(SPOT_Import!$A$1:$Z$2488,1219,'Live Data'!$C$19)),"")</f>
        <v/>
      </c>
      <c r="I1219" s="54" t="str">
        <f>IFERROR(IF(INDEX(SPOT_Import!$A$1:$Z$2488,1219,'Live Data'!$C$20)="","",INDEX(SPOT_Import!$A$1:$Z$2488,1219,'Live Data'!$C$20)),"")</f>
        <v/>
      </c>
      <c r="J1219" s="54" t="str">
        <f>IFERROR(IF(INDEX(SPOT_Import!$A$1:$Z$2488,1219,'Live Data'!$C$21)="","",INDEX(SPOT_Import!$A$1:$Z$2488,1219,'Live Data'!$C$21)),"")</f>
        <v/>
      </c>
      <c r="K1219" s="54" t="str">
        <f>IFERROR(IF(INDEX(SPOT_Import!$A$1:$Z$2488,1219,'Live Data'!$C$22)="","",INDEX(SPOT_Import!$A$1:$Z$2488,1219,'Live Data'!$C$22)),"")</f>
        <v/>
      </c>
      <c r="L1219" s="55" t="str">
        <f t="shared" si="38"/>
        <v/>
      </c>
      <c r="M1219" s="55" t="str">
        <f t="shared" si="39"/>
        <v/>
      </c>
      <c r="N1219" s="55" t="str">
        <f>IF(A1219="","",IFERROR(INDEX('Cluster Map'!$A$4:$A$38,MATCH(M1219,'Cluster Map'!$B$4:$B$38,0)),"Unmapped"))</f>
        <v/>
      </c>
      <c r="O1219" s="55">
        <f>IF(A1219="",0,IF(COUNTIFS($A$2:A1219,A1219,$F$2:F1219,F1219,$L$2:L1219,L1219)=1,1,0))</f>
        <v>0</v>
      </c>
      <c r="P1219" s="55">
        <f>IF(A1219="",0,IF(AND(F1219="C&amp;T",COUNTIFS($A$2:A1219,A1219,$F$2:F1219,"C&amp;T")=1),1,0))</f>
        <v>0</v>
      </c>
    </row>
    <row r="1220" spans="1:16" x14ac:dyDescent="0.35">
      <c r="A1220" s="54" t="str">
        <f>IFERROR(IF(INDEX(SPOT_Import!$A$1:$Z$2488,1220,'Live Data'!$C$12)="","",INDEX(SPOT_Import!$A$1:$Z$2488,1220,'Live Data'!$C$12)),"")</f>
        <v/>
      </c>
      <c r="B1220" s="54" t="str">
        <f>IFERROR(IF(INDEX(SPOT_Import!$A$1:$Z$2488,1220,'Live Data'!$C$13)="","",INDEX(SPOT_Import!$A$1:$Z$2488,1220,'Live Data'!$C$13)),"")</f>
        <v/>
      </c>
      <c r="C1220" s="54" t="str">
        <f>IFERROR(IF(INDEX(SPOT_Import!$A$1:$Z$2488,1220,'Live Data'!$C$14)="","",INDEX(SPOT_Import!$A$1:$Z$2488,1220,'Live Data'!$C$14)),"")</f>
        <v/>
      </c>
      <c r="D1220" s="54" t="str">
        <f>IFERROR(IF(INDEX(SPOT_Import!$A$1:$Z$2488,1220,'Live Data'!$C$15)="","",INDEX(SPOT_Import!$A$1:$Z$2488,1220,'Live Data'!$C$15)),"")</f>
        <v/>
      </c>
      <c r="E1220" s="54" t="str">
        <f>IFERROR(IF(INDEX(SPOT_Import!$A$1:$Z$2488,1220,'Live Data'!$C$16)="","",INDEX(SPOT_Import!$A$1:$Z$2488,1220,'Live Data'!$C$16)),"")</f>
        <v/>
      </c>
      <c r="F1220" s="54" t="str">
        <f>IFERROR(IF(INDEX(SPOT_Import!$A$1:$Z$2488,1220,'Live Data'!$C$17)="","",INDEX(SPOT_Import!$A$1:$Z$2488,1220,'Live Data'!$C$17)),"")</f>
        <v/>
      </c>
      <c r="G1220" s="54" t="str">
        <f>IFERROR(IF(INDEX(SPOT_Import!$A$1:$Z$2488,1220,'Live Data'!$C$18)="","",INDEX(SPOT_Import!$A$1:$Z$2488,1220,'Live Data'!$C$18)),"")</f>
        <v/>
      </c>
      <c r="H1220" s="54" t="str">
        <f>IFERROR(IF(INDEX(SPOT_Import!$A$1:$Z$2488,1220,'Live Data'!$C$19)="","",INDEX(SPOT_Import!$A$1:$Z$2488,1220,'Live Data'!$C$19)),"")</f>
        <v/>
      </c>
      <c r="I1220" s="54" t="str">
        <f>IFERROR(IF(INDEX(SPOT_Import!$A$1:$Z$2488,1220,'Live Data'!$C$20)="","",INDEX(SPOT_Import!$A$1:$Z$2488,1220,'Live Data'!$C$20)),"")</f>
        <v/>
      </c>
      <c r="J1220" s="54" t="str">
        <f>IFERROR(IF(INDEX(SPOT_Import!$A$1:$Z$2488,1220,'Live Data'!$C$21)="","",INDEX(SPOT_Import!$A$1:$Z$2488,1220,'Live Data'!$C$21)),"")</f>
        <v/>
      </c>
      <c r="K1220" s="54" t="str">
        <f>IFERROR(IF(INDEX(SPOT_Import!$A$1:$Z$2488,1220,'Live Data'!$C$22)="","",INDEX(SPOT_Import!$A$1:$Z$2488,1220,'Live Data'!$C$22)),"")</f>
        <v/>
      </c>
      <c r="L1220" s="55" t="str">
        <f t="shared" si="38"/>
        <v/>
      </c>
      <c r="M1220" s="55" t="str">
        <f t="shared" si="39"/>
        <v/>
      </c>
      <c r="N1220" s="55" t="str">
        <f>IF(A1220="","",IFERROR(INDEX('Cluster Map'!$A$4:$A$38,MATCH(M1220,'Cluster Map'!$B$4:$B$38,0)),"Unmapped"))</f>
        <v/>
      </c>
      <c r="O1220" s="55">
        <f>IF(A1220="",0,IF(COUNTIFS($A$2:A1220,A1220,$F$2:F1220,F1220,$L$2:L1220,L1220)=1,1,0))</f>
        <v>0</v>
      </c>
      <c r="P1220" s="55">
        <f>IF(A1220="",0,IF(AND(F1220="C&amp;T",COUNTIFS($A$2:A1220,A1220,$F$2:F1220,"C&amp;T")=1),1,0))</f>
        <v>0</v>
      </c>
    </row>
    <row r="1221" spans="1:16" x14ac:dyDescent="0.35">
      <c r="A1221" s="54" t="str">
        <f>IFERROR(IF(INDEX(SPOT_Import!$A$1:$Z$2488,1221,'Live Data'!$C$12)="","",INDEX(SPOT_Import!$A$1:$Z$2488,1221,'Live Data'!$C$12)),"")</f>
        <v/>
      </c>
      <c r="B1221" s="54" t="str">
        <f>IFERROR(IF(INDEX(SPOT_Import!$A$1:$Z$2488,1221,'Live Data'!$C$13)="","",INDEX(SPOT_Import!$A$1:$Z$2488,1221,'Live Data'!$C$13)),"")</f>
        <v/>
      </c>
      <c r="C1221" s="54" t="str">
        <f>IFERROR(IF(INDEX(SPOT_Import!$A$1:$Z$2488,1221,'Live Data'!$C$14)="","",INDEX(SPOT_Import!$A$1:$Z$2488,1221,'Live Data'!$C$14)),"")</f>
        <v/>
      </c>
      <c r="D1221" s="54" t="str">
        <f>IFERROR(IF(INDEX(SPOT_Import!$A$1:$Z$2488,1221,'Live Data'!$C$15)="","",INDEX(SPOT_Import!$A$1:$Z$2488,1221,'Live Data'!$C$15)),"")</f>
        <v/>
      </c>
      <c r="E1221" s="54" t="str">
        <f>IFERROR(IF(INDEX(SPOT_Import!$A$1:$Z$2488,1221,'Live Data'!$C$16)="","",INDEX(SPOT_Import!$A$1:$Z$2488,1221,'Live Data'!$C$16)),"")</f>
        <v/>
      </c>
      <c r="F1221" s="54" t="str">
        <f>IFERROR(IF(INDEX(SPOT_Import!$A$1:$Z$2488,1221,'Live Data'!$C$17)="","",INDEX(SPOT_Import!$A$1:$Z$2488,1221,'Live Data'!$C$17)),"")</f>
        <v/>
      </c>
      <c r="G1221" s="54" t="str">
        <f>IFERROR(IF(INDEX(SPOT_Import!$A$1:$Z$2488,1221,'Live Data'!$C$18)="","",INDEX(SPOT_Import!$A$1:$Z$2488,1221,'Live Data'!$C$18)),"")</f>
        <v/>
      </c>
      <c r="H1221" s="54" t="str">
        <f>IFERROR(IF(INDEX(SPOT_Import!$A$1:$Z$2488,1221,'Live Data'!$C$19)="","",INDEX(SPOT_Import!$A$1:$Z$2488,1221,'Live Data'!$C$19)),"")</f>
        <v/>
      </c>
      <c r="I1221" s="54" t="str">
        <f>IFERROR(IF(INDEX(SPOT_Import!$A$1:$Z$2488,1221,'Live Data'!$C$20)="","",INDEX(SPOT_Import!$A$1:$Z$2488,1221,'Live Data'!$C$20)),"")</f>
        <v/>
      </c>
      <c r="J1221" s="54" t="str">
        <f>IFERROR(IF(INDEX(SPOT_Import!$A$1:$Z$2488,1221,'Live Data'!$C$21)="","",INDEX(SPOT_Import!$A$1:$Z$2488,1221,'Live Data'!$C$21)),"")</f>
        <v/>
      </c>
      <c r="K1221" s="54" t="str">
        <f>IFERROR(IF(INDEX(SPOT_Import!$A$1:$Z$2488,1221,'Live Data'!$C$22)="","",INDEX(SPOT_Import!$A$1:$Z$2488,1221,'Live Data'!$C$22)),"")</f>
        <v/>
      </c>
      <c r="L1221" s="55" t="str">
        <f t="shared" si="38"/>
        <v/>
      </c>
      <c r="M1221" s="55" t="str">
        <f t="shared" si="39"/>
        <v/>
      </c>
      <c r="N1221" s="55" t="str">
        <f>IF(A1221="","",IFERROR(INDEX('Cluster Map'!$A$4:$A$38,MATCH(M1221,'Cluster Map'!$B$4:$B$38,0)),"Unmapped"))</f>
        <v/>
      </c>
      <c r="O1221" s="55">
        <f>IF(A1221="",0,IF(COUNTIFS($A$2:A1221,A1221,$F$2:F1221,F1221,$L$2:L1221,L1221)=1,1,0))</f>
        <v>0</v>
      </c>
      <c r="P1221" s="55">
        <f>IF(A1221="",0,IF(AND(F1221="C&amp;T",COUNTIFS($A$2:A1221,A1221,$F$2:F1221,"C&amp;T")=1),1,0))</f>
        <v>0</v>
      </c>
    </row>
    <row r="1222" spans="1:16" x14ac:dyDescent="0.35">
      <c r="A1222" s="54" t="str">
        <f>IFERROR(IF(INDEX(SPOT_Import!$A$1:$Z$2488,1222,'Live Data'!$C$12)="","",INDEX(SPOT_Import!$A$1:$Z$2488,1222,'Live Data'!$C$12)),"")</f>
        <v/>
      </c>
      <c r="B1222" s="54" t="str">
        <f>IFERROR(IF(INDEX(SPOT_Import!$A$1:$Z$2488,1222,'Live Data'!$C$13)="","",INDEX(SPOT_Import!$A$1:$Z$2488,1222,'Live Data'!$C$13)),"")</f>
        <v/>
      </c>
      <c r="C1222" s="54" t="str">
        <f>IFERROR(IF(INDEX(SPOT_Import!$A$1:$Z$2488,1222,'Live Data'!$C$14)="","",INDEX(SPOT_Import!$A$1:$Z$2488,1222,'Live Data'!$C$14)),"")</f>
        <v/>
      </c>
      <c r="D1222" s="54" t="str">
        <f>IFERROR(IF(INDEX(SPOT_Import!$A$1:$Z$2488,1222,'Live Data'!$C$15)="","",INDEX(SPOT_Import!$A$1:$Z$2488,1222,'Live Data'!$C$15)),"")</f>
        <v/>
      </c>
      <c r="E1222" s="54" t="str">
        <f>IFERROR(IF(INDEX(SPOT_Import!$A$1:$Z$2488,1222,'Live Data'!$C$16)="","",INDEX(SPOT_Import!$A$1:$Z$2488,1222,'Live Data'!$C$16)),"")</f>
        <v/>
      </c>
      <c r="F1222" s="54" t="str">
        <f>IFERROR(IF(INDEX(SPOT_Import!$A$1:$Z$2488,1222,'Live Data'!$C$17)="","",INDEX(SPOT_Import!$A$1:$Z$2488,1222,'Live Data'!$C$17)),"")</f>
        <v/>
      </c>
      <c r="G1222" s="54" t="str">
        <f>IFERROR(IF(INDEX(SPOT_Import!$A$1:$Z$2488,1222,'Live Data'!$C$18)="","",INDEX(SPOT_Import!$A$1:$Z$2488,1222,'Live Data'!$C$18)),"")</f>
        <v/>
      </c>
      <c r="H1222" s="54" t="str">
        <f>IFERROR(IF(INDEX(SPOT_Import!$A$1:$Z$2488,1222,'Live Data'!$C$19)="","",INDEX(SPOT_Import!$A$1:$Z$2488,1222,'Live Data'!$C$19)),"")</f>
        <v/>
      </c>
      <c r="I1222" s="54" t="str">
        <f>IFERROR(IF(INDEX(SPOT_Import!$A$1:$Z$2488,1222,'Live Data'!$C$20)="","",INDEX(SPOT_Import!$A$1:$Z$2488,1222,'Live Data'!$C$20)),"")</f>
        <v/>
      </c>
      <c r="J1222" s="54" t="str">
        <f>IFERROR(IF(INDEX(SPOT_Import!$A$1:$Z$2488,1222,'Live Data'!$C$21)="","",INDEX(SPOT_Import!$A$1:$Z$2488,1222,'Live Data'!$C$21)),"")</f>
        <v/>
      </c>
      <c r="K1222" s="54" t="str">
        <f>IFERROR(IF(INDEX(SPOT_Import!$A$1:$Z$2488,1222,'Live Data'!$C$22)="","",INDEX(SPOT_Import!$A$1:$Z$2488,1222,'Live Data'!$C$22)),"")</f>
        <v/>
      </c>
      <c r="L1222" s="55" t="str">
        <f t="shared" si="38"/>
        <v/>
      </c>
      <c r="M1222" s="55" t="str">
        <f t="shared" si="39"/>
        <v/>
      </c>
      <c r="N1222" s="55" t="str">
        <f>IF(A1222="","",IFERROR(INDEX('Cluster Map'!$A$4:$A$38,MATCH(M1222,'Cluster Map'!$B$4:$B$38,0)),"Unmapped"))</f>
        <v/>
      </c>
      <c r="O1222" s="55">
        <f>IF(A1222="",0,IF(COUNTIFS($A$2:A1222,A1222,$F$2:F1222,F1222,$L$2:L1222,L1222)=1,1,0))</f>
        <v>0</v>
      </c>
      <c r="P1222" s="55">
        <f>IF(A1222="",0,IF(AND(F1222="C&amp;T",COUNTIFS($A$2:A1222,A1222,$F$2:F1222,"C&amp;T")=1),1,0))</f>
        <v>0</v>
      </c>
    </row>
    <row r="1223" spans="1:16" x14ac:dyDescent="0.35">
      <c r="A1223" s="54" t="str">
        <f>IFERROR(IF(INDEX(SPOT_Import!$A$1:$Z$2488,1223,'Live Data'!$C$12)="","",INDEX(SPOT_Import!$A$1:$Z$2488,1223,'Live Data'!$C$12)),"")</f>
        <v/>
      </c>
      <c r="B1223" s="54" t="str">
        <f>IFERROR(IF(INDEX(SPOT_Import!$A$1:$Z$2488,1223,'Live Data'!$C$13)="","",INDEX(SPOT_Import!$A$1:$Z$2488,1223,'Live Data'!$C$13)),"")</f>
        <v/>
      </c>
      <c r="C1223" s="54" t="str">
        <f>IFERROR(IF(INDEX(SPOT_Import!$A$1:$Z$2488,1223,'Live Data'!$C$14)="","",INDEX(SPOT_Import!$A$1:$Z$2488,1223,'Live Data'!$C$14)),"")</f>
        <v/>
      </c>
      <c r="D1223" s="54" t="str">
        <f>IFERROR(IF(INDEX(SPOT_Import!$A$1:$Z$2488,1223,'Live Data'!$C$15)="","",INDEX(SPOT_Import!$A$1:$Z$2488,1223,'Live Data'!$C$15)),"")</f>
        <v/>
      </c>
      <c r="E1223" s="54" t="str">
        <f>IFERROR(IF(INDEX(SPOT_Import!$A$1:$Z$2488,1223,'Live Data'!$C$16)="","",INDEX(SPOT_Import!$A$1:$Z$2488,1223,'Live Data'!$C$16)),"")</f>
        <v/>
      </c>
      <c r="F1223" s="54" t="str">
        <f>IFERROR(IF(INDEX(SPOT_Import!$A$1:$Z$2488,1223,'Live Data'!$C$17)="","",INDEX(SPOT_Import!$A$1:$Z$2488,1223,'Live Data'!$C$17)),"")</f>
        <v/>
      </c>
      <c r="G1223" s="54" t="str">
        <f>IFERROR(IF(INDEX(SPOT_Import!$A$1:$Z$2488,1223,'Live Data'!$C$18)="","",INDEX(SPOT_Import!$A$1:$Z$2488,1223,'Live Data'!$C$18)),"")</f>
        <v/>
      </c>
      <c r="H1223" s="54" t="str">
        <f>IFERROR(IF(INDEX(SPOT_Import!$A$1:$Z$2488,1223,'Live Data'!$C$19)="","",INDEX(SPOT_Import!$A$1:$Z$2488,1223,'Live Data'!$C$19)),"")</f>
        <v/>
      </c>
      <c r="I1223" s="54" t="str">
        <f>IFERROR(IF(INDEX(SPOT_Import!$A$1:$Z$2488,1223,'Live Data'!$C$20)="","",INDEX(SPOT_Import!$A$1:$Z$2488,1223,'Live Data'!$C$20)),"")</f>
        <v/>
      </c>
      <c r="J1223" s="54" t="str">
        <f>IFERROR(IF(INDEX(SPOT_Import!$A$1:$Z$2488,1223,'Live Data'!$C$21)="","",INDEX(SPOT_Import!$A$1:$Z$2488,1223,'Live Data'!$C$21)),"")</f>
        <v/>
      </c>
      <c r="K1223" s="54" t="str">
        <f>IFERROR(IF(INDEX(SPOT_Import!$A$1:$Z$2488,1223,'Live Data'!$C$22)="","",INDEX(SPOT_Import!$A$1:$Z$2488,1223,'Live Data'!$C$22)),"")</f>
        <v/>
      </c>
      <c r="L1223" s="55" t="str">
        <f t="shared" si="38"/>
        <v/>
      </c>
      <c r="M1223" s="55" t="str">
        <f t="shared" si="39"/>
        <v/>
      </c>
      <c r="N1223" s="55" t="str">
        <f>IF(A1223="","",IFERROR(INDEX('Cluster Map'!$A$4:$A$38,MATCH(M1223,'Cluster Map'!$B$4:$B$38,0)),"Unmapped"))</f>
        <v/>
      </c>
      <c r="O1223" s="55">
        <f>IF(A1223="",0,IF(COUNTIFS($A$2:A1223,A1223,$F$2:F1223,F1223,$L$2:L1223,L1223)=1,1,0))</f>
        <v>0</v>
      </c>
      <c r="P1223" s="55">
        <f>IF(A1223="",0,IF(AND(F1223="C&amp;T",COUNTIFS($A$2:A1223,A1223,$F$2:F1223,"C&amp;T")=1),1,0))</f>
        <v>0</v>
      </c>
    </row>
    <row r="1224" spans="1:16" x14ac:dyDescent="0.35">
      <c r="A1224" s="54" t="str">
        <f>IFERROR(IF(INDEX(SPOT_Import!$A$1:$Z$2488,1224,'Live Data'!$C$12)="","",INDEX(SPOT_Import!$A$1:$Z$2488,1224,'Live Data'!$C$12)),"")</f>
        <v/>
      </c>
      <c r="B1224" s="54" t="str">
        <f>IFERROR(IF(INDEX(SPOT_Import!$A$1:$Z$2488,1224,'Live Data'!$C$13)="","",INDEX(SPOT_Import!$A$1:$Z$2488,1224,'Live Data'!$C$13)),"")</f>
        <v/>
      </c>
      <c r="C1224" s="54" t="str">
        <f>IFERROR(IF(INDEX(SPOT_Import!$A$1:$Z$2488,1224,'Live Data'!$C$14)="","",INDEX(SPOT_Import!$A$1:$Z$2488,1224,'Live Data'!$C$14)),"")</f>
        <v/>
      </c>
      <c r="D1224" s="54" t="str">
        <f>IFERROR(IF(INDEX(SPOT_Import!$A$1:$Z$2488,1224,'Live Data'!$C$15)="","",INDEX(SPOT_Import!$A$1:$Z$2488,1224,'Live Data'!$C$15)),"")</f>
        <v/>
      </c>
      <c r="E1224" s="54" t="str">
        <f>IFERROR(IF(INDEX(SPOT_Import!$A$1:$Z$2488,1224,'Live Data'!$C$16)="","",INDEX(SPOT_Import!$A$1:$Z$2488,1224,'Live Data'!$C$16)),"")</f>
        <v/>
      </c>
      <c r="F1224" s="54" t="str">
        <f>IFERROR(IF(INDEX(SPOT_Import!$A$1:$Z$2488,1224,'Live Data'!$C$17)="","",INDEX(SPOT_Import!$A$1:$Z$2488,1224,'Live Data'!$C$17)),"")</f>
        <v/>
      </c>
      <c r="G1224" s="54" t="str">
        <f>IFERROR(IF(INDEX(SPOT_Import!$A$1:$Z$2488,1224,'Live Data'!$C$18)="","",INDEX(SPOT_Import!$A$1:$Z$2488,1224,'Live Data'!$C$18)),"")</f>
        <v/>
      </c>
      <c r="H1224" s="54" t="str">
        <f>IFERROR(IF(INDEX(SPOT_Import!$A$1:$Z$2488,1224,'Live Data'!$C$19)="","",INDEX(SPOT_Import!$A$1:$Z$2488,1224,'Live Data'!$C$19)),"")</f>
        <v/>
      </c>
      <c r="I1224" s="54" t="str">
        <f>IFERROR(IF(INDEX(SPOT_Import!$A$1:$Z$2488,1224,'Live Data'!$C$20)="","",INDEX(SPOT_Import!$A$1:$Z$2488,1224,'Live Data'!$C$20)),"")</f>
        <v/>
      </c>
      <c r="J1224" s="54" t="str">
        <f>IFERROR(IF(INDEX(SPOT_Import!$A$1:$Z$2488,1224,'Live Data'!$C$21)="","",INDEX(SPOT_Import!$A$1:$Z$2488,1224,'Live Data'!$C$21)),"")</f>
        <v/>
      </c>
      <c r="K1224" s="54" t="str">
        <f>IFERROR(IF(INDEX(SPOT_Import!$A$1:$Z$2488,1224,'Live Data'!$C$22)="","",INDEX(SPOT_Import!$A$1:$Z$2488,1224,'Live Data'!$C$22)),"")</f>
        <v/>
      </c>
      <c r="L1224" s="55" t="str">
        <f t="shared" si="38"/>
        <v/>
      </c>
      <c r="M1224" s="55" t="str">
        <f t="shared" si="39"/>
        <v/>
      </c>
      <c r="N1224" s="55" t="str">
        <f>IF(A1224="","",IFERROR(INDEX('Cluster Map'!$A$4:$A$38,MATCH(M1224,'Cluster Map'!$B$4:$B$38,0)),"Unmapped"))</f>
        <v/>
      </c>
      <c r="O1224" s="55">
        <f>IF(A1224="",0,IF(COUNTIFS($A$2:A1224,A1224,$F$2:F1224,F1224,$L$2:L1224,L1224)=1,1,0))</f>
        <v>0</v>
      </c>
      <c r="P1224" s="55">
        <f>IF(A1224="",0,IF(AND(F1224="C&amp;T",COUNTIFS($A$2:A1224,A1224,$F$2:F1224,"C&amp;T")=1),1,0))</f>
        <v>0</v>
      </c>
    </row>
    <row r="1225" spans="1:16" x14ac:dyDescent="0.35">
      <c r="A1225" s="54" t="str">
        <f>IFERROR(IF(INDEX(SPOT_Import!$A$1:$Z$2488,1225,'Live Data'!$C$12)="","",INDEX(SPOT_Import!$A$1:$Z$2488,1225,'Live Data'!$C$12)),"")</f>
        <v/>
      </c>
      <c r="B1225" s="54" t="str">
        <f>IFERROR(IF(INDEX(SPOT_Import!$A$1:$Z$2488,1225,'Live Data'!$C$13)="","",INDEX(SPOT_Import!$A$1:$Z$2488,1225,'Live Data'!$C$13)),"")</f>
        <v/>
      </c>
      <c r="C1225" s="54" t="str">
        <f>IFERROR(IF(INDEX(SPOT_Import!$A$1:$Z$2488,1225,'Live Data'!$C$14)="","",INDEX(SPOT_Import!$A$1:$Z$2488,1225,'Live Data'!$C$14)),"")</f>
        <v/>
      </c>
      <c r="D1225" s="54" t="str">
        <f>IFERROR(IF(INDEX(SPOT_Import!$A$1:$Z$2488,1225,'Live Data'!$C$15)="","",INDEX(SPOT_Import!$A$1:$Z$2488,1225,'Live Data'!$C$15)),"")</f>
        <v/>
      </c>
      <c r="E1225" s="54" t="str">
        <f>IFERROR(IF(INDEX(SPOT_Import!$A$1:$Z$2488,1225,'Live Data'!$C$16)="","",INDEX(SPOT_Import!$A$1:$Z$2488,1225,'Live Data'!$C$16)),"")</f>
        <v/>
      </c>
      <c r="F1225" s="54" t="str">
        <f>IFERROR(IF(INDEX(SPOT_Import!$A$1:$Z$2488,1225,'Live Data'!$C$17)="","",INDEX(SPOT_Import!$A$1:$Z$2488,1225,'Live Data'!$C$17)),"")</f>
        <v/>
      </c>
      <c r="G1225" s="54" t="str">
        <f>IFERROR(IF(INDEX(SPOT_Import!$A$1:$Z$2488,1225,'Live Data'!$C$18)="","",INDEX(SPOT_Import!$A$1:$Z$2488,1225,'Live Data'!$C$18)),"")</f>
        <v/>
      </c>
      <c r="H1225" s="54" t="str">
        <f>IFERROR(IF(INDEX(SPOT_Import!$A$1:$Z$2488,1225,'Live Data'!$C$19)="","",INDEX(SPOT_Import!$A$1:$Z$2488,1225,'Live Data'!$C$19)),"")</f>
        <v/>
      </c>
      <c r="I1225" s="54" t="str">
        <f>IFERROR(IF(INDEX(SPOT_Import!$A$1:$Z$2488,1225,'Live Data'!$C$20)="","",INDEX(SPOT_Import!$A$1:$Z$2488,1225,'Live Data'!$C$20)),"")</f>
        <v/>
      </c>
      <c r="J1225" s="54" t="str">
        <f>IFERROR(IF(INDEX(SPOT_Import!$A$1:$Z$2488,1225,'Live Data'!$C$21)="","",INDEX(SPOT_Import!$A$1:$Z$2488,1225,'Live Data'!$C$21)),"")</f>
        <v/>
      </c>
      <c r="K1225" s="54" t="str">
        <f>IFERROR(IF(INDEX(SPOT_Import!$A$1:$Z$2488,1225,'Live Data'!$C$22)="","",INDEX(SPOT_Import!$A$1:$Z$2488,1225,'Live Data'!$C$22)),"")</f>
        <v/>
      </c>
      <c r="L1225" s="55" t="str">
        <f t="shared" si="38"/>
        <v/>
      </c>
      <c r="M1225" s="55" t="str">
        <f t="shared" si="39"/>
        <v/>
      </c>
      <c r="N1225" s="55" t="str">
        <f>IF(A1225="","",IFERROR(INDEX('Cluster Map'!$A$4:$A$38,MATCH(M1225,'Cluster Map'!$B$4:$B$38,0)),"Unmapped"))</f>
        <v/>
      </c>
      <c r="O1225" s="55">
        <f>IF(A1225="",0,IF(COUNTIFS($A$2:A1225,A1225,$F$2:F1225,F1225,$L$2:L1225,L1225)=1,1,0))</f>
        <v>0</v>
      </c>
      <c r="P1225" s="55">
        <f>IF(A1225="",0,IF(AND(F1225="C&amp;T",COUNTIFS($A$2:A1225,A1225,$F$2:F1225,"C&amp;T")=1),1,0))</f>
        <v>0</v>
      </c>
    </row>
    <row r="1226" spans="1:16" x14ac:dyDescent="0.35">
      <c r="A1226" s="54" t="str">
        <f>IFERROR(IF(INDEX(SPOT_Import!$A$1:$Z$2488,1226,'Live Data'!$C$12)="","",INDEX(SPOT_Import!$A$1:$Z$2488,1226,'Live Data'!$C$12)),"")</f>
        <v/>
      </c>
      <c r="B1226" s="54" t="str">
        <f>IFERROR(IF(INDEX(SPOT_Import!$A$1:$Z$2488,1226,'Live Data'!$C$13)="","",INDEX(SPOT_Import!$A$1:$Z$2488,1226,'Live Data'!$C$13)),"")</f>
        <v/>
      </c>
      <c r="C1226" s="54" t="str">
        <f>IFERROR(IF(INDEX(SPOT_Import!$A$1:$Z$2488,1226,'Live Data'!$C$14)="","",INDEX(SPOT_Import!$A$1:$Z$2488,1226,'Live Data'!$C$14)),"")</f>
        <v/>
      </c>
      <c r="D1226" s="54" t="str">
        <f>IFERROR(IF(INDEX(SPOT_Import!$A$1:$Z$2488,1226,'Live Data'!$C$15)="","",INDEX(SPOT_Import!$A$1:$Z$2488,1226,'Live Data'!$C$15)),"")</f>
        <v/>
      </c>
      <c r="E1226" s="54" t="str">
        <f>IFERROR(IF(INDEX(SPOT_Import!$A$1:$Z$2488,1226,'Live Data'!$C$16)="","",INDEX(SPOT_Import!$A$1:$Z$2488,1226,'Live Data'!$C$16)),"")</f>
        <v/>
      </c>
      <c r="F1226" s="54" t="str">
        <f>IFERROR(IF(INDEX(SPOT_Import!$A$1:$Z$2488,1226,'Live Data'!$C$17)="","",INDEX(SPOT_Import!$A$1:$Z$2488,1226,'Live Data'!$C$17)),"")</f>
        <v/>
      </c>
      <c r="G1226" s="54" t="str">
        <f>IFERROR(IF(INDEX(SPOT_Import!$A$1:$Z$2488,1226,'Live Data'!$C$18)="","",INDEX(SPOT_Import!$A$1:$Z$2488,1226,'Live Data'!$C$18)),"")</f>
        <v/>
      </c>
      <c r="H1226" s="54" t="str">
        <f>IFERROR(IF(INDEX(SPOT_Import!$A$1:$Z$2488,1226,'Live Data'!$C$19)="","",INDEX(SPOT_Import!$A$1:$Z$2488,1226,'Live Data'!$C$19)),"")</f>
        <v/>
      </c>
      <c r="I1226" s="54" t="str">
        <f>IFERROR(IF(INDEX(SPOT_Import!$A$1:$Z$2488,1226,'Live Data'!$C$20)="","",INDEX(SPOT_Import!$A$1:$Z$2488,1226,'Live Data'!$C$20)),"")</f>
        <v/>
      </c>
      <c r="J1226" s="54" t="str">
        <f>IFERROR(IF(INDEX(SPOT_Import!$A$1:$Z$2488,1226,'Live Data'!$C$21)="","",INDEX(SPOT_Import!$A$1:$Z$2488,1226,'Live Data'!$C$21)),"")</f>
        <v/>
      </c>
      <c r="K1226" s="54" t="str">
        <f>IFERROR(IF(INDEX(SPOT_Import!$A$1:$Z$2488,1226,'Live Data'!$C$22)="","",INDEX(SPOT_Import!$A$1:$Z$2488,1226,'Live Data'!$C$22)),"")</f>
        <v/>
      </c>
      <c r="L1226" s="55" t="str">
        <f t="shared" si="38"/>
        <v/>
      </c>
      <c r="M1226" s="55" t="str">
        <f t="shared" si="39"/>
        <v/>
      </c>
      <c r="N1226" s="55" t="str">
        <f>IF(A1226="","",IFERROR(INDEX('Cluster Map'!$A$4:$A$38,MATCH(M1226,'Cluster Map'!$B$4:$B$38,0)),"Unmapped"))</f>
        <v/>
      </c>
      <c r="O1226" s="55">
        <f>IF(A1226="",0,IF(COUNTIFS($A$2:A1226,A1226,$F$2:F1226,F1226,$L$2:L1226,L1226)=1,1,0))</f>
        <v>0</v>
      </c>
      <c r="P1226" s="55">
        <f>IF(A1226="",0,IF(AND(F1226="C&amp;T",COUNTIFS($A$2:A1226,A1226,$F$2:F1226,"C&amp;T")=1),1,0))</f>
        <v>0</v>
      </c>
    </row>
    <row r="1227" spans="1:16" x14ac:dyDescent="0.35">
      <c r="A1227" s="54" t="str">
        <f>IFERROR(IF(INDEX(SPOT_Import!$A$1:$Z$2488,1227,'Live Data'!$C$12)="","",INDEX(SPOT_Import!$A$1:$Z$2488,1227,'Live Data'!$C$12)),"")</f>
        <v/>
      </c>
      <c r="B1227" s="54" t="str">
        <f>IFERROR(IF(INDEX(SPOT_Import!$A$1:$Z$2488,1227,'Live Data'!$C$13)="","",INDEX(SPOT_Import!$A$1:$Z$2488,1227,'Live Data'!$C$13)),"")</f>
        <v/>
      </c>
      <c r="C1227" s="54" t="str">
        <f>IFERROR(IF(INDEX(SPOT_Import!$A$1:$Z$2488,1227,'Live Data'!$C$14)="","",INDEX(SPOT_Import!$A$1:$Z$2488,1227,'Live Data'!$C$14)),"")</f>
        <v/>
      </c>
      <c r="D1227" s="54" t="str">
        <f>IFERROR(IF(INDEX(SPOT_Import!$A$1:$Z$2488,1227,'Live Data'!$C$15)="","",INDEX(SPOT_Import!$A$1:$Z$2488,1227,'Live Data'!$C$15)),"")</f>
        <v/>
      </c>
      <c r="E1227" s="54" t="str">
        <f>IFERROR(IF(INDEX(SPOT_Import!$A$1:$Z$2488,1227,'Live Data'!$C$16)="","",INDEX(SPOT_Import!$A$1:$Z$2488,1227,'Live Data'!$C$16)),"")</f>
        <v/>
      </c>
      <c r="F1227" s="54" t="str">
        <f>IFERROR(IF(INDEX(SPOT_Import!$A$1:$Z$2488,1227,'Live Data'!$C$17)="","",INDEX(SPOT_Import!$A$1:$Z$2488,1227,'Live Data'!$C$17)),"")</f>
        <v/>
      </c>
      <c r="G1227" s="54" t="str">
        <f>IFERROR(IF(INDEX(SPOT_Import!$A$1:$Z$2488,1227,'Live Data'!$C$18)="","",INDEX(SPOT_Import!$A$1:$Z$2488,1227,'Live Data'!$C$18)),"")</f>
        <v/>
      </c>
      <c r="H1227" s="54" t="str">
        <f>IFERROR(IF(INDEX(SPOT_Import!$A$1:$Z$2488,1227,'Live Data'!$C$19)="","",INDEX(SPOT_Import!$A$1:$Z$2488,1227,'Live Data'!$C$19)),"")</f>
        <v/>
      </c>
      <c r="I1227" s="54" t="str">
        <f>IFERROR(IF(INDEX(SPOT_Import!$A$1:$Z$2488,1227,'Live Data'!$C$20)="","",INDEX(SPOT_Import!$A$1:$Z$2488,1227,'Live Data'!$C$20)),"")</f>
        <v/>
      </c>
      <c r="J1227" s="54" t="str">
        <f>IFERROR(IF(INDEX(SPOT_Import!$A$1:$Z$2488,1227,'Live Data'!$C$21)="","",INDEX(SPOT_Import!$A$1:$Z$2488,1227,'Live Data'!$C$21)),"")</f>
        <v/>
      </c>
      <c r="K1227" s="54" t="str">
        <f>IFERROR(IF(INDEX(SPOT_Import!$A$1:$Z$2488,1227,'Live Data'!$C$22)="","",INDEX(SPOT_Import!$A$1:$Z$2488,1227,'Live Data'!$C$22)),"")</f>
        <v/>
      </c>
      <c r="L1227" s="55" t="str">
        <f t="shared" si="38"/>
        <v/>
      </c>
      <c r="M1227" s="55" t="str">
        <f t="shared" si="39"/>
        <v/>
      </c>
      <c r="N1227" s="55" t="str">
        <f>IF(A1227="","",IFERROR(INDEX('Cluster Map'!$A$4:$A$38,MATCH(M1227,'Cluster Map'!$B$4:$B$38,0)),"Unmapped"))</f>
        <v/>
      </c>
      <c r="O1227" s="55">
        <f>IF(A1227="",0,IF(COUNTIFS($A$2:A1227,A1227,$F$2:F1227,F1227,$L$2:L1227,L1227)=1,1,0))</f>
        <v>0</v>
      </c>
      <c r="P1227" s="55">
        <f>IF(A1227="",0,IF(AND(F1227="C&amp;T",COUNTIFS($A$2:A1227,A1227,$F$2:F1227,"C&amp;T")=1),1,0))</f>
        <v>0</v>
      </c>
    </row>
    <row r="1228" spans="1:16" x14ac:dyDescent="0.35">
      <c r="A1228" s="54" t="str">
        <f>IFERROR(IF(INDEX(SPOT_Import!$A$1:$Z$2488,1228,'Live Data'!$C$12)="","",INDEX(SPOT_Import!$A$1:$Z$2488,1228,'Live Data'!$C$12)),"")</f>
        <v/>
      </c>
      <c r="B1228" s="54" t="str">
        <f>IFERROR(IF(INDEX(SPOT_Import!$A$1:$Z$2488,1228,'Live Data'!$C$13)="","",INDEX(SPOT_Import!$A$1:$Z$2488,1228,'Live Data'!$C$13)),"")</f>
        <v/>
      </c>
      <c r="C1228" s="54" t="str">
        <f>IFERROR(IF(INDEX(SPOT_Import!$A$1:$Z$2488,1228,'Live Data'!$C$14)="","",INDEX(SPOT_Import!$A$1:$Z$2488,1228,'Live Data'!$C$14)),"")</f>
        <v/>
      </c>
      <c r="D1228" s="54" t="str">
        <f>IFERROR(IF(INDEX(SPOT_Import!$A$1:$Z$2488,1228,'Live Data'!$C$15)="","",INDEX(SPOT_Import!$A$1:$Z$2488,1228,'Live Data'!$C$15)),"")</f>
        <v/>
      </c>
      <c r="E1228" s="54" t="str">
        <f>IFERROR(IF(INDEX(SPOT_Import!$A$1:$Z$2488,1228,'Live Data'!$C$16)="","",INDEX(SPOT_Import!$A$1:$Z$2488,1228,'Live Data'!$C$16)),"")</f>
        <v/>
      </c>
      <c r="F1228" s="54" t="str">
        <f>IFERROR(IF(INDEX(SPOT_Import!$A$1:$Z$2488,1228,'Live Data'!$C$17)="","",INDEX(SPOT_Import!$A$1:$Z$2488,1228,'Live Data'!$C$17)),"")</f>
        <v/>
      </c>
      <c r="G1228" s="54" t="str">
        <f>IFERROR(IF(INDEX(SPOT_Import!$A$1:$Z$2488,1228,'Live Data'!$C$18)="","",INDEX(SPOT_Import!$A$1:$Z$2488,1228,'Live Data'!$C$18)),"")</f>
        <v/>
      </c>
      <c r="H1228" s="54" t="str">
        <f>IFERROR(IF(INDEX(SPOT_Import!$A$1:$Z$2488,1228,'Live Data'!$C$19)="","",INDEX(SPOT_Import!$A$1:$Z$2488,1228,'Live Data'!$C$19)),"")</f>
        <v/>
      </c>
      <c r="I1228" s="54" t="str">
        <f>IFERROR(IF(INDEX(SPOT_Import!$A$1:$Z$2488,1228,'Live Data'!$C$20)="","",INDEX(SPOT_Import!$A$1:$Z$2488,1228,'Live Data'!$C$20)),"")</f>
        <v/>
      </c>
      <c r="J1228" s="54" t="str">
        <f>IFERROR(IF(INDEX(SPOT_Import!$A$1:$Z$2488,1228,'Live Data'!$C$21)="","",INDEX(SPOT_Import!$A$1:$Z$2488,1228,'Live Data'!$C$21)),"")</f>
        <v/>
      </c>
      <c r="K1228" s="54" t="str">
        <f>IFERROR(IF(INDEX(SPOT_Import!$A$1:$Z$2488,1228,'Live Data'!$C$22)="","",INDEX(SPOT_Import!$A$1:$Z$2488,1228,'Live Data'!$C$22)),"")</f>
        <v/>
      </c>
      <c r="L1228" s="55" t="str">
        <f t="shared" si="38"/>
        <v/>
      </c>
      <c r="M1228" s="55" t="str">
        <f t="shared" si="39"/>
        <v/>
      </c>
      <c r="N1228" s="55" t="str">
        <f>IF(A1228="","",IFERROR(INDEX('Cluster Map'!$A$4:$A$38,MATCH(M1228,'Cluster Map'!$B$4:$B$38,0)),"Unmapped"))</f>
        <v/>
      </c>
      <c r="O1228" s="55">
        <f>IF(A1228="",0,IF(COUNTIFS($A$2:A1228,A1228,$F$2:F1228,F1228,$L$2:L1228,L1228)=1,1,0))</f>
        <v>0</v>
      </c>
      <c r="P1228" s="55">
        <f>IF(A1228="",0,IF(AND(F1228="C&amp;T",COUNTIFS($A$2:A1228,A1228,$F$2:F1228,"C&amp;T")=1),1,0))</f>
        <v>0</v>
      </c>
    </row>
    <row r="1229" spans="1:16" x14ac:dyDescent="0.35">
      <c r="A1229" s="54" t="str">
        <f>IFERROR(IF(INDEX(SPOT_Import!$A$1:$Z$2488,1229,'Live Data'!$C$12)="","",INDEX(SPOT_Import!$A$1:$Z$2488,1229,'Live Data'!$C$12)),"")</f>
        <v/>
      </c>
      <c r="B1229" s="54" t="str">
        <f>IFERROR(IF(INDEX(SPOT_Import!$A$1:$Z$2488,1229,'Live Data'!$C$13)="","",INDEX(SPOT_Import!$A$1:$Z$2488,1229,'Live Data'!$C$13)),"")</f>
        <v/>
      </c>
      <c r="C1229" s="54" t="str">
        <f>IFERROR(IF(INDEX(SPOT_Import!$A$1:$Z$2488,1229,'Live Data'!$C$14)="","",INDEX(SPOT_Import!$A$1:$Z$2488,1229,'Live Data'!$C$14)),"")</f>
        <v/>
      </c>
      <c r="D1229" s="54" t="str">
        <f>IFERROR(IF(INDEX(SPOT_Import!$A$1:$Z$2488,1229,'Live Data'!$C$15)="","",INDEX(SPOT_Import!$A$1:$Z$2488,1229,'Live Data'!$C$15)),"")</f>
        <v/>
      </c>
      <c r="E1229" s="54" t="str">
        <f>IFERROR(IF(INDEX(SPOT_Import!$A$1:$Z$2488,1229,'Live Data'!$C$16)="","",INDEX(SPOT_Import!$A$1:$Z$2488,1229,'Live Data'!$C$16)),"")</f>
        <v/>
      </c>
      <c r="F1229" s="54" t="str">
        <f>IFERROR(IF(INDEX(SPOT_Import!$A$1:$Z$2488,1229,'Live Data'!$C$17)="","",INDEX(SPOT_Import!$A$1:$Z$2488,1229,'Live Data'!$C$17)),"")</f>
        <v/>
      </c>
      <c r="G1229" s="54" t="str">
        <f>IFERROR(IF(INDEX(SPOT_Import!$A$1:$Z$2488,1229,'Live Data'!$C$18)="","",INDEX(SPOT_Import!$A$1:$Z$2488,1229,'Live Data'!$C$18)),"")</f>
        <v/>
      </c>
      <c r="H1229" s="54" t="str">
        <f>IFERROR(IF(INDEX(SPOT_Import!$A$1:$Z$2488,1229,'Live Data'!$C$19)="","",INDEX(SPOT_Import!$A$1:$Z$2488,1229,'Live Data'!$C$19)),"")</f>
        <v/>
      </c>
      <c r="I1229" s="54" t="str">
        <f>IFERROR(IF(INDEX(SPOT_Import!$A$1:$Z$2488,1229,'Live Data'!$C$20)="","",INDEX(SPOT_Import!$A$1:$Z$2488,1229,'Live Data'!$C$20)),"")</f>
        <v/>
      </c>
      <c r="J1229" s="54" t="str">
        <f>IFERROR(IF(INDEX(SPOT_Import!$A$1:$Z$2488,1229,'Live Data'!$C$21)="","",INDEX(SPOT_Import!$A$1:$Z$2488,1229,'Live Data'!$C$21)),"")</f>
        <v/>
      </c>
      <c r="K1229" s="54" t="str">
        <f>IFERROR(IF(INDEX(SPOT_Import!$A$1:$Z$2488,1229,'Live Data'!$C$22)="","",INDEX(SPOT_Import!$A$1:$Z$2488,1229,'Live Data'!$C$22)),"")</f>
        <v/>
      </c>
      <c r="L1229" s="55" t="str">
        <f t="shared" si="38"/>
        <v/>
      </c>
      <c r="M1229" s="55" t="str">
        <f t="shared" si="39"/>
        <v/>
      </c>
      <c r="N1229" s="55" t="str">
        <f>IF(A1229="","",IFERROR(INDEX('Cluster Map'!$A$4:$A$38,MATCH(M1229,'Cluster Map'!$B$4:$B$38,0)),"Unmapped"))</f>
        <v/>
      </c>
      <c r="O1229" s="55">
        <f>IF(A1229="",0,IF(COUNTIFS($A$2:A1229,A1229,$F$2:F1229,F1229,$L$2:L1229,L1229)=1,1,0))</f>
        <v>0</v>
      </c>
      <c r="P1229" s="55">
        <f>IF(A1229="",0,IF(AND(F1229="C&amp;T",COUNTIFS($A$2:A1229,A1229,$F$2:F1229,"C&amp;T")=1),1,0))</f>
        <v>0</v>
      </c>
    </row>
    <row r="1230" spans="1:16" x14ac:dyDescent="0.35">
      <c r="A1230" s="54" t="str">
        <f>IFERROR(IF(INDEX(SPOT_Import!$A$1:$Z$2488,1230,'Live Data'!$C$12)="","",INDEX(SPOT_Import!$A$1:$Z$2488,1230,'Live Data'!$C$12)),"")</f>
        <v/>
      </c>
      <c r="B1230" s="54" t="str">
        <f>IFERROR(IF(INDEX(SPOT_Import!$A$1:$Z$2488,1230,'Live Data'!$C$13)="","",INDEX(SPOT_Import!$A$1:$Z$2488,1230,'Live Data'!$C$13)),"")</f>
        <v/>
      </c>
      <c r="C1230" s="54" t="str">
        <f>IFERROR(IF(INDEX(SPOT_Import!$A$1:$Z$2488,1230,'Live Data'!$C$14)="","",INDEX(SPOT_Import!$A$1:$Z$2488,1230,'Live Data'!$C$14)),"")</f>
        <v/>
      </c>
      <c r="D1230" s="54" t="str">
        <f>IFERROR(IF(INDEX(SPOT_Import!$A$1:$Z$2488,1230,'Live Data'!$C$15)="","",INDEX(SPOT_Import!$A$1:$Z$2488,1230,'Live Data'!$C$15)),"")</f>
        <v/>
      </c>
      <c r="E1230" s="54" t="str">
        <f>IFERROR(IF(INDEX(SPOT_Import!$A$1:$Z$2488,1230,'Live Data'!$C$16)="","",INDEX(SPOT_Import!$A$1:$Z$2488,1230,'Live Data'!$C$16)),"")</f>
        <v/>
      </c>
      <c r="F1230" s="54" t="str">
        <f>IFERROR(IF(INDEX(SPOT_Import!$A$1:$Z$2488,1230,'Live Data'!$C$17)="","",INDEX(SPOT_Import!$A$1:$Z$2488,1230,'Live Data'!$C$17)),"")</f>
        <v/>
      </c>
      <c r="G1230" s="54" t="str">
        <f>IFERROR(IF(INDEX(SPOT_Import!$A$1:$Z$2488,1230,'Live Data'!$C$18)="","",INDEX(SPOT_Import!$A$1:$Z$2488,1230,'Live Data'!$C$18)),"")</f>
        <v/>
      </c>
      <c r="H1230" s="54" t="str">
        <f>IFERROR(IF(INDEX(SPOT_Import!$A$1:$Z$2488,1230,'Live Data'!$C$19)="","",INDEX(SPOT_Import!$A$1:$Z$2488,1230,'Live Data'!$C$19)),"")</f>
        <v/>
      </c>
      <c r="I1230" s="54" t="str">
        <f>IFERROR(IF(INDEX(SPOT_Import!$A$1:$Z$2488,1230,'Live Data'!$C$20)="","",INDEX(SPOT_Import!$A$1:$Z$2488,1230,'Live Data'!$C$20)),"")</f>
        <v/>
      </c>
      <c r="J1230" s="54" t="str">
        <f>IFERROR(IF(INDEX(SPOT_Import!$A$1:$Z$2488,1230,'Live Data'!$C$21)="","",INDEX(SPOT_Import!$A$1:$Z$2488,1230,'Live Data'!$C$21)),"")</f>
        <v/>
      </c>
      <c r="K1230" s="54" t="str">
        <f>IFERROR(IF(INDEX(SPOT_Import!$A$1:$Z$2488,1230,'Live Data'!$C$22)="","",INDEX(SPOT_Import!$A$1:$Z$2488,1230,'Live Data'!$C$22)),"")</f>
        <v/>
      </c>
      <c r="L1230" s="55" t="str">
        <f t="shared" si="38"/>
        <v/>
      </c>
      <c r="M1230" s="55" t="str">
        <f t="shared" si="39"/>
        <v/>
      </c>
      <c r="N1230" s="55" t="str">
        <f>IF(A1230="","",IFERROR(INDEX('Cluster Map'!$A$4:$A$38,MATCH(M1230,'Cluster Map'!$B$4:$B$38,0)),"Unmapped"))</f>
        <v/>
      </c>
      <c r="O1230" s="55">
        <f>IF(A1230="",0,IF(COUNTIFS($A$2:A1230,A1230,$F$2:F1230,F1230,$L$2:L1230,L1230)=1,1,0))</f>
        <v>0</v>
      </c>
      <c r="P1230" s="55">
        <f>IF(A1230="",0,IF(AND(F1230="C&amp;T",COUNTIFS($A$2:A1230,A1230,$F$2:F1230,"C&amp;T")=1),1,0))</f>
        <v>0</v>
      </c>
    </row>
    <row r="1231" spans="1:16" x14ac:dyDescent="0.35">
      <c r="A1231" s="54" t="str">
        <f>IFERROR(IF(INDEX(SPOT_Import!$A$1:$Z$2488,1231,'Live Data'!$C$12)="","",INDEX(SPOT_Import!$A$1:$Z$2488,1231,'Live Data'!$C$12)),"")</f>
        <v/>
      </c>
      <c r="B1231" s="54" t="str">
        <f>IFERROR(IF(INDEX(SPOT_Import!$A$1:$Z$2488,1231,'Live Data'!$C$13)="","",INDEX(SPOT_Import!$A$1:$Z$2488,1231,'Live Data'!$C$13)),"")</f>
        <v/>
      </c>
      <c r="C1231" s="54" t="str">
        <f>IFERROR(IF(INDEX(SPOT_Import!$A$1:$Z$2488,1231,'Live Data'!$C$14)="","",INDEX(SPOT_Import!$A$1:$Z$2488,1231,'Live Data'!$C$14)),"")</f>
        <v/>
      </c>
      <c r="D1231" s="54" t="str">
        <f>IFERROR(IF(INDEX(SPOT_Import!$A$1:$Z$2488,1231,'Live Data'!$C$15)="","",INDEX(SPOT_Import!$A$1:$Z$2488,1231,'Live Data'!$C$15)),"")</f>
        <v/>
      </c>
      <c r="E1231" s="54" t="str">
        <f>IFERROR(IF(INDEX(SPOT_Import!$A$1:$Z$2488,1231,'Live Data'!$C$16)="","",INDEX(SPOT_Import!$A$1:$Z$2488,1231,'Live Data'!$C$16)),"")</f>
        <v/>
      </c>
      <c r="F1231" s="54" t="str">
        <f>IFERROR(IF(INDEX(SPOT_Import!$A$1:$Z$2488,1231,'Live Data'!$C$17)="","",INDEX(SPOT_Import!$A$1:$Z$2488,1231,'Live Data'!$C$17)),"")</f>
        <v/>
      </c>
      <c r="G1231" s="54" t="str">
        <f>IFERROR(IF(INDEX(SPOT_Import!$A$1:$Z$2488,1231,'Live Data'!$C$18)="","",INDEX(SPOT_Import!$A$1:$Z$2488,1231,'Live Data'!$C$18)),"")</f>
        <v/>
      </c>
      <c r="H1231" s="54" t="str">
        <f>IFERROR(IF(INDEX(SPOT_Import!$A$1:$Z$2488,1231,'Live Data'!$C$19)="","",INDEX(SPOT_Import!$A$1:$Z$2488,1231,'Live Data'!$C$19)),"")</f>
        <v/>
      </c>
      <c r="I1231" s="54" t="str">
        <f>IFERROR(IF(INDEX(SPOT_Import!$A$1:$Z$2488,1231,'Live Data'!$C$20)="","",INDEX(SPOT_Import!$A$1:$Z$2488,1231,'Live Data'!$C$20)),"")</f>
        <v/>
      </c>
      <c r="J1231" s="54" t="str">
        <f>IFERROR(IF(INDEX(SPOT_Import!$A$1:$Z$2488,1231,'Live Data'!$C$21)="","",INDEX(SPOT_Import!$A$1:$Z$2488,1231,'Live Data'!$C$21)),"")</f>
        <v/>
      </c>
      <c r="K1231" s="54" t="str">
        <f>IFERROR(IF(INDEX(SPOT_Import!$A$1:$Z$2488,1231,'Live Data'!$C$22)="","",INDEX(SPOT_Import!$A$1:$Z$2488,1231,'Live Data'!$C$22)),"")</f>
        <v/>
      </c>
      <c r="L1231" s="55" t="str">
        <f t="shared" si="38"/>
        <v/>
      </c>
      <c r="M1231" s="55" t="str">
        <f t="shared" si="39"/>
        <v/>
      </c>
      <c r="N1231" s="55" t="str">
        <f>IF(A1231="","",IFERROR(INDEX('Cluster Map'!$A$4:$A$38,MATCH(M1231,'Cluster Map'!$B$4:$B$38,0)),"Unmapped"))</f>
        <v/>
      </c>
      <c r="O1231" s="55">
        <f>IF(A1231="",0,IF(COUNTIFS($A$2:A1231,A1231,$F$2:F1231,F1231,$L$2:L1231,L1231)=1,1,0))</f>
        <v>0</v>
      </c>
      <c r="P1231" s="55">
        <f>IF(A1231="",0,IF(AND(F1231="C&amp;T",COUNTIFS($A$2:A1231,A1231,$F$2:F1231,"C&amp;T")=1),1,0))</f>
        <v>0</v>
      </c>
    </row>
    <row r="1232" spans="1:16" x14ac:dyDescent="0.35">
      <c r="A1232" s="54" t="str">
        <f>IFERROR(IF(INDEX(SPOT_Import!$A$1:$Z$2488,1232,'Live Data'!$C$12)="","",INDEX(SPOT_Import!$A$1:$Z$2488,1232,'Live Data'!$C$12)),"")</f>
        <v/>
      </c>
      <c r="B1232" s="54" t="str">
        <f>IFERROR(IF(INDEX(SPOT_Import!$A$1:$Z$2488,1232,'Live Data'!$C$13)="","",INDEX(SPOT_Import!$A$1:$Z$2488,1232,'Live Data'!$C$13)),"")</f>
        <v/>
      </c>
      <c r="C1232" s="54" t="str">
        <f>IFERROR(IF(INDEX(SPOT_Import!$A$1:$Z$2488,1232,'Live Data'!$C$14)="","",INDEX(SPOT_Import!$A$1:$Z$2488,1232,'Live Data'!$C$14)),"")</f>
        <v/>
      </c>
      <c r="D1232" s="54" t="str">
        <f>IFERROR(IF(INDEX(SPOT_Import!$A$1:$Z$2488,1232,'Live Data'!$C$15)="","",INDEX(SPOT_Import!$A$1:$Z$2488,1232,'Live Data'!$C$15)),"")</f>
        <v/>
      </c>
      <c r="E1232" s="54" t="str">
        <f>IFERROR(IF(INDEX(SPOT_Import!$A$1:$Z$2488,1232,'Live Data'!$C$16)="","",INDEX(SPOT_Import!$A$1:$Z$2488,1232,'Live Data'!$C$16)),"")</f>
        <v/>
      </c>
      <c r="F1232" s="54" t="str">
        <f>IFERROR(IF(INDEX(SPOT_Import!$A$1:$Z$2488,1232,'Live Data'!$C$17)="","",INDEX(SPOT_Import!$A$1:$Z$2488,1232,'Live Data'!$C$17)),"")</f>
        <v/>
      </c>
      <c r="G1232" s="54" t="str">
        <f>IFERROR(IF(INDEX(SPOT_Import!$A$1:$Z$2488,1232,'Live Data'!$C$18)="","",INDEX(SPOT_Import!$A$1:$Z$2488,1232,'Live Data'!$C$18)),"")</f>
        <v/>
      </c>
      <c r="H1232" s="54" t="str">
        <f>IFERROR(IF(INDEX(SPOT_Import!$A$1:$Z$2488,1232,'Live Data'!$C$19)="","",INDEX(SPOT_Import!$A$1:$Z$2488,1232,'Live Data'!$C$19)),"")</f>
        <v/>
      </c>
      <c r="I1232" s="54" t="str">
        <f>IFERROR(IF(INDEX(SPOT_Import!$A$1:$Z$2488,1232,'Live Data'!$C$20)="","",INDEX(SPOT_Import!$A$1:$Z$2488,1232,'Live Data'!$C$20)),"")</f>
        <v/>
      </c>
      <c r="J1232" s="54" t="str">
        <f>IFERROR(IF(INDEX(SPOT_Import!$A$1:$Z$2488,1232,'Live Data'!$C$21)="","",INDEX(SPOT_Import!$A$1:$Z$2488,1232,'Live Data'!$C$21)),"")</f>
        <v/>
      </c>
      <c r="K1232" s="54" t="str">
        <f>IFERROR(IF(INDEX(SPOT_Import!$A$1:$Z$2488,1232,'Live Data'!$C$22)="","",INDEX(SPOT_Import!$A$1:$Z$2488,1232,'Live Data'!$C$22)),"")</f>
        <v/>
      </c>
      <c r="L1232" s="55" t="str">
        <f t="shared" si="38"/>
        <v/>
      </c>
      <c r="M1232" s="55" t="str">
        <f t="shared" si="39"/>
        <v/>
      </c>
      <c r="N1232" s="55" t="str">
        <f>IF(A1232="","",IFERROR(INDEX('Cluster Map'!$A$4:$A$38,MATCH(M1232,'Cluster Map'!$B$4:$B$38,0)),"Unmapped"))</f>
        <v/>
      </c>
      <c r="O1232" s="55">
        <f>IF(A1232="",0,IF(COUNTIFS($A$2:A1232,A1232,$F$2:F1232,F1232,$L$2:L1232,L1232)=1,1,0))</f>
        <v>0</v>
      </c>
      <c r="P1232" s="55">
        <f>IF(A1232="",0,IF(AND(F1232="C&amp;T",COUNTIFS($A$2:A1232,A1232,$F$2:F1232,"C&amp;T")=1),1,0))</f>
        <v>0</v>
      </c>
    </row>
    <row r="1233" spans="1:16" x14ac:dyDescent="0.35">
      <c r="A1233" s="54" t="str">
        <f>IFERROR(IF(INDEX(SPOT_Import!$A$1:$Z$2488,1233,'Live Data'!$C$12)="","",INDEX(SPOT_Import!$A$1:$Z$2488,1233,'Live Data'!$C$12)),"")</f>
        <v/>
      </c>
      <c r="B1233" s="54" t="str">
        <f>IFERROR(IF(INDEX(SPOT_Import!$A$1:$Z$2488,1233,'Live Data'!$C$13)="","",INDEX(SPOT_Import!$A$1:$Z$2488,1233,'Live Data'!$C$13)),"")</f>
        <v/>
      </c>
      <c r="C1233" s="54" t="str">
        <f>IFERROR(IF(INDEX(SPOT_Import!$A$1:$Z$2488,1233,'Live Data'!$C$14)="","",INDEX(SPOT_Import!$A$1:$Z$2488,1233,'Live Data'!$C$14)),"")</f>
        <v/>
      </c>
      <c r="D1233" s="54" t="str">
        <f>IFERROR(IF(INDEX(SPOT_Import!$A$1:$Z$2488,1233,'Live Data'!$C$15)="","",INDEX(SPOT_Import!$A$1:$Z$2488,1233,'Live Data'!$C$15)),"")</f>
        <v/>
      </c>
      <c r="E1233" s="54" t="str">
        <f>IFERROR(IF(INDEX(SPOT_Import!$A$1:$Z$2488,1233,'Live Data'!$C$16)="","",INDEX(SPOT_Import!$A$1:$Z$2488,1233,'Live Data'!$C$16)),"")</f>
        <v/>
      </c>
      <c r="F1233" s="54" t="str">
        <f>IFERROR(IF(INDEX(SPOT_Import!$A$1:$Z$2488,1233,'Live Data'!$C$17)="","",INDEX(SPOT_Import!$A$1:$Z$2488,1233,'Live Data'!$C$17)),"")</f>
        <v/>
      </c>
      <c r="G1233" s="54" t="str">
        <f>IFERROR(IF(INDEX(SPOT_Import!$A$1:$Z$2488,1233,'Live Data'!$C$18)="","",INDEX(SPOT_Import!$A$1:$Z$2488,1233,'Live Data'!$C$18)),"")</f>
        <v/>
      </c>
      <c r="H1233" s="54" t="str">
        <f>IFERROR(IF(INDEX(SPOT_Import!$A$1:$Z$2488,1233,'Live Data'!$C$19)="","",INDEX(SPOT_Import!$A$1:$Z$2488,1233,'Live Data'!$C$19)),"")</f>
        <v/>
      </c>
      <c r="I1233" s="54" t="str">
        <f>IFERROR(IF(INDEX(SPOT_Import!$A$1:$Z$2488,1233,'Live Data'!$C$20)="","",INDEX(SPOT_Import!$A$1:$Z$2488,1233,'Live Data'!$C$20)),"")</f>
        <v/>
      </c>
      <c r="J1233" s="54" t="str">
        <f>IFERROR(IF(INDEX(SPOT_Import!$A$1:$Z$2488,1233,'Live Data'!$C$21)="","",INDEX(SPOT_Import!$A$1:$Z$2488,1233,'Live Data'!$C$21)),"")</f>
        <v/>
      </c>
      <c r="K1233" s="54" t="str">
        <f>IFERROR(IF(INDEX(SPOT_Import!$A$1:$Z$2488,1233,'Live Data'!$C$22)="","",INDEX(SPOT_Import!$A$1:$Z$2488,1233,'Live Data'!$C$22)),"")</f>
        <v/>
      </c>
      <c r="L1233" s="55" t="str">
        <f t="shared" si="38"/>
        <v/>
      </c>
      <c r="M1233" s="55" t="str">
        <f t="shared" si="39"/>
        <v/>
      </c>
      <c r="N1233" s="55" t="str">
        <f>IF(A1233="","",IFERROR(INDEX('Cluster Map'!$A$4:$A$38,MATCH(M1233,'Cluster Map'!$B$4:$B$38,0)),"Unmapped"))</f>
        <v/>
      </c>
      <c r="O1233" s="55">
        <f>IF(A1233="",0,IF(COUNTIFS($A$2:A1233,A1233,$F$2:F1233,F1233,$L$2:L1233,L1233)=1,1,0))</f>
        <v>0</v>
      </c>
      <c r="P1233" s="55">
        <f>IF(A1233="",0,IF(AND(F1233="C&amp;T",COUNTIFS($A$2:A1233,A1233,$F$2:F1233,"C&amp;T")=1),1,0))</f>
        <v>0</v>
      </c>
    </row>
    <row r="1234" spans="1:16" x14ac:dyDescent="0.35">
      <c r="A1234" s="54" t="str">
        <f>IFERROR(IF(INDEX(SPOT_Import!$A$1:$Z$2488,1234,'Live Data'!$C$12)="","",INDEX(SPOT_Import!$A$1:$Z$2488,1234,'Live Data'!$C$12)),"")</f>
        <v/>
      </c>
      <c r="B1234" s="54" t="str">
        <f>IFERROR(IF(INDEX(SPOT_Import!$A$1:$Z$2488,1234,'Live Data'!$C$13)="","",INDEX(SPOT_Import!$A$1:$Z$2488,1234,'Live Data'!$C$13)),"")</f>
        <v/>
      </c>
      <c r="C1234" s="54" t="str">
        <f>IFERROR(IF(INDEX(SPOT_Import!$A$1:$Z$2488,1234,'Live Data'!$C$14)="","",INDEX(SPOT_Import!$A$1:$Z$2488,1234,'Live Data'!$C$14)),"")</f>
        <v/>
      </c>
      <c r="D1234" s="54" t="str">
        <f>IFERROR(IF(INDEX(SPOT_Import!$A$1:$Z$2488,1234,'Live Data'!$C$15)="","",INDEX(SPOT_Import!$A$1:$Z$2488,1234,'Live Data'!$C$15)),"")</f>
        <v/>
      </c>
      <c r="E1234" s="54" t="str">
        <f>IFERROR(IF(INDEX(SPOT_Import!$A$1:$Z$2488,1234,'Live Data'!$C$16)="","",INDEX(SPOT_Import!$A$1:$Z$2488,1234,'Live Data'!$C$16)),"")</f>
        <v/>
      </c>
      <c r="F1234" s="54" t="str">
        <f>IFERROR(IF(INDEX(SPOT_Import!$A$1:$Z$2488,1234,'Live Data'!$C$17)="","",INDEX(SPOT_Import!$A$1:$Z$2488,1234,'Live Data'!$C$17)),"")</f>
        <v/>
      </c>
      <c r="G1234" s="54" t="str">
        <f>IFERROR(IF(INDEX(SPOT_Import!$A$1:$Z$2488,1234,'Live Data'!$C$18)="","",INDEX(SPOT_Import!$A$1:$Z$2488,1234,'Live Data'!$C$18)),"")</f>
        <v/>
      </c>
      <c r="H1234" s="54" t="str">
        <f>IFERROR(IF(INDEX(SPOT_Import!$A$1:$Z$2488,1234,'Live Data'!$C$19)="","",INDEX(SPOT_Import!$A$1:$Z$2488,1234,'Live Data'!$C$19)),"")</f>
        <v/>
      </c>
      <c r="I1234" s="54" t="str">
        <f>IFERROR(IF(INDEX(SPOT_Import!$A$1:$Z$2488,1234,'Live Data'!$C$20)="","",INDEX(SPOT_Import!$A$1:$Z$2488,1234,'Live Data'!$C$20)),"")</f>
        <v/>
      </c>
      <c r="J1234" s="54" t="str">
        <f>IFERROR(IF(INDEX(SPOT_Import!$A$1:$Z$2488,1234,'Live Data'!$C$21)="","",INDEX(SPOT_Import!$A$1:$Z$2488,1234,'Live Data'!$C$21)),"")</f>
        <v/>
      </c>
      <c r="K1234" s="54" t="str">
        <f>IFERROR(IF(INDEX(SPOT_Import!$A$1:$Z$2488,1234,'Live Data'!$C$22)="","",INDEX(SPOT_Import!$A$1:$Z$2488,1234,'Live Data'!$C$22)),"")</f>
        <v/>
      </c>
      <c r="L1234" s="55" t="str">
        <f t="shared" si="38"/>
        <v/>
      </c>
      <c r="M1234" s="55" t="str">
        <f t="shared" si="39"/>
        <v/>
      </c>
      <c r="N1234" s="55" t="str">
        <f>IF(A1234="","",IFERROR(INDEX('Cluster Map'!$A$4:$A$38,MATCH(M1234,'Cluster Map'!$B$4:$B$38,0)),"Unmapped"))</f>
        <v/>
      </c>
      <c r="O1234" s="55">
        <f>IF(A1234="",0,IF(COUNTIFS($A$2:A1234,A1234,$F$2:F1234,F1234,$L$2:L1234,L1234)=1,1,0))</f>
        <v>0</v>
      </c>
      <c r="P1234" s="55">
        <f>IF(A1234="",0,IF(AND(F1234="C&amp;T",COUNTIFS($A$2:A1234,A1234,$F$2:F1234,"C&amp;T")=1),1,0))</f>
        <v>0</v>
      </c>
    </row>
    <row r="1235" spans="1:16" x14ac:dyDescent="0.35">
      <c r="A1235" s="54" t="str">
        <f>IFERROR(IF(INDEX(SPOT_Import!$A$1:$Z$2488,1235,'Live Data'!$C$12)="","",INDEX(SPOT_Import!$A$1:$Z$2488,1235,'Live Data'!$C$12)),"")</f>
        <v/>
      </c>
      <c r="B1235" s="54" t="str">
        <f>IFERROR(IF(INDEX(SPOT_Import!$A$1:$Z$2488,1235,'Live Data'!$C$13)="","",INDEX(SPOT_Import!$A$1:$Z$2488,1235,'Live Data'!$C$13)),"")</f>
        <v/>
      </c>
      <c r="C1235" s="54" t="str">
        <f>IFERROR(IF(INDEX(SPOT_Import!$A$1:$Z$2488,1235,'Live Data'!$C$14)="","",INDEX(SPOT_Import!$A$1:$Z$2488,1235,'Live Data'!$C$14)),"")</f>
        <v/>
      </c>
      <c r="D1235" s="54" t="str">
        <f>IFERROR(IF(INDEX(SPOT_Import!$A$1:$Z$2488,1235,'Live Data'!$C$15)="","",INDEX(SPOT_Import!$A$1:$Z$2488,1235,'Live Data'!$C$15)),"")</f>
        <v/>
      </c>
      <c r="E1235" s="54" t="str">
        <f>IFERROR(IF(INDEX(SPOT_Import!$A$1:$Z$2488,1235,'Live Data'!$C$16)="","",INDEX(SPOT_Import!$A$1:$Z$2488,1235,'Live Data'!$C$16)),"")</f>
        <v/>
      </c>
      <c r="F1235" s="54" t="str">
        <f>IFERROR(IF(INDEX(SPOT_Import!$A$1:$Z$2488,1235,'Live Data'!$C$17)="","",INDEX(SPOT_Import!$A$1:$Z$2488,1235,'Live Data'!$C$17)),"")</f>
        <v/>
      </c>
      <c r="G1235" s="54" t="str">
        <f>IFERROR(IF(INDEX(SPOT_Import!$A$1:$Z$2488,1235,'Live Data'!$C$18)="","",INDEX(SPOT_Import!$A$1:$Z$2488,1235,'Live Data'!$C$18)),"")</f>
        <v/>
      </c>
      <c r="H1235" s="54" t="str">
        <f>IFERROR(IF(INDEX(SPOT_Import!$A$1:$Z$2488,1235,'Live Data'!$C$19)="","",INDEX(SPOT_Import!$A$1:$Z$2488,1235,'Live Data'!$C$19)),"")</f>
        <v/>
      </c>
      <c r="I1235" s="54" t="str">
        <f>IFERROR(IF(INDEX(SPOT_Import!$A$1:$Z$2488,1235,'Live Data'!$C$20)="","",INDEX(SPOT_Import!$A$1:$Z$2488,1235,'Live Data'!$C$20)),"")</f>
        <v/>
      </c>
      <c r="J1235" s="54" t="str">
        <f>IFERROR(IF(INDEX(SPOT_Import!$A$1:$Z$2488,1235,'Live Data'!$C$21)="","",INDEX(SPOT_Import!$A$1:$Z$2488,1235,'Live Data'!$C$21)),"")</f>
        <v/>
      </c>
      <c r="K1235" s="54" t="str">
        <f>IFERROR(IF(INDEX(SPOT_Import!$A$1:$Z$2488,1235,'Live Data'!$C$22)="","",INDEX(SPOT_Import!$A$1:$Z$2488,1235,'Live Data'!$C$22)),"")</f>
        <v/>
      </c>
      <c r="L1235" s="55" t="str">
        <f t="shared" si="38"/>
        <v/>
      </c>
      <c r="M1235" s="55" t="str">
        <f t="shared" si="39"/>
        <v/>
      </c>
      <c r="N1235" s="55" t="str">
        <f>IF(A1235="","",IFERROR(INDEX('Cluster Map'!$A$4:$A$38,MATCH(M1235,'Cluster Map'!$B$4:$B$38,0)),"Unmapped"))</f>
        <v/>
      </c>
      <c r="O1235" s="55">
        <f>IF(A1235="",0,IF(COUNTIFS($A$2:A1235,A1235,$F$2:F1235,F1235,$L$2:L1235,L1235)=1,1,0))</f>
        <v>0</v>
      </c>
      <c r="P1235" s="55">
        <f>IF(A1235="",0,IF(AND(F1235="C&amp;T",COUNTIFS($A$2:A1235,A1235,$F$2:F1235,"C&amp;T")=1),1,0))</f>
        <v>0</v>
      </c>
    </row>
    <row r="1236" spans="1:16" x14ac:dyDescent="0.35">
      <c r="A1236" s="54" t="str">
        <f>IFERROR(IF(INDEX(SPOT_Import!$A$1:$Z$2488,1236,'Live Data'!$C$12)="","",INDEX(SPOT_Import!$A$1:$Z$2488,1236,'Live Data'!$C$12)),"")</f>
        <v/>
      </c>
      <c r="B1236" s="54" t="str">
        <f>IFERROR(IF(INDEX(SPOT_Import!$A$1:$Z$2488,1236,'Live Data'!$C$13)="","",INDEX(SPOT_Import!$A$1:$Z$2488,1236,'Live Data'!$C$13)),"")</f>
        <v/>
      </c>
      <c r="C1236" s="54" t="str">
        <f>IFERROR(IF(INDEX(SPOT_Import!$A$1:$Z$2488,1236,'Live Data'!$C$14)="","",INDEX(SPOT_Import!$A$1:$Z$2488,1236,'Live Data'!$C$14)),"")</f>
        <v/>
      </c>
      <c r="D1236" s="54" t="str">
        <f>IFERROR(IF(INDEX(SPOT_Import!$A$1:$Z$2488,1236,'Live Data'!$C$15)="","",INDEX(SPOT_Import!$A$1:$Z$2488,1236,'Live Data'!$C$15)),"")</f>
        <v/>
      </c>
      <c r="E1236" s="54" t="str">
        <f>IFERROR(IF(INDEX(SPOT_Import!$A$1:$Z$2488,1236,'Live Data'!$C$16)="","",INDEX(SPOT_Import!$A$1:$Z$2488,1236,'Live Data'!$C$16)),"")</f>
        <v/>
      </c>
      <c r="F1236" s="54" t="str">
        <f>IFERROR(IF(INDEX(SPOT_Import!$A$1:$Z$2488,1236,'Live Data'!$C$17)="","",INDEX(SPOT_Import!$A$1:$Z$2488,1236,'Live Data'!$C$17)),"")</f>
        <v/>
      </c>
      <c r="G1236" s="54" t="str">
        <f>IFERROR(IF(INDEX(SPOT_Import!$A$1:$Z$2488,1236,'Live Data'!$C$18)="","",INDEX(SPOT_Import!$A$1:$Z$2488,1236,'Live Data'!$C$18)),"")</f>
        <v/>
      </c>
      <c r="H1236" s="54" t="str">
        <f>IFERROR(IF(INDEX(SPOT_Import!$A$1:$Z$2488,1236,'Live Data'!$C$19)="","",INDEX(SPOT_Import!$A$1:$Z$2488,1236,'Live Data'!$C$19)),"")</f>
        <v/>
      </c>
      <c r="I1236" s="54" t="str">
        <f>IFERROR(IF(INDEX(SPOT_Import!$A$1:$Z$2488,1236,'Live Data'!$C$20)="","",INDEX(SPOT_Import!$A$1:$Z$2488,1236,'Live Data'!$C$20)),"")</f>
        <v/>
      </c>
      <c r="J1236" s="54" t="str">
        <f>IFERROR(IF(INDEX(SPOT_Import!$A$1:$Z$2488,1236,'Live Data'!$C$21)="","",INDEX(SPOT_Import!$A$1:$Z$2488,1236,'Live Data'!$C$21)),"")</f>
        <v/>
      </c>
      <c r="K1236" s="54" t="str">
        <f>IFERROR(IF(INDEX(SPOT_Import!$A$1:$Z$2488,1236,'Live Data'!$C$22)="","",INDEX(SPOT_Import!$A$1:$Z$2488,1236,'Live Data'!$C$22)),"")</f>
        <v/>
      </c>
      <c r="L1236" s="55" t="str">
        <f t="shared" si="38"/>
        <v/>
      </c>
      <c r="M1236" s="55" t="str">
        <f t="shared" si="39"/>
        <v/>
      </c>
      <c r="N1236" s="55" t="str">
        <f>IF(A1236="","",IFERROR(INDEX('Cluster Map'!$A$4:$A$38,MATCH(M1236,'Cluster Map'!$B$4:$B$38,0)),"Unmapped"))</f>
        <v/>
      </c>
      <c r="O1236" s="55">
        <f>IF(A1236="",0,IF(COUNTIFS($A$2:A1236,A1236,$F$2:F1236,F1236,$L$2:L1236,L1236)=1,1,0))</f>
        <v>0</v>
      </c>
      <c r="P1236" s="55">
        <f>IF(A1236="",0,IF(AND(F1236="C&amp;T",COUNTIFS($A$2:A1236,A1236,$F$2:F1236,"C&amp;T")=1),1,0))</f>
        <v>0</v>
      </c>
    </row>
    <row r="1237" spans="1:16" x14ac:dyDescent="0.35">
      <c r="A1237" s="54" t="str">
        <f>IFERROR(IF(INDEX(SPOT_Import!$A$1:$Z$2488,1237,'Live Data'!$C$12)="","",INDEX(SPOT_Import!$A$1:$Z$2488,1237,'Live Data'!$C$12)),"")</f>
        <v/>
      </c>
      <c r="B1237" s="54" t="str">
        <f>IFERROR(IF(INDEX(SPOT_Import!$A$1:$Z$2488,1237,'Live Data'!$C$13)="","",INDEX(SPOT_Import!$A$1:$Z$2488,1237,'Live Data'!$C$13)),"")</f>
        <v/>
      </c>
      <c r="C1237" s="54" t="str">
        <f>IFERROR(IF(INDEX(SPOT_Import!$A$1:$Z$2488,1237,'Live Data'!$C$14)="","",INDEX(SPOT_Import!$A$1:$Z$2488,1237,'Live Data'!$C$14)),"")</f>
        <v/>
      </c>
      <c r="D1237" s="54" t="str">
        <f>IFERROR(IF(INDEX(SPOT_Import!$A$1:$Z$2488,1237,'Live Data'!$C$15)="","",INDEX(SPOT_Import!$A$1:$Z$2488,1237,'Live Data'!$C$15)),"")</f>
        <v/>
      </c>
      <c r="E1237" s="54" t="str">
        <f>IFERROR(IF(INDEX(SPOT_Import!$A$1:$Z$2488,1237,'Live Data'!$C$16)="","",INDEX(SPOT_Import!$A$1:$Z$2488,1237,'Live Data'!$C$16)),"")</f>
        <v/>
      </c>
      <c r="F1237" s="54" t="str">
        <f>IFERROR(IF(INDEX(SPOT_Import!$A$1:$Z$2488,1237,'Live Data'!$C$17)="","",INDEX(SPOT_Import!$A$1:$Z$2488,1237,'Live Data'!$C$17)),"")</f>
        <v/>
      </c>
      <c r="G1237" s="54" t="str">
        <f>IFERROR(IF(INDEX(SPOT_Import!$A$1:$Z$2488,1237,'Live Data'!$C$18)="","",INDEX(SPOT_Import!$A$1:$Z$2488,1237,'Live Data'!$C$18)),"")</f>
        <v/>
      </c>
      <c r="H1237" s="54" t="str">
        <f>IFERROR(IF(INDEX(SPOT_Import!$A$1:$Z$2488,1237,'Live Data'!$C$19)="","",INDEX(SPOT_Import!$A$1:$Z$2488,1237,'Live Data'!$C$19)),"")</f>
        <v/>
      </c>
      <c r="I1237" s="54" t="str">
        <f>IFERROR(IF(INDEX(SPOT_Import!$A$1:$Z$2488,1237,'Live Data'!$C$20)="","",INDEX(SPOT_Import!$A$1:$Z$2488,1237,'Live Data'!$C$20)),"")</f>
        <v/>
      </c>
      <c r="J1237" s="54" t="str">
        <f>IFERROR(IF(INDEX(SPOT_Import!$A$1:$Z$2488,1237,'Live Data'!$C$21)="","",INDEX(SPOT_Import!$A$1:$Z$2488,1237,'Live Data'!$C$21)),"")</f>
        <v/>
      </c>
      <c r="K1237" s="54" t="str">
        <f>IFERROR(IF(INDEX(SPOT_Import!$A$1:$Z$2488,1237,'Live Data'!$C$22)="","",INDEX(SPOT_Import!$A$1:$Z$2488,1237,'Live Data'!$C$22)),"")</f>
        <v/>
      </c>
      <c r="L1237" s="55" t="str">
        <f t="shared" si="38"/>
        <v/>
      </c>
      <c r="M1237" s="55" t="str">
        <f t="shared" si="39"/>
        <v/>
      </c>
      <c r="N1237" s="55" t="str">
        <f>IF(A1237="","",IFERROR(INDEX('Cluster Map'!$A$4:$A$38,MATCH(M1237,'Cluster Map'!$B$4:$B$38,0)),"Unmapped"))</f>
        <v/>
      </c>
      <c r="O1237" s="55">
        <f>IF(A1237="",0,IF(COUNTIFS($A$2:A1237,A1237,$F$2:F1237,F1237,$L$2:L1237,L1237)=1,1,0))</f>
        <v>0</v>
      </c>
      <c r="P1237" s="55">
        <f>IF(A1237="",0,IF(AND(F1237="C&amp;T",COUNTIFS($A$2:A1237,A1237,$F$2:F1237,"C&amp;T")=1),1,0))</f>
        <v>0</v>
      </c>
    </row>
    <row r="1238" spans="1:16" x14ac:dyDescent="0.35">
      <c r="A1238" s="54" t="str">
        <f>IFERROR(IF(INDEX(SPOT_Import!$A$1:$Z$2488,1238,'Live Data'!$C$12)="","",INDEX(SPOT_Import!$A$1:$Z$2488,1238,'Live Data'!$C$12)),"")</f>
        <v/>
      </c>
      <c r="B1238" s="54" t="str">
        <f>IFERROR(IF(INDEX(SPOT_Import!$A$1:$Z$2488,1238,'Live Data'!$C$13)="","",INDEX(SPOT_Import!$A$1:$Z$2488,1238,'Live Data'!$C$13)),"")</f>
        <v/>
      </c>
      <c r="C1238" s="54" t="str">
        <f>IFERROR(IF(INDEX(SPOT_Import!$A$1:$Z$2488,1238,'Live Data'!$C$14)="","",INDEX(SPOT_Import!$A$1:$Z$2488,1238,'Live Data'!$C$14)),"")</f>
        <v/>
      </c>
      <c r="D1238" s="54" t="str">
        <f>IFERROR(IF(INDEX(SPOT_Import!$A$1:$Z$2488,1238,'Live Data'!$C$15)="","",INDEX(SPOT_Import!$A$1:$Z$2488,1238,'Live Data'!$C$15)),"")</f>
        <v/>
      </c>
      <c r="E1238" s="54" t="str">
        <f>IFERROR(IF(INDEX(SPOT_Import!$A$1:$Z$2488,1238,'Live Data'!$C$16)="","",INDEX(SPOT_Import!$A$1:$Z$2488,1238,'Live Data'!$C$16)),"")</f>
        <v/>
      </c>
      <c r="F1238" s="54" t="str">
        <f>IFERROR(IF(INDEX(SPOT_Import!$A$1:$Z$2488,1238,'Live Data'!$C$17)="","",INDEX(SPOT_Import!$A$1:$Z$2488,1238,'Live Data'!$C$17)),"")</f>
        <v/>
      </c>
      <c r="G1238" s="54" t="str">
        <f>IFERROR(IF(INDEX(SPOT_Import!$A$1:$Z$2488,1238,'Live Data'!$C$18)="","",INDEX(SPOT_Import!$A$1:$Z$2488,1238,'Live Data'!$C$18)),"")</f>
        <v/>
      </c>
      <c r="H1238" s="54" t="str">
        <f>IFERROR(IF(INDEX(SPOT_Import!$A$1:$Z$2488,1238,'Live Data'!$C$19)="","",INDEX(SPOT_Import!$A$1:$Z$2488,1238,'Live Data'!$C$19)),"")</f>
        <v/>
      </c>
      <c r="I1238" s="54" t="str">
        <f>IFERROR(IF(INDEX(SPOT_Import!$A$1:$Z$2488,1238,'Live Data'!$C$20)="","",INDEX(SPOT_Import!$A$1:$Z$2488,1238,'Live Data'!$C$20)),"")</f>
        <v/>
      </c>
      <c r="J1238" s="54" t="str">
        <f>IFERROR(IF(INDEX(SPOT_Import!$A$1:$Z$2488,1238,'Live Data'!$C$21)="","",INDEX(SPOT_Import!$A$1:$Z$2488,1238,'Live Data'!$C$21)),"")</f>
        <v/>
      </c>
      <c r="K1238" s="54" t="str">
        <f>IFERROR(IF(INDEX(SPOT_Import!$A$1:$Z$2488,1238,'Live Data'!$C$22)="","",INDEX(SPOT_Import!$A$1:$Z$2488,1238,'Live Data'!$C$22)),"")</f>
        <v/>
      </c>
      <c r="L1238" s="55" t="str">
        <f t="shared" si="38"/>
        <v/>
      </c>
      <c r="M1238" s="55" t="str">
        <f t="shared" si="39"/>
        <v/>
      </c>
      <c r="N1238" s="55" t="str">
        <f>IF(A1238="","",IFERROR(INDEX('Cluster Map'!$A$4:$A$38,MATCH(M1238,'Cluster Map'!$B$4:$B$38,0)),"Unmapped"))</f>
        <v/>
      </c>
      <c r="O1238" s="55">
        <f>IF(A1238="",0,IF(COUNTIFS($A$2:A1238,A1238,$F$2:F1238,F1238,$L$2:L1238,L1238)=1,1,0))</f>
        <v>0</v>
      </c>
      <c r="P1238" s="55">
        <f>IF(A1238="",0,IF(AND(F1238="C&amp;T",COUNTIFS($A$2:A1238,A1238,$F$2:F1238,"C&amp;T")=1),1,0))</f>
        <v>0</v>
      </c>
    </row>
    <row r="1239" spans="1:16" x14ac:dyDescent="0.35">
      <c r="A1239" s="54" t="str">
        <f>IFERROR(IF(INDEX(SPOT_Import!$A$1:$Z$2488,1239,'Live Data'!$C$12)="","",INDEX(SPOT_Import!$A$1:$Z$2488,1239,'Live Data'!$C$12)),"")</f>
        <v/>
      </c>
      <c r="B1239" s="54" t="str">
        <f>IFERROR(IF(INDEX(SPOT_Import!$A$1:$Z$2488,1239,'Live Data'!$C$13)="","",INDEX(SPOT_Import!$A$1:$Z$2488,1239,'Live Data'!$C$13)),"")</f>
        <v/>
      </c>
      <c r="C1239" s="54" t="str">
        <f>IFERROR(IF(INDEX(SPOT_Import!$A$1:$Z$2488,1239,'Live Data'!$C$14)="","",INDEX(SPOT_Import!$A$1:$Z$2488,1239,'Live Data'!$C$14)),"")</f>
        <v/>
      </c>
      <c r="D1239" s="54" t="str">
        <f>IFERROR(IF(INDEX(SPOT_Import!$A$1:$Z$2488,1239,'Live Data'!$C$15)="","",INDEX(SPOT_Import!$A$1:$Z$2488,1239,'Live Data'!$C$15)),"")</f>
        <v/>
      </c>
      <c r="E1239" s="54" t="str">
        <f>IFERROR(IF(INDEX(SPOT_Import!$A$1:$Z$2488,1239,'Live Data'!$C$16)="","",INDEX(SPOT_Import!$A$1:$Z$2488,1239,'Live Data'!$C$16)),"")</f>
        <v/>
      </c>
      <c r="F1239" s="54" t="str">
        <f>IFERROR(IF(INDEX(SPOT_Import!$A$1:$Z$2488,1239,'Live Data'!$C$17)="","",INDEX(SPOT_Import!$A$1:$Z$2488,1239,'Live Data'!$C$17)),"")</f>
        <v/>
      </c>
      <c r="G1239" s="54" t="str">
        <f>IFERROR(IF(INDEX(SPOT_Import!$A$1:$Z$2488,1239,'Live Data'!$C$18)="","",INDEX(SPOT_Import!$A$1:$Z$2488,1239,'Live Data'!$C$18)),"")</f>
        <v/>
      </c>
      <c r="H1239" s="54" t="str">
        <f>IFERROR(IF(INDEX(SPOT_Import!$A$1:$Z$2488,1239,'Live Data'!$C$19)="","",INDEX(SPOT_Import!$A$1:$Z$2488,1239,'Live Data'!$C$19)),"")</f>
        <v/>
      </c>
      <c r="I1239" s="54" t="str">
        <f>IFERROR(IF(INDEX(SPOT_Import!$A$1:$Z$2488,1239,'Live Data'!$C$20)="","",INDEX(SPOT_Import!$A$1:$Z$2488,1239,'Live Data'!$C$20)),"")</f>
        <v/>
      </c>
      <c r="J1239" s="54" t="str">
        <f>IFERROR(IF(INDEX(SPOT_Import!$A$1:$Z$2488,1239,'Live Data'!$C$21)="","",INDEX(SPOT_Import!$A$1:$Z$2488,1239,'Live Data'!$C$21)),"")</f>
        <v/>
      </c>
      <c r="K1239" s="54" t="str">
        <f>IFERROR(IF(INDEX(SPOT_Import!$A$1:$Z$2488,1239,'Live Data'!$C$22)="","",INDEX(SPOT_Import!$A$1:$Z$2488,1239,'Live Data'!$C$22)),"")</f>
        <v/>
      </c>
      <c r="L1239" s="55" t="str">
        <f t="shared" si="38"/>
        <v/>
      </c>
      <c r="M1239" s="55" t="str">
        <f t="shared" si="39"/>
        <v/>
      </c>
      <c r="N1239" s="55" t="str">
        <f>IF(A1239="","",IFERROR(INDEX('Cluster Map'!$A$4:$A$38,MATCH(M1239,'Cluster Map'!$B$4:$B$38,0)),"Unmapped"))</f>
        <v/>
      </c>
      <c r="O1239" s="55">
        <f>IF(A1239="",0,IF(COUNTIFS($A$2:A1239,A1239,$F$2:F1239,F1239,$L$2:L1239,L1239)=1,1,0))</f>
        <v>0</v>
      </c>
      <c r="P1239" s="55">
        <f>IF(A1239="",0,IF(AND(F1239="C&amp;T",COUNTIFS($A$2:A1239,A1239,$F$2:F1239,"C&amp;T")=1),1,0))</f>
        <v>0</v>
      </c>
    </row>
    <row r="1240" spans="1:16" x14ac:dyDescent="0.35">
      <c r="A1240" s="54" t="str">
        <f>IFERROR(IF(INDEX(SPOT_Import!$A$1:$Z$2488,1240,'Live Data'!$C$12)="","",INDEX(SPOT_Import!$A$1:$Z$2488,1240,'Live Data'!$C$12)),"")</f>
        <v/>
      </c>
      <c r="B1240" s="54" t="str">
        <f>IFERROR(IF(INDEX(SPOT_Import!$A$1:$Z$2488,1240,'Live Data'!$C$13)="","",INDEX(SPOT_Import!$A$1:$Z$2488,1240,'Live Data'!$C$13)),"")</f>
        <v/>
      </c>
      <c r="C1240" s="54" t="str">
        <f>IFERROR(IF(INDEX(SPOT_Import!$A$1:$Z$2488,1240,'Live Data'!$C$14)="","",INDEX(SPOT_Import!$A$1:$Z$2488,1240,'Live Data'!$C$14)),"")</f>
        <v/>
      </c>
      <c r="D1240" s="54" t="str">
        <f>IFERROR(IF(INDEX(SPOT_Import!$A$1:$Z$2488,1240,'Live Data'!$C$15)="","",INDEX(SPOT_Import!$A$1:$Z$2488,1240,'Live Data'!$C$15)),"")</f>
        <v/>
      </c>
      <c r="E1240" s="54" t="str">
        <f>IFERROR(IF(INDEX(SPOT_Import!$A$1:$Z$2488,1240,'Live Data'!$C$16)="","",INDEX(SPOT_Import!$A$1:$Z$2488,1240,'Live Data'!$C$16)),"")</f>
        <v/>
      </c>
      <c r="F1240" s="54" t="str">
        <f>IFERROR(IF(INDEX(SPOT_Import!$A$1:$Z$2488,1240,'Live Data'!$C$17)="","",INDEX(SPOT_Import!$A$1:$Z$2488,1240,'Live Data'!$C$17)),"")</f>
        <v/>
      </c>
      <c r="G1240" s="54" t="str">
        <f>IFERROR(IF(INDEX(SPOT_Import!$A$1:$Z$2488,1240,'Live Data'!$C$18)="","",INDEX(SPOT_Import!$A$1:$Z$2488,1240,'Live Data'!$C$18)),"")</f>
        <v/>
      </c>
      <c r="H1240" s="54" t="str">
        <f>IFERROR(IF(INDEX(SPOT_Import!$A$1:$Z$2488,1240,'Live Data'!$C$19)="","",INDEX(SPOT_Import!$A$1:$Z$2488,1240,'Live Data'!$C$19)),"")</f>
        <v/>
      </c>
      <c r="I1240" s="54" t="str">
        <f>IFERROR(IF(INDEX(SPOT_Import!$A$1:$Z$2488,1240,'Live Data'!$C$20)="","",INDEX(SPOT_Import!$A$1:$Z$2488,1240,'Live Data'!$C$20)),"")</f>
        <v/>
      </c>
      <c r="J1240" s="54" t="str">
        <f>IFERROR(IF(INDEX(SPOT_Import!$A$1:$Z$2488,1240,'Live Data'!$C$21)="","",INDEX(SPOT_Import!$A$1:$Z$2488,1240,'Live Data'!$C$21)),"")</f>
        <v/>
      </c>
      <c r="K1240" s="54" t="str">
        <f>IFERROR(IF(INDEX(SPOT_Import!$A$1:$Z$2488,1240,'Live Data'!$C$22)="","",INDEX(SPOT_Import!$A$1:$Z$2488,1240,'Live Data'!$C$22)),"")</f>
        <v/>
      </c>
      <c r="L1240" s="55" t="str">
        <f t="shared" si="38"/>
        <v/>
      </c>
      <c r="M1240" s="55" t="str">
        <f t="shared" si="39"/>
        <v/>
      </c>
      <c r="N1240" s="55" t="str">
        <f>IF(A1240="","",IFERROR(INDEX('Cluster Map'!$A$4:$A$38,MATCH(M1240,'Cluster Map'!$B$4:$B$38,0)),"Unmapped"))</f>
        <v/>
      </c>
      <c r="O1240" s="55">
        <f>IF(A1240="",0,IF(COUNTIFS($A$2:A1240,A1240,$F$2:F1240,F1240,$L$2:L1240,L1240)=1,1,0))</f>
        <v>0</v>
      </c>
      <c r="P1240" s="55">
        <f>IF(A1240="",0,IF(AND(F1240="C&amp;T",COUNTIFS($A$2:A1240,A1240,$F$2:F1240,"C&amp;T")=1),1,0))</f>
        <v>0</v>
      </c>
    </row>
    <row r="1241" spans="1:16" x14ac:dyDescent="0.35">
      <c r="A1241" s="54" t="str">
        <f>IFERROR(IF(INDEX(SPOT_Import!$A$1:$Z$2488,1241,'Live Data'!$C$12)="","",INDEX(SPOT_Import!$A$1:$Z$2488,1241,'Live Data'!$C$12)),"")</f>
        <v/>
      </c>
      <c r="B1241" s="54" t="str">
        <f>IFERROR(IF(INDEX(SPOT_Import!$A$1:$Z$2488,1241,'Live Data'!$C$13)="","",INDEX(SPOT_Import!$A$1:$Z$2488,1241,'Live Data'!$C$13)),"")</f>
        <v/>
      </c>
      <c r="C1241" s="54" t="str">
        <f>IFERROR(IF(INDEX(SPOT_Import!$A$1:$Z$2488,1241,'Live Data'!$C$14)="","",INDEX(SPOT_Import!$A$1:$Z$2488,1241,'Live Data'!$C$14)),"")</f>
        <v/>
      </c>
      <c r="D1241" s="54" t="str">
        <f>IFERROR(IF(INDEX(SPOT_Import!$A$1:$Z$2488,1241,'Live Data'!$C$15)="","",INDEX(SPOT_Import!$A$1:$Z$2488,1241,'Live Data'!$C$15)),"")</f>
        <v/>
      </c>
      <c r="E1241" s="54" t="str">
        <f>IFERROR(IF(INDEX(SPOT_Import!$A$1:$Z$2488,1241,'Live Data'!$C$16)="","",INDEX(SPOT_Import!$A$1:$Z$2488,1241,'Live Data'!$C$16)),"")</f>
        <v/>
      </c>
      <c r="F1241" s="54" t="str">
        <f>IFERROR(IF(INDEX(SPOT_Import!$A$1:$Z$2488,1241,'Live Data'!$C$17)="","",INDEX(SPOT_Import!$A$1:$Z$2488,1241,'Live Data'!$C$17)),"")</f>
        <v/>
      </c>
      <c r="G1241" s="54" t="str">
        <f>IFERROR(IF(INDEX(SPOT_Import!$A$1:$Z$2488,1241,'Live Data'!$C$18)="","",INDEX(SPOT_Import!$A$1:$Z$2488,1241,'Live Data'!$C$18)),"")</f>
        <v/>
      </c>
      <c r="H1241" s="54" t="str">
        <f>IFERROR(IF(INDEX(SPOT_Import!$A$1:$Z$2488,1241,'Live Data'!$C$19)="","",INDEX(SPOT_Import!$A$1:$Z$2488,1241,'Live Data'!$C$19)),"")</f>
        <v/>
      </c>
      <c r="I1241" s="54" t="str">
        <f>IFERROR(IF(INDEX(SPOT_Import!$A$1:$Z$2488,1241,'Live Data'!$C$20)="","",INDEX(SPOT_Import!$A$1:$Z$2488,1241,'Live Data'!$C$20)),"")</f>
        <v/>
      </c>
      <c r="J1241" s="54" t="str">
        <f>IFERROR(IF(INDEX(SPOT_Import!$A$1:$Z$2488,1241,'Live Data'!$C$21)="","",INDEX(SPOT_Import!$A$1:$Z$2488,1241,'Live Data'!$C$21)),"")</f>
        <v/>
      </c>
      <c r="K1241" s="54" t="str">
        <f>IFERROR(IF(INDEX(SPOT_Import!$A$1:$Z$2488,1241,'Live Data'!$C$22)="","",INDEX(SPOT_Import!$A$1:$Z$2488,1241,'Live Data'!$C$22)),"")</f>
        <v/>
      </c>
      <c r="L1241" s="55" t="str">
        <f t="shared" si="38"/>
        <v/>
      </c>
      <c r="M1241" s="55" t="str">
        <f t="shared" si="39"/>
        <v/>
      </c>
      <c r="N1241" s="55" t="str">
        <f>IF(A1241="","",IFERROR(INDEX('Cluster Map'!$A$4:$A$38,MATCH(M1241,'Cluster Map'!$B$4:$B$38,0)),"Unmapped"))</f>
        <v/>
      </c>
      <c r="O1241" s="55">
        <f>IF(A1241="",0,IF(COUNTIFS($A$2:A1241,A1241,$F$2:F1241,F1241,$L$2:L1241,L1241)=1,1,0))</f>
        <v>0</v>
      </c>
      <c r="P1241" s="55">
        <f>IF(A1241="",0,IF(AND(F1241="C&amp;T",COUNTIFS($A$2:A1241,A1241,$F$2:F1241,"C&amp;T")=1),1,0))</f>
        <v>0</v>
      </c>
    </row>
    <row r="1242" spans="1:16" x14ac:dyDescent="0.35">
      <c r="A1242" s="54" t="str">
        <f>IFERROR(IF(INDEX(SPOT_Import!$A$1:$Z$2488,1242,'Live Data'!$C$12)="","",INDEX(SPOT_Import!$A$1:$Z$2488,1242,'Live Data'!$C$12)),"")</f>
        <v/>
      </c>
      <c r="B1242" s="54" t="str">
        <f>IFERROR(IF(INDEX(SPOT_Import!$A$1:$Z$2488,1242,'Live Data'!$C$13)="","",INDEX(SPOT_Import!$A$1:$Z$2488,1242,'Live Data'!$C$13)),"")</f>
        <v/>
      </c>
      <c r="C1242" s="54" t="str">
        <f>IFERROR(IF(INDEX(SPOT_Import!$A$1:$Z$2488,1242,'Live Data'!$C$14)="","",INDEX(SPOT_Import!$A$1:$Z$2488,1242,'Live Data'!$C$14)),"")</f>
        <v/>
      </c>
      <c r="D1242" s="54" t="str">
        <f>IFERROR(IF(INDEX(SPOT_Import!$A$1:$Z$2488,1242,'Live Data'!$C$15)="","",INDEX(SPOT_Import!$A$1:$Z$2488,1242,'Live Data'!$C$15)),"")</f>
        <v/>
      </c>
      <c r="E1242" s="54" t="str">
        <f>IFERROR(IF(INDEX(SPOT_Import!$A$1:$Z$2488,1242,'Live Data'!$C$16)="","",INDEX(SPOT_Import!$A$1:$Z$2488,1242,'Live Data'!$C$16)),"")</f>
        <v/>
      </c>
      <c r="F1242" s="54" t="str">
        <f>IFERROR(IF(INDEX(SPOT_Import!$A$1:$Z$2488,1242,'Live Data'!$C$17)="","",INDEX(SPOT_Import!$A$1:$Z$2488,1242,'Live Data'!$C$17)),"")</f>
        <v/>
      </c>
      <c r="G1242" s="54" t="str">
        <f>IFERROR(IF(INDEX(SPOT_Import!$A$1:$Z$2488,1242,'Live Data'!$C$18)="","",INDEX(SPOT_Import!$A$1:$Z$2488,1242,'Live Data'!$C$18)),"")</f>
        <v/>
      </c>
      <c r="H1242" s="54" t="str">
        <f>IFERROR(IF(INDEX(SPOT_Import!$A$1:$Z$2488,1242,'Live Data'!$C$19)="","",INDEX(SPOT_Import!$A$1:$Z$2488,1242,'Live Data'!$C$19)),"")</f>
        <v/>
      </c>
      <c r="I1242" s="54" t="str">
        <f>IFERROR(IF(INDEX(SPOT_Import!$A$1:$Z$2488,1242,'Live Data'!$C$20)="","",INDEX(SPOT_Import!$A$1:$Z$2488,1242,'Live Data'!$C$20)),"")</f>
        <v/>
      </c>
      <c r="J1242" s="54" t="str">
        <f>IFERROR(IF(INDEX(SPOT_Import!$A$1:$Z$2488,1242,'Live Data'!$C$21)="","",INDEX(SPOT_Import!$A$1:$Z$2488,1242,'Live Data'!$C$21)),"")</f>
        <v/>
      </c>
      <c r="K1242" s="54" t="str">
        <f>IFERROR(IF(INDEX(SPOT_Import!$A$1:$Z$2488,1242,'Live Data'!$C$22)="","",INDEX(SPOT_Import!$A$1:$Z$2488,1242,'Live Data'!$C$22)),"")</f>
        <v/>
      </c>
      <c r="L1242" s="55" t="str">
        <f t="shared" si="38"/>
        <v/>
      </c>
      <c r="M1242" s="55" t="str">
        <f t="shared" si="39"/>
        <v/>
      </c>
      <c r="N1242" s="55" t="str">
        <f>IF(A1242="","",IFERROR(INDEX('Cluster Map'!$A$4:$A$38,MATCH(M1242,'Cluster Map'!$B$4:$B$38,0)),"Unmapped"))</f>
        <v/>
      </c>
      <c r="O1242" s="55">
        <f>IF(A1242="",0,IF(COUNTIFS($A$2:A1242,A1242,$F$2:F1242,F1242,$L$2:L1242,L1242)=1,1,0))</f>
        <v>0</v>
      </c>
      <c r="P1242" s="55">
        <f>IF(A1242="",0,IF(AND(F1242="C&amp;T",COUNTIFS($A$2:A1242,A1242,$F$2:F1242,"C&amp;T")=1),1,0))</f>
        <v>0</v>
      </c>
    </row>
    <row r="1243" spans="1:16" x14ac:dyDescent="0.35">
      <c r="A1243" s="54" t="str">
        <f>IFERROR(IF(INDEX(SPOT_Import!$A$1:$Z$2488,1243,'Live Data'!$C$12)="","",INDEX(SPOT_Import!$A$1:$Z$2488,1243,'Live Data'!$C$12)),"")</f>
        <v/>
      </c>
      <c r="B1243" s="54" t="str">
        <f>IFERROR(IF(INDEX(SPOT_Import!$A$1:$Z$2488,1243,'Live Data'!$C$13)="","",INDEX(SPOT_Import!$A$1:$Z$2488,1243,'Live Data'!$C$13)),"")</f>
        <v/>
      </c>
      <c r="C1243" s="54" t="str">
        <f>IFERROR(IF(INDEX(SPOT_Import!$A$1:$Z$2488,1243,'Live Data'!$C$14)="","",INDEX(SPOT_Import!$A$1:$Z$2488,1243,'Live Data'!$C$14)),"")</f>
        <v/>
      </c>
      <c r="D1243" s="54" t="str">
        <f>IFERROR(IF(INDEX(SPOT_Import!$A$1:$Z$2488,1243,'Live Data'!$C$15)="","",INDEX(SPOT_Import!$A$1:$Z$2488,1243,'Live Data'!$C$15)),"")</f>
        <v/>
      </c>
      <c r="E1243" s="54" t="str">
        <f>IFERROR(IF(INDEX(SPOT_Import!$A$1:$Z$2488,1243,'Live Data'!$C$16)="","",INDEX(SPOT_Import!$A$1:$Z$2488,1243,'Live Data'!$C$16)),"")</f>
        <v/>
      </c>
      <c r="F1243" s="54" t="str">
        <f>IFERROR(IF(INDEX(SPOT_Import!$A$1:$Z$2488,1243,'Live Data'!$C$17)="","",INDEX(SPOT_Import!$A$1:$Z$2488,1243,'Live Data'!$C$17)),"")</f>
        <v/>
      </c>
      <c r="G1243" s="54" t="str">
        <f>IFERROR(IF(INDEX(SPOT_Import!$A$1:$Z$2488,1243,'Live Data'!$C$18)="","",INDEX(SPOT_Import!$A$1:$Z$2488,1243,'Live Data'!$C$18)),"")</f>
        <v/>
      </c>
      <c r="H1243" s="54" t="str">
        <f>IFERROR(IF(INDEX(SPOT_Import!$A$1:$Z$2488,1243,'Live Data'!$C$19)="","",INDEX(SPOT_Import!$A$1:$Z$2488,1243,'Live Data'!$C$19)),"")</f>
        <v/>
      </c>
      <c r="I1243" s="54" t="str">
        <f>IFERROR(IF(INDEX(SPOT_Import!$A$1:$Z$2488,1243,'Live Data'!$C$20)="","",INDEX(SPOT_Import!$A$1:$Z$2488,1243,'Live Data'!$C$20)),"")</f>
        <v/>
      </c>
      <c r="J1243" s="54" t="str">
        <f>IFERROR(IF(INDEX(SPOT_Import!$A$1:$Z$2488,1243,'Live Data'!$C$21)="","",INDEX(SPOT_Import!$A$1:$Z$2488,1243,'Live Data'!$C$21)),"")</f>
        <v/>
      </c>
      <c r="K1243" s="54" t="str">
        <f>IFERROR(IF(INDEX(SPOT_Import!$A$1:$Z$2488,1243,'Live Data'!$C$22)="","",INDEX(SPOT_Import!$A$1:$Z$2488,1243,'Live Data'!$C$22)),"")</f>
        <v/>
      </c>
      <c r="L1243" s="55" t="str">
        <f t="shared" si="38"/>
        <v/>
      </c>
      <c r="M1243" s="55" t="str">
        <f t="shared" si="39"/>
        <v/>
      </c>
      <c r="N1243" s="55" t="str">
        <f>IF(A1243="","",IFERROR(INDEX('Cluster Map'!$A$4:$A$38,MATCH(M1243,'Cluster Map'!$B$4:$B$38,0)),"Unmapped"))</f>
        <v/>
      </c>
      <c r="O1243" s="55">
        <f>IF(A1243="",0,IF(COUNTIFS($A$2:A1243,A1243,$F$2:F1243,F1243,$L$2:L1243,L1243)=1,1,0))</f>
        <v>0</v>
      </c>
      <c r="P1243" s="55">
        <f>IF(A1243="",0,IF(AND(F1243="C&amp;T",COUNTIFS($A$2:A1243,A1243,$F$2:F1243,"C&amp;T")=1),1,0))</f>
        <v>0</v>
      </c>
    </row>
    <row r="1244" spans="1:16" x14ac:dyDescent="0.35">
      <c r="A1244" s="54" t="str">
        <f>IFERROR(IF(INDEX(SPOT_Import!$A$1:$Z$2488,1244,'Live Data'!$C$12)="","",INDEX(SPOT_Import!$A$1:$Z$2488,1244,'Live Data'!$C$12)),"")</f>
        <v/>
      </c>
      <c r="B1244" s="54" t="str">
        <f>IFERROR(IF(INDEX(SPOT_Import!$A$1:$Z$2488,1244,'Live Data'!$C$13)="","",INDEX(SPOT_Import!$A$1:$Z$2488,1244,'Live Data'!$C$13)),"")</f>
        <v/>
      </c>
      <c r="C1244" s="54" t="str">
        <f>IFERROR(IF(INDEX(SPOT_Import!$A$1:$Z$2488,1244,'Live Data'!$C$14)="","",INDEX(SPOT_Import!$A$1:$Z$2488,1244,'Live Data'!$C$14)),"")</f>
        <v/>
      </c>
      <c r="D1244" s="54" t="str">
        <f>IFERROR(IF(INDEX(SPOT_Import!$A$1:$Z$2488,1244,'Live Data'!$C$15)="","",INDEX(SPOT_Import!$A$1:$Z$2488,1244,'Live Data'!$C$15)),"")</f>
        <v/>
      </c>
      <c r="E1244" s="54" t="str">
        <f>IFERROR(IF(INDEX(SPOT_Import!$A$1:$Z$2488,1244,'Live Data'!$C$16)="","",INDEX(SPOT_Import!$A$1:$Z$2488,1244,'Live Data'!$C$16)),"")</f>
        <v/>
      </c>
      <c r="F1244" s="54" t="str">
        <f>IFERROR(IF(INDEX(SPOT_Import!$A$1:$Z$2488,1244,'Live Data'!$C$17)="","",INDEX(SPOT_Import!$A$1:$Z$2488,1244,'Live Data'!$C$17)),"")</f>
        <v/>
      </c>
      <c r="G1244" s="54" t="str">
        <f>IFERROR(IF(INDEX(SPOT_Import!$A$1:$Z$2488,1244,'Live Data'!$C$18)="","",INDEX(SPOT_Import!$A$1:$Z$2488,1244,'Live Data'!$C$18)),"")</f>
        <v/>
      </c>
      <c r="H1244" s="54" t="str">
        <f>IFERROR(IF(INDEX(SPOT_Import!$A$1:$Z$2488,1244,'Live Data'!$C$19)="","",INDEX(SPOT_Import!$A$1:$Z$2488,1244,'Live Data'!$C$19)),"")</f>
        <v/>
      </c>
      <c r="I1244" s="54" t="str">
        <f>IFERROR(IF(INDEX(SPOT_Import!$A$1:$Z$2488,1244,'Live Data'!$C$20)="","",INDEX(SPOT_Import!$A$1:$Z$2488,1244,'Live Data'!$C$20)),"")</f>
        <v/>
      </c>
      <c r="J1244" s="54" t="str">
        <f>IFERROR(IF(INDEX(SPOT_Import!$A$1:$Z$2488,1244,'Live Data'!$C$21)="","",INDEX(SPOT_Import!$A$1:$Z$2488,1244,'Live Data'!$C$21)),"")</f>
        <v/>
      </c>
      <c r="K1244" s="54" t="str">
        <f>IFERROR(IF(INDEX(SPOT_Import!$A$1:$Z$2488,1244,'Live Data'!$C$22)="","",INDEX(SPOT_Import!$A$1:$Z$2488,1244,'Live Data'!$C$22)),"")</f>
        <v/>
      </c>
      <c r="L1244" s="55" t="str">
        <f t="shared" si="38"/>
        <v/>
      </c>
      <c r="M1244" s="55" t="str">
        <f t="shared" si="39"/>
        <v/>
      </c>
      <c r="N1244" s="55" t="str">
        <f>IF(A1244="","",IFERROR(INDEX('Cluster Map'!$A$4:$A$38,MATCH(M1244,'Cluster Map'!$B$4:$B$38,0)),"Unmapped"))</f>
        <v/>
      </c>
      <c r="O1244" s="55">
        <f>IF(A1244="",0,IF(COUNTIFS($A$2:A1244,A1244,$F$2:F1244,F1244,$L$2:L1244,L1244)=1,1,0))</f>
        <v>0</v>
      </c>
      <c r="P1244" s="55">
        <f>IF(A1244="",0,IF(AND(F1244="C&amp;T",COUNTIFS($A$2:A1244,A1244,$F$2:F1244,"C&amp;T")=1),1,0))</f>
        <v>0</v>
      </c>
    </row>
    <row r="1245" spans="1:16" x14ac:dyDescent="0.35">
      <c r="A1245" s="54" t="str">
        <f>IFERROR(IF(INDEX(SPOT_Import!$A$1:$Z$2488,1245,'Live Data'!$C$12)="","",INDEX(SPOT_Import!$A$1:$Z$2488,1245,'Live Data'!$C$12)),"")</f>
        <v/>
      </c>
      <c r="B1245" s="54" t="str">
        <f>IFERROR(IF(INDEX(SPOT_Import!$A$1:$Z$2488,1245,'Live Data'!$C$13)="","",INDEX(SPOT_Import!$A$1:$Z$2488,1245,'Live Data'!$C$13)),"")</f>
        <v/>
      </c>
      <c r="C1245" s="54" t="str">
        <f>IFERROR(IF(INDEX(SPOT_Import!$A$1:$Z$2488,1245,'Live Data'!$C$14)="","",INDEX(SPOT_Import!$A$1:$Z$2488,1245,'Live Data'!$C$14)),"")</f>
        <v/>
      </c>
      <c r="D1245" s="54" t="str">
        <f>IFERROR(IF(INDEX(SPOT_Import!$A$1:$Z$2488,1245,'Live Data'!$C$15)="","",INDEX(SPOT_Import!$A$1:$Z$2488,1245,'Live Data'!$C$15)),"")</f>
        <v/>
      </c>
      <c r="E1245" s="54" t="str">
        <f>IFERROR(IF(INDEX(SPOT_Import!$A$1:$Z$2488,1245,'Live Data'!$C$16)="","",INDEX(SPOT_Import!$A$1:$Z$2488,1245,'Live Data'!$C$16)),"")</f>
        <v/>
      </c>
      <c r="F1245" s="54" t="str">
        <f>IFERROR(IF(INDEX(SPOT_Import!$A$1:$Z$2488,1245,'Live Data'!$C$17)="","",INDEX(SPOT_Import!$A$1:$Z$2488,1245,'Live Data'!$C$17)),"")</f>
        <v/>
      </c>
      <c r="G1245" s="54" t="str">
        <f>IFERROR(IF(INDEX(SPOT_Import!$A$1:$Z$2488,1245,'Live Data'!$C$18)="","",INDEX(SPOT_Import!$A$1:$Z$2488,1245,'Live Data'!$C$18)),"")</f>
        <v/>
      </c>
      <c r="H1245" s="54" t="str">
        <f>IFERROR(IF(INDEX(SPOT_Import!$A$1:$Z$2488,1245,'Live Data'!$C$19)="","",INDEX(SPOT_Import!$A$1:$Z$2488,1245,'Live Data'!$C$19)),"")</f>
        <v/>
      </c>
      <c r="I1245" s="54" t="str">
        <f>IFERROR(IF(INDEX(SPOT_Import!$A$1:$Z$2488,1245,'Live Data'!$C$20)="","",INDEX(SPOT_Import!$A$1:$Z$2488,1245,'Live Data'!$C$20)),"")</f>
        <v/>
      </c>
      <c r="J1245" s="54" t="str">
        <f>IFERROR(IF(INDEX(SPOT_Import!$A$1:$Z$2488,1245,'Live Data'!$C$21)="","",INDEX(SPOT_Import!$A$1:$Z$2488,1245,'Live Data'!$C$21)),"")</f>
        <v/>
      </c>
      <c r="K1245" s="54" t="str">
        <f>IFERROR(IF(INDEX(SPOT_Import!$A$1:$Z$2488,1245,'Live Data'!$C$22)="","",INDEX(SPOT_Import!$A$1:$Z$2488,1245,'Live Data'!$C$22)),"")</f>
        <v/>
      </c>
      <c r="L1245" s="55" t="str">
        <f t="shared" si="38"/>
        <v/>
      </c>
      <c r="M1245" s="55" t="str">
        <f t="shared" si="39"/>
        <v/>
      </c>
      <c r="N1245" s="55" t="str">
        <f>IF(A1245="","",IFERROR(INDEX('Cluster Map'!$A$4:$A$38,MATCH(M1245,'Cluster Map'!$B$4:$B$38,0)),"Unmapped"))</f>
        <v/>
      </c>
      <c r="O1245" s="55">
        <f>IF(A1245="",0,IF(COUNTIFS($A$2:A1245,A1245,$F$2:F1245,F1245,$L$2:L1245,L1245)=1,1,0))</f>
        <v>0</v>
      </c>
      <c r="P1245" s="55">
        <f>IF(A1245="",0,IF(AND(F1245="C&amp;T",COUNTIFS($A$2:A1245,A1245,$F$2:F1245,"C&amp;T")=1),1,0))</f>
        <v>0</v>
      </c>
    </row>
    <row r="1246" spans="1:16" x14ac:dyDescent="0.35">
      <c r="A1246" s="54" t="str">
        <f>IFERROR(IF(INDEX(SPOT_Import!$A$1:$Z$2488,1246,'Live Data'!$C$12)="","",INDEX(SPOT_Import!$A$1:$Z$2488,1246,'Live Data'!$C$12)),"")</f>
        <v/>
      </c>
      <c r="B1246" s="54" t="str">
        <f>IFERROR(IF(INDEX(SPOT_Import!$A$1:$Z$2488,1246,'Live Data'!$C$13)="","",INDEX(SPOT_Import!$A$1:$Z$2488,1246,'Live Data'!$C$13)),"")</f>
        <v/>
      </c>
      <c r="C1246" s="54" t="str">
        <f>IFERROR(IF(INDEX(SPOT_Import!$A$1:$Z$2488,1246,'Live Data'!$C$14)="","",INDEX(SPOT_Import!$A$1:$Z$2488,1246,'Live Data'!$C$14)),"")</f>
        <v/>
      </c>
      <c r="D1246" s="54" t="str">
        <f>IFERROR(IF(INDEX(SPOT_Import!$A$1:$Z$2488,1246,'Live Data'!$C$15)="","",INDEX(SPOT_Import!$A$1:$Z$2488,1246,'Live Data'!$C$15)),"")</f>
        <v/>
      </c>
      <c r="E1246" s="54" t="str">
        <f>IFERROR(IF(INDEX(SPOT_Import!$A$1:$Z$2488,1246,'Live Data'!$C$16)="","",INDEX(SPOT_Import!$A$1:$Z$2488,1246,'Live Data'!$C$16)),"")</f>
        <v/>
      </c>
      <c r="F1246" s="54" t="str">
        <f>IFERROR(IF(INDEX(SPOT_Import!$A$1:$Z$2488,1246,'Live Data'!$C$17)="","",INDEX(SPOT_Import!$A$1:$Z$2488,1246,'Live Data'!$C$17)),"")</f>
        <v/>
      </c>
      <c r="G1246" s="54" t="str">
        <f>IFERROR(IF(INDEX(SPOT_Import!$A$1:$Z$2488,1246,'Live Data'!$C$18)="","",INDEX(SPOT_Import!$A$1:$Z$2488,1246,'Live Data'!$C$18)),"")</f>
        <v/>
      </c>
      <c r="H1246" s="54" t="str">
        <f>IFERROR(IF(INDEX(SPOT_Import!$A$1:$Z$2488,1246,'Live Data'!$C$19)="","",INDEX(SPOT_Import!$A$1:$Z$2488,1246,'Live Data'!$C$19)),"")</f>
        <v/>
      </c>
      <c r="I1246" s="54" t="str">
        <f>IFERROR(IF(INDEX(SPOT_Import!$A$1:$Z$2488,1246,'Live Data'!$C$20)="","",INDEX(SPOT_Import!$A$1:$Z$2488,1246,'Live Data'!$C$20)),"")</f>
        <v/>
      </c>
      <c r="J1246" s="54" t="str">
        <f>IFERROR(IF(INDEX(SPOT_Import!$A$1:$Z$2488,1246,'Live Data'!$C$21)="","",INDEX(SPOT_Import!$A$1:$Z$2488,1246,'Live Data'!$C$21)),"")</f>
        <v/>
      </c>
      <c r="K1246" s="54" t="str">
        <f>IFERROR(IF(INDEX(SPOT_Import!$A$1:$Z$2488,1246,'Live Data'!$C$22)="","",INDEX(SPOT_Import!$A$1:$Z$2488,1246,'Live Data'!$C$22)),"")</f>
        <v/>
      </c>
      <c r="L1246" s="55" t="str">
        <f t="shared" si="38"/>
        <v/>
      </c>
      <c r="M1246" s="55" t="str">
        <f t="shared" si="39"/>
        <v/>
      </c>
      <c r="N1246" s="55" t="str">
        <f>IF(A1246="","",IFERROR(INDEX('Cluster Map'!$A$4:$A$38,MATCH(M1246,'Cluster Map'!$B$4:$B$38,0)),"Unmapped"))</f>
        <v/>
      </c>
      <c r="O1246" s="55">
        <f>IF(A1246="",0,IF(COUNTIFS($A$2:A1246,A1246,$F$2:F1246,F1246,$L$2:L1246,L1246)=1,1,0))</f>
        <v>0</v>
      </c>
      <c r="P1246" s="55">
        <f>IF(A1246="",0,IF(AND(F1246="C&amp;T",COUNTIFS($A$2:A1246,A1246,$F$2:F1246,"C&amp;T")=1),1,0))</f>
        <v>0</v>
      </c>
    </row>
    <row r="1247" spans="1:16" x14ac:dyDescent="0.35">
      <c r="A1247" s="54" t="str">
        <f>IFERROR(IF(INDEX(SPOT_Import!$A$1:$Z$2488,1247,'Live Data'!$C$12)="","",INDEX(SPOT_Import!$A$1:$Z$2488,1247,'Live Data'!$C$12)),"")</f>
        <v/>
      </c>
      <c r="B1247" s="54" t="str">
        <f>IFERROR(IF(INDEX(SPOT_Import!$A$1:$Z$2488,1247,'Live Data'!$C$13)="","",INDEX(SPOT_Import!$A$1:$Z$2488,1247,'Live Data'!$C$13)),"")</f>
        <v/>
      </c>
      <c r="C1247" s="54" t="str">
        <f>IFERROR(IF(INDEX(SPOT_Import!$A$1:$Z$2488,1247,'Live Data'!$C$14)="","",INDEX(SPOT_Import!$A$1:$Z$2488,1247,'Live Data'!$C$14)),"")</f>
        <v/>
      </c>
      <c r="D1247" s="54" t="str">
        <f>IFERROR(IF(INDEX(SPOT_Import!$A$1:$Z$2488,1247,'Live Data'!$C$15)="","",INDEX(SPOT_Import!$A$1:$Z$2488,1247,'Live Data'!$C$15)),"")</f>
        <v/>
      </c>
      <c r="E1247" s="54" t="str">
        <f>IFERROR(IF(INDEX(SPOT_Import!$A$1:$Z$2488,1247,'Live Data'!$C$16)="","",INDEX(SPOT_Import!$A$1:$Z$2488,1247,'Live Data'!$C$16)),"")</f>
        <v/>
      </c>
      <c r="F1247" s="54" t="str">
        <f>IFERROR(IF(INDEX(SPOT_Import!$A$1:$Z$2488,1247,'Live Data'!$C$17)="","",INDEX(SPOT_Import!$A$1:$Z$2488,1247,'Live Data'!$C$17)),"")</f>
        <v/>
      </c>
      <c r="G1247" s="54" t="str">
        <f>IFERROR(IF(INDEX(SPOT_Import!$A$1:$Z$2488,1247,'Live Data'!$C$18)="","",INDEX(SPOT_Import!$A$1:$Z$2488,1247,'Live Data'!$C$18)),"")</f>
        <v/>
      </c>
      <c r="H1247" s="54" t="str">
        <f>IFERROR(IF(INDEX(SPOT_Import!$A$1:$Z$2488,1247,'Live Data'!$C$19)="","",INDEX(SPOT_Import!$A$1:$Z$2488,1247,'Live Data'!$C$19)),"")</f>
        <v/>
      </c>
      <c r="I1247" s="54" t="str">
        <f>IFERROR(IF(INDEX(SPOT_Import!$A$1:$Z$2488,1247,'Live Data'!$C$20)="","",INDEX(SPOT_Import!$A$1:$Z$2488,1247,'Live Data'!$C$20)),"")</f>
        <v/>
      </c>
      <c r="J1247" s="54" t="str">
        <f>IFERROR(IF(INDEX(SPOT_Import!$A$1:$Z$2488,1247,'Live Data'!$C$21)="","",INDEX(SPOT_Import!$A$1:$Z$2488,1247,'Live Data'!$C$21)),"")</f>
        <v/>
      </c>
      <c r="K1247" s="54" t="str">
        <f>IFERROR(IF(INDEX(SPOT_Import!$A$1:$Z$2488,1247,'Live Data'!$C$22)="","",INDEX(SPOT_Import!$A$1:$Z$2488,1247,'Live Data'!$C$22)),"")</f>
        <v/>
      </c>
      <c r="L1247" s="55" t="str">
        <f t="shared" si="38"/>
        <v/>
      </c>
      <c r="M1247" s="55" t="str">
        <f t="shared" si="39"/>
        <v/>
      </c>
      <c r="N1247" s="55" t="str">
        <f>IF(A1247="","",IFERROR(INDEX('Cluster Map'!$A$4:$A$38,MATCH(M1247,'Cluster Map'!$B$4:$B$38,0)),"Unmapped"))</f>
        <v/>
      </c>
      <c r="O1247" s="55">
        <f>IF(A1247="",0,IF(COUNTIFS($A$2:A1247,A1247,$F$2:F1247,F1247,$L$2:L1247,L1247)=1,1,0))</f>
        <v>0</v>
      </c>
      <c r="P1247" s="55">
        <f>IF(A1247="",0,IF(AND(F1247="C&amp;T",COUNTIFS($A$2:A1247,A1247,$F$2:F1247,"C&amp;T")=1),1,0))</f>
        <v>0</v>
      </c>
    </row>
    <row r="1248" spans="1:16" x14ac:dyDescent="0.35">
      <c r="A1248" s="54" t="str">
        <f>IFERROR(IF(INDEX(SPOT_Import!$A$1:$Z$2488,1248,'Live Data'!$C$12)="","",INDEX(SPOT_Import!$A$1:$Z$2488,1248,'Live Data'!$C$12)),"")</f>
        <v/>
      </c>
      <c r="B1248" s="54" t="str">
        <f>IFERROR(IF(INDEX(SPOT_Import!$A$1:$Z$2488,1248,'Live Data'!$C$13)="","",INDEX(SPOT_Import!$A$1:$Z$2488,1248,'Live Data'!$C$13)),"")</f>
        <v/>
      </c>
      <c r="C1248" s="54" t="str">
        <f>IFERROR(IF(INDEX(SPOT_Import!$A$1:$Z$2488,1248,'Live Data'!$C$14)="","",INDEX(SPOT_Import!$A$1:$Z$2488,1248,'Live Data'!$C$14)),"")</f>
        <v/>
      </c>
      <c r="D1248" s="54" t="str">
        <f>IFERROR(IF(INDEX(SPOT_Import!$A$1:$Z$2488,1248,'Live Data'!$C$15)="","",INDEX(SPOT_Import!$A$1:$Z$2488,1248,'Live Data'!$C$15)),"")</f>
        <v/>
      </c>
      <c r="E1248" s="54" t="str">
        <f>IFERROR(IF(INDEX(SPOT_Import!$A$1:$Z$2488,1248,'Live Data'!$C$16)="","",INDEX(SPOT_Import!$A$1:$Z$2488,1248,'Live Data'!$C$16)),"")</f>
        <v/>
      </c>
      <c r="F1248" s="54" t="str">
        <f>IFERROR(IF(INDEX(SPOT_Import!$A$1:$Z$2488,1248,'Live Data'!$C$17)="","",INDEX(SPOT_Import!$A$1:$Z$2488,1248,'Live Data'!$C$17)),"")</f>
        <v/>
      </c>
      <c r="G1248" s="54" t="str">
        <f>IFERROR(IF(INDEX(SPOT_Import!$A$1:$Z$2488,1248,'Live Data'!$C$18)="","",INDEX(SPOT_Import!$A$1:$Z$2488,1248,'Live Data'!$C$18)),"")</f>
        <v/>
      </c>
      <c r="H1248" s="54" t="str">
        <f>IFERROR(IF(INDEX(SPOT_Import!$A$1:$Z$2488,1248,'Live Data'!$C$19)="","",INDEX(SPOT_Import!$A$1:$Z$2488,1248,'Live Data'!$C$19)),"")</f>
        <v/>
      </c>
      <c r="I1248" s="54" t="str">
        <f>IFERROR(IF(INDEX(SPOT_Import!$A$1:$Z$2488,1248,'Live Data'!$C$20)="","",INDEX(SPOT_Import!$A$1:$Z$2488,1248,'Live Data'!$C$20)),"")</f>
        <v/>
      </c>
      <c r="J1248" s="54" t="str">
        <f>IFERROR(IF(INDEX(SPOT_Import!$A$1:$Z$2488,1248,'Live Data'!$C$21)="","",INDEX(SPOT_Import!$A$1:$Z$2488,1248,'Live Data'!$C$21)),"")</f>
        <v/>
      </c>
      <c r="K1248" s="54" t="str">
        <f>IFERROR(IF(INDEX(SPOT_Import!$A$1:$Z$2488,1248,'Live Data'!$C$22)="","",INDEX(SPOT_Import!$A$1:$Z$2488,1248,'Live Data'!$C$22)),"")</f>
        <v/>
      </c>
      <c r="L1248" s="55" t="str">
        <f t="shared" si="38"/>
        <v/>
      </c>
      <c r="M1248" s="55" t="str">
        <f t="shared" si="39"/>
        <v/>
      </c>
      <c r="N1248" s="55" t="str">
        <f>IF(A1248="","",IFERROR(INDEX('Cluster Map'!$A$4:$A$38,MATCH(M1248,'Cluster Map'!$B$4:$B$38,0)),"Unmapped"))</f>
        <v/>
      </c>
      <c r="O1248" s="55">
        <f>IF(A1248="",0,IF(COUNTIFS($A$2:A1248,A1248,$F$2:F1248,F1248,$L$2:L1248,L1248)=1,1,0))</f>
        <v>0</v>
      </c>
      <c r="P1248" s="55">
        <f>IF(A1248="",0,IF(AND(F1248="C&amp;T",COUNTIFS($A$2:A1248,A1248,$F$2:F1248,"C&amp;T")=1),1,0))</f>
        <v>0</v>
      </c>
    </row>
    <row r="1249" spans="1:16" x14ac:dyDescent="0.35">
      <c r="A1249" s="54" t="str">
        <f>IFERROR(IF(INDEX(SPOT_Import!$A$1:$Z$2488,1249,'Live Data'!$C$12)="","",INDEX(SPOT_Import!$A$1:$Z$2488,1249,'Live Data'!$C$12)),"")</f>
        <v/>
      </c>
      <c r="B1249" s="54" t="str">
        <f>IFERROR(IF(INDEX(SPOT_Import!$A$1:$Z$2488,1249,'Live Data'!$C$13)="","",INDEX(SPOT_Import!$A$1:$Z$2488,1249,'Live Data'!$C$13)),"")</f>
        <v/>
      </c>
      <c r="C1249" s="54" t="str">
        <f>IFERROR(IF(INDEX(SPOT_Import!$A$1:$Z$2488,1249,'Live Data'!$C$14)="","",INDEX(SPOT_Import!$A$1:$Z$2488,1249,'Live Data'!$C$14)),"")</f>
        <v/>
      </c>
      <c r="D1249" s="54" t="str">
        <f>IFERROR(IF(INDEX(SPOT_Import!$A$1:$Z$2488,1249,'Live Data'!$C$15)="","",INDEX(SPOT_Import!$A$1:$Z$2488,1249,'Live Data'!$C$15)),"")</f>
        <v/>
      </c>
      <c r="E1249" s="54" t="str">
        <f>IFERROR(IF(INDEX(SPOT_Import!$A$1:$Z$2488,1249,'Live Data'!$C$16)="","",INDEX(SPOT_Import!$A$1:$Z$2488,1249,'Live Data'!$C$16)),"")</f>
        <v/>
      </c>
      <c r="F1249" s="54" t="str">
        <f>IFERROR(IF(INDEX(SPOT_Import!$A$1:$Z$2488,1249,'Live Data'!$C$17)="","",INDEX(SPOT_Import!$A$1:$Z$2488,1249,'Live Data'!$C$17)),"")</f>
        <v/>
      </c>
      <c r="G1249" s="54" t="str">
        <f>IFERROR(IF(INDEX(SPOT_Import!$A$1:$Z$2488,1249,'Live Data'!$C$18)="","",INDEX(SPOT_Import!$A$1:$Z$2488,1249,'Live Data'!$C$18)),"")</f>
        <v/>
      </c>
      <c r="H1249" s="54" t="str">
        <f>IFERROR(IF(INDEX(SPOT_Import!$A$1:$Z$2488,1249,'Live Data'!$C$19)="","",INDEX(SPOT_Import!$A$1:$Z$2488,1249,'Live Data'!$C$19)),"")</f>
        <v/>
      </c>
      <c r="I1249" s="54" t="str">
        <f>IFERROR(IF(INDEX(SPOT_Import!$A$1:$Z$2488,1249,'Live Data'!$C$20)="","",INDEX(SPOT_Import!$A$1:$Z$2488,1249,'Live Data'!$C$20)),"")</f>
        <v/>
      </c>
      <c r="J1249" s="54" t="str">
        <f>IFERROR(IF(INDEX(SPOT_Import!$A$1:$Z$2488,1249,'Live Data'!$C$21)="","",INDEX(SPOT_Import!$A$1:$Z$2488,1249,'Live Data'!$C$21)),"")</f>
        <v/>
      </c>
      <c r="K1249" s="54" t="str">
        <f>IFERROR(IF(INDEX(SPOT_Import!$A$1:$Z$2488,1249,'Live Data'!$C$22)="","",INDEX(SPOT_Import!$A$1:$Z$2488,1249,'Live Data'!$C$22)),"")</f>
        <v/>
      </c>
      <c r="L1249" s="55" t="str">
        <f t="shared" si="38"/>
        <v/>
      </c>
      <c r="M1249" s="55" t="str">
        <f t="shared" si="39"/>
        <v/>
      </c>
      <c r="N1249" s="55" t="str">
        <f>IF(A1249="","",IFERROR(INDEX('Cluster Map'!$A$4:$A$38,MATCH(M1249,'Cluster Map'!$B$4:$B$38,0)),"Unmapped"))</f>
        <v/>
      </c>
      <c r="O1249" s="55">
        <f>IF(A1249="",0,IF(COUNTIFS($A$2:A1249,A1249,$F$2:F1249,F1249,$L$2:L1249,L1249)=1,1,0))</f>
        <v>0</v>
      </c>
      <c r="P1249" s="55">
        <f>IF(A1249="",0,IF(AND(F1249="C&amp;T",COUNTIFS($A$2:A1249,A1249,$F$2:F1249,"C&amp;T")=1),1,0))</f>
        <v>0</v>
      </c>
    </row>
    <row r="1250" spans="1:16" x14ac:dyDescent="0.35">
      <c r="A1250" s="54" t="str">
        <f>IFERROR(IF(INDEX(SPOT_Import!$A$1:$Z$2488,1250,'Live Data'!$C$12)="","",INDEX(SPOT_Import!$A$1:$Z$2488,1250,'Live Data'!$C$12)),"")</f>
        <v/>
      </c>
      <c r="B1250" s="54" t="str">
        <f>IFERROR(IF(INDEX(SPOT_Import!$A$1:$Z$2488,1250,'Live Data'!$C$13)="","",INDEX(SPOT_Import!$A$1:$Z$2488,1250,'Live Data'!$C$13)),"")</f>
        <v/>
      </c>
      <c r="C1250" s="54" t="str">
        <f>IFERROR(IF(INDEX(SPOT_Import!$A$1:$Z$2488,1250,'Live Data'!$C$14)="","",INDEX(SPOT_Import!$A$1:$Z$2488,1250,'Live Data'!$C$14)),"")</f>
        <v/>
      </c>
      <c r="D1250" s="54" t="str">
        <f>IFERROR(IF(INDEX(SPOT_Import!$A$1:$Z$2488,1250,'Live Data'!$C$15)="","",INDEX(SPOT_Import!$A$1:$Z$2488,1250,'Live Data'!$C$15)),"")</f>
        <v/>
      </c>
      <c r="E1250" s="54" t="str">
        <f>IFERROR(IF(INDEX(SPOT_Import!$A$1:$Z$2488,1250,'Live Data'!$C$16)="","",INDEX(SPOT_Import!$A$1:$Z$2488,1250,'Live Data'!$C$16)),"")</f>
        <v/>
      </c>
      <c r="F1250" s="54" t="str">
        <f>IFERROR(IF(INDEX(SPOT_Import!$A$1:$Z$2488,1250,'Live Data'!$C$17)="","",INDEX(SPOT_Import!$A$1:$Z$2488,1250,'Live Data'!$C$17)),"")</f>
        <v/>
      </c>
      <c r="G1250" s="54" t="str">
        <f>IFERROR(IF(INDEX(SPOT_Import!$A$1:$Z$2488,1250,'Live Data'!$C$18)="","",INDEX(SPOT_Import!$A$1:$Z$2488,1250,'Live Data'!$C$18)),"")</f>
        <v/>
      </c>
      <c r="H1250" s="54" t="str">
        <f>IFERROR(IF(INDEX(SPOT_Import!$A$1:$Z$2488,1250,'Live Data'!$C$19)="","",INDEX(SPOT_Import!$A$1:$Z$2488,1250,'Live Data'!$C$19)),"")</f>
        <v/>
      </c>
      <c r="I1250" s="54" t="str">
        <f>IFERROR(IF(INDEX(SPOT_Import!$A$1:$Z$2488,1250,'Live Data'!$C$20)="","",INDEX(SPOT_Import!$A$1:$Z$2488,1250,'Live Data'!$C$20)),"")</f>
        <v/>
      </c>
      <c r="J1250" s="54" t="str">
        <f>IFERROR(IF(INDEX(SPOT_Import!$A$1:$Z$2488,1250,'Live Data'!$C$21)="","",INDEX(SPOT_Import!$A$1:$Z$2488,1250,'Live Data'!$C$21)),"")</f>
        <v/>
      </c>
      <c r="K1250" s="54" t="str">
        <f>IFERROR(IF(INDEX(SPOT_Import!$A$1:$Z$2488,1250,'Live Data'!$C$22)="","",INDEX(SPOT_Import!$A$1:$Z$2488,1250,'Live Data'!$C$22)),"")</f>
        <v/>
      </c>
      <c r="L1250" s="55" t="str">
        <f t="shared" si="38"/>
        <v/>
      </c>
      <c r="M1250" s="55" t="str">
        <f t="shared" si="39"/>
        <v/>
      </c>
      <c r="N1250" s="55" t="str">
        <f>IF(A1250="","",IFERROR(INDEX('Cluster Map'!$A$4:$A$38,MATCH(M1250,'Cluster Map'!$B$4:$B$38,0)),"Unmapped"))</f>
        <v/>
      </c>
      <c r="O1250" s="55">
        <f>IF(A1250="",0,IF(COUNTIFS($A$2:A1250,A1250,$F$2:F1250,F1250,$L$2:L1250,L1250)=1,1,0))</f>
        <v>0</v>
      </c>
      <c r="P1250" s="55">
        <f>IF(A1250="",0,IF(AND(F1250="C&amp;T",COUNTIFS($A$2:A1250,A1250,$F$2:F1250,"C&amp;T")=1),1,0))</f>
        <v>0</v>
      </c>
    </row>
    <row r="1251" spans="1:16" x14ac:dyDescent="0.35">
      <c r="A1251" s="54" t="str">
        <f>IFERROR(IF(INDEX(SPOT_Import!$A$1:$Z$2488,1251,'Live Data'!$C$12)="","",INDEX(SPOT_Import!$A$1:$Z$2488,1251,'Live Data'!$C$12)),"")</f>
        <v/>
      </c>
      <c r="B1251" s="54" t="str">
        <f>IFERROR(IF(INDEX(SPOT_Import!$A$1:$Z$2488,1251,'Live Data'!$C$13)="","",INDEX(SPOT_Import!$A$1:$Z$2488,1251,'Live Data'!$C$13)),"")</f>
        <v/>
      </c>
      <c r="C1251" s="54" t="str">
        <f>IFERROR(IF(INDEX(SPOT_Import!$A$1:$Z$2488,1251,'Live Data'!$C$14)="","",INDEX(SPOT_Import!$A$1:$Z$2488,1251,'Live Data'!$C$14)),"")</f>
        <v/>
      </c>
      <c r="D1251" s="54" t="str">
        <f>IFERROR(IF(INDEX(SPOT_Import!$A$1:$Z$2488,1251,'Live Data'!$C$15)="","",INDEX(SPOT_Import!$A$1:$Z$2488,1251,'Live Data'!$C$15)),"")</f>
        <v/>
      </c>
      <c r="E1251" s="54" t="str">
        <f>IFERROR(IF(INDEX(SPOT_Import!$A$1:$Z$2488,1251,'Live Data'!$C$16)="","",INDEX(SPOT_Import!$A$1:$Z$2488,1251,'Live Data'!$C$16)),"")</f>
        <v/>
      </c>
      <c r="F1251" s="54" t="str">
        <f>IFERROR(IF(INDEX(SPOT_Import!$A$1:$Z$2488,1251,'Live Data'!$C$17)="","",INDEX(SPOT_Import!$A$1:$Z$2488,1251,'Live Data'!$C$17)),"")</f>
        <v/>
      </c>
      <c r="G1251" s="54" t="str">
        <f>IFERROR(IF(INDEX(SPOT_Import!$A$1:$Z$2488,1251,'Live Data'!$C$18)="","",INDEX(SPOT_Import!$A$1:$Z$2488,1251,'Live Data'!$C$18)),"")</f>
        <v/>
      </c>
      <c r="H1251" s="54" t="str">
        <f>IFERROR(IF(INDEX(SPOT_Import!$A$1:$Z$2488,1251,'Live Data'!$C$19)="","",INDEX(SPOT_Import!$A$1:$Z$2488,1251,'Live Data'!$C$19)),"")</f>
        <v/>
      </c>
      <c r="I1251" s="54" t="str">
        <f>IFERROR(IF(INDEX(SPOT_Import!$A$1:$Z$2488,1251,'Live Data'!$C$20)="","",INDEX(SPOT_Import!$A$1:$Z$2488,1251,'Live Data'!$C$20)),"")</f>
        <v/>
      </c>
      <c r="J1251" s="54" t="str">
        <f>IFERROR(IF(INDEX(SPOT_Import!$A$1:$Z$2488,1251,'Live Data'!$C$21)="","",INDEX(SPOT_Import!$A$1:$Z$2488,1251,'Live Data'!$C$21)),"")</f>
        <v/>
      </c>
      <c r="K1251" s="54" t="str">
        <f>IFERROR(IF(INDEX(SPOT_Import!$A$1:$Z$2488,1251,'Live Data'!$C$22)="","",INDEX(SPOT_Import!$A$1:$Z$2488,1251,'Live Data'!$C$22)),"")</f>
        <v/>
      </c>
      <c r="L1251" s="55" t="str">
        <f t="shared" si="38"/>
        <v/>
      </c>
      <c r="M1251" s="55" t="str">
        <f t="shared" si="39"/>
        <v/>
      </c>
      <c r="N1251" s="55" t="str">
        <f>IF(A1251="","",IFERROR(INDEX('Cluster Map'!$A$4:$A$38,MATCH(M1251,'Cluster Map'!$B$4:$B$38,0)),"Unmapped"))</f>
        <v/>
      </c>
      <c r="O1251" s="55">
        <f>IF(A1251="",0,IF(COUNTIFS($A$2:A1251,A1251,$F$2:F1251,F1251,$L$2:L1251,L1251)=1,1,0))</f>
        <v>0</v>
      </c>
      <c r="P1251" s="55">
        <f>IF(A1251="",0,IF(AND(F1251="C&amp;T",COUNTIFS($A$2:A1251,A1251,$F$2:F1251,"C&amp;T")=1),1,0))</f>
        <v>0</v>
      </c>
    </row>
    <row r="1252" spans="1:16" x14ac:dyDescent="0.35">
      <c r="A1252" s="54" t="str">
        <f>IFERROR(IF(INDEX(SPOT_Import!$A$1:$Z$2488,1252,'Live Data'!$C$12)="","",INDEX(SPOT_Import!$A$1:$Z$2488,1252,'Live Data'!$C$12)),"")</f>
        <v/>
      </c>
      <c r="B1252" s="54" t="str">
        <f>IFERROR(IF(INDEX(SPOT_Import!$A$1:$Z$2488,1252,'Live Data'!$C$13)="","",INDEX(SPOT_Import!$A$1:$Z$2488,1252,'Live Data'!$C$13)),"")</f>
        <v/>
      </c>
      <c r="C1252" s="54" t="str">
        <f>IFERROR(IF(INDEX(SPOT_Import!$A$1:$Z$2488,1252,'Live Data'!$C$14)="","",INDEX(SPOT_Import!$A$1:$Z$2488,1252,'Live Data'!$C$14)),"")</f>
        <v/>
      </c>
      <c r="D1252" s="54" t="str">
        <f>IFERROR(IF(INDEX(SPOT_Import!$A$1:$Z$2488,1252,'Live Data'!$C$15)="","",INDEX(SPOT_Import!$A$1:$Z$2488,1252,'Live Data'!$C$15)),"")</f>
        <v/>
      </c>
      <c r="E1252" s="54" t="str">
        <f>IFERROR(IF(INDEX(SPOT_Import!$A$1:$Z$2488,1252,'Live Data'!$C$16)="","",INDEX(SPOT_Import!$A$1:$Z$2488,1252,'Live Data'!$C$16)),"")</f>
        <v/>
      </c>
      <c r="F1252" s="54" t="str">
        <f>IFERROR(IF(INDEX(SPOT_Import!$A$1:$Z$2488,1252,'Live Data'!$C$17)="","",INDEX(SPOT_Import!$A$1:$Z$2488,1252,'Live Data'!$C$17)),"")</f>
        <v/>
      </c>
      <c r="G1252" s="54" t="str">
        <f>IFERROR(IF(INDEX(SPOT_Import!$A$1:$Z$2488,1252,'Live Data'!$C$18)="","",INDEX(SPOT_Import!$A$1:$Z$2488,1252,'Live Data'!$C$18)),"")</f>
        <v/>
      </c>
      <c r="H1252" s="54" t="str">
        <f>IFERROR(IF(INDEX(SPOT_Import!$A$1:$Z$2488,1252,'Live Data'!$C$19)="","",INDEX(SPOT_Import!$A$1:$Z$2488,1252,'Live Data'!$C$19)),"")</f>
        <v/>
      </c>
      <c r="I1252" s="54" t="str">
        <f>IFERROR(IF(INDEX(SPOT_Import!$A$1:$Z$2488,1252,'Live Data'!$C$20)="","",INDEX(SPOT_Import!$A$1:$Z$2488,1252,'Live Data'!$C$20)),"")</f>
        <v/>
      </c>
      <c r="J1252" s="54" t="str">
        <f>IFERROR(IF(INDEX(SPOT_Import!$A$1:$Z$2488,1252,'Live Data'!$C$21)="","",INDEX(SPOT_Import!$A$1:$Z$2488,1252,'Live Data'!$C$21)),"")</f>
        <v/>
      </c>
      <c r="K1252" s="54" t="str">
        <f>IFERROR(IF(INDEX(SPOT_Import!$A$1:$Z$2488,1252,'Live Data'!$C$22)="","",INDEX(SPOT_Import!$A$1:$Z$2488,1252,'Live Data'!$C$22)),"")</f>
        <v/>
      </c>
      <c r="L1252" s="55" t="str">
        <f t="shared" si="38"/>
        <v/>
      </c>
      <c r="M1252" s="55" t="str">
        <f t="shared" si="39"/>
        <v/>
      </c>
      <c r="N1252" s="55" t="str">
        <f>IF(A1252="","",IFERROR(INDEX('Cluster Map'!$A$4:$A$38,MATCH(M1252,'Cluster Map'!$B$4:$B$38,0)),"Unmapped"))</f>
        <v/>
      </c>
      <c r="O1252" s="55">
        <f>IF(A1252="",0,IF(COUNTIFS($A$2:A1252,A1252,$F$2:F1252,F1252,$L$2:L1252,L1252)=1,1,0))</f>
        <v>0</v>
      </c>
      <c r="P1252" s="55">
        <f>IF(A1252="",0,IF(AND(F1252="C&amp;T",COUNTIFS($A$2:A1252,A1252,$F$2:F1252,"C&amp;T")=1),1,0))</f>
        <v>0</v>
      </c>
    </row>
    <row r="1253" spans="1:16" x14ac:dyDescent="0.35">
      <c r="A1253" s="54" t="str">
        <f>IFERROR(IF(INDEX(SPOT_Import!$A$1:$Z$2488,1253,'Live Data'!$C$12)="","",INDEX(SPOT_Import!$A$1:$Z$2488,1253,'Live Data'!$C$12)),"")</f>
        <v/>
      </c>
      <c r="B1253" s="54" t="str">
        <f>IFERROR(IF(INDEX(SPOT_Import!$A$1:$Z$2488,1253,'Live Data'!$C$13)="","",INDEX(SPOT_Import!$A$1:$Z$2488,1253,'Live Data'!$C$13)),"")</f>
        <v/>
      </c>
      <c r="C1253" s="54" t="str">
        <f>IFERROR(IF(INDEX(SPOT_Import!$A$1:$Z$2488,1253,'Live Data'!$C$14)="","",INDEX(SPOT_Import!$A$1:$Z$2488,1253,'Live Data'!$C$14)),"")</f>
        <v/>
      </c>
      <c r="D1253" s="54" t="str">
        <f>IFERROR(IF(INDEX(SPOT_Import!$A$1:$Z$2488,1253,'Live Data'!$C$15)="","",INDEX(SPOT_Import!$A$1:$Z$2488,1253,'Live Data'!$C$15)),"")</f>
        <v/>
      </c>
      <c r="E1253" s="54" t="str">
        <f>IFERROR(IF(INDEX(SPOT_Import!$A$1:$Z$2488,1253,'Live Data'!$C$16)="","",INDEX(SPOT_Import!$A$1:$Z$2488,1253,'Live Data'!$C$16)),"")</f>
        <v/>
      </c>
      <c r="F1253" s="54" t="str">
        <f>IFERROR(IF(INDEX(SPOT_Import!$A$1:$Z$2488,1253,'Live Data'!$C$17)="","",INDEX(SPOT_Import!$A$1:$Z$2488,1253,'Live Data'!$C$17)),"")</f>
        <v/>
      </c>
      <c r="G1253" s="54" t="str">
        <f>IFERROR(IF(INDEX(SPOT_Import!$A$1:$Z$2488,1253,'Live Data'!$C$18)="","",INDEX(SPOT_Import!$A$1:$Z$2488,1253,'Live Data'!$C$18)),"")</f>
        <v/>
      </c>
      <c r="H1253" s="54" t="str">
        <f>IFERROR(IF(INDEX(SPOT_Import!$A$1:$Z$2488,1253,'Live Data'!$C$19)="","",INDEX(SPOT_Import!$A$1:$Z$2488,1253,'Live Data'!$C$19)),"")</f>
        <v/>
      </c>
      <c r="I1253" s="54" t="str">
        <f>IFERROR(IF(INDEX(SPOT_Import!$A$1:$Z$2488,1253,'Live Data'!$C$20)="","",INDEX(SPOT_Import!$A$1:$Z$2488,1253,'Live Data'!$C$20)),"")</f>
        <v/>
      </c>
      <c r="J1253" s="54" t="str">
        <f>IFERROR(IF(INDEX(SPOT_Import!$A$1:$Z$2488,1253,'Live Data'!$C$21)="","",INDEX(SPOT_Import!$A$1:$Z$2488,1253,'Live Data'!$C$21)),"")</f>
        <v/>
      </c>
      <c r="K1253" s="54" t="str">
        <f>IFERROR(IF(INDEX(SPOT_Import!$A$1:$Z$2488,1253,'Live Data'!$C$22)="","",INDEX(SPOT_Import!$A$1:$Z$2488,1253,'Live Data'!$C$22)),"")</f>
        <v/>
      </c>
      <c r="L1253" s="55" t="str">
        <f t="shared" si="38"/>
        <v/>
      </c>
      <c r="M1253" s="55" t="str">
        <f t="shared" si="39"/>
        <v/>
      </c>
      <c r="N1253" s="55" t="str">
        <f>IF(A1253="","",IFERROR(INDEX('Cluster Map'!$A$4:$A$38,MATCH(M1253,'Cluster Map'!$B$4:$B$38,0)),"Unmapped"))</f>
        <v/>
      </c>
      <c r="O1253" s="55">
        <f>IF(A1253="",0,IF(COUNTIFS($A$2:A1253,A1253,$F$2:F1253,F1253,$L$2:L1253,L1253)=1,1,0))</f>
        <v>0</v>
      </c>
      <c r="P1253" s="55">
        <f>IF(A1253="",0,IF(AND(F1253="C&amp;T",COUNTIFS($A$2:A1253,A1253,$F$2:F1253,"C&amp;T")=1),1,0))</f>
        <v>0</v>
      </c>
    </row>
    <row r="1254" spans="1:16" x14ac:dyDescent="0.35">
      <c r="A1254" s="54" t="str">
        <f>IFERROR(IF(INDEX(SPOT_Import!$A$1:$Z$2488,1254,'Live Data'!$C$12)="","",INDEX(SPOT_Import!$A$1:$Z$2488,1254,'Live Data'!$C$12)),"")</f>
        <v/>
      </c>
      <c r="B1254" s="54" t="str">
        <f>IFERROR(IF(INDEX(SPOT_Import!$A$1:$Z$2488,1254,'Live Data'!$C$13)="","",INDEX(SPOT_Import!$A$1:$Z$2488,1254,'Live Data'!$C$13)),"")</f>
        <v/>
      </c>
      <c r="C1254" s="54" t="str">
        <f>IFERROR(IF(INDEX(SPOT_Import!$A$1:$Z$2488,1254,'Live Data'!$C$14)="","",INDEX(SPOT_Import!$A$1:$Z$2488,1254,'Live Data'!$C$14)),"")</f>
        <v/>
      </c>
      <c r="D1254" s="54" t="str">
        <f>IFERROR(IF(INDEX(SPOT_Import!$A$1:$Z$2488,1254,'Live Data'!$C$15)="","",INDEX(SPOT_Import!$A$1:$Z$2488,1254,'Live Data'!$C$15)),"")</f>
        <v/>
      </c>
      <c r="E1254" s="54" t="str">
        <f>IFERROR(IF(INDEX(SPOT_Import!$A$1:$Z$2488,1254,'Live Data'!$C$16)="","",INDEX(SPOT_Import!$A$1:$Z$2488,1254,'Live Data'!$C$16)),"")</f>
        <v/>
      </c>
      <c r="F1254" s="54" t="str">
        <f>IFERROR(IF(INDEX(SPOT_Import!$A$1:$Z$2488,1254,'Live Data'!$C$17)="","",INDEX(SPOT_Import!$A$1:$Z$2488,1254,'Live Data'!$C$17)),"")</f>
        <v/>
      </c>
      <c r="G1254" s="54" t="str">
        <f>IFERROR(IF(INDEX(SPOT_Import!$A$1:$Z$2488,1254,'Live Data'!$C$18)="","",INDEX(SPOT_Import!$A$1:$Z$2488,1254,'Live Data'!$C$18)),"")</f>
        <v/>
      </c>
      <c r="H1254" s="54" t="str">
        <f>IFERROR(IF(INDEX(SPOT_Import!$A$1:$Z$2488,1254,'Live Data'!$C$19)="","",INDEX(SPOT_Import!$A$1:$Z$2488,1254,'Live Data'!$C$19)),"")</f>
        <v/>
      </c>
      <c r="I1254" s="54" t="str">
        <f>IFERROR(IF(INDEX(SPOT_Import!$A$1:$Z$2488,1254,'Live Data'!$C$20)="","",INDEX(SPOT_Import!$A$1:$Z$2488,1254,'Live Data'!$C$20)),"")</f>
        <v/>
      </c>
      <c r="J1254" s="54" t="str">
        <f>IFERROR(IF(INDEX(SPOT_Import!$A$1:$Z$2488,1254,'Live Data'!$C$21)="","",INDEX(SPOT_Import!$A$1:$Z$2488,1254,'Live Data'!$C$21)),"")</f>
        <v/>
      </c>
      <c r="K1254" s="54" t="str">
        <f>IFERROR(IF(INDEX(SPOT_Import!$A$1:$Z$2488,1254,'Live Data'!$C$22)="","",INDEX(SPOT_Import!$A$1:$Z$2488,1254,'Live Data'!$C$22)),"")</f>
        <v/>
      </c>
      <c r="L1254" s="55" t="str">
        <f t="shared" si="38"/>
        <v/>
      </c>
      <c r="M1254" s="55" t="str">
        <f t="shared" si="39"/>
        <v/>
      </c>
      <c r="N1254" s="55" t="str">
        <f>IF(A1254="","",IFERROR(INDEX('Cluster Map'!$A$4:$A$38,MATCH(M1254,'Cluster Map'!$B$4:$B$38,0)),"Unmapped"))</f>
        <v/>
      </c>
      <c r="O1254" s="55">
        <f>IF(A1254="",0,IF(COUNTIFS($A$2:A1254,A1254,$F$2:F1254,F1254,$L$2:L1254,L1254)=1,1,0))</f>
        <v>0</v>
      </c>
      <c r="P1254" s="55">
        <f>IF(A1254="",0,IF(AND(F1254="C&amp;T",COUNTIFS($A$2:A1254,A1254,$F$2:F1254,"C&amp;T")=1),1,0))</f>
        <v>0</v>
      </c>
    </row>
    <row r="1255" spans="1:16" x14ac:dyDescent="0.35">
      <c r="A1255" s="54" t="str">
        <f>IFERROR(IF(INDEX(SPOT_Import!$A$1:$Z$2488,1255,'Live Data'!$C$12)="","",INDEX(SPOT_Import!$A$1:$Z$2488,1255,'Live Data'!$C$12)),"")</f>
        <v/>
      </c>
      <c r="B1255" s="54" t="str">
        <f>IFERROR(IF(INDEX(SPOT_Import!$A$1:$Z$2488,1255,'Live Data'!$C$13)="","",INDEX(SPOT_Import!$A$1:$Z$2488,1255,'Live Data'!$C$13)),"")</f>
        <v/>
      </c>
      <c r="C1255" s="54" t="str">
        <f>IFERROR(IF(INDEX(SPOT_Import!$A$1:$Z$2488,1255,'Live Data'!$C$14)="","",INDEX(SPOT_Import!$A$1:$Z$2488,1255,'Live Data'!$C$14)),"")</f>
        <v/>
      </c>
      <c r="D1255" s="54" t="str">
        <f>IFERROR(IF(INDEX(SPOT_Import!$A$1:$Z$2488,1255,'Live Data'!$C$15)="","",INDEX(SPOT_Import!$A$1:$Z$2488,1255,'Live Data'!$C$15)),"")</f>
        <v/>
      </c>
      <c r="E1255" s="54" t="str">
        <f>IFERROR(IF(INDEX(SPOT_Import!$A$1:$Z$2488,1255,'Live Data'!$C$16)="","",INDEX(SPOT_Import!$A$1:$Z$2488,1255,'Live Data'!$C$16)),"")</f>
        <v/>
      </c>
      <c r="F1255" s="54" t="str">
        <f>IFERROR(IF(INDEX(SPOT_Import!$A$1:$Z$2488,1255,'Live Data'!$C$17)="","",INDEX(SPOT_Import!$A$1:$Z$2488,1255,'Live Data'!$C$17)),"")</f>
        <v/>
      </c>
      <c r="G1255" s="54" t="str">
        <f>IFERROR(IF(INDEX(SPOT_Import!$A$1:$Z$2488,1255,'Live Data'!$C$18)="","",INDEX(SPOT_Import!$A$1:$Z$2488,1255,'Live Data'!$C$18)),"")</f>
        <v/>
      </c>
      <c r="H1255" s="54" t="str">
        <f>IFERROR(IF(INDEX(SPOT_Import!$A$1:$Z$2488,1255,'Live Data'!$C$19)="","",INDEX(SPOT_Import!$A$1:$Z$2488,1255,'Live Data'!$C$19)),"")</f>
        <v/>
      </c>
      <c r="I1255" s="54" t="str">
        <f>IFERROR(IF(INDEX(SPOT_Import!$A$1:$Z$2488,1255,'Live Data'!$C$20)="","",INDEX(SPOT_Import!$A$1:$Z$2488,1255,'Live Data'!$C$20)),"")</f>
        <v/>
      </c>
      <c r="J1255" s="54" t="str">
        <f>IFERROR(IF(INDEX(SPOT_Import!$A$1:$Z$2488,1255,'Live Data'!$C$21)="","",INDEX(SPOT_Import!$A$1:$Z$2488,1255,'Live Data'!$C$21)),"")</f>
        <v/>
      </c>
      <c r="K1255" s="54" t="str">
        <f>IFERROR(IF(INDEX(SPOT_Import!$A$1:$Z$2488,1255,'Live Data'!$C$22)="","",INDEX(SPOT_Import!$A$1:$Z$2488,1255,'Live Data'!$C$22)),"")</f>
        <v/>
      </c>
      <c r="L1255" s="55" t="str">
        <f t="shared" si="38"/>
        <v/>
      </c>
      <c r="M1255" s="55" t="str">
        <f t="shared" si="39"/>
        <v/>
      </c>
      <c r="N1255" s="55" t="str">
        <f>IF(A1255="","",IFERROR(INDEX('Cluster Map'!$A$4:$A$38,MATCH(M1255,'Cluster Map'!$B$4:$B$38,0)),"Unmapped"))</f>
        <v/>
      </c>
      <c r="O1255" s="55">
        <f>IF(A1255="",0,IF(COUNTIFS($A$2:A1255,A1255,$F$2:F1255,F1255,$L$2:L1255,L1255)=1,1,0))</f>
        <v>0</v>
      </c>
      <c r="P1255" s="55">
        <f>IF(A1255="",0,IF(AND(F1255="C&amp;T",COUNTIFS($A$2:A1255,A1255,$F$2:F1255,"C&amp;T")=1),1,0))</f>
        <v>0</v>
      </c>
    </row>
    <row r="1256" spans="1:16" x14ac:dyDescent="0.35">
      <c r="A1256" s="54" t="str">
        <f>IFERROR(IF(INDEX(SPOT_Import!$A$1:$Z$2488,1256,'Live Data'!$C$12)="","",INDEX(SPOT_Import!$A$1:$Z$2488,1256,'Live Data'!$C$12)),"")</f>
        <v/>
      </c>
      <c r="B1256" s="54" t="str">
        <f>IFERROR(IF(INDEX(SPOT_Import!$A$1:$Z$2488,1256,'Live Data'!$C$13)="","",INDEX(SPOT_Import!$A$1:$Z$2488,1256,'Live Data'!$C$13)),"")</f>
        <v/>
      </c>
      <c r="C1256" s="54" t="str">
        <f>IFERROR(IF(INDEX(SPOT_Import!$A$1:$Z$2488,1256,'Live Data'!$C$14)="","",INDEX(SPOT_Import!$A$1:$Z$2488,1256,'Live Data'!$C$14)),"")</f>
        <v/>
      </c>
      <c r="D1256" s="54" t="str">
        <f>IFERROR(IF(INDEX(SPOT_Import!$A$1:$Z$2488,1256,'Live Data'!$C$15)="","",INDEX(SPOT_Import!$A$1:$Z$2488,1256,'Live Data'!$C$15)),"")</f>
        <v/>
      </c>
      <c r="E1256" s="54" t="str">
        <f>IFERROR(IF(INDEX(SPOT_Import!$A$1:$Z$2488,1256,'Live Data'!$C$16)="","",INDEX(SPOT_Import!$A$1:$Z$2488,1256,'Live Data'!$C$16)),"")</f>
        <v/>
      </c>
      <c r="F1256" s="54" t="str">
        <f>IFERROR(IF(INDEX(SPOT_Import!$A$1:$Z$2488,1256,'Live Data'!$C$17)="","",INDEX(SPOT_Import!$A$1:$Z$2488,1256,'Live Data'!$C$17)),"")</f>
        <v/>
      </c>
      <c r="G1256" s="54" t="str">
        <f>IFERROR(IF(INDEX(SPOT_Import!$A$1:$Z$2488,1256,'Live Data'!$C$18)="","",INDEX(SPOT_Import!$A$1:$Z$2488,1256,'Live Data'!$C$18)),"")</f>
        <v/>
      </c>
      <c r="H1256" s="54" t="str">
        <f>IFERROR(IF(INDEX(SPOT_Import!$A$1:$Z$2488,1256,'Live Data'!$C$19)="","",INDEX(SPOT_Import!$A$1:$Z$2488,1256,'Live Data'!$C$19)),"")</f>
        <v/>
      </c>
      <c r="I1256" s="54" t="str">
        <f>IFERROR(IF(INDEX(SPOT_Import!$A$1:$Z$2488,1256,'Live Data'!$C$20)="","",INDEX(SPOT_Import!$A$1:$Z$2488,1256,'Live Data'!$C$20)),"")</f>
        <v/>
      </c>
      <c r="J1256" s="54" t="str">
        <f>IFERROR(IF(INDEX(SPOT_Import!$A$1:$Z$2488,1256,'Live Data'!$C$21)="","",INDEX(SPOT_Import!$A$1:$Z$2488,1256,'Live Data'!$C$21)),"")</f>
        <v/>
      </c>
      <c r="K1256" s="54" t="str">
        <f>IFERROR(IF(INDEX(SPOT_Import!$A$1:$Z$2488,1256,'Live Data'!$C$22)="","",INDEX(SPOT_Import!$A$1:$Z$2488,1256,'Live Data'!$C$22)),"")</f>
        <v/>
      </c>
      <c r="L1256" s="55" t="str">
        <f t="shared" si="38"/>
        <v/>
      </c>
      <c r="M1256" s="55" t="str">
        <f t="shared" si="39"/>
        <v/>
      </c>
      <c r="N1256" s="55" t="str">
        <f>IF(A1256="","",IFERROR(INDEX('Cluster Map'!$A$4:$A$38,MATCH(M1256,'Cluster Map'!$B$4:$B$38,0)),"Unmapped"))</f>
        <v/>
      </c>
      <c r="O1256" s="55">
        <f>IF(A1256="",0,IF(COUNTIFS($A$2:A1256,A1256,$F$2:F1256,F1256,$L$2:L1256,L1256)=1,1,0))</f>
        <v>0</v>
      </c>
      <c r="P1256" s="55">
        <f>IF(A1256="",0,IF(AND(F1256="C&amp;T",COUNTIFS($A$2:A1256,A1256,$F$2:F1256,"C&amp;T")=1),1,0))</f>
        <v>0</v>
      </c>
    </row>
    <row r="1257" spans="1:16" x14ac:dyDescent="0.35">
      <c r="A1257" s="54" t="str">
        <f>IFERROR(IF(INDEX(SPOT_Import!$A$1:$Z$2488,1257,'Live Data'!$C$12)="","",INDEX(SPOT_Import!$A$1:$Z$2488,1257,'Live Data'!$C$12)),"")</f>
        <v/>
      </c>
      <c r="B1257" s="54" t="str">
        <f>IFERROR(IF(INDEX(SPOT_Import!$A$1:$Z$2488,1257,'Live Data'!$C$13)="","",INDEX(SPOT_Import!$A$1:$Z$2488,1257,'Live Data'!$C$13)),"")</f>
        <v/>
      </c>
      <c r="C1257" s="54" t="str">
        <f>IFERROR(IF(INDEX(SPOT_Import!$A$1:$Z$2488,1257,'Live Data'!$C$14)="","",INDEX(SPOT_Import!$A$1:$Z$2488,1257,'Live Data'!$C$14)),"")</f>
        <v/>
      </c>
      <c r="D1257" s="54" t="str">
        <f>IFERROR(IF(INDEX(SPOT_Import!$A$1:$Z$2488,1257,'Live Data'!$C$15)="","",INDEX(SPOT_Import!$A$1:$Z$2488,1257,'Live Data'!$C$15)),"")</f>
        <v/>
      </c>
      <c r="E1257" s="54" t="str">
        <f>IFERROR(IF(INDEX(SPOT_Import!$A$1:$Z$2488,1257,'Live Data'!$C$16)="","",INDEX(SPOT_Import!$A$1:$Z$2488,1257,'Live Data'!$C$16)),"")</f>
        <v/>
      </c>
      <c r="F1257" s="54" t="str">
        <f>IFERROR(IF(INDEX(SPOT_Import!$A$1:$Z$2488,1257,'Live Data'!$C$17)="","",INDEX(SPOT_Import!$A$1:$Z$2488,1257,'Live Data'!$C$17)),"")</f>
        <v/>
      </c>
      <c r="G1257" s="54" t="str">
        <f>IFERROR(IF(INDEX(SPOT_Import!$A$1:$Z$2488,1257,'Live Data'!$C$18)="","",INDEX(SPOT_Import!$A$1:$Z$2488,1257,'Live Data'!$C$18)),"")</f>
        <v/>
      </c>
      <c r="H1257" s="54" t="str">
        <f>IFERROR(IF(INDEX(SPOT_Import!$A$1:$Z$2488,1257,'Live Data'!$C$19)="","",INDEX(SPOT_Import!$A$1:$Z$2488,1257,'Live Data'!$C$19)),"")</f>
        <v/>
      </c>
      <c r="I1257" s="54" t="str">
        <f>IFERROR(IF(INDEX(SPOT_Import!$A$1:$Z$2488,1257,'Live Data'!$C$20)="","",INDEX(SPOT_Import!$A$1:$Z$2488,1257,'Live Data'!$C$20)),"")</f>
        <v/>
      </c>
      <c r="J1257" s="54" t="str">
        <f>IFERROR(IF(INDEX(SPOT_Import!$A$1:$Z$2488,1257,'Live Data'!$C$21)="","",INDEX(SPOT_Import!$A$1:$Z$2488,1257,'Live Data'!$C$21)),"")</f>
        <v/>
      </c>
      <c r="K1257" s="54" t="str">
        <f>IFERROR(IF(INDEX(SPOT_Import!$A$1:$Z$2488,1257,'Live Data'!$C$22)="","",INDEX(SPOT_Import!$A$1:$Z$2488,1257,'Live Data'!$C$22)),"")</f>
        <v/>
      </c>
      <c r="L1257" s="55" t="str">
        <f t="shared" si="38"/>
        <v/>
      </c>
      <c r="M1257" s="55" t="str">
        <f t="shared" si="39"/>
        <v/>
      </c>
      <c r="N1257" s="55" t="str">
        <f>IF(A1257="","",IFERROR(INDEX('Cluster Map'!$A$4:$A$38,MATCH(M1257,'Cluster Map'!$B$4:$B$38,0)),"Unmapped"))</f>
        <v/>
      </c>
      <c r="O1257" s="55">
        <f>IF(A1257="",0,IF(COUNTIFS($A$2:A1257,A1257,$F$2:F1257,F1257,$L$2:L1257,L1257)=1,1,0))</f>
        <v>0</v>
      </c>
      <c r="P1257" s="55">
        <f>IF(A1257="",0,IF(AND(F1257="C&amp;T",COUNTIFS($A$2:A1257,A1257,$F$2:F1257,"C&amp;T")=1),1,0))</f>
        <v>0</v>
      </c>
    </row>
    <row r="1258" spans="1:16" x14ac:dyDescent="0.35">
      <c r="A1258" s="54" t="str">
        <f>IFERROR(IF(INDEX(SPOT_Import!$A$1:$Z$2488,1258,'Live Data'!$C$12)="","",INDEX(SPOT_Import!$A$1:$Z$2488,1258,'Live Data'!$C$12)),"")</f>
        <v/>
      </c>
      <c r="B1258" s="54" t="str">
        <f>IFERROR(IF(INDEX(SPOT_Import!$A$1:$Z$2488,1258,'Live Data'!$C$13)="","",INDEX(SPOT_Import!$A$1:$Z$2488,1258,'Live Data'!$C$13)),"")</f>
        <v/>
      </c>
      <c r="C1258" s="54" t="str">
        <f>IFERROR(IF(INDEX(SPOT_Import!$A$1:$Z$2488,1258,'Live Data'!$C$14)="","",INDEX(SPOT_Import!$A$1:$Z$2488,1258,'Live Data'!$C$14)),"")</f>
        <v/>
      </c>
      <c r="D1258" s="54" t="str">
        <f>IFERROR(IF(INDEX(SPOT_Import!$A$1:$Z$2488,1258,'Live Data'!$C$15)="","",INDEX(SPOT_Import!$A$1:$Z$2488,1258,'Live Data'!$C$15)),"")</f>
        <v/>
      </c>
      <c r="E1258" s="54" t="str">
        <f>IFERROR(IF(INDEX(SPOT_Import!$A$1:$Z$2488,1258,'Live Data'!$C$16)="","",INDEX(SPOT_Import!$A$1:$Z$2488,1258,'Live Data'!$C$16)),"")</f>
        <v/>
      </c>
      <c r="F1258" s="54" t="str">
        <f>IFERROR(IF(INDEX(SPOT_Import!$A$1:$Z$2488,1258,'Live Data'!$C$17)="","",INDEX(SPOT_Import!$A$1:$Z$2488,1258,'Live Data'!$C$17)),"")</f>
        <v/>
      </c>
      <c r="G1258" s="54" t="str">
        <f>IFERROR(IF(INDEX(SPOT_Import!$A$1:$Z$2488,1258,'Live Data'!$C$18)="","",INDEX(SPOT_Import!$A$1:$Z$2488,1258,'Live Data'!$C$18)),"")</f>
        <v/>
      </c>
      <c r="H1258" s="54" t="str">
        <f>IFERROR(IF(INDEX(SPOT_Import!$A$1:$Z$2488,1258,'Live Data'!$C$19)="","",INDEX(SPOT_Import!$A$1:$Z$2488,1258,'Live Data'!$C$19)),"")</f>
        <v/>
      </c>
      <c r="I1258" s="54" t="str">
        <f>IFERROR(IF(INDEX(SPOT_Import!$A$1:$Z$2488,1258,'Live Data'!$C$20)="","",INDEX(SPOT_Import!$A$1:$Z$2488,1258,'Live Data'!$C$20)),"")</f>
        <v/>
      </c>
      <c r="J1258" s="54" t="str">
        <f>IFERROR(IF(INDEX(SPOT_Import!$A$1:$Z$2488,1258,'Live Data'!$C$21)="","",INDEX(SPOT_Import!$A$1:$Z$2488,1258,'Live Data'!$C$21)),"")</f>
        <v/>
      </c>
      <c r="K1258" s="54" t="str">
        <f>IFERROR(IF(INDEX(SPOT_Import!$A$1:$Z$2488,1258,'Live Data'!$C$22)="","",INDEX(SPOT_Import!$A$1:$Z$2488,1258,'Live Data'!$C$22)),"")</f>
        <v/>
      </c>
      <c r="L1258" s="55" t="str">
        <f t="shared" si="38"/>
        <v/>
      </c>
      <c r="M1258" s="55" t="str">
        <f t="shared" si="39"/>
        <v/>
      </c>
      <c r="N1258" s="55" t="str">
        <f>IF(A1258="","",IFERROR(INDEX('Cluster Map'!$A$4:$A$38,MATCH(M1258,'Cluster Map'!$B$4:$B$38,0)),"Unmapped"))</f>
        <v/>
      </c>
      <c r="O1258" s="55">
        <f>IF(A1258="",0,IF(COUNTIFS($A$2:A1258,A1258,$F$2:F1258,F1258,$L$2:L1258,L1258)=1,1,0))</f>
        <v>0</v>
      </c>
      <c r="P1258" s="55">
        <f>IF(A1258="",0,IF(AND(F1258="C&amp;T",COUNTIFS($A$2:A1258,A1258,$F$2:F1258,"C&amp;T")=1),1,0))</f>
        <v>0</v>
      </c>
    </row>
    <row r="1259" spans="1:16" x14ac:dyDescent="0.35">
      <c r="A1259" s="54" t="str">
        <f>IFERROR(IF(INDEX(SPOT_Import!$A$1:$Z$2488,1259,'Live Data'!$C$12)="","",INDEX(SPOT_Import!$A$1:$Z$2488,1259,'Live Data'!$C$12)),"")</f>
        <v/>
      </c>
      <c r="B1259" s="54" t="str">
        <f>IFERROR(IF(INDEX(SPOT_Import!$A$1:$Z$2488,1259,'Live Data'!$C$13)="","",INDEX(SPOT_Import!$A$1:$Z$2488,1259,'Live Data'!$C$13)),"")</f>
        <v/>
      </c>
      <c r="C1259" s="54" t="str">
        <f>IFERROR(IF(INDEX(SPOT_Import!$A$1:$Z$2488,1259,'Live Data'!$C$14)="","",INDEX(SPOT_Import!$A$1:$Z$2488,1259,'Live Data'!$C$14)),"")</f>
        <v/>
      </c>
      <c r="D1259" s="54" t="str">
        <f>IFERROR(IF(INDEX(SPOT_Import!$A$1:$Z$2488,1259,'Live Data'!$C$15)="","",INDEX(SPOT_Import!$A$1:$Z$2488,1259,'Live Data'!$C$15)),"")</f>
        <v/>
      </c>
      <c r="E1259" s="54" t="str">
        <f>IFERROR(IF(INDEX(SPOT_Import!$A$1:$Z$2488,1259,'Live Data'!$C$16)="","",INDEX(SPOT_Import!$A$1:$Z$2488,1259,'Live Data'!$C$16)),"")</f>
        <v/>
      </c>
      <c r="F1259" s="54" t="str">
        <f>IFERROR(IF(INDEX(SPOT_Import!$A$1:$Z$2488,1259,'Live Data'!$C$17)="","",INDEX(SPOT_Import!$A$1:$Z$2488,1259,'Live Data'!$C$17)),"")</f>
        <v/>
      </c>
      <c r="G1259" s="54" t="str">
        <f>IFERROR(IF(INDEX(SPOT_Import!$A$1:$Z$2488,1259,'Live Data'!$C$18)="","",INDEX(SPOT_Import!$A$1:$Z$2488,1259,'Live Data'!$C$18)),"")</f>
        <v/>
      </c>
      <c r="H1259" s="54" t="str">
        <f>IFERROR(IF(INDEX(SPOT_Import!$A$1:$Z$2488,1259,'Live Data'!$C$19)="","",INDEX(SPOT_Import!$A$1:$Z$2488,1259,'Live Data'!$C$19)),"")</f>
        <v/>
      </c>
      <c r="I1259" s="54" t="str">
        <f>IFERROR(IF(INDEX(SPOT_Import!$A$1:$Z$2488,1259,'Live Data'!$C$20)="","",INDEX(SPOT_Import!$A$1:$Z$2488,1259,'Live Data'!$C$20)),"")</f>
        <v/>
      </c>
      <c r="J1259" s="54" t="str">
        <f>IFERROR(IF(INDEX(SPOT_Import!$A$1:$Z$2488,1259,'Live Data'!$C$21)="","",INDEX(SPOT_Import!$A$1:$Z$2488,1259,'Live Data'!$C$21)),"")</f>
        <v/>
      </c>
      <c r="K1259" s="54" t="str">
        <f>IFERROR(IF(INDEX(SPOT_Import!$A$1:$Z$2488,1259,'Live Data'!$C$22)="","",INDEX(SPOT_Import!$A$1:$Z$2488,1259,'Live Data'!$C$22)),"")</f>
        <v/>
      </c>
      <c r="L1259" s="55" t="str">
        <f t="shared" si="38"/>
        <v/>
      </c>
      <c r="M1259" s="55" t="str">
        <f t="shared" si="39"/>
        <v/>
      </c>
      <c r="N1259" s="55" t="str">
        <f>IF(A1259="","",IFERROR(INDEX('Cluster Map'!$A$4:$A$38,MATCH(M1259,'Cluster Map'!$B$4:$B$38,0)),"Unmapped"))</f>
        <v/>
      </c>
      <c r="O1259" s="55">
        <f>IF(A1259="",0,IF(COUNTIFS($A$2:A1259,A1259,$F$2:F1259,F1259,$L$2:L1259,L1259)=1,1,0))</f>
        <v>0</v>
      </c>
      <c r="P1259" s="55">
        <f>IF(A1259="",0,IF(AND(F1259="C&amp;T",COUNTIFS($A$2:A1259,A1259,$F$2:F1259,"C&amp;T")=1),1,0))</f>
        <v>0</v>
      </c>
    </row>
    <row r="1260" spans="1:16" x14ac:dyDescent="0.35">
      <c r="A1260" s="54" t="str">
        <f>IFERROR(IF(INDEX(SPOT_Import!$A$1:$Z$2488,1260,'Live Data'!$C$12)="","",INDEX(SPOT_Import!$A$1:$Z$2488,1260,'Live Data'!$C$12)),"")</f>
        <v/>
      </c>
      <c r="B1260" s="54" t="str">
        <f>IFERROR(IF(INDEX(SPOT_Import!$A$1:$Z$2488,1260,'Live Data'!$C$13)="","",INDEX(SPOT_Import!$A$1:$Z$2488,1260,'Live Data'!$C$13)),"")</f>
        <v/>
      </c>
      <c r="C1260" s="54" t="str">
        <f>IFERROR(IF(INDEX(SPOT_Import!$A$1:$Z$2488,1260,'Live Data'!$C$14)="","",INDEX(SPOT_Import!$A$1:$Z$2488,1260,'Live Data'!$C$14)),"")</f>
        <v/>
      </c>
      <c r="D1260" s="54" t="str">
        <f>IFERROR(IF(INDEX(SPOT_Import!$A$1:$Z$2488,1260,'Live Data'!$C$15)="","",INDEX(SPOT_Import!$A$1:$Z$2488,1260,'Live Data'!$C$15)),"")</f>
        <v/>
      </c>
      <c r="E1260" s="54" t="str">
        <f>IFERROR(IF(INDEX(SPOT_Import!$A$1:$Z$2488,1260,'Live Data'!$C$16)="","",INDEX(SPOT_Import!$A$1:$Z$2488,1260,'Live Data'!$C$16)),"")</f>
        <v/>
      </c>
      <c r="F1260" s="54" t="str">
        <f>IFERROR(IF(INDEX(SPOT_Import!$A$1:$Z$2488,1260,'Live Data'!$C$17)="","",INDEX(SPOT_Import!$A$1:$Z$2488,1260,'Live Data'!$C$17)),"")</f>
        <v/>
      </c>
      <c r="G1260" s="54" t="str">
        <f>IFERROR(IF(INDEX(SPOT_Import!$A$1:$Z$2488,1260,'Live Data'!$C$18)="","",INDEX(SPOT_Import!$A$1:$Z$2488,1260,'Live Data'!$C$18)),"")</f>
        <v/>
      </c>
      <c r="H1260" s="54" t="str">
        <f>IFERROR(IF(INDEX(SPOT_Import!$A$1:$Z$2488,1260,'Live Data'!$C$19)="","",INDEX(SPOT_Import!$A$1:$Z$2488,1260,'Live Data'!$C$19)),"")</f>
        <v/>
      </c>
      <c r="I1260" s="54" t="str">
        <f>IFERROR(IF(INDEX(SPOT_Import!$A$1:$Z$2488,1260,'Live Data'!$C$20)="","",INDEX(SPOT_Import!$A$1:$Z$2488,1260,'Live Data'!$C$20)),"")</f>
        <v/>
      </c>
      <c r="J1260" s="54" t="str">
        <f>IFERROR(IF(INDEX(SPOT_Import!$A$1:$Z$2488,1260,'Live Data'!$C$21)="","",INDEX(SPOT_Import!$A$1:$Z$2488,1260,'Live Data'!$C$21)),"")</f>
        <v/>
      </c>
      <c r="K1260" s="54" t="str">
        <f>IFERROR(IF(INDEX(SPOT_Import!$A$1:$Z$2488,1260,'Live Data'!$C$22)="","",INDEX(SPOT_Import!$A$1:$Z$2488,1260,'Live Data'!$C$22)),"")</f>
        <v/>
      </c>
      <c r="L1260" s="55" t="str">
        <f t="shared" si="38"/>
        <v/>
      </c>
      <c r="M1260" s="55" t="str">
        <f t="shared" si="39"/>
        <v/>
      </c>
      <c r="N1260" s="55" t="str">
        <f>IF(A1260="","",IFERROR(INDEX('Cluster Map'!$A$4:$A$38,MATCH(M1260,'Cluster Map'!$B$4:$B$38,0)),"Unmapped"))</f>
        <v/>
      </c>
      <c r="O1260" s="55">
        <f>IF(A1260="",0,IF(COUNTIFS($A$2:A1260,A1260,$F$2:F1260,F1260,$L$2:L1260,L1260)=1,1,0))</f>
        <v>0</v>
      </c>
      <c r="P1260" s="55">
        <f>IF(A1260="",0,IF(AND(F1260="C&amp;T",COUNTIFS($A$2:A1260,A1260,$F$2:F1260,"C&amp;T")=1),1,0))</f>
        <v>0</v>
      </c>
    </row>
    <row r="1261" spans="1:16" x14ac:dyDescent="0.35">
      <c r="A1261" s="54" t="str">
        <f>IFERROR(IF(INDEX(SPOT_Import!$A$1:$Z$2488,1261,'Live Data'!$C$12)="","",INDEX(SPOT_Import!$A$1:$Z$2488,1261,'Live Data'!$C$12)),"")</f>
        <v/>
      </c>
      <c r="B1261" s="54" t="str">
        <f>IFERROR(IF(INDEX(SPOT_Import!$A$1:$Z$2488,1261,'Live Data'!$C$13)="","",INDEX(SPOT_Import!$A$1:$Z$2488,1261,'Live Data'!$C$13)),"")</f>
        <v/>
      </c>
      <c r="C1261" s="54" t="str">
        <f>IFERROR(IF(INDEX(SPOT_Import!$A$1:$Z$2488,1261,'Live Data'!$C$14)="","",INDEX(SPOT_Import!$A$1:$Z$2488,1261,'Live Data'!$C$14)),"")</f>
        <v/>
      </c>
      <c r="D1261" s="54" t="str">
        <f>IFERROR(IF(INDEX(SPOT_Import!$A$1:$Z$2488,1261,'Live Data'!$C$15)="","",INDEX(SPOT_Import!$A$1:$Z$2488,1261,'Live Data'!$C$15)),"")</f>
        <v/>
      </c>
      <c r="E1261" s="54" t="str">
        <f>IFERROR(IF(INDEX(SPOT_Import!$A$1:$Z$2488,1261,'Live Data'!$C$16)="","",INDEX(SPOT_Import!$A$1:$Z$2488,1261,'Live Data'!$C$16)),"")</f>
        <v/>
      </c>
      <c r="F1261" s="54" t="str">
        <f>IFERROR(IF(INDEX(SPOT_Import!$A$1:$Z$2488,1261,'Live Data'!$C$17)="","",INDEX(SPOT_Import!$A$1:$Z$2488,1261,'Live Data'!$C$17)),"")</f>
        <v/>
      </c>
      <c r="G1261" s="54" t="str">
        <f>IFERROR(IF(INDEX(SPOT_Import!$A$1:$Z$2488,1261,'Live Data'!$C$18)="","",INDEX(SPOT_Import!$A$1:$Z$2488,1261,'Live Data'!$C$18)),"")</f>
        <v/>
      </c>
      <c r="H1261" s="54" t="str">
        <f>IFERROR(IF(INDEX(SPOT_Import!$A$1:$Z$2488,1261,'Live Data'!$C$19)="","",INDEX(SPOT_Import!$A$1:$Z$2488,1261,'Live Data'!$C$19)),"")</f>
        <v/>
      </c>
      <c r="I1261" s="54" t="str">
        <f>IFERROR(IF(INDEX(SPOT_Import!$A$1:$Z$2488,1261,'Live Data'!$C$20)="","",INDEX(SPOT_Import!$A$1:$Z$2488,1261,'Live Data'!$C$20)),"")</f>
        <v/>
      </c>
      <c r="J1261" s="54" t="str">
        <f>IFERROR(IF(INDEX(SPOT_Import!$A$1:$Z$2488,1261,'Live Data'!$C$21)="","",INDEX(SPOT_Import!$A$1:$Z$2488,1261,'Live Data'!$C$21)),"")</f>
        <v/>
      </c>
      <c r="K1261" s="54" t="str">
        <f>IFERROR(IF(INDEX(SPOT_Import!$A$1:$Z$2488,1261,'Live Data'!$C$22)="","",INDEX(SPOT_Import!$A$1:$Z$2488,1261,'Live Data'!$C$22)),"")</f>
        <v/>
      </c>
      <c r="L1261" s="55" t="str">
        <f t="shared" si="38"/>
        <v/>
      </c>
      <c r="M1261" s="55" t="str">
        <f t="shared" si="39"/>
        <v/>
      </c>
      <c r="N1261" s="55" t="str">
        <f>IF(A1261="","",IFERROR(INDEX('Cluster Map'!$A$4:$A$38,MATCH(M1261,'Cluster Map'!$B$4:$B$38,0)),"Unmapped"))</f>
        <v/>
      </c>
      <c r="O1261" s="55">
        <f>IF(A1261="",0,IF(COUNTIFS($A$2:A1261,A1261,$F$2:F1261,F1261,$L$2:L1261,L1261)=1,1,0))</f>
        <v>0</v>
      </c>
      <c r="P1261" s="55">
        <f>IF(A1261="",0,IF(AND(F1261="C&amp;T",COUNTIFS($A$2:A1261,A1261,$F$2:F1261,"C&amp;T")=1),1,0))</f>
        <v>0</v>
      </c>
    </row>
    <row r="1262" spans="1:16" x14ac:dyDescent="0.35">
      <c r="A1262" s="54" t="str">
        <f>IFERROR(IF(INDEX(SPOT_Import!$A$1:$Z$2488,1262,'Live Data'!$C$12)="","",INDEX(SPOT_Import!$A$1:$Z$2488,1262,'Live Data'!$C$12)),"")</f>
        <v/>
      </c>
      <c r="B1262" s="54" t="str">
        <f>IFERROR(IF(INDEX(SPOT_Import!$A$1:$Z$2488,1262,'Live Data'!$C$13)="","",INDEX(SPOT_Import!$A$1:$Z$2488,1262,'Live Data'!$C$13)),"")</f>
        <v/>
      </c>
      <c r="C1262" s="54" t="str">
        <f>IFERROR(IF(INDEX(SPOT_Import!$A$1:$Z$2488,1262,'Live Data'!$C$14)="","",INDEX(SPOT_Import!$A$1:$Z$2488,1262,'Live Data'!$C$14)),"")</f>
        <v/>
      </c>
      <c r="D1262" s="54" t="str">
        <f>IFERROR(IF(INDEX(SPOT_Import!$A$1:$Z$2488,1262,'Live Data'!$C$15)="","",INDEX(SPOT_Import!$A$1:$Z$2488,1262,'Live Data'!$C$15)),"")</f>
        <v/>
      </c>
      <c r="E1262" s="54" t="str">
        <f>IFERROR(IF(INDEX(SPOT_Import!$A$1:$Z$2488,1262,'Live Data'!$C$16)="","",INDEX(SPOT_Import!$A$1:$Z$2488,1262,'Live Data'!$C$16)),"")</f>
        <v/>
      </c>
      <c r="F1262" s="54" t="str">
        <f>IFERROR(IF(INDEX(SPOT_Import!$A$1:$Z$2488,1262,'Live Data'!$C$17)="","",INDEX(SPOT_Import!$A$1:$Z$2488,1262,'Live Data'!$C$17)),"")</f>
        <v/>
      </c>
      <c r="G1262" s="54" t="str">
        <f>IFERROR(IF(INDEX(SPOT_Import!$A$1:$Z$2488,1262,'Live Data'!$C$18)="","",INDEX(SPOT_Import!$A$1:$Z$2488,1262,'Live Data'!$C$18)),"")</f>
        <v/>
      </c>
      <c r="H1262" s="54" t="str">
        <f>IFERROR(IF(INDEX(SPOT_Import!$A$1:$Z$2488,1262,'Live Data'!$C$19)="","",INDEX(SPOT_Import!$A$1:$Z$2488,1262,'Live Data'!$C$19)),"")</f>
        <v/>
      </c>
      <c r="I1262" s="54" t="str">
        <f>IFERROR(IF(INDEX(SPOT_Import!$A$1:$Z$2488,1262,'Live Data'!$C$20)="","",INDEX(SPOT_Import!$A$1:$Z$2488,1262,'Live Data'!$C$20)),"")</f>
        <v/>
      </c>
      <c r="J1262" s="54" t="str">
        <f>IFERROR(IF(INDEX(SPOT_Import!$A$1:$Z$2488,1262,'Live Data'!$C$21)="","",INDEX(SPOT_Import!$A$1:$Z$2488,1262,'Live Data'!$C$21)),"")</f>
        <v/>
      </c>
      <c r="K1262" s="54" t="str">
        <f>IFERROR(IF(INDEX(SPOT_Import!$A$1:$Z$2488,1262,'Live Data'!$C$22)="","",INDEX(SPOT_Import!$A$1:$Z$2488,1262,'Live Data'!$C$22)),"")</f>
        <v/>
      </c>
      <c r="L1262" s="55" t="str">
        <f t="shared" si="38"/>
        <v/>
      </c>
      <c r="M1262" s="55" t="str">
        <f t="shared" si="39"/>
        <v/>
      </c>
      <c r="N1262" s="55" t="str">
        <f>IF(A1262="","",IFERROR(INDEX('Cluster Map'!$A$4:$A$38,MATCH(M1262,'Cluster Map'!$B$4:$B$38,0)),"Unmapped"))</f>
        <v/>
      </c>
      <c r="O1262" s="55">
        <f>IF(A1262="",0,IF(COUNTIFS($A$2:A1262,A1262,$F$2:F1262,F1262,$L$2:L1262,L1262)=1,1,0))</f>
        <v>0</v>
      </c>
      <c r="P1262" s="55">
        <f>IF(A1262="",0,IF(AND(F1262="C&amp;T",COUNTIFS($A$2:A1262,A1262,$F$2:F1262,"C&amp;T")=1),1,0))</f>
        <v>0</v>
      </c>
    </row>
    <row r="1263" spans="1:16" x14ac:dyDescent="0.35">
      <c r="A1263" s="54" t="str">
        <f>IFERROR(IF(INDEX(SPOT_Import!$A$1:$Z$2488,1263,'Live Data'!$C$12)="","",INDEX(SPOT_Import!$A$1:$Z$2488,1263,'Live Data'!$C$12)),"")</f>
        <v/>
      </c>
      <c r="B1263" s="54" t="str">
        <f>IFERROR(IF(INDEX(SPOT_Import!$A$1:$Z$2488,1263,'Live Data'!$C$13)="","",INDEX(SPOT_Import!$A$1:$Z$2488,1263,'Live Data'!$C$13)),"")</f>
        <v/>
      </c>
      <c r="C1263" s="54" t="str">
        <f>IFERROR(IF(INDEX(SPOT_Import!$A$1:$Z$2488,1263,'Live Data'!$C$14)="","",INDEX(SPOT_Import!$A$1:$Z$2488,1263,'Live Data'!$C$14)),"")</f>
        <v/>
      </c>
      <c r="D1263" s="54" t="str">
        <f>IFERROR(IF(INDEX(SPOT_Import!$A$1:$Z$2488,1263,'Live Data'!$C$15)="","",INDEX(SPOT_Import!$A$1:$Z$2488,1263,'Live Data'!$C$15)),"")</f>
        <v/>
      </c>
      <c r="E1263" s="54" t="str">
        <f>IFERROR(IF(INDEX(SPOT_Import!$A$1:$Z$2488,1263,'Live Data'!$C$16)="","",INDEX(SPOT_Import!$A$1:$Z$2488,1263,'Live Data'!$C$16)),"")</f>
        <v/>
      </c>
      <c r="F1263" s="54" t="str">
        <f>IFERROR(IF(INDEX(SPOT_Import!$A$1:$Z$2488,1263,'Live Data'!$C$17)="","",INDEX(SPOT_Import!$A$1:$Z$2488,1263,'Live Data'!$C$17)),"")</f>
        <v/>
      </c>
      <c r="G1263" s="54" t="str">
        <f>IFERROR(IF(INDEX(SPOT_Import!$A$1:$Z$2488,1263,'Live Data'!$C$18)="","",INDEX(SPOT_Import!$A$1:$Z$2488,1263,'Live Data'!$C$18)),"")</f>
        <v/>
      </c>
      <c r="H1263" s="54" t="str">
        <f>IFERROR(IF(INDEX(SPOT_Import!$A$1:$Z$2488,1263,'Live Data'!$C$19)="","",INDEX(SPOT_Import!$A$1:$Z$2488,1263,'Live Data'!$C$19)),"")</f>
        <v/>
      </c>
      <c r="I1263" s="54" t="str">
        <f>IFERROR(IF(INDEX(SPOT_Import!$A$1:$Z$2488,1263,'Live Data'!$C$20)="","",INDEX(SPOT_Import!$A$1:$Z$2488,1263,'Live Data'!$C$20)),"")</f>
        <v/>
      </c>
      <c r="J1263" s="54" t="str">
        <f>IFERROR(IF(INDEX(SPOT_Import!$A$1:$Z$2488,1263,'Live Data'!$C$21)="","",INDEX(SPOT_Import!$A$1:$Z$2488,1263,'Live Data'!$C$21)),"")</f>
        <v/>
      </c>
      <c r="K1263" s="54" t="str">
        <f>IFERROR(IF(INDEX(SPOT_Import!$A$1:$Z$2488,1263,'Live Data'!$C$22)="","",INDEX(SPOT_Import!$A$1:$Z$2488,1263,'Live Data'!$C$22)),"")</f>
        <v/>
      </c>
      <c r="L1263" s="55" t="str">
        <f t="shared" si="38"/>
        <v/>
      </c>
      <c r="M1263" s="55" t="str">
        <f t="shared" si="39"/>
        <v/>
      </c>
      <c r="N1263" s="55" t="str">
        <f>IF(A1263="","",IFERROR(INDEX('Cluster Map'!$A$4:$A$38,MATCH(M1263,'Cluster Map'!$B$4:$B$38,0)),"Unmapped"))</f>
        <v/>
      </c>
      <c r="O1263" s="55">
        <f>IF(A1263="",0,IF(COUNTIFS($A$2:A1263,A1263,$F$2:F1263,F1263,$L$2:L1263,L1263)=1,1,0))</f>
        <v>0</v>
      </c>
      <c r="P1263" s="55">
        <f>IF(A1263="",0,IF(AND(F1263="C&amp;T",COUNTIFS($A$2:A1263,A1263,$F$2:F1263,"C&amp;T")=1),1,0))</f>
        <v>0</v>
      </c>
    </row>
    <row r="1264" spans="1:16" x14ac:dyDescent="0.35">
      <c r="A1264" s="54" t="str">
        <f>IFERROR(IF(INDEX(SPOT_Import!$A$1:$Z$2488,1264,'Live Data'!$C$12)="","",INDEX(SPOT_Import!$A$1:$Z$2488,1264,'Live Data'!$C$12)),"")</f>
        <v/>
      </c>
      <c r="B1264" s="54" t="str">
        <f>IFERROR(IF(INDEX(SPOT_Import!$A$1:$Z$2488,1264,'Live Data'!$C$13)="","",INDEX(SPOT_Import!$A$1:$Z$2488,1264,'Live Data'!$C$13)),"")</f>
        <v/>
      </c>
      <c r="C1264" s="54" t="str">
        <f>IFERROR(IF(INDEX(SPOT_Import!$A$1:$Z$2488,1264,'Live Data'!$C$14)="","",INDEX(SPOT_Import!$A$1:$Z$2488,1264,'Live Data'!$C$14)),"")</f>
        <v/>
      </c>
      <c r="D1264" s="54" t="str">
        <f>IFERROR(IF(INDEX(SPOT_Import!$A$1:$Z$2488,1264,'Live Data'!$C$15)="","",INDEX(SPOT_Import!$A$1:$Z$2488,1264,'Live Data'!$C$15)),"")</f>
        <v/>
      </c>
      <c r="E1264" s="54" t="str">
        <f>IFERROR(IF(INDEX(SPOT_Import!$A$1:$Z$2488,1264,'Live Data'!$C$16)="","",INDEX(SPOT_Import!$A$1:$Z$2488,1264,'Live Data'!$C$16)),"")</f>
        <v/>
      </c>
      <c r="F1264" s="54" t="str">
        <f>IFERROR(IF(INDEX(SPOT_Import!$A$1:$Z$2488,1264,'Live Data'!$C$17)="","",INDEX(SPOT_Import!$A$1:$Z$2488,1264,'Live Data'!$C$17)),"")</f>
        <v/>
      </c>
      <c r="G1264" s="54" t="str">
        <f>IFERROR(IF(INDEX(SPOT_Import!$A$1:$Z$2488,1264,'Live Data'!$C$18)="","",INDEX(SPOT_Import!$A$1:$Z$2488,1264,'Live Data'!$C$18)),"")</f>
        <v/>
      </c>
      <c r="H1264" s="54" t="str">
        <f>IFERROR(IF(INDEX(SPOT_Import!$A$1:$Z$2488,1264,'Live Data'!$C$19)="","",INDEX(SPOT_Import!$A$1:$Z$2488,1264,'Live Data'!$C$19)),"")</f>
        <v/>
      </c>
      <c r="I1264" s="54" t="str">
        <f>IFERROR(IF(INDEX(SPOT_Import!$A$1:$Z$2488,1264,'Live Data'!$C$20)="","",INDEX(SPOT_Import!$A$1:$Z$2488,1264,'Live Data'!$C$20)),"")</f>
        <v/>
      </c>
      <c r="J1264" s="54" t="str">
        <f>IFERROR(IF(INDEX(SPOT_Import!$A$1:$Z$2488,1264,'Live Data'!$C$21)="","",INDEX(SPOT_Import!$A$1:$Z$2488,1264,'Live Data'!$C$21)),"")</f>
        <v/>
      </c>
      <c r="K1264" s="54" t="str">
        <f>IFERROR(IF(INDEX(SPOT_Import!$A$1:$Z$2488,1264,'Live Data'!$C$22)="","",INDEX(SPOT_Import!$A$1:$Z$2488,1264,'Live Data'!$C$22)),"")</f>
        <v/>
      </c>
      <c r="L1264" s="55" t="str">
        <f t="shared" si="38"/>
        <v/>
      </c>
      <c r="M1264" s="55" t="str">
        <f t="shared" si="39"/>
        <v/>
      </c>
      <c r="N1264" s="55" t="str">
        <f>IF(A1264="","",IFERROR(INDEX('Cluster Map'!$A$4:$A$38,MATCH(M1264,'Cluster Map'!$B$4:$B$38,0)),"Unmapped"))</f>
        <v/>
      </c>
      <c r="O1264" s="55">
        <f>IF(A1264="",0,IF(COUNTIFS($A$2:A1264,A1264,$F$2:F1264,F1264,$L$2:L1264,L1264)=1,1,0))</f>
        <v>0</v>
      </c>
      <c r="P1264" s="55">
        <f>IF(A1264="",0,IF(AND(F1264="C&amp;T",COUNTIFS($A$2:A1264,A1264,$F$2:F1264,"C&amp;T")=1),1,0))</f>
        <v>0</v>
      </c>
    </row>
    <row r="1265" spans="1:16" x14ac:dyDescent="0.35">
      <c r="A1265" s="54" t="str">
        <f>IFERROR(IF(INDEX(SPOT_Import!$A$1:$Z$2488,1265,'Live Data'!$C$12)="","",INDEX(SPOT_Import!$A$1:$Z$2488,1265,'Live Data'!$C$12)),"")</f>
        <v/>
      </c>
      <c r="B1265" s="54" t="str">
        <f>IFERROR(IF(INDEX(SPOT_Import!$A$1:$Z$2488,1265,'Live Data'!$C$13)="","",INDEX(SPOT_Import!$A$1:$Z$2488,1265,'Live Data'!$C$13)),"")</f>
        <v/>
      </c>
      <c r="C1265" s="54" t="str">
        <f>IFERROR(IF(INDEX(SPOT_Import!$A$1:$Z$2488,1265,'Live Data'!$C$14)="","",INDEX(SPOT_Import!$A$1:$Z$2488,1265,'Live Data'!$C$14)),"")</f>
        <v/>
      </c>
      <c r="D1265" s="54" t="str">
        <f>IFERROR(IF(INDEX(SPOT_Import!$A$1:$Z$2488,1265,'Live Data'!$C$15)="","",INDEX(SPOT_Import!$A$1:$Z$2488,1265,'Live Data'!$C$15)),"")</f>
        <v/>
      </c>
      <c r="E1265" s="54" t="str">
        <f>IFERROR(IF(INDEX(SPOT_Import!$A$1:$Z$2488,1265,'Live Data'!$C$16)="","",INDEX(SPOT_Import!$A$1:$Z$2488,1265,'Live Data'!$C$16)),"")</f>
        <v/>
      </c>
      <c r="F1265" s="54" t="str">
        <f>IFERROR(IF(INDEX(SPOT_Import!$A$1:$Z$2488,1265,'Live Data'!$C$17)="","",INDEX(SPOT_Import!$A$1:$Z$2488,1265,'Live Data'!$C$17)),"")</f>
        <v/>
      </c>
      <c r="G1265" s="54" t="str">
        <f>IFERROR(IF(INDEX(SPOT_Import!$A$1:$Z$2488,1265,'Live Data'!$C$18)="","",INDEX(SPOT_Import!$A$1:$Z$2488,1265,'Live Data'!$C$18)),"")</f>
        <v/>
      </c>
      <c r="H1265" s="54" t="str">
        <f>IFERROR(IF(INDEX(SPOT_Import!$A$1:$Z$2488,1265,'Live Data'!$C$19)="","",INDEX(SPOT_Import!$A$1:$Z$2488,1265,'Live Data'!$C$19)),"")</f>
        <v/>
      </c>
      <c r="I1265" s="54" t="str">
        <f>IFERROR(IF(INDEX(SPOT_Import!$A$1:$Z$2488,1265,'Live Data'!$C$20)="","",INDEX(SPOT_Import!$A$1:$Z$2488,1265,'Live Data'!$C$20)),"")</f>
        <v/>
      </c>
      <c r="J1265" s="54" t="str">
        <f>IFERROR(IF(INDEX(SPOT_Import!$A$1:$Z$2488,1265,'Live Data'!$C$21)="","",INDEX(SPOT_Import!$A$1:$Z$2488,1265,'Live Data'!$C$21)),"")</f>
        <v/>
      </c>
      <c r="K1265" s="54" t="str">
        <f>IFERROR(IF(INDEX(SPOT_Import!$A$1:$Z$2488,1265,'Live Data'!$C$22)="","",INDEX(SPOT_Import!$A$1:$Z$2488,1265,'Live Data'!$C$22)),"")</f>
        <v/>
      </c>
      <c r="L1265" s="55" t="str">
        <f t="shared" si="38"/>
        <v/>
      </c>
      <c r="M1265" s="55" t="str">
        <f t="shared" si="39"/>
        <v/>
      </c>
      <c r="N1265" s="55" t="str">
        <f>IF(A1265="","",IFERROR(INDEX('Cluster Map'!$A$4:$A$38,MATCH(M1265,'Cluster Map'!$B$4:$B$38,0)),"Unmapped"))</f>
        <v/>
      </c>
      <c r="O1265" s="55">
        <f>IF(A1265="",0,IF(COUNTIFS($A$2:A1265,A1265,$F$2:F1265,F1265,$L$2:L1265,L1265)=1,1,0))</f>
        <v>0</v>
      </c>
      <c r="P1265" s="55">
        <f>IF(A1265="",0,IF(AND(F1265="C&amp;T",COUNTIFS($A$2:A1265,A1265,$F$2:F1265,"C&amp;T")=1),1,0))</f>
        <v>0</v>
      </c>
    </row>
    <row r="1266" spans="1:16" x14ac:dyDescent="0.35">
      <c r="A1266" s="54" t="str">
        <f>IFERROR(IF(INDEX(SPOT_Import!$A$1:$Z$2488,1266,'Live Data'!$C$12)="","",INDEX(SPOT_Import!$A$1:$Z$2488,1266,'Live Data'!$C$12)),"")</f>
        <v/>
      </c>
      <c r="B1266" s="54" t="str">
        <f>IFERROR(IF(INDEX(SPOT_Import!$A$1:$Z$2488,1266,'Live Data'!$C$13)="","",INDEX(SPOT_Import!$A$1:$Z$2488,1266,'Live Data'!$C$13)),"")</f>
        <v/>
      </c>
      <c r="C1266" s="54" t="str">
        <f>IFERROR(IF(INDEX(SPOT_Import!$A$1:$Z$2488,1266,'Live Data'!$C$14)="","",INDEX(SPOT_Import!$A$1:$Z$2488,1266,'Live Data'!$C$14)),"")</f>
        <v/>
      </c>
      <c r="D1266" s="54" t="str">
        <f>IFERROR(IF(INDEX(SPOT_Import!$A$1:$Z$2488,1266,'Live Data'!$C$15)="","",INDEX(SPOT_Import!$A$1:$Z$2488,1266,'Live Data'!$C$15)),"")</f>
        <v/>
      </c>
      <c r="E1266" s="54" t="str">
        <f>IFERROR(IF(INDEX(SPOT_Import!$A$1:$Z$2488,1266,'Live Data'!$C$16)="","",INDEX(SPOT_Import!$A$1:$Z$2488,1266,'Live Data'!$C$16)),"")</f>
        <v/>
      </c>
      <c r="F1266" s="54" t="str">
        <f>IFERROR(IF(INDEX(SPOT_Import!$A$1:$Z$2488,1266,'Live Data'!$C$17)="","",INDEX(SPOT_Import!$A$1:$Z$2488,1266,'Live Data'!$C$17)),"")</f>
        <v/>
      </c>
      <c r="G1266" s="54" t="str">
        <f>IFERROR(IF(INDEX(SPOT_Import!$A$1:$Z$2488,1266,'Live Data'!$C$18)="","",INDEX(SPOT_Import!$A$1:$Z$2488,1266,'Live Data'!$C$18)),"")</f>
        <v/>
      </c>
      <c r="H1266" s="54" t="str">
        <f>IFERROR(IF(INDEX(SPOT_Import!$A$1:$Z$2488,1266,'Live Data'!$C$19)="","",INDEX(SPOT_Import!$A$1:$Z$2488,1266,'Live Data'!$C$19)),"")</f>
        <v/>
      </c>
      <c r="I1266" s="54" t="str">
        <f>IFERROR(IF(INDEX(SPOT_Import!$A$1:$Z$2488,1266,'Live Data'!$C$20)="","",INDEX(SPOT_Import!$A$1:$Z$2488,1266,'Live Data'!$C$20)),"")</f>
        <v/>
      </c>
      <c r="J1266" s="54" t="str">
        <f>IFERROR(IF(INDEX(SPOT_Import!$A$1:$Z$2488,1266,'Live Data'!$C$21)="","",INDEX(SPOT_Import!$A$1:$Z$2488,1266,'Live Data'!$C$21)),"")</f>
        <v/>
      </c>
      <c r="K1266" s="54" t="str">
        <f>IFERROR(IF(INDEX(SPOT_Import!$A$1:$Z$2488,1266,'Live Data'!$C$22)="","",INDEX(SPOT_Import!$A$1:$Z$2488,1266,'Live Data'!$C$22)),"")</f>
        <v/>
      </c>
      <c r="L1266" s="55" t="str">
        <f t="shared" si="38"/>
        <v/>
      </c>
      <c r="M1266" s="55" t="str">
        <f t="shared" si="39"/>
        <v/>
      </c>
      <c r="N1266" s="55" t="str">
        <f>IF(A1266="","",IFERROR(INDEX('Cluster Map'!$A$4:$A$38,MATCH(M1266,'Cluster Map'!$B$4:$B$38,0)),"Unmapped"))</f>
        <v/>
      </c>
      <c r="O1266" s="55">
        <f>IF(A1266="",0,IF(COUNTIFS($A$2:A1266,A1266,$F$2:F1266,F1266,$L$2:L1266,L1266)=1,1,0))</f>
        <v>0</v>
      </c>
      <c r="P1266" s="55">
        <f>IF(A1266="",0,IF(AND(F1266="C&amp;T",COUNTIFS($A$2:A1266,A1266,$F$2:F1266,"C&amp;T")=1),1,0))</f>
        <v>0</v>
      </c>
    </row>
    <row r="1267" spans="1:16" x14ac:dyDescent="0.35">
      <c r="A1267" s="54" t="str">
        <f>IFERROR(IF(INDEX(SPOT_Import!$A$1:$Z$2488,1267,'Live Data'!$C$12)="","",INDEX(SPOT_Import!$A$1:$Z$2488,1267,'Live Data'!$C$12)),"")</f>
        <v/>
      </c>
      <c r="B1267" s="54" t="str">
        <f>IFERROR(IF(INDEX(SPOT_Import!$A$1:$Z$2488,1267,'Live Data'!$C$13)="","",INDEX(SPOT_Import!$A$1:$Z$2488,1267,'Live Data'!$C$13)),"")</f>
        <v/>
      </c>
      <c r="C1267" s="54" t="str">
        <f>IFERROR(IF(INDEX(SPOT_Import!$A$1:$Z$2488,1267,'Live Data'!$C$14)="","",INDEX(SPOT_Import!$A$1:$Z$2488,1267,'Live Data'!$C$14)),"")</f>
        <v/>
      </c>
      <c r="D1267" s="54" t="str">
        <f>IFERROR(IF(INDEX(SPOT_Import!$A$1:$Z$2488,1267,'Live Data'!$C$15)="","",INDEX(SPOT_Import!$A$1:$Z$2488,1267,'Live Data'!$C$15)),"")</f>
        <v/>
      </c>
      <c r="E1267" s="54" t="str">
        <f>IFERROR(IF(INDEX(SPOT_Import!$A$1:$Z$2488,1267,'Live Data'!$C$16)="","",INDEX(SPOT_Import!$A$1:$Z$2488,1267,'Live Data'!$C$16)),"")</f>
        <v/>
      </c>
      <c r="F1267" s="54" t="str">
        <f>IFERROR(IF(INDEX(SPOT_Import!$A$1:$Z$2488,1267,'Live Data'!$C$17)="","",INDEX(SPOT_Import!$A$1:$Z$2488,1267,'Live Data'!$C$17)),"")</f>
        <v/>
      </c>
      <c r="G1267" s="54" t="str">
        <f>IFERROR(IF(INDEX(SPOT_Import!$A$1:$Z$2488,1267,'Live Data'!$C$18)="","",INDEX(SPOT_Import!$A$1:$Z$2488,1267,'Live Data'!$C$18)),"")</f>
        <v/>
      </c>
      <c r="H1267" s="54" t="str">
        <f>IFERROR(IF(INDEX(SPOT_Import!$A$1:$Z$2488,1267,'Live Data'!$C$19)="","",INDEX(SPOT_Import!$A$1:$Z$2488,1267,'Live Data'!$C$19)),"")</f>
        <v/>
      </c>
      <c r="I1267" s="54" t="str">
        <f>IFERROR(IF(INDEX(SPOT_Import!$A$1:$Z$2488,1267,'Live Data'!$C$20)="","",INDEX(SPOT_Import!$A$1:$Z$2488,1267,'Live Data'!$C$20)),"")</f>
        <v/>
      </c>
      <c r="J1267" s="54" t="str">
        <f>IFERROR(IF(INDEX(SPOT_Import!$A$1:$Z$2488,1267,'Live Data'!$C$21)="","",INDEX(SPOT_Import!$A$1:$Z$2488,1267,'Live Data'!$C$21)),"")</f>
        <v/>
      </c>
      <c r="K1267" s="54" t="str">
        <f>IFERROR(IF(INDEX(SPOT_Import!$A$1:$Z$2488,1267,'Live Data'!$C$22)="","",INDEX(SPOT_Import!$A$1:$Z$2488,1267,'Live Data'!$C$22)),"")</f>
        <v/>
      </c>
      <c r="L1267" s="55" t="str">
        <f t="shared" si="38"/>
        <v/>
      </c>
      <c r="M1267" s="55" t="str">
        <f t="shared" si="39"/>
        <v/>
      </c>
      <c r="N1267" s="55" t="str">
        <f>IF(A1267="","",IFERROR(INDEX('Cluster Map'!$A$4:$A$38,MATCH(M1267,'Cluster Map'!$B$4:$B$38,0)),"Unmapped"))</f>
        <v/>
      </c>
      <c r="O1267" s="55">
        <f>IF(A1267="",0,IF(COUNTIFS($A$2:A1267,A1267,$F$2:F1267,F1267,$L$2:L1267,L1267)=1,1,0))</f>
        <v>0</v>
      </c>
      <c r="P1267" s="55">
        <f>IF(A1267="",0,IF(AND(F1267="C&amp;T",COUNTIFS($A$2:A1267,A1267,$F$2:F1267,"C&amp;T")=1),1,0))</f>
        <v>0</v>
      </c>
    </row>
    <row r="1268" spans="1:16" x14ac:dyDescent="0.35">
      <c r="A1268" s="54" t="str">
        <f>IFERROR(IF(INDEX(SPOT_Import!$A$1:$Z$2488,1268,'Live Data'!$C$12)="","",INDEX(SPOT_Import!$A$1:$Z$2488,1268,'Live Data'!$C$12)),"")</f>
        <v/>
      </c>
      <c r="B1268" s="54" t="str">
        <f>IFERROR(IF(INDEX(SPOT_Import!$A$1:$Z$2488,1268,'Live Data'!$C$13)="","",INDEX(SPOT_Import!$A$1:$Z$2488,1268,'Live Data'!$C$13)),"")</f>
        <v/>
      </c>
      <c r="C1268" s="54" t="str">
        <f>IFERROR(IF(INDEX(SPOT_Import!$A$1:$Z$2488,1268,'Live Data'!$C$14)="","",INDEX(SPOT_Import!$A$1:$Z$2488,1268,'Live Data'!$C$14)),"")</f>
        <v/>
      </c>
      <c r="D1268" s="54" t="str">
        <f>IFERROR(IF(INDEX(SPOT_Import!$A$1:$Z$2488,1268,'Live Data'!$C$15)="","",INDEX(SPOT_Import!$A$1:$Z$2488,1268,'Live Data'!$C$15)),"")</f>
        <v/>
      </c>
      <c r="E1268" s="54" t="str">
        <f>IFERROR(IF(INDEX(SPOT_Import!$A$1:$Z$2488,1268,'Live Data'!$C$16)="","",INDEX(SPOT_Import!$A$1:$Z$2488,1268,'Live Data'!$C$16)),"")</f>
        <v/>
      </c>
      <c r="F1268" s="54" t="str">
        <f>IFERROR(IF(INDEX(SPOT_Import!$A$1:$Z$2488,1268,'Live Data'!$C$17)="","",INDEX(SPOT_Import!$A$1:$Z$2488,1268,'Live Data'!$C$17)),"")</f>
        <v/>
      </c>
      <c r="G1268" s="54" t="str">
        <f>IFERROR(IF(INDEX(SPOT_Import!$A$1:$Z$2488,1268,'Live Data'!$C$18)="","",INDEX(SPOT_Import!$A$1:$Z$2488,1268,'Live Data'!$C$18)),"")</f>
        <v/>
      </c>
      <c r="H1268" s="54" t="str">
        <f>IFERROR(IF(INDEX(SPOT_Import!$A$1:$Z$2488,1268,'Live Data'!$C$19)="","",INDEX(SPOT_Import!$A$1:$Z$2488,1268,'Live Data'!$C$19)),"")</f>
        <v/>
      </c>
      <c r="I1268" s="54" t="str">
        <f>IFERROR(IF(INDEX(SPOT_Import!$A$1:$Z$2488,1268,'Live Data'!$C$20)="","",INDEX(SPOT_Import!$A$1:$Z$2488,1268,'Live Data'!$C$20)),"")</f>
        <v/>
      </c>
      <c r="J1268" s="54" t="str">
        <f>IFERROR(IF(INDEX(SPOT_Import!$A$1:$Z$2488,1268,'Live Data'!$C$21)="","",INDEX(SPOT_Import!$A$1:$Z$2488,1268,'Live Data'!$C$21)),"")</f>
        <v/>
      </c>
      <c r="K1268" s="54" t="str">
        <f>IFERROR(IF(INDEX(SPOT_Import!$A$1:$Z$2488,1268,'Live Data'!$C$22)="","",INDEX(SPOT_Import!$A$1:$Z$2488,1268,'Live Data'!$C$22)),"")</f>
        <v/>
      </c>
      <c r="L1268" s="55" t="str">
        <f t="shared" si="38"/>
        <v/>
      </c>
      <c r="M1268" s="55" t="str">
        <f t="shared" si="39"/>
        <v/>
      </c>
      <c r="N1268" s="55" t="str">
        <f>IF(A1268="","",IFERROR(INDEX('Cluster Map'!$A$4:$A$38,MATCH(M1268,'Cluster Map'!$B$4:$B$38,0)),"Unmapped"))</f>
        <v/>
      </c>
      <c r="O1268" s="55">
        <f>IF(A1268="",0,IF(COUNTIFS($A$2:A1268,A1268,$F$2:F1268,F1268,$L$2:L1268,L1268)=1,1,0))</f>
        <v>0</v>
      </c>
      <c r="P1268" s="55">
        <f>IF(A1268="",0,IF(AND(F1268="C&amp;T",COUNTIFS($A$2:A1268,A1268,$F$2:F1268,"C&amp;T")=1),1,0))</f>
        <v>0</v>
      </c>
    </row>
    <row r="1269" spans="1:16" x14ac:dyDescent="0.35">
      <c r="A1269" s="54" t="str">
        <f>IFERROR(IF(INDEX(SPOT_Import!$A$1:$Z$2488,1269,'Live Data'!$C$12)="","",INDEX(SPOT_Import!$A$1:$Z$2488,1269,'Live Data'!$C$12)),"")</f>
        <v/>
      </c>
      <c r="B1269" s="54" t="str">
        <f>IFERROR(IF(INDEX(SPOT_Import!$A$1:$Z$2488,1269,'Live Data'!$C$13)="","",INDEX(SPOT_Import!$A$1:$Z$2488,1269,'Live Data'!$C$13)),"")</f>
        <v/>
      </c>
      <c r="C1269" s="54" t="str">
        <f>IFERROR(IF(INDEX(SPOT_Import!$A$1:$Z$2488,1269,'Live Data'!$C$14)="","",INDEX(SPOT_Import!$A$1:$Z$2488,1269,'Live Data'!$C$14)),"")</f>
        <v/>
      </c>
      <c r="D1269" s="54" t="str">
        <f>IFERROR(IF(INDEX(SPOT_Import!$A$1:$Z$2488,1269,'Live Data'!$C$15)="","",INDEX(SPOT_Import!$A$1:$Z$2488,1269,'Live Data'!$C$15)),"")</f>
        <v/>
      </c>
      <c r="E1269" s="54" t="str">
        <f>IFERROR(IF(INDEX(SPOT_Import!$A$1:$Z$2488,1269,'Live Data'!$C$16)="","",INDEX(SPOT_Import!$A$1:$Z$2488,1269,'Live Data'!$C$16)),"")</f>
        <v/>
      </c>
      <c r="F1269" s="54" t="str">
        <f>IFERROR(IF(INDEX(SPOT_Import!$A$1:$Z$2488,1269,'Live Data'!$C$17)="","",INDEX(SPOT_Import!$A$1:$Z$2488,1269,'Live Data'!$C$17)),"")</f>
        <v/>
      </c>
      <c r="G1269" s="54" t="str">
        <f>IFERROR(IF(INDEX(SPOT_Import!$A$1:$Z$2488,1269,'Live Data'!$C$18)="","",INDEX(SPOT_Import!$A$1:$Z$2488,1269,'Live Data'!$C$18)),"")</f>
        <v/>
      </c>
      <c r="H1269" s="54" t="str">
        <f>IFERROR(IF(INDEX(SPOT_Import!$A$1:$Z$2488,1269,'Live Data'!$C$19)="","",INDEX(SPOT_Import!$A$1:$Z$2488,1269,'Live Data'!$C$19)),"")</f>
        <v/>
      </c>
      <c r="I1269" s="54" t="str">
        <f>IFERROR(IF(INDEX(SPOT_Import!$A$1:$Z$2488,1269,'Live Data'!$C$20)="","",INDEX(SPOT_Import!$A$1:$Z$2488,1269,'Live Data'!$C$20)),"")</f>
        <v/>
      </c>
      <c r="J1269" s="54" t="str">
        <f>IFERROR(IF(INDEX(SPOT_Import!$A$1:$Z$2488,1269,'Live Data'!$C$21)="","",INDEX(SPOT_Import!$A$1:$Z$2488,1269,'Live Data'!$C$21)),"")</f>
        <v/>
      </c>
      <c r="K1269" s="54" t="str">
        <f>IFERROR(IF(INDEX(SPOT_Import!$A$1:$Z$2488,1269,'Live Data'!$C$22)="","",INDEX(SPOT_Import!$A$1:$Z$2488,1269,'Live Data'!$C$22)),"")</f>
        <v/>
      </c>
      <c r="L1269" s="55" t="str">
        <f t="shared" si="38"/>
        <v/>
      </c>
      <c r="M1269" s="55" t="str">
        <f t="shared" si="39"/>
        <v/>
      </c>
      <c r="N1269" s="55" t="str">
        <f>IF(A1269="","",IFERROR(INDEX('Cluster Map'!$A$4:$A$38,MATCH(M1269,'Cluster Map'!$B$4:$B$38,0)),"Unmapped"))</f>
        <v/>
      </c>
      <c r="O1269" s="55">
        <f>IF(A1269="",0,IF(COUNTIFS($A$2:A1269,A1269,$F$2:F1269,F1269,$L$2:L1269,L1269)=1,1,0))</f>
        <v>0</v>
      </c>
      <c r="P1269" s="55">
        <f>IF(A1269="",0,IF(AND(F1269="C&amp;T",COUNTIFS($A$2:A1269,A1269,$F$2:F1269,"C&amp;T")=1),1,0))</f>
        <v>0</v>
      </c>
    </row>
    <row r="1270" spans="1:16" x14ac:dyDescent="0.35">
      <c r="A1270" s="54" t="str">
        <f>IFERROR(IF(INDEX(SPOT_Import!$A$1:$Z$2488,1270,'Live Data'!$C$12)="","",INDEX(SPOT_Import!$A$1:$Z$2488,1270,'Live Data'!$C$12)),"")</f>
        <v/>
      </c>
      <c r="B1270" s="54" t="str">
        <f>IFERROR(IF(INDEX(SPOT_Import!$A$1:$Z$2488,1270,'Live Data'!$C$13)="","",INDEX(SPOT_Import!$A$1:$Z$2488,1270,'Live Data'!$C$13)),"")</f>
        <v/>
      </c>
      <c r="C1270" s="54" t="str">
        <f>IFERROR(IF(INDEX(SPOT_Import!$A$1:$Z$2488,1270,'Live Data'!$C$14)="","",INDEX(SPOT_Import!$A$1:$Z$2488,1270,'Live Data'!$C$14)),"")</f>
        <v/>
      </c>
      <c r="D1270" s="54" t="str">
        <f>IFERROR(IF(INDEX(SPOT_Import!$A$1:$Z$2488,1270,'Live Data'!$C$15)="","",INDEX(SPOT_Import!$A$1:$Z$2488,1270,'Live Data'!$C$15)),"")</f>
        <v/>
      </c>
      <c r="E1270" s="54" t="str">
        <f>IFERROR(IF(INDEX(SPOT_Import!$A$1:$Z$2488,1270,'Live Data'!$C$16)="","",INDEX(SPOT_Import!$A$1:$Z$2488,1270,'Live Data'!$C$16)),"")</f>
        <v/>
      </c>
      <c r="F1270" s="54" t="str">
        <f>IFERROR(IF(INDEX(SPOT_Import!$A$1:$Z$2488,1270,'Live Data'!$C$17)="","",INDEX(SPOT_Import!$A$1:$Z$2488,1270,'Live Data'!$C$17)),"")</f>
        <v/>
      </c>
      <c r="G1270" s="54" t="str">
        <f>IFERROR(IF(INDEX(SPOT_Import!$A$1:$Z$2488,1270,'Live Data'!$C$18)="","",INDEX(SPOT_Import!$A$1:$Z$2488,1270,'Live Data'!$C$18)),"")</f>
        <v/>
      </c>
      <c r="H1270" s="54" t="str">
        <f>IFERROR(IF(INDEX(SPOT_Import!$A$1:$Z$2488,1270,'Live Data'!$C$19)="","",INDEX(SPOT_Import!$A$1:$Z$2488,1270,'Live Data'!$C$19)),"")</f>
        <v/>
      </c>
      <c r="I1270" s="54" t="str">
        <f>IFERROR(IF(INDEX(SPOT_Import!$A$1:$Z$2488,1270,'Live Data'!$C$20)="","",INDEX(SPOT_Import!$A$1:$Z$2488,1270,'Live Data'!$C$20)),"")</f>
        <v/>
      </c>
      <c r="J1270" s="54" t="str">
        <f>IFERROR(IF(INDEX(SPOT_Import!$A$1:$Z$2488,1270,'Live Data'!$C$21)="","",INDEX(SPOT_Import!$A$1:$Z$2488,1270,'Live Data'!$C$21)),"")</f>
        <v/>
      </c>
      <c r="K1270" s="54" t="str">
        <f>IFERROR(IF(INDEX(SPOT_Import!$A$1:$Z$2488,1270,'Live Data'!$C$22)="","",INDEX(SPOT_Import!$A$1:$Z$2488,1270,'Live Data'!$C$22)),"")</f>
        <v/>
      </c>
      <c r="L1270" s="55" t="str">
        <f t="shared" si="38"/>
        <v/>
      </c>
      <c r="M1270" s="55" t="str">
        <f t="shared" si="39"/>
        <v/>
      </c>
      <c r="N1270" s="55" t="str">
        <f>IF(A1270="","",IFERROR(INDEX('Cluster Map'!$A$4:$A$38,MATCH(M1270,'Cluster Map'!$B$4:$B$38,0)),"Unmapped"))</f>
        <v/>
      </c>
      <c r="O1270" s="55">
        <f>IF(A1270="",0,IF(COUNTIFS($A$2:A1270,A1270,$F$2:F1270,F1270,$L$2:L1270,L1270)=1,1,0))</f>
        <v>0</v>
      </c>
      <c r="P1270" s="55">
        <f>IF(A1270="",0,IF(AND(F1270="C&amp;T",COUNTIFS($A$2:A1270,A1270,$F$2:F1270,"C&amp;T")=1),1,0))</f>
        <v>0</v>
      </c>
    </row>
    <row r="1271" spans="1:16" x14ac:dyDescent="0.35">
      <c r="A1271" s="54" t="str">
        <f>IFERROR(IF(INDEX(SPOT_Import!$A$1:$Z$2488,1271,'Live Data'!$C$12)="","",INDEX(SPOT_Import!$A$1:$Z$2488,1271,'Live Data'!$C$12)),"")</f>
        <v/>
      </c>
      <c r="B1271" s="54" t="str">
        <f>IFERROR(IF(INDEX(SPOT_Import!$A$1:$Z$2488,1271,'Live Data'!$C$13)="","",INDEX(SPOT_Import!$A$1:$Z$2488,1271,'Live Data'!$C$13)),"")</f>
        <v/>
      </c>
      <c r="C1271" s="54" t="str">
        <f>IFERROR(IF(INDEX(SPOT_Import!$A$1:$Z$2488,1271,'Live Data'!$C$14)="","",INDEX(SPOT_Import!$A$1:$Z$2488,1271,'Live Data'!$C$14)),"")</f>
        <v/>
      </c>
      <c r="D1271" s="54" t="str">
        <f>IFERROR(IF(INDEX(SPOT_Import!$A$1:$Z$2488,1271,'Live Data'!$C$15)="","",INDEX(SPOT_Import!$A$1:$Z$2488,1271,'Live Data'!$C$15)),"")</f>
        <v/>
      </c>
      <c r="E1271" s="54" t="str">
        <f>IFERROR(IF(INDEX(SPOT_Import!$A$1:$Z$2488,1271,'Live Data'!$C$16)="","",INDEX(SPOT_Import!$A$1:$Z$2488,1271,'Live Data'!$C$16)),"")</f>
        <v/>
      </c>
      <c r="F1271" s="54" t="str">
        <f>IFERROR(IF(INDEX(SPOT_Import!$A$1:$Z$2488,1271,'Live Data'!$C$17)="","",INDEX(SPOT_Import!$A$1:$Z$2488,1271,'Live Data'!$C$17)),"")</f>
        <v/>
      </c>
      <c r="G1271" s="54" t="str">
        <f>IFERROR(IF(INDEX(SPOT_Import!$A$1:$Z$2488,1271,'Live Data'!$C$18)="","",INDEX(SPOT_Import!$A$1:$Z$2488,1271,'Live Data'!$C$18)),"")</f>
        <v/>
      </c>
      <c r="H1271" s="54" t="str">
        <f>IFERROR(IF(INDEX(SPOT_Import!$A$1:$Z$2488,1271,'Live Data'!$C$19)="","",INDEX(SPOT_Import!$A$1:$Z$2488,1271,'Live Data'!$C$19)),"")</f>
        <v/>
      </c>
      <c r="I1271" s="54" t="str">
        <f>IFERROR(IF(INDEX(SPOT_Import!$A$1:$Z$2488,1271,'Live Data'!$C$20)="","",INDEX(SPOT_Import!$A$1:$Z$2488,1271,'Live Data'!$C$20)),"")</f>
        <v/>
      </c>
      <c r="J1271" s="54" t="str">
        <f>IFERROR(IF(INDEX(SPOT_Import!$A$1:$Z$2488,1271,'Live Data'!$C$21)="","",INDEX(SPOT_Import!$A$1:$Z$2488,1271,'Live Data'!$C$21)),"")</f>
        <v/>
      </c>
      <c r="K1271" s="54" t="str">
        <f>IFERROR(IF(INDEX(SPOT_Import!$A$1:$Z$2488,1271,'Live Data'!$C$22)="","",INDEX(SPOT_Import!$A$1:$Z$2488,1271,'Live Data'!$C$22)),"")</f>
        <v/>
      </c>
      <c r="L1271" s="55" t="str">
        <f t="shared" si="38"/>
        <v/>
      </c>
      <c r="M1271" s="55" t="str">
        <f t="shared" si="39"/>
        <v/>
      </c>
      <c r="N1271" s="55" t="str">
        <f>IF(A1271="","",IFERROR(INDEX('Cluster Map'!$A$4:$A$38,MATCH(M1271,'Cluster Map'!$B$4:$B$38,0)),"Unmapped"))</f>
        <v/>
      </c>
      <c r="O1271" s="55">
        <f>IF(A1271="",0,IF(COUNTIFS($A$2:A1271,A1271,$F$2:F1271,F1271,$L$2:L1271,L1271)=1,1,0))</f>
        <v>0</v>
      </c>
      <c r="P1271" s="55">
        <f>IF(A1271="",0,IF(AND(F1271="C&amp;T",COUNTIFS($A$2:A1271,A1271,$F$2:F1271,"C&amp;T")=1),1,0))</f>
        <v>0</v>
      </c>
    </row>
    <row r="1272" spans="1:16" x14ac:dyDescent="0.35">
      <c r="A1272" s="54" t="str">
        <f>IFERROR(IF(INDEX(SPOT_Import!$A$1:$Z$2488,1272,'Live Data'!$C$12)="","",INDEX(SPOT_Import!$A$1:$Z$2488,1272,'Live Data'!$C$12)),"")</f>
        <v/>
      </c>
      <c r="B1272" s="54" t="str">
        <f>IFERROR(IF(INDEX(SPOT_Import!$A$1:$Z$2488,1272,'Live Data'!$C$13)="","",INDEX(SPOT_Import!$A$1:$Z$2488,1272,'Live Data'!$C$13)),"")</f>
        <v/>
      </c>
      <c r="C1272" s="54" t="str">
        <f>IFERROR(IF(INDEX(SPOT_Import!$A$1:$Z$2488,1272,'Live Data'!$C$14)="","",INDEX(SPOT_Import!$A$1:$Z$2488,1272,'Live Data'!$C$14)),"")</f>
        <v/>
      </c>
      <c r="D1272" s="54" t="str">
        <f>IFERROR(IF(INDEX(SPOT_Import!$A$1:$Z$2488,1272,'Live Data'!$C$15)="","",INDEX(SPOT_Import!$A$1:$Z$2488,1272,'Live Data'!$C$15)),"")</f>
        <v/>
      </c>
      <c r="E1272" s="54" t="str">
        <f>IFERROR(IF(INDEX(SPOT_Import!$A$1:$Z$2488,1272,'Live Data'!$C$16)="","",INDEX(SPOT_Import!$A$1:$Z$2488,1272,'Live Data'!$C$16)),"")</f>
        <v/>
      </c>
      <c r="F1272" s="54" t="str">
        <f>IFERROR(IF(INDEX(SPOT_Import!$A$1:$Z$2488,1272,'Live Data'!$C$17)="","",INDEX(SPOT_Import!$A$1:$Z$2488,1272,'Live Data'!$C$17)),"")</f>
        <v/>
      </c>
      <c r="G1272" s="54" t="str">
        <f>IFERROR(IF(INDEX(SPOT_Import!$A$1:$Z$2488,1272,'Live Data'!$C$18)="","",INDEX(SPOT_Import!$A$1:$Z$2488,1272,'Live Data'!$C$18)),"")</f>
        <v/>
      </c>
      <c r="H1272" s="54" t="str">
        <f>IFERROR(IF(INDEX(SPOT_Import!$A$1:$Z$2488,1272,'Live Data'!$C$19)="","",INDEX(SPOT_Import!$A$1:$Z$2488,1272,'Live Data'!$C$19)),"")</f>
        <v/>
      </c>
      <c r="I1272" s="54" t="str">
        <f>IFERROR(IF(INDEX(SPOT_Import!$A$1:$Z$2488,1272,'Live Data'!$C$20)="","",INDEX(SPOT_Import!$A$1:$Z$2488,1272,'Live Data'!$C$20)),"")</f>
        <v/>
      </c>
      <c r="J1272" s="54" t="str">
        <f>IFERROR(IF(INDEX(SPOT_Import!$A$1:$Z$2488,1272,'Live Data'!$C$21)="","",INDEX(SPOT_Import!$A$1:$Z$2488,1272,'Live Data'!$C$21)),"")</f>
        <v/>
      </c>
      <c r="K1272" s="54" t="str">
        <f>IFERROR(IF(INDEX(SPOT_Import!$A$1:$Z$2488,1272,'Live Data'!$C$22)="","",INDEX(SPOT_Import!$A$1:$Z$2488,1272,'Live Data'!$C$22)),"")</f>
        <v/>
      </c>
      <c r="L1272" s="55" t="str">
        <f t="shared" si="38"/>
        <v/>
      </c>
      <c r="M1272" s="55" t="str">
        <f t="shared" si="39"/>
        <v/>
      </c>
      <c r="N1272" s="55" t="str">
        <f>IF(A1272="","",IFERROR(INDEX('Cluster Map'!$A$4:$A$38,MATCH(M1272,'Cluster Map'!$B$4:$B$38,0)),"Unmapped"))</f>
        <v/>
      </c>
      <c r="O1272" s="55">
        <f>IF(A1272="",0,IF(COUNTIFS($A$2:A1272,A1272,$F$2:F1272,F1272,$L$2:L1272,L1272)=1,1,0))</f>
        <v>0</v>
      </c>
      <c r="P1272" s="55">
        <f>IF(A1272="",0,IF(AND(F1272="C&amp;T",COUNTIFS($A$2:A1272,A1272,$F$2:F1272,"C&amp;T")=1),1,0))</f>
        <v>0</v>
      </c>
    </row>
    <row r="1273" spans="1:16" x14ac:dyDescent="0.35">
      <c r="A1273" s="54" t="str">
        <f>IFERROR(IF(INDEX(SPOT_Import!$A$1:$Z$2488,1273,'Live Data'!$C$12)="","",INDEX(SPOT_Import!$A$1:$Z$2488,1273,'Live Data'!$C$12)),"")</f>
        <v/>
      </c>
      <c r="B1273" s="54" t="str">
        <f>IFERROR(IF(INDEX(SPOT_Import!$A$1:$Z$2488,1273,'Live Data'!$C$13)="","",INDEX(SPOT_Import!$A$1:$Z$2488,1273,'Live Data'!$C$13)),"")</f>
        <v/>
      </c>
      <c r="C1273" s="54" t="str">
        <f>IFERROR(IF(INDEX(SPOT_Import!$A$1:$Z$2488,1273,'Live Data'!$C$14)="","",INDEX(SPOT_Import!$A$1:$Z$2488,1273,'Live Data'!$C$14)),"")</f>
        <v/>
      </c>
      <c r="D1273" s="54" t="str">
        <f>IFERROR(IF(INDEX(SPOT_Import!$A$1:$Z$2488,1273,'Live Data'!$C$15)="","",INDEX(SPOT_Import!$A$1:$Z$2488,1273,'Live Data'!$C$15)),"")</f>
        <v/>
      </c>
      <c r="E1273" s="54" t="str">
        <f>IFERROR(IF(INDEX(SPOT_Import!$A$1:$Z$2488,1273,'Live Data'!$C$16)="","",INDEX(SPOT_Import!$A$1:$Z$2488,1273,'Live Data'!$C$16)),"")</f>
        <v/>
      </c>
      <c r="F1273" s="54" t="str">
        <f>IFERROR(IF(INDEX(SPOT_Import!$A$1:$Z$2488,1273,'Live Data'!$C$17)="","",INDEX(SPOT_Import!$A$1:$Z$2488,1273,'Live Data'!$C$17)),"")</f>
        <v/>
      </c>
      <c r="G1273" s="54" t="str">
        <f>IFERROR(IF(INDEX(SPOT_Import!$A$1:$Z$2488,1273,'Live Data'!$C$18)="","",INDEX(SPOT_Import!$A$1:$Z$2488,1273,'Live Data'!$C$18)),"")</f>
        <v/>
      </c>
      <c r="H1273" s="54" t="str">
        <f>IFERROR(IF(INDEX(SPOT_Import!$A$1:$Z$2488,1273,'Live Data'!$C$19)="","",INDEX(SPOT_Import!$A$1:$Z$2488,1273,'Live Data'!$C$19)),"")</f>
        <v/>
      </c>
      <c r="I1273" s="54" t="str">
        <f>IFERROR(IF(INDEX(SPOT_Import!$A$1:$Z$2488,1273,'Live Data'!$C$20)="","",INDEX(SPOT_Import!$A$1:$Z$2488,1273,'Live Data'!$C$20)),"")</f>
        <v/>
      </c>
      <c r="J1273" s="54" t="str">
        <f>IFERROR(IF(INDEX(SPOT_Import!$A$1:$Z$2488,1273,'Live Data'!$C$21)="","",INDEX(SPOT_Import!$A$1:$Z$2488,1273,'Live Data'!$C$21)),"")</f>
        <v/>
      </c>
      <c r="K1273" s="54" t="str">
        <f>IFERROR(IF(INDEX(SPOT_Import!$A$1:$Z$2488,1273,'Live Data'!$C$22)="","",INDEX(SPOT_Import!$A$1:$Z$2488,1273,'Live Data'!$C$22)),"")</f>
        <v/>
      </c>
      <c r="L1273" s="55" t="str">
        <f t="shared" si="38"/>
        <v/>
      </c>
      <c r="M1273" s="55" t="str">
        <f t="shared" si="39"/>
        <v/>
      </c>
      <c r="N1273" s="55" t="str">
        <f>IF(A1273="","",IFERROR(INDEX('Cluster Map'!$A$4:$A$38,MATCH(M1273,'Cluster Map'!$B$4:$B$38,0)),"Unmapped"))</f>
        <v/>
      </c>
      <c r="O1273" s="55">
        <f>IF(A1273="",0,IF(COUNTIFS($A$2:A1273,A1273,$F$2:F1273,F1273,$L$2:L1273,L1273)=1,1,0))</f>
        <v>0</v>
      </c>
      <c r="P1273" s="55">
        <f>IF(A1273="",0,IF(AND(F1273="C&amp;T",COUNTIFS($A$2:A1273,A1273,$F$2:F1273,"C&amp;T")=1),1,0))</f>
        <v>0</v>
      </c>
    </row>
    <row r="1274" spans="1:16" x14ac:dyDescent="0.35">
      <c r="A1274" s="54" t="str">
        <f>IFERROR(IF(INDEX(SPOT_Import!$A$1:$Z$2488,1274,'Live Data'!$C$12)="","",INDEX(SPOT_Import!$A$1:$Z$2488,1274,'Live Data'!$C$12)),"")</f>
        <v/>
      </c>
      <c r="B1274" s="54" t="str">
        <f>IFERROR(IF(INDEX(SPOT_Import!$A$1:$Z$2488,1274,'Live Data'!$C$13)="","",INDEX(SPOT_Import!$A$1:$Z$2488,1274,'Live Data'!$C$13)),"")</f>
        <v/>
      </c>
      <c r="C1274" s="54" t="str">
        <f>IFERROR(IF(INDEX(SPOT_Import!$A$1:$Z$2488,1274,'Live Data'!$C$14)="","",INDEX(SPOT_Import!$A$1:$Z$2488,1274,'Live Data'!$C$14)),"")</f>
        <v/>
      </c>
      <c r="D1274" s="54" t="str">
        <f>IFERROR(IF(INDEX(SPOT_Import!$A$1:$Z$2488,1274,'Live Data'!$C$15)="","",INDEX(SPOT_Import!$A$1:$Z$2488,1274,'Live Data'!$C$15)),"")</f>
        <v/>
      </c>
      <c r="E1274" s="54" t="str">
        <f>IFERROR(IF(INDEX(SPOT_Import!$A$1:$Z$2488,1274,'Live Data'!$C$16)="","",INDEX(SPOT_Import!$A$1:$Z$2488,1274,'Live Data'!$C$16)),"")</f>
        <v/>
      </c>
      <c r="F1274" s="54" t="str">
        <f>IFERROR(IF(INDEX(SPOT_Import!$A$1:$Z$2488,1274,'Live Data'!$C$17)="","",INDEX(SPOT_Import!$A$1:$Z$2488,1274,'Live Data'!$C$17)),"")</f>
        <v/>
      </c>
      <c r="G1274" s="54" t="str">
        <f>IFERROR(IF(INDEX(SPOT_Import!$A$1:$Z$2488,1274,'Live Data'!$C$18)="","",INDEX(SPOT_Import!$A$1:$Z$2488,1274,'Live Data'!$C$18)),"")</f>
        <v/>
      </c>
      <c r="H1274" s="54" t="str">
        <f>IFERROR(IF(INDEX(SPOT_Import!$A$1:$Z$2488,1274,'Live Data'!$C$19)="","",INDEX(SPOT_Import!$A$1:$Z$2488,1274,'Live Data'!$C$19)),"")</f>
        <v/>
      </c>
      <c r="I1274" s="54" t="str">
        <f>IFERROR(IF(INDEX(SPOT_Import!$A$1:$Z$2488,1274,'Live Data'!$C$20)="","",INDEX(SPOT_Import!$A$1:$Z$2488,1274,'Live Data'!$C$20)),"")</f>
        <v/>
      </c>
      <c r="J1274" s="54" t="str">
        <f>IFERROR(IF(INDEX(SPOT_Import!$A$1:$Z$2488,1274,'Live Data'!$C$21)="","",INDEX(SPOT_Import!$A$1:$Z$2488,1274,'Live Data'!$C$21)),"")</f>
        <v/>
      </c>
      <c r="K1274" s="54" t="str">
        <f>IFERROR(IF(INDEX(SPOT_Import!$A$1:$Z$2488,1274,'Live Data'!$C$22)="","",INDEX(SPOT_Import!$A$1:$Z$2488,1274,'Live Data'!$C$22)),"")</f>
        <v/>
      </c>
      <c r="L1274" s="55" t="str">
        <f t="shared" si="38"/>
        <v/>
      </c>
      <c r="M1274" s="55" t="str">
        <f t="shared" si="39"/>
        <v/>
      </c>
      <c r="N1274" s="55" t="str">
        <f>IF(A1274="","",IFERROR(INDEX('Cluster Map'!$A$4:$A$38,MATCH(M1274,'Cluster Map'!$B$4:$B$38,0)),"Unmapped"))</f>
        <v/>
      </c>
      <c r="O1274" s="55">
        <f>IF(A1274="",0,IF(COUNTIFS($A$2:A1274,A1274,$F$2:F1274,F1274,$L$2:L1274,L1274)=1,1,0))</f>
        <v>0</v>
      </c>
      <c r="P1274" s="55">
        <f>IF(A1274="",0,IF(AND(F1274="C&amp;T",COUNTIFS($A$2:A1274,A1274,$F$2:F1274,"C&amp;T")=1),1,0))</f>
        <v>0</v>
      </c>
    </row>
    <row r="1275" spans="1:16" x14ac:dyDescent="0.35">
      <c r="A1275" s="54" t="str">
        <f>IFERROR(IF(INDEX(SPOT_Import!$A$1:$Z$2488,1275,'Live Data'!$C$12)="","",INDEX(SPOT_Import!$A$1:$Z$2488,1275,'Live Data'!$C$12)),"")</f>
        <v/>
      </c>
      <c r="B1275" s="54" t="str">
        <f>IFERROR(IF(INDEX(SPOT_Import!$A$1:$Z$2488,1275,'Live Data'!$C$13)="","",INDEX(SPOT_Import!$A$1:$Z$2488,1275,'Live Data'!$C$13)),"")</f>
        <v/>
      </c>
      <c r="C1275" s="54" t="str">
        <f>IFERROR(IF(INDEX(SPOT_Import!$A$1:$Z$2488,1275,'Live Data'!$C$14)="","",INDEX(SPOT_Import!$A$1:$Z$2488,1275,'Live Data'!$C$14)),"")</f>
        <v/>
      </c>
      <c r="D1275" s="54" t="str">
        <f>IFERROR(IF(INDEX(SPOT_Import!$A$1:$Z$2488,1275,'Live Data'!$C$15)="","",INDEX(SPOT_Import!$A$1:$Z$2488,1275,'Live Data'!$C$15)),"")</f>
        <v/>
      </c>
      <c r="E1275" s="54" t="str">
        <f>IFERROR(IF(INDEX(SPOT_Import!$A$1:$Z$2488,1275,'Live Data'!$C$16)="","",INDEX(SPOT_Import!$A$1:$Z$2488,1275,'Live Data'!$C$16)),"")</f>
        <v/>
      </c>
      <c r="F1275" s="54" t="str">
        <f>IFERROR(IF(INDEX(SPOT_Import!$A$1:$Z$2488,1275,'Live Data'!$C$17)="","",INDEX(SPOT_Import!$A$1:$Z$2488,1275,'Live Data'!$C$17)),"")</f>
        <v/>
      </c>
      <c r="G1275" s="54" t="str">
        <f>IFERROR(IF(INDEX(SPOT_Import!$A$1:$Z$2488,1275,'Live Data'!$C$18)="","",INDEX(SPOT_Import!$A$1:$Z$2488,1275,'Live Data'!$C$18)),"")</f>
        <v/>
      </c>
      <c r="H1275" s="54" t="str">
        <f>IFERROR(IF(INDEX(SPOT_Import!$A$1:$Z$2488,1275,'Live Data'!$C$19)="","",INDEX(SPOT_Import!$A$1:$Z$2488,1275,'Live Data'!$C$19)),"")</f>
        <v/>
      </c>
      <c r="I1275" s="54" t="str">
        <f>IFERROR(IF(INDEX(SPOT_Import!$A$1:$Z$2488,1275,'Live Data'!$C$20)="","",INDEX(SPOT_Import!$A$1:$Z$2488,1275,'Live Data'!$C$20)),"")</f>
        <v/>
      </c>
      <c r="J1275" s="54" t="str">
        <f>IFERROR(IF(INDEX(SPOT_Import!$A$1:$Z$2488,1275,'Live Data'!$C$21)="","",INDEX(SPOT_Import!$A$1:$Z$2488,1275,'Live Data'!$C$21)),"")</f>
        <v/>
      </c>
      <c r="K1275" s="54" t="str">
        <f>IFERROR(IF(INDEX(SPOT_Import!$A$1:$Z$2488,1275,'Live Data'!$C$22)="","",INDEX(SPOT_Import!$A$1:$Z$2488,1275,'Live Data'!$C$22)),"")</f>
        <v/>
      </c>
      <c r="L1275" s="55" t="str">
        <f t="shared" si="38"/>
        <v/>
      </c>
      <c r="M1275" s="55" t="str">
        <f t="shared" si="39"/>
        <v/>
      </c>
      <c r="N1275" s="55" t="str">
        <f>IF(A1275="","",IFERROR(INDEX('Cluster Map'!$A$4:$A$38,MATCH(M1275,'Cluster Map'!$B$4:$B$38,0)),"Unmapped"))</f>
        <v/>
      </c>
      <c r="O1275" s="55">
        <f>IF(A1275="",0,IF(COUNTIFS($A$2:A1275,A1275,$F$2:F1275,F1275,$L$2:L1275,L1275)=1,1,0))</f>
        <v>0</v>
      </c>
      <c r="P1275" s="55">
        <f>IF(A1275="",0,IF(AND(F1275="C&amp;T",COUNTIFS($A$2:A1275,A1275,$F$2:F1275,"C&amp;T")=1),1,0))</f>
        <v>0</v>
      </c>
    </row>
    <row r="1276" spans="1:16" x14ac:dyDescent="0.35">
      <c r="A1276" s="54" t="str">
        <f>IFERROR(IF(INDEX(SPOT_Import!$A$1:$Z$2488,1276,'Live Data'!$C$12)="","",INDEX(SPOT_Import!$A$1:$Z$2488,1276,'Live Data'!$C$12)),"")</f>
        <v/>
      </c>
      <c r="B1276" s="54" t="str">
        <f>IFERROR(IF(INDEX(SPOT_Import!$A$1:$Z$2488,1276,'Live Data'!$C$13)="","",INDEX(SPOT_Import!$A$1:$Z$2488,1276,'Live Data'!$C$13)),"")</f>
        <v/>
      </c>
      <c r="C1276" s="54" t="str">
        <f>IFERROR(IF(INDEX(SPOT_Import!$A$1:$Z$2488,1276,'Live Data'!$C$14)="","",INDEX(SPOT_Import!$A$1:$Z$2488,1276,'Live Data'!$C$14)),"")</f>
        <v/>
      </c>
      <c r="D1276" s="54" t="str">
        <f>IFERROR(IF(INDEX(SPOT_Import!$A$1:$Z$2488,1276,'Live Data'!$C$15)="","",INDEX(SPOT_Import!$A$1:$Z$2488,1276,'Live Data'!$C$15)),"")</f>
        <v/>
      </c>
      <c r="E1276" s="54" t="str">
        <f>IFERROR(IF(INDEX(SPOT_Import!$A$1:$Z$2488,1276,'Live Data'!$C$16)="","",INDEX(SPOT_Import!$A$1:$Z$2488,1276,'Live Data'!$C$16)),"")</f>
        <v/>
      </c>
      <c r="F1276" s="54" t="str">
        <f>IFERROR(IF(INDEX(SPOT_Import!$A$1:$Z$2488,1276,'Live Data'!$C$17)="","",INDEX(SPOT_Import!$A$1:$Z$2488,1276,'Live Data'!$C$17)),"")</f>
        <v/>
      </c>
      <c r="G1276" s="54" t="str">
        <f>IFERROR(IF(INDEX(SPOT_Import!$A$1:$Z$2488,1276,'Live Data'!$C$18)="","",INDEX(SPOT_Import!$A$1:$Z$2488,1276,'Live Data'!$C$18)),"")</f>
        <v/>
      </c>
      <c r="H1276" s="54" t="str">
        <f>IFERROR(IF(INDEX(SPOT_Import!$A$1:$Z$2488,1276,'Live Data'!$C$19)="","",INDEX(SPOT_Import!$A$1:$Z$2488,1276,'Live Data'!$C$19)),"")</f>
        <v/>
      </c>
      <c r="I1276" s="54" t="str">
        <f>IFERROR(IF(INDEX(SPOT_Import!$A$1:$Z$2488,1276,'Live Data'!$C$20)="","",INDEX(SPOT_Import!$A$1:$Z$2488,1276,'Live Data'!$C$20)),"")</f>
        <v/>
      </c>
      <c r="J1276" s="54" t="str">
        <f>IFERROR(IF(INDEX(SPOT_Import!$A$1:$Z$2488,1276,'Live Data'!$C$21)="","",INDEX(SPOT_Import!$A$1:$Z$2488,1276,'Live Data'!$C$21)),"")</f>
        <v/>
      </c>
      <c r="K1276" s="54" t="str">
        <f>IFERROR(IF(INDEX(SPOT_Import!$A$1:$Z$2488,1276,'Live Data'!$C$22)="","",INDEX(SPOT_Import!$A$1:$Z$2488,1276,'Live Data'!$C$22)),"")</f>
        <v/>
      </c>
      <c r="L1276" s="55" t="str">
        <f t="shared" si="38"/>
        <v/>
      </c>
      <c r="M1276" s="55" t="str">
        <f t="shared" si="39"/>
        <v/>
      </c>
      <c r="N1276" s="55" t="str">
        <f>IF(A1276="","",IFERROR(INDEX('Cluster Map'!$A$4:$A$38,MATCH(M1276,'Cluster Map'!$B$4:$B$38,0)),"Unmapped"))</f>
        <v/>
      </c>
      <c r="O1276" s="55">
        <f>IF(A1276="",0,IF(COUNTIFS($A$2:A1276,A1276,$F$2:F1276,F1276,$L$2:L1276,L1276)=1,1,0))</f>
        <v>0</v>
      </c>
      <c r="P1276" s="55">
        <f>IF(A1276="",0,IF(AND(F1276="C&amp;T",COUNTIFS($A$2:A1276,A1276,$F$2:F1276,"C&amp;T")=1),1,0))</f>
        <v>0</v>
      </c>
    </row>
    <row r="1277" spans="1:16" x14ac:dyDescent="0.35">
      <c r="A1277" s="54" t="str">
        <f>IFERROR(IF(INDEX(SPOT_Import!$A$1:$Z$2488,1277,'Live Data'!$C$12)="","",INDEX(SPOT_Import!$A$1:$Z$2488,1277,'Live Data'!$C$12)),"")</f>
        <v/>
      </c>
      <c r="B1277" s="54" t="str">
        <f>IFERROR(IF(INDEX(SPOT_Import!$A$1:$Z$2488,1277,'Live Data'!$C$13)="","",INDEX(SPOT_Import!$A$1:$Z$2488,1277,'Live Data'!$C$13)),"")</f>
        <v/>
      </c>
      <c r="C1277" s="54" t="str">
        <f>IFERROR(IF(INDEX(SPOT_Import!$A$1:$Z$2488,1277,'Live Data'!$C$14)="","",INDEX(SPOT_Import!$A$1:$Z$2488,1277,'Live Data'!$C$14)),"")</f>
        <v/>
      </c>
      <c r="D1277" s="54" t="str">
        <f>IFERROR(IF(INDEX(SPOT_Import!$A$1:$Z$2488,1277,'Live Data'!$C$15)="","",INDEX(SPOT_Import!$A$1:$Z$2488,1277,'Live Data'!$C$15)),"")</f>
        <v/>
      </c>
      <c r="E1277" s="54" t="str">
        <f>IFERROR(IF(INDEX(SPOT_Import!$A$1:$Z$2488,1277,'Live Data'!$C$16)="","",INDEX(SPOT_Import!$A$1:$Z$2488,1277,'Live Data'!$C$16)),"")</f>
        <v/>
      </c>
      <c r="F1277" s="54" t="str">
        <f>IFERROR(IF(INDEX(SPOT_Import!$A$1:$Z$2488,1277,'Live Data'!$C$17)="","",INDEX(SPOT_Import!$A$1:$Z$2488,1277,'Live Data'!$C$17)),"")</f>
        <v/>
      </c>
      <c r="G1277" s="54" t="str">
        <f>IFERROR(IF(INDEX(SPOT_Import!$A$1:$Z$2488,1277,'Live Data'!$C$18)="","",INDEX(SPOT_Import!$A$1:$Z$2488,1277,'Live Data'!$C$18)),"")</f>
        <v/>
      </c>
      <c r="H1277" s="54" t="str">
        <f>IFERROR(IF(INDEX(SPOT_Import!$A$1:$Z$2488,1277,'Live Data'!$C$19)="","",INDEX(SPOT_Import!$A$1:$Z$2488,1277,'Live Data'!$C$19)),"")</f>
        <v/>
      </c>
      <c r="I1277" s="54" t="str">
        <f>IFERROR(IF(INDEX(SPOT_Import!$A$1:$Z$2488,1277,'Live Data'!$C$20)="","",INDEX(SPOT_Import!$A$1:$Z$2488,1277,'Live Data'!$C$20)),"")</f>
        <v/>
      </c>
      <c r="J1277" s="54" t="str">
        <f>IFERROR(IF(INDEX(SPOT_Import!$A$1:$Z$2488,1277,'Live Data'!$C$21)="","",INDEX(SPOT_Import!$A$1:$Z$2488,1277,'Live Data'!$C$21)),"")</f>
        <v/>
      </c>
      <c r="K1277" s="54" t="str">
        <f>IFERROR(IF(INDEX(SPOT_Import!$A$1:$Z$2488,1277,'Live Data'!$C$22)="","",INDEX(SPOT_Import!$A$1:$Z$2488,1277,'Live Data'!$C$22)),"")</f>
        <v/>
      </c>
      <c r="L1277" s="55" t="str">
        <f t="shared" si="38"/>
        <v/>
      </c>
      <c r="M1277" s="55" t="str">
        <f t="shared" si="39"/>
        <v/>
      </c>
      <c r="N1277" s="55" t="str">
        <f>IF(A1277="","",IFERROR(INDEX('Cluster Map'!$A$4:$A$38,MATCH(M1277,'Cluster Map'!$B$4:$B$38,0)),"Unmapped"))</f>
        <v/>
      </c>
      <c r="O1277" s="55">
        <f>IF(A1277="",0,IF(COUNTIFS($A$2:A1277,A1277,$F$2:F1277,F1277,$L$2:L1277,L1277)=1,1,0))</f>
        <v>0</v>
      </c>
      <c r="P1277" s="55">
        <f>IF(A1277="",0,IF(AND(F1277="C&amp;T",COUNTIFS($A$2:A1277,A1277,$F$2:F1277,"C&amp;T")=1),1,0))</f>
        <v>0</v>
      </c>
    </row>
    <row r="1278" spans="1:16" x14ac:dyDescent="0.35">
      <c r="A1278" s="54" t="str">
        <f>IFERROR(IF(INDEX(SPOT_Import!$A$1:$Z$2488,1278,'Live Data'!$C$12)="","",INDEX(SPOT_Import!$A$1:$Z$2488,1278,'Live Data'!$C$12)),"")</f>
        <v/>
      </c>
      <c r="B1278" s="54" t="str">
        <f>IFERROR(IF(INDEX(SPOT_Import!$A$1:$Z$2488,1278,'Live Data'!$C$13)="","",INDEX(SPOT_Import!$A$1:$Z$2488,1278,'Live Data'!$C$13)),"")</f>
        <v/>
      </c>
      <c r="C1278" s="54" t="str">
        <f>IFERROR(IF(INDEX(SPOT_Import!$A$1:$Z$2488,1278,'Live Data'!$C$14)="","",INDEX(SPOT_Import!$A$1:$Z$2488,1278,'Live Data'!$C$14)),"")</f>
        <v/>
      </c>
      <c r="D1278" s="54" t="str">
        <f>IFERROR(IF(INDEX(SPOT_Import!$A$1:$Z$2488,1278,'Live Data'!$C$15)="","",INDEX(SPOT_Import!$A$1:$Z$2488,1278,'Live Data'!$C$15)),"")</f>
        <v/>
      </c>
      <c r="E1278" s="54" t="str">
        <f>IFERROR(IF(INDEX(SPOT_Import!$A$1:$Z$2488,1278,'Live Data'!$C$16)="","",INDEX(SPOT_Import!$A$1:$Z$2488,1278,'Live Data'!$C$16)),"")</f>
        <v/>
      </c>
      <c r="F1278" s="54" t="str">
        <f>IFERROR(IF(INDEX(SPOT_Import!$A$1:$Z$2488,1278,'Live Data'!$C$17)="","",INDEX(SPOT_Import!$A$1:$Z$2488,1278,'Live Data'!$C$17)),"")</f>
        <v/>
      </c>
      <c r="G1278" s="54" t="str">
        <f>IFERROR(IF(INDEX(SPOT_Import!$A$1:$Z$2488,1278,'Live Data'!$C$18)="","",INDEX(SPOT_Import!$A$1:$Z$2488,1278,'Live Data'!$C$18)),"")</f>
        <v/>
      </c>
      <c r="H1278" s="54" t="str">
        <f>IFERROR(IF(INDEX(SPOT_Import!$A$1:$Z$2488,1278,'Live Data'!$C$19)="","",INDEX(SPOT_Import!$A$1:$Z$2488,1278,'Live Data'!$C$19)),"")</f>
        <v/>
      </c>
      <c r="I1278" s="54" t="str">
        <f>IFERROR(IF(INDEX(SPOT_Import!$A$1:$Z$2488,1278,'Live Data'!$C$20)="","",INDEX(SPOT_Import!$A$1:$Z$2488,1278,'Live Data'!$C$20)),"")</f>
        <v/>
      </c>
      <c r="J1278" s="54" t="str">
        <f>IFERROR(IF(INDEX(SPOT_Import!$A$1:$Z$2488,1278,'Live Data'!$C$21)="","",INDEX(SPOT_Import!$A$1:$Z$2488,1278,'Live Data'!$C$21)),"")</f>
        <v/>
      </c>
      <c r="K1278" s="54" t="str">
        <f>IFERROR(IF(INDEX(SPOT_Import!$A$1:$Z$2488,1278,'Live Data'!$C$22)="","",INDEX(SPOT_Import!$A$1:$Z$2488,1278,'Live Data'!$C$22)),"")</f>
        <v/>
      </c>
      <c r="L1278" s="55" t="str">
        <f t="shared" si="38"/>
        <v/>
      </c>
      <c r="M1278" s="55" t="str">
        <f t="shared" si="39"/>
        <v/>
      </c>
      <c r="N1278" s="55" t="str">
        <f>IF(A1278="","",IFERROR(INDEX('Cluster Map'!$A$4:$A$38,MATCH(M1278,'Cluster Map'!$B$4:$B$38,0)),"Unmapped"))</f>
        <v/>
      </c>
      <c r="O1278" s="55">
        <f>IF(A1278="",0,IF(COUNTIFS($A$2:A1278,A1278,$F$2:F1278,F1278,$L$2:L1278,L1278)=1,1,0))</f>
        <v>0</v>
      </c>
      <c r="P1278" s="55">
        <f>IF(A1278="",0,IF(AND(F1278="C&amp;T",COUNTIFS($A$2:A1278,A1278,$F$2:F1278,"C&amp;T")=1),1,0))</f>
        <v>0</v>
      </c>
    </row>
    <row r="1279" spans="1:16" x14ac:dyDescent="0.35">
      <c r="A1279" s="54" t="str">
        <f>IFERROR(IF(INDEX(SPOT_Import!$A$1:$Z$2488,1279,'Live Data'!$C$12)="","",INDEX(SPOT_Import!$A$1:$Z$2488,1279,'Live Data'!$C$12)),"")</f>
        <v/>
      </c>
      <c r="B1279" s="54" t="str">
        <f>IFERROR(IF(INDEX(SPOT_Import!$A$1:$Z$2488,1279,'Live Data'!$C$13)="","",INDEX(SPOT_Import!$A$1:$Z$2488,1279,'Live Data'!$C$13)),"")</f>
        <v/>
      </c>
      <c r="C1279" s="54" t="str">
        <f>IFERROR(IF(INDEX(SPOT_Import!$A$1:$Z$2488,1279,'Live Data'!$C$14)="","",INDEX(SPOT_Import!$A$1:$Z$2488,1279,'Live Data'!$C$14)),"")</f>
        <v/>
      </c>
      <c r="D1279" s="54" t="str">
        <f>IFERROR(IF(INDEX(SPOT_Import!$A$1:$Z$2488,1279,'Live Data'!$C$15)="","",INDEX(SPOT_Import!$A$1:$Z$2488,1279,'Live Data'!$C$15)),"")</f>
        <v/>
      </c>
      <c r="E1279" s="54" t="str">
        <f>IFERROR(IF(INDEX(SPOT_Import!$A$1:$Z$2488,1279,'Live Data'!$C$16)="","",INDEX(SPOT_Import!$A$1:$Z$2488,1279,'Live Data'!$C$16)),"")</f>
        <v/>
      </c>
      <c r="F1279" s="54" t="str">
        <f>IFERROR(IF(INDEX(SPOT_Import!$A$1:$Z$2488,1279,'Live Data'!$C$17)="","",INDEX(SPOT_Import!$A$1:$Z$2488,1279,'Live Data'!$C$17)),"")</f>
        <v/>
      </c>
      <c r="G1279" s="54" t="str">
        <f>IFERROR(IF(INDEX(SPOT_Import!$A$1:$Z$2488,1279,'Live Data'!$C$18)="","",INDEX(SPOT_Import!$A$1:$Z$2488,1279,'Live Data'!$C$18)),"")</f>
        <v/>
      </c>
      <c r="H1279" s="54" t="str">
        <f>IFERROR(IF(INDEX(SPOT_Import!$A$1:$Z$2488,1279,'Live Data'!$C$19)="","",INDEX(SPOT_Import!$A$1:$Z$2488,1279,'Live Data'!$C$19)),"")</f>
        <v/>
      </c>
      <c r="I1279" s="54" t="str">
        <f>IFERROR(IF(INDEX(SPOT_Import!$A$1:$Z$2488,1279,'Live Data'!$C$20)="","",INDEX(SPOT_Import!$A$1:$Z$2488,1279,'Live Data'!$C$20)),"")</f>
        <v/>
      </c>
      <c r="J1279" s="54" t="str">
        <f>IFERROR(IF(INDEX(SPOT_Import!$A$1:$Z$2488,1279,'Live Data'!$C$21)="","",INDEX(SPOT_Import!$A$1:$Z$2488,1279,'Live Data'!$C$21)),"")</f>
        <v/>
      </c>
      <c r="K1279" s="54" t="str">
        <f>IFERROR(IF(INDEX(SPOT_Import!$A$1:$Z$2488,1279,'Live Data'!$C$22)="","",INDEX(SPOT_Import!$A$1:$Z$2488,1279,'Live Data'!$C$22)),"")</f>
        <v/>
      </c>
      <c r="L1279" s="55" t="str">
        <f t="shared" si="38"/>
        <v/>
      </c>
      <c r="M1279" s="55" t="str">
        <f t="shared" si="39"/>
        <v/>
      </c>
      <c r="N1279" s="55" t="str">
        <f>IF(A1279="","",IFERROR(INDEX('Cluster Map'!$A$4:$A$38,MATCH(M1279,'Cluster Map'!$B$4:$B$38,0)),"Unmapped"))</f>
        <v/>
      </c>
      <c r="O1279" s="55">
        <f>IF(A1279="",0,IF(COUNTIFS($A$2:A1279,A1279,$F$2:F1279,F1279,$L$2:L1279,L1279)=1,1,0))</f>
        <v>0</v>
      </c>
      <c r="P1279" s="55">
        <f>IF(A1279="",0,IF(AND(F1279="C&amp;T",COUNTIFS($A$2:A1279,A1279,$F$2:F1279,"C&amp;T")=1),1,0))</f>
        <v>0</v>
      </c>
    </row>
    <row r="1280" spans="1:16" x14ac:dyDescent="0.35">
      <c r="A1280" s="54" t="str">
        <f>IFERROR(IF(INDEX(SPOT_Import!$A$1:$Z$2488,1280,'Live Data'!$C$12)="","",INDEX(SPOT_Import!$A$1:$Z$2488,1280,'Live Data'!$C$12)),"")</f>
        <v/>
      </c>
      <c r="B1280" s="54" t="str">
        <f>IFERROR(IF(INDEX(SPOT_Import!$A$1:$Z$2488,1280,'Live Data'!$C$13)="","",INDEX(SPOT_Import!$A$1:$Z$2488,1280,'Live Data'!$C$13)),"")</f>
        <v/>
      </c>
      <c r="C1280" s="54" t="str">
        <f>IFERROR(IF(INDEX(SPOT_Import!$A$1:$Z$2488,1280,'Live Data'!$C$14)="","",INDEX(SPOT_Import!$A$1:$Z$2488,1280,'Live Data'!$C$14)),"")</f>
        <v/>
      </c>
      <c r="D1280" s="54" t="str">
        <f>IFERROR(IF(INDEX(SPOT_Import!$A$1:$Z$2488,1280,'Live Data'!$C$15)="","",INDEX(SPOT_Import!$A$1:$Z$2488,1280,'Live Data'!$C$15)),"")</f>
        <v/>
      </c>
      <c r="E1280" s="54" t="str">
        <f>IFERROR(IF(INDEX(SPOT_Import!$A$1:$Z$2488,1280,'Live Data'!$C$16)="","",INDEX(SPOT_Import!$A$1:$Z$2488,1280,'Live Data'!$C$16)),"")</f>
        <v/>
      </c>
      <c r="F1280" s="54" t="str">
        <f>IFERROR(IF(INDEX(SPOT_Import!$A$1:$Z$2488,1280,'Live Data'!$C$17)="","",INDEX(SPOT_Import!$A$1:$Z$2488,1280,'Live Data'!$C$17)),"")</f>
        <v/>
      </c>
      <c r="G1280" s="54" t="str">
        <f>IFERROR(IF(INDEX(SPOT_Import!$A$1:$Z$2488,1280,'Live Data'!$C$18)="","",INDEX(SPOT_Import!$A$1:$Z$2488,1280,'Live Data'!$C$18)),"")</f>
        <v/>
      </c>
      <c r="H1280" s="54" t="str">
        <f>IFERROR(IF(INDEX(SPOT_Import!$A$1:$Z$2488,1280,'Live Data'!$C$19)="","",INDEX(SPOT_Import!$A$1:$Z$2488,1280,'Live Data'!$C$19)),"")</f>
        <v/>
      </c>
      <c r="I1280" s="54" t="str">
        <f>IFERROR(IF(INDEX(SPOT_Import!$A$1:$Z$2488,1280,'Live Data'!$C$20)="","",INDEX(SPOT_Import!$A$1:$Z$2488,1280,'Live Data'!$C$20)),"")</f>
        <v/>
      </c>
      <c r="J1280" s="54" t="str">
        <f>IFERROR(IF(INDEX(SPOT_Import!$A$1:$Z$2488,1280,'Live Data'!$C$21)="","",INDEX(SPOT_Import!$A$1:$Z$2488,1280,'Live Data'!$C$21)),"")</f>
        <v/>
      </c>
      <c r="K1280" s="54" t="str">
        <f>IFERROR(IF(INDEX(SPOT_Import!$A$1:$Z$2488,1280,'Live Data'!$C$22)="","",INDEX(SPOT_Import!$A$1:$Z$2488,1280,'Live Data'!$C$22)),"")</f>
        <v/>
      </c>
      <c r="L1280" s="55" t="str">
        <f t="shared" si="38"/>
        <v/>
      </c>
      <c r="M1280" s="55" t="str">
        <f t="shared" si="39"/>
        <v/>
      </c>
      <c r="N1280" s="55" t="str">
        <f>IF(A1280="","",IFERROR(INDEX('Cluster Map'!$A$4:$A$38,MATCH(M1280,'Cluster Map'!$B$4:$B$38,0)),"Unmapped"))</f>
        <v/>
      </c>
      <c r="O1280" s="55">
        <f>IF(A1280="",0,IF(COUNTIFS($A$2:A1280,A1280,$F$2:F1280,F1280,$L$2:L1280,L1280)=1,1,0))</f>
        <v>0</v>
      </c>
      <c r="P1280" s="55">
        <f>IF(A1280="",0,IF(AND(F1280="C&amp;T",COUNTIFS($A$2:A1280,A1280,$F$2:F1280,"C&amp;T")=1),1,0))</f>
        <v>0</v>
      </c>
    </row>
    <row r="1281" spans="1:16" x14ac:dyDescent="0.35">
      <c r="A1281" s="54" t="str">
        <f>IFERROR(IF(INDEX(SPOT_Import!$A$1:$Z$2488,1281,'Live Data'!$C$12)="","",INDEX(SPOT_Import!$A$1:$Z$2488,1281,'Live Data'!$C$12)),"")</f>
        <v/>
      </c>
      <c r="B1281" s="54" t="str">
        <f>IFERROR(IF(INDEX(SPOT_Import!$A$1:$Z$2488,1281,'Live Data'!$C$13)="","",INDEX(SPOT_Import!$A$1:$Z$2488,1281,'Live Data'!$C$13)),"")</f>
        <v/>
      </c>
      <c r="C1281" s="54" t="str">
        <f>IFERROR(IF(INDEX(SPOT_Import!$A$1:$Z$2488,1281,'Live Data'!$C$14)="","",INDEX(SPOT_Import!$A$1:$Z$2488,1281,'Live Data'!$C$14)),"")</f>
        <v/>
      </c>
      <c r="D1281" s="54" t="str">
        <f>IFERROR(IF(INDEX(SPOT_Import!$A$1:$Z$2488,1281,'Live Data'!$C$15)="","",INDEX(SPOT_Import!$A$1:$Z$2488,1281,'Live Data'!$C$15)),"")</f>
        <v/>
      </c>
      <c r="E1281" s="54" t="str">
        <f>IFERROR(IF(INDEX(SPOT_Import!$A$1:$Z$2488,1281,'Live Data'!$C$16)="","",INDEX(SPOT_Import!$A$1:$Z$2488,1281,'Live Data'!$C$16)),"")</f>
        <v/>
      </c>
      <c r="F1281" s="54" t="str">
        <f>IFERROR(IF(INDEX(SPOT_Import!$A$1:$Z$2488,1281,'Live Data'!$C$17)="","",INDEX(SPOT_Import!$A$1:$Z$2488,1281,'Live Data'!$C$17)),"")</f>
        <v/>
      </c>
      <c r="G1281" s="54" t="str">
        <f>IFERROR(IF(INDEX(SPOT_Import!$A$1:$Z$2488,1281,'Live Data'!$C$18)="","",INDEX(SPOT_Import!$A$1:$Z$2488,1281,'Live Data'!$C$18)),"")</f>
        <v/>
      </c>
      <c r="H1281" s="54" t="str">
        <f>IFERROR(IF(INDEX(SPOT_Import!$A$1:$Z$2488,1281,'Live Data'!$C$19)="","",INDEX(SPOT_Import!$A$1:$Z$2488,1281,'Live Data'!$C$19)),"")</f>
        <v/>
      </c>
      <c r="I1281" s="54" t="str">
        <f>IFERROR(IF(INDEX(SPOT_Import!$A$1:$Z$2488,1281,'Live Data'!$C$20)="","",INDEX(SPOT_Import!$A$1:$Z$2488,1281,'Live Data'!$C$20)),"")</f>
        <v/>
      </c>
      <c r="J1281" s="54" t="str">
        <f>IFERROR(IF(INDEX(SPOT_Import!$A$1:$Z$2488,1281,'Live Data'!$C$21)="","",INDEX(SPOT_Import!$A$1:$Z$2488,1281,'Live Data'!$C$21)),"")</f>
        <v/>
      </c>
      <c r="K1281" s="54" t="str">
        <f>IFERROR(IF(INDEX(SPOT_Import!$A$1:$Z$2488,1281,'Live Data'!$C$22)="","",INDEX(SPOT_Import!$A$1:$Z$2488,1281,'Live Data'!$C$22)),"")</f>
        <v/>
      </c>
      <c r="L1281" s="55" t="str">
        <f t="shared" si="38"/>
        <v/>
      </c>
      <c r="M1281" s="55" t="str">
        <f t="shared" si="39"/>
        <v/>
      </c>
      <c r="N1281" s="55" t="str">
        <f>IF(A1281="","",IFERROR(INDEX('Cluster Map'!$A$4:$A$38,MATCH(M1281,'Cluster Map'!$B$4:$B$38,0)),"Unmapped"))</f>
        <v/>
      </c>
      <c r="O1281" s="55">
        <f>IF(A1281="",0,IF(COUNTIFS($A$2:A1281,A1281,$F$2:F1281,F1281,$L$2:L1281,L1281)=1,1,0))</f>
        <v>0</v>
      </c>
      <c r="P1281" s="55">
        <f>IF(A1281="",0,IF(AND(F1281="C&amp;T",COUNTIFS($A$2:A1281,A1281,$F$2:F1281,"C&amp;T")=1),1,0))</f>
        <v>0</v>
      </c>
    </row>
    <row r="1282" spans="1:16" x14ac:dyDescent="0.35">
      <c r="A1282" s="54" t="str">
        <f>IFERROR(IF(INDEX(SPOT_Import!$A$1:$Z$2488,1282,'Live Data'!$C$12)="","",INDEX(SPOT_Import!$A$1:$Z$2488,1282,'Live Data'!$C$12)),"")</f>
        <v/>
      </c>
      <c r="B1282" s="54" t="str">
        <f>IFERROR(IF(INDEX(SPOT_Import!$A$1:$Z$2488,1282,'Live Data'!$C$13)="","",INDEX(SPOT_Import!$A$1:$Z$2488,1282,'Live Data'!$C$13)),"")</f>
        <v/>
      </c>
      <c r="C1282" s="54" t="str">
        <f>IFERROR(IF(INDEX(SPOT_Import!$A$1:$Z$2488,1282,'Live Data'!$C$14)="","",INDEX(SPOT_Import!$A$1:$Z$2488,1282,'Live Data'!$C$14)),"")</f>
        <v/>
      </c>
      <c r="D1282" s="54" t="str">
        <f>IFERROR(IF(INDEX(SPOT_Import!$A$1:$Z$2488,1282,'Live Data'!$C$15)="","",INDEX(SPOT_Import!$A$1:$Z$2488,1282,'Live Data'!$C$15)),"")</f>
        <v/>
      </c>
      <c r="E1282" s="54" t="str">
        <f>IFERROR(IF(INDEX(SPOT_Import!$A$1:$Z$2488,1282,'Live Data'!$C$16)="","",INDEX(SPOT_Import!$A$1:$Z$2488,1282,'Live Data'!$C$16)),"")</f>
        <v/>
      </c>
      <c r="F1282" s="54" t="str">
        <f>IFERROR(IF(INDEX(SPOT_Import!$A$1:$Z$2488,1282,'Live Data'!$C$17)="","",INDEX(SPOT_Import!$A$1:$Z$2488,1282,'Live Data'!$C$17)),"")</f>
        <v/>
      </c>
      <c r="G1282" s="54" t="str">
        <f>IFERROR(IF(INDEX(SPOT_Import!$A$1:$Z$2488,1282,'Live Data'!$C$18)="","",INDEX(SPOT_Import!$A$1:$Z$2488,1282,'Live Data'!$C$18)),"")</f>
        <v/>
      </c>
      <c r="H1282" s="54" t="str">
        <f>IFERROR(IF(INDEX(SPOT_Import!$A$1:$Z$2488,1282,'Live Data'!$C$19)="","",INDEX(SPOT_Import!$A$1:$Z$2488,1282,'Live Data'!$C$19)),"")</f>
        <v/>
      </c>
      <c r="I1282" s="54" t="str">
        <f>IFERROR(IF(INDEX(SPOT_Import!$A$1:$Z$2488,1282,'Live Data'!$C$20)="","",INDEX(SPOT_Import!$A$1:$Z$2488,1282,'Live Data'!$C$20)),"")</f>
        <v/>
      </c>
      <c r="J1282" s="54" t="str">
        <f>IFERROR(IF(INDEX(SPOT_Import!$A$1:$Z$2488,1282,'Live Data'!$C$21)="","",INDEX(SPOT_Import!$A$1:$Z$2488,1282,'Live Data'!$C$21)),"")</f>
        <v/>
      </c>
      <c r="K1282" s="54" t="str">
        <f>IFERROR(IF(INDEX(SPOT_Import!$A$1:$Z$2488,1282,'Live Data'!$C$22)="","",INDEX(SPOT_Import!$A$1:$Z$2488,1282,'Live Data'!$C$22)),"")</f>
        <v/>
      </c>
      <c r="L1282" s="55" t="str">
        <f t="shared" ref="L1282:L1345" si="40">IF(A1282="","",IF(ISNUMBER(K1282),TEXT(K1282,"yyyy-mm"),LEFT(K1282,7)))</f>
        <v/>
      </c>
      <c r="M1282" s="55" t="str">
        <f t="shared" ref="M1282:M1345" si="41">IF(A1282="","",UPPER(TRIM(SUBSTITUTE(C1282," - ","-"))))</f>
        <v/>
      </c>
      <c r="N1282" s="55" t="str">
        <f>IF(A1282="","",IFERROR(INDEX('Cluster Map'!$A$4:$A$38,MATCH(M1282,'Cluster Map'!$B$4:$B$38,0)),"Unmapped"))</f>
        <v/>
      </c>
      <c r="O1282" s="55">
        <f>IF(A1282="",0,IF(COUNTIFS($A$2:A1282,A1282,$F$2:F1282,F1282,$L$2:L1282,L1282)=1,1,0))</f>
        <v>0</v>
      </c>
      <c r="P1282" s="55">
        <f>IF(A1282="",0,IF(AND(F1282="C&amp;T",COUNTIFS($A$2:A1282,A1282,$F$2:F1282,"C&amp;T")=1),1,0))</f>
        <v>0</v>
      </c>
    </row>
    <row r="1283" spans="1:16" x14ac:dyDescent="0.35">
      <c r="A1283" s="54" t="str">
        <f>IFERROR(IF(INDEX(SPOT_Import!$A$1:$Z$2488,1283,'Live Data'!$C$12)="","",INDEX(SPOT_Import!$A$1:$Z$2488,1283,'Live Data'!$C$12)),"")</f>
        <v/>
      </c>
      <c r="B1283" s="54" t="str">
        <f>IFERROR(IF(INDEX(SPOT_Import!$A$1:$Z$2488,1283,'Live Data'!$C$13)="","",INDEX(SPOT_Import!$A$1:$Z$2488,1283,'Live Data'!$C$13)),"")</f>
        <v/>
      </c>
      <c r="C1283" s="54" t="str">
        <f>IFERROR(IF(INDEX(SPOT_Import!$A$1:$Z$2488,1283,'Live Data'!$C$14)="","",INDEX(SPOT_Import!$A$1:$Z$2488,1283,'Live Data'!$C$14)),"")</f>
        <v/>
      </c>
      <c r="D1283" s="54" t="str">
        <f>IFERROR(IF(INDEX(SPOT_Import!$A$1:$Z$2488,1283,'Live Data'!$C$15)="","",INDEX(SPOT_Import!$A$1:$Z$2488,1283,'Live Data'!$C$15)),"")</f>
        <v/>
      </c>
      <c r="E1283" s="54" t="str">
        <f>IFERROR(IF(INDEX(SPOT_Import!$A$1:$Z$2488,1283,'Live Data'!$C$16)="","",INDEX(SPOT_Import!$A$1:$Z$2488,1283,'Live Data'!$C$16)),"")</f>
        <v/>
      </c>
      <c r="F1283" s="54" t="str">
        <f>IFERROR(IF(INDEX(SPOT_Import!$A$1:$Z$2488,1283,'Live Data'!$C$17)="","",INDEX(SPOT_Import!$A$1:$Z$2488,1283,'Live Data'!$C$17)),"")</f>
        <v/>
      </c>
      <c r="G1283" s="54" t="str">
        <f>IFERROR(IF(INDEX(SPOT_Import!$A$1:$Z$2488,1283,'Live Data'!$C$18)="","",INDEX(SPOT_Import!$A$1:$Z$2488,1283,'Live Data'!$C$18)),"")</f>
        <v/>
      </c>
      <c r="H1283" s="54" t="str">
        <f>IFERROR(IF(INDEX(SPOT_Import!$A$1:$Z$2488,1283,'Live Data'!$C$19)="","",INDEX(SPOT_Import!$A$1:$Z$2488,1283,'Live Data'!$C$19)),"")</f>
        <v/>
      </c>
      <c r="I1283" s="54" t="str">
        <f>IFERROR(IF(INDEX(SPOT_Import!$A$1:$Z$2488,1283,'Live Data'!$C$20)="","",INDEX(SPOT_Import!$A$1:$Z$2488,1283,'Live Data'!$C$20)),"")</f>
        <v/>
      </c>
      <c r="J1283" s="54" t="str">
        <f>IFERROR(IF(INDEX(SPOT_Import!$A$1:$Z$2488,1283,'Live Data'!$C$21)="","",INDEX(SPOT_Import!$A$1:$Z$2488,1283,'Live Data'!$C$21)),"")</f>
        <v/>
      </c>
      <c r="K1283" s="54" t="str">
        <f>IFERROR(IF(INDEX(SPOT_Import!$A$1:$Z$2488,1283,'Live Data'!$C$22)="","",INDEX(SPOT_Import!$A$1:$Z$2488,1283,'Live Data'!$C$22)),"")</f>
        <v/>
      </c>
      <c r="L1283" s="55" t="str">
        <f t="shared" si="40"/>
        <v/>
      </c>
      <c r="M1283" s="55" t="str">
        <f t="shared" si="41"/>
        <v/>
      </c>
      <c r="N1283" s="55" t="str">
        <f>IF(A1283="","",IFERROR(INDEX('Cluster Map'!$A$4:$A$38,MATCH(M1283,'Cluster Map'!$B$4:$B$38,0)),"Unmapped"))</f>
        <v/>
      </c>
      <c r="O1283" s="55">
        <f>IF(A1283="",0,IF(COUNTIFS($A$2:A1283,A1283,$F$2:F1283,F1283,$L$2:L1283,L1283)=1,1,0))</f>
        <v>0</v>
      </c>
      <c r="P1283" s="55">
        <f>IF(A1283="",0,IF(AND(F1283="C&amp;T",COUNTIFS($A$2:A1283,A1283,$F$2:F1283,"C&amp;T")=1),1,0))</f>
        <v>0</v>
      </c>
    </row>
    <row r="1284" spans="1:16" x14ac:dyDescent="0.35">
      <c r="A1284" s="54" t="str">
        <f>IFERROR(IF(INDEX(SPOT_Import!$A$1:$Z$2488,1284,'Live Data'!$C$12)="","",INDEX(SPOT_Import!$A$1:$Z$2488,1284,'Live Data'!$C$12)),"")</f>
        <v/>
      </c>
      <c r="B1284" s="54" t="str">
        <f>IFERROR(IF(INDEX(SPOT_Import!$A$1:$Z$2488,1284,'Live Data'!$C$13)="","",INDEX(SPOT_Import!$A$1:$Z$2488,1284,'Live Data'!$C$13)),"")</f>
        <v/>
      </c>
      <c r="C1284" s="54" t="str">
        <f>IFERROR(IF(INDEX(SPOT_Import!$A$1:$Z$2488,1284,'Live Data'!$C$14)="","",INDEX(SPOT_Import!$A$1:$Z$2488,1284,'Live Data'!$C$14)),"")</f>
        <v/>
      </c>
      <c r="D1284" s="54" t="str">
        <f>IFERROR(IF(INDEX(SPOT_Import!$A$1:$Z$2488,1284,'Live Data'!$C$15)="","",INDEX(SPOT_Import!$A$1:$Z$2488,1284,'Live Data'!$C$15)),"")</f>
        <v/>
      </c>
      <c r="E1284" s="54" t="str">
        <f>IFERROR(IF(INDEX(SPOT_Import!$A$1:$Z$2488,1284,'Live Data'!$C$16)="","",INDEX(SPOT_Import!$A$1:$Z$2488,1284,'Live Data'!$C$16)),"")</f>
        <v/>
      </c>
      <c r="F1284" s="54" t="str">
        <f>IFERROR(IF(INDEX(SPOT_Import!$A$1:$Z$2488,1284,'Live Data'!$C$17)="","",INDEX(SPOT_Import!$A$1:$Z$2488,1284,'Live Data'!$C$17)),"")</f>
        <v/>
      </c>
      <c r="G1284" s="54" t="str">
        <f>IFERROR(IF(INDEX(SPOT_Import!$A$1:$Z$2488,1284,'Live Data'!$C$18)="","",INDEX(SPOT_Import!$A$1:$Z$2488,1284,'Live Data'!$C$18)),"")</f>
        <v/>
      </c>
      <c r="H1284" s="54" t="str">
        <f>IFERROR(IF(INDEX(SPOT_Import!$A$1:$Z$2488,1284,'Live Data'!$C$19)="","",INDEX(SPOT_Import!$A$1:$Z$2488,1284,'Live Data'!$C$19)),"")</f>
        <v/>
      </c>
      <c r="I1284" s="54" t="str">
        <f>IFERROR(IF(INDEX(SPOT_Import!$A$1:$Z$2488,1284,'Live Data'!$C$20)="","",INDEX(SPOT_Import!$A$1:$Z$2488,1284,'Live Data'!$C$20)),"")</f>
        <v/>
      </c>
      <c r="J1284" s="54" t="str">
        <f>IFERROR(IF(INDEX(SPOT_Import!$A$1:$Z$2488,1284,'Live Data'!$C$21)="","",INDEX(SPOT_Import!$A$1:$Z$2488,1284,'Live Data'!$C$21)),"")</f>
        <v/>
      </c>
      <c r="K1284" s="54" t="str">
        <f>IFERROR(IF(INDEX(SPOT_Import!$A$1:$Z$2488,1284,'Live Data'!$C$22)="","",INDEX(SPOT_Import!$A$1:$Z$2488,1284,'Live Data'!$C$22)),"")</f>
        <v/>
      </c>
      <c r="L1284" s="55" t="str">
        <f t="shared" si="40"/>
        <v/>
      </c>
      <c r="M1284" s="55" t="str">
        <f t="shared" si="41"/>
        <v/>
      </c>
      <c r="N1284" s="55" t="str">
        <f>IF(A1284="","",IFERROR(INDEX('Cluster Map'!$A$4:$A$38,MATCH(M1284,'Cluster Map'!$B$4:$B$38,0)),"Unmapped"))</f>
        <v/>
      </c>
      <c r="O1284" s="55">
        <f>IF(A1284="",0,IF(COUNTIFS($A$2:A1284,A1284,$F$2:F1284,F1284,$L$2:L1284,L1284)=1,1,0))</f>
        <v>0</v>
      </c>
      <c r="P1284" s="55">
        <f>IF(A1284="",0,IF(AND(F1284="C&amp;T",COUNTIFS($A$2:A1284,A1284,$F$2:F1284,"C&amp;T")=1),1,0))</f>
        <v>0</v>
      </c>
    </row>
    <row r="1285" spans="1:16" x14ac:dyDescent="0.35">
      <c r="A1285" s="54" t="str">
        <f>IFERROR(IF(INDEX(SPOT_Import!$A$1:$Z$2488,1285,'Live Data'!$C$12)="","",INDEX(SPOT_Import!$A$1:$Z$2488,1285,'Live Data'!$C$12)),"")</f>
        <v/>
      </c>
      <c r="B1285" s="54" t="str">
        <f>IFERROR(IF(INDEX(SPOT_Import!$A$1:$Z$2488,1285,'Live Data'!$C$13)="","",INDEX(SPOT_Import!$A$1:$Z$2488,1285,'Live Data'!$C$13)),"")</f>
        <v/>
      </c>
      <c r="C1285" s="54" t="str">
        <f>IFERROR(IF(INDEX(SPOT_Import!$A$1:$Z$2488,1285,'Live Data'!$C$14)="","",INDEX(SPOT_Import!$A$1:$Z$2488,1285,'Live Data'!$C$14)),"")</f>
        <v/>
      </c>
      <c r="D1285" s="54" t="str">
        <f>IFERROR(IF(INDEX(SPOT_Import!$A$1:$Z$2488,1285,'Live Data'!$C$15)="","",INDEX(SPOT_Import!$A$1:$Z$2488,1285,'Live Data'!$C$15)),"")</f>
        <v/>
      </c>
      <c r="E1285" s="54" t="str">
        <f>IFERROR(IF(INDEX(SPOT_Import!$A$1:$Z$2488,1285,'Live Data'!$C$16)="","",INDEX(SPOT_Import!$A$1:$Z$2488,1285,'Live Data'!$C$16)),"")</f>
        <v/>
      </c>
      <c r="F1285" s="54" t="str">
        <f>IFERROR(IF(INDEX(SPOT_Import!$A$1:$Z$2488,1285,'Live Data'!$C$17)="","",INDEX(SPOT_Import!$A$1:$Z$2488,1285,'Live Data'!$C$17)),"")</f>
        <v/>
      </c>
      <c r="G1285" s="54" t="str">
        <f>IFERROR(IF(INDEX(SPOT_Import!$A$1:$Z$2488,1285,'Live Data'!$C$18)="","",INDEX(SPOT_Import!$A$1:$Z$2488,1285,'Live Data'!$C$18)),"")</f>
        <v/>
      </c>
      <c r="H1285" s="54" t="str">
        <f>IFERROR(IF(INDEX(SPOT_Import!$A$1:$Z$2488,1285,'Live Data'!$C$19)="","",INDEX(SPOT_Import!$A$1:$Z$2488,1285,'Live Data'!$C$19)),"")</f>
        <v/>
      </c>
      <c r="I1285" s="54" t="str">
        <f>IFERROR(IF(INDEX(SPOT_Import!$A$1:$Z$2488,1285,'Live Data'!$C$20)="","",INDEX(SPOT_Import!$A$1:$Z$2488,1285,'Live Data'!$C$20)),"")</f>
        <v/>
      </c>
      <c r="J1285" s="54" t="str">
        <f>IFERROR(IF(INDEX(SPOT_Import!$A$1:$Z$2488,1285,'Live Data'!$C$21)="","",INDEX(SPOT_Import!$A$1:$Z$2488,1285,'Live Data'!$C$21)),"")</f>
        <v/>
      </c>
      <c r="K1285" s="54" t="str">
        <f>IFERROR(IF(INDEX(SPOT_Import!$A$1:$Z$2488,1285,'Live Data'!$C$22)="","",INDEX(SPOT_Import!$A$1:$Z$2488,1285,'Live Data'!$C$22)),"")</f>
        <v/>
      </c>
      <c r="L1285" s="55" t="str">
        <f t="shared" si="40"/>
        <v/>
      </c>
      <c r="M1285" s="55" t="str">
        <f t="shared" si="41"/>
        <v/>
      </c>
      <c r="N1285" s="55" t="str">
        <f>IF(A1285="","",IFERROR(INDEX('Cluster Map'!$A$4:$A$38,MATCH(M1285,'Cluster Map'!$B$4:$B$38,0)),"Unmapped"))</f>
        <v/>
      </c>
      <c r="O1285" s="55">
        <f>IF(A1285="",0,IF(COUNTIFS($A$2:A1285,A1285,$F$2:F1285,F1285,$L$2:L1285,L1285)=1,1,0))</f>
        <v>0</v>
      </c>
      <c r="P1285" s="55">
        <f>IF(A1285="",0,IF(AND(F1285="C&amp;T",COUNTIFS($A$2:A1285,A1285,$F$2:F1285,"C&amp;T")=1),1,0))</f>
        <v>0</v>
      </c>
    </row>
    <row r="1286" spans="1:16" x14ac:dyDescent="0.35">
      <c r="A1286" s="54" t="str">
        <f>IFERROR(IF(INDEX(SPOT_Import!$A$1:$Z$2488,1286,'Live Data'!$C$12)="","",INDEX(SPOT_Import!$A$1:$Z$2488,1286,'Live Data'!$C$12)),"")</f>
        <v/>
      </c>
      <c r="B1286" s="54" t="str">
        <f>IFERROR(IF(INDEX(SPOT_Import!$A$1:$Z$2488,1286,'Live Data'!$C$13)="","",INDEX(SPOT_Import!$A$1:$Z$2488,1286,'Live Data'!$C$13)),"")</f>
        <v/>
      </c>
      <c r="C1286" s="54" t="str">
        <f>IFERROR(IF(INDEX(SPOT_Import!$A$1:$Z$2488,1286,'Live Data'!$C$14)="","",INDEX(SPOT_Import!$A$1:$Z$2488,1286,'Live Data'!$C$14)),"")</f>
        <v/>
      </c>
      <c r="D1286" s="54" t="str">
        <f>IFERROR(IF(INDEX(SPOT_Import!$A$1:$Z$2488,1286,'Live Data'!$C$15)="","",INDEX(SPOT_Import!$A$1:$Z$2488,1286,'Live Data'!$C$15)),"")</f>
        <v/>
      </c>
      <c r="E1286" s="54" t="str">
        <f>IFERROR(IF(INDEX(SPOT_Import!$A$1:$Z$2488,1286,'Live Data'!$C$16)="","",INDEX(SPOT_Import!$A$1:$Z$2488,1286,'Live Data'!$C$16)),"")</f>
        <v/>
      </c>
      <c r="F1286" s="54" t="str">
        <f>IFERROR(IF(INDEX(SPOT_Import!$A$1:$Z$2488,1286,'Live Data'!$C$17)="","",INDEX(SPOT_Import!$A$1:$Z$2488,1286,'Live Data'!$C$17)),"")</f>
        <v/>
      </c>
      <c r="G1286" s="54" t="str">
        <f>IFERROR(IF(INDEX(SPOT_Import!$A$1:$Z$2488,1286,'Live Data'!$C$18)="","",INDEX(SPOT_Import!$A$1:$Z$2488,1286,'Live Data'!$C$18)),"")</f>
        <v/>
      </c>
      <c r="H1286" s="54" t="str">
        <f>IFERROR(IF(INDEX(SPOT_Import!$A$1:$Z$2488,1286,'Live Data'!$C$19)="","",INDEX(SPOT_Import!$A$1:$Z$2488,1286,'Live Data'!$C$19)),"")</f>
        <v/>
      </c>
      <c r="I1286" s="54" t="str">
        <f>IFERROR(IF(INDEX(SPOT_Import!$A$1:$Z$2488,1286,'Live Data'!$C$20)="","",INDEX(SPOT_Import!$A$1:$Z$2488,1286,'Live Data'!$C$20)),"")</f>
        <v/>
      </c>
      <c r="J1286" s="54" t="str">
        <f>IFERROR(IF(INDEX(SPOT_Import!$A$1:$Z$2488,1286,'Live Data'!$C$21)="","",INDEX(SPOT_Import!$A$1:$Z$2488,1286,'Live Data'!$C$21)),"")</f>
        <v/>
      </c>
      <c r="K1286" s="54" t="str">
        <f>IFERROR(IF(INDEX(SPOT_Import!$A$1:$Z$2488,1286,'Live Data'!$C$22)="","",INDEX(SPOT_Import!$A$1:$Z$2488,1286,'Live Data'!$C$22)),"")</f>
        <v/>
      </c>
      <c r="L1286" s="55" t="str">
        <f t="shared" si="40"/>
        <v/>
      </c>
      <c r="M1286" s="55" t="str">
        <f t="shared" si="41"/>
        <v/>
      </c>
      <c r="N1286" s="55" t="str">
        <f>IF(A1286="","",IFERROR(INDEX('Cluster Map'!$A$4:$A$38,MATCH(M1286,'Cluster Map'!$B$4:$B$38,0)),"Unmapped"))</f>
        <v/>
      </c>
      <c r="O1286" s="55">
        <f>IF(A1286="",0,IF(COUNTIFS($A$2:A1286,A1286,$F$2:F1286,F1286,$L$2:L1286,L1286)=1,1,0))</f>
        <v>0</v>
      </c>
      <c r="P1286" s="55">
        <f>IF(A1286="",0,IF(AND(F1286="C&amp;T",COUNTIFS($A$2:A1286,A1286,$F$2:F1286,"C&amp;T")=1),1,0))</f>
        <v>0</v>
      </c>
    </row>
    <row r="1287" spans="1:16" x14ac:dyDescent="0.35">
      <c r="A1287" s="54" t="str">
        <f>IFERROR(IF(INDEX(SPOT_Import!$A$1:$Z$2488,1287,'Live Data'!$C$12)="","",INDEX(SPOT_Import!$A$1:$Z$2488,1287,'Live Data'!$C$12)),"")</f>
        <v/>
      </c>
      <c r="B1287" s="54" t="str">
        <f>IFERROR(IF(INDEX(SPOT_Import!$A$1:$Z$2488,1287,'Live Data'!$C$13)="","",INDEX(SPOT_Import!$A$1:$Z$2488,1287,'Live Data'!$C$13)),"")</f>
        <v/>
      </c>
      <c r="C1287" s="54" t="str">
        <f>IFERROR(IF(INDEX(SPOT_Import!$A$1:$Z$2488,1287,'Live Data'!$C$14)="","",INDEX(SPOT_Import!$A$1:$Z$2488,1287,'Live Data'!$C$14)),"")</f>
        <v/>
      </c>
      <c r="D1287" s="54" t="str">
        <f>IFERROR(IF(INDEX(SPOT_Import!$A$1:$Z$2488,1287,'Live Data'!$C$15)="","",INDEX(SPOT_Import!$A$1:$Z$2488,1287,'Live Data'!$C$15)),"")</f>
        <v/>
      </c>
      <c r="E1287" s="54" t="str">
        <f>IFERROR(IF(INDEX(SPOT_Import!$A$1:$Z$2488,1287,'Live Data'!$C$16)="","",INDEX(SPOT_Import!$A$1:$Z$2488,1287,'Live Data'!$C$16)),"")</f>
        <v/>
      </c>
      <c r="F1287" s="54" t="str">
        <f>IFERROR(IF(INDEX(SPOT_Import!$A$1:$Z$2488,1287,'Live Data'!$C$17)="","",INDEX(SPOT_Import!$A$1:$Z$2488,1287,'Live Data'!$C$17)),"")</f>
        <v/>
      </c>
      <c r="G1287" s="54" t="str">
        <f>IFERROR(IF(INDEX(SPOT_Import!$A$1:$Z$2488,1287,'Live Data'!$C$18)="","",INDEX(SPOT_Import!$A$1:$Z$2488,1287,'Live Data'!$C$18)),"")</f>
        <v/>
      </c>
      <c r="H1287" s="54" t="str">
        <f>IFERROR(IF(INDEX(SPOT_Import!$A$1:$Z$2488,1287,'Live Data'!$C$19)="","",INDEX(SPOT_Import!$A$1:$Z$2488,1287,'Live Data'!$C$19)),"")</f>
        <v/>
      </c>
      <c r="I1287" s="54" t="str">
        <f>IFERROR(IF(INDEX(SPOT_Import!$A$1:$Z$2488,1287,'Live Data'!$C$20)="","",INDEX(SPOT_Import!$A$1:$Z$2488,1287,'Live Data'!$C$20)),"")</f>
        <v/>
      </c>
      <c r="J1287" s="54" t="str">
        <f>IFERROR(IF(INDEX(SPOT_Import!$A$1:$Z$2488,1287,'Live Data'!$C$21)="","",INDEX(SPOT_Import!$A$1:$Z$2488,1287,'Live Data'!$C$21)),"")</f>
        <v/>
      </c>
      <c r="K1287" s="54" t="str">
        <f>IFERROR(IF(INDEX(SPOT_Import!$A$1:$Z$2488,1287,'Live Data'!$C$22)="","",INDEX(SPOT_Import!$A$1:$Z$2488,1287,'Live Data'!$C$22)),"")</f>
        <v/>
      </c>
      <c r="L1287" s="55" t="str">
        <f t="shared" si="40"/>
        <v/>
      </c>
      <c r="M1287" s="55" t="str">
        <f t="shared" si="41"/>
        <v/>
      </c>
      <c r="N1287" s="55" t="str">
        <f>IF(A1287="","",IFERROR(INDEX('Cluster Map'!$A$4:$A$38,MATCH(M1287,'Cluster Map'!$B$4:$B$38,0)),"Unmapped"))</f>
        <v/>
      </c>
      <c r="O1287" s="55">
        <f>IF(A1287="",0,IF(COUNTIFS($A$2:A1287,A1287,$F$2:F1287,F1287,$L$2:L1287,L1287)=1,1,0))</f>
        <v>0</v>
      </c>
      <c r="P1287" s="55">
        <f>IF(A1287="",0,IF(AND(F1287="C&amp;T",COUNTIFS($A$2:A1287,A1287,$F$2:F1287,"C&amp;T")=1),1,0))</f>
        <v>0</v>
      </c>
    </row>
    <row r="1288" spans="1:16" x14ac:dyDescent="0.35">
      <c r="A1288" s="54" t="str">
        <f>IFERROR(IF(INDEX(SPOT_Import!$A$1:$Z$2488,1288,'Live Data'!$C$12)="","",INDEX(SPOT_Import!$A$1:$Z$2488,1288,'Live Data'!$C$12)),"")</f>
        <v/>
      </c>
      <c r="B1288" s="54" t="str">
        <f>IFERROR(IF(INDEX(SPOT_Import!$A$1:$Z$2488,1288,'Live Data'!$C$13)="","",INDEX(SPOT_Import!$A$1:$Z$2488,1288,'Live Data'!$C$13)),"")</f>
        <v/>
      </c>
      <c r="C1288" s="54" t="str">
        <f>IFERROR(IF(INDEX(SPOT_Import!$A$1:$Z$2488,1288,'Live Data'!$C$14)="","",INDEX(SPOT_Import!$A$1:$Z$2488,1288,'Live Data'!$C$14)),"")</f>
        <v/>
      </c>
      <c r="D1288" s="54" t="str">
        <f>IFERROR(IF(INDEX(SPOT_Import!$A$1:$Z$2488,1288,'Live Data'!$C$15)="","",INDEX(SPOT_Import!$A$1:$Z$2488,1288,'Live Data'!$C$15)),"")</f>
        <v/>
      </c>
      <c r="E1288" s="54" t="str">
        <f>IFERROR(IF(INDEX(SPOT_Import!$A$1:$Z$2488,1288,'Live Data'!$C$16)="","",INDEX(SPOT_Import!$A$1:$Z$2488,1288,'Live Data'!$C$16)),"")</f>
        <v/>
      </c>
      <c r="F1288" s="54" t="str">
        <f>IFERROR(IF(INDEX(SPOT_Import!$A$1:$Z$2488,1288,'Live Data'!$C$17)="","",INDEX(SPOT_Import!$A$1:$Z$2488,1288,'Live Data'!$C$17)),"")</f>
        <v/>
      </c>
      <c r="G1288" s="54" t="str">
        <f>IFERROR(IF(INDEX(SPOT_Import!$A$1:$Z$2488,1288,'Live Data'!$C$18)="","",INDEX(SPOT_Import!$A$1:$Z$2488,1288,'Live Data'!$C$18)),"")</f>
        <v/>
      </c>
      <c r="H1288" s="54" t="str">
        <f>IFERROR(IF(INDEX(SPOT_Import!$A$1:$Z$2488,1288,'Live Data'!$C$19)="","",INDEX(SPOT_Import!$A$1:$Z$2488,1288,'Live Data'!$C$19)),"")</f>
        <v/>
      </c>
      <c r="I1288" s="54" t="str">
        <f>IFERROR(IF(INDEX(SPOT_Import!$A$1:$Z$2488,1288,'Live Data'!$C$20)="","",INDEX(SPOT_Import!$A$1:$Z$2488,1288,'Live Data'!$C$20)),"")</f>
        <v/>
      </c>
      <c r="J1288" s="54" t="str">
        <f>IFERROR(IF(INDEX(SPOT_Import!$A$1:$Z$2488,1288,'Live Data'!$C$21)="","",INDEX(SPOT_Import!$A$1:$Z$2488,1288,'Live Data'!$C$21)),"")</f>
        <v/>
      </c>
      <c r="K1288" s="54" t="str">
        <f>IFERROR(IF(INDEX(SPOT_Import!$A$1:$Z$2488,1288,'Live Data'!$C$22)="","",INDEX(SPOT_Import!$A$1:$Z$2488,1288,'Live Data'!$C$22)),"")</f>
        <v/>
      </c>
      <c r="L1288" s="55" t="str">
        <f t="shared" si="40"/>
        <v/>
      </c>
      <c r="M1288" s="55" t="str">
        <f t="shared" si="41"/>
        <v/>
      </c>
      <c r="N1288" s="55" t="str">
        <f>IF(A1288="","",IFERROR(INDEX('Cluster Map'!$A$4:$A$38,MATCH(M1288,'Cluster Map'!$B$4:$B$38,0)),"Unmapped"))</f>
        <v/>
      </c>
      <c r="O1288" s="55">
        <f>IF(A1288="",0,IF(COUNTIFS($A$2:A1288,A1288,$F$2:F1288,F1288,$L$2:L1288,L1288)=1,1,0))</f>
        <v>0</v>
      </c>
      <c r="P1288" s="55">
        <f>IF(A1288="",0,IF(AND(F1288="C&amp;T",COUNTIFS($A$2:A1288,A1288,$F$2:F1288,"C&amp;T")=1),1,0))</f>
        <v>0</v>
      </c>
    </row>
    <row r="1289" spans="1:16" x14ac:dyDescent="0.35">
      <c r="A1289" s="54" t="str">
        <f>IFERROR(IF(INDEX(SPOT_Import!$A$1:$Z$2488,1289,'Live Data'!$C$12)="","",INDEX(SPOT_Import!$A$1:$Z$2488,1289,'Live Data'!$C$12)),"")</f>
        <v/>
      </c>
      <c r="B1289" s="54" t="str">
        <f>IFERROR(IF(INDEX(SPOT_Import!$A$1:$Z$2488,1289,'Live Data'!$C$13)="","",INDEX(SPOT_Import!$A$1:$Z$2488,1289,'Live Data'!$C$13)),"")</f>
        <v/>
      </c>
      <c r="C1289" s="54" t="str">
        <f>IFERROR(IF(INDEX(SPOT_Import!$A$1:$Z$2488,1289,'Live Data'!$C$14)="","",INDEX(SPOT_Import!$A$1:$Z$2488,1289,'Live Data'!$C$14)),"")</f>
        <v/>
      </c>
      <c r="D1289" s="54" t="str">
        <f>IFERROR(IF(INDEX(SPOT_Import!$A$1:$Z$2488,1289,'Live Data'!$C$15)="","",INDEX(SPOT_Import!$A$1:$Z$2488,1289,'Live Data'!$C$15)),"")</f>
        <v/>
      </c>
      <c r="E1289" s="54" t="str">
        <f>IFERROR(IF(INDEX(SPOT_Import!$A$1:$Z$2488,1289,'Live Data'!$C$16)="","",INDEX(SPOT_Import!$A$1:$Z$2488,1289,'Live Data'!$C$16)),"")</f>
        <v/>
      </c>
      <c r="F1289" s="54" t="str">
        <f>IFERROR(IF(INDEX(SPOT_Import!$A$1:$Z$2488,1289,'Live Data'!$C$17)="","",INDEX(SPOT_Import!$A$1:$Z$2488,1289,'Live Data'!$C$17)),"")</f>
        <v/>
      </c>
      <c r="G1289" s="54" t="str">
        <f>IFERROR(IF(INDEX(SPOT_Import!$A$1:$Z$2488,1289,'Live Data'!$C$18)="","",INDEX(SPOT_Import!$A$1:$Z$2488,1289,'Live Data'!$C$18)),"")</f>
        <v/>
      </c>
      <c r="H1289" s="54" t="str">
        <f>IFERROR(IF(INDEX(SPOT_Import!$A$1:$Z$2488,1289,'Live Data'!$C$19)="","",INDEX(SPOT_Import!$A$1:$Z$2488,1289,'Live Data'!$C$19)),"")</f>
        <v/>
      </c>
      <c r="I1289" s="54" t="str">
        <f>IFERROR(IF(INDEX(SPOT_Import!$A$1:$Z$2488,1289,'Live Data'!$C$20)="","",INDEX(SPOT_Import!$A$1:$Z$2488,1289,'Live Data'!$C$20)),"")</f>
        <v/>
      </c>
      <c r="J1289" s="54" t="str">
        <f>IFERROR(IF(INDEX(SPOT_Import!$A$1:$Z$2488,1289,'Live Data'!$C$21)="","",INDEX(SPOT_Import!$A$1:$Z$2488,1289,'Live Data'!$C$21)),"")</f>
        <v/>
      </c>
      <c r="K1289" s="54" t="str">
        <f>IFERROR(IF(INDEX(SPOT_Import!$A$1:$Z$2488,1289,'Live Data'!$C$22)="","",INDEX(SPOT_Import!$A$1:$Z$2488,1289,'Live Data'!$C$22)),"")</f>
        <v/>
      </c>
      <c r="L1289" s="55" t="str">
        <f t="shared" si="40"/>
        <v/>
      </c>
      <c r="M1289" s="55" t="str">
        <f t="shared" si="41"/>
        <v/>
      </c>
      <c r="N1289" s="55" t="str">
        <f>IF(A1289="","",IFERROR(INDEX('Cluster Map'!$A$4:$A$38,MATCH(M1289,'Cluster Map'!$B$4:$B$38,0)),"Unmapped"))</f>
        <v/>
      </c>
      <c r="O1289" s="55">
        <f>IF(A1289="",0,IF(COUNTIFS($A$2:A1289,A1289,$F$2:F1289,F1289,$L$2:L1289,L1289)=1,1,0))</f>
        <v>0</v>
      </c>
      <c r="P1289" s="55">
        <f>IF(A1289="",0,IF(AND(F1289="C&amp;T",COUNTIFS($A$2:A1289,A1289,$F$2:F1289,"C&amp;T")=1),1,0))</f>
        <v>0</v>
      </c>
    </row>
    <row r="1290" spans="1:16" x14ac:dyDescent="0.35">
      <c r="A1290" s="54" t="str">
        <f>IFERROR(IF(INDEX(SPOT_Import!$A$1:$Z$2488,1290,'Live Data'!$C$12)="","",INDEX(SPOT_Import!$A$1:$Z$2488,1290,'Live Data'!$C$12)),"")</f>
        <v/>
      </c>
      <c r="B1290" s="54" t="str">
        <f>IFERROR(IF(INDEX(SPOT_Import!$A$1:$Z$2488,1290,'Live Data'!$C$13)="","",INDEX(SPOT_Import!$A$1:$Z$2488,1290,'Live Data'!$C$13)),"")</f>
        <v/>
      </c>
      <c r="C1290" s="54" t="str">
        <f>IFERROR(IF(INDEX(SPOT_Import!$A$1:$Z$2488,1290,'Live Data'!$C$14)="","",INDEX(SPOT_Import!$A$1:$Z$2488,1290,'Live Data'!$C$14)),"")</f>
        <v/>
      </c>
      <c r="D1290" s="54" t="str">
        <f>IFERROR(IF(INDEX(SPOT_Import!$A$1:$Z$2488,1290,'Live Data'!$C$15)="","",INDEX(SPOT_Import!$A$1:$Z$2488,1290,'Live Data'!$C$15)),"")</f>
        <v/>
      </c>
      <c r="E1290" s="54" t="str">
        <f>IFERROR(IF(INDEX(SPOT_Import!$A$1:$Z$2488,1290,'Live Data'!$C$16)="","",INDEX(SPOT_Import!$A$1:$Z$2488,1290,'Live Data'!$C$16)),"")</f>
        <v/>
      </c>
      <c r="F1290" s="54" t="str">
        <f>IFERROR(IF(INDEX(SPOT_Import!$A$1:$Z$2488,1290,'Live Data'!$C$17)="","",INDEX(SPOT_Import!$A$1:$Z$2488,1290,'Live Data'!$C$17)),"")</f>
        <v/>
      </c>
      <c r="G1290" s="54" t="str">
        <f>IFERROR(IF(INDEX(SPOT_Import!$A$1:$Z$2488,1290,'Live Data'!$C$18)="","",INDEX(SPOT_Import!$A$1:$Z$2488,1290,'Live Data'!$C$18)),"")</f>
        <v/>
      </c>
      <c r="H1290" s="54" t="str">
        <f>IFERROR(IF(INDEX(SPOT_Import!$A$1:$Z$2488,1290,'Live Data'!$C$19)="","",INDEX(SPOT_Import!$A$1:$Z$2488,1290,'Live Data'!$C$19)),"")</f>
        <v/>
      </c>
      <c r="I1290" s="54" t="str">
        <f>IFERROR(IF(INDEX(SPOT_Import!$A$1:$Z$2488,1290,'Live Data'!$C$20)="","",INDEX(SPOT_Import!$A$1:$Z$2488,1290,'Live Data'!$C$20)),"")</f>
        <v/>
      </c>
      <c r="J1290" s="54" t="str">
        <f>IFERROR(IF(INDEX(SPOT_Import!$A$1:$Z$2488,1290,'Live Data'!$C$21)="","",INDEX(SPOT_Import!$A$1:$Z$2488,1290,'Live Data'!$C$21)),"")</f>
        <v/>
      </c>
      <c r="K1290" s="54" t="str">
        <f>IFERROR(IF(INDEX(SPOT_Import!$A$1:$Z$2488,1290,'Live Data'!$C$22)="","",INDEX(SPOT_Import!$A$1:$Z$2488,1290,'Live Data'!$C$22)),"")</f>
        <v/>
      </c>
      <c r="L1290" s="55" t="str">
        <f t="shared" si="40"/>
        <v/>
      </c>
      <c r="M1290" s="55" t="str">
        <f t="shared" si="41"/>
        <v/>
      </c>
      <c r="N1290" s="55" t="str">
        <f>IF(A1290="","",IFERROR(INDEX('Cluster Map'!$A$4:$A$38,MATCH(M1290,'Cluster Map'!$B$4:$B$38,0)),"Unmapped"))</f>
        <v/>
      </c>
      <c r="O1290" s="55">
        <f>IF(A1290="",0,IF(COUNTIFS($A$2:A1290,A1290,$F$2:F1290,F1290,$L$2:L1290,L1290)=1,1,0))</f>
        <v>0</v>
      </c>
      <c r="P1290" s="55">
        <f>IF(A1290="",0,IF(AND(F1290="C&amp;T",COUNTIFS($A$2:A1290,A1290,$F$2:F1290,"C&amp;T")=1),1,0))</f>
        <v>0</v>
      </c>
    </row>
    <row r="1291" spans="1:16" x14ac:dyDescent="0.35">
      <c r="A1291" s="54" t="str">
        <f>IFERROR(IF(INDEX(SPOT_Import!$A$1:$Z$2488,1291,'Live Data'!$C$12)="","",INDEX(SPOT_Import!$A$1:$Z$2488,1291,'Live Data'!$C$12)),"")</f>
        <v/>
      </c>
      <c r="B1291" s="54" t="str">
        <f>IFERROR(IF(INDEX(SPOT_Import!$A$1:$Z$2488,1291,'Live Data'!$C$13)="","",INDEX(SPOT_Import!$A$1:$Z$2488,1291,'Live Data'!$C$13)),"")</f>
        <v/>
      </c>
      <c r="C1291" s="54" t="str">
        <f>IFERROR(IF(INDEX(SPOT_Import!$A$1:$Z$2488,1291,'Live Data'!$C$14)="","",INDEX(SPOT_Import!$A$1:$Z$2488,1291,'Live Data'!$C$14)),"")</f>
        <v/>
      </c>
      <c r="D1291" s="54" t="str">
        <f>IFERROR(IF(INDEX(SPOT_Import!$A$1:$Z$2488,1291,'Live Data'!$C$15)="","",INDEX(SPOT_Import!$A$1:$Z$2488,1291,'Live Data'!$C$15)),"")</f>
        <v/>
      </c>
      <c r="E1291" s="54" t="str">
        <f>IFERROR(IF(INDEX(SPOT_Import!$A$1:$Z$2488,1291,'Live Data'!$C$16)="","",INDEX(SPOT_Import!$A$1:$Z$2488,1291,'Live Data'!$C$16)),"")</f>
        <v/>
      </c>
      <c r="F1291" s="54" t="str">
        <f>IFERROR(IF(INDEX(SPOT_Import!$A$1:$Z$2488,1291,'Live Data'!$C$17)="","",INDEX(SPOT_Import!$A$1:$Z$2488,1291,'Live Data'!$C$17)),"")</f>
        <v/>
      </c>
      <c r="G1291" s="54" t="str">
        <f>IFERROR(IF(INDEX(SPOT_Import!$A$1:$Z$2488,1291,'Live Data'!$C$18)="","",INDEX(SPOT_Import!$A$1:$Z$2488,1291,'Live Data'!$C$18)),"")</f>
        <v/>
      </c>
      <c r="H1291" s="54" t="str">
        <f>IFERROR(IF(INDEX(SPOT_Import!$A$1:$Z$2488,1291,'Live Data'!$C$19)="","",INDEX(SPOT_Import!$A$1:$Z$2488,1291,'Live Data'!$C$19)),"")</f>
        <v/>
      </c>
      <c r="I1291" s="54" t="str">
        <f>IFERROR(IF(INDEX(SPOT_Import!$A$1:$Z$2488,1291,'Live Data'!$C$20)="","",INDEX(SPOT_Import!$A$1:$Z$2488,1291,'Live Data'!$C$20)),"")</f>
        <v/>
      </c>
      <c r="J1291" s="54" t="str">
        <f>IFERROR(IF(INDEX(SPOT_Import!$A$1:$Z$2488,1291,'Live Data'!$C$21)="","",INDEX(SPOT_Import!$A$1:$Z$2488,1291,'Live Data'!$C$21)),"")</f>
        <v/>
      </c>
      <c r="K1291" s="54" t="str">
        <f>IFERROR(IF(INDEX(SPOT_Import!$A$1:$Z$2488,1291,'Live Data'!$C$22)="","",INDEX(SPOT_Import!$A$1:$Z$2488,1291,'Live Data'!$C$22)),"")</f>
        <v/>
      </c>
      <c r="L1291" s="55" t="str">
        <f t="shared" si="40"/>
        <v/>
      </c>
      <c r="M1291" s="55" t="str">
        <f t="shared" si="41"/>
        <v/>
      </c>
      <c r="N1291" s="55" t="str">
        <f>IF(A1291="","",IFERROR(INDEX('Cluster Map'!$A$4:$A$38,MATCH(M1291,'Cluster Map'!$B$4:$B$38,0)),"Unmapped"))</f>
        <v/>
      </c>
      <c r="O1291" s="55">
        <f>IF(A1291="",0,IF(COUNTIFS($A$2:A1291,A1291,$F$2:F1291,F1291,$L$2:L1291,L1291)=1,1,0))</f>
        <v>0</v>
      </c>
      <c r="P1291" s="55">
        <f>IF(A1291="",0,IF(AND(F1291="C&amp;T",COUNTIFS($A$2:A1291,A1291,$F$2:F1291,"C&amp;T")=1),1,0))</f>
        <v>0</v>
      </c>
    </row>
    <row r="1292" spans="1:16" x14ac:dyDescent="0.35">
      <c r="A1292" s="54" t="str">
        <f>IFERROR(IF(INDEX(SPOT_Import!$A$1:$Z$2488,1292,'Live Data'!$C$12)="","",INDEX(SPOT_Import!$A$1:$Z$2488,1292,'Live Data'!$C$12)),"")</f>
        <v/>
      </c>
      <c r="B1292" s="54" t="str">
        <f>IFERROR(IF(INDEX(SPOT_Import!$A$1:$Z$2488,1292,'Live Data'!$C$13)="","",INDEX(SPOT_Import!$A$1:$Z$2488,1292,'Live Data'!$C$13)),"")</f>
        <v/>
      </c>
      <c r="C1292" s="54" t="str">
        <f>IFERROR(IF(INDEX(SPOT_Import!$A$1:$Z$2488,1292,'Live Data'!$C$14)="","",INDEX(SPOT_Import!$A$1:$Z$2488,1292,'Live Data'!$C$14)),"")</f>
        <v/>
      </c>
      <c r="D1292" s="54" t="str">
        <f>IFERROR(IF(INDEX(SPOT_Import!$A$1:$Z$2488,1292,'Live Data'!$C$15)="","",INDEX(SPOT_Import!$A$1:$Z$2488,1292,'Live Data'!$C$15)),"")</f>
        <v/>
      </c>
      <c r="E1292" s="54" t="str">
        <f>IFERROR(IF(INDEX(SPOT_Import!$A$1:$Z$2488,1292,'Live Data'!$C$16)="","",INDEX(SPOT_Import!$A$1:$Z$2488,1292,'Live Data'!$C$16)),"")</f>
        <v/>
      </c>
      <c r="F1292" s="54" t="str">
        <f>IFERROR(IF(INDEX(SPOT_Import!$A$1:$Z$2488,1292,'Live Data'!$C$17)="","",INDEX(SPOT_Import!$A$1:$Z$2488,1292,'Live Data'!$C$17)),"")</f>
        <v/>
      </c>
      <c r="G1292" s="54" t="str">
        <f>IFERROR(IF(INDEX(SPOT_Import!$A$1:$Z$2488,1292,'Live Data'!$C$18)="","",INDEX(SPOT_Import!$A$1:$Z$2488,1292,'Live Data'!$C$18)),"")</f>
        <v/>
      </c>
      <c r="H1292" s="54" t="str">
        <f>IFERROR(IF(INDEX(SPOT_Import!$A$1:$Z$2488,1292,'Live Data'!$C$19)="","",INDEX(SPOT_Import!$A$1:$Z$2488,1292,'Live Data'!$C$19)),"")</f>
        <v/>
      </c>
      <c r="I1292" s="54" t="str">
        <f>IFERROR(IF(INDEX(SPOT_Import!$A$1:$Z$2488,1292,'Live Data'!$C$20)="","",INDEX(SPOT_Import!$A$1:$Z$2488,1292,'Live Data'!$C$20)),"")</f>
        <v/>
      </c>
      <c r="J1292" s="54" t="str">
        <f>IFERROR(IF(INDEX(SPOT_Import!$A$1:$Z$2488,1292,'Live Data'!$C$21)="","",INDEX(SPOT_Import!$A$1:$Z$2488,1292,'Live Data'!$C$21)),"")</f>
        <v/>
      </c>
      <c r="K1292" s="54" t="str">
        <f>IFERROR(IF(INDEX(SPOT_Import!$A$1:$Z$2488,1292,'Live Data'!$C$22)="","",INDEX(SPOT_Import!$A$1:$Z$2488,1292,'Live Data'!$C$22)),"")</f>
        <v/>
      </c>
      <c r="L1292" s="55" t="str">
        <f t="shared" si="40"/>
        <v/>
      </c>
      <c r="M1292" s="55" t="str">
        <f t="shared" si="41"/>
        <v/>
      </c>
      <c r="N1292" s="55" t="str">
        <f>IF(A1292="","",IFERROR(INDEX('Cluster Map'!$A$4:$A$38,MATCH(M1292,'Cluster Map'!$B$4:$B$38,0)),"Unmapped"))</f>
        <v/>
      </c>
      <c r="O1292" s="55">
        <f>IF(A1292="",0,IF(COUNTIFS($A$2:A1292,A1292,$F$2:F1292,F1292,$L$2:L1292,L1292)=1,1,0))</f>
        <v>0</v>
      </c>
      <c r="P1292" s="55">
        <f>IF(A1292="",0,IF(AND(F1292="C&amp;T",COUNTIFS($A$2:A1292,A1292,$F$2:F1292,"C&amp;T")=1),1,0))</f>
        <v>0</v>
      </c>
    </row>
    <row r="1293" spans="1:16" x14ac:dyDescent="0.35">
      <c r="A1293" s="54" t="str">
        <f>IFERROR(IF(INDEX(SPOT_Import!$A$1:$Z$2488,1293,'Live Data'!$C$12)="","",INDEX(SPOT_Import!$A$1:$Z$2488,1293,'Live Data'!$C$12)),"")</f>
        <v/>
      </c>
      <c r="B1293" s="54" t="str">
        <f>IFERROR(IF(INDEX(SPOT_Import!$A$1:$Z$2488,1293,'Live Data'!$C$13)="","",INDEX(SPOT_Import!$A$1:$Z$2488,1293,'Live Data'!$C$13)),"")</f>
        <v/>
      </c>
      <c r="C1293" s="54" t="str">
        <f>IFERROR(IF(INDEX(SPOT_Import!$A$1:$Z$2488,1293,'Live Data'!$C$14)="","",INDEX(SPOT_Import!$A$1:$Z$2488,1293,'Live Data'!$C$14)),"")</f>
        <v/>
      </c>
      <c r="D1293" s="54" t="str">
        <f>IFERROR(IF(INDEX(SPOT_Import!$A$1:$Z$2488,1293,'Live Data'!$C$15)="","",INDEX(SPOT_Import!$A$1:$Z$2488,1293,'Live Data'!$C$15)),"")</f>
        <v/>
      </c>
      <c r="E1293" s="54" t="str">
        <f>IFERROR(IF(INDEX(SPOT_Import!$A$1:$Z$2488,1293,'Live Data'!$C$16)="","",INDEX(SPOT_Import!$A$1:$Z$2488,1293,'Live Data'!$C$16)),"")</f>
        <v/>
      </c>
      <c r="F1293" s="54" t="str">
        <f>IFERROR(IF(INDEX(SPOT_Import!$A$1:$Z$2488,1293,'Live Data'!$C$17)="","",INDEX(SPOT_Import!$A$1:$Z$2488,1293,'Live Data'!$C$17)),"")</f>
        <v/>
      </c>
      <c r="G1293" s="54" t="str">
        <f>IFERROR(IF(INDEX(SPOT_Import!$A$1:$Z$2488,1293,'Live Data'!$C$18)="","",INDEX(SPOT_Import!$A$1:$Z$2488,1293,'Live Data'!$C$18)),"")</f>
        <v/>
      </c>
      <c r="H1293" s="54" t="str">
        <f>IFERROR(IF(INDEX(SPOT_Import!$A$1:$Z$2488,1293,'Live Data'!$C$19)="","",INDEX(SPOT_Import!$A$1:$Z$2488,1293,'Live Data'!$C$19)),"")</f>
        <v/>
      </c>
      <c r="I1293" s="54" t="str">
        <f>IFERROR(IF(INDEX(SPOT_Import!$A$1:$Z$2488,1293,'Live Data'!$C$20)="","",INDEX(SPOT_Import!$A$1:$Z$2488,1293,'Live Data'!$C$20)),"")</f>
        <v/>
      </c>
      <c r="J1293" s="54" t="str">
        <f>IFERROR(IF(INDEX(SPOT_Import!$A$1:$Z$2488,1293,'Live Data'!$C$21)="","",INDEX(SPOT_Import!$A$1:$Z$2488,1293,'Live Data'!$C$21)),"")</f>
        <v/>
      </c>
      <c r="K1293" s="54" t="str">
        <f>IFERROR(IF(INDEX(SPOT_Import!$A$1:$Z$2488,1293,'Live Data'!$C$22)="","",INDEX(SPOT_Import!$A$1:$Z$2488,1293,'Live Data'!$C$22)),"")</f>
        <v/>
      </c>
      <c r="L1293" s="55" t="str">
        <f t="shared" si="40"/>
        <v/>
      </c>
      <c r="M1293" s="55" t="str">
        <f t="shared" si="41"/>
        <v/>
      </c>
      <c r="N1293" s="55" t="str">
        <f>IF(A1293="","",IFERROR(INDEX('Cluster Map'!$A$4:$A$38,MATCH(M1293,'Cluster Map'!$B$4:$B$38,0)),"Unmapped"))</f>
        <v/>
      </c>
      <c r="O1293" s="55">
        <f>IF(A1293="",0,IF(COUNTIFS($A$2:A1293,A1293,$F$2:F1293,F1293,$L$2:L1293,L1293)=1,1,0))</f>
        <v>0</v>
      </c>
      <c r="P1293" s="55">
        <f>IF(A1293="",0,IF(AND(F1293="C&amp;T",COUNTIFS($A$2:A1293,A1293,$F$2:F1293,"C&amp;T")=1),1,0))</f>
        <v>0</v>
      </c>
    </row>
    <row r="1294" spans="1:16" x14ac:dyDescent="0.35">
      <c r="A1294" s="54" t="str">
        <f>IFERROR(IF(INDEX(SPOT_Import!$A$1:$Z$2488,1294,'Live Data'!$C$12)="","",INDEX(SPOT_Import!$A$1:$Z$2488,1294,'Live Data'!$C$12)),"")</f>
        <v/>
      </c>
      <c r="B1294" s="54" t="str">
        <f>IFERROR(IF(INDEX(SPOT_Import!$A$1:$Z$2488,1294,'Live Data'!$C$13)="","",INDEX(SPOT_Import!$A$1:$Z$2488,1294,'Live Data'!$C$13)),"")</f>
        <v/>
      </c>
      <c r="C1294" s="54" t="str">
        <f>IFERROR(IF(INDEX(SPOT_Import!$A$1:$Z$2488,1294,'Live Data'!$C$14)="","",INDEX(SPOT_Import!$A$1:$Z$2488,1294,'Live Data'!$C$14)),"")</f>
        <v/>
      </c>
      <c r="D1294" s="54" t="str">
        <f>IFERROR(IF(INDEX(SPOT_Import!$A$1:$Z$2488,1294,'Live Data'!$C$15)="","",INDEX(SPOT_Import!$A$1:$Z$2488,1294,'Live Data'!$C$15)),"")</f>
        <v/>
      </c>
      <c r="E1294" s="54" t="str">
        <f>IFERROR(IF(INDEX(SPOT_Import!$A$1:$Z$2488,1294,'Live Data'!$C$16)="","",INDEX(SPOT_Import!$A$1:$Z$2488,1294,'Live Data'!$C$16)),"")</f>
        <v/>
      </c>
      <c r="F1294" s="54" t="str">
        <f>IFERROR(IF(INDEX(SPOT_Import!$A$1:$Z$2488,1294,'Live Data'!$C$17)="","",INDEX(SPOT_Import!$A$1:$Z$2488,1294,'Live Data'!$C$17)),"")</f>
        <v/>
      </c>
      <c r="G1294" s="54" t="str">
        <f>IFERROR(IF(INDEX(SPOT_Import!$A$1:$Z$2488,1294,'Live Data'!$C$18)="","",INDEX(SPOT_Import!$A$1:$Z$2488,1294,'Live Data'!$C$18)),"")</f>
        <v/>
      </c>
      <c r="H1294" s="54" t="str">
        <f>IFERROR(IF(INDEX(SPOT_Import!$A$1:$Z$2488,1294,'Live Data'!$C$19)="","",INDEX(SPOT_Import!$A$1:$Z$2488,1294,'Live Data'!$C$19)),"")</f>
        <v/>
      </c>
      <c r="I1294" s="54" t="str">
        <f>IFERROR(IF(INDEX(SPOT_Import!$A$1:$Z$2488,1294,'Live Data'!$C$20)="","",INDEX(SPOT_Import!$A$1:$Z$2488,1294,'Live Data'!$C$20)),"")</f>
        <v/>
      </c>
      <c r="J1294" s="54" t="str">
        <f>IFERROR(IF(INDEX(SPOT_Import!$A$1:$Z$2488,1294,'Live Data'!$C$21)="","",INDEX(SPOT_Import!$A$1:$Z$2488,1294,'Live Data'!$C$21)),"")</f>
        <v/>
      </c>
      <c r="K1294" s="54" t="str">
        <f>IFERROR(IF(INDEX(SPOT_Import!$A$1:$Z$2488,1294,'Live Data'!$C$22)="","",INDEX(SPOT_Import!$A$1:$Z$2488,1294,'Live Data'!$C$22)),"")</f>
        <v/>
      </c>
      <c r="L1294" s="55" t="str">
        <f t="shared" si="40"/>
        <v/>
      </c>
      <c r="M1294" s="55" t="str">
        <f t="shared" si="41"/>
        <v/>
      </c>
      <c r="N1294" s="55" t="str">
        <f>IF(A1294="","",IFERROR(INDEX('Cluster Map'!$A$4:$A$38,MATCH(M1294,'Cluster Map'!$B$4:$B$38,0)),"Unmapped"))</f>
        <v/>
      </c>
      <c r="O1294" s="55">
        <f>IF(A1294="",0,IF(COUNTIFS($A$2:A1294,A1294,$F$2:F1294,F1294,$L$2:L1294,L1294)=1,1,0))</f>
        <v>0</v>
      </c>
      <c r="P1294" s="55">
        <f>IF(A1294="",0,IF(AND(F1294="C&amp;T",COUNTIFS($A$2:A1294,A1294,$F$2:F1294,"C&amp;T")=1),1,0))</f>
        <v>0</v>
      </c>
    </row>
    <row r="1295" spans="1:16" x14ac:dyDescent="0.35">
      <c r="A1295" s="54" t="str">
        <f>IFERROR(IF(INDEX(SPOT_Import!$A$1:$Z$2488,1295,'Live Data'!$C$12)="","",INDEX(SPOT_Import!$A$1:$Z$2488,1295,'Live Data'!$C$12)),"")</f>
        <v/>
      </c>
      <c r="B1295" s="54" t="str">
        <f>IFERROR(IF(INDEX(SPOT_Import!$A$1:$Z$2488,1295,'Live Data'!$C$13)="","",INDEX(SPOT_Import!$A$1:$Z$2488,1295,'Live Data'!$C$13)),"")</f>
        <v/>
      </c>
      <c r="C1295" s="54" t="str">
        <f>IFERROR(IF(INDEX(SPOT_Import!$A$1:$Z$2488,1295,'Live Data'!$C$14)="","",INDEX(SPOT_Import!$A$1:$Z$2488,1295,'Live Data'!$C$14)),"")</f>
        <v/>
      </c>
      <c r="D1295" s="54" t="str">
        <f>IFERROR(IF(INDEX(SPOT_Import!$A$1:$Z$2488,1295,'Live Data'!$C$15)="","",INDEX(SPOT_Import!$A$1:$Z$2488,1295,'Live Data'!$C$15)),"")</f>
        <v/>
      </c>
      <c r="E1295" s="54" t="str">
        <f>IFERROR(IF(INDEX(SPOT_Import!$A$1:$Z$2488,1295,'Live Data'!$C$16)="","",INDEX(SPOT_Import!$A$1:$Z$2488,1295,'Live Data'!$C$16)),"")</f>
        <v/>
      </c>
      <c r="F1295" s="54" t="str">
        <f>IFERROR(IF(INDEX(SPOT_Import!$A$1:$Z$2488,1295,'Live Data'!$C$17)="","",INDEX(SPOT_Import!$A$1:$Z$2488,1295,'Live Data'!$C$17)),"")</f>
        <v/>
      </c>
      <c r="G1295" s="54" t="str">
        <f>IFERROR(IF(INDEX(SPOT_Import!$A$1:$Z$2488,1295,'Live Data'!$C$18)="","",INDEX(SPOT_Import!$A$1:$Z$2488,1295,'Live Data'!$C$18)),"")</f>
        <v/>
      </c>
      <c r="H1295" s="54" t="str">
        <f>IFERROR(IF(INDEX(SPOT_Import!$A$1:$Z$2488,1295,'Live Data'!$C$19)="","",INDEX(SPOT_Import!$A$1:$Z$2488,1295,'Live Data'!$C$19)),"")</f>
        <v/>
      </c>
      <c r="I1295" s="54" t="str">
        <f>IFERROR(IF(INDEX(SPOT_Import!$A$1:$Z$2488,1295,'Live Data'!$C$20)="","",INDEX(SPOT_Import!$A$1:$Z$2488,1295,'Live Data'!$C$20)),"")</f>
        <v/>
      </c>
      <c r="J1295" s="54" t="str">
        <f>IFERROR(IF(INDEX(SPOT_Import!$A$1:$Z$2488,1295,'Live Data'!$C$21)="","",INDEX(SPOT_Import!$A$1:$Z$2488,1295,'Live Data'!$C$21)),"")</f>
        <v/>
      </c>
      <c r="K1295" s="54" t="str">
        <f>IFERROR(IF(INDEX(SPOT_Import!$A$1:$Z$2488,1295,'Live Data'!$C$22)="","",INDEX(SPOT_Import!$A$1:$Z$2488,1295,'Live Data'!$C$22)),"")</f>
        <v/>
      </c>
      <c r="L1295" s="55" t="str">
        <f t="shared" si="40"/>
        <v/>
      </c>
      <c r="M1295" s="55" t="str">
        <f t="shared" si="41"/>
        <v/>
      </c>
      <c r="N1295" s="55" t="str">
        <f>IF(A1295="","",IFERROR(INDEX('Cluster Map'!$A$4:$A$38,MATCH(M1295,'Cluster Map'!$B$4:$B$38,0)),"Unmapped"))</f>
        <v/>
      </c>
      <c r="O1295" s="55">
        <f>IF(A1295="",0,IF(COUNTIFS($A$2:A1295,A1295,$F$2:F1295,F1295,$L$2:L1295,L1295)=1,1,0))</f>
        <v>0</v>
      </c>
      <c r="P1295" s="55">
        <f>IF(A1295="",0,IF(AND(F1295="C&amp;T",COUNTIFS($A$2:A1295,A1295,$F$2:F1295,"C&amp;T")=1),1,0))</f>
        <v>0</v>
      </c>
    </row>
    <row r="1296" spans="1:16" x14ac:dyDescent="0.35">
      <c r="A1296" s="54" t="str">
        <f>IFERROR(IF(INDEX(SPOT_Import!$A$1:$Z$2488,1296,'Live Data'!$C$12)="","",INDEX(SPOT_Import!$A$1:$Z$2488,1296,'Live Data'!$C$12)),"")</f>
        <v/>
      </c>
      <c r="B1296" s="54" t="str">
        <f>IFERROR(IF(INDEX(SPOT_Import!$A$1:$Z$2488,1296,'Live Data'!$C$13)="","",INDEX(SPOT_Import!$A$1:$Z$2488,1296,'Live Data'!$C$13)),"")</f>
        <v/>
      </c>
      <c r="C1296" s="54" t="str">
        <f>IFERROR(IF(INDEX(SPOT_Import!$A$1:$Z$2488,1296,'Live Data'!$C$14)="","",INDEX(SPOT_Import!$A$1:$Z$2488,1296,'Live Data'!$C$14)),"")</f>
        <v/>
      </c>
      <c r="D1296" s="54" t="str">
        <f>IFERROR(IF(INDEX(SPOT_Import!$A$1:$Z$2488,1296,'Live Data'!$C$15)="","",INDEX(SPOT_Import!$A$1:$Z$2488,1296,'Live Data'!$C$15)),"")</f>
        <v/>
      </c>
      <c r="E1296" s="54" t="str">
        <f>IFERROR(IF(INDEX(SPOT_Import!$A$1:$Z$2488,1296,'Live Data'!$C$16)="","",INDEX(SPOT_Import!$A$1:$Z$2488,1296,'Live Data'!$C$16)),"")</f>
        <v/>
      </c>
      <c r="F1296" s="54" t="str">
        <f>IFERROR(IF(INDEX(SPOT_Import!$A$1:$Z$2488,1296,'Live Data'!$C$17)="","",INDEX(SPOT_Import!$A$1:$Z$2488,1296,'Live Data'!$C$17)),"")</f>
        <v/>
      </c>
      <c r="G1296" s="54" t="str">
        <f>IFERROR(IF(INDEX(SPOT_Import!$A$1:$Z$2488,1296,'Live Data'!$C$18)="","",INDEX(SPOT_Import!$A$1:$Z$2488,1296,'Live Data'!$C$18)),"")</f>
        <v/>
      </c>
      <c r="H1296" s="54" t="str">
        <f>IFERROR(IF(INDEX(SPOT_Import!$A$1:$Z$2488,1296,'Live Data'!$C$19)="","",INDEX(SPOT_Import!$A$1:$Z$2488,1296,'Live Data'!$C$19)),"")</f>
        <v/>
      </c>
      <c r="I1296" s="54" t="str">
        <f>IFERROR(IF(INDEX(SPOT_Import!$A$1:$Z$2488,1296,'Live Data'!$C$20)="","",INDEX(SPOT_Import!$A$1:$Z$2488,1296,'Live Data'!$C$20)),"")</f>
        <v/>
      </c>
      <c r="J1296" s="54" t="str">
        <f>IFERROR(IF(INDEX(SPOT_Import!$A$1:$Z$2488,1296,'Live Data'!$C$21)="","",INDEX(SPOT_Import!$A$1:$Z$2488,1296,'Live Data'!$C$21)),"")</f>
        <v/>
      </c>
      <c r="K1296" s="54" t="str">
        <f>IFERROR(IF(INDEX(SPOT_Import!$A$1:$Z$2488,1296,'Live Data'!$C$22)="","",INDEX(SPOT_Import!$A$1:$Z$2488,1296,'Live Data'!$C$22)),"")</f>
        <v/>
      </c>
      <c r="L1296" s="55" t="str">
        <f t="shared" si="40"/>
        <v/>
      </c>
      <c r="M1296" s="55" t="str">
        <f t="shared" si="41"/>
        <v/>
      </c>
      <c r="N1296" s="55" t="str">
        <f>IF(A1296="","",IFERROR(INDEX('Cluster Map'!$A$4:$A$38,MATCH(M1296,'Cluster Map'!$B$4:$B$38,0)),"Unmapped"))</f>
        <v/>
      </c>
      <c r="O1296" s="55">
        <f>IF(A1296="",0,IF(COUNTIFS($A$2:A1296,A1296,$F$2:F1296,F1296,$L$2:L1296,L1296)=1,1,0))</f>
        <v>0</v>
      </c>
      <c r="P1296" s="55">
        <f>IF(A1296="",0,IF(AND(F1296="C&amp;T",COUNTIFS($A$2:A1296,A1296,$F$2:F1296,"C&amp;T")=1),1,0))</f>
        <v>0</v>
      </c>
    </row>
    <row r="1297" spans="1:16" x14ac:dyDescent="0.35">
      <c r="A1297" s="54" t="str">
        <f>IFERROR(IF(INDEX(SPOT_Import!$A$1:$Z$2488,1297,'Live Data'!$C$12)="","",INDEX(SPOT_Import!$A$1:$Z$2488,1297,'Live Data'!$C$12)),"")</f>
        <v/>
      </c>
      <c r="B1297" s="54" t="str">
        <f>IFERROR(IF(INDEX(SPOT_Import!$A$1:$Z$2488,1297,'Live Data'!$C$13)="","",INDEX(SPOT_Import!$A$1:$Z$2488,1297,'Live Data'!$C$13)),"")</f>
        <v/>
      </c>
      <c r="C1297" s="54" t="str">
        <f>IFERROR(IF(INDEX(SPOT_Import!$A$1:$Z$2488,1297,'Live Data'!$C$14)="","",INDEX(SPOT_Import!$A$1:$Z$2488,1297,'Live Data'!$C$14)),"")</f>
        <v/>
      </c>
      <c r="D1297" s="54" t="str">
        <f>IFERROR(IF(INDEX(SPOT_Import!$A$1:$Z$2488,1297,'Live Data'!$C$15)="","",INDEX(SPOT_Import!$A$1:$Z$2488,1297,'Live Data'!$C$15)),"")</f>
        <v/>
      </c>
      <c r="E1297" s="54" t="str">
        <f>IFERROR(IF(INDEX(SPOT_Import!$A$1:$Z$2488,1297,'Live Data'!$C$16)="","",INDEX(SPOT_Import!$A$1:$Z$2488,1297,'Live Data'!$C$16)),"")</f>
        <v/>
      </c>
      <c r="F1297" s="54" t="str">
        <f>IFERROR(IF(INDEX(SPOT_Import!$A$1:$Z$2488,1297,'Live Data'!$C$17)="","",INDEX(SPOT_Import!$A$1:$Z$2488,1297,'Live Data'!$C$17)),"")</f>
        <v/>
      </c>
      <c r="G1297" s="54" t="str">
        <f>IFERROR(IF(INDEX(SPOT_Import!$A$1:$Z$2488,1297,'Live Data'!$C$18)="","",INDEX(SPOT_Import!$A$1:$Z$2488,1297,'Live Data'!$C$18)),"")</f>
        <v/>
      </c>
      <c r="H1297" s="54" t="str">
        <f>IFERROR(IF(INDEX(SPOT_Import!$A$1:$Z$2488,1297,'Live Data'!$C$19)="","",INDEX(SPOT_Import!$A$1:$Z$2488,1297,'Live Data'!$C$19)),"")</f>
        <v/>
      </c>
      <c r="I1297" s="54" t="str">
        <f>IFERROR(IF(INDEX(SPOT_Import!$A$1:$Z$2488,1297,'Live Data'!$C$20)="","",INDEX(SPOT_Import!$A$1:$Z$2488,1297,'Live Data'!$C$20)),"")</f>
        <v/>
      </c>
      <c r="J1297" s="54" t="str">
        <f>IFERROR(IF(INDEX(SPOT_Import!$A$1:$Z$2488,1297,'Live Data'!$C$21)="","",INDEX(SPOT_Import!$A$1:$Z$2488,1297,'Live Data'!$C$21)),"")</f>
        <v/>
      </c>
      <c r="K1297" s="54" t="str">
        <f>IFERROR(IF(INDEX(SPOT_Import!$A$1:$Z$2488,1297,'Live Data'!$C$22)="","",INDEX(SPOT_Import!$A$1:$Z$2488,1297,'Live Data'!$C$22)),"")</f>
        <v/>
      </c>
      <c r="L1297" s="55" t="str">
        <f t="shared" si="40"/>
        <v/>
      </c>
      <c r="M1297" s="55" t="str">
        <f t="shared" si="41"/>
        <v/>
      </c>
      <c r="N1297" s="55" t="str">
        <f>IF(A1297="","",IFERROR(INDEX('Cluster Map'!$A$4:$A$38,MATCH(M1297,'Cluster Map'!$B$4:$B$38,0)),"Unmapped"))</f>
        <v/>
      </c>
      <c r="O1297" s="55">
        <f>IF(A1297="",0,IF(COUNTIFS($A$2:A1297,A1297,$F$2:F1297,F1297,$L$2:L1297,L1297)=1,1,0))</f>
        <v>0</v>
      </c>
      <c r="P1297" s="55">
        <f>IF(A1297="",0,IF(AND(F1297="C&amp;T",COUNTIFS($A$2:A1297,A1297,$F$2:F1297,"C&amp;T")=1),1,0))</f>
        <v>0</v>
      </c>
    </row>
    <row r="1298" spans="1:16" x14ac:dyDescent="0.35">
      <c r="A1298" s="54" t="str">
        <f>IFERROR(IF(INDEX(SPOT_Import!$A$1:$Z$2488,1298,'Live Data'!$C$12)="","",INDEX(SPOT_Import!$A$1:$Z$2488,1298,'Live Data'!$C$12)),"")</f>
        <v/>
      </c>
      <c r="B1298" s="54" t="str">
        <f>IFERROR(IF(INDEX(SPOT_Import!$A$1:$Z$2488,1298,'Live Data'!$C$13)="","",INDEX(SPOT_Import!$A$1:$Z$2488,1298,'Live Data'!$C$13)),"")</f>
        <v/>
      </c>
      <c r="C1298" s="54" t="str">
        <f>IFERROR(IF(INDEX(SPOT_Import!$A$1:$Z$2488,1298,'Live Data'!$C$14)="","",INDEX(SPOT_Import!$A$1:$Z$2488,1298,'Live Data'!$C$14)),"")</f>
        <v/>
      </c>
      <c r="D1298" s="54" t="str">
        <f>IFERROR(IF(INDEX(SPOT_Import!$A$1:$Z$2488,1298,'Live Data'!$C$15)="","",INDEX(SPOT_Import!$A$1:$Z$2488,1298,'Live Data'!$C$15)),"")</f>
        <v/>
      </c>
      <c r="E1298" s="54" t="str">
        <f>IFERROR(IF(INDEX(SPOT_Import!$A$1:$Z$2488,1298,'Live Data'!$C$16)="","",INDEX(SPOT_Import!$A$1:$Z$2488,1298,'Live Data'!$C$16)),"")</f>
        <v/>
      </c>
      <c r="F1298" s="54" t="str">
        <f>IFERROR(IF(INDEX(SPOT_Import!$A$1:$Z$2488,1298,'Live Data'!$C$17)="","",INDEX(SPOT_Import!$A$1:$Z$2488,1298,'Live Data'!$C$17)),"")</f>
        <v/>
      </c>
      <c r="G1298" s="54" t="str">
        <f>IFERROR(IF(INDEX(SPOT_Import!$A$1:$Z$2488,1298,'Live Data'!$C$18)="","",INDEX(SPOT_Import!$A$1:$Z$2488,1298,'Live Data'!$C$18)),"")</f>
        <v/>
      </c>
      <c r="H1298" s="54" t="str">
        <f>IFERROR(IF(INDEX(SPOT_Import!$A$1:$Z$2488,1298,'Live Data'!$C$19)="","",INDEX(SPOT_Import!$A$1:$Z$2488,1298,'Live Data'!$C$19)),"")</f>
        <v/>
      </c>
      <c r="I1298" s="54" t="str">
        <f>IFERROR(IF(INDEX(SPOT_Import!$A$1:$Z$2488,1298,'Live Data'!$C$20)="","",INDEX(SPOT_Import!$A$1:$Z$2488,1298,'Live Data'!$C$20)),"")</f>
        <v/>
      </c>
      <c r="J1298" s="54" t="str">
        <f>IFERROR(IF(INDEX(SPOT_Import!$A$1:$Z$2488,1298,'Live Data'!$C$21)="","",INDEX(SPOT_Import!$A$1:$Z$2488,1298,'Live Data'!$C$21)),"")</f>
        <v/>
      </c>
      <c r="K1298" s="54" t="str">
        <f>IFERROR(IF(INDEX(SPOT_Import!$A$1:$Z$2488,1298,'Live Data'!$C$22)="","",INDEX(SPOT_Import!$A$1:$Z$2488,1298,'Live Data'!$C$22)),"")</f>
        <v/>
      </c>
      <c r="L1298" s="55" t="str">
        <f t="shared" si="40"/>
        <v/>
      </c>
      <c r="M1298" s="55" t="str">
        <f t="shared" si="41"/>
        <v/>
      </c>
      <c r="N1298" s="55" t="str">
        <f>IF(A1298="","",IFERROR(INDEX('Cluster Map'!$A$4:$A$38,MATCH(M1298,'Cluster Map'!$B$4:$B$38,0)),"Unmapped"))</f>
        <v/>
      </c>
      <c r="O1298" s="55">
        <f>IF(A1298="",0,IF(COUNTIFS($A$2:A1298,A1298,$F$2:F1298,F1298,$L$2:L1298,L1298)=1,1,0))</f>
        <v>0</v>
      </c>
      <c r="P1298" s="55">
        <f>IF(A1298="",0,IF(AND(F1298="C&amp;T",COUNTIFS($A$2:A1298,A1298,$F$2:F1298,"C&amp;T")=1),1,0))</f>
        <v>0</v>
      </c>
    </row>
    <row r="1299" spans="1:16" x14ac:dyDescent="0.35">
      <c r="A1299" s="54" t="str">
        <f>IFERROR(IF(INDEX(SPOT_Import!$A$1:$Z$2488,1299,'Live Data'!$C$12)="","",INDEX(SPOT_Import!$A$1:$Z$2488,1299,'Live Data'!$C$12)),"")</f>
        <v/>
      </c>
      <c r="B1299" s="54" t="str">
        <f>IFERROR(IF(INDEX(SPOT_Import!$A$1:$Z$2488,1299,'Live Data'!$C$13)="","",INDEX(SPOT_Import!$A$1:$Z$2488,1299,'Live Data'!$C$13)),"")</f>
        <v/>
      </c>
      <c r="C1299" s="54" t="str">
        <f>IFERROR(IF(INDEX(SPOT_Import!$A$1:$Z$2488,1299,'Live Data'!$C$14)="","",INDEX(SPOT_Import!$A$1:$Z$2488,1299,'Live Data'!$C$14)),"")</f>
        <v/>
      </c>
      <c r="D1299" s="54" t="str">
        <f>IFERROR(IF(INDEX(SPOT_Import!$A$1:$Z$2488,1299,'Live Data'!$C$15)="","",INDEX(SPOT_Import!$A$1:$Z$2488,1299,'Live Data'!$C$15)),"")</f>
        <v/>
      </c>
      <c r="E1299" s="54" t="str">
        <f>IFERROR(IF(INDEX(SPOT_Import!$A$1:$Z$2488,1299,'Live Data'!$C$16)="","",INDEX(SPOT_Import!$A$1:$Z$2488,1299,'Live Data'!$C$16)),"")</f>
        <v/>
      </c>
      <c r="F1299" s="54" t="str">
        <f>IFERROR(IF(INDEX(SPOT_Import!$A$1:$Z$2488,1299,'Live Data'!$C$17)="","",INDEX(SPOT_Import!$A$1:$Z$2488,1299,'Live Data'!$C$17)),"")</f>
        <v/>
      </c>
      <c r="G1299" s="54" t="str">
        <f>IFERROR(IF(INDEX(SPOT_Import!$A$1:$Z$2488,1299,'Live Data'!$C$18)="","",INDEX(SPOT_Import!$A$1:$Z$2488,1299,'Live Data'!$C$18)),"")</f>
        <v/>
      </c>
      <c r="H1299" s="54" t="str">
        <f>IFERROR(IF(INDEX(SPOT_Import!$A$1:$Z$2488,1299,'Live Data'!$C$19)="","",INDEX(SPOT_Import!$A$1:$Z$2488,1299,'Live Data'!$C$19)),"")</f>
        <v/>
      </c>
      <c r="I1299" s="54" t="str">
        <f>IFERROR(IF(INDEX(SPOT_Import!$A$1:$Z$2488,1299,'Live Data'!$C$20)="","",INDEX(SPOT_Import!$A$1:$Z$2488,1299,'Live Data'!$C$20)),"")</f>
        <v/>
      </c>
      <c r="J1299" s="54" t="str">
        <f>IFERROR(IF(INDEX(SPOT_Import!$A$1:$Z$2488,1299,'Live Data'!$C$21)="","",INDEX(SPOT_Import!$A$1:$Z$2488,1299,'Live Data'!$C$21)),"")</f>
        <v/>
      </c>
      <c r="K1299" s="54" t="str">
        <f>IFERROR(IF(INDEX(SPOT_Import!$A$1:$Z$2488,1299,'Live Data'!$C$22)="","",INDEX(SPOT_Import!$A$1:$Z$2488,1299,'Live Data'!$C$22)),"")</f>
        <v/>
      </c>
      <c r="L1299" s="55" t="str">
        <f t="shared" si="40"/>
        <v/>
      </c>
      <c r="M1299" s="55" t="str">
        <f t="shared" si="41"/>
        <v/>
      </c>
      <c r="N1299" s="55" t="str">
        <f>IF(A1299="","",IFERROR(INDEX('Cluster Map'!$A$4:$A$38,MATCH(M1299,'Cluster Map'!$B$4:$B$38,0)),"Unmapped"))</f>
        <v/>
      </c>
      <c r="O1299" s="55">
        <f>IF(A1299="",0,IF(COUNTIFS($A$2:A1299,A1299,$F$2:F1299,F1299,$L$2:L1299,L1299)=1,1,0))</f>
        <v>0</v>
      </c>
      <c r="P1299" s="55">
        <f>IF(A1299="",0,IF(AND(F1299="C&amp;T",COUNTIFS($A$2:A1299,A1299,$F$2:F1299,"C&amp;T")=1),1,0))</f>
        <v>0</v>
      </c>
    </row>
    <row r="1300" spans="1:16" x14ac:dyDescent="0.35">
      <c r="A1300" s="54" t="str">
        <f>IFERROR(IF(INDEX(SPOT_Import!$A$1:$Z$2488,1300,'Live Data'!$C$12)="","",INDEX(SPOT_Import!$A$1:$Z$2488,1300,'Live Data'!$C$12)),"")</f>
        <v/>
      </c>
      <c r="B1300" s="54" t="str">
        <f>IFERROR(IF(INDEX(SPOT_Import!$A$1:$Z$2488,1300,'Live Data'!$C$13)="","",INDEX(SPOT_Import!$A$1:$Z$2488,1300,'Live Data'!$C$13)),"")</f>
        <v/>
      </c>
      <c r="C1300" s="54" t="str">
        <f>IFERROR(IF(INDEX(SPOT_Import!$A$1:$Z$2488,1300,'Live Data'!$C$14)="","",INDEX(SPOT_Import!$A$1:$Z$2488,1300,'Live Data'!$C$14)),"")</f>
        <v/>
      </c>
      <c r="D1300" s="54" t="str">
        <f>IFERROR(IF(INDEX(SPOT_Import!$A$1:$Z$2488,1300,'Live Data'!$C$15)="","",INDEX(SPOT_Import!$A$1:$Z$2488,1300,'Live Data'!$C$15)),"")</f>
        <v/>
      </c>
      <c r="E1300" s="54" t="str">
        <f>IFERROR(IF(INDEX(SPOT_Import!$A$1:$Z$2488,1300,'Live Data'!$C$16)="","",INDEX(SPOT_Import!$A$1:$Z$2488,1300,'Live Data'!$C$16)),"")</f>
        <v/>
      </c>
      <c r="F1300" s="54" t="str">
        <f>IFERROR(IF(INDEX(SPOT_Import!$A$1:$Z$2488,1300,'Live Data'!$C$17)="","",INDEX(SPOT_Import!$A$1:$Z$2488,1300,'Live Data'!$C$17)),"")</f>
        <v/>
      </c>
      <c r="G1300" s="54" t="str">
        <f>IFERROR(IF(INDEX(SPOT_Import!$A$1:$Z$2488,1300,'Live Data'!$C$18)="","",INDEX(SPOT_Import!$A$1:$Z$2488,1300,'Live Data'!$C$18)),"")</f>
        <v/>
      </c>
      <c r="H1300" s="54" t="str">
        <f>IFERROR(IF(INDEX(SPOT_Import!$A$1:$Z$2488,1300,'Live Data'!$C$19)="","",INDEX(SPOT_Import!$A$1:$Z$2488,1300,'Live Data'!$C$19)),"")</f>
        <v/>
      </c>
      <c r="I1300" s="54" t="str">
        <f>IFERROR(IF(INDEX(SPOT_Import!$A$1:$Z$2488,1300,'Live Data'!$C$20)="","",INDEX(SPOT_Import!$A$1:$Z$2488,1300,'Live Data'!$C$20)),"")</f>
        <v/>
      </c>
      <c r="J1300" s="54" t="str">
        <f>IFERROR(IF(INDEX(SPOT_Import!$A$1:$Z$2488,1300,'Live Data'!$C$21)="","",INDEX(SPOT_Import!$A$1:$Z$2488,1300,'Live Data'!$C$21)),"")</f>
        <v/>
      </c>
      <c r="K1300" s="54" t="str">
        <f>IFERROR(IF(INDEX(SPOT_Import!$A$1:$Z$2488,1300,'Live Data'!$C$22)="","",INDEX(SPOT_Import!$A$1:$Z$2488,1300,'Live Data'!$C$22)),"")</f>
        <v/>
      </c>
      <c r="L1300" s="55" t="str">
        <f t="shared" si="40"/>
        <v/>
      </c>
      <c r="M1300" s="55" t="str">
        <f t="shared" si="41"/>
        <v/>
      </c>
      <c r="N1300" s="55" t="str">
        <f>IF(A1300="","",IFERROR(INDEX('Cluster Map'!$A$4:$A$38,MATCH(M1300,'Cluster Map'!$B$4:$B$38,0)),"Unmapped"))</f>
        <v/>
      </c>
      <c r="O1300" s="55">
        <f>IF(A1300="",0,IF(COUNTIFS($A$2:A1300,A1300,$F$2:F1300,F1300,$L$2:L1300,L1300)=1,1,0))</f>
        <v>0</v>
      </c>
      <c r="P1300" s="55">
        <f>IF(A1300="",0,IF(AND(F1300="C&amp;T",COUNTIFS($A$2:A1300,A1300,$F$2:F1300,"C&amp;T")=1),1,0))</f>
        <v>0</v>
      </c>
    </row>
    <row r="1301" spans="1:16" x14ac:dyDescent="0.35">
      <c r="A1301" s="54" t="str">
        <f>IFERROR(IF(INDEX(SPOT_Import!$A$1:$Z$2488,1301,'Live Data'!$C$12)="","",INDEX(SPOT_Import!$A$1:$Z$2488,1301,'Live Data'!$C$12)),"")</f>
        <v/>
      </c>
      <c r="B1301" s="54" t="str">
        <f>IFERROR(IF(INDEX(SPOT_Import!$A$1:$Z$2488,1301,'Live Data'!$C$13)="","",INDEX(SPOT_Import!$A$1:$Z$2488,1301,'Live Data'!$C$13)),"")</f>
        <v/>
      </c>
      <c r="C1301" s="54" t="str">
        <f>IFERROR(IF(INDEX(SPOT_Import!$A$1:$Z$2488,1301,'Live Data'!$C$14)="","",INDEX(SPOT_Import!$A$1:$Z$2488,1301,'Live Data'!$C$14)),"")</f>
        <v/>
      </c>
      <c r="D1301" s="54" t="str">
        <f>IFERROR(IF(INDEX(SPOT_Import!$A$1:$Z$2488,1301,'Live Data'!$C$15)="","",INDEX(SPOT_Import!$A$1:$Z$2488,1301,'Live Data'!$C$15)),"")</f>
        <v/>
      </c>
      <c r="E1301" s="54" t="str">
        <f>IFERROR(IF(INDEX(SPOT_Import!$A$1:$Z$2488,1301,'Live Data'!$C$16)="","",INDEX(SPOT_Import!$A$1:$Z$2488,1301,'Live Data'!$C$16)),"")</f>
        <v/>
      </c>
      <c r="F1301" s="54" t="str">
        <f>IFERROR(IF(INDEX(SPOT_Import!$A$1:$Z$2488,1301,'Live Data'!$C$17)="","",INDEX(SPOT_Import!$A$1:$Z$2488,1301,'Live Data'!$C$17)),"")</f>
        <v/>
      </c>
      <c r="G1301" s="54" t="str">
        <f>IFERROR(IF(INDEX(SPOT_Import!$A$1:$Z$2488,1301,'Live Data'!$C$18)="","",INDEX(SPOT_Import!$A$1:$Z$2488,1301,'Live Data'!$C$18)),"")</f>
        <v/>
      </c>
      <c r="H1301" s="54" t="str">
        <f>IFERROR(IF(INDEX(SPOT_Import!$A$1:$Z$2488,1301,'Live Data'!$C$19)="","",INDEX(SPOT_Import!$A$1:$Z$2488,1301,'Live Data'!$C$19)),"")</f>
        <v/>
      </c>
      <c r="I1301" s="54" t="str">
        <f>IFERROR(IF(INDEX(SPOT_Import!$A$1:$Z$2488,1301,'Live Data'!$C$20)="","",INDEX(SPOT_Import!$A$1:$Z$2488,1301,'Live Data'!$C$20)),"")</f>
        <v/>
      </c>
      <c r="J1301" s="54" t="str">
        <f>IFERROR(IF(INDEX(SPOT_Import!$A$1:$Z$2488,1301,'Live Data'!$C$21)="","",INDEX(SPOT_Import!$A$1:$Z$2488,1301,'Live Data'!$C$21)),"")</f>
        <v/>
      </c>
      <c r="K1301" s="54" t="str">
        <f>IFERROR(IF(INDEX(SPOT_Import!$A$1:$Z$2488,1301,'Live Data'!$C$22)="","",INDEX(SPOT_Import!$A$1:$Z$2488,1301,'Live Data'!$C$22)),"")</f>
        <v/>
      </c>
      <c r="L1301" s="55" t="str">
        <f t="shared" si="40"/>
        <v/>
      </c>
      <c r="M1301" s="55" t="str">
        <f t="shared" si="41"/>
        <v/>
      </c>
      <c r="N1301" s="55" t="str">
        <f>IF(A1301="","",IFERROR(INDEX('Cluster Map'!$A$4:$A$38,MATCH(M1301,'Cluster Map'!$B$4:$B$38,0)),"Unmapped"))</f>
        <v/>
      </c>
      <c r="O1301" s="55">
        <f>IF(A1301="",0,IF(COUNTIFS($A$2:A1301,A1301,$F$2:F1301,F1301,$L$2:L1301,L1301)=1,1,0))</f>
        <v>0</v>
      </c>
      <c r="P1301" s="55">
        <f>IF(A1301="",0,IF(AND(F1301="C&amp;T",COUNTIFS($A$2:A1301,A1301,$F$2:F1301,"C&amp;T")=1),1,0))</f>
        <v>0</v>
      </c>
    </row>
    <row r="1302" spans="1:16" x14ac:dyDescent="0.35">
      <c r="A1302" s="54" t="str">
        <f>IFERROR(IF(INDEX(SPOT_Import!$A$1:$Z$2488,1302,'Live Data'!$C$12)="","",INDEX(SPOT_Import!$A$1:$Z$2488,1302,'Live Data'!$C$12)),"")</f>
        <v/>
      </c>
      <c r="B1302" s="54" t="str">
        <f>IFERROR(IF(INDEX(SPOT_Import!$A$1:$Z$2488,1302,'Live Data'!$C$13)="","",INDEX(SPOT_Import!$A$1:$Z$2488,1302,'Live Data'!$C$13)),"")</f>
        <v/>
      </c>
      <c r="C1302" s="54" t="str">
        <f>IFERROR(IF(INDEX(SPOT_Import!$A$1:$Z$2488,1302,'Live Data'!$C$14)="","",INDEX(SPOT_Import!$A$1:$Z$2488,1302,'Live Data'!$C$14)),"")</f>
        <v/>
      </c>
      <c r="D1302" s="54" t="str">
        <f>IFERROR(IF(INDEX(SPOT_Import!$A$1:$Z$2488,1302,'Live Data'!$C$15)="","",INDEX(SPOT_Import!$A$1:$Z$2488,1302,'Live Data'!$C$15)),"")</f>
        <v/>
      </c>
      <c r="E1302" s="54" t="str">
        <f>IFERROR(IF(INDEX(SPOT_Import!$A$1:$Z$2488,1302,'Live Data'!$C$16)="","",INDEX(SPOT_Import!$A$1:$Z$2488,1302,'Live Data'!$C$16)),"")</f>
        <v/>
      </c>
      <c r="F1302" s="54" t="str">
        <f>IFERROR(IF(INDEX(SPOT_Import!$A$1:$Z$2488,1302,'Live Data'!$C$17)="","",INDEX(SPOT_Import!$A$1:$Z$2488,1302,'Live Data'!$C$17)),"")</f>
        <v/>
      </c>
      <c r="G1302" s="54" t="str">
        <f>IFERROR(IF(INDEX(SPOT_Import!$A$1:$Z$2488,1302,'Live Data'!$C$18)="","",INDEX(SPOT_Import!$A$1:$Z$2488,1302,'Live Data'!$C$18)),"")</f>
        <v/>
      </c>
      <c r="H1302" s="54" t="str">
        <f>IFERROR(IF(INDEX(SPOT_Import!$A$1:$Z$2488,1302,'Live Data'!$C$19)="","",INDEX(SPOT_Import!$A$1:$Z$2488,1302,'Live Data'!$C$19)),"")</f>
        <v/>
      </c>
      <c r="I1302" s="54" t="str">
        <f>IFERROR(IF(INDEX(SPOT_Import!$A$1:$Z$2488,1302,'Live Data'!$C$20)="","",INDEX(SPOT_Import!$A$1:$Z$2488,1302,'Live Data'!$C$20)),"")</f>
        <v/>
      </c>
      <c r="J1302" s="54" t="str">
        <f>IFERROR(IF(INDEX(SPOT_Import!$A$1:$Z$2488,1302,'Live Data'!$C$21)="","",INDEX(SPOT_Import!$A$1:$Z$2488,1302,'Live Data'!$C$21)),"")</f>
        <v/>
      </c>
      <c r="K1302" s="54" t="str">
        <f>IFERROR(IF(INDEX(SPOT_Import!$A$1:$Z$2488,1302,'Live Data'!$C$22)="","",INDEX(SPOT_Import!$A$1:$Z$2488,1302,'Live Data'!$C$22)),"")</f>
        <v/>
      </c>
      <c r="L1302" s="55" t="str">
        <f t="shared" si="40"/>
        <v/>
      </c>
      <c r="M1302" s="55" t="str">
        <f t="shared" si="41"/>
        <v/>
      </c>
      <c r="N1302" s="55" t="str">
        <f>IF(A1302="","",IFERROR(INDEX('Cluster Map'!$A$4:$A$38,MATCH(M1302,'Cluster Map'!$B$4:$B$38,0)),"Unmapped"))</f>
        <v/>
      </c>
      <c r="O1302" s="55">
        <f>IF(A1302="",0,IF(COUNTIFS($A$2:A1302,A1302,$F$2:F1302,F1302,$L$2:L1302,L1302)=1,1,0))</f>
        <v>0</v>
      </c>
      <c r="P1302" s="55">
        <f>IF(A1302="",0,IF(AND(F1302="C&amp;T",COUNTIFS($A$2:A1302,A1302,$F$2:F1302,"C&amp;T")=1),1,0))</f>
        <v>0</v>
      </c>
    </row>
    <row r="1303" spans="1:16" x14ac:dyDescent="0.35">
      <c r="A1303" s="54" t="str">
        <f>IFERROR(IF(INDEX(SPOT_Import!$A$1:$Z$2488,1303,'Live Data'!$C$12)="","",INDEX(SPOT_Import!$A$1:$Z$2488,1303,'Live Data'!$C$12)),"")</f>
        <v/>
      </c>
      <c r="B1303" s="54" t="str">
        <f>IFERROR(IF(INDEX(SPOT_Import!$A$1:$Z$2488,1303,'Live Data'!$C$13)="","",INDEX(SPOT_Import!$A$1:$Z$2488,1303,'Live Data'!$C$13)),"")</f>
        <v/>
      </c>
      <c r="C1303" s="54" t="str">
        <f>IFERROR(IF(INDEX(SPOT_Import!$A$1:$Z$2488,1303,'Live Data'!$C$14)="","",INDEX(SPOT_Import!$A$1:$Z$2488,1303,'Live Data'!$C$14)),"")</f>
        <v/>
      </c>
      <c r="D1303" s="54" t="str">
        <f>IFERROR(IF(INDEX(SPOT_Import!$A$1:$Z$2488,1303,'Live Data'!$C$15)="","",INDEX(SPOT_Import!$A$1:$Z$2488,1303,'Live Data'!$C$15)),"")</f>
        <v/>
      </c>
      <c r="E1303" s="54" t="str">
        <f>IFERROR(IF(INDEX(SPOT_Import!$A$1:$Z$2488,1303,'Live Data'!$C$16)="","",INDEX(SPOT_Import!$A$1:$Z$2488,1303,'Live Data'!$C$16)),"")</f>
        <v/>
      </c>
      <c r="F1303" s="54" t="str">
        <f>IFERROR(IF(INDEX(SPOT_Import!$A$1:$Z$2488,1303,'Live Data'!$C$17)="","",INDEX(SPOT_Import!$A$1:$Z$2488,1303,'Live Data'!$C$17)),"")</f>
        <v/>
      </c>
      <c r="G1303" s="54" t="str">
        <f>IFERROR(IF(INDEX(SPOT_Import!$A$1:$Z$2488,1303,'Live Data'!$C$18)="","",INDEX(SPOT_Import!$A$1:$Z$2488,1303,'Live Data'!$C$18)),"")</f>
        <v/>
      </c>
      <c r="H1303" s="54" t="str">
        <f>IFERROR(IF(INDEX(SPOT_Import!$A$1:$Z$2488,1303,'Live Data'!$C$19)="","",INDEX(SPOT_Import!$A$1:$Z$2488,1303,'Live Data'!$C$19)),"")</f>
        <v/>
      </c>
      <c r="I1303" s="54" t="str">
        <f>IFERROR(IF(INDEX(SPOT_Import!$A$1:$Z$2488,1303,'Live Data'!$C$20)="","",INDEX(SPOT_Import!$A$1:$Z$2488,1303,'Live Data'!$C$20)),"")</f>
        <v/>
      </c>
      <c r="J1303" s="54" t="str">
        <f>IFERROR(IF(INDEX(SPOT_Import!$A$1:$Z$2488,1303,'Live Data'!$C$21)="","",INDEX(SPOT_Import!$A$1:$Z$2488,1303,'Live Data'!$C$21)),"")</f>
        <v/>
      </c>
      <c r="K1303" s="54" t="str">
        <f>IFERROR(IF(INDEX(SPOT_Import!$A$1:$Z$2488,1303,'Live Data'!$C$22)="","",INDEX(SPOT_Import!$A$1:$Z$2488,1303,'Live Data'!$C$22)),"")</f>
        <v/>
      </c>
      <c r="L1303" s="55" t="str">
        <f t="shared" si="40"/>
        <v/>
      </c>
      <c r="M1303" s="55" t="str">
        <f t="shared" si="41"/>
        <v/>
      </c>
      <c r="N1303" s="55" t="str">
        <f>IF(A1303="","",IFERROR(INDEX('Cluster Map'!$A$4:$A$38,MATCH(M1303,'Cluster Map'!$B$4:$B$38,0)),"Unmapped"))</f>
        <v/>
      </c>
      <c r="O1303" s="55">
        <f>IF(A1303="",0,IF(COUNTIFS($A$2:A1303,A1303,$F$2:F1303,F1303,$L$2:L1303,L1303)=1,1,0))</f>
        <v>0</v>
      </c>
      <c r="P1303" s="55">
        <f>IF(A1303="",0,IF(AND(F1303="C&amp;T",COUNTIFS($A$2:A1303,A1303,$F$2:F1303,"C&amp;T")=1),1,0))</f>
        <v>0</v>
      </c>
    </row>
    <row r="1304" spans="1:16" x14ac:dyDescent="0.35">
      <c r="A1304" s="54" t="str">
        <f>IFERROR(IF(INDEX(SPOT_Import!$A$1:$Z$2488,1304,'Live Data'!$C$12)="","",INDEX(SPOT_Import!$A$1:$Z$2488,1304,'Live Data'!$C$12)),"")</f>
        <v/>
      </c>
      <c r="B1304" s="54" t="str">
        <f>IFERROR(IF(INDEX(SPOT_Import!$A$1:$Z$2488,1304,'Live Data'!$C$13)="","",INDEX(SPOT_Import!$A$1:$Z$2488,1304,'Live Data'!$C$13)),"")</f>
        <v/>
      </c>
      <c r="C1304" s="54" t="str">
        <f>IFERROR(IF(INDEX(SPOT_Import!$A$1:$Z$2488,1304,'Live Data'!$C$14)="","",INDEX(SPOT_Import!$A$1:$Z$2488,1304,'Live Data'!$C$14)),"")</f>
        <v/>
      </c>
      <c r="D1304" s="54" t="str">
        <f>IFERROR(IF(INDEX(SPOT_Import!$A$1:$Z$2488,1304,'Live Data'!$C$15)="","",INDEX(SPOT_Import!$A$1:$Z$2488,1304,'Live Data'!$C$15)),"")</f>
        <v/>
      </c>
      <c r="E1304" s="54" t="str">
        <f>IFERROR(IF(INDEX(SPOT_Import!$A$1:$Z$2488,1304,'Live Data'!$C$16)="","",INDEX(SPOT_Import!$A$1:$Z$2488,1304,'Live Data'!$C$16)),"")</f>
        <v/>
      </c>
      <c r="F1304" s="54" t="str">
        <f>IFERROR(IF(INDEX(SPOT_Import!$A$1:$Z$2488,1304,'Live Data'!$C$17)="","",INDEX(SPOT_Import!$A$1:$Z$2488,1304,'Live Data'!$C$17)),"")</f>
        <v/>
      </c>
      <c r="G1304" s="54" t="str">
        <f>IFERROR(IF(INDEX(SPOT_Import!$A$1:$Z$2488,1304,'Live Data'!$C$18)="","",INDEX(SPOT_Import!$A$1:$Z$2488,1304,'Live Data'!$C$18)),"")</f>
        <v/>
      </c>
      <c r="H1304" s="54" t="str">
        <f>IFERROR(IF(INDEX(SPOT_Import!$A$1:$Z$2488,1304,'Live Data'!$C$19)="","",INDEX(SPOT_Import!$A$1:$Z$2488,1304,'Live Data'!$C$19)),"")</f>
        <v/>
      </c>
      <c r="I1304" s="54" t="str">
        <f>IFERROR(IF(INDEX(SPOT_Import!$A$1:$Z$2488,1304,'Live Data'!$C$20)="","",INDEX(SPOT_Import!$A$1:$Z$2488,1304,'Live Data'!$C$20)),"")</f>
        <v/>
      </c>
      <c r="J1304" s="54" t="str">
        <f>IFERROR(IF(INDEX(SPOT_Import!$A$1:$Z$2488,1304,'Live Data'!$C$21)="","",INDEX(SPOT_Import!$A$1:$Z$2488,1304,'Live Data'!$C$21)),"")</f>
        <v/>
      </c>
      <c r="K1304" s="54" t="str">
        <f>IFERROR(IF(INDEX(SPOT_Import!$A$1:$Z$2488,1304,'Live Data'!$C$22)="","",INDEX(SPOT_Import!$A$1:$Z$2488,1304,'Live Data'!$C$22)),"")</f>
        <v/>
      </c>
      <c r="L1304" s="55" t="str">
        <f t="shared" si="40"/>
        <v/>
      </c>
      <c r="M1304" s="55" t="str">
        <f t="shared" si="41"/>
        <v/>
      </c>
      <c r="N1304" s="55" t="str">
        <f>IF(A1304="","",IFERROR(INDEX('Cluster Map'!$A$4:$A$38,MATCH(M1304,'Cluster Map'!$B$4:$B$38,0)),"Unmapped"))</f>
        <v/>
      </c>
      <c r="O1304" s="55">
        <f>IF(A1304="",0,IF(COUNTIFS($A$2:A1304,A1304,$F$2:F1304,F1304,$L$2:L1304,L1304)=1,1,0))</f>
        <v>0</v>
      </c>
      <c r="P1304" s="55">
        <f>IF(A1304="",0,IF(AND(F1304="C&amp;T",COUNTIFS($A$2:A1304,A1304,$F$2:F1304,"C&amp;T")=1),1,0))</f>
        <v>0</v>
      </c>
    </row>
    <row r="1305" spans="1:16" x14ac:dyDescent="0.35">
      <c r="A1305" s="54" t="str">
        <f>IFERROR(IF(INDEX(SPOT_Import!$A$1:$Z$2488,1305,'Live Data'!$C$12)="","",INDEX(SPOT_Import!$A$1:$Z$2488,1305,'Live Data'!$C$12)),"")</f>
        <v/>
      </c>
      <c r="B1305" s="54" t="str">
        <f>IFERROR(IF(INDEX(SPOT_Import!$A$1:$Z$2488,1305,'Live Data'!$C$13)="","",INDEX(SPOT_Import!$A$1:$Z$2488,1305,'Live Data'!$C$13)),"")</f>
        <v/>
      </c>
      <c r="C1305" s="54" t="str">
        <f>IFERROR(IF(INDEX(SPOT_Import!$A$1:$Z$2488,1305,'Live Data'!$C$14)="","",INDEX(SPOT_Import!$A$1:$Z$2488,1305,'Live Data'!$C$14)),"")</f>
        <v/>
      </c>
      <c r="D1305" s="54" t="str">
        <f>IFERROR(IF(INDEX(SPOT_Import!$A$1:$Z$2488,1305,'Live Data'!$C$15)="","",INDEX(SPOT_Import!$A$1:$Z$2488,1305,'Live Data'!$C$15)),"")</f>
        <v/>
      </c>
      <c r="E1305" s="54" t="str">
        <f>IFERROR(IF(INDEX(SPOT_Import!$A$1:$Z$2488,1305,'Live Data'!$C$16)="","",INDEX(SPOT_Import!$A$1:$Z$2488,1305,'Live Data'!$C$16)),"")</f>
        <v/>
      </c>
      <c r="F1305" s="54" t="str">
        <f>IFERROR(IF(INDEX(SPOT_Import!$A$1:$Z$2488,1305,'Live Data'!$C$17)="","",INDEX(SPOT_Import!$A$1:$Z$2488,1305,'Live Data'!$C$17)),"")</f>
        <v/>
      </c>
      <c r="G1305" s="54" t="str">
        <f>IFERROR(IF(INDEX(SPOT_Import!$A$1:$Z$2488,1305,'Live Data'!$C$18)="","",INDEX(SPOT_Import!$A$1:$Z$2488,1305,'Live Data'!$C$18)),"")</f>
        <v/>
      </c>
      <c r="H1305" s="54" t="str">
        <f>IFERROR(IF(INDEX(SPOT_Import!$A$1:$Z$2488,1305,'Live Data'!$C$19)="","",INDEX(SPOT_Import!$A$1:$Z$2488,1305,'Live Data'!$C$19)),"")</f>
        <v/>
      </c>
      <c r="I1305" s="54" t="str">
        <f>IFERROR(IF(INDEX(SPOT_Import!$A$1:$Z$2488,1305,'Live Data'!$C$20)="","",INDEX(SPOT_Import!$A$1:$Z$2488,1305,'Live Data'!$C$20)),"")</f>
        <v/>
      </c>
      <c r="J1305" s="54" t="str">
        <f>IFERROR(IF(INDEX(SPOT_Import!$A$1:$Z$2488,1305,'Live Data'!$C$21)="","",INDEX(SPOT_Import!$A$1:$Z$2488,1305,'Live Data'!$C$21)),"")</f>
        <v/>
      </c>
      <c r="K1305" s="54" t="str">
        <f>IFERROR(IF(INDEX(SPOT_Import!$A$1:$Z$2488,1305,'Live Data'!$C$22)="","",INDEX(SPOT_Import!$A$1:$Z$2488,1305,'Live Data'!$C$22)),"")</f>
        <v/>
      </c>
      <c r="L1305" s="55" t="str">
        <f t="shared" si="40"/>
        <v/>
      </c>
      <c r="M1305" s="55" t="str">
        <f t="shared" si="41"/>
        <v/>
      </c>
      <c r="N1305" s="55" t="str">
        <f>IF(A1305="","",IFERROR(INDEX('Cluster Map'!$A$4:$A$38,MATCH(M1305,'Cluster Map'!$B$4:$B$38,0)),"Unmapped"))</f>
        <v/>
      </c>
      <c r="O1305" s="55">
        <f>IF(A1305="",0,IF(COUNTIFS($A$2:A1305,A1305,$F$2:F1305,F1305,$L$2:L1305,L1305)=1,1,0))</f>
        <v>0</v>
      </c>
      <c r="P1305" s="55">
        <f>IF(A1305="",0,IF(AND(F1305="C&amp;T",COUNTIFS($A$2:A1305,A1305,$F$2:F1305,"C&amp;T")=1),1,0))</f>
        <v>0</v>
      </c>
    </row>
    <row r="1306" spans="1:16" x14ac:dyDescent="0.35">
      <c r="A1306" s="54" t="str">
        <f>IFERROR(IF(INDEX(SPOT_Import!$A$1:$Z$2488,1306,'Live Data'!$C$12)="","",INDEX(SPOT_Import!$A$1:$Z$2488,1306,'Live Data'!$C$12)),"")</f>
        <v/>
      </c>
      <c r="B1306" s="54" t="str">
        <f>IFERROR(IF(INDEX(SPOT_Import!$A$1:$Z$2488,1306,'Live Data'!$C$13)="","",INDEX(SPOT_Import!$A$1:$Z$2488,1306,'Live Data'!$C$13)),"")</f>
        <v/>
      </c>
      <c r="C1306" s="54" t="str">
        <f>IFERROR(IF(INDEX(SPOT_Import!$A$1:$Z$2488,1306,'Live Data'!$C$14)="","",INDEX(SPOT_Import!$A$1:$Z$2488,1306,'Live Data'!$C$14)),"")</f>
        <v/>
      </c>
      <c r="D1306" s="54" t="str">
        <f>IFERROR(IF(INDEX(SPOT_Import!$A$1:$Z$2488,1306,'Live Data'!$C$15)="","",INDEX(SPOT_Import!$A$1:$Z$2488,1306,'Live Data'!$C$15)),"")</f>
        <v/>
      </c>
      <c r="E1306" s="54" t="str">
        <f>IFERROR(IF(INDEX(SPOT_Import!$A$1:$Z$2488,1306,'Live Data'!$C$16)="","",INDEX(SPOT_Import!$A$1:$Z$2488,1306,'Live Data'!$C$16)),"")</f>
        <v/>
      </c>
      <c r="F1306" s="54" t="str">
        <f>IFERROR(IF(INDEX(SPOT_Import!$A$1:$Z$2488,1306,'Live Data'!$C$17)="","",INDEX(SPOT_Import!$A$1:$Z$2488,1306,'Live Data'!$C$17)),"")</f>
        <v/>
      </c>
      <c r="G1306" s="54" t="str">
        <f>IFERROR(IF(INDEX(SPOT_Import!$A$1:$Z$2488,1306,'Live Data'!$C$18)="","",INDEX(SPOT_Import!$A$1:$Z$2488,1306,'Live Data'!$C$18)),"")</f>
        <v/>
      </c>
      <c r="H1306" s="54" t="str">
        <f>IFERROR(IF(INDEX(SPOT_Import!$A$1:$Z$2488,1306,'Live Data'!$C$19)="","",INDEX(SPOT_Import!$A$1:$Z$2488,1306,'Live Data'!$C$19)),"")</f>
        <v/>
      </c>
      <c r="I1306" s="54" t="str">
        <f>IFERROR(IF(INDEX(SPOT_Import!$A$1:$Z$2488,1306,'Live Data'!$C$20)="","",INDEX(SPOT_Import!$A$1:$Z$2488,1306,'Live Data'!$C$20)),"")</f>
        <v/>
      </c>
      <c r="J1306" s="54" t="str">
        <f>IFERROR(IF(INDEX(SPOT_Import!$A$1:$Z$2488,1306,'Live Data'!$C$21)="","",INDEX(SPOT_Import!$A$1:$Z$2488,1306,'Live Data'!$C$21)),"")</f>
        <v/>
      </c>
      <c r="K1306" s="54" t="str">
        <f>IFERROR(IF(INDEX(SPOT_Import!$A$1:$Z$2488,1306,'Live Data'!$C$22)="","",INDEX(SPOT_Import!$A$1:$Z$2488,1306,'Live Data'!$C$22)),"")</f>
        <v/>
      </c>
      <c r="L1306" s="55" t="str">
        <f t="shared" si="40"/>
        <v/>
      </c>
      <c r="M1306" s="55" t="str">
        <f t="shared" si="41"/>
        <v/>
      </c>
      <c r="N1306" s="55" t="str">
        <f>IF(A1306="","",IFERROR(INDEX('Cluster Map'!$A$4:$A$38,MATCH(M1306,'Cluster Map'!$B$4:$B$38,0)),"Unmapped"))</f>
        <v/>
      </c>
      <c r="O1306" s="55">
        <f>IF(A1306="",0,IF(COUNTIFS($A$2:A1306,A1306,$F$2:F1306,F1306,$L$2:L1306,L1306)=1,1,0))</f>
        <v>0</v>
      </c>
      <c r="P1306" s="55">
        <f>IF(A1306="",0,IF(AND(F1306="C&amp;T",COUNTIFS($A$2:A1306,A1306,$F$2:F1306,"C&amp;T")=1),1,0))</f>
        <v>0</v>
      </c>
    </row>
    <row r="1307" spans="1:16" x14ac:dyDescent="0.35">
      <c r="A1307" s="54" t="str">
        <f>IFERROR(IF(INDEX(SPOT_Import!$A$1:$Z$2488,1307,'Live Data'!$C$12)="","",INDEX(SPOT_Import!$A$1:$Z$2488,1307,'Live Data'!$C$12)),"")</f>
        <v/>
      </c>
      <c r="B1307" s="54" t="str">
        <f>IFERROR(IF(INDEX(SPOT_Import!$A$1:$Z$2488,1307,'Live Data'!$C$13)="","",INDEX(SPOT_Import!$A$1:$Z$2488,1307,'Live Data'!$C$13)),"")</f>
        <v/>
      </c>
      <c r="C1307" s="54" t="str">
        <f>IFERROR(IF(INDEX(SPOT_Import!$A$1:$Z$2488,1307,'Live Data'!$C$14)="","",INDEX(SPOT_Import!$A$1:$Z$2488,1307,'Live Data'!$C$14)),"")</f>
        <v/>
      </c>
      <c r="D1307" s="54" t="str">
        <f>IFERROR(IF(INDEX(SPOT_Import!$A$1:$Z$2488,1307,'Live Data'!$C$15)="","",INDEX(SPOT_Import!$A$1:$Z$2488,1307,'Live Data'!$C$15)),"")</f>
        <v/>
      </c>
      <c r="E1307" s="54" t="str">
        <f>IFERROR(IF(INDEX(SPOT_Import!$A$1:$Z$2488,1307,'Live Data'!$C$16)="","",INDEX(SPOT_Import!$A$1:$Z$2488,1307,'Live Data'!$C$16)),"")</f>
        <v/>
      </c>
      <c r="F1307" s="54" t="str">
        <f>IFERROR(IF(INDEX(SPOT_Import!$A$1:$Z$2488,1307,'Live Data'!$C$17)="","",INDEX(SPOT_Import!$A$1:$Z$2488,1307,'Live Data'!$C$17)),"")</f>
        <v/>
      </c>
      <c r="G1307" s="54" t="str">
        <f>IFERROR(IF(INDEX(SPOT_Import!$A$1:$Z$2488,1307,'Live Data'!$C$18)="","",INDEX(SPOT_Import!$A$1:$Z$2488,1307,'Live Data'!$C$18)),"")</f>
        <v/>
      </c>
      <c r="H1307" s="54" t="str">
        <f>IFERROR(IF(INDEX(SPOT_Import!$A$1:$Z$2488,1307,'Live Data'!$C$19)="","",INDEX(SPOT_Import!$A$1:$Z$2488,1307,'Live Data'!$C$19)),"")</f>
        <v/>
      </c>
      <c r="I1307" s="54" t="str">
        <f>IFERROR(IF(INDEX(SPOT_Import!$A$1:$Z$2488,1307,'Live Data'!$C$20)="","",INDEX(SPOT_Import!$A$1:$Z$2488,1307,'Live Data'!$C$20)),"")</f>
        <v/>
      </c>
      <c r="J1307" s="54" t="str">
        <f>IFERROR(IF(INDEX(SPOT_Import!$A$1:$Z$2488,1307,'Live Data'!$C$21)="","",INDEX(SPOT_Import!$A$1:$Z$2488,1307,'Live Data'!$C$21)),"")</f>
        <v/>
      </c>
      <c r="K1307" s="54" t="str">
        <f>IFERROR(IF(INDEX(SPOT_Import!$A$1:$Z$2488,1307,'Live Data'!$C$22)="","",INDEX(SPOT_Import!$A$1:$Z$2488,1307,'Live Data'!$C$22)),"")</f>
        <v/>
      </c>
      <c r="L1307" s="55" t="str">
        <f t="shared" si="40"/>
        <v/>
      </c>
      <c r="M1307" s="55" t="str">
        <f t="shared" si="41"/>
        <v/>
      </c>
      <c r="N1307" s="55" t="str">
        <f>IF(A1307="","",IFERROR(INDEX('Cluster Map'!$A$4:$A$38,MATCH(M1307,'Cluster Map'!$B$4:$B$38,0)),"Unmapped"))</f>
        <v/>
      </c>
      <c r="O1307" s="55">
        <f>IF(A1307="",0,IF(COUNTIFS($A$2:A1307,A1307,$F$2:F1307,F1307,$L$2:L1307,L1307)=1,1,0))</f>
        <v>0</v>
      </c>
      <c r="P1307" s="55">
        <f>IF(A1307="",0,IF(AND(F1307="C&amp;T",COUNTIFS($A$2:A1307,A1307,$F$2:F1307,"C&amp;T")=1),1,0))</f>
        <v>0</v>
      </c>
    </row>
    <row r="1308" spans="1:16" x14ac:dyDescent="0.35">
      <c r="A1308" s="54" t="str">
        <f>IFERROR(IF(INDEX(SPOT_Import!$A$1:$Z$2488,1308,'Live Data'!$C$12)="","",INDEX(SPOT_Import!$A$1:$Z$2488,1308,'Live Data'!$C$12)),"")</f>
        <v/>
      </c>
      <c r="B1308" s="54" t="str">
        <f>IFERROR(IF(INDEX(SPOT_Import!$A$1:$Z$2488,1308,'Live Data'!$C$13)="","",INDEX(SPOT_Import!$A$1:$Z$2488,1308,'Live Data'!$C$13)),"")</f>
        <v/>
      </c>
      <c r="C1308" s="54" t="str">
        <f>IFERROR(IF(INDEX(SPOT_Import!$A$1:$Z$2488,1308,'Live Data'!$C$14)="","",INDEX(SPOT_Import!$A$1:$Z$2488,1308,'Live Data'!$C$14)),"")</f>
        <v/>
      </c>
      <c r="D1308" s="54" t="str">
        <f>IFERROR(IF(INDEX(SPOT_Import!$A$1:$Z$2488,1308,'Live Data'!$C$15)="","",INDEX(SPOT_Import!$A$1:$Z$2488,1308,'Live Data'!$C$15)),"")</f>
        <v/>
      </c>
      <c r="E1308" s="54" t="str">
        <f>IFERROR(IF(INDEX(SPOT_Import!$A$1:$Z$2488,1308,'Live Data'!$C$16)="","",INDEX(SPOT_Import!$A$1:$Z$2488,1308,'Live Data'!$C$16)),"")</f>
        <v/>
      </c>
      <c r="F1308" s="54" t="str">
        <f>IFERROR(IF(INDEX(SPOT_Import!$A$1:$Z$2488,1308,'Live Data'!$C$17)="","",INDEX(SPOT_Import!$A$1:$Z$2488,1308,'Live Data'!$C$17)),"")</f>
        <v/>
      </c>
      <c r="G1308" s="54" t="str">
        <f>IFERROR(IF(INDEX(SPOT_Import!$A$1:$Z$2488,1308,'Live Data'!$C$18)="","",INDEX(SPOT_Import!$A$1:$Z$2488,1308,'Live Data'!$C$18)),"")</f>
        <v/>
      </c>
      <c r="H1308" s="54" t="str">
        <f>IFERROR(IF(INDEX(SPOT_Import!$A$1:$Z$2488,1308,'Live Data'!$C$19)="","",INDEX(SPOT_Import!$A$1:$Z$2488,1308,'Live Data'!$C$19)),"")</f>
        <v/>
      </c>
      <c r="I1308" s="54" t="str">
        <f>IFERROR(IF(INDEX(SPOT_Import!$A$1:$Z$2488,1308,'Live Data'!$C$20)="","",INDEX(SPOT_Import!$A$1:$Z$2488,1308,'Live Data'!$C$20)),"")</f>
        <v/>
      </c>
      <c r="J1308" s="54" t="str">
        <f>IFERROR(IF(INDEX(SPOT_Import!$A$1:$Z$2488,1308,'Live Data'!$C$21)="","",INDEX(SPOT_Import!$A$1:$Z$2488,1308,'Live Data'!$C$21)),"")</f>
        <v/>
      </c>
      <c r="K1308" s="54" t="str">
        <f>IFERROR(IF(INDEX(SPOT_Import!$A$1:$Z$2488,1308,'Live Data'!$C$22)="","",INDEX(SPOT_Import!$A$1:$Z$2488,1308,'Live Data'!$C$22)),"")</f>
        <v/>
      </c>
      <c r="L1308" s="55" t="str">
        <f t="shared" si="40"/>
        <v/>
      </c>
      <c r="M1308" s="55" t="str">
        <f t="shared" si="41"/>
        <v/>
      </c>
      <c r="N1308" s="55" t="str">
        <f>IF(A1308="","",IFERROR(INDEX('Cluster Map'!$A$4:$A$38,MATCH(M1308,'Cluster Map'!$B$4:$B$38,0)),"Unmapped"))</f>
        <v/>
      </c>
      <c r="O1308" s="55">
        <f>IF(A1308="",0,IF(COUNTIFS($A$2:A1308,A1308,$F$2:F1308,F1308,$L$2:L1308,L1308)=1,1,0))</f>
        <v>0</v>
      </c>
      <c r="P1308" s="55">
        <f>IF(A1308="",0,IF(AND(F1308="C&amp;T",COUNTIFS($A$2:A1308,A1308,$F$2:F1308,"C&amp;T")=1),1,0))</f>
        <v>0</v>
      </c>
    </row>
    <row r="1309" spans="1:16" x14ac:dyDescent="0.35">
      <c r="A1309" s="54" t="str">
        <f>IFERROR(IF(INDEX(SPOT_Import!$A$1:$Z$2488,1309,'Live Data'!$C$12)="","",INDEX(SPOT_Import!$A$1:$Z$2488,1309,'Live Data'!$C$12)),"")</f>
        <v/>
      </c>
      <c r="B1309" s="54" t="str">
        <f>IFERROR(IF(INDEX(SPOT_Import!$A$1:$Z$2488,1309,'Live Data'!$C$13)="","",INDEX(SPOT_Import!$A$1:$Z$2488,1309,'Live Data'!$C$13)),"")</f>
        <v/>
      </c>
      <c r="C1309" s="54" t="str">
        <f>IFERROR(IF(INDEX(SPOT_Import!$A$1:$Z$2488,1309,'Live Data'!$C$14)="","",INDEX(SPOT_Import!$A$1:$Z$2488,1309,'Live Data'!$C$14)),"")</f>
        <v/>
      </c>
      <c r="D1309" s="54" t="str">
        <f>IFERROR(IF(INDEX(SPOT_Import!$A$1:$Z$2488,1309,'Live Data'!$C$15)="","",INDEX(SPOT_Import!$A$1:$Z$2488,1309,'Live Data'!$C$15)),"")</f>
        <v/>
      </c>
      <c r="E1309" s="54" t="str">
        <f>IFERROR(IF(INDEX(SPOT_Import!$A$1:$Z$2488,1309,'Live Data'!$C$16)="","",INDEX(SPOT_Import!$A$1:$Z$2488,1309,'Live Data'!$C$16)),"")</f>
        <v/>
      </c>
      <c r="F1309" s="54" t="str">
        <f>IFERROR(IF(INDEX(SPOT_Import!$A$1:$Z$2488,1309,'Live Data'!$C$17)="","",INDEX(SPOT_Import!$A$1:$Z$2488,1309,'Live Data'!$C$17)),"")</f>
        <v/>
      </c>
      <c r="G1309" s="54" t="str">
        <f>IFERROR(IF(INDEX(SPOT_Import!$A$1:$Z$2488,1309,'Live Data'!$C$18)="","",INDEX(SPOT_Import!$A$1:$Z$2488,1309,'Live Data'!$C$18)),"")</f>
        <v/>
      </c>
      <c r="H1309" s="54" t="str">
        <f>IFERROR(IF(INDEX(SPOT_Import!$A$1:$Z$2488,1309,'Live Data'!$C$19)="","",INDEX(SPOT_Import!$A$1:$Z$2488,1309,'Live Data'!$C$19)),"")</f>
        <v/>
      </c>
      <c r="I1309" s="54" t="str">
        <f>IFERROR(IF(INDEX(SPOT_Import!$A$1:$Z$2488,1309,'Live Data'!$C$20)="","",INDEX(SPOT_Import!$A$1:$Z$2488,1309,'Live Data'!$C$20)),"")</f>
        <v/>
      </c>
      <c r="J1309" s="54" t="str">
        <f>IFERROR(IF(INDEX(SPOT_Import!$A$1:$Z$2488,1309,'Live Data'!$C$21)="","",INDEX(SPOT_Import!$A$1:$Z$2488,1309,'Live Data'!$C$21)),"")</f>
        <v/>
      </c>
      <c r="K1309" s="54" t="str">
        <f>IFERROR(IF(INDEX(SPOT_Import!$A$1:$Z$2488,1309,'Live Data'!$C$22)="","",INDEX(SPOT_Import!$A$1:$Z$2488,1309,'Live Data'!$C$22)),"")</f>
        <v/>
      </c>
      <c r="L1309" s="55" t="str">
        <f t="shared" si="40"/>
        <v/>
      </c>
      <c r="M1309" s="55" t="str">
        <f t="shared" si="41"/>
        <v/>
      </c>
      <c r="N1309" s="55" t="str">
        <f>IF(A1309="","",IFERROR(INDEX('Cluster Map'!$A$4:$A$38,MATCH(M1309,'Cluster Map'!$B$4:$B$38,0)),"Unmapped"))</f>
        <v/>
      </c>
      <c r="O1309" s="55">
        <f>IF(A1309="",0,IF(COUNTIFS($A$2:A1309,A1309,$F$2:F1309,F1309,$L$2:L1309,L1309)=1,1,0))</f>
        <v>0</v>
      </c>
      <c r="P1309" s="55">
        <f>IF(A1309="",0,IF(AND(F1309="C&amp;T",COUNTIFS($A$2:A1309,A1309,$F$2:F1309,"C&amp;T")=1),1,0))</f>
        <v>0</v>
      </c>
    </row>
    <row r="1310" spans="1:16" x14ac:dyDescent="0.35">
      <c r="A1310" s="54" t="str">
        <f>IFERROR(IF(INDEX(SPOT_Import!$A$1:$Z$2488,1310,'Live Data'!$C$12)="","",INDEX(SPOT_Import!$A$1:$Z$2488,1310,'Live Data'!$C$12)),"")</f>
        <v/>
      </c>
      <c r="B1310" s="54" t="str">
        <f>IFERROR(IF(INDEX(SPOT_Import!$A$1:$Z$2488,1310,'Live Data'!$C$13)="","",INDEX(SPOT_Import!$A$1:$Z$2488,1310,'Live Data'!$C$13)),"")</f>
        <v/>
      </c>
      <c r="C1310" s="54" t="str">
        <f>IFERROR(IF(INDEX(SPOT_Import!$A$1:$Z$2488,1310,'Live Data'!$C$14)="","",INDEX(SPOT_Import!$A$1:$Z$2488,1310,'Live Data'!$C$14)),"")</f>
        <v/>
      </c>
      <c r="D1310" s="54" t="str">
        <f>IFERROR(IF(INDEX(SPOT_Import!$A$1:$Z$2488,1310,'Live Data'!$C$15)="","",INDEX(SPOT_Import!$A$1:$Z$2488,1310,'Live Data'!$C$15)),"")</f>
        <v/>
      </c>
      <c r="E1310" s="54" t="str">
        <f>IFERROR(IF(INDEX(SPOT_Import!$A$1:$Z$2488,1310,'Live Data'!$C$16)="","",INDEX(SPOT_Import!$A$1:$Z$2488,1310,'Live Data'!$C$16)),"")</f>
        <v/>
      </c>
      <c r="F1310" s="54" t="str">
        <f>IFERROR(IF(INDEX(SPOT_Import!$A$1:$Z$2488,1310,'Live Data'!$C$17)="","",INDEX(SPOT_Import!$A$1:$Z$2488,1310,'Live Data'!$C$17)),"")</f>
        <v/>
      </c>
      <c r="G1310" s="54" t="str">
        <f>IFERROR(IF(INDEX(SPOT_Import!$A$1:$Z$2488,1310,'Live Data'!$C$18)="","",INDEX(SPOT_Import!$A$1:$Z$2488,1310,'Live Data'!$C$18)),"")</f>
        <v/>
      </c>
      <c r="H1310" s="54" t="str">
        <f>IFERROR(IF(INDEX(SPOT_Import!$A$1:$Z$2488,1310,'Live Data'!$C$19)="","",INDEX(SPOT_Import!$A$1:$Z$2488,1310,'Live Data'!$C$19)),"")</f>
        <v/>
      </c>
      <c r="I1310" s="54" t="str">
        <f>IFERROR(IF(INDEX(SPOT_Import!$A$1:$Z$2488,1310,'Live Data'!$C$20)="","",INDEX(SPOT_Import!$A$1:$Z$2488,1310,'Live Data'!$C$20)),"")</f>
        <v/>
      </c>
      <c r="J1310" s="54" t="str">
        <f>IFERROR(IF(INDEX(SPOT_Import!$A$1:$Z$2488,1310,'Live Data'!$C$21)="","",INDEX(SPOT_Import!$A$1:$Z$2488,1310,'Live Data'!$C$21)),"")</f>
        <v/>
      </c>
      <c r="K1310" s="54" t="str">
        <f>IFERROR(IF(INDEX(SPOT_Import!$A$1:$Z$2488,1310,'Live Data'!$C$22)="","",INDEX(SPOT_Import!$A$1:$Z$2488,1310,'Live Data'!$C$22)),"")</f>
        <v/>
      </c>
      <c r="L1310" s="55" t="str">
        <f t="shared" si="40"/>
        <v/>
      </c>
      <c r="M1310" s="55" t="str">
        <f t="shared" si="41"/>
        <v/>
      </c>
      <c r="N1310" s="55" t="str">
        <f>IF(A1310="","",IFERROR(INDEX('Cluster Map'!$A$4:$A$38,MATCH(M1310,'Cluster Map'!$B$4:$B$38,0)),"Unmapped"))</f>
        <v/>
      </c>
      <c r="O1310" s="55">
        <f>IF(A1310="",0,IF(COUNTIFS($A$2:A1310,A1310,$F$2:F1310,F1310,$L$2:L1310,L1310)=1,1,0))</f>
        <v>0</v>
      </c>
      <c r="P1310" s="55">
        <f>IF(A1310="",0,IF(AND(F1310="C&amp;T",COUNTIFS($A$2:A1310,A1310,$F$2:F1310,"C&amp;T")=1),1,0))</f>
        <v>0</v>
      </c>
    </row>
    <row r="1311" spans="1:16" x14ac:dyDescent="0.35">
      <c r="A1311" s="54" t="str">
        <f>IFERROR(IF(INDEX(SPOT_Import!$A$1:$Z$2488,1311,'Live Data'!$C$12)="","",INDEX(SPOT_Import!$A$1:$Z$2488,1311,'Live Data'!$C$12)),"")</f>
        <v/>
      </c>
      <c r="B1311" s="54" t="str">
        <f>IFERROR(IF(INDEX(SPOT_Import!$A$1:$Z$2488,1311,'Live Data'!$C$13)="","",INDEX(SPOT_Import!$A$1:$Z$2488,1311,'Live Data'!$C$13)),"")</f>
        <v/>
      </c>
      <c r="C1311" s="54" t="str">
        <f>IFERROR(IF(INDEX(SPOT_Import!$A$1:$Z$2488,1311,'Live Data'!$C$14)="","",INDEX(SPOT_Import!$A$1:$Z$2488,1311,'Live Data'!$C$14)),"")</f>
        <v/>
      </c>
      <c r="D1311" s="54" t="str">
        <f>IFERROR(IF(INDEX(SPOT_Import!$A$1:$Z$2488,1311,'Live Data'!$C$15)="","",INDEX(SPOT_Import!$A$1:$Z$2488,1311,'Live Data'!$C$15)),"")</f>
        <v/>
      </c>
      <c r="E1311" s="54" t="str">
        <f>IFERROR(IF(INDEX(SPOT_Import!$A$1:$Z$2488,1311,'Live Data'!$C$16)="","",INDEX(SPOT_Import!$A$1:$Z$2488,1311,'Live Data'!$C$16)),"")</f>
        <v/>
      </c>
      <c r="F1311" s="54" t="str">
        <f>IFERROR(IF(INDEX(SPOT_Import!$A$1:$Z$2488,1311,'Live Data'!$C$17)="","",INDEX(SPOT_Import!$A$1:$Z$2488,1311,'Live Data'!$C$17)),"")</f>
        <v/>
      </c>
      <c r="G1311" s="54" t="str">
        <f>IFERROR(IF(INDEX(SPOT_Import!$A$1:$Z$2488,1311,'Live Data'!$C$18)="","",INDEX(SPOT_Import!$A$1:$Z$2488,1311,'Live Data'!$C$18)),"")</f>
        <v/>
      </c>
      <c r="H1311" s="54" t="str">
        <f>IFERROR(IF(INDEX(SPOT_Import!$A$1:$Z$2488,1311,'Live Data'!$C$19)="","",INDEX(SPOT_Import!$A$1:$Z$2488,1311,'Live Data'!$C$19)),"")</f>
        <v/>
      </c>
      <c r="I1311" s="54" t="str">
        <f>IFERROR(IF(INDEX(SPOT_Import!$A$1:$Z$2488,1311,'Live Data'!$C$20)="","",INDEX(SPOT_Import!$A$1:$Z$2488,1311,'Live Data'!$C$20)),"")</f>
        <v/>
      </c>
      <c r="J1311" s="54" t="str">
        <f>IFERROR(IF(INDEX(SPOT_Import!$A$1:$Z$2488,1311,'Live Data'!$C$21)="","",INDEX(SPOT_Import!$A$1:$Z$2488,1311,'Live Data'!$C$21)),"")</f>
        <v/>
      </c>
      <c r="K1311" s="54" t="str">
        <f>IFERROR(IF(INDEX(SPOT_Import!$A$1:$Z$2488,1311,'Live Data'!$C$22)="","",INDEX(SPOT_Import!$A$1:$Z$2488,1311,'Live Data'!$C$22)),"")</f>
        <v/>
      </c>
      <c r="L1311" s="55" t="str">
        <f t="shared" si="40"/>
        <v/>
      </c>
      <c r="M1311" s="55" t="str">
        <f t="shared" si="41"/>
        <v/>
      </c>
      <c r="N1311" s="55" t="str">
        <f>IF(A1311="","",IFERROR(INDEX('Cluster Map'!$A$4:$A$38,MATCH(M1311,'Cluster Map'!$B$4:$B$38,0)),"Unmapped"))</f>
        <v/>
      </c>
      <c r="O1311" s="55">
        <f>IF(A1311="",0,IF(COUNTIFS($A$2:A1311,A1311,$F$2:F1311,F1311,$L$2:L1311,L1311)=1,1,0))</f>
        <v>0</v>
      </c>
      <c r="P1311" s="55">
        <f>IF(A1311="",0,IF(AND(F1311="C&amp;T",COUNTIFS($A$2:A1311,A1311,$F$2:F1311,"C&amp;T")=1),1,0))</f>
        <v>0</v>
      </c>
    </row>
    <row r="1312" spans="1:16" x14ac:dyDescent="0.35">
      <c r="A1312" s="54" t="str">
        <f>IFERROR(IF(INDEX(SPOT_Import!$A$1:$Z$2488,1312,'Live Data'!$C$12)="","",INDEX(SPOT_Import!$A$1:$Z$2488,1312,'Live Data'!$C$12)),"")</f>
        <v/>
      </c>
      <c r="B1312" s="54" t="str">
        <f>IFERROR(IF(INDEX(SPOT_Import!$A$1:$Z$2488,1312,'Live Data'!$C$13)="","",INDEX(SPOT_Import!$A$1:$Z$2488,1312,'Live Data'!$C$13)),"")</f>
        <v/>
      </c>
      <c r="C1312" s="54" t="str">
        <f>IFERROR(IF(INDEX(SPOT_Import!$A$1:$Z$2488,1312,'Live Data'!$C$14)="","",INDEX(SPOT_Import!$A$1:$Z$2488,1312,'Live Data'!$C$14)),"")</f>
        <v/>
      </c>
      <c r="D1312" s="54" t="str">
        <f>IFERROR(IF(INDEX(SPOT_Import!$A$1:$Z$2488,1312,'Live Data'!$C$15)="","",INDEX(SPOT_Import!$A$1:$Z$2488,1312,'Live Data'!$C$15)),"")</f>
        <v/>
      </c>
      <c r="E1312" s="54" t="str">
        <f>IFERROR(IF(INDEX(SPOT_Import!$A$1:$Z$2488,1312,'Live Data'!$C$16)="","",INDEX(SPOT_Import!$A$1:$Z$2488,1312,'Live Data'!$C$16)),"")</f>
        <v/>
      </c>
      <c r="F1312" s="54" t="str">
        <f>IFERROR(IF(INDEX(SPOT_Import!$A$1:$Z$2488,1312,'Live Data'!$C$17)="","",INDEX(SPOT_Import!$A$1:$Z$2488,1312,'Live Data'!$C$17)),"")</f>
        <v/>
      </c>
      <c r="G1312" s="54" t="str">
        <f>IFERROR(IF(INDEX(SPOT_Import!$A$1:$Z$2488,1312,'Live Data'!$C$18)="","",INDEX(SPOT_Import!$A$1:$Z$2488,1312,'Live Data'!$C$18)),"")</f>
        <v/>
      </c>
      <c r="H1312" s="54" t="str">
        <f>IFERROR(IF(INDEX(SPOT_Import!$A$1:$Z$2488,1312,'Live Data'!$C$19)="","",INDEX(SPOT_Import!$A$1:$Z$2488,1312,'Live Data'!$C$19)),"")</f>
        <v/>
      </c>
      <c r="I1312" s="54" t="str">
        <f>IFERROR(IF(INDEX(SPOT_Import!$A$1:$Z$2488,1312,'Live Data'!$C$20)="","",INDEX(SPOT_Import!$A$1:$Z$2488,1312,'Live Data'!$C$20)),"")</f>
        <v/>
      </c>
      <c r="J1312" s="54" t="str">
        <f>IFERROR(IF(INDEX(SPOT_Import!$A$1:$Z$2488,1312,'Live Data'!$C$21)="","",INDEX(SPOT_Import!$A$1:$Z$2488,1312,'Live Data'!$C$21)),"")</f>
        <v/>
      </c>
      <c r="K1312" s="54" t="str">
        <f>IFERROR(IF(INDEX(SPOT_Import!$A$1:$Z$2488,1312,'Live Data'!$C$22)="","",INDEX(SPOT_Import!$A$1:$Z$2488,1312,'Live Data'!$C$22)),"")</f>
        <v/>
      </c>
      <c r="L1312" s="55" t="str">
        <f t="shared" si="40"/>
        <v/>
      </c>
      <c r="M1312" s="55" t="str">
        <f t="shared" si="41"/>
        <v/>
      </c>
      <c r="N1312" s="55" t="str">
        <f>IF(A1312="","",IFERROR(INDEX('Cluster Map'!$A$4:$A$38,MATCH(M1312,'Cluster Map'!$B$4:$B$38,0)),"Unmapped"))</f>
        <v/>
      </c>
      <c r="O1312" s="55">
        <f>IF(A1312="",0,IF(COUNTIFS($A$2:A1312,A1312,$F$2:F1312,F1312,$L$2:L1312,L1312)=1,1,0))</f>
        <v>0</v>
      </c>
      <c r="P1312" s="55">
        <f>IF(A1312="",0,IF(AND(F1312="C&amp;T",COUNTIFS($A$2:A1312,A1312,$F$2:F1312,"C&amp;T")=1),1,0))</f>
        <v>0</v>
      </c>
    </row>
    <row r="1313" spans="1:16" x14ac:dyDescent="0.35">
      <c r="A1313" s="54" t="str">
        <f>IFERROR(IF(INDEX(SPOT_Import!$A$1:$Z$2488,1313,'Live Data'!$C$12)="","",INDEX(SPOT_Import!$A$1:$Z$2488,1313,'Live Data'!$C$12)),"")</f>
        <v/>
      </c>
      <c r="B1313" s="54" t="str">
        <f>IFERROR(IF(INDEX(SPOT_Import!$A$1:$Z$2488,1313,'Live Data'!$C$13)="","",INDEX(SPOT_Import!$A$1:$Z$2488,1313,'Live Data'!$C$13)),"")</f>
        <v/>
      </c>
      <c r="C1313" s="54" t="str">
        <f>IFERROR(IF(INDEX(SPOT_Import!$A$1:$Z$2488,1313,'Live Data'!$C$14)="","",INDEX(SPOT_Import!$A$1:$Z$2488,1313,'Live Data'!$C$14)),"")</f>
        <v/>
      </c>
      <c r="D1313" s="54" t="str">
        <f>IFERROR(IF(INDEX(SPOT_Import!$A$1:$Z$2488,1313,'Live Data'!$C$15)="","",INDEX(SPOT_Import!$A$1:$Z$2488,1313,'Live Data'!$C$15)),"")</f>
        <v/>
      </c>
      <c r="E1313" s="54" t="str">
        <f>IFERROR(IF(INDEX(SPOT_Import!$A$1:$Z$2488,1313,'Live Data'!$C$16)="","",INDEX(SPOT_Import!$A$1:$Z$2488,1313,'Live Data'!$C$16)),"")</f>
        <v/>
      </c>
      <c r="F1313" s="54" t="str">
        <f>IFERROR(IF(INDEX(SPOT_Import!$A$1:$Z$2488,1313,'Live Data'!$C$17)="","",INDEX(SPOT_Import!$A$1:$Z$2488,1313,'Live Data'!$C$17)),"")</f>
        <v/>
      </c>
      <c r="G1313" s="54" t="str">
        <f>IFERROR(IF(INDEX(SPOT_Import!$A$1:$Z$2488,1313,'Live Data'!$C$18)="","",INDEX(SPOT_Import!$A$1:$Z$2488,1313,'Live Data'!$C$18)),"")</f>
        <v/>
      </c>
      <c r="H1313" s="54" t="str">
        <f>IFERROR(IF(INDEX(SPOT_Import!$A$1:$Z$2488,1313,'Live Data'!$C$19)="","",INDEX(SPOT_Import!$A$1:$Z$2488,1313,'Live Data'!$C$19)),"")</f>
        <v/>
      </c>
      <c r="I1313" s="54" t="str">
        <f>IFERROR(IF(INDEX(SPOT_Import!$A$1:$Z$2488,1313,'Live Data'!$C$20)="","",INDEX(SPOT_Import!$A$1:$Z$2488,1313,'Live Data'!$C$20)),"")</f>
        <v/>
      </c>
      <c r="J1313" s="54" t="str">
        <f>IFERROR(IF(INDEX(SPOT_Import!$A$1:$Z$2488,1313,'Live Data'!$C$21)="","",INDEX(SPOT_Import!$A$1:$Z$2488,1313,'Live Data'!$C$21)),"")</f>
        <v/>
      </c>
      <c r="K1313" s="54" t="str">
        <f>IFERROR(IF(INDEX(SPOT_Import!$A$1:$Z$2488,1313,'Live Data'!$C$22)="","",INDEX(SPOT_Import!$A$1:$Z$2488,1313,'Live Data'!$C$22)),"")</f>
        <v/>
      </c>
      <c r="L1313" s="55" t="str">
        <f t="shared" si="40"/>
        <v/>
      </c>
      <c r="M1313" s="55" t="str">
        <f t="shared" si="41"/>
        <v/>
      </c>
      <c r="N1313" s="55" t="str">
        <f>IF(A1313="","",IFERROR(INDEX('Cluster Map'!$A$4:$A$38,MATCH(M1313,'Cluster Map'!$B$4:$B$38,0)),"Unmapped"))</f>
        <v/>
      </c>
      <c r="O1313" s="55">
        <f>IF(A1313="",0,IF(COUNTIFS($A$2:A1313,A1313,$F$2:F1313,F1313,$L$2:L1313,L1313)=1,1,0))</f>
        <v>0</v>
      </c>
      <c r="P1313" s="55">
        <f>IF(A1313="",0,IF(AND(F1313="C&amp;T",COUNTIFS($A$2:A1313,A1313,$F$2:F1313,"C&amp;T")=1),1,0))</f>
        <v>0</v>
      </c>
    </row>
    <row r="1314" spans="1:16" x14ac:dyDescent="0.35">
      <c r="A1314" s="54" t="str">
        <f>IFERROR(IF(INDEX(SPOT_Import!$A$1:$Z$2488,1314,'Live Data'!$C$12)="","",INDEX(SPOT_Import!$A$1:$Z$2488,1314,'Live Data'!$C$12)),"")</f>
        <v/>
      </c>
      <c r="B1314" s="54" t="str">
        <f>IFERROR(IF(INDEX(SPOT_Import!$A$1:$Z$2488,1314,'Live Data'!$C$13)="","",INDEX(SPOT_Import!$A$1:$Z$2488,1314,'Live Data'!$C$13)),"")</f>
        <v/>
      </c>
      <c r="C1314" s="54" t="str">
        <f>IFERROR(IF(INDEX(SPOT_Import!$A$1:$Z$2488,1314,'Live Data'!$C$14)="","",INDEX(SPOT_Import!$A$1:$Z$2488,1314,'Live Data'!$C$14)),"")</f>
        <v/>
      </c>
      <c r="D1314" s="54" t="str">
        <f>IFERROR(IF(INDEX(SPOT_Import!$A$1:$Z$2488,1314,'Live Data'!$C$15)="","",INDEX(SPOT_Import!$A$1:$Z$2488,1314,'Live Data'!$C$15)),"")</f>
        <v/>
      </c>
      <c r="E1314" s="54" t="str">
        <f>IFERROR(IF(INDEX(SPOT_Import!$A$1:$Z$2488,1314,'Live Data'!$C$16)="","",INDEX(SPOT_Import!$A$1:$Z$2488,1314,'Live Data'!$C$16)),"")</f>
        <v/>
      </c>
      <c r="F1314" s="54" t="str">
        <f>IFERROR(IF(INDEX(SPOT_Import!$A$1:$Z$2488,1314,'Live Data'!$C$17)="","",INDEX(SPOT_Import!$A$1:$Z$2488,1314,'Live Data'!$C$17)),"")</f>
        <v/>
      </c>
      <c r="G1314" s="54" t="str">
        <f>IFERROR(IF(INDEX(SPOT_Import!$A$1:$Z$2488,1314,'Live Data'!$C$18)="","",INDEX(SPOT_Import!$A$1:$Z$2488,1314,'Live Data'!$C$18)),"")</f>
        <v/>
      </c>
      <c r="H1314" s="54" t="str">
        <f>IFERROR(IF(INDEX(SPOT_Import!$A$1:$Z$2488,1314,'Live Data'!$C$19)="","",INDEX(SPOT_Import!$A$1:$Z$2488,1314,'Live Data'!$C$19)),"")</f>
        <v/>
      </c>
      <c r="I1314" s="54" t="str">
        <f>IFERROR(IF(INDEX(SPOT_Import!$A$1:$Z$2488,1314,'Live Data'!$C$20)="","",INDEX(SPOT_Import!$A$1:$Z$2488,1314,'Live Data'!$C$20)),"")</f>
        <v/>
      </c>
      <c r="J1314" s="54" t="str">
        <f>IFERROR(IF(INDEX(SPOT_Import!$A$1:$Z$2488,1314,'Live Data'!$C$21)="","",INDEX(SPOT_Import!$A$1:$Z$2488,1314,'Live Data'!$C$21)),"")</f>
        <v/>
      </c>
      <c r="K1314" s="54" t="str">
        <f>IFERROR(IF(INDEX(SPOT_Import!$A$1:$Z$2488,1314,'Live Data'!$C$22)="","",INDEX(SPOT_Import!$A$1:$Z$2488,1314,'Live Data'!$C$22)),"")</f>
        <v/>
      </c>
      <c r="L1314" s="55" t="str">
        <f t="shared" si="40"/>
        <v/>
      </c>
      <c r="M1314" s="55" t="str">
        <f t="shared" si="41"/>
        <v/>
      </c>
      <c r="N1314" s="55" t="str">
        <f>IF(A1314="","",IFERROR(INDEX('Cluster Map'!$A$4:$A$38,MATCH(M1314,'Cluster Map'!$B$4:$B$38,0)),"Unmapped"))</f>
        <v/>
      </c>
      <c r="O1314" s="55">
        <f>IF(A1314="",0,IF(COUNTIFS($A$2:A1314,A1314,$F$2:F1314,F1314,$L$2:L1314,L1314)=1,1,0))</f>
        <v>0</v>
      </c>
      <c r="P1314" s="55">
        <f>IF(A1314="",0,IF(AND(F1314="C&amp;T",COUNTIFS($A$2:A1314,A1314,$F$2:F1314,"C&amp;T")=1),1,0))</f>
        <v>0</v>
      </c>
    </row>
    <row r="1315" spans="1:16" x14ac:dyDescent="0.35">
      <c r="A1315" s="54" t="str">
        <f>IFERROR(IF(INDEX(SPOT_Import!$A$1:$Z$2488,1315,'Live Data'!$C$12)="","",INDEX(SPOT_Import!$A$1:$Z$2488,1315,'Live Data'!$C$12)),"")</f>
        <v/>
      </c>
      <c r="B1315" s="54" t="str">
        <f>IFERROR(IF(INDEX(SPOT_Import!$A$1:$Z$2488,1315,'Live Data'!$C$13)="","",INDEX(SPOT_Import!$A$1:$Z$2488,1315,'Live Data'!$C$13)),"")</f>
        <v/>
      </c>
      <c r="C1315" s="54" t="str">
        <f>IFERROR(IF(INDEX(SPOT_Import!$A$1:$Z$2488,1315,'Live Data'!$C$14)="","",INDEX(SPOT_Import!$A$1:$Z$2488,1315,'Live Data'!$C$14)),"")</f>
        <v/>
      </c>
      <c r="D1315" s="54" t="str">
        <f>IFERROR(IF(INDEX(SPOT_Import!$A$1:$Z$2488,1315,'Live Data'!$C$15)="","",INDEX(SPOT_Import!$A$1:$Z$2488,1315,'Live Data'!$C$15)),"")</f>
        <v/>
      </c>
      <c r="E1315" s="54" t="str">
        <f>IFERROR(IF(INDEX(SPOT_Import!$A$1:$Z$2488,1315,'Live Data'!$C$16)="","",INDEX(SPOT_Import!$A$1:$Z$2488,1315,'Live Data'!$C$16)),"")</f>
        <v/>
      </c>
      <c r="F1315" s="54" t="str">
        <f>IFERROR(IF(INDEX(SPOT_Import!$A$1:$Z$2488,1315,'Live Data'!$C$17)="","",INDEX(SPOT_Import!$A$1:$Z$2488,1315,'Live Data'!$C$17)),"")</f>
        <v/>
      </c>
      <c r="G1315" s="54" t="str">
        <f>IFERROR(IF(INDEX(SPOT_Import!$A$1:$Z$2488,1315,'Live Data'!$C$18)="","",INDEX(SPOT_Import!$A$1:$Z$2488,1315,'Live Data'!$C$18)),"")</f>
        <v/>
      </c>
      <c r="H1315" s="54" t="str">
        <f>IFERROR(IF(INDEX(SPOT_Import!$A$1:$Z$2488,1315,'Live Data'!$C$19)="","",INDEX(SPOT_Import!$A$1:$Z$2488,1315,'Live Data'!$C$19)),"")</f>
        <v/>
      </c>
      <c r="I1315" s="54" t="str">
        <f>IFERROR(IF(INDEX(SPOT_Import!$A$1:$Z$2488,1315,'Live Data'!$C$20)="","",INDEX(SPOT_Import!$A$1:$Z$2488,1315,'Live Data'!$C$20)),"")</f>
        <v/>
      </c>
      <c r="J1315" s="54" t="str">
        <f>IFERROR(IF(INDEX(SPOT_Import!$A$1:$Z$2488,1315,'Live Data'!$C$21)="","",INDEX(SPOT_Import!$A$1:$Z$2488,1315,'Live Data'!$C$21)),"")</f>
        <v/>
      </c>
      <c r="K1315" s="54" t="str">
        <f>IFERROR(IF(INDEX(SPOT_Import!$A$1:$Z$2488,1315,'Live Data'!$C$22)="","",INDEX(SPOT_Import!$A$1:$Z$2488,1315,'Live Data'!$C$22)),"")</f>
        <v/>
      </c>
      <c r="L1315" s="55" t="str">
        <f t="shared" si="40"/>
        <v/>
      </c>
      <c r="M1315" s="55" t="str">
        <f t="shared" si="41"/>
        <v/>
      </c>
      <c r="N1315" s="55" t="str">
        <f>IF(A1315="","",IFERROR(INDEX('Cluster Map'!$A$4:$A$38,MATCH(M1315,'Cluster Map'!$B$4:$B$38,0)),"Unmapped"))</f>
        <v/>
      </c>
      <c r="O1315" s="55">
        <f>IF(A1315="",0,IF(COUNTIFS($A$2:A1315,A1315,$F$2:F1315,F1315,$L$2:L1315,L1315)=1,1,0))</f>
        <v>0</v>
      </c>
      <c r="P1315" s="55">
        <f>IF(A1315="",0,IF(AND(F1315="C&amp;T",COUNTIFS($A$2:A1315,A1315,$F$2:F1315,"C&amp;T")=1),1,0))</f>
        <v>0</v>
      </c>
    </row>
    <row r="1316" spans="1:16" x14ac:dyDescent="0.35">
      <c r="A1316" s="54" t="str">
        <f>IFERROR(IF(INDEX(SPOT_Import!$A$1:$Z$2488,1316,'Live Data'!$C$12)="","",INDEX(SPOT_Import!$A$1:$Z$2488,1316,'Live Data'!$C$12)),"")</f>
        <v/>
      </c>
      <c r="B1316" s="54" t="str">
        <f>IFERROR(IF(INDEX(SPOT_Import!$A$1:$Z$2488,1316,'Live Data'!$C$13)="","",INDEX(SPOT_Import!$A$1:$Z$2488,1316,'Live Data'!$C$13)),"")</f>
        <v/>
      </c>
      <c r="C1316" s="54" t="str">
        <f>IFERROR(IF(INDEX(SPOT_Import!$A$1:$Z$2488,1316,'Live Data'!$C$14)="","",INDEX(SPOT_Import!$A$1:$Z$2488,1316,'Live Data'!$C$14)),"")</f>
        <v/>
      </c>
      <c r="D1316" s="54" t="str">
        <f>IFERROR(IF(INDEX(SPOT_Import!$A$1:$Z$2488,1316,'Live Data'!$C$15)="","",INDEX(SPOT_Import!$A$1:$Z$2488,1316,'Live Data'!$C$15)),"")</f>
        <v/>
      </c>
      <c r="E1316" s="54" t="str">
        <f>IFERROR(IF(INDEX(SPOT_Import!$A$1:$Z$2488,1316,'Live Data'!$C$16)="","",INDEX(SPOT_Import!$A$1:$Z$2488,1316,'Live Data'!$C$16)),"")</f>
        <v/>
      </c>
      <c r="F1316" s="54" t="str">
        <f>IFERROR(IF(INDEX(SPOT_Import!$A$1:$Z$2488,1316,'Live Data'!$C$17)="","",INDEX(SPOT_Import!$A$1:$Z$2488,1316,'Live Data'!$C$17)),"")</f>
        <v/>
      </c>
      <c r="G1316" s="54" t="str">
        <f>IFERROR(IF(INDEX(SPOT_Import!$A$1:$Z$2488,1316,'Live Data'!$C$18)="","",INDEX(SPOT_Import!$A$1:$Z$2488,1316,'Live Data'!$C$18)),"")</f>
        <v/>
      </c>
      <c r="H1316" s="54" t="str">
        <f>IFERROR(IF(INDEX(SPOT_Import!$A$1:$Z$2488,1316,'Live Data'!$C$19)="","",INDEX(SPOT_Import!$A$1:$Z$2488,1316,'Live Data'!$C$19)),"")</f>
        <v/>
      </c>
      <c r="I1316" s="54" t="str">
        <f>IFERROR(IF(INDEX(SPOT_Import!$A$1:$Z$2488,1316,'Live Data'!$C$20)="","",INDEX(SPOT_Import!$A$1:$Z$2488,1316,'Live Data'!$C$20)),"")</f>
        <v/>
      </c>
      <c r="J1316" s="54" t="str">
        <f>IFERROR(IF(INDEX(SPOT_Import!$A$1:$Z$2488,1316,'Live Data'!$C$21)="","",INDEX(SPOT_Import!$A$1:$Z$2488,1316,'Live Data'!$C$21)),"")</f>
        <v/>
      </c>
      <c r="K1316" s="54" t="str">
        <f>IFERROR(IF(INDEX(SPOT_Import!$A$1:$Z$2488,1316,'Live Data'!$C$22)="","",INDEX(SPOT_Import!$A$1:$Z$2488,1316,'Live Data'!$C$22)),"")</f>
        <v/>
      </c>
      <c r="L1316" s="55" t="str">
        <f t="shared" si="40"/>
        <v/>
      </c>
      <c r="M1316" s="55" t="str">
        <f t="shared" si="41"/>
        <v/>
      </c>
      <c r="N1316" s="55" t="str">
        <f>IF(A1316="","",IFERROR(INDEX('Cluster Map'!$A$4:$A$38,MATCH(M1316,'Cluster Map'!$B$4:$B$38,0)),"Unmapped"))</f>
        <v/>
      </c>
      <c r="O1316" s="55">
        <f>IF(A1316="",0,IF(COUNTIFS($A$2:A1316,A1316,$F$2:F1316,F1316,$L$2:L1316,L1316)=1,1,0))</f>
        <v>0</v>
      </c>
      <c r="P1316" s="55">
        <f>IF(A1316="",0,IF(AND(F1316="C&amp;T",COUNTIFS($A$2:A1316,A1316,$F$2:F1316,"C&amp;T")=1),1,0))</f>
        <v>0</v>
      </c>
    </row>
    <row r="1317" spans="1:16" x14ac:dyDescent="0.35">
      <c r="A1317" s="54" t="str">
        <f>IFERROR(IF(INDEX(SPOT_Import!$A$1:$Z$2488,1317,'Live Data'!$C$12)="","",INDEX(SPOT_Import!$A$1:$Z$2488,1317,'Live Data'!$C$12)),"")</f>
        <v/>
      </c>
      <c r="B1317" s="54" t="str">
        <f>IFERROR(IF(INDEX(SPOT_Import!$A$1:$Z$2488,1317,'Live Data'!$C$13)="","",INDEX(SPOT_Import!$A$1:$Z$2488,1317,'Live Data'!$C$13)),"")</f>
        <v/>
      </c>
      <c r="C1317" s="54" t="str">
        <f>IFERROR(IF(INDEX(SPOT_Import!$A$1:$Z$2488,1317,'Live Data'!$C$14)="","",INDEX(SPOT_Import!$A$1:$Z$2488,1317,'Live Data'!$C$14)),"")</f>
        <v/>
      </c>
      <c r="D1317" s="54" t="str">
        <f>IFERROR(IF(INDEX(SPOT_Import!$A$1:$Z$2488,1317,'Live Data'!$C$15)="","",INDEX(SPOT_Import!$A$1:$Z$2488,1317,'Live Data'!$C$15)),"")</f>
        <v/>
      </c>
      <c r="E1317" s="54" t="str">
        <f>IFERROR(IF(INDEX(SPOT_Import!$A$1:$Z$2488,1317,'Live Data'!$C$16)="","",INDEX(SPOT_Import!$A$1:$Z$2488,1317,'Live Data'!$C$16)),"")</f>
        <v/>
      </c>
      <c r="F1317" s="54" t="str">
        <f>IFERROR(IF(INDEX(SPOT_Import!$A$1:$Z$2488,1317,'Live Data'!$C$17)="","",INDEX(SPOT_Import!$A$1:$Z$2488,1317,'Live Data'!$C$17)),"")</f>
        <v/>
      </c>
      <c r="G1317" s="54" t="str">
        <f>IFERROR(IF(INDEX(SPOT_Import!$A$1:$Z$2488,1317,'Live Data'!$C$18)="","",INDEX(SPOT_Import!$A$1:$Z$2488,1317,'Live Data'!$C$18)),"")</f>
        <v/>
      </c>
      <c r="H1317" s="54" t="str">
        <f>IFERROR(IF(INDEX(SPOT_Import!$A$1:$Z$2488,1317,'Live Data'!$C$19)="","",INDEX(SPOT_Import!$A$1:$Z$2488,1317,'Live Data'!$C$19)),"")</f>
        <v/>
      </c>
      <c r="I1317" s="54" t="str">
        <f>IFERROR(IF(INDEX(SPOT_Import!$A$1:$Z$2488,1317,'Live Data'!$C$20)="","",INDEX(SPOT_Import!$A$1:$Z$2488,1317,'Live Data'!$C$20)),"")</f>
        <v/>
      </c>
      <c r="J1317" s="54" t="str">
        <f>IFERROR(IF(INDEX(SPOT_Import!$A$1:$Z$2488,1317,'Live Data'!$C$21)="","",INDEX(SPOT_Import!$A$1:$Z$2488,1317,'Live Data'!$C$21)),"")</f>
        <v/>
      </c>
      <c r="K1317" s="54" t="str">
        <f>IFERROR(IF(INDEX(SPOT_Import!$A$1:$Z$2488,1317,'Live Data'!$C$22)="","",INDEX(SPOT_Import!$A$1:$Z$2488,1317,'Live Data'!$C$22)),"")</f>
        <v/>
      </c>
      <c r="L1317" s="55" t="str">
        <f t="shared" si="40"/>
        <v/>
      </c>
      <c r="M1317" s="55" t="str">
        <f t="shared" si="41"/>
        <v/>
      </c>
      <c r="N1317" s="55" t="str">
        <f>IF(A1317="","",IFERROR(INDEX('Cluster Map'!$A$4:$A$38,MATCH(M1317,'Cluster Map'!$B$4:$B$38,0)),"Unmapped"))</f>
        <v/>
      </c>
      <c r="O1317" s="55">
        <f>IF(A1317="",0,IF(COUNTIFS($A$2:A1317,A1317,$F$2:F1317,F1317,$L$2:L1317,L1317)=1,1,0))</f>
        <v>0</v>
      </c>
      <c r="P1317" s="55">
        <f>IF(A1317="",0,IF(AND(F1317="C&amp;T",COUNTIFS($A$2:A1317,A1317,$F$2:F1317,"C&amp;T")=1),1,0))</f>
        <v>0</v>
      </c>
    </row>
    <row r="1318" spans="1:16" x14ac:dyDescent="0.35">
      <c r="A1318" s="54" t="str">
        <f>IFERROR(IF(INDEX(SPOT_Import!$A$1:$Z$2488,1318,'Live Data'!$C$12)="","",INDEX(SPOT_Import!$A$1:$Z$2488,1318,'Live Data'!$C$12)),"")</f>
        <v/>
      </c>
      <c r="B1318" s="54" t="str">
        <f>IFERROR(IF(INDEX(SPOT_Import!$A$1:$Z$2488,1318,'Live Data'!$C$13)="","",INDEX(SPOT_Import!$A$1:$Z$2488,1318,'Live Data'!$C$13)),"")</f>
        <v/>
      </c>
      <c r="C1318" s="54" t="str">
        <f>IFERROR(IF(INDEX(SPOT_Import!$A$1:$Z$2488,1318,'Live Data'!$C$14)="","",INDEX(SPOT_Import!$A$1:$Z$2488,1318,'Live Data'!$C$14)),"")</f>
        <v/>
      </c>
      <c r="D1318" s="54" t="str">
        <f>IFERROR(IF(INDEX(SPOT_Import!$A$1:$Z$2488,1318,'Live Data'!$C$15)="","",INDEX(SPOT_Import!$A$1:$Z$2488,1318,'Live Data'!$C$15)),"")</f>
        <v/>
      </c>
      <c r="E1318" s="54" t="str">
        <f>IFERROR(IF(INDEX(SPOT_Import!$A$1:$Z$2488,1318,'Live Data'!$C$16)="","",INDEX(SPOT_Import!$A$1:$Z$2488,1318,'Live Data'!$C$16)),"")</f>
        <v/>
      </c>
      <c r="F1318" s="54" t="str">
        <f>IFERROR(IF(INDEX(SPOT_Import!$A$1:$Z$2488,1318,'Live Data'!$C$17)="","",INDEX(SPOT_Import!$A$1:$Z$2488,1318,'Live Data'!$C$17)),"")</f>
        <v/>
      </c>
      <c r="G1318" s="54" t="str">
        <f>IFERROR(IF(INDEX(SPOT_Import!$A$1:$Z$2488,1318,'Live Data'!$C$18)="","",INDEX(SPOT_Import!$A$1:$Z$2488,1318,'Live Data'!$C$18)),"")</f>
        <v/>
      </c>
      <c r="H1318" s="54" t="str">
        <f>IFERROR(IF(INDEX(SPOT_Import!$A$1:$Z$2488,1318,'Live Data'!$C$19)="","",INDEX(SPOT_Import!$A$1:$Z$2488,1318,'Live Data'!$C$19)),"")</f>
        <v/>
      </c>
      <c r="I1318" s="54" t="str">
        <f>IFERROR(IF(INDEX(SPOT_Import!$A$1:$Z$2488,1318,'Live Data'!$C$20)="","",INDEX(SPOT_Import!$A$1:$Z$2488,1318,'Live Data'!$C$20)),"")</f>
        <v/>
      </c>
      <c r="J1318" s="54" t="str">
        <f>IFERROR(IF(INDEX(SPOT_Import!$A$1:$Z$2488,1318,'Live Data'!$C$21)="","",INDEX(SPOT_Import!$A$1:$Z$2488,1318,'Live Data'!$C$21)),"")</f>
        <v/>
      </c>
      <c r="K1318" s="54" t="str">
        <f>IFERROR(IF(INDEX(SPOT_Import!$A$1:$Z$2488,1318,'Live Data'!$C$22)="","",INDEX(SPOT_Import!$A$1:$Z$2488,1318,'Live Data'!$C$22)),"")</f>
        <v/>
      </c>
      <c r="L1318" s="55" t="str">
        <f t="shared" si="40"/>
        <v/>
      </c>
      <c r="M1318" s="55" t="str">
        <f t="shared" si="41"/>
        <v/>
      </c>
      <c r="N1318" s="55" t="str">
        <f>IF(A1318="","",IFERROR(INDEX('Cluster Map'!$A$4:$A$38,MATCH(M1318,'Cluster Map'!$B$4:$B$38,0)),"Unmapped"))</f>
        <v/>
      </c>
      <c r="O1318" s="55">
        <f>IF(A1318="",0,IF(COUNTIFS($A$2:A1318,A1318,$F$2:F1318,F1318,$L$2:L1318,L1318)=1,1,0))</f>
        <v>0</v>
      </c>
      <c r="P1318" s="55">
        <f>IF(A1318="",0,IF(AND(F1318="C&amp;T",COUNTIFS($A$2:A1318,A1318,$F$2:F1318,"C&amp;T")=1),1,0))</f>
        <v>0</v>
      </c>
    </row>
    <row r="1319" spans="1:16" x14ac:dyDescent="0.35">
      <c r="A1319" s="54" t="str">
        <f>IFERROR(IF(INDEX(SPOT_Import!$A$1:$Z$2488,1319,'Live Data'!$C$12)="","",INDEX(SPOT_Import!$A$1:$Z$2488,1319,'Live Data'!$C$12)),"")</f>
        <v/>
      </c>
      <c r="B1319" s="54" t="str">
        <f>IFERROR(IF(INDEX(SPOT_Import!$A$1:$Z$2488,1319,'Live Data'!$C$13)="","",INDEX(SPOT_Import!$A$1:$Z$2488,1319,'Live Data'!$C$13)),"")</f>
        <v/>
      </c>
      <c r="C1319" s="54" t="str">
        <f>IFERROR(IF(INDEX(SPOT_Import!$A$1:$Z$2488,1319,'Live Data'!$C$14)="","",INDEX(SPOT_Import!$A$1:$Z$2488,1319,'Live Data'!$C$14)),"")</f>
        <v/>
      </c>
      <c r="D1319" s="54" t="str">
        <f>IFERROR(IF(INDEX(SPOT_Import!$A$1:$Z$2488,1319,'Live Data'!$C$15)="","",INDEX(SPOT_Import!$A$1:$Z$2488,1319,'Live Data'!$C$15)),"")</f>
        <v/>
      </c>
      <c r="E1319" s="54" t="str">
        <f>IFERROR(IF(INDEX(SPOT_Import!$A$1:$Z$2488,1319,'Live Data'!$C$16)="","",INDEX(SPOT_Import!$A$1:$Z$2488,1319,'Live Data'!$C$16)),"")</f>
        <v/>
      </c>
      <c r="F1319" s="54" t="str">
        <f>IFERROR(IF(INDEX(SPOT_Import!$A$1:$Z$2488,1319,'Live Data'!$C$17)="","",INDEX(SPOT_Import!$A$1:$Z$2488,1319,'Live Data'!$C$17)),"")</f>
        <v/>
      </c>
      <c r="G1319" s="54" t="str">
        <f>IFERROR(IF(INDEX(SPOT_Import!$A$1:$Z$2488,1319,'Live Data'!$C$18)="","",INDEX(SPOT_Import!$A$1:$Z$2488,1319,'Live Data'!$C$18)),"")</f>
        <v/>
      </c>
      <c r="H1319" s="54" t="str">
        <f>IFERROR(IF(INDEX(SPOT_Import!$A$1:$Z$2488,1319,'Live Data'!$C$19)="","",INDEX(SPOT_Import!$A$1:$Z$2488,1319,'Live Data'!$C$19)),"")</f>
        <v/>
      </c>
      <c r="I1319" s="54" t="str">
        <f>IFERROR(IF(INDEX(SPOT_Import!$A$1:$Z$2488,1319,'Live Data'!$C$20)="","",INDEX(SPOT_Import!$A$1:$Z$2488,1319,'Live Data'!$C$20)),"")</f>
        <v/>
      </c>
      <c r="J1319" s="54" t="str">
        <f>IFERROR(IF(INDEX(SPOT_Import!$A$1:$Z$2488,1319,'Live Data'!$C$21)="","",INDEX(SPOT_Import!$A$1:$Z$2488,1319,'Live Data'!$C$21)),"")</f>
        <v/>
      </c>
      <c r="K1319" s="54" t="str">
        <f>IFERROR(IF(INDEX(SPOT_Import!$A$1:$Z$2488,1319,'Live Data'!$C$22)="","",INDEX(SPOT_Import!$A$1:$Z$2488,1319,'Live Data'!$C$22)),"")</f>
        <v/>
      </c>
      <c r="L1319" s="55" t="str">
        <f t="shared" si="40"/>
        <v/>
      </c>
      <c r="M1319" s="55" t="str">
        <f t="shared" si="41"/>
        <v/>
      </c>
      <c r="N1319" s="55" t="str">
        <f>IF(A1319="","",IFERROR(INDEX('Cluster Map'!$A$4:$A$38,MATCH(M1319,'Cluster Map'!$B$4:$B$38,0)),"Unmapped"))</f>
        <v/>
      </c>
      <c r="O1319" s="55">
        <f>IF(A1319="",0,IF(COUNTIFS($A$2:A1319,A1319,$F$2:F1319,F1319,$L$2:L1319,L1319)=1,1,0))</f>
        <v>0</v>
      </c>
      <c r="P1319" s="55">
        <f>IF(A1319="",0,IF(AND(F1319="C&amp;T",COUNTIFS($A$2:A1319,A1319,$F$2:F1319,"C&amp;T")=1),1,0))</f>
        <v>0</v>
      </c>
    </row>
    <row r="1320" spans="1:16" x14ac:dyDescent="0.35">
      <c r="A1320" s="54" t="str">
        <f>IFERROR(IF(INDEX(SPOT_Import!$A$1:$Z$2488,1320,'Live Data'!$C$12)="","",INDEX(SPOT_Import!$A$1:$Z$2488,1320,'Live Data'!$C$12)),"")</f>
        <v/>
      </c>
      <c r="B1320" s="54" t="str">
        <f>IFERROR(IF(INDEX(SPOT_Import!$A$1:$Z$2488,1320,'Live Data'!$C$13)="","",INDEX(SPOT_Import!$A$1:$Z$2488,1320,'Live Data'!$C$13)),"")</f>
        <v/>
      </c>
      <c r="C1320" s="54" t="str">
        <f>IFERROR(IF(INDEX(SPOT_Import!$A$1:$Z$2488,1320,'Live Data'!$C$14)="","",INDEX(SPOT_Import!$A$1:$Z$2488,1320,'Live Data'!$C$14)),"")</f>
        <v/>
      </c>
      <c r="D1320" s="54" t="str">
        <f>IFERROR(IF(INDEX(SPOT_Import!$A$1:$Z$2488,1320,'Live Data'!$C$15)="","",INDEX(SPOT_Import!$A$1:$Z$2488,1320,'Live Data'!$C$15)),"")</f>
        <v/>
      </c>
      <c r="E1320" s="54" t="str">
        <f>IFERROR(IF(INDEX(SPOT_Import!$A$1:$Z$2488,1320,'Live Data'!$C$16)="","",INDEX(SPOT_Import!$A$1:$Z$2488,1320,'Live Data'!$C$16)),"")</f>
        <v/>
      </c>
      <c r="F1320" s="54" t="str">
        <f>IFERROR(IF(INDEX(SPOT_Import!$A$1:$Z$2488,1320,'Live Data'!$C$17)="","",INDEX(SPOT_Import!$A$1:$Z$2488,1320,'Live Data'!$C$17)),"")</f>
        <v/>
      </c>
      <c r="G1320" s="54" t="str">
        <f>IFERROR(IF(INDEX(SPOT_Import!$A$1:$Z$2488,1320,'Live Data'!$C$18)="","",INDEX(SPOT_Import!$A$1:$Z$2488,1320,'Live Data'!$C$18)),"")</f>
        <v/>
      </c>
      <c r="H1320" s="54" t="str">
        <f>IFERROR(IF(INDEX(SPOT_Import!$A$1:$Z$2488,1320,'Live Data'!$C$19)="","",INDEX(SPOT_Import!$A$1:$Z$2488,1320,'Live Data'!$C$19)),"")</f>
        <v/>
      </c>
      <c r="I1320" s="54" t="str">
        <f>IFERROR(IF(INDEX(SPOT_Import!$A$1:$Z$2488,1320,'Live Data'!$C$20)="","",INDEX(SPOT_Import!$A$1:$Z$2488,1320,'Live Data'!$C$20)),"")</f>
        <v/>
      </c>
      <c r="J1320" s="54" t="str">
        <f>IFERROR(IF(INDEX(SPOT_Import!$A$1:$Z$2488,1320,'Live Data'!$C$21)="","",INDEX(SPOT_Import!$A$1:$Z$2488,1320,'Live Data'!$C$21)),"")</f>
        <v/>
      </c>
      <c r="K1320" s="54" t="str">
        <f>IFERROR(IF(INDEX(SPOT_Import!$A$1:$Z$2488,1320,'Live Data'!$C$22)="","",INDEX(SPOT_Import!$A$1:$Z$2488,1320,'Live Data'!$C$22)),"")</f>
        <v/>
      </c>
      <c r="L1320" s="55" t="str">
        <f t="shared" si="40"/>
        <v/>
      </c>
      <c r="M1320" s="55" t="str">
        <f t="shared" si="41"/>
        <v/>
      </c>
      <c r="N1320" s="55" t="str">
        <f>IF(A1320="","",IFERROR(INDEX('Cluster Map'!$A$4:$A$38,MATCH(M1320,'Cluster Map'!$B$4:$B$38,0)),"Unmapped"))</f>
        <v/>
      </c>
      <c r="O1320" s="55">
        <f>IF(A1320="",0,IF(COUNTIFS($A$2:A1320,A1320,$F$2:F1320,F1320,$L$2:L1320,L1320)=1,1,0))</f>
        <v>0</v>
      </c>
      <c r="P1320" s="55">
        <f>IF(A1320="",0,IF(AND(F1320="C&amp;T",COUNTIFS($A$2:A1320,A1320,$F$2:F1320,"C&amp;T")=1),1,0))</f>
        <v>0</v>
      </c>
    </row>
    <row r="1321" spans="1:16" x14ac:dyDescent="0.35">
      <c r="A1321" s="54" t="str">
        <f>IFERROR(IF(INDEX(SPOT_Import!$A$1:$Z$2488,1321,'Live Data'!$C$12)="","",INDEX(SPOT_Import!$A$1:$Z$2488,1321,'Live Data'!$C$12)),"")</f>
        <v/>
      </c>
      <c r="B1321" s="54" t="str">
        <f>IFERROR(IF(INDEX(SPOT_Import!$A$1:$Z$2488,1321,'Live Data'!$C$13)="","",INDEX(SPOT_Import!$A$1:$Z$2488,1321,'Live Data'!$C$13)),"")</f>
        <v/>
      </c>
      <c r="C1321" s="54" t="str">
        <f>IFERROR(IF(INDEX(SPOT_Import!$A$1:$Z$2488,1321,'Live Data'!$C$14)="","",INDEX(SPOT_Import!$A$1:$Z$2488,1321,'Live Data'!$C$14)),"")</f>
        <v/>
      </c>
      <c r="D1321" s="54" t="str">
        <f>IFERROR(IF(INDEX(SPOT_Import!$A$1:$Z$2488,1321,'Live Data'!$C$15)="","",INDEX(SPOT_Import!$A$1:$Z$2488,1321,'Live Data'!$C$15)),"")</f>
        <v/>
      </c>
      <c r="E1321" s="54" t="str">
        <f>IFERROR(IF(INDEX(SPOT_Import!$A$1:$Z$2488,1321,'Live Data'!$C$16)="","",INDEX(SPOT_Import!$A$1:$Z$2488,1321,'Live Data'!$C$16)),"")</f>
        <v/>
      </c>
      <c r="F1321" s="54" t="str">
        <f>IFERROR(IF(INDEX(SPOT_Import!$A$1:$Z$2488,1321,'Live Data'!$C$17)="","",INDEX(SPOT_Import!$A$1:$Z$2488,1321,'Live Data'!$C$17)),"")</f>
        <v/>
      </c>
      <c r="G1321" s="54" t="str">
        <f>IFERROR(IF(INDEX(SPOT_Import!$A$1:$Z$2488,1321,'Live Data'!$C$18)="","",INDEX(SPOT_Import!$A$1:$Z$2488,1321,'Live Data'!$C$18)),"")</f>
        <v/>
      </c>
      <c r="H1321" s="54" t="str">
        <f>IFERROR(IF(INDEX(SPOT_Import!$A$1:$Z$2488,1321,'Live Data'!$C$19)="","",INDEX(SPOT_Import!$A$1:$Z$2488,1321,'Live Data'!$C$19)),"")</f>
        <v/>
      </c>
      <c r="I1321" s="54" t="str">
        <f>IFERROR(IF(INDEX(SPOT_Import!$A$1:$Z$2488,1321,'Live Data'!$C$20)="","",INDEX(SPOT_Import!$A$1:$Z$2488,1321,'Live Data'!$C$20)),"")</f>
        <v/>
      </c>
      <c r="J1321" s="54" t="str">
        <f>IFERROR(IF(INDEX(SPOT_Import!$A$1:$Z$2488,1321,'Live Data'!$C$21)="","",INDEX(SPOT_Import!$A$1:$Z$2488,1321,'Live Data'!$C$21)),"")</f>
        <v/>
      </c>
      <c r="K1321" s="54" t="str">
        <f>IFERROR(IF(INDEX(SPOT_Import!$A$1:$Z$2488,1321,'Live Data'!$C$22)="","",INDEX(SPOT_Import!$A$1:$Z$2488,1321,'Live Data'!$C$22)),"")</f>
        <v/>
      </c>
      <c r="L1321" s="55" t="str">
        <f t="shared" si="40"/>
        <v/>
      </c>
      <c r="M1321" s="55" t="str">
        <f t="shared" si="41"/>
        <v/>
      </c>
      <c r="N1321" s="55" t="str">
        <f>IF(A1321="","",IFERROR(INDEX('Cluster Map'!$A$4:$A$38,MATCH(M1321,'Cluster Map'!$B$4:$B$38,0)),"Unmapped"))</f>
        <v/>
      </c>
      <c r="O1321" s="55">
        <f>IF(A1321="",0,IF(COUNTIFS($A$2:A1321,A1321,$F$2:F1321,F1321,$L$2:L1321,L1321)=1,1,0))</f>
        <v>0</v>
      </c>
      <c r="P1321" s="55">
        <f>IF(A1321="",0,IF(AND(F1321="C&amp;T",COUNTIFS($A$2:A1321,A1321,$F$2:F1321,"C&amp;T")=1),1,0))</f>
        <v>0</v>
      </c>
    </row>
    <row r="1322" spans="1:16" x14ac:dyDescent="0.35">
      <c r="A1322" s="54" t="str">
        <f>IFERROR(IF(INDEX(SPOT_Import!$A$1:$Z$2488,1322,'Live Data'!$C$12)="","",INDEX(SPOT_Import!$A$1:$Z$2488,1322,'Live Data'!$C$12)),"")</f>
        <v/>
      </c>
      <c r="B1322" s="54" t="str">
        <f>IFERROR(IF(INDEX(SPOT_Import!$A$1:$Z$2488,1322,'Live Data'!$C$13)="","",INDEX(SPOT_Import!$A$1:$Z$2488,1322,'Live Data'!$C$13)),"")</f>
        <v/>
      </c>
      <c r="C1322" s="54" t="str">
        <f>IFERROR(IF(INDEX(SPOT_Import!$A$1:$Z$2488,1322,'Live Data'!$C$14)="","",INDEX(SPOT_Import!$A$1:$Z$2488,1322,'Live Data'!$C$14)),"")</f>
        <v/>
      </c>
      <c r="D1322" s="54" t="str">
        <f>IFERROR(IF(INDEX(SPOT_Import!$A$1:$Z$2488,1322,'Live Data'!$C$15)="","",INDEX(SPOT_Import!$A$1:$Z$2488,1322,'Live Data'!$C$15)),"")</f>
        <v/>
      </c>
      <c r="E1322" s="54" t="str">
        <f>IFERROR(IF(INDEX(SPOT_Import!$A$1:$Z$2488,1322,'Live Data'!$C$16)="","",INDEX(SPOT_Import!$A$1:$Z$2488,1322,'Live Data'!$C$16)),"")</f>
        <v/>
      </c>
      <c r="F1322" s="54" t="str">
        <f>IFERROR(IF(INDEX(SPOT_Import!$A$1:$Z$2488,1322,'Live Data'!$C$17)="","",INDEX(SPOT_Import!$A$1:$Z$2488,1322,'Live Data'!$C$17)),"")</f>
        <v/>
      </c>
      <c r="G1322" s="54" t="str">
        <f>IFERROR(IF(INDEX(SPOT_Import!$A$1:$Z$2488,1322,'Live Data'!$C$18)="","",INDEX(SPOT_Import!$A$1:$Z$2488,1322,'Live Data'!$C$18)),"")</f>
        <v/>
      </c>
      <c r="H1322" s="54" t="str">
        <f>IFERROR(IF(INDEX(SPOT_Import!$A$1:$Z$2488,1322,'Live Data'!$C$19)="","",INDEX(SPOT_Import!$A$1:$Z$2488,1322,'Live Data'!$C$19)),"")</f>
        <v/>
      </c>
      <c r="I1322" s="54" t="str">
        <f>IFERROR(IF(INDEX(SPOT_Import!$A$1:$Z$2488,1322,'Live Data'!$C$20)="","",INDEX(SPOT_Import!$A$1:$Z$2488,1322,'Live Data'!$C$20)),"")</f>
        <v/>
      </c>
      <c r="J1322" s="54" t="str">
        <f>IFERROR(IF(INDEX(SPOT_Import!$A$1:$Z$2488,1322,'Live Data'!$C$21)="","",INDEX(SPOT_Import!$A$1:$Z$2488,1322,'Live Data'!$C$21)),"")</f>
        <v/>
      </c>
      <c r="K1322" s="54" t="str">
        <f>IFERROR(IF(INDEX(SPOT_Import!$A$1:$Z$2488,1322,'Live Data'!$C$22)="","",INDEX(SPOT_Import!$A$1:$Z$2488,1322,'Live Data'!$C$22)),"")</f>
        <v/>
      </c>
      <c r="L1322" s="55" t="str">
        <f t="shared" si="40"/>
        <v/>
      </c>
      <c r="M1322" s="55" t="str">
        <f t="shared" si="41"/>
        <v/>
      </c>
      <c r="N1322" s="55" t="str">
        <f>IF(A1322="","",IFERROR(INDEX('Cluster Map'!$A$4:$A$38,MATCH(M1322,'Cluster Map'!$B$4:$B$38,0)),"Unmapped"))</f>
        <v/>
      </c>
      <c r="O1322" s="55">
        <f>IF(A1322="",0,IF(COUNTIFS($A$2:A1322,A1322,$F$2:F1322,F1322,$L$2:L1322,L1322)=1,1,0))</f>
        <v>0</v>
      </c>
      <c r="P1322" s="55">
        <f>IF(A1322="",0,IF(AND(F1322="C&amp;T",COUNTIFS($A$2:A1322,A1322,$F$2:F1322,"C&amp;T")=1),1,0))</f>
        <v>0</v>
      </c>
    </row>
    <row r="1323" spans="1:16" x14ac:dyDescent="0.35">
      <c r="A1323" s="54" t="str">
        <f>IFERROR(IF(INDEX(SPOT_Import!$A$1:$Z$2488,1323,'Live Data'!$C$12)="","",INDEX(SPOT_Import!$A$1:$Z$2488,1323,'Live Data'!$C$12)),"")</f>
        <v/>
      </c>
      <c r="B1323" s="54" t="str">
        <f>IFERROR(IF(INDEX(SPOT_Import!$A$1:$Z$2488,1323,'Live Data'!$C$13)="","",INDEX(SPOT_Import!$A$1:$Z$2488,1323,'Live Data'!$C$13)),"")</f>
        <v/>
      </c>
      <c r="C1323" s="54" t="str">
        <f>IFERROR(IF(INDEX(SPOT_Import!$A$1:$Z$2488,1323,'Live Data'!$C$14)="","",INDEX(SPOT_Import!$A$1:$Z$2488,1323,'Live Data'!$C$14)),"")</f>
        <v/>
      </c>
      <c r="D1323" s="54" t="str">
        <f>IFERROR(IF(INDEX(SPOT_Import!$A$1:$Z$2488,1323,'Live Data'!$C$15)="","",INDEX(SPOT_Import!$A$1:$Z$2488,1323,'Live Data'!$C$15)),"")</f>
        <v/>
      </c>
      <c r="E1323" s="54" t="str">
        <f>IFERROR(IF(INDEX(SPOT_Import!$A$1:$Z$2488,1323,'Live Data'!$C$16)="","",INDEX(SPOT_Import!$A$1:$Z$2488,1323,'Live Data'!$C$16)),"")</f>
        <v/>
      </c>
      <c r="F1323" s="54" t="str">
        <f>IFERROR(IF(INDEX(SPOT_Import!$A$1:$Z$2488,1323,'Live Data'!$C$17)="","",INDEX(SPOT_Import!$A$1:$Z$2488,1323,'Live Data'!$C$17)),"")</f>
        <v/>
      </c>
      <c r="G1323" s="54" t="str">
        <f>IFERROR(IF(INDEX(SPOT_Import!$A$1:$Z$2488,1323,'Live Data'!$C$18)="","",INDEX(SPOT_Import!$A$1:$Z$2488,1323,'Live Data'!$C$18)),"")</f>
        <v/>
      </c>
      <c r="H1323" s="54" t="str">
        <f>IFERROR(IF(INDEX(SPOT_Import!$A$1:$Z$2488,1323,'Live Data'!$C$19)="","",INDEX(SPOT_Import!$A$1:$Z$2488,1323,'Live Data'!$C$19)),"")</f>
        <v/>
      </c>
      <c r="I1323" s="54" t="str">
        <f>IFERROR(IF(INDEX(SPOT_Import!$A$1:$Z$2488,1323,'Live Data'!$C$20)="","",INDEX(SPOT_Import!$A$1:$Z$2488,1323,'Live Data'!$C$20)),"")</f>
        <v/>
      </c>
      <c r="J1323" s="54" t="str">
        <f>IFERROR(IF(INDEX(SPOT_Import!$A$1:$Z$2488,1323,'Live Data'!$C$21)="","",INDEX(SPOT_Import!$A$1:$Z$2488,1323,'Live Data'!$C$21)),"")</f>
        <v/>
      </c>
      <c r="K1323" s="54" t="str">
        <f>IFERROR(IF(INDEX(SPOT_Import!$A$1:$Z$2488,1323,'Live Data'!$C$22)="","",INDEX(SPOT_Import!$A$1:$Z$2488,1323,'Live Data'!$C$22)),"")</f>
        <v/>
      </c>
      <c r="L1323" s="55" t="str">
        <f t="shared" si="40"/>
        <v/>
      </c>
      <c r="M1323" s="55" t="str">
        <f t="shared" si="41"/>
        <v/>
      </c>
      <c r="N1323" s="55" t="str">
        <f>IF(A1323="","",IFERROR(INDEX('Cluster Map'!$A$4:$A$38,MATCH(M1323,'Cluster Map'!$B$4:$B$38,0)),"Unmapped"))</f>
        <v/>
      </c>
      <c r="O1323" s="55">
        <f>IF(A1323="",0,IF(COUNTIFS($A$2:A1323,A1323,$F$2:F1323,F1323,$L$2:L1323,L1323)=1,1,0))</f>
        <v>0</v>
      </c>
      <c r="P1323" s="55">
        <f>IF(A1323="",0,IF(AND(F1323="C&amp;T",COUNTIFS($A$2:A1323,A1323,$F$2:F1323,"C&amp;T")=1),1,0))</f>
        <v>0</v>
      </c>
    </row>
    <row r="1324" spans="1:16" x14ac:dyDescent="0.35">
      <c r="A1324" s="54" t="str">
        <f>IFERROR(IF(INDEX(SPOT_Import!$A$1:$Z$2488,1324,'Live Data'!$C$12)="","",INDEX(SPOT_Import!$A$1:$Z$2488,1324,'Live Data'!$C$12)),"")</f>
        <v/>
      </c>
      <c r="B1324" s="54" t="str">
        <f>IFERROR(IF(INDEX(SPOT_Import!$A$1:$Z$2488,1324,'Live Data'!$C$13)="","",INDEX(SPOT_Import!$A$1:$Z$2488,1324,'Live Data'!$C$13)),"")</f>
        <v/>
      </c>
      <c r="C1324" s="54" t="str">
        <f>IFERROR(IF(INDEX(SPOT_Import!$A$1:$Z$2488,1324,'Live Data'!$C$14)="","",INDEX(SPOT_Import!$A$1:$Z$2488,1324,'Live Data'!$C$14)),"")</f>
        <v/>
      </c>
      <c r="D1324" s="54" t="str">
        <f>IFERROR(IF(INDEX(SPOT_Import!$A$1:$Z$2488,1324,'Live Data'!$C$15)="","",INDEX(SPOT_Import!$A$1:$Z$2488,1324,'Live Data'!$C$15)),"")</f>
        <v/>
      </c>
      <c r="E1324" s="54" t="str">
        <f>IFERROR(IF(INDEX(SPOT_Import!$A$1:$Z$2488,1324,'Live Data'!$C$16)="","",INDEX(SPOT_Import!$A$1:$Z$2488,1324,'Live Data'!$C$16)),"")</f>
        <v/>
      </c>
      <c r="F1324" s="54" t="str">
        <f>IFERROR(IF(INDEX(SPOT_Import!$A$1:$Z$2488,1324,'Live Data'!$C$17)="","",INDEX(SPOT_Import!$A$1:$Z$2488,1324,'Live Data'!$C$17)),"")</f>
        <v/>
      </c>
      <c r="G1324" s="54" t="str">
        <f>IFERROR(IF(INDEX(SPOT_Import!$A$1:$Z$2488,1324,'Live Data'!$C$18)="","",INDEX(SPOT_Import!$A$1:$Z$2488,1324,'Live Data'!$C$18)),"")</f>
        <v/>
      </c>
      <c r="H1324" s="54" t="str">
        <f>IFERROR(IF(INDEX(SPOT_Import!$A$1:$Z$2488,1324,'Live Data'!$C$19)="","",INDEX(SPOT_Import!$A$1:$Z$2488,1324,'Live Data'!$C$19)),"")</f>
        <v/>
      </c>
      <c r="I1324" s="54" t="str">
        <f>IFERROR(IF(INDEX(SPOT_Import!$A$1:$Z$2488,1324,'Live Data'!$C$20)="","",INDEX(SPOT_Import!$A$1:$Z$2488,1324,'Live Data'!$C$20)),"")</f>
        <v/>
      </c>
      <c r="J1324" s="54" t="str">
        <f>IFERROR(IF(INDEX(SPOT_Import!$A$1:$Z$2488,1324,'Live Data'!$C$21)="","",INDEX(SPOT_Import!$A$1:$Z$2488,1324,'Live Data'!$C$21)),"")</f>
        <v/>
      </c>
      <c r="K1324" s="54" t="str">
        <f>IFERROR(IF(INDEX(SPOT_Import!$A$1:$Z$2488,1324,'Live Data'!$C$22)="","",INDEX(SPOT_Import!$A$1:$Z$2488,1324,'Live Data'!$C$22)),"")</f>
        <v/>
      </c>
      <c r="L1324" s="55" t="str">
        <f t="shared" si="40"/>
        <v/>
      </c>
      <c r="M1324" s="55" t="str">
        <f t="shared" si="41"/>
        <v/>
      </c>
      <c r="N1324" s="55" t="str">
        <f>IF(A1324="","",IFERROR(INDEX('Cluster Map'!$A$4:$A$38,MATCH(M1324,'Cluster Map'!$B$4:$B$38,0)),"Unmapped"))</f>
        <v/>
      </c>
      <c r="O1324" s="55">
        <f>IF(A1324="",0,IF(COUNTIFS($A$2:A1324,A1324,$F$2:F1324,F1324,$L$2:L1324,L1324)=1,1,0))</f>
        <v>0</v>
      </c>
      <c r="P1324" s="55">
        <f>IF(A1324="",0,IF(AND(F1324="C&amp;T",COUNTIFS($A$2:A1324,A1324,$F$2:F1324,"C&amp;T")=1),1,0))</f>
        <v>0</v>
      </c>
    </row>
    <row r="1325" spans="1:16" x14ac:dyDescent="0.35">
      <c r="A1325" s="54" t="str">
        <f>IFERROR(IF(INDEX(SPOT_Import!$A$1:$Z$2488,1325,'Live Data'!$C$12)="","",INDEX(SPOT_Import!$A$1:$Z$2488,1325,'Live Data'!$C$12)),"")</f>
        <v/>
      </c>
      <c r="B1325" s="54" t="str">
        <f>IFERROR(IF(INDEX(SPOT_Import!$A$1:$Z$2488,1325,'Live Data'!$C$13)="","",INDEX(SPOT_Import!$A$1:$Z$2488,1325,'Live Data'!$C$13)),"")</f>
        <v/>
      </c>
      <c r="C1325" s="54" t="str">
        <f>IFERROR(IF(INDEX(SPOT_Import!$A$1:$Z$2488,1325,'Live Data'!$C$14)="","",INDEX(SPOT_Import!$A$1:$Z$2488,1325,'Live Data'!$C$14)),"")</f>
        <v/>
      </c>
      <c r="D1325" s="54" t="str">
        <f>IFERROR(IF(INDEX(SPOT_Import!$A$1:$Z$2488,1325,'Live Data'!$C$15)="","",INDEX(SPOT_Import!$A$1:$Z$2488,1325,'Live Data'!$C$15)),"")</f>
        <v/>
      </c>
      <c r="E1325" s="54" t="str">
        <f>IFERROR(IF(INDEX(SPOT_Import!$A$1:$Z$2488,1325,'Live Data'!$C$16)="","",INDEX(SPOT_Import!$A$1:$Z$2488,1325,'Live Data'!$C$16)),"")</f>
        <v/>
      </c>
      <c r="F1325" s="54" t="str">
        <f>IFERROR(IF(INDEX(SPOT_Import!$A$1:$Z$2488,1325,'Live Data'!$C$17)="","",INDEX(SPOT_Import!$A$1:$Z$2488,1325,'Live Data'!$C$17)),"")</f>
        <v/>
      </c>
      <c r="G1325" s="54" t="str">
        <f>IFERROR(IF(INDEX(SPOT_Import!$A$1:$Z$2488,1325,'Live Data'!$C$18)="","",INDEX(SPOT_Import!$A$1:$Z$2488,1325,'Live Data'!$C$18)),"")</f>
        <v/>
      </c>
      <c r="H1325" s="54" t="str">
        <f>IFERROR(IF(INDEX(SPOT_Import!$A$1:$Z$2488,1325,'Live Data'!$C$19)="","",INDEX(SPOT_Import!$A$1:$Z$2488,1325,'Live Data'!$C$19)),"")</f>
        <v/>
      </c>
      <c r="I1325" s="54" t="str">
        <f>IFERROR(IF(INDEX(SPOT_Import!$A$1:$Z$2488,1325,'Live Data'!$C$20)="","",INDEX(SPOT_Import!$A$1:$Z$2488,1325,'Live Data'!$C$20)),"")</f>
        <v/>
      </c>
      <c r="J1325" s="54" t="str">
        <f>IFERROR(IF(INDEX(SPOT_Import!$A$1:$Z$2488,1325,'Live Data'!$C$21)="","",INDEX(SPOT_Import!$A$1:$Z$2488,1325,'Live Data'!$C$21)),"")</f>
        <v/>
      </c>
      <c r="K1325" s="54" t="str">
        <f>IFERROR(IF(INDEX(SPOT_Import!$A$1:$Z$2488,1325,'Live Data'!$C$22)="","",INDEX(SPOT_Import!$A$1:$Z$2488,1325,'Live Data'!$C$22)),"")</f>
        <v/>
      </c>
      <c r="L1325" s="55" t="str">
        <f t="shared" si="40"/>
        <v/>
      </c>
      <c r="M1325" s="55" t="str">
        <f t="shared" si="41"/>
        <v/>
      </c>
      <c r="N1325" s="55" t="str">
        <f>IF(A1325="","",IFERROR(INDEX('Cluster Map'!$A$4:$A$38,MATCH(M1325,'Cluster Map'!$B$4:$B$38,0)),"Unmapped"))</f>
        <v/>
      </c>
      <c r="O1325" s="55">
        <f>IF(A1325="",0,IF(COUNTIFS($A$2:A1325,A1325,$F$2:F1325,F1325,$L$2:L1325,L1325)=1,1,0))</f>
        <v>0</v>
      </c>
      <c r="P1325" s="55">
        <f>IF(A1325="",0,IF(AND(F1325="C&amp;T",COUNTIFS($A$2:A1325,A1325,$F$2:F1325,"C&amp;T")=1),1,0))</f>
        <v>0</v>
      </c>
    </row>
    <row r="1326" spans="1:16" x14ac:dyDescent="0.35">
      <c r="A1326" s="54" t="str">
        <f>IFERROR(IF(INDEX(SPOT_Import!$A$1:$Z$2488,1326,'Live Data'!$C$12)="","",INDEX(SPOT_Import!$A$1:$Z$2488,1326,'Live Data'!$C$12)),"")</f>
        <v/>
      </c>
      <c r="B1326" s="54" t="str">
        <f>IFERROR(IF(INDEX(SPOT_Import!$A$1:$Z$2488,1326,'Live Data'!$C$13)="","",INDEX(SPOT_Import!$A$1:$Z$2488,1326,'Live Data'!$C$13)),"")</f>
        <v/>
      </c>
      <c r="C1326" s="54" t="str">
        <f>IFERROR(IF(INDEX(SPOT_Import!$A$1:$Z$2488,1326,'Live Data'!$C$14)="","",INDEX(SPOT_Import!$A$1:$Z$2488,1326,'Live Data'!$C$14)),"")</f>
        <v/>
      </c>
      <c r="D1326" s="54" t="str">
        <f>IFERROR(IF(INDEX(SPOT_Import!$A$1:$Z$2488,1326,'Live Data'!$C$15)="","",INDEX(SPOT_Import!$A$1:$Z$2488,1326,'Live Data'!$C$15)),"")</f>
        <v/>
      </c>
      <c r="E1326" s="54" t="str">
        <f>IFERROR(IF(INDEX(SPOT_Import!$A$1:$Z$2488,1326,'Live Data'!$C$16)="","",INDEX(SPOT_Import!$A$1:$Z$2488,1326,'Live Data'!$C$16)),"")</f>
        <v/>
      </c>
      <c r="F1326" s="54" t="str">
        <f>IFERROR(IF(INDEX(SPOT_Import!$A$1:$Z$2488,1326,'Live Data'!$C$17)="","",INDEX(SPOT_Import!$A$1:$Z$2488,1326,'Live Data'!$C$17)),"")</f>
        <v/>
      </c>
      <c r="G1326" s="54" t="str">
        <f>IFERROR(IF(INDEX(SPOT_Import!$A$1:$Z$2488,1326,'Live Data'!$C$18)="","",INDEX(SPOT_Import!$A$1:$Z$2488,1326,'Live Data'!$C$18)),"")</f>
        <v/>
      </c>
      <c r="H1326" s="54" t="str">
        <f>IFERROR(IF(INDEX(SPOT_Import!$A$1:$Z$2488,1326,'Live Data'!$C$19)="","",INDEX(SPOT_Import!$A$1:$Z$2488,1326,'Live Data'!$C$19)),"")</f>
        <v/>
      </c>
      <c r="I1326" s="54" t="str">
        <f>IFERROR(IF(INDEX(SPOT_Import!$A$1:$Z$2488,1326,'Live Data'!$C$20)="","",INDEX(SPOT_Import!$A$1:$Z$2488,1326,'Live Data'!$C$20)),"")</f>
        <v/>
      </c>
      <c r="J1326" s="54" t="str">
        <f>IFERROR(IF(INDEX(SPOT_Import!$A$1:$Z$2488,1326,'Live Data'!$C$21)="","",INDEX(SPOT_Import!$A$1:$Z$2488,1326,'Live Data'!$C$21)),"")</f>
        <v/>
      </c>
      <c r="K1326" s="54" t="str">
        <f>IFERROR(IF(INDEX(SPOT_Import!$A$1:$Z$2488,1326,'Live Data'!$C$22)="","",INDEX(SPOT_Import!$A$1:$Z$2488,1326,'Live Data'!$C$22)),"")</f>
        <v/>
      </c>
      <c r="L1326" s="55" t="str">
        <f t="shared" si="40"/>
        <v/>
      </c>
      <c r="M1326" s="55" t="str">
        <f t="shared" si="41"/>
        <v/>
      </c>
      <c r="N1326" s="55" t="str">
        <f>IF(A1326="","",IFERROR(INDEX('Cluster Map'!$A$4:$A$38,MATCH(M1326,'Cluster Map'!$B$4:$B$38,0)),"Unmapped"))</f>
        <v/>
      </c>
      <c r="O1326" s="55">
        <f>IF(A1326="",0,IF(COUNTIFS($A$2:A1326,A1326,$F$2:F1326,F1326,$L$2:L1326,L1326)=1,1,0))</f>
        <v>0</v>
      </c>
      <c r="P1326" s="55">
        <f>IF(A1326="",0,IF(AND(F1326="C&amp;T",COUNTIFS($A$2:A1326,A1326,$F$2:F1326,"C&amp;T")=1),1,0))</f>
        <v>0</v>
      </c>
    </row>
    <row r="1327" spans="1:16" x14ac:dyDescent="0.35">
      <c r="A1327" s="54" t="str">
        <f>IFERROR(IF(INDEX(SPOT_Import!$A$1:$Z$2488,1327,'Live Data'!$C$12)="","",INDEX(SPOT_Import!$A$1:$Z$2488,1327,'Live Data'!$C$12)),"")</f>
        <v/>
      </c>
      <c r="B1327" s="54" t="str">
        <f>IFERROR(IF(INDEX(SPOT_Import!$A$1:$Z$2488,1327,'Live Data'!$C$13)="","",INDEX(SPOT_Import!$A$1:$Z$2488,1327,'Live Data'!$C$13)),"")</f>
        <v/>
      </c>
      <c r="C1327" s="54" t="str">
        <f>IFERROR(IF(INDEX(SPOT_Import!$A$1:$Z$2488,1327,'Live Data'!$C$14)="","",INDEX(SPOT_Import!$A$1:$Z$2488,1327,'Live Data'!$C$14)),"")</f>
        <v/>
      </c>
      <c r="D1327" s="54" t="str">
        <f>IFERROR(IF(INDEX(SPOT_Import!$A$1:$Z$2488,1327,'Live Data'!$C$15)="","",INDEX(SPOT_Import!$A$1:$Z$2488,1327,'Live Data'!$C$15)),"")</f>
        <v/>
      </c>
      <c r="E1327" s="54" t="str">
        <f>IFERROR(IF(INDEX(SPOT_Import!$A$1:$Z$2488,1327,'Live Data'!$C$16)="","",INDEX(SPOT_Import!$A$1:$Z$2488,1327,'Live Data'!$C$16)),"")</f>
        <v/>
      </c>
      <c r="F1327" s="54" t="str">
        <f>IFERROR(IF(INDEX(SPOT_Import!$A$1:$Z$2488,1327,'Live Data'!$C$17)="","",INDEX(SPOT_Import!$A$1:$Z$2488,1327,'Live Data'!$C$17)),"")</f>
        <v/>
      </c>
      <c r="G1327" s="54" t="str">
        <f>IFERROR(IF(INDEX(SPOT_Import!$A$1:$Z$2488,1327,'Live Data'!$C$18)="","",INDEX(SPOT_Import!$A$1:$Z$2488,1327,'Live Data'!$C$18)),"")</f>
        <v/>
      </c>
      <c r="H1327" s="54" t="str">
        <f>IFERROR(IF(INDEX(SPOT_Import!$A$1:$Z$2488,1327,'Live Data'!$C$19)="","",INDEX(SPOT_Import!$A$1:$Z$2488,1327,'Live Data'!$C$19)),"")</f>
        <v/>
      </c>
      <c r="I1327" s="54" t="str">
        <f>IFERROR(IF(INDEX(SPOT_Import!$A$1:$Z$2488,1327,'Live Data'!$C$20)="","",INDEX(SPOT_Import!$A$1:$Z$2488,1327,'Live Data'!$C$20)),"")</f>
        <v/>
      </c>
      <c r="J1327" s="54" t="str">
        <f>IFERROR(IF(INDEX(SPOT_Import!$A$1:$Z$2488,1327,'Live Data'!$C$21)="","",INDEX(SPOT_Import!$A$1:$Z$2488,1327,'Live Data'!$C$21)),"")</f>
        <v/>
      </c>
      <c r="K1327" s="54" t="str">
        <f>IFERROR(IF(INDEX(SPOT_Import!$A$1:$Z$2488,1327,'Live Data'!$C$22)="","",INDEX(SPOT_Import!$A$1:$Z$2488,1327,'Live Data'!$C$22)),"")</f>
        <v/>
      </c>
      <c r="L1327" s="55" t="str">
        <f t="shared" si="40"/>
        <v/>
      </c>
      <c r="M1327" s="55" t="str">
        <f t="shared" si="41"/>
        <v/>
      </c>
      <c r="N1327" s="55" t="str">
        <f>IF(A1327="","",IFERROR(INDEX('Cluster Map'!$A$4:$A$38,MATCH(M1327,'Cluster Map'!$B$4:$B$38,0)),"Unmapped"))</f>
        <v/>
      </c>
      <c r="O1327" s="55">
        <f>IF(A1327="",0,IF(COUNTIFS($A$2:A1327,A1327,$F$2:F1327,F1327,$L$2:L1327,L1327)=1,1,0))</f>
        <v>0</v>
      </c>
      <c r="P1327" s="55">
        <f>IF(A1327="",0,IF(AND(F1327="C&amp;T",COUNTIFS($A$2:A1327,A1327,$F$2:F1327,"C&amp;T")=1),1,0))</f>
        <v>0</v>
      </c>
    </row>
    <row r="1328" spans="1:16" x14ac:dyDescent="0.35">
      <c r="A1328" s="54" t="str">
        <f>IFERROR(IF(INDEX(SPOT_Import!$A$1:$Z$2488,1328,'Live Data'!$C$12)="","",INDEX(SPOT_Import!$A$1:$Z$2488,1328,'Live Data'!$C$12)),"")</f>
        <v/>
      </c>
      <c r="B1328" s="54" t="str">
        <f>IFERROR(IF(INDEX(SPOT_Import!$A$1:$Z$2488,1328,'Live Data'!$C$13)="","",INDEX(SPOT_Import!$A$1:$Z$2488,1328,'Live Data'!$C$13)),"")</f>
        <v/>
      </c>
      <c r="C1328" s="54" t="str">
        <f>IFERROR(IF(INDEX(SPOT_Import!$A$1:$Z$2488,1328,'Live Data'!$C$14)="","",INDEX(SPOT_Import!$A$1:$Z$2488,1328,'Live Data'!$C$14)),"")</f>
        <v/>
      </c>
      <c r="D1328" s="54" t="str">
        <f>IFERROR(IF(INDEX(SPOT_Import!$A$1:$Z$2488,1328,'Live Data'!$C$15)="","",INDEX(SPOT_Import!$A$1:$Z$2488,1328,'Live Data'!$C$15)),"")</f>
        <v/>
      </c>
      <c r="E1328" s="54" t="str">
        <f>IFERROR(IF(INDEX(SPOT_Import!$A$1:$Z$2488,1328,'Live Data'!$C$16)="","",INDEX(SPOT_Import!$A$1:$Z$2488,1328,'Live Data'!$C$16)),"")</f>
        <v/>
      </c>
      <c r="F1328" s="54" t="str">
        <f>IFERROR(IF(INDEX(SPOT_Import!$A$1:$Z$2488,1328,'Live Data'!$C$17)="","",INDEX(SPOT_Import!$A$1:$Z$2488,1328,'Live Data'!$C$17)),"")</f>
        <v/>
      </c>
      <c r="G1328" s="54" t="str">
        <f>IFERROR(IF(INDEX(SPOT_Import!$A$1:$Z$2488,1328,'Live Data'!$C$18)="","",INDEX(SPOT_Import!$A$1:$Z$2488,1328,'Live Data'!$C$18)),"")</f>
        <v/>
      </c>
      <c r="H1328" s="54" t="str">
        <f>IFERROR(IF(INDEX(SPOT_Import!$A$1:$Z$2488,1328,'Live Data'!$C$19)="","",INDEX(SPOT_Import!$A$1:$Z$2488,1328,'Live Data'!$C$19)),"")</f>
        <v/>
      </c>
      <c r="I1328" s="54" t="str">
        <f>IFERROR(IF(INDEX(SPOT_Import!$A$1:$Z$2488,1328,'Live Data'!$C$20)="","",INDEX(SPOT_Import!$A$1:$Z$2488,1328,'Live Data'!$C$20)),"")</f>
        <v/>
      </c>
      <c r="J1328" s="54" t="str">
        <f>IFERROR(IF(INDEX(SPOT_Import!$A$1:$Z$2488,1328,'Live Data'!$C$21)="","",INDEX(SPOT_Import!$A$1:$Z$2488,1328,'Live Data'!$C$21)),"")</f>
        <v/>
      </c>
      <c r="K1328" s="54" t="str">
        <f>IFERROR(IF(INDEX(SPOT_Import!$A$1:$Z$2488,1328,'Live Data'!$C$22)="","",INDEX(SPOT_Import!$A$1:$Z$2488,1328,'Live Data'!$C$22)),"")</f>
        <v/>
      </c>
      <c r="L1328" s="55" t="str">
        <f t="shared" si="40"/>
        <v/>
      </c>
      <c r="M1328" s="55" t="str">
        <f t="shared" si="41"/>
        <v/>
      </c>
      <c r="N1328" s="55" t="str">
        <f>IF(A1328="","",IFERROR(INDEX('Cluster Map'!$A$4:$A$38,MATCH(M1328,'Cluster Map'!$B$4:$B$38,0)),"Unmapped"))</f>
        <v/>
      </c>
      <c r="O1328" s="55">
        <f>IF(A1328="",0,IF(COUNTIFS($A$2:A1328,A1328,$F$2:F1328,F1328,$L$2:L1328,L1328)=1,1,0))</f>
        <v>0</v>
      </c>
      <c r="P1328" s="55">
        <f>IF(A1328="",0,IF(AND(F1328="C&amp;T",COUNTIFS($A$2:A1328,A1328,$F$2:F1328,"C&amp;T")=1),1,0))</f>
        <v>0</v>
      </c>
    </row>
    <row r="1329" spans="1:16" x14ac:dyDescent="0.35">
      <c r="A1329" s="54" t="str">
        <f>IFERROR(IF(INDEX(SPOT_Import!$A$1:$Z$2488,1329,'Live Data'!$C$12)="","",INDEX(SPOT_Import!$A$1:$Z$2488,1329,'Live Data'!$C$12)),"")</f>
        <v/>
      </c>
      <c r="B1329" s="54" t="str">
        <f>IFERROR(IF(INDEX(SPOT_Import!$A$1:$Z$2488,1329,'Live Data'!$C$13)="","",INDEX(SPOT_Import!$A$1:$Z$2488,1329,'Live Data'!$C$13)),"")</f>
        <v/>
      </c>
      <c r="C1329" s="54" t="str">
        <f>IFERROR(IF(INDEX(SPOT_Import!$A$1:$Z$2488,1329,'Live Data'!$C$14)="","",INDEX(SPOT_Import!$A$1:$Z$2488,1329,'Live Data'!$C$14)),"")</f>
        <v/>
      </c>
      <c r="D1329" s="54" t="str">
        <f>IFERROR(IF(INDEX(SPOT_Import!$A$1:$Z$2488,1329,'Live Data'!$C$15)="","",INDEX(SPOT_Import!$A$1:$Z$2488,1329,'Live Data'!$C$15)),"")</f>
        <v/>
      </c>
      <c r="E1329" s="54" t="str">
        <f>IFERROR(IF(INDEX(SPOT_Import!$A$1:$Z$2488,1329,'Live Data'!$C$16)="","",INDEX(SPOT_Import!$A$1:$Z$2488,1329,'Live Data'!$C$16)),"")</f>
        <v/>
      </c>
      <c r="F1329" s="54" t="str">
        <f>IFERROR(IF(INDEX(SPOT_Import!$A$1:$Z$2488,1329,'Live Data'!$C$17)="","",INDEX(SPOT_Import!$A$1:$Z$2488,1329,'Live Data'!$C$17)),"")</f>
        <v/>
      </c>
      <c r="G1329" s="54" t="str">
        <f>IFERROR(IF(INDEX(SPOT_Import!$A$1:$Z$2488,1329,'Live Data'!$C$18)="","",INDEX(SPOT_Import!$A$1:$Z$2488,1329,'Live Data'!$C$18)),"")</f>
        <v/>
      </c>
      <c r="H1329" s="54" t="str">
        <f>IFERROR(IF(INDEX(SPOT_Import!$A$1:$Z$2488,1329,'Live Data'!$C$19)="","",INDEX(SPOT_Import!$A$1:$Z$2488,1329,'Live Data'!$C$19)),"")</f>
        <v/>
      </c>
      <c r="I1329" s="54" t="str">
        <f>IFERROR(IF(INDEX(SPOT_Import!$A$1:$Z$2488,1329,'Live Data'!$C$20)="","",INDEX(SPOT_Import!$A$1:$Z$2488,1329,'Live Data'!$C$20)),"")</f>
        <v/>
      </c>
      <c r="J1329" s="54" t="str">
        <f>IFERROR(IF(INDEX(SPOT_Import!$A$1:$Z$2488,1329,'Live Data'!$C$21)="","",INDEX(SPOT_Import!$A$1:$Z$2488,1329,'Live Data'!$C$21)),"")</f>
        <v/>
      </c>
      <c r="K1329" s="54" t="str">
        <f>IFERROR(IF(INDEX(SPOT_Import!$A$1:$Z$2488,1329,'Live Data'!$C$22)="","",INDEX(SPOT_Import!$A$1:$Z$2488,1329,'Live Data'!$C$22)),"")</f>
        <v/>
      </c>
      <c r="L1329" s="55" t="str">
        <f t="shared" si="40"/>
        <v/>
      </c>
      <c r="M1329" s="55" t="str">
        <f t="shared" si="41"/>
        <v/>
      </c>
      <c r="N1329" s="55" t="str">
        <f>IF(A1329="","",IFERROR(INDEX('Cluster Map'!$A$4:$A$38,MATCH(M1329,'Cluster Map'!$B$4:$B$38,0)),"Unmapped"))</f>
        <v/>
      </c>
      <c r="O1329" s="55">
        <f>IF(A1329="",0,IF(COUNTIFS($A$2:A1329,A1329,$F$2:F1329,F1329,$L$2:L1329,L1329)=1,1,0))</f>
        <v>0</v>
      </c>
      <c r="P1329" s="55">
        <f>IF(A1329="",0,IF(AND(F1329="C&amp;T",COUNTIFS($A$2:A1329,A1329,$F$2:F1329,"C&amp;T")=1),1,0))</f>
        <v>0</v>
      </c>
    </row>
    <row r="1330" spans="1:16" x14ac:dyDescent="0.35">
      <c r="A1330" s="54" t="str">
        <f>IFERROR(IF(INDEX(SPOT_Import!$A$1:$Z$2488,1330,'Live Data'!$C$12)="","",INDEX(SPOT_Import!$A$1:$Z$2488,1330,'Live Data'!$C$12)),"")</f>
        <v/>
      </c>
      <c r="B1330" s="54" t="str">
        <f>IFERROR(IF(INDEX(SPOT_Import!$A$1:$Z$2488,1330,'Live Data'!$C$13)="","",INDEX(SPOT_Import!$A$1:$Z$2488,1330,'Live Data'!$C$13)),"")</f>
        <v/>
      </c>
      <c r="C1330" s="54" t="str">
        <f>IFERROR(IF(INDEX(SPOT_Import!$A$1:$Z$2488,1330,'Live Data'!$C$14)="","",INDEX(SPOT_Import!$A$1:$Z$2488,1330,'Live Data'!$C$14)),"")</f>
        <v/>
      </c>
      <c r="D1330" s="54" t="str">
        <f>IFERROR(IF(INDEX(SPOT_Import!$A$1:$Z$2488,1330,'Live Data'!$C$15)="","",INDEX(SPOT_Import!$A$1:$Z$2488,1330,'Live Data'!$C$15)),"")</f>
        <v/>
      </c>
      <c r="E1330" s="54" t="str">
        <f>IFERROR(IF(INDEX(SPOT_Import!$A$1:$Z$2488,1330,'Live Data'!$C$16)="","",INDEX(SPOT_Import!$A$1:$Z$2488,1330,'Live Data'!$C$16)),"")</f>
        <v/>
      </c>
      <c r="F1330" s="54" t="str">
        <f>IFERROR(IF(INDEX(SPOT_Import!$A$1:$Z$2488,1330,'Live Data'!$C$17)="","",INDEX(SPOT_Import!$A$1:$Z$2488,1330,'Live Data'!$C$17)),"")</f>
        <v/>
      </c>
      <c r="G1330" s="54" t="str">
        <f>IFERROR(IF(INDEX(SPOT_Import!$A$1:$Z$2488,1330,'Live Data'!$C$18)="","",INDEX(SPOT_Import!$A$1:$Z$2488,1330,'Live Data'!$C$18)),"")</f>
        <v/>
      </c>
      <c r="H1330" s="54" t="str">
        <f>IFERROR(IF(INDEX(SPOT_Import!$A$1:$Z$2488,1330,'Live Data'!$C$19)="","",INDEX(SPOT_Import!$A$1:$Z$2488,1330,'Live Data'!$C$19)),"")</f>
        <v/>
      </c>
      <c r="I1330" s="54" t="str">
        <f>IFERROR(IF(INDEX(SPOT_Import!$A$1:$Z$2488,1330,'Live Data'!$C$20)="","",INDEX(SPOT_Import!$A$1:$Z$2488,1330,'Live Data'!$C$20)),"")</f>
        <v/>
      </c>
      <c r="J1330" s="54" t="str">
        <f>IFERROR(IF(INDEX(SPOT_Import!$A$1:$Z$2488,1330,'Live Data'!$C$21)="","",INDEX(SPOT_Import!$A$1:$Z$2488,1330,'Live Data'!$C$21)),"")</f>
        <v/>
      </c>
      <c r="K1330" s="54" t="str">
        <f>IFERROR(IF(INDEX(SPOT_Import!$A$1:$Z$2488,1330,'Live Data'!$C$22)="","",INDEX(SPOT_Import!$A$1:$Z$2488,1330,'Live Data'!$C$22)),"")</f>
        <v/>
      </c>
      <c r="L1330" s="55" t="str">
        <f t="shared" si="40"/>
        <v/>
      </c>
      <c r="M1330" s="55" t="str">
        <f t="shared" si="41"/>
        <v/>
      </c>
      <c r="N1330" s="55" t="str">
        <f>IF(A1330="","",IFERROR(INDEX('Cluster Map'!$A$4:$A$38,MATCH(M1330,'Cluster Map'!$B$4:$B$38,0)),"Unmapped"))</f>
        <v/>
      </c>
      <c r="O1330" s="55">
        <f>IF(A1330="",0,IF(COUNTIFS($A$2:A1330,A1330,$F$2:F1330,F1330,$L$2:L1330,L1330)=1,1,0))</f>
        <v>0</v>
      </c>
      <c r="P1330" s="55">
        <f>IF(A1330="",0,IF(AND(F1330="C&amp;T",COUNTIFS($A$2:A1330,A1330,$F$2:F1330,"C&amp;T")=1),1,0))</f>
        <v>0</v>
      </c>
    </row>
    <row r="1331" spans="1:16" x14ac:dyDescent="0.35">
      <c r="A1331" s="54" t="str">
        <f>IFERROR(IF(INDEX(SPOT_Import!$A$1:$Z$2488,1331,'Live Data'!$C$12)="","",INDEX(SPOT_Import!$A$1:$Z$2488,1331,'Live Data'!$C$12)),"")</f>
        <v/>
      </c>
      <c r="B1331" s="54" t="str">
        <f>IFERROR(IF(INDEX(SPOT_Import!$A$1:$Z$2488,1331,'Live Data'!$C$13)="","",INDEX(SPOT_Import!$A$1:$Z$2488,1331,'Live Data'!$C$13)),"")</f>
        <v/>
      </c>
      <c r="C1331" s="54" t="str">
        <f>IFERROR(IF(INDEX(SPOT_Import!$A$1:$Z$2488,1331,'Live Data'!$C$14)="","",INDEX(SPOT_Import!$A$1:$Z$2488,1331,'Live Data'!$C$14)),"")</f>
        <v/>
      </c>
      <c r="D1331" s="54" t="str">
        <f>IFERROR(IF(INDEX(SPOT_Import!$A$1:$Z$2488,1331,'Live Data'!$C$15)="","",INDEX(SPOT_Import!$A$1:$Z$2488,1331,'Live Data'!$C$15)),"")</f>
        <v/>
      </c>
      <c r="E1331" s="54" t="str">
        <f>IFERROR(IF(INDEX(SPOT_Import!$A$1:$Z$2488,1331,'Live Data'!$C$16)="","",INDEX(SPOT_Import!$A$1:$Z$2488,1331,'Live Data'!$C$16)),"")</f>
        <v/>
      </c>
      <c r="F1331" s="54" t="str">
        <f>IFERROR(IF(INDEX(SPOT_Import!$A$1:$Z$2488,1331,'Live Data'!$C$17)="","",INDEX(SPOT_Import!$A$1:$Z$2488,1331,'Live Data'!$C$17)),"")</f>
        <v/>
      </c>
      <c r="G1331" s="54" t="str">
        <f>IFERROR(IF(INDEX(SPOT_Import!$A$1:$Z$2488,1331,'Live Data'!$C$18)="","",INDEX(SPOT_Import!$A$1:$Z$2488,1331,'Live Data'!$C$18)),"")</f>
        <v/>
      </c>
      <c r="H1331" s="54" t="str">
        <f>IFERROR(IF(INDEX(SPOT_Import!$A$1:$Z$2488,1331,'Live Data'!$C$19)="","",INDEX(SPOT_Import!$A$1:$Z$2488,1331,'Live Data'!$C$19)),"")</f>
        <v/>
      </c>
      <c r="I1331" s="54" t="str">
        <f>IFERROR(IF(INDEX(SPOT_Import!$A$1:$Z$2488,1331,'Live Data'!$C$20)="","",INDEX(SPOT_Import!$A$1:$Z$2488,1331,'Live Data'!$C$20)),"")</f>
        <v/>
      </c>
      <c r="J1331" s="54" t="str">
        <f>IFERROR(IF(INDEX(SPOT_Import!$A$1:$Z$2488,1331,'Live Data'!$C$21)="","",INDEX(SPOT_Import!$A$1:$Z$2488,1331,'Live Data'!$C$21)),"")</f>
        <v/>
      </c>
      <c r="K1331" s="54" t="str">
        <f>IFERROR(IF(INDEX(SPOT_Import!$A$1:$Z$2488,1331,'Live Data'!$C$22)="","",INDEX(SPOT_Import!$A$1:$Z$2488,1331,'Live Data'!$C$22)),"")</f>
        <v/>
      </c>
      <c r="L1331" s="55" t="str">
        <f t="shared" si="40"/>
        <v/>
      </c>
      <c r="M1331" s="55" t="str">
        <f t="shared" si="41"/>
        <v/>
      </c>
      <c r="N1331" s="55" t="str">
        <f>IF(A1331="","",IFERROR(INDEX('Cluster Map'!$A$4:$A$38,MATCH(M1331,'Cluster Map'!$B$4:$B$38,0)),"Unmapped"))</f>
        <v/>
      </c>
      <c r="O1331" s="55">
        <f>IF(A1331="",0,IF(COUNTIFS($A$2:A1331,A1331,$F$2:F1331,F1331,$L$2:L1331,L1331)=1,1,0))</f>
        <v>0</v>
      </c>
      <c r="P1331" s="55">
        <f>IF(A1331="",0,IF(AND(F1331="C&amp;T",COUNTIFS($A$2:A1331,A1331,$F$2:F1331,"C&amp;T")=1),1,0))</f>
        <v>0</v>
      </c>
    </row>
    <row r="1332" spans="1:16" x14ac:dyDescent="0.35">
      <c r="A1332" s="54" t="str">
        <f>IFERROR(IF(INDEX(SPOT_Import!$A$1:$Z$2488,1332,'Live Data'!$C$12)="","",INDEX(SPOT_Import!$A$1:$Z$2488,1332,'Live Data'!$C$12)),"")</f>
        <v/>
      </c>
      <c r="B1332" s="54" t="str">
        <f>IFERROR(IF(INDEX(SPOT_Import!$A$1:$Z$2488,1332,'Live Data'!$C$13)="","",INDEX(SPOT_Import!$A$1:$Z$2488,1332,'Live Data'!$C$13)),"")</f>
        <v/>
      </c>
      <c r="C1332" s="54" t="str">
        <f>IFERROR(IF(INDEX(SPOT_Import!$A$1:$Z$2488,1332,'Live Data'!$C$14)="","",INDEX(SPOT_Import!$A$1:$Z$2488,1332,'Live Data'!$C$14)),"")</f>
        <v/>
      </c>
      <c r="D1332" s="54" t="str">
        <f>IFERROR(IF(INDEX(SPOT_Import!$A$1:$Z$2488,1332,'Live Data'!$C$15)="","",INDEX(SPOT_Import!$A$1:$Z$2488,1332,'Live Data'!$C$15)),"")</f>
        <v/>
      </c>
      <c r="E1332" s="54" t="str">
        <f>IFERROR(IF(INDEX(SPOT_Import!$A$1:$Z$2488,1332,'Live Data'!$C$16)="","",INDEX(SPOT_Import!$A$1:$Z$2488,1332,'Live Data'!$C$16)),"")</f>
        <v/>
      </c>
      <c r="F1332" s="54" t="str">
        <f>IFERROR(IF(INDEX(SPOT_Import!$A$1:$Z$2488,1332,'Live Data'!$C$17)="","",INDEX(SPOT_Import!$A$1:$Z$2488,1332,'Live Data'!$C$17)),"")</f>
        <v/>
      </c>
      <c r="G1332" s="54" t="str">
        <f>IFERROR(IF(INDEX(SPOT_Import!$A$1:$Z$2488,1332,'Live Data'!$C$18)="","",INDEX(SPOT_Import!$A$1:$Z$2488,1332,'Live Data'!$C$18)),"")</f>
        <v/>
      </c>
      <c r="H1332" s="54" t="str">
        <f>IFERROR(IF(INDEX(SPOT_Import!$A$1:$Z$2488,1332,'Live Data'!$C$19)="","",INDEX(SPOT_Import!$A$1:$Z$2488,1332,'Live Data'!$C$19)),"")</f>
        <v/>
      </c>
      <c r="I1332" s="54" t="str">
        <f>IFERROR(IF(INDEX(SPOT_Import!$A$1:$Z$2488,1332,'Live Data'!$C$20)="","",INDEX(SPOT_Import!$A$1:$Z$2488,1332,'Live Data'!$C$20)),"")</f>
        <v/>
      </c>
      <c r="J1332" s="54" t="str">
        <f>IFERROR(IF(INDEX(SPOT_Import!$A$1:$Z$2488,1332,'Live Data'!$C$21)="","",INDEX(SPOT_Import!$A$1:$Z$2488,1332,'Live Data'!$C$21)),"")</f>
        <v/>
      </c>
      <c r="K1332" s="54" t="str">
        <f>IFERROR(IF(INDEX(SPOT_Import!$A$1:$Z$2488,1332,'Live Data'!$C$22)="","",INDEX(SPOT_Import!$A$1:$Z$2488,1332,'Live Data'!$C$22)),"")</f>
        <v/>
      </c>
      <c r="L1332" s="55" t="str">
        <f t="shared" si="40"/>
        <v/>
      </c>
      <c r="M1332" s="55" t="str">
        <f t="shared" si="41"/>
        <v/>
      </c>
      <c r="N1332" s="55" t="str">
        <f>IF(A1332="","",IFERROR(INDEX('Cluster Map'!$A$4:$A$38,MATCH(M1332,'Cluster Map'!$B$4:$B$38,0)),"Unmapped"))</f>
        <v/>
      </c>
      <c r="O1332" s="55">
        <f>IF(A1332="",0,IF(COUNTIFS($A$2:A1332,A1332,$F$2:F1332,F1332,$L$2:L1332,L1332)=1,1,0))</f>
        <v>0</v>
      </c>
      <c r="P1332" s="55">
        <f>IF(A1332="",0,IF(AND(F1332="C&amp;T",COUNTIFS($A$2:A1332,A1332,$F$2:F1332,"C&amp;T")=1),1,0))</f>
        <v>0</v>
      </c>
    </row>
    <row r="1333" spans="1:16" x14ac:dyDescent="0.35">
      <c r="A1333" s="54" t="str">
        <f>IFERROR(IF(INDEX(SPOT_Import!$A$1:$Z$2488,1333,'Live Data'!$C$12)="","",INDEX(SPOT_Import!$A$1:$Z$2488,1333,'Live Data'!$C$12)),"")</f>
        <v/>
      </c>
      <c r="B1333" s="54" t="str">
        <f>IFERROR(IF(INDEX(SPOT_Import!$A$1:$Z$2488,1333,'Live Data'!$C$13)="","",INDEX(SPOT_Import!$A$1:$Z$2488,1333,'Live Data'!$C$13)),"")</f>
        <v/>
      </c>
      <c r="C1333" s="54" t="str">
        <f>IFERROR(IF(INDEX(SPOT_Import!$A$1:$Z$2488,1333,'Live Data'!$C$14)="","",INDEX(SPOT_Import!$A$1:$Z$2488,1333,'Live Data'!$C$14)),"")</f>
        <v/>
      </c>
      <c r="D1333" s="54" t="str">
        <f>IFERROR(IF(INDEX(SPOT_Import!$A$1:$Z$2488,1333,'Live Data'!$C$15)="","",INDEX(SPOT_Import!$A$1:$Z$2488,1333,'Live Data'!$C$15)),"")</f>
        <v/>
      </c>
      <c r="E1333" s="54" t="str">
        <f>IFERROR(IF(INDEX(SPOT_Import!$A$1:$Z$2488,1333,'Live Data'!$C$16)="","",INDEX(SPOT_Import!$A$1:$Z$2488,1333,'Live Data'!$C$16)),"")</f>
        <v/>
      </c>
      <c r="F1333" s="54" t="str">
        <f>IFERROR(IF(INDEX(SPOT_Import!$A$1:$Z$2488,1333,'Live Data'!$C$17)="","",INDEX(SPOT_Import!$A$1:$Z$2488,1333,'Live Data'!$C$17)),"")</f>
        <v/>
      </c>
      <c r="G1333" s="54" t="str">
        <f>IFERROR(IF(INDEX(SPOT_Import!$A$1:$Z$2488,1333,'Live Data'!$C$18)="","",INDEX(SPOT_Import!$A$1:$Z$2488,1333,'Live Data'!$C$18)),"")</f>
        <v/>
      </c>
      <c r="H1333" s="54" t="str">
        <f>IFERROR(IF(INDEX(SPOT_Import!$A$1:$Z$2488,1333,'Live Data'!$C$19)="","",INDEX(SPOT_Import!$A$1:$Z$2488,1333,'Live Data'!$C$19)),"")</f>
        <v/>
      </c>
      <c r="I1333" s="54" t="str">
        <f>IFERROR(IF(INDEX(SPOT_Import!$A$1:$Z$2488,1333,'Live Data'!$C$20)="","",INDEX(SPOT_Import!$A$1:$Z$2488,1333,'Live Data'!$C$20)),"")</f>
        <v/>
      </c>
      <c r="J1333" s="54" t="str">
        <f>IFERROR(IF(INDEX(SPOT_Import!$A$1:$Z$2488,1333,'Live Data'!$C$21)="","",INDEX(SPOT_Import!$A$1:$Z$2488,1333,'Live Data'!$C$21)),"")</f>
        <v/>
      </c>
      <c r="K1333" s="54" t="str">
        <f>IFERROR(IF(INDEX(SPOT_Import!$A$1:$Z$2488,1333,'Live Data'!$C$22)="","",INDEX(SPOT_Import!$A$1:$Z$2488,1333,'Live Data'!$C$22)),"")</f>
        <v/>
      </c>
      <c r="L1333" s="55" t="str">
        <f t="shared" si="40"/>
        <v/>
      </c>
      <c r="M1333" s="55" t="str">
        <f t="shared" si="41"/>
        <v/>
      </c>
      <c r="N1333" s="55" t="str">
        <f>IF(A1333="","",IFERROR(INDEX('Cluster Map'!$A$4:$A$38,MATCH(M1333,'Cluster Map'!$B$4:$B$38,0)),"Unmapped"))</f>
        <v/>
      </c>
      <c r="O1333" s="55">
        <f>IF(A1333="",0,IF(COUNTIFS($A$2:A1333,A1333,$F$2:F1333,F1333,$L$2:L1333,L1333)=1,1,0))</f>
        <v>0</v>
      </c>
      <c r="P1333" s="55">
        <f>IF(A1333="",0,IF(AND(F1333="C&amp;T",COUNTIFS($A$2:A1333,A1333,$F$2:F1333,"C&amp;T")=1),1,0))</f>
        <v>0</v>
      </c>
    </row>
    <row r="1334" spans="1:16" x14ac:dyDescent="0.35">
      <c r="A1334" s="54" t="str">
        <f>IFERROR(IF(INDEX(SPOT_Import!$A$1:$Z$2488,1334,'Live Data'!$C$12)="","",INDEX(SPOT_Import!$A$1:$Z$2488,1334,'Live Data'!$C$12)),"")</f>
        <v/>
      </c>
      <c r="B1334" s="54" t="str">
        <f>IFERROR(IF(INDEX(SPOT_Import!$A$1:$Z$2488,1334,'Live Data'!$C$13)="","",INDEX(SPOT_Import!$A$1:$Z$2488,1334,'Live Data'!$C$13)),"")</f>
        <v/>
      </c>
      <c r="C1334" s="54" t="str">
        <f>IFERROR(IF(INDEX(SPOT_Import!$A$1:$Z$2488,1334,'Live Data'!$C$14)="","",INDEX(SPOT_Import!$A$1:$Z$2488,1334,'Live Data'!$C$14)),"")</f>
        <v/>
      </c>
      <c r="D1334" s="54" t="str">
        <f>IFERROR(IF(INDEX(SPOT_Import!$A$1:$Z$2488,1334,'Live Data'!$C$15)="","",INDEX(SPOT_Import!$A$1:$Z$2488,1334,'Live Data'!$C$15)),"")</f>
        <v/>
      </c>
      <c r="E1334" s="54" t="str">
        <f>IFERROR(IF(INDEX(SPOT_Import!$A$1:$Z$2488,1334,'Live Data'!$C$16)="","",INDEX(SPOT_Import!$A$1:$Z$2488,1334,'Live Data'!$C$16)),"")</f>
        <v/>
      </c>
      <c r="F1334" s="54" t="str">
        <f>IFERROR(IF(INDEX(SPOT_Import!$A$1:$Z$2488,1334,'Live Data'!$C$17)="","",INDEX(SPOT_Import!$A$1:$Z$2488,1334,'Live Data'!$C$17)),"")</f>
        <v/>
      </c>
      <c r="G1334" s="54" t="str">
        <f>IFERROR(IF(INDEX(SPOT_Import!$A$1:$Z$2488,1334,'Live Data'!$C$18)="","",INDEX(SPOT_Import!$A$1:$Z$2488,1334,'Live Data'!$C$18)),"")</f>
        <v/>
      </c>
      <c r="H1334" s="54" t="str">
        <f>IFERROR(IF(INDEX(SPOT_Import!$A$1:$Z$2488,1334,'Live Data'!$C$19)="","",INDEX(SPOT_Import!$A$1:$Z$2488,1334,'Live Data'!$C$19)),"")</f>
        <v/>
      </c>
      <c r="I1334" s="54" t="str">
        <f>IFERROR(IF(INDEX(SPOT_Import!$A$1:$Z$2488,1334,'Live Data'!$C$20)="","",INDEX(SPOT_Import!$A$1:$Z$2488,1334,'Live Data'!$C$20)),"")</f>
        <v/>
      </c>
      <c r="J1334" s="54" t="str">
        <f>IFERROR(IF(INDEX(SPOT_Import!$A$1:$Z$2488,1334,'Live Data'!$C$21)="","",INDEX(SPOT_Import!$A$1:$Z$2488,1334,'Live Data'!$C$21)),"")</f>
        <v/>
      </c>
      <c r="K1334" s="54" t="str">
        <f>IFERROR(IF(INDEX(SPOT_Import!$A$1:$Z$2488,1334,'Live Data'!$C$22)="","",INDEX(SPOT_Import!$A$1:$Z$2488,1334,'Live Data'!$C$22)),"")</f>
        <v/>
      </c>
      <c r="L1334" s="55" t="str">
        <f t="shared" si="40"/>
        <v/>
      </c>
      <c r="M1334" s="55" t="str">
        <f t="shared" si="41"/>
        <v/>
      </c>
      <c r="N1334" s="55" t="str">
        <f>IF(A1334="","",IFERROR(INDEX('Cluster Map'!$A$4:$A$38,MATCH(M1334,'Cluster Map'!$B$4:$B$38,0)),"Unmapped"))</f>
        <v/>
      </c>
      <c r="O1334" s="55">
        <f>IF(A1334="",0,IF(COUNTIFS($A$2:A1334,A1334,$F$2:F1334,F1334,$L$2:L1334,L1334)=1,1,0))</f>
        <v>0</v>
      </c>
      <c r="P1334" s="55">
        <f>IF(A1334="",0,IF(AND(F1334="C&amp;T",COUNTIFS($A$2:A1334,A1334,$F$2:F1334,"C&amp;T")=1),1,0))</f>
        <v>0</v>
      </c>
    </row>
    <row r="1335" spans="1:16" x14ac:dyDescent="0.35">
      <c r="A1335" s="54" t="str">
        <f>IFERROR(IF(INDEX(SPOT_Import!$A$1:$Z$2488,1335,'Live Data'!$C$12)="","",INDEX(SPOT_Import!$A$1:$Z$2488,1335,'Live Data'!$C$12)),"")</f>
        <v/>
      </c>
      <c r="B1335" s="54" t="str">
        <f>IFERROR(IF(INDEX(SPOT_Import!$A$1:$Z$2488,1335,'Live Data'!$C$13)="","",INDEX(SPOT_Import!$A$1:$Z$2488,1335,'Live Data'!$C$13)),"")</f>
        <v/>
      </c>
      <c r="C1335" s="54" t="str">
        <f>IFERROR(IF(INDEX(SPOT_Import!$A$1:$Z$2488,1335,'Live Data'!$C$14)="","",INDEX(SPOT_Import!$A$1:$Z$2488,1335,'Live Data'!$C$14)),"")</f>
        <v/>
      </c>
      <c r="D1335" s="54" t="str">
        <f>IFERROR(IF(INDEX(SPOT_Import!$A$1:$Z$2488,1335,'Live Data'!$C$15)="","",INDEX(SPOT_Import!$A$1:$Z$2488,1335,'Live Data'!$C$15)),"")</f>
        <v/>
      </c>
      <c r="E1335" s="54" t="str">
        <f>IFERROR(IF(INDEX(SPOT_Import!$A$1:$Z$2488,1335,'Live Data'!$C$16)="","",INDEX(SPOT_Import!$A$1:$Z$2488,1335,'Live Data'!$C$16)),"")</f>
        <v/>
      </c>
      <c r="F1335" s="54" t="str">
        <f>IFERROR(IF(INDEX(SPOT_Import!$A$1:$Z$2488,1335,'Live Data'!$C$17)="","",INDEX(SPOT_Import!$A$1:$Z$2488,1335,'Live Data'!$C$17)),"")</f>
        <v/>
      </c>
      <c r="G1335" s="54" t="str">
        <f>IFERROR(IF(INDEX(SPOT_Import!$A$1:$Z$2488,1335,'Live Data'!$C$18)="","",INDEX(SPOT_Import!$A$1:$Z$2488,1335,'Live Data'!$C$18)),"")</f>
        <v/>
      </c>
      <c r="H1335" s="54" t="str">
        <f>IFERROR(IF(INDEX(SPOT_Import!$A$1:$Z$2488,1335,'Live Data'!$C$19)="","",INDEX(SPOT_Import!$A$1:$Z$2488,1335,'Live Data'!$C$19)),"")</f>
        <v/>
      </c>
      <c r="I1335" s="54" t="str">
        <f>IFERROR(IF(INDEX(SPOT_Import!$A$1:$Z$2488,1335,'Live Data'!$C$20)="","",INDEX(SPOT_Import!$A$1:$Z$2488,1335,'Live Data'!$C$20)),"")</f>
        <v/>
      </c>
      <c r="J1335" s="54" t="str">
        <f>IFERROR(IF(INDEX(SPOT_Import!$A$1:$Z$2488,1335,'Live Data'!$C$21)="","",INDEX(SPOT_Import!$A$1:$Z$2488,1335,'Live Data'!$C$21)),"")</f>
        <v/>
      </c>
      <c r="K1335" s="54" t="str">
        <f>IFERROR(IF(INDEX(SPOT_Import!$A$1:$Z$2488,1335,'Live Data'!$C$22)="","",INDEX(SPOT_Import!$A$1:$Z$2488,1335,'Live Data'!$C$22)),"")</f>
        <v/>
      </c>
      <c r="L1335" s="55" t="str">
        <f t="shared" si="40"/>
        <v/>
      </c>
      <c r="M1335" s="55" t="str">
        <f t="shared" si="41"/>
        <v/>
      </c>
      <c r="N1335" s="55" t="str">
        <f>IF(A1335="","",IFERROR(INDEX('Cluster Map'!$A$4:$A$38,MATCH(M1335,'Cluster Map'!$B$4:$B$38,0)),"Unmapped"))</f>
        <v/>
      </c>
      <c r="O1335" s="55">
        <f>IF(A1335="",0,IF(COUNTIFS($A$2:A1335,A1335,$F$2:F1335,F1335,$L$2:L1335,L1335)=1,1,0))</f>
        <v>0</v>
      </c>
      <c r="P1335" s="55">
        <f>IF(A1335="",0,IF(AND(F1335="C&amp;T",COUNTIFS($A$2:A1335,A1335,$F$2:F1335,"C&amp;T")=1),1,0))</f>
        <v>0</v>
      </c>
    </row>
    <row r="1336" spans="1:16" x14ac:dyDescent="0.35">
      <c r="A1336" s="54" t="str">
        <f>IFERROR(IF(INDEX(SPOT_Import!$A$1:$Z$2488,1336,'Live Data'!$C$12)="","",INDEX(SPOT_Import!$A$1:$Z$2488,1336,'Live Data'!$C$12)),"")</f>
        <v/>
      </c>
      <c r="B1336" s="54" t="str">
        <f>IFERROR(IF(INDEX(SPOT_Import!$A$1:$Z$2488,1336,'Live Data'!$C$13)="","",INDEX(SPOT_Import!$A$1:$Z$2488,1336,'Live Data'!$C$13)),"")</f>
        <v/>
      </c>
      <c r="C1336" s="54" t="str">
        <f>IFERROR(IF(INDEX(SPOT_Import!$A$1:$Z$2488,1336,'Live Data'!$C$14)="","",INDEX(SPOT_Import!$A$1:$Z$2488,1336,'Live Data'!$C$14)),"")</f>
        <v/>
      </c>
      <c r="D1336" s="54" t="str">
        <f>IFERROR(IF(INDEX(SPOT_Import!$A$1:$Z$2488,1336,'Live Data'!$C$15)="","",INDEX(SPOT_Import!$A$1:$Z$2488,1336,'Live Data'!$C$15)),"")</f>
        <v/>
      </c>
      <c r="E1336" s="54" t="str">
        <f>IFERROR(IF(INDEX(SPOT_Import!$A$1:$Z$2488,1336,'Live Data'!$C$16)="","",INDEX(SPOT_Import!$A$1:$Z$2488,1336,'Live Data'!$C$16)),"")</f>
        <v/>
      </c>
      <c r="F1336" s="54" t="str">
        <f>IFERROR(IF(INDEX(SPOT_Import!$A$1:$Z$2488,1336,'Live Data'!$C$17)="","",INDEX(SPOT_Import!$A$1:$Z$2488,1336,'Live Data'!$C$17)),"")</f>
        <v/>
      </c>
      <c r="G1336" s="54" t="str">
        <f>IFERROR(IF(INDEX(SPOT_Import!$A$1:$Z$2488,1336,'Live Data'!$C$18)="","",INDEX(SPOT_Import!$A$1:$Z$2488,1336,'Live Data'!$C$18)),"")</f>
        <v/>
      </c>
      <c r="H1336" s="54" t="str">
        <f>IFERROR(IF(INDEX(SPOT_Import!$A$1:$Z$2488,1336,'Live Data'!$C$19)="","",INDEX(SPOT_Import!$A$1:$Z$2488,1336,'Live Data'!$C$19)),"")</f>
        <v/>
      </c>
      <c r="I1336" s="54" t="str">
        <f>IFERROR(IF(INDEX(SPOT_Import!$A$1:$Z$2488,1336,'Live Data'!$C$20)="","",INDEX(SPOT_Import!$A$1:$Z$2488,1336,'Live Data'!$C$20)),"")</f>
        <v/>
      </c>
      <c r="J1336" s="54" t="str">
        <f>IFERROR(IF(INDEX(SPOT_Import!$A$1:$Z$2488,1336,'Live Data'!$C$21)="","",INDEX(SPOT_Import!$A$1:$Z$2488,1336,'Live Data'!$C$21)),"")</f>
        <v/>
      </c>
      <c r="K1336" s="54" t="str">
        <f>IFERROR(IF(INDEX(SPOT_Import!$A$1:$Z$2488,1336,'Live Data'!$C$22)="","",INDEX(SPOT_Import!$A$1:$Z$2488,1336,'Live Data'!$C$22)),"")</f>
        <v/>
      </c>
      <c r="L1336" s="55" t="str">
        <f t="shared" si="40"/>
        <v/>
      </c>
      <c r="M1336" s="55" t="str">
        <f t="shared" si="41"/>
        <v/>
      </c>
      <c r="N1336" s="55" t="str">
        <f>IF(A1336="","",IFERROR(INDEX('Cluster Map'!$A$4:$A$38,MATCH(M1336,'Cluster Map'!$B$4:$B$38,0)),"Unmapped"))</f>
        <v/>
      </c>
      <c r="O1336" s="55">
        <f>IF(A1336="",0,IF(COUNTIFS($A$2:A1336,A1336,$F$2:F1336,F1336,$L$2:L1336,L1336)=1,1,0))</f>
        <v>0</v>
      </c>
      <c r="P1336" s="55">
        <f>IF(A1336="",0,IF(AND(F1336="C&amp;T",COUNTIFS($A$2:A1336,A1336,$F$2:F1336,"C&amp;T")=1),1,0))</f>
        <v>0</v>
      </c>
    </row>
    <row r="1337" spans="1:16" x14ac:dyDescent="0.35">
      <c r="A1337" s="54" t="str">
        <f>IFERROR(IF(INDEX(SPOT_Import!$A$1:$Z$2488,1337,'Live Data'!$C$12)="","",INDEX(SPOT_Import!$A$1:$Z$2488,1337,'Live Data'!$C$12)),"")</f>
        <v/>
      </c>
      <c r="B1337" s="54" t="str">
        <f>IFERROR(IF(INDEX(SPOT_Import!$A$1:$Z$2488,1337,'Live Data'!$C$13)="","",INDEX(SPOT_Import!$A$1:$Z$2488,1337,'Live Data'!$C$13)),"")</f>
        <v/>
      </c>
      <c r="C1337" s="54" t="str">
        <f>IFERROR(IF(INDEX(SPOT_Import!$A$1:$Z$2488,1337,'Live Data'!$C$14)="","",INDEX(SPOT_Import!$A$1:$Z$2488,1337,'Live Data'!$C$14)),"")</f>
        <v/>
      </c>
      <c r="D1337" s="54" t="str">
        <f>IFERROR(IF(INDEX(SPOT_Import!$A$1:$Z$2488,1337,'Live Data'!$C$15)="","",INDEX(SPOT_Import!$A$1:$Z$2488,1337,'Live Data'!$C$15)),"")</f>
        <v/>
      </c>
      <c r="E1337" s="54" t="str">
        <f>IFERROR(IF(INDEX(SPOT_Import!$A$1:$Z$2488,1337,'Live Data'!$C$16)="","",INDEX(SPOT_Import!$A$1:$Z$2488,1337,'Live Data'!$C$16)),"")</f>
        <v/>
      </c>
      <c r="F1337" s="54" t="str">
        <f>IFERROR(IF(INDEX(SPOT_Import!$A$1:$Z$2488,1337,'Live Data'!$C$17)="","",INDEX(SPOT_Import!$A$1:$Z$2488,1337,'Live Data'!$C$17)),"")</f>
        <v/>
      </c>
      <c r="G1337" s="54" t="str">
        <f>IFERROR(IF(INDEX(SPOT_Import!$A$1:$Z$2488,1337,'Live Data'!$C$18)="","",INDEX(SPOT_Import!$A$1:$Z$2488,1337,'Live Data'!$C$18)),"")</f>
        <v/>
      </c>
      <c r="H1337" s="54" t="str">
        <f>IFERROR(IF(INDEX(SPOT_Import!$A$1:$Z$2488,1337,'Live Data'!$C$19)="","",INDEX(SPOT_Import!$A$1:$Z$2488,1337,'Live Data'!$C$19)),"")</f>
        <v/>
      </c>
      <c r="I1337" s="54" t="str">
        <f>IFERROR(IF(INDEX(SPOT_Import!$A$1:$Z$2488,1337,'Live Data'!$C$20)="","",INDEX(SPOT_Import!$A$1:$Z$2488,1337,'Live Data'!$C$20)),"")</f>
        <v/>
      </c>
      <c r="J1337" s="54" t="str">
        <f>IFERROR(IF(INDEX(SPOT_Import!$A$1:$Z$2488,1337,'Live Data'!$C$21)="","",INDEX(SPOT_Import!$A$1:$Z$2488,1337,'Live Data'!$C$21)),"")</f>
        <v/>
      </c>
      <c r="K1337" s="54" t="str">
        <f>IFERROR(IF(INDEX(SPOT_Import!$A$1:$Z$2488,1337,'Live Data'!$C$22)="","",INDEX(SPOT_Import!$A$1:$Z$2488,1337,'Live Data'!$C$22)),"")</f>
        <v/>
      </c>
      <c r="L1337" s="55" t="str">
        <f t="shared" si="40"/>
        <v/>
      </c>
      <c r="M1337" s="55" t="str">
        <f t="shared" si="41"/>
        <v/>
      </c>
      <c r="N1337" s="55" t="str">
        <f>IF(A1337="","",IFERROR(INDEX('Cluster Map'!$A$4:$A$38,MATCH(M1337,'Cluster Map'!$B$4:$B$38,0)),"Unmapped"))</f>
        <v/>
      </c>
      <c r="O1337" s="55">
        <f>IF(A1337="",0,IF(COUNTIFS($A$2:A1337,A1337,$F$2:F1337,F1337,$L$2:L1337,L1337)=1,1,0))</f>
        <v>0</v>
      </c>
      <c r="P1337" s="55">
        <f>IF(A1337="",0,IF(AND(F1337="C&amp;T",COUNTIFS($A$2:A1337,A1337,$F$2:F1337,"C&amp;T")=1),1,0))</f>
        <v>0</v>
      </c>
    </row>
    <row r="1338" spans="1:16" x14ac:dyDescent="0.35">
      <c r="A1338" s="54" t="str">
        <f>IFERROR(IF(INDEX(SPOT_Import!$A$1:$Z$2488,1338,'Live Data'!$C$12)="","",INDEX(SPOT_Import!$A$1:$Z$2488,1338,'Live Data'!$C$12)),"")</f>
        <v/>
      </c>
      <c r="B1338" s="54" t="str">
        <f>IFERROR(IF(INDEX(SPOT_Import!$A$1:$Z$2488,1338,'Live Data'!$C$13)="","",INDEX(SPOT_Import!$A$1:$Z$2488,1338,'Live Data'!$C$13)),"")</f>
        <v/>
      </c>
      <c r="C1338" s="54" t="str">
        <f>IFERROR(IF(INDEX(SPOT_Import!$A$1:$Z$2488,1338,'Live Data'!$C$14)="","",INDEX(SPOT_Import!$A$1:$Z$2488,1338,'Live Data'!$C$14)),"")</f>
        <v/>
      </c>
      <c r="D1338" s="54" t="str">
        <f>IFERROR(IF(INDEX(SPOT_Import!$A$1:$Z$2488,1338,'Live Data'!$C$15)="","",INDEX(SPOT_Import!$A$1:$Z$2488,1338,'Live Data'!$C$15)),"")</f>
        <v/>
      </c>
      <c r="E1338" s="54" t="str">
        <f>IFERROR(IF(INDEX(SPOT_Import!$A$1:$Z$2488,1338,'Live Data'!$C$16)="","",INDEX(SPOT_Import!$A$1:$Z$2488,1338,'Live Data'!$C$16)),"")</f>
        <v/>
      </c>
      <c r="F1338" s="54" t="str">
        <f>IFERROR(IF(INDEX(SPOT_Import!$A$1:$Z$2488,1338,'Live Data'!$C$17)="","",INDEX(SPOT_Import!$A$1:$Z$2488,1338,'Live Data'!$C$17)),"")</f>
        <v/>
      </c>
      <c r="G1338" s="54" t="str">
        <f>IFERROR(IF(INDEX(SPOT_Import!$A$1:$Z$2488,1338,'Live Data'!$C$18)="","",INDEX(SPOT_Import!$A$1:$Z$2488,1338,'Live Data'!$C$18)),"")</f>
        <v/>
      </c>
      <c r="H1338" s="54" t="str">
        <f>IFERROR(IF(INDEX(SPOT_Import!$A$1:$Z$2488,1338,'Live Data'!$C$19)="","",INDEX(SPOT_Import!$A$1:$Z$2488,1338,'Live Data'!$C$19)),"")</f>
        <v/>
      </c>
      <c r="I1338" s="54" t="str">
        <f>IFERROR(IF(INDEX(SPOT_Import!$A$1:$Z$2488,1338,'Live Data'!$C$20)="","",INDEX(SPOT_Import!$A$1:$Z$2488,1338,'Live Data'!$C$20)),"")</f>
        <v/>
      </c>
      <c r="J1338" s="54" t="str">
        <f>IFERROR(IF(INDEX(SPOT_Import!$A$1:$Z$2488,1338,'Live Data'!$C$21)="","",INDEX(SPOT_Import!$A$1:$Z$2488,1338,'Live Data'!$C$21)),"")</f>
        <v/>
      </c>
      <c r="K1338" s="54" t="str">
        <f>IFERROR(IF(INDEX(SPOT_Import!$A$1:$Z$2488,1338,'Live Data'!$C$22)="","",INDEX(SPOT_Import!$A$1:$Z$2488,1338,'Live Data'!$C$22)),"")</f>
        <v/>
      </c>
      <c r="L1338" s="55" t="str">
        <f t="shared" si="40"/>
        <v/>
      </c>
      <c r="M1338" s="55" t="str">
        <f t="shared" si="41"/>
        <v/>
      </c>
      <c r="N1338" s="55" t="str">
        <f>IF(A1338="","",IFERROR(INDEX('Cluster Map'!$A$4:$A$38,MATCH(M1338,'Cluster Map'!$B$4:$B$38,0)),"Unmapped"))</f>
        <v/>
      </c>
      <c r="O1338" s="55">
        <f>IF(A1338="",0,IF(COUNTIFS($A$2:A1338,A1338,$F$2:F1338,F1338,$L$2:L1338,L1338)=1,1,0))</f>
        <v>0</v>
      </c>
      <c r="P1338" s="55">
        <f>IF(A1338="",0,IF(AND(F1338="C&amp;T",COUNTIFS($A$2:A1338,A1338,$F$2:F1338,"C&amp;T")=1),1,0))</f>
        <v>0</v>
      </c>
    </row>
    <row r="1339" spans="1:16" x14ac:dyDescent="0.35">
      <c r="A1339" s="54" t="str">
        <f>IFERROR(IF(INDEX(SPOT_Import!$A$1:$Z$2488,1339,'Live Data'!$C$12)="","",INDEX(SPOT_Import!$A$1:$Z$2488,1339,'Live Data'!$C$12)),"")</f>
        <v/>
      </c>
      <c r="B1339" s="54" t="str">
        <f>IFERROR(IF(INDEX(SPOT_Import!$A$1:$Z$2488,1339,'Live Data'!$C$13)="","",INDEX(SPOT_Import!$A$1:$Z$2488,1339,'Live Data'!$C$13)),"")</f>
        <v/>
      </c>
      <c r="C1339" s="54" t="str">
        <f>IFERROR(IF(INDEX(SPOT_Import!$A$1:$Z$2488,1339,'Live Data'!$C$14)="","",INDEX(SPOT_Import!$A$1:$Z$2488,1339,'Live Data'!$C$14)),"")</f>
        <v/>
      </c>
      <c r="D1339" s="54" t="str">
        <f>IFERROR(IF(INDEX(SPOT_Import!$A$1:$Z$2488,1339,'Live Data'!$C$15)="","",INDEX(SPOT_Import!$A$1:$Z$2488,1339,'Live Data'!$C$15)),"")</f>
        <v/>
      </c>
      <c r="E1339" s="54" t="str">
        <f>IFERROR(IF(INDEX(SPOT_Import!$A$1:$Z$2488,1339,'Live Data'!$C$16)="","",INDEX(SPOT_Import!$A$1:$Z$2488,1339,'Live Data'!$C$16)),"")</f>
        <v/>
      </c>
      <c r="F1339" s="54" t="str">
        <f>IFERROR(IF(INDEX(SPOT_Import!$A$1:$Z$2488,1339,'Live Data'!$C$17)="","",INDEX(SPOT_Import!$A$1:$Z$2488,1339,'Live Data'!$C$17)),"")</f>
        <v/>
      </c>
      <c r="G1339" s="54" t="str">
        <f>IFERROR(IF(INDEX(SPOT_Import!$A$1:$Z$2488,1339,'Live Data'!$C$18)="","",INDEX(SPOT_Import!$A$1:$Z$2488,1339,'Live Data'!$C$18)),"")</f>
        <v/>
      </c>
      <c r="H1339" s="54" t="str">
        <f>IFERROR(IF(INDEX(SPOT_Import!$A$1:$Z$2488,1339,'Live Data'!$C$19)="","",INDEX(SPOT_Import!$A$1:$Z$2488,1339,'Live Data'!$C$19)),"")</f>
        <v/>
      </c>
      <c r="I1339" s="54" t="str">
        <f>IFERROR(IF(INDEX(SPOT_Import!$A$1:$Z$2488,1339,'Live Data'!$C$20)="","",INDEX(SPOT_Import!$A$1:$Z$2488,1339,'Live Data'!$C$20)),"")</f>
        <v/>
      </c>
      <c r="J1339" s="54" t="str">
        <f>IFERROR(IF(INDEX(SPOT_Import!$A$1:$Z$2488,1339,'Live Data'!$C$21)="","",INDEX(SPOT_Import!$A$1:$Z$2488,1339,'Live Data'!$C$21)),"")</f>
        <v/>
      </c>
      <c r="K1339" s="54" t="str">
        <f>IFERROR(IF(INDEX(SPOT_Import!$A$1:$Z$2488,1339,'Live Data'!$C$22)="","",INDEX(SPOT_Import!$A$1:$Z$2488,1339,'Live Data'!$C$22)),"")</f>
        <v/>
      </c>
      <c r="L1339" s="55" t="str">
        <f t="shared" si="40"/>
        <v/>
      </c>
      <c r="M1339" s="55" t="str">
        <f t="shared" si="41"/>
        <v/>
      </c>
      <c r="N1339" s="55" t="str">
        <f>IF(A1339="","",IFERROR(INDEX('Cluster Map'!$A$4:$A$38,MATCH(M1339,'Cluster Map'!$B$4:$B$38,0)),"Unmapped"))</f>
        <v/>
      </c>
      <c r="O1339" s="55">
        <f>IF(A1339="",0,IF(COUNTIFS($A$2:A1339,A1339,$F$2:F1339,F1339,$L$2:L1339,L1339)=1,1,0))</f>
        <v>0</v>
      </c>
      <c r="P1339" s="55">
        <f>IF(A1339="",0,IF(AND(F1339="C&amp;T",COUNTIFS($A$2:A1339,A1339,$F$2:F1339,"C&amp;T")=1),1,0))</f>
        <v>0</v>
      </c>
    </row>
    <row r="1340" spans="1:16" x14ac:dyDescent="0.35">
      <c r="A1340" s="54" t="str">
        <f>IFERROR(IF(INDEX(SPOT_Import!$A$1:$Z$2488,1340,'Live Data'!$C$12)="","",INDEX(SPOT_Import!$A$1:$Z$2488,1340,'Live Data'!$C$12)),"")</f>
        <v/>
      </c>
      <c r="B1340" s="54" t="str">
        <f>IFERROR(IF(INDEX(SPOT_Import!$A$1:$Z$2488,1340,'Live Data'!$C$13)="","",INDEX(SPOT_Import!$A$1:$Z$2488,1340,'Live Data'!$C$13)),"")</f>
        <v/>
      </c>
      <c r="C1340" s="54" t="str">
        <f>IFERROR(IF(INDEX(SPOT_Import!$A$1:$Z$2488,1340,'Live Data'!$C$14)="","",INDEX(SPOT_Import!$A$1:$Z$2488,1340,'Live Data'!$C$14)),"")</f>
        <v/>
      </c>
      <c r="D1340" s="54" t="str">
        <f>IFERROR(IF(INDEX(SPOT_Import!$A$1:$Z$2488,1340,'Live Data'!$C$15)="","",INDEX(SPOT_Import!$A$1:$Z$2488,1340,'Live Data'!$C$15)),"")</f>
        <v/>
      </c>
      <c r="E1340" s="54" t="str">
        <f>IFERROR(IF(INDEX(SPOT_Import!$A$1:$Z$2488,1340,'Live Data'!$C$16)="","",INDEX(SPOT_Import!$A$1:$Z$2488,1340,'Live Data'!$C$16)),"")</f>
        <v/>
      </c>
      <c r="F1340" s="54" t="str">
        <f>IFERROR(IF(INDEX(SPOT_Import!$A$1:$Z$2488,1340,'Live Data'!$C$17)="","",INDEX(SPOT_Import!$A$1:$Z$2488,1340,'Live Data'!$C$17)),"")</f>
        <v/>
      </c>
      <c r="G1340" s="54" t="str">
        <f>IFERROR(IF(INDEX(SPOT_Import!$A$1:$Z$2488,1340,'Live Data'!$C$18)="","",INDEX(SPOT_Import!$A$1:$Z$2488,1340,'Live Data'!$C$18)),"")</f>
        <v/>
      </c>
      <c r="H1340" s="54" t="str">
        <f>IFERROR(IF(INDEX(SPOT_Import!$A$1:$Z$2488,1340,'Live Data'!$C$19)="","",INDEX(SPOT_Import!$A$1:$Z$2488,1340,'Live Data'!$C$19)),"")</f>
        <v/>
      </c>
      <c r="I1340" s="54" t="str">
        <f>IFERROR(IF(INDEX(SPOT_Import!$A$1:$Z$2488,1340,'Live Data'!$C$20)="","",INDEX(SPOT_Import!$A$1:$Z$2488,1340,'Live Data'!$C$20)),"")</f>
        <v/>
      </c>
      <c r="J1340" s="54" t="str">
        <f>IFERROR(IF(INDEX(SPOT_Import!$A$1:$Z$2488,1340,'Live Data'!$C$21)="","",INDEX(SPOT_Import!$A$1:$Z$2488,1340,'Live Data'!$C$21)),"")</f>
        <v/>
      </c>
      <c r="K1340" s="54" t="str">
        <f>IFERROR(IF(INDEX(SPOT_Import!$A$1:$Z$2488,1340,'Live Data'!$C$22)="","",INDEX(SPOT_Import!$A$1:$Z$2488,1340,'Live Data'!$C$22)),"")</f>
        <v/>
      </c>
      <c r="L1340" s="55" t="str">
        <f t="shared" si="40"/>
        <v/>
      </c>
      <c r="M1340" s="55" t="str">
        <f t="shared" si="41"/>
        <v/>
      </c>
      <c r="N1340" s="55" t="str">
        <f>IF(A1340="","",IFERROR(INDEX('Cluster Map'!$A$4:$A$38,MATCH(M1340,'Cluster Map'!$B$4:$B$38,0)),"Unmapped"))</f>
        <v/>
      </c>
      <c r="O1340" s="55">
        <f>IF(A1340="",0,IF(COUNTIFS($A$2:A1340,A1340,$F$2:F1340,F1340,$L$2:L1340,L1340)=1,1,0))</f>
        <v>0</v>
      </c>
      <c r="P1340" s="55">
        <f>IF(A1340="",0,IF(AND(F1340="C&amp;T",COUNTIFS($A$2:A1340,A1340,$F$2:F1340,"C&amp;T")=1),1,0))</f>
        <v>0</v>
      </c>
    </row>
    <row r="1341" spans="1:16" x14ac:dyDescent="0.35">
      <c r="A1341" s="54" t="str">
        <f>IFERROR(IF(INDEX(SPOT_Import!$A$1:$Z$2488,1341,'Live Data'!$C$12)="","",INDEX(SPOT_Import!$A$1:$Z$2488,1341,'Live Data'!$C$12)),"")</f>
        <v/>
      </c>
      <c r="B1341" s="54" t="str">
        <f>IFERROR(IF(INDEX(SPOT_Import!$A$1:$Z$2488,1341,'Live Data'!$C$13)="","",INDEX(SPOT_Import!$A$1:$Z$2488,1341,'Live Data'!$C$13)),"")</f>
        <v/>
      </c>
      <c r="C1341" s="54" t="str">
        <f>IFERROR(IF(INDEX(SPOT_Import!$A$1:$Z$2488,1341,'Live Data'!$C$14)="","",INDEX(SPOT_Import!$A$1:$Z$2488,1341,'Live Data'!$C$14)),"")</f>
        <v/>
      </c>
      <c r="D1341" s="54" t="str">
        <f>IFERROR(IF(INDEX(SPOT_Import!$A$1:$Z$2488,1341,'Live Data'!$C$15)="","",INDEX(SPOT_Import!$A$1:$Z$2488,1341,'Live Data'!$C$15)),"")</f>
        <v/>
      </c>
      <c r="E1341" s="54" t="str">
        <f>IFERROR(IF(INDEX(SPOT_Import!$A$1:$Z$2488,1341,'Live Data'!$C$16)="","",INDEX(SPOT_Import!$A$1:$Z$2488,1341,'Live Data'!$C$16)),"")</f>
        <v/>
      </c>
      <c r="F1341" s="54" t="str">
        <f>IFERROR(IF(INDEX(SPOT_Import!$A$1:$Z$2488,1341,'Live Data'!$C$17)="","",INDEX(SPOT_Import!$A$1:$Z$2488,1341,'Live Data'!$C$17)),"")</f>
        <v/>
      </c>
      <c r="G1341" s="54" t="str">
        <f>IFERROR(IF(INDEX(SPOT_Import!$A$1:$Z$2488,1341,'Live Data'!$C$18)="","",INDEX(SPOT_Import!$A$1:$Z$2488,1341,'Live Data'!$C$18)),"")</f>
        <v/>
      </c>
      <c r="H1341" s="54" t="str">
        <f>IFERROR(IF(INDEX(SPOT_Import!$A$1:$Z$2488,1341,'Live Data'!$C$19)="","",INDEX(SPOT_Import!$A$1:$Z$2488,1341,'Live Data'!$C$19)),"")</f>
        <v/>
      </c>
      <c r="I1341" s="54" t="str">
        <f>IFERROR(IF(INDEX(SPOT_Import!$A$1:$Z$2488,1341,'Live Data'!$C$20)="","",INDEX(SPOT_Import!$A$1:$Z$2488,1341,'Live Data'!$C$20)),"")</f>
        <v/>
      </c>
      <c r="J1341" s="54" t="str">
        <f>IFERROR(IF(INDEX(SPOT_Import!$A$1:$Z$2488,1341,'Live Data'!$C$21)="","",INDEX(SPOT_Import!$A$1:$Z$2488,1341,'Live Data'!$C$21)),"")</f>
        <v/>
      </c>
      <c r="K1341" s="54" t="str">
        <f>IFERROR(IF(INDEX(SPOT_Import!$A$1:$Z$2488,1341,'Live Data'!$C$22)="","",INDEX(SPOT_Import!$A$1:$Z$2488,1341,'Live Data'!$C$22)),"")</f>
        <v/>
      </c>
      <c r="L1341" s="55" t="str">
        <f t="shared" si="40"/>
        <v/>
      </c>
      <c r="M1341" s="55" t="str">
        <f t="shared" si="41"/>
        <v/>
      </c>
      <c r="N1341" s="55" t="str">
        <f>IF(A1341="","",IFERROR(INDEX('Cluster Map'!$A$4:$A$38,MATCH(M1341,'Cluster Map'!$B$4:$B$38,0)),"Unmapped"))</f>
        <v/>
      </c>
      <c r="O1341" s="55">
        <f>IF(A1341="",0,IF(COUNTIFS($A$2:A1341,A1341,$F$2:F1341,F1341,$L$2:L1341,L1341)=1,1,0))</f>
        <v>0</v>
      </c>
      <c r="P1341" s="55">
        <f>IF(A1341="",0,IF(AND(F1341="C&amp;T",COUNTIFS($A$2:A1341,A1341,$F$2:F1341,"C&amp;T")=1),1,0))</f>
        <v>0</v>
      </c>
    </row>
    <row r="1342" spans="1:16" x14ac:dyDescent="0.35">
      <c r="A1342" s="54" t="str">
        <f>IFERROR(IF(INDEX(SPOT_Import!$A$1:$Z$2488,1342,'Live Data'!$C$12)="","",INDEX(SPOT_Import!$A$1:$Z$2488,1342,'Live Data'!$C$12)),"")</f>
        <v/>
      </c>
      <c r="B1342" s="54" t="str">
        <f>IFERROR(IF(INDEX(SPOT_Import!$A$1:$Z$2488,1342,'Live Data'!$C$13)="","",INDEX(SPOT_Import!$A$1:$Z$2488,1342,'Live Data'!$C$13)),"")</f>
        <v/>
      </c>
      <c r="C1342" s="54" t="str">
        <f>IFERROR(IF(INDEX(SPOT_Import!$A$1:$Z$2488,1342,'Live Data'!$C$14)="","",INDEX(SPOT_Import!$A$1:$Z$2488,1342,'Live Data'!$C$14)),"")</f>
        <v/>
      </c>
      <c r="D1342" s="54" t="str">
        <f>IFERROR(IF(INDEX(SPOT_Import!$A$1:$Z$2488,1342,'Live Data'!$C$15)="","",INDEX(SPOT_Import!$A$1:$Z$2488,1342,'Live Data'!$C$15)),"")</f>
        <v/>
      </c>
      <c r="E1342" s="54" t="str">
        <f>IFERROR(IF(INDEX(SPOT_Import!$A$1:$Z$2488,1342,'Live Data'!$C$16)="","",INDEX(SPOT_Import!$A$1:$Z$2488,1342,'Live Data'!$C$16)),"")</f>
        <v/>
      </c>
      <c r="F1342" s="54" t="str">
        <f>IFERROR(IF(INDEX(SPOT_Import!$A$1:$Z$2488,1342,'Live Data'!$C$17)="","",INDEX(SPOT_Import!$A$1:$Z$2488,1342,'Live Data'!$C$17)),"")</f>
        <v/>
      </c>
      <c r="G1342" s="54" t="str">
        <f>IFERROR(IF(INDEX(SPOT_Import!$A$1:$Z$2488,1342,'Live Data'!$C$18)="","",INDEX(SPOT_Import!$A$1:$Z$2488,1342,'Live Data'!$C$18)),"")</f>
        <v/>
      </c>
      <c r="H1342" s="54" t="str">
        <f>IFERROR(IF(INDEX(SPOT_Import!$A$1:$Z$2488,1342,'Live Data'!$C$19)="","",INDEX(SPOT_Import!$A$1:$Z$2488,1342,'Live Data'!$C$19)),"")</f>
        <v/>
      </c>
      <c r="I1342" s="54" t="str">
        <f>IFERROR(IF(INDEX(SPOT_Import!$A$1:$Z$2488,1342,'Live Data'!$C$20)="","",INDEX(SPOT_Import!$A$1:$Z$2488,1342,'Live Data'!$C$20)),"")</f>
        <v/>
      </c>
      <c r="J1342" s="54" t="str">
        <f>IFERROR(IF(INDEX(SPOT_Import!$A$1:$Z$2488,1342,'Live Data'!$C$21)="","",INDEX(SPOT_Import!$A$1:$Z$2488,1342,'Live Data'!$C$21)),"")</f>
        <v/>
      </c>
      <c r="K1342" s="54" t="str">
        <f>IFERROR(IF(INDEX(SPOT_Import!$A$1:$Z$2488,1342,'Live Data'!$C$22)="","",INDEX(SPOT_Import!$A$1:$Z$2488,1342,'Live Data'!$C$22)),"")</f>
        <v/>
      </c>
      <c r="L1342" s="55" t="str">
        <f t="shared" si="40"/>
        <v/>
      </c>
      <c r="M1342" s="55" t="str">
        <f t="shared" si="41"/>
        <v/>
      </c>
      <c r="N1342" s="55" t="str">
        <f>IF(A1342="","",IFERROR(INDEX('Cluster Map'!$A$4:$A$38,MATCH(M1342,'Cluster Map'!$B$4:$B$38,0)),"Unmapped"))</f>
        <v/>
      </c>
      <c r="O1342" s="55">
        <f>IF(A1342="",0,IF(COUNTIFS($A$2:A1342,A1342,$F$2:F1342,F1342,$L$2:L1342,L1342)=1,1,0))</f>
        <v>0</v>
      </c>
      <c r="P1342" s="55">
        <f>IF(A1342="",0,IF(AND(F1342="C&amp;T",COUNTIFS($A$2:A1342,A1342,$F$2:F1342,"C&amp;T")=1),1,0))</f>
        <v>0</v>
      </c>
    </row>
    <row r="1343" spans="1:16" x14ac:dyDescent="0.35">
      <c r="A1343" s="54" t="str">
        <f>IFERROR(IF(INDEX(SPOT_Import!$A$1:$Z$2488,1343,'Live Data'!$C$12)="","",INDEX(SPOT_Import!$A$1:$Z$2488,1343,'Live Data'!$C$12)),"")</f>
        <v/>
      </c>
      <c r="B1343" s="54" t="str">
        <f>IFERROR(IF(INDEX(SPOT_Import!$A$1:$Z$2488,1343,'Live Data'!$C$13)="","",INDEX(SPOT_Import!$A$1:$Z$2488,1343,'Live Data'!$C$13)),"")</f>
        <v/>
      </c>
      <c r="C1343" s="54" t="str">
        <f>IFERROR(IF(INDEX(SPOT_Import!$A$1:$Z$2488,1343,'Live Data'!$C$14)="","",INDEX(SPOT_Import!$A$1:$Z$2488,1343,'Live Data'!$C$14)),"")</f>
        <v/>
      </c>
      <c r="D1343" s="54" t="str">
        <f>IFERROR(IF(INDEX(SPOT_Import!$A$1:$Z$2488,1343,'Live Data'!$C$15)="","",INDEX(SPOT_Import!$A$1:$Z$2488,1343,'Live Data'!$C$15)),"")</f>
        <v/>
      </c>
      <c r="E1343" s="54" t="str">
        <f>IFERROR(IF(INDEX(SPOT_Import!$A$1:$Z$2488,1343,'Live Data'!$C$16)="","",INDEX(SPOT_Import!$A$1:$Z$2488,1343,'Live Data'!$C$16)),"")</f>
        <v/>
      </c>
      <c r="F1343" s="54" t="str">
        <f>IFERROR(IF(INDEX(SPOT_Import!$A$1:$Z$2488,1343,'Live Data'!$C$17)="","",INDEX(SPOT_Import!$A$1:$Z$2488,1343,'Live Data'!$C$17)),"")</f>
        <v/>
      </c>
      <c r="G1343" s="54" t="str">
        <f>IFERROR(IF(INDEX(SPOT_Import!$A$1:$Z$2488,1343,'Live Data'!$C$18)="","",INDEX(SPOT_Import!$A$1:$Z$2488,1343,'Live Data'!$C$18)),"")</f>
        <v/>
      </c>
      <c r="H1343" s="54" t="str">
        <f>IFERROR(IF(INDEX(SPOT_Import!$A$1:$Z$2488,1343,'Live Data'!$C$19)="","",INDEX(SPOT_Import!$A$1:$Z$2488,1343,'Live Data'!$C$19)),"")</f>
        <v/>
      </c>
      <c r="I1343" s="54" t="str">
        <f>IFERROR(IF(INDEX(SPOT_Import!$A$1:$Z$2488,1343,'Live Data'!$C$20)="","",INDEX(SPOT_Import!$A$1:$Z$2488,1343,'Live Data'!$C$20)),"")</f>
        <v/>
      </c>
      <c r="J1343" s="54" t="str">
        <f>IFERROR(IF(INDEX(SPOT_Import!$A$1:$Z$2488,1343,'Live Data'!$C$21)="","",INDEX(SPOT_Import!$A$1:$Z$2488,1343,'Live Data'!$C$21)),"")</f>
        <v/>
      </c>
      <c r="K1343" s="54" t="str">
        <f>IFERROR(IF(INDEX(SPOT_Import!$A$1:$Z$2488,1343,'Live Data'!$C$22)="","",INDEX(SPOT_Import!$A$1:$Z$2488,1343,'Live Data'!$C$22)),"")</f>
        <v/>
      </c>
      <c r="L1343" s="55" t="str">
        <f t="shared" si="40"/>
        <v/>
      </c>
      <c r="M1343" s="55" t="str">
        <f t="shared" si="41"/>
        <v/>
      </c>
      <c r="N1343" s="55" t="str">
        <f>IF(A1343="","",IFERROR(INDEX('Cluster Map'!$A$4:$A$38,MATCH(M1343,'Cluster Map'!$B$4:$B$38,0)),"Unmapped"))</f>
        <v/>
      </c>
      <c r="O1343" s="55">
        <f>IF(A1343="",0,IF(COUNTIFS($A$2:A1343,A1343,$F$2:F1343,F1343,$L$2:L1343,L1343)=1,1,0))</f>
        <v>0</v>
      </c>
      <c r="P1343" s="55">
        <f>IF(A1343="",0,IF(AND(F1343="C&amp;T",COUNTIFS($A$2:A1343,A1343,$F$2:F1343,"C&amp;T")=1),1,0))</f>
        <v>0</v>
      </c>
    </row>
    <row r="1344" spans="1:16" x14ac:dyDescent="0.35">
      <c r="A1344" s="54" t="str">
        <f>IFERROR(IF(INDEX(SPOT_Import!$A$1:$Z$2488,1344,'Live Data'!$C$12)="","",INDEX(SPOT_Import!$A$1:$Z$2488,1344,'Live Data'!$C$12)),"")</f>
        <v/>
      </c>
      <c r="B1344" s="54" t="str">
        <f>IFERROR(IF(INDEX(SPOT_Import!$A$1:$Z$2488,1344,'Live Data'!$C$13)="","",INDEX(SPOT_Import!$A$1:$Z$2488,1344,'Live Data'!$C$13)),"")</f>
        <v/>
      </c>
      <c r="C1344" s="54" t="str">
        <f>IFERROR(IF(INDEX(SPOT_Import!$A$1:$Z$2488,1344,'Live Data'!$C$14)="","",INDEX(SPOT_Import!$A$1:$Z$2488,1344,'Live Data'!$C$14)),"")</f>
        <v/>
      </c>
      <c r="D1344" s="54" t="str">
        <f>IFERROR(IF(INDEX(SPOT_Import!$A$1:$Z$2488,1344,'Live Data'!$C$15)="","",INDEX(SPOT_Import!$A$1:$Z$2488,1344,'Live Data'!$C$15)),"")</f>
        <v/>
      </c>
      <c r="E1344" s="54" t="str">
        <f>IFERROR(IF(INDEX(SPOT_Import!$A$1:$Z$2488,1344,'Live Data'!$C$16)="","",INDEX(SPOT_Import!$A$1:$Z$2488,1344,'Live Data'!$C$16)),"")</f>
        <v/>
      </c>
      <c r="F1344" s="54" t="str">
        <f>IFERROR(IF(INDEX(SPOT_Import!$A$1:$Z$2488,1344,'Live Data'!$C$17)="","",INDEX(SPOT_Import!$A$1:$Z$2488,1344,'Live Data'!$C$17)),"")</f>
        <v/>
      </c>
      <c r="G1344" s="54" t="str">
        <f>IFERROR(IF(INDEX(SPOT_Import!$A$1:$Z$2488,1344,'Live Data'!$C$18)="","",INDEX(SPOT_Import!$A$1:$Z$2488,1344,'Live Data'!$C$18)),"")</f>
        <v/>
      </c>
      <c r="H1344" s="54" t="str">
        <f>IFERROR(IF(INDEX(SPOT_Import!$A$1:$Z$2488,1344,'Live Data'!$C$19)="","",INDEX(SPOT_Import!$A$1:$Z$2488,1344,'Live Data'!$C$19)),"")</f>
        <v/>
      </c>
      <c r="I1344" s="54" t="str">
        <f>IFERROR(IF(INDEX(SPOT_Import!$A$1:$Z$2488,1344,'Live Data'!$C$20)="","",INDEX(SPOT_Import!$A$1:$Z$2488,1344,'Live Data'!$C$20)),"")</f>
        <v/>
      </c>
      <c r="J1344" s="54" t="str">
        <f>IFERROR(IF(INDEX(SPOT_Import!$A$1:$Z$2488,1344,'Live Data'!$C$21)="","",INDEX(SPOT_Import!$A$1:$Z$2488,1344,'Live Data'!$C$21)),"")</f>
        <v/>
      </c>
      <c r="K1344" s="54" t="str">
        <f>IFERROR(IF(INDEX(SPOT_Import!$A$1:$Z$2488,1344,'Live Data'!$C$22)="","",INDEX(SPOT_Import!$A$1:$Z$2488,1344,'Live Data'!$C$22)),"")</f>
        <v/>
      </c>
      <c r="L1344" s="55" t="str">
        <f t="shared" si="40"/>
        <v/>
      </c>
      <c r="M1344" s="55" t="str">
        <f t="shared" si="41"/>
        <v/>
      </c>
      <c r="N1344" s="55" t="str">
        <f>IF(A1344="","",IFERROR(INDEX('Cluster Map'!$A$4:$A$38,MATCH(M1344,'Cluster Map'!$B$4:$B$38,0)),"Unmapped"))</f>
        <v/>
      </c>
      <c r="O1344" s="55">
        <f>IF(A1344="",0,IF(COUNTIFS($A$2:A1344,A1344,$F$2:F1344,F1344,$L$2:L1344,L1344)=1,1,0))</f>
        <v>0</v>
      </c>
      <c r="P1344" s="55">
        <f>IF(A1344="",0,IF(AND(F1344="C&amp;T",COUNTIFS($A$2:A1344,A1344,$F$2:F1344,"C&amp;T")=1),1,0))</f>
        <v>0</v>
      </c>
    </row>
    <row r="1345" spans="1:16" x14ac:dyDescent="0.35">
      <c r="A1345" s="54" t="str">
        <f>IFERROR(IF(INDEX(SPOT_Import!$A$1:$Z$2488,1345,'Live Data'!$C$12)="","",INDEX(SPOT_Import!$A$1:$Z$2488,1345,'Live Data'!$C$12)),"")</f>
        <v/>
      </c>
      <c r="B1345" s="54" t="str">
        <f>IFERROR(IF(INDEX(SPOT_Import!$A$1:$Z$2488,1345,'Live Data'!$C$13)="","",INDEX(SPOT_Import!$A$1:$Z$2488,1345,'Live Data'!$C$13)),"")</f>
        <v/>
      </c>
      <c r="C1345" s="54" t="str">
        <f>IFERROR(IF(INDEX(SPOT_Import!$A$1:$Z$2488,1345,'Live Data'!$C$14)="","",INDEX(SPOT_Import!$A$1:$Z$2488,1345,'Live Data'!$C$14)),"")</f>
        <v/>
      </c>
      <c r="D1345" s="54" t="str">
        <f>IFERROR(IF(INDEX(SPOT_Import!$A$1:$Z$2488,1345,'Live Data'!$C$15)="","",INDEX(SPOT_Import!$A$1:$Z$2488,1345,'Live Data'!$C$15)),"")</f>
        <v/>
      </c>
      <c r="E1345" s="54" t="str">
        <f>IFERROR(IF(INDEX(SPOT_Import!$A$1:$Z$2488,1345,'Live Data'!$C$16)="","",INDEX(SPOT_Import!$A$1:$Z$2488,1345,'Live Data'!$C$16)),"")</f>
        <v/>
      </c>
      <c r="F1345" s="54" t="str">
        <f>IFERROR(IF(INDEX(SPOT_Import!$A$1:$Z$2488,1345,'Live Data'!$C$17)="","",INDEX(SPOT_Import!$A$1:$Z$2488,1345,'Live Data'!$C$17)),"")</f>
        <v/>
      </c>
      <c r="G1345" s="54" t="str">
        <f>IFERROR(IF(INDEX(SPOT_Import!$A$1:$Z$2488,1345,'Live Data'!$C$18)="","",INDEX(SPOT_Import!$A$1:$Z$2488,1345,'Live Data'!$C$18)),"")</f>
        <v/>
      </c>
      <c r="H1345" s="54" t="str">
        <f>IFERROR(IF(INDEX(SPOT_Import!$A$1:$Z$2488,1345,'Live Data'!$C$19)="","",INDEX(SPOT_Import!$A$1:$Z$2488,1345,'Live Data'!$C$19)),"")</f>
        <v/>
      </c>
      <c r="I1345" s="54" t="str">
        <f>IFERROR(IF(INDEX(SPOT_Import!$A$1:$Z$2488,1345,'Live Data'!$C$20)="","",INDEX(SPOT_Import!$A$1:$Z$2488,1345,'Live Data'!$C$20)),"")</f>
        <v/>
      </c>
      <c r="J1345" s="54" t="str">
        <f>IFERROR(IF(INDEX(SPOT_Import!$A$1:$Z$2488,1345,'Live Data'!$C$21)="","",INDEX(SPOT_Import!$A$1:$Z$2488,1345,'Live Data'!$C$21)),"")</f>
        <v/>
      </c>
      <c r="K1345" s="54" t="str">
        <f>IFERROR(IF(INDEX(SPOT_Import!$A$1:$Z$2488,1345,'Live Data'!$C$22)="","",INDEX(SPOT_Import!$A$1:$Z$2488,1345,'Live Data'!$C$22)),"")</f>
        <v/>
      </c>
      <c r="L1345" s="55" t="str">
        <f t="shared" si="40"/>
        <v/>
      </c>
      <c r="M1345" s="55" t="str">
        <f t="shared" si="41"/>
        <v/>
      </c>
      <c r="N1345" s="55" t="str">
        <f>IF(A1345="","",IFERROR(INDEX('Cluster Map'!$A$4:$A$38,MATCH(M1345,'Cluster Map'!$B$4:$B$38,0)),"Unmapped"))</f>
        <v/>
      </c>
      <c r="O1345" s="55">
        <f>IF(A1345="",0,IF(COUNTIFS($A$2:A1345,A1345,$F$2:F1345,F1345,$L$2:L1345,L1345)=1,1,0))</f>
        <v>0</v>
      </c>
      <c r="P1345" s="55">
        <f>IF(A1345="",0,IF(AND(F1345="C&amp;T",COUNTIFS($A$2:A1345,A1345,$F$2:F1345,"C&amp;T")=1),1,0))</f>
        <v>0</v>
      </c>
    </row>
    <row r="1346" spans="1:16" x14ac:dyDescent="0.35">
      <c r="A1346" s="54" t="str">
        <f>IFERROR(IF(INDEX(SPOT_Import!$A$1:$Z$2488,1346,'Live Data'!$C$12)="","",INDEX(SPOT_Import!$A$1:$Z$2488,1346,'Live Data'!$C$12)),"")</f>
        <v/>
      </c>
      <c r="B1346" s="54" t="str">
        <f>IFERROR(IF(INDEX(SPOT_Import!$A$1:$Z$2488,1346,'Live Data'!$C$13)="","",INDEX(SPOT_Import!$A$1:$Z$2488,1346,'Live Data'!$C$13)),"")</f>
        <v/>
      </c>
      <c r="C1346" s="54" t="str">
        <f>IFERROR(IF(INDEX(SPOT_Import!$A$1:$Z$2488,1346,'Live Data'!$C$14)="","",INDEX(SPOT_Import!$A$1:$Z$2488,1346,'Live Data'!$C$14)),"")</f>
        <v/>
      </c>
      <c r="D1346" s="54" t="str">
        <f>IFERROR(IF(INDEX(SPOT_Import!$A$1:$Z$2488,1346,'Live Data'!$C$15)="","",INDEX(SPOT_Import!$A$1:$Z$2488,1346,'Live Data'!$C$15)),"")</f>
        <v/>
      </c>
      <c r="E1346" s="54" t="str">
        <f>IFERROR(IF(INDEX(SPOT_Import!$A$1:$Z$2488,1346,'Live Data'!$C$16)="","",INDEX(SPOT_Import!$A$1:$Z$2488,1346,'Live Data'!$C$16)),"")</f>
        <v/>
      </c>
      <c r="F1346" s="54" t="str">
        <f>IFERROR(IF(INDEX(SPOT_Import!$A$1:$Z$2488,1346,'Live Data'!$C$17)="","",INDEX(SPOT_Import!$A$1:$Z$2488,1346,'Live Data'!$C$17)),"")</f>
        <v/>
      </c>
      <c r="G1346" s="54" t="str">
        <f>IFERROR(IF(INDEX(SPOT_Import!$A$1:$Z$2488,1346,'Live Data'!$C$18)="","",INDEX(SPOT_Import!$A$1:$Z$2488,1346,'Live Data'!$C$18)),"")</f>
        <v/>
      </c>
      <c r="H1346" s="54" t="str">
        <f>IFERROR(IF(INDEX(SPOT_Import!$A$1:$Z$2488,1346,'Live Data'!$C$19)="","",INDEX(SPOT_Import!$A$1:$Z$2488,1346,'Live Data'!$C$19)),"")</f>
        <v/>
      </c>
      <c r="I1346" s="54" t="str">
        <f>IFERROR(IF(INDEX(SPOT_Import!$A$1:$Z$2488,1346,'Live Data'!$C$20)="","",INDEX(SPOT_Import!$A$1:$Z$2488,1346,'Live Data'!$C$20)),"")</f>
        <v/>
      </c>
      <c r="J1346" s="54" t="str">
        <f>IFERROR(IF(INDEX(SPOT_Import!$A$1:$Z$2488,1346,'Live Data'!$C$21)="","",INDEX(SPOT_Import!$A$1:$Z$2488,1346,'Live Data'!$C$21)),"")</f>
        <v/>
      </c>
      <c r="K1346" s="54" t="str">
        <f>IFERROR(IF(INDEX(SPOT_Import!$A$1:$Z$2488,1346,'Live Data'!$C$22)="","",INDEX(SPOT_Import!$A$1:$Z$2488,1346,'Live Data'!$C$22)),"")</f>
        <v/>
      </c>
      <c r="L1346" s="55" t="str">
        <f t="shared" ref="L1346:L1409" si="42">IF(A1346="","",IF(ISNUMBER(K1346),TEXT(K1346,"yyyy-mm"),LEFT(K1346,7)))</f>
        <v/>
      </c>
      <c r="M1346" s="55" t="str">
        <f t="shared" ref="M1346:M1409" si="43">IF(A1346="","",UPPER(TRIM(SUBSTITUTE(C1346," - ","-"))))</f>
        <v/>
      </c>
      <c r="N1346" s="55" t="str">
        <f>IF(A1346="","",IFERROR(INDEX('Cluster Map'!$A$4:$A$38,MATCH(M1346,'Cluster Map'!$B$4:$B$38,0)),"Unmapped"))</f>
        <v/>
      </c>
      <c r="O1346" s="55">
        <f>IF(A1346="",0,IF(COUNTIFS($A$2:A1346,A1346,$F$2:F1346,F1346,$L$2:L1346,L1346)=1,1,0))</f>
        <v>0</v>
      </c>
      <c r="P1346" s="55">
        <f>IF(A1346="",0,IF(AND(F1346="C&amp;T",COUNTIFS($A$2:A1346,A1346,$F$2:F1346,"C&amp;T")=1),1,0))</f>
        <v>0</v>
      </c>
    </row>
    <row r="1347" spans="1:16" x14ac:dyDescent="0.35">
      <c r="A1347" s="54" t="str">
        <f>IFERROR(IF(INDEX(SPOT_Import!$A$1:$Z$2488,1347,'Live Data'!$C$12)="","",INDEX(SPOT_Import!$A$1:$Z$2488,1347,'Live Data'!$C$12)),"")</f>
        <v/>
      </c>
      <c r="B1347" s="54" t="str">
        <f>IFERROR(IF(INDEX(SPOT_Import!$A$1:$Z$2488,1347,'Live Data'!$C$13)="","",INDEX(SPOT_Import!$A$1:$Z$2488,1347,'Live Data'!$C$13)),"")</f>
        <v/>
      </c>
      <c r="C1347" s="54" t="str">
        <f>IFERROR(IF(INDEX(SPOT_Import!$A$1:$Z$2488,1347,'Live Data'!$C$14)="","",INDEX(SPOT_Import!$A$1:$Z$2488,1347,'Live Data'!$C$14)),"")</f>
        <v/>
      </c>
      <c r="D1347" s="54" t="str">
        <f>IFERROR(IF(INDEX(SPOT_Import!$A$1:$Z$2488,1347,'Live Data'!$C$15)="","",INDEX(SPOT_Import!$A$1:$Z$2488,1347,'Live Data'!$C$15)),"")</f>
        <v/>
      </c>
      <c r="E1347" s="54" t="str">
        <f>IFERROR(IF(INDEX(SPOT_Import!$A$1:$Z$2488,1347,'Live Data'!$C$16)="","",INDEX(SPOT_Import!$A$1:$Z$2488,1347,'Live Data'!$C$16)),"")</f>
        <v/>
      </c>
      <c r="F1347" s="54" t="str">
        <f>IFERROR(IF(INDEX(SPOT_Import!$A$1:$Z$2488,1347,'Live Data'!$C$17)="","",INDEX(SPOT_Import!$A$1:$Z$2488,1347,'Live Data'!$C$17)),"")</f>
        <v/>
      </c>
      <c r="G1347" s="54" t="str">
        <f>IFERROR(IF(INDEX(SPOT_Import!$A$1:$Z$2488,1347,'Live Data'!$C$18)="","",INDEX(SPOT_Import!$A$1:$Z$2488,1347,'Live Data'!$C$18)),"")</f>
        <v/>
      </c>
      <c r="H1347" s="54" t="str">
        <f>IFERROR(IF(INDEX(SPOT_Import!$A$1:$Z$2488,1347,'Live Data'!$C$19)="","",INDEX(SPOT_Import!$A$1:$Z$2488,1347,'Live Data'!$C$19)),"")</f>
        <v/>
      </c>
      <c r="I1347" s="54" t="str">
        <f>IFERROR(IF(INDEX(SPOT_Import!$A$1:$Z$2488,1347,'Live Data'!$C$20)="","",INDEX(SPOT_Import!$A$1:$Z$2488,1347,'Live Data'!$C$20)),"")</f>
        <v/>
      </c>
      <c r="J1347" s="54" t="str">
        <f>IFERROR(IF(INDEX(SPOT_Import!$A$1:$Z$2488,1347,'Live Data'!$C$21)="","",INDEX(SPOT_Import!$A$1:$Z$2488,1347,'Live Data'!$C$21)),"")</f>
        <v/>
      </c>
      <c r="K1347" s="54" t="str">
        <f>IFERROR(IF(INDEX(SPOT_Import!$A$1:$Z$2488,1347,'Live Data'!$C$22)="","",INDEX(SPOT_Import!$A$1:$Z$2488,1347,'Live Data'!$C$22)),"")</f>
        <v/>
      </c>
      <c r="L1347" s="55" t="str">
        <f t="shared" si="42"/>
        <v/>
      </c>
      <c r="M1347" s="55" t="str">
        <f t="shared" si="43"/>
        <v/>
      </c>
      <c r="N1347" s="55" t="str">
        <f>IF(A1347="","",IFERROR(INDEX('Cluster Map'!$A$4:$A$38,MATCH(M1347,'Cluster Map'!$B$4:$B$38,0)),"Unmapped"))</f>
        <v/>
      </c>
      <c r="O1347" s="55">
        <f>IF(A1347="",0,IF(COUNTIFS($A$2:A1347,A1347,$F$2:F1347,F1347,$L$2:L1347,L1347)=1,1,0))</f>
        <v>0</v>
      </c>
      <c r="P1347" s="55">
        <f>IF(A1347="",0,IF(AND(F1347="C&amp;T",COUNTIFS($A$2:A1347,A1347,$F$2:F1347,"C&amp;T")=1),1,0))</f>
        <v>0</v>
      </c>
    </row>
    <row r="1348" spans="1:16" x14ac:dyDescent="0.35">
      <c r="A1348" s="54" t="str">
        <f>IFERROR(IF(INDEX(SPOT_Import!$A$1:$Z$2488,1348,'Live Data'!$C$12)="","",INDEX(SPOT_Import!$A$1:$Z$2488,1348,'Live Data'!$C$12)),"")</f>
        <v/>
      </c>
      <c r="B1348" s="54" t="str">
        <f>IFERROR(IF(INDEX(SPOT_Import!$A$1:$Z$2488,1348,'Live Data'!$C$13)="","",INDEX(SPOT_Import!$A$1:$Z$2488,1348,'Live Data'!$C$13)),"")</f>
        <v/>
      </c>
      <c r="C1348" s="54" t="str">
        <f>IFERROR(IF(INDEX(SPOT_Import!$A$1:$Z$2488,1348,'Live Data'!$C$14)="","",INDEX(SPOT_Import!$A$1:$Z$2488,1348,'Live Data'!$C$14)),"")</f>
        <v/>
      </c>
      <c r="D1348" s="54" t="str">
        <f>IFERROR(IF(INDEX(SPOT_Import!$A$1:$Z$2488,1348,'Live Data'!$C$15)="","",INDEX(SPOT_Import!$A$1:$Z$2488,1348,'Live Data'!$C$15)),"")</f>
        <v/>
      </c>
      <c r="E1348" s="54" t="str">
        <f>IFERROR(IF(INDEX(SPOT_Import!$A$1:$Z$2488,1348,'Live Data'!$C$16)="","",INDEX(SPOT_Import!$A$1:$Z$2488,1348,'Live Data'!$C$16)),"")</f>
        <v/>
      </c>
      <c r="F1348" s="54" t="str">
        <f>IFERROR(IF(INDEX(SPOT_Import!$A$1:$Z$2488,1348,'Live Data'!$C$17)="","",INDEX(SPOT_Import!$A$1:$Z$2488,1348,'Live Data'!$C$17)),"")</f>
        <v/>
      </c>
      <c r="G1348" s="54" t="str">
        <f>IFERROR(IF(INDEX(SPOT_Import!$A$1:$Z$2488,1348,'Live Data'!$C$18)="","",INDEX(SPOT_Import!$A$1:$Z$2488,1348,'Live Data'!$C$18)),"")</f>
        <v/>
      </c>
      <c r="H1348" s="54" t="str">
        <f>IFERROR(IF(INDEX(SPOT_Import!$A$1:$Z$2488,1348,'Live Data'!$C$19)="","",INDEX(SPOT_Import!$A$1:$Z$2488,1348,'Live Data'!$C$19)),"")</f>
        <v/>
      </c>
      <c r="I1348" s="54" t="str">
        <f>IFERROR(IF(INDEX(SPOT_Import!$A$1:$Z$2488,1348,'Live Data'!$C$20)="","",INDEX(SPOT_Import!$A$1:$Z$2488,1348,'Live Data'!$C$20)),"")</f>
        <v/>
      </c>
      <c r="J1348" s="54" t="str">
        <f>IFERROR(IF(INDEX(SPOT_Import!$A$1:$Z$2488,1348,'Live Data'!$C$21)="","",INDEX(SPOT_Import!$A$1:$Z$2488,1348,'Live Data'!$C$21)),"")</f>
        <v/>
      </c>
      <c r="K1348" s="54" t="str">
        <f>IFERROR(IF(INDEX(SPOT_Import!$A$1:$Z$2488,1348,'Live Data'!$C$22)="","",INDEX(SPOT_Import!$A$1:$Z$2488,1348,'Live Data'!$C$22)),"")</f>
        <v/>
      </c>
      <c r="L1348" s="55" t="str">
        <f t="shared" si="42"/>
        <v/>
      </c>
      <c r="M1348" s="55" t="str">
        <f t="shared" si="43"/>
        <v/>
      </c>
      <c r="N1348" s="55" t="str">
        <f>IF(A1348="","",IFERROR(INDEX('Cluster Map'!$A$4:$A$38,MATCH(M1348,'Cluster Map'!$B$4:$B$38,0)),"Unmapped"))</f>
        <v/>
      </c>
      <c r="O1348" s="55">
        <f>IF(A1348="",0,IF(COUNTIFS($A$2:A1348,A1348,$F$2:F1348,F1348,$L$2:L1348,L1348)=1,1,0))</f>
        <v>0</v>
      </c>
      <c r="P1348" s="55">
        <f>IF(A1348="",0,IF(AND(F1348="C&amp;T",COUNTIFS($A$2:A1348,A1348,$F$2:F1348,"C&amp;T")=1),1,0))</f>
        <v>0</v>
      </c>
    </row>
    <row r="1349" spans="1:16" x14ac:dyDescent="0.35">
      <c r="A1349" s="54" t="str">
        <f>IFERROR(IF(INDEX(SPOT_Import!$A$1:$Z$2488,1349,'Live Data'!$C$12)="","",INDEX(SPOT_Import!$A$1:$Z$2488,1349,'Live Data'!$C$12)),"")</f>
        <v/>
      </c>
      <c r="B1349" s="54" t="str">
        <f>IFERROR(IF(INDEX(SPOT_Import!$A$1:$Z$2488,1349,'Live Data'!$C$13)="","",INDEX(SPOT_Import!$A$1:$Z$2488,1349,'Live Data'!$C$13)),"")</f>
        <v/>
      </c>
      <c r="C1349" s="54" t="str">
        <f>IFERROR(IF(INDEX(SPOT_Import!$A$1:$Z$2488,1349,'Live Data'!$C$14)="","",INDEX(SPOT_Import!$A$1:$Z$2488,1349,'Live Data'!$C$14)),"")</f>
        <v/>
      </c>
      <c r="D1349" s="54" t="str">
        <f>IFERROR(IF(INDEX(SPOT_Import!$A$1:$Z$2488,1349,'Live Data'!$C$15)="","",INDEX(SPOT_Import!$A$1:$Z$2488,1349,'Live Data'!$C$15)),"")</f>
        <v/>
      </c>
      <c r="E1349" s="54" t="str">
        <f>IFERROR(IF(INDEX(SPOT_Import!$A$1:$Z$2488,1349,'Live Data'!$C$16)="","",INDEX(SPOT_Import!$A$1:$Z$2488,1349,'Live Data'!$C$16)),"")</f>
        <v/>
      </c>
      <c r="F1349" s="54" t="str">
        <f>IFERROR(IF(INDEX(SPOT_Import!$A$1:$Z$2488,1349,'Live Data'!$C$17)="","",INDEX(SPOT_Import!$A$1:$Z$2488,1349,'Live Data'!$C$17)),"")</f>
        <v/>
      </c>
      <c r="G1349" s="54" t="str">
        <f>IFERROR(IF(INDEX(SPOT_Import!$A$1:$Z$2488,1349,'Live Data'!$C$18)="","",INDEX(SPOT_Import!$A$1:$Z$2488,1349,'Live Data'!$C$18)),"")</f>
        <v/>
      </c>
      <c r="H1349" s="54" t="str">
        <f>IFERROR(IF(INDEX(SPOT_Import!$A$1:$Z$2488,1349,'Live Data'!$C$19)="","",INDEX(SPOT_Import!$A$1:$Z$2488,1349,'Live Data'!$C$19)),"")</f>
        <v/>
      </c>
      <c r="I1349" s="54" t="str">
        <f>IFERROR(IF(INDEX(SPOT_Import!$A$1:$Z$2488,1349,'Live Data'!$C$20)="","",INDEX(SPOT_Import!$A$1:$Z$2488,1349,'Live Data'!$C$20)),"")</f>
        <v/>
      </c>
      <c r="J1349" s="54" t="str">
        <f>IFERROR(IF(INDEX(SPOT_Import!$A$1:$Z$2488,1349,'Live Data'!$C$21)="","",INDEX(SPOT_Import!$A$1:$Z$2488,1349,'Live Data'!$C$21)),"")</f>
        <v/>
      </c>
      <c r="K1349" s="54" t="str">
        <f>IFERROR(IF(INDEX(SPOT_Import!$A$1:$Z$2488,1349,'Live Data'!$C$22)="","",INDEX(SPOT_Import!$A$1:$Z$2488,1349,'Live Data'!$C$22)),"")</f>
        <v/>
      </c>
      <c r="L1349" s="55" t="str">
        <f t="shared" si="42"/>
        <v/>
      </c>
      <c r="M1349" s="55" t="str">
        <f t="shared" si="43"/>
        <v/>
      </c>
      <c r="N1349" s="55" t="str">
        <f>IF(A1349="","",IFERROR(INDEX('Cluster Map'!$A$4:$A$38,MATCH(M1349,'Cluster Map'!$B$4:$B$38,0)),"Unmapped"))</f>
        <v/>
      </c>
      <c r="O1349" s="55">
        <f>IF(A1349="",0,IF(COUNTIFS($A$2:A1349,A1349,$F$2:F1349,F1349,$L$2:L1349,L1349)=1,1,0))</f>
        <v>0</v>
      </c>
      <c r="P1349" s="55">
        <f>IF(A1349="",0,IF(AND(F1349="C&amp;T",COUNTIFS($A$2:A1349,A1349,$F$2:F1349,"C&amp;T")=1),1,0))</f>
        <v>0</v>
      </c>
    </row>
    <row r="1350" spans="1:16" x14ac:dyDescent="0.35">
      <c r="A1350" s="54" t="str">
        <f>IFERROR(IF(INDEX(SPOT_Import!$A$1:$Z$2488,1350,'Live Data'!$C$12)="","",INDEX(SPOT_Import!$A$1:$Z$2488,1350,'Live Data'!$C$12)),"")</f>
        <v/>
      </c>
      <c r="B1350" s="54" t="str">
        <f>IFERROR(IF(INDEX(SPOT_Import!$A$1:$Z$2488,1350,'Live Data'!$C$13)="","",INDEX(SPOT_Import!$A$1:$Z$2488,1350,'Live Data'!$C$13)),"")</f>
        <v/>
      </c>
      <c r="C1350" s="54" t="str">
        <f>IFERROR(IF(INDEX(SPOT_Import!$A$1:$Z$2488,1350,'Live Data'!$C$14)="","",INDEX(SPOT_Import!$A$1:$Z$2488,1350,'Live Data'!$C$14)),"")</f>
        <v/>
      </c>
      <c r="D1350" s="54" t="str">
        <f>IFERROR(IF(INDEX(SPOT_Import!$A$1:$Z$2488,1350,'Live Data'!$C$15)="","",INDEX(SPOT_Import!$A$1:$Z$2488,1350,'Live Data'!$C$15)),"")</f>
        <v/>
      </c>
      <c r="E1350" s="54" t="str">
        <f>IFERROR(IF(INDEX(SPOT_Import!$A$1:$Z$2488,1350,'Live Data'!$C$16)="","",INDEX(SPOT_Import!$A$1:$Z$2488,1350,'Live Data'!$C$16)),"")</f>
        <v/>
      </c>
      <c r="F1350" s="54" t="str">
        <f>IFERROR(IF(INDEX(SPOT_Import!$A$1:$Z$2488,1350,'Live Data'!$C$17)="","",INDEX(SPOT_Import!$A$1:$Z$2488,1350,'Live Data'!$C$17)),"")</f>
        <v/>
      </c>
      <c r="G1350" s="54" t="str">
        <f>IFERROR(IF(INDEX(SPOT_Import!$A$1:$Z$2488,1350,'Live Data'!$C$18)="","",INDEX(SPOT_Import!$A$1:$Z$2488,1350,'Live Data'!$C$18)),"")</f>
        <v/>
      </c>
      <c r="H1350" s="54" t="str">
        <f>IFERROR(IF(INDEX(SPOT_Import!$A$1:$Z$2488,1350,'Live Data'!$C$19)="","",INDEX(SPOT_Import!$A$1:$Z$2488,1350,'Live Data'!$C$19)),"")</f>
        <v/>
      </c>
      <c r="I1350" s="54" t="str">
        <f>IFERROR(IF(INDEX(SPOT_Import!$A$1:$Z$2488,1350,'Live Data'!$C$20)="","",INDEX(SPOT_Import!$A$1:$Z$2488,1350,'Live Data'!$C$20)),"")</f>
        <v/>
      </c>
      <c r="J1350" s="54" t="str">
        <f>IFERROR(IF(INDEX(SPOT_Import!$A$1:$Z$2488,1350,'Live Data'!$C$21)="","",INDEX(SPOT_Import!$A$1:$Z$2488,1350,'Live Data'!$C$21)),"")</f>
        <v/>
      </c>
      <c r="K1350" s="54" t="str">
        <f>IFERROR(IF(INDEX(SPOT_Import!$A$1:$Z$2488,1350,'Live Data'!$C$22)="","",INDEX(SPOT_Import!$A$1:$Z$2488,1350,'Live Data'!$C$22)),"")</f>
        <v/>
      </c>
      <c r="L1350" s="55" t="str">
        <f t="shared" si="42"/>
        <v/>
      </c>
      <c r="M1350" s="55" t="str">
        <f t="shared" si="43"/>
        <v/>
      </c>
      <c r="N1350" s="55" t="str">
        <f>IF(A1350="","",IFERROR(INDEX('Cluster Map'!$A$4:$A$38,MATCH(M1350,'Cluster Map'!$B$4:$B$38,0)),"Unmapped"))</f>
        <v/>
      </c>
      <c r="O1350" s="55">
        <f>IF(A1350="",0,IF(COUNTIFS($A$2:A1350,A1350,$F$2:F1350,F1350,$L$2:L1350,L1350)=1,1,0))</f>
        <v>0</v>
      </c>
      <c r="P1350" s="55">
        <f>IF(A1350="",0,IF(AND(F1350="C&amp;T",COUNTIFS($A$2:A1350,A1350,$F$2:F1350,"C&amp;T")=1),1,0))</f>
        <v>0</v>
      </c>
    </row>
    <row r="1351" spans="1:16" x14ac:dyDescent="0.35">
      <c r="A1351" s="54" t="str">
        <f>IFERROR(IF(INDEX(SPOT_Import!$A$1:$Z$2488,1351,'Live Data'!$C$12)="","",INDEX(SPOT_Import!$A$1:$Z$2488,1351,'Live Data'!$C$12)),"")</f>
        <v/>
      </c>
      <c r="B1351" s="54" t="str">
        <f>IFERROR(IF(INDEX(SPOT_Import!$A$1:$Z$2488,1351,'Live Data'!$C$13)="","",INDEX(SPOT_Import!$A$1:$Z$2488,1351,'Live Data'!$C$13)),"")</f>
        <v/>
      </c>
      <c r="C1351" s="54" t="str">
        <f>IFERROR(IF(INDEX(SPOT_Import!$A$1:$Z$2488,1351,'Live Data'!$C$14)="","",INDEX(SPOT_Import!$A$1:$Z$2488,1351,'Live Data'!$C$14)),"")</f>
        <v/>
      </c>
      <c r="D1351" s="54" t="str">
        <f>IFERROR(IF(INDEX(SPOT_Import!$A$1:$Z$2488,1351,'Live Data'!$C$15)="","",INDEX(SPOT_Import!$A$1:$Z$2488,1351,'Live Data'!$C$15)),"")</f>
        <v/>
      </c>
      <c r="E1351" s="54" t="str">
        <f>IFERROR(IF(INDEX(SPOT_Import!$A$1:$Z$2488,1351,'Live Data'!$C$16)="","",INDEX(SPOT_Import!$A$1:$Z$2488,1351,'Live Data'!$C$16)),"")</f>
        <v/>
      </c>
      <c r="F1351" s="54" t="str">
        <f>IFERROR(IF(INDEX(SPOT_Import!$A$1:$Z$2488,1351,'Live Data'!$C$17)="","",INDEX(SPOT_Import!$A$1:$Z$2488,1351,'Live Data'!$C$17)),"")</f>
        <v/>
      </c>
      <c r="G1351" s="54" t="str">
        <f>IFERROR(IF(INDEX(SPOT_Import!$A$1:$Z$2488,1351,'Live Data'!$C$18)="","",INDEX(SPOT_Import!$A$1:$Z$2488,1351,'Live Data'!$C$18)),"")</f>
        <v/>
      </c>
      <c r="H1351" s="54" t="str">
        <f>IFERROR(IF(INDEX(SPOT_Import!$A$1:$Z$2488,1351,'Live Data'!$C$19)="","",INDEX(SPOT_Import!$A$1:$Z$2488,1351,'Live Data'!$C$19)),"")</f>
        <v/>
      </c>
      <c r="I1351" s="54" t="str">
        <f>IFERROR(IF(INDEX(SPOT_Import!$A$1:$Z$2488,1351,'Live Data'!$C$20)="","",INDEX(SPOT_Import!$A$1:$Z$2488,1351,'Live Data'!$C$20)),"")</f>
        <v/>
      </c>
      <c r="J1351" s="54" t="str">
        <f>IFERROR(IF(INDEX(SPOT_Import!$A$1:$Z$2488,1351,'Live Data'!$C$21)="","",INDEX(SPOT_Import!$A$1:$Z$2488,1351,'Live Data'!$C$21)),"")</f>
        <v/>
      </c>
      <c r="K1351" s="54" t="str">
        <f>IFERROR(IF(INDEX(SPOT_Import!$A$1:$Z$2488,1351,'Live Data'!$C$22)="","",INDEX(SPOT_Import!$A$1:$Z$2488,1351,'Live Data'!$C$22)),"")</f>
        <v/>
      </c>
      <c r="L1351" s="55" t="str">
        <f t="shared" si="42"/>
        <v/>
      </c>
      <c r="M1351" s="55" t="str">
        <f t="shared" si="43"/>
        <v/>
      </c>
      <c r="N1351" s="55" t="str">
        <f>IF(A1351="","",IFERROR(INDEX('Cluster Map'!$A$4:$A$38,MATCH(M1351,'Cluster Map'!$B$4:$B$38,0)),"Unmapped"))</f>
        <v/>
      </c>
      <c r="O1351" s="55">
        <f>IF(A1351="",0,IF(COUNTIFS($A$2:A1351,A1351,$F$2:F1351,F1351,$L$2:L1351,L1351)=1,1,0))</f>
        <v>0</v>
      </c>
      <c r="P1351" s="55">
        <f>IF(A1351="",0,IF(AND(F1351="C&amp;T",COUNTIFS($A$2:A1351,A1351,$F$2:F1351,"C&amp;T")=1),1,0))</f>
        <v>0</v>
      </c>
    </row>
    <row r="1352" spans="1:16" x14ac:dyDescent="0.35">
      <c r="A1352" s="54" t="str">
        <f>IFERROR(IF(INDEX(SPOT_Import!$A$1:$Z$2488,1352,'Live Data'!$C$12)="","",INDEX(SPOT_Import!$A$1:$Z$2488,1352,'Live Data'!$C$12)),"")</f>
        <v/>
      </c>
      <c r="B1352" s="54" t="str">
        <f>IFERROR(IF(INDEX(SPOT_Import!$A$1:$Z$2488,1352,'Live Data'!$C$13)="","",INDEX(SPOT_Import!$A$1:$Z$2488,1352,'Live Data'!$C$13)),"")</f>
        <v/>
      </c>
      <c r="C1352" s="54" t="str">
        <f>IFERROR(IF(INDEX(SPOT_Import!$A$1:$Z$2488,1352,'Live Data'!$C$14)="","",INDEX(SPOT_Import!$A$1:$Z$2488,1352,'Live Data'!$C$14)),"")</f>
        <v/>
      </c>
      <c r="D1352" s="54" t="str">
        <f>IFERROR(IF(INDEX(SPOT_Import!$A$1:$Z$2488,1352,'Live Data'!$C$15)="","",INDEX(SPOT_Import!$A$1:$Z$2488,1352,'Live Data'!$C$15)),"")</f>
        <v/>
      </c>
      <c r="E1352" s="54" t="str">
        <f>IFERROR(IF(INDEX(SPOT_Import!$A$1:$Z$2488,1352,'Live Data'!$C$16)="","",INDEX(SPOT_Import!$A$1:$Z$2488,1352,'Live Data'!$C$16)),"")</f>
        <v/>
      </c>
      <c r="F1352" s="54" t="str">
        <f>IFERROR(IF(INDEX(SPOT_Import!$A$1:$Z$2488,1352,'Live Data'!$C$17)="","",INDEX(SPOT_Import!$A$1:$Z$2488,1352,'Live Data'!$C$17)),"")</f>
        <v/>
      </c>
      <c r="G1352" s="54" t="str">
        <f>IFERROR(IF(INDEX(SPOT_Import!$A$1:$Z$2488,1352,'Live Data'!$C$18)="","",INDEX(SPOT_Import!$A$1:$Z$2488,1352,'Live Data'!$C$18)),"")</f>
        <v/>
      </c>
      <c r="H1352" s="54" t="str">
        <f>IFERROR(IF(INDEX(SPOT_Import!$A$1:$Z$2488,1352,'Live Data'!$C$19)="","",INDEX(SPOT_Import!$A$1:$Z$2488,1352,'Live Data'!$C$19)),"")</f>
        <v/>
      </c>
      <c r="I1352" s="54" t="str">
        <f>IFERROR(IF(INDEX(SPOT_Import!$A$1:$Z$2488,1352,'Live Data'!$C$20)="","",INDEX(SPOT_Import!$A$1:$Z$2488,1352,'Live Data'!$C$20)),"")</f>
        <v/>
      </c>
      <c r="J1352" s="54" t="str">
        <f>IFERROR(IF(INDEX(SPOT_Import!$A$1:$Z$2488,1352,'Live Data'!$C$21)="","",INDEX(SPOT_Import!$A$1:$Z$2488,1352,'Live Data'!$C$21)),"")</f>
        <v/>
      </c>
      <c r="K1352" s="54" t="str">
        <f>IFERROR(IF(INDEX(SPOT_Import!$A$1:$Z$2488,1352,'Live Data'!$C$22)="","",INDEX(SPOT_Import!$A$1:$Z$2488,1352,'Live Data'!$C$22)),"")</f>
        <v/>
      </c>
      <c r="L1352" s="55" t="str">
        <f t="shared" si="42"/>
        <v/>
      </c>
      <c r="M1352" s="55" t="str">
        <f t="shared" si="43"/>
        <v/>
      </c>
      <c r="N1352" s="55" t="str">
        <f>IF(A1352="","",IFERROR(INDEX('Cluster Map'!$A$4:$A$38,MATCH(M1352,'Cluster Map'!$B$4:$B$38,0)),"Unmapped"))</f>
        <v/>
      </c>
      <c r="O1352" s="55">
        <f>IF(A1352="",0,IF(COUNTIFS($A$2:A1352,A1352,$F$2:F1352,F1352,$L$2:L1352,L1352)=1,1,0))</f>
        <v>0</v>
      </c>
      <c r="P1352" s="55">
        <f>IF(A1352="",0,IF(AND(F1352="C&amp;T",COUNTIFS($A$2:A1352,A1352,$F$2:F1352,"C&amp;T")=1),1,0))</f>
        <v>0</v>
      </c>
    </row>
    <row r="1353" spans="1:16" x14ac:dyDescent="0.35">
      <c r="A1353" s="54" t="str">
        <f>IFERROR(IF(INDEX(SPOT_Import!$A$1:$Z$2488,1353,'Live Data'!$C$12)="","",INDEX(SPOT_Import!$A$1:$Z$2488,1353,'Live Data'!$C$12)),"")</f>
        <v/>
      </c>
      <c r="B1353" s="54" t="str">
        <f>IFERROR(IF(INDEX(SPOT_Import!$A$1:$Z$2488,1353,'Live Data'!$C$13)="","",INDEX(SPOT_Import!$A$1:$Z$2488,1353,'Live Data'!$C$13)),"")</f>
        <v/>
      </c>
      <c r="C1353" s="54" t="str">
        <f>IFERROR(IF(INDEX(SPOT_Import!$A$1:$Z$2488,1353,'Live Data'!$C$14)="","",INDEX(SPOT_Import!$A$1:$Z$2488,1353,'Live Data'!$C$14)),"")</f>
        <v/>
      </c>
      <c r="D1353" s="54" t="str">
        <f>IFERROR(IF(INDEX(SPOT_Import!$A$1:$Z$2488,1353,'Live Data'!$C$15)="","",INDEX(SPOT_Import!$A$1:$Z$2488,1353,'Live Data'!$C$15)),"")</f>
        <v/>
      </c>
      <c r="E1353" s="54" t="str">
        <f>IFERROR(IF(INDEX(SPOT_Import!$A$1:$Z$2488,1353,'Live Data'!$C$16)="","",INDEX(SPOT_Import!$A$1:$Z$2488,1353,'Live Data'!$C$16)),"")</f>
        <v/>
      </c>
      <c r="F1353" s="54" t="str">
        <f>IFERROR(IF(INDEX(SPOT_Import!$A$1:$Z$2488,1353,'Live Data'!$C$17)="","",INDEX(SPOT_Import!$A$1:$Z$2488,1353,'Live Data'!$C$17)),"")</f>
        <v/>
      </c>
      <c r="G1353" s="54" t="str">
        <f>IFERROR(IF(INDEX(SPOT_Import!$A$1:$Z$2488,1353,'Live Data'!$C$18)="","",INDEX(SPOT_Import!$A$1:$Z$2488,1353,'Live Data'!$C$18)),"")</f>
        <v/>
      </c>
      <c r="H1353" s="54" t="str">
        <f>IFERROR(IF(INDEX(SPOT_Import!$A$1:$Z$2488,1353,'Live Data'!$C$19)="","",INDEX(SPOT_Import!$A$1:$Z$2488,1353,'Live Data'!$C$19)),"")</f>
        <v/>
      </c>
      <c r="I1353" s="54" t="str">
        <f>IFERROR(IF(INDEX(SPOT_Import!$A$1:$Z$2488,1353,'Live Data'!$C$20)="","",INDEX(SPOT_Import!$A$1:$Z$2488,1353,'Live Data'!$C$20)),"")</f>
        <v/>
      </c>
      <c r="J1353" s="54" t="str">
        <f>IFERROR(IF(INDEX(SPOT_Import!$A$1:$Z$2488,1353,'Live Data'!$C$21)="","",INDEX(SPOT_Import!$A$1:$Z$2488,1353,'Live Data'!$C$21)),"")</f>
        <v/>
      </c>
      <c r="K1353" s="54" t="str">
        <f>IFERROR(IF(INDEX(SPOT_Import!$A$1:$Z$2488,1353,'Live Data'!$C$22)="","",INDEX(SPOT_Import!$A$1:$Z$2488,1353,'Live Data'!$C$22)),"")</f>
        <v/>
      </c>
      <c r="L1353" s="55" t="str">
        <f t="shared" si="42"/>
        <v/>
      </c>
      <c r="M1353" s="55" t="str">
        <f t="shared" si="43"/>
        <v/>
      </c>
      <c r="N1353" s="55" t="str">
        <f>IF(A1353="","",IFERROR(INDEX('Cluster Map'!$A$4:$A$38,MATCH(M1353,'Cluster Map'!$B$4:$B$38,0)),"Unmapped"))</f>
        <v/>
      </c>
      <c r="O1353" s="55">
        <f>IF(A1353="",0,IF(COUNTIFS($A$2:A1353,A1353,$F$2:F1353,F1353,$L$2:L1353,L1353)=1,1,0))</f>
        <v>0</v>
      </c>
      <c r="P1353" s="55">
        <f>IF(A1353="",0,IF(AND(F1353="C&amp;T",COUNTIFS($A$2:A1353,A1353,$F$2:F1353,"C&amp;T")=1),1,0))</f>
        <v>0</v>
      </c>
    </row>
    <row r="1354" spans="1:16" x14ac:dyDescent="0.35">
      <c r="A1354" s="54" t="str">
        <f>IFERROR(IF(INDEX(SPOT_Import!$A$1:$Z$2488,1354,'Live Data'!$C$12)="","",INDEX(SPOT_Import!$A$1:$Z$2488,1354,'Live Data'!$C$12)),"")</f>
        <v/>
      </c>
      <c r="B1354" s="54" t="str">
        <f>IFERROR(IF(INDEX(SPOT_Import!$A$1:$Z$2488,1354,'Live Data'!$C$13)="","",INDEX(SPOT_Import!$A$1:$Z$2488,1354,'Live Data'!$C$13)),"")</f>
        <v/>
      </c>
      <c r="C1354" s="54" t="str">
        <f>IFERROR(IF(INDEX(SPOT_Import!$A$1:$Z$2488,1354,'Live Data'!$C$14)="","",INDEX(SPOT_Import!$A$1:$Z$2488,1354,'Live Data'!$C$14)),"")</f>
        <v/>
      </c>
      <c r="D1354" s="54" t="str">
        <f>IFERROR(IF(INDEX(SPOT_Import!$A$1:$Z$2488,1354,'Live Data'!$C$15)="","",INDEX(SPOT_Import!$A$1:$Z$2488,1354,'Live Data'!$C$15)),"")</f>
        <v/>
      </c>
      <c r="E1354" s="54" t="str">
        <f>IFERROR(IF(INDEX(SPOT_Import!$A$1:$Z$2488,1354,'Live Data'!$C$16)="","",INDEX(SPOT_Import!$A$1:$Z$2488,1354,'Live Data'!$C$16)),"")</f>
        <v/>
      </c>
      <c r="F1354" s="54" t="str">
        <f>IFERROR(IF(INDEX(SPOT_Import!$A$1:$Z$2488,1354,'Live Data'!$C$17)="","",INDEX(SPOT_Import!$A$1:$Z$2488,1354,'Live Data'!$C$17)),"")</f>
        <v/>
      </c>
      <c r="G1354" s="54" t="str">
        <f>IFERROR(IF(INDEX(SPOT_Import!$A$1:$Z$2488,1354,'Live Data'!$C$18)="","",INDEX(SPOT_Import!$A$1:$Z$2488,1354,'Live Data'!$C$18)),"")</f>
        <v/>
      </c>
      <c r="H1354" s="54" t="str">
        <f>IFERROR(IF(INDEX(SPOT_Import!$A$1:$Z$2488,1354,'Live Data'!$C$19)="","",INDEX(SPOT_Import!$A$1:$Z$2488,1354,'Live Data'!$C$19)),"")</f>
        <v/>
      </c>
      <c r="I1354" s="54" t="str">
        <f>IFERROR(IF(INDEX(SPOT_Import!$A$1:$Z$2488,1354,'Live Data'!$C$20)="","",INDEX(SPOT_Import!$A$1:$Z$2488,1354,'Live Data'!$C$20)),"")</f>
        <v/>
      </c>
      <c r="J1354" s="54" t="str">
        <f>IFERROR(IF(INDEX(SPOT_Import!$A$1:$Z$2488,1354,'Live Data'!$C$21)="","",INDEX(SPOT_Import!$A$1:$Z$2488,1354,'Live Data'!$C$21)),"")</f>
        <v/>
      </c>
      <c r="K1354" s="54" t="str">
        <f>IFERROR(IF(INDEX(SPOT_Import!$A$1:$Z$2488,1354,'Live Data'!$C$22)="","",INDEX(SPOT_Import!$A$1:$Z$2488,1354,'Live Data'!$C$22)),"")</f>
        <v/>
      </c>
      <c r="L1354" s="55" t="str">
        <f t="shared" si="42"/>
        <v/>
      </c>
      <c r="M1354" s="55" t="str">
        <f t="shared" si="43"/>
        <v/>
      </c>
      <c r="N1354" s="55" t="str">
        <f>IF(A1354="","",IFERROR(INDEX('Cluster Map'!$A$4:$A$38,MATCH(M1354,'Cluster Map'!$B$4:$B$38,0)),"Unmapped"))</f>
        <v/>
      </c>
      <c r="O1354" s="55">
        <f>IF(A1354="",0,IF(COUNTIFS($A$2:A1354,A1354,$F$2:F1354,F1354,$L$2:L1354,L1354)=1,1,0))</f>
        <v>0</v>
      </c>
      <c r="P1354" s="55">
        <f>IF(A1354="",0,IF(AND(F1354="C&amp;T",COUNTIFS($A$2:A1354,A1354,$F$2:F1354,"C&amp;T")=1),1,0))</f>
        <v>0</v>
      </c>
    </row>
    <row r="1355" spans="1:16" x14ac:dyDescent="0.35">
      <c r="A1355" s="54" t="str">
        <f>IFERROR(IF(INDEX(SPOT_Import!$A$1:$Z$2488,1355,'Live Data'!$C$12)="","",INDEX(SPOT_Import!$A$1:$Z$2488,1355,'Live Data'!$C$12)),"")</f>
        <v/>
      </c>
      <c r="B1355" s="54" t="str">
        <f>IFERROR(IF(INDEX(SPOT_Import!$A$1:$Z$2488,1355,'Live Data'!$C$13)="","",INDEX(SPOT_Import!$A$1:$Z$2488,1355,'Live Data'!$C$13)),"")</f>
        <v/>
      </c>
      <c r="C1355" s="54" t="str">
        <f>IFERROR(IF(INDEX(SPOT_Import!$A$1:$Z$2488,1355,'Live Data'!$C$14)="","",INDEX(SPOT_Import!$A$1:$Z$2488,1355,'Live Data'!$C$14)),"")</f>
        <v/>
      </c>
      <c r="D1355" s="54" t="str">
        <f>IFERROR(IF(INDEX(SPOT_Import!$A$1:$Z$2488,1355,'Live Data'!$C$15)="","",INDEX(SPOT_Import!$A$1:$Z$2488,1355,'Live Data'!$C$15)),"")</f>
        <v/>
      </c>
      <c r="E1355" s="54" t="str">
        <f>IFERROR(IF(INDEX(SPOT_Import!$A$1:$Z$2488,1355,'Live Data'!$C$16)="","",INDEX(SPOT_Import!$A$1:$Z$2488,1355,'Live Data'!$C$16)),"")</f>
        <v/>
      </c>
      <c r="F1355" s="54" t="str">
        <f>IFERROR(IF(INDEX(SPOT_Import!$A$1:$Z$2488,1355,'Live Data'!$C$17)="","",INDEX(SPOT_Import!$A$1:$Z$2488,1355,'Live Data'!$C$17)),"")</f>
        <v/>
      </c>
      <c r="G1355" s="54" t="str">
        <f>IFERROR(IF(INDEX(SPOT_Import!$A$1:$Z$2488,1355,'Live Data'!$C$18)="","",INDEX(SPOT_Import!$A$1:$Z$2488,1355,'Live Data'!$C$18)),"")</f>
        <v/>
      </c>
      <c r="H1355" s="54" t="str">
        <f>IFERROR(IF(INDEX(SPOT_Import!$A$1:$Z$2488,1355,'Live Data'!$C$19)="","",INDEX(SPOT_Import!$A$1:$Z$2488,1355,'Live Data'!$C$19)),"")</f>
        <v/>
      </c>
      <c r="I1355" s="54" t="str">
        <f>IFERROR(IF(INDEX(SPOT_Import!$A$1:$Z$2488,1355,'Live Data'!$C$20)="","",INDEX(SPOT_Import!$A$1:$Z$2488,1355,'Live Data'!$C$20)),"")</f>
        <v/>
      </c>
      <c r="J1355" s="54" t="str">
        <f>IFERROR(IF(INDEX(SPOT_Import!$A$1:$Z$2488,1355,'Live Data'!$C$21)="","",INDEX(SPOT_Import!$A$1:$Z$2488,1355,'Live Data'!$C$21)),"")</f>
        <v/>
      </c>
      <c r="K1355" s="54" t="str">
        <f>IFERROR(IF(INDEX(SPOT_Import!$A$1:$Z$2488,1355,'Live Data'!$C$22)="","",INDEX(SPOT_Import!$A$1:$Z$2488,1355,'Live Data'!$C$22)),"")</f>
        <v/>
      </c>
      <c r="L1355" s="55" t="str">
        <f t="shared" si="42"/>
        <v/>
      </c>
      <c r="M1355" s="55" t="str">
        <f t="shared" si="43"/>
        <v/>
      </c>
      <c r="N1355" s="55" t="str">
        <f>IF(A1355="","",IFERROR(INDEX('Cluster Map'!$A$4:$A$38,MATCH(M1355,'Cluster Map'!$B$4:$B$38,0)),"Unmapped"))</f>
        <v/>
      </c>
      <c r="O1355" s="55">
        <f>IF(A1355="",0,IF(COUNTIFS($A$2:A1355,A1355,$F$2:F1355,F1355,$L$2:L1355,L1355)=1,1,0))</f>
        <v>0</v>
      </c>
      <c r="P1355" s="55">
        <f>IF(A1355="",0,IF(AND(F1355="C&amp;T",COUNTIFS($A$2:A1355,A1355,$F$2:F1355,"C&amp;T")=1),1,0))</f>
        <v>0</v>
      </c>
    </row>
    <row r="1356" spans="1:16" x14ac:dyDescent="0.35">
      <c r="A1356" s="54" t="str">
        <f>IFERROR(IF(INDEX(SPOT_Import!$A$1:$Z$2488,1356,'Live Data'!$C$12)="","",INDEX(SPOT_Import!$A$1:$Z$2488,1356,'Live Data'!$C$12)),"")</f>
        <v/>
      </c>
      <c r="B1356" s="54" t="str">
        <f>IFERROR(IF(INDEX(SPOT_Import!$A$1:$Z$2488,1356,'Live Data'!$C$13)="","",INDEX(SPOT_Import!$A$1:$Z$2488,1356,'Live Data'!$C$13)),"")</f>
        <v/>
      </c>
      <c r="C1356" s="54" t="str">
        <f>IFERROR(IF(INDEX(SPOT_Import!$A$1:$Z$2488,1356,'Live Data'!$C$14)="","",INDEX(SPOT_Import!$A$1:$Z$2488,1356,'Live Data'!$C$14)),"")</f>
        <v/>
      </c>
      <c r="D1356" s="54" t="str">
        <f>IFERROR(IF(INDEX(SPOT_Import!$A$1:$Z$2488,1356,'Live Data'!$C$15)="","",INDEX(SPOT_Import!$A$1:$Z$2488,1356,'Live Data'!$C$15)),"")</f>
        <v/>
      </c>
      <c r="E1356" s="54" t="str">
        <f>IFERROR(IF(INDEX(SPOT_Import!$A$1:$Z$2488,1356,'Live Data'!$C$16)="","",INDEX(SPOT_Import!$A$1:$Z$2488,1356,'Live Data'!$C$16)),"")</f>
        <v/>
      </c>
      <c r="F1356" s="54" t="str">
        <f>IFERROR(IF(INDEX(SPOT_Import!$A$1:$Z$2488,1356,'Live Data'!$C$17)="","",INDEX(SPOT_Import!$A$1:$Z$2488,1356,'Live Data'!$C$17)),"")</f>
        <v/>
      </c>
      <c r="G1356" s="54" t="str">
        <f>IFERROR(IF(INDEX(SPOT_Import!$A$1:$Z$2488,1356,'Live Data'!$C$18)="","",INDEX(SPOT_Import!$A$1:$Z$2488,1356,'Live Data'!$C$18)),"")</f>
        <v/>
      </c>
      <c r="H1356" s="54" t="str">
        <f>IFERROR(IF(INDEX(SPOT_Import!$A$1:$Z$2488,1356,'Live Data'!$C$19)="","",INDEX(SPOT_Import!$A$1:$Z$2488,1356,'Live Data'!$C$19)),"")</f>
        <v/>
      </c>
      <c r="I1356" s="54" t="str">
        <f>IFERROR(IF(INDEX(SPOT_Import!$A$1:$Z$2488,1356,'Live Data'!$C$20)="","",INDEX(SPOT_Import!$A$1:$Z$2488,1356,'Live Data'!$C$20)),"")</f>
        <v/>
      </c>
      <c r="J1356" s="54" t="str">
        <f>IFERROR(IF(INDEX(SPOT_Import!$A$1:$Z$2488,1356,'Live Data'!$C$21)="","",INDEX(SPOT_Import!$A$1:$Z$2488,1356,'Live Data'!$C$21)),"")</f>
        <v/>
      </c>
      <c r="K1356" s="54" t="str">
        <f>IFERROR(IF(INDEX(SPOT_Import!$A$1:$Z$2488,1356,'Live Data'!$C$22)="","",INDEX(SPOT_Import!$A$1:$Z$2488,1356,'Live Data'!$C$22)),"")</f>
        <v/>
      </c>
      <c r="L1356" s="55" t="str">
        <f t="shared" si="42"/>
        <v/>
      </c>
      <c r="M1356" s="55" t="str">
        <f t="shared" si="43"/>
        <v/>
      </c>
      <c r="N1356" s="55" t="str">
        <f>IF(A1356="","",IFERROR(INDEX('Cluster Map'!$A$4:$A$38,MATCH(M1356,'Cluster Map'!$B$4:$B$38,0)),"Unmapped"))</f>
        <v/>
      </c>
      <c r="O1356" s="55">
        <f>IF(A1356="",0,IF(COUNTIFS($A$2:A1356,A1356,$F$2:F1356,F1356,$L$2:L1356,L1356)=1,1,0))</f>
        <v>0</v>
      </c>
      <c r="P1356" s="55">
        <f>IF(A1356="",0,IF(AND(F1356="C&amp;T",COUNTIFS($A$2:A1356,A1356,$F$2:F1356,"C&amp;T")=1),1,0))</f>
        <v>0</v>
      </c>
    </row>
    <row r="1357" spans="1:16" x14ac:dyDescent="0.35">
      <c r="A1357" s="54" t="str">
        <f>IFERROR(IF(INDEX(SPOT_Import!$A$1:$Z$2488,1357,'Live Data'!$C$12)="","",INDEX(SPOT_Import!$A$1:$Z$2488,1357,'Live Data'!$C$12)),"")</f>
        <v/>
      </c>
      <c r="B1357" s="54" t="str">
        <f>IFERROR(IF(INDEX(SPOT_Import!$A$1:$Z$2488,1357,'Live Data'!$C$13)="","",INDEX(SPOT_Import!$A$1:$Z$2488,1357,'Live Data'!$C$13)),"")</f>
        <v/>
      </c>
      <c r="C1357" s="54" t="str">
        <f>IFERROR(IF(INDEX(SPOT_Import!$A$1:$Z$2488,1357,'Live Data'!$C$14)="","",INDEX(SPOT_Import!$A$1:$Z$2488,1357,'Live Data'!$C$14)),"")</f>
        <v/>
      </c>
      <c r="D1357" s="54" t="str">
        <f>IFERROR(IF(INDEX(SPOT_Import!$A$1:$Z$2488,1357,'Live Data'!$C$15)="","",INDEX(SPOT_Import!$A$1:$Z$2488,1357,'Live Data'!$C$15)),"")</f>
        <v/>
      </c>
      <c r="E1357" s="54" t="str">
        <f>IFERROR(IF(INDEX(SPOT_Import!$A$1:$Z$2488,1357,'Live Data'!$C$16)="","",INDEX(SPOT_Import!$A$1:$Z$2488,1357,'Live Data'!$C$16)),"")</f>
        <v/>
      </c>
      <c r="F1357" s="54" t="str">
        <f>IFERROR(IF(INDEX(SPOT_Import!$A$1:$Z$2488,1357,'Live Data'!$C$17)="","",INDEX(SPOT_Import!$A$1:$Z$2488,1357,'Live Data'!$C$17)),"")</f>
        <v/>
      </c>
      <c r="G1357" s="54" t="str">
        <f>IFERROR(IF(INDEX(SPOT_Import!$A$1:$Z$2488,1357,'Live Data'!$C$18)="","",INDEX(SPOT_Import!$A$1:$Z$2488,1357,'Live Data'!$C$18)),"")</f>
        <v/>
      </c>
      <c r="H1357" s="54" t="str">
        <f>IFERROR(IF(INDEX(SPOT_Import!$A$1:$Z$2488,1357,'Live Data'!$C$19)="","",INDEX(SPOT_Import!$A$1:$Z$2488,1357,'Live Data'!$C$19)),"")</f>
        <v/>
      </c>
      <c r="I1357" s="54" t="str">
        <f>IFERROR(IF(INDEX(SPOT_Import!$A$1:$Z$2488,1357,'Live Data'!$C$20)="","",INDEX(SPOT_Import!$A$1:$Z$2488,1357,'Live Data'!$C$20)),"")</f>
        <v/>
      </c>
      <c r="J1357" s="54" t="str">
        <f>IFERROR(IF(INDEX(SPOT_Import!$A$1:$Z$2488,1357,'Live Data'!$C$21)="","",INDEX(SPOT_Import!$A$1:$Z$2488,1357,'Live Data'!$C$21)),"")</f>
        <v/>
      </c>
      <c r="K1357" s="54" t="str">
        <f>IFERROR(IF(INDEX(SPOT_Import!$A$1:$Z$2488,1357,'Live Data'!$C$22)="","",INDEX(SPOT_Import!$A$1:$Z$2488,1357,'Live Data'!$C$22)),"")</f>
        <v/>
      </c>
      <c r="L1357" s="55" t="str">
        <f t="shared" si="42"/>
        <v/>
      </c>
      <c r="M1357" s="55" t="str">
        <f t="shared" si="43"/>
        <v/>
      </c>
      <c r="N1357" s="55" t="str">
        <f>IF(A1357="","",IFERROR(INDEX('Cluster Map'!$A$4:$A$38,MATCH(M1357,'Cluster Map'!$B$4:$B$38,0)),"Unmapped"))</f>
        <v/>
      </c>
      <c r="O1357" s="55">
        <f>IF(A1357="",0,IF(COUNTIFS($A$2:A1357,A1357,$F$2:F1357,F1357,$L$2:L1357,L1357)=1,1,0))</f>
        <v>0</v>
      </c>
      <c r="P1357" s="55">
        <f>IF(A1357="",0,IF(AND(F1357="C&amp;T",COUNTIFS($A$2:A1357,A1357,$F$2:F1357,"C&amp;T")=1),1,0))</f>
        <v>0</v>
      </c>
    </row>
    <row r="1358" spans="1:16" x14ac:dyDescent="0.35">
      <c r="A1358" s="54" t="str">
        <f>IFERROR(IF(INDEX(SPOT_Import!$A$1:$Z$2488,1358,'Live Data'!$C$12)="","",INDEX(SPOT_Import!$A$1:$Z$2488,1358,'Live Data'!$C$12)),"")</f>
        <v/>
      </c>
      <c r="B1358" s="54" t="str">
        <f>IFERROR(IF(INDEX(SPOT_Import!$A$1:$Z$2488,1358,'Live Data'!$C$13)="","",INDEX(SPOT_Import!$A$1:$Z$2488,1358,'Live Data'!$C$13)),"")</f>
        <v/>
      </c>
      <c r="C1358" s="54" t="str">
        <f>IFERROR(IF(INDEX(SPOT_Import!$A$1:$Z$2488,1358,'Live Data'!$C$14)="","",INDEX(SPOT_Import!$A$1:$Z$2488,1358,'Live Data'!$C$14)),"")</f>
        <v/>
      </c>
      <c r="D1358" s="54" t="str">
        <f>IFERROR(IF(INDEX(SPOT_Import!$A$1:$Z$2488,1358,'Live Data'!$C$15)="","",INDEX(SPOT_Import!$A$1:$Z$2488,1358,'Live Data'!$C$15)),"")</f>
        <v/>
      </c>
      <c r="E1358" s="54" t="str">
        <f>IFERROR(IF(INDEX(SPOT_Import!$A$1:$Z$2488,1358,'Live Data'!$C$16)="","",INDEX(SPOT_Import!$A$1:$Z$2488,1358,'Live Data'!$C$16)),"")</f>
        <v/>
      </c>
      <c r="F1358" s="54" t="str">
        <f>IFERROR(IF(INDEX(SPOT_Import!$A$1:$Z$2488,1358,'Live Data'!$C$17)="","",INDEX(SPOT_Import!$A$1:$Z$2488,1358,'Live Data'!$C$17)),"")</f>
        <v/>
      </c>
      <c r="G1358" s="54" t="str">
        <f>IFERROR(IF(INDEX(SPOT_Import!$A$1:$Z$2488,1358,'Live Data'!$C$18)="","",INDEX(SPOT_Import!$A$1:$Z$2488,1358,'Live Data'!$C$18)),"")</f>
        <v/>
      </c>
      <c r="H1358" s="54" t="str">
        <f>IFERROR(IF(INDEX(SPOT_Import!$A$1:$Z$2488,1358,'Live Data'!$C$19)="","",INDEX(SPOT_Import!$A$1:$Z$2488,1358,'Live Data'!$C$19)),"")</f>
        <v/>
      </c>
      <c r="I1358" s="54" t="str">
        <f>IFERROR(IF(INDEX(SPOT_Import!$A$1:$Z$2488,1358,'Live Data'!$C$20)="","",INDEX(SPOT_Import!$A$1:$Z$2488,1358,'Live Data'!$C$20)),"")</f>
        <v/>
      </c>
      <c r="J1358" s="54" t="str">
        <f>IFERROR(IF(INDEX(SPOT_Import!$A$1:$Z$2488,1358,'Live Data'!$C$21)="","",INDEX(SPOT_Import!$A$1:$Z$2488,1358,'Live Data'!$C$21)),"")</f>
        <v/>
      </c>
      <c r="K1358" s="54" t="str">
        <f>IFERROR(IF(INDEX(SPOT_Import!$A$1:$Z$2488,1358,'Live Data'!$C$22)="","",INDEX(SPOT_Import!$A$1:$Z$2488,1358,'Live Data'!$C$22)),"")</f>
        <v/>
      </c>
      <c r="L1358" s="55" t="str">
        <f t="shared" si="42"/>
        <v/>
      </c>
      <c r="M1358" s="55" t="str">
        <f t="shared" si="43"/>
        <v/>
      </c>
      <c r="N1358" s="55" t="str">
        <f>IF(A1358="","",IFERROR(INDEX('Cluster Map'!$A$4:$A$38,MATCH(M1358,'Cluster Map'!$B$4:$B$38,0)),"Unmapped"))</f>
        <v/>
      </c>
      <c r="O1358" s="55">
        <f>IF(A1358="",0,IF(COUNTIFS($A$2:A1358,A1358,$F$2:F1358,F1358,$L$2:L1358,L1358)=1,1,0))</f>
        <v>0</v>
      </c>
      <c r="P1358" s="55">
        <f>IF(A1358="",0,IF(AND(F1358="C&amp;T",COUNTIFS($A$2:A1358,A1358,$F$2:F1358,"C&amp;T")=1),1,0))</f>
        <v>0</v>
      </c>
    </row>
    <row r="1359" spans="1:16" x14ac:dyDescent="0.35">
      <c r="A1359" s="54" t="str">
        <f>IFERROR(IF(INDEX(SPOT_Import!$A$1:$Z$2488,1359,'Live Data'!$C$12)="","",INDEX(SPOT_Import!$A$1:$Z$2488,1359,'Live Data'!$C$12)),"")</f>
        <v/>
      </c>
      <c r="B1359" s="54" t="str">
        <f>IFERROR(IF(INDEX(SPOT_Import!$A$1:$Z$2488,1359,'Live Data'!$C$13)="","",INDEX(SPOT_Import!$A$1:$Z$2488,1359,'Live Data'!$C$13)),"")</f>
        <v/>
      </c>
      <c r="C1359" s="54" t="str">
        <f>IFERROR(IF(INDEX(SPOT_Import!$A$1:$Z$2488,1359,'Live Data'!$C$14)="","",INDEX(SPOT_Import!$A$1:$Z$2488,1359,'Live Data'!$C$14)),"")</f>
        <v/>
      </c>
      <c r="D1359" s="54" t="str">
        <f>IFERROR(IF(INDEX(SPOT_Import!$A$1:$Z$2488,1359,'Live Data'!$C$15)="","",INDEX(SPOT_Import!$A$1:$Z$2488,1359,'Live Data'!$C$15)),"")</f>
        <v/>
      </c>
      <c r="E1359" s="54" t="str">
        <f>IFERROR(IF(INDEX(SPOT_Import!$A$1:$Z$2488,1359,'Live Data'!$C$16)="","",INDEX(SPOT_Import!$A$1:$Z$2488,1359,'Live Data'!$C$16)),"")</f>
        <v/>
      </c>
      <c r="F1359" s="54" t="str">
        <f>IFERROR(IF(INDEX(SPOT_Import!$A$1:$Z$2488,1359,'Live Data'!$C$17)="","",INDEX(SPOT_Import!$A$1:$Z$2488,1359,'Live Data'!$C$17)),"")</f>
        <v/>
      </c>
      <c r="G1359" s="54" t="str">
        <f>IFERROR(IF(INDEX(SPOT_Import!$A$1:$Z$2488,1359,'Live Data'!$C$18)="","",INDEX(SPOT_Import!$A$1:$Z$2488,1359,'Live Data'!$C$18)),"")</f>
        <v/>
      </c>
      <c r="H1359" s="54" t="str">
        <f>IFERROR(IF(INDEX(SPOT_Import!$A$1:$Z$2488,1359,'Live Data'!$C$19)="","",INDEX(SPOT_Import!$A$1:$Z$2488,1359,'Live Data'!$C$19)),"")</f>
        <v/>
      </c>
      <c r="I1359" s="54" t="str">
        <f>IFERROR(IF(INDEX(SPOT_Import!$A$1:$Z$2488,1359,'Live Data'!$C$20)="","",INDEX(SPOT_Import!$A$1:$Z$2488,1359,'Live Data'!$C$20)),"")</f>
        <v/>
      </c>
      <c r="J1359" s="54" t="str">
        <f>IFERROR(IF(INDEX(SPOT_Import!$A$1:$Z$2488,1359,'Live Data'!$C$21)="","",INDEX(SPOT_Import!$A$1:$Z$2488,1359,'Live Data'!$C$21)),"")</f>
        <v/>
      </c>
      <c r="K1359" s="54" t="str">
        <f>IFERROR(IF(INDEX(SPOT_Import!$A$1:$Z$2488,1359,'Live Data'!$C$22)="","",INDEX(SPOT_Import!$A$1:$Z$2488,1359,'Live Data'!$C$22)),"")</f>
        <v/>
      </c>
      <c r="L1359" s="55" t="str">
        <f t="shared" si="42"/>
        <v/>
      </c>
      <c r="M1359" s="55" t="str">
        <f t="shared" si="43"/>
        <v/>
      </c>
      <c r="N1359" s="55" t="str">
        <f>IF(A1359="","",IFERROR(INDEX('Cluster Map'!$A$4:$A$38,MATCH(M1359,'Cluster Map'!$B$4:$B$38,0)),"Unmapped"))</f>
        <v/>
      </c>
      <c r="O1359" s="55">
        <f>IF(A1359="",0,IF(COUNTIFS($A$2:A1359,A1359,$F$2:F1359,F1359,$L$2:L1359,L1359)=1,1,0))</f>
        <v>0</v>
      </c>
      <c r="P1359" s="55">
        <f>IF(A1359="",0,IF(AND(F1359="C&amp;T",COUNTIFS($A$2:A1359,A1359,$F$2:F1359,"C&amp;T")=1),1,0))</f>
        <v>0</v>
      </c>
    </row>
    <row r="1360" spans="1:16" x14ac:dyDescent="0.35">
      <c r="A1360" s="54" t="str">
        <f>IFERROR(IF(INDEX(SPOT_Import!$A$1:$Z$2488,1360,'Live Data'!$C$12)="","",INDEX(SPOT_Import!$A$1:$Z$2488,1360,'Live Data'!$C$12)),"")</f>
        <v/>
      </c>
      <c r="B1360" s="54" t="str">
        <f>IFERROR(IF(INDEX(SPOT_Import!$A$1:$Z$2488,1360,'Live Data'!$C$13)="","",INDEX(SPOT_Import!$A$1:$Z$2488,1360,'Live Data'!$C$13)),"")</f>
        <v/>
      </c>
      <c r="C1360" s="54" t="str">
        <f>IFERROR(IF(INDEX(SPOT_Import!$A$1:$Z$2488,1360,'Live Data'!$C$14)="","",INDEX(SPOT_Import!$A$1:$Z$2488,1360,'Live Data'!$C$14)),"")</f>
        <v/>
      </c>
      <c r="D1360" s="54" t="str">
        <f>IFERROR(IF(INDEX(SPOT_Import!$A$1:$Z$2488,1360,'Live Data'!$C$15)="","",INDEX(SPOT_Import!$A$1:$Z$2488,1360,'Live Data'!$C$15)),"")</f>
        <v/>
      </c>
      <c r="E1360" s="54" t="str">
        <f>IFERROR(IF(INDEX(SPOT_Import!$A$1:$Z$2488,1360,'Live Data'!$C$16)="","",INDEX(SPOT_Import!$A$1:$Z$2488,1360,'Live Data'!$C$16)),"")</f>
        <v/>
      </c>
      <c r="F1360" s="54" t="str">
        <f>IFERROR(IF(INDEX(SPOT_Import!$A$1:$Z$2488,1360,'Live Data'!$C$17)="","",INDEX(SPOT_Import!$A$1:$Z$2488,1360,'Live Data'!$C$17)),"")</f>
        <v/>
      </c>
      <c r="G1360" s="54" t="str">
        <f>IFERROR(IF(INDEX(SPOT_Import!$A$1:$Z$2488,1360,'Live Data'!$C$18)="","",INDEX(SPOT_Import!$A$1:$Z$2488,1360,'Live Data'!$C$18)),"")</f>
        <v/>
      </c>
      <c r="H1360" s="54" t="str">
        <f>IFERROR(IF(INDEX(SPOT_Import!$A$1:$Z$2488,1360,'Live Data'!$C$19)="","",INDEX(SPOT_Import!$A$1:$Z$2488,1360,'Live Data'!$C$19)),"")</f>
        <v/>
      </c>
      <c r="I1360" s="54" t="str">
        <f>IFERROR(IF(INDEX(SPOT_Import!$A$1:$Z$2488,1360,'Live Data'!$C$20)="","",INDEX(SPOT_Import!$A$1:$Z$2488,1360,'Live Data'!$C$20)),"")</f>
        <v/>
      </c>
      <c r="J1360" s="54" t="str">
        <f>IFERROR(IF(INDEX(SPOT_Import!$A$1:$Z$2488,1360,'Live Data'!$C$21)="","",INDEX(SPOT_Import!$A$1:$Z$2488,1360,'Live Data'!$C$21)),"")</f>
        <v/>
      </c>
      <c r="K1360" s="54" t="str">
        <f>IFERROR(IF(INDEX(SPOT_Import!$A$1:$Z$2488,1360,'Live Data'!$C$22)="","",INDEX(SPOT_Import!$A$1:$Z$2488,1360,'Live Data'!$C$22)),"")</f>
        <v/>
      </c>
      <c r="L1360" s="55" t="str">
        <f t="shared" si="42"/>
        <v/>
      </c>
      <c r="M1360" s="55" t="str">
        <f t="shared" si="43"/>
        <v/>
      </c>
      <c r="N1360" s="55" t="str">
        <f>IF(A1360="","",IFERROR(INDEX('Cluster Map'!$A$4:$A$38,MATCH(M1360,'Cluster Map'!$B$4:$B$38,0)),"Unmapped"))</f>
        <v/>
      </c>
      <c r="O1360" s="55">
        <f>IF(A1360="",0,IF(COUNTIFS($A$2:A1360,A1360,$F$2:F1360,F1360,$L$2:L1360,L1360)=1,1,0))</f>
        <v>0</v>
      </c>
      <c r="P1360" s="55">
        <f>IF(A1360="",0,IF(AND(F1360="C&amp;T",COUNTIFS($A$2:A1360,A1360,$F$2:F1360,"C&amp;T")=1),1,0))</f>
        <v>0</v>
      </c>
    </row>
    <row r="1361" spans="1:16" x14ac:dyDescent="0.35">
      <c r="A1361" s="54" t="str">
        <f>IFERROR(IF(INDEX(SPOT_Import!$A$1:$Z$2488,1361,'Live Data'!$C$12)="","",INDEX(SPOT_Import!$A$1:$Z$2488,1361,'Live Data'!$C$12)),"")</f>
        <v/>
      </c>
      <c r="B1361" s="54" t="str">
        <f>IFERROR(IF(INDEX(SPOT_Import!$A$1:$Z$2488,1361,'Live Data'!$C$13)="","",INDEX(SPOT_Import!$A$1:$Z$2488,1361,'Live Data'!$C$13)),"")</f>
        <v/>
      </c>
      <c r="C1361" s="54" t="str">
        <f>IFERROR(IF(INDEX(SPOT_Import!$A$1:$Z$2488,1361,'Live Data'!$C$14)="","",INDEX(SPOT_Import!$A$1:$Z$2488,1361,'Live Data'!$C$14)),"")</f>
        <v/>
      </c>
      <c r="D1361" s="54" t="str">
        <f>IFERROR(IF(INDEX(SPOT_Import!$A$1:$Z$2488,1361,'Live Data'!$C$15)="","",INDEX(SPOT_Import!$A$1:$Z$2488,1361,'Live Data'!$C$15)),"")</f>
        <v/>
      </c>
      <c r="E1361" s="54" t="str">
        <f>IFERROR(IF(INDEX(SPOT_Import!$A$1:$Z$2488,1361,'Live Data'!$C$16)="","",INDEX(SPOT_Import!$A$1:$Z$2488,1361,'Live Data'!$C$16)),"")</f>
        <v/>
      </c>
      <c r="F1361" s="54" t="str">
        <f>IFERROR(IF(INDEX(SPOT_Import!$A$1:$Z$2488,1361,'Live Data'!$C$17)="","",INDEX(SPOT_Import!$A$1:$Z$2488,1361,'Live Data'!$C$17)),"")</f>
        <v/>
      </c>
      <c r="G1361" s="54" t="str">
        <f>IFERROR(IF(INDEX(SPOT_Import!$A$1:$Z$2488,1361,'Live Data'!$C$18)="","",INDEX(SPOT_Import!$A$1:$Z$2488,1361,'Live Data'!$C$18)),"")</f>
        <v/>
      </c>
      <c r="H1361" s="54" t="str">
        <f>IFERROR(IF(INDEX(SPOT_Import!$A$1:$Z$2488,1361,'Live Data'!$C$19)="","",INDEX(SPOT_Import!$A$1:$Z$2488,1361,'Live Data'!$C$19)),"")</f>
        <v/>
      </c>
      <c r="I1361" s="54" t="str">
        <f>IFERROR(IF(INDEX(SPOT_Import!$A$1:$Z$2488,1361,'Live Data'!$C$20)="","",INDEX(SPOT_Import!$A$1:$Z$2488,1361,'Live Data'!$C$20)),"")</f>
        <v/>
      </c>
      <c r="J1361" s="54" t="str">
        <f>IFERROR(IF(INDEX(SPOT_Import!$A$1:$Z$2488,1361,'Live Data'!$C$21)="","",INDEX(SPOT_Import!$A$1:$Z$2488,1361,'Live Data'!$C$21)),"")</f>
        <v/>
      </c>
      <c r="K1361" s="54" t="str">
        <f>IFERROR(IF(INDEX(SPOT_Import!$A$1:$Z$2488,1361,'Live Data'!$C$22)="","",INDEX(SPOT_Import!$A$1:$Z$2488,1361,'Live Data'!$C$22)),"")</f>
        <v/>
      </c>
      <c r="L1361" s="55" t="str">
        <f t="shared" si="42"/>
        <v/>
      </c>
      <c r="M1361" s="55" t="str">
        <f t="shared" si="43"/>
        <v/>
      </c>
      <c r="N1361" s="55" t="str">
        <f>IF(A1361="","",IFERROR(INDEX('Cluster Map'!$A$4:$A$38,MATCH(M1361,'Cluster Map'!$B$4:$B$38,0)),"Unmapped"))</f>
        <v/>
      </c>
      <c r="O1361" s="55">
        <f>IF(A1361="",0,IF(COUNTIFS($A$2:A1361,A1361,$F$2:F1361,F1361,$L$2:L1361,L1361)=1,1,0))</f>
        <v>0</v>
      </c>
      <c r="P1361" s="55">
        <f>IF(A1361="",0,IF(AND(F1361="C&amp;T",COUNTIFS($A$2:A1361,A1361,$F$2:F1361,"C&amp;T")=1),1,0))</f>
        <v>0</v>
      </c>
    </row>
    <row r="1362" spans="1:16" x14ac:dyDescent="0.35">
      <c r="A1362" s="54" t="str">
        <f>IFERROR(IF(INDEX(SPOT_Import!$A$1:$Z$2488,1362,'Live Data'!$C$12)="","",INDEX(SPOT_Import!$A$1:$Z$2488,1362,'Live Data'!$C$12)),"")</f>
        <v/>
      </c>
      <c r="B1362" s="54" t="str">
        <f>IFERROR(IF(INDEX(SPOT_Import!$A$1:$Z$2488,1362,'Live Data'!$C$13)="","",INDEX(SPOT_Import!$A$1:$Z$2488,1362,'Live Data'!$C$13)),"")</f>
        <v/>
      </c>
      <c r="C1362" s="54" t="str">
        <f>IFERROR(IF(INDEX(SPOT_Import!$A$1:$Z$2488,1362,'Live Data'!$C$14)="","",INDEX(SPOT_Import!$A$1:$Z$2488,1362,'Live Data'!$C$14)),"")</f>
        <v/>
      </c>
      <c r="D1362" s="54" t="str">
        <f>IFERROR(IF(INDEX(SPOT_Import!$A$1:$Z$2488,1362,'Live Data'!$C$15)="","",INDEX(SPOT_Import!$A$1:$Z$2488,1362,'Live Data'!$C$15)),"")</f>
        <v/>
      </c>
      <c r="E1362" s="54" t="str">
        <f>IFERROR(IF(INDEX(SPOT_Import!$A$1:$Z$2488,1362,'Live Data'!$C$16)="","",INDEX(SPOT_Import!$A$1:$Z$2488,1362,'Live Data'!$C$16)),"")</f>
        <v/>
      </c>
      <c r="F1362" s="54" t="str">
        <f>IFERROR(IF(INDEX(SPOT_Import!$A$1:$Z$2488,1362,'Live Data'!$C$17)="","",INDEX(SPOT_Import!$A$1:$Z$2488,1362,'Live Data'!$C$17)),"")</f>
        <v/>
      </c>
      <c r="G1362" s="54" t="str">
        <f>IFERROR(IF(INDEX(SPOT_Import!$A$1:$Z$2488,1362,'Live Data'!$C$18)="","",INDEX(SPOT_Import!$A$1:$Z$2488,1362,'Live Data'!$C$18)),"")</f>
        <v/>
      </c>
      <c r="H1362" s="54" t="str">
        <f>IFERROR(IF(INDEX(SPOT_Import!$A$1:$Z$2488,1362,'Live Data'!$C$19)="","",INDEX(SPOT_Import!$A$1:$Z$2488,1362,'Live Data'!$C$19)),"")</f>
        <v/>
      </c>
      <c r="I1362" s="54" t="str">
        <f>IFERROR(IF(INDEX(SPOT_Import!$A$1:$Z$2488,1362,'Live Data'!$C$20)="","",INDEX(SPOT_Import!$A$1:$Z$2488,1362,'Live Data'!$C$20)),"")</f>
        <v/>
      </c>
      <c r="J1362" s="54" t="str">
        <f>IFERROR(IF(INDEX(SPOT_Import!$A$1:$Z$2488,1362,'Live Data'!$C$21)="","",INDEX(SPOT_Import!$A$1:$Z$2488,1362,'Live Data'!$C$21)),"")</f>
        <v/>
      </c>
      <c r="K1362" s="54" t="str">
        <f>IFERROR(IF(INDEX(SPOT_Import!$A$1:$Z$2488,1362,'Live Data'!$C$22)="","",INDEX(SPOT_Import!$A$1:$Z$2488,1362,'Live Data'!$C$22)),"")</f>
        <v/>
      </c>
      <c r="L1362" s="55" t="str">
        <f t="shared" si="42"/>
        <v/>
      </c>
      <c r="M1362" s="55" t="str">
        <f t="shared" si="43"/>
        <v/>
      </c>
      <c r="N1362" s="55" t="str">
        <f>IF(A1362="","",IFERROR(INDEX('Cluster Map'!$A$4:$A$38,MATCH(M1362,'Cluster Map'!$B$4:$B$38,0)),"Unmapped"))</f>
        <v/>
      </c>
      <c r="O1362" s="55">
        <f>IF(A1362="",0,IF(COUNTIFS($A$2:A1362,A1362,$F$2:F1362,F1362,$L$2:L1362,L1362)=1,1,0))</f>
        <v>0</v>
      </c>
      <c r="P1362" s="55">
        <f>IF(A1362="",0,IF(AND(F1362="C&amp;T",COUNTIFS($A$2:A1362,A1362,$F$2:F1362,"C&amp;T")=1),1,0))</f>
        <v>0</v>
      </c>
    </row>
    <row r="1363" spans="1:16" x14ac:dyDescent="0.35">
      <c r="A1363" s="54" t="str">
        <f>IFERROR(IF(INDEX(SPOT_Import!$A$1:$Z$2488,1363,'Live Data'!$C$12)="","",INDEX(SPOT_Import!$A$1:$Z$2488,1363,'Live Data'!$C$12)),"")</f>
        <v/>
      </c>
      <c r="B1363" s="54" t="str">
        <f>IFERROR(IF(INDEX(SPOT_Import!$A$1:$Z$2488,1363,'Live Data'!$C$13)="","",INDEX(SPOT_Import!$A$1:$Z$2488,1363,'Live Data'!$C$13)),"")</f>
        <v/>
      </c>
      <c r="C1363" s="54" t="str">
        <f>IFERROR(IF(INDEX(SPOT_Import!$A$1:$Z$2488,1363,'Live Data'!$C$14)="","",INDEX(SPOT_Import!$A$1:$Z$2488,1363,'Live Data'!$C$14)),"")</f>
        <v/>
      </c>
      <c r="D1363" s="54" t="str">
        <f>IFERROR(IF(INDEX(SPOT_Import!$A$1:$Z$2488,1363,'Live Data'!$C$15)="","",INDEX(SPOT_Import!$A$1:$Z$2488,1363,'Live Data'!$C$15)),"")</f>
        <v/>
      </c>
      <c r="E1363" s="54" t="str">
        <f>IFERROR(IF(INDEX(SPOT_Import!$A$1:$Z$2488,1363,'Live Data'!$C$16)="","",INDEX(SPOT_Import!$A$1:$Z$2488,1363,'Live Data'!$C$16)),"")</f>
        <v/>
      </c>
      <c r="F1363" s="54" t="str">
        <f>IFERROR(IF(INDEX(SPOT_Import!$A$1:$Z$2488,1363,'Live Data'!$C$17)="","",INDEX(SPOT_Import!$A$1:$Z$2488,1363,'Live Data'!$C$17)),"")</f>
        <v/>
      </c>
      <c r="G1363" s="54" t="str">
        <f>IFERROR(IF(INDEX(SPOT_Import!$A$1:$Z$2488,1363,'Live Data'!$C$18)="","",INDEX(SPOT_Import!$A$1:$Z$2488,1363,'Live Data'!$C$18)),"")</f>
        <v/>
      </c>
      <c r="H1363" s="54" t="str">
        <f>IFERROR(IF(INDEX(SPOT_Import!$A$1:$Z$2488,1363,'Live Data'!$C$19)="","",INDEX(SPOT_Import!$A$1:$Z$2488,1363,'Live Data'!$C$19)),"")</f>
        <v/>
      </c>
      <c r="I1363" s="54" t="str">
        <f>IFERROR(IF(INDEX(SPOT_Import!$A$1:$Z$2488,1363,'Live Data'!$C$20)="","",INDEX(SPOT_Import!$A$1:$Z$2488,1363,'Live Data'!$C$20)),"")</f>
        <v/>
      </c>
      <c r="J1363" s="54" t="str">
        <f>IFERROR(IF(INDEX(SPOT_Import!$A$1:$Z$2488,1363,'Live Data'!$C$21)="","",INDEX(SPOT_Import!$A$1:$Z$2488,1363,'Live Data'!$C$21)),"")</f>
        <v/>
      </c>
      <c r="K1363" s="54" t="str">
        <f>IFERROR(IF(INDEX(SPOT_Import!$A$1:$Z$2488,1363,'Live Data'!$C$22)="","",INDEX(SPOT_Import!$A$1:$Z$2488,1363,'Live Data'!$C$22)),"")</f>
        <v/>
      </c>
      <c r="L1363" s="55" t="str">
        <f t="shared" si="42"/>
        <v/>
      </c>
      <c r="M1363" s="55" t="str">
        <f t="shared" si="43"/>
        <v/>
      </c>
      <c r="N1363" s="55" t="str">
        <f>IF(A1363="","",IFERROR(INDEX('Cluster Map'!$A$4:$A$38,MATCH(M1363,'Cluster Map'!$B$4:$B$38,0)),"Unmapped"))</f>
        <v/>
      </c>
      <c r="O1363" s="55">
        <f>IF(A1363="",0,IF(COUNTIFS($A$2:A1363,A1363,$F$2:F1363,F1363,$L$2:L1363,L1363)=1,1,0))</f>
        <v>0</v>
      </c>
      <c r="P1363" s="55">
        <f>IF(A1363="",0,IF(AND(F1363="C&amp;T",COUNTIFS($A$2:A1363,A1363,$F$2:F1363,"C&amp;T")=1),1,0))</f>
        <v>0</v>
      </c>
    </row>
    <row r="1364" spans="1:16" x14ac:dyDescent="0.35">
      <c r="A1364" s="54" t="str">
        <f>IFERROR(IF(INDEX(SPOT_Import!$A$1:$Z$2488,1364,'Live Data'!$C$12)="","",INDEX(SPOT_Import!$A$1:$Z$2488,1364,'Live Data'!$C$12)),"")</f>
        <v/>
      </c>
      <c r="B1364" s="54" t="str">
        <f>IFERROR(IF(INDEX(SPOT_Import!$A$1:$Z$2488,1364,'Live Data'!$C$13)="","",INDEX(SPOT_Import!$A$1:$Z$2488,1364,'Live Data'!$C$13)),"")</f>
        <v/>
      </c>
      <c r="C1364" s="54" t="str">
        <f>IFERROR(IF(INDEX(SPOT_Import!$A$1:$Z$2488,1364,'Live Data'!$C$14)="","",INDEX(SPOT_Import!$A$1:$Z$2488,1364,'Live Data'!$C$14)),"")</f>
        <v/>
      </c>
      <c r="D1364" s="54" t="str">
        <f>IFERROR(IF(INDEX(SPOT_Import!$A$1:$Z$2488,1364,'Live Data'!$C$15)="","",INDEX(SPOT_Import!$A$1:$Z$2488,1364,'Live Data'!$C$15)),"")</f>
        <v/>
      </c>
      <c r="E1364" s="54" t="str">
        <f>IFERROR(IF(INDEX(SPOT_Import!$A$1:$Z$2488,1364,'Live Data'!$C$16)="","",INDEX(SPOT_Import!$A$1:$Z$2488,1364,'Live Data'!$C$16)),"")</f>
        <v/>
      </c>
      <c r="F1364" s="54" t="str">
        <f>IFERROR(IF(INDEX(SPOT_Import!$A$1:$Z$2488,1364,'Live Data'!$C$17)="","",INDEX(SPOT_Import!$A$1:$Z$2488,1364,'Live Data'!$C$17)),"")</f>
        <v/>
      </c>
      <c r="G1364" s="54" t="str">
        <f>IFERROR(IF(INDEX(SPOT_Import!$A$1:$Z$2488,1364,'Live Data'!$C$18)="","",INDEX(SPOT_Import!$A$1:$Z$2488,1364,'Live Data'!$C$18)),"")</f>
        <v/>
      </c>
      <c r="H1364" s="54" t="str">
        <f>IFERROR(IF(INDEX(SPOT_Import!$A$1:$Z$2488,1364,'Live Data'!$C$19)="","",INDEX(SPOT_Import!$A$1:$Z$2488,1364,'Live Data'!$C$19)),"")</f>
        <v/>
      </c>
      <c r="I1364" s="54" t="str">
        <f>IFERROR(IF(INDEX(SPOT_Import!$A$1:$Z$2488,1364,'Live Data'!$C$20)="","",INDEX(SPOT_Import!$A$1:$Z$2488,1364,'Live Data'!$C$20)),"")</f>
        <v/>
      </c>
      <c r="J1364" s="54" t="str">
        <f>IFERROR(IF(INDEX(SPOT_Import!$A$1:$Z$2488,1364,'Live Data'!$C$21)="","",INDEX(SPOT_Import!$A$1:$Z$2488,1364,'Live Data'!$C$21)),"")</f>
        <v/>
      </c>
      <c r="K1364" s="54" t="str">
        <f>IFERROR(IF(INDEX(SPOT_Import!$A$1:$Z$2488,1364,'Live Data'!$C$22)="","",INDEX(SPOT_Import!$A$1:$Z$2488,1364,'Live Data'!$C$22)),"")</f>
        <v/>
      </c>
      <c r="L1364" s="55" t="str">
        <f t="shared" si="42"/>
        <v/>
      </c>
      <c r="M1364" s="55" t="str">
        <f t="shared" si="43"/>
        <v/>
      </c>
      <c r="N1364" s="55" t="str">
        <f>IF(A1364="","",IFERROR(INDEX('Cluster Map'!$A$4:$A$38,MATCH(M1364,'Cluster Map'!$B$4:$B$38,0)),"Unmapped"))</f>
        <v/>
      </c>
      <c r="O1364" s="55">
        <f>IF(A1364="",0,IF(COUNTIFS($A$2:A1364,A1364,$F$2:F1364,F1364,$L$2:L1364,L1364)=1,1,0))</f>
        <v>0</v>
      </c>
      <c r="P1364" s="55">
        <f>IF(A1364="",0,IF(AND(F1364="C&amp;T",COUNTIFS($A$2:A1364,A1364,$F$2:F1364,"C&amp;T")=1),1,0))</f>
        <v>0</v>
      </c>
    </row>
    <row r="1365" spans="1:16" x14ac:dyDescent="0.35">
      <c r="A1365" s="54" t="str">
        <f>IFERROR(IF(INDEX(SPOT_Import!$A$1:$Z$2488,1365,'Live Data'!$C$12)="","",INDEX(SPOT_Import!$A$1:$Z$2488,1365,'Live Data'!$C$12)),"")</f>
        <v/>
      </c>
      <c r="B1365" s="54" t="str">
        <f>IFERROR(IF(INDEX(SPOT_Import!$A$1:$Z$2488,1365,'Live Data'!$C$13)="","",INDEX(SPOT_Import!$A$1:$Z$2488,1365,'Live Data'!$C$13)),"")</f>
        <v/>
      </c>
      <c r="C1365" s="54" t="str">
        <f>IFERROR(IF(INDEX(SPOT_Import!$A$1:$Z$2488,1365,'Live Data'!$C$14)="","",INDEX(SPOT_Import!$A$1:$Z$2488,1365,'Live Data'!$C$14)),"")</f>
        <v/>
      </c>
      <c r="D1365" s="54" t="str">
        <f>IFERROR(IF(INDEX(SPOT_Import!$A$1:$Z$2488,1365,'Live Data'!$C$15)="","",INDEX(SPOT_Import!$A$1:$Z$2488,1365,'Live Data'!$C$15)),"")</f>
        <v/>
      </c>
      <c r="E1365" s="54" t="str">
        <f>IFERROR(IF(INDEX(SPOT_Import!$A$1:$Z$2488,1365,'Live Data'!$C$16)="","",INDEX(SPOT_Import!$A$1:$Z$2488,1365,'Live Data'!$C$16)),"")</f>
        <v/>
      </c>
      <c r="F1365" s="54" t="str">
        <f>IFERROR(IF(INDEX(SPOT_Import!$A$1:$Z$2488,1365,'Live Data'!$C$17)="","",INDEX(SPOT_Import!$A$1:$Z$2488,1365,'Live Data'!$C$17)),"")</f>
        <v/>
      </c>
      <c r="G1365" s="54" t="str">
        <f>IFERROR(IF(INDEX(SPOT_Import!$A$1:$Z$2488,1365,'Live Data'!$C$18)="","",INDEX(SPOT_Import!$A$1:$Z$2488,1365,'Live Data'!$C$18)),"")</f>
        <v/>
      </c>
      <c r="H1365" s="54" t="str">
        <f>IFERROR(IF(INDEX(SPOT_Import!$A$1:$Z$2488,1365,'Live Data'!$C$19)="","",INDEX(SPOT_Import!$A$1:$Z$2488,1365,'Live Data'!$C$19)),"")</f>
        <v/>
      </c>
      <c r="I1365" s="54" t="str">
        <f>IFERROR(IF(INDEX(SPOT_Import!$A$1:$Z$2488,1365,'Live Data'!$C$20)="","",INDEX(SPOT_Import!$A$1:$Z$2488,1365,'Live Data'!$C$20)),"")</f>
        <v/>
      </c>
      <c r="J1365" s="54" t="str">
        <f>IFERROR(IF(INDEX(SPOT_Import!$A$1:$Z$2488,1365,'Live Data'!$C$21)="","",INDEX(SPOT_Import!$A$1:$Z$2488,1365,'Live Data'!$C$21)),"")</f>
        <v/>
      </c>
      <c r="K1365" s="54" t="str">
        <f>IFERROR(IF(INDEX(SPOT_Import!$A$1:$Z$2488,1365,'Live Data'!$C$22)="","",INDEX(SPOT_Import!$A$1:$Z$2488,1365,'Live Data'!$C$22)),"")</f>
        <v/>
      </c>
      <c r="L1365" s="55" t="str">
        <f t="shared" si="42"/>
        <v/>
      </c>
      <c r="M1365" s="55" t="str">
        <f t="shared" si="43"/>
        <v/>
      </c>
      <c r="N1365" s="55" t="str">
        <f>IF(A1365="","",IFERROR(INDEX('Cluster Map'!$A$4:$A$38,MATCH(M1365,'Cluster Map'!$B$4:$B$38,0)),"Unmapped"))</f>
        <v/>
      </c>
      <c r="O1365" s="55">
        <f>IF(A1365="",0,IF(COUNTIFS($A$2:A1365,A1365,$F$2:F1365,F1365,$L$2:L1365,L1365)=1,1,0))</f>
        <v>0</v>
      </c>
      <c r="P1365" s="55">
        <f>IF(A1365="",0,IF(AND(F1365="C&amp;T",COUNTIFS($A$2:A1365,A1365,$F$2:F1365,"C&amp;T")=1),1,0))</f>
        <v>0</v>
      </c>
    </row>
    <row r="1366" spans="1:16" x14ac:dyDescent="0.35">
      <c r="A1366" s="54" t="str">
        <f>IFERROR(IF(INDEX(SPOT_Import!$A$1:$Z$2488,1366,'Live Data'!$C$12)="","",INDEX(SPOT_Import!$A$1:$Z$2488,1366,'Live Data'!$C$12)),"")</f>
        <v/>
      </c>
      <c r="B1366" s="54" t="str">
        <f>IFERROR(IF(INDEX(SPOT_Import!$A$1:$Z$2488,1366,'Live Data'!$C$13)="","",INDEX(SPOT_Import!$A$1:$Z$2488,1366,'Live Data'!$C$13)),"")</f>
        <v/>
      </c>
      <c r="C1366" s="54" t="str">
        <f>IFERROR(IF(INDEX(SPOT_Import!$A$1:$Z$2488,1366,'Live Data'!$C$14)="","",INDEX(SPOT_Import!$A$1:$Z$2488,1366,'Live Data'!$C$14)),"")</f>
        <v/>
      </c>
      <c r="D1366" s="54" t="str">
        <f>IFERROR(IF(INDEX(SPOT_Import!$A$1:$Z$2488,1366,'Live Data'!$C$15)="","",INDEX(SPOT_Import!$A$1:$Z$2488,1366,'Live Data'!$C$15)),"")</f>
        <v/>
      </c>
      <c r="E1366" s="54" t="str">
        <f>IFERROR(IF(INDEX(SPOT_Import!$A$1:$Z$2488,1366,'Live Data'!$C$16)="","",INDEX(SPOT_Import!$A$1:$Z$2488,1366,'Live Data'!$C$16)),"")</f>
        <v/>
      </c>
      <c r="F1366" s="54" t="str">
        <f>IFERROR(IF(INDEX(SPOT_Import!$A$1:$Z$2488,1366,'Live Data'!$C$17)="","",INDEX(SPOT_Import!$A$1:$Z$2488,1366,'Live Data'!$C$17)),"")</f>
        <v/>
      </c>
      <c r="G1366" s="54" t="str">
        <f>IFERROR(IF(INDEX(SPOT_Import!$A$1:$Z$2488,1366,'Live Data'!$C$18)="","",INDEX(SPOT_Import!$A$1:$Z$2488,1366,'Live Data'!$C$18)),"")</f>
        <v/>
      </c>
      <c r="H1366" s="54" t="str">
        <f>IFERROR(IF(INDEX(SPOT_Import!$A$1:$Z$2488,1366,'Live Data'!$C$19)="","",INDEX(SPOT_Import!$A$1:$Z$2488,1366,'Live Data'!$C$19)),"")</f>
        <v/>
      </c>
      <c r="I1366" s="54" t="str">
        <f>IFERROR(IF(INDEX(SPOT_Import!$A$1:$Z$2488,1366,'Live Data'!$C$20)="","",INDEX(SPOT_Import!$A$1:$Z$2488,1366,'Live Data'!$C$20)),"")</f>
        <v/>
      </c>
      <c r="J1366" s="54" t="str">
        <f>IFERROR(IF(INDEX(SPOT_Import!$A$1:$Z$2488,1366,'Live Data'!$C$21)="","",INDEX(SPOT_Import!$A$1:$Z$2488,1366,'Live Data'!$C$21)),"")</f>
        <v/>
      </c>
      <c r="K1366" s="54" t="str">
        <f>IFERROR(IF(INDEX(SPOT_Import!$A$1:$Z$2488,1366,'Live Data'!$C$22)="","",INDEX(SPOT_Import!$A$1:$Z$2488,1366,'Live Data'!$C$22)),"")</f>
        <v/>
      </c>
      <c r="L1366" s="55" t="str">
        <f t="shared" si="42"/>
        <v/>
      </c>
      <c r="M1366" s="55" t="str">
        <f t="shared" si="43"/>
        <v/>
      </c>
      <c r="N1366" s="55" t="str">
        <f>IF(A1366="","",IFERROR(INDEX('Cluster Map'!$A$4:$A$38,MATCH(M1366,'Cluster Map'!$B$4:$B$38,0)),"Unmapped"))</f>
        <v/>
      </c>
      <c r="O1366" s="55">
        <f>IF(A1366="",0,IF(COUNTIFS($A$2:A1366,A1366,$F$2:F1366,F1366,$L$2:L1366,L1366)=1,1,0))</f>
        <v>0</v>
      </c>
      <c r="P1366" s="55">
        <f>IF(A1366="",0,IF(AND(F1366="C&amp;T",COUNTIFS($A$2:A1366,A1366,$F$2:F1366,"C&amp;T")=1),1,0))</f>
        <v>0</v>
      </c>
    </row>
    <row r="1367" spans="1:16" x14ac:dyDescent="0.35">
      <c r="A1367" s="54" t="str">
        <f>IFERROR(IF(INDEX(SPOT_Import!$A$1:$Z$2488,1367,'Live Data'!$C$12)="","",INDEX(SPOT_Import!$A$1:$Z$2488,1367,'Live Data'!$C$12)),"")</f>
        <v/>
      </c>
      <c r="B1367" s="54" t="str">
        <f>IFERROR(IF(INDEX(SPOT_Import!$A$1:$Z$2488,1367,'Live Data'!$C$13)="","",INDEX(SPOT_Import!$A$1:$Z$2488,1367,'Live Data'!$C$13)),"")</f>
        <v/>
      </c>
      <c r="C1367" s="54" t="str">
        <f>IFERROR(IF(INDEX(SPOT_Import!$A$1:$Z$2488,1367,'Live Data'!$C$14)="","",INDEX(SPOT_Import!$A$1:$Z$2488,1367,'Live Data'!$C$14)),"")</f>
        <v/>
      </c>
      <c r="D1367" s="54" t="str">
        <f>IFERROR(IF(INDEX(SPOT_Import!$A$1:$Z$2488,1367,'Live Data'!$C$15)="","",INDEX(SPOT_Import!$A$1:$Z$2488,1367,'Live Data'!$C$15)),"")</f>
        <v/>
      </c>
      <c r="E1367" s="54" t="str">
        <f>IFERROR(IF(INDEX(SPOT_Import!$A$1:$Z$2488,1367,'Live Data'!$C$16)="","",INDEX(SPOT_Import!$A$1:$Z$2488,1367,'Live Data'!$C$16)),"")</f>
        <v/>
      </c>
      <c r="F1367" s="54" t="str">
        <f>IFERROR(IF(INDEX(SPOT_Import!$A$1:$Z$2488,1367,'Live Data'!$C$17)="","",INDEX(SPOT_Import!$A$1:$Z$2488,1367,'Live Data'!$C$17)),"")</f>
        <v/>
      </c>
      <c r="G1367" s="54" t="str">
        <f>IFERROR(IF(INDEX(SPOT_Import!$A$1:$Z$2488,1367,'Live Data'!$C$18)="","",INDEX(SPOT_Import!$A$1:$Z$2488,1367,'Live Data'!$C$18)),"")</f>
        <v/>
      </c>
      <c r="H1367" s="54" t="str">
        <f>IFERROR(IF(INDEX(SPOT_Import!$A$1:$Z$2488,1367,'Live Data'!$C$19)="","",INDEX(SPOT_Import!$A$1:$Z$2488,1367,'Live Data'!$C$19)),"")</f>
        <v/>
      </c>
      <c r="I1367" s="54" t="str">
        <f>IFERROR(IF(INDEX(SPOT_Import!$A$1:$Z$2488,1367,'Live Data'!$C$20)="","",INDEX(SPOT_Import!$A$1:$Z$2488,1367,'Live Data'!$C$20)),"")</f>
        <v/>
      </c>
      <c r="J1367" s="54" t="str">
        <f>IFERROR(IF(INDEX(SPOT_Import!$A$1:$Z$2488,1367,'Live Data'!$C$21)="","",INDEX(SPOT_Import!$A$1:$Z$2488,1367,'Live Data'!$C$21)),"")</f>
        <v/>
      </c>
      <c r="K1367" s="54" t="str">
        <f>IFERROR(IF(INDEX(SPOT_Import!$A$1:$Z$2488,1367,'Live Data'!$C$22)="","",INDEX(SPOT_Import!$A$1:$Z$2488,1367,'Live Data'!$C$22)),"")</f>
        <v/>
      </c>
      <c r="L1367" s="55" t="str">
        <f t="shared" si="42"/>
        <v/>
      </c>
      <c r="M1367" s="55" t="str">
        <f t="shared" si="43"/>
        <v/>
      </c>
      <c r="N1367" s="55" t="str">
        <f>IF(A1367="","",IFERROR(INDEX('Cluster Map'!$A$4:$A$38,MATCH(M1367,'Cluster Map'!$B$4:$B$38,0)),"Unmapped"))</f>
        <v/>
      </c>
      <c r="O1367" s="55">
        <f>IF(A1367="",0,IF(COUNTIFS($A$2:A1367,A1367,$F$2:F1367,F1367,$L$2:L1367,L1367)=1,1,0))</f>
        <v>0</v>
      </c>
      <c r="P1367" s="55">
        <f>IF(A1367="",0,IF(AND(F1367="C&amp;T",COUNTIFS($A$2:A1367,A1367,$F$2:F1367,"C&amp;T")=1),1,0))</f>
        <v>0</v>
      </c>
    </row>
    <row r="1368" spans="1:16" x14ac:dyDescent="0.35">
      <c r="A1368" s="54" t="str">
        <f>IFERROR(IF(INDEX(SPOT_Import!$A$1:$Z$2488,1368,'Live Data'!$C$12)="","",INDEX(SPOT_Import!$A$1:$Z$2488,1368,'Live Data'!$C$12)),"")</f>
        <v/>
      </c>
      <c r="B1368" s="54" t="str">
        <f>IFERROR(IF(INDEX(SPOT_Import!$A$1:$Z$2488,1368,'Live Data'!$C$13)="","",INDEX(SPOT_Import!$A$1:$Z$2488,1368,'Live Data'!$C$13)),"")</f>
        <v/>
      </c>
      <c r="C1368" s="54" t="str">
        <f>IFERROR(IF(INDEX(SPOT_Import!$A$1:$Z$2488,1368,'Live Data'!$C$14)="","",INDEX(SPOT_Import!$A$1:$Z$2488,1368,'Live Data'!$C$14)),"")</f>
        <v/>
      </c>
      <c r="D1368" s="54" t="str">
        <f>IFERROR(IF(INDEX(SPOT_Import!$A$1:$Z$2488,1368,'Live Data'!$C$15)="","",INDEX(SPOT_Import!$A$1:$Z$2488,1368,'Live Data'!$C$15)),"")</f>
        <v/>
      </c>
      <c r="E1368" s="54" t="str">
        <f>IFERROR(IF(INDEX(SPOT_Import!$A$1:$Z$2488,1368,'Live Data'!$C$16)="","",INDEX(SPOT_Import!$A$1:$Z$2488,1368,'Live Data'!$C$16)),"")</f>
        <v/>
      </c>
      <c r="F1368" s="54" t="str">
        <f>IFERROR(IF(INDEX(SPOT_Import!$A$1:$Z$2488,1368,'Live Data'!$C$17)="","",INDEX(SPOT_Import!$A$1:$Z$2488,1368,'Live Data'!$C$17)),"")</f>
        <v/>
      </c>
      <c r="G1368" s="54" t="str">
        <f>IFERROR(IF(INDEX(SPOT_Import!$A$1:$Z$2488,1368,'Live Data'!$C$18)="","",INDEX(SPOT_Import!$A$1:$Z$2488,1368,'Live Data'!$C$18)),"")</f>
        <v/>
      </c>
      <c r="H1368" s="54" t="str">
        <f>IFERROR(IF(INDEX(SPOT_Import!$A$1:$Z$2488,1368,'Live Data'!$C$19)="","",INDEX(SPOT_Import!$A$1:$Z$2488,1368,'Live Data'!$C$19)),"")</f>
        <v/>
      </c>
      <c r="I1368" s="54" t="str">
        <f>IFERROR(IF(INDEX(SPOT_Import!$A$1:$Z$2488,1368,'Live Data'!$C$20)="","",INDEX(SPOT_Import!$A$1:$Z$2488,1368,'Live Data'!$C$20)),"")</f>
        <v/>
      </c>
      <c r="J1368" s="54" t="str">
        <f>IFERROR(IF(INDEX(SPOT_Import!$A$1:$Z$2488,1368,'Live Data'!$C$21)="","",INDEX(SPOT_Import!$A$1:$Z$2488,1368,'Live Data'!$C$21)),"")</f>
        <v/>
      </c>
      <c r="K1368" s="54" t="str">
        <f>IFERROR(IF(INDEX(SPOT_Import!$A$1:$Z$2488,1368,'Live Data'!$C$22)="","",INDEX(SPOT_Import!$A$1:$Z$2488,1368,'Live Data'!$C$22)),"")</f>
        <v/>
      </c>
      <c r="L1368" s="55" t="str">
        <f t="shared" si="42"/>
        <v/>
      </c>
      <c r="M1368" s="55" t="str">
        <f t="shared" si="43"/>
        <v/>
      </c>
      <c r="N1368" s="55" t="str">
        <f>IF(A1368="","",IFERROR(INDEX('Cluster Map'!$A$4:$A$38,MATCH(M1368,'Cluster Map'!$B$4:$B$38,0)),"Unmapped"))</f>
        <v/>
      </c>
      <c r="O1368" s="55">
        <f>IF(A1368="",0,IF(COUNTIFS($A$2:A1368,A1368,$F$2:F1368,F1368,$L$2:L1368,L1368)=1,1,0))</f>
        <v>0</v>
      </c>
      <c r="P1368" s="55">
        <f>IF(A1368="",0,IF(AND(F1368="C&amp;T",COUNTIFS($A$2:A1368,A1368,$F$2:F1368,"C&amp;T")=1),1,0))</f>
        <v>0</v>
      </c>
    </row>
    <row r="1369" spans="1:16" x14ac:dyDescent="0.35">
      <c r="A1369" s="54" t="str">
        <f>IFERROR(IF(INDEX(SPOT_Import!$A$1:$Z$2488,1369,'Live Data'!$C$12)="","",INDEX(SPOT_Import!$A$1:$Z$2488,1369,'Live Data'!$C$12)),"")</f>
        <v/>
      </c>
      <c r="B1369" s="54" t="str">
        <f>IFERROR(IF(INDEX(SPOT_Import!$A$1:$Z$2488,1369,'Live Data'!$C$13)="","",INDEX(SPOT_Import!$A$1:$Z$2488,1369,'Live Data'!$C$13)),"")</f>
        <v/>
      </c>
      <c r="C1369" s="54" t="str">
        <f>IFERROR(IF(INDEX(SPOT_Import!$A$1:$Z$2488,1369,'Live Data'!$C$14)="","",INDEX(SPOT_Import!$A$1:$Z$2488,1369,'Live Data'!$C$14)),"")</f>
        <v/>
      </c>
      <c r="D1369" s="54" t="str">
        <f>IFERROR(IF(INDEX(SPOT_Import!$A$1:$Z$2488,1369,'Live Data'!$C$15)="","",INDEX(SPOT_Import!$A$1:$Z$2488,1369,'Live Data'!$C$15)),"")</f>
        <v/>
      </c>
      <c r="E1369" s="54" t="str">
        <f>IFERROR(IF(INDEX(SPOT_Import!$A$1:$Z$2488,1369,'Live Data'!$C$16)="","",INDEX(SPOT_Import!$A$1:$Z$2488,1369,'Live Data'!$C$16)),"")</f>
        <v/>
      </c>
      <c r="F1369" s="54" t="str">
        <f>IFERROR(IF(INDEX(SPOT_Import!$A$1:$Z$2488,1369,'Live Data'!$C$17)="","",INDEX(SPOT_Import!$A$1:$Z$2488,1369,'Live Data'!$C$17)),"")</f>
        <v/>
      </c>
      <c r="G1369" s="54" t="str">
        <f>IFERROR(IF(INDEX(SPOT_Import!$A$1:$Z$2488,1369,'Live Data'!$C$18)="","",INDEX(SPOT_Import!$A$1:$Z$2488,1369,'Live Data'!$C$18)),"")</f>
        <v/>
      </c>
      <c r="H1369" s="54" t="str">
        <f>IFERROR(IF(INDEX(SPOT_Import!$A$1:$Z$2488,1369,'Live Data'!$C$19)="","",INDEX(SPOT_Import!$A$1:$Z$2488,1369,'Live Data'!$C$19)),"")</f>
        <v/>
      </c>
      <c r="I1369" s="54" t="str">
        <f>IFERROR(IF(INDEX(SPOT_Import!$A$1:$Z$2488,1369,'Live Data'!$C$20)="","",INDEX(SPOT_Import!$A$1:$Z$2488,1369,'Live Data'!$C$20)),"")</f>
        <v/>
      </c>
      <c r="J1369" s="54" t="str">
        <f>IFERROR(IF(INDEX(SPOT_Import!$A$1:$Z$2488,1369,'Live Data'!$C$21)="","",INDEX(SPOT_Import!$A$1:$Z$2488,1369,'Live Data'!$C$21)),"")</f>
        <v/>
      </c>
      <c r="K1369" s="54" t="str">
        <f>IFERROR(IF(INDEX(SPOT_Import!$A$1:$Z$2488,1369,'Live Data'!$C$22)="","",INDEX(SPOT_Import!$A$1:$Z$2488,1369,'Live Data'!$C$22)),"")</f>
        <v/>
      </c>
      <c r="L1369" s="55" t="str">
        <f t="shared" si="42"/>
        <v/>
      </c>
      <c r="M1369" s="55" t="str">
        <f t="shared" si="43"/>
        <v/>
      </c>
      <c r="N1369" s="55" t="str">
        <f>IF(A1369="","",IFERROR(INDEX('Cluster Map'!$A$4:$A$38,MATCH(M1369,'Cluster Map'!$B$4:$B$38,0)),"Unmapped"))</f>
        <v/>
      </c>
      <c r="O1369" s="55">
        <f>IF(A1369="",0,IF(COUNTIFS($A$2:A1369,A1369,$F$2:F1369,F1369,$L$2:L1369,L1369)=1,1,0))</f>
        <v>0</v>
      </c>
      <c r="P1369" s="55">
        <f>IF(A1369="",0,IF(AND(F1369="C&amp;T",COUNTIFS($A$2:A1369,A1369,$F$2:F1369,"C&amp;T")=1),1,0))</f>
        <v>0</v>
      </c>
    </row>
    <row r="1370" spans="1:16" x14ac:dyDescent="0.35">
      <c r="A1370" s="54" t="str">
        <f>IFERROR(IF(INDEX(SPOT_Import!$A$1:$Z$2488,1370,'Live Data'!$C$12)="","",INDEX(SPOT_Import!$A$1:$Z$2488,1370,'Live Data'!$C$12)),"")</f>
        <v/>
      </c>
      <c r="B1370" s="54" t="str">
        <f>IFERROR(IF(INDEX(SPOT_Import!$A$1:$Z$2488,1370,'Live Data'!$C$13)="","",INDEX(SPOT_Import!$A$1:$Z$2488,1370,'Live Data'!$C$13)),"")</f>
        <v/>
      </c>
      <c r="C1370" s="54" t="str">
        <f>IFERROR(IF(INDEX(SPOT_Import!$A$1:$Z$2488,1370,'Live Data'!$C$14)="","",INDEX(SPOT_Import!$A$1:$Z$2488,1370,'Live Data'!$C$14)),"")</f>
        <v/>
      </c>
      <c r="D1370" s="54" t="str">
        <f>IFERROR(IF(INDEX(SPOT_Import!$A$1:$Z$2488,1370,'Live Data'!$C$15)="","",INDEX(SPOT_Import!$A$1:$Z$2488,1370,'Live Data'!$C$15)),"")</f>
        <v/>
      </c>
      <c r="E1370" s="54" t="str">
        <f>IFERROR(IF(INDEX(SPOT_Import!$A$1:$Z$2488,1370,'Live Data'!$C$16)="","",INDEX(SPOT_Import!$A$1:$Z$2488,1370,'Live Data'!$C$16)),"")</f>
        <v/>
      </c>
      <c r="F1370" s="54" t="str">
        <f>IFERROR(IF(INDEX(SPOT_Import!$A$1:$Z$2488,1370,'Live Data'!$C$17)="","",INDEX(SPOT_Import!$A$1:$Z$2488,1370,'Live Data'!$C$17)),"")</f>
        <v/>
      </c>
      <c r="G1370" s="54" t="str">
        <f>IFERROR(IF(INDEX(SPOT_Import!$A$1:$Z$2488,1370,'Live Data'!$C$18)="","",INDEX(SPOT_Import!$A$1:$Z$2488,1370,'Live Data'!$C$18)),"")</f>
        <v/>
      </c>
      <c r="H1370" s="54" t="str">
        <f>IFERROR(IF(INDEX(SPOT_Import!$A$1:$Z$2488,1370,'Live Data'!$C$19)="","",INDEX(SPOT_Import!$A$1:$Z$2488,1370,'Live Data'!$C$19)),"")</f>
        <v/>
      </c>
      <c r="I1370" s="54" t="str">
        <f>IFERROR(IF(INDEX(SPOT_Import!$A$1:$Z$2488,1370,'Live Data'!$C$20)="","",INDEX(SPOT_Import!$A$1:$Z$2488,1370,'Live Data'!$C$20)),"")</f>
        <v/>
      </c>
      <c r="J1370" s="54" t="str">
        <f>IFERROR(IF(INDEX(SPOT_Import!$A$1:$Z$2488,1370,'Live Data'!$C$21)="","",INDEX(SPOT_Import!$A$1:$Z$2488,1370,'Live Data'!$C$21)),"")</f>
        <v/>
      </c>
      <c r="K1370" s="54" t="str">
        <f>IFERROR(IF(INDEX(SPOT_Import!$A$1:$Z$2488,1370,'Live Data'!$C$22)="","",INDEX(SPOT_Import!$A$1:$Z$2488,1370,'Live Data'!$C$22)),"")</f>
        <v/>
      </c>
      <c r="L1370" s="55" t="str">
        <f t="shared" si="42"/>
        <v/>
      </c>
      <c r="M1370" s="55" t="str">
        <f t="shared" si="43"/>
        <v/>
      </c>
      <c r="N1370" s="55" t="str">
        <f>IF(A1370="","",IFERROR(INDEX('Cluster Map'!$A$4:$A$38,MATCH(M1370,'Cluster Map'!$B$4:$B$38,0)),"Unmapped"))</f>
        <v/>
      </c>
      <c r="O1370" s="55">
        <f>IF(A1370="",0,IF(COUNTIFS($A$2:A1370,A1370,$F$2:F1370,F1370,$L$2:L1370,L1370)=1,1,0))</f>
        <v>0</v>
      </c>
      <c r="P1370" s="55">
        <f>IF(A1370="",0,IF(AND(F1370="C&amp;T",COUNTIFS($A$2:A1370,A1370,$F$2:F1370,"C&amp;T")=1),1,0))</f>
        <v>0</v>
      </c>
    </row>
    <row r="1371" spans="1:16" x14ac:dyDescent="0.35">
      <c r="A1371" s="54" t="str">
        <f>IFERROR(IF(INDEX(SPOT_Import!$A$1:$Z$2488,1371,'Live Data'!$C$12)="","",INDEX(SPOT_Import!$A$1:$Z$2488,1371,'Live Data'!$C$12)),"")</f>
        <v/>
      </c>
      <c r="B1371" s="54" t="str">
        <f>IFERROR(IF(INDEX(SPOT_Import!$A$1:$Z$2488,1371,'Live Data'!$C$13)="","",INDEX(SPOT_Import!$A$1:$Z$2488,1371,'Live Data'!$C$13)),"")</f>
        <v/>
      </c>
      <c r="C1371" s="54" t="str">
        <f>IFERROR(IF(INDEX(SPOT_Import!$A$1:$Z$2488,1371,'Live Data'!$C$14)="","",INDEX(SPOT_Import!$A$1:$Z$2488,1371,'Live Data'!$C$14)),"")</f>
        <v/>
      </c>
      <c r="D1371" s="54" t="str">
        <f>IFERROR(IF(INDEX(SPOT_Import!$A$1:$Z$2488,1371,'Live Data'!$C$15)="","",INDEX(SPOT_Import!$A$1:$Z$2488,1371,'Live Data'!$C$15)),"")</f>
        <v/>
      </c>
      <c r="E1371" s="54" t="str">
        <f>IFERROR(IF(INDEX(SPOT_Import!$A$1:$Z$2488,1371,'Live Data'!$C$16)="","",INDEX(SPOT_Import!$A$1:$Z$2488,1371,'Live Data'!$C$16)),"")</f>
        <v/>
      </c>
      <c r="F1371" s="54" t="str">
        <f>IFERROR(IF(INDEX(SPOT_Import!$A$1:$Z$2488,1371,'Live Data'!$C$17)="","",INDEX(SPOT_Import!$A$1:$Z$2488,1371,'Live Data'!$C$17)),"")</f>
        <v/>
      </c>
      <c r="G1371" s="54" t="str">
        <f>IFERROR(IF(INDEX(SPOT_Import!$A$1:$Z$2488,1371,'Live Data'!$C$18)="","",INDEX(SPOT_Import!$A$1:$Z$2488,1371,'Live Data'!$C$18)),"")</f>
        <v/>
      </c>
      <c r="H1371" s="54" t="str">
        <f>IFERROR(IF(INDEX(SPOT_Import!$A$1:$Z$2488,1371,'Live Data'!$C$19)="","",INDEX(SPOT_Import!$A$1:$Z$2488,1371,'Live Data'!$C$19)),"")</f>
        <v/>
      </c>
      <c r="I1371" s="54" t="str">
        <f>IFERROR(IF(INDEX(SPOT_Import!$A$1:$Z$2488,1371,'Live Data'!$C$20)="","",INDEX(SPOT_Import!$A$1:$Z$2488,1371,'Live Data'!$C$20)),"")</f>
        <v/>
      </c>
      <c r="J1371" s="54" t="str">
        <f>IFERROR(IF(INDEX(SPOT_Import!$A$1:$Z$2488,1371,'Live Data'!$C$21)="","",INDEX(SPOT_Import!$A$1:$Z$2488,1371,'Live Data'!$C$21)),"")</f>
        <v/>
      </c>
      <c r="K1371" s="54" t="str">
        <f>IFERROR(IF(INDEX(SPOT_Import!$A$1:$Z$2488,1371,'Live Data'!$C$22)="","",INDEX(SPOT_Import!$A$1:$Z$2488,1371,'Live Data'!$C$22)),"")</f>
        <v/>
      </c>
      <c r="L1371" s="55" t="str">
        <f t="shared" si="42"/>
        <v/>
      </c>
      <c r="M1371" s="55" t="str">
        <f t="shared" si="43"/>
        <v/>
      </c>
      <c r="N1371" s="55" t="str">
        <f>IF(A1371="","",IFERROR(INDEX('Cluster Map'!$A$4:$A$38,MATCH(M1371,'Cluster Map'!$B$4:$B$38,0)),"Unmapped"))</f>
        <v/>
      </c>
      <c r="O1371" s="55">
        <f>IF(A1371="",0,IF(COUNTIFS($A$2:A1371,A1371,$F$2:F1371,F1371,$L$2:L1371,L1371)=1,1,0))</f>
        <v>0</v>
      </c>
      <c r="P1371" s="55">
        <f>IF(A1371="",0,IF(AND(F1371="C&amp;T",COUNTIFS($A$2:A1371,A1371,$F$2:F1371,"C&amp;T")=1),1,0))</f>
        <v>0</v>
      </c>
    </row>
    <row r="1372" spans="1:16" x14ac:dyDescent="0.35">
      <c r="A1372" s="54" t="str">
        <f>IFERROR(IF(INDEX(SPOT_Import!$A$1:$Z$2488,1372,'Live Data'!$C$12)="","",INDEX(SPOT_Import!$A$1:$Z$2488,1372,'Live Data'!$C$12)),"")</f>
        <v/>
      </c>
      <c r="B1372" s="54" t="str">
        <f>IFERROR(IF(INDEX(SPOT_Import!$A$1:$Z$2488,1372,'Live Data'!$C$13)="","",INDEX(SPOT_Import!$A$1:$Z$2488,1372,'Live Data'!$C$13)),"")</f>
        <v/>
      </c>
      <c r="C1372" s="54" t="str">
        <f>IFERROR(IF(INDEX(SPOT_Import!$A$1:$Z$2488,1372,'Live Data'!$C$14)="","",INDEX(SPOT_Import!$A$1:$Z$2488,1372,'Live Data'!$C$14)),"")</f>
        <v/>
      </c>
      <c r="D1372" s="54" t="str">
        <f>IFERROR(IF(INDEX(SPOT_Import!$A$1:$Z$2488,1372,'Live Data'!$C$15)="","",INDEX(SPOT_Import!$A$1:$Z$2488,1372,'Live Data'!$C$15)),"")</f>
        <v/>
      </c>
      <c r="E1372" s="54" t="str">
        <f>IFERROR(IF(INDEX(SPOT_Import!$A$1:$Z$2488,1372,'Live Data'!$C$16)="","",INDEX(SPOT_Import!$A$1:$Z$2488,1372,'Live Data'!$C$16)),"")</f>
        <v/>
      </c>
      <c r="F1372" s="54" t="str">
        <f>IFERROR(IF(INDEX(SPOT_Import!$A$1:$Z$2488,1372,'Live Data'!$C$17)="","",INDEX(SPOT_Import!$A$1:$Z$2488,1372,'Live Data'!$C$17)),"")</f>
        <v/>
      </c>
      <c r="G1372" s="54" t="str">
        <f>IFERROR(IF(INDEX(SPOT_Import!$A$1:$Z$2488,1372,'Live Data'!$C$18)="","",INDEX(SPOT_Import!$A$1:$Z$2488,1372,'Live Data'!$C$18)),"")</f>
        <v/>
      </c>
      <c r="H1372" s="54" t="str">
        <f>IFERROR(IF(INDEX(SPOT_Import!$A$1:$Z$2488,1372,'Live Data'!$C$19)="","",INDEX(SPOT_Import!$A$1:$Z$2488,1372,'Live Data'!$C$19)),"")</f>
        <v/>
      </c>
      <c r="I1372" s="54" t="str">
        <f>IFERROR(IF(INDEX(SPOT_Import!$A$1:$Z$2488,1372,'Live Data'!$C$20)="","",INDEX(SPOT_Import!$A$1:$Z$2488,1372,'Live Data'!$C$20)),"")</f>
        <v/>
      </c>
      <c r="J1372" s="54" t="str">
        <f>IFERROR(IF(INDEX(SPOT_Import!$A$1:$Z$2488,1372,'Live Data'!$C$21)="","",INDEX(SPOT_Import!$A$1:$Z$2488,1372,'Live Data'!$C$21)),"")</f>
        <v/>
      </c>
      <c r="K1372" s="54" t="str">
        <f>IFERROR(IF(INDEX(SPOT_Import!$A$1:$Z$2488,1372,'Live Data'!$C$22)="","",INDEX(SPOT_Import!$A$1:$Z$2488,1372,'Live Data'!$C$22)),"")</f>
        <v/>
      </c>
      <c r="L1372" s="55" t="str">
        <f t="shared" si="42"/>
        <v/>
      </c>
      <c r="M1372" s="55" t="str">
        <f t="shared" si="43"/>
        <v/>
      </c>
      <c r="N1372" s="55" t="str">
        <f>IF(A1372="","",IFERROR(INDEX('Cluster Map'!$A$4:$A$38,MATCH(M1372,'Cluster Map'!$B$4:$B$38,0)),"Unmapped"))</f>
        <v/>
      </c>
      <c r="O1372" s="55">
        <f>IF(A1372="",0,IF(COUNTIFS($A$2:A1372,A1372,$F$2:F1372,F1372,$L$2:L1372,L1372)=1,1,0))</f>
        <v>0</v>
      </c>
      <c r="P1372" s="55">
        <f>IF(A1372="",0,IF(AND(F1372="C&amp;T",COUNTIFS($A$2:A1372,A1372,$F$2:F1372,"C&amp;T")=1),1,0))</f>
        <v>0</v>
      </c>
    </row>
    <row r="1373" spans="1:16" x14ac:dyDescent="0.35">
      <c r="A1373" s="54" t="str">
        <f>IFERROR(IF(INDEX(SPOT_Import!$A$1:$Z$2488,1373,'Live Data'!$C$12)="","",INDEX(SPOT_Import!$A$1:$Z$2488,1373,'Live Data'!$C$12)),"")</f>
        <v/>
      </c>
      <c r="B1373" s="54" t="str">
        <f>IFERROR(IF(INDEX(SPOT_Import!$A$1:$Z$2488,1373,'Live Data'!$C$13)="","",INDEX(SPOT_Import!$A$1:$Z$2488,1373,'Live Data'!$C$13)),"")</f>
        <v/>
      </c>
      <c r="C1373" s="54" t="str">
        <f>IFERROR(IF(INDEX(SPOT_Import!$A$1:$Z$2488,1373,'Live Data'!$C$14)="","",INDEX(SPOT_Import!$A$1:$Z$2488,1373,'Live Data'!$C$14)),"")</f>
        <v/>
      </c>
      <c r="D1373" s="54" t="str">
        <f>IFERROR(IF(INDEX(SPOT_Import!$A$1:$Z$2488,1373,'Live Data'!$C$15)="","",INDEX(SPOT_Import!$A$1:$Z$2488,1373,'Live Data'!$C$15)),"")</f>
        <v/>
      </c>
      <c r="E1373" s="54" t="str">
        <f>IFERROR(IF(INDEX(SPOT_Import!$A$1:$Z$2488,1373,'Live Data'!$C$16)="","",INDEX(SPOT_Import!$A$1:$Z$2488,1373,'Live Data'!$C$16)),"")</f>
        <v/>
      </c>
      <c r="F1373" s="54" t="str">
        <f>IFERROR(IF(INDEX(SPOT_Import!$A$1:$Z$2488,1373,'Live Data'!$C$17)="","",INDEX(SPOT_Import!$A$1:$Z$2488,1373,'Live Data'!$C$17)),"")</f>
        <v/>
      </c>
      <c r="G1373" s="54" t="str">
        <f>IFERROR(IF(INDEX(SPOT_Import!$A$1:$Z$2488,1373,'Live Data'!$C$18)="","",INDEX(SPOT_Import!$A$1:$Z$2488,1373,'Live Data'!$C$18)),"")</f>
        <v/>
      </c>
      <c r="H1373" s="54" t="str">
        <f>IFERROR(IF(INDEX(SPOT_Import!$A$1:$Z$2488,1373,'Live Data'!$C$19)="","",INDEX(SPOT_Import!$A$1:$Z$2488,1373,'Live Data'!$C$19)),"")</f>
        <v/>
      </c>
      <c r="I1373" s="54" t="str">
        <f>IFERROR(IF(INDEX(SPOT_Import!$A$1:$Z$2488,1373,'Live Data'!$C$20)="","",INDEX(SPOT_Import!$A$1:$Z$2488,1373,'Live Data'!$C$20)),"")</f>
        <v/>
      </c>
      <c r="J1373" s="54" t="str">
        <f>IFERROR(IF(INDEX(SPOT_Import!$A$1:$Z$2488,1373,'Live Data'!$C$21)="","",INDEX(SPOT_Import!$A$1:$Z$2488,1373,'Live Data'!$C$21)),"")</f>
        <v/>
      </c>
      <c r="K1373" s="54" t="str">
        <f>IFERROR(IF(INDEX(SPOT_Import!$A$1:$Z$2488,1373,'Live Data'!$C$22)="","",INDEX(SPOT_Import!$A$1:$Z$2488,1373,'Live Data'!$C$22)),"")</f>
        <v/>
      </c>
      <c r="L1373" s="55" t="str">
        <f t="shared" si="42"/>
        <v/>
      </c>
      <c r="M1373" s="55" t="str">
        <f t="shared" si="43"/>
        <v/>
      </c>
      <c r="N1373" s="55" t="str">
        <f>IF(A1373="","",IFERROR(INDEX('Cluster Map'!$A$4:$A$38,MATCH(M1373,'Cluster Map'!$B$4:$B$38,0)),"Unmapped"))</f>
        <v/>
      </c>
      <c r="O1373" s="55">
        <f>IF(A1373="",0,IF(COUNTIFS($A$2:A1373,A1373,$F$2:F1373,F1373,$L$2:L1373,L1373)=1,1,0))</f>
        <v>0</v>
      </c>
      <c r="P1373" s="55">
        <f>IF(A1373="",0,IF(AND(F1373="C&amp;T",COUNTIFS($A$2:A1373,A1373,$F$2:F1373,"C&amp;T")=1),1,0))</f>
        <v>0</v>
      </c>
    </row>
    <row r="1374" spans="1:16" x14ac:dyDescent="0.35">
      <c r="A1374" s="54" t="str">
        <f>IFERROR(IF(INDEX(SPOT_Import!$A$1:$Z$2488,1374,'Live Data'!$C$12)="","",INDEX(SPOT_Import!$A$1:$Z$2488,1374,'Live Data'!$C$12)),"")</f>
        <v/>
      </c>
      <c r="B1374" s="54" t="str">
        <f>IFERROR(IF(INDEX(SPOT_Import!$A$1:$Z$2488,1374,'Live Data'!$C$13)="","",INDEX(SPOT_Import!$A$1:$Z$2488,1374,'Live Data'!$C$13)),"")</f>
        <v/>
      </c>
      <c r="C1374" s="54" t="str">
        <f>IFERROR(IF(INDEX(SPOT_Import!$A$1:$Z$2488,1374,'Live Data'!$C$14)="","",INDEX(SPOT_Import!$A$1:$Z$2488,1374,'Live Data'!$C$14)),"")</f>
        <v/>
      </c>
      <c r="D1374" s="54" t="str">
        <f>IFERROR(IF(INDEX(SPOT_Import!$A$1:$Z$2488,1374,'Live Data'!$C$15)="","",INDEX(SPOT_Import!$A$1:$Z$2488,1374,'Live Data'!$C$15)),"")</f>
        <v/>
      </c>
      <c r="E1374" s="54" t="str">
        <f>IFERROR(IF(INDEX(SPOT_Import!$A$1:$Z$2488,1374,'Live Data'!$C$16)="","",INDEX(SPOT_Import!$A$1:$Z$2488,1374,'Live Data'!$C$16)),"")</f>
        <v/>
      </c>
      <c r="F1374" s="54" t="str">
        <f>IFERROR(IF(INDEX(SPOT_Import!$A$1:$Z$2488,1374,'Live Data'!$C$17)="","",INDEX(SPOT_Import!$A$1:$Z$2488,1374,'Live Data'!$C$17)),"")</f>
        <v/>
      </c>
      <c r="G1374" s="54" t="str">
        <f>IFERROR(IF(INDEX(SPOT_Import!$A$1:$Z$2488,1374,'Live Data'!$C$18)="","",INDEX(SPOT_Import!$A$1:$Z$2488,1374,'Live Data'!$C$18)),"")</f>
        <v/>
      </c>
      <c r="H1374" s="54" t="str">
        <f>IFERROR(IF(INDEX(SPOT_Import!$A$1:$Z$2488,1374,'Live Data'!$C$19)="","",INDEX(SPOT_Import!$A$1:$Z$2488,1374,'Live Data'!$C$19)),"")</f>
        <v/>
      </c>
      <c r="I1374" s="54" t="str">
        <f>IFERROR(IF(INDEX(SPOT_Import!$A$1:$Z$2488,1374,'Live Data'!$C$20)="","",INDEX(SPOT_Import!$A$1:$Z$2488,1374,'Live Data'!$C$20)),"")</f>
        <v/>
      </c>
      <c r="J1374" s="54" t="str">
        <f>IFERROR(IF(INDEX(SPOT_Import!$A$1:$Z$2488,1374,'Live Data'!$C$21)="","",INDEX(SPOT_Import!$A$1:$Z$2488,1374,'Live Data'!$C$21)),"")</f>
        <v/>
      </c>
      <c r="K1374" s="54" t="str">
        <f>IFERROR(IF(INDEX(SPOT_Import!$A$1:$Z$2488,1374,'Live Data'!$C$22)="","",INDEX(SPOT_Import!$A$1:$Z$2488,1374,'Live Data'!$C$22)),"")</f>
        <v/>
      </c>
      <c r="L1374" s="55" t="str">
        <f t="shared" si="42"/>
        <v/>
      </c>
      <c r="M1374" s="55" t="str">
        <f t="shared" si="43"/>
        <v/>
      </c>
      <c r="N1374" s="55" t="str">
        <f>IF(A1374="","",IFERROR(INDEX('Cluster Map'!$A$4:$A$38,MATCH(M1374,'Cluster Map'!$B$4:$B$38,0)),"Unmapped"))</f>
        <v/>
      </c>
      <c r="O1374" s="55">
        <f>IF(A1374="",0,IF(COUNTIFS($A$2:A1374,A1374,$F$2:F1374,F1374,$L$2:L1374,L1374)=1,1,0))</f>
        <v>0</v>
      </c>
      <c r="P1374" s="55">
        <f>IF(A1374="",0,IF(AND(F1374="C&amp;T",COUNTIFS($A$2:A1374,A1374,$F$2:F1374,"C&amp;T")=1),1,0))</f>
        <v>0</v>
      </c>
    </row>
    <row r="1375" spans="1:16" x14ac:dyDescent="0.35">
      <c r="A1375" s="54" t="str">
        <f>IFERROR(IF(INDEX(SPOT_Import!$A$1:$Z$2488,1375,'Live Data'!$C$12)="","",INDEX(SPOT_Import!$A$1:$Z$2488,1375,'Live Data'!$C$12)),"")</f>
        <v/>
      </c>
      <c r="B1375" s="54" t="str">
        <f>IFERROR(IF(INDEX(SPOT_Import!$A$1:$Z$2488,1375,'Live Data'!$C$13)="","",INDEX(SPOT_Import!$A$1:$Z$2488,1375,'Live Data'!$C$13)),"")</f>
        <v/>
      </c>
      <c r="C1375" s="54" t="str">
        <f>IFERROR(IF(INDEX(SPOT_Import!$A$1:$Z$2488,1375,'Live Data'!$C$14)="","",INDEX(SPOT_Import!$A$1:$Z$2488,1375,'Live Data'!$C$14)),"")</f>
        <v/>
      </c>
      <c r="D1375" s="54" t="str">
        <f>IFERROR(IF(INDEX(SPOT_Import!$A$1:$Z$2488,1375,'Live Data'!$C$15)="","",INDEX(SPOT_Import!$A$1:$Z$2488,1375,'Live Data'!$C$15)),"")</f>
        <v/>
      </c>
      <c r="E1375" s="54" t="str">
        <f>IFERROR(IF(INDEX(SPOT_Import!$A$1:$Z$2488,1375,'Live Data'!$C$16)="","",INDEX(SPOT_Import!$A$1:$Z$2488,1375,'Live Data'!$C$16)),"")</f>
        <v/>
      </c>
      <c r="F1375" s="54" t="str">
        <f>IFERROR(IF(INDEX(SPOT_Import!$A$1:$Z$2488,1375,'Live Data'!$C$17)="","",INDEX(SPOT_Import!$A$1:$Z$2488,1375,'Live Data'!$C$17)),"")</f>
        <v/>
      </c>
      <c r="G1375" s="54" t="str">
        <f>IFERROR(IF(INDEX(SPOT_Import!$A$1:$Z$2488,1375,'Live Data'!$C$18)="","",INDEX(SPOT_Import!$A$1:$Z$2488,1375,'Live Data'!$C$18)),"")</f>
        <v/>
      </c>
      <c r="H1375" s="54" t="str">
        <f>IFERROR(IF(INDEX(SPOT_Import!$A$1:$Z$2488,1375,'Live Data'!$C$19)="","",INDEX(SPOT_Import!$A$1:$Z$2488,1375,'Live Data'!$C$19)),"")</f>
        <v/>
      </c>
      <c r="I1375" s="54" t="str">
        <f>IFERROR(IF(INDEX(SPOT_Import!$A$1:$Z$2488,1375,'Live Data'!$C$20)="","",INDEX(SPOT_Import!$A$1:$Z$2488,1375,'Live Data'!$C$20)),"")</f>
        <v/>
      </c>
      <c r="J1375" s="54" t="str">
        <f>IFERROR(IF(INDEX(SPOT_Import!$A$1:$Z$2488,1375,'Live Data'!$C$21)="","",INDEX(SPOT_Import!$A$1:$Z$2488,1375,'Live Data'!$C$21)),"")</f>
        <v/>
      </c>
      <c r="K1375" s="54" t="str">
        <f>IFERROR(IF(INDEX(SPOT_Import!$A$1:$Z$2488,1375,'Live Data'!$C$22)="","",INDEX(SPOT_Import!$A$1:$Z$2488,1375,'Live Data'!$C$22)),"")</f>
        <v/>
      </c>
      <c r="L1375" s="55" t="str">
        <f t="shared" si="42"/>
        <v/>
      </c>
      <c r="M1375" s="55" t="str">
        <f t="shared" si="43"/>
        <v/>
      </c>
      <c r="N1375" s="55" t="str">
        <f>IF(A1375="","",IFERROR(INDEX('Cluster Map'!$A$4:$A$38,MATCH(M1375,'Cluster Map'!$B$4:$B$38,0)),"Unmapped"))</f>
        <v/>
      </c>
      <c r="O1375" s="55">
        <f>IF(A1375="",0,IF(COUNTIFS($A$2:A1375,A1375,$F$2:F1375,F1375,$L$2:L1375,L1375)=1,1,0))</f>
        <v>0</v>
      </c>
      <c r="P1375" s="55">
        <f>IF(A1375="",0,IF(AND(F1375="C&amp;T",COUNTIFS($A$2:A1375,A1375,$F$2:F1375,"C&amp;T")=1),1,0))</f>
        <v>0</v>
      </c>
    </row>
    <row r="1376" spans="1:16" x14ac:dyDescent="0.35">
      <c r="A1376" s="54" t="str">
        <f>IFERROR(IF(INDEX(SPOT_Import!$A$1:$Z$2488,1376,'Live Data'!$C$12)="","",INDEX(SPOT_Import!$A$1:$Z$2488,1376,'Live Data'!$C$12)),"")</f>
        <v/>
      </c>
      <c r="B1376" s="54" t="str">
        <f>IFERROR(IF(INDEX(SPOT_Import!$A$1:$Z$2488,1376,'Live Data'!$C$13)="","",INDEX(SPOT_Import!$A$1:$Z$2488,1376,'Live Data'!$C$13)),"")</f>
        <v/>
      </c>
      <c r="C1376" s="54" t="str">
        <f>IFERROR(IF(INDEX(SPOT_Import!$A$1:$Z$2488,1376,'Live Data'!$C$14)="","",INDEX(SPOT_Import!$A$1:$Z$2488,1376,'Live Data'!$C$14)),"")</f>
        <v/>
      </c>
      <c r="D1376" s="54" t="str">
        <f>IFERROR(IF(INDEX(SPOT_Import!$A$1:$Z$2488,1376,'Live Data'!$C$15)="","",INDEX(SPOT_Import!$A$1:$Z$2488,1376,'Live Data'!$C$15)),"")</f>
        <v/>
      </c>
      <c r="E1376" s="54" t="str">
        <f>IFERROR(IF(INDEX(SPOT_Import!$A$1:$Z$2488,1376,'Live Data'!$C$16)="","",INDEX(SPOT_Import!$A$1:$Z$2488,1376,'Live Data'!$C$16)),"")</f>
        <v/>
      </c>
      <c r="F1376" s="54" t="str">
        <f>IFERROR(IF(INDEX(SPOT_Import!$A$1:$Z$2488,1376,'Live Data'!$C$17)="","",INDEX(SPOT_Import!$A$1:$Z$2488,1376,'Live Data'!$C$17)),"")</f>
        <v/>
      </c>
      <c r="G1376" s="54" t="str">
        <f>IFERROR(IF(INDEX(SPOT_Import!$A$1:$Z$2488,1376,'Live Data'!$C$18)="","",INDEX(SPOT_Import!$A$1:$Z$2488,1376,'Live Data'!$C$18)),"")</f>
        <v/>
      </c>
      <c r="H1376" s="54" t="str">
        <f>IFERROR(IF(INDEX(SPOT_Import!$A$1:$Z$2488,1376,'Live Data'!$C$19)="","",INDEX(SPOT_Import!$A$1:$Z$2488,1376,'Live Data'!$C$19)),"")</f>
        <v/>
      </c>
      <c r="I1376" s="54" t="str">
        <f>IFERROR(IF(INDEX(SPOT_Import!$A$1:$Z$2488,1376,'Live Data'!$C$20)="","",INDEX(SPOT_Import!$A$1:$Z$2488,1376,'Live Data'!$C$20)),"")</f>
        <v/>
      </c>
      <c r="J1376" s="54" t="str">
        <f>IFERROR(IF(INDEX(SPOT_Import!$A$1:$Z$2488,1376,'Live Data'!$C$21)="","",INDEX(SPOT_Import!$A$1:$Z$2488,1376,'Live Data'!$C$21)),"")</f>
        <v/>
      </c>
      <c r="K1376" s="54" t="str">
        <f>IFERROR(IF(INDEX(SPOT_Import!$A$1:$Z$2488,1376,'Live Data'!$C$22)="","",INDEX(SPOT_Import!$A$1:$Z$2488,1376,'Live Data'!$C$22)),"")</f>
        <v/>
      </c>
      <c r="L1376" s="55" t="str">
        <f t="shared" si="42"/>
        <v/>
      </c>
      <c r="M1376" s="55" t="str">
        <f t="shared" si="43"/>
        <v/>
      </c>
      <c r="N1376" s="55" t="str">
        <f>IF(A1376="","",IFERROR(INDEX('Cluster Map'!$A$4:$A$38,MATCH(M1376,'Cluster Map'!$B$4:$B$38,0)),"Unmapped"))</f>
        <v/>
      </c>
      <c r="O1376" s="55">
        <f>IF(A1376="",0,IF(COUNTIFS($A$2:A1376,A1376,$F$2:F1376,F1376,$L$2:L1376,L1376)=1,1,0))</f>
        <v>0</v>
      </c>
      <c r="P1376" s="55">
        <f>IF(A1376="",0,IF(AND(F1376="C&amp;T",COUNTIFS($A$2:A1376,A1376,$F$2:F1376,"C&amp;T")=1),1,0))</f>
        <v>0</v>
      </c>
    </row>
    <row r="1377" spans="1:16" x14ac:dyDescent="0.35">
      <c r="A1377" s="54" t="str">
        <f>IFERROR(IF(INDEX(SPOT_Import!$A$1:$Z$2488,1377,'Live Data'!$C$12)="","",INDEX(SPOT_Import!$A$1:$Z$2488,1377,'Live Data'!$C$12)),"")</f>
        <v/>
      </c>
      <c r="B1377" s="54" t="str">
        <f>IFERROR(IF(INDEX(SPOT_Import!$A$1:$Z$2488,1377,'Live Data'!$C$13)="","",INDEX(SPOT_Import!$A$1:$Z$2488,1377,'Live Data'!$C$13)),"")</f>
        <v/>
      </c>
      <c r="C1377" s="54" t="str">
        <f>IFERROR(IF(INDEX(SPOT_Import!$A$1:$Z$2488,1377,'Live Data'!$C$14)="","",INDEX(SPOT_Import!$A$1:$Z$2488,1377,'Live Data'!$C$14)),"")</f>
        <v/>
      </c>
      <c r="D1377" s="54" t="str">
        <f>IFERROR(IF(INDEX(SPOT_Import!$A$1:$Z$2488,1377,'Live Data'!$C$15)="","",INDEX(SPOT_Import!$A$1:$Z$2488,1377,'Live Data'!$C$15)),"")</f>
        <v/>
      </c>
      <c r="E1377" s="54" t="str">
        <f>IFERROR(IF(INDEX(SPOT_Import!$A$1:$Z$2488,1377,'Live Data'!$C$16)="","",INDEX(SPOT_Import!$A$1:$Z$2488,1377,'Live Data'!$C$16)),"")</f>
        <v/>
      </c>
      <c r="F1377" s="54" t="str">
        <f>IFERROR(IF(INDEX(SPOT_Import!$A$1:$Z$2488,1377,'Live Data'!$C$17)="","",INDEX(SPOT_Import!$A$1:$Z$2488,1377,'Live Data'!$C$17)),"")</f>
        <v/>
      </c>
      <c r="G1377" s="54" t="str">
        <f>IFERROR(IF(INDEX(SPOT_Import!$A$1:$Z$2488,1377,'Live Data'!$C$18)="","",INDEX(SPOT_Import!$A$1:$Z$2488,1377,'Live Data'!$C$18)),"")</f>
        <v/>
      </c>
      <c r="H1377" s="54" t="str">
        <f>IFERROR(IF(INDEX(SPOT_Import!$A$1:$Z$2488,1377,'Live Data'!$C$19)="","",INDEX(SPOT_Import!$A$1:$Z$2488,1377,'Live Data'!$C$19)),"")</f>
        <v/>
      </c>
      <c r="I1377" s="54" t="str">
        <f>IFERROR(IF(INDEX(SPOT_Import!$A$1:$Z$2488,1377,'Live Data'!$C$20)="","",INDEX(SPOT_Import!$A$1:$Z$2488,1377,'Live Data'!$C$20)),"")</f>
        <v/>
      </c>
      <c r="J1377" s="54" t="str">
        <f>IFERROR(IF(INDEX(SPOT_Import!$A$1:$Z$2488,1377,'Live Data'!$C$21)="","",INDEX(SPOT_Import!$A$1:$Z$2488,1377,'Live Data'!$C$21)),"")</f>
        <v/>
      </c>
      <c r="K1377" s="54" t="str">
        <f>IFERROR(IF(INDEX(SPOT_Import!$A$1:$Z$2488,1377,'Live Data'!$C$22)="","",INDEX(SPOT_Import!$A$1:$Z$2488,1377,'Live Data'!$C$22)),"")</f>
        <v/>
      </c>
      <c r="L1377" s="55" t="str">
        <f t="shared" si="42"/>
        <v/>
      </c>
      <c r="M1377" s="55" t="str">
        <f t="shared" si="43"/>
        <v/>
      </c>
      <c r="N1377" s="55" t="str">
        <f>IF(A1377="","",IFERROR(INDEX('Cluster Map'!$A$4:$A$38,MATCH(M1377,'Cluster Map'!$B$4:$B$38,0)),"Unmapped"))</f>
        <v/>
      </c>
      <c r="O1377" s="55">
        <f>IF(A1377="",0,IF(COUNTIFS($A$2:A1377,A1377,$F$2:F1377,F1377,$L$2:L1377,L1377)=1,1,0))</f>
        <v>0</v>
      </c>
      <c r="P1377" s="55">
        <f>IF(A1377="",0,IF(AND(F1377="C&amp;T",COUNTIFS($A$2:A1377,A1377,$F$2:F1377,"C&amp;T")=1),1,0))</f>
        <v>0</v>
      </c>
    </row>
    <row r="1378" spans="1:16" x14ac:dyDescent="0.35">
      <c r="A1378" s="54" t="str">
        <f>IFERROR(IF(INDEX(SPOT_Import!$A$1:$Z$2488,1378,'Live Data'!$C$12)="","",INDEX(SPOT_Import!$A$1:$Z$2488,1378,'Live Data'!$C$12)),"")</f>
        <v/>
      </c>
      <c r="B1378" s="54" t="str">
        <f>IFERROR(IF(INDEX(SPOT_Import!$A$1:$Z$2488,1378,'Live Data'!$C$13)="","",INDEX(SPOT_Import!$A$1:$Z$2488,1378,'Live Data'!$C$13)),"")</f>
        <v/>
      </c>
      <c r="C1378" s="54" t="str">
        <f>IFERROR(IF(INDEX(SPOT_Import!$A$1:$Z$2488,1378,'Live Data'!$C$14)="","",INDEX(SPOT_Import!$A$1:$Z$2488,1378,'Live Data'!$C$14)),"")</f>
        <v/>
      </c>
      <c r="D1378" s="54" t="str">
        <f>IFERROR(IF(INDEX(SPOT_Import!$A$1:$Z$2488,1378,'Live Data'!$C$15)="","",INDEX(SPOT_Import!$A$1:$Z$2488,1378,'Live Data'!$C$15)),"")</f>
        <v/>
      </c>
      <c r="E1378" s="54" t="str">
        <f>IFERROR(IF(INDEX(SPOT_Import!$A$1:$Z$2488,1378,'Live Data'!$C$16)="","",INDEX(SPOT_Import!$A$1:$Z$2488,1378,'Live Data'!$C$16)),"")</f>
        <v/>
      </c>
      <c r="F1378" s="54" t="str">
        <f>IFERROR(IF(INDEX(SPOT_Import!$A$1:$Z$2488,1378,'Live Data'!$C$17)="","",INDEX(SPOT_Import!$A$1:$Z$2488,1378,'Live Data'!$C$17)),"")</f>
        <v/>
      </c>
      <c r="G1378" s="54" t="str">
        <f>IFERROR(IF(INDEX(SPOT_Import!$A$1:$Z$2488,1378,'Live Data'!$C$18)="","",INDEX(SPOT_Import!$A$1:$Z$2488,1378,'Live Data'!$C$18)),"")</f>
        <v/>
      </c>
      <c r="H1378" s="54" t="str">
        <f>IFERROR(IF(INDEX(SPOT_Import!$A$1:$Z$2488,1378,'Live Data'!$C$19)="","",INDEX(SPOT_Import!$A$1:$Z$2488,1378,'Live Data'!$C$19)),"")</f>
        <v/>
      </c>
      <c r="I1378" s="54" t="str">
        <f>IFERROR(IF(INDEX(SPOT_Import!$A$1:$Z$2488,1378,'Live Data'!$C$20)="","",INDEX(SPOT_Import!$A$1:$Z$2488,1378,'Live Data'!$C$20)),"")</f>
        <v/>
      </c>
      <c r="J1378" s="54" t="str">
        <f>IFERROR(IF(INDEX(SPOT_Import!$A$1:$Z$2488,1378,'Live Data'!$C$21)="","",INDEX(SPOT_Import!$A$1:$Z$2488,1378,'Live Data'!$C$21)),"")</f>
        <v/>
      </c>
      <c r="K1378" s="54" t="str">
        <f>IFERROR(IF(INDEX(SPOT_Import!$A$1:$Z$2488,1378,'Live Data'!$C$22)="","",INDEX(SPOT_Import!$A$1:$Z$2488,1378,'Live Data'!$C$22)),"")</f>
        <v/>
      </c>
      <c r="L1378" s="55" t="str">
        <f t="shared" si="42"/>
        <v/>
      </c>
      <c r="M1378" s="55" t="str">
        <f t="shared" si="43"/>
        <v/>
      </c>
      <c r="N1378" s="55" t="str">
        <f>IF(A1378="","",IFERROR(INDEX('Cluster Map'!$A$4:$A$38,MATCH(M1378,'Cluster Map'!$B$4:$B$38,0)),"Unmapped"))</f>
        <v/>
      </c>
      <c r="O1378" s="55">
        <f>IF(A1378="",0,IF(COUNTIFS($A$2:A1378,A1378,$F$2:F1378,F1378,$L$2:L1378,L1378)=1,1,0))</f>
        <v>0</v>
      </c>
      <c r="P1378" s="55">
        <f>IF(A1378="",0,IF(AND(F1378="C&amp;T",COUNTIFS($A$2:A1378,A1378,$F$2:F1378,"C&amp;T")=1),1,0))</f>
        <v>0</v>
      </c>
    </row>
    <row r="1379" spans="1:16" x14ac:dyDescent="0.35">
      <c r="A1379" s="54" t="str">
        <f>IFERROR(IF(INDEX(SPOT_Import!$A$1:$Z$2488,1379,'Live Data'!$C$12)="","",INDEX(SPOT_Import!$A$1:$Z$2488,1379,'Live Data'!$C$12)),"")</f>
        <v/>
      </c>
      <c r="B1379" s="54" t="str">
        <f>IFERROR(IF(INDEX(SPOT_Import!$A$1:$Z$2488,1379,'Live Data'!$C$13)="","",INDEX(SPOT_Import!$A$1:$Z$2488,1379,'Live Data'!$C$13)),"")</f>
        <v/>
      </c>
      <c r="C1379" s="54" t="str">
        <f>IFERROR(IF(INDEX(SPOT_Import!$A$1:$Z$2488,1379,'Live Data'!$C$14)="","",INDEX(SPOT_Import!$A$1:$Z$2488,1379,'Live Data'!$C$14)),"")</f>
        <v/>
      </c>
      <c r="D1379" s="54" t="str">
        <f>IFERROR(IF(INDEX(SPOT_Import!$A$1:$Z$2488,1379,'Live Data'!$C$15)="","",INDEX(SPOT_Import!$A$1:$Z$2488,1379,'Live Data'!$C$15)),"")</f>
        <v/>
      </c>
      <c r="E1379" s="54" t="str">
        <f>IFERROR(IF(INDEX(SPOT_Import!$A$1:$Z$2488,1379,'Live Data'!$C$16)="","",INDEX(SPOT_Import!$A$1:$Z$2488,1379,'Live Data'!$C$16)),"")</f>
        <v/>
      </c>
      <c r="F1379" s="54" t="str">
        <f>IFERROR(IF(INDEX(SPOT_Import!$A$1:$Z$2488,1379,'Live Data'!$C$17)="","",INDEX(SPOT_Import!$A$1:$Z$2488,1379,'Live Data'!$C$17)),"")</f>
        <v/>
      </c>
      <c r="G1379" s="54" t="str">
        <f>IFERROR(IF(INDEX(SPOT_Import!$A$1:$Z$2488,1379,'Live Data'!$C$18)="","",INDEX(SPOT_Import!$A$1:$Z$2488,1379,'Live Data'!$C$18)),"")</f>
        <v/>
      </c>
      <c r="H1379" s="54" t="str">
        <f>IFERROR(IF(INDEX(SPOT_Import!$A$1:$Z$2488,1379,'Live Data'!$C$19)="","",INDEX(SPOT_Import!$A$1:$Z$2488,1379,'Live Data'!$C$19)),"")</f>
        <v/>
      </c>
      <c r="I1379" s="54" t="str">
        <f>IFERROR(IF(INDEX(SPOT_Import!$A$1:$Z$2488,1379,'Live Data'!$C$20)="","",INDEX(SPOT_Import!$A$1:$Z$2488,1379,'Live Data'!$C$20)),"")</f>
        <v/>
      </c>
      <c r="J1379" s="54" t="str">
        <f>IFERROR(IF(INDEX(SPOT_Import!$A$1:$Z$2488,1379,'Live Data'!$C$21)="","",INDEX(SPOT_Import!$A$1:$Z$2488,1379,'Live Data'!$C$21)),"")</f>
        <v/>
      </c>
      <c r="K1379" s="54" t="str">
        <f>IFERROR(IF(INDEX(SPOT_Import!$A$1:$Z$2488,1379,'Live Data'!$C$22)="","",INDEX(SPOT_Import!$A$1:$Z$2488,1379,'Live Data'!$C$22)),"")</f>
        <v/>
      </c>
      <c r="L1379" s="55" t="str">
        <f t="shared" si="42"/>
        <v/>
      </c>
      <c r="M1379" s="55" t="str">
        <f t="shared" si="43"/>
        <v/>
      </c>
      <c r="N1379" s="55" t="str">
        <f>IF(A1379="","",IFERROR(INDEX('Cluster Map'!$A$4:$A$38,MATCH(M1379,'Cluster Map'!$B$4:$B$38,0)),"Unmapped"))</f>
        <v/>
      </c>
      <c r="O1379" s="55">
        <f>IF(A1379="",0,IF(COUNTIFS($A$2:A1379,A1379,$F$2:F1379,F1379,$L$2:L1379,L1379)=1,1,0))</f>
        <v>0</v>
      </c>
      <c r="P1379" s="55">
        <f>IF(A1379="",0,IF(AND(F1379="C&amp;T",COUNTIFS($A$2:A1379,A1379,$F$2:F1379,"C&amp;T")=1),1,0))</f>
        <v>0</v>
      </c>
    </row>
    <row r="1380" spans="1:16" x14ac:dyDescent="0.35">
      <c r="A1380" s="54" t="str">
        <f>IFERROR(IF(INDEX(SPOT_Import!$A$1:$Z$2488,1380,'Live Data'!$C$12)="","",INDEX(SPOT_Import!$A$1:$Z$2488,1380,'Live Data'!$C$12)),"")</f>
        <v/>
      </c>
      <c r="B1380" s="54" t="str">
        <f>IFERROR(IF(INDEX(SPOT_Import!$A$1:$Z$2488,1380,'Live Data'!$C$13)="","",INDEX(SPOT_Import!$A$1:$Z$2488,1380,'Live Data'!$C$13)),"")</f>
        <v/>
      </c>
      <c r="C1380" s="54" t="str">
        <f>IFERROR(IF(INDEX(SPOT_Import!$A$1:$Z$2488,1380,'Live Data'!$C$14)="","",INDEX(SPOT_Import!$A$1:$Z$2488,1380,'Live Data'!$C$14)),"")</f>
        <v/>
      </c>
      <c r="D1380" s="54" t="str">
        <f>IFERROR(IF(INDEX(SPOT_Import!$A$1:$Z$2488,1380,'Live Data'!$C$15)="","",INDEX(SPOT_Import!$A$1:$Z$2488,1380,'Live Data'!$C$15)),"")</f>
        <v/>
      </c>
      <c r="E1380" s="54" t="str">
        <f>IFERROR(IF(INDEX(SPOT_Import!$A$1:$Z$2488,1380,'Live Data'!$C$16)="","",INDEX(SPOT_Import!$A$1:$Z$2488,1380,'Live Data'!$C$16)),"")</f>
        <v/>
      </c>
      <c r="F1380" s="54" t="str">
        <f>IFERROR(IF(INDEX(SPOT_Import!$A$1:$Z$2488,1380,'Live Data'!$C$17)="","",INDEX(SPOT_Import!$A$1:$Z$2488,1380,'Live Data'!$C$17)),"")</f>
        <v/>
      </c>
      <c r="G1380" s="54" t="str">
        <f>IFERROR(IF(INDEX(SPOT_Import!$A$1:$Z$2488,1380,'Live Data'!$C$18)="","",INDEX(SPOT_Import!$A$1:$Z$2488,1380,'Live Data'!$C$18)),"")</f>
        <v/>
      </c>
      <c r="H1380" s="54" t="str">
        <f>IFERROR(IF(INDEX(SPOT_Import!$A$1:$Z$2488,1380,'Live Data'!$C$19)="","",INDEX(SPOT_Import!$A$1:$Z$2488,1380,'Live Data'!$C$19)),"")</f>
        <v/>
      </c>
      <c r="I1380" s="54" t="str">
        <f>IFERROR(IF(INDEX(SPOT_Import!$A$1:$Z$2488,1380,'Live Data'!$C$20)="","",INDEX(SPOT_Import!$A$1:$Z$2488,1380,'Live Data'!$C$20)),"")</f>
        <v/>
      </c>
      <c r="J1380" s="54" t="str">
        <f>IFERROR(IF(INDEX(SPOT_Import!$A$1:$Z$2488,1380,'Live Data'!$C$21)="","",INDEX(SPOT_Import!$A$1:$Z$2488,1380,'Live Data'!$C$21)),"")</f>
        <v/>
      </c>
      <c r="K1380" s="54" t="str">
        <f>IFERROR(IF(INDEX(SPOT_Import!$A$1:$Z$2488,1380,'Live Data'!$C$22)="","",INDEX(SPOT_Import!$A$1:$Z$2488,1380,'Live Data'!$C$22)),"")</f>
        <v/>
      </c>
      <c r="L1380" s="55" t="str">
        <f t="shared" si="42"/>
        <v/>
      </c>
      <c r="M1380" s="55" t="str">
        <f t="shared" si="43"/>
        <v/>
      </c>
      <c r="N1380" s="55" t="str">
        <f>IF(A1380="","",IFERROR(INDEX('Cluster Map'!$A$4:$A$38,MATCH(M1380,'Cluster Map'!$B$4:$B$38,0)),"Unmapped"))</f>
        <v/>
      </c>
      <c r="O1380" s="55">
        <f>IF(A1380="",0,IF(COUNTIFS($A$2:A1380,A1380,$F$2:F1380,F1380,$L$2:L1380,L1380)=1,1,0))</f>
        <v>0</v>
      </c>
      <c r="P1380" s="55">
        <f>IF(A1380="",0,IF(AND(F1380="C&amp;T",COUNTIFS($A$2:A1380,A1380,$F$2:F1380,"C&amp;T")=1),1,0))</f>
        <v>0</v>
      </c>
    </row>
    <row r="1381" spans="1:16" x14ac:dyDescent="0.35">
      <c r="A1381" s="54" t="str">
        <f>IFERROR(IF(INDEX(SPOT_Import!$A$1:$Z$2488,1381,'Live Data'!$C$12)="","",INDEX(SPOT_Import!$A$1:$Z$2488,1381,'Live Data'!$C$12)),"")</f>
        <v/>
      </c>
      <c r="B1381" s="54" t="str">
        <f>IFERROR(IF(INDEX(SPOT_Import!$A$1:$Z$2488,1381,'Live Data'!$C$13)="","",INDEX(SPOT_Import!$A$1:$Z$2488,1381,'Live Data'!$C$13)),"")</f>
        <v/>
      </c>
      <c r="C1381" s="54" t="str">
        <f>IFERROR(IF(INDEX(SPOT_Import!$A$1:$Z$2488,1381,'Live Data'!$C$14)="","",INDEX(SPOT_Import!$A$1:$Z$2488,1381,'Live Data'!$C$14)),"")</f>
        <v/>
      </c>
      <c r="D1381" s="54" t="str">
        <f>IFERROR(IF(INDEX(SPOT_Import!$A$1:$Z$2488,1381,'Live Data'!$C$15)="","",INDEX(SPOT_Import!$A$1:$Z$2488,1381,'Live Data'!$C$15)),"")</f>
        <v/>
      </c>
      <c r="E1381" s="54" t="str">
        <f>IFERROR(IF(INDEX(SPOT_Import!$A$1:$Z$2488,1381,'Live Data'!$C$16)="","",INDEX(SPOT_Import!$A$1:$Z$2488,1381,'Live Data'!$C$16)),"")</f>
        <v/>
      </c>
      <c r="F1381" s="54" t="str">
        <f>IFERROR(IF(INDEX(SPOT_Import!$A$1:$Z$2488,1381,'Live Data'!$C$17)="","",INDEX(SPOT_Import!$A$1:$Z$2488,1381,'Live Data'!$C$17)),"")</f>
        <v/>
      </c>
      <c r="G1381" s="54" t="str">
        <f>IFERROR(IF(INDEX(SPOT_Import!$A$1:$Z$2488,1381,'Live Data'!$C$18)="","",INDEX(SPOT_Import!$A$1:$Z$2488,1381,'Live Data'!$C$18)),"")</f>
        <v/>
      </c>
      <c r="H1381" s="54" t="str">
        <f>IFERROR(IF(INDEX(SPOT_Import!$A$1:$Z$2488,1381,'Live Data'!$C$19)="","",INDEX(SPOT_Import!$A$1:$Z$2488,1381,'Live Data'!$C$19)),"")</f>
        <v/>
      </c>
      <c r="I1381" s="54" t="str">
        <f>IFERROR(IF(INDEX(SPOT_Import!$A$1:$Z$2488,1381,'Live Data'!$C$20)="","",INDEX(SPOT_Import!$A$1:$Z$2488,1381,'Live Data'!$C$20)),"")</f>
        <v/>
      </c>
      <c r="J1381" s="54" t="str">
        <f>IFERROR(IF(INDEX(SPOT_Import!$A$1:$Z$2488,1381,'Live Data'!$C$21)="","",INDEX(SPOT_Import!$A$1:$Z$2488,1381,'Live Data'!$C$21)),"")</f>
        <v/>
      </c>
      <c r="K1381" s="54" t="str">
        <f>IFERROR(IF(INDEX(SPOT_Import!$A$1:$Z$2488,1381,'Live Data'!$C$22)="","",INDEX(SPOT_Import!$A$1:$Z$2488,1381,'Live Data'!$C$22)),"")</f>
        <v/>
      </c>
      <c r="L1381" s="55" t="str">
        <f t="shared" si="42"/>
        <v/>
      </c>
      <c r="M1381" s="55" t="str">
        <f t="shared" si="43"/>
        <v/>
      </c>
      <c r="N1381" s="55" t="str">
        <f>IF(A1381="","",IFERROR(INDEX('Cluster Map'!$A$4:$A$38,MATCH(M1381,'Cluster Map'!$B$4:$B$38,0)),"Unmapped"))</f>
        <v/>
      </c>
      <c r="O1381" s="55">
        <f>IF(A1381="",0,IF(COUNTIFS($A$2:A1381,A1381,$F$2:F1381,F1381,$L$2:L1381,L1381)=1,1,0))</f>
        <v>0</v>
      </c>
      <c r="P1381" s="55">
        <f>IF(A1381="",0,IF(AND(F1381="C&amp;T",COUNTIFS($A$2:A1381,A1381,$F$2:F1381,"C&amp;T")=1),1,0))</f>
        <v>0</v>
      </c>
    </row>
    <row r="1382" spans="1:16" x14ac:dyDescent="0.35">
      <c r="A1382" s="54" t="str">
        <f>IFERROR(IF(INDEX(SPOT_Import!$A$1:$Z$2488,1382,'Live Data'!$C$12)="","",INDEX(SPOT_Import!$A$1:$Z$2488,1382,'Live Data'!$C$12)),"")</f>
        <v/>
      </c>
      <c r="B1382" s="54" t="str">
        <f>IFERROR(IF(INDEX(SPOT_Import!$A$1:$Z$2488,1382,'Live Data'!$C$13)="","",INDEX(SPOT_Import!$A$1:$Z$2488,1382,'Live Data'!$C$13)),"")</f>
        <v/>
      </c>
      <c r="C1382" s="54" t="str">
        <f>IFERROR(IF(INDEX(SPOT_Import!$A$1:$Z$2488,1382,'Live Data'!$C$14)="","",INDEX(SPOT_Import!$A$1:$Z$2488,1382,'Live Data'!$C$14)),"")</f>
        <v/>
      </c>
      <c r="D1382" s="54" t="str">
        <f>IFERROR(IF(INDEX(SPOT_Import!$A$1:$Z$2488,1382,'Live Data'!$C$15)="","",INDEX(SPOT_Import!$A$1:$Z$2488,1382,'Live Data'!$C$15)),"")</f>
        <v/>
      </c>
      <c r="E1382" s="54" t="str">
        <f>IFERROR(IF(INDEX(SPOT_Import!$A$1:$Z$2488,1382,'Live Data'!$C$16)="","",INDEX(SPOT_Import!$A$1:$Z$2488,1382,'Live Data'!$C$16)),"")</f>
        <v/>
      </c>
      <c r="F1382" s="54" t="str">
        <f>IFERROR(IF(INDEX(SPOT_Import!$A$1:$Z$2488,1382,'Live Data'!$C$17)="","",INDEX(SPOT_Import!$A$1:$Z$2488,1382,'Live Data'!$C$17)),"")</f>
        <v/>
      </c>
      <c r="G1382" s="54" t="str">
        <f>IFERROR(IF(INDEX(SPOT_Import!$A$1:$Z$2488,1382,'Live Data'!$C$18)="","",INDEX(SPOT_Import!$A$1:$Z$2488,1382,'Live Data'!$C$18)),"")</f>
        <v/>
      </c>
      <c r="H1382" s="54" t="str">
        <f>IFERROR(IF(INDEX(SPOT_Import!$A$1:$Z$2488,1382,'Live Data'!$C$19)="","",INDEX(SPOT_Import!$A$1:$Z$2488,1382,'Live Data'!$C$19)),"")</f>
        <v/>
      </c>
      <c r="I1382" s="54" t="str">
        <f>IFERROR(IF(INDEX(SPOT_Import!$A$1:$Z$2488,1382,'Live Data'!$C$20)="","",INDEX(SPOT_Import!$A$1:$Z$2488,1382,'Live Data'!$C$20)),"")</f>
        <v/>
      </c>
      <c r="J1382" s="54" t="str">
        <f>IFERROR(IF(INDEX(SPOT_Import!$A$1:$Z$2488,1382,'Live Data'!$C$21)="","",INDEX(SPOT_Import!$A$1:$Z$2488,1382,'Live Data'!$C$21)),"")</f>
        <v/>
      </c>
      <c r="K1382" s="54" t="str">
        <f>IFERROR(IF(INDEX(SPOT_Import!$A$1:$Z$2488,1382,'Live Data'!$C$22)="","",INDEX(SPOT_Import!$A$1:$Z$2488,1382,'Live Data'!$C$22)),"")</f>
        <v/>
      </c>
      <c r="L1382" s="55" t="str">
        <f t="shared" si="42"/>
        <v/>
      </c>
      <c r="M1382" s="55" t="str">
        <f t="shared" si="43"/>
        <v/>
      </c>
      <c r="N1382" s="55" t="str">
        <f>IF(A1382="","",IFERROR(INDEX('Cluster Map'!$A$4:$A$38,MATCH(M1382,'Cluster Map'!$B$4:$B$38,0)),"Unmapped"))</f>
        <v/>
      </c>
      <c r="O1382" s="55">
        <f>IF(A1382="",0,IF(COUNTIFS($A$2:A1382,A1382,$F$2:F1382,F1382,$L$2:L1382,L1382)=1,1,0))</f>
        <v>0</v>
      </c>
      <c r="P1382" s="55">
        <f>IF(A1382="",0,IF(AND(F1382="C&amp;T",COUNTIFS($A$2:A1382,A1382,$F$2:F1382,"C&amp;T")=1),1,0))</f>
        <v>0</v>
      </c>
    </row>
    <row r="1383" spans="1:16" x14ac:dyDescent="0.35">
      <c r="A1383" s="54" t="str">
        <f>IFERROR(IF(INDEX(SPOT_Import!$A$1:$Z$2488,1383,'Live Data'!$C$12)="","",INDEX(SPOT_Import!$A$1:$Z$2488,1383,'Live Data'!$C$12)),"")</f>
        <v/>
      </c>
      <c r="B1383" s="54" t="str">
        <f>IFERROR(IF(INDEX(SPOT_Import!$A$1:$Z$2488,1383,'Live Data'!$C$13)="","",INDEX(SPOT_Import!$A$1:$Z$2488,1383,'Live Data'!$C$13)),"")</f>
        <v/>
      </c>
      <c r="C1383" s="54" t="str">
        <f>IFERROR(IF(INDEX(SPOT_Import!$A$1:$Z$2488,1383,'Live Data'!$C$14)="","",INDEX(SPOT_Import!$A$1:$Z$2488,1383,'Live Data'!$C$14)),"")</f>
        <v/>
      </c>
      <c r="D1383" s="54" t="str">
        <f>IFERROR(IF(INDEX(SPOT_Import!$A$1:$Z$2488,1383,'Live Data'!$C$15)="","",INDEX(SPOT_Import!$A$1:$Z$2488,1383,'Live Data'!$C$15)),"")</f>
        <v/>
      </c>
      <c r="E1383" s="54" t="str">
        <f>IFERROR(IF(INDEX(SPOT_Import!$A$1:$Z$2488,1383,'Live Data'!$C$16)="","",INDEX(SPOT_Import!$A$1:$Z$2488,1383,'Live Data'!$C$16)),"")</f>
        <v/>
      </c>
      <c r="F1383" s="54" t="str">
        <f>IFERROR(IF(INDEX(SPOT_Import!$A$1:$Z$2488,1383,'Live Data'!$C$17)="","",INDEX(SPOT_Import!$A$1:$Z$2488,1383,'Live Data'!$C$17)),"")</f>
        <v/>
      </c>
      <c r="G1383" s="54" t="str">
        <f>IFERROR(IF(INDEX(SPOT_Import!$A$1:$Z$2488,1383,'Live Data'!$C$18)="","",INDEX(SPOT_Import!$A$1:$Z$2488,1383,'Live Data'!$C$18)),"")</f>
        <v/>
      </c>
      <c r="H1383" s="54" t="str">
        <f>IFERROR(IF(INDEX(SPOT_Import!$A$1:$Z$2488,1383,'Live Data'!$C$19)="","",INDEX(SPOT_Import!$A$1:$Z$2488,1383,'Live Data'!$C$19)),"")</f>
        <v/>
      </c>
      <c r="I1383" s="54" t="str">
        <f>IFERROR(IF(INDEX(SPOT_Import!$A$1:$Z$2488,1383,'Live Data'!$C$20)="","",INDEX(SPOT_Import!$A$1:$Z$2488,1383,'Live Data'!$C$20)),"")</f>
        <v/>
      </c>
      <c r="J1383" s="54" t="str">
        <f>IFERROR(IF(INDEX(SPOT_Import!$A$1:$Z$2488,1383,'Live Data'!$C$21)="","",INDEX(SPOT_Import!$A$1:$Z$2488,1383,'Live Data'!$C$21)),"")</f>
        <v/>
      </c>
      <c r="K1383" s="54" t="str">
        <f>IFERROR(IF(INDEX(SPOT_Import!$A$1:$Z$2488,1383,'Live Data'!$C$22)="","",INDEX(SPOT_Import!$A$1:$Z$2488,1383,'Live Data'!$C$22)),"")</f>
        <v/>
      </c>
      <c r="L1383" s="55" t="str">
        <f t="shared" si="42"/>
        <v/>
      </c>
      <c r="M1383" s="55" t="str">
        <f t="shared" si="43"/>
        <v/>
      </c>
      <c r="N1383" s="55" t="str">
        <f>IF(A1383="","",IFERROR(INDEX('Cluster Map'!$A$4:$A$38,MATCH(M1383,'Cluster Map'!$B$4:$B$38,0)),"Unmapped"))</f>
        <v/>
      </c>
      <c r="O1383" s="55">
        <f>IF(A1383="",0,IF(COUNTIFS($A$2:A1383,A1383,$F$2:F1383,F1383,$L$2:L1383,L1383)=1,1,0))</f>
        <v>0</v>
      </c>
      <c r="P1383" s="55">
        <f>IF(A1383="",0,IF(AND(F1383="C&amp;T",COUNTIFS($A$2:A1383,A1383,$F$2:F1383,"C&amp;T")=1),1,0))</f>
        <v>0</v>
      </c>
    </row>
    <row r="1384" spans="1:16" x14ac:dyDescent="0.35">
      <c r="A1384" s="54" t="str">
        <f>IFERROR(IF(INDEX(SPOT_Import!$A$1:$Z$2488,1384,'Live Data'!$C$12)="","",INDEX(SPOT_Import!$A$1:$Z$2488,1384,'Live Data'!$C$12)),"")</f>
        <v/>
      </c>
      <c r="B1384" s="54" t="str">
        <f>IFERROR(IF(INDEX(SPOT_Import!$A$1:$Z$2488,1384,'Live Data'!$C$13)="","",INDEX(SPOT_Import!$A$1:$Z$2488,1384,'Live Data'!$C$13)),"")</f>
        <v/>
      </c>
      <c r="C1384" s="54" t="str">
        <f>IFERROR(IF(INDEX(SPOT_Import!$A$1:$Z$2488,1384,'Live Data'!$C$14)="","",INDEX(SPOT_Import!$A$1:$Z$2488,1384,'Live Data'!$C$14)),"")</f>
        <v/>
      </c>
      <c r="D1384" s="54" t="str">
        <f>IFERROR(IF(INDEX(SPOT_Import!$A$1:$Z$2488,1384,'Live Data'!$C$15)="","",INDEX(SPOT_Import!$A$1:$Z$2488,1384,'Live Data'!$C$15)),"")</f>
        <v/>
      </c>
      <c r="E1384" s="54" t="str">
        <f>IFERROR(IF(INDEX(SPOT_Import!$A$1:$Z$2488,1384,'Live Data'!$C$16)="","",INDEX(SPOT_Import!$A$1:$Z$2488,1384,'Live Data'!$C$16)),"")</f>
        <v/>
      </c>
      <c r="F1384" s="54" t="str">
        <f>IFERROR(IF(INDEX(SPOT_Import!$A$1:$Z$2488,1384,'Live Data'!$C$17)="","",INDEX(SPOT_Import!$A$1:$Z$2488,1384,'Live Data'!$C$17)),"")</f>
        <v/>
      </c>
      <c r="G1384" s="54" t="str">
        <f>IFERROR(IF(INDEX(SPOT_Import!$A$1:$Z$2488,1384,'Live Data'!$C$18)="","",INDEX(SPOT_Import!$A$1:$Z$2488,1384,'Live Data'!$C$18)),"")</f>
        <v/>
      </c>
      <c r="H1384" s="54" t="str">
        <f>IFERROR(IF(INDEX(SPOT_Import!$A$1:$Z$2488,1384,'Live Data'!$C$19)="","",INDEX(SPOT_Import!$A$1:$Z$2488,1384,'Live Data'!$C$19)),"")</f>
        <v/>
      </c>
      <c r="I1384" s="54" t="str">
        <f>IFERROR(IF(INDEX(SPOT_Import!$A$1:$Z$2488,1384,'Live Data'!$C$20)="","",INDEX(SPOT_Import!$A$1:$Z$2488,1384,'Live Data'!$C$20)),"")</f>
        <v/>
      </c>
      <c r="J1384" s="54" t="str">
        <f>IFERROR(IF(INDEX(SPOT_Import!$A$1:$Z$2488,1384,'Live Data'!$C$21)="","",INDEX(SPOT_Import!$A$1:$Z$2488,1384,'Live Data'!$C$21)),"")</f>
        <v/>
      </c>
      <c r="K1384" s="54" t="str">
        <f>IFERROR(IF(INDEX(SPOT_Import!$A$1:$Z$2488,1384,'Live Data'!$C$22)="","",INDEX(SPOT_Import!$A$1:$Z$2488,1384,'Live Data'!$C$22)),"")</f>
        <v/>
      </c>
      <c r="L1384" s="55" t="str">
        <f t="shared" si="42"/>
        <v/>
      </c>
      <c r="M1384" s="55" t="str">
        <f t="shared" si="43"/>
        <v/>
      </c>
      <c r="N1384" s="55" t="str">
        <f>IF(A1384="","",IFERROR(INDEX('Cluster Map'!$A$4:$A$38,MATCH(M1384,'Cluster Map'!$B$4:$B$38,0)),"Unmapped"))</f>
        <v/>
      </c>
      <c r="O1384" s="55">
        <f>IF(A1384="",0,IF(COUNTIFS($A$2:A1384,A1384,$F$2:F1384,F1384,$L$2:L1384,L1384)=1,1,0))</f>
        <v>0</v>
      </c>
      <c r="P1384" s="55">
        <f>IF(A1384="",0,IF(AND(F1384="C&amp;T",COUNTIFS($A$2:A1384,A1384,$F$2:F1384,"C&amp;T")=1),1,0))</f>
        <v>0</v>
      </c>
    </row>
    <row r="1385" spans="1:16" x14ac:dyDescent="0.35">
      <c r="A1385" s="54" t="str">
        <f>IFERROR(IF(INDEX(SPOT_Import!$A$1:$Z$2488,1385,'Live Data'!$C$12)="","",INDEX(SPOT_Import!$A$1:$Z$2488,1385,'Live Data'!$C$12)),"")</f>
        <v/>
      </c>
      <c r="B1385" s="54" t="str">
        <f>IFERROR(IF(INDEX(SPOT_Import!$A$1:$Z$2488,1385,'Live Data'!$C$13)="","",INDEX(SPOT_Import!$A$1:$Z$2488,1385,'Live Data'!$C$13)),"")</f>
        <v/>
      </c>
      <c r="C1385" s="54" t="str">
        <f>IFERROR(IF(INDEX(SPOT_Import!$A$1:$Z$2488,1385,'Live Data'!$C$14)="","",INDEX(SPOT_Import!$A$1:$Z$2488,1385,'Live Data'!$C$14)),"")</f>
        <v/>
      </c>
      <c r="D1385" s="54" t="str">
        <f>IFERROR(IF(INDEX(SPOT_Import!$A$1:$Z$2488,1385,'Live Data'!$C$15)="","",INDEX(SPOT_Import!$A$1:$Z$2488,1385,'Live Data'!$C$15)),"")</f>
        <v/>
      </c>
      <c r="E1385" s="54" t="str">
        <f>IFERROR(IF(INDEX(SPOT_Import!$A$1:$Z$2488,1385,'Live Data'!$C$16)="","",INDEX(SPOT_Import!$A$1:$Z$2488,1385,'Live Data'!$C$16)),"")</f>
        <v/>
      </c>
      <c r="F1385" s="54" t="str">
        <f>IFERROR(IF(INDEX(SPOT_Import!$A$1:$Z$2488,1385,'Live Data'!$C$17)="","",INDEX(SPOT_Import!$A$1:$Z$2488,1385,'Live Data'!$C$17)),"")</f>
        <v/>
      </c>
      <c r="G1385" s="54" t="str">
        <f>IFERROR(IF(INDEX(SPOT_Import!$A$1:$Z$2488,1385,'Live Data'!$C$18)="","",INDEX(SPOT_Import!$A$1:$Z$2488,1385,'Live Data'!$C$18)),"")</f>
        <v/>
      </c>
      <c r="H1385" s="54" t="str">
        <f>IFERROR(IF(INDEX(SPOT_Import!$A$1:$Z$2488,1385,'Live Data'!$C$19)="","",INDEX(SPOT_Import!$A$1:$Z$2488,1385,'Live Data'!$C$19)),"")</f>
        <v/>
      </c>
      <c r="I1385" s="54" t="str">
        <f>IFERROR(IF(INDEX(SPOT_Import!$A$1:$Z$2488,1385,'Live Data'!$C$20)="","",INDEX(SPOT_Import!$A$1:$Z$2488,1385,'Live Data'!$C$20)),"")</f>
        <v/>
      </c>
      <c r="J1385" s="54" t="str">
        <f>IFERROR(IF(INDEX(SPOT_Import!$A$1:$Z$2488,1385,'Live Data'!$C$21)="","",INDEX(SPOT_Import!$A$1:$Z$2488,1385,'Live Data'!$C$21)),"")</f>
        <v/>
      </c>
      <c r="K1385" s="54" t="str">
        <f>IFERROR(IF(INDEX(SPOT_Import!$A$1:$Z$2488,1385,'Live Data'!$C$22)="","",INDEX(SPOT_Import!$A$1:$Z$2488,1385,'Live Data'!$C$22)),"")</f>
        <v/>
      </c>
      <c r="L1385" s="55" t="str">
        <f t="shared" si="42"/>
        <v/>
      </c>
      <c r="M1385" s="55" t="str">
        <f t="shared" si="43"/>
        <v/>
      </c>
      <c r="N1385" s="55" t="str">
        <f>IF(A1385="","",IFERROR(INDEX('Cluster Map'!$A$4:$A$38,MATCH(M1385,'Cluster Map'!$B$4:$B$38,0)),"Unmapped"))</f>
        <v/>
      </c>
      <c r="O1385" s="55">
        <f>IF(A1385="",0,IF(COUNTIFS($A$2:A1385,A1385,$F$2:F1385,F1385,$L$2:L1385,L1385)=1,1,0))</f>
        <v>0</v>
      </c>
      <c r="P1385" s="55">
        <f>IF(A1385="",0,IF(AND(F1385="C&amp;T",COUNTIFS($A$2:A1385,A1385,$F$2:F1385,"C&amp;T")=1),1,0))</f>
        <v>0</v>
      </c>
    </row>
    <row r="1386" spans="1:16" x14ac:dyDescent="0.35">
      <c r="A1386" s="54" t="str">
        <f>IFERROR(IF(INDEX(SPOT_Import!$A$1:$Z$2488,1386,'Live Data'!$C$12)="","",INDEX(SPOT_Import!$A$1:$Z$2488,1386,'Live Data'!$C$12)),"")</f>
        <v/>
      </c>
      <c r="B1386" s="54" t="str">
        <f>IFERROR(IF(INDEX(SPOT_Import!$A$1:$Z$2488,1386,'Live Data'!$C$13)="","",INDEX(SPOT_Import!$A$1:$Z$2488,1386,'Live Data'!$C$13)),"")</f>
        <v/>
      </c>
      <c r="C1386" s="54" t="str">
        <f>IFERROR(IF(INDEX(SPOT_Import!$A$1:$Z$2488,1386,'Live Data'!$C$14)="","",INDEX(SPOT_Import!$A$1:$Z$2488,1386,'Live Data'!$C$14)),"")</f>
        <v/>
      </c>
      <c r="D1386" s="54" t="str">
        <f>IFERROR(IF(INDEX(SPOT_Import!$A$1:$Z$2488,1386,'Live Data'!$C$15)="","",INDEX(SPOT_Import!$A$1:$Z$2488,1386,'Live Data'!$C$15)),"")</f>
        <v/>
      </c>
      <c r="E1386" s="54" t="str">
        <f>IFERROR(IF(INDEX(SPOT_Import!$A$1:$Z$2488,1386,'Live Data'!$C$16)="","",INDEX(SPOT_Import!$A$1:$Z$2488,1386,'Live Data'!$C$16)),"")</f>
        <v/>
      </c>
      <c r="F1386" s="54" t="str">
        <f>IFERROR(IF(INDEX(SPOT_Import!$A$1:$Z$2488,1386,'Live Data'!$C$17)="","",INDEX(SPOT_Import!$A$1:$Z$2488,1386,'Live Data'!$C$17)),"")</f>
        <v/>
      </c>
      <c r="G1386" s="54" t="str">
        <f>IFERROR(IF(INDEX(SPOT_Import!$A$1:$Z$2488,1386,'Live Data'!$C$18)="","",INDEX(SPOT_Import!$A$1:$Z$2488,1386,'Live Data'!$C$18)),"")</f>
        <v/>
      </c>
      <c r="H1386" s="54" t="str">
        <f>IFERROR(IF(INDEX(SPOT_Import!$A$1:$Z$2488,1386,'Live Data'!$C$19)="","",INDEX(SPOT_Import!$A$1:$Z$2488,1386,'Live Data'!$C$19)),"")</f>
        <v/>
      </c>
      <c r="I1386" s="54" t="str">
        <f>IFERROR(IF(INDEX(SPOT_Import!$A$1:$Z$2488,1386,'Live Data'!$C$20)="","",INDEX(SPOT_Import!$A$1:$Z$2488,1386,'Live Data'!$C$20)),"")</f>
        <v/>
      </c>
      <c r="J1386" s="54" t="str">
        <f>IFERROR(IF(INDEX(SPOT_Import!$A$1:$Z$2488,1386,'Live Data'!$C$21)="","",INDEX(SPOT_Import!$A$1:$Z$2488,1386,'Live Data'!$C$21)),"")</f>
        <v/>
      </c>
      <c r="K1386" s="54" t="str">
        <f>IFERROR(IF(INDEX(SPOT_Import!$A$1:$Z$2488,1386,'Live Data'!$C$22)="","",INDEX(SPOT_Import!$A$1:$Z$2488,1386,'Live Data'!$C$22)),"")</f>
        <v/>
      </c>
      <c r="L1386" s="55" t="str">
        <f t="shared" si="42"/>
        <v/>
      </c>
      <c r="M1386" s="55" t="str">
        <f t="shared" si="43"/>
        <v/>
      </c>
      <c r="N1386" s="55" t="str">
        <f>IF(A1386="","",IFERROR(INDEX('Cluster Map'!$A$4:$A$38,MATCH(M1386,'Cluster Map'!$B$4:$B$38,0)),"Unmapped"))</f>
        <v/>
      </c>
      <c r="O1386" s="55">
        <f>IF(A1386="",0,IF(COUNTIFS($A$2:A1386,A1386,$F$2:F1386,F1386,$L$2:L1386,L1386)=1,1,0))</f>
        <v>0</v>
      </c>
      <c r="P1386" s="55">
        <f>IF(A1386="",0,IF(AND(F1386="C&amp;T",COUNTIFS($A$2:A1386,A1386,$F$2:F1386,"C&amp;T")=1),1,0))</f>
        <v>0</v>
      </c>
    </row>
    <row r="1387" spans="1:16" x14ac:dyDescent="0.35">
      <c r="A1387" s="54" t="str">
        <f>IFERROR(IF(INDEX(SPOT_Import!$A$1:$Z$2488,1387,'Live Data'!$C$12)="","",INDEX(SPOT_Import!$A$1:$Z$2488,1387,'Live Data'!$C$12)),"")</f>
        <v/>
      </c>
      <c r="B1387" s="54" t="str">
        <f>IFERROR(IF(INDEX(SPOT_Import!$A$1:$Z$2488,1387,'Live Data'!$C$13)="","",INDEX(SPOT_Import!$A$1:$Z$2488,1387,'Live Data'!$C$13)),"")</f>
        <v/>
      </c>
      <c r="C1387" s="54" t="str">
        <f>IFERROR(IF(INDEX(SPOT_Import!$A$1:$Z$2488,1387,'Live Data'!$C$14)="","",INDEX(SPOT_Import!$A$1:$Z$2488,1387,'Live Data'!$C$14)),"")</f>
        <v/>
      </c>
      <c r="D1387" s="54" t="str">
        <f>IFERROR(IF(INDEX(SPOT_Import!$A$1:$Z$2488,1387,'Live Data'!$C$15)="","",INDEX(SPOT_Import!$A$1:$Z$2488,1387,'Live Data'!$C$15)),"")</f>
        <v/>
      </c>
      <c r="E1387" s="54" t="str">
        <f>IFERROR(IF(INDEX(SPOT_Import!$A$1:$Z$2488,1387,'Live Data'!$C$16)="","",INDEX(SPOT_Import!$A$1:$Z$2488,1387,'Live Data'!$C$16)),"")</f>
        <v/>
      </c>
      <c r="F1387" s="54" t="str">
        <f>IFERROR(IF(INDEX(SPOT_Import!$A$1:$Z$2488,1387,'Live Data'!$C$17)="","",INDEX(SPOT_Import!$A$1:$Z$2488,1387,'Live Data'!$C$17)),"")</f>
        <v/>
      </c>
      <c r="G1387" s="54" t="str">
        <f>IFERROR(IF(INDEX(SPOT_Import!$A$1:$Z$2488,1387,'Live Data'!$C$18)="","",INDEX(SPOT_Import!$A$1:$Z$2488,1387,'Live Data'!$C$18)),"")</f>
        <v/>
      </c>
      <c r="H1387" s="54" t="str">
        <f>IFERROR(IF(INDEX(SPOT_Import!$A$1:$Z$2488,1387,'Live Data'!$C$19)="","",INDEX(SPOT_Import!$A$1:$Z$2488,1387,'Live Data'!$C$19)),"")</f>
        <v/>
      </c>
      <c r="I1387" s="54" t="str">
        <f>IFERROR(IF(INDEX(SPOT_Import!$A$1:$Z$2488,1387,'Live Data'!$C$20)="","",INDEX(SPOT_Import!$A$1:$Z$2488,1387,'Live Data'!$C$20)),"")</f>
        <v/>
      </c>
      <c r="J1387" s="54" t="str">
        <f>IFERROR(IF(INDEX(SPOT_Import!$A$1:$Z$2488,1387,'Live Data'!$C$21)="","",INDEX(SPOT_Import!$A$1:$Z$2488,1387,'Live Data'!$C$21)),"")</f>
        <v/>
      </c>
      <c r="K1387" s="54" t="str">
        <f>IFERROR(IF(INDEX(SPOT_Import!$A$1:$Z$2488,1387,'Live Data'!$C$22)="","",INDEX(SPOT_Import!$A$1:$Z$2488,1387,'Live Data'!$C$22)),"")</f>
        <v/>
      </c>
      <c r="L1387" s="55" t="str">
        <f t="shared" si="42"/>
        <v/>
      </c>
      <c r="M1387" s="55" t="str">
        <f t="shared" si="43"/>
        <v/>
      </c>
      <c r="N1387" s="55" t="str">
        <f>IF(A1387="","",IFERROR(INDEX('Cluster Map'!$A$4:$A$38,MATCH(M1387,'Cluster Map'!$B$4:$B$38,0)),"Unmapped"))</f>
        <v/>
      </c>
      <c r="O1387" s="55">
        <f>IF(A1387="",0,IF(COUNTIFS($A$2:A1387,A1387,$F$2:F1387,F1387,$L$2:L1387,L1387)=1,1,0))</f>
        <v>0</v>
      </c>
      <c r="P1387" s="55">
        <f>IF(A1387="",0,IF(AND(F1387="C&amp;T",COUNTIFS($A$2:A1387,A1387,$F$2:F1387,"C&amp;T")=1),1,0))</f>
        <v>0</v>
      </c>
    </row>
    <row r="1388" spans="1:16" x14ac:dyDescent="0.35">
      <c r="A1388" s="54" t="str">
        <f>IFERROR(IF(INDEX(SPOT_Import!$A$1:$Z$2488,1388,'Live Data'!$C$12)="","",INDEX(SPOT_Import!$A$1:$Z$2488,1388,'Live Data'!$C$12)),"")</f>
        <v/>
      </c>
      <c r="B1388" s="54" t="str">
        <f>IFERROR(IF(INDEX(SPOT_Import!$A$1:$Z$2488,1388,'Live Data'!$C$13)="","",INDEX(SPOT_Import!$A$1:$Z$2488,1388,'Live Data'!$C$13)),"")</f>
        <v/>
      </c>
      <c r="C1388" s="54" t="str">
        <f>IFERROR(IF(INDEX(SPOT_Import!$A$1:$Z$2488,1388,'Live Data'!$C$14)="","",INDEX(SPOT_Import!$A$1:$Z$2488,1388,'Live Data'!$C$14)),"")</f>
        <v/>
      </c>
      <c r="D1388" s="54" t="str">
        <f>IFERROR(IF(INDEX(SPOT_Import!$A$1:$Z$2488,1388,'Live Data'!$C$15)="","",INDEX(SPOT_Import!$A$1:$Z$2488,1388,'Live Data'!$C$15)),"")</f>
        <v/>
      </c>
      <c r="E1388" s="54" t="str">
        <f>IFERROR(IF(INDEX(SPOT_Import!$A$1:$Z$2488,1388,'Live Data'!$C$16)="","",INDEX(SPOT_Import!$A$1:$Z$2488,1388,'Live Data'!$C$16)),"")</f>
        <v/>
      </c>
      <c r="F1388" s="54" t="str">
        <f>IFERROR(IF(INDEX(SPOT_Import!$A$1:$Z$2488,1388,'Live Data'!$C$17)="","",INDEX(SPOT_Import!$A$1:$Z$2488,1388,'Live Data'!$C$17)),"")</f>
        <v/>
      </c>
      <c r="G1388" s="54" t="str">
        <f>IFERROR(IF(INDEX(SPOT_Import!$A$1:$Z$2488,1388,'Live Data'!$C$18)="","",INDEX(SPOT_Import!$A$1:$Z$2488,1388,'Live Data'!$C$18)),"")</f>
        <v/>
      </c>
      <c r="H1388" s="54" t="str">
        <f>IFERROR(IF(INDEX(SPOT_Import!$A$1:$Z$2488,1388,'Live Data'!$C$19)="","",INDEX(SPOT_Import!$A$1:$Z$2488,1388,'Live Data'!$C$19)),"")</f>
        <v/>
      </c>
      <c r="I1388" s="54" t="str">
        <f>IFERROR(IF(INDEX(SPOT_Import!$A$1:$Z$2488,1388,'Live Data'!$C$20)="","",INDEX(SPOT_Import!$A$1:$Z$2488,1388,'Live Data'!$C$20)),"")</f>
        <v/>
      </c>
      <c r="J1388" s="54" t="str">
        <f>IFERROR(IF(INDEX(SPOT_Import!$A$1:$Z$2488,1388,'Live Data'!$C$21)="","",INDEX(SPOT_Import!$A$1:$Z$2488,1388,'Live Data'!$C$21)),"")</f>
        <v/>
      </c>
      <c r="K1388" s="54" t="str">
        <f>IFERROR(IF(INDEX(SPOT_Import!$A$1:$Z$2488,1388,'Live Data'!$C$22)="","",INDEX(SPOT_Import!$A$1:$Z$2488,1388,'Live Data'!$C$22)),"")</f>
        <v/>
      </c>
      <c r="L1388" s="55" t="str">
        <f t="shared" si="42"/>
        <v/>
      </c>
      <c r="M1388" s="55" t="str">
        <f t="shared" si="43"/>
        <v/>
      </c>
      <c r="N1388" s="55" t="str">
        <f>IF(A1388="","",IFERROR(INDEX('Cluster Map'!$A$4:$A$38,MATCH(M1388,'Cluster Map'!$B$4:$B$38,0)),"Unmapped"))</f>
        <v/>
      </c>
      <c r="O1388" s="55">
        <f>IF(A1388="",0,IF(COUNTIFS($A$2:A1388,A1388,$F$2:F1388,F1388,$L$2:L1388,L1388)=1,1,0))</f>
        <v>0</v>
      </c>
      <c r="P1388" s="55">
        <f>IF(A1388="",0,IF(AND(F1388="C&amp;T",COUNTIFS($A$2:A1388,A1388,$F$2:F1388,"C&amp;T")=1),1,0))</f>
        <v>0</v>
      </c>
    </row>
    <row r="1389" spans="1:16" x14ac:dyDescent="0.35">
      <c r="A1389" s="54" t="str">
        <f>IFERROR(IF(INDEX(SPOT_Import!$A$1:$Z$2488,1389,'Live Data'!$C$12)="","",INDEX(SPOT_Import!$A$1:$Z$2488,1389,'Live Data'!$C$12)),"")</f>
        <v/>
      </c>
      <c r="B1389" s="54" t="str">
        <f>IFERROR(IF(INDEX(SPOT_Import!$A$1:$Z$2488,1389,'Live Data'!$C$13)="","",INDEX(SPOT_Import!$A$1:$Z$2488,1389,'Live Data'!$C$13)),"")</f>
        <v/>
      </c>
      <c r="C1389" s="54" t="str">
        <f>IFERROR(IF(INDEX(SPOT_Import!$A$1:$Z$2488,1389,'Live Data'!$C$14)="","",INDEX(SPOT_Import!$A$1:$Z$2488,1389,'Live Data'!$C$14)),"")</f>
        <v/>
      </c>
      <c r="D1389" s="54" t="str">
        <f>IFERROR(IF(INDEX(SPOT_Import!$A$1:$Z$2488,1389,'Live Data'!$C$15)="","",INDEX(SPOT_Import!$A$1:$Z$2488,1389,'Live Data'!$C$15)),"")</f>
        <v/>
      </c>
      <c r="E1389" s="54" t="str">
        <f>IFERROR(IF(INDEX(SPOT_Import!$A$1:$Z$2488,1389,'Live Data'!$C$16)="","",INDEX(SPOT_Import!$A$1:$Z$2488,1389,'Live Data'!$C$16)),"")</f>
        <v/>
      </c>
      <c r="F1389" s="54" t="str">
        <f>IFERROR(IF(INDEX(SPOT_Import!$A$1:$Z$2488,1389,'Live Data'!$C$17)="","",INDEX(SPOT_Import!$A$1:$Z$2488,1389,'Live Data'!$C$17)),"")</f>
        <v/>
      </c>
      <c r="G1389" s="54" t="str">
        <f>IFERROR(IF(INDEX(SPOT_Import!$A$1:$Z$2488,1389,'Live Data'!$C$18)="","",INDEX(SPOT_Import!$A$1:$Z$2488,1389,'Live Data'!$C$18)),"")</f>
        <v/>
      </c>
      <c r="H1389" s="54" t="str">
        <f>IFERROR(IF(INDEX(SPOT_Import!$A$1:$Z$2488,1389,'Live Data'!$C$19)="","",INDEX(SPOT_Import!$A$1:$Z$2488,1389,'Live Data'!$C$19)),"")</f>
        <v/>
      </c>
      <c r="I1389" s="54" t="str">
        <f>IFERROR(IF(INDEX(SPOT_Import!$A$1:$Z$2488,1389,'Live Data'!$C$20)="","",INDEX(SPOT_Import!$A$1:$Z$2488,1389,'Live Data'!$C$20)),"")</f>
        <v/>
      </c>
      <c r="J1389" s="54" t="str">
        <f>IFERROR(IF(INDEX(SPOT_Import!$A$1:$Z$2488,1389,'Live Data'!$C$21)="","",INDEX(SPOT_Import!$A$1:$Z$2488,1389,'Live Data'!$C$21)),"")</f>
        <v/>
      </c>
      <c r="K1389" s="54" t="str">
        <f>IFERROR(IF(INDEX(SPOT_Import!$A$1:$Z$2488,1389,'Live Data'!$C$22)="","",INDEX(SPOT_Import!$A$1:$Z$2488,1389,'Live Data'!$C$22)),"")</f>
        <v/>
      </c>
      <c r="L1389" s="55" t="str">
        <f t="shared" si="42"/>
        <v/>
      </c>
      <c r="M1389" s="55" t="str">
        <f t="shared" si="43"/>
        <v/>
      </c>
      <c r="N1389" s="55" t="str">
        <f>IF(A1389="","",IFERROR(INDEX('Cluster Map'!$A$4:$A$38,MATCH(M1389,'Cluster Map'!$B$4:$B$38,0)),"Unmapped"))</f>
        <v/>
      </c>
      <c r="O1389" s="55">
        <f>IF(A1389="",0,IF(COUNTIFS($A$2:A1389,A1389,$F$2:F1389,F1389,$L$2:L1389,L1389)=1,1,0))</f>
        <v>0</v>
      </c>
      <c r="P1389" s="55">
        <f>IF(A1389="",0,IF(AND(F1389="C&amp;T",COUNTIFS($A$2:A1389,A1389,$F$2:F1389,"C&amp;T")=1),1,0))</f>
        <v>0</v>
      </c>
    </row>
    <row r="1390" spans="1:16" x14ac:dyDescent="0.35">
      <c r="A1390" s="54" t="str">
        <f>IFERROR(IF(INDEX(SPOT_Import!$A$1:$Z$2488,1390,'Live Data'!$C$12)="","",INDEX(SPOT_Import!$A$1:$Z$2488,1390,'Live Data'!$C$12)),"")</f>
        <v/>
      </c>
      <c r="B1390" s="54" t="str">
        <f>IFERROR(IF(INDEX(SPOT_Import!$A$1:$Z$2488,1390,'Live Data'!$C$13)="","",INDEX(SPOT_Import!$A$1:$Z$2488,1390,'Live Data'!$C$13)),"")</f>
        <v/>
      </c>
      <c r="C1390" s="54" t="str">
        <f>IFERROR(IF(INDEX(SPOT_Import!$A$1:$Z$2488,1390,'Live Data'!$C$14)="","",INDEX(SPOT_Import!$A$1:$Z$2488,1390,'Live Data'!$C$14)),"")</f>
        <v/>
      </c>
      <c r="D1390" s="54" t="str">
        <f>IFERROR(IF(INDEX(SPOT_Import!$A$1:$Z$2488,1390,'Live Data'!$C$15)="","",INDEX(SPOT_Import!$A$1:$Z$2488,1390,'Live Data'!$C$15)),"")</f>
        <v/>
      </c>
      <c r="E1390" s="54" t="str">
        <f>IFERROR(IF(INDEX(SPOT_Import!$A$1:$Z$2488,1390,'Live Data'!$C$16)="","",INDEX(SPOT_Import!$A$1:$Z$2488,1390,'Live Data'!$C$16)),"")</f>
        <v/>
      </c>
      <c r="F1390" s="54" t="str">
        <f>IFERROR(IF(INDEX(SPOT_Import!$A$1:$Z$2488,1390,'Live Data'!$C$17)="","",INDEX(SPOT_Import!$A$1:$Z$2488,1390,'Live Data'!$C$17)),"")</f>
        <v/>
      </c>
      <c r="G1390" s="54" t="str">
        <f>IFERROR(IF(INDEX(SPOT_Import!$A$1:$Z$2488,1390,'Live Data'!$C$18)="","",INDEX(SPOT_Import!$A$1:$Z$2488,1390,'Live Data'!$C$18)),"")</f>
        <v/>
      </c>
      <c r="H1390" s="54" t="str">
        <f>IFERROR(IF(INDEX(SPOT_Import!$A$1:$Z$2488,1390,'Live Data'!$C$19)="","",INDEX(SPOT_Import!$A$1:$Z$2488,1390,'Live Data'!$C$19)),"")</f>
        <v/>
      </c>
      <c r="I1390" s="54" t="str">
        <f>IFERROR(IF(INDEX(SPOT_Import!$A$1:$Z$2488,1390,'Live Data'!$C$20)="","",INDEX(SPOT_Import!$A$1:$Z$2488,1390,'Live Data'!$C$20)),"")</f>
        <v/>
      </c>
      <c r="J1390" s="54" t="str">
        <f>IFERROR(IF(INDEX(SPOT_Import!$A$1:$Z$2488,1390,'Live Data'!$C$21)="","",INDEX(SPOT_Import!$A$1:$Z$2488,1390,'Live Data'!$C$21)),"")</f>
        <v/>
      </c>
      <c r="K1390" s="54" t="str">
        <f>IFERROR(IF(INDEX(SPOT_Import!$A$1:$Z$2488,1390,'Live Data'!$C$22)="","",INDEX(SPOT_Import!$A$1:$Z$2488,1390,'Live Data'!$C$22)),"")</f>
        <v/>
      </c>
      <c r="L1390" s="55" t="str">
        <f t="shared" si="42"/>
        <v/>
      </c>
      <c r="M1390" s="55" t="str">
        <f t="shared" si="43"/>
        <v/>
      </c>
      <c r="N1390" s="55" t="str">
        <f>IF(A1390="","",IFERROR(INDEX('Cluster Map'!$A$4:$A$38,MATCH(M1390,'Cluster Map'!$B$4:$B$38,0)),"Unmapped"))</f>
        <v/>
      </c>
      <c r="O1390" s="55">
        <f>IF(A1390="",0,IF(COUNTIFS($A$2:A1390,A1390,$F$2:F1390,F1390,$L$2:L1390,L1390)=1,1,0))</f>
        <v>0</v>
      </c>
      <c r="P1390" s="55">
        <f>IF(A1390="",0,IF(AND(F1390="C&amp;T",COUNTIFS($A$2:A1390,A1390,$F$2:F1390,"C&amp;T")=1),1,0))</f>
        <v>0</v>
      </c>
    </row>
    <row r="1391" spans="1:16" x14ac:dyDescent="0.35">
      <c r="A1391" s="54" t="str">
        <f>IFERROR(IF(INDEX(SPOT_Import!$A$1:$Z$2488,1391,'Live Data'!$C$12)="","",INDEX(SPOT_Import!$A$1:$Z$2488,1391,'Live Data'!$C$12)),"")</f>
        <v/>
      </c>
      <c r="B1391" s="54" t="str">
        <f>IFERROR(IF(INDEX(SPOT_Import!$A$1:$Z$2488,1391,'Live Data'!$C$13)="","",INDEX(SPOT_Import!$A$1:$Z$2488,1391,'Live Data'!$C$13)),"")</f>
        <v/>
      </c>
      <c r="C1391" s="54" t="str">
        <f>IFERROR(IF(INDEX(SPOT_Import!$A$1:$Z$2488,1391,'Live Data'!$C$14)="","",INDEX(SPOT_Import!$A$1:$Z$2488,1391,'Live Data'!$C$14)),"")</f>
        <v/>
      </c>
      <c r="D1391" s="54" t="str">
        <f>IFERROR(IF(INDEX(SPOT_Import!$A$1:$Z$2488,1391,'Live Data'!$C$15)="","",INDEX(SPOT_Import!$A$1:$Z$2488,1391,'Live Data'!$C$15)),"")</f>
        <v/>
      </c>
      <c r="E1391" s="54" t="str">
        <f>IFERROR(IF(INDEX(SPOT_Import!$A$1:$Z$2488,1391,'Live Data'!$C$16)="","",INDEX(SPOT_Import!$A$1:$Z$2488,1391,'Live Data'!$C$16)),"")</f>
        <v/>
      </c>
      <c r="F1391" s="54" t="str">
        <f>IFERROR(IF(INDEX(SPOT_Import!$A$1:$Z$2488,1391,'Live Data'!$C$17)="","",INDEX(SPOT_Import!$A$1:$Z$2488,1391,'Live Data'!$C$17)),"")</f>
        <v/>
      </c>
      <c r="G1391" s="54" t="str">
        <f>IFERROR(IF(INDEX(SPOT_Import!$A$1:$Z$2488,1391,'Live Data'!$C$18)="","",INDEX(SPOT_Import!$A$1:$Z$2488,1391,'Live Data'!$C$18)),"")</f>
        <v/>
      </c>
      <c r="H1391" s="54" t="str">
        <f>IFERROR(IF(INDEX(SPOT_Import!$A$1:$Z$2488,1391,'Live Data'!$C$19)="","",INDEX(SPOT_Import!$A$1:$Z$2488,1391,'Live Data'!$C$19)),"")</f>
        <v/>
      </c>
      <c r="I1391" s="54" t="str">
        <f>IFERROR(IF(INDEX(SPOT_Import!$A$1:$Z$2488,1391,'Live Data'!$C$20)="","",INDEX(SPOT_Import!$A$1:$Z$2488,1391,'Live Data'!$C$20)),"")</f>
        <v/>
      </c>
      <c r="J1391" s="54" t="str">
        <f>IFERROR(IF(INDEX(SPOT_Import!$A$1:$Z$2488,1391,'Live Data'!$C$21)="","",INDEX(SPOT_Import!$A$1:$Z$2488,1391,'Live Data'!$C$21)),"")</f>
        <v/>
      </c>
      <c r="K1391" s="54" t="str">
        <f>IFERROR(IF(INDEX(SPOT_Import!$A$1:$Z$2488,1391,'Live Data'!$C$22)="","",INDEX(SPOT_Import!$A$1:$Z$2488,1391,'Live Data'!$C$22)),"")</f>
        <v/>
      </c>
      <c r="L1391" s="55" t="str">
        <f t="shared" si="42"/>
        <v/>
      </c>
      <c r="M1391" s="55" t="str">
        <f t="shared" si="43"/>
        <v/>
      </c>
      <c r="N1391" s="55" t="str">
        <f>IF(A1391="","",IFERROR(INDEX('Cluster Map'!$A$4:$A$38,MATCH(M1391,'Cluster Map'!$B$4:$B$38,0)),"Unmapped"))</f>
        <v/>
      </c>
      <c r="O1391" s="55">
        <f>IF(A1391="",0,IF(COUNTIFS($A$2:A1391,A1391,$F$2:F1391,F1391,$L$2:L1391,L1391)=1,1,0))</f>
        <v>0</v>
      </c>
      <c r="P1391" s="55">
        <f>IF(A1391="",0,IF(AND(F1391="C&amp;T",COUNTIFS($A$2:A1391,A1391,$F$2:F1391,"C&amp;T")=1),1,0))</f>
        <v>0</v>
      </c>
    </row>
    <row r="1392" spans="1:16" x14ac:dyDescent="0.35">
      <c r="A1392" s="54" t="str">
        <f>IFERROR(IF(INDEX(SPOT_Import!$A$1:$Z$2488,1392,'Live Data'!$C$12)="","",INDEX(SPOT_Import!$A$1:$Z$2488,1392,'Live Data'!$C$12)),"")</f>
        <v/>
      </c>
      <c r="B1392" s="54" t="str">
        <f>IFERROR(IF(INDEX(SPOT_Import!$A$1:$Z$2488,1392,'Live Data'!$C$13)="","",INDEX(SPOT_Import!$A$1:$Z$2488,1392,'Live Data'!$C$13)),"")</f>
        <v/>
      </c>
      <c r="C1392" s="54" t="str">
        <f>IFERROR(IF(INDEX(SPOT_Import!$A$1:$Z$2488,1392,'Live Data'!$C$14)="","",INDEX(SPOT_Import!$A$1:$Z$2488,1392,'Live Data'!$C$14)),"")</f>
        <v/>
      </c>
      <c r="D1392" s="54" t="str">
        <f>IFERROR(IF(INDEX(SPOT_Import!$A$1:$Z$2488,1392,'Live Data'!$C$15)="","",INDEX(SPOT_Import!$A$1:$Z$2488,1392,'Live Data'!$C$15)),"")</f>
        <v/>
      </c>
      <c r="E1392" s="54" t="str">
        <f>IFERROR(IF(INDEX(SPOT_Import!$A$1:$Z$2488,1392,'Live Data'!$C$16)="","",INDEX(SPOT_Import!$A$1:$Z$2488,1392,'Live Data'!$C$16)),"")</f>
        <v/>
      </c>
      <c r="F1392" s="54" t="str">
        <f>IFERROR(IF(INDEX(SPOT_Import!$A$1:$Z$2488,1392,'Live Data'!$C$17)="","",INDEX(SPOT_Import!$A$1:$Z$2488,1392,'Live Data'!$C$17)),"")</f>
        <v/>
      </c>
      <c r="G1392" s="54" t="str">
        <f>IFERROR(IF(INDEX(SPOT_Import!$A$1:$Z$2488,1392,'Live Data'!$C$18)="","",INDEX(SPOT_Import!$A$1:$Z$2488,1392,'Live Data'!$C$18)),"")</f>
        <v/>
      </c>
      <c r="H1392" s="54" t="str">
        <f>IFERROR(IF(INDEX(SPOT_Import!$A$1:$Z$2488,1392,'Live Data'!$C$19)="","",INDEX(SPOT_Import!$A$1:$Z$2488,1392,'Live Data'!$C$19)),"")</f>
        <v/>
      </c>
      <c r="I1392" s="54" t="str">
        <f>IFERROR(IF(INDEX(SPOT_Import!$A$1:$Z$2488,1392,'Live Data'!$C$20)="","",INDEX(SPOT_Import!$A$1:$Z$2488,1392,'Live Data'!$C$20)),"")</f>
        <v/>
      </c>
      <c r="J1392" s="54" t="str">
        <f>IFERROR(IF(INDEX(SPOT_Import!$A$1:$Z$2488,1392,'Live Data'!$C$21)="","",INDEX(SPOT_Import!$A$1:$Z$2488,1392,'Live Data'!$C$21)),"")</f>
        <v/>
      </c>
      <c r="K1392" s="54" t="str">
        <f>IFERROR(IF(INDEX(SPOT_Import!$A$1:$Z$2488,1392,'Live Data'!$C$22)="","",INDEX(SPOT_Import!$A$1:$Z$2488,1392,'Live Data'!$C$22)),"")</f>
        <v/>
      </c>
      <c r="L1392" s="55" t="str">
        <f t="shared" si="42"/>
        <v/>
      </c>
      <c r="M1392" s="55" t="str">
        <f t="shared" si="43"/>
        <v/>
      </c>
      <c r="N1392" s="55" t="str">
        <f>IF(A1392="","",IFERROR(INDEX('Cluster Map'!$A$4:$A$38,MATCH(M1392,'Cluster Map'!$B$4:$B$38,0)),"Unmapped"))</f>
        <v/>
      </c>
      <c r="O1392" s="55">
        <f>IF(A1392="",0,IF(COUNTIFS($A$2:A1392,A1392,$F$2:F1392,F1392,$L$2:L1392,L1392)=1,1,0))</f>
        <v>0</v>
      </c>
      <c r="P1392" s="55">
        <f>IF(A1392="",0,IF(AND(F1392="C&amp;T",COUNTIFS($A$2:A1392,A1392,$F$2:F1392,"C&amp;T")=1),1,0))</f>
        <v>0</v>
      </c>
    </row>
    <row r="1393" spans="1:16" x14ac:dyDescent="0.35">
      <c r="A1393" s="54" t="str">
        <f>IFERROR(IF(INDEX(SPOT_Import!$A$1:$Z$2488,1393,'Live Data'!$C$12)="","",INDEX(SPOT_Import!$A$1:$Z$2488,1393,'Live Data'!$C$12)),"")</f>
        <v/>
      </c>
      <c r="B1393" s="54" t="str">
        <f>IFERROR(IF(INDEX(SPOT_Import!$A$1:$Z$2488,1393,'Live Data'!$C$13)="","",INDEX(SPOT_Import!$A$1:$Z$2488,1393,'Live Data'!$C$13)),"")</f>
        <v/>
      </c>
      <c r="C1393" s="54" t="str">
        <f>IFERROR(IF(INDEX(SPOT_Import!$A$1:$Z$2488,1393,'Live Data'!$C$14)="","",INDEX(SPOT_Import!$A$1:$Z$2488,1393,'Live Data'!$C$14)),"")</f>
        <v/>
      </c>
      <c r="D1393" s="54" t="str">
        <f>IFERROR(IF(INDEX(SPOT_Import!$A$1:$Z$2488,1393,'Live Data'!$C$15)="","",INDEX(SPOT_Import!$A$1:$Z$2488,1393,'Live Data'!$C$15)),"")</f>
        <v/>
      </c>
      <c r="E1393" s="54" t="str">
        <f>IFERROR(IF(INDEX(SPOT_Import!$A$1:$Z$2488,1393,'Live Data'!$C$16)="","",INDEX(SPOT_Import!$A$1:$Z$2488,1393,'Live Data'!$C$16)),"")</f>
        <v/>
      </c>
      <c r="F1393" s="54" t="str">
        <f>IFERROR(IF(INDEX(SPOT_Import!$A$1:$Z$2488,1393,'Live Data'!$C$17)="","",INDEX(SPOT_Import!$A$1:$Z$2488,1393,'Live Data'!$C$17)),"")</f>
        <v/>
      </c>
      <c r="G1393" s="54" t="str">
        <f>IFERROR(IF(INDEX(SPOT_Import!$A$1:$Z$2488,1393,'Live Data'!$C$18)="","",INDEX(SPOT_Import!$A$1:$Z$2488,1393,'Live Data'!$C$18)),"")</f>
        <v/>
      </c>
      <c r="H1393" s="54" t="str">
        <f>IFERROR(IF(INDEX(SPOT_Import!$A$1:$Z$2488,1393,'Live Data'!$C$19)="","",INDEX(SPOT_Import!$A$1:$Z$2488,1393,'Live Data'!$C$19)),"")</f>
        <v/>
      </c>
      <c r="I1393" s="54" t="str">
        <f>IFERROR(IF(INDEX(SPOT_Import!$A$1:$Z$2488,1393,'Live Data'!$C$20)="","",INDEX(SPOT_Import!$A$1:$Z$2488,1393,'Live Data'!$C$20)),"")</f>
        <v/>
      </c>
      <c r="J1393" s="54" t="str">
        <f>IFERROR(IF(INDEX(SPOT_Import!$A$1:$Z$2488,1393,'Live Data'!$C$21)="","",INDEX(SPOT_Import!$A$1:$Z$2488,1393,'Live Data'!$C$21)),"")</f>
        <v/>
      </c>
      <c r="K1393" s="54" t="str">
        <f>IFERROR(IF(INDEX(SPOT_Import!$A$1:$Z$2488,1393,'Live Data'!$C$22)="","",INDEX(SPOT_Import!$A$1:$Z$2488,1393,'Live Data'!$C$22)),"")</f>
        <v/>
      </c>
      <c r="L1393" s="55" t="str">
        <f t="shared" si="42"/>
        <v/>
      </c>
      <c r="M1393" s="55" t="str">
        <f t="shared" si="43"/>
        <v/>
      </c>
      <c r="N1393" s="55" t="str">
        <f>IF(A1393="","",IFERROR(INDEX('Cluster Map'!$A$4:$A$38,MATCH(M1393,'Cluster Map'!$B$4:$B$38,0)),"Unmapped"))</f>
        <v/>
      </c>
      <c r="O1393" s="55">
        <f>IF(A1393="",0,IF(COUNTIFS($A$2:A1393,A1393,$F$2:F1393,F1393,$L$2:L1393,L1393)=1,1,0))</f>
        <v>0</v>
      </c>
      <c r="P1393" s="55">
        <f>IF(A1393="",0,IF(AND(F1393="C&amp;T",COUNTIFS($A$2:A1393,A1393,$F$2:F1393,"C&amp;T")=1),1,0))</f>
        <v>0</v>
      </c>
    </row>
    <row r="1394" spans="1:16" x14ac:dyDescent="0.35">
      <c r="A1394" s="54" t="str">
        <f>IFERROR(IF(INDEX(SPOT_Import!$A$1:$Z$2488,1394,'Live Data'!$C$12)="","",INDEX(SPOT_Import!$A$1:$Z$2488,1394,'Live Data'!$C$12)),"")</f>
        <v/>
      </c>
      <c r="B1394" s="54" t="str">
        <f>IFERROR(IF(INDEX(SPOT_Import!$A$1:$Z$2488,1394,'Live Data'!$C$13)="","",INDEX(SPOT_Import!$A$1:$Z$2488,1394,'Live Data'!$C$13)),"")</f>
        <v/>
      </c>
      <c r="C1394" s="54" t="str">
        <f>IFERROR(IF(INDEX(SPOT_Import!$A$1:$Z$2488,1394,'Live Data'!$C$14)="","",INDEX(SPOT_Import!$A$1:$Z$2488,1394,'Live Data'!$C$14)),"")</f>
        <v/>
      </c>
      <c r="D1394" s="54" t="str">
        <f>IFERROR(IF(INDEX(SPOT_Import!$A$1:$Z$2488,1394,'Live Data'!$C$15)="","",INDEX(SPOT_Import!$A$1:$Z$2488,1394,'Live Data'!$C$15)),"")</f>
        <v/>
      </c>
      <c r="E1394" s="54" t="str">
        <f>IFERROR(IF(INDEX(SPOT_Import!$A$1:$Z$2488,1394,'Live Data'!$C$16)="","",INDEX(SPOT_Import!$A$1:$Z$2488,1394,'Live Data'!$C$16)),"")</f>
        <v/>
      </c>
      <c r="F1394" s="54" t="str">
        <f>IFERROR(IF(INDEX(SPOT_Import!$A$1:$Z$2488,1394,'Live Data'!$C$17)="","",INDEX(SPOT_Import!$A$1:$Z$2488,1394,'Live Data'!$C$17)),"")</f>
        <v/>
      </c>
      <c r="G1394" s="54" t="str">
        <f>IFERROR(IF(INDEX(SPOT_Import!$A$1:$Z$2488,1394,'Live Data'!$C$18)="","",INDEX(SPOT_Import!$A$1:$Z$2488,1394,'Live Data'!$C$18)),"")</f>
        <v/>
      </c>
      <c r="H1394" s="54" t="str">
        <f>IFERROR(IF(INDEX(SPOT_Import!$A$1:$Z$2488,1394,'Live Data'!$C$19)="","",INDEX(SPOT_Import!$A$1:$Z$2488,1394,'Live Data'!$C$19)),"")</f>
        <v/>
      </c>
      <c r="I1394" s="54" t="str">
        <f>IFERROR(IF(INDEX(SPOT_Import!$A$1:$Z$2488,1394,'Live Data'!$C$20)="","",INDEX(SPOT_Import!$A$1:$Z$2488,1394,'Live Data'!$C$20)),"")</f>
        <v/>
      </c>
      <c r="J1394" s="54" t="str">
        <f>IFERROR(IF(INDEX(SPOT_Import!$A$1:$Z$2488,1394,'Live Data'!$C$21)="","",INDEX(SPOT_Import!$A$1:$Z$2488,1394,'Live Data'!$C$21)),"")</f>
        <v/>
      </c>
      <c r="K1394" s="54" t="str">
        <f>IFERROR(IF(INDEX(SPOT_Import!$A$1:$Z$2488,1394,'Live Data'!$C$22)="","",INDEX(SPOT_Import!$A$1:$Z$2488,1394,'Live Data'!$C$22)),"")</f>
        <v/>
      </c>
      <c r="L1394" s="55" t="str">
        <f t="shared" si="42"/>
        <v/>
      </c>
      <c r="M1394" s="55" t="str">
        <f t="shared" si="43"/>
        <v/>
      </c>
      <c r="N1394" s="55" t="str">
        <f>IF(A1394="","",IFERROR(INDEX('Cluster Map'!$A$4:$A$38,MATCH(M1394,'Cluster Map'!$B$4:$B$38,0)),"Unmapped"))</f>
        <v/>
      </c>
      <c r="O1394" s="55">
        <f>IF(A1394="",0,IF(COUNTIFS($A$2:A1394,A1394,$F$2:F1394,F1394,$L$2:L1394,L1394)=1,1,0))</f>
        <v>0</v>
      </c>
      <c r="P1394" s="55">
        <f>IF(A1394="",0,IF(AND(F1394="C&amp;T",COUNTIFS($A$2:A1394,A1394,$F$2:F1394,"C&amp;T")=1),1,0))</f>
        <v>0</v>
      </c>
    </row>
    <row r="1395" spans="1:16" x14ac:dyDescent="0.35">
      <c r="A1395" s="54" t="str">
        <f>IFERROR(IF(INDEX(SPOT_Import!$A$1:$Z$2488,1395,'Live Data'!$C$12)="","",INDEX(SPOT_Import!$A$1:$Z$2488,1395,'Live Data'!$C$12)),"")</f>
        <v/>
      </c>
      <c r="B1395" s="54" t="str">
        <f>IFERROR(IF(INDEX(SPOT_Import!$A$1:$Z$2488,1395,'Live Data'!$C$13)="","",INDEX(SPOT_Import!$A$1:$Z$2488,1395,'Live Data'!$C$13)),"")</f>
        <v/>
      </c>
      <c r="C1395" s="54" t="str">
        <f>IFERROR(IF(INDEX(SPOT_Import!$A$1:$Z$2488,1395,'Live Data'!$C$14)="","",INDEX(SPOT_Import!$A$1:$Z$2488,1395,'Live Data'!$C$14)),"")</f>
        <v/>
      </c>
      <c r="D1395" s="54" t="str">
        <f>IFERROR(IF(INDEX(SPOT_Import!$A$1:$Z$2488,1395,'Live Data'!$C$15)="","",INDEX(SPOT_Import!$A$1:$Z$2488,1395,'Live Data'!$C$15)),"")</f>
        <v/>
      </c>
      <c r="E1395" s="54" t="str">
        <f>IFERROR(IF(INDEX(SPOT_Import!$A$1:$Z$2488,1395,'Live Data'!$C$16)="","",INDEX(SPOT_Import!$A$1:$Z$2488,1395,'Live Data'!$C$16)),"")</f>
        <v/>
      </c>
      <c r="F1395" s="54" t="str">
        <f>IFERROR(IF(INDEX(SPOT_Import!$A$1:$Z$2488,1395,'Live Data'!$C$17)="","",INDEX(SPOT_Import!$A$1:$Z$2488,1395,'Live Data'!$C$17)),"")</f>
        <v/>
      </c>
      <c r="G1395" s="54" t="str">
        <f>IFERROR(IF(INDEX(SPOT_Import!$A$1:$Z$2488,1395,'Live Data'!$C$18)="","",INDEX(SPOT_Import!$A$1:$Z$2488,1395,'Live Data'!$C$18)),"")</f>
        <v/>
      </c>
      <c r="H1395" s="54" t="str">
        <f>IFERROR(IF(INDEX(SPOT_Import!$A$1:$Z$2488,1395,'Live Data'!$C$19)="","",INDEX(SPOT_Import!$A$1:$Z$2488,1395,'Live Data'!$C$19)),"")</f>
        <v/>
      </c>
      <c r="I1395" s="54" t="str">
        <f>IFERROR(IF(INDEX(SPOT_Import!$A$1:$Z$2488,1395,'Live Data'!$C$20)="","",INDEX(SPOT_Import!$A$1:$Z$2488,1395,'Live Data'!$C$20)),"")</f>
        <v/>
      </c>
      <c r="J1395" s="54" t="str">
        <f>IFERROR(IF(INDEX(SPOT_Import!$A$1:$Z$2488,1395,'Live Data'!$C$21)="","",INDEX(SPOT_Import!$A$1:$Z$2488,1395,'Live Data'!$C$21)),"")</f>
        <v/>
      </c>
      <c r="K1395" s="54" t="str">
        <f>IFERROR(IF(INDEX(SPOT_Import!$A$1:$Z$2488,1395,'Live Data'!$C$22)="","",INDEX(SPOT_Import!$A$1:$Z$2488,1395,'Live Data'!$C$22)),"")</f>
        <v/>
      </c>
      <c r="L1395" s="55" t="str">
        <f t="shared" si="42"/>
        <v/>
      </c>
      <c r="M1395" s="55" t="str">
        <f t="shared" si="43"/>
        <v/>
      </c>
      <c r="N1395" s="55" t="str">
        <f>IF(A1395="","",IFERROR(INDEX('Cluster Map'!$A$4:$A$38,MATCH(M1395,'Cluster Map'!$B$4:$B$38,0)),"Unmapped"))</f>
        <v/>
      </c>
      <c r="O1395" s="55">
        <f>IF(A1395="",0,IF(COUNTIFS($A$2:A1395,A1395,$F$2:F1395,F1395,$L$2:L1395,L1395)=1,1,0))</f>
        <v>0</v>
      </c>
      <c r="P1395" s="55">
        <f>IF(A1395="",0,IF(AND(F1395="C&amp;T",COUNTIFS($A$2:A1395,A1395,$F$2:F1395,"C&amp;T")=1),1,0))</f>
        <v>0</v>
      </c>
    </row>
    <row r="1396" spans="1:16" x14ac:dyDescent="0.35">
      <c r="A1396" s="54" t="str">
        <f>IFERROR(IF(INDEX(SPOT_Import!$A$1:$Z$2488,1396,'Live Data'!$C$12)="","",INDEX(SPOT_Import!$A$1:$Z$2488,1396,'Live Data'!$C$12)),"")</f>
        <v/>
      </c>
      <c r="B1396" s="54" t="str">
        <f>IFERROR(IF(INDEX(SPOT_Import!$A$1:$Z$2488,1396,'Live Data'!$C$13)="","",INDEX(SPOT_Import!$A$1:$Z$2488,1396,'Live Data'!$C$13)),"")</f>
        <v/>
      </c>
      <c r="C1396" s="54" t="str">
        <f>IFERROR(IF(INDEX(SPOT_Import!$A$1:$Z$2488,1396,'Live Data'!$C$14)="","",INDEX(SPOT_Import!$A$1:$Z$2488,1396,'Live Data'!$C$14)),"")</f>
        <v/>
      </c>
      <c r="D1396" s="54" t="str">
        <f>IFERROR(IF(INDEX(SPOT_Import!$A$1:$Z$2488,1396,'Live Data'!$C$15)="","",INDEX(SPOT_Import!$A$1:$Z$2488,1396,'Live Data'!$C$15)),"")</f>
        <v/>
      </c>
      <c r="E1396" s="54" t="str">
        <f>IFERROR(IF(INDEX(SPOT_Import!$A$1:$Z$2488,1396,'Live Data'!$C$16)="","",INDEX(SPOT_Import!$A$1:$Z$2488,1396,'Live Data'!$C$16)),"")</f>
        <v/>
      </c>
      <c r="F1396" s="54" t="str">
        <f>IFERROR(IF(INDEX(SPOT_Import!$A$1:$Z$2488,1396,'Live Data'!$C$17)="","",INDEX(SPOT_Import!$A$1:$Z$2488,1396,'Live Data'!$C$17)),"")</f>
        <v/>
      </c>
      <c r="G1396" s="54" t="str">
        <f>IFERROR(IF(INDEX(SPOT_Import!$A$1:$Z$2488,1396,'Live Data'!$C$18)="","",INDEX(SPOT_Import!$A$1:$Z$2488,1396,'Live Data'!$C$18)),"")</f>
        <v/>
      </c>
      <c r="H1396" s="54" t="str">
        <f>IFERROR(IF(INDEX(SPOT_Import!$A$1:$Z$2488,1396,'Live Data'!$C$19)="","",INDEX(SPOT_Import!$A$1:$Z$2488,1396,'Live Data'!$C$19)),"")</f>
        <v/>
      </c>
      <c r="I1396" s="54" t="str">
        <f>IFERROR(IF(INDEX(SPOT_Import!$A$1:$Z$2488,1396,'Live Data'!$C$20)="","",INDEX(SPOT_Import!$A$1:$Z$2488,1396,'Live Data'!$C$20)),"")</f>
        <v/>
      </c>
      <c r="J1396" s="54" t="str">
        <f>IFERROR(IF(INDEX(SPOT_Import!$A$1:$Z$2488,1396,'Live Data'!$C$21)="","",INDEX(SPOT_Import!$A$1:$Z$2488,1396,'Live Data'!$C$21)),"")</f>
        <v/>
      </c>
      <c r="K1396" s="54" t="str">
        <f>IFERROR(IF(INDEX(SPOT_Import!$A$1:$Z$2488,1396,'Live Data'!$C$22)="","",INDEX(SPOT_Import!$A$1:$Z$2488,1396,'Live Data'!$C$22)),"")</f>
        <v/>
      </c>
      <c r="L1396" s="55" t="str">
        <f t="shared" si="42"/>
        <v/>
      </c>
      <c r="M1396" s="55" t="str">
        <f t="shared" si="43"/>
        <v/>
      </c>
      <c r="N1396" s="55" t="str">
        <f>IF(A1396="","",IFERROR(INDEX('Cluster Map'!$A$4:$A$38,MATCH(M1396,'Cluster Map'!$B$4:$B$38,0)),"Unmapped"))</f>
        <v/>
      </c>
      <c r="O1396" s="55">
        <f>IF(A1396="",0,IF(COUNTIFS($A$2:A1396,A1396,$F$2:F1396,F1396,$L$2:L1396,L1396)=1,1,0))</f>
        <v>0</v>
      </c>
      <c r="P1396" s="55">
        <f>IF(A1396="",0,IF(AND(F1396="C&amp;T",COUNTIFS($A$2:A1396,A1396,$F$2:F1396,"C&amp;T")=1),1,0))</f>
        <v>0</v>
      </c>
    </row>
    <row r="1397" spans="1:16" x14ac:dyDescent="0.35">
      <c r="A1397" s="54" t="str">
        <f>IFERROR(IF(INDEX(SPOT_Import!$A$1:$Z$2488,1397,'Live Data'!$C$12)="","",INDEX(SPOT_Import!$A$1:$Z$2488,1397,'Live Data'!$C$12)),"")</f>
        <v/>
      </c>
      <c r="B1397" s="54" t="str">
        <f>IFERROR(IF(INDEX(SPOT_Import!$A$1:$Z$2488,1397,'Live Data'!$C$13)="","",INDEX(SPOT_Import!$A$1:$Z$2488,1397,'Live Data'!$C$13)),"")</f>
        <v/>
      </c>
      <c r="C1397" s="54" t="str">
        <f>IFERROR(IF(INDEX(SPOT_Import!$A$1:$Z$2488,1397,'Live Data'!$C$14)="","",INDEX(SPOT_Import!$A$1:$Z$2488,1397,'Live Data'!$C$14)),"")</f>
        <v/>
      </c>
      <c r="D1397" s="54" t="str">
        <f>IFERROR(IF(INDEX(SPOT_Import!$A$1:$Z$2488,1397,'Live Data'!$C$15)="","",INDEX(SPOT_Import!$A$1:$Z$2488,1397,'Live Data'!$C$15)),"")</f>
        <v/>
      </c>
      <c r="E1397" s="54" t="str">
        <f>IFERROR(IF(INDEX(SPOT_Import!$A$1:$Z$2488,1397,'Live Data'!$C$16)="","",INDEX(SPOT_Import!$A$1:$Z$2488,1397,'Live Data'!$C$16)),"")</f>
        <v/>
      </c>
      <c r="F1397" s="54" t="str">
        <f>IFERROR(IF(INDEX(SPOT_Import!$A$1:$Z$2488,1397,'Live Data'!$C$17)="","",INDEX(SPOT_Import!$A$1:$Z$2488,1397,'Live Data'!$C$17)),"")</f>
        <v/>
      </c>
      <c r="G1397" s="54" t="str">
        <f>IFERROR(IF(INDEX(SPOT_Import!$A$1:$Z$2488,1397,'Live Data'!$C$18)="","",INDEX(SPOT_Import!$A$1:$Z$2488,1397,'Live Data'!$C$18)),"")</f>
        <v/>
      </c>
      <c r="H1397" s="54" t="str">
        <f>IFERROR(IF(INDEX(SPOT_Import!$A$1:$Z$2488,1397,'Live Data'!$C$19)="","",INDEX(SPOT_Import!$A$1:$Z$2488,1397,'Live Data'!$C$19)),"")</f>
        <v/>
      </c>
      <c r="I1397" s="54" t="str">
        <f>IFERROR(IF(INDEX(SPOT_Import!$A$1:$Z$2488,1397,'Live Data'!$C$20)="","",INDEX(SPOT_Import!$A$1:$Z$2488,1397,'Live Data'!$C$20)),"")</f>
        <v/>
      </c>
      <c r="J1397" s="54" t="str">
        <f>IFERROR(IF(INDEX(SPOT_Import!$A$1:$Z$2488,1397,'Live Data'!$C$21)="","",INDEX(SPOT_Import!$A$1:$Z$2488,1397,'Live Data'!$C$21)),"")</f>
        <v/>
      </c>
      <c r="K1397" s="54" t="str">
        <f>IFERROR(IF(INDEX(SPOT_Import!$A$1:$Z$2488,1397,'Live Data'!$C$22)="","",INDEX(SPOT_Import!$A$1:$Z$2488,1397,'Live Data'!$C$22)),"")</f>
        <v/>
      </c>
      <c r="L1397" s="55" t="str">
        <f t="shared" si="42"/>
        <v/>
      </c>
      <c r="M1397" s="55" t="str">
        <f t="shared" si="43"/>
        <v/>
      </c>
      <c r="N1397" s="55" t="str">
        <f>IF(A1397="","",IFERROR(INDEX('Cluster Map'!$A$4:$A$38,MATCH(M1397,'Cluster Map'!$B$4:$B$38,0)),"Unmapped"))</f>
        <v/>
      </c>
      <c r="O1397" s="55">
        <f>IF(A1397="",0,IF(COUNTIFS($A$2:A1397,A1397,$F$2:F1397,F1397,$L$2:L1397,L1397)=1,1,0))</f>
        <v>0</v>
      </c>
      <c r="P1397" s="55">
        <f>IF(A1397="",0,IF(AND(F1397="C&amp;T",COUNTIFS($A$2:A1397,A1397,$F$2:F1397,"C&amp;T")=1),1,0))</f>
        <v>0</v>
      </c>
    </row>
    <row r="1398" spans="1:16" x14ac:dyDescent="0.35">
      <c r="A1398" s="54" t="str">
        <f>IFERROR(IF(INDEX(SPOT_Import!$A$1:$Z$2488,1398,'Live Data'!$C$12)="","",INDEX(SPOT_Import!$A$1:$Z$2488,1398,'Live Data'!$C$12)),"")</f>
        <v/>
      </c>
      <c r="B1398" s="54" t="str">
        <f>IFERROR(IF(INDEX(SPOT_Import!$A$1:$Z$2488,1398,'Live Data'!$C$13)="","",INDEX(SPOT_Import!$A$1:$Z$2488,1398,'Live Data'!$C$13)),"")</f>
        <v/>
      </c>
      <c r="C1398" s="54" t="str">
        <f>IFERROR(IF(INDEX(SPOT_Import!$A$1:$Z$2488,1398,'Live Data'!$C$14)="","",INDEX(SPOT_Import!$A$1:$Z$2488,1398,'Live Data'!$C$14)),"")</f>
        <v/>
      </c>
      <c r="D1398" s="54" t="str">
        <f>IFERROR(IF(INDEX(SPOT_Import!$A$1:$Z$2488,1398,'Live Data'!$C$15)="","",INDEX(SPOT_Import!$A$1:$Z$2488,1398,'Live Data'!$C$15)),"")</f>
        <v/>
      </c>
      <c r="E1398" s="54" t="str">
        <f>IFERROR(IF(INDEX(SPOT_Import!$A$1:$Z$2488,1398,'Live Data'!$C$16)="","",INDEX(SPOT_Import!$A$1:$Z$2488,1398,'Live Data'!$C$16)),"")</f>
        <v/>
      </c>
      <c r="F1398" s="54" t="str">
        <f>IFERROR(IF(INDEX(SPOT_Import!$A$1:$Z$2488,1398,'Live Data'!$C$17)="","",INDEX(SPOT_Import!$A$1:$Z$2488,1398,'Live Data'!$C$17)),"")</f>
        <v/>
      </c>
      <c r="G1398" s="54" t="str">
        <f>IFERROR(IF(INDEX(SPOT_Import!$A$1:$Z$2488,1398,'Live Data'!$C$18)="","",INDEX(SPOT_Import!$A$1:$Z$2488,1398,'Live Data'!$C$18)),"")</f>
        <v/>
      </c>
      <c r="H1398" s="54" t="str">
        <f>IFERROR(IF(INDEX(SPOT_Import!$A$1:$Z$2488,1398,'Live Data'!$C$19)="","",INDEX(SPOT_Import!$A$1:$Z$2488,1398,'Live Data'!$C$19)),"")</f>
        <v/>
      </c>
      <c r="I1398" s="54" t="str">
        <f>IFERROR(IF(INDEX(SPOT_Import!$A$1:$Z$2488,1398,'Live Data'!$C$20)="","",INDEX(SPOT_Import!$A$1:$Z$2488,1398,'Live Data'!$C$20)),"")</f>
        <v/>
      </c>
      <c r="J1398" s="54" t="str">
        <f>IFERROR(IF(INDEX(SPOT_Import!$A$1:$Z$2488,1398,'Live Data'!$C$21)="","",INDEX(SPOT_Import!$A$1:$Z$2488,1398,'Live Data'!$C$21)),"")</f>
        <v/>
      </c>
      <c r="K1398" s="54" t="str">
        <f>IFERROR(IF(INDEX(SPOT_Import!$A$1:$Z$2488,1398,'Live Data'!$C$22)="","",INDEX(SPOT_Import!$A$1:$Z$2488,1398,'Live Data'!$C$22)),"")</f>
        <v/>
      </c>
      <c r="L1398" s="55" t="str">
        <f t="shared" si="42"/>
        <v/>
      </c>
      <c r="M1398" s="55" t="str">
        <f t="shared" si="43"/>
        <v/>
      </c>
      <c r="N1398" s="55" t="str">
        <f>IF(A1398="","",IFERROR(INDEX('Cluster Map'!$A$4:$A$38,MATCH(M1398,'Cluster Map'!$B$4:$B$38,0)),"Unmapped"))</f>
        <v/>
      </c>
      <c r="O1398" s="55">
        <f>IF(A1398="",0,IF(COUNTIFS($A$2:A1398,A1398,$F$2:F1398,F1398,$L$2:L1398,L1398)=1,1,0))</f>
        <v>0</v>
      </c>
      <c r="P1398" s="55">
        <f>IF(A1398="",0,IF(AND(F1398="C&amp;T",COUNTIFS($A$2:A1398,A1398,$F$2:F1398,"C&amp;T")=1),1,0))</f>
        <v>0</v>
      </c>
    </row>
    <row r="1399" spans="1:16" x14ac:dyDescent="0.35">
      <c r="A1399" s="54" t="str">
        <f>IFERROR(IF(INDEX(SPOT_Import!$A$1:$Z$2488,1399,'Live Data'!$C$12)="","",INDEX(SPOT_Import!$A$1:$Z$2488,1399,'Live Data'!$C$12)),"")</f>
        <v/>
      </c>
      <c r="B1399" s="54" t="str">
        <f>IFERROR(IF(INDEX(SPOT_Import!$A$1:$Z$2488,1399,'Live Data'!$C$13)="","",INDEX(SPOT_Import!$A$1:$Z$2488,1399,'Live Data'!$C$13)),"")</f>
        <v/>
      </c>
      <c r="C1399" s="54" t="str">
        <f>IFERROR(IF(INDEX(SPOT_Import!$A$1:$Z$2488,1399,'Live Data'!$C$14)="","",INDEX(SPOT_Import!$A$1:$Z$2488,1399,'Live Data'!$C$14)),"")</f>
        <v/>
      </c>
      <c r="D1399" s="54" t="str">
        <f>IFERROR(IF(INDEX(SPOT_Import!$A$1:$Z$2488,1399,'Live Data'!$C$15)="","",INDEX(SPOT_Import!$A$1:$Z$2488,1399,'Live Data'!$C$15)),"")</f>
        <v/>
      </c>
      <c r="E1399" s="54" t="str">
        <f>IFERROR(IF(INDEX(SPOT_Import!$A$1:$Z$2488,1399,'Live Data'!$C$16)="","",INDEX(SPOT_Import!$A$1:$Z$2488,1399,'Live Data'!$C$16)),"")</f>
        <v/>
      </c>
      <c r="F1399" s="54" t="str">
        <f>IFERROR(IF(INDEX(SPOT_Import!$A$1:$Z$2488,1399,'Live Data'!$C$17)="","",INDEX(SPOT_Import!$A$1:$Z$2488,1399,'Live Data'!$C$17)),"")</f>
        <v/>
      </c>
      <c r="G1399" s="54" t="str">
        <f>IFERROR(IF(INDEX(SPOT_Import!$A$1:$Z$2488,1399,'Live Data'!$C$18)="","",INDEX(SPOT_Import!$A$1:$Z$2488,1399,'Live Data'!$C$18)),"")</f>
        <v/>
      </c>
      <c r="H1399" s="54" t="str">
        <f>IFERROR(IF(INDEX(SPOT_Import!$A$1:$Z$2488,1399,'Live Data'!$C$19)="","",INDEX(SPOT_Import!$A$1:$Z$2488,1399,'Live Data'!$C$19)),"")</f>
        <v/>
      </c>
      <c r="I1399" s="54" t="str">
        <f>IFERROR(IF(INDEX(SPOT_Import!$A$1:$Z$2488,1399,'Live Data'!$C$20)="","",INDEX(SPOT_Import!$A$1:$Z$2488,1399,'Live Data'!$C$20)),"")</f>
        <v/>
      </c>
      <c r="J1399" s="54" t="str">
        <f>IFERROR(IF(INDEX(SPOT_Import!$A$1:$Z$2488,1399,'Live Data'!$C$21)="","",INDEX(SPOT_Import!$A$1:$Z$2488,1399,'Live Data'!$C$21)),"")</f>
        <v/>
      </c>
      <c r="K1399" s="54" t="str">
        <f>IFERROR(IF(INDEX(SPOT_Import!$A$1:$Z$2488,1399,'Live Data'!$C$22)="","",INDEX(SPOT_Import!$A$1:$Z$2488,1399,'Live Data'!$C$22)),"")</f>
        <v/>
      </c>
      <c r="L1399" s="55" t="str">
        <f t="shared" si="42"/>
        <v/>
      </c>
      <c r="M1399" s="55" t="str">
        <f t="shared" si="43"/>
        <v/>
      </c>
      <c r="N1399" s="55" t="str">
        <f>IF(A1399="","",IFERROR(INDEX('Cluster Map'!$A$4:$A$38,MATCH(M1399,'Cluster Map'!$B$4:$B$38,0)),"Unmapped"))</f>
        <v/>
      </c>
      <c r="O1399" s="55">
        <f>IF(A1399="",0,IF(COUNTIFS($A$2:A1399,A1399,$F$2:F1399,F1399,$L$2:L1399,L1399)=1,1,0))</f>
        <v>0</v>
      </c>
      <c r="P1399" s="55">
        <f>IF(A1399="",0,IF(AND(F1399="C&amp;T",COUNTIFS($A$2:A1399,A1399,$F$2:F1399,"C&amp;T")=1),1,0))</f>
        <v>0</v>
      </c>
    </row>
    <row r="1400" spans="1:16" x14ac:dyDescent="0.35">
      <c r="A1400" s="54" t="str">
        <f>IFERROR(IF(INDEX(SPOT_Import!$A$1:$Z$2488,1400,'Live Data'!$C$12)="","",INDEX(SPOT_Import!$A$1:$Z$2488,1400,'Live Data'!$C$12)),"")</f>
        <v/>
      </c>
      <c r="B1400" s="54" t="str">
        <f>IFERROR(IF(INDEX(SPOT_Import!$A$1:$Z$2488,1400,'Live Data'!$C$13)="","",INDEX(SPOT_Import!$A$1:$Z$2488,1400,'Live Data'!$C$13)),"")</f>
        <v/>
      </c>
      <c r="C1400" s="54" t="str">
        <f>IFERROR(IF(INDEX(SPOT_Import!$A$1:$Z$2488,1400,'Live Data'!$C$14)="","",INDEX(SPOT_Import!$A$1:$Z$2488,1400,'Live Data'!$C$14)),"")</f>
        <v/>
      </c>
      <c r="D1400" s="54" t="str">
        <f>IFERROR(IF(INDEX(SPOT_Import!$A$1:$Z$2488,1400,'Live Data'!$C$15)="","",INDEX(SPOT_Import!$A$1:$Z$2488,1400,'Live Data'!$C$15)),"")</f>
        <v/>
      </c>
      <c r="E1400" s="54" t="str">
        <f>IFERROR(IF(INDEX(SPOT_Import!$A$1:$Z$2488,1400,'Live Data'!$C$16)="","",INDEX(SPOT_Import!$A$1:$Z$2488,1400,'Live Data'!$C$16)),"")</f>
        <v/>
      </c>
      <c r="F1400" s="54" t="str">
        <f>IFERROR(IF(INDEX(SPOT_Import!$A$1:$Z$2488,1400,'Live Data'!$C$17)="","",INDEX(SPOT_Import!$A$1:$Z$2488,1400,'Live Data'!$C$17)),"")</f>
        <v/>
      </c>
      <c r="G1400" s="54" t="str">
        <f>IFERROR(IF(INDEX(SPOT_Import!$A$1:$Z$2488,1400,'Live Data'!$C$18)="","",INDEX(SPOT_Import!$A$1:$Z$2488,1400,'Live Data'!$C$18)),"")</f>
        <v/>
      </c>
      <c r="H1400" s="54" t="str">
        <f>IFERROR(IF(INDEX(SPOT_Import!$A$1:$Z$2488,1400,'Live Data'!$C$19)="","",INDEX(SPOT_Import!$A$1:$Z$2488,1400,'Live Data'!$C$19)),"")</f>
        <v/>
      </c>
      <c r="I1400" s="54" t="str">
        <f>IFERROR(IF(INDEX(SPOT_Import!$A$1:$Z$2488,1400,'Live Data'!$C$20)="","",INDEX(SPOT_Import!$A$1:$Z$2488,1400,'Live Data'!$C$20)),"")</f>
        <v/>
      </c>
      <c r="J1400" s="54" t="str">
        <f>IFERROR(IF(INDEX(SPOT_Import!$A$1:$Z$2488,1400,'Live Data'!$C$21)="","",INDEX(SPOT_Import!$A$1:$Z$2488,1400,'Live Data'!$C$21)),"")</f>
        <v/>
      </c>
      <c r="K1400" s="54" t="str">
        <f>IFERROR(IF(INDEX(SPOT_Import!$A$1:$Z$2488,1400,'Live Data'!$C$22)="","",INDEX(SPOT_Import!$A$1:$Z$2488,1400,'Live Data'!$C$22)),"")</f>
        <v/>
      </c>
      <c r="L1400" s="55" t="str">
        <f t="shared" si="42"/>
        <v/>
      </c>
      <c r="M1400" s="55" t="str">
        <f t="shared" si="43"/>
        <v/>
      </c>
      <c r="N1400" s="55" t="str">
        <f>IF(A1400="","",IFERROR(INDEX('Cluster Map'!$A$4:$A$38,MATCH(M1400,'Cluster Map'!$B$4:$B$38,0)),"Unmapped"))</f>
        <v/>
      </c>
      <c r="O1400" s="55">
        <f>IF(A1400="",0,IF(COUNTIFS($A$2:A1400,A1400,$F$2:F1400,F1400,$L$2:L1400,L1400)=1,1,0))</f>
        <v>0</v>
      </c>
      <c r="P1400" s="55">
        <f>IF(A1400="",0,IF(AND(F1400="C&amp;T",COUNTIFS($A$2:A1400,A1400,$F$2:F1400,"C&amp;T")=1),1,0))</f>
        <v>0</v>
      </c>
    </row>
    <row r="1401" spans="1:16" x14ac:dyDescent="0.35">
      <c r="A1401" s="54" t="str">
        <f>IFERROR(IF(INDEX(SPOT_Import!$A$1:$Z$2488,1401,'Live Data'!$C$12)="","",INDEX(SPOT_Import!$A$1:$Z$2488,1401,'Live Data'!$C$12)),"")</f>
        <v/>
      </c>
      <c r="B1401" s="54" t="str">
        <f>IFERROR(IF(INDEX(SPOT_Import!$A$1:$Z$2488,1401,'Live Data'!$C$13)="","",INDEX(SPOT_Import!$A$1:$Z$2488,1401,'Live Data'!$C$13)),"")</f>
        <v/>
      </c>
      <c r="C1401" s="54" t="str">
        <f>IFERROR(IF(INDEX(SPOT_Import!$A$1:$Z$2488,1401,'Live Data'!$C$14)="","",INDEX(SPOT_Import!$A$1:$Z$2488,1401,'Live Data'!$C$14)),"")</f>
        <v/>
      </c>
      <c r="D1401" s="54" t="str">
        <f>IFERROR(IF(INDEX(SPOT_Import!$A$1:$Z$2488,1401,'Live Data'!$C$15)="","",INDEX(SPOT_Import!$A$1:$Z$2488,1401,'Live Data'!$C$15)),"")</f>
        <v/>
      </c>
      <c r="E1401" s="54" t="str">
        <f>IFERROR(IF(INDEX(SPOT_Import!$A$1:$Z$2488,1401,'Live Data'!$C$16)="","",INDEX(SPOT_Import!$A$1:$Z$2488,1401,'Live Data'!$C$16)),"")</f>
        <v/>
      </c>
      <c r="F1401" s="54" t="str">
        <f>IFERROR(IF(INDEX(SPOT_Import!$A$1:$Z$2488,1401,'Live Data'!$C$17)="","",INDEX(SPOT_Import!$A$1:$Z$2488,1401,'Live Data'!$C$17)),"")</f>
        <v/>
      </c>
      <c r="G1401" s="54" t="str">
        <f>IFERROR(IF(INDEX(SPOT_Import!$A$1:$Z$2488,1401,'Live Data'!$C$18)="","",INDEX(SPOT_Import!$A$1:$Z$2488,1401,'Live Data'!$C$18)),"")</f>
        <v/>
      </c>
      <c r="H1401" s="54" t="str">
        <f>IFERROR(IF(INDEX(SPOT_Import!$A$1:$Z$2488,1401,'Live Data'!$C$19)="","",INDEX(SPOT_Import!$A$1:$Z$2488,1401,'Live Data'!$C$19)),"")</f>
        <v/>
      </c>
      <c r="I1401" s="54" t="str">
        <f>IFERROR(IF(INDEX(SPOT_Import!$A$1:$Z$2488,1401,'Live Data'!$C$20)="","",INDEX(SPOT_Import!$A$1:$Z$2488,1401,'Live Data'!$C$20)),"")</f>
        <v/>
      </c>
      <c r="J1401" s="54" t="str">
        <f>IFERROR(IF(INDEX(SPOT_Import!$A$1:$Z$2488,1401,'Live Data'!$C$21)="","",INDEX(SPOT_Import!$A$1:$Z$2488,1401,'Live Data'!$C$21)),"")</f>
        <v/>
      </c>
      <c r="K1401" s="54" t="str">
        <f>IFERROR(IF(INDEX(SPOT_Import!$A$1:$Z$2488,1401,'Live Data'!$C$22)="","",INDEX(SPOT_Import!$A$1:$Z$2488,1401,'Live Data'!$C$22)),"")</f>
        <v/>
      </c>
      <c r="L1401" s="55" t="str">
        <f t="shared" si="42"/>
        <v/>
      </c>
      <c r="M1401" s="55" t="str">
        <f t="shared" si="43"/>
        <v/>
      </c>
      <c r="N1401" s="55" t="str">
        <f>IF(A1401="","",IFERROR(INDEX('Cluster Map'!$A$4:$A$38,MATCH(M1401,'Cluster Map'!$B$4:$B$38,0)),"Unmapped"))</f>
        <v/>
      </c>
      <c r="O1401" s="55">
        <f>IF(A1401="",0,IF(COUNTIFS($A$2:A1401,A1401,$F$2:F1401,F1401,$L$2:L1401,L1401)=1,1,0))</f>
        <v>0</v>
      </c>
      <c r="P1401" s="55">
        <f>IF(A1401="",0,IF(AND(F1401="C&amp;T",COUNTIFS($A$2:A1401,A1401,$F$2:F1401,"C&amp;T")=1),1,0))</f>
        <v>0</v>
      </c>
    </row>
    <row r="1402" spans="1:16" x14ac:dyDescent="0.35">
      <c r="A1402" s="54" t="str">
        <f>IFERROR(IF(INDEX(SPOT_Import!$A$1:$Z$2488,1402,'Live Data'!$C$12)="","",INDEX(SPOT_Import!$A$1:$Z$2488,1402,'Live Data'!$C$12)),"")</f>
        <v/>
      </c>
      <c r="B1402" s="54" t="str">
        <f>IFERROR(IF(INDEX(SPOT_Import!$A$1:$Z$2488,1402,'Live Data'!$C$13)="","",INDEX(SPOT_Import!$A$1:$Z$2488,1402,'Live Data'!$C$13)),"")</f>
        <v/>
      </c>
      <c r="C1402" s="54" t="str">
        <f>IFERROR(IF(INDEX(SPOT_Import!$A$1:$Z$2488,1402,'Live Data'!$C$14)="","",INDEX(SPOT_Import!$A$1:$Z$2488,1402,'Live Data'!$C$14)),"")</f>
        <v/>
      </c>
      <c r="D1402" s="54" t="str">
        <f>IFERROR(IF(INDEX(SPOT_Import!$A$1:$Z$2488,1402,'Live Data'!$C$15)="","",INDEX(SPOT_Import!$A$1:$Z$2488,1402,'Live Data'!$C$15)),"")</f>
        <v/>
      </c>
      <c r="E1402" s="54" t="str">
        <f>IFERROR(IF(INDEX(SPOT_Import!$A$1:$Z$2488,1402,'Live Data'!$C$16)="","",INDEX(SPOT_Import!$A$1:$Z$2488,1402,'Live Data'!$C$16)),"")</f>
        <v/>
      </c>
      <c r="F1402" s="54" t="str">
        <f>IFERROR(IF(INDEX(SPOT_Import!$A$1:$Z$2488,1402,'Live Data'!$C$17)="","",INDEX(SPOT_Import!$A$1:$Z$2488,1402,'Live Data'!$C$17)),"")</f>
        <v/>
      </c>
      <c r="G1402" s="54" t="str">
        <f>IFERROR(IF(INDEX(SPOT_Import!$A$1:$Z$2488,1402,'Live Data'!$C$18)="","",INDEX(SPOT_Import!$A$1:$Z$2488,1402,'Live Data'!$C$18)),"")</f>
        <v/>
      </c>
      <c r="H1402" s="54" t="str">
        <f>IFERROR(IF(INDEX(SPOT_Import!$A$1:$Z$2488,1402,'Live Data'!$C$19)="","",INDEX(SPOT_Import!$A$1:$Z$2488,1402,'Live Data'!$C$19)),"")</f>
        <v/>
      </c>
      <c r="I1402" s="54" t="str">
        <f>IFERROR(IF(INDEX(SPOT_Import!$A$1:$Z$2488,1402,'Live Data'!$C$20)="","",INDEX(SPOT_Import!$A$1:$Z$2488,1402,'Live Data'!$C$20)),"")</f>
        <v/>
      </c>
      <c r="J1402" s="54" t="str">
        <f>IFERROR(IF(INDEX(SPOT_Import!$A$1:$Z$2488,1402,'Live Data'!$C$21)="","",INDEX(SPOT_Import!$A$1:$Z$2488,1402,'Live Data'!$C$21)),"")</f>
        <v/>
      </c>
      <c r="K1402" s="54" t="str">
        <f>IFERROR(IF(INDEX(SPOT_Import!$A$1:$Z$2488,1402,'Live Data'!$C$22)="","",INDEX(SPOT_Import!$A$1:$Z$2488,1402,'Live Data'!$C$22)),"")</f>
        <v/>
      </c>
      <c r="L1402" s="55" t="str">
        <f t="shared" si="42"/>
        <v/>
      </c>
      <c r="M1402" s="55" t="str">
        <f t="shared" si="43"/>
        <v/>
      </c>
      <c r="N1402" s="55" t="str">
        <f>IF(A1402="","",IFERROR(INDEX('Cluster Map'!$A$4:$A$38,MATCH(M1402,'Cluster Map'!$B$4:$B$38,0)),"Unmapped"))</f>
        <v/>
      </c>
      <c r="O1402" s="55">
        <f>IF(A1402="",0,IF(COUNTIFS($A$2:A1402,A1402,$F$2:F1402,F1402,$L$2:L1402,L1402)=1,1,0))</f>
        <v>0</v>
      </c>
      <c r="P1402" s="55">
        <f>IF(A1402="",0,IF(AND(F1402="C&amp;T",COUNTIFS($A$2:A1402,A1402,$F$2:F1402,"C&amp;T")=1),1,0))</f>
        <v>0</v>
      </c>
    </row>
    <row r="1403" spans="1:16" x14ac:dyDescent="0.35">
      <c r="A1403" s="54" t="str">
        <f>IFERROR(IF(INDEX(SPOT_Import!$A$1:$Z$2488,1403,'Live Data'!$C$12)="","",INDEX(SPOT_Import!$A$1:$Z$2488,1403,'Live Data'!$C$12)),"")</f>
        <v/>
      </c>
      <c r="B1403" s="54" t="str">
        <f>IFERROR(IF(INDEX(SPOT_Import!$A$1:$Z$2488,1403,'Live Data'!$C$13)="","",INDEX(SPOT_Import!$A$1:$Z$2488,1403,'Live Data'!$C$13)),"")</f>
        <v/>
      </c>
      <c r="C1403" s="54" t="str">
        <f>IFERROR(IF(INDEX(SPOT_Import!$A$1:$Z$2488,1403,'Live Data'!$C$14)="","",INDEX(SPOT_Import!$A$1:$Z$2488,1403,'Live Data'!$C$14)),"")</f>
        <v/>
      </c>
      <c r="D1403" s="54" t="str">
        <f>IFERROR(IF(INDEX(SPOT_Import!$A$1:$Z$2488,1403,'Live Data'!$C$15)="","",INDEX(SPOT_Import!$A$1:$Z$2488,1403,'Live Data'!$C$15)),"")</f>
        <v/>
      </c>
      <c r="E1403" s="54" t="str">
        <f>IFERROR(IF(INDEX(SPOT_Import!$A$1:$Z$2488,1403,'Live Data'!$C$16)="","",INDEX(SPOT_Import!$A$1:$Z$2488,1403,'Live Data'!$C$16)),"")</f>
        <v/>
      </c>
      <c r="F1403" s="54" t="str">
        <f>IFERROR(IF(INDEX(SPOT_Import!$A$1:$Z$2488,1403,'Live Data'!$C$17)="","",INDEX(SPOT_Import!$A$1:$Z$2488,1403,'Live Data'!$C$17)),"")</f>
        <v/>
      </c>
      <c r="G1403" s="54" t="str">
        <f>IFERROR(IF(INDEX(SPOT_Import!$A$1:$Z$2488,1403,'Live Data'!$C$18)="","",INDEX(SPOT_Import!$A$1:$Z$2488,1403,'Live Data'!$C$18)),"")</f>
        <v/>
      </c>
      <c r="H1403" s="54" t="str">
        <f>IFERROR(IF(INDEX(SPOT_Import!$A$1:$Z$2488,1403,'Live Data'!$C$19)="","",INDEX(SPOT_Import!$A$1:$Z$2488,1403,'Live Data'!$C$19)),"")</f>
        <v/>
      </c>
      <c r="I1403" s="54" t="str">
        <f>IFERROR(IF(INDEX(SPOT_Import!$A$1:$Z$2488,1403,'Live Data'!$C$20)="","",INDEX(SPOT_Import!$A$1:$Z$2488,1403,'Live Data'!$C$20)),"")</f>
        <v/>
      </c>
      <c r="J1403" s="54" t="str">
        <f>IFERROR(IF(INDEX(SPOT_Import!$A$1:$Z$2488,1403,'Live Data'!$C$21)="","",INDEX(SPOT_Import!$A$1:$Z$2488,1403,'Live Data'!$C$21)),"")</f>
        <v/>
      </c>
      <c r="K1403" s="54" t="str">
        <f>IFERROR(IF(INDEX(SPOT_Import!$A$1:$Z$2488,1403,'Live Data'!$C$22)="","",INDEX(SPOT_Import!$A$1:$Z$2488,1403,'Live Data'!$C$22)),"")</f>
        <v/>
      </c>
      <c r="L1403" s="55" t="str">
        <f t="shared" si="42"/>
        <v/>
      </c>
      <c r="M1403" s="55" t="str">
        <f t="shared" si="43"/>
        <v/>
      </c>
      <c r="N1403" s="55" t="str">
        <f>IF(A1403="","",IFERROR(INDEX('Cluster Map'!$A$4:$A$38,MATCH(M1403,'Cluster Map'!$B$4:$B$38,0)),"Unmapped"))</f>
        <v/>
      </c>
      <c r="O1403" s="55">
        <f>IF(A1403="",0,IF(COUNTIFS($A$2:A1403,A1403,$F$2:F1403,F1403,$L$2:L1403,L1403)=1,1,0))</f>
        <v>0</v>
      </c>
      <c r="P1403" s="55">
        <f>IF(A1403="",0,IF(AND(F1403="C&amp;T",COUNTIFS($A$2:A1403,A1403,$F$2:F1403,"C&amp;T")=1),1,0))</f>
        <v>0</v>
      </c>
    </row>
    <row r="1404" spans="1:16" x14ac:dyDescent="0.35">
      <c r="A1404" s="54" t="str">
        <f>IFERROR(IF(INDEX(SPOT_Import!$A$1:$Z$2488,1404,'Live Data'!$C$12)="","",INDEX(SPOT_Import!$A$1:$Z$2488,1404,'Live Data'!$C$12)),"")</f>
        <v/>
      </c>
      <c r="B1404" s="54" t="str">
        <f>IFERROR(IF(INDEX(SPOT_Import!$A$1:$Z$2488,1404,'Live Data'!$C$13)="","",INDEX(SPOT_Import!$A$1:$Z$2488,1404,'Live Data'!$C$13)),"")</f>
        <v/>
      </c>
      <c r="C1404" s="54" t="str">
        <f>IFERROR(IF(INDEX(SPOT_Import!$A$1:$Z$2488,1404,'Live Data'!$C$14)="","",INDEX(SPOT_Import!$A$1:$Z$2488,1404,'Live Data'!$C$14)),"")</f>
        <v/>
      </c>
      <c r="D1404" s="54" t="str">
        <f>IFERROR(IF(INDEX(SPOT_Import!$A$1:$Z$2488,1404,'Live Data'!$C$15)="","",INDEX(SPOT_Import!$A$1:$Z$2488,1404,'Live Data'!$C$15)),"")</f>
        <v/>
      </c>
      <c r="E1404" s="54" t="str">
        <f>IFERROR(IF(INDEX(SPOT_Import!$A$1:$Z$2488,1404,'Live Data'!$C$16)="","",INDEX(SPOT_Import!$A$1:$Z$2488,1404,'Live Data'!$C$16)),"")</f>
        <v/>
      </c>
      <c r="F1404" s="54" t="str">
        <f>IFERROR(IF(INDEX(SPOT_Import!$A$1:$Z$2488,1404,'Live Data'!$C$17)="","",INDEX(SPOT_Import!$A$1:$Z$2488,1404,'Live Data'!$C$17)),"")</f>
        <v/>
      </c>
      <c r="G1404" s="54" t="str">
        <f>IFERROR(IF(INDEX(SPOT_Import!$A$1:$Z$2488,1404,'Live Data'!$C$18)="","",INDEX(SPOT_Import!$A$1:$Z$2488,1404,'Live Data'!$C$18)),"")</f>
        <v/>
      </c>
      <c r="H1404" s="54" t="str">
        <f>IFERROR(IF(INDEX(SPOT_Import!$A$1:$Z$2488,1404,'Live Data'!$C$19)="","",INDEX(SPOT_Import!$A$1:$Z$2488,1404,'Live Data'!$C$19)),"")</f>
        <v/>
      </c>
      <c r="I1404" s="54" t="str">
        <f>IFERROR(IF(INDEX(SPOT_Import!$A$1:$Z$2488,1404,'Live Data'!$C$20)="","",INDEX(SPOT_Import!$A$1:$Z$2488,1404,'Live Data'!$C$20)),"")</f>
        <v/>
      </c>
      <c r="J1404" s="54" t="str">
        <f>IFERROR(IF(INDEX(SPOT_Import!$A$1:$Z$2488,1404,'Live Data'!$C$21)="","",INDEX(SPOT_Import!$A$1:$Z$2488,1404,'Live Data'!$C$21)),"")</f>
        <v/>
      </c>
      <c r="K1404" s="54" t="str">
        <f>IFERROR(IF(INDEX(SPOT_Import!$A$1:$Z$2488,1404,'Live Data'!$C$22)="","",INDEX(SPOT_Import!$A$1:$Z$2488,1404,'Live Data'!$C$22)),"")</f>
        <v/>
      </c>
      <c r="L1404" s="55" t="str">
        <f t="shared" si="42"/>
        <v/>
      </c>
      <c r="M1404" s="55" t="str">
        <f t="shared" si="43"/>
        <v/>
      </c>
      <c r="N1404" s="55" t="str">
        <f>IF(A1404="","",IFERROR(INDEX('Cluster Map'!$A$4:$A$38,MATCH(M1404,'Cluster Map'!$B$4:$B$38,0)),"Unmapped"))</f>
        <v/>
      </c>
      <c r="O1404" s="55">
        <f>IF(A1404="",0,IF(COUNTIFS($A$2:A1404,A1404,$F$2:F1404,F1404,$L$2:L1404,L1404)=1,1,0))</f>
        <v>0</v>
      </c>
      <c r="P1404" s="55">
        <f>IF(A1404="",0,IF(AND(F1404="C&amp;T",COUNTIFS($A$2:A1404,A1404,$F$2:F1404,"C&amp;T")=1),1,0))</f>
        <v>0</v>
      </c>
    </row>
    <row r="1405" spans="1:16" x14ac:dyDescent="0.35">
      <c r="A1405" s="54" t="str">
        <f>IFERROR(IF(INDEX(SPOT_Import!$A$1:$Z$2488,1405,'Live Data'!$C$12)="","",INDEX(SPOT_Import!$A$1:$Z$2488,1405,'Live Data'!$C$12)),"")</f>
        <v/>
      </c>
      <c r="B1405" s="54" t="str">
        <f>IFERROR(IF(INDEX(SPOT_Import!$A$1:$Z$2488,1405,'Live Data'!$C$13)="","",INDEX(SPOT_Import!$A$1:$Z$2488,1405,'Live Data'!$C$13)),"")</f>
        <v/>
      </c>
      <c r="C1405" s="54" t="str">
        <f>IFERROR(IF(INDEX(SPOT_Import!$A$1:$Z$2488,1405,'Live Data'!$C$14)="","",INDEX(SPOT_Import!$A$1:$Z$2488,1405,'Live Data'!$C$14)),"")</f>
        <v/>
      </c>
      <c r="D1405" s="54" t="str">
        <f>IFERROR(IF(INDEX(SPOT_Import!$A$1:$Z$2488,1405,'Live Data'!$C$15)="","",INDEX(SPOT_Import!$A$1:$Z$2488,1405,'Live Data'!$C$15)),"")</f>
        <v/>
      </c>
      <c r="E1405" s="54" t="str">
        <f>IFERROR(IF(INDEX(SPOT_Import!$A$1:$Z$2488,1405,'Live Data'!$C$16)="","",INDEX(SPOT_Import!$A$1:$Z$2488,1405,'Live Data'!$C$16)),"")</f>
        <v/>
      </c>
      <c r="F1405" s="54" t="str">
        <f>IFERROR(IF(INDEX(SPOT_Import!$A$1:$Z$2488,1405,'Live Data'!$C$17)="","",INDEX(SPOT_Import!$A$1:$Z$2488,1405,'Live Data'!$C$17)),"")</f>
        <v/>
      </c>
      <c r="G1405" s="54" t="str">
        <f>IFERROR(IF(INDEX(SPOT_Import!$A$1:$Z$2488,1405,'Live Data'!$C$18)="","",INDEX(SPOT_Import!$A$1:$Z$2488,1405,'Live Data'!$C$18)),"")</f>
        <v/>
      </c>
      <c r="H1405" s="54" t="str">
        <f>IFERROR(IF(INDEX(SPOT_Import!$A$1:$Z$2488,1405,'Live Data'!$C$19)="","",INDEX(SPOT_Import!$A$1:$Z$2488,1405,'Live Data'!$C$19)),"")</f>
        <v/>
      </c>
      <c r="I1405" s="54" t="str">
        <f>IFERROR(IF(INDEX(SPOT_Import!$A$1:$Z$2488,1405,'Live Data'!$C$20)="","",INDEX(SPOT_Import!$A$1:$Z$2488,1405,'Live Data'!$C$20)),"")</f>
        <v/>
      </c>
      <c r="J1405" s="54" t="str">
        <f>IFERROR(IF(INDEX(SPOT_Import!$A$1:$Z$2488,1405,'Live Data'!$C$21)="","",INDEX(SPOT_Import!$A$1:$Z$2488,1405,'Live Data'!$C$21)),"")</f>
        <v/>
      </c>
      <c r="K1405" s="54" t="str">
        <f>IFERROR(IF(INDEX(SPOT_Import!$A$1:$Z$2488,1405,'Live Data'!$C$22)="","",INDEX(SPOT_Import!$A$1:$Z$2488,1405,'Live Data'!$C$22)),"")</f>
        <v/>
      </c>
      <c r="L1405" s="55" t="str">
        <f t="shared" si="42"/>
        <v/>
      </c>
      <c r="M1405" s="55" t="str">
        <f t="shared" si="43"/>
        <v/>
      </c>
      <c r="N1405" s="55" t="str">
        <f>IF(A1405="","",IFERROR(INDEX('Cluster Map'!$A$4:$A$38,MATCH(M1405,'Cluster Map'!$B$4:$B$38,0)),"Unmapped"))</f>
        <v/>
      </c>
      <c r="O1405" s="55">
        <f>IF(A1405="",0,IF(COUNTIFS($A$2:A1405,A1405,$F$2:F1405,F1405,$L$2:L1405,L1405)=1,1,0))</f>
        <v>0</v>
      </c>
      <c r="P1405" s="55">
        <f>IF(A1405="",0,IF(AND(F1405="C&amp;T",COUNTIFS($A$2:A1405,A1405,$F$2:F1405,"C&amp;T")=1),1,0))</f>
        <v>0</v>
      </c>
    </row>
    <row r="1406" spans="1:16" x14ac:dyDescent="0.35">
      <c r="A1406" s="54" t="str">
        <f>IFERROR(IF(INDEX(SPOT_Import!$A$1:$Z$2488,1406,'Live Data'!$C$12)="","",INDEX(SPOT_Import!$A$1:$Z$2488,1406,'Live Data'!$C$12)),"")</f>
        <v/>
      </c>
      <c r="B1406" s="54" t="str">
        <f>IFERROR(IF(INDEX(SPOT_Import!$A$1:$Z$2488,1406,'Live Data'!$C$13)="","",INDEX(SPOT_Import!$A$1:$Z$2488,1406,'Live Data'!$C$13)),"")</f>
        <v/>
      </c>
      <c r="C1406" s="54" t="str">
        <f>IFERROR(IF(INDEX(SPOT_Import!$A$1:$Z$2488,1406,'Live Data'!$C$14)="","",INDEX(SPOT_Import!$A$1:$Z$2488,1406,'Live Data'!$C$14)),"")</f>
        <v/>
      </c>
      <c r="D1406" s="54" t="str">
        <f>IFERROR(IF(INDEX(SPOT_Import!$A$1:$Z$2488,1406,'Live Data'!$C$15)="","",INDEX(SPOT_Import!$A$1:$Z$2488,1406,'Live Data'!$C$15)),"")</f>
        <v/>
      </c>
      <c r="E1406" s="54" t="str">
        <f>IFERROR(IF(INDEX(SPOT_Import!$A$1:$Z$2488,1406,'Live Data'!$C$16)="","",INDEX(SPOT_Import!$A$1:$Z$2488,1406,'Live Data'!$C$16)),"")</f>
        <v/>
      </c>
      <c r="F1406" s="54" t="str">
        <f>IFERROR(IF(INDEX(SPOT_Import!$A$1:$Z$2488,1406,'Live Data'!$C$17)="","",INDEX(SPOT_Import!$A$1:$Z$2488,1406,'Live Data'!$C$17)),"")</f>
        <v/>
      </c>
      <c r="G1406" s="54" t="str">
        <f>IFERROR(IF(INDEX(SPOT_Import!$A$1:$Z$2488,1406,'Live Data'!$C$18)="","",INDEX(SPOT_Import!$A$1:$Z$2488,1406,'Live Data'!$C$18)),"")</f>
        <v/>
      </c>
      <c r="H1406" s="54" t="str">
        <f>IFERROR(IF(INDEX(SPOT_Import!$A$1:$Z$2488,1406,'Live Data'!$C$19)="","",INDEX(SPOT_Import!$A$1:$Z$2488,1406,'Live Data'!$C$19)),"")</f>
        <v/>
      </c>
      <c r="I1406" s="54" t="str">
        <f>IFERROR(IF(INDEX(SPOT_Import!$A$1:$Z$2488,1406,'Live Data'!$C$20)="","",INDEX(SPOT_Import!$A$1:$Z$2488,1406,'Live Data'!$C$20)),"")</f>
        <v/>
      </c>
      <c r="J1406" s="54" t="str">
        <f>IFERROR(IF(INDEX(SPOT_Import!$A$1:$Z$2488,1406,'Live Data'!$C$21)="","",INDEX(SPOT_Import!$A$1:$Z$2488,1406,'Live Data'!$C$21)),"")</f>
        <v/>
      </c>
      <c r="K1406" s="54" t="str">
        <f>IFERROR(IF(INDEX(SPOT_Import!$A$1:$Z$2488,1406,'Live Data'!$C$22)="","",INDEX(SPOT_Import!$A$1:$Z$2488,1406,'Live Data'!$C$22)),"")</f>
        <v/>
      </c>
      <c r="L1406" s="55" t="str">
        <f t="shared" si="42"/>
        <v/>
      </c>
      <c r="M1406" s="55" t="str">
        <f t="shared" si="43"/>
        <v/>
      </c>
      <c r="N1406" s="55" t="str">
        <f>IF(A1406="","",IFERROR(INDEX('Cluster Map'!$A$4:$A$38,MATCH(M1406,'Cluster Map'!$B$4:$B$38,0)),"Unmapped"))</f>
        <v/>
      </c>
      <c r="O1406" s="55">
        <f>IF(A1406="",0,IF(COUNTIFS($A$2:A1406,A1406,$F$2:F1406,F1406,$L$2:L1406,L1406)=1,1,0))</f>
        <v>0</v>
      </c>
      <c r="P1406" s="55">
        <f>IF(A1406="",0,IF(AND(F1406="C&amp;T",COUNTIFS($A$2:A1406,A1406,$F$2:F1406,"C&amp;T")=1),1,0))</f>
        <v>0</v>
      </c>
    </row>
    <row r="1407" spans="1:16" x14ac:dyDescent="0.35">
      <c r="A1407" s="54" t="str">
        <f>IFERROR(IF(INDEX(SPOT_Import!$A$1:$Z$2488,1407,'Live Data'!$C$12)="","",INDEX(SPOT_Import!$A$1:$Z$2488,1407,'Live Data'!$C$12)),"")</f>
        <v/>
      </c>
      <c r="B1407" s="54" t="str">
        <f>IFERROR(IF(INDEX(SPOT_Import!$A$1:$Z$2488,1407,'Live Data'!$C$13)="","",INDEX(SPOT_Import!$A$1:$Z$2488,1407,'Live Data'!$C$13)),"")</f>
        <v/>
      </c>
      <c r="C1407" s="54" t="str">
        <f>IFERROR(IF(INDEX(SPOT_Import!$A$1:$Z$2488,1407,'Live Data'!$C$14)="","",INDEX(SPOT_Import!$A$1:$Z$2488,1407,'Live Data'!$C$14)),"")</f>
        <v/>
      </c>
      <c r="D1407" s="54" t="str">
        <f>IFERROR(IF(INDEX(SPOT_Import!$A$1:$Z$2488,1407,'Live Data'!$C$15)="","",INDEX(SPOT_Import!$A$1:$Z$2488,1407,'Live Data'!$C$15)),"")</f>
        <v/>
      </c>
      <c r="E1407" s="54" t="str">
        <f>IFERROR(IF(INDEX(SPOT_Import!$A$1:$Z$2488,1407,'Live Data'!$C$16)="","",INDEX(SPOT_Import!$A$1:$Z$2488,1407,'Live Data'!$C$16)),"")</f>
        <v/>
      </c>
      <c r="F1407" s="54" t="str">
        <f>IFERROR(IF(INDEX(SPOT_Import!$A$1:$Z$2488,1407,'Live Data'!$C$17)="","",INDEX(SPOT_Import!$A$1:$Z$2488,1407,'Live Data'!$C$17)),"")</f>
        <v/>
      </c>
      <c r="G1407" s="54" t="str">
        <f>IFERROR(IF(INDEX(SPOT_Import!$A$1:$Z$2488,1407,'Live Data'!$C$18)="","",INDEX(SPOT_Import!$A$1:$Z$2488,1407,'Live Data'!$C$18)),"")</f>
        <v/>
      </c>
      <c r="H1407" s="54" t="str">
        <f>IFERROR(IF(INDEX(SPOT_Import!$A$1:$Z$2488,1407,'Live Data'!$C$19)="","",INDEX(SPOT_Import!$A$1:$Z$2488,1407,'Live Data'!$C$19)),"")</f>
        <v/>
      </c>
      <c r="I1407" s="54" t="str">
        <f>IFERROR(IF(INDEX(SPOT_Import!$A$1:$Z$2488,1407,'Live Data'!$C$20)="","",INDEX(SPOT_Import!$A$1:$Z$2488,1407,'Live Data'!$C$20)),"")</f>
        <v/>
      </c>
      <c r="J1407" s="54" t="str">
        <f>IFERROR(IF(INDEX(SPOT_Import!$A$1:$Z$2488,1407,'Live Data'!$C$21)="","",INDEX(SPOT_Import!$A$1:$Z$2488,1407,'Live Data'!$C$21)),"")</f>
        <v/>
      </c>
      <c r="K1407" s="54" t="str">
        <f>IFERROR(IF(INDEX(SPOT_Import!$A$1:$Z$2488,1407,'Live Data'!$C$22)="","",INDEX(SPOT_Import!$A$1:$Z$2488,1407,'Live Data'!$C$22)),"")</f>
        <v/>
      </c>
      <c r="L1407" s="55" t="str">
        <f t="shared" si="42"/>
        <v/>
      </c>
      <c r="M1407" s="55" t="str">
        <f t="shared" si="43"/>
        <v/>
      </c>
      <c r="N1407" s="55" t="str">
        <f>IF(A1407="","",IFERROR(INDEX('Cluster Map'!$A$4:$A$38,MATCH(M1407,'Cluster Map'!$B$4:$B$38,0)),"Unmapped"))</f>
        <v/>
      </c>
      <c r="O1407" s="55">
        <f>IF(A1407="",0,IF(COUNTIFS($A$2:A1407,A1407,$F$2:F1407,F1407,$L$2:L1407,L1407)=1,1,0))</f>
        <v>0</v>
      </c>
      <c r="P1407" s="55">
        <f>IF(A1407="",0,IF(AND(F1407="C&amp;T",COUNTIFS($A$2:A1407,A1407,$F$2:F1407,"C&amp;T")=1),1,0))</f>
        <v>0</v>
      </c>
    </row>
    <row r="1408" spans="1:16" x14ac:dyDescent="0.35">
      <c r="A1408" s="54" t="str">
        <f>IFERROR(IF(INDEX(SPOT_Import!$A$1:$Z$2488,1408,'Live Data'!$C$12)="","",INDEX(SPOT_Import!$A$1:$Z$2488,1408,'Live Data'!$C$12)),"")</f>
        <v/>
      </c>
      <c r="B1408" s="54" t="str">
        <f>IFERROR(IF(INDEX(SPOT_Import!$A$1:$Z$2488,1408,'Live Data'!$C$13)="","",INDEX(SPOT_Import!$A$1:$Z$2488,1408,'Live Data'!$C$13)),"")</f>
        <v/>
      </c>
      <c r="C1408" s="54" t="str">
        <f>IFERROR(IF(INDEX(SPOT_Import!$A$1:$Z$2488,1408,'Live Data'!$C$14)="","",INDEX(SPOT_Import!$A$1:$Z$2488,1408,'Live Data'!$C$14)),"")</f>
        <v/>
      </c>
      <c r="D1408" s="54" t="str">
        <f>IFERROR(IF(INDEX(SPOT_Import!$A$1:$Z$2488,1408,'Live Data'!$C$15)="","",INDEX(SPOT_Import!$A$1:$Z$2488,1408,'Live Data'!$C$15)),"")</f>
        <v/>
      </c>
      <c r="E1408" s="54" t="str">
        <f>IFERROR(IF(INDEX(SPOT_Import!$A$1:$Z$2488,1408,'Live Data'!$C$16)="","",INDEX(SPOT_Import!$A$1:$Z$2488,1408,'Live Data'!$C$16)),"")</f>
        <v/>
      </c>
      <c r="F1408" s="54" t="str">
        <f>IFERROR(IF(INDEX(SPOT_Import!$A$1:$Z$2488,1408,'Live Data'!$C$17)="","",INDEX(SPOT_Import!$A$1:$Z$2488,1408,'Live Data'!$C$17)),"")</f>
        <v/>
      </c>
      <c r="G1408" s="54" t="str">
        <f>IFERROR(IF(INDEX(SPOT_Import!$A$1:$Z$2488,1408,'Live Data'!$C$18)="","",INDEX(SPOT_Import!$A$1:$Z$2488,1408,'Live Data'!$C$18)),"")</f>
        <v/>
      </c>
      <c r="H1408" s="54" t="str">
        <f>IFERROR(IF(INDEX(SPOT_Import!$A$1:$Z$2488,1408,'Live Data'!$C$19)="","",INDEX(SPOT_Import!$A$1:$Z$2488,1408,'Live Data'!$C$19)),"")</f>
        <v/>
      </c>
      <c r="I1408" s="54" t="str">
        <f>IFERROR(IF(INDEX(SPOT_Import!$A$1:$Z$2488,1408,'Live Data'!$C$20)="","",INDEX(SPOT_Import!$A$1:$Z$2488,1408,'Live Data'!$C$20)),"")</f>
        <v/>
      </c>
      <c r="J1408" s="54" t="str">
        <f>IFERROR(IF(INDEX(SPOT_Import!$A$1:$Z$2488,1408,'Live Data'!$C$21)="","",INDEX(SPOT_Import!$A$1:$Z$2488,1408,'Live Data'!$C$21)),"")</f>
        <v/>
      </c>
      <c r="K1408" s="54" t="str">
        <f>IFERROR(IF(INDEX(SPOT_Import!$A$1:$Z$2488,1408,'Live Data'!$C$22)="","",INDEX(SPOT_Import!$A$1:$Z$2488,1408,'Live Data'!$C$22)),"")</f>
        <v/>
      </c>
      <c r="L1408" s="55" t="str">
        <f t="shared" si="42"/>
        <v/>
      </c>
      <c r="M1408" s="55" t="str">
        <f t="shared" si="43"/>
        <v/>
      </c>
      <c r="N1408" s="55" t="str">
        <f>IF(A1408="","",IFERROR(INDEX('Cluster Map'!$A$4:$A$38,MATCH(M1408,'Cluster Map'!$B$4:$B$38,0)),"Unmapped"))</f>
        <v/>
      </c>
      <c r="O1408" s="55">
        <f>IF(A1408="",0,IF(COUNTIFS($A$2:A1408,A1408,$F$2:F1408,F1408,$L$2:L1408,L1408)=1,1,0))</f>
        <v>0</v>
      </c>
      <c r="P1408" s="55">
        <f>IF(A1408="",0,IF(AND(F1408="C&amp;T",COUNTIFS($A$2:A1408,A1408,$F$2:F1408,"C&amp;T")=1),1,0))</f>
        <v>0</v>
      </c>
    </row>
    <row r="1409" spans="1:16" x14ac:dyDescent="0.35">
      <c r="A1409" s="54" t="str">
        <f>IFERROR(IF(INDEX(SPOT_Import!$A$1:$Z$2488,1409,'Live Data'!$C$12)="","",INDEX(SPOT_Import!$A$1:$Z$2488,1409,'Live Data'!$C$12)),"")</f>
        <v/>
      </c>
      <c r="B1409" s="54" t="str">
        <f>IFERROR(IF(INDEX(SPOT_Import!$A$1:$Z$2488,1409,'Live Data'!$C$13)="","",INDEX(SPOT_Import!$A$1:$Z$2488,1409,'Live Data'!$C$13)),"")</f>
        <v/>
      </c>
      <c r="C1409" s="54" t="str">
        <f>IFERROR(IF(INDEX(SPOT_Import!$A$1:$Z$2488,1409,'Live Data'!$C$14)="","",INDEX(SPOT_Import!$A$1:$Z$2488,1409,'Live Data'!$C$14)),"")</f>
        <v/>
      </c>
      <c r="D1409" s="54" t="str">
        <f>IFERROR(IF(INDEX(SPOT_Import!$A$1:$Z$2488,1409,'Live Data'!$C$15)="","",INDEX(SPOT_Import!$A$1:$Z$2488,1409,'Live Data'!$C$15)),"")</f>
        <v/>
      </c>
      <c r="E1409" s="54" t="str">
        <f>IFERROR(IF(INDEX(SPOT_Import!$A$1:$Z$2488,1409,'Live Data'!$C$16)="","",INDEX(SPOT_Import!$A$1:$Z$2488,1409,'Live Data'!$C$16)),"")</f>
        <v/>
      </c>
      <c r="F1409" s="54" t="str">
        <f>IFERROR(IF(INDEX(SPOT_Import!$A$1:$Z$2488,1409,'Live Data'!$C$17)="","",INDEX(SPOT_Import!$A$1:$Z$2488,1409,'Live Data'!$C$17)),"")</f>
        <v/>
      </c>
      <c r="G1409" s="54" t="str">
        <f>IFERROR(IF(INDEX(SPOT_Import!$A$1:$Z$2488,1409,'Live Data'!$C$18)="","",INDEX(SPOT_Import!$A$1:$Z$2488,1409,'Live Data'!$C$18)),"")</f>
        <v/>
      </c>
      <c r="H1409" s="54" t="str">
        <f>IFERROR(IF(INDEX(SPOT_Import!$A$1:$Z$2488,1409,'Live Data'!$C$19)="","",INDEX(SPOT_Import!$A$1:$Z$2488,1409,'Live Data'!$C$19)),"")</f>
        <v/>
      </c>
      <c r="I1409" s="54" t="str">
        <f>IFERROR(IF(INDEX(SPOT_Import!$A$1:$Z$2488,1409,'Live Data'!$C$20)="","",INDEX(SPOT_Import!$A$1:$Z$2488,1409,'Live Data'!$C$20)),"")</f>
        <v/>
      </c>
      <c r="J1409" s="54" t="str">
        <f>IFERROR(IF(INDEX(SPOT_Import!$A$1:$Z$2488,1409,'Live Data'!$C$21)="","",INDEX(SPOT_Import!$A$1:$Z$2488,1409,'Live Data'!$C$21)),"")</f>
        <v/>
      </c>
      <c r="K1409" s="54" t="str">
        <f>IFERROR(IF(INDEX(SPOT_Import!$A$1:$Z$2488,1409,'Live Data'!$C$22)="","",INDEX(SPOT_Import!$A$1:$Z$2488,1409,'Live Data'!$C$22)),"")</f>
        <v/>
      </c>
      <c r="L1409" s="55" t="str">
        <f t="shared" si="42"/>
        <v/>
      </c>
      <c r="M1409" s="55" t="str">
        <f t="shared" si="43"/>
        <v/>
      </c>
      <c r="N1409" s="55" t="str">
        <f>IF(A1409="","",IFERROR(INDEX('Cluster Map'!$A$4:$A$38,MATCH(M1409,'Cluster Map'!$B$4:$B$38,0)),"Unmapped"))</f>
        <v/>
      </c>
      <c r="O1409" s="55">
        <f>IF(A1409="",0,IF(COUNTIFS($A$2:A1409,A1409,$F$2:F1409,F1409,$L$2:L1409,L1409)=1,1,0))</f>
        <v>0</v>
      </c>
      <c r="P1409" s="55">
        <f>IF(A1409="",0,IF(AND(F1409="C&amp;T",COUNTIFS($A$2:A1409,A1409,$F$2:F1409,"C&amp;T")=1),1,0))</f>
        <v>0</v>
      </c>
    </row>
    <row r="1410" spans="1:16" x14ac:dyDescent="0.35">
      <c r="A1410" s="54" t="str">
        <f>IFERROR(IF(INDEX(SPOT_Import!$A$1:$Z$2488,1410,'Live Data'!$C$12)="","",INDEX(SPOT_Import!$A$1:$Z$2488,1410,'Live Data'!$C$12)),"")</f>
        <v/>
      </c>
      <c r="B1410" s="54" t="str">
        <f>IFERROR(IF(INDEX(SPOT_Import!$A$1:$Z$2488,1410,'Live Data'!$C$13)="","",INDEX(SPOT_Import!$A$1:$Z$2488,1410,'Live Data'!$C$13)),"")</f>
        <v/>
      </c>
      <c r="C1410" s="54" t="str">
        <f>IFERROR(IF(INDEX(SPOT_Import!$A$1:$Z$2488,1410,'Live Data'!$C$14)="","",INDEX(SPOT_Import!$A$1:$Z$2488,1410,'Live Data'!$C$14)),"")</f>
        <v/>
      </c>
      <c r="D1410" s="54" t="str">
        <f>IFERROR(IF(INDEX(SPOT_Import!$A$1:$Z$2488,1410,'Live Data'!$C$15)="","",INDEX(SPOT_Import!$A$1:$Z$2488,1410,'Live Data'!$C$15)),"")</f>
        <v/>
      </c>
      <c r="E1410" s="54" t="str">
        <f>IFERROR(IF(INDEX(SPOT_Import!$A$1:$Z$2488,1410,'Live Data'!$C$16)="","",INDEX(SPOT_Import!$A$1:$Z$2488,1410,'Live Data'!$C$16)),"")</f>
        <v/>
      </c>
      <c r="F1410" s="54" t="str">
        <f>IFERROR(IF(INDEX(SPOT_Import!$A$1:$Z$2488,1410,'Live Data'!$C$17)="","",INDEX(SPOT_Import!$A$1:$Z$2488,1410,'Live Data'!$C$17)),"")</f>
        <v/>
      </c>
      <c r="G1410" s="54" t="str">
        <f>IFERROR(IF(INDEX(SPOT_Import!$A$1:$Z$2488,1410,'Live Data'!$C$18)="","",INDEX(SPOT_Import!$A$1:$Z$2488,1410,'Live Data'!$C$18)),"")</f>
        <v/>
      </c>
      <c r="H1410" s="54" t="str">
        <f>IFERROR(IF(INDEX(SPOT_Import!$A$1:$Z$2488,1410,'Live Data'!$C$19)="","",INDEX(SPOT_Import!$A$1:$Z$2488,1410,'Live Data'!$C$19)),"")</f>
        <v/>
      </c>
      <c r="I1410" s="54" t="str">
        <f>IFERROR(IF(INDEX(SPOT_Import!$A$1:$Z$2488,1410,'Live Data'!$C$20)="","",INDEX(SPOT_Import!$A$1:$Z$2488,1410,'Live Data'!$C$20)),"")</f>
        <v/>
      </c>
      <c r="J1410" s="54" t="str">
        <f>IFERROR(IF(INDEX(SPOT_Import!$A$1:$Z$2488,1410,'Live Data'!$C$21)="","",INDEX(SPOT_Import!$A$1:$Z$2488,1410,'Live Data'!$C$21)),"")</f>
        <v/>
      </c>
      <c r="K1410" s="54" t="str">
        <f>IFERROR(IF(INDEX(SPOT_Import!$A$1:$Z$2488,1410,'Live Data'!$C$22)="","",INDEX(SPOT_Import!$A$1:$Z$2488,1410,'Live Data'!$C$22)),"")</f>
        <v/>
      </c>
      <c r="L1410" s="55" t="str">
        <f t="shared" ref="L1410:L1473" si="44">IF(A1410="","",IF(ISNUMBER(K1410),TEXT(K1410,"yyyy-mm"),LEFT(K1410,7)))</f>
        <v/>
      </c>
      <c r="M1410" s="55" t="str">
        <f t="shared" ref="M1410:M1473" si="45">IF(A1410="","",UPPER(TRIM(SUBSTITUTE(C1410," - ","-"))))</f>
        <v/>
      </c>
      <c r="N1410" s="55" t="str">
        <f>IF(A1410="","",IFERROR(INDEX('Cluster Map'!$A$4:$A$38,MATCH(M1410,'Cluster Map'!$B$4:$B$38,0)),"Unmapped"))</f>
        <v/>
      </c>
      <c r="O1410" s="55">
        <f>IF(A1410="",0,IF(COUNTIFS($A$2:A1410,A1410,$F$2:F1410,F1410,$L$2:L1410,L1410)=1,1,0))</f>
        <v>0</v>
      </c>
      <c r="P1410" s="55">
        <f>IF(A1410="",0,IF(AND(F1410="C&amp;T",COUNTIFS($A$2:A1410,A1410,$F$2:F1410,"C&amp;T")=1),1,0))</f>
        <v>0</v>
      </c>
    </row>
    <row r="1411" spans="1:16" x14ac:dyDescent="0.35">
      <c r="A1411" s="54" t="str">
        <f>IFERROR(IF(INDEX(SPOT_Import!$A$1:$Z$2488,1411,'Live Data'!$C$12)="","",INDEX(SPOT_Import!$A$1:$Z$2488,1411,'Live Data'!$C$12)),"")</f>
        <v/>
      </c>
      <c r="B1411" s="54" t="str">
        <f>IFERROR(IF(INDEX(SPOT_Import!$A$1:$Z$2488,1411,'Live Data'!$C$13)="","",INDEX(SPOT_Import!$A$1:$Z$2488,1411,'Live Data'!$C$13)),"")</f>
        <v/>
      </c>
      <c r="C1411" s="54" t="str">
        <f>IFERROR(IF(INDEX(SPOT_Import!$A$1:$Z$2488,1411,'Live Data'!$C$14)="","",INDEX(SPOT_Import!$A$1:$Z$2488,1411,'Live Data'!$C$14)),"")</f>
        <v/>
      </c>
      <c r="D1411" s="54" t="str">
        <f>IFERROR(IF(INDEX(SPOT_Import!$A$1:$Z$2488,1411,'Live Data'!$C$15)="","",INDEX(SPOT_Import!$A$1:$Z$2488,1411,'Live Data'!$C$15)),"")</f>
        <v/>
      </c>
      <c r="E1411" s="54" t="str">
        <f>IFERROR(IF(INDEX(SPOT_Import!$A$1:$Z$2488,1411,'Live Data'!$C$16)="","",INDEX(SPOT_Import!$A$1:$Z$2488,1411,'Live Data'!$C$16)),"")</f>
        <v/>
      </c>
      <c r="F1411" s="54" t="str">
        <f>IFERROR(IF(INDEX(SPOT_Import!$A$1:$Z$2488,1411,'Live Data'!$C$17)="","",INDEX(SPOT_Import!$A$1:$Z$2488,1411,'Live Data'!$C$17)),"")</f>
        <v/>
      </c>
      <c r="G1411" s="54" t="str">
        <f>IFERROR(IF(INDEX(SPOT_Import!$A$1:$Z$2488,1411,'Live Data'!$C$18)="","",INDEX(SPOT_Import!$A$1:$Z$2488,1411,'Live Data'!$C$18)),"")</f>
        <v/>
      </c>
      <c r="H1411" s="54" t="str">
        <f>IFERROR(IF(INDEX(SPOT_Import!$A$1:$Z$2488,1411,'Live Data'!$C$19)="","",INDEX(SPOT_Import!$A$1:$Z$2488,1411,'Live Data'!$C$19)),"")</f>
        <v/>
      </c>
      <c r="I1411" s="54" t="str">
        <f>IFERROR(IF(INDEX(SPOT_Import!$A$1:$Z$2488,1411,'Live Data'!$C$20)="","",INDEX(SPOT_Import!$A$1:$Z$2488,1411,'Live Data'!$C$20)),"")</f>
        <v/>
      </c>
      <c r="J1411" s="54" t="str">
        <f>IFERROR(IF(INDEX(SPOT_Import!$A$1:$Z$2488,1411,'Live Data'!$C$21)="","",INDEX(SPOT_Import!$A$1:$Z$2488,1411,'Live Data'!$C$21)),"")</f>
        <v/>
      </c>
      <c r="K1411" s="54" t="str">
        <f>IFERROR(IF(INDEX(SPOT_Import!$A$1:$Z$2488,1411,'Live Data'!$C$22)="","",INDEX(SPOT_Import!$A$1:$Z$2488,1411,'Live Data'!$C$22)),"")</f>
        <v/>
      </c>
      <c r="L1411" s="55" t="str">
        <f t="shared" si="44"/>
        <v/>
      </c>
      <c r="M1411" s="55" t="str">
        <f t="shared" si="45"/>
        <v/>
      </c>
      <c r="N1411" s="55" t="str">
        <f>IF(A1411="","",IFERROR(INDEX('Cluster Map'!$A$4:$A$38,MATCH(M1411,'Cluster Map'!$B$4:$B$38,0)),"Unmapped"))</f>
        <v/>
      </c>
      <c r="O1411" s="55">
        <f>IF(A1411="",0,IF(COUNTIFS($A$2:A1411,A1411,$F$2:F1411,F1411,$L$2:L1411,L1411)=1,1,0))</f>
        <v>0</v>
      </c>
      <c r="P1411" s="55">
        <f>IF(A1411="",0,IF(AND(F1411="C&amp;T",COUNTIFS($A$2:A1411,A1411,$F$2:F1411,"C&amp;T")=1),1,0))</f>
        <v>0</v>
      </c>
    </row>
    <row r="1412" spans="1:16" x14ac:dyDescent="0.35">
      <c r="A1412" s="54" t="str">
        <f>IFERROR(IF(INDEX(SPOT_Import!$A$1:$Z$2488,1412,'Live Data'!$C$12)="","",INDEX(SPOT_Import!$A$1:$Z$2488,1412,'Live Data'!$C$12)),"")</f>
        <v/>
      </c>
      <c r="B1412" s="54" t="str">
        <f>IFERROR(IF(INDEX(SPOT_Import!$A$1:$Z$2488,1412,'Live Data'!$C$13)="","",INDEX(SPOT_Import!$A$1:$Z$2488,1412,'Live Data'!$C$13)),"")</f>
        <v/>
      </c>
      <c r="C1412" s="54" t="str">
        <f>IFERROR(IF(INDEX(SPOT_Import!$A$1:$Z$2488,1412,'Live Data'!$C$14)="","",INDEX(SPOT_Import!$A$1:$Z$2488,1412,'Live Data'!$C$14)),"")</f>
        <v/>
      </c>
      <c r="D1412" s="54" t="str">
        <f>IFERROR(IF(INDEX(SPOT_Import!$A$1:$Z$2488,1412,'Live Data'!$C$15)="","",INDEX(SPOT_Import!$A$1:$Z$2488,1412,'Live Data'!$C$15)),"")</f>
        <v/>
      </c>
      <c r="E1412" s="54" t="str">
        <f>IFERROR(IF(INDEX(SPOT_Import!$A$1:$Z$2488,1412,'Live Data'!$C$16)="","",INDEX(SPOT_Import!$A$1:$Z$2488,1412,'Live Data'!$C$16)),"")</f>
        <v/>
      </c>
      <c r="F1412" s="54" t="str">
        <f>IFERROR(IF(INDEX(SPOT_Import!$A$1:$Z$2488,1412,'Live Data'!$C$17)="","",INDEX(SPOT_Import!$A$1:$Z$2488,1412,'Live Data'!$C$17)),"")</f>
        <v/>
      </c>
      <c r="G1412" s="54" t="str">
        <f>IFERROR(IF(INDEX(SPOT_Import!$A$1:$Z$2488,1412,'Live Data'!$C$18)="","",INDEX(SPOT_Import!$A$1:$Z$2488,1412,'Live Data'!$C$18)),"")</f>
        <v/>
      </c>
      <c r="H1412" s="54" t="str">
        <f>IFERROR(IF(INDEX(SPOT_Import!$A$1:$Z$2488,1412,'Live Data'!$C$19)="","",INDEX(SPOT_Import!$A$1:$Z$2488,1412,'Live Data'!$C$19)),"")</f>
        <v/>
      </c>
      <c r="I1412" s="54" t="str">
        <f>IFERROR(IF(INDEX(SPOT_Import!$A$1:$Z$2488,1412,'Live Data'!$C$20)="","",INDEX(SPOT_Import!$A$1:$Z$2488,1412,'Live Data'!$C$20)),"")</f>
        <v/>
      </c>
      <c r="J1412" s="54" t="str">
        <f>IFERROR(IF(INDEX(SPOT_Import!$A$1:$Z$2488,1412,'Live Data'!$C$21)="","",INDEX(SPOT_Import!$A$1:$Z$2488,1412,'Live Data'!$C$21)),"")</f>
        <v/>
      </c>
      <c r="K1412" s="54" t="str">
        <f>IFERROR(IF(INDEX(SPOT_Import!$A$1:$Z$2488,1412,'Live Data'!$C$22)="","",INDEX(SPOT_Import!$A$1:$Z$2488,1412,'Live Data'!$C$22)),"")</f>
        <v/>
      </c>
      <c r="L1412" s="55" t="str">
        <f t="shared" si="44"/>
        <v/>
      </c>
      <c r="M1412" s="55" t="str">
        <f t="shared" si="45"/>
        <v/>
      </c>
      <c r="N1412" s="55" t="str">
        <f>IF(A1412="","",IFERROR(INDEX('Cluster Map'!$A$4:$A$38,MATCH(M1412,'Cluster Map'!$B$4:$B$38,0)),"Unmapped"))</f>
        <v/>
      </c>
      <c r="O1412" s="55">
        <f>IF(A1412="",0,IF(COUNTIFS($A$2:A1412,A1412,$F$2:F1412,F1412,$L$2:L1412,L1412)=1,1,0))</f>
        <v>0</v>
      </c>
      <c r="P1412" s="55">
        <f>IF(A1412="",0,IF(AND(F1412="C&amp;T",COUNTIFS($A$2:A1412,A1412,$F$2:F1412,"C&amp;T")=1),1,0))</f>
        <v>0</v>
      </c>
    </row>
    <row r="1413" spans="1:16" x14ac:dyDescent="0.35">
      <c r="A1413" s="54" t="str">
        <f>IFERROR(IF(INDEX(SPOT_Import!$A$1:$Z$2488,1413,'Live Data'!$C$12)="","",INDEX(SPOT_Import!$A$1:$Z$2488,1413,'Live Data'!$C$12)),"")</f>
        <v/>
      </c>
      <c r="B1413" s="54" t="str">
        <f>IFERROR(IF(INDEX(SPOT_Import!$A$1:$Z$2488,1413,'Live Data'!$C$13)="","",INDEX(SPOT_Import!$A$1:$Z$2488,1413,'Live Data'!$C$13)),"")</f>
        <v/>
      </c>
      <c r="C1413" s="54" t="str">
        <f>IFERROR(IF(INDEX(SPOT_Import!$A$1:$Z$2488,1413,'Live Data'!$C$14)="","",INDEX(SPOT_Import!$A$1:$Z$2488,1413,'Live Data'!$C$14)),"")</f>
        <v/>
      </c>
      <c r="D1413" s="54" t="str">
        <f>IFERROR(IF(INDEX(SPOT_Import!$A$1:$Z$2488,1413,'Live Data'!$C$15)="","",INDEX(SPOT_Import!$A$1:$Z$2488,1413,'Live Data'!$C$15)),"")</f>
        <v/>
      </c>
      <c r="E1413" s="54" t="str">
        <f>IFERROR(IF(INDEX(SPOT_Import!$A$1:$Z$2488,1413,'Live Data'!$C$16)="","",INDEX(SPOT_Import!$A$1:$Z$2488,1413,'Live Data'!$C$16)),"")</f>
        <v/>
      </c>
      <c r="F1413" s="54" t="str">
        <f>IFERROR(IF(INDEX(SPOT_Import!$A$1:$Z$2488,1413,'Live Data'!$C$17)="","",INDEX(SPOT_Import!$A$1:$Z$2488,1413,'Live Data'!$C$17)),"")</f>
        <v/>
      </c>
      <c r="G1413" s="54" t="str">
        <f>IFERROR(IF(INDEX(SPOT_Import!$A$1:$Z$2488,1413,'Live Data'!$C$18)="","",INDEX(SPOT_Import!$A$1:$Z$2488,1413,'Live Data'!$C$18)),"")</f>
        <v/>
      </c>
      <c r="H1413" s="54" t="str">
        <f>IFERROR(IF(INDEX(SPOT_Import!$A$1:$Z$2488,1413,'Live Data'!$C$19)="","",INDEX(SPOT_Import!$A$1:$Z$2488,1413,'Live Data'!$C$19)),"")</f>
        <v/>
      </c>
      <c r="I1413" s="54" t="str">
        <f>IFERROR(IF(INDEX(SPOT_Import!$A$1:$Z$2488,1413,'Live Data'!$C$20)="","",INDEX(SPOT_Import!$A$1:$Z$2488,1413,'Live Data'!$C$20)),"")</f>
        <v/>
      </c>
      <c r="J1413" s="54" t="str">
        <f>IFERROR(IF(INDEX(SPOT_Import!$A$1:$Z$2488,1413,'Live Data'!$C$21)="","",INDEX(SPOT_Import!$A$1:$Z$2488,1413,'Live Data'!$C$21)),"")</f>
        <v/>
      </c>
      <c r="K1413" s="54" t="str">
        <f>IFERROR(IF(INDEX(SPOT_Import!$A$1:$Z$2488,1413,'Live Data'!$C$22)="","",INDEX(SPOT_Import!$A$1:$Z$2488,1413,'Live Data'!$C$22)),"")</f>
        <v/>
      </c>
      <c r="L1413" s="55" t="str">
        <f t="shared" si="44"/>
        <v/>
      </c>
      <c r="M1413" s="55" t="str">
        <f t="shared" si="45"/>
        <v/>
      </c>
      <c r="N1413" s="55" t="str">
        <f>IF(A1413="","",IFERROR(INDEX('Cluster Map'!$A$4:$A$38,MATCH(M1413,'Cluster Map'!$B$4:$B$38,0)),"Unmapped"))</f>
        <v/>
      </c>
      <c r="O1413" s="55">
        <f>IF(A1413="",0,IF(COUNTIFS($A$2:A1413,A1413,$F$2:F1413,F1413,$L$2:L1413,L1413)=1,1,0))</f>
        <v>0</v>
      </c>
      <c r="P1413" s="55">
        <f>IF(A1413="",0,IF(AND(F1413="C&amp;T",COUNTIFS($A$2:A1413,A1413,$F$2:F1413,"C&amp;T")=1),1,0))</f>
        <v>0</v>
      </c>
    </row>
    <row r="1414" spans="1:16" x14ac:dyDescent="0.35">
      <c r="A1414" s="54" t="str">
        <f>IFERROR(IF(INDEX(SPOT_Import!$A$1:$Z$2488,1414,'Live Data'!$C$12)="","",INDEX(SPOT_Import!$A$1:$Z$2488,1414,'Live Data'!$C$12)),"")</f>
        <v/>
      </c>
      <c r="B1414" s="54" t="str">
        <f>IFERROR(IF(INDEX(SPOT_Import!$A$1:$Z$2488,1414,'Live Data'!$C$13)="","",INDEX(SPOT_Import!$A$1:$Z$2488,1414,'Live Data'!$C$13)),"")</f>
        <v/>
      </c>
      <c r="C1414" s="54" t="str">
        <f>IFERROR(IF(INDEX(SPOT_Import!$A$1:$Z$2488,1414,'Live Data'!$C$14)="","",INDEX(SPOT_Import!$A$1:$Z$2488,1414,'Live Data'!$C$14)),"")</f>
        <v/>
      </c>
      <c r="D1414" s="54" t="str">
        <f>IFERROR(IF(INDEX(SPOT_Import!$A$1:$Z$2488,1414,'Live Data'!$C$15)="","",INDEX(SPOT_Import!$A$1:$Z$2488,1414,'Live Data'!$C$15)),"")</f>
        <v/>
      </c>
      <c r="E1414" s="54" t="str">
        <f>IFERROR(IF(INDEX(SPOT_Import!$A$1:$Z$2488,1414,'Live Data'!$C$16)="","",INDEX(SPOT_Import!$A$1:$Z$2488,1414,'Live Data'!$C$16)),"")</f>
        <v/>
      </c>
      <c r="F1414" s="54" t="str">
        <f>IFERROR(IF(INDEX(SPOT_Import!$A$1:$Z$2488,1414,'Live Data'!$C$17)="","",INDEX(SPOT_Import!$A$1:$Z$2488,1414,'Live Data'!$C$17)),"")</f>
        <v/>
      </c>
      <c r="G1414" s="54" t="str">
        <f>IFERROR(IF(INDEX(SPOT_Import!$A$1:$Z$2488,1414,'Live Data'!$C$18)="","",INDEX(SPOT_Import!$A$1:$Z$2488,1414,'Live Data'!$C$18)),"")</f>
        <v/>
      </c>
      <c r="H1414" s="54" t="str">
        <f>IFERROR(IF(INDEX(SPOT_Import!$A$1:$Z$2488,1414,'Live Data'!$C$19)="","",INDEX(SPOT_Import!$A$1:$Z$2488,1414,'Live Data'!$C$19)),"")</f>
        <v/>
      </c>
      <c r="I1414" s="54" t="str">
        <f>IFERROR(IF(INDEX(SPOT_Import!$A$1:$Z$2488,1414,'Live Data'!$C$20)="","",INDEX(SPOT_Import!$A$1:$Z$2488,1414,'Live Data'!$C$20)),"")</f>
        <v/>
      </c>
      <c r="J1414" s="54" t="str">
        <f>IFERROR(IF(INDEX(SPOT_Import!$A$1:$Z$2488,1414,'Live Data'!$C$21)="","",INDEX(SPOT_Import!$A$1:$Z$2488,1414,'Live Data'!$C$21)),"")</f>
        <v/>
      </c>
      <c r="K1414" s="54" t="str">
        <f>IFERROR(IF(INDEX(SPOT_Import!$A$1:$Z$2488,1414,'Live Data'!$C$22)="","",INDEX(SPOT_Import!$A$1:$Z$2488,1414,'Live Data'!$C$22)),"")</f>
        <v/>
      </c>
      <c r="L1414" s="55" t="str">
        <f t="shared" si="44"/>
        <v/>
      </c>
      <c r="M1414" s="55" t="str">
        <f t="shared" si="45"/>
        <v/>
      </c>
      <c r="N1414" s="55" t="str">
        <f>IF(A1414="","",IFERROR(INDEX('Cluster Map'!$A$4:$A$38,MATCH(M1414,'Cluster Map'!$B$4:$B$38,0)),"Unmapped"))</f>
        <v/>
      </c>
      <c r="O1414" s="55">
        <f>IF(A1414="",0,IF(COUNTIFS($A$2:A1414,A1414,$F$2:F1414,F1414,$L$2:L1414,L1414)=1,1,0))</f>
        <v>0</v>
      </c>
      <c r="P1414" s="55">
        <f>IF(A1414="",0,IF(AND(F1414="C&amp;T",COUNTIFS($A$2:A1414,A1414,$F$2:F1414,"C&amp;T")=1),1,0))</f>
        <v>0</v>
      </c>
    </row>
    <row r="1415" spans="1:16" x14ac:dyDescent="0.35">
      <c r="A1415" s="54" t="str">
        <f>IFERROR(IF(INDEX(SPOT_Import!$A$1:$Z$2488,1415,'Live Data'!$C$12)="","",INDEX(SPOT_Import!$A$1:$Z$2488,1415,'Live Data'!$C$12)),"")</f>
        <v/>
      </c>
      <c r="B1415" s="54" t="str">
        <f>IFERROR(IF(INDEX(SPOT_Import!$A$1:$Z$2488,1415,'Live Data'!$C$13)="","",INDEX(SPOT_Import!$A$1:$Z$2488,1415,'Live Data'!$C$13)),"")</f>
        <v/>
      </c>
      <c r="C1415" s="54" t="str">
        <f>IFERROR(IF(INDEX(SPOT_Import!$A$1:$Z$2488,1415,'Live Data'!$C$14)="","",INDEX(SPOT_Import!$A$1:$Z$2488,1415,'Live Data'!$C$14)),"")</f>
        <v/>
      </c>
      <c r="D1415" s="54" t="str">
        <f>IFERROR(IF(INDEX(SPOT_Import!$A$1:$Z$2488,1415,'Live Data'!$C$15)="","",INDEX(SPOT_Import!$A$1:$Z$2488,1415,'Live Data'!$C$15)),"")</f>
        <v/>
      </c>
      <c r="E1415" s="54" t="str">
        <f>IFERROR(IF(INDEX(SPOT_Import!$A$1:$Z$2488,1415,'Live Data'!$C$16)="","",INDEX(SPOT_Import!$A$1:$Z$2488,1415,'Live Data'!$C$16)),"")</f>
        <v/>
      </c>
      <c r="F1415" s="54" t="str">
        <f>IFERROR(IF(INDEX(SPOT_Import!$A$1:$Z$2488,1415,'Live Data'!$C$17)="","",INDEX(SPOT_Import!$A$1:$Z$2488,1415,'Live Data'!$C$17)),"")</f>
        <v/>
      </c>
      <c r="G1415" s="54" t="str">
        <f>IFERROR(IF(INDEX(SPOT_Import!$A$1:$Z$2488,1415,'Live Data'!$C$18)="","",INDEX(SPOT_Import!$A$1:$Z$2488,1415,'Live Data'!$C$18)),"")</f>
        <v/>
      </c>
      <c r="H1415" s="54" t="str">
        <f>IFERROR(IF(INDEX(SPOT_Import!$A$1:$Z$2488,1415,'Live Data'!$C$19)="","",INDEX(SPOT_Import!$A$1:$Z$2488,1415,'Live Data'!$C$19)),"")</f>
        <v/>
      </c>
      <c r="I1415" s="54" t="str">
        <f>IFERROR(IF(INDEX(SPOT_Import!$A$1:$Z$2488,1415,'Live Data'!$C$20)="","",INDEX(SPOT_Import!$A$1:$Z$2488,1415,'Live Data'!$C$20)),"")</f>
        <v/>
      </c>
      <c r="J1415" s="54" t="str">
        <f>IFERROR(IF(INDEX(SPOT_Import!$A$1:$Z$2488,1415,'Live Data'!$C$21)="","",INDEX(SPOT_Import!$A$1:$Z$2488,1415,'Live Data'!$C$21)),"")</f>
        <v/>
      </c>
      <c r="K1415" s="54" t="str">
        <f>IFERROR(IF(INDEX(SPOT_Import!$A$1:$Z$2488,1415,'Live Data'!$C$22)="","",INDEX(SPOT_Import!$A$1:$Z$2488,1415,'Live Data'!$C$22)),"")</f>
        <v/>
      </c>
      <c r="L1415" s="55" t="str">
        <f t="shared" si="44"/>
        <v/>
      </c>
      <c r="M1415" s="55" t="str">
        <f t="shared" si="45"/>
        <v/>
      </c>
      <c r="N1415" s="55" t="str">
        <f>IF(A1415="","",IFERROR(INDEX('Cluster Map'!$A$4:$A$38,MATCH(M1415,'Cluster Map'!$B$4:$B$38,0)),"Unmapped"))</f>
        <v/>
      </c>
      <c r="O1415" s="55">
        <f>IF(A1415="",0,IF(COUNTIFS($A$2:A1415,A1415,$F$2:F1415,F1415,$L$2:L1415,L1415)=1,1,0))</f>
        <v>0</v>
      </c>
      <c r="P1415" s="55">
        <f>IF(A1415="",0,IF(AND(F1415="C&amp;T",COUNTIFS($A$2:A1415,A1415,$F$2:F1415,"C&amp;T")=1),1,0))</f>
        <v>0</v>
      </c>
    </row>
    <row r="1416" spans="1:16" x14ac:dyDescent="0.35">
      <c r="A1416" s="54" t="str">
        <f>IFERROR(IF(INDEX(SPOT_Import!$A$1:$Z$2488,1416,'Live Data'!$C$12)="","",INDEX(SPOT_Import!$A$1:$Z$2488,1416,'Live Data'!$C$12)),"")</f>
        <v/>
      </c>
      <c r="B1416" s="54" t="str">
        <f>IFERROR(IF(INDEX(SPOT_Import!$A$1:$Z$2488,1416,'Live Data'!$C$13)="","",INDEX(SPOT_Import!$A$1:$Z$2488,1416,'Live Data'!$C$13)),"")</f>
        <v/>
      </c>
      <c r="C1416" s="54" t="str">
        <f>IFERROR(IF(INDEX(SPOT_Import!$A$1:$Z$2488,1416,'Live Data'!$C$14)="","",INDEX(SPOT_Import!$A$1:$Z$2488,1416,'Live Data'!$C$14)),"")</f>
        <v/>
      </c>
      <c r="D1416" s="54" t="str">
        <f>IFERROR(IF(INDEX(SPOT_Import!$A$1:$Z$2488,1416,'Live Data'!$C$15)="","",INDEX(SPOT_Import!$A$1:$Z$2488,1416,'Live Data'!$C$15)),"")</f>
        <v/>
      </c>
      <c r="E1416" s="54" t="str">
        <f>IFERROR(IF(INDEX(SPOT_Import!$A$1:$Z$2488,1416,'Live Data'!$C$16)="","",INDEX(SPOT_Import!$A$1:$Z$2488,1416,'Live Data'!$C$16)),"")</f>
        <v/>
      </c>
      <c r="F1416" s="54" t="str">
        <f>IFERROR(IF(INDEX(SPOT_Import!$A$1:$Z$2488,1416,'Live Data'!$C$17)="","",INDEX(SPOT_Import!$A$1:$Z$2488,1416,'Live Data'!$C$17)),"")</f>
        <v/>
      </c>
      <c r="G1416" s="54" t="str">
        <f>IFERROR(IF(INDEX(SPOT_Import!$A$1:$Z$2488,1416,'Live Data'!$C$18)="","",INDEX(SPOT_Import!$A$1:$Z$2488,1416,'Live Data'!$C$18)),"")</f>
        <v/>
      </c>
      <c r="H1416" s="54" t="str">
        <f>IFERROR(IF(INDEX(SPOT_Import!$A$1:$Z$2488,1416,'Live Data'!$C$19)="","",INDEX(SPOT_Import!$A$1:$Z$2488,1416,'Live Data'!$C$19)),"")</f>
        <v/>
      </c>
      <c r="I1416" s="54" t="str">
        <f>IFERROR(IF(INDEX(SPOT_Import!$A$1:$Z$2488,1416,'Live Data'!$C$20)="","",INDEX(SPOT_Import!$A$1:$Z$2488,1416,'Live Data'!$C$20)),"")</f>
        <v/>
      </c>
      <c r="J1416" s="54" t="str">
        <f>IFERROR(IF(INDEX(SPOT_Import!$A$1:$Z$2488,1416,'Live Data'!$C$21)="","",INDEX(SPOT_Import!$A$1:$Z$2488,1416,'Live Data'!$C$21)),"")</f>
        <v/>
      </c>
      <c r="K1416" s="54" t="str">
        <f>IFERROR(IF(INDEX(SPOT_Import!$A$1:$Z$2488,1416,'Live Data'!$C$22)="","",INDEX(SPOT_Import!$A$1:$Z$2488,1416,'Live Data'!$C$22)),"")</f>
        <v/>
      </c>
      <c r="L1416" s="55" t="str">
        <f t="shared" si="44"/>
        <v/>
      </c>
      <c r="M1416" s="55" t="str">
        <f t="shared" si="45"/>
        <v/>
      </c>
      <c r="N1416" s="55" t="str">
        <f>IF(A1416="","",IFERROR(INDEX('Cluster Map'!$A$4:$A$38,MATCH(M1416,'Cluster Map'!$B$4:$B$38,0)),"Unmapped"))</f>
        <v/>
      </c>
      <c r="O1416" s="55">
        <f>IF(A1416="",0,IF(COUNTIFS($A$2:A1416,A1416,$F$2:F1416,F1416,$L$2:L1416,L1416)=1,1,0))</f>
        <v>0</v>
      </c>
      <c r="P1416" s="55">
        <f>IF(A1416="",0,IF(AND(F1416="C&amp;T",COUNTIFS($A$2:A1416,A1416,$F$2:F1416,"C&amp;T")=1),1,0))</f>
        <v>0</v>
      </c>
    </row>
    <row r="1417" spans="1:16" x14ac:dyDescent="0.35">
      <c r="A1417" s="54" t="str">
        <f>IFERROR(IF(INDEX(SPOT_Import!$A$1:$Z$2488,1417,'Live Data'!$C$12)="","",INDEX(SPOT_Import!$A$1:$Z$2488,1417,'Live Data'!$C$12)),"")</f>
        <v/>
      </c>
      <c r="B1417" s="54" t="str">
        <f>IFERROR(IF(INDEX(SPOT_Import!$A$1:$Z$2488,1417,'Live Data'!$C$13)="","",INDEX(SPOT_Import!$A$1:$Z$2488,1417,'Live Data'!$C$13)),"")</f>
        <v/>
      </c>
      <c r="C1417" s="54" t="str">
        <f>IFERROR(IF(INDEX(SPOT_Import!$A$1:$Z$2488,1417,'Live Data'!$C$14)="","",INDEX(SPOT_Import!$A$1:$Z$2488,1417,'Live Data'!$C$14)),"")</f>
        <v/>
      </c>
      <c r="D1417" s="54" t="str">
        <f>IFERROR(IF(INDEX(SPOT_Import!$A$1:$Z$2488,1417,'Live Data'!$C$15)="","",INDEX(SPOT_Import!$A$1:$Z$2488,1417,'Live Data'!$C$15)),"")</f>
        <v/>
      </c>
      <c r="E1417" s="54" t="str">
        <f>IFERROR(IF(INDEX(SPOT_Import!$A$1:$Z$2488,1417,'Live Data'!$C$16)="","",INDEX(SPOT_Import!$A$1:$Z$2488,1417,'Live Data'!$C$16)),"")</f>
        <v/>
      </c>
      <c r="F1417" s="54" t="str">
        <f>IFERROR(IF(INDEX(SPOT_Import!$A$1:$Z$2488,1417,'Live Data'!$C$17)="","",INDEX(SPOT_Import!$A$1:$Z$2488,1417,'Live Data'!$C$17)),"")</f>
        <v/>
      </c>
      <c r="G1417" s="54" t="str">
        <f>IFERROR(IF(INDEX(SPOT_Import!$A$1:$Z$2488,1417,'Live Data'!$C$18)="","",INDEX(SPOT_Import!$A$1:$Z$2488,1417,'Live Data'!$C$18)),"")</f>
        <v/>
      </c>
      <c r="H1417" s="54" t="str">
        <f>IFERROR(IF(INDEX(SPOT_Import!$A$1:$Z$2488,1417,'Live Data'!$C$19)="","",INDEX(SPOT_Import!$A$1:$Z$2488,1417,'Live Data'!$C$19)),"")</f>
        <v/>
      </c>
      <c r="I1417" s="54" t="str">
        <f>IFERROR(IF(INDEX(SPOT_Import!$A$1:$Z$2488,1417,'Live Data'!$C$20)="","",INDEX(SPOT_Import!$A$1:$Z$2488,1417,'Live Data'!$C$20)),"")</f>
        <v/>
      </c>
      <c r="J1417" s="54" t="str">
        <f>IFERROR(IF(INDEX(SPOT_Import!$A$1:$Z$2488,1417,'Live Data'!$C$21)="","",INDEX(SPOT_Import!$A$1:$Z$2488,1417,'Live Data'!$C$21)),"")</f>
        <v/>
      </c>
      <c r="K1417" s="54" t="str">
        <f>IFERROR(IF(INDEX(SPOT_Import!$A$1:$Z$2488,1417,'Live Data'!$C$22)="","",INDEX(SPOT_Import!$A$1:$Z$2488,1417,'Live Data'!$C$22)),"")</f>
        <v/>
      </c>
      <c r="L1417" s="55" t="str">
        <f t="shared" si="44"/>
        <v/>
      </c>
      <c r="M1417" s="55" t="str">
        <f t="shared" si="45"/>
        <v/>
      </c>
      <c r="N1417" s="55" t="str">
        <f>IF(A1417="","",IFERROR(INDEX('Cluster Map'!$A$4:$A$38,MATCH(M1417,'Cluster Map'!$B$4:$B$38,0)),"Unmapped"))</f>
        <v/>
      </c>
      <c r="O1417" s="55">
        <f>IF(A1417="",0,IF(COUNTIFS($A$2:A1417,A1417,$F$2:F1417,F1417,$L$2:L1417,L1417)=1,1,0))</f>
        <v>0</v>
      </c>
      <c r="P1417" s="55">
        <f>IF(A1417="",0,IF(AND(F1417="C&amp;T",COUNTIFS($A$2:A1417,A1417,$F$2:F1417,"C&amp;T")=1),1,0))</f>
        <v>0</v>
      </c>
    </row>
    <row r="1418" spans="1:16" x14ac:dyDescent="0.35">
      <c r="A1418" s="54" t="str">
        <f>IFERROR(IF(INDEX(SPOT_Import!$A$1:$Z$2488,1418,'Live Data'!$C$12)="","",INDEX(SPOT_Import!$A$1:$Z$2488,1418,'Live Data'!$C$12)),"")</f>
        <v/>
      </c>
      <c r="B1418" s="54" t="str">
        <f>IFERROR(IF(INDEX(SPOT_Import!$A$1:$Z$2488,1418,'Live Data'!$C$13)="","",INDEX(SPOT_Import!$A$1:$Z$2488,1418,'Live Data'!$C$13)),"")</f>
        <v/>
      </c>
      <c r="C1418" s="54" t="str">
        <f>IFERROR(IF(INDEX(SPOT_Import!$A$1:$Z$2488,1418,'Live Data'!$C$14)="","",INDEX(SPOT_Import!$A$1:$Z$2488,1418,'Live Data'!$C$14)),"")</f>
        <v/>
      </c>
      <c r="D1418" s="54" t="str">
        <f>IFERROR(IF(INDEX(SPOT_Import!$A$1:$Z$2488,1418,'Live Data'!$C$15)="","",INDEX(SPOT_Import!$A$1:$Z$2488,1418,'Live Data'!$C$15)),"")</f>
        <v/>
      </c>
      <c r="E1418" s="54" t="str">
        <f>IFERROR(IF(INDEX(SPOT_Import!$A$1:$Z$2488,1418,'Live Data'!$C$16)="","",INDEX(SPOT_Import!$A$1:$Z$2488,1418,'Live Data'!$C$16)),"")</f>
        <v/>
      </c>
      <c r="F1418" s="54" t="str">
        <f>IFERROR(IF(INDEX(SPOT_Import!$A$1:$Z$2488,1418,'Live Data'!$C$17)="","",INDEX(SPOT_Import!$A$1:$Z$2488,1418,'Live Data'!$C$17)),"")</f>
        <v/>
      </c>
      <c r="G1418" s="54" t="str">
        <f>IFERROR(IF(INDEX(SPOT_Import!$A$1:$Z$2488,1418,'Live Data'!$C$18)="","",INDEX(SPOT_Import!$A$1:$Z$2488,1418,'Live Data'!$C$18)),"")</f>
        <v/>
      </c>
      <c r="H1418" s="54" t="str">
        <f>IFERROR(IF(INDEX(SPOT_Import!$A$1:$Z$2488,1418,'Live Data'!$C$19)="","",INDEX(SPOT_Import!$A$1:$Z$2488,1418,'Live Data'!$C$19)),"")</f>
        <v/>
      </c>
      <c r="I1418" s="54" t="str">
        <f>IFERROR(IF(INDEX(SPOT_Import!$A$1:$Z$2488,1418,'Live Data'!$C$20)="","",INDEX(SPOT_Import!$A$1:$Z$2488,1418,'Live Data'!$C$20)),"")</f>
        <v/>
      </c>
      <c r="J1418" s="54" t="str">
        <f>IFERROR(IF(INDEX(SPOT_Import!$A$1:$Z$2488,1418,'Live Data'!$C$21)="","",INDEX(SPOT_Import!$A$1:$Z$2488,1418,'Live Data'!$C$21)),"")</f>
        <v/>
      </c>
      <c r="K1418" s="54" t="str">
        <f>IFERROR(IF(INDEX(SPOT_Import!$A$1:$Z$2488,1418,'Live Data'!$C$22)="","",INDEX(SPOT_Import!$A$1:$Z$2488,1418,'Live Data'!$C$22)),"")</f>
        <v/>
      </c>
      <c r="L1418" s="55" t="str">
        <f t="shared" si="44"/>
        <v/>
      </c>
      <c r="M1418" s="55" t="str">
        <f t="shared" si="45"/>
        <v/>
      </c>
      <c r="N1418" s="55" t="str">
        <f>IF(A1418="","",IFERROR(INDEX('Cluster Map'!$A$4:$A$38,MATCH(M1418,'Cluster Map'!$B$4:$B$38,0)),"Unmapped"))</f>
        <v/>
      </c>
      <c r="O1418" s="55">
        <f>IF(A1418="",0,IF(COUNTIFS($A$2:A1418,A1418,$F$2:F1418,F1418,$L$2:L1418,L1418)=1,1,0))</f>
        <v>0</v>
      </c>
      <c r="P1418" s="55">
        <f>IF(A1418="",0,IF(AND(F1418="C&amp;T",COUNTIFS($A$2:A1418,A1418,$F$2:F1418,"C&amp;T")=1),1,0))</f>
        <v>0</v>
      </c>
    </row>
    <row r="1419" spans="1:16" x14ac:dyDescent="0.35">
      <c r="A1419" s="54" t="str">
        <f>IFERROR(IF(INDEX(SPOT_Import!$A$1:$Z$2488,1419,'Live Data'!$C$12)="","",INDEX(SPOT_Import!$A$1:$Z$2488,1419,'Live Data'!$C$12)),"")</f>
        <v/>
      </c>
      <c r="B1419" s="54" t="str">
        <f>IFERROR(IF(INDEX(SPOT_Import!$A$1:$Z$2488,1419,'Live Data'!$C$13)="","",INDEX(SPOT_Import!$A$1:$Z$2488,1419,'Live Data'!$C$13)),"")</f>
        <v/>
      </c>
      <c r="C1419" s="54" t="str">
        <f>IFERROR(IF(INDEX(SPOT_Import!$A$1:$Z$2488,1419,'Live Data'!$C$14)="","",INDEX(SPOT_Import!$A$1:$Z$2488,1419,'Live Data'!$C$14)),"")</f>
        <v/>
      </c>
      <c r="D1419" s="54" t="str">
        <f>IFERROR(IF(INDEX(SPOT_Import!$A$1:$Z$2488,1419,'Live Data'!$C$15)="","",INDEX(SPOT_Import!$A$1:$Z$2488,1419,'Live Data'!$C$15)),"")</f>
        <v/>
      </c>
      <c r="E1419" s="54" t="str">
        <f>IFERROR(IF(INDEX(SPOT_Import!$A$1:$Z$2488,1419,'Live Data'!$C$16)="","",INDEX(SPOT_Import!$A$1:$Z$2488,1419,'Live Data'!$C$16)),"")</f>
        <v/>
      </c>
      <c r="F1419" s="54" t="str">
        <f>IFERROR(IF(INDEX(SPOT_Import!$A$1:$Z$2488,1419,'Live Data'!$C$17)="","",INDEX(SPOT_Import!$A$1:$Z$2488,1419,'Live Data'!$C$17)),"")</f>
        <v/>
      </c>
      <c r="G1419" s="54" t="str">
        <f>IFERROR(IF(INDEX(SPOT_Import!$A$1:$Z$2488,1419,'Live Data'!$C$18)="","",INDEX(SPOT_Import!$A$1:$Z$2488,1419,'Live Data'!$C$18)),"")</f>
        <v/>
      </c>
      <c r="H1419" s="54" t="str">
        <f>IFERROR(IF(INDEX(SPOT_Import!$A$1:$Z$2488,1419,'Live Data'!$C$19)="","",INDEX(SPOT_Import!$A$1:$Z$2488,1419,'Live Data'!$C$19)),"")</f>
        <v/>
      </c>
      <c r="I1419" s="54" t="str">
        <f>IFERROR(IF(INDEX(SPOT_Import!$A$1:$Z$2488,1419,'Live Data'!$C$20)="","",INDEX(SPOT_Import!$A$1:$Z$2488,1419,'Live Data'!$C$20)),"")</f>
        <v/>
      </c>
      <c r="J1419" s="54" t="str">
        <f>IFERROR(IF(INDEX(SPOT_Import!$A$1:$Z$2488,1419,'Live Data'!$C$21)="","",INDEX(SPOT_Import!$A$1:$Z$2488,1419,'Live Data'!$C$21)),"")</f>
        <v/>
      </c>
      <c r="K1419" s="54" t="str">
        <f>IFERROR(IF(INDEX(SPOT_Import!$A$1:$Z$2488,1419,'Live Data'!$C$22)="","",INDEX(SPOT_Import!$A$1:$Z$2488,1419,'Live Data'!$C$22)),"")</f>
        <v/>
      </c>
      <c r="L1419" s="55" t="str">
        <f t="shared" si="44"/>
        <v/>
      </c>
      <c r="M1419" s="55" t="str">
        <f t="shared" si="45"/>
        <v/>
      </c>
      <c r="N1419" s="55" t="str">
        <f>IF(A1419="","",IFERROR(INDEX('Cluster Map'!$A$4:$A$38,MATCH(M1419,'Cluster Map'!$B$4:$B$38,0)),"Unmapped"))</f>
        <v/>
      </c>
      <c r="O1419" s="55">
        <f>IF(A1419="",0,IF(COUNTIFS($A$2:A1419,A1419,$F$2:F1419,F1419,$L$2:L1419,L1419)=1,1,0))</f>
        <v>0</v>
      </c>
      <c r="P1419" s="55">
        <f>IF(A1419="",0,IF(AND(F1419="C&amp;T",COUNTIFS($A$2:A1419,A1419,$F$2:F1419,"C&amp;T")=1),1,0))</f>
        <v>0</v>
      </c>
    </row>
    <row r="1420" spans="1:16" x14ac:dyDescent="0.35">
      <c r="A1420" s="54" t="str">
        <f>IFERROR(IF(INDEX(SPOT_Import!$A$1:$Z$2488,1420,'Live Data'!$C$12)="","",INDEX(SPOT_Import!$A$1:$Z$2488,1420,'Live Data'!$C$12)),"")</f>
        <v/>
      </c>
      <c r="B1420" s="54" t="str">
        <f>IFERROR(IF(INDEX(SPOT_Import!$A$1:$Z$2488,1420,'Live Data'!$C$13)="","",INDEX(SPOT_Import!$A$1:$Z$2488,1420,'Live Data'!$C$13)),"")</f>
        <v/>
      </c>
      <c r="C1420" s="54" t="str">
        <f>IFERROR(IF(INDEX(SPOT_Import!$A$1:$Z$2488,1420,'Live Data'!$C$14)="","",INDEX(SPOT_Import!$A$1:$Z$2488,1420,'Live Data'!$C$14)),"")</f>
        <v/>
      </c>
      <c r="D1420" s="54" t="str">
        <f>IFERROR(IF(INDEX(SPOT_Import!$A$1:$Z$2488,1420,'Live Data'!$C$15)="","",INDEX(SPOT_Import!$A$1:$Z$2488,1420,'Live Data'!$C$15)),"")</f>
        <v/>
      </c>
      <c r="E1420" s="54" t="str">
        <f>IFERROR(IF(INDEX(SPOT_Import!$A$1:$Z$2488,1420,'Live Data'!$C$16)="","",INDEX(SPOT_Import!$A$1:$Z$2488,1420,'Live Data'!$C$16)),"")</f>
        <v/>
      </c>
      <c r="F1420" s="54" t="str">
        <f>IFERROR(IF(INDEX(SPOT_Import!$A$1:$Z$2488,1420,'Live Data'!$C$17)="","",INDEX(SPOT_Import!$A$1:$Z$2488,1420,'Live Data'!$C$17)),"")</f>
        <v/>
      </c>
      <c r="G1420" s="54" t="str">
        <f>IFERROR(IF(INDEX(SPOT_Import!$A$1:$Z$2488,1420,'Live Data'!$C$18)="","",INDEX(SPOT_Import!$A$1:$Z$2488,1420,'Live Data'!$C$18)),"")</f>
        <v/>
      </c>
      <c r="H1420" s="54" t="str">
        <f>IFERROR(IF(INDEX(SPOT_Import!$A$1:$Z$2488,1420,'Live Data'!$C$19)="","",INDEX(SPOT_Import!$A$1:$Z$2488,1420,'Live Data'!$C$19)),"")</f>
        <v/>
      </c>
      <c r="I1420" s="54" t="str">
        <f>IFERROR(IF(INDEX(SPOT_Import!$A$1:$Z$2488,1420,'Live Data'!$C$20)="","",INDEX(SPOT_Import!$A$1:$Z$2488,1420,'Live Data'!$C$20)),"")</f>
        <v/>
      </c>
      <c r="J1420" s="54" t="str">
        <f>IFERROR(IF(INDEX(SPOT_Import!$A$1:$Z$2488,1420,'Live Data'!$C$21)="","",INDEX(SPOT_Import!$A$1:$Z$2488,1420,'Live Data'!$C$21)),"")</f>
        <v/>
      </c>
      <c r="K1420" s="54" t="str">
        <f>IFERROR(IF(INDEX(SPOT_Import!$A$1:$Z$2488,1420,'Live Data'!$C$22)="","",INDEX(SPOT_Import!$A$1:$Z$2488,1420,'Live Data'!$C$22)),"")</f>
        <v/>
      </c>
      <c r="L1420" s="55" t="str">
        <f t="shared" si="44"/>
        <v/>
      </c>
      <c r="M1420" s="55" t="str">
        <f t="shared" si="45"/>
        <v/>
      </c>
      <c r="N1420" s="55" t="str">
        <f>IF(A1420="","",IFERROR(INDEX('Cluster Map'!$A$4:$A$38,MATCH(M1420,'Cluster Map'!$B$4:$B$38,0)),"Unmapped"))</f>
        <v/>
      </c>
      <c r="O1420" s="55">
        <f>IF(A1420="",0,IF(COUNTIFS($A$2:A1420,A1420,$F$2:F1420,F1420,$L$2:L1420,L1420)=1,1,0))</f>
        <v>0</v>
      </c>
      <c r="P1420" s="55">
        <f>IF(A1420="",0,IF(AND(F1420="C&amp;T",COUNTIFS($A$2:A1420,A1420,$F$2:F1420,"C&amp;T")=1),1,0))</f>
        <v>0</v>
      </c>
    </row>
    <row r="1421" spans="1:16" x14ac:dyDescent="0.35">
      <c r="A1421" s="54" t="str">
        <f>IFERROR(IF(INDEX(SPOT_Import!$A$1:$Z$2488,1421,'Live Data'!$C$12)="","",INDEX(SPOT_Import!$A$1:$Z$2488,1421,'Live Data'!$C$12)),"")</f>
        <v/>
      </c>
      <c r="B1421" s="54" t="str">
        <f>IFERROR(IF(INDEX(SPOT_Import!$A$1:$Z$2488,1421,'Live Data'!$C$13)="","",INDEX(SPOT_Import!$A$1:$Z$2488,1421,'Live Data'!$C$13)),"")</f>
        <v/>
      </c>
      <c r="C1421" s="54" t="str">
        <f>IFERROR(IF(INDEX(SPOT_Import!$A$1:$Z$2488,1421,'Live Data'!$C$14)="","",INDEX(SPOT_Import!$A$1:$Z$2488,1421,'Live Data'!$C$14)),"")</f>
        <v/>
      </c>
      <c r="D1421" s="54" t="str">
        <f>IFERROR(IF(INDEX(SPOT_Import!$A$1:$Z$2488,1421,'Live Data'!$C$15)="","",INDEX(SPOT_Import!$A$1:$Z$2488,1421,'Live Data'!$C$15)),"")</f>
        <v/>
      </c>
      <c r="E1421" s="54" t="str">
        <f>IFERROR(IF(INDEX(SPOT_Import!$A$1:$Z$2488,1421,'Live Data'!$C$16)="","",INDEX(SPOT_Import!$A$1:$Z$2488,1421,'Live Data'!$C$16)),"")</f>
        <v/>
      </c>
      <c r="F1421" s="54" t="str">
        <f>IFERROR(IF(INDEX(SPOT_Import!$A$1:$Z$2488,1421,'Live Data'!$C$17)="","",INDEX(SPOT_Import!$A$1:$Z$2488,1421,'Live Data'!$C$17)),"")</f>
        <v/>
      </c>
      <c r="G1421" s="54" t="str">
        <f>IFERROR(IF(INDEX(SPOT_Import!$A$1:$Z$2488,1421,'Live Data'!$C$18)="","",INDEX(SPOT_Import!$A$1:$Z$2488,1421,'Live Data'!$C$18)),"")</f>
        <v/>
      </c>
      <c r="H1421" s="54" t="str">
        <f>IFERROR(IF(INDEX(SPOT_Import!$A$1:$Z$2488,1421,'Live Data'!$C$19)="","",INDEX(SPOT_Import!$A$1:$Z$2488,1421,'Live Data'!$C$19)),"")</f>
        <v/>
      </c>
      <c r="I1421" s="54" t="str">
        <f>IFERROR(IF(INDEX(SPOT_Import!$A$1:$Z$2488,1421,'Live Data'!$C$20)="","",INDEX(SPOT_Import!$A$1:$Z$2488,1421,'Live Data'!$C$20)),"")</f>
        <v/>
      </c>
      <c r="J1421" s="54" t="str">
        <f>IFERROR(IF(INDEX(SPOT_Import!$A$1:$Z$2488,1421,'Live Data'!$C$21)="","",INDEX(SPOT_Import!$A$1:$Z$2488,1421,'Live Data'!$C$21)),"")</f>
        <v/>
      </c>
      <c r="K1421" s="54" t="str">
        <f>IFERROR(IF(INDEX(SPOT_Import!$A$1:$Z$2488,1421,'Live Data'!$C$22)="","",INDEX(SPOT_Import!$A$1:$Z$2488,1421,'Live Data'!$C$22)),"")</f>
        <v/>
      </c>
      <c r="L1421" s="55" t="str">
        <f t="shared" si="44"/>
        <v/>
      </c>
      <c r="M1421" s="55" t="str">
        <f t="shared" si="45"/>
        <v/>
      </c>
      <c r="N1421" s="55" t="str">
        <f>IF(A1421="","",IFERROR(INDEX('Cluster Map'!$A$4:$A$38,MATCH(M1421,'Cluster Map'!$B$4:$B$38,0)),"Unmapped"))</f>
        <v/>
      </c>
      <c r="O1421" s="55">
        <f>IF(A1421="",0,IF(COUNTIFS($A$2:A1421,A1421,$F$2:F1421,F1421,$L$2:L1421,L1421)=1,1,0))</f>
        <v>0</v>
      </c>
      <c r="P1421" s="55">
        <f>IF(A1421="",0,IF(AND(F1421="C&amp;T",COUNTIFS($A$2:A1421,A1421,$F$2:F1421,"C&amp;T")=1),1,0))</f>
        <v>0</v>
      </c>
    </row>
    <row r="1422" spans="1:16" x14ac:dyDescent="0.35">
      <c r="A1422" s="54" t="str">
        <f>IFERROR(IF(INDEX(SPOT_Import!$A$1:$Z$2488,1422,'Live Data'!$C$12)="","",INDEX(SPOT_Import!$A$1:$Z$2488,1422,'Live Data'!$C$12)),"")</f>
        <v/>
      </c>
      <c r="B1422" s="54" t="str">
        <f>IFERROR(IF(INDEX(SPOT_Import!$A$1:$Z$2488,1422,'Live Data'!$C$13)="","",INDEX(SPOT_Import!$A$1:$Z$2488,1422,'Live Data'!$C$13)),"")</f>
        <v/>
      </c>
      <c r="C1422" s="54" t="str">
        <f>IFERROR(IF(INDEX(SPOT_Import!$A$1:$Z$2488,1422,'Live Data'!$C$14)="","",INDEX(SPOT_Import!$A$1:$Z$2488,1422,'Live Data'!$C$14)),"")</f>
        <v/>
      </c>
      <c r="D1422" s="54" t="str">
        <f>IFERROR(IF(INDEX(SPOT_Import!$A$1:$Z$2488,1422,'Live Data'!$C$15)="","",INDEX(SPOT_Import!$A$1:$Z$2488,1422,'Live Data'!$C$15)),"")</f>
        <v/>
      </c>
      <c r="E1422" s="54" t="str">
        <f>IFERROR(IF(INDEX(SPOT_Import!$A$1:$Z$2488,1422,'Live Data'!$C$16)="","",INDEX(SPOT_Import!$A$1:$Z$2488,1422,'Live Data'!$C$16)),"")</f>
        <v/>
      </c>
      <c r="F1422" s="54" t="str">
        <f>IFERROR(IF(INDEX(SPOT_Import!$A$1:$Z$2488,1422,'Live Data'!$C$17)="","",INDEX(SPOT_Import!$A$1:$Z$2488,1422,'Live Data'!$C$17)),"")</f>
        <v/>
      </c>
      <c r="G1422" s="54" t="str">
        <f>IFERROR(IF(INDEX(SPOT_Import!$A$1:$Z$2488,1422,'Live Data'!$C$18)="","",INDEX(SPOT_Import!$A$1:$Z$2488,1422,'Live Data'!$C$18)),"")</f>
        <v/>
      </c>
      <c r="H1422" s="54" t="str">
        <f>IFERROR(IF(INDEX(SPOT_Import!$A$1:$Z$2488,1422,'Live Data'!$C$19)="","",INDEX(SPOT_Import!$A$1:$Z$2488,1422,'Live Data'!$C$19)),"")</f>
        <v/>
      </c>
      <c r="I1422" s="54" t="str">
        <f>IFERROR(IF(INDEX(SPOT_Import!$A$1:$Z$2488,1422,'Live Data'!$C$20)="","",INDEX(SPOT_Import!$A$1:$Z$2488,1422,'Live Data'!$C$20)),"")</f>
        <v/>
      </c>
      <c r="J1422" s="54" t="str">
        <f>IFERROR(IF(INDEX(SPOT_Import!$A$1:$Z$2488,1422,'Live Data'!$C$21)="","",INDEX(SPOT_Import!$A$1:$Z$2488,1422,'Live Data'!$C$21)),"")</f>
        <v/>
      </c>
      <c r="K1422" s="54" t="str">
        <f>IFERROR(IF(INDEX(SPOT_Import!$A$1:$Z$2488,1422,'Live Data'!$C$22)="","",INDEX(SPOT_Import!$A$1:$Z$2488,1422,'Live Data'!$C$22)),"")</f>
        <v/>
      </c>
      <c r="L1422" s="55" t="str">
        <f t="shared" si="44"/>
        <v/>
      </c>
      <c r="M1422" s="55" t="str">
        <f t="shared" si="45"/>
        <v/>
      </c>
      <c r="N1422" s="55" t="str">
        <f>IF(A1422="","",IFERROR(INDEX('Cluster Map'!$A$4:$A$38,MATCH(M1422,'Cluster Map'!$B$4:$B$38,0)),"Unmapped"))</f>
        <v/>
      </c>
      <c r="O1422" s="55">
        <f>IF(A1422="",0,IF(COUNTIFS($A$2:A1422,A1422,$F$2:F1422,F1422,$L$2:L1422,L1422)=1,1,0))</f>
        <v>0</v>
      </c>
      <c r="P1422" s="55">
        <f>IF(A1422="",0,IF(AND(F1422="C&amp;T",COUNTIFS($A$2:A1422,A1422,$F$2:F1422,"C&amp;T")=1),1,0))</f>
        <v>0</v>
      </c>
    </row>
    <row r="1423" spans="1:16" x14ac:dyDescent="0.35">
      <c r="A1423" s="54" t="str">
        <f>IFERROR(IF(INDEX(SPOT_Import!$A$1:$Z$2488,1423,'Live Data'!$C$12)="","",INDEX(SPOT_Import!$A$1:$Z$2488,1423,'Live Data'!$C$12)),"")</f>
        <v/>
      </c>
      <c r="B1423" s="54" t="str">
        <f>IFERROR(IF(INDEX(SPOT_Import!$A$1:$Z$2488,1423,'Live Data'!$C$13)="","",INDEX(SPOT_Import!$A$1:$Z$2488,1423,'Live Data'!$C$13)),"")</f>
        <v/>
      </c>
      <c r="C1423" s="54" t="str">
        <f>IFERROR(IF(INDEX(SPOT_Import!$A$1:$Z$2488,1423,'Live Data'!$C$14)="","",INDEX(SPOT_Import!$A$1:$Z$2488,1423,'Live Data'!$C$14)),"")</f>
        <v/>
      </c>
      <c r="D1423" s="54" t="str">
        <f>IFERROR(IF(INDEX(SPOT_Import!$A$1:$Z$2488,1423,'Live Data'!$C$15)="","",INDEX(SPOT_Import!$A$1:$Z$2488,1423,'Live Data'!$C$15)),"")</f>
        <v/>
      </c>
      <c r="E1423" s="54" t="str">
        <f>IFERROR(IF(INDEX(SPOT_Import!$A$1:$Z$2488,1423,'Live Data'!$C$16)="","",INDEX(SPOT_Import!$A$1:$Z$2488,1423,'Live Data'!$C$16)),"")</f>
        <v/>
      </c>
      <c r="F1423" s="54" t="str">
        <f>IFERROR(IF(INDEX(SPOT_Import!$A$1:$Z$2488,1423,'Live Data'!$C$17)="","",INDEX(SPOT_Import!$A$1:$Z$2488,1423,'Live Data'!$C$17)),"")</f>
        <v/>
      </c>
      <c r="G1423" s="54" t="str">
        <f>IFERROR(IF(INDEX(SPOT_Import!$A$1:$Z$2488,1423,'Live Data'!$C$18)="","",INDEX(SPOT_Import!$A$1:$Z$2488,1423,'Live Data'!$C$18)),"")</f>
        <v/>
      </c>
      <c r="H1423" s="54" t="str">
        <f>IFERROR(IF(INDEX(SPOT_Import!$A$1:$Z$2488,1423,'Live Data'!$C$19)="","",INDEX(SPOT_Import!$A$1:$Z$2488,1423,'Live Data'!$C$19)),"")</f>
        <v/>
      </c>
      <c r="I1423" s="54" t="str">
        <f>IFERROR(IF(INDEX(SPOT_Import!$A$1:$Z$2488,1423,'Live Data'!$C$20)="","",INDEX(SPOT_Import!$A$1:$Z$2488,1423,'Live Data'!$C$20)),"")</f>
        <v/>
      </c>
      <c r="J1423" s="54" t="str">
        <f>IFERROR(IF(INDEX(SPOT_Import!$A$1:$Z$2488,1423,'Live Data'!$C$21)="","",INDEX(SPOT_Import!$A$1:$Z$2488,1423,'Live Data'!$C$21)),"")</f>
        <v/>
      </c>
      <c r="K1423" s="54" t="str">
        <f>IFERROR(IF(INDEX(SPOT_Import!$A$1:$Z$2488,1423,'Live Data'!$C$22)="","",INDEX(SPOT_Import!$A$1:$Z$2488,1423,'Live Data'!$C$22)),"")</f>
        <v/>
      </c>
      <c r="L1423" s="55" t="str">
        <f t="shared" si="44"/>
        <v/>
      </c>
      <c r="M1423" s="55" t="str">
        <f t="shared" si="45"/>
        <v/>
      </c>
      <c r="N1423" s="55" t="str">
        <f>IF(A1423="","",IFERROR(INDEX('Cluster Map'!$A$4:$A$38,MATCH(M1423,'Cluster Map'!$B$4:$B$38,0)),"Unmapped"))</f>
        <v/>
      </c>
      <c r="O1423" s="55">
        <f>IF(A1423="",0,IF(COUNTIFS($A$2:A1423,A1423,$F$2:F1423,F1423,$L$2:L1423,L1423)=1,1,0))</f>
        <v>0</v>
      </c>
      <c r="P1423" s="55">
        <f>IF(A1423="",0,IF(AND(F1423="C&amp;T",COUNTIFS($A$2:A1423,A1423,$F$2:F1423,"C&amp;T")=1),1,0))</f>
        <v>0</v>
      </c>
    </row>
    <row r="1424" spans="1:16" x14ac:dyDescent="0.35">
      <c r="A1424" s="54" t="str">
        <f>IFERROR(IF(INDEX(SPOT_Import!$A$1:$Z$2488,1424,'Live Data'!$C$12)="","",INDEX(SPOT_Import!$A$1:$Z$2488,1424,'Live Data'!$C$12)),"")</f>
        <v/>
      </c>
      <c r="B1424" s="54" t="str">
        <f>IFERROR(IF(INDEX(SPOT_Import!$A$1:$Z$2488,1424,'Live Data'!$C$13)="","",INDEX(SPOT_Import!$A$1:$Z$2488,1424,'Live Data'!$C$13)),"")</f>
        <v/>
      </c>
      <c r="C1424" s="54" t="str">
        <f>IFERROR(IF(INDEX(SPOT_Import!$A$1:$Z$2488,1424,'Live Data'!$C$14)="","",INDEX(SPOT_Import!$A$1:$Z$2488,1424,'Live Data'!$C$14)),"")</f>
        <v/>
      </c>
      <c r="D1424" s="54" t="str">
        <f>IFERROR(IF(INDEX(SPOT_Import!$A$1:$Z$2488,1424,'Live Data'!$C$15)="","",INDEX(SPOT_Import!$A$1:$Z$2488,1424,'Live Data'!$C$15)),"")</f>
        <v/>
      </c>
      <c r="E1424" s="54" t="str">
        <f>IFERROR(IF(INDEX(SPOT_Import!$A$1:$Z$2488,1424,'Live Data'!$C$16)="","",INDEX(SPOT_Import!$A$1:$Z$2488,1424,'Live Data'!$C$16)),"")</f>
        <v/>
      </c>
      <c r="F1424" s="54" t="str">
        <f>IFERROR(IF(INDEX(SPOT_Import!$A$1:$Z$2488,1424,'Live Data'!$C$17)="","",INDEX(SPOT_Import!$A$1:$Z$2488,1424,'Live Data'!$C$17)),"")</f>
        <v/>
      </c>
      <c r="G1424" s="54" t="str">
        <f>IFERROR(IF(INDEX(SPOT_Import!$A$1:$Z$2488,1424,'Live Data'!$C$18)="","",INDEX(SPOT_Import!$A$1:$Z$2488,1424,'Live Data'!$C$18)),"")</f>
        <v/>
      </c>
      <c r="H1424" s="54" t="str">
        <f>IFERROR(IF(INDEX(SPOT_Import!$A$1:$Z$2488,1424,'Live Data'!$C$19)="","",INDEX(SPOT_Import!$A$1:$Z$2488,1424,'Live Data'!$C$19)),"")</f>
        <v/>
      </c>
      <c r="I1424" s="54" t="str">
        <f>IFERROR(IF(INDEX(SPOT_Import!$A$1:$Z$2488,1424,'Live Data'!$C$20)="","",INDEX(SPOT_Import!$A$1:$Z$2488,1424,'Live Data'!$C$20)),"")</f>
        <v/>
      </c>
      <c r="J1424" s="54" t="str">
        <f>IFERROR(IF(INDEX(SPOT_Import!$A$1:$Z$2488,1424,'Live Data'!$C$21)="","",INDEX(SPOT_Import!$A$1:$Z$2488,1424,'Live Data'!$C$21)),"")</f>
        <v/>
      </c>
      <c r="K1424" s="54" t="str">
        <f>IFERROR(IF(INDEX(SPOT_Import!$A$1:$Z$2488,1424,'Live Data'!$C$22)="","",INDEX(SPOT_Import!$A$1:$Z$2488,1424,'Live Data'!$C$22)),"")</f>
        <v/>
      </c>
      <c r="L1424" s="55" t="str">
        <f t="shared" si="44"/>
        <v/>
      </c>
      <c r="M1424" s="55" t="str">
        <f t="shared" si="45"/>
        <v/>
      </c>
      <c r="N1424" s="55" t="str">
        <f>IF(A1424="","",IFERROR(INDEX('Cluster Map'!$A$4:$A$38,MATCH(M1424,'Cluster Map'!$B$4:$B$38,0)),"Unmapped"))</f>
        <v/>
      </c>
      <c r="O1424" s="55">
        <f>IF(A1424="",0,IF(COUNTIFS($A$2:A1424,A1424,$F$2:F1424,F1424,$L$2:L1424,L1424)=1,1,0))</f>
        <v>0</v>
      </c>
      <c r="P1424" s="55">
        <f>IF(A1424="",0,IF(AND(F1424="C&amp;T",COUNTIFS($A$2:A1424,A1424,$F$2:F1424,"C&amp;T")=1),1,0))</f>
        <v>0</v>
      </c>
    </row>
    <row r="1425" spans="1:16" x14ac:dyDescent="0.35">
      <c r="A1425" s="54" t="str">
        <f>IFERROR(IF(INDEX(SPOT_Import!$A$1:$Z$2488,1425,'Live Data'!$C$12)="","",INDEX(SPOT_Import!$A$1:$Z$2488,1425,'Live Data'!$C$12)),"")</f>
        <v/>
      </c>
      <c r="B1425" s="54" t="str">
        <f>IFERROR(IF(INDEX(SPOT_Import!$A$1:$Z$2488,1425,'Live Data'!$C$13)="","",INDEX(SPOT_Import!$A$1:$Z$2488,1425,'Live Data'!$C$13)),"")</f>
        <v/>
      </c>
      <c r="C1425" s="54" t="str">
        <f>IFERROR(IF(INDEX(SPOT_Import!$A$1:$Z$2488,1425,'Live Data'!$C$14)="","",INDEX(SPOT_Import!$A$1:$Z$2488,1425,'Live Data'!$C$14)),"")</f>
        <v/>
      </c>
      <c r="D1425" s="54" t="str">
        <f>IFERROR(IF(INDEX(SPOT_Import!$A$1:$Z$2488,1425,'Live Data'!$C$15)="","",INDEX(SPOT_Import!$A$1:$Z$2488,1425,'Live Data'!$C$15)),"")</f>
        <v/>
      </c>
      <c r="E1425" s="54" t="str">
        <f>IFERROR(IF(INDEX(SPOT_Import!$A$1:$Z$2488,1425,'Live Data'!$C$16)="","",INDEX(SPOT_Import!$A$1:$Z$2488,1425,'Live Data'!$C$16)),"")</f>
        <v/>
      </c>
      <c r="F1425" s="54" t="str">
        <f>IFERROR(IF(INDEX(SPOT_Import!$A$1:$Z$2488,1425,'Live Data'!$C$17)="","",INDEX(SPOT_Import!$A$1:$Z$2488,1425,'Live Data'!$C$17)),"")</f>
        <v/>
      </c>
      <c r="G1425" s="54" t="str">
        <f>IFERROR(IF(INDEX(SPOT_Import!$A$1:$Z$2488,1425,'Live Data'!$C$18)="","",INDEX(SPOT_Import!$A$1:$Z$2488,1425,'Live Data'!$C$18)),"")</f>
        <v/>
      </c>
      <c r="H1425" s="54" t="str">
        <f>IFERROR(IF(INDEX(SPOT_Import!$A$1:$Z$2488,1425,'Live Data'!$C$19)="","",INDEX(SPOT_Import!$A$1:$Z$2488,1425,'Live Data'!$C$19)),"")</f>
        <v/>
      </c>
      <c r="I1425" s="54" t="str">
        <f>IFERROR(IF(INDEX(SPOT_Import!$A$1:$Z$2488,1425,'Live Data'!$C$20)="","",INDEX(SPOT_Import!$A$1:$Z$2488,1425,'Live Data'!$C$20)),"")</f>
        <v/>
      </c>
      <c r="J1425" s="54" t="str">
        <f>IFERROR(IF(INDEX(SPOT_Import!$A$1:$Z$2488,1425,'Live Data'!$C$21)="","",INDEX(SPOT_Import!$A$1:$Z$2488,1425,'Live Data'!$C$21)),"")</f>
        <v/>
      </c>
      <c r="K1425" s="54" t="str">
        <f>IFERROR(IF(INDEX(SPOT_Import!$A$1:$Z$2488,1425,'Live Data'!$C$22)="","",INDEX(SPOT_Import!$A$1:$Z$2488,1425,'Live Data'!$C$22)),"")</f>
        <v/>
      </c>
      <c r="L1425" s="55" t="str">
        <f t="shared" si="44"/>
        <v/>
      </c>
      <c r="M1425" s="55" t="str">
        <f t="shared" si="45"/>
        <v/>
      </c>
      <c r="N1425" s="55" t="str">
        <f>IF(A1425="","",IFERROR(INDEX('Cluster Map'!$A$4:$A$38,MATCH(M1425,'Cluster Map'!$B$4:$B$38,0)),"Unmapped"))</f>
        <v/>
      </c>
      <c r="O1425" s="55">
        <f>IF(A1425="",0,IF(COUNTIFS($A$2:A1425,A1425,$F$2:F1425,F1425,$L$2:L1425,L1425)=1,1,0))</f>
        <v>0</v>
      </c>
      <c r="P1425" s="55">
        <f>IF(A1425="",0,IF(AND(F1425="C&amp;T",COUNTIFS($A$2:A1425,A1425,$F$2:F1425,"C&amp;T")=1),1,0))</f>
        <v>0</v>
      </c>
    </row>
    <row r="1426" spans="1:16" x14ac:dyDescent="0.35">
      <c r="A1426" s="54" t="str">
        <f>IFERROR(IF(INDEX(SPOT_Import!$A$1:$Z$2488,1426,'Live Data'!$C$12)="","",INDEX(SPOT_Import!$A$1:$Z$2488,1426,'Live Data'!$C$12)),"")</f>
        <v/>
      </c>
      <c r="B1426" s="54" t="str">
        <f>IFERROR(IF(INDEX(SPOT_Import!$A$1:$Z$2488,1426,'Live Data'!$C$13)="","",INDEX(SPOT_Import!$A$1:$Z$2488,1426,'Live Data'!$C$13)),"")</f>
        <v/>
      </c>
      <c r="C1426" s="54" t="str">
        <f>IFERROR(IF(INDEX(SPOT_Import!$A$1:$Z$2488,1426,'Live Data'!$C$14)="","",INDEX(SPOT_Import!$A$1:$Z$2488,1426,'Live Data'!$C$14)),"")</f>
        <v/>
      </c>
      <c r="D1426" s="54" t="str">
        <f>IFERROR(IF(INDEX(SPOT_Import!$A$1:$Z$2488,1426,'Live Data'!$C$15)="","",INDEX(SPOT_Import!$A$1:$Z$2488,1426,'Live Data'!$C$15)),"")</f>
        <v/>
      </c>
      <c r="E1426" s="54" t="str">
        <f>IFERROR(IF(INDEX(SPOT_Import!$A$1:$Z$2488,1426,'Live Data'!$C$16)="","",INDEX(SPOT_Import!$A$1:$Z$2488,1426,'Live Data'!$C$16)),"")</f>
        <v/>
      </c>
      <c r="F1426" s="54" t="str">
        <f>IFERROR(IF(INDEX(SPOT_Import!$A$1:$Z$2488,1426,'Live Data'!$C$17)="","",INDEX(SPOT_Import!$A$1:$Z$2488,1426,'Live Data'!$C$17)),"")</f>
        <v/>
      </c>
      <c r="G1426" s="54" t="str">
        <f>IFERROR(IF(INDEX(SPOT_Import!$A$1:$Z$2488,1426,'Live Data'!$C$18)="","",INDEX(SPOT_Import!$A$1:$Z$2488,1426,'Live Data'!$C$18)),"")</f>
        <v/>
      </c>
      <c r="H1426" s="54" t="str">
        <f>IFERROR(IF(INDEX(SPOT_Import!$A$1:$Z$2488,1426,'Live Data'!$C$19)="","",INDEX(SPOT_Import!$A$1:$Z$2488,1426,'Live Data'!$C$19)),"")</f>
        <v/>
      </c>
      <c r="I1426" s="54" t="str">
        <f>IFERROR(IF(INDEX(SPOT_Import!$A$1:$Z$2488,1426,'Live Data'!$C$20)="","",INDEX(SPOT_Import!$A$1:$Z$2488,1426,'Live Data'!$C$20)),"")</f>
        <v/>
      </c>
      <c r="J1426" s="54" t="str">
        <f>IFERROR(IF(INDEX(SPOT_Import!$A$1:$Z$2488,1426,'Live Data'!$C$21)="","",INDEX(SPOT_Import!$A$1:$Z$2488,1426,'Live Data'!$C$21)),"")</f>
        <v/>
      </c>
      <c r="K1426" s="54" t="str">
        <f>IFERROR(IF(INDEX(SPOT_Import!$A$1:$Z$2488,1426,'Live Data'!$C$22)="","",INDEX(SPOT_Import!$A$1:$Z$2488,1426,'Live Data'!$C$22)),"")</f>
        <v/>
      </c>
      <c r="L1426" s="55" t="str">
        <f t="shared" si="44"/>
        <v/>
      </c>
      <c r="M1426" s="55" t="str">
        <f t="shared" si="45"/>
        <v/>
      </c>
      <c r="N1426" s="55" t="str">
        <f>IF(A1426="","",IFERROR(INDEX('Cluster Map'!$A$4:$A$38,MATCH(M1426,'Cluster Map'!$B$4:$B$38,0)),"Unmapped"))</f>
        <v/>
      </c>
      <c r="O1426" s="55">
        <f>IF(A1426="",0,IF(COUNTIFS($A$2:A1426,A1426,$F$2:F1426,F1426,$L$2:L1426,L1426)=1,1,0))</f>
        <v>0</v>
      </c>
      <c r="P1426" s="55">
        <f>IF(A1426="",0,IF(AND(F1426="C&amp;T",COUNTIFS($A$2:A1426,A1426,$F$2:F1426,"C&amp;T")=1),1,0))</f>
        <v>0</v>
      </c>
    </row>
    <row r="1427" spans="1:16" x14ac:dyDescent="0.35">
      <c r="A1427" s="54" t="str">
        <f>IFERROR(IF(INDEX(SPOT_Import!$A$1:$Z$2488,1427,'Live Data'!$C$12)="","",INDEX(SPOT_Import!$A$1:$Z$2488,1427,'Live Data'!$C$12)),"")</f>
        <v/>
      </c>
      <c r="B1427" s="54" t="str">
        <f>IFERROR(IF(INDEX(SPOT_Import!$A$1:$Z$2488,1427,'Live Data'!$C$13)="","",INDEX(SPOT_Import!$A$1:$Z$2488,1427,'Live Data'!$C$13)),"")</f>
        <v/>
      </c>
      <c r="C1427" s="54" t="str">
        <f>IFERROR(IF(INDEX(SPOT_Import!$A$1:$Z$2488,1427,'Live Data'!$C$14)="","",INDEX(SPOT_Import!$A$1:$Z$2488,1427,'Live Data'!$C$14)),"")</f>
        <v/>
      </c>
      <c r="D1427" s="54" t="str">
        <f>IFERROR(IF(INDEX(SPOT_Import!$A$1:$Z$2488,1427,'Live Data'!$C$15)="","",INDEX(SPOT_Import!$A$1:$Z$2488,1427,'Live Data'!$C$15)),"")</f>
        <v/>
      </c>
      <c r="E1427" s="54" t="str">
        <f>IFERROR(IF(INDEX(SPOT_Import!$A$1:$Z$2488,1427,'Live Data'!$C$16)="","",INDEX(SPOT_Import!$A$1:$Z$2488,1427,'Live Data'!$C$16)),"")</f>
        <v/>
      </c>
      <c r="F1427" s="54" t="str">
        <f>IFERROR(IF(INDEX(SPOT_Import!$A$1:$Z$2488,1427,'Live Data'!$C$17)="","",INDEX(SPOT_Import!$A$1:$Z$2488,1427,'Live Data'!$C$17)),"")</f>
        <v/>
      </c>
      <c r="G1427" s="54" t="str">
        <f>IFERROR(IF(INDEX(SPOT_Import!$A$1:$Z$2488,1427,'Live Data'!$C$18)="","",INDEX(SPOT_Import!$A$1:$Z$2488,1427,'Live Data'!$C$18)),"")</f>
        <v/>
      </c>
      <c r="H1427" s="54" t="str">
        <f>IFERROR(IF(INDEX(SPOT_Import!$A$1:$Z$2488,1427,'Live Data'!$C$19)="","",INDEX(SPOT_Import!$A$1:$Z$2488,1427,'Live Data'!$C$19)),"")</f>
        <v/>
      </c>
      <c r="I1427" s="54" t="str">
        <f>IFERROR(IF(INDEX(SPOT_Import!$A$1:$Z$2488,1427,'Live Data'!$C$20)="","",INDEX(SPOT_Import!$A$1:$Z$2488,1427,'Live Data'!$C$20)),"")</f>
        <v/>
      </c>
      <c r="J1427" s="54" t="str">
        <f>IFERROR(IF(INDEX(SPOT_Import!$A$1:$Z$2488,1427,'Live Data'!$C$21)="","",INDEX(SPOT_Import!$A$1:$Z$2488,1427,'Live Data'!$C$21)),"")</f>
        <v/>
      </c>
      <c r="K1427" s="54" t="str">
        <f>IFERROR(IF(INDEX(SPOT_Import!$A$1:$Z$2488,1427,'Live Data'!$C$22)="","",INDEX(SPOT_Import!$A$1:$Z$2488,1427,'Live Data'!$C$22)),"")</f>
        <v/>
      </c>
      <c r="L1427" s="55" t="str">
        <f t="shared" si="44"/>
        <v/>
      </c>
      <c r="M1427" s="55" t="str">
        <f t="shared" si="45"/>
        <v/>
      </c>
      <c r="N1427" s="55" t="str">
        <f>IF(A1427="","",IFERROR(INDEX('Cluster Map'!$A$4:$A$38,MATCH(M1427,'Cluster Map'!$B$4:$B$38,0)),"Unmapped"))</f>
        <v/>
      </c>
      <c r="O1427" s="55">
        <f>IF(A1427="",0,IF(COUNTIFS($A$2:A1427,A1427,$F$2:F1427,F1427,$L$2:L1427,L1427)=1,1,0))</f>
        <v>0</v>
      </c>
      <c r="P1427" s="55">
        <f>IF(A1427="",0,IF(AND(F1427="C&amp;T",COUNTIFS($A$2:A1427,A1427,$F$2:F1427,"C&amp;T")=1),1,0))</f>
        <v>0</v>
      </c>
    </row>
    <row r="1428" spans="1:16" x14ac:dyDescent="0.35">
      <c r="A1428" s="54" t="str">
        <f>IFERROR(IF(INDEX(SPOT_Import!$A$1:$Z$2488,1428,'Live Data'!$C$12)="","",INDEX(SPOT_Import!$A$1:$Z$2488,1428,'Live Data'!$C$12)),"")</f>
        <v/>
      </c>
      <c r="B1428" s="54" t="str">
        <f>IFERROR(IF(INDEX(SPOT_Import!$A$1:$Z$2488,1428,'Live Data'!$C$13)="","",INDEX(SPOT_Import!$A$1:$Z$2488,1428,'Live Data'!$C$13)),"")</f>
        <v/>
      </c>
      <c r="C1428" s="54" t="str">
        <f>IFERROR(IF(INDEX(SPOT_Import!$A$1:$Z$2488,1428,'Live Data'!$C$14)="","",INDEX(SPOT_Import!$A$1:$Z$2488,1428,'Live Data'!$C$14)),"")</f>
        <v/>
      </c>
      <c r="D1428" s="54" t="str">
        <f>IFERROR(IF(INDEX(SPOT_Import!$A$1:$Z$2488,1428,'Live Data'!$C$15)="","",INDEX(SPOT_Import!$A$1:$Z$2488,1428,'Live Data'!$C$15)),"")</f>
        <v/>
      </c>
      <c r="E1428" s="54" t="str">
        <f>IFERROR(IF(INDEX(SPOT_Import!$A$1:$Z$2488,1428,'Live Data'!$C$16)="","",INDEX(SPOT_Import!$A$1:$Z$2488,1428,'Live Data'!$C$16)),"")</f>
        <v/>
      </c>
      <c r="F1428" s="54" t="str">
        <f>IFERROR(IF(INDEX(SPOT_Import!$A$1:$Z$2488,1428,'Live Data'!$C$17)="","",INDEX(SPOT_Import!$A$1:$Z$2488,1428,'Live Data'!$C$17)),"")</f>
        <v/>
      </c>
      <c r="G1428" s="54" t="str">
        <f>IFERROR(IF(INDEX(SPOT_Import!$A$1:$Z$2488,1428,'Live Data'!$C$18)="","",INDEX(SPOT_Import!$A$1:$Z$2488,1428,'Live Data'!$C$18)),"")</f>
        <v/>
      </c>
      <c r="H1428" s="54" t="str">
        <f>IFERROR(IF(INDEX(SPOT_Import!$A$1:$Z$2488,1428,'Live Data'!$C$19)="","",INDEX(SPOT_Import!$A$1:$Z$2488,1428,'Live Data'!$C$19)),"")</f>
        <v/>
      </c>
      <c r="I1428" s="54" t="str">
        <f>IFERROR(IF(INDEX(SPOT_Import!$A$1:$Z$2488,1428,'Live Data'!$C$20)="","",INDEX(SPOT_Import!$A$1:$Z$2488,1428,'Live Data'!$C$20)),"")</f>
        <v/>
      </c>
      <c r="J1428" s="54" t="str">
        <f>IFERROR(IF(INDEX(SPOT_Import!$A$1:$Z$2488,1428,'Live Data'!$C$21)="","",INDEX(SPOT_Import!$A$1:$Z$2488,1428,'Live Data'!$C$21)),"")</f>
        <v/>
      </c>
      <c r="K1428" s="54" t="str">
        <f>IFERROR(IF(INDEX(SPOT_Import!$A$1:$Z$2488,1428,'Live Data'!$C$22)="","",INDEX(SPOT_Import!$A$1:$Z$2488,1428,'Live Data'!$C$22)),"")</f>
        <v/>
      </c>
      <c r="L1428" s="55" t="str">
        <f t="shared" si="44"/>
        <v/>
      </c>
      <c r="M1428" s="55" t="str">
        <f t="shared" si="45"/>
        <v/>
      </c>
      <c r="N1428" s="55" t="str">
        <f>IF(A1428="","",IFERROR(INDEX('Cluster Map'!$A$4:$A$38,MATCH(M1428,'Cluster Map'!$B$4:$B$38,0)),"Unmapped"))</f>
        <v/>
      </c>
      <c r="O1428" s="55">
        <f>IF(A1428="",0,IF(COUNTIFS($A$2:A1428,A1428,$F$2:F1428,F1428,$L$2:L1428,L1428)=1,1,0))</f>
        <v>0</v>
      </c>
      <c r="P1428" s="55">
        <f>IF(A1428="",0,IF(AND(F1428="C&amp;T",COUNTIFS($A$2:A1428,A1428,$F$2:F1428,"C&amp;T")=1),1,0))</f>
        <v>0</v>
      </c>
    </row>
    <row r="1429" spans="1:16" x14ac:dyDescent="0.35">
      <c r="A1429" s="54" t="str">
        <f>IFERROR(IF(INDEX(SPOT_Import!$A$1:$Z$2488,1429,'Live Data'!$C$12)="","",INDEX(SPOT_Import!$A$1:$Z$2488,1429,'Live Data'!$C$12)),"")</f>
        <v/>
      </c>
      <c r="B1429" s="54" t="str">
        <f>IFERROR(IF(INDEX(SPOT_Import!$A$1:$Z$2488,1429,'Live Data'!$C$13)="","",INDEX(SPOT_Import!$A$1:$Z$2488,1429,'Live Data'!$C$13)),"")</f>
        <v/>
      </c>
      <c r="C1429" s="54" t="str">
        <f>IFERROR(IF(INDEX(SPOT_Import!$A$1:$Z$2488,1429,'Live Data'!$C$14)="","",INDEX(SPOT_Import!$A$1:$Z$2488,1429,'Live Data'!$C$14)),"")</f>
        <v/>
      </c>
      <c r="D1429" s="54" t="str">
        <f>IFERROR(IF(INDEX(SPOT_Import!$A$1:$Z$2488,1429,'Live Data'!$C$15)="","",INDEX(SPOT_Import!$A$1:$Z$2488,1429,'Live Data'!$C$15)),"")</f>
        <v/>
      </c>
      <c r="E1429" s="54" t="str">
        <f>IFERROR(IF(INDEX(SPOT_Import!$A$1:$Z$2488,1429,'Live Data'!$C$16)="","",INDEX(SPOT_Import!$A$1:$Z$2488,1429,'Live Data'!$C$16)),"")</f>
        <v/>
      </c>
      <c r="F1429" s="54" t="str">
        <f>IFERROR(IF(INDEX(SPOT_Import!$A$1:$Z$2488,1429,'Live Data'!$C$17)="","",INDEX(SPOT_Import!$A$1:$Z$2488,1429,'Live Data'!$C$17)),"")</f>
        <v/>
      </c>
      <c r="G1429" s="54" t="str">
        <f>IFERROR(IF(INDEX(SPOT_Import!$A$1:$Z$2488,1429,'Live Data'!$C$18)="","",INDEX(SPOT_Import!$A$1:$Z$2488,1429,'Live Data'!$C$18)),"")</f>
        <v/>
      </c>
      <c r="H1429" s="54" t="str">
        <f>IFERROR(IF(INDEX(SPOT_Import!$A$1:$Z$2488,1429,'Live Data'!$C$19)="","",INDEX(SPOT_Import!$A$1:$Z$2488,1429,'Live Data'!$C$19)),"")</f>
        <v/>
      </c>
      <c r="I1429" s="54" t="str">
        <f>IFERROR(IF(INDEX(SPOT_Import!$A$1:$Z$2488,1429,'Live Data'!$C$20)="","",INDEX(SPOT_Import!$A$1:$Z$2488,1429,'Live Data'!$C$20)),"")</f>
        <v/>
      </c>
      <c r="J1429" s="54" t="str">
        <f>IFERROR(IF(INDEX(SPOT_Import!$A$1:$Z$2488,1429,'Live Data'!$C$21)="","",INDEX(SPOT_Import!$A$1:$Z$2488,1429,'Live Data'!$C$21)),"")</f>
        <v/>
      </c>
      <c r="K1429" s="54" t="str">
        <f>IFERROR(IF(INDEX(SPOT_Import!$A$1:$Z$2488,1429,'Live Data'!$C$22)="","",INDEX(SPOT_Import!$A$1:$Z$2488,1429,'Live Data'!$C$22)),"")</f>
        <v/>
      </c>
      <c r="L1429" s="55" t="str">
        <f t="shared" si="44"/>
        <v/>
      </c>
      <c r="M1429" s="55" t="str">
        <f t="shared" si="45"/>
        <v/>
      </c>
      <c r="N1429" s="55" t="str">
        <f>IF(A1429="","",IFERROR(INDEX('Cluster Map'!$A$4:$A$38,MATCH(M1429,'Cluster Map'!$B$4:$B$38,0)),"Unmapped"))</f>
        <v/>
      </c>
      <c r="O1429" s="55">
        <f>IF(A1429="",0,IF(COUNTIFS($A$2:A1429,A1429,$F$2:F1429,F1429,$L$2:L1429,L1429)=1,1,0))</f>
        <v>0</v>
      </c>
      <c r="P1429" s="55">
        <f>IF(A1429="",0,IF(AND(F1429="C&amp;T",COUNTIFS($A$2:A1429,A1429,$F$2:F1429,"C&amp;T")=1),1,0))</f>
        <v>0</v>
      </c>
    </row>
    <row r="1430" spans="1:16" x14ac:dyDescent="0.35">
      <c r="A1430" s="54" t="str">
        <f>IFERROR(IF(INDEX(SPOT_Import!$A$1:$Z$2488,1430,'Live Data'!$C$12)="","",INDEX(SPOT_Import!$A$1:$Z$2488,1430,'Live Data'!$C$12)),"")</f>
        <v/>
      </c>
      <c r="B1430" s="54" t="str">
        <f>IFERROR(IF(INDEX(SPOT_Import!$A$1:$Z$2488,1430,'Live Data'!$C$13)="","",INDEX(SPOT_Import!$A$1:$Z$2488,1430,'Live Data'!$C$13)),"")</f>
        <v/>
      </c>
      <c r="C1430" s="54" t="str">
        <f>IFERROR(IF(INDEX(SPOT_Import!$A$1:$Z$2488,1430,'Live Data'!$C$14)="","",INDEX(SPOT_Import!$A$1:$Z$2488,1430,'Live Data'!$C$14)),"")</f>
        <v/>
      </c>
      <c r="D1430" s="54" t="str">
        <f>IFERROR(IF(INDEX(SPOT_Import!$A$1:$Z$2488,1430,'Live Data'!$C$15)="","",INDEX(SPOT_Import!$A$1:$Z$2488,1430,'Live Data'!$C$15)),"")</f>
        <v/>
      </c>
      <c r="E1430" s="54" t="str">
        <f>IFERROR(IF(INDEX(SPOT_Import!$A$1:$Z$2488,1430,'Live Data'!$C$16)="","",INDEX(SPOT_Import!$A$1:$Z$2488,1430,'Live Data'!$C$16)),"")</f>
        <v/>
      </c>
      <c r="F1430" s="54" t="str">
        <f>IFERROR(IF(INDEX(SPOT_Import!$A$1:$Z$2488,1430,'Live Data'!$C$17)="","",INDEX(SPOT_Import!$A$1:$Z$2488,1430,'Live Data'!$C$17)),"")</f>
        <v/>
      </c>
      <c r="G1430" s="54" t="str">
        <f>IFERROR(IF(INDEX(SPOT_Import!$A$1:$Z$2488,1430,'Live Data'!$C$18)="","",INDEX(SPOT_Import!$A$1:$Z$2488,1430,'Live Data'!$C$18)),"")</f>
        <v/>
      </c>
      <c r="H1430" s="54" t="str">
        <f>IFERROR(IF(INDEX(SPOT_Import!$A$1:$Z$2488,1430,'Live Data'!$C$19)="","",INDEX(SPOT_Import!$A$1:$Z$2488,1430,'Live Data'!$C$19)),"")</f>
        <v/>
      </c>
      <c r="I1430" s="54" t="str">
        <f>IFERROR(IF(INDEX(SPOT_Import!$A$1:$Z$2488,1430,'Live Data'!$C$20)="","",INDEX(SPOT_Import!$A$1:$Z$2488,1430,'Live Data'!$C$20)),"")</f>
        <v/>
      </c>
      <c r="J1430" s="54" t="str">
        <f>IFERROR(IF(INDEX(SPOT_Import!$A$1:$Z$2488,1430,'Live Data'!$C$21)="","",INDEX(SPOT_Import!$A$1:$Z$2488,1430,'Live Data'!$C$21)),"")</f>
        <v/>
      </c>
      <c r="K1430" s="54" t="str">
        <f>IFERROR(IF(INDEX(SPOT_Import!$A$1:$Z$2488,1430,'Live Data'!$C$22)="","",INDEX(SPOT_Import!$A$1:$Z$2488,1430,'Live Data'!$C$22)),"")</f>
        <v/>
      </c>
      <c r="L1430" s="55" t="str">
        <f t="shared" si="44"/>
        <v/>
      </c>
      <c r="M1430" s="55" t="str">
        <f t="shared" si="45"/>
        <v/>
      </c>
      <c r="N1430" s="55" t="str">
        <f>IF(A1430="","",IFERROR(INDEX('Cluster Map'!$A$4:$A$38,MATCH(M1430,'Cluster Map'!$B$4:$B$38,0)),"Unmapped"))</f>
        <v/>
      </c>
      <c r="O1430" s="55">
        <f>IF(A1430="",0,IF(COUNTIFS($A$2:A1430,A1430,$F$2:F1430,F1430,$L$2:L1430,L1430)=1,1,0))</f>
        <v>0</v>
      </c>
      <c r="P1430" s="55">
        <f>IF(A1430="",0,IF(AND(F1430="C&amp;T",COUNTIFS($A$2:A1430,A1430,$F$2:F1430,"C&amp;T")=1),1,0))</f>
        <v>0</v>
      </c>
    </row>
    <row r="1431" spans="1:16" x14ac:dyDescent="0.35">
      <c r="A1431" s="54" t="str">
        <f>IFERROR(IF(INDEX(SPOT_Import!$A$1:$Z$2488,1431,'Live Data'!$C$12)="","",INDEX(SPOT_Import!$A$1:$Z$2488,1431,'Live Data'!$C$12)),"")</f>
        <v/>
      </c>
      <c r="B1431" s="54" t="str">
        <f>IFERROR(IF(INDEX(SPOT_Import!$A$1:$Z$2488,1431,'Live Data'!$C$13)="","",INDEX(SPOT_Import!$A$1:$Z$2488,1431,'Live Data'!$C$13)),"")</f>
        <v/>
      </c>
      <c r="C1431" s="54" t="str">
        <f>IFERROR(IF(INDEX(SPOT_Import!$A$1:$Z$2488,1431,'Live Data'!$C$14)="","",INDEX(SPOT_Import!$A$1:$Z$2488,1431,'Live Data'!$C$14)),"")</f>
        <v/>
      </c>
      <c r="D1431" s="54" t="str">
        <f>IFERROR(IF(INDEX(SPOT_Import!$A$1:$Z$2488,1431,'Live Data'!$C$15)="","",INDEX(SPOT_Import!$A$1:$Z$2488,1431,'Live Data'!$C$15)),"")</f>
        <v/>
      </c>
      <c r="E1431" s="54" t="str">
        <f>IFERROR(IF(INDEX(SPOT_Import!$A$1:$Z$2488,1431,'Live Data'!$C$16)="","",INDEX(SPOT_Import!$A$1:$Z$2488,1431,'Live Data'!$C$16)),"")</f>
        <v/>
      </c>
      <c r="F1431" s="54" t="str">
        <f>IFERROR(IF(INDEX(SPOT_Import!$A$1:$Z$2488,1431,'Live Data'!$C$17)="","",INDEX(SPOT_Import!$A$1:$Z$2488,1431,'Live Data'!$C$17)),"")</f>
        <v/>
      </c>
      <c r="G1431" s="54" t="str">
        <f>IFERROR(IF(INDEX(SPOT_Import!$A$1:$Z$2488,1431,'Live Data'!$C$18)="","",INDEX(SPOT_Import!$A$1:$Z$2488,1431,'Live Data'!$C$18)),"")</f>
        <v/>
      </c>
      <c r="H1431" s="54" t="str">
        <f>IFERROR(IF(INDEX(SPOT_Import!$A$1:$Z$2488,1431,'Live Data'!$C$19)="","",INDEX(SPOT_Import!$A$1:$Z$2488,1431,'Live Data'!$C$19)),"")</f>
        <v/>
      </c>
      <c r="I1431" s="54" t="str">
        <f>IFERROR(IF(INDEX(SPOT_Import!$A$1:$Z$2488,1431,'Live Data'!$C$20)="","",INDEX(SPOT_Import!$A$1:$Z$2488,1431,'Live Data'!$C$20)),"")</f>
        <v/>
      </c>
      <c r="J1431" s="54" t="str">
        <f>IFERROR(IF(INDEX(SPOT_Import!$A$1:$Z$2488,1431,'Live Data'!$C$21)="","",INDEX(SPOT_Import!$A$1:$Z$2488,1431,'Live Data'!$C$21)),"")</f>
        <v/>
      </c>
      <c r="K1431" s="54" t="str">
        <f>IFERROR(IF(INDEX(SPOT_Import!$A$1:$Z$2488,1431,'Live Data'!$C$22)="","",INDEX(SPOT_Import!$A$1:$Z$2488,1431,'Live Data'!$C$22)),"")</f>
        <v/>
      </c>
      <c r="L1431" s="55" t="str">
        <f t="shared" si="44"/>
        <v/>
      </c>
      <c r="M1431" s="55" t="str">
        <f t="shared" si="45"/>
        <v/>
      </c>
      <c r="N1431" s="55" t="str">
        <f>IF(A1431="","",IFERROR(INDEX('Cluster Map'!$A$4:$A$38,MATCH(M1431,'Cluster Map'!$B$4:$B$38,0)),"Unmapped"))</f>
        <v/>
      </c>
      <c r="O1431" s="55">
        <f>IF(A1431="",0,IF(COUNTIFS($A$2:A1431,A1431,$F$2:F1431,F1431,$L$2:L1431,L1431)=1,1,0))</f>
        <v>0</v>
      </c>
      <c r="P1431" s="55">
        <f>IF(A1431="",0,IF(AND(F1431="C&amp;T",COUNTIFS($A$2:A1431,A1431,$F$2:F1431,"C&amp;T")=1),1,0))</f>
        <v>0</v>
      </c>
    </row>
    <row r="1432" spans="1:16" x14ac:dyDescent="0.35">
      <c r="A1432" s="54" t="str">
        <f>IFERROR(IF(INDEX(SPOT_Import!$A$1:$Z$2488,1432,'Live Data'!$C$12)="","",INDEX(SPOT_Import!$A$1:$Z$2488,1432,'Live Data'!$C$12)),"")</f>
        <v/>
      </c>
      <c r="B1432" s="54" t="str">
        <f>IFERROR(IF(INDEX(SPOT_Import!$A$1:$Z$2488,1432,'Live Data'!$C$13)="","",INDEX(SPOT_Import!$A$1:$Z$2488,1432,'Live Data'!$C$13)),"")</f>
        <v/>
      </c>
      <c r="C1432" s="54" t="str">
        <f>IFERROR(IF(INDEX(SPOT_Import!$A$1:$Z$2488,1432,'Live Data'!$C$14)="","",INDEX(SPOT_Import!$A$1:$Z$2488,1432,'Live Data'!$C$14)),"")</f>
        <v/>
      </c>
      <c r="D1432" s="54" t="str">
        <f>IFERROR(IF(INDEX(SPOT_Import!$A$1:$Z$2488,1432,'Live Data'!$C$15)="","",INDEX(SPOT_Import!$A$1:$Z$2488,1432,'Live Data'!$C$15)),"")</f>
        <v/>
      </c>
      <c r="E1432" s="54" t="str">
        <f>IFERROR(IF(INDEX(SPOT_Import!$A$1:$Z$2488,1432,'Live Data'!$C$16)="","",INDEX(SPOT_Import!$A$1:$Z$2488,1432,'Live Data'!$C$16)),"")</f>
        <v/>
      </c>
      <c r="F1432" s="54" t="str">
        <f>IFERROR(IF(INDEX(SPOT_Import!$A$1:$Z$2488,1432,'Live Data'!$C$17)="","",INDEX(SPOT_Import!$A$1:$Z$2488,1432,'Live Data'!$C$17)),"")</f>
        <v/>
      </c>
      <c r="G1432" s="54" t="str">
        <f>IFERROR(IF(INDEX(SPOT_Import!$A$1:$Z$2488,1432,'Live Data'!$C$18)="","",INDEX(SPOT_Import!$A$1:$Z$2488,1432,'Live Data'!$C$18)),"")</f>
        <v/>
      </c>
      <c r="H1432" s="54" t="str">
        <f>IFERROR(IF(INDEX(SPOT_Import!$A$1:$Z$2488,1432,'Live Data'!$C$19)="","",INDEX(SPOT_Import!$A$1:$Z$2488,1432,'Live Data'!$C$19)),"")</f>
        <v/>
      </c>
      <c r="I1432" s="54" t="str">
        <f>IFERROR(IF(INDEX(SPOT_Import!$A$1:$Z$2488,1432,'Live Data'!$C$20)="","",INDEX(SPOT_Import!$A$1:$Z$2488,1432,'Live Data'!$C$20)),"")</f>
        <v/>
      </c>
      <c r="J1432" s="54" t="str">
        <f>IFERROR(IF(INDEX(SPOT_Import!$A$1:$Z$2488,1432,'Live Data'!$C$21)="","",INDEX(SPOT_Import!$A$1:$Z$2488,1432,'Live Data'!$C$21)),"")</f>
        <v/>
      </c>
      <c r="K1432" s="54" t="str">
        <f>IFERROR(IF(INDEX(SPOT_Import!$A$1:$Z$2488,1432,'Live Data'!$C$22)="","",INDEX(SPOT_Import!$A$1:$Z$2488,1432,'Live Data'!$C$22)),"")</f>
        <v/>
      </c>
      <c r="L1432" s="55" t="str">
        <f t="shared" si="44"/>
        <v/>
      </c>
      <c r="M1432" s="55" t="str">
        <f t="shared" si="45"/>
        <v/>
      </c>
      <c r="N1432" s="55" t="str">
        <f>IF(A1432="","",IFERROR(INDEX('Cluster Map'!$A$4:$A$38,MATCH(M1432,'Cluster Map'!$B$4:$B$38,0)),"Unmapped"))</f>
        <v/>
      </c>
      <c r="O1432" s="55">
        <f>IF(A1432="",0,IF(COUNTIFS($A$2:A1432,A1432,$F$2:F1432,F1432,$L$2:L1432,L1432)=1,1,0))</f>
        <v>0</v>
      </c>
      <c r="P1432" s="55">
        <f>IF(A1432="",0,IF(AND(F1432="C&amp;T",COUNTIFS($A$2:A1432,A1432,$F$2:F1432,"C&amp;T")=1),1,0))</f>
        <v>0</v>
      </c>
    </row>
    <row r="1433" spans="1:16" x14ac:dyDescent="0.35">
      <c r="A1433" s="54" t="str">
        <f>IFERROR(IF(INDEX(SPOT_Import!$A$1:$Z$2488,1433,'Live Data'!$C$12)="","",INDEX(SPOT_Import!$A$1:$Z$2488,1433,'Live Data'!$C$12)),"")</f>
        <v/>
      </c>
      <c r="B1433" s="54" t="str">
        <f>IFERROR(IF(INDEX(SPOT_Import!$A$1:$Z$2488,1433,'Live Data'!$C$13)="","",INDEX(SPOT_Import!$A$1:$Z$2488,1433,'Live Data'!$C$13)),"")</f>
        <v/>
      </c>
      <c r="C1433" s="54" t="str">
        <f>IFERROR(IF(INDEX(SPOT_Import!$A$1:$Z$2488,1433,'Live Data'!$C$14)="","",INDEX(SPOT_Import!$A$1:$Z$2488,1433,'Live Data'!$C$14)),"")</f>
        <v/>
      </c>
      <c r="D1433" s="54" t="str">
        <f>IFERROR(IF(INDEX(SPOT_Import!$A$1:$Z$2488,1433,'Live Data'!$C$15)="","",INDEX(SPOT_Import!$A$1:$Z$2488,1433,'Live Data'!$C$15)),"")</f>
        <v/>
      </c>
      <c r="E1433" s="54" t="str">
        <f>IFERROR(IF(INDEX(SPOT_Import!$A$1:$Z$2488,1433,'Live Data'!$C$16)="","",INDEX(SPOT_Import!$A$1:$Z$2488,1433,'Live Data'!$C$16)),"")</f>
        <v/>
      </c>
      <c r="F1433" s="54" t="str">
        <f>IFERROR(IF(INDEX(SPOT_Import!$A$1:$Z$2488,1433,'Live Data'!$C$17)="","",INDEX(SPOT_Import!$A$1:$Z$2488,1433,'Live Data'!$C$17)),"")</f>
        <v/>
      </c>
      <c r="G1433" s="54" t="str">
        <f>IFERROR(IF(INDEX(SPOT_Import!$A$1:$Z$2488,1433,'Live Data'!$C$18)="","",INDEX(SPOT_Import!$A$1:$Z$2488,1433,'Live Data'!$C$18)),"")</f>
        <v/>
      </c>
      <c r="H1433" s="54" t="str">
        <f>IFERROR(IF(INDEX(SPOT_Import!$A$1:$Z$2488,1433,'Live Data'!$C$19)="","",INDEX(SPOT_Import!$A$1:$Z$2488,1433,'Live Data'!$C$19)),"")</f>
        <v/>
      </c>
      <c r="I1433" s="54" t="str">
        <f>IFERROR(IF(INDEX(SPOT_Import!$A$1:$Z$2488,1433,'Live Data'!$C$20)="","",INDEX(SPOT_Import!$A$1:$Z$2488,1433,'Live Data'!$C$20)),"")</f>
        <v/>
      </c>
      <c r="J1433" s="54" t="str">
        <f>IFERROR(IF(INDEX(SPOT_Import!$A$1:$Z$2488,1433,'Live Data'!$C$21)="","",INDEX(SPOT_Import!$A$1:$Z$2488,1433,'Live Data'!$C$21)),"")</f>
        <v/>
      </c>
      <c r="K1433" s="54" t="str">
        <f>IFERROR(IF(INDEX(SPOT_Import!$A$1:$Z$2488,1433,'Live Data'!$C$22)="","",INDEX(SPOT_Import!$A$1:$Z$2488,1433,'Live Data'!$C$22)),"")</f>
        <v/>
      </c>
      <c r="L1433" s="55" t="str">
        <f t="shared" si="44"/>
        <v/>
      </c>
      <c r="M1433" s="55" t="str">
        <f t="shared" si="45"/>
        <v/>
      </c>
      <c r="N1433" s="55" t="str">
        <f>IF(A1433="","",IFERROR(INDEX('Cluster Map'!$A$4:$A$38,MATCH(M1433,'Cluster Map'!$B$4:$B$38,0)),"Unmapped"))</f>
        <v/>
      </c>
      <c r="O1433" s="55">
        <f>IF(A1433="",0,IF(COUNTIFS($A$2:A1433,A1433,$F$2:F1433,F1433,$L$2:L1433,L1433)=1,1,0))</f>
        <v>0</v>
      </c>
      <c r="P1433" s="55">
        <f>IF(A1433="",0,IF(AND(F1433="C&amp;T",COUNTIFS($A$2:A1433,A1433,$F$2:F1433,"C&amp;T")=1),1,0))</f>
        <v>0</v>
      </c>
    </row>
    <row r="1434" spans="1:16" x14ac:dyDescent="0.35">
      <c r="A1434" s="54" t="str">
        <f>IFERROR(IF(INDEX(SPOT_Import!$A$1:$Z$2488,1434,'Live Data'!$C$12)="","",INDEX(SPOT_Import!$A$1:$Z$2488,1434,'Live Data'!$C$12)),"")</f>
        <v/>
      </c>
      <c r="B1434" s="54" t="str">
        <f>IFERROR(IF(INDEX(SPOT_Import!$A$1:$Z$2488,1434,'Live Data'!$C$13)="","",INDEX(SPOT_Import!$A$1:$Z$2488,1434,'Live Data'!$C$13)),"")</f>
        <v/>
      </c>
      <c r="C1434" s="54" t="str">
        <f>IFERROR(IF(INDEX(SPOT_Import!$A$1:$Z$2488,1434,'Live Data'!$C$14)="","",INDEX(SPOT_Import!$A$1:$Z$2488,1434,'Live Data'!$C$14)),"")</f>
        <v/>
      </c>
      <c r="D1434" s="54" t="str">
        <f>IFERROR(IF(INDEX(SPOT_Import!$A$1:$Z$2488,1434,'Live Data'!$C$15)="","",INDEX(SPOT_Import!$A$1:$Z$2488,1434,'Live Data'!$C$15)),"")</f>
        <v/>
      </c>
      <c r="E1434" s="54" t="str">
        <f>IFERROR(IF(INDEX(SPOT_Import!$A$1:$Z$2488,1434,'Live Data'!$C$16)="","",INDEX(SPOT_Import!$A$1:$Z$2488,1434,'Live Data'!$C$16)),"")</f>
        <v/>
      </c>
      <c r="F1434" s="54" t="str">
        <f>IFERROR(IF(INDEX(SPOT_Import!$A$1:$Z$2488,1434,'Live Data'!$C$17)="","",INDEX(SPOT_Import!$A$1:$Z$2488,1434,'Live Data'!$C$17)),"")</f>
        <v/>
      </c>
      <c r="G1434" s="54" t="str">
        <f>IFERROR(IF(INDEX(SPOT_Import!$A$1:$Z$2488,1434,'Live Data'!$C$18)="","",INDEX(SPOT_Import!$A$1:$Z$2488,1434,'Live Data'!$C$18)),"")</f>
        <v/>
      </c>
      <c r="H1434" s="54" t="str">
        <f>IFERROR(IF(INDEX(SPOT_Import!$A$1:$Z$2488,1434,'Live Data'!$C$19)="","",INDEX(SPOT_Import!$A$1:$Z$2488,1434,'Live Data'!$C$19)),"")</f>
        <v/>
      </c>
      <c r="I1434" s="54" t="str">
        <f>IFERROR(IF(INDEX(SPOT_Import!$A$1:$Z$2488,1434,'Live Data'!$C$20)="","",INDEX(SPOT_Import!$A$1:$Z$2488,1434,'Live Data'!$C$20)),"")</f>
        <v/>
      </c>
      <c r="J1434" s="54" t="str">
        <f>IFERROR(IF(INDEX(SPOT_Import!$A$1:$Z$2488,1434,'Live Data'!$C$21)="","",INDEX(SPOT_Import!$A$1:$Z$2488,1434,'Live Data'!$C$21)),"")</f>
        <v/>
      </c>
      <c r="K1434" s="54" t="str">
        <f>IFERROR(IF(INDEX(SPOT_Import!$A$1:$Z$2488,1434,'Live Data'!$C$22)="","",INDEX(SPOT_Import!$A$1:$Z$2488,1434,'Live Data'!$C$22)),"")</f>
        <v/>
      </c>
      <c r="L1434" s="55" t="str">
        <f t="shared" si="44"/>
        <v/>
      </c>
      <c r="M1434" s="55" t="str">
        <f t="shared" si="45"/>
        <v/>
      </c>
      <c r="N1434" s="55" t="str">
        <f>IF(A1434="","",IFERROR(INDEX('Cluster Map'!$A$4:$A$38,MATCH(M1434,'Cluster Map'!$B$4:$B$38,0)),"Unmapped"))</f>
        <v/>
      </c>
      <c r="O1434" s="55">
        <f>IF(A1434="",0,IF(COUNTIFS($A$2:A1434,A1434,$F$2:F1434,F1434,$L$2:L1434,L1434)=1,1,0))</f>
        <v>0</v>
      </c>
      <c r="P1434" s="55">
        <f>IF(A1434="",0,IF(AND(F1434="C&amp;T",COUNTIFS($A$2:A1434,A1434,$F$2:F1434,"C&amp;T")=1),1,0))</f>
        <v>0</v>
      </c>
    </row>
    <row r="1435" spans="1:16" x14ac:dyDescent="0.35">
      <c r="A1435" s="54" t="str">
        <f>IFERROR(IF(INDEX(SPOT_Import!$A$1:$Z$2488,1435,'Live Data'!$C$12)="","",INDEX(SPOT_Import!$A$1:$Z$2488,1435,'Live Data'!$C$12)),"")</f>
        <v/>
      </c>
      <c r="B1435" s="54" t="str">
        <f>IFERROR(IF(INDEX(SPOT_Import!$A$1:$Z$2488,1435,'Live Data'!$C$13)="","",INDEX(SPOT_Import!$A$1:$Z$2488,1435,'Live Data'!$C$13)),"")</f>
        <v/>
      </c>
      <c r="C1435" s="54" t="str">
        <f>IFERROR(IF(INDEX(SPOT_Import!$A$1:$Z$2488,1435,'Live Data'!$C$14)="","",INDEX(SPOT_Import!$A$1:$Z$2488,1435,'Live Data'!$C$14)),"")</f>
        <v/>
      </c>
      <c r="D1435" s="54" t="str">
        <f>IFERROR(IF(INDEX(SPOT_Import!$A$1:$Z$2488,1435,'Live Data'!$C$15)="","",INDEX(SPOT_Import!$A$1:$Z$2488,1435,'Live Data'!$C$15)),"")</f>
        <v/>
      </c>
      <c r="E1435" s="54" t="str">
        <f>IFERROR(IF(INDEX(SPOT_Import!$A$1:$Z$2488,1435,'Live Data'!$C$16)="","",INDEX(SPOT_Import!$A$1:$Z$2488,1435,'Live Data'!$C$16)),"")</f>
        <v/>
      </c>
      <c r="F1435" s="54" t="str">
        <f>IFERROR(IF(INDEX(SPOT_Import!$A$1:$Z$2488,1435,'Live Data'!$C$17)="","",INDEX(SPOT_Import!$A$1:$Z$2488,1435,'Live Data'!$C$17)),"")</f>
        <v/>
      </c>
      <c r="G1435" s="54" t="str">
        <f>IFERROR(IF(INDEX(SPOT_Import!$A$1:$Z$2488,1435,'Live Data'!$C$18)="","",INDEX(SPOT_Import!$A$1:$Z$2488,1435,'Live Data'!$C$18)),"")</f>
        <v/>
      </c>
      <c r="H1435" s="54" t="str">
        <f>IFERROR(IF(INDEX(SPOT_Import!$A$1:$Z$2488,1435,'Live Data'!$C$19)="","",INDEX(SPOT_Import!$A$1:$Z$2488,1435,'Live Data'!$C$19)),"")</f>
        <v/>
      </c>
      <c r="I1435" s="54" t="str">
        <f>IFERROR(IF(INDEX(SPOT_Import!$A$1:$Z$2488,1435,'Live Data'!$C$20)="","",INDEX(SPOT_Import!$A$1:$Z$2488,1435,'Live Data'!$C$20)),"")</f>
        <v/>
      </c>
      <c r="J1435" s="54" t="str">
        <f>IFERROR(IF(INDEX(SPOT_Import!$A$1:$Z$2488,1435,'Live Data'!$C$21)="","",INDEX(SPOT_Import!$A$1:$Z$2488,1435,'Live Data'!$C$21)),"")</f>
        <v/>
      </c>
      <c r="K1435" s="54" t="str">
        <f>IFERROR(IF(INDEX(SPOT_Import!$A$1:$Z$2488,1435,'Live Data'!$C$22)="","",INDEX(SPOT_Import!$A$1:$Z$2488,1435,'Live Data'!$C$22)),"")</f>
        <v/>
      </c>
      <c r="L1435" s="55" t="str">
        <f t="shared" si="44"/>
        <v/>
      </c>
      <c r="M1435" s="55" t="str">
        <f t="shared" si="45"/>
        <v/>
      </c>
      <c r="N1435" s="55" t="str">
        <f>IF(A1435="","",IFERROR(INDEX('Cluster Map'!$A$4:$A$38,MATCH(M1435,'Cluster Map'!$B$4:$B$38,0)),"Unmapped"))</f>
        <v/>
      </c>
      <c r="O1435" s="55">
        <f>IF(A1435="",0,IF(COUNTIFS($A$2:A1435,A1435,$F$2:F1435,F1435,$L$2:L1435,L1435)=1,1,0))</f>
        <v>0</v>
      </c>
      <c r="P1435" s="55">
        <f>IF(A1435="",0,IF(AND(F1435="C&amp;T",COUNTIFS($A$2:A1435,A1435,$F$2:F1435,"C&amp;T")=1),1,0))</f>
        <v>0</v>
      </c>
    </row>
    <row r="1436" spans="1:16" x14ac:dyDescent="0.35">
      <c r="A1436" s="54" t="str">
        <f>IFERROR(IF(INDEX(SPOT_Import!$A$1:$Z$2488,1436,'Live Data'!$C$12)="","",INDEX(SPOT_Import!$A$1:$Z$2488,1436,'Live Data'!$C$12)),"")</f>
        <v/>
      </c>
      <c r="B1436" s="54" t="str">
        <f>IFERROR(IF(INDEX(SPOT_Import!$A$1:$Z$2488,1436,'Live Data'!$C$13)="","",INDEX(SPOT_Import!$A$1:$Z$2488,1436,'Live Data'!$C$13)),"")</f>
        <v/>
      </c>
      <c r="C1436" s="54" t="str">
        <f>IFERROR(IF(INDEX(SPOT_Import!$A$1:$Z$2488,1436,'Live Data'!$C$14)="","",INDEX(SPOT_Import!$A$1:$Z$2488,1436,'Live Data'!$C$14)),"")</f>
        <v/>
      </c>
      <c r="D1436" s="54" t="str">
        <f>IFERROR(IF(INDEX(SPOT_Import!$A$1:$Z$2488,1436,'Live Data'!$C$15)="","",INDEX(SPOT_Import!$A$1:$Z$2488,1436,'Live Data'!$C$15)),"")</f>
        <v/>
      </c>
      <c r="E1436" s="54" t="str">
        <f>IFERROR(IF(INDEX(SPOT_Import!$A$1:$Z$2488,1436,'Live Data'!$C$16)="","",INDEX(SPOT_Import!$A$1:$Z$2488,1436,'Live Data'!$C$16)),"")</f>
        <v/>
      </c>
      <c r="F1436" s="54" t="str">
        <f>IFERROR(IF(INDEX(SPOT_Import!$A$1:$Z$2488,1436,'Live Data'!$C$17)="","",INDEX(SPOT_Import!$A$1:$Z$2488,1436,'Live Data'!$C$17)),"")</f>
        <v/>
      </c>
      <c r="G1436" s="54" t="str">
        <f>IFERROR(IF(INDEX(SPOT_Import!$A$1:$Z$2488,1436,'Live Data'!$C$18)="","",INDEX(SPOT_Import!$A$1:$Z$2488,1436,'Live Data'!$C$18)),"")</f>
        <v/>
      </c>
      <c r="H1436" s="54" t="str">
        <f>IFERROR(IF(INDEX(SPOT_Import!$A$1:$Z$2488,1436,'Live Data'!$C$19)="","",INDEX(SPOT_Import!$A$1:$Z$2488,1436,'Live Data'!$C$19)),"")</f>
        <v/>
      </c>
      <c r="I1436" s="54" t="str">
        <f>IFERROR(IF(INDEX(SPOT_Import!$A$1:$Z$2488,1436,'Live Data'!$C$20)="","",INDEX(SPOT_Import!$A$1:$Z$2488,1436,'Live Data'!$C$20)),"")</f>
        <v/>
      </c>
      <c r="J1436" s="54" t="str">
        <f>IFERROR(IF(INDEX(SPOT_Import!$A$1:$Z$2488,1436,'Live Data'!$C$21)="","",INDEX(SPOT_Import!$A$1:$Z$2488,1436,'Live Data'!$C$21)),"")</f>
        <v/>
      </c>
      <c r="K1436" s="54" t="str">
        <f>IFERROR(IF(INDEX(SPOT_Import!$A$1:$Z$2488,1436,'Live Data'!$C$22)="","",INDEX(SPOT_Import!$A$1:$Z$2488,1436,'Live Data'!$C$22)),"")</f>
        <v/>
      </c>
      <c r="L1436" s="55" t="str">
        <f t="shared" si="44"/>
        <v/>
      </c>
      <c r="M1436" s="55" t="str">
        <f t="shared" si="45"/>
        <v/>
      </c>
      <c r="N1436" s="55" t="str">
        <f>IF(A1436="","",IFERROR(INDEX('Cluster Map'!$A$4:$A$38,MATCH(M1436,'Cluster Map'!$B$4:$B$38,0)),"Unmapped"))</f>
        <v/>
      </c>
      <c r="O1436" s="55">
        <f>IF(A1436="",0,IF(COUNTIFS($A$2:A1436,A1436,$F$2:F1436,F1436,$L$2:L1436,L1436)=1,1,0))</f>
        <v>0</v>
      </c>
      <c r="P1436" s="55">
        <f>IF(A1436="",0,IF(AND(F1436="C&amp;T",COUNTIFS($A$2:A1436,A1436,$F$2:F1436,"C&amp;T")=1),1,0))</f>
        <v>0</v>
      </c>
    </row>
    <row r="1437" spans="1:16" x14ac:dyDescent="0.35">
      <c r="A1437" s="54" t="str">
        <f>IFERROR(IF(INDEX(SPOT_Import!$A$1:$Z$2488,1437,'Live Data'!$C$12)="","",INDEX(SPOT_Import!$A$1:$Z$2488,1437,'Live Data'!$C$12)),"")</f>
        <v/>
      </c>
      <c r="B1437" s="54" t="str">
        <f>IFERROR(IF(INDEX(SPOT_Import!$A$1:$Z$2488,1437,'Live Data'!$C$13)="","",INDEX(SPOT_Import!$A$1:$Z$2488,1437,'Live Data'!$C$13)),"")</f>
        <v/>
      </c>
      <c r="C1437" s="54" t="str">
        <f>IFERROR(IF(INDEX(SPOT_Import!$A$1:$Z$2488,1437,'Live Data'!$C$14)="","",INDEX(SPOT_Import!$A$1:$Z$2488,1437,'Live Data'!$C$14)),"")</f>
        <v/>
      </c>
      <c r="D1437" s="54" t="str">
        <f>IFERROR(IF(INDEX(SPOT_Import!$A$1:$Z$2488,1437,'Live Data'!$C$15)="","",INDEX(SPOT_Import!$A$1:$Z$2488,1437,'Live Data'!$C$15)),"")</f>
        <v/>
      </c>
      <c r="E1437" s="54" t="str">
        <f>IFERROR(IF(INDEX(SPOT_Import!$A$1:$Z$2488,1437,'Live Data'!$C$16)="","",INDEX(SPOT_Import!$A$1:$Z$2488,1437,'Live Data'!$C$16)),"")</f>
        <v/>
      </c>
      <c r="F1437" s="54" t="str">
        <f>IFERROR(IF(INDEX(SPOT_Import!$A$1:$Z$2488,1437,'Live Data'!$C$17)="","",INDEX(SPOT_Import!$A$1:$Z$2488,1437,'Live Data'!$C$17)),"")</f>
        <v/>
      </c>
      <c r="G1437" s="54" t="str">
        <f>IFERROR(IF(INDEX(SPOT_Import!$A$1:$Z$2488,1437,'Live Data'!$C$18)="","",INDEX(SPOT_Import!$A$1:$Z$2488,1437,'Live Data'!$C$18)),"")</f>
        <v/>
      </c>
      <c r="H1437" s="54" t="str">
        <f>IFERROR(IF(INDEX(SPOT_Import!$A$1:$Z$2488,1437,'Live Data'!$C$19)="","",INDEX(SPOT_Import!$A$1:$Z$2488,1437,'Live Data'!$C$19)),"")</f>
        <v/>
      </c>
      <c r="I1437" s="54" t="str">
        <f>IFERROR(IF(INDEX(SPOT_Import!$A$1:$Z$2488,1437,'Live Data'!$C$20)="","",INDEX(SPOT_Import!$A$1:$Z$2488,1437,'Live Data'!$C$20)),"")</f>
        <v/>
      </c>
      <c r="J1437" s="54" t="str">
        <f>IFERROR(IF(INDEX(SPOT_Import!$A$1:$Z$2488,1437,'Live Data'!$C$21)="","",INDEX(SPOT_Import!$A$1:$Z$2488,1437,'Live Data'!$C$21)),"")</f>
        <v/>
      </c>
      <c r="K1437" s="54" t="str">
        <f>IFERROR(IF(INDEX(SPOT_Import!$A$1:$Z$2488,1437,'Live Data'!$C$22)="","",INDEX(SPOT_Import!$A$1:$Z$2488,1437,'Live Data'!$C$22)),"")</f>
        <v/>
      </c>
      <c r="L1437" s="55" t="str">
        <f t="shared" si="44"/>
        <v/>
      </c>
      <c r="M1437" s="55" t="str">
        <f t="shared" si="45"/>
        <v/>
      </c>
      <c r="N1437" s="55" t="str">
        <f>IF(A1437="","",IFERROR(INDEX('Cluster Map'!$A$4:$A$38,MATCH(M1437,'Cluster Map'!$B$4:$B$38,0)),"Unmapped"))</f>
        <v/>
      </c>
      <c r="O1437" s="55">
        <f>IF(A1437="",0,IF(COUNTIFS($A$2:A1437,A1437,$F$2:F1437,F1437,$L$2:L1437,L1437)=1,1,0))</f>
        <v>0</v>
      </c>
      <c r="P1437" s="55">
        <f>IF(A1437="",0,IF(AND(F1437="C&amp;T",COUNTIFS($A$2:A1437,A1437,$F$2:F1437,"C&amp;T")=1),1,0))</f>
        <v>0</v>
      </c>
    </row>
    <row r="1438" spans="1:16" x14ac:dyDescent="0.35">
      <c r="A1438" s="54" t="str">
        <f>IFERROR(IF(INDEX(SPOT_Import!$A$1:$Z$2488,1438,'Live Data'!$C$12)="","",INDEX(SPOT_Import!$A$1:$Z$2488,1438,'Live Data'!$C$12)),"")</f>
        <v/>
      </c>
      <c r="B1438" s="54" t="str">
        <f>IFERROR(IF(INDEX(SPOT_Import!$A$1:$Z$2488,1438,'Live Data'!$C$13)="","",INDEX(SPOT_Import!$A$1:$Z$2488,1438,'Live Data'!$C$13)),"")</f>
        <v/>
      </c>
      <c r="C1438" s="54" t="str">
        <f>IFERROR(IF(INDEX(SPOT_Import!$A$1:$Z$2488,1438,'Live Data'!$C$14)="","",INDEX(SPOT_Import!$A$1:$Z$2488,1438,'Live Data'!$C$14)),"")</f>
        <v/>
      </c>
      <c r="D1438" s="54" t="str">
        <f>IFERROR(IF(INDEX(SPOT_Import!$A$1:$Z$2488,1438,'Live Data'!$C$15)="","",INDEX(SPOT_Import!$A$1:$Z$2488,1438,'Live Data'!$C$15)),"")</f>
        <v/>
      </c>
      <c r="E1438" s="54" t="str">
        <f>IFERROR(IF(INDEX(SPOT_Import!$A$1:$Z$2488,1438,'Live Data'!$C$16)="","",INDEX(SPOT_Import!$A$1:$Z$2488,1438,'Live Data'!$C$16)),"")</f>
        <v/>
      </c>
      <c r="F1438" s="54" t="str">
        <f>IFERROR(IF(INDEX(SPOT_Import!$A$1:$Z$2488,1438,'Live Data'!$C$17)="","",INDEX(SPOT_Import!$A$1:$Z$2488,1438,'Live Data'!$C$17)),"")</f>
        <v/>
      </c>
      <c r="G1438" s="54" t="str">
        <f>IFERROR(IF(INDEX(SPOT_Import!$A$1:$Z$2488,1438,'Live Data'!$C$18)="","",INDEX(SPOT_Import!$A$1:$Z$2488,1438,'Live Data'!$C$18)),"")</f>
        <v/>
      </c>
      <c r="H1438" s="54" t="str">
        <f>IFERROR(IF(INDEX(SPOT_Import!$A$1:$Z$2488,1438,'Live Data'!$C$19)="","",INDEX(SPOT_Import!$A$1:$Z$2488,1438,'Live Data'!$C$19)),"")</f>
        <v/>
      </c>
      <c r="I1438" s="54" t="str">
        <f>IFERROR(IF(INDEX(SPOT_Import!$A$1:$Z$2488,1438,'Live Data'!$C$20)="","",INDEX(SPOT_Import!$A$1:$Z$2488,1438,'Live Data'!$C$20)),"")</f>
        <v/>
      </c>
      <c r="J1438" s="54" t="str">
        <f>IFERROR(IF(INDEX(SPOT_Import!$A$1:$Z$2488,1438,'Live Data'!$C$21)="","",INDEX(SPOT_Import!$A$1:$Z$2488,1438,'Live Data'!$C$21)),"")</f>
        <v/>
      </c>
      <c r="K1438" s="54" t="str">
        <f>IFERROR(IF(INDEX(SPOT_Import!$A$1:$Z$2488,1438,'Live Data'!$C$22)="","",INDEX(SPOT_Import!$A$1:$Z$2488,1438,'Live Data'!$C$22)),"")</f>
        <v/>
      </c>
      <c r="L1438" s="55" t="str">
        <f t="shared" si="44"/>
        <v/>
      </c>
      <c r="M1438" s="55" t="str">
        <f t="shared" si="45"/>
        <v/>
      </c>
      <c r="N1438" s="55" t="str">
        <f>IF(A1438="","",IFERROR(INDEX('Cluster Map'!$A$4:$A$38,MATCH(M1438,'Cluster Map'!$B$4:$B$38,0)),"Unmapped"))</f>
        <v/>
      </c>
      <c r="O1438" s="55">
        <f>IF(A1438="",0,IF(COUNTIFS($A$2:A1438,A1438,$F$2:F1438,F1438,$L$2:L1438,L1438)=1,1,0))</f>
        <v>0</v>
      </c>
      <c r="P1438" s="55">
        <f>IF(A1438="",0,IF(AND(F1438="C&amp;T",COUNTIFS($A$2:A1438,A1438,$F$2:F1438,"C&amp;T")=1),1,0))</f>
        <v>0</v>
      </c>
    </row>
    <row r="1439" spans="1:16" x14ac:dyDescent="0.35">
      <c r="A1439" s="54" t="str">
        <f>IFERROR(IF(INDEX(SPOT_Import!$A$1:$Z$2488,1439,'Live Data'!$C$12)="","",INDEX(SPOT_Import!$A$1:$Z$2488,1439,'Live Data'!$C$12)),"")</f>
        <v/>
      </c>
      <c r="B1439" s="54" t="str">
        <f>IFERROR(IF(INDEX(SPOT_Import!$A$1:$Z$2488,1439,'Live Data'!$C$13)="","",INDEX(SPOT_Import!$A$1:$Z$2488,1439,'Live Data'!$C$13)),"")</f>
        <v/>
      </c>
      <c r="C1439" s="54" t="str">
        <f>IFERROR(IF(INDEX(SPOT_Import!$A$1:$Z$2488,1439,'Live Data'!$C$14)="","",INDEX(SPOT_Import!$A$1:$Z$2488,1439,'Live Data'!$C$14)),"")</f>
        <v/>
      </c>
      <c r="D1439" s="54" t="str">
        <f>IFERROR(IF(INDEX(SPOT_Import!$A$1:$Z$2488,1439,'Live Data'!$C$15)="","",INDEX(SPOT_Import!$A$1:$Z$2488,1439,'Live Data'!$C$15)),"")</f>
        <v/>
      </c>
      <c r="E1439" s="54" t="str">
        <f>IFERROR(IF(INDEX(SPOT_Import!$A$1:$Z$2488,1439,'Live Data'!$C$16)="","",INDEX(SPOT_Import!$A$1:$Z$2488,1439,'Live Data'!$C$16)),"")</f>
        <v/>
      </c>
      <c r="F1439" s="54" t="str">
        <f>IFERROR(IF(INDEX(SPOT_Import!$A$1:$Z$2488,1439,'Live Data'!$C$17)="","",INDEX(SPOT_Import!$A$1:$Z$2488,1439,'Live Data'!$C$17)),"")</f>
        <v/>
      </c>
      <c r="G1439" s="54" t="str">
        <f>IFERROR(IF(INDEX(SPOT_Import!$A$1:$Z$2488,1439,'Live Data'!$C$18)="","",INDEX(SPOT_Import!$A$1:$Z$2488,1439,'Live Data'!$C$18)),"")</f>
        <v/>
      </c>
      <c r="H1439" s="54" t="str">
        <f>IFERROR(IF(INDEX(SPOT_Import!$A$1:$Z$2488,1439,'Live Data'!$C$19)="","",INDEX(SPOT_Import!$A$1:$Z$2488,1439,'Live Data'!$C$19)),"")</f>
        <v/>
      </c>
      <c r="I1439" s="54" t="str">
        <f>IFERROR(IF(INDEX(SPOT_Import!$A$1:$Z$2488,1439,'Live Data'!$C$20)="","",INDEX(SPOT_Import!$A$1:$Z$2488,1439,'Live Data'!$C$20)),"")</f>
        <v/>
      </c>
      <c r="J1439" s="54" t="str">
        <f>IFERROR(IF(INDEX(SPOT_Import!$A$1:$Z$2488,1439,'Live Data'!$C$21)="","",INDEX(SPOT_Import!$A$1:$Z$2488,1439,'Live Data'!$C$21)),"")</f>
        <v/>
      </c>
      <c r="K1439" s="54" t="str">
        <f>IFERROR(IF(INDEX(SPOT_Import!$A$1:$Z$2488,1439,'Live Data'!$C$22)="","",INDEX(SPOT_Import!$A$1:$Z$2488,1439,'Live Data'!$C$22)),"")</f>
        <v/>
      </c>
      <c r="L1439" s="55" t="str">
        <f t="shared" si="44"/>
        <v/>
      </c>
      <c r="M1439" s="55" t="str">
        <f t="shared" si="45"/>
        <v/>
      </c>
      <c r="N1439" s="55" t="str">
        <f>IF(A1439="","",IFERROR(INDEX('Cluster Map'!$A$4:$A$38,MATCH(M1439,'Cluster Map'!$B$4:$B$38,0)),"Unmapped"))</f>
        <v/>
      </c>
      <c r="O1439" s="55">
        <f>IF(A1439="",0,IF(COUNTIFS($A$2:A1439,A1439,$F$2:F1439,F1439,$L$2:L1439,L1439)=1,1,0))</f>
        <v>0</v>
      </c>
      <c r="P1439" s="55">
        <f>IF(A1439="",0,IF(AND(F1439="C&amp;T",COUNTIFS($A$2:A1439,A1439,$F$2:F1439,"C&amp;T")=1),1,0))</f>
        <v>0</v>
      </c>
    </row>
    <row r="1440" spans="1:16" x14ac:dyDescent="0.35">
      <c r="A1440" s="54" t="str">
        <f>IFERROR(IF(INDEX(SPOT_Import!$A$1:$Z$2488,1440,'Live Data'!$C$12)="","",INDEX(SPOT_Import!$A$1:$Z$2488,1440,'Live Data'!$C$12)),"")</f>
        <v/>
      </c>
      <c r="B1440" s="54" t="str">
        <f>IFERROR(IF(INDEX(SPOT_Import!$A$1:$Z$2488,1440,'Live Data'!$C$13)="","",INDEX(SPOT_Import!$A$1:$Z$2488,1440,'Live Data'!$C$13)),"")</f>
        <v/>
      </c>
      <c r="C1440" s="54" t="str">
        <f>IFERROR(IF(INDEX(SPOT_Import!$A$1:$Z$2488,1440,'Live Data'!$C$14)="","",INDEX(SPOT_Import!$A$1:$Z$2488,1440,'Live Data'!$C$14)),"")</f>
        <v/>
      </c>
      <c r="D1440" s="54" t="str">
        <f>IFERROR(IF(INDEX(SPOT_Import!$A$1:$Z$2488,1440,'Live Data'!$C$15)="","",INDEX(SPOT_Import!$A$1:$Z$2488,1440,'Live Data'!$C$15)),"")</f>
        <v/>
      </c>
      <c r="E1440" s="54" t="str">
        <f>IFERROR(IF(INDEX(SPOT_Import!$A$1:$Z$2488,1440,'Live Data'!$C$16)="","",INDEX(SPOT_Import!$A$1:$Z$2488,1440,'Live Data'!$C$16)),"")</f>
        <v/>
      </c>
      <c r="F1440" s="54" t="str">
        <f>IFERROR(IF(INDEX(SPOT_Import!$A$1:$Z$2488,1440,'Live Data'!$C$17)="","",INDEX(SPOT_Import!$A$1:$Z$2488,1440,'Live Data'!$C$17)),"")</f>
        <v/>
      </c>
      <c r="G1440" s="54" t="str">
        <f>IFERROR(IF(INDEX(SPOT_Import!$A$1:$Z$2488,1440,'Live Data'!$C$18)="","",INDEX(SPOT_Import!$A$1:$Z$2488,1440,'Live Data'!$C$18)),"")</f>
        <v/>
      </c>
      <c r="H1440" s="54" t="str">
        <f>IFERROR(IF(INDEX(SPOT_Import!$A$1:$Z$2488,1440,'Live Data'!$C$19)="","",INDEX(SPOT_Import!$A$1:$Z$2488,1440,'Live Data'!$C$19)),"")</f>
        <v/>
      </c>
      <c r="I1440" s="54" t="str">
        <f>IFERROR(IF(INDEX(SPOT_Import!$A$1:$Z$2488,1440,'Live Data'!$C$20)="","",INDEX(SPOT_Import!$A$1:$Z$2488,1440,'Live Data'!$C$20)),"")</f>
        <v/>
      </c>
      <c r="J1440" s="54" t="str">
        <f>IFERROR(IF(INDEX(SPOT_Import!$A$1:$Z$2488,1440,'Live Data'!$C$21)="","",INDEX(SPOT_Import!$A$1:$Z$2488,1440,'Live Data'!$C$21)),"")</f>
        <v/>
      </c>
      <c r="K1440" s="54" t="str">
        <f>IFERROR(IF(INDEX(SPOT_Import!$A$1:$Z$2488,1440,'Live Data'!$C$22)="","",INDEX(SPOT_Import!$A$1:$Z$2488,1440,'Live Data'!$C$22)),"")</f>
        <v/>
      </c>
      <c r="L1440" s="55" t="str">
        <f t="shared" si="44"/>
        <v/>
      </c>
      <c r="M1440" s="55" t="str">
        <f t="shared" si="45"/>
        <v/>
      </c>
      <c r="N1440" s="55" t="str">
        <f>IF(A1440="","",IFERROR(INDEX('Cluster Map'!$A$4:$A$38,MATCH(M1440,'Cluster Map'!$B$4:$B$38,0)),"Unmapped"))</f>
        <v/>
      </c>
      <c r="O1440" s="55">
        <f>IF(A1440="",0,IF(COUNTIFS($A$2:A1440,A1440,$F$2:F1440,F1440,$L$2:L1440,L1440)=1,1,0))</f>
        <v>0</v>
      </c>
      <c r="P1440" s="55">
        <f>IF(A1440="",0,IF(AND(F1440="C&amp;T",COUNTIFS($A$2:A1440,A1440,$F$2:F1440,"C&amp;T")=1),1,0))</f>
        <v>0</v>
      </c>
    </row>
    <row r="1441" spans="1:16" x14ac:dyDescent="0.35">
      <c r="A1441" s="54" t="str">
        <f>IFERROR(IF(INDEX(SPOT_Import!$A$1:$Z$2488,1441,'Live Data'!$C$12)="","",INDEX(SPOT_Import!$A$1:$Z$2488,1441,'Live Data'!$C$12)),"")</f>
        <v/>
      </c>
      <c r="B1441" s="54" t="str">
        <f>IFERROR(IF(INDEX(SPOT_Import!$A$1:$Z$2488,1441,'Live Data'!$C$13)="","",INDEX(SPOT_Import!$A$1:$Z$2488,1441,'Live Data'!$C$13)),"")</f>
        <v/>
      </c>
      <c r="C1441" s="54" t="str">
        <f>IFERROR(IF(INDEX(SPOT_Import!$A$1:$Z$2488,1441,'Live Data'!$C$14)="","",INDEX(SPOT_Import!$A$1:$Z$2488,1441,'Live Data'!$C$14)),"")</f>
        <v/>
      </c>
      <c r="D1441" s="54" t="str">
        <f>IFERROR(IF(INDEX(SPOT_Import!$A$1:$Z$2488,1441,'Live Data'!$C$15)="","",INDEX(SPOT_Import!$A$1:$Z$2488,1441,'Live Data'!$C$15)),"")</f>
        <v/>
      </c>
      <c r="E1441" s="54" t="str">
        <f>IFERROR(IF(INDEX(SPOT_Import!$A$1:$Z$2488,1441,'Live Data'!$C$16)="","",INDEX(SPOT_Import!$A$1:$Z$2488,1441,'Live Data'!$C$16)),"")</f>
        <v/>
      </c>
      <c r="F1441" s="54" t="str">
        <f>IFERROR(IF(INDEX(SPOT_Import!$A$1:$Z$2488,1441,'Live Data'!$C$17)="","",INDEX(SPOT_Import!$A$1:$Z$2488,1441,'Live Data'!$C$17)),"")</f>
        <v/>
      </c>
      <c r="G1441" s="54" t="str">
        <f>IFERROR(IF(INDEX(SPOT_Import!$A$1:$Z$2488,1441,'Live Data'!$C$18)="","",INDEX(SPOT_Import!$A$1:$Z$2488,1441,'Live Data'!$C$18)),"")</f>
        <v/>
      </c>
      <c r="H1441" s="54" t="str">
        <f>IFERROR(IF(INDEX(SPOT_Import!$A$1:$Z$2488,1441,'Live Data'!$C$19)="","",INDEX(SPOT_Import!$A$1:$Z$2488,1441,'Live Data'!$C$19)),"")</f>
        <v/>
      </c>
      <c r="I1441" s="54" t="str">
        <f>IFERROR(IF(INDEX(SPOT_Import!$A$1:$Z$2488,1441,'Live Data'!$C$20)="","",INDEX(SPOT_Import!$A$1:$Z$2488,1441,'Live Data'!$C$20)),"")</f>
        <v/>
      </c>
      <c r="J1441" s="54" t="str">
        <f>IFERROR(IF(INDEX(SPOT_Import!$A$1:$Z$2488,1441,'Live Data'!$C$21)="","",INDEX(SPOT_Import!$A$1:$Z$2488,1441,'Live Data'!$C$21)),"")</f>
        <v/>
      </c>
      <c r="K1441" s="54" t="str">
        <f>IFERROR(IF(INDEX(SPOT_Import!$A$1:$Z$2488,1441,'Live Data'!$C$22)="","",INDEX(SPOT_Import!$A$1:$Z$2488,1441,'Live Data'!$C$22)),"")</f>
        <v/>
      </c>
      <c r="L1441" s="55" t="str">
        <f t="shared" si="44"/>
        <v/>
      </c>
      <c r="M1441" s="55" t="str">
        <f t="shared" si="45"/>
        <v/>
      </c>
      <c r="N1441" s="55" t="str">
        <f>IF(A1441="","",IFERROR(INDEX('Cluster Map'!$A$4:$A$38,MATCH(M1441,'Cluster Map'!$B$4:$B$38,0)),"Unmapped"))</f>
        <v/>
      </c>
      <c r="O1441" s="55">
        <f>IF(A1441="",0,IF(COUNTIFS($A$2:A1441,A1441,$F$2:F1441,F1441,$L$2:L1441,L1441)=1,1,0))</f>
        <v>0</v>
      </c>
      <c r="P1441" s="55">
        <f>IF(A1441="",0,IF(AND(F1441="C&amp;T",COUNTIFS($A$2:A1441,A1441,$F$2:F1441,"C&amp;T")=1),1,0))</f>
        <v>0</v>
      </c>
    </row>
    <row r="1442" spans="1:16" x14ac:dyDescent="0.35">
      <c r="A1442" s="54" t="str">
        <f>IFERROR(IF(INDEX(SPOT_Import!$A$1:$Z$2488,1442,'Live Data'!$C$12)="","",INDEX(SPOT_Import!$A$1:$Z$2488,1442,'Live Data'!$C$12)),"")</f>
        <v/>
      </c>
      <c r="B1442" s="54" t="str">
        <f>IFERROR(IF(INDEX(SPOT_Import!$A$1:$Z$2488,1442,'Live Data'!$C$13)="","",INDEX(SPOT_Import!$A$1:$Z$2488,1442,'Live Data'!$C$13)),"")</f>
        <v/>
      </c>
      <c r="C1442" s="54" t="str">
        <f>IFERROR(IF(INDEX(SPOT_Import!$A$1:$Z$2488,1442,'Live Data'!$C$14)="","",INDEX(SPOT_Import!$A$1:$Z$2488,1442,'Live Data'!$C$14)),"")</f>
        <v/>
      </c>
      <c r="D1442" s="54" t="str">
        <f>IFERROR(IF(INDEX(SPOT_Import!$A$1:$Z$2488,1442,'Live Data'!$C$15)="","",INDEX(SPOT_Import!$A$1:$Z$2488,1442,'Live Data'!$C$15)),"")</f>
        <v/>
      </c>
      <c r="E1442" s="54" t="str">
        <f>IFERROR(IF(INDEX(SPOT_Import!$A$1:$Z$2488,1442,'Live Data'!$C$16)="","",INDEX(SPOT_Import!$A$1:$Z$2488,1442,'Live Data'!$C$16)),"")</f>
        <v/>
      </c>
      <c r="F1442" s="54" t="str">
        <f>IFERROR(IF(INDEX(SPOT_Import!$A$1:$Z$2488,1442,'Live Data'!$C$17)="","",INDEX(SPOT_Import!$A$1:$Z$2488,1442,'Live Data'!$C$17)),"")</f>
        <v/>
      </c>
      <c r="G1442" s="54" t="str">
        <f>IFERROR(IF(INDEX(SPOT_Import!$A$1:$Z$2488,1442,'Live Data'!$C$18)="","",INDEX(SPOT_Import!$A$1:$Z$2488,1442,'Live Data'!$C$18)),"")</f>
        <v/>
      </c>
      <c r="H1442" s="54" t="str">
        <f>IFERROR(IF(INDEX(SPOT_Import!$A$1:$Z$2488,1442,'Live Data'!$C$19)="","",INDEX(SPOT_Import!$A$1:$Z$2488,1442,'Live Data'!$C$19)),"")</f>
        <v/>
      </c>
      <c r="I1442" s="54" t="str">
        <f>IFERROR(IF(INDEX(SPOT_Import!$A$1:$Z$2488,1442,'Live Data'!$C$20)="","",INDEX(SPOT_Import!$A$1:$Z$2488,1442,'Live Data'!$C$20)),"")</f>
        <v/>
      </c>
      <c r="J1442" s="54" t="str">
        <f>IFERROR(IF(INDEX(SPOT_Import!$A$1:$Z$2488,1442,'Live Data'!$C$21)="","",INDEX(SPOT_Import!$A$1:$Z$2488,1442,'Live Data'!$C$21)),"")</f>
        <v/>
      </c>
      <c r="K1442" s="54" t="str">
        <f>IFERROR(IF(INDEX(SPOT_Import!$A$1:$Z$2488,1442,'Live Data'!$C$22)="","",INDEX(SPOT_Import!$A$1:$Z$2488,1442,'Live Data'!$C$22)),"")</f>
        <v/>
      </c>
      <c r="L1442" s="55" t="str">
        <f t="shared" si="44"/>
        <v/>
      </c>
      <c r="M1442" s="55" t="str">
        <f t="shared" si="45"/>
        <v/>
      </c>
      <c r="N1442" s="55" t="str">
        <f>IF(A1442="","",IFERROR(INDEX('Cluster Map'!$A$4:$A$38,MATCH(M1442,'Cluster Map'!$B$4:$B$38,0)),"Unmapped"))</f>
        <v/>
      </c>
      <c r="O1442" s="55">
        <f>IF(A1442="",0,IF(COUNTIFS($A$2:A1442,A1442,$F$2:F1442,F1442,$L$2:L1442,L1442)=1,1,0))</f>
        <v>0</v>
      </c>
      <c r="P1442" s="55">
        <f>IF(A1442="",0,IF(AND(F1442="C&amp;T",COUNTIFS($A$2:A1442,A1442,$F$2:F1442,"C&amp;T")=1),1,0))</f>
        <v>0</v>
      </c>
    </row>
    <row r="1443" spans="1:16" x14ac:dyDescent="0.35">
      <c r="A1443" s="54" t="str">
        <f>IFERROR(IF(INDEX(SPOT_Import!$A$1:$Z$2488,1443,'Live Data'!$C$12)="","",INDEX(SPOT_Import!$A$1:$Z$2488,1443,'Live Data'!$C$12)),"")</f>
        <v/>
      </c>
      <c r="B1443" s="54" t="str">
        <f>IFERROR(IF(INDEX(SPOT_Import!$A$1:$Z$2488,1443,'Live Data'!$C$13)="","",INDEX(SPOT_Import!$A$1:$Z$2488,1443,'Live Data'!$C$13)),"")</f>
        <v/>
      </c>
      <c r="C1443" s="54" t="str">
        <f>IFERROR(IF(INDEX(SPOT_Import!$A$1:$Z$2488,1443,'Live Data'!$C$14)="","",INDEX(SPOT_Import!$A$1:$Z$2488,1443,'Live Data'!$C$14)),"")</f>
        <v/>
      </c>
      <c r="D1443" s="54" t="str">
        <f>IFERROR(IF(INDEX(SPOT_Import!$A$1:$Z$2488,1443,'Live Data'!$C$15)="","",INDEX(SPOT_Import!$A$1:$Z$2488,1443,'Live Data'!$C$15)),"")</f>
        <v/>
      </c>
      <c r="E1443" s="54" t="str">
        <f>IFERROR(IF(INDEX(SPOT_Import!$A$1:$Z$2488,1443,'Live Data'!$C$16)="","",INDEX(SPOT_Import!$A$1:$Z$2488,1443,'Live Data'!$C$16)),"")</f>
        <v/>
      </c>
      <c r="F1443" s="54" t="str">
        <f>IFERROR(IF(INDEX(SPOT_Import!$A$1:$Z$2488,1443,'Live Data'!$C$17)="","",INDEX(SPOT_Import!$A$1:$Z$2488,1443,'Live Data'!$C$17)),"")</f>
        <v/>
      </c>
      <c r="G1443" s="54" t="str">
        <f>IFERROR(IF(INDEX(SPOT_Import!$A$1:$Z$2488,1443,'Live Data'!$C$18)="","",INDEX(SPOT_Import!$A$1:$Z$2488,1443,'Live Data'!$C$18)),"")</f>
        <v/>
      </c>
      <c r="H1443" s="54" t="str">
        <f>IFERROR(IF(INDEX(SPOT_Import!$A$1:$Z$2488,1443,'Live Data'!$C$19)="","",INDEX(SPOT_Import!$A$1:$Z$2488,1443,'Live Data'!$C$19)),"")</f>
        <v/>
      </c>
      <c r="I1443" s="54" t="str">
        <f>IFERROR(IF(INDEX(SPOT_Import!$A$1:$Z$2488,1443,'Live Data'!$C$20)="","",INDEX(SPOT_Import!$A$1:$Z$2488,1443,'Live Data'!$C$20)),"")</f>
        <v/>
      </c>
      <c r="J1443" s="54" t="str">
        <f>IFERROR(IF(INDEX(SPOT_Import!$A$1:$Z$2488,1443,'Live Data'!$C$21)="","",INDEX(SPOT_Import!$A$1:$Z$2488,1443,'Live Data'!$C$21)),"")</f>
        <v/>
      </c>
      <c r="K1443" s="54" t="str">
        <f>IFERROR(IF(INDEX(SPOT_Import!$A$1:$Z$2488,1443,'Live Data'!$C$22)="","",INDEX(SPOT_Import!$A$1:$Z$2488,1443,'Live Data'!$C$22)),"")</f>
        <v/>
      </c>
      <c r="L1443" s="55" t="str">
        <f t="shared" si="44"/>
        <v/>
      </c>
      <c r="M1443" s="55" t="str">
        <f t="shared" si="45"/>
        <v/>
      </c>
      <c r="N1443" s="55" t="str">
        <f>IF(A1443="","",IFERROR(INDEX('Cluster Map'!$A$4:$A$38,MATCH(M1443,'Cluster Map'!$B$4:$B$38,0)),"Unmapped"))</f>
        <v/>
      </c>
      <c r="O1443" s="55">
        <f>IF(A1443="",0,IF(COUNTIFS($A$2:A1443,A1443,$F$2:F1443,F1443,$L$2:L1443,L1443)=1,1,0))</f>
        <v>0</v>
      </c>
      <c r="P1443" s="55">
        <f>IF(A1443="",0,IF(AND(F1443="C&amp;T",COUNTIFS($A$2:A1443,A1443,$F$2:F1443,"C&amp;T")=1),1,0))</f>
        <v>0</v>
      </c>
    </row>
    <row r="1444" spans="1:16" x14ac:dyDescent="0.35">
      <c r="A1444" s="54" t="str">
        <f>IFERROR(IF(INDEX(SPOT_Import!$A$1:$Z$2488,1444,'Live Data'!$C$12)="","",INDEX(SPOT_Import!$A$1:$Z$2488,1444,'Live Data'!$C$12)),"")</f>
        <v/>
      </c>
      <c r="B1444" s="54" t="str">
        <f>IFERROR(IF(INDEX(SPOT_Import!$A$1:$Z$2488,1444,'Live Data'!$C$13)="","",INDEX(SPOT_Import!$A$1:$Z$2488,1444,'Live Data'!$C$13)),"")</f>
        <v/>
      </c>
      <c r="C1444" s="54" t="str">
        <f>IFERROR(IF(INDEX(SPOT_Import!$A$1:$Z$2488,1444,'Live Data'!$C$14)="","",INDEX(SPOT_Import!$A$1:$Z$2488,1444,'Live Data'!$C$14)),"")</f>
        <v/>
      </c>
      <c r="D1444" s="54" t="str">
        <f>IFERROR(IF(INDEX(SPOT_Import!$A$1:$Z$2488,1444,'Live Data'!$C$15)="","",INDEX(SPOT_Import!$A$1:$Z$2488,1444,'Live Data'!$C$15)),"")</f>
        <v/>
      </c>
      <c r="E1444" s="54" t="str">
        <f>IFERROR(IF(INDEX(SPOT_Import!$A$1:$Z$2488,1444,'Live Data'!$C$16)="","",INDEX(SPOT_Import!$A$1:$Z$2488,1444,'Live Data'!$C$16)),"")</f>
        <v/>
      </c>
      <c r="F1444" s="54" t="str">
        <f>IFERROR(IF(INDEX(SPOT_Import!$A$1:$Z$2488,1444,'Live Data'!$C$17)="","",INDEX(SPOT_Import!$A$1:$Z$2488,1444,'Live Data'!$C$17)),"")</f>
        <v/>
      </c>
      <c r="G1444" s="54" t="str">
        <f>IFERROR(IF(INDEX(SPOT_Import!$A$1:$Z$2488,1444,'Live Data'!$C$18)="","",INDEX(SPOT_Import!$A$1:$Z$2488,1444,'Live Data'!$C$18)),"")</f>
        <v/>
      </c>
      <c r="H1444" s="54" t="str">
        <f>IFERROR(IF(INDEX(SPOT_Import!$A$1:$Z$2488,1444,'Live Data'!$C$19)="","",INDEX(SPOT_Import!$A$1:$Z$2488,1444,'Live Data'!$C$19)),"")</f>
        <v/>
      </c>
      <c r="I1444" s="54" t="str">
        <f>IFERROR(IF(INDEX(SPOT_Import!$A$1:$Z$2488,1444,'Live Data'!$C$20)="","",INDEX(SPOT_Import!$A$1:$Z$2488,1444,'Live Data'!$C$20)),"")</f>
        <v/>
      </c>
      <c r="J1444" s="54" t="str">
        <f>IFERROR(IF(INDEX(SPOT_Import!$A$1:$Z$2488,1444,'Live Data'!$C$21)="","",INDEX(SPOT_Import!$A$1:$Z$2488,1444,'Live Data'!$C$21)),"")</f>
        <v/>
      </c>
      <c r="K1444" s="54" t="str">
        <f>IFERROR(IF(INDEX(SPOT_Import!$A$1:$Z$2488,1444,'Live Data'!$C$22)="","",INDEX(SPOT_Import!$A$1:$Z$2488,1444,'Live Data'!$C$22)),"")</f>
        <v/>
      </c>
      <c r="L1444" s="55" t="str">
        <f t="shared" si="44"/>
        <v/>
      </c>
      <c r="M1444" s="55" t="str">
        <f t="shared" si="45"/>
        <v/>
      </c>
      <c r="N1444" s="55" t="str">
        <f>IF(A1444="","",IFERROR(INDEX('Cluster Map'!$A$4:$A$38,MATCH(M1444,'Cluster Map'!$B$4:$B$38,0)),"Unmapped"))</f>
        <v/>
      </c>
      <c r="O1444" s="55">
        <f>IF(A1444="",0,IF(COUNTIFS($A$2:A1444,A1444,$F$2:F1444,F1444,$L$2:L1444,L1444)=1,1,0))</f>
        <v>0</v>
      </c>
      <c r="P1444" s="55">
        <f>IF(A1444="",0,IF(AND(F1444="C&amp;T",COUNTIFS($A$2:A1444,A1444,$F$2:F1444,"C&amp;T")=1),1,0))</f>
        <v>0</v>
      </c>
    </row>
    <row r="1445" spans="1:16" x14ac:dyDescent="0.35">
      <c r="A1445" s="54" t="str">
        <f>IFERROR(IF(INDEX(SPOT_Import!$A$1:$Z$2488,1445,'Live Data'!$C$12)="","",INDEX(SPOT_Import!$A$1:$Z$2488,1445,'Live Data'!$C$12)),"")</f>
        <v/>
      </c>
      <c r="B1445" s="54" t="str">
        <f>IFERROR(IF(INDEX(SPOT_Import!$A$1:$Z$2488,1445,'Live Data'!$C$13)="","",INDEX(SPOT_Import!$A$1:$Z$2488,1445,'Live Data'!$C$13)),"")</f>
        <v/>
      </c>
      <c r="C1445" s="54" t="str">
        <f>IFERROR(IF(INDEX(SPOT_Import!$A$1:$Z$2488,1445,'Live Data'!$C$14)="","",INDEX(SPOT_Import!$A$1:$Z$2488,1445,'Live Data'!$C$14)),"")</f>
        <v/>
      </c>
      <c r="D1445" s="54" t="str">
        <f>IFERROR(IF(INDEX(SPOT_Import!$A$1:$Z$2488,1445,'Live Data'!$C$15)="","",INDEX(SPOT_Import!$A$1:$Z$2488,1445,'Live Data'!$C$15)),"")</f>
        <v/>
      </c>
      <c r="E1445" s="54" t="str">
        <f>IFERROR(IF(INDEX(SPOT_Import!$A$1:$Z$2488,1445,'Live Data'!$C$16)="","",INDEX(SPOT_Import!$A$1:$Z$2488,1445,'Live Data'!$C$16)),"")</f>
        <v/>
      </c>
      <c r="F1445" s="54" t="str">
        <f>IFERROR(IF(INDEX(SPOT_Import!$A$1:$Z$2488,1445,'Live Data'!$C$17)="","",INDEX(SPOT_Import!$A$1:$Z$2488,1445,'Live Data'!$C$17)),"")</f>
        <v/>
      </c>
      <c r="G1445" s="54" t="str">
        <f>IFERROR(IF(INDEX(SPOT_Import!$A$1:$Z$2488,1445,'Live Data'!$C$18)="","",INDEX(SPOT_Import!$A$1:$Z$2488,1445,'Live Data'!$C$18)),"")</f>
        <v/>
      </c>
      <c r="H1445" s="54" t="str">
        <f>IFERROR(IF(INDEX(SPOT_Import!$A$1:$Z$2488,1445,'Live Data'!$C$19)="","",INDEX(SPOT_Import!$A$1:$Z$2488,1445,'Live Data'!$C$19)),"")</f>
        <v/>
      </c>
      <c r="I1445" s="54" t="str">
        <f>IFERROR(IF(INDEX(SPOT_Import!$A$1:$Z$2488,1445,'Live Data'!$C$20)="","",INDEX(SPOT_Import!$A$1:$Z$2488,1445,'Live Data'!$C$20)),"")</f>
        <v/>
      </c>
      <c r="J1445" s="54" t="str">
        <f>IFERROR(IF(INDEX(SPOT_Import!$A$1:$Z$2488,1445,'Live Data'!$C$21)="","",INDEX(SPOT_Import!$A$1:$Z$2488,1445,'Live Data'!$C$21)),"")</f>
        <v/>
      </c>
      <c r="K1445" s="54" t="str">
        <f>IFERROR(IF(INDEX(SPOT_Import!$A$1:$Z$2488,1445,'Live Data'!$C$22)="","",INDEX(SPOT_Import!$A$1:$Z$2488,1445,'Live Data'!$C$22)),"")</f>
        <v/>
      </c>
      <c r="L1445" s="55" t="str">
        <f t="shared" si="44"/>
        <v/>
      </c>
      <c r="M1445" s="55" t="str">
        <f t="shared" si="45"/>
        <v/>
      </c>
      <c r="N1445" s="55" t="str">
        <f>IF(A1445="","",IFERROR(INDEX('Cluster Map'!$A$4:$A$38,MATCH(M1445,'Cluster Map'!$B$4:$B$38,0)),"Unmapped"))</f>
        <v/>
      </c>
      <c r="O1445" s="55">
        <f>IF(A1445="",0,IF(COUNTIFS($A$2:A1445,A1445,$F$2:F1445,F1445,$L$2:L1445,L1445)=1,1,0))</f>
        <v>0</v>
      </c>
      <c r="P1445" s="55">
        <f>IF(A1445="",0,IF(AND(F1445="C&amp;T",COUNTIFS($A$2:A1445,A1445,$F$2:F1445,"C&amp;T")=1),1,0))</f>
        <v>0</v>
      </c>
    </row>
    <row r="1446" spans="1:16" x14ac:dyDescent="0.35">
      <c r="A1446" s="54" t="str">
        <f>IFERROR(IF(INDEX(SPOT_Import!$A$1:$Z$2488,1446,'Live Data'!$C$12)="","",INDEX(SPOT_Import!$A$1:$Z$2488,1446,'Live Data'!$C$12)),"")</f>
        <v/>
      </c>
      <c r="B1446" s="54" t="str">
        <f>IFERROR(IF(INDEX(SPOT_Import!$A$1:$Z$2488,1446,'Live Data'!$C$13)="","",INDEX(SPOT_Import!$A$1:$Z$2488,1446,'Live Data'!$C$13)),"")</f>
        <v/>
      </c>
      <c r="C1446" s="54" t="str">
        <f>IFERROR(IF(INDEX(SPOT_Import!$A$1:$Z$2488,1446,'Live Data'!$C$14)="","",INDEX(SPOT_Import!$A$1:$Z$2488,1446,'Live Data'!$C$14)),"")</f>
        <v/>
      </c>
      <c r="D1446" s="54" t="str">
        <f>IFERROR(IF(INDEX(SPOT_Import!$A$1:$Z$2488,1446,'Live Data'!$C$15)="","",INDEX(SPOT_Import!$A$1:$Z$2488,1446,'Live Data'!$C$15)),"")</f>
        <v/>
      </c>
      <c r="E1446" s="54" t="str">
        <f>IFERROR(IF(INDEX(SPOT_Import!$A$1:$Z$2488,1446,'Live Data'!$C$16)="","",INDEX(SPOT_Import!$A$1:$Z$2488,1446,'Live Data'!$C$16)),"")</f>
        <v/>
      </c>
      <c r="F1446" s="54" t="str">
        <f>IFERROR(IF(INDEX(SPOT_Import!$A$1:$Z$2488,1446,'Live Data'!$C$17)="","",INDEX(SPOT_Import!$A$1:$Z$2488,1446,'Live Data'!$C$17)),"")</f>
        <v/>
      </c>
      <c r="G1446" s="54" t="str">
        <f>IFERROR(IF(INDEX(SPOT_Import!$A$1:$Z$2488,1446,'Live Data'!$C$18)="","",INDEX(SPOT_Import!$A$1:$Z$2488,1446,'Live Data'!$C$18)),"")</f>
        <v/>
      </c>
      <c r="H1446" s="54" t="str">
        <f>IFERROR(IF(INDEX(SPOT_Import!$A$1:$Z$2488,1446,'Live Data'!$C$19)="","",INDEX(SPOT_Import!$A$1:$Z$2488,1446,'Live Data'!$C$19)),"")</f>
        <v/>
      </c>
      <c r="I1446" s="54" t="str">
        <f>IFERROR(IF(INDEX(SPOT_Import!$A$1:$Z$2488,1446,'Live Data'!$C$20)="","",INDEX(SPOT_Import!$A$1:$Z$2488,1446,'Live Data'!$C$20)),"")</f>
        <v/>
      </c>
      <c r="J1446" s="54" t="str">
        <f>IFERROR(IF(INDEX(SPOT_Import!$A$1:$Z$2488,1446,'Live Data'!$C$21)="","",INDEX(SPOT_Import!$A$1:$Z$2488,1446,'Live Data'!$C$21)),"")</f>
        <v/>
      </c>
      <c r="K1446" s="54" t="str">
        <f>IFERROR(IF(INDEX(SPOT_Import!$A$1:$Z$2488,1446,'Live Data'!$C$22)="","",INDEX(SPOT_Import!$A$1:$Z$2488,1446,'Live Data'!$C$22)),"")</f>
        <v/>
      </c>
      <c r="L1446" s="55" t="str">
        <f t="shared" si="44"/>
        <v/>
      </c>
      <c r="M1446" s="55" t="str">
        <f t="shared" si="45"/>
        <v/>
      </c>
      <c r="N1446" s="55" t="str">
        <f>IF(A1446="","",IFERROR(INDEX('Cluster Map'!$A$4:$A$38,MATCH(M1446,'Cluster Map'!$B$4:$B$38,0)),"Unmapped"))</f>
        <v/>
      </c>
      <c r="O1446" s="55">
        <f>IF(A1446="",0,IF(COUNTIFS($A$2:A1446,A1446,$F$2:F1446,F1446,$L$2:L1446,L1446)=1,1,0))</f>
        <v>0</v>
      </c>
      <c r="P1446" s="55">
        <f>IF(A1446="",0,IF(AND(F1446="C&amp;T",COUNTIFS($A$2:A1446,A1446,$F$2:F1446,"C&amp;T")=1),1,0))</f>
        <v>0</v>
      </c>
    </row>
    <row r="1447" spans="1:16" x14ac:dyDescent="0.35">
      <c r="A1447" s="54" t="str">
        <f>IFERROR(IF(INDEX(SPOT_Import!$A$1:$Z$2488,1447,'Live Data'!$C$12)="","",INDEX(SPOT_Import!$A$1:$Z$2488,1447,'Live Data'!$C$12)),"")</f>
        <v/>
      </c>
      <c r="B1447" s="54" t="str">
        <f>IFERROR(IF(INDEX(SPOT_Import!$A$1:$Z$2488,1447,'Live Data'!$C$13)="","",INDEX(SPOT_Import!$A$1:$Z$2488,1447,'Live Data'!$C$13)),"")</f>
        <v/>
      </c>
      <c r="C1447" s="54" t="str">
        <f>IFERROR(IF(INDEX(SPOT_Import!$A$1:$Z$2488,1447,'Live Data'!$C$14)="","",INDEX(SPOT_Import!$A$1:$Z$2488,1447,'Live Data'!$C$14)),"")</f>
        <v/>
      </c>
      <c r="D1447" s="54" t="str">
        <f>IFERROR(IF(INDEX(SPOT_Import!$A$1:$Z$2488,1447,'Live Data'!$C$15)="","",INDEX(SPOT_Import!$A$1:$Z$2488,1447,'Live Data'!$C$15)),"")</f>
        <v/>
      </c>
      <c r="E1447" s="54" t="str">
        <f>IFERROR(IF(INDEX(SPOT_Import!$A$1:$Z$2488,1447,'Live Data'!$C$16)="","",INDEX(SPOT_Import!$A$1:$Z$2488,1447,'Live Data'!$C$16)),"")</f>
        <v/>
      </c>
      <c r="F1447" s="54" t="str">
        <f>IFERROR(IF(INDEX(SPOT_Import!$A$1:$Z$2488,1447,'Live Data'!$C$17)="","",INDEX(SPOT_Import!$A$1:$Z$2488,1447,'Live Data'!$C$17)),"")</f>
        <v/>
      </c>
      <c r="G1447" s="54" t="str">
        <f>IFERROR(IF(INDEX(SPOT_Import!$A$1:$Z$2488,1447,'Live Data'!$C$18)="","",INDEX(SPOT_Import!$A$1:$Z$2488,1447,'Live Data'!$C$18)),"")</f>
        <v/>
      </c>
      <c r="H1447" s="54" t="str">
        <f>IFERROR(IF(INDEX(SPOT_Import!$A$1:$Z$2488,1447,'Live Data'!$C$19)="","",INDEX(SPOT_Import!$A$1:$Z$2488,1447,'Live Data'!$C$19)),"")</f>
        <v/>
      </c>
      <c r="I1447" s="54" t="str">
        <f>IFERROR(IF(INDEX(SPOT_Import!$A$1:$Z$2488,1447,'Live Data'!$C$20)="","",INDEX(SPOT_Import!$A$1:$Z$2488,1447,'Live Data'!$C$20)),"")</f>
        <v/>
      </c>
      <c r="J1447" s="54" t="str">
        <f>IFERROR(IF(INDEX(SPOT_Import!$A$1:$Z$2488,1447,'Live Data'!$C$21)="","",INDEX(SPOT_Import!$A$1:$Z$2488,1447,'Live Data'!$C$21)),"")</f>
        <v/>
      </c>
      <c r="K1447" s="54" t="str">
        <f>IFERROR(IF(INDEX(SPOT_Import!$A$1:$Z$2488,1447,'Live Data'!$C$22)="","",INDEX(SPOT_Import!$A$1:$Z$2488,1447,'Live Data'!$C$22)),"")</f>
        <v/>
      </c>
      <c r="L1447" s="55" t="str">
        <f t="shared" si="44"/>
        <v/>
      </c>
      <c r="M1447" s="55" t="str">
        <f t="shared" si="45"/>
        <v/>
      </c>
      <c r="N1447" s="55" t="str">
        <f>IF(A1447="","",IFERROR(INDEX('Cluster Map'!$A$4:$A$38,MATCH(M1447,'Cluster Map'!$B$4:$B$38,0)),"Unmapped"))</f>
        <v/>
      </c>
      <c r="O1447" s="55">
        <f>IF(A1447="",0,IF(COUNTIFS($A$2:A1447,A1447,$F$2:F1447,F1447,$L$2:L1447,L1447)=1,1,0))</f>
        <v>0</v>
      </c>
      <c r="P1447" s="55">
        <f>IF(A1447="",0,IF(AND(F1447="C&amp;T",COUNTIFS($A$2:A1447,A1447,$F$2:F1447,"C&amp;T")=1),1,0))</f>
        <v>0</v>
      </c>
    </row>
    <row r="1448" spans="1:16" x14ac:dyDescent="0.35">
      <c r="A1448" s="54" t="str">
        <f>IFERROR(IF(INDEX(SPOT_Import!$A$1:$Z$2488,1448,'Live Data'!$C$12)="","",INDEX(SPOT_Import!$A$1:$Z$2488,1448,'Live Data'!$C$12)),"")</f>
        <v/>
      </c>
      <c r="B1448" s="54" t="str">
        <f>IFERROR(IF(INDEX(SPOT_Import!$A$1:$Z$2488,1448,'Live Data'!$C$13)="","",INDEX(SPOT_Import!$A$1:$Z$2488,1448,'Live Data'!$C$13)),"")</f>
        <v/>
      </c>
      <c r="C1448" s="54" t="str">
        <f>IFERROR(IF(INDEX(SPOT_Import!$A$1:$Z$2488,1448,'Live Data'!$C$14)="","",INDEX(SPOT_Import!$A$1:$Z$2488,1448,'Live Data'!$C$14)),"")</f>
        <v/>
      </c>
      <c r="D1448" s="54" t="str">
        <f>IFERROR(IF(INDEX(SPOT_Import!$A$1:$Z$2488,1448,'Live Data'!$C$15)="","",INDEX(SPOT_Import!$A$1:$Z$2488,1448,'Live Data'!$C$15)),"")</f>
        <v/>
      </c>
      <c r="E1448" s="54" t="str">
        <f>IFERROR(IF(INDEX(SPOT_Import!$A$1:$Z$2488,1448,'Live Data'!$C$16)="","",INDEX(SPOT_Import!$A$1:$Z$2488,1448,'Live Data'!$C$16)),"")</f>
        <v/>
      </c>
      <c r="F1448" s="54" t="str">
        <f>IFERROR(IF(INDEX(SPOT_Import!$A$1:$Z$2488,1448,'Live Data'!$C$17)="","",INDEX(SPOT_Import!$A$1:$Z$2488,1448,'Live Data'!$C$17)),"")</f>
        <v/>
      </c>
      <c r="G1448" s="54" t="str">
        <f>IFERROR(IF(INDEX(SPOT_Import!$A$1:$Z$2488,1448,'Live Data'!$C$18)="","",INDEX(SPOT_Import!$A$1:$Z$2488,1448,'Live Data'!$C$18)),"")</f>
        <v/>
      </c>
      <c r="H1448" s="54" t="str">
        <f>IFERROR(IF(INDEX(SPOT_Import!$A$1:$Z$2488,1448,'Live Data'!$C$19)="","",INDEX(SPOT_Import!$A$1:$Z$2488,1448,'Live Data'!$C$19)),"")</f>
        <v/>
      </c>
      <c r="I1448" s="54" t="str">
        <f>IFERROR(IF(INDEX(SPOT_Import!$A$1:$Z$2488,1448,'Live Data'!$C$20)="","",INDEX(SPOT_Import!$A$1:$Z$2488,1448,'Live Data'!$C$20)),"")</f>
        <v/>
      </c>
      <c r="J1448" s="54" t="str">
        <f>IFERROR(IF(INDEX(SPOT_Import!$A$1:$Z$2488,1448,'Live Data'!$C$21)="","",INDEX(SPOT_Import!$A$1:$Z$2488,1448,'Live Data'!$C$21)),"")</f>
        <v/>
      </c>
      <c r="K1448" s="54" t="str">
        <f>IFERROR(IF(INDEX(SPOT_Import!$A$1:$Z$2488,1448,'Live Data'!$C$22)="","",INDEX(SPOT_Import!$A$1:$Z$2488,1448,'Live Data'!$C$22)),"")</f>
        <v/>
      </c>
      <c r="L1448" s="55" t="str">
        <f t="shared" si="44"/>
        <v/>
      </c>
      <c r="M1448" s="55" t="str">
        <f t="shared" si="45"/>
        <v/>
      </c>
      <c r="N1448" s="55" t="str">
        <f>IF(A1448="","",IFERROR(INDEX('Cluster Map'!$A$4:$A$38,MATCH(M1448,'Cluster Map'!$B$4:$B$38,0)),"Unmapped"))</f>
        <v/>
      </c>
      <c r="O1448" s="55">
        <f>IF(A1448="",0,IF(COUNTIFS($A$2:A1448,A1448,$F$2:F1448,F1448,$L$2:L1448,L1448)=1,1,0))</f>
        <v>0</v>
      </c>
      <c r="P1448" s="55">
        <f>IF(A1448="",0,IF(AND(F1448="C&amp;T",COUNTIFS($A$2:A1448,A1448,$F$2:F1448,"C&amp;T")=1),1,0))</f>
        <v>0</v>
      </c>
    </row>
    <row r="1449" spans="1:16" x14ac:dyDescent="0.35">
      <c r="A1449" s="54" t="str">
        <f>IFERROR(IF(INDEX(SPOT_Import!$A$1:$Z$2488,1449,'Live Data'!$C$12)="","",INDEX(SPOT_Import!$A$1:$Z$2488,1449,'Live Data'!$C$12)),"")</f>
        <v/>
      </c>
      <c r="B1449" s="54" t="str">
        <f>IFERROR(IF(INDEX(SPOT_Import!$A$1:$Z$2488,1449,'Live Data'!$C$13)="","",INDEX(SPOT_Import!$A$1:$Z$2488,1449,'Live Data'!$C$13)),"")</f>
        <v/>
      </c>
      <c r="C1449" s="54" t="str">
        <f>IFERROR(IF(INDEX(SPOT_Import!$A$1:$Z$2488,1449,'Live Data'!$C$14)="","",INDEX(SPOT_Import!$A$1:$Z$2488,1449,'Live Data'!$C$14)),"")</f>
        <v/>
      </c>
      <c r="D1449" s="54" t="str">
        <f>IFERROR(IF(INDEX(SPOT_Import!$A$1:$Z$2488,1449,'Live Data'!$C$15)="","",INDEX(SPOT_Import!$A$1:$Z$2488,1449,'Live Data'!$C$15)),"")</f>
        <v/>
      </c>
      <c r="E1449" s="54" t="str">
        <f>IFERROR(IF(INDEX(SPOT_Import!$A$1:$Z$2488,1449,'Live Data'!$C$16)="","",INDEX(SPOT_Import!$A$1:$Z$2488,1449,'Live Data'!$C$16)),"")</f>
        <v/>
      </c>
      <c r="F1449" s="54" t="str">
        <f>IFERROR(IF(INDEX(SPOT_Import!$A$1:$Z$2488,1449,'Live Data'!$C$17)="","",INDEX(SPOT_Import!$A$1:$Z$2488,1449,'Live Data'!$C$17)),"")</f>
        <v/>
      </c>
      <c r="G1449" s="54" t="str">
        <f>IFERROR(IF(INDEX(SPOT_Import!$A$1:$Z$2488,1449,'Live Data'!$C$18)="","",INDEX(SPOT_Import!$A$1:$Z$2488,1449,'Live Data'!$C$18)),"")</f>
        <v/>
      </c>
      <c r="H1449" s="54" t="str">
        <f>IFERROR(IF(INDEX(SPOT_Import!$A$1:$Z$2488,1449,'Live Data'!$C$19)="","",INDEX(SPOT_Import!$A$1:$Z$2488,1449,'Live Data'!$C$19)),"")</f>
        <v/>
      </c>
      <c r="I1449" s="54" t="str">
        <f>IFERROR(IF(INDEX(SPOT_Import!$A$1:$Z$2488,1449,'Live Data'!$C$20)="","",INDEX(SPOT_Import!$A$1:$Z$2488,1449,'Live Data'!$C$20)),"")</f>
        <v/>
      </c>
      <c r="J1449" s="54" t="str">
        <f>IFERROR(IF(INDEX(SPOT_Import!$A$1:$Z$2488,1449,'Live Data'!$C$21)="","",INDEX(SPOT_Import!$A$1:$Z$2488,1449,'Live Data'!$C$21)),"")</f>
        <v/>
      </c>
      <c r="K1449" s="54" t="str">
        <f>IFERROR(IF(INDEX(SPOT_Import!$A$1:$Z$2488,1449,'Live Data'!$C$22)="","",INDEX(SPOT_Import!$A$1:$Z$2488,1449,'Live Data'!$C$22)),"")</f>
        <v/>
      </c>
      <c r="L1449" s="55" t="str">
        <f t="shared" si="44"/>
        <v/>
      </c>
      <c r="M1449" s="55" t="str">
        <f t="shared" si="45"/>
        <v/>
      </c>
      <c r="N1449" s="55" t="str">
        <f>IF(A1449="","",IFERROR(INDEX('Cluster Map'!$A$4:$A$38,MATCH(M1449,'Cluster Map'!$B$4:$B$38,0)),"Unmapped"))</f>
        <v/>
      </c>
      <c r="O1449" s="55">
        <f>IF(A1449="",0,IF(COUNTIFS($A$2:A1449,A1449,$F$2:F1449,F1449,$L$2:L1449,L1449)=1,1,0))</f>
        <v>0</v>
      </c>
      <c r="P1449" s="55">
        <f>IF(A1449="",0,IF(AND(F1449="C&amp;T",COUNTIFS($A$2:A1449,A1449,$F$2:F1449,"C&amp;T")=1),1,0))</f>
        <v>0</v>
      </c>
    </row>
    <row r="1450" spans="1:16" x14ac:dyDescent="0.35">
      <c r="A1450" s="54" t="str">
        <f>IFERROR(IF(INDEX(SPOT_Import!$A$1:$Z$2488,1450,'Live Data'!$C$12)="","",INDEX(SPOT_Import!$A$1:$Z$2488,1450,'Live Data'!$C$12)),"")</f>
        <v/>
      </c>
      <c r="B1450" s="54" t="str">
        <f>IFERROR(IF(INDEX(SPOT_Import!$A$1:$Z$2488,1450,'Live Data'!$C$13)="","",INDEX(SPOT_Import!$A$1:$Z$2488,1450,'Live Data'!$C$13)),"")</f>
        <v/>
      </c>
      <c r="C1450" s="54" t="str">
        <f>IFERROR(IF(INDEX(SPOT_Import!$A$1:$Z$2488,1450,'Live Data'!$C$14)="","",INDEX(SPOT_Import!$A$1:$Z$2488,1450,'Live Data'!$C$14)),"")</f>
        <v/>
      </c>
      <c r="D1450" s="54" t="str">
        <f>IFERROR(IF(INDEX(SPOT_Import!$A$1:$Z$2488,1450,'Live Data'!$C$15)="","",INDEX(SPOT_Import!$A$1:$Z$2488,1450,'Live Data'!$C$15)),"")</f>
        <v/>
      </c>
      <c r="E1450" s="54" t="str">
        <f>IFERROR(IF(INDEX(SPOT_Import!$A$1:$Z$2488,1450,'Live Data'!$C$16)="","",INDEX(SPOT_Import!$A$1:$Z$2488,1450,'Live Data'!$C$16)),"")</f>
        <v/>
      </c>
      <c r="F1450" s="54" t="str">
        <f>IFERROR(IF(INDEX(SPOT_Import!$A$1:$Z$2488,1450,'Live Data'!$C$17)="","",INDEX(SPOT_Import!$A$1:$Z$2488,1450,'Live Data'!$C$17)),"")</f>
        <v/>
      </c>
      <c r="G1450" s="54" t="str">
        <f>IFERROR(IF(INDEX(SPOT_Import!$A$1:$Z$2488,1450,'Live Data'!$C$18)="","",INDEX(SPOT_Import!$A$1:$Z$2488,1450,'Live Data'!$C$18)),"")</f>
        <v/>
      </c>
      <c r="H1450" s="54" t="str">
        <f>IFERROR(IF(INDEX(SPOT_Import!$A$1:$Z$2488,1450,'Live Data'!$C$19)="","",INDEX(SPOT_Import!$A$1:$Z$2488,1450,'Live Data'!$C$19)),"")</f>
        <v/>
      </c>
      <c r="I1450" s="54" t="str">
        <f>IFERROR(IF(INDEX(SPOT_Import!$A$1:$Z$2488,1450,'Live Data'!$C$20)="","",INDEX(SPOT_Import!$A$1:$Z$2488,1450,'Live Data'!$C$20)),"")</f>
        <v/>
      </c>
      <c r="J1450" s="54" t="str">
        <f>IFERROR(IF(INDEX(SPOT_Import!$A$1:$Z$2488,1450,'Live Data'!$C$21)="","",INDEX(SPOT_Import!$A$1:$Z$2488,1450,'Live Data'!$C$21)),"")</f>
        <v/>
      </c>
      <c r="K1450" s="54" t="str">
        <f>IFERROR(IF(INDEX(SPOT_Import!$A$1:$Z$2488,1450,'Live Data'!$C$22)="","",INDEX(SPOT_Import!$A$1:$Z$2488,1450,'Live Data'!$C$22)),"")</f>
        <v/>
      </c>
      <c r="L1450" s="55" t="str">
        <f t="shared" si="44"/>
        <v/>
      </c>
      <c r="M1450" s="55" t="str">
        <f t="shared" si="45"/>
        <v/>
      </c>
      <c r="N1450" s="55" t="str">
        <f>IF(A1450="","",IFERROR(INDEX('Cluster Map'!$A$4:$A$38,MATCH(M1450,'Cluster Map'!$B$4:$B$38,0)),"Unmapped"))</f>
        <v/>
      </c>
      <c r="O1450" s="55">
        <f>IF(A1450="",0,IF(COUNTIFS($A$2:A1450,A1450,$F$2:F1450,F1450,$L$2:L1450,L1450)=1,1,0))</f>
        <v>0</v>
      </c>
      <c r="P1450" s="55">
        <f>IF(A1450="",0,IF(AND(F1450="C&amp;T",COUNTIFS($A$2:A1450,A1450,$F$2:F1450,"C&amp;T")=1),1,0))</f>
        <v>0</v>
      </c>
    </row>
    <row r="1451" spans="1:16" x14ac:dyDescent="0.35">
      <c r="A1451" s="54" t="str">
        <f>IFERROR(IF(INDEX(SPOT_Import!$A$1:$Z$2488,1451,'Live Data'!$C$12)="","",INDEX(SPOT_Import!$A$1:$Z$2488,1451,'Live Data'!$C$12)),"")</f>
        <v/>
      </c>
      <c r="B1451" s="54" t="str">
        <f>IFERROR(IF(INDEX(SPOT_Import!$A$1:$Z$2488,1451,'Live Data'!$C$13)="","",INDEX(SPOT_Import!$A$1:$Z$2488,1451,'Live Data'!$C$13)),"")</f>
        <v/>
      </c>
      <c r="C1451" s="54" t="str">
        <f>IFERROR(IF(INDEX(SPOT_Import!$A$1:$Z$2488,1451,'Live Data'!$C$14)="","",INDEX(SPOT_Import!$A$1:$Z$2488,1451,'Live Data'!$C$14)),"")</f>
        <v/>
      </c>
      <c r="D1451" s="54" t="str">
        <f>IFERROR(IF(INDEX(SPOT_Import!$A$1:$Z$2488,1451,'Live Data'!$C$15)="","",INDEX(SPOT_Import!$A$1:$Z$2488,1451,'Live Data'!$C$15)),"")</f>
        <v/>
      </c>
      <c r="E1451" s="54" t="str">
        <f>IFERROR(IF(INDEX(SPOT_Import!$A$1:$Z$2488,1451,'Live Data'!$C$16)="","",INDEX(SPOT_Import!$A$1:$Z$2488,1451,'Live Data'!$C$16)),"")</f>
        <v/>
      </c>
      <c r="F1451" s="54" t="str">
        <f>IFERROR(IF(INDEX(SPOT_Import!$A$1:$Z$2488,1451,'Live Data'!$C$17)="","",INDEX(SPOT_Import!$A$1:$Z$2488,1451,'Live Data'!$C$17)),"")</f>
        <v/>
      </c>
      <c r="G1451" s="54" t="str">
        <f>IFERROR(IF(INDEX(SPOT_Import!$A$1:$Z$2488,1451,'Live Data'!$C$18)="","",INDEX(SPOT_Import!$A$1:$Z$2488,1451,'Live Data'!$C$18)),"")</f>
        <v/>
      </c>
      <c r="H1451" s="54" t="str">
        <f>IFERROR(IF(INDEX(SPOT_Import!$A$1:$Z$2488,1451,'Live Data'!$C$19)="","",INDEX(SPOT_Import!$A$1:$Z$2488,1451,'Live Data'!$C$19)),"")</f>
        <v/>
      </c>
      <c r="I1451" s="54" t="str">
        <f>IFERROR(IF(INDEX(SPOT_Import!$A$1:$Z$2488,1451,'Live Data'!$C$20)="","",INDEX(SPOT_Import!$A$1:$Z$2488,1451,'Live Data'!$C$20)),"")</f>
        <v/>
      </c>
      <c r="J1451" s="54" t="str">
        <f>IFERROR(IF(INDEX(SPOT_Import!$A$1:$Z$2488,1451,'Live Data'!$C$21)="","",INDEX(SPOT_Import!$A$1:$Z$2488,1451,'Live Data'!$C$21)),"")</f>
        <v/>
      </c>
      <c r="K1451" s="54" t="str">
        <f>IFERROR(IF(INDEX(SPOT_Import!$A$1:$Z$2488,1451,'Live Data'!$C$22)="","",INDEX(SPOT_Import!$A$1:$Z$2488,1451,'Live Data'!$C$22)),"")</f>
        <v/>
      </c>
      <c r="L1451" s="55" t="str">
        <f t="shared" si="44"/>
        <v/>
      </c>
      <c r="M1451" s="55" t="str">
        <f t="shared" si="45"/>
        <v/>
      </c>
      <c r="N1451" s="55" t="str">
        <f>IF(A1451="","",IFERROR(INDEX('Cluster Map'!$A$4:$A$38,MATCH(M1451,'Cluster Map'!$B$4:$B$38,0)),"Unmapped"))</f>
        <v/>
      </c>
      <c r="O1451" s="55">
        <f>IF(A1451="",0,IF(COUNTIFS($A$2:A1451,A1451,$F$2:F1451,F1451,$L$2:L1451,L1451)=1,1,0))</f>
        <v>0</v>
      </c>
      <c r="P1451" s="55">
        <f>IF(A1451="",0,IF(AND(F1451="C&amp;T",COUNTIFS($A$2:A1451,A1451,$F$2:F1451,"C&amp;T")=1),1,0))</f>
        <v>0</v>
      </c>
    </row>
    <row r="1452" spans="1:16" x14ac:dyDescent="0.35">
      <c r="A1452" s="54" t="str">
        <f>IFERROR(IF(INDEX(SPOT_Import!$A$1:$Z$2488,1452,'Live Data'!$C$12)="","",INDEX(SPOT_Import!$A$1:$Z$2488,1452,'Live Data'!$C$12)),"")</f>
        <v/>
      </c>
      <c r="B1452" s="54" t="str">
        <f>IFERROR(IF(INDEX(SPOT_Import!$A$1:$Z$2488,1452,'Live Data'!$C$13)="","",INDEX(SPOT_Import!$A$1:$Z$2488,1452,'Live Data'!$C$13)),"")</f>
        <v/>
      </c>
      <c r="C1452" s="54" t="str">
        <f>IFERROR(IF(INDEX(SPOT_Import!$A$1:$Z$2488,1452,'Live Data'!$C$14)="","",INDEX(SPOT_Import!$A$1:$Z$2488,1452,'Live Data'!$C$14)),"")</f>
        <v/>
      </c>
      <c r="D1452" s="54" t="str">
        <f>IFERROR(IF(INDEX(SPOT_Import!$A$1:$Z$2488,1452,'Live Data'!$C$15)="","",INDEX(SPOT_Import!$A$1:$Z$2488,1452,'Live Data'!$C$15)),"")</f>
        <v/>
      </c>
      <c r="E1452" s="54" t="str">
        <f>IFERROR(IF(INDEX(SPOT_Import!$A$1:$Z$2488,1452,'Live Data'!$C$16)="","",INDEX(SPOT_Import!$A$1:$Z$2488,1452,'Live Data'!$C$16)),"")</f>
        <v/>
      </c>
      <c r="F1452" s="54" t="str">
        <f>IFERROR(IF(INDEX(SPOT_Import!$A$1:$Z$2488,1452,'Live Data'!$C$17)="","",INDEX(SPOT_Import!$A$1:$Z$2488,1452,'Live Data'!$C$17)),"")</f>
        <v/>
      </c>
      <c r="G1452" s="54" t="str">
        <f>IFERROR(IF(INDEX(SPOT_Import!$A$1:$Z$2488,1452,'Live Data'!$C$18)="","",INDEX(SPOT_Import!$A$1:$Z$2488,1452,'Live Data'!$C$18)),"")</f>
        <v/>
      </c>
      <c r="H1452" s="54" t="str">
        <f>IFERROR(IF(INDEX(SPOT_Import!$A$1:$Z$2488,1452,'Live Data'!$C$19)="","",INDEX(SPOT_Import!$A$1:$Z$2488,1452,'Live Data'!$C$19)),"")</f>
        <v/>
      </c>
      <c r="I1452" s="54" t="str">
        <f>IFERROR(IF(INDEX(SPOT_Import!$A$1:$Z$2488,1452,'Live Data'!$C$20)="","",INDEX(SPOT_Import!$A$1:$Z$2488,1452,'Live Data'!$C$20)),"")</f>
        <v/>
      </c>
      <c r="J1452" s="54" t="str">
        <f>IFERROR(IF(INDEX(SPOT_Import!$A$1:$Z$2488,1452,'Live Data'!$C$21)="","",INDEX(SPOT_Import!$A$1:$Z$2488,1452,'Live Data'!$C$21)),"")</f>
        <v/>
      </c>
      <c r="K1452" s="54" t="str">
        <f>IFERROR(IF(INDEX(SPOT_Import!$A$1:$Z$2488,1452,'Live Data'!$C$22)="","",INDEX(SPOT_Import!$A$1:$Z$2488,1452,'Live Data'!$C$22)),"")</f>
        <v/>
      </c>
      <c r="L1452" s="55" t="str">
        <f t="shared" si="44"/>
        <v/>
      </c>
      <c r="M1452" s="55" t="str">
        <f t="shared" si="45"/>
        <v/>
      </c>
      <c r="N1452" s="55" t="str">
        <f>IF(A1452="","",IFERROR(INDEX('Cluster Map'!$A$4:$A$38,MATCH(M1452,'Cluster Map'!$B$4:$B$38,0)),"Unmapped"))</f>
        <v/>
      </c>
      <c r="O1452" s="55">
        <f>IF(A1452="",0,IF(COUNTIFS($A$2:A1452,A1452,$F$2:F1452,F1452,$L$2:L1452,L1452)=1,1,0))</f>
        <v>0</v>
      </c>
      <c r="P1452" s="55">
        <f>IF(A1452="",0,IF(AND(F1452="C&amp;T",COUNTIFS($A$2:A1452,A1452,$F$2:F1452,"C&amp;T")=1),1,0))</f>
        <v>0</v>
      </c>
    </row>
    <row r="1453" spans="1:16" x14ac:dyDescent="0.35">
      <c r="A1453" s="54" t="str">
        <f>IFERROR(IF(INDEX(SPOT_Import!$A$1:$Z$2488,1453,'Live Data'!$C$12)="","",INDEX(SPOT_Import!$A$1:$Z$2488,1453,'Live Data'!$C$12)),"")</f>
        <v/>
      </c>
      <c r="B1453" s="54" t="str">
        <f>IFERROR(IF(INDEX(SPOT_Import!$A$1:$Z$2488,1453,'Live Data'!$C$13)="","",INDEX(SPOT_Import!$A$1:$Z$2488,1453,'Live Data'!$C$13)),"")</f>
        <v/>
      </c>
      <c r="C1453" s="54" t="str">
        <f>IFERROR(IF(INDEX(SPOT_Import!$A$1:$Z$2488,1453,'Live Data'!$C$14)="","",INDEX(SPOT_Import!$A$1:$Z$2488,1453,'Live Data'!$C$14)),"")</f>
        <v/>
      </c>
      <c r="D1453" s="54" t="str">
        <f>IFERROR(IF(INDEX(SPOT_Import!$A$1:$Z$2488,1453,'Live Data'!$C$15)="","",INDEX(SPOT_Import!$A$1:$Z$2488,1453,'Live Data'!$C$15)),"")</f>
        <v/>
      </c>
      <c r="E1453" s="54" t="str">
        <f>IFERROR(IF(INDEX(SPOT_Import!$A$1:$Z$2488,1453,'Live Data'!$C$16)="","",INDEX(SPOT_Import!$A$1:$Z$2488,1453,'Live Data'!$C$16)),"")</f>
        <v/>
      </c>
      <c r="F1453" s="54" t="str">
        <f>IFERROR(IF(INDEX(SPOT_Import!$A$1:$Z$2488,1453,'Live Data'!$C$17)="","",INDEX(SPOT_Import!$A$1:$Z$2488,1453,'Live Data'!$C$17)),"")</f>
        <v/>
      </c>
      <c r="G1453" s="54" t="str">
        <f>IFERROR(IF(INDEX(SPOT_Import!$A$1:$Z$2488,1453,'Live Data'!$C$18)="","",INDEX(SPOT_Import!$A$1:$Z$2488,1453,'Live Data'!$C$18)),"")</f>
        <v/>
      </c>
      <c r="H1453" s="54" t="str">
        <f>IFERROR(IF(INDEX(SPOT_Import!$A$1:$Z$2488,1453,'Live Data'!$C$19)="","",INDEX(SPOT_Import!$A$1:$Z$2488,1453,'Live Data'!$C$19)),"")</f>
        <v/>
      </c>
      <c r="I1453" s="54" t="str">
        <f>IFERROR(IF(INDEX(SPOT_Import!$A$1:$Z$2488,1453,'Live Data'!$C$20)="","",INDEX(SPOT_Import!$A$1:$Z$2488,1453,'Live Data'!$C$20)),"")</f>
        <v/>
      </c>
      <c r="J1453" s="54" t="str">
        <f>IFERROR(IF(INDEX(SPOT_Import!$A$1:$Z$2488,1453,'Live Data'!$C$21)="","",INDEX(SPOT_Import!$A$1:$Z$2488,1453,'Live Data'!$C$21)),"")</f>
        <v/>
      </c>
      <c r="K1453" s="54" t="str">
        <f>IFERROR(IF(INDEX(SPOT_Import!$A$1:$Z$2488,1453,'Live Data'!$C$22)="","",INDEX(SPOT_Import!$A$1:$Z$2488,1453,'Live Data'!$C$22)),"")</f>
        <v/>
      </c>
      <c r="L1453" s="55" t="str">
        <f t="shared" si="44"/>
        <v/>
      </c>
      <c r="M1453" s="55" t="str">
        <f t="shared" si="45"/>
        <v/>
      </c>
      <c r="N1453" s="55" t="str">
        <f>IF(A1453="","",IFERROR(INDEX('Cluster Map'!$A$4:$A$38,MATCH(M1453,'Cluster Map'!$B$4:$B$38,0)),"Unmapped"))</f>
        <v/>
      </c>
      <c r="O1453" s="55">
        <f>IF(A1453="",0,IF(COUNTIFS($A$2:A1453,A1453,$F$2:F1453,F1453,$L$2:L1453,L1453)=1,1,0))</f>
        <v>0</v>
      </c>
      <c r="P1453" s="55">
        <f>IF(A1453="",0,IF(AND(F1453="C&amp;T",COUNTIFS($A$2:A1453,A1453,$F$2:F1453,"C&amp;T")=1),1,0))</f>
        <v>0</v>
      </c>
    </row>
    <row r="1454" spans="1:16" x14ac:dyDescent="0.35">
      <c r="A1454" s="54" t="str">
        <f>IFERROR(IF(INDEX(SPOT_Import!$A$1:$Z$2488,1454,'Live Data'!$C$12)="","",INDEX(SPOT_Import!$A$1:$Z$2488,1454,'Live Data'!$C$12)),"")</f>
        <v/>
      </c>
      <c r="B1454" s="54" t="str">
        <f>IFERROR(IF(INDEX(SPOT_Import!$A$1:$Z$2488,1454,'Live Data'!$C$13)="","",INDEX(SPOT_Import!$A$1:$Z$2488,1454,'Live Data'!$C$13)),"")</f>
        <v/>
      </c>
      <c r="C1454" s="54" t="str">
        <f>IFERROR(IF(INDEX(SPOT_Import!$A$1:$Z$2488,1454,'Live Data'!$C$14)="","",INDEX(SPOT_Import!$A$1:$Z$2488,1454,'Live Data'!$C$14)),"")</f>
        <v/>
      </c>
      <c r="D1454" s="54" t="str">
        <f>IFERROR(IF(INDEX(SPOT_Import!$A$1:$Z$2488,1454,'Live Data'!$C$15)="","",INDEX(SPOT_Import!$A$1:$Z$2488,1454,'Live Data'!$C$15)),"")</f>
        <v/>
      </c>
      <c r="E1454" s="54" t="str">
        <f>IFERROR(IF(INDEX(SPOT_Import!$A$1:$Z$2488,1454,'Live Data'!$C$16)="","",INDEX(SPOT_Import!$A$1:$Z$2488,1454,'Live Data'!$C$16)),"")</f>
        <v/>
      </c>
      <c r="F1454" s="54" t="str">
        <f>IFERROR(IF(INDEX(SPOT_Import!$A$1:$Z$2488,1454,'Live Data'!$C$17)="","",INDEX(SPOT_Import!$A$1:$Z$2488,1454,'Live Data'!$C$17)),"")</f>
        <v/>
      </c>
      <c r="G1454" s="54" t="str">
        <f>IFERROR(IF(INDEX(SPOT_Import!$A$1:$Z$2488,1454,'Live Data'!$C$18)="","",INDEX(SPOT_Import!$A$1:$Z$2488,1454,'Live Data'!$C$18)),"")</f>
        <v/>
      </c>
      <c r="H1454" s="54" t="str">
        <f>IFERROR(IF(INDEX(SPOT_Import!$A$1:$Z$2488,1454,'Live Data'!$C$19)="","",INDEX(SPOT_Import!$A$1:$Z$2488,1454,'Live Data'!$C$19)),"")</f>
        <v/>
      </c>
      <c r="I1454" s="54" t="str">
        <f>IFERROR(IF(INDEX(SPOT_Import!$A$1:$Z$2488,1454,'Live Data'!$C$20)="","",INDEX(SPOT_Import!$A$1:$Z$2488,1454,'Live Data'!$C$20)),"")</f>
        <v/>
      </c>
      <c r="J1454" s="54" t="str">
        <f>IFERROR(IF(INDEX(SPOT_Import!$A$1:$Z$2488,1454,'Live Data'!$C$21)="","",INDEX(SPOT_Import!$A$1:$Z$2488,1454,'Live Data'!$C$21)),"")</f>
        <v/>
      </c>
      <c r="K1454" s="54" t="str">
        <f>IFERROR(IF(INDEX(SPOT_Import!$A$1:$Z$2488,1454,'Live Data'!$C$22)="","",INDEX(SPOT_Import!$A$1:$Z$2488,1454,'Live Data'!$C$22)),"")</f>
        <v/>
      </c>
      <c r="L1454" s="55" t="str">
        <f t="shared" si="44"/>
        <v/>
      </c>
      <c r="M1454" s="55" t="str">
        <f t="shared" si="45"/>
        <v/>
      </c>
      <c r="N1454" s="55" t="str">
        <f>IF(A1454="","",IFERROR(INDEX('Cluster Map'!$A$4:$A$38,MATCH(M1454,'Cluster Map'!$B$4:$B$38,0)),"Unmapped"))</f>
        <v/>
      </c>
      <c r="O1454" s="55">
        <f>IF(A1454="",0,IF(COUNTIFS($A$2:A1454,A1454,$F$2:F1454,F1454,$L$2:L1454,L1454)=1,1,0))</f>
        <v>0</v>
      </c>
      <c r="P1454" s="55">
        <f>IF(A1454="",0,IF(AND(F1454="C&amp;T",COUNTIFS($A$2:A1454,A1454,$F$2:F1454,"C&amp;T")=1),1,0))</f>
        <v>0</v>
      </c>
    </row>
    <row r="1455" spans="1:16" x14ac:dyDescent="0.35">
      <c r="A1455" s="54" t="str">
        <f>IFERROR(IF(INDEX(SPOT_Import!$A$1:$Z$2488,1455,'Live Data'!$C$12)="","",INDEX(SPOT_Import!$A$1:$Z$2488,1455,'Live Data'!$C$12)),"")</f>
        <v/>
      </c>
      <c r="B1455" s="54" t="str">
        <f>IFERROR(IF(INDEX(SPOT_Import!$A$1:$Z$2488,1455,'Live Data'!$C$13)="","",INDEX(SPOT_Import!$A$1:$Z$2488,1455,'Live Data'!$C$13)),"")</f>
        <v/>
      </c>
      <c r="C1455" s="54" t="str">
        <f>IFERROR(IF(INDEX(SPOT_Import!$A$1:$Z$2488,1455,'Live Data'!$C$14)="","",INDEX(SPOT_Import!$A$1:$Z$2488,1455,'Live Data'!$C$14)),"")</f>
        <v/>
      </c>
      <c r="D1455" s="54" t="str">
        <f>IFERROR(IF(INDEX(SPOT_Import!$A$1:$Z$2488,1455,'Live Data'!$C$15)="","",INDEX(SPOT_Import!$A$1:$Z$2488,1455,'Live Data'!$C$15)),"")</f>
        <v/>
      </c>
      <c r="E1455" s="54" t="str">
        <f>IFERROR(IF(INDEX(SPOT_Import!$A$1:$Z$2488,1455,'Live Data'!$C$16)="","",INDEX(SPOT_Import!$A$1:$Z$2488,1455,'Live Data'!$C$16)),"")</f>
        <v/>
      </c>
      <c r="F1455" s="54" t="str">
        <f>IFERROR(IF(INDEX(SPOT_Import!$A$1:$Z$2488,1455,'Live Data'!$C$17)="","",INDEX(SPOT_Import!$A$1:$Z$2488,1455,'Live Data'!$C$17)),"")</f>
        <v/>
      </c>
      <c r="G1455" s="54" t="str">
        <f>IFERROR(IF(INDEX(SPOT_Import!$A$1:$Z$2488,1455,'Live Data'!$C$18)="","",INDEX(SPOT_Import!$A$1:$Z$2488,1455,'Live Data'!$C$18)),"")</f>
        <v/>
      </c>
      <c r="H1455" s="54" t="str">
        <f>IFERROR(IF(INDEX(SPOT_Import!$A$1:$Z$2488,1455,'Live Data'!$C$19)="","",INDEX(SPOT_Import!$A$1:$Z$2488,1455,'Live Data'!$C$19)),"")</f>
        <v/>
      </c>
      <c r="I1455" s="54" t="str">
        <f>IFERROR(IF(INDEX(SPOT_Import!$A$1:$Z$2488,1455,'Live Data'!$C$20)="","",INDEX(SPOT_Import!$A$1:$Z$2488,1455,'Live Data'!$C$20)),"")</f>
        <v/>
      </c>
      <c r="J1455" s="54" t="str">
        <f>IFERROR(IF(INDEX(SPOT_Import!$A$1:$Z$2488,1455,'Live Data'!$C$21)="","",INDEX(SPOT_Import!$A$1:$Z$2488,1455,'Live Data'!$C$21)),"")</f>
        <v/>
      </c>
      <c r="K1455" s="54" t="str">
        <f>IFERROR(IF(INDEX(SPOT_Import!$A$1:$Z$2488,1455,'Live Data'!$C$22)="","",INDEX(SPOT_Import!$A$1:$Z$2488,1455,'Live Data'!$C$22)),"")</f>
        <v/>
      </c>
      <c r="L1455" s="55" t="str">
        <f t="shared" si="44"/>
        <v/>
      </c>
      <c r="M1455" s="55" t="str">
        <f t="shared" si="45"/>
        <v/>
      </c>
      <c r="N1455" s="55" t="str">
        <f>IF(A1455="","",IFERROR(INDEX('Cluster Map'!$A$4:$A$38,MATCH(M1455,'Cluster Map'!$B$4:$B$38,0)),"Unmapped"))</f>
        <v/>
      </c>
      <c r="O1455" s="55">
        <f>IF(A1455="",0,IF(COUNTIFS($A$2:A1455,A1455,$F$2:F1455,F1455,$L$2:L1455,L1455)=1,1,0))</f>
        <v>0</v>
      </c>
      <c r="P1455" s="55">
        <f>IF(A1455="",0,IF(AND(F1455="C&amp;T",COUNTIFS($A$2:A1455,A1455,$F$2:F1455,"C&amp;T")=1),1,0))</f>
        <v>0</v>
      </c>
    </row>
    <row r="1456" spans="1:16" x14ac:dyDescent="0.35">
      <c r="A1456" s="54" t="str">
        <f>IFERROR(IF(INDEX(SPOT_Import!$A$1:$Z$2488,1456,'Live Data'!$C$12)="","",INDEX(SPOT_Import!$A$1:$Z$2488,1456,'Live Data'!$C$12)),"")</f>
        <v/>
      </c>
      <c r="B1456" s="54" t="str">
        <f>IFERROR(IF(INDEX(SPOT_Import!$A$1:$Z$2488,1456,'Live Data'!$C$13)="","",INDEX(SPOT_Import!$A$1:$Z$2488,1456,'Live Data'!$C$13)),"")</f>
        <v/>
      </c>
      <c r="C1456" s="54" t="str">
        <f>IFERROR(IF(INDEX(SPOT_Import!$A$1:$Z$2488,1456,'Live Data'!$C$14)="","",INDEX(SPOT_Import!$A$1:$Z$2488,1456,'Live Data'!$C$14)),"")</f>
        <v/>
      </c>
      <c r="D1456" s="54" t="str">
        <f>IFERROR(IF(INDEX(SPOT_Import!$A$1:$Z$2488,1456,'Live Data'!$C$15)="","",INDEX(SPOT_Import!$A$1:$Z$2488,1456,'Live Data'!$C$15)),"")</f>
        <v/>
      </c>
      <c r="E1456" s="54" t="str">
        <f>IFERROR(IF(INDEX(SPOT_Import!$A$1:$Z$2488,1456,'Live Data'!$C$16)="","",INDEX(SPOT_Import!$A$1:$Z$2488,1456,'Live Data'!$C$16)),"")</f>
        <v/>
      </c>
      <c r="F1456" s="54" t="str">
        <f>IFERROR(IF(INDEX(SPOT_Import!$A$1:$Z$2488,1456,'Live Data'!$C$17)="","",INDEX(SPOT_Import!$A$1:$Z$2488,1456,'Live Data'!$C$17)),"")</f>
        <v/>
      </c>
      <c r="G1456" s="54" t="str">
        <f>IFERROR(IF(INDEX(SPOT_Import!$A$1:$Z$2488,1456,'Live Data'!$C$18)="","",INDEX(SPOT_Import!$A$1:$Z$2488,1456,'Live Data'!$C$18)),"")</f>
        <v/>
      </c>
      <c r="H1456" s="54" t="str">
        <f>IFERROR(IF(INDEX(SPOT_Import!$A$1:$Z$2488,1456,'Live Data'!$C$19)="","",INDEX(SPOT_Import!$A$1:$Z$2488,1456,'Live Data'!$C$19)),"")</f>
        <v/>
      </c>
      <c r="I1456" s="54" t="str">
        <f>IFERROR(IF(INDEX(SPOT_Import!$A$1:$Z$2488,1456,'Live Data'!$C$20)="","",INDEX(SPOT_Import!$A$1:$Z$2488,1456,'Live Data'!$C$20)),"")</f>
        <v/>
      </c>
      <c r="J1456" s="54" t="str">
        <f>IFERROR(IF(INDEX(SPOT_Import!$A$1:$Z$2488,1456,'Live Data'!$C$21)="","",INDEX(SPOT_Import!$A$1:$Z$2488,1456,'Live Data'!$C$21)),"")</f>
        <v/>
      </c>
      <c r="K1456" s="54" t="str">
        <f>IFERROR(IF(INDEX(SPOT_Import!$A$1:$Z$2488,1456,'Live Data'!$C$22)="","",INDEX(SPOT_Import!$A$1:$Z$2488,1456,'Live Data'!$C$22)),"")</f>
        <v/>
      </c>
      <c r="L1456" s="55" t="str">
        <f t="shared" si="44"/>
        <v/>
      </c>
      <c r="M1456" s="55" t="str">
        <f t="shared" si="45"/>
        <v/>
      </c>
      <c r="N1456" s="55" t="str">
        <f>IF(A1456="","",IFERROR(INDEX('Cluster Map'!$A$4:$A$38,MATCH(M1456,'Cluster Map'!$B$4:$B$38,0)),"Unmapped"))</f>
        <v/>
      </c>
      <c r="O1456" s="55">
        <f>IF(A1456="",0,IF(COUNTIFS($A$2:A1456,A1456,$F$2:F1456,F1456,$L$2:L1456,L1456)=1,1,0))</f>
        <v>0</v>
      </c>
      <c r="P1456" s="55">
        <f>IF(A1456="",0,IF(AND(F1456="C&amp;T",COUNTIFS($A$2:A1456,A1456,$F$2:F1456,"C&amp;T")=1),1,0))</f>
        <v>0</v>
      </c>
    </row>
    <row r="1457" spans="1:16" x14ac:dyDescent="0.35">
      <c r="A1457" s="54" t="str">
        <f>IFERROR(IF(INDEX(SPOT_Import!$A$1:$Z$2488,1457,'Live Data'!$C$12)="","",INDEX(SPOT_Import!$A$1:$Z$2488,1457,'Live Data'!$C$12)),"")</f>
        <v/>
      </c>
      <c r="B1457" s="54" t="str">
        <f>IFERROR(IF(INDEX(SPOT_Import!$A$1:$Z$2488,1457,'Live Data'!$C$13)="","",INDEX(SPOT_Import!$A$1:$Z$2488,1457,'Live Data'!$C$13)),"")</f>
        <v/>
      </c>
      <c r="C1457" s="54" t="str">
        <f>IFERROR(IF(INDEX(SPOT_Import!$A$1:$Z$2488,1457,'Live Data'!$C$14)="","",INDEX(SPOT_Import!$A$1:$Z$2488,1457,'Live Data'!$C$14)),"")</f>
        <v/>
      </c>
      <c r="D1457" s="54" t="str">
        <f>IFERROR(IF(INDEX(SPOT_Import!$A$1:$Z$2488,1457,'Live Data'!$C$15)="","",INDEX(SPOT_Import!$A$1:$Z$2488,1457,'Live Data'!$C$15)),"")</f>
        <v/>
      </c>
      <c r="E1457" s="54" t="str">
        <f>IFERROR(IF(INDEX(SPOT_Import!$A$1:$Z$2488,1457,'Live Data'!$C$16)="","",INDEX(SPOT_Import!$A$1:$Z$2488,1457,'Live Data'!$C$16)),"")</f>
        <v/>
      </c>
      <c r="F1457" s="54" t="str">
        <f>IFERROR(IF(INDEX(SPOT_Import!$A$1:$Z$2488,1457,'Live Data'!$C$17)="","",INDEX(SPOT_Import!$A$1:$Z$2488,1457,'Live Data'!$C$17)),"")</f>
        <v/>
      </c>
      <c r="G1457" s="54" t="str">
        <f>IFERROR(IF(INDEX(SPOT_Import!$A$1:$Z$2488,1457,'Live Data'!$C$18)="","",INDEX(SPOT_Import!$A$1:$Z$2488,1457,'Live Data'!$C$18)),"")</f>
        <v/>
      </c>
      <c r="H1457" s="54" t="str">
        <f>IFERROR(IF(INDEX(SPOT_Import!$A$1:$Z$2488,1457,'Live Data'!$C$19)="","",INDEX(SPOT_Import!$A$1:$Z$2488,1457,'Live Data'!$C$19)),"")</f>
        <v/>
      </c>
      <c r="I1457" s="54" t="str">
        <f>IFERROR(IF(INDEX(SPOT_Import!$A$1:$Z$2488,1457,'Live Data'!$C$20)="","",INDEX(SPOT_Import!$A$1:$Z$2488,1457,'Live Data'!$C$20)),"")</f>
        <v/>
      </c>
      <c r="J1457" s="54" t="str">
        <f>IFERROR(IF(INDEX(SPOT_Import!$A$1:$Z$2488,1457,'Live Data'!$C$21)="","",INDEX(SPOT_Import!$A$1:$Z$2488,1457,'Live Data'!$C$21)),"")</f>
        <v/>
      </c>
      <c r="K1457" s="54" t="str">
        <f>IFERROR(IF(INDEX(SPOT_Import!$A$1:$Z$2488,1457,'Live Data'!$C$22)="","",INDEX(SPOT_Import!$A$1:$Z$2488,1457,'Live Data'!$C$22)),"")</f>
        <v/>
      </c>
      <c r="L1457" s="55" t="str">
        <f t="shared" si="44"/>
        <v/>
      </c>
      <c r="M1457" s="55" t="str">
        <f t="shared" si="45"/>
        <v/>
      </c>
      <c r="N1457" s="55" t="str">
        <f>IF(A1457="","",IFERROR(INDEX('Cluster Map'!$A$4:$A$38,MATCH(M1457,'Cluster Map'!$B$4:$B$38,0)),"Unmapped"))</f>
        <v/>
      </c>
      <c r="O1457" s="55">
        <f>IF(A1457="",0,IF(COUNTIFS($A$2:A1457,A1457,$F$2:F1457,F1457,$L$2:L1457,L1457)=1,1,0))</f>
        <v>0</v>
      </c>
      <c r="P1457" s="55">
        <f>IF(A1457="",0,IF(AND(F1457="C&amp;T",COUNTIFS($A$2:A1457,A1457,$F$2:F1457,"C&amp;T")=1),1,0))</f>
        <v>0</v>
      </c>
    </row>
    <row r="1458" spans="1:16" x14ac:dyDescent="0.35">
      <c r="A1458" s="54" t="str">
        <f>IFERROR(IF(INDEX(SPOT_Import!$A$1:$Z$2488,1458,'Live Data'!$C$12)="","",INDEX(SPOT_Import!$A$1:$Z$2488,1458,'Live Data'!$C$12)),"")</f>
        <v/>
      </c>
      <c r="B1458" s="54" t="str">
        <f>IFERROR(IF(INDEX(SPOT_Import!$A$1:$Z$2488,1458,'Live Data'!$C$13)="","",INDEX(SPOT_Import!$A$1:$Z$2488,1458,'Live Data'!$C$13)),"")</f>
        <v/>
      </c>
      <c r="C1458" s="54" t="str">
        <f>IFERROR(IF(INDEX(SPOT_Import!$A$1:$Z$2488,1458,'Live Data'!$C$14)="","",INDEX(SPOT_Import!$A$1:$Z$2488,1458,'Live Data'!$C$14)),"")</f>
        <v/>
      </c>
      <c r="D1458" s="54" t="str">
        <f>IFERROR(IF(INDEX(SPOT_Import!$A$1:$Z$2488,1458,'Live Data'!$C$15)="","",INDEX(SPOT_Import!$A$1:$Z$2488,1458,'Live Data'!$C$15)),"")</f>
        <v/>
      </c>
      <c r="E1458" s="54" t="str">
        <f>IFERROR(IF(INDEX(SPOT_Import!$A$1:$Z$2488,1458,'Live Data'!$C$16)="","",INDEX(SPOT_Import!$A$1:$Z$2488,1458,'Live Data'!$C$16)),"")</f>
        <v/>
      </c>
      <c r="F1458" s="54" t="str">
        <f>IFERROR(IF(INDEX(SPOT_Import!$A$1:$Z$2488,1458,'Live Data'!$C$17)="","",INDEX(SPOT_Import!$A$1:$Z$2488,1458,'Live Data'!$C$17)),"")</f>
        <v/>
      </c>
      <c r="G1458" s="54" t="str">
        <f>IFERROR(IF(INDEX(SPOT_Import!$A$1:$Z$2488,1458,'Live Data'!$C$18)="","",INDEX(SPOT_Import!$A$1:$Z$2488,1458,'Live Data'!$C$18)),"")</f>
        <v/>
      </c>
      <c r="H1458" s="54" t="str">
        <f>IFERROR(IF(INDEX(SPOT_Import!$A$1:$Z$2488,1458,'Live Data'!$C$19)="","",INDEX(SPOT_Import!$A$1:$Z$2488,1458,'Live Data'!$C$19)),"")</f>
        <v/>
      </c>
      <c r="I1458" s="54" t="str">
        <f>IFERROR(IF(INDEX(SPOT_Import!$A$1:$Z$2488,1458,'Live Data'!$C$20)="","",INDEX(SPOT_Import!$A$1:$Z$2488,1458,'Live Data'!$C$20)),"")</f>
        <v/>
      </c>
      <c r="J1458" s="54" t="str">
        <f>IFERROR(IF(INDEX(SPOT_Import!$A$1:$Z$2488,1458,'Live Data'!$C$21)="","",INDEX(SPOT_Import!$A$1:$Z$2488,1458,'Live Data'!$C$21)),"")</f>
        <v/>
      </c>
      <c r="K1458" s="54" t="str">
        <f>IFERROR(IF(INDEX(SPOT_Import!$A$1:$Z$2488,1458,'Live Data'!$C$22)="","",INDEX(SPOT_Import!$A$1:$Z$2488,1458,'Live Data'!$C$22)),"")</f>
        <v/>
      </c>
      <c r="L1458" s="55" t="str">
        <f t="shared" si="44"/>
        <v/>
      </c>
      <c r="M1458" s="55" t="str">
        <f t="shared" si="45"/>
        <v/>
      </c>
      <c r="N1458" s="55" t="str">
        <f>IF(A1458="","",IFERROR(INDEX('Cluster Map'!$A$4:$A$38,MATCH(M1458,'Cluster Map'!$B$4:$B$38,0)),"Unmapped"))</f>
        <v/>
      </c>
      <c r="O1458" s="55">
        <f>IF(A1458="",0,IF(COUNTIFS($A$2:A1458,A1458,$F$2:F1458,F1458,$L$2:L1458,L1458)=1,1,0))</f>
        <v>0</v>
      </c>
      <c r="P1458" s="55">
        <f>IF(A1458="",0,IF(AND(F1458="C&amp;T",COUNTIFS($A$2:A1458,A1458,$F$2:F1458,"C&amp;T")=1),1,0))</f>
        <v>0</v>
      </c>
    </row>
    <row r="1459" spans="1:16" x14ac:dyDescent="0.35">
      <c r="A1459" s="54" t="str">
        <f>IFERROR(IF(INDEX(SPOT_Import!$A$1:$Z$2488,1459,'Live Data'!$C$12)="","",INDEX(SPOT_Import!$A$1:$Z$2488,1459,'Live Data'!$C$12)),"")</f>
        <v/>
      </c>
      <c r="B1459" s="54" t="str">
        <f>IFERROR(IF(INDEX(SPOT_Import!$A$1:$Z$2488,1459,'Live Data'!$C$13)="","",INDEX(SPOT_Import!$A$1:$Z$2488,1459,'Live Data'!$C$13)),"")</f>
        <v/>
      </c>
      <c r="C1459" s="54" t="str">
        <f>IFERROR(IF(INDEX(SPOT_Import!$A$1:$Z$2488,1459,'Live Data'!$C$14)="","",INDEX(SPOT_Import!$A$1:$Z$2488,1459,'Live Data'!$C$14)),"")</f>
        <v/>
      </c>
      <c r="D1459" s="54" t="str">
        <f>IFERROR(IF(INDEX(SPOT_Import!$A$1:$Z$2488,1459,'Live Data'!$C$15)="","",INDEX(SPOT_Import!$A$1:$Z$2488,1459,'Live Data'!$C$15)),"")</f>
        <v/>
      </c>
      <c r="E1459" s="54" t="str">
        <f>IFERROR(IF(INDEX(SPOT_Import!$A$1:$Z$2488,1459,'Live Data'!$C$16)="","",INDEX(SPOT_Import!$A$1:$Z$2488,1459,'Live Data'!$C$16)),"")</f>
        <v/>
      </c>
      <c r="F1459" s="54" t="str">
        <f>IFERROR(IF(INDEX(SPOT_Import!$A$1:$Z$2488,1459,'Live Data'!$C$17)="","",INDEX(SPOT_Import!$A$1:$Z$2488,1459,'Live Data'!$C$17)),"")</f>
        <v/>
      </c>
      <c r="G1459" s="54" t="str">
        <f>IFERROR(IF(INDEX(SPOT_Import!$A$1:$Z$2488,1459,'Live Data'!$C$18)="","",INDEX(SPOT_Import!$A$1:$Z$2488,1459,'Live Data'!$C$18)),"")</f>
        <v/>
      </c>
      <c r="H1459" s="54" t="str">
        <f>IFERROR(IF(INDEX(SPOT_Import!$A$1:$Z$2488,1459,'Live Data'!$C$19)="","",INDEX(SPOT_Import!$A$1:$Z$2488,1459,'Live Data'!$C$19)),"")</f>
        <v/>
      </c>
      <c r="I1459" s="54" t="str">
        <f>IFERROR(IF(INDEX(SPOT_Import!$A$1:$Z$2488,1459,'Live Data'!$C$20)="","",INDEX(SPOT_Import!$A$1:$Z$2488,1459,'Live Data'!$C$20)),"")</f>
        <v/>
      </c>
      <c r="J1459" s="54" t="str">
        <f>IFERROR(IF(INDEX(SPOT_Import!$A$1:$Z$2488,1459,'Live Data'!$C$21)="","",INDEX(SPOT_Import!$A$1:$Z$2488,1459,'Live Data'!$C$21)),"")</f>
        <v/>
      </c>
      <c r="K1459" s="54" t="str">
        <f>IFERROR(IF(INDEX(SPOT_Import!$A$1:$Z$2488,1459,'Live Data'!$C$22)="","",INDEX(SPOT_Import!$A$1:$Z$2488,1459,'Live Data'!$C$22)),"")</f>
        <v/>
      </c>
      <c r="L1459" s="55" t="str">
        <f t="shared" si="44"/>
        <v/>
      </c>
      <c r="M1459" s="55" t="str">
        <f t="shared" si="45"/>
        <v/>
      </c>
      <c r="N1459" s="55" t="str">
        <f>IF(A1459="","",IFERROR(INDEX('Cluster Map'!$A$4:$A$38,MATCH(M1459,'Cluster Map'!$B$4:$B$38,0)),"Unmapped"))</f>
        <v/>
      </c>
      <c r="O1459" s="55">
        <f>IF(A1459="",0,IF(COUNTIFS($A$2:A1459,A1459,$F$2:F1459,F1459,$L$2:L1459,L1459)=1,1,0))</f>
        <v>0</v>
      </c>
      <c r="P1459" s="55">
        <f>IF(A1459="",0,IF(AND(F1459="C&amp;T",COUNTIFS($A$2:A1459,A1459,$F$2:F1459,"C&amp;T")=1),1,0))</f>
        <v>0</v>
      </c>
    </row>
    <row r="1460" spans="1:16" x14ac:dyDescent="0.35">
      <c r="A1460" s="54" t="str">
        <f>IFERROR(IF(INDEX(SPOT_Import!$A$1:$Z$2488,1460,'Live Data'!$C$12)="","",INDEX(SPOT_Import!$A$1:$Z$2488,1460,'Live Data'!$C$12)),"")</f>
        <v/>
      </c>
      <c r="B1460" s="54" t="str">
        <f>IFERROR(IF(INDEX(SPOT_Import!$A$1:$Z$2488,1460,'Live Data'!$C$13)="","",INDEX(SPOT_Import!$A$1:$Z$2488,1460,'Live Data'!$C$13)),"")</f>
        <v/>
      </c>
      <c r="C1460" s="54" t="str">
        <f>IFERROR(IF(INDEX(SPOT_Import!$A$1:$Z$2488,1460,'Live Data'!$C$14)="","",INDEX(SPOT_Import!$A$1:$Z$2488,1460,'Live Data'!$C$14)),"")</f>
        <v/>
      </c>
      <c r="D1460" s="54" t="str">
        <f>IFERROR(IF(INDEX(SPOT_Import!$A$1:$Z$2488,1460,'Live Data'!$C$15)="","",INDEX(SPOT_Import!$A$1:$Z$2488,1460,'Live Data'!$C$15)),"")</f>
        <v/>
      </c>
      <c r="E1460" s="54" t="str">
        <f>IFERROR(IF(INDEX(SPOT_Import!$A$1:$Z$2488,1460,'Live Data'!$C$16)="","",INDEX(SPOT_Import!$A$1:$Z$2488,1460,'Live Data'!$C$16)),"")</f>
        <v/>
      </c>
      <c r="F1460" s="54" t="str">
        <f>IFERROR(IF(INDEX(SPOT_Import!$A$1:$Z$2488,1460,'Live Data'!$C$17)="","",INDEX(SPOT_Import!$A$1:$Z$2488,1460,'Live Data'!$C$17)),"")</f>
        <v/>
      </c>
      <c r="G1460" s="54" t="str">
        <f>IFERROR(IF(INDEX(SPOT_Import!$A$1:$Z$2488,1460,'Live Data'!$C$18)="","",INDEX(SPOT_Import!$A$1:$Z$2488,1460,'Live Data'!$C$18)),"")</f>
        <v/>
      </c>
      <c r="H1460" s="54" t="str">
        <f>IFERROR(IF(INDEX(SPOT_Import!$A$1:$Z$2488,1460,'Live Data'!$C$19)="","",INDEX(SPOT_Import!$A$1:$Z$2488,1460,'Live Data'!$C$19)),"")</f>
        <v/>
      </c>
      <c r="I1460" s="54" t="str">
        <f>IFERROR(IF(INDEX(SPOT_Import!$A$1:$Z$2488,1460,'Live Data'!$C$20)="","",INDEX(SPOT_Import!$A$1:$Z$2488,1460,'Live Data'!$C$20)),"")</f>
        <v/>
      </c>
      <c r="J1460" s="54" t="str">
        <f>IFERROR(IF(INDEX(SPOT_Import!$A$1:$Z$2488,1460,'Live Data'!$C$21)="","",INDEX(SPOT_Import!$A$1:$Z$2488,1460,'Live Data'!$C$21)),"")</f>
        <v/>
      </c>
      <c r="K1460" s="54" t="str">
        <f>IFERROR(IF(INDEX(SPOT_Import!$A$1:$Z$2488,1460,'Live Data'!$C$22)="","",INDEX(SPOT_Import!$A$1:$Z$2488,1460,'Live Data'!$C$22)),"")</f>
        <v/>
      </c>
      <c r="L1460" s="55" t="str">
        <f t="shared" si="44"/>
        <v/>
      </c>
      <c r="M1460" s="55" t="str">
        <f t="shared" si="45"/>
        <v/>
      </c>
      <c r="N1460" s="55" t="str">
        <f>IF(A1460="","",IFERROR(INDEX('Cluster Map'!$A$4:$A$38,MATCH(M1460,'Cluster Map'!$B$4:$B$38,0)),"Unmapped"))</f>
        <v/>
      </c>
      <c r="O1460" s="55">
        <f>IF(A1460="",0,IF(COUNTIFS($A$2:A1460,A1460,$F$2:F1460,F1460,$L$2:L1460,L1460)=1,1,0))</f>
        <v>0</v>
      </c>
      <c r="P1460" s="55">
        <f>IF(A1460="",0,IF(AND(F1460="C&amp;T",COUNTIFS($A$2:A1460,A1460,$F$2:F1460,"C&amp;T")=1),1,0))</f>
        <v>0</v>
      </c>
    </row>
    <row r="1461" spans="1:16" x14ac:dyDescent="0.35">
      <c r="A1461" s="54" t="str">
        <f>IFERROR(IF(INDEX(SPOT_Import!$A$1:$Z$2488,1461,'Live Data'!$C$12)="","",INDEX(SPOT_Import!$A$1:$Z$2488,1461,'Live Data'!$C$12)),"")</f>
        <v/>
      </c>
      <c r="B1461" s="54" t="str">
        <f>IFERROR(IF(INDEX(SPOT_Import!$A$1:$Z$2488,1461,'Live Data'!$C$13)="","",INDEX(SPOT_Import!$A$1:$Z$2488,1461,'Live Data'!$C$13)),"")</f>
        <v/>
      </c>
      <c r="C1461" s="54" t="str">
        <f>IFERROR(IF(INDEX(SPOT_Import!$A$1:$Z$2488,1461,'Live Data'!$C$14)="","",INDEX(SPOT_Import!$A$1:$Z$2488,1461,'Live Data'!$C$14)),"")</f>
        <v/>
      </c>
      <c r="D1461" s="54" t="str">
        <f>IFERROR(IF(INDEX(SPOT_Import!$A$1:$Z$2488,1461,'Live Data'!$C$15)="","",INDEX(SPOT_Import!$A$1:$Z$2488,1461,'Live Data'!$C$15)),"")</f>
        <v/>
      </c>
      <c r="E1461" s="54" t="str">
        <f>IFERROR(IF(INDEX(SPOT_Import!$A$1:$Z$2488,1461,'Live Data'!$C$16)="","",INDEX(SPOT_Import!$A$1:$Z$2488,1461,'Live Data'!$C$16)),"")</f>
        <v/>
      </c>
      <c r="F1461" s="54" t="str">
        <f>IFERROR(IF(INDEX(SPOT_Import!$A$1:$Z$2488,1461,'Live Data'!$C$17)="","",INDEX(SPOT_Import!$A$1:$Z$2488,1461,'Live Data'!$C$17)),"")</f>
        <v/>
      </c>
      <c r="G1461" s="54" t="str">
        <f>IFERROR(IF(INDEX(SPOT_Import!$A$1:$Z$2488,1461,'Live Data'!$C$18)="","",INDEX(SPOT_Import!$A$1:$Z$2488,1461,'Live Data'!$C$18)),"")</f>
        <v/>
      </c>
      <c r="H1461" s="54" t="str">
        <f>IFERROR(IF(INDEX(SPOT_Import!$A$1:$Z$2488,1461,'Live Data'!$C$19)="","",INDEX(SPOT_Import!$A$1:$Z$2488,1461,'Live Data'!$C$19)),"")</f>
        <v/>
      </c>
      <c r="I1461" s="54" t="str">
        <f>IFERROR(IF(INDEX(SPOT_Import!$A$1:$Z$2488,1461,'Live Data'!$C$20)="","",INDEX(SPOT_Import!$A$1:$Z$2488,1461,'Live Data'!$C$20)),"")</f>
        <v/>
      </c>
      <c r="J1461" s="54" t="str">
        <f>IFERROR(IF(INDEX(SPOT_Import!$A$1:$Z$2488,1461,'Live Data'!$C$21)="","",INDEX(SPOT_Import!$A$1:$Z$2488,1461,'Live Data'!$C$21)),"")</f>
        <v/>
      </c>
      <c r="K1461" s="54" t="str">
        <f>IFERROR(IF(INDEX(SPOT_Import!$A$1:$Z$2488,1461,'Live Data'!$C$22)="","",INDEX(SPOT_Import!$A$1:$Z$2488,1461,'Live Data'!$C$22)),"")</f>
        <v/>
      </c>
      <c r="L1461" s="55" t="str">
        <f t="shared" si="44"/>
        <v/>
      </c>
      <c r="M1461" s="55" t="str">
        <f t="shared" si="45"/>
        <v/>
      </c>
      <c r="N1461" s="55" t="str">
        <f>IF(A1461="","",IFERROR(INDEX('Cluster Map'!$A$4:$A$38,MATCH(M1461,'Cluster Map'!$B$4:$B$38,0)),"Unmapped"))</f>
        <v/>
      </c>
      <c r="O1461" s="55">
        <f>IF(A1461="",0,IF(COUNTIFS($A$2:A1461,A1461,$F$2:F1461,F1461,$L$2:L1461,L1461)=1,1,0))</f>
        <v>0</v>
      </c>
      <c r="P1461" s="55">
        <f>IF(A1461="",0,IF(AND(F1461="C&amp;T",COUNTIFS($A$2:A1461,A1461,$F$2:F1461,"C&amp;T")=1),1,0))</f>
        <v>0</v>
      </c>
    </row>
    <row r="1462" spans="1:16" x14ac:dyDescent="0.35">
      <c r="A1462" s="54" t="str">
        <f>IFERROR(IF(INDEX(SPOT_Import!$A$1:$Z$2488,1462,'Live Data'!$C$12)="","",INDEX(SPOT_Import!$A$1:$Z$2488,1462,'Live Data'!$C$12)),"")</f>
        <v/>
      </c>
      <c r="B1462" s="54" t="str">
        <f>IFERROR(IF(INDEX(SPOT_Import!$A$1:$Z$2488,1462,'Live Data'!$C$13)="","",INDEX(SPOT_Import!$A$1:$Z$2488,1462,'Live Data'!$C$13)),"")</f>
        <v/>
      </c>
      <c r="C1462" s="54" t="str">
        <f>IFERROR(IF(INDEX(SPOT_Import!$A$1:$Z$2488,1462,'Live Data'!$C$14)="","",INDEX(SPOT_Import!$A$1:$Z$2488,1462,'Live Data'!$C$14)),"")</f>
        <v/>
      </c>
      <c r="D1462" s="54" t="str">
        <f>IFERROR(IF(INDEX(SPOT_Import!$A$1:$Z$2488,1462,'Live Data'!$C$15)="","",INDEX(SPOT_Import!$A$1:$Z$2488,1462,'Live Data'!$C$15)),"")</f>
        <v/>
      </c>
      <c r="E1462" s="54" t="str">
        <f>IFERROR(IF(INDEX(SPOT_Import!$A$1:$Z$2488,1462,'Live Data'!$C$16)="","",INDEX(SPOT_Import!$A$1:$Z$2488,1462,'Live Data'!$C$16)),"")</f>
        <v/>
      </c>
      <c r="F1462" s="54" t="str">
        <f>IFERROR(IF(INDEX(SPOT_Import!$A$1:$Z$2488,1462,'Live Data'!$C$17)="","",INDEX(SPOT_Import!$A$1:$Z$2488,1462,'Live Data'!$C$17)),"")</f>
        <v/>
      </c>
      <c r="G1462" s="54" t="str">
        <f>IFERROR(IF(INDEX(SPOT_Import!$A$1:$Z$2488,1462,'Live Data'!$C$18)="","",INDEX(SPOT_Import!$A$1:$Z$2488,1462,'Live Data'!$C$18)),"")</f>
        <v/>
      </c>
      <c r="H1462" s="54" t="str">
        <f>IFERROR(IF(INDEX(SPOT_Import!$A$1:$Z$2488,1462,'Live Data'!$C$19)="","",INDEX(SPOT_Import!$A$1:$Z$2488,1462,'Live Data'!$C$19)),"")</f>
        <v/>
      </c>
      <c r="I1462" s="54" t="str">
        <f>IFERROR(IF(INDEX(SPOT_Import!$A$1:$Z$2488,1462,'Live Data'!$C$20)="","",INDEX(SPOT_Import!$A$1:$Z$2488,1462,'Live Data'!$C$20)),"")</f>
        <v/>
      </c>
      <c r="J1462" s="54" t="str">
        <f>IFERROR(IF(INDEX(SPOT_Import!$A$1:$Z$2488,1462,'Live Data'!$C$21)="","",INDEX(SPOT_Import!$A$1:$Z$2488,1462,'Live Data'!$C$21)),"")</f>
        <v/>
      </c>
      <c r="K1462" s="54" t="str">
        <f>IFERROR(IF(INDEX(SPOT_Import!$A$1:$Z$2488,1462,'Live Data'!$C$22)="","",INDEX(SPOT_Import!$A$1:$Z$2488,1462,'Live Data'!$C$22)),"")</f>
        <v/>
      </c>
      <c r="L1462" s="55" t="str">
        <f t="shared" si="44"/>
        <v/>
      </c>
      <c r="M1462" s="55" t="str">
        <f t="shared" si="45"/>
        <v/>
      </c>
      <c r="N1462" s="55" t="str">
        <f>IF(A1462="","",IFERROR(INDEX('Cluster Map'!$A$4:$A$38,MATCH(M1462,'Cluster Map'!$B$4:$B$38,0)),"Unmapped"))</f>
        <v/>
      </c>
      <c r="O1462" s="55">
        <f>IF(A1462="",0,IF(COUNTIFS($A$2:A1462,A1462,$F$2:F1462,F1462,$L$2:L1462,L1462)=1,1,0))</f>
        <v>0</v>
      </c>
      <c r="P1462" s="55">
        <f>IF(A1462="",0,IF(AND(F1462="C&amp;T",COUNTIFS($A$2:A1462,A1462,$F$2:F1462,"C&amp;T")=1),1,0))</f>
        <v>0</v>
      </c>
    </row>
    <row r="1463" spans="1:16" x14ac:dyDescent="0.35">
      <c r="A1463" s="54" t="str">
        <f>IFERROR(IF(INDEX(SPOT_Import!$A$1:$Z$2488,1463,'Live Data'!$C$12)="","",INDEX(SPOT_Import!$A$1:$Z$2488,1463,'Live Data'!$C$12)),"")</f>
        <v/>
      </c>
      <c r="B1463" s="54" t="str">
        <f>IFERROR(IF(INDEX(SPOT_Import!$A$1:$Z$2488,1463,'Live Data'!$C$13)="","",INDEX(SPOT_Import!$A$1:$Z$2488,1463,'Live Data'!$C$13)),"")</f>
        <v/>
      </c>
      <c r="C1463" s="54" t="str">
        <f>IFERROR(IF(INDEX(SPOT_Import!$A$1:$Z$2488,1463,'Live Data'!$C$14)="","",INDEX(SPOT_Import!$A$1:$Z$2488,1463,'Live Data'!$C$14)),"")</f>
        <v/>
      </c>
      <c r="D1463" s="54" t="str">
        <f>IFERROR(IF(INDEX(SPOT_Import!$A$1:$Z$2488,1463,'Live Data'!$C$15)="","",INDEX(SPOT_Import!$A$1:$Z$2488,1463,'Live Data'!$C$15)),"")</f>
        <v/>
      </c>
      <c r="E1463" s="54" t="str">
        <f>IFERROR(IF(INDEX(SPOT_Import!$A$1:$Z$2488,1463,'Live Data'!$C$16)="","",INDEX(SPOT_Import!$A$1:$Z$2488,1463,'Live Data'!$C$16)),"")</f>
        <v/>
      </c>
      <c r="F1463" s="54" t="str">
        <f>IFERROR(IF(INDEX(SPOT_Import!$A$1:$Z$2488,1463,'Live Data'!$C$17)="","",INDEX(SPOT_Import!$A$1:$Z$2488,1463,'Live Data'!$C$17)),"")</f>
        <v/>
      </c>
      <c r="G1463" s="54" t="str">
        <f>IFERROR(IF(INDEX(SPOT_Import!$A$1:$Z$2488,1463,'Live Data'!$C$18)="","",INDEX(SPOT_Import!$A$1:$Z$2488,1463,'Live Data'!$C$18)),"")</f>
        <v/>
      </c>
      <c r="H1463" s="54" t="str">
        <f>IFERROR(IF(INDEX(SPOT_Import!$A$1:$Z$2488,1463,'Live Data'!$C$19)="","",INDEX(SPOT_Import!$A$1:$Z$2488,1463,'Live Data'!$C$19)),"")</f>
        <v/>
      </c>
      <c r="I1463" s="54" t="str">
        <f>IFERROR(IF(INDEX(SPOT_Import!$A$1:$Z$2488,1463,'Live Data'!$C$20)="","",INDEX(SPOT_Import!$A$1:$Z$2488,1463,'Live Data'!$C$20)),"")</f>
        <v/>
      </c>
      <c r="J1463" s="54" t="str">
        <f>IFERROR(IF(INDEX(SPOT_Import!$A$1:$Z$2488,1463,'Live Data'!$C$21)="","",INDEX(SPOT_Import!$A$1:$Z$2488,1463,'Live Data'!$C$21)),"")</f>
        <v/>
      </c>
      <c r="K1463" s="54" t="str">
        <f>IFERROR(IF(INDEX(SPOT_Import!$A$1:$Z$2488,1463,'Live Data'!$C$22)="","",INDEX(SPOT_Import!$A$1:$Z$2488,1463,'Live Data'!$C$22)),"")</f>
        <v/>
      </c>
      <c r="L1463" s="55" t="str">
        <f t="shared" si="44"/>
        <v/>
      </c>
      <c r="M1463" s="55" t="str">
        <f t="shared" si="45"/>
        <v/>
      </c>
      <c r="N1463" s="55" t="str">
        <f>IF(A1463="","",IFERROR(INDEX('Cluster Map'!$A$4:$A$38,MATCH(M1463,'Cluster Map'!$B$4:$B$38,0)),"Unmapped"))</f>
        <v/>
      </c>
      <c r="O1463" s="55">
        <f>IF(A1463="",0,IF(COUNTIFS($A$2:A1463,A1463,$F$2:F1463,F1463,$L$2:L1463,L1463)=1,1,0))</f>
        <v>0</v>
      </c>
      <c r="P1463" s="55">
        <f>IF(A1463="",0,IF(AND(F1463="C&amp;T",COUNTIFS($A$2:A1463,A1463,$F$2:F1463,"C&amp;T")=1),1,0))</f>
        <v>0</v>
      </c>
    </row>
    <row r="1464" spans="1:16" x14ac:dyDescent="0.35">
      <c r="A1464" s="54" t="str">
        <f>IFERROR(IF(INDEX(SPOT_Import!$A$1:$Z$2488,1464,'Live Data'!$C$12)="","",INDEX(SPOT_Import!$A$1:$Z$2488,1464,'Live Data'!$C$12)),"")</f>
        <v/>
      </c>
      <c r="B1464" s="54" t="str">
        <f>IFERROR(IF(INDEX(SPOT_Import!$A$1:$Z$2488,1464,'Live Data'!$C$13)="","",INDEX(SPOT_Import!$A$1:$Z$2488,1464,'Live Data'!$C$13)),"")</f>
        <v/>
      </c>
      <c r="C1464" s="54" t="str">
        <f>IFERROR(IF(INDEX(SPOT_Import!$A$1:$Z$2488,1464,'Live Data'!$C$14)="","",INDEX(SPOT_Import!$A$1:$Z$2488,1464,'Live Data'!$C$14)),"")</f>
        <v/>
      </c>
      <c r="D1464" s="54" t="str">
        <f>IFERROR(IF(INDEX(SPOT_Import!$A$1:$Z$2488,1464,'Live Data'!$C$15)="","",INDEX(SPOT_Import!$A$1:$Z$2488,1464,'Live Data'!$C$15)),"")</f>
        <v/>
      </c>
      <c r="E1464" s="54" t="str">
        <f>IFERROR(IF(INDEX(SPOT_Import!$A$1:$Z$2488,1464,'Live Data'!$C$16)="","",INDEX(SPOT_Import!$A$1:$Z$2488,1464,'Live Data'!$C$16)),"")</f>
        <v/>
      </c>
      <c r="F1464" s="54" t="str">
        <f>IFERROR(IF(INDEX(SPOT_Import!$A$1:$Z$2488,1464,'Live Data'!$C$17)="","",INDEX(SPOT_Import!$A$1:$Z$2488,1464,'Live Data'!$C$17)),"")</f>
        <v/>
      </c>
      <c r="G1464" s="54" t="str">
        <f>IFERROR(IF(INDEX(SPOT_Import!$A$1:$Z$2488,1464,'Live Data'!$C$18)="","",INDEX(SPOT_Import!$A$1:$Z$2488,1464,'Live Data'!$C$18)),"")</f>
        <v/>
      </c>
      <c r="H1464" s="54" t="str">
        <f>IFERROR(IF(INDEX(SPOT_Import!$A$1:$Z$2488,1464,'Live Data'!$C$19)="","",INDEX(SPOT_Import!$A$1:$Z$2488,1464,'Live Data'!$C$19)),"")</f>
        <v/>
      </c>
      <c r="I1464" s="54" t="str">
        <f>IFERROR(IF(INDEX(SPOT_Import!$A$1:$Z$2488,1464,'Live Data'!$C$20)="","",INDEX(SPOT_Import!$A$1:$Z$2488,1464,'Live Data'!$C$20)),"")</f>
        <v/>
      </c>
      <c r="J1464" s="54" t="str">
        <f>IFERROR(IF(INDEX(SPOT_Import!$A$1:$Z$2488,1464,'Live Data'!$C$21)="","",INDEX(SPOT_Import!$A$1:$Z$2488,1464,'Live Data'!$C$21)),"")</f>
        <v/>
      </c>
      <c r="K1464" s="54" t="str">
        <f>IFERROR(IF(INDEX(SPOT_Import!$A$1:$Z$2488,1464,'Live Data'!$C$22)="","",INDEX(SPOT_Import!$A$1:$Z$2488,1464,'Live Data'!$C$22)),"")</f>
        <v/>
      </c>
      <c r="L1464" s="55" t="str">
        <f t="shared" si="44"/>
        <v/>
      </c>
      <c r="M1464" s="55" t="str">
        <f t="shared" si="45"/>
        <v/>
      </c>
      <c r="N1464" s="55" t="str">
        <f>IF(A1464="","",IFERROR(INDEX('Cluster Map'!$A$4:$A$38,MATCH(M1464,'Cluster Map'!$B$4:$B$38,0)),"Unmapped"))</f>
        <v/>
      </c>
      <c r="O1464" s="55">
        <f>IF(A1464="",0,IF(COUNTIFS($A$2:A1464,A1464,$F$2:F1464,F1464,$L$2:L1464,L1464)=1,1,0))</f>
        <v>0</v>
      </c>
      <c r="P1464" s="55">
        <f>IF(A1464="",0,IF(AND(F1464="C&amp;T",COUNTIFS($A$2:A1464,A1464,$F$2:F1464,"C&amp;T")=1),1,0))</f>
        <v>0</v>
      </c>
    </row>
    <row r="1465" spans="1:16" x14ac:dyDescent="0.35">
      <c r="A1465" s="54" t="str">
        <f>IFERROR(IF(INDEX(SPOT_Import!$A$1:$Z$2488,1465,'Live Data'!$C$12)="","",INDEX(SPOT_Import!$A$1:$Z$2488,1465,'Live Data'!$C$12)),"")</f>
        <v/>
      </c>
      <c r="B1465" s="54" t="str">
        <f>IFERROR(IF(INDEX(SPOT_Import!$A$1:$Z$2488,1465,'Live Data'!$C$13)="","",INDEX(SPOT_Import!$A$1:$Z$2488,1465,'Live Data'!$C$13)),"")</f>
        <v/>
      </c>
      <c r="C1465" s="54" t="str">
        <f>IFERROR(IF(INDEX(SPOT_Import!$A$1:$Z$2488,1465,'Live Data'!$C$14)="","",INDEX(SPOT_Import!$A$1:$Z$2488,1465,'Live Data'!$C$14)),"")</f>
        <v/>
      </c>
      <c r="D1465" s="54" t="str">
        <f>IFERROR(IF(INDEX(SPOT_Import!$A$1:$Z$2488,1465,'Live Data'!$C$15)="","",INDEX(SPOT_Import!$A$1:$Z$2488,1465,'Live Data'!$C$15)),"")</f>
        <v/>
      </c>
      <c r="E1465" s="54" t="str">
        <f>IFERROR(IF(INDEX(SPOT_Import!$A$1:$Z$2488,1465,'Live Data'!$C$16)="","",INDEX(SPOT_Import!$A$1:$Z$2488,1465,'Live Data'!$C$16)),"")</f>
        <v/>
      </c>
      <c r="F1465" s="54" t="str">
        <f>IFERROR(IF(INDEX(SPOT_Import!$A$1:$Z$2488,1465,'Live Data'!$C$17)="","",INDEX(SPOT_Import!$A$1:$Z$2488,1465,'Live Data'!$C$17)),"")</f>
        <v/>
      </c>
      <c r="G1465" s="54" t="str">
        <f>IFERROR(IF(INDEX(SPOT_Import!$A$1:$Z$2488,1465,'Live Data'!$C$18)="","",INDEX(SPOT_Import!$A$1:$Z$2488,1465,'Live Data'!$C$18)),"")</f>
        <v/>
      </c>
      <c r="H1465" s="54" t="str">
        <f>IFERROR(IF(INDEX(SPOT_Import!$A$1:$Z$2488,1465,'Live Data'!$C$19)="","",INDEX(SPOT_Import!$A$1:$Z$2488,1465,'Live Data'!$C$19)),"")</f>
        <v/>
      </c>
      <c r="I1465" s="54" t="str">
        <f>IFERROR(IF(INDEX(SPOT_Import!$A$1:$Z$2488,1465,'Live Data'!$C$20)="","",INDEX(SPOT_Import!$A$1:$Z$2488,1465,'Live Data'!$C$20)),"")</f>
        <v/>
      </c>
      <c r="J1465" s="54" t="str">
        <f>IFERROR(IF(INDEX(SPOT_Import!$A$1:$Z$2488,1465,'Live Data'!$C$21)="","",INDEX(SPOT_Import!$A$1:$Z$2488,1465,'Live Data'!$C$21)),"")</f>
        <v/>
      </c>
      <c r="K1465" s="54" t="str">
        <f>IFERROR(IF(INDEX(SPOT_Import!$A$1:$Z$2488,1465,'Live Data'!$C$22)="","",INDEX(SPOT_Import!$A$1:$Z$2488,1465,'Live Data'!$C$22)),"")</f>
        <v/>
      </c>
      <c r="L1465" s="55" t="str">
        <f t="shared" si="44"/>
        <v/>
      </c>
      <c r="M1465" s="55" t="str">
        <f t="shared" si="45"/>
        <v/>
      </c>
      <c r="N1465" s="55" t="str">
        <f>IF(A1465="","",IFERROR(INDEX('Cluster Map'!$A$4:$A$38,MATCH(M1465,'Cluster Map'!$B$4:$B$38,0)),"Unmapped"))</f>
        <v/>
      </c>
      <c r="O1465" s="55">
        <f>IF(A1465="",0,IF(COUNTIFS($A$2:A1465,A1465,$F$2:F1465,F1465,$L$2:L1465,L1465)=1,1,0))</f>
        <v>0</v>
      </c>
      <c r="P1465" s="55">
        <f>IF(A1465="",0,IF(AND(F1465="C&amp;T",COUNTIFS($A$2:A1465,A1465,$F$2:F1465,"C&amp;T")=1),1,0))</f>
        <v>0</v>
      </c>
    </row>
    <row r="1466" spans="1:16" x14ac:dyDescent="0.35">
      <c r="A1466" s="54" t="str">
        <f>IFERROR(IF(INDEX(SPOT_Import!$A$1:$Z$2488,1466,'Live Data'!$C$12)="","",INDEX(SPOT_Import!$A$1:$Z$2488,1466,'Live Data'!$C$12)),"")</f>
        <v/>
      </c>
      <c r="B1466" s="54" t="str">
        <f>IFERROR(IF(INDEX(SPOT_Import!$A$1:$Z$2488,1466,'Live Data'!$C$13)="","",INDEX(SPOT_Import!$A$1:$Z$2488,1466,'Live Data'!$C$13)),"")</f>
        <v/>
      </c>
      <c r="C1466" s="54" t="str">
        <f>IFERROR(IF(INDEX(SPOT_Import!$A$1:$Z$2488,1466,'Live Data'!$C$14)="","",INDEX(SPOT_Import!$A$1:$Z$2488,1466,'Live Data'!$C$14)),"")</f>
        <v/>
      </c>
      <c r="D1466" s="54" t="str">
        <f>IFERROR(IF(INDEX(SPOT_Import!$A$1:$Z$2488,1466,'Live Data'!$C$15)="","",INDEX(SPOT_Import!$A$1:$Z$2488,1466,'Live Data'!$C$15)),"")</f>
        <v/>
      </c>
      <c r="E1466" s="54" t="str">
        <f>IFERROR(IF(INDEX(SPOT_Import!$A$1:$Z$2488,1466,'Live Data'!$C$16)="","",INDEX(SPOT_Import!$A$1:$Z$2488,1466,'Live Data'!$C$16)),"")</f>
        <v/>
      </c>
      <c r="F1466" s="54" t="str">
        <f>IFERROR(IF(INDEX(SPOT_Import!$A$1:$Z$2488,1466,'Live Data'!$C$17)="","",INDEX(SPOT_Import!$A$1:$Z$2488,1466,'Live Data'!$C$17)),"")</f>
        <v/>
      </c>
      <c r="G1466" s="54" t="str">
        <f>IFERROR(IF(INDEX(SPOT_Import!$A$1:$Z$2488,1466,'Live Data'!$C$18)="","",INDEX(SPOT_Import!$A$1:$Z$2488,1466,'Live Data'!$C$18)),"")</f>
        <v/>
      </c>
      <c r="H1466" s="54" t="str">
        <f>IFERROR(IF(INDEX(SPOT_Import!$A$1:$Z$2488,1466,'Live Data'!$C$19)="","",INDEX(SPOT_Import!$A$1:$Z$2488,1466,'Live Data'!$C$19)),"")</f>
        <v/>
      </c>
      <c r="I1466" s="54" t="str">
        <f>IFERROR(IF(INDEX(SPOT_Import!$A$1:$Z$2488,1466,'Live Data'!$C$20)="","",INDEX(SPOT_Import!$A$1:$Z$2488,1466,'Live Data'!$C$20)),"")</f>
        <v/>
      </c>
      <c r="J1466" s="54" t="str">
        <f>IFERROR(IF(INDEX(SPOT_Import!$A$1:$Z$2488,1466,'Live Data'!$C$21)="","",INDEX(SPOT_Import!$A$1:$Z$2488,1466,'Live Data'!$C$21)),"")</f>
        <v/>
      </c>
      <c r="K1466" s="54" t="str">
        <f>IFERROR(IF(INDEX(SPOT_Import!$A$1:$Z$2488,1466,'Live Data'!$C$22)="","",INDEX(SPOT_Import!$A$1:$Z$2488,1466,'Live Data'!$C$22)),"")</f>
        <v/>
      </c>
      <c r="L1466" s="55" t="str">
        <f t="shared" si="44"/>
        <v/>
      </c>
      <c r="M1466" s="55" t="str">
        <f t="shared" si="45"/>
        <v/>
      </c>
      <c r="N1466" s="55" t="str">
        <f>IF(A1466="","",IFERROR(INDEX('Cluster Map'!$A$4:$A$38,MATCH(M1466,'Cluster Map'!$B$4:$B$38,0)),"Unmapped"))</f>
        <v/>
      </c>
      <c r="O1466" s="55">
        <f>IF(A1466="",0,IF(COUNTIFS($A$2:A1466,A1466,$F$2:F1466,F1466,$L$2:L1466,L1466)=1,1,0))</f>
        <v>0</v>
      </c>
      <c r="P1466" s="55">
        <f>IF(A1466="",0,IF(AND(F1466="C&amp;T",COUNTIFS($A$2:A1466,A1466,$F$2:F1466,"C&amp;T")=1),1,0))</f>
        <v>0</v>
      </c>
    </row>
    <row r="1467" spans="1:16" x14ac:dyDescent="0.35">
      <c r="A1467" s="54" t="str">
        <f>IFERROR(IF(INDEX(SPOT_Import!$A$1:$Z$2488,1467,'Live Data'!$C$12)="","",INDEX(SPOT_Import!$A$1:$Z$2488,1467,'Live Data'!$C$12)),"")</f>
        <v/>
      </c>
      <c r="B1467" s="54" t="str">
        <f>IFERROR(IF(INDEX(SPOT_Import!$A$1:$Z$2488,1467,'Live Data'!$C$13)="","",INDEX(SPOT_Import!$A$1:$Z$2488,1467,'Live Data'!$C$13)),"")</f>
        <v/>
      </c>
      <c r="C1467" s="54" t="str">
        <f>IFERROR(IF(INDEX(SPOT_Import!$A$1:$Z$2488,1467,'Live Data'!$C$14)="","",INDEX(SPOT_Import!$A$1:$Z$2488,1467,'Live Data'!$C$14)),"")</f>
        <v/>
      </c>
      <c r="D1467" s="54" t="str">
        <f>IFERROR(IF(INDEX(SPOT_Import!$A$1:$Z$2488,1467,'Live Data'!$C$15)="","",INDEX(SPOT_Import!$A$1:$Z$2488,1467,'Live Data'!$C$15)),"")</f>
        <v/>
      </c>
      <c r="E1467" s="54" t="str">
        <f>IFERROR(IF(INDEX(SPOT_Import!$A$1:$Z$2488,1467,'Live Data'!$C$16)="","",INDEX(SPOT_Import!$A$1:$Z$2488,1467,'Live Data'!$C$16)),"")</f>
        <v/>
      </c>
      <c r="F1467" s="54" t="str">
        <f>IFERROR(IF(INDEX(SPOT_Import!$A$1:$Z$2488,1467,'Live Data'!$C$17)="","",INDEX(SPOT_Import!$A$1:$Z$2488,1467,'Live Data'!$C$17)),"")</f>
        <v/>
      </c>
      <c r="G1467" s="54" t="str">
        <f>IFERROR(IF(INDEX(SPOT_Import!$A$1:$Z$2488,1467,'Live Data'!$C$18)="","",INDEX(SPOT_Import!$A$1:$Z$2488,1467,'Live Data'!$C$18)),"")</f>
        <v/>
      </c>
      <c r="H1467" s="54" t="str">
        <f>IFERROR(IF(INDEX(SPOT_Import!$A$1:$Z$2488,1467,'Live Data'!$C$19)="","",INDEX(SPOT_Import!$A$1:$Z$2488,1467,'Live Data'!$C$19)),"")</f>
        <v/>
      </c>
      <c r="I1467" s="54" t="str">
        <f>IFERROR(IF(INDEX(SPOT_Import!$A$1:$Z$2488,1467,'Live Data'!$C$20)="","",INDEX(SPOT_Import!$A$1:$Z$2488,1467,'Live Data'!$C$20)),"")</f>
        <v/>
      </c>
      <c r="J1467" s="54" t="str">
        <f>IFERROR(IF(INDEX(SPOT_Import!$A$1:$Z$2488,1467,'Live Data'!$C$21)="","",INDEX(SPOT_Import!$A$1:$Z$2488,1467,'Live Data'!$C$21)),"")</f>
        <v/>
      </c>
      <c r="K1467" s="54" t="str">
        <f>IFERROR(IF(INDEX(SPOT_Import!$A$1:$Z$2488,1467,'Live Data'!$C$22)="","",INDEX(SPOT_Import!$A$1:$Z$2488,1467,'Live Data'!$C$22)),"")</f>
        <v/>
      </c>
      <c r="L1467" s="55" t="str">
        <f t="shared" si="44"/>
        <v/>
      </c>
      <c r="M1467" s="55" t="str">
        <f t="shared" si="45"/>
        <v/>
      </c>
      <c r="N1467" s="55" t="str">
        <f>IF(A1467="","",IFERROR(INDEX('Cluster Map'!$A$4:$A$38,MATCH(M1467,'Cluster Map'!$B$4:$B$38,0)),"Unmapped"))</f>
        <v/>
      </c>
      <c r="O1467" s="55">
        <f>IF(A1467="",0,IF(COUNTIFS($A$2:A1467,A1467,$F$2:F1467,F1467,$L$2:L1467,L1467)=1,1,0))</f>
        <v>0</v>
      </c>
      <c r="P1467" s="55">
        <f>IF(A1467="",0,IF(AND(F1467="C&amp;T",COUNTIFS($A$2:A1467,A1467,$F$2:F1467,"C&amp;T")=1),1,0))</f>
        <v>0</v>
      </c>
    </row>
    <row r="1468" spans="1:16" x14ac:dyDescent="0.35">
      <c r="A1468" s="54" t="str">
        <f>IFERROR(IF(INDEX(SPOT_Import!$A$1:$Z$2488,1468,'Live Data'!$C$12)="","",INDEX(SPOT_Import!$A$1:$Z$2488,1468,'Live Data'!$C$12)),"")</f>
        <v/>
      </c>
      <c r="B1468" s="54" t="str">
        <f>IFERROR(IF(INDEX(SPOT_Import!$A$1:$Z$2488,1468,'Live Data'!$C$13)="","",INDEX(SPOT_Import!$A$1:$Z$2488,1468,'Live Data'!$C$13)),"")</f>
        <v/>
      </c>
      <c r="C1468" s="54" t="str">
        <f>IFERROR(IF(INDEX(SPOT_Import!$A$1:$Z$2488,1468,'Live Data'!$C$14)="","",INDEX(SPOT_Import!$A$1:$Z$2488,1468,'Live Data'!$C$14)),"")</f>
        <v/>
      </c>
      <c r="D1468" s="54" t="str">
        <f>IFERROR(IF(INDEX(SPOT_Import!$A$1:$Z$2488,1468,'Live Data'!$C$15)="","",INDEX(SPOT_Import!$A$1:$Z$2488,1468,'Live Data'!$C$15)),"")</f>
        <v/>
      </c>
      <c r="E1468" s="54" t="str">
        <f>IFERROR(IF(INDEX(SPOT_Import!$A$1:$Z$2488,1468,'Live Data'!$C$16)="","",INDEX(SPOT_Import!$A$1:$Z$2488,1468,'Live Data'!$C$16)),"")</f>
        <v/>
      </c>
      <c r="F1468" s="54" t="str">
        <f>IFERROR(IF(INDEX(SPOT_Import!$A$1:$Z$2488,1468,'Live Data'!$C$17)="","",INDEX(SPOT_Import!$A$1:$Z$2488,1468,'Live Data'!$C$17)),"")</f>
        <v/>
      </c>
      <c r="G1468" s="54" t="str">
        <f>IFERROR(IF(INDEX(SPOT_Import!$A$1:$Z$2488,1468,'Live Data'!$C$18)="","",INDEX(SPOT_Import!$A$1:$Z$2488,1468,'Live Data'!$C$18)),"")</f>
        <v/>
      </c>
      <c r="H1468" s="54" t="str">
        <f>IFERROR(IF(INDEX(SPOT_Import!$A$1:$Z$2488,1468,'Live Data'!$C$19)="","",INDEX(SPOT_Import!$A$1:$Z$2488,1468,'Live Data'!$C$19)),"")</f>
        <v/>
      </c>
      <c r="I1468" s="54" t="str">
        <f>IFERROR(IF(INDEX(SPOT_Import!$A$1:$Z$2488,1468,'Live Data'!$C$20)="","",INDEX(SPOT_Import!$A$1:$Z$2488,1468,'Live Data'!$C$20)),"")</f>
        <v/>
      </c>
      <c r="J1468" s="54" t="str">
        <f>IFERROR(IF(INDEX(SPOT_Import!$A$1:$Z$2488,1468,'Live Data'!$C$21)="","",INDEX(SPOT_Import!$A$1:$Z$2488,1468,'Live Data'!$C$21)),"")</f>
        <v/>
      </c>
      <c r="K1468" s="54" t="str">
        <f>IFERROR(IF(INDEX(SPOT_Import!$A$1:$Z$2488,1468,'Live Data'!$C$22)="","",INDEX(SPOT_Import!$A$1:$Z$2488,1468,'Live Data'!$C$22)),"")</f>
        <v/>
      </c>
      <c r="L1468" s="55" t="str">
        <f t="shared" si="44"/>
        <v/>
      </c>
      <c r="M1468" s="55" t="str">
        <f t="shared" si="45"/>
        <v/>
      </c>
      <c r="N1468" s="55" t="str">
        <f>IF(A1468="","",IFERROR(INDEX('Cluster Map'!$A$4:$A$38,MATCH(M1468,'Cluster Map'!$B$4:$B$38,0)),"Unmapped"))</f>
        <v/>
      </c>
      <c r="O1468" s="55">
        <f>IF(A1468="",0,IF(COUNTIFS($A$2:A1468,A1468,$F$2:F1468,F1468,$L$2:L1468,L1468)=1,1,0))</f>
        <v>0</v>
      </c>
      <c r="P1468" s="55">
        <f>IF(A1468="",0,IF(AND(F1468="C&amp;T",COUNTIFS($A$2:A1468,A1468,$F$2:F1468,"C&amp;T")=1),1,0))</f>
        <v>0</v>
      </c>
    </row>
    <row r="1469" spans="1:16" x14ac:dyDescent="0.35">
      <c r="A1469" s="54" t="str">
        <f>IFERROR(IF(INDEX(SPOT_Import!$A$1:$Z$2488,1469,'Live Data'!$C$12)="","",INDEX(SPOT_Import!$A$1:$Z$2488,1469,'Live Data'!$C$12)),"")</f>
        <v/>
      </c>
      <c r="B1469" s="54" t="str">
        <f>IFERROR(IF(INDEX(SPOT_Import!$A$1:$Z$2488,1469,'Live Data'!$C$13)="","",INDEX(SPOT_Import!$A$1:$Z$2488,1469,'Live Data'!$C$13)),"")</f>
        <v/>
      </c>
      <c r="C1469" s="54" t="str">
        <f>IFERROR(IF(INDEX(SPOT_Import!$A$1:$Z$2488,1469,'Live Data'!$C$14)="","",INDEX(SPOT_Import!$A$1:$Z$2488,1469,'Live Data'!$C$14)),"")</f>
        <v/>
      </c>
      <c r="D1469" s="54" t="str">
        <f>IFERROR(IF(INDEX(SPOT_Import!$A$1:$Z$2488,1469,'Live Data'!$C$15)="","",INDEX(SPOT_Import!$A$1:$Z$2488,1469,'Live Data'!$C$15)),"")</f>
        <v/>
      </c>
      <c r="E1469" s="54" t="str">
        <f>IFERROR(IF(INDEX(SPOT_Import!$A$1:$Z$2488,1469,'Live Data'!$C$16)="","",INDEX(SPOT_Import!$A$1:$Z$2488,1469,'Live Data'!$C$16)),"")</f>
        <v/>
      </c>
      <c r="F1469" s="54" t="str">
        <f>IFERROR(IF(INDEX(SPOT_Import!$A$1:$Z$2488,1469,'Live Data'!$C$17)="","",INDEX(SPOT_Import!$A$1:$Z$2488,1469,'Live Data'!$C$17)),"")</f>
        <v/>
      </c>
      <c r="G1469" s="54" t="str">
        <f>IFERROR(IF(INDEX(SPOT_Import!$A$1:$Z$2488,1469,'Live Data'!$C$18)="","",INDEX(SPOT_Import!$A$1:$Z$2488,1469,'Live Data'!$C$18)),"")</f>
        <v/>
      </c>
      <c r="H1469" s="54" t="str">
        <f>IFERROR(IF(INDEX(SPOT_Import!$A$1:$Z$2488,1469,'Live Data'!$C$19)="","",INDEX(SPOT_Import!$A$1:$Z$2488,1469,'Live Data'!$C$19)),"")</f>
        <v/>
      </c>
      <c r="I1469" s="54" t="str">
        <f>IFERROR(IF(INDEX(SPOT_Import!$A$1:$Z$2488,1469,'Live Data'!$C$20)="","",INDEX(SPOT_Import!$A$1:$Z$2488,1469,'Live Data'!$C$20)),"")</f>
        <v/>
      </c>
      <c r="J1469" s="54" t="str">
        <f>IFERROR(IF(INDEX(SPOT_Import!$A$1:$Z$2488,1469,'Live Data'!$C$21)="","",INDEX(SPOT_Import!$A$1:$Z$2488,1469,'Live Data'!$C$21)),"")</f>
        <v/>
      </c>
      <c r="K1469" s="54" t="str">
        <f>IFERROR(IF(INDEX(SPOT_Import!$A$1:$Z$2488,1469,'Live Data'!$C$22)="","",INDEX(SPOT_Import!$A$1:$Z$2488,1469,'Live Data'!$C$22)),"")</f>
        <v/>
      </c>
      <c r="L1469" s="55" t="str">
        <f t="shared" si="44"/>
        <v/>
      </c>
      <c r="M1469" s="55" t="str">
        <f t="shared" si="45"/>
        <v/>
      </c>
      <c r="N1469" s="55" t="str">
        <f>IF(A1469="","",IFERROR(INDEX('Cluster Map'!$A$4:$A$38,MATCH(M1469,'Cluster Map'!$B$4:$B$38,0)),"Unmapped"))</f>
        <v/>
      </c>
      <c r="O1469" s="55">
        <f>IF(A1469="",0,IF(COUNTIFS($A$2:A1469,A1469,$F$2:F1469,F1469,$L$2:L1469,L1469)=1,1,0))</f>
        <v>0</v>
      </c>
      <c r="P1469" s="55">
        <f>IF(A1469="",0,IF(AND(F1469="C&amp;T",COUNTIFS($A$2:A1469,A1469,$F$2:F1469,"C&amp;T")=1),1,0))</f>
        <v>0</v>
      </c>
    </row>
    <row r="1470" spans="1:16" x14ac:dyDescent="0.35">
      <c r="A1470" s="54" t="str">
        <f>IFERROR(IF(INDEX(SPOT_Import!$A$1:$Z$2488,1470,'Live Data'!$C$12)="","",INDEX(SPOT_Import!$A$1:$Z$2488,1470,'Live Data'!$C$12)),"")</f>
        <v/>
      </c>
      <c r="B1470" s="54" t="str">
        <f>IFERROR(IF(INDEX(SPOT_Import!$A$1:$Z$2488,1470,'Live Data'!$C$13)="","",INDEX(SPOT_Import!$A$1:$Z$2488,1470,'Live Data'!$C$13)),"")</f>
        <v/>
      </c>
      <c r="C1470" s="54" t="str">
        <f>IFERROR(IF(INDEX(SPOT_Import!$A$1:$Z$2488,1470,'Live Data'!$C$14)="","",INDEX(SPOT_Import!$A$1:$Z$2488,1470,'Live Data'!$C$14)),"")</f>
        <v/>
      </c>
      <c r="D1470" s="54" t="str">
        <f>IFERROR(IF(INDEX(SPOT_Import!$A$1:$Z$2488,1470,'Live Data'!$C$15)="","",INDEX(SPOT_Import!$A$1:$Z$2488,1470,'Live Data'!$C$15)),"")</f>
        <v/>
      </c>
      <c r="E1470" s="54" t="str">
        <f>IFERROR(IF(INDEX(SPOT_Import!$A$1:$Z$2488,1470,'Live Data'!$C$16)="","",INDEX(SPOT_Import!$A$1:$Z$2488,1470,'Live Data'!$C$16)),"")</f>
        <v/>
      </c>
      <c r="F1470" s="54" t="str">
        <f>IFERROR(IF(INDEX(SPOT_Import!$A$1:$Z$2488,1470,'Live Data'!$C$17)="","",INDEX(SPOT_Import!$A$1:$Z$2488,1470,'Live Data'!$C$17)),"")</f>
        <v/>
      </c>
      <c r="G1470" s="54" t="str">
        <f>IFERROR(IF(INDEX(SPOT_Import!$A$1:$Z$2488,1470,'Live Data'!$C$18)="","",INDEX(SPOT_Import!$A$1:$Z$2488,1470,'Live Data'!$C$18)),"")</f>
        <v/>
      </c>
      <c r="H1470" s="54" t="str">
        <f>IFERROR(IF(INDEX(SPOT_Import!$A$1:$Z$2488,1470,'Live Data'!$C$19)="","",INDEX(SPOT_Import!$A$1:$Z$2488,1470,'Live Data'!$C$19)),"")</f>
        <v/>
      </c>
      <c r="I1470" s="54" t="str">
        <f>IFERROR(IF(INDEX(SPOT_Import!$A$1:$Z$2488,1470,'Live Data'!$C$20)="","",INDEX(SPOT_Import!$A$1:$Z$2488,1470,'Live Data'!$C$20)),"")</f>
        <v/>
      </c>
      <c r="J1470" s="54" t="str">
        <f>IFERROR(IF(INDEX(SPOT_Import!$A$1:$Z$2488,1470,'Live Data'!$C$21)="","",INDEX(SPOT_Import!$A$1:$Z$2488,1470,'Live Data'!$C$21)),"")</f>
        <v/>
      </c>
      <c r="K1470" s="54" t="str">
        <f>IFERROR(IF(INDEX(SPOT_Import!$A$1:$Z$2488,1470,'Live Data'!$C$22)="","",INDEX(SPOT_Import!$A$1:$Z$2488,1470,'Live Data'!$C$22)),"")</f>
        <v/>
      </c>
      <c r="L1470" s="55" t="str">
        <f t="shared" si="44"/>
        <v/>
      </c>
      <c r="M1470" s="55" t="str">
        <f t="shared" si="45"/>
        <v/>
      </c>
      <c r="N1470" s="55" t="str">
        <f>IF(A1470="","",IFERROR(INDEX('Cluster Map'!$A$4:$A$38,MATCH(M1470,'Cluster Map'!$B$4:$B$38,0)),"Unmapped"))</f>
        <v/>
      </c>
      <c r="O1470" s="55">
        <f>IF(A1470="",0,IF(COUNTIFS($A$2:A1470,A1470,$F$2:F1470,F1470,$L$2:L1470,L1470)=1,1,0))</f>
        <v>0</v>
      </c>
      <c r="P1470" s="55">
        <f>IF(A1470="",0,IF(AND(F1470="C&amp;T",COUNTIFS($A$2:A1470,A1470,$F$2:F1470,"C&amp;T")=1),1,0))</f>
        <v>0</v>
      </c>
    </row>
    <row r="1471" spans="1:16" x14ac:dyDescent="0.35">
      <c r="A1471" s="54" t="str">
        <f>IFERROR(IF(INDEX(SPOT_Import!$A$1:$Z$2488,1471,'Live Data'!$C$12)="","",INDEX(SPOT_Import!$A$1:$Z$2488,1471,'Live Data'!$C$12)),"")</f>
        <v/>
      </c>
      <c r="B1471" s="54" t="str">
        <f>IFERROR(IF(INDEX(SPOT_Import!$A$1:$Z$2488,1471,'Live Data'!$C$13)="","",INDEX(SPOT_Import!$A$1:$Z$2488,1471,'Live Data'!$C$13)),"")</f>
        <v/>
      </c>
      <c r="C1471" s="54" t="str">
        <f>IFERROR(IF(INDEX(SPOT_Import!$A$1:$Z$2488,1471,'Live Data'!$C$14)="","",INDEX(SPOT_Import!$A$1:$Z$2488,1471,'Live Data'!$C$14)),"")</f>
        <v/>
      </c>
      <c r="D1471" s="54" t="str">
        <f>IFERROR(IF(INDEX(SPOT_Import!$A$1:$Z$2488,1471,'Live Data'!$C$15)="","",INDEX(SPOT_Import!$A$1:$Z$2488,1471,'Live Data'!$C$15)),"")</f>
        <v/>
      </c>
      <c r="E1471" s="54" t="str">
        <f>IFERROR(IF(INDEX(SPOT_Import!$A$1:$Z$2488,1471,'Live Data'!$C$16)="","",INDEX(SPOT_Import!$A$1:$Z$2488,1471,'Live Data'!$C$16)),"")</f>
        <v/>
      </c>
      <c r="F1471" s="54" t="str">
        <f>IFERROR(IF(INDEX(SPOT_Import!$A$1:$Z$2488,1471,'Live Data'!$C$17)="","",INDEX(SPOT_Import!$A$1:$Z$2488,1471,'Live Data'!$C$17)),"")</f>
        <v/>
      </c>
      <c r="G1471" s="54" t="str">
        <f>IFERROR(IF(INDEX(SPOT_Import!$A$1:$Z$2488,1471,'Live Data'!$C$18)="","",INDEX(SPOT_Import!$A$1:$Z$2488,1471,'Live Data'!$C$18)),"")</f>
        <v/>
      </c>
      <c r="H1471" s="54" t="str">
        <f>IFERROR(IF(INDEX(SPOT_Import!$A$1:$Z$2488,1471,'Live Data'!$C$19)="","",INDEX(SPOT_Import!$A$1:$Z$2488,1471,'Live Data'!$C$19)),"")</f>
        <v/>
      </c>
      <c r="I1471" s="54" t="str">
        <f>IFERROR(IF(INDEX(SPOT_Import!$A$1:$Z$2488,1471,'Live Data'!$C$20)="","",INDEX(SPOT_Import!$A$1:$Z$2488,1471,'Live Data'!$C$20)),"")</f>
        <v/>
      </c>
      <c r="J1471" s="54" t="str">
        <f>IFERROR(IF(INDEX(SPOT_Import!$A$1:$Z$2488,1471,'Live Data'!$C$21)="","",INDEX(SPOT_Import!$A$1:$Z$2488,1471,'Live Data'!$C$21)),"")</f>
        <v/>
      </c>
      <c r="K1471" s="54" t="str">
        <f>IFERROR(IF(INDEX(SPOT_Import!$A$1:$Z$2488,1471,'Live Data'!$C$22)="","",INDEX(SPOT_Import!$A$1:$Z$2488,1471,'Live Data'!$C$22)),"")</f>
        <v/>
      </c>
      <c r="L1471" s="55" t="str">
        <f t="shared" si="44"/>
        <v/>
      </c>
      <c r="M1471" s="55" t="str">
        <f t="shared" si="45"/>
        <v/>
      </c>
      <c r="N1471" s="55" t="str">
        <f>IF(A1471="","",IFERROR(INDEX('Cluster Map'!$A$4:$A$38,MATCH(M1471,'Cluster Map'!$B$4:$B$38,0)),"Unmapped"))</f>
        <v/>
      </c>
      <c r="O1471" s="55">
        <f>IF(A1471="",0,IF(COUNTIFS($A$2:A1471,A1471,$F$2:F1471,F1471,$L$2:L1471,L1471)=1,1,0))</f>
        <v>0</v>
      </c>
      <c r="P1471" s="55">
        <f>IF(A1471="",0,IF(AND(F1471="C&amp;T",COUNTIFS($A$2:A1471,A1471,$F$2:F1471,"C&amp;T")=1),1,0))</f>
        <v>0</v>
      </c>
    </row>
    <row r="1472" spans="1:16" x14ac:dyDescent="0.35">
      <c r="A1472" s="54" t="str">
        <f>IFERROR(IF(INDEX(SPOT_Import!$A$1:$Z$2488,1472,'Live Data'!$C$12)="","",INDEX(SPOT_Import!$A$1:$Z$2488,1472,'Live Data'!$C$12)),"")</f>
        <v/>
      </c>
      <c r="B1472" s="54" t="str">
        <f>IFERROR(IF(INDEX(SPOT_Import!$A$1:$Z$2488,1472,'Live Data'!$C$13)="","",INDEX(SPOT_Import!$A$1:$Z$2488,1472,'Live Data'!$C$13)),"")</f>
        <v/>
      </c>
      <c r="C1472" s="54" t="str">
        <f>IFERROR(IF(INDEX(SPOT_Import!$A$1:$Z$2488,1472,'Live Data'!$C$14)="","",INDEX(SPOT_Import!$A$1:$Z$2488,1472,'Live Data'!$C$14)),"")</f>
        <v/>
      </c>
      <c r="D1472" s="54" t="str">
        <f>IFERROR(IF(INDEX(SPOT_Import!$A$1:$Z$2488,1472,'Live Data'!$C$15)="","",INDEX(SPOT_Import!$A$1:$Z$2488,1472,'Live Data'!$C$15)),"")</f>
        <v/>
      </c>
      <c r="E1472" s="54" t="str">
        <f>IFERROR(IF(INDEX(SPOT_Import!$A$1:$Z$2488,1472,'Live Data'!$C$16)="","",INDEX(SPOT_Import!$A$1:$Z$2488,1472,'Live Data'!$C$16)),"")</f>
        <v/>
      </c>
      <c r="F1472" s="54" t="str">
        <f>IFERROR(IF(INDEX(SPOT_Import!$A$1:$Z$2488,1472,'Live Data'!$C$17)="","",INDEX(SPOT_Import!$A$1:$Z$2488,1472,'Live Data'!$C$17)),"")</f>
        <v/>
      </c>
      <c r="G1472" s="54" t="str">
        <f>IFERROR(IF(INDEX(SPOT_Import!$A$1:$Z$2488,1472,'Live Data'!$C$18)="","",INDEX(SPOT_Import!$A$1:$Z$2488,1472,'Live Data'!$C$18)),"")</f>
        <v/>
      </c>
      <c r="H1472" s="54" t="str">
        <f>IFERROR(IF(INDEX(SPOT_Import!$A$1:$Z$2488,1472,'Live Data'!$C$19)="","",INDEX(SPOT_Import!$A$1:$Z$2488,1472,'Live Data'!$C$19)),"")</f>
        <v/>
      </c>
      <c r="I1472" s="54" t="str">
        <f>IFERROR(IF(INDEX(SPOT_Import!$A$1:$Z$2488,1472,'Live Data'!$C$20)="","",INDEX(SPOT_Import!$A$1:$Z$2488,1472,'Live Data'!$C$20)),"")</f>
        <v/>
      </c>
      <c r="J1472" s="54" t="str">
        <f>IFERROR(IF(INDEX(SPOT_Import!$A$1:$Z$2488,1472,'Live Data'!$C$21)="","",INDEX(SPOT_Import!$A$1:$Z$2488,1472,'Live Data'!$C$21)),"")</f>
        <v/>
      </c>
      <c r="K1472" s="54" t="str">
        <f>IFERROR(IF(INDEX(SPOT_Import!$A$1:$Z$2488,1472,'Live Data'!$C$22)="","",INDEX(SPOT_Import!$A$1:$Z$2488,1472,'Live Data'!$C$22)),"")</f>
        <v/>
      </c>
      <c r="L1472" s="55" t="str">
        <f t="shared" si="44"/>
        <v/>
      </c>
      <c r="M1472" s="55" t="str">
        <f t="shared" si="45"/>
        <v/>
      </c>
      <c r="N1472" s="55" t="str">
        <f>IF(A1472="","",IFERROR(INDEX('Cluster Map'!$A$4:$A$38,MATCH(M1472,'Cluster Map'!$B$4:$B$38,0)),"Unmapped"))</f>
        <v/>
      </c>
      <c r="O1472" s="55">
        <f>IF(A1472="",0,IF(COUNTIFS($A$2:A1472,A1472,$F$2:F1472,F1472,$L$2:L1472,L1472)=1,1,0))</f>
        <v>0</v>
      </c>
      <c r="P1472" s="55">
        <f>IF(A1472="",0,IF(AND(F1472="C&amp;T",COUNTIFS($A$2:A1472,A1472,$F$2:F1472,"C&amp;T")=1),1,0))</f>
        <v>0</v>
      </c>
    </row>
    <row r="1473" spans="1:16" x14ac:dyDescent="0.35">
      <c r="A1473" s="54" t="str">
        <f>IFERROR(IF(INDEX(SPOT_Import!$A$1:$Z$2488,1473,'Live Data'!$C$12)="","",INDEX(SPOT_Import!$A$1:$Z$2488,1473,'Live Data'!$C$12)),"")</f>
        <v/>
      </c>
      <c r="B1473" s="54" t="str">
        <f>IFERROR(IF(INDEX(SPOT_Import!$A$1:$Z$2488,1473,'Live Data'!$C$13)="","",INDEX(SPOT_Import!$A$1:$Z$2488,1473,'Live Data'!$C$13)),"")</f>
        <v/>
      </c>
      <c r="C1473" s="54" t="str">
        <f>IFERROR(IF(INDEX(SPOT_Import!$A$1:$Z$2488,1473,'Live Data'!$C$14)="","",INDEX(SPOT_Import!$A$1:$Z$2488,1473,'Live Data'!$C$14)),"")</f>
        <v/>
      </c>
      <c r="D1473" s="54" t="str">
        <f>IFERROR(IF(INDEX(SPOT_Import!$A$1:$Z$2488,1473,'Live Data'!$C$15)="","",INDEX(SPOT_Import!$A$1:$Z$2488,1473,'Live Data'!$C$15)),"")</f>
        <v/>
      </c>
      <c r="E1473" s="54" t="str">
        <f>IFERROR(IF(INDEX(SPOT_Import!$A$1:$Z$2488,1473,'Live Data'!$C$16)="","",INDEX(SPOT_Import!$A$1:$Z$2488,1473,'Live Data'!$C$16)),"")</f>
        <v/>
      </c>
      <c r="F1473" s="54" t="str">
        <f>IFERROR(IF(INDEX(SPOT_Import!$A$1:$Z$2488,1473,'Live Data'!$C$17)="","",INDEX(SPOT_Import!$A$1:$Z$2488,1473,'Live Data'!$C$17)),"")</f>
        <v/>
      </c>
      <c r="G1473" s="54" t="str">
        <f>IFERROR(IF(INDEX(SPOT_Import!$A$1:$Z$2488,1473,'Live Data'!$C$18)="","",INDEX(SPOT_Import!$A$1:$Z$2488,1473,'Live Data'!$C$18)),"")</f>
        <v/>
      </c>
      <c r="H1473" s="54" t="str">
        <f>IFERROR(IF(INDEX(SPOT_Import!$A$1:$Z$2488,1473,'Live Data'!$C$19)="","",INDEX(SPOT_Import!$A$1:$Z$2488,1473,'Live Data'!$C$19)),"")</f>
        <v/>
      </c>
      <c r="I1473" s="54" t="str">
        <f>IFERROR(IF(INDEX(SPOT_Import!$A$1:$Z$2488,1473,'Live Data'!$C$20)="","",INDEX(SPOT_Import!$A$1:$Z$2488,1473,'Live Data'!$C$20)),"")</f>
        <v/>
      </c>
      <c r="J1473" s="54" t="str">
        <f>IFERROR(IF(INDEX(SPOT_Import!$A$1:$Z$2488,1473,'Live Data'!$C$21)="","",INDEX(SPOT_Import!$A$1:$Z$2488,1473,'Live Data'!$C$21)),"")</f>
        <v/>
      </c>
      <c r="K1473" s="54" t="str">
        <f>IFERROR(IF(INDEX(SPOT_Import!$A$1:$Z$2488,1473,'Live Data'!$C$22)="","",INDEX(SPOT_Import!$A$1:$Z$2488,1473,'Live Data'!$C$22)),"")</f>
        <v/>
      </c>
      <c r="L1473" s="55" t="str">
        <f t="shared" si="44"/>
        <v/>
      </c>
      <c r="M1473" s="55" t="str">
        <f t="shared" si="45"/>
        <v/>
      </c>
      <c r="N1473" s="55" t="str">
        <f>IF(A1473="","",IFERROR(INDEX('Cluster Map'!$A$4:$A$38,MATCH(M1473,'Cluster Map'!$B$4:$B$38,0)),"Unmapped"))</f>
        <v/>
      </c>
      <c r="O1473" s="55">
        <f>IF(A1473="",0,IF(COUNTIFS($A$2:A1473,A1473,$F$2:F1473,F1473,$L$2:L1473,L1473)=1,1,0))</f>
        <v>0</v>
      </c>
      <c r="P1473" s="55">
        <f>IF(A1473="",0,IF(AND(F1473="C&amp;T",COUNTIFS($A$2:A1473,A1473,$F$2:F1473,"C&amp;T")=1),1,0))</f>
        <v>0</v>
      </c>
    </row>
    <row r="1474" spans="1:16" x14ac:dyDescent="0.35">
      <c r="A1474" s="54" t="str">
        <f>IFERROR(IF(INDEX(SPOT_Import!$A$1:$Z$2488,1474,'Live Data'!$C$12)="","",INDEX(SPOT_Import!$A$1:$Z$2488,1474,'Live Data'!$C$12)),"")</f>
        <v/>
      </c>
      <c r="B1474" s="54" t="str">
        <f>IFERROR(IF(INDEX(SPOT_Import!$A$1:$Z$2488,1474,'Live Data'!$C$13)="","",INDEX(SPOT_Import!$A$1:$Z$2488,1474,'Live Data'!$C$13)),"")</f>
        <v/>
      </c>
      <c r="C1474" s="54" t="str">
        <f>IFERROR(IF(INDEX(SPOT_Import!$A$1:$Z$2488,1474,'Live Data'!$C$14)="","",INDEX(SPOT_Import!$A$1:$Z$2488,1474,'Live Data'!$C$14)),"")</f>
        <v/>
      </c>
      <c r="D1474" s="54" t="str">
        <f>IFERROR(IF(INDEX(SPOT_Import!$A$1:$Z$2488,1474,'Live Data'!$C$15)="","",INDEX(SPOT_Import!$A$1:$Z$2488,1474,'Live Data'!$C$15)),"")</f>
        <v/>
      </c>
      <c r="E1474" s="54" t="str">
        <f>IFERROR(IF(INDEX(SPOT_Import!$A$1:$Z$2488,1474,'Live Data'!$C$16)="","",INDEX(SPOT_Import!$A$1:$Z$2488,1474,'Live Data'!$C$16)),"")</f>
        <v/>
      </c>
      <c r="F1474" s="54" t="str">
        <f>IFERROR(IF(INDEX(SPOT_Import!$A$1:$Z$2488,1474,'Live Data'!$C$17)="","",INDEX(SPOT_Import!$A$1:$Z$2488,1474,'Live Data'!$C$17)),"")</f>
        <v/>
      </c>
      <c r="G1474" s="54" t="str">
        <f>IFERROR(IF(INDEX(SPOT_Import!$A$1:$Z$2488,1474,'Live Data'!$C$18)="","",INDEX(SPOT_Import!$A$1:$Z$2488,1474,'Live Data'!$C$18)),"")</f>
        <v/>
      </c>
      <c r="H1474" s="54" t="str">
        <f>IFERROR(IF(INDEX(SPOT_Import!$A$1:$Z$2488,1474,'Live Data'!$C$19)="","",INDEX(SPOT_Import!$A$1:$Z$2488,1474,'Live Data'!$C$19)),"")</f>
        <v/>
      </c>
      <c r="I1474" s="54" t="str">
        <f>IFERROR(IF(INDEX(SPOT_Import!$A$1:$Z$2488,1474,'Live Data'!$C$20)="","",INDEX(SPOT_Import!$A$1:$Z$2488,1474,'Live Data'!$C$20)),"")</f>
        <v/>
      </c>
      <c r="J1474" s="54" t="str">
        <f>IFERROR(IF(INDEX(SPOT_Import!$A$1:$Z$2488,1474,'Live Data'!$C$21)="","",INDEX(SPOT_Import!$A$1:$Z$2488,1474,'Live Data'!$C$21)),"")</f>
        <v/>
      </c>
      <c r="K1474" s="54" t="str">
        <f>IFERROR(IF(INDEX(SPOT_Import!$A$1:$Z$2488,1474,'Live Data'!$C$22)="","",INDEX(SPOT_Import!$A$1:$Z$2488,1474,'Live Data'!$C$22)),"")</f>
        <v/>
      </c>
      <c r="L1474" s="55" t="str">
        <f t="shared" ref="L1474:L1537" si="46">IF(A1474="","",IF(ISNUMBER(K1474),TEXT(K1474,"yyyy-mm"),LEFT(K1474,7)))</f>
        <v/>
      </c>
      <c r="M1474" s="55" t="str">
        <f t="shared" ref="M1474:M1537" si="47">IF(A1474="","",UPPER(TRIM(SUBSTITUTE(C1474," - ","-"))))</f>
        <v/>
      </c>
      <c r="N1474" s="55" t="str">
        <f>IF(A1474="","",IFERROR(INDEX('Cluster Map'!$A$4:$A$38,MATCH(M1474,'Cluster Map'!$B$4:$B$38,0)),"Unmapped"))</f>
        <v/>
      </c>
      <c r="O1474" s="55">
        <f>IF(A1474="",0,IF(COUNTIFS($A$2:A1474,A1474,$F$2:F1474,F1474,$L$2:L1474,L1474)=1,1,0))</f>
        <v>0</v>
      </c>
      <c r="P1474" s="55">
        <f>IF(A1474="",0,IF(AND(F1474="C&amp;T",COUNTIFS($A$2:A1474,A1474,$F$2:F1474,"C&amp;T")=1),1,0))</f>
        <v>0</v>
      </c>
    </row>
    <row r="1475" spans="1:16" x14ac:dyDescent="0.35">
      <c r="A1475" s="54" t="str">
        <f>IFERROR(IF(INDEX(SPOT_Import!$A$1:$Z$2488,1475,'Live Data'!$C$12)="","",INDEX(SPOT_Import!$A$1:$Z$2488,1475,'Live Data'!$C$12)),"")</f>
        <v/>
      </c>
      <c r="B1475" s="54" t="str">
        <f>IFERROR(IF(INDEX(SPOT_Import!$A$1:$Z$2488,1475,'Live Data'!$C$13)="","",INDEX(SPOT_Import!$A$1:$Z$2488,1475,'Live Data'!$C$13)),"")</f>
        <v/>
      </c>
      <c r="C1475" s="54" t="str">
        <f>IFERROR(IF(INDEX(SPOT_Import!$A$1:$Z$2488,1475,'Live Data'!$C$14)="","",INDEX(SPOT_Import!$A$1:$Z$2488,1475,'Live Data'!$C$14)),"")</f>
        <v/>
      </c>
      <c r="D1475" s="54" t="str">
        <f>IFERROR(IF(INDEX(SPOT_Import!$A$1:$Z$2488,1475,'Live Data'!$C$15)="","",INDEX(SPOT_Import!$A$1:$Z$2488,1475,'Live Data'!$C$15)),"")</f>
        <v/>
      </c>
      <c r="E1475" s="54" t="str">
        <f>IFERROR(IF(INDEX(SPOT_Import!$A$1:$Z$2488,1475,'Live Data'!$C$16)="","",INDEX(SPOT_Import!$A$1:$Z$2488,1475,'Live Data'!$C$16)),"")</f>
        <v/>
      </c>
      <c r="F1475" s="54" t="str">
        <f>IFERROR(IF(INDEX(SPOT_Import!$A$1:$Z$2488,1475,'Live Data'!$C$17)="","",INDEX(SPOT_Import!$A$1:$Z$2488,1475,'Live Data'!$C$17)),"")</f>
        <v/>
      </c>
      <c r="G1475" s="54" t="str">
        <f>IFERROR(IF(INDEX(SPOT_Import!$A$1:$Z$2488,1475,'Live Data'!$C$18)="","",INDEX(SPOT_Import!$A$1:$Z$2488,1475,'Live Data'!$C$18)),"")</f>
        <v/>
      </c>
      <c r="H1475" s="54" t="str">
        <f>IFERROR(IF(INDEX(SPOT_Import!$A$1:$Z$2488,1475,'Live Data'!$C$19)="","",INDEX(SPOT_Import!$A$1:$Z$2488,1475,'Live Data'!$C$19)),"")</f>
        <v/>
      </c>
      <c r="I1475" s="54" t="str">
        <f>IFERROR(IF(INDEX(SPOT_Import!$A$1:$Z$2488,1475,'Live Data'!$C$20)="","",INDEX(SPOT_Import!$A$1:$Z$2488,1475,'Live Data'!$C$20)),"")</f>
        <v/>
      </c>
      <c r="J1475" s="54" t="str">
        <f>IFERROR(IF(INDEX(SPOT_Import!$A$1:$Z$2488,1475,'Live Data'!$C$21)="","",INDEX(SPOT_Import!$A$1:$Z$2488,1475,'Live Data'!$C$21)),"")</f>
        <v/>
      </c>
      <c r="K1475" s="54" t="str">
        <f>IFERROR(IF(INDEX(SPOT_Import!$A$1:$Z$2488,1475,'Live Data'!$C$22)="","",INDEX(SPOT_Import!$A$1:$Z$2488,1475,'Live Data'!$C$22)),"")</f>
        <v/>
      </c>
      <c r="L1475" s="55" t="str">
        <f t="shared" si="46"/>
        <v/>
      </c>
      <c r="M1475" s="55" t="str">
        <f t="shared" si="47"/>
        <v/>
      </c>
      <c r="N1475" s="55" t="str">
        <f>IF(A1475="","",IFERROR(INDEX('Cluster Map'!$A$4:$A$38,MATCH(M1475,'Cluster Map'!$B$4:$B$38,0)),"Unmapped"))</f>
        <v/>
      </c>
      <c r="O1475" s="55">
        <f>IF(A1475="",0,IF(COUNTIFS($A$2:A1475,A1475,$F$2:F1475,F1475,$L$2:L1475,L1475)=1,1,0))</f>
        <v>0</v>
      </c>
      <c r="P1475" s="55">
        <f>IF(A1475="",0,IF(AND(F1475="C&amp;T",COUNTIFS($A$2:A1475,A1475,$F$2:F1475,"C&amp;T")=1),1,0))</f>
        <v>0</v>
      </c>
    </row>
    <row r="1476" spans="1:16" x14ac:dyDescent="0.35">
      <c r="A1476" s="54" t="str">
        <f>IFERROR(IF(INDEX(SPOT_Import!$A$1:$Z$2488,1476,'Live Data'!$C$12)="","",INDEX(SPOT_Import!$A$1:$Z$2488,1476,'Live Data'!$C$12)),"")</f>
        <v/>
      </c>
      <c r="B1476" s="54" t="str">
        <f>IFERROR(IF(INDEX(SPOT_Import!$A$1:$Z$2488,1476,'Live Data'!$C$13)="","",INDEX(SPOT_Import!$A$1:$Z$2488,1476,'Live Data'!$C$13)),"")</f>
        <v/>
      </c>
      <c r="C1476" s="54" t="str">
        <f>IFERROR(IF(INDEX(SPOT_Import!$A$1:$Z$2488,1476,'Live Data'!$C$14)="","",INDEX(SPOT_Import!$A$1:$Z$2488,1476,'Live Data'!$C$14)),"")</f>
        <v/>
      </c>
      <c r="D1476" s="54" t="str">
        <f>IFERROR(IF(INDEX(SPOT_Import!$A$1:$Z$2488,1476,'Live Data'!$C$15)="","",INDEX(SPOT_Import!$A$1:$Z$2488,1476,'Live Data'!$C$15)),"")</f>
        <v/>
      </c>
      <c r="E1476" s="54" t="str">
        <f>IFERROR(IF(INDEX(SPOT_Import!$A$1:$Z$2488,1476,'Live Data'!$C$16)="","",INDEX(SPOT_Import!$A$1:$Z$2488,1476,'Live Data'!$C$16)),"")</f>
        <v/>
      </c>
      <c r="F1476" s="54" t="str">
        <f>IFERROR(IF(INDEX(SPOT_Import!$A$1:$Z$2488,1476,'Live Data'!$C$17)="","",INDEX(SPOT_Import!$A$1:$Z$2488,1476,'Live Data'!$C$17)),"")</f>
        <v/>
      </c>
      <c r="G1476" s="54" t="str">
        <f>IFERROR(IF(INDEX(SPOT_Import!$A$1:$Z$2488,1476,'Live Data'!$C$18)="","",INDEX(SPOT_Import!$A$1:$Z$2488,1476,'Live Data'!$C$18)),"")</f>
        <v/>
      </c>
      <c r="H1476" s="54" t="str">
        <f>IFERROR(IF(INDEX(SPOT_Import!$A$1:$Z$2488,1476,'Live Data'!$C$19)="","",INDEX(SPOT_Import!$A$1:$Z$2488,1476,'Live Data'!$C$19)),"")</f>
        <v/>
      </c>
      <c r="I1476" s="54" t="str">
        <f>IFERROR(IF(INDEX(SPOT_Import!$A$1:$Z$2488,1476,'Live Data'!$C$20)="","",INDEX(SPOT_Import!$A$1:$Z$2488,1476,'Live Data'!$C$20)),"")</f>
        <v/>
      </c>
      <c r="J1476" s="54" t="str">
        <f>IFERROR(IF(INDEX(SPOT_Import!$A$1:$Z$2488,1476,'Live Data'!$C$21)="","",INDEX(SPOT_Import!$A$1:$Z$2488,1476,'Live Data'!$C$21)),"")</f>
        <v/>
      </c>
      <c r="K1476" s="54" t="str">
        <f>IFERROR(IF(INDEX(SPOT_Import!$A$1:$Z$2488,1476,'Live Data'!$C$22)="","",INDEX(SPOT_Import!$A$1:$Z$2488,1476,'Live Data'!$C$22)),"")</f>
        <v/>
      </c>
      <c r="L1476" s="55" t="str">
        <f t="shared" si="46"/>
        <v/>
      </c>
      <c r="M1476" s="55" t="str">
        <f t="shared" si="47"/>
        <v/>
      </c>
      <c r="N1476" s="55" t="str">
        <f>IF(A1476="","",IFERROR(INDEX('Cluster Map'!$A$4:$A$38,MATCH(M1476,'Cluster Map'!$B$4:$B$38,0)),"Unmapped"))</f>
        <v/>
      </c>
      <c r="O1476" s="55">
        <f>IF(A1476="",0,IF(COUNTIFS($A$2:A1476,A1476,$F$2:F1476,F1476,$L$2:L1476,L1476)=1,1,0))</f>
        <v>0</v>
      </c>
      <c r="P1476" s="55">
        <f>IF(A1476="",0,IF(AND(F1476="C&amp;T",COUNTIFS($A$2:A1476,A1476,$F$2:F1476,"C&amp;T")=1),1,0))</f>
        <v>0</v>
      </c>
    </row>
    <row r="1477" spans="1:16" x14ac:dyDescent="0.35">
      <c r="A1477" s="54" t="str">
        <f>IFERROR(IF(INDEX(SPOT_Import!$A$1:$Z$2488,1477,'Live Data'!$C$12)="","",INDEX(SPOT_Import!$A$1:$Z$2488,1477,'Live Data'!$C$12)),"")</f>
        <v/>
      </c>
      <c r="B1477" s="54" t="str">
        <f>IFERROR(IF(INDEX(SPOT_Import!$A$1:$Z$2488,1477,'Live Data'!$C$13)="","",INDEX(SPOT_Import!$A$1:$Z$2488,1477,'Live Data'!$C$13)),"")</f>
        <v/>
      </c>
      <c r="C1477" s="54" t="str">
        <f>IFERROR(IF(INDEX(SPOT_Import!$A$1:$Z$2488,1477,'Live Data'!$C$14)="","",INDEX(SPOT_Import!$A$1:$Z$2488,1477,'Live Data'!$C$14)),"")</f>
        <v/>
      </c>
      <c r="D1477" s="54" t="str">
        <f>IFERROR(IF(INDEX(SPOT_Import!$A$1:$Z$2488,1477,'Live Data'!$C$15)="","",INDEX(SPOT_Import!$A$1:$Z$2488,1477,'Live Data'!$C$15)),"")</f>
        <v/>
      </c>
      <c r="E1477" s="54" t="str">
        <f>IFERROR(IF(INDEX(SPOT_Import!$A$1:$Z$2488,1477,'Live Data'!$C$16)="","",INDEX(SPOT_Import!$A$1:$Z$2488,1477,'Live Data'!$C$16)),"")</f>
        <v/>
      </c>
      <c r="F1477" s="54" t="str">
        <f>IFERROR(IF(INDEX(SPOT_Import!$A$1:$Z$2488,1477,'Live Data'!$C$17)="","",INDEX(SPOT_Import!$A$1:$Z$2488,1477,'Live Data'!$C$17)),"")</f>
        <v/>
      </c>
      <c r="G1477" s="54" t="str">
        <f>IFERROR(IF(INDEX(SPOT_Import!$A$1:$Z$2488,1477,'Live Data'!$C$18)="","",INDEX(SPOT_Import!$A$1:$Z$2488,1477,'Live Data'!$C$18)),"")</f>
        <v/>
      </c>
      <c r="H1477" s="54" t="str">
        <f>IFERROR(IF(INDEX(SPOT_Import!$A$1:$Z$2488,1477,'Live Data'!$C$19)="","",INDEX(SPOT_Import!$A$1:$Z$2488,1477,'Live Data'!$C$19)),"")</f>
        <v/>
      </c>
      <c r="I1477" s="54" t="str">
        <f>IFERROR(IF(INDEX(SPOT_Import!$A$1:$Z$2488,1477,'Live Data'!$C$20)="","",INDEX(SPOT_Import!$A$1:$Z$2488,1477,'Live Data'!$C$20)),"")</f>
        <v/>
      </c>
      <c r="J1477" s="54" t="str">
        <f>IFERROR(IF(INDEX(SPOT_Import!$A$1:$Z$2488,1477,'Live Data'!$C$21)="","",INDEX(SPOT_Import!$A$1:$Z$2488,1477,'Live Data'!$C$21)),"")</f>
        <v/>
      </c>
      <c r="K1477" s="54" t="str">
        <f>IFERROR(IF(INDEX(SPOT_Import!$A$1:$Z$2488,1477,'Live Data'!$C$22)="","",INDEX(SPOT_Import!$A$1:$Z$2488,1477,'Live Data'!$C$22)),"")</f>
        <v/>
      </c>
      <c r="L1477" s="55" t="str">
        <f t="shared" si="46"/>
        <v/>
      </c>
      <c r="M1477" s="55" t="str">
        <f t="shared" si="47"/>
        <v/>
      </c>
      <c r="N1477" s="55" t="str">
        <f>IF(A1477="","",IFERROR(INDEX('Cluster Map'!$A$4:$A$38,MATCH(M1477,'Cluster Map'!$B$4:$B$38,0)),"Unmapped"))</f>
        <v/>
      </c>
      <c r="O1477" s="55">
        <f>IF(A1477="",0,IF(COUNTIFS($A$2:A1477,A1477,$F$2:F1477,F1477,$L$2:L1477,L1477)=1,1,0))</f>
        <v>0</v>
      </c>
      <c r="P1477" s="55">
        <f>IF(A1477="",0,IF(AND(F1477="C&amp;T",COUNTIFS($A$2:A1477,A1477,$F$2:F1477,"C&amp;T")=1),1,0))</f>
        <v>0</v>
      </c>
    </row>
    <row r="1478" spans="1:16" x14ac:dyDescent="0.35">
      <c r="A1478" s="54" t="str">
        <f>IFERROR(IF(INDEX(SPOT_Import!$A$1:$Z$2488,1478,'Live Data'!$C$12)="","",INDEX(SPOT_Import!$A$1:$Z$2488,1478,'Live Data'!$C$12)),"")</f>
        <v/>
      </c>
      <c r="B1478" s="54" t="str">
        <f>IFERROR(IF(INDEX(SPOT_Import!$A$1:$Z$2488,1478,'Live Data'!$C$13)="","",INDEX(SPOT_Import!$A$1:$Z$2488,1478,'Live Data'!$C$13)),"")</f>
        <v/>
      </c>
      <c r="C1478" s="54" t="str">
        <f>IFERROR(IF(INDEX(SPOT_Import!$A$1:$Z$2488,1478,'Live Data'!$C$14)="","",INDEX(SPOT_Import!$A$1:$Z$2488,1478,'Live Data'!$C$14)),"")</f>
        <v/>
      </c>
      <c r="D1478" s="54" t="str">
        <f>IFERROR(IF(INDEX(SPOT_Import!$A$1:$Z$2488,1478,'Live Data'!$C$15)="","",INDEX(SPOT_Import!$A$1:$Z$2488,1478,'Live Data'!$C$15)),"")</f>
        <v/>
      </c>
      <c r="E1478" s="54" t="str">
        <f>IFERROR(IF(INDEX(SPOT_Import!$A$1:$Z$2488,1478,'Live Data'!$C$16)="","",INDEX(SPOT_Import!$A$1:$Z$2488,1478,'Live Data'!$C$16)),"")</f>
        <v/>
      </c>
      <c r="F1478" s="54" t="str">
        <f>IFERROR(IF(INDEX(SPOT_Import!$A$1:$Z$2488,1478,'Live Data'!$C$17)="","",INDEX(SPOT_Import!$A$1:$Z$2488,1478,'Live Data'!$C$17)),"")</f>
        <v/>
      </c>
      <c r="G1478" s="54" t="str">
        <f>IFERROR(IF(INDEX(SPOT_Import!$A$1:$Z$2488,1478,'Live Data'!$C$18)="","",INDEX(SPOT_Import!$A$1:$Z$2488,1478,'Live Data'!$C$18)),"")</f>
        <v/>
      </c>
      <c r="H1478" s="54" t="str">
        <f>IFERROR(IF(INDEX(SPOT_Import!$A$1:$Z$2488,1478,'Live Data'!$C$19)="","",INDEX(SPOT_Import!$A$1:$Z$2488,1478,'Live Data'!$C$19)),"")</f>
        <v/>
      </c>
      <c r="I1478" s="54" t="str">
        <f>IFERROR(IF(INDEX(SPOT_Import!$A$1:$Z$2488,1478,'Live Data'!$C$20)="","",INDEX(SPOT_Import!$A$1:$Z$2488,1478,'Live Data'!$C$20)),"")</f>
        <v/>
      </c>
      <c r="J1478" s="54" t="str">
        <f>IFERROR(IF(INDEX(SPOT_Import!$A$1:$Z$2488,1478,'Live Data'!$C$21)="","",INDEX(SPOT_Import!$A$1:$Z$2488,1478,'Live Data'!$C$21)),"")</f>
        <v/>
      </c>
      <c r="K1478" s="54" t="str">
        <f>IFERROR(IF(INDEX(SPOT_Import!$A$1:$Z$2488,1478,'Live Data'!$C$22)="","",INDEX(SPOT_Import!$A$1:$Z$2488,1478,'Live Data'!$C$22)),"")</f>
        <v/>
      </c>
      <c r="L1478" s="55" t="str">
        <f t="shared" si="46"/>
        <v/>
      </c>
      <c r="M1478" s="55" t="str">
        <f t="shared" si="47"/>
        <v/>
      </c>
      <c r="N1478" s="55" t="str">
        <f>IF(A1478="","",IFERROR(INDEX('Cluster Map'!$A$4:$A$38,MATCH(M1478,'Cluster Map'!$B$4:$B$38,0)),"Unmapped"))</f>
        <v/>
      </c>
      <c r="O1478" s="55">
        <f>IF(A1478="",0,IF(COUNTIFS($A$2:A1478,A1478,$F$2:F1478,F1478,$L$2:L1478,L1478)=1,1,0))</f>
        <v>0</v>
      </c>
      <c r="P1478" s="55">
        <f>IF(A1478="",0,IF(AND(F1478="C&amp;T",COUNTIFS($A$2:A1478,A1478,$F$2:F1478,"C&amp;T")=1),1,0))</f>
        <v>0</v>
      </c>
    </row>
    <row r="1479" spans="1:16" x14ac:dyDescent="0.35">
      <c r="A1479" s="54" t="str">
        <f>IFERROR(IF(INDEX(SPOT_Import!$A$1:$Z$2488,1479,'Live Data'!$C$12)="","",INDEX(SPOT_Import!$A$1:$Z$2488,1479,'Live Data'!$C$12)),"")</f>
        <v/>
      </c>
      <c r="B1479" s="54" t="str">
        <f>IFERROR(IF(INDEX(SPOT_Import!$A$1:$Z$2488,1479,'Live Data'!$C$13)="","",INDEX(SPOT_Import!$A$1:$Z$2488,1479,'Live Data'!$C$13)),"")</f>
        <v/>
      </c>
      <c r="C1479" s="54" t="str">
        <f>IFERROR(IF(INDEX(SPOT_Import!$A$1:$Z$2488,1479,'Live Data'!$C$14)="","",INDEX(SPOT_Import!$A$1:$Z$2488,1479,'Live Data'!$C$14)),"")</f>
        <v/>
      </c>
      <c r="D1479" s="54" t="str">
        <f>IFERROR(IF(INDEX(SPOT_Import!$A$1:$Z$2488,1479,'Live Data'!$C$15)="","",INDEX(SPOT_Import!$A$1:$Z$2488,1479,'Live Data'!$C$15)),"")</f>
        <v/>
      </c>
      <c r="E1479" s="54" t="str">
        <f>IFERROR(IF(INDEX(SPOT_Import!$A$1:$Z$2488,1479,'Live Data'!$C$16)="","",INDEX(SPOT_Import!$A$1:$Z$2488,1479,'Live Data'!$C$16)),"")</f>
        <v/>
      </c>
      <c r="F1479" s="54" t="str">
        <f>IFERROR(IF(INDEX(SPOT_Import!$A$1:$Z$2488,1479,'Live Data'!$C$17)="","",INDEX(SPOT_Import!$A$1:$Z$2488,1479,'Live Data'!$C$17)),"")</f>
        <v/>
      </c>
      <c r="G1479" s="54" t="str">
        <f>IFERROR(IF(INDEX(SPOT_Import!$A$1:$Z$2488,1479,'Live Data'!$C$18)="","",INDEX(SPOT_Import!$A$1:$Z$2488,1479,'Live Data'!$C$18)),"")</f>
        <v/>
      </c>
      <c r="H1479" s="54" t="str">
        <f>IFERROR(IF(INDEX(SPOT_Import!$A$1:$Z$2488,1479,'Live Data'!$C$19)="","",INDEX(SPOT_Import!$A$1:$Z$2488,1479,'Live Data'!$C$19)),"")</f>
        <v/>
      </c>
      <c r="I1479" s="54" t="str">
        <f>IFERROR(IF(INDEX(SPOT_Import!$A$1:$Z$2488,1479,'Live Data'!$C$20)="","",INDEX(SPOT_Import!$A$1:$Z$2488,1479,'Live Data'!$C$20)),"")</f>
        <v/>
      </c>
      <c r="J1479" s="54" t="str">
        <f>IFERROR(IF(INDEX(SPOT_Import!$A$1:$Z$2488,1479,'Live Data'!$C$21)="","",INDEX(SPOT_Import!$A$1:$Z$2488,1479,'Live Data'!$C$21)),"")</f>
        <v/>
      </c>
      <c r="K1479" s="54" t="str">
        <f>IFERROR(IF(INDEX(SPOT_Import!$A$1:$Z$2488,1479,'Live Data'!$C$22)="","",INDEX(SPOT_Import!$A$1:$Z$2488,1479,'Live Data'!$C$22)),"")</f>
        <v/>
      </c>
      <c r="L1479" s="55" t="str">
        <f t="shared" si="46"/>
        <v/>
      </c>
      <c r="M1479" s="55" t="str">
        <f t="shared" si="47"/>
        <v/>
      </c>
      <c r="N1479" s="55" t="str">
        <f>IF(A1479="","",IFERROR(INDEX('Cluster Map'!$A$4:$A$38,MATCH(M1479,'Cluster Map'!$B$4:$B$38,0)),"Unmapped"))</f>
        <v/>
      </c>
      <c r="O1479" s="55">
        <f>IF(A1479="",0,IF(COUNTIFS($A$2:A1479,A1479,$F$2:F1479,F1479,$L$2:L1479,L1479)=1,1,0))</f>
        <v>0</v>
      </c>
      <c r="P1479" s="55">
        <f>IF(A1479="",0,IF(AND(F1479="C&amp;T",COUNTIFS($A$2:A1479,A1479,$F$2:F1479,"C&amp;T")=1),1,0))</f>
        <v>0</v>
      </c>
    </row>
    <row r="1480" spans="1:16" x14ac:dyDescent="0.35">
      <c r="A1480" s="54" t="str">
        <f>IFERROR(IF(INDEX(SPOT_Import!$A$1:$Z$2488,1480,'Live Data'!$C$12)="","",INDEX(SPOT_Import!$A$1:$Z$2488,1480,'Live Data'!$C$12)),"")</f>
        <v/>
      </c>
      <c r="B1480" s="54" t="str">
        <f>IFERROR(IF(INDEX(SPOT_Import!$A$1:$Z$2488,1480,'Live Data'!$C$13)="","",INDEX(SPOT_Import!$A$1:$Z$2488,1480,'Live Data'!$C$13)),"")</f>
        <v/>
      </c>
      <c r="C1480" s="54" t="str">
        <f>IFERROR(IF(INDEX(SPOT_Import!$A$1:$Z$2488,1480,'Live Data'!$C$14)="","",INDEX(SPOT_Import!$A$1:$Z$2488,1480,'Live Data'!$C$14)),"")</f>
        <v/>
      </c>
      <c r="D1480" s="54" t="str">
        <f>IFERROR(IF(INDEX(SPOT_Import!$A$1:$Z$2488,1480,'Live Data'!$C$15)="","",INDEX(SPOT_Import!$A$1:$Z$2488,1480,'Live Data'!$C$15)),"")</f>
        <v/>
      </c>
      <c r="E1480" s="54" t="str">
        <f>IFERROR(IF(INDEX(SPOT_Import!$A$1:$Z$2488,1480,'Live Data'!$C$16)="","",INDEX(SPOT_Import!$A$1:$Z$2488,1480,'Live Data'!$C$16)),"")</f>
        <v/>
      </c>
      <c r="F1480" s="54" t="str">
        <f>IFERROR(IF(INDEX(SPOT_Import!$A$1:$Z$2488,1480,'Live Data'!$C$17)="","",INDEX(SPOT_Import!$A$1:$Z$2488,1480,'Live Data'!$C$17)),"")</f>
        <v/>
      </c>
      <c r="G1480" s="54" t="str">
        <f>IFERROR(IF(INDEX(SPOT_Import!$A$1:$Z$2488,1480,'Live Data'!$C$18)="","",INDEX(SPOT_Import!$A$1:$Z$2488,1480,'Live Data'!$C$18)),"")</f>
        <v/>
      </c>
      <c r="H1480" s="54" t="str">
        <f>IFERROR(IF(INDEX(SPOT_Import!$A$1:$Z$2488,1480,'Live Data'!$C$19)="","",INDEX(SPOT_Import!$A$1:$Z$2488,1480,'Live Data'!$C$19)),"")</f>
        <v/>
      </c>
      <c r="I1480" s="54" t="str">
        <f>IFERROR(IF(INDEX(SPOT_Import!$A$1:$Z$2488,1480,'Live Data'!$C$20)="","",INDEX(SPOT_Import!$A$1:$Z$2488,1480,'Live Data'!$C$20)),"")</f>
        <v/>
      </c>
      <c r="J1480" s="54" t="str">
        <f>IFERROR(IF(INDEX(SPOT_Import!$A$1:$Z$2488,1480,'Live Data'!$C$21)="","",INDEX(SPOT_Import!$A$1:$Z$2488,1480,'Live Data'!$C$21)),"")</f>
        <v/>
      </c>
      <c r="K1480" s="54" t="str">
        <f>IFERROR(IF(INDEX(SPOT_Import!$A$1:$Z$2488,1480,'Live Data'!$C$22)="","",INDEX(SPOT_Import!$A$1:$Z$2488,1480,'Live Data'!$C$22)),"")</f>
        <v/>
      </c>
      <c r="L1480" s="55" t="str">
        <f t="shared" si="46"/>
        <v/>
      </c>
      <c r="M1480" s="55" t="str">
        <f t="shared" si="47"/>
        <v/>
      </c>
      <c r="N1480" s="55" t="str">
        <f>IF(A1480="","",IFERROR(INDEX('Cluster Map'!$A$4:$A$38,MATCH(M1480,'Cluster Map'!$B$4:$B$38,0)),"Unmapped"))</f>
        <v/>
      </c>
      <c r="O1480" s="55">
        <f>IF(A1480="",0,IF(COUNTIFS($A$2:A1480,A1480,$F$2:F1480,F1480,$L$2:L1480,L1480)=1,1,0))</f>
        <v>0</v>
      </c>
      <c r="P1480" s="55">
        <f>IF(A1480="",0,IF(AND(F1480="C&amp;T",COUNTIFS($A$2:A1480,A1480,$F$2:F1480,"C&amp;T")=1),1,0))</f>
        <v>0</v>
      </c>
    </row>
    <row r="1481" spans="1:16" x14ac:dyDescent="0.35">
      <c r="A1481" s="54" t="str">
        <f>IFERROR(IF(INDEX(SPOT_Import!$A$1:$Z$2488,1481,'Live Data'!$C$12)="","",INDEX(SPOT_Import!$A$1:$Z$2488,1481,'Live Data'!$C$12)),"")</f>
        <v/>
      </c>
      <c r="B1481" s="54" t="str">
        <f>IFERROR(IF(INDEX(SPOT_Import!$A$1:$Z$2488,1481,'Live Data'!$C$13)="","",INDEX(SPOT_Import!$A$1:$Z$2488,1481,'Live Data'!$C$13)),"")</f>
        <v/>
      </c>
      <c r="C1481" s="54" t="str">
        <f>IFERROR(IF(INDEX(SPOT_Import!$A$1:$Z$2488,1481,'Live Data'!$C$14)="","",INDEX(SPOT_Import!$A$1:$Z$2488,1481,'Live Data'!$C$14)),"")</f>
        <v/>
      </c>
      <c r="D1481" s="54" t="str">
        <f>IFERROR(IF(INDEX(SPOT_Import!$A$1:$Z$2488,1481,'Live Data'!$C$15)="","",INDEX(SPOT_Import!$A$1:$Z$2488,1481,'Live Data'!$C$15)),"")</f>
        <v/>
      </c>
      <c r="E1481" s="54" t="str">
        <f>IFERROR(IF(INDEX(SPOT_Import!$A$1:$Z$2488,1481,'Live Data'!$C$16)="","",INDEX(SPOT_Import!$A$1:$Z$2488,1481,'Live Data'!$C$16)),"")</f>
        <v/>
      </c>
      <c r="F1481" s="54" t="str">
        <f>IFERROR(IF(INDEX(SPOT_Import!$A$1:$Z$2488,1481,'Live Data'!$C$17)="","",INDEX(SPOT_Import!$A$1:$Z$2488,1481,'Live Data'!$C$17)),"")</f>
        <v/>
      </c>
      <c r="G1481" s="54" t="str">
        <f>IFERROR(IF(INDEX(SPOT_Import!$A$1:$Z$2488,1481,'Live Data'!$C$18)="","",INDEX(SPOT_Import!$A$1:$Z$2488,1481,'Live Data'!$C$18)),"")</f>
        <v/>
      </c>
      <c r="H1481" s="54" t="str">
        <f>IFERROR(IF(INDEX(SPOT_Import!$A$1:$Z$2488,1481,'Live Data'!$C$19)="","",INDEX(SPOT_Import!$A$1:$Z$2488,1481,'Live Data'!$C$19)),"")</f>
        <v/>
      </c>
      <c r="I1481" s="54" t="str">
        <f>IFERROR(IF(INDEX(SPOT_Import!$A$1:$Z$2488,1481,'Live Data'!$C$20)="","",INDEX(SPOT_Import!$A$1:$Z$2488,1481,'Live Data'!$C$20)),"")</f>
        <v/>
      </c>
      <c r="J1481" s="54" t="str">
        <f>IFERROR(IF(INDEX(SPOT_Import!$A$1:$Z$2488,1481,'Live Data'!$C$21)="","",INDEX(SPOT_Import!$A$1:$Z$2488,1481,'Live Data'!$C$21)),"")</f>
        <v/>
      </c>
      <c r="K1481" s="54" t="str">
        <f>IFERROR(IF(INDEX(SPOT_Import!$A$1:$Z$2488,1481,'Live Data'!$C$22)="","",INDEX(SPOT_Import!$A$1:$Z$2488,1481,'Live Data'!$C$22)),"")</f>
        <v/>
      </c>
      <c r="L1481" s="55" t="str">
        <f t="shared" si="46"/>
        <v/>
      </c>
      <c r="M1481" s="55" t="str">
        <f t="shared" si="47"/>
        <v/>
      </c>
      <c r="N1481" s="55" t="str">
        <f>IF(A1481="","",IFERROR(INDEX('Cluster Map'!$A$4:$A$38,MATCH(M1481,'Cluster Map'!$B$4:$B$38,0)),"Unmapped"))</f>
        <v/>
      </c>
      <c r="O1481" s="55">
        <f>IF(A1481="",0,IF(COUNTIFS($A$2:A1481,A1481,$F$2:F1481,F1481,$L$2:L1481,L1481)=1,1,0))</f>
        <v>0</v>
      </c>
      <c r="P1481" s="55">
        <f>IF(A1481="",0,IF(AND(F1481="C&amp;T",COUNTIFS($A$2:A1481,A1481,$F$2:F1481,"C&amp;T")=1),1,0))</f>
        <v>0</v>
      </c>
    </row>
    <row r="1482" spans="1:16" x14ac:dyDescent="0.35">
      <c r="A1482" s="54" t="str">
        <f>IFERROR(IF(INDEX(SPOT_Import!$A$1:$Z$2488,1482,'Live Data'!$C$12)="","",INDEX(SPOT_Import!$A$1:$Z$2488,1482,'Live Data'!$C$12)),"")</f>
        <v/>
      </c>
      <c r="B1482" s="54" t="str">
        <f>IFERROR(IF(INDEX(SPOT_Import!$A$1:$Z$2488,1482,'Live Data'!$C$13)="","",INDEX(SPOT_Import!$A$1:$Z$2488,1482,'Live Data'!$C$13)),"")</f>
        <v/>
      </c>
      <c r="C1482" s="54" t="str">
        <f>IFERROR(IF(INDEX(SPOT_Import!$A$1:$Z$2488,1482,'Live Data'!$C$14)="","",INDEX(SPOT_Import!$A$1:$Z$2488,1482,'Live Data'!$C$14)),"")</f>
        <v/>
      </c>
      <c r="D1482" s="54" t="str">
        <f>IFERROR(IF(INDEX(SPOT_Import!$A$1:$Z$2488,1482,'Live Data'!$C$15)="","",INDEX(SPOT_Import!$A$1:$Z$2488,1482,'Live Data'!$C$15)),"")</f>
        <v/>
      </c>
      <c r="E1482" s="54" t="str">
        <f>IFERROR(IF(INDEX(SPOT_Import!$A$1:$Z$2488,1482,'Live Data'!$C$16)="","",INDEX(SPOT_Import!$A$1:$Z$2488,1482,'Live Data'!$C$16)),"")</f>
        <v/>
      </c>
      <c r="F1482" s="54" t="str">
        <f>IFERROR(IF(INDEX(SPOT_Import!$A$1:$Z$2488,1482,'Live Data'!$C$17)="","",INDEX(SPOT_Import!$A$1:$Z$2488,1482,'Live Data'!$C$17)),"")</f>
        <v/>
      </c>
      <c r="G1482" s="54" t="str">
        <f>IFERROR(IF(INDEX(SPOT_Import!$A$1:$Z$2488,1482,'Live Data'!$C$18)="","",INDEX(SPOT_Import!$A$1:$Z$2488,1482,'Live Data'!$C$18)),"")</f>
        <v/>
      </c>
      <c r="H1482" s="54" t="str">
        <f>IFERROR(IF(INDEX(SPOT_Import!$A$1:$Z$2488,1482,'Live Data'!$C$19)="","",INDEX(SPOT_Import!$A$1:$Z$2488,1482,'Live Data'!$C$19)),"")</f>
        <v/>
      </c>
      <c r="I1482" s="54" t="str">
        <f>IFERROR(IF(INDEX(SPOT_Import!$A$1:$Z$2488,1482,'Live Data'!$C$20)="","",INDEX(SPOT_Import!$A$1:$Z$2488,1482,'Live Data'!$C$20)),"")</f>
        <v/>
      </c>
      <c r="J1482" s="54" t="str">
        <f>IFERROR(IF(INDEX(SPOT_Import!$A$1:$Z$2488,1482,'Live Data'!$C$21)="","",INDEX(SPOT_Import!$A$1:$Z$2488,1482,'Live Data'!$C$21)),"")</f>
        <v/>
      </c>
      <c r="K1482" s="54" t="str">
        <f>IFERROR(IF(INDEX(SPOT_Import!$A$1:$Z$2488,1482,'Live Data'!$C$22)="","",INDEX(SPOT_Import!$A$1:$Z$2488,1482,'Live Data'!$C$22)),"")</f>
        <v/>
      </c>
      <c r="L1482" s="55" t="str">
        <f t="shared" si="46"/>
        <v/>
      </c>
      <c r="M1482" s="55" t="str">
        <f t="shared" si="47"/>
        <v/>
      </c>
      <c r="N1482" s="55" t="str">
        <f>IF(A1482="","",IFERROR(INDEX('Cluster Map'!$A$4:$A$38,MATCH(M1482,'Cluster Map'!$B$4:$B$38,0)),"Unmapped"))</f>
        <v/>
      </c>
      <c r="O1482" s="55">
        <f>IF(A1482="",0,IF(COUNTIFS($A$2:A1482,A1482,$F$2:F1482,F1482,$L$2:L1482,L1482)=1,1,0))</f>
        <v>0</v>
      </c>
      <c r="P1482" s="55">
        <f>IF(A1482="",0,IF(AND(F1482="C&amp;T",COUNTIFS($A$2:A1482,A1482,$F$2:F1482,"C&amp;T")=1),1,0))</f>
        <v>0</v>
      </c>
    </row>
    <row r="1483" spans="1:16" x14ac:dyDescent="0.35">
      <c r="A1483" s="54" t="str">
        <f>IFERROR(IF(INDEX(SPOT_Import!$A$1:$Z$2488,1483,'Live Data'!$C$12)="","",INDEX(SPOT_Import!$A$1:$Z$2488,1483,'Live Data'!$C$12)),"")</f>
        <v/>
      </c>
      <c r="B1483" s="54" t="str">
        <f>IFERROR(IF(INDEX(SPOT_Import!$A$1:$Z$2488,1483,'Live Data'!$C$13)="","",INDEX(SPOT_Import!$A$1:$Z$2488,1483,'Live Data'!$C$13)),"")</f>
        <v/>
      </c>
      <c r="C1483" s="54" t="str">
        <f>IFERROR(IF(INDEX(SPOT_Import!$A$1:$Z$2488,1483,'Live Data'!$C$14)="","",INDEX(SPOT_Import!$A$1:$Z$2488,1483,'Live Data'!$C$14)),"")</f>
        <v/>
      </c>
      <c r="D1483" s="54" t="str">
        <f>IFERROR(IF(INDEX(SPOT_Import!$A$1:$Z$2488,1483,'Live Data'!$C$15)="","",INDEX(SPOT_Import!$A$1:$Z$2488,1483,'Live Data'!$C$15)),"")</f>
        <v/>
      </c>
      <c r="E1483" s="54" t="str">
        <f>IFERROR(IF(INDEX(SPOT_Import!$A$1:$Z$2488,1483,'Live Data'!$C$16)="","",INDEX(SPOT_Import!$A$1:$Z$2488,1483,'Live Data'!$C$16)),"")</f>
        <v/>
      </c>
      <c r="F1483" s="54" t="str">
        <f>IFERROR(IF(INDEX(SPOT_Import!$A$1:$Z$2488,1483,'Live Data'!$C$17)="","",INDEX(SPOT_Import!$A$1:$Z$2488,1483,'Live Data'!$C$17)),"")</f>
        <v/>
      </c>
      <c r="G1483" s="54" t="str">
        <f>IFERROR(IF(INDEX(SPOT_Import!$A$1:$Z$2488,1483,'Live Data'!$C$18)="","",INDEX(SPOT_Import!$A$1:$Z$2488,1483,'Live Data'!$C$18)),"")</f>
        <v/>
      </c>
      <c r="H1483" s="54" t="str">
        <f>IFERROR(IF(INDEX(SPOT_Import!$A$1:$Z$2488,1483,'Live Data'!$C$19)="","",INDEX(SPOT_Import!$A$1:$Z$2488,1483,'Live Data'!$C$19)),"")</f>
        <v/>
      </c>
      <c r="I1483" s="54" t="str">
        <f>IFERROR(IF(INDEX(SPOT_Import!$A$1:$Z$2488,1483,'Live Data'!$C$20)="","",INDEX(SPOT_Import!$A$1:$Z$2488,1483,'Live Data'!$C$20)),"")</f>
        <v/>
      </c>
      <c r="J1483" s="54" t="str">
        <f>IFERROR(IF(INDEX(SPOT_Import!$A$1:$Z$2488,1483,'Live Data'!$C$21)="","",INDEX(SPOT_Import!$A$1:$Z$2488,1483,'Live Data'!$C$21)),"")</f>
        <v/>
      </c>
      <c r="K1483" s="54" t="str">
        <f>IFERROR(IF(INDEX(SPOT_Import!$A$1:$Z$2488,1483,'Live Data'!$C$22)="","",INDEX(SPOT_Import!$A$1:$Z$2488,1483,'Live Data'!$C$22)),"")</f>
        <v/>
      </c>
      <c r="L1483" s="55" t="str">
        <f t="shared" si="46"/>
        <v/>
      </c>
      <c r="M1483" s="55" t="str">
        <f t="shared" si="47"/>
        <v/>
      </c>
      <c r="N1483" s="55" t="str">
        <f>IF(A1483="","",IFERROR(INDEX('Cluster Map'!$A$4:$A$38,MATCH(M1483,'Cluster Map'!$B$4:$B$38,0)),"Unmapped"))</f>
        <v/>
      </c>
      <c r="O1483" s="55">
        <f>IF(A1483="",0,IF(COUNTIFS($A$2:A1483,A1483,$F$2:F1483,F1483,$L$2:L1483,L1483)=1,1,0))</f>
        <v>0</v>
      </c>
      <c r="P1483" s="55">
        <f>IF(A1483="",0,IF(AND(F1483="C&amp;T",COUNTIFS($A$2:A1483,A1483,$F$2:F1483,"C&amp;T")=1),1,0))</f>
        <v>0</v>
      </c>
    </row>
    <row r="1484" spans="1:16" x14ac:dyDescent="0.35">
      <c r="A1484" s="54" t="str">
        <f>IFERROR(IF(INDEX(SPOT_Import!$A$1:$Z$2488,1484,'Live Data'!$C$12)="","",INDEX(SPOT_Import!$A$1:$Z$2488,1484,'Live Data'!$C$12)),"")</f>
        <v/>
      </c>
      <c r="B1484" s="54" t="str">
        <f>IFERROR(IF(INDEX(SPOT_Import!$A$1:$Z$2488,1484,'Live Data'!$C$13)="","",INDEX(SPOT_Import!$A$1:$Z$2488,1484,'Live Data'!$C$13)),"")</f>
        <v/>
      </c>
      <c r="C1484" s="54" t="str">
        <f>IFERROR(IF(INDEX(SPOT_Import!$A$1:$Z$2488,1484,'Live Data'!$C$14)="","",INDEX(SPOT_Import!$A$1:$Z$2488,1484,'Live Data'!$C$14)),"")</f>
        <v/>
      </c>
      <c r="D1484" s="54" t="str">
        <f>IFERROR(IF(INDEX(SPOT_Import!$A$1:$Z$2488,1484,'Live Data'!$C$15)="","",INDEX(SPOT_Import!$A$1:$Z$2488,1484,'Live Data'!$C$15)),"")</f>
        <v/>
      </c>
      <c r="E1484" s="54" t="str">
        <f>IFERROR(IF(INDEX(SPOT_Import!$A$1:$Z$2488,1484,'Live Data'!$C$16)="","",INDEX(SPOT_Import!$A$1:$Z$2488,1484,'Live Data'!$C$16)),"")</f>
        <v/>
      </c>
      <c r="F1484" s="54" t="str">
        <f>IFERROR(IF(INDEX(SPOT_Import!$A$1:$Z$2488,1484,'Live Data'!$C$17)="","",INDEX(SPOT_Import!$A$1:$Z$2488,1484,'Live Data'!$C$17)),"")</f>
        <v/>
      </c>
      <c r="G1484" s="54" t="str">
        <f>IFERROR(IF(INDEX(SPOT_Import!$A$1:$Z$2488,1484,'Live Data'!$C$18)="","",INDEX(SPOT_Import!$A$1:$Z$2488,1484,'Live Data'!$C$18)),"")</f>
        <v/>
      </c>
      <c r="H1484" s="54" t="str">
        <f>IFERROR(IF(INDEX(SPOT_Import!$A$1:$Z$2488,1484,'Live Data'!$C$19)="","",INDEX(SPOT_Import!$A$1:$Z$2488,1484,'Live Data'!$C$19)),"")</f>
        <v/>
      </c>
      <c r="I1484" s="54" t="str">
        <f>IFERROR(IF(INDEX(SPOT_Import!$A$1:$Z$2488,1484,'Live Data'!$C$20)="","",INDEX(SPOT_Import!$A$1:$Z$2488,1484,'Live Data'!$C$20)),"")</f>
        <v/>
      </c>
      <c r="J1484" s="54" t="str">
        <f>IFERROR(IF(INDEX(SPOT_Import!$A$1:$Z$2488,1484,'Live Data'!$C$21)="","",INDEX(SPOT_Import!$A$1:$Z$2488,1484,'Live Data'!$C$21)),"")</f>
        <v/>
      </c>
      <c r="K1484" s="54" t="str">
        <f>IFERROR(IF(INDEX(SPOT_Import!$A$1:$Z$2488,1484,'Live Data'!$C$22)="","",INDEX(SPOT_Import!$A$1:$Z$2488,1484,'Live Data'!$C$22)),"")</f>
        <v/>
      </c>
      <c r="L1484" s="55" t="str">
        <f t="shared" si="46"/>
        <v/>
      </c>
      <c r="M1484" s="55" t="str">
        <f t="shared" si="47"/>
        <v/>
      </c>
      <c r="N1484" s="55" t="str">
        <f>IF(A1484="","",IFERROR(INDEX('Cluster Map'!$A$4:$A$38,MATCH(M1484,'Cluster Map'!$B$4:$B$38,0)),"Unmapped"))</f>
        <v/>
      </c>
      <c r="O1484" s="55">
        <f>IF(A1484="",0,IF(COUNTIFS($A$2:A1484,A1484,$F$2:F1484,F1484,$L$2:L1484,L1484)=1,1,0))</f>
        <v>0</v>
      </c>
      <c r="P1484" s="55">
        <f>IF(A1484="",0,IF(AND(F1484="C&amp;T",COUNTIFS($A$2:A1484,A1484,$F$2:F1484,"C&amp;T")=1),1,0))</f>
        <v>0</v>
      </c>
    </row>
    <row r="1485" spans="1:16" x14ac:dyDescent="0.35">
      <c r="A1485" s="54" t="str">
        <f>IFERROR(IF(INDEX(SPOT_Import!$A$1:$Z$2488,1485,'Live Data'!$C$12)="","",INDEX(SPOT_Import!$A$1:$Z$2488,1485,'Live Data'!$C$12)),"")</f>
        <v/>
      </c>
      <c r="B1485" s="54" t="str">
        <f>IFERROR(IF(INDEX(SPOT_Import!$A$1:$Z$2488,1485,'Live Data'!$C$13)="","",INDEX(SPOT_Import!$A$1:$Z$2488,1485,'Live Data'!$C$13)),"")</f>
        <v/>
      </c>
      <c r="C1485" s="54" t="str">
        <f>IFERROR(IF(INDEX(SPOT_Import!$A$1:$Z$2488,1485,'Live Data'!$C$14)="","",INDEX(SPOT_Import!$A$1:$Z$2488,1485,'Live Data'!$C$14)),"")</f>
        <v/>
      </c>
      <c r="D1485" s="54" t="str">
        <f>IFERROR(IF(INDEX(SPOT_Import!$A$1:$Z$2488,1485,'Live Data'!$C$15)="","",INDEX(SPOT_Import!$A$1:$Z$2488,1485,'Live Data'!$C$15)),"")</f>
        <v/>
      </c>
      <c r="E1485" s="54" t="str">
        <f>IFERROR(IF(INDEX(SPOT_Import!$A$1:$Z$2488,1485,'Live Data'!$C$16)="","",INDEX(SPOT_Import!$A$1:$Z$2488,1485,'Live Data'!$C$16)),"")</f>
        <v/>
      </c>
      <c r="F1485" s="54" t="str">
        <f>IFERROR(IF(INDEX(SPOT_Import!$A$1:$Z$2488,1485,'Live Data'!$C$17)="","",INDEX(SPOT_Import!$A$1:$Z$2488,1485,'Live Data'!$C$17)),"")</f>
        <v/>
      </c>
      <c r="G1485" s="54" t="str">
        <f>IFERROR(IF(INDEX(SPOT_Import!$A$1:$Z$2488,1485,'Live Data'!$C$18)="","",INDEX(SPOT_Import!$A$1:$Z$2488,1485,'Live Data'!$C$18)),"")</f>
        <v/>
      </c>
      <c r="H1485" s="54" t="str">
        <f>IFERROR(IF(INDEX(SPOT_Import!$A$1:$Z$2488,1485,'Live Data'!$C$19)="","",INDEX(SPOT_Import!$A$1:$Z$2488,1485,'Live Data'!$C$19)),"")</f>
        <v/>
      </c>
      <c r="I1485" s="54" t="str">
        <f>IFERROR(IF(INDEX(SPOT_Import!$A$1:$Z$2488,1485,'Live Data'!$C$20)="","",INDEX(SPOT_Import!$A$1:$Z$2488,1485,'Live Data'!$C$20)),"")</f>
        <v/>
      </c>
      <c r="J1485" s="54" t="str">
        <f>IFERROR(IF(INDEX(SPOT_Import!$A$1:$Z$2488,1485,'Live Data'!$C$21)="","",INDEX(SPOT_Import!$A$1:$Z$2488,1485,'Live Data'!$C$21)),"")</f>
        <v/>
      </c>
      <c r="K1485" s="54" t="str">
        <f>IFERROR(IF(INDEX(SPOT_Import!$A$1:$Z$2488,1485,'Live Data'!$C$22)="","",INDEX(SPOT_Import!$A$1:$Z$2488,1485,'Live Data'!$C$22)),"")</f>
        <v/>
      </c>
      <c r="L1485" s="55" t="str">
        <f t="shared" si="46"/>
        <v/>
      </c>
      <c r="M1485" s="55" t="str">
        <f t="shared" si="47"/>
        <v/>
      </c>
      <c r="N1485" s="55" t="str">
        <f>IF(A1485="","",IFERROR(INDEX('Cluster Map'!$A$4:$A$38,MATCH(M1485,'Cluster Map'!$B$4:$B$38,0)),"Unmapped"))</f>
        <v/>
      </c>
      <c r="O1485" s="55">
        <f>IF(A1485="",0,IF(COUNTIFS($A$2:A1485,A1485,$F$2:F1485,F1485,$L$2:L1485,L1485)=1,1,0))</f>
        <v>0</v>
      </c>
      <c r="P1485" s="55">
        <f>IF(A1485="",0,IF(AND(F1485="C&amp;T",COUNTIFS($A$2:A1485,A1485,$F$2:F1485,"C&amp;T")=1),1,0))</f>
        <v>0</v>
      </c>
    </row>
    <row r="1486" spans="1:16" x14ac:dyDescent="0.35">
      <c r="A1486" s="54" t="str">
        <f>IFERROR(IF(INDEX(SPOT_Import!$A$1:$Z$2488,1486,'Live Data'!$C$12)="","",INDEX(SPOT_Import!$A$1:$Z$2488,1486,'Live Data'!$C$12)),"")</f>
        <v/>
      </c>
      <c r="B1486" s="54" t="str">
        <f>IFERROR(IF(INDEX(SPOT_Import!$A$1:$Z$2488,1486,'Live Data'!$C$13)="","",INDEX(SPOT_Import!$A$1:$Z$2488,1486,'Live Data'!$C$13)),"")</f>
        <v/>
      </c>
      <c r="C1486" s="54" t="str">
        <f>IFERROR(IF(INDEX(SPOT_Import!$A$1:$Z$2488,1486,'Live Data'!$C$14)="","",INDEX(SPOT_Import!$A$1:$Z$2488,1486,'Live Data'!$C$14)),"")</f>
        <v/>
      </c>
      <c r="D1486" s="54" t="str">
        <f>IFERROR(IF(INDEX(SPOT_Import!$A$1:$Z$2488,1486,'Live Data'!$C$15)="","",INDEX(SPOT_Import!$A$1:$Z$2488,1486,'Live Data'!$C$15)),"")</f>
        <v/>
      </c>
      <c r="E1486" s="54" t="str">
        <f>IFERROR(IF(INDEX(SPOT_Import!$A$1:$Z$2488,1486,'Live Data'!$C$16)="","",INDEX(SPOT_Import!$A$1:$Z$2488,1486,'Live Data'!$C$16)),"")</f>
        <v/>
      </c>
      <c r="F1486" s="54" t="str">
        <f>IFERROR(IF(INDEX(SPOT_Import!$A$1:$Z$2488,1486,'Live Data'!$C$17)="","",INDEX(SPOT_Import!$A$1:$Z$2488,1486,'Live Data'!$C$17)),"")</f>
        <v/>
      </c>
      <c r="G1486" s="54" t="str">
        <f>IFERROR(IF(INDEX(SPOT_Import!$A$1:$Z$2488,1486,'Live Data'!$C$18)="","",INDEX(SPOT_Import!$A$1:$Z$2488,1486,'Live Data'!$C$18)),"")</f>
        <v/>
      </c>
      <c r="H1486" s="54" t="str">
        <f>IFERROR(IF(INDEX(SPOT_Import!$A$1:$Z$2488,1486,'Live Data'!$C$19)="","",INDEX(SPOT_Import!$A$1:$Z$2488,1486,'Live Data'!$C$19)),"")</f>
        <v/>
      </c>
      <c r="I1486" s="54" t="str">
        <f>IFERROR(IF(INDEX(SPOT_Import!$A$1:$Z$2488,1486,'Live Data'!$C$20)="","",INDEX(SPOT_Import!$A$1:$Z$2488,1486,'Live Data'!$C$20)),"")</f>
        <v/>
      </c>
      <c r="J1486" s="54" t="str">
        <f>IFERROR(IF(INDEX(SPOT_Import!$A$1:$Z$2488,1486,'Live Data'!$C$21)="","",INDEX(SPOT_Import!$A$1:$Z$2488,1486,'Live Data'!$C$21)),"")</f>
        <v/>
      </c>
      <c r="K1486" s="54" t="str">
        <f>IFERROR(IF(INDEX(SPOT_Import!$A$1:$Z$2488,1486,'Live Data'!$C$22)="","",INDEX(SPOT_Import!$A$1:$Z$2488,1486,'Live Data'!$C$22)),"")</f>
        <v/>
      </c>
      <c r="L1486" s="55" t="str">
        <f t="shared" si="46"/>
        <v/>
      </c>
      <c r="M1486" s="55" t="str">
        <f t="shared" si="47"/>
        <v/>
      </c>
      <c r="N1486" s="55" t="str">
        <f>IF(A1486="","",IFERROR(INDEX('Cluster Map'!$A$4:$A$38,MATCH(M1486,'Cluster Map'!$B$4:$B$38,0)),"Unmapped"))</f>
        <v/>
      </c>
      <c r="O1486" s="55">
        <f>IF(A1486="",0,IF(COUNTIFS($A$2:A1486,A1486,$F$2:F1486,F1486,$L$2:L1486,L1486)=1,1,0))</f>
        <v>0</v>
      </c>
      <c r="P1486" s="55">
        <f>IF(A1486="",0,IF(AND(F1486="C&amp;T",COUNTIFS($A$2:A1486,A1486,$F$2:F1486,"C&amp;T")=1),1,0))</f>
        <v>0</v>
      </c>
    </row>
    <row r="1487" spans="1:16" x14ac:dyDescent="0.35">
      <c r="A1487" s="54" t="str">
        <f>IFERROR(IF(INDEX(SPOT_Import!$A$1:$Z$2488,1487,'Live Data'!$C$12)="","",INDEX(SPOT_Import!$A$1:$Z$2488,1487,'Live Data'!$C$12)),"")</f>
        <v/>
      </c>
      <c r="B1487" s="54" t="str">
        <f>IFERROR(IF(INDEX(SPOT_Import!$A$1:$Z$2488,1487,'Live Data'!$C$13)="","",INDEX(SPOT_Import!$A$1:$Z$2488,1487,'Live Data'!$C$13)),"")</f>
        <v/>
      </c>
      <c r="C1487" s="54" t="str">
        <f>IFERROR(IF(INDEX(SPOT_Import!$A$1:$Z$2488,1487,'Live Data'!$C$14)="","",INDEX(SPOT_Import!$A$1:$Z$2488,1487,'Live Data'!$C$14)),"")</f>
        <v/>
      </c>
      <c r="D1487" s="54" t="str">
        <f>IFERROR(IF(INDEX(SPOT_Import!$A$1:$Z$2488,1487,'Live Data'!$C$15)="","",INDEX(SPOT_Import!$A$1:$Z$2488,1487,'Live Data'!$C$15)),"")</f>
        <v/>
      </c>
      <c r="E1487" s="54" t="str">
        <f>IFERROR(IF(INDEX(SPOT_Import!$A$1:$Z$2488,1487,'Live Data'!$C$16)="","",INDEX(SPOT_Import!$A$1:$Z$2488,1487,'Live Data'!$C$16)),"")</f>
        <v/>
      </c>
      <c r="F1487" s="54" t="str">
        <f>IFERROR(IF(INDEX(SPOT_Import!$A$1:$Z$2488,1487,'Live Data'!$C$17)="","",INDEX(SPOT_Import!$A$1:$Z$2488,1487,'Live Data'!$C$17)),"")</f>
        <v/>
      </c>
      <c r="G1487" s="54" t="str">
        <f>IFERROR(IF(INDEX(SPOT_Import!$A$1:$Z$2488,1487,'Live Data'!$C$18)="","",INDEX(SPOT_Import!$A$1:$Z$2488,1487,'Live Data'!$C$18)),"")</f>
        <v/>
      </c>
      <c r="H1487" s="54" t="str">
        <f>IFERROR(IF(INDEX(SPOT_Import!$A$1:$Z$2488,1487,'Live Data'!$C$19)="","",INDEX(SPOT_Import!$A$1:$Z$2488,1487,'Live Data'!$C$19)),"")</f>
        <v/>
      </c>
      <c r="I1487" s="54" t="str">
        <f>IFERROR(IF(INDEX(SPOT_Import!$A$1:$Z$2488,1487,'Live Data'!$C$20)="","",INDEX(SPOT_Import!$A$1:$Z$2488,1487,'Live Data'!$C$20)),"")</f>
        <v/>
      </c>
      <c r="J1487" s="54" t="str">
        <f>IFERROR(IF(INDEX(SPOT_Import!$A$1:$Z$2488,1487,'Live Data'!$C$21)="","",INDEX(SPOT_Import!$A$1:$Z$2488,1487,'Live Data'!$C$21)),"")</f>
        <v/>
      </c>
      <c r="K1487" s="54" t="str">
        <f>IFERROR(IF(INDEX(SPOT_Import!$A$1:$Z$2488,1487,'Live Data'!$C$22)="","",INDEX(SPOT_Import!$A$1:$Z$2488,1487,'Live Data'!$C$22)),"")</f>
        <v/>
      </c>
      <c r="L1487" s="55" t="str">
        <f t="shared" si="46"/>
        <v/>
      </c>
      <c r="M1487" s="55" t="str">
        <f t="shared" si="47"/>
        <v/>
      </c>
      <c r="N1487" s="55" t="str">
        <f>IF(A1487="","",IFERROR(INDEX('Cluster Map'!$A$4:$A$38,MATCH(M1487,'Cluster Map'!$B$4:$B$38,0)),"Unmapped"))</f>
        <v/>
      </c>
      <c r="O1487" s="55">
        <f>IF(A1487="",0,IF(COUNTIFS($A$2:A1487,A1487,$F$2:F1487,F1487,$L$2:L1487,L1487)=1,1,0))</f>
        <v>0</v>
      </c>
      <c r="P1487" s="55">
        <f>IF(A1487="",0,IF(AND(F1487="C&amp;T",COUNTIFS($A$2:A1487,A1487,$F$2:F1487,"C&amp;T")=1),1,0))</f>
        <v>0</v>
      </c>
    </row>
    <row r="1488" spans="1:16" x14ac:dyDescent="0.35">
      <c r="A1488" s="54" t="str">
        <f>IFERROR(IF(INDEX(SPOT_Import!$A$1:$Z$2488,1488,'Live Data'!$C$12)="","",INDEX(SPOT_Import!$A$1:$Z$2488,1488,'Live Data'!$C$12)),"")</f>
        <v/>
      </c>
      <c r="B1488" s="54" t="str">
        <f>IFERROR(IF(INDEX(SPOT_Import!$A$1:$Z$2488,1488,'Live Data'!$C$13)="","",INDEX(SPOT_Import!$A$1:$Z$2488,1488,'Live Data'!$C$13)),"")</f>
        <v/>
      </c>
      <c r="C1488" s="54" t="str">
        <f>IFERROR(IF(INDEX(SPOT_Import!$A$1:$Z$2488,1488,'Live Data'!$C$14)="","",INDEX(SPOT_Import!$A$1:$Z$2488,1488,'Live Data'!$C$14)),"")</f>
        <v/>
      </c>
      <c r="D1488" s="54" t="str">
        <f>IFERROR(IF(INDEX(SPOT_Import!$A$1:$Z$2488,1488,'Live Data'!$C$15)="","",INDEX(SPOT_Import!$A$1:$Z$2488,1488,'Live Data'!$C$15)),"")</f>
        <v/>
      </c>
      <c r="E1488" s="54" t="str">
        <f>IFERROR(IF(INDEX(SPOT_Import!$A$1:$Z$2488,1488,'Live Data'!$C$16)="","",INDEX(SPOT_Import!$A$1:$Z$2488,1488,'Live Data'!$C$16)),"")</f>
        <v/>
      </c>
      <c r="F1488" s="54" t="str">
        <f>IFERROR(IF(INDEX(SPOT_Import!$A$1:$Z$2488,1488,'Live Data'!$C$17)="","",INDEX(SPOT_Import!$A$1:$Z$2488,1488,'Live Data'!$C$17)),"")</f>
        <v/>
      </c>
      <c r="G1488" s="54" t="str">
        <f>IFERROR(IF(INDEX(SPOT_Import!$A$1:$Z$2488,1488,'Live Data'!$C$18)="","",INDEX(SPOT_Import!$A$1:$Z$2488,1488,'Live Data'!$C$18)),"")</f>
        <v/>
      </c>
      <c r="H1488" s="54" t="str">
        <f>IFERROR(IF(INDEX(SPOT_Import!$A$1:$Z$2488,1488,'Live Data'!$C$19)="","",INDEX(SPOT_Import!$A$1:$Z$2488,1488,'Live Data'!$C$19)),"")</f>
        <v/>
      </c>
      <c r="I1488" s="54" t="str">
        <f>IFERROR(IF(INDEX(SPOT_Import!$A$1:$Z$2488,1488,'Live Data'!$C$20)="","",INDEX(SPOT_Import!$A$1:$Z$2488,1488,'Live Data'!$C$20)),"")</f>
        <v/>
      </c>
      <c r="J1488" s="54" t="str">
        <f>IFERROR(IF(INDEX(SPOT_Import!$A$1:$Z$2488,1488,'Live Data'!$C$21)="","",INDEX(SPOT_Import!$A$1:$Z$2488,1488,'Live Data'!$C$21)),"")</f>
        <v/>
      </c>
      <c r="K1488" s="54" t="str">
        <f>IFERROR(IF(INDEX(SPOT_Import!$A$1:$Z$2488,1488,'Live Data'!$C$22)="","",INDEX(SPOT_Import!$A$1:$Z$2488,1488,'Live Data'!$C$22)),"")</f>
        <v/>
      </c>
      <c r="L1488" s="55" t="str">
        <f t="shared" si="46"/>
        <v/>
      </c>
      <c r="M1488" s="55" t="str">
        <f t="shared" si="47"/>
        <v/>
      </c>
      <c r="N1488" s="55" t="str">
        <f>IF(A1488="","",IFERROR(INDEX('Cluster Map'!$A$4:$A$38,MATCH(M1488,'Cluster Map'!$B$4:$B$38,0)),"Unmapped"))</f>
        <v/>
      </c>
      <c r="O1488" s="55">
        <f>IF(A1488="",0,IF(COUNTIFS($A$2:A1488,A1488,$F$2:F1488,F1488,$L$2:L1488,L1488)=1,1,0))</f>
        <v>0</v>
      </c>
      <c r="P1488" s="55">
        <f>IF(A1488="",0,IF(AND(F1488="C&amp;T",COUNTIFS($A$2:A1488,A1488,$F$2:F1488,"C&amp;T")=1),1,0))</f>
        <v>0</v>
      </c>
    </row>
    <row r="1489" spans="1:16" x14ac:dyDescent="0.35">
      <c r="A1489" s="54" t="str">
        <f>IFERROR(IF(INDEX(SPOT_Import!$A$1:$Z$2488,1489,'Live Data'!$C$12)="","",INDEX(SPOT_Import!$A$1:$Z$2488,1489,'Live Data'!$C$12)),"")</f>
        <v/>
      </c>
      <c r="B1489" s="54" t="str">
        <f>IFERROR(IF(INDEX(SPOT_Import!$A$1:$Z$2488,1489,'Live Data'!$C$13)="","",INDEX(SPOT_Import!$A$1:$Z$2488,1489,'Live Data'!$C$13)),"")</f>
        <v/>
      </c>
      <c r="C1489" s="54" t="str">
        <f>IFERROR(IF(INDEX(SPOT_Import!$A$1:$Z$2488,1489,'Live Data'!$C$14)="","",INDEX(SPOT_Import!$A$1:$Z$2488,1489,'Live Data'!$C$14)),"")</f>
        <v/>
      </c>
      <c r="D1489" s="54" t="str">
        <f>IFERROR(IF(INDEX(SPOT_Import!$A$1:$Z$2488,1489,'Live Data'!$C$15)="","",INDEX(SPOT_Import!$A$1:$Z$2488,1489,'Live Data'!$C$15)),"")</f>
        <v/>
      </c>
      <c r="E1489" s="54" t="str">
        <f>IFERROR(IF(INDEX(SPOT_Import!$A$1:$Z$2488,1489,'Live Data'!$C$16)="","",INDEX(SPOT_Import!$A$1:$Z$2488,1489,'Live Data'!$C$16)),"")</f>
        <v/>
      </c>
      <c r="F1489" s="54" t="str">
        <f>IFERROR(IF(INDEX(SPOT_Import!$A$1:$Z$2488,1489,'Live Data'!$C$17)="","",INDEX(SPOT_Import!$A$1:$Z$2488,1489,'Live Data'!$C$17)),"")</f>
        <v/>
      </c>
      <c r="G1489" s="54" t="str">
        <f>IFERROR(IF(INDEX(SPOT_Import!$A$1:$Z$2488,1489,'Live Data'!$C$18)="","",INDEX(SPOT_Import!$A$1:$Z$2488,1489,'Live Data'!$C$18)),"")</f>
        <v/>
      </c>
      <c r="H1489" s="54" t="str">
        <f>IFERROR(IF(INDEX(SPOT_Import!$A$1:$Z$2488,1489,'Live Data'!$C$19)="","",INDEX(SPOT_Import!$A$1:$Z$2488,1489,'Live Data'!$C$19)),"")</f>
        <v/>
      </c>
      <c r="I1489" s="54" t="str">
        <f>IFERROR(IF(INDEX(SPOT_Import!$A$1:$Z$2488,1489,'Live Data'!$C$20)="","",INDEX(SPOT_Import!$A$1:$Z$2488,1489,'Live Data'!$C$20)),"")</f>
        <v/>
      </c>
      <c r="J1489" s="54" t="str">
        <f>IFERROR(IF(INDEX(SPOT_Import!$A$1:$Z$2488,1489,'Live Data'!$C$21)="","",INDEX(SPOT_Import!$A$1:$Z$2488,1489,'Live Data'!$C$21)),"")</f>
        <v/>
      </c>
      <c r="K1489" s="54" t="str">
        <f>IFERROR(IF(INDEX(SPOT_Import!$A$1:$Z$2488,1489,'Live Data'!$C$22)="","",INDEX(SPOT_Import!$A$1:$Z$2488,1489,'Live Data'!$C$22)),"")</f>
        <v/>
      </c>
      <c r="L1489" s="55" t="str">
        <f t="shared" si="46"/>
        <v/>
      </c>
      <c r="M1489" s="55" t="str">
        <f t="shared" si="47"/>
        <v/>
      </c>
      <c r="N1489" s="55" t="str">
        <f>IF(A1489="","",IFERROR(INDEX('Cluster Map'!$A$4:$A$38,MATCH(M1489,'Cluster Map'!$B$4:$B$38,0)),"Unmapped"))</f>
        <v/>
      </c>
      <c r="O1489" s="55">
        <f>IF(A1489="",0,IF(COUNTIFS($A$2:A1489,A1489,$F$2:F1489,F1489,$L$2:L1489,L1489)=1,1,0))</f>
        <v>0</v>
      </c>
      <c r="P1489" s="55">
        <f>IF(A1489="",0,IF(AND(F1489="C&amp;T",COUNTIFS($A$2:A1489,A1489,$F$2:F1489,"C&amp;T")=1),1,0))</f>
        <v>0</v>
      </c>
    </row>
    <row r="1490" spans="1:16" x14ac:dyDescent="0.35">
      <c r="A1490" s="54" t="str">
        <f>IFERROR(IF(INDEX(SPOT_Import!$A$1:$Z$2488,1490,'Live Data'!$C$12)="","",INDEX(SPOT_Import!$A$1:$Z$2488,1490,'Live Data'!$C$12)),"")</f>
        <v/>
      </c>
      <c r="B1490" s="54" t="str">
        <f>IFERROR(IF(INDEX(SPOT_Import!$A$1:$Z$2488,1490,'Live Data'!$C$13)="","",INDEX(SPOT_Import!$A$1:$Z$2488,1490,'Live Data'!$C$13)),"")</f>
        <v/>
      </c>
      <c r="C1490" s="54" t="str">
        <f>IFERROR(IF(INDEX(SPOT_Import!$A$1:$Z$2488,1490,'Live Data'!$C$14)="","",INDEX(SPOT_Import!$A$1:$Z$2488,1490,'Live Data'!$C$14)),"")</f>
        <v/>
      </c>
      <c r="D1490" s="54" t="str">
        <f>IFERROR(IF(INDEX(SPOT_Import!$A$1:$Z$2488,1490,'Live Data'!$C$15)="","",INDEX(SPOT_Import!$A$1:$Z$2488,1490,'Live Data'!$C$15)),"")</f>
        <v/>
      </c>
      <c r="E1490" s="54" t="str">
        <f>IFERROR(IF(INDEX(SPOT_Import!$A$1:$Z$2488,1490,'Live Data'!$C$16)="","",INDEX(SPOT_Import!$A$1:$Z$2488,1490,'Live Data'!$C$16)),"")</f>
        <v/>
      </c>
      <c r="F1490" s="54" t="str">
        <f>IFERROR(IF(INDEX(SPOT_Import!$A$1:$Z$2488,1490,'Live Data'!$C$17)="","",INDEX(SPOT_Import!$A$1:$Z$2488,1490,'Live Data'!$C$17)),"")</f>
        <v/>
      </c>
      <c r="G1490" s="54" t="str">
        <f>IFERROR(IF(INDEX(SPOT_Import!$A$1:$Z$2488,1490,'Live Data'!$C$18)="","",INDEX(SPOT_Import!$A$1:$Z$2488,1490,'Live Data'!$C$18)),"")</f>
        <v/>
      </c>
      <c r="H1490" s="54" t="str">
        <f>IFERROR(IF(INDEX(SPOT_Import!$A$1:$Z$2488,1490,'Live Data'!$C$19)="","",INDEX(SPOT_Import!$A$1:$Z$2488,1490,'Live Data'!$C$19)),"")</f>
        <v/>
      </c>
      <c r="I1490" s="54" t="str">
        <f>IFERROR(IF(INDEX(SPOT_Import!$A$1:$Z$2488,1490,'Live Data'!$C$20)="","",INDEX(SPOT_Import!$A$1:$Z$2488,1490,'Live Data'!$C$20)),"")</f>
        <v/>
      </c>
      <c r="J1490" s="54" t="str">
        <f>IFERROR(IF(INDEX(SPOT_Import!$A$1:$Z$2488,1490,'Live Data'!$C$21)="","",INDEX(SPOT_Import!$A$1:$Z$2488,1490,'Live Data'!$C$21)),"")</f>
        <v/>
      </c>
      <c r="K1490" s="54" t="str">
        <f>IFERROR(IF(INDEX(SPOT_Import!$A$1:$Z$2488,1490,'Live Data'!$C$22)="","",INDEX(SPOT_Import!$A$1:$Z$2488,1490,'Live Data'!$C$22)),"")</f>
        <v/>
      </c>
      <c r="L1490" s="55" t="str">
        <f t="shared" si="46"/>
        <v/>
      </c>
      <c r="M1490" s="55" t="str">
        <f t="shared" si="47"/>
        <v/>
      </c>
      <c r="N1490" s="55" t="str">
        <f>IF(A1490="","",IFERROR(INDEX('Cluster Map'!$A$4:$A$38,MATCH(M1490,'Cluster Map'!$B$4:$B$38,0)),"Unmapped"))</f>
        <v/>
      </c>
      <c r="O1490" s="55">
        <f>IF(A1490="",0,IF(COUNTIFS($A$2:A1490,A1490,$F$2:F1490,F1490,$L$2:L1490,L1490)=1,1,0))</f>
        <v>0</v>
      </c>
      <c r="P1490" s="55">
        <f>IF(A1490="",0,IF(AND(F1490="C&amp;T",COUNTIFS($A$2:A1490,A1490,$F$2:F1490,"C&amp;T")=1),1,0))</f>
        <v>0</v>
      </c>
    </row>
    <row r="1491" spans="1:16" x14ac:dyDescent="0.35">
      <c r="A1491" s="54" t="str">
        <f>IFERROR(IF(INDEX(SPOT_Import!$A$1:$Z$2488,1491,'Live Data'!$C$12)="","",INDEX(SPOT_Import!$A$1:$Z$2488,1491,'Live Data'!$C$12)),"")</f>
        <v/>
      </c>
      <c r="B1491" s="54" t="str">
        <f>IFERROR(IF(INDEX(SPOT_Import!$A$1:$Z$2488,1491,'Live Data'!$C$13)="","",INDEX(SPOT_Import!$A$1:$Z$2488,1491,'Live Data'!$C$13)),"")</f>
        <v/>
      </c>
      <c r="C1491" s="54" t="str">
        <f>IFERROR(IF(INDEX(SPOT_Import!$A$1:$Z$2488,1491,'Live Data'!$C$14)="","",INDEX(SPOT_Import!$A$1:$Z$2488,1491,'Live Data'!$C$14)),"")</f>
        <v/>
      </c>
      <c r="D1491" s="54" t="str">
        <f>IFERROR(IF(INDEX(SPOT_Import!$A$1:$Z$2488,1491,'Live Data'!$C$15)="","",INDEX(SPOT_Import!$A$1:$Z$2488,1491,'Live Data'!$C$15)),"")</f>
        <v/>
      </c>
      <c r="E1491" s="54" t="str">
        <f>IFERROR(IF(INDEX(SPOT_Import!$A$1:$Z$2488,1491,'Live Data'!$C$16)="","",INDEX(SPOT_Import!$A$1:$Z$2488,1491,'Live Data'!$C$16)),"")</f>
        <v/>
      </c>
      <c r="F1491" s="54" t="str">
        <f>IFERROR(IF(INDEX(SPOT_Import!$A$1:$Z$2488,1491,'Live Data'!$C$17)="","",INDEX(SPOT_Import!$A$1:$Z$2488,1491,'Live Data'!$C$17)),"")</f>
        <v/>
      </c>
      <c r="G1491" s="54" t="str">
        <f>IFERROR(IF(INDEX(SPOT_Import!$A$1:$Z$2488,1491,'Live Data'!$C$18)="","",INDEX(SPOT_Import!$A$1:$Z$2488,1491,'Live Data'!$C$18)),"")</f>
        <v/>
      </c>
      <c r="H1491" s="54" t="str">
        <f>IFERROR(IF(INDEX(SPOT_Import!$A$1:$Z$2488,1491,'Live Data'!$C$19)="","",INDEX(SPOT_Import!$A$1:$Z$2488,1491,'Live Data'!$C$19)),"")</f>
        <v/>
      </c>
      <c r="I1491" s="54" t="str">
        <f>IFERROR(IF(INDEX(SPOT_Import!$A$1:$Z$2488,1491,'Live Data'!$C$20)="","",INDEX(SPOT_Import!$A$1:$Z$2488,1491,'Live Data'!$C$20)),"")</f>
        <v/>
      </c>
      <c r="J1491" s="54" t="str">
        <f>IFERROR(IF(INDEX(SPOT_Import!$A$1:$Z$2488,1491,'Live Data'!$C$21)="","",INDEX(SPOT_Import!$A$1:$Z$2488,1491,'Live Data'!$C$21)),"")</f>
        <v/>
      </c>
      <c r="K1491" s="54" t="str">
        <f>IFERROR(IF(INDEX(SPOT_Import!$A$1:$Z$2488,1491,'Live Data'!$C$22)="","",INDEX(SPOT_Import!$A$1:$Z$2488,1491,'Live Data'!$C$22)),"")</f>
        <v/>
      </c>
      <c r="L1491" s="55" t="str">
        <f t="shared" si="46"/>
        <v/>
      </c>
      <c r="M1491" s="55" t="str">
        <f t="shared" si="47"/>
        <v/>
      </c>
      <c r="N1491" s="55" t="str">
        <f>IF(A1491="","",IFERROR(INDEX('Cluster Map'!$A$4:$A$38,MATCH(M1491,'Cluster Map'!$B$4:$B$38,0)),"Unmapped"))</f>
        <v/>
      </c>
      <c r="O1491" s="55">
        <f>IF(A1491="",0,IF(COUNTIFS($A$2:A1491,A1491,$F$2:F1491,F1491,$L$2:L1491,L1491)=1,1,0))</f>
        <v>0</v>
      </c>
      <c r="P1491" s="55">
        <f>IF(A1491="",0,IF(AND(F1491="C&amp;T",COUNTIFS($A$2:A1491,A1491,$F$2:F1491,"C&amp;T")=1),1,0))</f>
        <v>0</v>
      </c>
    </row>
    <row r="1492" spans="1:16" x14ac:dyDescent="0.35">
      <c r="A1492" s="54" t="str">
        <f>IFERROR(IF(INDEX(SPOT_Import!$A$1:$Z$2488,1492,'Live Data'!$C$12)="","",INDEX(SPOT_Import!$A$1:$Z$2488,1492,'Live Data'!$C$12)),"")</f>
        <v/>
      </c>
      <c r="B1492" s="54" t="str">
        <f>IFERROR(IF(INDEX(SPOT_Import!$A$1:$Z$2488,1492,'Live Data'!$C$13)="","",INDEX(SPOT_Import!$A$1:$Z$2488,1492,'Live Data'!$C$13)),"")</f>
        <v/>
      </c>
      <c r="C1492" s="54" t="str">
        <f>IFERROR(IF(INDEX(SPOT_Import!$A$1:$Z$2488,1492,'Live Data'!$C$14)="","",INDEX(SPOT_Import!$A$1:$Z$2488,1492,'Live Data'!$C$14)),"")</f>
        <v/>
      </c>
      <c r="D1492" s="54" t="str">
        <f>IFERROR(IF(INDEX(SPOT_Import!$A$1:$Z$2488,1492,'Live Data'!$C$15)="","",INDEX(SPOT_Import!$A$1:$Z$2488,1492,'Live Data'!$C$15)),"")</f>
        <v/>
      </c>
      <c r="E1492" s="54" t="str">
        <f>IFERROR(IF(INDEX(SPOT_Import!$A$1:$Z$2488,1492,'Live Data'!$C$16)="","",INDEX(SPOT_Import!$A$1:$Z$2488,1492,'Live Data'!$C$16)),"")</f>
        <v/>
      </c>
      <c r="F1492" s="54" t="str">
        <f>IFERROR(IF(INDEX(SPOT_Import!$A$1:$Z$2488,1492,'Live Data'!$C$17)="","",INDEX(SPOT_Import!$A$1:$Z$2488,1492,'Live Data'!$C$17)),"")</f>
        <v/>
      </c>
      <c r="G1492" s="54" t="str">
        <f>IFERROR(IF(INDEX(SPOT_Import!$A$1:$Z$2488,1492,'Live Data'!$C$18)="","",INDEX(SPOT_Import!$A$1:$Z$2488,1492,'Live Data'!$C$18)),"")</f>
        <v/>
      </c>
      <c r="H1492" s="54" t="str">
        <f>IFERROR(IF(INDEX(SPOT_Import!$A$1:$Z$2488,1492,'Live Data'!$C$19)="","",INDEX(SPOT_Import!$A$1:$Z$2488,1492,'Live Data'!$C$19)),"")</f>
        <v/>
      </c>
      <c r="I1492" s="54" t="str">
        <f>IFERROR(IF(INDEX(SPOT_Import!$A$1:$Z$2488,1492,'Live Data'!$C$20)="","",INDEX(SPOT_Import!$A$1:$Z$2488,1492,'Live Data'!$C$20)),"")</f>
        <v/>
      </c>
      <c r="J1492" s="54" t="str">
        <f>IFERROR(IF(INDEX(SPOT_Import!$A$1:$Z$2488,1492,'Live Data'!$C$21)="","",INDEX(SPOT_Import!$A$1:$Z$2488,1492,'Live Data'!$C$21)),"")</f>
        <v/>
      </c>
      <c r="K1492" s="54" t="str">
        <f>IFERROR(IF(INDEX(SPOT_Import!$A$1:$Z$2488,1492,'Live Data'!$C$22)="","",INDEX(SPOT_Import!$A$1:$Z$2488,1492,'Live Data'!$C$22)),"")</f>
        <v/>
      </c>
      <c r="L1492" s="55" t="str">
        <f t="shared" si="46"/>
        <v/>
      </c>
      <c r="M1492" s="55" t="str">
        <f t="shared" si="47"/>
        <v/>
      </c>
      <c r="N1492" s="55" t="str">
        <f>IF(A1492="","",IFERROR(INDEX('Cluster Map'!$A$4:$A$38,MATCH(M1492,'Cluster Map'!$B$4:$B$38,0)),"Unmapped"))</f>
        <v/>
      </c>
      <c r="O1492" s="55">
        <f>IF(A1492="",0,IF(COUNTIFS($A$2:A1492,A1492,$F$2:F1492,F1492,$L$2:L1492,L1492)=1,1,0))</f>
        <v>0</v>
      </c>
      <c r="P1492" s="55">
        <f>IF(A1492="",0,IF(AND(F1492="C&amp;T",COUNTIFS($A$2:A1492,A1492,$F$2:F1492,"C&amp;T")=1),1,0))</f>
        <v>0</v>
      </c>
    </row>
    <row r="1493" spans="1:16" x14ac:dyDescent="0.35">
      <c r="A1493" s="54" t="str">
        <f>IFERROR(IF(INDEX(SPOT_Import!$A$1:$Z$2488,1493,'Live Data'!$C$12)="","",INDEX(SPOT_Import!$A$1:$Z$2488,1493,'Live Data'!$C$12)),"")</f>
        <v/>
      </c>
      <c r="B1493" s="54" t="str">
        <f>IFERROR(IF(INDEX(SPOT_Import!$A$1:$Z$2488,1493,'Live Data'!$C$13)="","",INDEX(SPOT_Import!$A$1:$Z$2488,1493,'Live Data'!$C$13)),"")</f>
        <v/>
      </c>
      <c r="C1493" s="54" t="str">
        <f>IFERROR(IF(INDEX(SPOT_Import!$A$1:$Z$2488,1493,'Live Data'!$C$14)="","",INDEX(SPOT_Import!$A$1:$Z$2488,1493,'Live Data'!$C$14)),"")</f>
        <v/>
      </c>
      <c r="D1493" s="54" t="str">
        <f>IFERROR(IF(INDEX(SPOT_Import!$A$1:$Z$2488,1493,'Live Data'!$C$15)="","",INDEX(SPOT_Import!$A$1:$Z$2488,1493,'Live Data'!$C$15)),"")</f>
        <v/>
      </c>
      <c r="E1493" s="54" t="str">
        <f>IFERROR(IF(INDEX(SPOT_Import!$A$1:$Z$2488,1493,'Live Data'!$C$16)="","",INDEX(SPOT_Import!$A$1:$Z$2488,1493,'Live Data'!$C$16)),"")</f>
        <v/>
      </c>
      <c r="F1493" s="54" t="str">
        <f>IFERROR(IF(INDEX(SPOT_Import!$A$1:$Z$2488,1493,'Live Data'!$C$17)="","",INDEX(SPOT_Import!$A$1:$Z$2488,1493,'Live Data'!$C$17)),"")</f>
        <v/>
      </c>
      <c r="G1493" s="54" t="str">
        <f>IFERROR(IF(INDEX(SPOT_Import!$A$1:$Z$2488,1493,'Live Data'!$C$18)="","",INDEX(SPOT_Import!$A$1:$Z$2488,1493,'Live Data'!$C$18)),"")</f>
        <v/>
      </c>
      <c r="H1493" s="54" t="str">
        <f>IFERROR(IF(INDEX(SPOT_Import!$A$1:$Z$2488,1493,'Live Data'!$C$19)="","",INDEX(SPOT_Import!$A$1:$Z$2488,1493,'Live Data'!$C$19)),"")</f>
        <v/>
      </c>
      <c r="I1493" s="54" t="str">
        <f>IFERROR(IF(INDEX(SPOT_Import!$A$1:$Z$2488,1493,'Live Data'!$C$20)="","",INDEX(SPOT_Import!$A$1:$Z$2488,1493,'Live Data'!$C$20)),"")</f>
        <v/>
      </c>
      <c r="J1493" s="54" t="str">
        <f>IFERROR(IF(INDEX(SPOT_Import!$A$1:$Z$2488,1493,'Live Data'!$C$21)="","",INDEX(SPOT_Import!$A$1:$Z$2488,1493,'Live Data'!$C$21)),"")</f>
        <v/>
      </c>
      <c r="K1493" s="54" t="str">
        <f>IFERROR(IF(INDEX(SPOT_Import!$A$1:$Z$2488,1493,'Live Data'!$C$22)="","",INDEX(SPOT_Import!$A$1:$Z$2488,1493,'Live Data'!$C$22)),"")</f>
        <v/>
      </c>
      <c r="L1493" s="55" t="str">
        <f t="shared" si="46"/>
        <v/>
      </c>
      <c r="M1493" s="55" t="str">
        <f t="shared" si="47"/>
        <v/>
      </c>
      <c r="N1493" s="55" t="str">
        <f>IF(A1493="","",IFERROR(INDEX('Cluster Map'!$A$4:$A$38,MATCH(M1493,'Cluster Map'!$B$4:$B$38,0)),"Unmapped"))</f>
        <v/>
      </c>
      <c r="O1493" s="55">
        <f>IF(A1493="",0,IF(COUNTIFS($A$2:A1493,A1493,$F$2:F1493,F1493,$L$2:L1493,L1493)=1,1,0))</f>
        <v>0</v>
      </c>
      <c r="P1493" s="55">
        <f>IF(A1493="",0,IF(AND(F1493="C&amp;T",COUNTIFS($A$2:A1493,A1493,$F$2:F1493,"C&amp;T")=1),1,0))</f>
        <v>0</v>
      </c>
    </row>
    <row r="1494" spans="1:16" x14ac:dyDescent="0.35">
      <c r="A1494" s="54" t="str">
        <f>IFERROR(IF(INDEX(SPOT_Import!$A$1:$Z$2488,1494,'Live Data'!$C$12)="","",INDEX(SPOT_Import!$A$1:$Z$2488,1494,'Live Data'!$C$12)),"")</f>
        <v/>
      </c>
      <c r="B1494" s="54" t="str">
        <f>IFERROR(IF(INDEX(SPOT_Import!$A$1:$Z$2488,1494,'Live Data'!$C$13)="","",INDEX(SPOT_Import!$A$1:$Z$2488,1494,'Live Data'!$C$13)),"")</f>
        <v/>
      </c>
      <c r="C1494" s="54" t="str">
        <f>IFERROR(IF(INDEX(SPOT_Import!$A$1:$Z$2488,1494,'Live Data'!$C$14)="","",INDEX(SPOT_Import!$A$1:$Z$2488,1494,'Live Data'!$C$14)),"")</f>
        <v/>
      </c>
      <c r="D1494" s="54" t="str">
        <f>IFERROR(IF(INDEX(SPOT_Import!$A$1:$Z$2488,1494,'Live Data'!$C$15)="","",INDEX(SPOT_Import!$A$1:$Z$2488,1494,'Live Data'!$C$15)),"")</f>
        <v/>
      </c>
      <c r="E1494" s="54" t="str">
        <f>IFERROR(IF(INDEX(SPOT_Import!$A$1:$Z$2488,1494,'Live Data'!$C$16)="","",INDEX(SPOT_Import!$A$1:$Z$2488,1494,'Live Data'!$C$16)),"")</f>
        <v/>
      </c>
      <c r="F1494" s="54" t="str">
        <f>IFERROR(IF(INDEX(SPOT_Import!$A$1:$Z$2488,1494,'Live Data'!$C$17)="","",INDEX(SPOT_Import!$A$1:$Z$2488,1494,'Live Data'!$C$17)),"")</f>
        <v/>
      </c>
      <c r="G1494" s="54" t="str">
        <f>IFERROR(IF(INDEX(SPOT_Import!$A$1:$Z$2488,1494,'Live Data'!$C$18)="","",INDEX(SPOT_Import!$A$1:$Z$2488,1494,'Live Data'!$C$18)),"")</f>
        <v/>
      </c>
      <c r="H1494" s="54" t="str">
        <f>IFERROR(IF(INDEX(SPOT_Import!$A$1:$Z$2488,1494,'Live Data'!$C$19)="","",INDEX(SPOT_Import!$A$1:$Z$2488,1494,'Live Data'!$C$19)),"")</f>
        <v/>
      </c>
      <c r="I1494" s="54" t="str">
        <f>IFERROR(IF(INDEX(SPOT_Import!$A$1:$Z$2488,1494,'Live Data'!$C$20)="","",INDEX(SPOT_Import!$A$1:$Z$2488,1494,'Live Data'!$C$20)),"")</f>
        <v/>
      </c>
      <c r="J1494" s="54" t="str">
        <f>IFERROR(IF(INDEX(SPOT_Import!$A$1:$Z$2488,1494,'Live Data'!$C$21)="","",INDEX(SPOT_Import!$A$1:$Z$2488,1494,'Live Data'!$C$21)),"")</f>
        <v/>
      </c>
      <c r="K1494" s="54" t="str">
        <f>IFERROR(IF(INDEX(SPOT_Import!$A$1:$Z$2488,1494,'Live Data'!$C$22)="","",INDEX(SPOT_Import!$A$1:$Z$2488,1494,'Live Data'!$C$22)),"")</f>
        <v/>
      </c>
      <c r="L1494" s="55" t="str">
        <f t="shared" si="46"/>
        <v/>
      </c>
      <c r="M1494" s="55" t="str">
        <f t="shared" si="47"/>
        <v/>
      </c>
      <c r="N1494" s="55" t="str">
        <f>IF(A1494="","",IFERROR(INDEX('Cluster Map'!$A$4:$A$38,MATCH(M1494,'Cluster Map'!$B$4:$B$38,0)),"Unmapped"))</f>
        <v/>
      </c>
      <c r="O1494" s="55">
        <f>IF(A1494="",0,IF(COUNTIFS($A$2:A1494,A1494,$F$2:F1494,F1494,$L$2:L1494,L1494)=1,1,0))</f>
        <v>0</v>
      </c>
      <c r="P1494" s="55">
        <f>IF(A1494="",0,IF(AND(F1494="C&amp;T",COUNTIFS($A$2:A1494,A1494,$F$2:F1494,"C&amp;T")=1),1,0))</f>
        <v>0</v>
      </c>
    </row>
    <row r="1495" spans="1:16" x14ac:dyDescent="0.35">
      <c r="A1495" s="54" t="str">
        <f>IFERROR(IF(INDEX(SPOT_Import!$A$1:$Z$2488,1495,'Live Data'!$C$12)="","",INDEX(SPOT_Import!$A$1:$Z$2488,1495,'Live Data'!$C$12)),"")</f>
        <v/>
      </c>
      <c r="B1495" s="54" t="str">
        <f>IFERROR(IF(INDEX(SPOT_Import!$A$1:$Z$2488,1495,'Live Data'!$C$13)="","",INDEX(SPOT_Import!$A$1:$Z$2488,1495,'Live Data'!$C$13)),"")</f>
        <v/>
      </c>
      <c r="C1495" s="54" t="str">
        <f>IFERROR(IF(INDEX(SPOT_Import!$A$1:$Z$2488,1495,'Live Data'!$C$14)="","",INDEX(SPOT_Import!$A$1:$Z$2488,1495,'Live Data'!$C$14)),"")</f>
        <v/>
      </c>
      <c r="D1495" s="54" t="str">
        <f>IFERROR(IF(INDEX(SPOT_Import!$A$1:$Z$2488,1495,'Live Data'!$C$15)="","",INDEX(SPOT_Import!$A$1:$Z$2488,1495,'Live Data'!$C$15)),"")</f>
        <v/>
      </c>
      <c r="E1495" s="54" t="str">
        <f>IFERROR(IF(INDEX(SPOT_Import!$A$1:$Z$2488,1495,'Live Data'!$C$16)="","",INDEX(SPOT_Import!$A$1:$Z$2488,1495,'Live Data'!$C$16)),"")</f>
        <v/>
      </c>
      <c r="F1495" s="54" t="str">
        <f>IFERROR(IF(INDEX(SPOT_Import!$A$1:$Z$2488,1495,'Live Data'!$C$17)="","",INDEX(SPOT_Import!$A$1:$Z$2488,1495,'Live Data'!$C$17)),"")</f>
        <v/>
      </c>
      <c r="G1495" s="54" t="str">
        <f>IFERROR(IF(INDEX(SPOT_Import!$A$1:$Z$2488,1495,'Live Data'!$C$18)="","",INDEX(SPOT_Import!$A$1:$Z$2488,1495,'Live Data'!$C$18)),"")</f>
        <v/>
      </c>
      <c r="H1495" s="54" t="str">
        <f>IFERROR(IF(INDEX(SPOT_Import!$A$1:$Z$2488,1495,'Live Data'!$C$19)="","",INDEX(SPOT_Import!$A$1:$Z$2488,1495,'Live Data'!$C$19)),"")</f>
        <v/>
      </c>
      <c r="I1495" s="54" t="str">
        <f>IFERROR(IF(INDEX(SPOT_Import!$A$1:$Z$2488,1495,'Live Data'!$C$20)="","",INDEX(SPOT_Import!$A$1:$Z$2488,1495,'Live Data'!$C$20)),"")</f>
        <v/>
      </c>
      <c r="J1495" s="54" t="str">
        <f>IFERROR(IF(INDEX(SPOT_Import!$A$1:$Z$2488,1495,'Live Data'!$C$21)="","",INDEX(SPOT_Import!$A$1:$Z$2488,1495,'Live Data'!$C$21)),"")</f>
        <v/>
      </c>
      <c r="K1495" s="54" t="str">
        <f>IFERROR(IF(INDEX(SPOT_Import!$A$1:$Z$2488,1495,'Live Data'!$C$22)="","",INDEX(SPOT_Import!$A$1:$Z$2488,1495,'Live Data'!$C$22)),"")</f>
        <v/>
      </c>
      <c r="L1495" s="55" t="str">
        <f t="shared" si="46"/>
        <v/>
      </c>
      <c r="M1495" s="55" t="str">
        <f t="shared" si="47"/>
        <v/>
      </c>
      <c r="N1495" s="55" t="str">
        <f>IF(A1495="","",IFERROR(INDEX('Cluster Map'!$A$4:$A$38,MATCH(M1495,'Cluster Map'!$B$4:$B$38,0)),"Unmapped"))</f>
        <v/>
      </c>
      <c r="O1495" s="55">
        <f>IF(A1495="",0,IF(COUNTIFS($A$2:A1495,A1495,$F$2:F1495,F1495,$L$2:L1495,L1495)=1,1,0))</f>
        <v>0</v>
      </c>
      <c r="P1495" s="55">
        <f>IF(A1495="",0,IF(AND(F1495="C&amp;T",COUNTIFS($A$2:A1495,A1495,$F$2:F1495,"C&amp;T")=1),1,0))</f>
        <v>0</v>
      </c>
    </row>
    <row r="1496" spans="1:16" x14ac:dyDescent="0.35">
      <c r="A1496" s="54" t="str">
        <f>IFERROR(IF(INDEX(SPOT_Import!$A$1:$Z$2488,1496,'Live Data'!$C$12)="","",INDEX(SPOT_Import!$A$1:$Z$2488,1496,'Live Data'!$C$12)),"")</f>
        <v/>
      </c>
      <c r="B1496" s="54" t="str">
        <f>IFERROR(IF(INDEX(SPOT_Import!$A$1:$Z$2488,1496,'Live Data'!$C$13)="","",INDEX(SPOT_Import!$A$1:$Z$2488,1496,'Live Data'!$C$13)),"")</f>
        <v/>
      </c>
      <c r="C1496" s="54" t="str">
        <f>IFERROR(IF(INDEX(SPOT_Import!$A$1:$Z$2488,1496,'Live Data'!$C$14)="","",INDEX(SPOT_Import!$A$1:$Z$2488,1496,'Live Data'!$C$14)),"")</f>
        <v/>
      </c>
      <c r="D1496" s="54" t="str">
        <f>IFERROR(IF(INDEX(SPOT_Import!$A$1:$Z$2488,1496,'Live Data'!$C$15)="","",INDEX(SPOT_Import!$A$1:$Z$2488,1496,'Live Data'!$C$15)),"")</f>
        <v/>
      </c>
      <c r="E1496" s="54" t="str">
        <f>IFERROR(IF(INDEX(SPOT_Import!$A$1:$Z$2488,1496,'Live Data'!$C$16)="","",INDEX(SPOT_Import!$A$1:$Z$2488,1496,'Live Data'!$C$16)),"")</f>
        <v/>
      </c>
      <c r="F1496" s="54" t="str">
        <f>IFERROR(IF(INDEX(SPOT_Import!$A$1:$Z$2488,1496,'Live Data'!$C$17)="","",INDEX(SPOT_Import!$A$1:$Z$2488,1496,'Live Data'!$C$17)),"")</f>
        <v/>
      </c>
      <c r="G1496" s="54" t="str">
        <f>IFERROR(IF(INDEX(SPOT_Import!$A$1:$Z$2488,1496,'Live Data'!$C$18)="","",INDEX(SPOT_Import!$A$1:$Z$2488,1496,'Live Data'!$C$18)),"")</f>
        <v/>
      </c>
      <c r="H1496" s="54" t="str">
        <f>IFERROR(IF(INDEX(SPOT_Import!$A$1:$Z$2488,1496,'Live Data'!$C$19)="","",INDEX(SPOT_Import!$A$1:$Z$2488,1496,'Live Data'!$C$19)),"")</f>
        <v/>
      </c>
      <c r="I1496" s="54" t="str">
        <f>IFERROR(IF(INDEX(SPOT_Import!$A$1:$Z$2488,1496,'Live Data'!$C$20)="","",INDEX(SPOT_Import!$A$1:$Z$2488,1496,'Live Data'!$C$20)),"")</f>
        <v/>
      </c>
      <c r="J1496" s="54" t="str">
        <f>IFERROR(IF(INDEX(SPOT_Import!$A$1:$Z$2488,1496,'Live Data'!$C$21)="","",INDEX(SPOT_Import!$A$1:$Z$2488,1496,'Live Data'!$C$21)),"")</f>
        <v/>
      </c>
      <c r="K1496" s="54" t="str">
        <f>IFERROR(IF(INDEX(SPOT_Import!$A$1:$Z$2488,1496,'Live Data'!$C$22)="","",INDEX(SPOT_Import!$A$1:$Z$2488,1496,'Live Data'!$C$22)),"")</f>
        <v/>
      </c>
      <c r="L1496" s="55" t="str">
        <f t="shared" si="46"/>
        <v/>
      </c>
      <c r="M1496" s="55" t="str">
        <f t="shared" si="47"/>
        <v/>
      </c>
      <c r="N1496" s="55" t="str">
        <f>IF(A1496="","",IFERROR(INDEX('Cluster Map'!$A$4:$A$38,MATCH(M1496,'Cluster Map'!$B$4:$B$38,0)),"Unmapped"))</f>
        <v/>
      </c>
      <c r="O1496" s="55">
        <f>IF(A1496="",0,IF(COUNTIFS($A$2:A1496,A1496,$F$2:F1496,F1496,$L$2:L1496,L1496)=1,1,0))</f>
        <v>0</v>
      </c>
      <c r="P1496" s="55">
        <f>IF(A1496="",0,IF(AND(F1496="C&amp;T",COUNTIFS($A$2:A1496,A1496,$F$2:F1496,"C&amp;T")=1),1,0))</f>
        <v>0</v>
      </c>
    </row>
    <row r="1497" spans="1:16" x14ac:dyDescent="0.35">
      <c r="A1497" s="54" t="str">
        <f>IFERROR(IF(INDEX(SPOT_Import!$A$1:$Z$2488,1497,'Live Data'!$C$12)="","",INDEX(SPOT_Import!$A$1:$Z$2488,1497,'Live Data'!$C$12)),"")</f>
        <v/>
      </c>
      <c r="B1497" s="54" t="str">
        <f>IFERROR(IF(INDEX(SPOT_Import!$A$1:$Z$2488,1497,'Live Data'!$C$13)="","",INDEX(SPOT_Import!$A$1:$Z$2488,1497,'Live Data'!$C$13)),"")</f>
        <v/>
      </c>
      <c r="C1497" s="54" t="str">
        <f>IFERROR(IF(INDEX(SPOT_Import!$A$1:$Z$2488,1497,'Live Data'!$C$14)="","",INDEX(SPOT_Import!$A$1:$Z$2488,1497,'Live Data'!$C$14)),"")</f>
        <v/>
      </c>
      <c r="D1497" s="54" t="str">
        <f>IFERROR(IF(INDEX(SPOT_Import!$A$1:$Z$2488,1497,'Live Data'!$C$15)="","",INDEX(SPOT_Import!$A$1:$Z$2488,1497,'Live Data'!$C$15)),"")</f>
        <v/>
      </c>
      <c r="E1497" s="54" t="str">
        <f>IFERROR(IF(INDEX(SPOT_Import!$A$1:$Z$2488,1497,'Live Data'!$C$16)="","",INDEX(SPOT_Import!$A$1:$Z$2488,1497,'Live Data'!$C$16)),"")</f>
        <v/>
      </c>
      <c r="F1497" s="54" t="str">
        <f>IFERROR(IF(INDEX(SPOT_Import!$A$1:$Z$2488,1497,'Live Data'!$C$17)="","",INDEX(SPOT_Import!$A$1:$Z$2488,1497,'Live Data'!$C$17)),"")</f>
        <v/>
      </c>
      <c r="G1497" s="54" t="str">
        <f>IFERROR(IF(INDEX(SPOT_Import!$A$1:$Z$2488,1497,'Live Data'!$C$18)="","",INDEX(SPOT_Import!$A$1:$Z$2488,1497,'Live Data'!$C$18)),"")</f>
        <v/>
      </c>
      <c r="H1497" s="54" t="str">
        <f>IFERROR(IF(INDEX(SPOT_Import!$A$1:$Z$2488,1497,'Live Data'!$C$19)="","",INDEX(SPOT_Import!$A$1:$Z$2488,1497,'Live Data'!$C$19)),"")</f>
        <v/>
      </c>
      <c r="I1497" s="54" t="str">
        <f>IFERROR(IF(INDEX(SPOT_Import!$A$1:$Z$2488,1497,'Live Data'!$C$20)="","",INDEX(SPOT_Import!$A$1:$Z$2488,1497,'Live Data'!$C$20)),"")</f>
        <v/>
      </c>
      <c r="J1497" s="54" t="str">
        <f>IFERROR(IF(INDEX(SPOT_Import!$A$1:$Z$2488,1497,'Live Data'!$C$21)="","",INDEX(SPOT_Import!$A$1:$Z$2488,1497,'Live Data'!$C$21)),"")</f>
        <v/>
      </c>
      <c r="K1497" s="54" t="str">
        <f>IFERROR(IF(INDEX(SPOT_Import!$A$1:$Z$2488,1497,'Live Data'!$C$22)="","",INDEX(SPOT_Import!$A$1:$Z$2488,1497,'Live Data'!$C$22)),"")</f>
        <v/>
      </c>
      <c r="L1497" s="55" t="str">
        <f t="shared" si="46"/>
        <v/>
      </c>
      <c r="M1497" s="55" t="str">
        <f t="shared" si="47"/>
        <v/>
      </c>
      <c r="N1497" s="55" t="str">
        <f>IF(A1497="","",IFERROR(INDEX('Cluster Map'!$A$4:$A$38,MATCH(M1497,'Cluster Map'!$B$4:$B$38,0)),"Unmapped"))</f>
        <v/>
      </c>
      <c r="O1497" s="55">
        <f>IF(A1497="",0,IF(COUNTIFS($A$2:A1497,A1497,$F$2:F1497,F1497,$L$2:L1497,L1497)=1,1,0))</f>
        <v>0</v>
      </c>
      <c r="P1497" s="55">
        <f>IF(A1497="",0,IF(AND(F1497="C&amp;T",COUNTIFS($A$2:A1497,A1497,$F$2:F1497,"C&amp;T")=1),1,0))</f>
        <v>0</v>
      </c>
    </row>
    <row r="1498" spans="1:16" x14ac:dyDescent="0.35">
      <c r="A1498" s="54" t="str">
        <f>IFERROR(IF(INDEX(SPOT_Import!$A$1:$Z$2488,1498,'Live Data'!$C$12)="","",INDEX(SPOT_Import!$A$1:$Z$2488,1498,'Live Data'!$C$12)),"")</f>
        <v/>
      </c>
      <c r="B1498" s="54" t="str">
        <f>IFERROR(IF(INDEX(SPOT_Import!$A$1:$Z$2488,1498,'Live Data'!$C$13)="","",INDEX(SPOT_Import!$A$1:$Z$2488,1498,'Live Data'!$C$13)),"")</f>
        <v/>
      </c>
      <c r="C1498" s="54" t="str">
        <f>IFERROR(IF(INDEX(SPOT_Import!$A$1:$Z$2488,1498,'Live Data'!$C$14)="","",INDEX(SPOT_Import!$A$1:$Z$2488,1498,'Live Data'!$C$14)),"")</f>
        <v/>
      </c>
      <c r="D1498" s="54" t="str">
        <f>IFERROR(IF(INDEX(SPOT_Import!$A$1:$Z$2488,1498,'Live Data'!$C$15)="","",INDEX(SPOT_Import!$A$1:$Z$2488,1498,'Live Data'!$C$15)),"")</f>
        <v/>
      </c>
      <c r="E1498" s="54" t="str">
        <f>IFERROR(IF(INDEX(SPOT_Import!$A$1:$Z$2488,1498,'Live Data'!$C$16)="","",INDEX(SPOT_Import!$A$1:$Z$2488,1498,'Live Data'!$C$16)),"")</f>
        <v/>
      </c>
      <c r="F1498" s="54" t="str">
        <f>IFERROR(IF(INDEX(SPOT_Import!$A$1:$Z$2488,1498,'Live Data'!$C$17)="","",INDEX(SPOT_Import!$A$1:$Z$2488,1498,'Live Data'!$C$17)),"")</f>
        <v/>
      </c>
      <c r="G1498" s="54" t="str">
        <f>IFERROR(IF(INDEX(SPOT_Import!$A$1:$Z$2488,1498,'Live Data'!$C$18)="","",INDEX(SPOT_Import!$A$1:$Z$2488,1498,'Live Data'!$C$18)),"")</f>
        <v/>
      </c>
      <c r="H1498" s="54" t="str">
        <f>IFERROR(IF(INDEX(SPOT_Import!$A$1:$Z$2488,1498,'Live Data'!$C$19)="","",INDEX(SPOT_Import!$A$1:$Z$2488,1498,'Live Data'!$C$19)),"")</f>
        <v/>
      </c>
      <c r="I1498" s="54" t="str">
        <f>IFERROR(IF(INDEX(SPOT_Import!$A$1:$Z$2488,1498,'Live Data'!$C$20)="","",INDEX(SPOT_Import!$A$1:$Z$2488,1498,'Live Data'!$C$20)),"")</f>
        <v/>
      </c>
      <c r="J1498" s="54" t="str">
        <f>IFERROR(IF(INDEX(SPOT_Import!$A$1:$Z$2488,1498,'Live Data'!$C$21)="","",INDEX(SPOT_Import!$A$1:$Z$2488,1498,'Live Data'!$C$21)),"")</f>
        <v/>
      </c>
      <c r="K1498" s="54" t="str">
        <f>IFERROR(IF(INDEX(SPOT_Import!$A$1:$Z$2488,1498,'Live Data'!$C$22)="","",INDEX(SPOT_Import!$A$1:$Z$2488,1498,'Live Data'!$C$22)),"")</f>
        <v/>
      </c>
      <c r="L1498" s="55" t="str">
        <f t="shared" si="46"/>
        <v/>
      </c>
      <c r="M1498" s="55" t="str">
        <f t="shared" si="47"/>
        <v/>
      </c>
      <c r="N1498" s="55" t="str">
        <f>IF(A1498="","",IFERROR(INDEX('Cluster Map'!$A$4:$A$38,MATCH(M1498,'Cluster Map'!$B$4:$B$38,0)),"Unmapped"))</f>
        <v/>
      </c>
      <c r="O1498" s="55">
        <f>IF(A1498="",0,IF(COUNTIFS($A$2:A1498,A1498,$F$2:F1498,F1498,$L$2:L1498,L1498)=1,1,0))</f>
        <v>0</v>
      </c>
      <c r="P1498" s="55">
        <f>IF(A1498="",0,IF(AND(F1498="C&amp;T",COUNTIFS($A$2:A1498,A1498,$F$2:F1498,"C&amp;T")=1),1,0))</f>
        <v>0</v>
      </c>
    </row>
    <row r="1499" spans="1:16" x14ac:dyDescent="0.35">
      <c r="A1499" s="54" t="str">
        <f>IFERROR(IF(INDEX(SPOT_Import!$A$1:$Z$2488,1499,'Live Data'!$C$12)="","",INDEX(SPOT_Import!$A$1:$Z$2488,1499,'Live Data'!$C$12)),"")</f>
        <v/>
      </c>
      <c r="B1499" s="54" t="str">
        <f>IFERROR(IF(INDEX(SPOT_Import!$A$1:$Z$2488,1499,'Live Data'!$C$13)="","",INDEX(SPOT_Import!$A$1:$Z$2488,1499,'Live Data'!$C$13)),"")</f>
        <v/>
      </c>
      <c r="C1499" s="54" t="str">
        <f>IFERROR(IF(INDEX(SPOT_Import!$A$1:$Z$2488,1499,'Live Data'!$C$14)="","",INDEX(SPOT_Import!$A$1:$Z$2488,1499,'Live Data'!$C$14)),"")</f>
        <v/>
      </c>
      <c r="D1499" s="54" t="str">
        <f>IFERROR(IF(INDEX(SPOT_Import!$A$1:$Z$2488,1499,'Live Data'!$C$15)="","",INDEX(SPOT_Import!$A$1:$Z$2488,1499,'Live Data'!$C$15)),"")</f>
        <v/>
      </c>
      <c r="E1499" s="54" t="str">
        <f>IFERROR(IF(INDEX(SPOT_Import!$A$1:$Z$2488,1499,'Live Data'!$C$16)="","",INDEX(SPOT_Import!$A$1:$Z$2488,1499,'Live Data'!$C$16)),"")</f>
        <v/>
      </c>
      <c r="F1499" s="54" t="str">
        <f>IFERROR(IF(INDEX(SPOT_Import!$A$1:$Z$2488,1499,'Live Data'!$C$17)="","",INDEX(SPOT_Import!$A$1:$Z$2488,1499,'Live Data'!$C$17)),"")</f>
        <v/>
      </c>
      <c r="G1499" s="54" t="str">
        <f>IFERROR(IF(INDEX(SPOT_Import!$A$1:$Z$2488,1499,'Live Data'!$C$18)="","",INDEX(SPOT_Import!$A$1:$Z$2488,1499,'Live Data'!$C$18)),"")</f>
        <v/>
      </c>
      <c r="H1499" s="54" t="str">
        <f>IFERROR(IF(INDEX(SPOT_Import!$A$1:$Z$2488,1499,'Live Data'!$C$19)="","",INDEX(SPOT_Import!$A$1:$Z$2488,1499,'Live Data'!$C$19)),"")</f>
        <v/>
      </c>
      <c r="I1499" s="54" t="str">
        <f>IFERROR(IF(INDEX(SPOT_Import!$A$1:$Z$2488,1499,'Live Data'!$C$20)="","",INDEX(SPOT_Import!$A$1:$Z$2488,1499,'Live Data'!$C$20)),"")</f>
        <v/>
      </c>
      <c r="J1499" s="54" t="str">
        <f>IFERROR(IF(INDEX(SPOT_Import!$A$1:$Z$2488,1499,'Live Data'!$C$21)="","",INDEX(SPOT_Import!$A$1:$Z$2488,1499,'Live Data'!$C$21)),"")</f>
        <v/>
      </c>
      <c r="K1499" s="54" t="str">
        <f>IFERROR(IF(INDEX(SPOT_Import!$A$1:$Z$2488,1499,'Live Data'!$C$22)="","",INDEX(SPOT_Import!$A$1:$Z$2488,1499,'Live Data'!$C$22)),"")</f>
        <v/>
      </c>
      <c r="L1499" s="55" t="str">
        <f t="shared" si="46"/>
        <v/>
      </c>
      <c r="M1499" s="55" t="str">
        <f t="shared" si="47"/>
        <v/>
      </c>
      <c r="N1499" s="55" t="str">
        <f>IF(A1499="","",IFERROR(INDEX('Cluster Map'!$A$4:$A$38,MATCH(M1499,'Cluster Map'!$B$4:$B$38,0)),"Unmapped"))</f>
        <v/>
      </c>
      <c r="O1499" s="55">
        <f>IF(A1499="",0,IF(COUNTIFS($A$2:A1499,A1499,$F$2:F1499,F1499,$L$2:L1499,L1499)=1,1,0))</f>
        <v>0</v>
      </c>
      <c r="P1499" s="55">
        <f>IF(A1499="",0,IF(AND(F1499="C&amp;T",COUNTIFS($A$2:A1499,A1499,$F$2:F1499,"C&amp;T")=1),1,0))</f>
        <v>0</v>
      </c>
    </row>
    <row r="1500" spans="1:16" x14ac:dyDescent="0.35">
      <c r="A1500" s="54" t="str">
        <f>IFERROR(IF(INDEX(SPOT_Import!$A$1:$Z$2488,1500,'Live Data'!$C$12)="","",INDEX(SPOT_Import!$A$1:$Z$2488,1500,'Live Data'!$C$12)),"")</f>
        <v/>
      </c>
      <c r="B1500" s="54" t="str">
        <f>IFERROR(IF(INDEX(SPOT_Import!$A$1:$Z$2488,1500,'Live Data'!$C$13)="","",INDEX(SPOT_Import!$A$1:$Z$2488,1500,'Live Data'!$C$13)),"")</f>
        <v/>
      </c>
      <c r="C1500" s="54" t="str">
        <f>IFERROR(IF(INDEX(SPOT_Import!$A$1:$Z$2488,1500,'Live Data'!$C$14)="","",INDEX(SPOT_Import!$A$1:$Z$2488,1500,'Live Data'!$C$14)),"")</f>
        <v/>
      </c>
      <c r="D1500" s="54" t="str">
        <f>IFERROR(IF(INDEX(SPOT_Import!$A$1:$Z$2488,1500,'Live Data'!$C$15)="","",INDEX(SPOT_Import!$A$1:$Z$2488,1500,'Live Data'!$C$15)),"")</f>
        <v/>
      </c>
      <c r="E1500" s="54" t="str">
        <f>IFERROR(IF(INDEX(SPOT_Import!$A$1:$Z$2488,1500,'Live Data'!$C$16)="","",INDEX(SPOT_Import!$A$1:$Z$2488,1500,'Live Data'!$C$16)),"")</f>
        <v/>
      </c>
      <c r="F1500" s="54" t="str">
        <f>IFERROR(IF(INDEX(SPOT_Import!$A$1:$Z$2488,1500,'Live Data'!$C$17)="","",INDEX(SPOT_Import!$A$1:$Z$2488,1500,'Live Data'!$C$17)),"")</f>
        <v/>
      </c>
      <c r="G1500" s="54" t="str">
        <f>IFERROR(IF(INDEX(SPOT_Import!$A$1:$Z$2488,1500,'Live Data'!$C$18)="","",INDEX(SPOT_Import!$A$1:$Z$2488,1500,'Live Data'!$C$18)),"")</f>
        <v/>
      </c>
      <c r="H1500" s="54" t="str">
        <f>IFERROR(IF(INDEX(SPOT_Import!$A$1:$Z$2488,1500,'Live Data'!$C$19)="","",INDEX(SPOT_Import!$A$1:$Z$2488,1500,'Live Data'!$C$19)),"")</f>
        <v/>
      </c>
      <c r="I1500" s="54" t="str">
        <f>IFERROR(IF(INDEX(SPOT_Import!$A$1:$Z$2488,1500,'Live Data'!$C$20)="","",INDEX(SPOT_Import!$A$1:$Z$2488,1500,'Live Data'!$C$20)),"")</f>
        <v/>
      </c>
      <c r="J1500" s="54" t="str">
        <f>IFERROR(IF(INDEX(SPOT_Import!$A$1:$Z$2488,1500,'Live Data'!$C$21)="","",INDEX(SPOT_Import!$A$1:$Z$2488,1500,'Live Data'!$C$21)),"")</f>
        <v/>
      </c>
      <c r="K1500" s="54" t="str">
        <f>IFERROR(IF(INDEX(SPOT_Import!$A$1:$Z$2488,1500,'Live Data'!$C$22)="","",INDEX(SPOT_Import!$A$1:$Z$2488,1500,'Live Data'!$C$22)),"")</f>
        <v/>
      </c>
      <c r="L1500" s="55" t="str">
        <f t="shared" si="46"/>
        <v/>
      </c>
      <c r="M1500" s="55" t="str">
        <f t="shared" si="47"/>
        <v/>
      </c>
      <c r="N1500" s="55" t="str">
        <f>IF(A1500="","",IFERROR(INDEX('Cluster Map'!$A$4:$A$38,MATCH(M1500,'Cluster Map'!$B$4:$B$38,0)),"Unmapped"))</f>
        <v/>
      </c>
      <c r="O1500" s="55">
        <f>IF(A1500="",0,IF(COUNTIFS($A$2:A1500,A1500,$F$2:F1500,F1500,$L$2:L1500,L1500)=1,1,0))</f>
        <v>0</v>
      </c>
      <c r="P1500" s="55">
        <f>IF(A1500="",0,IF(AND(F1500="C&amp;T",COUNTIFS($A$2:A1500,A1500,$F$2:F1500,"C&amp;T")=1),1,0))</f>
        <v>0</v>
      </c>
    </row>
    <row r="1501" spans="1:16" x14ac:dyDescent="0.35">
      <c r="A1501" s="54" t="str">
        <f>IFERROR(IF(INDEX(SPOT_Import!$A$1:$Z$2488,1501,'Live Data'!$C$12)="","",INDEX(SPOT_Import!$A$1:$Z$2488,1501,'Live Data'!$C$12)),"")</f>
        <v/>
      </c>
      <c r="B1501" s="54" t="str">
        <f>IFERROR(IF(INDEX(SPOT_Import!$A$1:$Z$2488,1501,'Live Data'!$C$13)="","",INDEX(SPOT_Import!$A$1:$Z$2488,1501,'Live Data'!$C$13)),"")</f>
        <v/>
      </c>
      <c r="C1501" s="54" t="str">
        <f>IFERROR(IF(INDEX(SPOT_Import!$A$1:$Z$2488,1501,'Live Data'!$C$14)="","",INDEX(SPOT_Import!$A$1:$Z$2488,1501,'Live Data'!$C$14)),"")</f>
        <v/>
      </c>
      <c r="D1501" s="54" t="str">
        <f>IFERROR(IF(INDEX(SPOT_Import!$A$1:$Z$2488,1501,'Live Data'!$C$15)="","",INDEX(SPOT_Import!$A$1:$Z$2488,1501,'Live Data'!$C$15)),"")</f>
        <v/>
      </c>
      <c r="E1501" s="54" t="str">
        <f>IFERROR(IF(INDEX(SPOT_Import!$A$1:$Z$2488,1501,'Live Data'!$C$16)="","",INDEX(SPOT_Import!$A$1:$Z$2488,1501,'Live Data'!$C$16)),"")</f>
        <v/>
      </c>
      <c r="F1501" s="54" t="str">
        <f>IFERROR(IF(INDEX(SPOT_Import!$A$1:$Z$2488,1501,'Live Data'!$C$17)="","",INDEX(SPOT_Import!$A$1:$Z$2488,1501,'Live Data'!$C$17)),"")</f>
        <v/>
      </c>
      <c r="G1501" s="54" t="str">
        <f>IFERROR(IF(INDEX(SPOT_Import!$A$1:$Z$2488,1501,'Live Data'!$C$18)="","",INDEX(SPOT_Import!$A$1:$Z$2488,1501,'Live Data'!$C$18)),"")</f>
        <v/>
      </c>
      <c r="H1501" s="54" t="str">
        <f>IFERROR(IF(INDEX(SPOT_Import!$A$1:$Z$2488,1501,'Live Data'!$C$19)="","",INDEX(SPOT_Import!$A$1:$Z$2488,1501,'Live Data'!$C$19)),"")</f>
        <v/>
      </c>
      <c r="I1501" s="54" t="str">
        <f>IFERROR(IF(INDEX(SPOT_Import!$A$1:$Z$2488,1501,'Live Data'!$C$20)="","",INDEX(SPOT_Import!$A$1:$Z$2488,1501,'Live Data'!$C$20)),"")</f>
        <v/>
      </c>
      <c r="J1501" s="54" t="str">
        <f>IFERROR(IF(INDEX(SPOT_Import!$A$1:$Z$2488,1501,'Live Data'!$C$21)="","",INDEX(SPOT_Import!$A$1:$Z$2488,1501,'Live Data'!$C$21)),"")</f>
        <v/>
      </c>
      <c r="K1501" s="54" t="str">
        <f>IFERROR(IF(INDEX(SPOT_Import!$A$1:$Z$2488,1501,'Live Data'!$C$22)="","",INDEX(SPOT_Import!$A$1:$Z$2488,1501,'Live Data'!$C$22)),"")</f>
        <v/>
      </c>
      <c r="L1501" s="55" t="str">
        <f t="shared" si="46"/>
        <v/>
      </c>
      <c r="M1501" s="55" t="str">
        <f t="shared" si="47"/>
        <v/>
      </c>
      <c r="N1501" s="55" t="str">
        <f>IF(A1501="","",IFERROR(INDEX('Cluster Map'!$A$4:$A$38,MATCH(M1501,'Cluster Map'!$B$4:$B$38,0)),"Unmapped"))</f>
        <v/>
      </c>
      <c r="O1501" s="55">
        <f>IF(A1501="",0,IF(COUNTIFS($A$2:A1501,A1501,$F$2:F1501,F1501,$L$2:L1501,L1501)=1,1,0))</f>
        <v>0</v>
      </c>
      <c r="P1501" s="55">
        <f>IF(A1501="",0,IF(AND(F1501="C&amp;T",COUNTIFS($A$2:A1501,A1501,$F$2:F1501,"C&amp;T")=1),1,0))</f>
        <v>0</v>
      </c>
    </row>
    <row r="1502" spans="1:16" x14ac:dyDescent="0.35">
      <c r="A1502" s="54" t="str">
        <f>IFERROR(IF(INDEX(SPOT_Import!$A$1:$Z$2488,1502,'Live Data'!$C$12)="","",INDEX(SPOT_Import!$A$1:$Z$2488,1502,'Live Data'!$C$12)),"")</f>
        <v/>
      </c>
      <c r="B1502" s="54" t="str">
        <f>IFERROR(IF(INDEX(SPOT_Import!$A$1:$Z$2488,1502,'Live Data'!$C$13)="","",INDEX(SPOT_Import!$A$1:$Z$2488,1502,'Live Data'!$C$13)),"")</f>
        <v/>
      </c>
      <c r="C1502" s="54" t="str">
        <f>IFERROR(IF(INDEX(SPOT_Import!$A$1:$Z$2488,1502,'Live Data'!$C$14)="","",INDEX(SPOT_Import!$A$1:$Z$2488,1502,'Live Data'!$C$14)),"")</f>
        <v/>
      </c>
      <c r="D1502" s="54" t="str">
        <f>IFERROR(IF(INDEX(SPOT_Import!$A$1:$Z$2488,1502,'Live Data'!$C$15)="","",INDEX(SPOT_Import!$A$1:$Z$2488,1502,'Live Data'!$C$15)),"")</f>
        <v/>
      </c>
      <c r="E1502" s="54" t="str">
        <f>IFERROR(IF(INDEX(SPOT_Import!$A$1:$Z$2488,1502,'Live Data'!$C$16)="","",INDEX(SPOT_Import!$A$1:$Z$2488,1502,'Live Data'!$C$16)),"")</f>
        <v/>
      </c>
      <c r="F1502" s="54" t="str">
        <f>IFERROR(IF(INDEX(SPOT_Import!$A$1:$Z$2488,1502,'Live Data'!$C$17)="","",INDEX(SPOT_Import!$A$1:$Z$2488,1502,'Live Data'!$C$17)),"")</f>
        <v/>
      </c>
      <c r="G1502" s="54" t="str">
        <f>IFERROR(IF(INDEX(SPOT_Import!$A$1:$Z$2488,1502,'Live Data'!$C$18)="","",INDEX(SPOT_Import!$A$1:$Z$2488,1502,'Live Data'!$C$18)),"")</f>
        <v/>
      </c>
      <c r="H1502" s="54" t="str">
        <f>IFERROR(IF(INDEX(SPOT_Import!$A$1:$Z$2488,1502,'Live Data'!$C$19)="","",INDEX(SPOT_Import!$A$1:$Z$2488,1502,'Live Data'!$C$19)),"")</f>
        <v/>
      </c>
      <c r="I1502" s="54" t="str">
        <f>IFERROR(IF(INDEX(SPOT_Import!$A$1:$Z$2488,1502,'Live Data'!$C$20)="","",INDEX(SPOT_Import!$A$1:$Z$2488,1502,'Live Data'!$C$20)),"")</f>
        <v/>
      </c>
      <c r="J1502" s="54" t="str">
        <f>IFERROR(IF(INDEX(SPOT_Import!$A$1:$Z$2488,1502,'Live Data'!$C$21)="","",INDEX(SPOT_Import!$A$1:$Z$2488,1502,'Live Data'!$C$21)),"")</f>
        <v/>
      </c>
      <c r="K1502" s="54" t="str">
        <f>IFERROR(IF(INDEX(SPOT_Import!$A$1:$Z$2488,1502,'Live Data'!$C$22)="","",INDEX(SPOT_Import!$A$1:$Z$2488,1502,'Live Data'!$C$22)),"")</f>
        <v/>
      </c>
      <c r="L1502" s="55" t="str">
        <f t="shared" si="46"/>
        <v/>
      </c>
      <c r="M1502" s="55" t="str">
        <f t="shared" si="47"/>
        <v/>
      </c>
      <c r="N1502" s="55" t="str">
        <f>IF(A1502="","",IFERROR(INDEX('Cluster Map'!$A$4:$A$38,MATCH(M1502,'Cluster Map'!$B$4:$B$38,0)),"Unmapped"))</f>
        <v/>
      </c>
      <c r="O1502" s="55">
        <f>IF(A1502="",0,IF(COUNTIFS($A$2:A1502,A1502,$F$2:F1502,F1502,$L$2:L1502,L1502)=1,1,0))</f>
        <v>0</v>
      </c>
      <c r="P1502" s="55">
        <f>IF(A1502="",0,IF(AND(F1502="C&amp;T",COUNTIFS($A$2:A1502,A1502,$F$2:F1502,"C&amp;T")=1),1,0))</f>
        <v>0</v>
      </c>
    </row>
    <row r="1503" spans="1:16" x14ac:dyDescent="0.35">
      <c r="A1503" s="54" t="str">
        <f>IFERROR(IF(INDEX(SPOT_Import!$A$1:$Z$2488,1503,'Live Data'!$C$12)="","",INDEX(SPOT_Import!$A$1:$Z$2488,1503,'Live Data'!$C$12)),"")</f>
        <v/>
      </c>
      <c r="B1503" s="54" t="str">
        <f>IFERROR(IF(INDEX(SPOT_Import!$A$1:$Z$2488,1503,'Live Data'!$C$13)="","",INDEX(SPOT_Import!$A$1:$Z$2488,1503,'Live Data'!$C$13)),"")</f>
        <v/>
      </c>
      <c r="C1503" s="54" t="str">
        <f>IFERROR(IF(INDEX(SPOT_Import!$A$1:$Z$2488,1503,'Live Data'!$C$14)="","",INDEX(SPOT_Import!$A$1:$Z$2488,1503,'Live Data'!$C$14)),"")</f>
        <v/>
      </c>
      <c r="D1503" s="54" t="str">
        <f>IFERROR(IF(INDEX(SPOT_Import!$A$1:$Z$2488,1503,'Live Data'!$C$15)="","",INDEX(SPOT_Import!$A$1:$Z$2488,1503,'Live Data'!$C$15)),"")</f>
        <v/>
      </c>
      <c r="E1503" s="54" t="str">
        <f>IFERROR(IF(INDEX(SPOT_Import!$A$1:$Z$2488,1503,'Live Data'!$C$16)="","",INDEX(SPOT_Import!$A$1:$Z$2488,1503,'Live Data'!$C$16)),"")</f>
        <v/>
      </c>
      <c r="F1503" s="54" t="str">
        <f>IFERROR(IF(INDEX(SPOT_Import!$A$1:$Z$2488,1503,'Live Data'!$C$17)="","",INDEX(SPOT_Import!$A$1:$Z$2488,1503,'Live Data'!$C$17)),"")</f>
        <v/>
      </c>
      <c r="G1503" s="54" t="str">
        <f>IFERROR(IF(INDEX(SPOT_Import!$A$1:$Z$2488,1503,'Live Data'!$C$18)="","",INDEX(SPOT_Import!$A$1:$Z$2488,1503,'Live Data'!$C$18)),"")</f>
        <v/>
      </c>
      <c r="H1503" s="54" t="str">
        <f>IFERROR(IF(INDEX(SPOT_Import!$A$1:$Z$2488,1503,'Live Data'!$C$19)="","",INDEX(SPOT_Import!$A$1:$Z$2488,1503,'Live Data'!$C$19)),"")</f>
        <v/>
      </c>
      <c r="I1503" s="54" t="str">
        <f>IFERROR(IF(INDEX(SPOT_Import!$A$1:$Z$2488,1503,'Live Data'!$C$20)="","",INDEX(SPOT_Import!$A$1:$Z$2488,1503,'Live Data'!$C$20)),"")</f>
        <v/>
      </c>
      <c r="J1503" s="54" t="str">
        <f>IFERROR(IF(INDEX(SPOT_Import!$A$1:$Z$2488,1503,'Live Data'!$C$21)="","",INDEX(SPOT_Import!$A$1:$Z$2488,1503,'Live Data'!$C$21)),"")</f>
        <v/>
      </c>
      <c r="K1503" s="54" t="str">
        <f>IFERROR(IF(INDEX(SPOT_Import!$A$1:$Z$2488,1503,'Live Data'!$C$22)="","",INDEX(SPOT_Import!$A$1:$Z$2488,1503,'Live Data'!$C$22)),"")</f>
        <v/>
      </c>
      <c r="L1503" s="55" t="str">
        <f t="shared" si="46"/>
        <v/>
      </c>
      <c r="M1503" s="55" t="str">
        <f t="shared" si="47"/>
        <v/>
      </c>
      <c r="N1503" s="55" t="str">
        <f>IF(A1503="","",IFERROR(INDEX('Cluster Map'!$A$4:$A$38,MATCH(M1503,'Cluster Map'!$B$4:$B$38,0)),"Unmapped"))</f>
        <v/>
      </c>
      <c r="O1503" s="55">
        <f>IF(A1503="",0,IF(COUNTIFS($A$2:A1503,A1503,$F$2:F1503,F1503,$L$2:L1503,L1503)=1,1,0))</f>
        <v>0</v>
      </c>
      <c r="P1503" s="55">
        <f>IF(A1503="",0,IF(AND(F1503="C&amp;T",COUNTIFS($A$2:A1503,A1503,$F$2:F1503,"C&amp;T")=1),1,0))</f>
        <v>0</v>
      </c>
    </row>
    <row r="1504" spans="1:16" x14ac:dyDescent="0.35">
      <c r="A1504" s="54" t="str">
        <f>IFERROR(IF(INDEX(SPOT_Import!$A$1:$Z$2488,1504,'Live Data'!$C$12)="","",INDEX(SPOT_Import!$A$1:$Z$2488,1504,'Live Data'!$C$12)),"")</f>
        <v/>
      </c>
      <c r="B1504" s="54" t="str">
        <f>IFERROR(IF(INDEX(SPOT_Import!$A$1:$Z$2488,1504,'Live Data'!$C$13)="","",INDEX(SPOT_Import!$A$1:$Z$2488,1504,'Live Data'!$C$13)),"")</f>
        <v/>
      </c>
      <c r="C1504" s="54" t="str">
        <f>IFERROR(IF(INDEX(SPOT_Import!$A$1:$Z$2488,1504,'Live Data'!$C$14)="","",INDEX(SPOT_Import!$A$1:$Z$2488,1504,'Live Data'!$C$14)),"")</f>
        <v/>
      </c>
      <c r="D1504" s="54" t="str">
        <f>IFERROR(IF(INDEX(SPOT_Import!$A$1:$Z$2488,1504,'Live Data'!$C$15)="","",INDEX(SPOT_Import!$A$1:$Z$2488,1504,'Live Data'!$C$15)),"")</f>
        <v/>
      </c>
      <c r="E1504" s="54" t="str">
        <f>IFERROR(IF(INDEX(SPOT_Import!$A$1:$Z$2488,1504,'Live Data'!$C$16)="","",INDEX(SPOT_Import!$A$1:$Z$2488,1504,'Live Data'!$C$16)),"")</f>
        <v/>
      </c>
      <c r="F1504" s="54" t="str">
        <f>IFERROR(IF(INDEX(SPOT_Import!$A$1:$Z$2488,1504,'Live Data'!$C$17)="","",INDEX(SPOT_Import!$A$1:$Z$2488,1504,'Live Data'!$C$17)),"")</f>
        <v/>
      </c>
      <c r="G1504" s="54" t="str">
        <f>IFERROR(IF(INDEX(SPOT_Import!$A$1:$Z$2488,1504,'Live Data'!$C$18)="","",INDEX(SPOT_Import!$A$1:$Z$2488,1504,'Live Data'!$C$18)),"")</f>
        <v/>
      </c>
      <c r="H1504" s="54" t="str">
        <f>IFERROR(IF(INDEX(SPOT_Import!$A$1:$Z$2488,1504,'Live Data'!$C$19)="","",INDEX(SPOT_Import!$A$1:$Z$2488,1504,'Live Data'!$C$19)),"")</f>
        <v/>
      </c>
      <c r="I1504" s="54" t="str">
        <f>IFERROR(IF(INDEX(SPOT_Import!$A$1:$Z$2488,1504,'Live Data'!$C$20)="","",INDEX(SPOT_Import!$A$1:$Z$2488,1504,'Live Data'!$C$20)),"")</f>
        <v/>
      </c>
      <c r="J1504" s="54" t="str">
        <f>IFERROR(IF(INDEX(SPOT_Import!$A$1:$Z$2488,1504,'Live Data'!$C$21)="","",INDEX(SPOT_Import!$A$1:$Z$2488,1504,'Live Data'!$C$21)),"")</f>
        <v/>
      </c>
      <c r="K1504" s="54" t="str">
        <f>IFERROR(IF(INDEX(SPOT_Import!$A$1:$Z$2488,1504,'Live Data'!$C$22)="","",INDEX(SPOT_Import!$A$1:$Z$2488,1504,'Live Data'!$C$22)),"")</f>
        <v/>
      </c>
      <c r="L1504" s="55" t="str">
        <f t="shared" si="46"/>
        <v/>
      </c>
      <c r="M1504" s="55" t="str">
        <f t="shared" si="47"/>
        <v/>
      </c>
      <c r="N1504" s="55" t="str">
        <f>IF(A1504="","",IFERROR(INDEX('Cluster Map'!$A$4:$A$38,MATCH(M1504,'Cluster Map'!$B$4:$B$38,0)),"Unmapped"))</f>
        <v/>
      </c>
      <c r="O1504" s="55">
        <f>IF(A1504="",0,IF(COUNTIFS($A$2:A1504,A1504,$F$2:F1504,F1504,$L$2:L1504,L1504)=1,1,0))</f>
        <v>0</v>
      </c>
      <c r="P1504" s="55">
        <f>IF(A1504="",0,IF(AND(F1504="C&amp;T",COUNTIFS($A$2:A1504,A1504,$F$2:F1504,"C&amp;T")=1),1,0))</f>
        <v>0</v>
      </c>
    </row>
    <row r="1505" spans="1:16" x14ac:dyDescent="0.35">
      <c r="A1505" s="54" t="str">
        <f>IFERROR(IF(INDEX(SPOT_Import!$A$1:$Z$2488,1505,'Live Data'!$C$12)="","",INDEX(SPOT_Import!$A$1:$Z$2488,1505,'Live Data'!$C$12)),"")</f>
        <v/>
      </c>
      <c r="B1505" s="54" t="str">
        <f>IFERROR(IF(INDEX(SPOT_Import!$A$1:$Z$2488,1505,'Live Data'!$C$13)="","",INDEX(SPOT_Import!$A$1:$Z$2488,1505,'Live Data'!$C$13)),"")</f>
        <v/>
      </c>
      <c r="C1505" s="54" t="str">
        <f>IFERROR(IF(INDEX(SPOT_Import!$A$1:$Z$2488,1505,'Live Data'!$C$14)="","",INDEX(SPOT_Import!$A$1:$Z$2488,1505,'Live Data'!$C$14)),"")</f>
        <v/>
      </c>
      <c r="D1505" s="54" t="str">
        <f>IFERROR(IF(INDEX(SPOT_Import!$A$1:$Z$2488,1505,'Live Data'!$C$15)="","",INDEX(SPOT_Import!$A$1:$Z$2488,1505,'Live Data'!$C$15)),"")</f>
        <v/>
      </c>
      <c r="E1505" s="54" t="str">
        <f>IFERROR(IF(INDEX(SPOT_Import!$A$1:$Z$2488,1505,'Live Data'!$C$16)="","",INDEX(SPOT_Import!$A$1:$Z$2488,1505,'Live Data'!$C$16)),"")</f>
        <v/>
      </c>
      <c r="F1505" s="54" t="str">
        <f>IFERROR(IF(INDEX(SPOT_Import!$A$1:$Z$2488,1505,'Live Data'!$C$17)="","",INDEX(SPOT_Import!$A$1:$Z$2488,1505,'Live Data'!$C$17)),"")</f>
        <v/>
      </c>
      <c r="G1505" s="54" t="str">
        <f>IFERROR(IF(INDEX(SPOT_Import!$A$1:$Z$2488,1505,'Live Data'!$C$18)="","",INDEX(SPOT_Import!$A$1:$Z$2488,1505,'Live Data'!$C$18)),"")</f>
        <v/>
      </c>
      <c r="H1505" s="54" t="str">
        <f>IFERROR(IF(INDEX(SPOT_Import!$A$1:$Z$2488,1505,'Live Data'!$C$19)="","",INDEX(SPOT_Import!$A$1:$Z$2488,1505,'Live Data'!$C$19)),"")</f>
        <v/>
      </c>
      <c r="I1505" s="54" t="str">
        <f>IFERROR(IF(INDEX(SPOT_Import!$A$1:$Z$2488,1505,'Live Data'!$C$20)="","",INDEX(SPOT_Import!$A$1:$Z$2488,1505,'Live Data'!$C$20)),"")</f>
        <v/>
      </c>
      <c r="J1505" s="54" t="str">
        <f>IFERROR(IF(INDEX(SPOT_Import!$A$1:$Z$2488,1505,'Live Data'!$C$21)="","",INDEX(SPOT_Import!$A$1:$Z$2488,1505,'Live Data'!$C$21)),"")</f>
        <v/>
      </c>
      <c r="K1505" s="54" t="str">
        <f>IFERROR(IF(INDEX(SPOT_Import!$A$1:$Z$2488,1505,'Live Data'!$C$22)="","",INDEX(SPOT_Import!$A$1:$Z$2488,1505,'Live Data'!$C$22)),"")</f>
        <v/>
      </c>
      <c r="L1505" s="55" t="str">
        <f t="shared" si="46"/>
        <v/>
      </c>
      <c r="M1505" s="55" t="str">
        <f t="shared" si="47"/>
        <v/>
      </c>
      <c r="N1505" s="55" t="str">
        <f>IF(A1505="","",IFERROR(INDEX('Cluster Map'!$A$4:$A$38,MATCH(M1505,'Cluster Map'!$B$4:$B$38,0)),"Unmapped"))</f>
        <v/>
      </c>
      <c r="O1505" s="55">
        <f>IF(A1505="",0,IF(COUNTIFS($A$2:A1505,A1505,$F$2:F1505,F1505,$L$2:L1505,L1505)=1,1,0))</f>
        <v>0</v>
      </c>
      <c r="P1505" s="55">
        <f>IF(A1505="",0,IF(AND(F1505="C&amp;T",COUNTIFS($A$2:A1505,A1505,$F$2:F1505,"C&amp;T")=1),1,0))</f>
        <v>0</v>
      </c>
    </row>
    <row r="1506" spans="1:16" x14ac:dyDescent="0.35">
      <c r="A1506" s="54" t="str">
        <f>IFERROR(IF(INDEX(SPOT_Import!$A$1:$Z$2488,1506,'Live Data'!$C$12)="","",INDEX(SPOT_Import!$A$1:$Z$2488,1506,'Live Data'!$C$12)),"")</f>
        <v/>
      </c>
      <c r="B1506" s="54" t="str">
        <f>IFERROR(IF(INDEX(SPOT_Import!$A$1:$Z$2488,1506,'Live Data'!$C$13)="","",INDEX(SPOT_Import!$A$1:$Z$2488,1506,'Live Data'!$C$13)),"")</f>
        <v/>
      </c>
      <c r="C1506" s="54" t="str">
        <f>IFERROR(IF(INDEX(SPOT_Import!$A$1:$Z$2488,1506,'Live Data'!$C$14)="","",INDEX(SPOT_Import!$A$1:$Z$2488,1506,'Live Data'!$C$14)),"")</f>
        <v/>
      </c>
      <c r="D1506" s="54" t="str">
        <f>IFERROR(IF(INDEX(SPOT_Import!$A$1:$Z$2488,1506,'Live Data'!$C$15)="","",INDEX(SPOT_Import!$A$1:$Z$2488,1506,'Live Data'!$C$15)),"")</f>
        <v/>
      </c>
      <c r="E1506" s="54" t="str">
        <f>IFERROR(IF(INDEX(SPOT_Import!$A$1:$Z$2488,1506,'Live Data'!$C$16)="","",INDEX(SPOT_Import!$A$1:$Z$2488,1506,'Live Data'!$C$16)),"")</f>
        <v/>
      </c>
      <c r="F1506" s="54" t="str">
        <f>IFERROR(IF(INDEX(SPOT_Import!$A$1:$Z$2488,1506,'Live Data'!$C$17)="","",INDEX(SPOT_Import!$A$1:$Z$2488,1506,'Live Data'!$C$17)),"")</f>
        <v/>
      </c>
      <c r="G1506" s="54" t="str">
        <f>IFERROR(IF(INDEX(SPOT_Import!$A$1:$Z$2488,1506,'Live Data'!$C$18)="","",INDEX(SPOT_Import!$A$1:$Z$2488,1506,'Live Data'!$C$18)),"")</f>
        <v/>
      </c>
      <c r="H1506" s="54" t="str">
        <f>IFERROR(IF(INDEX(SPOT_Import!$A$1:$Z$2488,1506,'Live Data'!$C$19)="","",INDEX(SPOT_Import!$A$1:$Z$2488,1506,'Live Data'!$C$19)),"")</f>
        <v/>
      </c>
      <c r="I1506" s="54" t="str">
        <f>IFERROR(IF(INDEX(SPOT_Import!$A$1:$Z$2488,1506,'Live Data'!$C$20)="","",INDEX(SPOT_Import!$A$1:$Z$2488,1506,'Live Data'!$C$20)),"")</f>
        <v/>
      </c>
      <c r="J1506" s="54" t="str">
        <f>IFERROR(IF(INDEX(SPOT_Import!$A$1:$Z$2488,1506,'Live Data'!$C$21)="","",INDEX(SPOT_Import!$A$1:$Z$2488,1506,'Live Data'!$C$21)),"")</f>
        <v/>
      </c>
      <c r="K1506" s="54" t="str">
        <f>IFERROR(IF(INDEX(SPOT_Import!$A$1:$Z$2488,1506,'Live Data'!$C$22)="","",INDEX(SPOT_Import!$A$1:$Z$2488,1506,'Live Data'!$C$22)),"")</f>
        <v/>
      </c>
      <c r="L1506" s="55" t="str">
        <f t="shared" si="46"/>
        <v/>
      </c>
      <c r="M1506" s="55" t="str">
        <f t="shared" si="47"/>
        <v/>
      </c>
      <c r="N1506" s="55" t="str">
        <f>IF(A1506="","",IFERROR(INDEX('Cluster Map'!$A$4:$A$38,MATCH(M1506,'Cluster Map'!$B$4:$B$38,0)),"Unmapped"))</f>
        <v/>
      </c>
      <c r="O1506" s="55">
        <f>IF(A1506="",0,IF(COUNTIFS($A$2:A1506,A1506,$F$2:F1506,F1506,$L$2:L1506,L1506)=1,1,0))</f>
        <v>0</v>
      </c>
      <c r="P1506" s="55">
        <f>IF(A1506="",0,IF(AND(F1506="C&amp;T",COUNTIFS($A$2:A1506,A1506,$F$2:F1506,"C&amp;T")=1),1,0))</f>
        <v>0</v>
      </c>
    </row>
    <row r="1507" spans="1:16" x14ac:dyDescent="0.35">
      <c r="A1507" s="54" t="str">
        <f>IFERROR(IF(INDEX(SPOT_Import!$A$1:$Z$2488,1507,'Live Data'!$C$12)="","",INDEX(SPOT_Import!$A$1:$Z$2488,1507,'Live Data'!$C$12)),"")</f>
        <v/>
      </c>
      <c r="B1507" s="54" t="str">
        <f>IFERROR(IF(INDEX(SPOT_Import!$A$1:$Z$2488,1507,'Live Data'!$C$13)="","",INDEX(SPOT_Import!$A$1:$Z$2488,1507,'Live Data'!$C$13)),"")</f>
        <v/>
      </c>
      <c r="C1507" s="54" t="str">
        <f>IFERROR(IF(INDEX(SPOT_Import!$A$1:$Z$2488,1507,'Live Data'!$C$14)="","",INDEX(SPOT_Import!$A$1:$Z$2488,1507,'Live Data'!$C$14)),"")</f>
        <v/>
      </c>
      <c r="D1507" s="54" t="str">
        <f>IFERROR(IF(INDEX(SPOT_Import!$A$1:$Z$2488,1507,'Live Data'!$C$15)="","",INDEX(SPOT_Import!$A$1:$Z$2488,1507,'Live Data'!$C$15)),"")</f>
        <v/>
      </c>
      <c r="E1507" s="54" t="str">
        <f>IFERROR(IF(INDEX(SPOT_Import!$A$1:$Z$2488,1507,'Live Data'!$C$16)="","",INDEX(SPOT_Import!$A$1:$Z$2488,1507,'Live Data'!$C$16)),"")</f>
        <v/>
      </c>
      <c r="F1507" s="54" t="str">
        <f>IFERROR(IF(INDEX(SPOT_Import!$A$1:$Z$2488,1507,'Live Data'!$C$17)="","",INDEX(SPOT_Import!$A$1:$Z$2488,1507,'Live Data'!$C$17)),"")</f>
        <v/>
      </c>
      <c r="G1507" s="54" t="str">
        <f>IFERROR(IF(INDEX(SPOT_Import!$A$1:$Z$2488,1507,'Live Data'!$C$18)="","",INDEX(SPOT_Import!$A$1:$Z$2488,1507,'Live Data'!$C$18)),"")</f>
        <v/>
      </c>
      <c r="H1507" s="54" t="str">
        <f>IFERROR(IF(INDEX(SPOT_Import!$A$1:$Z$2488,1507,'Live Data'!$C$19)="","",INDEX(SPOT_Import!$A$1:$Z$2488,1507,'Live Data'!$C$19)),"")</f>
        <v/>
      </c>
      <c r="I1507" s="54" t="str">
        <f>IFERROR(IF(INDEX(SPOT_Import!$A$1:$Z$2488,1507,'Live Data'!$C$20)="","",INDEX(SPOT_Import!$A$1:$Z$2488,1507,'Live Data'!$C$20)),"")</f>
        <v/>
      </c>
      <c r="J1507" s="54" t="str">
        <f>IFERROR(IF(INDEX(SPOT_Import!$A$1:$Z$2488,1507,'Live Data'!$C$21)="","",INDEX(SPOT_Import!$A$1:$Z$2488,1507,'Live Data'!$C$21)),"")</f>
        <v/>
      </c>
      <c r="K1507" s="54" t="str">
        <f>IFERROR(IF(INDEX(SPOT_Import!$A$1:$Z$2488,1507,'Live Data'!$C$22)="","",INDEX(SPOT_Import!$A$1:$Z$2488,1507,'Live Data'!$C$22)),"")</f>
        <v/>
      </c>
      <c r="L1507" s="55" t="str">
        <f t="shared" si="46"/>
        <v/>
      </c>
      <c r="M1507" s="55" t="str">
        <f t="shared" si="47"/>
        <v/>
      </c>
      <c r="N1507" s="55" t="str">
        <f>IF(A1507="","",IFERROR(INDEX('Cluster Map'!$A$4:$A$38,MATCH(M1507,'Cluster Map'!$B$4:$B$38,0)),"Unmapped"))</f>
        <v/>
      </c>
      <c r="O1507" s="55">
        <f>IF(A1507="",0,IF(COUNTIFS($A$2:A1507,A1507,$F$2:F1507,F1507,$L$2:L1507,L1507)=1,1,0))</f>
        <v>0</v>
      </c>
      <c r="P1507" s="55">
        <f>IF(A1507="",0,IF(AND(F1507="C&amp;T",COUNTIFS($A$2:A1507,A1507,$F$2:F1507,"C&amp;T")=1),1,0))</f>
        <v>0</v>
      </c>
    </row>
    <row r="1508" spans="1:16" x14ac:dyDescent="0.35">
      <c r="A1508" s="54" t="str">
        <f>IFERROR(IF(INDEX(SPOT_Import!$A$1:$Z$2488,1508,'Live Data'!$C$12)="","",INDEX(SPOT_Import!$A$1:$Z$2488,1508,'Live Data'!$C$12)),"")</f>
        <v/>
      </c>
      <c r="B1508" s="54" t="str">
        <f>IFERROR(IF(INDEX(SPOT_Import!$A$1:$Z$2488,1508,'Live Data'!$C$13)="","",INDEX(SPOT_Import!$A$1:$Z$2488,1508,'Live Data'!$C$13)),"")</f>
        <v/>
      </c>
      <c r="C1508" s="54" t="str">
        <f>IFERROR(IF(INDEX(SPOT_Import!$A$1:$Z$2488,1508,'Live Data'!$C$14)="","",INDEX(SPOT_Import!$A$1:$Z$2488,1508,'Live Data'!$C$14)),"")</f>
        <v/>
      </c>
      <c r="D1508" s="54" t="str">
        <f>IFERROR(IF(INDEX(SPOT_Import!$A$1:$Z$2488,1508,'Live Data'!$C$15)="","",INDEX(SPOT_Import!$A$1:$Z$2488,1508,'Live Data'!$C$15)),"")</f>
        <v/>
      </c>
      <c r="E1508" s="54" t="str">
        <f>IFERROR(IF(INDEX(SPOT_Import!$A$1:$Z$2488,1508,'Live Data'!$C$16)="","",INDEX(SPOT_Import!$A$1:$Z$2488,1508,'Live Data'!$C$16)),"")</f>
        <v/>
      </c>
      <c r="F1508" s="54" t="str">
        <f>IFERROR(IF(INDEX(SPOT_Import!$A$1:$Z$2488,1508,'Live Data'!$C$17)="","",INDEX(SPOT_Import!$A$1:$Z$2488,1508,'Live Data'!$C$17)),"")</f>
        <v/>
      </c>
      <c r="G1508" s="54" t="str">
        <f>IFERROR(IF(INDEX(SPOT_Import!$A$1:$Z$2488,1508,'Live Data'!$C$18)="","",INDEX(SPOT_Import!$A$1:$Z$2488,1508,'Live Data'!$C$18)),"")</f>
        <v/>
      </c>
      <c r="H1508" s="54" t="str">
        <f>IFERROR(IF(INDEX(SPOT_Import!$A$1:$Z$2488,1508,'Live Data'!$C$19)="","",INDEX(SPOT_Import!$A$1:$Z$2488,1508,'Live Data'!$C$19)),"")</f>
        <v/>
      </c>
      <c r="I1508" s="54" t="str">
        <f>IFERROR(IF(INDEX(SPOT_Import!$A$1:$Z$2488,1508,'Live Data'!$C$20)="","",INDEX(SPOT_Import!$A$1:$Z$2488,1508,'Live Data'!$C$20)),"")</f>
        <v/>
      </c>
      <c r="J1508" s="54" t="str">
        <f>IFERROR(IF(INDEX(SPOT_Import!$A$1:$Z$2488,1508,'Live Data'!$C$21)="","",INDEX(SPOT_Import!$A$1:$Z$2488,1508,'Live Data'!$C$21)),"")</f>
        <v/>
      </c>
      <c r="K1508" s="54" t="str">
        <f>IFERROR(IF(INDEX(SPOT_Import!$A$1:$Z$2488,1508,'Live Data'!$C$22)="","",INDEX(SPOT_Import!$A$1:$Z$2488,1508,'Live Data'!$C$22)),"")</f>
        <v/>
      </c>
      <c r="L1508" s="55" t="str">
        <f t="shared" si="46"/>
        <v/>
      </c>
      <c r="M1508" s="55" t="str">
        <f t="shared" si="47"/>
        <v/>
      </c>
      <c r="N1508" s="55" t="str">
        <f>IF(A1508="","",IFERROR(INDEX('Cluster Map'!$A$4:$A$38,MATCH(M1508,'Cluster Map'!$B$4:$B$38,0)),"Unmapped"))</f>
        <v/>
      </c>
      <c r="O1508" s="55">
        <f>IF(A1508="",0,IF(COUNTIFS($A$2:A1508,A1508,$F$2:F1508,F1508,$L$2:L1508,L1508)=1,1,0))</f>
        <v>0</v>
      </c>
      <c r="P1508" s="55">
        <f>IF(A1508="",0,IF(AND(F1508="C&amp;T",COUNTIFS($A$2:A1508,A1508,$F$2:F1508,"C&amp;T")=1),1,0))</f>
        <v>0</v>
      </c>
    </row>
    <row r="1509" spans="1:16" x14ac:dyDescent="0.35">
      <c r="A1509" s="54" t="str">
        <f>IFERROR(IF(INDEX(SPOT_Import!$A$1:$Z$2488,1509,'Live Data'!$C$12)="","",INDEX(SPOT_Import!$A$1:$Z$2488,1509,'Live Data'!$C$12)),"")</f>
        <v/>
      </c>
      <c r="B1509" s="54" t="str">
        <f>IFERROR(IF(INDEX(SPOT_Import!$A$1:$Z$2488,1509,'Live Data'!$C$13)="","",INDEX(SPOT_Import!$A$1:$Z$2488,1509,'Live Data'!$C$13)),"")</f>
        <v/>
      </c>
      <c r="C1509" s="54" t="str">
        <f>IFERROR(IF(INDEX(SPOT_Import!$A$1:$Z$2488,1509,'Live Data'!$C$14)="","",INDEX(SPOT_Import!$A$1:$Z$2488,1509,'Live Data'!$C$14)),"")</f>
        <v/>
      </c>
      <c r="D1509" s="54" t="str">
        <f>IFERROR(IF(INDEX(SPOT_Import!$A$1:$Z$2488,1509,'Live Data'!$C$15)="","",INDEX(SPOT_Import!$A$1:$Z$2488,1509,'Live Data'!$C$15)),"")</f>
        <v/>
      </c>
      <c r="E1509" s="54" t="str">
        <f>IFERROR(IF(INDEX(SPOT_Import!$A$1:$Z$2488,1509,'Live Data'!$C$16)="","",INDEX(SPOT_Import!$A$1:$Z$2488,1509,'Live Data'!$C$16)),"")</f>
        <v/>
      </c>
      <c r="F1509" s="54" t="str">
        <f>IFERROR(IF(INDEX(SPOT_Import!$A$1:$Z$2488,1509,'Live Data'!$C$17)="","",INDEX(SPOT_Import!$A$1:$Z$2488,1509,'Live Data'!$C$17)),"")</f>
        <v/>
      </c>
      <c r="G1509" s="54" t="str">
        <f>IFERROR(IF(INDEX(SPOT_Import!$A$1:$Z$2488,1509,'Live Data'!$C$18)="","",INDEX(SPOT_Import!$A$1:$Z$2488,1509,'Live Data'!$C$18)),"")</f>
        <v/>
      </c>
      <c r="H1509" s="54" t="str">
        <f>IFERROR(IF(INDEX(SPOT_Import!$A$1:$Z$2488,1509,'Live Data'!$C$19)="","",INDEX(SPOT_Import!$A$1:$Z$2488,1509,'Live Data'!$C$19)),"")</f>
        <v/>
      </c>
      <c r="I1509" s="54" t="str">
        <f>IFERROR(IF(INDEX(SPOT_Import!$A$1:$Z$2488,1509,'Live Data'!$C$20)="","",INDEX(SPOT_Import!$A$1:$Z$2488,1509,'Live Data'!$C$20)),"")</f>
        <v/>
      </c>
      <c r="J1509" s="54" t="str">
        <f>IFERROR(IF(INDEX(SPOT_Import!$A$1:$Z$2488,1509,'Live Data'!$C$21)="","",INDEX(SPOT_Import!$A$1:$Z$2488,1509,'Live Data'!$C$21)),"")</f>
        <v/>
      </c>
      <c r="K1509" s="54" t="str">
        <f>IFERROR(IF(INDEX(SPOT_Import!$A$1:$Z$2488,1509,'Live Data'!$C$22)="","",INDEX(SPOT_Import!$A$1:$Z$2488,1509,'Live Data'!$C$22)),"")</f>
        <v/>
      </c>
      <c r="L1509" s="55" t="str">
        <f t="shared" si="46"/>
        <v/>
      </c>
      <c r="M1509" s="55" t="str">
        <f t="shared" si="47"/>
        <v/>
      </c>
      <c r="N1509" s="55" t="str">
        <f>IF(A1509="","",IFERROR(INDEX('Cluster Map'!$A$4:$A$38,MATCH(M1509,'Cluster Map'!$B$4:$B$38,0)),"Unmapped"))</f>
        <v/>
      </c>
      <c r="O1509" s="55">
        <f>IF(A1509="",0,IF(COUNTIFS($A$2:A1509,A1509,$F$2:F1509,F1509,$L$2:L1509,L1509)=1,1,0))</f>
        <v>0</v>
      </c>
      <c r="P1509" s="55">
        <f>IF(A1509="",0,IF(AND(F1509="C&amp;T",COUNTIFS($A$2:A1509,A1509,$F$2:F1509,"C&amp;T")=1),1,0))</f>
        <v>0</v>
      </c>
    </row>
    <row r="1510" spans="1:16" x14ac:dyDescent="0.35">
      <c r="A1510" s="54" t="str">
        <f>IFERROR(IF(INDEX(SPOT_Import!$A$1:$Z$2488,1510,'Live Data'!$C$12)="","",INDEX(SPOT_Import!$A$1:$Z$2488,1510,'Live Data'!$C$12)),"")</f>
        <v/>
      </c>
      <c r="B1510" s="54" t="str">
        <f>IFERROR(IF(INDEX(SPOT_Import!$A$1:$Z$2488,1510,'Live Data'!$C$13)="","",INDEX(SPOT_Import!$A$1:$Z$2488,1510,'Live Data'!$C$13)),"")</f>
        <v/>
      </c>
      <c r="C1510" s="54" t="str">
        <f>IFERROR(IF(INDEX(SPOT_Import!$A$1:$Z$2488,1510,'Live Data'!$C$14)="","",INDEX(SPOT_Import!$A$1:$Z$2488,1510,'Live Data'!$C$14)),"")</f>
        <v/>
      </c>
      <c r="D1510" s="54" t="str">
        <f>IFERROR(IF(INDEX(SPOT_Import!$A$1:$Z$2488,1510,'Live Data'!$C$15)="","",INDEX(SPOT_Import!$A$1:$Z$2488,1510,'Live Data'!$C$15)),"")</f>
        <v/>
      </c>
      <c r="E1510" s="54" t="str">
        <f>IFERROR(IF(INDEX(SPOT_Import!$A$1:$Z$2488,1510,'Live Data'!$C$16)="","",INDEX(SPOT_Import!$A$1:$Z$2488,1510,'Live Data'!$C$16)),"")</f>
        <v/>
      </c>
      <c r="F1510" s="54" t="str">
        <f>IFERROR(IF(INDEX(SPOT_Import!$A$1:$Z$2488,1510,'Live Data'!$C$17)="","",INDEX(SPOT_Import!$A$1:$Z$2488,1510,'Live Data'!$C$17)),"")</f>
        <v/>
      </c>
      <c r="G1510" s="54" t="str">
        <f>IFERROR(IF(INDEX(SPOT_Import!$A$1:$Z$2488,1510,'Live Data'!$C$18)="","",INDEX(SPOT_Import!$A$1:$Z$2488,1510,'Live Data'!$C$18)),"")</f>
        <v/>
      </c>
      <c r="H1510" s="54" t="str">
        <f>IFERROR(IF(INDEX(SPOT_Import!$A$1:$Z$2488,1510,'Live Data'!$C$19)="","",INDEX(SPOT_Import!$A$1:$Z$2488,1510,'Live Data'!$C$19)),"")</f>
        <v/>
      </c>
      <c r="I1510" s="54" t="str">
        <f>IFERROR(IF(INDEX(SPOT_Import!$A$1:$Z$2488,1510,'Live Data'!$C$20)="","",INDEX(SPOT_Import!$A$1:$Z$2488,1510,'Live Data'!$C$20)),"")</f>
        <v/>
      </c>
      <c r="J1510" s="54" t="str">
        <f>IFERROR(IF(INDEX(SPOT_Import!$A$1:$Z$2488,1510,'Live Data'!$C$21)="","",INDEX(SPOT_Import!$A$1:$Z$2488,1510,'Live Data'!$C$21)),"")</f>
        <v/>
      </c>
      <c r="K1510" s="54" t="str">
        <f>IFERROR(IF(INDEX(SPOT_Import!$A$1:$Z$2488,1510,'Live Data'!$C$22)="","",INDEX(SPOT_Import!$A$1:$Z$2488,1510,'Live Data'!$C$22)),"")</f>
        <v/>
      </c>
      <c r="L1510" s="55" t="str">
        <f t="shared" si="46"/>
        <v/>
      </c>
      <c r="M1510" s="55" t="str">
        <f t="shared" si="47"/>
        <v/>
      </c>
      <c r="N1510" s="55" t="str">
        <f>IF(A1510="","",IFERROR(INDEX('Cluster Map'!$A$4:$A$38,MATCH(M1510,'Cluster Map'!$B$4:$B$38,0)),"Unmapped"))</f>
        <v/>
      </c>
      <c r="O1510" s="55">
        <f>IF(A1510="",0,IF(COUNTIFS($A$2:A1510,A1510,$F$2:F1510,F1510,$L$2:L1510,L1510)=1,1,0))</f>
        <v>0</v>
      </c>
      <c r="P1510" s="55">
        <f>IF(A1510="",0,IF(AND(F1510="C&amp;T",COUNTIFS($A$2:A1510,A1510,$F$2:F1510,"C&amp;T")=1),1,0))</f>
        <v>0</v>
      </c>
    </row>
    <row r="1511" spans="1:16" x14ac:dyDescent="0.35">
      <c r="A1511" s="54" t="str">
        <f>IFERROR(IF(INDEX(SPOT_Import!$A$1:$Z$2488,1511,'Live Data'!$C$12)="","",INDEX(SPOT_Import!$A$1:$Z$2488,1511,'Live Data'!$C$12)),"")</f>
        <v/>
      </c>
      <c r="B1511" s="54" t="str">
        <f>IFERROR(IF(INDEX(SPOT_Import!$A$1:$Z$2488,1511,'Live Data'!$C$13)="","",INDEX(SPOT_Import!$A$1:$Z$2488,1511,'Live Data'!$C$13)),"")</f>
        <v/>
      </c>
      <c r="C1511" s="54" t="str">
        <f>IFERROR(IF(INDEX(SPOT_Import!$A$1:$Z$2488,1511,'Live Data'!$C$14)="","",INDEX(SPOT_Import!$A$1:$Z$2488,1511,'Live Data'!$C$14)),"")</f>
        <v/>
      </c>
      <c r="D1511" s="54" t="str">
        <f>IFERROR(IF(INDEX(SPOT_Import!$A$1:$Z$2488,1511,'Live Data'!$C$15)="","",INDEX(SPOT_Import!$A$1:$Z$2488,1511,'Live Data'!$C$15)),"")</f>
        <v/>
      </c>
      <c r="E1511" s="54" t="str">
        <f>IFERROR(IF(INDEX(SPOT_Import!$A$1:$Z$2488,1511,'Live Data'!$C$16)="","",INDEX(SPOT_Import!$A$1:$Z$2488,1511,'Live Data'!$C$16)),"")</f>
        <v/>
      </c>
      <c r="F1511" s="54" t="str">
        <f>IFERROR(IF(INDEX(SPOT_Import!$A$1:$Z$2488,1511,'Live Data'!$C$17)="","",INDEX(SPOT_Import!$A$1:$Z$2488,1511,'Live Data'!$C$17)),"")</f>
        <v/>
      </c>
      <c r="G1511" s="54" t="str">
        <f>IFERROR(IF(INDEX(SPOT_Import!$A$1:$Z$2488,1511,'Live Data'!$C$18)="","",INDEX(SPOT_Import!$A$1:$Z$2488,1511,'Live Data'!$C$18)),"")</f>
        <v/>
      </c>
      <c r="H1511" s="54" t="str">
        <f>IFERROR(IF(INDEX(SPOT_Import!$A$1:$Z$2488,1511,'Live Data'!$C$19)="","",INDEX(SPOT_Import!$A$1:$Z$2488,1511,'Live Data'!$C$19)),"")</f>
        <v/>
      </c>
      <c r="I1511" s="54" t="str">
        <f>IFERROR(IF(INDEX(SPOT_Import!$A$1:$Z$2488,1511,'Live Data'!$C$20)="","",INDEX(SPOT_Import!$A$1:$Z$2488,1511,'Live Data'!$C$20)),"")</f>
        <v/>
      </c>
      <c r="J1511" s="54" t="str">
        <f>IFERROR(IF(INDEX(SPOT_Import!$A$1:$Z$2488,1511,'Live Data'!$C$21)="","",INDEX(SPOT_Import!$A$1:$Z$2488,1511,'Live Data'!$C$21)),"")</f>
        <v/>
      </c>
      <c r="K1511" s="54" t="str">
        <f>IFERROR(IF(INDEX(SPOT_Import!$A$1:$Z$2488,1511,'Live Data'!$C$22)="","",INDEX(SPOT_Import!$A$1:$Z$2488,1511,'Live Data'!$C$22)),"")</f>
        <v/>
      </c>
      <c r="L1511" s="55" t="str">
        <f t="shared" si="46"/>
        <v/>
      </c>
      <c r="M1511" s="55" t="str">
        <f t="shared" si="47"/>
        <v/>
      </c>
      <c r="N1511" s="55" t="str">
        <f>IF(A1511="","",IFERROR(INDEX('Cluster Map'!$A$4:$A$38,MATCH(M1511,'Cluster Map'!$B$4:$B$38,0)),"Unmapped"))</f>
        <v/>
      </c>
      <c r="O1511" s="55">
        <f>IF(A1511="",0,IF(COUNTIFS($A$2:A1511,A1511,$F$2:F1511,F1511,$L$2:L1511,L1511)=1,1,0))</f>
        <v>0</v>
      </c>
      <c r="P1511" s="55">
        <f>IF(A1511="",0,IF(AND(F1511="C&amp;T",COUNTIFS($A$2:A1511,A1511,$F$2:F1511,"C&amp;T")=1),1,0))</f>
        <v>0</v>
      </c>
    </row>
    <row r="1512" spans="1:16" x14ac:dyDescent="0.35">
      <c r="A1512" s="54" t="str">
        <f>IFERROR(IF(INDEX(SPOT_Import!$A$1:$Z$2488,1512,'Live Data'!$C$12)="","",INDEX(SPOT_Import!$A$1:$Z$2488,1512,'Live Data'!$C$12)),"")</f>
        <v/>
      </c>
      <c r="B1512" s="54" t="str">
        <f>IFERROR(IF(INDEX(SPOT_Import!$A$1:$Z$2488,1512,'Live Data'!$C$13)="","",INDEX(SPOT_Import!$A$1:$Z$2488,1512,'Live Data'!$C$13)),"")</f>
        <v/>
      </c>
      <c r="C1512" s="54" t="str">
        <f>IFERROR(IF(INDEX(SPOT_Import!$A$1:$Z$2488,1512,'Live Data'!$C$14)="","",INDEX(SPOT_Import!$A$1:$Z$2488,1512,'Live Data'!$C$14)),"")</f>
        <v/>
      </c>
      <c r="D1512" s="54" t="str">
        <f>IFERROR(IF(INDEX(SPOT_Import!$A$1:$Z$2488,1512,'Live Data'!$C$15)="","",INDEX(SPOT_Import!$A$1:$Z$2488,1512,'Live Data'!$C$15)),"")</f>
        <v/>
      </c>
      <c r="E1512" s="54" t="str">
        <f>IFERROR(IF(INDEX(SPOT_Import!$A$1:$Z$2488,1512,'Live Data'!$C$16)="","",INDEX(SPOT_Import!$A$1:$Z$2488,1512,'Live Data'!$C$16)),"")</f>
        <v/>
      </c>
      <c r="F1512" s="54" t="str">
        <f>IFERROR(IF(INDEX(SPOT_Import!$A$1:$Z$2488,1512,'Live Data'!$C$17)="","",INDEX(SPOT_Import!$A$1:$Z$2488,1512,'Live Data'!$C$17)),"")</f>
        <v/>
      </c>
      <c r="G1512" s="54" t="str">
        <f>IFERROR(IF(INDEX(SPOT_Import!$A$1:$Z$2488,1512,'Live Data'!$C$18)="","",INDEX(SPOT_Import!$A$1:$Z$2488,1512,'Live Data'!$C$18)),"")</f>
        <v/>
      </c>
      <c r="H1512" s="54" t="str">
        <f>IFERROR(IF(INDEX(SPOT_Import!$A$1:$Z$2488,1512,'Live Data'!$C$19)="","",INDEX(SPOT_Import!$A$1:$Z$2488,1512,'Live Data'!$C$19)),"")</f>
        <v/>
      </c>
      <c r="I1512" s="54" t="str">
        <f>IFERROR(IF(INDEX(SPOT_Import!$A$1:$Z$2488,1512,'Live Data'!$C$20)="","",INDEX(SPOT_Import!$A$1:$Z$2488,1512,'Live Data'!$C$20)),"")</f>
        <v/>
      </c>
      <c r="J1512" s="54" t="str">
        <f>IFERROR(IF(INDEX(SPOT_Import!$A$1:$Z$2488,1512,'Live Data'!$C$21)="","",INDEX(SPOT_Import!$A$1:$Z$2488,1512,'Live Data'!$C$21)),"")</f>
        <v/>
      </c>
      <c r="K1512" s="54" t="str">
        <f>IFERROR(IF(INDEX(SPOT_Import!$A$1:$Z$2488,1512,'Live Data'!$C$22)="","",INDEX(SPOT_Import!$A$1:$Z$2488,1512,'Live Data'!$C$22)),"")</f>
        <v/>
      </c>
      <c r="L1512" s="55" t="str">
        <f t="shared" si="46"/>
        <v/>
      </c>
      <c r="M1512" s="55" t="str">
        <f t="shared" si="47"/>
        <v/>
      </c>
      <c r="N1512" s="55" t="str">
        <f>IF(A1512="","",IFERROR(INDEX('Cluster Map'!$A$4:$A$38,MATCH(M1512,'Cluster Map'!$B$4:$B$38,0)),"Unmapped"))</f>
        <v/>
      </c>
      <c r="O1512" s="55">
        <f>IF(A1512="",0,IF(COUNTIFS($A$2:A1512,A1512,$F$2:F1512,F1512,$L$2:L1512,L1512)=1,1,0))</f>
        <v>0</v>
      </c>
      <c r="P1512" s="55">
        <f>IF(A1512="",0,IF(AND(F1512="C&amp;T",COUNTIFS($A$2:A1512,A1512,$F$2:F1512,"C&amp;T")=1),1,0))</f>
        <v>0</v>
      </c>
    </row>
    <row r="1513" spans="1:16" x14ac:dyDescent="0.35">
      <c r="A1513" s="54" t="str">
        <f>IFERROR(IF(INDEX(SPOT_Import!$A$1:$Z$2488,1513,'Live Data'!$C$12)="","",INDEX(SPOT_Import!$A$1:$Z$2488,1513,'Live Data'!$C$12)),"")</f>
        <v/>
      </c>
      <c r="B1513" s="54" t="str">
        <f>IFERROR(IF(INDEX(SPOT_Import!$A$1:$Z$2488,1513,'Live Data'!$C$13)="","",INDEX(SPOT_Import!$A$1:$Z$2488,1513,'Live Data'!$C$13)),"")</f>
        <v/>
      </c>
      <c r="C1513" s="54" t="str">
        <f>IFERROR(IF(INDEX(SPOT_Import!$A$1:$Z$2488,1513,'Live Data'!$C$14)="","",INDEX(SPOT_Import!$A$1:$Z$2488,1513,'Live Data'!$C$14)),"")</f>
        <v/>
      </c>
      <c r="D1513" s="54" t="str">
        <f>IFERROR(IF(INDEX(SPOT_Import!$A$1:$Z$2488,1513,'Live Data'!$C$15)="","",INDEX(SPOT_Import!$A$1:$Z$2488,1513,'Live Data'!$C$15)),"")</f>
        <v/>
      </c>
      <c r="E1513" s="54" t="str">
        <f>IFERROR(IF(INDEX(SPOT_Import!$A$1:$Z$2488,1513,'Live Data'!$C$16)="","",INDEX(SPOT_Import!$A$1:$Z$2488,1513,'Live Data'!$C$16)),"")</f>
        <v/>
      </c>
      <c r="F1513" s="54" t="str">
        <f>IFERROR(IF(INDEX(SPOT_Import!$A$1:$Z$2488,1513,'Live Data'!$C$17)="","",INDEX(SPOT_Import!$A$1:$Z$2488,1513,'Live Data'!$C$17)),"")</f>
        <v/>
      </c>
      <c r="G1513" s="54" t="str">
        <f>IFERROR(IF(INDEX(SPOT_Import!$A$1:$Z$2488,1513,'Live Data'!$C$18)="","",INDEX(SPOT_Import!$A$1:$Z$2488,1513,'Live Data'!$C$18)),"")</f>
        <v/>
      </c>
      <c r="H1513" s="54" t="str">
        <f>IFERROR(IF(INDEX(SPOT_Import!$A$1:$Z$2488,1513,'Live Data'!$C$19)="","",INDEX(SPOT_Import!$A$1:$Z$2488,1513,'Live Data'!$C$19)),"")</f>
        <v/>
      </c>
      <c r="I1513" s="54" t="str">
        <f>IFERROR(IF(INDEX(SPOT_Import!$A$1:$Z$2488,1513,'Live Data'!$C$20)="","",INDEX(SPOT_Import!$A$1:$Z$2488,1513,'Live Data'!$C$20)),"")</f>
        <v/>
      </c>
      <c r="J1513" s="54" t="str">
        <f>IFERROR(IF(INDEX(SPOT_Import!$A$1:$Z$2488,1513,'Live Data'!$C$21)="","",INDEX(SPOT_Import!$A$1:$Z$2488,1513,'Live Data'!$C$21)),"")</f>
        <v/>
      </c>
      <c r="K1513" s="54" t="str">
        <f>IFERROR(IF(INDEX(SPOT_Import!$A$1:$Z$2488,1513,'Live Data'!$C$22)="","",INDEX(SPOT_Import!$A$1:$Z$2488,1513,'Live Data'!$C$22)),"")</f>
        <v/>
      </c>
      <c r="L1513" s="55" t="str">
        <f t="shared" si="46"/>
        <v/>
      </c>
      <c r="M1513" s="55" t="str">
        <f t="shared" si="47"/>
        <v/>
      </c>
      <c r="N1513" s="55" t="str">
        <f>IF(A1513="","",IFERROR(INDEX('Cluster Map'!$A$4:$A$38,MATCH(M1513,'Cluster Map'!$B$4:$B$38,0)),"Unmapped"))</f>
        <v/>
      </c>
      <c r="O1513" s="55">
        <f>IF(A1513="",0,IF(COUNTIFS($A$2:A1513,A1513,$F$2:F1513,F1513,$L$2:L1513,L1513)=1,1,0))</f>
        <v>0</v>
      </c>
      <c r="P1513" s="55">
        <f>IF(A1513="",0,IF(AND(F1513="C&amp;T",COUNTIFS($A$2:A1513,A1513,$F$2:F1513,"C&amp;T")=1),1,0))</f>
        <v>0</v>
      </c>
    </row>
    <row r="1514" spans="1:16" x14ac:dyDescent="0.35">
      <c r="A1514" s="54" t="str">
        <f>IFERROR(IF(INDEX(SPOT_Import!$A$1:$Z$2488,1514,'Live Data'!$C$12)="","",INDEX(SPOT_Import!$A$1:$Z$2488,1514,'Live Data'!$C$12)),"")</f>
        <v/>
      </c>
      <c r="B1514" s="54" t="str">
        <f>IFERROR(IF(INDEX(SPOT_Import!$A$1:$Z$2488,1514,'Live Data'!$C$13)="","",INDEX(SPOT_Import!$A$1:$Z$2488,1514,'Live Data'!$C$13)),"")</f>
        <v/>
      </c>
      <c r="C1514" s="54" t="str">
        <f>IFERROR(IF(INDEX(SPOT_Import!$A$1:$Z$2488,1514,'Live Data'!$C$14)="","",INDEX(SPOT_Import!$A$1:$Z$2488,1514,'Live Data'!$C$14)),"")</f>
        <v/>
      </c>
      <c r="D1514" s="54" t="str">
        <f>IFERROR(IF(INDEX(SPOT_Import!$A$1:$Z$2488,1514,'Live Data'!$C$15)="","",INDEX(SPOT_Import!$A$1:$Z$2488,1514,'Live Data'!$C$15)),"")</f>
        <v/>
      </c>
      <c r="E1514" s="54" t="str">
        <f>IFERROR(IF(INDEX(SPOT_Import!$A$1:$Z$2488,1514,'Live Data'!$C$16)="","",INDEX(SPOT_Import!$A$1:$Z$2488,1514,'Live Data'!$C$16)),"")</f>
        <v/>
      </c>
      <c r="F1514" s="54" t="str">
        <f>IFERROR(IF(INDEX(SPOT_Import!$A$1:$Z$2488,1514,'Live Data'!$C$17)="","",INDEX(SPOT_Import!$A$1:$Z$2488,1514,'Live Data'!$C$17)),"")</f>
        <v/>
      </c>
      <c r="G1514" s="54" t="str">
        <f>IFERROR(IF(INDEX(SPOT_Import!$A$1:$Z$2488,1514,'Live Data'!$C$18)="","",INDEX(SPOT_Import!$A$1:$Z$2488,1514,'Live Data'!$C$18)),"")</f>
        <v/>
      </c>
      <c r="H1514" s="54" t="str">
        <f>IFERROR(IF(INDEX(SPOT_Import!$A$1:$Z$2488,1514,'Live Data'!$C$19)="","",INDEX(SPOT_Import!$A$1:$Z$2488,1514,'Live Data'!$C$19)),"")</f>
        <v/>
      </c>
      <c r="I1514" s="54" t="str">
        <f>IFERROR(IF(INDEX(SPOT_Import!$A$1:$Z$2488,1514,'Live Data'!$C$20)="","",INDEX(SPOT_Import!$A$1:$Z$2488,1514,'Live Data'!$C$20)),"")</f>
        <v/>
      </c>
      <c r="J1514" s="54" t="str">
        <f>IFERROR(IF(INDEX(SPOT_Import!$A$1:$Z$2488,1514,'Live Data'!$C$21)="","",INDEX(SPOT_Import!$A$1:$Z$2488,1514,'Live Data'!$C$21)),"")</f>
        <v/>
      </c>
      <c r="K1514" s="54" t="str">
        <f>IFERROR(IF(INDEX(SPOT_Import!$A$1:$Z$2488,1514,'Live Data'!$C$22)="","",INDEX(SPOT_Import!$A$1:$Z$2488,1514,'Live Data'!$C$22)),"")</f>
        <v/>
      </c>
      <c r="L1514" s="55" t="str">
        <f t="shared" si="46"/>
        <v/>
      </c>
      <c r="M1514" s="55" t="str">
        <f t="shared" si="47"/>
        <v/>
      </c>
      <c r="N1514" s="55" t="str">
        <f>IF(A1514="","",IFERROR(INDEX('Cluster Map'!$A$4:$A$38,MATCH(M1514,'Cluster Map'!$B$4:$B$38,0)),"Unmapped"))</f>
        <v/>
      </c>
      <c r="O1514" s="55">
        <f>IF(A1514="",0,IF(COUNTIFS($A$2:A1514,A1514,$F$2:F1514,F1514,$L$2:L1514,L1514)=1,1,0))</f>
        <v>0</v>
      </c>
      <c r="P1514" s="55">
        <f>IF(A1514="",0,IF(AND(F1514="C&amp;T",COUNTIFS($A$2:A1514,A1514,$F$2:F1514,"C&amp;T")=1),1,0))</f>
        <v>0</v>
      </c>
    </row>
    <row r="1515" spans="1:16" x14ac:dyDescent="0.35">
      <c r="A1515" s="54" t="str">
        <f>IFERROR(IF(INDEX(SPOT_Import!$A$1:$Z$2488,1515,'Live Data'!$C$12)="","",INDEX(SPOT_Import!$A$1:$Z$2488,1515,'Live Data'!$C$12)),"")</f>
        <v/>
      </c>
      <c r="B1515" s="54" t="str">
        <f>IFERROR(IF(INDEX(SPOT_Import!$A$1:$Z$2488,1515,'Live Data'!$C$13)="","",INDEX(SPOT_Import!$A$1:$Z$2488,1515,'Live Data'!$C$13)),"")</f>
        <v/>
      </c>
      <c r="C1515" s="54" t="str">
        <f>IFERROR(IF(INDEX(SPOT_Import!$A$1:$Z$2488,1515,'Live Data'!$C$14)="","",INDEX(SPOT_Import!$A$1:$Z$2488,1515,'Live Data'!$C$14)),"")</f>
        <v/>
      </c>
      <c r="D1515" s="54" t="str">
        <f>IFERROR(IF(INDEX(SPOT_Import!$A$1:$Z$2488,1515,'Live Data'!$C$15)="","",INDEX(SPOT_Import!$A$1:$Z$2488,1515,'Live Data'!$C$15)),"")</f>
        <v/>
      </c>
      <c r="E1515" s="54" t="str">
        <f>IFERROR(IF(INDEX(SPOT_Import!$A$1:$Z$2488,1515,'Live Data'!$C$16)="","",INDEX(SPOT_Import!$A$1:$Z$2488,1515,'Live Data'!$C$16)),"")</f>
        <v/>
      </c>
      <c r="F1515" s="54" t="str">
        <f>IFERROR(IF(INDEX(SPOT_Import!$A$1:$Z$2488,1515,'Live Data'!$C$17)="","",INDEX(SPOT_Import!$A$1:$Z$2488,1515,'Live Data'!$C$17)),"")</f>
        <v/>
      </c>
      <c r="G1515" s="54" t="str">
        <f>IFERROR(IF(INDEX(SPOT_Import!$A$1:$Z$2488,1515,'Live Data'!$C$18)="","",INDEX(SPOT_Import!$A$1:$Z$2488,1515,'Live Data'!$C$18)),"")</f>
        <v/>
      </c>
      <c r="H1515" s="54" t="str">
        <f>IFERROR(IF(INDEX(SPOT_Import!$A$1:$Z$2488,1515,'Live Data'!$C$19)="","",INDEX(SPOT_Import!$A$1:$Z$2488,1515,'Live Data'!$C$19)),"")</f>
        <v/>
      </c>
      <c r="I1515" s="54" t="str">
        <f>IFERROR(IF(INDEX(SPOT_Import!$A$1:$Z$2488,1515,'Live Data'!$C$20)="","",INDEX(SPOT_Import!$A$1:$Z$2488,1515,'Live Data'!$C$20)),"")</f>
        <v/>
      </c>
      <c r="J1515" s="54" t="str">
        <f>IFERROR(IF(INDEX(SPOT_Import!$A$1:$Z$2488,1515,'Live Data'!$C$21)="","",INDEX(SPOT_Import!$A$1:$Z$2488,1515,'Live Data'!$C$21)),"")</f>
        <v/>
      </c>
      <c r="K1515" s="54" t="str">
        <f>IFERROR(IF(INDEX(SPOT_Import!$A$1:$Z$2488,1515,'Live Data'!$C$22)="","",INDEX(SPOT_Import!$A$1:$Z$2488,1515,'Live Data'!$C$22)),"")</f>
        <v/>
      </c>
      <c r="L1515" s="55" t="str">
        <f t="shared" si="46"/>
        <v/>
      </c>
      <c r="M1515" s="55" t="str">
        <f t="shared" si="47"/>
        <v/>
      </c>
      <c r="N1515" s="55" t="str">
        <f>IF(A1515="","",IFERROR(INDEX('Cluster Map'!$A$4:$A$38,MATCH(M1515,'Cluster Map'!$B$4:$B$38,0)),"Unmapped"))</f>
        <v/>
      </c>
      <c r="O1515" s="55">
        <f>IF(A1515="",0,IF(COUNTIFS($A$2:A1515,A1515,$F$2:F1515,F1515,$L$2:L1515,L1515)=1,1,0))</f>
        <v>0</v>
      </c>
      <c r="P1515" s="55">
        <f>IF(A1515="",0,IF(AND(F1515="C&amp;T",COUNTIFS($A$2:A1515,A1515,$F$2:F1515,"C&amp;T")=1),1,0))</f>
        <v>0</v>
      </c>
    </row>
    <row r="1516" spans="1:16" x14ac:dyDescent="0.35">
      <c r="A1516" s="54" t="str">
        <f>IFERROR(IF(INDEX(SPOT_Import!$A$1:$Z$2488,1516,'Live Data'!$C$12)="","",INDEX(SPOT_Import!$A$1:$Z$2488,1516,'Live Data'!$C$12)),"")</f>
        <v/>
      </c>
      <c r="B1516" s="54" t="str">
        <f>IFERROR(IF(INDEX(SPOT_Import!$A$1:$Z$2488,1516,'Live Data'!$C$13)="","",INDEX(SPOT_Import!$A$1:$Z$2488,1516,'Live Data'!$C$13)),"")</f>
        <v/>
      </c>
      <c r="C1516" s="54" t="str">
        <f>IFERROR(IF(INDEX(SPOT_Import!$A$1:$Z$2488,1516,'Live Data'!$C$14)="","",INDEX(SPOT_Import!$A$1:$Z$2488,1516,'Live Data'!$C$14)),"")</f>
        <v/>
      </c>
      <c r="D1516" s="54" t="str">
        <f>IFERROR(IF(INDEX(SPOT_Import!$A$1:$Z$2488,1516,'Live Data'!$C$15)="","",INDEX(SPOT_Import!$A$1:$Z$2488,1516,'Live Data'!$C$15)),"")</f>
        <v/>
      </c>
      <c r="E1516" s="54" t="str">
        <f>IFERROR(IF(INDEX(SPOT_Import!$A$1:$Z$2488,1516,'Live Data'!$C$16)="","",INDEX(SPOT_Import!$A$1:$Z$2488,1516,'Live Data'!$C$16)),"")</f>
        <v/>
      </c>
      <c r="F1516" s="54" t="str">
        <f>IFERROR(IF(INDEX(SPOT_Import!$A$1:$Z$2488,1516,'Live Data'!$C$17)="","",INDEX(SPOT_Import!$A$1:$Z$2488,1516,'Live Data'!$C$17)),"")</f>
        <v/>
      </c>
      <c r="G1516" s="54" t="str">
        <f>IFERROR(IF(INDEX(SPOT_Import!$A$1:$Z$2488,1516,'Live Data'!$C$18)="","",INDEX(SPOT_Import!$A$1:$Z$2488,1516,'Live Data'!$C$18)),"")</f>
        <v/>
      </c>
      <c r="H1516" s="54" t="str">
        <f>IFERROR(IF(INDEX(SPOT_Import!$A$1:$Z$2488,1516,'Live Data'!$C$19)="","",INDEX(SPOT_Import!$A$1:$Z$2488,1516,'Live Data'!$C$19)),"")</f>
        <v/>
      </c>
      <c r="I1516" s="54" t="str">
        <f>IFERROR(IF(INDEX(SPOT_Import!$A$1:$Z$2488,1516,'Live Data'!$C$20)="","",INDEX(SPOT_Import!$A$1:$Z$2488,1516,'Live Data'!$C$20)),"")</f>
        <v/>
      </c>
      <c r="J1516" s="54" t="str">
        <f>IFERROR(IF(INDEX(SPOT_Import!$A$1:$Z$2488,1516,'Live Data'!$C$21)="","",INDEX(SPOT_Import!$A$1:$Z$2488,1516,'Live Data'!$C$21)),"")</f>
        <v/>
      </c>
      <c r="K1516" s="54" t="str">
        <f>IFERROR(IF(INDEX(SPOT_Import!$A$1:$Z$2488,1516,'Live Data'!$C$22)="","",INDEX(SPOT_Import!$A$1:$Z$2488,1516,'Live Data'!$C$22)),"")</f>
        <v/>
      </c>
      <c r="L1516" s="55" t="str">
        <f t="shared" si="46"/>
        <v/>
      </c>
      <c r="M1516" s="55" t="str">
        <f t="shared" si="47"/>
        <v/>
      </c>
      <c r="N1516" s="55" t="str">
        <f>IF(A1516="","",IFERROR(INDEX('Cluster Map'!$A$4:$A$38,MATCH(M1516,'Cluster Map'!$B$4:$B$38,0)),"Unmapped"))</f>
        <v/>
      </c>
      <c r="O1516" s="55">
        <f>IF(A1516="",0,IF(COUNTIFS($A$2:A1516,A1516,$F$2:F1516,F1516,$L$2:L1516,L1516)=1,1,0))</f>
        <v>0</v>
      </c>
      <c r="P1516" s="55">
        <f>IF(A1516="",0,IF(AND(F1516="C&amp;T",COUNTIFS($A$2:A1516,A1516,$F$2:F1516,"C&amp;T")=1),1,0))</f>
        <v>0</v>
      </c>
    </row>
    <row r="1517" spans="1:16" x14ac:dyDescent="0.35">
      <c r="A1517" s="54" t="str">
        <f>IFERROR(IF(INDEX(SPOT_Import!$A$1:$Z$2488,1517,'Live Data'!$C$12)="","",INDEX(SPOT_Import!$A$1:$Z$2488,1517,'Live Data'!$C$12)),"")</f>
        <v/>
      </c>
      <c r="B1517" s="54" t="str">
        <f>IFERROR(IF(INDEX(SPOT_Import!$A$1:$Z$2488,1517,'Live Data'!$C$13)="","",INDEX(SPOT_Import!$A$1:$Z$2488,1517,'Live Data'!$C$13)),"")</f>
        <v/>
      </c>
      <c r="C1517" s="54" t="str">
        <f>IFERROR(IF(INDEX(SPOT_Import!$A$1:$Z$2488,1517,'Live Data'!$C$14)="","",INDEX(SPOT_Import!$A$1:$Z$2488,1517,'Live Data'!$C$14)),"")</f>
        <v/>
      </c>
      <c r="D1517" s="54" t="str">
        <f>IFERROR(IF(INDEX(SPOT_Import!$A$1:$Z$2488,1517,'Live Data'!$C$15)="","",INDEX(SPOT_Import!$A$1:$Z$2488,1517,'Live Data'!$C$15)),"")</f>
        <v/>
      </c>
      <c r="E1517" s="54" t="str">
        <f>IFERROR(IF(INDEX(SPOT_Import!$A$1:$Z$2488,1517,'Live Data'!$C$16)="","",INDEX(SPOT_Import!$A$1:$Z$2488,1517,'Live Data'!$C$16)),"")</f>
        <v/>
      </c>
      <c r="F1517" s="54" t="str">
        <f>IFERROR(IF(INDEX(SPOT_Import!$A$1:$Z$2488,1517,'Live Data'!$C$17)="","",INDEX(SPOT_Import!$A$1:$Z$2488,1517,'Live Data'!$C$17)),"")</f>
        <v/>
      </c>
      <c r="G1517" s="54" t="str">
        <f>IFERROR(IF(INDEX(SPOT_Import!$A$1:$Z$2488,1517,'Live Data'!$C$18)="","",INDEX(SPOT_Import!$A$1:$Z$2488,1517,'Live Data'!$C$18)),"")</f>
        <v/>
      </c>
      <c r="H1517" s="54" t="str">
        <f>IFERROR(IF(INDEX(SPOT_Import!$A$1:$Z$2488,1517,'Live Data'!$C$19)="","",INDEX(SPOT_Import!$A$1:$Z$2488,1517,'Live Data'!$C$19)),"")</f>
        <v/>
      </c>
      <c r="I1517" s="54" t="str">
        <f>IFERROR(IF(INDEX(SPOT_Import!$A$1:$Z$2488,1517,'Live Data'!$C$20)="","",INDEX(SPOT_Import!$A$1:$Z$2488,1517,'Live Data'!$C$20)),"")</f>
        <v/>
      </c>
      <c r="J1517" s="54" t="str">
        <f>IFERROR(IF(INDEX(SPOT_Import!$A$1:$Z$2488,1517,'Live Data'!$C$21)="","",INDEX(SPOT_Import!$A$1:$Z$2488,1517,'Live Data'!$C$21)),"")</f>
        <v/>
      </c>
      <c r="K1517" s="54" t="str">
        <f>IFERROR(IF(INDEX(SPOT_Import!$A$1:$Z$2488,1517,'Live Data'!$C$22)="","",INDEX(SPOT_Import!$A$1:$Z$2488,1517,'Live Data'!$C$22)),"")</f>
        <v/>
      </c>
      <c r="L1517" s="55" t="str">
        <f t="shared" si="46"/>
        <v/>
      </c>
      <c r="M1517" s="55" t="str">
        <f t="shared" si="47"/>
        <v/>
      </c>
      <c r="N1517" s="55" t="str">
        <f>IF(A1517="","",IFERROR(INDEX('Cluster Map'!$A$4:$A$38,MATCH(M1517,'Cluster Map'!$B$4:$B$38,0)),"Unmapped"))</f>
        <v/>
      </c>
      <c r="O1517" s="55">
        <f>IF(A1517="",0,IF(COUNTIFS($A$2:A1517,A1517,$F$2:F1517,F1517,$L$2:L1517,L1517)=1,1,0))</f>
        <v>0</v>
      </c>
      <c r="P1517" s="55">
        <f>IF(A1517="",0,IF(AND(F1517="C&amp;T",COUNTIFS($A$2:A1517,A1517,$F$2:F1517,"C&amp;T")=1),1,0))</f>
        <v>0</v>
      </c>
    </row>
    <row r="1518" spans="1:16" x14ac:dyDescent="0.35">
      <c r="A1518" s="54" t="str">
        <f>IFERROR(IF(INDEX(SPOT_Import!$A$1:$Z$2488,1518,'Live Data'!$C$12)="","",INDEX(SPOT_Import!$A$1:$Z$2488,1518,'Live Data'!$C$12)),"")</f>
        <v/>
      </c>
      <c r="B1518" s="54" t="str">
        <f>IFERROR(IF(INDEX(SPOT_Import!$A$1:$Z$2488,1518,'Live Data'!$C$13)="","",INDEX(SPOT_Import!$A$1:$Z$2488,1518,'Live Data'!$C$13)),"")</f>
        <v/>
      </c>
      <c r="C1518" s="54" t="str">
        <f>IFERROR(IF(INDEX(SPOT_Import!$A$1:$Z$2488,1518,'Live Data'!$C$14)="","",INDEX(SPOT_Import!$A$1:$Z$2488,1518,'Live Data'!$C$14)),"")</f>
        <v/>
      </c>
      <c r="D1518" s="54" t="str">
        <f>IFERROR(IF(INDEX(SPOT_Import!$A$1:$Z$2488,1518,'Live Data'!$C$15)="","",INDEX(SPOT_Import!$A$1:$Z$2488,1518,'Live Data'!$C$15)),"")</f>
        <v/>
      </c>
      <c r="E1518" s="54" t="str">
        <f>IFERROR(IF(INDEX(SPOT_Import!$A$1:$Z$2488,1518,'Live Data'!$C$16)="","",INDEX(SPOT_Import!$A$1:$Z$2488,1518,'Live Data'!$C$16)),"")</f>
        <v/>
      </c>
      <c r="F1518" s="54" t="str">
        <f>IFERROR(IF(INDEX(SPOT_Import!$A$1:$Z$2488,1518,'Live Data'!$C$17)="","",INDEX(SPOT_Import!$A$1:$Z$2488,1518,'Live Data'!$C$17)),"")</f>
        <v/>
      </c>
      <c r="G1518" s="54" t="str">
        <f>IFERROR(IF(INDEX(SPOT_Import!$A$1:$Z$2488,1518,'Live Data'!$C$18)="","",INDEX(SPOT_Import!$A$1:$Z$2488,1518,'Live Data'!$C$18)),"")</f>
        <v/>
      </c>
      <c r="H1518" s="54" t="str">
        <f>IFERROR(IF(INDEX(SPOT_Import!$A$1:$Z$2488,1518,'Live Data'!$C$19)="","",INDEX(SPOT_Import!$A$1:$Z$2488,1518,'Live Data'!$C$19)),"")</f>
        <v/>
      </c>
      <c r="I1518" s="54" t="str">
        <f>IFERROR(IF(INDEX(SPOT_Import!$A$1:$Z$2488,1518,'Live Data'!$C$20)="","",INDEX(SPOT_Import!$A$1:$Z$2488,1518,'Live Data'!$C$20)),"")</f>
        <v/>
      </c>
      <c r="J1518" s="54" t="str">
        <f>IFERROR(IF(INDEX(SPOT_Import!$A$1:$Z$2488,1518,'Live Data'!$C$21)="","",INDEX(SPOT_Import!$A$1:$Z$2488,1518,'Live Data'!$C$21)),"")</f>
        <v/>
      </c>
      <c r="K1518" s="54" t="str">
        <f>IFERROR(IF(INDEX(SPOT_Import!$A$1:$Z$2488,1518,'Live Data'!$C$22)="","",INDEX(SPOT_Import!$A$1:$Z$2488,1518,'Live Data'!$C$22)),"")</f>
        <v/>
      </c>
      <c r="L1518" s="55" t="str">
        <f t="shared" si="46"/>
        <v/>
      </c>
      <c r="M1518" s="55" t="str">
        <f t="shared" si="47"/>
        <v/>
      </c>
      <c r="N1518" s="55" t="str">
        <f>IF(A1518="","",IFERROR(INDEX('Cluster Map'!$A$4:$A$38,MATCH(M1518,'Cluster Map'!$B$4:$B$38,0)),"Unmapped"))</f>
        <v/>
      </c>
      <c r="O1518" s="55">
        <f>IF(A1518="",0,IF(COUNTIFS($A$2:A1518,A1518,$F$2:F1518,F1518,$L$2:L1518,L1518)=1,1,0))</f>
        <v>0</v>
      </c>
      <c r="P1518" s="55">
        <f>IF(A1518="",0,IF(AND(F1518="C&amp;T",COUNTIFS($A$2:A1518,A1518,$F$2:F1518,"C&amp;T")=1),1,0))</f>
        <v>0</v>
      </c>
    </row>
    <row r="1519" spans="1:16" x14ac:dyDescent="0.35">
      <c r="A1519" s="54" t="str">
        <f>IFERROR(IF(INDEX(SPOT_Import!$A$1:$Z$2488,1519,'Live Data'!$C$12)="","",INDEX(SPOT_Import!$A$1:$Z$2488,1519,'Live Data'!$C$12)),"")</f>
        <v/>
      </c>
      <c r="B1519" s="54" t="str">
        <f>IFERROR(IF(INDEX(SPOT_Import!$A$1:$Z$2488,1519,'Live Data'!$C$13)="","",INDEX(SPOT_Import!$A$1:$Z$2488,1519,'Live Data'!$C$13)),"")</f>
        <v/>
      </c>
      <c r="C1519" s="54" t="str">
        <f>IFERROR(IF(INDEX(SPOT_Import!$A$1:$Z$2488,1519,'Live Data'!$C$14)="","",INDEX(SPOT_Import!$A$1:$Z$2488,1519,'Live Data'!$C$14)),"")</f>
        <v/>
      </c>
      <c r="D1519" s="54" t="str">
        <f>IFERROR(IF(INDEX(SPOT_Import!$A$1:$Z$2488,1519,'Live Data'!$C$15)="","",INDEX(SPOT_Import!$A$1:$Z$2488,1519,'Live Data'!$C$15)),"")</f>
        <v/>
      </c>
      <c r="E1519" s="54" t="str">
        <f>IFERROR(IF(INDEX(SPOT_Import!$A$1:$Z$2488,1519,'Live Data'!$C$16)="","",INDEX(SPOT_Import!$A$1:$Z$2488,1519,'Live Data'!$C$16)),"")</f>
        <v/>
      </c>
      <c r="F1519" s="54" t="str">
        <f>IFERROR(IF(INDEX(SPOT_Import!$A$1:$Z$2488,1519,'Live Data'!$C$17)="","",INDEX(SPOT_Import!$A$1:$Z$2488,1519,'Live Data'!$C$17)),"")</f>
        <v/>
      </c>
      <c r="G1519" s="54" t="str">
        <f>IFERROR(IF(INDEX(SPOT_Import!$A$1:$Z$2488,1519,'Live Data'!$C$18)="","",INDEX(SPOT_Import!$A$1:$Z$2488,1519,'Live Data'!$C$18)),"")</f>
        <v/>
      </c>
      <c r="H1519" s="54" t="str">
        <f>IFERROR(IF(INDEX(SPOT_Import!$A$1:$Z$2488,1519,'Live Data'!$C$19)="","",INDEX(SPOT_Import!$A$1:$Z$2488,1519,'Live Data'!$C$19)),"")</f>
        <v/>
      </c>
      <c r="I1519" s="54" t="str">
        <f>IFERROR(IF(INDEX(SPOT_Import!$A$1:$Z$2488,1519,'Live Data'!$C$20)="","",INDEX(SPOT_Import!$A$1:$Z$2488,1519,'Live Data'!$C$20)),"")</f>
        <v/>
      </c>
      <c r="J1519" s="54" t="str">
        <f>IFERROR(IF(INDEX(SPOT_Import!$A$1:$Z$2488,1519,'Live Data'!$C$21)="","",INDEX(SPOT_Import!$A$1:$Z$2488,1519,'Live Data'!$C$21)),"")</f>
        <v/>
      </c>
      <c r="K1519" s="54" t="str">
        <f>IFERROR(IF(INDEX(SPOT_Import!$A$1:$Z$2488,1519,'Live Data'!$C$22)="","",INDEX(SPOT_Import!$A$1:$Z$2488,1519,'Live Data'!$C$22)),"")</f>
        <v/>
      </c>
      <c r="L1519" s="55" t="str">
        <f t="shared" si="46"/>
        <v/>
      </c>
      <c r="M1519" s="55" t="str">
        <f t="shared" si="47"/>
        <v/>
      </c>
      <c r="N1519" s="55" t="str">
        <f>IF(A1519="","",IFERROR(INDEX('Cluster Map'!$A$4:$A$38,MATCH(M1519,'Cluster Map'!$B$4:$B$38,0)),"Unmapped"))</f>
        <v/>
      </c>
      <c r="O1519" s="55">
        <f>IF(A1519="",0,IF(COUNTIFS($A$2:A1519,A1519,$F$2:F1519,F1519,$L$2:L1519,L1519)=1,1,0))</f>
        <v>0</v>
      </c>
      <c r="P1519" s="55">
        <f>IF(A1519="",0,IF(AND(F1519="C&amp;T",COUNTIFS($A$2:A1519,A1519,$F$2:F1519,"C&amp;T")=1),1,0))</f>
        <v>0</v>
      </c>
    </row>
    <row r="1520" spans="1:16" x14ac:dyDescent="0.35">
      <c r="A1520" s="54" t="str">
        <f>IFERROR(IF(INDEX(SPOT_Import!$A$1:$Z$2488,1520,'Live Data'!$C$12)="","",INDEX(SPOT_Import!$A$1:$Z$2488,1520,'Live Data'!$C$12)),"")</f>
        <v/>
      </c>
      <c r="B1520" s="54" t="str">
        <f>IFERROR(IF(INDEX(SPOT_Import!$A$1:$Z$2488,1520,'Live Data'!$C$13)="","",INDEX(SPOT_Import!$A$1:$Z$2488,1520,'Live Data'!$C$13)),"")</f>
        <v/>
      </c>
      <c r="C1520" s="54" t="str">
        <f>IFERROR(IF(INDEX(SPOT_Import!$A$1:$Z$2488,1520,'Live Data'!$C$14)="","",INDEX(SPOT_Import!$A$1:$Z$2488,1520,'Live Data'!$C$14)),"")</f>
        <v/>
      </c>
      <c r="D1520" s="54" t="str">
        <f>IFERROR(IF(INDEX(SPOT_Import!$A$1:$Z$2488,1520,'Live Data'!$C$15)="","",INDEX(SPOT_Import!$A$1:$Z$2488,1520,'Live Data'!$C$15)),"")</f>
        <v/>
      </c>
      <c r="E1520" s="54" t="str">
        <f>IFERROR(IF(INDEX(SPOT_Import!$A$1:$Z$2488,1520,'Live Data'!$C$16)="","",INDEX(SPOT_Import!$A$1:$Z$2488,1520,'Live Data'!$C$16)),"")</f>
        <v/>
      </c>
      <c r="F1520" s="54" t="str">
        <f>IFERROR(IF(INDEX(SPOT_Import!$A$1:$Z$2488,1520,'Live Data'!$C$17)="","",INDEX(SPOT_Import!$A$1:$Z$2488,1520,'Live Data'!$C$17)),"")</f>
        <v/>
      </c>
      <c r="G1520" s="54" t="str">
        <f>IFERROR(IF(INDEX(SPOT_Import!$A$1:$Z$2488,1520,'Live Data'!$C$18)="","",INDEX(SPOT_Import!$A$1:$Z$2488,1520,'Live Data'!$C$18)),"")</f>
        <v/>
      </c>
      <c r="H1520" s="54" t="str">
        <f>IFERROR(IF(INDEX(SPOT_Import!$A$1:$Z$2488,1520,'Live Data'!$C$19)="","",INDEX(SPOT_Import!$A$1:$Z$2488,1520,'Live Data'!$C$19)),"")</f>
        <v/>
      </c>
      <c r="I1520" s="54" t="str">
        <f>IFERROR(IF(INDEX(SPOT_Import!$A$1:$Z$2488,1520,'Live Data'!$C$20)="","",INDEX(SPOT_Import!$A$1:$Z$2488,1520,'Live Data'!$C$20)),"")</f>
        <v/>
      </c>
      <c r="J1520" s="54" t="str">
        <f>IFERROR(IF(INDEX(SPOT_Import!$A$1:$Z$2488,1520,'Live Data'!$C$21)="","",INDEX(SPOT_Import!$A$1:$Z$2488,1520,'Live Data'!$C$21)),"")</f>
        <v/>
      </c>
      <c r="K1520" s="54" t="str">
        <f>IFERROR(IF(INDEX(SPOT_Import!$A$1:$Z$2488,1520,'Live Data'!$C$22)="","",INDEX(SPOT_Import!$A$1:$Z$2488,1520,'Live Data'!$C$22)),"")</f>
        <v/>
      </c>
      <c r="L1520" s="55" t="str">
        <f t="shared" si="46"/>
        <v/>
      </c>
      <c r="M1520" s="55" t="str">
        <f t="shared" si="47"/>
        <v/>
      </c>
      <c r="N1520" s="55" t="str">
        <f>IF(A1520="","",IFERROR(INDEX('Cluster Map'!$A$4:$A$38,MATCH(M1520,'Cluster Map'!$B$4:$B$38,0)),"Unmapped"))</f>
        <v/>
      </c>
      <c r="O1520" s="55">
        <f>IF(A1520="",0,IF(COUNTIFS($A$2:A1520,A1520,$F$2:F1520,F1520,$L$2:L1520,L1520)=1,1,0))</f>
        <v>0</v>
      </c>
      <c r="P1520" s="55">
        <f>IF(A1520="",0,IF(AND(F1520="C&amp;T",COUNTIFS($A$2:A1520,A1520,$F$2:F1520,"C&amp;T")=1),1,0))</f>
        <v>0</v>
      </c>
    </row>
    <row r="1521" spans="1:16" x14ac:dyDescent="0.35">
      <c r="A1521" s="54" t="str">
        <f>IFERROR(IF(INDEX(SPOT_Import!$A$1:$Z$2488,1521,'Live Data'!$C$12)="","",INDEX(SPOT_Import!$A$1:$Z$2488,1521,'Live Data'!$C$12)),"")</f>
        <v/>
      </c>
      <c r="B1521" s="54" t="str">
        <f>IFERROR(IF(INDEX(SPOT_Import!$A$1:$Z$2488,1521,'Live Data'!$C$13)="","",INDEX(SPOT_Import!$A$1:$Z$2488,1521,'Live Data'!$C$13)),"")</f>
        <v/>
      </c>
      <c r="C1521" s="54" t="str">
        <f>IFERROR(IF(INDEX(SPOT_Import!$A$1:$Z$2488,1521,'Live Data'!$C$14)="","",INDEX(SPOT_Import!$A$1:$Z$2488,1521,'Live Data'!$C$14)),"")</f>
        <v/>
      </c>
      <c r="D1521" s="54" t="str">
        <f>IFERROR(IF(INDEX(SPOT_Import!$A$1:$Z$2488,1521,'Live Data'!$C$15)="","",INDEX(SPOT_Import!$A$1:$Z$2488,1521,'Live Data'!$C$15)),"")</f>
        <v/>
      </c>
      <c r="E1521" s="54" t="str">
        <f>IFERROR(IF(INDEX(SPOT_Import!$A$1:$Z$2488,1521,'Live Data'!$C$16)="","",INDEX(SPOT_Import!$A$1:$Z$2488,1521,'Live Data'!$C$16)),"")</f>
        <v/>
      </c>
      <c r="F1521" s="54" t="str">
        <f>IFERROR(IF(INDEX(SPOT_Import!$A$1:$Z$2488,1521,'Live Data'!$C$17)="","",INDEX(SPOT_Import!$A$1:$Z$2488,1521,'Live Data'!$C$17)),"")</f>
        <v/>
      </c>
      <c r="G1521" s="54" t="str">
        <f>IFERROR(IF(INDEX(SPOT_Import!$A$1:$Z$2488,1521,'Live Data'!$C$18)="","",INDEX(SPOT_Import!$A$1:$Z$2488,1521,'Live Data'!$C$18)),"")</f>
        <v/>
      </c>
      <c r="H1521" s="54" t="str">
        <f>IFERROR(IF(INDEX(SPOT_Import!$A$1:$Z$2488,1521,'Live Data'!$C$19)="","",INDEX(SPOT_Import!$A$1:$Z$2488,1521,'Live Data'!$C$19)),"")</f>
        <v/>
      </c>
      <c r="I1521" s="54" t="str">
        <f>IFERROR(IF(INDEX(SPOT_Import!$A$1:$Z$2488,1521,'Live Data'!$C$20)="","",INDEX(SPOT_Import!$A$1:$Z$2488,1521,'Live Data'!$C$20)),"")</f>
        <v/>
      </c>
      <c r="J1521" s="54" t="str">
        <f>IFERROR(IF(INDEX(SPOT_Import!$A$1:$Z$2488,1521,'Live Data'!$C$21)="","",INDEX(SPOT_Import!$A$1:$Z$2488,1521,'Live Data'!$C$21)),"")</f>
        <v/>
      </c>
      <c r="K1521" s="54" t="str">
        <f>IFERROR(IF(INDEX(SPOT_Import!$A$1:$Z$2488,1521,'Live Data'!$C$22)="","",INDEX(SPOT_Import!$A$1:$Z$2488,1521,'Live Data'!$C$22)),"")</f>
        <v/>
      </c>
      <c r="L1521" s="55" t="str">
        <f t="shared" si="46"/>
        <v/>
      </c>
      <c r="M1521" s="55" t="str">
        <f t="shared" si="47"/>
        <v/>
      </c>
      <c r="N1521" s="55" t="str">
        <f>IF(A1521="","",IFERROR(INDEX('Cluster Map'!$A$4:$A$38,MATCH(M1521,'Cluster Map'!$B$4:$B$38,0)),"Unmapped"))</f>
        <v/>
      </c>
      <c r="O1521" s="55">
        <f>IF(A1521="",0,IF(COUNTIFS($A$2:A1521,A1521,$F$2:F1521,F1521,$L$2:L1521,L1521)=1,1,0))</f>
        <v>0</v>
      </c>
      <c r="P1521" s="55">
        <f>IF(A1521="",0,IF(AND(F1521="C&amp;T",COUNTIFS($A$2:A1521,A1521,$F$2:F1521,"C&amp;T")=1),1,0))</f>
        <v>0</v>
      </c>
    </row>
    <row r="1522" spans="1:16" x14ac:dyDescent="0.35">
      <c r="A1522" s="54" t="str">
        <f>IFERROR(IF(INDEX(SPOT_Import!$A$1:$Z$2488,1522,'Live Data'!$C$12)="","",INDEX(SPOT_Import!$A$1:$Z$2488,1522,'Live Data'!$C$12)),"")</f>
        <v/>
      </c>
      <c r="B1522" s="54" t="str">
        <f>IFERROR(IF(INDEX(SPOT_Import!$A$1:$Z$2488,1522,'Live Data'!$C$13)="","",INDEX(SPOT_Import!$A$1:$Z$2488,1522,'Live Data'!$C$13)),"")</f>
        <v/>
      </c>
      <c r="C1522" s="54" t="str">
        <f>IFERROR(IF(INDEX(SPOT_Import!$A$1:$Z$2488,1522,'Live Data'!$C$14)="","",INDEX(SPOT_Import!$A$1:$Z$2488,1522,'Live Data'!$C$14)),"")</f>
        <v/>
      </c>
      <c r="D1522" s="54" t="str">
        <f>IFERROR(IF(INDEX(SPOT_Import!$A$1:$Z$2488,1522,'Live Data'!$C$15)="","",INDEX(SPOT_Import!$A$1:$Z$2488,1522,'Live Data'!$C$15)),"")</f>
        <v/>
      </c>
      <c r="E1522" s="54" t="str">
        <f>IFERROR(IF(INDEX(SPOT_Import!$A$1:$Z$2488,1522,'Live Data'!$C$16)="","",INDEX(SPOT_Import!$A$1:$Z$2488,1522,'Live Data'!$C$16)),"")</f>
        <v/>
      </c>
      <c r="F1522" s="54" t="str">
        <f>IFERROR(IF(INDEX(SPOT_Import!$A$1:$Z$2488,1522,'Live Data'!$C$17)="","",INDEX(SPOT_Import!$A$1:$Z$2488,1522,'Live Data'!$C$17)),"")</f>
        <v/>
      </c>
      <c r="G1522" s="54" t="str">
        <f>IFERROR(IF(INDEX(SPOT_Import!$A$1:$Z$2488,1522,'Live Data'!$C$18)="","",INDEX(SPOT_Import!$A$1:$Z$2488,1522,'Live Data'!$C$18)),"")</f>
        <v/>
      </c>
      <c r="H1522" s="54" t="str">
        <f>IFERROR(IF(INDEX(SPOT_Import!$A$1:$Z$2488,1522,'Live Data'!$C$19)="","",INDEX(SPOT_Import!$A$1:$Z$2488,1522,'Live Data'!$C$19)),"")</f>
        <v/>
      </c>
      <c r="I1522" s="54" t="str">
        <f>IFERROR(IF(INDEX(SPOT_Import!$A$1:$Z$2488,1522,'Live Data'!$C$20)="","",INDEX(SPOT_Import!$A$1:$Z$2488,1522,'Live Data'!$C$20)),"")</f>
        <v/>
      </c>
      <c r="J1522" s="54" t="str">
        <f>IFERROR(IF(INDEX(SPOT_Import!$A$1:$Z$2488,1522,'Live Data'!$C$21)="","",INDEX(SPOT_Import!$A$1:$Z$2488,1522,'Live Data'!$C$21)),"")</f>
        <v/>
      </c>
      <c r="K1522" s="54" t="str">
        <f>IFERROR(IF(INDEX(SPOT_Import!$A$1:$Z$2488,1522,'Live Data'!$C$22)="","",INDEX(SPOT_Import!$A$1:$Z$2488,1522,'Live Data'!$C$22)),"")</f>
        <v/>
      </c>
      <c r="L1522" s="55" t="str">
        <f t="shared" si="46"/>
        <v/>
      </c>
      <c r="M1522" s="55" t="str">
        <f t="shared" si="47"/>
        <v/>
      </c>
      <c r="N1522" s="55" t="str">
        <f>IF(A1522="","",IFERROR(INDEX('Cluster Map'!$A$4:$A$38,MATCH(M1522,'Cluster Map'!$B$4:$B$38,0)),"Unmapped"))</f>
        <v/>
      </c>
      <c r="O1522" s="55">
        <f>IF(A1522="",0,IF(COUNTIFS($A$2:A1522,A1522,$F$2:F1522,F1522,$L$2:L1522,L1522)=1,1,0))</f>
        <v>0</v>
      </c>
      <c r="P1522" s="55">
        <f>IF(A1522="",0,IF(AND(F1522="C&amp;T",COUNTIFS($A$2:A1522,A1522,$F$2:F1522,"C&amp;T")=1),1,0))</f>
        <v>0</v>
      </c>
    </row>
    <row r="1523" spans="1:16" x14ac:dyDescent="0.35">
      <c r="A1523" s="54" t="str">
        <f>IFERROR(IF(INDEX(SPOT_Import!$A$1:$Z$2488,1523,'Live Data'!$C$12)="","",INDEX(SPOT_Import!$A$1:$Z$2488,1523,'Live Data'!$C$12)),"")</f>
        <v/>
      </c>
      <c r="B1523" s="54" t="str">
        <f>IFERROR(IF(INDEX(SPOT_Import!$A$1:$Z$2488,1523,'Live Data'!$C$13)="","",INDEX(SPOT_Import!$A$1:$Z$2488,1523,'Live Data'!$C$13)),"")</f>
        <v/>
      </c>
      <c r="C1523" s="54" t="str">
        <f>IFERROR(IF(INDEX(SPOT_Import!$A$1:$Z$2488,1523,'Live Data'!$C$14)="","",INDEX(SPOT_Import!$A$1:$Z$2488,1523,'Live Data'!$C$14)),"")</f>
        <v/>
      </c>
      <c r="D1523" s="54" t="str">
        <f>IFERROR(IF(INDEX(SPOT_Import!$A$1:$Z$2488,1523,'Live Data'!$C$15)="","",INDEX(SPOT_Import!$A$1:$Z$2488,1523,'Live Data'!$C$15)),"")</f>
        <v/>
      </c>
      <c r="E1523" s="54" t="str">
        <f>IFERROR(IF(INDEX(SPOT_Import!$A$1:$Z$2488,1523,'Live Data'!$C$16)="","",INDEX(SPOT_Import!$A$1:$Z$2488,1523,'Live Data'!$C$16)),"")</f>
        <v/>
      </c>
      <c r="F1523" s="54" t="str">
        <f>IFERROR(IF(INDEX(SPOT_Import!$A$1:$Z$2488,1523,'Live Data'!$C$17)="","",INDEX(SPOT_Import!$A$1:$Z$2488,1523,'Live Data'!$C$17)),"")</f>
        <v/>
      </c>
      <c r="G1523" s="54" t="str">
        <f>IFERROR(IF(INDEX(SPOT_Import!$A$1:$Z$2488,1523,'Live Data'!$C$18)="","",INDEX(SPOT_Import!$A$1:$Z$2488,1523,'Live Data'!$C$18)),"")</f>
        <v/>
      </c>
      <c r="H1523" s="54" t="str">
        <f>IFERROR(IF(INDEX(SPOT_Import!$A$1:$Z$2488,1523,'Live Data'!$C$19)="","",INDEX(SPOT_Import!$A$1:$Z$2488,1523,'Live Data'!$C$19)),"")</f>
        <v/>
      </c>
      <c r="I1523" s="54" t="str">
        <f>IFERROR(IF(INDEX(SPOT_Import!$A$1:$Z$2488,1523,'Live Data'!$C$20)="","",INDEX(SPOT_Import!$A$1:$Z$2488,1523,'Live Data'!$C$20)),"")</f>
        <v/>
      </c>
      <c r="J1523" s="54" t="str">
        <f>IFERROR(IF(INDEX(SPOT_Import!$A$1:$Z$2488,1523,'Live Data'!$C$21)="","",INDEX(SPOT_Import!$A$1:$Z$2488,1523,'Live Data'!$C$21)),"")</f>
        <v/>
      </c>
      <c r="K1523" s="54" t="str">
        <f>IFERROR(IF(INDEX(SPOT_Import!$A$1:$Z$2488,1523,'Live Data'!$C$22)="","",INDEX(SPOT_Import!$A$1:$Z$2488,1523,'Live Data'!$C$22)),"")</f>
        <v/>
      </c>
      <c r="L1523" s="55" t="str">
        <f t="shared" si="46"/>
        <v/>
      </c>
      <c r="M1523" s="55" t="str">
        <f t="shared" si="47"/>
        <v/>
      </c>
      <c r="N1523" s="55" t="str">
        <f>IF(A1523="","",IFERROR(INDEX('Cluster Map'!$A$4:$A$38,MATCH(M1523,'Cluster Map'!$B$4:$B$38,0)),"Unmapped"))</f>
        <v/>
      </c>
      <c r="O1523" s="55">
        <f>IF(A1523="",0,IF(COUNTIFS($A$2:A1523,A1523,$F$2:F1523,F1523,$L$2:L1523,L1523)=1,1,0))</f>
        <v>0</v>
      </c>
      <c r="P1523" s="55">
        <f>IF(A1523="",0,IF(AND(F1523="C&amp;T",COUNTIFS($A$2:A1523,A1523,$F$2:F1523,"C&amp;T")=1),1,0))</f>
        <v>0</v>
      </c>
    </row>
    <row r="1524" spans="1:16" x14ac:dyDescent="0.35">
      <c r="A1524" s="54" t="str">
        <f>IFERROR(IF(INDEX(SPOT_Import!$A$1:$Z$2488,1524,'Live Data'!$C$12)="","",INDEX(SPOT_Import!$A$1:$Z$2488,1524,'Live Data'!$C$12)),"")</f>
        <v/>
      </c>
      <c r="B1524" s="54" t="str">
        <f>IFERROR(IF(INDEX(SPOT_Import!$A$1:$Z$2488,1524,'Live Data'!$C$13)="","",INDEX(SPOT_Import!$A$1:$Z$2488,1524,'Live Data'!$C$13)),"")</f>
        <v/>
      </c>
      <c r="C1524" s="54" t="str">
        <f>IFERROR(IF(INDEX(SPOT_Import!$A$1:$Z$2488,1524,'Live Data'!$C$14)="","",INDEX(SPOT_Import!$A$1:$Z$2488,1524,'Live Data'!$C$14)),"")</f>
        <v/>
      </c>
      <c r="D1524" s="54" t="str">
        <f>IFERROR(IF(INDEX(SPOT_Import!$A$1:$Z$2488,1524,'Live Data'!$C$15)="","",INDEX(SPOT_Import!$A$1:$Z$2488,1524,'Live Data'!$C$15)),"")</f>
        <v/>
      </c>
      <c r="E1524" s="54" t="str">
        <f>IFERROR(IF(INDEX(SPOT_Import!$A$1:$Z$2488,1524,'Live Data'!$C$16)="","",INDEX(SPOT_Import!$A$1:$Z$2488,1524,'Live Data'!$C$16)),"")</f>
        <v/>
      </c>
      <c r="F1524" s="54" t="str">
        <f>IFERROR(IF(INDEX(SPOT_Import!$A$1:$Z$2488,1524,'Live Data'!$C$17)="","",INDEX(SPOT_Import!$A$1:$Z$2488,1524,'Live Data'!$C$17)),"")</f>
        <v/>
      </c>
      <c r="G1524" s="54" t="str">
        <f>IFERROR(IF(INDEX(SPOT_Import!$A$1:$Z$2488,1524,'Live Data'!$C$18)="","",INDEX(SPOT_Import!$A$1:$Z$2488,1524,'Live Data'!$C$18)),"")</f>
        <v/>
      </c>
      <c r="H1524" s="54" t="str">
        <f>IFERROR(IF(INDEX(SPOT_Import!$A$1:$Z$2488,1524,'Live Data'!$C$19)="","",INDEX(SPOT_Import!$A$1:$Z$2488,1524,'Live Data'!$C$19)),"")</f>
        <v/>
      </c>
      <c r="I1524" s="54" t="str">
        <f>IFERROR(IF(INDEX(SPOT_Import!$A$1:$Z$2488,1524,'Live Data'!$C$20)="","",INDEX(SPOT_Import!$A$1:$Z$2488,1524,'Live Data'!$C$20)),"")</f>
        <v/>
      </c>
      <c r="J1524" s="54" t="str">
        <f>IFERROR(IF(INDEX(SPOT_Import!$A$1:$Z$2488,1524,'Live Data'!$C$21)="","",INDEX(SPOT_Import!$A$1:$Z$2488,1524,'Live Data'!$C$21)),"")</f>
        <v/>
      </c>
      <c r="K1524" s="54" t="str">
        <f>IFERROR(IF(INDEX(SPOT_Import!$A$1:$Z$2488,1524,'Live Data'!$C$22)="","",INDEX(SPOT_Import!$A$1:$Z$2488,1524,'Live Data'!$C$22)),"")</f>
        <v/>
      </c>
      <c r="L1524" s="55" t="str">
        <f t="shared" si="46"/>
        <v/>
      </c>
      <c r="M1524" s="55" t="str">
        <f t="shared" si="47"/>
        <v/>
      </c>
      <c r="N1524" s="55" t="str">
        <f>IF(A1524="","",IFERROR(INDEX('Cluster Map'!$A$4:$A$38,MATCH(M1524,'Cluster Map'!$B$4:$B$38,0)),"Unmapped"))</f>
        <v/>
      </c>
      <c r="O1524" s="55">
        <f>IF(A1524="",0,IF(COUNTIFS($A$2:A1524,A1524,$F$2:F1524,F1524,$L$2:L1524,L1524)=1,1,0))</f>
        <v>0</v>
      </c>
      <c r="P1524" s="55">
        <f>IF(A1524="",0,IF(AND(F1524="C&amp;T",COUNTIFS($A$2:A1524,A1524,$F$2:F1524,"C&amp;T")=1),1,0))</f>
        <v>0</v>
      </c>
    </row>
    <row r="1525" spans="1:16" x14ac:dyDescent="0.35">
      <c r="A1525" s="54" t="str">
        <f>IFERROR(IF(INDEX(SPOT_Import!$A$1:$Z$2488,1525,'Live Data'!$C$12)="","",INDEX(SPOT_Import!$A$1:$Z$2488,1525,'Live Data'!$C$12)),"")</f>
        <v/>
      </c>
      <c r="B1525" s="54" t="str">
        <f>IFERROR(IF(INDEX(SPOT_Import!$A$1:$Z$2488,1525,'Live Data'!$C$13)="","",INDEX(SPOT_Import!$A$1:$Z$2488,1525,'Live Data'!$C$13)),"")</f>
        <v/>
      </c>
      <c r="C1525" s="54" t="str">
        <f>IFERROR(IF(INDEX(SPOT_Import!$A$1:$Z$2488,1525,'Live Data'!$C$14)="","",INDEX(SPOT_Import!$A$1:$Z$2488,1525,'Live Data'!$C$14)),"")</f>
        <v/>
      </c>
      <c r="D1525" s="54" t="str">
        <f>IFERROR(IF(INDEX(SPOT_Import!$A$1:$Z$2488,1525,'Live Data'!$C$15)="","",INDEX(SPOT_Import!$A$1:$Z$2488,1525,'Live Data'!$C$15)),"")</f>
        <v/>
      </c>
      <c r="E1525" s="54" t="str">
        <f>IFERROR(IF(INDEX(SPOT_Import!$A$1:$Z$2488,1525,'Live Data'!$C$16)="","",INDEX(SPOT_Import!$A$1:$Z$2488,1525,'Live Data'!$C$16)),"")</f>
        <v/>
      </c>
      <c r="F1525" s="54" t="str">
        <f>IFERROR(IF(INDEX(SPOT_Import!$A$1:$Z$2488,1525,'Live Data'!$C$17)="","",INDEX(SPOT_Import!$A$1:$Z$2488,1525,'Live Data'!$C$17)),"")</f>
        <v/>
      </c>
      <c r="G1525" s="54" t="str">
        <f>IFERROR(IF(INDEX(SPOT_Import!$A$1:$Z$2488,1525,'Live Data'!$C$18)="","",INDEX(SPOT_Import!$A$1:$Z$2488,1525,'Live Data'!$C$18)),"")</f>
        <v/>
      </c>
      <c r="H1525" s="54" t="str">
        <f>IFERROR(IF(INDEX(SPOT_Import!$A$1:$Z$2488,1525,'Live Data'!$C$19)="","",INDEX(SPOT_Import!$A$1:$Z$2488,1525,'Live Data'!$C$19)),"")</f>
        <v/>
      </c>
      <c r="I1525" s="54" t="str">
        <f>IFERROR(IF(INDEX(SPOT_Import!$A$1:$Z$2488,1525,'Live Data'!$C$20)="","",INDEX(SPOT_Import!$A$1:$Z$2488,1525,'Live Data'!$C$20)),"")</f>
        <v/>
      </c>
      <c r="J1525" s="54" t="str">
        <f>IFERROR(IF(INDEX(SPOT_Import!$A$1:$Z$2488,1525,'Live Data'!$C$21)="","",INDEX(SPOT_Import!$A$1:$Z$2488,1525,'Live Data'!$C$21)),"")</f>
        <v/>
      </c>
      <c r="K1525" s="54" t="str">
        <f>IFERROR(IF(INDEX(SPOT_Import!$A$1:$Z$2488,1525,'Live Data'!$C$22)="","",INDEX(SPOT_Import!$A$1:$Z$2488,1525,'Live Data'!$C$22)),"")</f>
        <v/>
      </c>
      <c r="L1525" s="55" t="str">
        <f t="shared" si="46"/>
        <v/>
      </c>
      <c r="M1525" s="55" t="str">
        <f t="shared" si="47"/>
        <v/>
      </c>
      <c r="N1525" s="55" t="str">
        <f>IF(A1525="","",IFERROR(INDEX('Cluster Map'!$A$4:$A$38,MATCH(M1525,'Cluster Map'!$B$4:$B$38,0)),"Unmapped"))</f>
        <v/>
      </c>
      <c r="O1525" s="55">
        <f>IF(A1525="",0,IF(COUNTIFS($A$2:A1525,A1525,$F$2:F1525,F1525,$L$2:L1525,L1525)=1,1,0))</f>
        <v>0</v>
      </c>
      <c r="P1525" s="55">
        <f>IF(A1525="",0,IF(AND(F1525="C&amp;T",COUNTIFS($A$2:A1525,A1525,$F$2:F1525,"C&amp;T")=1),1,0))</f>
        <v>0</v>
      </c>
    </row>
    <row r="1526" spans="1:16" x14ac:dyDescent="0.35">
      <c r="A1526" s="54" t="str">
        <f>IFERROR(IF(INDEX(SPOT_Import!$A$1:$Z$2488,1526,'Live Data'!$C$12)="","",INDEX(SPOT_Import!$A$1:$Z$2488,1526,'Live Data'!$C$12)),"")</f>
        <v/>
      </c>
      <c r="B1526" s="54" t="str">
        <f>IFERROR(IF(INDEX(SPOT_Import!$A$1:$Z$2488,1526,'Live Data'!$C$13)="","",INDEX(SPOT_Import!$A$1:$Z$2488,1526,'Live Data'!$C$13)),"")</f>
        <v/>
      </c>
      <c r="C1526" s="54" t="str">
        <f>IFERROR(IF(INDEX(SPOT_Import!$A$1:$Z$2488,1526,'Live Data'!$C$14)="","",INDEX(SPOT_Import!$A$1:$Z$2488,1526,'Live Data'!$C$14)),"")</f>
        <v/>
      </c>
      <c r="D1526" s="54" t="str">
        <f>IFERROR(IF(INDEX(SPOT_Import!$A$1:$Z$2488,1526,'Live Data'!$C$15)="","",INDEX(SPOT_Import!$A$1:$Z$2488,1526,'Live Data'!$C$15)),"")</f>
        <v/>
      </c>
      <c r="E1526" s="54" t="str">
        <f>IFERROR(IF(INDEX(SPOT_Import!$A$1:$Z$2488,1526,'Live Data'!$C$16)="","",INDEX(SPOT_Import!$A$1:$Z$2488,1526,'Live Data'!$C$16)),"")</f>
        <v/>
      </c>
      <c r="F1526" s="54" t="str">
        <f>IFERROR(IF(INDEX(SPOT_Import!$A$1:$Z$2488,1526,'Live Data'!$C$17)="","",INDEX(SPOT_Import!$A$1:$Z$2488,1526,'Live Data'!$C$17)),"")</f>
        <v/>
      </c>
      <c r="G1526" s="54" t="str">
        <f>IFERROR(IF(INDEX(SPOT_Import!$A$1:$Z$2488,1526,'Live Data'!$C$18)="","",INDEX(SPOT_Import!$A$1:$Z$2488,1526,'Live Data'!$C$18)),"")</f>
        <v/>
      </c>
      <c r="H1526" s="54" t="str">
        <f>IFERROR(IF(INDEX(SPOT_Import!$A$1:$Z$2488,1526,'Live Data'!$C$19)="","",INDEX(SPOT_Import!$A$1:$Z$2488,1526,'Live Data'!$C$19)),"")</f>
        <v/>
      </c>
      <c r="I1526" s="54" t="str">
        <f>IFERROR(IF(INDEX(SPOT_Import!$A$1:$Z$2488,1526,'Live Data'!$C$20)="","",INDEX(SPOT_Import!$A$1:$Z$2488,1526,'Live Data'!$C$20)),"")</f>
        <v/>
      </c>
      <c r="J1526" s="54" t="str">
        <f>IFERROR(IF(INDEX(SPOT_Import!$A$1:$Z$2488,1526,'Live Data'!$C$21)="","",INDEX(SPOT_Import!$A$1:$Z$2488,1526,'Live Data'!$C$21)),"")</f>
        <v/>
      </c>
      <c r="K1526" s="54" t="str">
        <f>IFERROR(IF(INDEX(SPOT_Import!$A$1:$Z$2488,1526,'Live Data'!$C$22)="","",INDEX(SPOT_Import!$A$1:$Z$2488,1526,'Live Data'!$C$22)),"")</f>
        <v/>
      </c>
      <c r="L1526" s="55" t="str">
        <f t="shared" si="46"/>
        <v/>
      </c>
      <c r="M1526" s="55" t="str">
        <f t="shared" si="47"/>
        <v/>
      </c>
      <c r="N1526" s="55" t="str">
        <f>IF(A1526="","",IFERROR(INDEX('Cluster Map'!$A$4:$A$38,MATCH(M1526,'Cluster Map'!$B$4:$B$38,0)),"Unmapped"))</f>
        <v/>
      </c>
      <c r="O1526" s="55">
        <f>IF(A1526="",0,IF(COUNTIFS($A$2:A1526,A1526,$F$2:F1526,F1526,$L$2:L1526,L1526)=1,1,0))</f>
        <v>0</v>
      </c>
      <c r="P1526" s="55">
        <f>IF(A1526="",0,IF(AND(F1526="C&amp;T",COUNTIFS($A$2:A1526,A1526,$F$2:F1526,"C&amp;T")=1),1,0))</f>
        <v>0</v>
      </c>
    </row>
    <row r="1527" spans="1:16" x14ac:dyDescent="0.35">
      <c r="A1527" s="54" t="str">
        <f>IFERROR(IF(INDEX(SPOT_Import!$A$1:$Z$2488,1527,'Live Data'!$C$12)="","",INDEX(SPOT_Import!$A$1:$Z$2488,1527,'Live Data'!$C$12)),"")</f>
        <v/>
      </c>
      <c r="B1527" s="54" t="str">
        <f>IFERROR(IF(INDEX(SPOT_Import!$A$1:$Z$2488,1527,'Live Data'!$C$13)="","",INDEX(SPOT_Import!$A$1:$Z$2488,1527,'Live Data'!$C$13)),"")</f>
        <v/>
      </c>
      <c r="C1527" s="54" t="str">
        <f>IFERROR(IF(INDEX(SPOT_Import!$A$1:$Z$2488,1527,'Live Data'!$C$14)="","",INDEX(SPOT_Import!$A$1:$Z$2488,1527,'Live Data'!$C$14)),"")</f>
        <v/>
      </c>
      <c r="D1527" s="54" t="str">
        <f>IFERROR(IF(INDEX(SPOT_Import!$A$1:$Z$2488,1527,'Live Data'!$C$15)="","",INDEX(SPOT_Import!$A$1:$Z$2488,1527,'Live Data'!$C$15)),"")</f>
        <v/>
      </c>
      <c r="E1527" s="54" t="str">
        <f>IFERROR(IF(INDEX(SPOT_Import!$A$1:$Z$2488,1527,'Live Data'!$C$16)="","",INDEX(SPOT_Import!$A$1:$Z$2488,1527,'Live Data'!$C$16)),"")</f>
        <v/>
      </c>
      <c r="F1527" s="54" t="str">
        <f>IFERROR(IF(INDEX(SPOT_Import!$A$1:$Z$2488,1527,'Live Data'!$C$17)="","",INDEX(SPOT_Import!$A$1:$Z$2488,1527,'Live Data'!$C$17)),"")</f>
        <v/>
      </c>
      <c r="G1527" s="54" t="str">
        <f>IFERROR(IF(INDEX(SPOT_Import!$A$1:$Z$2488,1527,'Live Data'!$C$18)="","",INDEX(SPOT_Import!$A$1:$Z$2488,1527,'Live Data'!$C$18)),"")</f>
        <v/>
      </c>
      <c r="H1527" s="54" t="str">
        <f>IFERROR(IF(INDEX(SPOT_Import!$A$1:$Z$2488,1527,'Live Data'!$C$19)="","",INDEX(SPOT_Import!$A$1:$Z$2488,1527,'Live Data'!$C$19)),"")</f>
        <v/>
      </c>
      <c r="I1527" s="54" t="str">
        <f>IFERROR(IF(INDEX(SPOT_Import!$A$1:$Z$2488,1527,'Live Data'!$C$20)="","",INDEX(SPOT_Import!$A$1:$Z$2488,1527,'Live Data'!$C$20)),"")</f>
        <v/>
      </c>
      <c r="J1527" s="54" t="str">
        <f>IFERROR(IF(INDEX(SPOT_Import!$A$1:$Z$2488,1527,'Live Data'!$C$21)="","",INDEX(SPOT_Import!$A$1:$Z$2488,1527,'Live Data'!$C$21)),"")</f>
        <v/>
      </c>
      <c r="K1527" s="54" t="str">
        <f>IFERROR(IF(INDEX(SPOT_Import!$A$1:$Z$2488,1527,'Live Data'!$C$22)="","",INDEX(SPOT_Import!$A$1:$Z$2488,1527,'Live Data'!$C$22)),"")</f>
        <v/>
      </c>
      <c r="L1527" s="55" t="str">
        <f t="shared" si="46"/>
        <v/>
      </c>
      <c r="M1527" s="55" t="str">
        <f t="shared" si="47"/>
        <v/>
      </c>
      <c r="N1527" s="55" t="str">
        <f>IF(A1527="","",IFERROR(INDEX('Cluster Map'!$A$4:$A$38,MATCH(M1527,'Cluster Map'!$B$4:$B$38,0)),"Unmapped"))</f>
        <v/>
      </c>
      <c r="O1527" s="55">
        <f>IF(A1527="",0,IF(COUNTIFS($A$2:A1527,A1527,$F$2:F1527,F1527,$L$2:L1527,L1527)=1,1,0))</f>
        <v>0</v>
      </c>
      <c r="P1527" s="55">
        <f>IF(A1527="",0,IF(AND(F1527="C&amp;T",COUNTIFS($A$2:A1527,A1527,$F$2:F1527,"C&amp;T")=1),1,0))</f>
        <v>0</v>
      </c>
    </row>
    <row r="1528" spans="1:16" x14ac:dyDescent="0.35">
      <c r="A1528" s="54" t="str">
        <f>IFERROR(IF(INDEX(SPOT_Import!$A$1:$Z$2488,1528,'Live Data'!$C$12)="","",INDEX(SPOT_Import!$A$1:$Z$2488,1528,'Live Data'!$C$12)),"")</f>
        <v/>
      </c>
      <c r="B1528" s="54" t="str">
        <f>IFERROR(IF(INDEX(SPOT_Import!$A$1:$Z$2488,1528,'Live Data'!$C$13)="","",INDEX(SPOT_Import!$A$1:$Z$2488,1528,'Live Data'!$C$13)),"")</f>
        <v/>
      </c>
      <c r="C1528" s="54" t="str">
        <f>IFERROR(IF(INDEX(SPOT_Import!$A$1:$Z$2488,1528,'Live Data'!$C$14)="","",INDEX(SPOT_Import!$A$1:$Z$2488,1528,'Live Data'!$C$14)),"")</f>
        <v/>
      </c>
      <c r="D1528" s="54" t="str">
        <f>IFERROR(IF(INDEX(SPOT_Import!$A$1:$Z$2488,1528,'Live Data'!$C$15)="","",INDEX(SPOT_Import!$A$1:$Z$2488,1528,'Live Data'!$C$15)),"")</f>
        <v/>
      </c>
      <c r="E1528" s="54" t="str">
        <f>IFERROR(IF(INDEX(SPOT_Import!$A$1:$Z$2488,1528,'Live Data'!$C$16)="","",INDEX(SPOT_Import!$A$1:$Z$2488,1528,'Live Data'!$C$16)),"")</f>
        <v/>
      </c>
      <c r="F1528" s="54" t="str">
        <f>IFERROR(IF(INDEX(SPOT_Import!$A$1:$Z$2488,1528,'Live Data'!$C$17)="","",INDEX(SPOT_Import!$A$1:$Z$2488,1528,'Live Data'!$C$17)),"")</f>
        <v/>
      </c>
      <c r="G1528" s="54" t="str">
        <f>IFERROR(IF(INDEX(SPOT_Import!$A$1:$Z$2488,1528,'Live Data'!$C$18)="","",INDEX(SPOT_Import!$A$1:$Z$2488,1528,'Live Data'!$C$18)),"")</f>
        <v/>
      </c>
      <c r="H1528" s="54" t="str">
        <f>IFERROR(IF(INDEX(SPOT_Import!$A$1:$Z$2488,1528,'Live Data'!$C$19)="","",INDEX(SPOT_Import!$A$1:$Z$2488,1528,'Live Data'!$C$19)),"")</f>
        <v/>
      </c>
      <c r="I1528" s="54" t="str">
        <f>IFERROR(IF(INDEX(SPOT_Import!$A$1:$Z$2488,1528,'Live Data'!$C$20)="","",INDEX(SPOT_Import!$A$1:$Z$2488,1528,'Live Data'!$C$20)),"")</f>
        <v/>
      </c>
      <c r="J1528" s="54" t="str">
        <f>IFERROR(IF(INDEX(SPOT_Import!$A$1:$Z$2488,1528,'Live Data'!$C$21)="","",INDEX(SPOT_Import!$A$1:$Z$2488,1528,'Live Data'!$C$21)),"")</f>
        <v/>
      </c>
      <c r="K1528" s="54" t="str">
        <f>IFERROR(IF(INDEX(SPOT_Import!$A$1:$Z$2488,1528,'Live Data'!$C$22)="","",INDEX(SPOT_Import!$A$1:$Z$2488,1528,'Live Data'!$C$22)),"")</f>
        <v/>
      </c>
      <c r="L1528" s="55" t="str">
        <f t="shared" si="46"/>
        <v/>
      </c>
      <c r="M1528" s="55" t="str">
        <f t="shared" si="47"/>
        <v/>
      </c>
      <c r="N1528" s="55" t="str">
        <f>IF(A1528="","",IFERROR(INDEX('Cluster Map'!$A$4:$A$38,MATCH(M1528,'Cluster Map'!$B$4:$B$38,0)),"Unmapped"))</f>
        <v/>
      </c>
      <c r="O1528" s="55">
        <f>IF(A1528="",0,IF(COUNTIFS($A$2:A1528,A1528,$F$2:F1528,F1528,$L$2:L1528,L1528)=1,1,0))</f>
        <v>0</v>
      </c>
      <c r="P1528" s="55">
        <f>IF(A1528="",0,IF(AND(F1528="C&amp;T",COUNTIFS($A$2:A1528,A1528,$F$2:F1528,"C&amp;T")=1),1,0))</f>
        <v>0</v>
      </c>
    </row>
    <row r="1529" spans="1:16" x14ac:dyDescent="0.35">
      <c r="A1529" s="54" t="str">
        <f>IFERROR(IF(INDEX(SPOT_Import!$A$1:$Z$2488,1529,'Live Data'!$C$12)="","",INDEX(SPOT_Import!$A$1:$Z$2488,1529,'Live Data'!$C$12)),"")</f>
        <v/>
      </c>
      <c r="B1529" s="54" t="str">
        <f>IFERROR(IF(INDEX(SPOT_Import!$A$1:$Z$2488,1529,'Live Data'!$C$13)="","",INDEX(SPOT_Import!$A$1:$Z$2488,1529,'Live Data'!$C$13)),"")</f>
        <v/>
      </c>
      <c r="C1529" s="54" t="str">
        <f>IFERROR(IF(INDEX(SPOT_Import!$A$1:$Z$2488,1529,'Live Data'!$C$14)="","",INDEX(SPOT_Import!$A$1:$Z$2488,1529,'Live Data'!$C$14)),"")</f>
        <v/>
      </c>
      <c r="D1529" s="54" t="str">
        <f>IFERROR(IF(INDEX(SPOT_Import!$A$1:$Z$2488,1529,'Live Data'!$C$15)="","",INDEX(SPOT_Import!$A$1:$Z$2488,1529,'Live Data'!$C$15)),"")</f>
        <v/>
      </c>
      <c r="E1529" s="54" t="str">
        <f>IFERROR(IF(INDEX(SPOT_Import!$A$1:$Z$2488,1529,'Live Data'!$C$16)="","",INDEX(SPOT_Import!$A$1:$Z$2488,1529,'Live Data'!$C$16)),"")</f>
        <v/>
      </c>
      <c r="F1529" s="54" t="str">
        <f>IFERROR(IF(INDEX(SPOT_Import!$A$1:$Z$2488,1529,'Live Data'!$C$17)="","",INDEX(SPOT_Import!$A$1:$Z$2488,1529,'Live Data'!$C$17)),"")</f>
        <v/>
      </c>
      <c r="G1529" s="54" t="str">
        <f>IFERROR(IF(INDEX(SPOT_Import!$A$1:$Z$2488,1529,'Live Data'!$C$18)="","",INDEX(SPOT_Import!$A$1:$Z$2488,1529,'Live Data'!$C$18)),"")</f>
        <v/>
      </c>
      <c r="H1529" s="54" t="str">
        <f>IFERROR(IF(INDEX(SPOT_Import!$A$1:$Z$2488,1529,'Live Data'!$C$19)="","",INDEX(SPOT_Import!$A$1:$Z$2488,1529,'Live Data'!$C$19)),"")</f>
        <v/>
      </c>
      <c r="I1529" s="54" t="str">
        <f>IFERROR(IF(INDEX(SPOT_Import!$A$1:$Z$2488,1529,'Live Data'!$C$20)="","",INDEX(SPOT_Import!$A$1:$Z$2488,1529,'Live Data'!$C$20)),"")</f>
        <v/>
      </c>
      <c r="J1529" s="54" t="str">
        <f>IFERROR(IF(INDEX(SPOT_Import!$A$1:$Z$2488,1529,'Live Data'!$C$21)="","",INDEX(SPOT_Import!$A$1:$Z$2488,1529,'Live Data'!$C$21)),"")</f>
        <v/>
      </c>
      <c r="K1529" s="54" t="str">
        <f>IFERROR(IF(INDEX(SPOT_Import!$A$1:$Z$2488,1529,'Live Data'!$C$22)="","",INDEX(SPOT_Import!$A$1:$Z$2488,1529,'Live Data'!$C$22)),"")</f>
        <v/>
      </c>
      <c r="L1529" s="55" t="str">
        <f t="shared" si="46"/>
        <v/>
      </c>
      <c r="M1529" s="55" t="str">
        <f t="shared" si="47"/>
        <v/>
      </c>
      <c r="N1529" s="55" t="str">
        <f>IF(A1529="","",IFERROR(INDEX('Cluster Map'!$A$4:$A$38,MATCH(M1529,'Cluster Map'!$B$4:$B$38,0)),"Unmapped"))</f>
        <v/>
      </c>
      <c r="O1529" s="55">
        <f>IF(A1529="",0,IF(COUNTIFS($A$2:A1529,A1529,$F$2:F1529,F1529,$L$2:L1529,L1529)=1,1,0))</f>
        <v>0</v>
      </c>
      <c r="P1529" s="55">
        <f>IF(A1529="",0,IF(AND(F1529="C&amp;T",COUNTIFS($A$2:A1529,A1529,$F$2:F1529,"C&amp;T")=1),1,0))</f>
        <v>0</v>
      </c>
    </row>
    <row r="1530" spans="1:16" x14ac:dyDescent="0.35">
      <c r="A1530" s="54" t="str">
        <f>IFERROR(IF(INDEX(SPOT_Import!$A$1:$Z$2488,1530,'Live Data'!$C$12)="","",INDEX(SPOT_Import!$A$1:$Z$2488,1530,'Live Data'!$C$12)),"")</f>
        <v/>
      </c>
      <c r="B1530" s="54" t="str">
        <f>IFERROR(IF(INDEX(SPOT_Import!$A$1:$Z$2488,1530,'Live Data'!$C$13)="","",INDEX(SPOT_Import!$A$1:$Z$2488,1530,'Live Data'!$C$13)),"")</f>
        <v/>
      </c>
      <c r="C1530" s="54" t="str">
        <f>IFERROR(IF(INDEX(SPOT_Import!$A$1:$Z$2488,1530,'Live Data'!$C$14)="","",INDEX(SPOT_Import!$A$1:$Z$2488,1530,'Live Data'!$C$14)),"")</f>
        <v/>
      </c>
      <c r="D1530" s="54" t="str">
        <f>IFERROR(IF(INDEX(SPOT_Import!$A$1:$Z$2488,1530,'Live Data'!$C$15)="","",INDEX(SPOT_Import!$A$1:$Z$2488,1530,'Live Data'!$C$15)),"")</f>
        <v/>
      </c>
      <c r="E1530" s="54" t="str">
        <f>IFERROR(IF(INDEX(SPOT_Import!$A$1:$Z$2488,1530,'Live Data'!$C$16)="","",INDEX(SPOT_Import!$A$1:$Z$2488,1530,'Live Data'!$C$16)),"")</f>
        <v/>
      </c>
      <c r="F1530" s="54" t="str">
        <f>IFERROR(IF(INDEX(SPOT_Import!$A$1:$Z$2488,1530,'Live Data'!$C$17)="","",INDEX(SPOT_Import!$A$1:$Z$2488,1530,'Live Data'!$C$17)),"")</f>
        <v/>
      </c>
      <c r="G1530" s="54" t="str">
        <f>IFERROR(IF(INDEX(SPOT_Import!$A$1:$Z$2488,1530,'Live Data'!$C$18)="","",INDEX(SPOT_Import!$A$1:$Z$2488,1530,'Live Data'!$C$18)),"")</f>
        <v/>
      </c>
      <c r="H1530" s="54" t="str">
        <f>IFERROR(IF(INDEX(SPOT_Import!$A$1:$Z$2488,1530,'Live Data'!$C$19)="","",INDEX(SPOT_Import!$A$1:$Z$2488,1530,'Live Data'!$C$19)),"")</f>
        <v/>
      </c>
      <c r="I1530" s="54" t="str">
        <f>IFERROR(IF(INDEX(SPOT_Import!$A$1:$Z$2488,1530,'Live Data'!$C$20)="","",INDEX(SPOT_Import!$A$1:$Z$2488,1530,'Live Data'!$C$20)),"")</f>
        <v/>
      </c>
      <c r="J1530" s="54" t="str">
        <f>IFERROR(IF(INDEX(SPOT_Import!$A$1:$Z$2488,1530,'Live Data'!$C$21)="","",INDEX(SPOT_Import!$A$1:$Z$2488,1530,'Live Data'!$C$21)),"")</f>
        <v/>
      </c>
      <c r="K1530" s="54" t="str">
        <f>IFERROR(IF(INDEX(SPOT_Import!$A$1:$Z$2488,1530,'Live Data'!$C$22)="","",INDEX(SPOT_Import!$A$1:$Z$2488,1530,'Live Data'!$C$22)),"")</f>
        <v/>
      </c>
      <c r="L1530" s="55" t="str">
        <f t="shared" si="46"/>
        <v/>
      </c>
      <c r="M1530" s="55" t="str">
        <f t="shared" si="47"/>
        <v/>
      </c>
      <c r="N1530" s="55" t="str">
        <f>IF(A1530="","",IFERROR(INDEX('Cluster Map'!$A$4:$A$38,MATCH(M1530,'Cluster Map'!$B$4:$B$38,0)),"Unmapped"))</f>
        <v/>
      </c>
      <c r="O1530" s="55">
        <f>IF(A1530="",0,IF(COUNTIFS($A$2:A1530,A1530,$F$2:F1530,F1530,$L$2:L1530,L1530)=1,1,0))</f>
        <v>0</v>
      </c>
      <c r="P1530" s="55">
        <f>IF(A1530="",0,IF(AND(F1530="C&amp;T",COUNTIFS($A$2:A1530,A1530,$F$2:F1530,"C&amp;T")=1),1,0))</f>
        <v>0</v>
      </c>
    </row>
    <row r="1531" spans="1:16" x14ac:dyDescent="0.35">
      <c r="A1531" s="54" t="str">
        <f>IFERROR(IF(INDEX(SPOT_Import!$A$1:$Z$2488,1531,'Live Data'!$C$12)="","",INDEX(SPOT_Import!$A$1:$Z$2488,1531,'Live Data'!$C$12)),"")</f>
        <v/>
      </c>
      <c r="B1531" s="54" t="str">
        <f>IFERROR(IF(INDEX(SPOT_Import!$A$1:$Z$2488,1531,'Live Data'!$C$13)="","",INDEX(SPOT_Import!$A$1:$Z$2488,1531,'Live Data'!$C$13)),"")</f>
        <v/>
      </c>
      <c r="C1531" s="54" t="str">
        <f>IFERROR(IF(INDEX(SPOT_Import!$A$1:$Z$2488,1531,'Live Data'!$C$14)="","",INDEX(SPOT_Import!$A$1:$Z$2488,1531,'Live Data'!$C$14)),"")</f>
        <v/>
      </c>
      <c r="D1531" s="54" t="str">
        <f>IFERROR(IF(INDEX(SPOT_Import!$A$1:$Z$2488,1531,'Live Data'!$C$15)="","",INDEX(SPOT_Import!$A$1:$Z$2488,1531,'Live Data'!$C$15)),"")</f>
        <v/>
      </c>
      <c r="E1531" s="54" t="str">
        <f>IFERROR(IF(INDEX(SPOT_Import!$A$1:$Z$2488,1531,'Live Data'!$C$16)="","",INDEX(SPOT_Import!$A$1:$Z$2488,1531,'Live Data'!$C$16)),"")</f>
        <v/>
      </c>
      <c r="F1531" s="54" t="str">
        <f>IFERROR(IF(INDEX(SPOT_Import!$A$1:$Z$2488,1531,'Live Data'!$C$17)="","",INDEX(SPOT_Import!$A$1:$Z$2488,1531,'Live Data'!$C$17)),"")</f>
        <v/>
      </c>
      <c r="G1531" s="54" t="str">
        <f>IFERROR(IF(INDEX(SPOT_Import!$A$1:$Z$2488,1531,'Live Data'!$C$18)="","",INDEX(SPOT_Import!$A$1:$Z$2488,1531,'Live Data'!$C$18)),"")</f>
        <v/>
      </c>
      <c r="H1531" s="54" t="str">
        <f>IFERROR(IF(INDEX(SPOT_Import!$A$1:$Z$2488,1531,'Live Data'!$C$19)="","",INDEX(SPOT_Import!$A$1:$Z$2488,1531,'Live Data'!$C$19)),"")</f>
        <v/>
      </c>
      <c r="I1531" s="54" t="str">
        <f>IFERROR(IF(INDEX(SPOT_Import!$A$1:$Z$2488,1531,'Live Data'!$C$20)="","",INDEX(SPOT_Import!$A$1:$Z$2488,1531,'Live Data'!$C$20)),"")</f>
        <v/>
      </c>
      <c r="J1531" s="54" t="str">
        <f>IFERROR(IF(INDEX(SPOT_Import!$A$1:$Z$2488,1531,'Live Data'!$C$21)="","",INDEX(SPOT_Import!$A$1:$Z$2488,1531,'Live Data'!$C$21)),"")</f>
        <v/>
      </c>
      <c r="K1531" s="54" t="str">
        <f>IFERROR(IF(INDEX(SPOT_Import!$A$1:$Z$2488,1531,'Live Data'!$C$22)="","",INDEX(SPOT_Import!$A$1:$Z$2488,1531,'Live Data'!$C$22)),"")</f>
        <v/>
      </c>
      <c r="L1531" s="55" t="str">
        <f t="shared" si="46"/>
        <v/>
      </c>
      <c r="M1531" s="55" t="str">
        <f t="shared" si="47"/>
        <v/>
      </c>
      <c r="N1531" s="55" t="str">
        <f>IF(A1531="","",IFERROR(INDEX('Cluster Map'!$A$4:$A$38,MATCH(M1531,'Cluster Map'!$B$4:$B$38,0)),"Unmapped"))</f>
        <v/>
      </c>
      <c r="O1531" s="55">
        <f>IF(A1531="",0,IF(COUNTIFS($A$2:A1531,A1531,$F$2:F1531,F1531,$L$2:L1531,L1531)=1,1,0))</f>
        <v>0</v>
      </c>
      <c r="P1531" s="55">
        <f>IF(A1531="",0,IF(AND(F1531="C&amp;T",COUNTIFS($A$2:A1531,A1531,$F$2:F1531,"C&amp;T")=1),1,0))</f>
        <v>0</v>
      </c>
    </row>
    <row r="1532" spans="1:16" x14ac:dyDescent="0.35">
      <c r="A1532" s="54" t="str">
        <f>IFERROR(IF(INDEX(SPOT_Import!$A$1:$Z$2488,1532,'Live Data'!$C$12)="","",INDEX(SPOT_Import!$A$1:$Z$2488,1532,'Live Data'!$C$12)),"")</f>
        <v/>
      </c>
      <c r="B1532" s="54" t="str">
        <f>IFERROR(IF(INDEX(SPOT_Import!$A$1:$Z$2488,1532,'Live Data'!$C$13)="","",INDEX(SPOT_Import!$A$1:$Z$2488,1532,'Live Data'!$C$13)),"")</f>
        <v/>
      </c>
      <c r="C1532" s="54" t="str">
        <f>IFERROR(IF(INDEX(SPOT_Import!$A$1:$Z$2488,1532,'Live Data'!$C$14)="","",INDEX(SPOT_Import!$A$1:$Z$2488,1532,'Live Data'!$C$14)),"")</f>
        <v/>
      </c>
      <c r="D1532" s="54" t="str">
        <f>IFERROR(IF(INDEX(SPOT_Import!$A$1:$Z$2488,1532,'Live Data'!$C$15)="","",INDEX(SPOT_Import!$A$1:$Z$2488,1532,'Live Data'!$C$15)),"")</f>
        <v/>
      </c>
      <c r="E1532" s="54" t="str">
        <f>IFERROR(IF(INDEX(SPOT_Import!$A$1:$Z$2488,1532,'Live Data'!$C$16)="","",INDEX(SPOT_Import!$A$1:$Z$2488,1532,'Live Data'!$C$16)),"")</f>
        <v/>
      </c>
      <c r="F1532" s="54" t="str">
        <f>IFERROR(IF(INDEX(SPOT_Import!$A$1:$Z$2488,1532,'Live Data'!$C$17)="","",INDEX(SPOT_Import!$A$1:$Z$2488,1532,'Live Data'!$C$17)),"")</f>
        <v/>
      </c>
      <c r="G1532" s="54" t="str">
        <f>IFERROR(IF(INDEX(SPOT_Import!$A$1:$Z$2488,1532,'Live Data'!$C$18)="","",INDEX(SPOT_Import!$A$1:$Z$2488,1532,'Live Data'!$C$18)),"")</f>
        <v/>
      </c>
      <c r="H1532" s="54" t="str">
        <f>IFERROR(IF(INDEX(SPOT_Import!$A$1:$Z$2488,1532,'Live Data'!$C$19)="","",INDEX(SPOT_Import!$A$1:$Z$2488,1532,'Live Data'!$C$19)),"")</f>
        <v/>
      </c>
      <c r="I1532" s="54" t="str">
        <f>IFERROR(IF(INDEX(SPOT_Import!$A$1:$Z$2488,1532,'Live Data'!$C$20)="","",INDEX(SPOT_Import!$A$1:$Z$2488,1532,'Live Data'!$C$20)),"")</f>
        <v/>
      </c>
      <c r="J1532" s="54" t="str">
        <f>IFERROR(IF(INDEX(SPOT_Import!$A$1:$Z$2488,1532,'Live Data'!$C$21)="","",INDEX(SPOT_Import!$A$1:$Z$2488,1532,'Live Data'!$C$21)),"")</f>
        <v/>
      </c>
      <c r="K1532" s="54" t="str">
        <f>IFERROR(IF(INDEX(SPOT_Import!$A$1:$Z$2488,1532,'Live Data'!$C$22)="","",INDEX(SPOT_Import!$A$1:$Z$2488,1532,'Live Data'!$C$22)),"")</f>
        <v/>
      </c>
      <c r="L1532" s="55" t="str">
        <f t="shared" si="46"/>
        <v/>
      </c>
      <c r="M1532" s="55" t="str">
        <f t="shared" si="47"/>
        <v/>
      </c>
      <c r="N1532" s="55" t="str">
        <f>IF(A1532="","",IFERROR(INDEX('Cluster Map'!$A$4:$A$38,MATCH(M1532,'Cluster Map'!$B$4:$B$38,0)),"Unmapped"))</f>
        <v/>
      </c>
      <c r="O1532" s="55">
        <f>IF(A1532="",0,IF(COUNTIFS($A$2:A1532,A1532,$F$2:F1532,F1532,$L$2:L1532,L1532)=1,1,0))</f>
        <v>0</v>
      </c>
      <c r="P1532" s="55">
        <f>IF(A1532="",0,IF(AND(F1532="C&amp;T",COUNTIFS($A$2:A1532,A1532,$F$2:F1532,"C&amp;T")=1),1,0))</f>
        <v>0</v>
      </c>
    </row>
    <row r="1533" spans="1:16" x14ac:dyDescent="0.35">
      <c r="A1533" s="54" t="str">
        <f>IFERROR(IF(INDEX(SPOT_Import!$A$1:$Z$2488,1533,'Live Data'!$C$12)="","",INDEX(SPOT_Import!$A$1:$Z$2488,1533,'Live Data'!$C$12)),"")</f>
        <v/>
      </c>
      <c r="B1533" s="54" t="str">
        <f>IFERROR(IF(INDEX(SPOT_Import!$A$1:$Z$2488,1533,'Live Data'!$C$13)="","",INDEX(SPOT_Import!$A$1:$Z$2488,1533,'Live Data'!$C$13)),"")</f>
        <v/>
      </c>
      <c r="C1533" s="54" t="str">
        <f>IFERROR(IF(INDEX(SPOT_Import!$A$1:$Z$2488,1533,'Live Data'!$C$14)="","",INDEX(SPOT_Import!$A$1:$Z$2488,1533,'Live Data'!$C$14)),"")</f>
        <v/>
      </c>
      <c r="D1533" s="54" t="str">
        <f>IFERROR(IF(INDEX(SPOT_Import!$A$1:$Z$2488,1533,'Live Data'!$C$15)="","",INDEX(SPOT_Import!$A$1:$Z$2488,1533,'Live Data'!$C$15)),"")</f>
        <v/>
      </c>
      <c r="E1533" s="54" t="str">
        <f>IFERROR(IF(INDEX(SPOT_Import!$A$1:$Z$2488,1533,'Live Data'!$C$16)="","",INDEX(SPOT_Import!$A$1:$Z$2488,1533,'Live Data'!$C$16)),"")</f>
        <v/>
      </c>
      <c r="F1533" s="54" t="str">
        <f>IFERROR(IF(INDEX(SPOT_Import!$A$1:$Z$2488,1533,'Live Data'!$C$17)="","",INDEX(SPOT_Import!$A$1:$Z$2488,1533,'Live Data'!$C$17)),"")</f>
        <v/>
      </c>
      <c r="G1533" s="54" t="str">
        <f>IFERROR(IF(INDEX(SPOT_Import!$A$1:$Z$2488,1533,'Live Data'!$C$18)="","",INDEX(SPOT_Import!$A$1:$Z$2488,1533,'Live Data'!$C$18)),"")</f>
        <v/>
      </c>
      <c r="H1533" s="54" t="str">
        <f>IFERROR(IF(INDEX(SPOT_Import!$A$1:$Z$2488,1533,'Live Data'!$C$19)="","",INDEX(SPOT_Import!$A$1:$Z$2488,1533,'Live Data'!$C$19)),"")</f>
        <v/>
      </c>
      <c r="I1533" s="54" t="str">
        <f>IFERROR(IF(INDEX(SPOT_Import!$A$1:$Z$2488,1533,'Live Data'!$C$20)="","",INDEX(SPOT_Import!$A$1:$Z$2488,1533,'Live Data'!$C$20)),"")</f>
        <v/>
      </c>
      <c r="J1533" s="54" t="str">
        <f>IFERROR(IF(INDEX(SPOT_Import!$A$1:$Z$2488,1533,'Live Data'!$C$21)="","",INDEX(SPOT_Import!$A$1:$Z$2488,1533,'Live Data'!$C$21)),"")</f>
        <v/>
      </c>
      <c r="K1533" s="54" t="str">
        <f>IFERROR(IF(INDEX(SPOT_Import!$A$1:$Z$2488,1533,'Live Data'!$C$22)="","",INDEX(SPOT_Import!$A$1:$Z$2488,1533,'Live Data'!$C$22)),"")</f>
        <v/>
      </c>
      <c r="L1533" s="55" t="str">
        <f t="shared" si="46"/>
        <v/>
      </c>
      <c r="M1533" s="55" t="str">
        <f t="shared" si="47"/>
        <v/>
      </c>
      <c r="N1533" s="55" t="str">
        <f>IF(A1533="","",IFERROR(INDEX('Cluster Map'!$A$4:$A$38,MATCH(M1533,'Cluster Map'!$B$4:$B$38,0)),"Unmapped"))</f>
        <v/>
      </c>
      <c r="O1533" s="55">
        <f>IF(A1533="",0,IF(COUNTIFS($A$2:A1533,A1533,$F$2:F1533,F1533,$L$2:L1533,L1533)=1,1,0))</f>
        <v>0</v>
      </c>
      <c r="P1533" s="55">
        <f>IF(A1533="",0,IF(AND(F1533="C&amp;T",COUNTIFS($A$2:A1533,A1533,$F$2:F1533,"C&amp;T")=1),1,0))</f>
        <v>0</v>
      </c>
    </row>
    <row r="1534" spans="1:16" x14ac:dyDescent="0.35">
      <c r="A1534" s="54" t="str">
        <f>IFERROR(IF(INDEX(SPOT_Import!$A$1:$Z$2488,1534,'Live Data'!$C$12)="","",INDEX(SPOT_Import!$A$1:$Z$2488,1534,'Live Data'!$C$12)),"")</f>
        <v/>
      </c>
      <c r="B1534" s="54" t="str">
        <f>IFERROR(IF(INDEX(SPOT_Import!$A$1:$Z$2488,1534,'Live Data'!$C$13)="","",INDEX(SPOT_Import!$A$1:$Z$2488,1534,'Live Data'!$C$13)),"")</f>
        <v/>
      </c>
      <c r="C1534" s="54" t="str">
        <f>IFERROR(IF(INDEX(SPOT_Import!$A$1:$Z$2488,1534,'Live Data'!$C$14)="","",INDEX(SPOT_Import!$A$1:$Z$2488,1534,'Live Data'!$C$14)),"")</f>
        <v/>
      </c>
      <c r="D1534" s="54" t="str">
        <f>IFERROR(IF(INDEX(SPOT_Import!$A$1:$Z$2488,1534,'Live Data'!$C$15)="","",INDEX(SPOT_Import!$A$1:$Z$2488,1534,'Live Data'!$C$15)),"")</f>
        <v/>
      </c>
      <c r="E1534" s="54" t="str">
        <f>IFERROR(IF(INDEX(SPOT_Import!$A$1:$Z$2488,1534,'Live Data'!$C$16)="","",INDEX(SPOT_Import!$A$1:$Z$2488,1534,'Live Data'!$C$16)),"")</f>
        <v/>
      </c>
      <c r="F1534" s="54" t="str">
        <f>IFERROR(IF(INDEX(SPOT_Import!$A$1:$Z$2488,1534,'Live Data'!$C$17)="","",INDEX(SPOT_Import!$A$1:$Z$2488,1534,'Live Data'!$C$17)),"")</f>
        <v/>
      </c>
      <c r="G1534" s="54" t="str">
        <f>IFERROR(IF(INDEX(SPOT_Import!$A$1:$Z$2488,1534,'Live Data'!$C$18)="","",INDEX(SPOT_Import!$A$1:$Z$2488,1534,'Live Data'!$C$18)),"")</f>
        <v/>
      </c>
      <c r="H1534" s="54" t="str">
        <f>IFERROR(IF(INDEX(SPOT_Import!$A$1:$Z$2488,1534,'Live Data'!$C$19)="","",INDEX(SPOT_Import!$A$1:$Z$2488,1534,'Live Data'!$C$19)),"")</f>
        <v/>
      </c>
      <c r="I1534" s="54" t="str">
        <f>IFERROR(IF(INDEX(SPOT_Import!$A$1:$Z$2488,1534,'Live Data'!$C$20)="","",INDEX(SPOT_Import!$A$1:$Z$2488,1534,'Live Data'!$C$20)),"")</f>
        <v/>
      </c>
      <c r="J1534" s="54" t="str">
        <f>IFERROR(IF(INDEX(SPOT_Import!$A$1:$Z$2488,1534,'Live Data'!$C$21)="","",INDEX(SPOT_Import!$A$1:$Z$2488,1534,'Live Data'!$C$21)),"")</f>
        <v/>
      </c>
      <c r="K1534" s="54" t="str">
        <f>IFERROR(IF(INDEX(SPOT_Import!$A$1:$Z$2488,1534,'Live Data'!$C$22)="","",INDEX(SPOT_Import!$A$1:$Z$2488,1534,'Live Data'!$C$22)),"")</f>
        <v/>
      </c>
      <c r="L1534" s="55" t="str">
        <f t="shared" si="46"/>
        <v/>
      </c>
      <c r="M1534" s="55" t="str">
        <f t="shared" si="47"/>
        <v/>
      </c>
      <c r="N1534" s="55" t="str">
        <f>IF(A1534="","",IFERROR(INDEX('Cluster Map'!$A$4:$A$38,MATCH(M1534,'Cluster Map'!$B$4:$B$38,0)),"Unmapped"))</f>
        <v/>
      </c>
      <c r="O1534" s="55">
        <f>IF(A1534="",0,IF(COUNTIFS($A$2:A1534,A1534,$F$2:F1534,F1534,$L$2:L1534,L1534)=1,1,0))</f>
        <v>0</v>
      </c>
      <c r="P1534" s="55">
        <f>IF(A1534="",0,IF(AND(F1534="C&amp;T",COUNTIFS($A$2:A1534,A1534,$F$2:F1534,"C&amp;T")=1),1,0))</f>
        <v>0</v>
      </c>
    </row>
    <row r="1535" spans="1:16" x14ac:dyDescent="0.35">
      <c r="A1535" s="54" t="str">
        <f>IFERROR(IF(INDEX(SPOT_Import!$A$1:$Z$2488,1535,'Live Data'!$C$12)="","",INDEX(SPOT_Import!$A$1:$Z$2488,1535,'Live Data'!$C$12)),"")</f>
        <v/>
      </c>
      <c r="B1535" s="54" t="str">
        <f>IFERROR(IF(INDEX(SPOT_Import!$A$1:$Z$2488,1535,'Live Data'!$C$13)="","",INDEX(SPOT_Import!$A$1:$Z$2488,1535,'Live Data'!$C$13)),"")</f>
        <v/>
      </c>
      <c r="C1535" s="54" t="str">
        <f>IFERROR(IF(INDEX(SPOT_Import!$A$1:$Z$2488,1535,'Live Data'!$C$14)="","",INDEX(SPOT_Import!$A$1:$Z$2488,1535,'Live Data'!$C$14)),"")</f>
        <v/>
      </c>
      <c r="D1535" s="54" t="str">
        <f>IFERROR(IF(INDEX(SPOT_Import!$A$1:$Z$2488,1535,'Live Data'!$C$15)="","",INDEX(SPOT_Import!$A$1:$Z$2488,1535,'Live Data'!$C$15)),"")</f>
        <v/>
      </c>
      <c r="E1535" s="54" t="str">
        <f>IFERROR(IF(INDEX(SPOT_Import!$A$1:$Z$2488,1535,'Live Data'!$C$16)="","",INDEX(SPOT_Import!$A$1:$Z$2488,1535,'Live Data'!$C$16)),"")</f>
        <v/>
      </c>
      <c r="F1535" s="54" t="str">
        <f>IFERROR(IF(INDEX(SPOT_Import!$A$1:$Z$2488,1535,'Live Data'!$C$17)="","",INDEX(SPOT_Import!$A$1:$Z$2488,1535,'Live Data'!$C$17)),"")</f>
        <v/>
      </c>
      <c r="G1535" s="54" t="str">
        <f>IFERROR(IF(INDEX(SPOT_Import!$A$1:$Z$2488,1535,'Live Data'!$C$18)="","",INDEX(SPOT_Import!$A$1:$Z$2488,1535,'Live Data'!$C$18)),"")</f>
        <v/>
      </c>
      <c r="H1535" s="54" t="str">
        <f>IFERROR(IF(INDEX(SPOT_Import!$A$1:$Z$2488,1535,'Live Data'!$C$19)="","",INDEX(SPOT_Import!$A$1:$Z$2488,1535,'Live Data'!$C$19)),"")</f>
        <v/>
      </c>
      <c r="I1535" s="54" t="str">
        <f>IFERROR(IF(INDEX(SPOT_Import!$A$1:$Z$2488,1535,'Live Data'!$C$20)="","",INDEX(SPOT_Import!$A$1:$Z$2488,1535,'Live Data'!$C$20)),"")</f>
        <v/>
      </c>
      <c r="J1535" s="54" t="str">
        <f>IFERROR(IF(INDEX(SPOT_Import!$A$1:$Z$2488,1535,'Live Data'!$C$21)="","",INDEX(SPOT_Import!$A$1:$Z$2488,1535,'Live Data'!$C$21)),"")</f>
        <v/>
      </c>
      <c r="K1535" s="54" t="str">
        <f>IFERROR(IF(INDEX(SPOT_Import!$A$1:$Z$2488,1535,'Live Data'!$C$22)="","",INDEX(SPOT_Import!$A$1:$Z$2488,1535,'Live Data'!$C$22)),"")</f>
        <v/>
      </c>
      <c r="L1535" s="55" t="str">
        <f t="shared" si="46"/>
        <v/>
      </c>
      <c r="M1535" s="55" t="str">
        <f t="shared" si="47"/>
        <v/>
      </c>
      <c r="N1535" s="55" t="str">
        <f>IF(A1535="","",IFERROR(INDEX('Cluster Map'!$A$4:$A$38,MATCH(M1535,'Cluster Map'!$B$4:$B$38,0)),"Unmapped"))</f>
        <v/>
      </c>
      <c r="O1535" s="55">
        <f>IF(A1535="",0,IF(COUNTIFS($A$2:A1535,A1535,$F$2:F1535,F1535,$L$2:L1535,L1535)=1,1,0))</f>
        <v>0</v>
      </c>
      <c r="P1535" s="55">
        <f>IF(A1535="",0,IF(AND(F1535="C&amp;T",COUNTIFS($A$2:A1535,A1535,$F$2:F1535,"C&amp;T")=1),1,0))</f>
        <v>0</v>
      </c>
    </row>
    <row r="1536" spans="1:16" x14ac:dyDescent="0.35">
      <c r="A1536" s="54" t="str">
        <f>IFERROR(IF(INDEX(SPOT_Import!$A$1:$Z$2488,1536,'Live Data'!$C$12)="","",INDEX(SPOT_Import!$A$1:$Z$2488,1536,'Live Data'!$C$12)),"")</f>
        <v/>
      </c>
      <c r="B1536" s="54" t="str">
        <f>IFERROR(IF(INDEX(SPOT_Import!$A$1:$Z$2488,1536,'Live Data'!$C$13)="","",INDEX(SPOT_Import!$A$1:$Z$2488,1536,'Live Data'!$C$13)),"")</f>
        <v/>
      </c>
      <c r="C1536" s="54" t="str">
        <f>IFERROR(IF(INDEX(SPOT_Import!$A$1:$Z$2488,1536,'Live Data'!$C$14)="","",INDEX(SPOT_Import!$A$1:$Z$2488,1536,'Live Data'!$C$14)),"")</f>
        <v/>
      </c>
      <c r="D1536" s="54" t="str">
        <f>IFERROR(IF(INDEX(SPOT_Import!$A$1:$Z$2488,1536,'Live Data'!$C$15)="","",INDEX(SPOT_Import!$A$1:$Z$2488,1536,'Live Data'!$C$15)),"")</f>
        <v/>
      </c>
      <c r="E1536" s="54" t="str">
        <f>IFERROR(IF(INDEX(SPOT_Import!$A$1:$Z$2488,1536,'Live Data'!$C$16)="","",INDEX(SPOT_Import!$A$1:$Z$2488,1536,'Live Data'!$C$16)),"")</f>
        <v/>
      </c>
      <c r="F1536" s="54" t="str">
        <f>IFERROR(IF(INDEX(SPOT_Import!$A$1:$Z$2488,1536,'Live Data'!$C$17)="","",INDEX(SPOT_Import!$A$1:$Z$2488,1536,'Live Data'!$C$17)),"")</f>
        <v/>
      </c>
      <c r="G1536" s="54" t="str">
        <f>IFERROR(IF(INDEX(SPOT_Import!$A$1:$Z$2488,1536,'Live Data'!$C$18)="","",INDEX(SPOT_Import!$A$1:$Z$2488,1536,'Live Data'!$C$18)),"")</f>
        <v/>
      </c>
      <c r="H1536" s="54" t="str">
        <f>IFERROR(IF(INDEX(SPOT_Import!$A$1:$Z$2488,1536,'Live Data'!$C$19)="","",INDEX(SPOT_Import!$A$1:$Z$2488,1536,'Live Data'!$C$19)),"")</f>
        <v/>
      </c>
      <c r="I1536" s="54" t="str">
        <f>IFERROR(IF(INDEX(SPOT_Import!$A$1:$Z$2488,1536,'Live Data'!$C$20)="","",INDEX(SPOT_Import!$A$1:$Z$2488,1536,'Live Data'!$C$20)),"")</f>
        <v/>
      </c>
      <c r="J1536" s="54" t="str">
        <f>IFERROR(IF(INDEX(SPOT_Import!$A$1:$Z$2488,1536,'Live Data'!$C$21)="","",INDEX(SPOT_Import!$A$1:$Z$2488,1536,'Live Data'!$C$21)),"")</f>
        <v/>
      </c>
      <c r="K1536" s="54" t="str">
        <f>IFERROR(IF(INDEX(SPOT_Import!$A$1:$Z$2488,1536,'Live Data'!$C$22)="","",INDEX(SPOT_Import!$A$1:$Z$2488,1536,'Live Data'!$C$22)),"")</f>
        <v/>
      </c>
      <c r="L1536" s="55" t="str">
        <f t="shared" si="46"/>
        <v/>
      </c>
      <c r="M1536" s="55" t="str">
        <f t="shared" si="47"/>
        <v/>
      </c>
      <c r="N1536" s="55" t="str">
        <f>IF(A1536="","",IFERROR(INDEX('Cluster Map'!$A$4:$A$38,MATCH(M1536,'Cluster Map'!$B$4:$B$38,0)),"Unmapped"))</f>
        <v/>
      </c>
      <c r="O1536" s="55">
        <f>IF(A1536="",0,IF(COUNTIFS($A$2:A1536,A1536,$F$2:F1536,F1536,$L$2:L1536,L1536)=1,1,0))</f>
        <v>0</v>
      </c>
      <c r="P1536" s="55">
        <f>IF(A1536="",0,IF(AND(F1536="C&amp;T",COUNTIFS($A$2:A1536,A1536,$F$2:F1536,"C&amp;T")=1),1,0))</f>
        <v>0</v>
      </c>
    </row>
    <row r="1537" spans="1:16" x14ac:dyDescent="0.35">
      <c r="A1537" s="54" t="str">
        <f>IFERROR(IF(INDEX(SPOT_Import!$A$1:$Z$2488,1537,'Live Data'!$C$12)="","",INDEX(SPOT_Import!$A$1:$Z$2488,1537,'Live Data'!$C$12)),"")</f>
        <v/>
      </c>
      <c r="B1537" s="54" t="str">
        <f>IFERROR(IF(INDEX(SPOT_Import!$A$1:$Z$2488,1537,'Live Data'!$C$13)="","",INDEX(SPOT_Import!$A$1:$Z$2488,1537,'Live Data'!$C$13)),"")</f>
        <v/>
      </c>
      <c r="C1537" s="54" t="str">
        <f>IFERROR(IF(INDEX(SPOT_Import!$A$1:$Z$2488,1537,'Live Data'!$C$14)="","",INDEX(SPOT_Import!$A$1:$Z$2488,1537,'Live Data'!$C$14)),"")</f>
        <v/>
      </c>
      <c r="D1537" s="54" t="str">
        <f>IFERROR(IF(INDEX(SPOT_Import!$A$1:$Z$2488,1537,'Live Data'!$C$15)="","",INDEX(SPOT_Import!$A$1:$Z$2488,1537,'Live Data'!$C$15)),"")</f>
        <v/>
      </c>
      <c r="E1537" s="54" t="str">
        <f>IFERROR(IF(INDEX(SPOT_Import!$A$1:$Z$2488,1537,'Live Data'!$C$16)="","",INDEX(SPOT_Import!$A$1:$Z$2488,1537,'Live Data'!$C$16)),"")</f>
        <v/>
      </c>
      <c r="F1537" s="54" t="str">
        <f>IFERROR(IF(INDEX(SPOT_Import!$A$1:$Z$2488,1537,'Live Data'!$C$17)="","",INDEX(SPOT_Import!$A$1:$Z$2488,1537,'Live Data'!$C$17)),"")</f>
        <v/>
      </c>
      <c r="G1537" s="54" t="str">
        <f>IFERROR(IF(INDEX(SPOT_Import!$A$1:$Z$2488,1537,'Live Data'!$C$18)="","",INDEX(SPOT_Import!$A$1:$Z$2488,1537,'Live Data'!$C$18)),"")</f>
        <v/>
      </c>
      <c r="H1537" s="54" t="str">
        <f>IFERROR(IF(INDEX(SPOT_Import!$A$1:$Z$2488,1537,'Live Data'!$C$19)="","",INDEX(SPOT_Import!$A$1:$Z$2488,1537,'Live Data'!$C$19)),"")</f>
        <v/>
      </c>
      <c r="I1537" s="54" t="str">
        <f>IFERROR(IF(INDEX(SPOT_Import!$A$1:$Z$2488,1537,'Live Data'!$C$20)="","",INDEX(SPOT_Import!$A$1:$Z$2488,1537,'Live Data'!$C$20)),"")</f>
        <v/>
      </c>
      <c r="J1537" s="54" t="str">
        <f>IFERROR(IF(INDEX(SPOT_Import!$A$1:$Z$2488,1537,'Live Data'!$C$21)="","",INDEX(SPOT_Import!$A$1:$Z$2488,1537,'Live Data'!$C$21)),"")</f>
        <v/>
      </c>
      <c r="K1537" s="54" t="str">
        <f>IFERROR(IF(INDEX(SPOT_Import!$A$1:$Z$2488,1537,'Live Data'!$C$22)="","",INDEX(SPOT_Import!$A$1:$Z$2488,1537,'Live Data'!$C$22)),"")</f>
        <v/>
      </c>
      <c r="L1537" s="55" t="str">
        <f t="shared" si="46"/>
        <v/>
      </c>
      <c r="M1537" s="55" t="str">
        <f t="shared" si="47"/>
        <v/>
      </c>
      <c r="N1537" s="55" t="str">
        <f>IF(A1537="","",IFERROR(INDEX('Cluster Map'!$A$4:$A$38,MATCH(M1537,'Cluster Map'!$B$4:$B$38,0)),"Unmapped"))</f>
        <v/>
      </c>
      <c r="O1537" s="55">
        <f>IF(A1537="",0,IF(COUNTIFS($A$2:A1537,A1537,$F$2:F1537,F1537,$L$2:L1537,L1537)=1,1,0))</f>
        <v>0</v>
      </c>
      <c r="P1537" s="55">
        <f>IF(A1537="",0,IF(AND(F1537="C&amp;T",COUNTIFS($A$2:A1537,A1537,$F$2:F1537,"C&amp;T")=1),1,0))</f>
        <v>0</v>
      </c>
    </row>
    <row r="1538" spans="1:16" x14ac:dyDescent="0.35">
      <c r="A1538" s="54" t="str">
        <f>IFERROR(IF(INDEX(SPOT_Import!$A$1:$Z$2488,1538,'Live Data'!$C$12)="","",INDEX(SPOT_Import!$A$1:$Z$2488,1538,'Live Data'!$C$12)),"")</f>
        <v/>
      </c>
      <c r="B1538" s="54" t="str">
        <f>IFERROR(IF(INDEX(SPOT_Import!$A$1:$Z$2488,1538,'Live Data'!$C$13)="","",INDEX(SPOT_Import!$A$1:$Z$2488,1538,'Live Data'!$C$13)),"")</f>
        <v/>
      </c>
      <c r="C1538" s="54" t="str">
        <f>IFERROR(IF(INDEX(SPOT_Import!$A$1:$Z$2488,1538,'Live Data'!$C$14)="","",INDEX(SPOT_Import!$A$1:$Z$2488,1538,'Live Data'!$C$14)),"")</f>
        <v/>
      </c>
      <c r="D1538" s="54" t="str">
        <f>IFERROR(IF(INDEX(SPOT_Import!$A$1:$Z$2488,1538,'Live Data'!$C$15)="","",INDEX(SPOT_Import!$A$1:$Z$2488,1538,'Live Data'!$C$15)),"")</f>
        <v/>
      </c>
      <c r="E1538" s="54" t="str">
        <f>IFERROR(IF(INDEX(SPOT_Import!$A$1:$Z$2488,1538,'Live Data'!$C$16)="","",INDEX(SPOT_Import!$A$1:$Z$2488,1538,'Live Data'!$C$16)),"")</f>
        <v/>
      </c>
      <c r="F1538" s="54" t="str">
        <f>IFERROR(IF(INDEX(SPOT_Import!$A$1:$Z$2488,1538,'Live Data'!$C$17)="","",INDEX(SPOT_Import!$A$1:$Z$2488,1538,'Live Data'!$C$17)),"")</f>
        <v/>
      </c>
      <c r="G1538" s="54" t="str">
        <f>IFERROR(IF(INDEX(SPOT_Import!$A$1:$Z$2488,1538,'Live Data'!$C$18)="","",INDEX(SPOT_Import!$A$1:$Z$2488,1538,'Live Data'!$C$18)),"")</f>
        <v/>
      </c>
      <c r="H1538" s="54" t="str">
        <f>IFERROR(IF(INDEX(SPOT_Import!$A$1:$Z$2488,1538,'Live Data'!$C$19)="","",INDEX(SPOT_Import!$A$1:$Z$2488,1538,'Live Data'!$C$19)),"")</f>
        <v/>
      </c>
      <c r="I1538" s="54" t="str">
        <f>IFERROR(IF(INDEX(SPOT_Import!$A$1:$Z$2488,1538,'Live Data'!$C$20)="","",INDEX(SPOT_Import!$A$1:$Z$2488,1538,'Live Data'!$C$20)),"")</f>
        <v/>
      </c>
      <c r="J1538" s="54" t="str">
        <f>IFERROR(IF(INDEX(SPOT_Import!$A$1:$Z$2488,1538,'Live Data'!$C$21)="","",INDEX(SPOT_Import!$A$1:$Z$2488,1538,'Live Data'!$C$21)),"")</f>
        <v/>
      </c>
      <c r="K1538" s="54" t="str">
        <f>IFERROR(IF(INDEX(SPOT_Import!$A$1:$Z$2488,1538,'Live Data'!$C$22)="","",INDEX(SPOT_Import!$A$1:$Z$2488,1538,'Live Data'!$C$22)),"")</f>
        <v/>
      </c>
      <c r="L1538" s="55" t="str">
        <f t="shared" ref="L1538:L1601" si="48">IF(A1538="","",IF(ISNUMBER(K1538),TEXT(K1538,"yyyy-mm"),LEFT(K1538,7)))</f>
        <v/>
      </c>
      <c r="M1538" s="55" t="str">
        <f t="shared" ref="M1538:M1601" si="49">IF(A1538="","",UPPER(TRIM(SUBSTITUTE(C1538," - ","-"))))</f>
        <v/>
      </c>
      <c r="N1538" s="55" t="str">
        <f>IF(A1538="","",IFERROR(INDEX('Cluster Map'!$A$4:$A$38,MATCH(M1538,'Cluster Map'!$B$4:$B$38,0)),"Unmapped"))</f>
        <v/>
      </c>
      <c r="O1538" s="55">
        <f>IF(A1538="",0,IF(COUNTIFS($A$2:A1538,A1538,$F$2:F1538,F1538,$L$2:L1538,L1538)=1,1,0))</f>
        <v>0</v>
      </c>
      <c r="P1538" s="55">
        <f>IF(A1538="",0,IF(AND(F1538="C&amp;T",COUNTIFS($A$2:A1538,A1538,$F$2:F1538,"C&amp;T")=1),1,0))</f>
        <v>0</v>
      </c>
    </row>
    <row r="1539" spans="1:16" x14ac:dyDescent="0.35">
      <c r="A1539" s="54" t="str">
        <f>IFERROR(IF(INDEX(SPOT_Import!$A$1:$Z$2488,1539,'Live Data'!$C$12)="","",INDEX(SPOT_Import!$A$1:$Z$2488,1539,'Live Data'!$C$12)),"")</f>
        <v/>
      </c>
      <c r="B1539" s="54" t="str">
        <f>IFERROR(IF(INDEX(SPOT_Import!$A$1:$Z$2488,1539,'Live Data'!$C$13)="","",INDEX(SPOT_Import!$A$1:$Z$2488,1539,'Live Data'!$C$13)),"")</f>
        <v/>
      </c>
      <c r="C1539" s="54" t="str">
        <f>IFERROR(IF(INDEX(SPOT_Import!$A$1:$Z$2488,1539,'Live Data'!$C$14)="","",INDEX(SPOT_Import!$A$1:$Z$2488,1539,'Live Data'!$C$14)),"")</f>
        <v/>
      </c>
      <c r="D1539" s="54" t="str">
        <f>IFERROR(IF(INDEX(SPOT_Import!$A$1:$Z$2488,1539,'Live Data'!$C$15)="","",INDEX(SPOT_Import!$A$1:$Z$2488,1539,'Live Data'!$C$15)),"")</f>
        <v/>
      </c>
      <c r="E1539" s="54" t="str">
        <f>IFERROR(IF(INDEX(SPOT_Import!$A$1:$Z$2488,1539,'Live Data'!$C$16)="","",INDEX(SPOT_Import!$A$1:$Z$2488,1539,'Live Data'!$C$16)),"")</f>
        <v/>
      </c>
      <c r="F1539" s="54" t="str">
        <f>IFERROR(IF(INDEX(SPOT_Import!$A$1:$Z$2488,1539,'Live Data'!$C$17)="","",INDEX(SPOT_Import!$A$1:$Z$2488,1539,'Live Data'!$C$17)),"")</f>
        <v/>
      </c>
      <c r="G1539" s="54" t="str">
        <f>IFERROR(IF(INDEX(SPOT_Import!$A$1:$Z$2488,1539,'Live Data'!$C$18)="","",INDEX(SPOT_Import!$A$1:$Z$2488,1539,'Live Data'!$C$18)),"")</f>
        <v/>
      </c>
      <c r="H1539" s="54" t="str">
        <f>IFERROR(IF(INDEX(SPOT_Import!$A$1:$Z$2488,1539,'Live Data'!$C$19)="","",INDEX(SPOT_Import!$A$1:$Z$2488,1539,'Live Data'!$C$19)),"")</f>
        <v/>
      </c>
      <c r="I1539" s="54" t="str">
        <f>IFERROR(IF(INDEX(SPOT_Import!$A$1:$Z$2488,1539,'Live Data'!$C$20)="","",INDEX(SPOT_Import!$A$1:$Z$2488,1539,'Live Data'!$C$20)),"")</f>
        <v/>
      </c>
      <c r="J1539" s="54" t="str">
        <f>IFERROR(IF(INDEX(SPOT_Import!$A$1:$Z$2488,1539,'Live Data'!$C$21)="","",INDEX(SPOT_Import!$A$1:$Z$2488,1539,'Live Data'!$C$21)),"")</f>
        <v/>
      </c>
      <c r="K1539" s="54" t="str">
        <f>IFERROR(IF(INDEX(SPOT_Import!$A$1:$Z$2488,1539,'Live Data'!$C$22)="","",INDEX(SPOT_Import!$A$1:$Z$2488,1539,'Live Data'!$C$22)),"")</f>
        <v/>
      </c>
      <c r="L1539" s="55" t="str">
        <f t="shared" si="48"/>
        <v/>
      </c>
      <c r="M1539" s="55" t="str">
        <f t="shared" si="49"/>
        <v/>
      </c>
      <c r="N1539" s="55" t="str">
        <f>IF(A1539="","",IFERROR(INDEX('Cluster Map'!$A$4:$A$38,MATCH(M1539,'Cluster Map'!$B$4:$B$38,0)),"Unmapped"))</f>
        <v/>
      </c>
      <c r="O1539" s="55">
        <f>IF(A1539="",0,IF(COUNTIFS($A$2:A1539,A1539,$F$2:F1539,F1539,$L$2:L1539,L1539)=1,1,0))</f>
        <v>0</v>
      </c>
      <c r="P1539" s="55">
        <f>IF(A1539="",0,IF(AND(F1539="C&amp;T",COUNTIFS($A$2:A1539,A1539,$F$2:F1539,"C&amp;T")=1),1,0))</f>
        <v>0</v>
      </c>
    </row>
    <row r="1540" spans="1:16" x14ac:dyDescent="0.35">
      <c r="A1540" s="54" t="str">
        <f>IFERROR(IF(INDEX(SPOT_Import!$A$1:$Z$2488,1540,'Live Data'!$C$12)="","",INDEX(SPOT_Import!$A$1:$Z$2488,1540,'Live Data'!$C$12)),"")</f>
        <v/>
      </c>
      <c r="B1540" s="54" t="str">
        <f>IFERROR(IF(INDEX(SPOT_Import!$A$1:$Z$2488,1540,'Live Data'!$C$13)="","",INDEX(SPOT_Import!$A$1:$Z$2488,1540,'Live Data'!$C$13)),"")</f>
        <v/>
      </c>
      <c r="C1540" s="54" t="str">
        <f>IFERROR(IF(INDEX(SPOT_Import!$A$1:$Z$2488,1540,'Live Data'!$C$14)="","",INDEX(SPOT_Import!$A$1:$Z$2488,1540,'Live Data'!$C$14)),"")</f>
        <v/>
      </c>
      <c r="D1540" s="54" t="str">
        <f>IFERROR(IF(INDEX(SPOT_Import!$A$1:$Z$2488,1540,'Live Data'!$C$15)="","",INDEX(SPOT_Import!$A$1:$Z$2488,1540,'Live Data'!$C$15)),"")</f>
        <v/>
      </c>
      <c r="E1540" s="54" t="str">
        <f>IFERROR(IF(INDEX(SPOT_Import!$A$1:$Z$2488,1540,'Live Data'!$C$16)="","",INDEX(SPOT_Import!$A$1:$Z$2488,1540,'Live Data'!$C$16)),"")</f>
        <v/>
      </c>
      <c r="F1540" s="54" t="str">
        <f>IFERROR(IF(INDEX(SPOT_Import!$A$1:$Z$2488,1540,'Live Data'!$C$17)="","",INDEX(SPOT_Import!$A$1:$Z$2488,1540,'Live Data'!$C$17)),"")</f>
        <v/>
      </c>
      <c r="G1540" s="54" t="str">
        <f>IFERROR(IF(INDEX(SPOT_Import!$A$1:$Z$2488,1540,'Live Data'!$C$18)="","",INDEX(SPOT_Import!$A$1:$Z$2488,1540,'Live Data'!$C$18)),"")</f>
        <v/>
      </c>
      <c r="H1540" s="54" t="str">
        <f>IFERROR(IF(INDEX(SPOT_Import!$A$1:$Z$2488,1540,'Live Data'!$C$19)="","",INDEX(SPOT_Import!$A$1:$Z$2488,1540,'Live Data'!$C$19)),"")</f>
        <v/>
      </c>
      <c r="I1540" s="54" t="str">
        <f>IFERROR(IF(INDEX(SPOT_Import!$A$1:$Z$2488,1540,'Live Data'!$C$20)="","",INDEX(SPOT_Import!$A$1:$Z$2488,1540,'Live Data'!$C$20)),"")</f>
        <v/>
      </c>
      <c r="J1540" s="54" t="str">
        <f>IFERROR(IF(INDEX(SPOT_Import!$A$1:$Z$2488,1540,'Live Data'!$C$21)="","",INDEX(SPOT_Import!$A$1:$Z$2488,1540,'Live Data'!$C$21)),"")</f>
        <v/>
      </c>
      <c r="K1540" s="54" t="str">
        <f>IFERROR(IF(INDEX(SPOT_Import!$A$1:$Z$2488,1540,'Live Data'!$C$22)="","",INDEX(SPOT_Import!$A$1:$Z$2488,1540,'Live Data'!$C$22)),"")</f>
        <v/>
      </c>
      <c r="L1540" s="55" t="str">
        <f t="shared" si="48"/>
        <v/>
      </c>
      <c r="M1540" s="55" t="str">
        <f t="shared" si="49"/>
        <v/>
      </c>
      <c r="N1540" s="55" t="str">
        <f>IF(A1540="","",IFERROR(INDEX('Cluster Map'!$A$4:$A$38,MATCH(M1540,'Cluster Map'!$B$4:$B$38,0)),"Unmapped"))</f>
        <v/>
      </c>
      <c r="O1540" s="55">
        <f>IF(A1540="",0,IF(COUNTIFS($A$2:A1540,A1540,$F$2:F1540,F1540,$L$2:L1540,L1540)=1,1,0))</f>
        <v>0</v>
      </c>
      <c r="P1540" s="55">
        <f>IF(A1540="",0,IF(AND(F1540="C&amp;T",COUNTIFS($A$2:A1540,A1540,$F$2:F1540,"C&amp;T")=1),1,0))</f>
        <v>0</v>
      </c>
    </row>
    <row r="1541" spans="1:16" x14ac:dyDescent="0.35">
      <c r="A1541" s="54" t="str">
        <f>IFERROR(IF(INDEX(SPOT_Import!$A$1:$Z$2488,1541,'Live Data'!$C$12)="","",INDEX(SPOT_Import!$A$1:$Z$2488,1541,'Live Data'!$C$12)),"")</f>
        <v/>
      </c>
      <c r="B1541" s="54" t="str">
        <f>IFERROR(IF(INDEX(SPOT_Import!$A$1:$Z$2488,1541,'Live Data'!$C$13)="","",INDEX(SPOT_Import!$A$1:$Z$2488,1541,'Live Data'!$C$13)),"")</f>
        <v/>
      </c>
      <c r="C1541" s="54" t="str">
        <f>IFERROR(IF(INDEX(SPOT_Import!$A$1:$Z$2488,1541,'Live Data'!$C$14)="","",INDEX(SPOT_Import!$A$1:$Z$2488,1541,'Live Data'!$C$14)),"")</f>
        <v/>
      </c>
      <c r="D1541" s="54" t="str">
        <f>IFERROR(IF(INDEX(SPOT_Import!$A$1:$Z$2488,1541,'Live Data'!$C$15)="","",INDEX(SPOT_Import!$A$1:$Z$2488,1541,'Live Data'!$C$15)),"")</f>
        <v/>
      </c>
      <c r="E1541" s="54" t="str">
        <f>IFERROR(IF(INDEX(SPOT_Import!$A$1:$Z$2488,1541,'Live Data'!$C$16)="","",INDEX(SPOT_Import!$A$1:$Z$2488,1541,'Live Data'!$C$16)),"")</f>
        <v/>
      </c>
      <c r="F1541" s="54" t="str">
        <f>IFERROR(IF(INDEX(SPOT_Import!$A$1:$Z$2488,1541,'Live Data'!$C$17)="","",INDEX(SPOT_Import!$A$1:$Z$2488,1541,'Live Data'!$C$17)),"")</f>
        <v/>
      </c>
      <c r="G1541" s="54" t="str">
        <f>IFERROR(IF(INDEX(SPOT_Import!$A$1:$Z$2488,1541,'Live Data'!$C$18)="","",INDEX(SPOT_Import!$A$1:$Z$2488,1541,'Live Data'!$C$18)),"")</f>
        <v/>
      </c>
      <c r="H1541" s="54" t="str">
        <f>IFERROR(IF(INDEX(SPOT_Import!$A$1:$Z$2488,1541,'Live Data'!$C$19)="","",INDEX(SPOT_Import!$A$1:$Z$2488,1541,'Live Data'!$C$19)),"")</f>
        <v/>
      </c>
      <c r="I1541" s="54" t="str">
        <f>IFERROR(IF(INDEX(SPOT_Import!$A$1:$Z$2488,1541,'Live Data'!$C$20)="","",INDEX(SPOT_Import!$A$1:$Z$2488,1541,'Live Data'!$C$20)),"")</f>
        <v/>
      </c>
      <c r="J1541" s="54" t="str">
        <f>IFERROR(IF(INDEX(SPOT_Import!$A$1:$Z$2488,1541,'Live Data'!$C$21)="","",INDEX(SPOT_Import!$A$1:$Z$2488,1541,'Live Data'!$C$21)),"")</f>
        <v/>
      </c>
      <c r="K1541" s="54" t="str">
        <f>IFERROR(IF(INDEX(SPOT_Import!$A$1:$Z$2488,1541,'Live Data'!$C$22)="","",INDEX(SPOT_Import!$A$1:$Z$2488,1541,'Live Data'!$C$22)),"")</f>
        <v/>
      </c>
      <c r="L1541" s="55" t="str">
        <f t="shared" si="48"/>
        <v/>
      </c>
      <c r="M1541" s="55" t="str">
        <f t="shared" si="49"/>
        <v/>
      </c>
      <c r="N1541" s="55" t="str">
        <f>IF(A1541="","",IFERROR(INDEX('Cluster Map'!$A$4:$A$38,MATCH(M1541,'Cluster Map'!$B$4:$B$38,0)),"Unmapped"))</f>
        <v/>
      </c>
      <c r="O1541" s="55">
        <f>IF(A1541="",0,IF(COUNTIFS($A$2:A1541,A1541,$F$2:F1541,F1541,$L$2:L1541,L1541)=1,1,0))</f>
        <v>0</v>
      </c>
      <c r="P1541" s="55">
        <f>IF(A1541="",0,IF(AND(F1541="C&amp;T",COUNTIFS($A$2:A1541,A1541,$F$2:F1541,"C&amp;T")=1),1,0))</f>
        <v>0</v>
      </c>
    </row>
    <row r="1542" spans="1:16" x14ac:dyDescent="0.35">
      <c r="A1542" s="54" t="str">
        <f>IFERROR(IF(INDEX(SPOT_Import!$A$1:$Z$2488,1542,'Live Data'!$C$12)="","",INDEX(SPOT_Import!$A$1:$Z$2488,1542,'Live Data'!$C$12)),"")</f>
        <v/>
      </c>
      <c r="B1542" s="54" t="str">
        <f>IFERROR(IF(INDEX(SPOT_Import!$A$1:$Z$2488,1542,'Live Data'!$C$13)="","",INDEX(SPOT_Import!$A$1:$Z$2488,1542,'Live Data'!$C$13)),"")</f>
        <v/>
      </c>
      <c r="C1542" s="54" t="str">
        <f>IFERROR(IF(INDEX(SPOT_Import!$A$1:$Z$2488,1542,'Live Data'!$C$14)="","",INDEX(SPOT_Import!$A$1:$Z$2488,1542,'Live Data'!$C$14)),"")</f>
        <v/>
      </c>
      <c r="D1542" s="54" t="str">
        <f>IFERROR(IF(INDEX(SPOT_Import!$A$1:$Z$2488,1542,'Live Data'!$C$15)="","",INDEX(SPOT_Import!$A$1:$Z$2488,1542,'Live Data'!$C$15)),"")</f>
        <v/>
      </c>
      <c r="E1542" s="54" t="str">
        <f>IFERROR(IF(INDEX(SPOT_Import!$A$1:$Z$2488,1542,'Live Data'!$C$16)="","",INDEX(SPOT_Import!$A$1:$Z$2488,1542,'Live Data'!$C$16)),"")</f>
        <v/>
      </c>
      <c r="F1542" s="54" t="str">
        <f>IFERROR(IF(INDEX(SPOT_Import!$A$1:$Z$2488,1542,'Live Data'!$C$17)="","",INDEX(SPOT_Import!$A$1:$Z$2488,1542,'Live Data'!$C$17)),"")</f>
        <v/>
      </c>
      <c r="G1542" s="54" t="str">
        <f>IFERROR(IF(INDEX(SPOT_Import!$A$1:$Z$2488,1542,'Live Data'!$C$18)="","",INDEX(SPOT_Import!$A$1:$Z$2488,1542,'Live Data'!$C$18)),"")</f>
        <v/>
      </c>
      <c r="H1542" s="54" t="str">
        <f>IFERROR(IF(INDEX(SPOT_Import!$A$1:$Z$2488,1542,'Live Data'!$C$19)="","",INDEX(SPOT_Import!$A$1:$Z$2488,1542,'Live Data'!$C$19)),"")</f>
        <v/>
      </c>
      <c r="I1542" s="54" t="str">
        <f>IFERROR(IF(INDEX(SPOT_Import!$A$1:$Z$2488,1542,'Live Data'!$C$20)="","",INDEX(SPOT_Import!$A$1:$Z$2488,1542,'Live Data'!$C$20)),"")</f>
        <v/>
      </c>
      <c r="J1542" s="54" t="str">
        <f>IFERROR(IF(INDEX(SPOT_Import!$A$1:$Z$2488,1542,'Live Data'!$C$21)="","",INDEX(SPOT_Import!$A$1:$Z$2488,1542,'Live Data'!$C$21)),"")</f>
        <v/>
      </c>
      <c r="K1542" s="54" t="str">
        <f>IFERROR(IF(INDEX(SPOT_Import!$A$1:$Z$2488,1542,'Live Data'!$C$22)="","",INDEX(SPOT_Import!$A$1:$Z$2488,1542,'Live Data'!$C$22)),"")</f>
        <v/>
      </c>
      <c r="L1542" s="55" t="str">
        <f t="shared" si="48"/>
        <v/>
      </c>
      <c r="M1542" s="55" t="str">
        <f t="shared" si="49"/>
        <v/>
      </c>
      <c r="N1542" s="55" t="str">
        <f>IF(A1542="","",IFERROR(INDEX('Cluster Map'!$A$4:$A$38,MATCH(M1542,'Cluster Map'!$B$4:$B$38,0)),"Unmapped"))</f>
        <v/>
      </c>
      <c r="O1542" s="55">
        <f>IF(A1542="",0,IF(COUNTIFS($A$2:A1542,A1542,$F$2:F1542,F1542,$L$2:L1542,L1542)=1,1,0))</f>
        <v>0</v>
      </c>
      <c r="P1542" s="55">
        <f>IF(A1542="",0,IF(AND(F1542="C&amp;T",COUNTIFS($A$2:A1542,A1542,$F$2:F1542,"C&amp;T")=1),1,0))</f>
        <v>0</v>
      </c>
    </row>
    <row r="1543" spans="1:16" x14ac:dyDescent="0.35">
      <c r="A1543" s="54" t="str">
        <f>IFERROR(IF(INDEX(SPOT_Import!$A$1:$Z$2488,1543,'Live Data'!$C$12)="","",INDEX(SPOT_Import!$A$1:$Z$2488,1543,'Live Data'!$C$12)),"")</f>
        <v/>
      </c>
      <c r="B1543" s="54" t="str">
        <f>IFERROR(IF(INDEX(SPOT_Import!$A$1:$Z$2488,1543,'Live Data'!$C$13)="","",INDEX(SPOT_Import!$A$1:$Z$2488,1543,'Live Data'!$C$13)),"")</f>
        <v/>
      </c>
      <c r="C1543" s="54" t="str">
        <f>IFERROR(IF(INDEX(SPOT_Import!$A$1:$Z$2488,1543,'Live Data'!$C$14)="","",INDEX(SPOT_Import!$A$1:$Z$2488,1543,'Live Data'!$C$14)),"")</f>
        <v/>
      </c>
      <c r="D1543" s="54" t="str">
        <f>IFERROR(IF(INDEX(SPOT_Import!$A$1:$Z$2488,1543,'Live Data'!$C$15)="","",INDEX(SPOT_Import!$A$1:$Z$2488,1543,'Live Data'!$C$15)),"")</f>
        <v/>
      </c>
      <c r="E1543" s="54" t="str">
        <f>IFERROR(IF(INDEX(SPOT_Import!$A$1:$Z$2488,1543,'Live Data'!$C$16)="","",INDEX(SPOT_Import!$A$1:$Z$2488,1543,'Live Data'!$C$16)),"")</f>
        <v/>
      </c>
      <c r="F1543" s="54" t="str">
        <f>IFERROR(IF(INDEX(SPOT_Import!$A$1:$Z$2488,1543,'Live Data'!$C$17)="","",INDEX(SPOT_Import!$A$1:$Z$2488,1543,'Live Data'!$C$17)),"")</f>
        <v/>
      </c>
      <c r="G1543" s="54" t="str">
        <f>IFERROR(IF(INDEX(SPOT_Import!$A$1:$Z$2488,1543,'Live Data'!$C$18)="","",INDEX(SPOT_Import!$A$1:$Z$2488,1543,'Live Data'!$C$18)),"")</f>
        <v/>
      </c>
      <c r="H1543" s="54" t="str">
        <f>IFERROR(IF(INDEX(SPOT_Import!$A$1:$Z$2488,1543,'Live Data'!$C$19)="","",INDEX(SPOT_Import!$A$1:$Z$2488,1543,'Live Data'!$C$19)),"")</f>
        <v/>
      </c>
      <c r="I1543" s="54" t="str">
        <f>IFERROR(IF(INDEX(SPOT_Import!$A$1:$Z$2488,1543,'Live Data'!$C$20)="","",INDEX(SPOT_Import!$A$1:$Z$2488,1543,'Live Data'!$C$20)),"")</f>
        <v/>
      </c>
      <c r="J1543" s="54" t="str">
        <f>IFERROR(IF(INDEX(SPOT_Import!$A$1:$Z$2488,1543,'Live Data'!$C$21)="","",INDEX(SPOT_Import!$A$1:$Z$2488,1543,'Live Data'!$C$21)),"")</f>
        <v/>
      </c>
      <c r="K1543" s="54" t="str">
        <f>IFERROR(IF(INDEX(SPOT_Import!$A$1:$Z$2488,1543,'Live Data'!$C$22)="","",INDEX(SPOT_Import!$A$1:$Z$2488,1543,'Live Data'!$C$22)),"")</f>
        <v/>
      </c>
      <c r="L1543" s="55" t="str">
        <f t="shared" si="48"/>
        <v/>
      </c>
      <c r="M1543" s="55" t="str">
        <f t="shared" si="49"/>
        <v/>
      </c>
      <c r="N1543" s="55" t="str">
        <f>IF(A1543="","",IFERROR(INDEX('Cluster Map'!$A$4:$A$38,MATCH(M1543,'Cluster Map'!$B$4:$B$38,0)),"Unmapped"))</f>
        <v/>
      </c>
      <c r="O1543" s="55">
        <f>IF(A1543="",0,IF(COUNTIFS($A$2:A1543,A1543,$F$2:F1543,F1543,$L$2:L1543,L1543)=1,1,0))</f>
        <v>0</v>
      </c>
      <c r="P1543" s="55">
        <f>IF(A1543="",0,IF(AND(F1543="C&amp;T",COUNTIFS($A$2:A1543,A1543,$F$2:F1543,"C&amp;T")=1),1,0))</f>
        <v>0</v>
      </c>
    </row>
    <row r="1544" spans="1:16" x14ac:dyDescent="0.35">
      <c r="A1544" s="54" t="str">
        <f>IFERROR(IF(INDEX(SPOT_Import!$A$1:$Z$2488,1544,'Live Data'!$C$12)="","",INDEX(SPOT_Import!$A$1:$Z$2488,1544,'Live Data'!$C$12)),"")</f>
        <v/>
      </c>
      <c r="B1544" s="54" t="str">
        <f>IFERROR(IF(INDEX(SPOT_Import!$A$1:$Z$2488,1544,'Live Data'!$C$13)="","",INDEX(SPOT_Import!$A$1:$Z$2488,1544,'Live Data'!$C$13)),"")</f>
        <v/>
      </c>
      <c r="C1544" s="54" t="str">
        <f>IFERROR(IF(INDEX(SPOT_Import!$A$1:$Z$2488,1544,'Live Data'!$C$14)="","",INDEX(SPOT_Import!$A$1:$Z$2488,1544,'Live Data'!$C$14)),"")</f>
        <v/>
      </c>
      <c r="D1544" s="54" t="str">
        <f>IFERROR(IF(INDEX(SPOT_Import!$A$1:$Z$2488,1544,'Live Data'!$C$15)="","",INDEX(SPOT_Import!$A$1:$Z$2488,1544,'Live Data'!$C$15)),"")</f>
        <v/>
      </c>
      <c r="E1544" s="54" t="str">
        <f>IFERROR(IF(INDEX(SPOT_Import!$A$1:$Z$2488,1544,'Live Data'!$C$16)="","",INDEX(SPOT_Import!$A$1:$Z$2488,1544,'Live Data'!$C$16)),"")</f>
        <v/>
      </c>
      <c r="F1544" s="54" t="str">
        <f>IFERROR(IF(INDEX(SPOT_Import!$A$1:$Z$2488,1544,'Live Data'!$C$17)="","",INDEX(SPOT_Import!$A$1:$Z$2488,1544,'Live Data'!$C$17)),"")</f>
        <v/>
      </c>
      <c r="G1544" s="54" t="str">
        <f>IFERROR(IF(INDEX(SPOT_Import!$A$1:$Z$2488,1544,'Live Data'!$C$18)="","",INDEX(SPOT_Import!$A$1:$Z$2488,1544,'Live Data'!$C$18)),"")</f>
        <v/>
      </c>
      <c r="H1544" s="54" t="str">
        <f>IFERROR(IF(INDEX(SPOT_Import!$A$1:$Z$2488,1544,'Live Data'!$C$19)="","",INDEX(SPOT_Import!$A$1:$Z$2488,1544,'Live Data'!$C$19)),"")</f>
        <v/>
      </c>
      <c r="I1544" s="54" t="str">
        <f>IFERROR(IF(INDEX(SPOT_Import!$A$1:$Z$2488,1544,'Live Data'!$C$20)="","",INDEX(SPOT_Import!$A$1:$Z$2488,1544,'Live Data'!$C$20)),"")</f>
        <v/>
      </c>
      <c r="J1544" s="54" t="str">
        <f>IFERROR(IF(INDEX(SPOT_Import!$A$1:$Z$2488,1544,'Live Data'!$C$21)="","",INDEX(SPOT_Import!$A$1:$Z$2488,1544,'Live Data'!$C$21)),"")</f>
        <v/>
      </c>
      <c r="K1544" s="54" t="str">
        <f>IFERROR(IF(INDEX(SPOT_Import!$A$1:$Z$2488,1544,'Live Data'!$C$22)="","",INDEX(SPOT_Import!$A$1:$Z$2488,1544,'Live Data'!$C$22)),"")</f>
        <v/>
      </c>
      <c r="L1544" s="55" t="str">
        <f t="shared" si="48"/>
        <v/>
      </c>
      <c r="M1544" s="55" t="str">
        <f t="shared" si="49"/>
        <v/>
      </c>
      <c r="N1544" s="55" t="str">
        <f>IF(A1544="","",IFERROR(INDEX('Cluster Map'!$A$4:$A$38,MATCH(M1544,'Cluster Map'!$B$4:$B$38,0)),"Unmapped"))</f>
        <v/>
      </c>
      <c r="O1544" s="55">
        <f>IF(A1544="",0,IF(COUNTIFS($A$2:A1544,A1544,$F$2:F1544,F1544,$L$2:L1544,L1544)=1,1,0))</f>
        <v>0</v>
      </c>
      <c r="P1544" s="55">
        <f>IF(A1544="",0,IF(AND(F1544="C&amp;T",COUNTIFS($A$2:A1544,A1544,$F$2:F1544,"C&amp;T")=1),1,0))</f>
        <v>0</v>
      </c>
    </row>
    <row r="1545" spans="1:16" x14ac:dyDescent="0.35">
      <c r="A1545" s="54" t="str">
        <f>IFERROR(IF(INDEX(SPOT_Import!$A$1:$Z$2488,1545,'Live Data'!$C$12)="","",INDEX(SPOT_Import!$A$1:$Z$2488,1545,'Live Data'!$C$12)),"")</f>
        <v/>
      </c>
      <c r="B1545" s="54" t="str">
        <f>IFERROR(IF(INDEX(SPOT_Import!$A$1:$Z$2488,1545,'Live Data'!$C$13)="","",INDEX(SPOT_Import!$A$1:$Z$2488,1545,'Live Data'!$C$13)),"")</f>
        <v/>
      </c>
      <c r="C1545" s="54" t="str">
        <f>IFERROR(IF(INDEX(SPOT_Import!$A$1:$Z$2488,1545,'Live Data'!$C$14)="","",INDEX(SPOT_Import!$A$1:$Z$2488,1545,'Live Data'!$C$14)),"")</f>
        <v/>
      </c>
      <c r="D1545" s="54" t="str">
        <f>IFERROR(IF(INDEX(SPOT_Import!$A$1:$Z$2488,1545,'Live Data'!$C$15)="","",INDEX(SPOT_Import!$A$1:$Z$2488,1545,'Live Data'!$C$15)),"")</f>
        <v/>
      </c>
      <c r="E1545" s="54" t="str">
        <f>IFERROR(IF(INDEX(SPOT_Import!$A$1:$Z$2488,1545,'Live Data'!$C$16)="","",INDEX(SPOT_Import!$A$1:$Z$2488,1545,'Live Data'!$C$16)),"")</f>
        <v/>
      </c>
      <c r="F1545" s="54" t="str">
        <f>IFERROR(IF(INDEX(SPOT_Import!$A$1:$Z$2488,1545,'Live Data'!$C$17)="","",INDEX(SPOT_Import!$A$1:$Z$2488,1545,'Live Data'!$C$17)),"")</f>
        <v/>
      </c>
      <c r="G1545" s="54" t="str">
        <f>IFERROR(IF(INDEX(SPOT_Import!$A$1:$Z$2488,1545,'Live Data'!$C$18)="","",INDEX(SPOT_Import!$A$1:$Z$2488,1545,'Live Data'!$C$18)),"")</f>
        <v/>
      </c>
      <c r="H1545" s="54" t="str">
        <f>IFERROR(IF(INDEX(SPOT_Import!$A$1:$Z$2488,1545,'Live Data'!$C$19)="","",INDEX(SPOT_Import!$A$1:$Z$2488,1545,'Live Data'!$C$19)),"")</f>
        <v/>
      </c>
      <c r="I1545" s="54" t="str">
        <f>IFERROR(IF(INDEX(SPOT_Import!$A$1:$Z$2488,1545,'Live Data'!$C$20)="","",INDEX(SPOT_Import!$A$1:$Z$2488,1545,'Live Data'!$C$20)),"")</f>
        <v/>
      </c>
      <c r="J1545" s="54" t="str">
        <f>IFERROR(IF(INDEX(SPOT_Import!$A$1:$Z$2488,1545,'Live Data'!$C$21)="","",INDEX(SPOT_Import!$A$1:$Z$2488,1545,'Live Data'!$C$21)),"")</f>
        <v/>
      </c>
      <c r="K1545" s="54" t="str">
        <f>IFERROR(IF(INDEX(SPOT_Import!$A$1:$Z$2488,1545,'Live Data'!$C$22)="","",INDEX(SPOT_Import!$A$1:$Z$2488,1545,'Live Data'!$C$22)),"")</f>
        <v/>
      </c>
      <c r="L1545" s="55" t="str">
        <f t="shared" si="48"/>
        <v/>
      </c>
      <c r="M1545" s="55" t="str">
        <f t="shared" si="49"/>
        <v/>
      </c>
      <c r="N1545" s="55" t="str">
        <f>IF(A1545="","",IFERROR(INDEX('Cluster Map'!$A$4:$A$38,MATCH(M1545,'Cluster Map'!$B$4:$B$38,0)),"Unmapped"))</f>
        <v/>
      </c>
      <c r="O1545" s="55">
        <f>IF(A1545="",0,IF(COUNTIFS($A$2:A1545,A1545,$F$2:F1545,F1545,$L$2:L1545,L1545)=1,1,0))</f>
        <v>0</v>
      </c>
      <c r="P1545" s="55">
        <f>IF(A1545="",0,IF(AND(F1545="C&amp;T",COUNTIFS($A$2:A1545,A1545,$F$2:F1545,"C&amp;T")=1),1,0))</f>
        <v>0</v>
      </c>
    </row>
    <row r="1546" spans="1:16" x14ac:dyDescent="0.35">
      <c r="A1546" s="54" t="str">
        <f>IFERROR(IF(INDEX(SPOT_Import!$A$1:$Z$2488,1546,'Live Data'!$C$12)="","",INDEX(SPOT_Import!$A$1:$Z$2488,1546,'Live Data'!$C$12)),"")</f>
        <v/>
      </c>
      <c r="B1546" s="54" t="str">
        <f>IFERROR(IF(INDEX(SPOT_Import!$A$1:$Z$2488,1546,'Live Data'!$C$13)="","",INDEX(SPOT_Import!$A$1:$Z$2488,1546,'Live Data'!$C$13)),"")</f>
        <v/>
      </c>
      <c r="C1546" s="54" t="str">
        <f>IFERROR(IF(INDEX(SPOT_Import!$A$1:$Z$2488,1546,'Live Data'!$C$14)="","",INDEX(SPOT_Import!$A$1:$Z$2488,1546,'Live Data'!$C$14)),"")</f>
        <v/>
      </c>
      <c r="D1546" s="54" t="str">
        <f>IFERROR(IF(INDEX(SPOT_Import!$A$1:$Z$2488,1546,'Live Data'!$C$15)="","",INDEX(SPOT_Import!$A$1:$Z$2488,1546,'Live Data'!$C$15)),"")</f>
        <v/>
      </c>
      <c r="E1546" s="54" t="str">
        <f>IFERROR(IF(INDEX(SPOT_Import!$A$1:$Z$2488,1546,'Live Data'!$C$16)="","",INDEX(SPOT_Import!$A$1:$Z$2488,1546,'Live Data'!$C$16)),"")</f>
        <v/>
      </c>
      <c r="F1546" s="54" t="str">
        <f>IFERROR(IF(INDEX(SPOT_Import!$A$1:$Z$2488,1546,'Live Data'!$C$17)="","",INDEX(SPOT_Import!$A$1:$Z$2488,1546,'Live Data'!$C$17)),"")</f>
        <v/>
      </c>
      <c r="G1546" s="54" t="str">
        <f>IFERROR(IF(INDEX(SPOT_Import!$A$1:$Z$2488,1546,'Live Data'!$C$18)="","",INDEX(SPOT_Import!$A$1:$Z$2488,1546,'Live Data'!$C$18)),"")</f>
        <v/>
      </c>
      <c r="H1546" s="54" t="str">
        <f>IFERROR(IF(INDEX(SPOT_Import!$A$1:$Z$2488,1546,'Live Data'!$C$19)="","",INDEX(SPOT_Import!$A$1:$Z$2488,1546,'Live Data'!$C$19)),"")</f>
        <v/>
      </c>
      <c r="I1546" s="54" t="str">
        <f>IFERROR(IF(INDEX(SPOT_Import!$A$1:$Z$2488,1546,'Live Data'!$C$20)="","",INDEX(SPOT_Import!$A$1:$Z$2488,1546,'Live Data'!$C$20)),"")</f>
        <v/>
      </c>
      <c r="J1546" s="54" t="str">
        <f>IFERROR(IF(INDEX(SPOT_Import!$A$1:$Z$2488,1546,'Live Data'!$C$21)="","",INDEX(SPOT_Import!$A$1:$Z$2488,1546,'Live Data'!$C$21)),"")</f>
        <v/>
      </c>
      <c r="K1546" s="54" t="str">
        <f>IFERROR(IF(INDEX(SPOT_Import!$A$1:$Z$2488,1546,'Live Data'!$C$22)="","",INDEX(SPOT_Import!$A$1:$Z$2488,1546,'Live Data'!$C$22)),"")</f>
        <v/>
      </c>
      <c r="L1546" s="55" t="str">
        <f t="shared" si="48"/>
        <v/>
      </c>
      <c r="M1546" s="55" t="str">
        <f t="shared" si="49"/>
        <v/>
      </c>
      <c r="N1546" s="55" t="str">
        <f>IF(A1546="","",IFERROR(INDEX('Cluster Map'!$A$4:$A$38,MATCH(M1546,'Cluster Map'!$B$4:$B$38,0)),"Unmapped"))</f>
        <v/>
      </c>
      <c r="O1546" s="55">
        <f>IF(A1546="",0,IF(COUNTIFS($A$2:A1546,A1546,$F$2:F1546,F1546,$L$2:L1546,L1546)=1,1,0))</f>
        <v>0</v>
      </c>
      <c r="P1546" s="55">
        <f>IF(A1546="",0,IF(AND(F1546="C&amp;T",COUNTIFS($A$2:A1546,A1546,$F$2:F1546,"C&amp;T")=1),1,0))</f>
        <v>0</v>
      </c>
    </row>
    <row r="1547" spans="1:16" x14ac:dyDescent="0.35">
      <c r="A1547" s="54" t="str">
        <f>IFERROR(IF(INDEX(SPOT_Import!$A$1:$Z$2488,1547,'Live Data'!$C$12)="","",INDEX(SPOT_Import!$A$1:$Z$2488,1547,'Live Data'!$C$12)),"")</f>
        <v/>
      </c>
      <c r="B1547" s="54" t="str">
        <f>IFERROR(IF(INDEX(SPOT_Import!$A$1:$Z$2488,1547,'Live Data'!$C$13)="","",INDEX(SPOT_Import!$A$1:$Z$2488,1547,'Live Data'!$C$13)),"")</f>
        <v/>
      </c>
      <c r="C1547" s="54" t="str">
        <f>IFERROR(IF(INDEX(SPOT_Import!$A$1:$Z$2488,1547,'Live Data'!$C$14)="","",INDEX(SPOT_Import!$A$1:$Z$2488,1547,'Live Data'!$C$14)),"")</f>
        <v/>
      </c>
      <c r="D1547" s="54" t="str">
        <f>IFERROR(IF(INDEX(SPOT_Import!$A$1:$Z$2488,1547,'Live Data'!$C$15)="","",INDEX(SPOT_Import!$A$1:$Z$2488,1547,'Live Data'!$C$15)),"")</f>
        <v/>
      </c>
      <c r="E1547" s="54" t="str">
        <f>IFERROR(IF(INDEX(SPOT_Import!$A$1:$Z$2488,1547,'Live Data'!$C$16)="","",INDEX(SPOT_Import!$A$1:$Z$2488,1547,'Live Data'!$C$16)),"")</f>
        <v/>
      </c>
      <c r="F1547" s="54" t="str">
        <f>IFERROR(IF(INDEX(SPOT_Import!$A$1:$Z$2488,1547,'Live Data'!$C$17)="","",INDEX(SPOT_Import!$A$1:$Z$2488,1547,'Live Data'!$C$17)),"")</f>
        <v/>
      </c>
      <c r="G1547" s="54" t="str">
        <f>IFERROR(IF(INDEX(SPOT_Import!$A$1:$Z$2488,1547,'Live Data'!$C$18)="","",INDEX(SPOT_Import!$A$1:$Z$2488,1547,'Live Data'!$C$18)),"")</f>
        <v/>
      </c>
      <c r="H1547" s="54" t="str">
        <f>IFERROR(IF(INDEX(SPOT_Import!$A$1:$Z$2488,1547,'Live Data'!$C$19)="","",INDEX(SPOT_Import!$A$1:$Z$2488,1547,'Live Data'!$C$19)),"")</f>
        <v/>
      </c>
      <c r="I1547" s="54" t="str">
        <f>IFERROR(IF(INDEX(SPOT_Import!$A$1:$Z$2488,1547,'Live Data'!$C$20)="","",INDEX(SPOT_Import!$A$1:$Z$2488,1547,'Live Data'!$C$20)),"")</f>
        <v/>
      </c>
      <c r="J1547" s="54" t="str">
        <f>IFERROR(IF(INDEX(SPOT_Import!$A$1:$Z$2488,1547,'Live Data'!$C$21)="","",INDEX(SPOT_Import!$A$1:$Z$2488,1547,'Live Data'!$C$21)),"")</f>
        <v/>
      </c>
      <c r="K1547" s="54" t="str">
        <f>IFERROR(IF(INDEX(SPOT_Import!$A$1:$Z$2488,1547,'Live Data'!$C$22)="","",INDEX(SPOT_Import!$A$1:$Z$2488,1547,'Live Data'!$C$22)),"")</f>
        <v/>
      </c>
      <c r="L1547" s="55" t="str">
        <f t="shared" si="48"/>
        <v/>
      </c>
      <c r="M1547" s="55" t="str">
        <f t="shared" si="49"/>
        <v/>
      </c>
      <c r="N1547" s="55" t="str">
        <f>IF(A1547="","",IFERROR(INDEX('Cluster Map'!$A$4:$A$38,MATCH(M1547,'Cluster Map'!$B$4:$B$38,0)),"Unmapped"))</f>
        <v/>
      </c>
      <c r="O1547" s="55">
        <f>IF(A1547="",0,IF(COUNTIFS($A$2:A1547,A1547,$F$2:F1547,F1547,$L$2:L1547,L1547)=1,1,0))</f>
        <v>0</v>
      </c>
      <c r="P1547" s="55">
        <f>IF(A1547="",0,IF(AND(F1547="C&amp;T",COUNTIFS($A$2:A1547,A1547,$F$2:F1547,"C&amp;T")=1),1,0))</f>
        <v>0</v>
      </c>
    </row>
    <row r="1548" spans="1:16" x14ac:dyDescent="0.35">
      <c r="A1548" s="54" t="str">
        <f>IFERROR(IF(INDEX(SPOT_Import!$A$1:$Z$2488,1548,'Live Data'!$C$12)="","",INDEX(SPOT_Import!$A$1:$Z$2488,1548,'Live Data'!$C$12)),"")</f>
        <v/>
      </c>
      <c r="B1548" s="54" t="str">
        <f>IFERROR(IF(INDEX(SPOT_Import!$A$1:$Z$2488,1548,'Live Data'!$C$13)="","",INDEX(SPOT_Import!$A$1:$Z$2488,1548,'Live Data'!$C$13)),"")</f>
        <v/>
      </c>
      <c r="C1548" s="54" t="str">
        <f>IFERROR(IF(INDEX(SPOT_Import!$A$1:$Z$2488,1548,'Live Data'!$C$14)="","",INDEX(SPOT_Import!$A$1:$Z$2488,1548,'Live Data'!$C$14)),"")</f>
        <v/>
      </c>
      <c r="D1548" s="54" t="str">
        <f>IFERROR(IF(INDEX(SPOT_Import!$A$1:$Z$2488,1548,'Live Data'!$C$15)="","",INDEX(SPOT_Import!$A$1:$Z$2488,1548,'Live Data'!$C$15)),"")</f>
        <v/>
      </c>
      <c r="E1548" s="54" t="str">
        <f>IFERROR(IF(INDEX(SPOT_Import!$A$1:$Z$2488,1548,'Live Data'!$C$16)="","",INDEX(SPOT_Import!$A$1:$Z$2488,1548,'Live Data'!$C$16)),"")</f>
        <v/>
      </c>
      <c r="F1548" s="54" t="str">
        <f>IFERROR(IF(INDEX(SPOT_Import!$A$1:$Z$2488,1548,'Live Data'!$C$17)="","",INDEX(SPOT_Import!$A$1:$Z$2488,1548,'Live Data'!$C$17)),"")</f>
        <v/>
      </c>
      <c r="G1548" s="54" t="str">
        <f>IFERROR(IF(INDEX(SPOT_Import!$A$1:$Z$2488,1548,'Live Data'!$C$18)="","",INDEX(SPOT_Import!$A$1:$Z$2488,1548,'Live Data'!$C$18)),"")</f>
        <v/>
      </c>
      <c r="H1548" s="54" t="str">
        <f>IFERROR(IF(INDEX(SPOT_Import!$A$1:$Z$2488,1548,'Live Data'!$C$19)="","",INDEX(SPOT_Import!$A$1:$Z$2488,1548,'Live Data'!$C$19)),"")</f>
        <v/>
      </c>
      <c r="I1548" s="54" t="str">
        <f>IFERROR(IF(INDEX(SPOT_Import!$A$1:$Z$2488,1548,'Live Data'!$C$20)="","",INDEX(SPOT_Import!$A$1:$Z$2488,1548,'Live Data'!$C$20)),"")</f>
        <v/>
      </c>
      <c r="J1548" s="54" t="str">
        <f>IFERROR(IF(INDEX(SPOT_Import!$A$1:$Z$2488,1548,'Live Data'!$C$21)="","",INDEX(SPOT_Import!$A$1:$Z$2488,1548,'Live Data'!$C$21)),"")</f>
        <v/>
      </c>
      <c r="K1548" s="54" t="str">
        <f>IFERROR(IF(INDEX(SPOT_Import!$A$1:$Z$2488,1548,'Live Data'!$C$22)="","",INDEX(SPOT_Import!$A$1:$Z$2488,1548,'Live Data'!$C$22)),"")</f>
        <v/>
      </c>
      <c r="L1548" s="55" t="str">
        <f t="shared" si="48"/>
        <v/>
      </c>
      <c r="M1548" s="55" t="str">
        <f t="shared" si="49"/>
        <v/>
      </c>
      <c r="N1548" s="55" t="str">
        <f>IF(A1548="","",IFERROR(INDEX('Cluster Map'!$A$4:$A$38,MATCH(M1548,'Cluster Map'!$B$4:$B$38,0)),"Unmapped"))</f>
        <v/>
      </c>
      <c r="O1548" s="55">
        <f>IF(A1548="",0,IF(COUNTIFS($A$2:A1548,A1548,$F$2:F1548,F1548,$L$2:L1548,L1548)=1,1,0))</f>
        <v>0</v>
      </c>
      <c r="P1548" s="55">
        <f>IF(A1548="",0,IF(AND(F1548="C&amp;T",COUNTIFS($A$2:A1548,A1548,$F$2:F1548,"C&amp;T")=1),1,0))</f>
        <v>0</v>
      </c>
    </row>
    <row r="1549" spans="1:16" x14ac:dyDescent="0.35">
      <c r="A1549" s="54" t="str">
        <f>IFERROR(IF(INDEX(SPOT_Import!$A$1:$Z$2488,1549,'Live Data'!$C$12)="","",INDEX(SPOT_Import!$A$1:$Z$2488,1549,'Live Data'!$C$12)),"")</f>
        <v/>
      </c>
      <c r="B1549" s="54" t="str">
        <f>IFERROR(IF(INDEX(SPOT_Import!$A$1:$Z$2488,1549,'Live Data'!$C$13)="","",INDEX(SPOT_Import!$A$1:$Z$2488,1549,'Live Data'!$C$13)),"")</f>
        <v/>
      </c>
      <c r="C1549" s="54" t="str">
        <f>IFERROR(IF(INDEX(SPOT_Import!$A$1:$Z$2488,1549,'Live Data'!$C$14)="","",INDEX(SPOT_Import!$A$1:$Z$2488,1549,'Live Data'!$C$14)),"")</f>
        <v/>
      </c>
      <c r="D1549" s="54" t="str">
        <f>IFERROR(IF(INDEX(SPOT_Import!$A$1:$Z$2488,1549,'Live Data'!$C$15)="","",INDEX(SPOT_Import!$A$1:$Z$2488,1549,'Live Data'!$C$15)),"")</f>
        <v/>
      </c>
      <c r="E1549" s="54" t="str">
        <f>IFERROR(IF(INDEX(SPOT_Import!$A$1:$Z$2488,1549,'Live Data'!$C$16)="","",INDEX(SPOT_Import!$A$1:$Z$2488,1549,'Live Data'!$C$16)),"")</f>
        <v/>
      </c>
      <c r="F1549" s="54" t="str">
        <f>IFERROR(IF(INDEX(SPOT_Import!$A$1:$Z$2488,1549,'Live Data'!$C$17)="","",INDEX(SPOT_Import!$A$1:$Z$2488,1549,'Live Data'!$C$17)),"")</f>
        <v/>
      </c>
      <c r="G1549" s="54" t="str">
        <f>IFERROR(IF(INDEX(SPOT_Import!$A$1:$Z$2488,1549,'Live Data'!$C$18)="","",INDEX(SPOT_Import!$A$1:$Z$2488,1549,'Live Data'!$C$18)),"")</f>
        <v/>
      </c>
      <c r="H1549" s="54" t="str">
        <f>IFERROR(IF(INDEX(SPOT_Import!$A$1:$Z$2488,1549,'Live Data'!$C$19)="","",INDEX(SPOT_Import!$A$1:$Z$2488,1549,'Live Data'!$C$19)),"")</f>
        <v/>
      </c>
      <c r="I1549" s="54" t="str">
        <f>IFERROR(IF(INDEX(SPOT_Import!$A$1:$Z$2488,1549,'Live Data'!$C$20)="","",INDEX(SPOT_Import!$A$1:$Z$2488,1549,'Live Data'!$C$20)),"")</f>
        <v/>
      </c>
      <c r="J1549" s="54" t="str">
        <f>IFERROR(IF(INDEX(SPOT_Import!$A$1:$Z$2488,1549,'Live Data'!$C$21)="","",INDEX(SPOT_Import!$A$1:$Z$2488,1549,'Live Data'!$C$21)),"")</f>
        <v/>
      </c>
      <c r="K1549" s="54" t="str">
        <f>IFERROR(IF(INDEX(SPOT_Import!$A$1:$Z$2488,1549,'Live Data'!$C$22)="","",INDEX(SPOT_Import!$A$1:$Z$2488,1549,'Live Data'!$C$22)),"")</f>
        <v/>
      </c>
      <c r="L1549" s="55" t="str">
        <f t="shared" si="48"/>
        <v/>
      </c>
      <c r="M1549" s="55" t="str">
        <f t="shared" si="49"/>
        <v/>
      </c>
      <c r="N1549" s="55" t="str">
        <f>IF(A1549="","",IFERROR(INDEX('Cluster Map'!$A$4:$A$38,MATCH(M1549,'Cluster Map'!$B$4:$B$38,0)),"Unmapped"))</f>
        <v/>
      </c>
      <c r="O1549" s="55">
        <f>IF(A1549="",0,IF(COUNTIFS($A$2:A1549,A1549,$F$2:F1549,F1549,$L$2:L1549,L1549)=1,1,0))</f>
        <v>0</v>
      </c>
      <c r="P1549" s="55">
        <f>IF(A1549="",0,IF(AND(F1549="C&amp;T",COUNTIFS($A$2:A1549,A1549,$F$2:F1549,"C&amp;T")=1),1,0))</f>
        <v>0</v>
      </c>
    </row>
    <row r="1550" spans="1:16" x14ac:dyDescent="0.35">
      <c r="A1550" s="54" t="str">
        <f>IFERROR(IF(INDEX(SPOT_Import!$A$1:$Z$2488,1550,'Live Data'!$C$12)="","",INDEX(SPOT_Import!$A$1:$Z$2488,1550,'Live Data'!$C$12)),"")</f>
        <v/>
      </c>
      <c r="B1550" s="54" t="str">
        <f>IFERROR(IF(INDEX(SPOT_Import!$A$1:$Z$2488,1550,'Live Data'!$C$13)="","",INDEX(SPOT_Import!$A$1:$Z$2488,1550,'Live Data'!$C$13)),"")</f>
        <v/>
      </c>
      <c r="C1550" s="54" t="str">
        <f>IFERROR(IF(INDEX(SPOT_Import!$A$1:$Z$2488,1550,'Live Data'!$C$14)="","",INDEX(SPOT_Import!$A$1:$Z$2488,1550,'Live Data'!$C$14)),"")</f>
        <v/>
      </c>
      <c r="D1550" s="54" t="str">
        <f>IFERROR(IF(INDEX(SPOT_Import!$A$1:$Z$2488,1550,'Live Data'!$C$15)="","",INDEX(SPOT_Import!$A$1:$Z$2488,1550,'Live Data'!$C$15)),"")</f>
        <v/>
      </c>
      <c r="E1550" s="54" t="str">
        <f>IFERROR(IF(INDEX(SPOT_Import!$A$1:$Z$2488,1550,'Live Data'!$C$16)="","",INDEX(SPOT_Import!$A$1:$Z$2488,1550,'Live Data'!$C$16)),"")</f>
        <v/>
      </c>
      <c r="F1550" s="54" t="str">
        <f>IFERROR(IF(INDEX(SPOT_Import!$A$1:$Z$2488,1550,'Live Data'!$C$17)="","",INDEX(SPOT_Import!$A$1:$Z$2488,1550,'Live Data'!$C$17)),"")</f>
        <v/>
      </c>
      <c r="G1550" s="54" t="str">
        <f>IFERROR(IF(INDEX(SPOT_Import!$A$1:$Z$2488,1550,'Live Data'!$C$18)="","",INDEX(SPOT_Import!$A$1:$Z$2488,1550,'Live Data'!$C$18)),"")</f>
        <v/>
      </c>
      <c r="H1550" s="54" t="str">
        <f>IFERROR(IF(INDEX(SPOT_Import!$A$1:$Z$2488,1550,'Live Data'!$C$19)="","",INDEX(SPOT_Import!$A$1:$Z$2488,1550,'Live Data'!$C$19)),"")</f>
        <v/>
      </c>
      <c r="I1550" s="54" t="str">
        <f>IFERROR(IF(INDEX(SPOT_Import!$A$1:$Z$2488,1550,'Live Data'!$C$20)="","",INDEX(SPOT_Import!$A$1:$Z$2488,1550,'Live Data'!$C$20)),"")</f>
        <v/>
      </c>
      <c r="J1550" s="54" t="str">
        <f>IFERROR(IF(INDEX(SPOT_Import!$A$1:$Z$2488,1550,'Live Data'!$C$21)="","",INDEX(SPOT_Import!$A$1:$Z$2488,1550,'Live Data'!$C$21)),"")</f>
        <v/>
      </c>
      <c r="K1550" s="54" t="str">
        <f>IFERROR(IF(INDEX(SPOT_Import!$A$1:$Z$2488,1550,'Live Data'!$C$22)="","",INDEX(SPOT_Import!$A$1:$Z$2488,1550,'Live Data'!$C$22)),"")</f>
        <v/>
      </c>
      <c r="L1550" s="55" t="str">
        <f t="shared" si="48"/>
        <v/>
      </c>
      <c r="M1550" s="55" t="str">
        <f t="shared" si="49"/>
        <v/>
      </c>
      <c r="N1550" s="55" t="str">
        <f>IF(A1550="","",IFERROR(INDEX('Cluster Map'!$A$4:$A$38,MATCH(M1550,'Cluster Map'!$B$4:$B$38,0)),"Unmapped"))</f>
        <v/>
      </c>
      <c r="O1550" s="55">
        <f>IF(A1550="",0,IF(COUNTIFS($A$2:A1550,A1550,$F$2:F1550,F1550,$L$2:L1550,L1550)=1,1,0))</f>
        <v>0</v>
      </c>
      <c r="P1550" s="55">
        <f>IF(A1550="",0,IF(AND(F1550="C&amp;T",COUNTIFS($A$2:A1550,A1550,$F$2:F1550,"C&amp;T")=1),1,0))</f>
        <v>0</v>
      </c>
    </row>
    <row r="1551" spans="1:16" x14ac:dyDescent="0.35">
      <c r="A1551" s="54" t="str">
        <f>IFERROR(IF(INDEX(SPOT_Import!$A$1:$Z$2488,1551,'Live Data'!$C$12)="","",INDEX(SPOT_Import!$A$1:$Z$2488,1551,'Live Data'!$C$12)),"")</f>
        <v/>
      </c>
      <c r="B1551" s="54" t="str">
        <f>IFERROR(IF(INDEX(SPOT_Import!$A$1:$Z$2488,1551,'Live Data'!$C$13)="","",INDEX(SPOT_Import!$A$1:$Z$2488,1551,'Live Data'!$C$13)),"")</f>
        <v/>
      </c>
      <c r="C1551" s="54" t="str">
        <f>IFERROR(IF(INDEX(SPOT_Import!$A$1:$Z$2488,1551,'Live Data'!$C$14)="","",INDEX(SPOT_Import!$A$1:$Z$2488,1551,'Live Data'!$C$14)),"")</f>
        <v/>
      </c>
      <c r="D1551" s="54" t="str">
        <f>IFERROR(IF(INDEX(SPOT_Import!$A$1:$Z$2488,1551,'Live Data'!$C$15)="","",INDEX(SPOT_Import!$A$1:$Z$2488,1551,'Live Data'!$C$15)),"")</f>
        <v/>
      </c>
      <c r="E1551" s="54" t="str">
        <f>IFERROR(IF(INDEX(SPOT_Import!$A$1:$Z$2488,1551,'Live Data'!$C$16)="","",INDEX(SPOT_Import!$A$1:$Z$2488,1551,'Live Data'!$C$16)),"")</f>
        <v/>
      </c>
      <c r="F1551" s="54" t="str">
        <f>IFERROR(IF(INDEX(SPOT_Import!$A$1:$Z$2488,1551,'Live Data'!$C$17)="","",INDEX(SPOT_Import!$A$1:$Z$2488,1551,'Live Data'!$C$17)),"")</f>
        <v/>
      </c>
      <c r="G1551" s="54" t="str">
        <f>IFERROR(IF(INDEX(SPOT_Import!$A$1:$Z$2488,1551,'Live Data'!$C$18)="","",INDEX(SPOT_Import!$A$1:$Z$2488,1551,'Live Data'!$C$18)),"")</f>
        <v/>
      </c>
      <c r="H1551" s="54" t="str">
        <f>IFERROR(IF(INDEX(SPOT_Import!$A$1:$Z$2488,1551,'Live Data'!$C$19)="","",INDEX(SPOT_Import!$A$1:$Z$2488,1551,'Live Data'!$C$19)),"")</f>
        <v/>
      </c>
      <c r="I1551" s="54" t="str">
        <f>IFERROR(IF(INDEX(SPOT_Import!$A$1:$Z$2488,1551,'Live Data'!$C$20)="","",INDEX(SPOT_Import!$A$1:$Z$2488,1551,'Live Data'!$C$20)),"")</f>
        <v/>
      </c>
      <c r="J1551" s="54" t="str">
        <f>IFERROR(IF(INDEX(SPOT_Import!$A$1:$Z$2488,1551,'Live Data'!$C$21)="","",INDEX(SPOT_Import!$A$1:$Z$2488,1551,'Live Data'!$C$21)),"")</f>
        <v/>
      </c>
      <c r="K1551" s="54" t="str">
        <f>IFERROR(IF(INDEX(SPOT_Import!$A$1:$Z$2488,1551,'Live Data'!$C$22)="","",INDEX(SPOT_Import!$A$1:$Z$2488,1551,'Live Data'!$C$22)),"")</f>
        <v/>
      </c>
      <c r="L1551" s="55" t="str">
        <f t="shared" si="48"/>
        <v/>
      </c>
      <c r="M1551" s="55" t="str">
        <f t="shared" si="49"/>
        <v/>
      </c>
      <c r="N1551" s="55" t="str">
        <f>IF(A1551="","",IFERROR(INDEX('Cluster Map'!$A$4:$A$38,MATCH(M1551,'Cluster Map'!$B$4:$B$38,0)),"Unmapped"))</f>
        <v/>
      </c>
      <c r="O1551" s="55">
        <f>IF(A1551="",0,IF(COUNTIFS($A$2:A1551,A1551,$F$2:F1551,F1551,$L$2:L1551,L1551)=1,1,0))</f>
        <v>0</v>
      </c>
      <c r="P1551" s="55">
        <f>IF(A1551="",0,IF(AND(F1551="C&amp;T",COUNTIFS($A$2:A1551,A1551,$F$2:F1551,"C&amp;T")=1),1,0))</f>
        <v>0</v>
      </c>
    </row>
    <row r="1552" spans="1:16" x14ac:dyDescent="0.35">
      <c r="A1552" s="54" t="str">
        <f>IFERROR(IF(INDEX(SPOT_Import!$A$1:$Z$2488,1552,'Live Data'!$C$12)="","",INDEX(SPOT_Import!$A$1:$Z$2488,1552,'Live Data'!$C$12)),"")</f>
        <v/>
      </c>
      <c r="B1552" s="54" t="str">
        <f>IFERROR(IF(INDEX(SPOT_Import!$A$1:$Z$2488,1552,'Live Data'!$C$13)="","",INDEX(SPOT_Import!$A$1:$Z$2488,1552,'Live Data'!$C$13)),"")</f>
        <v/>
      </c>
      <c r="C1552" s="54" t="str">
        <f>IFERROR(IF(INDEX(SPOT_Import!$A$1:$Z$2488,1552,'Live Data'!$C$14)="","",INDEX(SPOT_Import!$A$1:$Z$2488,1552,'Live Data'!$C$14)),"")</f>
        <v/>
      </c>
      <c r="D1552" s="54" t="str">
        <f>IFERROR(IF(INDEX(SPOT_Import!$A$1:$Z$2488,1552,'Live Data'!$C$15)="","",INDEX(SPOT_Import!$A$1:$Z$2488,1552,'Live Data'!$C$15)),"")</f>
        <v/>
      </c>
      <c r="E1552" s="54" t="str">
        <f>IFERROR(IF(INDEX(SPOT_Import!$A$1:$Z$2488,1552,'Live Data'!$C$16)="","",INDEX(SPOT_Import!$A$1:$Z$2488,1552,'Live Data'!$C$16)),"")</f>
        <v/>
      </c>
      <c r="F1552" s="54" t="str">
        <f>IFERROR(IF(INDEX(SPOT_Import!$A$1:$Z$2488,1552,'Live Data'!$C$17)="","",INDEX(SPOT_Import!$A$1:$Z$2488,1552,'Live Data'!$C$17)),"")</f>
        <v/>
      </c>
      <c r="G1552" s="54" t="str">
        <f>IFERROR(IF(INDEX(SPOT_Import!$A$1:$Z$2488,1552,'Live Data'!$C$18)="","",INDEX(SPOT_Import!$A$1:$Z$2488,1552,'Live Data'!$C$18)),"")</f>
        <v/>
      </c>
      <c r="H1552" s="54" t="str">
        <f>IFERROR(IF(INDEX(SPOT_Import!$A$1:$Z$2488,1552,'Live Data'!$C$19)="","",INDEX(SPOT_Import!$A$1:$Z$2488,1552,'Live Data'!$C$19)),"")</f>
        <v/>
      </c>
      <c r="I1552" s="54" t="str">
        <f>IFERROR(IF(INDEX(SPOT_Import!$A$1:$Z$2488,1552,'Live Data'!$C$20)="","",INDEX(SPOT_Import!$A$1:$Z$2488,1552,'Live Data'!$C$20)),"")</f>
        <v/>
      </c>
      <c r="J1552" s="54" t="str">
        <f>IFERROR(IF(INDEX(SPOT_Import!$A$1:$Z$2488,1552,'Live Data'!$C$21)="","",INDEX(SPOT_Import!$A$1:$Z$2488,1552,'Live Data'!$C$21)),"")</f>
        <v/>
      </c>
      <c r="K1552" s="54" t="str">
        <f>IFERROR(IF(INDEX(SPOT_Import!$A$1:$Z$2488,1552,'Live Data'!$C$22)="","",INDEX(SPOT_Import!$A$1:$Z$2488,1552,'Live Data'!$C$22)),"")</f>
        <v/>
      </c>
      <c r="L1552" s="55" t="str">
        <f t="shared" si="48"/>
        <v/>
      </c>
      <c r="M1552" s="55" t="str">
        <f t="shared" si="49"/>
        <v/>
      </c>
      <c r="N1552" s="55" t="str">
        <f>IF(A1552="","",IFERROR(INDEX('Cluster Map'!$A$4:$A$38,MATCH(M1552,'Cluster Map'!$B$4:$B$38,0)),"Unmapped"))</f>
        <v/>
      </c>
      <c r="O1552" s="55">
        <f>IF(A1552="",0,IF(COUNTIFS($A$2:A1552,A1552,$F$2:F1552,F1552,$L$2:L1552,L1552)=1,1,0))</f>
        <v>0</v>
      </c>
      <c r="P1552" s="55">
        <f>IF(A1552="",0,IF(AND(F1552="C&amp;T",COUNTIFS($A$2:A1552,A1552,$F$2:F1552,"C&amp;T")=1),1,0))</f>
        <v>0</v>
      </c>
    </row>
    <row r="1553" spans="1:16" x14ac:dyDescent="0.35">
      <c r="A1553" s="54" t="str">
        <f>IFERROR(IF(INDEX(SPOT_Import!$A$1:$Z$2488,1553,'Live Data'!$C$12)="","",INDEX(SPOT_Import!$A$1:$Z$2488,1553,'Live Data'!$C$12)),"")</f>
        <v/>
      </c>
      <c r="B1553" s="54" t="str">
        <f>IFERROR(IF(INDEX(SPOT_Import!$A$1:$Z$2488,1553,'Live Data'!$C$13)="","",INDEX(SPOT_Import!$A$1:$Z$2488,1553,'Live Data'!$C$13)),"")</f>
        <v/>
      </c>
      <c r="C1553" s="54" t="str">
        <f>IFERROR(IF(INDEX(SPOT_Import!$A$1:$Z$2488,1553,'Live Data'!$C$14)="","",INDEX(SPOT_Import!$A$1:$Z$2488,1553,'Live Data'!$C$14)),"")</f>
        <v/>
      </c>
      <c r="D1553" s="54" t="str">
        <f>IFERROR(IF(INDEX(SPOT_Import!$A$1:$Z$2488,1553,'Live Data'!$C$15)="","",INDEX(SPOT_Import!$A$1:$Z$2488,1553,'Live Data'!$C$15)),"")</f>
        <v/>
      </c>
      <c r="E1553" s="54" t="str">
        <f>IFERROR(IF(INDEX(SPOT_Import!$A$1:$Z$2488,1553,'Live Data'!$C$16)="","",INDEX(SPOT_Import!$A$1:$Z$2488,1553,'Live Data'!$C$16)),"")</f>
        <v/>
      </c>
      <c r="F1553" s="54" t="str">
        <f>IFERROR(IF(INDEX(SPOT_Import!$A$1:$Z$2488,1553,'Live Data'!$C$17)="","",INDEX(SPOT_Import!$A$1:$Z$2488,1553,'Live Data'!$C$17)),"")</f>
        <v/>
      </c>
      <c r="G1553" s="54" t="str">
        <f>IFERROR(IF(INDEX(SPOT_Import!$A$1:$Z$2488,1553,'Live Data'!$C$18)="","",INDEX(SPOT_Import!$A$1:$Z$2488,1553,'Live Data'!$C$18)),"")</f>
        <v/>
      </c>
      <c r="H1553" s="54" t="str">
        <f>IFERROR(IF(INDEX(SPOT_Import!$A$1:$Z$2488,1553,'Live Data'!$C$19)="","",INDEX(SPOT_Import!$A$1:$Z$2488,1553,'Live Data'!$C$19)),"")</f>
        <v/>
      </c>
      <c r="I1553" s="54" t="str">
        <f>IFERROR(IF(INDEX(SPOT_Import!$A$1:$Z$2488,1553,'Live Data'!$C$20)="","",INDEX(SPOT_Import!$A$1:$Z$2488,1553,'Live Data'!$C$20)),"")</f>
        <v/>
      </c>
      <c r="J1553" s="54" t="str">
        <f>IFERROR(IF(INDEX(SPOT_Import!$A$1:$Z$2488,1553,'Live Data'!$C$21)="","",INDEX(SPOT_Import!$A$1:$Z$2488,1553,'Live Data'!$C$21)),"")</f>
        <v/>
      </c>
      <c r="K1553" s="54" t="str">
        <f>IFERROR(IF(INDEX(SPOT_Import!$A$1:$Z$2488,1553,'Live Data'!$C$22)="","",INDEX(SPOT_Import!$A$1:$Z$2488,1553,'Live Data'!$C$22)),"")</f>
        <v/>
      </c>
      <c r="L1553" s="55" t="str">
        <f t="shared" si="48"/>
        <v/>
      </c>
      <c r="M1553" s="55" t="str">
        <f t="shared" si="49"/>
        <v/>
      </c>
      <c r="N1553" s="55" t="str">
        <f>IF(A1553="","",IFERROR(INDEX('Cluster Map'!$A$4:$A$38,MATCH(M1553,'Cluster Map'!$B$4:$B$38,0)),"Unmapped"))</f>
        <v/>
      </c>
      <c r="O1553" s="55">
        <f>IF(A1553="",0,IF(COUNTIFS($A$2:A1553,A1553,$F$2:F1553,F1553,$L$2:L1553,L1553)=1,1,0))</f>
        <v>0</v>
      </c>
      <c r="P1553" s="55">
        <f>IF(A1553="",0,IF(AND(F1553="C&amp;T",COUNTIFS($A$2:A1553,A1553,$F$2:F1553,"C&amp;T")=1),1,0))</f>
        <v>0</v>
      </c>
    </row>
    <row r="1554" spans="1:16" x14ac:dyDescent="0.35">
      <c r="A1554" s="54" t="str">
        <f>IFERROR(IF(INDEX(SPOT_Import!$A$1:$Z$2488,1554,'Live Data'!$C$12)="","",INDEX(SPOT_Import!$A$1:$Z$2488,1554,'Live Data'!$C$12)),"")</f>
        <v/>
      </c>
      <c r="B1554" s="54" t="str">
        <f>IFERROR(IF(INDEX(SPOT_Import!$A$1:$Z$2488,1554,'Live Data'!$C$13)="","",INDEX(SPOT_Import!$A$1:$Z$2488,1554,'Live Data'!$C$13)),"")</f>
        <v/>
      </c>
      <c r="C1554" s="54" t="str">
        <f>IFERROR(IF(INDEX(SPOT_Import!$A$1:$Z$2488,1554,'Live Data'!$C$14)="","",INDEX(SPOT_Import!$A$1:$Z$2488,1554,'Live Data'!$C$14)),"")</f>
        <v/>
      </c>
      <c r="D1554" s="54" t="str">
        <f>IFERROR(IF(INDEX(SPOT_Import!$A$1:$Z$2488,1554,'Live Data'!$C$15)="","",INDEX(SPOT_Import!$A$1:$Z$2488,1554,'Live Data'!$C$15)),"")</f>
        <v/>
      </c>
      <c r="E1554" s="54" t="str">
        <f>IFERROR(IF(INDEX(SPOT_Import!$A$1:$Z$2488,1554,'Live Data'!$C$16)="","",INDEX(SPOT_Import!$A$1:$Z$2488,1554,'Live Data'!$C$16)),"")</f>
        <v/>
      </c>
      <c r="F1554" s="54" t="str">
        <f>IFERROR(IF(INDEX(SPOT_Import!$A$1:$Z$2488,1554,'Live Data'!$C$17)="","",INDEX(SPOT_Import!$A$1:$Z$2488,1554,'Live Data'!$C$17)),"")</f>
        <v/>
      </c>
      <c r="G1554" s="54" t="str">
        <f>IFERROR(IF(INDEX(SPOT_Import!$A$1:$Z$2488,1554,'Live Data'!$C$18)="","",INDEX(SPOT_Import!$A$1:$Z$2488,1554,'Live Data'!$C$18)),"")</f>
        <v/>
      </c>
      <c r="H1554" s="54" t="str">
        <f>IFERROR(IF(INDEX(SPOT_Import!$A$1:$Z$2488,1554,'Live Data'!$C$19)="","",INDEX(SPOT_Import!$A$1:$Z$2488,1554,'Live Data'!$C$19)),"")</f>
        <v/>
      </c>
      <c r="I1554" s="54" t="str">
        <f>IFERROR(IF(INDEX(SPOT_Import!$A$1:$Z$2488,1554,'Live Data'!$C$20)="","",INDEX(SPOT_Import!$A$1:$Z$2488,1554,'Live Data'!$C$20)),"")</f>
        <v/>
      </c>
      <c r="J1554" s="54" t="str">
        <f>IFERROR(IF(INDEX(SPOT_Import!$A$1:$Z$2488,1554,'Live Data'!$C$21)="","",INDEX(SPOT_Import!$A$1:$Z$2488,1554,'Live Data'!$C$21)),"")</f>
        <v/>
      </c>
      <c r="K1554" s="54" t="str">
        <f>IFERROR(IF(INDEX(SPOT_Import!$A$1:$Z$2488,1554,'Live Data'!$C$22)="","",INDEX(SPOT_Import!$A$1:$Z$2488,1554,'Live Data'!$C$22)),"")</f>
        <v/>
      </c>
      <c r="L1554" s="55" t="str">
        <f t="shared" si="48"/>
        <v/>
      </c>
      <c r="M1554" s="55" t="str">
        <f t="shared" si="49"/>
        <v/>
      </c>
      <c r="N1554" s="55" t="str">
        <f>IF(A1554="","",IFERROR(INDEX('Cluster Map'!$A$4:$A$38,MATCH(M1554,'Cluster Map'!$B$4:$B$38,0)),"Unmapped"))</f>
        <v/>
      </c>
      <c r="O1554" s="55">
        <f>IF(A1554="",0,IF(COUNTIFS($A$2:A1554,A1554,$F$2:F1554,F1554,$L$2:L1554,L1554)=1,1,0))</f>
        <v>0</v>
      </c>
      <c r="P1554" s="55">
        <f>IF(A1554="",0,IF(AND(F1554="C&amp;T",COUNTIFS($A$2:A1554,A1554,$F$2:F1554,"C&amp;T")=1),1,0))</f>
        <v>0</v>
      </c>
    </row>
    <row r="1555" spans="1:16" x14ac:dyDescent="0.35">
      <c r="A1555" s="54" t="str">
        <f>IFERROR(IF(INDEX(SPOT_Import!$A$1:$Z$2488,1555,'Live Data'!$C$12)="","",INDEX(SPOT_Import!$A$1:$Z$2488,1555,'Live Data'!$C$12)),"")</f>
        <v/>
      </c>
      <c r="B1555" s="54" t="str">
        <f>IFERROR(IF(INDEX(SPOT_Import!$A$1:$Z$2488,1555,'Live Data'!$C$13)="","",INDEX(SPOT_Import!$A$1:$Z$2488,1555,'Live Data'!$C$13)),"")</f>
        <v/>
      </c>
      <c r="C1555" s="54" t="str">
        <f>IFERROR(IF(INDEX(SPOT_Import!$A$1:$Z$2488,1555,'Live Data'!$C$14)="","",INDEX(SPOT_Import!$A$1:$Z$2488,1555,'Live Data'!$C$14)),"")</f>
        <v/>
      </c>
      <c r="D1555" s="54" t="str">
        <f>IFERROR(IF(INDEX(SPOT_Import!$A$1:$Z$2488,1555,'Live Data'!$C$15)="","",INDEX(SPOT_Import!$A$1:$Z$2488,1555,'Live Data'!$C$15)),"")</f>
        <v/>
      </c>
      <c r="E1555" s="54" t="str">
        <f>IFERROR(IF(INDEX(SPOT_Import!$A$1:$Z$2488,1555,'Live Data'!$C$16)="","",INDEX(SPOT_Import!$A$1:$Z$2488,1555,'Live Data'!$C$16)),"")</f>
        <v/>
      </c>
      <c r="F1555" s="54" t="str">
        <f>IFERROR(IF(INDEX(SPOT_Import!$A$1:$Z$2488,1555,'Live Data'!$C$17)="","",INDEX(SPOT_Import!$A$1:$Z$2488,1555,'Live Data'!$C$17)),"")</f>
        <v/>
      </c>
      <c r="G1555" s="54" t="str">
        <f>IFERROR(IF(INDEX(SPOT_Import!$A$1:$Z$2488,1555,'Live Data'!$C$18)="","",INDEX(SPOT_Import!$A$1:$Z$2488,1555,'Live Data'!$C$18)),"")</f>
        <v/>
      </c>
      <c r="H1555" s="54" t="str">
        <f>IFERROR(IF(INDEX(SPOT_Import!$A$1:$Z$2488,1555,'Live Data'!$C$19)="","",INDEX(SPOT_Import!$A$1:$Z$2488,1555,'Live Data'!$C$19)),"")</f>
        <v/>
      </c>
      <c r="I1555" s="54" t="str">
        <f>IFERROR(IF(INDEX(SPOT_Import!$A$1:$Z$2488,1555,'Live Data'!$C$20)="","",INDEX(SPOT_Import!$A$1:$Z$2488,1555,'Live Data'!$C$20)),"")</f>
        <v/>
      </c>
      <c r="J1555" s="54" t="str">
        <f>IFERROR(IF(INDEX(SPOT_Import!$A$1:$Z$2488,1555,'Live Data'!$C$21)="","",INDEX(SPOT_Import!$A$1:$Z$2488,1555,'Live Data'!$C$21)),"")</f>
        <v/>
      </c>
      <c r="K1555" s="54" t="str">
        <f>IFERROR(IF(INDEX(SPOT_Import!$A$1:$Z$2488,1555,'Live Data'!$C$22)="","",INDEX(SPOT_Import!$A$1:$Z$2488,1555,'Live Data'!$C$22)),"")</f>
        <v/>
      </c>
      <c r="L1555" s="55" t="str">
        <f t="shared" si="48"/>
        <v/>
      </c>
      <c r="M1555" s="55" t="str">
        <f t="shared" si="49"/>
        <v/>
      </c>
      <c r="N1555" s="55" t="str">
        <f>IF(A1555="","",IFERROR(INDEX('Cluster Map'!$A$4:$A$38,MATCH(M1555,'Cluster Map'!$B$4:$B$38,0)),"Unmapped"))</f>
        <v/>
      </c>
      <c r="O1555" s="55">
        <f>IF(A1555="",0,IF(COUNTIFS($A$2:A1555,A1555,$F$2:F1555,F1555,$L$2:L1555,L1555)=1,1,0))</f>
        <v>0</v>
      </c>
      <c r="P1555" s="55">
        <f>IF(A1555="",0,IF(AND(F1555="C&amp;T",COUNTIFS($A$2:A1555,A1555,$F$2:F1555,"C&amp;T")=1),1,0))</f>
        <v>0</v>
      </c>
    </row>
    <row r="1556" spans="1:16" x14ac:dyDescent="0.35">
      <c r="A1556" s="54" t="str">
        <f>IFERROR(IF(INDEX(SPOT_Import!$A$1:$Z$2488,1556,'Live Data'!$C$12)="","",INDEX(SPOT_Import!$A$1:$Z$2488,1556,'Live Data'!$C$12)),"")</f>
        <v/>
      </c>
      <c r="B1556" s="54" t="str">
        <f>IFERROR(IF(INDEX(SPOT_Import!$A$1:$Z$2488,1556,'Live Data'!$C$13)="","",INDEX(SPOT_Import!$A$1:$Z$2488,1556,'Live Data'!$C$13)),"")</f>
        <v/>
      </c>
      <c r="C1556" s="54" t="str">
        <f>IFERROR(IF(INDEX(SPOT_Import!$A$1:$Z$2488,1556,'Live Data'!$C$14)="","",INDEX(SPOT_Import!$A$1:$Z$2488,1556,'Live Data'!$C$14)),"")</f>
        <v/>
      </c>
      <c r="D1556" s="54" t="str">
        <f>IFERROR(IF(INDEX(SPOT_Import!$A$1:$Z$2488,1556,'Live Data'!$C$15)="","",INDEX(SPOT_Import!$A$1:$Z$2488,1556,'Live Data'!$C$15)),"")</f>
        <v/>
      </c>
      <c r="E1556" s="54" t="str">
        <f>IFERROR(IF(INDEX(SPOT_Import!$A$1:$Z$2488,1556,'Live Data'!$C$16)="","",INDEX(SPOT_Import!$A$1:$Z$2488,1556,'Live Data'!$C$16)),"")</f>
        <v/>
      </c>
      <c r="F1556" s="54" t="str">
        <f>IFERROR(IF(INDEX(SPOT_Import!$A$1:$Z$2488,1556,'Live Data'!$C$17)="","",INDEX(SPOT_Import!$A$1:$Z$2488,1556,'Live Data'!$C$17)),"")</f>
        <v/>
      </c>
      <c r="G1556" s="54" t="str">
        <f>IFERROR(IF(INDEX(SPOT_Import!$A$1:$Z$2488,1556,'Live Data'!$C$18)="","",INDEX(SPOT_Import!$A$1:$Z$2488,1556,'Live Data'!$C$18)),"")</f>
        <v/>
      </c>
      <c r="H1556" s="54" t="str">
        <f>IFERROR(IF(INDEX(SPOT_Import!$A$1:$Z$2488,1556,'Live Data'!$C$19)="","",INDEX(SPOT_Import!$A$1:$Z$2488,1556,'Live Data'!$C$19)),"")</f>
        <v/>
      </c>
      <c r="I1556" s="54" t="str">
        <f>IFERROR(IF(INDEX(SPOT_Import!$A$1:$Z$2488,1556,'Live Data'!$C$20)="","",INDEX(SPOT_Import!$A$1:$Z$2488,1556,'Live Data'!$C$20)),"")</f>
        <v/>
      </c>
      <c r="J1556" s="54" t="str">
        <f>IFERROR(IF(INDEX(SPOT_Import!$A$1:$Z$2488,1556,'Live Data'!$C$21)="","",INDEX(SPOT_Import!$A$1:$Z$2488,1556,'Live Data'!$C$21)),"")</f>
        <v/>
      </c>
      <c r="K1556" s="54" t="str">
        <f>IFERROR(IF(INDEX(SPOT_Import!$A$1:$Z$2488,1556,'Live Data'!$C$22)="","",INDEX(SPOT_Import!$A$1:$Z$2488,1556,'Live Data'!$C$22)),"")</f>
        <v/>
      </c>
      <c r="L1556" s="55" t="str">
        <f t="shared" si="48"/>
        <v/>
      </c>
      <c r="M1556" s="55" t="str">
        <f t="shared" si="49"/>
        <v/>
      </c>
      <c r="N1556" s="55" t="str">
        <f>IF(A1556="","",IFERROR(INDEX('Cluster Map'!$A$4:$A$38,MATCH(M1556,'Cluster Map'!$B$4:$B$38,0)),"Unmapped"))</f>
        <v/>
      </c>
      <c r="O1556" s="55">
        <f>IF(A1556="",0,IF(COUNTIFS($A$2:A1556,A1556,$F$2:F1556,F1556,$L$2:L1556,L1556)=1,1,0))</f>
        <v>0</v>
      </c>
      <c r="P1556" s="55">
        <f>IF(A1556="",0,IF(AND(F1556="C&amp;T",COUNTIFS($A$2:A1556,A1556,$F$2:F1556,"C&amp;T")=1),1,0))</f>
        <v>0</v>
      </c>
    </row>
    <row r="1557" spans="1:16" x14ac:dyDescent="0.35">
      <c r="A1557" s="54" t="str">
        <f>IFERROR(IF(INDEX(SPOT_Import!$A$1:$Z$2488,1557,'Live Data'!$C$12)="","",INDEX(SPOT_Import!$A$1:$Z$2488,1557,'Live Data'!$C$12)),"")</f>
        <v/>
      </c>
      <c r="B1557" s="54" t="str">
        <f>IFERROR(IF(INDEX(SPOT_Import!$A$1:$Z$2488,1557,'Live Data'!$C$13)="","",INDEX(SPOT_Import!$A$1:$Z$2488,1557,'Live Data'!$C$13)),"")</f>
        <v/>
      </c>
      <c r="C1557" s="54" t="str">
        <f>IFERROR(IF(INDEX(SPOT_Import!$A$1:$Z$2488,1557,'Live Data'!$C$14)="","",INDEX(SPOT_Import!$A$1:$Z$2488,1557,'Live Data'!$C$14)),"")</f>
        <v/>
      </c>
      <c r="D1557" s="54" t="str">
        <f>IFERROR(IF(INDEX(SPOT_Import!$A$1:$Z$2488,1557,'Live Data'!$C$15)="","",INDEX(SPOT_Import!$A$1:$Z$2488,1557,'Live Data'!$C$15)),"")</f>
        <v/>
      </c>
      <c r="E1557" s="54" t="str">
        <f>IFERROR(IF(INDEX(SPOT_Import!$A$1:$Z$2488,1557,'Live Data'!$C$16)="","",INDEX(SPOT_Import!$A$1:$Z$2488,1557,'Live Data'!$C$16)),"")</f>
        <v/>
      </c>
      <c r="F1557" s="54" t="str">
        <f>IFERROR(IF(INDEX(SPOT_Import!$A$1:$Z$2488,1557,'Live Data'!$C$17)="","",INDEX(SPOT_Import!$A$1:$Z$2488,1557,'Live Data'!$C$17)),"")</f>
        <v/>
      </c>
      <c r="G1557" s="54" t="str">
        <f>IFERROR(IF(INDEX(SPOT_Import!$A$1:$Z$2488,1557,'Live Data'!$C$18)="","",INDEX(SPOT_Import!$A$1:$Z$2488,1557,'Live Data'!$C$18)),"")</f>
        <v/>
      </c>
      <c r="H1557" s="54" t="str">
        <f>IFERROR(IF(INDEX(SPOT_Import!$A$1:$Z$2488,1557,'Live Data'!$C$19)="","",INDEX(SPOT_Import!$A$1:$Z$2488,1557,'Live Data'!$C$19)),"")</f>
        <v/>
      </c>
      <c r="I1557" s="54" t="str">
        <f>IFERROR(IF(INDEX(SPOT_Import!$A$1:$Z$2488,1557,'Live Data'!$C$20)="","",INDEX(SPOT_Import!$A$1:$Z$2488,1557,'Live Data'!$C$20)),"")</f>
        <v/>
      </c>
      <c r="J1557" s="54" t="str">
        <f>IFERROR(IF(INDEX(SPOT_Import!$A$1:$Z$2488,1557,'Live Data'!$C$21)="","",INDEX(SPOT_Import!$A$1:$Z$2488,1557,'Live Data'!$C$21)),"")</f>
        <v/>
      </c>
      <c r="K1557" s="54" t="str">
        <f>IFERROR(IF(INDEX(SPOT_Import!$A$1:$Z$2488,1557,'Live Data'!$C$22)="","",INDEX(SPOT_Import!$A$1:$Z$2488,1557,'Live Data'!$C$22)),"")</f>
        <v/>
      </c>
      <c r="L1557" s="55" t="str">
        <f t="shared" si="48"/>
        <v/>
      </c>
      <c r="M1557" s="55" t="str">
        <f t="shared" si="49"/>
        <v/>
      </c>
      <c r="N1557" s="55" t="str">
        <f>IF(A1557="","",IFERROR(INDEX('Cluster Map'!$A$4:$A$38,MATCH(M1557,'Cluster Map'!$B$4:$B$38,0)),"Unmapped"))</f>
        <v/>
      </c>
      <c r="O1557" s="55">
        <f>IF(A1557="",0,IF(COUNTIFS($A$2:A1557,A1557,$F$2:F1557,F1557,$L$2:L1557,L1557)=1,1,0))</f>
        <v>0</v>
      </c>
      <c r="P1557" s="55">
        <f>IF(A1557="",0,IF(AND(F1557="C&amp;T",COUNTIFS($A$2:A1557,A1557,$F$2:F1557,"C&amp;T")=1),1,0))</f>
        <v>0</v>
      </c>
    </row>
    <row r="1558" spans="1:16" x14ac:dyDescent="0.35">
      <c r="A1558" s="54" t="str">
        <f>IFERROR(IF(INDEX(SPOT_Import!$A$1:$Z$2488,1558,'Live Data'!$C$12)="","",INDEX(SPOT_Import!$A$1:$Z$2488,1558,'Live Data'!$C$12)),"")</f>
        <v/>
      </c>
      <c r="B1558" s="54" t="str">
        <f>IFERROR(IF(INDEX(SPOT_Import!$A$1:$Z$2488,1558,'Live Data'!$C$13)="","",INDEX(SPOT_Import!$A$1:$Z$2488,1558,'Live Data'!$C$13)),"")</f>
        <v/>
      </c>
      <c r="C1558" s="54" t="str">
        <f>IFERROR(IF(INDEX(SPOT_Import!$A$1:$Z$2488,1558,'Live Data'!$C$14)="","",INDEX(SPOT_Import!$A$1:$Z$2488,1558,'Live Data'!$C$14)),"")</f>
        <v/>
      </c>
      <c r="D1558" s="54" t="str">
        <f>IFERROR(IF(INDEX(SPOT_Import!$A$1:$Z$2488,1558,'Live Data'!$C$15)="","",INDEX(SPOT_Import!$A$1:$Z$2488,1558,'Live Data'!$C$15)),"")</f>
        <v/>
      </c>
      <c r="E1558" s="54" t="str">
        <f>IFERROR(IF(INDEX(SPOT_Import!$A$1:$Z$2488,1558,'Live Data'!$C$16)="","",INDEX(SPOT_Import!$A$1:$Z$2488,1558,'Live Data'!$C$16)),"")</f>
        <v/>
      </c>
      <c r="F1558" s="54" t="str">
        <f>IFERROR(IF(INDEX(SPOT_Import!$A$1:$Z$2488,1558,'Live Data'!$C$17)="","",INDEX(SPOT_Import!$A$1:$Z$2488,1558,'Live Data'!$C$17)),"")</f>
        <v/>
      </c>
      <c r="G1558" s="54" t="str">
        <f>IFERROR(IF(INDEX(SPOT_Import!$A$1:$Z$2488,1558,'Live Data'!$C$18)="","",INDEX(SPOT_Import!$A$1:$Z$2488,1558,'Live Data'!$C$18)),"")</f>
        <v/>
      </c>
      <c r="H1558" s="54" t="str">
        <f>IFERROR(IF(INDEX(SPOT_Import!$A$1:$Z$2488,1558,'Live Data'!$C$19)="","",INDEX(SPOT_Import!$A$1:$Z$2488,1558,'Live Data'!$C$19)),"")</f>
        <v/>
      </c>
      <c r="I1558" s="54" t="str">
        <f>IFERROR(IF(INDEX(SPOT_Import!$A$1:$Z$2488,1558,'Live Data'!$C$20)="","",INDEX(SPOT_Import!$A$1:$Z$2488,1558,'Live Data'!$C$20)),"")</f>
        <v/>
      </c>
      <c r="J1558" s="54" t="str">
        <f>IFERROR(IF(INDEX(SPOT_Import!$A$1:$Z$2488,1558,'Live Data'!$C$21)="","",INDEX(SPOT_Import!$A$1:$Z$2488,1558,'Live Data'!$C$21)),"")</f>
        <v/>
      </c>
      <c r="K1558" s="54" t="str">
        <f>IFERROR(IF(INDEX(SPOT_Import!$A$1:$Z$2488,1558,'Live Data'!$C$22)="","",INDEX(SPOT_Import!$A$1:$Z$2488,1558,'Live Data'!$C$22)),"")</f>
        <v/>
      </c>
      <c r="L1558" s="55" t="str">
        <f t="shared" si="48"/>
        <v/>
      </c>
      <c r="M1558" s="55" t="str">
        <f t="shared" si="49"/>
        <v/>
      </c>
      <c r="N1558" s="55" t="str">
        <f>IF(A1558="","",IFERROR(INDEX('Cluster Map'!$A$4:$A$38,MATCH(M1558,'Cluster Map'!$B$4:$B$38,0)),"Unmapped"))</f>
        <v/>
      </c>
      <c r="O1558" s="55">
        <f>IF(A1558="",0,IF(COUNTIFS($A$2:A1558,A1558,$F$2:F1558,F1558,$L$2:L1558,L1558)=1,1,0))</f>
        <v>0</v>
      </c>
      <c r="P1558" s="55">
        <f>IF(A1558="",0,IF(AND(F1558="C&amp;T",COUNTIFS($A$2:A1558,A1558,$F$2:F1558,"C&amp;T")=1),1,0))</f>
        <v>0</v>
      </c>
    </row>
    <row r="1559" spans="1:16" x14ac:dyDescent="0.35">
      <c r="A1559" s="54" t="str">
        <f>IFERROR(IF(INDEX(SPOT_Import!$A$1:$Z$2488,1559,'Live Data'!$C$12)="","",INDEX(SPOT_Import!$A$1:$Z$2488,1559,'Live Data'!$C$12)),"")</f>
        <v/>
      </c>
      <c r="B1559" s="54" t="str">
        <f>IFERROR(IF(INDEX(SPOT_Import!$A$1:$Z$2488,1559,'Live Data'!$C$13)="","",INDEX(SPOT_Import!$A$1:$Z$2488,1559,'Live Data'!$C$13)),"")</f>
        <v/>
      </c>
      <c r="C1559" s="54" t="str">
        <f>IFERROR(IF(INDEX(SPOT_Import!$A$1:$Z$2488,1559,'Live Data'!$C$14)="","",INDEX(SPOT_Import!$A$1:$Z$2488,1559,'Live Data'!$C$14)),"")</f>
        <v/>
      </c>
      <c r="D1559" s="54" t="str">
        <f>IFERROR(IF(INDEX(SPOT_Import!$A$1:$Z$2488,1559,'Live Data'!$C$15)="","",INDEX(SPOT_Import!$A$1:$Z$2488,1559,'Live Data'!$C$15)),"")</f>
        <v/>
      </c>
      <c r="E1559" s="54" t="str">
        <f>IFERROR(IF(INDEX(SPOT_Import!$A$1:$Z$2488,1559,'Live Data'!$C$16)="","",INDEX(SPOT_Import!$A$1:$Z$2488,1559,'Live Data'!$C$16)),"")</f>
        <v/>
      </c>
      <c r="F1559" s="54" t="str">
        <f>IFERROR(IF(INDEX(SPOT_Import!$A$1:$Z$2488,1559,'Live Data'!$C$17)="","",INDEX(SPOT_Import!$A$1:$Z$2488,1559,'Live Data'!$C$17)),"")</f>
        <v/>
      </c>
      <c r="G1559" s="54" t="str">
        <f>IFERROR(IF(INDEX(SPOT_Import!$A$1:$Z$2488,1559,'Live Data'!$C$18)="","",INDEX(SPOT_Import!$A$1:$Z$2488,1559,'Live Data'!$C$18)),"")</f>
        <v/>
      </c>
      <c r="H1559" s="54" t="str">
        <f>IFERROR(IF(INDEX(SPOT_Import!$A$1:$Z$2488,1559,'Live Data'!$C$19)="","",INDEX(SPOT_Import!$A$1:$Z$2488,1559,'Live Data'!$C$19)),"")</f>
        <v/>
      </c>
      <c r="I1559" s="54" t="str">
        <f>IFERROR(IF(INDEX(SPOT_Import!$A$1:$Z$2488,1559,'Live Data'!$C$20)="","",INDEX(SPOT_Import!$A$1:$Z$2488,1559,'Live Data'!$C$20)),"")</f>
        <v/>
      </c>
      <c r="J1559" s="54" t="str">
        <f>IFERROR(IF(INDEX(SPOT_Import!$A$1:$Z$2488,1559,'Live Data'!$C$21)="","",INDEX(SPOT_Import!$A$1:$Z$2488,1559,'Live Data'!$C$21)),"")</f>
        <v/>
      </c>
      <c r="K1559" s="54" t="str">
        <f>IFERROR(IF(INDEX(SPOT_Import!$A$1:$Z$2488,1559,'Live Data'!$C$22)="","",INDEX(SPOT_Import!$A$1:$Z$2488,1559,'Live Data'!$C$22)),"")</f>
        <v/>
      </c>
      <c r="L1559" s="55" t="str">
        <f t="shared" si="48"/>
        <v/>
      </c>
      <c r="M1559" s="55" t="str">
        <f t="shared" si="49"/>
        <v/>
      </c>
      <c r="N1559" s="55" t="str">
        <f>IF(A1559="","",IFERROR(INDEX('Cluster Map'!$A$4:$A$38,MATCH(M1559,'Cluster Map'!$B$4:$B$38,0)),"Unmapped"))</f>
        <v/>
      </c>
      <c r="O1559" s="55">
        <f>IF(A1559="",0,IF(COUNTIFS($A$2:A1559,A1559,$F$2:F1559,F1559,$L$2:L1559,L1559)=1,1,0))</f>
        <v>0</v>
      </c>
      <c r="P1559" s="55">
        <f>IF(A1559="",0,IF(AND(F1559="C&amp;T",COUNTIFS($A$2:A1559,A1559,$F$2:F1559,"C&amp;T")=1),1,0))</f>
        <v>0</v>
      </c>
    </row>
    <row r="1560" spans="1:16" x14ac:dyDescent="0.35">
      <c r="A1560" s="54" t="str">
        <f>IFERROR(IF(INDEX(SPOT_Import!$A$1:$Z$2488,1560,'Live Data'!$C$12)="","",INDEX(SPOT_Import!$A$1:$Z$2488,1560,'Live Data'!$C$12)),"")</f>
        <v/>
      </c>
      <c r="B1560" s="54" t="str">
        <f>IFERROR(IF(INDEX(SPOT_Import!$A$1:$Z$2488,1560,'Live Data'!$C$13)="","",INDEX(SPOT_Import!$A$1:$Z$2488,1560,'Live Data'!$C$13)),"")</f>
        <v/>
      </c>
      <c r="C1560" s="54" t="str">
        <f>IFERROR(IF(INDEX(SPOT_Import!$A$1:$Z$2488,1560,'Live Data'!$C$14)="","",INDEX(SPOT_Import!$A$1:$Z$2488,1560,'Live Data'!$C$14)),"")</f>
        <v/>
      </c>
      <c r="D1560" s="54" t="str">
        <f>IFERROR(IF(INDEX(SPOT_Import!$A$1:$Z$2488,1560,'Live Data'!$C$15)="","",INDEX(SPOT_Import!$A$1:$Z$2488,1560,'Live Data'!$C$15)),"")</f>
        <v/>
      </c>
      <c r="E1560" s="54" t="str">
        <f>IFERROR(IF(INDEX(SPOT_Import!$A$1:$Z$2488,1560,'Live Data'!$C$16)="","",INDEX(SPOT_Import!$A$1:$Z$2488,1560,'Live Data'!$C$16)),"")</f>
        <v/>
      </c>
      <c r="F1560" s="54" t="str">
        <f>IFERROR(IF(INDEX(SPOT_Import!$A$1:$Z$2488,1560,'Live Data'!$C$17)="","",INDEX(SPOT_Import!$A$1:$Z$2488,1560,'Live Data'!$C$17)),"")</f>
        <v/>
      </c>
      <c r="G1560" s="54" t="str">
        <f>IFERROR(IF(INDEX(SPOT_Import!$A$1:$Z$2488,1560,'Live Data'!$C$18)="","",INDEX(SPOT_Import!$A$1:$Z$2488,1560,'Live Data'!$C$18)),"")</f>
        <v/>
      </c>
      <c r="H1560" s="54" t="str">
        <f>IFERROR(IF(INDEX(SPOT_Import!$A$1:$Z$2488,1560,'Live Data'!$C$19)="","",INDEX(SPOT_Import!$A$1:$Z$2488,1560,'Live Data'!$C$19)),"")</f>
        <v/>
      </c>
      <c r="I1560" s="54" t="str">
        <f>IFERROR(IF(INDEX(SPOT_Import!$A$1:$Z$2488,1560,'Live Data'!$C$20)="","",INDEX(SPOT_Import!$A$1:$Z$2488,1560,'Live Data'!$C$20)),"")</f>
        <v/>
      </c>
      <c r="J1560" s="54" t="str">
        <f>IFERROR(IF(INDEX(SPOT_Import!$A$1:$Z$2488,1560,'Live Data'!$C$21)="","",INDEX(SPOT_Import!$A$1:$Z$2488,1560,'Live Data'!$C$21)),"")</f>
        <v/>
      </c>
      <c r="K1560" s="54" t="str">
        <f>IFERROR(IF(INDEX(SPOT_Import!$A$1:$Z$2488,1560,'Live Data'!$C$22)="","",INDEX(SPOT_Import!$A$1:$Z$2488,1560,'Live Data'!$C$22)),"")</f>
        <v/>
      </c>
      <c r="L1560" s="55" t="str">
        <f t="shared" si="48"/>
        <v/>
      </c>
      <c r="M1560" s="55" t="str">
        <f t="shared" si="49"/>
        <v/>
      </c>
      <c r="N1560" s="55" t="str">
        <f>IF(A1560="","",IFERROR(INDEX('Cluster Map'!$A$4:$A$38,MATCH(M1560,'Cluster Map'!$B$4:$B$38,0)),"Unmapped"))</f>
        <v/>
      </c>
      <c r="O1560" s="55">
        <f>IF(A1560="",0,IF(COUNTIFS($A$2:A1560,A1560,$F$2:F1560,F1560,$L$2:L1560,L1560)=1,1,0))</f>
        <v>0</v>
      </c>
      <c r="P1560" s="55">
        <f>IF(A1560="",0,IF(AND(F1560="C&amp;T",COUNTIFS($A$2:A1560,A1560,$F$2:F1560,"C&amp;T")=1),1,0))</f>
        <v>0</v>
      </c>
    </row>
    <row r="1561" spans="1:16" x14ac:dyDescent="0.35">
      <c r="A1561" s="54" t="str">
        <f>IFERROR(IF(INDEX(SPOT_Import!$A$1:$Z$2488,1561,'Live Data'!$C$12)="","",INDEX(SPOT_Import!$A$1:$Z$2488,1561,'Live Data'!$C$12)),"")</f>
        <v/>
      </c>
      <c r="B1561" s="54" t="str">
        <f>IFERROR(IF(INDEX(SPOT_Import!$A$1:$Z$2488,1561,'Live Data'!$C$13)="","",INDEX(SPOT_Import!$A$1:$Z$2488,1561,'Live Data'!$C$13)),"")</f>
        <v/>
      </c>
      <c r="C1561" s="54" t="str">
        <f>IFERROR(IF(INDEX(SPOT_Import!$A$1:$Z$2488,1561,'Live Data'!$C$14)="","",INDEX(SPOT_Import!$A$1:$Z$2488,1561,'Live Data'!$C$14)),"")</f>
        <v/>
      </c>
      <c r="D1561" s="54" t="str">
        <f>IFERROR(IF(INDEX(SPOT_Import!$A$1:$Z$2488,1561,'Live Data'!$C$15)="","",INDEX(SPOT_Import!$A$1:$Z$2488,1561,'Live Data'!$C$15)),"")</f>
        <v/>
      </c>
      <c r="E1561" s="54" t="str">
        <f>IFERROR(IF(INDEX(SPOT_Import!$A$1:$Z$2488,1561,'Live Data'!$C$16)="","",INDEX(SPOT_Import!$A$1:$Z$2488,1561,'Live Data'!$C$16)),"")</f>
        <v/>
      </c>
      <c r="F1561" s="54" t="str">
        <f>IFERROR(IF(INDEX(SPOT_Import!$A$1:$Z$2488,1561,'Live Data'!$C$17)="","",INDEX(SPOT_Import!$A$1:$Z$2488,1561,'Live Data'!$C$17)),"")</f>
        <v/>
      </c>
      <c r="G1561" s="54" t="str">
        <f>IFERROR(IF(INDEX(SPOT_Import!$A$1:$Z$2488,1561,'Live Data'!$C$18)="","",INDEX(SPOT_Import!$A$1:$Z$2488,1561,'Live Data'!$C$18)),"")</f>
        <v/>
      </c>
      <c r="H1561" s="54" t="str">
        <f>IFERROR(IF(INDEX(SPOT_Import!$A$1:$Z$2488,1561,'Live Data'!$C$19)="","",INDEX(SPOT_Import!$A$1:$Z$2488,1561,'Live Data'!$C$19)),"")</f>
        <v/>
      </c>
      <c r="I1561" s="54" t="str">
        <f>IFERROR(IF(INDEX(SPOT_Import!$A$1:$Z$2488,1561,'Live Data'!$C$20)="","",INDEX(SPOT_Import!$A$1:$Z$2488,1561,'Live Data'!$C$20)),"")</f>
        <v/>
      </c>
      <c r="J1561" s="54" t="str">
        <f>IFERROR(IF(INDEX(SPOT_Import!$A$1:$Z$2488,1561,'Live Data'!$C$21)="","",INDEX(SPOT_Import!$A$1:$Z$2488,1561,'Live Data'!$C$21)),"")</f>
        <v/>
      </c>
      <c r="K1561" s="54" t="str">
        <f>IFERROR(IF(INDEX(SPOT_Import!$A$1:$Z$2488,1561,'Live Data'!$C$22)="","",INDEX(SPOT_Import!$A$1:$Z$2488,1561,'Live Data'!$C$22)),"")</f>
        <v/>
      </c>
      <c r="L1561" s="55" t="str">
        <f t="shared" si="48"/>
        <v/>
      </c>
      <c r="M1561" s="55" t="str">
        <f t="shared" si="49"/>
        <v/>
      </c>
      <c r="N1561" s="55" t="str">
        <f>IF(A1561="","",IFERROR(INDEX('Cluster Map'!$A$4:$A$38,MATCH(M1561,'Cluster Map'!$B$4:$B$38,0)),"Unmapped"))</f>
        <v/>
      </c>
      <c r="O1561" s="55">
        <f>IF(A1561="",0,IF(COUNTIFS($A$2:A1561,A1561,$F$2:F1561,F1561,$L$2:L1561,L1561)=1,1,0))</f>
        <v>0</v>
      </c>
      <c r="P1561" s="55">
        <f>IF(A1561="",0,IF(AND(F1561="C&amp;T",COUNTIFS($A$2:A1561,A1561,$F$2:F1561,"C&amp;T")=1),1,0))</f>
        <v>0</v>
      </c>
    </row>
    <row r="1562" spans="1:16" x14ac:dyDescent="0.35">
      <c r="A1562" s="54" t="str">
        <f>IFERROR(IF(INDEX(SPOT_Import!$A$1:$Z$2488,1562,'Live Data'!$C$12)="","",INDEX(SPOT_Import!$A$1:$Z$2488,1562,'Live Data'!$C$12)),"")</f>
        <v/>
      </c>
      <c r="B1562" s="54" t="str">
        <f>IFERROR(IF(INDEX(SPOT_Import!$A$1:$Z$2488,1562,'Live Data'!$C$13)="","",INDEX(SPOT_Import!$A$1:$Z$2488,1562,'Live Data'!$C$13)),"")</f>
        <v/>
      </c>
      <c r="C1562" s="54" t="str">
        <f>IFERROR(IF(INDEX(SPOT_Import!$A$1:$Z$2488,1562,'Live Data'!$C$14)="","",INDEX(SPOT_Import!$A$1:$Z$2488,1562,'Live Data'!$C$14)),"")</f>
        <v/>
      </c>
      <c r="D1562" s="54" t="str">
        <f>IFERROR(IF(INDEX(SPOT_Import!$A$1:$Z$2488,1562,'Live Data'!$C$15)="","",INDEX(SPOT_Import!$A$1:$Z$2488,1562,'Live Data'!$C$15)),"")</f>
        <v/>
      </c>
      <c r="E1562" s="54" t="str">
        <f>IFERROR(IF(INDEX(SPOT_Import!$A$1:$Z$2488,1562,'Live Data'!$C$16)="","",INDEX(SPOT_Import!$A$1:$Z$2488,1562,'Live Data'!$C$16)),"")</f>
        <v/>
      </c>
      <c r="F1562" s="54" t="str">
        <f>IFERROR(IF(INDEX(SPOT_Import!$A$1:$Z$2488,1562,'Live Data'!$C$17)="","",INDEX(SPOT_Import!$A$1:$Z$2488,1562,'Live Data'!$C$17)),"")</f>
        <v/>
      </c>
      <c r="G1562" s="54" t="str">
        <f>IFERROR(IF(INDEX(SPOT_Import!$A$1:$Z$2488,1562,'Live Data'!$C$18)="","",INDEX(SPOT_Import!$A$1:$Z$2488,1562,'Live Data'!$C$18)),"")</f>
        <v/>
      </c>
      <c r="H1562" s="54" t="str">
        <f>IFERROR(IF(INDEX(SPOT_Import!$A$1:$Z$2488,1562,'Live Data'!$C$19)="","",INDEX(SPOT_Import!$A$1:$Z$2488,1562,'Live Data'!$C$19)),"")</f>
        <v/>
      </c>
      <c r="I1562" s="54" t="str">
        <f>IFERROR(IF(INDEX(SPOT_Import!$A$1:$Z$2488,1562,'Live Data'!$C$20)="","",INDEX(SPOT_Import!$A$1:$Z$2488,1562,'Live Data'!$C$20)),"")</f>
        <v/>
      </c>
      <c r="J1562" s="54" t="str">
        <f>IFERROR(IF(INDEX(SPOT_Import!$A$1:$Z$2488,1562,'Live Data'!$C$21)="","",INDEX(SPOT_Import!$A$1:$Z$2488,1562,'Live Data'!$C$21)),"")</f>
        <v/>
      </c>
      <c r="K1562" s="54" t="str">
        <f>IFERROR(IF(INDEX(SPOT_Import!$A$1:$Z$2488,1562,'Live Data'!$C$22)="","",INDEX(SPOT_Import!$A$1:$Z$2488,1562,'Live Data'!$C$22)),"")</f>
        <v/>
      </c>
      <c r="L1562" s="55" t="str">
        <f t="shared" si="48"/>
        <v/>
      </c>
      <c r="M1562" s="55" t="str">
        <f t="shared" si="49"/>
        <v/>
      </c>
      <c r="N1562" s="55" t="str">
        <f>IF(A1562="","",IFERROR(INDEX('Cluster Map'!$A$4:$A$38,MATCH(M1562,'Cluster Map'!$B$4:$B$38,0)),"Unmapped"))</f>
        <v/>
      </c>
      <c r="O1562" s="55">
        <f>IF(A1562="",0,IF(COUNTIFS($A$2:A1562,A1562,$F$2:F1562,F1562,$L$2:L1562,L1562)=1,1,0))</f>
        <v>0</v>
      </c>
      <c r="P1562" s="55">
        <f>IF(A1562="",0,IF(AND(F1562="C&amp;T",COUNTIFS($A$2:A1562,A1562,$F$2:F1562,"C&amp;T")=1),1,0))</f>
        <v>0</v>
      </c>
    </row>
    <row r="1563" spans="1:16" x14ac:dyDescent="0.35">
      <c r="A1563" s="54" t="str">
        <f>IFERROR(IF(INDEX(SPOT_Import!$A$1:$Z$2488,1563,'Live Data'!$C$12)="","",INDEX(SPOT_Import!$A$1:$Z$2488,1563,'Live Data'!$C$12)),"")</f>
        <v/>
      </c>
      <c r="B1563" s="54" t="str">
        <f>IFERROR(IF(INDEX(SPOT_Import!$A$1:$Z$2488,1563,'Live Data'!$C$13)="","",INDEX(SPOT_Import!$A$1:$Z$2488,1563,'Live Data'!$C$13)),"")</f>
        <v/>
      </c>
      <c r="C1563" s="54" t="str">
        <f>IFERROR(IF(INDEX(SPOT_Import!$A$1:$Z$2488,1563,'Live Data'!$C$14)="","",INDEX(SPOT_Import!$A$1:$Z$2488,1563,'Live Data'!$C$14)),"")</f>
        <v/>
      </c>
      <c r="D1563" s="54" t="str">
        <f>IFERROR(IF(INDEX(SPOT_Import!$A$1:$Z$2488,1563,'Live Data'!$C$15)="","",INDEX(SPOT_Import!$A$1:$Z$2488,1563,'Live Data'!$C$15)),"")</f>
        <v/>
      </c>
      <c r="E1563" s="54" t="str">
        <f>IFERROR(IF(INDEX(SPOT_Import!$A$1:$Z$2488,1563,'Live Data'!$C$16)="","",INDEX(SPOT_Import!$A$1:$Z$2488,1563,'Live Data'!$C$16)),"")</f>
        <v/>
      </c>
      <c r="F1563" s="54" t="str">
        <f>IFERROR(IF(INDEX(SPOT_Import!$A$1:$Z$2488,1563,'Live Data'!$C$17)="","",INDEX(SPOT_Import!$A$1:$Z$2488,1563,'Live Data'!$C$17)),"")</f>
        <v/>
      </c>
      <c r="G1563" s="54" t="str">
        <f>IFERROR(IF(INDEX(SPOT_Import!$A$1:$Z$2488,1563,'Live Data'!$C$18)="","",INDEX(SPOT_Import!$A$1:$Z$2488,1563,'Live Data'!$C$18)),"")</f>
        <v/>
      </c>
      <c r="H1563" s="54" t="str">
        <f>IFERROR(IF(INDEX(SPOT_Import!$A$1:$Z$2488,1563,'Live Data'!$C$19)="","",INDEX(SPOT_Import!$A$1:$Z$2488,1563,'Live Data'!$C$19)),"")</f>
        <v/>
      </c>
      <c r="I1563" s="54" t="str">
        <f>IFERROR(IF(INDEX(SPOT_Import!$A$1:$Z$2488,1563,'Live Data'!$C$20)="","",INDEX(SPOT_Import!$A$1:$Z$2488,1563,'Live Data'!$C$20)),"")</f>
        <v/>
      </c>
      <c r="J1563" s="54" t="str">
        <f>IFERROR(IF(INDEX(SPOT_Import!$A$1:$Z$2488,1563,'Live Data'!$C$21)="","",INDEX(SPOT_Import!$A$1:$Z$2488,1563,'Live Data'!$C$21)),"")</f>
        <v/>
      </c>
      <c r="K1563" s="54" t="str">
        <f>IFERROR(IF(INDEX(SPOT_Import!$A$1:$Z$2488,1563,'Live Data'!$C$22)="","",INDEX(SPOT_Import!$A$1:$Z$2488,1563,'Live Data'!$C$22)),"")</f>
        <v/>
      </c>
      <c r="L1563" s="55" t="str">
        <f t="shared" si="48"/>
        <v/>
      </c>
      <c r="M1563" s="55" t="str">
        <f t="shared" si="49"/>
        <v/>
      </c>
      <c r="N1563" s="55" t="str">
        <f>IF(A1563="","",IFERROR(INDEX('Cluster Map'!$A$4:$A$38,MATCH(M1563,'Cluster Map'!$B$4:$B$38,0)),"Unmapped"))</f>
        <v/>
      </c>
      <c r="O1563" s="55">
        <f>IF(A1563="",0,IF(COUNTIFS($A$2:A1563,A1563,$F$2:F1563,F1563,$L$2:L1563,L1563)=1,1,0))</f>
        <v>0</v>
      </c>
      <c r="P1563" s="55">
        <f>IF(A1563="",0,IF(AND(F1563="C&amp;T",COUNTIFS($A$2:A1563,A1563,$F$2:F1563,"C&amp;T")=1),1,0))</f>
        <v>0</v>
      </c>
    </row>
    <row r="1564" spans="1:16" x14ac:dyDescent="0.35">
      <c r="A1564" s="54" t="str">
        <f>IFERROR(IF(INDEX(SPOT_Import!$A$1:$Z$2488,1564,'Live Data'!$C$12)="","",INDEX(SPOT_Import!$A$1:$Z$2488,1564,'Live Data'!$C$12)),"")</f>
        <v/>
      </c>
      <c r="B1564" s="54" t="str">
        <f>IFERROR(IF(INDEX(SPOT_Import!$A$1:$Z$2488,1564,'Live Data'!$C$13)="","",INDEX(SPOT_Import!$A$1:$Z$2488,1564,'Live Data'!$C$13)),"")</f>
        <v/>
      </c>
      <c r="C1564" s="54" t="str">
        <f>IFERROR(IF(INDEX(SPOT_Import!$A$1:$Z$2488,1564,'Live Data'!$C$14)="","",INDEX(SPOT_Import!$A$1:$Z$2488,1564,'Live Data'!$C$14)),"")</f>
        <v/>
      </c>
      <c r="D1564" s="54" t="str">
        <f>IFERROR(IF(INDEX(SPOT_Import!$A$1:$Z$2488,1564,'Live Data'!$C$15)="","",INDEX(SPOT_Import!$A$1:$Z$2488,1564,'Live Data'!$C$15)),"")</f>
        <v/>
      </c>
      <c r="E1564" s="54" t="str">
        <f>IFERROR(IF(INDEX(SPOT_Import!$A$1:$Z$2488,1564,'Live Data'!$C$16)="","",INDEX(SPOT_Import!$A$1:$Z$2488,1564,'Live Data'!$C$16)),"")</f>
        <v/>
      </c>
      <c r="F1564" s="54" t="str">
        <f>IFERROR(IF(INDEX(SPOT_Import!$A$1:$Z$2488,1564,'Live Data'!$C$17)="","",INDEX(SPOT_Import!$A$1:$Z$2488,1564,'Live Data'!$C$17)),"")</f>
        <v/>
      </c>
      <c r="G1564" s="54" t="str">
        <f>IFERROR(IF(INDEX(SPOT_Import!$A$1:$Z$2488,1564,'Live Data'!$C$18)="","",INDEX(SPOT_Import!$A$1:$Z$2488,1564,'Live Data'!$C$18)),"")</f>
        <v/>
      </c>
      <c r="H1564" s="54" t="str">
        <f>IFERROR(IF(INDEX(SPOT_Import!$A$1:$Z$2488,1564,'Live Data'!$C$19)="","",INDEX(SPOT_Import!$A$1:$Z$2488,1564,'Live Data'!$C$19)),"")</f>
        <v/>
      </c>
      <c r="I1564" s="54" t="str">
        <f>IFERROR(IF(INDEX(SPOT_Import!$A$1:$Z$2488,1564,'Live Data'!$C$20)="","",INDEX(SPOT_Import!$A$1:$Z$2488,1564,'Live Data'!$C$20)),"")</f>
        <v/>
      </c>
      <c r="J1564" s="54" t="str">
        <f>IFERROR(IF(INDEX(SPOT_Import!$A$1:$Z$2488,1564,'Live Data'!$C$21)="","",INDEX(SPOT_Import!$A$1:$Z$2488,1564,'Live Data'!$C$21)),"")</f>
        <v/>
      </c>
      <c r="K1564" s="54" t="str">
        <f>IFERROR(IF(INDEX(SPOT_Import!$A$1:$Z$2488,1564,'Live Data'!$C$22)="","",INDEX(SPOT_Import!$A$1:$Z$2488,1564,'Live Data'!$C$22)),"")</f>
        <v/>
      </c>
      <c r="L1564" s="55" t="str">
        <f t="shared" si="48"/>
        <v/>
      </c>
      <c r="M1564" s="55" t="str">
        <f t="shared" si="49"/>
        <v/>
      </c>
      <c r="N1564" s="55" t="str">
        <f>IF(A1564="","",IFERROR(INDEX('Cluster Map'!$A$4:$A$38,MATCH(M1564,'Cluster Map'!$B$4:$B$38,0)),"Unmapped"))</f>
        <v/>
      </c>
      <c r="O1564" s="55">
        <f>IF(A1564="",0,IF(COUNTIFS($A$2:A1564,A1564,$F$2:F1564,F1564,$L$2:L1564,L1564)=1,1,0))</f>
        <v>0</v>
      </c>
      <c r="P1564" s="55">
        <f>IF(A1564="",0,IF(AND(F1564="C&amp;T",COUNTIFS($A$2:A1564,A1564,$F$2:F1564,"C&amp;T")=1),1,0))</f>
        <v>0</v>
      </c>
    </row>
    <row r="1565" spans="1:16" x14ac:dyDescent="0.35">
      <c r="A1565" s="54" t="str">
        <f>IFERROR(IF(INDEX(SPOT_Import!$A$1:$Z$2488,1565,'Live Data'!$C$12)="","",INDEX(SPOT_Import!$A$1:$Z$2488,1565,'Live Data'!$C$12)),"")</f>
        <v/>
      </c>
      <c r="B1565" s="54" t="str">
        <f>IFERROR(IF(INDEX(SPOT_Import!$A$1:$Z$2488,1565,'Live Data'!$C$13)="","",INDEX(SPOT_Import!$A$1:$Z$2488,1565,'Live Data'!$C$13)),"")</f>
        <v/>
      </c>
      <c r="C1565" s="54" t="str">
        <f>IFERROR(IF(INDEX(SPOT_Import!$A$1:$Z$2488,1565,'Live Data'!$C$14)="","",INDEX(SPOT_Import!$A$1:$Z$2488,1565,'Live Data'!$C$14)),"")</f>
        <v/>
      </c>
      <c r="D1565" s="54" t="str">
        <f>IFERROR(IF(INDEX(SPOT_Import!$A$1:$Z$2488,1565,'Live Data'!$C$15)="","",INDEX(SPOT_Import!$A$1:$Z$2488,1565,'Live Data'!$C$15)),"")</f>
        <v/>
      </c>
      <c r="E1565" s="54" t="str">
        <f>IFERROR(IF(INDEX(SPOT_Import!$A$1:$Z$2488,1565,'Live Data'!$C$16)="","",INDEX(SPOT_Import!$A$1:$Z$2488,1565,'Live Data'!$C$16)),"")</f>
        <v/>
      </c>
      <c r="F1565" s="54" t="str">
        <f>IFERROR(IF(INDEX(SPOT_Import!$A$1:$Z$2488,1565,'Live Data'!$C$17)="","",INDEX(SPOT_Import!$A$1:$Z$2488,1565,'Live Data'!$C$17)),"")</f>
        <v/>
      </c>
      <c r="G1565" s="54" t="str">
        <f>IFERROR(IF(INDEX(SPOT_Import!$A$1:$Z$2488,1565,'Live Data'!$C$18)="","",INDEX(SPOT_Import!$A$1:$Z$2488,1565,'Live Data'!$C$18)),"")</f>
        <v/>
      </c>
      <c r="H1565" s="54" t="str">
        <f>IFERROR(IF(INDEX(SPOT_Import!$A$1:$Z$2488,1565,'Live Data'!$C$19)="","",INDEX(SPOT_Import!$A$1:$Z$2488,1565,'Live Data'!$C$19)),"")</f>
        <v/>
      </c>
      <c r="I1565" s="54" t="str">
        <f>IFERROR(IF(INDEX(SPOT_Import!$A$1:$Z$2488,1565,'Live Data'!$C$20)="","",INDEX(SPOT_Import!$A$1:$Z$2488,1565,'Live Data'!$C$20)),"")</f>
        <v/>
      </c>
      <c r="J1565" s="54" t="str">
        <f>IFERROR(IF(INDEX(SPOT_Import!$A$1:$Z$2488,1565,'Live Data'!$C$21)="","",INDEX(SPOT_Import!$A$1:$Z$2488,1565,'Live Data'!$C$21)),"")</f>
        <v/>
      </c>
      <c r="K1565" s="54" t="str">
        <f>IFERROR(IF(INDEX(SPOT_Import!$A$1:$Z$2488,1565,'Live Data'!$C$22)="","",INDEX(SPOT_Import!$A$1:$Z$2488,1565,'Live Data'!$C$22)),"")</f>
        <v/>
      </c>
      <c r="L1565" s="55" t="str">
        <f t="shared" si="48"/>
        <v/>
      </c>
      <c r="M1565" s="55" t="str">
        <f t="shared" si="49"/>
        <v/>
      </c>
      <c r="N1565" s="55" t="str">
        <f>IF(A1565="","",IFERROR(INDEX('Cluster Map'!$A$4:$A$38,MATCH(M1565,'Cluster Map'!$B$4:$B$38,0)),"Unmapped"))</f>
        <v/>
      </c>
      <c r="O1565" s="55">
        <f>IF(A1565="",0,IF(COUNTIFS($A$2:A1565,A1565,$F$2:F1565,F1565,$L$2:L1565,L1565)=1,1,0))</f>
        <v>0</v>
      </c>
      <c r="P1565" s="55">
        <f>IF(A1565="",0,IF(AND(F1565="C&amp;T",COUNTIFS($A$2:A1565,A1565,$F$2:F1565,"C&amp;T")=1),1,0))</f>
        <v>0</v>
      </c>
    </row>
    <row r="1566" spans="1:16" x14ac:dyDescent="0.35">
      <c r="A1566" s="54" t="str">
        <f>IFERROR(IF(INDEX(SPOT_Import!$A$1:$Z$2488,1566,'Live Data'!$C$12)="","",INDEX(SPOT_Import!$A$1:$Z$2488,1566,'Live Data'!$C$12)),"")</f>
        <v/>
      </c>
      <c r="B1566" s="54" t="str">
        <f>IFERROR(IF(INDEX(SPOT_Import!$A$1:$Z$2488,1566,'Live Data'!$C$13)="","",INDEX(SPOT_Import!$A$1:$Z$2488,1566,'Live Data'!$C$13)),"")</f>
        <v/>
      </c>
      <c r="C1566" s="54" t="str">
        <f>IFERROR(IF(INDEX(SPOT_Import!$A$1:$Z$2488,1566,'Live Data'!$C$14)="","",INDEX(SPOT_Import!$A$1:$Z$2488,1566,'Live Data'!$C$14)),"")</f>
        <v/>
      </c>
      <c r="D1566" s="54" t="str">
        <f>IFERROR(IF(INDEX(SPOT_Import!$A$1:$Z$2488,1566,'Live Data'!$C$15)="","",INDEX(SPOT_Import!$A$1:$Z$2488,1566,'Live Data'!$C$15)),"")</f>
        <v/>
      </c>
      <c r="E1566" s="54" t="str">
        <f>IFERROR(IF(INDEX(SPOT_Import!$A$1:$Z$2488,1566,'Live Data'!$C$16)="","",INDEX(SPOT_Import!$A$1:$Z$2488,1566,'Live Data'!$C$16)),"")</f>
        <v/>
      </c>
      <c r="F1566" s="54" t="str">
        <f>IFERROR(IF(INDEX(SPOT_Import!$A$1:$Z$2488,1566,'Live Data'!$C$17)="","",INDEX(SPOT_Import!$A$1:$Z$2488,1566,'Live Data'!$C$17)),"")</f>
        <v/>
      </c>
      <c r="G1566" s="54" t="str">
        <f>IFERROR(IF(INDEX(SPOT_Import!$A$1:$Z$2488,1566,'Live Data'!$C$18)="","",INDEX(SPOT_Import!$A$1:$Z$2488,1566,'Live Data'!$C$18)),"")</f>
        <v/>
      </c>
      <c r="H1566" s="54" t="str">
        <f>IFERROR(IF(INDEX(SPOT_Import!$A$1:$Z$2488,1566,'Live Data'!$C$19)="","",INDEX(SPOT_Import!$A$1:$Z$2488,1566,'Live Data'!$C$19)),"")</f>
        <v/>
      </c>
      <c r="I1566" s="54" t="str">
        <f>IFERROR(IF(INDEX(SPOT_Import!$A$1:$Z$2488,1566,'Live Data'!$C$20)="","",INDEX(SPOT_Import!$A$1:$Z$2488,1566,'Live Data'!$C$20)),"")</f>
        <v/>
      </c>
      <c r="J1566" s="54" t="str">
        <f>IFERROR(IF(INDEX(SPOT_Import!$A$1:$Z$2488,1566,'Live Data'!$C$21)="","",INDEX(SPOT_Import!$A$1:$Z$2488,1566,'Live Data'!$C$21)),"")</f>
        <v/>
      </c>
      <c r="K1566" s="54" t="str">
        <f>IFERROR(IF(INDEX(SPOT_Import!$A$1:$Z$2488,1566,'Live Data'!$C$22)="","",INDEX(SPOT_Import!$A$1:$Z$2488,1566,'Live Data'!$C$22)),"")</f>
        <v/>
      </c>
      <c r="L1566" s="55" t="str">
        <f t="shared" si="48"/>
        <v/>
      </c>
      <c r="M1566" s="55" t="str">
        <f t="shared" si="49"/>
        <v/>
      </c>
      <c r="N1566" s="55" t="str">
        <f>IF(A1566="","",IFERROR(INDEX('Cluster Map'!$A$4:$A$38,MATCH(M1566,'Cluster Map'!$B$4:$B$38,0)),"Unmapped"))</f>
        <v/>
      </c>
      <c r="O1566" s="55">
        <f>IF(A1566="",0,IF(COUNTIFS($A$2:A1566,A1566,$F$2:F1566,F1566,$L$2:L1566,L1566)=1,1,0))</f>
        <v>0</v>
      </c>
      <c r="P1566" s="55">
        <f>IF(A1566="",0,IF(AND(F1566="C&amp;T",COUNTIFS($A$2:A1566,A1566,$F$2:F1566,"C&amp;T")=1),1,0))</f>
        <v>0</v>
      </c>
    </row>
    <row r="1567" spans="1:16" x14ac:dyDescent="0.35">
      <c r="A1567" s="54" t="str">
        <f>IFERROR(IF(INDEX(SPOT_Import!$A$1:$Z$2488,1567,'Live Data'!$C$12)="","",INDEX(SPOT_Import!$A$1:$Z$2488,1567,'Live Data'!$C$12)),"")</f>
        <v/>
      </c>
      <c r="B1567" s="54" t="str">
        <f>IFERROR(IF(INDEX(SPOT_Import!$A$1:$Z$2488,1567,'Live Data'!$C$13)="","",INDEX(SPOT_Import!$A$1:$Z$2488,1567,'Live Data'!$C$13)),"")</f>
        <v/>
      </c>
      <c r="C1567" s="54" t="str">
        <f>IFERROR(IF(INDEX(SPOT_Import!$A$1:$Z$2488,1567,'Live Data'!$C$14)="","",INDEX(SPOT_Import!$A$1:$Z$2488,1567,'Live Data'!$C$14)),"")</f>
        <v/>
      </c>
      <c r="D1567" s="54" t="str">
        <f>IFERROR(IF(INDEX(SPOT_Import!$A$1:$Z$2488,1567,'Live Data'!$C$15)="","",INDEX(SPOT_Import!$A$1:$Z$2488,1567,'Live Data'!$C$15)),"")</f>
        <v/>
      </c>
      <c r="E1567" s="54" t="str">
        <f>IFERROR(IF(INDEX(SPOT_Import!$A$1:$Z$2488,1567,'Live Data'!$C$16)="","",INDEX(SPOT_Import!$A$1:$Z$2488,1567,'Live Data'!$C$16)),"")</f>
        <v/>
      </c>
      <c r="F1567" s="54" t="str">
        <f>IFERROR(IF(INDEX(SPOT_Import!$A$1:$Z$2488,1567,'Live Data'!$C$17)="","",INDEX(SPOT_Import!$A$1:$Z$2488,1567,'Live Data'!$C$17)),"")</f>
        <v/>
      </c>
      <c r="G1567" s="54" t="str">
        <f>IFERROR(IF(INDEX(SPOT_Import!$A$1:$Z$2488,1567,'Live Data'!$C$18)="","",INDEX(SPOT_Import!$A$1:$Z$2488,1567,'Live Data'!$C$18)),"")</f>
        <v/>
      </c>
      <c r="H1567" s="54" t="str">
        <f>IFERROR(IF(INDEX(SPOT_Import!$A$1:$Z$2488,1567,'Live Data'!$C$19)="","",INDEX(SPOT_Import!$A$1:$Z$2488,1567,'Live Data'!$C$19)),"")</f>
        <v/>
      </c>
      <c r="I1567" s="54" t="str">
        <f>IFERROR(IF(INDEX(SPOT_Import!$A$1:$Z$2488,1567,'Live Data'!$C$20)="","",INDEX(SPOT_Import!$A$1:$Z$2488,1567,'Live Data'!$C$20)),"")</f>
        <v/>
      </c>
      <c r="J1567" s="54" t="str">
        <f>IFERROR(IF(INDEX(SPOT_Import!$A$1:$Z$2488,1567,'Live Data'!$C$21)="","",INDEX(SPOT_Import!$A$1:$Z$2488,1567,'Live Data'!$C$21)),"")</f>
        <v/>
      </c>
      <c r="K1567" s="54" t="str">
        <f>IFERROR(IF(INDEX(SPOT_Import!$A$1:$Z$2488,1567,'Live Data'!$C$22)="","",INDEX(SPOT_Import!$A$1:$Z$2488,1567,'Live Data'!$C$22)),"")</f>
        <v/>
      </c>
      <c r="L1567" s="55" t="str">
        <f t="shared" si="48"/>
        <v/>
      </c>
      <c r="M1567" s="55" t="str">
        <f t="shared" si="49"/>
        <v/>
      </c>
      <c r="N1567" s="55" t="str">
        <f>IF(A1567="","",IFERROR(INDEX('Cluster Map'!$A$4:$A$38,MATCH(M1567,'Cluster Map'!$B$4:$B$38,0)),"Unmapped"))</f>
        <v/>
      </c>
      <c r="O1567" s="55">
        <f>IF(A1567="",0,IF(COUNTIFS($A$2:A1567,A1567,$F$2:F1567,F1567,$L$2:L1567,L1567)=1,1,0))</f>
        <v>0</v>
      </c>
      <c r="P1567" s="55">
        <f>IF(A1567="",0,IF(AND(F1567="C&amp;T",COUNTIFS($A$2:A1567,A1567,$F$2:F1567,"C&amp;T")=1),1,0))</f>
        <v>0</v>
      </c>
    </row>
    <row r="1568" spans="1:16" x14ac:dyDescent="0.35">
      <c r="A1568" s="54" t="str">
        <f>IFERROR(IF(INDEX(SPOT_Import!$A$1:$Z$2488,1568,'Live Data'!$C$12)="","",INDEX(SPOT_Import!$A$1:$Z$2488,1568,'Live Data'!$C$12)),"")</f>
        <v/>
      </c>
      <c r="B1568" s="54" t="str">
        <f>IFERROR(IF(INDEX(SPOT_Import!$A$1:$Z$2488,1568,'Live Data'!$C$13)="","",INDEX(SPOT_Import!$A$1:$Z$2488,1568,'Live Data'!$C$13)),"")</f>
        <v/>
      </c>
      <c r="C1568" s="54" t="str">
        <f>IFERROR(IF(INDEX(SPOT_Import!$A$1:$Z$2488,1568,'Live Data'!$C$14)="","",INDEX(SPOT_Import!$A$1:$Z$2488,1568,'Live Data'!$C$14)),"")</f>
        <v/>
      </c>
      <c r="D1568" s="54" t="str">
        <f>IFERROR(IF(INDEX(SPOT_Import!$A$1:$Z$2488,1568,'Live Data'!$C$15)="","",INDEX(SPOT_Import!$A$1:$Z$2488,1568,'Live Data'!$C$15)),"")</f>
        <v/>
      </c>
      <c r="E1568" s="54" t="str">
        <f>IFERROR(IF(INDEX(SPOT_Import!$A$1:$Z$2488,1568,'Live Data'!$C$16)="","",INDEX(SPOT_Import!$A$1:$Z$2488,1568,'Live Data'!$C$16)),"")</f>
        <v/>
      </c>
      <c r="F1568" s="54" t="str">
        <f>IFERROR(IF(INDEX(SPOT_Import!$A$1:$Z$2488,1568,'Live Data'!$C$17)="","",INDEX(SPOT_Import!$A$1:$Z$2488,1568,'Live Data'!$C$17)),"")</f>
        <v/>
      </c>
      <c r="G1568" s="54" t="str">
        <f>IFERROR(IF(INDEX(SPOT_Import!$A$1:$Z$2488,1568,'Live Data'!$C$18)="","",INDEX(SPOT_Import!$A$1:$Z$2488,1568,'Live Data'!$C$18)),"")</f>
        <v/>
      </c>
      <c r="H1568" s="54" t="str">
        <f>IFERROR(IF(INDEX(SPOT_Import!$A$1:$Z$2488,1568,'Live Data'!$C$19)="","",INDEX(SPOT_Import!$A$1:$Z$2488,1568,'Live Data'!$C$19)),"")</f>
        <v/>
      </c>
      <c r="I1568" s="54" t="str">
        <f>IFERROR(IF(INDEX(SPOT_Import!$A$1:$Z$2488,1568,'Live Data'!$C$20)="","",INDEX(SPOT_Import!$A$1:$Z$2488,1568,'Live Data'!$C$20)),"")</f>
        <v/>
      </c>
      <c r="J1568" s="54" t="str">
        <f>IFERROR(IF(INDEX(SPOT_Import!$A$1:$Z$2488,1568,'Live Data'!$C$21)="","",INDEX(SPOT_Import!$A$1:$Z$2488,1568,'Live Data'!$C$21)),"")</f>
        <v/>
      </c>
      <c r="K1568" s="54" t="str">
        <f>IFERROR(IF(INDEX(SPOT_Import!$A$1:$Z$2488,1568,'Live Data'!$C$22)="","",INDEX(SPOT_Import!$A$1:$Z$2488,1568,'Live Data'!$C$22)),"")</f>
        <v/>
      </c>
      <c r="L1568" s="55" t="str">
        <f t="shared" si="48"/>
        <v/>
      </c>
      <c r="M1568" s="55" t="str">
        <f t="shared" si="49"/>
        <v/>
      </c>
      <c r="N1568" s="55" t="str">
        <f>IF(A1568="","",IFERROR(INDEX('Cluster Map'!$A$4:$A$38,MATCH(M1568,'Cluster Map'!$B$4:$B$38,0)),"Unmapped"))</f>
        <v/>
      </c>
      <c r="O1568" s="55">
        <f>IF(A1568="",0,IF(COUNTIFS($A$2:A1568,A1568,$F$2:F1568,F1568,$L$2:L1568,L1568)=1,1,0))</f>
        <v>0</v>
      </c>
      <c r="P1568" s="55">
        <f>IF(A1568="",0,IF(AND(F1568="C&amp;T",COUNTIFS($A$2:A1568,A1568,$F$2:F1568,"C&amp;T")=1),1,0))</f>
        <v>0</v>
      </c>
    </row>
    <row r="1569" spans="1:16" x14ac:dyDescent="0.35">
      <c r="A1569" s="54" t="str">
        <f>IFERROR(IF(INDEX(SPOT_Import!$A$1:$Z$2488,1569,'Live Data'!$C$12)="","",INDEX(SPOT_Import!$A$1:$Z$2488,1569,'Live Data'!$C$12)),"")</f>
        <v/>
      </c>
      <c r="B1569" s="54" t="str">
        <f>IFERROR(IF(INDEX(SPOT_Import!$A$1:$Z$2488,1569,'Live Data'!$C$13)="","",INDEX(SPOT_Import!$A$1:$Z$2488,1569,'Live Data'!$C$13)),"")</f>
        <v/>
      </c>
      <c r="C1569" s="54" t="str">
        <f>IFERROR(IF(INDEX(SPOT_Import!$A$1:$Z$2488,1569,'Live Data'!$C$14)="","",INDEX(SPOT_Import!$A$1:$Z$2488,1569,'Live Data'!$C$14)),"")</f>
        <v/>
      </c>
      <c r="D1569" s="54" t="str">
        <f>IFERROR(IF(INDEX(SPOT_Import!$A$1:$Z$2488,1569,'Live Data'!$C$15)="","",INDEX(SPOT_Import!$A$1:$Z$2488,1569,'Live Data'!$C$15)),"")</f>
        <v/>
      </c>
      <c r="E1569" s="54" t="str">
        <f>IFERROR(IF(INDEX(SPOT_Import!$A$1:$Z$2488,1569,'Live Data'!$C$16)="","",INDEX(SPOT_Import!$A$1:$Z$2488,1569,'Live Data'!$C$16)),"")</f>
        <v/>
      </c>
      <c r="F1569" s="54" t="str">
        <f>IFERROR(IF(INDEX(SPOT_Import!$A$1:$Z$2488,1569,'Live Data'!$C$17)="","",INDEX(SPOT_Import!$A$1:$Z$2488,1569,'Live Data'!$C$17)),"")</f>
        <v/>
      </c>
      <c r="G1569" s="54" t="str">
        <f>IFERROR(IF(INDEX(SPOT_Import!$A$1:$Z$2488,1569,'Live Data'!$C$18)="","",INDEX(SPOT_Import!$A$1:$Z$2488,1569,'Live Data'!$C$18)),"")</f>
        <v/>
      </c>
      <c r="H1569" s="54" t="str">
        <f>IFERROR(IF(INDEX(SPOT_Import!$A$1:$Z$2488,1569,'Live Data'!$C$19)="","",INDEX(SPOT_Import!$A$1:$Z$2488,1569,'Live Data'!$C$19)),"")</f>
        <v/>
      </c>
      <c r="I1569" s="54" t="str">
        <f>IFERROR(IF(INDEX(SPOT_Import!$A$1:$Z$2488,1569,'Live Data'!$C$20)="","",INDEX(SPOT_Import!$A$1:$Z$2488,1569,'Live Data'!$C$20)),"")</f>
        <v/>
      </c>
      <c r="J1569" s="54" t="str">
        <f>IFERROR(IF(INDEX(SPOT_Import!$A$1:$Z$2488,1569,'Live Data'!$C$21)="","",INDEX(SPOT_Import!$A$1:$Z$2488,1569,'Live Data'!$C$21)),"")</f>
        <v/>
      </c>
      <c r="K1569" s="54" t="str">
        <f>IFERROR(IF(INDEX(SPOT_Import!$A$1:$Z$2488,1569,'Live Data'!$C$22)="","",INDEX(SPOT_Import!$A$1:$Z$2488,1569,'Live Data'!$C$22)),"")</f>
        <v/>
      </c>
      <c r="L1569" s="55" t="str">
        <f t="shared" si="48"/>
        <v/>
      </c>
      <c r="M1569" s="55" t="str">
        <f t="shared" si="49"/>
        <v/>
      </c>
      <c r="N1569" s="55" t="str">
        <f>IF(A1569="","",IFERROR(INDEX('Cluster Map'!$A$4:$A$38,MATCH(M1569,'Cluster Map'!$B$4:$B$38,0)),"Unmapped"))</f>
        <v/>
      </c>
      <c r="O1569" s="55">
        <f>IF(A1569="",0,IF(COUNTIFS($A$2:A1569,A1569,$F$2:F1569,F1569,$L$2:L1569,L1569)=1,1,0))</f>
        <v>0</v>
      </c>
      <c r="P1569" s="55">
        <f>IF(A1569="",0,IF(AND(F1569="C&amp;T",COUNTIFS($A$2:A1569,A1569,$F$2:F1569,"C&amp;T")=1),1,0))</f>
        <v>0</v>
      </c>
    </row>
    <row r="1570" spans="1:16" x14ac:dyDescent="0.35">
      <c r="A1570" s="54" t="str">
        <f>IFERROR(IF(INDEX(SPOT_Import!$A$1:$Z$2488,1570,'Live Data'!$C$12)="","",INDEX(SPOT_Import!$A$1:$Z$2488,1570,'Live Data'!$C$12)),"")</f>
        <v/>
      </c>
      <c r="B1570" s="54" t="str">
        <f>IFERROR(IF(INDEX(SPOT_Import!$A$1:$Z$2488,1570,'Live Data'!$C$13)="","",INDEX(SPOT_Import!$A$1:$Z$2488,1570,'Live Data'!$C$13)),"")</f>
        <v/>
      </c>
      <c r="C1570" s="54" t="str">
        <f>IFERROR(IF(INDEX(SPOT_Import!$A$1:$Z$2488,1570,'Live Data'!$C$14)="","",INDEX(SPOT_Import!$A$1:$Z$2488,1570,'Live Data'!$C$14)),"")</f>
        <v/>
      </c>
      <c r="D1570" s="54" t="str">
        <f>IFERROR(IF(INDEX(SPOT_Import!$A$1:$Z$2488,1570,'Live Data'!$C$15)="","",INDEX(SPOT_Import!$A$1:$Z$2488,1570,'Live Data'!$C$15)),"")</f>
        <v/>
      </c>
      <c r="E1570" s="54" t="str">
        <f>IFERROR(IF(INDEX(SPOT_Import!$A$1:$Z$2488,1570,'Live Data'!$C$16)="","",INDEX(SPOT_Import!$A$1:$Z$2488,1570,'Live Data'!$C$16)),"")</f>
        <v/>
      </c>
      <c r="F1570" s="54" t="str">
        <f>IFERROR(IF(INDEX(SPOT_Import!$A$1:$Z$2488,1570,'Live Data'!$C$17)="","",INDEX(SPOT_Import!$A$1:$Z$2488,1570,'Live Data'!$C$17)),"")</f>
        <v/>
      </c>
      <c r="G1570" s="54" t="str">
        <f>IFERROR(IF(INDEX(SPOT_Import!$A$1:$Z$2488,1570,'Live Data'!$C$18)="","",INDEX(SPOT_Import!$A$1:$Z$2488,1570,'Live Data'!$C$18)),"")</f>
        <v/>
      </c>
      <c r="H1570" s="54" t="str">
        <f>IFERROR(IF(INDEX(SPOT_Import!$A$1:$Z$2488,1570,'Live Data'!$C$19)="","",INDEX(SPOT_Import!$A$1:$Z$2488,1570,'Live Data'!$C$19)),"")</f>
        <v/>
      </c>
      <c r="I1570" s="54" t="str">
        <f>IFERROR(IF(INDEX(SPOT_Import!$A$1:$Z$2488,1570,'Live Data'!$C$20)="","",INDEX(SPOT_Import!$A$1:$Z$2488,1570,'Live Data'!$C$20)),"")</f>
        <v/>
      </c>
      <c r="J1570" s="54" t="str">
        <f>IFERROR(IF(INDEX(SPOT_Import!$A$1:$Z$2488,1570,'Live Data'!$C$21)="","",INDEX(SPOT_Import!$A$1:$Z$2488,1570,'Live Data'!$C$21)),"")</f>
        <v/>
      </c>
      <c r="K1570" s="54" t="str">
        <f>IFERROR(IF(INDEX(SPOT_Import!$A$1:$Z$2488,1570,'Live Data'!$C$22)="","",INDEX(SPOT_Import!$A$1:$Z$2488,1570,'Live Data'!$C$22)),"")</f>
        <v/>
      </c>
      <c r="L1570" s="55" t="str">
        <f t="shared" si="48"/>
        <v/>
      </c>
      <c r="M1570" s="55" t="str">
        <f t="shared" si="49"/>
        <v/>
      </c>
      <c r="N1570" s="55" t="str">
        <f>IF(A1570="","",IFERROR(INDEX('Cluster Map'!$A$4:$A$38,MATCH(M1570,'Cluster Map'!$B$4:$B$38,0)),"Unmapped"))</f>
        <v/>
      </c>
      <c r="O1570" s="55">
        <f>IF(A1570="",0,IF(COUNTIFS($A$2:A1570,A1570,$F$2:F1570,F1570,$L$2:L1570,L1570)=1,1,0))</f>
        <v>0</v>
      </c>
      <c r="P1570" s="55">
        <f>IF(A1570="",0,IF(AND(F1570="C&amp;T",COUNTIFS($A$2:A1570,A1570,$F$2:F1570,"C&amp;T")=1),1,0))</f>
        <v>0</v>
      </c>
    </row>
    <row r="1571" spans="1:16" x14ac:dyDescent="0.35">
      <c r="A1571" s="54" t="str">
        <f>IFERROR(IF(INDEX(SPOT_Import!$A$1:$Z$2488,1571,'Live Data'!$C$12)="","",INDEX(SPOT_Import!$A$1:$Z$2488,1571,'Live Data'!$C$12)),"")</f>
        <v/>
      </c>
      <c r="B1571" s="54" t="str">
        <f>IFERROR(IF(INDEX(SPOT_Import!$A$1:$Z$2488,1571,'Live Data'!$C$13)="","",INDEX(SPOT_Import!$A$1:$Z$2488,1571,'Live Data'!$C$13)),"")</f>
        <v/>
      </c>
      <c r="C1571" s="54" t="str">
        <f>IFERROR(IF(INDEX(SPOT_Import!$A$1:$Z$2488,1571,'Live Data'!$C$14)="","",INDEX(SPOT_Import!$A$1:$Z$2488,1571,'Live Data'!$C$14)),"")</f>
        <v/>
      </c>
      <c r="D1571" s="54" t="str">
        <f>IFERROR(IF(INDEX(SPOT_Import!$A$1:$Z$2488,1571,'Live Data'!$C$15)="","",INDEX(SPOT_Import!$A$1:$Z$2488,1571,'Live Data'!$C$15)),"")</f>
        <v/>
      </c>
      <c r="E1571" s="54" t="str">
        <f>IFERROR(IF(INDEX(SPOT_Import!$A$1:$Z$2488,1571,'Live Data'!$C$16)="","",INDEX(SPOT_Import!$A$1:$Z$2488,1571,'Live Data'!$C$16)),"")</f>
        <v/>
      </c>
      <c r="F1571" s="54" t="str">
        <f>IFERROR(IF(INDEX(SPOT_Import!$A$1:$Z$2488,1571,'Live Data'!$C$17)="","",INDEX(SPOT_Import!$A$1:$Z$2488,1571,'Live Data'!$C$17)),"")</f>
        <v/>
      </c>
      <c r="G1571" s="54" t="str">
        <f>IFERROR(IF(INDEX(SPOT_Import!$A$1:$Z$2488,1571,'Live Data'!$C$18)="","",INDEX(SPOT_Import!$A$1:$Z$2488,1571,'Live Data'!$C$18)),"")</f>
        <v/>
      </c>
      <c r="H1571" s="54" t="str">
        <f>IFERROR(IF(INDEX(SPOT_Import!$A$1:$Z$2488,1571,'Live Data'!$C$19)="","",INDEX(SPOT_Import!$A$1:$Z$2488,1571,'Live Data'!$C$19)),"")</f>
        <v/>
      </c>
      <c r="I1571" s="54" t="str">
        <f>IFERROR(IF(INDEX(SPOT_Import!$A$1:$Z$2488,1571,'Live Data'!$C$20)="","",INDEX(SPOT_Import!$A$1:$Z$2488,1571,'Live Data'!$C$20)),"")</f>
        <v/>
      </c>
      <c r="J1571" s="54" t="str">
        <f>IFERROR(IF(INDEX(SPOT_Import!$A$1:$Z$2488,1571,'Live Data'!$C$21)="","",INDEX(SPOT_Import!$A$1:$Z$2488,1571,'Live Data'!$C$21)),"")</f>
        <v/>
      </c>
      <c r="K1571" s="54" t="str">
        <f>IFERROR(IF(INDEX(SPOT_Import!$A$1:$Z$2488,1571,'Live Data'!$C$22)="","",INDEX(SPOT_Import!$A$1:$Z$2488,1571,'Live Data'!$C$22)),"")</f>
        <v/>
      </c>
      <c r="L1571" s="55" t="str">
        <f t="shared" si="48"/>
        <v/>
      </c>
      <c r="M1571" s="55" t="str">
        <f t="shared" si="49"/>
        <v/>
      </c>
      <c r="N1571" s="55" t="str">
        <f>IF(A1571="","",IFERROR(INDEX('Cluster Map'!$A$4:$A$38,MATCH(M1571,'Cluster Map'!$B$4:$B$38,0)),"Unmapped"))</f>
        <v/>
      </c>
      <c r="O1571" s="55">
        <f>IF(A1571="",0,IF(COUNTIFS($A$2:A1571,A1571,$F$2:F1571,F1571,$L$2:L1571,L1571)=1,1,0))</f>
        <v>0</v>
      </c>
      <c r="P1571" s="55">
        <f>IF(A1571="",0,IF(AND(F1571="C&amp;T",COUNTIFS($A$2:A1571,A1571,$F$2:F1571,"C&amp;T")=1),1,0))</f>
        <v>0</v>
      </c>
    </row>
    <row r="1572" spans="1:16" x14ac:dyDescent="0.35">
      <c r="A1572" s="54" t="str">
        <f>IFERROR(IF(INDEX(SPOT_Import!$A$1:$Z$2488,1572,'Live Data'!$C$12)="","",INDEX(SPOT_Import!$A$1:$Z$2488,1572,'Live Data'!$C$12)),"")</f>
        <v/>
      </c>
      <c r="B1572" s="54" t="str">
        <f>IFERROR(IF(INDEX(SPOT_Import!$A$1:$Z$2488,1572,'Live Data'!$C$13)="","",INDEX(SPOT_Import!$A$1:$Z$2488,1572,'Live Data'!$C$13)),"")</f>
        <v/>
      </c>
      <c r="C1572" s="54" t="str">
        <f>IFERROR(IF(INDEX(SPOT_Import!$A$1:$Z$2488,1572,'Live Data'!$C$14)="","",INDEX(SPOT_Import!$A$1:$Z$2488,1572,'Live Data'!$C$14)),"")</f>
        <v/>
      </c>
      <c r="D1572" s="54" t="str">
        <f>IFERROR(IF(INDEX(SPOT_Import!$A$1:$Z$2488,1572,'Live Data'!$C$15)="","",INDEX(SPOT_Import!$A$1:$Z$2488,1572,'Live Data'!$C$15)),"")</f>
        <v/>
      </c>
      <c r="E1572" s="54" t="str">
        <f>IFERROR(IF(INDEX(SPOT_Import!$A$1:$Z$2488,1572,'Live Data'!$C$16)="","",INDEX(SPOT_Import!$A$1:$Z$2488,1572,'Live Data'!$C$16)),"")</f>
        <v/>
      </c>
      <c r="F1572" s="54" t="str">
        <f>IFERROR(IF(INDEX(SPOT_Import!$A$1:$Z$2488,1572,'Live Data'!$C$17)="","",INDEX(SPOT_Import!$A$1:$Z$2488,1572,'Live Data'!$C$17)),"")</f>
        <v/>
      </c>
      <c r="G1572" s="54" t="str">
        <f>IFERROR(IF(INDEX(SPOT_Import!$A$1:$Z$2488,1572,'Live Data'!$C$18)="","",INDEX(SPOT_Import!$A$1:$Z$2488,1572,'Live Data'!$C$18)),"")</f>
        <v/>
      </c>
      <c r="H1572" s="54" t="str">
        <f>IFERROR(IF(INDEX(SPOT_Import!$A$1:$Z$2488,1572,'Live Data'!$C$19)="","",INDEX(SPOT_Import!$A$1:$Z$2488,1572,'Live Data'!$C$19)),"")</f>
        <v/>
      </c>
      <c r="I1572" s="54" t="str">
        <f>IFERROR(IF(INDEX(SPOT_Import!$A$1:$Z$2488,1572,'Live Data'!$C$20)="","",INDEX(SPOT_Import!$A$1:$Z$2488,1572,'Live Data'!$C$20)),"")</f>
        <v/>
      </c>
      <c r="J1572" s="54" t="str">
        <f>IFERROR(IF(INDEX(SPOT_Import!$A$1:$Z$2488,1572,'Live Data'!$C$21)="","",INDEX(SPOT_Import!$A$1:$Z$2488,1572,'Live Data'!$C$21)),"")</f>
        <v/>
      </c>
      <c r="K1572" s="54" t="str">
        <f>IFERROR(IF(INDEX(SPOT_Import!$A$1:$Z$2488,1572,'Live Data'!$C$22)="","",INDEX(SPOT_Import!$A$1:$Z$2488,1572,'Live Data'!$C$22)),"")</f>
        <v/>
      </c>
      <c r="L1572" s="55" t="str">
        <f t="shared" si="48"/>
        <v/>
      </c>
      <c r="M1572" s="55" t="str">
        <f t="shared" si="49"/>
        <v/>
      </c>
      <c r="N1572" s="55" t="str">
        <f>IF(A1572="","",IFERROR(INDEX('Cluster Map'!$A$4:$A$38,MATCH(M1572,'Cluster Map'!$B$4:$B$38,0)),"Unmapped"))</f>
        <v/>
      </c>
      <c r="O1572" s="55">
        <f>IF(A1572="",0,IF(COUNTIFS($A$2:A1572,A1572,$F$2:F1572,F1572,$L$2:L1572,L1572)=1,1,0))</f>
        <v>0</v>
      </c>
      <c r="P1572" s="55">
        <f>IF(A1572="",0,IF(AND(F1572="C&amp;T",COUNTIFS($A$2:A1572,A1572,$F$2:F1572,"C&amp;T")=1),1,0))</f>
        <v>0</v>
      </c>
    </row>
    <row r="1573" spans="1:16" x14ac:dyDescent="0.35">
      <c r="A1573" s="54" t="str">
        <f>IFERROR(IF(INDEX(SPOT_Import!$A$1:$Z$2488,1573,'Live Data'!$C$12)="","",INDEX(SPOT_Import!$A$1:$Z$2488,1573,'Live Data'!$C$12)),"")</f>
        <v/>
      </c>
      <c r="B1573" s="54" t="str">
        <f>IFERROR(IF(INDEX(SPOT_Import!$A$1:$Z$2488,1573,'Live Data'!$C$13)="","",INDEX(SPOT_Import!$A$1:$Z$2488,1573,'Live Data'!$C$13)),"")</f>
        <v/>
      </c>
      <c r="C1573" s="54" t="str">
        <f>IFERROR(IF(INDEX(SPOT_Import!$A$1:$Z$2488,1573,'Live Data'!$C$14)="","",INDEX(SPOT_Import!$A$1:$Z$2488,1573,'Live Data'!$C$14)),"")</f>
        <v/>
      </c>
      <c r="D1573" s="54" t="str">
        <f>IFERROR(IF(INDEX(SPOT_Import!$A$1:$Z$2488,1573,'Live Data'!$C$15)="","",INDEX(SPOT_Import!$A$1:$Z$2488,1573,'Live Data'!$C$15)),"")</f>
        <v/>
      </c>
      <c r="E1573" s="54" t="str">
        <f>IFERROR(IF(INDEX(SPOT_Import!$A$1:$Z$2488,1573,'Live Data'!$C$16)="","",INDEX(SPOT_Import!$A$1:$Z$2488,1573,'Live Data'!$C$16)),"")</f>
        <v/>
      </c>
      <c r="F1573" s="54" t="str">
        <f>IFERROR(IF(INDEX(SPOT_Import!$A$1:$Z$2488,1573,'Live Data'!$C$17)="","",INDEX(SPOT_Import!$A$1:$Z$2488,1573,'Live Data'!$C$17)),"")</f>
        <v/>
      </c>
      <c r="G1573" s="54" t="str">
        <f>IFERROR(IF(INDEX(SPOT_Import!$A$1:$Z$2488,1573,'Live Data'!$C$18)="","",INDEX(SPOT_Import!$A$1:$Z$2488,1573,'Live Data'!$C$18)),"")</f>
        <v/>
      </c>
      <c r="H1573" s="54" t="str">
        <f>IFERROR(IF(INDEX(SPOT_Import!$A$1:$Z$2488,1573,'Live Data'!$C$19)="","",INDEX(SPOT_Import!$A$1:$Z$2488,1573,'Live Data'!$C$19)),"")</f>
        <v/>
      </c>
      <c r="I1573" s="54" t="str">
        <f>IFERROR(IF(INDEX(SPOT_Import!$A$1:$Z$2488,1573,'Live Data'!$C$20)="","",INDEX(SPOT_Import!$A$1:$Z$2488,1573,'Live Data'!$C$20)),"")</f>
        <v/>
      </c>
      <c r="J1573" s="54" t="str">
        <f>IFERROR(IF(INDEX(SPOT_Import!$A$1:$Z$2488,1573,'Live Data'!$C$21)="","",INDEX(SPOT_Import!$A$1:$Z$2488,1573,'Live Data'!$C$21)),"")</f>
        <v/>
      </c>
      <c r="K1573" s="54" t="str">
        <f>IFERROR(IF(INDEX(SPOT_Import!$A$1:$Z$2488,1573,'Live Data'!$C$22)="","",INDEX(SPOT_Import!$A$1:$Z$2488,1573,'Live Data'!$C$22)),"")</f>
        <v/>
      </c>
      <c r="L1573" s="55" t="str">
        <f t="shared" si="48"/>
        <v/>
      </c>
      <c r="M1573" s="55" t="str">
        <f t="shared" si="49"/>
        <v/>
      </c>
      <c r="N1573" s="55" t="str">
        <f>IF(A1573="","",IFERROR(INDEX('Cluster Map'!$A$4:$A$38,MATCH(M1573,'Cluster Map'!$B$4:$B$38,0)),"Unmapped"))</f>
        <v/>
      </c>
      <c r="O1573" s="55">
        <f>IF(A1573="",0,IF(COUNTIFS($A$2:A1573,A1573,$F$2:F1573,F1573,$L$2:L1573,L1573)=1,1,0))</f>
        <v>0</v>
      </c>
      <c r="P1573" s="55">
        <f>IF(A1573="",0,IF(AND(F1573="C&amp;T",COUNTIFS($A$2:A1573,A1573,$F$2:F1573,"C&amp;T")=1),1,0))</f>
        <v>0</v>
      </c>
    </row>
    <row r="1574" spans="1:16" x14ac:dyDescent="0.35">
      <c r="A1574" s="54" t="str">
        <f>IFERROR(IF(INDEX(SPOT_Import!$A$1:$Z$2488,1574,'Live Data'!$C$12)="","",INDEX(SPOT_Import!$A$1:$Z$2488,1574,'Live Data'!$C$12)),"")</f>
        <v/>
      </c>
      <c r="B1574" s="54" t="str">
        <f>IFERROR(IF(INDEX(SPOT_Import!$A$1:$Z$2488,1574,'Live Data'!$C$13)="","",INDEX(SPOT_Import!$A$1:$Z$2488,1574,'Live Data'!$C$13)),"")</f>
        <v/>
      </c>
      <c r="C1574" s="54" t="str">
        <f>IFERROR(IF(INDEX(SPOT_Import!$A$1:$Z$2488,1574,'Live Data'!$C$14)="","",INDEX(SPOT_Import!$A$1:$Z$2488,1574,'Live Data'!$C$14)),"")</f>
        <v/>
      </c>
      <c r="D1574" s="54" t="str">
        <f>IFERROR(IF(INDEX(SPOT_Import!$A$1:$Z$2488,1574,'Live Data'!$C$15)="","",INDEX(SPOT_Import!$A$1:$Z$2488,1574,'Live Data'!$C$15)),"")</f>
        <v/>
      </c>
      <c r="E1574" s="54" t="str">
        <f>IFERROR(IF(INDEX(SPOT_Import!$A$1:$Z$2488,1574,'Live Data'!$C$16)="","",INDEX(SPOT_Import!$A$1:$Z$2488,1574,'Live Data'!$C$16)),"")</f>
        <v/>
      </c>
      <c r="F1574" s="54" t="str">
        <f>IFERROR(IF(INDEX(SPOT_Import!$A$1:$Z$2488,1574,'Live Data'!$C$17)="","",INDEX(SPOT_Import!$A$1:$Z$2488,1574,'Live Data'!$C$17)),"")</f>
        <v/>
      </c>
      <c r="G1574" s="54" t="str">
        <f>IFERROR(IF(INDEX(SPOT_Import!$A$1:$Z$2488,1574,'Live Data'!$C$18)="","",INDEX(SPOT_Import!$A$1:$Z$2488,1574,'Live Data'!$C$18)),"")</f>
        <v/>
      </c>
      <c r="H1574" s="54" t="str">
        <f>IFERROR(IF(INDEX(SPOT_Import!$A$1:$Z$2488,1574,'Live Data'!$C$19)="","",INDEX(SPOT_Import!$A$1:$Z$2488,1574,'Live Data'!$C$19)),"")</f>
        <v/>
      </c>
      <c r="I1574" s="54" t="str">
        <f>IFERROR(IF(INDEX(SPOT_Import!$A$1:$Z$2488,1574,'Live Data'!$C$20)="","",INDEX(SPOT_Import!$A$1:$Z$2488,1574,'Live Data'!$C$20)),"")</f>
        <v/>
      </c>
      <c r="J1574" s="54" t="str">
        <f>IFERROR(IF(INDEX(SPOT_Import!$A$1:$Z$2488,1574,'Live Data'!$C$21)="","",INDEX(SPOT_Import!$A$1:$Z$2488,1574,'Live Data'!$C$21)),"")</f>
        <v/>
      </c>
      <c r="K1574" s="54" t="str">
        <f>IFERROR(IF(INDEX(SPOT_Import!$A$1:$Z$2488,1574,'Live Data'!$C$22)="","",INDEX(SPOT_Import!$A$1:$Z$2488,1574,'Live Data'!$C$22)),"")</f>
        <v/>
      </c>
      <c r="L1574" s="55" t="str">
        <f t="shared" si="48"/>
        <v/>
      </c>
      <c r="M1574" s="55" t="str">
        <f t="shared" si="49"/>
        <v/>
      </c>
      <c r="N1574" s="55" t="str">
        <f>IF(A1574="","",IFERROR(INDEX('Cluster Map'!$A$4:$A$38,MATCH(M1574,'Cluster Map'!$B$4:$B$38,0)),"Unmapped"))</f>
        <v/>
      </c>
      <c r="O1574" s="55">
        <f>IF(A1574="",0,IF(COUNTIFS($A$2:A1574,A1574,$F$2:F1574,F1574,$L$2:L1574,L1574)=1,1,0))</f>
        <v>0</v>
      </c>
      <c r="P1574" s="55">
        <f>IF(A1574="",0,IF(AND(F1574="C&amp;T",COUNTIFS($A$2:A1574,A1574,$F$2:F1574,"C&amp;T")=1),1,0))</f>
        <v>0</v>
      </c>
    </row>
    <row r="1575" spans="1:16" x14ac:dyDescent="0.35">
      <c r="A1575" s="54" t="str">
        <f>IFERROR(IF(INDEX(SPOT_Import!$A$1:$Z$2488,1575,'Live Data'!$C$12)="","",INDEX(SPOT_Import!$A$1:$Z$2488,1575,'Live Data'!$C$12)),"")</f>
        <v/>
      </c>
      <c r="B1575" s="54" t="str">
        <f>IFERROR(IF(INDEX(SPOT_Import!$A$1:$Z$2488,1575,'Live Data'!$C$13)="","",INDEX(SPOT_Import!$A$1:$Z$2488,1575,'Live Data'!$C$13)),"")</f>
        <v/>
      </c>
      <c r="C1575" s="54" t="str">
        <f>IFERROR(IF(INDEX(SPOT_Import!$A$1:$Z$2488,1575,'Live Data'!$C$14)="","",INDEX(SPOT_Import!$A$1:$Z$2488,1575,'Live Data'!$C$14)),"")</f>
        <v/>
      </c>
      <c r="D1575" s="54" t="str">
        <f>IFERROR(IF(INDEX(SPOT_Import!$A$1:$Z$2488,1575,'Live Data'!$C$15)="","",INDEX(SPOT_Import!$A$1:$Z$2488,1575,'Live Data'!$C$15)),"")</f>
        <v/>
      </c>
      <c r="E1575" s="54" t="str">
        <f>IFERROR(IF(INDEX(SPOT_Import!$A$1:$Z$2488,1575,'Live Data'!$C$16)="","",INDEX(SPOT_Import!$A$1:$Z$2488,1575,'Live Data'!$C$16)),"")</f>
        <v/>
      </c>
      <c r="F1575" s="54" t="str">
        <f>IFERROR(IF(INDEX(SPOT_Import!$A$1:$Z$2488,1575,'Live Data'!$C$17)="","",INDEX(SPOT_Import!$A$1:$Z$2488,1575,'Live Data'!$C$17)),"")</f>
        <v/>
      </c>
      <c r="G1575" s="54" t="str">
        <f>IFERROR(IF(INDEX(SPOT_Import!$A$1:$Z$2488,1575,'Live Data'!$C$18)="","",INDEX(SPOT_Import!$A$1:$Z$2488,1575,'Live Data'!$C$18)),"")</f>
        <v/>
      </c>
      <c r="H1575" s="54" t="str">
        <f>IFERROR(IF(INDEX(SPOT_Import!$A$1:$Z$2488,1575,'Live Data'!$C$19)="","",INDEX(SPOT_Import!$A$1:$Z$2488,1575,'Live Data'!$C$19)),"")</f>
        <v/>
      </c>
      <c r="I1575" s="54" t="str">
        <f>IFERROR(IF(INDEX(SPOT_Import!$A$1:$Z$2488,1575,'Live Data'!$C$20)="","",INDEX(SPOT_Import!$A$1:$Z$2488,1575,'Live Data'!$C$20)),"")</f>
        <v/>
      </c>
      <c r="J1575" s="54" t="str">
        <f>IFERROR(IF(INDEX(SPOT_Import!$A$1:$Z$2488,1575,'Live Data'!$C$21)="","",INDEX(SPOT_Import!$A$1:$Z$2488,1575,'Live Data'!$C$21)),"")</f>
        <v/>
      </c>
      <c r="K1575" s="54" t="str">
        <f>IFERROR(IF(INDEX(SPOT_Import!$A$1:$Z$2488,1575,'Live Data'!$C$22)="","",INDEX(SPOT_Import!$A$1:$Z$2488,1575,'Live Data'!$C$22)),"")</f>
        <v/>
      </c>
      <c r="L1575" s="55" t="str">
        <f t="shared" si="48"/>
        <v/>
      </c>
      <c r="M1575" s="55" t="str">
        <f t="shared" si="49"/>
        <v/>
      </c>
      <c r="N1575" s="55" t="str">
        <f>IF(A1575="","",IFERROR(INDEX('Cluster Map'!$A$4:$A$38,MATCH(M1575,'Cluster Map'!$B$4:$B$38,0)),"Unmapped"))</f>
        <v/>
      </c>
      <c r="O1575" s="55">
        <f>IF(A1575="",0,IF(COUNTIFS($A$2:A1575,A1575,$F$2:F1575,F1575,$L$2:L1575,L1575)=1,1,0))</f>
        <v>0</v>
      </c>
      <c r="P1575" s="55">
        <f>IF(A1575="",0,IF(AND(F1575="C&amp;T",COUNTIFS($A$2:A1575,A1575,$F$2:F1575,"C&amp;T")=1),1,0))</f>
        <v>0</v>
      </c>
    </row>
    <row r="1576" spans="1:16" x14ac:dyDescent="0.35">
      <c r="A1576" s="54" t="str">
        <f>IFERROR(IF(INDEX(SPOT_Import!$A$1:$Z$2488,1576,'Live Data'!$C$12)="","",INDEX(SPOT_Import!$A$1:$Z$2488,1576,'Live Data'!$C$12)),"")</f>
        <v/>
      </c>
      <c r="B1576" s="54" t="str">
        <f>IFERROR(IF(INDEX(SPOT_Import!$A$1:$Z$2488,1576,'Live Data'!$C$13)="","",INDEX(SPOT_Import!$A$1:$Z$2488,1576,'Live Data'!$C$13)),"")</f>
        <v/>
      </c>
      <c r="C1576" s="54" t="str">
        <f>IFERROR(IF(INDEX(SPOT_Import!$A$1:$Z$2488,1576,'Live Data'!$C$14)="","",INDEX(SPOT_Import!$A$1:$Z$2488,1576,'Live Data'!$C$14)),"")</f>
        <v/>
      </c>
      <c r="D1576" s="54" t="str">
        <f>IFERROR(IF(INDEX(SPOT_Import!$A$1:$Z$2488,1576,'Live Data'!$C$15)="","",INDEX(SPOT_Import!$A$1:$Z$2488,1576,'Live Data'!$C$15)),"")</f>
        <v/>
      </c>
      <c r="E1576" s="54" t="str">
        <f>IFERROR(IF(INDEX(SPOT_Import!$A$1:$Z$2488,1576,'Live Data'!$C$16)="","",INDEX(SPOT_Import!$A$1:$Z$2488,1576,'Live Data'!$C$16)),"")</f>
        <v/>
      </c>
      <c r="F1576" s="54" t="str">
        <f>IFERROR(IF(INDEX(SPOT_Import!$A$1:$Z$2488,1576,'Live Data'!$C$17)="","",INDEX(SPOT_Import!$A$1:$Z$2488,1576,'Live Data'!$C$17)),"")</f>
        <v/>
      </c>
      <c r="G1576" s="54" t="str">
        <f>IFERROR(IF(INDEX(SPOT_Import!$A$1:$Z$2488,1576,'Live Data'!$C$18)="","",INDEX(SPOT_Import!$A$1:$Z$2488,1576,'Live Data'!$C$18)),"")</f>
        <v/>
      </c>
      <c r="H1576" s="54" t="str">
        <f>IFERROR(IF(INDEX(SPOT_Import!$A$1:$Z$2488,1576,'Live Data'!$C$19)="","",INDEX(SPOT_Import!$A$1:$Z$2488,1576,'Live Data'!$C$19)),"")</f>
        <v/>
      </c>
      <c r="I1576" s="54" t="str">
        <f>IFERROR(IF(INDEX(SPOT_Import!$A$1:$Z$2488,1576,'Live Data'!$C$20)="","",INDEX(SPOT_Import!$A$1:$Z$2488,1576,'Live Data'!$C$20)),"")</f>
        <v/>
      </c>
      <c r="J1576" s="54" t="str">
        <f>IFERROR(IF(INDEX(SPOT_Import!$A$1:$Z$2488,1576,'Live Data'!$C$21)="","",INDEX(SPOT_Import!$A$1:$Z$2488,1576,'Live Data'!$C$21)),"")</f>
        <v/>
      </c>
      <c r="K1576" s="54" t="str">
        <f>IFERROR(IF(INDEX(SPOT_Import!$A$1:$Z$2488,1576,'Live Data'!$C$22)="","",INDEX(SPOT_Import!$A$1:$Z$2488,1576,'Live Data'!$C$22)),"")</f>
        <v/>
      </c>
      <c r="L1576" s="55" t="str">
        <f t="shared" si="48"/>
        <v/>
      </c>
      <c r="M1576" s="55" t="str">
        <f t="shared" si="49"/>
        <v/>
      </c>
      <c r="N1576" s="55" t="str">
        <f>IF(A1576="","",IFERROR(INDEX('Cluster Map'!$A$4:$A$38,MATCH(M1576,'Cluster Map'!$B$4:$B$38,0)),"Unmapped"))</f>
        <v/>
      </c>
      <c r="O1576" s="55">
        <f>IF(A1576="",0,IF(COUNTIFS($A$2:A1576,A1576,$F$2:F1576,F1576,$L$2:L1576,L1576)=1,1,0))</f>
        <v>0</v>
      </c>
      <c r="P1576" s="55">
        <f>IF(A1576="",0,IF(AND(F1576="C&amp;T",COUNTIFS($A$2:A1576,A1576,$F$2:F1576,"C&amp;T")=1),1,0))</f>
        <v>0</v>
      </c>
    </row>
    <row r="1577" spans="1:16" x14ac:dyDescent="0.35">
      <c r="A1577" s="54" t="str">
        <f>IFERROR(IF(INDEX(SPOT_Import!$A$1:$Z$2488,1577,'Live Data'!$C$12)="","",INDEX(SPOT_Import!$A$1:$Z$2488,1577,'Live Data'!$C$12)),"")</f>
        <v/>
      </c>
      <c r="B1577" s="54" t="str">
        <f>IFERROR(IF(INDEX(SPOT_Import!$A$1:$Z$2488,1577,'Live Data'!$C$13)="","",INDEX(SPOT_Import!$A$1:$Z$2488,1577,'Live Data'!$C$13)),"")</f>
        <v/>
      </c>
      <c r="C1577" s="54" t="str">
        <f>IFERROR(IF(INDEX(SPOT_Import!$A$1:$Z$2488,1577,'Live Data'!$C$14)="","",INDEX(SPOT_Import!$A$1:$Z$2488,1577,'Live Data'!$C$14)),"")</f>
        <v/>
      </c>
      <c r="D1577" s="54" t="str">
        <f>IFERROR(IF(INDEX(SPOT_Import!$A$1:$Z$2488,1577,'Live Data'!$C$15)="","",INDEX(SPOT_Import!$A$1:$Z$2488,1577,'Live Data'!$C$15)),"")</f>
        <v/>
      </c>
      <c r="E1577" s="54" t="str">
        <f>IFERROR(IF(INDEX(SPOT_Import!$A$1:$Z$2488,1577,'Live Data'!$C$16)="","",INDEX(SPOT_Import!$A$1:$Z$2488,1577,'Live Data'!$C$16)),"")</f>
        <v/>
      </c>
      <c r="F1577" s="54" t="str">
        <f>IFERROR(IF(INDEX(SPOT_Import!$A$1:$Z$2488,1577,'Live Data'!$C$17)="","",INDEX(SPOT_Import!$A$1:$Z$2488,1577,'Live Data'!$C$17)),"")</f>
        <v/>
      </c>
      <c r="G1577" s="54" t="str">
        <f>IFERROR(IF(INDEX(SPOT_Import!$A$1:$Z$2488,1577,'Live Data'!$C$18)="","",INDEX(SPOT_Import!$A$1:$Z$2488,1577,'Live Data'!$C$18)),"")</f>
        <v/>
      </c>
      <c r="H1577" s="54" t="str">
        <f>IFERROR(IF(INDEX(SPOT_Import!$A$1:$Z$2488,1577,'Live Data'!$C$19)="","",INDEX(SPOT_Import!$A$1:$Z$2488,1577,'Live Data'!$C$19)),"")</f>
        <v/>
      </c>
      <c r="I1577" s="54" t="str">
        <f>IFERROR(IF(INDEX(SPOT_Import!$A$1:$Z$2488,1577,'Live Data'!$C$20)="","",INDEX(SPOT_Import!$A$1:$Z$2488,1577,'Live Data'!$C$20)),"")</f>
        <v/>
      </c>
      <c r="J1577" s="54" t="str">
        <f>IFERROR(IF(INDEX(SPOT_Import!$A$1:$Z$2488,1577,'Live Data'!$C$21)="","",INDEX(SPOT_Import!$A$1:$Z$2488,1577,'Live Data'!$C$21)),"")</f>
        <v/>
      </c>
      <c r="K1577" s="54" t="str">
        <f>IFERROR(IF(INDEX(SPOT_Import!$A$1:$Z$2488,1577,'Live Data'!$C$22)="","",INDEX(SPOT_Import!$A$1:$Z$2488,1577,'Live Data'!$C$22)),"")</f>
        <v/>
      </c>
      <c r="L1577" s="55" t="str">
        <f t="shared" si="48"/>
        <v/>
      </c>
      <c r="M1577" s="55" t="str">
        <f t="shared" si="49"/>
        <v/>
      </c>
      <c r="N1577" s="55" t="str">
        <f>IF(A1577="","",IFERROR(INDEX('Cluster Map'!$A$4:$A$38,MATCH(M1577,'Cluster Map'!$B$4:$B$38,0)),"Unmapped"))</f>
        <v/>
      </c>
      <c r="O1577" s="55">
        <f>IF(A1577="",0,IF(COUNTIFS($A$2:A1577,A1577,$F$2:F1577,F1577,$L$2:L1577,L1577)=1,1,0))</f>
        <v>0</v>
      </c>
      <c r="P1577" s="55">
        <f>IF(A1577="",0,IF(AND(F1577="C&amp;T",COUNTIFS($A$2:A1577,A1577,$F$2:F1577,"C&amp;T")=1),1,0))</f>
        <v>0</v>
      </c>
    </row>
    <row r="1578" spans="1:16" x14ac:dyDescent="0.35">
      <c r="A1578" s="54" t="str">
        <f>IFERROR(IF(INDEX(SPOT_Import!$A$1:$Z$2488,1578,'Live Data'!$C$12)="","",INDEX(SPOT_Import!$A$1:$Z$2488,1578,'Live Data'!$C$12)),"")</f>
        <v/>
      </c>
      <c r="B1578" s="54" t="str">
        <f>IFERROR(IF(INDEX(SPOT_Import!$A$1:$Z$2488,1578,'Live Data'!$C$13)="","",INDEX(SPOT_Import!$A$1:$Z$2488,1578,'Live Data'!$C$13)),"")</f>
        <v/>
      </c>
      <c r="C1578" s="54" t="str">
        <f>IFERROR(IF(INDEX(SPOT_Import!$A$1:$Z$2488,1578,'Live Data'!$C$14)="","",INDEX(SPOT_Import!$A$1:$Z$2488,1578,'Live Data'!$C$14)),"")</f>
        <v/>
      </c>
      <c r="D1578" s="54" t="str">
        <f>IFERROR(IF(INDEX(SPOT_Import!$A$1:$Z$2488,1578,'Live Data'!$C$15)="","",INDEX(SPOT_Import!$A$1:$Z$2488,1578,'Live Data'!$C$15)),"")</f>
        <v/>
      </c>
      <c r="E1578" s="54" t="str">
        <f>IFERROR(IF(INDEX(SPOT_Import!$A$1:$Z$2488,1578,'Live Data'!$C$16)="","",INDEX(SPOT_Import!$A$1:$Z$2488,1578,'Live Data'!$C$16)),"")</f>
        <v/>
      </c>
      <c r="F1578" s="54" t="str">
        <f>IFERROR(IF(INDEX(SPOT_Import!$A$1:$Z$2488,1578,'Live Data'!$C$17)="","",INDEX(SPOT_Import!$A$1:$Z$2488,1578,'Live Data'!$C$17)),"")</f>
        <v/>
      </c>
      <c r="G1578" s="54" t="str">
        <f>IFERROR(IF(INDEX(SPOT_Import!$A$1:$Z$2488,1578,'Live Data'!$C$18)="","",INDEX(SPOT_Import!$A$1:$Z$2488,1578,'Live Data'!$C$18)),"")</f>
        <v/>
      </c>
      <c r="H1578" s="54" t="str">
        <f>IFERROR(IF(INDEX(SPOT_Import!$A$1:$Z$2488,1578,'Live Data'!$C$19)="","",INDEX(SPOT_Import!$A$1:$Z$2488,1578,'Live Data'!$C$19)),"")</f>
        <v/>
      </c>
      <c r="I1578" s="54" t="str">
        <f>IFERROR(IF(INDEX(SPOT_Import!$A$1:$Z$2488,1578,'Live Data'!$C$20)="","",INDEX(SPOT_Import!$A$1:$Z$2488,1578,'Live Data'!$C$20)),"")</f>
        <v/>
      </c>
      <c r="J1578" s="54" t="str">
        <f>IFERROR(IF(INDEX(SPOT_Import!$A$1:$Z$2488,1578,'Live Data'!$C$21)="","",INDEX(SPOT_Import!$A$1:$Z$2488,1578,'Live Data'!$C$21)),"")</f>
        <v/>
      </c>
      <c r="K1578" s="54" t="str">
        <f>IFERROR(IF(INDEX(SPOT_Import!$A$1:$Z$2488,1578,'Live Data'!$C$22)="","",INDEX(SPOT_Import!$A$1:$Z$2488,1578,'Live Data'!$C$22)),"")</f>
        <v/>
      </c>
      <c r="L1578" s="55" t="str">
        <f t="shared" si="48"/>
        <v/>
      </c>
      <c r="M1578" s="55" t="str">
        <f t="shared" si="49"/>
        <v/>
      </c>
      <c r="N1578" s="55" t="str">
        <f>IF(A1578="","",IFERROR(INDEX('Cluster Map'!$A$4:$A$38,MATCH(M1578,'Cluster Map'!$B$4:$B$38,0)),"Unmapped"))</f>
        <v/>
      </c>
      <c r="O1578" s="55">
        <f>IF(A1578="",0,IF(COUNTIFS($A$2:A1578,A1578,$F$2:F1578,F1578,$L$2:L1578,L1578)=1,1,0))</f>
        <v>0</v>
      </c>
      <c r="P1578" s="55">
        <f>IF(A1578="",0,IF(AND(F1578="C&amp;T",COUNTIFS($A$2:A1578,A1578,$F$2:F1578,"C&amp;T")=1),1,0))</f>
        <v>0</v>
      </c>
    </row>
    <row r="1579" spans="1:16" x14ac:dyDescent="0.35">
      <c r="A1579" s="54" t="str">
        <f>IFERROR(IF(INDEX(SPOT_Import!$A$1:$Z$2488,1579,'Live Data'!$C$12)="","",INDEX(SPOT_Import!$A$1:$Z$2488,1579,'Live Data'!$C$12)),"")</f>
        <v/>
      </c>
      <c r="B1579" s="54" t="str">
        <f>IFERROR(IF(INDEX(SPOT_Import!$A$1:$Z$2488,1579,'Live Data'!$C$13)="","",INDEX(SPOT_Import!$A$1:$Z$2488,1579,'Live Data'!$C$13)),"")</f>
        <v/>
      </c>
      <c r="C1579" s="54" t="str">
        <f>IFERROR(IF(INDEX(SPOT_Import!$A$1:$Z$2488,1579,'Live Data'!$C$14)="","",INDEX(SPOT_Import!$A$1:$Z$2488,1579,'Live Data'!$C$14)),"")</f>
        <v/>
      </c>
      <c r="D1579" s="54" t="str">
        <f>IFERROR(IF(INDEX(SPOT_Import!$A$1:$Z$2488,1579,'Live Data'!$C$15)="","",INDEX(SPOT_Import!$A$1:$Z$2488,1579,'Live Data'!$C$15)),"")</f>
        <v/>
      </c>
      <c r="E1579" s="54" t="str">
        <f>IFERROR(IF(INDEX(SPOT_Import!$A$1:$Z$2488,1579,'Live Data'!$C$16)="","",INDEX(SPOT_Import!$A$1:$Z$2488,1579,'Live Data'!$C$16)),"")</f>
        <v/>
      </c>
      <c r="F1579" s="54" t="str">
        <f>IFERROR(IF(INDEX(SPOT_Import!$A$1:$Z$2488,1579,'Live Data'!$C$17)="","",INDEX(SPOT_Import!$A$1:$Z$2488,1579,'Live Data'!$C$17)),"")</f>
        <v/>
      </c>
      <c r="G1579" s="54" t="str">
        <f>IFERROR(IF(INDEX(SPOT_Import!$A$1:$Z$2488,1579,'Live Data'!$C$18)="","",INDEX(SPOT_Import!$A$1:$Z$2488,1579,'Live Data'!$C$18)),"")</f>
        <v/>
      </c>
      <c r="H1579" s="54" t="str">
        <f>IFERROR(IF(INDEX(SPOT_Import!$A$1:$Z$2488,1579,'Live Data'!$C$19)="","",INDEX(SPOT_Import!$A$1:$Z$2488,1579,'Live Data'!$C$19)),"")</f>
        <v/>
      </c>
      <c r="I1579" s="54" t="str">
        <f>IFERROR(IF(INDEX(SPOT_Import!$A$1:$Z$2488,1579,'Live Data'!$C$20)="","",INDEX(SPOT_Import!$A$1:$Z$2488,1579,'Live Data'!$C$20)),"")</f>
        <v/>
      </c>
      <c r="J1579" s="54" t="str">
        <f>IFERROR(IF(INDEX(SPOT_Import!$A$1:$Z$2488,1579,'Live Data'!$C$21)="","",INDEX(SPOT_Import!$A$1:$Z$2488,1579,'Live Data'!$C$21)),"")</f>
        <v/>
      </c>
      <c r="K1579" s="54" t="str">
        <f>IFERROR(IF(INDEX(SPOT_Import!$A$1:$Z$2488,1579,'Live Data'!$C$22)="","",INDEX(SPOT_Import!$A$1:$Z$2488,1579,'Live Data'!$C$22)),"")</f>
        <v/>
      </c>
      <c r="L1579" s="55" t="str">
        <f t="shared" si="48"/>
        <v/>
      </c>
      <c r="M1579" s="55" t="str">
        <f t="shared" si="49"/>
        <v/>
      </c>
      <c r="N1579" s="55" t="str">
        <f>IF(A1579="","",IFERROR(INDEX('Cluster Map'!$A$4:$A$38,MATCH(M1579,'Cluster Map'!$B$4:$B$38,0)),"Unmapped"))</f>
        <v/>
      </c>
      <c r="O1579" s="55">
        <f>IF(A1579="",0,IF(COUNTIFS($A$2:A1579,A1579,$F$2:F1579,F1579,$L$2:L1579,L1579)=1,1,0))</f>
        <v>0</v>
      </c>
      <c r="P1579" s="55">
        <f>IF(A1579="",0,IF(AND(F1579="C&amp;T",COUNTIFS($A$2:A1579,A1579,$F$2:F1579,"C&amp;T")=1),1,0))</f>
        <v>0</v>
      </c>
    </row>
    <row r="1580" spans="1:16" x14ac:dyDescent="0.35">
      <c r="A1580" s="54" t="str">
        <f>IFERROR(IF(INDEX(SPOT_Import!$A$1:$Z$2488,1580,'Live Data'!$C$12)="","",INDEX(SPOT_Import!$A$1:$Z$2488,1580,'Live Data'!$C$12)),"")</f>
        <v/>
      </c>
      <c r="B1580" s="54" t="str">
        <f>IFERROR(IF(INDEX(SPOT_Import!$A$1:$Z$2488,1580,'Live Data'!$C$13)="","",INDEX(SPOT_Import!$A$1:$Z$2488,1580,'Live Data'!$C$13)),"")</f>
        <v/>
      </c>
      <c r="C1580" s="54" t="str">
        <f>IFERROR(IF(INDEX(SPOT_Import!$A$1:$Z$2488,1580,'Live Data'!$C$14)="","",INDEX(SPOT_Import!$A$1:$Z$2488,1580,'Live Data'!$C$14)),"")</f>
        <v/>
      </c>
      <c r="D1580" s="54" t="str">
        <f>IFERROR(IF(INDEX(SPOT_Import!$A$1:$Z$2488,1580,'Live Data'!$C$15)="","",INDEX(SPOT_Import!$A$1:$Z$2488,1580,'Live Data'!$C$15)),"")</f>
        <v/>
      </c>
      <c r="E1580" s="54" t="str">
        <f>IFERROR(IF(INDEX(SPOT_Import!$A$1:$Z$2488,1580,'Live Data'!$C$16)="","",INDEX(SPOT_Import!$A$1:$Z$2488,1580,'Live Data'!$C$16)),"")</f>
        <v/>
      </c>
      <c r="F1580" s="54" t="str">
        <f>IFERROR(IF(INDEX(SPOT_Import!$A$1:$Z$2488,1580,'Live Data'!$C$17)="","",INDEX(SPOT_Import!$A$1:$Z$2488,1580,'Live Data'!$C$17)),"")</f>
        <v/>
      </c>
      <c r="G1580" s="54" t="str">
        <f>IFERROR(IF(INDEX(SPOT_Import!$A$1:$Z$2488,1580,'Live Data'!$C$18)="","",INDEX(SPOT_Import!$A$1:$Z$2488,1580,'Live Data'!$C$18)),"")</f>
        <v/>
      </c>
      <c r="H1580" s="54" t="str">
        <f>IFERROR(IF(INDEX(SPOT_Import!$A$1:$Z$2488,1580,'Live Data'!$C$19)="","",INDEX(SPOT_Import!$A$1:$Z$2488,1580,'Live Data'!$C$19)),"")</f>
        <v/>
      </c>
      <c r="I1580" s="54" t="str">
        <f>IFERROR(IF(INDEX(SPOT_Import!$A$1:$Z$2488,1580,'Live Data'!$C$20)="","",INDEX(SPOT_Import!$A$1:$Z$2488,1580,'Live Data'!$C$20)),"")</f>
        <v/>
      </c>
      <c r="J1580" s="54" t="str">
        <f>IFERROR(IF(INDEX(SPOT_Import!$A$1:$Z$2488,1580,'Live Data'!$C$21)="","",INDEX(SPOT_Import!$A$1:$Z$2488,1580,'Live Data'!$C$21)),"")</f>
        <v/>
      </c>
      <c r="K1580" s="54" t="str">
        <f>IFERROR(IF(INDEX(SPOT_Import!$A$1:$Z$2488,1580,'Live Data'!$C$22)="","",INDEX(SPOT_Import!$A$1:$Z$2488,1580,'Live Data'!$C$22)),"")</f>
        <v/>
      </c>
      <c r="L1580" s="55" t="str">
        <f t="shared" si="48"/>
        <v/>
      </c>
      <c r="M1580" s="55" t="str">
        <f t="shared" si="49"/>
        <v/>
      </c>
      <c r="N1580" s="55" t="str">
        <f>IF(A1580="","",IFERROR(INDEX('Cluster Map'!$A$4:$A$38,MATCH(M1580,'Cluster Map'!$B$4:$B$38,0)),"Unmapped"))</f>
        <v/>
      </c>
      <c r="O1580" s="55">
        <f>IF(A1580="",0,IF(COUNTIFS($A$2:A1580,A1580,$F$2:F1580,F1580,$L$2:L1580,L1580)=1,1,0))</f>
        <v>0</v>
      </c>
      <c r="P1580" s="55">
        <f>IF(A1580="",0,IF(AND(F1580="C&amp;T",COUNTIFS($A$2:A1580,A1580,$F$2:F1580,"C&amp;T")=1),1,0))</f>
        <v>0</v>
      </c>
    </row>
    <row r="1581" spans="1:16" x14ac:dyDescent="0.35">
      <c r="A1581" s="54" t="str">
        <f>IFERROR(IF(INDEX(SPOT_Import!$A$1:$Z$2488,1581,'Live Data'!$C$12)="","",INDEX(SPOT_Import!$A$1:$Z$2488,1581,'Live Data'!$C$12)),"")</f>
        <v/>
      </c>
      <c r="B1581" s="54" t="str">
        <f>IFERROR(IF(INDEX(SPOT_Import!$A$1:$Z$2488,1581,'Live Data'!$C$13)="","",INDEX(SPOT_Import!$A$1:$Z$2488,1581,'Live Data'!$C$13)),"")</f>
        <v/>
      </c>
      <c r="C1581" s="54" t="str">
        <f>IFERROR(IF(INDEX(SPOT_Import!$A$1:$Z$2488,1581,'Live Data'!$C$14)="","",INDEX(SPOT_Import!$A$1:$Z$2488,1581,'Live Data'!$C$14)),"")</f>
        <v/>
      </c>
      <c r="D1581" s="54" t="str">
        <f>IFERROR(IF(INDEX(SPOT_Import!$A$1:$Z$2488,1581,'Live Data'!$C$15)="","",INDEX(SPOT_Import!$A$1:$Z$2488,1581,'Live Data'!$C$15)),"")</f>
        <v/>
      </c>
      <c r="E1581" s="54" t="str">
        <f>IFERROR(IF(INDEX(SPOT_Import!$A$1:$Z$2488,1581,'Live Data'!$C$16)="","",INDEX(SPOT_Import!$A$1:$Z$2488,1581,'Live Data'!$C$16)),"")</f>
        <v/>
      </c>
      <c r="F1581" s="54" t="str">
        <f>IFERROR(IF(INDEX(SPOT_Import!$A$1:$Z$2488,1581,'Live Data'!$C$17)="","",INDEX(SPOT_Import!$A$1:$Z$2488,1581,'Live Data'!$C$17)),"")</f>
        <v/>
      </c>
      <c r="G1581" s="54" t="str">
        <f>IFERROR(IF(INDEX(SPOT_Import!$A$1:$Z$2488,1581,'Live Data'!$C$18)="","",INDEX(SPOT_Import!$A$1:$Z$2488,1581,'Live Data'!$C$18)),"")</f>
        <v/>
      </c>
      <c r="H1581" s="54" t="str">
        <f>IFERROR(IF(INDEX(SPOT_Import!$A$1:$Z$2488,1581,'Live Data'!$C$19)="","",INDEX(SPOT_Import!$A$1:$Z$2488,1581,'Live Data'!$C$19)),"")</f>
        <v/>
      </c>
      <c r="I1581" s="54" t="str">
        <f>IFERROR(IF(INDEX(SPOT_Import!$A$1:$Z$2488,1581,'Live Data'!$C$20)="","",INDEX(SPOT_Import!$A$1:$Z$2488,1581,'Live Data'!$C$20)),"")</f>
        <v/>
      </c>
      <c r="J1581" s="54" t="str">
        <f>IFERROR(IF(INDEX(SPOT_Import!$A$1:$Z$2488,1581,'Live Data'!$C$21)="","",INDEX(SPOT_Import!$A$1:$Z$2488,1581,'Live Data'!$C$21)),"")</f>
        <v/>
      </c>
      <c r="K1581" s="54" t="str">
        <f>IFERROR(IF(INDEX(SPOT_Import!$A$1:$Z$2488,1581,'Live Data'!$C$22)="","",INDEX(SPOT_Import!$A$1:$Z$2488,1581,'Live Data'!$C$22)),"")</f>
        <v/>
      </c>
      <c r="L1581" s="55" t="str">
        <f t="shared" si="48"/>
        <v/>
      </c>
      <c r="M1581" s="55" t="str">
        <f t="shared" si="49"/>
        <v/>
      </c>
      <c r="N1581" s="55" t="str">
        <f>IF(A1581="","",IFERROR(INDEX('Cluster Map'!$A$4:$A$38,MATCH(M1581,'Cluster Map'!$B$4:$B$38,0)),"Unmapped"))</f>
        <v/>
      </c>
      <c r="O1581" s="55">
        <f>IF(A1581="",0,IF(COUNTIFS($A$2:A1581,A1581,$F$2:F1581,F1581,$L$2:L1581,L1581)=1,1,0))</f>
        <v>0</v>
      </c>
      <c r="P1581" s="55">
        <f>IF(A1581="",0,IF(AND(F1581="C&amp;T",COUNTIFS($A$2:A1581,A1581,$F$2:F1581,"C&amp;T")=1),1,0))</f>
        <v>0</v>
      </c>
    </row>
    <row r="1582" spans="1:16" x14ac:dyDescent="0.35">
      <c r="A1582" s="54" t="str">
        <f>IFERROR(IF(INDEX(SPOT_Import!$A$1:$Z$2488,1582,'Live Data'!$C$12)="","",INDEX(SPOT_Import!$A$1:$Z$2488,1582,'Live Data'!$C$12)),"")</f>
        <v/>
      </c>
      <c r="B1582" s="54" t="str">
        <f>IFERROR(IF(INDEX(SPOT_Import!$A$1:$Z$2488,1582,'Live Data'!$C$13)="","",INDEX(SPOT_Import!$A$1:$Z$2488,1582,'Live Data'!$C$13)),"")</f>
        <v/>
      </c>
      <c r="C1582" s="54" t="str">
        <f>IFERROR(IF(INDEX(SPOT_Import!$A$1:$Z$2488,1582,'Live Data'!$C$14)="","",INDEX(SPOT_Import!$A$1:$Z$2488,1582,'Live Data'!$C$14)),"")</f>
        <v/>
      </c>
      <c r="D1582" s="54" t="str">
        <f>IFERROR(IF(INDEX(SPOT_Import!$A$1:$Z$2488,1582,'Live Data'!$C$15)="","",INDEX(SPOT_Import!$A$1:$Z$2488,1582,'Live Data'!$C$15)),"")</f>
        <v/>
      </c>
      <c r="E1582" s="54" t="str">
        <f>IFERROR(IF(INDEX(SPOT_Import!$A$1:$Z$2488,1582,'Live Data'!$C$16)="","",INDEX(SPOT_Import!$A$1:$Z$2488,1582,'Live Data'!$C$16)),"")</f>
        <v/>
      </c>
      <c r="F1582" s="54" t="str">
        <f>IFERROR(IF(INDEX(SPOT_Import!$A$1:$Z$2488,1582,'Live Data'!$C$17)="","",INDEX(SPOT_Import!$A$1:$Z$2488,1582,'Live Data'!$C$17)),"")</f>
        <v/>
      </c>
      <c r="G1582" s="54" t="str">
        <f>IFERROR(IF(INDEX(SPOT_Import!$A$1:$Z$2488,1582,'Live Data'!$C$18)="","",INDEX(SPOT_Import!$A$1:$Z$2488,1582,'Live Data'!$C$18)),"")</f>
        <v/>
      </c>
      <c r="H1582" s="54" t="str">
        <f>IFERROR(IF(INDEX(SPOT_Import!$A$1:$Z$2488,1582,'Live Data'!$C$19)="","",INDEX(SPOT_Import!$A$1:$Z$2488,1582,'Live Data'!$C$19)),"")</f>
        <v/>
      </c>
      <c r="I1582" s="54" t="str">
        <f>IFERROR(IF(INDEX(SPOT_Import!$A$1:$Z$2488,1582,'Live Data'!$C$20)="","",INDEX(SPOT_Import!$A$1:$Z$2488,1582,'Live Data'!$C$20)),"")</f>
        <v/>
      </c>
      <c r="J1582" s="54" t="str">
        <f>IFERROR(IF(INDEX(SPOT_Import!$A$1:$Z$2488,1582,'Live Data'!$C$21)="","",INDEX(SPOT_Import!$A$1:$Z$2488,1582,'Live Data'!$C$21)),"")</f>
        <v/>
      </c>
      <c r="K1582" s="54" t="str">
        <f>IFERROR(IF(INDEX(SPOT_Import!$A$1:$Z$2488,1582,'Live Data'!$C$22)="","",INDEX(SPOT_Import!$A$1:$Z$2488,1582,'Live Data'!$C$22)),"")</f>
        <v/>
      </c>
      <c r="L1582" s="55" t="str">
        <f t="shared" si="48"/>
        <v/>
      </c>
      <c r="M1582" s="55" t="str">
        <f t="shared" si="49"/>
        <v/>
      </c>
      <c r="N1582" s="55" t="str">
        <f>IF(A1582="","",IFERROR(INDEX('Cluster Map'!$A$4:$A$38,MATCH(M1582,'Cluster Map'!$B$4:$B$38,0)),"Unmapped"))</f>
        <v/>
      </c>
      <c r="O1582" s="55">
        <f>IF(A1582="",0,IF(COUNTIFS($A$2:A1582,A1582,$F$2:F1582,F1582,$L$2:L1582,L1582)=1,1,0))</f>
        <v>0</v>
      </c>
      <c r="P1582" s="55">
        <f>IF(A1582="",0,IF(AND(F1582="C&amp;T",COUNTIFS($A$2:A1582,A1582,$F$2:F1582,"C&amp;T")=1),1,0))</f>
        <v>0</v>
      </c>
    </row>
    <row r="1583" spans="1:16" x14ac:dyDescent="0.35">
      <c r="A1583" s="54" t="str">
        <f>IFERROR(IF(INDEX(SPOT_Import!$A$1:$Z$2488,1583,'Live Data'!$C$12)="","",INDEX(SPOT_Import!$A$1:$Z$2488,1583,'Live Data'!$C$12)),"")</f>
        <v/>
      </c>
      <c r="B1583" s="54" t="str">
        <f>IFERROR(IF(INDEX(SPOT_Import!$A$1:$Z$2488,1583,'Live Data'!$C$13)="","",INDEX(SPOT_Import!$A$1:$Z$2488,1583,'Live Data'!$C$13)),"")</f>
        <v/>
      </c>
      <c r="C1583" s="54" t="str">
        <f>IFERROR(IF(INDEX(SPOT_Import!$A$1:$Z$2488,1583,'Live Data'!$C$14)="","",INDEX(SPOT_Import!$A$1:$Z$2488,1583,'Live Data'!$C$14)),"")</f>
        <v/>
      </c>
      <c r="D1583" s="54" t="str">
        <f>IFERROR(IF(INDEX(SPOT_Import!$A$1:$Z$2488,1583,'Live Data'!$C$15)="","",INDEX(SPOT_Import!$A$1:$Z$2488,1583,'Live Data'!$C$15)),"")</f>
        <v/>
      </c>
      <c r="E1583" s="54" t="str">
        <f>IFERROR(IF(INDEX(SPOT_Import!$A$1:$Z$2488,1583,'Live Data'!$C$16)="","",INDEX(SPOT_Import!$A$1:$Z$2488,1583,'Live Data'!$C$16)),"")</f>
        <v/>
      </c>
      <c r="F1583" s="54" t="str">
        <f>IFERROR(IF(INDEX(SPOT_Import!$A$1:$Z$2488,1583,'Live Data'!$C$17)="","",INDEX(SPOT_Import!$A$1:$Z$2488,1583,'Live Data'!$C$17)),"")</f>
        <v/>
      </c>
      <c r="G1583" s="54" t="str">
        <f>IFERROR(IF(INDEX(SPOT_Import!$A$1:$Z$2488,1583,'Live Data'!$C$18)="","",INDEX(SPOT_Import!$A$1:$Z$2488,1583,'Live Data'!$C$18)),"")</f>
        <v/>
      </c>
      <c r="H1583" s="54" t="str">
        <f>IFERROR(IF(INDEX(SPOT_Import!$A$1:$Z$2488,1583,'Live Data'!$C$19)="","",INDEX(SPOT_Import!$A$1:$Z$2488,1583,'Live Data'!$C$19)),"")</f>
        <v/>
      </c>
      <c r="I1583" s="54" t="str">
        <f>IFERROR(IF(INDEX(SPOT_Import!$A$1:$Z$2488,1583,'Live Data'!$C$20)="","",INDEX(SPOT_Import!$A$1:$Z$2488,1583,'Live Data'!$C$20)),"")</f>
        <v/>
      </c>
      <c r="J1583" s="54" t="str">
        <f>IFERROR(IF(INDEX(SPOT_Import!$A$1:$Z$2488,1583,'Live Data'!$C$21)="","",INDEX(SPOT_Import!$A$1:$Z$2488,1583,'Live Data'!$C$21)),"")</f>
        <v/>
      </c>
      <c r="K1583" s="54" t="str">
        <f>IFERROR(IF(INDEX(SPOT_Import!$A$1:$Z$2488,1583,'Live Data'!$C$22)="","",INDEX(SPOT_Import!$A$1:$Z$2488,1583,'Live Data'!$C$22)),"")</f>
        <v/>
      </c>
      <c r="L1583" s="55" t="str">
        <f t="shared" si="48"/>
        <v/>
      </c>
      <c r="M1583" s="55" t="str">
        <f t="shared" si="49"/>
        <v/>
      </c>
      <c r="N1583" s="55" t="str">
        <f>IF(A1583="","",IFERROR(INDEX('Cluster Map'!$A$4:$A$38,MATCH(M1583,'Cluster Map'!$B$4:$B$38,0)),"Unmapped"))</f>
        <v/>
      </c>
      <c r="O1583" s="55">
        <f>IF(A1583="",0,IF(COUNTIFS($A$2:A1583,A1583,$F$2:F1583,F1583,$L$2:L1583,L1583)=1,1,0))</f>
        <v>0</v>
      </c>
      <c r="P1583" s="55">
        <f>IF(A1583="",0,IF(AND(F1583="C&amp;T",COUNTIFS($A$2:A1583,A1583,$F$2:F1583,"C&amp;T")=1),1,0))</f>
        <v>0</v>
      </c>
    </row>
    <row r="1584" spans="1:16" x14ac:dyDescent="0.35">
      <c r="A1584" s="54" t="str">
        <f>IFERROR(IF(INDEX(SPOT_Import!$A$1:$Z$2488,1584,'Live Data'!$C$12)="","",INDEX(SPOT_Import!$A$1:$Z$2488,1584,'Live Data'!$C$12)),"")</f>
        <v/>
      </c>
      <c r="B1584" s="54" t="str">
        <f>IFERROR(IF(INDEX(SPOT_Import!$A$1:$Z$2488,1584,'Live Data'!$C$13)="","",INDEX(SPOT_Import!$A$1:$Z$2488,1584,'Live Data'!$C$13)),"")</f>
        <v/>
      </c>
      <c r="C1584" s="54" t="str">
        <f>IFERROR(IF(INDEX(SPOT_Import!$A$1:$Z$2488,1584,'Live Data'!$C$14)="","",INDEX(SPOT_Import!$A$1:$Z$2488,1584,'Live Data'!$C$14)),"")</f>
        <v/>
      </c>
      <c r="D1584" s="54" t="str">
        <f>IFERROR(IF(INDEX(SPOT_Import!$A$1:$Z$2488,1584,'Live Data'!$C$15)="","",INDEX(SPOT_Import!$A$1:$Z$2488,1584,'Live Data'!$C$15)),"")</f>
        <v/>
      </c>
      <c r="E1584" s="54" t="str">
        <f>IFERROR(IF(INDEX(SPOT_Import!$A$1:$Z$2488,1584,'Live Data'!$C$16)="","",INDEX(SPOT_Import!$A$1:$Z$2488,1584,'Live Data'!$C$16)),"")</f>
        <v/>
      </c>
      <c r="F1584" s="54" t="str">
        <f>IFERROR(IF(INDEX(SPOT_Import!$A$1:$Z$2488,1584,'Live Data'!$C$17)="","",INDEX(SPOT_Import!$A$1:$Z$2488,1584,'Live Data'!$C$17)),"")</f>
        <v/>
      </c>
      <c r="G1584" s="54" t="str">
        <f>IFERROR(IF(INDEX(SPOT_Import!$A$1:$Z$2488,1584,'Live Data'!$C$18)="","",INDEX(SPOT_Import!$A$1:$Z$2488,1584,'Live Data'!$C$18)),"")</f>
        <v/>
      </c>
      <c r="H1584" s="54" t="str">
        <f>IFERROR(IF(INDEX(SPOT_Import!$A$1:$Z$2488,1584,'Live Data'!$C$19)="","",INDEX(SPOT_Import!$A$1:$Z$2488,1584,'Live Data'!$C$19)),"")</f>
        <v/>
      </c>
      <c r="I1584" s="54" t="str">
        <f>IFERROR(IF(INDEX(SPOT_Import!$A$1:$Z$2488,1584,'Live Data'!$C$20)="","",INDEX(SPOT_Import!$A$1:$Z$2488,1584,'Live Data'!$C$20)),"")</f>
        <v/>
      </c>
      <c r="J1584" s="54" t="str">
        <f>IFERROR(IF(INDEX(SPOT_Import!$A$1:$Z$2488,1584,'Live Data'!$C$21)="","",INDEX(SPOT_Import!$A$1:$Z$2488,1584,'Live Data'!$C$21)),"")</f>
        <v/>
      </c>
      <c r="K1584" s="54" t="str">
        <f>IFERROR(IF(INDEX(SPOT_Import!$A$1:$Z$2488,1584,'Live Data'!$C$22)="","",INDEX(SPOT_Import!$A$1:$Z$2488,1584,'Live Data'!$C$22)),"")</f>
        <v/>
      </c>
      <c r="L1584" s="55" t="str">
        <f t="shared" si="48"/>
        <v/>
      </c>
      <c r="M1584" s="55" t="str">
        <f t="shared" si="49"/>
        <v/>
      </c>
      <c r="N1584" s="55" t="str">
        <f>IF(A1584="","",IFERROR(INDEX('Cluster Map'!$A$4:$A$38,MATCH(M1584,'Cluster Map'!$B$4:$B$38,0)),"Unmapped"))</f>
        <v/>
      </c>
      <c r="O1584" s="55">
        <f>IF(A1584="",0,IF(COUNTIFS($A$2:A1584,A1584,$F$2:F1584,F1584,$L$2:L1584,L1584)=1,1,0))</f>
        <v>0</v>
      </c>
      <c r="P1584" s="55">
        <f>IF(A1584="",0,IF(AND(F1584="C&amp;T",COUNTIFS($A$2:A1584,A1584,$F$2:F1584,"C&amp;T")=1),1,0))</f>
        <v>0</v>
      </c>
    </row>
    <row r="1585" spans="1:16" x14ac:dyDescent="0.35">
      <c r="A1585" s="54" t="str">
        <f>IFERROR(IF(INDEX(SPOT_Import!$A$1:$Z$2488,1585,'Live Data'!$C$12)="","",INDEX(SPOT_Import!$A$1:$Z$2488,1585,'Live Data'!$C$12)),"")</f>
        <v/>
      </c>
      <c r="B1585" s="54" t="str">
        <f>IFERROR(IF(INDEX(SPOT_Import!$A$1:$Z$2488,1585,'Live Data'!$C$13)="","",INDEX(SPOT_Import!$A$1:$Z$2488,1585,'Live Data'!$C$13)),"")</f>
        <v/>
      </c>
      <c r="C1585" s="54" t="str">
        <f>IFERROR(IF(INDEX(SPOT_Import!$A$1:$Z$2488,1585,'Live Data'!$C$14)="","",INDEX(SPOT_Import!$A$1:$Z$2488,1585,'Live Data'!$C$14)),"")</f>
        <v/>
      </c>
      <c r="D1585" s="54" t="str">
        <f>IFERROR(IF(INDEX(SPOT_Import!$A$1:$Z$2488,1585,'Live Data'!$C$15)="","",INDEX(SPOT_Import!$A$1:$Z$2488,1585,'Live Data'!$C$15)),"")</f>
        <v/>
      </c>
      <c r="E1585" s="54" t="str">
        <f>IFERROR(IF(INDEX(SPOT_Import!$A$1:$Z$2488,1585,'Live Data'!$C$16)="","",INDEX(SPOT_Import!$A$1:$Z$2488,1585,'Live Data'!$C$16)),"")</f>
        <v/>
      </c>
      <c r="F1585" s="54" t="str">
        <f>IFERROR(IF(INDEX(SPOT_Import!$A$1:$Z$2488,1585,'Live Data'!$C$17)="","",INDEX(SPOT_Import!$A$1:$Z$2488,1585,'Live Data'!$C$17)),"")</f>
        <v/>
      </c>
      <c r="G1585" s="54" t="str">
        <f>IFERROR(IF(INDEX(SPOT_Import!$A$1:$Z$2488,1585,'Live Data'!$C$18)="","",INDEX(SPOT_Import!$A$1:$Z$2488,1585,'Live Data'!$C$18)),"")</f>
        <v/>
      </c>
      <c r="H1585" s="54" t="str">
        <f>IFERROR(IF(INDEX(SPOT_Import!$A$1:$Z$2488,1585,'Live Data'!$C$19)="","",INDEX(SPOT_Import!$A$1:$Z$2488,1585,'Live Data'!$C$19)),"")</f>
        <v/>
      </c>
      <c r="I1585" s="54" t="str">
        <f>IFERROR(IF(INDEX(SPOT_Import!$A$1:$Z$2488,1585,'Live Data'!$C$20)="","",INDEX(SPOT_Import!$A$1:$Z$2488,1585,'Live Data'!$C$20)),"")</f>
        <v/>
      </c>
      <c r="J1585" s="54" t="str">
        <f>IFERROR(IF(INDEX(SPOT_Import!$A$1:$Z$2488,1585,'Live Data'!$C$21)="","",INDEX(SPOT_Import!$A$1:$Z$2488,1585,'Live Data'!$C$21)),"")</f>
        <v/>
      </c>
      <c r="K1585" s="54" t="str">
        <f>IFERROR(IF(INDEX(SPOT_Import!$A$1:$Z$2488,1585,'Live Data'!$C$22)="","",INDEX(SPOT_Import!$A$1:$Z$2488,1585,'Live Data'!$C$22)),"")</f>
        <v/>
      </c>
      <c r="L1585" s="55" t="str">
        <f t="shared" si="48"/>
        <v/>
      </c>
      <c r="M1585" s="55" t="str">
        <f t="shared" si="49"/>
        <v/>
      </c>
      <c r="N1585" s="55" t="str">
        <f>IF(A1585="","",IFERROR(INDEX('Cluster Map'!$A$4:$A$38,MATCH(M1585,'Cluster Map'!$B$4:$B$38,0)),"Unmapped"))</f>
        <v/>
      </c>
      <c r="O1585" s="55">
        <f>IF(A1585="",0,IF(COUNTIFS($A$2:A1585,A1585,$F$2:F1585,F1585,$L$2:L1585,L1585)=1,1,0))</f>
        <v>0</v>
      </c>
      <c r="P1585" s="55">
        <f>IF(A1585="",0,IF(AND(F1585="C&amp;T",COUNTIFS($A$2:A1585,A1585,$F$2:F1585,"C&amp;T")=1),1,0))</f>
        <v>0</v>
      </c>
    </row>
    <row r="1586" spans="1:16" x14ac:dyDescent="0.35">
      <c r="A1586" s="54" t="str">
        <f>IFERROR(IF(INDEX(SPOT_Import!$A$1:$Z$2488,1586,'Live Data'!$C$12)="","",INDEX(SPOT_Import!$A$1:$Z$2488,1586,'Live Data'!$C$12)),"")</f>
        <v/>
      </c>
      <c r="B1586" s="54" t="str">
        <f>IFERROR(IF(INDEX(SPOT_Import!$A$1:$Z$2488,1586,'Live Data'!$C$13)="","",INDEX(SPOT_Import!$A$1:$Z$2488,1586,'Live Data'!$C$13)),"")</f>
        <v/>
      </c>
      <c r="C1586" s="54" t="str">
        <f>IFERROR(IF(INDEX(SPOT_Import!$A$1:$Z$2488,1586,'Live Data'!$C$14)="","",INDEX(SPOT_Import!$A$1:$Z$2488,1586,'Live Data'!$C$14)),"")</f>
        <v/>
      </c>
      <c r="D1586" s="54" t="str">
        <f>IFERROR(IF(INDEX(SPOT_Import!$A$1:$Z$2488,1586,'Live Data'!$C$15)="","",INDEX(SPOT_Import!$A$1:$Z$2488,1586,'Live Data'!$C$15)),"")</f>
        <v/>
      </c>
      <c r="E1586" s="54" t="str">
        <f>IFERROR(IF(INDEX(SPOT_Import!$A$1:$Z$2488,1586,'Live Data'!$C$16)="","",INDEX(SPOT_Import!$A$1:$Z$2488,1586,'Live Data'!$C$16)),"")</f>
        <v/>
      </c>
      <c r="F1586" s="54" t="str">
        <f>IFERROR(IF(INDEX(SPOT_Import!$A$1:$Z$2488,1586,'Live Data'!$C$17)="","",INDEX(SPOT_Import!$A$1:$Z$2488,1586,'Live Data'!$C$17)),"")</f>
        <v/>
      </c>
      <c r="G1586" s="54" t="str">
        <f>IFERROR(IF(INDEX(SPOT_Import!$A$1:$Z$2488,1586,'Live Data'!$C$18)="","",INDEX(SPOT_Import!$A$1:$Z$2488,1586,'Live Data'!$C$18)),"")</f>
        <v/>
      </c>
      <c r="H1586" s="54" t="str">
        <f>IFERROR(IF(INDEX(SPOT_Import!$A$1:$Z$2488,1586,'Live Data'!$C$19)="","",INDEX(SPOT_Import!$A$1:$Z$2488,1586,'Live Data'!$C$19)),"")</f>
        <v/>
      </c>
      <c r="I1586" s="54" t="str">
        <f>IFERROR(IF(INDEX(SPOT_Import!$A$1:$Z$2488,1586,'Live Data'!$C$20)="","",INDEX(SPOT_Import!$A$1:$Z$2488,1586,'Live Data'!$C$20)),"")</f>
        <v/>
      </c>
      <c r="J1586" s="54" t="str">
        <f>IFERROR(IF(INDEX(SPOT_Import!$A$1:$Z$2488,1586,'Live Data'!$C$21)="","",INDEX(SPOT_Import!$A$1:$Z$2488,1586,'Live Data'!$C$21)),"")</f>
        <v/>
      </c>
      <c r="K1586" s="54" t="str">
        <f>IFERROR(IF(INDEX(SPOT_Import!$A$1:$Z$2488,1586,'Live Data'!$C$22)="","",INDEX(SPOT_Import!$A$1:$Z$2488,1586,'Live Data'!$C$22)),"")</f>
        <v/>
      </c>
      <c r="L1586" s="55" t="str">
        <f t="shared" si="48"/>
        <v/>
      </c>
      <c r="M1586" s="55" t="str">
        <f t="shared" si="49"/>
        <v/>
      </c>
      <c r="N1586" s="55" t="str">
        <f>IF(A1586="","",IFERROR(INDEX('Cluster Map'!$A$4:$A$38,MATCH(M1586,'Cluster Map'!$B$4:$B$38,0)),"Unmapped"))</f>
        <v/>
      </c>
      <c r="O1586" s="55">
        <f>IF(A1586="",0,IF(COUNTIFS($A$2:A1586,A1586,$F$2:F1586,F1586,$L$2:L1586,L1586)=1,1,0))</f>
        <v>0</v>
      </c>
      <c r="P1586" s="55">
        <f>IF(A1586="",0,IF(AND(F1586="C&amp;T",COUNTIFS($A$2:A1586,A1586,$F$2:F1586,"C&amp;T")=1),1,0))</f>
        <v>0</v>
      </c>
    </row>
    <row r="1587" spans="1:16" x14ac:dyDescent="0.35">
      <c r="A1587" s="54" t="str">
        <f>IFERROR(IF(INDEX(SPOT_Import!$A$1:$Z$2488,1587,'Live Data'!$C$12)="","",INDEX(SPOT_Import!$A$1:$Z$2488,1587,'Live Data'!$C$12)),"")</f>
        <v/>
      </c>
      <c r="B1587" s="54" t="str">
        <f>IFERROR(IF(INDEX(SPOT_Import!$A$1:$Z$2488,1587,'Live Data'!$C$13)="","",INDEX(SPOT_Import!$A$1:$Z$2488,1587,'Live Data'!$C$13)),"")</f>
        <v/>
      </c>
      <c r="C1587" s="54" t="str">
        <f>IFERROR(IF(INDEX(SPOT_Import!$A$1:$Z$2488,1587,'Live Data'!$C$14)="","",INDEX(SPOT_Import!$A$1:$Z$2488,1587,'Live Data'!$C$14)),"")</f>
        <v/>
      </c>
      <c r="D1587" s="54" t="str">
        <f>IFERROR(IF(INDEX(SPOT_Import!$A$1:$Z$2488,1587,'Live Data'!$C$15)="","",INDEX(SPOT_Import!$A$1:$Z$2488,1587,'Live Data'!$C$15)),"")</f>
        <v/>
      </c>
      <c r="E1587" s="54" t="str">
        <f>IFERROR(IF(INDEX(SPOT_Import!$A$1:$Z$2488,1587,'Live Data'!$C$16)="","",INDEX(SPOT_Import!$A$1:$Z$2488,1587,'Live Data'!$C$16)),"")</f>
        <v/>
      </c>
      <c r="F1587" s="54" t="str">
        <f>IFERROR(IF(INDEX(SPOT_Import!$A$1:$Z$2488,1587,'Live Data'!$C$17)="","",INDEX(SPOT_Import!$A$1:$Z$2488,1587,'Live Data'!$C$17)),"")</f>
        <v/>
      </c>
      <c r="G1587" s="54" t="str">
        <f>IFERROR(IF(INDEX(SPOT_Import!$A$1:$Z$2488,1587,'Live Data'!$C$18)="","",INDEX(SPOT_Import!$A$1:$Z$2488,1587,'Live Data'!$C$18)),"")</f>
        <v/>
      </c>
      <c r="H1587" s="54" t="str">
        <f>IFERROR(IF(INDEX(SPOT_Import!$A$1:$Z$2488,1587,'Live Data'!$C$19)="","",INDEX(SPOT_Import!$A$1:$Z$2488,1587,'Live Data'!$C$19)),"")</f>
        <v/>
      </c>
      <c r="I1587" s="54" t="str">
        <f>IFERROR(IF(INDEX(SPOT_Import!$A$1:$Z$2488,1587,'Live Data'!$C$20)="","",INDEX(SPOT_Import!$A$1:$Z$2488,1587,'Live Data'!$C$20)),"")</f>
        <v/>
      </c>
      <c r="J1587" s="54" t="str">
        <f>IFERROR(IF(INDEX(SPOT_Import!$A$1:$Z$2488,1587,'Live Data'!$C$21)="","",INDEX(SPOT_Import!$A$1:$Z$2488,1587,'Live Data'!$C$21)),"")</f>
        <v/>
      </c>
      <c r="K1587" s="54" t="str">
        <f>IFERROR(IF(INDEX(SPOT_Import!$A$1:$Z$2488,1587,'Live Data'!$C$22)="","",INDEX(SPOT_Import!$A$1:$Z$2488,1587,'Live Data'!$C$22)),"")</f>
        <v/>
      </c>
      <c r="L1587" s="55" t="str">
        <f t="shared" si="48"/>
        <v/>
      </c>
      <c r="M1587" s="55" t="str">
        <f t="shared" si="49"/>
        <v/>
      </c>
      <c r="N1587" s="55" t="str">
        <f>IF(A1587="","",IFERROR(INDEX('Cluster Map'!$A$4:$A$38,MATCH(M1587,'Cluster Map'!$B$4:$B$38,0)),"Unmapped"))</f>
        <v/>
      </c>
      <c r="O1587" s="55">
        <f>IF(A1587="",0,IF(COUNTIFS($A$2:A1587,A1587,$F$2:F1587,F1587,$L$2:L1587,L1587)=1,1,0))</f>
        <v>0</v>
      </c>
      <c r="P1587" s="55">
        <f>IF(A1587="",0,IF(AND(F1587="C&amp;T",COUNTIFS($A$2:A1587,A1587,$F$2:F1587,"C&amp;T")=1),1,0))</f>
        <v>0</v>
      </c>
    </row>
    <row r="1588" spans="1:16" x14ac:dyDescent="0.35">
      <c r="A1588" s="54" t="str">
        <f>IFERROR(IF(INDEX(SPOT_Import!$A$1:$Z$2488,1588,'Live Data'!$C$12)="","",INDEX(SPOT_Import!$A$1:$Z$2488,1588,'Live Data'!$C$12)),"")</f>
        <v/>
      </c>
      <c r="B1588" s="54" t="str">
        <f>IFERROR(IF(INDEX(SPOT_Import!$A$1:$Z$2488,1588,'Live Data'!$C$13)="","",INDEX(SPOT_Import!$A$1:$Z$2488,1588,'Live Data'!$C$13)),"")</f>
        <v/>
      </c>
      <c r="C1588" s="54" t="str">
        <f>IFERROR(IF(INDEX(SPOT_Import!$A$1:$Z$2488,1588,'Live Data'!$C$14)="","",INDEX(SPOT_Import!$A$1:$Z$2488,1588,'Live Data'!$C$14)),"")</f>
        <v/>
      </c>
      <c r="D1588" s="54" t="str">
        <f>IFERROR(IF(INDEX(SPOT_Import!$A$1:$Z$2488,1588,'Live Data'!$C$15)="","",INDEX(SPOT_Import!$A$1:$Z$2488,1588,'Live Data'!$C$15)),"")</f>
        <v/>
      </c>
      <c r="E1588" s="54" t="str">
        <f>IFERROR(IF(INDEX(SPOT_Import!$A$1:$Z$2488,1588,'Live Data'!$C$16)="","",INDEX(SPOT_Import!$A$1:$Z$2488,1588,'Live Data'!$C$16)),"")</f>
        <v/>
      </c>
      <c r="F1588" s="54" t="str">
        <f>IFERROR(IF(INDEX(SPOT_Import!$A$1:$Z$2488,1588,'Live Data'!$C$17)="","",INDEX(SPOT_Import!$A$1:$Z$2488,1588,'Live Data'!$C$17)),"")</f>
        <v/>
      </c>
      <c r="G1588" s="54" t="str">
        <f>IFERROR(IF(INDEX(SPOT_Import!$A$1:$Z$2488,1588,'Live Data'!$C$18)="","",INDEX(SPOT_Import!$A$1:$Z$2488,1588,'Live Data'!$C$18)),"")</f>
        <v/>
      </c>
      <c r="H1588" s="54" t="str">
        <f>IFERROR(IF(INDEX(SPOT_Import!$A$1:$Z$2488,1588,'Live Data'!$C$19)="","",INDEX(SPOT_Import!$A$1:$Z$2488,1588,'Live Data'!$C$19)),"")</f>
        <v/>
      </c>
      <c r="I1588" s="54" t="str">
        <f>IFERROR(IF(INDEX(SPOT_Import!$A$1:$Z$2488,1588,'Live Data'!$C$20)="","",INDEX(SPOT_Import!$A$1:$Z$2488,1588,'Live Data'!$C$20)),"")</f>
        <v/>
      </c>
      <c r="J1588" s="54" t="str">
        <f>IFERROR(IF(INDEX(SPOT_Import!$A$1:$Z$2488,1588,'Live Data'!$C$21)="","",INDEX(SPOT_Import!$A$1:$Z$2488,1588,'Live Data'!$C$21)),"")</f>
        <v/>
      </c>
      <c r="K1588" s="54" t="str">
        <f>IFERROR(IF(INDEX(SPOT_Import!$A$1:$Z$2488,1588,'Live Data'!$C$22)="","",INDEX(SPOT_Import!$A$1:$Z$2488,1588,'Live Data'!$C$22)),"")</f>
        <v/>
      </c>
      <c r="L1588" s="55" t="str">
        <f t="shared" si="48"/>
        <v/>
      </c>
      <c r="M1588" s="55" t="str">
        <f t="shared" si="49"/>
        <v/>
      </c>
      <c r="N1588" s="55" t="str">
        <f>IF(A1588="","",IFERROR(INDEX('Cluster Map'!$A$4:$A$38,MATCH(M1588,'Cluster Map'!$B$4:$B$38,0)),"Unmapped"))</f>
        <v/>
      </c>
      <c r="O1588" s="55">
        <f>IF(A1588="",0,IF(COUNTIFS($A$2:A1588,A1588,$F$2:F1588,F1588,$L$2:L1588,L1588)=1,1,0))</f>
        <v>0</v>
      </c>
      <c r="P1588" s="55">
        <f>IF(A1588="",0,IF(AND(F1588="C&amp;T",COUNTIFS($A$2:A1588,A1588,$F$2:F1588,"C&amp;T")=1),1,0))</f>
        <v>0</v>
      </c>
    </row>
    <row r="1589" spans="1:16" x14ac:dyDescent="0.35">
      <c r="A1589" s="54" t="str">
        <f>IFERROR(IF(INDEX(SPOT_Import!$A$1:$Z$2488,1589,'Live Data'!$C$12)="","",INDEX(SPOT_Import!$A$1:$Z$2488,1589,'Live Data'!$C$12)),"")</f>
        <v/>
      </c>
      <c r="B1589" s="54" t="str">
        <f>IFERROR(IF(INDEX(SPOT_Import!$A$1:$Z$2488,1589,'Live Data'!$C$13)="","",INDEX(SPOT_Import!$A$1:$Z$2488,1589,'Live Data'!$C$13)),"")</f>
        <v/>
      </c>
      <c r="C1589" s="54" t="str">
        <f>IFERROR(IF(INDEX(SPOT_Import!$A$1:$Z$2488,1589,'Live Data'!$C$14)="","",INDEX(SPOT_Import!$A$1:$Z$2488,1589,'Live Data'!$C$14)),"")</f>
        <v/>
      </c>
      <c r="D1589" s="54" t="str">
        <f>IFERROR(IF(INDEX(SPOT_Import!$A$1:$Z$2488,1589,'Live Data'!$C$15)="","",INDEX(SPOT_Import!$A$1:$Z$2488,1589,'Live Data'!$C$15)),"")</f>
        <v/>
      </c>
      <c r="E1589" s="54" t="str">
        <f>IFERROR(IF(INDEX(SPOT_Import!$A$1:$Z$2488,1589,'Live Data'!$C$16)="","",INDEX(SPOT_Import!$A$1:$Z$2488,1589,'Live Data'!$C$16)),"")</f>
        <v/>
      </c>
      <c r="F1589" s="54" t="str">
        <f>IFERROR(IF(INDEX(SPOT_Import!$A$1:$Z$2488,1589,'Live Data'!$C$17)="","",INDEX(SPOT_Import!$A$1:$Z$2488,1589,'Live Data'!$C$17)),"")</f>
        <v/>
      </c>
      <c r="G1589" s="54" t="str">
        <f>IFERROR(IF(INDEX(SPOT_Import!$A$1:$Z$2488,1589,'Live Data'!$C$18)="","",INDEX(SPOT_Import!$A$1:$Z$2488,1589,'Live Data'!$C$18)),"")</f>
        <v/>
      </c>
      <c r="H1589" s="54" t="str">
        <f>IFERROR(IF(INDEX(SPOT_Import!$A$1:$Z$2488,1589,'Live Data'!$C$19)="","",INDEX(SPOT_Import!$A$1:$Z$2488,1589,'Live Data'!$C$19)),"")</f>
        <v/>
      </c>
      <c r="I1589" s="54" t="str">
        <f>IFERROR(IF(INDEX(SPOT_Import!$A$1:$Z$2488,1589,'Live Data'!$C$20)="","",INDEX(SPOT_Import!$A$1:$Z$2488,1589,'Live Data'!$C$20)),"")</f>
        <v/>
      </c>
      <c r="J1589" s="54" t="str">
        <f>IFERROR(IF(INDEX(SPOT_Import!$A$1:$Z$2488,1589,'Live Data'!$C$21)="","",INDEX(SPOT_Import!$A$1:$Z$2488,1589,'Live Data'!$C$21)),"")</f>
        <v/>
      </c>
      <c r="K1589" s="54" t="str">
        <f>IFERROR(IF(INDEX(SPOT_Import!$A$1:$Z$2488,1589,'Live Data'!$C$22)="","",INDEX(SPOT_Import!$A$1:$Z$2488,1589,'Live Data'!$C$22)),"")</f>
        <v/>
      </c>
      <c r="L1589" s="55" t="str">
        <f t="shared" si="48"/>
        <v/>
      </c>
      <c r="M1589" s="55" t="str">
        <f t="shared" si="49"/>
        <v/>
      </c>
      <c r="N1589" s="55" t="str">
        <f>IF(A1589="","",IFERROR(INDEX('Cluster Map'!$A$4:$A$38,MATCH(M1589,'Cluster Map'!$B$4:$B$38,0)),"Unmapped"))</f>
        <v/>
      </c>
      <c r="O1589" s="55">
        <f>IF(A1589="",0,IF(COUNTIFS($A$2:A1589,A1589,$F$2:F1589,F1589,$L$2:L1589,L1589)=1,1,0))</f>
        <v>0</v>
      </c>
      <c r="P1589" s="55">
        <f>IF(A1589="",0,IF(AND(F1589="C&amp;T",COUNTIFS($A$2:A1589,A1589,$F$2:F1589,"C&amp;T")=1),1,0))</f>
        <v>0</v>
      </c>
    </row>
    <row r="1590" spans="1:16" x14ac:dyDescent="0.35">
      <c r="A1590" s="54" t="str">
        <f>IFERROR(IF(INDEX(SPOT_Import!$A$1:$Z$2488,1590,'Live Data'!$C$12)="","",INDEX(SPOT_Import!$A$1:$Z$2488,1590,'Live Data'!$C$12)),"")</f>
        <v/>
      </c>
      <c r="B1590" s="54" t="str">
        <f>IFERROR(IF(INDEX(SPOT_Import!$A$1:$Z$2488,1590,'Live Data'!$C$13)="","",INDEX(SPOT_Import!$A$1:$Z$2488,1590,'Live Data'!$C$13)),"")</f>
        <v/>
      </c>
      <c r="C1590" s="54" t="str">
        <f>IFERROR(IF(INDEX(SPOT_Import!$A$1:$Z$2488,1590,'Live Data'!$C$14)="","",INDEX(SPOT_Import!$A$1:$Z$2488,1590,'Live Data'!$C$14)),"")</f>
        <v/>
      </c>
      <c r="D1590" s="54" t="str">
        <f>IFERROR(IF(INDEX(SPOT_Import!$A$1:$Z$2488,1590,'Live Data'!$C$15)="","",INDEX(SPOT_Import!$A$1:$Z$2488,1590,'Live Data'!$C$15)),"")</f>
        <v/>
      </c>
      <c r="E1590" s="54" t="str">
        <f>IFERROR(IF(INDEX(SPOT_Import!$A$1:$Z$2488,1590,'Live Data'!$C$16)="","",INDEX(SPOT_Import!$A$1:$Z$2488,1590,'Live Data'!$C$16)),"")</f>
        <v/>
      </c>
      <c r="F1590" s="54" t="str">
        <f>IFERROR(IF(INDEX(SPOT_Import!$A$1:$Z$2488,1590,'Live Data'!$C$17)="","",INDEX(SPOT_Import!$A$1:$Z$2488,1590,'Live Data'!$C$17)),"")</f>
        <v/>
      </c>
      <c r="G1590" s="54" t="str">
        <f>IFERROR(IF(INDEX(SPOT_Import!$A$1:$Z$2488,1590,'Live Data'!$C$18)="","",INDEX(SPOT_Import!$A$1:$Z$2488,1590,'Live Data'!$C$18)),"")</f>
        <v/>
      </c>
      <c r="H1590" s="54" t="str">
        <f>IFERROR(IF(INDEX(SPOT_Import!$A$1:$Z$2488,1590,'Live Data'!$C$19)="","",INDEX(SPOT_Import!$A$1:$Z$2488,1590,'Live Data'!$C$19)),"")</f>
        <v/>
      </c>
      <c r="I1590" s="54" t="str">
        <f>IFERROR(IF(INDEX(SPOT_Import!$A$1:$Z$2488,1590,'Live Data'!$C$20)="","",INDEX(SPOT_Import!$A$1:$Z$2488,1590,'Live Data'!$C$20)),"")</f>
        <v/>
      </c>
      <c r="J1590" s="54" t="str">
        <f>IFERROR(IF(INDEX(SPOT_Import!$A$1:$Z$2488,1590,'Live Data'!$C$21)="","",INDEX(SPOT_Import!$A$1:$Z$2488,1590,'Live Data'!$C$21)),"")</f>
        <v/>
      </c>
      <c r="K1590" s="54" t="str">
        <f>IFERROR(IF(INDEX(SPOT_Import!$A$1:$Z$2488,1590,'Live Data'!$C$22)="","",INDEX(SPOT_Import!$A$1:$Z$2488,1590,'Live Data'!$C$22)),"")</f>
        <v/>
      </c>
      <c r="L1590" s="55" t="str">
        <f t="shared" si="48"/>
        <v/>
      </c>
      <c r="M1590" s="55" t="str">
        <f t="shared" si="49"/>
        <v/>
      </c>
      <c r="N1590" s="55" t="str">
        <f>IF(A1590="","",IFERROR(INDEX('Cluster Map'!$A$4:$A$38,MATCH(M1590,'Cluster Map'!$B$4:$B$38,0)),"Unmapped"))</f>
        <v/>
      </c>
      <c r="O1590" s="55">
        <f>IF(A1590="",0,IF(COUNTIFS($A$2:A1590,A1590,$F$2:F1590,F1590,$L$2:L1590,L1590)=1,1,0))</f>
        <v>0</v>
      </c>
      <c r="P1590" s="55">
        <f>IF(A1590="",0,IF(AND(F1590="C&amp;T",COUNTIFS($A$2:A1590,A1590,$F$2:F1590,"C&amp;T")=1),1,0))</f>
        <v>0</v>
      </c>
    </row>
    <row r="1591" spans="1:16" x14ac:dyDescent="0.35">
      <c r="A1591" s="54" t="str">
        <f>IFERROR(IF(INDEX(SPOT_Import!$A$1:$Z$2488,1591,'Live Data'!$C$12)="","",INDEX(SPOT_Import!$A$1:$Z$2488,1591,'Live Data'!$C$12)),"")</f>
        <v/>
      </c>
      <c r="B1591" s="54" t="str">
        <f>IFERROR(IF(INDEX(SPOT_Import!$A$1:$Z$2488,1591,'Live Data'!$C$13)="","",INDEX(SPOT_Import!$A$1:$Z$2488,1591,'Live Data'!$C$13)),"")</f>
        <v/>
      </c>
      <c r="C1591" s="54" t="str">
        <f>IFERROR(IF(INDEX(SPOT_Import!$A$1:$Z$2488,1591,'Live Data'!$C$14)="","",INDEX(SPOT_Import!$A$1:$Z$2488,1591,'Live Data'!$C$14)),"")</f>
        <v/>
      </c>
      <c r="D1591" s="54" t="str">
        <f>IFERROR(IF(INDEX(SPOT_Import!$A$1:$Z$2488,1591,'Live Data'!$C$15)="","",INDEX(SPOT_Import!$A$1:$Z$2488,1591,'Live Data'!$C$15)),"")</f>
        <v/>
      </c>
      <c r="E1591" s="54" t="str">
        <f>IFERROR(IF(INDEX(SPOT_Import!$A$1:$Z$2488,1591,'Live Data'!$C$16)="","",INDEX(SPOT_Import!$A$1:$Z$2488,1591,'Live Data'!$C$16)),"")</f>
        <v/>
      </c>
      <c r="F1591" s="54" t="str">
        <f>IFERROR(IF(INDEX(SPOT_Import!$A$1:$Z$2488,1591,'Live Data'!$C$17)="","",INDEX(SPOT_Import!$A$1:$Z$2488,1591,'Live Data'!$C$17)),"")</f>
        <v/>
      </c>
      <c r="G1591" s="54" t="str">
        <f>IFERROR(IF(INDEX(SPOT_Import!$A$1:$Z$2488,1591,'Live Data'!$C$18)="","",INDEX(SPOT_Import!$A$1:$Z$2488,1591,'Live Data'!$C$18)),"")</f>
        <v/>
      </c>
      <c r="H1591" s="54" t="str">
        <f>IFERROR(IF(INDEX(SPOT_Import!$A$1:$Z$2488,1591,'Live Data'!$C$19)="","",INDEX(SPOT_Import!$A$1:$Z$2488,1591,'Live Data'!$C$19)),"")</f>
        <v/>
      </c>
      <c r="I1591" s="54" t="str">
        <f>IFERROR(IF(INDEX(SPOT_Import!$A$1:$Z$2488,1591,'Live Data'!$C$20)="","",INDEX(SPOT_Import!$A$1:$Z$2488,1591,'Live Data'!$C$20)),"")</f>
        <v/>
      </c>
      <c r="J1591" s="54" t="str">
        <f>IFERROR(IF(INDEX(SPOT_Import!$A$1:$Z$2488,1591,'Live Data'!$C$21)="","",INDEX(SPOT_Import!$A$1:$Z$2488,1591,'Live Data'!$C$21)),"")</f>
        <v/>
      </c>
      <c r="K1591" s="54" t="str">
        <f>IFERROR(IF(INDEX(SPOT_Import!$A$1:$Z$2488,1591,'Live Data'!$C$22)="","",INDEX(SPOT_Import!$A$1:$Z$2488,1591,'Live Data'!$C$22)),"")</f>
        <v/>
      </c>
      <c r="L1591" s="55" t="str">
        <f t="shared" si="48"/>
        <v/>
      </c>
      <c r="M1591" s="55" t="str">
        <f t="shared" si="49"/>
        <v/>
      </c>
      <c r="N1591" s="55" t="str">
        <f>IF(A1591="","",IFERROR(INDEX('Cluster Map'!$A$4:$A$38,MATCH(M1591,'Cluster Map'!$B$4:$B$38,0)),"Unmapped"))</f>
        <v/>
      </c>
      <c r="O1591" s="55">
        <f>IF(A1591="",0,IF(COUNTIFS($A$2:A1591,A1591,$F$2:F1591,F1591,$L$2:L1591,L1591)=1,1,0))</f>
        <v>0</v>
      </c>
      <c r="P1591" s="55">
        <f>IF(A1591="",0,IF(AND(F1591="C&amp;T",COUNTIFS($A$2:A1591,A1591,$F$2:F1591,"C&amp;T")=1),1,0))</f>
        <v>0</v>
      </c>
    </row>
    <row r="1592" spans="1:16" x14ac:dyDescent="0.35">
      <c r="A1592" s="54" t="str">
        <f>IFERROR(IF(INDEX(SPOT_Import!$A$1:$Z$2488,1592,'Live Data'!$C$12)="","",INDEX(SPOT_Import!$A$1:$Z$2488,1592,'Live Data'!$C$12)),"")</f>
        <v/>
      </c>
      <c r="B1592" s="54" t="str">
        <f>IFERROR(IF(INDEX(SPOT_Import!$A$1:$Z$2488,1592,'Live Data'!$C$13)="","",INDEX(SPOT_Import!$A$1:$Z$2488,1592,'Live Data'!$C$13)),"")</f>
        <v/>
      </c>
      <c r="C1592" s="54" t="str">
        <f>IFERROR(IF(INDEX(SPOT_Import!$A$1:$Z$2488,1592,'Live Data'!$C$14)="","",INDEX(SPOT_Import!$A$1:$Z$2488,1592,'Live Data'!$C$14)),"")</f>
        <v/>
      </c>
      <c r="D1592" s="54" t="str">
        <f>IFERROR(IF(INDEX(SPOT_Import!$A$1:$Z$2488,1592,'Live Data'!$C$15)="","",INDEX(SPOT_Import!$A$1:$Z$2488,1592,'Live Data'!$C$15)),"")</f>
        <v/>
      </c>
      <c r="E1592" s="54" t="str">
        <f>IFERROR(IF(INDEX(SPOT_Import!$A$1:$Z$2488,1592,'Live Data'!$C$16)="","",INDEX(SPOT_Import!$A$1:$Z$2488,1592,'Live Data'!$C$16)),"")</f>
        <v/>
      </c>
      <c r="F1592" s="54" t="str">
        <f>IFERROR(IF(INDEX(SPOT_Import!$A$1:$Z$2488,1592,'Live Data'!$C$17)="","",INDEX(SPOT_Import!$A$1:$Z$2488,1592,'Live Data'!$C$17)),"")</f>
        <v/>
      </c>
      <c r="G1592" s="54" t="str">
        <f>IFERROR(IF(INDEX(SPOT_Import!$A$1:$Z$2488,1592,'Live Data'!$C$18)="","",INDEX(SPOT_Import!$A$1:$Z$2488,1592,'Live Data'!$C$18)),"")</f>
        <v/>
      </c>
      <c r="H1592" s="54" t="str">
        <f>IFERROR(IF(INDEX(SPOT_Import!$A$1:$Z$2488,1592,'Live Data'!$C$19)="","",INDEX(SPOT_Import!$A$1:$Z$2488,1592,'Live Data'!$C$19)),"")</f>
        <v/>
      </c>
      <c r="I1592" s="54" t="str">
        <f>IFERROR(IF(INDEX(SPOT_Import!$A$1:$Z$2488,1592,'Live Data'!$C$20)="","",INDEX(SPOT_Import!$A$1:$Z$2488,1592,'Live Data'!$C$20)),"")</f>
        <v/>
      </c>
      <c r="J1592" s="54" t="str">
        <f>IFERROR(IF(INDEX(SPOT_Import!$A$1:$Z$2488,1592,'Live Data'!$C$21)="","",INDEX(SPOT_Import!$A$1:$Z$2488,1592,'Live Data'!$C$21)),"")</f>
        <v/>
      </c>
      <c r="K1592" s="54" t="str">
        <f>IFERROR(IF(INDEX(SPOT_Import!$A$1:$Z$2488,1592,'Live Data'!$C$22)="","",INDEX(SPOT_Import!$A$1:$Z$2488,1592,'Live Data'!$C$22)),"")</f>
        <v/>
      </c>
      <c r="L1592" s="55" t="str">
        <f t="shared" si="48"/>
        <v/>
      </c>
      <c r="M1592" s="55" t="str">
        <f t="shared" si="49"/>
        <v/>
      </c>
      <c r="N1592" s="55" t="str">
        <f>IF(A1592="","",IFERROR(INDEX('Cluster Map'!$A$4:$A$38,MATCH(M1592,'Cluster Map'!$B$4:$B$38,0)),"Unmapped"))</f>
        <v/>
      </c>
      <c r="O1592" s="55">
        <f>IF(A1592="",0,IF(COUNTIFS($A$2:A1592,A1592,$F$2:F1592,F1592,$L$2:L1592,L1592)=1,1,0))</f>
        <v>0</v>
      </c>
      <c r="P1592" s="55">
        <f>IF(A1592="",0,IF(AND(F1592="C&amp;T",COUNTIFS($A$2:A1592,A1592,$F$2:F1592,"C&amp;T")=1),1,0))</f>
        <v>0</v>
      </c>
    </row>
    <row r="1593" spans="1:16" x14ac:dyDescent="0.35">
      <c r="A1593" s="54" t="str">
        <f>IFERROR(IF(INDEX(SPOT_Import!$A$1:$Z$2488,1593,'Live Data'!$C$12)="","",INDEX(SPOT_Import!$A$1:$Z$2488,1593,'Live Data'!$C$12)),"")</f>
        <v/>
      </c>
      <c r="B1593" s="54" t="str">
        <f>IFERROR(IF(INDEX(SPOT_Import!$A$1:$Z$2488,1593,'Live Data'!$C$13)="","",INDEX(SPOT_Import!$A$1:$Z$2488,1593,'Live Data'!$C$13)),"")</f>
        <v/>
      </c>
      <c r="C1593" s="54" t="str">
        <f>IFERROR(IF(INDEX(SPOT_Import!$A$1:$Z$2488,1593,'Live Data'!$C$14)="","",INDEX(SPOT_Import!$A$1:$Z$2488,1593,'Live Data'!$C$14)),"")</f>
        <v/>
      </c>
      <c r="D1593" s="54" t="str">
        <f>IFERROR(IF(INDEX(SPOT_Import!$A$1:$Z$2488,1593,'Live Data'!$C$15)="","",INDEX(SPOT_Import!$A$1:$Z$2488,1593,'Live Data'!$C$15)),"")</f>
        <v/>
      </c>
      <c r="E1593" s="54" t="str">
        <f>IFERROR(IF(INDEX(SPOT_Import!$A$1:$Z$2488,1593,'Live Data'!$C$16)="","",INDEX(SPOT_Import!$A$1:$Z$2488,1593,'Live Data'!$C$16)),"")</f>
        <v/>
      </c>
      <c r="F1593" s="54" t="str">
        <f>IFERROR(IF(INDEX(SPOT_Import!$A$1:$Z$2488,1593,'Live Data'!$C$17)="","",INDEX(SPOT_Import!$A$1:$Z$2488,1593,'Live Data'!$C$17)),"")</f>
        <v/>
      </c>
      <c r="G1593" s="54" t="str">
        <f>IFERROR(IF(INDEX(SPOT_Import!$A$1:$Z$2488,1593,'Live Data'!$C$18)="","",INDEX(SPOT_Import!$A$1:$Z$2488,1593,'Live Data'!$C$18)),"")</f>
        <v/>
      </c>
      <c r="H1593" s="54" t="str">
        <f>IFERROR(IF(INDEX(SPOT_Import!$A$1:$Z$2488,1593,'Live Data'!$C$19)="","",INDEX(SPOT_Import!$A$1:$Z$2488,1593,'Live Data'!$C$19)),"")</f>
        <v/>
      </c>
      <c r="I1593" s="54" t="str">
        <f>IFERROR(IF(INDEX(SPOT_Import!$A$1:$Z$2488,1593,'Live Data'!$C$20)="","",INDEX(SPOT_Import!$A$1:$Z$2488,1593,'Live Data'!$C$20)),"")</f>
        <v/>
      </c>
      <c r="J1593" s="54" t="str">
        <f>IFERROR(IF(INDEX(SPOT_Import!$A$1:$Z$2488,1593,'Live Data'!$C$21)="","",INDEX(SPOT_Import!$A$1:$Z$2488,1593,'Live Data'!$C$21)),"")</f>
        <v/>
      </c>
      <c r="K1593" s="54" t="str">
        <f>IFERROR(IF(INDEX(SPOT_Import!$A$1:$Z$2488,1593,'Live Data'!$C$22)="","",INDEX(SPOT_Import!$A$1:$Z$2488,1593,'Live Data'!$C$22)),"")</f>
        <v/>
      </c>
      <c r="L1593" s="55" t="str">
        <f t="shared" si="48"/>
        <v/>
      </c>
      <c r="M1593" s="55" t="str">
        <f t="shared" si="49"/>
        <v/>
      </c>
      <c r="N1593" s="55" t="str">
        <f>IF(A1593="","",IFERROR(INDEX('Cluster Map'!$A$4:$A$38,MATCH(M1593,'Cluster Map'!$B$4:$B$38,0)),"Unmapped"))</f>
        <v/>
      </c>
      <c r="O1593" s="55">
        <f>IF(A1593="",0,IF(COUNTIFS($A$2:A1593,A1593,$F$2:F1593,F1593,$L$2:L1593,L1593)=1,1,0))</f>
        <v>0</v>
      </c>
      <c r="P1593" s="55">
        <f>IF(A1593="",0,IF(AND(F1593="C&amp;T",COUNTIFS($A$2:A1593,A1593,$F$2:F1593,"C&amp;T")=1),1,0))</f>
        <v>0</v>
      </c>
    </row>
    <row r="1594" spans="1:16" x14ac:dyDescent="0.35">
      <c r="A1594" s="54" t="str">
        <f>IFERROR(IF(INDEX(SPOT_Import!$A$1:$Z$2488,1594,'Live Data'!$C$12)="","",INDEX(SPOT_Import!$A$1:$Z$2488,1594,'Live Data'!$C$12)),"")</f>
        <v/>
      </c>
      <c r="B1594" s="54" t="str">
        <f>IFERROR(IF(INDEX(SPOT_Import!$A$1:$Z$2488,1594,'Live Data'!$C$13)="","",INDEX(SPOT_Import!$A$1:$Z$2488,1594,'Live Data'!$C$13)),"")</f>
        <v/>
      </c>
      <c r="C1594" s="54" t="str">
        <f>IFERROR(IF(INDEX(SPOT_Import!$A$1:$Z$2488,1594,'Live Data'!$C$14)="","",INDEX(SPOT_Import!$A$1:$Z$2488,1594,'Live Data'!$C$14)),"")</f>
        <v/>
      </c>
      <c r="D1594" s="54" t="str">
        <f>IFERROR(IF(INDEX(SPOT_Import!$A$1:$Z$2488,1594,'Live Data'!$C$15)="","",INDEX(SPOT_Import!$A$1:$Z$2488,1594,'Live Data'!$C$15)),"")</f>
        <v/>
      </c>
      <c r="E1594" s="54" t="str">
        <f>IFERROR(IF(INDEX(SPOT_Import!$A$1:$Z$2488,1594,'Live Data'!$C$16)="","",INDEX(SPOT_Import!$A$1:$Z$2488,1594,'Live Data'!$C$16)),"")</f>
        <v/>
      </c>
      <c r="F1594" s="54" t="str">
        <f>IFERROR(IF(INDEX(SPOT_Import!$A$1:$Z$2488,1594,'Live Data'!$C$17)="","",INDEX(SPOT_Import!$A$1:$Z$2488,1594,'Live Data'!$C$17)),"")</f>
        <v/>
      </c>
      <c r="G1594" s="54" t="str">
        <f>IFERROR(IF(INDEX(SPOT_Import!$A$1:$Z$2488,1594,'Live Data'!$C$18)="","",INDEX(SPOT_Import!$A$1:$Z$2488,1594,'Live Data'!$C$18)),"")</f>
        <v/>
      </c>
      <c r="H1594" s="54" t="str">
        <f>IFERROR(IF(INDEX(SPOT_Import!$A$1:$Z$2488,1594,'Live Data'!$C$19)="","",INDEX(SPOT_Import!$A$1:$Z$2488,1594,'Live Data'!$C$19)),"")</f>
        <v/>
      </c>
      <c r="I1594" s="54" t="str">
        <f>IFERROR(IF(INDEX(SPOT_Import!$A$1:$Z$2488,1594,'Live Data'!$C$20)="","",INDEX(SPOT_Import!$A$1:$Z$2488,1594,'Live Data'!$C$20)),"")</f>
        <v/>
      </c>
      <c r="J1594" s="54" t="str">
        <f>IFERROR(IF(INDEX(SPOT_Import!$A$1:$Z$2488,1594,'Live Data'!$C$21)="","",INDEX(SPOT_Import!$A$1:$Z$2488,1594,'Live Data'!$C$21)),"")</f>
        <v/>
      </c>
      <c r="K1594" s="54" t="str">
        <f>IFERROR(IF(INDEX(SPOT_Import!$A$1:$Z$2488,1594,'Live Data'!$C$22)="","",INDEX(SPOT_Import!$A$1:$Z$2488,1594,'Live Data'!$C$22)),"")</f>
        <v/>
      </c>
      <c r="L1594" s="55" t="str">
        <f t="shared" si="48"/>
        <v/>
      </c>
      <c r="M1594" s="55" t="str">
        <f t="shared" si="49"/>
        <v/>
      </c>
      <c r="N1594" s="55" t="str">
        <f>IF(A1594="","",IFERROR(INDEX('Cluster Map'!$A$4:$A$38,MATCH(M1594,'Cluster Map'!$B$4:$B$38,0)),"Unmapped"))</f>
        <v/>
      </c>
      <c r="O1594" s="55">
        <f>IF(A1594="",0,IF(COUNTIFS($A$2:A1594,A1594,$F$2:F1594,F1594,$L$2:L1594,L1594)=1,1,0))</f>
        <v>0</v>
      </c>
      <c r="P1594" s="55">
        <f>IF(A1594="",0,IF(AND(F1594="C&amp;T",COUNTIFS($A$2:A1594,A1594,$F$2:F1594,"C&amp;T")=1),1,0))</f>
        <v>0</v>
      </c>
    </row>
    <row r="1595" spans="1:16" x14ac:dyDescent="0.35">
      <c r="A1595" s="54" t="str">
        <f>IFERROR(IF(INDEX(SPOT_Import!$A$1:$Z$2488,1595,'Live Data'!$C$12)="","",INDEX(SPOT_Import!$A$1:$Z$2488,1595,'Live Data'!$C$12)),"")</f>
        <v/>
      </c>
      <c r="B1595" s="54" t="str">
        <f>IFERROR(IF(INDEX(SPOT_Import!$A$1:$Z$2488,1595,'Live Data'!$C$13)="","",INDEX(SPOT_Import!$A$1:$Z$2488,1595,'Live Data'!$C$13)),"")</f>
        <v/>
      </c>
      <c r="C1595" s="54" t="str">
        <f>IFERROR(IF(INDEX(SPOT_Import!$A$1:$Z$2488,1595,'Live Data'!$C$14)="","",INDEX(SPOT_Import!$A$1:$Z$2488,1595,'Live Data'!$C$14)),"")</f>
        <v/>
      </c>
      <c r="D1595" s="54" t="str">
        <f>IFERROR(IF(INDEX(SPOT_Import!$A$1:$Z$2488,1595,'Live Data'!$C$15)="","",INDEX(SPOT_Import!$A$1:$Z$2488,1595,'Live Data'!$C$15)),"")</f>
        <v/>
      </c>
      <c r="E1595" s="54" t="str">
        <f>IFERROR(IF(INDEX(SPOT_Import!$A$1:$Z$2488,1595,'Live Data'!$C$16)="","",INDEX(SPOT_Import!$A$1:$Z$2488,1595,'Live Data'!$C$16)),"")</f>
        <v/>
      </c>
      <c r="F1595" s="54" t="str">
        <f>IFERROR(IF(INDEX(SPOT_Import!$A$1:$Z$2488,1595,'Live Data'!$C$17)="","",INDEX(SPOT_Import!$A$1:$Z$2488,1595,'Live Data'!$C$17)),"")</f>
        <v/>
      </c>
      <c r="G1595" s="54" t="str">
        <f>IFERROR(IF(INDEX(SPOT_Import!$A$1:$Z$2488,1595,'Live Data'!$C$18)="","",INDEX(SPOT_Import!$A$1:$Z$2488,1595,'Live Data'!$C$18)),"")</f>
        <v/>
      </c>
      <c r="H1595" s="54" t="str">
        <f>IFERROR(IF(INDEX(SPOT_Import!$A$1:$Z$2488,1595,'Live Data'!$C$19)="","",INDEX(SPOT_Import!$A$1:$Z$2488,1595,'Live Data'!$C$19)),"")</f>
        <v/>
      </c>
      <c r="I1595" s="54" t="str">
        <f>IFERROR(IF(INDEX(SPOT_Import!$A$1:$Z$2488,1595,'Live Data'!$C$20)="","",INDEX(SPOT_Import!$A$1:$Z$2488,1595,'Live Data'!$C$20)),"")</f>
        <v/>
      </c>
      <c r="J1595" s="54" t="str">
        <f>IFERROR(IF(INDEX(SPOT_Import!$A$1:$Z$2488,1595,'Live Data'!$C$21)="","",INDEX(SPOT_Import!$A$1:$Z$2488,1595,'Live Data'!$C$21)),"")</f>
        <v/>
      </c>
      <c r="K1595" s="54" t="str">
        <f>IFERROR(IF(INDEX(SPOT_Import!$A$1:$Z$2488,1595,'Live Data'!$C$22)="","",INDEX(SPOT_Import!$A$1:$Z$2488,1595,'Live Data'!$C$22)),"")</f>
        <v/>
      </c>
      <c r="L1595" s="55" t="str">
        <f t="shared" si="48"/>
        <v/>
      </c>
      <c r="M1595" s="55" t="str">
        <f t="shared" si="49"/>
        <v/>
      </c>
      <c r="N1595" s="55" t="str">
        <f>IF(A1595="","",IFERROR(INDEX('Cluster Map'!$A$4:$A$38,MATCH(M1595,'Cluster Map'!$B$4:$B$38,0)),"Unmapped"))</f>
        <v/>
      </c>
      <c r="O1595" s="55">
        <f>IF(A1595="",0,IF(COUNTIFS($A$2:A1595,A1595,$F$2:F1595,F1595,$L$2:L1595,L1595)=1,1,0))</f>
        <v>0</v>
      </c>
      <c r="P1595" s="55">
        <f>IF(A1595="",0,IF(AND(F1595="C&amp;T",COUNTIFS($A$2:A1595,A1595,$F$2:F1595,"C&amp;T")=1),1,0))</f>
        <v>0</v>
      </c>
    </row>
    <row r="1596" spans="1:16" x14ac:dyDescent="0.35">
      <c r="A1596" s="54" t="str">
        <f>IFERROR(IF(INDEX(SPOT_Import!$A$1:$Z$2488,1596,'Live Data'!$C$12)="","",INDEX(SPOT_Import!$A$1:$Z$2488,1596,'Live Data'!$C$12)),"")</f>
        <v/>
      </c>
      <c r="B1596" s="54" t="str">
        <f>IFERROR(IF(INDEX(SPOT_Import!$A$1:$Z$2488,1596,'Live Data'!$C$13)="","",INDEX(SPOT_Import!$A$1:$Z$2488,1596,'Live Data'!$C$13)),"")</f>
        <v/>
      </c>
      <c r="C1596" s="54" t="str">
        <f>IFERROR(IF(INDEX(SPOT_Import!$A$1:$Z$2488,1596,'Live Data'!$C$14)="","",INDEX(SPOT_Import!$A$1:$Z$2488,1596,'Live Data'!$C$14)),"")</f>
        <v/>
      </c>
      <c r="D1596" s="54" t="str">
        <f>IFERROR(IF(INDEX(SPOT_Import!$A$1:$Z$2488,1596,'Live Data'!$C$15)="","",INDEX(SPOT_Import!$A$1:$Z$2488,1596,'Live Data'!$C$15)),"")</f>
        <v/>
      </c>
      <c r="E1596" s="54" t="str">
        <f>IFERROR(IF(INDEX(SPOT_Import!$A$1:$Z$2488,1596,'Live Data'!$C$16)="","",INDEX(SPOT_Import!$A$1:$Z$2488,1596,'Live Data'!$C$16)),"")</f>
        <v/>
      </c>
      <c r="F1596" s="54" t="str">
        <f>IFERROR(IF(INDEX(SPOT_Import!$A$1:$Z$2488,1596,'Live Data'!$C$17)="","",INDEX(SPOT_Import!$A$1:$Z$2488,1596,'Live Data'!$C$17)),"")</f>
        <v/>
      </c>
      <c r="G1596" s="54" t="str">
        <f>IFERROR(IF(INDEX(SPOT_Import!$A$1:$Z$2488,1596,'Live Data'!$C$18)="","",INDEX(SPOT_Import!$A$1:$Z$2488,1596,'Live Data'!$C$18)),"")</f>
        <v/>
      </c>
      <c r="H1596" s="54" t="str">
        <f>IFERROR(IF(INDEX(SPOT_Import!$A$1:$Z$2488,1596,'Live Data'!$C$19)="","",INDEX(SPOT_Import!$A$1:$Z$2488,1596,'Live Data'!$C$19)),"")</f>
        <v/>
      </c>
      <c r="I1596" s="54" t="str">
        <f>IFERROR(IF(INDEX(SPOT_Import!$A$1:$Z$2488,1596,'Live Data'!$C$20)="","",INDEX(SPOT_Import!$A$1:$Z$2488,1596,'Live Data'!$C$20)),"")</f>
        <v/>
      </c>
      <c r="J1596" s="54" t="str">
        <f>IFERROR(IF(INDEX(SPOT_Import!$A$1:$Z$2488,1596,'Live Data'!$C$21)="","",INDEX(SPOT_Import!$A$1:$Z$2488,1596,'Live Data'!$C$21)),"")</f>
        <v/>
      </c>
      <c r="K1596" s="54" t="str">
        <f>IFERROR(IF(INDEX(SPOT_Import!$A$1:$Z$2488,1596,'Live Data'!$C$22)="","",INDEX(SPOT_Import!$A$1:$Z$2488,1596,'Live Data'!$C$22)),"")</f>
        <v/>
      </c>
      <c r="L1596" s="55" t="str">
        <f t="shared" si="48"/>
        <v/>
      </c>
      <c r="M1596" s="55" t="str">
        <f t="shared" si="49"/>
        <v/>
      </c>
      <c r="N1596" s="55" t="str">
        <f>IF(A1596="","",IFERROR(INDEX('Cluster Map'!$A$4:$A$38,MATCH(M1596,'Cluster Map'!$B$4:$B$38,0)),"Unmapped"))</f>
        <v/>
      </c>
      <c r="O1596" s="55">
        <f>IF(A1596="",0,IF(COUNTIFS($A$2:A1596,A1596,$F$2:F1596,F1596,$L$2:L1596,L1596)=1,1,0))</f>
        <v>0</v>
      </c>
      <c r="P1596" s="55">
        <f>IF(A1596="",0,IF(AND(F1596="C&amp;T",COUNTIFS($A$2:A1596,A1596,$F$2:F1596,"C&amp;T")=1),1,0))</f>
        <v>0</v>
      </c>
    </row>
    <row r="1597" spans="1:16" x14ac:dyDescent="0.35">
      <c r="A1597" s="54" t="str">
        <f>IFERROR(IF(INDEX(SPOT_Import!$A$1:$Z$2488,1597,'Live Data'!$C$12)="","",INDEX(SPOT_Import!$A$1:$Z$2488,1597,'Live Data'!$C$12)),"")</f>
        <v/>
      </c>
      <c r="B1597" s="54" t="str">
        <f>IFERROR(IF(INDEX(SPOT_Import!$A$1:$Z$2488,1597,'Live Data'!$C$13)="","",INDEX(SPOT_Import!$A$1:$Z$2488,1597,'Live Data'!$C$13)),"")</f>
        <v/>
      </c>
      <c r="C1597" s="54" t="str">
        <f>IFERROR(IF(INDEX(SPOT_Import!$A$1:$Z$2488,1597,'Live Data'!$C$14)="","",INDEX(SPOT_Import!$A$1:$Z$2488,1597,'Live Data'!$C$14)),"")</f>
        <v/>
      </c>
      <c r="D1597" s="54" t="str">
        <f>IFERROR(IF(INDEX(SPOT_Import!$A$1:$Z$2488,1597,'Live Data'!$C$15)="","",INDEX(SPOT_Import!$A$1:$Z$2488,1597,'Live Data'!$C$15)),"")</f>
        <v/>
      </c>
      <c r="E1597" s="54" t="str">
        <f>IFERROR(IF(INDEX(SPOT_Import!$A$1:$Z$2488,1597,'Live Data'!$C$16)="","",INDEX(SPOT_Import!$A$1:$Z$2488,1597,'Live Data'!$C$16)),"")</f>
        <v/>
      </c>
      <c r="F1597" s="54" t="str">
        <f>IFERROR(IF(INDEX(SPOT_Import!$A$1:$Z$2488,1597,'Live Data'!$C$17)="","",INDEX(SPOT_Import!$A$1:$Z$2488,1597,'Live Data'!$C$17)),"")</f>
        <v/>
      </c>
      <c r="G1597" s="54" t="str">
        <f>IFERROR(IF(INDEX(SPOT_Import!$A$1:$Z$2488,1597,'Live Data'!$C$18)="","",INDEX(SPOT_Import!$A$1:$Z$2488,1597,'Live Data'!$C$18)),"")</f>
        <v/>
      </c>
      <c r="H1597" s="54" t="str">
        <f>IFERROR(IF(INDEX(SPOT_Import!$A$1:$Z$2488,1597,'Live Data'!$C$19)="","",INDEX(SPOT_Import!$A$1:$Z$2488,1597,'Live Data'!$C$19)),"")</f>
        <v/>
      </c>
      <c r="I1597" s="54" t="str">
        <f>IFERROR(IF(INDEX(SPOT_Import!$A$1:$Z$2488,1597,'Live Data'!$C$20)="","",INDEX(SPOT_Import!$A$1:$Z$2488,1597,'Live Data'!$C$20)),"")</f>
        <v/>
      </c>
      <c r="J1597" s="54" t="str">
        <f>IFERROR(IF(INDEX(SPOT_Import!$A$1:$Z$2488,1597,'Live Data'!$C$21)="","",INDEX(SPOT_Import!$A$1:$Z$2488,1597,'Live Data'!$C$21)),"")</f>
        <v/>
      </c>
      <c r="K1597" s="54" t="str">
        <f>IFERROR(IF(INDEX(SPOT_Import!$A$1:$Z$2488,1597,'Live Data'!$C$22)="","",INDEX(SPOT_Import!$A$1:$Z$2488,1597,'Live Data'!$C$22)),"")</f>
        <v/>
      </c>
      <c r="L1597" s="55" t="str">
        <f t="shared" si="48"/>
        <v/>
      </c>
      <c r="M1597" s="55" t="str">
        <f t="shared" si="49"/>
        <v/>
      </c>
      <c r="N1597" s="55" t="str">
        <f>IF(A1597="","",IFERROR(INDEX('Cluster Map'!$A$4:$A$38,MATCH(M1597,'Cluster Map'!$B$4:$B$38,0)),"Unmapped"))</f>
        <v/>
      </c>
      <c r="O1597" s="55">
        <f>IF(A1597="",0,IF(COUNTIFS($A$2:A1597,A1597,$F$2:F1597,F1597,$L$2:L1597,L1597)=1,1,0))</f>
        <v>0</v>
      </c>
      <c r="P1597" s="55">
        <f>IF(A1597="",0,IF(AND(F1597="C&amp;T",COUNTIFS($A$2:A1597,A1597,$F$2:F1597,"C&amp;T")=1),1,0))</f>
        <v>0</v>
      </c>
    </row>
    <row r="1598" spans="1:16" x14ac:dyDescent="0.35">
      <c r="A1598" s="54" t="str">
        <f>IFERROR(IF(INDEX(SPOT_Import!$A$1:$Z$2488,1598,'Live Data'!$C$12)="","",INDEX(SPOT_Import!$A$1:$Z$2488,1598,'Live Data'!$C$12)),"")</f>
        <v/>
      </c>
      <c r="B1598" s="54" t="str">
        <f>IFERROR(IF(INDEX(SPOT_Import!$A$1:$Z$2488,1598,'Live Data'!$C$13)="","",INDEX(SPOT_Import!$A$1:$Z$2488,1598,'Live Data'!$C$13)),"")</f>
        <v/>
      </c>
      <c r="C1598" s="54" t="str">
        <f>IFERROR(IF(INDEX(SPOT_Import!$A$1:$Z$2488,1598,'Live Data'!$C$14)="","",INDEX(SPOT_Import!$A$1:$Z$2488,1598,'Live Data'!$C$14)),"")</f>
        <v/>
      </c>
      <c r="D1598" s="54" t="str">
        <f>IFERROR(IF(INDEX(SPOT_Import!$A$1:$Z$2488,1598,'Live Data'!$C$15)="","",INDEX(SPOT_Import!$A$1:$Z$2488,1598,'Live Data'!$C$15)),"")</f>
        <v/>
      </c>
      <c r="E1598" s="54" t="str">
        <f>IFERROR(IF(INDEX(SPOT_Import!$A$1:$Z$2488,1598,'Live Data'!$C$16)="","",INDEX(SPOT_Import!$A$1:$Z$2488,1598,'Live Data'!$C$16)),"")</f>
        <v/>
      </c>
      <c r="F1598" s="54" t="str">
        <f>IFERROR(IF(INDEX(SPOT_Import!$A$1:$Z$2488,1598,'Live Data'!$C$17)="","",INDEX(SPOT_Import!$A$1:$Z$2488,1598,'Live Data'!$C$17)),"")</f>
        <v/>
      </c>
      <c r="G1598" s="54" t="str">
        <f>IFERROR(IF(INDEX(SPOT_Import!$A$1:$Z$2488,1598,'Live Data'!$C$18)="","",INDEX(SPOT_Import!$A$1:$Z$2488,1598,'Live Data'!$C$18)),"")</f>
        <v/>
      </c>
      <c r="H1598" s="54" t="str">
        <f>IFERROR(IF(INDEX(SPOT_Import!$A$1:$Z$2488,1598,'Live Data'!$C$19)="","",INDEX(SPOT_Import!$A$1:$Z$2488,1598,'Live Data'!$C$19)),"")</f>
        <v/>
      </c>
      <c r="I1598" s="54" t="str">
        <f>IFERROR(IF(INDEX(SPOT_Import!$A$1:$Z$2488,1598,'Live Data'!$C$20)="","",INDEX(SPOT_Import!$A$1:$Z$2488,1598,'Live Data'!$C$20)),"")</f>
        <v/>
      </c>
      <c r="J1598" s="54" t="str">
        <f>IFERROR(IF(INDEX(SPOT_Import!$A$1:$Z$2488,1598,'Live Data'!$C$21)="","",INDEX(SPOT_Import!$A$1:$Z$2488,1598,'Live Data'!$C$21)),"")</f>
        <v/>
      </c>
      <c r="K1598" s="54" t="str">
        <f>IFERROR(IF(INDEX(SPOT_Import!$A$1:$Z$2488,1598,'Live Data'!$C$22)="","",INDEX(SPOT_Import!$A$1:$Z$2488,1598,'Live Data'!$C$22)),"")</f>
        <v/>
      </c>
      <c r="L1598" s="55" t="str">
        <f t="shared" si="48"/>
        <v/>
      </c>
      <c r="M1598" s="55" t="str">
        <f t="shared" si="49"/>
        <v/>
      </c>
      <c r="N1598" s="55" t="str">
        <f>IF(A1598="","",IFERROR(INDEX('Cluster Map'!$A$4:$A$38,MATCH(M1598,'Cluster Map'!$B$4:$B$38,0)),"Unmapped"))</f>
        <v/>
      </c>
      <c r="O1598" s="55">
        <f>IF(A1598="",0,IF(COUNTIFS($A$2:A1598,A1598,$F$2:F1598,F1598,$L$2:L1598,L1598)=1,1,0))</f>
        <v>0</v>
      </c>
      <c r="P1598" s="55">
        <f>IF(A1598="",0,IF(AND(F1598="C&amp;T",COUNTIFS($A$2:A1598,A1598,$F$2:F1598,"C&amp;T")=1),1,0))</f>
        <v>0</v>
      </c>
    </row>
    <row r="1599" spans="1:16" x14ac:dyDescent="0.35">
      <c r="A1599" s="54" t="str">
        <f>IFERROR(IF(INDEX(SPOT_Import!$A$1:$Z$2488,1599,'Live Data'!$C$12)="","",INDEX(SPOT_Import!$A$1:$Z$2488,1599,'Live Data'!$C$12)),"")</f>
        <v/>
      </c>
      <c r="B1599" s="54" t="str">
        <f>IFERROR(IF(INDEX(SPOT_Import!$A$1:$Z$2488,1599,'Live Data'!$C$13)="","",INDEX(SPOT_Import!$A$1:$Z$2488,1599,'Live Data'!$C$13)),"")</f>
        <v/>
      </c>
      <c r="C1599" s="54" t="str">
        <f>IFERROR(IF(INDEX(SPOT_Import!$A$1:$Z$2488,1599,'Live Data'!$C$14)="","",INDEX(SPOT_Import!$A$1:$Z$2488,1599,'Live Data'!$C$14)),"")</f>
        <v/>
      </c>
      <c r="D1599" s="54" t="str">
        <f>IFERROR(IF(INDEX(SPOT_Import!$A$1:$Z$2488,1599,'Live Data'!$C$15)="","",INDEX(SPOT_Import!$A$1:$Z$2488,1599,'Live Data'!$C$15)),"")</f>
        <v/>
      </c>
      <c r="E1599" s="54" t="str">
        <f>IFERROR(IF(INDEX(SPOT_Import!$A$1:$Z$2488,1599,'Live Data'!$C$16)="","",INDEX(SPOT_Import!$A$1:$Z$2488,1599,'Live Data'!$C$16)),"")</f>
        <v/>
      </c>
      <c r="F1599" s="54" t="str">
        <f>IFERROR(IF(INDEX(SPOT_Import!$A$1:$Z$2488,1599,'Live Data'!$C$17)="","",INDEX(SPOT_Import!$A$1:$Z$2488,1599,'Live Data'!$C$17)),"")</f>
        <v/>
      </c>
      <c r="G1599" s="54" t="str">
        <f>IFERROR(IF(INDEX(SPOT_Import!$A$1:$Z$2488,1599,'Live Data'!$C$18)="","",INDEX(SPOT_Import!$A$1:$Z$2488,1599,'Live Data'!$C$18)),"")</f>
        <v/>
      </c>
      <c r="H1599" s="54" t="str">
        <f>IFERROR(IF(INDEX(SPOT_Import!$A$1:$Z$2488,1599,'Live Data'!$C$19)="","",INDEX(SPOT_Import!$A$1:$Z$2488,1599,'Live Data'!$C$19)),"")</f>
        <v/>
      </c>
      <c r="I1599" s="54" t="str">
        <f>IFERROR(IF(INDEX(SPOT_Import!$A$1:$Z$2488,1599,'Live Data'!$C$20)="","",INDEX(SPOT_Import!$A$1:$Z$2488,1599,'Live Data'!$C$20)),"")</f>
        <v/>
      </c>
      <c r="J1599" s="54" t="str">
        <f>IFERROR(IF(INDEX(SPOT_Import!$A$1:$Z$2488,1599,'Live Data'!$C$21)="","",INDEX(SPOT_Import!$A$1:$Z$2488,1599,'Live Data'!$C$21)),"")</f>
        <v/>
      </c>
      <c r="K1599" s="54" t="str">
        <f>IFERROR(IF(INDEX(SPOT_Import!$A$1:$Z$2488,1599,'Live Data'!$C$22)="","",INDEX(SPOT_Import!$A$1:$Z$2488,1599,'Live Data'!$C$22)),"")</f>
        <v/>
      </c>
      <c r="L1599" s="55" t="str">
        <f t="shared" si="48"/>
        <v/>
      </c>
      <c r="M1599" s="55" t="str">
        <f t="shared" si="49"/>
        <v/>
      </c>
      <c r="N1599" s="55" t="str">
        <f>IF(A1599="","",IFERROR(INDEX('Cluster Map'!$A$4:$A$38,MATCH(M1599,'Cluster Map'!$B$4:$B$38,0)),"Unmapped"))</f>
        <v/>
      </c>
      <c r="O1599" s="55">
        <f>IF(A1599="",0,IF(COUNTIFS($A$2:A1599,A1599,$F$2:F1599,F1599,$L$2:L1599,L1599)=1,1,0))</f>
        <v>0</v>
      </c>
      <c r="P1599" s="55">
        <f>IF(A1599="",0,IF(AND(F1599="C&amp;T",COUNTIFS($A$2:A1599,A1599,$F$2:F1599,"C&amp;T")=1),1,0))</f>
        <v>0</v>
      </c>
    </row>
    <row r="1600" spans="1:16" x14ac:dyDescent="0.35">
      <c r="A1600" s="54" t="str">
        <f>IFERROR(IF(INDEX(SPOT_Import!$A$1:$Z$2488,1600,'Live Data'!$C$12)="","",INDEX(SPOT_Import!$A$1:$Z$2488,1600,'Live Data'!$C$12)),"")</f>
        <v/>
      </c>
      <c r="B1600" s="54" t="str">
        <f>IFERROR(IF(INDEX(SPOT_Import!$A$1:$Z$2488,1600,'Live Data'!$C$13)="","",INDEX(SPOT_Import!$A$1:$Z$2488,1600,'Live Data'!$C$13)),"")</f>
        <v/>
      </c>
      <c r="C1600" s="54" t="str">
        <f>IFERROR(IF(INDEX(SPOT_Import!$A$1:$Z$2488,1600,'Live Data'!$C$14)="","",INDEX(SPOT_Import!$A$1:$Z$2488,1600,'Live Data'!$C$14)),"")</f>
        <v/>
      </c>
      <c r="D1600" s="54" t="str">
        <f>IFERROR(IF(INDEX(SPOT_Import!$A$1:$Z$2488,1600,'Live Data'!$C$15)="","",INDEX(SPOT_Import!$A$1:$Z$2488,1600,'Live Data'!$C$15)),"")</f>
        <v/>
      </c>
      <c r="E1600" s="54" t="str">
        <f>IFERROR(IF(INDEX(SPOT_Import!$A$1:$Z$2488,1600,'Live Data'!$C$16)="","",INDEX(SPOT_Import!$A$1:$Z$2488,1600,'Live Data'!$C$16)),"")</f>
        <v/>
      </c>
      <c r="F1600" s="54" t="str">
        <f>IFERROR(IF(INDEX(SPOT_Import!$A$1:$Z$2488,1600,'Live Data'!$C$17)="","",INDEX(SPOT_Import!$A$1:$Z$2488,1600,'Live Data'!$C$17)),"")</f>
        <v/>
      </c>
      <c r="G1600" s="54" t="str">
        <f>IFERROR(IF(INDEX(SPOT_Import!$A$1:$Z$2488,1600,'Live Data'!$C$18)="","",INDEX(SPOT_Import!$A$1:$Z$2488,1600,'Live Data'!$C$18)),"")</f>
        <v/>
      </c>
      <c r="H1600" s="54" t="str">
        <f>IFERROR(IF(INDEX(SPOT_Import!$A$1:$Z$2488,1600,'Live Data'!$C$19)="","",INDEX(SPOT_Import!$A$1:$Z$2488,1600,'Live Data'!$C$19)),"")</f>
        <v/>
      </c>
      <c r="I1600" s="54" t="str">
        <f>IFERROR(IF(INDEX(SPOT_Import!$A$1:$Z$2488,1600,'Live Data'!$C$20)="","",INDEX(SPOT_Import!$A$1:$Z$2488,1600,'Live Data'!$C$20)),"")</f>
        <v/>
      </c>
      <c r="J1600" s="54" t="str">
        <f>IFERROR(IF(INDEX(SPOT_Import!$A$1:$Z$2488,1600,'Live Data'!$C$21)="","",INDEX(SPOT_Import!$A$1:$Z$2488,1600,'Live Data'!$C$21)),"")</f>
        <v/>
      </c>
      <c r="K1600" s="54" t="str">
        <f>IFERROR(IF(INDEX(SPOT_Import!$A$1:$Z$2488,1600,'Live Data'!$C$22)="","",INDEX(SPOT_Import!$A$1:$Z$2488,1600,'Live Data'!$C$22)),"")</f>
        <v/>
      </c>
      <c r="L1600" s="55" t="str">
        <f t="shared" si="48"/>
        <v/>
      </c>
      <c r="M1600" s="55" t="str">
        <f t="shared" si="49"/>
        <v/>
      </c>
      <c r="N1600" s="55" t="str">
        <f>IF(A1600="","",IFERROR(INDEX('Cluster Map'!$A$4:$A$38,MATCH(M1600,'Cluster Map'!$B$4:$B$38,0)),"Unmapped"))</f>
        <v/>
      </c>
      <c r="O1600" s="55">
        <f>IF(A1600="",0,IF(COUNTIFS($A$2:A1600,A1600,$F$2:F1600,F1600,$L$2:L1600,L1600)=1,1,0))</f>
        <v>0</v>
      </c>
      <c r="P1600" s="55">
        <f>IF(A1600="",0,IF(AND(F1600="C&amp;T",COUNTIFS($A$2:A1600,A1600,$F$2:F1600,"C&amp;T")=1),1,0))</f>
        <v>0</v>
      </c>
    </row>
    <row r="1601" spans="1:16" x14ac:dyDescent="0.35">
      <c r="A1601" s="54" t="str">
        <f>IFERROR(IF(INDEX(SPOT_Import!$A$1:$Z$2488,1601,'Live Data'!$C$12)="","",INDEX(SPOT_Import!$A$1:$Z$2488,1601,'Live Data'!$C$12)),"")</f>
        <v/>
      </c>
      <c r="B1601" s="54" t="str">
        <f>IFERROR(IF(INDEX(SPOT_Import!$A$1:$Z$2488,1601,'Live Data'!$C$13)="","",INDEX(SPOT_Import!$A$1:$Z$2488,1601,'Live Data'!$C$13)),"")</f>
        <v/>
      </c>
      <c r="C1601" s="54" t="str">
        <f>IFERROR(IF(INDEX(SPOT_Import!$A$1:$Z$2488,1601,'Live Data'!$C$14)="","",INDEX(SPOT_Import!$A$1:$Z$2488,1601,'Live Data'!$C$14)),"")</f>
        <v/>
      </c>
      <c r="D1601" s="54" t="str">
        <f>IFERROR(IF(INDEX(SPOT_Import!$A$1:$Z$2488,1601,'Live Data'!$C$15)="","",INDEX(SPOT_Import!$A$1:$Z$2488,1601,'Live Data'!$C$15)),"")</f>
        <v/>
      </c>
      <c r="E1601" s="54" t="str">
        <f>IFERROR(IF(INDEX(SPOT_Import!$A$1:$Z$2488,1601,'Live Data'!$C$16)="","",INDEX(SPOT_Import!$A$1:$Z$2488,1601,'Live Data'!$C$16)),"")</f>
        <v/>
      </c>
      <c r="F1601" s="54" t="str">
        <f>IFERROR(IF(INDEX(SPOT_Import!$A$1:$Z$2488,1601,'Live Data'!$C$17)="","",INDEX(SPOT_Import!$A$1:$Z$2488,1601,'Live Data'!$C$17)),"")</f>
        <v/>
      </c>
      <c r="G1601" s="54" t="str">
        <f>IFERROR(IF(INDEX(SPOT_Import!$A$1:$Z$2488,1601,'Live Data'!$C$18)="","",INDEX(SPOT_Import!$A$1:$Z$2488,1601,'Live Data'!$C$18)),"")</f>
        <v/>
      </c>
      <c r="H1601" s="54" t="str">
        <f>IFERROR(IF(INDEX(SPOT_Import!$A$1:$Z$2488,1601,'Live Data'!$C$19)="","",INDEX(SPOT_Import!$A$1:$Z$2488,1601,'Live Data'!$C$19)),"")</f>
        <v/>
      </c>
      <c r="I1601" s="54" t="str">
        <f>IFERROR(IF(INDEX(SPOT_Import!$A$1:$Z$2488,1601,'Live Data'!$C$20)="","",INDEX(SPOT_Import!$A$1:$Z$2488,1601,'Live Data'!$C$20)),"")</f>
        <v/>
      </c>
      <c r="J1601" s="54" t="str">
        <f>IFERROR(IF(INDEX(SPOT_Import!$A$1:$Z$2488,1601,'Live Data'!$C$21)="","",INDEX(SPOT_Import!$A$1:$Z$2488,1601,'Live Data'!$C$21)),"")</f>
        <v/>
      </c>
      <c r="K1601" s="54" t="str">
        <f>IFERROR(IF(INDEX(SPOT_Import!$A$1:$Z$2488,1601,'Live Data'!$C$22)="","",INDEX(SPOT_Import!$A$1:$Z$2488,1601,'Live Data'!$C$22)),"")</f>
        <v/>
      </c>
      <c r="L1601" s="55" t="str">
        <f t="shared" si="48"/>
        <v/>
      </c>
      <c r="M1601" s="55" t="str">
        <f t="shared" si="49"/>
        <v/>
      </c>
      <c r="N1601" s="55" t="str">
        <f>IF(A1601="","",IFERROR(INDEX('Cluster Map'!$A$4:$A$38,MATCH(M1601,'Cluster Map'!$B$4:$B$38,0)),"Unmapped"))</f>
        <v/>
      </c>
      <c r="O1601" s="55">
        <f>IF(A1601="",0,IF(COUNTIFS($A$2:A1601,A1601,$F$2:F1601,F1601,$L$2:L1601,L1601)=1,1,0))</f>
        <v>0</v>
      </c>
      <c r="P1601" s="55">
        <f>IF(A1601="",0,IF(AND(F1601="C&amp;T",COUNTIFS($A$2:A1601,A1601,$F$2:F1601,"C&amp;T")=1),1,0))</f>
        <v>0</v>
      </c>
    </row>
    <row r="1602" spans="1:16" x14ac:dyDescent="0.35">
      <c r="A1602" s="54" t="str">
        <f>IFERROR(IF(INDEX(SPOT_Import!$A$1:$Z$2488,1602,'Live Data'!$C$12)="","",INDEX(SPOT_Import!$A$1:$Z$2488,1602,'Live Data'!$C$12)),"")</f>
        <v/>
      </c>
      <c r="B1602" s="54" t="str">
        <f>IFERROR(IF(INDEX(SPOT_Import!$A$1:$Z$2488,1602,'Live Data'!$C$13)="","",INDEX(SPOT_Import!$A$1:$Z$2488,1602,'Live Data'!$C$13)),"")</f>
        <v/>
      </c>
      <c r="C1602" s="54" t="str">
        <f>IFERROR(IF(INDEX(SPOT_Import!$A$1:$Z$2488,1602,'Live Data'!$C$14)="","",INDEX(SPOT_Import!$A$1:$Z$2488,1602,'Live Data'!$C$14)),"")</f>
        <v/>
      </c>
      <c r="D1602" s="54" t="str">
        <f>IFERROR(IF(INDEX(SPOT_Import!$A$1:$Z$2488,1602,'Live Data'!$C$15)="","",INDEX(SPOT_Import!$A$1:$Z$2488,1602,'Live Data'!$C$15)),"")</f>
        <v/>
      </c>
      <c r="E1602" s="54" t="str">
        <f>IFERROR(IF(INDEX(SPOT_Import!$A$1:$Z$2488,1602,'Live Data'!$C$16)="","",INDEX(SPOT_Import!$A$1:$Z$2488,1602,'Live Data'!$C$16)),"")</f>
        <v/>
      </c>
      <c r="F1602" s="54" t="str">
        <f>IFERROR(IF(INDEX(SPOT_Import!$A$1:$Z$2488,1602,'Live Data'!$C$17)="","",INDEX(SPOT_Import!$A$1:$Z$2488,1602,'Live Data'!$C$17)),"")</f>
        <v/>
      </c>
      <c r="G1602" s="54" t="str">
        <f>IFERROR(IF(INDEX(SPOT_Import!$A$1:$Z$2488,1602,'Live Data'!$C$18)="","",INDEX(SPOT_Import!$A$1:$Z$2488,1602,'Live Data'!$C$18)),"")</f>
        <v/>
      </c>
      <c r="H1602" s="54" t="str">
        <f>IFERROR(IF(INDEX(SPOT_Import!$A$1:$Z$2488,1602,'Live Data'!$C$19)="","",INDEX(SPOT_Import!$A$1:$Z$2488,1602,'Live Data'!$C$19)),"")</f>
        <v/>
      </c>
      <c r="I1602" s="54" t="str">
        <f>IFERROR(IF(INDEX(SPOT_Import!$A$1:$Z$2488,1602,'Live Data'!$C$20)="","",INDEX(SPOT_Import!$A$1:$Z$2488,1602,'Live Data'!$C$20)),"")</f>
        <v/>
      </c>
      <c r="J1602" s="54" t="str">
        <f>IFERROR(IF(INDEX(SPOT_Import!$A$1:$Z$2488,1602,'Live Data'!$C$21)="","",INDEX(SPOT_Import!$A$1:$Z$2488,1602,'Live Data'!$C$21)),"")</f>
        <v/>
      </c>
      <c r="K1602" s="54" t="str">
        <f>IFERROR(IF(INDEX(SPOT_Import!$A$1:$Z$2488,1602,'Live Data'!$C$22)="","",INDEX(SPOT_Import!$A$1:$Z$2488,1602,'Live Data'!$C$22)),"")</f>
        <v/>
      </c>
      <c r="L1602" s="55" t="str">
        <f t="shared" ref="L1602:L1665" si="50">IF(A1602="","",IF(ISNUMBER(K1602),TEXT(K1602,"yyyy-mm"),LEFT(K1602,7)))</f>
        <v/>
      </c>
      <c r="M1602" s="55" t="str">
        <f t="shared" ref="M1602:M1665" si="51">IF(A1602="","",UPPER(TRIM(SUBSTITUTE(C1602," - ","-"))))</f>
        <v/>
      </c>
      <c r="N1602" s="55" t="str">
        <f>IF(A1602="","",IFERROR(INDEX('Cluster Map'!$A$4:$A$38,MATCH(M1602,'Cluster Map'!$B$4:$B$38,0)),"Unmapped"))</f>
        <v/>
      </c>
      <c r="O1602" s="55">
        <f>IF(A1602="",0,IF(COUNTIFS($A$2:A1602,A1602,$F$2:F1602,F1602,$L$2:L1602,L1602)=1,1,0))</f>
        <v>0</v>
      </c>
      <c r="P1602" s="55">
        <f>IF(A1602="",0,IF(AND(F1602="C&amp;T",COUNTIFS($A$2:A1602,A1602,$F$2:F1602,"C&amp;T")=1),1,0))</f>
        <v>0</v>
      </c>
    </row>
    <row r="1603" spans="1:16" x14ac:dyDescent="0.35">
      <c r="A1603" s="54" t="str">
        <f>IFERROR(IF(INDEX(SPOT_Import!$A$1:$Z$2488,1603,'Live Data'!$C$12)="","",INDEX(SPOT_Import!$A$1:$Z$2488,1603,'Live Data'!$C$12)),"")</f>
        <v/>
      </c>
      <c r="B1603" s="54" t="str">
        <f>IFERROR(IF(INDEX(SPOT_Import!$A$1:$Z$2488,1603,'Live Data'!$C$13)="","",INDEX(SPOT_Import!$A$1:$Z$2488,1603,'Live Data'!$C$13)),"")</f>
        <v/>
      </c>
      <c r="C1603" s="54" t="str">
        <f>IFERROR(IF(INDEX(SPOT_Import!$A$1:$Z$2488,1603,'Live Data'!$C$14)="","",INDEX(SPOT_Import!$A$1:$Z$2488,1603,'Live Data'!$C$14)),"")</f>
        <v/>
      </c>
      <c r="D1603" s="54" t="str">
        <f>IFERROR(IF(INDEX(SPOT_Import!$A$1:$Z$2488,1603,'Live Data'!$C$15)="","",INDEX(SPOT_Import!$A$1:$Z$2488,1603,'Live Data'!$C$15)),"")</f>
        <v/>
      </c>
      <c r="E1603" s="54" t="str">
        <f>IFERROR(IF(INDEX(SPOT_Import!$A$1:$Z$2488,1603,'Live Data'!$C$16)="","",INDEX(SPOT_Import!$A$1:$Z$2488,1603,'Live Data'!$C$16)),"")</f>
        <v/>
      </c>
      <c r="F1603" s="54" t="str">
        <f>IFERROR(IF(INDEX(SPOT_Import!$A$1:$Z$2488,1603,'Live Data'!$C$17)="","",INDEX(SPOT_Import!$A$1:$Z$2488,1603,'Live Data'!$C$17)),"")</f>
        <v/>
      </c>
      <c r="G1603" s="54" t="str">
        <f>IFERROR(IF(INDEX(SPOT_Import!$A$1:$Z$2488,1603,'Live Data'!$C$18)="","",INDEX(SPOT_Import!$A$1:$Z$2488,1603,'Live Data'!$C$18)),"")</f>
        <v/>
      </c>
      <c r="H1603" s="54" t="str">
        <f>IFERROR(IF(INDEX(SPOT_Import!$A$1:$Z$2488,1603,'Live Data'!$C$19)="","",INDEX(SPOT_Import!$A$1:$Z$2488,1603,'Live Data'!$C$19)),"")</f>
        <v/>
      </c>
      <c r="I1603" s="54" t="str">
        <f>IFERROR(IF(INDEX(SPOT_Import!$A$1:$Z$2488,1603,'Live Data'!$C$20)="","",INDEX(SPOT_Import!$A$1:$Z$2488,1603,'Live Data'!$C$20)),"")</f>
        <v/>
      </c>
      <c r="J1603" s="54" t="str">
        <f>IFERROR(IF(INDEX(SPOT_Import!$A$1:$Z$2488,1603,'Live Data'!$C$21)="","",INDEX(SPOT_Import!$A$1:$Z$2488,1603,'Live Data'!$C$21)),"")</f>
        <v/>
      </c>
      <c r="K1603" s="54" t="str">
        <f>IFERROR(IF(INDEX(SPOT_Import!$A$1:$Z$2488,1603,'Live Data'!$C$22)="","",INDEX(SPOT_Import!$A$1:$Z$2488,1603,'Live Data'!$C$22)),"")</f>
        <v/>
      </c>
      <c r="L1603" s="55" t="str">
        <f t="shared" si="50"/>
        <v/>
      </c>
      <c r="M1603" s="55" t="str">
        <f t="shared" si="51"/>
        <v/>
      </c>
      <c r="N1603" s="55" t="str">
        <f>IF(A1603="","",IFERROR(INDEX('Cluster Map'!$A$4:$A$38,MATCH(M1603,'Cluster Map'!$B$4:$B$38,0)),"Unmapped"))</f>
        <v/>
      </c>
      <c r="O1603" s="55">
        <f>IF(A1603="",0,IF(COUNTIFS($A$2:A1603,A1603,$F$2:F1603,F1603,$L$2:L1603,L1603)=1,1,0))</f>
        <v>0</v>
      </c>
      <c r="P1603" s="55">
        <f>IF(A1603="",0,IF(AND(F1603="C&amp;T",COUNTIFS($A$2:A1603,A1603,$F$2:F1603,"C&amp;T")=1),1,0))</f>
        <v>0</v>
      </c>
    </row>
    <row r="1604" spans="1:16" x14ac:dyDescent="0.35">
      <c r="A1604" s="54" t="str">
        <f>IFERROR(IF(INDEX(SPOT_Import!$A$1:$Z$2488,1604,'Live Data'!$C$12)="","",INDEX(SPOT_Import!$A$1:$Z$2488,1604,'Live Data'!$C$12)),"")</f>
        <v/>
      </c>
      <c r="B1604" s="54" t="str">
        <f>IFERROR(IF(INDEX(SPOT_Import!$A$1:$Z$2488,1604,'Live Data'!$C$13)="","",INDEX(SPOT_Import!$A$1:$Z$2488,1604,'Live Data'!$C$13)),"")</f>
        <v/>
      </c>
      <c r="C1604" s="54" t="str">
        <f>IFERROR(IF(INDEX(SPOT_Import!$A$1:$Z$2488,1604,'Live Data'!$C$14)="","",INDEX(SPOT_Import!$A$1:$Z$2488,1604,'Live Data'!$C$14)),"")</f>
        <v/>
      </c>
      <c r="D1604" s="54" t="str">
        <f>IFERROR(IF(INDEX(SPOT_Import!$A$1:$Z$2488,1604,'Live Data'!$C$15)="","",INDEX(SPOT_Import!$A$1:$Z$2488,1604,'Live Data'!$C$15)),"")</f>
        <v/>
      </c>
      <c r="E1604" s="54" t="str">
        <f>IFERROR(IF(INDEX(SPOT_Import!$A$1:$Z$2488,1604,'Live Data'!$C$16)="","",INDEX(SPOT_Import!$A$1:$Z$2488,1604,'Live Data'!$C$16)),"")</f>
        <v/>
      </c>
      <c r="F1604" s="54" t="str">
        <f>IFERROR(IF(INDEX(SPOT_Import!$A$1:$Z$2488,1604,'Live Data'!$C$17)="","",INDEX(SPOT_Import!$A$1:$Z$2488,1604,'Live Data'!$C$17)),"")</f>
        <v/>
      </c>
      <c r="G1604" s="54" t="str">
        <f>IFERROR(IF(INDEX(SPOT_Import!$A$1:$Z$2488,1604,'Live Data'!$C$18)="","",INDEX(SPOT_Import!$A$1:$Z$2488,1604,'Live Data'!$C$18)),"")</f>
        <v/>
      </c>
      <c r="H1604" s="54" t="str">
        <f>IFERROR(IF(INDEX(SPOT_Import!$A$1:$Z$2488,1604,'Live Data'!$C$19)="","",INDEX(SPOT_Import!$A$1:$Z$2488,1604,'Live Data'!$C$19)),"")</f>
        <v/>
      </c>
      <c r="I1604" s="54" t="str">
        <f>IFERROR(IF(INDEX(SPOT_Import!$A$1:$Z$2488,1604,'Live Data'!$C$20)="","",INDEX(SPOT_Import!$A$1:$Z$2488,1604,'Live Data'!$C$20)),"")</f>
        <v/>
      </c>
      <c r="J1604" s="54" t="str">
        <f>IFERROR(IF(INDEX(SPOT_Import!$A$1:$Z$2488,1604,'Live Data'!$C$21)="","",INDEX(SPOT_Import!$A$1:$Z$2488,1604,'Live Data'!$C$21)),"")</f>
        <v/>
      </c>
      <c r="K1604" s="54" t="str">
        <f>IFERROR(IF(INDEX(SPOT_Import!$A$1:$Z$2488,1604,'Live Data'!$C$22)="","",INDEX(SPOT_Import!$A$1:$Z$2488,1604,'Live Data'!$C$22)),"")</f>
        <v/>
      </c>
      <c r="L1604" s="55" t="str">
        <f t="shared" si="50"/>
        <v/>
      </c>
      <c r="M1604" s="55" t="str">
        <f t="shared" si="51"/>
        <v/>
      </c>
      <c r="N1604" s="55" t="str">
        <f>IF(A1604="","",IFERROR(INDEX('Cluster Map'!$A$4:$A$38,MATCH(M1604,'Cluster Map'!$B$4:$B$38,0)),"Unmapped"))</f>
        <v/>
      </c>
      <c r="O1604" s="55">
        <f>IF(A1604="",0,IF(COUNTIFS($A$2:A1604,A1604,$F$2:F1604,F1604,$L$2:L1604,L1604)=1,1,0))</f>
        <v>0</v>
      </c>
      <c r="P1604" s="55">
        <f>IF(A1604="",0,IF(AND(F1604="C&amp;T",COUNTIFS($A$2:A1604,A1604,$F$2:F1604,"C&amp;T")=1),1,0))</f>
        <v>0</v>
      </c>
    </row>
    <row r="1605" spans="1:16" x14ac:dyDescent="0.35">
      <c r="A1605" s="54" t="str">
        <f>IFERROR(IF(INDEX(SPOT_Import!$A$1:$Z$2488,1605,'Live Data'!$C$12)="","",INDEX(SPOT_Import!$A$1:$Z$2488,1605,'Live Data'!$C$12)),"")</f>
        <v/>
      </c>
      <c r="B1605" s="54" t="str">
        <f>IFERROR(IF(INDEX(SPOT_Import!$A$1:$Z$2488,1605,'Live Data'!$C$13)="","",INDEX(SPOT_Import!$A$1:$Z$2488,1605,'Live Data'!$C$13)),"")</f>
        <v/>
      </c>
      <c r="C1605" s="54" t="str">
        <f>IFERROR(IF(INDEX(SPOT_Import!$A$1:$Z$2488,1605,'Live Data'!$C$14)="","",INDEX(SPOT_Import!$A$1:$Z$2488,1605,'Live Data'!$C$14)),"")</f>
        <v/>
      </c>
      <c r="D1605" s="54" t="str">
        <f>IFERROR(IF(INDEX(SPOT_Import!$A$1:$Z$2488,1605,'Live Data'!$C$15)="","",INDEX(SPOT_Import!$A$1:$Z$2488,1605,'Live Data'!$C$15)),"")</f>
        <v/>
      </c>
      <c r="E1605" s="54" t="str">
        <f>IFERROR(IF(INDEX(SPOT_Import!$A$1:$Z$2488,1605,'Live Data'!$C$16)="","",INDEX(SPOT_Import!$A$1:$Z$2488,1605,'Live Data'!$C$16)),"")</f>
        <v/>
      </c>
      <c r="F1605" s="54" t="str">
        <f>IFERROR(IF(INDEX(SPOT_Import!$A$1:$Z$2488,1605,'Live Data'!$C$17)="","",INDEX(SPOT_Import!$A$1:$Z$2488,1605,'Live Data'!$C$17)),"")</f>
        <v/>
      </c>
      <c r="G1605" s="54" t="str">
        <f>IFERROR(IF(INDEX(SPOT_Import!$A$1:$Z$2488,1605,'Live Data'!$C$18)="","",INDEX(SPOT_Import!$A$1:$Z$2488,1605,'Live Data'!$C$18)),"")</f>
        <v/>
      </c>
      <c r="H1605" s="54" t="str">
        <f>IFERROR(IF(INDEX(SPOT_Import!$A$1:$Z$2488,1605,'Live Data'!$C$19)="","",INDEX(SPOT_Import!$A$1:$Z$2488,1605,'Live Data'!$C$19)),"")</f>
        <v/>
      </c>
      <c r="I1605" s="54" t="str">
        <f>IFERROR(IF(INDEX(SPOT_Import!$A$1:$Z$2488,1605,'Live Data'!$C$20)="","",INDEX(SPOT_Import!$A$1:$Z$2488,1605,'Live Data'!$C$20)),"")</f>
        <v/>
      </c>
      <c r="J1605" s="54" t="str">
        <f>IFERROR(IF(INDEX(SPOT_Import!$A$1:$Z$2488,1605,'Live Data'!$C$21)="","",INDEX(SPOT_Import!$A$1:$Z$2488,1605,'Live Data'!$C$21)),"")</f>
        <v/>
      </c>
      <c r="K1605" s="54" t="str">
        <f>IFERROR(IF(INDEX(SPOT_Import!$A$1:$Z$2488,1605,'Live Data'!$C$22)="","",INDEX(SPOT_Import!$A$1:$Z$2488,1605,'Live Data'!$C$22)),"")</f>
        <v/>
      </c>
      <c r="L1605" s="55" t="str">
        <f t="shared" si="50"/>
        <v/>
      </c>
      <c r="M1605" s="55" t="str">
        <f t="shared" si="51"/>
        <v/>
      </c>
      <c r="N1605" s="55" t="str">
        <f>IF(A1605="","",IFERROR(INDEX('Cluster Map'!$A$4:$A$38,MATCH(M1605,'Cluster Map'!$B$4:$B$38,0)),"Unmapped"))</f>
        <v/>
      </c>
      <c r="O1605" s="55">
        <f>IF(A1605="",0,IF(COUNTIFS($A$2:A1605,A1605,$F$2:F1605,F1605,$L$2:L1605,L1605)=1,1,0))</f>
        <v>0</v>
      </c>
      <c r="P1605" s="55">
        <f>IF(A1605="",0,IF(AND(F1605="C&amp;T",COUNTIFS($A$2:A1605,A1605,$F$2:F1605,"C&amp;T")=1),1,0))</f>
        <v>0</v>
      </c>
    </row>
    <row r="1606" spans="1:16" x14ac:dyDescent="0.35">
      <c r="A1606" s="54" t="str">
        <f>IFERROR(IF(INDEX(SPOT_Import!$A$1:$Z$2488,1606,'Live Data'!$C$12)="","",INDEX(SPOT_Import!$A$1:$Z$2488,1606,'Live Data'!$C$12)),"")</f>
        <v/>
      </c>
      <c r="B1606" s="54" t="str">
        <f>IFERROR(IF(INDEX(SPOT_Import!$A$1:$Z$2488,1606,'Live Data'!$C$13)="","",INDEX(SPOT_Import!$A$1:$Z$2488,1606,'Live Data'!$C$13)),"")</f>
        <v/>
      </c>
      <c r="C1606" s="54" t="str">
        <f>IFERROR(IF(INDEX(SPOT_Import!$A$1:$Z$2488,1606,'Live Data'!$C$14)="","",INDEX(SPOT_Import!$A$1:$Z$2488,1606,'Live Data'!$C$14)),"")</f>
        <v/>
      </c>
      <c r="D1606" s="54" t="str">
        <f>IFERROR(IF(INDEX(SPOT_Import!$A$1:$Z$2488,1606,'Live Data'!$C$15)="","",INDEX(SPOT_Import!$A$1:$Z$2488,1606,'Live Data'!$C$15)),"")</f>
        <v/>
      </c>
      <c r="E1606" s="54" t="str">
        <f>IFERROR(IF(INDEX(SPOT_Import!$A$1:$Z$2488,1606,'Live Data'!$C$16)="","",INDEX(SPOT_Import!$A$1:$Z$2488,1606,'Live Data'!$C$16)),"")</f>
        <v/>
      </c>
      <c r="F1606" s="54" t="str">
        <f>IFERROR(IF(INDEX(SPOT_Import!$A$1:$Z$2488,1606,'Live Data'!$C$17)="","",INDEX(SPOT_Import!$A$1:$Z$2488,1606,'Live Data'!$C$17)),"")</f>
        <v/>
      </c>
      <c r="G1606" s="54" t="str">
        <f>IFERROR(IF(INDEX(SPOT_Import!$A$1:$Z$2488,1606,'Live Data'!$C$18)="","",INDEX(SPOT_Import!$A$1:$Z$2488,1606,'Live Data'!$C$18)),"")</f>
        <v/>
      </c>
      <c r="H1606" s="54" t="str">
        <f>IFERROR(IF(INDEX(SPOT_Import!$A$1:$Z$2488,1606,'Live Data'!$C$19)="","",INDEX(SPOT_Import!$A$1:$Z$2488,1606,'Live Data'!$C$19)),"")</f>
        <v/>
      </c>
      <c r="I1606" s="54" t="str">
        <f>IFERROR(IF(INDEX(SPOT_Import!$A$1:$Z$2488,1606,'Live Data'!$C$20)="","",INDEX(SPOT_Import!$A$1:$Z$2488,1606,'Live Data'!$C$20)),"")</f>
        <v/>
      </c>
      <c r="J1606" s="54" t="str">
        <f>IFERROR(IF(INDEX(SPOT_Import!$A$1:$Z$2488,1606,'Live Data'!$C$21)="","",INDEX(SPOT_Import!$A$1:$Z$2488,1606,'Live Data'!$C$21)),"")</f>
        <v/>
      </c>
      <c r="K1606" s="54" t="str">
        <f>IFERROR(IF(INDEX(SPOT_Import!$A$1:$Z$2488,1606,'Live Data'!$C$22)="","",INDEX(SPOT_Import!$A$1:$Z$2488,1606,'Live Data'!$C$22)),"")</f>
        <v/>
      </c>
      <c r="L1606" s="55" t="str">
        <f t="shared" si="50"/>
        <v/>
      </c>
      <c r="M1606" s="55" t="str">
        <f t="shared" si="51"/>
        <v/>
      </c>
      <c r="N1606" s="55" t="str">
        <f>IF(A1606="","",IFERROR(INDEX('Cluster Map'!$A$4:$A$38,MATCH(M1606,'Cluster Map'!$B$4:$B$38,0)),"Unmapped"))</f>
        <v/>
      </c>
      <c r="O1606" s="55">
        <f>IF(A1606="",0,IF(COUNTIFS($A$2:A1606,A1606,$F$2:F1606,F1606,$L$2:L1606,L1606)=1,1,0))</f>
        <v>0</v>
      </c>
      <c r="P1606" s="55">
        <f>IF(A1606="",0,IF(AND(F1606="C&amp;T",COUNTIFS($A$2:A1606,A1606,$F$2:F1606,"C&amp;T")=1),1,0))</f>
        <v>0</v>
      </c>
    </row>
    <row r="1607" spans="1:16" x14ac:dyDescent="0.35">
      <c r="A1607" s="54" t="str">
        <f>IFERROR(IF(INDEX(SPOT_Import!$A$1:$Z$2488,1607,'Live Data'!$C$12)="","",INDEX(SPOT_Import!$A$1:$Z$2488,1607,'Live Data'!$C$12)),"")</f>
        <v/>
      </c>
      <c r="B1607" s="54" t="str">
        <f>IFERROR(IF(INDEX(SPOT_Import!$A$1:$Z$2488,1607,'Live Data'!$C$13)="","",INDEX(SPOT_Import!$A$1:$Z$2488,1607,'Live Data'!$C$13)),"")</f>
        <v/>
      </c>
      <c r="C1607" s="54" t="str">
        <f>IFERROR(IF(INDEX(SPOT_Import!$A$1:$Z$2488,1607,'Live Data'!$C$14)="","",INDEX(SPOT_Import!$A$1:$Z$2488,1607,'Live Data'!$C$14)),"")</f>
        <v/>
      </c>
      <c r="D1607" s="54" t="str">
        <f>IFERROR(IF(INDEX(SPOT_Import!$A$1:$Z$2488,1607,'Live Data'!$C$15)="","",INDEX(SPOT_Import!$A$1:$Z$2488,1607,'Live Data'!$C$15)),"")</f>
        <v/>
      </c>
      <c r="E1607" s="54" t="str">
        <f>IFERROR(IF(INDEX(SPOT_Import!$A$1:$Z$2488,1607,'Live Data'!$C$16)="","",INDEX(SPOT_Import!$A$1:$Z$2488,1607,'Live Data'!$C$16)),"")</f>
        <v/>
      </c>
      <c r="F1607" s="54" t="str">
        <f>IFERROR(IF(INDEX(SPOT_Import!$A$1:$Z$2488,1607,'Live Data'!$C$17)="","",INDEX(SPOT_Import!$A$1:$Z$2488,1607,'Live Data'!$C$17)),"")</f>
        <v/>
      </c>
      <c r="G1607" s="54" t="str">
        <f>IFERROR(IF(INDEX(SPOT_Import!$A$1:$Z$2488,1607,'Live Data'!$C$18)="","",INDEX(SPOT_Import!$A$1:$Z$2488,1607,'Live Data'!$C$18)),"")</f>
        <v/>
      </c>
      <c r="H1607" s="54" t="str">
        <f>IFERROR(IF(INDEX(SPOT_Import!$A$1:$Z$2488,1607,'Live Data'!$C$19)="","",INDEX(SPOT_Import!$A$1:$Z$2488,1607,'Live Data'!$C$19)),"")</f>
        <v/>
      </c>
      <c r="I1607" s="54" t="str">
        <f>IFERROR(IF(INDEX(SPOT_Import!$A$1:$Z$2488,1607,'Live Data'!$C$20)="","",INDEX(SPOT_Import!$A$1:$Z$2488,1607,'Live Data'!$C$20)),"")</f>
        <v/>
      </c>
      <c r="J1607" s="54" t="str">
        <f>IFERROR(IF(INDEX(SPOT_Import!$A$1:$Z$2488,1607,'Live Data'!$C$21)="","",INDEX(SPOT_Import!$A$1:$Z$2488,1607,'Live Data'!$C$21)),"")</f>
        <v/>
      </c>
      <c r="K1607" s="54" t="str">
        <f>IFERROR(IF(INDEX(SPOT_Import!$A$1:$Z$2488,1607,'Live Data'!$C$22)="","",INDEX(SPOT_Import!$A$1:$Z$2488,1607,'Live Data'!$C$22)),"")</f>
        <v/>
      </c>
      <c r="L1607" s="55" t="str">
        <f t="shared" si="50"/>
        <v/>
      </c>
      <c r="M1607" s="55" t="str">
        <f t="shared" si="51"/>
        <v/>
      </c>
      <c r="N1607" s="55" t="str">
        <f>IF(A1607="","",IFERROR(INDEX('Cluster Map'!$A$4:$A$38,MATCH(M1607,'Cluster Map'!$B$4:$B$38,0)),"Unmapped"))</f>
        <v/>
      </c>
      <c r="O1607" s="55">
        <f>IF(A1607="",0,IF(COUNTIFS($A$2:A1607,A1607,$F$2:F1607,F1607,$L$2:L1607,L1607)=1,1,0))</f>
        <v>0</v>
      </c>
      <c r="P1607" s="55">
        <f>IF(A1607="",0,IF(AND(F1607="C&amp;T",COUNTIFS($A$2:A1607,A1607,$F$2:F1607,"C&amp;T")=1),1,0))</f>
        <v>0</v>
      </c>
    </row>
    <row r="1608" spans="1:16" x14ac:dyDescent="0.35">
      <c r="A1608" s="54" t="str">
        <f>IFERROR(IF(INDEX(SPOT_Import!$A$1:$Z$2488,1608,'Live Data'!$C$12)="","",INDEX(SPOT_Import!$A$1:$Z$2488,1608,'Live Data'!$C$12)),"")</f>
        <v/>
      </c>
      <c r="B1608" s="54" t="str">
        <f>IFERROR(IF(INDEX(SPOT_Import!$A$1:$Z$2488,1608,'Live Data'!$C$13)="","",INDEX(SPOT_Import!$A$1:$Z$2488,1608,'Live Data'!$C$13)),"")</f>
        <v/>
      </c>
      <c r="C1608" s="54" t="str">
        <f>IFERROR(IF(INDEX(SPOT_Import!$A$1:$Z$2488,1608,'Live Data'!$C$14)="","",INDEX(SPOT_Import!$A$1:$Z$2488,1608,'Live Data'!$C$14)),"")</f>
        <v/>
      </c>
      <c r="D1608" s="54" t="str">
        <f>IFERROR(IF(INDEX(SPOT_Import!$A$1:$Z$2488,1608,'Live Data'!$C$15)="","",INDEX(SPOT_Import!$A$1:$Z$2488,1608,'Live Data'!$C$15)),"")</f>
        <v/>
      </c>
      <c r="E1608" s="54" t="str">
        <f>IFERROR(IF(INDEX(SPOT_Import!$A$1:$Z$2488,1608,'Live Data'!$C$16)="","",INDEX(SPOT_Import!$A$1:$Z$2488,1608,'Live Data'!$C$16)),"")</f>
        <v/>
      </c>
      <c r="F1608" s="54" t="str">
        <f>IFERROR(IF(INDEX(SPOT_Import!$A$1:$Z$2488,1608,'Live Data'!$C$17)="","",INDEX(SPOT_Import!$A$1:$Z$2488,1608,'Live Data'!$C$17)),"")</f>
        <v/>
      </c>
      <c r="G1608" s="54" t="str">
        <f>IFERROR(IF(INDEX(SPOT_Import!$A$1:$Z$2488,1608,'Live Data'!$C$18)="","",INDEX(SPOT_Import!$A$1:$Z$2488,1608,'Live Data'!$C$18)),"")</f>
        <v/>
      </c>
      <c r="H1608" s="54" t="str">
        <f>IFERROR(IF(INDEX(SPOT_Import!$A$1:$Z$2488,1608,'Live Data'!$C$19)="","",INDEX(SPOT_Import!$A$1:$Z$2488,1608,'Live Data'!$C$19)),"")</f>
        <v/>
      </c>
      <c r="I1608" s="54" t="str">
        <f>IFERROR(IF(INDEX(SPOT_Import!$A$1:$Z$2488,1608,'Live Data'!$C$20)="","",INDEX(SPOT_Import!$A$1:$Z$2488,1608,'Live Data'!$C$20)),"")</f>
        <v/>
      </c>
      <c r="J1608" s="54" t="str">
        <f>IFERROR(IF(INDEX(SPOT_Import!$A$1:$Z$2488,1608,'Live Data'!$C$21)="","",INDEX(SPOT_Import!$A$1:$Z$2488,1608,'Live Data'!$C$21)),"")</f>
        <v/>
      </c>
      <c r="K1608" s="54" t="str">
        <f>IFERROR(IF(INDEX(SPOT_Import!$A$1:$Z$2488,1608,'Live Data'!$C$22)="","",INDEX(SPOT_Import!$A$1:$Z$2488,1608,'Live Data'!$C$22)),"")</f>
        <v/>
      </c>
      <c r="L1608" s="55" t="str">
        <f t="shared" si="50"/>
        <v/>
      </c>
      <c r="M1608" s="55" t="str">
        <f t="shared" si="51"/>
        <v/>
      </c>
      <c r="N1608" s="55" t="str">
        <f>IF(A1608="","",IFERROR(INDEX('Cluster Map'!$A$4:$A$38,MATCH(M1608,'Cluster Map'!$B$4:$B$38,0)),"Unmapped"))</f>
        <v/>
      </c>
      <c r="O1608" s="55">
        <f>IF(A1608="",0,IF(COUNTIFS($A$2:A1608,A1608,$F$2:F1608,F1608,$L$2:L1608,L1608)=1,1,0))</f>
        <v>0</v>
      </c>
      <c r="P1608" s="55">
        <f>IF(A1608="",0,IF(AND(F1608="C&amp;T",COUNTIFS($A$2:A1608,A1608,$F$2:F1608,"C&amp;T")=1),1,0))</f>
        <v>0</v>
      </c>
    </row>
    <row r="1609" spans="1:16" x14ac:dyDescent="0.35">
      <c r="A1609" s="54" t="str">
        <f>IFERROR(IF(INDEX(SPOT_Import!$A$1:$Z$2488,1609,'Live Data'!$C$12)="","",INDEX(SPOT_Import!$A$1:$Z$2488,1609,'Live Data'!$C$12)),"")</f>
        <v/>
      </c>
      <c r="B1609" s="54" t="str">
        <f>IFERROR(IF(INDEX(SPOT_Import!$A$1:$Z$2488,1609,'Live Data'!$C$13)="","",INDEX(SPOT_Import!$A$1:$Z$2488,1609,'Live Data'!$C$13)),"")</f>
        <v/>
      </c>
      <c r="C1609" s="54" t="str">
        <f>IFERROR(IF(INDEX(SPOT_Import!$A$1:$Z$2488,1609,'Live Data'!$C$14)="","",INDEX(SPOT_Import!$A$1:$Z$2488,1609,'Live Data'!$C$14)),"")</f>
        <v/>
      </c>
      <c r="D1609" s="54" t="str">
        <f>IFERROR(IF(INDEX(SPOT_Import!$A$1:$Z$2488,1609,'Live Data'!$C$15)="","",INDEX(SPOT_Import!$A$1:$Z$2488,1609,'Live Data'!$C$15)),"")</f>
        <v/>
      </c>
      <c r="E1609" s="54" t="str">
        <f>IFERROR(IF(INDEX(SPOT_Import!$A$1:$Z$2488,1609,'Live Data'!$C$16)="","",INDEX(SPOT_Import!$A$1:$Z$2488,1609,'Live Data'!$C$16)),"")</f>
        <v/>
      </c>
      <c r="F1609" s="54" t="str">
        <f>IFERROR(IF(INDEX(SPOT_Import!$A$1:$Z$2488,1609,'Live Data'!$C$17)="","",INDEX(SPOT_Import!$A$1:$Z$2488,1609,'Live Data'!$C$17)),"")</f>
        <v/>
      </c>
      <c r="G1609" s="54" t="str">
        <f>IFERROR(IF(INDEX(SPOT_Import!$A$1:$Z$2488,1609,'Live Data'!$C$18)="","",INDEX(SPOT_Import!$A$1:$Z$2488,1609,'Live Data'!$C$18)),"")</f>
        <v/>
      </c>
      <c r="H1609" s="54" t="str">
        <f>IFERROR(IF(INDEX(SPOT_Import!$A$1:$Z$2488,1609,'Live Data'!$C$19)="","",INDEX(SPOT_Import!$A$1:$Z$2488,1609,'Live Data'!$C$19)),"")</f>
        <v/>
      </c>
      <c r="I1609" s="54" t="str">
        <f>IFERROR(IF(INDEX(SPOT_Import!$A$1:$Z$2488,1609,'Live Data'!$C$20)="","",INDEX(SPOT_Import!$A$1:$Z$2488,1609,'Live Data'!$C$20)),"")</f>
        <v/>
      </c>
      <c r="J1609" s="54" t="str">
        <f>IFERROR(IF(INDEX(SPOT_Import!$A$1:$Z$2488,1609,'Live Data'!$C$21)="","",INDEX(SPOT_Import!$A$1:$Z$2488,1609,'Live Data'!$C$21)),"")</f>
        <v/>
      </c>
      <c r="K1609" s="54" t="str">
        <f>IFERROR(IF(INDEX(SPOT_Import!$A$1:$Z$2488,1609,'Live Data'!$C$22)="","",INDEX(SPOT_Import!$A$1:$Z$2488,1609,'Live Data'!$C$22)),"")</f>
        <v/>
      </c>
      <c r="L1609" s="55" t="str">
        <f t="shared" si="50"/>
        <v/>
      </c>
      <c r="M1609" s="55" t="str">
        <f t="shared" si="51"/>
        <v/>
      </c>
      <c r="N1609" s="55" t="str">
        <f>IF(A1609="","",IFERROR(INDEX('Cluster Map'!$A$4:$A$38,MATCH(M1609,'Cluster Map'!$B$4:$B$38,0)),"Unmapped"))</f>
        <v/>
      </c>
      <c r="O1609" s="55">
        <f>IF(A1609="",0,IF(COUNTIFS($A$2:A1609,A1609,$F$2:F1609,F1609,$L$2:L1609,L1609)=1,1,0))</f>
        <v>0</v>
      </c>
      <c r="P1609" s="55">
        <f>IF(A1609="",0,IF(AND(F1609="C&amp;T",COUNTIFS($A$2:A1609,A1609,$F$2:F1609,"C&amp;T")=1),1,0))</f>
        <v>0</v>
      </c>
    </row>
    <row r="1610" spans="1:16" x14ac:dyDescent="0.35">
      <c r="A1610" s="54" t="str">
        <f>IFERROR(IF(INDEX(SPOT_Import!$A$1:$Z$2488,1610,'Live Data'!$C$12)="","",INDEX(SPOT_Import!$A$1:$Z$2488,1610,'Live Data'!$C$12)),"")</f>
        <v/>
      </c>
      <c r="B1610" s="54" t="str">
        <f>IFERROR(IF(INDEX(SPOT_Import!$A$1:$Z$2488,1610,'Live Data'!$C$13)="","",INDEX(SPOT_Import!$A$1:$Z$2488,1610,'Live Data'!$C$13)),"")</f>
        <v/>
      </c>
      <c r="C1610" s="54" t="str">
        <f>IFERROR(IF(INDEX(SPOT_Import!$A$1:$Z$2488,1610,'Live Data'!$C$14)="","",INDEX(SPOT_Import!$A$1:$Z$2488,1610,'Live Data'!$C$14)),"")</f>
        <v/>
      </c>
      <c r="D1610" s="54" t="str">
        <f>IFERROR(IF(INDEX(SPOT_Import!$A$1:$Z$2488,1610,'Live Data'!$C$15)="","",INDEX(SPOT_Import!$A$1:$Z$2488,1610,'Live Data'!$C$15)),"")</f>
        <v/>
      </c>
      <c r="E1610" s="54" t="str">
        <f>IFERROR(IF(INDEX(SPOT_Import!$A$1:$Z$2488,1610,'Live Data'!$C$16)="","",INDEX(SPOT_Import!$A$1:$Z$2488,1610,'Live Data'!$C$16)),"")</f>
        <v/>
      </c>
      <c r="F1610" s="54" t="str">
        <f>IFERROR(IF(INDEX(SPOT_Import!$A$1:$Z$2488,1610,'Live Data'!$C$17)="","",INDEX(SPOT_Import!$A$1:$Z$2488,1610,'Live Data'!$C$17)),"")</f>
        <v/>
      </c>
      <c r="G1610" s="54" t="str">
        <f>IFERROR(IF(INDEX(SPOT_Import!$A$1:$Z$2488,1610,'Live Data'!$C$18)="","",INDEX(SPOT_Import!$A$1:$Z$2488,1610,'Live Data'!$C$18)),"")</f>
        <v/>
      </c>
      <c r="H1610" s="54" t="str">
        <f>IFERROR(IF(INDEX(SPOT_Import!$A$1:$Z$2488,1610,'Live Data'!$C$19)="","",INDEX(SPOT_Import!$A$1:$Z$2488,1610,'Live Data'!$C$19)),"")</f>
        <v/>
      </c>
      <c r="I1610" s="54" t="str">
        <f>IFERROR(IF(INDEX(SPOT_Import!$A$1:$Z$2488,1610,'Live Data'!$C$20)="","",INDEX(SPOT_Import!$A$1:$Z$2488,1610,'Live Data'!$C$20)),"")</f>
        <v/>
      </c>
      <c r="J1610" s="54" t="str">
        <f>IFERROR(IF(INDEX(SPOT_Import!$A$1:$Z$2488,1610,'Live Data'!$C$21)="","",INDEX(SPOT_Import!$A$1:$Z$2488,1610,'Live Data'!$C$21)),"")</f>
        <v/>
      </c>
      <c r="K1610" s="54" t="str">
        <f>IFERROR(IF(INDEX(SPOT_Import!$A$1:$Z$2488,1610,'Live Data'!$C$22)="","",INDEX(SPOT_Import!$A$1:$Z$2488,1610,'Live Data'!$C$22)),"")</f>
        <v/>
      </c>
      <c r="L1610" s="55" t="str">
        <f t="shared" si="50"/>
        <v/>
      </c>
      <c r="M1610" s="55" t="str">
        <f t="shared" si="51"/>
        <v/>
      </c>
      <c r="N1610" s="55" t="str">
        <f>IF(A1610="","",IFERROR(INDEX('Cluster Map'!$A$4:$A$38,MATCH(M1610,'Cluster Map'!$B$4:$B$38,0)),"Unmapped"))</f>
        <v/>
      </c>
      <c r="O1610" s="55">
        <f>IF(A1610="",0,IF(COUNTIFS($A$2:A1610,A1610,$F$2:F1610,F1610,$L$2:L1610,L1610)=1,1,0))</f>
        <v>0</v>
      </c>
      <c r="P1610" s="55">
        <f>IF(A1610="",0,IF(AND(F1610="C&amp;T",COUNTIFS($A$2:A1610,A1610,$F$2:F1610,"C&amp;T")=1),1,0))</f>
        <v>0</v>
      </c>
    </row>
    <row r="1611" spans="1:16" x14ac:dyDescent="0.35">
      <c r="A1611" s="54" t="str">
        <f>IFERROR(IF(INDEX(SPOT_Import!$A$1:$Z$2488,1611,'Live Data'!$C$12)="","",INDEX(SPOT_Import!$A$1:$Z$2488,1611,'Live Data'!$C$12)),"")</f>
        <v/>
      </c>
      <c r="B1611" s="54" t="str">
        <f>IFERROR(IF(INDEX(SPOT_Import!$A$1:$Z$2488,1611,'Live Data'!$C$13)="","",INDEX(SPOT_Import!$A$1:$Z$2488,1611,'Live Data'!$C$13)),"")</f>
        <v/>
      </c>
      <c r="C1611" s="54" t="str">
        <f>IFERROR(IF(INDEX(SPOT_Import!$A$1:$Z$2488,1611,'Live Data'!$C$14)="","",INDEX(SPOT_Import!$A$1:$Z$2488,1611,'Live Data'!$C$14)),"")</f>
        <v/>
      </c>
      <c r="D1611" s="54" t="str">
        <f>IFERROR(IF(INDEX(SPOT_Import!$A$1:$Z$2488,1611,'Live Data'!$C$15)="","",INDEX(SPOT_Import!$A$1:$Z$2488,1611,'Live Data'!$C$15)),"")</f>
        <v/>
      </c>
      <c r="E1611" s="54" t="str">
        <f>IFERROR(IF(INDEX(SPOT_Import!$A$1:$Z$2488,1611,'Live Data'!$C$16)="","",INDEX(SPOT_Import!$A$1:$Z$2488,1611,'Live Data'!$C$16)),"")</f>
        <v/>
      </c>
      <c r="F1611" s="54" t="str">
        <f>IFERROR(IF(INDEX(SPOT_Import!$A$1:$Z$2488,1611,'Live Data'!$C$17)="","",INDEX(SPOT_Import!$A$1:$Z$2488,1611,'Live Data'!$C$17)),"")</f>
        <v/>
      </c>
      <c r="G1611" s="54" t="str">
        <f>IFERROR(IF(INDEX(SPOT_Import!$A$1:$Z$2488,1611,'Live Data'!$C$18)="","",INDEX(SPOT_Import!$A$1:$Z$2488,1611,'Live Data'!$C$18)),"")</f>
        <v/>
      </c>
      <c r="H1611" s="54" t="str">
        <f>IFERROR(IF(INDEX(SPOT_Import!$A$1:$Z$2488,1611,'Live Data'!$C$19)="","",INDEX(SPOT_Import!$A$1:$Z$2488,1611,'Live Data'!$C$19)),"")</f>
        <v/>
      </c>
      <c r="I1611" s="54" t="str">
        <f>IFERROR(IF(INDEX(SPOT_Import!$A$1:$Z$2488,1611,'Live Data'!$C$20)="","",INDEX(SPOT_Import!$A$1:$Z$2488,1611,'Live Data'!$C$20)),"")</f>
        <v/>
      </c>
      <c r="J1611" s="54" t="str">
        <f>IFERROR(IF(INDEX(SPOT_Import!$A$1:$Z$2488,1611,'Live Data'!$C$21)="","",INDEX(SPOT_Import!$A$1:$Z$2488,1611,'Live Data'!$C$21)),"")</f>
        <v/>
      </c>
      <c r="K1611" s="54" t="str">
        <f>IFERROR(IF(INDEX(SPOT_Import!$A$1:$Z$2488,1611,'Live Data'!$C$22)="","",INDEX(SPOT_Import!$A$1:$Z$2488,1611,'Live Data'!$C$22)),"")</f>
        <v/>
      </c>
      <c r="L1611" s="55" t="str">
        <f t="shared" si="50"/>
        <v/>
      </c>
      <c r="M1611" s="55" t="str">
        <f t="shared" si="51"/>
        <v/>
      </c>
      <c r="N1611" s="55" t="str">
        <f>IF(A1611="","",IFERROR(INDEX('Cluster Map'!$A$4:$A$38,MATCH(M1611,'Cluster Map'!$B$4:$B$38,0)),"Unmapped"))</f>
        <v/>
      </c>
      <c r="O1611" s="55">
        <f>IF(A1611="",0,IF(COUNTIFS($A$2:A1611,A1611,$F$2:F1611,F1611,$L$2:L1611,L1611)=1,1,0))</f>
        <v>0</v>
      </c>
      <c r="P1611" s="55">
        <f>IF(A1611="",0,IF(AND(F1611="C&amp;T",COUNTIFS($A$2:A1611,A1611,$F$2:F1611,"C&amp;T")=1),1,0))</f>
        <v>0</v>
      </c>
    </row>
    <row r="1612" spans="1:16" x14ac:dyDescent="0.35">
      <c r="A1612" s="54" t="str">
        <f>IFERROR(IF(INDEX(SPOT_Import!$A$1:$Z$2488,1612,'Live Data'!$C$12)="","",INDEX(SPOT_Import!$A$1:$Z$2488,1612,'Live Data'!$C$12)),"")</f>
        <v/>
      </c>
      <c r="B1612" s="54" t="str">
        <f>IFERROR(IF(INDEX(SPOT_Import!$A$1:$Z$2488,1612,'Live Data'!$C$13)="","",INDEX(SPOT_Import!$A$1:$Z$2488,1612,'Live Data'!$C$13)),"")</f>
        <v/>
      </c>
      <c r="C1612" s="54" t="str">
        <f>IFERROR(IF(INDEX(SPOT_Import!$A$1:$Z$2488,1612,'Live Data'!$C$14)="","",INDEX(SPOT_Import!$A$1:$Z$2488,1612,'Live Data'!$C$14)),"")</f>
        <v/>
      </c>
      <c r="D1612" s="54" t="str">
        <f>IFERROR(IF(INDEX(SPOT_Import!$A$1:$Z$2488,1612,'Live Data'!$C$15)="","",INDEX(SPOT_Import!$A$1:$Z$2488,1612,'Live Data'!$C$15)),"")</f>
        <v/>
      </c>
      <c r="E1612" s="54" t="str">
        <f>IFERROR(IF(INDEX(SPOT_Import!$A$1:$Z$2488,1612,'Live Data'!$C$16)="","",INDEX(SPOT_Import!$A$1:$Z$2488,1612,'Live Data'!$C$16)),"")</f>
        <v/>
      </c>
      <c r="F1612" s="54" t="str">
        <f>IFERROR(IF(INDEX(SPOT_Import!$A$1:$Z$2488,1612,'Live Data'!$C$17)="","",INDEX(SPOT_Import!$A$1:$Z$2488,1612,'Live Data'!$C$17)),"")</f>
        <v/>
      </c>
      <c r="G1612" s="54" t="str">
        <f>IFERROR(IF(INDEX(SPOT_Import!$A$1:$Z$2488,1612,'Live Data'!$C$18)="","",INDEX(SPOT_Import!$A$1:$Z$2488,1612,'Live Data'!$C$18)),"")</f>
        <v/>
      </c>
      <c r="H1612" s="54" t="str">
        <f>IFERROR(IF(INDEX(SPOT_Import!$A$1:$Z$2488,1612,'Live Data'!$C$19)="","",INDEX(SPOT_Import!$A$1:$Z$2488,1612,'Live Data'!$C$19)),"")</f>
        <v/>
      </c>
      <c r="I1612" s="54" t="str">
        <f>IFERROR(IF(INDEX(SPOT_Import!$A$1:$Z$2488,1612,'Live Data'!$C$20)="","",INDEX(SPOT_Import!$A$1:$Z$2488,1612,'Live Data'!$C$20)),"")</f>
        <v/>
      </c>
      <c r="J1612" s="54" t="str">
        <f>IFERROR(IF(INDEX(SPOT_Import!$A$1:$Z$2488,1612,'Live Data'!$C$21)="","",INDEX(SPOT_Import!$A$1:$Z$2488,1612,'Live Data'!$C$21)),"")</f>
        <v/>
      </c>
      <c r="K1612" s="54" t="str">
        <f>IFERROR(IF(INDEX(SPOT_Import!$A$1:$Z$2488,1612,'Live Data'!$C$22)="","",INDEX(SPOT_Import!$A$1:$Z$2488,1612,'Live Data'!$C$22)),"")</f>
        <v/>
      </c>
      <c r="L1612" s="55" t="str">
        <f t="shared" si="50"/>
        <v/>
      </c>
      <c r="M1612" s="55" t="str">
        <f t="shared" si="51"/>
        <v/>
      </c>
      <c r="N1612" s="55" t="str">
        <f>IF(A1612="","",IFERROR(INDEX('Cluster Map'!$A$4:$A$38,MATCH(M1612,'Cluster Map'!$B$4:$B$38,0)),"Unmapped"))</f>
        <v/>
      </c>
      <c r="O1612" s="55">
        <f>IF(A1612="",0,IF(COUNTIFS($A$2:A1612,A1612,$F$2:F1612,F1612,$L$2:L1612,L1612)=1,1,0))</f>
        <v>0</v>
      </c>
      <c r="P1612" s="55">
        <f>IF(A1612="",0,IF(AND(F1612="C&amp;T",COUNTIFS($A$2:A1612,A1612,$F$2:F1612,"C&amp;T")=1),1,0))</f>
        <v>0</v>
      </c>
    </row>
    <row r="1613" spans="1:16" x14ac:dyDescent="0.35">
      <c r="A1613" s="54" t="str">
        <f>IFERROR(IF(INDEX(SPOT_Import!$A$1:$Z$2488,1613,'Live Data'!$C$12)="","",INDEX(SPOT_Import!$A$1:$Z$2488,1613,'Live Data'!$C$12)),"")</f>
        <v/>
      </c>
      <c r="B1613" s="54" t="str">
        <f>IFERROR(IF(INDEX(SPOT_Import!$A$1:$Z$2488,1613,'Live Data'!$C$13)="","",INDEX(SPOT_Import!$A$1:$Z$2488,1613,'Live Data'!$C$13)),"")</f>
        <v/>
      </c>
      <c r="C1613" s="54" t="str">
        <f>IFERROR(IF(INDEX(SPOT_Import!$A$1:$Z$2488,1613,'Live Data'!$C$14)="","",INDEX(SPOT_Import!$A$1:$Z$2488,1613,'Live Data'!$C$14)),"")</f>
        <v/>
      </c>
      <c r="D1613" s="54" t="str">
        <f>IFERROR(IF(INDEX(SPOT_Import!$A$1:$Z$2488,1613,'Live Data'!$C$15)="","",INDEX(SPOT_Import!$A$1:$Z$2488,1613,'Live Data'!$C$15)),"")</f>
        <v/>
      </c>
      <c r="E1613" s="54" t="str">
        <f>IFERROR(IF(INDEX(SPOT_Import!$A$1:$Z$2488,1613,'Live Data'!$C$16)="","",INDEX(SPOT_Import!$A$1:$Z$2488,1613,'Live Data'!$C$16)),"")</f>
        <v/>
      </c>
      <c r="F1613" s="54" t="str">
        <f>IFERROR(IF(INDEX(SPOT_Import!$A$1:$Z$2488,1613,'Live Data'!$C$17)="","",INDEX(SPOT_Import!$A$1:$Z$2488,1613,'Live Data'!$C$17)),"")</f>
        <v/>
      </c>
      <c r="G1613" s="54" t="str">
        <f>IFERROR(IF(INDEX(SPOT_Import!$A$1:$Z$2488,1613,'Live Data'!$C$18)="","",INDEX(SPOT_Import!$A$1:$Z$2488,1613,'Live Data'!$C$18)),"")</f>
        <v/>
      </c>
      <c r="H1613" s="54" t="str">
        <f>IFERROR(IF(INDEX(SPOT_Import!$A$1:$Z$2488,1613,'Live Data'!$C$19)="","",INDEX(SPOT_Import!$A$1:$Z$2488,1613,'Live Data'!$C$19)),"")</f>
        <v/>
      </c>
      <c r="I1613" s="54" t="str">
        <f>IFERROR(IF(INDEX(SPOT_Import!$A$1:$Z$2488,1613,'Live Data'!$C$20)="","",INDEX(SPOT_Import!$A$1:$Z$2488,1613,'Live Data'!$C$20)),"")</f>
        <v/>
      </c>
      <c r="J1613" s="54" t="str">
        <f>IFERROR(IF(INDEX(SPOT_Import!$A$1:$Z$2488,1613,'Live Data'!$C$21)="","",INDEX(SPOT_Import!$A$1:$Z$2488,1613,'Live Data'!$C$21)),"")</f>
        <v/>
      </c>
      <c r="K1613" s="54" t="str">
        <f>IFERROR(IF(INDEX(SPOT_Import!$A$1:$Z$2488,1613,'Live Data'!$C$22)="","",INDEX(SPOT_Import!$A$1:$Z$2488,1613,'Live Data'!$C$22)),"")</f>
        <v/>
      </c>
      <c r="L1613" s="55" t="str">
        <f t="shared" si="50"/>
        <v/>
      </c>
      <c r="M1613" s="55" t="str">
        <f t="shared" si="51"/>
        <v/>
      </c>
      <c r="N1613" s="55" t="str">
        <f>IF(A1613="","",IFERROR(INDEX('Cluster Map'!$A$4:$A$38,MATCH(M1613,'Cluster Map'!$B$4:$B$38,0)),"Unmapped"))</f>
        <v/>
      </c>
      <c r="O1613" s="55">
        <f>IF(A1613="",0,IF(COUNTIFS($A$2:A1613,A1613,$F$2:F1613,F1613,$L$2:L1613,L1613)=1,1,0))</f>
        <v>0</v>
      </c>
      <c r="P1613" s="55">
        <f>IF(A1613="",0,IF(AND(F1613="C&amp;T",COUNTIFS($A$2:A1613,A1613,$F$2:F1613,"C&amp;T")=1),1,0))</f>
        <v>0</v>
      </c>
    </row>
    <row r="1614" spans="1:16" x14ac:dyDescent="0.35">
      <c r="A1614" s="54" t="str">
        <f>IFERROR(IF(INDEX(SPOT_Import!$A$1:$Z$2488,1614,'Live Data'!$C$12)="","",INDEX(SPOT_Import!$A$1:$Z$2488,1614,'Live Data'!$C$12)),"")</f>
        <v/>
      </c>
      <c r="B1614" s="54" t="str">
        <f>IFERROR(IF(INDEX(SPOT_Import!$A$1:$Z$2488,1614,'Live Data'!$C$13)="","",INDEX(SPOT_Import!$A$1:$Z$2488,1614,'Live Data'!$C$13)),"")</f>
        <v/>
      </c>
      <c r="C1614" s="54" t="str">
        <f>IFERROR(IF(INDEX(SPOT_Import!$A$1:$Z$2488,1614,'Live Data'!$C$14)="","",INDEX(SPOT_Import!$A$1:$Z$2488,1614,'Live Data'!$C$14)),"")</f>
        <v/>
      </c>
      <c r="D1614" s="54" t="str">
        <f>IFERROR(IF(INDEX(SPOT_Import!$A$1:$Z$2488,1614,'Live Data'!$C$15)="","",INDEX(SPOT_Import!$A$1:$Z$2488,1614,'Live Data'!$C$15)),"")</f>
        <v/>
      </c>
      <c r="E1614" s="54" t="str">
        <f>IFERROR(IF(INDEX(SPOT_Import!$A$1:$Z$2488,1614,'Live Data'!$C$16)="","",INDEX(SPOT_Import!$A$1:$Z$2488,1614,'Live Data'!$C$16)),"")</f>
        <v/>
      </c>
      <c r="F1614" s="54" t="str">
        <f>IFERROR(IF(INDEX(SPOT_Import!$A$1:$Z$2488,1614,'Live Data'!$C$17)="","",INDEX(SPOT_Import!$A$1:$Z$2488,1614,'Live Data'!$C$17)),"")</f>
        <v/>
      </c>
      <c r="G1614" s="54" t="str">
        <f>IFERROR(IF(INDEX(SPOT_Import!$A$1:$Z$2488,1614,'Live Data'!$C$18)="","",INDEX(SPOT_Import!$A$1:$Z$2488,1614,'Live Data'!$C$18)),"")</f>
        <v/>
      </c>
      <c r="H1614" s="54" t="str">
        <f>IFERROR(IF(INDEX(SPOT_Import!$A$1:$Z$2488,1614,'Live Data'!$C$19)="","",INDEX(SPOT_Import!$A$1:$Z$2488,1614,'Live Data'!$C$19)),"")</f>
        <v/>
      </c>
      <c r="I1614" s="54" t="str">
        <f>IFERROR(IF(INDEX(SPOT_Import!$A$1:$Z$2488,1614,'Live Data'!$C$20)="","",INDEX(SPOT_Import!$A$1:$Z$2488,1614,'Live Data'!$C$20)),"")</f>
        <v/>
      </c>
      <c r="J1614" s="54" t="str">
        <f>IFERROR(IF(INDEX(SPOT_Import!$A$1:$Z$2488,1614,'Live Data'!$C$21)="","",INDEX(SPOT_Import!$A$1:$Z$2488,1614,'Live Data'!$C$21)),"")</f>
        <v/>
      </c>
      <c r="K1614" s="54" t="str">
        <f>IFERROR(IF(INDEX(SPOT_Import!$A$1:$Z$2488,1614,'Live Data'!$C$22)="","",INDEX(SPOT_Import!$A$1:$Z$2488,1614,'Live Data'!$C$22)),"")</f>
        <v/>
      </c>
      <c r="L1614" s="55" t="str">
        <f t="shared" si="50"/>
        <v/>
      </c>
      <c r="M1614" s="55" t="str">
        <f t="shared" si="51"/>
        <v/>
      </c>
      <c r="N1614" s="55" t="str">
        <f>IF(A1614="","",IFERROR(INDEX('Cluster Map'!$A$4:$A$38,MATCH(M1614,'Cluster Map'!$B$4:$B$38,0)),"Unmapped"))</f>
        <v/>
      </c>
      <c r="O1614" s="55">
        <f>IF(A1614="",0,IF(COUNTIFS($A$2:A1614,A1614,$F$2:F1614,F1614,$L$2:L1614,L1614)=1,1,0))</f>
        <v>0</v>
      </c>
      <c r="P1614" s="55">
        <f>IF(A1614="",0,IF(AND(F1614="C&amp;T",COUNTIFS($A$2:A1614,A1614,$F$2:F1614,"C&amp;T")=1),1,0))</f>
        <v>0</v>
      </c>
    </row>
    <row r="1615" spans="1:16" x14ac:dyDescent="0.35">
      <c r="A1615" s="54" t="str">
        <f>IFERROR(IF(INDEX(SPOT_Import!$A$1:$Z$2488,1615,'Live Data'!$C$12)="","",INDEX(SPOT_Import!$A$1:$Z$2488,1615,'Live Data'!$C$12)),"")</f>
        <v/>
      </c>
      <c r="B1615" s="54" t="str">
        <f>IFERROR(IF(INDEX(SPOT_Import!$A$1:$Z$2488,1615,'Live Data'!$C$13)="","",INDEX(SPOT_Import!$A$1:$Z$2488,1615,'Live Data'!$C$13)),"")</f>
        <v/>
      </c>
      <c r="C1615" s="54" t="str">
        <f>IFERROR(IF(INDEX(SPOT_Import!$A$1:$Z$2488,1615,'Live Data'!$C$14)="","",INDEX(SPOT_Import!$A$1:$Z$2488,1615,'Live Data'!$C$14)),"")</f>
        <v/>
      </c>
      <c r="D1615" s="54" t="str">
        <f>IFERROR(IF(INDEX(SPOT_Import!$A$1:$Z$2488,1615,'Live Data'!$C$15)="","",INDEX(SPOT_Import!$A$1:$Z$2488,1615,'Live Data'!$C$15)),"")</f>
        <v/>
      </c>
      <c r="E1615" s="54" t="str">
        <f>IFERROR(IF(INDEX(SPOT_Import!$A$1:$Z$2488,1615,'Live Data'!$C$16)="","",INDEX(SPOT_Import!$A$1:$Z$2488,1615,'Live Data'!$C$16)),"")</f>
        <v/>
      </c>
      <c r="F1615" s="54" t="str">
        <f>IFERROR(IF(INDEX(SPOT_Import!$A$1:$Z$2488,1615,'Live Data'!$C$17)="","",INDEX(SPOT_Import!$A$1:$Z$2488,1615,'Live Data'!$C$17)),"")</f>
        <v/>
      </c>
      <c r="G1615" s="54" t="str">
        <f>IFERROR(IF(INDEX(SPOT_Import!$A$1:$Z$2488,1615,'Live Data'!$C$18)="","",INDEX(SPOT_Import!$A$1:$Z$2488,1615,'Live Data'!$C$18)),"")</f>
        <v/>
      </c>
      <c r="H1615" s="54" t="str">
        <f>IFERROR(IF(INDEX(SPOT_Import!$A$1:$Z$2488,1615,'Live Data'!$C$19)="","",INDEX(SPOT_Import!$A$1:$Z$2488,1615,'Live Data'!$C$19)),"")</f>
        <v/>
      </c>
      <c r="I1615" s="54" t="str">
        <f>IFERROR(IF(INDEX(SPOT_Import!$A$1:$Z$2488,1615,'Live Data'!$C$20)="","",INDEX(SPOT_Import!$A$1:$Z$2488,1615,'Live Data'!$C$20)),"")</f>
        <v/>
      </c>
      <c r="J1615" s="54" t="str">
        <f>IFERROR(IF(INDEX(SPOT_Import!$A$1:$Z$2488,1615,'Live Data'!$C$21)="","",INDEX(SPOT_Import!$A$1:$Z$2488,1615,'Live Data'!$C$21)),"")</f>
        <v/>
      </c>
      <c r="K1615" s="54" t="str">
        <f>IFERROR(IF(INDEX(SPOT_Import!$A$1:$Z$2488,1615,'Live Data'!$C$22)="","",INDEX(SPOT_Import!$A$1:$Z$2488,1615,'Live Data'!$C$22)),"")</f>
        <v/>
      </c>
      <c r="L1615" s="55" t="str">
        <f t="shared" si="50"/>
        <v/>
      </c>
      <c r="M1615" s="55" t="str">
        <f t="shared" si="51"/>
        <v/>
      </c>
      <c r="N1615" s="55" t="str">
        <f>IF(A1615="","",IFERROR(INDEX('Cluster Map'!$A$4:$A$38,MATCH(M1615,'Cluster Map'!$B$4:$B$38,0)),"Unmapped"))</f>
        <v/>
      </c>
      <c r="O1615" s="55">
        <f>IF(A1615="",0,IF(COUNTIFS($A$2:A1615,A1615,$F$2:F1615,F1615,$L$2:L1615,L1615)=1,1,0))</f>
        <v>0</v>
      </c>
      <c r="P1615" s="55">
        <f>IF(A1615="",0,IF(AND(F1615="C&amp;T",COUNTIFS($A$2:A1615,A1615,$F$2:F1615,"C&amp;T")=1),1,0))</f>
        <v>0</v>
      </c>
    </row>
    <row r="1616" spans="1:16" x14ac:dyDescent="0.35">
      <c r="A1616" s="54" t="str">
        <f>IFERROR(IF(INDEX(SPOT_Import!$A$1:$Z$2488,1616,'Live Data'!$C$12)="","",INDEX(SPOT_Import!$A$1:$Z$2488,1616,'Live Data'!$C$12)),"")</f>
        <v/>
      </c>
      <c r="B1616" s="54" t="str">
        <f>IFERROR(IF(INDEX(SPOT_Import!$A$1:$Z$2488,1616,'Live Data'!$C$13)="","",INDEX(SPOT_Import!$A$1:$Z$2488,1616,'Live Data'!$C$13)),"")</f>
        <v/>
      </c>
      <c r="C1616" s="54" t="str">
        <f>IFERROR(IF(INDEX(SPOT_Import!$A$1:$Z$2488,1616,'Live Data'!$C$14)="","",INDEX(SPOT_Import!$A$1:$Z$2488,1616,'Live Data'!$C$14)),"")</f>
        <v/>
      </c>
      <c r="D1616" s="54" t="str">
        <f>IFERROR(IF(INDEX(SPOT_Import!$A$1:$Z$2488,1616,'Live Data'!$C$15)="","",INDEX(SPOT_Import!$A$1:$Z$2488,1616,'Live Data'!$C$15)),"")</f>
        <v/>
      </c>
      <c r="E1616" s="54" t="str">
        <f>IFERROR(IF(INDEX(SPOT_Import!$A$1:$Z$2488,1616,'Live Data'!$C$16)="","",INDEX(SPOT_Import!$A$1:$Z$2488,1616,'Live Data'!$C$16)),"")</f>
        <v/>
      </c>
      <c r="F1616" s="54" t="str">
        <f>IFERROR(IF(INDEX(SPOT_Import!$A$1:$Z$2488,1616,'Live Data'!$C$17)="","",INDEX(SPOT_Import!$A$1:$Z$2488,1616,'Live Data'!$C$17)),"")</f>
        <v/>
      </c>
      <c r="G1616" s="54" t="str">
        <f>IFERROR(IF(INDEX(SPOT_Import!$A$1:$Z$2488,1616,'Live Data'!$C$18)="","",INDEX(SPOT_Import!$A$1:$Z$2488,1616,'Live Data'!$C$18)),"")</f>
        <v/>
      </c>
      <c r="H1616" s="54" t="str">
        <f>IFERROR(IF(INDEX(SPOT_Import!$A$1:$Z$2488,1616,'Live Data'!$C$19)="","",INDEX(SPOT_Import!$A$1:$Z$2488,1616,'Live Data'!$C$19)),"")</f>
        <v/>
      </c>
      <c r="I1616" s="54" t="str">
        <f>IFERROR(IF(INDEX(SPOT_Import!$A$1:$Z$2488,1616,'Live Data'!$C$20)="","",INDEX(SPOT_Import!$A$1:$Z$2488,1616,'Live Data'!$C$20)),"")</f>
        <v/>
      </c>
      <c r="J1616" s="54" t="str">
        <f>IFERROR(IF(INDEX(SPOT_Import!$A$1:$Z$2488,1616,'Live Data'!$C$21)="","",INDEX(SPOT_Import!$A$1:$Z$2488,1616,'Live Data'!$C$21)),"")</f>
        <v/>
      </c>
      <c r="K1616" s="54" t="str">
        <f>IFERROR(IF(INDEX(SPOT_Import!$A$1:$Z$2488,1616,'Live Data'!$C$22)="","",INDEX(SPOT_Import!$A$1:$Z$2488,1616,'Live Data'!$C$22)),"")</f>
        <v/>
      </c>
      <c r="L1616" s="55" t="str">
        <f t="shared" si="50"/>
        <v/>
      </c>
      <c r="M1616" s="55" t="str">
        <f t="shared" si="51"/>
        <v/>
      </c>
      <c r="N1616" s="55" t="str">
        <f>IF(A1616="","",IFERROR(INDEX('Cluster Map'!$A$4:$A$38,MATCH(M1616,'Cluster Map'!$B$4:$B$38,0)),"Unmapped"))</f>
        <v/>
      </c>
      <c r="O1616" s="55">
        <f>IF(A1616="",0,IF(COUNTIFS($A$2:A1616,A1616,$F$2:F1616,F1616,$L$2:L1616,L1616)=1,1,0))</f>
        <v>0</v>
      </c>
      <c r="P1616" s="55">
        <f>IF(A1616="",0,IF(AND(F1616="C&amp;T",COUNTIFS($A$2:A1616,A1616,$F$2:F1616,"C&amp;T")=1),1,0))</f>
        <v>0</v>
      </c>
    </row>
    <row r="1617" spans="1:16" x14ac:dyDescent="0.35">
      <c r="A1617" s="54" t="str">
        <f>IFERROR(IF(INDEX(SPOT_Import!$A$1:$Z$2488,1617,'Live Data'!$C$12)="","",INDEX(SPOT_Import!$A$1:$Z$2488,1617,'Live Data'!$C$12)),"")</f>
        <v/>
      </c>
      <c r="B1617" s="54" t="str">
        <f>IFERROR(IF(INDEX(SPOT_Import!$A$1:$Z$2488,1617,'Live Data'!$C$13)="","",INDEX(SPOT_Import!$A$1:$Z$2488,1617,'Live Data'!$C$13)),"")</f>
        <v/>
      </c>
      <c r="C1617" s="54" t="str">
        <f>IFERROR(IF(INDEX(SPOT_Import!$A$1:$Z$2488,1617,'Live Data'!$C$14)="","",INDEX(SPOT_Import!$A$1:$Z$2488,1617,'Live Data'!$C$14)),"")</f>
        <v/>
      </c>
      <c r="D1617" s="54" t="str">
        <f>IFERROR(IF(INDEX(SPOT_Import!$A$1:$Z$2488,1617,'Live Data'!$C$15)="","",INDEX(SPOT_Import!$A$1:$Z$2488,1617,'Live Data'!$C$15)),"")</f>
        <v/>
      </c>
      <c r="E1617" s="54" t="str">
        <f>IFERROR(IF(INDEX(SPOT_Import!$A$1:$Z$2488,1617,'Live Data'!$C$16)="","",INDEX(SPOT_Import!$A$1:$Z$2488,1617,'Live Data'!$C$16)),"")</f>
        <v/>
      </c>
      <c r="F1617" s="54" t="str">
        <f>IFERROR(IF(INDEX(SPOT_Import!$A$1:$Z$2488,1617,'Live Data'!$C$17)="","",INDEX(SPOT_Import!$A$1:$Z$2488,1617,'Live Data'!$C$17)),"")</f>
        <v/>
      </c>
      <c r="G1617" s="54" t="str">
        <f>IFERROR(IF(INDEX(SPOT_Import!$A$1:$Z$2488,1617,'Live Data'!$C$18)="","",INDEX(SPOT_Import!$A$1:$Z$2488,1617,'Live Data'!$C$18)),"")</f>
        <v/>
      </c>
      <c r="H1617" s="54" t="str">
        <f>IFERROR(IF(INDEX(SPOT_Import!$A$1:$Z$2488,1617,'Live Data'!$C$19)="","",INDEX(SPOT_Import!$A$1:$Z$2488,1617,'Live Data'!$C$19)),"")</f>
        <v/>
      </c>
      <c r="I1617" s="54" t="str">
        <f>IFERROR(IF(INDEX(SPOT_Import!$A$1:$Z$2488,1617,'Live Data'!$C$20)="","",INDEX(SPOT_Import!$A$1:$Z$2488,1617,'Live Data'!$C$20)),"")</f>
        <v/>
      </c>
      <c r="J1617" s="54" t="str">
        <f>IFERROR(IF(INDEX(SPOT_Import!$A$1:$Z$2488,1617,'Live Data'!$C$21)="","",INDEX(SPOT_Import!$A$1:$Z$2488,1617,'Live Data'!$C$21)),"")</f>
        <v/>
      </c>
      <c r="K1617" s="54" t="str">
        <f>IFERROR(IF(INDEX(SPOT_Import!$A$1:$Z$2488,1617,'Live Data'!$C$22)="","",INDEX(SPOT_Import!$A$1:$Z$2488,1617,'Live Data'!$C$22)),"")</f>
        <v/>
      </c>
      <c r="L1617" s="55" t="str">
        <f t="shared" si="50"/>
        <v/>
      </c>
      <c r="M1617" s="55" t="str">
        <f t="shared" si="51"/>
        <v/>
      </c>
      <c r="N1617" s="55" t="str">
        <f>IF(A1617="","",IFERROR(INDEX('Cluster Map'!$A$4:$A$38,MATCH(M1617,'Cluster Map'!$B$4:$B$38,0)),"Unmapped"))</f>
        <v/>
      </c>
      <c r="O1617" s="55">
        <f>IF(A1617="",0,IF(COUNTIFS($A$2:A1617,A1617,$F$2:F1617,F1617,$L$2:L1617,L1617)=1,1,0))</f>
        <v>0</v>
      </c>
      <c r="P1617" s="55">
        <f>IF(A1617="",0,IF(AND(F1617="C&amp;T",COUNTIFS($A$2:A1617,A1617,$F$2:F1617,"C&amp;T")=1),1,0))</f>
        <v>0</v>
      </c>
    </row>
    <row r="1618" spans="1:16" x14ac:dyDescent="0.35">
      <c r="A1618" s="54" t="str">
        <f>IFERROR(IF(INDEX(SPOT_Import!$A$1:$Z$2488,1618,'Live Data'!$C$12)="","",INDEX(SPOT_Import!$A$1:$Z$2488,1618,'Live Data'!$C$12)),"")</f>
        <v/>
      </c>
      <c r="B1618" s="54" t="str">
        <f>IFERROR(IF(INDEX(SPOT_Import!$A$1:$Z$2488,1618,'Live Data'!$C$13)="","",INDEX(SPOT_Import!$A$1:$Z$2488,1618,'Live Data'!$C$13)),"")</f>
        <v/>
      </c>
      <c r="C1618" s="54" t="str">
        <f>IFERROR(IF(INDEX(SPOT_Import!$A$1:$Z$2488,1618,'Live Data'!$C$14)="","",INDEX(SPOT_Import!$A$1:$Z$2488,1618,'Live Data'!$C$14)),"")</f>
        <v/>
      </c>
      <c r="D1618" s="54" t="str">
        <f>IFERROR(IF(INDEX(SPOT_Import!$A$1:$Z$2488,1618,'Live Data'!$C$15)="","",INDEX(SPOT_Import!$A$1:$Z$2488,1618,'Live Data'!$C$15)),"")</f>
        <v/>
      </c>
      <c r="E1618" s="54" t="str">
        <f>IFERROR(IF(INDEX(SPOT_Import!$A$1:$Z$2488,1618,'Live Data'!$C$16)="","",INDEX(SPOT_Import!$A$1:$Z$2488,1618,'Live Data'!$C$16)),"")</f>
        <v/>
      </c>
      <c r="F1618" s="54" t="str">
        <f>IFERROR(IF(INDEX(SPOT_Import!$A$1:$Z$2488,1618,'Live Data'!$C$17)="","",INDEX(SPOT_Import!$A$1:$Z$2488,1618,'Live Data'!$C$17)),"")</f>
        <v/>
      </c>
      <c r="G1618" s="54" t="str">
        <f>IFERROR(IF(INDEX(SPOT_Import!$A$1:$Z$2488,1618,'Live Data'!$C$18)="","",INDEX(SPOT_Import!$A$1:$Z$2488,1618,'Live Data'!$C$18)),"")</f>
        <v/>
      </c>
      <c r="H1618" s="54" t="str">
        <f>IFERROR(IF(INDEX(SPOT_Import!$A$1:$Z$2488,1618,'Live Data'!$C$19)="","",INDEX(SPOT_Import!$A$1:$Z$2488,1618,'Live Data'!$C$19)),"")</f>
        <v/>
      </c>
      <c r="I1618" s="54" t="str">
        <f>IFERROR(IF(INDEX(SPOT_Import!$A$1:$Z$2488,1618,'Live Data'!$C$20)="","",INDEX(SPOT_Import!$A$1:$Z$2488,1618,'Live Data'!$C$20)),"")</f>
        <v/>
      </c>
      <c r="J1618" s="54" t="str">
        <f>IFERROR(IF(INDEX(SPOT_Import!$A$1:$Z$2488,1618,'Live Data'!$C$21)="","",INDEX(SPOT_Import!$A$1:$Z$2488,1618,'Live Data'!$C$21)),"")</f>
        <v/>
      </c>
      <c r="K1618" s="54" t="str">
        <f>IFERROR(IF(INDEX(SPOT_Import!$A$1:$Z$2488,1618,'Live Data'!$C$22)="","",INDEX(SPOT_Import!$A$1:$Z$2488,1618,'Live Data'!$C$22)),"")</f>
        <v/>
      </c>
      <c r="L1618" s="55" t="str">
        <f t="shared" si="50"/>
        <v/>
      </c>
      <c r="M1618" s="55" t="str">
        <f t="shared" si="51"/>
        <v/>
      </c>
      <c r="N1618" s="55" t="str">
        <f>IF(A1618="","",IFERROR(INDEX('Cluster Map'!$A$4:$A$38,MATCH(M1618,'Cluster Map'!$B$4:$B$38,0)),"Unmapped"))</f>
        <v/>
      </c>
      <c r="O1618" s="55">
        <f>IF(A1618="",0,IF(COUNTIFS($A$2:A1618,A1618,$F$2:F1618,F1618,$L$2:L1618,L1618)=1,1,0))</f>
        <v>0</v>
      </c>
      <c r="P1618" s="55">
        <f>IF(A1618="",0,IF(AND(F1618="C&amp;T",COUNTIFS($A$2:A1618,A1618,$F$2:F1618,"C&amp;T")=1),1,0))</f>
        <v>0</v>
      </c>
    </row>
    <row r="1619" spans="1:16" x14ac:dyDescent="0.35">
      <c r="A1619" s="54" t="str">
        <f>IFERROR(IF(INDEX(SPOT_Import!$A$1:$Z$2488,1619,'Live Data'!$C$12)="","",INDEX(SPOT_Import!$A$1:$Z$2488,1619,'Live Data'!$C$12)),"")</f>
        <v/>
      </c>
      <c r="B1619" s="54" t="str">
        <f>IFERROR(IF(INDEX(SPOT_Import!$A$1:$Z$2488,1619,'Live Data'!$C$13)="","",INDEX(SPOT_Import!$A$1:$Z$2488,1619,'Live Data'!$C$13)),"")</f>
        <v/>
      </c>
      <c r="C1619" s="54" t="str">
        <f>IFERROR(IF(INDEX(SPOT_Import!$A$1:$Z$2488,1619,'Live Data'!$C$14)="","",INDEX(SPOT_Import!$A$1:$Z$2488,1619,'Live Data'!$C$14)),"")</f>
        <v/>
      </c>
      <c r="D1619" s="54" t="str">
        <f>IFERROR(IF(INDEX(SPOT_Import!$A$1:$Z$2488,1619,'Live Data'!$C$15)="","",INDEX(SPOT_Import!$A$1:$Z$2488,1619,'Live Data'!$C$15)),"")</f>
        <v/>
      </c>
      <c r="E1619" s="54" t="str">
        <f>IFERROR(IF(INDEX(SPOT_Import!$A$1:$Z$2488,1619,'Live Data'!$C$16)="","",INDEX(SPOT_Import!$A$1:$Z$2488,1619,'Live Data'!$C$16)),"")</f>
        <v/>
      </c>
      <c r="F1619" s="54" t="str">
        <f>IFERROR(IF(INDEX(SPOT_Import!$A$1:$Z$2488,1619,'Live Data'!$C$17)="","",INDEX(SPOT_Import!$A$1:$Z$2488,1619,'Live Data'!$C$17)),"")</f>
        <v/>
      </c>
      <c r="G1619" s="54" t="str">
        <f>IFERROR(IF(INDEX(SPOT_Import!$A$1:$Z$2488,1619,'Live Data'!$C$18)="","",INDEX(SPOT_Import!$A$1:$Z$2488,1619,'Live Data'!$C$18)),"")</f>
        <v/>
      </c>
      <c r="H1619" s="54" t="str">
        <f>IFERROR(IF(INDEX(SPOT_Import!$A$1:$Z$2488,1619,'Live Data'!$C$19)="","",INDEX(SPOT_Import!$A$1:$Z$2488,1619,'Live Data'!$C$19)),"")</f>
        <v/>
      </c>
      <c r="I1619" s="54" t="str">
        <f>IFERROR(IF(INDEX(SPOT_Import!$A$1:$Z$2488,1619,'Live Data'!$C$20)="","",INDEX(SPOT_Import!$A$1:$Z$2488,1619,'Live Data'!$C$20)),"")</f>
        <v/>
      </c>
      <c r="J1619" s="54" t="str">
        <f>IFERROR(IF(INDEX(SPOT_Import!$A$1:$Z$2488,1619,'Live Data'!$C$21)="","",INDEX(SPOT_Import!$A$1:$Z$2488,1619,'Live Data'!$C$21)),"")</f>
        <v/>
      </c>
      <c r="K1619" s="54" t="str">
        <f>IFERROR(IF(INDEX(SPOT_Import!$A$1:$Z$2488,1619,'Live Data'!$C$22)="","",INDEX(SPOT_Import!$A$1:$Z$2488,1619,'Live Data'!$C$22)),"")</f>
        <v/>
      </c>
      <c r="L1619" s="55" t="str">
        <f t="shared" si="50"/>
        <v/>
      </c>
      <c r="M1619" s="55" t="str">
        <f t="shared" si="51"/>
        <v/>
      </c>
      <c r="N1619" s="55" t="str">
        <f>IF(A1619="","",IFERROR(INDEX('Cluster Map'!$A$4:$A$38,MATCH(M1619,'Cluster Map'!$B$4:$B$38,0)),"Unmapped"))</f>
        <v/>
      </c>
      <c r="O1619" s="55">
        <f>IF(A1619="",0,IF(COUNTIFS($A$2:A1619,A1619,$F$2:F1619,F1619,$L$2:L1619,L1619)=1,1,0))</f>
        <v>0</v>
      </c>
      <c r="P1619" s="55">
        <f>IF(A1619="",0,IF(AND(F1619="C&amp;T",COUNTIFS($A$2:A1619,A1619,$F$2:F1619,"C&amp;T")=1),1,0))</f>
        <v>0</v>
      </c>
    </row>
    <row r="1620" spans="1:16" x14ac:dyDescent="0.35">
      <c r="A1620" s="54" t="str">
        <f>IFERROR(IF(INDEX(SPOT_Import!$A$1:$Z$2488,1620,'Live Data'!$C$12)="","",INDEX(SPOT_Import!$A$1:$Z$2488,1620,'Live Data'!$C$12)),"")</f>
        <v/>
      </c>
      <c r="B1620" s="54" t="str">
        <f>IFERROR(IF(INDEX(SPOT_Import!$A$1:$Z$2488,1620,'Live Data'!$C$13)="","",INDEX(SPOT_Import!$A$1:$Z$2488,1620,'Live Data'!$C$13)),"")</f>
        <v/>
      </c>
      <c r="C1620" s="54" t="str">
        <f>IFERROR(IF(INDEX(SPOT_Import!$A$1:$Z$2488,1620,'Live Data'!$C$14)="","",INDEX(SPOT_Import!$A$1:$Z$2488,1620,'Live Data'!$C$14)),"")</f>
        <v/>
      </c>
      <c r="D1620" s="54" t="str">
        <f>IFERROR(IF(INDEX(SPOT_Import!$A$1:$Z$2488,1620,'Live Data'!$C$15)="","",INDEX(SPOT_Import!$A$1:$Z$2488,1620,'Live Data'!$C$15)),"")</f>
        <v/>
      </c>
      <c r="E1620" s="54" t="str">
        <f>IFERROR(IF(INDEX(SPOT_Import!$A$1:$Z$2488,1620,'Live Data'!$C$16)="","",INDEX(SPOT_Import!$A$1:$Z$2488,1620,'Live Data'!$C$16)),"")</f>
        <v/>
      </c>
      <c r="F1620" s="54" t="str">
        <f>IFERROR(IF(INDEX(SPOT_Import!$A$1:$Z$2488,1620,'Live Data'!$C$17)="","",INDEX(SPOT_Import!$A$1:$Z$2488,1620,'Live Data'!$C$17)),"")</f>
        <v/>
      </c>
      <c r="G1620" s="54" t="str">
        <f>IFERROR(IF(INDEX(SPOT_Import!$A$1:$Z$2488,1620,'Live Data'!$C$18)="","",INDEX(SPOT_Import!$A$1:$Z$2488,1620,'Live Data'!$C$18)),"")</f>
        <v/>
      </c>
      <c r="H1620" s="54" t="str">
        <f>IFERROR(IF(INDEX(SPOT_Import!$A$1:$Z$2488,1620,'Live Data'!$C$19)="","",INDEX(SPOT_Import!$A$1:$Z$2488,1620,'Live Data'!$C$19)),"")</f>
        <v/>
      </c>
      <c r="I1620" s="54" t="str">
        <f>IFERROR(IF(INDEX(SPOT_Import!$A$1:$Z$2488,1620,'Live Data'!$C$20)="","",INDEX(SPOT_Import!$A$1:$Z$2488,1620,'Live Data'!$C$20)),"")</f>
        <v/>
      </c>
      <c r="J1620" s="54" t="str">
        <f>IFERROR(IF(INDEX(SPOT_Import!$A$1:$Z$2488,1620,'Live Data'!$C$21)="","",INDEX(SPOT_Import!$A$1:$Z$2488,1620,'Live Data'!$C$21)),"")</f>
        <v/>
      </c>
      <c r="K1620" s="54" t="str">
        <f>IFERROR(IF(INDEX(SPOT_Import!$A$1:$Z$2488,1620,'Live Data'!$C$22)="","",INDEX(SPOT_Import!$A$1:$Z$2488,1620,'Live Data'!$C$22)),"")</f>
        <v/>
      </c>
      <c r="L1620" s="55" t="str">
        <f t="shared" si="50"/>
        <v/>
      </c>
      <c r="M1620" s="55" t="str">
        <f t="shared" si="51"/>
        <v/>
      </c>
      <c r="N1620" s="55" t="str">
        <f>IF(A1620="","",IFERROR(INDEX('Cluster Map'!$A$4:$A$38,MATCH(M1620,'Cluster Map'!$B$4:$B$38,0)),"Unmapped"))</f>
        <v/>
      </c>
      <c r="O1620" s="55">
        <f>IF(A1620="",0,IF(COUNTIFS($A$2:A1620,A1620,$F$2:F1620,F1620,$L$2:L1620,L1620)=1,1,0))</f>
        <v>0</v>
      </c>
      <c r="P1620" s="55">
        <f>IF(A1620="",0,IF(AND(F1620="C&amp;T",COUNTIFS($A$2:A1620,A1620,$F$2:F1620,"C&amp;T")=1),1,0))</f>
        <v>0</v>
      </c>
    </row>
    <row r="1621" spans="1:16" x14ac:dyDescent="0.35">
      <c r="A1621" s="54" t="str">
        <f>IFERROR(IF(INDEX(SPOT_Import!$A$1:$Z$2488,1621,'Live Data'!$C$12)="","",INDEX(SPOT_Import!$A$1:$Z$2488,1621,'Live Data'!$C$12)),"")</f>
        <v/>
      </c>
      <c r="B1621" s="54" t="str">
        <f>IFERROR(IF(INDEX(SPOT_Import!$A$1:$Z$2488,1621,'Live Data'!$C$13)="","",INDEX(SPOT_Import!$A$1:$Z$2488,1621,'Live Data'!$C$13)),"")</f>
        <v/>
      </c>
      <c r="C1621" s="54" t="str">
        <f>IFERROR(IF(INDEX(SPOT_Import!$A$1:$Z$2488,1621,'Live Data'!$C$14)="","",INDEX(SPOT_Import!$A$1:$Z$2488,1621,'Live Data'!$C$14)),"")</f>
        <v/>
      </c>
      <c r="D1621" s="54" t="str">
        <f>IFERROR(IF(INDEX(SPOT_Import!$A$1:$Z$2488,1621,'Live Data'!$C$15)="","",INDEX(SPOT_Import!$A$1:$Z$2488,1621,'Live Data'!$C$15)),"")</f>
        <v/>
      </c>
      <c r="E1621" s="54" t="str">
        <f>IFERROR(IF(INDEX(SPOT_Import!$A$1:$Z$2488,1621,'Live Data'!$C$16)="","",INDEX(SPOT_Import!$A$1:$Z$2488,1621,'Live Data'!$C$16)),"")</f>
        <v/>
      </c>
      <c r="F1621" s="54" t="str">
        <f>IFERROR(IF(INDEX(SPOT_Import!$A$1:$Z$2488,1621,'Live Data'!$C$17)="","",INDEX(SPOT_Import!$A$1:$Z$2488,1621,'Live Data'!$C$17)),"")</f>
        <v/>
      </c>
      <c r="G1621" s="54" t="str">
        <f>IFERROR(IF(INDEX(SPOT_Import!$A$1:$Z$2488,1621,'Live Data'!$C$18)="","",INDEX(SPOT_Import!$A$1:$Z$2488,1621,'Live Data'!$C$18)),"")</f>
        <v/>
      </c>
      <c r="H1621" s="54" t="str">
        <f>IFERROR(IF(INDEX(SPOT_Import!$A$1:$Z$2488,1621,'Live Data'!$C$19)="","",INDEX(SPOT_Import!$A$1:$Z$2488,1621,'Live Data'!$C$19)),"")</f>
        <v/>
      </c>
      <c r="I1621" s="54" t="str">
        <f>IFERROR(IF(INDEX(SPOT_Import!$A$1:$Z$2488,1621,'Live Data'!$C$20)="","",INDEX(SPOT_Import!$A$1:$Z$2488,1621,'Live Data'!$C$20)),"")</f>
        <v/>
      </c>
      <c r="J1621" s="54" t="str">
        <f>IFERROR(IF(INDEX(SPOT_Import!$A$1:$Z$2488,1621,'Live Data'!$C$21)="","",INDEX(SPOT_Import!$A$1:$Z$2488,1621,'Live Data'!$C$21)),"")</f>
        <v/>
      </c>
      <c r="K1621" s="54" t="str">
        <f>IFERROR(IF(INDEX(SPOT_Import!$A$1:$Z$2488,1621,'Live Data'!$C$22)="","",INDEX(SPOT_Import!$A$1:$Z$2488,1621,'Live Data'!$C$22)),"")</f>
        <v/>
      </c>
      <c r="L1621" s="55" t="str">
        <f t="shared" si="50"/>
        <v/>
      </c>
      <c r="M1621" s="55" t="str">
        <f t="shared" si="51"/>
        <v/>
      </c>
      <c r="N1621" s="55" t="str">
        <f>IF(A1621="","",IFERROR(INDEX('Cluster Map'!$A$4:$A$38,MATCH(M1621,'Cluster Map'!$B$4:$B$38,0)),"Unmapped"))</f>
        <v/>
      </c>
      <c r="O1621" s="55">
        <f>IF(A1621="",0,IF(COUNTIFS($A$2:A1621,A1621,$F$2:F1621,F1621,$L$2:L1621,L1621)=1,1,0))</f>
        <v>0</v>
      </c>
      <c r="P1621" s="55">
        <f>IF(A1621="",0,IF(AND(F1621="C&amp;T",COUNTIFS($A$2:A1621,A1621,$F$2:F1621,"C&amp;T")=1),1,0))</f>
        <v>0</v>
      </c>
    </row>
    <row r="1622" spans="1:16" x14ac:dyDescent="0.35">
      <c r="A1622" s="54" t="str">
        <f>IFERROR(IF(INDEX(SPOT_Import!$A$1:$Z$2488,1622,'Live Data'!$C$12)="","",INDEX(SPOT_Import!$A$1:$Z$2488,1622,'Live Data'!$C$12)),"")</f>
        <v/>
      </c>
      <c r="B1622" s="54" t="str">
        <f>IFERROR(IF(INDEX(SPOT_Import!$A$1:$Z$2488,1622,'Live Data'!$C$13)="","",INDEX(SPOT_Import!$A$1:$Z$2488,1622,'Live Data'!$C$13)),"")</f>
        <v/>
      </c>
      <c r="C1622" s="54" t="str">
        <f>IFERROR(IF(INDEX(SPOT_Import!$A$1:$Z$2488,1622,'Live Data'!$C$14)="","",INDEX(SPOT_Import!$A$1:$Z$2488,1622,'Live Data'!$C$14)),"")</f>
        <v/>
      </c>
      <c r="D1622" s="54" t="str">
        <f>IFERROR(IF(INDEX(SPOT_Import!$A$1:$Z$2488,1622,'Live Data'!$C$15)="","",INDEX(SPOT_Import!$A$1:$Z$2488,1622,'Live Data'!$C$15)),"")</f>
        <v/>
      </c>
      <c r="E1622" s="54" t="str">
        <f>IFERROR(IF(INDEX(SPOT_Import!$A$1:$Z$2488,1622,'Live Data'!$C$16)="","",INDEX(SPOT_Import!$A$1:$Z$2488,1622,'Live Data'!$C$16)),"")</f>
        <v/>
      </c>
      <c r="F1622" s="54" t="str">
        <f>IFERROR(IF(INDEX(SPOT_Import!$A$1:$Z$2488,1622,'Live Data'!$C$17)="","",INDEX(SPOT_Import!$A$1:$Z$2488,1622,'Live Data'!$C$17)),"")</f>
        <v/>
      </c>
      <c r="G1622" s="54" t="str">
        <f>IFERROR(IF(INDEX(SPOT_Import!$A$1:$Z$2488,1622,'Live Data'!$C$18)="","",INDEX(SPOT_Import!$A$1:$Z$2488,1622,'Live Data'!$C$18)),"")</f>
        <v/>
      </c>
      <c r="H1622" s="54" t="str">
        <f>IFERROR(IF(INDEX(SPOT_Import!$A$1:$Z$2488,1622,'Live Data'!$C$19)="","",INDEX(SPOT_Import!$A$1:$Z$2488,1622,'Live Data'!$C$19)),"")</f>
        <v/>
      </c>
      <c r="I1622" s="54" t="str">
        <f>IFERROR(IF(INDEX(SPOT_Import!$A$1:$Z$2488,1622,'Live Data'!$C$20)="","",INDEX(SPOT_Import!$A$1:$Z$2488,1622,'Live Data'!$C$20)),"")</f>
        <v/>
      </c>
      <c r="J1622" s="54" t="str">
        <f>IFERROR(IF(INDEX(SPOT_Import!$A$1:$Z$2488,1622,'Live Data'!$C$21)="","",INDEX(SPOT_Import!$A$1:$Z$2488,1622,'Live Data'!$C$21)),"")</f>
        <v/>
      </c>
      <c r="K1622" s="54" t="str">
        <f>IFERROR(IF(INDEX(SPOT_Import!$A$1:$Z$2488,1622,'Live Data'!$C$22)="","",INDEX(SPOT_Import!$A$1:$Z$2488,1622,'Live Data'!$C$22)),"")</f>
        <v/>
      </c>
      <c r="L1622" s="55" t="str">
        <f t="shared" si="50"/>
        <v/>
      </c>
      <c r="M1622" s="55" t="str">
        <f t="shared" si="51"/>
        <v/>
      </c>
      <c r="N1622" s="55" t="str">
        <f>IF(A1622="","",IFERROR(INDEX('Cluster Map'!$A$4:$A$38,MATCH(M1622,'Cluster Map'!$B$4:$B$38,0)),"Unmapped"))</f>
        <v/>
      </c>
      <c r="O1622" s="55">
        <f>IF(A1622="",0,IF(COUNTIFS($A$2:A1622,A1622,$F$2:F1622,F1622,$L$2:L1622,L1622)=1,1,0))</f>
        <v>0</v>
      </c>
      <c r="P1622" s="55">
        <f>IF(A1622="",0,IF(AND(F1622="C&amp;T",COUNTIFS($A$2:A1622,A1622,$F$2:F1622,"C&amp;T")=1),1,0))</f>
        <v>0</v>
      </c>
    </row>
    <row r="1623" spans="1:16" x14ac:dyDescent="0.35">
      <c r="A1623" s="54" t="str">
        <f>IFERROR(IF(INDEX(SPOT_Import!$A$1:$Z$2488,1623,'Live Data'!$C$12)="","",INDEX(SPOT_Import!$A$1:$Z$2488,1623,'Live Data'!$C$12)),"")</f>
        <v/>
      </c>
      <c r="B1623" s="54" t="str">
        <f>IFERROR(IF(INDEX(SPOT_Import!$A$1:$Z$2488,1623,'Live Data'!$C$13)="","",INDEX(SPOT_Import!$A$1:$Z$2488,1623,'Live Data'!$C$13)),"")</f>
        <v/>
      </c>
      <c r="C1623" s="54" t="str">
        <f>IFERROR(IF(INDEX(SPOT_Import!$A$1:$Z$2488,1623,'Live Data'!$C$14)="","",INDEX(SPOT_Import!$A$1:$Z$2488,1623,'Live Data'!$C$14)),"")</f>
        <v/>
      </c>
      <c r="D1623" s="54" t="str">
        <f>IFERROR(IF(INDEX(SPOT_Import!$A$1:$Z$2488,1623,'Live Data'!$C$15)="","",INDEX(SPOT_Import!$A$1:$Z$2488,1623,'Live Data'!$C$15)),"")</f>
        <v/>
      </c>
      <c r="E1623" s="54" t="str">
        <f>IFERROR(IF(INDEX(SPOT_Import!$A$1:$Z$2488,1623,'Live Data'!$C$16)="","",INDEX(SPOT_Import!$A$1:$Z$2488,1623,'Live Data'!$C$16)),"")</f>
        <v/>
      </c>
      <c r="F1623" s="54" t="str">
        <f>IFERROR(IF(INDEX(SPOT_Import!$A$1:$Z$2488,1623,'Live Data'!$C$17)="","",INDEX(SPOT_Import!$A$1:$Z$2488,1623,'Live Data'!$C$17)),"")</f>
        <v/>
      </c>
      <c r="G1623" s="54" t="str">
        <f>IFERROR(IF(INDEX(SPOT_Import!$A$1:$Z$2488,1623,'Live Data'!$C$18)="","",INDEX(SPOT_Import!$A$1:$Z$2488,1623,'Live Data'!$C$18)),"")</f>
        <v/>
      </c>
      <c r="H1623" s="54" t="str">
        <f>IFERROR(IF(INDEX(SPOT_Import!$A$1:$Z$2488,1623,'Live Data'!$C$19)="","",INDEX(SPOT_Import!$A$1:$Z$2488,1623,'Live Data'!$C$19)),"")</f>
        <v/>
      </c>
      <c r="I1623" s="54" t="str">
        <f>IFERROR(IF(INDEX(SPOT_Import!$A$1:$Z$2488,1623,'Live Data'!$C$20)="","",INDEX(SPOT_Import!$A$1:$Z$2488,1623,'Live Data'!$C$20)),"")</f>
        <v/>
      </c>
      <c r="J1623" s="54" t="str">
        <f>IFERROR(IF(INDEX(SPOT_Import!$A$1:$Z$2488,1623,'Live Data'!$C$21)="","",INDEX(SPOT_Import!$A$1:$Z$2488,1623,'Live Data'!$C$21)),"")</f>
        <v/>
      </c>
      <c r="K1623" s="54" t="str">
        <f>IFERROR(IF(INDEX(SPOT_Import!$A$1:$Z$2488,1623,'Live Data'!$C$22)="","",INDEX(SPOT_Import!$A$1:$Z$2488,1623,'Live Data'!$C$22)),"")</f>
        <v/>
      </c>
      <c r="L1623" s="55" t="str">
        <f t="shared" si="50"/>
        <v/>
      </c>
      <c r="M1623" s="55" t="str">
        <f t="shared" si="51"/>
        <v/>
      </c>
      <c r="N1623" s="55" t="str">
        <f>IF(A1623="","",IFERROR(INDEX('Cluster Map'!$A$4:$A$38,MATCH(M1623,'Cluster Map'!$B$4:$B$38,0)),"Unmapped"))</f>
        <v/>
      </c>
      <c r="O1623" s="55">
        <f>IF(A1623="",0,IF(COUNTIFS($A$2:A1623,A1623,$F$2:F1623,F1623,$L$2:L1623,L1623)=1,1,0))</f>
        <v>0</v>
      </c>
      <c r="P1623" s="55">
        <f>IF(A1623="",0,IF(AND(F1623="C&amp;T",COUNTIFS($A$2:A1623,A1623,$F$2:F1623,"C&amp;T")=1),1,0))</f>
        <v>0</v>
      </c>
    </row>
    <row r="1624" spans="1:16" x14ac:dyDescent="0.35">
      <c r="A1624" s="54" t="str">
        <f>IFERROR(IF(INDEX(SPOT_Import!$A$1:$Z$2488,1624,'Live Data'!$C$12)="","",INDEX(SPOT_Import!$A$1:$Z$2488,1624,'Live Data'!$C$12)),"")</f>
        <v/>
      </c>
      <c r="B1624" s="54" t="str">
        <f>IFERROR(IF(INDEX(SPOT_Import!$A$1:$Z$2488,1624,'Live Data'!$C$13)="","",INDEX(SPOT_Import!$A$1:$Z$2488,1624,'Live Data'!$C$13)),"")</f>
        <v/>
      </c>
      <c r="C1624" s="54" t="str">
        <f>IFERROR(IF(INDEX(SPOT_Import!$A$1:$Z$2488,1624,'Live Data'!$C$14)="","",INDEX(SPOT_Import!$A$1:$Z$2488,1624,'Live Data'!$C$14)),"")</f>
        <v/>
      </c>
      <c r="D1624" s="54" t="str">
        <f>IFERROR(IF(INDEX(SPOT_Import!$A$1:$Z$2488,1624,'Live Data'!$C$15)="","",INDEX(SPOT_Import!$A$1:$Z$2488,1624,'Live Data'!$C$15)),"")</f>
        <v/>
      </c>
      <c r="E1624" s="54" t="str">
        <f>IFERROR(IF(INDEX(SPOT_Import!$A$1:$Z$2488,1624,'Live Data'!$C$16)="","",INDEX(SPOT_Import!$A$1:$Z$2488,1624,'Live Data'!$C$16)),"")</f>
        <v/>
      </c>
      <c r="F1624" s="54" t="str">
        <f>IFERROR(IF(INDEX(SPOT_Import!$A$1:$Z$2488,1624,'Live Data'!$C$17)="","",INDEX(SPOT_Import!$A$1:$Z$2488,1624,'Live Data'!$C$17)),"")</f>
        <v/>
      </c>
      <c r="G1624" s="54" t="str">
        <f>IFERROR(IF(INDEX(SPOT_Import!$A$1:$Z$2488,1624,'Live Data'!$C$18)="","",INDEX(SPOT_Import!$A$1:$Z$2488,1624,'Live Data'!$C$18)),"")</f>
        <v/>
      </c>
      <c r="H1624" s="54" t="str">
        <f>IFERROR(IF(INDEX(SPOT_Import!$A$1:$Z$2488,1624,'Live Data'!$C$19)="","",INDEX(SPOT_Import!$A$1:$Z$2488,1624,'Live Data'!$C$19)),"")</f>
        <v/>
      </c>
      <c r="I1624" s="54" t="str">
        <f>IFERROR(IF(INDEX(SPOT_Import!$A$1:$Z$2488,1624,'Live Data'!$C$20)="","",INDEX(SPOT_Import!$A$1:$Z$2488,1624,'Live Data'!$C$20)),"")</f>
        <v/>
      </c>
      <c r="J1624" s="54" t="str">
        <f>IFERROR(IF(INDEX(SPOT_Import!$A$1:$Z$2488,1624,'Live Data'!$C$21)="","",INDEX(SPOT_Import!$A$1:$Z$2488,1624,'Live Data'!$C$21)),"")</f>
        <v/>
      </c>
      <c r="K1624" s="54" t="str">
        <f>IFERROR(IF(INDEX(SPOT_Import!$A$1:$Z$2488,1624,'Live Data'!$C$22)="","",INDEX(SPOT_Import!$A$1:$Z$2488,1624,'Live Data'!$C$22)),"")</f>
        <v/>
      </c>
      <c r="L1624" s="55" t="str">
        <f t="shared" si="50"/>
        <v/>
      </c>
      <c r="M1624" s="55" t="str">
        <f t="shared" si="51"/>
        <v/>
      </c>
      <c r="N1624" s="55" t="str">
        <f>IF(A1624="","",IFERROR(INDEX('Cluster Map'!$A$4:$A$38,MATCH(M1624,'Cluster Map'!$B$4:$B$38,0)),"Unmapped"))</f>
        <v/>
      </c>
      <c r="O1624" s="55">
        <f>IF(A1624="",0,IF(COUNTIFS($A$2:A1624,A1624,$F$2:F1624,F1624,$L$2:L1624,L1624)=1,1,0))</f>
        <v>0</v>
      </c>
      <c r="P1624" s="55">
        <f>IF(A1624="",0,IF(AND(F1624="C&amp;T",COUNTIFS($A$2:A1624,A1624,$F$2:F1624,"C&amp;T")=1),1,0))</f>
        <v>0</v>
      </c>
    </row>
    <row r="1625" spans="1:16" x14ac:dyDescent="0.35">
      <c r="A1625" s="54" t="str">
        <f>IFERROR(IF(INDEX(SPOT_Import!$A$1:$Z$2488,1625,'Live Data'!$C$12)="","",INDEX(SPOT_Import!$A$1:$Z$2488,1625,'Live Data'!$C$12)),"")</f>
        <v/>
      </c>
      <c r="B1625" s="54" t="str">
        <f>IFERROR(IF(INDEX(SPOT_Import!$A$1:$Z$2488,1625,'Live Data'!$C$13)="","",INDEX(SPOT_Import!$A$1:$Z$2488,1625,'Live Data'!$C$13)),"")</f>
        <v/>
      </c>
      <c r="C1625" s="54" t="str">
        <f>IFERROR(IF(INDEX(SPOT_Import!$A$1:$Z$2488,1625,'Live Data'!$C$14)="","",INDEX(SPOT_Import!$A$1:$Z$2488,1625,'Live Data'!$C$14)),"")</f>
        <v/>
      </c>
      <c r="D1625" s="54" t="str">
        <f>IFERROR(IF(INDEX(SPOT_Import!$A$1:$Z$2488,1625,'Live Data'!$C$15)="","",INDEX(SPOT_Import!$A$1:$Z$2488,1625,'Live Data'!$C$15)),"")</f>
        <v/>
      </c>
      <c r="E1625" s="54" t="str">
        <f>IFERROR(IF(INDEX(SPOT_Import!$A$1:$Z$2488,1625,'Live Data'!$C$16)="","",INDEX(SPOT_Import!$A$1:$Z$2488,1625,'Live Data'!$C$16)),"")</f>
        <v/>
      </c>
      <c r="F1625" s="54" t="str">
        <f>IFERROR(IF(INDEX(SPOT_Import!$A$1:$Z$2488,1625,'Live Data'!$C$17)="","",INDEX(SPOT_Import!$A$1:$Z$2488,1625,'Live Data'!$C$17)),"")</f>
        <v/>
      </c>
      <c r="G1625" s="54" t="str">
        <f>IFERROR(IF(INDEX(SPOT_Import!$A$1:$Z$2488,1625,'Live Data'!$C$18)="","",INDEX(SPOT_Import!$A$1:$Z$2488,1625,'Live Data'!$C$18)),"")</f>
        <v/>
      </c>
      <c r="H1625" s="54" t="str">
        <f>IFERROR(IF(INDEX(SPOT_Import!$A$1:$Z$2488,1625,'Live Data'!$C$19)="","",INDEX(SPOT_Import!$A$1:$Z$2488,1625,'Live Data'!$C$19)),"")</f>
        <v/>
      </c>
      <c r="I1625" s="54" t="str">
        <f>IFERROR(IF(INDEX(SPOT_Import!$A$1:$Z$2488,1625,'Live Data'!$C$20)="","",INDEX(SPOT_Import!$A$1:$Z$2488,1625,'Live Data'!$C$20)),"")</f>
        <v/>
      </c>
      <c r="J1625" s="54" t="str">
        <f>IFERROR(IF(INDEX(SPOT_Import!$A$1:$Z$2488,1625,'Live Data'!$C$21)="","",INDEX(SPOT_Import!$A$1:$Z$2488,1625,'Live Data'!$C$21)),"")</f>
        <v/>
      </c>
      <c r="K1625" s="54" t="str">
        <f>IFERROR(IF(INDEX(SPOT_Import!$A$1:$Z$2488,1625,'Live Data'!$C$22)="","",INDEX(SPOT_Import!$A$1:$Z$2488,1625,'Live Data'!$C$22)),"")</f>
        <v/>
      </c>
      <c r="L1625" s="55" t="str">
        <f t="shared" si="50"/>
        <v/>
      </c>
      <c r="M1625" s="55" t="str">
        <f t="shared" si="51"/>
        <v/>
      </c>
      <c r="N1625" s="55" t="str">
        <f>IF(A1625="","",IFERROR(INDEX('Cluster Map'!$A$4:$A$38,MATCH(M1625,'Cluster Map'!$B$4:$B$38,0)),"Unmapped"))</f>
        <v/>
      </c>
      <c r="O1625" s="55">
        <f>IF(A1625="",0,IF(COUNTIFS($A$2:A1625,A1625,$F$2:F1625,F1625,$L$2:L1625,L1625)=1,1,0))</f>
        <v>0</v>
      </c>
      <c r="P1625" s="55">
        <f>IF(A1625="",0,IF(AND(F1625="C&amp;T",COUNTIFS($A$2:A1625,A1625,$F$2:F1625,"C&amp;T")=1),1,0))</f>
        <v>0</v>
      </c>
    </row>
    <row r="1626" spans="1:16" x14ac:dyDescent="0.35">
      <c r="A1626" s="54" t="str">
        <f>IFERROR(IF(INDEX(SPOT_Import!$A$1:$Z$2488,1626,'Live Data'!$C$12)="","",INDEX(SPOT_Import!$A$1:$Z$2488,1626,'Live Data'!$C$12)),"")</f>
        <v/>
      </c>
      <c r="B1626" s="54" t="str">
        <f>IFERROR(IF(INDEX(SPOT_Import!$A$1:$Z$2488,1626,'Live Data'!$C$13)="","",INDEX(SPOT_Import!$A$1:$Z$2488,1626,'Live Data'!$C$13)),"")</f>
        <v/>
      </c>
      <c r="C1626" s="54" t="str">
        <f>IFERROR(IF(INDEX(SPOT_Import!$A$1:$Z$2488,1626,'Live Data'!$C$14)="","",INDEX(SPOT_Import!$A$1:$Z$2488,1626,'Live Data'!$C$14)),"")</f>
        <v/>
      </c>
      <c r="D1626" s="54" t="str">
        <f>IFERROR(IF(INDEX(SPOT_Import!$A$1:$Z$2488,1626,'Live Data'!$C$15)="","",INDEX(SPOT_Import!$A$1:$Z$2488,1626,'Live Data'!$C$15)),"")</f>
        <v/>
      </c>
      <c r="E1626" s="54" t="str">
        <f>IFERROR(IF(INDEX(SPOT_Import!$A$1:$Z$2488,1626,'Live Data'!$C$16)="","",INDEX(SPOT_Import!$A$1:$Z$2488,1626,'Live Data'!$C$16)),"")</f>
        <v/>
      </c>
      <c r="F1626" s="54" t="str">
        <f>IFERROR(IF(INDEX(SPOT_Import!$A$1:$Z$2488,1626,'Live Data'!$C$17)="","",INDEX(SPOT_Import!$A$1:$Z$2488,1626,'Live Data'!$C$17)),"")</f>
        <v/>
      </c>
      <c r="G1626" s="54" t="str">
        <f>IFERROR(IF(INDEX(SPOT_Import!$A$1:$Z$2488,1626,'Live Data'!$C$18)="","",INDEX(SPOT_Import!$A$1:$Z$2488,1626,'Live Data'!$C$18)),"")</f>
        <v/>
      </c>
      <c r="H1626" s="54" t="str">
        <f>IFERROR(IF(INDEX(SPOT_Import!$A$1:$Z$2488,1626,'Live Data'!$C$19)="","",INDEX(SPOT_Import!$A$1:$Z$2488,1626,'Live Data'!$C$19)),"")</f>
        <v/>
      </c>
      <c r="I1626" s="54" t="str">
        <f>IFERROR(IF(INDEX(SPOT_Import!$A$1:$Z$2488,1626,'Live Data'!$C$20)="","",INDEX(SPOT_Import!$A$1:$Z$2488,1626,'Live Data'!$C$20)),"")</f>
        <v/>
      </c>
      <c r="J1626" s="54" t="str">
        <f>IFERROR(IF(INDEX(SPOT_Import!$A$1:$Z$2488,1626,'Live Data'!$C$21)="","",INDEX(SPOT_Import!$A$1:$Z$2488,1626,'Live Data'!$C$21)),"")</f>
        <v/>
      </c>
      <c r="K1626" s="54" t="str">
        <f>IFERROR(IF(INDEX(SPOT_Import!$A$1:$Z$2488,1626,'Live Data'!$C$22)="","",INDEX(SPOT_Import!$A$1:$Z$2488,1626,'Live Data'!$C$22)),"")</f>
        <v/>
      </c>
      <c r="L1626" s="55" t="str">
        <f t="shared" si="50"/>
        <v/>
      </c>
      <c r="M1626" s="55" t="str">
        <f t="shared" si="51"/>
        <v/>
      </c>
      <c r="N1626" s="55" t="str">
        <f>IF(A1626="","",IFERROR(INDEX('Cluster Map'!$A$4:$A$38,MATCH(M1626,'Cluster Map'!$B$4:$B$38,0)),"Unmapped"))</f>
        <v/>
      </c>
      <c r="O1626" s="55">
        <f>IF(A1626="",0,IF(COUNTIFS($A$2:A1626,A1626,$F$2:F1626,F1626,$L$2:L1626,L1626)=1,1,0))</f>
        <v>0</v>
      </c>
      <c r="P1626" s="55">
        <f>IF(A1626="",0,IF(AND(F1626="C&amp;T",COUNTIFS($A$2:A1626,A1626,$F$2:F1626,"C&amp;T")=1),1,0))</f>
        <v>0</v>
      </c>
    </row>
    <row r="1627" spans="1:16" x14ac:dyDescent="0.35">
      <c r="A1627" s="54" t="str">
        <f>IFERROR(IF(INDEX(SPOT_Import!$A$1:$Z$2488,1627,'Live Data'!$C$12)="","",INDEX(SPOT_Import!$A$1:$Z$2488,1627,'Live Data'!$C$12)),"")</f>
        <v/>
      </c>
      <c r="B1627" s="54" t="str">
        <f>IFERROR(IF(INDEX(SPOT_Import!$A$1:$Z$2488,1627,'Live Data'!$C$13)="","",INDEX(SPOT_Import!$A$1:$Z$2488,1627,'Live Data'!$C$13)),"")</f>
        <v/>
      </c>
      <c r="C1627" s="54" t="str">
        <f>IFERROR(IF(INDEX(SPOT_Import!$A$1:$Z$2488,1627,'Live Data'!$C$14)="","",INDEX(SPOT_Import!$A$1:$Z$2488,1627,'Live Data'!$C$14)),"")</f>
        <v/>
      </c>
      <c r="D1627" s="54" t="str">
        <f>IFERROR(IF(INDEX(SPOT_Import!$A$1:$Z$2488,1627,'Live Data'!$C$15)="","",INDEX(SPOT_Import!$A$1:$Z$2488,1627,'Live Data'!$C$15)),"")</f>
        <v/>
      </c>
      <c r="E1627" s="54" t="str">
        <f>IFERROR(IF(INDEX(SPOT_Import!$A$1:$Z$2488,1627,'Live Data'!$C$16)="","",INDEX(SPOT_Import!$A$1:$Z$2488,1627,'Live Data'!$C$16)),"")</f>
        <v/>
      </c>
      <c r="F1627" s="54" t="str">
        <f>IFERROR(IF(INDEX(SPOT_Import!$A$1:$Z$2488,1627,'Live Data'!$C$17)="","",INDEX(SPOT_Import!$A$1:$Z$2488,1627,'Live Data'!$C$17)),"")</f>
        <v/>
      </c>
      <c r="G1627" s="54" t="str">
        <f>IFERROR(IF(INDEX(SPOT_Import!$A$1:$Z$2488,1627,'Live Data'!$C$18)="","",INDEX(SPOT_Import!$A$1:$Z$2488,1627,'Live Data'!$C$18)),"")</f>
        <v/>
      </c>
      <c r="H1627" s="54" t="str">
        <f>IFERROR(IF(INDEX(SPOT_Import!$A$1:$Z$2488,1627,'Live Data'!$C$19)="","",INDEX(SPOT_Import!$A$1:$Z$2488,1627,'Live Data'!$C$19)),"")</f>
        <v/>
      </c>
      <c r="I1627" s="54" t="str">
        <f>IFERROR(IF(INDEX(SPOT_Import!$A$1:$Z$2488,1627,'Live Data'!$C$20)="","",INDEX(SPOT_Import!$A$1:$Z$2488,1627,'Live Data'!$C$20)),"")</f>
        <v/>
      </c>
      <c r="J1627" s="54" t="str">
        <f>IFERROR(IF(INDEX(SPOT_Import!$A$1:$Z$2488,1627,'Live Data'!$C$21)="","",INDEX(SPOT_Import!$A$1:$Z$2488,1627,'Live Data'!$C$21)),"")</f>
        <v/>
      </c>
      <c r="K1627" s="54" t="str">
        <f>IFERROR(IF(INDEX(SPOT_Import!$A$1:$Z$2488,1627,'Live Data'!$C$22)="","",INDEX(SPOT_Import!$A$1:$Z$2488,1627,'Live Data'!$C$22)),"")</f>
        <v/>
      </c>
      <c r="L1627" s="55" t="str">
        <f t="shared" si="50"/>
        <v/>
      </c>
      <c r="M1627" s="55" t="str">
        <f t="shared" si="51"/>
        <v/>
      </c>
      <c r="N1627" s="55" t="str">
        <f>IF(A1627="","",IFERROR(INDEX('Cluster Map'!$A$4:$A$38,MATCH(M1627,'Cluster Map'!$B$4:$B$38,0)),"Unmapped"))</f>
        <v/>
      </c>
      <c r="O1627" s="55">
        <f>IF(A1627="",0,IF(COUNTIFS($A$2:A1627,A1627,$F$2:F1627,F1627,$L$2:L1627,L1627)=1,1,0))</f>
        <v>0</v>
      </c>
      <c r="P1627" s="55">
        <f>IF(A1627="",0,IF(AND(F1627="C&amp;T",COUNTIFS($A$2:A1627,A1627,$F$2:F1627,"C&amp;T")=1),1,0))</f>
        <v>0</v>
      </c>
    </row>
    <row r="1628" spans="1:16" x14ac:dyDescent="0.35">
      <c r="A1628" s="54" t="str">
        <f>IFERROR(IF(INDEX(SPOT_Import!$A$1:$Z$2488,1628,'Live Data'!$C$12)="","",INDEX(SPOT_Import!$A$1:$Z$2488,1628,'Live Data'!$C$12)),"")</f>
        <v/>
      </c>
      <c r="B1628" s="54" t="str">
        <f>IFERROR(IF(INDEX(SPOT_Import!$A$1:$Z$2488,1628,'Live Data'!$C$13)="","",INDEX(SPOT_Import!$A$1:$Z$2488,1628,'Live Data'!$C$13)),"")</f>
        <v/>
      </c>
      <c r="C1628" s="54" t="str">
        <f>IFERROR(IF(INDEX(SPOT_Import!$A$1:$Z$2488,1628,'Live Data'!$C$14)="","",INDEX(SPOT_Import!$A$1:$Z$2488,1628,'Live Data'!$C$14)),"")</f>
        <v/>
      </c>
      <c r="D1628" s="54" t="str">
        <f>IFERROR(IF(INDEX(SPOT_Import!$A$1:$Z$2488,1628,'Live Data'!$C$15)="","",INDEX(SPOT_Import!$A$1:$Z$2488,1628,'Live Data'!$C$15)),"")</f>
        <v/>
      </c>
      <c r="E1628" s="54" t="str">
        <f>IFERROR(IF(INDEX(SPOT_Import!$A$1:$Z$2488,1628,'Live Data'!$C$16)="","",INDEX(SPOT_Import!$A$1:$Z$2488,1628,'Live Data'!$C$16)),"")</f>
        <v/>
      </c>
      <c r="F1628" s="54" t="str">
        <f>IFERROR(IF(INDEX(SPOT_Import!$A$1:$Z$2488,1628,'Live Data'!$C$17)="","",INDEX(SPOT_Import!$A$1:$Z$2488,1628,'Live Data'!$C$17)),"")</f>
        <v/>
      </c>
      <c r="G1628" s="54" t="str">
        <f>IFERROR(IF(INDEX(SPOT_Import!$A$1:$Z$2488,1628,'Live Data'!$C$18)="","",INDEX(SPOT_Import!$A$1:$Z$2488,1628,'Live Data'!$C$18)),"")</f>
        <v/>
      </c>
      <c r="H1628" s="54" t="str">
        <f>IFERROR(IF(INDEX(SPOT_Import!$A$1:$Z$2488,1628,'Live Data'!$C$19)="","",INDEX(SPOT_Import!$A$1:$Z$2488,1628,'Live Data'!$C$19)),"")</f>
        <v/>
      </c>
      <c r="I1628" s="54" t="str">
        <f>IFERROR(IF(INDEX(SPOT_Import!$A$1:$Z$2488,1628,'Live Data'!$C$20)="","",INDEX(SPOT_Import!$A$1:$Z$2488,1628,'Live Data'!$C$20)),"")</f>
        <v/>
      </c>
      <c r="J1628" s="54" t="str">
        <f>IFERROR(IF(INDEX(SPOT_Import!$A$1:$Z$2488,1628,'Live Data'!$C$21)="","",INDEX(SPOT_Import!$A$1:$Z$2488,1628,'Live Data'!$C$21)),"")</f>
        <v/>
      </c>
      <c r="K1628" s="54" t="str">
        <f>IFERROR(IF(INDEX(SPOT_Import!$A$1:$Z$2488,1628,'Live Data'!$C$22)="","",INDEX(SPOT_Import!$A$1:$Z$2488,1628,'Live Data'!$C$22)),"")</f>
        <v/>
      </c>
      <c r="L1628" s="55" t="str">
        <f t="shared" si="50"/>
        <v/>
      </c>
      <c r="M1628" s="55" t="str">
        <f t="shared" si="51"/>
        <v/>
      </c>
      <c r="N1628" s="55" t="str">
        <f>IF(A1628="","",IFERROR(INDEX('Cluster Map'!$A$4:$A$38,MATCH(M1628,'Cluster Map'!$B$4:$B$38,0)),"Unmapped"))</f>
        <v/>
      </c>
      <c r="O1628" s="55">
        <f>IF(A1628="",0,IF(COUNTIFS($A$2:A1628,A1628,$F$2:F1628,F1628,$L$2:L1628,L1628)=1,1,0))</f>
        <v>0</v>
      </c>
      <c r="P1628" s="55">
        <f>IF(A1628="",0,IF(AND(F1628="C&amp;T",COUNTIFS($A$2:A1628,A1628,$F$2:F1628,"C&amp;T")=1),1,0))</f>
        <v>0</v>
      </c>
    </row>
    <row r="1629" spans="1:16" x14ac:dyDescent="0.35">
      <c r="A1629" s="54" t="str">
        <f>IFERROR(IF(INDEX(SPOT_Import!$A$1:$Z$2488,1629,'Live Data'!$C$12)="","",INDEX(SPOT_Import!$A$1:$Z$2488,1629,'Live Data'!$C$12)),"")</f>
        <v/>
      </c>
      <c r="B1629" s="54" t="str">
        <f>IFERROR(IF(INDEX(SPOT_Import!$A$1:$Z$2488,1629,'Live Data'!$C$13)="","",INDEX(SPOT_Import!$A$1:$Z$2488,1629,'Live Data'!$C$13)),"")</f>
        <v/>
      </c>
      <c r="C1629" s="54" t="str">
        <f>IFERROR(IF(INDEX(SPOT_Import!$A$1:$Z$2488,1629,'Live Data'!$C$14)="","",INDEX(SPOT_Import!$A$1:$Z$2488,1629,'Live Data'!$C$14)),"")</f>
        <v/>
      </c>
      <c r="D1629" s="54" t="str">
        <f>IFERROR(IF(INDEX(SPOT_Import!$A$1:$Z$2488,1629,'Live Data'!$C$15)="","",INDEX(SPOT_Import!$A$1:$Z$2488,1629,'Live Data'!$C$15)),"")</f>
        <v/>
      </c>
      <c r="E1629" s="54" t="str">
        <f>IFERROR(IF(INDEX(SPOT_Import!$A$1:$Z$2488,1629,'Live Data'!$C$16)="","",INDEX(SPOT_Import!$A$1:$Z$2488,1629,'Live Data'!$C$16)),"")</f>
        <v/>
      </c>
      <c r="F1629" s="54" t="str">
        <f>IFERROR(IF(INDEX(SPOT_Import!$A$1:$Z$2488,1629,'Live Data'!$C$17)="","",INDEX(SPOT_Import!$A$1:$Z$2488,1629,'Live Data'!$C$17)),"")</f>
        <v/>
      </c>
      <c r="G1629" s="54" t="str">
        <f>IFERROR(IF(INDEX(SPOT_Import!$A$1:$Z$2488,1629,'Live Data'!$C$18)="","",INDEX(SPOT_Import!$A$1:$Z$2488,1629,'Live Data'!$C$18)),"")</f>
        <v/>
      </c>
      <c r="H1629" s="54" t="str">
        <f>IFERROR(IF(INDEX(SPOT_Import!$A$1:$Z$2488,1629,'Live Data'!$C$19)="","",INDEX(SPOT_Import!$A$1:$Z$2488,1629,'Live Data'!$C$19)),"")</f>
        <v/>
      </c>
      <c r="I1629" s="54" t="str">
        <f>IFERROR(IF(INDEX(SPOT_Import!$A$1:$Z$2488,1629,'Live Data'!$C$20)="","",INDEX(SPOT_Import!$A$1:$Z$2488,1629,'Live Data'!$C$20)),"")</f>
        <v/>
      </c>
      <c r="J1629" s="54" t="str">
        <f>IFERROR(IF(INDEX(SPOT_Import!$A$1:$Z$2488,1629,'Live Data'!$C$21)="","",INDEX(SPOT_Import!$A$1:$Z$2488,1629,'Live Data'!$C$21)),"")</f>
        <v/>
      </c>
      <c r="K1629" s="54" t="str">
        <f>IFERROR(IF(INDEX(SPOT_Import!$A$1:$Z$2488,1629,'Live Data'!$C$22)="","",INDEX(SPOT_Import!$A$1:$Z$2488,1629,'Live Data'!$C$22)),"")</f>
        <v/>
      </c>
      <c r="L1629" s="55" t="str">
        <f t="shared" si="50"/>
        <v/>
      </c>
      <c r="M1629" s="55" t="str">
        <f t="shared" si="51"/>
        <v/>
      </c>
      <c r="N1629" s="55" t="str">
        <f>IF(A1629="","",IFERROR(INDEX('Cluster Map'!$A$4:$A$38,MATCH(M1629,'Cluster Map'!$B$4:$B$38,0)),"Unmapped"))</f>
        <v/>
      </c>
      <c r="O1629" s="55">
        <f>IF(A1629="",0,IF(COUNTIFS($A$2:A1629,A1629,$F$2:F1629,F1629,$L$2:L1629,L1629)=1,1,0))</f>
        <v>0</v>
      </c>
      <c r="P1629" s="55">
        <f>IF(A1629="",0,IF(AND(F1629="C&amp;T",COUNTIFS($A$2:A1629,A1629,$F$2:F1629,"C&amp;T")=1),1,0))</f>
        <v>0</v>
      </c>
    </row>
    <row r="1630" spans="1:16" x14ac:dyDescent="0.35">
      <c r="A1630" s="54" t="str">
        <f>IFERROR(IF(INDEX(SPOT_Import!$A$1:$Z$2488,1630,'Live Data'!$C$12)="","",INDEX(SPOT_Import!$A$1:$Z$2488,1630,'Live Data'!$C$12)),"")</f>
        <v/>
      </c>
      <c r="B1630" s="54" t="str">
        <f>IFERROR(IF(INDEX(SPOT_Import!$A$1:$Z$2488,1630,'Live Data'!$C$13)="","",INDEX(SPOT_Import!$A$1:$Z$2488,1630,'Live Data'!$C$13)),"")</f>
        <v/>
      </c>
      <c r="C1630" s="54" t="str">
        <f>IFERROR(IF(INDEX(SPOT_Import!$A$1:$Z$2488,1630,'Live Data'!$C$14)="","",INDEX(SPOT_Import!$A$1:$Z$2488,1630,'Live Data'!$C$14)),"")</f>
        <v/>
      </c>
      <c r="D1630" s="54" t="str">
        <f>IFERROR(IF(INDEX(SPOT_Import!$A$1:$Z$2488,1630,'Live Data'!$C$15)="","",INDEX(SPOT_Import!$A$1:$Z$2488,1630,'Live Data'!$C$15)),"")</f>
        <v/>
      </c>
      <c r="E1630" s="54" t="str">
        <f>IFERROR(IF(INDEX(SPOT_Import!$A$1:$Z$2488,1630,'Live Data'!$C$16)="","",INDEX(SPOT_Import!$A$1:$Z$2488,1630,'Live Data'!$C$16)),"")</f>
        <v/>
      </c>
      <c r="F1630" s="54" t="str">
        <f>IFERROR(IF(INDEX(SPOT_Import!$A$1:$Z$2488,1630,'Live Data'!$C$17)="","",INDEX(SPOT_Import!$A$1:$Z$2488,1630,'Live Data'!$C$17)),"")</f>
        <v/>
      </c>
      <c r="G1630" s="54" t="str">
        <f>IFERROR(IF(INDEX(SPOT_Import!$A$1:$Z$2488,1630,'Live Data'!$C$18)="","",INDEX(SPOT_Import!$A$1:$Z$2488,1630,'Live Data'!$C$18)),"")</f>
        <v/>
      </c>
      <c r="H1630" s="54" t="str">
        <f>IFERROR(IF(INDEX(SPOT_Import!$A$1:$Z$2488,1630,'Live Data'!$C$19)="","",INDEX(SPOT_Import!$A$1:$Z$2488,1630,'Live Data'!$C$19)),"")</f>
        <v/>
      </c>
      <c r="I1630" s="54" t="str">
        <f>IFERROR(IF(INDEX(SPOT_Import!$A$1:$Z$2488,1630,'Live Data'!$C$20)="","",INDEX(SPOT_Import!$A$1:$Z$2488,1630,'Live Data'!$C$20)),"")</f>
        <v/>
      </c>
      <c r="J1630" s="54" t="str">
        <f>IFERROR(IF(INDEX(SPOT_Import!$A$1:$Z$2488,1630,'Live Data'!$C$21)="","",INDEX(SPOT_Import!$A$1:$Z$2488,1630,'Live Data'!$C$21)),"")</f>
        <v/>
      </c>
      <c r="K1630" s="54" t="str">
        <f>IFERROR(IF(INDEX(SPOT_Import!$A$1:$Z$2488,1630,'Live Data'!$C$22)="","",INDEX(SPOT_Import!$A$1:$Z$2488,1630,'Live Data'!$C$22)),"")</f>
        <v/>
      </c>
      <c r="L1630" s="55" t="str">
        <f t="shared" si="50"/>
        <v/>
      </c>
      <c r="M1630" s="55" t="str">
        <f t="shared" si="51"/>
        <v/>
      </c>
      <c r="N1630" s="55" t="str">
        <f>IF(A1630="","",IFERROR(INDEX('Cluster Map'!$A$4:$A$38,MATCH(M1630,'Cluster Map'!$B$4:$B$38,0)),"Unmapped"))</f>
        <v/>
      </c>
      <c r="O1630" s="55">
        <f>IF(A1630="",0,IF(COUNTIFS($A$2:A1630,A1630,$F$2:F1630,F1630,$L$2:L1630,L1630)=1,1,0))</f>
        <v>0</v>
      </c>
      <c r="P1630" s="55">
        <f>IF(A1630="",0,IF(AND(F1630="C&amp;T",COUNTIFS($A$2:A1630,A1630,$F$2:F1630,"C&amp;T")=1),1,0))</f>
        <v>0</v>
      </c>
    </row>
    <row r="1631" spans="1:16" x14ac:dyDescent="0.35">
      <c r="A1631" s="54" t="str">
        <f>IFERROR(IF(INDEX(SPOT_Import!$A$1:$Z$2488,1631,'Live Data'!$C$12)="","",INDEX(SPOT_Import!$A$1:$Z$2488,1631,'Live Data'!$C$12)),"")</f>
        <v/>
      </c>
      <c r="B1631" s="54" t="str">
        <f>IFERROR(IF(INDEX(SPOT_Import!$A$1:$Z$2488,1631,'Live Data'!$C$13)="","",INDEX(SPOT_Import!$A$1:$Z$2488,1631,'Live Data'!$C$13)),"")</f>
        <v/>
      </c>
      <c r="C1631" s="54" t="str">
        <f>IFERROR(IF(INDEX(SPOT_Import!$A$1:$Z$2488,1631,'Live Data'!$C$14)="","",INDEX(SPOT_Import!$A$1:$Z$2488,1631,'Live Data'!$C$14)),"")</f>
        <v/>
      </c>
      <c r="D1631" s="54" t="str">
        <f>IFERROR(IF(INDEX(SPOT_Import!$A$1:$Z$2488,1631,'Live Data'!$C$15)="","",INDEX(SPOT_Import!$A$1:$Z$2488,1631,'Live Data'!$C$15)),"")</f>
        <v/>
      </c>
      <c r="E1631" s="54" t="str">
        <f>IFERROR(IF(INDEX(SPOT_Import!$A$1:$Z$2488,1631,'Live Data'!$C$16)="","",INDEX(SPOT_Import!$A$1:$Z$2488,1631,'Live Data'!$C$16)),"")</f>
        <v/>
      </c>
      <c r="F1631" s="54" t="str">
        <f>IFERROR(IF(INDEX(SPOT_Import!$A$1:$Z$2488,1631,'Live Data'!$C$17)="","",INDEX(SPOT_Import!$A$1:$Z$2488,1631,'Live Data'!$C$17)),"")</f>
        <v/>
      </c>
      <c r="G1631" s="54" t="str">
        <f>IFERROR(IF(INDEX(SPOT_Import!$A$1:$Z$2488,1631,'Live Data'!$C$18)="","",INDEX(SPOT_Import!$A$1:$Z$2488,1631,'Live Data'!$C$18)),"")</f>
        <v/>
      </c>
      <c r="H1631" s="54" t="str">
        <f>IFERROR(IF(INDEX(SPOT_Import!$A$1:$Z$2488,1631,'Live Data'!$C$19)="","",INDEX(SPOT_Import!$A$1:$Z$2488,1631,'Live Data'!$C$19)),"")</f>
        <v/>
      </c>
      <c r="I1631" s="54" t="str">
        <f>IFERROR(IF(INDEX(SPOT_Import!$A$1:$Z$2488,1631,'Live Data'!$C$20)="","",INDEX(SPOT_Import!$A$1:$Z$2488,1631,'Live Data'!$C$20)),"")</f>
        <v/>
      </c>
      <c r="J1631" s="54" t="str">
        <f>IFERROR(IF(INDEX(SPOT_Import!$A$1:$Z$2488,1631,'Live Data'!$C$21)="","",INDEX(SPOT_Import!$A$1:$Z$2488,1631,'Live Data'!$C$21)),"")</f>
        <v/>
      </c>
      <c r="K1631" s="54" t="str">
        <f>IFERROR(IF(INDEX(SPOT_Import!$A$1:$Z$2488,1631,'Live Data'!$C$22)="","",INDEX(SPOT_Import!$A$1:$Z$2488,1631,'Live Data'!$C$22)),"")</f>
        <v/>
      </c>
      <c r="L1631" s="55" t="str">
        <f t="shared" si="50"/>
        <v/>
      </c>
      <c r="M1631" s="55" t="str">
        <f t="shared" si="51"/>
        <v/>
      </c>
      <c r="N1631" s="55" t="str">
        <f>IF(A1631="","",IFERROR(INDEX('Cluster Map'!$A$4:$A$38,MATCH(M1631,'Cluster Map'!$B$4:$B$38,0)),"Unmapped"))</f>
        <v/>
      </c>
      <c r="O1631" s="55">
        <f>IF(A1631="",0,IF(COUNTIFS($A$2:A1631,A1631,$F$2:F1631,F1631,$L$2:L1631,L1631)=1,1,0))</f>
        <v>0</v>
      </c>
      <c r="P1631" s="55">
        <f>IF(A1631="",0,IF(AND(F1631="C&amp;T",COUNTIFS($A$2:A1631,A1631,$F$2:F1631,"C&amp;T")=1),1,0))</f>
        <v>0</v>
      </c>
    </row>
    <row r="1632" spans="1:16" x14ac:dyDescent="0.35">
      <c r="A1632" s="54" t="str">
        <f>IFERROR(IF(INDEX(SPOT_Import!$A$1:$Z$2488,1632,'Live Data'!$C$12)="","",INDEX(SPOT_Import!$A$1:$Z$2488,1632,'Live Data'!$C$12)),"")</f>
        <v/>
      </c>
      <c r="B1632" s="54" t="str">
        <f>IFERROR(IF(INDEX(SPOT_Import!$A$1:$Z$2488,1632,'Live Data'!$C$13)="","",INDEX(SPOT_Import!$A$1:$Z$2488,1632,'Live Data'!$C$13)),"")</f>
        <v/>
      </c>
      <c r="C1632" s="54" t="str">
        <f>IFERROR(IF(INDEX(SPOT_Import!$A$1:$Z$2488,1632,'Live Data'!$C$14)="","",INDEX(SPOT_Import!$A$1:$Z$2488,1632,'Live Data'!$C$14)),"")</f>
        <v/>
      </c>
      <c r="D1632" s="54" t="str">
        <f>IFERROR(IF(INDEX(SPOT_Import!$A$1:$Z$2488,1632,'Live Data'!$C$15)="","",INDEX(SPOT_Import!$A$1:$Z$2488,1632,'Live Data'!$C$15)),"")</f>
        <v/>
      </c>
      <c r="E1632" s="54" t="str">
        <f>IFERROR(IF(INDEX(SPOT_Import!$A$1:$Z$2488,1632,'Live Data'!$C$16)="","",INDEX(SPOT_Import!$A$1:$Z$2488,1632,'Live Data'!$C$16)),"")</f>
        <v/>
      </c>
      <c r="F1632" s="54" t="str">
        <f>IFERROR(IF(INDEX(SPOT_Import!$A$1:$Z$2488,1632,'Live Data'!$C$17)="","",INDEX(SPOT_Import!$A$1:$Z$2488,1632,'Live Data'!$C$17)),"")</f>
        <v/>
      </c>
      <c r="G1632" s="54" t="str">
        <f>IFERROR(IF(INDEX(SPOT_Import!$A$1:$Z$2488,1632,'Live Data'!$C$18)="","",INDEX(SPOT_Import!$A$1:$Z$2488,1632,'Live Data'!$C$18)),"")</f>
        <v/>
      </c>
      <c r="H1632" s="54" t="str">
        <f>IFERROR(IF(INDEX(SPOT_Import!$A$1:$Z$2488,1632,'Live Data'!$C$19)="","",INDEX(SPOT_Import!$A$1:$Z$2488,1632,'Live Data'!$C$19)),"")</f>
        <v/>
      </c>
      <c r="I1632" s="54" t="str">
        <f>IFERROR(IF(INDEX(SPOT_Import!$A$1:$Z$2488,1632,'Live Data'!$C$20)="","",INDEX(SPOT_Import!$A$1:$Z$2488,1632,'Live Data'!$C$20)),"")</f>
        <v/>
      </c>
      <c r="J1632" s="54" t="str">
        <f>IFERROR(IF(INDEX(SPOT_Import!$A$1:$Z$2488,1632,'Live Data'!$C$21)="","",INDEX(SPOT_Import!$A$1:$Z$2488,1632,'Live Data'!$C$21)),"")</f>
        <v/>
      </c>
      <c r="K1632" s="54" t="str">
        <f>IFERROR(IF(INDEX(SPOT_Import!$A$1:$Z$2488,1632,'Live Data'!$C$22)="","",INDEX(SPOT_Import!$A$1:$Z$2488,1632,'Live Data'!$C$22)),"")</f>
        <v/>
      </c>
      <c r="L1632" s="55" t="str">
        <f t="shared" si="50"/>
        <v/>
      </c>
      <c r="M1632" s="55" t="str">
        <f t="shared" si="51"/>
        <v/>
      </c>
      <c r="N1632" s="55" t="str">
        <f>IF(A1632="","",IFERROR(INDEX('Cluster Map'!$A$4:$A$38,MATCH(M1632,'Cluster Map'!$B$4:$B$38,0)),"Unmapped"))</f>
        <v/>
      </c>
      <c r="O1632" s="55">
        <f>IF(A1632="",0,IF(COUNTIFS($A$2:A1632,A1632,$F$2:F1632,F1632,$L$2:L1632,L1632)=1,1,0))</f>
        <v>0</v>
      </c>
      <c r="P1632" s="55">
        <f>IF(A1632="",0,IF(AND(F1632="C&amp;T",COUNTIFS($A$2:A1632,A1632,$F$2:F1632,"C&amp;T")=1),1,0))</f>
        <v>0</v>
      </c>
    </row>
    <row r="1633" spans="1:16" x14ac:dyDescent="0.35">
      <c r="A1633" s="54" t="str">
        <f>IFERROR(IF(INDEX(SPOT_Import!$A$1:$Z$2488,1633,'Live Data'!$C$12)="","",INDEX(SPOT_Import!$A$1:$Z$2488,1633,'Live Data'!$C$12)),"")</f>
        <v/>
      </c>
      <c r="B1633" s="54" t="str">
        <f>IFERROR(IF(INDEX(SPOT_Import!$A$1:$Z$2488,1633,'Live Data'!$C$13)="","",INDEX(SPOT_Import!$A$1:$Z$2488,1633,'Live Data'!$C$13)),"")</f>
        <v/>
      </c>
      <c r="C1633" s="54" t="str">
        <f>IFERROR(IF(INDEX(SPOT_Import!$A$1:$Z$2488,1633,'Live Data'!$C$14)="","",INDEX(SPOT_Import!$A$1:$Z$2488,1633,'Live Data'!$C$14)),"")</f>
        <v/>
      </c>
      <c r="D1633" s="54" t="str">
        <f>IFERROR(IF(INDEX(SPOT_Import!$A$1:$Z$2488,1633,'Live Data'!$C$15)="","",INDEX(SPOT_Import!$A$1:$Z$2488,1633,'Live Data'!$C$15)),"")</f>
        <v/>
      </c>
      <c r="E1633" s="54" t="str">
        <f>IFERROR(IF(INDEX(SPOT_Import!$A$1:$Z$2488,1633,'Live Data'!$C$16)="","",INDEX(SPOT_Import!$A$1:$Z$2488,1633,'Live Data'!$C$16)),"")</f>
        <v/>
      </c>
      <c r="F1633" s="54" t="str">
        <f>IFERROR(IF(INDEX(SPOT_Import!$A$1:$Z$2488,1633,'Live Data'!$C$17)="","",INDEX(SPOT_Import!$A$1:$Z$2488,1633,'Live Data'!$C$17)),"")</f>
        <v/>
      </c>
      <c r="G1633" s="54" t="str">
        <f>IFERROR(IF(INDEX(SPOT_Import!$A$1:$Z$2488,1633,'Live Data'!$C$18)="","",INDEX(SPOT_Import!$A$1:$Z$2488,1633,'Live Data'!$C$18)),"")</f>
        <v/>
      </c>
      <c r="H1633" s="54" t="str">
        <f>IFERROR(IF(INDEX(SPOT_Import!$A$1:$Z$2488,1633,'Live Data'!$C$19)="","",INDEX(SPOT_Import!$A$1:$Z$2488,1633,'Live Data'!$C$19)),"")</f>
        <v/>
      </c>
      <c r="I1633" s="54" t="str">
        <f>IFERROR(IF(INDEX(SPOT_Import!$A$1:$Z$2488,1633,'Live Data'!$C$20)="","",INDEX(SPOT_Import!$A$1:$Z$2488,1633,'Live Data'!$C$20)),"")</f>
        <v/>
      </c>
      <c r="J1633" s="54" t="str">
        <f>IFERROR(IF(INDEX(SPOT_Import!$A$1:$Z$2488,1633,'Live Data'!$C$21)="","",INDEX(SPOT_Import!$A$1:$Z$2488,1633,'Live Data'!$C$21)),"")</f>
        <v/>
      </c>
      <c r="K1633" s="54" t="str">
        <f>IFERROR(IF(INDEX(SPOT_Import!$A$1:$Z$2488,1633,'Live Data'!$C$22)="","",INDEX(SPOT_Import!$A$1:$Z$2488,1633,'Live Data'!$C$22)),"")</f>
        <v/>
      </c>
      <c r="L1633" s="55" t="str">
        <f t="shared" si="50"/>
        <v/>
      </c>
      <c r="M1633" s="55" t="str">
        <f t="shared" si="51"/>
        <v/>
      </c>
      <c r="N1633" s="55" t="str">
        <f>IF(A1633="","",IFERROR(INDEX('Cluster Map'!$A$4:$A$38,MATCH(M1633,'Cluster Map'!$B$4:$B$38,0)),"Unmapped"))</f>
        <v/>
      </c>
      <c r="O1633" s="55">
        <f>IF(A1633="",0,IF(COUNTIFS($A$2:A1633,A1633,$F$2:F1633,F1633,$L$2:L1633,L1633)=1,1,0))</f>
        <v>0</v>
      </c>
      <c r="P1633" s="55">
        <f>IF(A1633="",0,IF(AND(F1633="C&amp;T",COUNTIFS($A$2:A1633,A1633,$F$2:F1633,"C&amp;T")=1),1,0))</f>
        <v>0</v>
      </c>
    </row>
    <row r="1634" spans="1:16" x14ac:dyDescent="0.35">
      <c r="A1634" s="54" t="str">
        <f>IFERROR(IF(INDEX(SPOT_Import!$A$1:$Z$2488,1634,'Live Data'!$C$12)="","",INDEX(SPOT_Import!$A$1:$Z$2488,1634,'Live Data'!$C$12)),"")</f>
        <v/>
      </c>
      <c r="B1634" s="54" t="str">
        <f>IFERROR(IF(INDEX(SPOT_Import!$A$1:$Z$2488,1634,'Live Data'!$C$13)="","",INDEX(SPOT_Import!$A$1:$Z$2488,1634,'Live Data'!$C$13)),"")</f>
        <v/>
      </c>
      <c r="C1634" s="54" t="str">
        <f>IFERROR(IF(INDEX(SPOT_Import!$A$1:$Z$2488,1634,'Live Data'!$C$14)="","",INDEX(SPOT_Import!$A$1:$Z$2488,1634,'Live Data'!$C$14)),"")</f>
        <v/>
      </c>
      <c r="D1634" s="54" t="str">
        <f>IFERROR(IF(INDEX(SPOT_Import!$A$1:$Z$2488,1634,'Live Data'!$C$15)="","",INDEX(SPOT_Import!$A$1:$Z$2488,1634,'Live Data'!$C$15)),"")</f>
        <v/>
      </c>
      <c r="E1634" s="54" t="str">
        <f>IFERROR(IF(INDEX(SPOT_Import!$A$1:$Z$2488,1634,'Live Data'!$C$16)="","",INDEX(SPOT_Import!$A$1:$Z$2488,1634,'Live Data'!$C$16)),"")</f>
        <v/>
      </c>
      <c r="F1634" s="54" t="str">
        <f>IFERROR(IF(INDEX(SPOT_Import!$A$1:$Z$2488,1634,'Live Data'!$C$17)="","",INDEX(SPOT_Import!$A$1:$Z$2488,1634,'Live Data'!$C$17)),"")</f>
        <v/>
      </c>
      <c r="G1634" s="54" t="str">
        <f>IFERROR(IF(INDEX(SPOT_Import!$A$1:$Z$2488,1634,'Live Data'!$C$18)="","",INDEX(SPOT_Import!$A$1:$Z$2488,1634,'Live Data'!$C$18)),"")</f>
        <v/>
      </c>
      <c r="H1634" s="54" t="str">
        <f>IFERROR(IF(INDEX(SPOT_Import!$A$1:$Z$2488,1634,'Live Data'!$C$19)="","",INDEX(SPOT_Import!$A$1:$Z$2488,1634,'Live Data'!$C$19)),"")</f>
        <v/>
      </c>
      <c r="I1634" s="54" t="str">
        <f>IFERROR(IF(INDEX(SPOT_Import!$A$1:$Z$2488,1634,'Live Data'!$C$20)="","",INDEX(SPOT_Import!$A$1:$Z$2488,1634,'Live Data'!$C$20)),"")</f>
        <v/>
      </c>
      <c r="J1634" s="54" t="str">
        <f>IFERROR(IF(INDEX(SPOT_Import!$A$1:$Z$2488,1634,'Live Data'!$C$21)="","",INDEX(SPOT_Import!$A$1:$Z$2488,1634,'Live Data'!$C$21)),"")</f>
        <v/>
      </c>
      <c r="K1634" s="54" t="str">
        <f>IFERROR(IF(INDEX(SPOT_Import!$A$1:$Z$2488,1634,'Live Data'!$C$22)="","",INDEX(SPOT_Import!$A$1:$Z$2488,1634,'Live Data'!$C$22)),"")</f>
        <v/>
      </c>
      <c r="L1634" s="55" t="str">
        <f t="shared" si="50"/>
        <v/>
      </c>
      <c r="M1634" s="55" t="str">
        <f t="shared" si="51"/>
        <v/>
      </c>
      <c r="N1634" s="55" t="str">
        <f>IF(A1634="","",IFERROR(INDEX('Cluster Map'!$A$4:$A$38,MATCH(M1634,'Cluster Map'!$B$4:$B$38,0)),"Unmapped"))</f>
        <v/>
      </c>
      <c r="O1634" s="55">
        <f>IF(A1634="",0,IF(COUNTIFS($A$2:A1634,A1634,$F$2:F1634,F1634,$L$2:L1634,L1634)=1,1,0))</f>
        <v>0</v>
      </c>
      <c r="P1634" s="55">
        <f>IF(A1634="",0,IF(AND(F1634="C&amp;T",COUNTIFS($A$2:A1634,A1634,$F$2:F1634,"C&amp;T")=1),1,0))</f>
        <v>0</v>
      </c>
    </row>
    <row r="1635" spans="1:16" x14ac:dyDescent="0.35">
      <c r="A1635" s="54" t="str">
        <f>IFERROR(IF(INDEX(SPOT_Import!$A$1:$Z$2488,1635,'Live Data'!$C$12)="","",INDEX(SPOT_Import!$A$1:$Z$2488,1635,'Live Data'!$C$12)),"")</f>
        <v/>
      </c>
      <c r="B1635" s="54" t="str">
        <f>IFERROR(IF(INDEX(SPOT_Import!$A$1:$Z$2488,1635,'Live Data'!$C$13)="","",INDEX(SPOT_Import!$A$1:$Z$2488,1635,'Live Data'!$C$13)),"")</f>
        <v/>
      </c>
      <c r="C1635" s="54" t="str">
        <f>IFERROR(IF(INDEX(SPOT_Import!$A$1:$Z$2488,1635,'Live Data'!$C$14)="","",INDEX(SPOT_Import!$A$1:$Z$2488,1635,'Live Data'!$C$14)),"")</f>
        <v/>
      </c>
      <c r="D1635" s="54" t="str">
        <f>IFERROR(IF(INDEX(SPOT_Import!$A$1:$Z$2488,1635,'Live Data'!$C$15)="","",INDEX(SPOT_Import!$A$1:$Z$2488,1635,'Live Data'!$C$15)),"")</f>
        <v/>
      </c>
      <c r="E1635" s="54" t="str">
        <f>IFERROR(IF(INDEX(SPOT_Import!$A$1:$Z$2488,1635,'Live Data'!$C$16)="","",INDEX(SPOT_Import!$A$1:$Z$2488,1635,'Live Data'!$C$16)),"")</f>
        <v/>
      </c>
      <c r="F1635" s="54" t="str">
        <f>IFERROR(IF(INDEX(SPOT_Import!$A$1:$Z$2488,1635,'Live Data'!$C$17)="","",INDEX(SPOT_Import!$A$1:$Z$2488,1635,'Live Data'!$C$17)),"")</f>
        <v/>
      </c>
      <c r="G1635" s="54" t="str">
        <f>IFERROR(IF(INDEX(SPOT_Import!$A$1:$Z$2488,1635,'Live Data'!$C$18)="","",INDEX(SPOT_Import!$A$1:$Z$2488,1635,'Live Data'!$C$18)),"")</f>
        <v/>
      </c>
      <c r="H1635" s="54" t="str">
        <f>IFERROR(IF(INDEX(SPOT_Import!$A$1:$Z$2488,1635,'Live Data'!$C$19)="","",INDEX(SPOT_Import!$A$1:$Z$2488,1635,'Live Data'!$C$19)),"")</f>
        <v/>
      </c>
      <c r="I1635" s="54" t="str">
        <f>IFERROR(IF(INDEX(SPOT_Import!$A$1:$Z$2488,1635,'Live Data'!$C$20)="","",INDEX(SPOT_Import!$A$1:$Z$2488,1635,'Live Data'!$C$20)),"")</f>
        <v/>
      </c>
      <c r="J1635" s="54" t="str">
        <f>IFERROR(IF(INDEX(SPOT_Import!$A$1:$Z$2488,1635,'Live Data'!$C$21)="","",INDEX(SPOT_Import!$A$1:$Z$2488,1635,'Live Data'!$C$21)),"")</f>
        <v/>
      </c>
      <c r="K1635" s="54" t="str">
        <f>IFERROR(IF(INDEX(SPOT_Import!$A$1:$Z$2488,1635,'Live Data'!$C$22)="","",INDEX(SPOT_Import!$A$1:$Z$2488,1635,'Live Data'!$C$22)),"")</f>
        <v/>
      </c>
      <c r="L1635" s="55" t="str">
        <f t="shared" si="50"/>
        <v/>
      </c>
      <c r="M1635" s="55" t="str">
        <f t="shared" si="51"/>
        <v/>
      </c>
      <c r="N1635" s="55" t="str">
        <f>IF(A1635="","",IFERROR(INDEX('Cluster Map'!$A$4:$A$38,MATCH(M1635,'Cluster Map'!$B$4:$B$38,0)),"Unmapped"))</f>
        <v/>
      </c>
      <c r="O1635" s="55">
        <f>IF(A1635="",0,IF(COUNTIFS($A$2:A1635,A1635,$F$2:F1635,F1635,$L$2:L1635,L1635)=1,1,0))</f>
        <v>0</v>
      </c>
      <c r="P1635" s="55">
        <f>IF(A1635="",0,IF(AND(F1635="C&amp;T",COUNTIFS($A$2:A1635,A1635,$F$2:F1635,"C&amp;T")=1),1,0))</f>
        <v>0</v>
      </c>
    </row>
    <row r="1636" spans="1:16" x14ac:dyDescent="0.35">
      <c r="A1636" s="54" t="str">
        <f>IFERROR(IF(INDEX(SPOT_Import!$A$1:$Z$2488,1636,'Live Data'!$C$12)="","",INDEX(SPOT_Import!$A$1:$Z$2488,1636,'Live Data'!$C$12)),"")</f>
        <v/>
      </c>
      <c r="B1636" s="54" t="str">
        <f>IFERROR(IF(INDEX(SPOT_Import!$A$1:$Z$2488,1636,'Live Data'!$C$13)="","",INDEX(SPOT_Import!$A$1:$Z$2488,1636,'Live Data'!$C$13)),"")</f>
        <v/>
      </c>
      <c r="C1636" s="54" t="str">
        <f>IFERROR(IF(INDEX(SPOT_Import!$A$1:$Z$2488,1636,'Live Data'!$C$14)="","",INDEX(SPOT_Import!$A$1:$Z$2488,1636,'Live Data'!$C$14)),"")</f>
        <v/>
      </c>
      <c r="D1636" s="54" t="str">
        <f>IFERROR(IF(INDEX(SPOT_Import!$A$1:$Z$2488,1636,'Live Data'!$C$15)="","",INDEX(SPOT_Import!$A$1:$Z$2488,1636,'Live Data'!$C$15)),"")</f>
        <v/>
      </c>
      <c r="E1636" s="54" t="str">
        <f>IFERROR(IF(INDEX(SPOT_Import!$A$1:$Z$2488,1636,'Live Data'!$C$16)="","",INDEX(SPOT_Import!$A$1:$Z$2488,1636,'Live Data'!$C$16)),"")</f>
        <v/>
      </c>
      <c r="F1636" s="54" t="str">
        <f>IFERROR(IF(INDEX(SPOT_Import!$A$1:$Z$2488,1636,'Live Data'!$C$17)="","",INDEX(SPOT_Import!$A$1:$Z$2488,1636,'Live Data'!$C$17)),"")</f>
        <v/>
      </c>
      <c r="G1636" s="54" t="str">
        <f>IFERROR(IF(INDEX(SPOT_Import!$A$1:$Z$2488,1636,'Live Data'!$C$18)="","",INDEX(SPOT_Import!$A$1:$Z$2488,1636,'Live Data'!$C$18)),"")</f>
        <v/>
      </c>
      <c r="H1636" s="54" t="str">
        <f>IFERROR(IF(INDEX(SPOT_Import!$A$1:$Z$2488,1636,'Live Data'!$C$19)="","",INDEX(SPOT_Import!$A$1:$Z$2488,1636,'Live Data'!$C$19)),"")</f>
        <v/>
      </c>
      <c r="I1636" s="54" t="str">
        <f>IFERROR(IF(INDEX(SPOT_Import!$A$1:$Z$2488,1636,'Live Data'!$C$20)="","",INDEX(SPOT_Import!$A$1:$Z$2488,1636,'Live Data'!$C$20)),"")</f>
        <v/>
      </c>
      <c r="J1636" s="54" t="str">
        <f>IFERROR(IF(INDEX(SPOT_Import!$A$1:$Z$2488,1636,'Live Data'!$C$21)="","",INDEX(SPOT_Import!$A$1:$Z$2488,1636,'Live Data'!$C$21)),"")</f>
        <v/>
      </c>
      <c r="K1636" s="54" t="str">
        <f>IFERROR(IF(INDEX(SPOT_Import!$A$1:$Z$2488,1636,'Live Data'!$C$22)="","",INDEX(SPOT_Import!$A$1:$Z$2488,1636,'Live Data'!$C$22)),"")</f>
        <v/>
      </c>
      <c r="L1636" s="55" t="str">
        <f t="shared" si="50"/>
        <v/>
      </c>
      <c r="M1636" s="55" t="str">
        <f t="shared" si="51"/>
        <v/>
      </c>
      <c r="N1636" s="55" t="str">
        <f>IF(A1636="","",IFERROR(INDEX('Cluster Map'!$A$4:$A$38,MATCH(M1636,'Cluster Map'!$B$4:$B$38,0)),"Unmapped"))</f>
        <v/>
      </c>
      <c r="O1636" s="55">
        <f>IF(A1636="",0,IF(COUNTIFS($A$2:A1636,A1636,$F$2:F1636,F1636,$L$2:L1636,L1636)=1,1,0))</f>
        <v>0</v>
      </c>
      <c r="P1636" s="55">
        <f>IF(A1636="",0,IF(AND(F1636="C&amp;T",COUNTIFS($A$2:A1636,A1636,$F$2:F1636,"C&amp;T")=1),1,0))</f>
        <v>0</v>
      </c>
    </row>
    <row r="1637" spans="1:16" x14ac:dyDescent="0.35">
      <c r="A1637" s="54" t="str">
        <f>IFERROR(IF(INDEX(SPOT_Import!$A$1:$Z$2488,1637,'Live Data'!$C$12)="","",INDEX(SPOT_Import!$A$1:$Z$2488,1637,'Live Data'!$C$12)),"")</f>
        <v/>
      </c>
      <c r="B1637" s="54" t="str">
        <f>IFERROR(IF(INDEX(SPOT_Import!$A$1:$Z$2488,1637,'Live Data'!$C$13)="","",INDEX(SPOT_Import!$A$1:$Z$2488,1637,'Live Data'!$C$13)),"")</f>
        <v/>
      </c>
      <c r="C1637" s="54" t="str">
        <f>IFERROR(IF(INDEX(SPOT_Import!$A$1:$Z$2488,1637,'Live Data'!$C$14)="","",INDEX(SPOT_Import!$A$1:$Z$2488,1637,'Live Data'!$C$14)),"")</f>
        <v/>
      </c>
      <c r="D1637" s="54" t="str">
        <f>IFERROR(IF(INDEX(SPOT_Import!$A$1:$Z$2488,1637,'Live Data'!$C$15)="","",INDEX(SPOT_Import!$A$1:$Z$2488,1637,'Live Data'!$C$15)),"")</f>
        <v/>
      </c>
      <c r="E1637" s="54" t="str">
        <f>IFERROR(IF(INDEX(SPOT_Import!$A$1:$Z$2488,1637,'Live Data'!$C$16)="","",INDEX(SPOT_Import!$A$1:$Z$2488,1637,'Live Data'!$C$16)),"")</f>
        <v/>
      </c>
      <c r="F1637" s="54" t="str">
        <f>IFERROR(IF(INDEX(SPOT_Import!$A$1:$Z$2488,1637,'Live Data'!$C$17)="","",INDEX(SPOT_Import!$A$1:$Z$2488,1637,'Live Data'!$C$17)),"")</f>
        <v/>
      </c>
      <c r="G1637" s="54" t="str">
        <f>IFERROR(IF(INDEX(SPOT_Import!$A$1:$Z$2488,1637,'Live Data'!$C$18)="","",INDEX(SPOT_Import!$A$1:$Z$2488,1637,'Live Data'!$C$18)),"")</f>
        <v/>
      </c>
      <c r="H1637" s="54" t="str">
        <f>IFERROR(IF(INDEX(SPOT_Import!$A$1:$Z$2488,1637,'Live Data'!$C$19)="","",INDEX(SPOT_Import!$A$1:$Z$2488,1637,'Live Data'!$C$19)),"")</f>
        <v/>
      </c>
      <c r="I1637" s="54" t="str">
        <f>IFERROR(IF(INDEX(SPOT_Import!$A$1:$Z$2488,1637,'Live Data'!$C$20)="","",INDEX(SPOT_Import!$A$1:$Z$2488,1637,'Live Data'!$C$20)),"")</f>
        <v/>
      </c>
      <c r="J1637" s="54" t="str">
        <f>IFERROR(IF(INDEX(SPOT_Import!$A$1:$Z$2488,1637,'Live Data'!$C$21)="","",INDEX(SPOT_Import!$A$1:$Z$2488,1637,'Live Data'!$C$21)),"")</f>
        <v/>
      </c>
      <c r="K1637" s="54" t="str">
        <f>IFERROR(IF(INDEX(SPOT_Import!$A$1:$Z$2488,1637,'Live Data'!$C$22)="","",INDEX(SPOT_Import!$A$1:$Z$2488,1637,'Live Data'!$C$22)),"")</f>
        <v/>
      </c>
      <c r="L1637" s="55" t="str">
        <f t="shared" si="50"/>
        <v/>
      </c>
      <c r="M1637" s="55" t="str">
        <f t="shared" si="51"/>
        <v/>
      </c>
      <c r="N1637" s="55" t="str">
        <f>IF(A1637="","",IFERROR(INDEX('Cluster Map'!$A$4:$A$38,MATCH(M1637,'Cluster Map'!$B$4:$B$38,0)),"Unmapped"))</f>
        <v/>
      </c>
      <c r="O1637" s="55">
        <f>IF(A1637="",0,IF(COUNTIFS($A$2:A1637,A1637,$F$2:F1637,F1637,$L$2:L1637,L1637)=1,1,0))</f>
        <v>0</v>
      </c>
      <c r="P1637" s="55">
        <f>IF(A1637="",0,IF(AND(F1637="C&amp;T",COUNTIFS($A$2:A1637,A1637,$F$2:F1637,"C&amp;T")=1),1,0))</f>
        <v>0</v>
      </c>
    </row>
    <row r="1638" spans="1:16" x14ac:dyDescent="0.35">
      <c r="A1638" s="54" t="str">
        <f>IFERROR(IF(INDEX(SPOT_Import!$A$1:$Z$2488,1638,'Live Data'!$C$12)="","",INDEX(SPOT_Import!$A$1:$Z$2488,1638,'Live Data'!$C$12)),"")</f>
        <v/>
      </c>
      <c r="B1638" s="54" t="str">
        <f>IFERROR(IF(INDEX(SPOT_Import!$A$1:$Z$2488,1638,'Live Data'!$C$13)="","",INDEX(SPOT_Import!$A$1:$Z$2488,1638,'Live Data'!$C$13)),"")</f>
        <v/>
      </c>
      <c r="C1638" s="54" t="str">
        <f>IFERROR(IF(INDEX(SPOT_Import!$A$1:$Z$2488,1638,'Live Data'!$C$14)="","",INDEX(SPOT_Import!$A$1:$Z$2488,1638,'Live Data'!$C$14)),"")</f>
        <v/>
      </c>
      <c r="D1638" s="54" t="str">
        <f>IFERROR(IF(INDEX(SPOT_Import!$A$1:$Z$2488,1638,'Live Data'!$C$15)="","",INDEX(SPOT_Import!$A$1:$Z$2488,1638,'Live Data'!$C$15)),"")</f>
        <v/>
      </c>
      <c r="E1638" s="54" t="str">
        <f>IFERROR(IF(INDEX(SPOT_Import!$A$1:$Z$2488,1638,'Live Data'!$C$16)="","",INDEX(SPOT_Import!$A$1:$Z$2488,1638,'Live Data'!$C$16)),"")</f>
        <v/>
      </c>
      <c r="F1638" s="54" t="str">
        <f>IFERROR(IF(INDEX(SPOT_Import!$A$1:$Z$2488,1638,'Live Data'!$C$17)="","",INDEX(SPOT_Import!$A$1:$Z$2488,1638,'Live Data'!$C$17)),"")</f>
        <v/>
      </c>
      <c r="G1638" s="54" t="str">
        <f>IFERROR(IF(INDEX(SPOT_Import!$A$1:$Z$2488,1638,'Live Data'!$C$18)="","",INDEX(SPOT_Import!$A$1:$Z$2488,1638,'Live Data'!$C$18)),"")</f>
        <v/>
      </c>
      <c r="H1638" s="54" t="str">
        <f>IFERROR(IF(INDEX(SPOT_Import!$A$1:$Z$2488,1638,'Live Data'!$C$19)="","",INDEX(SPOT_Import!$A$1:$Z$2488,1638,'Live Data'!$C$19)),"")</f>
        <v/>
      </c>
      <c r="I1638" s="54" t="str">
        <f>IFERROR(IF(INDEX(SPOT_Import!$A$1:$Z$2488,1638,'Live Data'!$C$20)="","",INDEX(SPOT_Import!$A$1:$Z$2488,1638,'Live Data'!$C$20)),"")</f>
        <v/>
      </c>
      <c r="J1638" s="54" t="str">
        <f>IFERROR(IF(INDEX(SPOT_Import!$A$1:$Z$2488,1638,'Live Data'!$C$21)="","",INDEX(SPOT_Import!$A$1:$Z$2488,1638,'Live Data'!$C$21)),"")</f>
        <v/>
      </c>
      <c r="K1638" s="54" t="str">
        <f>IFERROR(IF(INDEX(SPOT_Import!$A$1:$Z$2488,1638,'Live Data'!$C$22)="","",INDEX(SPOT_Import!$A$1:$Z$2488,1638,'Live Data'!$C$22)),"")</f>
        <v/>
      </c>
      <c r="L1638" s="55" t="str">
        <f t="shared" si="50"/>
        <v/>
      </c>
      <c r="M1638" s="55" t="str">
        <f t="shared" si="51"/>
        <v/>
      </c>
      <c r="N1638" s="55" t="str">
        <f>IF(A1638="","",IFERROR(INDEX('Cluster Map'!$A$4:$A$38,MATCH(M1638,'Cluster Map'!$B$4:$B$38,0)),"Unmapped"))</f>
        <v/>
      </c>
      <c r="O1638" s="55">
        <f>IF(A1638="",0,IF(COUNTIFS($A$2:A1638,A1638,$F$2:F1638,F1638,$L$2:L1638,L1638)=1,1,0))</f>
        <v>0</v>
      </c>
      <c r="P1638" s="55">
        <f>IF(A1638="",0,IF(AND(F1638="C&amp;T",COUNTIFS($A$2:A1638,A1638,$F$2:F1638,"C&amp;T")=1),1,0))</f>
        <v>0</v>
      </c>
    </row>
    <row r="1639" spans="1:16" x14ac:dyDescent="0.35">
      <c r="A1639" s="54" t="str">
        <f>IFERROR(IF(INDEX(SPOT_Import!$A$1:$Z$2488,1639,'Live Data'!$C$12)="","",INDEX(SPOT_Import!$A$1:$Z$2488,1639,'Live Data'!$C$12)),"")</f>
        <v/>
      </c>
      <c r="B1639" s="54" t="str">
        <f>IFERROR(IF(INDEX(SPOT_Import!$A$1:$Z$2488,1639,'Live Data'!$C$13)="","",INDEX(SPOT_Import!$A$1:$Z$2488,1639,'Live Data'!$C$13)),"")</f>
        <v/>
      </c>
      <c r="C1639" s="54" t="str">
        <f>IFERROR(IF(INDEX(SPOT_Import!$A$1:$Z$2488,1639,'Live Data'!$C$14)="","",INDEX(SPOT_Import!$A$1:$Z$2488,1639,'Live Data'!$C$14)),"")</f>
        <v/>
      </c>
      <c r="D1639" s="54" t="str">
        <f>IFERROR(IF(INDEX(SPOT_Import!$A$1:$Z$2488,1639,'Live Data'!$C$15)="","",INDEX(SPOT_Import!$A$1:$Z$2488,1639,'Live Data'!$C$15)),"")</f>
        <v/>
      </c>
      <c r="E1639" s="54" t="str">
        <f>IFERROR(IF(INDEX(SPOT_Import!$A$1:$Z$2488,1639,'Live Data'!$C$16)="","",INDEX(SPOT_Import!$A$1:$Z$2488,1639,'Live Data'!$C$16)),"")</f>
        <v/>
      </c>
      <c r="F1639" s="54" t="str">
        <f>IFERROR(IF(INDEX(SPOT_Import!$A$1:$Z$2488,1639,'Live Data'!$C$17)="","",INDEX(SPOT_Import!$A$1:$Z$2488,1639,'Live Data'!$C$17)),"")</f>
        <v/>
      </c>
      <c r="G1639" s="54" t="str">
        <f>IFERROR(IF(INDEX(SPOT_Import!$A$1:$Z$2488,1639,'Live Data'!$C$18)="","",INDEX(SPOT_Import!$A$1:$Z$2488,1639,'Live Data'!$C$18)),"")</f>
        <v/>
      </c>
      <c r="H1639" s="54" t="str">
        <f>IFERROR(IF(INDEX(SPOT_Import!$A$1:$Z$2488,1639,'Live Data'!$C$19)="","",INDEX(SPOT_Import!$A$1:$Z$2488,1639,'Live Data'!$C$19)),"")</f>
        <v/>
      </c>
      <c r="I1639" s="54" t="str">
        <f>IFERROR(IF(INDEX(SPOT_Import!$A$1:$Z$2488,1639,'Live Data'!$C$20)="","",INDEX(SPOT_Import!$A$1:$Z$2488,1639,'Live Data'!$C$20)),"")</f>
        <v/>
      </c>
      <c r="J1639" s="54" t="str">
        <f>IFERROR(IF(INDEX(SPOT_Import!$A$1:$Z$2488,1639,'Live Data'!$C$21)="","",INDEX(SPOT_Import!$A$1:$Z$2488,1639,'Live Data'!$C$21)),"")</f>
        <v/>
      </c>
      <c r="K1639" s="54" t="str">
        <f>IFERROR(IF(INDEX(SPOT_Import!$A$1:$Z$2488,1639,'Live Data'!$C$22)="","",INDEX(SPOT_Import!$A$1:$Z$2488,1639,'Live Data'!$C$22)),"")</f>
        <v/>
      </c>
      <c r="L1639" s="55" t="str">
        <f t="shared" si="50"/>
        <v/>
      </c>
      <c r="M1639" s="55" t="str">
        <f t="shared" si="51"/>
        <v/>
      </c>
      <c r="N1639" s="55" t="str">
        <f>IF(A1639="","",IFERROR(INDEX('Cluster Map'!$A$4:$A$38,MATCH(M1639,'Cluster Map'!$B$4:$B$38,0)),"Unmapped"))</f>
        <v/>
      </c>
      <c r="O1639" s="55">
        <f>IF(A1639="",0,IF(COUNTIFS($A$2:A1639,A1639,$F$2:F1639,F1639,$L$2:L1639,L1639)=1,1,0))</f>
        <v>0</v>
      </c>
      <c r="P1639" s="55">
        <f>IF(A1639="",0,IF(AND(F1639="C&amp;T",COUNTIFS($A$2:A1639,A1639,$F$2:F1639,"C&amp;T")=1),1,0))</f>
        <v>0</v>
      </c>
    </row>
    <row r="1640" spans="1:16" x14ac:dyDescent="0.35">
      <c r="A1640" s="54" t="str">
        <f>IFERROR(IF(INDEX(SPOT_Import!$A$1:$Z$2488,1640,'Live Data'!$C$12)="","",INDEX(SPOT_Import!$A$1:$Z$2488,1640,'Live Data'!$C$12)),"")</f>
        <v/>
      </c>
      <c r="B1640" s="54" t="str">
        <f>IFERROR(IF(INDEX(SPOT_Import!$A$1:$Z$2488,1640,'Live Data'!$C$13)="","",INDEX(SPOT_Import!$A$1:$Z$2488,1640,'Live Data'!$C$13)),"")</f>
        <v/>
      </c>
      <c r="C1640" s="54" t="str">
        <f>IFERROR(IF(INDEX(SPOT_Import!$A$1:$Z$2488,1640,'Live Data'!$C$14)="","",INDEX(SPOT_Import!$A$1:$Z$2488,1640,'Live Data'!$C$14)),"")</f>
        <v/>
      </c>
      <c r="D1640" s="54" t="str">
        <f>IFERROR(IF(INDEX(SPOT_Import!$A$1:$Z$2488,1640,'Live Data'!$C$15)="","",INDEX(SPOT_Import!$A$1:$Z$2488,1640,'Live Data'!$C$15)),"")</f>
        <v/>
      </c>
      <c r="E1640" s="54" t="str">
        <f>IFERROR(IF(INDEX(SPOT_Import!$A$1:$Z$2488,1640,'Live Data'!$C$16)="","",INDEX(SPOT_Import!$A$1:$Z$2488,1640,'Live Data'!$C$16)),"")</f>
        <v/>
      </c>
      <c r="F1640" s="54" t="str">
        <f>IFERROR(IF(INDEX(SPOT_Import!$A$1:$Z$2488,1640,'Live Data'!$C$17)="","",INDEX(SPOT_Import!$A$1:$Z$2488,1640,'Live Data'!$C$17)),"")</f>
        <v/>
      </c>
      <c r="G1640" s="54" t="str">
        <f>IFERROR(IF(INDEX(SPOT_Import!$A$1:$Z$2488,1640,'Live Data'!$C$18)="","",INDEX(SPOT_Import!$A$1:$Z$2488,1640,'Live Data'!$C$18)),"")</f>
        <v/>
      </c>
      <c r="H1640" s="54" t="str">
        <f>IFERROR(IF(INDEX(SPOT_Import!$A$1:$Z$2488,1640,'Live Data'!$C$19)="","",INDEX(SPOT_Import!$A$1:$Z$2488,1640,'Live Data'!$C$19)),"")</f>
        <v/>
      </c>
      <c r="I1640" s="54" t="str">
        <f>IFERROR(IF(INDEX(SPOT_Import!$A$1:$Z$2488,1640,'Live Data'!$C$20)="","",INDEX(SPOT_Import!$A$1:$Z$2488,1640,'Live Data'!$C$20)),"")</f>
        <v/>
      </c>
      <c r="J1640" s="54" t="str">
        <f>IFERROR(IF(INDEX(SPOT_Import!$A$1:$Z$2488,1640,'Live Data'!$C$21)="","",INDEX(SPOT_Import!$A$1:$Z$2488,1640,'Live Data'!$C$21)),"")</f>
        <v/>
      </c>
      <c r="K1640" s="54" t="str">
        <f>IFERROR(IF(INDEX(SPOT_Import!$A$1:$Z$2488,1640,'Live Data'!$C$22)="","",INDEX(SPOT_Import!$A$1:$Z$2488,1640,'Live Data'!$C$22)),"")</f>
        <v/>
      </c>
      <c r="L1640" s="55" t="str">
        <f t="shared" si="50"/>
        <v/>
      </c>
      <c r="M1640" s="55" t="str">
        <f t="shared" si="51"/>
        <v/>
      </c>
      <c r="N1640" s="55" t="str">
        <f>IF(A1640="","",IFERROR(INDEX('Cluster Map'!$A$4:$A$38,MATCH(M1640,'Cluster Map'!$B$4:$B$38,0)),"Unmapped"))</f>
        <v/>
      </c>
      <c r="O1640" s="55">
        <f>IF(A1640="",0,IF(COUNTIFS($A$2:A1640,A1640,$F$2:F1640,F1640,$L$2:L1640,L1640)=1,1,0))</f>
        <v>0</v>
      </c>
      <c r="P1640" s="55">
        <f>IF(A1640="",0,IF(AND(F1640="C&amp;T",COUNTIFS($A$2:A1640,A1640,$F$2:F1640,"C&amp;T")=1),1,0))</f>
        <v>0</v>
      </c>
    </row>
    <row r="1641" spans="1:16" x14ac:dyDescent="0.35">
      <c r="A1641" s="54" t="str">
        <f>IFERROR(IF(INDEX(SPOT_Import!$A$1:$Z$2488,1641,'Live Data'!$C$12)="","",INDEX(SPOT_Import!$A$1:$Z$2488,1641,'Live Data'!$C$12)),"")</f>
        <v/>
      </c>
      <c r="B1641" s="54" t="str">
        <f>IFERROR(IF(INDEX(SPOT_Import!$A$1:$Z$2488,1641,'Live Data'!$C$13)="","",INDEX(SPOT_Import!$A$1:$Z$2488,1641,'Live Data'!$C$13)),"")</f>
        <v/>
      </c>
      <c r="C1641" s="54" t="str">
        <f>IFERROR(IF(INDEX(SPOT_Import!$A$1:$Z$2488,1641,'Live Data'!$C$14)="","",INDEX(SPOT_Import!$A$1:$Z$2488,1641,'Live Data'!$C$14)),"")</f>
        <v/>
      </c>
      <c r="D1641" s="54" t="str">
        <f>IFERROR(IF(INDEX(SPOT_Import!$A$1:$Z$2488,1641,'Live Data'!$C$15)="","",INDEX(SPOT_Import!$A$1:$Z$2488,1641,'Live Data'!$C$15)),"")</f>
        <v/>
      </c>
      <c r="E1641" s="54" t="str">
        <f>IFERROR(IF(INDEX(SPOT_Import!$A$1:$Z$2488,1641,'Live Data'!$C$16)="","",INDEX(SPOT_Import!$A$1:$Z$2488,1641,'Live Data'!$C$16)),"")</f>
        <v/>
      </c>
      <c r="F1641" s="54" t="str">
        <f>IFERROR(IF(INDEX(SPOT_Import!$A$1:$Z$2488,1641,'Live Data'!$C$17)="","",INDEX(SPOT_Import!$A$1:$Z$2488,1641,'Live Data'!$C$17)),"")</f>
        <v/>
      </c>
      <c r="G1641" s="54" t="str">
        <f>IFERROR(IF(INDEX(SPOT_Import!$A$1:$Z$2488,1641,'Live Data'!$C$18)="","",INDEX(SPOT_Import!$A$1:$Z$2488,1641,'Live Data'!$C$18)),"")</f>
        <v/>
      </c>
      <c r="H1641" s="54" t="str">
        <f>IFERROR(IF(INDEX(SPOT_Import!$A$1:$Z$2488,1641,'Live Data'!$C$19)="","",INDEX(SPOT_Import!$A$1:$Z$2488,1641,'Live Data'!$C$19)),"")</f>
        <v/>
      </c>
      <c r="I1641" s="54" t="str">
        <f>IFERROR(IF(INDEX(SPOT_Import!$A$1:$Z$2488,1641,'Live Data'!$C$20)="","",INDEX(SPOT_Import!$A$1:$Z$2488,1641,'Live Data'!$C$20)),"")</f>
        <v/>
      </c>
      <c r="J1641" s="54" t="str">
        <f>IFERROR(IF(INDEX(SPOT_Import!$A$1:$Z$2488,1641,'Live Data'!$C$21)="","",INDEX(SPOT_Import!$A$1:$Z$2488,1641,'Live Data'!$C$21)),"")</f>
        <v/>
      </c>
      <c r="K1641" s="54" t="str">
        <f>IFERROR(IF(INDEX(SPOT_Import!$A$1:$Z$2488,1641,'Live Data'!$C$22)="","",INDEX(SPOT_Import!$A$1:$Z$2488,1641,'Live Data'!$C$22)),"")</f>
        <v/>
      </c>
      <c r="L1641" s="55" t="str">
        <f t="shared" si="50"/>
        <v/>
      </c>
      <c r="M1641" s="55" t="str">
        <f t="shared" si="51"/>
        <v/>
      </c>
      <c r="N1641" s="55" t="str">
        <f>IF(A1641="","",IFERROR(INDEX('Cluster Map'!$A$4:$A$38,MATCH(M1641,'Cluster Map'!$B$4:$B$38,0)),"Unmapped"))</f>
        <v/>
      </c>
      <c r="O1641" s="55">
        <f>IF(A1641="",0,IF(COUNTIFS($A$2:A1641,A1641,$F$2:F1641,F1641,$L$2:L1641,L1641)=1,1,0))</f>
        <v>0</v>
      </c>
      <c r="P1641" s="55">
        <f>IF(A1641="",0,IF(AND(F1641="C&amp;T",COUNTIFS($A$2:A1641,A1641,$F$2:F1641,"C&amp;T")=1),1,0))</f>
        <v>0</v>
      </c>
    </row>
    <row r="1642" spans="1:16" x14ac:dyDescent="0.35">
      <c r="A1642" s="54" t="str">
        <f>IFERROR(IF(INDEX(SPOT_Import!$A$1:$Z$2488,1642,'Live Data'!$C$12)="","",INDEX(SPOT_Import!$A$1:$Z$2488,1642,'Live Data'!$C$12)),"")</f>
        <v/>
      </c>
      <c r="B1642" s="54" t="str">
        <f>IFERROR(IF(INDEX(SPOT_Import!$A$1:$Z$2488,1642,'Live Data'!$C$13)="","",INDEX(SPOT_Import!$A$1:$Z$2488,1642,'Live Data'!$C$13)),"")</f>
        <v/>
      </c>
      <c r="C1642" s="54" t="str">
        <f>IFERROR(IF(INDEX(SPOT_Import!$A$1:$Z$2488,1642,'Live Data'!$C$14)="","",INDEX(SPOT_Import!$A$1:$Z$2488,1642,'Live Data'!$C$14)),"")</f>
        <v/>
      </c>
      <c r="D1642" s="54" t="str">
        <f>IFERROR(IF(INDEX(SPOT_Import!$A$1:$Z$2488,1642,'Live Data'!$C$15)="","",INDEX(SPOT_Import!$A$1:$Z$2488,1642,'Live Data'!$C$15)),"")</f>
        <v/>
      </c>
      <c r="E1642" s="54" t="str">
        <f>IFERROR(IF(INDEX(SPOT_Import!$A$1:$Z$2488,1642,'Live Data'!$C$16)="","",INDEX(SPOT_Import!$A$1:$Z$2488,1642,'Live Data'!$C$16)),"")</f>
        <v/>
      </c>
      <c r="F1642" s="54" t="str">
        <f>IFERROR(IF(INDEX(SPOT_Import!$A$1:$Z$2488,1642,'Live Data'!$C$17)="","",INDEX(SPOT_Import!$A$1:$Z$2488,1642,'Live Data'!$C$17)),"")</f>
        <v/>
      </c>
      <c r="G1642" s="54" t="str">
        <f>IFERROR(IF(INDEX(SPOT_Import!$A$1:$Z$2488,1642,'Live Data'!$C$18)="","",INDEX(SPOT_Import!$A$1:$Z$2488,1642,'Live Data'!$C$18)),"")</f>
        <v/>
      </c>
      <c r="H1642" s="54" t="str">
        <f>IFERROR(IF(INDEX(SPOT_Import!$A$1:$Z$2488,1642,'Live Data'!$C$19)="","",INDEX(SPOT_Import!$A$1:$Z$2488,1642,'Live Data'!$C$19)),"")</f>
        <v/>
      </c>
      <c r="I1642" s="54" t="str">
        <f>IFERROR(IF(INDEX(SPOT_Import!$A$1:$Z$2488,1642,'Live Data'!$C$20)="","",INDEX(SPOT_Import!$A$1:$Z$2488,1642,'Live Data'!$C$20)),"")</f>
        <v/>
      </c>
      <c r="J1642" s="54" t="str">
        <f>IFERROR(IF(INDEX(SPOT_Import!$A$1:$Z$2488,1642,'Live Data'!$C$21)="","",INDEX(SPOT_Import!$A$1:$Z$2488,1642,'Live Data'!$C$21)),"")</f>
        <v/>
      </c>
      <c r="K1642" s="54" t="str">
        <f>IFERROR(IF(INDEX(SPOT_Import!$A$1:$Z$2488,1642,'Live Data'!$C$22)="","",INDEX(SPOT_Import!$A$1:$Z$2488,1642,'Live Data'!$C$22)),"")</f>
        <v/>
      </c>
      <c r="L1642" s="55" t="str">
        <f t="shared" si="50"/>
        <v/>
      </c>
      <c r="M1642" s="55" t="str">
        <f t="shared" si="51"/>
        <v/>
      </c>
      <c r="N1642" s="55" t="str">
        <f>IF(A1642="","",IFERROR(INDEX('Cluster Map'!$A$4:$A$38,MATCH(M1642,'Cluster Map'!$B$4:$B$38,0)),"Unmapped"))</f>
        <v/>
      </c>
      <c r="O1642" s="55">
        <f>IF(A1642="",0,IF(COUNTIFS($A$2:A1642,A1642,$F$2:F1642,F1642,$L$2:L1642,L1642)=1,1,0))</f>
        <v>0</v>
      </c>
      <c r="P1642" s="55">
        <f>IF(A1642="",0,IF(AND(F1642="C&amp;T",COUNTIFS($A$2:A1642,A1642,$F$2:F1642,"C&amp;T")=1),1,0))</f>
        <v>0</v>
      </c>
    </row>
    <row r="1643" spans="1:16" x14ac:dyDescent="0.35">
      <c r="A1643" s="54" t="str">
        <f>IFERROR(IF(INDEX(SPOT_Import!$A$1:$Z$2488,1643,'Live Data'!$C$12)="","",INDEX(SPOT_Import!$A$1:$Z$2488,1643,'Live Data'!$C$12)),"")</f>
        <v/>
      </c>
      <c r="B1643" s="54" t="str">
        <f>IFERROR(IF(INDEX(SPOT_Import!$A$1:$Z$2488,1643,'Live Data'!$C$13)="","",INDEX(SPOT_Import!$A$1:$Z$2488,1643,'Live Data'!$C$13)),"")</f>
        <v/>
      </c>
      <c r="C1643" s="54" t="str">
        <f>IFERROR(IF(INDEX(SPOT_Import!$A$1:$Z$2488,1643,'Live Data'!$C$14)="","",INDEX(SPOT_Import!$A$1:$Z$2488,1643,'Live Data'!$C$14)),"")</f>
        <v/>
      </c>
      <c r="D1643" s="54" t="str">
        <f>IFERROR(IF(INDEX(SPOT_Import!$A$1:$Z$2488,1643,'Live Data'!$C$15)="","",INDEX(SPOT_Import!$A$1:$Z$2488,1643,'Live Data'!$C$15)),"")</f>
        <v/>
      </c>
      <c r="E1643" s="54" t="str">
        <f>IFERROR(IF(INDEX(SPOT_Import!$A$1:$Z$2488,1643,'Live Data'!$C$16)="","",INDEX(SPOT_Import!$A$1:$Z$2488,1643,'Live Data'!$C$16)),"")</f>
        <v/>
      </c>
      <c r="F1643" s="54" t="str">
        <f>IFERROR(IF(INDEX(SPOT_Import!$A$1:$Z$2488,1643,'Live Data'!$C$17)="","",INDEX(SPOT_Import!$A$1:$Z$2488,1643,'Live Data'!$C$17)),"")</f>
        <v/>
      </c>
      <c r="G1643" s="54" t="str">
        <f>IFERROR(IF(INDEX(SPOT_Import!$A$1:$Z$2488,1643,'Live Data'!$C$18)="","",INDEX(SPOT_Import!$A$1:$Z$2488,1643,'Live Data'!$C$18)),"")</f>
        <v/>
      </c>
      <c r="H1643" s="54" t="str">
        <f>IFERROR(IF(INDEX(SPOT_Import!$A$1:$Z$2488,1643,'Live Data'!$C$19)="","",INDEX(SPOT_Import!$A$1:$Z$2488,1643,'Live Data'!$C$19)),"")</f>
        <v/>
      </c>
      <c r="I1643" s="54" t="str">
        <f>IFERROR(IF(INDEX(SPOT_Import!$A$1:$Z$2488,1643,'Live Data'!$C$20)="","",INDEX(SPOT_Import!$A$1:$Z$2488,1643,'Live Data'!$C$20)),"")</f>
        <v/>
      </c>
      <c r="J1643" s="54" t="str">
        <f>IFERROR(IF(INDEX(SPOT_Import!$A$1:$Z$2488,1643,'Live Data'!$C$21)="","",INDEX(SPOT_Import!$A$1:$Z$2488,1643,'Live Data'!$C$21)),"")</f>
        <v/>
      </c>
      <c r="K1643" s="54" t="str">
        <f>IFERROR(IF(INDEX(SPOT_Import!$A$1:$Z$2488,1643,'Live Data'!$C$22)="","",INDEX(SPOT_Import!$A$1:$Z$2488,1643,'Live Data'!$C$22)),"")</f>
        <v/>
      </c>
      <c r="L1643" s="55" t="str">
        <f t="shared" si="50"/>
        <v/>
      </c>
      <c r="M1643" s="55" t="str">
        <f t="shared" si="51"/>
        <v/>
      </c>
      <c r="N1643" s="55" t="str">
        <f>IF(A1643="","",IFERROR(INDEX('Cluster Map'!$A$4:$A$38,MATCH(M1643,'Cluster Map'!$B$4:$B$38,0)),"Unmapped"))</f>
        <v/>
      </c>
      <c r="O1643" s="55">
        <f>IF(A1643="",0,IF(COUNTIFS($A$2:A1643,A1643,$F$2:F1643,F1643,$L$2:L1643,L1643)=1,1,0))</f>
        <v>0</v>
      </c>
      <c r="P1643" s="55">
        <f>IF(A1643="",0,IF(AND(F1643="C&amp;T",COUNTIFS($A$2:A1643,A1643,$F$2:F1643,"C&amp;T")=1),1,0))</f>
        <v>0</v>
      </c>
    </row>
    <row r="1644" spans="1:16" x14ac:dyDescent="0.35">
      <c r="A1644" s="54" t="str">
        <f>IFERROR(IF(INDEX(SPOT_Import!$A$1:$Z$2488,1644,'Live Data'!$C$12)="","",INDEX(SPOT_Import!$A$1:$Z$2488,1644,'Live Data'!$C$12)),"")</f>
        <v/>
      </c>
      <c r="B1644" s="54" t="str">
        <f>IFERROR(IF(INDEX(SPOT_Import!$A$1:$Z$2488,1644,'Live Data'!$C$13)="","",INDEX(SPOT_Import!$A$1:$Z$2488,1644,'Live Data'!$C$13)),"")</f>
        <v/>
      </c>
      <c r="C1644" s="54" t="str">
        <f>IFERROR(IF(INDEX(SPOT_Import!$A$1:$Z$2488,1644,'Live Data'!$C$14)="","",INDEX(SPOT_Import!$A$1:$Z$2488,1644,'Live Data'!$C$14)),"")</f>
        <v/>
      </c>
      <c r="D1644" s="54" t="str">
        <f>IFERROR(IF(INDEX(SPOT_Import!$A$1:$Z$2488,1644,'Live Data'!$C$15)="","",INDEX(SPOT_Import!$A$1:$Z$2488,1644,'Live Data'!$C$15)),"")</f>
        <v/>
      </c>
      <c r="E1644" s="54" t="str">
        <f>IFERROR(IF(INDEX(SPOT_Import!$A$1:$Z$2488,1644,'Live Data'!$C$16)="","",INDEX(SPOT_Import!$A$1:$Z$2488,1644,'Live Data'!$C$16)),"")</f>
        <v/>
      </c>
      <c r="F1644" s="54" t="str">
        <f>IFERROR(IF(INDEX(SPOT_Import!$A$1:$Z$2488,1644,'Live Data'!$C$17)="","",INDEX(SPOT_Import!$A$1:$Z$2488,1644,'Live Data'!$C$17)),"")</f>
        <v/>
      </c>
      <c r="G1644" s="54" t="str">
        <f>IFERROR(IF(INDEX(SPOT_Import!$A$1:$Z$2488,1644,'Live Data'!$C$18)="","",INDEX(SPOT_Import!$A$1:$Z$2488,1644,'Live Data'!$C$18)),"")</f>
        <v/>
      </c>
      <c r="H1644" s="54" t="str">
        <f>IFERROR(IF(INDEX(SPOT_Import!$A$1:$Z$2488,1644,'Live Data'!$C$19)="","",INDEX(SPOT_Import!$A$1:$Z$2488,1644,'Live Data'!$C$19)),"")</f>
        <v/>
      </c>
      <c r="I1644" s="54" t="str">
        <f>IFERROR(IF(INDEX(SPOT_Import!$A$1:$Z$2488,1644,'Live Data'!$C$20)="","",INDEX(SPOT_Import!$A$1:$Z$2488,1644,'Live Data'!$C$20)),"")</f>
        <v/>
      </c>
      <c r="J1644" s="54" t="str">
        <f>IFERROR(IF(INDEX(SPOT_Import!$A$1:$Z$2488,1644,'Live Data'!$C$21)="","",INDEX(SPOT_Import!$A$1:$Z$2488,1644,'Live Data'!$C$21)),"")</f>
        <v/>
      </c>
      <c r="K1644" s="54" t="str">
        <f>IFERROR(IF(INDEX(SPOT_Import!$A$1:$Z$2488,1644,'Live Data'!$C$22)="","",INDEX(SPOT_Import!$A$1:$Z$2488,1644,'Live Data'!$C$22)),"")</f>
        <v/>
      </c>
      <c r="L1644" s="55" t="str">
        <f t="shared" si="50"/>
        <v/>
      </c>
      <c r="M1644" s="55" t="str">
        <f t="shared" si="51"/>
        <v/>
      </c>
      <c r="N1644" s="55" t="str">
        <f>IF(A1644="","",IFERROR(INDEX('Cluster Map'!$A$4:$A$38,MATCH(M1644,'Cluster Map'!$B$4:$B$38,0)),"Unmapped"))</f>
        <v/>
      </c>
      <c r="O1644" s="55">
        <f>IF(A1644="",0,IF(COUNTIFS($A$2:A1644,A1644,$F$2:F1644,F1644,$L$2:L1644,L1644)=1,1,0))</f>
        <v>0</v>
      </c>
      <c r="P1644" s="55">
        <f>IF(A1644="",0,IF(AND(F1644="C&amp;T",COUNTIFS($A$2:A1644,A1644,$F$2:F1644,"C&amp;T")=1),1,0))</f>
        <v>0</v>
      </c>
    </row>
    <row r="1645" spans="1:16" x14ac:dyDescent="0.35">
      <c r="A1645" s="54" t="str">
        <f>IFERROR(IF(INDEX(SPOT_Import!$A$1:$Z$2488,1645,'Live Data'!$C$12)="","",INDEX(SPOT_Import!$A$1:$Z$2488,1645,'Live Data'!$C$12)),"")</f>
        <v/>
      </c>
      <c r="B1645" s="54" t="str">
        <f>IFERROR(IF(INDEX(SPOT_Import!$A$1:$Z$2488,1645,'Live Data'!$C$13)="","",INDEX(SPOT_Import!$A$1:$Z$2488,1645,'Live Data'!$C$13)),"")</f>
        <v/>
      </c>
      <c r="C1645" s="54" t="str">
        <f>IFERROR(IF(INDEX(SPOT_Import!$A$1:$Z$2488,1645,'Live Data'!$C$14)="","",INDEX(SPOT_Import!$A$1:$Z$2488,1645,'Live Data'!$C$14)),"")</f>
        <v/>
      </c>
      <c r="D1645" s="54" t="str">
        <f>IFERROR(IF(INDEX(SPOT_Import!$A$1:$Z$2488,1645,'Live Data'!$C$15)="","",INDEX(SPOT_Import!$A$1:$Z$2488,1645,'Live Data'!$C$15)),"")</f>
        <v/>
      </c>
      <c r="E1645" s="54" t="str">
        <f>IFERROR(IF(INDEX(SPOT_Import!$A$1:$Z$2488,1645,'Live Data'!$C$16)="","",INDEX(SPOT_Import!$A$1:$Z$2488,1645,'Live Data'!$C$16)),"")</f>
        <v/>
      </c>
      <c r="F1645" s="54" t="str">
        <f>IFERROR(IF(INDEX(SPOT_Import!$A$1:$Z$2488,1645,'Live Data'!$C$17)="","",INDEX(SPOT_Import!$A$1:$Z$2488,1645,'Live Data'!$C$17)),"")</f>
        <v/>
      </c>
      <c r="G1645" s="54" t="str">
        <f>IFERROR(IF(INDEX(SPOT_Import!$A$1:$Z$2488,1645,'Live Data'!$C$18)="","",INDEX(SPOT_Import!$A$1:$Z$2488,1645,'Live Data'!$C$18)),"")</f>
        <v/>
      </c>
      <c r="H1645" s="54" t="str">
        <f>IFERROR(IF(INDEX(SPOT_Import!$A$1:$Z$2488,1645,'Live Data'!$C$19)="","",INDEX(SPOT_Import!$A$1:$Z$2488,1645,'Live Data'!$C$19)),"")</f>
        <v/>
      </c>
      <c r="I1645" s="54" t="str">
        <f>IFERROR(IF(INDEX(SPOT_Import!$A$1:$Z$2488,1645,'Live Data'!$C$20)="","",INDEX(SPOT_Import!$A$1:$Z$2488,1645,'Live Data'!$C$20)),"")</f>
        <v/>
      </c>
      <c r="J1645" s="54" t="str">
        <f>IFERROR(IF(INDEX(SPOT_Import!$A$1:$Z$2488,1645,'Live Data'!$C$21)="","",INDEX(SPOT_Import!$A$1:$Z$2488,1645,'Live Data'!$C$21)),"")</f>
        <v/>
      </c>
      <c r="K1645" s="54" t="str">
        <f>IFERROR(IF(INDEX(SPOT_Import!$A$1:$Z$2488,1645,'Live Data'!$C$22)="","",INDEX(SPOT_Import!$A$1:$Z$2488,1645,'Live Data'!$C$22)),"")</f>
        <v/>
      </c>
      <c r="L1645" s="55" t="str">
        <f t="shared" si="50"/>
        <v/>
      </c>
      <c r="M1645" s="55" t="str">
        <f t="shared" si="51"/>
        <v/>
      </c>
      <c r="N1645" s="55" t="str">
        <f>IF(A1645="","",IFERROR(INDEX('Cluster Map'!$A$4:$A$38,MATCH(M1645,'Cluster Map'!$B$4:$B$38,0)),"Unmapped"))</f>
        <v/>
      </c>
      <c r="O1645" s="55">
        <f>IF(A1645="",0,IF(COUNTIFS($A$2:A1645,A1645,$F$2:F1645,F1645,$L$2:L1645,L1645)=1,1,0))</f>
        <v>0</v>
      </c>
      <c r="P1645" s="55">
        <f>IF(A1645="",0,IF(AND(F1645="C&amp;T",COUNTIFS($A$2:A1645,A1645,$F$2:F1645,"C&amp;T")=1),1,0))</f>
        <v>0</v>
      </c>
    </row>
    <row r="1646" spans="1:16" x14ac:dyDescent="0.35">
      <c r="A1646" s="54" t="str">
        <f>IFERROR(IF(INDEX(SPOT_Import!$A$1:$Z$2488,1646,'Live Data'!$C$12)="","",INDEX(SPOT_Import!$A$1:$Z$2488,1646,'Live Data'!$C$12)),"")</f>
        <v/>
      </c>
      <c r="B1646" s="54" t="str">
        <f>IFERROR(IF(INDEX(SPOT_Import!$A$1:$Z$2488,1646,'Live Data'!$C$13)="","",INDEX(SPOT_Import!$A$1:$Z$2488,1646,'Live Data'!$C$13)),"")</f>
        <v/>
      </c>
      <c r="C1646" s="54" t="str">
        <f>IFERROR(IF(INDEX(SPOT_Import!$A$1:$Z$2488,1646,'Live Data'!$C$14)="","",INDEX(SPOT_Import!$A$1:$Z$2488,1646,'Live Data'!$C$14)),"")</f>
        <v/>
      </c>
      <c r="D1646" s="54" t="str">
        <f>IFERROR(IF(INDEX(SPOT_Import!$A$1:$Z$2488,1646,'Live Data'!$C$15)="","",INDEX(SPOT_Import!$A$1:$Z$2488,1646,'Live Data'!$C$15)),"")</f>
        <v/>
      </c>
      <c r="E1646" s="54" t="str">
        <f>IFERROR(IF(INDEX(SPOT_Import!$A$1:$Z$2488,1646,'Live Data'!$C$16)="","",INDEX(SPOT_Import!$A$1:$Z$2488,1646,'Live Data'!$C$16)),"")</f>
        <v/>
      </c>
      <c r="F1646" s="54" t="str">
        <f>IFERROR(IF(INDEX(SPOT_Import!$A$1:$Z$2488,1646,'Live Data'!$C$17)="","",INDEX(SPOT_Import!$A$1:$Z$2488,1646,'Live Data'!$C$17)),"")</f>
        <v/>
      </c>
      <c r="G1646" s="54" t="str">
        <f>IFERROR(IF(INDEX(SPOT_Import!$A$1:$Z$2488,1646,'Live Data'!$C$18)="","",INDEX(SPOT_Import!$A$1:$Z$2488,1646,'Live Data'!$C$18)),"")</f>
        <v/>
      </c>
      <c r="H1646" s="54" t="str">
        <f>IFERROR(IF(INDEX(SPOT_Import!$A$1:$Z$2488,1646,'Live Data'!$C$19)="","",INDEX(SPOT_Import!$A$1:$Z$2488,1646,'Live Data'!$C$19)),"")</f>
        <v/>
      </c>
      <c r="I1646" s="54" t="str">
        <f>IFERROR(IF(INDEX(SPOT_Import!$A$1:$Z$2488,1646,'Live Data'!$C$20)="","",INDEX(SPOT_Import!$A$1:$Z$2488,1646,'Live Data'!$C$20)),"")</f>
        <v/>
      </c>
      <c r="J1646" s="54" t="str">
        <f>IFERROR(IF(INDEX(SPOT_Import!$A$1:$Z$2488,1646,'Live Data'!$C$21)="","",INDEX(SPOT_Import!$A$1:$Z$2488,1646,'Live Data'!$C$21)),"")</f>
        <v/>
      </c>
      <c r="K1646" s="54" t="str">
        <f>IFERROR(IF(INDEX(SPOT_Import!$A$1:$Z$2488,1646,'Live Data'!$C$22)="","",INDEX(SPOT_Import!$A$1:$Z$2488,1646,'Live Data'!$C$22)),"")</f>
        <v/>
      </c>
      <c r="L1646" s="55" t="str">
        <f t="shared" si="50"/>
        <v/>
      </c>
      <c r="M1646" s="55" t="str">
        <f t="shared" si="51"/>
        <v/>
      </c>
      <c r="N1646" s="55" t="str">
        <f>IF(A1646="","",IFERROR(INDEX('Cluster Map'!$A$4:$A$38,MATCH(M1646,'Cluster Map'!$B$4:$B$38,0)),"Unmapped"))</f>
        <v/>
      </c>
      <c r="O1646" s="55">
        <f>IF(A1646="",0,IF(COUNTIFS($A$2:A1646,A1646,$F$2:F1646,F1646,$L$2:L1646,L1646)=1,1,0))</f>
        <v>0</v>
      </c>
      <c r="P1646" s="55">
        <f>IF(A1646="",0,IF(AND(F1646="C&amp;T",COUNTIFS($A$2:A1646,A1646,$F$2:F1646,"C&amp;T")=1),1,0))</f>
        <v>0</v>
      </c>
    </row>
    <row r="1647" spans="1:16" x14ac:dyDescent="0.35">
      <c r="A1647" s="54" t="str">
        <f>IFERROR(IF(INDEX(SPOT_Import!$A$1:$Z$2488,1647,'Live Data'!$C$12)="","",INDEX(SPOT_Import!$A$1:$Z$2488,1647,'Live Data'!$C$12)),"")</f>
        <v/>
      </c>
      <c r="B1647" s="54" t="str">
        <f>IFERROR(IF(INDEX(SPOT_Import!$A$1:$Z$2488,1647,'Live Data'!$C$13)="","",INDEX(SPOT_Import!$A$1:$Z$2488,1647,'Live Data'!$C$13)),"")</f>
        <v/>
      </c>
      <c r="C1647" s="54" t="str">
        <f>IFERROR(IF(INDEX(SPOT_Import!$A$1:$Z$2488,1647,'Live Data'!$C$14)="","",INDEX(SPOT_Import!$A$1:$Z$2488,1647,'Live Data'!$C$14)),"")</f>
        <v/>
      </c>
      <c r="D1647" s="54" t="str">
        <f>IFERROR(IF(INDEX(SPOT_Import!$A$1:$Z$2488,1647,'Live Data'!$C$15)="","",INDEX(SPOT_Import!$A$1:$Z$2488,1647,'Live Data'!$C$15)),"")</f>
        <v/>
      </c>
      <c r="E1647" s="54" t="str">
        <f>IFERROR(IF(INDEX(SPOT_Import!$A$1:$Z$2488,1647,'Live Data'!$C$16)="","",INDEX(SPOT_Import!$A$1:$Z$2488,1647,'Live Data'!$C$16)),"")</f>
        <v/>
      </c>
      <c r="F1647" s="54" t="str">
        <f>IFERROR(IF(INDEX(SPOT_Import!$A$1:$Z$2488,1647,'Live Data'!$C$17)="","",INDEX(SPOT_Import!$A$1:$Z$2488,1647,'Live Data'!$C$17)),"")</f>
        <v/>
      </c>
      <c r="G1647" s="54" t="str">
        <f>IFERROR(IF(INDEX(SPOT_Import!$A$1:$Z$2488,1647,'Live Data'!$C$18)="","",INDEX(SPOT_Import!$A$1:$Z$2488,1647,'Live Data'!$C$18)),"")</f>
        <v/>
      </c>
      <c r="H1647" s="54" t="str">
        <f>IFERROR(IF(INDEX(SPOT_Import!$A$1:$Z$2488,1647,'Live Data'!$C$19)="","",INDEX(SPOT_Import!$A$1:$Z$2488,1647,'Live Data'!$C$19)),"")</f>
        <v/>
      </c>
      <c r="I1647" s="54" t="str">
        <f>IFERROR(IF(INDEX(SPOT_Import!$A$1:$Z$2488,1647,'Live Data'!$C$20)="","",INDEX(SPOT_Import!$A$1:$Z$2488,1647,'Live Data'!$C$20)),"")</f>
        <v/>
      </c>
      <c r="J1647" s="54" t="str">
        <f>IFERROR(IF(INDEX(SPOT_Import!$A$1:$Z$2488,1647,'Live Data'!$C$21)="","",INDEX(SPOT_Import!$A$1:$Z$2488,1647,'Live Data'!$C$21)),"")</f>
        <v/>
      </c>
      <c r="K1647" s="54" t="str">
        <f>IFERROR(IF(INDEX(SPOT_Import!$A$1:$Z$2488,1647,'Live Data'!$C$22)="","",INDEX(SPOT_Import!$A$1:$Z$2488,1647,'Live Data'!$C$22)),"")</f>
        <v/>
      </c>
      <c r="L1647" s="55" t="str">
        <f t="shared" si="50"/>
        <v/>
      </c>
      <c r="M1647" s="55" t="str">
        <f t="shared" si="51"/>
        <v/>
      </c>
      <c r="N1647" s="55" t="str">
        <f>IF(A1647="","",IFERROR(INDEX('Cluster Map'!$A$4:$A$38,MATCH(M1647,'Cluster Map'!$B$4:$B$38,0)),"Unmapped"))</f>
        <v/>
      </c>
      <c r="O1647" s="55">
        <f>IF(A1647="",0,IF(COUNTIFS($A$2:A1647,A1647,$F$2:F1647,F1647,$L$2:L1647,L1647)=1,1,0))</f>
        <v>0</v>
      </c>
      <c r="P1647" s="55">
        <f>IF(A1647="",0,IF(AND(F1647="C&amp;T",COUNTIFS($A$2:A1647,A1647,$F$2:F1647,"C&amp;T")=1),1,0))</f>
        <v>0</v>
      </c>
    </row>
    <row r="1648" spans="1:16" x14ac:dyDescent="0.35">
      <c r="A1648" s="54" t="str">
        <f>IFERROR(IF(INDEX(SPOT_Import!$A$1:$Z$2488,1648,'Live Data'!$C$12)="","",INDEX(SPOT_Import!$A$1:$Z$2488,1648,'Live Data'!$C$12)),"")</f>
        <v/>
      </c>
      <c r="B1648" s="54" t="str">
        <f>IFERROR(IF(INDEX(SPOT_Import!$A$1:$Z$2488,1648,'Live Data'!$C$13)="","",INDEX(SPOT_Import!$A$1:$Z$2488,1648,'Live Data'!$C$13)),"")</f>
        <v/>
      </c>
      <c r="C1648" s="54" t="str">
        <f>IFERROR(IF(INDEX(SPOT_Import!$A$1:$Z$2488,1648,'Live Data'!$C$14)="","",INDEX(SPOT_Import!$A$1:$Z$2488,1648,'Live Data'!$C$14)),"")</f>
        <v/>
      </c>
      <c r="D1648" s="54" t="str">
        <f>IFERROR(IF(INDEX(SPOT_Import!$A$1:$Z$2488,1648,'Live Data'!$C$15)="","",INDEX(SPOT_Import!$A$1:$Z$2488,1648,'Live Data'!$C$15)),"")</f>
        <v/>
      </c>
      <c r="E1648" s="54" t="str">
        <f>IFERROR(IF(INDEX(SPOT_Import!$A$1:$Z$2488,1648,'Live Data'!$C$16)="","",INDEX(SPOT_Import!$A$1:$Z$2488,1648,'Live Data'!$C$16)),"")</f>
        <v/>
      </c>
      <c r="F1648" s="54" t="str">
        <f>IFERROR(IF(INDEX(SPOT_Import!$A$1:$Z$2488,1648,'Live Data'!$C$17)="","",INDEX(SPOT_Import!$A$1:$Z$2488,1648,'Live Data'!$C$17)),"")</f>
        <v/>
      </c>
      <c r="G1648" s="54" t="str">
        <f>IFERROR(IF(INDEX(SPOT_Import!$A$1:$Z$2488,1648,'Live Data'!$C$18)="","",INDEX(SPOT_Import!$A$1:$Z$2488,1648,'Live Data'!$C$18)),"")</f>
        <v/>
      </c>
      <c r="H1648" s="54" t="str">
        <f>IFERROR(IF(INDEX(SPOT_Import!$A$1:$Z$2488,1648,'Live Data'!$C$19)="","",INDEX(SPOT_Import!$A$1:$Z$2488,1648,'Live Data'!$C$19)),"")</f>
        <v/>
      </c>
      <c r="I1648" s="54" t="str">
        <f>IFERROR(IF(INDEX(SPOT_Import!$A$1:$Z$2488,1648,'Live Data'!$C$20)="","",INDEX(SPOT_Import!$A$1:$Z$2488,1648,'Live Data'!$C$20)),"")</f>
        <v/>
      </c>
      <c r="J1648" s="54" t="str">
        <f>IFERROR(IF(INDEX(SPOT_Import!$A$1:$Z$2488,1648,'Live Data'!$C$21)="","",INDEX(SPOT_Import!$A$1:$Z$2488,1648,'Live Data'!$C$21)),"")</f>
        <v/>
      </c>
      <c r="K1648" s="54" t="str">
        <f>IFERROR(IF(INDEX(SPOT_Import!$A$1:$Z$2488,1648,'Live Data'!$C$22)="","",INDEX(SPOT_Import!$A$1:$Z$2488,1648,'Live Data'!$C$22)),"")</f>
        <v/>
      </c>
      <c r="L1648" s="55" t="str">
        <f t="shared" si="50"/>
        <v/>
      </c>
      <c r="M1648" s="55" t="str">
        <f t="shared" si="51"/>
        <v/>
      </c>
      <c r="N1648" s="55" t="str">
        <f>IF(A1648="","",IFERROR(INDEX('Cluster Map'!$A$4:$A$38,MATCH(M1648,'Cluster Map'!$B$4:$B$38,0)),"Unmapped"))</f>
        <v/>
      </c>
      <c r="O1648" s="55">
        <f>IF(A1648="",0,IF(COUNTIFS($A$2:A1648,A1648,$F$2:F1648,F1648,$L$2:L1648,L1648)=1,1,0))</f>
        <v>0</v>
      </c>
      <c r="P1648" s="55">
        <f>IF(A1648="",0,IF(AND(F1648="C&amp;T",COUNTIFS($A$2:A1648,A1648,$F$2:F1648,"C&amp;T")=1),1,0))</f>
        <v>0</v>
      </c>
    </row>
    <row r="1649" spans="1:16" x14ac:dyDescent="0.35">
      <c r="A1649" s="54" t="str">
        <f>IFERROR(IF(INDEX(SPOT_Import!$A$1:$Z$2488,1649,'Live Data'!$C$12)="","",INDEX(SPOT_Import!$A$1:$Z$2488,1649,'Live Data'!$C$12)),"")</f>
        <v/>
      </c>
      <c r="B1649" s="54" t="str">
        <f>IFERROR(IF(INDEX(SPOT_Import!$A$1:$Z$2488,1649,'Live Data'!$C$13)="","",INDEX(SPOT_Import!$A$1:$Z$2488,1649,'Live Data'!$C$13)),"")</f>
        <v/>
      </c>
      <c r="C1649" s="54" t="str">
        <f>IFERROR(IF(INDEX(SPOT_Import!$A$1:$Z$2488,1649,'Live Data'!$C$14)="","",INDEX(SPOT_Import!$A$1:$Z$2488,1649,'Live Data'!$C$14)),"")</f>
        <v/>
      </c>
      <c r="D1649" s="54" t="str">
        <f>IFERROR(IF(INDEX(SPOT_Import!$A$1:$Z$2488,1649,'Live Data'!$C$15)="","",INDEX(SPOT_Import!$A$1:$Z$2488,1649,'Live Data'!$C$15)),"")</f>
        <v/>
      </c>
      <c r="E1649" s="54" t="str">
        <f>IFERROR(IF(INDEX(SPOT_Import!$A$1:$Z$2488,1649,'Live Data'!$C$16)="","",INDEX(SPOT_Import!$A$1:$Z$2488,1649,'Live Data'!$C$16)),"")</f>
        <v/>
      </c>
      <c r="F1649" s="54" t="str">
        <f>IFERROR(IF(INDEX(SPOT_Import!$A$1:$Z$2488,1649,'Live Data'!$C$17)="","",INDEX(SPOT_Import!$A$1:$Z$2488,1649,'Live Data'!$C$17)),"")</f>
        <v/>
      </c>
      <c r="G1649" s="54" t="str">
        <f>IFERROR(IF(INDEX(SPOT_Import!$A$1:$Z$2488,1649,'Live Data'!$C$18)="","",INDEX(SPOT_Import!$A$1:$Z$2488,1649,'Live Data'!$C$18)),"")</f>
        <v/>
      </c>
      <c r="H1649" s="54" t="str">
        <f>IFERROR(IF(INDEX(SPOT_Import!$A$1:$Z$2488,1649,'Live Data'!$C$19)="","",INDEX(SPOT_Import!$A$1:$Z$2488,1649,'Live Data'!$C$19)),"")</f>
        <v/>
      </c>
      <c r="I1649" s="54" t="str">
        <f>IFERROR(IF(INDEX(SPOT_Import!$A$1:$Z$2488,1649,'Live Data'!$C$20)="","",INDEX(SPOT_Import!$A$1:$Z$2488,1649,'Live Data'!$C$20)),"")</f>
        <v/>
      </c>
      <c r="J1649" s="54" t="str">
        <f>IFERROR(IF(INDEX(SPOT_Import!$A$1:$Z$2488,1649,'Live Data'!$C$21)="","",INDEX(SPOT_Import!$A$1:$Z$2488,1649,'Live Data'!$C$21)),"")</f>
        <v/>
      </c>
      <c r="K1649" s="54" t="str">
        <f>IFERROR(IF(INDEX(SPOT_Import!$A$1:$Z$2488,1649,'Live Data'!$C$22)="","",INDEX(SPOT_Import!$A$1:$Z$2488,1649,'Live Data'!$C$22)),"")</f>
        <v/>
      </c>
      <c r="L1649" s="55" t="str">
        <f t="shared" si="50"/>
        <v/>
      </c>
      <c r="M1649" s="55" t="str">
        <f t="shared" si="51"/>
        <v/>
      </c>
      <c r="N1649" s="55" t="str">
        <f>IF(A1649="","",IFERROR(INDEX('Cluster Map'!$A$4:$A$38,MATCH(M1649,'Cluster Map'!$B$4:$B$38,0)),"Unmapped"))</f>
        <v/>
      </c>
      <c r="O1649" s="55">
        <f>IF(A1649="",0,IF(COUNTIFS($A$2:A1649,A1649,$F$2:F1649,F1649,$L$2:L1649,L1649)=1,1,0))</f>
        <v>0</v>
      </c>
      <c r="P1649" s="55">
        <f>IF(A1649="",0,IF(AND(F1649="C&amp;T",COUNTIFS($A$2:A1649,A1649,$F$2:F1649,"C&amp;T")=1),1,0))</f>
        <v>0</v>
      </c>
    </row>
    <row r="1650" spans="1:16" x14ac:dyDescent="0.35">
      <c r="A1650" s="54" t="str">
        <f>IFERROR(IF(INDEX(SPOT_Import!$A$1:$Z$2488,1650,'Live Data'!$C$12)="","",INDEX(SPOT_Import!$A$1:$Z$2488,1650,'Live Data'!$C$12)),"")</f>
        <v/>
      </c>
      <c r="B1650" s="54" t="str">
        <f>IFERROR(IF(INDEX(SPOT_Import!$A$1:$Z$2488,1650,'Live Data'!$C$13)="","",INDEX(SPOT_Import!$A$1:$Z$2488,1650,'Live Data'!$C$13)),"")</f>
        <v/>
      </c>
      <c r="C1650" s="54" t="str">
        <f>IFERROR(IF(INDEX(SPOT_Import!$A$1:$Z$2488,1650,'Live Data'!$C$14)="","",INDEX(SPOT_Import!$A$1:$Z$2488,1650,'Live Data'!$C$14)),"")</f>
        <v/>
      </c>
      <c r="D1650" s="54" t="str">
        <f>IFERROR(IF(INDEX(SPOT_Import!$A$1:$Z$2488,1650,'Live Data'!$C$15)="","",INDEX(SPOT_Import!$A$1:$Z$2488,1650,'Live Data'!$C$15)),"")</f>
        <v/>
      </c>
      <c r="E1650" s="54" t="str">
        <f>IFERROR(IF(INDEX(SPOT_Import!$A$1:$Z$2488,1650,'Live Data'!$C$16)="","",INDEX(SPOT_Import!$A$1:$Z$2488,1650,'Live Data'!$C$16)),"")</f>
        <v/>
      </c>
      <c r="F1650" s="54" t="str">
        <f>IFERROR(IF(INDEX(SPOT_Import!$A$1:$Z$2488,1650,'Live Data'!$C$17)="","",INDEX(SPOT_Import!$A$1:$Z$2488,1650,'Live Data'!$C$17)),"")</f>
        <v/>
      </c>
      <c r="G1650" s="54" t="str">
        <f>IFERROR(IF(INDEX(SPOT_Import!$A$1:$Z$2488,1650,'Live Data'!$C$18)="","",INDEX(SPOT_Import!$A$1:$Z$2488,1650,'Live Data'!$C$18)),"")</f>
        <v/>
      </c>
      <c r="H1650" s="54" t="str">
        <f>IFERROR(IF(INDEX(SPOT_Import!$A$1:$Z$2488,1650,'Live Data'!$C$19)="","",INDEX(SPOT_Import!$A$1:$Z$2488,1650,'Live Data'!$C$19)),"")</f>
        <v/>
      </c>
      <c r="I1650" s="54" t="str">
        <f>IFERROR(IF(INDEX(SPOT_Import!$A$1:$Z$2488,1650,'Live Data'!$C$20)="","",INDEX(SPOT_Import!$A$1:$Z$2488,1650,'Live Data'!$C$20)),"")</f>
        <v/>
      </c>
      <c r="J1650" s="54" t="str">
        <f>IFERROR(IF(INDEX(SPOT_Import!$A$1:$Z$2488,1650,'Live Data'!$C$21)="","",INDEX(SPOT_Import!$A$1:$Z$2488,1650,'Live Data'!$C$21)),"")</f>
        <v/>
      </c>
      <c r="K1650" s="54" t="str">
        <f>IFERROR(IF(INDEX(SPOT_Import!$A$1:$Z$2488,1650,'Live Data'!$C$22)="","",INDEX(SPOT_Import!$A$1:$Z$2488,1650,'Live Data'!$C$22)),"")</f>
        <v/>
      </c>
      <c r="L1650" s="55" t="str">
        <f t="shared" si="50"/>
        <v/>
      </c>
      <c r="M1650" s="55" t="str">
        <f t="shared" si="51"/>
        <v/>
      </c>
      <c r="N1650" s="55" t="str">
        <f>IF(A1650="","",IFERROR(INDEX('Cluster Map'!$A$4:$A$38,MATCH(M1650,'Cluster Map'!$B$4:$B$38,0)),"Unmapped"))</f>
        <v/>
      </c>
      <c r="O1650" s="55">
        <f>IF(A1650="",0,IF(COUNTIFS($A$2:A1650,A1650,$F$2:F1650,F1650,$L$2:L1650,L1650)=1,1,0))</f>
        <v>0</v>
      </c>
      <c r="P1650" s="55">
        <f>IF(A1650="",0,IF(AND(F1650="C&amp;T",COUNTIFS($A$2:A1650,A1650,$F$2:F1650,"C&amp;T")=1),1,0))</f>
        <v>0</v>
      </c>
    </row>
    <row r="1651" spans="1:16" x14ac:dyDescent="0.35">
      <c r="A1651" s="54" t="str">
        <f>IFERROR(IF(INDEX(SPOT_Import!$A$1:$Z$2488,1651,'Live Data'!$C$12)="","",INDEX(SPOT_Import!$A$1:$Z$2488,1651,'Live Data'!$C$12)),"")</f>
        <v/>
      </c>
      <c r="B1651" s="54" t="str">
        <f>IFERROR(IF(INDEX(SPOT_Import!$A$1:$Z$2488,1651,'Live Data'!$C$13)="","",INDEX(SPOT_Import!$A$1:$Z$2488,1651,'Live Data'!$C$13)),"")</f>
        <v/>
      </c>
      <c r="C1651" s="54" t="str">
        <f>IFERROR(IF(INDEX(SPOT_Import!$A$1:$Z$2488,1651,'Live Data'!$C$14)="","",INDEX(SPOT_Import!$A$1:$Z$2488,1651,'Live Data'!$C$14)),"")</f>
        <v/>
      </c>
      <c r="D1651" s="54" t="str">
        <f>IFERROR(IF(INDEX(SPOT_Import!$A$1:$Z$2488,1651,'Live Data'!$C$15)="","",INDEX(SPOT_Import!$A$1:$Z$2488,1651,'Live Data'!$C$15)),"")</f>
        <v/>
      </c>
      <c r="E1651" s="54" t="str">
        <f>IFERROR(IF(INDEX(SPOT_Import!$A$1:$Z$2488,1651,'Live Data'!$C$16)="","",INDEX(SPOT_Import!$A$1:$Z$2488,1651,'Live Data'!$C$16)),"")</f>
        <v/>
      </c>
      <c r="F1651" s="54" t="str">
        <f>IFERROR(IF(INDEX(SPOT_Import!$A$1:$Z$2488,1651,'Live Data'!$C$17)="","",INDEX(SPOT_Import!$A$1:$Z$2488,1651,'Live Data'!$C$17)),"")</f>
        <v/>
      </c>
      <c r="G1651" s="54" t="str">
        <f>IFERROR(IF(INDEX(SPOT_Import!$A$1:$Z$2488,1651,'Live Data'!$C$18)="","",INDEX(SPOT_Import!$A$1:$Z$2488,1651,'Live Data'!$C$18)),"")</f>
        <v/>
      </c>
      <c r="H1651" s="54" t="str">
        <f>IFERROR(IF(INDEX(SPOT_Import!$A$1:$Z$2488,1651,'Live Data'!$C$19)="","",INDEX(SPOT_Import!$A$1:$Z$2488,1651,'Live Data'!$C$19)),"")</f>
        <v/>
      </c>
      <c r="I1651" s="54" t="str">
        <f>IFERROR(IF(INDEX(SPOT_Import!$A$1:$Z$2488,1651,'Live Data'!$C$20)="","",INDEX(SPOT_Import!$A$1:$Z$2488,1651,'Live Data'!$C$20)),"")</f>
        <v/>
      </c>
      <c r="J1651" s="54" t="str">
        <f>IFERROR(IF(INDEX(SPOT_Import!$A$1:$Z$2488,1651,'Live Data'!$C$21)="","",INDEX(SPOT_Import!$A$1:$Z$2488,1651,'Live Data'!$C$21)),"")</f>
        <v/>
      </c>
      <c r="K1651" s="54" t="str">
        <f>IFERROR(IF(INDEX(SPOT_Import!$A$1:$Z$2488,1651,'Live Data'!$C$22)="","",INDEX(SPOT_Import!$A$1:$Z$2488,1651,'Live Data'!$C$22)),"")</f>
        <v/>
      </c>
      <c r="L1651" s="55" t="str">
        <f t="shared" si="50"/>
        <v/>
      </c>
      <c r="M1651" s="55" t="str">
        <f t="shared" si="51"/>
        <v/>
      </c>
      <c r="N1651" s="55" t="str">
        <f>IF(A1651="","",IFERROR(INDEX('Cluster Map'!$A$4:$A$38,MATCH(M1651,'Cluster Map'!$B$4:$B$38,0)),"Unmapped"))</f>
        <v/>
      </c>
      <c r="O1651" s="55">
        <f>IF(A1651="",0,IF(COUNTIFS($A$2:A1651,A1651,$F$2:F1651,F1651,$L$2:L1651,L1651)=1,1,0))</f>
        <v>0</v>
      </c>
      <c r="P1651" s="55">
        <f>IF(A1651="",0,IF(AND(F1651="C&amp;T",COUNTIFS($A$2:A1651,A1651,$F$2:F1651,"C&amp;T")=1),1,0))</f>
        <v>0</v>
      </c>
    </row>
    <row r="1652" spans="1:16" x14ac:dyDescent="0.35">
      <c r="A1652" s="54" t="str">
        <f>IFERROR(IF(INDEX(SPOT_Import!$A$1:$Z$2488,1652,'Live Data'!$C$12)="","",INDEX(SPOT_Import!$A$1:$Z$2488,1652,'Live Data'!$C$12)),"")</f>
        <v/>
      </c>
      <c r="B1652" s="54" t="str">
        <f>IFERROR(IF(INDEX(SPOT_Import!$A$1:$Z$2488,1652,'Live Data'!$C$13)="","",INDEX(SPOT_Import!$A$1:$Z$2488,1652,'Live Data'!$C$13)),"")</f>
        <v/>
      </c>
      <c r="C1652" s="54" t="str">
        <f>IFERROR(IF(INDEX(SPOT_Import!$A$1:$Z$2488,1652,'Live Data'!$C$14)="","",INDEX(SPOT_Import!$A$1:$Z$2488,1652,'Live Data'!$C$14)),"")</f>
        <v/>
      </c>
      <c r="D1652" s="54" t="str">
        <f>IFERROR(IF(INDEX(SPOT_Import!$A$1:$Z$2488,1652,'Live Data'!$C$15)="","",INDEX(SPOT_Import!$A$1:$Z$2488,1652,'Live Data'!$C$15)),"")</f>
        <v/>
      </c>
      <c r="E1652" s="54" t="str">
        <f>IFERROR(IF(INDEX(SPOT_Import!$A$1:$Z$2488,1652,'Live Data'!$C$16)="","",INDEX(SPOT_Import!$A$1:$Z$2488,1652,'Live Data'!$C$16)),"")</f>
        <v/>
      </c>
      <c r="F1652" s="54" t="str">
        <f>IFERROR(IF(INDEX(SPOT_Import!$A$1:$Z$2488,1652,'Live Data'!$C$17)="","",INDEX(SPOT_Import!$A$1:$Z$2488,1652,'Live Data'!$C$17)),"")</f>
        <v/>
      </c>
      <c r="G1652" s="54" t="str">
        <f>IFERROR(IF(INDEX(SPOT_Import!$A$1:$Z$2488,1652,'Live Data'!$C$18)="","",INDEX(SPOT_Import!$A$1:$Z$2488,1652,'Live Data'!$C$18)),"")</f>
        <v/>
      </c>
      <c r="H1652" s="54" t="str">
        <f>IFERROR(IF(INDEX(SPOT_Import!$A$1:$Z$2488,1652,'Live Data'!$C$19)="","",INDEX(SPOT_Import!$A$1:$Z$2488,1652,'Live Data'!$C$19)),"")</f>
        <v/>
      </c>
      <c r="I1652" s="54" t="str">
        <f>IFERROR(IF(INDEX(SPOT_Import!$A$1:$Z$2488,1652,'Live Data'!$C$20)="","",INDEX(SPOT_Import!$A$1:$Z$2488,1652,'Live Data'!$C$20)),"")</f>
        <v/>
      </c>
      <c r="J1652" s="54" t="str">
        <f>IFERROR(IF(INDEX(SPOT_Import!$A$1:$Z$2488,1652,'Live Data'!$C$21)="","",INDEX(SPOT_Import!$A$1:$Z$2488,1652,'Live Data'!$C$21)),"")</f>
        <v/>
      </c>
      <c r="K1652" s="54" t="str">
        <f>IFERROR(IF(INDEX(SPOT_Import!$A$1:$Z$2488,1652,'Live Data'!$C$22)="","",INDEX(SPOT_Import!$A$1:$Z$2488,1652,'Live Data'!$C$22)),"")</f>
        <v/>
      </c>
      <c r="L1652" s="55" t="str">
        <f t="shared" si="50"/>
        <v/>
      </c>
      <c r="M1652" s="55" t="str">
        <f t="shared" si="51"/>
        <v/>
      </c>
      <c r="N1652" s="55" t="str">
        <f>IF(A1652="","",IFERROR(INDEX('Cluster Map'!$A$4:$A$38,MATCH(M1652,'Cluster Map'!$B$4:$B$38,0)),"Unmapped"))</f>
        <v/>
      </c>
      <c r="O1652" s="55">
        <f>IF(A1652="",0,IF(COUNTIFS($A$2:A1652,A1652,$F$2:F1652,F1652,$L$2:L1652,L1652)=1,1,0))</f>
        <v>0</v>
      </c>
      <c r="P1652" s="55">
        <f>IF(A1652="",0,IF(AND(F1652="C&amp;T",COUNTIFS($A$2:A1652,A1652,$F$2:F1652,"C&amp;T")=1),1,0))</f>
        <v>0</v>
      </c>
    </row>
    <row r="1653" spans="1:16" x14ac:dyDescent="0.35">
      <c r="A1653" s="54" t="str">
        <f>IFERROR(IF(INDEX(SPOT_Import!$A$1:$Z$2488,1653,'Live Data'!$C$12)="","",INDEX(SPOT_Import!$A$1:$Z$2488,1653,'Live Data'!$C$12)),"")</f>
        <v/>
      </c>
      <c r="B1653" s="54" t="str">
        <f>IFERROR(IF(INDEX(SPOT_Import!$A$1:$Z$2488,1653,'Live Data'!$C$13)="","",INDEX(SPOT_Import!$A$1:$Z$2488,1653,'Live Data'!$C$13)),"")</f>
        <v/>
      </c>
      <c r="C1653" s="54" t="str">
        <f>IFERROR(IF(INDEX(SPOT_Import!$A$1:$Z$2488,1653,'Live Data'!$C$14)="","",INDEX(SPOT_Import!$A$1:$Z$2488,1653,'Live Data'!$C$14)),"")</f>
        <v/>
      </c>
      <c r="D1653" s="54" t="str">
        <f>IFERROR(IF(INDEX(SPOT_Import!$A$1:$Z$2488,1653,'Live Data'!$C$15)="","",INDEX(SPOT_Import!$A$1:$Z$2488,1653,'Live Data'!$C$15)),"")</f>
        <v/>
      </c>
      <c r="E1653" s="54" t="str">
        <f>IFERROR(IF(INDEX(SPOT_Import!$A$1:$Z$2488,1653,'Live Data'!$C$16)="","",INDEX(SPOT_Import!$A$1:$Z$2488,1653,'Live Data'!$C$16)),"")</f>
        <v/>
      </c>
      <c r="F1653" s="54" t="str">
        <f>IFERROR(IF(INDEX(SPOT_Import!$A$1:$Z$2488,1653,'Live Data'!$C$17)="","",INDEX(SPOT_Import!$A$1:$Z$2488,1653,'Live Data'!$C$17)),"")</f>
        <v/>
      </c>
      <c r="G1653" s="54" t="str">
        <f>IFERROR(IF(INDEX(SPOT_Import!$A$1:$Z$2488,1653,'Live Data'!$C$18)="","",INDEX(SPOT_Import!$A$1:$Z$2488,1653,'Live Data'!$C$18)),"")</f>
        <v/>
      </c>
      <c r="H1653" s="54" t="str">
        <f>IFERROR(IF(INDEX(SPOT_Import!$A$1:$Z$2488,1653,'Live Data'!$C$19)="","",INDEX(SPOT_Import!$A$1:$Z$2488,1653,'Live Data'!$C$19)),"")</f>
        <v/>
      </c>
      <c r="I1653" s="54" t="str">
        <f>IFERROR(IF(INDEX(SPOT_Import!$A$1:$Z$2488,1653,'Live Data'!$C$20)="","",INDEX(SPOT_Import!$A$1:$Z$2488,1653,'Live Data'!$C$20)),"")</f>
        <v/>
      </c>
      <c r="J1653" s="54" t="str">
        <f>IFERROR(IF(INDEX(SPOT_Import!$A$1:$Z$2488,1653,'Live Data'!$C$21)="","",INDEX(SPOT_Import!$A$1:$Z$2488,1653,'Live Data'!$C$21)),"")</f>
        <v/>
      </c>
      <c r="K1653" s="54" t="str">
        <f>IFERROR(IF(INDEX(SPOT_Import!$A$1:$Z$2488,1653,'Live Data'!$C$22)="","",INDEX(SPOT_Import!$A$1:$Z$2488,1653,'Live Data'!$C$22)),"")</f>
        <v/>
      </c>
      <c r="L1653" s="55" t="str">
        <f t="shared" si="50"/>
        <v/>
      </c>
      <c r="M1653" s="55" t="str">
        <f t="shared" si="51"/>
        <v/>
      </c>
      <c r="N1653" s="55" t="str">
        <f>IF(A1653="","",IFERROR(INDEX('Cluster Map'!$A$4:$A$38,MATCH(M1653,'Cluster Map'!$B$4:$B$38,0)),"Unmapped"))</f>
        <v/>
      </c>
      <c r="O1653" s="55">
        <f>IF(A1653="",0,IF(COUNTIFS($A$2:A1653,A1653,$F$2:F1653,F1653,$L$2:L1653,L1653)=1,1,0))</f>
        <v>0</v>
      </c>
      <c r="P1653" s="55">
        <f>IF(A1653="",0,IF(AND(F1653="C&amp;T",COUNTIFS($A$2:A1653,A1653,$F$2:F1653,"C&amp;T")=1),1,0))</f>
        <v>0</v>
      </c>
    </row>
    <row r="1654" spans="1:16" x14ac:dyDescent="0.35">
      <c r="A1654" s="54" t="str">
        <f>IFERROR(IF(INDEX(SPOT_Import!$A$1:$Z$2488,1654,'Live Data'!$C$12)="","",INDEX(SPOT_Import!$A$1:$Z$2488,1654,'Live Data'!$C$12)),"")</f>
        <v/>
      </c>
      <c r="B1654" s="54" t="str">
        <f>IFERROR(IF(INDEX(SPOT_Import!$A$1:$Z$2488,1654,'Live Data'!$C$13)="","",INDEX(SPOT_Import!$A$1:$Z$2488,1654,'Live Data'!$C$13)),"")</f>
        <v/>
      </c>
      <c r="C1654" s="54" t="str">
        <f>IFERROR(IF(INDEX(SPOT_Import!$A$1:$Z$2488,1654,'Live Data'!$C$14)="","",INDEX(SPOT_Import!$A$1:$Z$2488,1654,'Live Data'!$C$14)),"")</f>
        <v/>
      </c>
      <c r="D1654" s="54" t="str">
        <f>IFERROR(IF(INDEX(SPOT_Import!$A$1:$Z$2488,1654,'Live Data'!$C$15)="","",INDEX(SPOT_Import!$A$1:$Z$2488,1654,'Live Data'!$C$15)),"")</f>
        <v/>
      </c>
      <c r="E1654" s="54" t="str">
        <f>IFERROR(IF(INDEX(SPOT_Import!$A$1:$Z$2488,1654,'Live Data'!$C$16)="","",INDEX(SPOT_Import!$A$1:$Z$2488,1654,'Live Data'!$C$16)),"")</f>
        <v/>
      </c>
      <c r="F1654" s="54" t="str">
        <f>IFERROR(IF(INDEX(SPOT_Import!$A$1:$Z$2488,1654,'Live Data'!$C$17)="","",INDEX(SPOT_Import!$A$1:$Z$2488,1654,'Live Data'!$C$17)),"")</f>
        <v/>
      </c>
      <c r="G1654" s="54" t="str">
        <f>IFERROR(IF(INDEX(SPOT_Import!$A$1:$Z$2488,1654,'Live Data'!$C$18)="","",INDEX(SPOT_Import!$A$1:$Z$2488,1654,'Live Data'!$C$18)),"")</f>
        <v/>
      </c>
      <c r="H1654" s="54" t="str">
        <f>IFERROR(IF(INDEX(SPOT_Import!$A$1:$Z$2488,1654,'Live Data'!$C$19)="","",INDEX(SPOT_Import!$A$1:$Z$2488,1654,'Live Data'!$C$19)),"")</f>
        <v/>
      </c>
      <c r="I1654" s="54" t="str">
        <f>IFERROR(IF(INDEX(SPOT_Import!$A$1:$Z$2488,1654,'Live Data'!$C$20)="","",INDEX(SPOT_Import!$A$1:$Z$2488,1654,'Live Data'!$C$20)),"")</f>
        <v/>
      </c>
      <c r="J1654" s="54" t="str">
        <f>IFERROR(IF(INDEX(SPOT_Import!$A$1:$Z$2488,1654,'Live Data'!$C$21)="","",INDEX(SPOT_Import!$A$1:$Z$2488,1654,'Live Data'!$C$21)),"")</f>
        <v/>
      </c>
      <c r="K1654" s="54" t="str">
        <f>IFERROR(IF(INDEX(SPOT_Import!$A$1:$Z$2488,1654,'Live Data'!$C$22)="","",INDEX(SPOT_Import!$A$1:$Z$2488,1654,'Live Data'!$C$22)),"")</f>
        <v/>
      </c>
      <c r="L1654" s="55" t="str">
        <f t="shared" si="50"/>
        <v/>
      </c>
      <c r="M1654" s="55" t="str">
        <f t="shared" si="51"/>
        <v/>
      </c>
      <c r="N1654" s="55" t="str">
        <f>IF(A1654="","",IFERROR(INDEX('Cluster Map'!$A$4:$A$38,MATCH(M1654,'Cluster Map'!$B$4:$B$38,0)),"Unmapped"))</f>
        <v/>
      </c>
      <c r="O1654" s="55">
        <f>IF(A1654="",0,IF(COUNTIFS($A$2:A1654,A1654,$F$2:F1654,F1654,$L$2:L1654,L1654)=1,1,0))</f>
        <v>0</v>
      </c>
      <c r="P1654" s="55">
        <f>IF(A1654="",0,IF(AND(F1654="C&amp;T",COUNTIFS($A$2:A1654,A1654,$F$2:F1654,"C&amp;T")=1),1,0))</f>
        <v>0</v>
      </c>
    </row>
    <row r="1655" spans="1:16" x14ac:dyDescent="0.35">
      <c r="A1655" s="54" t="str">
        <f>IFERROR(IF(INDEX(SPOT_Import!$A$1:$Z$2488,1655,'Live Data'!$C$12)="","",INDEX(SPOT_Import!$A$1:$Z$2488,1655,'Live Data'!$C$12)),"")</f>
        <v/>
      </c>
      <c r="B1655" s="54" t="str">
        <f>IFERROR(IF(INDEX(SPOT_Import!$A$1:$Z$2488,1655,'Live Data'!$C$13)="","",INDEX(SPOT_Import!$A$1:$Z$2488,1655,'Live Data'!$C$13)),"")</f>
        <v/>
      </c>
      <c r="C1655" s="54" t="str">
        <f>IFERROR(IF(INDEX(SPOT_Import!$A$1:$Z$2488,1655,'Live Data'!$C$14)="","",INDEX(SPOT_Import!$A$1:$Z$2488,1655,'Live Data'!$C$14)),"")</f>
        <v/>
      </c>
      <c r="D1655" s="54" t="str">
        <f>IFERROR(IF(INDEX(SPOT_Import!$A$1:$Z$2488,1655,'Live Data'!$C$15)="","",INDEX(SPOT_Import!$A$1:$Z$2488,1655,'Live Data'!$C$15)),"")</f>
        <v/>
      </c>
      <c r="E1655" s="54" t="str">
        <f>IFERROR(IF(INDEX(SPOT_Import!$A$1:$Z$2488,1655,'Live Data'!$C$16)="","",INDEX(SPOT_Import!$A$1:$Z$2488,1655,'Live Data'!$C$16)),"")</f>
        <v/>
      </c>
      <c r="F1655" s="54" t="str">
        <f>IFERROR(IF(INDEX(SPOT_Import!$A$1:$Z$2488,1655,'Live Data'!$C$17)="","",INDEX(SPOT_Import!$A$1:$Z$2488,1655,'Live Data'!$C$17)),"")</f>
        <v/>
      </c>
      <c r="G1655" s="54" t="str">
        <f>IFERROR(IF(INDEX(SPOT_Import!$A$1:$Z$2488,1655,'Live Data'!$C$18)="","",INDEX(SPOT_Import!$A$1:$Z$2488,1655,'Live Data'!$C$18)),"")</f>
        <v/>
      </c>
      <c r="H1655" s="54" t="str">
        <f>IFERROR(IF(INDEX(SPOT_Import!$A$1:$Z$2488,1655,'Live Data'!$C$19)="","",INDEX(SPOT_Import!$A$1:$Z$2488,1655,'Live Data'!$C$19)),"")</f>
        <v/>
      </c>
      <c r="I1655" s="54" t="str">
        <f>IFERROR(IF(INDEX(SPOT_Import!$A$1:$Z$2488,1655,'Live Data'!$C$20)="","",INDEX(SPOT_Import!$A$1:$Z$2488,1655,'Live Data'!$C$20)),"")</f>
        <v/>
      </c>
      <c r="J1655" s="54" t="str">
        <f>IFERROR(IF(INDEX(SPOT_Import!$A$1:$Z$2488,1655,'Live Data'!$C$21)="","",INDEX(SPOT_Import!$A$1:$Z$2488,1655,'Live Data'!$C$21)),"")</f>
        <v/>
      </c>
      <c r="K1655" s="54" t="str">
        <f>IFERROR(IF(INDEX(SPOT_Import!$A$1:$Z$2488,1655,'Live Data'!$C$22)="","",INDEX(SPOT_Import!$A$1:$Z$2488,1655,'Live Data'!$C$22)),"")</f>
        <v/>
      </c>
      <c r="L1655" s="55" t="str">
        <f t="shared" si="50"/>
        <v/>
      </c>
      <c r="M1655" s="55" t="str">
        <f t="shared" si="51"/>
        <v/>
      </c>
      <c r="N1655" s="55" t="str">
        <f>IF(A1655="","",IFERROR(INDEX('Cluster Map'!$A$4:$A$38,MATCH(M1655,'Cluster Map'!$B$4:$B$38,0)),"Unmapped"))</f>
        <v/>
      </c>
      <c r="O1655" s="55">
        <f>IF(A1655="",0,IF(COUNTIFS($A$2:A1655,A1655,$F$2:F1655,F1655,$L$2:L1655,L1655)=1,1,0))</f>
        <v>0</v>
      </c>
      <c r="P1655" s="55">
        <f>IF(A1655="",0,IF(AND(F1655="C&amp;T",COUNTIFS($A$2:A1655,A1655,$F$2:F1655,"C&amp;T")=1),1,0))</f>
        <v>0</v>
      </c>
    </row>
    <row r="1656" spans="1:16" x14ac:dyDescent="0.35">
      <c r="A1656" s="54" t="str">
        <f>IFERROR(IF(INDEX(SPOT_Import!$A$1:$Z$2488,1656,'Live Data'!$C$12)="","",INDEX(SPOT_Import!$A$1:$Z$2488,1656,'Live Data'!$C$12)),"")</f>
        <v/>
      </c>
      <c r="B1656" s="54" t="str">
        <f>IFERROR(IF(INDEX(SPOT_Import!$A$1:$Z$2488,1656,'Live Data'!$C$13)="","",INDEX(SPOT_Import!$A$1:$Z$2488,1656,'Live Data'!$C$13)),"")</f>
        <v/>
      </c>
      <c r="C1656" s="54" t="str">
        <f>IFERROR(IF(INDEX(SPOT_Import!$A$1:$Z$2488,1656,'Live Data'!$C$14)="","",INDEX(SPOT_Import!$A$1:$Z$2488,1656,'Live Data'!$C$14)),"")</f>
        <v/>
      </c>
      <c r="D1656" s="54" t="str">
        <f>IFERROR(IF(INDEX(SPOT_Import!$A$1:$Z$2488,1656,'Live Data'!$C$15)="","",INDEX(SPOT_Import!$A$1:$Z$2488,1656,'Live Data'!$C$15)),"")</f>
        <v/>
      </c>
      <c r="E1656" s="54" t="str">
        <f>IFERROR(IF(INDEX(SPOT_Import!$A$1:$Z$2488,1656,'Live Data'!$C$16)="","",INDEX(SPOT_Import!$A$1:$Z$2488,1656,'Live Data'!$C$16)),"")</f>
        <v/>
      </c>
      <c r="F1656" s="54" t="str">
        <f>IFERROR(IF(INDEX(SPOT_Import!$A$1:$Z$2488,1656,'Live Data'!$C$17)="","",INDEX(SPOT_Import!$A$1:$Z$2488,1656,'Live Data'!$C$17)),"")</f>
        <v/>
      </c>
      <c r="G1656" s="54" t="str">
        <f>IFERROR(IF(INDEX(SPOT_Import!$A$1:$Z$2488,1656,'Live Data'!$C$18)="","",INDEX(SPOT_Import!$A$1:$Z$2488,1656,'Live Data'!$C$18)),"")</f>
        <v/>
      </c>
      <c r="H1656" s="54" t="str">
        <f>IFERROR(IF(INDEX(SPOT_Import!$A$1:$Z$2488,1656,'Live Data'!$C$19)="","",INDEX(SPOT_Import!$A$1:$Z$2488,1656,'Live Data'!$C$19)),"")</f>
        <v/>
      </c>
      <c r="I1656" s="54" t="str">
        <f>IFERROR(IF(INDEX(SPOT_Import!$A$1:$Z$2488,1656,'Live Data'!$C$20)="","",INDEX(SPOT_Import!$A$1:$Z$2488,1656,'Live Data'!$C$20)),"")</f>
        <v/>
      </c>
      <c r="J1656" s="54" t="str">
        <f>IFERROR(IF(INDEX(SPOT_Import!$A$1:$Z$2488,1656,'Live Data'!$C$21)="","",INDEX(SPOT_Import!$A$1:$Z$2488,1656,'Live Data'!$C$21)),"")</f>
        <v/>
      </c>
      <c r="K1656" s="54" t="str">
        <f>IFERROR(IF(INDEX(SPOT_Import!$A$1:$Z$2488,1656,'Live Data'!$C$22)="","",INDEX(SPOT_Import!$A$1:$Z$2488,1656,'Live Data'!$C$22)),"")</f>
        <v/>
      </c>
      <c r="L1656" s="55" t="str">
        <f t="shared" si="50"/>
        <v/>
      </c>
      <c r="M1656" s="55" t="str">
        <f t="shared" si="51"/>
        <v/>
      </c>
      <c r="N1656" s="55" t="str">
        <f>IF(A1656="","",IFERROR(INDEX('Cluster Map'!$A$4:$A$38,MATCH(M1656,'Cluster Map'!$B$4:$B$38,0)),"Unmapped"))</f>
        <v/>
      </c>
      <c r="O1656" s="55">
        <f>IF(A1656="",0,IF(COUNTIFS($A$2:A1656,A1656,$F$2:F1656,F1656,$L$2:L1656,L1656)=1,1,0))</f>
        <v>0</v>
      </c>
      <c r="P1656" s="55">
        <f>IF(A1656="",0,IF(AND(F1656="C&amp;T",COUNTIFS($A$2:A1656,A1656,$F$2:F1656,"C&amp;T")=1),1,0))</f>
        <v>0</v>
      </c>
    </row>
    <row r="1657" spans="1:16" x14ac:dyDescent="0.35">
      <c r="A1657" s="54" t="str">
        <f>IFERROR(IF(INDEX(SPOT_Import!$A$1:$Z$2488,1657,'Live Data'!$C$12)="","",INDEX(SPOT_Import!$A$1:$Z$2488,1657,'Live Data'!$C$12)),"")</f>
        <v/>
      </c>
      <c r="B1657" s="54" t="str">
        <f>IFERROR(IF(INDEX(SPOT_Import!$A$1:$Z$2488,1657,'Live Data'!$C$13)="","",INDEX(SPOT_Import!$A$1:$Z$2488,1657,'Live Data'!$C$13)),"")</f>
        <v/>
      </c>
      <c r="C1657" s="54" t="str">
        <f>IFERROR(IF(INDEX(SPOT_Import!$A$1:$Z$2488,1657,'Live Data'!$C$14)="","",INDEX(SPOT_Import!$A$1:$Z$2488,1657,'Live Data'!$C$14)),"")</f>
        <v/>
      </c>
      <c r="D1657" s="54" t="str">
        <f>IFERROR(IF(INDEX(SPOT_Import!$A$1:$Z$2488,1657,'Live Data'!$C$15)="","",INDEX(SPOT_Import!$A$1:$Z$2488,1657,'Live Data'!$C$15)),"")</f>
        <v/>
      </c>
      <c r="E1657" s="54" t="str">
        <f>IFERROR(IF(INDEX(SPOT_Import!$A$1:$Z$2488,1657,'Live Data'!$C$16)="","",INDEX(SPOT_Import!$A$1:$Z$2488,1657,'Live Data'!$C$16)),"")</f>
        <v/>
      </c>
      <c r="F1657" s="54" t="str">
        <f>IFERROR(IF(INDEX(SPOT_Import!$A$1:$Z$2488,1657,'Live Data'!$C$17)="","",INDEX(SPOT_Import!$A$1:$Z$2488,1657,'Live Data'!$C$17)),"")</f>
        <v/>
      </c>
      <c r="G1657" s="54" t="str">
        <f>IFERROR(IF(INDEX(SPOT_Import!$A$1:$Z$2488,1657,'Live Data'!$C$18)="","",INDEX(SPOT_Import!$A$1:$Z$2488,1657,'Live Data'!$C$18)),"")</f>
        <v/>
      </c>
      <c r="H1657" s="54" t="str">
        <f>IFERROR(IF(INDEX(SPOT_Import!$A$1:$Z$2488,1657,'Live Data'!$C$19)="","",INDEX(SPOT_Import!$A$1:$Z$2488,1657,'Live Data'!$C$19)),"")</f>
        <v/>
      </c>
      <c r="I1657" s="54" t="str">
        <f>IFERROR(IF(INDEX(SPOT_Import!$A$1:$Z$2488,1657,'Live Data'!$C$20)="","",INDEX(SPOT_Import!$A$1:$Z$2488,1657,'Live Data'!$C$20)),"")</f>
        <v/>
      </c>
      <c r="J1657" s="54" t="str">
        <f>IFERROR(IF(INDEX(SPOT_Import!$A$1:$Z$2488,1657,'Live Data'!$C$21)="","",INDEX(SPOT_Import!$A$1:$Z$2488,1657,'Live Data'!$C$21)),"")</f>
        <v/>
      </c>
      <c r="K1657" s="54" t="str">
        <f>IFERROR(IF(INDEX(SPOT_Import!$A$1:$Z$2488,1657,'Live Data'!$C$22)="","",INDEX(SPOT_Import!$A$1:$Z$2488,1657,'Live Data'!$C$22)),"")</f>
        <v/>
      </c>
      <c r="L1657" s="55" t="str">
        <f t="shared" si="50"/>
        <v/>
      </c>
      <c r="M1657" s="55" t="str">
        <f t="shared" si="51"/>
        <v/>
      </c>
      <c r="N1657" s="55" t="str">
        <f>IF(A1657="","",IFERROR(INDEX('Cluster Map'!$A$4:$A$38,MATCH(M1657,'Cluster Map'!$B$4:$B$38,0)),"Unmapped"))</f>
        <v/>
      </c>
      <c r="O1657" s="55">
        <f>IF(A1657="",0,IF(COUNTIFS($A$2:A1657,A1657,$F$2:F1657,F1657,$L$2:L1657,L1657)=1,1,0))</f>
        <v>0</v>
      </c>
      <c r="P1657" s="55">
        <f>IF(A1657="",0,IF(AND(F1657="C&amp;T",COUNTIFS($A$2:A1657,A1657,$F$2:F1657,"C&amp;T")=1),1,0))</f>
        <v>0</v>
      </c>
    </row>
    <row r="1658" spans="1:16" x14ac:dyDescent="0.35">
      <c r="A1658" s="54" t="str">
        <f>IFERROR(IF(INDEX(SPOT_Import!$A$1:$Z$2488,1658,'Live Data'!$C$12)="","",INDEX(SPOT_Import!$A$1:$Z$2488,1658,'Live Data'!$C$12)),"")</f>
        <v/>
      </c>
      <c r="B1658" s="54" t="str">
        <f>IFERROR(IF(INDEX(SPOT_Import!$A$1:$Z$2488,1658,'Live Data'!$C$13)="","",INDEX(SPOT_Import!$A$1:$Z$2488,1658,'Live Data'!$C$13)),"")</f>
        <v/>
      </c>
      <c r="C1658" s="54" t="str">
        <f>IFERROR(IF(INDEX(SPOT_Import!$A$1:$Z$2488,1658,'Live Data'!$C$14)="","",INDEX(SPOT_Import!$A$1:$Z$2488,1658,'Live Data'!$C$14)),"")</f>
        <v/>
      </c>
      <c r="D1658" s="54" t="str">
        <f>IFERROR(IF(INDEX(SPOT_Import!$A$1:$Z$2488,1658,'Live Data'!$C$15)="","",INDEX(SPOT_Import!$A$1:$Z$2488,1658,'Live Data'!$C$15)),"")</f>
        <v/>
      </c>
      <c r="E1658" s="54" t="str">
        <f>IFERROR(IF(INDEX(SPOT_Import!$A$1:$Z$2488,1658,'Live Data'!$C$16)="","",INDEX(SPOT_Import!$A$1:$Z$2488,1658,'Live Data'!$C$16)),"")</f>
        <v/>
      </c>
      <c r="F1658" s="54" t="str">
        <f>IFERROR(IF(INDEX(SPOT_Import!$A$1:$Z$2488,1658,'Live Data'!$C$17)="","",INDEX(SPOT_Import!$A$1:$Z$2488,1658,'Live Data'!$C$17)),"")</f>
        <v/>
      </c>
      <c r="G1658" s="54" t="str">
        <f>IFERROR(IF(INDEX(SPOT_Import!$A$1:$Z$2488,1658,'Live Data'!$C$18)="","",INDEX(SPOT_Import!$A$1:$Z$2488,1658,'Live Data'!$C$18)),"")</f>
        <v/>
      </c>
      <c r="H1658" s="54" t="str">
        <f>IFERROR(IF(INDEX(SPOT_Import!$A$1:$Z$2488,1658,'Live Data'!$C$19)="","",INDEX(SPOT_Import!$A$1:$Z$2488,1658,'Live Data'!$C$19)),"")</f>
        <v/>
      </c>
      <c r="I1658" s="54" t="str">
        <f>IFERROR(IF(INDEX(SPOT_Import!$A$1:$Z$2488,1658,'Live Data'!$C$20)="","",INDEX(SPOT_Import!$A$1:$Z$2488,1658,'Live Data'!$C$20)),"")</f>
        <v/>
      </c>
      <c r="J1658" s="54" t="str">
        <f>IFERROR(IF(INDEX(SPOT_Import!$A$1:$Z$2488,1658,'Live Data'!$C$21)="","",INDEX(SPOT_Import!$A$1:$Z$2488,1658,'Live Data'!$C$21)),"")</f>
        <v/>
      </c>
      <c r="K1658" s="54" t="str">
        <f>IFERROR(IF(INDEX(SPOT_Import!$A$1:$Z$2488,1658,'Live Data'!$C$22)="","",INDEX(SPOT_Import!$A$1:$Z$2488,1658,'Live Data'!$C$22)),"")</f>
        <v/>
      </c>
      <c r="L1658" s="55" t="str">
        <f t="shared" si="50"/>
        <v/>
      </c>
      <c r="M1658" s="55" t="str">
        <f t="shared" si="51"/>
        <v/>
      </c>
      <c r="N1658" s="55" t="str">
        <f>IF(A1658="","",IFERROR(INDEX('Cluster Map'!$A$4:$A$38,MATCH(M1658,'Cluster Map'!$B$4:$B$38,0)),"Unmapped"))</f>
        <v/>
      </c>
      <c r="O1658" s="55">
        <f>IF(A1658="",0,IF(COUNTIFS($A$2:A1658,A1658,$F$2:F1658,F1658,$L$2:L1658,L1658)=1,1,0))</f>
        <v>0</v>
      </c>
      <c r="P1658" s="55">
        <f>IF(A1658="",0,IF(AND(F1658="C&amp;T",COUNTIFS($A$2:A1658,A1658,$F$2:F1658,"C&amp;T")=1),1,0))</f>
        <v>0</v>
      </c>
    </row>
    <row r="1659" spans="1:16" x14ac:dyDescent="0.35">
      <c r="A1659" s="54" t="str">
        <f>IFERROR(IF(INDEX(SPOT_Import!$A$1:$Z$2488,1659,'Live Data'!$C$12)="","",INDEX(SPOT_Import!$A$1:$Z$2488,1659,'Live Data'!$C$12)),"")</f>
        <v/>
      </c>
      <c r="B1659" s="54" t="str">
        <f>IFERROR(IF(INDEX(SPOT_Import!$A$1:$Z$2488,1659,'Live Data'!$C$13)="","",INDEX(SPOT_Import!$A$1:$Z$2488,1659,'Live Data'!$C$13)),"")</f>
        <v/>
      </c>
      <c r="C1659" s="54" t="str">
        <f>IFERROR(IF(INDEX(SPOT_Import!$A$1:$Z$2488,1659,'Live Data'!$C$14)="","",INDEX(SPOT_Import!$A$1:$Z$2488,1659,'Live Data'!$C$14)),"")</f>
        <v/>
      </c>
      <c r="D1659" s="54" t="str">
        <f>IFERROR(IF(INDEX(SPOT_Import!$A$1:$Z$2488,1659,'Live Data'!$C$15)="","",INDEX(SPOT_Import!$A$1:$Z$2488,1659,'Live Data'!$C$15)),"")</f>
        <v/>
      </c>
      <c r="E1659" s="54" t="str">
        <f>IFERROR(IF(INDEX(SPOT_Import!$A$1:$Z$2488,1659,'Live Data'!$C$16)="","",INDEX(SPOT_Import!$A$1:$Z$2488,1659,'Live Data'!$C$16)),"")</f>
        <v/>
      </c>
      <c r="F1659" s="54" t="str">
        <f>IFERROR(IF(INDEX(SPOT_Import!$A$1:$Z$2488,1659,'Live Data'!$C$17)="","",INDEX(SPOT_Import!$A$1:$Z$2488,1659,'Live Data'!$C$17)),"")</f>
        <v/>
      </c>
      <c r="G1659" s="54" t="str">
        <f>IFERROR(IF(INDEX(SPOT_Import!$A$1:$Z$2488,1659,'Live Data'!$C$18)="","",INDEX(SPOT_Import!$A$1:$Z$2488,1659,'Live Data'!$C$18)),"")</f>
        <v/>
      </c>
      <c r="H1659" s="54" t="str">
        <f>IFERROR(IF(INDEX(SPOT_Import!$A$1:$Z$2488,1659,'Live Data'!$C$19)="","",INDEX(SPOT_Import!$A$1:$Z$2488,1659,'Live Data'!$C$19)),"")</f>
        <v/>
      </c>
      <c r="I1659" s="54" t="str">
        <f>IFERROR(IF(INDEX(SPOT_Import!$A$1:$Z$2488,1659,'Live Data'!$C$20)="","",INDEX(SPOT_Import!$A$1:$Z$2488,1659,'Live Data'!$C$20)),"")</f>
        <v/>
      </c>
      <c r="J1659" s="54" t="str">
        <f>IFERROR(IF(INDEX(SPOT_Import!$A$1:$Z$2488,1659,'Live Data'!$C$21)="","",INDEX(SPOT_Import!$A$1:$Z$2488,1659,'Live Data'!$C$21)),"")</f>
        <v/>
      </c>
      <c r="K1659" s="54" t="str">
        <f>IFERROR(IF(INDEX(SPOT_Import!$A$1:$Z$2488,1659,'Live Data'!$C$22)="","",INDEX(SPOT_Import!$A$1:$Z$2488,1659,'Live Data'!$C$22)),"")</f>
        <v/>
      </c>
      <c r="L1659" s="55" t="str">
        <f t="shared" si="50"/>
        <v/>
      </c>
      <c r="M1659" s="55" t="str">
        <f t="shared" si="51"/>
        <v/>
      </c>
      <c r="N1659" s="55" t="str">
        <f>IF(A1659="","",IFERROR(INDEX('Cluster Map'!$A$4:$A$38,MATCH(M1659,'Cluster Map'!$B$4:$B$38,0)),"Unmapped"))</f>
        <v/>
      </c>
      <c r="O1659" s="55">
        <f>IF(A1659="",0,IF(COUNTIFS($A$2:A1659,A1659,$F$2:F1659,F1659,$L$2:L1659,L1659)=1,1,0))</f>
        <v>0</v>
      </c>
      <c r="P1659" s="55">
        <f>IF(A1659="",0,IF(AND(F1659="C&amp;T",COUNTIFS($A$2:A1659,A1659,$F$2:F1659,"C&amp;T")=1),1,0))</f>
        <v>0</v>
      </c>
    </row>
    <row r="1660" spans="1:16" x14ac:dyDescent="0.35">
      <c r="A1660" s="54" t="str">
        <f>IFERROR(IF(INDEX(SPOT_Import!$A$1:$Z$2488,1660,'Live Data'!$C$12)="","",INDEX(SPOT_Import!$A$1:$Z$2488,1660,'Live Data'!$C$12)),"")</f>
        <v/>
      </c>
      <c r="B1660" s="54" t="str">
        <f>IFERROR(IF(INDEX(SPOT_Import!$A$1:$Z$2488,1660,'Live Data'!$C$13)="","",INDEX(SPOT_Import!$A$1:$Z$2488,1660,'Live Data'!$C$13)),"")</f>
        <v/>
      </c>
      <c r="C1660" s="54" t="str">
        <f>IFERROR(IF(INDEX(SPOT_Import!$A$1:$Z$2488,1660,'Live Data'!$C$14)="","",INDEX(SPOT_Import!$A$1:$Z$2488,1660,'Live Data'!$C$14)),"")</f>
        <v/>
      </c>
      <c r="D1660" s="54" t="str">
        <f>IFERROR(IF(INDEX(SPOT_Import!$A$1:$Z$2488,1660,'Live Data'!$C$15)="","",INDEX(SPOT_Import!$A$1:$Z$2488,1660,'Live Data'!$C$15)),"")</f>
        <v/>
      </c>
      <c r="E1660" s="54" t="str">
        <f>IFERROR(IF(INDEX(SPOT_Import!$A$1:$Z$2488,1660,'Live Data'!$C$16)="","",INDEX(SPOT_Import!$A$1:$Z$2488,1660,'Live Data'!$C$16)),"")</f>
        <v/>
      </c>
      <c r="F1660" s="54" t="str">
        <f>IFERROR(IF(INDEX(SPOT_Import!$A$1:$Z$2488,1660,'Live Data'!$C$17)="","",INDEX(SPOT_Import!$A$1:$Z$2488,1660,'Live Data'!$C$17)),"")</f>
        <v/>
      </c>
      <c r="G1660" s="54" t="str">
        <f>IFERROR(IF(INDEX(SPOT_Import!$A$1:$Z$2488,1660,'Live Data'!$C$18)="","",INDEX(SPOT_Import!$A$1:$Z$2488,1660,'Live Data'!$C$18)),"")</f>
        <v/>
      </c>
      <c r="H1660" s="54" t="str">
        <f>IFERROR(IF(INDEX(SPOT_Import!$A$1:$Z$2488,1660,'Live Data'!$C$19)="","",INDEX(SPOT_Import!$A$1:$Z$2488,1660,'Live Data'!$C$19)),"")</f>
        <v/>
      </c>
      <c r="I1660" s="54" t="str">
        <f>IFERROR(IF(INDEX(SPOT_Import!$A$1:$Z$2488,1660,'Live Data'!$C$20)="","",INDEX(SPOT_Import!$A$1:$Z$2488,1660,'Live Data'!$C$20)),"")</f>
        <v/>
      </c>
      <c r="J1660" s="54" t="str">
        <f>IFERROR(IF(INDEX(SPOT_Import!$A$1:$Z$2488,1660,'Live Data'!$C$21)="","",INDEX(SPOT_Import!$A$1:$Z$2488,1660,'Live Data'!$C$21)),"")</f>
        <v/>
      </c>
      <c r="K1660" s="54" t="str">
        <f>IFERROR(IF(INDEX(SPOT_Import!$A$1:$Z$2488,1660,'Live Data'!$C$22)="","",INDEX(SPOT_Import!$A$1:$Z$2488,1660,'Live Data'!$C$22)),"")</f>
        <v/>
      </c>
      <c r="L1660" s="55" t="str">
        <f t="shared" si="50"/>
        <v/>
      </c>
      <c r="M1660" s="55" t="str">
        <f t="shared" si="51"/>
        <v/>
      </c>
      <c r="N1660" s="55" t="str">
        <f>IF(A1660="","",IFERROR(INDEX('Cluster Map'!$A$4:$A$38,MATCH(M1660,'Cluster Map'!$B$4:$B$38,0)),"Unmapped"))</f>
        <v/>
      </c>
      <c r="O1660" s="55">
        <f>IF(A1660="",0,IF(COUNTIFS($A$2:A1660,A1660,$F$2:F1660,F1660,$L$2:L1660,L1660)=1,1,0))</f>
        <v>0</v>
      </c>
      <c r="P1660" s="55">
        <f>IF(A1660="",0,IF(AND(F1660="C&amp;T",COUNTIFS($A$2:A1660,A1660,$F$2:F1660,"C&amp;T")=1),1,0))</f>
        <v>0</v>
      </c>
    </row>
    <row r="1661" spans="1:16" x14ac:dyDescent="0.35">
      <c r="A1661" s="54" t="str">
        <f>IFERROR(IF(INDEX(SPOT_Import!$A$1:$Z$2488,1661,'Live Data'!$C$12)="","",INDEX(SPOT_Import!$A$1:$Z$2488,1661,'Live Data'!$C$12)),"")</f>
        <v/>
      </c>
      <c r="B1661" s="54" t="str">
        <f>IFERROR(IF(INDEX(SPOT_Import!$A$1:$Z$2488,1661,'Live Data'!$C$13)="","",INDEX(SPOT_Import!$A$1:$Z$2488,1661,'Live Data'!$C$13)),"")</f>
        <v/>
      </c>
      <c r="C1661" s="54" t="str">
        <f>IFERROR(IF(INDEX(SPOT_Import!$A$1:$Z$2488,1661,'Live Data'!$C$14)="","",INDEX(SPOT_Import!$A$1:$Z$2488,1661,'Live Data'!$C$14)),"")</f>
        <v/>
      </c>
      <c r="D1661" s="54" t="str">
        <f>IFERROR(IF(INDEX(SPOT_Import!$A$1:$Z$2488,1661,'Live Data'!$C$15)="","",INDEX(SPOT_Import!$A$1:$Z$2488,1661,'Live Data'!$C$15)),"")</f>
        <v/>
      </c>
      <c r="E1661" s="54" t="str">
        <f>IFERROR(IF(INDEX(SPOT_Import!$A$1:$Z$2488,1661,'Live Data'!$C$16)="","",INDEX(SPOT_Import!$A$1:$Z$2488,1661,'Live Data'!$C$16)),"")</f>
        <v/>
      </c>
      <c r="F1661" s="54" t="str">
        <f>IFERROR(IF(INDEX(SPOT_Import!$A$1:$Z$2488,1661,'Live Data'!$C$17)="","",INDEX(SPOT_Import!$A$1:$Z$2488,1661,'Live Data'!$C$17)),"")</f>
        <v/>
      </c>
      <c r="G1661" s="54" t="str">
        <f>IFERROR(IF(INDEX(SPOT_Import!$A$1:$Z$2488,1661,'Live Data'!$C$18)="","",INDEX(SPOT_Import!$A$1:$Z$2488,1661,'Live Data'!$C$18)),"")</f>
        <v/>
      </c>
      <c r="H1661" s="54" t="str">
        <f>IFERROR(IF(INDEX(SPOT_Import!$A$1:$Z$2488,1661,'Live Data'!$C$19)="","",INDEX(SPOT_Import!$A$1:$Z$2488,1661,'Live Data'!$C$19)),"")</f>
        <v/>
      </c>
      <c r="I1661" s="54" t="str">
        <f>IFERROR(IF(INDEX(SPOT_Import!$A$1:$Z$2488,1661,'Live Data'!$C$20)="","",INDEX(SPOT_Import!$A$1:$Z$2488,1661,'Live Data'!$C$20)),"")</f>
        <v/>
      </c>
      <c r="J1661" s="54" t="str">
        <f>IFERROR(IF(INDEX(SPOT_Import!$A$1:$Z$2488,1661,'Live Data'!$C$21)="","",INDEX(SPOT_Import!$A$1:$Z$2488,1661,'Live Data'!$C$21)),"")</f>
        <v/>
      </c>
      <c r="K1661" s="54" t="str">
        <f>IFERROR(IF(INDEX(SPOT_Import!$A$1:$Z$2488,1661,'Live Data'!$C$22)="","",INDEX(SPOT_Import!$A$1:$Z$2488,1661,'Live Data'!$C$22)),"")</f>
        <v/>
      </c>
      <c r="L1661" s="55" t="str">
        <f t="shared" si="50"/>
        <v/>
      </c>
      <c r="M1661" s="55" t="str">
        <f t="shared" si="51"/>
        <v/>
      </c>
      <c r="N1661" s="55" t="str">
        <f>IF(A1661="","",IFERROR(INDEX('Cluster Map'!$A$4:$A$38,MATCH(M1661,'Cluster Map'!$B$4:$B$38,0)),"Unmapped"))</f>
        <v/>
      </c>
      <c r="O1661" s="55">
        <f>IF(A1661="",0,IF(COUNTIFS($A$2:A1661,A1661,$F$2:F1661,F1661,$L$2:L1661,L1661)=1,1,0))</f>
        <v>0</v>
      </c>
      <c r="P1661" s="55">
        <f>IF(A1661="",0,IF(AND(F1661="C&amp;T",COUNTIFS($A$2:A1661,A1661,$F$2:F1661,"C&amp;T")=1),1,0))</f>
        <v>0</v>
      </c>
    </row>
    <row r="1662" spans="1:16" x14ac:dyDescent="0.35">
      <c r="A1662" s="54" t="str">
        <f>IFERROR(IF(INDEX(SPOT_Import!$A$1:$Z$2488,1662,'Live Data'!$C$12)="","",INDEX(SPOT_Import!$A$1:$Z$2488,1662,'Live Data'!$C$12)),"")</f>
        <v/>
      </c>
      <c r="B1662" s="54" t="str">
        <f>IFERROR(IF(INDEX(SPOT_Import!$A$1:$Z$2488,1662,'Live Data'!$C$13)="","",INDEX(SPOT_Import!$A$1:$Z$2488,1662,'Live Data'!$C$13)),"")</f>
        <v/>
      </c>
      <c r="C1662" s="54" t="str">
        <f>IFERROR(IF(INDEX(SPOT_Import!$A$1:$Z$2488,1662,'Live Data'!$C$14)="","",INDEX(SPOT_Import!$A$1:$Z$2488,1662,'Live Data'!$C$14)),"")</f>
        <v/>
      </c>
      <c r="D1662" s="54" t="str">
        <f>IFERROR(IF(INDEX(SPOT_Import!$A$1:$Z$2488,1662,'Live Data'!$C$15)="","",INDEX(SPOT_Import!$A$1:$Z$2488,1662,'Live Data'!$C$15)),"")</f>
        <v/>
      </c>
      <c r="E1662" s="54" t="str">
        <f>IFERROR(IF(INDEX(SPOT_Import!$A$1:$Z$2488,1662,'Live Data'!$C$16)="","",INDEX(SPOT_Import!$A$1:$Z$2488,1662,'Live Data'!$C$16)),"")</f>
        <v/>
      </c>
      <c r="F1662" s="54" t="str">
        <f>IFERROR(IF(INDEX(SPOT_Import!$A$1:$Z$2488,1662,'Live Data'!$C$17)="","",INDEX(SPOT_Import!$A$1:$Z$2488,1662,'Live Data'!$C$17)),"")</f>
        <v/>
      </c>
      <c r="G1662" s="54" t="str">
        <f>IFERROR(IF(INDEX(SPOT_Import!$A$1:$Z$2488,1662,'Live Data'!$C$18)="","",INDEX(SPOT_Import!$A$1:$Z$2488,1662,'Live Data'!$C$18)),"")</f>
        <v/>
      </c>
      <c r="H1662" s="54" t="str">
        <f>IFERROR(IF(INDEX(SPOT_Import!$A$1:$Z$2488,1662,'Live Data'!$C$19)="","",INDEX(SPOT_Import!$A$1:$Z$2488,1662,'Live Data'!$C$19)),"")</f>
        <v/>
      </c>
      <c r="I1662" s="54" t="str">
        <f>IFERROR(IF(INDEX(SPOT_Import!$A$1:$Z$2488,1662,'Live Data'!$C$20)="","",INDEX(SPOT_Import!$A$1:$Z$2488,1662,'Live Data'!$C$20)),"")</f>
        <v/>
      </c>
      <c r="J1662" s="54" t="str">
        <f>IFERROR(IF(INDEX(SPOT_Import!$A$1:$Z$2488,1662,'Live Data'!$C$21)="","",INDEX(SPOT_Import!$A$1:$Z$2488,1662,'Live Data'!$C$21)),"")</f>
        <v/>
      </c>
      <c r="K1662" s="54" t="str">
        <f>IFERROR(IF(INDEX(SPOT_Import!$A$1:$Z$2488,1662,'Live Data'!$C$22)="","",INDEX(SPOT_Import!$A$1:$Z$2488,1662,'Live Data'!$C$22)),"")</f>
        <v/>
      </c>
      <c r="L1662" s="55" t="str">
        <f t="shared" si="50"/>
        <v/>
      </c>
      <c r="M1662" s="55" t="str">
        <f t="shared" si="51"/>
        <v/>
      </c>
      <c r="N1662" s="55" t="str">
        <f>IF(A1662="","",IFERROR(INDEX('Cluster Map'!$A$4:$A$38,MATCH(M1662,'Cluster Map'!$B$4:$B$38,0)),"Unmapped"))</f>
        <v/>
      </c>
      <c r="O1662" s="55">
        <f>IF(A1662="",0,IF(COUNTIFS($A$2:A1662,A1662,$F$2:F1662,F1662,$L$2:L1662,L1662)=1,1,0))</f>
        <v>0</v>
      </c>
      <c r="P1662" s="55">
        <f>IF(A1662="",0,IF(AND(F1662="C&amp;T",COUNTIFS($A$2:A1662,A1662,$F$2:F1662,"C&amp;T")=1),1,0))</f>
        <v>0</v>
      </c>
    </row>
    <row r="1663" spans="1:16" x14ac:dyDescent="0.35">
      <c r="A1663" s="54" t="str">
        <f>IFERROR(IF(INDEX(SPOT_Import!$A$1:$Z$2488,1663,'Live Data'!$C$12)="","",INDEX(SPOT_Import!$A$1:$Z$2488,1663,'Live Data'!$C$12)),"")</f>
        <v/>
      </c>
      <c r="B1663" s="54" t="str">
        <f>IFERROR(IF(INDEX(SPOT_Import!$A$1:$Z$2488,1663,'Live Data'!$C$13)="","",INDEX(SPOT_Import!$A$1:$Z$2488,1663,'Live Data'!$C$13)),"")</f>
        <v/>
      </c>
      <c r="C1663" s="54" t="str">
        <f>IFERROR(IF(INDEX(SPOT_Import!$A$1:$Z$2488,1663,'Live Data'!$C$14)="","",INDEX(SPOT_Import!$A$1:$Z$2488,1663,'Live Data'!$C$14)),"")</f>
        <v/>
      </c>
      <c r="D1663" s="54" t="str">
        <f>IFERROR(IF(INDEX(SPOT_Import!$A$1:$Z$2488,1663,'Live Data'!$C$15)="","",INDEX(SPOT_Import!$A$1:$Z$2488,1663,'Live Data'!$C$15)),"")</f>
        <v/>
      </c>
      <c r="E1663" s="54" t="str">
        <f>IFERROR(IF(INDEX(SPOT_Import!$A$1:$Z$2488,1663,'Live Data'!$C$16)="","",INDEX(SPOT_Import!$A$1:$Z$2488,1663,'Live Data'!$C$16)),"")</f>
        <v/>
      </c>
      <c r="F1663" s="54" t="str">
        <f>IFERROR(IF(INDEX(SPOT_Import!$A$1:$Z$2488,1663,'Live Data'!$C$17)="","",INDEX(SPOT_Import!$A$1:$Z$2488,1663,'Live Data'!$C$17)),"")</f>
        <v/>
      </c>
      <c r="G1663" s="54" t="str">
        <f>IFERROR(IF(INDEX(SPOT_Import!$A$1:$Z$2488,1663,'Live Data'!$C$18)="","",INDEX(SPOT_Import!$A$1:$Z$2488,1663,'Live Data'!$C$18)),"")</f>
        <v/>
      </c>
      <c r="H1663" s="54" t="str">
        <f>IFERROR(IF(INDEX(SPOT_Import!$A$1:$Z$2488,1663,'Live Data'!$C$19)="","",INDEX(SPOT_Import!$A$1:$Z$2488,1663,'Live Data'!$C$19)),"")</f>
        <v/>
      </c>
      <c r="I1663" s="54" t="str">
        <f>IFERROR(IF(INDEX(SPOT_Import!$A$1:$Z$2488,1663,'Live Data'!$C$20)="","",INDEX(SPOT_Import!$A$1:$Z$2488,1663,'Live Data'!$C$20)),"")</f>
        <v/>
      </c>
      <c r="J1663" s="54" t="str">
        <f>IFERROR(IF(INDEX(SPOT_Import!$A$1:$Z$2488,1663,'Live Data'!$C$21)="","",INDEX(SPOT_Import!$A$1:$Z$2488,1663,'Live Data'!$C$21)),"")</f>
        <v/>
      </c>
      <c r="K1663" s="54" t="str">
        <f>IFERROR(IF(INDEX(SPOT_Import!$A$1:$Z$2488,1663,'Live Data'!$C$22)="","",INDEX(SPOT_Import!$A$1:$Z$2488,1663,'Live Data'!$C$22)),"")</f>
        <v/>
      </c>
      <c r="L1663" s="55" t="str">
        <f t="shared" si="50"/>
        <v/>
      </c>
      <c r="M1663" s="55" t="str">
        <f t="shared" si="51"/>
        <v/>
      </c>
      <c r="N1663" s="55" t="str">
        <f>IF(A1663="","",IFERROR(INDEX('Cluster Map'!$A$4:$A$38,MATCH(M1663,'Cluster Map'!$B$4:$B$38,0)),"Unmapped"))</f>
        <v/>
      </c>
      <c r="O1663" s="55">
        <f>IF(A1663="",0,IF(COUNTIFS($A$2:A1663,A1663,$F$2:F1663,F1663,$L$2:L1663,L1663)=1,1,0))</f>
        <v>0</v>
      </c>
      <c r="P1663" s="55">
        <f>IF(A1663="",0,IF(AND(F1663="C&amp;T",COUNTIFS($A$2:A1663,A1663,$F$2:F1663,"C&amp;T")=1),1,0))</f>
        <v>0</v>
      </c>
    </row>
    <row r="1664" spans="1:16" x14ac:dyDescent="0.35">
      <c r="A1664" s="54" t="str">
        <f>IFERROR(IF(INDEX(SPOT_Import!$A$1:$Z$2488,1664,'Live Data'!$C$12)="","",INDEX(SPOT_Import!$A$1:$Z$2488,1664,'Live Data'!$C$12)),"")</f>
        <v/>
      </c>
      <c r="B1664" s="54" t="str">
        <f>IFERROR(IF(INDEX(SPOT_Import!$A$1:$Z$2488,1664,'Live Data'!$C$13)="","",INDEX(SPOT_Import!$A$1:$Z$2488,1664,'Live Data'!$C$13)),"")</f>
        <v/>
      </c>
      <c r="C1664" s="54" t="str">
        <f>IFERROR(IF(INDEX(SPOT_Import!$A$1:$Z$2488,1664,'Live Data'!$C$14)="","",INDEX(SPOT_Import!$A$1:$Z$2488,1664,'Live Data'!$C$14)),"")</f>
        <v/>
      </c>
      <c r="D1664" s="54" t="str">
        <f>IFERROR(IF(INDEX(SPOT_Import!$A$1:$Z$2488,1664,'Live Data'!$C$15)="","",INDEX(SPOT_Import!$A$1:$Z$2488,1664,'Live Data'!$C$15)),"")</f>
        <v/>
      </c>
      <c r="E1664" s="54" t="str">
        <f>IFERROR(IF(INDEX(SPOT_Import!$A$1:$Z$2488,1664,'Live Data'!$C$16)="","",INDEX(SPOT_Import!$A$1:$Z$2488,1664,'Live Data'!$C$16)),"")</f>
        <v/>
      </c>
      <c r="F1664" s="54" t="str">
        <f>IFERROR(IF(INDEX(SPOT_Import!$A$1:$Z$2488,1664,'Live Data'!$C$17)="","",INDEX(SPOT_Import!$A$1:$Z$2488,1664,'Live Data'!$C$17)),"")</f>
        <v/>
      </c>
      <c r="G1664" s="54" t="str">
        <f>IFERROR(IF(INDEX(SPOT_Import!$A$1:$Z$2488,1664,'Live Data'!$C$18)="","",INDEX(SPOT_Import!$A$1:$Z$2488,1664,'Live Data'!$C$18)),"")</f>
        <v/>
      </c>
      <c r="H1664" s="54" t="str">
        <f>IFERROR(IF(INDEX(SPOT_Import!$A$1:$Z$2488,1664,'Live Data'!$C$19)="","",INDEX(SPOT_Import!$A$1:$Z$2488,1664,'Live Data'!$C$19)),"")</f>
        <v/>
      </c>
      <c r="I1664" s="54" t="str">
        <f>IFERROR(IF(INDEX(SPOT_Import!$A$1:$Z$2488,1664,'Live Data'!$C$20)="","",INDEX(SPOT_Import!$A$1:$Z$2488,1664,'Live Data'!$C$20)),"")</f>
        <v/>
      </c>
      <c r="J1664" s="54" t="str">
        <f>IFERROR(IF(INDEX(SPOT_Import!$A$1:$Z$2488,1664,'Live Data'!$C$21)="","",INDEX(SPOT_Import!$A$1:$Z$2488,1664,'Live Data'!$C$21)),"")</f>
        <v/>
      </c>
      <c r="K1664" s="54" t="str">
        <f>IFERROR(IF(INDEX(SPOT_Import!$A$1:$Z$2488,1664,'Live Data'!$C$22)="","",INDEX(SPOT_Import!$A$1:$Z$2488,1664,'Live Data'!$C$22)),"")</f>
        <v/>
      </c>
      <c r="L1664" s="55" t="str">
        <f t="shared" si="50"/>
        <v/>
      </c>
      <c r="M1664" s="55" t="str">
        <f t="shared" si="51"/>
        <v/>
      </c>
      <c r="N1664" s="55" t="str">
        <f>IF(A1664="","",IFERROR(INDEX('Cluster Map'!$A$4:$A$38,MATCH(M1664,'Cluster Map'!$B$4:$B$38,0)),"Unmapped"))</f>
        <v/>
      </c>
      <c r="O1664" s="55">
        <f>IF(A1664="",0,IF(COUNTIFS($A$2:A1664,A1664,$F$2:F1664,F1664,$L$2:L1664,L1664)=1,1,0))</f>
        <v>0</v>
      </c>
      <c r="P1664" s="55">
        <f>IF(A1664="",0,IF(AND(F1664="C&amp;T",COUNTIFS($A$2:A1664,A1664,$F$2:F1664,"C&amp;T")=1),1,0))</f>
        <v>0</v>
      </c>
    </row>
    <row r="1665" spans="1:16" x14ac:dyDescent="0.35">
      <c r="A1665" s="54" t="str">
        <f>IFERROR(IF(INDEX(SPOT_Import!$A$1:$Z$2488,1665,'Live Data'!$C$12)="","",INDEX(SPOT_Import!$A$1:$Z$2488,1665,'Live Data'!$C$12)),"")</f>
        <v/>
      </c>
      <c r="B1665" s="54" t="str">
        <f>IFERROR(IF(INDEX(SPOT_Import!$A$1:$Z$2488,1665,'Live Data'!$C$13)="","",INDEX(SPOT_Import!$A$1:$Z$2488,1665,'Live Data'!$C$13)),"")</f>
        <v/>
      </c>
      <c r="C1665" s="54" t="str">
        <f>IFERROR(IF(INDEX(SPOT_Import!$A$1:$Z$2488,1665,'Live Data'!$C$14)="","",INDEX(SPOT_Import!$A$1:$Z$2488,1665,'Live Data'!$C$14)),"")</f>
        <v/>
      </c>
      <c r="D1665" s="54" t="str">
        <f>IFERROR(IF(INDEX(SPOT_Import!$A$1:$Z$2488,1665,'Live Data'!$C$15)="","",INDEX(SPOT_Import!$A$1:$Z$2488,1665,'Live Data'!$C$15)),"")</f>
        <v/>
      </c>
      <c r="E1665" s="54" t="str">
        <f>IFERROR(IF(INDEX(SPOT_Import!$A$1:$Z$2488,1665,'Live Data'!$C$16)="","",INDEX(SPOT_Import!$A$1:$Z$2488,1665,'Live Data'!$C$16)),"")</f>
        <v/>
      </c>
      <c r="F1665" s="54" t="str">
        <f>IFERROR(IF(INDEX(SPOT_Import!$A$1:$Z$2488,1665,'Live Data'!$C$17)="","",INDEX(SPOT_Import!$A$1:$Z$2488,1665,'Live Data'!$C$17)),"")</f>
        <v/>
      </c>
      <c r="G1665" s="54" t="str">
        <f>IFERROR(IF(INDEX(SPOT_Import!$A$1:$Z$2488,1665,'Live Data'!$C$18)="","",INDEX(SPOT_Import!$A$1:$Z$2488,1665,'Live Data'!$C$18)),"")</f>
        <v/>
      </c>
      <c r="H1665" s="54" t="str">
        <f>IFERROR(IF(INDEX(SPOT_Import!$A$1:$Z$2488,1665,'Live Data'!$C$19)="","",INDEX(SPOT_Import!$A$1:$Z$2488,1665,'Live Data'!$C$19)),"")</f>
        <v/>
      </c>
      <c r="I1665" s="54" t="str">
        <f>IFERROR(IF(INDEX(SPOT_Import!$A$1:$Z$2488,1665,'Live Data'!$C$20)="","",INDEX(SPOT_Import!$A$1:$Z$2488,1665,'Live Data'!$C$20)),"")</f>
        <v/>
      </c>
      <c r="J1665" s="54" t="str">
        <f>IFERROR(IF(INDEX(SPOT_Import!$A$1:$Z$2488,1665,'Live Data'!$C$21)="","",INDEX(SPOT_Import!$A$1:$Z$2488,1665,'Live Data'!$C$21)),"")</f>
        <v/>
      </c>
      <c r="K1665" s="54" t="str">
        <f>IFERROR(IF(INDEX(SPOT_Import!$A$1:$Z$2488,1665,'Live Data'!$C$22)="","",INDEX(SPOT_Import!$A$1:$Z$2488,1665,'Live Data'!$C$22)),"")</f>
        <v/>
      </c>
      <c r="L1665" s="55" t="str">
        <f t="shared" si="50"/>
        <v/>
      </c>
      <c r="M1665" s="55" t="str">
        <f t="shared" si="51"/>
        <v/>
      </c>
      <c r="N1665" s="55" t="str">
        <f>IF(A1665="","",IFERROR(INDEX('Cluster Map'!$A$4:$A$38,MATCH(M1665,'Cluster Map'!$B$4:$B$38,0)),"Unmapped"))</f>
        <v/>
      </c>
      <c r="O1665" s="55">
        <f>IF(A1665="",0,IF(COUNTIFS($A$2:A1665,A1665,$F$2:F1665,F1665,$L$2:L1665,L1665)=1,1,0))</f>
        <v>0</v>
      </c>
      <c r="P1665" s="55">
        <f>IF(A1665="",0,IF(AND(F1665="C&amp;T",COUNTIFS($A$2:A1665,A1665,$F$2:F1665,"C&amp;T")=1),1,0))</f>
        <v>0</v>
      </c>
    </row>
    <row r="1666" spans="1:16" x14ac:dyDescent="0.35">
      <c r="A1666" s="54" t="str">
        <f>IFERROR(IF(INDEX(SPOT_Import!$A$1:$Z$2488,1666,'Live Data'!$C$12)="","",INDEX(SPOT_Import!$A$1:$Z$2488,1666,'Live Data'!$C$12)),"")</f>
        <v/>
      </c>
      <c r="B1666" s="54" t="str">
        <f>IFERROR(IF(INDEX(SPOT_Import!$A$1:$Z$2488,1666,'Live Data'!$C$13)="","",INDEX(SPOT_Import!$A$1:$Z$2488,1666,'Live Data'!$C$13)),"")</f>
        <v/>
      </c>
      <c r="C1666" s="54" t="str">
        <f>IFERROR(IF(INDEX(SPOT_Import!$A$1:$Z$2488,1666,'Live Data'!$C$14)="","",INDEX(SPOT_Import!$A$1:$Z$2488,1666,'Live Data'!$C$14)),"")</f>
        <v/>
      </c>
      <c r="D1666" s="54" t="str">
        <f>IFERROR(IF(INDEX(SPOT_Import!$A$1:$Z$2488,1666,'Live Data'!$C$15)="","",INDEX(SPOT_Import!$A$1:$Z$2488,1666,'Live Data'!$C$15)),"")</f>
        <v/>
      </c>
      <c r="E1666" s="54" t="str">
        <f>IFERROR(IF(INDEX(SPOT_Import!$A$1:$Z$2488,1666,'Live Data'!$C$16)="","",INDEX(SPOT_Import!$A$1:$Z$2488,1666,'Live Data'!$C$16)),"")</f>
        <v/>
      </c>
      <c r="F1666" s="54" t="str">
        <f>IFERROR(IF(INDEX(SPOT_Import!$A$1:$Z$2488,1666,'Live Data'!$C$17)="","",INDEX(SPOT_Import!$A$1:$Z$2488,1666,'Live Data'!$C$17)),"")</f>
        <v/>
      </c>
      <c r="G1666" s="54" t="str">
        <f>IFERROR(IF(INDEX(SPOT_Import!$A$1:$Z$2488,1666,'Live Data'!$C$18)="","",INDEX(SPOT_Import!$A$1:$Z$2488,1666,'Live Data'!$C$18)),"")</f>
        <v/>
      </c>
      <c r="H1666" s="54" t="str">
        <f>IFERROR(IF(INDEX(SPOT_Import!$A$1:$Z$2488,1666,'Live Data'!$C$19)="","",INDEX(SPOT_Import!$A$1:$Z$2488,1666,'Live Data'!$C$19)),"")</f>
        <v/>
      </c>
      <c r="I1666" s="54" t="str">
        <f>IFERROR(IF(INDEX(SPOT_Import!$A$1:$Z$2488,1666,'Live Data'!$C$20)="","",INDEX(SPOT_Import!$A$1:$Z$2488,1666,'Live Data'!$C$20)),"")</f>
        <v/>
      </c>
      <c r="J1666" s="54" t="str">
        <f>IFERROR(IF(INDEX(SPOT_Import!$A$1:$Z$2488,1666,'Live Data'!$C$21)="","",INDEX(SPOT_Import!$A$1:$Z$2488,1666,'Live Data'!$C$21)),"")</f>
        <v/>
      </c>
      <c r="K1666" s="54" t="str">
        <f>IFERROR(IF(INDEX(SPOT_Import!$A$1:$Z$2488,1666,'Live Data'!$C$22)="","",INDEX(SPOT_Import!$A$1:$Z$2488,1666,'Live Data'!$C$22)),"")</f>
        <v/>
      </c>
      <c r="L1666" s="55" t="str">
        <f t="shared" ref="L1666:L1729" si="52">IF(A1666="","",IF(ISNUMBER(K1666),TEXT(K1666,"yyyy-mm"),LEFT(K1666,7)))</f>
        <v/>
      </c>
      <c r="M1666" s="55" t="str">
        <f t="shared" ref="M1666:M1729" si="53">IF(A1666="","",UPPER(TRIM(SUBSTITUTE(C1666," - ","-"))))</f>
        <v/>
      </c>
      <c r="N1666" s="55" t="str">
        <f>IF(A1666="","",IFERROR(INDEX('Cluster Map'!$A$4:$A$38,MATCH(M1666,'Cluster Map'!$B$4:$B$38,0)),"Unmapped"))</f>
        <v/>
      </c>
      <c r="O1666" s="55">
        <f>IF(A1666="",0,IF(COUNTIFS($A$2:A1666,A1666,$F$2:F1666,F1666,$L$2:L1666,L1666)=1,1,0))</f>
        <v>0</v>
      </c>
      <c r="P1666" s="55">
        <f>IF(A1666="",0,IF(AND(F1666="C&amp;T",COUNTIFS($A$2:A1666,A1666,$F$2:F1666,"C&amp;T")=1),1,0))</f>
        <v>0</v>
      </c>
    </row>
    <row r="1667" spans="1:16" x14ac:dyDescent="0.35">
      <c r="A1667" s="54" t="str">
        <f>IFERROR(IF(INDEX(SPOT_Import!$A$1:$Z$2488,1667,'Live Data'!$C$12)="","",INDEX(SPOT_Import!$A$1:$Z$2488,1667,'Live Data'!$C$12)),"")</f>
        <v/>
      </c>
      <c r="B1667" s="54" t="str">
        <f>IFERROR(IF(INDEX(SPOT_Import!$A$1:$Z$2488,1667,'Live Data'!$C$13)="","",INDEX(SPOT_Import!$A$1:$Z$2488,1667,'Live Data'!$C$13)),"")</f>
        <v/>
      </c>
      <c r="C1667" s="54" t="str">
        <f>IFERROR(IF(INDEX(SPOT_Import!$A$1:$Z$2488,1667,'Live Data'!$C$14)="","",INDEX(SPOT_Import!$A$1:$Z$2488,1667,'Live Data'!$C$14)),"")</f>
        <v/>
      </c>
      <c r="D1667" s="54" t="str">
        <f>IFERROR(IF(INDEX(SPOT_Import!$A$1:$Z$2488,1667,'Live Data'!$C$15)="","",INDEX(SPOT_Import!$A$1:$Z$2488,1667,'Live Data'!$C$15)),"")</f>
        <v/>
      </c>
      <c r="E1667" s="54" t="str">
        <f>IFERROR(IF(INDEX(SPOT_Import!$A$1:$Z$2488,1667,'Live Data'!$C$16)="","",INDEX(SPOT_Import!$A$1:$Z$2488,1667,'Live Data'!$C$16)),"")</f>
        <v/>
      </c>
      <c r="F1667" s="54" t="str">
        <f>IFERROR(IF(INDEX(SPOT_Import!$A$1:$Z$2488,1667,'Live Data'!$C$17)="","",INDEX(SPOT_Import!$A$1:$Z$2488,1667,'Live Data'!$C$17)),"")</f>
        <v/>
      </c>
      <c r="G1667" s="54" t="str">
        <f>IFERROR(IF(INDEX(SPOT_Import!$A$1:$Z$2488,1667,'Live Data'!$C$18)="","",INDEX(SPOT_Import!$A$1:$Z$2488,1667,'Live Data'!$C$18)),"")</f>
        <v/>
      </c>
      <c r="H1667" s="54" t="str">
        <f>IFERROR(IF(INDEX(SPOT_Import!$A$1:$Z$2488,1667,'Live Data'!$C$19)="","",INDEX(SPOT_Import!$A$1:$Z$2488,1667,'Live Data'!$C$19)),"")</f>
        <v/>
      </c>
      <c r="I1667" s="54" t="str">
        <f>IFERROR(IF(INDEX(SPOT_Import!$A$1:$Z$2488,1667,'Live Data'!$C$20)="","",INDEX(SPOT_Import!$A$1:$Z$2488,1667,'Live Data'!$C$20)),"")</f>
        <v/>
      </c>
      <c r="J1667" s="54" t="str">
        <f>IFERROR(IF(INDEX(SPOT_Import!$A$1:$Z$2488,1667,'Live Data'!$C$21)="","",INDEX(SPOT_Import!$A$1:$Z$2488,1667,'Live Data'!$C$21)),"")</f>
        <v/>
      </c>
      <c r="K1667" s="54" t="str">
        <f>IFERROR(IF(INDEX(SPOT_Import!$A$1:$Z$2488,1667,'Live Data'!$C$22)="","",INDEX(SPOT_Import!$A$1:$Z$2488,1667,'Live Data'!$C$22)),"")</f>
        <v/>
      </c>
      <c r="L1667" s="55" t="str">
        <f t="shared" si="52"/>
        <v/>
      </c>
      <c r="M1667" s="55" t="str">
        <f t="shared" si="53"/>
        <v/>
      </c>
      <c r="N1667" s="55" t="str">
        <f>IF(A1667="","",IFERROR(INDEX('Cluster Map'!$A$4:$A$38,MATCH(M1667,'Cluster Map'!$B$4:$B$38,0)),"Unmapped"))</f>
        <v/>
      </c>
      <c r="O1667" s="55">
        <f>IF(A1667="",0,IF(COUNTIFS($A$2:A1667,A1667,$F$2:F1667,F1667,$L$2:L1667,L1667)=1,1,0))</f>
        <v>0</v>
      </c>
      <c r="P1667" s="55">
        <f>IF(A1667="",0,IF(AND(F1667="C&amp;T",COUNTIFS($A$2:A1667,A1667,$F$2:F1667,"C&amp;T")=1),1,0))</f>
        <v>0</v>
      </c>
    </row>
    <row r="1668" spans="1:16" x14ac:dyDescent="0.35">
      <c r="A1668" s="54" t="str">
        <f>IFERROR(IF(INDEX(SPOT_Import!$A$1:$Z$2488,1668,'Live Data'!$C$12)="","",INDEX(SPOT_Import!$A$1:$Z$2488,1668,'Live Data'!$C$12)),"")</f>
        <v/>
      </c>
      <c r="B1668" s="54" t="str">
        <f>IFERROR(IF(INDEX(SPOT_Import!$A$1:$Z$2488,1668,'Live Data'!$C$13)="","",INDEX(SPOT_Import!$A$1:$Z$2488,1668,'Live Data'!$C$13)),"")</f>
        <v/>
      </c>
      <c r="C1668" s="54" t="str">
        <f>IFERROR(IF(INDEX(SPOT_Import!$A$1:$Z$2488,1668,'Live Data'!$C$14)="","",INDEX(SPOT_Import!$A$1:$Z$2488,1668,'Live Data'!$C$14)),"")</f>
        <v/>
      </c>
      <c r="D1668" s="54" t="str">
        <f>IFERROR(IF(INDEX(SPOT_Import!$A$1:$Z$2488,1668,'Live Data'!$C$15)="","",INDEX(SPOT_Import!$A$1:$Z$2488,1668,'Live Data'!$C$15)),"")</f>
        <v/>
      </c>
      <c r="E1668" s="54" t="str">
        <f>IFERROR(IF(INDEX(SPOT_Import!$A$1:$Z$2488,1668,'Live Data'!$C$16)="","",INDEX(SPOT_Import!$A$1:$Z$2488,1668,'Live Data'!$C$16)),"")</f>
        <v/>
      </c>
      <c r="F1668" s="54" t="str">
        <f>IFERROR(IF(INDEX(SPOT_Import!$A$1:$Z$2488,1668,'Live Data'!$C$17)="","",INDEX(SPOT_Import!$A$1:$Z$2488,1668,'Live Data'!$C$17)),"")</f>
        <v/>
      </c>
      <c r="G1668" s="54" t="str">
        <f>IFERROR(IF(INDEX(SPOT_Import!$A$1:$Z$2488,1668,'Live Data'!$C$18)="","",INDEX(SPOT_Import!$A$1:$Z$2488,1668,'Live Data'!$C$18)),"")</f>
        <v/>
      </c>
      <c r="H1668" s="54" t="str">
        <f>IFERROR(IF(INDEX(SPOT_Import!$A$1:$Z$2488,1668,'Live Data'!$C$19)="","",INDEX(SPOT_Import!$A$1:$Z$2488,1668,'Live Data'!$C$19)),"")</f>
        <v/>
      </c>
      <c r="I1668" s="54" t="str">
        <f>IFERROR(IF(INDEX(SPOT_Import!$A$1:$Z$2488,1668,'Live Data'!$C$20)="","",INDEX(SPOT_Import!$A$1:$Z$2488,1668,'Live Data'!$C$20)),"")</f>
        <v/>
      </c>
      <c r="J1668" s="54" t="str">
        <f>IFERROR(IF(INDEX(SPOT_Import!$A$1:$Z$2488,1668,'Live Data'!$C$21)="","",INDEX(SPOT_Import!$A$1:$Z$2488,1668,'Live Data'!$C$21)),"")</f>
        <v/>
      </c>
      <c r="K1668" s="54" t="str">
        <f>IFERROR(IF(INDEX(SPOT_Import!$A$1:$Z$2488,1668,'Live Data'!$C$22)="","",INDEX(SPOT_Import!$A$1:$Z$2488,1668,'Live Data'!$C$22)),"")</f>
        <v/>
      </c>
      <c r="L1668" s="55" t="str">
        <f t="shared" si="52"/>
        <v/>
      </c>
      <c r="M1668" s="55" t="str">
        <f t="shared" si="53"/>
        <v/>
      </c>
      <c r="N1668" s="55" t="str">
        <f>IF(A1668="","",IFERROR(INDEX('Cluster Map'!$A$4:$A$38,MATCH(M1668,'Cluster Map'!$B$4:$B$38,0)),"Unmapped"))</f>
        <v/>
      </c>
      <c r="O1668" s="55">
        <f>IF(A1668="",0,IF(COUNTIFS($A$2:A1668,A1668,$F$2:F1668,F1668,$L$2:L1668,L1668)=1,1,0))</f>
        <v>0</v>
      </c>
      <c r="P1668" s="55">
        <f>IF(A1668="",0,IF(AND(F1668="C&amp;T",COUNTIFS($A$2:A1668,A1668,$F$2:F1668,"C&amp;T")=1),1,0))</f>
        <v>0</v>
      </c>
    </row>
    <row r="1669" spans="1:16" x14ac:dyDescent="0.35">
      <c r="A1669" s="54" t="str">
        <f>IFERROR(IF(INDEX(SPOT_Import!$A$1:$Z$2488,1669,'Live Data'!$C$12)="","",INDEX(SPOT_Import!$A$1:$Z$2488,1669,'Live Data'!$C$12)),"")</f>
        <v/>
      </c>
      <c r="B1669" s="54" t="str">
        <f>IFERROR(IF(INDEX(SPOT_Import!$A$1:$Z$2488,1669,'Live Data'!$C$13)="","",INDEX(SPOT_Import!$A$1:$Z$2488,1669,'Live Data'!$C$13)),"")</f>
        <v/>
      </c>
      <c r="C1669" s="54" t="str">
        <f>IFERROR(IF(INDEX(SPOT_Import!$A$1:$Z$2488,1669,'Live Data'!$C$14)="","",INDEX(SPOT_Import!$A$1:$Z$2488,1669,'Live Data'!$C$14)),"")</f>
        <v/>
      </c>
      <c r="D1669" s="54" t="str">
        <f>IFERROR(IF(INDEX(SPOT_Import!$A$1:$Z$2488,1669,'Live Data'!$C$15)="","",INDEX(SPOT_Import!$A$1:$Z$2488,1669,'Live Data'!$C$15)),"")</f>
        <v/>
      </c>
      <c r="E1669" s="54" t="str">
        <f>IFERROR(IF(INDEX(SPOT_Import!$A$1:$Z$2488,1669,'Live Data'!$C$16)="","",INDEX(SPOT_Import!$A$1:$Z$2488,1669,'Live Data'!$C$16)),"")</f>
        <v/>
      </c>
      <c r="F1669" s="54" t="str">
        <f>IFERROR(IF(INDEX(SPOT_Import!$A$1:$Z$2488,1669,'Live Data'!$C$17)="","",INDEX(SPOT_Import!$A$1:$Z$2488,1669,'Live Data'!$C$17)),"")</f>
        <v/>
      </c>
      <c r="G1669" s="54" t="str">
        <f>IFERROR(IF(INDEX(SPOT_Import!$A$1:$Z$2488,1669,'Live Data'!$C$18)="","",INDEX(SPOT_Import!$A$1:$Z$2488,1669,'Live Data'!$C$18)),"")</f>
        <v/>
      </c>
      <c r="H1669" s="54" t="str">
        <f>IFERROR(IF(INDEX(SPOT_Import!$A$1:$Z$2488,1669,'Live Data'!$C$19)="","",INDEX(SPOT_Import!$A$1:$Z$2488,1669,'Live Data'!$C$19)),"")</f>
        <v/>
      </c>
      <c r="I1669" s="54" t="str">
        <f>IFERROR(IF(INDEX(SPOT_Import!$A$1:$Z$2488,1669,'Live Data'!$C$20)="","",INDEX(SPOT_Import!$A$1:$Z$2488,1669,'Live Data'!$C$20)),"")</f>
        <v/>
      </c>
      <c r="J1669" s="54" t="str">
        <f>IFERROR(IF(INDEX(SPOT_Import!$A$1:$Z$2488,1669,'Live Data'!$C$21)="","",INDEX(SPOT_Import!$A$1:$Z$2488,1669,'Live Data'!$C$21)),"")</f>
        <v/>
      </c>
      <c r="K1669" s="54" t="str">
        <f>IFERROR(IF(INDEX(SPOT_Import!$A$1:$Z$2488,1669,'Live Data'!$C$22)="","",INDEX(SPOT_Import!$A$1:$Z$2488,1669,'Live Data'!$C$22)),"")</f>
        <v/>
      </c>
      <c r="L1669" s="55" t="str">
        <f t="shared" si="52"/>
        <v/>
      </c>
      <c r="M1669" s="55" t="str">
        <f t="shared" si="53"/>
        <v/>
      </c>
      <c r="N1669" s="55" t="str">
        <f>IF(A1669="","",IFERROR(INDEX('Cluster Map'!$A$4:$A$38,MATCH(M1669,'Cluster Map'!$B$4:$B$38,0)),"Unmapped"))</f>
        <v/>
      </c>
      <c r="O1669" s="55">
        <f>IF(A1669="",0,IF(COUNTIFS($A$2:A1669,A1669,$F$2:F1669,F1669,$L$2:L1669,L1669)=1,1,0))</f>
        <v>0</v>
      </c>
      <c r="P1669" s="55">
        <f>IF(A1669="",0,IF(AND(F1669="C&amp;T",COUNTIFS($A$2:A1669,A1669,$F$2:F1669,"C&amp;T")=1),1,0))</f>
        <v>0</v>
      </c>
    </row>
    <row r="1670" spans="1:16" x14ac:dyDescent="0.35">
      <c r="A1670" s="54" t="str">
        <f>IFERROR(IF(INDEX(SPOT_Import!$A$1:$Z$2488,1670,'Live Data'!$C$12)="","",INDEX(SPOT_Import!$A$1:$Z$2488,1670,'Live Data'!$C$12)),"")</f>
        <v/>
      </c>
      <c r="B1670" s="54" t="str">
        <f>IFERROR(IF(INDEX(SPOT_Import!$A$1:$Z$2488,1670,'Live Data'!$C$13)="","",INDEX(SPOT_Import!$A$1:$Z$2488,1670,'Live Data'!$C$13)),"")</f>
        <v/>
      </c>
      <c r="C1670" s="54" t="str">
        <f>IFERROR(IF(INDEX(SPOT_Import!$A$1:$Z$2488,1670,'Live Data'!$C$14)="","",INDEX(SPOT_Import!$A$1:$Z$2488,1670,'Live Data'!$C$14)),"")</f>
        <v/>
      </c>
      <c r="D1670" s="54" t="str">
        <f>IFERROR(IF(INDEX(SPOT_Import!$A$1:$Z$2488,1670,'Live Data'!$C$15)="","",INDEX(SPOT_Import!$A$1:$Z$2488,1670,'Live Data'!$C$15)),"")</f>
        <v/>
      </c>
      <c r="E1670" s="54" t="str">
        <f>IFERROR(IF(INDEX(SPOT_Import!$A$1:$Z$2488,1670,'Live Data'!$C$16)="","",INDEX(SPOT_Import!$A$1:$Z$2488,1670,'Live Data'!$C$16)),"")</f>
        <v/>
      </c>
      <c r="F1670" s="54" t="str">
        <f>IFERROR(IF(INDEX(SPOT_Import!$A$1:$Z$2488,1670,'Live Data'!$C$17)="","",INDEX(SPOT_Import!$A$1:$Z$2488,1670,'Live Data'!$C$17)),"")</f>
        <v/>
      </c>
      <c r="G1670" s="54" t="str">
        <f>IFERROR(IF(INDEX(SPOT_Import!$A$1:$Z$2488,1670,'Live Data'!$C$18)="","",INDEX(SPOT_Import!$A$1:$Z$2488,1670,'Live Data'!$C$18)),"")</f>
        <v/>
      </c>
      <c r="H1670" s="54" t="str">
        <f>IFERROR(IF(INDEX(SPOT_Import!$A$1:$Z$2488,1670,'Live Data'!$C$19)="","",INDEX(SPOT_Import!$A$1:$Z$2488,1670,'Live Data'!$C$19)),"")</f>
        <v/>
      </c>
      <c r="I1670" s="54" t="str">
        <f>IFERROR(IF(INDEX(SPOT_Import!$A$1:$Z$2488,1670,'Live Data'!$C$20)="","",INDEX(SPOT_Import!$A$1:$Z$2488,1670,'Live Data'!$C$20)),"")</f>
        <v/>
      </c>
      <c r="J1670" s="54" t="str">
        <f>IFERROR(IF(INDEX(SPOT_Import!$A$1:$Z$2488,1670,'Live Data'!$C$21)="","",INDEX(SPOT_Import!$A$1:$Z$2488,1670,'Live Data'!$C$21)),"")</f>
        <v/>
      </c>
      <c r="K1670" s="54" t="str">
        <f>IFERROR(IF(INDEX(SPOT_Import!$A$1:$Z$2488,1670,'Live Data'!$C$22)="","",INDEX(SPOT_Import!$A$1:$Z$2488,1670,'Live Data'!$C$22)),"")</f>
        <v/>
      </c>
      <c r="L1670" s="55" t="str">
        <f t="shared" si="52"/>
        <v/>
      </c>
      <c r="M1670" s="55" t="str">
        <f t="shared" si="53"/>
        <v/>
      </c>
      <c r="N1670" s="55" t="str">
        <f>IF(A1670="","",IFERROR(INDEX('Cluster Map'!$A$4:$A$38,MATCH(M1670,'Cluster Map'!$B$4:$B$38,0)),"Unmapped"))</f>
        <v/>
      </c>
      <c r="O1670" s="55">
        <f>IF(A1670="",0,IF(COUNTIFS($A$2:A1670,A1670,$F$2:F1670,F1670,$L$2:L1670,L1670)=1,1,0))</f>
        <v>0</v>
      </c>
      <c r="P1670" s="55">
        <f>IF(A1670="",0,IF(AND(F1670="C&amp;T",COUNTIFS($A$2:A1670,A1670,$F$2:F1670,"C&amp;T")=1),1,0))</f>
        <v>0</v>
      </c>
    </row>
    <row r="1671" spans="1:16" x14ac:dyDescent="0.35">
      <c r="A1671" s="54" t="str">
        <f>IFERROR(IF(INDEX(SPOT_Import!$A$1:$Z$2488,1671,'Live Data'!$C$12)="","",INDEX(SPOT_Import!$A$1:$Z$2488,1671,'Live Data'!$C$12)),"")</f>
        <v/>
      </c>
      <c r="B1671" s="54" t="str">
        <f>IFERROR(IF(INDEX(SPOT_Import!$A$1:$Z$2488,1671,'Live Data'!$C$13)="","",INDEX(SPOT_Import!$A$1:$Z$2488,1671,'Live Data'!$C$13)),"")</f>
        <v/>
      </c>
      <c r="C1671" s="54" t="str">
        <f>IFERROR(IF(INDEX(SPOT_Import!$A$1:$Z$2488,1671,'Live Data'!$C$14)="","",INDEX(SPOT_Import!$A$1:$Z$2488,1671,'Live Data'!$C$14)),"")</f>
        <v/>
      </c>
      <c r="D1671" s="54" t="str">
        <f>IFERROR(IF(INDEX(SPOT_Import!$A$1:$Z$2488,1671,'Live Data'!$C$15)="","",INDEX(SPOT_Import!$A$1:$Z$2488,1671,'Live Data'!$C$15)),"")</f>
        <v/>
      </c>
      <c r="E1671" s="54" t="str">
        <f>IFERROR(IF(INDEX(SPOT_Import!$A$1:$Z$2488,1671,'Live Data'!$C$16)="","",INDEX(SPOT_Import!$A$1:$Z$2488,1671,'Live Data'!$C$16)),"")</f>
        <v/>
      </c>
      <c r="F1671" s="54" t="str">
        <f>IFERROR(IF(INDEX(SPOT_Import!$A$1:$Z$2488,1671,'Live Data'!$C$17)="","",INDEX(SPOT_Import!$A$1:$Z$2488,1671,'Live Data'!$C$17)),"")</f>
        <v/>
      </c>
      <c r="G1671" s="54" t="str">
        <f>IFERROR(IF(INDEX(SPOT_Import!$A$1:$Z$2488,1671,'Live Data'!$C$18)="","",INDEX(SPOT_Import!$A$1:$Z$2488,1671,'Live Data'!$C$18)),"")</f>
        <v/>
      </c>
      <c r="H1671" s="54" t="str">
        <f>IFERROR(IF(INDEX(SPOT_Import!$A$1:$Z$2488,1671,'Live Data'!$C$19)="","",INDEX(SPOT_Import!$A$1:$Z$2488,1671,'Live Data'!$C$19)),"")</f>
        <v/>
      </c>
      <c r="I1671" s="54" t="str">
        <f>IFERROR(IF(INDEX(SPOT_Import!$A$1:$Z$2488,1671,'Live Data'!$C$20)="","",INDEX(SPOT_Import!$A$1:$Z$2488,1671,'Live Data'!$C$20)),"")</f>
        <v/>
      </c>
      <c r="J1671" s="54" t="str">
        <f>IFERROR(IF(INDEX(SPOT_Import!$A$1:$Z$2488,1671,'Live Data'!$C$21)="","",INDEX(SPOT_Import!$A$1:$Z$2488,1671,'Live Data'!$C$21)),"")</f>
        <v/>
      </c>
      <c r="K1671" s="54" t="str">
        <f>IFERROR(IF(INDEX(SPOT_Import!$A$1:$Z$2488,1671,'Live Data'!$C$22)="","",INDEX(SPOT_Import!$A$1:$Z$2488,1671,'Live Data'!$C$22)),"")</f>
        <v/>
      </c>
      <c r="L1671" s="55" t="str">
        <f t="shared" si="52"/>
        <v/>
      </c>
      <c r="M1671" s="55" t="str">
        <f t="shared" si="53"/>
        <v/>
      </c>
      <c r="N1671" s="55" t="str">
        <f>IF(A1671="","",IFERROR(INDEX('Cluster Map'!$A$4:$A$38,MATCH(M1671,'Cluster Map'!$B$4:$B$38,0)),"Unmapped"))</f>
        <v/>
      </c>
      <c r="O1671" s="55">
        <f>IF(A1671="",0,IF(COUNTIFS($A$2:A1671,A1671,$F$2:F1671,F1671,$L$2:L1671,L1671)=1,1,0))</f>
        <v>0</v>
      </c>
      <c r="P1671" s="55">
        <f>IF(A1671="",0,IF(AND(F1671="C&amp;T",COUNTIFS($A$2:A1671,A1671,$F$2:F1671,"C&amp;T")=1),1,0))</f>
        <v>0</v>
      </c>
    </row>
    <row r="1672" spans="1:16" x14ac:dyDescent="0.35">
      <c r="A1672" s="54" t="str">
        <f>IFERROR(IF(INDEX(SPOT_Import!$A$1:$Z$2488,1672,'Live Data'!$C$12)="","",INDEX(SPOT_Import!$A$1:$Z$2488,1672,'Live Data'!$C$12)),"")</f>
        <v/>
      </c>
      <c r="B1672" s="54" t="str">
        <f>IFERROR(IF(INDEX(SPOT_Import!$A$1:$Z$2488,1672,'Live Data'!$C$13)="","",INDEX(SPOT_Import!$A$1:$Z$2488,1672,'Live Data'!$C$13)),"")</f>
        <v/>
      </c>
      <c r="C1672" s="54" t="str">
        <f>IFERROR(IF(INDEX(SPOT_Import!$A$1:$Z$2488,1672,'Live Data'!$C$14)="","",INDEX(SPOT_Import!$A$1:$Z$2488,1672,'Live Data'!$C$14)),"")</f>
        <v/>
      </c>
      <c r="D1672" s="54" t="str">
        <f>IFERROR(IF(INDEX(SPOT_Import!$A$1:$Z$2488,1672,'Live Data'!$C$15)="","",INDEX(SPOT_Import!$A$1:$Z$2488,1672,'Live Data'!$C$15)),"")</f>
        <v/>
      </c>
      <c r="E1672" s="54" t="str">
        <f>IFERROR(IF(INDEX(SPOT_Import!$A$1:$Z$2488,1672,'Live Data'!$C$16)="","",INDEX(SPOT_Import!$A$1:$Z$2488,1672,'Live Data'!$C$16)),"")</f>
        <v/>
      </c>
      <c r="F1672" s="54" t="str">
        <f>IFERROR(IF(INDEX(SPOT_Import!$A$1:$Z$2488,1672,'Live Data'!$C$17)="","",INDEX(SPOT_Import!$A$1:$Z$2488,1672,'Live Data'!$C$17)),"")</f>
        <v/>
      </c>
      <c r="G1672" s="54" t="str">
        <f>IFERROR(IF(INDEX(SPOT_Import!$A$1:$Z$2488,1672,'Live Data'!$C$18)="","",INDEX(SPOT_Import!$A$1:$Z$2488,1672,'Live Data'!$C$18)),"")</f>
        <v/>
      </c>
      <c r="H1672" s="54" t="str">
        <f>IFERROR(IF(INDEX(SPOT_Import!$A$1:$Z$2488,1672,'Live Data'!$C$19)="","",INDEX(SPOT_Import!$A$1:$Z$2488,1672,'Live Data'!$C$19)),"")</f>
        <v/>
      </c>
      <c r="I1672" s="54" t="str">
        <f>IFERROR(IF(INDEX(SPOT_Import!$A$1:$Z$2488,1672,'Live Data'!$C$20)="","",INDEX(SPOT_Import!$A$1:$Z$2488,1672,'Live Data'!$C$20)),"")</f>
        <v/>
      </c>
      <c r="J1672" s="54" t="str">
        <f>IFERROR(IF(INDEX(SPOT_Import!$A$1:$Z$2488,1672,'Live Data'!$C$21)="","",INDEX(SPOT_Import!$A$1:$Z$2488,1672,'Live Data'!$C$21)),"")</f>
        <v/>
      </c>
      <c r="K1672" s="54" t="str">
        <f>IFERROR(IF(INDEX(SPOT_Import!$A$1:$Z$2488,1672,'Live Data'!$C$22)="","",INDEX(SPOT_Import!$A$1:$Z$2488,1672,'Live Data'!$C$22)),"")</f>
        <v/>
      </c>
      <c r="L1672" s="55" t="str">
        <f t="shared" si="52"/>
        <v/>
      </c>
      <c r="M1672" s="55" t="str">
        <f t="shared" si="53"/>
        <v/>
      </c>
      <c r="N1672" s="55" t="str">
        <f>IF(A1672="","",IFERROR(INDEX('Cluster Map'!$A$4:$A$38,MATCH(M1672,'Cluster Map'!$B$4:$B$38,0)),"Unmapped"))</f>
        <v/>
      </c>
      <c r="O1672" s="55">
        <f>IF(A1672="",0,IF(COUNTIFS($A$2:A1672,A1672,$F$2:F1672,F1672,$L$2:L1672,L1672)=1,1,0))</f>
        <v>0</v>
      </c>
      <c r="P1672" s="55">
        <f>IF(A1672="",0,IF(AND(F1672="C&amp;T",COUNTIFS($A$2:A1672,A1672,$F$2:F1672,"C&amp;T")=1),1,0))</f>
        <v>0</v>
      </c>
    </row>
    <row r="1673" spans="1:16" x14ac:dyDescent="0.35">
      <c r="A1673" s="54" t="str">
        <f>IFERROR(IF(INDEX(SPOT_Import!$A$1:$Z$2488,1673,'Live Data'!$C$12)="","",INDEX(SPOT_Import!$A$1:$Z$2488,1673,'Live Data'!$C$12)),"")</f>
        <v/>
      </c>
      <c r="B1673" s="54" t="str">
        <f>IFERROR(IF(INDEX(SPOT_Import!$A$1:$Z$2488,1673,'Live Data'!$C$13)="","",INDEX(SPOT_Import!$A$1:$Z$2488,1673,'Live Data'!$C$13)),"")</f>
        <v/>
      </c>
      <c r="C1673" s="54" t="str">
        <f>IFERROR(IF(INDEX(SPOT_Import!$A$1:$Z$2488,1673,'Live Data'!$C$14)="","",INDEX(SPOT_Import!$A$1:$Z$2488,1673,'Live Data'!$C$14)),"")</f>
        <v/>
      </c>
      <c r="D1673" s="54" t="str">
        <f>IFERROR(IF(INDEX(SPOT_Import!$A$1:$Z$2488,1673,'Live Data'!$C$15)="","",INDEX(SPOT_Import!$A$1:$Z$2488,1673,'Live Data'!$C$15)),"")</f>
        <v/>
      </c>
      <c r="E1673" s="54" t="str">
        <f>IFERROR(IF(INDEX(SPOT_Import!$A$1:$Z$2488,1673,'Live Data'!$C$16)="","",INDEX(SPOT_Import!$A$1:$Z$2488,1673,'Live Data'!$C$16)),"")</f>
        <v/>
      </c>
      <c r="F1673" s="54" t="str">
        <f>IFERROR(IF(INDEX(SPOT_Import!$A$1:$Z$2488,1673,'Live Data'!$C$17)="","",INDEX(SPOT_Import!$A$1:$Z$2488,1673,'Live Data'!$C$17)),"")</f>
        <v/>
      </c>
      <c r="G1673" s="54" t="str">
        <f>IFERROR(IF(INDEX(SPOT_Import!$A$1:$Z$2488,1673,'Live Data'!$C$18)="","",INDEX(SPOT_Import!$A$1:$Z$2488,1673,'Live Data'!$C$18)),"")</f>
        <v/>
      </c>
      <c r="H1673" s="54" t="str">
        <f>IFERROR(IF(INDEX(SPOT_Import!$A$1:$Z$2488,1673,'Live Data'!$C$19)="","",INDEX(SPOT_Import!$A$1:$Z$2488,1673,'Live Data'!$C$19)),"")</f>
        <v/>
      </c>
      <c r="I1673" s="54" t="str">
        <f>IFERROR(IF(INDEX(SPOT_Import!$A$1:$Z$2488,1673,'Live Data'!$C$20)="","",INDEX(SPOT_Import!$A$1:$Z$2488,1673,'Live Data'!$C$20)),"")</f>
        <v/>
      </c>
      <c r="J1673" s="54" t="str">
        <f>IFERROR(IF(INDEX(SPOT_Import!$A$1:$Z$2488,1673,'Live Data'!$C$21)="","",INDEX(SPOT_Import!$A$1:$Z$2488,1673,'Live Data'!$C$21)),"")</f>
        <v/>
      </c>
      <c r="K1673" s="54" t="str">
        <f>IFERROR(IF(INDEX(SPOT_Import!$A$1:$Z$2488,1673,'Live Data'!$C$22)="","",INDEX(SPOT_Import!$A$1:$Z$2488,1673,'Live Data'!$C$22)),"")</f>
        <v/>
      </c>
      <c r="L1673" s="55" t="str">
        <f t="shared" si="52"/>
        <v/>
      </c>
      <c r="M1673" s="55" t="str">
        <f t="shared" si="53"/>
        <v/>
      </c>
      <c r="N1673" s="55" t="str">
        <f>IF(A1673="","",IFERROR(INDEX('Cluster Map'!$A$4:$A$38,MATCH(M1673,'Cluster Map'!$B$4:$B$38,0)),"Unmapped"))</f>
        <v/>
      </c>
      <c r="O1673" s="55">
        <f>IF(A1673="",0,IF(COUNTIFS($A$2:A1673,A1673,$F$2:F1673,F1673,$L$2:L1673,L1673)=1,1,0))</f>
        <v>0</v>
      </c>
      <c r="P1673" s="55">
        <f>IF(A1673="",0,IF(AND(F1673="C&amp;T",COUNTIFS($A$2:A1673,A1673,$F$2:F1673,"C&amp;T")=1),1,0))</f>
        <v>0</v>
      </c>
    </row>
    <row r="1674" spans="1:16" x14ac:dyDescent="0.35">
      <c r="A1674" s="54" t="str">
        <f>IFERROR(IF(INDEX(SPOT_Import!$A$1:$Z$2488,1674,'Live Data'!$C$12)="","",INDEX(SPOT_Import!$A$1:$Z$2488,1674,'Live Data'!$C$12)),"")</f>
        <v/>
      </c>
      <c r="B1674" s="54" t="str">
        <f>IFERROR(IF(INDEX(SPOT_Import!$A$1:$Z$2488,1674,'Live Data'!$C$13)="","",INDEX(SPOT_Import!$A$1:$Z$2488,1674,'Live Data'!$C$13)),"")</f>
        <v/>
      </c>
      <c r="C1674" s="54" t="str">
        <f>IFERROR(IF(INDEX(SPOT_Import!$A$1:$Z$2488,1674,'Live Data'!$C$14)="","",INDEX(SPOT_Import!$A$1:$Z$2488,1674,'Live Data'!$C$14)),"")</f>
        <v/>
      </c>
      <c r="D1674" s="54" t="str">
        <f>IFERROR(IF(INDEX(SPOT_Import!$A$1:$Z$2488,1674,'Live Data'!$C$15)="","",INDEX(SPOT_Import!$A$1:$Z$2488,1674,'Live Data'!$C$15)),"")</f>
        <v/>
      </c>
      <c r="E1674" s="54" t="str">
        <f>IFERROR(IF(INDEX(SPOT_Import!$A$1:$Z$2488,1674,'Live Data'!$C$16)="","",INDEX(SPOT_Import!$A$1:$Z$2488,1674,'Live Data'!$C$16)),"")</f>
        <v/>
      </c>
      <c r="F1674" s="54" t="str">
        <f>IFERROR(IF(INDEX(SPOT_Import!$A$1:$Z$2488,1674,'Live Data'!$C$17)="","",INDEX(SPOT_Import!$A$1:$Z$2488,1674,'Live Data'!$C$17)),"")</f>
        <v/>
      </c>
      <c r="G1674" s="54" t="str">
        <f>IFERROR(IF(INDEX(SPOT_Import!$A$1:$Z$2488,1674,'Live Data'!$C$18)="","",INDEX(SPOT_Import!$A$1:$Z$2488,1674,'Live Data'!$C$18)),"")</f>
        <v/>
      </c>
      <c r="H1674" s="54" t="str">
        <f>IFERROR(IF(INDEX(SPOT_Import!$A$1:$Z$2488,1674,'Live Data'!$C$19)="","",INDEX(SPOT_Import!$A$1:$Z$2488,1674,'Live Data'!$C$19)),"")</f>
        <v/>
      </c>
      <c r="I1674" s="54" t="str">
        <f>IFERROR(IF(INDEX(SPOT_Import!$A$1:$Z$2488,1674,'Live Data'!$C$20)="","",INDEX(SPOT_Import!$A$1:$Z$2488,1674,'Live Data'!$C$20)),"")</f>
        <v/>
      </c>
      <c r="J1674" s="54" t="str">
        <f>IFERROR(IF(INDEX(SPOT_Import!$A$1:$Z$2488,1674,'Live Data'!$C$21)="","",INDEX(SPOT_Import!$A$1:$Z$2488,1674,'Live Data'!$C$21)),"")</f>
        <v/>
      </c>
      <c r="K1674" s="54" t="str">
        <f>IFERROR(IF(INDEX(SPOT_Import!$A$1:$Z$2488,1674,'Live Data'!$C$22)="","",INDEX(SPOT_Import!$A$1:$Z$2488,1674,'Live Data'!$C$22)),"")</f>
        <v/>
      </c>
      <c r="L1674" s="55" t="str">
        <f t="shared" si="52"/>
        <v/>
      </c>
      <c r="M1674" s="55" t="str">
        <f t="shared" si="53"/>
        <v/>
      </c>
      <c r="N1674" s="55" t="str">
        <f>IF(A1674="","",IFERROR(INDEX('Cluster Map'!$A$4:$A$38,MATCH(M1674,'Cluster Map'!$B$4:$B$38,0)),"Unmapped"))</f>
        <v/>
      </c>
      <c r="O1674" s="55">
        <f>IF(A1674="",0,IF(COUNTIFS($A$2:A1674,A1674,$F$2:F1674,F1674,$L$2:L1674,L1674)=1,1,0))</f>
        <v>0</v>
      </c>
      <c r="P1674" s="55">
        <f>IF(A1674="",0,IF(AND(F1674="C&amp;T",COUNTIFS($A$2:A1674,A1674,$F$2:F1674,"C&amp;T")=1),1,0))</f>
        <v>0</v>
      </c>
    </row>
    <row r="1675" spans="1:16" x14ac:dyDescent="0.35">
      <c r="A1675" s="54" t="str">
        <f>IFERROR(IF(INDEX(SPOT_Import!$A$1:$Z$2488,1675,'Live Data'!$C$12)="","",INDEX(SPOT_Import!$A$1:$Z$2488,1675,'Live Data'!$C$12)),"")</f>
        <v/>
      </c>
      <c r="B1675" s="54" t="str">
        <f>IFERROR(IF(INDEX(SPOT_Import!$A$1:$Z$2488,1675,'Live Data'!$C$13)="","",INDEX(SPOT_Import!$A$1:$Z$2488,1675,'Live Data'!$C$13)),"")</f>
        <v/>
      </c>
      <c r="C1675" s="54" t="str">
        <f>IFERROR(IF(INDEX(SPOT_Import!$A$1:$Z$2488,1675,'Live Data'!$C$14)="","",INDEX(SPOT_Import!$A$1:$Z$2488,1675,'Live Data'!$C$14)),"")</f>
        <v/>
      </c>
      <c r="D1675" s="54" t="str">
        <f>IFERROR(IF(INDEX(SPOT_Import!$A$1:$Z$2488,1675,'Live Data'!$C$15)="","",INDEX(SPOT_Import!$A$1:$Z$2488,1675,'Live Data'!$C$15)),"")</f>
        <v/>
      </c>
      <c r="E1675" s="54" t="str">
        <f>IFERROR(IF(INDEX(SPOT_Import!$A$1:$Z$2488,1675,'Live Data'!$C$16)="","",INDEX(SPOT_Import!$A$1:$Z$2488,1675,'Live Data'!$C$16)),"")</f>
        <v/>
      </c>
      <c r="F1675" s="54" t="str">
        <f>IFERROR(IF(INDEX(SPOT_Import!$A$1:$Z$2488,1675,'Live Data'!$C$17)="","",INDEX(SPOT_Import!$A$1:$Z$2488,1675,'Live Data'!$C$17)),"")</f>
        <v/>
      </c>
      <c r="G1675" s="54" t="str">
        <f>IFERROR(IF(INDEX(SPOT_Import!$A$1:$Z$2488,1675,'Live Data'!$C$18)="","",INDEX(SPOT_Import!$A$1:$Z$2488,1675,'Live Data'!$C$18)),"")</f>
        <v/>
      </c>
      <c r="H1675" s="54" t="str">
        <f>IFERROR(IF(INDEX(SPOT_Import!$A$1:$Z$2488,1675,'Live Data'!$C$19)="","",INDEX(SPOT_Import!$A$1:$Z$2488,1675,'Live Data'!$C$19)),"")</f>
        <v/>
      </c>
      <c r="I1675" s="54" t="str">
        <f>IFERROR(IF(INDEX(SPOT_Import!$A$1:$Z$2488,1675,'Live Data'!$C$20)="","",INDEX(SPOT_Import!$A$1:$Z$2488,1675,'Live Data'!$C$20)),"")</f>
        <v/>
      </c>
      <c r="J1675" s="54" t="str">
        <f>IFERROR(IF(INDEX(SPOT_Import!$A$1:$Z$2488,1675,'Live Data'!$C$21)="","",INDEX(SPOT_Import!$A$1:$Z$2488,1675,'Live Data'!$C$21)),"")</f>
        <v/>
      </c>
      <c r="K1675" s="54" t="str">
        <f>IFERROR(IF(INDEX(SPOT_Import!$A$1:$Z$2488,1675,'Live Data'!$C$22)="","",INDEX(SPOT_Import!$A$1:$Z$2488,1675,'Live Data'!$C$22)),"")</f>
        <v/>
      </c>
      <c r="L1675" s="55" t="str">
        <f t="shared" si="52"/>
        <v/>
      </c>
      <c r="M1675" s="55" t="str">
        <f t="shared" si="53"/>
        <v/>
      </c>
      <c r="N1675" s="55" t="str">
        <f>IF(A1675="","",IFERROR(INDEX('Cluster Map'!$A$4:$A$38,MATCH(M1675,'Cluster Map'!$B$4:$B$38,0)),"Unmapped"))</f>
        <v/>
      </c>
      <c r="O1675" s="55">
        <f>IF(A1675="",0,IF(COUNTIFS($A$2:A1675,A1675,$F$2:F1675,F1675,$L$2:L1675,L1675)=1,1,0))</f>
        <v>0</v>
      </c>
      <c r="P1675" s="55">
        <f>IF(A1675="",0,IF(AND(F1675="C&amp;T",COUNTIFS($A$2:A1675,A1675,$F$2:F1675,"C&amp;T")=1),1,0))</f>
        <v>0</v>
      </c>
    </row>
    <row r="1676" spans="1:16" x14ac:dyDescent="0.35">
      <c r="A1676" s="54" t="str">
        <f>IFERROR(IF(INDEX(SPOT_Import!$A$1:$Z$2488,1676,'Live Data'!$C$12)="","",INDEX(SPOT_Import!$A$1:$Z$2488,1676,'Live Data'!$C$12)),"")</f>
        <v/>
      </c>
      <c r="B1676" s="54" t="str">
        <f>IFERROR(IF(INDEX(SPOT_Import!$A$1:$Z$2488,1676,'Live Data'!$C$13)="","",INDEX(SPOT_Import!$A$1:$Z$2488,1676,'Live Data'!$C$13)),"")</f>
        <v/>
      </c>
      <c r="C1676" s="54" t="str">
        <f>IFERROR(IF(INDEX(SPOT_Import!$A$1:$Z$2488,1676,'Live Data'!$C$14)="","",INDEX(SPOT_Import!$A$1:$Z$2488,1676,'Live Data'!$C$14)),"")</f>
        <v/>
      </c>
      <c r="D1676" s="54" t="str">
        <f>IFERROR(IF(INDEX(SPOT_Import!$A$1:$Z$2488,1676,'Live Data'!$C$15)="","",INDEX(SPOT_Import!$A$1:$Z$2488,1676,'Live Data'!$C$15)),"")</f>
        <v/>
      </c>
      <c r="E1676" s="54" t="str">
        <f>IFERROR(IF(INDEX(SPOT_Import!$A$1:$Z$2488,1676,'Live Data'!$C$16)="","",INDEX(SPOT_Import!$A$1:$Z$2488,1676,'Live Data'!$C$16)),"")</f>
        <v/>
      </c>
      <c r="F1676" s="54" t="str">
        <f>IFERROR(IF(INDEX(SPOT_Import!$A$1:$Z$2488,1676,'Live Data'!$C$17)="","",INDEX(SPOT_Import!$A$1:$Z$2488,1676,'Live Data'!$C$17)),"")</f>
        <v/>
      </c>
      <c r="G1676" s="54" t="str">
        <f>IFERROR(IF(INDEX(SPOT_Import!$A$1:$Z$2488,1676,'Live Data'!$C$18)="","",INDEX(SPOT_Import!$A$1:$Z$2488,1676,'Live Data'!$C$18)),"")</f>
        <v/>
      </c>
      <c r="H1676" s="54" t="str">
        <f>IFERROR(IF(INDEX(SPOT_Import!$A$1:$Z$2488,1676,'Live Data'!$C$19)="","",INDEX(SPOT_Import!$A$1:$Z$2488,1676,'Live Data'!$C$19)),"")</f>
        <v/>
      </c>
      <c r="I1676" s="54" t="str">
        <f>IFERROR(IF(INDEX(SPOT_Import!$A$1:$Z$2488,1676,'Live Data'!$C$20)="","",INDEX(SPOT_Import!$A$1:$Z$2488,1676,'Live Data'!$C$20)),"")</f>
        <v/>
      </c>
      <c r="J1676" s="54" t="str">
        <f>IFERROR(IF(INDEX(SPOT_Import!$A$1:$Z$2488,1676,'Live Data'!$C$21)="","",INDEX(SPOT_Import!$A$1:$Z$2488,1676,'Live Data'!$C$21)),"")</f>
        <v/>
      </c>
      <c r="K1676" s="54" t="str">
        <f>IFERROR(IF(INDEX(SPOT_Import!$A$1:$Z$2488,1676,'Live Data'!$C$22)="","",INDEX(SPOT_Import!$A$1:$Z$2488,1676,'Live Data'!$C$22)),"")</f>
        <v/>
      </c>
      <c r="L1676" s="55" t="str">
        <f t="shared" si="52"/>
        <v/>
      </c>
      <c r="M1676" s="55" t="str">
        <f t="shared" si="53"/>
        <v/>
      </c>
      <c r="N1676" s="55" t="str">
        <f>IF(A1676="","",IFERROR(INDEX('Cluster Map'!$A$4:$A$38,MATCH(M1676,'Cluster Map'!$B$4:$B$38,0)),"Unmapped"))</f>
        <v/>
      </c>
      <c r="O1676" s="55">
        <f>IF(A1676="",0,IF(COUNTIFS($A$2:A1676,A1676,$F$2:F1676,F1676,$L$2:L1676,L1676)=1,1,0))</f>
        <v>0</v>
      </c>
      <c r="P1676" s="55">
        <f>IF(A1676="",0,IF(AND(F1676="C&amp;T",COUNTIFS($A$2:A1676,A1676,$F$2:F1676,"C&amp;T")=1),1,0))</f>
        <v>0</v>
      </c>
    </row>
    <row r="1677" spans="1:16" x14ac:dyDescent="0.35">
      <c r="A1677" s="54" t="str">
        <f>IFERROR(IF(INDEX(SPOT_Import!$A$1:$Z$2488,1677,'Live Data'!$C$12)="","",INDEX(SPOT_Import!$A$1:$Z$2488,1677,'Live Data'!$C$12)),"")</f>
        <v/>
      </c>
      <c r="B1677" s="54" t="str">
        <f>IFERROR(IF(INDEX(SPOT_Import!$A$1:$Z$2488,1677,'Live Data'!$C$13)="","",INDEX(SPOT_Import!$A$1:$Z$2488,1677,'Live Data'!$C$13)),"")</f>
        <v/>
      </c>
      <c r="C1677" s="54" t="str">
        <f>IFERROR(IF(INDEX(SPOT_Import!$A$1:$Z$2488,1677,'Live Data'!$C$14)="","",INDEX(SPOT_Import!$A$1:$Z$2488,1677,'Live Data'!$C$14)),"")</f>
        <v/>
      </c>
      <c r="D1677" s="54" t="str">
        <f>IFERROR(IF(INDEX(SPOT_Import!$A$1:$Z$2488,1677,'Live Data'!$C$15)="","",INDEX(SPOT_Import!$A$1:$Z$2488,1677,'Live Data'!$C$15)),"")</f>
        <v/>
      </c>
      <c r="E1677" s="54" t="str">
        <f>IFERROR(IF(INDEX(SPOT_Import!$A$1:$Z$2488,1677,'Live Data'!$C$16)="","",INDEX(SPOT_Import!$A$1:$Z$2488,1677,'Live Data'!$C$16)),"")</f>
        <v/>
      </c>
      <c r="F1677" s="54" t="str">
        <f>IFERROR(IF(INDEX(SPOT_Import!$A$1:$Z$2488,1677,'Live Data'!$C$17)="","",INDEX(SPOT_Import!$A$1:$Z$2488,1677,'Live Data'!$C$17)),"")</f>
        <v/>
      </c>
      <c r="G1677" s="54" t="str">
        <f>IFERROR(IF(INDEX(SPOT_Import!$A$1:$Z$2488,1677,'Live Data'!$C$18)="","",INDEX(SPOT_Import!$A$1:$Z$2488,1677,'Live Data'!$C$18)),"")</f>
        <v/>
      </c>
      <c r="H1677" s="54" t="str">
        <f>IFERROR(IF(INDEX(SPOT_Import!$A$1:$Z$2488,1677,'Live Data'!$C$19)="","",INDEX(SPOT_Import!$A$1:$Z$2488,1677,'Live Data'!$C$19)),"")</f>
        <v/>
      </c>
      <c r="I1677" s="54" t="str">
        <f>IFERROR(IF(INDEX(SPOT_Import!$A$1:$Z$2488,1677,'Live Data'!$C$20)="","",INDEX(SPOT_Import!$A$1:$Z$2488,1677,'Live Data'!$C$20)),"")</f>
        <v/>
      </c>
      <c r="J1677" s="54" t="str">
        <f>IFERROR(IF(INDEX(SPOT_Import!$A$1:$Z$2488,1677,'Live Data'!$C$21)="","",INDEX(SPOT_Import!$A$1:$Z$2488,1677,'Live Data'!$C$21)),"")</f>
        <v/>
      </c>
      <c r="K1677" s="54" t="str">
        <f>IFERROR(IF(INDEX(SPOT_Import!$A$1:$Z$2488,1677,'Live Data'!$C$22)="","",INDEX(SPOT_Import!$A$1:$Z$2488,1677,'Live Data'!$C$22)),"")</f>
        <v/>
      </c>
      <c r="L1677" s="55" t="str">
        <f t="shared" si="52"/>
        <v/>
      </c>
      <c r="M1677" s="55" t="str">
        <f t="shared" si="53"/>
        <v/>
      </c>
      <c r="N1677" s="55" t="str">
        <f>IF(A1677="","",IFERROR(INDEX('Cluster Map'!$A$4:$A$38,MATCH(M1677,'Cluster Map'!$B$4:$B$38,0)),"Unmapped"))</f>
        <v/>
      </c>
      <c r="O1677" s="55">
        <f>IF(A1677="",0,IF(COUNTIFS($A$2:A1677,A1677,$F$2:F1677,F1677,$L$2:L1677,L1677)=1,1,0))</f>
        <v>0</v>
      </c>
      <c r="P1677" s="55">
        <f>IF(A1677="",0,IF(AND(F1677="C&amp;T",COUNTIFS($A$2:A1677,A1677,$F$2:F1677,"C&amp;T")=1),1,0))</f>
        <v>0</v>
      </c>
    </row>
    <row r="1678" spans="1:16" x14ac:dyDescent="0.35">
      <c r="A1678" s="54" t="str">
        <f>IFERROR(IF(INDEX(SPOT_Import!$A$1:$Z$2488,1678,'Live Data'!$C$12)="","",INDEX(SPOT_Import!$A$1:$Z$2488,1678,'Live Data'!$C$12)),"")</f>
        <v/>
      </c>
      <c r="B1678" s="54" t="str">
        <f>IFERROR(IF(INDEX(SPOT_Import!$A$1:$Z$2488,1678,'Live Data'!$C$13)="","",INDEX(SPOT_Import!$A$1:$Z$2488,1678,'Live Data'!$C$13)),"")</f>
        <v/>
      </c>
      <c r="C1678" s="54" t="str">
        <f>IFERROR(IF(INDEX(SPOT_Import!$A$1:$Z$2488,1678,'Live Data'!$C$14)="","",INDEX(SPOT_Import!$A$1:$Z$2488,1678,'Live Data'!$C$14)),"")</f>
        <v/>
      </c>
      <c r="D1678" s="54" t="str">
        <f>IFERROR(IF(INDEX(SPOT_Import!$A$1:$Z$2488,1678,'Live Data'!$C$15)="","",INDEX(SPOT_Import!$A$1:$Z$2488,1678,'Live Data'!$C$15)),"")</f>
        <v/>
      </c>
      <c r="E1678" s="54" t="str">
        <f>IFERROR(IF(INDEX(SPOT_Import!$A$1:$Z$2488,1678,'Live Data'!$C$16)="","",INDEX(SPOT_Import!$A$1:$Z$2488,1678,'Live Data'!$C$16)),"")</f>
        <v/>
      </c>
      <c r="F1678" s="54" t="str">
        <f>IFERROR(IF(INDEX(SPOT_Import!$A$1:$Z$2488,1678,'Live Data'!$C$17)="","",INDEX(SPOT_Import!$A$1:$Z$2488,1678,'Live Data'!$C$17)),"")</f>
        <v/>
      </c>
      <c r="G1678" s="54" t="str">
        <f>IFERROR(IF(INDEX(SPOT_Import!$A$1:$Z$2488,1678,'Live Data'!$C$18)="","",INDEX(SPOT_Import!$A$1:$Z$2488,1678,'Live Data'!$C$18)),"")</f>
        <v/>
      </c>
      <c r="H1678" s="54" t="str">
        <f>IFERROR(IF(INDEX(SPOT_Import!$A$1:$Z$2488,1678,'Live Data'!$C$19)="","",INDEX(SPOT_Import!$A$1:$Z$2488,1678,'Live Data'!$C$19)),"")</f>
        <v/>
      </c>
      <c r="I1678" s="54" t="str">
        <f>IFERROR(IF(INDEX(SPOT_Import!$A$1:$Z$2488,1678,'Live Data'!$C$20)="","",INDEX(SPOT_Import!$A$1:$Z$2488,1678,'Live Data'!$C$20)),"")</f>
        <v/>
      </c>
      <c r="J1678" s="54" t="str">
        <f>IFERROR(IF(INDEX(SPOT_Import!$A$1:$Z$2488,1678,'Live Data'!$C$21)="","",INDEX(SPOT_Import!$A$1:$Z$2488,1678,'Live Data'!$C$21)),"")</f>
        <v/>
      </c>
      <c r="K1678" s="54" t="str">
        <f>IFERROR(IF(INDEX(SPOT_Import!$A$1:$Z$2488,1678,'Live Data'!$C$22)="","",INDEX(SPOT_Import!$A$1:$Z$2488,1678,'Live Data'!$C$22)),"")</f>
        <v/>
      </c>
      <c r="L1678" s="55" t="str">
        <f t="shared" si="52"/>
        <v/>
      </c>
      <c r="M1678" s="55" t="str">
        <f t="shared" si="53"/>
        <v/>
      </c>
      <c r="N1678" s="55" t="str">
        <f>IF(A1678="","",IFERROR(INDEX('Cluster Map'!$A$4:$A$38,MATCH(M1678,'Cluster Map'!$B$4:$B$38,0)),"Unmapped"))</f>
        <v/>
      </c>
      <c r="O1678" s="55">
        <f>IF(A1678="",0,IF(COUNTIFS($A$2:A1678,A1678,$F$2:F1678,F1678,$L$2:L1678,L1678)=1,1,0))</f>
        <v>0</v>
      </c>
      <c r="P1678" s="55">
        <f>IF(A1678="",0,IF(AND(F1678="C&amp;T",COUNTIFS($A$2:A1678,A1678,$F$2:F1678,"C&amp;T")=1),1,0))</f>
        <v>0</v>
      </c>
    </row>
    <row r="1679" spans="1:16" x14ac:dyDescent="0.35">
      <c r="A1679" s="54" t="str">
        <f>IFERROR(IF(INDEX(SPOT_Import!$A$1:$Z$2488,1679,'Live Data'!$C$12)="","",INDEX(SPOT_Import!$A$1:$Z$2488,1679,'Live Data'!$C$12)),"")</f>
        <v/>
      </c>
      <c r="B1679" s="54" t="str">
        <f>IFERROR(IF(INDEX(SPOT_Import!$A$1:$Z$2488,1679,'Live Data'!$C$13)="","",INDEX(SPOT_Import!$A$1:$Z$2488,1679,'Live Data'!$C$13)),"")</f>
        <v/>
      </c>
      <c r="C1679" s="54" t="str">
        <f>IFERROR(IF(INDEX(SPOT_Import!$A$1:$Z$2488,1679,'Live Data'!$C$14)="","",INDEX(SPOT_Import!$A$1:$Z$2488,1679,'Live Data'!$C$14)),"")</f>
        <v/>
      </c>
      <c r="D1679" s="54" t="str">
        <f>IFERROR(IF(INDEX(SPOT_Import!$A$1:$Z$2488,1679,'Live Data'!$C$15)="","",INDEX(SPOT_Import!$A$1:$Z$2488,1679,'Live Data'!$C$15)),"")</f>
        <v/>
      </c>
      <c r="E1679" s="54" t="str">
        <f>IFERROR(IF(INDEX(SPOT_Import!$A$1:$Z$2488,1679,'Live Data'!$C$16)="","",INDEX(SPOT_Import!$A$1:$Z$2488,1679,'Live Data'!$C$16)),"")</f>
        <v/>
      </c>
      <c r="F1679" s="54" t="str">
        <f>IFERROR(IF(INDEX(SPOT_Import!$A$1:$Z$2488,1679,'Live Data'!$C$17)="","",INDEX(SPOT_Import!$A$1:$Z$2488,1679,'Live Data'!$C$17)),"")</f>
        <v/>
      </c>
      <c r="G1679" s="54" t="str">
        <f>IFERROR(IF(INDEX(SPOT_Import!$A$1:$Z$2488,1679,'Live Data'!$C$18)="","",INDEX(SPOT_Import!$A$1:$Z$2488,1679,'Live Data'!$C$18)),"")</f>
        <v/>
      </c>
      <c r="H1679" s="54" t="str">
        <f>IFERROR(IF(INDEX(SPOT_Import!$A$1:$Z$2488,1679,'Live Data'!$C$19)="","",INDEX(SPOT_Import!$A$1:$Z$2488,1679,'Live Data'!$C$19)),"")</f>
        <v/>
      </c>
      <c r="I1679" s="54" t="str">
        <f>IFERROR(IF(INDEX(SPOT_Import!$A$1:$Z$2488,1679,'Live Data'!$C$20)="","",INDEX(SPOT_Import!$A$1:$Z$2488,1679,'Live Data'!$C$20)),"")</f>
        <v/>
      </c>
      <c r="J1679" s="54" t="str">
        <f>IFERROR(IF(INDEX(SPOT_Import!$A$1:$Z$2488,1679,'Live Data'!$C$21)="","",INDEX(SPOT_Import!$A$1:$Z$2488,1679,'Live Data'!$C$21)),"")</f>
        <v/>
      </c>
      <c r="K1679" s="54" t="str">
        <f>IFERROR(IF(INDEX(SPOT_Import!$A$1:$Z$2488,1679,'Live Data'!$C$22)="","",INDEX(SPOT_Import!$A$1:$Z$2488,1679,'Live Data'!$C$22)),"")</f>
        <v/>
      </c>
      <c r="L1679" s="55" t="str">
        <f t="shared" si="52"/>
        <v/>
      </c>
      <c r="M1679" s="55" t="str">
        <f t="shared" si="53"/>
        <v/>
      </c>
      <c r="N1679" s="55" t="str">
        <f>IF(A1679="","",IFERROR(INDEX('Cluster Map'!$A$4:$A$38,MATCH(M1679,'Cluster Map'!$B$4:$B$38,0)),"Unmapped"))</f>
        <v/>
      </c>
      <c r="O1679" s="55">
        <f>IF(A1679="",0,IF(COUNTIFS($A$2:A1679,A1679,$F$2:F1679,F1679,$L$2:L1679,L1679)=1,1,0))</f>
        <v>0</v>
      </c>
      <c r="P1679" s="55">
        <f>IF(A1679="",0,IF(AND(F1679="C&amp;T",COUNTIFS($A$2:A1679,A1679,$F$2:F1679,"C&amp;T")=1),1,0))</f>
        <v>0</v>
      </c>
    </row>
    <row r="1680" spans="1:16" x14ac:dyDescent="0.35">
      <c r="A1680" s="54" t="str">
        <f>IFERROR(IF(INDEX(SPOT_Import!$A$1:$Z$2488,1680,'Live Data'!$C$12)="","",INDEX(SPOT_Import!$A$1:$Z$2488,1680,'Live Data'!$C$12)),"")</f>
        <v/>
      </c>
      <c r="B1680" s="54" t="str">
        <f>IFERROR(IF(INDEX(SPOT_Import!$A$1:$Z$2488,1680,'Live Data'!$C$13)="","",INDEX(SPOT_Import!$A$1:$Z$2488,1680,'Live Data'!$C$13)),"")</f>
        <v/>
      </c>
      <c r="C1680" s="54" t="str">
        <f>IFERROR(IF(INDEX(SPOT_Import!$A$1:$Z$2488,1680,'Live Data'!$C$14)="","",INDEX(SPOT_Import!$A$1:$Z$2488,1680,'Live Data'!$C$14)),"")</f>
        <v/>
      </c>
      <c r="D1680" s="54" t="str">
        <f>IFERROR(IF(INDEX(SPOT_Import!$A$1:$Z$2488,1680,'Live Data'!$C$15)="","",INDEX(SPOT_Import!$A$1:$Z$2488,1680,'Live Data'!$C$15)),"")</f>
        <v/>
      </c>
      <c r="E1680" s="54" t="str">
        <f>IFERROR(IF(INDEX(SPOT_Import!$A$1:$Z$2488,1680,'Live Data'!$C$16)="","",INDEX(SPOT_Import!$A$1:$Z$2488,1680,'Live Data'!$C$16)),"")</f>
        <v/>
      </c>
      <c r="F1680" s="54" t="str">
        <f>IFERROR(IF(INDEX(SPOT_Import!$A$1:$Z$2488,1680,'Live Data'!$C$17)="","",INDEX(SPOT_Import!$A$1:$Z$2488,1680,'Live Data'!$C$17)),"")</f>
        <v/>
      </c>
      <c r="G1680" s="54" t="str">
        <f>IFERROR(IF(INDEX(SPOT_Import!$A$1:$Z$2488,1680,'Live Data'!$C$18)="","",INDEX(SPOT_Import!$A$1:$Z$2488,1680,'Live Data'!$C$18)),"")</f>
        <v/>
      </c>
      <c r="H1680" s="54" t="str">
        <f>IFERROR(IF(INDEX(SPOT_Import!$A$1:$Z$2488,1680,'Live Data'!$C$19)="","",INDEX(SPOT_Import!$A$1:$Z$2488,1680,'Live Data'!$C$19)),"")</f>
        <v/>
      </c>
      <c r="I1680" s="54" t="str">
        <f>IFERROR(IF(INDEX(SPOT_Import!$A$1:$Z$2488,1680,'Live Data'!$C$20)="","",INDEX(SPOT_Import!$A$1:$Z$2488,1680,'Live Data'!$C$20)),"")</f>
        <v/>
      </c>
      <c r="J1680" s="54" t="str">
        <f>IFERROR(IF(INDEX(SPOT_Import!$A$1:$Z$2488,1680,'Live Data'!$C$21)="","",INDEX(SPOT_Import!$A$1:$Z$2488,1680,'Live Data'!$C$21)),"")</f>
        <v/>
      </c>
      <c r="K1680" s="54" t="str">
        <f>IFERROR(IF(INDEX(SPOT_Import!$A$1:$Z$2488,1680,'Live Data'!$C$22)="","",INDEX(SPOT_Import!$A$1:$Z$2488,1680,'Live Data'!$C$22)),"")</f>
        <v/>
      </c>
      <c r="L1680" s="55" t="str">
        <f t="shared" si="52"/>
        <v/>
      </c>
      <c r="M1680" s="55" t="str">
        <f t="shared" si="53"/>
        <v/>
      </c>
      <c r="N1680" s="55" t="str">
        <f>IF(A1680="","",IFERROR(INDEX('Cluster Map'!$A$4:$A$38,MATCH(M1680,'Cluster Map'!$B$4:$B$38,0)),"Unmapped"))</f>
        <v/>
      </c>
      <c r="O1680" s="55">
        <f>IF(A1680="",0,IF(COUNTIFS($A$2:A1680,A1680,$F$2:F1680,F1680,$L$2:L1680,L1680)=1,1,0))</f>
        <v>0</v>
      </c>
      <c r="P1680" s="55">
        <f>IF(A1680="",0,IF(AND(F1680="C&amp;T",COUNTIFS($A$2:A1680,A1680,$F$2:F1680,"C&amp;T")=1),1,0))</f>
        <v>0</v>
      </c>
    </row>
    <row r="1681" spans="1:16" x14ac:dyDescent="0.35">
      <c r="A1681" s="54" t="str">
        <f>IFERROR(IF(INDEX(SPOT_Import!$A$1:$Z$2488,1681,'Live Data'!$C$12)="","",INDEX(SPOT_Import!$A$1:$Z$2488,1681,'Live Data'!$C$12)),"")</f>
        <v/>
      </c>
      <c r="B1681" s="54" t="str">
        <f>IFERROR(IF(INDEX(SPOT_Import!$A$1:$Z$2488,1681,'Live Data'!$C$13)="","",INDEX(SPOT_Import!$A$1:$Z$2488,1681,'Live Data'!$C$13)),"")</f>
        <v/>
      </c>
      <c r="C1681" s="54" t="str">
        <f>IFERROR(IF(INDEX(SPOT_Import!$A$1:$Z$2488,1681,'Live Data'!$C$14)="","",INDEX(SPOT_Import!$A$1:$Z$2488,1681,'Live Data'!$C$14)),"")</f>
        <v/>
      </c>
      <c r="D1681" s="54" t="str">
        <f>IFERROR(IF(INDEX(SPOT_Import!$A$1:$Z$2488,1681,'Live Data'!$C$15)="","",INDEX(SPOT_Import!$A$1:$Z$2488,1681,'Live Data'!$C$15)),"")</f>
        <v/>
      </c>
      <c r="E1681" s="54" t="str">
        <f>IFERROR(IF(INDEX(SPOT_Import!$A$1:$Z$2488,1681,'Live Data'!$C$16)="","",INDEX(SPOT_Import!$A$1:$Z$2488,1681,'Live Data'!$C$16)),"")</f>
        <v/>
      </c>
      <c r="F1681" s="54" t="str">
        <f>IFERROR(IF(INDEX(SPOT_Import!$A$1:$Z$2488,1681,'Live Data'!$C$17)="","",INDEX(SPOT_Import!$A$1:$Z$2488,1681,'Live Data'!$C$17)),"")</f>
        <v/>
      </c>
      <c r="G1681" s="54" t="str">
        <f>IFERROR(IF(INDEX(SPOT_Import!$A$1:$Z$2488,1681,'Live Data'!$C$18)="","",INDEX(SPOT_Import!$A$1:$Z$2488,1681,'Live Data'!$C$18)),"")</f>
        <v/>
      </c>
      <c r="H1681" s="54" t="str">
        <f>IFERROR(IF(INDEX(SPOT_Import!$A$1:$Z$2488,1681,'Live Data'!$C$19)="","",INDEX(SPOT_Import!$A$1:$Z$2488,1681,'Live Data'!$C$19)),"")</f>
        <v/>
      </c>
      <c r="I1681" s="54" t="str">
        <f>IFERROR(IF(INDEX(SPOT_Import!$A$1:$Z$2488,1681,'Live Data'!$C$20)="","",INDEX(SPOT_Import!$A$1:$Z$2488,1681,'Live Data'!$C$20)),"")</f>
        <v/>
      </c>
      <c r="J1681" s="54" t="str">
        <f>IFERROR(IF(INDEX(SPOT_Import!$A$1:$Z$2488,1681,'Live Data'!$C$21)="","",INDEX(SPOT_Import!$A$1:$Z$2488,1681,'Live Data'!$C$21)),"")</f>
        <v/>
      </c>
      <c r="K1681" s="54" t="str">
        <f>IFERROR(IF(INDEX(SPOT_Import!$A$1:$Z$2488,1681,'Live Data'!$C$22)="","",INDEX(SPOT_Import!$A$1:$Z$2488,1681,'Live Data'!$C$22)),"")</f>
        <v/>
      </c>
      <c r="L1681" s="55" t="str">
        <f t="shared" si="52"/>
        <v/>
      </c>
      <c r="M1681" s="55" t="str">
        <f t="shared" si="53"/>
        <v/>
      </c>
      <c r="N1681" s="55" t="str">
        <f>IF(A1681="","",IFERROR(INDEX('Cluster Map'!$A$4:$A$38,MATCH(M1681,'Cluster Map'!$B$4:$B$38,0)),"Unmapped"))</f>
        <v/>
      </c>
      <c r="O1681" s="55">
        <f>IF(A1681="",0,IF(COUNTIFS($A$2:A1681,A1681,$F$2:F1681,F1681,$L$2:L1681,L1681)=1,1,0))</f>
        <v>0</v>
      </c>
      <c r="P1681" s="55">
        <f>IF(A1681="",0,IF(AND(F1681="C&amp;T",COUNTIFS($A$2:A1681,A1681,$F$2:F1681,"C&amp;T")=1),1,0))</f>
        <v>0</v>
      </c>
    </row>
    <row r="1682" spans="1:16" x14ac:dyDescent="0.35">
      <c r="A1682" s="54" t="str">
        <f>IFERROR(IF(INDEX(SPOT_Import!$A$1:$Z$2488,1682,'Live Data'!$C$12)="","",INDEX(SPOT_Import!$A$1:$Z$2488,1682,'Live Data'!$C$12)),"")</f>
        <v/>
      </c>
      <c r="B1682" s="54" t="str">
        <f>IFERROR(IF(INDEX(SPOT_Import!$A$1:$Z$2488,1682,'Live Data'!$C$13)="","",INDEX(SPOT_Import!$A$1:$Z$2488,1682,'Live Data'!$C$13)),"")</f>
        <v/>
      </c>
      <c r="C1682" s="54" t="str">
        <f>IFERROR(IF(INDEX(SPOT_Import!$A$1:$Z$2488,1682,'Live Data'!$C$14)="","",INDEX(SPOT_Import!$A$1:$Z$2488,1682,'Live Data'!$C$14)),"")</f>
        <v/>
      </c>
      <c r="D1682" s="54" t="str">
        <f>IFERROR(IF(INDEX(SPOT_Import!$A$1:$Z$2488,1682,'Live Data'!$C$15)="","",INDEX(SPOT_Import!$A$1:$Z$2488,1682,'Live Data'!$C$15)),"")</f>
        <v/>
      </c>
      <c r="E1682" s="54" t="str">
        <f>IFERROR(IF(INDEX(SPOT_Import!$A$1:$Z$2488,1682,'Live Data'!$C$16)="","",INDEX(SPOT_Import!$A$1:$Z$2488,1682,'Live Data'!$C$16)),"")</f>
        <v/>
      </c>
      <c r="F1682" s="54" t="str">
        <f>IFERROR(IF(INDEX(SPOT_Import!$A$1:$Z$2488,1682,'Live Data'!$C$17)="","",INDEX(SPOT_Import!$A$1:$Z$2488,1682,'Live Data'!$C$17)),"")</f>
        <v/>
      </c>
      <c r="G1682" s="54" t="str">
        <f>IFERROR(IF(INDEX(SPOT_Import!$A$1:$Z$2488,1682,'Live Data'!$C$18)="","",INDEX(SPOT_Import!$A$1:$Z$2488,1682,'Live Data'!$C$18)),"")</f>
        <v/>
      </c>
      <c r="H1682" s="54" t="str">
        <f>IFERROR(IF(INDEX(SPOT_Import!$A$1:$Z$2488,1682,'Live Data'!$C$19)="","",INDEX(SPOT_Import!$A$1:$Z$2488,1682,'Live Data'!$C$19)),"")</f>
        <v/>
      </c>
      <c r="I1682" s="54" t="str">
        <f>IFERROR(IF(INDEX(SPOT_Import!$A$1:$Z$2488,1682,'Live Data'!$C$20)="","",INDEX(SPOT_Import!$A$1:$Z$2488,1682,'Live Data'!$C$20)),"")</f>
        <v/>
      </c>
      <c r="J1682" s="54" t="str">
        <f>IFERROR(IF(INDEX(SPOT_Import!$A$1:$Z$2488,1682,'Live Data'!$C$21)="","",INDEX(SPOT_Import!$A$1:$Z$2488,1682,'Live Data'!$C$21)),"")</f>
        <v/>
      </c>
      <c r="K1682" s="54" t="str">
        <f>IFERROR(IF(INDEX(SPOT_Import!$A$1:$Z$2488,1682,'Live Data'!$C$22)="","",INDEX(SPOT_Import!$A$1:$Z$2488,1682,'Live Data'!$C$22)),"")</f>
        <v/>
      </c>
      <c r="L1682" s="55" t="str">
        <f t="shared" si="52"/>
        <v/>
      </c>
      <c r="M1682" s="55" t="str">
        <f t="shared" si="53"/>
        <v/>
      </c>
      <c r="N1682" s="55" t="str">
        <f>IF(A1682="","",IFERROR(INDEX('Cluster Map'!$A$4:$A$38,MATCH(M1682,'Cluster Map'!$B$4:$B$38,0)),"Unmapped"))</f>
        <v/>
      </c>
      <c r="O1682" s="55">
        <f>IF(A1682="",0,IF(COUNTIFS($A$2:A1682,A1682,$F$2:F1682,F1682,$L$2:L1682,L1682)=1,1,0))</f>
        <v>0</v>
      </c>
      <c r="P1682" s="55">
        <f>IF(A1682="",0,IF(AND(F1682="C&amp;T",COUNTIFS($A$2:A1682,A1682,$F$2:F1682,"C&amp;T")=1),1,0))</f>
        <v>0</v>
      </c>
    </row>
    <row r="1683" spans="1:16" x14ac:dyDescent="0.35">
      <c r="A1683" s="54" t="str">
        <f>IFERROR(IF(INDEX(SPOT_Import!$A$1:$Z$2488,1683,'Live Data'!$C$12)="","",INDEX(SPOT_Import!$A$1:$Z$2488,1683,'Live Data'!$C$12)),"")</f>
        <v/>
      </c>
      <c r="B1683" s="54" t="str">
        <f>IFERROR(IF(INDEX(SPOT_Import!$A$1:$Z$2488,1683,'Live Data'!$C$13)="","",INDEX(SPOT_Import!$A$1:$Z$2488,1683,'Live Data'!$C$13)),"")</f>
        <v/>
      </c>
      <c r="C1683" s="54" t="str">
        <f>IFERROR(IF(INDEX(SPOT_Import!$A$1:$Z$2488,1683,'Live Data'!$C$14)="","",INDEX(SPOT_Import!$A$1:$Z$2488,1683,'Live Data'!$C$14)),"")</f>
        <v/>
      </c>
      <c r="D1683" s="54" t="str">
        <f>IFERROR(IF(INDEX(SPOT_Import!$A$1:$Z$2488,1683,'Live Data'!$C$15)="","",INDEX(SPOT_Import!$A$1:$Z$2488,1683,'Live Data'!$C$15)),"")</f>
        <v/>
      </c>
      <c r="E1683" s="54" t="str">
        <f>IFERROR(IF(INDEX(SPOT_Import!$A$1:$Z$2488,1683,'Live Data'!$C$16)="","",INDEX(SPOT_Import!$A$1:$Z$2488,1683,'Live Data'!$C$16)),"")</f>
        <v/>
      </c>
      <c r="F1683" s="54" t="str">
        <f>IFERROR(IF(INDEX(SPOT_Import!$A$1:$Z$2488,1683,'Live Data'!$C$17)="","",INDEX(SPOT_Import!$A$1:$Z$2488,1683,'Live Data'!$C$17)),"")</f>
        <v/>
      </c>
      <c r="G1683" s="54" t="str">
        <f>IFERROR(IF(INDEX(SPOT_Import!$A$1:$Z$2488,1683,'Live Data'!$C$18)="","",INDEX(SPOT_Import!$A$1:$Z$2488,1683,'Live Data'!$C$18)),"")</f>
        <v/>
      </c>
      <c r="H1683" s="54" t="str">
        <f>IFERROR(IF(INDEX(SPOT_Import!$A$1:$Z$2488,1683,'Live Data'!$C$19)="","",INDEX(SPOT_Import!$A$1:$Z$2488,1683,'Live Data'!$C$19)),"")</f>
        <v/>
      </c>
      <c r="I1683" s="54" t="str">
        <f>IFERROR(IF(INDEX(SPOT_Import!$A$1:$Z$2488,1683,'Live Data'!$C$20)="","",INDEX(SPOT_Import!$A$1:$Z$2488,1683,'Live Data'!$C$20)),"")</f>
        <v/>
      </c>
      <c r="J1683" s="54" t="str">
        <f>IFERROR(IF(INDEX(SPOT_Import!$A$1:$Z$2488,1683,'Live Data'!$C$21)="","",INDEX(SPOT_Import!$A$1:$Z$2488,1683,'Live Data'!$C$21)),"")</f>
        <v/>
      </c>
      <c r="K1683" s="54" t="str">
        <f>IFERROR(IF(INDEX(SPOT_Import!$A$1:$Z$2488,1683,'Live Data'!$C$22)="","",INDEX(SPOT_Import!$A$1:$Z$2488,1683,'Live Data'!$C$22)),"")</f>
        <v/>
      </c>
      <c r="L1683" s="55" t="str">
        <f t="shared" si="52"/>
        <v/>
      </c>
      <c r="M1683" s="55" t="str">
        <f t="shared" si="53"/>
        <v/>
      </c>
      <c r="N1683" s="55" t="str">
        <f>IF(A1683="","",IFERROR(INDEX('Cluster Map'!$A$4:$A$38,MATCH(M1683,'Cluster Map'!$B$4:$B$38,0)),"Unmapped"))</f>
        <v/>
      </c>
      <c r="O1683" s="55">
        <f>IF(A1683="",0,IF(COUNTIFS($A$2:A1683,A1683,$F$2:F1683,F1683,$L$2:L1683,L1683)=1,1,0))</f>
        <v>0</v>
      </c>
      <c r="P1683" s="55">
        <f>IF(A1683="",0,IF(AND(F1683="C&amp;T",COUNTIFS($A$2:A1683,A1683,$F$2:F1683,"C&amp;T")=1),1,0))</f>
        <v>0</v>
      </c>
    </row>
    <row r="1684" spans="1:16" x14ac:dyDescent="0.35">
      <c r="A1684" s="54" t="str">
        <f>IFERROR(IF(INDEX(SPOT_Import!$A$1:$Z$2488,1684,'Live Data'!$C$12)="","",INDEX(SPOT_Import!$A$1:$Z$2488,1684,'Live Data'!$C$12)),"")</f>
        <v/>
      </c>
      <c r="B1684" s="54" t="str">
        <f>IFERROR(IF(INDEX(SPOT_Import!$A$1:$Z$2488,1684,'Live Data'!$C$13)="","",INDEX(SPOT_Import!$A$1:$Z$2488,1684,'Live Data'!$C$13)),"")</f>
        <v/>
      </c>
      <c r="C1684" s="54" t="str">
        <f>IFERROR(IF(INDEX(SPOT_Import!$A$1:$Z$2488,1684,'Live Data'!$C$14)="","",INDEX(SPOT_Import!$A$1:$Z$2488,1684,'Live Data'!$C$14)),"")</f>
        <v/>
      </c>
      <c r="D1684" s="54" t="str">
        <f>IFERROR(IF(INDEX(SPOT_Import!$A$1:$Z$2488,1684,'Live Data'!$C$15)="","",INDEX(SPOT_Import!$A$1:$Z$2488,1684,'Live Data'!$C$15)),"")</f>
        <v/>
      </c>
      <c r="E1684" s="54" t="str">
        <f>IFERROR(IF(INDEX(SPOT_Import!$A$1:$Z$2488,1684,'Live Data'!$C$16)="","",INDEX(SPOT_Import!$A$1:$Z$2488,1684,'Live Data'!$C$16)),"")</f>
        <v/>
      </c>
      <c r="F1684" s="54" t="str">
        <f>IFERROR(IF(INDEX(SPOT_Import!$A$1:$Z$2488,1684,'Live Data'!$C$17)="","",INDEX(SPOT_Import!$A$1:$Z$2488,1684,'Live Data'!$C$17)),"")</f>
        <v/>
      </c>
      <c r="G1684" s="54" t="str">
        <f>IFERROR(IF(INDEX(SPOT_Import!$A$1:$Z$2488,1684,'Live Data'!$C$18)="","",INDEX(SPOT_Import!$A$1:$Z$2488,1684,'Live Data'!$C$18)),"")</f>
        <v/>
      </c>
      <c r="H1684" s="54" t="str">
        <f>IFERROR(IF(INDEX(SPOT_Import!$A$1:$Z$2488,1684,'Live Data'!$C$19)="","",INDEX(SPOT_Import!$A$1:$Z$2488,1684,'Live Data'!$C$19)),"")</f>
        <v/>
      </c>
      <c r="I1684" s="54" t="str">
        <f>IFERROR(IF(INDEX(SPOT_Import!$A$1:$Z$2488,1684,'Live Data'!$C$20)="","",INDEX(SPOT_Import!$A$1:$Z$2488,1684,'Live Data'!$C$20)),"")</f>
        <v/>
      </c>
      <c r="J1684" s="54" t="str">
        <f>IFERROR(IF(INDEX(SPOT_Import!$A$1:$Z$2488,1684,'Live Data'!$C$21)="","",INDEX(SPOT_Import!$A$1:$Z$2488,1684,'Live Data'!$C$21)),"")</f>
        <v/>
      </c>
      <c r="K1684" s="54" t="str">
        <f>IFERROR(IF(INDEX(SPOT_Import!$A$1:$Z$2488,1684,'Live Data'!$C$22)="","",INDEX(SPOT_Import!$A$1:$Z$2488,1684,'Live Data'!$C$22)),"")</f>
        <v/>
      </c>
      <c r="L1684" s="55" t="str">
        <f t="shared" si="52"/>
        <v/>
      </c>
      <c r="M1684" s="55" t="str">
        <f t="shared" si="53"/>
        <v/>
      </c>
      <c r="N1684" s="55" t="str">
        <f>IF(A1684="","",IFERROR(INDEX('Cluster Map'!$A$4:$A$38,MATCH(M1684,'Cluster Map'!$B$4:$B$38,0)),"Unmapped"))</f>
        <v/>
      </c>
      <c r="O1684" s="55">
        <f>IF(A1684="",0,IF(COUNTIFS($A$2:A1684,A1684,$F$2:F1684,F1684,$L$2:L1684,L1684)=1,1,0))</f>
        <v>0</v>
      </c>
      <c r="P1684" s="55">
        <f>IF(A1684="",0,IF(AND(F1684="C&amp;T",COUNTIFS($A$2:A1684,A1684,$F$2:F1684,"C&amp;T")=1),1,0))</f>
        <v>0</v>
      </c>
    </row>
    <row r="1685" spans="1:16" x14ac:dyDescent="0.35">
      <c r="A1685" s="54" t="str">
        <f>IFERROR(IF(INDEX(SPOT_Import!$A$1:$Z$2488,1685,'Live Data'!$C$12)="","",INDEX(SPOT_Import!$A$1:$Z$2488,1685,'Live Data'!$C$12)),"")</f>
        <v/>
      </c>
      <c r="B1685" s="54" t="str">
        <f>IFERROR(IF(INDEX(SPOT_Import!$A$1:$Z$2488,1685,'Live Data'!$C$13)="","",INDEX(SPOT_Import!$A$1:$Z$2488,1685,'Live Data'!$C$13)),"")</f>
        <v/>
      </c>
      <c r="C1685" s="54" t="str">
        <f>IFERROR(IF(INDEX(SPOT_Import!$A$1:$Z$2488,1685,'Live Data'!$C$14)="","",INDEX(SPOT_Import!$A$1:$Z$2488,1685,'Live Data'!$C$14)),"")</f>
        <v/>
      </c>
      <c r="D1685" s="54" t="str">
        <f>IFERROR(IF(INDEX(SPOT_Import!$A$1:$Z$2488,1685,'Live Data'!$C$15)="","",INDEX(SPOT_Import!$A$1:$Z$2488,1685,'Live Data'!$C$15)),"")</f>
        <v/>
      </c>
      <c r="E1685" s="54" t="str">
        <f>IFERROR(IF(INDEX(SPOT_Import!$A$1:$Z$2488,1685,'Live Data'!$C$16)="","",INDEX(SPOT_Import!$A$1:$Z$2488,1685,'Live Data'!$C$16)),"")</f>
        <v/>
      </c>
      <c r="F1685" s="54" t="str">
        <f>IFERROR(IF(INDEX(SPOT_Import!$A$1:$Z$2488,1685,'Live Data'!$C$17)="","",INDEX(SPOT_Import!$A$1:$Z$2488,1685,'Live Data'!$C$17)),"")</f>
        <v/>
      </c>
      <c r="G1685" s="54" t="str">
        <f>IFERROR(IF(INDEX(SPOT_Import!$A$1:$Z$2488,1685,'Live Data'!$C$18)="","",INDEX(SPOT_Import!$A$1:$Z$2488,1685,'Live Data'!$C$18)),"")</f>
        <v/>
      </c>
      <c r="H1685" s="54" t="str">
        <f>IFERROR(IF(INDEX(SPOT_Import!$A$1:$Z$2488,1685,'Live Data'!$C$19)="","",INDEX(SPOT_Import!$A$1:$Z$2488,1685,'Live Data'!$C$19)),"")</f>
        <v/>
      </c>
      <c r="I1685" s="54" t="str">
        <f>IFERROR(IF(INDEX(SPOT_Import!$A$1:$Z$2488,1685,'Live Data'!$C$20)="","",INDEX(SPOT_Import!$A$1:$Z$2488,1685,'Live Data'!$C$20)),"")</f>
        <v/>
      </c>
      <c r="J1685" s="54" t="str">
        <f>IFERROR(IF(INDEX(SPOT_Import!$A$1:$Z$2488,1685,'Live Data'!$C$21)="","",INDEX(SPOT_Import!$A$1:$Z$2488,1685,'Live Data'!$C$21)),"")</f>
        <v/>
      </c>
      <c r="K1685" s="54" t="str">
        <f>IFERROR(IF(INDEX(SPOT_Import!$A$1:$Z$2488,1685,'Live Data'!$C$22)="","",INDEX(SPOT_Import!$A$1:$Z$2488,1685,'Live Data'!$C$22)),"")</f>
        <v/>
      </c>
      <c r="L1685" s="55" t="str">
        <f t="shared" si="52"/>
        <v/>
      </c>
      <c r="M1685" s="55" t="str">
        <f t="shared" si="53"/>
        <v/>
      </c>
      <c r="N1685" s="55" t="str">
        <f>IF(A1685="","",IFERROR(INDEX('Cluster Map'!$A$4:$A$38,MATCH(M1685,'Cluster Map'!$B$4:$B$38,0)),"Unmapped"))</f>
        <v/>
      </c>
      <c r="O1685" s="55">
        <f>IF(A1685="",0,IF(COUNTIFS($A$2:A1685,A1685,$F$2:F1685,F1685,$L$2:L1685,L1685)=1,1,0))</f>
        <v>0</v>
      </c>
      <c r="P1685" s="55">
        <f>IF(A1685="",0,IF(AND(F1685="C&amp;T",COUNTIFS($A$2:A1685,A1685,$F$2:F1685,"C&amp;T")=1),1,0))</f>
        <v>0</v>
      </c>
    </row>
    <row r="1686" spans="1:16" x14ac:dyDescent="0.35">
      <c r="A1686" s="54" t="str">
        <f>IFERROR(IF(INDEX(SPOT_Import!$A$1:$Z$2488,1686,'Live Data'!$C$12)="","",INDEX(SPOT_Import!$A$1:$Z$2488,1686,'Live Data'!$C$12)),"")</f>
        <v/>
      </c>
      <c r="B1686" s="54" t="str">
        <f>IFERROR(IF(INDEX(SPOT_Import!$A$1:$Z$2488,1686,'Live Data'!$C$13)="","",INDEX(SPOT_Import!$A$1:$Z$2488,1686,'Live Data'!$C$13)),"")</f>
        <v/>
      </c>
      <c r="C1686" s="54" t="str">
        <f>IFERROR(IF(INDEX(SPOT_Import!$A$1:$Z$2488,1686,'Live Data'!$C$14)="","",INDEX(SPOT_Import!$A$1:$Z$2488,1686,'Live Data'!$C$14)),"")</f>
        <v/>
      </c>
      <c r="D1686" s="54" t="str">
        <f>IFERROR(IF(INDEX(SPOT_Import!$A$1:$Z$2488,1686,'Live Data'!$C$15)="","",INDEX(SPOT_Import!$A$1:$Z$2488,1686,'Live Data'!$C$15)),"")</f>
        <v/>
      </c>
      <c r="E1686" s="54" t="str">
        <f>IFERROR(IF(INDEX(SPOT_Import!$A$1:$Z$2488,1686,'Live Data'!$C$16)="","",INDEX(SPOT_Import!$A$1:$Z$2488,1686,'Live Data'!$C$16)),"")</f>
        <v/>
      </c>
      <c r="F1686" s="54" t="str">
        <f>IFERROR(IF(INDEX(SPOT_Import!$A$1:$Z$2488,1686,'Live Data'!$C$17)="","",INDEX(SPOT_Import!$A$1:$Z$2488,1686,'Live Data'!$C$17)),"")</f>
        <v/>
      </c>
      <c r="G1686" s="54" t="str">
        <f>IFERROR(IF(INDEX(SPOT_Import!$A$1:$Z$2488,1686,'Live Data'!$C$18)="","",INDEX(SPOT_Import!$A$1:$Z$2488,1686,'Live Data'!$C$18)),"")</f>
        <v/>
      </c>
      <c r="H1686" s="54" t="str">
        <f>IFERROR(IF(INDEX(SPOT_Import!$A$1:$Z$2488,1686,'Live Data'!$C$19)="","",INDEX(SPOT_Import!$A$1:$Z$2488,1686,'Live Data'!$C$19)),"")</f>
        <v/>
      </c>
      <c r="I1686" s="54" t="str">
        <f>IFERROR(IF(INDEX(SPOT_Import!$A$1:$Z$2488,1686,'Live Data'!$C$20)="","",INDEX(SPOT_Import!$A$1:$Z$2488,1686,'Live Data'!$C$20)),"")</f>
        <v/>
      </c>
      <c r="J1686" s="54" t="str">
        <f>IFERROR(IF(INDEX(SPOT_Import!$A$1:$Z$2488,1686,'Live Data'!$C$21)="","",INDEX(SPOT_Import!$A$1:$Z$2488,1686,'Live Data'!$C$21)),"")</f>
        <v/>
      </c>
      <c r="K1686" s="54" t="str">
        <f>IFERROR(IF(INDEX(SPOT_Import!$A$1:$Z$2488,1686,'Live Data'!$C$22)="","",INDEX(SPOT_Import!$A$1:$Z$2488,1686,'Live Data'!$C$22)),"")</f>
        <v/>
      </c>
      <c r="L1686" s="55" t="str">
        <f t="shared" si="52"/>
        <v/>
      </c>
      <c r="M1686" s="55" t="str">
        <f t="shared" si="53"/>
        <v/>
      </c>
      <c r="N1686" s="55" t="str">
        <f>IF(A1686="","",IFERROR(INDEX('Cluster Map'!$A$4:$A$38,MATCH(M1686,'Cluster Map'!$B$4:$B$38,0)),"Unmapped"))</f>
        <v/>
      </c>
      <c r="O1686" s="55">
        <f>IF(A1686="",0,IF(COUNTIFS($A$2:A1686,A1686,$F$2:F1686,F1686,$L$2:L1686,L1686)=1,1,0))</f>
        <v>0</v>
      </c>
      <c r="P1686" s="55">
        <f>IF(A1686="",0,IF(AND(F1686="C&amp;T",COUNTIFS($A$2:A1686,A1686,$F$2:F1686,"C&amp;T")=1),1,0))</f>
        <v>0</v>
      </c>
    </row>
    <row r="1687" spans="1:16" x14ac:dyDescent="0.35">
      <c r="A1687" s="54" t="str">
        <f>IFERROR(IF(INDEX(SPOT_Import!$A$1:$Z$2488,1687,'Live Data'!$C$12)="","",INDEX(SPOT_Import!$A$1:$Z$2488,1687,'Live Data'!$C$12)),"")</f>
        <v/>
      </c>
      <c r="B1687" s="54" t="str">
        <f>IFERROR(IF(INDEX(SPOT_Import!$A$1:$Z$2488,1687,'Live Data'!$C$13)="","",INDEX(SPOT_Import!$A$1:$Z$2488,1687,'Live Data'!$C$13)),"")</f>
        <v/>
      </c>
      <c r="C1687" s="54" t="str">
        <f>IFERROR(IF(INDEX(SPOT_Import!$A$1:$Z$2488,1687,'Live Data'!$C$14)="","",INDEX(SPOT_Import!$A$1:$Z$2488,1687,'Live Data'!$C$14)),"")</f>
        <v/>
      </c>
      <c r="D1687" s="54" t="str">
        <f>IFERROR(IF(INDEX(SPOT_Import!$A$1:$Z$2488,1687,'Live Data'!$C$15)="","",INDEX(SPOT_Import!$A$1:$Z$2488,1687,'Live Data'!$C$15)),"")</f>
        <v/>
      </c>
      <c r="E1687" s="54" t="str">
        <f>IFERROR(IF(INDEX(SPOT_Import!$A$1:$Z$2488,1687,'Live Data'!$C$16)="","",INDEX(SPOT_Import!$A$1:$Z$2488,1687,'Live Data'!$C$16)),"")</f>
        <v/>
      </c>
      <c r="F1687" s="54" t="str">
        <f>IFERROR(IF(INDEX(SPOT_Import!$A$1:$Z$2488,1687,'Live Data'!$C$17)="","",INDEX(SPOT_Import!$A$1:$Z$2488,1687,'Live Data'!$C$17)),"")</f>
        <v/>
      </c>
      <c r="G1687" s="54" t="str">
        <f>IFERROR(IF(INDEX(SPOT_Import!$A$1:$Z$2488,1687,'Live Data'!$C$18)="","",INDEX(SPOT_Import!$A$1:$Z$2488,1687,'Live Data'!$C$18)),"")</f>
        <v/>
      </c>
      <c r="H1687" s="54" t="str">
        <f>IFERROR(IF(INDEX(SPOT_Import!$A$1:$Z$2488,1687,'Live Data'!$C$19)="","",INDEX(SPOT_Import!$A$1:$Z$2488,1687,'Live Data'!$C$19)),"")</f>
        <v/>
      </c>
      <c r="I1687" s="54" t="str">
        <f>IFERROR(IF(INDEX(SPOT_Import!$A$1:$Z$2488,1687,'Live Data'!$C$20)="","",INDEX(SPOT_Import!$A$1:$Z$2488,1687,'Live Data'!$C$20)),"")</f>
        <v/>
      </c>
      <c r="J1687" s="54" t="str">
        <f>IFERROR(IF(INDEX(SPOT_Import!$A$1:$Z$2488,1687,'Live Data'!$C$21)="","",INDEX(SPOT_Import!$A$1:$Z$2488,1687,'Live Data'!$C$21)),"")</f>
        <v/>
      </c>
      <c r="K1687" s="54" t="str">
        <f>IFERROR(IF(INDEX(SPOT_Import!$A$1:$Z$2488,1687,'Live Data'!$C$22)="","",INDEX(SPOT_Import!$A$1:$Z$2488,1687,'Live Data'!$C$22)),"")</f>
        <v/>
      </c>
      <c r="L1687" s="55" t="str">
        <f t="shared" si="52"/>
        <v/>
      </c>
      <c r="M1687" s="55" t="str">
        <f t="shared" si="53"/>
        <v/>
      </c>
      <c r="N1687" s="55" t="str">
        <f>IF(A1687="","",IFERROR(INDEX('Cluster Map'!$A$4:$A$38,MATCH(M1687,'Cluster Map'!$B$4:$B$38,0)),"Unmapped"))</f>
        <v/>
      </c>
      <c r="O1687" s="55">
        <f>IF(A1687="",0,IF(COUNTIFS($A$2:A1687,A1687,$F$2:F1687,F1687,$L$2:L1687,L1687)=1,1,0))</f>
        <v>0</v>
      </c>
      <c r="P1687" s="55">
        <f>IF(A1687="",0,IF(AND(F1687="C&amp;T",COUNTIFS($A$2:A1687,A1687,$F$2:F1687,"C&amp;T")=1),1,0))</f>
        <v>0</v>
      </c>
    </row>
    <row r="1688" spans="1:16" x14ac:dyDescent="0.35">
      <c r="A1688" s="54" t="str">
        <f>IFERROR(IF(INDEX(SPOT_Import!$A$1:$Z$2488,1688,'Live Data'!$C$12)="","",INDEX(SPOT_Import!$A$1:$Z$2488,1688,'Live Data'!$C$12)),"")</f>
        <v/>
      </c>
      <c r="B1688" s="54" t="str">
        <f>IFERROR(IF(INDEX(SPOT_Import!$A$1:$Z$2488,1688,'Live Data'!$C$13)="","",INDEX(SPOT_Import!$A$1:$Z$2488,1688,'Live Data'!$C$13)),"")</f>
        <v/>
      </c>
      <c r="C1688" s="54" t="str">
        <f>IFERROR(IF(INDEX(SPOT_Import!$A$1:$Z$2488,1688,'Live Data'!$C$14)="","",INDEX(SPOT_Import!$A$1:$Z$2488,1688,'Live Data'!$C$14)),"")</f>
        <v/>
      </c>
      <c r="D1688" s="54" t="str">
        <f>IFERROR(IF(INDEX(SPOT_Import!$A$1:$Z$2488,1688,'Live Data'!$C$15)="","",INDEX(SPOT_Import!$A$1:$Z$2488,1688,'Live Data'!$C$15)),"")</f>
        <v/>
      </c>
      <c r="E1688" s="54" t="str">
        <f>IFERROR(IF(INDEX(SPOT_Import!$A$1:$Z$2488,1688,'Live Data'!$C$16)="","",INDEX(SPOT_Import!$A$1:$Z$2488,1688,'Live Data'!$C$16)),"")</f>
        <v/>
      </c>
      <c r="F1688" s="54" t="str">
        <f>IFERROR(IF(INDEX(SPOT_Import!$A$1:$Z$2488,1688,'Live Data'!$C$17)="","",INDEX(SPOT_Import!$A$1:$Z$2488,1688,'Live Data'!$C$17)),"")</f>
        <v/>
      </c>
      <c r="G1688" s="54" t="str">
        <f>IFERROR(IF(INDEX(SPOT_Import!$A$1:$Z$2488,1688,'Live Data'!$C$18)="","",INDEX(SPOT_Import!$A$1:$Z$2488,1688,'Live Data'!$C$18)),"")</f>
        <v/>
      </c>
      <c r="H1688" s="54" t="str">
        <f>IFERROR(IF(INDEX(SPOT_Import!$A$1:$Z$2488,1688,'Live Data'!$C$19)="","",INDEX(SPOT_Import!$A$1:$Z$2488,1688,'Live Data'!$C$19)),"")</f>
        <v/>
      </c>
      <c r="I1688" s="54" t="str">
        <f>IFERROR(IF(INDEX(SPOT_Import!$A$1:$Z$2488,1688,'Live Data'!$C$20)="","",INDEX(SPOT_Import!$A$1:$Z$2488,1688,'Live Data'!$C$20)),"")</f>
        <v/>
      </c>
      <c r="J1688" s="54" t="str">
        <f>IFERROR(IF(INDEX(SPOT_Import!$A$1:$Z$2488,1688,'Live Data'!$C$21)="","",INDEX(SPOT_Import!$A$1:$Z$2488,1688,'Live Data'!$C$21)),"")</f>
        <v/>
      </c>
      <c r="K1688" s="54" t="str">
        <f>IFERROR(IF(INDEX(SPOT_Import!$A$1:$Z$2488,1688,'Live Data'!$C$22)="","",INDEX(SPOT_Import!$A$1:$Z$2488,1688,'Live Data'!$C$22)),"")</f>
        <v/>
      </c>
      <c r="L1688" s="55" t="str">
        <f t="shared" si="52"/>
        <v/>
      </c>
      <c r="M1688" s="55" t="str">
        <f t="shared" si="53"/>
        <v/>
      </c>
      <c r="N1688" s="55" t="str">
        <f>IF(A1688="","",IFERROR(INDEX('Cluster Map'!$A$4:$A$38,MATCH(M1688,'Cluster Map'!$B$4:$B$38,0)),"Unmapped"))</f>
        <v/>
      </c>
      <c r="O1688" s="55">
        <f>IF(A1688="",0,IF(COUNTIFS($A$2:A1688,A1688,$F$2:F1688,F1688,$L$2:L1688,L1688)=1,1,0))</f>
        <v>0</v>
      </c>
      <c r="P1688" s="55">
        <f>IF(A1688="",0,IF(AND(F1688="C&amp;T",COUNTIFS($A$2:A1688,A1688,$F$2:F1688,"C&amp;T")=1),1,0))</f>
        <v>0</v>
      </c>
    </row>
    <row r="1689" spans="1:16" x14ac:dyDescent="0.35">
      <c r="A1689" s="54" t="str">
        <f>IFERROR(IF(INDEX(SPOT_Import!$A$1:$Z$2488,1689,'Live Data'!$C$12)="","",INDEX(SPOT_Import!$A$1:$Z$2488,1689,'Live Data'!$C$12)),"")</f>
        <v/>
      </c>
      <c r="B1689" s="54" t="str">
        <f>IFERROR(IF(INDEX(SPOT_Import!$A$1:$Z$2488,1689,'Live Data'!$C$13)="","",INDEX(SPOT_Import!$A$1:$Z$2488,1689,'Live Data'!$C$13)),"")</f>
        <v/>
      </c>
      <c r="C1689" s="54" t="str">
        <f>IFERROR(IF(INDEX(SPOT_Import!$A$1:$Z$2488,1689,'Live Data'!$C$14)="","",INDEX(SPOT_Import!$A$1:$Z$2488,1689,'Live Data'!$C$14)),"")</f>
        <v/>
      </c>
      <c r="D1689" s="54" t="str">
        <f>IFERROR(IF(INDEX(SPOT_Import!$A$1:$Z$2488,1689,'Live Data'!$C$15)="","",INDEX(SPOT_Import!$A$1:$Z$2488,1689,'Live Data'!$C$15)),"")</f>
        <v/>
      </c>
      <c r="E1689" s="54" t="str">
        <f>IFERROR(IF(INDEX(SPOT_Import!$A$1:$Z$2488,1689,'Live Data'!$C$16)="","",INDEX(SPOT_Import!$A$1:$Z$2488,1689,'Live Data'!$C$16)),"")</f>
        <v/>
      </c>
      <c r="F1689" s="54" t="str">
        <f>IFERROR(IF(INDEX(SPOT_Import!$A$1:$Z$2488,1689,'Live Data'!$C$17)="","",INDEX(SPOT_Import!$A$1:$Z$2488,1689,'Live Data'!$C$17)),"")</f>
        <v/>
      </c>
      <c r="G1689" s="54" t="str">
        <f>IFERROR(IF(INDEX(SPOT_Import!$A$1:$Z$2488,1689,'Live Data'!$C$18)="","",INDEX(SPOT_Import!$A$1:$Z$2488,1689,'Live Data'!$C$18)),"")</f>
        <v/>
      </c>
      <c r="H1689" s="54" t="str">
        <f>IFERROR(IF(INDEX(SPOT_Import!$A$1:$Z$2488,1689,'Live Data'!$C$19)="","",INDEX(SPOT_Import!$A$1:$Z$2488,1689,'Live Data'!$C$19)),"")</f>
        <v/>
      </c>
      <c r="I1689" s="54" t="str">
        <f>IFERROR(IF(INDEX(SPOT_Import!$A$1:$Z$2488,1689,'Live Data'!$C$20)="","",INDEX(SPOT_Import!$A$1:$Z$2488,1689,'Live Data'!$C$20)),"")</f>
        <v/>
      </c>
      <c r="J1689" s="54" t="str">
        <f>IFERROR(IF(INDEX(SPOT_Import!$A$1:$Z$2488,1689,'Live Data'!$C$21)="","",INDEX(SPOT_Import!$A$1:$Z$2488,1689,'Live Data'!$C$21)),"")</f>
        <v/>
      </c>
      <c r="K1689" s="54" t="str">
        <f>IFERROR(IF(INDEX(SPOT_Import!$A$1:$Z$2488,1689,'Live Data'!$C$22)="","",INDEX(SPOT_Import!$A$1:$Z$2488,1689,'Live Data'!$C$22)),"")</f>
        <v/>
      </c>
      <c r="L1689" s="55" t="str">
        <f t="shared" si="52"/>
        <v/>
      </c>
      <c r="M1689" s="55" t="str">
        <f t="shared" si="53"/>
        <v/>
      </c>
      <c r="N1689" s="55" t="str">
        <f>IF(A1689="","",IFERROR(INDEX('Cluster Map'!$A$4:$A$38,MATCH(M1689,'Cluster Map'!$B$4:$B$38,0)),"Unmapped"))</f>
        <v/>
      </c>
      <c r="O1689" s="55">
        <f>IF(A1689="",0,IF(COUNTIFS($A$2:A1689,A1689,$F$2:F1689,F1689,$L$2:L1689,L1689)=1,1,0))</f>
        <v>0</v>
      </c>
      <c r="P1689" s="55">
        <f>IF(A1689="",0,IF(AND(F1689="C&amp;T",COUNTIFS($A$2:A1689,A1689,$F$2:F1689,"C&amp;T")=1),1,0))</f>
        <v>0</v>
      </c>
    </row>
    <row r="1690" spans="1:16" x14ac:dyDescent="0.35">
      <c r="A1690" s="54" t="str">
        <f>IFERROR(IF(INDEX(SPOT_Import!$A$1:$Z$2488,1690,'Live Data'!$C$12)="","",INDEX(SPOT_Import!$A$1:$Z$2488,1690,'Live Data'!$C$12)),"")</f>
        <v/>
      </c>
      <c r="B1690" s="54" t="str">
        <f>IFERROR(IF(INDEX(SPOT_Import!$A$1:$Z$2488,1690,'Live Data'!$C$13)="","",INDEX(SPOT_Import!$A$1:$Z$2488,1690,'Live Data'!$C$13)),"")</f>
        <v/>
      </c>
      <c r="C1690" s="54" t="str">
        <f>IFERROR(IF(INDEX(SPOT_Import!$A$1:$Z$2488,1690,'Live Data'!$C$14)="","",INDEX(SPOT_Import!$A$1:$Z$2488,1690,'Live Data'!$C$14)),"")</f>
        <v/>
      </c>
      <c r="D1690" s="54" t="str">
        <f>IFERROR(IF(INDEX(SPOT_Import!$A$1:$Z$2488,1690,'Live Data'!$C$15)="","",INDEX(SPOT_Import!$A$1:$Z$2488,1690,'Live Data'!$C$15)),"")</f>
        <v/>
      </c>
      <c r="E1690" s="54" t="str">
        <f>IFERROR(IF(INDEX(SPOT_Import!$A$1:$Z$2488,1690,'Live Data'!$C$16)="","",INDEX(SPOT_Import!$A$1:$Z$2488,1690,'Live Data'!$C$16)),"")</f>
        <v/>
      </c>
      <c r="F1690" s="54" t="str">
        <f>IFERROR(IF(INDEX(SPOT_Import!$A$1:$Z$2488,1690,'Live Data'!$C$17)="","",INDEX(SPOT_Import!$A$1:$Z$2488,1690,'Live Data'!$C$17)),"")</f>
        <v/>
      </c>
      <c r="G1690" s="54" t="str">
        <f>IFERROR(IF(INDEX(SPOT_Import!$A$1:$Z$2488,1690,'Live Data'!$C$18)="","",INDEX(SPOT_Import!$A$1:$Z$2488,1690,'Live Data'!$C$18)),"")</f>
        <v/>
      </c>
      <c r="H1690" s="54" t="str">
        <f>IFERROR(IF(INDEX(SPOT_Import!$A$1:$Z$2488,1690,'Live Data'!$C$19)="","",INDEX(SPOT_Import!$A$1:$Z$2488,1690,'Live Data'!$C$19)),"")</f>
        <v/>
      </c>
      <c r="I1690" s="54" t="str">
        <f>IFERROR(IF(INDEX(SPOT_Import!$A$1:$Z$2488,1690,'Live Data'!$C$20)="","",INDEX(SPOT_Import!$A$1:$Z$2488,1690,'Live Data'!$C$20)),"")</f>
        <v/>
      </c>
      <c r="J1690" s="54" t="str">
        <f>IFERROR(IF(INDEX(SPOT_Import!$A$1:$Z$2488,1690,'Live Data'!$C$21)="","",INDEX(SPOT_Import!$A$1:$Z$2488,1690,'Live Data'!$C$21)),"")</f>
        <v/>
      </c>
      <c r="K1690" s="54" t="str">
        <f>IFERROR(IF(INDEX(SPOT_Import!$A$1:$Z$2488,1690,'Live Data'!$C$22)="","",INDEX(SPOT_Import!$A$1:$Z$2488,1690,'Live Data'!$C$22)),"")</f>
        <v/>
      </c>
      <c r="L1690" s="55" t="str">
        <f t="shared" si="52"/>
        <v/>
      </c>
      <c r="M1690" s="55" t="str">
        <f t="shared" si="53"/>
        <v/>
      </c>
      <c r="N1690" s="55" t="str">
        <f>IF(A1690="","",IFERROR(INDEX('Cluster Map'!$A$4:$A$38,MATCH(M1690,'Cluster Map'!$B$4:$B$38,0)),"Unmapped"))</f>
        <v/>
      </c>
      <c r="O1690" s="55">
        <f>IF(A1690="",0,IF(COUNTIFS($A$2:A1690,A1690,$F$2:F1690,F1690,$L$2:L1690,L1690)=1,1,0))</f>
        <v>0</v>
      </c>
      <c r="P1690" s="55">
        <f>IF(A1690="",0,IF(AND(F1690="C&amp;T",COUNTIFS($A$2:A1690,A1690,$F$2:F1690,"C&amp;T")=1),1,0))</f>
        <v>0</v>
      </c>
    </row>
    <row r="1691" spans="1:16" x14ac:dyDescent="0.35">
      <c r="A1691" s="54" t="str">
        <f>IFERROR(IF(INDEX(SPOT_Import!$A$1:$Z$2488,1691,'Live Data'!$C$12)="","",INDEX(SPOT_Import!$A$1:$Z$2488,1691,'Live Data'!$C$12)),"")</f>
        <v/>
      </c>
      <c r="B1691" s="54" t="str">
        <f>IFERROR(IF(INDEX(SPOT_Import!$A$1:$Z$2488,1691,'Live Data'!$C$13)="","",INDEX(SPOT_Import!$A$1:$Z$2488,1691,'Live Data'!$C$13)),"")</f>
        <v/>
      </c>
      <c r="C1691" s="54" t="str">
        <f>IFERROR(IF(INDEX(SPOT_Import!$A$1:$Z$2488,1691,'Live Data'!$C$14)="","",INDEX(SPOT_Import!$A$1:$Z$2488,1691,'Live Data'!$C$14)),"")</f>
        <v/>
      </c>
      <c r="D1691" s="54" t="str">
        <f>IFERROR(IF(INDEX(SPOT_Import!$A$1:$Z$2488,1691,'Live Data'!$C$15)="","",INDEX(SPOT_Import!$A$1:$Z$2488,1691,'Live Data'!$C$15)),"")</f>
        <v/>
      </c>
      <c r="E1691" s="54" t="str">
        <f>IFERROR(IF(INDEX(SPOT_Import!$A$1:$Z$2488,1691,'Live Data'!$C$16)="","",INDEX(SPOT_Import!$A$1:$Z$2488,1691,'Live Data'!$C$16)),"")</f>
        <v/>
      </c>
      <c r="F1691" s="54" t="str">
        <f>IFERROR(IF(INDEX(SPOT_Import!$A$1:$Z$2488,1691,'Live Data'!$C$17)="","",INDEX(SPOT_Import!$A$1:$Z$2488,1691,'Live Data'!$C$17)),"")</f>
        <v/>
      </c>
      <c r="G1691" s="54" t="str">
        <f>IFERROR(IF(INDEX(SPOT_Import!$A$1:$Z$2488,1691,'Live Data'!$C$18)="","",INDEX(SPOT_Import!$A$1:$Z$2488,1691,'Live Data'!$C$18)),"")</f>
        <v/>
      </c>
      <c r="H1691" s="54" t="str">
        <f>IFERROR(IF(INDEX(SPOT_Import!$A$1:$Z$2488,1691,'Live Data'!$C$19)="","",INDEX(SPOT_Import!$A$1:$Z$2488,1691,'Live Data'!$C$19)),"")</f>
        <v/>
      </c>
      <c r="I1691" s="54" t="str">
        <f>IFERROR(IF(INDEX(SPOT_Import!$A$1:$Z$2488,1691,'Live Data'!$C$20)="","",INDEX(SPOT_Import!$A$1:$Z$2488,1691,'Live Data'!$C$20)),"")</f>
        <v/>
      </c>
      <c r="J1691" s="54" t="str">
        <f>IFERROR(IF(INDEX(SPOT_Import!$A$1:$Z$2488,1691,'Live Data'!$C$21)="","",INDEX(SPOT_Import!$A$1:$Z$2488,1691,'Live Data'!$C$21)),"")</f>
        <v/>
      </c>
      <c r="K1691" s="54" t="str">
        <f>IFERROR(IF(INDEX(SPOT_Import!$A$1:$Z$2488,1691,'Live Data'!$C$22)="","",INDEX(SPOT_Import!$A$1:$Z$2488,1691,'Live Data'!$C$22)),"")</f>
        <v/>
      </c>
      <c r="L1691" s="55" t="str">
        <f t="shared" si="52"/>
        <v/>
      </c>
      <c r="M1691" s="55" t="str">
        <f t="shared" si="53"/>
        <v/>
      </c>
      <c r="N1691" s="55" t="str">
        <f>IF(A1691="","",IFERROR(INDEX('Cluster Map'!$A$4:$A$38,MATCH(M1691,'Cluster Map'!$B$4:$B$38,0)),"Unmapped"))</f>
        <v/>
      </c>
      <c r="O1691" s="55">
        <f>IF(A1691="",0,IF(COUNTIFS($A$2:A1691,A1691,$F$2:F1691,F1691,$L$2:L1691,L1691)=1,1,0))</f>
        <v>0</v>
      </c>
      <c r="P1691" s="55">
        <f>IF(A1691="",0,IF(AND(F1691="C&amp;T",COUNTIFS($A$2:A1691,A1691,$F$2:F1691,"C&amp;T")=1),1,0))</f>
        <v>0</v>
      </c>
    </row>
    <row r="1692" spans="1:16" x14ac:dyDescent="0.35">
      <c r="A1692" s="54" t="str">
        <f>IFERROR(IF(INDEX(SPOT_Import!$A$1:$Z$2488,1692,'Live Data'!$C$12)="","",INDEX(SPOT_Import!$A$1:$Z$2488,1692,'Live Data'!$C$12)),"")</f>
        <v/>
      </c>
      <c r="B1692" s="54" t="str">
        <f>IFERROR(IF(INDEX(SPOT_Import!$A$1:$Z$2488,1692,'Live Data'!$C$13)="","",INDEX(SPOT_Import!$A$1:$Z$2488,1692,'Live Data'!$C$13)),"")</f>
        <v/>
      </c>
      <c r="C1692" s="54" t="str">
        <f>IFERROR(IF(INDEX(SPOT_Import!$A$1:$Z$2488,1692,'Live Data'!$C$14)="","",INDEX(SPOT_Import!$A$1:$Z$2488,1692,'Live Data'!$C$14)),"")</f>
        <v/>
      </c>
      <c r="D1692" s="54" t="str">
        <f>IFERROR(IF(INDEX(SPOT_Import!$A$1:$Z$2488,1692,'Live Data'!$C$15)="","",INDEX(SPOT_Import!$A$1:$Z$2488,1692,'Live Data'!$C$15)),"")</f>
        <v/>
      </c>
      <c r="E1692" s="54" t="str">
        <f>IFERROR(IF(INDEX(SPOT_Import!$A$1:$Z$2488,1692,'Live Data'!$C$16)="","",INDEX(SPOT_Import!$A$1:$Z$2488,1692,'Live Data'!$C$16)),"")</f>
        <v/>
      </c>
      <c r="F1692" s="54" t="str">
        <f>IFERROR(IF(INDEX(SPOT_Import!$A$1:$Z$2488,1692,'Live Data'!$C$17)="","",INDEX(SPOT_Import!$A$1:$Z$2488,1692,'Live Data'!$C$17)),"")</f>
        <v/>
      </c>
      <c r="G1692" s="54" t="str">
        <f>IFERROR(IF(INDEX(SPOT_Import!$A$1:$Z$2488,1692,'Live Data'!$C$18)="","",INDEX(SPOT_Import!$A$1:$Z$2488,1692,'Live Data'!$C$18)),"")</f>
        <v/>
      </c>
      <c r="H1692" s="54" t="str">
        <f>IFERROR(IF(INDEX(SPOT_Import!$A$1:$Z$2488,1692,'Live Data'!$C$19)="","",INDEX(SPOT_Import!$A$1:$Z$2488,1692,'Live Data'!$C$19)),"")</f>
        <v/>
      </c>
      <c r="I1692" s="54" t="str">
        <f>IFERROR(IF(INDEX(SPOT_Import!$A$1:$Z$2488,1692,'Live Data'!$C$20)="","",INDEX(SPOT_Import!$A$1:$Z$2488,1692,'Live Data'!$C$20)),"")</f>
        <v/>
      </c>
      <c r="J1692" s="54" t="str">
        <f>IFERROR(IF(INDEX(SPOT_Import!$A$1:$Z$2488,1692,'Live Data'!$C$21)="","",INDEX(SPOT_Import!$A$1:$Z$2488,1692,'Live Data'!$C$21)),"")</f>
        <v/>
      </c>
      <c r="K1692" s="54" t="str">
        <f>IFERROR(IF(INDEX(SPOT_Import!$A$1:$Z$2488,1692,'Live Data'!$C$22)="","",INDEX(SPOT_Import!$A$1:$Z$2488,1692,'Live Data'!$C$22)),"")</f>
        <v/>
      </c>
      <c r="L1692" s="55" t="str">
        <f t="shared" si="52"/>
        <v/>
      </c>
      <c r="M1692" s="55" t="str">
        <f t="shared" si="53"/>
        <v/>
      </c>
      <c r="N1692" s="55" t="str">
        <f>IF(A1692="","",IFERROR(INDEX('Cluster Map'!$A$4:$A$38,MATCH(M1692,'Cluster Map'!$B$4:$B$38,0)),"Unmapped"))</f>
        <v/>
      </c>
      <c r="O1692" s="55">
        <f>IF(A1692="",0,IF(COUNTIFS($A$2:A1692,A1692,$F$2:F1692,F1692,$L$2:L1692,L1692)=1,1,0))</f>
        <v>0</v>
      </c>
      <c r="P1692" s="55">
        <f>IF(A1692="",0,IF(AND(F1692="C&amp;T",COUNTIFS($A$2:A1692,A1692,$F$2:F1692,"C&amp;T")=1),1,0))</f>
        <v>0</v>
      </c>
    </row>
    <row r="1693" spans="1:16" x14ac:dyDescent="0.35">
      <c r="A1693" s="54" t="str">
        <f>IFERROR(IF(INDEX(SPOT_Import!$A$1:$Z$2488,1693,'Live Data'!$C$12)="","",INDEX(SPOT_Import!$A$1:$Z$2488,1693,'Live Data'!$C$12)),"")</f>
        <v/>
      </c>
      <c r="B1693" s="54" t="str">
        <f>IFERROR(IF(INDEX(SPOT_Import!$A$1:$Z$2488,1693,'Live Data'!$C$13)="","",INDEX(SPOT_Import!$A$1:$Z$2488,1693,'Live Data'!$C$13)),"")</f>
        <v/>
      </c>
      <c r="C1693" s="54" t="str">
        <f>IFERROR(IF(INDEX(SPOT_Import!$A$1:$Z$2488,1693,'Live Data'!$C$14)="","",INDEX(SPOT_Import!$A$1:$Z$2488,1693,'Live Data'!$C$14)),"")</f>
        <v/>
      </c>
      <c r="D1693" s="54" t="str">
        <f>IFERROR(IF(INDEX(SPOT_Import!$A$1:$Z$2488,1693,'Live Data'!$C$15)="","",INDEX(SPOT_Import!$A$1:$Z$2488,1693,'Live Data'!$C$15)),"")</f>
        <v/>
      </c>
      <c r="E1693" s="54" t="str">
        <f>IFERROR(IF(INDEX(SPOT_Import!$A$1:$Z$2488,1693,'Live Data'!$C$16)="","",INDEX(SPOT_Import!$A$1:$Z$2488,1693,'Live Data'!$C$16)),"")</f>
        <v/>
      </c>
      <c r="F1693" s="54" t="str">
        <f>IFERROR(IF(INDEX(SPOT_Import!$A$1:$Z$2488,1693,'Live Data'!$C$17)="","",INDEX(SPOT_Import!$A$1:$Z$2488,1693,'Live Data'!$C$17)),"")</f>
        <v/>
      </c>
      <c r="G1693" s="54" t="str">
        <f>IFERROR(IF(INDEX(SPOT_Import!$A$1:$Z$2488,1693,'Live Data'!$C$18)="","",INDEX(SPOT_Import!$A$1:$Z$2488,1693,'Live Data'!$C$18)),"")</f>
        <v/>
      </c>
      <c r="H1693" s="54" t="str">
        <f>IFERROR(IF(INDEX(SPOT_Import!$A$1:$Z$2488,1693,'Live Data'!$C$19)="","",INDEX(SPOT_Import!$A$1:$Z$2488,1693,'Live Data'!$C$19)),"")</f>
        <v/>
      </c>
      <c r="I1693" s="54" t="str">
        <f>IFERROR(IF(INDEX(SPOT_Import!$A$1:$Z$2488,1693,'Live Data'!$C$20)="","",INDEX(SPOT_Import!$A$1:$Z$2488,1693,'Live Data'!$C$20)),"")</f>
        <v/>
      </c>
      <c r="J1693" s="54" t="str">
        <f>IFERROR(IF(INDEX(SPOT_Import!$A$1:$Z$2488,1693,'Live Data'!$C$21)="","",INDEX(SPOT_Import!$A$1:$Z$2488,1693,'Live Data'!$C$21)),"")</f>
        <v/>
      </c>
      <c r="K1693" s="54" t="str">
        <f>IFERROR(IF(INDEX(SPOT_Import!$A$1:$Z$2488,1693,'Live Data'!$C$22)="","",INDEX(SPOT_Import!$A$1:$Z$2488,1693,'Live Data'!$C$22)),"")</f>
        <v/>
      </c>
      <c r="L1693" s="55" t="str">
        <f t="shared" si="52"/>
        <v/>
      </c>
      <c r="M1693" s="55" t="str">
        <f t="shared" si="53"/>
        <v/>
      </c>
      <c r="N1693" s="55" t="str">
        <f>IF(A1693="","",IFERROR(INDEX('Cluster Map'!$A$4:$A$38,MATCH(M1693,'Cluster Map'!$B$4:$B$38,0)),"Unmapped"))</f>
        <v/>
      </c>
      <c r="O1693" s="55">
        <f>IF(A1693="",0,IF(COUNTIFS($A$2:A1693,A1693,$F$2:F1693,F1693,$L$2:L1693,L1693)=1,1,0))</f>
        <v>0</v>
      </c>
      <c r="P1693" s="55">
        <f>IF(A1693="",0,IF(AND(F1693="C&amp;T",COUNTIFS($A$2:A1693,A1693,$F$2:F1693,"C&amp;T")=1),1,0))</f>
        <v>0</v>
      </c>
    </row>
    <row r="1694" spans="1:16" x14ac:dyDescent="0.35">
      <c r="A1694" s="54" t="str">
        <f>IFERROR(IF(INDEX(SPOT_Import!$A$1:$Z$2488,1694,'Live Data'!$C$12)="","",INDEX(SPOT_Import!$A$1:$Z$2488,1694,'Live Data'!$C$12)),"")</f>
        <v/>
      </c>
      <c r="B1694" s="54" t="str">
        <f>IFERROR(IF(INDEX(SPOT_Import!$A$1:$Z$2488,1694,'Live Data'!$C$13)="","",INDEX(SPOT_Import!$A$1:$Z$2488,1694,'Live Data'!$C$13)),"")</f>
        <v/>
      </c>
      <c r="C1694" s="54" t="str">
        <f>IFERROR(IF(INDEX(SPOT_Import!$A$1:$Z$2488,1694,'Live Data'!$C$14)="","",INDEX(SPOT_Import!$A$1:$Z$2488,1694,'Live Data'!$C$14)),"")</f>
        <v/>
      </c>
      <c r="D1694" s="54" t="str">
        <f>IFERROR(IF(INDEX(SPOT_Import!$A$1:$Z$2488,1694,'Live Data'!$C$15)="","",INDEX(SPOT_Import!$A$1:$Z$2488,1694,'Live Data'!$C$15)),"")</f>
        <v/>
      </c>
      <c r="E1694" s="54" t="str">
        <f>IFERROR(IF(INDEX(SPOT_Import!$A$1:$Z$2488,1694,'Live Data'!$C$16)="","",INDEX(SPOT_Import!$A$1:$Z$2488,1694,'Live Data'!$C$16)),"")</f>
        <v/>
      </c>
      <c r="F1694" s="54" t="str">
        <f>IFERROR(IF(INDEX(SPOT_Import!$A$1:$Z$2488,1694,'Live Data'!$C$17)="","",INDEX(SPOT_Import!$A$1:$Z$2488,1694,'Live Data'!$C$17)),"")</f>
        <v/>
      </c>
      <c r="G1694" s="54" t="str">
        <f>IFERROR(IF(INDEX(SPOT_Import!$A$1:$Z$2488,1694,'Live Data'!$C$18)="","",INDEX(SPOT_Import!$A$1:$Z$2488,1694,'Live Data'!$C$18)),"")</f>
        <v/>
      </c>
      <c r="H1694" s="54" t="str">
        <f>IFERROR(IF(INDEX(SPOT_Import!$A$1:$Z$2488,1694,'Live Data'!$C$19)="","",INDEX(SPOT_Import!$A$1:$Z$2488,1694,'Live Data'!$C$19)),"")</f>
        <v/>
      </c>
      <c r="I1694" s="54" t="str">
        <f>IFERROR(IF(INDEX(SPOT_Import!$A$1:$Z$2488,1694,'Live Data'!$C$20)="","",INDEX(SPOT_Import!$A$1:$Z$2488,1694,'Live Data'!$C$20)),"")</f>
        <v/>
      </c>
      <c r="J1694" s="54" t="str">
        <f>IFERROR(IF(INDEX(SPOT_Import!$A$1:$Z$2488,1694,'Live Data'!$C$21)="","",INDEX(SPOT_Import!$A$1:$Z$2488,1694,'Live Data'!$C$21)),"")</f>
        <v/>
      </c>
      <c r="K1694" s="54" t="str">
        <f>IFERROR(IF(INDEX(SPOT_Import!$A$1:$Z$2488,1694,'Live Data'!$C$22)="","",INDEX(SPOT_Import!$A$1:$Z$2488,1694,'Live Data'!$C$22)),"")</f>
        <v/>
      </c>
      <c r="L1694" s="55" t="str">
        <f t="shared" si="52"/>
        <v/>
      </c>
      <c r="M1694" s="55" t="str">
        <f t="shared" si="53"/>
        <v/>
      </c>
      <c r="N1694" s="55" t="str">
        <f>IF(A1694="","",IFERROR(INDEX('Cluster Map'!$A$4:$A$38,MATCH(M1694,'Cluster Map'!$B$4:$B$38,0)),"Unmapped"))</f>
        <v/>
      </c>
      <c r="O1694" s="55">
        <f>IF(A1694="",0,IF(COUNTIFS($A$2:A1694,A1694,$F$2:F1694,F1694,$L$2:L1694,L1694)=1,1,0))</f>
        <v>0</v>
      </c>
      <c r="P1694" s="55">
        <f>IF(A1694="",0,IF(AND(F1694="C&amp;T",COUNTIFS($A$2:A1694,A1694,$F$2:F1694,"C&amp;T")=1),1,0))</f>
        <v>0</v>
      </c>
    </row>
    <row r="1695" spans="1:16" x14ac:dyDescent="0.35">
      <c r="A1695" s="54" t="str">
        <f>IFERROR(IF(INDEX(SPOT_Import!$A$1:$Z$2488,1695,'Live Data'!$C$12)="","",INDEX(SPOT_Import!$A$1:$Z$2488,1695,'Live Data'!$C$12)),"")</f>
        <v/>
      </c>
      <c r="B1695" s="54" t="str">
        <f>IFERROR(IF(INDEX(SPOT_Import!$A$1:$Z$2488,1695,'Live Data'!$C$13)="","",INDEX(SPOT_Import!$A$1:$Z$2488,1695,'Live Data'!$C$13)),"")</f>
        <v/>
      </c>
      <c r="C1695" s="54" t="str">
        <f>IFERROR(IF(INDEX(SPOT_Import!$A$1:$Z$2488,1695,'Live Data'!$C$14)="","",INDEX(SPOT_Import!$A$1:$Z$2488,1695,'Live Data'!$C$14)),"")</f>
        <v/>
      </c>
      <c r="D1695" s="54" t="str">
        <f>IFERROR(IF(INDEX(SPOT_Import!$A$1:$Z$2488,1695,'Live Data'!$C$15)="","",INDEX(SPOT_Import!$A$1:$Z$2488,1695,'Live Data'!$C$15)),"")</f>
        <v/>
      </c>
      <c r="E1695" s="54" t="str">
        <f>IFERROR(IF(INDEX(SPOT_Import!$A$1:$Z$2488,1695,'Live Data'!$C$16)="","",INDEX(SPOT_Import!$A$1:$Z$2488,1695,'Live Data'!$C$16)),"")</f>
        <v/>
      </c>
      <c r="F1695" s="54" t="str">
        <f>IFERROR(IF(INDEX(SPOT_Import!$A$1:$Z$2488,1695,'Live Data'!$C$17)="","",INDEX(SPOT_Import!$A$1:$Z$2488,1695,'Live Data'!$C$17)),"")</f>
        <v/>
      </c>
      <c r="G1695" s="54" t="str">
        <f>IFERROR(IF(INDEX(SPOT_Import!$A$1:$Z$2488,1695,'Live Data'!$C$18)="","",INDEX(SPOT_Import!$A$1:$Z$2488,1695,'Live Data'!$C$18)),"")</f>
        <v/>
      </c>
      <c r="H1695" s="54" t="str">
        <f>IFERROR(IF(INDEX(SPOT_Import!$A$1:$Z$2488,1695,'Live Data'!$C$19)="","",INDEX(SPOT_Import!$A$1:$Z$2488,1695,'Live Data'!$C$19)),"")</f>
        <v/>
      </c>
      <c r="I1695" s="54" t="str">
        <f>IFERROR(IF(INDEX(SPOT_Import!$A$1:$Z$2488,1695,'Live Data'!$C$20)="","",INDEX(SPOT_Import!$A$1:$Z$2488,1695,'Live Data'!$C$20)),"")</f>
        <v/>
      </c>
      <c r="J1695" s="54" t="str">
        <f>IFERROR(IF(INDEX(SPOT_Import!$A$1:$Z$2488,1695,'Live Data'!$C$21)="","",INDEX(SPOT_Import!$A$1:$Z$2488,1695,'Live Data'!$C$21)),"")</f>
        <v/>
      </c>
      <c r="K1695" s="54" t="str">
        <f>IFERROR(IF(INDEX(SPOT_Import!$A$1:$Z$2488,1695,'Live Data'!$C$22)="","",INDEX(SPOT_Import!$A$1:$Z$2488,1695,'Live Data'!$C$22)),"")</f>
        <v/>
      </c>
      <c r="L1695" s="55" t="str">
        <f t="shared" si="52"/>
        <v/>
      </c>
      <c r="M1695" s="55" t="str">
        <f t="shared" si="53"/>
        <v/>
      </c>
      <c r="N1695" s="55" t="str">
        <f>IF(A1695="","",IFERROR(INDEX('Cluster Map'!$A$4:$A$38,MATCH(M1695,'Cluster Map'!$B$4:$B$38,0)),"Unmapped"))</f>
        <v/>
      </c>
      <c r="O1695" s="55">
        <f>IF(A1695="",0,IF(COUNTIFS($A$2:A1695,A1695,$F$2:F1695,F1695,$L$2:L1695,L1695)=1,1,0))</f>
        <v>0</v>
      </c>
      <c r="P1695" s="55">
        <f>IF(A1695="",0,IF(AND(F1695="C&amp;T",COUNTIFS($A$2:A1695,A1695,$F$2:F1695,"C&amp;T")=1),1,0))</f>
        <v>0</v>
      </c>
    </row>
    <row r="1696" spans="1:16" x14ac:dyDescent="0.35">
      <c r="A1696" s="54" t="str">
        <f>IFERROR(IF(INDEX(SPOT_Import!$A$1:$Z$2488,1696,'Live Data'!$C$12)="","",INDEX(SPOT_Import!$A$1:$Z$2488,1696,'Live Data'!$C$12)),"")</f>
        <v/>
      </c>
      <c r="B1696" s="54" t="str">
        <f>IFERROR(IF(INDEX(SPOT_Import!$A$1:$Z$2488,1696,'Live Data'!$C$13)="","",INDEX(SPOT_Import!$A$1:$Z$2488,1696,'Live Data'!$C$13)),"")</f>
        <v/>
      </c>
      <c r="C1696" s="54" t="str">
        <f>IFERROR(IF(INDEX(SPOT_Import!$A$1:$Z$2488,1696,'Live Data'!$C$14)="","",INDEX(SPOT_Import!$A$1:$Z$2488,1696,'Live Data'!$C$14)),"")</f>
        <v/>
      </c>
      <c r="D1696" s="54" t="str">
        <f>IFERROR(IF(INDEX(SPOT_Import!$A$1:$Z$2488,1696,'Live Data'!$C$15)="","",INDEX(SPOT_Import!$A$1:$Z$2488,1696,'Live Data'!$C$15)),"")</f>
        <v/>
      </c>
      <c r="E1696" s="54" t="str">
        <f>IFERROR(IF(INDEX(SPOT_Import!$A$1:$Z$2488,1696,'Live Data'!$C$16)="","",INDEX(SPOT_Import!$A$1:$Z$2488,1696,'Live Data'!$C$16)),"")</f>
        <v/>
      </c>
      <c r="F1696" s="54" t="str">
        <f>IFERROR(IF(INDEX(SPOT_Import!$A$1:$Z$2488,1696,'Live Data'!$C$17)="","",INDEX(SPOT_Import!$A$1:$Z$2488,1696,'Live Data'!$C$17)),"")</f>
        <v/>
      </c>
      <c r="G1696" s="54" t="str">
        <f>IFERROR(IF(INDEX(SPOT_Import!$A$1:$Z$2488,1696,'Live Data'!$C$18)="","",INDEX(SPOT_Import!$A$1:$Z$2488,1696,'Live Data'!$C$18)),"")</f>
        <v/>
      </c>
      <c r="H1696" s="54" t="str">
        <f>IFERROR(IF(INDEX(SPOT_Import!$A$1:$Z$2488,1696,'Live Data'!$C$19)="","",INDEX(SPOT_Import!$A$1:$Z$2488,1696,'Live Data'!$C$19)),"")</f>
        <v/>
      </c>
      <c r="I1696" s="54" t="str">
        <f>IFERROR(IF(INDEX(SPOT_Import!$A$1:$Z$2488,1696,'Live Data'!$C$20)="","",INDEX(SPOT_Import!$A$1:$Z$2488,1696,'Live Data'!$C$20)),"")</f>
        <v/>
      </c>
      <c r="J1696" s="54" t="str">
        <f>IFERROR(IF(INDEX(SPOT_Import!$A$1:$Z$2488,1696,'Live Data'!$C$21)="","",INDEX(SPOT_Import!$A$1:$Z$2488,1696,'Live Data'!$C$21)),"")</f>
        <v/>
      </c>
      <c r="K1696" s="54" t="str">
        <f>IFERROR(IF(INDEX(SPOT_Import!$A$1:$Z$2488,1696,'Live Data'!$C$22)="","",INDEX(SPOT_Import!$A$1:$Z$2488,1696,'Live Data'!$C$22)),"")</f>
        <v/>
      </c>
      <c r="L1696" s="55" t="str">
        <f t="shared" si="52"/>
        <v/>
      </c>
      <c r="M1696" s="55" t="str">
        <f t="shared" si="53"/>
        <v/>
      </c>
      <c r="N1696" s="55" t="str">
        <f>IF(A1696="","",IFERROR(INDEX('Cluster Map'!$A$4:$A$38,MATCH(M1696,'Cluster Map'!$B$4:$B$38,0)),"Unmapped"))</f>
        <v/>
      </c>
      <c r="O1696" s="55">
        <f>IF(A1696="",0,IF(COUNTIFS($A$2:A1696,A1696,$F$2:F1696,F1696,$L$2:L1696,L1696)=1,1,0))</f>
        <v>0</v>
      </c>
      <c r="P1696" s="55">
        <f>IF(A1696="",0,IF(AND(F1696="C&amp;T",COUNTIFS($A$2:A1696,A1696,$F$2:F1696,"C&amp;T")=1),1,0))</f>
        <v>0</v>
      </c>
    </row>
    <row r="1697" spans="1:16" x14ac:dyDescent="0.35">
      <c r="A1697" s="54" t="str">
        <f>IFERROR(IF(INDEX(SPOT_Import!$A$1:$Z$2488,1697,'Live Data'!$C$12)="","",INDEX(SPOT_Import!$A$1:$Z$2488,1697,'Live Data'!$C$12)),"")</f>
        <v/>
      </c>
      <c r="B1697" s="54" t="str">
        <f>IFERROR(IF(INDEX(SPOT_Import!$A$1:$Z$2488,1697,'Live Data'!$C$13)="","",INDEX(SPOT_Import!$A$1:$Z$2488,1697,'Live Data'!$C$13)),"")</f>
        <v/>
      </c>
      <c r="C1697" s="54" t="str">
        <f>IFERROR(IF(INDEX(SPOT_Import!$A$1:$Z$2488,1697,'Live Data'!$C$14)="","",INDEX(SPOT_Import!$A$1:$Z$2488,1697,'Live Data'!$C$14)),"")</f>
        <v/>
      </c>
      <c r="D1697" s="54" t="str">
        <f>IFERROR(IF(INDEX(SPOT_Import!$A$1:$Z$2488,1697,'Live Data'!$C$15)="","",INDEX(SPOT_Import!$A$1:$Z$2488,1697,'Live Data'!$C$15)),"")</f>
        <v/>
      </c>
      <c r="E1697" s="54" t="str">
        <f>IFERROR(IF(INDEX(SPOT_Import!$A$1:$Z$2488,1697,'Live Data'!$C$16)="","",INDEX(SPOT_Import!$A$1:$Z$2488,1697,'Live Data'!$C$16)),"")</f>
        <v/>
      </c>
      <c r="F1697" s="54" t="str">
        <f>IFERROR(IF(INDEX(SPOT_Import!$A$1:$Z$2488,1697,'Live Data'!$C$17)="","",INDEX(SPOT_Import!$A$1:$Z$2488,1697,'Live Data'!$C$17)),"")</f>
        <v/>
      </c>
      <c r="G1697" s="54" t="str">
        <f>IFERROR(IF(INDEX(SPOT_Import!$A$1:$Z$2488,1697,'Live Data'!$C$18)="","",INDEX(SPOT_Import!$A$1:$Z$2488,1697,'Live Data'!$C$18)),"")</f>
        <v/>
      </c>
      <c r="H1697" s="54" t="str">
        <f>IFERROR(IF(INDEX(SPOT_Import!$A$1:$Z$2488,1697,'Live Data'!$C$19)="","",INDEX(SPOT_Import!$A$1:$Z$2488,1697,'Live Data'!$C$19)),"")</f>
        <v/>
      </c>
      <c r="I1697" s="54" t="str">
        <f>IFERROR(IF(INDEX(SPOT_Import!$A$1:$Z$2488,1697,'Live Data'!$C$20)="","",INDEX(SPOT_Import!$A$1:$Z$2488,1697,'Live Data'!$C$20)),"")</f>
        <v/>
      </c>
      <c r="J1697" s="54" t="str">
        <f>IFERROR(IF(INDEX(SPOT_Import!$A$1:$Z$2488,1697,'Live Data'!$C$21)="","",INDEX(SPOT_Import!$A$1:$Z$2488,1697,'Live Data'!$C$21)),"")</f>
        <v/>
      </c>
      <c r="K1697" s="54" t="str">
        <f>IFERROR(IF(INDEX(SPOT_Import!$A$1:$Z$2488,1697,'Live Data'!$C$22)="","",INDEX(SPOT_Import!$A$1:$Z$2488,1697,'Live Data'!$C$22)),"")</f>
        <v/>
      </c>
      <c r="L1697" s="55" t="str">
        <f t="shared" si="52"/>
        <v/>
      </c>
      <c r="M1697" s="55" t="str">
        <f t="shared" si="53"/>
        <v/>
      </c>
      <c r="N1697" s="55" t="str">
        <f>IF(A1697="","",IFERROR(INDEX('Cluster Map'!$A$4:$A$38,MATCH(M1697,'Cluster Map'!$B$4:$B$38,0)),"Unmapped"))</f>
        <v/>
      </c>
      <c r="O1697" s="55">
        <f>IF(A1697="",0,IF(COUNTIFS($A$2:A1697,A1697,$F$2:F1697,F1697,$L$2:L1697,L1697)=1,1,0))</f>
        <v>0</v>
      </c>
      <c r="P1697" s="55">
        <f>IF(A1697="",0,IF(AND(F1697="C&amp;T",COUNTIFS($A$2:A1697,A1697,$F$2:F1697,"C&amp;T")=1),1,0))</f>
        <v>0</v>
      </c>
    </row>
    <row r="1698" spans="1:16" x14ac:dyDescent="0.35">
      <c r="A1698" s="54" t="str">
        <f>IFERROR(IF(INDEX(SPOT_Import!$A$1:$Z$2488,1698,'Live Data'!$C$12)="","",INDEX(SPOT_Import!$A$1:$Z$2488,1698,'Live Data'!$C$12)),"")</f>
        <v/>
      </c>
      <c r="B1698" s="54" t="str">
        <f>IFERROR(IF(INDEX(SPOT_Import!$A$1:$Z$2488,1698,'Live Data'!$C$13)="","",INDEX(SPOT_Import!$A$1:$Z$2488,1698,'Live Data'!$C$13)),"")</f>
        <v/>
      </c>
      <c r="C1698" s="54" t="str">
        <f>IFERROR(IF(INDEX(SPOT_Import!$A$1:$Z$2488,1698,'Live Data'!$C$14)="","",INDEX(SPOT_Import!$A$1:$Z$2488,1698,'Live Data'!$C$14)),"")</f>
        <v/>
      </c>
      <c r="D1698" s="54" t="str">
        <f>IFERROR(IF(INDEX(SPOT_Import!$A$1:$Z$2488,1698,'Live Data'!$C$15)="","",INDEX(SPOT_Import!$A$1:$Z$2488,1698,'Live Data'!$C$15)),"")</f>
        <v/>
      </c>
      <c r="E1698" s="54" t="str">
        <f>IFERROR(IF(INDEX(SPOT_Import!$A$1:$Z$2488,1698,'Live Data'!$C$16)="","",INDEX(SPOT_Import!$A$1:$Z$2488,1698,'Live Data'!$C$16)),"")</f>
        <v/>
      </c>
      <c r="F1698" s="54" t="str">
        <f>IFERROR(IF(INDEX(SPOT_Import!$A$1:$Z$2488,1698,'Live Data'!$C$17)="","",INDEX(SPOT_Import!$A$1:$Z$2488,1698,'Live Data'!$C$17)),"")</f>
        <v/>
      </c>
      <c r="G1698" s="54" t="str">
        <f>IFERROR(IF(INDEX(SPOT_Import!$A$1:$Z$2488,1698,'Live Data'!$C$18)="","",INDEX(SPOT_Import!$A$1:$Z$2488,1698,'Live Data'!$C$18)),"")</f>
        <v/>
      </c>
      <c r="H1698" s="54" t="str">
        <f>IFERROR(IF(INDEX(SPOT_Import!$A$1:$Z$2488,1698,'Live Data'!$C$19)="","",INDEX(SPOT_Import!$A$1:$Z$2488,1698,'Live Data'!$C$19)),"")</f>
        <v/>
      </c>
      <c r="I1698" s="54" t="str">
        <f>IFERROR(IF(INDEX(SPOT_Import!$A$1:$Z$2488,1698,'Live Data'!$C$20)="","",INDEX(SPOT_Import!$A$1:$Z$2488,1698,'Live Data'!$C$20)),"")</f>
        <v/>
      </c>
      <c r="J1698" s="54" t="str">
        <f>IFERROR(IF(INDEX(SPOT_Import!$A$1:$Z$2488,1698,'Live Data'!$C$21)="","",INDEX(SPOT_Import!$A$1:$Z$2488,1698,'Live Data'!$C$21)),"")</f>
        <v/>
      </c>
      <c r="K1698" s="54" t="str">
        <f>IFERROR(IF(INDEX(SPOT_Import!$A$1:$Z$2488,1698,'Live Data'!$C$22)="","",INDEX(SPOT_Import!$A$1:$Z$2488,1698,'Live Data'!$C$22)),"")</f>
        <v/>
      </c>
      <c r="L1698" s="55" t="str">
        <f t="shared" si="52"/>
        <v/>
      </c>
      <c r="M1698" s="55" t="str">
        <f t="shared" si="53"/>
        <v/>
      </c>
      <c r="N1698" s="55" t="str">
        <f>IF(A1698="","",IFERROR(INDEX('Cluster Map'!$A$4:$A$38,MATCH(M1698,'Cluster Map'!$B$4:$B$38,0)),"Unmapped"))</f>
        <v/>
      </c>
      <c r="O1698" s="55">
        <f>IF(A1698="",0,IF(COUNTIFS($A$2:A1698,A1698,$F$2:F1698,F1698,$L$2:L1698,L1698)=1,1,0))</f>
        <v>0</v>
      </c>
      <c r="P1698" s="55">
        <f>IF(A1698="",0,IF(AND(F1698="C&amp;T",COUNTIFS($A$2:A1698,A1698,$F$2:F1698,"C&amp;T")=1),1,0))</f>
        <v>0</v>
      </c>
    </row>
    <row r="1699" spans="1:16" x14ac:dyDescent="0.35">
      <c r="A1699" s="54" t="str">
        <f>IFERROR(IF(INDEX(SPOT_Import!$A$1:$Z$2488,1699,'Live Data'!$C$12)="","",INDEX(SPOT_Import!$A$1:$Z$2488,1699,'Live Data'!$C$12)),"")</f>
        <v/>
      </c>
      <c r="B1699" s="54" t="str">
        <f>IFERROR(IF(INDEX(SPOT_Import!$A$1:$Z$2488,1699,'Live Data'!$C$13)="","",INDEX(SPOT_Import!$A$1:$Z$2488,1699,'Live Data'!$C$13)),"")</f>
        <v/>
      </c>
      <c r="C1699" s="54" t="str">
        <f>IFERROR(IF(INDEX(SPOT_Import!$A$1:$Z$2488,1699,'Live Data'!$C$14)="","",INDEX(SPOT_Import!$A$1:$Z$2488,1699,'Live Data'!$C$14)),"")</f>
        <v/>
      </c>
      <c r="D1699" s="54" t="str">
        <f>IFERROR(IF(INDEX(SPOT_Import!$A$1:$Z$2488,1699,'Live Data'!$C$15)="","",INDEX(SPOT_Import!$A$1:$Z$2488,1699,'Live Data'!$C$15)),"")</f>
        <v/>
      </c>
      <c r="E1699" s="54" t="str">
        <f>IFERROR(IF(INDEX(SPOT_Import!$A$1:$Z$2488,1699,'Live Data'!$C$16)="","",INDEX(SPOT_Import!$A$1:$Z$2488,1699,'Live Data'!$C$16)),"")</f>
        <v/>
      </c>
      <c r="F1699" s="54" t="str">
        <f>IFERROR(IF(INDEX(SPOT_Import!$A$1:$Z$2488,1699,'Live Data'!$C$17)="","",INDEX(SPOT_Import!$A$1:$Z$2488,1699,'Live Data'!$C$17)),"")</f>
        <v/>
      </c>
      <c r="G1699" s="54" t="str">
        <f>IFERROR(IF(INDEX(SPOT_Import!$A$1:$Z$2488,1699,'Live Data'!$C$18)="","",INDEX(SPOT_Import!$A$1:$Z$2488,1699,'Live Data'!$C$18)),"")</f>
        <v/>
      </c>
      <c r="H1699" s="54" t="str">
        <f>IFERROR(IF(INDEX(SPOT_Import!$A$1:$Z$2488,1699,'Live Data'!$C$19)="","",INDEX(SPOT_Import!$A$1:$Z$2488,1699,'Live Data'!$C$19)),"")</f>
        <v/>
      </c>
      <c r="I1699" s="54" t="str">
        <f>IFERROR(IF(INDEX(SPOT_Import!$A$1:$Z$2488,1699,'Live Data'!$C$20)="","",INDEX(SPOT_Import!$A$1:$Z$2488,1699,'Live Data'!$C$20)),"")</f>
        <v/>
      </c>
      <c r="J1699" s="54" t="str">
        <f>IFERROR(IF(INDEX(SPOT_Import!$A$1:$Z$2488,1699,'Live Data'!$C$21)="","",INDEX(SPOT_Import!$A$1:$Z$2488,1699,'Live Data'!$C$21)),"")</f>
        <v/>
      </c>
      <c r="K1699" s="54" t="str">
        <f>IFERROR(IF(INDEX(SPOT_Import!$A$1:$Z$2488,1699,'Live Data'!$C$22)="","",INDEX(SPOT_Import!$A$1:$Z$2488,1699,'Live Data'!$C$22)),"")</f>
        <v/>
      </c>
      <c r="L1699" s="55" t="str">
        <f t="shared" si="52"/>
        <v/>
      </c>
      <c r="M1699" s="55" t="str">
        <f t="shared" si="53"/>
        <v/>
      </c>
      <c r="N1699" s="55" t="str">
        <f>IF(A1699="","",IFERROR(INDEX('Cluster Map'!$A$4:$A$38,MATCH(M1699,'Cluster Map'!$B$4:$B$38,0)),"Unmapped"))</f>
        <v/>
      </c>
      <c r="O1699" s="55">
        <f>IF(A1699="",0,IF(COUNTIFS($A$2:A1699,A1699,$F$2:F1699,F1699,$L$2:L1699,L1699)=1,1,0))</f>
        <v>0</v>
      </c>
      <c r="P1699" s="55">
        <f>IF(A1699="",0,IF(AND(F1699="C&amp;T",COUNTIFS($A$2:A1699,A1699,$F$2:F1699,"C&amp;T")=1),1,0))</f>
        <v>0</v>
      </c>
    </row>
    <row r="1700" spans="1:16" x14ac:dyDescent="0.35">
      <c r="A1700" s="54" t="str">
        <f>IFERROR(IF(INDEX(SPOT_Import!$A$1:$Z$2488,1700,'Live Data'!$C$12)="","",INDEX(SPOT_Import!$A$1:$Z$2488,1700,'Live Data'!$C$12)),"")</f>
        <v/>
      </c>
      <c r="B1700" s="54" t="str">
        <f>IFERROR(IF(INDEX(SPOT_Import!$A$1:$Z$2488,1700,'Live Data'!$C$13)="","",INDEX(SPOT_Import!$A$1:$Z$2488,1700,'Live Data'!$C$13)),"")</f>
        <v/>
      </c>
      <c r="C1700" s="54" t="str">
        <f>IFERROR(IF(INDEX(SPOT_Import!$A$1:$Z$2488,1700,'Live Data'!$C$14)="","",INDEX(SPOT_Import!$A$1:$Z$2488,1700,'Live Data'!$C$14)),"")</f>
        <v/>
      </c>
      <c r="D1700" s="54" t="str">
        <f>IFERROR(IF(INDEX(SPOT_Import!$A$1:$Z$2488,1700,'Live Data'!$C$15)="","",INDEX(SPOT_Import!$A$1:$Z$2488,1700,'Live Data'!$C$15)),"")</f>
        <v/>
      </c>
      <c r="E1700" s="54" t="str">
        <f>IFERROR(IF(INDEX(SPOT_Import!$A$1:$Z$2488,1700,'Live Data'!$C$16)="","",INDEX(SPOT_Import!$A$1:$Z$2488,1700,'Live Data'!$C$16)),"")</f>
        <v/>
      </c>
      <c r="F1700" s="54" t="str">
        <f>IFERROR(IF(INDEX(SPOT_Import!$A$1:$Z$2488,1700,'Live Data'!$C$17)="","",INDEX(SPOT_Import!$A$1:$Z$2488,1700,'Live Data'!$C$17)),"")</f>
        <v/>
      </c>
      <c r="G1700" s="54" t="str">
        <f>IFERROR(IF(INDEX(SPOT_Import!$A$1:$Z$2488,1700,'Live Data'!$C$18)="","",INDEX(SPOT_Import!$A$1:$Z$2488,1700,'Live Data'!$C$18)),"")</f>
        <v/>
      </c>
      <c r="H1700" s="54" t="str">
        <f>IFERROR(IF(INDEX(SPOT_Import!$A$1:$Z$2488,1700,'Live Data'!$C$19)="","",INDEX(SPOT_Import!$A$1:$Z$2488,1700,'Live Data'!$C$19)),"")</f>
        <v/>
      </c>
      <c r="I1700" s="54" t="str">
        <f>IFERROR(IF(INDEX(SPOT_Import!$A$1:$Z$2488,1700,'Live Data'!$C$20)="","",INDEX(SPOT_Import!$A$1:$Z$2488,1700,'Live Data'!$C$20)),"")</f>
        <v/>
      </c>
      <c r="J1700" s="54" t="str">
        <f>IFERROR(IF(INDEX(SPOT_Import!$A$1:$Z$2488,1700,'Live Data'!$C$21)="","",INDEX(SPOT_Import!$A$1:$Z$2488,1700,'Live Data'!$C$21)),"")</f>
        <v/>
      </c>
      <c r="K1700" s="54" t="str">
        <f>IFERROR(IF(INDEX(SPOT_Import!$A$1:$Z$2488,1700,'Live Data'!$C$22)="","",INDEX(SPOT_Import!$A$1:$Z$2488,1700,'Live Data'!$C$22)),"")</f>
        <v/>
      </c>
      <c r="L1700" s="55" t="str">
        <f t="shared" si="52"/>
        <v/>
      </c>
      <c r="M1700" s="55" t="str">
        <f t="shared" si="53"/>
        <v/>
      </c>
      <c r="N1700" s="55" t="str">
        <f>IF(A1700="","",IFERROR(INDEX('Cluster Map'!$A$4:$A$38,MATCH(M1700,'Cluster Map'!$B$4:$B$38,0)),"Unmapped"))</f>
        <v/>
      </c>
      <c r="O1700" s="55">
        <f>IF(A1700="",0,IF(COUNTIFS($A$2:A1700,A1700,$F$2:F1700,F1700,$L$2:L1700,L1700)=1,1,0))</f>
        <v>0</v>
      </c>
      <c r="P1700" s="55">
        <f>IF(A1700="",0,IF(AND(F1700="C&amp;T",COUNTIFS($A$2:A1700,A1700,$F$2:F1700,"C&amp;T")=1),1,0))</f>
        <v>0</v>
      </c>
    </row>
    <row r="1701" spans="1:16" x14ac:dyDescent="0.35">
      <c r="A1701" s="54" t="str">
        <f>IFERROR(IF(INDEX(SPOT_Import!$A$1:$Z$2488,1701,'Live Data'!$C$12)="","",INDEX(SPOT_Import!$A$1:$Z$2488,1701,'Live Data'!$C$12)),"")</f>
        <v/>
      </c>
      <c r="B1701" s="54" t="str">
        <f>IFERROR(IF(INDEX(SPOT_Import!$A$1:$Z$2488,1701,'Live Data'!$C$13)="","",INDEX(SPOT_Import!$A$1:$Z$2488,1701,'Live Data'!$C$13)),"")</f>
        <v/>
      </c>
      <c r="C1701" s="54" t="str">
        <f>IFERROR(IF(INDEX(SPOT_Import!$A$1:$Z$2488,1701,'Live Data'!$C$14)="","",INDEX(SPOT_Import!$A$1:$Z$2488,1701,'Live Data'!$C$14)),"")</f>
        <v/>
      </c>
      <c r="D1701" s="54" t="str">
        <f>IFERROR(IF(INDEX(SPOT_Import!$A$1:$Z$2488,1701,'Live Data'!$C$15)="","",INDEX(SPOT_Import!$A$1:$Z$2488,1701,'Live Data'!$C$15)),"")</f>
        <v/>
      </c>
      <c r="E1701" s="54" t="str">
        <f>IFERROR(IF(INDEX(SPOT_Import!$A$1:$Z$2488,1701,'Live Data'!$C$16)="","",INDEX(SPOT_Import!$A$1:$Z$2488,1701,'Live Data'!$C$16)),"")</f>
        <v/>
      </c>
      <c r="F1701" s="54" t="str">
        <f>IFERROR(IF(INDEX(SPOT_Import!$A$1:$Z$2488,1701,'Live Data'!$C$17)="","",INDEX(SPOT_Import!$A$1:$Z$2488,1701,'Live Data'!$C$17)),"")</f>
        <v/>
      </c>
      <c r="G1701" s="54" t="str">
        <f>IFERROR(IF(INDEX(SPOT_Import!$A$1:$Z$2488,1701,'Live Data'!$C$18)="","",INDEX(SPOT_Import!$A$1:$Z$2488,1701,'Live Data'!$C$18)),"")</f>
        <v/>
      </c>
      <c r="H1701" s="54" t="str">
        <f>IFERROR(IF(INDEX(SPOT_Import!$A$1:$Z$2488,1701,'Live Data'!$C$19)="","",INDEX(SPOT_Import!$A$1:$Z$2488,1701,'Live Data'!$C$19)),"")</f>
        <v/>
      </c>
      <c r="I1701" s="54" t="str">
        <f>IFERROR(IF(INDEX(SPOT_Import!$A$1:$Z$2488,1701,'Live Data'!$C$20)="","",INDEX(SPOT_Import!$A$1:$Z$2488,1701,'Live Data'!$C$20)),"")</f>
        <v/>
      </c>
      <c r="J1701" s="54" t="str">
        <f>IFERROR(IF(INDEX(SPOT_Import!$A$1:$Z$2488,1701,'Live Data'!$C$21)="","",INDEX(SPOT_Import!$A$1:$Z$2488,1701,'Live Data'!$C$21)),"")</f>
        <v/>
      </c>
      <c r="K1701" s="54" t="str">
        <f>IFERROR(IF(INDEX(SPOT_Import!$A$1:$Z$2488,1701,'Live Data'!$C$22)="","",INDEX(SPOT_Import!$A$1:$Z$2488,1701,'Live Data'!$C$22)),"")</f>
        <v/>
      </c>
      <c r="L1701" s="55" t="str">
        <f t="shared" si="52"/>
        <v/>
      </c>
      <c r="M1701" s="55" t="str">
        <f t="shared" si="53"/>
        <v/>
      </c>
      <c r="N1701" s="55" t="str">
        <f>IF(A1701="","",IFERROR(INDEX('Cluster Map'!$A$4:$A$38,MATCH(M1701,'Cluster Map'!$B$4:$B$38,0)),"Unmapped"))</f>
        <v/>
      </c>
      <c r="O1701" s="55">
        <f>IF(A1701="",0,IF(COUNTIFS($A$2:A1701,A1701,$F$2:F1701,F1701,$L$2:L1701,L1701)=1,1,0))</f>
        <v>0</v>
      </c>
      <c r="P1701" s="55">
        <f>IF(A1701="",0,IF(AND(F1701="C&amp;T",COUNTIFS($A$2:A1701,A1701,$F$2:F1701,"C&amp;T")=1),1,0))</f>
        <v>0</v>
      </c>
    </row>
    <row r="1702" spans="1:16" x14ac:dyDescent="0.35">
      <c r="A1702" s="54" t="str">
        <f>IFERROR(IF(INDEX(SPOT_Import!$A$1:$Z$2488,1702,'Live Data'!$C$12)="","",INDEX(SPOT_Import!$A$1:$Z$2488,1702,'Live Data'!$C$12)),"")</f>
        <v/>
      </c>
      <c r="B1702" s="54" t="str">
        <f>IFERROR(IF(INDEX(SPOT_Import!$A$1:$Z$2488,1702,'Live Data'!$C$13)="","",INDEX(SPOT_Import!$A$1:$Z$2488,1702,'Live Data'!$C$13)),"")</f>
        <v/>
      </c>
      <c r="C1702" s="54" t="str">
        <f>IFERROR(IF(INDEX(SPOT_Import!$A$1:$Z$2488,1702,'Live Data'!$C$14)="","",INDEX(SPOT_Import!$A$1:$Z$2488,1702,'Live Data'!$C$14)),"")</f>
        <v/>
      </c>
      <c r="D1702" s="54" t="str">
        <f>IFERROR(IF(INDEX(SPOT_Import!$A$1:$Z$2488,1702,'Live Data'!$C$15)="","",INDEX(SPOT_Import!$A$1:$Z$2488,1702,'Live Data'!$C$15)),"")</f>
        <v/>
      </c>
      <c r="E1702" s="54" t="str">
        <f>IFERROR(IF(INDEX(SPOT_Import!$A$1:$Z$2488,1702,'Live Data'!$C$16)="","",INDEX(SPOT_Import!$A$1:$Z$2488,1702,'Live Data'!$C$16)),"")</f>
        <v/>
      </c>
      <c r="F1702" s="54" t="str">
        <f>IFERROR(IF(INDEX(SPOT_Import!$A$1:$Z$2488,1702,'Live Data'!$C$17)="","",INDEX(SPOT_Import!$A$1:$Z$2488,1702,'Live Data'!$C$17)),"")</f>
        <v/>
      </c>
      <c r="G1702" s="54" t="str">
        <f>IFERROR(IF(INDEX(SPOT_Import!$A$1:$Z$2488,1702,'Live Data'!$C$18)="","",INDEX(SPOT_Import!$A$1:$Z$2488,1702,'Live Data'!$C$18)),"")</f>
        <v/>
      </c>
      <c r="H1702" s="54" t="str">
        <f>IFERROR(IF(INDEX(SPOT_Import!$A$1:$Z$2488,1702,'Live Data'!$C$19)="","",INDEX(SPOT_Import!$A$1:$Z$2488,1702,'Live Data'!$C$19)),"")</f>
        <v/>
      </c>
      <c r="I1702" s="54" t="str">
        <f>IFERROR(IF(INDEX(SPOT_Import!$A$1:$Z$2488,1702,'Live Data'!$C$20)="","",INDEX(SPOT_Import!$A$1:$Z$2488,1702,'Live Data'!$C$20)),"")</f>
        <v/>
      </c>
      <c r="J1702" s="54" t="str">
        <f>IFERROR(IF(INDEX(SPOT_Import!$A$1:$Z$2488,1702,'Live Data'!$C$21)="","",INDEX(SPOT_Import!$A$1:$Z$2488,1702,'Live Data'!$C$21)),"")</f>
        <v/>
      </c>
      <c r="K1702" s="54" t="str">
        <f>IFERROR(IF(INDEX(SPOT_Import!$A$1:$Z$2488,1702,'Live Data'!$C$22)="","",INDEX(SPOT_Import!$A$1:$Z$2488,1702,'Live Data'!$C$22)),"")</f>
        <v/>
      </c>
      <c r="L1702" s="55" t="str">
        <f t="shared" si="52"/>
        <v/>
      </c>
      <c r="M1702" s="55" t="str">
        <f t="shared" si="53"/>
        <v/>
      </c>
      <c r="N1702" s="55" t="str">
        <f>IF(A1702="","",IFERROR(INDEX('Cluster Map'!$A$4:$A$38,MATCH(M1702,'Cluster Map'!$B$4:$B$38,0)),"Unmapped"))</f>
        <v/>
      </c>
      <c r="O1702" s="55">
        <f>IF(A1702="",0,IF(COUNTIFS($A$2:A1702,A1702,$F$2:F1702,F1702,$L$2:L1702,L1702)=1,1,0))</f>
        <v>0</v>
      </c>
      <c r="P1702" s="55">
        <f>IF(A1702="",0,IF(AND(F1702="C&amp;T",COUNTIFS($A$2:A1702,A1702,$F$2:F1702,"C&amp;T")=1),1,0))</f>
        <v>0</v>
      </c>
    </row>
    <row r="1703" spans="1:16" x14ac:dyDescent="0.35">
      <c r="A1703" s="54" t="str">
        <f>IFERROR(IF(INDEX(SPOT_Import!$A$1:$Z$2488,1703,'Live Data'!$C$12)="","",INDEX(SPOT_Import!$A$1:$Z$2488,1703,'Live Data'!$C$12)),"")</f>
        <v/>
      </c>
      <c r="B1703" s="54" t="str">
        <f>IFERROR(IF(INDEX(SPOT_Import!$A$1:$Z$2488,1703,'Live Data'!$C$13)="","",INDEX(SPOT_Import!$A$1:$Z$2488,1703,'Live Data'!$C$13)),"")</f>
        <v/>
      </c>
      <c r="C1703" s="54" t="str">
        <f>IFERROR(IF(INDEX(SPOT_Import!$A$1:$Z$2488,1703,'Live Data'!$C$14)="","",INDEX(SPOT_Import!$A$1:$Z$2488,1703,'Live Data'!$C$14)),"")</f>
        <v/>
      </c>
      <c r="D1703" s="54" t="str">
        <f>IFERROR(IF(INDEX(SPOT_Import!$A$1:$Z$2488,1703,'Live Data'!$C$15)="","",INDEX(SPOT_Import!$A$1:$Z$2488,1703,'Live Data'!$C$15)),"")</f>
        <v/>
      </c>
      <c r="E1703" s="54" t="str">
        <f>IFERROR(IF(INDEX(SPOT_Import!$A$1:$Z$2488,1703,'Live Data'!$C$16)="","",INDEX(SPOT_Import!$A$1:$Z$2488,1703,'Live Data'!$C$16)),"")</f>
        <v/>
      </c>
      <c r="F1703" s="54" t="str">
        <f>IFERROR(IF(INDEX(SPOT_Import!$A$1:$Z$2488,1703,'Live Data'!$C$17)="","",INDEX(SPOT_Import!$A$1:$Z$2488,1703,'Live Data'!$C$17)),"")</f>
        <v/>
      </c>
      <c r="G1703" s="54" t="str">
        <f>IFERROR(IF(INDEX(SPOT_Import!$A$1:$Z$2488,1703,'Live Data'!$C$18)="","",INDEX(SPOT_Import!$A$1:$Z$2488,1703,'Live Data'!$C$18)),"")</f>
        <v/>
      </c>
      <c r="H1703" s="54" t="str">
        <f>IFERROR(IF(INDEX(SPOT_Import!$A$1:$Z$2488,1703,'Live Data'!$C$19)="","",INDEX(SPOT_Import!$A$1:$Z$2488,1703,'Live Data'!$C$19)),"")</f>
        <v/>
      </c>
      <c r="I1703" s="54" t="str">
        <f>IFERROR(IF(INDEX(SPOT_Import!$A$1:$Z$2488,1703,'Live Data'!$C$20)="","",INDEX(SPOT_Import!$A$1:$Z$2488,1703,'Live Data'!$C$20)),"")</f>
        <v/>
      </c>
      <c r="J1703" s="54" t="str">
        <f>IFERROR(IF(INDEX(SPOT_Import!$A$1:$Z$2488,1703,'Live Data'!$C$21)="","",INDEX(SPOT_Import!$A$1:$Z$2488,1703,'Live Data'!$C$21)),"")</f>
        <v/>
      </c>
      <c r="K1703" s="54" t="str">
        <f>IFERROR(IF(INDEX(SPOT_Import!$A$1:$Z$2488,1703,'Live Data'!$C$22)="","",INDEX(SPOT_Import!$A$1:$Z$2488,1703,'Live Data'!$C$22)),"")</f>
        <v/>
      </c>
      <c r="L1703" s="55" t="str">
        <f t="shared" si="52"/>
        <v/>
      </c>
      <c r="M1703" s="55" t="str">
        <f t="shared" si="53"/>
        <v/>
      </c>
      <c r="N1703" s="55" t="str">
        <f>IF(A1703="","",IFERROR(INDEX('Cluster Map'!$A$4:$A$38,MATCH(M1703,'Cluster Map'!$B$4:$B$38,0)),"Unmapped"))</f>
        <v/>
      </c>
      <c r="O1703" s="55">
        <f>IF(A1703="",0,IF(COUNTIFS($A$2:A1703,A1703,$F$2:F1703,F1703,$L$2:L1703,L1703)=1,1,0))</f>
        <v>0</v>
      </c>
      <c r="P1703" s="55">
        <f>IF(A1703="",0,IF(AND(F1703="C&amp;T",COUNTIFS($A$2:A1703,A1703,$F$2:F1703,"C&amp;T")=1),1,0))</f>
        <v>0</v>
      </c>
    </row>
    <row r="1704" spans="1:16" x14ac:dyDescent="0.35">
      <c r="A1704" s="54" t="str">
        <f>IFERROR(IF(INDEX(SPOT_Import!$A$1:$Z$2488,1704,'Live Data'!$C$12)="","",INDEX(SPOT_Import!$A$1:$Z$2488,1704,'Live Data'!$C$12)),"")</f>
        <v/>
      </c>
      <c r="B1704" s="54" t="str">
        <f>IFERROR(IF(INDEX(SPOT_Import!$A$1:$Z$2488,1704,'Live Data'!$C$13)="","",INDEX(SPOT_Import!$A$1:$Z$2488,1704,'Live Data'!$C$13)),"")</f>
        <v/>
      </c>
      <c r="C1704" s="54" t="str">
        <f>IFERROR(IF(INDEX(SPOT_Import!$A$1:$Z$2488,1704,'Live Data'!$C$14)="","",INDEX(SPOT_Import!$A$1:$Z$2488,1704,'Live Data'!$C$14)),"")</f>
        <v/>
      </c>
      <c r="D1704" s="54" t="str">
        <f>IFERROR(IF(INDEX(SPOT_Import!$A$1:$Z$2488,1704,'Live Data'!$C$15)="","",INDEX(SPOT_Import!$A$1:$Z$2488,1704,'Live Data'!$C$15)),"")</f>
        <v/>
      </c>
      <c r="E1704" s="54" t="str">
        <f>IFERROR(IF(INDEX(SPOT_Import!$A$1:$Z$2488,1704,'Live Data'!$C$16)="","",INDEX(SPOT_Import!$A$1:$Z$2488,1704,'Live Data'!$C$16)),"")</f>
        <v/>
      </c>
      <c r="F1704" s="54" t="str">
        <f>IFERROR(IF(INDEX(SPOT_Import!$A$1:$Z$2488,1704,'Live Data'!$C$17)="","",INDEX(SPOT_Import!$A$1:$Z$2488,1704,'Live Data'!$C$17)),"")</f>
        <v/>
      </c>
      <c r="G1704" s="54" t="str">
        <f>IFERROR(IF(INDEX(SPOT_Import!$A$1:$Z$2488,1704,'Live Data'!$C$18)="","",INDEX(SPOT_Import!$A$1:$Z$2488,1704,'Live Data'!$C$18)),"")</f>
        <v/>
      </c>
      <c r="H1704" s="54" t="str">
        <f>IFERROR(IF(INDEX(SPOT_Import!$A$1:$Z$2488,1704,'Live Data'!$C$19)="","",INDEX(SPOT_Import!$A$1:$Z$2488,1704,'Live Data'!$C$19)),"")</f>
        <v/>
      </c>
      <c r="I1704" s="54" t="str">
        <f>IFERROR(IF(INDEX(SPOT_Import!$A$1:$Z$2488,1704,'Live Data'!$C$20)="","",INDEX(SPOT_Import!$A$1:$Z$2488,1704,'Live Data'!$C$20)),"")</f>
        <v/>
      </c>
      <c r="J1704" s="54" t="str">
        <f>IFERROR(IF(INDEX(SPOT_Import!$A$1:$Z$2488,1704,'Live Data'!$C$21)="","",INDEX(SPOT_Import!$A$1:$Z$2488,1704,'Live Data'!$C$21)),"")</f>
        <v/>
      </c>
      <c r="K1704" s="54" t="str">
        <f>IFERROR(IF(INDEX(SPOT_Import!$A$1:$Z$2488,1704,'Live Data'!$C$22)="","",INDEX(SPOT_Import!$A$1:$Z$2488,1704,'Live Data'!$C$22)),"")</f>
        <v/>
      </c>
      <c r="L1704" s="55" t="str">
        <f t="shared" si="52"/>
        <v/>
      </c>
      <c r="M1704" s="55" t="str">
        <f t="shared" si="53"/>
        <v/>
      </c>
      <c r="N1704" s="55" t="str">
        <f>IF(A1704="","",IFERROR(INDEX('Cluster Map'!$A$4:$A$38,MATCH(M1704,'Cluster Map'!$B$4:$B$38,0)),"Unmapped"))</f>
        <v/>
      </c>
      <c r="O1704" s="55">
        <f>IF(A1704="",0,IF(COUNTIFS($A$2:A1704,A1704,$F$2:F1704,F1704,$L$2:L1704,L1704)=1,1,0))</f>
        <v>0</v>
      </c>
      <c r="P1704" s="55">
        <f>IF(A1704="",0,IF(AND(F1704="C&amp;T",COUNTIFS($A$2:A1704,A1704,$F$2:F1704,"C&amp;T")=1),1,0))</f>
        <v>0</v>
      </c>
    </row>
    <row r="1705" spans="1:16" x14ac:dyDescent="0.35">
      <c r="A1705" s="54" t="str">
        <f>IFERROR(IF(INDEX(SPOT_Import!$A$1:$Z$2488,1705,'Live Data'!$C$12)="","",INDEX(SPOT_Import!$A$1:$Z$2488,1705,'Live Data'!$C$12)),"")</f>
        <v/>
      </c>
      <c r="B1705" s="54" t="str">
        <f>IFERROR(IF(INDEX(SPOT_Import!$A$1:$Z$2488,1705,'Live Data'!$C$13)="","",INDEX(SPOT_Import!$A$1:$Z$2488,1705,'Live Data'!$C$13)),"")</f>
        <v/>
      </c>
      <c r="C1705" s="54" t="str">
        <f>IFERROR(IF(INDEX(SPOT_Import!$A$1:$Z$2488,1705,'Live Data'!$C$14)="","",INDEX(SPOT_Import!$A$1:$Z$2488,1705,'Live Data'!$C$14)),"")</f>
        <v/>
      </c>
      <c r="D1705" s="54" t="str">
        <f>IFERROR(IF(INDEX(SPOT_Import!$A$1:$Z$2488,1705,'Live Data'!$C$15)="","",INDEX(SPOT_Import!$A$1:$Z$2488,1705,'Live Data'!$C$15)),"")</f>
        <v/>
      </c>
      <c r="E1705" s="54" t="str">
        <f>IFERROR(IF(INDEX(SPOT_Import!$A$1:$Z$2488,1705,'Live Data'!$C$16)="","",INDEX(SPOT_Import!$A$1:$Z$2488,1705,'Live Data'!$C$16)),"")</f>
        <v/>
      </c>
      <c r="F1705" s="54" t="str">
        <f>IFERROR(IF(INDEX(SPOT_Import!$A$1:$Z$2488,1705,'Live Data'!$C$17)="","",INDEX(SPOT_Import!$A$1:$Z$2488,1705,'Live Data'!$C$17)),"")</f>
        <v/>
      </c>
      <c r="G1705" s="54" t="str">
        <f>IFERROR(IF(INDEX(SPOT_Import!$A$1:$Z$2488,1705,'Live Data'!$C$18)="","",INDEX(SPOT_Import!$A$1:$Z$2488,1705,'Live Data'!$C$18)),"")</f>
        <v/>
      </c>
      <c r="H1705" s="54" t="str">
        <f>IFERROR(IF(INDEX(SPOT_Import!$A$1:$Z$2488,1705,'Live Data'!$C$19)="","",INDEX(SPOT_Import!$A$1:$Z$2488,1705,'Live Data'!$C$19)),"")</f>
        <v/>
      </c>
      <c r="I1705" s="54" t="str">
        <f>IFERROR(IF(INDEX(SPOT_Import!$A$1:$Z$2488,1705,'Live Data'!$C$20)="","",INDEX(SPOT_Import!$A$1:$Z$2488,1705,'Live Data'!$C$20)),"")</f>
        <v/>
      </c>
      <c r="J1705" s="54" t="str">
        <f>IFERROR(IF(INDEX(SPOT_Import!$A$1:$Z$2488,1705,'Live Data'!$C$21)="","",INDEX(SPOT_Import!$A$1:$Z$2488,1705,'Live Data'!$C$21)),"")</f>
        <v/>
      </c>
      <c r="K1705" s="54" t="str">
        <f>IFERROR(IF(INDEX(SPOT_Import!$A$1:$Z$2488,1705,'Live Data'!$C$22)="","",INDEX(SPOT_Import!$A$1:$Z$2488,1705,'Live Data'!$C$22)),"")</f>
        <v/>
      </c>
      <c r="L1705" s="55" t="str">
        <f t="shared" si="52"/>
        <v/>
      </c>
      <c r="M1705" s="55" t="str">
        <f t="shared" si="53"/>
        <v/>
      </c>
      <c r="N1705" s="55" t="str">
        <f>IF(A1705="","",IFERROR(INDEX('Cluster Map'!$A$4:$A$38,MATCH(M1705,'Cluster Map'!$B$4:$B$38,0)),"Unmapped"))</f>
        <v/>
      </c>
      <c r="O1705" s="55">
        <f>IF(A1705="",0,IF(COUNTIFS($A$2:A1705,A1705,$F$2:F1705,F1705,$L$2:L1705,L1705)=1,1,0))</f>
        <v>0</v>
      </c>
      <c r="P1705" s="55">
        <f>IF(A1705="",0,IF(AND(F1705="C&amp;T",COUNTIFS($A$2:A1705,A1705,$F$2:F1705,"C&amp;T")=1),1,0))</f>
        <v>0</v>
      </c>
    </row>
    <row r="1706" spans="1:16" x14ac:dyDescent="0.35">
      <c r="A1706" s="54" t="str">
        <f>IFERROR(IF(INDEX(SPOT_Import!$A$1:$Z$2488,1706,'Live Data'!$C$12)="","",INDEX(SPOT_Import!$A$1:$Z$2488,1706,'Live Data'!$C$12)),"")</f>
        <v/>
      </c>
      <c r="B1706" s="54" t="str">
        <f>IFERROR(IF(INDEX(SPOT_Import!$A$1:$Z$2488,1706,'Live Data'!$C$13)="","",INDEX(SPOT_Import!$A$1:$Z$2488,1706,'Live Data'!$C$13)),"")</f>
        <v/>
      </c>
      <c r="C1706" s="54" t="str">
        <f>IFERROR(IF(INDEX(SPOT_Import!$A$1:$Z$2488,1706,'Live Data'!$C$14)="","",INDEX(SPOT_Import!$A$1:$Z$2488,1706,'Live Data'!$C$14)),"")</f>
        <v/>
      </c>
      <c r="D1706" s="54" t="str">
        <f>IFERROR(IF(INDEX(SPOT_Import!$A$1:$Z$2488,1706,'Live Data'!$C$15)="","",INDEX(SPOT_Import!$A$1:$Z$2488,1706,'Live Data'!$C$15)),"")</f>
        <v/>
      </c>
      <c r="E1706" s="54" t="str">
        <f>IFERROR(IF(INDEX(SPOT_Import!$A$1:$Z$2488,1706,'Live Data'!$C$16)="","",INDEX(SPOT_Import!$A$1:$Z$2488,1706,'Live Data'!$C$16)),"")</f>
        <v/>
      </c>
      <c r="F1706" s="54" t="str">
        <f>IFERROR(IF(INDEX(SPOT_Import!$A$1:$Z$2488,1706,'Live Data'!$C$17)="","",INDEX(SPOT_Import!$A$1:$Z$2488,1706,'Live Data'!$C$17)),"")</f>
        <v/>
      </c>
      <c r="G1706" s="54" t="str">
        <f>IFERROR(IF(INDEX(SPOT_Import!$A$1:$Z$2488,1706,'Live Data'!$C$18)="","",INDEX(SPOT_Import!$A$1:$Z$2488,1706,'Live Data'!$C$18)),"")</f>
        <v/>
      </c>
      <c r="H1706" s="54" t="str">
        <f>IFERROR(IF(INDEX(SPOT_Import!$A$1:$Z$2488,1706,'Live Data'!$C$19)="","",INDEX(SPOT_Import!$A$1:$Z$2488,1706,'Live Data'!$C$19)),"")</f>
        <v/>
      </c>
      <c r="I1706" s="54" t="str">
        <f>IFERROR(IF(INDEX(SPOT_Import!$A$1:$Z$2488,1706,'Live Data'!$C$20)="","",INDEX(SPOT_Import!$A$1:$Z$2488,1706,'Live Data'!$C$20)),"")</f>
        <v/>
      </c>
      <c r="J1706" s="54" t="str">
        <f>IFERROR(IF(INDEX(SPOT_Import!$A$1:$Z$2488,1706,'Live Data'!$C$21)="","",INDEX(SPOT_Import!$A$1:$Z$2488,1706,'Live Data'!$C$21)),"")</f>
        <v/>
      </c>
      <c r="K1706" s="54" t="str">
        <f>IFERROR(IF(INDEX(SPOT_Import!$A$1:$Z$2488,1706,'Live Data'!$C$22)="","",INDEX(SPOT_Import!$A$1:$Z$2488,1706,'Live Data'!$C$22)),"")</f>
        <v/>
      </c>
      <c r="L1706" s="55" t="str">
        <f t="shared" si="52"/>
        <v/>
      </c>
      <c r="M1706" s="55" t="str">
        <f t="shared" si="53"/>
        <v/>
      </c>
      <c r="N1706" s="55" t="str">
        <f>IF(A1706="","",IFERROR(INDEX('Cluster Map'!$A$4:$A$38,MATCH(M1706,'Cluster Map'!$B$4:$B$38,0)),"Unmapped"))</f>
        <v/>
      </c>
      <c r="O1706" s="55">
        <f>IF(A1706="",0,IF(COUNTIFS($A$2:A1706,A1706,$F$2:F1706,F1706,$L$2:L1706,L1706)=1,1,0))</f>
        <v>0</v>
      </c>
      <c r="P1706" s="55">
        <f>IF(A1706="",0,IF(AND(F1706="C&amp;T",COUNTIFS($A$2:A1706,A1706,$F$2:F1706,"C&amp;T")=1),1,0))</f>
        <v>0</v>
      </c>
    </row>
    <row r="1707" spans="1:16" x14ac:dyDescent="0.35">
      <c r="A1707" s="54" t="str">
        <f>IFERROR(IF(INDEX(SPOT_Import!$A$1:$Z$2488,1707,'Live Data'!$C$12)="","",INDEX(SPOT_Import!$A$1:$Z$2488,1707,'Live Data'!$C$12)),"")</f>
        <v/>
      </c>
      <c r="B1707" s="54" t="str">
        <f>IFERROR(IF(INDEX(SPOT_Import!$A$1:$Z$2488,1707,'Live Data'!$C$13)="","",INDEX(SPOT_Import!$A$1:$Z$2488,1707,'Live Data'!$C$13)),"")</f>
        <v/>
      </c>
      <c r="C1707" s="54" t="str">
        <f>IFERROR(IF(INDEX(SPOT_Import!$A$1:$Z$2488,1707,'Live Data'!$C$14)="","",INDEX(SPOT_Import!$A$1:$Z$2488,1707,'Live Data'!$C$14)),"")</f>
        <v/>
      </c>
      <c r="D1707" s="54" t="str">
        <f>IFERROR(IF(INDEX(SPOT_Import!$A$1:$Z$2488,1707,'Live Data'!$C$15)="","",INDEX(SPOT_Import!$A$1:$Z$2488,1707,'Live Data'!$C$15)),"")</f>
        <v/>
      </c>
      <c r="E1707" s="54" t="str">
        <f>IFERROR(IF(INDEX(SPOT_Import!$A$1:$Z$2488,1707,'Live Data'!$C$16)="","",INDEX(SPOT_Import!$A$1:$Z$2488,1707,'Live Data'!$C$16)),"")</f>
        <v/>
      </c>
      <c r="F1707" s="54" t="str">
        <f>IFERROR(IF(INDEX(SPOT_Import!$A$1:$Z$2488,1707,'Live Data'!$C$17)="","",INDEX(SPOT_Import!$A$1:$Z$2488,1707,'Live Data'!$C$17)),"")</f>
        <v/>
      </c>
      <c r="G1707" s="54" t="str">
        <f>IFERROR(IF(INDEX(SPOT_Import!$A$1:$Z$2488,1707,'Live Data'!$C$18)="","",INDEX(SPOT_Import!$A$1:$Z$2488,1707,'Live Data'!$C$18)),"")</f>
        <v/>
      </c>
      <c r="H1707" s="54" t="str">
        <f>IFERROR(IF(INDEX(SPOT_Import!$A$1:$Z$2488,1707,'Live Data'!$C$19)="","",INDEX(SPOT_Import!$A$1:$Z$2488,1707,'Live Data'!$C$19)),"")</f>
        <v/>
      </c>
      <c r="I1707" s="54" t="str">
        <f>IFERROR(IF(INDEX(SPOT_Import!$A$1:$Z$2488,1707,'Live Data'!$C$20)="","",INDEX(SPOT_Import!$A$1:$Z$2488,1707,'Live Data'!$C$20)),"")</f>
        <v/>
      </c>
      <c r="J1707" s="54" t="str">
        <f>IFERROR(IF(INDEX(SPOT_Import!$A$1:$Z$2488,1707,'Live Data'!$C$21)="","",INDEX(SPOT_Import!$A$1:$Z$2488,1707,'Live Data'!$C$21)),"")</f>
        <v/>
      </c>
      <c r="K1707" s="54" t="str">
        <f>IFERROR(IF(INDEX(SPOT_Import!$A$1:$Z$2488,1707,'Live Data'!$C$22)="","",INDEX(SPOT_Import!$A$1:$Z$2488,1707,'Live Data'!$C$22)),"")</f>
        <v/>
      </c>
      <c r="L1707" s="55" t="str">
        <f t="shared" si="52"/>
        <v/>
      </c>
      <c r="M1707" s="55" t="str">
        <f t="shared" si="53"/>
        <v/>
      </c>
      <c r="N1707" s="55" t="str">
        <f>IF(A1707="","",IFERROR(INDEX('Cluster Map'!$A$4:$A$38,MATCH(M1707,'Cluster Map'!$B$4:$B$38,0)),"Unmapped"))</f>
        <v/>
      </c>
      <c r="O1707" s="55">
        <f>IF(A1707="",0,IF(COUNTIFS($A$2:A1707,A1707,$F$2:F1707,F1707,$L$2:L1707,L1707)=1,1,0))</f>
        <v>0</v>
      </c>
      <c r="P1707" s="55">
        <f>IF(A1707="",0,IF(AND(F1707="C&amp;T",COUNTIFS($A$2:A1707,A1707,$F$2:F1707,"C&amp;T")=1),1,0))</f>
        <v>0</v>
      </c>
    </row>
    <row r="1708" spans="1:16" x14ac:dyDescent="0.35">
      <c r="A1708" s="54" t="str">
        <f>IFERROR(IF(INDEX(SPOT_Import!$A$1:$Z$2488,1708,'Live Data'!$C$12)="","",INDEX(SPOT_Import!$A$1:$Z$2488,1708,'Live Data'!$C$12)),"")</f>
        <v/>
      </c>
      <c r="B1708" s="54" t="str">
        <f>IFERROR(IF(INDEX(SPOT_Import!$A$1:$Z$2488,1708,'Live Data'!$C$13)="","",INDEX(SPOT_Import!$A$1:$Z$2488,1708,'Live Data'!$C$13)),"")</f>
        <v/>
      </c>
      <c r="C1708" s="54" t="str">
        <f>IFERROR(IF(INDEX(SPOT_Import!$A$1:$Z$2488,1708,'Live Data'!$C$14)="","",INDEX(SPOT_Import!$A$1:$Z$2488,1708,'Live Data'!$C$14)),"")</f>
        <v/>
      </c>
      <c r="D1708" s="54" t="str">
        <f>IFERROR(IF(INDEX(SPOT_Import!$A$1:$Z$2488,1708,'Live Data'!$C$15)="","",INDEX(SPOT_Import!$A$1:$Z$2488,1708,'Live Data'!$C$15)),"")</f>
        <v/>
      </c>
      <c r="E1708" s="54" t="str">
        <f>IFERROR(IF(INDEX(SPOT_Import!$A$1:$Z$2488,1708,'Live Data'!$C$16)="","",INDEX(SPOT_Import!$A$1:$Z$2488,1708,'Live Data'!$C$16)),"")</f>
        <v/>
      </c>
      <c r="F1708" s="54" t="str">
        <f>IFERROR(IF(INDEX(SPOT_Import!$A$1:$Z$2488,1708,'Live Data'!$C$17)="","",INDEX(SPOT_Import!$A$1:$Z$2488,1708,'Live Data'!$C$17)),"")</f>
        <v/>
      </c>
      <c r="G1708" s="54" t="str">
        <f>IFERROR(IF(INDEX(SPOT_Import!$A$1:$Z$2488,1708,'Live Data'!$C$18)="","",INDEX(SPOT_Import!$A$1:$Z$2488,1708,'Live Data'!$C$18)),"")</f>
        <v/>
      </c>
      <c r="H1708" s="54" t="str">
        <f>IFERROR(IF(INDEX(SPOT_Import!$A$1:$Z$2488,1708,'Live Data'!$C$19)="","",INDEX(SPOT_Import!$A$1:$Z$2488,1708,'Live Data'!$C$19)),"")</f>
        <v/>
      </c>
      <c r="I1708" s="54" t="str">
        <f>IFERROR(IF(INDEX(SPOT_Import!$A$1:$Z$2488,1708,'Live Data'!$C$20)="","",INDEX(SPOT_Import!$A$1:$Z$2488,1708,'Live Data'!$C$20)),"")</f>
        <v/>
      </c>
      <c r="J1708" s="54" t="str">
        <f>IFERROR(IF(INDEX(SPOT_Import!$A$1:$Z$2488,1708,'Live Data'!$C$21)="","",INDEX(SPOT_Import!$A$1:$Z$2488,1708,'Live Data'!$C$21)),"")</f>
        <v/>
      </c>
      <c r="K1708" s="54" t="str">
        <f>IFERROR(IF(INDEX(SPOT_Import!$A$1:$Z$2488,1708,'Live Data'!$C$22)="","",INDEX(SPOT_Import!$A$1:$Z$2488,1708,'Live Data'!$C$22)),"")</f>
        <v/>
      </c>
      <c r="L1708" s="55" t="str">
        <f t="shared" si="52"/>
        <v/>
      </c>
      <c r="M1708" s="55" t="str">
        <f t="shared" si="53"/>
        <v/>
      </c>
      <c r="N1708" s="55" t="str">
        <f>IF(A1708="","",IFERROR(INDEX('Cluster Map'!$A$4:$A$38,MATCH(M1708,'Cluster Map'!$B$4:$B$38,0)),"Unmapped"))</f>
        <v/>
      </c>
      <c r="O1708" s="55">
        <f>IF(A1708="",0,IF(COUNTIFS($A$2:A1708,A1708,$F$2:F1708,F1708,$L$2:L1708,L1708)=1,1,0))</f>
        <v>0</v>
      </c>
      <c r="P1708" s="55">
        <f>IF(A1708="",0,IF(AND(F1708="C&amp;T",COUNTIFS($A$2:A1708,A1708,$F$2:F1708,"C&amp;T")=1),1,0))</f>
        <v>0</v>
      </c>
    </row>
    <row r="1709" spans="1:16" x14ac:dyDescent="0.35">
      <c r="A1709" s="54" t="str">
        <f>IFERROR(IF(INDEX(SPOT_Import!$A$1:$Z$2488,1709,'Live Data'!$C$12)="","",INDEX(SPOT_Import!$A$1:$Z$2488,1709,'Live Data'!$C$12)),"")</f>
        <v/>
      </c>
      <c r="B1709" s="54" t="str">
        <f>IFERROR(IF(INDEX(SPOT_Import!$A$1:$Z$2488,1709,'Live Data'!$C$13)="","",INDEX(SPOT_Import!$A$1:$Z$2488,1709,'Live Data'!$C$13)),"")</f>
        <v/>
      </c>
      <c r="C1709" s="54" t="str">
        <f>IFERROR(IF(INDEX(SPOT_Import!$A$1:$Z$2488,1709,'Live Data'!$C$14)="","",INDEX(SPOT_Import!$A$1:$Z$2488,1709,'Live Data'!$C$14)),"")</f>
        <v/>
      </c>
      <c r="D1709" s="54" t="str">
        <f>IFERROR(IF(INDEX(SPOT_Import!$A$1:$Z$2488,1709,'Live Data'!$C$15)="","",INDEX(SPOT_Import!$A$1:$Z$2488,1709,'Live Data'!$C$15)),"")</f>
        <v/>
      </c>
      <c r="E1709" s="54" t="str">
        <f>IFERROR(IF(INDEX(SPOT_Import!$A$1:$Z$2488,1709,'Live Data'!$C$16)="","",INDEX(SPOT_Import!$A$1:$Z$2488,1709,'Live Data'!$C$16)),"")</f>
        <v/>
      </c>
      <c r="F1709" s="54" t="str">
        <f>IFERROR(IF(INDEX(SPOT_Import!$A$1:$Z$2488,1709,'Live Data'!$C$17)="","",INDEX(SPOT_Import!$A$1:$Z$2488,1709,'Live Data'!$C$17)),"")</f>
        <v/>
      </c>
      <c r="G1709" s="54" t="str">
        <f>IFERROR(IF(INDEX(SPOT_Import!$A$1:$Z$2488,1709,'Live Data'!$C$18)="","",INDEX(SPOT_Import!$A$1:$Z$2488,1709,'Live Data'!$C$18)),"")</f>
        <v/>
      </c>
      <c r="H1709" s="54" t="str">
        <f>IFERROR(IF(INDEX(SPOT_Import!$A$1:$Z$2488,1709,'Live Data'!$C$19)="","",INDEX(SPOT_Import!$A$1:$Z$2488,1709,'Live Data'!$C$19)),"")</f>
        <v/>
      </c>
      <c r="I1709" s="54" t="str">
        <f>IFERROR(IF(INDEX(SPOT_Import!$A$1:$Z$2488,1709,'Live Data'!$C$20)="","",INDEX(SPOT_Import!$A$1:$Z$2488,1709,'Live Data'!$C$20)),"")</f>
        <v/>
      </c>
      <c r="J1709" s="54" t="str">
        <f>IFERROR(IF(INDEX(SPOT_Import!$A$1:$Z$2488,1709,'Live Data'!$C$21)="","",INDEX(SPOT_Import!$A$1:$Z$2488,1709,'Live Data'!$C$21)),"")</f>
        <v/>
      </c>
      <c r="K1709" s="54" t="str">
        <f>IFERROR(IF(INDEX(SPOT_Import!$A$1:$Z$2488,1709,'Live Data'!$C$22)="","",INDEX(SPOT_Import!$A$1:$Z$2488,1709,'Live Data'!$C$22)),"")</f>
        <v/>
      </c>
      <c r="L1709" s="55" t="str">
        <f t="shared" si="52"/>
        <v/>
      </c>
      <c r="M1709" s="55" t="str">
        <f t="shared" si="53"/>
        <v/>
      </c>
      <c r="N1709" s="55" t="str">
        <f>IF(A1709="","",IFERROR(INDEX('Cluster Map'!$A$4:$A$38,MATCH(M1709,'Cluster Map'!$B$4:$B$38,0)),"Unmapped"))</f>
        <v/>
      </c>
      <c r="O1709" s="55">
        <f>IF(A1709="",0,IF(COUNTIFS($A$2:A1709,A1709,$F$2:F1709,F1709,$L$2:L1709,L1709)=1,1,0))</f>
        <v>0</v>
      </c>
      <c r="P1709" s="55">
        <f>IF(A1709="",0,IF(AND(F1709="C&amp;T",COUNTIFS($A$2:A1709,A1709,$F$2:F1709,"C&amp;T")=1),1,0))</f>
        <v>0</v>
      </c>
    </row>
    <row r="1710" spans="1:16" x14ac:dyDescent="0.35">
      <c r="A1710" s="54" t="str">
        <f>IFERROR(IF(INDEX(SPOT_Import!$A$1:$Z$2488,1710,'Live Data'!$C$12)="","",INDEX(SPOT_Import!$A$1:$Z$2488,1710,'Live Data'!$C$12)),"")</f>
        <v/>
      </c>
      <c r="B1710" s="54" t="str">
        <f>IFERROR(IF(INDEX(SPOT_Import!$A$1:$Z$2488,1710,'Live Data'!$C$13)="","",INDEX(SPOT_Import!$A$1:$Z$2488,1710,'Live Data'!$C$13)),"")</f>
        <v/>
      </c>
      <c r="C1710" s="54" t="str">
        <f>IFERROR(IF(INDEX(SPOT_Import!$A$1:$Z$2488,1710,'Live Data'!$C$14)="","",INDEX(SPOT_Import!$A$1:$Z$2488,1710,'Live Data'!$C$14)),"")</f>
        <v/>
      </c>
      <c r="D1710" s="54" t="str">
        <f>IFERROR(IF(INDEX(SPOT_Import!$A$1:$Z$2488,1710,'Live Data'!$C$15)="","",INDEX(SPOT_Import!$A$1:$Z$2488,1710,'Live Data'!$C$15)),"")</f>
        <v/>
      </c>
      <c r="E1710" s="54" t="str">
        <f>IFERROR(IF(INDEX(SPOT_Import!$A$1:$Z$2488,1710,'Live Data'!$C$16)="","",INDEX(SPOT_Import!$A$1:$Z$2488,1710,'Live Data'!$C$16)),"")</f>
        <v/>
      </c>
      <c r="F1710" s="54" t="str">
        <f>IFERROR(IF(INDEX(SPOT_Import!$A$1:$Z$2488,1710,'Live Data'!$C$17)="","",INDEX(SPOT_Import!$A$1:$Z$2488,1710,'Live Data'!$C$17)),"")</f>
        <v/>
      </c>
      <c r="G1710" s="54" t="str">
        <f>IFERROR(IF(INDEX(SPOT_Import!$A$1:$Z$2488,1710,'Live Data'!$C$18)="","",INDEX(SPOT_Import!$A$1:$Z$2488,1710,'Live Data'!$C$18)),"")</f>
        <v/>
      </c>
      <c r="H1710" s="54" t="str">
        <f>IFERROR(IF(INDEX(SPOT_Import!$A$1:$Z$2488,1710,'Live Data'!$C$19)="","",INDEX(SPOT_Import!$A$1:$Z$2488,1710,'Live Data'!$C$19)),"")</f>
        <v/>
      </c>
      <c r="I1710" s="54" t="str">
        <f>IFERROR(IF(INDEX(SPOT_Import!$A$1:$Z$2488,1710,'Live Data'!$C$20)="","",INDEX(SPOT_Import!$A$1:$Z$2488,1710,'Live Data'!$C$20)),"")</f>
        <v/>
      </c>
      <c r="J1710" s="54" t="str">
        <f>IFERROR(IF(INDEX(SPOT_Import!$A$1:$Z$2488,1710,'Live Data'!$C$21)="","",INDEX(SPOT_Import!$A$1:$Z$2488,1710,'Live Data'!$C$21)),"")</f>
        <v/>
      </c>
      <c r="K1710" s="54" t="str">
        <f>IFERROR(IF(INDEX(SPOT_Import!$A$1:$Z$2488,1710,'Live Data'!$C$22)="","",INDEX(SPOT_Import!$A$1:$Z$2488,1710,'Live Data'!$C$22)),"")</f>
        <v/>
      </c>
      <c r="L1710" s="55" t="str">
        <f t="shared" si="52"/>
        <v/>
      </c>
      <c r="M1710" s="55" t="str">
        <f t="shared" si="53"/>
        <v/>
      </c>
      <c r="N1710" s="55" t="str">
        <f>IF(A1710="","",IFERROR(INDEX('Cluster Map'!$A$4:$A$38,MATCH(M1710,'Cluster Map'!$B$4:$B$38,0)),"Unmapped"))</f>
        <v/>
      </c>
      <c r="O1710" s="55">
        <f>IF(A1710="",0,IF(COUNTIFS($A$2:A1710,A1710,$F$2:F1710,F1710,$L$2:L1710,L1710)=1,1,0))</f>
        <v>0</v>
      </c>
      <c r="P1710" s="55">
        <f>IF(A1710="",0,IF(AND(F1710="C&amp;T",COUNTIFS($A$2:A1710,A1710,$F$2:F1710,"C&amp;T")=1),1,0))</f>
        <v>0</v>
      </c>
    </row>
    <row r="1711" spans="1:16" x14ac:dyDescent="0.35">
      <c r="A1711" s="54" t="str">
        <f>IFERROR(IF(INDEX(SPOT_Import!$A$1:$Z$2488,1711,'Live Data'!$C$12)="","",INDEX(SPOT_Import!$A$1:$Z$2488,1711,'Live Data'!$C$12)),"")</f>
        <v/>
      </c>
      <c r="B1711" s="54" t="str">
        <f>IFERROR(IF(INDEX(SPOT_Import!$A$1:$Z$2488,1711,'Live Data'!$C$13)="","",INDEX(SPOT_Import!$A$1:$Z$2488,1711,'Live Data'!$C$13)),"")</f>
        <v/>
      </c>
      <c r="C1711" s="54" t="str">
        <f>IFERROR(IF(INDEX(SPOT_Import!$A$1:$Z$2488,1711,'Live Data'!$C$14)="","",INDEX(SPOT_Import!$A$1:$Z$2488,1711,'Live Data'!$C$14)),"")</f>
        <v/>
      </c>
      <c r="D1711" s="54" t="str">
        <f>IFERROR(IF(INDEX(SPOT_Import!$A$1:$Z$2488,1711,'Live Data'!$C$15)="","",INDEX(SPOT_Import!$A$1:$Z$2488,1711,'Live Data'!$C$15)),"")</f>
        <v/>
      </c>
      <c r="E1711" s="54" t="str">
        <f>IFERROR(IF(INDEX(SPOT_Import!$A$1:$Z$2488,1711,'Live Data'!$C$16)="","",INDEX(SPOT_Import!$A$1:$Z$2488,1711,'Live Data'!$C$16)),"")</f>
        <v/>
      </c>
      <c r="F1711" s="54" t="str">
        <f>IFERROR(IF(INDEX(SPOT_Import!$A$1:$Z$2488,1711,'Live Data'!$C$17)="","",INDEX(SPOT_Import!$A$1:$Z$2488,1711,'Live Data'!$C$17)),"")</f>
        <v/>
      </c>
      <c r="G1711" s="54" t="str">
        <f>IFERROR(IF(INDEX(SPOT_Import!$A$1:$Z$2488,1711,'Live Data'!$C$18)="","",INDEX(SPOT_Import!$A$1:$Z$2488,1711,'Live Data'!$C$18)),"")</f>
        <v/>
      </c>
      <c r="H1711" s="54" t="str">
        <f>IFERROR(IF(INDEX(SPOT_Import!$A$1:$Z$2488,1711,'Live Data'!$C$19)="","",INDEX(SPOT_Import!$A$1:$Z$2488,1711,'Live Data'!$C$19)),"")</f>
        <v/>
      </c>
      <c r="I1711" s="54" t="str">
        <f>IFERROR(IF(INDEX(SPOT_Import!$A$1:$Z$2488,1711,'Live Data'!$C$20)="","",INDEX(SPOT_Import!$A$1:$Z$2488,1711,'Live Data'!$C$20)),"")</f>
        <v/>
      </c>
      <c r="J1711" s="54" t="str">
        <f>IFERROR(IF(INDEX(SPOT_Import!$A$1:$Z$2488,1711,'Live Data'!$C$21)="","",INDEX(SPOT_Import!$A$1:$Z$2488,1711,'Live Data'!$C$21)),"")</f>
        <v/>
      </c>
      <c r="K1711" s="54" t="str">
        <f>IFERROR(IF(INDEX(SPOT_Import!$A$1:$Z$2488,1711,'Live Data'!$C$22)="","",INDEX(SPOT_Import!$A$1:$Z$2488,1711,'Live Data'!$C$22)),"")</f>
        <v/>
      </c>
      <c r="L1711" s="55" t="str">
        <f t="shared" si="52"/>
        <v/>
      </c>
      <c r="M1711" s="55" t="str">
        <f t="shared" si="53"/>
        <v/>
      </c>
      <c r="N1711" s="55" t="str">
        <f>IF(A1711="","",IFERROR(INDEX('Cluster Map'!$A$4:$A$38,MATCH(M1711,'Cluster Map'!$B$4:$B$38,0)),"Unmapped"))</f>
        <v/>
      </c>
      <c r="O1711" s="55">
        <f>IF(A1711="",0,IF(COUNTIFS($A$2:A1711,A1711,$F$2:F1711,F1711,$L$2:L1711,L1711)=1,1,0))</f>
        <v>0</v>
      </c>
      <c r="P1711" s="55">
        <f>IF(A1711="",0,IF(AND(F1711="C&amp;T",COUNTIFS($A$2:A1711,A1711,$F$2:F1711,"C&amp;T")=1),1,0))</f>
        <v>0</v>
      </c>
    </row>
    <row r="1712" spans="1:16" x14ac:dyDescent="0.35">
      <c r="A1712" s="54" t="str">
        <f>IFERROR(IF(INDEX(SPOT_Import!$A$1:$Z$2488,1712,'Live Data'!$C$12)="","",INDEX(SPOT_Import!$A$1:$Z$2488,1712,'Live Data'!$C$12)),"")</f>
        <v/>
      </c>
      <c r="B1712" s="54" t="str">
        <f>IFERROR(IF(INDEX(SPOT_Import!$A$1:$Z$2488,1712,'Live Data'!$C$13)="","",INDEX(SPOT_Import!$A$1:$Z$2488,1712,'Live Data'!$C$13)),"")</f>
        <v/>
      </c>
      <c r="C1712" s="54" t="str">
        <f>IFERROR(IF(INDEX(SPOT_Import!$A$1:$Z$2488,1712,'Live Data'!$C$14)="","",INDEX(SPOT_Import!$A$1:$Z$2488,1712,'Live Data'!$C$14)),"")</f>
        <v/>
      </c>
      <c r="D1712" s="54" t="str">
        <f>IFERROR(IF(INDEX(SPOT_Import!$A$1:$Z$2488,1712,'Live Data'!$C$15)="","",INDEX(SPOT_Import!$A$1:$Z$2488,1712,'Live Data'!$C$15)),"")</f>
        <v/>
      </c>
      <c r="E1712" s="54" t="str">
        <f>IFERROR(IF(INDEX(SPOT_Import!$A$1:$Z$2488,1712,'Live Data'!$C$16)="","",INDEX(SPOT_Import!$A$1:$Z$2488,1712,'Live Data'!$C$16)),"")</f>
        <v/>
      </c>
      <c r="F1712" s="54" t="str">
        <f>IFERROR(IF(INDEX(SPOT_Import!$A$1:$Z$2488,1712,'Live Data'!$C$17)="","",INDEX(SPOT_Import!$A$1:$Z$2488,1712,'Live Data'!$C$17)),"")</f>
        <v/>
      </c>
      <c r="G1712" s="54" t="str">
        <f>IFERROR(IF(INDEX(SPOT_Import!$A$1:$Z$2488,1712,'Live Data'!$C$18)="","",INDEX(SPOT_Import!$A$1:$Z$2488,1712,'Live Data'!$C$18)),"")</f>
        <v/>
      </c>
      <c r="H1712" s="54" t="str">
        <f>IFERROR(IF(INDEX(SPOT_Import!$A$1:$Z$2488,1712,'Live Data'!$C$19)="","",INDEX(SPOT_Import!$A$1:$Z$2488,1712,'Live Data'!$C$19)),"")</f>
        <v/>
      </c>
      <c r="I1712" s="54" t="str">
        <f>IFERROR(IF(INDEX(SPOT_Import!$A$1:$Z$2488,1712,'Live Data'!$C$20)="","",INDEX(SPOT_Import!$A$1:$Z$2488,1712,'Live Data'!$C$20)),"")</f>
        <v/>
      </c>
      <c r="J1712" s="54" t="str">
        <f>IFERROR(IF(INDEX(SPOT_Import!$A$1:$Z$2488,1712,'Live Data'!$C$21)="","",INDEX(SPOT_Import!$A$1:$Z$2488,1712,'Live Data'!$C$21)),"")</f>
        <v/>
      </c>
      <c r="K1712" s="54" t="str">
        <f>IFERROR(IF(INDEX(SPOT_Import!$A$1:$Z$2488,1712,'Live Data'!$C$22)="","",INDEX(SPOT_Import!$A$1:$Z$2488,1712,'Live Data'!$C$22)),"")</f>
        <v/>
      </c>
      <c r="L1712" s="55" t="str">
        <f t="shared" si="52"/>
        <v/>
      </c>
      <c r="M1712" s="55" t="str">
        <f t="shared" si="53"/>
        <v/>
      </c>
      <c r="N1712" s="55" t="str">
        <f>IF(A1712="","",IFERROR(INDEX('Cluster Map'!$A$4:$A$38,MATCH(M1712,'Cluster Map'!$B$4:$B$38,0)),"Unmapped"))</f>
        <v/>
      </c>
      <c r="O1712" s="55">
        <f>IF(A1712="",0,IF(COUNTIFS($A$2:A1712,A1712,$F$2:F1712,F1712,$L$2:L1712,L1712)=1,1,0))</f>
        <v>0</v>
      </c>
      <c r="P1712" s="55">
        <f>IF(A1712="",0,IF(AND(F1712="C&amp;T",COUNTIFS($A$2:A1712,A1712,$F$2:F1712,"C&amp;T")=1),1,0))</f>
        <v>0</v>
      </c>
    </row>
    <row r="1713" spans="1:16" x14ac:dyDescent="0.35">
      <c r="A1713" s="54" t="str">
        <f>IFERROR(IF(INDEX(SPOT_Import!$A$1:$Z$2488,1713,'Live Data'!$C$12)="","",INDEX(SPOT_Import!$A$1:$Z$2488,1713,'Live Data'!$C$12)),"")</f>
        <v/>
      </c>
      <c r="B1713" s="54" t="str">
        <f>IFERROR(IF(INDEX(SPOT_Import!$A$1:$Z$2488,1713,'Live Data'!$C$13)="","",INDEX(SPOT_Import!$A$1:$Z$2488,1713,'Live Data'!$C$13)),"")</f>
        <v/>
      </c>
      <c r="C1713" s="54" t="str">
        <f>IFERROR(IF(INDEX(SPOT_Import!$A$1:$Z$2488,1713,'Live Data'!$C$14)="","",INDEX(SPOT_Import!$A$1:$Z$2488,1713,'Live Data'!$C$14)),"")</f>
        <v/>
      </c>
      <c r="D1713" s="54" t="str">
        <f>IFERROR(IF(INDEX(SPOT_Import!$A$1:$Z$2488,1713,'Live Data'!$C$15)="","",INDEX(SPOT_Import!$A$1:$Z$2488,1713,'Live Data'!$C$15)),"")</f>
        <v/>
      </c>
      <c r="E1713" s="54" t="str">
        <f>IFERROR(IF(INDEX(SPOT_Import!$A$1:$Z$2488,1713,'Live Data'!$C$16)="","",INDEX(SPOT_Import!$A$1:$Z$2488,1713,'Live Data'!$C$16)),"")</f>
        <v/>
      </c>
      <c r="F1713" s="54" t="str">
        <f>IFERROR(IF(INDEX(SPOT_Import!$A$1:$Z$2488,1713,'Live Data'!$C$17)="","",INDEX(SPOT_Import!$A$1:$Z$2488,1713,'Live Data'!$C$17)),"")</f>
        <v/>
      </c>
      <c r="G1713" s="54" t="str">
        <f>IFERROR(IF(INDEX(SPOT_Import!$A$1:$Z$2488,1713,'Live Data'!$C$18)="","",INDEX(SPOT_Import!$A$1:$Z$2488,1713,'Live Data'!$C$18)),"")</f>
        <v/>
      </c>
      <c r="H1713" s="54" t="str">
        <f>IFERROR(IF(INDEX(SPOT_Import!$A$1:$Z$2488,1713,'Live Data'!$C$19)="","",INDEX(SPOT_Import!$A$1:$Z$2488,1713,'Live Data'!$C$19)),"")</f>
        <v/>
      </c>
      <c r="I1713" s="54" t="str">
        <f>IFERROR(IF(INDEX(SPOT_Import!$A$1:$Z$2488,1713,'Live Data'!$C$20)="","",INDEX(SPOT_Import!$A$1:$Z$2488,1713,'Live Data'!$C$20)),"")</f>
        <v/>
      </c>
      <c r="J1713" s="54" t="str">
        <f>IFERROR(IF(INDEX(SPOT_Import!$A$1:$Z$2488,1713,'Live Data'!$C$21)="","",INDEX(SPOT_Import!$A$1:$Z$2488,1713,'Live Data'!$C$21)),"")</f>
        <v/>
      </c>
      <c r="K1713" s="54" t="str">
        <f>IFERROR(IF(INDEX(SPOT_Import!$A$1:$Z$2488,1713,'Live Data'!$C$22)="","",INDEX(SPOT_Import!$A$1:$Z$2488,1713,'Live Data'!$C$22)),"")</f>
        <v/>
      </c>
      <c r="L1713" s="55" t="str">
        <f t="shared" si="52"/>
        <v/>
      </c>
      <c r="M1713" s="55" t="str">
        <f t="shared" si="53"/>
        <v/>
      </c>
      <c r="N1713" s="55" t="str">
        <f>IF(A1713="","",IFERROR(INDEX('Cluster Map'!$A$4:$A$38,MATCH(M1713,'Cluster Map'!$B$4:$B$38,0)),"Unmapped"))</f>
        <v/>
      </c>
      <c r="O1713" s="55">
        <f>IF(A1713="",0,IF(COUNTIFS($A$2:A1713,A1713,$F$2:F1713,F1713,$L$2:L1713,L1713)=1,1,0))</f>
        <v>0</v>
      </c>
      <c r="P1713" s="55">
        <f>IF(A1713="",0,IF(AND(F1713="C&amp;T",COUNTIFS($A$2:A1713,A1713,$F$2:F1713,"C&amp;T")=1),1,0))</f>
        <v>0</v>
      </c>
    </row>
    <row r="1714" spans="1:16" x14ac:dyDescent="0.35">
      <c r="A1714" s="54" t="str">
        <f>IFERROR(IF(INDEX(SPOT_Import!$A$1:$Z$2488,1714,'Live Data'!$C$12)="","",INDEX(SPOT_Import!$A$1:$Z$2488,1714,'Live Data'!$C$12)),"")</f>
        <v/>
      </c>
      <c r="B1714" s="54" t="str">
        <f>IFERROR(IF(INDEX(SPOT_Import!$A$1:$Z$2488,1714,'Live Data'!$C$13)="","",INDEX(SPOT_Import!$A$1:$Z$2488,1714,'Live Data'!$C$13)),"")</f>
        <v/>
      </c>
      <c r="C1714" s="54" t="str">
        <f>IFERROR(IF(INDEX(SPOT_Import!$A$1:$Z$2488,1714,'Live Data'!$C$14)="","",INDEX(SPOT_Import!$A$1:$Z$2488,1714,'Live Data'!$C$14)),"")</f>
        <v/>
      </c>
      <c r="D1714" s="54" t="str">
        <f>IFERROR(IF(INDEX(SPOT_Import!$A$1:$Z$2488,1714,'Live Data'!$C$15)="","",INDEX(SPOT_Import!$A$1:$Z$2488,1714,'Live Data'!$C$15)),"")</f>
        <v/>
      </c>
      <c r="E1714" s="54" t="str">
        <f>IFERROR(IF(INDEX(SPOT_Import!$A$1:$Z$2488,1714,'Live Data'!$C$16)="","",INDEX(SPOT_Import!$A$1:$Z$2488,1714,'Live Data'!$C$16)),"")</f>
        <v/>
      </c>
      <c r="F1714" s="54" t="str">
        <f>IFERROR(IF(INDEX(SPOT_Import!$A$1:$Z$2488,1714,'Live Data'!$C$17)="","",INDEX(SPOT_Import!$A$1:$Z$2488,1714,'Live Data'!$C$17)),"")</f>
        <v/>
      </c>
      <c r="G1714" s="54" t="str">
        <f>IFERROR(IF(INDEX(SPOT_Import!$A$1:$Z$2488,1714,'Live Data'!$C$18)="","",INDEX(SPOT_Import!$A$1:$Z$2488,1714,'Live Data'!$C$18)),"")</f>
        <v/>
      </c>
      <c r="H1714" s="54" t="str">
        <f>IFERROR(IF(INDEX(SPOT_Import!$A$1:$Z$2488,1714,'Live Data'!$C$19)="","",INDEX(SPOT_Import!$A$1:$Z$2488,1714,'Live Data'!$C$19)),"")</f>
        <v/>
      </c>
      <c r="I1714" s="54" t="str">
        <f>IFERROR(IF(INDEX(SPOT_Import!$A$1:$Z$2488,1714,'Live Data'!$C$20)="","",INDEX(SPOT_Import!$A$1:$Z$2488,1714,'Live Data'!$C$20)),"")</f>
        <v/>
      </c>
      <c r="J1714" s="54" t="str">
        <f>IFERROR(IF(INDEX(SPOT_Import!$A$1:$Z$2488,1714,'Live Data'!$C$21)="","",INDEX(SPOT_Import!$A$1:$Z$2488,1714,'Live Data'!$C$21)),"")</f>
        <v/>
      </c>
      <c r="K1714" s="54" t="str">
        <f>IFERROR(IF(INDEX(SPOT_Import!$A$1:$Z$2488,1714,'Live Data'!$C$22)="","",INDEX(SPOT_Import!$A$1:$Z$2488,1714,'Live Data'!$C$22)),"")</f>
        <v/>
      </c>
      <c r="L1714" s="55" t="str">
        <f t="shared" si="52"/>
        <v/>
      </c>
      <c r="M1714" s="55" t="str">
        <f t="shared" si="53"/>
        <v/>
      </c>
      <c r="N1714" s="55" t="str">
        <f>IF(A1714="","",IFERROR(INDEX('Cluster Map'!$A$4:$A$38,MATCH(M1714,'Cluster Map'!$B$4:$B$38,0)),"Unmapped"))</f>
        <v/>
      </c>
      <c r="O1714" s="55">
        <f>IF(A1714="",0,IF(COUNTIFS($A$2:A1714,A1714,$F$2:F1714,F1714,$L$2:L1714,L1714)=1,1,0))</f>
        <v>0</v>
      </c>
      <c r="P1714" s="55">
        <f>IF(A1714="",0,IF(AND(F1714="C&amp;T",COUNTIFS($A$2:A1714,A1714,$F$2:F1714,"C&amp;T")=1),1,0))</f>
        <v>0</v>
      </c>
    </row>
    <row r="1715" spans="1:16" x14ac:dyDescent="0.35">
      <c r="A1715" s="54" t="str">
        <f>IFERROR(IF(INDEX(SPOT_Import!$A$1:$Z$2488,1715,'Live Data'!$C$12)="","",INDEX(SPOT_Import!$A$1:$Z$2488,1715,'Live Data'!$C$12)),"")</f>
        <v/>
      </c>
      <c r="B1715" s="54" t="str">
        <f>IFERROR(IF(INDEX(SPOT_Import!$A$1:$Z$2488,1715,'Live Data'!$C$13)="","",INDEX(SPOT_Import!$A$1:$Z$2488,1715,'Live Data'!$C$13)),"")</f>
        <v/>
      </c>
      <c r="C1715" s="54" t="str">
        <f>IFERROR(IF(INDEX(SPOT_Import!$A$1:$Z$2488,1715,'Live Data'!$C$14)="","",INDEX(SPOT_Import!$A$1:$Z$2488,1715,'Live Data'!$C$14)),"")</f>
        <v/>
      </c>
      <c r="D1715" s="54" t="str">
        <f>IFERROR(IF(INDEX(SPOT_Import!$A$1:$Z$2488,1715,'Live Data'!$C$15)="","",INDEX(SPOT_Import!$A$1:$Z$2488,1715,'Live Data'!$C$15)),"")</f>
        <v/>
      </c>
      <c r="E1715" s="54" t="str">
        <f>IFERROR(IF(INDEX(SPOT_Import!$A$1:$Z$2488,1715,'Live Data'!$C$16)="","",INDEX(SPOT_Import!$A$1:$Z$2488,1715,'Live Data'!$C$16)),"")</f>
        <v/>
      </c>
      <c r="F1715" s="54" t="str">
        <f>IFERROR(IF(INDEX(SPOT_Import!$A$1:$Z$2488,1715,'Live Data'!$C$17)="","",INDEX(SPOT_Import!$A$1:$Z$2488,1715,'Live Data'!$C$17)),"")</f>
        <v/>
      </c>
      <c r="G1715" s="54" t="str">
        <f>IFERROR(IF(INDEX(SPOT_Import!$A$1:$Z$2488,1715,'Live Data'!$C$18)="","",INDEX(SPOT_Import!$A$1:$Z$2488,1715,'Live Data'!$C$18)),"")</f>
        <v/>
      </c>
      <c r="H1715" s="54" t="str">
        <f>IFERROR(IF(INDEX(SPOT_Import!$A$1:$Z$2488,1715,'Live Data'!$C$19)="","",INDEX(SPOT_Import!$A$1:$Z$2488,1715,'Live Data'!$C$19)),"")</f>
        <v/>
      </c>
      <c r="I1715" s="54" t="str">
        <f>IFERROR(IF(INDEX(SPOT_Import!$A$1:$Z$2488,1715,'Live Data'!$C$20)="","",INDEX(SPOT_Import!$A$1:$Z$2488,1715,'Live Data'!$C$20)),"")</f>
        <v/>
      </c>
      <c r="J1715" s="54" t="str">
        <f>IFERROR(IF(INDEX(SPOT_Import!$A$1:$Z$2488,1715,'Live Data'!$C$21)="","",INDEX(SPOT_Import!$A$1:$Z$2488,1715,'Live Data'!$C$21)),"")</f>
        <v/>
      </c>
      <c r="K1715" s="54" t="str">
        <f>IFERROR(IF(INDEX(SPOT_Import!$A$1:$Z$2488,1715,'Live Data'!$C$22)="","",INDEX(SPOT_Import!$A$1:$Z$2488,1715,'Live Data'!$C$22)),"")</f>
        <v/>
      </c>
      <c r="L1715" s="55" t="str">
        <f t="shared" si="52"/>
        <v/>
      </c>
      <c r="M1715" s="55" t="str">
        <f t="shared" si="53"/>
        <v/>
      </c>
      <c r="N1715" s="55" t="str">
        <f>IF(A1715="","",IFERROR(INDEX('Cluster Map'!$A$4:$A$38,MATCH(M1715,'Cluster Map'!$B$4:$B$38,0)),"Unmapped"))</f>
        <v/>
      </c>
      <c r="O1715" s="55">
        <f>IF(A1715="",0,IF(COUNTIFS($A$2:A1715,A1715,$F$2:F1715,F1715,$L$2:L1715,L1715)=1,1,0))</f>
        <v>0</v>
      </c>
      <c r="P1715" s="55">
        <f>IF(A1715="",0,IF(AND(F1715="C&amp;T",COUNTIFS($A$2:A1715,A1715,$F$2:F1715,"C&amp;T")=1),1,0))</f>
        <v>0</v>
      </c>
    </row>
    <row r="1716" spans="1:16" x14ac:dyDescent="0.35">
      <c r="A1716" s="54" t="str">
        <f>IFERROR(IF(INDEX(SPOT_Import!$A$1:$Z$2488,1716,'Live Data'!$C$12)="","",INDEX(SPOT_Import!$A$1:$Z$2488,1716,'Live Data'!$C$12)),"")</f>
        <v/>
      </c>
      <c r="B1716" s="54" t="str">
        <f>IFERROR(IF(INDEX(SPOT_Import!$A$1:$Z$2488,1716,'Live Data'!$C$13)="","",INDEX(SPOT_Import!$A$1:$Z$2488,1716,'Live Data'!$C$13)),"")</f>
        <v/>
      </c>
      <c r="C1716" s="54" t="str">
        <f>IFERROR(IF(INDEX(SPOT_Import!$A$1:$Z$2488,1716,'Live Data'!$C$14)="","",INDEX(SPOT_Import!$A$1:$Z$2488,1716,'Live Data'!$C$14)),"")</f>
        <v/>
      </c>
      <c r="D1716" s="54" t="str">
        <f>IFERROR(IF(INDEX(SPOT_Import!$A$1:$Z$2488,1716,'Live Data'!$C$15)="","",INDEX(SPOT_Import!$A$1:$Z$2488,1716,'Live Data'!$C$15)),"")</f>
        <v/>
      </c>
      <c r="E1716" s="54" t="str">
        <f>IFERROR(IF(INDEX(SPOT_Import!$A$1:$Z$2488,1716,'Live Data'!$C$16)="","",INDEX(SPOT_Import!$A$1:$Z$2488,1716,'Live Data'!$C$16)),"")</f>
        <v/>
      </c>
      <c r="F1716" s="54" t="str">
        <f>IFERROR(IF(INDEX(SPOT_Import!$A$1:$Z$2488,1716,'Live Data'!$C$17)="","",INDEX(SPOT_Import!$A$1:$Z$2488,1716,'Live Data'!$C$17)),"")</f>
        <v/>
      </c>
      <c r="G1716" s="54" t="str">
        <f>IFERROR(IF(INDEX(SPOT_Import!$A$1:$Z$2488,1716,'Live Data'!$C$18)="","",INDEX(SPOT_Import!$A$1:$Z$2488,1716,'Live Data'!$C$18)),"")</f>
        <v/>
      </c>
      <c r="H1716" s="54" t="str">
        <f>IFERROR(IF(INDEX(SPOT_Import!$A$1:$Z$2488,1716,'Live Data'!$C$19)="","",INDEX(SPOT_Import!$A$1:$Z$2488,1716,'Live Data'!$C$19)),"")</f>
        <v/>
      </c>
      <c r="I1716" s="54" t="str">
        <f>IFERROR(IF(INDEX(SPOT_Import!$A$1:$Z$2488,1716,'Live Data'!$C$20)="","",INDEX(SPOT_Import!$A$1:$Z$2488,1716,'Live Data'!$C$20)),"")</f>
        <v/>
      </c>
      <c r="J1716" s="54" t="str">
        <f>IFERROR(IF(INDEX(SPOT_Import!$A$1:$Z$2488,1716,'Live Data'!$C$21)="","",INDEX(SPOT_Import!$A$1:$Z$2488,1716,'Live Data'!$C$21)),"")</f>
        <v/>
      </c>
      <c r="K1716" s="54" t="str">
        <f>IFERROR(IF(INDEX(SPOT_Import!$A$1:$Z$2488,1716,'Live Data'!$C$22)="","",INDEX(SPOT_Import!$A$1:$Z$2488,1716,'Live Data'!$C$22)),"")</f>
        <v/>
      </c>
      <c r="L1716" s="55" t="str">
        <f t="shared" si="52"/>
        <v/>
      </c>
      <c r="M1716" s="55" t="str">
        <f t="shared" si="53"/>
        <v/>
      </c>
      <c r="N1716" s="55" t="str">
        <f>IF(A1716="","",IFERROR(INDEX('Cluster Map'!$A$4:$A$38,MATCH(M1716,'Cluster Map'!$B$4:$B$38,0)),"Unmapped"))</f>
        <v/>
      </c>
      <c r="O1716" s="55">
        <f>IF(A1716="",0,IF(COUNTIFS($A$2:A1716,A1716,$F$2:F1716,F1716,$L$2:L1716,L1716)=1,1,0))</f>
        <v>0</v>
      </c>
      <c r="P1716" s="55">
        <f>IF(A1716="",0,IF(AND(F1716="C&amp;T",COUNTIFS($A$2:A1716,A1716,$F$2:F1716,"C&amp;T")=1),1,0))</f>
        <v>0</v>
      </c>
    </row>
    <row r="1717" spans="1:16" x14ac:dyDescent="0.35">
      <c r="A1717" s="54" t="str">
        <f>IFERROR(IF(INDEX(SPOT_Import!$A$1:$Z$2488,1717,'Live Data'!$C$12)="","",INDEX(SPOT_Import!$A$1:$Z$2488,1717,'Live Data'!$C$12)),"")</f>
        <v/>
      </c>
      <c r="B1717" s="54" t="str">
        <f>IFERROR(IF(INDEX(SPOT_Import!$A$1:$Z$2488,1717,'Live Data'!$C$13)="","",INDEX(SPOT_Import!$A$1:$Z$2488,1717,'Live Data'!$C$13)),"")</f>
        <v/>
      </c>
      <c r="C1717" s="54" t="str">
        <f>IFERROR(IF(INDEX(SPOT_Import!$A$1:$Z$2488,1717,'Live Data'!$C$14)="","",INDEX(SPOT_Import!$A$1:$Z$2488,1717,'Live Data'!$C$14)),"")</f>
        <v/>
      </c>
      <c r="D1717" s="54" t="str">
        <f>IFERROR(IF(INDEX(SPOT_Import!$A$1:$Z$2488,1717,'Live Data'!$C$15)="","",INDEX(SPOT_Import!$A$1:$Z$2488,1717,'Live Data'!$C$15)),"")</f>
        <v/>
      </c>
      <c r="E1717" s="54" t="str">
        <f>IFERROR(IF(INDEX(SPOT_Import!$A$1:$Z$2488,1717,'Live Data'!$C$16)="","",INDEX(SPOT_Import!$A$1:$Z$2488,1717,'Live Data'!$C$16)),"")</f>
        <v/>
      </c>
      <c r="F1717" s="54" t="str">
        <f>IFERROR(IF(INDEX(SPOT_Import!$A$1:$Z$2488,1717,'Live Data'!$C$17)="","",INDEX(SPOT_Import!$A$1:$Z$2488,1717,'Live Data'!$C$17)),"")</f>
        <v/>
      </c>
      <c r="G1717" s="54" t="str">
        <f>IFERROR(IF(INDEX(SPOT_Import!$A$1:$Z$2488,1717,'Live Data'!$C$18)="","",INDEX(SPOT_Import!$A$1:$Z$2488,1717,'Live Data'!$C$18)),"")</f>
        <v/>
      </c>
      <c r="H1717" s="54" t="str">
        <f>IFERROR(IF(INDEX(SPOT_Import!$A$1:$Z$2488,1717,'Live Data'!$C$19)="","",INDEX(SPOT_Import!$A$1:$Z$2488,1717,'Live Data'!$C$19)),"")</f>
        <v/>
      </c>
      <c r="I1717" s="54" t="str">
        <f>IFERROR(IF(INDEX(SPOT_Import!$A$1:$Z$2488,1717,'Live Data'!$C$20)="","",INDEX(SPOT_Import!$A$1:$Z$2488,1717,'Live Data'!$C$20)),"")</f>
        <v/>
      </c>
      <c r="J1717" s="54" t="str">
        <f>IFERROR(IF(INDEX(SPOT_Import!$A$1:$Z$2488,1717,'Live Data'!$C$21)="","",INDEX(SPOT_Import!$A$1:$Z$2488,1717,'Live Data'!$C$21)),"")</f>
        <v/>
      </c>
      <c r="K1717" s="54" t="str">
        <f>IFERROR(IF(INDEX(SPOT_Import!$A$1:$Z$2488,1717,'Live Data'!$C$22)="","",INDEX(SPOT_Import!$A$1:$Z$2488,1717,'Live Data'!$C$22)),"")</f>
        <v/>
      </c>
      <c r="L1717" s="55" t="str">
        <f t="shared" si="52"/>
        <v/>
      </c>
      <c r="M1717" s="55" t="str">
        <f t="shared" si="53"/>
        <v/>
      </c>
      <c r="N1717" s="55" t="str">
        <f>IF(A1717="","",IFERROR(INDEX('Cluster Map'!$A$4:$A$38,MATCH(M1717,'Cluster Map'!$B$4:$B$38,0)),"Unmapped"))</f>
        <v/>
      </c>
      <c r="O1717" s="55">
        <f>IF(A1717="",0,IF(COUNTIFS($A$2:A1717,A1717,$F$2:F1717,F1717,$L$2:L1717,L1717)=1,1,0))</f>
        <v>0</v>
      </c>
      <c r="P1717" s="55">
        <f>IF(A1717="",0,IF(AND(F1717="C&amp;T",COUNTIFS($A$2:A1717,A1717,$F$2:F1717,"C&amp;T")=1),1,0))</f>
        <v>0</v>
      </c>
    </row>
    <row r="1718" spans="1:16" x14ac:dyDescent="0.35">
      <c r="A1718" s="54" t="str">
        <f>IFERROR(IF(INDEX(SPOT_Import!$A$1:$Z$2488,1718,'Live Data'!$C$12)="","",INDEX(SPOT_Import!$A$1:$Z$2488,1718,'Live Data'!$C$12)),"")</f>
        <v/>
      </c>
      <c r="B1718" s="54" t="str">
        <f>IFERROR(IF(INDEX(SPOT_Import!$A$1:$Z$2488,1718,'Live Data'!$C$13)="","",INDEX(SPOT_Import!$A$1:$Z$2488,1718,'Live Data'!$C$13)),"")</f>
        <v/>
      </c>
      <c r="C1718" s="54" t="str">
        <f>IFERROR(IF(INDEX(SPOT_Import!$A$1:$Z$2488,1718,'Live Data'!$C$14)="","",INDEX(SPOT_Import!$A$1:$Z$2488,1718,'Live Data'!$C$14)),"")</f>
        <v/>
      </c>
      <c r="D1718" s="54" t="str">
        <f>IFERROR(IF(INDEX(SPOT_Import!$A$1:$Z$2488,1718,'Live Data'!$C$15)="","",INDEX(SPOT_Import!$A$1:$Z$2488,1718,'Live Data'!$C$15)),"")</f>
        <v/>
      </c>
      <c r="E1718" s="54" t="str">
        <f>IFERROR(IF(INDEX(SPOT_Import!$A$1:$Z$2488,1718,'Live Data'!$C$16)="","",INDEX(SPOT_Import!$A$1:$Z$2488,1718,'Live Data'!$C$16)),"")</f>
        <v/>
      </c>
      <c r="F1718" s="54" t="str">
        <f>IFERROR(IF(INDEX(SPOT_Import!$A$1:$Z$2488,1718,'Live Data'!$C$17)="","",INDEX(SPOT_Import!$A$1:$Z$2488,1718,'Live Data'!$C$17)),"")</f>
        <v/>
      </c>
      <c r="G1718" s="54" t="str">
        <f>IFERROR(IF(INDEX(SPOT_Import!$A$1:$Z$2488,1718,'Live Data'!$C$18)="","",INDEX(SPOT_Import!$A$1:$Z$2488,1718,'Live Data'!$C$18)),"")</f>
        <v/>
      </c>
      <c r="H1718" s="54" t="str">
        <f>IFERROR(IF(INDEX(SPOT_Import!$A$1:$Z$2488,1718,'Live Data'!$C$19)="","",INDEX(SPOT_Import!$A$1:$Z$2488,1718,'Live Data'!$C$19)),"")</f>
        <v/>
      </c>
      <c r="I1718" s="54" t="str">
        <f>IFERROR(IF(INDEX(SPOT_Import!$A$1:$Z$2488,1718,'Live Data'!$C$20)="","",INDEX(SPOT_Import!$A$1:$Z$2488,1718,'Live Data'!$C$20)),"")</f>
        <v/>
      </c>
      <c r="J1718" s="54" t="str">
        <f>IFERROR(IF(INDEX(SPOT_Import!$A$1:$Z$2488,1718,'Live Data'!$C$21)="","",INDEX(SPOT_Import!$A$1:$Z$2488,1718,'Live Data'!$C$21)),"")</f>
        <v/>
      </c>
      <c r="K1718" s="54" t="str">
        <f>IFERROR(IF(INDEX(SPOT_Import!$A$1:$Z$2488,1718,'Live Data'!$C$22)="","",INDEX(SPOT_Import!$A$1:$Z$2488,1718,'Live Data'!$C$22)),"")</f>
        <v/>
      </c>
      <c r="L1718" s="55" t="str">
        <f t="shared" si="52"/>
        <v/>
      </c>
      <c r="M1718" s="55" t="str">
        <f t="shared" si="53"/>
        <v/>
      </c>
      <c r="N1718" s="55" t="str">
        <f>IF(A1718="","",IFERROR(INDEX('Cluster Map'!$A$4:$A$38,MATCH(M1718,'Cluster Map'!$B$4:$B$38,0)),"Unmapped"))</f>
        <v/>
      </c>
      <c r="O1718" s="55">
        <f>IF(A1718="",0,IF(COUNTIFS($A$2:A1718,A1718,$F$2:F1718,F1718,$L$2:L1718,L1718)=1,1,0))</f>
        <v>0</v>
      </c>
      <c r="P1718" s="55">
        <f>IF(A1718="",0,IF(AND(F1718="C&amp;T",COUNTIFS($A$2:A1718,A1718,$F$2:F1718,"C&amp;T")=1),1,0))</f>
        <v>0</v>
      </c>
    </row>
    <row r="1719" spans="1:16" x14ac:dyDescent="0.35">
      <c r="A1719" s="54" t="str">
        <f>IFERROR(IF(INDEX(SPOT_Import!$A$1:$Z$2488,1719,'Live Data'!$C$12)="","",INDEX(SPOT_Import!$A$1:$Z$2488,1719,'Live Data'!$C$12)),"")</f>
        <v/>
      </c>
      <c r="B1719" s="54" t="str">
        <f>IFERROR(IF(INDEX(SPOT_Import!$A$1:$Z$2488,1719,'Live Data'!$C$13)="","",INDEX(SPOT_Import!$A$1:$Z$2488,1719,'Live Data'!$C$13)),"")</f>
        <v/>
      </c>
      <c r="C1719" s="54" t="str">
        <f>IFERROR(IF(INDEX(SPOT_Import!$A$1:$Z$2488,1719,'Live Data'!$C$14)="","",INDEX(SPOT_Import!$A$1:$Z$2488,1719,'Live Data'!$C$14)),"")</f>
        <v/>
      </c>
      <c r="D1719" s="54" t="str">
        <f>IFERROR(IF(INDEX(SPOT_Import!$A$1:$Z$2488,1719,'Live Data'!$C$15)="","",INDEX(SPOT_Import!$A$1:$Z$2488,1719,'Live Data'!$C$15)),"")</f>
        <v/>
      </c>
      <c r="E1719" s="54" t="str">
        <f>IFERROR(IF(INDEX(SPOT_Import!$A$1:$Z$2488,1719,'Live Data'!$C$16)="","",INDEX(SPOT_Import!$A$1:$Z$2488,1719,'Live Data'!$C$16)),"")</f>
        <v/>
      </c>
      <c r="F1719" s="54" t="str">
        <f>IFERROR(IF(INDEX(SPOT_Import!$A$1:$Z$2488,1719,'Live Data'!$C$17)="","",INDEX(SPOT_Import!$A$1:$Z$2488,1719,'Live Data'!$C$17)),"")</f>
        <v/>
      </c>
      <c r="G1719" s="54" t="str">
        <f>IFERROR(IF(INDEX(SPOT_Import!$A$1:$Z$2488,1719,'Live Data'!$C$18)="","",INDEX(SPOT_Import!$A$1:$Z$2488,1719,'Live Data'!$C$18)),"")</f>
        <v/>
      </c>
      <c r="H1719" s="54" t="str">
        <f>IFERROR(IF(INDEX(SPOT_Import!$A$1:$Z$2488,1719,'Live Data'!$C$19)="","",INDEX(SPOT_Import!$A$1:$Z$2488,1719,'Live Data'!$C$19)),"")</f>
        <v/>
      </c>
      <c r="I1719" s="54" t="str">
        <f>IFERROR(IF(INDEX(SPOT_Import!$A$1:$Z$2488,1719,'Live Data'!$C$20)="","",INDEX(SPOT_Import!$A$1:$Z$2488,1719,'Live Data'!$C$20)),"")</f>
        <v/>
      </c>
      <c r="J1719" s="54" t="str">
        <f>IFERROR(IF(INDEX(SPOT_Import!$A$1:$Z$2488,1719,'Live Data'!$C$21)="","",INDEX(SPOT_Import!$A$1:$Z$2488,1719,'Live Data'!$C$21)),"")</f>
        <v/>
      </c>
      <c r="K1719" s="54" t="str">
        <f>IFERROR(IF(INDEX(SPOT_Import!$A$1:$Z$2488,1719,'Live Data'!$C$22)="","",INDEX(SPOT_Import!$A$1:$Z$2488,1719,'Live Data'!$C$22)),"")</f>
        <v/>
      </c>
      <c r="L1719" s="55" t="str">
        <f t="shared" si="52"/>
        <v/>
      </c>
      <c r="M1719" s="55" t="str">
        <f t="shared" si="53"/>
        <v/>
      </c>
      <c r="N1719" s="55" t="str">
        <f>IF(A1719="","",IFERROR(INDEX('Cluster Map'!$A$4:$A$38,MATCH(M1719,'Cluster Map'!$B$4:$B$38,0)),"Unmapped"))</f>
        <v/>
      </c>
      <c r="O1719" s="55">
        <f>IF(A1719="",0,IF(COUNTIFS($A$2:A1719,A1719,$F$2:F1719,F1719,$L$2:L1719,L1719)=1,1,0))</f>
        <v>0</v>
      </c>
      <c r="P1719" s="55">
        <f>IF(A1719="",0,IF(AND(F1719="C&amp;T",COUNTIFS($A$2:A1719,A1719,$F$2:F1719,"C&amp;T")=1),1,0))</f>
        <v>0</v>
      </c>
    </row>
    <row r="1720" spans="1:16" x14ac:dyDescent="0.35">
      <c r="A1720" s="54" t="str">
        <f>IFERROR(IF(INDEX(SPOT_Import!$A$1:$Z$2488,1720,'Live Data'!$C$12)="","",INDEX(SPOT_Import!$A$1:$Z$2488,1720,'Live Data'!$C$12)),"")</f>
        <v/>
      </c>
      <c r="B1720" s="54" t="str">
        <f>IFERROR(IF(INDEX(SPOT_Import!$A$1:$Z$2488,1720,'Live Data'!$C$13)="","",INDEX(SPOT_Import!$A$1:$Z$2488,1720,'Live Data'!$C$13)),"")</f>
        <v/>
      </c>
      <c r="C1720" s="54" t="str">
        <f>IFERROR(IF(INDEX(SPOT_Import!$A$1:$Z$2488,1720,'Live Data'!$C$14)="","",INDEX(SPOT_Import!$A$1:$Z$2488,1720,'Live Data'!$C$14)),"")</f>
        <v/>
      </c>
      <c r="D1720" s="54" t="str">
        <f>IFERROR(IF(INDEX(SPOT_Import!$A$1:$Z$2488,1720,'Live Data'!$C$15)="","",INDEX(SPOT_Import!$A$1:$Z$2488,1720,'Live Data'!$C$15)),"")</f>
        <v/>
      </c>
      <c r="E1720" s="54" t="str">
        <f>IFERROR(IF(INDEX(SPOT_Import!$A$1:$Z$2488,1720,'Live Data'!$C$16)="","",INDEX(SPOT_Import!$A$1:$Z$2488,1720,'Live Data'!$C$16)),"")</f>
        <v/>
      </c>
      <c r="F1720" s="54" t="str">
        <f>IFERROR(IF(INDEX(SPOT_Import!$A$1:$Z$2488,1720,'Live Data'!$C$17)="","",INDEX(SPOT_Import!$A$1:$Z$2488,1720,'Live Data'!$C$17)),"")</f>
        <v/>
      </c>
      <c r="G1720" s="54" t="str">
        <f>IFERROR(IF(INDEX(SPOT_Import!$A$1:$Z$2488,1720,'Live Data'!$C$18)="","",INDEX(SPOT_Import!$A$1:$Z$2488,1720,'Live Data'!$C$18)),"")</f>
        <v/>
      </c>
      <c r="H1720" s="54" t="str">
        <f>IFERROR(IF(INDEX(SPOT_Import!$A$1:$Z$2488,1720,'Live Data'!$C$19)="","",INDEX(SPOT_Import!$A$1:$Z$2488,1720,'Live Data'!$C$19)),"")</f>
        <v/>
      </c>
      <c r="I1720" s="54" t="str">
        <f>IFERROR(IF(INDEX(SPOT_Import!$A$1:$Z$2488,1720,'Live Data'!$C$20)="","",INDEX(SPOT_Import!$A$1:$Z$2488,1720,'Live Data'!$C$20)),"")</f>
        <v/>
      </c>
      <c r="J1720" s="54" t="str">
        <f>IFERROR(IF(INDEX(SPOT_Import!$A$1:$Z$2488,1720,'Live Data'!$C$21)="","",INDEX(SPOT_Import!$A$1:$Z$2488,1720,'Live Data'!$C$21)),"")</f>
        <v/>
      </c>
      <c r="K1720" s="54" t="str">
        <f>IFERROR(IF(INDEX(SPOT_Import!$A$1:$Z$2488,1720,'Live Data'!$C$22)="","",INDEX(SPOT_Import!$A$1:$Z$2488,1720,'Live Data'!$C$22)),"")</f>
        <v/>
      </c>
      <c r="L1720" s="55" t="str">
        <f t="shared" si="52"/>
        <v/>
      </c>
      <c r="M1720" s="55" t="str">
        <f t="shared" si="53"/>
        <v/>
      </c>
      <c r="N1720" s="55" t="str">
        <f>IF(A1720="","",IFERROR(INDEX('Cluster Map'!$A$4:$A$38,MATCH(M1720,'Cluster Map'!$B$4:$B$38,0)),"Unmapped"))</f>
        <v/>
      </c>
      <c r="O1720" s="55">
        <f>IF(A1720="",0,IF(COUNTIFS($A$2:A1720,A1720,$F$2:F1720,F1720,$L$2:L1720,L1720)=1,1,0))</f>
        <v>0</v>
      </c>
      <c r="P1720" s="55">
        <f>IF(A1720="",0,IF(AND(F1720="C&amp;T",COUNTIFS($A$2:A1720,A1720,$F$2:F1720,"C&amp;T")=1),1,0))</f>
        <v>0</v>
      </c>
    </row>
    <row r="1721" spans="1:16" x14ac:dyDescent="0.35">
      <c r="A1721" s="54" t="str">
        <f>IFERROR(IF(INDEX(SPOT_Import!$A$1:$Z$2488,1721,'Live Data'!$C$12)="","",INDEX(SPOT_Import!$A$1:$Z$2488,1721,'Live Data'!$C$12)),"")</f>
        <v/>
      </c>
      <c r="B1721" s="54" t="str">
        <f>IFERROR(IF(INDEX(SPOT_Import!$A$1:$Z$2488,1721,'Live Data'!$C$13)="","",INDEX(SPOT_Import!$A$1:$Z$2488,1721,'Live Data'!$C$13)),"")</f>
        <v/>
      </c>
      <c r="C1721" s="54" t="str">
        <f>IFERROR(IF(INDEX(SPOT_Import!$A$1:$Z$2488,1721,'Live Data'!$C$14)="","",INDEX(SPOT_Import!$A$1:$Z$2488,1721,'Live Data'!$C$14)),"")</f>
        <v/>
      </c>
      <c r="D1721" s="54" t="str">
        <f>IFERROR(IF(INDEX(SPOT_Import!$A$1:$Z$2488,1721,'Live Data'!$C$15)="","",INDEX(SPOT_Import!$A$1:$Z$2488,1721,'Live Data'!$C$15)),"")</f>
        <v/>
      </c>
      <c r="E1721" s="54" t="str">
        <f>IFERROR(IF(INDEX(SPOT_Import!$A$1:$Z$2488,1721,'Live Data'!$C$16)="","",INDEX(SPOT_Import!$A$1:$Z$2488,1721,'Live Data'!$C$16)),"")</f>
        <v/>
      </c>
      <c r="F1721" s="54" t="str">
        <f>IFERROR(IF(INDEX(SPOT_Import!$A$1:$Z$2488,1721,'Live Data'!$C$17)="","",INDEX(SPOT_Import!$A$1:$Z$2488,1721,'Live Data'!$C$17)),"")</f>
        <v/>
      </c>
      <c r="G1721" s="54" t="str">
        <f>IFERROR(IF(INDEX(SPOT_Import!$A$1:$Z$2488,1721,'Live Data'!$C$18)="","",INDEX(SPOT_Import!$A$1:$Z$2488,1721,'Live Data'!$C$18)),"")</f>
        <v/>
      </c>
      <c r="H1721" s="54" t="str">
        <f>IFERROR(IF(INDEX(SPOT_Import!$A$1:$Z$2488,1721,'Live Data'!$C$19)="","",INDEX(SPOT_Import!$A$1:$Z$2488,1721,'Live Data'!$C$19)),"")</f>
        <v/>
      </c>
      <c r="I1721" s="54" t="str">
        <f>IFERROR(IF(INDEX(SPOT_Import!$A$1:$Z$2488,1721,'Live Data'!$C$20)="","",INDEX(SPOT_Import!$A$1:$Z$2488,1721,'Live Data'!$C$20)),"")</f>
        <v/>
      </c>
      <c r="J1721" s="54" t="str">
        <f>IFERROR(IF(INDEX(SPOT_Import!$A$1:$Z$2488,1721,'Live Data'!$C$21)="","",INDEX(SPOT_Import!$A$1:$Z$2488,1721,'Live Data'!$C$21)),"")</f>
        <v/>
      </c>
      <c r="K1721" s="54" t="str">
        <f>IFERROR(IF(INDEX(SPOT_Import!$A$1:$Z$2488,1721,'Live Data'!$C$22)="","",INDEX(SPOT_Import!$A$1:$Z$2488,1721,'Live Data'!$C$22)),"")</f>
        <v/>
      </c>
      <c r="L1721" s="55" t="str">
        <f t="shared" si="52"/>
        <v/>
      </c>
      <c r="M1721" s="55" t="str">
        <f t="shared" si="53"/>
        <v/>
      </c>
      <c r="N1721" s="55" t="str">
        <f>IF(A1721="","",IFERROR(INDEX('Cluster Map'!$A$4:$A$38,MATCH(M1721,'Cluster Map'!$B$4:$B$38,0)),"Unmapped"))</f>
        <v/>
      </c>
      <c r="O1721" s="55">
        <f>IF(A1721="",0,IF(COUNTIFS($A$2:A1721,A1721,$F$2:F1721,F1721,$L$2:L1721,L1721)=1,1,0))</f>
        <v>0</v>
      </c>
      <c r="P1721" s="55">
        <f>IF(A1721="",0,IF(AND(F1721="C&amp;T",COUNTIFS($A$2:A1721,A1721,$F$2:F1721,"C&amp;T")=1),1,0))</f>
        <v>0</v>
      </c>
    </row>
    <row r="1722" spans="1:16" x14ac:dyDescent="0.35">
      <c r="A1722" s="54" t="str">
        <f>IFERROR(IF(INDEX(SPOT_Import!$A$1:$Z$2488,1722,'Live Data'!$C$12)="","",INDEX(SPOT_Import!$A$1:$Z$2488,1722,'Live Data'!$C$12)),"")</f>
        <v/>
      </c>
      <c r="B1722" s="54" t="str">
        <f>IFERROR(IF(INDEX(SPOT_Import!$A$1:$Z$2488,1722,'Live Data'!$C$13)="","",INDEX(SPOT_Import!$A$1:$Z$2488,1722,'Live Data'!$C$13)),"")</f>
        <v/>
      </c>
      <c r="C1722" s="54" t="str">
        <f>IFERROR(IF(INDEX(SPOT_Import!$A$1:$Z$2488,1722,'Live Data'!$C$14)="","",INDEX(SPOT_Import!$A$1:$Z$2488,1722,'Live Data'!$C$14)),"")</f>
        <v/>
      </c>
      <c r="D1722" s="54" t="str">
        <f>IFERROR(IF(INDEX(SPOT_Import!$A$1:$Z$2488,1722,'Live Data'!$C$15)="","",INDEX(SPOT_Import!$A$1:$Z$2488,1722,'Live Data'!$C$15)),"")</f>
        <v/>
      </c>
      <c r="E1722" s="54" t="str">
        <f>IFERROR(IF(INDEX(SPOT_Import!$A$1:$Z$2488,1722,'Live Data'!$C$16)="","",INDEX(SPOT_Import!$A$1:$Z$2488,1722,'Live Data'!$C$16)),"")</f>
        <v/>
      </c>
      <c r="F1722" s="54" t="str">
        <f>IFERROR(IF(INDEX(SPOT_Import!$A$1:$Z$2488,1722,'Live Data'!$C$17)="","",INDEX(SPOT_Import!$A$1:$Z$2488,1722,'Live Data'!$C$17)),"")</f>
        <v/>
      </c>
      <c r="G1722" s="54" t="str">
        <f>IFERROR(IF(INDEX(SPOT_Import!$A$1:$Z$2488,1722,'Live Data'!$C$18)="","",INDEX(SPOT_Import!$A$1:$Z$2488,1722,'Live Data'!$C$18)),"")</f>
        <v/>
      </c>
      <c r="H1722" s="54" t="str">
        <f>IFERROR(IF(INDEX(SPOT_Import!$A$1:$Z$2488,1722,'Live Data'!$C$19)="","",INDEX(SPOT_Import!$A$1:$Z$2488,1722,'Live Data'!$C$19)),"")</f>
        <v/>
      </c>
      <c r="I1722" s="54" t="str">
        <f>IFERROR(IF(INDEX(SPOT_Import!$A$1:$Z$2488,1722,'Live Data'!$C$20)="","",INDEX(SPOT_Import!$A$1:$Z$2488,1722,'Live Data'!$C$20)),"")</f>
        <v/>
      </c>
      <c r="J1722" s="54" t="str">
        <f>IFERROR(IF(INDEX(SPOT_Import!$A$1:$Z$2488,1722,'Live Data'!$C$21)="","",INDEX(SPOT_Import!$A$1:$Z$2488,1722,'Live Data'!$C$21)),"")</f>
        <v/>
      </c>
      <c r="K1722" s="54" t="str">
        <f>IFERROR(IF(INDEX(SPOT_Import!$A$1:$Z$2488,1722,'Live Data'!$C$22)="","",INDEX(SPOT_Import!$A$1:$Z$2488,1722,'Live Data'!$C$22)),"")</f>
        <v/>
      </c>
      <c r="L1722" s="55" t="str">
        <f t="shared" si="52"/>
        <v/>
      </c>
      <c r="M1722" s="55" t="str">
        <f t="shared" si="53"/>
        <v/>
      </c>
      <c r="N1722" s="55" t="str">
        <f>IF(A1722="","",IFERROR(INDEX('Cluster Map'!$A$4:$A$38,MATCH(M1722,'Cluster Map'!$B$4:$B$38,0)),"Unmapped"))</f>
        <v/>
      </c>
      <c r="O1722" s="55">
        <f>IF(A1722="",0,IF(COUNTIFS($A$2:A1722,A1722,$F$2:F1722,F1722,$L$2:L1722,L1722)=1,1,0))</f>
        <v>0</v>
      </c>
      <c r="P1722" s="55">
        <f>IF(A1722="",0,IF(AND(F1722="C&amp;T",COUNTIFS($A$2:A1722,A1722,$F$2:F1722,"C&amp;T")=1),1,0))</f>
        <v>0</v>
      </c>
    </row>
    <row r="1723" spans="1:16" x14ac:dyDescent="0.35">
      <c r="A1723" s="54" t="str">
        <f>IFERROR(IF(INDEX(SPOT_Import!$A$1:$Z$2488,1723,'Live Data'!$C$12)="","",INDEX(SPOT_Import!$A$1:$Z$2488,1723,'Live Data'!$C$12)),"")</f>
        <v/>
      </c>
      <c r="B1723" s="54" t="str">
        <f>IFERROR(IF(INDEX(SPOT_Import!$A$1:$Z$2488,1723,'Live Data'!$C$13)="","",INDEX(SPOT_Import!$A$1:$Z$2488,1723,'Live Data'!$C$13)),"")</f>
        <v/>
      </c>
      <c r="C1723" s="54" t="str">
        <f>IFERROR(IF(INDEX(SPOT_Import!$A$1:$Z$2488,1723,'Live Data'!$C$14)="","",INDEX(SPOT_Import!$A$1:$Z$2488,1723,'Live Data'!$C$14)),"")</f>
        <v/>
      </c>
      <c r="D1723" s="54" t="str">
        <f>IFERROR(IF(INDEX(SPOT_Import!$A$1:$Z$2488,1723,'Live Data'!$C$15)="","",INDEX(SPOT_Import!$A$1:$Z$2488,1723,'Live Data'!$C$15)),"")</f>
        <v/>
      </c>
      <c r="E1723" s="54" t="str">
        <f>IFERROR(IF(INDEX(SPOT_Import!$A$1:$Z$2488,1723,'Live Data'!$C$16)="","",INDEX(SPOT_Import!$A$1:$Z$2488,1723,'Live Data'!$C$16)),"")</f>
        <v/>
      </c>
      <c r="F1723" s="54" t="str">
        <f>IFERROR(IF(INDEX(SPOT_Import!$A$1:$Z$2488,1723,'Live Data'!$C$17)="","",INDEX(SPOT_Import!$A$1:$Z$2488,1723,'Live Data'!$C$17)),"")</f>
        <v/>
      </c>
      <c r="G1723" s="54" t="str">
        <f>IFERROR(IF(INDEX(SPOT_Import!$A$1:$Z$2488,1723,'Live Data'!$C$18)="","",INDEX(SPOT_Import!$A$1:$Z$2488,1723,'Live Data'!$C$18)),"")</f>
        <v/>
      </c>
      <c r="H1723" s="54" t="str">
        <f>IFERROR(IF(INDEX(SPOT_Import!$A$1:$Z$2488,1723,'Live Data'!$C$19)="","",INDEX(SPOT_Import!$A$1:$Z$2488,1723,'Live Data'!$C$19)),"")</f>
        <v/>
      </c>
      <c r="I1723" s="54" t="str">
        <f>IFERROR(IF(INDEX(SPOT_Import!$A$1:$Z$2488,1723,'Live Data'!$C$20)="","",INDEX(SPOT_Import!$A$1:$Z$2488,1723,'Live Data'!$C$20)),"")</f>
        <v/>
      </c>
      <c r="J1723" s="54" t="str">
        <f>IFERROR(IF(INDEX(SPOT_Import!$A$1:$Z$2488,1723,'Live Data'!$C$21)="","",INDEX(SPOT_Import!$A$1:$Z$2488,1723,'Live Data'!$C$21)),"")</f>
        <v/>
      </c>
      <c r="K1723" s="54" t="str">
        <f>IFERROR(IF(INDEX(SPOT_Import!$A$1:$Z$2488,1723,'Live Data'!$C$22)="","",INDEX(SPOT_Import!$A$1:$Z$2488,1723,'Live Data'!$C$22)),"")</f>
        <v/>
      </c>
      <c r="L1723" s="55" t="str">
        <f t="shared" si="52"/>
        <v/>
      </c>
      <c r="M1723" s="55" t="str">
        <f t="shared" si="53"/>
        <v/>
      </c>
      <c r="N1723" s="55" t="str">
        <f>IF(A1723="","",IFERROR(INDEX('Cluster Map'!$A$4:$A$38,MATCH(M1723,'Cluster Map'!$B$4:$B$38,0)),"Unmapped"))</f>
        <v/>
      </c>
      <c r="O1723" s="55">
        <f>IF(A1723="",0,IF(COUNTIFS($A$2:A1723,A1723,$F$2:F1723,F1723,$L$2:L1723,L1723)=1,1,0))</f>
        <v>0</v>
      </c>
      <c r="P1723" s="55">
        <f>IF(A1723="",0,IF(AND(F1723="C&amp;T",COUNTIFS($A$2:A1723,A1723,$F$2:F1723,"C&amp;T")=1),1,0))</f>
        <v>0</v>
      </c>
    </row>
    <row r="1724" spans="1:16" x14ac:dyDescent="0.35">
      <c r="A1724" s="54" t="str">
        <f>IFERROR(IF(INDEX(SPOT_Import!$A$1:$Z$2488,1724,'Live Data'!$C$12)="","",INDEX(SPOT_Import!$A$1:$Z$2488,1724,'Live Data'!$C$12)),"")</f>
        <v/>
      </c>
      <c r="B1724" s="54" t="str">
        <f>IFERROR(IF(INDEX(SPOT_Import!$A$1:$Z$2488,1724,'Live Data'!$C$13)="","",INDEX(SPOT_Import!$A$1:$Z$2488,1724,'Live Data'!$C$13)),"")</f>
        <v/>
      </c>
      <c r="C1724" s="54" t="str">
        <f>IFERROR(IF(INDEX(SPOT_Import!$A$1:$Z$2488,1724,'Live Data'!$C$14)="","",INDEX(SPOT_Import!$A$1:$Z$2488,1724,'Live Data'!$C$14)),"")</f>
        <v/>
      </c>
      <c r="D1724" s="54" t="str">
        <f>IFERROR(IF(INDEX(SPOT_Import!$A$1:$Z$2488,1724,'Live Data'!$C$15)="","",INDEX(SPOT_Import!$A$1:$Z$2488,1724,'Live Data'!$C$15)),"")</f>
        <v/>
      </c>
      <c r="E1724" s="54" t="str">
        <f>IFERROR(IF(INDEX(SPOT_Import!$A$1:$Z$2488,1724,'Live Data'!$C$16)="","",INDEX(SPOT_Import!$A$1:$Z$2488,1724,'Live Data'!$C$16)),"")</f>
        <v/>
      </c>
      <c r="F1724" s="54" t="str">
        <f>IFERROR(IF(INDEX(SPOT_Import!$A$1:$Z$2488,1724,'Live Data'!$C$17)="","",INDEX(SPOT_Import!$A$1:$Z$2488,1724,'Live Data'!$C$17)),"")</f>
        <v/>
      </c>
      <c r="G1724" s="54" t="str">
        <f>IFERROR(IF(INDEX(SPOT_Import!$A$1:$Z$2488,1724,'Live Data'!$C$18)="","",INDEX(SPOT_Import!$A$1:$Z$2488,1724,'Live Data'!$C$18)),"")</f>
        <v/>
      </c>
      <c r="H1724" s="54" t="str">
        <f>IFERROR(IF(INDEX(SPOT_Import!$A$1:$Z$2488,1724,'Live Data'!$C$19)="","",INDEX(SPOT_Import!$A$1:$Z$2488,1724,'Live Data'!$C$19)),"")</f>
        <v/>
      </c>
      <c r="I1724" s="54" t="str">
        <f>IFERROR(IF(INDEX(SPOT_Import!$A$1:$Z$2488,1724,'Live Data'!$C$20)="","",INDEX(SPOT_Import!$A$1:$Z$2488,1724,'Live Data'!$C$20)),"")</f>
        <v/>
      </c>
      <c r="J1724" s="54" t="str">
        <f>IFERROR(IF(INDEX(SPOT_Import!$A$1:$Z$2488,1724,'Live Data'!$C$21)="","",INDEX(SPOT_Import!$A$1:$Z$2488,1724,'Live Data'!$C$21)),"")</f>
        <v/>
      </c>
      <c r="K1724" s="54" t="str">
        <f>IFERROR(IF(INDEX(SPOT_Import!$A$1:$Z$2488,1724,'Live Data'!$C$22)="","",INDEX(SPOT_Import!$A$1:$Z$2488,1724,'Live Data'!$C$22)),"")</f>
        <v/>
      </c>
      <c r="L1724" s="55" t="str">
        <f t="shared" si="52"/>
        <v/>
      </c>
      <c r="M1724" s="55" t="str">
        <f t="shared" si="53"/>
        <v/>
      </c>
      <c r="N1724" s="55" t="str">
        <f>IF(A1724="","",IFERROR(INDEX('Cluster Map'!$A$4:$A$38,MATCH(M1724,'Cluster Map'!$B$4:$B$38,0)),"Unmapped"))</f>
        <v/>
      </c>
      <c r="O1724" s="55">
        <f>IF(A1724="",0,IF(COUNTIFS($A$2:A1724,A1724,$F$2:F1724,F1724,$L$2:L1724,L1724)=1,1,0))</f>
        <v>0</v>
      </c>
      <c r="P1724" s="55">
        <f>IF(A1724="",0,IF(AND(F1724="C&amp;T",COUNTIFS($A$2:A1724,A1724,$F$2:F1724,"C&amp;T")=1),1,0))</f>
        <v>0</v>
      </c>
    </row>
    <row r="1725" spans="1:16" x14ac:dyDescent="0.35">
      <c r="A1725" s="54" t="str">
        <f>IFERROR(IF(INDEX(SPOT_Import!$A$1:$Z$2488,1725,'Live Data'!$C$12)="","",INDEX(SPOT_Import!$A$1:$Z$2488,1725,'Live Data'!$C$12)),"")</f>
        <v/>
      </c>
      <c r="B1725" s="54" t="str">
        <f>IFERROR(IF(INDEX(SPOT_Import!$A$1:$Z$2488,1725,'Live Data'!$C$13)="","",INDEX(SPOT_Import!$A$1:$Z$2488,1725,'Live Data'!$C$13)),"")</f>
        <v/>
      </c>
      <c r="C1725" s="54" t="str">
        <f>IFERROR(IF(INDEX(SPOT_Import!$A$1:$Z$2488,1725,'Live Data'!$C$14)="","",INDEX(SPOT_Import!$A$1:$Z$2488,1725,'Live Data'!$C$14)),"")</f>
        <v/>
      </c>
      <c r="D1725" s="54" t="str">
        <f>IFERROR(IF(INDEX(SPOT_Import!$A$1:$Z$2488,1725,'Live Data'!$C$15)="","",INDEX(SPOT_Import!$A$1:$Z$2488,1725,'Live Data'!$C$15)),"")</f>
        <v/>
      </c>
      <c r="E1725" s="54" t="str">
        <f>IFERROR(IF(INDEX(SPOT_Import!$A$1:$Z$2488,1725,'Live Data'!$C$16)="","",INDEX(SPOT_Import!$A$1:$Z$2488,1725,'Live Data'!$C$16)),"")</f>
        <v/>
      </c>
      <c r="F1725" s="54" t="str">
        <f>IFERROR(IF(INDEX(SPOT_Import!$A$1:$Z$2488,1725,'Live Data'!$C$17)="","",INDEX(SPOT_Import!$A$1:$Z$2488,1725,'Live Data'!$C$17)),"")</f>
        <v/>
      </c>
      <c r="G1725" s="54" t="str">
        <f>IFERROR(IF(INDEX(SPOT_Import!$A$1:$Z$2488,1725,'Live Data'!$C$18)="","",INDEX(SPOT_Import!$A$1:$Z$2488,1725,'Live Data'!$C$18)),"")</f>
        <v/>
      </c>
      <c r="H1725" s="54" t="str">
        <f>IFERROR(IF(INDEX(SPOT_Import!$A$1:$Z$2488,1725,'Live Data'!$C$19)="","",INDEX(SPOT_Import!$A$1:$Z$2488,1725,'Live Data'!$C$19)),"")</f>
        <v/>
      </c>
      <c r="I1725" s="54" t="str">
        <f>IFERROR(IF(INDEX(SPOT_Import!$A$1:$Z$2488,1725,'Live Data'!$C$20)="","",INDEX(SPOT_Import!$A$1:$Z$2488,1725,'Live Data'!$C$20)),"")</f>
        <v/>
      </c>
      <c r="J1725" s="54" t="str">
        <f>IFERROR(IF(INDEX(SPOT_Import!$A$1:$Z$2488,1725,'Live Data'!$C$21)="","",INDEX(SPOT_Import!$A$1:$Z$2488,1725,'Live Data'!$C$21)),"")</f>
        <v/>
      </c>
      <c r="K1725" s="54" t="str">
        <f>IFERROR(IF(INDEX(SPOT_Import!$A$1:$Z$2488,1725,'Live Data'!$C$22)="","",INDEX(SPOT_Import!$A$1:$Z$2488,1725,'Live Data'!$C$22)),"")</f>
        <v/>
      </c>
      <c r="L1725" s="55" t="str">
        <f t="shared" si="52"/>
        <v/>
      </c>
      <c r="M1725" s="55" t="str">
        <f t="shared" si="53"/>
        <v/>
      </c>
      <c r="N1725" s="55" t="str">
        <f>IF(A1725="","",IFERROR(INDEX('Cluster Map'!$A$4:$A$38,MATCH(M1725,'Cluster Map'!$B$4:$B$38,0)),"Unmapped"))</f>
        <v/>
      </c>
      <c r="O1725" s="55">
        <f>IF(A1725="",0,IF(COUNTIFS($A$2:A1725,A1725,$F$2:F1725,F1725,$L$2:L1725,L1725)=1,1,0))</f>
        <v>0</v>
      </c>
      <c r="P1725" s="55">
        <f>IF(A1725="",0,IF(AND(F1725="C&amp;T",COUNTIFS($A$2:A1725,A1725,$F$2:F1725,"C&amp;T")=1),1,0))</f>
        <v>0</v>
      </c>
    </row>
    <row r="1726" spans="1:16" x14ac:dyDescent="0.35">
      <c r="A1726" s="54" t="str">
        <f>IFERROR(IF(INDEX(SPOT_Import!$A$1:$Z$2488,1726,'Live Data'!$C$12)="","",INDEX(SPOT_Import!$A$1:$Z$2488,1726,'Live Data'!$C$12)),"")</f>
        <v/>
      </c>
      <c r="B1726" s="54" t="str">
        <f>IFERROR(IF(INDEX(SPOT_Import!$A$1:$Z$2488,1726,'Live Data'!$C$13)="","",INDEX(SPOT_Import!$A$1:$Z$2488,1726,'Live Data'!$C$13)),"")</f>
        <v/>
      </c>
      <c r="C1726" s="54" t="str">
        <f>IFERROR(IF(INDEX(SPOT_Import!$A$1:$Z$2488,1726,'Live Data'!$C$14)="","",INDEX(SPOT_Import!$A$1:$Z$2488,1726,'Live Data'!$C$14)),"")</f>
        <v/>
      </c>
      <c r="D1726" s="54" t="str">
        <f>IFERROR(IF(INDEX(SPOT_Import!$A$1:$Z$2488,1726,'Live Data'!$C$15)="","",INDEX(SPOT_Import!$A$1:$Z$2488,1726,'Live Data'!$C$15)),"")</f>
        <v/>
      </c>
      <c r="E1726" s="54" t="str">
        <f>IFERROR(IF(INDEX(SPOT_Import!$A$1:$Z$2488,1726,'Live Data'!$C$16)="","",INDEX(SPOT_Import!$A$1:$Z$2488,1726,'Live Data'!$C$16)),"")</f>
        <v/>
      </c>
      <c r="F1726" s="54" t="str">
        <f>IFERROR(IF(INDEX(SPOT_Import!$A$1:$Z$2488,1726,'Live Data'!$C$17)="","",INDEX(SPOT_Import!$A$1:$Z$2488,1726,'Live Data'!$C$17)),"")</f>
        <v/>
      </c>
      <c r="G1726" s="54" t="str">
        <f>IFERROR(IF(INDEX(SPOT_Import!$A$1:$Z$2488,1726,'Live Data'!$C$18)="","",INDEX(SPOT_Import!$A$1:$Z$2488,1726,'Live Data'!$C$18)),"")</f>
        <v/>
      </c>
      <c r="H1726" s="54" t="str">
        <f>IFERROR(IF(INDEX(SPOT_Import!$A$1:$Z$2488,1726,'Live Data'!$C$19)="","",INDEX(SPOT_Import!$A$1:$Z$2488,1726,'Live Data'!$C$19)),"")</f>
        <v/>
      </c>
      <c r="I1726" s="54" t="str">
        <f>IFERROR(IF(INDEX(SPOT_Import!$A$1:$Z$2488,1726,'Live Data'!$C$20)="","",INDEX(SPOT_Import!$A$1:$Z$2488,1726,'Live Data'!$C$20)),"")</f>
        <v/>
      </c>
      <c r="J1726" s="54" t="str">
        <f>IFERROR(IF(INDEX(SPOT_Import!$A$1:$Z$2488,1726,'Live Data'!$C$21)="","",INDEX(SPOT_Import!$A$1:$Z$2488,1726,'Live Data'!$C$21)),"")</f>
        <v/>
      </c>
      <c r="K1726" s="54" t="str">
        <f>IFERROR(IF(INDEX(SPOT_Import!$A$1:$Z$2488,1726,'Live Data'!$C$22)="","",INDEX(SPOT_Import!$A$1:$Z$2488,1726,'Live Data'!$C$22)),"")</f>
        <v/>
      </c>
      <c r="L1726" s="55" t="str">
        <f t="shared" si="52"/>
        <v/>
      </c>
      <c r="M1726" s="55" t="str">
        <f t="shared" si="53"/>
        <v/>
      </c>
      <c r="N1726" s="55" t="str">
        <f>IF(A1726="","",IFERROR(INDEX('Cluster Map'!$A$4:$A$38,MATCH(M1726,'Cluster Map'!$B$4:$B$38,0)),"Unmapped"))</f>
        <v/>
      </c>
      <c r="O1726" s="55">
        <f>IF(A1726="",0,IF(COUNTIFS($A$2:A1726,A1726,$F$2:F1726,F1726,$L$2:L1726,L1726)=1,1,0))</f>
        <v>0</v>
      </c>
      <c r="P1726" s="55">
        <f>IF(A1726="",0,IF(AND(F1726="C&amp;T",COUNTIFS($A$2:A1726,A1726,$F$2:F1726,"C&amp;T")=1),1,0))</f>
        <v>0</v>
      </c>
    </row>
    <row r="1727" spans="1:16" x14ac:dyDescent="0.35">
      <c r="A1727" s="54" t="str">
        <f>IFERROR(IF(INDEX(SPOT_Import!$A$1:$Z$2488,1727,'Live Data'!$C$12)="","",INDEX(SPOT_Import!$A$1:$Z$2488,1727,'Live Data'!$C$12)),"")</f>
        <v/>
      </c>
      <c r="B1727" s="54" t="str">
        <f>IFERROR(IF(INDEX(SPOT_Import!$A$1:$Z$2488,1727,'Live Data'!$C$13)="","",INDEX(SPOT_Import!$A$1:$Z$2488,1727,'Live Data'!$C$13)),"")</f>
        <v/>
      </c>
      <c r="C1727" s="54" t="str">
        <f>IFERROR(IF(INDEX(SPOT_Import!$A$1:$Z$2488,1727,'Live Data'!$C$14)="","",INDEX(SPOT_Import!$A$1:$Z$2488,1727,'Live Data'!$C$14)),"")</f>
        <v/>
      </c>
      <c r="D1727" s="54" t="str">
        <f>IFERROR(IF(INDEX(SPOT_Import!$A$1:$Z$2488,1727,'Live Data'!$C$15)="","",INDEX(SPOT_Import!$A$1:$Z$2488,1727,'Live Data'!$C$15)),"")</f>
        <v/>
      </c>
      <c r="E1727" s="54" t="str">
        <f>IFERROR(IF(INDEX(SPOT_Import!$A$1:$Z$2488,1727,'Live Data'!$C$16)="","",INDEX(SPOT_Import!$A$1:$Z$2488,1727,'Live Data'!$C$16)),"")</f>
        <v/>
      </c>
      <c r="F1727" s="54" t="str">
        <f>IFERROR(IF(INDEX(SPOT_Import!$A$1:$Z$2488,1727,'Live Data'!$C$17)="","",INDEX(SPOT_Import!$A$1:$Z$2488,1727,'Live Data'!$C$17)),"")</f>
        <v/>
      </c>
      <c r="G1727" s="54" t="str">
        <f>IFERROR(IF(INDEX(SPOT_Import!$A$1:$Z$2488,1727,'Live Data'!$C$18)="","",INDEX(SPOT_Import!$A$1:$Z$2488,1727,'Live Data'!$C$18)),"")</f>
        <v/>
      </c>
      <c r="H1727" s="54" t="str">
        <f>IFERROR(IF(INDEX(SPOT_Import!$A$1:$Z$2488,1727,'Live Data'!$C$19)="","",INDEX(SPOT_Import!$A$1:$Z$2488,1727,'Live Data'!$C$19)),"")</f>
        <v/>
      </c>
      <c r="I1727" s="54" t="str">
        <f>IFERROR(IF(INDEX(SPOT_Import!$A$1:$Z$2488,1727,'Live Data'!$C$20)="","",INDEX(SPOT_Import!$A$1:$Z$2488,1727,'Live Data'!$C$20)),"")</f>
        <v/>
      </c>
      <c r="J1727" s="54" t="str">
        <f>IFERROR(IF(INDEX(SPOT_Import!$A$1:$Z$2488,1727,'Live Data'!$C$21)="","",INDEX(SPOT_Import!$A$1:$Z$2488,1727,'Live Data'!$C$21)),"")</f>
        <v/>
      </c>
      <c r="K1727" s="54" t="str">
        <f>IFERROR(IF(INDEX(SPOT_Import!$A$1:$Z$2488,1727,'Live Data'!$C$22)="","",INDEX(SPOT_Import!$A$1:$Z$2488,1727,'Live Data'!$C$22)),"")</f>
        <v/>
      </c>
      <c r="L1727" s="55" t="str">
        <f t="shared" si="52"/>
        <v/>
      </c>
      <c r="M1727" s="55" t="str">
        <f t="shared" si="53"/>
        <v/>
      </c>
      <c r="N1727" s="55" t="str">
        <f>IF(A1727="","",IFERROR(INDEX('Cluster Map'!$A$4:$A$38,MATCH(M1727,'Cluster Map'!$B$4:$B$38,0)),"Unmapped"))</f>
        <v/>
      </c>
      <c r="O1727" s="55">
        <f>IF(A1727="",0,IF(COUNTIFS($A$2:A1727,A1727,$F$2:F1727,F1727,$L$2:L1727,L1727)=1,1,0))</f>
        <v>0</v>
      </c>
      <c r="P1727" s="55">
        <f>IF(A1727="",0,IF(AND(F1727="C&amp;T",COUNTIFS($A$2:A1727,A1727,$F$2:F1727,"C&amp;T")=1),1,0))</f>
        <v>0</v>
      </c>
    </row>
    <row r="1728" spans="1:16" x14ac:dyDescent="0.35">
      <c r="A1728" s="54" t="str">
        <f>IFERROR(IF(INDEX(SPOT_Import!$A$1:$Z$2488,1728,'Live Data'!$C$12)="","",INDEX(SPOT_Import!$A$1:$Z$2488,1728,'Live Data'!$C$12)),"")</f>
        <v/>
      </c>
      <c r="B1728" s="54" t="str">
        <f>IFERROR(IF(INDEX(SPOT_Import!$A$1:$Z$2488,1728,'Live Data'!$C$13)="","",INDEX(SPOT_Import!$A$1:$Z$2488,1728,'Live Data'!$C$13)),"")</f>
        <v/>
      </c>
      <c r="C1728" s="54" t="str">
        <f>IFERROR(IF(INDEX(SPOT_Import!$A$1:$Z$2488,1728,'Live Data'!$C$14)="","",INDEX(SPOT_Import!$A$1:$Z$2488,1728,'Live Data'!$C$14)),"")</f>
        <v/>
      </c>
      <c r="D1728" s="54" t="str">
        <f>IFERROR(IF(INDEX(SPOT_Import!$A$1:$Z$2488,1728,'Live Data'!$C$15)="","",INDEX(SPOT_Import!$A$1:$Z$2488,1728,'Live Data'!$C$15)),"")</f>
        <v/>
      </c>
      <c r="E1728" s="54" t="str">
        <f>IFERROR(IF(INDEX(SPOT_Import!$A$1:$Z$2488,1728,'Live Data'!$C$16)="","",INDEX(SPOT_Import!$A$1:$Z$2488,1728,'Live Data'!$C$16)),"")</f>
        <v/>
      </c>
      <c r="F1728" s="54" t="str">
        <f>IFERROR(IF(INDEX(SPOT_Import!$A$1:$Z$2488,1728,'Live Data'!$C$17)="","",INDEX(SPOT_Import!$A$1:$Z$2488,1728,'Live Data'!$C$17)),"")</f>
        <v/>
      </c>
      <c r="G1728" s="54" t="str">
        <f>IFERROR(IF(INDEX(SPOT_Import!$A$1:$Z$2488,1728,'Live Data'!$C$18)="","",INDEX(SPOT_Import!$A$1:$Z$2488,1728,'Live Data'!$C$18)),"")</f>
        <v/>
      </c>
      <c r="H1728" s="54" t="str">
        <f>IFERROR(IF(INDEX(SPOT_Import!$A$1:$Z$2488,1728,'Live Data'!$C$19)="","",INDEX(SPOT_Import!$A$1:$Z$2488,1728,'Live Data'!$C$19)),"")</f>
        <v/>
      </c>
      <c r="I1728" s="54" t="str">
        <f>IFERROR(IF(INDEX(SPOT_Import!$A$1:$Z$2488,1728,'Live Data'!$C$20)="","",INDEX(SPOT_Import!$A$1:$Z$2488,1728,'Live Data'!$C$20)),"")</f>
        <v/>
      </c>
      <c r="J1728" s="54" t="str">
        <f>IFERROR(IF(INDEX(SPOT_Import!$A$1:$Z$2488,1728,'Live Data'!$C$21)="","",INDEX(SPOT_Import!$A$1:$Z$2488,1728,'Live Data'!$C$21)),"")</f>
        <v/>
      </c>
      <c r="K1728" s="54" t="str">
        <f>IFERROR(IF(INDEX(SPOT_Import!$A$1:$Z$2488,1728,'Live Data'!$C$22)="","",INDEX(SPOT_Import!$A$1:$Z$2488,1728,'Live Data'!$C$22)),"")</f>
        <v/>
      </c>
      <c r="L1728" s="55" t="str">
        <f t="shared" si="52"/>
        <v/>
      </c>
      <c r="M1728" s="55" t="str">
        <f t="shared" si="53"/>
        <v/>
      </c>
      <c r="N1728" s="55" t="str">
        <f>IF(A1728="","",IFERROR(INDEX('Cluster Map'!$A$4:$A$38,MATCH(M1728,'Cluster Map'!$B$4:$B$38,0)),"Unmapped"))</f>
        <v/>
      </c>
      <c r="O1728" s="55">
        <f>IF(A1728="",0,IF(COUNTIFS($A$2:A1728,A1728,$F$2:F1728,F1728,$L$2:L1728,L1728)=1,1,0))</f>
        <v>0</v>
      </c>
      <c r="P1728" s="55">
        <f>IF(A1728="",0,IF(AND(F1728="C&amp;T",COUNTIFS($A$2:A1728,A1728,$F$2:F1728,"C&amp;T")=1),1,0))</f>
        <v>0</v>
      </c>
    </row>
    <row r="1729" spans="1:16" x14ac:dyDescent="0.35">
      <c r="A1729" s="54" t="str">
        <f>IFERROR(IF(INDEX(SPOT_Import!$A$1:$Z$2488,1729,'Live Data'!$C$12)="","",INDEX(SPOT_Import!$A$1:$Z$2488,1729,'Live Data'!$C$12)),"")</f>
        <v/>
      </c>
      <c r="B1729" s="54" t="str">
        <f>IFERROR(IF(INDEX(SPOT_Import!$A$1:$Z$2488,1729,'Live Data'!$C$13)="","",INDEX(SPOT_Import!$A$1:$Z$2488,1729,'Live Data'!$C$13)),"")</f>
        <v/>
      </c>
      <c r="C1729" s="54" t="str">
        <f>IFERROR(IF(INDEX(SPOT_Import!$A$1:$Z$2488,1729,'Live Data'!$C$14)="","",INDEX(SPOT_Import!$A$1:$Z$2488,1729,'Live Data'!$C$14)),"")</f>
        <v/>
      </c>
      <c r="D1729" s="54" t="str">
        <f>IFERROR(IF(INDEX(SPOT_Import!$A$1:$Z$2488,1729,'Live Data'!$C$15)="","",INDEX(SPOT_Import!$A$1:$Z$2488,1729,'Live Data'!$C$15)),"")</f>
        <v/>
      </c>
      <c r="E1729" s="54" t="str">
        <f>IFERROR(IF(INDEX(SPOT_Import!$A$1:$Z$2488,1729,'Live Data'!$C$16)="","",INDEX(SPOT_Import!$A$1:$Z$2488,1729,'Live Data'!$C$16)),"")</f>
        <v/>
      </c>
      <c r="F1729" s="54" t="str">
        <f>IFERROR(IF(INDEX(SPOT_Import!$A$1:$Z$2488,1729,'Live Data'!$C$17)="","",INDEX(SPOT_Import!$A$1:$Z$2488,1729,'Live Data'!$C$17)),"")</f>
        <v/>
      </c>
      <c r="G1729" s="54" t="str">
        <f>IFERROR(IF(INDEX(SPOT_Import!$A$1:$Z$2488,1729,'Live Data'!$C$18)="","",INDEX(SPOT_Import!$A$1:$Z$2488,1729,'Live Data'!$C$18)),"")</f>
        <v/>
      </c>
      <c r="H1729" s="54" t="str">
        <f>IFERROR(IF(INDEX(SPOT_Import!$A$1:$Z$2488,1729,'Live Data'!$C$19)="","",INDEX(SPOT_Import!$A$1:$Z$2488,1729,'Live Data'!$C$19)),"")</f>
        <v/>
      </c>
      <c r="I1729" s="54" t="str">
        <f>IFERROR(IF(INDEX(SPOT_Import!$A$1:$Z$2488,1729,'Live Data'!$C$20)="","",INDEX(SPOT_Import!$A$1:$Z$2488,1729,'Live Data'!$C$20)),"")</f>
        <v/>
      </c>
      <c r="J1729" s="54" t="str">
        <f>IFERROR(IF(INDEX(SPOT_Import!$A$1:$Z$2488,1729,'Live Data'!$C$21)="","",INDEX(SPOT_Import!$A$1:$Z$2488,1729,'Live Data'!$C$21)),"")</f>
        <v/>
      </c>
      <c r="K1729" s="54" t="str">
        <f>IFERROR(IF(INDEX(SPOT_Import!$A$1:$Z$2488,1729,'Live Data'!$C$22)="","",INDEX(SPOT_Import!$A$1:$Z$2488,1729,'Live Data'!$C$22)),"")</f>
        <v/>
      </c>
      <c r="L1729" s="55" t="str">
        <f t="shared" si="52"/>
        <v/>
      </c>
      <c r="M1729" s="55" t="str">
        <f t="shared" si="53"/>
        <v/>
      </c>
      <c r="N1729" s="55" t="str">
        <f>IF(A1729="","",IFERROR(INDEX('Cluster Map'!$A$4:$A$38,MATCH(M1729,'Cluster Map'!$B$4:$B$38,0)),"Unmapped"))</f>
        <v/>
      </c>
      <c r="O1729" s="55">
        <f>IF(A1729="",0,IF(COUNTIFS($A$2:A1729,A1729,$F$2:F1729,F1729,$L$2:L1729,L1729)=1,1,0))</f>
        <v>0</v>
      </c>
      <c r="P1729" s="55">
        <f>IF(A1729="",0,IF(AND(F1729="C&amp;T",COUNTIFS($A$2:A1729,A1729,$F$2:F1729,"C&amp;T")=1),1,0))</f>
        <v>0</v>
      </c>
    </row>
    <row r="1730" spans="1:16" x14ac:dyDescent="0.35">
      <c r="A1730" s="54" t="str">
        <f>IFERROR(IF(INDEX(SPOT_Import!$A$1:$Z$2488,1730,'Live Data'!$C$12)="","",INDEX(SPOT_Import!$A$1:$Z$2488,1730,'Live Data'!$C$12)),"")</f>
        <v/>
      </c>
      <c r="B1730" s="54" t="str">
        <f>IFERROR(IF(INDEX(SPOT_Import!$A$1:$Z$2488,1730,'Live Data'!$C$13)="","",INDEX(SPOT_Import!$A$1:$Z$2488,1730,'Live Data'!$C$13)),"")</f>
        <v/>
      </c>
      <c r="C1730" s="54" t="str">
        <f>IFERROR(IF(INDEX(SPOT_Import!$A$1:$Z$2488,1730,'Live Data'!$C$14)="","",INDEX(SPOT_Import!$A$1:$Z$2488,1730,'Live Data'!$C$14)),"")</f>
        <v/>
      </c>
      <c r="D1730" s="54" t="str">
        <f>IFERROR(IF(INDEX(SPOT_Import!$A$1:$Z$2488,1730,'Live Data'!$C$15)="","",INDEX(SPOT_Import!$A$1:$Z$2488,1730,'Live Data'!$C$15)),"")</f>
        <v/>
      </c>
      <c r="E1730" s="54" t="str">
        <f>IFERROR(IF(INDEX(SPOT_Import!$A$1:$Z$2488,1730,'Live Data'!$C$16)="","",INDEX(SPOT_Import!$A$1:$Z$2488,1730,'Live Data'!$C$16)),"")</f>
        <v/>
      </c>
      <c r="F1730" s="54" t="str">
        <f>IFERROR(IF(INDEX(SPOT_Import!$A$1:$Z$2488,1730,'Live Data'!$C$17)="","",INDEX(SPOT_Import!$A$1:$Z$2488,1730,'Live Data'!$C$17)),"")</f>
        <v/>
      </c>
      <c r="G1730" s="54" t="str">
        <f>IFERROR(IF(INDEX(SPOT_Import!$A$1:$Z$2488,1730,'Live Data'!$C$18)="","",INDEX(SPOT_Import!$A$1:$Z$2488,1730,'Live Data'!$C$18)),"")</f>
        <v/>
      </c>
      <c r="H1730" s="54" t="str">
        <f>IFERROR(IF(INDEX(SPOT_Import!$A$1:$Z$2488,1730,'Live Data'!$C$19)="","",INDEX(SPOT_Import!$A$1:$Z$2488,1730,'Live Data'!$C$19)),"")</f>
        <v/>
      </c>
      <c r="I1730" s="54" t="str">
        <f>IFERROR(IF(INDEX(SPOT_Import!$A$1:$Z$2488,1730,'Live Data'!$C$20)="","",INDEX(SPOT_Import!$A$1:$Z$2488,1730,'Live Data'!$C$20)),"")</f>
        <v/>
      </c>
      <c r="J1730" s="54" t="str">
        <f>IFERROR(IF(INDEX(SPOT_Import!$A$1:$Z$2488,1730,'Live Data'!$C$21)="","",INDEX(SPOT_Import!$A$1:$Z$2488,1730,'Live Data'!$C$21)),"")</f>
        <v/>
      </c>
      <c r="K1730" s="54" t="str">
        <f>IFERROR(IF(INDEX(SPOT_Import!$A$1:$Z$2488,1730,'Live Data'!$C$22)="","",INDEX(SPOT_Import!$A$1:$Z$2488,1730,'Live Data'!$C$22)),"")</f>
        <v/>
      </c>
      <c r="L1730" s="55" t="str">
        <f t="shared" ref="L1730:L1793" si="54">IF(A1730="","",IF(ISNUMBER(K1730),TEXT(K1730,"yyyy-mm"),LEFT(K1730,7)))</f>
        <v/>
      </c>
      <c r="M1730" s="55" t="str">
        <f t="shared" ref="M1730:M1793" si="55">IF(A1730="","",UPPER(TRIM(SUBSTITUTE(C1730," - ","-"))))</f>
        <v/>
      </c>
      <c r="N1730" s="55" t="str">
        <f>IF(A1730="","",IFERROR(INDEX('Cluster Map'!$A$4:$A$38,MATCH(M1730,'Cluster Map'!$B$4:$B$38,0)),"Unmapped"))</f>
        <v/>
      </c>
      <c r="O1730" s="55">
        <f>IF(A1730="",0,IF(COUNTIFS($A$2:A1730,A1730,$F$2:F1730,F1730,$L$2:L1730,L1730)=1,1,0))</f>
        <v>0</v>
      </c>
      <c r="P1730" s="55">
        <f>IF(A1730="",0,IF(AND(F1730="C&amp;T",COUNTIFS($A$2:A1730,A1730,$F$2:F1730,"C&amp;T")=1),1,0))</f>
        <v>0</v>
      </c>
    </row>
    <row r="1731" spans="1:16" x14ac:dyDescent="0.35">
      <c r="A1731" s="54" t="str">
        <f>IFERROR(IF(INDEX(SPOT_Import!$A$1:$Z$2488,1731,'Live Data'!$C$12)="","",INDEX(SPOT_Import!$A$1:$Z$2488,1731,'Live Data'!$C$12)),"")</f>
        <v/>
      </c>
      <c r="B1731" s="54" t="str">
        <f>IFERROR(IF(INDEX(SPOT_Import!$A$1:$Z$2488,1731,'Live Data'!$C$13)="","",INDEX(SPOT_Import!$A$1:$Z$2488,1731,'Live Data'!$C$13)),"")</f>
        <v/>
      </c>
      <c r="C1731" s="54" t="str">
        <f>IFERROR(IF(INDEX(SPOT_Import!$A$1:$Z$2488,1731,'Live Data'!$C$14)="","",INDEX(SPOT_Import!$A$1:$Z$2488,1731,'Live Data'!$C$14)),"")</f>
        <v/>
      </c>
      <c r="D1731" s="54" t="str">
        <f>IFERROR(IF(INDEX(SPOT_Import!$A$1:$Z$2488,1731,'Live Data'!$C$15)="","",INDEX(SPOT_Import!$A$1:$Z$2488,1731,'Live Data'!$C$15)),"")</f>
        <v/>
      </c>
      <c r="E1731" s="54" t="str">
        <f>IFERROR(IF(INDEX(SPOT_Import!$A$1:$Z$2488,1731,'Live Data'!$C$16)="","",INDEX(SPOT_Import!$A$1:$Z$2488,1731,'Live Data'!$C$16)),"")</f>
        <v/>
      </c>
      <c r="F1731" s="54" t="str">
        <f>IFERROR(IF(INDEX(SPOT_Import!$A$1:$Z$2488,1731,'Live Data'!$C$17)="","",INDEX(SPOT_Import!$A$1:$Z$2488,1731,'Live Data'!$C$17)),"")</f>
        <v/>
      </c>
      <c r="G1731" s="54" t="str">
        <f>IFERROR(IF(INDEX(SPOT_Import!$A$1:$Z$2488,1731,'Live Data'!$C$18)="","",INDEX(SPOT_Import!$A$1:$Z$2488,1731,'Live Data'!$C$18)),"")</f>
        <v/>
      </c>
      <c r="H1731" s="54" t="str">
        <f>IFERROR(IF(INDEX(SPOT_Import!$A$1:$Z$2488,1731,'Live Data'!$C$19)="","",INDEX(SPOT_Import!$A$1:$Z$2488,1731,'Live Data'!$C$19)),"")</f>
        <v/>
      </c>
      <c r="I1731" s="54" t="str">
        <f>IFERROR(IF(INDEX(SPOT_Import!$A$1:$Z$2488,1731,'Live Data'!$C$20)="","",INDEX(SPOT_Import!$A$1:$Z$2488,1731,'Live Data'!$C$20)),"")</f>
        <v/>
      </c>
      <c r="J1731" s="54" t="str">
        <f>IFERROR(IF(INDEX(SPOT_Import!$A$1:$Z$2488,1731,'Live Data'!$C$21)="","",INDEX(SPOT_Import!$A$1:$Z$2488,1731,'Live Data'!$C$21)),"")</f>
        <v/>
      </c>
      <c r="K1731" s="54" t="str">
        <f>IFERROR(IF(INDEX(SPOT_Import!$A$1:$Z$2488,1731,'Live Data'!$C$22)="","",INDEX(SPOT_Import!$A$1:$Z$2488,1731,'Live Data'!$C$22)),"")</f>
        <v/>
      </c>
      <c r="L1731" s="55" t="str">
        <f t="shared" si="54"/>
        <v/>
      </c>
      <c r="M1731" s="55" t="str">
        <f t="shared" si="55"/>
        <v/>
      </c>
      <c r="N1731" s="55" t="str">
        <f>IF(A1731="","",IFERROR(INDEX('Cluster Map'!$A$4:$A$38,MATCH(M1731,'Cluster Map'!$B$4:$B$38,0)),"Unmapped"))</f>
        <v/>
      </c>
      <c r="O1731" s="55">
        <f>IF(A1731="",0,IF(COUNTIFS($A$2:A1731,A1731,$F$2:F1731,F1731,$L$2:L1731,L1731)=1,1,0))</f>
        <v>0</v>
      </c>
      <c r="P1731" s="55">
        <f>IF(A1731="",0,IF(AND(F1731="C&amp;T",COUNTIFS($A$2:A1731,A1731,$F$2:F1731,"C&amp;T")=1),1,0))</f>
        <v>0</v>
      </c>
    </row>
    <row r="1732" spans="1:16" x14ac:dyDescent="0.35">
      <c r="A1732" s="54" t="str">
        <f>IFERROR(IF(INDEX(SPOT_Import!$A$1:$Z$2488,1732,'Live Data'!$C$12)="","",INDEX(SPOT_Import!$A$1:$Z$2488,1732,'Live Data'!$C$12)),"")</f>
        <v/>
      </c>
      <c r="B1732" s="54" t="str">
        <f>IFERROR(IF(INDEX(SPOT_Import!$A$1:$Z$2488,1732,'Live Data'!$C$13)="","",INDEX(SPOT_Import!$A$1:$Z$2488,1732,'Live Data'!$C$13)),"")</f>
        <v/>
      </c>
      <c r="C1732" s="54" t="str">
        <f>IFERROR(IF(INDEX(SPOT_Import!$A$1:$Z$2488,1732,'Live Data'!$C$14)="","",INDEX(SPOT_Import!$A$1:$Z$2488,1732,'Live Data'!$C$14)),"")</f>
        <v/>
      </c>
      <c r="D1732" s="54" t="str">
        <f>IFERROR(IF(INDEX(SPOT_Import!$A$1:$Z$2488,1732,'Live Data'!$C$15)="","",INDEX(SPOT_Import!$A$1:$Z$2488,1732,'Live Data'!$C$15)),"")</f>
        <v/>
      </c>
      <c r="E1732" s="54" t="str">
        <f>IFERROR(IF(INDEX(SPOT_Import!$A$1:$Z$2488,1732,'Live Data'!$C$16)="","",INDEX(SPOT_Import!$A$1:$Z$2488,1732,'Live Data'!$C$16)),"")</f>
        <v/>
      </c>
      <c r="F1732" s="54" t="str">
        <f>IFERROR(IF(INDEX(SPOT_Import!$A$1:$Z$2488,1732,'Live Data'!$C$17)="","",INDEX(SPOT_Import!$A$1:$Z$2488,1732,'Live Data'!$C$17)),"")</f>
        <v/>
      </c>
      <c r="G1732" s="54" t="str">
        <f>IFERROR(IF(INDEX(SPOT_Import!$A$1:$Z$2488,1732,'Live Data'!$C$18)="","",INDEX(SPOT_Import!$A$1:$Z$2488,1732,'Live Data'!$C$18)),"")</f>
        <v/>
      </c>
      <c r="H1732" s="54" t="str">
        <f>IFERROR(IF(INDEX(SPOT_Import!$A$1:$Z$2488,1732,'Live Data'!$C$19)="","",INDEX(SPOT_Import!$A$1:$Z$2488,1732,'Live Data'!$C$19)),"")</f>
        <v/>
      </c>
      <c r="I1732" s="54" t="str">
        <f>IFERROR(IF(INDEX(SPOT_Import!$A$1:$Z$2488,1732,'Live Data'!$C$20)="","",INDEX(SPOT_Import!$A$1:$Z$2488,1732,'Live Data'!$C$20)),"")</f>
        <v/>
      </c>
      <c r="J1732" s="54" t="str">
        <f>IFERROR(IF(INDEX(SPOT_Import!$A$1:$Z$2488,1732,'Live Data'!$C$21)="","",INDEX(SPOT_Import!$A$1:$Z$2488,1732,'Live Data'!$C$21)),"")</f>
        <v/>
      </c>
      <c r="K1732" s="54" t="str">
        <f>IFERROR(IF(INDEX(SPOT_Import!$A$1:$Z$2488,1732,'Live Data'!$C$22)="","",INDEX(SPOT_Import!$A$1:$Z$2488,1732,'Live Data'!$C$22)),"")</f>
        <v/>
      </c>
      <c r="L1732" s="55" t="str">
        <f t="shared" si="54"/>
        <v/>
      </c>
      <c r="M1732" s="55" t="str">
        <f t="shared" si="55"/>
        <v/>
      </c>
      <c r="N1732" s="55" t="str">
        <f>IF(A1732="","",IFERROR(INDEX('Cluster Map'!$A$4:$A$38,MATCH(M1732,'Cluster Map'!$B$4:$B$38,0)),"Unmapped"))</f>
        <v/>
      </c>
      <c r="O1732" s="55">
        <f>IF(A1732="",0,IF(COUNTIFS($A$2:A1732,A1732,$F$2:F1732,F1732,$L$2:L1732,L1732)=1,1,0))</f>
        <v>0</v>
      </c>
      <c r="P1732" s="55">
        <f>IF(A1732="",0,IF(AND(F1732="C&amp;T",COUNTIFS($A$2:A1732,A1732,$F$2:F1732,"C&amp;T")=1),1,0))</f>
        <v>0</v>
      </c>
    </row>
    <row r="1733" spans="1:16" x14ac:dyDescent="0.35">
      <c r="A1733" s="54" t="str">
        <f>IFERROR(IF(INDEX(SPOT_Import!$A$1:$Z$2488,1733,'Live Data'!$C$12)="","",INDEX(SPOT_Import!$A$1:$Z$2488,1733,'Live Data'!$C$12)),"")</f>
        <v/>
      </c>
      <c r="B1733" s="54" t="str">
        <f>IFERROR(IF(INDEX(SPOT_Import!$A$1:$Z$2488,1733,'Live Data'!$C$13)="","",INDEX(SPOT_Import!$A$1:$Z$2488,1733,'Live Data'!$C$13)),"")</f>
        <v/>
      </c>
      <c r="C1733" s="54" t="str">
        <f>IFERROR(IF(INDEX(SPOT_Import!$A$1:$Z$2488,1733,'Live Data'!$C$14)="","",INDEX(SPOT_Import!$A$1:$Z$2488,1733,'Live Data'!$C$14)),"")</f>
        <v/>
      </c>
      <c r="D1733" s="54" t="str">
        <f>IFERROR(IF(INDEX(SPOT_Import!$A$1:$Z$2488,1733,'Live Data'!$C$15)="","",INDEX(SPOT_Import!$A$1:$Z$2488,1733,'Live Data'!$C$15)),"")</f>
        <v/>
      </c>
      <c r="E1733" s="54" t="str">
        <f>IFERROR(IF(INDEX(SPOT_Import!$A$1:$Z$2488,1733,'Live Data'!$C$16)="","",INDEX(SPOT_Import!$A$1:$Z$2488,1733,'Live Data'!$C$16)),"")</f>
        <v/>
      </c>
      <c r="F1733" s="54" t="str">
        <f>IFERROR(IF(INDEX(SPOT_Import!$A$1:$Z$2488,1733,'Live Data'!$C$17)="","",INDEX(SPOT_Import!$A$1:$Z$2488,1733,'Live Data'!$C$17)),"")</f>
        <v/>
      </c>
      <c r="G1733" s="54" t="str">
        <f>IFERROR(IF(INDEX(SPOT_Import!$A$1:$Z$2488,1733,'Live Data'!$C$18)="","",INDEX(SPOT_Import!$A$1:$Z$2488,1733,'Live Data'!$C$18)),"")</f>
        <v/>
      </c>
      <c r="H1733" s="54" t="str">
        <f>IFERROR(IF(INDEX(SPOT_Import!$A$1:$Z$2488,1733,'Live Data'!$C$19)="","",INDEX(SPOT_Import!$A$1:$Z$2488,1733,'Live Data'!$C$19)),"")</f>
        <v/>
      </c>
      <c r="I1733" s="54" t="str">
        <f>IFERROR(IF(INDEX(SPOT_Import!$A$1:$Z$2488,1733,'Live Data'!$C$20)="","",INDEX(SPOT_Import!$A$1:$Z$2488,1733,'Live Data'!$C$20)),"")</f>
        <v/>
      </c>
      <c r="J1733" s="54" t="str">
        <f>IFERROR(IF(INDEX(SPOT_Import!$A$1:$Z$2488,1733,'Live Data'!$C$21)="","",INDEX(SPOT_Import!$A$1:$Z$2488,1733,'Live Data'!$C$21)),"")</f>
        <v/>
      </c>
      <c r="K1733" s="54" t="str">
        <f>IFERROR(IF(INDEX(SPOT_Import!$A$1:$Z$2488,1733,'Live Data'!$C$22)="","",INDEX(SPOT_Import!$A$1:$Z$2488,1733,'Live Data'!$C$22)),"")</f>
        <v/>
      </c>
      <c r="L1733" s="55" t="str">
        <f t="shared" si="54"/>
        <v/>
      </c>
      <c r="M1733" s="55" t="str">
        <f t="shared" si="55"/>
        <v/>
      </c>
      <c r="N1733" s="55" t="str">
        <f>IF(A1733="","",IFERROR(INDEX('Cluster Map'!$A$4:$A$38,MATCH(M1733,'Cluster Map'!$B$4:$B$38,0)),"Unmapped"))</f>
        <v/>
      </c>
      <c r="O1733" s="55">
        <f>IF(A1733="",0,IF(COUNTIFS($A$2:A1733,A1733,$F$2:F1733,F1733,$L$2:L1733,L1733)=1,1,0))</f>
        <v>0</v>
      </c>
      <c r="P1733" s="55">
        <f>IF(A1733="",0,IF(AND(F1733="C&amp;T",COUNTIFS($A$2:A1733,A1733,$F$2:F1733,"C&amp;T")=1),1,0))</f>
        <v>0</v>
      </c>
    </row>
    <row r="1734" spans="1:16" x14ac:dyDescent="0.35">
      <c r="A1734" s="54" t="str">
        <f>IFERROR(IF(INDEX(SPOT_Import!$A$1:$Z$2488,1734,'Live Data'!$C$12)="","",INDEX(SPOT_Import!$A$1:$Z$2488,1734,'Live Data'!$C$12)),"")</f>
        <v/>
      </c>
      <c r="B1734" s="54" t="str">
        <f>IFERROR(IF(INDEX(SPOT_Import!$A$1:$Z$2488,1734,'Live Data'!$C$13)="","",INDEX(SPOT_Import!$A$1:$Z$2488,1734,'Live Data'!$C$13)),"")</f>
        <v/>
      </c>
      <c r="C1734" s="54" t="str">
        <f>IFERROR(IF(INDEX(SPOT_Import!$A$1:$Z$2488,1734,'Live Data'!$C$14)="","",INDEX(SPOT_Import!$A$1:$Z$2488,1734,'Live Data'!$C$14)),"")</f>
        <v/>
      </c>
      <c r="D1734" s="54" t="str">
        <f>IFERROR(IF(INDEX(SPOT_Import!$A$1:$Z$2488,1734,'Live Data'!$C$15)="","",INDEX(SPOT_Import!$A$1:$Z$2488,1734,'Live Data'!$C$15)),"")</f>
        <v/>
      </c>
      <c r="E1734" s="54" t="str">
        <f>IFERROR(IF(INDEX(SPOT_Import!$A$1:$Z$2488,1734,'Live Data'!$C$16)="","",INDEX(SPOT_Import!$A$1:$Z$2488,1734,'Live Data'!$C$16)),"")</f>
        <v/>
      </c>
      <c r="F1734" s="54" t="str">
        <f>IFERROR(IF(INDEX(SPOT_Import!$A$1:$Z$2488,1734,'Live Data'!$C$17)="","",INDEX(SPOT_Import!$A$1:$Z$2488,1734,'Live Data'!$C$17)),"")</f>
        <v/>
      </c>
      <c r="G1734" s="54" t="str">
        <f>IFERROR(IF(INDEX(SPOT_Import!$A$1:$Z$2488,1734,'Live Data'!$C$18)="","",INDEX(SPOT_Import!$A$1:$Z$2488,1734,'Live Data'!$C$18)),"")</f>
        <v/>
      </c>
      <c r="H1734" s="54" t="str">
        <f>IFERROR(IF(INDEX(SPOT_Import!$A$1:$Z$2488,1734,'Live Data'!$C$19)="","",INDEX(SPOT_Import!$A$1:$Z$2488,1734,'Live Data'!$C$19)),"")</f>
        <v/>
      </c>
      <c r="I1734" s="54" t="str">
        <f>IFERROR(IF(INDEX(SPOT_Import!$A$1:$Z$2488,1734,'Live Data'!$C$20)="","",INDEX(SPOT_Import!$A$1:$Z$2488,1734,'Live Data'!$C$20)),"")</f>
        <v/>
      </c>
      <c r="J1734" s="54" t="str">
        <f>IFERROR(IF(INDEX(SPOT_Import!$A$1:$Z$2488,1734,'Live Data'!$C$21)="","",INDEX(SPOT_Import!$A$1:$Z$2488,1734,'Live Data'!$C$21)),"")</f>
        <v/>
      </c>
      <c r="K1734" s="54" t="str">
        <f>IFERROR(IF(INDEX(SPOT_Import!$A$1:$Z$2488,1734,'Live Data'!$C$22)="","",INDEX(SPOT_Import!$A$1:$Z$2488,1734,'Live Data'!$C$22)),"")</f>
        <v/>
      </c>
      <c r="L1734" s="55" t="str">
        <f t="shared" si="54"/>
        <v/>
      </c>
      <c r="M1734" s="55" t="str">
        <f t="shared" si="55"/>
        <v/>
      </c>
      <c r="N1734" s="55" t="str">
        <f>IF(A1734="","",IFERROR(INDEX('Cluster Map'!$A$4:$A$38,MATCH(M1734,'Cluster Map'!$B$4:$B$38,0)),"Unmapped"))</f>
        <v/>
      </c>
      <c r="O1734" s="55">
        <f>IF(A1734="",0,IF(COUNTIFS($A$2:A1734,A1734,$F$2:F1734,F1734,$L$2:L1734,L1734)=1,1,0))</f>
        <v>0</v>
      </c>
      <c r="P1734" s="55">
        <f>IF(A1734="",0,IF(AND(F1734="C&amp;T",COUNTIFS($A$2:A1734,A1734,$F$2:F1734,"C&amp;T")=1),1,0))</f>
        <v>0</v>
      </c>
    </row>
    <row r="1735" spans="1:16" x14ac:dyDescent="0.35">
      <c r="A1735" s="54" t="str">
        <f>IFERROR(IF(INDEX(SPOT_Import!$A$1:$Z$2488,1735,'Live Data'!$C$12)="","",INDEX(SPOT_Import!$A$1:$Z$2488,1735,'Live Data'!$C$12)),"")</f>
        <v/>
      </c>
      <c r="B1735" s="54" t="str">
        <f>IFERROR(IF(INDEX(SPOT_Import!$A$1:$Z$2488,1735,'Live Data'!$C$13)="","",INDEX(SPOT_Import!$A$1:$Z$2488,1735,'Live Data'!$C$13)),"")</f>
        <v/>
      </c>
      <c r="C1735" s="54" t="str">
        <f>IFERROR(IF(INDEX(SPOT_Import!$A$1:$Z$2488,1735,'Live Data'!$C$14)="","",INDEX(SPOT_Import!$A$1:$Z$2488,1735,'Live Data'!$C$14)),"")</f>
        <v/>
      </c>
      <c r="D1735" s="54" t="str">
        <f>IFERROR(IF(INDEX(SPOT_Import!$A$1:$Z$2488,1735,'Live Data'!$C$15)="","",INDEX(SPOT_Import!$A$1:$Z$2488,1735,'Live Data'!$C$15)),"")</f>
        <v/>
      </c>
      <c r="E1735" s="54" t="str">
        <f>IFERROR(IF(INDEX(SPOT_Import!$A$1:$Z$2488,1735,'Live Data'!$C$16)="","",INDEX(SPOT_Import!$A$1:$Z$2488,1735,'Live Data'!$C$16)),"")</f>
        <v/>
      </c>
      <c r="F1735" s="54" t="str">
        <f>IFERROR(IF(INDEX(SPOT_Import!$A$1:$Z$2488,1735,'Live Data'!$C$17)="","",INDEX(SPOT_Import!$A$1:$Z$2488,1735,'Live Data'!$C$17)),"")</f>
        <v/>
      </c>
      <c r="G1735" s="54" t="str">
        <f>IFERROR(IF(INDEX(SPOT_Import!$A$1:$Z$2488,1735,'Live Data'!$C$18)="","",INDEX(SPOT_Import!$A$1:$Z$2488,1735,'Live Data'!$C$18)),"")</f>
        <v/>
      </c>
      <c r="H1735" s="54" t="str">
        <f>IFERROR(IF(INDEX(SPOT_Import!$A$1:$Z$2488,1735,'Live Data'!$C$19)="","",INDEX(SPOT_Import!$A$1:$Z$2488,1735,'Live Data'!$C$19)),"")</f>
        <v/>
      </c>
      <c r="I1735" s="54" t="str">
        <f>IFERROR(IF(INDEX(SPOT_Import!$A$1:$Z$2488,1735,'Live Data'!$C$20)="","",INDEX(SPOT_Import!$A$1:$Z$2488,1735,'Live Data'!$C$20)),"")</f>
        <v/>
      </c>
      <c r="J1735" s="54" t="str">
        <f>IFERROR(IF(INDEX(SPOT_Import!$A$1:$Z$2488,1735,'Live Data'!$C$21)="","",INDEX(SPOT_Import!$A$1:$Z$2488,1735,'Live Data'!$C$21)),"")</f>
        <v/>
      </c>
      <c r="K1735" s="54" t="str">
        <f>IFERROR(IF(INDEX(SPOT_Import!$A$1:$Z$2488,1735,'Live Data'!$C$22)="","",INDEX(SPOT_Import!$A$1:$Z$2488,1735,'Live Data'!$C$22)),"")</f>
        <v/>
      </c>
      <c r="L1735" s="55" t="str">
        <f t="shared" si="54"/>
        <v/>
      </c>
      <c r="M1735" s="55" t="str">
        <f t="shared" si="55"/>
        <v/>
      </c>
      <c r="N1735" s="55" t="str">
        <f>IF(A1735="","",IFERROR(INDEX('Cluster Map'!$A$4:$A$38,MATCH(M1735,'Cluster Map'!$B$4:$B$38,0)),"Unmapped"))</f>
        <v/>
      </c>
      <c r="O1735" s="55">
        <f>IF(A1735="",0,IF(COUNTIFS($A$2:A1735,A1735,$F$2:F1735,F1735,$L$2:L1735,L1735)=1,1,0))</f>
        <v>0</v>
      </c>
      <c r="P1735" s="55">
        <f>IF(A1735="",0,IF(AND(F1735="C&amp;T",COUNTIFS($A$2:A1735,A1735,$F$2:F1735,"C&amp;T")=1),1,0))</f>
        <v>0</v>
      </c>
    </row>
    <row r="1736" spans="1:16" x14ac:dyDescent="0.35">
      <c r="A1736" s="54" t="str">
        <f>IFERROR(IF(INDEX(SPOT_Import!$A$1:$Z$2488,1736,'Live Data'!$C$12)="","",INDEX(SPOT_Import!$A$1:$Z$2488,1736,'Live Data'!$C$12)),"")</f>
        <v/>
      </c>
      <c r="B1736" s="54" t="str">
        <f>IFERROR(IF(INDEX(SPOT_Import!$A$1:$Z$2488,1736,'Live Data'!$C$13)="","",INDEX(SPOT_Import!$A$1:$Z$2488,1736,'Live Data'!$C$13)),"")</f>
        <v/>
      </c>
      <c r="C1736" s="54" t="str">
        <f>IFERROR(IF(INDEX(SPOT_Import!$A$1:$Z$2488,1736,'Live Data'!$C$14)="","",INDEX(SPOT_Import!$A$1:$Z$2488,1736,'Live Data'!$C$14)),"")</f>
        <v/>
      </c>
      <c r="D1736" s="54" t="str">
        <f>IFERROR(IF(INDEX(SPOT_Import!$A$1:$Z$2488,1736,'Live Data'!$C$15)="","",INDEX(SPOT_Import!$A$1:$Z$2488,1736,'Live Data'!$C$15)),"")</f>
        <v/>
      </c>
      <c r="E1736" s="54" t="str">
        <f>IFERROR(IF(INDEX(SPOT_Import!$A$1:$Z$2488,1736,'Live Data'!$C$16)="","",INDEX(SPOT_Import!$A$1:$Z$2488,1736,'Live Data'!$C$16)),"")</f>
        <v/>
      </c>
      <c r="F1736" s="54" t="str">
        <f>IFERROR(IF(INDEX(SPOT_Import!$A$1:$Z$2488,1736,'Live Data'!$C$17)="","",INDEX(SPOT_Import!$A$1:$Z$2488,1736,'Live Data'!$C$17)),"")</f>
        <v/>
      </c>
      <c r="G1736" s="54" t="str">
        <f>IFERROR(IF(INDEX(SPOT_Import!$A$1:$Z$2488,1736,'Live Data'!$C$18)="","",INDEX(SPOT_Import!$A$1:$Z$2488,1736,'Live Data'!$C$18)),"")</f>
        <v/>
      </c>
      <c r="H1736" s="54" t="str">
        <f>IFERROR(IF(INDEX(SPOT_Import!$A$1:$Z$2488,1736,'Live Data'!$C$19)="","",INDEX(SPOT_Import!$A$1:$Z$2488,1736,'Live Data'!$C$19)),"")</f>
        <v/>
      </c>
      <c r="I1736" s="54" t="str">
        <f>IFERROR(IF(INDEX(SPOT_Import!$A$1:$Z$2488,1736,'Live Data'!$C$20)="","",INDEX(SPOT_Import!$A$1:$Z$2488,1736,'Live Data'!$C$20)),"")</f>
        <v/>
      </c>
      <c r="J1736" s="54" t="str">
        <f>IFERROR(IF(INDEX(SPOT_Import!$A$1:$Z$2488,1736,'Live Data'!$C$21)="","",INDEX(SPOT_Import!$A$1:$Z$2488,1736,'Live Data'!$C$21)),"")</f>
        <v/>
      </c>
      <c r="K1736" s="54" t="str">
        <f>IFERROR(IF(INDEX(SPOT_Import!$A$1:$Z$2488,1736,'Live Data'!$C$22)="","",INDEX(SPOT_Import!$A$1:$Z$2488,1736,'Live Data'!$C$22)),"")</f>
        <v/>
      </c>
      <c r="L1736" s="55" t="str">
        <f t="shared" si="54"/>
        <v/>
      </c>
      <c r="M1736" s="55" t="str">
        <f t="shared" si="55"/>
        <v/>
      </c>
      <c r="N1736" s="55" t="str">
        <f>IF(A1736="","",IFERROR(INDEX('Cluster Map'!$A$4:$A$38,MATCH(M1736,'Cluster Map'!$B$4:$B$38,0)),"Unmapped"))</f>
        <v/>
      </c>
      <c r="O1736" s="55">
        <f>IF(A1736="",0,IF(COUNTIFS($A$2:A1736,A1736,$F$2:F1736,F1736,$L$2:L1736,L1736)=1,1,0))</f>
        <v>0</v>
      </c>
      <c r="P1736" s="55">
        <f>IF(A1736="",0,IF(AND(F1736="C&amp;T",COUNTIFS($A$2:A1736,A1736,$F$2:F1736,"C&amp;T")=1),1,0))</f>
        <v>0</v>
      </c>
    </row>
    <row r="1737" spans="1:16" x14ac:dyDescent="0.35">
      <c r="A1737" s="54" t="str">
        <f>IFERROR(IF(INDEX(SPOT_Import!$A$1:$Z$2488,1737,'Live Data'!$C$12)="","",INDEX(SPOT_Import!$A$1:$Z$2488,1737,'Live Data'!$C$12)),"")</f>
        <v/>
      </c>
      <c r="B1737" s="54" t="str">
        <f>IFERROR(IF(INDEX(SPOT_Import!$A$1:$Z$2488,1737,'Live Data'!$C$13)="","",INDEX(SPOT_Import!$A$1:$Z$2488,1737,'Live Data'!$C$13)),"")</f>
        <v/>
      </c>
      <c r="C1737" s="54" t="str">
        <f>IFERROR(IF(INDEX(SPOT_Import!$A$1:$Z$2488,1737,'Live Data'!$C$14)="","",INDEX(SPOT_Import!$A$1:$Z$2488,1737,'Live Data'!$C$14)),"")</f>
        <v/>
      </c>
      <c r="D1737" s="54" t="str">
        <f>IFERROR(IF(INDEX(SPOT_Import!$A$1:$Z$2488,1737,'Live Data'!$C$15)="","",INDEX(SPOT_Import!$A$1:$Z$2488,1737,'Live Data'!$C$15)),"")</f>
        <v/>
      </c>
      <c r="E1737" s="54" t="str">
        <f>IFERROR(IF(INDEX(SPOT_Import!$A$1:$Z$2488,1737,'Live Data'!$C$16)="","",INDEX(SPOT_Import!$A$1:$Z$2488,1737,'Live Data'!$C$16)),"")</f>
        <v/>
      </c>
      <c r="F1737" s="54" t="str">
        <f>IFERROR(IF(INDEX(SPOT_Import!$A$1:$Z$2488,1737,'Live Data'!$C$17)="","",INDEX(SPOT_Import!$A$1:$Z$2488,1737,'Live Data'!$C$17)),"")</f>
        <v/>
      </c>
      <c r="G1737" s="54" t="str">
        <f>IFERROR(IF(INDEX(SPOT_Import!$A$1:$Z$2488,1737,'Live Data'!$C$18)="","",INDEX(SPOT_Import!$A$1:$Z$2488,1737,'Live Data'!$C$18)),"")</f>
        <v/>
      </c>
      <c r="H1737" s="54" t="str">
        <f>IFERROR(IF(INDEX(SPOT_Import!$A$1:$Z$2488,1737,'Live Data'!$C$19)="","",INDEX(SPOT_Import!$A$1:$Z$2488,1737,'Live Data'!$C$19)),"")</f>
        <v/>
      </c>
      <c r="I1737" s="54" t="str">
        <f>IFERROR(IF(INDEX(SPOT_Import!$A$1:$Z$2488,1737,'Live Data'!$C$20)="","",INDEX(SPOT_Import!$A$1:$Z$2488,1737,'Live Data'!$C$20)),"")</f>
        <v/>
      </c>
      <c r="J1737" s="54" t="str">
        <f>IFERROR(IF(INDEX(SPOT_Import!$A$1:$Z$2488,1737,'Live Data'!$C$21)="","",INDEX(SPOT_Import!$A$1:$Z$2488,1737,'Live Data'!$C$21)),"")</f>
        <v/>
      </c>
      <c r="K1737" s="54" t="str">
        <f>IFERROR(IF(INDEX(SPOT_Import!$A$1:$Z$2488,1737,'Live Data'!$C$22)="","",INDEX(SPOT_Import!$A$1:$Z$2488,1737,'Live Data'!$C$22)),"")</f>
        <v/>
      </c>
      <c r="L1737" s="55" t="str">
        <f t="shared" si="54"/>
        <v/>
      </c>
      <c r="M1737" s="55" t="str">
        <f t="shared" si="55"/>
        <v/>
      </c>
      <c r="N1737" s="55" t="str">
        <f>IF(A1737="","",IFERROR(INDEX('Cluster Map'!$A$4:$A$38,MATCH(M1737,'Cluster Map'!$B$4:$B$38,0)),"Unmapped"))</f>
        <v/>
      </c>
      <c r="O1737" s="55">
        <f>IF(A1737="",0,IF(COUNTIFS($A$2:A1737,A1737,$F$2:F1737,F1737,$L$2:L1737,L1737)=1,1,0))</f>
        <v>0</v>
      </c>
      <c r="P1737" s="55">
        <f>IF(A1737="",0,IF(AND(F1737="C&amp;T",COUNTIFS($A$2:A1737,A1737,$F$2:F1737,"C&amp;T")=1),1,0))</f>
        <v>0</v>
      </c>
    </row>
    <row r="1738" spans="1:16" x14ac:dyDescent="0.35">
      <c r="A1738" s="54" t="str">
        <f>IFERROR(IF(INDEX(SPOT_Import!$A$1:$Z$2488,1738,'Live Data'!$C$12)="","",INDEX(SPOT_Import!$A$1:$Z$2488,1738,'Live Data'!$C$12)),"")</f>
        <v/>
      </c>
      <c r="B1738" s="54" t="str">
        <f>IFERROR(IF(INDEX(SPOT_Import!$A$1:$Z$2488,1738,'Live Data'!$C$13)="","",INDEX(SPOT_Import!$A$1:$Z$2488,1738,'Live Data'!$C$13)),"")</f>
        <v/>
      </c>
      <c r="C1738" s="54" t="str">
        <f>IFERROR(IF(INDEX(SPOT_Import!$A$1:$Z$2488,1738,'Live Data'!$C$14)="","",INDEX(SPOT_Import!$A$1:$Z$2488,1738,'Live Data'!$C$14)),"")</f>
        <v/>
      </c>
      <c r="D1738" s="54" t="str">
        <f>IFERROR(IF(INDEX(SPOT_Import!$A$1:$Z$2488,1738,'Live Data'!$C$15)="","",INDEX(SPOT_Import!$A$1:$Z$2488,1738,'Live Data'!$C$15)),"")</f>
        <v/>
      </c>
      <c r="E1738" s="54" t="str">
        <f>IFERROR(IF(INDEX(SPOT_Import!$A$1:$Z$2488,1738,'Live Data'!$C$16)="","",INDEX(SPOT_Import!$A$1:$Z$2488,1738,'Live Data'!$C$16)),"")</f>
        <v/>
      </c>
      <c r="F1738" s="54" t="str">
        <f>IFERROR(IF(INDEX(SPOT_Import!$A$1:$Z$2488,1738,'Live Data'!$C$17)="","",INDEX(SPOT_Import!$A$1:$Z$2488,1738,'Live Data'!$C$17)),"")</f>
        <v/>
      </c>
      <c r="G1738" s="54" t="str">
        <f>IFERROR(IF(INDEX(SPOT_Import!$A$1:$Z$2488,1738,'Live Data'!$C$18)="","",INDEX(SPOT_Import!$A$1:$Z$2488,1738,'Live Data'!$C$18)),"")</f>
        <v/>
      </c>
      <c r="H1738" s="54" t="str">
        <f>IFERROR(IF(INDEX(SPOT_Import!$A$1:$Z$2488,1738,'Live Data'!$C$19)="","",INDEX(SPOT_Import!$A$1:$Z$2488,1738,'Live Data'!$C$19)),"")</f>
        <v/>
      </c>
      <c r="I1738" s="54" t="str">
        <f>IFERROR(IF(INDEX(SPOT_Import!$A$1:$Z$2488,1738,'Live Data'!$C$20)="","",INDEX(SPOT_Import!$A$1:$Z$2488,1738,'Live Data'!$C$20)),"")</f>
        <v/>
      </c>
      <c r="J1738" s="54" t="str">
        <f>IFERROR(IF(INDEX(SPOT_Import!$A$1:$Z$2488,1738,'Live Data'!$C$21)="","",INDEX(SPOT_Import!$A$1:$Z$2488,1738,'Live Data'!$C$21)),"")</f>
        <v/>
      </c>
      <c r="K1738" s="54" t="str">
        <f>IFERROR(IF(INDEX(SPOT_Import!$A$1:$Z$2488,1738,'Live Data'!$C$22)="","",INDEX(SPOT_Import!$A$1:$Z$2488,1738,'Live Data'!$C$22)),"")</f>
        <v/>
      </c>
      <c r="L1738" s="55" t="str">
        <f t="shared" si="54"/>
        <v/>
      </c>
      <c r="M1738" s="55" t="str">
        <f t="shared" si="55"/>
        <v/>
      </c>
      <c r="N1738" s="55" t="str">
        <f>IF(A1738="","",IFERROR(INDEX('Cluster Map'!$A$4:$A$38,MATCH(M1738,'Cluster Map'!$B$4:$B$38,0)),"Unmapped"))</f>
        <v/>
      </c>
      <c r="O1738" s="55">
        <f>IF(A1738="",0,IF(COUNTIFS($A$2:A1738,A1738,$F$2:F1738,F1738,$L$2:L1738,L1738)=1,1,0))</f>
        <v>0</v>
      </c>
      <c r="P1738" s="55">
        <f>IF(A1738="",0,IF(AND(F1738="C&amp;T",COUNTIFS($A$2:A1738,A1738,$F$2:F1738,"C&amp;T")=1),1,0))</f>
        <v>0</v>
      </c>
    </row>
    <row r="1739" spans="1:16" x14ac:dyDescent="0.35">
      <c r="A1739" s="54" t="str">
        <f>IFERROR(IF(INDEX(SPOT_Import!$A$1:$Z$2488,1739,'Live Data'!$C$12)="","",INDEX(SPOT_Import!$A$1:$Z$2488,1739,'Live Data'!$C$12)),"")</f>
        <v/>
      </c>
      <c r="B1739" s="54" t="str">
        <f>IFERROR(IF(INDEX(SPOT_Import!$A$1:$Z$2488,1739,'Live Data'!$C$13)="","",INDEX(SPOT_Import!$A$1:$Z$2488,1739,'Live Data'!$C$13)),"")</f>
        <v/>
      </c>
      <c r="C1739" s="54" t="str">
        <f>IFERROR(IF(INDEX(SPOT_Import!$A$1:$Z$2488,1739,'Live Data'!$C$14)="","",INDEX(SPOT_Import!$A$1:$Z$2488,1739,'Live Data'!$C$14)),"")</f>
        <v/>
      </c>
      <c r="D1739" s="54" t="str">
        <f>IFERROR(IF(INDEX(SPOT_Import!$A$1:$Z$2488,1739,'Live Data'!$C$15)="","",INDEX(SPOT_Import!$A$1:$Z$2488,1739,'Live Data'!$C$15)),"")</f>
        <v/>
      </c>
      <c r="E1739" s="54" t="str">
        <f>IFERROR(IF(INDEX(SPOT_Import!$A$1:$Z$2488,1739,'Live Data'!$C$16)="","",INDEX(SPOT_Import!$A$1:$Z$2488,1739,'Live Data'!$C$16)),"")</f>
        <v/>
      </c>
      <c r="F1739" s="54" t="str">
        <f>IFERROR(IF(INDEX(SPOT_Import!$A$1:$Z$2488,1739,'Live Data'!$C$17)="","",INDEX(SPOT_Import!$A$1:$Z$2488,1739,'Live Data'!$C$17)),"")</f>
        <v/>
      </c>
      <c r="G1739" s="54" t="str">
        <f>IFERROR(IF(INDEX(SPOT_Import!$A$1:$Z$2488,1739,'Live Data'!$C$18)="","",INDEX(SPOT_Import!$A$1:$Z$2488,1739,'Live Data'!$C$18)),"")</f>
        <v/>
      </c>
      <c r="H1739" s="54" t="str">
        <f>IFERROR(IF(INDEX(SPOT_Import!$A$1:$Z$2488,1739,'Live Data'!$C$19)="","",INDEX(SPOT_Import!$A$1:$Z$2488,1739,'Live Data'!$C$19)),"")</f>
        <v/>
      </c>
      <c r="I1739" s="54" t="str">
        <f>IFERROR(IF(INDEX(SPOT_Import!$A$1:$Z$2488,1739,'Live Data'!$C$20)="","",INDEX(SPOT_Import!$A$1:$Z$2488,1739,'Live Data'!$C$20)),"")</f>
        <v/>
      </c>
      <c r="J1739" s="54" t="str">
        <f>IFERROR(IF(INDEX(SPOT_Import!$A$1:$Z$2488,1739,'Live Data'!$C$21)="","",INDEX(SPOT_Import!$A$1:$Z$2488,1739,'Live Data'!$C$21)),"")</f>
        <v/>
      </c>
      <c r="K1739" s="54" t="str">
        <f>IFERROR(IF(INDEX(SPOT_Import!$A$1:$Z$2488,1739,'Live Data'!$C$22)="","",INDEX(SPOT_Import!$A$1:$Z$2488,1739,'Live Data'!$C$22)),"")</f>
        <v/>
      </c>
      <c r="L1739" s="55" t="str">
        <f t="shared" si="54"/>
        <v/>
      </c>
      <c r="M1739" s="55" t="str">
        <f t="shared" si="55"/>
        <v/>
      </c>
      <c r="N1739" s="55" t="str">
        <f>IF(A1739="","",IFERROR(INDEX('Cluster Map'!$A$4:$A$38,MATCH(M1739,'Cluster Map'!$B$4:$B$38,0)),"Unmapped"))</f>
        <v/>
      </c>
      <c r="O1739" s="55">
        <f>IF(A1739="",0,IF(COUNTIFS($A$2:A1739,A1739,$F$2:F1739,F1739,$L$2:L1739,L1739)=1,1,0))</f>
        <v>0</v>
      </c>
      <c r="P1739" s="55">
        <f>IF(A1739="",0,IF(AND(F1739="C&amp;T",COUNTIFS($A$2:A1739,A1739,$F$2:F1739,"C&amp;T")=1),1,0))</f>
        <v>0</v>
      </c>
    </row>
    <row r="1740" spans="1:16" x14ac:dyDescent="0.35">
      <c r="A1740" s="54" t="str">
        <f>IFERROR(IF(INDEX(SPOT_Import!$A$1:$Z$2488,1740,'Live Data'!$C$12)="","",INDEX(SPOT_Import!$A$1:$Z$2488,1740,'Live Data'!$C$12)),"")</f>
        <v/>
      </c>
      <c r="B1740" s="54" t="str">
        <f>IFERROR(IF(INDEX(SPOT_Import!$A$1:$Z$2488,1740,'Live Data'!$C$13)="","",INDEX(SPOT_Import!$A$1:$Z$2488,1740,'Live Data'!$C$13)),"")</f>
        <v/>
      </c>
      <c r="C1740" s="54" t="str">
        <f>IFERROR(IF(INDEX(SPOT_Import!$A$1:$Z$2488,1740,'Live Data'!$C$14)="","",INDEX(SPOT_Import!$A$1:$Z$2488,1740,'Live Data'!$C$14)),"")</f>
        <v/>
      </c>
      <c r="D1740" s="54" t="str">
        <f>IFERROR(IF(INDEX(SPOT_Import!$A$1:$Z$2488,1740,'Live Data'!$C$15)="","",INDEX(SPOT_Import!$A$1:$Z$2488,1740,'Live Data'!$C$15)),"")</f>
        <v/>
      </c>
      <c r="E1740" s="54" t="str">
        <f>IFERROR(IF(INDEX(SPOT_Import!$A$1:$Z$2488,1740,'Live Data'!$C$16)="","",INDEX(SPOT_Import!$A$1:$Z$2488,1740,'Live Data'!$C$16)),"")</f>
        <v/>
      </c>
      <c r="F1740" s="54" t="str">
        <f>IFERROR(IF(INDEX(SPOT_Import!$A$1:$Z$2488,1740,'Live Data'!$C$17)="","",INDEX(SPOT_Import!$A$1:$Z$2488,1740,'Live Data'!$C$17)),"")</f>
        <v/>
      </c>
      <c r="G1740" s="54" t="str">
        <f>IFERROR(IF(INDEX(SPOT_Import!$A$1:$Z$2488,1740,'Live Data'!$C$18)="","",INDEX(SPOT_Import!$A$1:$Z$2488,1740,'Live Data'!$C$18)),"")</f>
        <v/>
      </c>
      <c r="H1740" s="54" t="str">
        <f>IFERROR(IF(INDEX(SPOT_Import!$A$1:$Z$2488,1740,'Live Data'!$C$19)="","",INDEX(SPOT_Import!$A$1:$Z$2488,1740,'Live Data'!$C$19)),"")</f>
        <v/>
      </c>
      <c r="I1740" s="54" t="str">
        <f>IFERROR(IF(INDEX(SPOT_Import!$A$1:$Z$2488,1740,'Live Data'!$C$20)="","",INDEX(SPOT_Import!$A$1:$Z$2488,1740,'Live Data'!$C$20)),"")</f>
        <v/>
      </c>
      <c r="J1740" s="54" t="str">
        <f>IFERROR(IF(INDEX(SPOT_Import!$A$1:$Z$2488,1740,'Live Data'!$C$21)="","",INDEX(SPOT_Import!$A$1:$Z$2488,1740,'Live Data'!$C$21)),"")</f>
        <v/>
      </c>
      <c r="K1740" s="54" t="str">
        <f>IFERROR(IF(INDEX(SPOT_Import!$A$1:$Z$2488,1740,'Live Data'!$C$22)="","",INDEX(SPOT_Import!$A$1:$Z$2488,1740,'Live Data'!$C$22)),"")</f>
        <v/>
      </c>
      <c r="L1740" s="55" t="str">
        <f t="shared" si="54"/>
        <v/>
      </c>
      <c r="M1740" s="55" t="str">
        <f t="shared" si="55"/>
        <v/>
      </c>
      <c r="N1740" s="55" t="str">
        <f>IF(A1740="","",IFERROR(INDEX('Cluster Map'!$A$4:$A$38,MATCH(M1740,'Cluster Map'!$B$4:$B$38,0)),"Unmapped"))</f>
        <v/>
      </c>
      <c r="O1740" s="55">
        <f>IF(A1740="",0,IF(COUNTIFS($A$2:A1740,A1740,$F$2:F1740,F1740,$L$2:L1740,L1740)=1,1,0))</f>
        <v>0</v>
      </c>
      <c r="P1740" s="55">
        <f>IF(A1740="",0,IF(AND(F1740="C&amp;T",COUNTIFS($A$2:A1740,A1740,$F$2:F1740,"C&amp;T")=1),1,0))</f>
        <v>0</v>
      </c>
    </row>
    <row r="1741" spans="1:16" x14ac:dyDescent="0.35">
      <c r="A1741" s="54" t="str">
        <f>IFERROR(IF(INDEX(SPOT_Import!$A$1:$Z$2488,1741,'Live Data'!$C$12)="","",INDEX(SPOT_Import!$A$1:$Z$2488,1741,'Live Data'!$C$12)),"")</f>
        <v/>
      </c>
      <c r="B1741" s="54" t="str">
        <f>IFERROR(IF(INDEX(SPOT_Import!$A$1:$Z$2488,1741,'Live Data'!$C$13)="","",INDEX(SPOT_Import!$A$1:$Z$2488,1741,'Live Data'!$C$13)),"")</f>
        <v/>
      </c>
      <c r="C1741" s="54" t="str">
        <f>IFERROR(IF(INDEX(SPOT_Import!$A$1:$Z$2488,1741,'Live Data'!$C$14)="","",INDEX(SPOT_Import!$A$1:$Z$2488,1741,'Live Data'!$C$14)),"")</f>
        <v/>
      </c>
      <c r="D1741" s="54" t="str">
        <f>IFERROR(IF(INDEX(SPOT_Import!$A$1:$Z$2488,1741,'Live Data'!$C$15)="","",INDEX(SPOT_Import!$A$1:$Z$2488,1741,'Live Data'!$C$15)),"")</f>
        <v/>
      </c>
      <c r="E1741" s="54" t="str">
        <f>IFERROR(IF(INDEX(SPOT_Import!$A$1:$Z$2488,1741,'Live Data'!$C$16)="","",INDEX(SPOT_Import!$A$1:$Z$2488,1741,'Live Data'!$C$16)),"")</f>
        <v/>
      </c>
      <c r="F1741" s="54" t="str">
        <f>IFERROR(IF(INDEX(SPOT_Import!$A$1:$Z$2488,1741,'Live Data'!$C$17)="","",INDEX(SPOT_Import!$A$1:$Z$2488,1741,'Live Data'!$C$17)),"")</f>
        <v/>
      </c>
      <c r="G1741" s="54" t="str">
        <f>IFERROR(IF(INDEX(SPOT_Import!$A$1:$Z$2488,1741,'Live Data'!$C$18)="","",INDEX(SPOT_Import!$A$1:$Z$2488,1741,'Live Data'!$C$18)),"")</f>
        <v/>
      </c>
      <c r="H1741" s="54" t="str">
        <f>IFERROR(IF(INDEX(SPOT_Import!$A$1:$Z$2488,1741,'Live Data'!$C$19)="","",INDEX(SPOT_Import!$A$1:$Z$2488,1741,'Live Data'!$C$19)),"")</f>
        <v/>
      </c>
      <c r="I1741" s="54" t="str">
        <f>IFERROR(IF(INDEX(SPOT_Import!$A$1:$Z$2488,1741,'Live Data'!$C$20)="","",INDEX(SPOT_Import!$A$1:$Z$2488,1741,'Live Data'!$C$20)),"")</f>
        <v/>
      </c>
      <c r="J1741" s="54" t="str">
        <f>IFERROR(IF(INDEX(SPOT_Import!$A$1:$Z$2488,1741,'Live Data'!$C$21)="","",INDEX(SPOT_Import!$A$1:$Z$2488,1741,'Live Data'!$C$21)),"")</f>
        <v/>
      </c>
      <c r="K1741" s="54" t="str">
        <f>IFERROR(IF(INDEX(SPOT_Import!$A$1:$Z$2488,1741,'Live Data'!$C$22)="","",INDEX(SPOT_Import!$A$1:$Z$2488,1741,'Live Data'!$C$22)),"")</f>
        <v/>
      </c>
      <c r="L1741" s="55" t="str">
        <f t="shared" si="54"/>
        <v/>
      </c>
      <c r="M1741" s="55" t="str">
        <f t="shared" si="55"/>
        <v/>
      </c>
      <c r="N1741" s="55" t="str">
        <f>IF(A1741="","",IFERROR(INDEX('Cluster Map'!$A$4:$A$38,MATCH(M1741,'Cluster Map'!$B$4:$B$38,0)),"Unmapped"))</f>
        <v/>
      </c>
      <c r="O1741" s="55">
        <f>IF(A1741="",0,IF(COUNTIFS($A$2:A1741,A1741,$F$2:F1741,F1741,$L$2:L1741,L1741)=1,1,0))</f>
        <v>0</v>
      </c>
      <c r="P1741" s="55">
        <f>IF(A1741="",0,IF(AND(F1741="C&amp;T",COUNTIFS($A$2:A1741,A1741,$F$2:F1741,"C&amp;T")=1),1,0))</f>
        <v>0</v>
      </c>
    </row>
    <row r="1742" spans="1:16" x14ac:dyDescent="0.35">
      <c r="A1742" s="54" t="str">
        <f>IFERROR(IF(INDEX(SPOT_Import!$A$1:$Z$2488,1742,'Live Data'!$C$12)="","",INDEX(SPOT_Import!$A$1:$Z$2488,1742,'Live Data'!$C$12)),"")</f>
        <v/>
      </c>
      <c r="B1742" s="54" t="str">
        <f>IFERROR(IF(INDEX(SPOT_Import!$A$1:$Z$2488,1742,'Live Data'!$C$13)="","",INDEX(SPOT_Import!$A$1:$Z$2488,1742,'Live Data'!$C$13)),"")</f>
        <v/>
      </c>
      <c r="C1742" s="54" t="str">
        <f>IFERROR(IF(INDEX(SPOT_Import!$A$1:$Z$2488,1742,'Live Data'!$C$14)="","",INDEX(SPOT_Import!$A$1:$Z$2488,1742,'Live Data'!$C$14)),"")</f>
        <v/>
      </c>
      <c r="D1742" s="54" t="str">
        <f>IFERROR(IF(INDEX(SPOT_Import!$A$1:$Z$2488,1742,'Live Data'!$C$15)="","",INDEX(SPOT_Import!$A$1:$Z$2488,1742,'Live Data'!$C$15)),"")</f>
        <v/>
      </c>
      <c r="E1742" s="54" t="str">
        <f>IFERROR(IF(INDEX(SPOT_Import!$A$1:$Z$2488,1742,'Live Data'!$C$16)="","",INDEX(SPOT_Import!$A$1:$Z$2488,1742,'Live Data'!$C$16)),"")</f>
        <v/>
      </c>
      <c r="F1742" s="54" t="str">
        <f>IFERROR(IF(INDEX(SPOT_Import!$A$1:$Z$2488,1742,'Live Data'!$C$17)="","",INDEX(SPOT_Import!$A$1:$Z$2488,1742,'Live Data'!$C$17)),"")</f>
        <v/>
      </c>
      <c r="G1742" s="54" t="str">
        <f>IFERROR(IF(INDEX(SPOT_Import!$A$1:$Z$2488,1742,'Live Data'!$C$18)="","",INDEX(SPOT_Import!$A$1:$Z$2488,1742,'Live Data'!$C$18)),"")</f>
        <v/>
      </c>
      <c r="H1742" s="54" t="str">
        <f>IFERROR(IF(INDEX(SPOT_Import!$A$1:$Z$2488,1742,'Live Data'!$C$19)="","",INDEX(SPOT_Import!$A$1:$Z$2488,1742,'Live Data'!$C$19)),"")</f>
        <v/>
      </c>
      <c r="I1742" s="54" t="str">
        <f>IFERROR(IF(INDEX(SPOT_Import!$A$1:$Z$2488,1742,'Live Data'!$C$20)="","",INDEX(SPOT_Import!$A$1:$Z$2488,1742,'Live Data'!$C$20)),"")</f>
        <v/>
      </c>
      <c r="J1742" s="54" t="str">
        <f>IFERROR(IF(INDEX(SPOT_Import!$A$1:$Z$2488,1742,'Live Data'!$C$21)="","",INDEX(SPOT_Import!$A$1:$Z$2488,1742,'Live Data'!$C$21)),"")</f>
        <v/>
      </c>
      <c r="K1742" s="54" t="str">
        <f>IFERROR(IF(INDEX(SPOT_Import!$A$1:$Z$2488,1742,'Live Data'!$C$22)="","",INDEX(SPOT_Import!$A$1:$Z$2488,1742,'Live Data'!$C$22)),"")</f>
        <v/>
      </c>
      <c r="L1742" s="55" t="str">
        <f t="shared" si="54"/>
        <v/>
      </c>
      <c r="M1742" s="55" t="str">
        <f t="shared" si="55"/>
        <v/>
      </c>
      <c r="N1742" s="55" t="str">
        <f>IF(A1742="","",IFERROR(INDEX('Cluster Map'!$A$4:$A$38,MATCH(M1742,'Cluster Map'!$B$4:$B$38,0)),"Unmapped"))</f>
        <v/>
      </c>
      <c r="O1742" s="55">
        <f>IF(A1742="",0,IF(COUNTIFS($A$2:A1742,A1742,$F$2:F1742,F1742,$L$2:L1742,L1742)=1,1,0))</f>
        <v>0</v>
      </c>
      <c r="P1742" s="55">
        <f>IF(A1742="",0,IF(AND(F1742="C&amp;T",COUNTIFS($A$2:A1742,A1742,$F$2:F1742,"C&amp;T")=1),1,0))</f>
        <v>0</v>
      </c>
    </row>
    <row r="1743" spans="1:16" x14ac:dyDescent="0.35">
      <c r="A1743" s="54" t="str">
        <f>IFERROR(IF(INDEX(SPOT_Import!$A$1:$Z$2488,1743,'Live Data'!$C$12)="","",INDEX(SPOT_Import!$A$1:$Z$2488,1743,'Live Data'!$C$12)),"")</f>
        <v/>
      </c>
      <c r="B1743" s="54" t="str">
        <f>IFERROR(IF(INDEX(SPOT_Import!$A$1:$Z$2488,1743,'Live Data'!$C$13)="","",INDEX(SPOT_Import!$A$1:$Z$2488,1743,'Live Data'!$C$13)),"")</f>
        <v/>
      </c>
      <c r="C1743" s="54" t="str">
        <f>IFERROR(IF(INDEX(SPOT_Import!$A$1:$Z$2488,1743,'Live Data'!$C$14)="","",INDEX(SPOT_Import!$A$1:$Z$2488,1743,'Live Data'!$C$14)),"")</f>
        <v/>
      </c>
      <c r="D1743" s="54" t="str">
        <f>IFERROR(IF(INDEX(SPOT_Import!$A$1:$Z$2488,1743,'Live Data'!$C$15)="","",INDEX(SPOT_Import!$A$1:$Z$2488,1743,'Live Data'!$C$15)),"")</f>
        <v/>
      </c>
      <c r="E1743" s="54" t="str">
        <f>IFERROR(IF(INDEX(SPOT_Import!$A$1:$Z$2488,1743,'Live Data'!$C$16)="","",INDEX(SPOT_Import!$A$1:$Z$2488,1743,'Live Data'!$C$16)),"")</f>
        <v/>
      </c>
      <c r="F1743" s="54" t="str">
        <f>IFERROR(IF(INDEX(SPOT_Import!$A$1:$Z$2488,1743,'Live Data'!$C$17)="","",INDEX(SPOT_Import!$A$1:$Z$2488,1743,'Live Data'!$C$17)),"")</f>
        <v/>
      </c>
      <c r="G1743" s="54" t="str">
        <f>IFERROR(IF(INDEX(SPOT_Import!$A$1:$Z$2488,1743,'Live Data'!$C$18)="","",INDEX(SPOT_Import!$A$1:$Z$2488,1743,'Live Data'!$C$18)),"")</f>
        <v/>
      </c>
      <c r="H1743" s="54" t="str">
        <f>IFERROR(IF(INDEX(SPOT_Import!$A$1:$Z$2488,1743,'Live Data'!$C$19)="","",INDEX(SPOT_Import!$A$1:$Z$2488,1743,'Live Data'!$C$19)),"")</f>
        <v/>
      </c>
      <c r="I1743" s="54" t="str">
        <f>IFERROR(IF(INDEX(SPOT_Import!$A$1:$Z$2488,1743,'Live Data'!$C$20)="","",INDEX(SPOT_Import!$A$1:$Z$2488,1743,'Live Data'!$C$20)),"")</f>
        <v/>
      </c>
      <c r="J1743" s="54" t="str">
        <f>IFERROR(IF(INDEX(SPOT_Import!$A$1:$Z$2488,1743,'Live Data'!$C$21)="","",INDEX(SPOT_Import!$A$1:$Z$2488,1743,'Live Data'!$C$21)),"")</f>
        <v/>
      </c>
      <c r="K1743" s="54" t="str">
        <f>IFERROR(IF(INDEX(SPOT_Import!$A$1:$Z$2488,1743,'Live Data'!$C$22)="","",INDEX(SPOT_Import!$A$1:$Z$2488,1743,'Live Data'!$C$22)),"")</f>
        <v/>
      </c>
      <c r="L1743" s="55" t="str">
        <f t="shared" si="54"/>
        <v/>
      </c>
      <c r="M1743" s="55" t="str">
        <f t="shared" si="55"/>
        <v/>
      </c>
      <c r="N1743" s="55" t="str">
        <f>IF(A1743="","",IFERROR(INDEX('Cluster Map'!$A$4:$A$38,MATCH(M1743,'Cluster Map'!$B$4:$B$38,0)),"Unmapped"))</f>
        <v/>
      </c>
      <c r="O1743" s="55">
        <f>IF(A1743="",0,IF(COUNTIFS($A$2:A1743,A1743,$F$2:F1743,F1743,$L$2:L1743,L1743)=1,1,0))</f>
        <v>0</v>
      </c>
      <c r="P1743" s="55">
        <f>IF(A1743="",0,IF(AND(F1743="C&amp;T",COUNTIFS($A$2:A1743,A1743,$F$2:F1743,"C&amp;T")=1),1,0))</f>
        <v>0</v>
      </c>
    </row>
    <row r="1744" spans="1:16" x14ac:dyDescent="0.35">
      <c r="A1744" s="54" t="str">
        <f>IFERROR(IF(INDEX(SPOT_Import!$A$1:$Z$2488,1744,'Live Data'!$C$12)="","",INDEX(SPOT_Import!$A$1:$Z$2488,1744,'Live Data'!$C$12)),"")</f>
        <v/>
      </c>
      <c r="B1744" s="54" t="str">
        <f>IFERROR(IF(INDEX(SPOT_Import!$A$1:$Z$2488,1744,'Live Data'!$C$13)="","",INDEX(SPOT_Import!$A$1:$Z$2488,1744,'Live Data'!$C$13)),"")</f>
        <v/>
      </c>
      <c r="C1744" s="54" t="str">
        <f>IFERROR(IF(INDEX(SPOT_Import!$A$1:$Z$2488,1744,'Live Data'!$C$14)="","",INDEX(SPOT_Import!$A$1:$Z$2488,1744,'Live Data'!$C$14)),"")</f>
        <v/>
      </c>
      <c r="D1744" s="54" t="str">
        <f>IFERROR(IF(INDEX(SPOT_Import!$A$1:$Z$2488,1744,'Live Data'!$C$15)="","",INDEX(SPOT_Import!$A$1:$Z$2488,1744,'Live Data'!$C$15)),"")</f>
        <v/>
      </c>
      <c r="E1744" s="54" t="str">
        <f>IFERROR(IF(INDEX(SPOT_Import!$A$1:$Z$2488,1744,'Live Data'!$C$16)="","",INDEX(SPOT_Import!$A$1:$Z$2488,1744,'Live Data'!$C$16)),"")</f>
        <v/>
      </c>
      <c r="F1744" s="54" t="str">
        <f>IFERROR(IF(INDEX(SPOT_Import!$A$1:$Z$2488,1744,'Live Data'!$C$17)="","",INDEX(SPOT_Import!$A$1:$Z$2488,1744,'Live Data'!$C$17)),"")</f>
        <v/>
      </c>
      <c r="G1744" s="54" t="str">
        <f>IFERROR(IF(INDEX(SPOT_Import!$A$1:$Z$2488,1744,'Live Data'!$C$18)="","",INDEX(SPOT_Import!$A$1:$Z$2488,1744,'Live Data'!$C$18)),"")</f>
        <v/>
      </c>
      <c r="H1744" s="54" t="str">
        <f>IFERROR(IF(INDEX(SPOT_Import!$A$1:$Z$2488,1744,'Live Data'!$C$19)="","",INDEX(SPOT_Import!$A$1:$Z$2488,1744,'Live Data'!$C$19)),"")</f>
        <v/>
      </c>
      <c r="I1744" s="54" t="str">
        <f>IFERROR(IF(INDEX(SPOT_Import!$A$1:$Z$2488,1744,'Live Data'!$C$20)="","",INDEX(SPOT_Import!$A$1:$Z$2488,1744,'Live Data'!$C$20)),"")</f>
        <v/>
      </c>
      <c r="J1744" s="54" t="str">
        <f>IFERROR(IF(INDEX(SPOT_Import!$A$1:$Z$2488,1744,'Live Data'!$C$21)="","",INDEX(SPOT_Import!$A$1:$Z$2488,1744,'Live Data'!$C$21)),"")</f>
        <v/>
      </c>
      <c r="K1744" s="54" t="str">
        <f>IFERROR(IF(INDEX(SPOT_Import!$A$1:$Z$2488,1744,'Live Data'!$C$22)="","",INDEX(SPOT_Import!$A$1:$Z$2488,1744,'Live Data'!$C$22)),"")</f>
        <v/>
      </c>
      <c r="L1744" s="55" t="str">
        <f t="shared" si="54"/>
        <v/>
      </c>
      <c r="M1744" s="55" t="str">
        <f t="shared" si="55"/>
        <v/>
      </c>
      <c r="N1744" s="55" t="str">
        <f>IF(A1744="","",IFERROR(INDEX('Cluster Map'!$A$4:$A$38,MATCH(M1744,'Cluster Map'!$B$4:$B$38,0)),"Unmapped"))</f>
        <v/>
      </c>
      <c r="O1744" s="55">
        <f>IF(A1744="",0,IF(COUNTIFS($A$2:A1744,A1744,$F$2:F1744,F1744,$L$2:L1744,L1744)=1,1,0))</f>
        <v>0</v>
      </c>
      <c r="P1744" s="55">
        <f>IF(A1744="",0,IF(AND(F1744="C&amp;T",COUNTIFS($A$2:A1744,A1744,$F$2:F1744,"C&amp;T")=1),1,0))</f>
        <v>0</v>
      </c>
    </row>
    <row r="1745" spans="1:16" x14ac:dyDescent="0.35">
      <c r="A1745" s="54" t="str">
        <f>IFERROR(IF(INDEX(SPOT_Import!$A$1:$Z$2488,1745,'Live Data'!$C$12)="","",INDEX(SPOT_Import!$A$1:$Z$2488,1745,'Live Data'!$C$12)),"")</f>
        <v/>
      </c>
      <c r="B1745" s="54" t="str">
        <f>IFERROR(IF(INDEX(SPOT_Import!$A$1:$Z$2488,1745,'Live Data'!$C$13)="","",INDEX(SPOT_Import!$A$1:$Z$2488,1745,'Live Data'!$C$13)),"")</f>
        <v/>
      </c>
      <c r="C1745" s="54" t="str">
        <f>IFERROR(IF(INDEX(SPOT_Import!$A$1:$Z$2488,1745,'Live Data'!$C$14)="","",INDEX(SPOT_Import!$A$1:$Z$2488,1745,'Live Data'!$C$14)),"")</f>
        <v/>
      </c>
      <c r="D1745" s="54" t="str">
        <f>IFERROR(IF(INDEX(SPOT_Import!$A$1:$Z$2488,1745,'Live Data'!$C$15)="","",INDEX(SPOT_Import!$A$1:$Z$2488,1745,'Live Data'!$C$15)),"")</f>
        <v/>
      </c>
      <c r="E1745" s="54" t="str">
        <f>IFERROR(IF(INDEX(SPOT_Import!$A$1:$Z$2488,1745,'Live Data'!$C$16)="","",INDEX(SPOT_Import!$A$1:$Z$2488,1745,'Live Data'!$C$16)),"")</f>
        <v/>
      </c>
      <c r="F1745" s="54" t="str">
        <f>IFERROR(IF(INDEX(SPOT_Import!$A$1:$Z$2488,1745,'Live Data'!$C$17)="","",INDEX(SPOT_Import!$A$1:$Z$2488,1745,'Live Data'!$C$17)),"")</f>
        <v/>
      </c>
      <c r="G1745" s="54" t="str">
        <f>IFERROR(IF(INDEX(SPOT_Import!$A$1:$Z$2488,1745,'Live Data'!$C$18)="","",INDEX(SPOT_Import!$A$1:$Z$2488,1745,'Live Data'!$C$18)),"")</f>
        <v/>
      </c>
      <c r="H1745" s="54" t="str">
        <f>IFERROR(IF(INDEX(SPOT_Import!$A$1:$Z$2488,1745,'Live Data'!$C$19)="","",INDEX(SPOT_Import!$A$1:$Z$2488,1745,'Live Data'!$C$19)),"")</f>
        <v/>
      </c>
      <c r="I1745" s="54" t="str">
        <f>IFERROR(IF(INDEX(SPOT_Import!$A$1:$Z$2488,1745,'Live Data'!$C$20)="","",INDEX(SPOT_Import!$A$1:$Z$2488,1745,'Live Data'!$C$20)),"")</f>
        <v/>
      </c>
      <c r="J1745" s="54" t="str">
        <f>IFERROR(IF(INDEX(SPOT_Import!$A$1:$Z$2488,1745,'Live Data'!$C$21)="","",INDEX(SPOT_Import!$A$1:$Z$2488,1745,'Live Data'!$C$21)),"")</f>
        <v/>
      </c>
      <c r="K1745" s="54" t="str">
        <f>IFERROR(IF(INDEX(SPOT_Import!$A$1:$Z$2488,1745,'Live Data'!$C$22)="","",INDEX(SPOT_Import!$A$1:$Z$2488,1745,'Live Data'!$C$22)),"")</f>
        <v/>
      </c>
      <c r="L1745" s="55" t="str">
        <f t="shared" si="54"/>
        <v/>
      </c>
      <c r="M1745" s="55" t="str">
        <f t="shared" si="55"/>
        <v/>
      </c>
      <c r="N1745" s="55" t="str">
        <f>IF(A1745="","",IFERROR(INDEX('Cluster Map'!$A$4:$A$38,MATCH(M1745,'Cluster Map'!$B$4:$B$38,0)),"Unmapped"))</f>
        <v/>
      </c>
      <c r="O1745" s="55">
        <f>IF(A1745="",0,IF(COUNTIFS($A$2:A1745,A1745,$F$2:F1745,F1745,$L$2:L1745,L1745)=1,1,0))</f>
        <v>0</v>
      </c>
      <c r="P1745" s="55">
        <f>IF(A1745="",0,IF(AND(F1745="C&amp;T",COUNTIFS($A$2:A1745,A1745,$F$2:F1745,"C&amp;T")=1),1,0))</f>
        <v>0</v>
      </c>
    </row>
    <row r="1746" spans="1:16" x14ac:dyDescent="0.35">
      <c r="A1746" s="54" t="str">
        <f>IFERROR(IF(INDEX(SPOT_Import!$A$1:$Z$2488,1746,'Live Data'!$C$12)="","",INDEX(SPOT_Import!$A$1:$Z$2488,1746,'Live Data'!$C$12)),"")</f>
        <v/>
      </c>
      <c r="B1746" s="54" t="str">
        <f>IFERROR(IF(INDEX(SPOT_Import!$A$1:$Z$2488,1746,'Live Data'!$C$13)="","",INDEX(SPOT_Import!$A$1:$Z$2488,1746,'Live Data'!$C$13)),"")</f>
        <v/>
      </c>
      <c r="C1746" s="54" t="str">
        <f>IFERROR(IF(INDEX(SPOT_Import!$A$1:$Z$2488,1746,'Live Data'!$C$14)="","",INDEX(SPOT_Import!$A$1:$Z$2488,1746,'Live Data'!$C$14)),"")</f>
        <v/>
      </c>
      <c r="D1746" s="54" t="str">
        <f>IFERROR(IF(INDEX(SPOT_Import!$A$1:$Z$2488,1746,'Live Data'!$C$15)="","",INDEX(SPOT_Import!$A$1:$Z$2488,1746,'Live Data'!$C$15)),"")</f>
        <v/>
      </c>
      <c r="E1746" s="54" t="str">
        <f>IFERROR(IF(INDEX(SPOT_Import!$A$1:$Z$2488,1746,'Live Data'!$C$16)="","",INDEX(SPOT_Import!$A$1:$Z$2488,1746,'Live Data'!$C$16)),"")</f>
        <v/>
      </c>
      <c r="F1746" s="54" t="str">
        <f>IFERROR(IF(INDEX(SPOT_Import!$A$1:$Z$2488,1746,'Live Data'!$C$17)="","",INDEX(SPOT_Import!$A$1:$Z$2488,1746,'Live Data'!$C$17)),"")</f>
        <v/>
      </c>
      <c r="G1746" s="54" t="str">
        <f>IFERROR(IF(INDEX(SPOT_Import!$A$1:$Z$2488,1746,'Live Data'!$C$18)="","",INDEX(SPOT_Import!$A$1:$Z$2488,1746,'Live Data'!$C$18)),"")</f>
        <v/>
      </c>
      <c r="H1746" s="54" t="str">
        <f>IFERROR(IF(INDEX(SPOT_Import!$A$1:$Z$2488,1746,'Live Data'!$C$19)="","",INDEX(SPOT_Import!$A$1:$Z$2488,1746,'Live Data'!$C$19)),"")</f>
        <v/>
      </c>
      <c r="I1746" s="54" t="str">
        <f>IFERROR(IF(INDEX(SPOT_Import!$A$1:$Z$2488,1746,'Live Data'!$C$20)="","",INDEX(SPOT_Import!$A$1:$Z$2488,1746,'Live Data'!$C$20)),"")</f>
        <v/>
      </c>
      <c r="J1746" s="54" t="str">
        <f>IFERROR(IF(INDEX(SPOT_Import!$A$1:$Z$2488,1746,'Live Data'!$C$21)="","",INDEX(SPOT_Import!$A$1:$Z$2488,1746,'Live Data'!$C$21)),"")</f>
        <v/>
      </c>
      <c r="K1746" s="54" t="str">
        <f>IFERROR(IF(INDEX(SPOT_Import!$A$1:$Z$2488,1746,'Live Data'!$C$22)="","",INDEX(SPOT_Import!$A$1:$Z$2488,1746,'Live Data'!$C$22)),"")</f>
        <v/>
      </c>
      <c r="L1746" s="55" t="str">
        <f t="shared" si="54"/>
        <v/>
      </c>
      <c r="M1746" s="55" t="str">
        <f t="shared" si="55"/>
        <v/>
      </c>
      <c r="N1746" s="55" t="str">
        <f>IF(A1746="","",IFERROR(INDEX('Cluster Map'!$A$4:$A$38,MATCH(M1746,'Cluster Map'!$B$4:$B$38,0)),"Unmapped"))</f>
        <v/>
      </c>
      <c r="O1746" s="55">
        <f>IF(A1746="",0,IF(COUNTIFS($A$2:A1746,A1746,$F$2:F1746,F1746,$L$2:L1746,L1746)=1,1,0))</f>
        <v>0</v>
      </c>
      <c r="P1746" s="55">
        <f>IF(A1746="",0,IF(AND(F1746="C&amp;T",COUNTIFS($A$2:A1746,A1746,$F$2:F1746,"C&amp;T")=1),1,0))</f>
        <v>0</v>
      </c>
    </row>
    <row r="1747" spans="1:16" x14ac:dyDescent="0.35">
      <c r="A1747" s="54" t="str">
        <f>IFERROR(IF(INDEX(SPOT_Import!$A$1:$Z$2488,1747,'Live Data'!$C$12)="","",INDEX(SPOT_Import!$A$1:$Z$2488,1747,'Live Data'!$C$12)),"")</f>
        <v/>
      </c>
      <c r="B1747" s="54" t="str">
        <f>IFERROR(IF(INDEX(SPOT_Import!$A$1:$Z$2488,1747,'Live Data'!$C$13)="","",INDEX(SPOT_Import!$A$1:$Z$2488,1747,'Live Data'!$C$13)),"")</f>
        <v/>
      </c>
      <c r="C1747" s="54" t="str">
        <f>IFERROR(IF(INDEX(SPOT_Import!$A$1:$Z$2488,1747,'Live Data'!$C$14)="","",INDEX(SPOT_Import!$A$1:$Z$2488,1747,'Live Data'!$C$14)),"")</f>
        <v/>
      </c>
      <c r="D1747" s="54" t="str">
        <f>IFERROR(IF(INDEX(SPOT_Import!$A$1:$Z$2488,1747,'Live Data'!$C$15)="","",INDEX(SPOT_Import!$A$1:$Z$2488,1747,'Live Data'!$C$15)),"")</f>
        <v/>
      </c>
      <c r="E1747" s="54" t="str">
        <f>IFERROR(IF(INDEX(SPOT_Import!$A$1:$Z$2488,1747,'Live Data'!$C$16)="","",INDEX(SPOT_Import!$A$1:$Z$2488,1747,'Live Data'!$C$16)),"")</f>
        <v/>
      </c>
      <c r="F1747" s="54" t="str">
        <f>IFERROR(IF(INDEX(SPOT_Import!$A$1:$Z$2488,1747,'Live Data'!$C$17)="","",INDEX(SPOT_Import!$A$1:$Z$2488,1747,'Live Data'!$C$17)),"")</f>
        <v/>
      </c>
      <c r="G1747" s="54" t="str">
        <f>IFERROR(IF(INDEX(SPOT_Import!$A$1:$Z$2488,1747,'Live Data'!$C$18)="","",INDEX(SPOT_Import!$A$1:$Z$2488,1747,'Live Data'!$C$18)),"")</f>
        <v/>
      </c>
      <c r="H1747" s="54" t="str">
        <f>IFERROR(IF(INDEX(SPOT_Import!$A$1:$Z$2488,1747,'Live Data'!$C$19)="","",INDEX(SPOT_Import!$A$1:$Z$2488,1747,'Live Data'!$C$19)),"")</f>
        <v/>
      </c>
      <c r="I1747" s="54" t="str">
        <f>IFERROR(IF(INDEX(SPOT_Import!$A$1:$Z$2488,1747,'Live Data'!$C$20)="","",INDEX(SPOT_Import!$A$1:$Z$2488,1747,'Live Data'!$C$20)),"")</f>
        <v/>
      </c>
      <c r="J1747" s="54" t="str">
        <f>IFERROR(IF(INDEX(SPOT_Import!$A$1:$Z$2488,1747,'Live Data'!$C$21)="","",INDEX(SPOT_Import!$A$1:$Z$2488,1747,'Live Data'!$C$21)),"")</f>
        <v/>
      </c>
      <c r="K1747" s="54" t="str">
        <f>IFERROR(IF(INDEX(SPOT_Import!$A$1:$Z$2488,1747,'Live Data'!$C$22)="","",INDEX(SPOT_Import!$A$1:$Z$2488,1747,'Live Data'!$C$22)),"")</f>
        <v/>
      </c>
      <c r="L1747" s="55" t="str">
        <f t="shared" si="54"/>
        <v/>
      </c>
      <c r="M1747" s="55" t="str">
        <f t="shared" si="55"/>
        <v/>
      </c>
      <c r="N1747" s="55" t="str">
        <f>IF(A1747="","",IFERROR(INDEX('Cluster Map'!$A$4:$A$38,MATCH(M1747,'Cluster Map'!$B$4:$B$38,0)),"Unmapped"))</f>
        <v/>
      </c>
      <c r="O1747" s="55">
        <f>IF(A1747="",0,IF(COUNTIFS($A$2:A1747,A1747,$F$2:F1747,F1747,$L$2:L1747,L1747)=1,1,0))</f>
        <v>0</v>
      </c>
      <c r="P1747" s="55">
        <f>IF(A1747="",0,IF(AND(F1747="C&amp;T",COUNTIFS($A$2:A1747,A1747,$F$2:F1747,"C&amp;T")=1),1,0))</f>
        <v>0</v>
      </c>
    </row>
    <row r="1748" spans="1:16" x14ac:dyDescent="0.35">
      <c r="A1748" s="54" t="str">
        <f>IFERROR(IF(INDEX(SPOT_Import!$A$1:$Z$2488,1748,'Live Data'!$C$12)="","",INDEX(SPOT_Import!$A$1:$Z$2488,1748,'Live Data'!$C$12)),"")</f>
        <v/>
      </c>
      <c r="B1748" s="54" t="str">
        <f>IFERROR(IF(INDEX(SPOT_Import!$A$1:$Z$2488,1748,'Live Data'!$C$13)="","",INDEX(SPOT_Import!$A$1:$Z$2488,1748,'Live Data'!$C$13)),"")</f>
        <v/>
      </c>
      <c r="C1748" s="54" t="str">
        <f>IFERROR(IF(INDEX(SPOT_Import!$A$1:$Z$2488,1748,'Live Data'!$C$14)="","",INDEX(SPOT_Import!$A$1:$Z$2488,1748,'Live Data'!$C$14)),"")</f>
        <v/>
      </c>
      <c r="D1748" s="54" t="str">
        <f>IFERROR(IF(INDEX(SPOT_Import!$A$1:$Z$2488,1748,'Live Data'!$C$15)="","",INDEX(SPOT_Import!$A$1:$Z$2488,1748,'Live Data'!$C$15)),"")</f>
        <v/>
      </c>
      <c r="E1748" s="54" t="str">
        <f>IFERROR(IF(INDEX(SPOT_Import!$A$1:$Z$2488,1748,'Live Data'!$C$16)="","",INDEX(SPOT_Import!$A$1:$Z$2488,1748,'Live Data'!$C$16)),"")</f>
        <v/>
      </c>
      <c r="F1748" s="54" t="str">
        <f>IFERROR(IF(INDEX(SPOT_Import!$A$1:$Z$2488,1748,'Live Data'!$C$17)="","",INDEX(SPOT_Import!$A$1:$Z$2488,1748,'Live Data'!$C$17)),"")</f>
        <v/>
      </c>
      <c r="G1748" s="54" t="str">
        <f>IFERROR(IF(INDEX(SPOT_Import!$A$1:$Z$2488,1748,'Live Data'!$C$18)="","",INDEX(SPOT_Import!$A$1:$Z$2488,1748,'Live Data'!$C$18)),"")</f>
        <v/>
      </c>
      <c r="H1748" s="54" t="str">
        <f>IFERROR(IF(INDEX(SPOT_Import!$A$1:$Z$2488,1748,'Live Data'!$C$19)="","",INDEX(SPOT_Import!$A$1:$Z$2488,1748,'Live Data'!$C$19)),"")</f>
        <v/>
      </c>
      <c r="I1748" s="54" t="str">
        <f>IFERROR(IF(INDEX(SPOT_Import!$A$1:$Z$2488,1748,'Live Data'!$C$20)="","",INDEX(SPOT_Import!$A$1:$Z$2488,1748,'Live Data'!$C$20)),"")</f>
        <v/>
      </c>
      <c r="J1748" s="54" t="str">
        <f>IFERROR(IF(INDEX(SPOT_Import!$A$1:$Z$2488,1748,'Live Data'!$C$21)="","",INDEX(SPOT_Import!$A$1:$Z$2488,1748,'Live Data'!$C$21)),"")</f>
        <v/>
      </c>
      <c r="K1748" s="54" t="str">
        <f>IFERROR(IF(INDEX(SPOT_Import!$A$1:$Z$2488,1748,'Live Data'!$C$22)="","",INDEX(SPOT_Import!$A$1:$Z$2488,1748,'Live Data'!$C$22)),"")</f>
        <v/>
      </c>
      <c r="L1748" s="55" t="str">
        <f t="shared" si="54"/>
        <v/>
      </c>
      <c r="M1748" s="55" t="str">
        <f t="shared" si="55"/>
        <v/>
      </c>
      <c r="N1748" s="55" t="str">
        <f>IF(A1748="","",IFERROR(INDEX('Cluster Map'!$A$4:$A$38,MATCH(M1748,'Cluster Map'!$B$4:$B$38,0)),"Unmapped"))</f>
        <v/>
      </c>
      <c r="O1748" s="55">
        <f>IF(A1748="",0,IF(COUNTIFS($A$2:A1748,A1748,$F$2:F1748,F1748,$L$2:L1748,L1748)=1,1,0))</f>
        <v>0</v>
      </c>
      <c r="P1748" s="55">
        <f>IF(A1748="",0,IF(AND(F1748="C&amp;T",COUNTIFS($A$2:A1748,A1748,$F$2:F1748,"C&amp;T")=1),1,0))</f>
        <v>0</v>
      </c>
    </row>
    <row r="1749" spans="1:16" x14ac:dyDescent="0.35">
      <c r="A1749" s="54" t="str">
        <f>IFERROR(IF(INDEX(SPOT_Import!$A$1:$Z$2488,1749,'Live Data'!$C$12)="","",INDEX(SPOT_Import!$A$1:$Z$2488,1749,'Live Data'!$C$12)),"")</f>
        <v/>
      </c>
      <c r="B1749" s="54" t="str">
        <f>IFERROR(IF(INDEX(SPOT_Import!$A$1:$Z$2488,1749,'Live Data'!$C$13)="","",INDEX(SPOT_Import!$A$1:$Z$2488,1749,'Live Data'!$C$13)),"")</f>
        <v/>
      </c>
      <c r="C1749" s="54" t="str">
        <f>IFERROR(IF(INDEX(SPOT_Import!$A$1:$Z$2488,1749,'Live Data'!$C$14)="","",INDEX(SPOT_Import!$A$1:$Z$2488,1749,'Live Data'!$C$14)),"")</f>
        <v/>
      </c>
      <c r="D1749" s="54" t="str">
        <f>IFERROR(IF(INDEX(SPOT_Import!$A$1:$Z$2488,1749,'Live Data'!$C$15)="","",INDEX(SPOT_Import!$A$1:$Z$2488,1749,'Live Data'!$C$15)),"")</f>
        <v/>
      </c>
      <c r="E1749" s="54" t="str">
        <f>IFERROR(IF(INDEX(SPOT_Import!$A$1:$Z$2488,1749,'Live Data'!$C$16)="","",INDEX(SPOT_Import!$A$1:$Z$2488,1749,'Live Data'!$C$16)),"")</f>
        <v/>
      </c>
      <c r="F1749" s="54" t="str">
        <f>IFERROR(IF(INDEX(SPOT_Import!$A$1:$Z$2488,1749,'Live Data'!$C$17)="","",INDEX(SPOT_Import!$A$1:$Z$2488,1749,'Live Data'!$C$17)),"")</f>
        <v/>
      </c>
      <c r="G1749" s="54" t="str">
        <f>IFERROR(IF(INDEX(SPOT_Import!$A$1:$Z$2488,1749,'Live Data'!$C$18)="","",INDEX(SPOT_Import!$A$1:$Z$2488,1749,'Live Data'!$C$18)),"")</f>
        <v/>
      </c>
      <c r="H1749" s="54" t="str">
        <f>IFERROR(IF(INDEX(SPOT_Import!$A$1:$Z$2488,1749,'Live Data'!$C$19)="","",INDEX(SPOT_Import!$A$1:$Z$2488,1749,'Live Data'!$C$19)),"")</f>
        <v/>
      </c>
      <c r="I1749" s="54" t="str">
        <f>IFERROR(IF(INDEX(SPOT_Import!$A$1:$Z$2488,1749,'Live Data'!$C$20)="","",INDEX(SPOT_Import!$A$1:$Z$2488,1749,'Live Data'!$C$20)),"")</f>
        <v/>
      </c>
      <c r="J1749" s="54" t="str">
        <f>IFERROR(IF(INDEX(SPOT_Import!$A$1:$Z$2488,1749,'Live Data'!$C$21)="","",INDEX(SPOT_Import!$A$1:$Z$2488,1749,'Live Data'!$C$21)),"")</f>
        <v/>
      </c>
      <c r="K1749" s="54" t="str">
        <f>IFERROR(IF(INDEX(SPOT_Import!$A$1:$Z$2488,1749,'Live Data'!$C$22)="","",INDEX(SPOT_Import!$A$1:$Z$2488,1749,'Live Data'!$C$22)),"")</f>
        <v/>
      </c>
      <c r="L1749" s="55" t="str">
        <f t="shared" si="54"/>
        <v/>
      </c>
      <c r="M1749" s="55" t="str">
        <f t="shared" si="55"/>
        <v/>
      </c>
      <c r="N1749" s="55" t="str">
        <f>IF(A1749="","",IFERROR(INDEX('Cluster Map'!$A$4:$A$38,MATCH(M1749,'Cluster Map'!$B$4:$B$38,0)),"Unmapped"))</f>
        <v/>
      </c>
      <c r="O1749" s="55">
        <f>IF(A1749="",0,IF(COUNTIFS($A$2:A1749,A1749,$F$2:F1749,F1749,$L$2:L1749,L1749)=1,1,0))</f>
        <v>0</v>
      </c>
      <c r="P1749" s="55">
        <f>IF(A1749="",0,IF(AND(F1749="C&amp;T",COUNTIFS($A$2:A1749,A1749,$F$2:F1749,"C&amp;T")=1),1,0))</f>
        <v>0</v>
      </c>
    </row>
    <row r="1750" spans="1:16" x14ac:dyDescent="0.35">
      <c r="A1750" s="54" t="str">
        <f>IFERROR(IF(INDEX(SPOT_Import!$A$1:$Z$2488,1750,'Live Data'!$C$12)="","",INDEX(SPOT_Import!$A$1:$Z$2488,1750,'Live Data'!$C$12)),"")</f>
        <v/>
      </c>
      <c r="B1750" s="54" t="str">
        <f>IFERROR(IF(INDEX(SPOT_Import!$A$1:$Z$2488,1750,'Live Data'!$C$13)="","",INDEX(SPOT_Import!$A$1:$Z$2488,1750,'Live Data'!$C$13)),"")</f>
        <v/>
      </c>
      <c r="C1750" s="54" t="str">
        <f>IFERROR(IF(INDEX(SPOT_Import!$A$1:$Z$2488,1750,'Live Data'!$C$14)="","",INDEX(SPOT_Import!$A$1:$Z$2488,1750,'Live Data'!$C$14)),"")</f>
        <v/>
      </c>
      <c r="D1750" s="54" t="str">
        <f>IFERROR(IF(INDEX(SPOT_Import!$A$1:$Z$2488,1750,'Live Data'!$C$15)="","",INDEX(SPOT_Import!$A$1:$Z$2488,1750,'Live Data'!$C$15)),"")</f>
        <v/>
      </c>
      <c r="E1750" s="54" t="str">
        <f>IFERROR(IF(INDEX(SPOT_Import!$A$1:$Z$2488,1750,'Live Data'!$C$16)="","",INDEX(SPOT_Import!$A$1:$Z$2488,1750,'Live Data'!$C$16)),"")</f>
        <v/>
      </c>
      <c r="F1750" s="54" t="str">
        <f>IFERROR(IF(INDEX(SPOT_Import!$A$1:$Z$2488,1750,'Live Data'!$C$17)="","",INDEX(SPOT_Import!$A$1:$Z$2488,1750,'Live Data'!$C$17)),"")</f>
        <v/>
      </c>
      <c r="G1750" s="54" t="str">
        <f>IFERROR(IF(INDEX(SPOT_Import!$A$1:$Z$2488,1750,'Live Data'!$C$18)="","",INDEX(SPOT_Import!$A$1:$Z$2488,1750,'Live Data'!$C$18)),"")</f>
        <v/>
      </c>
      <c r="H1750" s="54" t="str">
        <f>IFERROR(IF(INDEX(SPOT_Import!$A$1:$Z$2488,1750,'Live Data'!$C$19)="","",INDEX(SPOT_Import!$A$1:$Z$2488,1750,'Live Data'!$C$19)),"")</f>
        <v/>
      </c>
      <c r="I1750" s="54" t="str">
        <f>IFERROR(IF(INDEX(SPOT_Import!$A$1:$Z$2488,1750,'Live Data'!$C$20)="","",INDEX(SPOT_Import!$A$1:$Z$2488,1750,'Live Data'!$C$20)),"")</f>
        <v/>
      </c>
      <c r="J1750" s="54" t="str">
        <f>IFERROR(IF(INDEX(SPOT_Import!$A$1:$Z$2488,1750,'Live Data'!$C$21)="","",INDEX(SPOT_Import!$A$1:$Z$2488,1750,'Live Data'!$C$21)),"")</f>
        <v/>
      </c>
      <c r="K1750" s="54" t="str">
        <f>IFERROR(IF(INDEX(SPOT_Import!$A$1:$Z$2488,1750,'Live Data'!$C$22)="","",INDEX(SPOT_Import!$A$1:$Z$2488,1750,'Live Data'!$C$22)),"")</f>
        <v/>
      </c>
      <c r="L1750" s="55" t="str">
        <f t="shared" si="54"/>
        <v/>
      </c>
      <c r="M1750" s="55" t="str">
        <f t="shared" si="55"/>
        <v/>
      </c>
      <c r="N1750" s="55" t="str">
        <f>IF(A1750="","",IFERROR(INDEX('Cluster Map'!$A$4:$A$38,MATCH(M1750,'Cluster Map'!$B$4:$B$38,0)),"Unmapped"))</f>
        <v/>
      </c>
      <c r="O1750" s="55">
        <f>IF(A1750="",0,IF(COUNTIFS($A$2:A1750,A1750,$F$2:F1750,F1750,$L$2:L1750,L1750)=1,1,0))</f>
        <v>0</v>
      </c>
      <c r="P1750" s="55">
        <f>IF(A1750="",0,IF(AND(F1750="C&amp;T",COUNTIFS($A$2:A1750,A1750,$F$2:F1750,"C&amp;T")=1),1,0))</f>
        <v>0</v>
      </c>
    </row>
    <row r="1751" spans="1:16" x14ac:dyDescent="0.35">
      <c r="A1751" s="54" t="str">
        <f>IFERROR(IF(INDEX(SPOT_Import!$A$1:$Z$2488,1751,'Live Data'!$C$12)="","",INDEX(SPOT_Import!$A$1:$Z$2488,1751,'Live Data'!$C$12)),"")</f>
        <v/>
      </c>
      <c r="B1751" s="54" t="str">
        <f>IFERROR(IF(INDEX(SPOT_Import!$A$1:$Z$2488,1751,'Live Data'!$C$13)="","",INDEX(SPOT_Import!$A$1:$Z$2488,1751,'Live Data'!$C$13)),"")</f>
        <v/>
      </c>
      <c r="C1751" s="54" t="str">
        <f>IFERROR(IF(INDEX(SPOT_Import!$A$1:$Z$2488,1751,'Live Data'!$C$14)="","",INDEX(SPOT_Import!$A$1:$Z$2488,1751,'Live Data'!$C$14)),"")</f>
        <v/>
      </c>
      <c r="D1751" s="54" t="str">
        <f>IFERROR(IF(INDEX(SPOT_Import!$A$1:$Z$2488,1751,'Live Data'!$C$15)="","",INDEX(SPOT_Import!$A$1:$Z$2488,1751,'Live Data'!$C$15)),"")</f>
        <v/>
      </c>
      <c r="E1751" s="54" t="str">
        <f>IFERROR(IF(INDEX(SPOT_Import!$A$1:$Z$2488,1751,'Live Data'!$C$16)="","",INDEX(SPOT_Import!$A$1:$Z$2488,1751,'Live Data'!$C$16)),"")</f>
        <v/>
      </c>
      <c r="F1751" s="54" t="str">
        <f>IFERROR(IF(INDEX(SPOT_Import!$A$1:$Z$2488,1751,'Live Data'!$C$17)="","",INDEX(SPOT_Import!$A$1:$Z$2488,1751,'Live Data'!$C$17)),"")</f>
        <v/>
      </c>
      <c r="G1751" s="54" t="str">
        <f>IFERROR(IF(INDEX(SPOT_Import!$A$1:$Z$2488,1751,'Live Data'!$C$18)="","",INDEX(SPOT_Import!$A$1:$Z$2488,1751,'Live Data'!$C$18)),"")</f>
        <v/>
      </c>
      <c r="H1751" s="54" t="str">
        <f>IFERROR(IF(INDEX(SPOT_Import!$A$1:$Z$2488,1751,'Live Data'!$C$19)="","",INDEX(SPOT_Import!$A$1:$Z$2488,1751,'Live Data'!$C$19)),"")</f>
        <v/>
      </c>
      <c r="I1751" s="54" t="str">
        <f>IFERROR(IF(INDEX(SPOT_Import!$A$1:$Z$2488,1751,'Live Data'!$C$20)="","",INDEX(SPOT_Import!$A$1:$Z$2488,1751,'Live Data'!$C$20)),"")</f>
        <v/>
      </c>
      <c r="J1751" s="54" t="str">
        <f>IFERROR(IF(INDEX(SPOT_Import!$A$1:$Z$2488,1751,'Live Data'!$C$21)="","",INDEX(SPOT_Import!$A$1:$Z$2488,1751,'Live Data'!$C$21)),"")</f>
        <v/>
      </c>
      <c r="K1751" s="54" t="str">
        <f>IFERROR(IF(INDEX(SPOT_Import!$A$1:$Z$2488,1751,'Live Data'!$C$22)="","",INDEX(SPOT_Import!$A$1:$Z$2488,1751,'Live Data'!$C$22)),"")</f>
        <v/>
      </c>
      <c r="L1751" s="55" t="str">
        <f t="shared" si="54"/>
        <v/>
      </c>
      <c r="M1751" s="55" t="str">
        <f t="shared" si="55"/>
        <v/>
      </c>
      <c r="N1751" s="55" t="str">
        <f>IF(A1751="","",IFERROR(INDEX('Cluster Map'!$A$4:$A$38,MATCH(M1751,'Cluster Map'!$B$4:$B$38,0)),"Unmapped"))</f>
        <v/>
      </c>
      <c r="O1751" s="55">
        <f>IF(A1751="",0,IF(COUNTIFS($A$2:A1751,A1751,$F$2:F1751,F1751,$L$2:L1751,L1751)=1,1,0))</f>
        <v>0</v>
      </c>
      <c r="P1751" s="55">
        <f>IF(A1751="",0,IF(AND(F1751="C&amp;T",COUNTIFS($A$2:A1751,A1751,$F$2:F1751,"C&amp;T")=1),1,0))</f>
        <v>0</v>
      </c>
    </row>
    <row r="1752" spans="1:16" x14ac:dyDescent="0.35">
      <c r="A1752" s="54" t="str">
        <f>IFERROR(IF(INDEX(SPOT_Import!$A$1:$Z$2488,1752,'Live Data'!$C$12)="","",INDEX(SPOT_Import!$A$1:$Z$2488,1752,'Live Data'!$C$12)),"")</f>
        <v/>
      </c>
      <c r="B1752" s="54" t="str">
        <f>IFERROR(IF(INDEX(SPOT_Import!$A$1:$Z$2488,1752,'Live Data'!$C$13)="","",INDEX(SPOT_Import!$A$1:$Z$2488,1752,'Live Data'!$C$13)),"")</f>
        <v/>
      </c>
      <c r="C1752" s="54" t="str">
        <f>IFERROR(IF(INDEX(SPOT_Import!$A$1:$Z$2488,1752,'Live Data'!$C$14)="","",INDEX(SPOT_Import!$A$1:$Z$2488,1752,'Live Data'!$C$14)),"")</f>
        <v/>
      </c>
      <c r="D1752" s="54" t="str">
        <f>IFERROR(IF(INDEX(SPOT_Import!$A$1:$Z$2488,1752,'Live Data'!$C$15)="","",INDEX(SPOT_Import!$A$1:$Z$2488,1752,'Live Data'!$C$15)),"")</f>
        <v/>
      </c>
      <c r="E1752" s="54" t="str">
        <f>IFERROR(IF(INDEX(SPOT_Import!$A$1:$Z$2488,1752,'Live Data'!$C$16)="","",INDEX(SPOT_Import!$A$1:$Z$2488,1752,'Live Data'!$C$16)),"")</f>
        <v/>
      </c>
      <c r="F1752" s="54" t="str">
        <f>IFERROR(IF(INDEX(SPOT_Import!$A$1:$Z$2488,1752,'Live Data'!$C$17)="","",INDEX(SPOT_Import!$A$1:$Z$2488,1752,'Live Data'!$C$17)),"")</f>
        <v/>
      </c>
      <c r="G1752" s="54" t="str">
        <f>IFERROR(IF(INDEX(SPOT_Import!$A$1:$Z$2488,1752,'Live Data'!$C$18)="","",INDEX(SPOT_Import!$A$1:$Z$2488,1752,'Live Data'!$C$18)),"")</f>
        <v/>
      </c>
      <c r="H1752" s="54" t="str">
        <f>IFERROR(IF(INDEX(SPOT_Import!$A$1:$Z$2488,1752,'Live Data'!$C$19)="","",INDEX(SPOT_Import!$A$1:$Z$2488,1752,'Live Data'!$C$19)),"")</f>
        <v/>
      </c>
      <c r="I1752" s="54" t="str">
        <f>IFERROR(IF(INDEX(SPOT_Import!$A$1:$Z$2488,1752,'Live Data'!$C$20)="","",INDEX(SPOT_Import!$A$1:$Z$2488,1752,'Live Data'!$C$20)),"")</f>
        <v/>
      </c>
      <c r="J1752" s="54" t="str">
        <f>IFERROR(IF(INDEX(SPOT_Import!$A$1:$Z$2488,1752,'Live Data'!$C$21)="","",INDEX(SPOT_Import!$A$1:$Z$2488,1752,'Live Data'!$C$21)),"")</f>
        <v/>
      </c>
      <c r="K1752" s="54" t="str">
        <f>IFERROR(IF(INDEX(SPOT_Import!$A$1:$Z$2488,1752,'Live Data'!$C$22)="","",INDEX(SPOT_Import!$A$1:$Z$2488,1752,'Live Data'!$C$22)),"")</f>
        <v/>
      </c>
      <c r="L1752" s="55" t="str">
        <f t="shared" si="54"/>
        <v/>
      </c>
      <c r="M1752" s="55" t="str">
        <f t="shared" si="55"/>
        <v/>
      </c>
      <c r="N1752" s="55" t="str">
        <f>IF(A1752="","",IFERROR(INDEX('Cluster Map'!$A$4:$A$38,MATCH(M1752,'Cluster Map'!$B$4:$B$38,0)),"Unmapped"))</f>
        <v/>
      </c>
      <c r="O1752" s="55">
        <f>IF(A1752="",0,IF(COUNTIFS($A$2:A1752,A1752,$F$2:F1752,F1752,$L$2:L1752,L1752)=1,1,0))</f>
        <v>0</v>
      </c>
      <c r="P1752" s="55">
        <f>IF(A1752="",0,IF(AND(F1752="C&amp;T",COUNTIFS($A$2:A1752,A1752,$F$2:F1752,"C&amp;T")=1),1,0))</f>
        <v>0</v>
      </c>
    </row>
    <row r="1753" spans="1:16" x14ac:dyDescent="0.35">
      <c r="A1753" s="54" t="str">
        <f>IFERROR(IF(INDEX(SPOT_Import!$A$1:$Z$2488,1753,'Live Data'!$C$12)="","",INDEX(SPOT_Import!$A$1:$Z$2488,1753,'Live Data'!$C$12)),"")</f>
        <v/>
      </c>
      <c r="B1753" s="54" t="str">
        <f>IFERROR(IF(INDEX(SPOT_Import!$A$1:$Z$2488,1753,'Live Data'!$C$13)="","",INDEX(SPOT_Import!$A$1:$Z$2488,1753,'Live Data'!$C$13)),"")</f>
        <v/>
      </c>
      <c r="C1753" s="54" t="str">
        <f>IFERROR(IF(INDEX(SPOT_Import!$A$1:$Z$2488,1753,'Live Data'!$C$14)="","",INDEX(SPOT_Import!$A$1:$Z$2488,1753,'Live Data'!$C$14)),"")</f>
        <v/>
      </c>
      <c r="D1753" s="54" t="str">
        <f>IFERROR(IF(INDEX(SPOT_Import!$A$1:$Z$2488,1753,'Live Data'!$C$15)="","",INDEX(SPOT_Import!$A$1:$Z$2488,1753,'Live Data'!$C$15)),"")</f>
        <v/>
      </c>
      <c r="E1753" s="54" t="str">
        <f>IFERROR(IF(INDEX(SPOT_Import!$A$1:$Z$2488,1753,'Live Data'!$C$16)="","",INDEX(SPOT_Import!$A$1:$Z$2488,1753,'Live Data'!$C$16)),"")</f>
        <v/>
      </c>
      <c r="F1753" s="54" t="str">
        <f>IFERROR(IF(INDEX(SPOT_Import!$A$1:$Z$2488,1753,'Live Data'!$C$17)="","",INDEX(SPOT_Import!$A$1:$Z$2488,1753,'Live Data'!$C$17)),"")</f>
        <v/>
      </c>
      <c r="G1753" s="54" t="str">
        <f>IFERROR(IF(INDEX(SPOT_Import!$A$1:$Z$2488,1753,'Live Data'!$C$18)="","",INDEX(SPOT_Import!$A$1:$Z$2488,1753,'Live Data'!$C$18)),"")</f>
        <v/>
      </c>
      <c r="H1753" s="54" t="str">
        <f>IFERROR(IF(INDEX(SPOT_Import!$A$1:$Z$2488,1753,'Live Data'!$C$19)="","",INDEX(SPOT_Import!$A$1:$Z$2488,1753,'Live Data'!$C$19)),"")</f>
        <v/>
      </c>
      <c r="I1753" s="54" t="str">
        <f>IFERROR(IF(INDEX(SPOT_Import!$A$1:$Z$2488,1753,'Live Data'!$C$20)="","",INDEX(SPOT_Import!$A$1:$Z$2488,1753,'Live Data'!$C$20)),"")</f>
        <v/>
      </c>
      <c r="J1753" s="54" t="str">
        <f>IFERROR(IF(INDEX(SPOT_Import!$A$1:$Z$2488,1753,'Live Data'!$C$21)="","",INDEX(SPOT_Import!$A$1:$Z$2488,1753,'Live Data'!$C$21)),"")</f>
        <v/>
      </c>
      <c r="K1753" s="54" t="str">
        <f>IFERROR(IF(INDEX(SPOT_Import!$A$1:$Z$2488,1753,'Live Data'!$C$22)="","",INDEX(SPOT_Import!$A$1:$Z$2488,1753,'Live Data'!$C$22)),"")</f>
        <v/>
      </c>
      <c r="L1753" s="55" t="str">
        <f t="shared" si="54"/>
        <v/>
      </c>
      <c r="M1753" s="55" t="str">
        <f t="shared" si="55"/>
        <v/>
      </c>
      <c r="N1753" s="55" t="str">
        <f>IF(A1753="","",IFERROR(INDEX('Cluster Map'!$A$4:$A$38,MATCH(M1753,'Cluster Map'!$B$4:$B$38,0)),"Unmapped"))</f>
        <v/>
      </c>
      <c r="O1753" s="55">
        <f>IF(A1753="",0,IF(COUNTIFS($A$2:A1753,A1753,$F$2:F1753,F1753,$L$2:L1753,L1753)=1,1,0))</f>
        <v>0</v>
      </c>
      <c r="P1753" s="55">
        <f>IF(A1753="",0,IF(AND(F1753="C&amp;T",COUNTIFS($A$2:A1753,A1753,$F$2:F1753,"C&amp;T")=1),1,0))</f>
        <v>0</v>
      </c>
    </row>
    <row r="1754" spans="1:16" x14ac:dyDescent="0.35">
      <c r="A1754" s="54" t="str">
        <f>IFERROR(IF(INDEX(SPOT_Import!$A$1:$Z$2488,1754,'Live Data'!$C$12)="","",INDEX(SPOT_Import!$A$1:$Z$2488,1754,'Live Data'!$C$12)),"")</f>
        <v/>
      </c>
      <c r="B1754" s="54" t="str">
        <f>IFERROR(IF(INDEX(SPOT_Import!$A$1:$Z$2488,1754,'Live Data'!$C$13)="","",INDEX(SPOT_Import!$A$1:$Z$2488,1754,'Live Data'!$C$13)),"")</f>
        <v/>
      </c>
      <c r="C1754" s="54" t="str">
        <f>IFERROR(IF(INDEX(SPOT_Import!$A$1:$Z$2488,1754,'Live Data'!$C$14)="","",INDEX(SPOT_Import!$A$1:$Z$2488,1754,'Live Data'!$C$14)),"")</f>
        <v/>
      </c>
      <c r="D1754" s="54" t="str">
        <f>IFERROR(IF(INDEX(SPOT_Import!$A$1:$Z$2488,1754,'Live Data'!$C$15)="","",INDEX(SPOT_Import!$A$1:$Z$2488,1754,'Live Data'!$C$15)),"")</f>
        <v/>
      </c>
      <c r="E1754" s="54" t="str">
        <f>IFERROR(IF(INDEX(SPOT_Import!$A$1:$Z$2488,1754,'Live Data'!$C$16)="","",INDEX(SPOT_Import!$A$1:$Z$2488,1754,'Live Data'!$C$16)),"")</f>
        <v/>
      </c>
      <c r="F1754" s="54" t="str">
        <f>IFERROR(IF(INDEX(SPOT_Import!$A$1:$Z$2488,1754,'Live Data'!$C$17)="","",INDEX(SPOT_Import!$A$1:$Z$2488,1754,'Live Data'!$C$17)),"")</f>
        <v/>
      </c>
      <c r="G1754" s="54" t="str">
        <f>IFERROR(IF(INDEX(SPOT_Import!$A$1:$Z$2488,1754,'Live Data'!$C$18)="","",INDEX(SPOT_Import!$A$1:$Z$2488,1754,'Live Data'!$C$18)),"")</f>
        <v/>
      </c>
      <c r="H1754" s="54" t="str">
        <f>IFERROR(IF(INDEX(SPOT_Import!$A$1:$Z$2488,1754,'Live Data'!$C$19)="","",INDEX(SPOT_Import!$A$1:$Z$2488,1754,'Live Data'!$C$19)),"")</f>
        <v/>
      </c>
      <c r="I1754" s="54" t="str">
        <f>IFERROR(IF(INDEX(SPOT_Import!$A$1:$Z$2488,1754,'Live Data'!$C$20)="","",INDEX(SPOT_Import!$A$1:$Z$2488,1754,'Live Data'!$C$20)),"")</f>
        <v/>
      </c>
      <c r="J1754" s="54" t="str">
        <f>IFERROR(IF(INDEX(SPOT_Import!$A$1:$Z$2488,1754,'Live Data'!$C$21)="","",INDEX(SPOT_Import!$A$1:$Z$2488,1754,'Live Data'!$C$21)),"")</f>
        <v/>
      </c>
      <c r="K1754" s="54" t="str">
        <f>IFERROR(IF(INDEX(SPOT_Import!$A$1:$Z$2488,1754,'Live Data'!$C$22)="","",INDEX(SPOT_Import!$A$1:$Z$2488,1754,'Live Data'!$C$22)),"")</f>
        <v/>
      </c>
      <c r="L1754" s="55" t="str">
        <f t="shared" si="54"/>
        <v/>
      </c>
      <c r="M1754" s="55" t="str">
        <f t="shared" si="55"/>
        <v/>
      </c>
      <c r="N1754" s="55" t="str">
        <f>IF(A1754="","",IFERROR(INDEX('Cluster Map'!$A$4:$A$38,MATCH(M1754,'Cluster Map'!$B$4:$B$38,0)),"Unmapped"))</f>
        <v/>
      </c>
      <c r="O1754" s="55">
        <f>IF(A1754="",0,IF(COUNTIFS($A$2:A1754,A1754,$F$2:F1754,F1754,$L$2:L1754,L1754)=1,1,0))</f>
        <v>0</v>
      </c>
      <c r="P1754" s="55">
        <f>IF(A1754="",0,IF(AND(F1754="C&amp;T",COUNTIFS($A$2:A1754,A1754,$F$2:F1754,"C&amp;T")=1),1,0))</f>
        <v>0</v>
      </c>
    </row>
    <row r="1755" spans="1:16" x14ac:dyDescent="0.35">
      <c r="A1755" s="54" t="str">
        <f>IFERROR(IF(INDEX(SPOT_Import!$A$1:$Z$2488,1755,'Live Data'!$C$12)="","",INDEX(SPOT_Import!$A$1:$Z$2488,1755,'Live Data'!$C$12)),"")</f>
        <v/>
      </c>
      <c r="B1755" s="54" t="str">
        <f>IFERROR(IF(INDEX(SPOT_Import!$A$1:$Z$2488,1755,'Live Data'!$C$13)="","",INDEX(SPOT_Import!$A$1:$Z$2488,1755,'Live Data'!$C$13)),"")</f>
        <v/>
      </c>
      <c r="C1755" s="54" t="str">
        <f>IFERROR(IF(INDEX(SPOT_Import!$A$1:$Z$2488,1755,'Live Data'!$C$14)="","",INDEX(SPOT_Import!$A$1:$Z$2488,1755,'Live Data'!$C$14)),"")</f>
        <v/>
      </c>
      <c r="D1755" s="54" t="str">
        <f>IFERROR(IF(INDEX(SPOT_Import!$A$1:$Z$2488,1755,'Live Data'!$C$15)="","",INDEX(SPOT_Import!$A$1:$Z$2488,1755,'Live Data'!$C$15)),"")</f>
        <v/>
      </c>
      <c r="E1755" s="54" t="str">
        <f>IFERROR(IF(INDEX(SPOT_Import!$A$1:$Z$2488,1755,'Live Data'!$C$16)="","",INDEX(SPOT_Import!$A$1:$Z$2488,1755,'Live Data'!$C$16)),"")</f>
        <v/>
      </c>
      <c r="F1755" s="54" t="str">
        <f>IFERROR(IF(INDEX(SPOT_Import!$A$1:$Z$2488,1755,'Live Data'!$C$17)="","",INDEX(SPOT_Import!$A$1:$Z$2488,1755,'Live Data'!$C$17)),"")</f>
        <v/>
      </c>
      <c r="G1755" s="54" t="str">
        <f>IFERROR(IF(INDEX(SPOT_Import!$A$1:$Z$2488,1755,'Live Data'!$C$18)="","",INDEX(SPOT_Import!$A$1:$Z$2488,1755,'Live Data'!$C$18)),"")</f>
        <v/>
      </c>
      <c r="H1755" s="54" t="str">
        <f>IFERROR(IF(INDEX(SPOT_Import!$A$1:$Z$2488,1755,'Live Data'!$C$19)="","",INDEX(SPOT_Import!$A$1:$Z$2488,1755,'Live Data'!$C$19)),"")</f>
        <v/>
      </c>
      <c r="I1755" s="54" t="str">
        <f>IFERROR(IF(INDEX(SPOT_Import!$A$1:$Z$2488,1755,'Live Data'!$C$20)="","",INDEX(SPOT_Import!$A$1:$Z$2488,1755,'Live Data'!$C$20)),"")</f>
        <v/>
      </c>
      <c r="J1755" s="54" t="str">
        <f>IFERROR(IF(INDEX(SPOT_Import!$A$1:$Z$2488,1755,'Live Data'!$C$21)="","",INDEX(SPOT_Import!$A$1:$Z$2488,1755,'Live Data'!$C$21)),"")</f>
        <v/>
      </c>
      <c r="K1755" s="54" t="str">
        <f>IFERROR(IF(INDEX(SPOT_Import!$A$1:$Z$2488,1755,'Live Data'!$C$22)="","",INDEX(SPOT_Import!$A$1:$Z$2488,1755,'Live Data'!$C$22)),"")</f>
        <v/>
      </c>
      <c r="L1755" s="55" t="str">
        <f t="shared" si="54"/>
        <v/>
      </c>
      <c r="M1755" s="55" t="str">
        <f t="shared" si="55"/>
        <v/>
      </c>
      <c r="N1755" s="55" t="str">
        <f>IF(A1755="","",IFERROR(INDEX('Cluster Map'!$A$4:$A$38,MATCH(M1755,'Cluster Map'!$B$4:$B$38,0)),"Unmapped"))</f>
        <v/>
      </c>
      <c r="O1755" s="55">
        <f>IF(A1755="",0,IF(COUNTIFS($A$2:A1755,A1755,$F$2:F1755,F1755,$L$2:L1755,L1755)=1,1,0))</f>
        <v>0</v>
      </c>
      <c r="P1755" s="55">
        <f>IF(A1755="",0,IF(AND(F1755="C&amp;T",COUNTIFS($A$2:A1755,A1755,$F$2:F1755,"C&amp;T")=1),1,0))</f>
        <v>0</v>
      </c>
    </row>
    <row r="1756" spans="1:16" x14ac:dyDescent="0.35">
      <c r="A1756" s="54" t="str">
        <f>IFERROR(IF(INDEX(SPOT_Import!$A$1:$Z$2488,1756,'Live Data'!$C$12)="","",INDEX(SPOT_Import!$A$1:$Z$2488,1756,'Live Data'!$C$12)),"")</f>
        <v/>
      </c>
      <c r="B1756" s="54" t="str">
        <f>IFERROR(IF(INDEX(SPOT_Import!$A$1:$Z$2488,1756,'Live Data'!$C$13)="","",INDEX(SPOT_Import!$A$1:$Z$2488,1756,'Live Data'!$C$13)),"")</f>
        <v/>
      </c>
      <c r="C1756" s="54" t="str">
        <f>IFERROR(IF(INDEX(SPOT_Import!$A$1:$Z$2488,1756,'Live Data'!$C$14)="","",INDEX(SPOT_Import!$A$1:$Z$2488,1756,'Live Data'!$C$14)),"")</f>
        <v/>
      </c>
      <c r="D1756" s="54" t="str">
        <f>IFERROR(IF(INDEX(SPOT_Import!$A$1:$Z$2488,1756,'Live Data'!$C$15)="","",INDEX(SPOT_Import!$A$1:$Z$2488,1756,'Live Data'!$C$15)),"")</f>
        <v/>
      </c>
      <c r="E1756" s="54" t="str">
        <f>IFERROR(IF(INDEX(SPOT_Import!$A$1:$Z$2488,1756,'Live Data'!$C$16)="","",INDEX(SPOT_Import!$A$1:$Z$2488,1756,'Live Data'!$C$16)),"")</f>
        <v/>
      </c>
      <c r="F1756" s="54" t="str">
        <f>IFERROR(IF(INDEX(SPOT_Import!$A$1:$Z$2488,1756,'Live Data'!$C$17)="","",INDEX(SPOT_Import!$A$1:$Z$2488,1756,'Live Data'!$C$17)),"")</f>
        <v/>
      </c>
      <c r="G1756" s="54" t="str">
        <f>IFERROR(IF(INDEX(SPOT_Import!$A$1:$Z$2488,1756,'Live Data'!$C$18)="","",INDEX(SPOT_Import!$A$1:$Z$2488,1756,'Live Data'!$C$18)),"")</f>
        <v/>
      </c>
      <c r="H1756" s="54" t="str">
        <f>IFERROR(IF(INDEX(SPOT_Import!$A$1:$Z$2488,1756,'Live Data'!$C$19)="","",INDEX(SPOT_Import!$A$1:$Z$2488,1756,'Live Data'!$C$19)),"")</f>
        <v/>
      </c>
      <c r="I1756" s="54" t="str">
        <f>IFERROR(IF(INDEX(SPOT_Import!$A$1:$Z$2488,1756,'Live Data'!$C$20)="","",INDEX(SPOT_Import!$A$1:$Z$2488,1756,'Live Data'!$C$20)),"")</f>
        <v/>
      </c>
      <c r="J1756" s="54" t="str">
        <f>IFERROR(IF(INDEX(SPOT_Import!$A$1:$Z$2488,1756,'Live Data'!$C$21)="","",INDEX(SPOT_Import!$A$1:$Z$2488,1756,'Live Data'!$C$21)),"")</f>
        <v/>
      </c>
      <c r="K1756" s="54" t="str">
        <f>IFERROR(IF(INDEX(SPOT_Import!$A$1:$Z$2488,1756,'Live Data'!$C$22)="","",INDEX(SPOT_Import!$A$1:$Z$2488,1756,'Live Data'!$C$22)),"")</f>
        <v/>
      </c>
      <c r="L1756" s="55" t="str">
        <f t="shared" si="54"/>
        <v/>
      </c>
      <c r="M1756" s="55" t="str">
        <f t="shared" si="55"/>
        <v/>
      </c>
      <c r="N1756" s="55" t="str">
        <f>IF(A1756="","",IFERROR(INDEX('Cluster Map'!$A$4:$A$38,MATCH(M1756,'Cluster Map'!$B$4:$B$38,0)),"Unmapped"))</f>
        <v/>
      </c>
      <c r="O1756" s="55">
        <f>IF(A1756="",0,IF(COUNTIFS($A$2:A1756,A1756,$F$2:F1756,F1756,$L$2:L1756,L1756)=1,1,0))</f>
        <v>0</v>
      </c>
      <c r="P1756" s="55">
        <f>IF(A1756="",0,IF(AND(F1756="C&amp;T",COUNTIFS($A$2:A1756,A1756,$F$2:F1756,"C&amp;T")=1),1,0))</f>
        <v>0</v>
      </c>
    </row>
    <row r="1757" spans="1:16" x14ac:dyDescent="0.35">
      <c r="A1757" s="54" t="str">
        <f>IFERROR(IF(INDEX(SPOT_Import!$A$1:$Z$2488,1757,'Live Data'!$C$12)="","",INDEX(SPOT_Import!$A$1:$Z$2488,1757,'Live Data'!$C$12)),"")</f>
        <v/>
      </c>
      <c r="B1757" s="54" t="str">
        <f>IFERROR(IF(INDEX(SPOT_Import!$A$1:$Z$2488,1757,'Live Data'!$C$13)="","",INDEX(SPOT_Import!$A$1:$Z$2488,1757,'Live Data'!$C$13)),"")</f>
        <v/>
      </c>
      <c r="C1757" s="54" t="str">
        <f>IFERROR(IF(INDEX(SPOT_Import!$A$1:$Z$2488,1757,'Live Data'!$C$14)="","",INDEX(SPOT_Import!$A$1:$Z$2488,1757,'Live Data'!$C$14)),"")</f>
        <v/>
      </c>
      <c r="D1757" s="54" t="str">
        <f>IFERROR(IF(INDEX(SPOT_Import!$A$1:$Z$2488,1757,'Live Data'!$C$15)="","",INDEX(SPOT_Import!$A$1:$Z$2488,1757,'Live Data'!$C$15)),"")</f>
        <v/>
      </c>
      <c r="E1757" s="54" t="str">
        <f>IFERROR(IF(INDEX(SPOT_Import!$A$1:$Z$2488,1757,'Live Data'!$C$16)="","",INDEX(SPOT_Import!$A$1:$Z$2488,1757,'Live Data'!$C$16)),"")</f>
        <v/>
      </c>
      <c r="F1757" s="54" t="str">
        <f>IFERROR(IF(INDEX(SPOT_Import!$A$1:$Z$2488,1757,'Live Data'!$C$17)="","",INDEX(SPOT_Import!$A$1:$Z$2488,1757,'Live Data'!$C$17)),"")</f>
        <v/>
      </c>
      <c r="G1757" s="54" t="str">
        <f>IFERROR(IF(INDEX(SPOT_Import!$A$1:$Z$2488,1757,'Live Data'!$C$18)="","",INDEX(SPOT_Import!$A$1:$Z$2488,1757,'Live Data'!$C$18)),"")</f>
        <v/>
      </c>
      <c r="H1757" s="54" t="str">
        <f>IFERROR(IF(INDEX(SPOT_Import!$A$1:$Z$2488,1757,'Live Data'!$C$19)="","",INDEX(SPOT_Import!$A$1:$Z$2488,1757,'Live Data'!$C$19)),"")</f>
        <v/>
      </c>
      <c r="I1757" s="54" t="str">
        <f>IFERROR(IF(INDEX(SPOT_Import!$A$1:$Z$2488,1757,'Live Data'!$C$20)="","",INDEX(SPOT_Import!$A$1:$Z$2488,1757,'Live Data'!$C$20)),"")</f>
        <v/>
      </c>
      <c r="J1757" s="54" t="str">
        <f>IFERROR(IF(INDEX(SPOT_Import!$A$1:$Z$2488,1757,'Live Data'!$C$21)="","",INDEX(SPOT_Import!$A$1:$Z$2488,1757,'Live Data'!$C$21)),"")</f>
        <v/>
      </c>
      <c r="K1757" s="54" t="str">
        <f>IFERROR(IF(INDEX(SPOT_Import!$A$1:$Z$2488,1757,'Live Data'!$C$22)="","",INDEX(SPOT_Import!$A$1:$Z$2488,1757,'Live Data'!$C$22)),"")</f>
        <v/>
      </c>
      <c r="L1757" s="55" t="str">
        <f t="shared" si="54"/>
        <v/>
      </c>
      <c r="M1757" s="55" t="str">
        <f t="shared" si="55"/>
        <v/>
      </c>
      <c r="N1757" s="55" t="str">
        <f>IF(A1757="","",IFERROR(INDEX('Cluster Map'!$A$4:$A$38,MATCH(M1757,'Cluster Map'!$B$4:$B$38,0)),"Unmapped"))</f>
        <v/>
      </c>
      <c r="O1757" s="55">
        <f>IF(A1757="",0,IF(COUNTIFS($A$2:A1757,A1757,$F$2:F1757,F1757,$L$2:L1757,L1757)=1,1,0))</f>
        <v>0</v>
      </c>
      <c r="P1757" s="55">
        <f>IF(A1757="",0,IF(AND(F1757="C&amp;T",COUNTIFS($A$2:A1757,A1757,$F$2:F1757,"C&amp;T")=1),1,0))</f>
        <v>0</v>
      </c>
    </row>
    <row r="1758" spans="1:16" x14ac:dyDescent="0.35">
      <c r="A1758" s="54" t="str">
        <f>IFERROR(IF(INDEX(SPOT_Import!$A$1:$Z$2488,1758,'Live Data'!$C$12)="","",INDEX(SPOT_Import!$A$1:$Z$2488,1758,'Live Data'!$C$12)),"")</f>
        <v/>
      </c>
      <c r="B1758" s="54" t="str">
        <f>IFERROR(IF(INDEX(SPOT_Import!$A$1:$Z$2488,1758,'Live Data'!$C$13)="","",INDEX(SPOT_Import!$A$1:$Z$2488,1758,'Live Data'!$C$13)),"")</f>
        <v/>
      </c>
      <c r="C1758" s="54" t="str">
        <f>IFERROR(IF(INDEX(SPOT_Import!$A$1:$Z$2488,1758,'Live Data'!$C$14)="","",INDEX(SPOT_Import!$A$1:$Z$2488,1758,'Live Data'!$C$14)),"")</f>
        <v/>
      </c>
      <c r="D1758" s="54" t="str">
        <f>IFERROR(IF(INDEX(SPOT_Import!$A$1:$Z$2488,1758,'Live Data'!$C$15)="","",INDEX(SPOT_Import!$A$1:$Z$2488,1758,'Live Data'!$C$15)),"")</f>
        <v/>
      </c>
      <c r="E1758" s="54" t="str">
        <f>IFERROR(IF(INDEX(SPOT_Import!$A$1:$Z$2488,1758,'Live Data'!$C$16)="","",INDEX(SPOT_Import!$A$1:$Z$2488,1758,'Live Data'!$C$16)),"")</f>
        <v/>
      </c>
      <c r="F1758" s="54" t="str">
        <f>IFERROR(IF(INDEX(SPOT_Import!$A$1:$Z$2488,1758,'Live Data'!$C$17)="","",INDEX(SPOT_Import!$A$1:$Z$2488,1758,'Live Data'!$C$17)),"")</f>
        <v/>
      </c>
      <c r="G1758" s="54" t="str">
        <f>IFERROR(IF(INDEX(SPOT_Import!$A$1:$Z$2488,1758,'Live Data'!$C$18)="","",INDEX(SPOT_Import!$A$1:$Z$2488,1758,'Live Data'!$C$18)),"")</f>
        <v/>
      </c>
      <c r="H1758" s="54" t="str">
        <f>IFERROR(IF(INDEX(SPOT_Import!$A$1:$Z$2488,1758,'Live Data'!$C$19)="","",INDEX(SPOT_Import!$A$1:$Z$2488,1758,'Live Data'!$C$19)),"")</f>
        <v/>
      </c>
      <c r="I1758" s="54" t="str">
        <f>IFERROR(IF(INDEX(SPOT_Import!$A$1:$Z$2488,1758,'Live Data'!$C$20)="","",INDEX(SPOT_Import!$A$1:$Z$2488,1758,'Live Data'!$C$20)),"")</f>
        <v/>
      </c>
      <c r="J1758" s="54" t="str">
        <f>IFERROR(IF(INDEX(SPOT_Import!$A$1:$Z$2488,1758,'Live Data'!$C$21)="","",INDEX(SPOT_Import!$A$1:$Z$2488,1758,'Live Data'!$C$21)),"")</f>
        <v/>
      </c>
      <c r="K1758" s="54" t="str">
        <f>IFERROR(IF(INDEX(SPOT_Import!$A$1:$Z$2488,1758,'Live Data'!$C$22)="","",INDEX(SPOT_Import!$A$1:$Z$2488,1758,'Live Data'!$C$22)),"")</f>
        <v/>
      </c>
      <c r="L1758" s="55" t="str">
        <f t="shared" si="54"/>
        <v/>
      </c>
      <c r="M1758" s="55" t="str">
        <f t="shared" si="55"/>
        <v/>
      </c>
      <c r="N1758" s="55" t="str">
        <f>IF(A1758="","",IFERROR(INDEX('Cluster Map'!$A$4:$A$38,MATCH(M1758,'Cluster Map'!$B$4:$B$38,0)),"Unmapped"))</f>
        <v/>
      </c>
      <c r="O1758" s="55">
        <f>IF(A1758="",0,IF(COUNTIFS($A$2:A1758,A1758,$F$2:F1758,F1758,$L$2:L1758,L1758)=1,1,0))</f>
        <v>0</v>
      </c>
      <c r="P1758" s="55">
        <f>IF(A1758="",0,IF(AND(F1758="C&amp;T",COUNTIFS($A$2:A1758,A1758,$F$2:F1758,"C&amp;T")=1),1,0))</f>
        <v>0</v>
      </c>
    </row>
    <row r="1759" spans="1:16" x14ac:dyDescent="0.35">
      <c r="A1759" s="54" t="str">
        <f>IFERROR(IF(INDEX(SPOT_Import!$A$1:$Z$2488,1759,'Live Data'!$C$12)="","",INDEX(SPOT_Import!$A$1:$Z$2488,1759,'Live Data'!$C$12)),"")</f>
        <v/>
      </c>
      <c r="B1759" s="54" t="str">
        <f>IFERROR(IF(INDEX(SPOT_Import!$A$1:$Z$2488,1759,'Live Data'!$C$13)="","",INDEX(SPOT_Import!$A$1:$Z$2488,1759,'Live Data'!$C$13)),"")</f>
        <v/>
      </c>
      <c r="C1759" s="54" t="str">
        <f>IFERROR(IF(INDEX(SPOT_Import!$A$1:$Z$2488,1759,'Live Data'!$C$14)="","",INDEX(SPOT_Import!$A$1:$Z$2488,1759,'Live Data'!$C$14)),"")</f>
        <v/>
      </c>
      <c r="D1759" s="54" t="str">
        <f>IFERROR(IF(INDEX(SPOT_Import!$A$1:$Z$2488,1759,'Live Data'!$C$15)="","",INDEX(SPOT_Import!$A$1:$Z$2488,1759,'Live Data'!$C$15)),"")</f>
        <v/>
      </c>
      <c r="E1759" s="54" t="str">
        <f>IFERROR(IF(INDEX(SPOT_Import!$A$1:$Z$2488,1759,'Live Data'!$C$16)="","",INDEX(SPOT_Import!$A$1:$Z$2488,1759,'Live Data'!$C$16)),"")</f>
        <v/>
      </c>
      <c r="F1759" s="54" t="str">
        <f>IFERROR(IF(INDEX(SPOT_Import!$A$1:$Z$2488,1759,'Live Data'!$C$17)="","",INDEX(SPOT_Import!$A$1:$Z$2488,1759,'Live Data'!$C$17)),"")</f>
        <v/>
      </c>
      <c r="G1759" s="54" t="str">
        <f>IFERROR(IF(INDEX(SPOT_Import!$A$1:$Z$2488,1759,'Live Data'!$C$18)="","",INDEX(SPOT_Import!$A$1:$Z$2488,1759,'Live Data'!$C$18)),"")</f>
        <v/>
      </c>
      <c r="H1759" s="54" t="str">
        <f>IFERROR(IF(INDEX(SPOT_Import!$A$1:$Z$2488,1759,'Live Data'!$C$19)="","",INDEX(SPOT_Import!$A$1:$Z$2488,1759,'Live Data'!$C$19)),"")</f>
        <v/>
      </c>
      <c r="I1759" s="54" t="str">
        <f>IFERROR(IF(INDEX(SPOT_Import!$A$1:$Z$2488,1759,'Live Data'!$C$20)="","",INDEX(SPOT_Import!$A$1:$Z$2488,1759,'Live Data'!$C$20)),"")</f>
        <v/>
      </c>
      <c r="J1759" s="54" t="str">
        <f>IFERROR(IF(INDEX(SPOT_Import!$A$1:$Z$2488,1759,'Live Data'!$C$21)="","",INDEX(SPOT_Import!$A$1:$Z$2488,1759,'Live Data'!$C$21)),"")</f>
        <v/>
      </c>
      <c r="K1759" s="54" t="str">
        <f>IFERROR(IF(INDEX(SPOT_Import!$A$1:$Z$2488,1759,'Live Data'!$C$22)="","",INDEX(SPOT_Import!$A$1:$Z$2488,1759,'Live Data'!$C$22)),"")</f>
        <v/>
      </c>
      <c r="L1759" s="55" t="str">
        <f t="shared" si="54"/>
        <v/>
      </c>
      <c r="M1759" s="55" t="str">
        <f t="shared" si="55"/>
        <v/>
      </c>
      <c r="N1759" s="55" t="str">
        <f>IF(A1759="","",IFERROR(INDEX('Cluster Map'!$A$4:$A$38,MATCH(M1759,'Cluster Map'!$B$4:$B$38,0)),"Unmapped"))</f>
        <v/>
      </c>
      <c r="O1759" s="55">
        <f>IF(A1759="",0,IF(COUNTIFS($A$2:A1759,A1759,$F$2:F1759,F1759,$L$2:L1759,L1759)=1,1,0))</f>
        <v>0</v>
      </c>
      <c r="P1759" s="55">
        <f>IF(A1759="",0,IF(AND(F1759="C&amp;T",COUNTIFS($A$2:A1759,A1759,$F$2:F1759,"C&amp;T")=1),1,0))</f>
        <v>0</v>
      </c>
    </row>
    <row r="1760" spans="1:16" x14ac:dyDescent="0.35">
      <c r="A1760" s="54" t="str">
        <f>IFERROR(IF(INDEX(SPOT_Import!$A$1:$Z$2488,1760,'Live Data'!$C$12)="","",INDEX(SPOT_Import!$A$1:$Z$2488,1760,'Live Data'!$C$12)),"")</f>
        <v/>
      </c>
      <c r="B1760" s="54" t="str">
        <f>IFERROR(IF(INDEX(SPOT_Import!$A$1:$Z$2488,1760,'Live Data'!$C$13)="","",INDEX(SPOT_Import!$A$1:$Z$2488,1760,'Live Data'!$C$13)),"")</f>
        <v/>
      </c>
      <c r="C1760" s="54" t="str">
        <f>IFERROR(IF(INDEX(SPOT_Import!$A$1:$Z$2488,1760,'Live Data'!$C$14)="","",INDEX(SPOT_Import!$A$1:$Z$2488,1760,'Live Data'!$C$14)),"")</f>
        <v/>
      </c>
      <c r="D1760" s="54" t="str">
        <f>IFERROR(IF(INDEX(SPOT_Import!$A$1:$Z$2488,1760,'Live Data'!$C$15)="","",INDEX(SPOT_Import!$A$1:$Z$2488,1760,'Live Data'!$C$15)),"")</f>
        <v/>
      </c>
      <c r="E1760" s="54" t="str">
        <f>IFERROR(IF(INDEX(SPOT_Import!$A$1:$Z$2488,1760,'Live Data'!$C$16)="","",INDEX(SPOT_Import!$A$1:$Z$2488,1760,'Live Data'!$C$16)),"")</f>
        <v/>
      </c>
      <c r="F1760" s="54" t="str">
        <f>IFERROR(IF(INDEX(SPOT_Import!$A$1:$Z$2488,1760,'Live Data'!$C$17)="","",INDEX(SPOT_Import!$A$1:$Z$2488,1760,'Live Data'!$C$17)),"")</f>
        <v/>
      </c>
      <c r="G1760" s="54" t="str">
        <f>IFERROR(IF(INDEX(SPOT_Import!$A$1:$Z$2488,1760,'Live Data'!$C$18)="","",INDEX(SPOT_Import!$A$1:$Z$2488,1760,'Live Data'!$C$18)),"")</f>
        <v/>
      </c>
      <c r="H1760" s="54" t="str">
        <f>IFERROR(IF(INDEX(SPOT_Import!$A$1:$Z$2488,1760,'Live Data'!$C$19)="","",INDEX(SPOT_Import!$A$1:$Z$2488,1760,'Live Data'!$C$19)),"")</f>
        <v/>
      </c>
      <c r="I1760" s="54" t="str">
        <f>IFERROR(IF(INDEX(SPOT_Import!$A$1:$Z$2488,1760,'Live Data'!$C$20)="","",INDEX(SPOT_Import!$A$1:$Z$2488,1760,'Live Data'!$C$20)),"")</f>
        <v/>
      </c>
      <c r="J1760" s="54" t="str">
        <f>IFERROR(IF(INDEX(SPOT_Import!$A$1:$Z$2488,1760,'Live Data'!$C$21)="","",INDEX(SPOT_Import!$A$1:$Z$2488,1760,'Live Data'!$C$21)),"")</f>
        <v/>
      </c>
      <c r="K1760" s="54" t="str">
        <f>IFERROR(IF(INDEX(SPOT_Import!$A$1:$Z$2488,1760,'Live Data'!$C$22)="","",INDEX(SPOT_Import!$A$1:$Z$2488,1760,'Live Data'!$C$22)),"")</f>
        <v/>
      </c>
      <c r="L1760" s="55" t="str">
        <f t="shared" si="54"/>
        <v/>
      </c>
      <c r="M1760" s="55" t="str">
        <f t="shared" si="55"/>
        <v/>
      </c>
      <c r="N1760" s="55" t="str">
        <f>IF(A1760="","",IFERROR(INDEX('Cluster Map'!$A$4:$A$38,MATCH(M1760,'Cluster Map'!$B$4:$B$38,0)),"Unmapped"))</f>
        <v/>
      </c>
      <c r="O1760" s="55">
        <f>IF(A1760="",0,IF(COUNTIFS($A$2:A1760,A1760,$F$2:F1760,F1760,$L$2:L1760,L1760)=1,1,0))</f>
        <v>0</v>
      </c>
      <c r="P1760" s="55">
        <f>IF(A1760="",0,IF(AND(F1760="C&amp;T",COUNTIFS($A$2:A1760,A1760,$F$2:F1760,"C&amp;T")=1),1,0))</f>
        <v>0</v>
      </c>
    </row>
    <row r="1761" spans="1:16" x14ac:dyDescent="0.35">
      <c r="A1761" s="54" t="str">
        <f>IFERROR(IF(INDEX(SPOT_Import!$A$1:$Z$2488,1761,'Live Data'!$C$12)="","",INDEX(SPOT_Import!$A$1:$Z$2488,1761,'Live Data'!$C$12)),"")</f>
        <v/>
      </c>
      <c r="B1761" s="54" t="str">
        <f>IFERROR(IF(INDEX(SPOT_Import!$A$1:$Z$2488,1761,'Live Data'!$C$13)="","",INDEX(SPOT_Import!$A$1:$Z$2488,1761,'Live Data'!$C$13)),"")</f>
        <v/>
      </c>
      <c r="C1761" s="54" t="str">
        <f>IFERROR(IF(INDEX(SPOT_Import!$A$1:$Z$2488,1761,'Live Data'!$C$14)="","",INDEX(SPOT_Import!$A$1:$Z$2488,1761,'Live Data'!$C$14)),"")</f>
        <v/>
      </c>
      <c r="D1761" s="54" t="str">
        <f>IFERROR(IF(INDEX(SPOT_Import!$A$1:$Z$2488,1761,'Live Data'!$C$15)="","",INDEX(SPOT_Import!$A$1:$Z$2488,1761,'Live Data'!$C$15)),"")</f>
        <v/>
      </c>
      <c r="E1761" s="54" t="str">
        <f>IFERROR(IF(INDEX(SPOT_Import!$A$1:$Z$2488,1761,'Live Data'!$C$16)="","",INDEX(SPOT_Import!$A$1:$Z$2488,1761,'Live Data'!$C$16)),"")</f>
        <v/>
      </c>
      <c r="F1761" s="54" t="str">
        <f>IFERROR(IF(INDEX(SPOT_Import!$A$1:$Z$2488,1761,'Live Data'!$C$17)="","",INDEX(SPOT_Import!$A$1:$Z$2488,1761,'Live Data'!$C$17)),"")</f>
        <v/>
      </c>
      <c r="G1761" s="54" t="str">
        <f>IFERROR(IF(INDEX(SPOT_Import!$A$1:$Z$2488,1761,'Live Data'!$C$18)="","",INDEX(SPOT_Import!$A$1:$Z$2488,1761,'Live Data'!$C$18)),"")</f>
        <v/>
      </c>
      <c r="H1761" s="54" t="str">
        <f>IFERROR(IF(INDEX(SPOT_Import!$A$1:$Z$2488,1761,'Live Data'!$C$19)="","",INDEX(SPOT_Import!$A$1:$Z$2488,1761,'Live Data'!$C$19)),"")</f>
        <v/>
      </c>
      <c r="I1761" s="54" t="str">
        <f>IFERROR(IF(INDEX(SPOT_Import!$A$1:$Z$2488,1761,'Live Data'!$C$20)="","",INDEX(SPOT_Import!$A$1:$Z$2488,1761,'Live Data'!$C$20)),"")</f>
        <v/>
      </c>
      <c r="J1761" s="54" t="str">
        <f>IFERROR(IF(INDEX(SPOT_Import!$A$1:$Z$2488,1761,'Live Data'!$C$21)="","",INDEX(SPOT_Import!$A$1:$Z$2488,1761,'Live Data'!$C$21)),"")</f>
        <v/>
      </c>
      <c r="K1761" s="54" t="str">
        <f>IFERROR(IF(INDEX(SPOT_Import!$A$1:$Z$2488,1761,'Live Data'!$C$22)="","",INDEX(SPOT_Import!$A$1:$Z$2488,1761,'Live Data'!$C$22)),"")</f>
        <v/>
      </c>
      <c r="L1761" s="55" t="str">
        <f t="shared" si="54"/>
        <v/>
      </c>
      <c r="M1761" s="55" t="str">
        <f t="shared" si="55"/>
        <v/>
      </c>
      <c r="N1761" s="55" t="str">
        <f>IF(A1761="","",IFERROR(INDEX('Cluster Map'!$A$4:$A$38,MATCH(M1761,'Cluster Map'!$B$4:$B$38,0)),"Unmapped"))</f>
        <v/>
      </c>
      <c r="O1761" s="55">
        <f>IF(A1761="",0,IF(COUNTIFS($A$2:A1761,A1761,$F$2:F1761,F1761,$L$2:L1761,L1761)=1,1,0))</f>
        <v>0</v>
      </c>
      <c r="P1761" s="55">
        <f>IF(A1761="",0,IF(AND(F1761="C&amp;T",COUNTIFS($A$2:A1761,A1761,$F$2:F1761,"C&amp;T")=1),1,0))</f>
        <v>0</v>
      </c>
    </row>
    <row r="1762" spans="1:16" x14ac:dyDescent="0.35">
      <c r="A1762" s="54" t="str">
        <f>IFERROR(IF(INDEX(SPOT_Import!$A$1:$Z$2488,1762,'Live Data'!$C$12)="","",INDEX(SPOT_Import!$A$1:$Z$2488,1762,'Live Data'!$C$12)),"")</f>
        <v/>
      </c>
      <c r="B1762" s="54" t="str">
        <f>IFERROR(IF(INDEX(SPOT_Import!$A$1:$Z$2488,1762,'Live Data'!$C$13)="","",INDEX(SPOT_Import!$A$1:$Z$2488,1762,'Live Data'!$C$13)),"")</f>
        <v/>
      </c>
      <c r="C1762" s="54" t="str">
        <f>IFERROR(IF(INDEX(SPOT_Import!$A$1:$Z$2488,1762,'Live Data'!$C$14)="","",INDEX(SPOT_Import!$A$1:$Z$2488,1762,'Live Data'!$C$14)),"")</f>
        <v/>
      </c>
      <c r="D1762" s="54" t="str">
        <f>IFERROR(IF(INDEX(SPOT_Import!$A$1:$Z$2488,1762,'Live Data'!$C$15)="","",INDEX(SPOT_Import!$A$1:$Z$2488,1762,'Live Data'!$C$15)),"")</f>
        <v/>
      </c>
      <c r="E1762" s="54" t="str">
        <f>IFERROR(IF(INDEX(SPOT_Import!$A$1:$Z$2488,1762,'Live Data'!$C$16)="","",INDEX(SPOT_Import!$A$1:$Z$2488,1762,'Live Data'!$C$16)),"")</f>
        <v/>
      </c>
      <c r="F1762" s="54" t="str">
        <f>IFERROR(IF(INDEX(SPOT_Import!$A$1:$Z$2488,1762,'Live Data'!$C$17)="","",INDEX(SPOT_Import!$A$1:$Z$2488,1762,'Live Data'!$C$17)),"")</f>
        <v/>
      </c>
      <c r="G1762" s="54" t="str">
        <f>IFERROR(IF(INDEX(SPOT_Import!$A$1:$Z$2488,1762,'Live Data'!$C$18)="","",INDEX(SPOT_Import!$A$1:$Z$2488,1762,'Live Data'!$C$18)),"")</f>
        <v/>
      </c>
      <c r="H1762" s="54" t="str">
        <f>IFERROR(IF(INDEX(SPOT_Import!$A$1:$Z$2488,1762,'Live Data'!$C$19)="","",INDEX(SPOT_Import!$A$1:$Z$2488,1762,'Live Data'!$C$19)),"")</f>
        <v/>
      </c>
      <c r="I1762" s="54" t="str">
        <f>IFERROR(IF(INDEX(SPOT_Import!$A$1:$Z$2488,1762,'Live Data'!$C$20)="","",INDEX(SPOT_Import!$A$1:$Z$2488,1762,'Live Data'!$C$20)),"")</f>
        <v/>
      </c>
      <c r="J1762" s="54" t="str">
        <f>IFERROR(IF(INDEX(SPOT_Import!$A$1:$Z$2488,1762,'Live Data'!$C$21)="","",INDEX(SPOT_Import!$A$1:$Z$2488,1762,'Live Data'!$C$21)),"")</f>
        <v/>
      </c>
      <c r="K1762" s="54" t="str">
        <f>IFERROR(IF(INDEX(SPOT_Import!$A$1:$Z$2488,1762,'Live Data'!$C$22)="","",INDEX(SPOT_Import!$A$1:$Z$2488,1762,'Live Data'!$C$22)),"")</f>
        <v/>
      </c>
      <c r="L1762" s="55" t="str">
        <f t="shared" si="54"/>
        <v/>
      </c>
      <c r="M1762" s="55" t="str">
        <f t="shared" si="55"/>
        <v/>
      </c>
      <c r="N1762" s="55" t="str">
        <f>IF(A1762="","",IFERROR(INDEX('Cluster Map'!$A$4:$A$38,MATCH(M1762,'Cluster Map'!$B$4:$B$38,0)),"Unmapped"))</f>
        <v/>
      </c>
      <c r="O1762" s="55">
        <f>IF(A1762="",0,IF(COUNTIFS($A$2:A1762,A1762,$F$2:F1762,F1762,$L$2:L1762,L1762)=1,1,0))</f>
        <v>0</v>
      </c>
      <c r="P1762" s="55">
        <f>IF(A1762="",0,IF(AND(F1762="C&amp;T",COUNTIFS($A$2:A1762,A1762,$F$2:F1762,"C&amp;T")=1),1,0))</f>
        <v>0</v>
      </c>
    </row>
    <row r="1763" spans="1:16" x14ac:dyDescent="0.35">
      <c r="A1763" s="54" t="str">
        <f>IFERROR(IF(INDEX(SPOT_Import!$A$1:$Z$2488,1763,'Live Data'!$C$12)="","",INDEX(SPOT_Import!$A$1:$Z$2488,1763,'Live Data'!$C$12)),"")</f>
        <v/>
      </c>
      <c r="B1763" s="54" t="str">
        <f>IFERROR(IF(INDEX(SPOT_Import!$A$1:$Z$2488,1763,'Live Data'!$C$13)="","",INDEX(SPOT_Import!$A$1:$Z$2488,1763,'Live Data'!$C$13)),"")</f>
        <v/>
      </c>
      <c r="C1763" s="54" t="str">
        <f>IFERROR(IF(INDEX(SPOT_Import!$A$1:$Z$2488,1763,'Live Data'!$C$14)="","",INDEX(SPOT_Import!$A$1:$Z$2488,1763,'Live Data'!$C$14)),"")</f>
        <v/>
      </c>
      <c r="D1763" s="54" t="str">
        <f>IFERROR(IF(INDEX(SPOT_Import!$A$1:$Z$2488,1763,'Live Data'!$C$15)="","",INDEX(SPOT_Import!$A$1:$Z$2488,1763,'Live Data'!$C$15)),"")</f>
        <v/>
      </c>
      <c r="E1763" s="54" t="str">
        <f>IFERROR(IF(INDEX(SPOT_Import!$A$1:$Z$2488,1763,'Live Data'!$C$16)="","",INDEX(SPOT_Import!$A$1:$Z$2488,1763,'Live Data'!$C$16)),"")</f>
        <v/>
      </c>
      <c r="F1763" s="54" t="str">
        <f>IFERROR(IF(INDEX(SPOT_Import!$A$1:$Z$2488,1763,'Live Data'!$C$17)="","",INDEX(SPOT_Import!$A$1:$Z$2488,1763,'Live Data'!$C$17)),"")</f>
        <v/>
      </c>
      <c r="G1763" s="54" t="str">
        <f>IFERROR(IF(INDEX(SPOT_Import!$A$1:$Z$2488,1763,'Live Data'!$C$18)="","",INDEX(SPOT_Import!$A$1:$Z$2488,1763,'Live Data'!$C$18)),"")</f>
        <v/>
      </c>
      <c r="H1763" s="54" t="str">
        <f>IFERROR(IF(INDEX(SPOT_Import!$A$1:$Z$2488,1763,'Live Data'!$C$19)="","",INDEX(SPOT_Import!$A$1:$Z$2488,1763,'Live Data'!$C$19)),"")</f>
        <v/>
      </c>
      <c r="I1763" s="54" t="str">
        <f>IFERROR(IF(INDEX(SPOT_Import!$A$1:$Z$2488,1763,'Live Data'!$C$20)="","",INDEX(SPOT_Import!$A$1:$Z$2488,1763,'Live Data'!$C$20)),"")</f>
        <v/>
      </c>
      <c r="J1763" s="54" t="str">
        <f>IFERROR(IF(INDEX(SPOT_Import!$A$1:$Z$2488,1763,'Live Data'!$C$21)="","",INDEX(SPOT_Import!$A$1:$Z$2488,1763,'Live Data'!$C$21)),"")</f>
        <v/>
      </c>
      <c r="K1763" s="54" t="str">
        <f>IFERROR(IF(INDEX(SPOT_Import!$A$1:$Z$2488,1763,'Live Data'!$C$22)="","",INDEX(SPOT_Import!$A$1:$Z$2488,1763,'Live Data'!$C$22)),"")</f>
        <v/>
      </c>
      <c r="L1763" s="55" t="str">
        <f t="shared" si="54"/>
        <v/>
      </c>
      <c r="M1763" s="55" t="str">
        <f t="shared" si="55"/>
        <v/>
      </c>
      <c r="N1763" s="55" t="str">
        <f>IF(A1763="","",IFERROR(INDEX('Cluster Map'!$A$4:$A$38,MATCH(M1763,'Cluster Map'!$B$4:$B$38,0)),"Unmapped"))</f>
        <v/>
      </c>
      <c r="O1763" s="55">
        <f>IF(A1763="",0,IF(COUNTIFS($A$2:A1763,A1763,$F$2:F1763,F1763,$L$2:L1763,L1763)=1,1,0))</f>
        <v>0</v>
      </c>
      <c r="P1763" s="55">
        <f>IF(A1763="",0,IF(AND(F1763="C&amp;T",COUNTIFS($A$2:A1763,A1763,$F$2:F1763,"C&amp;T")=1),1,0))</f>
        <v>0</v>
      </c>
    </row>
    <row r="1764" spans="1:16" x14ac:dyDescent="0.35">
      <c r="A1764" s="54" t="str">
        <f>IFERROR(IF(INDEX(SPOT_Import!$A$1:$Z$2488,1764,'Live Data'!$C$12)="","",INDEX(SPOT_Import!$A$1:$Z$2488,1764,'Live Data'!$C$12)),"")</f>
        <v/>
      </c>
      <c r="B1764" s="54" t="str">
        <f>IFERROR(IF(INDEX(SPOT_Import!$A$1:$Z$2488,1764,'Live Data'!$C$13)="","",INDEX(SPOT_Import!$A$1:$Z$2488,1764,'Live Data'!$C$13)),"")</f>
        <v/>
      </c>
      <c r="C1764" s="54" t="str">
        <f>IFERROR(IF(INDEX(SPOT_Import!$A$1:$Z$2488,1764,'Live Data'!$C$14)="","",INDEX(SPOT_Import!$A$1:$Z$2488,1764,'Live Data'!$C$14)),"")</f>
        <v/>
      </c>
      <c r="D1764" s="54" t="str">
        <f>IFERROR(IF(INDEX(SPOT_Import!$A$1:$Z$2488,1764,'Live Data'!$C$15)="","",INDEX(SPOT_Import!$A$1:$Z$2488,1764,'Live Data'!$C$15)),"")</f>
        <v/>
      </c>
      <c r="E1764" s="54" t="str">
        <f>IFERROR(IF(INDEX(SPOT_Import!$A$1:$Z$2488,1764,'Live Data'!$C$16)="","",INDEX(SPOT_Import!$A$1:$Z$2488,1764,'Live Data'!$C$16)),"")</f>
        <v/>
      </c>
      <c r="F1764" s="54" t="str">
        <f>IFERROR(IF(INDEX(SPOT_Import!$A$1:$Z$2488,1764,'Live Data'!$C$17)="","",INDEX(SPOT_Import!$A$1:$Z$2488,1764,'Live Data'!$C$17)),"")</f>
        <v/>
      </c>
      <c r="G1764" s="54" t="str">
        <f>IFERROR(IF(INDEX(SPOT_Import!$A$1:$Z$2488,1764,'Live Data'!$C$18)="","",INDEX(SPOT_Import!$A$1:$Z$2488,1764,'Live Data'!$C$18)),"")</f>
        <v/>
      </c>
      <c r="H1764" s="54" t="str">
        <f>IFERROR(IF(INDEX(SPOT_Import!$A$1:$Z$2488,1764,'Live Data'!$C$19)="","",INDEX(SPOT_Import!$A$1:$Z$2488,1764,'Live Data'!$C$19)),"")</f>
        <v/>
      </c>
      <c r="I1764" s="54" t="str">
        <f>IFERROR(IF(INDEX(SPOT_Import!$A$1:$Z$2488,1764,'Live Data'!$C$20)="","",INDEX(SPOT_Import!$A$1:$Z$2488,1764,'Live Data'!$C$20)),"")</f>
        <v/>
      </c>
      <c r="J1764" s="54" t="str">
        <f>IFERROR(IF(INDEX(SPOT_Import!$A$1:$Z$2488,1764,'Live Data'!$C$21)="","",INDEX(SPOT_Import!$A$1:$Z$2488,1764,'Live Data'!$C$21)),"")</f>
        <v/>
      </c>
      <c r="K1764" s="54" t="str">
        <f>IFERROR(IF(INDEX(SPOT_Import!$A$1:$Z$2488,1764,'Live Data'!$C$22)="","",INDEX(SPOT_Import!$A$1:$Z$2488,1764,'Live Data'!$C$22)),"")</f>
        <v/>
      </c>
      <c r="L1764" s="55" t="str">
        <f t="shared" si="54"/>
        <v/>
      </c>
      <c r="M1764" s="55" t="str">
        <f t="shared" si="55"/>
        <v/>
      </c>
      <c r="N1764" s="55" t="str">
        <f>IF(A1764="","",IFERROR(INDEX('Cluster Map'!$A$4:$A$38,MATCH(M1764,'Cluster Map'!$B$4:$B$38,0)),"Unmapped"))</f>
        <v/>
      </c>
      <c r="O1764" s="55">
        <f>IF(A1764="",0,IF(COUNTIFS($A$2:A1764,A1764,$F$2:F1764,F1764,$L$2:L1764,L1764)=1,1,0))</f>
        <v>0</v>
      </c>
      <c r="P1764" s="55">
        <f>IF(A1764="",0,IF(AND(F1764="C&amp;T",COUNTIFS($A$2:A1764,A1764,$F$2:F1764,"C&amp;T")=1),1,0))</f>
        <v>0</v>
      </c>
    </row>
    <row r="1765" spans="1:16" x14ac:dyDescent="0.35">
      <c r="A1765" s="54" t="str">
        <f>IFERROR(IF(INDEX(SPOT_Import!$A$1:$Z$2488,1765,'Live Data'!$C$12)="","",INDEX(SPOT_Import!$A$1:$Z$2488,1765,'Live Data'!$C$12)),"")</f>
        <v/>
      </c>
      <c r="B1765" s="54" t="str">
        <f>IFERROR(IF(INDEX(SPOT_Import!$A$1:$Z$2488,1765,'Live Data'!$C$13)="","",INDEX(SPOT_Import!$A$1:$Z$2488,1765,'Live Data'!$C$13)),"")</f>
        <v/>
      </c>
      <c r="C1765" s="54" t="str">
        <f>IFERROR(IF(INDEX(SPOT_Import!$A$1:$Z$2488,1765,'Live Data'!$C$14)="","",INDEX(SPOT_Import!$A$1:$Z$2488,1765,'Live Data'!$C$14)),"")</f>
        <v/>
      </c>
      <c r="D1765" s="54" t="str">
        <f>IFERROR(IF(INDEX(SPOT_Import!$A$1:$Z$2488,1765,'Live Data'!$C$15)="","",INDEX(SPOT_Import!$A$1:$Z$2488,1765,'Live Data'!$C$15)),"")</f>
        <v/>
      </c>
      <c r="E1765" s="54" t="str">
        <f>IFERROR(IF(INDEX(SPOT_Import!$A$1:$Z$2488,1765,'Live Data'!$C$16)="","",INDEX(SPOT_Import!$A$1:$Z$2488,1765,'Live Data'!$C$16)),"")</f>
        <v/>
      </c>
      <c r="F1765" s="54" t="str">
        <f>IFERROR(IF(INDEX(SPOT_Import!$A$1:$Z$2488,1765,'Live Data'!$C$17)="","",INDEX(SPOT_Import!$A$1:$Z$2488,1765,'Live Data'!$C$17)),"")</f>
        <v/>
      </c>
      <c r="G1765" s="54" t="str">
        <f>IFERROR(IF(INDEX(SPOT_Import!$A$1:$Z$2488,1765,'Live Data'!$C$18)="","",INDEX(SPOT_Import!$A$1:$Z$2488,1765,'Live Data'!$C$18)),"")</f>
        <v/>
      </c>
      <c r="H1765" s="54" t="str">
        <f>IFERROR(IF(INDEX(SPOT_Import!$A$1:$Z$2488,1765,'Live Data'!$C$19)="","",INDEX(SPOT_Import!$A$1:$Z$2488,1765,'Live Data'!$C$19)),"")</f>
        <v/>
      </c>
      <c r="I1765" s="54" t="str">
        <f>IFERROR(IF(INDEX(SPOT_Import!$A$1:$Z$2488,1765,'Live Data'!$C$20)="","",INDEX(SPOT_Import!$A$1:$Z$2488,1765,'Live Data'!$C$20)),"")</f>
        <v/>
      </c>
      <c r="J1765" s="54" t="str">
        <f>IFERROR(IF(INDEX(SPOT_Import!$A$1:$Z$2488,1765,'Live Data'!$C$21)="","",INDEX(SPOT_Import!$A$1:$Z$2488,1765,'Live Data'!$C$21)),"")</f>
        <v/>
      </c>
      <c r="K1765" s="54" t="str">
        <f>IFERROR(IF(INDEX(SPOT_Import!$A$1:$Z$2488,1765,'Live Data'!$C$22)="","",INDEX(SPOT_Import!$A$1:$Z$2488,1765,'Live Data'!$C$22)),"")</f>
        <v/>
      </c>
      <c r="L1765" s="55" t="str">
        <f t="shared" si="54"/>
        <v/>
      </c>
      <c r="M1765" s="55" t="str">
        <f t="shared" si="55"/>
        <v/>
      </c>
      <c r="N1765" s="55" t="str">
        <f>IF(A1765="","",IFERROR(INDEX('Cluster Map'!$A$4:$A$38,MATCH(M1765,'Cluster Map'!$B$4:$B$38,0)),"Unmapped"))</f>
        <v/>
      </c>
      <c r="O1765" s="55">
        <f>IF(A1765="",0,IF(COUNTIFS($A$2:A1765,A1765,$F$2:F1765,F1765,$L$2:L1765,L1765)=1,1,0))</f>
        <v>0</v>
      </c>
      <c r="P1765" s="55">
        <f>IF(A1765="",0,IF(AND(F1765="C&amp;T",COUNTIFS($A$2:A1765,A1765,$F$2:F1765,"C&amp;T")=1),1,0))</f>
        <v>0</v>
      </c>
    </row>
    <row r="1766" spans="1:16" x14ac:dyDescent="0.35">
      <c r="A1766" s="54" t="str">
        <f>IFERROR(IF(INDEX(SPOT_Import!$A$1:$Z$2488,1766,'Live Data'!$C$12)="","",INDEX(SPOT_Import!$A$1:$Z$2488,1766,'Live Data'!$C$12)),"")</f>
        <v/>
      </c>
      <c r="B1766" s="54" t="str">
        <f>IFERROR(IF(INDEX(SPOT_Import!$A$1:$Z$2488,1766,'Live Data'!$C$13)="","",INDEX(SPOT_Import!$A$1:$Z$2488,1766,'Live Data'!$C$13)),"")</f>
        <v/>
      </c>
      <c r="C1766" s="54" t="str">
        <f>IFERROR(IF(INDEX(SPOT_Import!$A$1:$Z$2488,1766,'Live Data'!$C$14)="","",INDEX(SPOT_Import!$A$1:$Z$2488,1766,'Live Data'!$C$14)),"")</f>
        <v/>
      </c>
      <c r="D1766" s="54" t="str">
        <f>IFERROR(IF(INDEX(SPOT_Import!$A$1:$Z$2488,1766,'Live Data'!$C$15)="","",INDEX(SPOT_Import!$A$1:$Z$2488,1766,'Live Data'!$C$15)),"")</f>
        <v/>
      </c>
      <c r="E1766" s="54" t="str">
        <f>IFERROR(IF(INDEX(SPOT_Import!$A$1:$Z$2488,1766,'Live Data'!$C$16)="","",INDEX(SPOT_Import!$A$1:$Z$2488,1766,'Live Data'!$C$16)),"")</f>
        <v/>
      </c>
      <c r="F1766" s="54" t="str">
        <f>IFERROR(IF(INDEX(SPOT_Import!$A$1:$Z$2488,1766,'Live Data'!$C$17)="","",INDEX(SPOT_Import!$A$1:$Z$2488,1766,'Live Data'!$C$17)),"")</f>
        <v/>
      </c>
      <c r="G1766" s="54" t="str">
        <f>IFERROR(IF(INDEX(SPOT_Import!$A$1:$Z$2488,1766,'Live Data'!$C$18)="","",INDEX(SPOT_Import!$A$1:$Z$2488,1766,'Live Data'!$C$18)),"")</f>
        <v/>
      </c>
      <c r="H1766" s="54" t="str">
        <f>IFERROR(IF(INDEX(SPOT_Import!$A$1:$Z$2488,1766,'Live Data'!$C$19)="","",INDEX(SPOT_Import!$A$1:$Z$2488,1766,'Live Data'!$C$19)),"")</f>
        <v/>
      </c>
      <c r="I1766" s="54" t="str">
        <f>IFERROR(IF(INDEX(SPOT_Import!$A$1:$Z$2488,1766,'Live Data'!$C$20)="","",INDEX(SPOT_Import!$A$1:$Z$2488,1766,'Live Data'!$C$20)),"")</f>
        <v/>
      </c>
      <c r="J1766" s="54" t="str">
        <f>IFERROR(IF(INDEX(SPOT_Import!$A$1:$Z$2488,1766,'Live Data'!$C$21)="","",INDEX(SPOT_Import!$A$1:$Z$2488,1766,'Live Data'!$C$21)),"")</f>
        <v/>
      </c>
      <c r="K1766" s="54" t="str">
        <f>IFERROR(IF(INDEX(SPOT_Import!$A$1:$Z$2488,1766,'Live Data'!$C$22)="","",INDEX(SPOT_Import!$A$1:$Z$2488,1766,'Live Data'!$C$22)),"")</f>
        <v/>
      </c>
      <c r="L1766" s="55" t="str">
        <f t="shared" si="54"/>
        <v/>
      </c>
      <c r="M1766" s="55" t="str">
        <f t="shared" si="55"/>
        <v/>
      </c>
      <c r="N1766" s="55" t="str">
        <f>IF(A1766="","",IFERROR(INDEX('Cluster Map'!$A$4:$A$38,MATCH(M1766,'Cluster Map'!$B$4:$B$38,0)),"Unmapped"))</f>
        <v/>
      </c>
      <c r="O1766" s="55">
        <f>IF(A1766="",0,IF(COUNTIFS($A$2:A1766,A1766,$F$2:F1766,F1766,$L$2:L1766,L1766)=1,1,0))</f>
        <v>0</v>
      </c>
      <c r="P1766" s="55">
        <f>IF(A1766="",0,IF(AND(F1766="C&amp;T",COUNTIFS($A$2:A1766,A1766,$F$2:F1766,"C&amp;T")=1),1,0))</f>
        <v>0</v>
      </c>
    </row>
    <row r="1767" spans="1:16" x14ac:dyDescent="0.35">
      <c r="A1767" s="54" t="str">
        <f>IFERROR(IF(INDEX(SPOT_Import!$A$1:$Z$2488,1767,'Live Data'!$C$12)="","",INDEX(SPOT_Import!$A$1:$Z$2488,1767,'Live Data'!$C$12)),"")</f>
        <v/>
      </c>
      <c r="B1767" s="54" t="str">
        <f>IFERROR(IF(INDEX(SPOT_Import!$A$1:$Z$2488,1767,'Live Data'!$C$13)="","",INDEX(SPOT_Import!$A$1:$Z$2488,1767,'Live Data'!$C$13)),"")</f>
        <v/>
      </c>
      <c r="C1767" s="54" t="str">
        <f>IFERROR(IF(INDEX(SPOT_Import!$A$1:$Z$2488,1767,'Live Data'!$C$14)="","",INDEX(SPOT_Import!$A$1:$Z$2488,1767,'Live Data'!$C$14)),"")</f>
        <v/>
      </c>
      <c r="D1767" s="54" t="str">
        <f>IFERROR(IF(INDEX(SPOT_Import!$A$1:$Z$2488,1767,'Live Data'!$C$15)="","",INDEX(SPOT_Import!$A$1:$Z$2488,1767,'Live Data'!$C$15)),"")</f>
        <v/>
      </c>
      <c r="E1767" s="54" t="str">
        <f>IFERROR(IF(INDEX(SPOT_Import!$A$1:$Z$2488,1767,'Live Data'!$C$16)="","",INDEX(SPOT_Import!$A$1:$Z$2488,1767,'Live Data'!$C$16)),"")</f>
        <v/>
      </c>
      <c r="F1767" s="54" t="str">
        <f>IFERROR(IF(INDEX(SPOT_Import!$A$1:$Z$2488,1767,'Live Data'!$C$17)="","",INDEX(SPOT_Import!$A$1:$Z$2488,1767,'Live Data'!$C$17)),"")</f>
        <v/>
      </c>
      <c r="G1767" s="54" t="str">
        <f>IFERROR(IF(INDEX(SPOT_Import!$A$1:$Z$2488,1767,'Live Data'!$C$18)="","",INDEX(SPOT_Import!$A$1:$Z$2488,1767,'Live Data'!$C$18)),"")</f>
        <v/>
      </c>
      <c r="H1767" s="54" t="str">
        <f>IFERROR(IF(INDEX(SPOT_Import!$A$1:$Z$2488,1767,'Live Data'!$C$19)="","",INDEX(SPOT_Import!$A$1:$Z$2488,1767,'Live Data'!$C$19)),"")</f>
        <v/>
      </c>
      <c r="I1767" s="54" t="str">
        <f>IFERROR(IF(INDEX(SPOT_Import!$A$1:$Z$2488,1767,'Live Data'!$C$20)="","",INDEX(SPOT_Import!$A$1:$Z$2488,1767,'Live Data'!$C$20)),"")</f>
        <v/>
      </c>
      <c r="J1767" s="54" t="str">
        <f>IFERROR(IF(INDEX(SPOT_Import!$A$1:$Z$2488,1767,'Live Data'!$C$21)="","",INDEX(SPOT_Import!$A$1:$Z$2488,1767,'Live Data'!$C$21)),"")</f>
        <v/>
      </c>
      <c r="K1767" s="54" t="str">
        <f>IFERROR(IF(INDEX(SPOT_Import!$A$1:$Z$2488,1767,'Live Data'!$C$22)="","",INDEX(SPOT_Import!$A$1:$Z$2488,1767,'Live Data'!$C$22)),"")</f>
        <v/>
      </c>
      <c r="L1767" s="55" t="str">
        <f t="shared" si="54"/>
        <v/>
      </c>
      <c r="M1767" s="55" t="str">
        <f t="shared" si="55"/>
        <v/>
      </c>
      <c r="N1767" s="55" t="str">
        <f>IF(A1767="","",IFERROR(INDEX('Cluster Map'!$A$4:$A$38,MATCH(M1767,'Cluster Map'!$B$4:$B$38,0)),"Unmapped"))</f>
        <v/>
      </c>
      <c r="O1767" s="55">
        <f>IF(A1767="",0,IF(COUNTIFS($A$2:A1767,A1767,$F$2:F1767,F1767,$L$2:L1767,L1767)=1,1,0))</f>
        <v>0</v>
      </c>
      <c r="P1767" s="55">
        <f>IF(A1767="",0,IF(AND(F1767="C&amp;T",COUNTIFS($A$2:A1767,A1767,$F$2:F1767,"C&amp;T")=1),1,0))</f>
        <v>0</v>
      </c>
    </row>
    <row r="1768" spans="1:16" x14ac:dyDescent="0.35">
      <c r="A1768" s="54" t="str">
        <f>IFERROR(IF(INDEX(SPOT_Import!$A$1:$Z$2488,1768,'Live Data'!$C$12)="","",INDEX(SPOT_Import!$A$1:$Z$2488,1768,'Live Data'!$C$12)),"")</f>
        <v/>
      </c>
      <c r="B1768" s="54" t="str">
        <f>IFERROR(IF(INDEX(SPOT_Import!$A$1:$Z$2488,1768,'Live Data'!$C$13)="","",INDEX(SPOT_Import!$A$1:$Z$2488,1768,'Live Data'!$C$13)),"")</f>
        <v/>
      </c>
      <c r="C1768" s="54" t="str">
        <f>IFERROR(IF(INDEX(SPOT_Import!$A$1:$Z$2488,1768,'Live Data'!$C$14)="","",INDEX(SPOT_Import!$A$1:$Z$2488,1768,'Live Data'!$C$14)),"")</f>
        <v/>
      </c>
      <c r="D1768" s="54" t="str">
        <f>IFERROR(IF(INDEX(SPOT_Import!$A$1:$Z$2488,1768,'Live Data'!$C$15)="","",INDEX(SPOT_Import!$A$1:$Z$2488,1768,'Live Data'!$C$15)),"")</f>
        <v/>
      </c>
      <c r="E1768" s="54" t="str">
        <f>IFERROR(IF(INDEX(SPOT_Import!$A$1:$Z$2488,1768,'Live Data'!$C$16)="","",INDEX(SPOT_Import!$A$1:$Z$2488,1768,'Live Data'!$C$16)),"")</f>
        <v/>
      </c>
      <c r="F1768" s="54" t="str">
        <f>IFERROR(IF(INDEX(SPOT_Import!$A$1:$Z$2488,1768,'Live Data'!$C$17)="","",INDEX(SPOT_Import!$A$1:$Z$2488,1768,'Live Data'!$C$17)),"")</f>
        <v/>
      </c>
      <c r="G1768" s="54" t="str">
        <f>IFERROR(IF(INDEX(SPOT_Import!$A$1:$Z$2488,1768,'Live Data'!$C$18)="","",INDEX(SPOT_Import!$A$1:$Z$2488,1768,'Live Data'!$C$18)),"")</f>
        <v/>
      </c>
      <c r="H1768" s="54" t="str">
        <f>IFERROR(IF(INDEX(SPOT_Import!$A$1:$Z$2488,1768,'Live Data'!$C$19)="","",INDEX(SPOT_Import!$A$1:$Z$2488,1768,'Live Data'!$C$19)),"")</f>
        <v/>
      </c>
      <c r="I1768" s="54" t="str">
        <f>IFERROR(IF(INDEX(SPOT_Import!$A$1:$Z$2488,1768,'Live Data'!$C$20)="","",INDEX(SPOT_Import!$A$1:$Z$2488,1768,'Live Data'!$C$20)),"")</f>
        <v/>
      </c>
      <c r="J1768" s="54" t="str">
        <f>IFERROR(IF(INDEX(SPOT_Import!$A$1:$Z$2488,1768,'Live Data'!$C$21)="","",INDEX(SPOT_Import!$A$1:$Z$2488,1768,'Live Data'!$C$21)),"")</f>
        <v/>
      </c>
      <c r="K1768" s="54" t="str">
        <f>IFERROR(IF(INDEX(SPOT_Import!$A$1:$Z$2488,1768,'Live Data'!$C$22)="","",INDEX(SPOT_Import!$A$1:$Z$2488,1768,'Live Data'!$C$22)),"")</f>
        <v/>
      </c>
      <c r="L1768" s="55" t="str">
        <f t="shared" si="54"/>
        <v/>
      </c>
      <c r="M1768" s="55" t="str">
        <f t="shared" si="55"/>
        <v/>
      </c>
      <c r="N1768" s="55" t="str">
        <f>IF(A1768="","",IFERROR(INDEX('Cluster Map'!$A$4:$A$38,MATCH(M1768,'Cluster Map'!$B$4:$B$38,0)),"Unmapped"))</f>
        <v/>
      </c>
      <c r="O1768" s="55">
        <f>IF(A1768="",0,IF(COUNTIFS($A$2:A1768,A1768,$F$2:F1768,F1768,$L$2:L1768,L1768)=1,1,0))</f>
        <v>0</v>
      </c>
      <c r="P1768" s="55">
        <f>IF(A1768="",0,IF(AND(F1768="C&amp;T",COUNTIFS($A$2:A1768,A1768,$F$2:F1768,"C&amp;T")=1),1,0))</f>
        <v>0</v>
      </c>
    </row>
    <row r="1769" spans="1:16" x14ac:dyDescent="0.35">
      <c r="A1769" s="54" t="str">
        <f>IFERROR(IF(INDEX(SPOT_Import!$A$1:$Z$2488,1769,'Live Data'!$C$12)="","",INDEX(SPOT_Import!$A$1:$Z$2488,1769,'Live Data'!$C$12)),"")</f>
        <v/>
      </c>
      <c r="B1769" s="54" t="str">
        <f>IFERROR(IF(INDEX(SPOT_Import!$A$1:$Z$2488,1769,'Live Data'!$C$13)="","",INDEX(SPOT_Import!$A$1:$Z$2488,1769,'Live Data'!$C$13)),"")</f>
        <v/>
      </c>
      <c r="C1769" s="54" t="str">
        <f>IFERROR(IF(INDEX(SPOT_Import!$A$1:$Z$2488,1769,'Live Data'!$C$14)="","",INDEX(SPOT_Import!$A$1:$Z$2488,1769,'Live Data'!$C$14)),"")</f>
        <v/>
      </c>
      <c r="D1769" s="54" t="str">
        <f>IFERROR(IF(INDEX(SPOT_Import!$A$1:$Z$2488,1769,'Live Data'!$C$15)="","",INDEX(SPOT_Import!$A$1:$Z$2488,1769,'Live Data'!$C$15)),"")</f>
        <v/>
      </c>
      <c r="E1769" s="54" t="str">
        <f>IFERROR(IF(INDEX(SPOT_Import!$A$1:$Z$2488,1769,'Live Data'!$C$16)="","",INDEX(SPOT_Import!$A$1:$Z$2488,1769,'Live Data'!$C$16)),"")</f>
        <v/>
      </c>
      <c r="F1769" s="54" t="str">
        <f>IFERROR(IF(INDEX(SPOT_Import!$A$1:$Z$2488,1769,'Live Data'!$C$17)="","",INDEX(SPOT_Import!$A$1:$Z$2488,1769,'Live Data'!$C$17)),"")</f>
        <v/>
      </c>
      <c r="G1769" s="54" t="str">
        <f>IFERROR(IF(INDEX(SPOT_Import!$A$1:$Z$2488,1769,'Live Data'!$C$18)="","",INDEX(SPOT_Import!$A$1:$Z$2488,1769,'Live Data'!$C$18)),"")</f>
        <v/>
      </c>
      <c r="H1769" s="54" t="str">
        <f>IFERROR(IF(INDEX(SPOT_Import!$A$1:$Z$2488,1769,'Live Data'!$C$19)="","",INDEX(SPOT_Import!$A$1:$Z$2488,1769,'Live Data'!$C$19)),"")</f>
        <v/>
      </c>
      <c r="I1769" s="54" t="str">
        <f>IFERROR(IF(INDEX(SPOT_Import!$A$1:$Z$2488,1769,'Live Data'!$C$20)="","",INDEX(SPOT_Import!$A$1:$Z$2488,1769,'Live Data'!$C$20)),"")</f>
        <v/>
      </c>
      <c r="J1769" s="54" t="str">
        <f>IFERROR(IF(INDEX(SPOT_Import!$A$1:$Z$2488,1769,'Live Data'!$C$21)="","",INDEX(SPOT_Import!$A$1:$Z$2488,1769,'Live Data'!$C$21)),"")</f>
        <v/>
      </c>
      <c r="K1769" s="54" t="str">
        <f>IFERROR(IF(INDEX(SPOT_Import!$A$1:$Z$2488,1769,'Live Data'!$C$22)="","",INDEX(SPOT_Import!$A$1:$Z$2488,1769,'Live Data'!$C$22)),"")</f>
        <v/>
      </c>
      <c r="L1769" s="55" t="str">
        <f t="shared" si="54"/>
        <v/>
      </c>
      <c r="M1769" s="55" t="str">
        <f t="shared" si="55"/>
        <v/>
      </c>
      <c r="N1769" s="55" t="str">
        <f>IF(A1769="","",IFERROR(INDEX('Cluster Map'!$A$4:$A$38,MATCH(M1769,'Cluster Map'!$B$4:$B$38,0)),"Unmapped"))</f>
        <v/>
      </c>
      <c r="O1769" s="55">
        <f>IF(A1769="",0,IF(COUNTIFS($A$2:A1769,A1769,$F$2:F1769,F1769,$L$2:L1769,L1769)=1,1,0))</f>
        <v>0</v>
      </c>
      <c r="P1769" s="55">
        <f>IF(A1769="",0,IF(AND(F1769="C&amp;T",COUNTIFS($A$2:A1769,A1769,$F$2:F1769,"C&amp;T")=1),1,0))</f>
        <v>0</v>
      </c>
    </row>
    <row r="1770" spans="1:16" x14ac:dyDescent="0.35">
      <c r="A1770" s="54" t="str">
        <f>IFERROR(IF(INDEX(SPOT_Import!$A$1:$Z$2488,1770,'Live Data'!$C$12)="","",INDEX(SPOT_Import!$A$1:$Z$2488,1770,'Live Data'!$C$12)),"")</f>
        <v/>
      </c>
      <c r="B1770" s="54" t="str">
        <f>IFERROR(IF(INDEX(SPOT_Import!$A$1:$Z$2488,1770,'Live Data'!$C$13)="","",INDEX(SPOT_Import!$A$1:$Z$2488,1770,'Live Data'!$C$13)),"")</f>
        <v/>
      </c>
      <c r="C1770" s="54" t="str">
        <f>IFERROR(IF(INDEX(SPOT_Import!$A$1:$Z$2488,1770,'Live Data'!$C$14)="","",INDEX(SPOT_Import!$A$1:$Z$2488,1770,'Live Data'!$C$14)),"")</f>
        <v/>
      </c>
      <c r="D1770" s="54" t="str">
        <f>IFERROR(IF(INDEX(SPOT_Import!$A$1:$Z$2488,1770,'Live Data'!$C$15)="","",INDEX(SPOT_Import!$A$1:$Z$2488,1770,'Live Data'!$C$15)),"")</f>
        <v/>
      </c>
      <c r="E1770" s="54" t="str">
        <f>IFERROR(IF(INDEX(SPOT_Import!$A$1:$Z$2488,1770,'Live Data'!$C$16)="","",INDEX(SPOT_Import!$A$1:$Z$2488,1770,'Live Data'!$C$16)),"")</f>
        <v/>
      </c>
      <c r="F1770" s="54" t="str">
        <f>IFERROR(IF(INDEX(SPOT_Import!$A$1:$Z$2488,1770,'Live Data'!$C$17)="","",INDEX(SPOT_Import!$A$1:$Z$2488,1770,'Live Data'!$C$17)),"")</f>
        <v/>
      </c>
      <c r="G1770" s="54" t="str">
        <f>IFERROR(IF(INDEX(SPOT_Import!$A$1:$Z$2488,1770,'Live Data'!$C$18)="","",INDEX(SPOT_Import!$A$1:$Z$2488,1770,'Live Data'!$C$18)),"")</f>
        <v/>
      </c>
      <c r="H1770" s="54" t="str">
        <f>IFERROR(IF(INDEX(SPOT_Import!$A$1:$Z$2488,1770,'Live Data'!$C$19)="","",INDEX(SPOT_Import!$A$1:$Z$2488,1770,'Live Data'!$C$19)),"")</f>
        <v/>
      </c>
      <c r="I1770" s="54" t="str">
        <f>IFERROR(IF(INDEX(SPOT_Import!$A$1:$Z$2488,1770,'Live Data'!$C$20)="","",INDEX(SPOT_Import!$A$1:$Z$2488,1770,'Live Data'!$C$20)),"")</f>
        <v/>
      </c>
      <c r="J1770" s="54" t="str">
        <f>IFERROR(IF(INDEX(SPOT_Import!$A$1:$Z$2488,1770,'Live Data'!$C$21)="","",INDEX(SPOT_Import!$A$1:$Z$2488,1770,'Live Data'!$C$21)),"")</f>
        <v/>
      </c>
      <c r="K1770" s="54" t="str">
        <f>IFERROR(IF(INDEX(SPOT_Import!$A$1:$Z$2488,1770,'Live Data'!$C$22)="","",INDEX(SPOT_Import!$A$1:$Z$2488,1770,'Live Data'!$C$22)),"")</f>
        <v/>
      </c>
      <c r="L1770" s="55" t="str">
        <f t="shared" si="54"/>
        <v/>
      </c>
      <c r="M1770" s="55" t="str">
        <f t="shared" si="55"/>
        <v/>
      </c>
      <c r="N1770" s="55" t="str">
        <f>IF(A1770="","",IFERROR(INDEX('Cluster Map'!$A$4:$A$38,MATCH(M1770,'Cluster Map'!$B$4:$B$38,0)),"Unmapped"))</f>
        <v/>
      </c>
      <c r="O1770" s="55">
        <f>IF(A1770="",0,IF(COUNTIFS($A$2:A1770,A1770,$F$2:F1770,F1770,$L$2:L1770,L1770)=1,1,0))</f>
        <v>0</v>
      </c>
      <c r="P1770" s="55">
        <f>IF(A1770="",0,IF(AND(F1770="C&amp;T",COUNTIFS($A$2:A1770,A1770,$F$2:F1770,"C&amp;T")=1),1,0))</f>
        <v>0</v>
      </c>
    </row>
    <row r="1771" spans="1:16" x14ac:dyDescent="0.35">
      <c r="A1771" s="54" t="str">
        <f>IFERROR(IF(INDEX(SPOT_Import!$A$1:$Z$2488,1771,'Live Data'!$C$12)="","",INDEX(SPOT_Import!$A$1:$Z$2488,1771,'Live Data'!$C$12)),"")</f>
        <v/>
      </c>
      <c r="B1771" s="54" t="str">
        <f>IFERROR(IF(INDEX(SPOT_Import!$A$1:$Z$2488,1771,'Live Data'!$C$13)="","",INDEX(SPOT_Import!$A$1:$Z$2488,1771,'Live Data'!$C$13)),"")</f>
        <v/>
      </c>
      <c r="C1771" s="54" t="str">
        <f>IFERROR(IF(INDEX(SPOT_Import!$A$1:$Z$2488,1771,'Live Data'!$C$14)="","",INDEX(SPOT_Import!$A$1:$Z$2488,1771,'Live Data'!$C$14)),"")</f>
        <v/>
      </c>
      <c r="D1771" s="54" t="str">
        <f>IFERROR(IF(INDEX(SPOT_Import!$A$1:$Z$2488,1771,'Live Data'!$C$15)="","",INDEX(SPOT_Import!$A$1:$Z$2488,1771,'Live Data'!$C$15)),"")</f>
        <v/>
      </c>
      <c r="E1771" s="54" t="str">
        <f>IFERROR(IF(INDEX(SPOT_Import!$A$1:$Z$2488,1771,'Live Data'!$C$16)="","",INDEX(SPOT_Import!$A$1:$Z$2488,1771,'Live Data'!$C$16)),"")</f>
        <v/>
      </c>
      <c r="F1771" s="54" t="str">
        <f>IFERROR(IF(INDEX(SPOT_Import!$A$1:$Z$2488,1771,'Live Data'!$C$17)="","",INDEX(SPOT_Import!$A$1:$Z$2488,1771,'Live Data'!$C$17)),"")</f>
        <v/>
      </c>
      <c r="G1771" s="54" t="str">
        <f>IFERROR(IF(INDEX(SPOT_Import!$A$1:$Z$2488,1771,'Live Data'!$C$18)="","",INDEX(SPOT_Import!$A$1:$Z$2488,1771,'Live Data'!$C$18)),"")</f>
        <v/>
      </c>
      <c r="H1771" s="54" t="str">
        <f>IFERROR(IF(INDEX(SPOT_Import!$A$1:$Z$2488,1771,'Live Data'!$C$19)="","",INDEX(SPOT_Import!$A$1:$Z$2488,1771,'Live Data'!$C$19)),"")</f>
        <v/>
      </c>
      <c r="I1771" s="54" t="str">
        <f>IFERROR(IF(INDEX(SPOT_Import!$A$1:$Z$2488,1771,'Live Data'!$C$20)="","",INDEX(SPOT_Import!$A$1:$Z$2488,1771,'Live Data'!$C$20)),"")</f>
        <v/>
      </c>
      <c r="J1771" s="54" t="str">
        <f>IFERROR(IF(INDEX(SPOT_Import!$A$1:$Z$2488,1771,'Live Data'!$C$21)="","",INDEX(SPOT_Import!$A$1:$Z$2488,1771,'Live Data'!$C$21)),"")</f>
        <v/>
      </c>
      <c r="K1771" s="54" t="str">
        <f>IFERROR(IF(INDEX(SPOT_Import!$A$1:$Z$2488,1771,'Live Data'!$C$22)="","",INDEX(SPOT_Import!$A$1:$Z$2488,1771,'Live Data'!$C$22)),"")</f>
        <v/>
      </c>
      <c r="L1771" s="55" t="str">
        <f t="shared" si="54"/>
        <v/>
      </c>
      <c r="M1771" s="55" t="str">
        <f t="shared" si="55"/>
        <v/>
      </c>
      <c r="N1771" s="55" t="str">
        <f>IF(A1771="","",IFERROR(INDEX('Cluster Map'!$A$4:$A$38,MATCH(M1771,'Cluster Map'!$B$4:$B$38,0)),"Unmapped"))</f>
        <v/>
      </c>
      <c r="O1771" s="55">
        <f>IF(A1771="",0,IF(COUNTIFS($A$2:A1771,A1771,$F$2:F1771,F1771,$L$2:L1771,L1771)=1,1,0))</f>
        <v>0</v>
      </c>
      <c r="P1771" s="55">
        <f>IF(A1771="",0,IF(AND(F1771="C&amp;T",COUNTIFS($A$2:A1771,A1771,$F$2:F1771,"C&amp;T")=1),1,0))</f>
        <v>0</v>
      </c>
    </row>
    <row r="1772" spans="1:16" x14ac:dyDescent="0.35">
      <c r="A1772" s="54" t="str">
        <f>IFERROR(IF(INDEX(SPOT_Import!$A$1:$Z$2488,1772,'Live Data'!$C$12)="","",INDEX(SPOT_Import!$A$1:$Z$2488,1772,'Live Data'!$C$12)),"")</f>
        <v/>
      </c>
      <c r="B1772" s="54" t="str">
        <f>IFERROR(IF(INDEX(SPOT_Import!$A$1:$Z$2488,1772,'Live Data'!$C$13)="","",INDEX(SPOT_Import!$A$1:$Z$2488,1772,'Live Data'!$C$13)),"")</f>
        <v/>
      </c>
      <c r="C1772" s="54" t="str">
        <f>IFERROR(IF(INDEX(SPOT_Import!$A$1:$Z$2488,1772,'Live Data'!$C$14)="","",INDEX(SPOT_Import!$A$1:$Z$2488,1772,'Live Data'!$C$14)),"")</f>
        <v/>
      </c>
      <c r="D1772" s="54" t="str">
        <f>IFERROR(IF(INDEX(SPOT_Import!$A$1:$Z$2488,1772,'Live Data'!$C$15)="","",INDEX(SPOT_Import!$A$1:$Z$2488,1772,'Live Data'!$C$15)),"")</f>
        <v/>
      </c>
      <c r="E1772" s="54" t="str">
        <f>IFERROR(IF(INDEX(SPOT_Import!$A$1:$Z$2488,1772,'Live Data'!$C$16)="","",INDEX(SPOT_Import!$A$1:$Z$2488,1772,'Live Data'!$C$16)),"")</f>
        <v/>
      </c>
      <c r="F1772" s="54" t="str">
        <f>IFERROR(IF(INDEX(SPOT_Import!$A$1:$Z$2488,1772,'Live Data'!$C$17)="","",INDEX(SPOT_Import!$A$1:$Z$2488,1772,'Live Data'!$C$17)),"")</f>
        <v/>
      </c>
      <c r="G1772" s="54" t="str">
        <f>IFERROR(IF(INDEX(SPOT_Import!$A$1:$Z$2488,1772,'Live Data'!$C$18)="","",INDEX(SPOT_Import!$A$1:$Z$2488,1772,'Live Data'!$C$18)),"")</f>
        <v/>
      </c>
      <c r="H1772" s="54" t="str">
        <f>IFERROR(IF(INDEX(SPOT_Import!$A$1:$Z$2488,1772,'Live Data'!$C$19)="","",INDEX(SPOT_Import!$A$1:$Z$2488,1772,'Live Data'!$C$19)),"")</f>
        <v/>
      </c>
      <c r="I1772" s="54" t="str">
        <f>IFERROR(IF(INDEX(SPOT_Import!$A$1:$Z$2488,1772,'Live Data'!$C$20)="","",INDEX(SPOT_Import!$A$1:$Z$2488,1772,'Live Data'!$C$20)),"")</f>
        <v/>
      </c>
      <c r="J1772" s="54" t="str">
        <f>IFERROR(IF(INDEX(SPOT_Import!$A$1:$Z$2488,1772,'Live Data'!$C$21)="","",INDEX(SPOT_Import!$A$1:$Z$2488,1772,'Live Data'!$C$21)),"")</f>
        <v/>
      </c>
      <c r="K1772" s="54" t="str">
        <f>IFERROR(IF(INDEX(SPOT_Import!$A$1:$Z$2488,1772,'Live Data'!$C$22)="","",INDEX(SPOT_Import!$A$1:$Z$2488,1772,'Live Data'!$C$22)),"")</f>
        <v/>
      </c>
      <c r="L1772" s="55" t="str">
        <f t="shared" si="54"/>
        <v/>
      </c>
      <c r="M1772" s="55" t="str">
        <f t="shared" si="55"/>
        <v/>
      </c>
      <c r="N1772" s="55" t="str">
        <f>IF(A1772="","",IFERROR(INDEX('Cluster Map'!$A$4:$A$38,MATCH(M1772,'Cluster Map'!$B$4:$B$38,0)),"Unmapped"))</f>
        <v/>
      </c>
      <c r="O1772" s="55">
        <f>IF(A1772="",0,IF(COUNTIFS($A$2:A1772,A1772,$F$2:F1772,F1772,$L$2:L1772,L1772)=1,1,0))</f>
        <v>0</v>
      </c>
      <c r="P1772" s="55">
        <f>IF(A1772="",0,IF(AND(F1772="C&amp;T",COUNTIFS($A$2:A1772,A1772,$F$2:F1772,"C&amp;T")=1),1,0))</f>
        <v>0</v>
      </c>
    </row>
    <row r="1773" spans="1:16" x14ac:dyDescent="0.35">
      <c r="A1773" s="54" t="str">
        <f>IFERROR(IF(INDEX(SPOT_Import!$A$1:$Z$2488,1773,'Live Data'!$C$12)="","",INDEX(SPOT_Import!$A$1:$Z$2488,1773,'Live Data'!$C$12)),"")</f>
        <v/>
      </c>
      <c r="B1773" s="54" t="str">
        <f>IFERROR(IF(INDEX(SPOT_Import!$A$1:$Z$2488,1773,'Live Data'!$C$13)="","",INDEX(SPOT_Import!$A$1:$Z$2488,1773,'Live Data'!$C$13)),"")</f>
        <v/>
      </c>
      <c r="C1773" s="54" t="str">
        <f>IFERROR(IF(INDEX(SPOT_Import!$A$1:$Z$2488,1773,'Live Data'!$C$14)="","",INDEX(SPOT_Import!$A$1:$Z$2488,1773,'Live Data'!$C$14)),"")</f>
        <v/>
      </c>
      <c r="D1773" s="54" t="str">
        <f>IFERROR(IF(INDEX(SPOT_Import!$A$1:$Z$2488,1773,'Live Data'!$C$15)="","",INDEX(SPOT_Import!$A$1:$Z$2488,1773,'Live Data'!$C$15)),"")</f>
        <v/>
      </c>
      <c r="E1773" s="54" t="str">
        <f>IFERROR(IF(INDEX(SPOT_Import!$A$1:$Z$2488,1773,'Live Data'!$C$16)="","",INDEX(SPOT_Import!$A$1:$Z$2488,1773,'Live Data'!$C$16)),"")</f>
        <v/>
      </c>
      <c r="F1773" s="54" t="str">
        <f>IFERROR(IF(INDEX(SPOT_Import!$A$1:$Z$2488,1773,'Live Data'!$C$17)="","",INDEX(SPOT_Import!$A$1:$Z$2488,1773,'Live Data'!$C$17)),"")</f>
        <v/>
      </c>
      <c r="G1773" s="54" t="str">
        <f>IFERROR(IF(INDEX(SPOT_Import!$A$1:$Z$2488,1773,'Live Data'!$C$18)="","",INDEX(SPOT_Import!$A$1:$Z$2488,1773,'Live Data'!$C$18)),"")</f>
        <v/>
      </c>
      <c r="H1773" s="54" t="str">
        <f>IFERROR(IF(INDEX(SPOT_Import!$A$1:$Z$2488,1773,'Live Data'!$C$19)="","",INDEX(SPOT_Import!$A$1:$Z$2488,1773,'Live Data'!$C$19)),"")</f>
        <v/>
      </c>
      <c r="I1773" s="54" t="str">
        <f>IFERROR(IF(INDEX(SPOT_Import!$A$1:$Z$2488,1773,'Live Data'!$C$20)="","",INDEX(SPOT_Import!$A$1:$Z$2488,1773,'Live Data'!$C$20)),"")</f>
        <v/>
      </c>
      <c r="J1773" s="54" t="str">
        <f>IFERROR(IF(INDEX(SPOT_Import!$A$1:$Z$2488,1773,'Live Data'!$C$21)="","",INDEX(SPOT_Import!$A$1:$Z$2488,1773,'Live Data'!$C$21)),"")</f>
        <v/>
      </c>
      <c r="K1773" s="54" t="str">
        <f>IFERROR(IF(INDEX(SPOT_Import!$A$1:$Z$2488,1773,'Live Data'!$C$22)="","",INDEX(SPOT_Import!$A$1:$Z$2488,1773,'Live Data'!$C$22)),"")</f>
        <v/>
      </c>
      <c r="L1773" s="55" t="str">
        <f t="shared" si="54"/>
        <v/>
      </c>
      <c r="M1773" s="55" t="str">
        <f t="shared" si="55"/>
        <v/>
      </c>
      <c r="N1773" s="55" t="str">
        <f>IF(A1773="","",IFERROR(INDEX('Cluster Map'!$A$4:$A$38,MATCH(M1773,'Cluster Map'!$B$4:$B$38,0)),"Unmapped"))</f>
        <v/>
      </c>
      <c r="O1773" s="55">
        <f>IF(A1773="",0,IF(COUNTIFS($A$2:A1773,A1773,$F$2:F1773,F1773,$L$2:L1773,L1773)=1,1,0))</f>
        <v>0</v>
      </c>
      <c r="P1773" s="55">
        <f>IF(A1773="",0,IF(AND(F1773="C&amp;T",COUNTIFS($A$2:A1773,A1773,$F$2:F1773,"C&amp;T")=1),1,0))</f>
        <v>0</v>
      </c>
    </row>
    <row r="1774" spans="1:16" x14ac:dyDescent="0.35">
      <c r="A1774" s="54" t="str">
        <f>IFERROR(IF(INDEX(SPOT_Import!$A$1:$Z$2488,1774,'Live Data'!$C$12)="","",INDEX(SPOT_Import!$A$1:$Z$2488,1774,'Live Data'!$C$12)),"")</f>
        <v/>
      </c>
      <c r="B1774" s="54" t="str">
        <f>IFERROR(IF(INDEX(SPOT_Import!$A$1:$Z$2488,1774,'Live Data'!$C$13)="","",INDEX(SPOT_Import!$A$1:$Z$2488,1774,'Live Data'!$C$13)),"")</f>
        <v/>
      </c>
      <c r="C1774" s="54" t="str">
        <f>IFERROR(IF(INDEX(SPOT_Import!$A$1:$Z$2488,1774,'Live Data'!$C$14)="","",INDEX(SPOT_Import!$A$1:$Z$2488,1774,'Live Data'!$C$14)),"")</f>
        <v/>
      </c>
      <c r="D1774" s="54" t="str">
        <f>IFERROR(IF(INDEX(SPOT_Import!$A$1:$Z$2488,1774,'Live Data'!$C$15)="","",INDEX(SPOT_Import!$A$1:$Z$2488,1774,'Live Data'!$C$15)),"")</f>
        <v/>
      </c>
      <c r="E1774" s="54" t="str">
        <f>IFERROR(IF(INDEX(SPOT_Import!$A$1:$Z$2488,1774,'Live Data'!$C$16)="","",INDEX(SPOT_Import!$A$1:$Z$2488,1774,'Live Data'!$C$16)),"")</f>
        <v/>
      </c>
      <c r="F1774" s="54" t="str">
        <f>IFERROR(IF(INDEX(SPOT_Import!$A$1:$Z$2488,1774,'Live Data'!$C$17)="","",INDEX(SPOT_Import!$A$1:$Z$2488,1774,'Live Data'!$C$17)),"")</f>
        <v/>
      </c>
      <c r="G1774" s="54" t="str">
        <f>IFERROR(IF(INDEX(SPOT_Import!$A$1:$Z$2488,1774,'Live Data'!$C$18)="","",INDEX(SPOT_Import!$A$1:$Z$2488,1774,'Live Data'!$C$18)),"")</f>
        <v/>
      </c>
      <c r="H1774" s="54" t="str">
        <f>IFERROR(IF(INDEX(SPOT_Import!$A$1:$Z$2488,1774,'Live Data'!$C$19)="","",INDEX(SPOT_Import!$A$1:$Z$2488,1774,'Live Data'!$C$19)),"")</f>
        <v/>
      </c>
      <c r="I1774" s="54" t="str">
        <f>IFERROR(IF(INDEX(SPOT_Import!$A$1:$Z$2488,1774,'Live Data'!$C$20)="","",INDEX(SPOT_Import!$A$1:$Z$2488,1774,'Live Data'!$C$20)),"")</f>
        <v/>
      </c>
      <c r="J1774" s="54" t="str">
        <f>IFERROR(IF(INDEX(SPOT_Import!$A$1:$Z$2488,1774,'Live Data'!$C$21)="","",INDEX(SPOT_Import!$A$1:$Z$2488,1774,'Live Data'!$C$21)),"")</f>
        <v/>
      </c>
      <c r="K1774" s="54" t="str">
        <f>IFERROR(IF(INDEX(SPOT_Import!$A$1:$Z$2488,1774,'Live Data'!$C$22)="","",INDEX(SPOT_Import!$A$1:$Z$2488,1774,'Live Data'!$C$22)),"")</f>
        <v/>
      </c>
      <c r="L1774" s="55" t="str">
        <f t="shared" si="54"/>
        <v/>
      </c>
      <c r="M1774" s="55" t="str">
        <f t="shared" si="55"/>
        <v/>
      </c>
      <c r="N1774" s="55" t="str">
        <f>IF(A1774="","",IFERROR(INDEX('Cluster Map'!$A$4:$A$38,MATCH(M1774,'Cluster Map'!$B$4:$B$38,0)),"Unmapped"))</f>
        <v/>
      </c>
      <c r="O1774" s="55">
        <f>IF(A1774="",0,IF(COUNTIFS($A$2:A1774,A1774,$F$2:F1774,F1774,$L$2:L1774,L1774)=1,1,0))</f>
        <v>0</v>
      </c>
      <c r="P1774" s="55">
        <f>IF(A1774="",0,IF(AND(F1774="C&amp;T",COUNTIFS($A$2:A1774,A1774,$F$2:F1774,"C&amp;T")=1),1,0))</f>
        <v>0</v>
      </c>
    </row>
    <row r="1775" spans="1:16" x14ac:dyDescent="0.35">
      <c r="A1775" s="54" t="str">
        <f>IFERROR(IF(INDEX(SPOT_Import!$A$1:$Z$2488,1775,'Live Data'!$C$12)="","",INDEX(SPOT_Import!$A$1:$Z$2488,1775,'Live Data'!$C$12)),"")</f>
        <v/>
      </c>
      <c r="B1775" s="54" t="str">
        <f>IFERROR(IF(INDEX(SPOT_Import!$A$1:$Z$2488,1775,'Live Data'!$C$13)="","",INDEX(SPOT_Import!$A$1:$Z$2488,1775,'Live Data'!$C$13)),"")</f>
        <v/>
      </c>
      <c r="C1775" s="54" t="str">
        <f>IFERROR(IF(INDEX(SPOT_Import!$A$1:$Z$2488,1775,'Live Data'!$C$14)="","",INDEX(SPOT_Import!$A$1:$Z$2488,1775,'Live Data'!$C$14)),"")</f>
        <v/>
      </c>
      <c r="D1775" s="54" t="str">
        <f>IFERROR(IF(INDEX(SPOT_Import!$A$1:$Z$2488,1775,'Live Data'!$C$15)="","",INDEX(SPOT_Import!$A$1:$Z$2488,1775,'Live Data'!$C$15)),"")</f>
        <v/>
      </c>
      <c r="E1775" s="54" t="str">
        <f>IFERROR(IF(INDEX(SPOT_Import!$A$1:$Z$2488,1775,'Live Data'!$C$16)="","",INDEX(SPOT_Import!$A$1:$Z$2488,1775,'Live Data'!$C$16)),"")</f>
        <v/>
      </c>
      <c r="F1775" s="54" t="str">
        <f>IFERROR(IF(INDEX(SPOT_Import!$A$1:$Z$2488,1775,'Live Data'!$C$17)="","",INDEX(SPOT_Import!$A$1:$Z$2488,1775,'Live Data'!$C$17)),"")</f>
        <v/>
      </c>
      <c r="G1775" s="54" t="str">
        <f>IFERROR(IF(INDEX(SPOT_Import!$A$1:$Z$2488,1775,'Live Data'!$C$18)="","",INDEX(SPOT_Import!$A$1:$Z$2488,1775,'Live Data'!$C$18)),"")</f>
        <v/>
      </c>
      <c r="H1775" s="54" t="str">
        <f>IFERROR(IF(INDEX(SPOT_Import!$A$1:$Z$2488,1775,'Live Data'!$C$19)="","",INDEX(SPOT_Import!$A$1:$Z$2488,1775,'Live Data'!$C$19)),"")</f>
        <v/>
      </c>
      <c r="I1775" s="54" t="str">
        <f>IFERROR(IF(INDEX(SPOT_Import!$A$1:$Z$2488,1775,'Live Data'!$C$20)="","",INDEX(SPOT_Import!$A$1:$Z$2488,1775,'Live Data'!$C$20)),"")</f>
        <v/>
      </c>
      <c r="J1775" s="54" t="str">
        <f>IFERROR(IF(INDEX(SPOT_Import!$A$1:$Z$2488,1775,'Live Data'!$C$21)="","",INDEX(SPOT_Import!$A$1:$Z$2488,1775,'Live Data'!$C$21)),"")</f>
        <v/>
      </c>
      <c r="K1775" s="54" t="str">
        <f>IFERROR(IF(INDEX(SPOT_Import!$A$1:$Z$2488,1775,'Live Data'!$C$22)="","",INDEX(SPOT_Import!$A$1:$Z$2488,1775,'Live Data'!$C$22)),"")</f>
        <v/>
      </c>
      <c r="L1775" s="55" t="str">
        <f t="shared" si="54"/>
        <v/>
      </c>
      <c r="M1775" s="55" t="str">
        <f t="shared" si="55"/>
        <v/>
      </c>
      <c r="N1775" s="55" t="str">
        <f>IF(A1775="","",IFERROR(INDEX('Cluster Map'!$A$4:$A$38,MATCH(M1775,'Cluster Map'!$B$4:$B$38,0)),"Unmapped"))</f>
        <v/>
      </c>
      <c r="O1775" s="55">
        <f>IF(A1775="",0,IF(COUNTIFS($A$2:A1775,A1775,$F$2:F1775,F1775,$L$2:L1775,L1775)=1,1,0))</f>
        <v>0</v>
      </c>
      <c r="P1775" s="55">
        <f>IF(A1775="",0,IF(AND(F1775="C&amp;T",COUNTIFS($A$2:A1775,A1775,$F$2:F1775,"C&amp;T")=1),1,0))</f>
        <v>0</v>
      </c>
    </row>
    <row r="1776" spans="1:16" x14ac:dyDescent="0.35">
      <c r="A1776" s="54" t="str">
        <f>IFERROR(IF(INDEX(SPOT_Import!$A$1:$Z$2488,1776,'Live Data'!$C$12)="","",INDEX(SPOT_Import!$A$1:$Z$2488,1776,'Live Data'!$C$12)),"")</f>
        <v/>
      </c>
      <c r="B1776" s="54" t="str">
        <f>IFERROR(IF(INDEX(SPOT_Import!$A$1:$Z$2488,1776,'Live Data'!$C$13)="","",INDEX(SPOT_Import!$A$1:$Z$2488,1776,'Live Data'!$C$13)),"")</f>
        <v/>
      </c>
      <c r="C1776" s="54" t="str">
        <f>IFERROR(IF(INDEX(SPOT_Import!$A$1:$Z$2488,1776,'Live Data'!$C$14)="","",INDEX(SPOT_Import!$A$1:$Z$2488,1776,'Live Data'!$C$14)),"")</f>
        <v/>
      </c>
      <c r="D1776" s="54" t="str">
        <f>IFERROR(IF(INDEX(SPOT_Import!$A$1:$Z$2488,1776,'Live Data'!$C$15)="","",INDEX(SPOT_Import!$A$1:$Z$2488,1776,'Live Data'!$C$15)),"")</f>
        <v/>
      </c>
      <c r="E1776" s="54" t="str">
        <f>IFERROR(IF(INDEX(SPOT_Import!$A$1:$Z$2488,1776,'Live Data'!$C$16)="","",INDEX(SPOT_Import!$A$1:$Z$2488,1776,'Live Data'!$C$16)),"")</f>
        <v/>
      </c>
      <c r="F1776" s="54" t="str">
        <f>IFERROR(IF(INDEX(SPOT_Import!$A$1:$Z$2488,1776,'Live Data'!$C$17)="","",INDEX(SPOT_Import!$A$1:$Z$2488,1776,'Live Data'!$C$17)),"")</f>
        <v/>
      </c>
      <c r="G1776" s="54" t="str">
        <f>IFERROR(IF(INDEX(SPOT_Import!$A$1:$Z$2488,1776,'Live Data'!$C$18)="","",INDEX(SPOT_Import!$A$1:$Z$2488,1776,'Live Data'!$C$18)),"")</f>
        <v/>
      </c>
      <c r="H1776" s="54" t="str">
        <f>IFERROR(IF(INDEX(SPOT_Import!$A$1:$Z$2488,1776,'Live Data'!$C$19)="","",INDEX(SPOT_Import!$A$1:$Z$2488,1776,'Live Data'!$C$19)),"")</f>
        <v/>
      </c>
      <c r="I1776" s="54" t="str">
        <f>IFERROR(IF(INDEX(SPOT_Import!$A$1:$Z$2488,1776,'Live Data'!$C$20)="","",INDEX(SPOT_Import!$A$1:$Z$2488,1776,'Live Data'!$C$20)),"")</f>
        <v/>
      </c>
      <c r="J1776" s="54" t="str">
        <f>IFERROR(IF(INDEX(SPOT_Import!$A$1:$Z$2488,1776,'Live Data'!$C$21)="","",INDEX(SPOT_Import!$A$1:$Z$2488,1776,'Live Data'!$C$21)),"")</f>
        <v/>
      </c>
      <c r="K1776" s="54" t="str">
        <f>IFERROR(IF(INDEX(SPOT_Import!$A$1:$Z$2488,1776,'Live Data'!$C$22)="","",INDEX(SPOT_Import!$A$1:$Z$2488,1776,'Live Data'!$C$22)),"")</f>
        <v/>
      </c>
      <c r="L1776" s="55" t="str">
        <f t="shared" si="54"/>
        <v/>
      </c>
      <c r="M1776" s="55" t="str">
        <f t="shared" si="55"/>
        <v/>
      </c>
      <c r="N1776" s="55" t="str">
        <f>IF(A1776="","",IFERROR(INDEX('Cluster Map'!$A$4:$A$38,MATCH(M1776,'Cluster Map'!$B$4:$B$38,0)),"Unmapped"))</f>
        <v/>
      </c>
      <c r="O1776" s="55">
        <f>IF(A1776="",0,IF(COUNTIFS($A$2:A1776,A1776,$F$2:F1776,F1776,$L$2:L1776,L1776)=1,1,0))</f>
        <v>0</v>
      </c>
      <c r="P1776" s="55">
        <f>IF(A1776="",0,IF(AND(F1776="C&amp;T",COUNTIFS($A$2:A1776,A1776,$F$2:F1776,"C&amp;T")=1),1,0))</f>
        <v>0</v>
      </c>
    </row>
    <row r="1777" spans="1:16" x14ac:dyDescent="0.35">
      <c r="A1777" s="54" t="str">
        <f>IFERROR(IF(INDEX(SPOT_Import!$A$1:$Z$2488,1777,'Live Data'!$C$12)="","",INDEX(SPOT_Import!$A$1:$Z$2488,1777,'Live Data'!$C$12)),"")</f>
        <v/>
      </c>
      <c r="B1777" s="54" t="str">
        <f>IFERROR(IF(INDEX(SPOT_Import!$A$1:$Z$2488,1777,'Live Data'!$C$13)="","",INDEX(SPOT_Import!$A$1:$Z$2488,1777,'Live Data'!$C$13)),"")</f>
        <v/>
      </c>
      <c r="C1777" s="54" t="str">
        <f>IFERROR(IF(INDEX(SPOT_Import!$A$1:$Z$2488,1777,'Live Data'!$C$14)="","",INDEX(SPOT_Import!$A$1:$Z$2488,1777,'Live Data'!$C$14)),"")</f>
        <v/>
      </c>
      <c r="D1777" s="54" t="str">
        <f>IFERROR(IF(INDEX(SPOT_Import!$A$1:$Z$2488,1777,'Live Data'!$C$15)="","",INDEX(SPOT_Import!$A$1:$Z$2488,1777,'Live Data'!$C$15)),"")</f>
        <v/>
      </c>
      <c r="E1777" s="54" t="str">
        <f>IFERROR(IF(INDEX(SPOT_Import!$A$1:$Z$2488,1777,'Live Data'!$C$16)="","",INDEX(SPOT_Import!$A$1:$Z$2488,1777,'Live Data'!$C$16)),"")</f>
        <v/>
      </c>
      <c r="F1777" s="54" t="str">
        <f>IFERROR(IF(INDEX(SPOT_Import!$A$1:$Z$2488,1777,'Live Data'!$C$17)="","",INDEX(SPOT_Import!$A$1:$Z$2488,1777,'Live Data'!$C$17)),"")</f>
        <v/>
      </c>
      <c r="G1777" s="54" t="str">
        <f>IFERROR(IF(INDEX(SPOT_Import!$A$1:$Z$2488,1777,'Live Data'!$C$18)="","",INDEX(SPOT_Import!$A$1:$Z$2488,1777,'Live Data'!$C$18)),"")</f>
        <v/>
      </c>
      <c r="H1777" s="54" t="str">
        <f>IFERROR(IF(INDEX(SPOT_Import!$A$1:$Z$2488,1777,'Live Data'!$C$19)="","",INDEX(SPOT_Import!$A$1:$Z$2488,1777,'Live Data'!$C$19)),"")</f>
        <v/>
      </c>
      <c r="I1777" s="54" t="str">
        <f>IFERROR(IF(INDEX(SPOT_Import!$A$1:$Z$2488,1777,'Live Data'!$C$20)="","",INDEX(SPOT_Import!$A$1:$Z$2488,1777,'Live Data'!$C$20)),"")</f>
        <v/>
      </c>
      <c r="J1777" s="54" t="str">
        <f>IFERROR(IF(INDEX(SPOT_Import!$A$1:$Z$2488,1777,'Live Data'!$C$21)="","",INDEX(SPOT_Import!$A$1:$Z$2488,1777,'Live Data'!$C$21)),"")</f>
        <v/>
      </c>
      <c r="K1777" s="54" t="str">
        <f>IFERROR(IF(INDEX(SPOT_Import!$A$1:$Z$2488,1777,'Live Data'!$C$22)="","",INDEX(SPOT_Import!$A$1:$Z$2488,1777,'Live Data'!$C$22)),"")</f>
        <v/>
      </c>
      <c r="L1777" s="55" t="str">
        <f t="shared" si="54"/>
        <v/>
      </c>
      <c r="M1777" s="55" t="str">
        <f t="shared" si="55"/>
        <v/>
      </c>
      <c r="N1777" s="55" t="str">
        <f>IF(A1777="","",IFERROR(INDEX('Cluster Map'!$A$4:$A$38,MATCH(M1777,'Cluster Map'!$B$4:$B$38,0)),"Unmapped"))</f>
        <v/>
      </c>
      <c r="O1777" s="55">
        <f>IF(A1777="",0,IF(COUNTIFS($A$2:A1777,A1777,$F$2:F1777,F1777,$L$2:L1777,L1777)=1,1,0))</f>
        <v>0</v>
      </c>
      <c r="P1777" s="55">
        <f>IF(A1777="",0,IF(AND(F1777="C&amp;T",COUNTIFS($A$2:A1777,A1777,$F$2:F1777,"C&amp;T")=1),1,0))</f>
        <v>0</v>
      </c>
    </row>
    <row r="1778" spans="1:16" x14ac:dyDescent="0.35">
      <c r="A1778" s="54" t="str">
        <f>IFERROR(IF(INDEX(SPOT_Import!$A$1:$Z$2488,1778,'Live Data'!$C$12)="","",INDEX(SPOT_Import!$A$1:$Z$2488,1778,'Live Data'!$C$12)),"")</f>
        <v/>
      </c>
      <c r="B1778" s="54" t="str">
        <f>IFERROR(IF(INDEX(SPOT_Import!$A$1:$Z$2488,1778,'Live Data'!$C$13)="","",INDEX(SPOT_Import!$A$1:$Z$2488,1778,'Live Data'!$C$13)),"")</f>
        <v/>
      </c>
      <c r="C1778" s="54" t="str">
        <f>IFERROR(IF(INDEX(SPOT_Import!$A$1:$Z$2488,1778,'Live Data'!$C$14)="","",INDEX(SPOT_Import!$A$1:$Z$2488,1778,'Live Data'!$C$14)),"")</f>
        <v/>
      </c>
      <c r="D1778" s="54" t="str">
        <f>IFERROR(IF(INDEX(SPOT_Import!$A$1:$Z$2488,1778,'Live Data'!$C$15)="","",INDEX(SPOT_Import!$A$1:$Z$2488,1778,'Live Data'!$C$15)),"")</f>
        <v/>
      </c>
      <c r="E1778" s="54" t="str">
        <f>IFERROR(IF(INDEX(SPOT_Import!$A$1:$Z$2488,1778,'Live Data'!$C$16)="","",INDEX(SPOT_Import!$A$1:$Z$2488,1778,'Live Data'!$C$16)),"")</f>
        <v/>
      </c>
      <c r="F1778" s="54" t="str">
        <f>IFERROR(IF(INDEX(SPOT_Import!$A$1:$Z$2488,1778,'Live Data'!$C$17)="","",INDEX(SPOT_Import!$A$1:$Z$2488,1778,'Live Data'!$C$17)),"")</f>
        <v/>
      </c>
      <c r="G1778" s="54" t="str">
        <f>IFERROR(IF(INDEX(SPOT_Import!$A$1:$Z$2488,1778,'Live Data'!$C$18)="","",INDEX(SPOT_Import!$A$1:$Z$2488,1778,'Live Data'!$C$18)),"")</f>
        <v/>
      </c>
      <c r="H1778" s="54" t="str">
        <f>IFERROR(IF(INDEX(SPOT_Import!$A$1:$Z$2488,1778,'Live Data'!$C$19)="","",INDEX(SPOT_Import!$A$1:$Z$2488,1778,'Live Data'!$C$19)),"")</f>
        <v/>
      </c>
      <c r="I1778" s="54" t="str">
        <f>IFERROR(IF(INDEX(SPOT_Import!$A$1:$Z$2488,1778,'Live Data'!$C$20)="","",INDEX(SPOT_Import!$A$1:$Z$2488,1778,'Live Data'!$C$20)),"")</f>
        <v/>
      </c>
      <c r="J1778" s="54" t="str">
        <f>IFERROR(IF(INDEX(SPOT_Import!$A$1:$Z$2488,1778,'Live Data'!$C$21)="","",INDEX(SPOT_Import!$A$1:$Z$2488,1778,'Live Data'!$C$21)),"")</f>
        <v/>
      </c>
      <c r="K1778" s="54" t="str">
        <f>IFERROR(IF(INDEX(SPOT_Import!$A$1:$Z$2488,1778,'Live Data'!$C$22)="","",INDEX(SPOT_Import!$A$1:$Z$2488,1778,'Live Data'!$C$22)),"")</f>
        <v/>
      </c>
      <c r="L1778" s="55" t="str">
        <f t="shared" si="54"/>
        <v/>
      </c>
      <c r="M1778" s="55" t="str">
        <f t="shared" si="55"/>
        <v/>
      </c>
      <c r="N1778" s="55" t="str">
        <f>IF(A1778="","",IFERROR(INDEX('Cluster Map'!$A$4:$A$38,MATCH(M1778,'Cluster Map'!$B$4:$B$38,0)),"Unmapped"))</f>
        <v/>
      </c>
      <c r="O1778" s="55">
        <f>IF(A1778="",0,IF(COUNTIFS($A$2:A1778,A1778,$F$2:F1778,F1778,$L$2:L1778,L1778)=1,1,0))</f>
        <v>0</v>
      </c>
      <c r="P1778" s="55">
        <f>IF(A1778="",0,IF(AND(F1778="C&amp;T",COUNTIFS($A$2:A1778,A1778,$F$2:F1778,"C&amp;T")=1),1,0))</f>
        <v>0</v>
      </c>
    </row>
    <row r="1779" spans="1:16" x14ac:dyDescent="0.35">
      <c r="A1779" s="54" t="str">
        <f>IFERROR(IF(INDEX(SPOT_Import!$A$1:$Z$2488,1779,'Live Data'!$C$12)="","",INDEX(SPOT_Import!$A$1:$Z$2488,1779,'Live Data'!$C$12)),"")</f>
        <v/>
      </c>
      <c r="B1779" s="54" t="str">
        <f>IFERROR(IF(INDEX(SPOT_Import!$A$1:$Z$2488,1779,'Live Data'!$C$13)="","",INDEX(SPOT_Import!$A$1:$Z$2488,1779,'Live Data'!$C$13)),"")</f>
        <v/>
      </c>
      <c r="C1779" s="54" t="str">
        <f>IFERROR(IF(INDEX(SPOT_Import!$A$1:$Z$2488,1779,'Live Data'!$C$14)="","",INDEX(SPOT_Import!$A$1:$Z$2488,1779,'Live Data'!$C$14)),"")</f>
        <v/>
      </c>
      <c r="D1779" s="54" t="str">
        <f>IFERROR(IF(INDEX(SPOT_Import!$A$1:$Z$2488,1779,'Live Data'!$C$15)="","",INDEX(SPOT_Import!$A$1:$Z$2488,1779,'Live Data'!$C$15)),"")</f>
        <v/>
      </c>
      <c r="E1779" s="54" t="str">
        <f>IFERROR(IF(INDEX(SPOT_Import!$A$1:$Z$2488,1779,'Live Data'!$C$16)="","",INDEX(SPOT_Import!$A$1:$Z$2488,1779,'Live Data'!$C$16)),"")</f>
        <v/>
      </c>
      <c r="F1779" s="54" t="str">
        <f>IFERROR(IF(INDEX(SPOT_Import!$A$1:$Z$2488,1779,'Live Data'!$C$17)="","",INDEX(SPOT_Import!$A$1:$Z$2488,1779,'Live Data'!$C$17)),"")</f>
        <v/>
      </c>
      <c r="G1779" s="54" t="str">
        <f>IFERROR(IF(INDEX(SPOT_Import!$A$1:$Z$2488,1779,'Live Data'!$C$18)="","",INDEX(SPOT_Import!$A$1:$Z$2488,1779,'Live Data'!$C$18)),"")</f>
        <v/>
      </c>
      <c r="H1779" s="54" t="str">
        <f>IFERROR(IF(INDEX(SPOT_Import!$A$1:$Z$2488,1779,'Live Data'!$C$19)="","",INDEX(SPOT_Import!$A$1:$Z$2488,1779,'Live Data'!$C$19)),"")</f>
        <v/>
      </c>
      <c r="I1779" s="54" t="str">
        <f>IFERROR(IF(INDEX(SPOT_Import!$A$1:$Z$2488,1779,'Live Data'!$C$20)="","",INDEX(SPOT_Import!$A$1:$Z$2488,1779,'Live Data'!$C$20)),"")</f>
        <v/>
      </c>
      <c r="J1779" s="54" t="str">
        <f>IFERROR(IF(INDEX(SPOT_Import!$A$1:$Z$2488,1779,'Live Data'!$C$21)="","",INDEX(SPOT_Import!$A$1:$Z$2488,1779,'Live Data'!$C$21)),"")</f>
        <v/>
      </c>
      <c r="K1779" s="54" t="str">
        <f>IFERROR(IF(INDEX(SPOT_Import!$A$1:$Z$2488,1779,'Live Data'!$C$22)="","",INDEX(SPOT_Import!$A$1:$Z$2488,1779,'Live Data'!$C$22)),"")</f>
        <v/>
      </c>
      <c r="L1779" s="55" t="str">
        <f t="shared" si="54"/>
        <v/>
      </c>
      <c r="M1779" s="55" t="str">
        <f t="shared" si="55"/>
        <v/>
      </c>
      <c r="N1779" s="55" t="str">
        <f>IF(A1779="","",IFERROR(INDEX('Cluster Map'!$A$4:$A$38,MATCH(M1779,'Cluster Map'!$B$4:$B$38,0)),"Unmapped"))</f>
        <v/>
      </c>
      <c r="O1779" s="55">
        <f>IF(A1779="",0,IF(COUNTIFS($A$2:A1779,A1779,$F$2:F1779,F1779,$L$2:L1779,L1779)=1,1,0))</f>
        <v>0</v>
      </c>
      <c r="P1779" s="55">
        <f>IF(A1779="",0,IF(AND(F1779="C&amp;T",COUNTIFS($A$2:A1779,A1779,$F$2:F1779,"C&amp;T")=1),1,0))</f>
        <v>0</v>
      </c>
    </row>
    <row r="1780" spans="1:16" x14ac:dyDescent="0.35">
      <c r="A1780" s="54" t="str">
        <f>IFERROR(IF(INDEX(SPOT_Import!$A$1:$Z$2488,1780,'Live Data'!$C$12)="","",INDEX(SPOT_Import!$A$1:$Z$2488,1780,'Live Data'!$C$12)),"")</f>
        <v/>
      </c>
      <c r="B1780" s="54" t="str">
        <f>IFERROR(IF(INDEX(SPOT_Import!$A$1:$Z$2488,1780,'Live Data'!$C$13)="","",INDEX(SPOT_Import!$A$1:$Z$2488,1780,'Live Data'!$C$13)),"")</f>
        <v/>
      </c>
      <c r="C1780" s="54" t="str">
        <f>IFERROR(IF(INDEX(SPOT_Import!$A$1:$Z$2488,1780,'Live Data'!$C$14)="","",INDEX(SPOT_Import!$A$1:$Z$2488,1780,'Live Data'!$C$14)),"")</f>
        <v/>
      </c>
      <c r="D1780" s="54" t="str">
        <f>IFERROR(IF(INDEX(SPOT_Import!$A$1:$Z$2488,1780,'Live Data'!$C$15)="","",INDEX(SPOT_Import!$A$1:$Z$2488,1780,'Live Data'!$C$15)),"")</f>
        <v/>
      </c>
      <c r="E1780" s="54" t="str">
        <f>IFERROR(IF(INDEX(SPOT_Import!$A$1:$Z$2488,1780,'Live Data'!$C$16)="","",INDEX(SPOT_Import!$A$1:$Z$2488,1780,'Live Data'!$C$16)),"")</f>
        <v/>
      </c>
      <c r="F1780" s="54" t="str">
        <f>IFERROR(IF(INDEX(SPOT_Import!$A$1:$Z$2488,1780,'Live Data'!$C$17)="","",INDEX(SPOT_Import!$A$1:$Z$2488,1780,'Live Data'!$C$17)),"")</f>
        <v/>
      </c>
      <c r="G1780" s="54" t="str">
        <f>IFERROR(IF(INDEX(SPOT_Import!$A$1:$Z$2488,1780,'Live Data'!$C$18)="","",INDEX(SPOT_Import!$A$1:$Z$2488,1780,'Live Data'!$C$18)),"")</f>
        <v/>
      </c>
      <c r="H1780" s="54" t="str">
        <f>IFERROR(IF(INDEX(SPOT_Import!$A$1:$Z$2488,1780,'Live Data'!$C$19)="","",INDEX(SPOT_Import!$A$1:$Z$2488,1780,'Live Data'!$C$19)),"")</f>
        <v/>
      </c>
      <c r="I1780" s="54" t="str">
        <f>IFERROR(IF(INDEX(SPOT_Import!$A$1:$Z$2488,1780,'Live Data'!$C$20)="","",INDEX(SPOT_Import!$A$1:$Z$2488,1780,'Live Data'!$C$20)),"")</f>
        <v/>
      </c>
      <c r="J1780" s="54" t="str">
        <f>IFERROR(IF(INDEX(SPOT_Import!$A$1:$Z$2488,1780,'Live Data'!$C$21)="","",INDEX(SPOT_Import!$A$1:$Z$2488,1780,'Live Data'!$C$21)),"")</f>
        <v/>
      </c>
      <c r="K1780" s="54" t="str">
        <f>IFERROR(IF(INDEX(SPOT_Import!$A$1:$Z$2488,1780,'Live Data'!$C$22)="","",INDEX(SPOT_Import!$A$1:$Z$2488,1780,'Live Data'!$C$22)),"")</f>
        <v/>
      </c>
      <c r="L1780" s="55" t="str">
        <f t="shared" si="54"/>
        <v/>
      </c>
      <c r="M1780" s="55" t="str">
        <f t="shared" si="55"/>
        <v/>
      </c>
      <c r="N1780" s="55" t="str">
        <f>IF(A1780="","",IFERROR(INDEX('Cluster Map'!$A$4:$A$38,MATCH(M1780,'Cluster Map'!$B$4:$B$38,0)),"Unmapped"))</f>
        <v/>
      </c>
      <c r="O1780" s="55">
        <f>IF(A1780="",0,IF(COUNTIFS($A$2:A1780,A1780,$F$2:F1780,F1780,$L$2:L1780,L1780)=1,1,0))</f>
        <v>0</v>
      </c>
      <c r="P1780" s="55">
        <f>IF(A1780="",0,IF(AND(F1780="C&amp;T",COUNTIFS($A$2:A1780,A1780,$F$2:F1780,"C&amp;T")=1),1,0))</f>
        <v>0</v>
      </c>
    </row>
    <row r="1781" spans="1:16" x14ac:dyDescent="0.35">
      <c r="A1781" s="54" t="str">
        <f>IFERROR(IF(INDEX(SPOT_Import!$A$1:$Z$2488,1781,'Live Data'!$C$12)="","",INDEX(SPOT_Import!$A$1:$Z$2488,1781,'Live Data'!$C$12)),"")</f>
        <v/>
      </c>
      <c r="B1781" s="54" t="str">
        <f>IFERROR(IF(INDEX(SPOT_Import!$A$1:$Z$2488,1781,'Live Data'!$C$13)="","",INDEX(SPOT_Import!$A$1:$Z$2488,1781,'Live Data'!$C$13)),"")</f>
        <v/>
      </c>
      <c r="C1781" s="54" t="str">
        <f>IFERROR(IF(INDEX(SPOT_Import!$A$1:$Z$2488,1781,'Live Data'!$C$14)="","",INDEX(SPOT_Import!$A$1:$Z$2488,1781,'Live Data'!$C$14)),"")</f>
        <v/>
      </c>
      <c r="D1781" s="54" t="str">
        <f>IFERROR(IF(INDEX(SPOT_Import!$A$1:$Z$2488,1781,'Live Data'!$C$15)="","",INDEX(SPOT_Import!$A$1:$Z$2488,1781,'Live Data'!$C$15)),"")</f>
        <v/>
      </c>
      <c r="E1781" s="54" t="str">
        <f>IFERROR(IF(INDEX(SPOT_Import!$A$1:$Z$2488,1781,'Live Data'!$C$16)="","",INDEX(SPOT_Import!$A$1:$Z$2488,1781,'Live Data'!$C$16)),"")</f>
        <v/>
      </c>
      <c r="F1781" s="54" t="str">
        <f>IFERROR(IF(INDEX(SPOT_Import!$A$1:$Z$2488,1781,'Live Data'!$C$17)="","",INDEX(SPOT_Import!$A$1:$Z$2488,1781,'Live Data'!$C$17)),"")</f>
        <v/>
      </c>
      <c r="G1781" s="54" t="str">
        <f>IFERROR(IF(INDEX(SPOT_Import!$A$1:$Z$2488,1781,'Live Data'!$C$18)="","",INDEX(SPOT_Import!$A$1:$Z$2488,1781,'Live Data'!$C$18)),"")</f>
        <v/>
      </c>
      <c r="H1781" s="54" t="str">
        <f>IFERROR(IF(INDEX(SPOT_Import!$A$1:$Z$2488,1781,'Live Data'!$C$19)="","",INDEX(SPOT_Import!$A$1:$Z$2488,1781,'Live Data'!$C$19)),"")</f>
        <v/>
      </c>
      <c r="I1781" s="54" t="str">
        <f>IFERROR(IF(INDEX(SPOT_Import!$A$1:$Z$2488,1781,'Live Data'!$C$20)="","",INDEX(SPOT_Import!$A$1:$Z$2488,1781,'Live Data'!$C$20)),"")</f>
        <v/>
      </c>
      <c r="J1781" s="54" t="str">
        <f>IFERROR(IF(INDEX(SPOT_Import!$A$1:$Z$2488,1781,'Live Data'!$C$21)="","",INDEX(SPOT_Import!$A$1:$Z$2488,1781,'Live Data'!$C$21)),"")</f>
        <v/>
      </c>
      <c r="K1781" s="54" t="str">
        <f>IFERROR(IF(INDEX(SPOT_Import!$A$1:$Z$2488,1781,'Live Data'!$C$22)="","",INDEX(SPOT_Import!$A$1:$Z$2488,1781,'Live Data'!$C$22)),"")</f>
        <v/>
      </c>
      <c r="L1781" s="55" t="str">
        <f t="shared" si="54"/>
        <v/>
      </c>
      <c r="M1781" s="55" t="str">
        <f t="shared" si="55"/>
        <v/>
      </c>
      <c r="N1781" s="55" t="str">
        <f>IF(A1781="","",IFERROR(INDEX('Cluster Map'!$A$4:$A$38,MATCH(M1781,'Cluster Map'!$B$4:$B$38,0)),"Unmapped"))</f>
        <v/>
      </c>
      <c r="O1781" s="55">
        <f>IF(A1781="",0,IF(COUNTIFS($A$2:A1781,A1781,$F$2:F1781,F1781,$L$2:L1781,L1781)=1,1,0))</f>
        <v>0</v>
      </c>
      <c r="P1781" s="55">
        <f>IF(A1781="",0,IF(AND(F1781="C&amp;T",COUNTIFS($A$2:A1781,A1781,$F$2:F1781,"C&amp;T")=1),1,0))</f>
        <v>0</v>
      </c>
    </row>
    <row r="1782" spans="1:16" x14ac:dyDescent="0.35">
      <c r="A1782" s="54" t="str">
        <f>IFERROR(IF(INDEX(SPOT_Import!$A$1:$Z$2488,1782,'Live Data'!$C$12)="","",INDEX(SPOT_Import!$A$1:$Z$2488,1782,'Live Data'!$C$12)),"")</f>
        <v/>
      </c>
      <c r="B1782" s="54" t="str">
        <f>IFERROR(IF(INDEX(SPOT_Import!$A$1:$Z$2488,1782,'Live Data'!$C$13)="","",INDEX(SPOT_Import!$A$1:$Z$2488,1782,'Live Data'!$C$13)),"")</f>
        <v/>
      </c>
      <c r="C1782" s="54" t="str">
        <f>IFERROR(IF(INDEX(SPOT_Import!$A$1:$Z$2488,1782,'Live Data'!$C$14)="","",INDEX(SPOT_Import!$A$1:$Z$2488,1782,'Live Data'!$C$14)),"")</f>
        <v/>
      </c>
      <c r="D1782" s="54" t="str">
        <f>IFERROR(IF(INDEX(SPOT_Import!$A$1:$Z$2488,1782,'Live Data'!$C$15)="","",INDEX(SPOT_Import!$A$1:$Z$2488,1782,'Live Data'!$C$15)),"")</f>
        <v/>
      </c>
      <c r="E1782" s="54" t="str">
        <f>IFERROR(IF(INDEX(SPOT_Import!$A$1:$Z$2488,1782,'Live Data'!$C$16)="","",INDEX(SPOT_Import!$A$1:$Z$2488,1782,'Live Data'!$C$16)),"")</f>
        <v/>
      </c>
      <c r="F1782" s="54" t="str">
        <f>IFERROR(IF(INDEX(SPOT_Import!$A$1:$Z$2488,1782,'Live Data'!$C$17)="","",INDEX(SPOT_Import!$A$1:$Z$2488,1782,'Live Data'!$C$17)),"")</f>
        <v/>
      </c>
      <c r="G1782" s="54" t="str">
        <f>IFERROR(IF(INDEX(SPOT_Import!$A$1:$Z$2488,1782,'Live Data'!$C$18)="","",INDEX(SPOT_Import!$A$1:$Z$2488,1782,'Live Data'!$C$18)),"")</f>
        <v/>
      </c>
      <c r="H1782" s="54" t="str">
        <f>IFERROR(IF(INDEX(SPOT_Import!$A$1:$Z$2488,1782,'Live Data'!$C$19)="","",INDEX(SPOT_Import!$A$1:$Z$2488,1782,'Live Data'!$C$19)),"")</f>
        <v/>
      </c>
      <c r="I1782" s="54" t="str">
        <f>IFERROR(IF(INDEX(SPOT_Import!$A$1:$Z$2488,1782,'Live Data'!$C$20)="","",INDEX(SPOT_Import!$A$1:$Z$2488,1782,'Live Data'!$C$20)),"")</f>
        <v/>
      </c>
      <c r="J1782" s="54" t="str">
        <f>IFERROR(IF(INDEX(SPOT_Import!$A$1:$Z$2488,1782,'Live Data'!$C$21)="","",INDEX(SPOT_Import!$A$1:$Z$2488,1782,'Live Data'!$C$21)),"")</f>
        <v/>
      </c>
      <c r="K1782" s="54" t="str">
        <f>IFERROR(IF(INDEX(SPOT_Import!$A$1:$Z$2488,1782,'Live Data'!$C$22)="","",INDEX(SPOT_Import!$A$1:$Z$2488,1782,'Live Data'!$C$22)),"")</f>
        <v/>
      </c>
      <c r="L1782" s="55" t="str">
        <f t="shared" si="54"/>
        <v/>
      </c>
      <c r="M1782" s="55" t="str">
        <f t="shared" si="55"/>
        <v/>
      </c>
      <c r="N1782" s="55" t="str">
        <f>IF(A1782="","",IFERROR(INDEX('Cluster Map'!$A$4:$A$38,MATCH(M1782,'Cluster Map'!$B$4:$B$38,0)),"Unmapped"))</f>
        <v/>
      </c>
      <c r="O1782" s="55">
        <f>IF(A1782="",0,IF(COUNTIFS($A$2:A1782,A1782,$F$2:F1782,F1782,$L$2:L1782,L1782)=1,1,0))</f>
        <v>0</v>
      </c>
      <c r="P1782" s="55">
        <f>IF(A1782="",0,IF(AND(F1782="C&amp;T",COUNTIFS($A$2:A1782,A1782,$F$2:F1782,"C&amp;T")=1),1,0))</f>
        <v>0</v>
      </c>
    </row>
    <row r="1783" spans="1:16" x14ac:dyDescent="0.35">
      <c r="A1783" s="54" t="str">
        <f>IFERROR(IF(INDEX(SPOT_Import!$A$1:$Z$2488,1783,'Live Data'!$C$12)="","",INDEX(SPOT_Import!$A$1:$Z$2488,1783,'Live Data'!$C$12)),"")</f>
        <v/>
      </c>
      <c r="B1783" s="54" t="str">
        <f>IFERROR(IF(INDEX(SPOT_Import!$A$1:$Z$2488,1783,'Live Data'!$C$13)="","",INDEX(SPOT_Import!$A$1:$Z$2488,1783,'Live Data'!$C$13)),"")</f>
        <v/>
      </c>
      <c r="C1783" s="54" t="str">
        <f>IFERROR(IF(INDEX(SPOT_Import!$A$1:$Z$2488,1783,'Live Data'!$C$14)="","",INDEX(SPOT_Import!$A$1:$Z$2488,1783,'Live Data'!$C$14)),"")</f>
        <v/>
      </c>
      <c r="D1783" s="54" t="str">
        <f>IFERROR(IF(INDEX(SPOT_Import!$A$1:$Z$2488,1783,'Live Data'!$C$15)="","",INDEX(SPOT_Import!$A$1:$Z$2488,1783,'Live Data'!$C$15)),"")</f>
        <v/>
      </c>
      <c r="E1783" s="54" t="str">
        <f>IFERROR(IF(INDEX(SPOT_Import!$A$1:$Z$2488,1783,'Live Data'!$C$16)="","",INDEX(SPOT_Import!$A$1:$Z$2488,1783,'Live Data'!$C$16)),"")</f>
        <v/>
      </c>
      <c r="F1783" s="54" t="str">
        <f>IFERROR(IF(INDEX(SPOT_Import!$A$1:$Z$2488,1783,'Live Data'!$C$17)="","",INDEX(SPOT_Import!$A$1:$Z$2488,1783,'Live Data'!$C$17)),"")</f>
        <v/>
      </c>
      <c r="G1783" s="54" t="str">
        <f>IFERROR(IF(INDEX(SPOT_Import!$A$1:$Z$2488,1783,'Live Data'!$C$18)="","",INDEX(SPOT_Import!$A$1:$Z$2488,1783,'Live Data'!$C$18)),"")</f>
        <v/>
      </c>
      <c r="H1783" s="54" t="str">
        <f>IFERROR(IF(INDEX(SPOT_Import!$A$1:$Z$2488,1783,'Live Data'!$C$19)="","",INDEX(SPOT_Import!$A$1:$Z$2488,1783,'Live Data'!$C$19)),"")</f>
        <v/>
      </c>
      <c r="I1783" s="54" t="str">
        <f>IFERROR(IF(INDEX(SPOT_Import!$A$1:$Z$2488,1783,'Live Data'!$C$20)="","",INDEX(SPOT_Import!$A$1:$Z$2488,1783,'Live Data'!$C$20)),"")</f>
        <v/>
      </c>
      <c r="J1783" s="54" t="str">
        <f>IFERROR(IF(INDEX(SPOT_Import!$A$1:$Z$2488,1783,'Live Data'!$C$21)="","",INDEX(SPOT_Import!$A$1:$Z$2488,1783,'Live Data'!$C$21)),"")</f>
        <v/>
      </c>
      <c r="K1783" s="54" t="str">
        <f>IFERROR(IF(INDEX(SPOT_Import!$A$1:$Z$2488,1783,'Live Data'!$C$22)="","",INDEX(SPOT_Import!$A$1:$Z$2488,1783,'Live Data'!$C$22)),"")</f>
        <v/>
      </c>
      <c r="L1783" s="55" t="str">
        <f t="shared" si="54"/>
        <v/>
      </c>
      <c r="M1783" s="55" t="str">
        <f t="shared" si="55"/>
        <v/>
      </c>
      <c r="N1783" s="55" t="str">
        <f>IF(A1783="","",IFERROR(INDEX('Cluster Map'!$A$4:$A$38,MATCH(M1783,'Cluster Map'!$B$4:$B$38,0)),"Unmapped"))</f>
        <v/>
      </c>
      <c r="O1783" s="55">
        <f>IF(A1783="",0,IF(COUNTIFS($A$2:A1783,A1783,$F$2:F1783,F1783,$L$2:L1783,L1783)=1,1,0))</f>
        <v>0</v>
      </c>
      <c r="P1783" s="55">
        <f>IF(A1783="",0,IF(AND(F1783="C&amp;T",COUNTIFS($A$2:A1783,A1783,$F$2:F1783,"C&amp;T")=1),1,0))</f>
        <v>0</v>
      </c>
    </row>
    <row r="1784" spans="1:16" x14ac:dyDescent="0.35">
      <c r="A1784" s="54" t="str">
        <f>IFERROR(IF(INDEX(SPOT_Import!$A$1:$Z$2488,1784,'Live Data'!$C$12)="","",INDEX(SPOT_Import!$A$1:$Z$2488,1784,'Live Data'!$C$12)),"")</f>
        <v/>
      </c>
      <c r="B1784" s="54" t="str">
        <f>IFERROR(IF(INDEX(SPOT_Import!$A$1:$Z$2488,1784,'Live Data'!$C$13)="","",INDEX(SPOT_Import!$A$1:$Z$2488,1784,'Live Data'!$C$13)),"")</f>
        <v/>
      </c>
      <c r="C1784" s="54" t="str">
        <f>IFERROR(IF(INDEX(SPOT_Import!$A$1:$Z$2488,1784,'Live Data'!$C$14)="","",INDEX(SPOT_Import!$A$1:$Z$2488,1784,'Live Data'!$C$14)),"")</f>
        <v/>
      </c>
      <c r="D1784" s="54" t="str">
        <f>IFERROR(IF(INDEX(SPOT_Import!$A$1:$Z$2488,1784,'Live Data'!$C$15)="","",INDEX(SPOT_Import!$A$1:$Z$2488,1784,'Live Data'!$C$15)),"")</f>
        <v/>
      </c>
      <c r="E1784" s="54" t="str">
        <f>IFERROR(IF(INDEX(SPOT_Import!$A$1:$Z$2488,1784,'Live Data'!$C$16)="","",INDEX(SPOT_Import!$A$1:$Z$2488,1784,'Live Data'!$C$16)),"")</f>
        <v/>
      </c>
      <c r="F1784" s="54" t="str">
        <f>IFERROR(IF(INDEX(SPOT_Import!$A$1:$Z$2488,1784,'Live Data'!$C$17)="","",INDEX(SPOT_Import!$A$1:$Z$2488,1784,'Live Data'!$C$17)),"")</f>
        <v/>
      </c>
      <c r="G1784" s="54" t="str">
        <f>IFERROR(IF(INDEX(SPOT_Import!$A$1:$Z$2488,1784,'Live Data'!$C$18)="","",INDEX(SPOT_Import!$A$1:$Z$2488,1784,'Live Data'!$C$18)),"")</f>
        <v/>
      </c>
      <c r="H1784" s="54" t="str">
        <f>IFERROR(IF(INDEX(SPOT_Import!$A$1:$Z$2488,1784,'Live Data'!$C$19)="","",INDEX(SPOT_Import!$A$1:$Z$2488,1784,'Live Data'!$C$19)),"")</f>
        <v/>
      </c>
      <c r="I1784" s="54" t="str">
        <f>IFERROR(IF(INDEX(SPOT_Import!$A$1:$Z$2488,1784,'Live Data'!$C$20)="","",INDEX(SPOT_Import!$A$1:$Z$2488,1784,'Live Data'!$C$20)),"")</f>
        <v/>
      </c>
      <c r="J1784" s="54" t="str">
        <f>IFERROR(IF(INDEX(SPOT_Import!$A$1:$Z$2488,1784,'Live Data'!$C$21)="","",INDEX(SPOT_Import!$A$1:$Z$2488,1784,'Live Data'!$C$21)),"")</f>
        <v/>
      </c>
      <c r="K1784" s="54" t="str">
        <f>IFERROR(IF(INDEX(SPOT_Import!$A$1:$Z$2488,1784,'Live Data'!$C$22)="","",INDEX(SPOT_Import!$A$1:$Z$2488,1784,'Live Data'!$C$22)),"")</f>
        <v/>
      </c>
      <c r="L1784" s="55" t="str">
        <f t="shared" si="54"/>
        <v/>
      </c>
      <c r="M1784" s="55" t="str">
        <f t="shared" si="55"/>
        <v/>
      </c>
      <c r="N1784" s="55" t="str">
        <f>IF(A1784="","",IFERROR(INDEX('Cluster Map'!$A$4:$A$38,MATCH(M1784,'Cluster Map'!$B$4:$B$38,0)),"Unmapped"))</f>
        <v/>
      </c>
      <c r="O1784" s="55">
        <f>IF(A1784="",0,IF(COUNTIFS($A$2:A1784,A1784,$F$2:F1784,F1784,$L$2:L1784,L1784)=1,1,0))</f>
        <v>0</v>
      </c>
      <c r="P1784" s="55">
        <f>IF(A1784="",0,IF(AND(F1784="C&amp;T",COUNTIFS($A$2:A1784,A1784,$F$2:F1784,"C&amp;T")=1),1,0))</f>
        <v>0</v>
      </c>
    </row>
    <row r="1785" spans="1:16" x14ac:dyDescent="0.35">
      <c r="A1785" s="54" t="str">
        <f>IFERROR(IF(INDEX(SPOT_Import!$A$1:$Z$2488,1785,'Live Data'!$C$12)="","",INDEX(SPOT_Import!$A$1:$Z$2488,1785,'Live Data'!$C$12)),"")</f>
        <v/>
      </c>
      <c r="B1785" s="54" t="str">
        <f>IFERROR(IF(INDEX(SPOT_Import!$A$1:$Z$2488,1785,'Live Data'!$C$13)="","",INDEX(SPOT_Import!$A$1:$Z$2488,1785,'Live Data'!$C$13)),"")</f>
        <v/>
      </c>
      <c r="C1785" s="54" t="str">
        <f>IFERROR(IF(INDEX(SPOT_Import!$A$1:$Z$2488,1785,'Live Data'!$C$14)="","",INDEX(SPOT_Import!$A$1:$Z$2488,1785,'Live Data'!$C$14)),"")</f>
        <v/>
      </c>
      <c r="D1785" s="54" t="str">
        <f>IFERROR(IF(INDEX(SPOT_Import!$A$1:$Z$2488,1785,'Live Data'!$C$15)="","",INDEX(SPOT_Import!$A$1:$Z$2488,1785,'Live Data'!$C$15)),"")</f>
        <v/>
      </c>
      <c r="E1785" s="54" t="str">
        <f>IFERROR(IF(INDEX(SPOT_Import!$A$1:$Z$2488,1785,'Live Data'!$C$16)="","",INDEX(SPOT_Import!$A$1:$Z$2488,1785,'Live Data'!$C$16)),"")</f>
        <v/>
      </c>
      <c r="F1785" s="54" t="str">
        <f>IFERROR(IF(INDEX(SPOT_Import!$A$1:$Z$2488,1785,'Live Data'!$C$17)="","",INDEX(SPOT_Import!$A$1:$Z$2488,1785,'Live Data'!$C$17)),"")</f>
        <v/>
      </c>
      <c r="G1785" s="54" t="str">
        <f>IFERROR(IF(INDEX(SPOT_Import!$A$1:$Z$2488,1785,'Live Data'!$C$18)="","",INDEX(SPOT_Import!$A$1:$Z$2488,1785,'Live Data'!$C$18)),"")</f>
        <v/>
      </c>
      <c r="H1785" s="54" t="str">
        <f>IFERROR(IF(INDEX(SPOT_Import!$A$1:$Z$2488,1785,'Live Data'!$C$19)="","",INDEX(SPOT_Import!$A$1:$Z$2488,1785,'Live Data'!$C$19)),"")</f>
        <v/>
      </c>
      <c r="I1785" s="54" t="str">
        <f>IFERROR(IF(INDEX(SPOT_Import!$A$1:$Z$2488,1785,'Live Data'!$C$20)="","",INDEX(SPOT_Import!$A$1:$Z$2488,1785,'Live Data'!$C$20)),"")</f>
        <v/>
      </c>
      <c r="J1785" s="54" t="str">
        <f>IFERROR(IF(INDEX(SPOT_Import!$A$1:$Z$2488,1785,'Live Data'!$C$21)="","",INDEX(SPOT_Import!$A$1:$Z$2488,1785,'Live Data'!$C$21)),"")</f>
        <v/>
      </c>
      <c r="K1785" s="54" t="str">
        <f>IFERROR(IF(INDEX(SPOT_Import!$A$1:$Z$2488,1785,'Live Data'!$C$22)="","",INDEX(SPOT_Import!$A$1:$Z$2488,1785,'Live Data'!$C$22)),"")</f>
        <v/>
      </c>
      <c r="L1785" s="55" t="str">
        <f t="shared" si="54"/>
        <v/>
      </c>
      <c r="M1785" s="55" t="str">
        <f t="shared" si="55"/>
        <v/>
      </c>
      <c r="N1785" s="55" t="str">
        <f>IF(A1785="","",IFERROR(INDEX('Cluster Map'!$A$4:$A$38,MATCH(M1785,'Cluster Map'!$B$4:$B$38,0)),"Unmapped"))</f>
        <v/>
      </c>
      <c r="O1785" s="55">
        <f>IF(A1785="",0,IF(COUNTIFS($A$2:A1785,A1785,$F$2:F1785,F1785,$L$2:L1785,L1785)=1,1,0))</f>
        <v>0</v>
      </c>
      <c r="P1785" s="55">
        <f>IF(A1785="",0,IF(AND(F1785="C&amp;T",COUNTIFS($A$2:A1785,A1785,$F$2:F1785,"C&amp;T")=1),1,0))</f>
        <v>0</v>
      </c>
    </row>
    <row r="1786" spans="1:16" x14ac:dyDescent="0.35">
      <c r="A1786" s="54" t="str">
        <f>IFERROR(IF(INDEX(SPOT_Import!$A$1:$Z$2488,1786,'Live Data'!$C$12)="","",INDEX(SPOT_Import!$A$1:$Z$2488,1786,'Live Data'!$C$12)),"")</f>
        <v/>
      </c>
      <c r="B1786" s="54" t="str">
        <f>IFERROR(IF(INDEX(SPOT_Import!$A$1:$Z$2488,1786,'Live Data'!$C$13)="","",INDEX(SPOT_Import!$A$1:$Z$2488,1786,'Live Data'!$C$13)),"")</f>
        <v/>
      </c>
      <c r="C1786" s="54" t="str">
        <f>IFERROR(IF(INDEX(SPOT_Import!$A$1:$Z$2488,1786,'Live Data'!$C$14)="","",INDEX(SPOT_Import!$A$1:$Z$2488,1786,'Live Data'!$C$14)),"")</f>
        <v/>
      </c>
      <c r="D1786" s="54" t="str">
        <f>IFERROR(IF(INDEX(SPOT_Import!$A$1:$Z$2488,1786,'Live Data'!$C$15)="","",INDEX(SPOT_Import!$A$1:$Z$2488,1786,'Live Data'!$C$15)),"")</f>
        <v/>
      </c>
      <c r="E1786" s="54" t="str">
        <f>IFERROR(IF(INDEX(SPOT_Import!$A$1:$Z$2488,1786,'Live Data'!$C$16)="","",INDEX(SPOT_Import!$A$1:$Z$2488,1786,'Live Data'!$C$16)),"")</f>
        <v/>
      </c>
      <c r="F1786" s="54" t="str">
        <f>IFERROR(IF(INDEX(SPOT_Import!$A$1:$Z$2488,1786,'Live Data'!$C$17)="","",INDEX(SPOT_Import!$A$1:$Z$2488,1786,'Live Data'!$C$17)),"")</f>
        <v/>
      </c>
      <c r="G1786" s="54" t="str">
        <f>IFERROR(IF(INDEX(SPOT_Import!$A$1:$Z$2488,1786,'Live Data'!$C$18)="","",INDEX(SPOT_Import!$A$1:$Z$2488,1786,'Live Data'!$C$18)),"")</f>
        <v/>
      </c>
      <c r="H1786" s="54" t="str">
        <f>IFERROR(IF(INDEX(SPOT_Import!$A$1:$Z$2488,1786,'Live Data'!$C$19)="","",INDEX(SPOT_Import!$A$1:$Z$2488,1786,'Live Data'!$C$19)),"")</f>
        <v/>
      </c>
      <c r="I1786" s="54" t="str">
        <f>IFERROR(IF(INDEX(SPOT_Import!$A$1:$Z$2488,1786,'Live Data'!$C$20)="","",INDEX(SPOT_Import!$A$1:$Z$2488,1786,'Live Data'!$C$20)),"")</f>
        <v/>
      </c>
      <c r="J1786" s="54" t="str">
        <f>IFERROR(IF(INDEX(SPOT_Import!$A$1:$Z$2488,1786,'Live Data'!$C$21)="","",INDEX(SPOT_Import!$A$1:$Z$2488,1786,'Live Data'!$C$21)),"")</f>
        <v/>
      </c>
      <c r="K1786" s="54" t="str">
        <f>IFERROR(IF(INDEX(SPOT_Import!$A$1:$Z$2488,1786,'Live Data'!$C$22)="","",INDEX(SPOT_Import!$A$1:$Z$2488,1786,'Live Data'!$C$22)),"")</f>
        <v/>
      </c>
      <c r="L1786" s="55" t="str">
        <f t="shared" si="54"/>
        <v/>
      </c>
      <c r="M1786" s="55" t="str">
        <f t="shared" si="55"/>
        <v/>
      </c>
      <c r="N1786" s="55" t="str">
        <f>IF(A1786="","",IFERROR(INDEX('Cluster Map'!$A$4:$A$38,MATCH(M1786,'Cluster Map'!$B$4:$B$38,0)),"Unmapped"))</f>
        <v/>
      </c>
      <c r="O1786" s="55">
        <f>IF(A1786="",0,IF(COUNTIFS($A$2:A1786,A1786,$F$2:F1786,F1786,$L$2:L1786,L1786)=1,1,0))</f>
        <v>0</v>
      </c>
      <c r="P1786" s="55">
        <f>IF(A1786="",0,IF(AND(F1786="C&amp;T",COUNTIFS($A$2:A1786,A1786,$F$2:F1786,"C&amp;T")=1),1,0))</f>
        <v>0</v>
      </c>
    </row>
    <row r="1787" spans="1:16" x14ac:dyDescent="0.35">
      <c r="A1787" s="54" t="str">
        <f>IFERROR(IF(INDEX(SPOT_Import!$A$1:$Z$2488,1787,'Live Data'!$C$12)="","",INDEX(SPOT_Import!$A$1:$Z$2488,1787,'Live Data'!$C$12)),"")</f>
        <v/>
      </c>
      <c r="B1787" s="54" t="str">
        <f>IFERROR(IF(INDEX(SPOT_Import!$A$1:$Z$2488,1787,'Live Data'!$C$13)="","",INDEX(SPOT_Import!$A$1:$Z$2488,1787,'Live Data'!$C$13)),"")</f>
        <v/>
      </c>
      <c r="C1787" s="54" t="str">
        <f>IFERROR(IF(INDEX(SPOT_Import!$A$1:$Z$2488,1787,'Live Data'!$C$14)="","",INDEX(SPOT_Import!$A$1:$Z$2488,1787,'Live Data'!$C$14)),"")</f>
        <v/>
      </c>
      <c r="D1787" s="54" t="str">
        <f>IFERROR(IF(INDEX(SPOT_Import!$A$1:$Z$2488,1787,'Live Data'!$C$15)="","",INDEX(SPOT_Import!$A$1:$Z$2488,1787,'Live Data'!$C$15)),"")</f>
        <v/>
      </c>
      <c r="E1787" s="54" t="str">
        <f>IFERROR(IF(INDEX(SPOT_Import!$A$1:$Z$2488,1787,'Live Data'!$C$16)="","",INDEX(SPOT_Import!$A$1:$Z$2488,1787,'Live Data'!$C$16)),"")</f>
        <v/>
      </c>
      <c r="F1787" s="54" t="str">
        <f>IFERROR(IF(INDEX(SPOT_Import!$A$1:$Z$2488,1787,'Live Data'!$C$17)="","",INDEX(SPOT_Import!$A$1:$Z$2488,1787,'Live Data'!$C$17)),"")</f>
        <v/>
      </c>
      <c r="G1787" s="54" t="str">
        <f>IFERROR(IF(INDEX(SPOT_Import!$A$1:$Z$2488,1787,'Live Data'!$C$18)="","",INDEX(SPOT_Import!$A$1:$Z$2488,1787,'Live Data'!$C$18)),"")</f>
        <v/>
      </c>
      <c r="H1787" s="54" t="str">
        <f>IFERROR(IF(INDEX(SPOT_Import!$A$1:$Z$2488,1787,'Live Data'!$C$19)="","",INDEX(SPOT_Import!$A$1:$Z$2488,1787,'Live Data'!$C$19)),"")</f>
        <v/>
      </c>
      <c r="I1787" s="54" t="str">
        <f>IFERROR(IF(INDEX(SPOT_Import!$A$1:$Z$2488,1787,'Live Data'!$C$20)="","",INDEX(SPOT_Import!$A$1:$Z$2488,1787,'Live Data'!$C$20)),"")</f>
        <v/>
      </c>
      <c r="J1787" s="54" t="str">
        <f>IFERROR(IF(INDEX(SPOT_Import!$A$1:$Z$2488,1787,'Live Data'!$C$21)="","",INDEX(SPOT_Import!$A$1:$Z$2488,1787,'Live Data'!$C$21)),"")</f>
        <v/>
      </c>
      <c r="K1787" s="54" t="str">
        <f>IFERROR(IF(INDEX(SPOT_Import!$A$1:$Z$2488,1787,'Live Data'!$C$22)="","",INDEX(SPOT_Import!$A$1:$Z$2488,1787,'Live Data'!$C$22)),"")</f>
        <v/>
      </c>
      <c r="L1787" s="55" t="str">
        <f t="shared" si="54"/>
        <v/>
      </c>
      <c r="M1787" s="55" t="str">
        <f t="shared" si="55"/>
        <v/>
      </c>
      <c r="N1787" s="55" t="str">
        <f>IF(A1787="","",IFERROR(INDEX('Cluster Map'!$A$4:$A$38,MATCH(M1787,'Cluster Map'!$B$4:$B$38,0)),"Unmapped"))</f>
        <v/>
      </c>
      <c r="O1787" s="55">
        <f>IF(A1787="",0,IF(COUNTIFS($A$2:A1787,A1787,$F$2:F1787,F1787,$L$2:L1787,L1787)=1,1,0))</f>
        <v>0</v>
      </c>
      <c r="P1787" s="55">
        <f>IF(A1787="",0,IF(AND(F1787="C&amp;T",COUNTIFS($A$2:A1787,A1787,$F$2:F1787,"C&amp;T")=1),1,0))</f>
        <v>0</v>
      </c>
    </row>
    <row r="1788" spans="1:16" x14ac:dyDescent="0.35">
      <c r="A1788" s="54" t="str">
        <f>IFERROR(IF(INDEX(SPOT_Import!$A$1:$Z$2488,1788,'Live Data'!$C$12)="","",INDEX(SPOT_Import!$A$1:$Z$2488,1788,'Live Data'!$C$12)),"")</f>
        <v/>
      </c>
      <c r="B1788" s="54" t="str">
        <f>IFERROR(IF(INDEX(SPOT_Import!$A$1:$Z$2488,1788,'Live Data'!$C$13)="","",INDEX(SPOT_Import!$A$1:$Z$2488,1788,'Live Data'!$C$13)),"")</f>
        <v/>
      </c>
      <c r="C1788" s="54" t="str">
        <f>IFERROR(IF(INDEX(SPOT_Import!$A$1:$Z$2488,1788,'Live Data'!$C$14)="","",INDEX(SPOT_Import!$A$1:$Z$2488,1788,'Live Data'!$C$14)),"")</f>
        <v/>
      </c>
      <c r="D1788" s="54" t="str">
        <f>IFERROR(IF(INDEX(SPOT_Import!$A$1:$Z$2488,1788,'Live Data'!$C$15)="","",INDEX(SPOT_Import!$A$1:$Z$2488,1788,'Live Data'!$C$15)),"")</f>
        <v/>
      </c>
      <c r="E1788" s="54" t="str">
        <f>IFERROR(IF(INDEX(SPOT_Import!$A$1:$Z$2488,1788,'Live Data'!$C$16)="","",INDEX(SPOT_Import!$A$1:$Z$2488,1788,'Live Data'!$C$16)),"")</f>
        <v/>
      </c>
      <c r="F1788" s="54" t="str">
        <f>IFERROR(IF(INDEX(SPOT_Import!$A$1:$Z$2488,1788,'Live Data'!$C$17)="","",INDEX(SPOT_Import!$A$1:$Z$2488,1788,'Live Data'!$C$17)),"")</f>
        <v/>
      </c>
      <c r="G1788" s="54" t="str">
        <f>IFERROR(IF(INDEX(SPOT_Import!$A$1:$Z$2488,1788,'Live Data'!$C$18)="","",INDEX(SPOT_Import!$A$1:$Z$2488,1788,'Live Data'!$C$18)),"")</f>
        <v/>
      </c>
      <c r="H1788" s="54" t="str">
        <f>IFERROR(IF(INDEX(SPOT_Import!$A$1:$Z$2488,1788,'Live Data'!$C$19)="","",INDEX(SPOT_Import!$A$1:$Z$2488,1788,'Live Data'!$C$19)),"")</f>
        <v/>
      </c>
      <c r="I1788" s="54" t="str">
        <f>IFERROR(IF(INDEX(SPOT_Import!$A$1:$Z$2488,1788,'Live Data'!$C$20)="","",INDEX(SPOT_Import!$A$1:$Z$2488,1788,'Live Data'!$C$20)),"")</f>
        <v/>
      </c>
      <c r="J1788" s="54" t="str">
        <f>IFERROR(IF(INDEX(SPOT_Import!$A$1:$Z$2488,1788,'Live Data'!$C$21)="","",INDEX(SPOT_Import!$A$1:$Z$2488,1788,'Live Data'!$C$21)),"")</f>
        <v/>
      </c>
      <c r="K1788" s="54" t="str">
        <f>IFERROR(IF(INDEX(SPOT_Import!$A$1:$Z$2488,1788,'Live Data'!$C$22)="","",INDEX(SPOT_Import!$A$1:$Z$2488,1788,'Live Data'!$C$22)),"")</f>
        <v/>
      </c>
      <c r="L1788" s="55" t="str">
        <f t="shared" si="54"/>
        <v/>
      </c>
      <c r="M1788" s="55" t="str">
        <f t="shared" si="55"/>
        <v/>
      </c>
      <c r="N1788" s="55" t="str">
        <f>IF(A1788="","",IFERROR(INDEX('Cluster Map'!$A$4:$A$38,MATCH(M1788,'Cluster Map'!$B$4:$B$38,0)),"Unmapped"))</f>
        <v/>
      </c>
      <c r="O1788" s="55">
        <f>IF(A1788="",0,IF(COUNTIFS($A$2:A1788,A1788,$F$2:F1788,F1788,$L$2:L1788,L1788)=1,1,0))</f>
        <v>0</v>
      </c>
      <c r="P1788" s="55">
        <f>IF(A1788="",0,IF(AND(F1788="C&amp;T",COUNTIFS($A$2:A1788,A1788,$F$2:F1788,"C&amp;T")=1),1,0))</f>
        <v>0</v>
      </c>
    </row>
    <row r="1789" spans="1:16" x14ac:dyDescent="0.35">
      <c r="A1789" s="54" t="str">
        <f>IFERROR(IF(INDEX(SPOT_Import!$A$1:$Z$2488,1789,'Live Data'!$C$12)="","",INDEX(SPOT_Import!$A$1:$Z$2488,1789,'Live Data'!$C$12)),"")</f>
        <v/>
      </c>
      <c r="B1789" s="54" t="str">
        <f>IFERROR(IF(INDEX(SPOT_Import!$A$1:$Z$2488,1789,'Live Data'!$C$13)="","",INDEX(SPOT_Import!$A$1:$Z$2488,1789,'Live Data'!$C$13)),"")</f>
        <v/>
      </c>
      <c r="C1789" s="54" t="str">
        <f>IFERROR(IF(INDEX(SPOT_Import!$A$1:$Z$2488,1789,'Live Data'!$C$14)="","",INDEX(SPOT_Import!$A$1:$Z$2488,1789,'Live Data'!$C$14)),"")</f>
        <v/>
      </c>
      <c r="D1789" s="54" t="str">
        <f>IFERROR(IF(INDEX(SPOT_Import!$A$1:$Z$2488,1789,'Live Data'!$C$15)="","",INDEX(SPOT_Import!$A$1:$Z$2488,1789,'Live Data'!$C$15)),"")</f>
        <v/>
      </c>
      <c r="E1789" s="54" t="str">
        <f>IFERROR(IF(INDEX(SPOT_Import!$A$1:$Z$2488,1789,'Live Data'!$C$16)="","",INDEX(SPOT_Import!$A$1:$Z$2488,1789,'Live Data'!$C$16)),"")</f>
        <v/>
      </c>
      <c r="F1789" s="54" t="str">
        <f>IFERROR(IF(INDEX(SPOT_Import!$A$1:$Z$2488,1789,'Live Data'!$C$17)="","",INDEX(SPOT_Import!$A$1:$Z$2488,1789,'Live Data'!$C$17)),"")</f>
        <v/>
      </c>
      <c r="G1789" s="54" t="str">
        <f>IFERROR(IF(INDEX(SPOT_Import!$A$1:$Z$2488,1789,'Live Data'!$C$18)="","",INDEX(SPOT_Import!$A$1:$Z$2488,1789,'Live Data'!$C$18)),"")</f>
        <v/>
      </c>
      <c r="H1789" s="54" t="str">
        <f>IFERROR(IF(INDEX(SPOT_Import!$A$1:$Z$2488,1789,'Live Data'!$C$19)="","",INDEX(SPOT_Import!$A$1:$Z$2488,1789,'Live Data'!$C$19)),"")</f>
        <v/>
      </c>
      <c r="I1789" s="54" t="str">
        <f>IFERROR(IF(INDEX(SPOT_Import!$A$1:$Z$2488,1789,'Live Data'!$C$20)="","",INDEX(SPOT_Import!$A$1:$Z$2488,1789,'Live Data'!$C$20)),"")</f>
        <v/>
      </c>
      <c r="J1789" s="54" t="str">
        <f>IFERROR(IF(INDEX(SPOT_Import!$A$1:$Z$2488,1789,'Live Data'!$C$21)="","",INDEX(SPOT_Import!$A$1:$Z$2488,1789,'Live Data'!$C$21)),"")</f>
        <v/>
      </c>
      <c r="K1789" s="54" t="str">
        <f>IFERROR(IF(INDEX(SPOT_Import!$A$1:$Z$2488,1789,'Live Data'!$C$22)="","",INDEX(SPOT_Import!$A$1:$Z$2488,1789,'Live Data'!$C$22)),"")</f>
        <v/>
      </c>
      <c r="L1789" s="55" t="str">
        <f t="shared" si="54"/>
        <v/>
      </c>
      <c r="M1789" s="55" t="str">
        <f t="shared" si="55"/>
        <v/>
      </c>
      <c r="N1789" s="55" t="str">
        <f>IF(A1789="","",IFERROR(INDEX('Cluster Map'!$A$4:$A$38,MATCH(M1789,'Cluster Map'!$B$4:$B$38,0)),"Unmapped"))</f>
        <v/>
      </c>
      <c r="O1789" s="55">
        <f>IF(A1789="",0,IF(COUNTIFS($A$2:A1789,A1789,$F$2:F1789,F1789,$L$2:L1789,L1789)=1,1,0))</f>
        <v>0</v>
      </c>
      <c r="P1789" s="55">
        <f>IF(A1789="",0,IF(AND(F1789="C&amp;T",COUNTIFS($A$2:A1789,A1789,$F$2:F1789,"C&amp;T")=1),1,0))</f>
        <v>0</v>
      </c>
    </row>
    <row r="1790" spans="1:16" x14ac:dyDescent="0.35">
      <c r="A1790" s="54" t="str">
        <f>IFERROR(IF(INDEX(SPOT_Import!$A$1:$Z$2488,1790,'Live Data'!$C$12)="","",INDEX(SPOT_Import!$A$1:$Z$2488,1790,'Live Data'!$C$12)),"")</f>
        <v/>
      </c>
      <c r="B1790" s="54" t="str">
        <f>IFERROR(IF(INDEX(SPOT_Import!$A$1:$Z$2488,1790,'Live Data'!$C$13)="","",INDEX(SPOT_Import!$A$1:$Z$2488,1790,'Live Data'!$C$13)),"")</f>
        <v/>
      </c>
      <c r="C1790" s="54" t="str">
        <f>IFERROR(IF(INDEX(SPOT_Import!$A$1:$Z$2488,1790,'Live Data'!$C$14)="","",INDEX(SPOT_Import!$A$1:$Z$2488,1790,'Live Data'!$C$14)),"")</f>
        <v/>
      </c>
      <c r="D1790" s="54" t="str">
        <f>IFERROR(IF(INDEX(SPOT_Import!$A$1:$Z$2488,1790,'Live Data'!$C$15)="","",INDEX(SPOT_Import!$A$1:$Z$2488,1790,'Live Data'!$C$15)),"")</f>
        <v/>
      </c>
      <c r="E1790" s="54" t="str">
        <f>IFERROR(IF(INDEX(SPOT_Import!$A$1:$Z$2488,1790,'Live Data'!$C$16)="","",INDEX(SPOT_Import!$A$1:$Z$2488,1790,'Live Data'!$C$16)),"")</f>
        <v/>
      </c>
      <c r="F1790" s="54" t="str">
        <f>IFERROR(IF(INDEX(SPOT_Import!$A$1:$Z$2488,1790,'Live Data'!$C$17)="","",INDEX(SPOT_Import!$A$1:$Z$2488,1790,'Live Data'!$C$17)),"")</f>
        <v/>
      </c>
      <c r="G1790" s="54" t="str">
        <f>IFERROR(IF(INDEX(SPOT_Import!$A$1:$Z$2488,1790,'Live Data'!$C$18)="","",INDEX(SPOT_Import!$A$1:$Z$2488,1790,'Live Data'!$C$18)),"")</f>
        <v/>
      </c>
      <c r="H1790" s="54" t="str">
        <f>IFERROR(IF(INDEX(SPOT_Import!$A$1:$Z$2488,1790,'Live Data'!$C$19)="","",INDEX(SPOT_Import!$A$1:$Z$2488,1790,'Live Data'!$C$19)),"")</f>
        <v/>
      </c>
      <c r="I1790" s="54" t="str">
        <f>IFERROR(IF(INDEX(SPOT_Import!$A$1:$Z$2488,1790,'Live Data'!$C$20)="","",INDEX(SPOT_Import!$A$1:$Z$2488,1790,'Live Data'!$C$20)),"")</f>
        <v/>
      </c>
      <c r="J1790" s="54" t="str">
        <f>IFERROR(IF(INDEX(SPOT_Import!$A$1:$Z$2488,1790,'Live Data'!$C$21)="","",INDEX(SPOT_Import!$A$1:$Z$2488,1790,'Live Data'!$C$21)),"")</f>
        <v/>
      </c>
      <c r="K1790" s="54" t="str">
        <f>IFERROR(IF(INDEX(SPOT_Import!$A$1:$Z$2488,1790,'Live Data'!$C$22)="","",INDEX(SPOT_Import!$A$1:$Z$2488,1790,'Live Data'!$C$22)),"")</f>
        <v/>
      </c>
      <c r="L1790" s="55" t="str">
        <f t="shared" si="54"/>
        <v/>
      </c>
      <c r="M1790" s="55" t="str">
        <f t="shared" si="55"/>
        <v/>
      </c>
      <c r="N1790" s="55" t="str">
        <f>IF(A1790="","",IFERROR(INDEX('Cluster Map'!$A$4:$A$38,MATCH(M1790,'Cluster Map'!$B$4:$B$38,0)),"Unmapped"))</f>
        <v/>
      </c>
      <c r="O1790" s="55">
        <f>IF(A1790="",0,IF(COUNTIFS($A$2:A1790,A1790,$F$2:F1790,F1790,$L$2:L1790,L1790)=1,1,0))</f>
        <v>0</v>
      </c>
      <c r="P1790" s="55">
        <f>IF(A1790="",0,IF(AND(F1790="C&amp;T",COUNTIFS($A$2:A1790,A1790,$F$2:F1790,"C&amp;T")=1),1,0))</f>
        <v>0</v>
      </c>
    </row>
    <row r="1791" spans="1:16" x14ac:dyDescent="0.35">
      <c r="A1791" s="54" t="str">
        <f>IFERROR(IF(INDEX(SPOT_Import!$A$1:$Z$2488,1791,'Live Data'!$C$12)="","",INDEX(SPOT_Import!$A$1:$Z$2488,1791,'Live Data'!$C$12)),"")</f>
        <v/>
      </c>
      <c r="B1791" s="54" t="str">
        <f>IFERROR(IF(INDEX(SPOT_Import!$A$1:$Z$2488,1791,'Live Data'!$C$13)="","",INDEX(SPOT_Import!$A$1:$Z$2488,1791,'Live Data'!$C$13)),"")</f>
        <v/>
      </c>
      <c r="C1791" s="54" t="str">
        <f>IFERROR(IF(INDEX(SPOT_Import!$A$1:$Z$2488,1791,'Live Data'!$C$14)="","",INDEX(SPOT_Import!$A$1:$Z$2488,1791,'Live Data'!$C$14)),"")</f>
        <v/>
      </c>
      <c r="D1791" s="54" t="str">
        <f>IFERROR(IF(INDEX(SPOT_Import!$A$1:$Z$2488,1791,'Live Data'!$C$15)="","",INDEX(SPOT_Import!$A$1:$Z$2488,1791,'Live Data'!$C$15)),"")</f>
        <v/>
      </c>
      <c r="E1791" s="54" t="str">
        <f>IFERROR(IF(INDEX(SPOT_Import!$A$1:$Z$2488,1791,'Live Data'!$C$16)="","",INDEX(SPOT_Import!$A$1:$Z$2488,1791,'Live Data'!$C$16)),"")</f>
        <v/>
      </c>
      <c r="F1791" s="54" t="str">
        <f>IFERROR(IF(INDEX(SPOT_Import!$A$1:$Z$2488,1791,'Live Data'!$C$17)="","",INDEX(SPOT_Import!$A$1:$Z$2488,1791,'Live Data'!$C$17)),"")</f>
        <v/>
      </c>
      <c r="G1791" s="54" t="str">
        <f>IFERROR(IF(INDEX(SPOT_Import!$A$1:$Z$2488,1791,'Live Data'!$C$18)="","",INDEX(SPOT_Import!$A$1:$Z$2488,1791,'Live Data'!$C$18)),"")</f>
        <v/>
      </c>
      <c r="H1791" s="54" t="str">
        <f>IFERROR(IF(INDEX(SPOT_Import!$A$1:$Z$2488,1791,'Live Data'!$C$19)="","",INDEX(SPOT_Import!$A$1:$Z$2488,1791,'Live Data'!$C$19)),"")</f>
        <v/>
      </c>
      <c r="I1791" s="54" t="str">
        <f>IFERROR(IF(INDEX(SPOT_Import!$A$1:$Z$2488,1791,'Live Data'!$C$20)="","",INDEX(SPOT_Import!$A$1:$Z$2488,1791,'Live Data'!$C$20)),"")</f>
        <v/>
      </c>
      <c r="J1791" s="54" t="str">
        <f>IFERROR(IF(INDEX(SPOT_Import!$A$1:$Z$2488,1791,'Live Data'!$C$21)="","",INDEX(SPOT_Import!$A$1:$Z$2488,1791,'Live Data'!$C$21)),"")</f>
        <v/>
      </c>
      <c r="K1791" s="54" t="str">
        <f>IFERROR(IF(INDEX(SPOT_Import!$A$1:$Z$2488,1791,'Live Data'!$C$22)="","",INDEX(SPOT_Import!$A$1:$Z$2488,1791,'Live Data'!$C$22)),"")</f>
        <v/>
      </c>
      <c r="L1791" s="55" t="str">
        <f t="shared" si="54"/>
        <v/>
      </c>
      <c r="M1791" s="55" t="str">
        <f t="shared" si="55"/>
        <v/>
      </c>
      <c r="N1791" s="55" t="str">
        <f>IF(A1791="","",IFERROR(INDEX('Cluster Map'!$A$4:$A$38,MATCH(M1791,'Cluster Map'!$B$4:$B$38,0)),"Unmapped"))</f>
        <v/>
      </c>
      <c r="O1791" s="55">
        <f>IF(A1791="",0,IF(COUNTIFS($A$2:A1791,A1791,$F$2:F1791,F1791,$L$2:L1791,L1791)=1,1,0))</f>
        <v>0</v>
      </c>
      <c r="P1791" s="55">
        <f>IF(A1791="",0,IF(AND(F1791="C&amp;T",COUNTIFS($A$2:A1791,A1791,$F$2:F1791,"C&amp;T")=1),1,0))</f>
        <v>0</v>
      </c>
    </row>
    <row r="1792" spans="1:16" x14ac:dyDescent="0.35">
      <c r="A1792" s="54" t="str">
        <f>IFERROR(IF(INDEX(SPOT_Import!$A$1:$Z$2488,1792,'Live Data'!$C$12)="","",INDEX(SPOT_Import!$A$1:$Z$2488,1792,'Live Data'!$C$12)),"")</f>
        <v/>
      </c>
      <c r="B1792" s="54" t="str">
        <f>IFERROR(IF(INDEX(SPOT_Import!$A$1:$Z$2488,1792,'Live Data'!$C$13)="","",INDEX(SPOT_Import!$A$1:$Z$2488,1792,'Live Data'!$C$13)),"")</f>
        <v/>
      </c>
      <c r="C1792" s="54" t="str">
        <f>IFERROR(IF(INDEX(SPOT_Import!$A$1:$Z$2488,1792,'Live Data'!$C$14)="","",INDEX(SPOT_Import!$A$1:$Z$2488,1792,'Live Data'!$C$14)),"")</f>
        <v/>
      </c>
      <c r="D1792" s="54" t="str">
        <f>IFERROR(IF(INDEX(SPOT_Import!$A$1:$Z$2488,1792,'Live Data'!$C$15)="","",INDEX(SPOT_Import!$A$1:$Z$2488,1792,'Live Data'!$C$15)),"")</f>
        <v/>
      </c>
      <c r="E1792" s="54" t="str">
        <f>IFERROR(IF(INDEX(SPOT_Import!$A$1:$Z$2488,1792,'Live Data'!$C$16)="","",INDEX(SPOT_Import!$A$1:$Z$2488,1792,'Live Data'!$C$16)),"")</f>
        <v/>
      </c>
      <c r="F1792" s="54" t="str">
        <f>IFERROR(IF(INDEX(SPOT_Import!$A$1:$Z$2488,1792,'Live Data'!$C$17)="","",INDEX(SPOT_Import!$A$1:$Z$2488,1792,'Live Data'!$C$17)),"")</f>
        <v/>
      </c>
      <c r="G1792" s="54" t="str">
        <f>IFERROR(IF(INDEX(SPOT_Import!$A$1:$Z$2488,1792,'Live Data'!$C$18)="","",INDEX(SPOT_Import!$A$1:$Z$2488,1792,'Live Data'!$C$18)),"")</f>
        <v/>
      </c>
      <c r="H1792" s="54" t="str">
        <f>IFERROR(IF(INDEX(SPOT_Import!$A$1:$Z$2488,1792,'Live Data'!$C$19)="","",INDEX(SPOT_Import!$A$1:$Z$2488,1792,'Live Data'!$C$19)),"")</f>
        <v/>
      </c>
      <c r="I1792" s="54" t="str">
        <f>IFERROR(IF(INDEX(SPOT_Import!$A$1:$Z$2488,1792,'Live Data'!$C$20)="","",INDEX(SPOT_Import!$A$1:$Z$2488,1792,'Live Data'!$C$20)),"")</f>
        <v/>
      </c>
      <c r="J1792" s="54" t="str">
        <f>IFERROR(IF(INDEX(SPOT_Import!$A$1:$Z$2488,1792,'Live Data'!$C$21)="","",INDEX(SPOT_Import!$A$1:$Z$2488,1792,'Live Data'!$C$21)),"")</f>
        <v/>
      </c>
      <c r="K1792" s="54" t="str">
        <f>IFERROR(IF(INDEX(SPOT_Import!$A$1:$Z$2488,1792,'Live Data'!$C$22)="","",INDEX(SPOT_Import!$A$1:$Z$2488,1792,'Live Data'!$C$22)),"")</f>
        <v/>
      </c>
      <c r="L1792" s="55" t="str">
        <f t="shared" si="54"/>
        <v/>
      </c>
      <c r="M1792" s="55" t="str">
        <f t="shared" si="55"/>
        <v/>
      </c>
      <c r="N1792" s="55" t="str">
        <f>IF(A1792="","",IFERROR(INDEX('Cluster Map'!$A$4:$A$38,MATCH(M1792,'Cluster Map'!$B$4:$B$38,0)),"Unmapped"))</f>
        <v/>
      </c>
      <c r="O1792" s="55">
        <f>IF(A1792="",0,IF(COUNTIFS($A$2:A1792,A1792,$F$2:F1792,F1792,$L$2:L1792,L1792)=1,1,0))</f>
        <v>0</v>
      </c>
      <c r="P1792" s="55">
        <f>IF(A1792="",0,IF(AND(F1792="C&amp;T",COUNTIFS($A$2:A1792,A1792,$F$2:F1792,"C&amp;T")=1),1,0))</f>
        <v>0</v>
      </c>
    </row>
    <row r="1793" spans="1:16" x14ac:dyDescent="0.35">
      <c r="A1793" s="54" t="str">
        <f>IFERROR(IF(INDEX(SPOT_Import!$A$1:$Z$2488,1793,'Live Data'!$C$12)="","",INDEX(SPOT_Import!$A$1:$Z$2488,1793,'Live Data'!$C$12)),"")</f>
        <v/>
      </c>
      <c r="B1793" s="54" t="str">
        <f>IFERROR(IF(INDEX(SPOT_Import!$A$1:$Z$2488,1793,'Live Data'!$C$13)="","",INDEX(SPOT_Import!$A$1:$Z$2488,1793,'Live Data'!$C$13)),"")</f>
        <v/>
      </c>
      <c r="C1793" s="54" t="str">
        <f>IFERROR(IF(INDEX(SPOT_Import!$A$1:$Z$2488,1793,'Live Data'!$C$14)="","",INDEX(SPOT_Import!$A$1:$Z$2488,1793,'Live Data'!$C$14)),"")</f>
        <v/>
      </c>
      <c r="D1793" s="54" t="str">
        <f>IFERROR(IF(INDEX(SPOT_Import!$A$1:$Z$2488,1793,'Live Data'!$C$15)="","",INDEX(SPOT_Import!$A$1:$Z$2488,1793,'Live Data'!$C$15)),"")</f>
        <v/>
      </c>
      <c r="E1793" s="54" t="str">
        <f>IFERROR(IF(INDEX(SPOT_Import!$A$1:$Z$2488,1793,'Live Data'!$C$16)="","",INDEX(SPOT_Import!$A$1:$Z$2488,1793,'Live Data'!$C$16)),"")</f>
        <v/>
      </c>
      <c r="F1793" s="54" t="str">
        <f>IFERROR(IF(INDEX(SPOT_Import!$A$1:$Z$2488,1793,'Live Data'!$C$17)="","",INDEX(SPOT_Import!$A$1:$Z$2488,1793,'Live Data'!$C$17)),"")</f>
        <v/>
      </c>
      <c r="G1793" s="54" t="str">
        <f>IFERROR(IF(INDEX(SPOT_Import!$A$1:$Z$2488,1793,'Live Data'!$C$18)="","",INDEX(SPOT_Import!$A$1:$Z$2488,1793,'Live Data'!$C$18)),"")</f>
        <v/>
      </c>
      <c r="H1793" s="54" t="str">
        <f>IFERROR(IF(INDEX(SPOT_Import!$A$1:$Z$2488,1793,'Live Data'!$C$19)="","",INDEX(SPOT_Import!$A$1:$Z$2488,1793,'Live Data'!$C$19)),"")</f>
        <v/>
      </c>
      <c r="I1793" s="54" t="str">
        <f>IFERROR(IF(INDEX(SPOT_Import!$A$1:$Z$2488,1793,'Live Data'!$C$20)="","",INDEX(SPOT_Import!$A$1:$Z$2488,1793,'Live Data'!$C$20)),"")</f>
        <v/>
      </c>
      <c r="J1793" s="54" t="str">
        <f>IFERROR(IF(INDEX(SPOT_Import!$A$1:$Z$2488,1793,'Live Data'!$C$21)="","",INDEX(SPOT_Import!$A$1:$Z$2488,1793,'Live Data'!$C$21)),"")</f>
        <v/>
      </c>
      <c r="K1793" s="54" t="str">
        <f>IFERROR(IF(INDEX(SPOT_Import!$A$1:$Z$2488,1793,'Live Data'!$C$22)="","",INDEX(SPOT_Import!$A$1:$Z$2488,1793,'Live Data'!$C$22)),"")</f>
        <v/>
      </c>
      <c r="L1793" s="55" t="str">
        <f t="shared" si="54"/>
        <v/>
      </c>
      <c r="M1793" s="55" t="str">
        <f t="shared" si="55"/>
        <v/>
      </c>
      <c r="N1793" s="55" t="str">
        <f>IF(A1793="","",IFERROR(INDEX('Cluster Map'!$A$4:$A$38,MATCH(M1793,'Cluster Map'!$B$4:$B$38,0)),"Unmapped"))</f>
        <v/>
      </c>
      <c r="O1793" s="55">
        <f>IF(A1793="",0,IF(COUNTIFS($A$2:A1793,A1793,$F$2:F1793,F1793,$L$2:L1793,L1793)=1,1,0))</f>
        <v>0</v>
      </c>
      <c r="P1793" s="55">
        <f>IF(A1793="",0,IF(AND(F1793="C&amp;T",COUNTIFS($A$2:A1793,A1793,$F$2:F1793,"C&amp;T")=1),1,0))</f>
        <v>0</v>
      </c>
    </row>
    <row r="1794" spans="1:16" x14ac:dyDescent="0.35">
      <c r="A1794" s="54" t="str">
        <f>IFERROR(IF(INDEX(SPOT_Import!$A$1:$Z$2488,1794,'Live Data'!$C$12)="","",INDEX(SPOT_Import!$A$1:$Z$2488,1794,'Live Data'!$C$12)),"")</f>
        <v/>
      </c>
      <c r="B1794" s="54" t="str">
        <f>IFERROR(IF(INDEX(SPOT_Import!$A$1:$Z$2488,1794,'Live Data'!$C$13)="","",INDEX(SPOT_Import!$A$1:$Z$2488,1794,'Live Data'!$C$13)),"")</f>
        <v/>
      </c>
      <c r="C1794" s="54" t="str">
        <f>IFERROR(IF(INDEX(SPOT_Import!$A$1:$Z$2488,1794,'Live Data'!$C$14)="","",INDEX(SPOT_Import!$A$1:$Z$2488,1794,'Live Data'!$C$14)),"")</f>
        <v/>
      </c>
      <c r="D1794" s="54" t="str">
        <f>IFERROR(IF(INDEX(SPOT_Import!$A$1:$Z$2488,1794,'Live Data'!$C$15)="","",INDEX(SPOT_Import!$A$1:$Z$2488,1794,'Live Data'!$C$15)),"")</f>
        <v/>
      </c>
      <c r="E1794" s="54" t="str">
        <f>IFERROR(IF(INDEX(SPOT_Import!$A$1:$Z$2488,1794,'Live Data'!$C$16)="","",INDEX(SPOT_Import!$A$1:$Z$2488,1794,'Live Data'!$C$16)),"")</f>
        <v/>
      </c>
      <c r="F1794" s="54" t="str">
        <f>IFERROR(IF(INDEX(SPOT_Import!$A$1:$Z$2488,1794,'Live Data'!$C$17)="","",INDEX(SPOT_Import!$A$1:$Z$2488,1794,'Live Data'!$C$17)),"")</f>
        <v/>
      </c>
      <c r="G1794" s="54" t="str">
        <f>IFERROR(IF(INDEX(SPOT_Import!$A$1:$Z$2488,1794,'Live Data'!$C$18)="","",INDEX(SPOT_Import!$A$1:$Z$2488,1794,'Live Data'!$C$18)),"")</f>
        <v/>
      </c>
      <c r="H1794" s="54" t="str">
        <f>IFERROR(IF(INDEX(SPOT_Import!$A$1:$Z$2488,1794,'Live Data'!$C$19)="","",INDEX(SPOT_Import!$A$1:$Z$2488,1794,'Live Data'!$C$19)),"")</f>
        <v/>
      </c>
      <c r="I1794" s="54" t="str">
        <f>IFERROR(IF(INDEX(SPOT_Import!$A$1:$Z$2488,1794,'Live Data'!$C$20)="","",INDEX(SPOT_Import!$A$1:$Z$2488,1794,'Live Data'!$C$20)),"")</f>
        <v/>
      </c>
      <c r="J1794" s="54" t="str">
        <f>IFERROR(IF(INDEX(SPOT_Import!$A$1:$Z$2488,1794,'Live Data'!$C$21)="","",INDEX(SPOT_Import!$A$1:$Z$2488,1794,'Live Data'!$C$21)),"")</f>
        <v/>
      </c>
      <c r="K1794" s="54" t="str">
        <f>IFERROR(IF(INDEX(SPOT_Import!$A$1:$Z$2488,1794,'Live Data'!$C$22)="","",INDEX(SPOT_Import!$A$1:$Z$2488,1794,'Live Data'!$C$22)),"")</f>
        <v/>
      </c>
      <c r="L1794" s="55" t="str">
        <f t="shared" ref="L1794:L1857" si="56">IF(A1794="","",IF(ISNUMBER(K1794),TEXT(K1794,"yyyy-mm"),LEFT(K1794,7)))</f>
        <v/>
      </c>
      <c r="M1794" s="55" t="str">
        <f t="shared" ref="M1794:M1857" si="57">IF(A1794="","",UPPER(TRIM(SUBSTITUTE(C1794," - ","-"))))</f>
        <v/>
      </c>
      <c r="N1794" s="55" t="str">
        <f>IF(A1794="","",IFERROR(INDEX('Cluster Map'!$A$4:$A$38,MATCH(M1794,'Cluster Map'!$B$4:$B$38,0)),"Unmapped"))</f>
        <v/>
      </c>
      <c r="O1794" s="55">
        <f>IF(A1794="",0,IF(COUNTIFS($A$2:A1794,A1794,$F$2:F1794,F1794,$L$2:L1794,L1794)=1,1,0))</f>
        <v>0</v>
      </c>
      <c r="P1794" s="55">
        <f>IF(A1794="",0,IF(AND(F1794="C&amp;T",COUNTIFS($A$2:A1794,A1794,$F$2:F1794,"C&amp;T")=1),1,0))</f>
        <v>0</v>
      </c>
    </row>
    <row r="1795" spans="1:16" x14ac:dyDescent="0.35">
      <c r="A1795" s="54" t="str">
        <f>IFERROR(IF(INDEX(SPOT_Import!$A$1:$Z$2488,1795,'Live Data'!$C$12)="","",INDEX(SPOT_Import!$A$1:$Z$2488,1795,'Live Data'!$C$12)),"")</f>
        <v/>
      </c>
      <c r="B1795" s="54" t="str">
        <f>IFERROR(IF(INDEX(SPOT_Import!$A$1:$Z$2488,1795,'Live Data'!$C$13)="","",INDEX(SPOT_Import!$A$1:$Z$2488,1795,'Live Data'!$C$13)),"")</f>
        <v/>
      </c>
      <c r="C1795" s="54" t="str">
        <f>IFERROR(IF(INDEX(SPOT_Import!$A$1:$Z$2488,1795,'Live Data'!$C$14)="","",INDEX(SPOT_Import!$A$1:$Z$2488,1795,'Live Data'!$C$14)),"")</f>
        <v/>
      </c>
      <c r="D1795" s="54" t="str">
        <f>IFERROR(IF(INDEX(SPOT_Import!$A$1:$Z$2488,1795,'Live Data'!$C$15)="","",INDEX(SPOT_Import!$A$1:$Z$2488,1795,'Live Data'!$C$15)),"")</f>
        <v/>
      </c>
      <c r="E1795" s="54" t="str">
        <f>IFERROR(IF(INDEX(SPOT_Import!$A$1:$Z$2488,1795,'Live Data'!$C$16)="","",INDEX(SPOT_Import!$A$1:$Z$2488,1795,'Live Data'!$C$16)),"")</f>
        <v/>
      </c>
      <c r="F1795" s="54" t="str">
        <f>IFERROR(IF(INDEX(SPOT_Import!$A$1:$Z$2488,1795,'Live Data'!$C$17)="","",INDEX(SPOT_Import!$A$1:$Z$2488,1795,'Live Data'!$C$17)),"")</f>
        <v/>
      </c>
      <c r="G1795" s="54" t="str">
        <f>IFERROR(IF(INDEX(SPOT_Import!$A$1:$Z$2488,1795,'Live Data'!$C$18)="","",INDEX(SPOT_Import!$A$1:$Z$2488,1795,'Live Data'!$C$18)),"")</f>
        <v/>
      </c>
      <c r="H1795" s="54" t="str">
        <f>IFERROR(IF(INDEX(SPOT_Import!$A$1:$Z$2488,1795,'Live Data'!$C$19)="","",INDEX(SPOT_Import!$A$1:$Z$2488,1795,'Live Data'!$C$19)),"")</f>
        <v/>
      </c>
      <c r="I1795" s="54" t="str">
        <f>IFERROR(IF(INDEX(SPOT_Import!$A$1:$Z$2488,1795,'Live Data'!$C$20)="","",INDEX(SPOT_Import!$A$1:$Z$2488,1795,'Live Data'!$C$20)),"")</f>
        <v/>
      </c>
      <c r="J1795" s="54" t="str">
        <f>IFERROR(IF(INDEX(SPOT_Import!$A$1:$Z$2488,1795,'Live Data'!$C$21)="","",INDEX(SPOT_Import!$A$1:$Z$2488,1795,'Live Data'!$C$21)),"")</f>
        <v/>
      </c>
      <c r="K1795" s="54" t="str">
        <f>IFERROR(IF(INDEX(SPOT_Import!$A$1:$Z$2488,1795,'Live Data'!$C$22)="","",INDEX(SPOT_Import!$A$1:$Z$2488,1795,'Live Data'!$C$22)),"")</f>
        <v/>
      </c>
      <c r="L1795" s="55" t="str">
        <f t="shared" si="56"/>
        <v/>
      </c>
      <c r="M1795" s="55" t="str">
        <f t="shared" si="57"/>
        <v/>
      </c>
      <c r="N1795" s="55" t="str">
        <f>IF(A1795="","",IFERROR(INDEX('Cluster Map'!$A$4:$A$38,MATCH(M1795,'Cluster Map'!$B$4:$B$38,0)),"Unmapped"))</f>
        <v/>
      </c>
      <c r="O1795" s="55">
        <f>IF(A1795="",0,IF(COUNTIFS($A$2:A1795,A1795,$F$2:F1795,F1795,$L$2:L1795,L1795)=1,1,0))</f>
        <v>0</v>
      </c>
      <c r="P1795" s="55">
        <f>IF(A1795="",0,IF(AND(F1795="C&amp;T",COUNTIFS($A$2:A1795,A1795,$F$2:F1795,"C&amp;T")=1),1,0))</f>
        <v>0</v>
      </c>
    </row>
    <row r="1796" spans="1:16" x14ac:dyDescent="0.35">
      <c r="A1796" s="54" t="str">
        <f>IFERROR(IF(INDEX(SPOT_Import!$A$1:$Z$2488,1796,'Live Data'!$C$12)="","",INDEX(SPOT_Import!$A$1:$Z$2488,1796,'Live Data'!$C$12)),"")</f>
        <v/>
      </c>
      <c r="B1796" s="54" t="str">
        <f>IFERROR(IF(INDEX(SPOT_Import!$A$1:$Z$2488,1796,'Live Data'!$C$13)="","",INDEX(SPOT_Import!$A$1:$Z$2488,1796,'Live Data'!$C$13)),"")</f>
        <v/>
      </c>
      <c r="C1796" s="54" t="str">
        <f>IFERROR(IF(INDEX(SPOT_Import!$A$1:$Z$2488,1796,'Live Data'!$C$14)="","",INDEX(SPOT_Import!$A$1:$Z$2488,1796,'Live Data'!$C$14)),"")</f>
        <v/>
      </c>
      <c r="D1796" s="54" t="str">
        <f>IFERROR(IF(INDEX(SPOT_Import!$A$1:$Z$2488,1796,'Live Data'!$C$15)="","",INDEX(SPOT_Import!$A$1:$Z$2488,1796,'Live Data'!$C$15)),"")</f>
        <v/>
      </c>
      <c r="E1796" s="54" t="str">
        <f>IFERROR(IF(INDEX(SPOT_Import!$A$1:$Z$2488,1796,'Live Data'!$C$16)="","",INDEX(SPOT_Import!$A$1:$Z$2488,1796,'Live Data'!$C$16)),"")</f>
        <v/>
      </c>
      <c r="F1796" s="54" t="str">
        <f>IFERROR(IF(INDEX(SPOT_Import!$A$1:$Z$2488,1796,'Live Data'!$C$17)="","",INDEX(SPOT_Import!$A$1:$Z$2488,1796,'Live Data'!$C$17)),"")</f>
        <v/>
      </c>
      <c r="G1796" s="54" t="str">
        <f>IFERROR(IF(INDEX(SPOT_Import!$A$1:$Z$2488,1796,'Live Data'!$C$18)="","",INDEX(SPOT_Import!$A$1:$Z$2488,1796,'Live Data'!$C$18)),"")</f>
        <v/>
      </c>
      <c r="H1796" s="54" t="str">
        <f>IFERROR(IF(INDEX(SPOT_Import!$A$1:$Z$2488,1796,'Live Data'!$C$19)="","",INDEX(SPOT_Import!$A$1:$Z$2488,1796,'Live Data'!$C$19)),"")</f>
        <v/>
      </c>
      <c r="I1796" s="54" t="str">
        <f>IFERROR(IF(INDEX(SPOT_Import!$A$1:$Z$2488,1796,'Live Data'!$C$20)="","",INDEX(SPOT_Import!$A$1:$Z$2488,1796,'Live Data'!$C$20)),"")</f>
        <v/>
      </c>
      <c r="J1796" s="54" t="str">
        <f>IFERROR(IF(INDEX(SPOT_Import!$A$1:$Z$2488,1796,'Live Data'!$C$21)="","",INDEX(SPOT_Import!$A$1:$Z$2488,1796,'Live Data'!$C$21)),"")</f>
        <v/>
      </c>
      <c r="K1796" s="54" t="str">
        <f>IFERROR(IF(INDEX(SPOT_Import!$A$1:$Z$2488,1796,'Live Data'!$C$22)="","",INDEX(SPOT_Import!$A$1:$Z$2488,1796,'Live Data'!$C$22)),"")</f>
        <v/>
      </c>
      <c r="L1796" s="55" t="str">
        <f t="shared" si="56"/>
        <v/>
      </c>
      <c r="M1796" s="55" t="str">
        <f t="shared" si="57"/>
        <v/>
      </c>
      <c r="N1796" s="55" t="str">
        <f>IF(A1796="","",IFERROR(INDEX('Cluster Map'!$A$4:$A$38,MATCH(M1796,'Cluster Map'!$B$4:$B$38,0)),"Unmapped"))</f>
        <v/>
      </c>
      <c r="O1796" s="55">
        <f>IF(A1796="",0,IF(COUNTIFS($A$2:A1796,A1796,$F$2:F1796,F1796,$L$2:L1796,L1796)=1,1,0))</f>
        <v>0</v>
      </c>
      <c r="P1796" s="55">
        <f>IF(A1796="",0,IF(AND(F1796="C&amp;T",COUNTIFS($A$2:A1796,A1796,$F$2:F1796,"C&amp;T")=1),1,0))</f>
        <v>0</v>
      </c>
    </row>
    <row r="1797" spans="1:16" x14ac:dyDescent="0.35">
      <c r="A1797" s="54" t="str">
        <f>IFERROR(IF(INDEX(SPOT_Import!$A$1:$Z$2488,1797,'Live Data'!$C$12)="","",INDEX(SPOT_Import!$A$1:$Z$2488,1797,'Live Data'!$C$12)),"")</f>
        <v/>
      </c>
      <c r="B1797" s="54" t="str">
        <f>IFERROR(IF(INDEX(SPOT_Import!$A$1:$Z$2488,1797,'Live Data'!$C$13)="","",INDEX(SPOT_Import!$A$1:$Z$2488,1797,'Live Data'!$C$13)),"")</f>
        <v/>
      </c>
      <c r="C1797" s="54" t="str">
        <f>IFERROR(IF(INDEX(SPOT_Import!$A$1:$Z$2488,1797,'Live Data'!$C$14)="","",INDEX(SPOT_Import!$A$1:$Z$2488,1797,'Live Data'!$C$14)),"")</f>
        <v/>
      </c>
      <c r="D1797" s="54" t="str">
        <f>IFERROR(IF(INDEX(SPOT_Import!$A$1:$Z$2488,1797,'Live Data'!$C$15)="","",INDEX(SPOT_Import!$A$1:$Z$2488,1797,'Live Data'!$C$15)),"")</f>
        <v/>
      </c>
      <c r="E1797" s="54" t="str">
        <f>IFERROR(IF(INDEX(SPOT_Import!$A$1:$Z$2488,1797,'Live Data'!$C$16)="","",INDEX(SPOT_Import!$A$1:$Z$2488,1797,'Live Data'!$C$16)),"")</f>
        <v/>
      </c>
      <c r="F1797" s="54" t="str">
        <f>IFERROR(IF(INDEX(SPOT_Import!$A$1:$Z$2488,1797,'Live Data'!$C$17)="","",INDEX(SPOT_Import!$A$1:$Z$2488,1797,'Live Data'!$C$17)),"")</f>
        <v/>
      </c>
      <c r="G1797" s="54" t="str">
        <f>IFERROR(IF(INDEX(SPOT_Import!$A$1:$Z$2488,1797,'Live Data'!$C$18)="","",INDEX(SPOT_Import!$A$1:$Z$2488,1797,'Live Data'!$C$18)),"")</f>
        <v/>
      </c>
      <c r="H1797" s="54" t="str">
        <f>IFERROR(IF(INDEX(SPOT_Import!$A$1:$Z$2488,1797,'Live Data'!$C$19)="","",INDEX(SPOT_Import!$A$1:$Z$2488,1797,'Live Data'!$C$19)),"")</f>
        <v/>
      </c>
      <c r="I1797" s="54" t="str">
        <f>IFERROR(IF(INDEX(SPOT_Import!$A$1:$Z$2488,1797,'Live Data'!$C$20)="","",INDEX(SPOT_Import!$A$1:$Z$2488,1797,'Live Data'!$C$20)),"")</f>
        <v/>
      </c>
      <c r="J1797" s="54" t="str">
        <f>IFERROR(IF(INDEX(SPOT_Import!$A$1:$Z$2488,1797,'Live Data'!$C$21)="","",INDEX(SPOT_Import!$A$1:$Z$2488,1797,'Live Data'!$C$21)),"")</f>
        <v/>
      </c>
      <c r="K1797" s="54" t="str">
        <f>IFERROR(IF(INDEX(SPOT_Import!$A$1:$Z$2488,1797,'Live Data'!$C$22)="","",INDEX(SPOT_Import!$A$1:$Z$2488,1797,'Live Data'!$C$22)),"")</f>
        <v/>
      </c>
      <c r="L1797" s="55" t="str">
        <f t="shared" si="56"/>
        <v/>
      </c>
      <c r="M1797" s="55" t="str">
        <f t="shared" si="57"/>
        <v/>
      </c>
      <c r="N1797" s="55" t="str">
        <f>IF(A1797="","",IFERROR(INDEX('Cluster Map'!$A$4:$A$38,MATCH(M1797,'Cluster Map'!$B$4:$B$38,0)),"Unmapped"))</f>
        <v/>
      </c>
      <c r="O1797" s="55">
        <f>IF(A1797="",0,IF(COUNTIFS($A$2:A1797,A1797,$F$2:F1797,F1797,$L$2:L1797,L1797)=1,1,0))</f>
        <v>0</v>
      </c>
      <c r="P1797" s="55">
        <f>IF(A1797="",0,IF(AND(F1797="C&amp;T",COUNTIFS($A$2:A1797,A1797,$F$2:F1797,"C&amp;T")=1),1,0))</f>
        <v>0</v>
      </c>
    </row>
    <row r="1798" spans="1:16" x14ac:dyDescent="0.35">
      <c r="A1798" s="54" t="str">
        <f>IFERROR(IF(INDEX(SPOT_Import!$A$1:$Z$2488,1798,'Live Data'!$C$12)="","",INDEX(SPOT_Import!$A$1:$Z$2488,1798,'Live Data'!$C$12)),"")</f>
        <v/>
      </c>
      <c r="B1798" s="54" t="str">
        <f>IFERROR(IF(INDEX(SPOT_Import!$A$1:$Z$2488,1798,'Live Data'!$C$13)="","",INDEX(SPOT_Import!$A$1:$Z$2488,1798,'Live Data'!$C$13)),"")</f>
        <v/>
      </c>
      <c r="C1798" s="54" t="str">
        <f>IFERROR(IF(INDEX(SPOT_Import!$A$1:$Z$2488,1798,'Live Data'!$C$14)="","",INDEX(SPOT_Import!$A$1:$Z$2488,1798,'Live Data'!$C$14)),"")</f>
        <v/>
      </c>
      <c r="D1798" s="54" t="str">
        <f>IFERROR(IF(INDEX(SPOT_Import!$A$1:$Z$2488,1798,'Live Data'!$C$15)="","",INDEX(SPOT_Import!$A$1:$Z$2488,1798,'Live Data'!$C$15)),"")</f>
        <v/>
      </c>
      <c r="E1798" s="54" t="str">
        <f>IFERROR(IF(INDEX(SPOT_Import!$A$1:$Z$2488,1798,'Live Data'!$C$16)="","",INDEX(SPOT_Import!$A$1:$Z$2488,1798,'Live Data'!$C$16)),"")</f>
        <v/>
      </c>
      <c r="F1798" s="54" t="str">
        <f>IFERROR(IF(INDEX(SPOT_Import!$A$1:$Z$2488,1798,'Live Data'!$C$17)="","",INDEX(SPOT_Import!$A$1:$Z$2488,1798,'Live Data'!$C$17)),"")</f>
        <v/>
      </c>
      <c r="G1798" s="54" t="str">
        <f>IFERROR(IF(INDEX(SPOT_Import!$A$1:$Z$2488,1798,'Live Data'!$C$18)="","",INDEX(SPOT_Import!$A$1:$Z$2488,1798,'Live Data'!$C$18)),"")</f>
        <v/>
      </c>
      <c r="H1798" s="54" t="str">
        <f>IFERROR(IF(INDEX(SPOT_Import!$A$1:$Z$2488,1798,'Live Data'!$C$19)="","",INDEX(SPOT_Import!$A$1:$Z$2488,1798,'Live Data'!$C$19)),"")</f>
        <v/>
      </c>
      <c r="I1798" s="54" t="str">
        <f>IFERROR(IF(INDEX(SPOT_Import!$A$1:$Z$2488,1798,'Live Data'!$C$20)="","",INDEX(SPOT_Import!$A$1:$Z$2488,1798,'Live Data'!$C$20)),"")</f>
        <v/>
      </c>
      <c r="J1798" s="54" t="str">
        <f>IFERROR(IF(INDEX(SPOT_Import!$A$1:$Z$2488,1798,'Live Data'!$C$21)="","",INDEX(SPOT_Import!$A$1:$Z$2488,1798,'Live Data'!$C$21)),"")</f>
        <v/>
      </c>
      <c r="K1798" s="54" t="str">
        <f>IFERROR(IF(INDEX(SPOT_Import!$A$1:$Z$2488,1798,'Live Data'!$C$22)="","",INDEX(SPOT_Import!$A$1:$Z$2488,1798,'Live Data'!$C$22)),"")</f>
        <v/>
      </c>
      <c r="L1798" s="55" t="str">
        <f t="shared" si="56"/>
        <v/>
      </c>
      <c r="M1798" s="55" t="str">
        <f t="shared" si="57"/>
        <v/>
      </c>
      <c r="N1798" s="55" t="str">
        <f>IF(A1798="","",IFERROR(INDEX('Cluster Map'!$A$4:$A$38,MATCH(M1798,'Cluster Map'!$B$4:$B$38,0)),"Unmapped"))</f>
        <v/>
      </c>
      <c r="O1798" s="55">
        <f>IF(A1798="",0,IF(COUNTIFS($A$2:A1798,A1798,$F$2:F1798,F1798,$L$2:L1798,L1798)=1,1,0))</f>
        <v>0</v>
      </c>
      <c r="P1798" s="55">
        <f>IF(A1798="",0,IF(AND(F1798="C&amp;T",COUNTIFS($A$2:A1798,A1798,$F$2:F1798,"C&amp;T")=1),1,0))</f>
        <v>0</v>
      </c>
    </row>
    <row r="1799" spans="1:16" x14ac:dyDescent="0.35">
      <c r="A1799" s="54" t="str">
        <f>IFERROR(IF(INDEX(SPOT_Import!$A$1:$Z$2488,1799,'Live Data'!$C$12)="","",INDEX(SPOT_Import!$A$1:$Z$2488,1799,'Live Data'!$C$12)),"")</f>
        <v/>
      </c>
      <c r="B1799" s="54" t="str">
        <f>IFERROR(IF(INDEX(SPOT_Import!$A$1:$Z$2488,1799,'Live Data'!$C$13)="","",INDEX(SPOT_Import!$A$1:$Z$2488,1799,'Live Data'!$C$13)),"")</f>
        <v/>
      </c>
      <c r="C1799" s="54" t="str">
        <f>IFERROR(IF(INDEX(SPOT_Import!$A$1:$Z$2488,1799,'Live Data'!$C$14)="","",INDEX(SPOT_Import!$A$1:$Z$2488,1799,'Live Data'!$C$14)),"")</f>
        <v/>
      </c>
      <c r="D1799" s="54" t="str">
        <f>IFERROR(IF(INDEX(SPOT_Import!$A$1:$Z$2488,1799,'Live Data'!$C$15)="","",INDEX(SPOT_Import!$A$1:$Z$2488,1799,'Live Data'!$C$15)),"")</f>
        <v/>
      </c>
      <c r="E1799" s="54" t="str">
        <f>IFERROR(IF(INDEX(SPOT_Import!$A$1:$Z$2488,1799,'Live Data'!$C$16)="","",INDEX(SPOT_Import!$A$1:$Z$2488,1799,'Live Data'!$C$16)),"")</f>
        <v/>
      </c>
      <c r="F1799" s="54" t="str">
        <f>IFERROR(IF(INDEX(SPOT_Import!$A$1:$Z$2488,1799,'Live Data'!$C$17)="","",INDEX(SPOT_Import!$A$1:$Z$2488,1799,'Live Data'!$C$17)),"")</f>
        <v/>
      </c>
      <c r="G1799" s="54" t="str">
        <f>IFERROR(IF(INDEX(SPOT_Import!$A$1:$Z$2488,1799,'Live Data'!$C$18)="","",INDEX(SPOT_Import!$A$1:$Z$2488,1799,'Live Data'!$C$18)),"")</f>
        <v/>
      </c>
      <c r="H1799" s="54" t="str">
        <f>IFERROR(IF(INDEX(SPOT_Import!$A$1:$Z$2488,1799,'Live Data'!$C$19)="","",INDEX(SPOT_Import!$A$1:$Z$2488,1799,'Live Data'!$C$19)),"")</f>
        <v/>
      </c>
      <c r="I1799" s="54" t="str">
        <f>IFERROR(IF(INDEX(SPOT_Import!$A$1:$Z$2488,1799,'Live Data'!$C$20)="","",INDEX(SPOT_Import!$A$1:$Z$2488,1799,'Live Data'!$C$20)),"")</f>
        <v/>
      </c>
      <c r="J1799" s="54" t="str">
        <f>IFERROR(IF(INDEX(SPOT_Import!$A$1:$Z$2488,1799,'Live Data'!$C$21)="","",INDEX(SPOT_Import!$A$1:$Z$2488,1799,'Live Data'!$C$21)),"")</f>
        <v/>
      </c>
      <c r="K1799" s="54" t="str">
        <f>IFERROR(IF(INDEX(SPOT_Import!$A$1:$Z$2488,1799,'Live Data'!$C$22)="","",INDEX(SPOT_Import!$A$1:$Z$2488,1799,'Live Data'!$C$22)),"")</f>
        <v/>
      </c>
      <c r="L1799" s="55" t="str">
        <f t="shared" si="56"/>
        <v/>
      </c>
      <c r="M1799" s="55" t="str">
        <f t="shared" si="57"/>
        <v/>
      </c>
      <c r="N1799" s="55" t="str">
        <f>IF(A1799="","",IFERROR(INDEX('Cluster Map'!$A$4:$A$38,MATCH(M1799,'Cluster Map'!$B$4:$B$38,0)),"Unmapped"))</f>
        <v/>
      </c>
      <c r="O1799" s="55">
        <f>IF(A1799="",0,IF(COUNTIFS($A$2:A1799,A1799,$F$2:F1799,F1799,$L$2:L1799,L1799)=1,1,0))</f>
        <v>0</v>
      </c>
      <c r="P1799" s="55">
        <f>IF(A1799="",0,IF(AND(F1799="C&amp;T",COUNTIFS($A$2:A1799,A1799,$F$2:F1799,"C&amp;T")=1),1,0))</f>
        <v>0</v>
      </c>
    </row>
    <row r="1800" spans="1:16" x14ac:dyDescent="0.35">
      <c r="A1800" s="54" t="str">
        <f>IFERROR(IF(INDEX(SPOT_Import!$A$1:$Z$2488,1800,'Live Data'!$C$12)="","",INDEX(SPOT_Import!$A$1:$Z$2488,1800,'Live Data'!$C$12)),"")</f>
        <v/>
      </c>
      <c r="B1800" s="54" t="str">
        <f>IFERROR(IF(INDEX(SPOT_Import!$A$1:$Z$2488,1800,'Live Data'!$C$13)="","",INDEX(SPOT_Import!$A$1:$Z$2488,1800,'Live Data'!$C$13)),"")</f>
        <v/>
      </c>
      <c r="C1800" s="54" t="str">
        <f>IFERROR(IF(INDEX(SPOT_Import!$A$1:$Z$2488,1800,'Live Data'!$C$14)="","",INDEX(SPOT_Import!$A$1:$Z$2488,1800,'Live Data'!$C$14)),"")</f>
        <v/>
      </c>
      <c r="D1800" s="54" t="str">
        <f>IFERROR(IF(INDEX(SPOT_Import!$A$1:$Z$2488,1800,'Live Data'!$C$15)="","",INDEX(SPOT_Import!$A$1:$Z$2488,1800,'Live Data'!$C$15)),"")</f>
        <v/>
      </c>
      <c r="E1800" s="54" t="str">
        <f>IFERROR(IF(INDEX(SPOT_Import!$A$1:$Z$2488,1800,'Live Data'!$C$16)="","",INDEX(SPOT_Import!$A$1:$Z$2488,1800,'Live Data'!$C$16)),"")</f>
        <v/>
      </c>
      <c r="F1800" s="54" t="str">
        <f>IFERROR(IF(INDEX(SPOT_Import!$A$1:$Z$2488,1800,'Live Data'!$C$17)="","",INDEX(SPOT_Import!$A$1:$Z$2488,1800,'Live Data'!$C$17)),"")</f>
        <v/>
      </c>
      <c r="G1800" s="54" t="str">
        <f>IFERROR(IF(INDEX(SPOT_Import!$A$1:$Z$2488,1800,'Live Data'!$C$18)="","",INDEX(SPOT_Import!$A$1:$Z$2488,1800,'Live Data'!$C$18)),"")</f>
        <v/>
      </c>
      <c r="H1800" s="54" t="str">
        <f>IFERROR(IF(INDEX(SPOT_Import!$A$1:$Z$2488,1800,'Live Data'!$C$19)="","",INDEX(SPOT_Import!$A$1:$Z$2488,1800,'Live Data'!$C$19)),"")</f>
        <v/>
      </c>
      <c r="I1800" s="54" t="str">
        <f>IFERROR(IF(INDEX(SPOT_Import!$A$1:$Z$2488,1800,'Live Data'!$C$20)="","",INDEX(SPOT_Import!$A$1:$Z$2488,1800,'Live Data'!$C$20)),"")</f>
        <v/>
      </c>
      <c r="J1800" s="54" t="str">
        <f>IFERROR(IF(INDEX(SPOT_Import!$A$1:$Z$2488,1800,'Live Data'!$C$21)="","",INDEX(SPOT_Import!$A$1:$Z$2488,1800,'Live Data'!$C$21)),"")</f>
        <v/>
      </c>
      <c r="K1800" s="54" t="str">
        <f>IFERROR(IF(INDEX(SPOT_Import!$A$1:$Z$2488,1800,'Live Data'!$C$22)="","",INDEX(SPOT_Import!$A$1:$Z$2488,1800,'Live Data'!$C$22)),"")</f>
        <v/>
      </c>
      <c r="L1800" s="55" t="str">
        <f t="shared" si="56"/>
        <v/>
      </c>
      <c r="M1800" s="55" t="str">
        <f t="shared" si="57"/>
        <v/>
      </c>
      <c r="N1800" s="55" t="str">
        <f>IF(A1800="","",IFERROR(INDEX('Cluster Map'!$A$4:$A$38,MATCH(M1800,'Cluster Map'!$B$4:$B$38,0)),"Unmapped"))</f>
        <v/>
      </c>
      <c r="O1800" s="55">
        <f>IF(A1800="",0,IF(COUNTIFS($A$2:A1800,A1800,$F$2:F1800,F1800,$L$2:L1800,L1800)=1,1,0))</f>
        <v>0</v>
      </c>
      <c r="P1800" s="55">
        <f>IF(A1800="",0,IF(AND(F1800="C&amp;T",COUNTIFS($A$2:A1800,A1800,$F$2:F1800,"C&amp;T")=1),1,0))</f>
        <v>0</v>
      </c>
    </row>
    <row r="1801" spans="1:16" x14ac:dyDescent="0.35">
      <c r="A1801" s="54" t="str">
        <f>IFERROR(IF(INDEX(SPOT_Import!$A$1:$Z$2488,1801,'Live Data'!$C$12)="","",INDEX(SPOT_Import!$A$1:$Z$2488,1801,'Live Data'!$C$12)),"")</f>
        <v/>
      </c>
      <c r="B1801" s="54" t="str">
        <f>IFERROR(IF(INDEX(SPOT_Import!$A$1:$Z$2488,1801,'Live Data'!$C$13)="","",INDEX(SPOT_Import!$A$1:$Z$2488,1801,'Live Data'!$C$13)),"")</f>
        <v/>
      </c>
      <c r="C1801" s="54" t="str">
        <f>IFERROR(IF(INDEX(SPOT_Import!$A$1:$Z$2488,1801,'Live Data'!$C$14)="","",INDEX(SPOT_Import!$A$1:$Z$2488,1801,'Live Data'!$C$14)),"")</f>
        <v/>
      </c>
      <c r="D1801" s="54" t="str">
        <f>IFERROR(IF(INDEX(SPOT_Import!$A$1:$Z$2488,1801,'Live Data'!$C$15)="","",INDEX(SPOT_Import!$A$1:$Z$2488,1801,'Live Data'!$C$15)),"")</f>
        <v/>
      </c>
      <c r="E1801" s="54" t="str">
        <f>IFERROR(IF(INDEX(SPOT_Import!$A$1:$Z$2488,1801,'Live Data'!$C$16)="","",INDEX(SPOT_Import!$A$1:$Z$2488,1801,'Live Data'!$C$16)),"")</f>
        <v/>
      </c>
      <c r="F1801" s="54" t="str">
        <f>IFERROR(IF(INDEX(SPOT_Import!$A$1:$Z$2488,1801,'Live Data'!$C$17)="","",INDEX(SPOT_Import!$A$1:$Z$2488,1801,'Live Data'!$C$17)),"")</f>
        <v/>
      </c>
      <c r="G1801" s="54" t="str">
        <f>IFERROR(IF(INDEX(SPOT_Import!$A$1:$Z$2488,1801,'Live Data'!$C$18)="","",INDEX(SPOT_Import!$A$1:$Z$2488,1801,'Live Data'!$C$18)),"")</f>
        <v/>
      </c>
      <c r="H1801" s="54" t="str">
        <f>IFERROR(IF(INDEX(SPOT_Import!$A$1:$Z$2488,1801,'Live Data'!$C$19)="","",INDEX(SPOT_Import!$A$1:$Z$2488,1801,'Live Data'!$C$19)),"")</f>
        <v/>
      </c>
      <c r="I1801" s="54" t="str">
        <f>IFERROR(IF(INDEX(SPOT_Import!$A$1:$Z$2488,1801,'Live Data'!$C$20)="","",INDEX(SPOT_Import!$A$1:$Z$2488,1801,'Live Data'!$C$20)),"")</f>
        <v/>
      </c>
      <c r="J1801" s="54" t="str">
        <f>IFERROR(IF(INDEX(SPOT_Import!$A$1:$Z$2488,1801,'Live Data'!$C$21)="","",INDEX(SPOT_Import!$A$1:$Z$2488,1801,'Live Data'!$C$21)),"")</f>
        <v/>
      </c>
      <c r="K1801" s="54" t="str">
        <f>IFERROR(IF(INDEX(SPOT_Import!$A$1:$Z$2488,1801,'Live Data'!$C$22)="","",INDEX(SPOT_Import!$A$1:$Z$2488,1801,'Live Data'!$C$22)),"")</f>
        <v/>
      </c>
      <c r="L1801" s="55" t="str">
        <f t="shared" si="56"/>
        <v/>
      </c>
      <c r="M1801" s="55" t="str">
        <f t="shared" si="57"/>
        <v/>
      </c>
      <c r="N1801" s="55" t="str">
        <f>IF(A1801="","",IFERROR(INDEX('Cluster Map'!$A$4:$A$38,MATCH(M1801,'Cluster Map'!$B$4:$B$38,0)),"Unmapped"))</f>
        <v/>
      </c>
      <c r="O1801" s="55">
        <f>IF(A1801="",0,IF(COUNTIFS($A$2:A1801,A1801,$F$2:F1801,F1801,$L$2:L1801,L1801)=1,1,0))</f>
        <v>0</v>
      </c>
      <c r="P1801" s="55">
        <f>IF(A1801="",0,IF(AND(F1801="C&amp;T",COUNTIFS($A$2:A1801,A1801,$F$2:F1801,"C&amp;T")=1),1,0))</f>
        <v>0</v>
      </c>
    </row>
    <row r="1802" spans="1:16" x14ac:dyDescent="0.35">
      <c r="A1802" s="54" t="str">
        <f>IFERROR(IF(INDEX(SPOT_Import!$A$1:$Z$2488,1802,'Live Data'!$C$12)="","",INDEX(SPOT_Import!$A$1:$Z$2488,1802,'Live Data'!$C$12)),"")</f>
        <v/>
      </c>
      <c r="B1802" s="54" t="str">
        <f>IFERROR(IF(INDEX(SPOT_Import!$A$1:$Z$2488,1802,'Live Data'!$C$13)="","",INDEX(SPOT_Import!$A$1:$Z$2488,1802,'Live Data'!$C$13)),"")</f>
        <v/>
      </c>
      <c r="C1802" s="54" t="str">
        <f>IFERROR(IF(INDEX(SPOT_Import!$A$1:$Z$2488,1802,'Live Data'!$C$14)="","",INDEX(SPOT_Import!$A$1:$Z$2488,1802,'Live Data'!$C$14)),"")</f>
        <v/>
      </c>
      <c r="D1802" s="54" t="str">
        <f>IFERROR(IF(INDEX(SPOT_Import!$A$1:$Z$2488,1802,'Live Data'!$C$15)="","",INDEX(SPOT_Import!$A$1:$Z$2488,1802,'Live Data'!$C$15)),"")</f>
        <v/>
      </c>
      <c r="E1802" s="54" t="str">
        <f>IFERROR(IF(INDEX(SPOT_Import!$A$1:$Z$2488,1802,'Live Data'!$C$16)="","",INDEX(SPOT_Import!$A$1:$Z$2488,1802,'Live Data'!$C$16)),"")</f>
        <v/>
      </c>
      <c r="F1802" s="54" t="str">
        <f>IFERROR(IF(INDEX(SPOT_Import!$A$1:$Z$2488,1802,'Live Data'!$C$17)="","",INDEX(SPOT_Import!$A$1:$Z$2488,1802,'Live Data'!$C$17)),"")</f>
        <v/>
      </c>
      <c r="G1802" s="54" t="str">
        <f>IFERROR(IF(INDEX(SPOT_Import!$A$1:$Z$2488,1802,'Live Data'!$C$18)="","",INDEX(SPOT_Import!$A$1:$Z$2488,1802,'Live Data'!$C$18)),"")</f>
        <v/>
      </c>
      <c r="H1802" s="54" t="str">
        <f>IFERROR(IF(INDEX(SPOT_Import!$A$1:$Z$2488,1802,'Live Data'!$C$19)="","",INDEX(SPOT_Import!$A$1:$Z$2488,1802,'Live Data'!$C$19)),"")</f>
        <v/>
      </c>
      <c r="I1802" s="54" t="str">
        <f>IFERROR(IF(INDEX(SPOT_Import!$A$1:$Z$2488,1802,'Live Data'!$C$20)="","",INDEX(SPOT_Import!$A$1:$Z$2488,1802,'Live Data'!$C$20)),"")</f>
        <v/>
      </c>
      <c r="J1802" s="54" t="str">
        <f>IFERROR(IF(INDEX(SPOT_Import!$A$1:$Z$2488,1802,'Live Data'!$C$21)="","",INDEX(SPOT_Import!$A$1:$Z$2488,1802,'Live Data'!$C$21)),"")</f>
        <v/>
      </c>
      <c r="K1802" s="54" t="str">
        <f>IFERROR(IF(INDEX(SPOT_Import!$A$1:$Z$2488,1802,'Live Data'!$C$22)="","",INDEX(SPOT_Import!$A$1:$Z$2488,1802,'Live Data'!$C$22)),"")</f>
        <v/>
      </c>
      <c r="L1802" s="55" t="str">
        <f t="shared" si="56"/>
        <v/>
      </c>
      <c r="M1802" s="55" t="str">
        <f t="shared" si="57"/>
        <v/>
      </c>
      <c r="N1802" s="55" t="str">
        <f>IF(A1802="","",IFERROR(INDEX('Cluster Map'!$A$4:$A$38,MATCH(M1802,'Cluster Map'!$B$4:$B$38,0)),"Unmapped"))</f>
        <v/>
      </c>
      <c r="O1802" s="55">
        <f>IF(A1802="",0,IF(COUNTIFS($A$2:A1802,A1802,$F$2:F1802,F1802,$L$2:L1802,L1802)=1,1,0))</f>
        <v>0</v>
      </c>
      <c r="P1802" s="55">
        <f>IF(A1802="",0,IF(AND(F1802="C&amp;T",COUNTIFS($A$2:A1802,A1802,$F$2:F1802,"C&amp;T")=1),1,0))</f>
        <v>0</v>
      </c>
    </row>
    <row r="1803" spans="1:16" x14ac:dyDescent="0.35">
      <c r="A1803" s="54" t="str">
        <f>IFERROR(IF(INDEX(SPOT_Import!$A$1:$Z$2488,1803,'Live Data'!$C$12)="","",INDEX(SPOT_Import!$A$1:$Z$2488,1803,'Live Data'!$C$12)),"")</f>
        <v/>
      </c>
      <c r="B1803" s="54" t="str">
        <f>IFERROR(IF(INDEX(SPOT_Import!$A$1:$Z$2488,1803,'Live Data'!$C$13)="","",INDEX(SPOT_Import!$A$1:$Z$2488,1803,'Live Data'!$C$13)),"")</f>
        <v/>
      </c>
      <c r="C1803" s="54" t="str">
        <f>IFERROR(IF(INDEX(SPOT_Import!$A$1:$Z$2488,1803,'Live Data'!$C$14)="","",INDEX(SPOT_Import!$A$1:$Z$2488,1803,'Live Data'!$C$14)),"")</f>
        <v/>
      </c>
      <c r="D1803" s="54" t="str">
        <f>IFERROR(IF(INDEX(SPOT_Import!$A$1:$Z$2488,1803,'Live Data'!$C$15)="","",INDEX(SPOT_Import!$A$1:$Z$2488,1803,'Live Data'!$C$15)),"")</f>
        <v/>
      </c>
      <c r="E1803" s="54" t="str">
        <f>IFERROR(IF(INDEX(SPOT_Import!$A$1:$Z$2488,1803,'Live Data'!$C$16)="","",INDEX(SPOT_Import!$A$1:$Z$2488,1803,'Live Data'!$C$16)),"")</f>
        <v/>
      </c>
      <c r="F1803" s="54" t="str">
        <f>IFERROR(IF(INDEX(SPOT_Import!$A$1:$Z$2488,1803,'Live Data'!$C$17)="","",INDEX(SPOT_Import!$A$1:$Z$2488,1803,'Live Data'!$C$17)),"")</f>
        <v/>
      </c>
      <c r="G1803" s="54" t="str">
        <f>IFERROR(IF(INDEX(SPOT_Import!$A$1:$Z$2488,1803,'Live Data'!$C$18)="","",INDEX(SPOT_Import!$A$1:$Z$2488,1803,'Live Data'!$C$18)),"")</f>
        <v/>
      </c>
      <c r="H1803" s="54" t="str">
        <f>IFERROR(IF(INDEX(SPOT_Import!$A$1:$Z$2488,1803,'Live Data'!$C$19)="","",INDEX(SPOT_Import!$A$1:$Z$2488,1803,'Live Data'!$C$19)),"")</f>
        <v/>
      </c>
      <c r="I1803" s="54" t="str">
        <f>IFERROR(IF(INDEX(SPOT_Import!$A$1:$Z$2488,1803,'Live Data'!$C$20)="","",INDEX(SPOT_Import!$A$1:$Z$2488,1803,'Live Data'!$C$20)),"")</f>
        <v/>
      </c>
      <c r="J1803" s="54" t="str">
        <f>IFERROR(IF(INDEX(SPOT_Import!$A$1:$Z$2488,1803,'Live Data'!$C$21)="","",INDEX(SPOT_Import!$A$1:$Z$2488,1803,'Live Data'!$C$21)),"")</f>
        <v/>
      </c>
      <c r="K1803" s="54" t="str">
        <f>IFERROR(IF(INDEX(SPOT_Import!$A$1:$Z$2488,1803,'Live Data'!$C$22)="","",INDEX(SPOT_Import!$A$1:$Z$2488,1803,'Live Data'!$C$22)),"")</f>
        <v/>
      </c>
      <c r="L1803" s="55" t="str">
        <f t="shared" si="56"/>
        <v/>
      </c>
      <c r="M1803" s="55" t="str">
        <f t="shared" si="57"/>
        <v/>
      </c>
      <c r="N1803" s="55" t="str">
        <f>IF(A1803="","",IFERROR(INDEX('Cluster Map'!$A$4:$A$38,MATCH(M1803,'Cluster Map'!$B$4:$B$38,0)),"Unmapped"))</f>
        <v/>
      </c>
      <c r="O1803" s="55">
        <f>IF(A1803="",0,IF(COUNTIFS($A$2:A1803,A1803,$F$2:F1803,F1803,$L$2:L1803,L1803)=1,1,0))</f>
        <v>0</v>
      </c>
      <c r="P1803" s="55">
        <f>IF(A1803="",0,IF(AND(F1803="C&amp;T",COUNTIFS($A$2:A1803,A1803,$F$2:F1803,"C&amp;T")=1),1,0))</f>
        <v>0</v>
      </c>
    </row>
    <row r="1804" spans="1:16" x14ac:dyDescent="0.35">
      <c r="A1804" s="54" t="str">
        <f>IFERROR(IF(INDEX(SPOT_Import!$A$1:$Z$2488,1804,'Live Data'!$C$12)="","",INDEX(SPOT_Import!$A$1:$Z$2488,1804,'Live Data'!$C$12)),"")</f>
        <v/>
      </c>
      <c r="B1804" s="54" t="str">
        <f>IFERROR(IF(INDEX(SPOT_Import!$A$1:$Z$2488,1804,'Live Data'!$C$13)="","",INDEX(SPOT_Import!$A$1:$Z$2488,1804,'Live Data'!$C$13)),"")</f>
        <v/>
      </c>
      <c r="C1804" s="54" t="str">
        <f>IFERROR(IF(INDEX(SPOT_Import!$A$1:$Z$2488,1804,'Live Data'!$C$14)="","",INDEX(SPOT_Import!$A$1:$Z$2488,1804,'Live Data'!$C$14)),"")</f>
        <v/>
      </c>
      <c r="D1804" s="54" t="str">
        <f>IFERROR(IF(INDEX(SPOT_Import!$A$1:$Z$2488,1804,'Live Data'!$C$15)="","",INDEX(SPOT_Import!$A$1:$Z$2488,1804,'Live Data'!$C$15)),"")</f>
        <v/>
      </c>
      <c r="E1804" s="54" t="str">
        <f>IFERROR(IF(INDEX(SPOT_Import!$A$1:$Z$2488,1804,'Live Data'!$C$16)="","",INDEX(SPOT_Import!$A$1:$Z$2488,1804,'Live Data'!$C$16)),"")</f>
        <v/>
      </c>
      <c r="F1804" s="54" t="str">
        <f>IFERROR(IF(INDEX(SPOT_Import!$A$1:$Z$2488,1804,'Live Data'!$C$17)="","",INDEX(SPOT_Import!$A$1:$Z$2488,1804,'Live Data'!$C$17)),"")</f>
        <v/>
      </c>
      <c r="G1804" s="54" t="str">
        <f>IFERROR(IF(INDEX(SPOT_Import!$A$1:$Z$2488,1804,'Live Data'!$C$18)="","",INDEX(SPOT_Import!$A$1:$Z$2488,1804,'Live Data'!$C$18)),"")</f>
        <v/>
      </c>
      <c r="H1804" s="54" t="str">
        <f>IFERROR(IF(INDEX(SPOT_Import!$A$1:$Z$2488,1804,'Live Data'!$C$19)="","",INDEX(SPOT_Import!$A$1:$Z$2488,1804,'Live Data'!$C$19)),"")</f>
        <v/>
      </c>
      <c r="I1804" s="54" t="str">
        <f>IFERROR(IF(INDEX(SPOT_Import!$A$1:$Z$2488,1804,'Live Data'!$C$20)="","",INDEX(SPOT_Import!$A$1:$Z$2488,1804,'Live Data'!$C$20)),"")</f>
        <v/>
      </c>
      <c r="J1804" s="54" t="str">
        <f>IFERROR(IF(INDEX(SPOT_Import!$A$1:$Z$2488,1804,'Live Data'!$C$21)="","",INDEX(SPOT_Import!$A$1:$Z$2488,1804,'Live Data'!$C$21)),"")</f>
        <v/>
      </c>
      <c r="K1804" s="54" t="str">
        <f>IFERROR(IF(INDEX(SPOT_Import!$A$1:$Z$2488,1804,'Live Data'!$C$22)="","",INDEX(SPOT_Import!$A$1:$Z$2488,1804,'Live Data'!$C$22)),"")</f>
        <v/>
      </c>
      <c r="L1804" s="55" t="str">
        <f t="shared" si="56"/>
        <v/>
      </c>
      <c r="M1804" s="55" t="str">
        <f t="shared" si="57"/>
        <v/>
      </c>
      <c r="N1804" s="55" t="str">
        <f>IF(A1804="","",IFERROR(INDEX('Cluster Map'!$A$4:$A$38,MATCH(M1804,'Cluster Map'!$B$4:$B$38,0)),"Unmapped"))</f>
        <v/>
      </c>
      <c r="O1804" s="55">
        <f>IF(A1804="",0,IF(COUNTIFS($A$2:A1804,A1804,$F$2:F1804,F1804,$L$2:L1804,L1804)=1,1,0))</f>
        <v>0</v>
      </c>
      <c r="P1804" s="55">
        <f>IF(A1804="",0,IF(AND(F1804="C&amp;T",COUNTIFS($A$2:A1804,A1804,$F$2:F1804,"C&amp;T")=1),1,0))</f>
        <v>0</v>
      </c>
    </row>
    <row r="1805" spans="1:16" x14ac:dyDescent="0.35">
      <c r="A1805" s="54" t="str">
        <f>IFERROR(IF(INDEX(SPOT_Import!$A$1:$Z$2488,1805,'Live Data'!$C$12)="","",INDEX(SPOT_Import!$A$1:$Z$2488,1805,'Live Data'!$C$12)),"")</f>
        <v/>
      </c>
      <c r="B1805" s="54" t="str">
        <f>IFERROR(IF(INDEX(SPOT_Import!$A$1:$Z$2488,1805,'Live Data'!$C$13)="","",INDEX(SPOT_Import!$A$1:$Z$2488,1805,'Live Data'!$C$13)),"")</f>
        <v/>
      </c>
      <c r="C1805" s="54" t="str">
        <f>IFERROR(IF(INDEX(SPOT_Import!$A$1:$Z$2488,1805,'Live Data'!$C$14)="","",INDEX(SPOT_Import!$A$1:$Z$2488,1805,'Live Data'!$C$14)),"")</f>
        <v/>
      </c>
      <c r="D1805" s="54" t="str">
        <f>IFERROR(IF(INDEX(SPOT_Import!$A$1:$Z$2488,1805,'Live Data'!$C$15)="","",INDEX(SPOT_Import!$A$1:$Z$2488,1805,'Live Data'!$C$15)),"")</f>
        <v/>
      </c>
      <c r="E1805" s="54" t="str">
        <f>IFERROR(IF(INDEX(SPOT_Import!$A$1:$Z$2488,1805,'Live Data'!$C$16)="","",INDEX(SPOT_Import!$A$1:$Z$2488,1805,'Live Data'!$C$16)),"")</f>
        <v/>
      </c>
      <c r="F1805" s="54" t="str">
        <f>IFERROR(IF(INDEX(SPOT_Import!$A$1:$Z$2488,1805,'Live Data'!$C$17)="","",INDEX(SPOT_Import!$A$1:$Z$2488,1805,'Live Data'!$C$17)),"")</f>
        <v/>
      </c>
      <c r="G1805" s="54" t="str">
        <f>IFERROR(IF(INDEX(SPOT_Import!$A$1:$Z$2488,1805,'Live Data'!$C$18)="","",INDEX(SPOT_Import!$A$1:$Z$2488,1805,'Live Data'!$C$18)),"")</f>
        <v/>
      </c>
      <c r="H1805" s="54" t="str">
        <f>IFERROR(IF(INDEX(SPOT_Import!$A$1:$Z$2488,1805,'Live Data'!$C$19)="","",INDEX(SPOT_Import!$A$1:$Z$2488,1805,'Live Data'!$C$19)),"")</f>
        <v/>
      </c>
      <c r="I1805" s="54" t="str">
        <f>IFERROR(IF(INDEX(SPOT_Import!$A$1:$Z$2488,1805,'Live Data'!$C$20)="","",INDEX(SPOT_Import!$A$1:$Z$2488,1805,'Live Data'!$C$20)),"")</f>
        <v/>
      </c>
      <c r="J1805" s="54" t="str">
        <f>IFERROR(IF(INDEX(SPOT_Import!$A$1:$Z$2488,1805,'Live Data'!$C$21)="","",INDEX(SPOT_Import!$A$1:$Z$2488,1805,'Live Data'!$C$21)),"")</f>
        <v/>
      </c>
      <c r="K1805" s="54" t="str">
        <f>IFERROR(IF(INDEX(SPOT_Import!$A$1:$Z$2488,1805,'Live Data'!$C$22)="","",INDEX(SPOT_Import!$A$1:$Z$2488,1805,'Live Data'!$C$22)),"")</f>
        <v/>
      </c>
      <c r="L1805" s="55" t="str">
        <f t="shared" si="56"/>
        <v/>
      </c>
      <c r="M1805" s="55" t="str">
        <f t="shared" si="57"/>
        <v/>
      </c>
      <c r="N1805" s="55" t="str">
        <f>IF(A1805="","",IFERROR(INDEX('Cluster Map'!$A$4:$A$38,MATCH(M1805,'Cluster Map'!$B$4:$B$38,0)),"Unmapped"))</f>
        <v/>
      </c>
      <c r="O1805" s="55">
        <f>IF(A1805="",0,IF(COUNTIFS($A$2:A1805,A1805,$F$2:F1805,F1805,$L$2:L1805,L1805)=1,1,0))</f>
        <v>0</v>
      </c>
      <c r="P1805" s="55">
        <f>IF(A1805="",0,IF(AND(F1805="C&amp;T",COUNTIFS($A$2:A1805,A1805,$F$2:F1805,"C&amp;T")=1),1,0))</f>
        <v>0</v>
      </c>
    </row>
    <row r="1806" spans="1:16" x14ac:dyDescent="0.35">
      <c r="A1806" s="54" t="str">
        <f>IFERROR(IF(INDEX(SPOT_Import!$A$1:$Z$2488,1806,'Live Data'!$C$12)="","",INDEX(SPOT_Import!$A$1:$Z$2488,1806,'Live Data'!$C$12)),"")</f>
        <v/>
      </c>
      <c r="B1806" s="54" t="str">
        <f>IFERROR(IF(INDEX(SPOT_Import!$A$1:$Z$2488,1806,'Live Data'!$C$13)="","",INDEX(SPOT_Import!$A$1:$Z$2488,1806,'Live Data'!$C$13)),"")</f>
        <v/>
      </c>
      <c r="C1806" s="54" t="str">
        <f>IFERROR(IF(INDEX(SPOT_Import!$A$1:$Z$2488,1806,'Live Data'!$C$14)="","",INDEX(SPOT_Import!$A$1:$Z$2488,1806,'Live Data'!$C$14)),"")</f>
        <v/>
      </c>
      <c r="D1806" s="54" t="str">
        <f>IFERROR(IF(INDEX(SPOT_Import!$A$1:$Z$2488,1806,'Live Data'!$C$15)="","",INDEX(SPOT_Import!$A$1:$Z$2488,1806,'Live Data'!$C$15)),"")</f>
        <v/>
      </c>
      <c r="E1806" s="54" t="str">
        <f>IFERROR(IF(INDEX(SPOT_Import!$A$1:$Z$2488,1806,'Live Data'!$C$16)="","",INDEX(SPOT_Import!$A$1:$Z$2488,1806,'Live Data'!$C$16)),"")</f>
        <v/>
      </c>
      <c r="F1806" s="54" t="str">
        <f>IFERROR(IF(INDEX(SPOT_Import!$A$1:$Z$2488,1806,'Live Data'!$C$17)="","",INDEX(SPOT_Import!$A$1:$Z$2488,1806,'Live Data'!$C$17)),"")</f>
        <v/>
      </c>
      <c r="G1806" s="54" t="str">
        <f>IFERROR(IF(INDEX(SPOT_Import!$A$1:$Z$2488,1806,'Live Data'!$C$18)="","",INDEX(SPOT_Import!$A$1:$Z$2488,1806,'Live Data'!$C$18)),"")</f>
        <v/>
      </c>
      <c r="H1806" s="54" t="str">
        <f>IFERROR(IF(INDEX(SPOT_Import!$A$1:$Z$2488,1806,'Live Data'!$C$19)="","",INDEX(SPOT_Import!$A$1:$Z$2488,1806,'Live Data'!$C$19)),"")</f>
        <v/>
      </c>
      <c r="I1806" s="54" t="str">
        <f>IFERROR(IF(INDEX(SPOT_Import!$A$1:$Z$2488,1806,'Live Data'!$C$20)="","",INDEX(SPOT_Import!$A$1:$Z$2488,1806,'Live Data'!$C$20)),"")</f>
        <v/>
      </c>
      <c r="J1806" s="54" t="str">
        <f>IFERROR(IF(INDEX(SPOT_Import!$A$1:$Z$2488,1806,'Live Data'!$C$21)="","",INDEX(SPOT_Import!$A$1:$Z$2488,1806,'Live Data'!$C$21)),"")</f>
        <v/>
      </c>
      <c r="K1806" s="54" t="str">
        <f>IFERROR(IF(INDEX(SPOT_Import!$A$1:$Z$2488,1806,'Live Data'!$C$22)="","",INDEX(SPOT_Import!$A$1:$Z$2488,1806,'Live Data'!$C$22)),"")</f>
        <v/>
      </c>
      <c r="L1806" s="55" t="str">
        <f t="shared" si="56"/>
        <v/>
      </c>
      <c r="M1806" s="55" t="str">
        <f t="shared" si="57"/>
        <v/>
      </c>
      <c r="N1806" s="55" t="str">
        <f>IF(A1806="","",IFERROR(INDEX('Cluster Map'!$A$4:$A$38,MATCH(M1806,'Cluster Map'!$B$4:$B$38,0)),"Unmapped"))</f>
        <v/>
      </c>
      <c r="O1806" s="55">
        <f>IF(A1806="",0,IF(COUNTIFS($A$2:A1806,A1806,$F$2:F1806,F1806,$L$2:L1806,L1806)=1,1,0))</f>
        <v>0</v>
      </c>
      <c r="P1806" s="55">
        <f>IF(A1806="",0,IF(AND(F1806="C&amp;T",COUNTIFS($A$2:A1806,A1806,$F$2:F1806,"C&amp;T")=1),1,0))</f>
        <v>0</v>
      </c>
    </row>
    <row r="1807" spans="1:16" x14ac:dyDescent="0.35">
      <c r="A1807" s="54" t="str">
        <f>IFERROR(IF(INDEX(SPOT_Import!$A$1:$Z$2488,1807,'Live Data'!$C$12)="","",INDEX(SPOT_Import!$A$1:$Z$2488,1807,'Live Data'!$C$12)),"")</f>
        <v/>
      </c>
      <c r="B1807" s="54" t="str">
        <f>IFERROR(IF(INDEX(SPOT_Import!$A$1:$Z$2488,1807,'Live Data'!$C$13)="","",INDEX(SPOT_Import!$A$1:$Z$2488,1807,'Live Data'!$C$13)),"")</f>
        <v/>
      </c>
      <c r="C1807" s="54" t="str">
        <f>IFERROR(IF(INDEX(SPOT_Import!$A$1:$Z$2488,1807,'Live Data'!$C$14)="","",INDEX(SPOT_Import!$A$1:$Z$2488,1807,'Live Data'!$C$14)),"")</f>
        <v/>
      </c>
      <c r="D1807" s="54" t="str">
        <f>IFERROR(IF(INDEX(SPOT_Import!$A$1:$Z$2488,1807,'Live Data'!$C$15)="","",INDEX(SPOT_Import!$A$1:$Z$2488,1807,'Live Data'!$C$15)),"")</f>
        <v/>
      </c>
      <c r="E1807" s="54" t="str">
        <f>IFERROR(IF(INDEX(SPOT_Import!$A$1:$Z$2488,1807,'Live Data'!$C$16)="","",INDEX(SPOT_Import!$A$1:$Z$2488,1807,'Live Data'!$C$16)),"")</f>
        <v/>
      </c>
      <c r="F1807" s="54" t="str">
        <f>IFERROR(IF(INDEX(SPOT_Import!$A$1:$Z$2488,1807,'Live Data'!$C$17)="","",INDEX(SPOT_Import!$A$1:$Z$2488,1807,'Live Data'!$C$17)),"")</f>
        <v/>
      </c>
      <c r="G1807" s="54" t="str">
        <f>IFERROR(IF(INDEX(SPOT_Import!$A$1:$Z$2488,1807,'Live Data'!$C$18)="","",INDEX(SPOT_Import!$A$1:$Z$2488,1807,'Live Data'!$C$18)),"")</f>
        <v/>
      </c>
      <c r="H1807" s="54" t="str">
        <f>IFERROR(IF(INDEX(SPOT_Import!$A$1:$Z$2488,1807,'Live Data'!$C$19)="","",INDEX(SPOT_Import!$A$1:$Z$2488,1807,'Live Data'!$C$19)),"")</f>
        <v/>
      </c>
      <c r="I1807" s="54" t="str">
        <f>IFERROR(IF(INDEX(SPOT_Import!$A$1:$Z$2488,1807,'Live Data'!$C$20)="","",INDEX(SPOT_Import!$A$1:$Z$2488,1807,'Live Data'!$C$20)),"")</f>
        <v/>
      </c>
      <c r="J1807" s="54" t="str">
        <f>IFERROR(IF(INDEX(SPOT_Import!$A$1:$Z$2488,1807,'Live Data'!$C$21)="","",INDEX(SPOT_Import!$A$1:$Z$2488,1807,'Live Data'!$C$21)),"")</f>
        <v/>
      </c>
      <c r="K1807" s="54" t="str">
        <f>IFERROR(IF(INDEX(SPOT_Import!$A$1:$Z$2488,1807,'Live Data'!$C$22)="","",INDEX(SPOT_Import!$A$1:$Z$2488,1807,'Live Data'!$C$22)),"")</f>
        <v/>
      </c>
      <c r="L1807" s="55" t="str">
        <f t="shared" si="56"/>
        <v/>
      </c>
      <c r="M1807" s="55" t="str">
        <f t="shared" si="57"/>
        <v/>
      </c>
      <c r="N1807" s="55" t="str">
        <f>IF(A1807="","",IFERROR(INDEX('Cluster Map'!$A$4:$A$38,MATCH(M1807,'Cluster Map'!$B$4:$B$38,0)),"Unmapped"))</f>
        <v/>
      </c>
      <c r="O1807" s="55">
        <f>IF(A1807="",0,IF(COUNTIFS($A$2:A1807,A1807,$F$2:F1807,F1807,$L$2:L1807,L1807)=1,1,0))</f>
        <v>0</v>
      </c>
      <c r="P1807" s="55">
        <f>IF(A1807="",0,IF(AND(F1807="C&amp;T",COUNTIFS($A$2:A1807,A1807,$F$2:F1807,"C&amp;T")=1),1,0))</f>
        <v>0</v>
      </c>
    </row>
    <row r="1808" spans="1:16" x14ac:dyDescent="0.35">
      <c r="A1808" s="54" t="str">
        <f>IFERROR(IF(INDEX(SPOT_Import!$A$1:$Z$2488,1808,'Live Data'!$C$12)="","",INDEX(SPOT_Import!$A$1:$Z$2488,1808,'Live Data'!$C$12)),"")</f>
        <v/>
      </c>
      <c r="B1808" s="54" t="str">
        <f>IFERROR(IF(INDEX(SPOT_Import!$A$1:$Z$2488,1808,'Live Data'!$C$13)="","",INDEX(SPOT_Import!$A$1:$Z$2488,1808,'Live Data'!$C$13)),"")</f>
        <v/>
      </c>
      <c r="C1808" s="54" t="str">
        <f>IFERROR(IF(INDEX(SPOT_Import!$A$1:$Z$2488,1808,'Live Data'!$C$14)="","",INDEX(SPOT_Import!$A$1:$Z$2488,1808,'Live Data'!$C$14)),"")</f>
        <v/>
      </c>
      <c r="D1808" s="54" t="str">
        <f>IFERROR(IF(INDEX(SPOT_Import!$A$1:$Z$2488,1808,'Live Data'!$C$15)="","",INDEX(SPOT_Import!$A$1:$Z$2488,1808,'Live Data'!$C$15)),"")</f>
        <v/>
      </c>
      <c r="E1808" s="54" t="str">
        <f>IFERROR(IF(INDEX(SPOT_Import!$A$1:$Z$2488,1808,'Live Data'!$C$16)="","",INDEX(SPOT_Import!$A$1:$Z$2488,1808,'Live Data'!$C$16)),"")</f>
        <v/>
      </c>
      <c r="F1808" s="54" t="str">
        <f>IFERROR(IF(INDEX(SPOT_Import!$A$1:$Z$2488,1808,'Live Data'!$C$17)="","",INDEX(SPOT_Import!$A$1:$Z$2488,1808,'Live Data'!$C$17)),"")</f>
        <v/>
      </c>
      <c r="G1808" s="54" t="str">
        <f>IFERROR(IF(INDEX(SPOT_Import!$A$1:$Z$2488,1808,'Live Data'!$C$18)="","",INDEX(SPOT_Import!$A$1:$Z$2488,1808,'Live Data'!$C$18)),"")</f>
        <v/>
      </c>
      <c r="H1808" s="54" t="str">
        <f>IFERROR(IF(INDEX(SPOT_Import!$A$1:$Z$2488,1808,'Live Data'!$C$19)="","",INDEX(SPOT_Import!$A$1:$Z$2488,1808,'Live Data'!$C$19)),"")</f>
        <v/>
      </c>
      <c r="I1808" s="54" t="str">
        <f>IFERROR(IF(INDEX(SPOT_Import!$A$1:$Z$2488,1808,'Live Data'!$C$20)="","",INDEX(SPOT_Import!$A$1:$Z$2488,1808,'Live Data'!$C$20)),"")</f>
        <v/>
      </c>
      <c r="J1808" s="54" t="str">
        <f>IFERROR(IF(INDEX(SPOT_Import!$A$1:$Z$2488,1808,'Live Data'!$C$21)="","",INDEX(SPOT_Import!$A$1:$Z$2488,1808,'Live Data'!$C$21)),"")</f>
        <v/>
      </c>
      <c r="K1808" s="54" t="str">
        <f>IFERROR(IF(INDEX(SPOT_Import!$A$1:$Z$2488,1808,'Live Data'!$C$22)="","",INDEX(SPOT_Import!$A$1:$Z$2488,1808,'Live Data'!$C$22)),"")</f>
        <v/>
      </c>
      <c r="L1808" s="55" t="str">
        <f t="shared" si="56"/>
        <v/>
      </c>
      <c r="M1808" s="55" t="str">
        <f t="shared" si="57"/>
        <v/>
      </c>
      <c r="N1808" s="55" t="str">
        <f>IF(A1808="","",IFERROR(INDEX('Cluster Map'!$A$4:$A$38,MATCH(M1808,'Cluster Map'!$B$4:$B$38,0)),"Unmapped"))</f>
        <v/>
      </c>
      <c r="O1808" s="55">
        <f>IF(A1808="",0,IF(COUNTIFS($A$2:A1808,A1808,$F$2:F1808,F1808,$L$2:L1808,L1808)=1,1,0))</f>
        <v>0</v>
      </c>
      <c r="P1808" s="55">
        <f>IF(A1808="",0,IF(AND(F1808="C&amp;T",COUNTIFS($A$2:A1808,A1808,$F$2:F1808,"C&amp;T")=1),1,0))</f>
        <v>0</v>
      </c>
    </row>
    <row r="1809" spans="1:16" x14ac:dyDescent="0.35">
      <c r="A1809" s="54" t="str">
        <f>IFERROR(IF(INDEX(SPOT_Import!$A$1:$Z$2488,1809,'Live Data'!$C$12)="","",INDEX(SPOT_Import!$A$1:$Z$2488,1809,'Live Data'!$C$12)),"")</f>
        <v/>
      </c>
      <c r="B1809" s="54" t="str">
        <f>IFERROR(IF(INDEX(SPOT_Import!$A$1:$Z$2488,1809,'Live Data'!$C$13)="","",INDEX(SPOT_Import!$A$1:$Z$2488,1809,'Live Data'!$C$13)),"")</f>
        <v/>
      </c>
      <c r="C1809" s="54" t="str">
        <f>IFERROR(IF(INDEX(SPOT_Import!$A$1:$Z$2488,1809,'Live Data'!$C$14)="","",INDEX(SPOT_Import!$A$1:$Z$2488,1809,'Live Data'!$C$14)),"")</f>
        <v/>
      </c>
      <c r="D1809" s="54" t="str">
        <f>IFERROR(IF(INDEX(SPOT_Import!$A$1:$Z$2488,1809,'Live Data'!$C$15)="","",INDEX(SPOT_Import!$A$1:$Z$2488,1809,'Live Data'!$C$15)),"")</f>
        <v/>
      </c>
      <c r="E1809" s="54" t="str">
        <f>IFERROR(IF(INDEX(SPOT_Import!$A$1:$Z$2488,1809,'Live Data'!$C$16)="","",INDEX(SPOT_Import!$A$1:$Z$2488,1809,'Live Data'!$C$16)),"")</f>
        <v/>
      </c>
      <c r="F1809" s="54" t="str">
        <f>IFERROR(IF(INDEX(SPOT_Import!$A$1:$Z$2488,1809,'Live Data'!$C$17)="","",INDEX(SPOT_Import!$A$1:$Z$2488,1809,'Live Data'!$C$17)),"")</f>
        <v/>
      </c>
      <c r="G1809" s="54" t="str">
        <f>IFERROR(IF(INDEX(SPOT_Import!$A$1:$Z$2488,1809,'Live Data'!$C$18)="","",INDEX(SPOT_Import!$A$1:$Z$2488,1809,'Live Data'!$C$18)),"")</f>
        <v/>
      </c>
      <c r="H1809" s="54" t="str">
        <f>IFERROR(IF(INDEX(SPOT_Import!$A$1:$Z$2488,1809,'Live Data'!$C$19)="","",INDEX(SPOT_Import!$A$1:$Z$2488,1809,'Live Data'!$C$19)),"")</f>
        <v/>
      </c>
      <c r="I1809" s="54" t="str">
        <f>IFERROR(IF(INDEX(SPOT_Import!$A$1:$Z$2488,1809,'Live Data'!$C$20)="","",INDEX(SPOT_Import!$A$1:$Z$2488,1809,'Live Data'!$C$20)),"")</f>
        <v/>
      </c>
      <c r="J1809" s="54" t="str">
        <f>IFERROR(IF(INDEX(SPOT_Import!$A$1:$Z$2488,1809,'Live Data'!$C$21)="","",INDEX(SPOT_Import!$A$1:$Z$2488,1809,'Live Data'!$C$21)),"")</f>
        <v/>
      </c>
      <c r="K1809" s="54" t="str">
        <f>IFERROR(IF(INDEX(SPOT_Import!$A$1:$Z$2488,1809,'Live Data'!$C$22)="","",INDEX(SPOT_Import!$A$1:$Z$2488,1809,'Live Data'!$C$22)),"")</f>
        <v/>
      </c>
      <c r="L1809" s="55" t="str">
        <f t="shared" si="56"/>
        <v/>
      </c>
      <c r="M1809" s="55" t="str">
        <f t="shared" si="57"/>
        <v/>
      </c>
      <c r="N1809" s="55" t="str">
        <f>IF(A1809="","",IFERROR(INDEX('Cluster Map'!$A$4:$A$38,MATCH(M1809,'Cluster Map'!$B$4:$B$38,0)),"Unmapped"))</f>
        <v/>
      </c>
      <c r="O1809" s="55">
        <f>IF(A1809="",0,IF(COUNTIFS($A$2:A1809,A1809,$F$2:F1809,F1809,$L$2:L1809,L1809)=1,1,0))</f>
        <v>0</v>
      </c>
      <c r="P1809" s="55">
        <f>IF(A1809="",0,IF(AND(F1809="C&amp;T",COUNTIFS($A$2:A1809,A1809,$F$2:F1809,"C&amp;T")=1),1,0))</f>
        <v>0</v>
      </c>
    </row>
    <row r="1810" spans="1:16" x14ac:dyDescent="0.35">
      <c r="A1810" s="54" t="str">
        <f>IFERROR(IF(INDEX(SPOT_Import!$A$1:$Z$2488,1810,'Live Data'!$C$12)="","",INDEX(SPOT_Import!$A$1:$Z$2488,1810,'Live Data'!$C$12)),"")</f>
        <v/>
      </c>
      <c r="B1810" s="54" t="str">
        <f>IFERROR(IF(INDEX(SPOT_Import!$A$1:$Z$2488,1810,'Live Data'!$C$13)="","",INDEX(SPOT_Import!$A$1:$Z$2488,1810,'Live Data'!$C$13)),"")</f>
        <v/>
      </c>
      <c r="C1810" s="54" t="str">
        <f>IFERROR(IF(INDEX(SPOT_Import!$A$1:$Z$2488,1810,'Live Data'!$C$14)="","",INDEX(SPOT_Import!$A$1:$Z$2488,1810,'Live Data'!$C$14)),"")</f>
        <v/>
      </c>
      <c r="D1810" s="54" t="str">
        <f>IFERROR(IF(INDEX(SPOT_Import!$A$1:$Z$2488,1810,'Live Data'!$C$15)="","",INDEX(SPOT_Import!$A$1:$Z$2488,1810,'Live Data'!$C$15)),"")</f>
        <v/>
      </c>
      <c r="E1810" s="54" t="str">
        <f>IFERROR(IF(INDEX(SPOT_Import!$A$1:$Z$2488,1810,'Live Data'!$C$16)="","",INDEX(SPOT_Import!$A$1:$Z$2488,1810,'Live Data'!$C$16)),"")</f>
        <v/>
      </c>
      <c r="F1810" s="54" t="str">
        <f>IFERROR(IF(INDEX(SPOT_Import!$A$1:$Z$2488,1810,'Live Data'!$C$17)="","",INDEX(SPOT_Import!$A$1:$Z$2488,1810,'Live Data'!$C$17)),"")</f>
        <v/>
      </c>
      <c r="G1810" s="54" t="str">
        <f>IFERROR(IF(INDEX(SPOT_Import!$A$1:$Z$2488,1810,'Live Data'!$C$18)="","",INDEX(SPOT_Import!$A$1:$Z$2488,1810,'Live Data'!$C$18)),"")</f>
        <v/>
      </c>
      <c r="H1810" s="54" t="str">
        <f>IFERROR(IF(INDEX(SPOT_Import!$A$1:$Z$2488,1810,'Live Data'!$C$19)="","",INDEX(SPOT_Import!$A$1:$Z$2488,1810,'Live Data'!$C$19)),"")</f>
        <v/>
      </c>
      <c r="I1810" s="54" t="str">
        <f>IFERROR(IF(INDEX(SPOT_Import!$A$1:$Z$2488,1810,'Live Data'!$C$20)="","",INDEX(SPOT_Import!$A$1:$Z$2488,1810,'Live Data'!$C$20)),"")</f>
        <v/>
      </c>
      <c r="J1810" s="54" t="str">
        <f>IFERROR(IF(INDEX(SPOT_Import!$A$1:$Z$2488,1810,'Live Data'!$C$21)="","",INDEX(SPOT_Import!$A$1:$Z$2488,1810,'Live Data'!$C$21)),"")</f>
        <v/>
      </c>
      <c r="K1810" s="54" t="str">
        <f>IFERROR(IF(INDEX(SPOT_Import!$A$1:$Z$2488,1810,'Live Data'!$C$22)="","",INDEX(SPOT_Import!$A$1:$Z$2488,1810,'Live Data'!$C$22)),"")</f>
        <v/>
      </c>
      <c r="L1810" s="55" t="str">
        <f t="shared" si="56"/>
        <v/>
      </c>
      <c r="M1810" s="55" t="str">
        <f t="shared" si="57"/>
        <v/>
      </c>
      <c r="N1810" s="55" t="str">
        <f>IF(A1810="","",IFERROR(INDEX('Cluster Map'!$A$4:$A$38,MATCH(M1810,'Cluster Map'!$B$4:$B$38,0)),"Unmapped"))</f>
        <v/>
      </c>
      <c r="O1810" s="55">
        <f>IF(A1810="",0,IF(COUNTIFS($A$2:A1810,A1810,$F$2:F1810,F1810,$L$2:L1810,L1810)=1,1,0))</f>
        <v>0</v>
      </c>
      <c r="P1810" s="55">
        <f>IF(A1810="",0,IF(AND(F1810="C&amp;T",COUNTIFS($A$2:A1810,A1810,$F$2:F1810,"C&amp;T")=1),1,0))</f>
        <v>0</v>
      </c>
    </row>
    <row r="1811" spans="1:16" x14ac:dyDescent="0.35">
      <c r="A1811" s="54" t="str">
        <f>IFERROR(IF(INDEX(SPOT_Import!$A$1:$Z$2488,1811,'Live Data'!$C$12)="","",INDEX(SPOT_Import!$A$1:$Z$2488,1811,'Live Data'!$C$12)),"")</f>
        <v/>
      </c>
      <c r="B1811" s="54" t="str">
        <f>IFERROR(IF(INDEX(SPOT_Import!$A$1:$Z$2488,1811,'Live Data'!$C$13)="","",INDEX(SPOT_Import!$A$1:$Z$2488,1811,'Live Data'!$C$13)),"")</f>
        <v/>
      </c>
      <c r="C1811" s="54" t="str">
        <f>IFERROR(IF(INDEX(SPOT_Import!$A$1:$Z$2488,1811,'Live Data'!$C$14)="","",INDEX(SPOT_Import!$A$1:$Z$2488,1811,'Live Data'!$C$14)),"")</f>
        <v/>
      </c>
      <c r="D1811" s="54" t="str">
        <f>IFERROR(IF(INDEX(SPOT_Import!$A$1:$Z$2488,1811,'Live Data'!$C$15)="","",INDEX(SPOT_Import!$A$1:$Z$2488,1811,'Live Data'!$C$15)),"")</f>
        <v/>
      </c>
      <c r="E1811" s="54" t="str">
        <f>IFERROR(IF(INDEX(SPOT_Import!$A$1:$Z$2488,1811,'Live Data'!$C$16)="","",INDEX(SPOT_Import!$A$1:$Z$2488,1811,'Live Data'!$C$16)),"")</f>
        <v/>
      </c>
      <c r="F1811" s="54" t="str">
        <f>IFERROR(IF(INDEX(SPOT_Import!$A$1:$Z$2488,1811,'Live Data'!$C$17)="","",INDEX(SPOT_Import!$A$1:$Z$2488,1811,'Live Data'!$C$17)),"")</f>
        <v/>
      </c>
      <c r="G1811" s="54" t="str">
        <f>IFERROR(IF(INDEX(SPOT_Import!$A$1:$Z$2488,1811,'Live Data'!$C$18)="","",INDEX(SPOT_Import!$A$1:$Z$2488,1811,'Live Data'!$C$18)),"")</f>
        <v/>
      </c>
      <c r="H1811" s="54" t="str">
        <f>IFERROR(IF(INDEX(SPOT_Import!$A$1:$Z$2488,1811,'Live Data'!$C$19)="","",INDEX(SPOT_Import!$A$1:$Z$2488,1811,'Live Data'!$C$19)),"")</f>
        <v/>
      </c>
      <c r="I1811" s="54" t="str">
        <f>IFERROR(IF(INDEX(SPOT_Import!$A$1:$Z$2488,1811,'Live Data'!$C$20)="","",INDEX(SPOT_Import!$A$1:$Z$2488,1811,'Live Data'!$C$20)),"")</f>
        <v/>
      </c>
      <c r="J1811" s="54" t="str">
        <f>IFERROR(IF(INDEX(SPOT_Import!$A$1:$Z$2488,1811,'Live Data'!$C$21)="","",INDEX(SPOT_Import!$A$1:$Z$2488,1811,'Live Data'!$C$21)),"")</f>
        <v/>
      </c>
      <c r="K1811" s="54" t="str">
        <f>IFERROR(IF(INDEX(SPOT_Import!$A$1:$Z$2488,1811,'Live Data'!$C$22)="","",INDEX(SPOT_Import!$A$1:$Z$2488,1811,'Live Data'!$C$22)),"")</f>
        <v/>
      </c>
      <c r="L1811" s="55" t="str">
        <f t="shared" si="56"/>
        <v/>
      </c>
      <c r="M1811" s="55" t="str">
        <f t="shared" si="57"/>
        <v/>
      </c>
      <c r="N1811" s="55" t="str">
        <f>IF(A1811="","",IFERROR(INDEX('Cluster Map'!$A$4:$A$38,MATCH(M1811,'Cluster Map'!$B$4:$B$38,0)),"Unmapped"))</f>
        <v/>
      </c>
      <c r="O1811" s="55">
        <f>IF(A1811="",0,IF(COUNTIFS($A$2:A1811,A1811,$F$2:F1811,F1811,$L$2:L1811,L1811)=1,1,0))</f>
        <v>0</v>
      </c>
      <c r="P1811" s="55">
        <f>IF(A1811="",0,IF(AND(F1811="C&amp;T",COUNTIFS($A$2:A1811,A1811,$F$2:F1811,"C&amp;T")=1),1,0))</f>
        <v>0</v>
      </c>
    </row>
    <row r="1812" spans="1:16" x14ac:dyDescent="0.35">
      <c r="A1812" s="54" t="str">
        <f>IFERROR(IF(INDEX(SPOT_Import!$A$1:$Z$2488,1812,'Live Data'!$C$12)="","",INDEX(SPOT_Import!$A$1:$Z$2488,1812,'Live Data'!$C$12)),"")</f>
        <v/>
      </c>
      <c r="B1812" s="54" t="str">
        <f>IFERROR(IF(INDEX(SPOT_Import!$A$1:$Z$2488,1812,'Live Data'!$C$13)="","",INDEX(SPOT_Import!$A$1:$Z$2488,1812,'Live Data'!$C$13)),"")</f>
        <v/>
      </c>
      <c r="C1812" s="54" t="str">
        <f>IFERROR(IF(INDEX(SPOT_Import!$A$1:$Z$2488,1812,'Live Data'!$C$14)="","",INDEX(SPOT_Import!$A$1:$Z$2488,1812,'Live Data'!$C$14)),"")</f>
        <v/>
      </c>
      <c r="D1812" s="54" t="str">
        <f>IFERROR(IF(INDEX(SPOT_Import!$A$1:$Z$2488,1812,'Live Data'!$C$15)="","",INDEX(SPOT_Import!$A$1:$Z$2488,1812,'Live Data'!$C$15)),"")</f>
        <v/>
      </c>
      <c r="E1812" s="54" t="str">
        <f>IFERROR(IF(INDEX(SPOT_Import!$A$1:$Z$2488,1812,'Live Data'!$C$16)="","",INDEX(SPOT_Import!$A$1:$Z$2488,1812,'Live Data'!$C$16)),"")</f>
        <v/>
      </c>
      <c r="F1812" s="54" t="str">
        <f>IFERROR(IF(INDEX(SPOT_Import!$A$1:$Z$2488,1812,'Live Data'!$C$17)="","",INDEX(SPOT_Import!$A$1:$Z$2488,1812,'Live Data'!$C$17)),"")</f>
        <v/>
      </c>
      <c r="G1812" s="54" t="str">
        <f>IFERROR(IF(INDEX(SPOT_Import!$A$1:$Z$2488,1812,'Live Data'!$C$18)="","",INDEX(SPOT_Import!$A$1:$Z$2488,1812,'Live Data'!$C$18)),"")</f>
        <v/>
      </c>
      <c r="H1812" s="54" t="str">
        <f>IFERROR(IF(INDEX(SPOT_Import!$A$1:$Z$2488,1812,'Live Data'!$C$19)="","",INDEX(SPOT_Import!$A$1:$Z$2488,1812,'Live Data'!$C$19)),"")</f>
        <v/>
      </c>
      <c r="I1812" s="54" t="str">
        <f>IFERROR(IF(INDEX(SPOT_Import!$A$1:$Z$2488,1812,'Live Data'!$C$20)="","",INDEX(SPOT_Import!$A$1:$Z$2488,1812,'Live Data'!$C$20)),"")</f>
        <v/>
      </c>
      <c r="J1812" s="54" t="str">
        <f>IFERROR(IF(INDEX(SPOT_Import!$A$1:$Z$2488,1812,'Live Data'!$C$21)="","",INDEX(SPOT_Import!$A$1:$Z$2488,1812,'Live Data'!$C$21)),"")</f>
        <v/>
      </c>
      <c r="K1812" s="54" t="str">
        <f>IFERROR(IF(INDEX(SPOT_Import!$A$1:$Z$2488,1812,'Live Data'!$C$22)="","",INDEX(SPOT_Import!$A$1:$Z$2488,1812,'Live Data'!$C$22)),"")</f>
        <v/>
      </c>
      <c r="L1812" s="55" t="str">
        <f t="shared" si="56"/>
        <v/>
      </c>
      <c r="M1812" s="55" t="str">
        <f t="shared" si="57"/>
        <v/>
      </c>
      <c r="N1812" s="55" t="str">
        <f>IF(A1812="","",IFERROR(INDEX('Cluster Map'!$A$4:$A$38,MATCH(M1812,'Cluster Map'!$B$4:$B$38,0)),"Unmapped"))</f>
        <v/>
      </c>
      <c r="O1812" s="55">
        <f>IF(A1812="",0,IF(COUNTIFS($A$2:A1812,A1812,$F$2:F1812,F1812,$L$2:L1812,L1812)=1,1,0))</f>
        <v>0</v>
      </c>
      <c r="P1812" s="55">
        <f>IF(A1812="",0,IF(AND(F1812="C&amp;T",COUNTIFS($A$2:A1812,A1812,$F$2:F1812,"C&amp;T")=1),1,0))</f>
        <v>0</v>
      </c>
    </row>
    <row r="1813" spans="1:16" x14ac:dyDescent="0.35">
      <c r="A1813" s="54" t="str">
        <f>IFERROR(IF(INDEX(SPOT_Import!$A$1:$Z$2488,1813,'Live Data'!$C$12)="","",INDEX(SPOT_Import!$A$1:$Z$2488,1813,'Live Data'!$C$12)),"")</f>
        <v/>
      </c>
      <c r="B1813" s="54" t="str">
        <f>IFERROR(IF(INDEX(SPOT_Import!$A$1:$Z$2488,1813,'Live Data'!$C$13)="","",INDEX(SPOT_Import!$A$1:$Z$2488,1813,'Live Data'!$C$13)),"")</f>
        <v/>
      </c>
      <c r="C1813" s="54" t="str">
        <f>IFERROR(IF(INDEX(SPOT_Import!$A$1:$Z$2488,1813,'Live Data'!$C$14)="","",INDEX(SPOT_Import!$A$1:$Z$2488,1813,'Live Data'!$C$14)),"")</f>
        <v/>
      </c>
      <c r="D1813" s="54" t="str">
        <f>IFERROR(IF(INDEX(SPOT_Import!$A$1:$Z$2488,1813,'Live Data'!$C$15)="","",INDEX(SPOT_Import!$A$1:$Z$2488,1813,'Live Data'!$C$15)),"")</f>
        <v/>
      </c>
      <c r="E1813" s="54" t="str">
        <f>IFERROR(IF(INDEX(SPOT_Import!$A$1:$Z$2488,1813,'Live Data'!$C$16)="","",INDEX(SPOT_Import!$A$1:$Z$2488,1813,'Live Data'!$C$16)),"")</f>
        <v/>
      </c>
      <c r="F1813" s="54" t="str">
        <f>IFERROR(IF(INDEX(SPOT_Import!$A$1:$Z$2488,1813,'Live Data'!$C$17)="","",INDEX(SPOT_Import!$A$1:$Z$2488,1813,'Live Data'!$C$17)),"")</f>
        <v/>
      </c>
      <c r="G1813" s="54" t="str">
        <f>IFERROR(IF(INDEX(SPOT_Import!$A$1:$Z$2488,1813,'Live Data'!$C$18)="","",INDEX(SPOT_Import!$A$1:$Z$2488,1813,'Live Data'!$C$18)),"")</f>
        <v/>
      </c>
      <c r="H1813" s="54" t="str">
        <f>IFERROR(IF(INDEX(SPOT_Import!$A$1:$Z$2488,1813,'Live Data'!$C$19)="","",INDEX(SPOT_Import!$A$1:$Z$2488,1813,'Live Data'!$C$19)),"")</f>
        <v/>
      </c>
      <c r="I1813" s="54" t="str">
        <f>IFERROR(IF(INDEX(SPOT_Import!$A$1:$Z$2488,1813,'Live Data'!$C$20)="","",INDEX(SPOT_Import!$A$1:$Z$2488,1813,'Live Data'!$C$20)),"")</f>
        <v/>
      </c>
      <c r="J1813" s="54" t="str">
        <f>IFERROR(IF(INDEX(SPOT_Import!$A$1:$Z$2488,1813,'Live Data'!$C$21)="","",INDEX(SPOT_Import!$A$1:$Z$2488,1813,'Live Data'!$C$21)),"")</f>
        <v/>
      </c>
      <c r="K1813" s="54" t="str">
        <f>IFERROR(IF(INDEX(SPOT_Import!$A$1:$Z$2488,1813,'Live Data'!$C$22)="","",INDEX(SPOT_Import!$A$1:$Z$2488,1813,'Live Data'!$C$22)),"")</f>
        <v/>
      </c>
      <c r="L1813" s="55" t="str">
        <f t="shared" si="56"/>
        <v/>
      </c>
      <c r="M1813" s="55" t="str">
        <f t="shared" si="57"/>
        <v/>
      </c>
      <c r="N1813" s="55" t="str">
        <f>IF(A1813="","",IFERROR(INDEX('Cluster Map'!$A$4:$A$38,MATCH(M1813,'Cluster Map'!$B$4:$B$38,0)),"Unmapped"))</f>
        <v/>
      </c>
      <c r="O1813" s="55">
        <f>IF(A1813="",0,IF(COUNTIFS($A$2:A1813,A1813,$F$2:F1813,F1813,$L$2:L1813,L1813)=1,1,0))</f>
        <v>0</v>
      </c>
      <c r="P1813" s="55">
        <f>IF(A1813="",0,IF(AND(F1813="C&amp;T",COUNTIFS($A$2:A1813,A1813,$F$2:F1813,"C&amp;T")=1),1,0))</f>
        <v>0</v>
      </c>
    </row>
    <row r="1814" spans="1:16" x14ac:dyDescent="0.35">
      <c r="A1814" s="54" t="str">
        <f>IFERROR(IF(INDEX(SPOT_Import!$A$1:$Z$2488,1814,'Live Data'!$C$12)="","",INDEX(SPOT_Import!$A$1:$Z$2488,1814,'Live Data'!$C$12)),"")</f>
        <v/>
      </c>
      <c r="B1814" s="54" t="str">
        <f>IFERROR(IF(INDEX(SPOT_Import!$A$1:$Z$2488,1814,'Live Data'!$C$13)="","",INDEX(SPOT_Import!$A$1:$Z$2488,1814,'Live Data'!$C$13)),"")</f>
        <v/>
      </c>
      <c r="C1814" s="54" t="str">
        <f>IFERROR(IF(INDEX(SPOT_Import!$A$1:$Z$2488,1814,'Live Data'!$C$14)="","",INDEX(SPOT_Import!$A$1:$Z$2488,1814,'Live Data'!$C$14)),"")</f>
        <v/>
      </c>
      <c r="D1814" s="54" t="str">
        <f>IFERROR(IF(INDEX(SPOT_Import!$A$1:$Z$2488,1814,'Live Data'!$C$15)="","",INDEX(SPOT_Import!$A$1:$Z$2488,1814,'Live Data'!$C$15)),"")</f>
        <v/>
      </c>
      <c r="E1814" s="54" t="str">
        <f>IFERROR(IF(INDEX(SPOT_Import!$A$1:$Z$2488,1814,'Live Data'!$C$16)="","",INDEX(SPOT_Import!$A$1:$Z$2488,1814,'Live Data'!$C$16)),"")</f>
        <v/>
      </c>
      <c r="F1814" s="54" t="str">
        <f>IFERROR(IF(INDEX(SPOT_Import!$A$1:$Z$2488,1814,'Live Data'!$C$17)="","",INDEX(SPOT_Import!$A$1:$Z$2488,1814,'Live Data'!$C$17)),"")</f>
        <v/>
      </c>
      <c r="G1814" s="54" t="str">
        <f>IFERROR(IF(INDEX(SPOT_Import!$A$1:$Z$2488,1814,'Live Data'!$C$18)="","",INDEX(SPOT_Import!$A$1:$Z$2488,1814,'Live Data'!$C$18)),"")</f>
        <v/>
      </c>
      <c r="H1814" s="54" t="str">
        <f>IFERROR(IF(INDEX(SPOT_Import!$A$1:$Z$2488,1814,'Live Data'!$C$19)="","",INDEX(SPOT_Import!$A$1:$Z$2488,1814,'Live Data'!$C$19)),"")</f>
        <v/>
      </c>
      <c r="I1814" s="54" t="str">
        <f>IFERROR(IF(INDEX(SPOT_Import!$A$1:$Z$2488,1814,'Live Data'!$C$20)="","",INDEX(SPOT_Import!$A$1:$Z$2488,1814,'Live Data'!$C$20)),"")</f>
        <v/>
      </c>
      <c r="J1814" s="54" t="str">
        <f>IFERROR(IF(INDEX(SPOT_Import!$A$1:$Z$2488,1814,'Live Data'!$C$21)="","",INDEX(SPOT_Import!$A$1:$Z$2488,1814,'Live Data'!$C$21)),"")</f>
        <v/>
      </c>
      <c r="K1814" s="54" t="str">
        <f>IFERROR(IF(INDEX(SPOT_Import!$A$1:$Z$2488,1814,'Live Data'!$C$22)="","",INDEX(SPOT_Import!$A$1:$Z$2488,1814,'Live Data'!$C$22)),"")</f>
        <v/>
      </c>
      <c r="L1814" s="55" t="str">
        <f t="shared" si="56"/>
        <v/>
      </c>
      <c r="M1814" s="55" t="str">
        <f t="shared" si="57"/>
        <v/>
      </c>
      <c r="N1814" s="55" t="str">
        <f>IF(A1814="","",IFERROR(INDEX('Cluster Map'!$A$4:$A$38,MATCH(M1814,'Cluster Map'!$B$4:$B$38,0)),"Unmapped"))</f>
        <v/>
      </c>
      <c r="O1814" s="55">
        <f>IF(A1814="",0,IF(COUNTIFS($A$2:A1814,A1814,$F$2:F1814,F1814,$L$2:L1814,L1814)=1,1,0))</f>
        <v>0</v>
      </c>
      <c r="P1814" s="55">
        <f>IF(A1814="",0,IF(AND(F1814="C&amp;T",COUNTIFS($A$2:A1814,A1814,$F$2:F1814,"C&amp;T")=1),1,0))</f>
        <v>0</v>
      </c>
    </row>
    <row r="1815" spans="1:16" x14ac:dyDescent="0.35">
      <c r="A1815" s="54" t="str">
        <f>IFERROR(IF(INDEX(SPOT_Import!$A$1:$Z$2488,1815,'Live Data'!$C$12)="","",INDEX(SPOT_Import!$A$1:$Z$2488,1815,'Live Data'!$C$12)),"")</f>
        <v/>
      </c>
      <c r="B1815" s="54" t="str">
        <f>IFERROR(IF(INDEX(SPOT_Import!$A$1:$Z$2488,1815,'Live Data'!$C$13)="","",INDEX(SPOT_Import!$A$1:$Z$2488,1815,'Live Data'!$C$13)),"")</f>
        <v/>
      </c>
      <c r="C1815" s="54" t="str">
        <f>IFERROR(IF(INDEX(SPOT_Import!$A$1:$Z$2488,1815,'Live Data'!$C$14)="","",INDEX(SPOT_Import!$A$1:$Z$2488,1815,'Live Data'!$C$14)),"")</f>
        <v/>
      </c>
      <c r="D1815" s="54" t="str">
        <f>IFERROR(IF(INDEX(SPOT_Import!$A$1:$Z$2488,1815,'Live Data'!$C$15)="","",INDEX(SPOT_Import!$A$1:$Z$2488,1815,'Live Data'!$C$15)),"")</f>
        <v/>
      </c>
      <c r="E1815" s="54" t="str">
        <f>IFERROR(IF(INDEX(SPOT_Import!$A$1:$Z$2488,1815,'Live Data'!$C$16)="","",INDEX(SPOT_Import!$A$1:$Z$2488,1815,'Live Data'!$C$16)),"")</f>
        <v/>
      </c>
      <c r="F1815" s="54" t="str">
        <f>IFERROR(IF(INDEX(SPOT_Import!$A$1:$Z$2488,1815,'Live Data'!$C$17)="","",INDEX(SPOT_Import!$A$1:$Z$2488,1815,'Live Data'!$C$17)),"")</f>
        <v/>
      </c>
      <c r="G1815" s="54" t="str">
        <f>IFERROR(IF(INDEX(SPOT_Import!$A$1:$Z$2488,1815,'Live Data'!$C$18)="","",INDEX(SPOT_Import!$A$1:$Z$2488,1815,'Live Data'!$C$18)),"")</f>
        <v/>
      </c>
      <c r="H1815" s="54" t="str">
        <f>IFERROR(IF(INDEX(SPOT_Import!$A$1:$Z$2488,1815,'Live Data'!$C$19)="","",INDEX(SPOT_Import!$A$1:$Z$2488,1815,'Live Data'!$C$19)),"")</f>
        <v/>
      </c>
      <c r="I1815" s="54" t="str">
        <f>IFERROR(IF(INDEX(SPOT_Import!$A$1:$Z$2488,1815,'Live Data'!$C$20)="","",INDEX(SPOT_Import!$A$1:$Z$2488,1815,'Live Data'!$C$20)),"")</f>
        <v/>
      </c>
      <c r="J1815" s="54" t="str">
        <f>IFERROR(IF(INDEX(SPOT_Import!$A$1:$Z$2488,1815,'Live Data'!$C$21)="","",INDEX(SPOT_Import!$A$1:$Z$2488,1815,'Live Data'!$C$21)),"")</f>
        <v/>
      </c>
      <c r="K1815" s="54" t="str">
        <f>IFERROR(IF(INDEX(SPOT_Import!$A$1:$Z$2488,1815,'Live Data'!$C$22)="","",INDEX(SPOT_Import!$A$1:$Z$2488,1815,'Live Data'!$C$22)),"")</f>
        <v/>
      </c>
      <c r="L1815" s="55" t="str">
        <f t="shared" si="56"/>
        <v/>
      </c>
      <c r="M1815" s="55" t="str">
        <f t="shared" si="57"/>
        <v/>
      </c>
      <c r="N1815" s="55" t="str">
        <f>IF(A1815="","",IFERROR(INDEX('Cluster Map'!$A$4:$A$38,MATCH(M1815,'Cluster Map'!$B$4:$B$38,0)),"Unmapped"))</f>
        <v/>
      </c>
      <c r="O1815" s="55">
        <f>IF(A1815="",0,IF(COUNTIFS($A$2:A1815,A1815,$F$2:F1815,F1815,$L$2:L1815,L1815)=1,1,0))</f>
        <v>0</v>
      </c>
      <c r="P1815" s="55">
        <f>IF(A1815="",0,IF(AND(F1815="C&amp;T",COUNTIFS($A$2:A1815,A1815,$F$2:F1815,"C&amp;T")=1),1,0))</f>
        <v>0</v>
      </c>
    </row>
    <row r="1816" spans="1:16" x14ac:dyDescent="0.35">
      <c r="A1816" s="54" t="str">
        <f>IFERROR(IF(INDEX(SPOT_Import!$A$1:$Z$2488,1816,'Live Data'!$C$12)="","",INDEX(SPOT_Import!$A$1:$Z$2488,1816,'Live Data'!$C$12)),"")</f>
        <v/>
      </c>
      <c r="B1816" s="54" t="str">
        <f>IFERROR(IF(INDEX(SPOT_Import!$A$1:$Z$2488,1816,'Live Data'!$C$13)="","",INDEX(SPOT_Import!$A$1:$Z$2488,1816,'Live Data'!$C$13)),"")</f>
        <v/>
      </c>
      <c r="C1816" s="54" t="str">
        <f>IFERROR(IF(INDEX(SPOT_Import!$A$1:$Z$2488,1816,'Live Data'!$C$14)="","",INDEX(SPOT_Import!$A$1:$Z$2488,1816,'Live Data'!$C$14)),"")</f>
        <v/>
      </c>
      <c r="D1816" s="54" t="str">
        <f>IFERROR(IF(INDEX(SPOT_Import!$A$1:$Z$2488,1816,'Live Data'!$C$15)="","",INDEX(SPOT_Import!$A$1:$Z$2488,1816,'Live Data'!$C$15)),"")</f>
        <v/>
      </c>
      <c r="E1816" s="54" t="str">
        <f>IFERROR(IF(INDEX(SPOT_Import!$A$1:$Z$2488,1816,'Live Data'!$C$16)="","",INDEX(SPOT_Import!$A$1:$Z$2488,1816,'Live Data'!$C$16)),"")</f>
        <v/>
      </c>
      <c r="F1816" s="54" t="str">
        <f>IFERROR(IF(INDEX(SPOT_Import!$A$1:$Z$2488,1816,'Live Data'!$C$17)="","",INDEX(SPOT_Import!$A$1:$Z$2488,1816,'Live Data'!$C$17)),"")</f>
        <v/>
      </c>
      <c r="G1816" s="54" t="str">
        <f>IFERROR(IF(INDEX(SPOT_Import!$A$1:$Z$2488,1816,'Live Data'!$C$18)="","",INDEX(SPOT_Import!$A$1:$Z$2488,1816,'Live Data'!$C$18)),"")</f>
        <v/>
      </c>
      <c r="H1816" s="54" t="str">
        <f>IFERROR(IF(INDEX(SPOT_Import!$A$1:$Z$2488,1816,'Live Data'!$C$19)="","",INDEX(SPOT_Import!$A$1:$Z$2488,1816,'Live Data'!$C$19)),"")</f>
        <v/>
      </c>
      <c r="I1816" s="54" t="str">
        <f>IFERROR(IF(INDEX(SPOT_Import!$A$1:$Z$2488,1816,'Live Data'!$C$20)="","",INDEX(SPOT_Import!$A$1:$Z$2488,1816,'Live Data'!$C$20)),"")</f>
        <v/>
      </c>
      <c r="J1816" s="54" t="str">
        <f>IFERROR(IF(INDEX(SPOT_Import!$A$1:$Z$2488,1816,'Live Data'!$C$21)="","",INDEX(SPOT_Import!$A$1:$Z$2488,1816,'Live Data'!$C$21)),"")</f>
        <v/>
      </c>
      <c r="K1816" s="54" t="str">
        <f>IFERROR(IF(INDEX(SPOT_Import!$A$1:$Z$2488,1816,'Live Data'!$C$22)="","",INDEX(SPOT_Import!$A$1:$Z$2488,1816,'Live Data'!$C$22)),"")</f>
        <v/>
      </c>
      <c r="L1816" s="55" t="str">
        <f t="shared" si="56"/>
        <v/>
      </c>
      <c r="M1816" s="55" t="str">
        <f t="shared" si="57"/>
        <v/>
      </c>
      <c r="N1816" s="55" t="str">
        <f>IF(A1816="","",IFERROR(INDEX('Cluster Map'!$A$4:$A$38,MATCH(M1816,'Cluster Map'!$B$4:$B$38,0)),"Unmapped"))</f>
        <v/>
      </c>
      <c r="O1816" s="55">
        <f>IF(A1816="",0,IF(COUNTIFS($A$2:A1816,A1816,$F$2:F1816,F1816,$L$2:L1816,L1816)=1,1,0))</f>
        <v>0</v>
      </c>
      <c r="P1816" s="55">
        <f>IF(A1816="",0,IF(AND(F1816="C&amp;T",COUNTIFS($A$2:A1816,A1816,$F$2:F1816,"C&amp;T")=1),1,0))</f>
        <v>0</v>
      </c>
    </row>
    <row r="1817" spans="1:16" x14ac:dyDescent="0.35">
      <c r="A1817" s="54" t="str">
        <f>IFERROR(IF(INDEX(SPOT_Import!$A$1:$Z$2488,1817,'Live Data'!$C$12)="","",INDEX(SPOT_Import!$A$1:$Z$2488,1817,'Live Data'!$C$12)),"")</f>
        <v/>
      </c>
      <c r="B1817" s="54" t="str">
        <f>IFERROR(IF(INDEX(SPOT_Import!$A$1:$Z$2488,1817,'Live Data'!$C$13)="","",INDEX(SPOT_Import!$A$1:$Z$2488,1817,'Live Data'!$C$13)),"")</f>
        <v/>
      </c>
      <c r="C1817" s="54" t="str">
        <f>IFERROR(IF(INDEX(SPOT_Import!$A$1:$Z$2488,1817,'Live Data'!$C$14)="","",INDEX(SPOT_Import!$A$1:$Z$2488,1817,'Live Data'!$C$14)),"")</f>
        <v/>
      </c>
      <c r="D1817" s="54" t="str">
        <f>IFERROR(IF(INDEX(SPOT_Import!$A$1:$Z$2488,1817,'Live Data'!$C$15)="","",INDEX(SPOT_Import!$A$1:$Z$2488,1817,'Live Data'!$C$15)),"")</f>
        <v/>
      </c>
      <c r="E1817" s="54" t="str">
        <f>IFERROR(IF(INDEX(SPOT_Import!$A$1:$Z$2488,1817,'Live Data'!$C$16)="","",INDEX(SPOT_Import!$A$1:$Z$2488,1817,'Live Data'!$C$16)),"")</f>
        <v/>
      </c>
      <c r="F1817" s="54" t="str">
        <f>IFERROR(IF(INDEX(SPOT_Import!$A$1:$Z$2488,1817,'Live Data'!$C$17)="","",INDEX(SPOT_Import!$A$1:$Z$2488,1817,'Live Data'!$C$17)),"")</f>
        <v/>
      </c>
      <c r="G1817" s="54" t="str">
        <f>IFERROR(IF(INDEX(SPOT_Import!$A$1:$Z$2488,1817,'Live Data'!$C$18)="","",INDEX(SPOT_Import!$A$1:$Z$2488,1817,'Live Data'!$C$18)),"")</f>
        <v/>
      </c>
      <c r="H1817" s="54" t="str">
        <f>IFERROR(IF(INDEX(SPOT_Import!$A$1:$Z$2488,1817,'Live Data'!$C$19)="","",INDEX(SPOT_Import!$A$1:$Z$2488,1817,'Live Data'!$C$19)),"")</f>
        <v/>
      </c>
      <c r="I1817" s="54" t="str">
        <f>IFERROR(IF(INDEX(SPOT_Import!$A$1:$Z$2488,1817,'Live Data'!$C$20)="","",INDEX(SPOT_Import!$A$1:$Z$2488,1817,'Live Data'!$C$20)),"")</f>
        <v/>
      </c>
      <c r="J1817" s="54" t="str">
        <f>IFERROR(IF(INDEX(SPOT_Import!$A$1:$Z$2488,1817,'Live Data'!$C$21)="","",INDEX(SPOT_Import!$A$1:$Z$2488,1817,'Live Data'!$C$21)),"")</f>
        <v/>
      </c>
      <c r="K1817" s="54" t="str">
        <f>IFERROR(IF(INDEX(SPOT_Import!$A$1:$Z$2488,1817,'Live Data'!$C$22)="","",INDEX(SPOT_Import!$A$1:$Z$2488,1817,'Live Data'!$C$22)),"")</f>
        <v/>
      </c>
      <c r="L1817" s="55" t="str">
        <f t="shared" si="56"/>
        <v/>
      </c>
      <c r="M1817" s="55" t="str">
        <f t="shared" si="57"/>
        <v/>
      </c>
      <c r="N1817" s="55" t="str">
        <f>IF(A1817="","",IFERROR(INDEX('Cluster Map'!$A$4:$A$38,MATCH(M1817,'Cluster Map'!$B$4:$B$38,0)),"Unmapped"))</f>
        <v/>
      </c>
      <c r="O1817" s="55">
        <f>IF(A1817="",0,IF(COUNTIFS($A$2:A1817,A1817,$F$2:F1817,F1817,$L$2:L1817,L1817)=1,1,0))</f>
        <v>0</v>
      </c>
      <c r="P1817" s="55">
        <f>IF(A1817="",0,IF(AND(F1817="C&amp;T",COUNTIFS($A$2:A1817,A1817,$F$2:F1817,"C&amp;T")=1),1,0))</f>
        <v>0</v>
      </c>
    </row>
    <row r="1818" spans="1:16" x14ac:dyDescent="0.35">
      <c r="A1818" s="54" t="str">
        <f>IFERROR(IF(INDEX(SPOT_Import!$A$1:$Z$2488,1818,'Live Data'!$C$12)="","",INDEX(SPOT_Import!$A$1:$Z$2488,1818,'Live Data'!$C$12)),"")</f>
        <v/>
      </c>
      <c r="B1818" s="54" t="str">
        <f>IFERROR(IF(INDEX(SPOT_Import!$A$1:$Z$2488,1818,'Live Data'!$C$13)="","",INDEX(SPOT_Import!$A$1:$Z$2488,1818,'Live Data'!$C$13)),"")</f>
        <v/>
      </c>
      <c r="C1818" s="54" t="str">
        <f>IFERROR(IF(INDEX(SPOT_Import!$A$1:$Z$2488,1818,'Live Data'!$C$14)="","",INDEX(SPOT_Import!$A$1:$Z$2488,1818,'Live Data'!$C$14)),"")</f>
        <v/>
      </c>
      <c r="D1818" s="54" t="str">
        <f>IFERROR(IF(INDEX(SPOT_Import!$A$1:$Z$2488,1818,'Live Data'!$C$15)="","",INDEX(SPOT_Import!$A$1:$Z$2488,1818,'Live Data'!$C$15)),"")</f>
        <v/>
      </c>
      <c r="E1818" s="54" t="str">
        <f>IFERROR(IF(INDEX(SPOT_Import!$A$1:$Z$2488,1818,'Live Data'!$C$16)="","",INDEX(SPOT_Import!$A$1:$Z$2488,1818,'Live Data'!$C$16)),"")</f>
        <v/>
      </c>
      <c r="F1818" s="54" t="str">
        <f>IFERROR(IF(INDEX(SPOT_Import!$A$1:$Z$2488,1818,'Live Data'!$C$17)="","",INDEX(SPOT_Import!$A$1:$Z$2488,1818,'Live Data'!$C$17)),"")</f>
        <v/>
      </c>
      <c r="G1818" s="54" t="str">
        <f>IFERROR(IF(INDEX(SPOT_Import!$A$1:$Z$2488,1818,'Live Data'!$C$18)="","",INDEX(SPOT_Import!$A$1:$Z$2488,1818,'Live Data'!$C$18)),"")</f>
        <v/>
      </c>
      <c r="H1818" s="54" t="str">
        <f>IFERROR(IF(INDEX(SPOT_Import!$A$1:$Z$2488,1818,'Live Data'!$C$19)="","",INDEX(SPOT_Import!$A$1:$Z$2488,1818,'Live Data'!$C$19)),"")</f>
        <v/>
      </c>
      <c r="I1818" s="54" t="str">
        <f>IFERROR(IF(INDEX(SPOT_Import!$A$1:$Z$2488,1818,'Live Data'!$C$20)="","",INDEX(SPOT_Import!$A$1:$Z$2488,1818,'Live Data'!$C$20)),"")</f>
        <v/>
      </c>
      <c r="J1818" s="54" t="str">
        <f>IFERROR(IF(INDEX(SPOT_Import!$A$1:$Z$2488,1818,'Live Data'!$C$21)="","",INDEX(SPOT_Import!$A$1:$Z$2488,1818,'Live Data'!$C$21)),"")</f>
        <v/>
      </c>
      <c r="K1818" s="54" t="str">
        <f>IFERROR(IF(INDEX(SPOT_Import!$A$1:$Z$2488,1818,'Live Data'!$C$22)="","",INDEX(SPOT_Import!$A$1:$Z$2488,1818,'Live Data'!$C$22)),"")</f>
        <v/>
      </c>
      <c r="L1818" s="55" t="str">
        <f t="shared" si="56"/>
        <v/>
      </c>
      <c r="M1818" s="55" t="str">
        <f t="shared" si="57"/>
        <v/>
      </c>
      <c r="N1818" s="55" t="str">
        <f>IF(A1818="","",IFERROR(INDEX('Cluster Map'!$A$4:$A$38,MATCH(M1818,'Cluster Map'!$B$4:$B$38,0)),"Unmapped"))</f>
        <v/>
      </c>
      <c r="O1818" s="55">
        <f>IF(A1818="",0,IF(COUNTIFS($A$2:A1818,A1818,$F$2:F1818,F1818,$L$2:L1818,L1818)=1,1,0))</f>
        <v>0</v>
      </c>
      <c r="P1818" s="55">
        <f>IF(A1818="",0,IF(AND(F1818="C&amp;T",COUNTIFS($A$2:A1818,A1818,$F$2:F1818,"C&amp;T")=1),1,0))</f>
        <v>0</v>
      </c>
    </row>
    <row r="1819" spans="1:16" x14ac:dyDescent="0.35">
      <c r="A1819" s="54" t="str">
        <f>IFERROR(IF(INDEX(SPOT_Import!$A$1:$Z$2488,1819,'Live Data'!$C$12)="","",INDEX(SPOT_Import!$A$1:$Z$2488,1819,'Live Data'!$C$12)),"")</f>
        <v/>
      </c>
      <c r="B1819" s="54" t="str">
        <f>IFERROR(IF(INDEX(SPOT_Import!$A$1:$Z$2488,1819,'Live Data'!$C$13)="","",INDEX(SPOT_Import!$A$1:$Z$2488,1819,'Live Data'!$C$13)),"")</f>
        <v/>
      </c>
      <c r="C1819" s="54" t="str">
        <f>IFERROR(IF(INDEX(SPOT_Import!$A$1:$Z$2488,1819,'Live Data'!$C$14)="","",INDEX(SPOT_Import!$A$1:$Z$2488,1819,'Live Data'!$C$14)),"")</f>
        <v/>
      </c>
      <c r="D1819" s="54" t="str">
        <f>IFERROR(IF(INDEX(SPOT_Import!$A$1:$Z$2488,1819,'Live Data'!$C$15)="","",INDEX(SPOT_Import!$A$1:$Z$2488,1819,'Live Data'!$C$15)),"")</f>
        <v/>
      </c>
      <c r="E1819" s="54" t="str">
        <f>IFERROR(IF(INDEX(SPOT_Import!$A$1:$Z$2488,1819,'Live Data'!$C$16)="","",INDEX(SPOT_Import!$A$1:$Z$2488,1819,'Live Data'!$C$16)),"")</f>
        <v/>
      </c>
      <c r="F1819" s="54" t="str">
        <f>IFERROR(IF(INDEX(SPOT_Import!$A$1:$Z$2488,1819,'Live Data'!$C$17)="","",INDEX(SPOT_Import!$A$1:$Z$2488,1819,'Live Data'!$C$17)),"")</f>
        <v/>
      </c>
      <c r="G1819" s="54" t="str">
        <f>IFERROR(IF(INDEX(SPOT_Import!$A$1:$Z$2488,1819,'Live Data'!$C$18)="","",INDEX(SPOT_Import!$A$1:$Z$2488,1819,'Live Data'!$C$18)),"")</f>
        <v/>
      </c>
      <c r="H1819" s="54" t="str">
        <f>IFERROR(IF(INDEX(SPOT_Import!$A$1:$Z$2488,1819,'Live Data'!$C$19)="","",INDEX(SPOT_Import!$A$1:$Z$2488,1819,'Live Data'!$C$19)),"")</f>
        <v/>
      </c>
      <c r="I1819" s="54" t="str">
        <f>IFERROR(IF(INDEX(SPOT_Import!$A$1:$Z$2488,1819,'Live Data'!$C$20)="","",INDEX(SPOT_Import!$A$1:$Z$2488,1819,'Live Data'!$C$20)),"")</f>
        <v/>
      </c>
      <c r="J1819" s="54" t="str">
        <f>IFERROR(IF(INDEX(SPOT_Import!$A$1:$Z$2488,1819,'Live Data'!$C$21)="","",INDEX(SPOT_Import!$A$1:$Z$2488,1819,'Live Data'!$C$21)),"")</f>
        <v/>
      </c>
      <c r="K1819" s="54" t="str">
        <f>IFERROR(IF(INDEX(SPOT_Import!$A$1:$Z$2488,1819,'Live Data'!$C$22)="","",INDEX(SPOT_Import!$A$1:$Z$2488,1819,'Live Data'!$C$22)),"")</f>
        <v/>
      </c>
      <c r="L1819" s="55" t="str">
        <f t="shared" si="56"/>
        <v/>
      </c>
      <c r="M1819" s="55" t="str">
        <f t="shared" si="57"/>
        <v/>
      </c>
      <c r="N1819" s="55" t="str">
        <f>IF(A1819="","",IFERROR(INDEX('Cluster Map'!$A$4:$A$38,MATCH(M1819,'Cluster Map'!$B$4:$B$38,0)),"Unmapped"))</f>
        <v/>
      </c>
      <c r="O1819" s="55">
        <f>IF(A1819="",0,IF(COUNTIFS($A$2:A1819,A1819,$F$2:F1819,F1819,$L$2:L1819,L1819)=1,1,0))</f>
        <v>0</v>
      </c>
      <c r="P1819" s="55">
        <f>IF(A1819="",0,IF(AND(F1819="C&amp;T",COUNTIFS($A$2:A1819,A1819,$F$2:F1819,"C&amp;T")=1),1,0))</f>
        <v>0</v>
      </c>
    </row>
    <row r="1820" spans="1:16" x14ac:dyDescent="0.35">
      <c r="A1820" s="54" t="str">
        <f>IFERROR(IF(INDEX(SPOT_Import!$A$1:$Z$2488,1820,'Live Data'!$C$12)="","",INDEX(SPOT_Import!$A$1:$Z$2488,1820,'Live Data'!$C$12)),"")</f>
        <v/>
      </c>
      <c r="B1820" s="54" t="str">
        <f>IFERROR(IF(INDEX(SPOT_Import!$A$1:$Z$2488,1820,'Live Data'!$C$13)="","",INDEX(SPOT_Import!$A$1:$Z$2488,1820,'Live Data'!$C$13)),"")</f>
        <v/>
      </c>
      <c r="C1820" s="54" t="str">
        <f>IFERROR(IF(INDEX(SPOT_Import!$A$1:$Z$2488,1820,'Live Data'!$C$14)="","",INDEX(SPOT_Import!$A$1:$Z$2488,1820,'Live Data'!$C$14)),"")</f>
        <v/>
      </c>
      <c r="D1820" s="54" t="str">
        <f>IFERROR(IF(INDEX(SPOT_Import!$A$1:$Z$2488,1820,'Live Data'!$C$15)="","",INDEX(SPOT_Import!$A$1:$Z$2488,1820,'Live Data'!$C$15)),"")</f>
        <v/>
      </c>
      <c r="E1820" s="54" t="str">
        <f>IFERROR(IF(INDEX(SPOT_Import!$A$1:$Z$2488,1820,'Live Data'!$C$16)="","",INDEX(SPOT_Import!$A$1:$Z$2488,1820,'Live Data'!$C$16)),"")</f>
        <v/>
      </c>
      <c r="F1820" s="54" t="str">
        <f>IFERROR(IF(INDEX(SPOT_Import!$A$1:$Z$2488,1820,'Live Data'!$C$17)="","",INDEX(SPOT_Import!$A$1:$Z$2488,1820,'Live Data'!$C$17)),"")</f>
        <v/>
      </c>
      <c r="G1820" s="54" t="str">
        <f>IFERROR(IF(INDEX(SPOT_Import!$A$1:$Z$2488,1820,'Live Data'!$C$18)="","",INDEX(SPOT_Import!$A$1:$Z$2488,1820,'Live Data'!$C$18)),"")</f>
        <v/>
      </c>
      <c r="H1820" s="54" t="str">
        <f>IFERROR(IF(INDEX(SPOT_Import!$A$1:$Z$2488,1820,'Live Data'!$C$19)="","",INDEX(SPOT_Import!$A$1:$Z$2488,1820,'Live Data'!$C$19)),"")</f>
        <v/>
      </c>
      <c r="I1820" s="54" t="str">
        <f>IFERROR(IF(INDEX(SPOT_Import!$A$1:$Z$2488,1820,'Live Data'!$C$20)="","",INDEX(SPOT_Import!$A$1:$Z$2488,1820,'Live Data'!$C$20)),"")</f>
        <v/>
      </c>
      <c r="J1820" s="54" t="str">
        <f>IFERROR(IF(INDEX(SPOT_Import!$A$1:$Z$2488,1820,'Live Data'!$C$21)="","",INDEX(SPOT_Import!$A$1:$Z$2488,1820,'Live Data'!$C$21)),"")</f>
        <v/>
      </c>
      <c r="K1820" s="54" t="str">
        <f>IFERROR(IF(INDEX(SPOT_Import!$A$1:$Z$2488,1820,'Live Data'!$C$22)="","",INDEX(SPOT_Import!$A$1:$Z$2488,1820,'Live Data'!$C$22)),"")</f>
        <v/>
      </c>
      <c r="L1820" s="55" t="str">
        <f t="shared" si="56"/>
        <v/>
      </c>
      <c r="M1820" s="55" t="str">
        <f t="shared" si="57"/>
        <v/>
      </c>
      <c r="N1820" s="55" t="str">
        <f>IF(A1820="","",IFERROR(INDEX('Cluster Map'!$A$4:$A$38,MATCH(M1820,'Cluster Map'!$B$4:$B$38,0)),"Unmapped"))</f>
        <v/>
      </c>
      <c r="O1820" s="55">
        <f>IF(A1820="",0,IF(COUNTIFS($A$2:A1820,A1820,$F$2:F1820,F1820,$L$2:L1820,L1820)=1,1,0))</f>
        <v>0</v>
      </c>
      <c r="P1820" s="55">
        <f>IF(A1820="",0,IF(AND(F1820="C&amp;T",COUNTIFS($A$2:A1820,A1820,$F$2:F1820,"C&amp;T")=1),1,0))</f>
        <v>0</v>
      </c>
    </row>
    <row r="1821" spans="1:16" x14ac:dyDescent="0.35">
      <c r="A1821" s="54" t="str">
        <f>IFERROR(IF(INDEX(SPOT_Import!$A$1:$Z$2488,1821,'Live Data'!$C$12)="","",INDEX(SPOT_Import!$A$1:$Z$2488,1821,'Live Data'!$C$12)),"")</f>
        <v/>
      </c>
      <c r="B1821" s="54" t="str">
        <f>IFERROR(IF(INDEX(SPOT_Import!$A$1:$Z$2488,1821,'Live Data'!$C$13)="","",INDEX(SPOT_Import!$A$1:$Z$2488,1821,'Live Data'!$C$13)),"")</f>
        <v/>
      </c>
      <c r="C1821" s="54" t="str">
        <f>IFERROR(IF(INDEX(SPOT_Import!$A$1:$Z$2488,1821,'Live Data'!$C$14)="","",INDEX(SPOT_Import!$A$1:$Z$2488,1821,'Live Data'!$C$14)),"")</f>
        <v/>
      </c>
      <c r="D1821" s="54" t="str">
        <f>IFERROR(IF(INDEX(SPOT_Import!$A$1:$Z$2488,1821,'Live Data'!$C$15)="","",INDEX(SPOT_Import!$A$1:$Z$2488,1821,'Live Data'!$C$15)),"")</f>
        <v/>
      </c>
      <c r="E1821" s="54" t="str">
        <f>IFERROR(IF(INDEX(SPOT_Import!$A$1:$Z$2488,1821,'Live Data'!$C$16)="","",INDEX(SPOT_Import!$A$1:$Z$2488,1821,'Live Data'!$C$16)),"")</f>
        <v/>
      </c>
      <c r="F1821" s="54" t="str">
        <f>IFERROR(IF(INDEX(SPOT_Import!$A$1:$Z$2488,1821,'Live Data'!$C$17)="","",INDEX(SPOT_Import!$A$1:$Z$2488,1821,'Live Data'!$C$17)),"")</f>
        <v/>
      </c>
      <c r="G1821" s="54" t="str">
        <f>IFERROR(IF(INDEX(SPOT_Import!$A$1:$Z$2488,1821,'Live Data'!$C$18)="","",INDEX(SPOT_Import!$A$1:$Z$2488,1821,'Live Data'!$C$18)),"")</f>
        <v/>
      </c>
      <c r="H1821" s="54" t="str">
        <f>IFERROR(IF(INDEX(SPOT_Import!$A$1:$Z$2488,1821,'Live Data'!$C$19)="","",INDEX(SPOT_Import!$A$1:$Z$2488,1821,'Live Data'!$C$19)),"")</f>
        <v/>
      </c>
      <c r="I1821" s="54" t="str">
        <f>IFERROR(IF(INDEX(SPOT_Import!$A$1:$Z$2488,1821,'Live Data'!$C$20)="","",INDEX(SPOT_Import!$A$1:$Z$2488,1821,'Live Data'!$C$20)),"")</f>
        <v/>
      </c>
      <c r="J1821" s="54" t="str">
        <f>IFERROR(IF(INDEX(SPOT_Import!$A$1:$Z$2488,1821,'Live Data'!$C$21)="","",INDEX(SPOT_Import!$A$1:$Z$2488,1821,'Live Data'!$C$21)),"")</f>
        <v/>
      </c>
      <c r="K1821" s="54" t="str">
        <f>IFERROR(IF(INDEX(SPOT_Import!$A$1:$Z$2488,1821,'Live Data'!$C$22)="","",INDEX(SPOT_Import!$A$1:$Z$2488,1821,'Live Data'!$C$22)),"")</f>
        <v/>
      </c>
      <c r="L1821" s="55" t="str">
        <f t="shared" si="56"/>
        <v/>
      </c>
      <c r="M1821" s="55" t="str">
        <f t="shared" si="57"/>
        <v/>
      </c>
      <c r="N1821" s="55" t="str">
        <f>IF(A1821="","",IFERROR(INDEX('Cluster Map'!$A$4:$A$38,MATCH(M1821,'Cluster Map'!$B$4:$B$38,0)),"Unmapped"))</f>
        <v/>
      </c>
      <c r="O1821" s="55">
        <f>IF(A1821="",0,IF(COUNTIFS($A$2:A1821,A1821,$F$2:F1821,F1821,$L$2:L1821,L1821)=1,1,0))</f>
        <v>0</v>
      </c>
      <c r="P1821" s="55">
        <f>IF(A1821="",0,IF(AND(F1821="C&amp;T",COUNTIFS($A$2:A1821,A1821,$F$2:F1821,"C&amp;T")=1),1,0))</f>
        <v>0</v>
      </c>
    </row>
    <row r="1822" spans="1:16" x14ac:dyDescent="0.35">
      <c r="A1822" s="54" t="str">
        <f>IFERROR(IF(INDEX(SPOT_Import!$A$1:$Z$2488,1822,'Live Data'!$C$12)="","",INDEX(SPOT_Import!$A$1:$Z$2488,1822,'Live Data'!$C$12)),"")</f>
        <v/>
      </c>
      <c r="B1822" s="54" t="str">
        <f>IFERROR(IF(INDEX(SPOT_Import!$A$1:$Z$2488,1822,'Live Data'!$C$13)="","",INDEX(SPOT_Import!$A$1:$Z$2488,1822,'Live Data'!$C$13)),"")</f>
        <v/>
      </c>
      <c r="C1822" s="54" t="str">
        <f>IFERROR(IF(INDEX(SPOT_Import!$A$1:$Z$2488,1822,'Live Data'!$C$14)="","",INDEX(SPOT_Import!$A$1:$Z$2488,1822,'Live Data'!$C$14)),"")</f>
        <v/>
      </c>
      <c r="D1822" s="54" t="str">
        <f>IFERROR(IF(INDEX(SPOT_Import!$A$1:$Z$2488,1822,'Live Data'!$C$15)="","",INDEX(SPOT_Import!$A$1:$Z$2488,1822,'Live Data'!$C$15)),"")</f>
        <v/>
      </c>
      <c r="E1822" s="54" t="str">
        <f>IFERROR(IF(INDEX(SPOT_Import!$A$1:$Z$2488,1822,'Live Data'!$C$16)="","",INDEX(SPOT_Import!$A$1:$Z$2488,1822,'Live Data'!$C$16)),"")</f>
        <v/>
      </c>
      <c r="F1822" s="54" t="str">
        <f>IFERROR(IF(INDEX(SPOT_Import!$A$1:$Z$2488,1822,'Live Data'!$C$17)="","",INDEX(SPOT_Import!$A$1:$Z$2488,1822,'Live Data'!$C$17)),"")</f>
        <v/>
      </c>
      <c r="G1822" s="54" t="str">
        <f>IFERROR(IF(INDEX(SPOT_Import!$A$1:$Z$2488,1822,'Live Data'!$C$18)="","",INDEX(SPOT_Import!$A$1:$Z$2488,1822,'Live Data'!$C$18)),"")</f>
        <v/>
      </c>
      <c r="H1822" s="54" t="str">
        <f>IFERROR(IF(INDEX(SPOT_Import!$A$1:$Z$2488,1822,'Live Data'!$C$19)="","",INDEX(SPOT_Import!$A$1:$Z$2488,1822,'Live Data'!$C$19)),"")</f>
        <v/>
      </c>
      <c r="I1822" s="54" t="str">
        <f>IFERROR(IF(INDEX(SPOT_Import!$A$1:$Z$2488,1822,'Live Data'!$C$20)="","",INDEX(SPOT_Import!$A$1:$Z$2488,1822,'Live Data'!$C$20)),"")</f>
        <v/>
      </c>
      <c r="J1822" s="54" t="str">
        <f>IFERROR(IF(INDEX(SPOT_Import!$A$1:$Z$2488,1822,'Live Data'!$C$21)="","",INDEX(SPOT_Import!$A$1:$Z$2488,1822,'Live Data'!$C$21)),"")</f>
        <v/>
      </c>
      <c r="K1822" s="54" t="str">
        <f>IFERROR(IF(INDEX(SPOT_Import!$A$1:$Z$2488,1822,'Live Data'!$C$22)="","",INDEX(SPOT_Import!$A$1:$Z$2488,1822,'Live Data'!$C$22)),"")</f>
        <v/>
      </c>
      <c r="L1822" s="55" t="str">
        <f t="shared" si="56"/>
        <v/>
      </c>
      <c r="M1822" s="55" t="str">
        <f t="shared" si="57"/>
        <v/>
      </c>
      <c r="N1822" s="55" t="str">
        <f>IF(A1822="","",IFERROR(INDEX('Cluster Map'!$A$4:$A$38,MATCH(M1822,'Cluster Map'!$B$4:$B$38,0)),"Unmapped"))</f>
        <v/>
      </c>
      <c r="O1822" s="55">
        <f>IF(A1822="",0,IF(COUNTIFS($A$2:A1822,A1822,$F$2:F1822,F1822,$L$2:L1822,L1822)=1,1,0))</f>
        <v>0</v>
      </c>
      <c r="P1822" s="55">
        <f>IF(A1822="",0,IF(AND(F1822="C&amp;T",COUNTIFS($A$2:A1822,A1822,$F$2:F1822,"C&amp;T")=1),1,0))</f>
        <v>0</v>
      </c>
    </row>
    <row r="1823" spans="1:16" x14ac:dyDescent="0.35">
      <c r="A1823" s="54" t="str">
        <f>IFERROR(IF(INDEX(SPOT_Import!$A$1:$Z$2488,1823,'Live Data'!$C$12)="","",INDEX(SPOT_Import!$A$1:$Z$2488,1823,'Live Data'!$C$12)),"")</f>
        <v/>
      </c>
      <c r="B1823" s="54" t="str">
        <f>IFERROR(IF(INDEX(SPOT_Import!$A$1:$Z$2488,1823,'Live Data'!$C$13)="","",INDEX(SPOT_Import!$A$1:$Z$2488,1823,'Live Data'!$C$13)),"")</f>
        <v/>
      </c>
      <c r="C1823" s="54" t="str">
        <f>IFERROR(IF(INDEX(SPOT_Import!$A$1:$Z$2488,1823,'Live Data'!$C$14)="","",INDEX(SPOT_Import!$A$1:$Z$2488,1823,'Live Data'!$C$14)),"")</f>
        <v/>
      </c>
      <c r="D1823" s="54" t="str">
        <f>IFERROR(IF(INDEX(SPOT_Import!$A$1:$Z$2488,1823,'Live Data'!$C$15)="","",INDEX(SPOT_Import!$A$1:$Z$2488,1823,'Live Data'!$C$15)),"")</f>
        <v/>
      </c>
      <c r="E1823" s="54" t="str">
        <f>IFERROR(IF(INDEX(SPOT_Import!$A$1:$Z$2488,1823,'Live Data'!$C$16)="","",INDEX(SPOT_Import!$A$1:$Z$2488,1823,'Live Data'!$C$16)),"")</f>
        <v/>
      </c>
      <c r="F1823" s="54" t="str">
        <f>IFERROR(IF(INDEX(SPOT_Import!$A$1:$Z$2488,1823,'Live Data'!$C$17)="","",INDEX(SPOT_Import!$A$1:$Z$2488,1823,'Live Data'!$C$17)),"")</f>
        <v/>
      </c>
      <c r="G1823" s="54" t="str">
        <f>IFERROR(IF(INDEX(SPOT_Import!$A$1:$Z$2488,1823,'Live Data'!$C$18)="","",INDEX(SPOT_Import!$A$1:$Z$2488,1823,'Live Data'!$C$18)),"")</f>
        <v/>
      </c>
      <c r="H1823" s="54" t="str">
        <f>IFERROR(IF(INDEX(SPOT_Import!$A$1:$Z$2488,1823,'Live Data'!$C$19)="","",INDEX(SPOT_Import!$A$1:$Z$2488,1823,'Live Data'!$C$19)),"")</f>
        <v/>
      </c>
      <c r="I1823" s="54" t="str">
        <f>IFERROR(IF(INDEX(SPOT_Import!$A$1:$Z$2488,1823,'Live Data'!$C$20)="","",INDEX(SPOT_Import!$A$1:$Z$2488,1823,'Live Data'!$C$20)),"")</f>
        <v/>
      </c>
      <c r="J1823" s="54" t="str">
        <f>IFERROR(IF(INDEX(SPOT_Import!$A$1:$Z$2488,1823,'Live Data'!$C$21)="","",INDEX(SPOT_Import!$A$1:$Z$2488,1823,'Live Data'!$C$21)),"")</f>
        <v/>
      </c>
      <c r="K1823" s="54" t="str">
        <f>IFERROR(IF(INDEX(SPOT_Import!$A$1:$Z$2488,1823,'Live Data'!$C$22)="","",INDEX(SPOT_Import!$A$1:$Z$2488,1823,'Live Data'!$C$22)),"")</f>
        <v/>
      </c>
      <c r="L1823" s="55" t="str">
        <f t="shared" si="56"/>
        <v/>
      </c>
      <c r="M1823" s="55" t="str">
        <f t="shared" si="57"/>
        <v/>
      </c>
      <c r="N1823" s="55" t="str">
        <f>IF(A1823="","",IFERROR(INDEX('Cluster Map'!$A$4:$A$38,MATCH(M1823,'Cluster Map'!$B$4:$B$38,0)),"Unmapped"))</f>
        <v/>
      </c>
      <c r="O1823" s="55">
        <f>IF(A1823="",0,IF(COUNTIFS($A$2:A1823,A1823,$F$2:F1823,F1823,$L$2:L1823,L1823)=1,1,0))</f>
        <v>0</v>
      </c>
      <c r="P1823" s="55">
        <f>IF(A1823="",0,IF(AND(F1823="C&amp;T",COUNTIFS($A$2:A1823,A1823,$F$2:F1823,"C&amp;T")=1),1,0))</f>
        <v>0</v>
      </c>
    </row>
    <row r="1824" spans="1:16" x14ac:dyDescent="0.35">
      <c r="A1824" s="54" t="str">
        <f>IFERROR(IF(INDEX(SPOT_Import!$A$1:$Z$2488,1824,'Live Data'!$C$12)="","",INDEX(SPOT_Import!$A$1:$Z$2488,1824,'Live Data'!$C$12)),"")</f>
        <v/>
      </c>
      <c r="B1824" s="54" t="str">
        <f>IFERROR(IF(INDEX(SPOT_Import!$A$1:$Z$2488,1824,'Live Data'!$C$13)="","",INDEX(SPOT_Import!$A$1:$Z$2488,1824,'Live Data'!$C$13)),"")</f>
        <v/>
      </c>
      <c r="C1824" s="54" t="str">
        <f>IFERROR(IF(INDEX(SPOT_Import!$A$1:$Z$2488,1824,'Live Data'!$C$14)="","",INDEX(SPOT_Import!$A$1:$Z$2488,1824,'Live Data'!$C$14)),"")</f>
        <v/>
      </c>
      <c r="D1824" s="54" t="str">
        <f>IFERROR(IF(INDEX(SPOT_Import!$A$1:$Z$2488,1824,'Live Data'!$C$15)="","",INDEX(SPOT_Import!$A$1:$Z$2488,1824,'Live Data'!$C$15)),"")</f>
        <v/>
      </c>
      <c r="E1824" s="54" t="str">
        <f>IFERROR(IF(INDEX(SPOT_Import!$A$1:$Z$2488,1824,'Live Data'!$C$16)="","",INDEX(SPOT_Import!$A$1:$Z$2488,1824,'Live Data'!$C$16)),"")</f>
        <v/>
      </c>
      <c r="F1824" s="54" t="str">
        <f>IFERROR(IF(INDEX(SPOT_Import!$A$1:$Z$2488,1824,'Live Data'!$C$17)="","",INDEX(SPOT_Import!$A$1:$Z$2488,1824,'Live Data'!$C$17)),"")</f>
        <v/>
      </c>
      <c r="G1824" s="54" t="str">
        <f>IFERROR(IF(INDEX(SPOT_Import!$A$1:$Z$2488,1824,'Live Data'!$C$18)="","",INDEX(SPOT_Import!$A$1:$Z$2488,1824,'Live Data'!$C$18)),"")</f>
        <v/>
      </c>
      <c r="H1824" s="54" t="str">
        <f>IFERROR(IF(INDEX(SPOT_Import!$A$1:$Z$2488,1824,'Live Data'!$C$19)="","",INDEX(SPOT_Import!$A$1:$Z$2488,1824,'Live Data'!$C$19)),"")</f>
        <v/>
      </c>
      <c r="I1824" s="54" t="str">
        <f>IFERROR(IF(INDEX(SPOT_Import!$A$1:$Z$2488,1824,'Live Data'!$C$20)="","",INDEX(SPOT_Import!$A$1:$Z$2488,1824,'Live Data'!$C$20)),"")</f>
        <v/>
      </c>
      <c r="J1824" s="54" t="str">
        <f>IFERROR(IF(INDEX(SPOT_Import!$A$1:$Z$2488,1824,'Live Data'!$C$21)="","",INDEX(SPOT_Import!$A$1:$Z$2488,1824,'Live Data'!$C$21)),"")</f>
        <v/>
      </c>
      <c r="K1824" s="54" t="str">
        <f>IFERROR(IF(INDEX(SPOT_Import!$A$1:$Z$2488,1824,'Live Data'!$C$22)="","",INDEX(SPOT_Import!$A$1:$Z$2488,1824,'Live Data'!$C$22)),"")</f>
        <v/>
      </c>
      <c r="L1824" s="55" t="str">
        <f t="shared" si="56"/>
        <v/>
      </c>
      <c r="M1824" s="55" t="str">
        <f t="shared" si="57"/>
        <v/>
      </c>
      <c r="N1824" s="55" t="str">
        <f>IF(A1824="","",IFERROR(INDEX('Cluster Map'!$A$4:$A$38,MATCH(M1824,'Cluster Map'!$B$4:$B$38,0)),"Unmapped"))</f>
        <v/>
      </c>
      <c r="O1824" s="55">
        <f>IF(A1824="",0,IF(COUNTIFS($A$2:A1824,A1824,$F$2:F1824,F1824,$L$2:L1824,L1824)=1,1,0))</f>
        <v>0</v>
      </c>
      <c r="P1824" s="55">
        <f>IF(A1824="",0,IF(AND(F1824="C&amp;T",COUNTIFS($A$2:A1824,A1824,$F$2:F1824,"C&amp;T")=1),1,0))</f>
        <v>0</v>
      </c>
    </row>
    <row r="1825" spans="1:16" x14ac:dyDescent="0.35">
      <c r="A1825" s="54" t="str">
        <f>IFERROR(IF(INDEX(SPOT_Import!$A$1:$Z$2488,1825,'Live Data'!$C$12)="","",INDEX(SPOT_Import!$A$1:$Z$2488,1825,'Live Data'!$C$12)),"")</f>
        <v/>
      </c>
      <c r="B1825" s="54" t="str">
        <f>IFERROR(IF(INDEX(SPOT_Import!$A$1:$Z$2488,1825,'Live Data'!$C$13)="","",INDEX(SPOT_Import!$A$1:$Z$2488,1825,'Live Data'!$C$13)),"")</f>
        <v/>
      </c>
      <c r="C1825" s="54" t="str">
        <f>IFERROR(IF(INDEX(SPOT_Import!$A$1:$Z$2488,1825,'Live Data'!$C$14)="","",INDEX(SPOT_Import!$A$1:$Z$2488,1825,'Live Data'!$C$14)),"")</f>
        <v/>
      </c>
      <c r="D1825" s="54" t="str">
        <f>IFERROR(IF(INDEX(SPOT_Import!$A$1:$Z$2488,1825,'Live Data'!$C$15)="","",INDEX(SPOT_Import!$A$1:$Z$2488,1825,'Live Data'!$C$15)),"")</f>
        <v/>
      </c>
      <c r="E1825" s="54" t="str">
        <f>IFERROR(IF(INDEX(SPOT_Import!$A$1:$Z$2488,1825,'Live Data'!$C$16)="","",INDEX(SPOT_Import!$A$1:$Z$2488,1825,'Live Data'!$C$16)),"")</f>
        <v/>
      </c>
      <c r="F1825" s="54" t="str">
        <f>IFERROR(IF(INDEX(SPOT_Import!$A$1:$Z$2488,1825,'Live Data'!$C$17)="","",INDEX(SPOT_Import!$A$1:$Z$2488,1825,'Live Data'!$C$17)),"")</f>
        <v/>
      </c>
      <c r="G1825" s="54" t="str">
        <f>IFERROR(IF(INDEX(SPOT_Import!$A$1:$Z$2488,1825,'Live Data'!$C$18)="","",INDEX(SPOT_Import!$A$1:$Z$2488,1825,'Live Data'!$C$18)),"")</f>
        <v/>
      </c>
      <c r="H1825" s="54" t="str">
        <f>IFERROR(IF(INDEX(SPOT_Import!$A$1:$Z$2488,1825,'Live Data'!$C$19)="","",INDEX(SPOT_Import!$A$1:$Z$2488,1825,'Live Data'!$C$19)),"")</f>
        <v/>
      </c>
      <c r="I1825" s="54" t="str">
        <f>IFERROR(IF(INDEX(SPOT_Import!$A$1:$Z$2488,1825,'Live Data'!$C$20)="","",INDEX(SPOT_Import!$A$1:$Z$2488,1825,'Live Data'!$C$20)),"")</f>
        <v/>
      </c>
      <c r="J1825" s="54" t="str">
        <f>IFERROR(IF(INDEX(SPOT_Import!$A$1:$Z$2488,1825,'Live Data'!$C$21)="","",INDEX(SPOT_Import!$A$1:$Z$2488,1825,'Live Data'!$C$21)),"")</f>
        <v/>
      </c>
      <c r="K1825" s="54" t="str">
        <f>IFERROR(IF(INDEX(SPOT_Import!$A$1:$Z$2488,1825,'Live Data'!$C$22)="","",INDEX(SPOT_Import!$A$1:$Z$2488,1825,'Live Data'!$C$22)),"")</f>
        <v/>
      </c>
      <c r="L1825" s="55" t="str">
        <f t="shared" si="56"/>
        <v/>
      </c>
      <c r="M1825" s="55" t="str">
        <f t="shared" si="57"/>
        <v/>
      </c>
      <c r="N1825" s="55" t="str">
        <f>IF(A1825="","",IFERROR(INDEX('Cluster Map'!$A$4:$A$38,MATCH(M1825,'Cluster Map'!$B$4:$B$38,0)),"Unmapped"))</f>
        <v/>
      </c>
      <c r="O1825" s="55">
        <f>IF(A1825="",0,IF(COUNTIFS($A$2:A1825,A1825,$F$2:F1825,F1825,$L$2:L1825,L1825)=1,1,0))</f>
        <v>0</v>
      </c>
      <c r="P1825" s="55">
        <f>IF(A1825="",0,IF(AND(F1825="C&amp;T",COUNTIFS($A$2:A1825,A1825,$F$2:F1825,"C&amp;T")=1),1,0))</f>
        <v>0</v>
      </c>
    </row>
    <row r="1826" spans="1:16" x14ac:dyDescent="0.35">
      <c r="A1826" s="54" t="str">
        <f>IFERROR(IF(INDEX(SPOT_Import!$A$1:$Z$2488,1826,'Live Data'!$C$12)="","",INDEX(SPOT_Import!$A$1:$Z$2488,1826,'Live Data'!$C$12)),"")</f>
        <v/>
      </c>
      <c r="B1826" s="54" t="str">
        <f>IFERROR(IF(INDEX(SPOT_Import!$A$1:$Z$2488,1826,'Live Data'!$C$13)="","",INDEX(SPOT_Import!$A$1:$Z$2488,1826,'Live Data'!$C$13)),"")</f>
        <v/>
      </c>
      <c r="C1826" s="54" t="str">
        <f>IFERROR(IF(INDEX(SPOT_Import!$A$1:$Z$2488,1826,'Live Data'!$C$14)="","",INDEX(SPOT_Import!$A$1:$Z$2488,1826,'Live Data'!$C$14)),"")</f>
        <v/>
      </c>
      <c r="D1826" s="54" t="str">
        <f>IFERROR(IF(INDEX(SPOT_Import!$A$1:$Z$2488,1826,'Live Data'!$C$15)="","",INDEX(SPOT_Import!$A$1:$Z$2488,1826,'Live Data'!$C$15)),"")</f>
        <v/>
      </c>
      <c r="E1826" s="54" t="str">
        <f>IFERROR(IF(INDEX(SPOT_Import!$A$1:$Z$2488,1826,'Live Data'!$C$16)="","",INDEX(SPOT_Import!$A$1:$Z$2488,1826,'Live Data'!$C$16)),"")</f>
        <v/>
      </c>
      <c r="F1826" s="54" t="str">
        <f>IFERROR(IF(INDEX(SPOT_Import!$A$1:$Z$2488,1826,'Live Data'!$C$17)="","",INDEX(SPOT_Import!$A$1:$Z$2488,1826,'Live Data'!$C$17)),"")</f>
        <v/>
      </c>
      <c r="G1826" s="54" t="str">
        <f>IFERROR(IF(INDEX(SPOT_Import!$A$1:$Z$2488,1826,'Live Data'!$C$18)="","",INDEX(SPOT_Import!$A$1:$Z$2488,1826,'Live Data'!$C$18)),"")</f>
        <v/>
      </c>
      <c r="H1826" s="54" t="str">
        <f>IFERROR(IF(INDEX(SPOT_Import!$A$1:$Z$2488,1826,'Live Data'!$C$19)="","",INDEX(SPOT_Import!$A$1:$Z$2488,1826,'Live Data'!$C$19)),"")</f>
        <v/>
      </c>
      <c r="I1826" s="54" t="str">
        <f>IFERROR(IF(INDEX(SPOT_Import!$A$1:$Z$2488,1826,'Live Data'!$C$20)="","",INDEX(SPOT_Import!$A$1:$Z$2488,1826,'Live Data'!$C$20)),"")</f>
        <v/>
      </c>
      <c r="J1826" s="54" t="str">
        <f>IFERROR(IF(INDEX(SPOT_Import!$A$1:$Z$2488,1826,'Live Data'!$C$21)="","",INDEX(SPOT_Import!$A$1:$Z$2488,1826,'Live Data'!$C$21)),"")</f>
        <v/>
      </c>
      <c r="K1826" s="54" t="str">
        <f>IFERROR(IF(INDEX(SPOT_Import!$A$1:$Z$2488,1826,'Live Data'!$C$22)="","",INDEX(SPOT_Import!$A$1:$Z$2488,1826,'Live Data'!$C$22)),"")</f>
        <v/>
      </c>
      <c r="L1826" s="55" t="str">
        <f t="shared" si="56"/>
        <v/>
      </c>
      <c r="M1826" s="55" t="str">
        <f t="shared" si="57"/>
        <v/>
      </c>
      <c r="N1826" s="55" t="str">
        <f>IF(A1826="","",IFERROR(INDEX('Cluster Map'!$A$4:$A$38,MATCH(M1826,'Cluster Map'!$B$4:$B$38,0)),"Unmapped"))</f>
        <v/>
      </c>
      <c r="O1826" s="55">
        <f>IF(A1826="",0,IF(COUNTIFS($A$2:A1826,A1826,$F$2:F1826,F1826,$L$2:L1826,L1826)=1,1,0))</f>
        <v>0</v>
      </c>
      <c r="P1826" s="55">
        <f>IF(A1826="",0,IF(AND(F1826="C&amp;T",COUNTIFS($A$2:A1826,A1826,$F$2:F1826,"C&amp;T")=1),1,0))</f>
        <v>0</v>
      </c>
    </row>
    <row r="1827" spans="1:16" x14ac:dyDescent="0.35">
      <c r="A1827" s="54" t="str">
        <f>IFERROR(IF(INDEX(SPOT_Import!$A$1:$Z$2488,1827,'Live Data'!$C$12)="","",INDEX(SPOT_Import!$A$1:$Z$2488,1827,'Live Data'!$C$12)),"")</f>
        <v/>
      </c>
      <c r="B1827" s="54" t="str">
        <f>IFERROR(IF(INDEX(SPOT_Import!$A$1:$Z$2488,1827,'Live Data'!$C$13)="","",INDEX(SPOT_Import!$A$1:$Z$2488,1827,'Live Data'!$C$13)),"")</f>
        <v/>
      </c>
      <c r="C1827" s="54" t="str">
        <f>IFERROR(IF(INDEX(SPOT_Import!$A$1:$Z$2488,1827,'Live Data'!$C$14)="","",INDEX(SPOT_Import!$A$1:$Z$2488,1827,'Live Data'!$C$14)),"")</f>
        <v/>
      </c>
      <c r="D1827" s="54" t="str">
        <f>IFERROR(IF(INDEX(SPOT_Import!$A$1:$Z$2488,1827,'Live Data'!$C$15)="","",INDEX(SPOT_Import!$A$1:$Z$2488,1827,'Live Data'!$C$15)),"")</f>
        <v/>
      </c>
      <c r="E1827" s="54" t="str">
        <f>IFERROR(IF(INDEX(SPOT_Import!$A$1:$Z$2488,1827,'Live Data'!$C$16)="","",INDEX(SPOT_Import!$A$1:$Z$2488,1827,'Live Data'!$C$16)),"")</f>
        <v/>
      </c>
      <c r="F1827" s="54" t="str">
        <f>IFERROR(IF(INDEX(SPOT_Import!$A$1:$Z$2488,1827,'Live Data'!$C$17)="","",INDEX(SPOT_Import!$A$1:$Z$2488,1827,'Live Data'!$C$17)),"")</f>
        <v/>
      </c>
      <c r="G1827" s="54" t="str">
        <f>IFERROR(IF(INDEX(SPOT_Import!$A$1:$Z$2488,1827,'Live Data'!$C$18)="","",INDEX(SPOT_Import!$A$1:$Z$2488,1827,'Live Data'!$C$18)),"")</f>
        <v/>
      </c>
      <c r="H1827" s="54" t="str">
        <f>IFERROR(IF(INDEX(SPOT_Import!$A$1:$Z$2488,1827,'Live Data'!$C$19)="","",INDEX(SPOT_Import!$A$1:$Z$2488,1827,'Live Data'!$C$19)),"")</f>
        <v/>
      </c>
      <c r="I1827" s="54" t="str">
        <f>IFERROR(IF(INDEX(SPOT_Import!$A$1:$Z$2488,1827,'Live Data'!$C$20)="","",INDEX(SPOT_Import!$A$1:$Z$2488,1827,'Live Data'!$C$20)),"")</f>
        <v/>
      </c>
      <c r="J1827" s="54" t="str">
        <f>IFERROR(IF(INDEX(SPOT_Import!$A$1:$Z$2488,1827,'Live Data'!$C$21)="","",INDEX(SPOT_Import!$A$1:$Z$2488,1827,'Live Data'!$C$21)),"")</f>
        <v/>
      </c>
      <c r="K1827" s="54" t="str">
        <f>IFERROR(IF(INDEX(SPOT_Import!$A$1:$Z$2488,1827,'Live Data'!$C$22)="","",INDEX(SPOT_Import!$A$1:$Z$2488,1827,'Live Data'!$C$22)),"")</f>
        <v/>
      </c>
      <c r="L1827" s="55" t="str">
        <f t="shared" si="56"/>
        <v/>
      </c>
      <c r="M1827" s="55" t="str">
        <f t="shared" si="57"/>
        <v/>
      </c>
      <c r="N1827" s="55" t="str">
        <f>IF(A1827="","",IFERROR(INDEX('Cluster Map'!$A$4:$A$38,MATCH(M1827,'Cluster Map'!$B$4:$B$38,0)),"Unmapped"))</f>
        <v/>
      </c>
      <c r="O1827" s="55">
        <f>IF(A1827="",0,IF(COUNTIFS($A$2:A1827,A1827,$F$2:F1827,F1827,$L$2:L1827,L1827)=1,1,0))</f>
        <v>0</v>
      </c>
      <c r="P1827" s="55">
        <f>IF(A1827="",0,IF(AND(F1827="C&amp;T",COUNTIFS($A$2:A1827,A1827,$F$2:F1827,"C&amp;T")=1),1,0))</f>
        <v>0</v>
      </c>
    </row>
    <row r="1828" spans="1:16" x14ac:dyDescent="0.35">
      <c r="A1828" s="54" t="str">
        <f>IFERROR(IF(INDEX(SPOT_Import!$A$1:$Z$2488,1828,'Live Data'!$C$12)="","",INDEX(SPOT_Import!$A$1:$Z$2488,1828,'Live Data'!$C$12)),"")</f>
        <v/>
      </c>
      <c r="B1828" s="54" t="str">
        <f>IFERROR(IF(INDEX(SPOT_Import!$A$1:$Z$2488,1828,'Live Data'!$C$13)="","",INDEX(SPOT_Import!$A$1:$Z$2488,1828,'Live Data'!$C$13)),"")</f>
        <v/>
      </c>
      <c r="C1828" s="54" t="str">
        <f>IFERROR(IF(INDEX(SPOT_Import!$A$1:$Z$2488,1828,'Live Data'!$C$14)="","",INDEX(SPOT_Import!$A$1:$Z$2488,1828,'Live Data'!$C$14)),"")</f>
        <v/>
      </c>
      <c r="D1828" s="54" t="str">
        <f>IFERROR(IF(INDEX(SPOT_Import!$A$1:$Z$2488,1828,'Live Data'!$C$15)="","",INDEX(SPOT_Import!$A$1:$Z$2488,1828,'Live Data'!$C$15)),"")</f>
        <v/>
      </c>
      <c r="E1828" s="54" t="str">
        <f>IFERROR(IF(INDEX(SPOT_Import!$A$1:$Z$2488,1828,'Live Data'!$C$16)="","",INDEX(SPOT_Import!$A$1:$Z$2488,1828,'Live Data'!$C$16)),"")</f>
        <v/>
      </c>
      <c r="F1828" s="54" t="str">
        <f>IFERROR(IF(INDEX(SPOT_Import!$A$1:$Z$2488,1828,'Live Data'!$C$17)="","",INDEX(SPOT_Import!$A$1:$Z$2488,1828,'Live Data'!$C$17)),"")</f>
        <v/>
      </c>
      <c r="G1828" s="54" t="str">
        <f>IFERROR(IF(INDEX(SPOT_Import!$A$1:$Z$2488,1828,'Live Data'!$C$18)="","",INDEX(SPOT_Import!$A$1:$Z$2488,1828,'Live Data'!$C$18)),"")</f>
        <v/>
      </c>
      <c r="H1828" s="54" t="str">
        <f>IFERROR(IF(INDEX(SPOT_Import!$A$1:$Z$2488,1828,'Live Data'!$C$19)="","",INDEX(SPOT_Import!$A$1:$Z$2488,1828,'Live Data'!$C$19)),"")</f>
        <v/>
      </c>
      <c r="I1828" s="54" t="str">
        <f>IFERROR(IF(INDEX(SPOT_Import!$A$1:$Z$2488,1828,'Live Data'!$C$20)="","",INDEX(SPOT_Import!$A$1:$Z$2488,1828,'Live Data'!$C$20)),"")</f>
        <v/>
      </c>
      <c r="J1828" s="54" t="str">
        <f>IFERROR(IF(INDEX(SPOT_Import!$A$1:$Z$2488,1828,'Live Data'!$C$21)="","",INDEX(SPOT_Import!$A$1:$Z$2488,1828,'Live Data'!$C$21)),"")</f>
        <v/>
      </c>
      <c r="K1828" s="54" t="str">
        <f>IFERROR(IF(INDEX(SPOT_Import!$A$1:$Z$2488,1828,'Live Data'!$C$22)="","",INDEX(SPOT_Import!$A$1:$Z$2488,1828,'Live Data'!$C$22)),"")</f>
        <v/>
      </c>
      <c r="L1828" s="55" t="str">
        <f t="shared" si="56"/>
        <v/>
      </c>
      <c r="M1828" s="55" t="str">
        <f t="shared" si="57"/>
        <v/>
      </c>
      <c r="N1828" s="55" t="str">
        <f>IF(A1828="","",IFERROR(INDEX('Cluster Map'!$A$4:$A$38,MATCH(M1828,'Cluster Map'!$B$4:$B$38,0)),"Unmapped"))</f>
        <v/>
      </c>
      <c r="O1828" s="55">
        <f>IF(A1828="",0,IF(COUNTIFS($A$2:A1828,A1828,$F$2:F1828,F1828,$L$2:L1828,L1828)=1,1,0))</f>
        <v>0</v>
      </c>
      <c r="P1828" s="55">
        <f>IF(A1828="",0,IF(AND(F1828="C&amp;T",COUNTIFS($A$2:A1828,A1828,$F$2:F1828,"C&amp;T")=1),1,0))</f>
        <v>0</v>
      </c>
    </row>
    <row r="1829" spans="1:16" x14ac:dyDescent="0.35">
      <c r="A1829" s="54" t="str">
        <f>IFERROR(IF(INDEX(SPOT_Import!$A$1:$Z$2488,1829,'Live Data'!$C$12)="","",INDEX(SPOT_Import!$A$1:$Z$2488,1829,'Live Data'!$C$12)),"")</f>
        <v/>
      </c>
      <c r="B1829" s="54" t="str">
        <f>IFERROR(IF(INDEX(SPOT_Import!$A$1:$Z$2488,1829,'Live Data'!$C$13)="","",INDEX(SPOT_Import!$A$1:$Z$2488,1829,'Live Data'!$C$13)),"")</f>
        <v/>
      </c>
      <c r="C1829" s="54" t="str">
        <f>IFERROR(IF(INDEX(SPOT_Import!$A$1:$Z$2488,1829,'Live Data'!$C$14)="","",INDEX(SPOT_Import!$A$1:$Z$2488,1829,'Live Data'!$C$14)),"")</f>
        <v/>
      </c>
      <c r="D1829" s="54" t="str">
        <f>IFERROR(IF(INDEX(SPOT_Import!$A$1:$Z$2488,1829,'Live Data'!$C$15)="","",INDEX(SPOT_Import!$A$1:$Z$2488,1829,'Live Data'!$C$15)),"")</f>
        <v/>
      </c>
      <c r="E1829" s="54" t="str">
        <f>IFERROR(IF(INDEX(SPOT_Import!$A$1:$Z$2488,1829,'Live Data'!$C$16)="","",INDEX(SPOT_Import!$A$1:$Z$2488,1829,'Live Data'!$C$16)),"")</f>
        <v/>
      </c>
      <c r="F1829" s="54" t="str">
        <f>IFERROR(IF(INDEX(SPOT_Import!$A$1:$Z$2488,1829,'Live Data'!$C$17)="","",INDEX(SPOT_Import!$A$1:$Z$2488,1829,'Live Data'!$C$17)),"")</f>
        <v/>
      </c>
      <c r="G1829" s="54" t="str">
        <f>IFERROR(IF(INDEX(SPOT_Import!$A$1:$Z$2488,1829,'Live Data'!$C$18)="","",INDEX(SPOT_Import!$A$1:$Z$2488,1829,'Live Data'!$C$18)),"")</f>
        <v/>
      </c>
      <c r="H1829" s="54" t="str">
        <f>IFERROR(IF(INDEX(SPOT_Import!$A$1:$Z$2488,1829,'Live Data'!$C$19)="","",INDEX(SPOT_Import!$A$1:$Z$2488,1829,'Live Data'!$C$19)),"")</f>
        <v/>
      </c>
      <c r="I1829" s="54" t="str">
        <f>IFERROR(IF(INDEX(SPOT_Import!$A$1:$Z$2488,1829,'Live Data'!$C$20)="","",INDEX(SPOT_Import!$A$1:$Z$2488,1829,'Live Data'!$C$20)),"")</f>
        <v/>
      </c>
      <c r="J1829" s="54" t="str">
        <f>IFERROR(IF(INDEX(SPOT_Import!$A$1:$Z$2488,1829,'Live Data'!$C$21)="","",INDEX(SPOT_Import!$A$1:$Z$2488,1829,'Live Data'!$C$21)),"")</f>
        <v/>
      </c>
      <c r="K1829" s="54" t="str">
        <f>IFERROR(IF(INDEX(SPOT_Import!$A$1:$Z$2488,1829,'Live Data'!$C$22)="","",INDEX(SPOT_Import!$A$1:$Z$2488,1829,'Live Data'!$C$22)),"")</f>
        <v/>
      </c>
      <c r="L1829" s="55" t="str">
        <f t="shared" si="56"/>
        <v/>
      </c>
      <c r="M1829" s="55" t="str">
        <f t="shared" si="57"/>
        <v/>
      </c>
      <c r="N1829" s="55" t="str">
        <f>IF(A1829="","",IFERROR(INDEX('Cluster Map'!$A$4:$A$38,MATCH(M1829,'Cluster Map'!$B$4:$B$38,0)),"Unmapped"))</f>
        <v/>
      </c>
      <c r="O1829" s="55">
        <f>IF(A1829="",0,IF(COUNTIFS($A$2:A1829,A1829,$F$2:F1829,F1829,$L$2:L1829,L1829)=1,1,0))</f>
        <v>0</v>
      </c>
      <c r="P1829" s="55">
        <f>IF(A1829="",0,IF(AND(F1829="C&amp;T",COUNTIFS($A$2:A1829,A1829,$F$2:F1829,"C&amp;T")=1),1,0))</f>
        <v>0</v>
      </c>
    </row>
    <row r="1830" spans="1:16" x14ac:dyDescent="0.35">
      <c r="A1830" s="54" t="str">
        <f>IFERROR(IF(INDEX(SPOT_Import!$A$1:$Z$2488,1830,'Live Data'!$C$12)="","",INDEX(SPOT_Import!$A$1:$Z$2488,1830,'Live Data'!$C$12)),"")</f>
        <v/>
      </c>
      <c r="B1830" s="54" t="str">
        <f>IFERROR(IF(INDEX(SPOT_Import!$A$1:$Z$2488,1830,'Live Data'!$C$13)="","",INDEX(SPOT_Import!$A$1:$Z$2488,1830,'Live Data'!$C$13)),"")</f>
        <v/>
      </c>
      <c r="C1830" s="54" t="str">
        <f>IFERROR(IF(INDEX(SPOT_Import!$A$1:$Z$2488,1830,'Live Data'!$C$14)="","",INDEX(SPOT_Import!$A$1:$Z$2488,1830,'Live Data'!$C$14)),"")</f>
        <v/>
      </c>
      <c r="D1830" s="54" t="str">
        <f>IFERROR(IF(INDEX(SPOT_Import!$A$1:$Z$2488,1830,'Live Data'!$C$15)="","",INDEX(SPOT_Import!$A$1:$Z$2488,1830,'Live Data'!$C$15)),"")</f>
        <v/>
      </c>
      <c r="E1830" s="54" t="str">
        <f>IFERROR(IF(INDEX(SPOT_Import!$A$1:$Z$2488,1830,'Live Data'!$C$16)="","",INDEX(SPOT_Import!$A$1:$Z$2488,1830,'Live Data'!$C$16)),"")</f>
        <v/>
      </c>
      <c r="F1830" s="54" t="str">
        <f>IFERROR(IF(INDEX(SPOT_Import!$A$1:$Z$2488,1830,'Live Data'!$C$17)="","",INDEX(SPOT_Import!$A$1:$Z$2488,1830,'Live Data'!$C$17)),"")</f>
        <v/>
      </c>
      <c r="G1830" s="54" t="str">
        <f>IFERROR(IF(INDEX(SPOT_Import!$A$1:$Z$2488,1830,'Live Data'!$C$18)="","",INDEX(SPOT_Import!$A$1:$Z$2488,1830,'Live Data'!$C$18)),"")</f>
        <v/>
      </c>
      <c r="H1830" s="54" t="str">
        <f>IFERROR(IF(INDEX(SPOT_Import!$A$1:$Z$2488,1830,'Live Data'!$C$19)="","",INDEX(SPOT_Import!$A$1:$Z$2488,1830,'Live Data'!$C$19)),"")</f>
        <v/>
      </c>
      <c r="I1830" s="54" t="str">
        <f>IFERROR(IF(INDEX(SPOT_Import!$A$1:$Z$2488,1830,'Live Data'!$C$20)="","",INDEX(SPOT_Import!$A$1:$Z$2488,1830,'Live Data'!$C$20)),"")</f>
        <v/>
      </c>
      <c r="J1830" s="54" t="str">
        <f>IFERROR(IF(INDEX(SPOT_Import!$A$1:$Z$2488,1830,'Live Data'!$C$21)="","",INDEX(SPOT_Import!$A$1:$Z$2488,1830,'Live Data'!$C$21)),"")</f>
        <v/>
      </c>
      <c r="K1830" s="54" t="str">
        <f>IFERROR(IF(INDEX(SPOT_Import!$A$1:$Z$2488,1830,'Live Data'!$C$22)="","",INDEX(SPOT_Import!$A$1:$Z$2488,1830,'Live Data'!$C$22)),"")</f>
        <v/>
      </c>
      <c r="L1830" s="55" t="str">
        <f t="shared" si="56"/>
        <v/>
      </c>
      <c r="M1830" s="55" t="str">
        <f t="shared" si="57"/>
        <v/>
      </c>
      <c r="N1830" s="55" t="str">
        <f>IF(A1830="","",IFERROR(INDEX('Cluster Map'!$A$4:$A$38,MATCH(M1830,'Cluster Map'!$B$4:$B$38,0)),"Unmapped"))</f>
        <v/>
      </c>
      <c r="O1830" s="55">
        <f>IF(A1830="",0,IF(COUNTIFS($A$2:A1830,A1830,$F$2:F1830,F1830,$L$2:L1830,L1830)=1,1,0))</f>
        <v>0</v>
      </c>
      <c r="P1830" s="55">
        <f>IF(A1830="",0,IF(AND(F1830="C&amp;T",COUNTIFS($A$2:A1830,A1830,$F$2:F1830,"C&amp;T")=1),1,0))</f>
        <v>0</v>
      </c>
    </row>
    <row r="1831" spans="1:16" x14ac:dyDescent="0.35">
      <c r="A1831" s="54" t="str">
        <f>IFERROR(IF(INDEX(SPOT_Import!$A$1:$Z$2488,1831,'Live Data'!$C$12)="","",INDEX(SPOT_Import!$A$1:$Z$2488,1831,'Live Data'!$C$12)),"")</f>
        <v/>
      </c>
      <c r="B1831" s="54" t="str">
        <f>IFERROR(IF(INDEX(SPOT_Import!$A$1:$Z$2488,1831,'Live Data'!$C$13)="","",INDEX(SPOT_Import!$A$1:$Z$2488,1831,'Live Data'!$C$13)),"")</f>
        <v/>
      </c>
      <c r="C1831" s="54" t="str">
        <f>IFERROR(IF(INDEX(SPOT_Import!$A$1:$Z$2488,1831,'Live Data'!$C$14)="","",INDEX(SPOT_Import!$A$1:$Z$2488,1831,'Live Data'!$C$14)),"")</f>
        <v/>
      </c>
      <c r="D1831" s="54" t="str">
        <f>IFERROR(IF(INDEX(SPOT_Import!$A$1:$Z$2488,1831,'Live Data'!$C$15)="","",INDEX(SPOT_Import!$A$1:$Z$2488,1831,'Live Data'!$C$15)),"")</f>
        <v/>
      </c>
      <c r="E1831" s="54" t="str">
        <f>IFERROR(IF(INDEX(SPOT_Import!$A$1:$Z$2488,1831,'Live Data'!$C$16)="","",INDEX(SPOT_Import!$A$1:$Z$2488,1831,'Live Data'!$C$16)),"")</f>
        <v/>
      </c>
      <c r="F1831" s="54" t="str">
        <f>IFERROR(IF(INDEX(SPOT_Import!$A$1:$Z$2488,1831,'Live Data'!$C$17)="","",INDEX(SPOT_Import!$A$1:$Z$2488,1831,'Live Data'!$C$17)),"")</f>
        <v/>
      </c>
      <c r="G1831" s="54" t="str">
        <f>IFERROR(IF(INDEX(SPOT_Import!$A$1:$Z$2488,1831,'Live Data'!$C$18)="","",INDEX(SPOT_Import!$A$1:$Z$2488,1831,'Live Data'!$C$18)),"")</f>
        <v/>
      </c>
      <c r="H1831" s="54" t="str">
        <f>IFERROR(IF(INDEX(SPOT_Import!$A$1:$Z$2488,1831,'Live Data'!$C$19)="","",INDEX(SPOT_Import!$A$1:$Z$2488,1831,'Live Data'!$C$19)),"")</f>
        <v/>
      </c>
      <c r="I1831" s="54" t="str">
        <f>IFERROR(IF(INDEX(SPOT_Import!$A$1:$Z$2488,1831,'Live Data'!$C$20)="","",INDEX(SPOT_Import!$A$1:$Z$2488,1831,'Live Data'!$C$20)),"")</f>
        <v/>
      </c>
      <c r="J1831" s="54" t="str">
        <f>IFERROR(IF(INDEX(SPOT_Import!$A$1:$Z$2488,1831,'Live Data'!$C$21)="","",INDEX(SPOT_Import!$A$1:$Z$2488,1831,'Live Data'!$C$21)),"")</f>
        <v/>
      </c>
      <c r="K1831" s="54" t="str">
        <f>IFERROR(IF(INDEX(SPOT_Import!$A$1:$Z$2488,1831,'Live Data'!$C$22)="","",INDEX(SPOT_Import!$A$1:$Z$2488,1831,'Live Data'!$C$22)),"")</f>
        <v/>
      </c>
      <c r="L1831" s="55" t="str">
        <f t="shared" si="56"/>
        <v/>
      </c>
      <c r="M1831" s="55" t="str">
        <f t="shared" si="57"/>
        <v/>
      </c>
      <c r="N1831" s="55" t="str">
        <f>IF(A1831="","",IFERROR(INDEX('Cluster Map'!$A$4:$A$38,MATCH(M1831,'Cluster Map'!$B$4:$B$38,0)),"Unmapped"))</f>
        <v/>
      </c>
      <c r="O1831" s="55">
        <f>IF(A1831="",0,IF(COUNTIFS($A$2:A1831,A1831,$F$2:F1831,F1831,$L$2:L1831,L1831)=1,1,0))</f>
        <v>0</v>
      </c>
      <c r="P1831" s="55">
        <f>IF(A1831="",0,IF(AND(F1831="C&amp;T",COUNTIFS($A$2:A1831,A1831,$F$2:F1831,"C&amp;T")=1),1,0))</f>
        <v>0</v>
      </c>
    </row>
    <row r="1832" spans="1:16" x14ac:dyDescent="0.35">
      <c r="A1832" s="54" t="str">
        <f>IFERROR(IF(INDEX(SPOT_Import!$A$1:$Z$2488,1832,'Live Data'!$C$12)="","",INDEX(SPOT_Import!$A$1:$Z$2488,1832,'Live Data'!$C$12)),"")</f>
        <v/>
      </c>
      <c r="B1832" s="54" t="str">
        <f>IFERROR(IF(INDEX(SPOT_Import!$A$1:$Z$2488,1832,'Live Data'!$C$13)="","",INDEX(SPOT_Import!$A$1:$Z$2488,1832,'Live Data'!$C$13)),"")</f>
        <v/>
      </c>
      <c r="C1832" s="54" t="str">
        <f>IFERROR(IF(INDEX(SPOT_Import!$A$1:$Z$2488,1832,'Live Data'!$C$14)="","",INDEX(SPOT_Import!$A$1:$Z$2488,1832,'Live Data'!$C$14)),"")</f>
        <v/>
      </c>
      <c r="D1832" s="54" t="str">
        <f>IFERROR(IF(INDEX(SPOT_Import!$A$1:$Z$2488,1832,'Live Data'!$C$15)="","",INDEX(SPOT_Import!$A$1:$Z$2488,1832,'Live Data'!$C$15)),"")</f>
        <v/>
      </c>
      <c r="E1832" s="54" t="str">
        <f>IFERROR(IF(INDEX(SPOT_Import!$A$1:$Z$2488,1832,'Live Data'!$C$16)="","",INDEX(SPOT_Import!$A$1:$Z$2488,1832,'Live Data'!$C$16)),"")</f>
        <v/>
      </c>
      <c r="F1832" s="54" t="str">
        <f>IFERROR(IF(INDEX(SPOT_Import!$A$1:$Z$2488,1832,'Live Data'!$C$17)="","",INDEX(SPOT_Import!$A$1:$Z$2488,1832,'Live Data'!$C$17)),"")</f>
        <v/>
      </c>
      <c r="G1832" s="54" t="str">
        <f>IFERROR(IF(INDEX(SPOT_Import!$A$1:$Z$2488,1832,'Live Data'!$C$18)="","",INDEX(SPOT_Import!$A$1:$Z$2488,1832,'Live Data'!$C$18)),"")</f>
        <v/>
      </c>
      <c r="H1832" s="54" t="str">
        <f>IFERROR(IF(INDEX(SPOT_Import!$A$1:$Z$2488,1832,'Live Data'!$C$19)="","",INDEX(SPOT_Import!$A$1:$Z$2488,1832,'Live Data'!$C$19)),"")</f>
        <v/>
      </c>
      <c r="I1832" s="54" t="str">
        <f>IFERROR(IF(INDEX(SPOT_Import!$A$1:$Z$2488,1832,'Live Data'!$C$20)="","",INDEX(SPOT_Import!$A$1:$Z$2488,1832,'Live Data'!$C$20)),"")</f>
        <v/>
      </c>
      <c r="J1832" s="54" t="str">
        <f>IFERROR(IF(INDEX(SPOT_Import!$A$1:$Z$2488,1832,'Live Data'!$C$21)="","",INDEX(SPOT_Import!$A$1:$Z$2488,1832,'Live Data'!$C$21)),"")</f>
        <v/>
      </c>
      <c r="K1832" s="54" t="str">
        <f>IFERROR(IF(INDEX(SPOT_Import!$A$1:$Z$2488,1832,'Live Data'!$C$22)="","",INDEX(SPOT_Import!$A$1:$Z$2488,1832,'Live Data'!$C$22)),"")</f>
        <v/>
      </c>
      <c r="L1832" s="55" t="str">
        <f t="shared" si="56"/>
        <v/>
      </c>
      <c r="M1832" s="55" t="str">
        <f t="shared" si="57"/>
        <v/>
      </c>
      <c r="N1832" s="55" t="str">
        <f>IF(A1832="","",IFERROR(INDEX('Cluster Map'!$A$4:$A$38,MATCH(M1832,'Cluster Map'!$B$4:$B$38,0)),"Unmapped"))</f>
        <v/>
      </c>
      <c r="O1832" s="55">
        <f>IF(A1832="",0,IF(COUNTIFS($A$2:A1832,A1832,$F$2:F1832,F1832,$L$2:L1832,L1832)=1,1,0))</f>
        <v>0</v>
      </c>
      <c r="P1832" s="55">
        <f>IF(A1832="",0,IF(AND(F1832="C&amp;T",COUNTIFS($A$2:A1832,A1832,$F$2:F1832,"C&amp;T")=1),1,0))</f>
        <v>0</v>
      </c>
    </row>
    <row r="1833" spans="1:16" x14ac:dyDescent="0.35">
      <c r="A1833" s="54" t="str">
        <f>IFERROR(IF(INDEX(SPOT_Import!$A$1:$Z$2488,1833,'Live Data'!$C$12)="","",INDEX(SPOT_Import!$A$1:$Z$2488,1833,'Live Data'!$C$12)),"")</f>
        <v/>
      </c>
      <c r="B1833" s="54" t="str">
        <f>IFERROR(IF(INDEX(SPOT_Import!$A$1:$Z$2488,1833,'Live Data'!$C$13)="","",INDEX(SPOT_Import!$A$1:$Z$2488,1833,'Live Data'!$C$13)),"")</f>
        <v/>
      </c>
      <c r="C1833" s="54" t="str">
        <f>IFERROR(IF(INDEX(SPOT_Import!$A$1:$Z$2488,1833,'Live Data'!$C$14)="","",INDEX(SPOT_Import!$A$1:$Z$2488,1833,'Live Data'!$C$14)),"")</f>
        <v/>
      </c>
      <c r="D1833" s="54" t="str">
        <f>IFERROR(IF(INDEX(SPOT_Import!$A$1:$Z$2488,1833,'Live Data'!$C$15)="","",INDEX(SPOT_Import!$A$1:$Z$2488,1833,'Live Data'!$C$15)),"")</f>
        <v/>
      </c>
      <c r="E1833" s="54" t="str">
        <f>IFERROR(IF(INDEX(SPOT_Import!$A$1:$Z$2488,1833,'Live Data'!$C$16)="","",INDEX(SPOT_Import!$A$1:$Z$2488,1833,'Live Data'!$C$16)),"")</f>
        <v/>
      </c>
      <c r="F1833" s="54" t="str">
        <f>IFERROR(IF(INDEX(SPOT_Import!$A$1:$Z$2488,1833,'Live Data'!$C$17)="","",INDEX(SPOT_Import!$A$1:$Z$2488,1833,'Live Data'!$C$17)),"")</f>
        <v/>
      </c>
      <c r="G1833" s="54" t="str">
        <f>IFERROR(IF(INDEX(SPOT_Import!$A$1:$Z$2488,1833,'Live Data'!$C$18)="","",INDEX(SPOT_Import!$A$1:$Z$2488,1833,'Live Data'!$C$18)),"")</f>
        <v/>
      </c>
      <c r="H1833" s="54" t="str">
        <f>IFERROR(IF(INDEX(SPOT_Import!$A$1:$Z$2488,1833,'Live Data'!$C$19)="","",INDEX(SPOT_Import!$A$1:$Z$2488,1833,'Live Data'!$C$19)),"")</f>
        <v/>
      </c>
      <c r="I1833" s="54" t="str">
        <f>IFERROR(IF(INDEX(SPOT_Import!$A$1:$Z$2488,1833,'Live Data'!$C$20)="","",INDEX(SPOT_Import!$A$1:$Z$2488,1833,'Live Data'!$C$20)),"")</f>
        <v/>
      </c>
      <c r="J1833" s="54" t="str">
        <f>IFERROR(IF(INDEX(SPOT_Import!$A$1:$Z$2488,1833,'Live Data'!$C$21)="","",INDEX(SPOT_Import!$A$1:$Z$2488,1833,'Live Data'!$C$21)),"")</f>
        <v/>
      </c>
      <c r="K1833" s="54" t="str">
        <f>IFERROR(IF(INDEX(SPOT_Import!$A$1:$Z$2488,1833,'Live Data'!$C$22)="","",INDEX(SPOT_Import!$A$1:$Z$2488,1833,'Live Data'!$C$22)),"")</f>
        <v/>
      </c>
      <c r="L1833" s="55" t="str">
        <f t="shared" si="56"/>
        <v/>
      </c>
      <c r="M1833" s="55" t="str">
        <f t="shared" si="57"/>
        <v/>
      </c>
      <c r="N1833" s="55" t="str">
        <f>IF(A1833="","",IFERROR(INDEX('Cluster Map'!$A$4:$A$38,MATCH(M1833,'Cluster Map'!$B$4:$B$38,0)),"Unmapped"))</f>
        <v/>
      </c>
      <c r="O1833" s="55">
        <f>IF(A1833="",0,IF(COUNTIFS($A$2:A1833,A1833,$F$2:F1833,F1833,$L$2:L1833,L1833)=1,1,0))</f>
        <v>0</v>
      </c>
      <c r="P1833" s="55">
        <f>IF(A1833="",0,IF(AND(F1833="C&amp;T",COUNTIFS($A$2:A1833,A1833,$F$2:F1833,"C&amp;T")=1),1,0))</f>
        <v>0</v>
      </c>
    </row>
    <row r="1834" spans="1:16" x14ac:dyDescent="0.35">
      <c r="A1834" s="54" t="str">
        <f>IFERROR(IF(INDEX(SPOT_Import!$A$1:$Z$2488,1834,'Live Data'!$C$12)="","",INDEX(SPOT_Import!$A$1:$Z$2488,1834,'Live Data'!$C$12)),"")</f>
        <v/>
      </c>
      <c r="B1834" s="54" t="str">
        <f>IFERROR(IF(INDEX(SPOT_Import!$A$1:$Z$2488,1834,'Live Data'!$C$13)="","",INDEX(SPOT_Import!$A$1:$Z$2488,1834,'Live Data'!$C$13)),"")</f>
        <v/>
      </c>
      <c r="C1834" s="54" t="str">
        <f>IFERROR(IF(INDEX(SPOT_Import!$A$1:$Z$2488,1834,'Live Data'!$C$14)="","",INDEX(SPOT_Import!$A$1:$Z$2488,1834,'Live Data'!$C$14)),"")</f>
        <v/>
      </c>
      <c r="D1834" s="54" t="str">
        <f>IFERROR(IF(INDEX(SPOT_Import!$A$1:$Z$2488,1834,'Live Data'!$C$15)="","",INDEX(SPOT_Import!$A$1:$Z$2488,1834,'Live Data'!$C$15)),"")</f>
        <v/>
      </c>
      <c r="E1834" s="54" t="str">
        <f>IFERROR(IF(INDEX(SPOT_Import!$A$1:$Z$2488,1834,'Live Data'!$C$16)="","",INDEX(SPOT_Import!$A$1:$Z$2488,1834,'Live Data'!$C$16)),"")</f>
        <v/>
      </c>
      <c r="F1834" s="54" t="str">
        <f>IFERROR(IF(INDEX(SPOT_Import!$A$1:$Z$2488,1834,'Live Data'!$C$17)="","",INDEX(SPOT_Import!$A$1:$Z$2488,1834,'Live Data'!$C$17)),"")</f>
        <v/>
      </c>
      <c r="G1834" s="54" t="str">
        <f>IFERROR(IF(INDEX(SPOT_Import!$A$1:$Z$2488,1834,'Live Data'!$C$18)="","",INDEX(SPOT_Import!$A$1:$Z$2488,1834,'Live Data'!$C$18)),"")</f>
        <v/>
      </c>
      <c r="H1834" s="54" t="str">
        <f>IFERROR(IF(INDEX(SPOT_Import!$A$1:$Z$2488,1834,'Live Data'!$C$19)="","",INDEX(SPOT_Import!$A$1:$Z$2488,1834,'Live Data'!$C$19)),"")</f>
        <v/>
      </c>
      <c r="I1834" s="54" t="str">
        <f>IFERROR(IF(INDEX(SPOT_Import!$A$1:$Z$2488,1834,'Live Data'!$C$20)="","",INDEX(SPOT_Import!$A$1:$Z$2488,1834,'Live Data'!$C$20)),"")</f>
        <v/>
      </c>
      <c r="J1834" s="54" t="str">
        <f>IFERROR(IF(INDEX(SPOT_Import!$A$1:$Z$2488,1834,'Live Data'!$C$21)="","",INDEX(SPOT_Import!$A$1:$Z$2488,1834,'Live Data'!$C$21)),"")</f>
        <v/>
      </c>
      <c r="K1834" s="54" t="str">
        <f>IFERROR(IF(INDEX(SPOT_Import!$A$1:$Z$2488,1834,'Live Data'!$C$22)="","",INDEX(SPOT_Import!$A$1:$Z$2488,1834,'Live Data'!$C$22)),"")</f>
        <v/>
      </c>
      <c r="L1834" s="55" t="str">
        <f t="shared" si="56"/>
        <v/>
      </c>
      <c r="M1834" s="55" t="str">
        <f t="shared" si="57"/>
        <v/>
      </c>
      <c r="N1834" s="55" t="str">
        <f>IF(A1834="","",IFERROR(INDEX('Cluster Map'!$A$4:$A$38,MATCH(M1834,'Cluster Map'!$B$4:$B$38,0)),"Unmapped"))</f>
        <v/>
      </c>
      <c r="O1834" s="55">
        <f>IF(A1834="",0,IF(COUNTIFS($A$2:A1834,A1834,$F$2:F1834,F1834,$L$2:L1834,L1834)=1,1,0))</f>
        <v>0</v>
      </c>
      <c r="P1834" s="55">
        <f>IF(A1834="",0,IF(AND(F1834="C&amp;T",COUNTIFS($A$2:A1834,A1834,$F$2:F1834,"C&amp;T")=1),1,0))</f>
        <v>0</v>
      </c>
    </row>
    <row r="1835" spans="1:16" x14ac:dyDescent="0.35">
      <c r="A1835" s="54" t="str">
        <f>IFERROR(IF(INDEX(SPOT_Import!$A$1:$Z$2488,1835,'Live Data'!$C$12)="","",INDEX(SPOT_Import!$A$1:$Z$2488,1835,'Live Data'!$C$12)),"")</f>
        <v/>
      </c>
      <c r="B1835" s="54" t="str">
        <f>IFERROR(IF(INDEX(SPOT_Import!$A$1:$Z$2488,1835,'Live Data'!$C$13)="","",INDEX(SPOT_Import!$A$1:$Z$2488,1835,'Live Data'!$C$13)),"")</f>
        <v/>
      </c>
      <c r="C1835" s="54" t="str">
        <f>IFERROR(IF(INDEX(SPOT_Import!$A$1:$Z$2488,1835,'Live Data'!$C$14)="","",INDEX(SPOT_Import!$A$1:$Z$2488,1835,'Live Data'!$C$14)),"")</f>
        <v/>
      </c>
      <c r="D1835" s="54" t="str">
        <f>IFERROR(IF(INDEX(SPOT_Import!$A$1:$Z$2488,1835,'Live Data'!$C$15)="","",INDEX(SPOT_Import!$A$1:$Z$2488,1835,'Live Data'!$C$15)),"")</f>
        <v/>
      </c>
      <c r="E1835" s="54" t="str">
        <f>IFERROR(IF(INDEX(SPOT_Import!$A$1:$Z$2488,1835,'Live Data'!$C$16)="","",INDEX(SPOT_Import!$A$1:$Z$2488,1835,'Live Data'!$C$16)),"")</f>
        <v/>
      </c>
      <c r="F1835" s="54" t="str">
        <f>IFERROR(IF(INDEX(SPOT_Import!$A$1:$Z$2488,1835,'Live Data'!$C$17)="","",INDEX(SPOT_Import!$A$1:$Z$2488,1835,'Live Data'!$C$17)),"")</f>
        <v/>
      </c>
      <c r="G1835" s="54" t="str">
        <f>IFERROR(IF(INDEX(SPOT_Import!$A$1:$Z$2488,1835,'Live Data'!$C$18)="","",INDEX(SPOT_Import!$A$1:$Z$2488,1835,'Live Data'!$C$18)),"")</f>
        <v/>
      </c>
      <c r="H1835" s="54" t="str">
        <f>IFERROR(IF(INDEX(SPOT_Import!$A$1:$Z$2488,1835,'Live Data'!$C$19)="","",INDEX(SPOT_Import!$A$1:$Z$2488,1835,'Live Data'!$C$19)),"")</f>
        <v/>
      </c>
      <c r="I1835" s="54" t="str">
        <f>IFERROR(IF(INDEX(SPOT_Import!$A$1:$Z$2488,1835,'Live Data'!$C$20)="","",INDEX(SPOT_Import!$A$1:$Z$2488,1835,'Live Data'!$C$20)),"")</f>
        <v/>
      </c>
      <c r="J1835" s="54" t="str">
        <f>IFERROR(IF(INDEX(SPOT_Import!$A$1:$Z$2488,1835,'Live Data'!$C$21)="","",INDEX(SPOT_Import!$A$1:$Z$2488,1835,'Live Data'!$C$21)),"")</f>
        <v/>
      </c>
      <c r="K1835" s="54" t="str">
        <f>IFERROR(IF(INDEX(SPOT_Import!$A$1:$Z$2488,1835,'Live Data'!$C$22)="","",INDEX(SPOT_Import!$A$1:$Z$2488,1835,'Live Data'!$C$22)),"")</f>
        <v/>
      </c>
      <c r="L1835" s="55" t="str">
        <f t="shared" si="56"/>
        <v/>
      </c>
      <c r="M1835" s="55" t="str">
        <f t="shared" si="57"/>
        <v/>
      </c>
      <c r="N1835" s="55" t="str">
        <f>IF(A1835="","",IFERROR(INDEX('Cluster Map'!$A$4:$A$38,MATCH(M1835,'Cluster Map'!$B$4:$B$38,0)),"Unmapped"))</f>
        <v/>
      </c>
      <c r="O1835" s="55">
        <f>IF(A1835="",0,IF(COUNTIFS($A$2:A1835,A1835,$F$2:F1835,F1835,$L$2:L1835,L1835)=1,1,0))</f>
        <v>0</v>
      </c>
      <c r="P1835" s="55">
        <f>IF(A1835="",0,IF(AND(F1835="C&amp;T",COUNTIFS($A$2:A1835,A1835,$F$2:F1835,"C&amp;T")=1),1,0))</f>
        <v>0</v>
      </c>
    </row>
    <row r="1836" spans="1:16" x14ac:dyDescent="0.35">
      <c r="A1836" s="54" t="str">
        <f>IFERROR(IF(INDEX(SPOT_Import!$A$1:$Z$2488,1836,'Live Data'!$C$12)="","",INDEX(SPOT_Import!$A$1:$Z$2488,1836,'Live Data'!$C$12)),"")</f>
        <v/>
      </c>
      <c r="B1836" s="54" t="str">
        <f>IFERROR(IF(INDEX(SPOT_Import!$A$1:$Z$2488,1836,'Live Data'!$C$13)="","",INDEX(SPOT_Import!$A$1:$Z$2488,1836,'Live Data'!$C$13)),"")</f>
        <v/>
      </c>
      <c r="C1836" s="54" t="str">
        <f>IFERROR(IF(INDEX(SPOT_Import!$A$1:$Z$2488,1836,'Live Data'!$C$14)="","",INDEX(SPOT_Import!$A$1:$Z$2488,1836,'Live Data'!$C$14)),"")</f>
        <v/>
      </c>
      <c r="D1836" s="54" t="str">
        <f>IFERROR(IF(INDEX(SPOT_Import!$A$1:$Z$2488,1836,'Live Data'!$C$15)="","",INDEX(SPOT_Import!$A$1:$Z$2488,1836,'Live Data'!$C$15)),"")</f>
        <v/>
      </c>
      <c r="E1836" s="54" t="str">
        <f>IFERROR(IF(INDEX(SPOT_Import!$A$1:$Z$2488,1836,'Live Data'!$C$16)="","",INDEX(SPOT_Import!$A$1:$Z$2488,1836,'Live Data'!$C$16)),"")</f>
        <v/>
      </c>
      <c r="F1836" s="54" t="str">
        <f>IFERROR(IF(INDEX(SPOT_Import!$A$1:$Z$2488,1836,'Live Data'!$C$17)="","",INDEX(SPOT_Import!$A$1:$Z$2488,1836,'Live Data'!$C$17)),"")</f>
        <v/>
      </c>
      <c r="G1836" s="54" t="str">
        <f>IFERROR(IF(INDEX(SPOT_Import!$A$1:$Z$2488,1836,'Live Data'!$C$18)="","",INDEX(SPOT_Import!$A$1:$Z$2488,1836,'Live Data'!$C$18)),"")</f>
        <v/>
      </c>
      <c r="H1836" s="54" t="str">
        <f>IFERROR(IF(INDEX(SPOT_Import!$A$1:$Z$2488,1836,'Live Data'!$C$19)="","",INDEX(SPOT_Import!$A$1:$Z$2488,1836,'Live Data'!$C$19)),"")</f>
        <v/>
      </c>
      <c r="I1836" s="54" t="str">
        <f>IFERROR(IF(INDEX(SPOT_Import!$A$1:$Z$2488,1836,'Live Data'!$C$20)="","",INDEX(SPOT_Import!$A$1:$Z$2488,1836,'Live Data'!$C$20)),"")</f>
        <v/>
      </c>
      <c r="J1836" s="54" t="str">
        <f>IFERROR(IF(INDEX(SPOT_Import!$A$1:$Z$2488,1836,'Live Data'!$C$21)="","",INDEX(SPOT_Import!$A$1:$Z$2488,1836,'Live Data'!$C$21)),"")</f>
        <v/>
      </c>
      <c r="K1836" s="54" t="str">
        <f>IFERROR(IF(INDEX(SPOT_Import!$A$1:$Z$2488,1836,'Live Data'!$C$22)="","",INDEX(SPOT_Import!$A$1:$Z$2488,1836,'Live Data'!$C$22)),"")</f>
        <v/>
      </c>
      <c r="L1836" s="55" t="str">
        <f t="shared" si="56"/>
        <v/>
      </c>
      <c r="M1836" s="55" t="str">
        <f t="shared" si="57"/>
        <v/>
      </c>
      <c r="N1836" s="55" t="str">
        <f>IF(A1836="","",IFERROR(INDEX('Cluster Map'!$A$4:$A$38,MATCH(M1836,'Cluster Map'!$B$4:$B$38,0)),"Unmapped"))</f>
        <v/>
      </c>
      <c r="O1836" s="55">
        <f>IF(A1836="",0,IF(COUNTIFS($A$2:A1836,A1836,$F$2:F1836,F1836,$L$2:L1836,L1836)=1,1,0))</f>
        <v>0</v>
      </c>
      <c r="P1836" s="55">
        <f>IF(A1836="",0,IF(AND(F1836="C&amp;T",COUNTIFS($A$2:A1836,A1836,$F$2:F1836,"C&amp;T")=1),1,0))</f>
        <v>0</v>
      </c>
    </row>
    <row r="1837" spans="1:16" x14ac:dyDescent="0.35">
      <c r="A1837" s="54" t="str">
        <f>IFERROR(IF(INDEX(SPOT_Import!$A$1:$Z$2488,1837,'Live Data'!$C$12)="","",INDEX(SPOT_Import!$A$1:$Z$2488,1837,'Live Data'!$C$12)),"")</f>
        <v/>
      </c>
      <c r="B1837" s="54" t="str">
        <f>IFERROR(IF(INDEX(SPOT_Import!$A$1:$Z$2488,1837,'Live Data'!$C$13)="","",INDEX(SPOT_Import!$A$1:$Z$2488,1837,'Live Data'!$C$13)),"")</f>
        <v/>
      </c>
      <c r="C1837" s="54" t="str">
        <f>IFERROR(IF(INDEX(SPOT_Import!$A$1:$Z$2488,1837,'Live Data'!$C$14)="","",INDEX(SPOT_Import!$A$1:$Z$2488,1837,'Live Data'!$C$14)),"")</f>
        <v/>
      </c>
      <c r="D1837" s="54" t="str">
        <f>IFERROR(IF(INDEX(SPOT_Import!$A$1:$Z$2488,1837,'Live Data'!$C$15)="","",INDEX(SPOT_Import!$A$1:$Z$2488,1837,'Live Data'!$C$15)),"")</f>
        <v/>
      </c>
      <c r="E1837" s="54" t="str">
        <f>IFERROR(IF(INDEX(SPOT_Import!$A$1:$Z$2488,1837,'Live Data'!$C$16)="","",INDEX(SPOT_Import!$A$1:$Z$2488,1837,'Live Data'!$C$16)),"")</f>
        <v/>
      </c>
      <c r="F1837" s="54" t="str">
        <f>IFERROR(IF(INDEX(SPOT_Import!$A$1:$Z$2488,1837,'Live Data'!$C$17)="","",INDEX(SPOT_Import!$A$1:$Z$2488,1837,'Live Data'!$C$17)),"")</f>
        <v/>
      </c>
      <c r="G1837" s="54" t="str">
        <f>IFERROR(IF(INDEX(SPOT_Import!$A$1:$Z$2488,1837,'Live Data'!$C$18)="","",INDEX(SPOT_Import!$A$1:$Z$2488,1837,'Live Data'!$C$18)),"")</f>
        <v/>
      </c>
      <c r="H1837" s="54" t="str">
        <f>IFERROR(IF(INDEX(SPOT_Import!$A$1:$Z$2488,1837,'Live Data'!$C$19)="","",INDEX(SPOT_Import!$A$1:$Z$2488,1837,'Live Data'!$C$19)),"")</f>
        <v/>
      </c>
      <c r="I1837" s="54" t="str">
        <f>IFERROR(IF(INDEX(SPOT_Import!$A$1:$Z$2488,1837,'Live Data'!$C$20)="","",INDEX(SPOT_Import!$A$1:$Z$2488,1837,'Live Data'!$C$20)),"")</f>
        <v/>
      </c>
      <c r="J1837" s="54" t="str">
        <f>IFERROR(IF(INDEX(SPOT_Import!$A$1:$Z$2488,1837,'Live Data'!$C$21)="","",INDEX(SPOT_Import!$A$1:$Z$2488,1837,'Live Data'!$C$21)),"")</f>
        <v/>
      </c>
      <c r="K1837" s="54" t="str">
        <f>IFERROR(IF(INDEX(SPOT_Import!$A$1:$Z$2488,1837,'Live Data'!$C$22)="","",INDEX(SPOT_Import!$A$1:$Z$2488,1837,'Live Data'!$C$22)),"")</f>
        <v/>
      </c>
      <c r="L1837" s="55" t="str">
        <f t="shared" si="56"/>
        <v/>
      </c>
      <c r="M1837" s="55" t="str">
        <f t="shared" si="57"/>
        <v/>
      </c>
      <c r="N1837" s="55" t="str">
        <f>IF(A1837="","",IFERROR(INDEX('Cluster Map'!$A$4:$A$38,MATCH(M1837,'Cluster Map'!$B$4:$B$38,0)),"Unmapped"))</f>
        <v/>
      </c>
      <c r="O1837" s="55">
        <f>IF(A1837="",0,IF(COUNTIFS($A$2:A1837,A1837,$F$2:F1837,F1837,$L$2:L1837,L1837)=1,1,0))</f>
        <v>0</v>
      </c>
      <c r="P1837" s="55">
        <f>IF(A1837="",0,IF(AND(F1837="C&amp;T",COUNTIFS($A$2:A1837,A1837,$F$2:F1837,"C&amp;T")=1),1,0))</f>
        <v>0</v>
      </c>
    </row>
    <row r="1838" spans="1:16" x14ac:dyDescent="0.35">
      <c r="A1838" s="54" t="str">
        <f>IFERROR(IF(INDEX(SPOT_Import!$A$1:$Z$2488,1838,'Live Data'!$C$12)="","",INDEX(SPOT_Import!$A$1:$Z$2488,1838,'Live Data'!$C$12)),"")</f>
        <v/>
      </c>
      <c r="B1838" s="54" t="str">
        <f>IFERROR(IF(INDEX(SPOT_Import!$A$1:$Z$2488,1838,'Live Data'!$C$13)="","",INDEX(SPOT_Import!$A$1:$Z$2488,1838,'Live Data'!$C$13)),"")</f>
        <v/>
      </c>
      <c r="C1838" s="54" t="str">
        <f>IFERROR(IF(INDEX(SPOT_Import!$A$1:$Z$2488,1838,'Live Data'!$C$14)="","",INDEX(SPOT_Import!$A$1:$Z$2488,1838,'Live Data'!$C$14)),"")</f>
        <v/>
      </c>
      <c r="D1838" s="54" t="str">
        <f>IFERROR(IF(INDEX(SPOT_Import!$A$1:$Z$2488,1838,'Live Data'!$C$15)="","",INDEX(SPOT_Import!$A$1:$Z$2488,1838,'Live Data'!$C$15)),"")</f>
        <v/>
      </c>
      <c r="E1838" s="54" t="str">
        <f>IFERROR(IF(INDEX(SPOT_Import!$A$1:$Z$2488,1838,'Live Data'!$C$16)="","",INDEX(SPOT_Import!$A$1:$Z$2488,1838,'Live Data'!$C$16)),"")</f>
        <v/>
      </c>
      <c r="F1838" s="54" t="str">
        <f>IFERROR(IF(INDEX(SPOT_Import!$A$1:$Z$2488,1838,'Live Data'!$C$17)="","",INDEX(SPOT_Import!$A$1:$Z$2488,1838,'Live Data'!$C$17)),"")</f>
        <v/>
      </c>
      <c r="G1838" s="54" t="str">
        <f>IFERROR(IF(INDEX(SPOT_Import!$A$1:$Z$2488,1838,'Live Data'!$C$18)="","",INDEX(SPOT_Import!$A$1:$Z$2488,1838,'Live Data'!$C$18)),"")</f>
        <v/>
      </c>
      <c r="H1838" s="54" t="str">
        <f>IFERROR(IF(INDEX(SPOT_Import!$A$1:$Z$2488,1838,'Live Data'!$C$19)="","",INDEX(SPOT_Import!$A$1:$Z$2488,1838,'Live Data'!$C$19)),"")</f>
        <v/>
      </c>
      <c r="I1838" s="54" t="str">
        <f>IFERROR(IF(INDEX(SPOT_Import!$A$1:$Z$2488,1838,'Live Data'!$C$20)="","",INDEX(SPOT_Import!$A$1:$Z$2488,1838,'Live Data'!$C$20)),"")</f>
        <v/>
      </c>
      <c r="J1838" s="54" t="str">
        <f>IFERROR(IF(INDEX(SPOT_Import!$A$1:$Z$2488,1838,'Live Data'!$C$21)="","",INDEX(SPOT_Import!$A$1:$Z$2488,1838,'Live Data'!$C$21)),"")</f>
        <v/>
      </c>
      <c r="K1838" s="54" t="str">
        <f>IFERROR(IF(INDEX(SPOT_Import!$A$1:$Z$2488,1838,'Live Data'!$C$22)="","",INDEX(SPOT_Import!$A$1:$Z$2488,1838,'Live Data'!$C$22)),"")</f>
        <v/>
      </c>
      <c r="L1838" s="55" t="str">
        <f t="shared" si="56"/>
        <v/>
      </c>
      <c r="M1838" s="55" t="str">
        <f t="shared" si="57"/>
        <v/>
      </c>
      <c r="N1838" s="55" t="str">
        <f>IF(A1838="","",IFERROR(INDEX('Cluster Map'!$A$4:$A$38,MATCH(M1838,'Cluster Map'!$B$4:$B$38,0)),"Unmapped"))</f>
        <v/>
      </c>
      <c r="O1838" s="55">
        <f>IF(A1838="",0,IF(COUNTIFS($A$2:A1838,A1838,$F$2:F1838,F1838,$L$2:L1838,L1838)=1,1,0))</f>
        <v>0</v>
      </c>
      <c r="P1838" s="55">
        <f>IF(A1838="",0,IF(AND(F1838="C&amp;T",COUNTIFS($A$2:A1838,A1838,$F$2:F1838,"C&amp;T")=1),1,0))</f>
        <v>0</v>
      </c>
    </row>
    <row r="1839" spans="1:16" x14ac:dyDescent="0.35">
      <c r="A1839" s="54" t="str">
        <f>IFERROR(IF(INDEX(SPOT_Import!$A$1:$Z$2488,1839,'Live Data'!$C$12)="","",INDEX(SPOT_Import!$A$1:$Z$2488,1839,'Live Data'!$C$12)),"")</f>
        <v/>
      </c>
      <c r="B1839" s="54" t="str">
        <f>IFERROR(IF(INDEX(SPOT_Import!$A$1:$Z$2488,1839,'Live Data'!$C$13)="","",INDEX(SPOT_Import!$A$1:$Z$2488,1839,'Live Data'!$C$13)),"")</f>
        <v/>
      </c>
      <c r="C1839" s="54" t="str">
        <f>IFERROR(IF(INDEX(SPOT_Import!$A$1:$Z$2488,1839,'Live Data'!$C$14)="","",INDEX(SPOT_Import!$A$1:$Z$2488,1839,'Live Data'!$C$14)),"")</f>
        <v/>
      </c>
      <c r="D1839" s="54" t="str">
        <f>IFERROR(IF(INDEX(SPOT_Import!$A$1:$Z$2488,1839,'Live Data'!$C$15)="","",INDEX(SPOT_Import!$A$1:$Z$2488,1839,'Live Data'!$C$15)),"")</f>
        <v/>
      </c>
      <c r="E1839" s="54" t="str">
        <f>IFERROR(IF(INDEX(SPOT_Import!$A$1:$Z$2488,1839,'Live Data'!$C$16)="","",INDEX(SPOT_Import!$A$1:$Z$2488,1839,'Live Data'!$C$16)),"")</f>
        <v/>
      </c>
      <c r="F1839" s="54" t="str">
        <f>IFERROR(IF(INDEX(SPOT_Import!$A$1:$Z$2488,1839,'Live Data'!$C$17)="","",INDEX(SPOT_Import!$A$1:$Z$2488,1839,'Live Data'!$C$17)),"")</f>
        <v/>
      </c>
      <c r="G1839" s="54" t="str">
        <f>IFERROR(IF(INDEX(SPOT_Import!$A$1:$Z$2488,1839,'Live Data'!$C$18)="","",INDEX(SPOT_Import!$A$1:$Z$2488,1839,'Live Data'!$C$18)),"")</f>
        <v/>
      </c>
      <c r="H1839" s="54" t="str">
        <f>IFERROR(IF(INDEX(SPOT_Import!$A$1:$Z$2488,1839,'Live Data'!$C$19)="","",INDEX(SPOT_Import!$A$1:$Z$2488,1839,'Live Data'!$C$19)),"")</f>
        <v/>
      </c>
      <c r="I1839" s="54" t="str">
        <f>IFERROR(IF(INDEX(SPOT_Import!$A$1:$Z$2488,1839,'Live Data'!$C$20)="","",INDEX(SPOT_Import!$A$1:$Z$2488,1839,'Live Data'!$C$20)),"")</f>
        <v/>
      </c>
      <c r="J1839" s="54" t="str">
        <f>IFERROR(IF(INDEX(SPOT_Import!$A$1:$Z$2488,1839,'Live Data'!$C$21)="","",INDEX(SPOT_Import!$A$1:$Z$2488,1839,'Live Data'!$C$21)),"")</f>
        <v/>
      </c>
      <c r="K1839" s="54" t="str">
        <f>IFERROR(IF(INDEX(SPOT_Import!$A$1:$Z$2488,1839,'Live Data'!$C$22)="","",INDEX(SPOT_Import!$A$1:$Z$2488,1839,'Live Data'!$C$22)),"")</f>
        <v/>
      </c>
      <c r="L1839" s="55" t="str">
        <f t="shared" si="56"/>
        <v/>
      </c>
      <c r="M1839" s="55" t="str">
        <f t="shared" si="57"/>
        <v/>
      </c>
      <c r="N1839" s="55" t="str">
        <f>IF(A1839="","",IFERROR(INDEX('Cluster Map'!$A$4:$A$38,MATCH(M1839,'Cluster Map'!$B$4:$B$38,0)),"Unmapped"))</f>
        <v/>
      </c>
      <c r="O1839" s="55">
        <f>IF(A1839="",0,IF(COUNTIFS($A$2:A1839,A1839,$F$2:F1839,F1839,$L$2:L1839,L1839)=1,1,0))</f>
        <v>0</v>
      </c>
      <c r="P1839" s="55">
        <f>IF(A1839="",0,IF(AND(F1839="C&amp;T",COUNTIFS($A$2:A1839,A1839,$F$2:F1839,"C&amp;T")=1),1,0))</f>
        <v>0</v>
      </c>
    </row>
    <row r="1840" spans="1:16" x14ac:dyDescent="0.35">
      <c r="A1840" s="54" t="str">
        <f>IFERROR(IF(INDEX(SPOT_Import!$A$1:$Z$2488,1840,'Live Data'!$C$12)="","",INDEX(SPOT_Import!$A$1:$Z$2488,1840,'Live Data'!$C$12)),"")</f>
        <v/>
      </c>
      <c r="B1840" s="54" t="str">
        <f>IFERROR(IF(INDEX(SPOT_Import!$A$1:$Z$2488,1840,'Live Data'!$C$13)="","",INDEX(SPOT_Import!$A$1:$Z$2488,1840,'Live Data'!$C$13)),"")</f>
        <v/>
      </c>
      <c r="C1840" s="54" t="str">
        <f>IFERROR(IF(INDEX(SPOT_Import!$A$1:$Z$2488,1840,'Live Data'!$C$14)="","",INDEX(SPOT_Import!$A$1:$Z$2488,1840,'Live Data'!$C$14)),"")</f>
        <v/>
      </c>
      <c r="D1840" s="54" t="str">
        <f>IFERROR(IF(INDEX(SPOT_Import!$A$1:$Z$2488,1840,'Live Data'!$C$15)="","",INDEX(SPOT_Import!$A$1:$Z$2488,1840,'Live Data'!$C$15)),"")</f>
        <v/>
      </c>
      <c r="E1840" s="54" t="str">
        <f>IFERROR(IF(INDEX(SPOT_Import!$A$1:$Z$2488,1840,'Live Data'!$C$16)="","",INDEX(SPOT_Import!$A$1:$Z$2488,1840,'Live Data'!$C$16)),"")</f>
        <v/>
      </c>
      <c r="F1840" s="54" t="str">
        <f>IFERROR(IF(INDEX(SPOT_Import!$A$1:$Z$2488,1840,'Live Data'!$C$17)="","",INDEX(SPOT_Import!$A$1:$Z$2488,1840,'Live Data'!$C$17)),"")</f>
        <v/>
      </c>
      <c r="G1840" s="54" t="str">
        <f>IFERROR(IF(INDEX(SPOT_Import!$A$1:$Z$2488,1840,'Live Data'!$C$18)="","",INDEX(SPOT_Import!$A$1:$Z$2488,1840,'Live Data'!$C$18)),"")</f>
        <v/>
      </c>
      <c r="H1840" s="54" t="str">
        <f>IFERROR(IF(INDEX(SPOT_Import!$A$1:$Z$2488,1840,'Live Data'!$C$19)="","",INDEX(SPOT_Import!$A$1:$Z$2488,1840,'Live Data'!$C$19)),"")</f>
        <v/>
      </c>
      <c r="I1840" s="54" t="str">
        <f>IFERROR(IF(INDEX(SPOT_Import!$A$1:$Z$2488,1840,'Live Data'!$C$20)="","",INDEX(SPOT_Import!$A$1:$Z$2488,1840,'Live Data'!$C$20)),"")</f>
        <v/>
      </c>
      <c r="J1840" s="54" t="str">
        <f>IFERROR(IF(INDEX(SPOT_Import!$A$1:$Z$2488,1840,'Live Data'!$C$21)="","",INDEX(SPOT_Import!$A$1:$Z$2488,1840,'Live Data'!$C$21)),"")</f>
        <v/>
      </c>
      <c r="K1840" s="54" t="str">
        <f>IFERROR(IF(INDEX(SPOT_Import!$A$1:$Z$2488,1840,'Live Data'!$C$22)="","",INDEX(SPOT_Import!$A$1:$Z$2488,1840,'Live Data'!$C$22)),"")</f>
        <v/>
      </c>
      <c r="L1840" s="55" t="str">
        <f t="shared" si="56"/>
        <v/>
      </c>
      <c r="M1840" s="55" t="str">
        <f t="shared" si="57"/>
        <v/>
      </c>
      <c r="N1840" s="55" t="str">
        <f>IF(A1840="","",IFERROR(INDEX('Cluster Map'!$A$4:$A$38,MATCH(M1840,'Cluster Map'!$B$4:$B$38,0)),"Unmapped"))</f>
        <v/>
      </c>
      <c r="O1840" s="55">
        <f>IF(A1840="",0,IF(COUNTIFS($A$2:A1840,A1840,$F$2:F1840,F1840,$L$2:L1840,L1840)=1,1,0))</f>
        <v>0</v>
      </c>
      <c r="P1840" s="55">
        <f>IF(A1840="",0,IF(AND(F1840="C&amp;T",COUNTIFS($A$2:A1840,A1840,$F$2:F1840,"C&amp;T")=1),1,0))</f>
        <v>0</v>
      </c>
    </row>
    <row r="1841" spans="1:16" x14ac:dyDescent="0.35">
      <c r="A1841" s="54" t="str">
        <f>IFERROR(IF(INDEX(SPOT_Import!$A$1:$Z$2488,1841,'Live Data'!$C$12)="","",INDEX(SPOT_Import!$A$1:$Z$2488,1841,'Live Data'!$C$12)),"")</f>
        <v/>
      </c>
      <c r="B1841" s="54" t="str">
        <f>IFERROR(IF(INDEX(SPOT_Import!$A$1:$Z$2488,1841,'Live Data'!$C$13)="","",INDEX(SPOT_Import!$A$1:$Z$2488,1841,'Live Data'!$C$13)),"")</f>
        <v/>
      </c>
      <c r="C1841" s="54" t="str">
        <f>IFERROR(IF(INDEX(SPOT_Import!$A$1:$Z$2488,1841,'Live Data'!$C$14)="","",INDEX(SPOT_Import!$A$1:$Z$2488,1841,'Live Data'!$C$14)),"")</f>
        <v/>
      </c>
      <c r="D1841" s="54" t="str">
        <f>IFERROR(IF(INDEX(SPOT_Import!$A$1:$Z$2488,1841,'Live Data'!$C$15)="","",INDEX(SPOT_Import!$A$1:$Z$2488,1841,'Live Data'!$C$15)),"")</f>
        <v/>
      </c>
      <c r="E1841" s="54" t="str">
        <f>IFERROR(IF(INDEX(SPOT_Import!$A$1:$Z$2488,1841,'Live Data'!$C$16)="","",INDEX(SPOT_Import!$A$1:$Z$2488,1841,'Live Data'!$C$16)),"")</f>
        <v/>
      </c>
      <c r="F1841" s="54" t="str">
        <f>IFERROR(IF(INDEX(SPOT_Import!$A$1:$Z$2488,1841,'Live Data'!$C$17)="","",INDEX(SPOT_Import!$A$1:$Z$2488,1841,'Live Data'!$C$17)),"")</f>
        <v/>
      </c>
      <c r="G1841" s="54" t="str">
        <f>IFERROR(IF(INDEX(SPOT_Import!$A$1:$Z$2488,1841,'Live Data'!$C$18)="","",INDEX(SPOT_Import!$A$1:$Z$2488,1841,'Live Data'!$C$18)),"")</f>
        <v/>
      </c>
      <c r="H1841" s="54" t="str">
        <f>IFERROR(IF(INDEX(SPOT_Import!$A$1:$Z$2488,1841,'Live Data'!$C$19)="","",INDEX(SPOT_Import!$A$1:$Z$2488,1841,'Live Data'!$C$19)),"")</f>
        <v/>
      </c>
      <c r="I1841" s="54" t="str">
        <f>IFERROR(IF(INDEX(SPOT_Import!$A$1:$Z$2488,1841,'Live Data'!$C$20)="","",INDEX(SPOT_Import!$A$1:$Z$2488,1841,'Live Data'!$C$20)),"")</f>
        <v/>
      </c>
      <c r="J1841" s="54" t="str">
        <f>IFERROR(IF(INDEX(SPOT_Import!$A$1:$Z$2488,1841,'Live Data'!$C$21)="","",INDEX(SPOT_Import!$A$1:$Z$2488,1841,'Live Data'!$C$21)),"")</f>
        <v/>
      </c>
      <c r="K1841" s="54" t="str">
        <f>IFERROR(IF(INDEX(SPOT_Import!$A$1:$Z$2488,1841,'Live Data'!$C$22)="","",INDEX(SPOT_Import!$A$1:$Z$2488,1841,'Live Data'!$C$22)),"")</f>
        <v/>
      </c>
      <c r="L1841" s="55" t="str">
        <f t="shared" si="56"/>
        <v/>
      </c>
      <c r="M1841" s="55" t="str">
        <f t="shared" si="57"/>
        <v/>
      </c>
      <c r="N1841" s="55" t="str">
        <f>IF(A1841="","",IFERROR(INDEX('Cluster Map'!$A$4:$A$38,MATCH(M1841,'Cluster Map'!$B$4:$B$38,0)),"Unmapped"))</f>
        <v/>
      </c>
      <c r="O1841" s="55">
        <f>IF(A1841="",0,IF(COUNTIFS($A$2:A1841,A1841,$F$2:F1841,F1841,$L$2:L1841,L1841)=1,1,0))</f>
        <v>0</v>
      </c>
      <c r="P1841" s="55">
        <f>IF(A1841="",0,IF(AND(F1841="C&amp;T",COUNTIFS($A$2:A1841,A1841,$F$2:F1841,"C&amp;T")=1),1,0))</f>
        <v>0</v>
      </c>
    </row>
    <row r="1842" spans="1:16" x14ac:dyDescent="0.35">
      <c r="A1842" s="54" t="str">
        <f>IFERROR(IF(INDEX(SPOT_Import!$A$1:$Z$2488,1842,'Live Data'!$C$12)="","",INDEX(SPOT_Import!$A$1:$Z$2488,1842,'Live Data'!$C$12)),"")</f>
        <v/>
      </c>
      <c r="B1842" s="54" t="str">
        <f>IFERROR(IF(INDEX(SPOT_Import!$A$1:$Z$2488,1842,'Live Data'!$C$13)="","",INDEX(SPOT_Import!$A$1:$Z$2488,1842,'Live Data'!$C$13)),"")</f>
        <v/>
      </c>
      <c r="C1842" s="54" t="str">
        <f>IFERROR(IF(INDEX(SPOT_Import!$A$1:$Z$2488,1842,'Live Data'!$C$14)="","",INDEX(SPOT_Import!$A$1:$Z$2488,1842,'Live Data'!$C$14)),"")</f>
        <v/>
      </c>
      <c r="D1842" s="54" t="str">
        <f>IFERROR(IF(INDEX(SPOT_Import!$A$1:$Z$2488,1842,'Live Data'!$C$15)="","",INDEX(SPOT_Import!$A$1:$Z$2488,1842,'Live Data'!$C$15)),"")</f>
        <v/>
      </c>
      <c r="E1842" s="54" t="str">
        <f>IFERROR(IF(INDEX(SPOT_Import!$A$1:$Z$2488,1842,'Live Data'!$C$16)="","",INDEX(SPOT_Import!$A$1:$Z$2488,1842,'Live Data'!$C$16)),"")</f>
        <v/>
      </c>
      <c r="F1842" s="54" t="str">
        <f>IFERROR(IF(INDEX(SPOT_Import!$A$1:$Z$2488,1842,'Live Data'!$C$17)="","",INDEX(SPOT_Import!$A$1:$Z$2488,1842,'Live Data'!$C$17)),"")</f>
        <v/>
      </c>
      <c r="G1842" s="54" t="str">
        <f>IFERROR(IF(INDEX(SPOT_Import!$A$1:$Z$2488,1842,'Live Data'!$C$18)="","",INDEX(SPOT_Import!$A$1:$Z$2488,1842,'Live Data'!$C$18)),"")</f>
        <v/>
      </c>
      <c r="H1842" s="54" t="str">
        <f>IFERROR(IF(INDEX(SPOT_Import!$A$1:$Z$2488,1842,'Live Data'!$C$19)="","",INDEX(SPOT_Import!$A$1:$Z$2488,1842,'Live Data'!$C$19)),"")</f>
        <v/>
      </c>
      <c r="I1842" s="54" t="str">
        <f>IFERROR(IF(INDEX(SPOT_Import!$A$1:$Z$2488,1842,'Live Data'!$C$20)="","",INDEX(SPOT_Import!$A$1:$Z$2488,1842,'Live Data'!$C$20)),"")</f>
        <v/>
      </c>
      <c r="J1842" s="54" t="str">
        <f>IFERROR(IF(INDEX(SPOT_Import!$A$1:$Z$2488,1842,'Live Data'!$C$21)="","",INDEX(SPOT_Import!$A$1:$Z$2488,1842,'Live Data'!$C$21)),"")</f>
        <v/>
      </c>
      <c r="K1842" s="54" t="str">
        <f>IFERROR(IF(INDEX(SPOT_Import!$A$1:$Z$2488,1842,'Live Data'!$C$22)="","",INDEX(SPOT_Import!$A$1:$Z$2488,1842,'Live Data'!$C$22)),"")</f>
        <v/>
      </c>
      <c r="L1842" s="55" t="str">
        <f t="shared" si="56"/>
        <v/>
      </c>
      <c r="M1842" s="55" t="str">
        <f t="shared" si="57"/>
        <v/>
      </c>
      <c r="N1842" s="55" t="str">
        <f>IF(A1842="","",IFERROR(INDEX('Cluster Map'!$A$4:$A$38,MATCH(M1842,'Cluster Map'!$B$4:$B$38,0)),"Unmapped"))</f>
        <v/>
      </c>
      <c r="O1842" s="55">
        <f>IF(A1842="",0,IF(COUNTIFS($A$2:A1842,A1842,$F$2:F1842,F1842,$L$2:L1842,L1842)=1,1,0))</f>
        <v>0</v>
      </c>
      <c r="P1842" s="55">
        <f>IF(A1842="",0,IF(AND(F1842="C&amp;T",COUNTIFS($A$2:A1842,A1842,$F$2:F1842,"C&amp;T")=1),1,0))</f>
        <v>0</v>
      </c>
    </row>
    <row r="1843" spans="1:16" x14ac:dyDescent="0.35">
      <c r="A1843" s="54" t="str">
        <f>IFERROR(IF(INDEX(SPOT_Import!$A$1:$Z$2488,1843,'Live Data'!$C$12)="","",INDEX(SPOT_Import!$A$1:$Z$2488,1843,'Live Data'!$C$12)),"")</f>
        <v/>
      </c>
      <c r="B1843" s="54" t="str">
        <f>IFERROR(IF(INDEX(SPOT_Import!$A$1:$Z$2488,1843,'Live Data'!$C$13)="","",INDEX(SPOT_Import!$A$1:$Z$2488,1843,'Live Data'!$C$13)),"")</f>
        <v/>
      </c>
      <c r="C1843" s="54" t="str">
        <f>IFERROR(IF(INDEX(SPOT_Import!$A$1:$Z$2488,1843,'Live Data'!$C$14)="","",INDEX(SPOT_Import!$A$1:$Z$2488,1843,'Live Data'!$C$14)),"")</f>
        <v/>
      </c>
      <c r="D1843" s="54" t="str">
        <f>IFERROR(IF(INDEX(SPOT_Import!$A$1:$Z$2488,1843,'Live Data'!$C$15)="","",INDEX(SPOT_Import!$A$1:$Z$2488,1843,'Live Data'!$C$15)),"")</f>
        <v/>
      </c>
      <c r="E1843" s="54" t="str">
        <f>IFERROR(IF(INDEX(SPOT_Import!$A$1:$Z$2488,1843,'Live Data'!$C$16)="","",INDEX(SPOT_Import!$A$1:$Z$2488,1843,'Live Data'!$C$16)),"")</f>
        <v/>
      </c>
      <c r="F1843" s="54" t="str">
        <f>IFERROR(IF(INDEX(SPOT_Import!$A$1:$Z$2488,1843,'Live Data'!$C$17)="","",INDEX(SPOT_Import!$A$1:$Z$2488,1843,'Live Data'!$C$17)),"")</f>
        <v/>
      </c>
      <c r="G1843" s="54" t="str">
        <f>IFERROR(IF(INDEX(SPOT_Import!$A$1:$Z$2488,1843,'Live Data'!$C$18)="","",INDEX(SPOT_Import!$A$1:$Z$2488,1843,'Live Data'!$C$18)),"")</f>
        <v/>
      </c>
      <c r="H1843" s="54" t="str">
        <f>IFERROR(IF(INDEX(SPOT_Import!$A$1:$Z$2488,1843,'Live Data'!$C$19)="","",INDEX(SPOT_Import!$A$1:$Z$2488,1843,'Live Data'!$C$19)),"")</f>
        <v/>
      </c>
      <c r="I1843" s="54" t="str">
        <f>IFERROR(IF(INDEX(SPOT_Import!$A$1:$Z$2488,1843,'Live Data'!$C$20)="","",INDEX(SPOT_Import!$A$1:$Z$2488,1843,'Live Data'!$C$20)),"")</f>
        <v/>
      </c>
      <c r="J1843" s="54" t="str">
        <f>IFERROR(IF(INDEX(SPOT_Import!$A$1:$Z$2488,1843,'Live Data'!$C$21)="","",INDEX(SPOT_Import!$A$1:$Z$2488,1843,'Live Data'!$C$21)),"")</f>
        <v/>
      </c>
      <c r="K1843" s="54" t="str">
        <f>IFERROR(IF(INDEX(SPOT_Import!$A$1:$Z$2488,1843,'Live Data'!$C$22)="","",INDEX(SPOT_Import!$A$1:$Z$2488,1843,'Live Data'!$C$22)),"")</f>
        <v/>
      </c>
      <c r="L1843" s="55" t="str">
        <f t="shared" si="56"/>
        <v/>
      </c>
      <c r="M1843" s="55" t="str">
        <f t="shared" si="57"/>
        <v/>
      </c>
      <c r="N1843" s="55" t="str">
        <f>IF(A1843="","",IFERROR(INDEX('Cluster Map'!$A$4:$A$38,MATCH(M1843,'Cluster Map'!$B$4:$B$38,0)),"Unmapped"))</f>
        <v/>
      </c>
      <c r="O1843" s="55">
        <f>IF(A1843="",0,IF(COUNTIFS($A$2:A1843,A1843,$F$2:F1843,F1843,$L$2:L1843,L1843)=1,1,0))</f>
        <v>0</v>
      </c>
      <c r="P1843" s="55">
        <f>IF(A1843="",0,IF(AND(F1843="C&amp;T",COUNTIFS($A$2:A1843,A1843,$F$2:F1843,"C&amp;T")=1),1,0))</f>
        <v>0</v>
      </c>
    </row>
    <row r="1844" spans="1:16" x14ac:dyDescent="0.35">
      <c r="A1844" s="54" t="str">
        <f>IFERROR(IF(INDEX(SPOT_Import!$A$1:$Z$2488,1844,'Live Data'!$C$12)="","",INDEX(SPOT_Import!$A$1:$Z$2488,1844,'Live Data'!$C$12)),"")</f>
        <v/>
      </c>
      <c r="B1844" s="54" t="str">
        <f>IFERROR(IF(INDEX(SPOT_Import!$A$1:$Z$2488,1844,'Live Data'!$C$13)="","",INDEX(SPOT_Import!$A$1:$Z$2488,1844,'Live Data'!$C$13)),"")</f>
        <v/>
      </c>
      <c r="C1844" s="54" t="str">
        <f>IFERROR(IF(INDEX(SPOT_Import!$A$1:$Z$2488,1844,'Live Data'!$C$14)="","",INDEX(SPOT_Import!$A$1:$Z$2488,1844,'Live Data'!$C$14)),"")</f>
        <v/>
      </c>
      <c r="D1844" s="54" t="str">
        <f>IFERROR(IF(INDEX(SPOT_Import!$A$1:$Z$2488,1844,'Live Data'!$C$15)="","",INDEX(SPOT_Import!$A$1:$Z$2488,1844,'Live Data'!$C$15)),"")</f>
        <v/>
      </c>
      <c r="E1844" s="54" t="str">
        <f>IFERROR(IF(INDEX(SPOT_Import!$A$1:$Z$2488,1844,'Live Data'!$C$16)="","",INDEX(SPOT_Import!$A$1:$Z$2488,1844,'Live Data'!$C$16)),"")</f>
        <v/>
      </c>
      <c r="F1844" s="54" t="str">
        <f>IFERROR(IF(INDEX(SPOT_Import!$A$1:$Z$2488,1844,'Live Data'!$C$17)="","",INDEX(SPOT_Import!$A$1:$Z$2488,1844,'Live Data'!$C$17)),"")</f>
        <v/>
      </c>
      <c r="G1844" s="54" t="str">
        <f>IFERROR(IF(INDEX(SPOT_Import!$A$1:$Z$2488,1844,'Live Data'!$C$18)="","",INDEX(SPOT_Import!$A$1:$Z$2488,1844,'Live Data'!$C$18)),"")</f>
        <v/>
      </c>
      <c r="H1844" s="54" t="str">
        <f>IFERROR(IF(INDEX(SPOT_Import!$A$1:$Z$2488,1844,'Live Data'!$C$19)="","",INDEX(SPOT_Import!$A$1:$Z$2488,1844,'Live Data'!$C$19)),"")</f>
        <v/>
      </c>
      <c r="I1844" s="54" t="str">
        <f>IFERROR(IF(INDEX(SPOT_Import!$A$1:$Z$2488,1844,'Live Data'!$C$20)="","",INDEX(SPOT_Import!$A$1:$Z$2488,1844,'Live Data'!$C$20)),"")</f>
        <v/>
      </c>
      <c r="J1844" s="54" t="str">
        <f>IFERROR(IF(INDEX(SPOT_Import!$A$1:$Z$2488,1844,'Live Data'!$C$21)="","",INDEX(SPOT_Import!$A$1:$Z$2488,1844,'Live Data'!$C$21)),"")</f>
        <v/>
      </c>
      <c r="K1844" s="54" t="str">
        <f>IFERROR(IF(INDEX(SPOT_Import!$A$1:$Z$2488,1844,'Live Data'!$C$22)="","",INDEX(SPOT_Import!$A$1:$Z$2488,1844,'Live Data'!$C$22)),"")</f>
        <v/>
      </c>
      <c r="L1844" s="55" t="str">
        <f t="shared" si="56"/>
        <v/>
      </c>
      <c r="M1844" s="55" t="str">
        <f t="shared" si="57"/>
        <v/>
      </c>
      <c r="N1844" s="55" t="str">
        <f>IF(A1844="","",IFERROR(INDEX('Cluster Map'!$A$4:$A$38,MATCH(M1844,'Cluster Map'!$B$4:$B$38,0)),"Unmapped"))</f>
        <v/>
      </c>
      <c r="O1844" s="55">
        <f>IF(A1844="",0,IF(COUNTIFS($A$2:A1844,A1844,$F$2:F1844,F1844,$L$2:L1844,L1844)=1,1,0))</f>
        <v>0</v>
      </c>
      <c r="P1844" s="55">
        <f>IF(A1844="",0,IF(AND(F1844="C&amp;T",COUNTIFS($A$2:A1844,A1844,$F$2:F1844,"C&amp;T")=1),1,0))</f>
        <v>0</v>
      </c>
    </row>
    <row r="1845" spans="1:16" x14ac:dyDescent="0.35">
      <c r="A1845" s="54" t="str">
        <f>IFERROR(IF(INDEX(SPOT_Import!$A$1:$Z$2488,1845,'Live Data'!$C$12)="","",INDEX(SPOT_Import!$A$1:$Z$2488,1845,'Live Data'!$C$12)),"")</f>
        <v/>
      </c>
      <c r="B1845" s="54" t="str">
        <f>IFERROR(IF(INDEX(SPOT_Import!$A$1:$Z$2488,1845,'Live Data'!$C$13)="","",INDEX(SPOT_Import!$A$1:$Z$2488,1845,'Live Data'!$C$13)),"")</f>
        <v/>
      </c>
      <c r="C1845" s="54" t="str">
        <f>IFERROR(IF(INDEX(SPOT_Import!$A$1:$Z$2488,1845,'Live Data'!$C$14)="","",INDEX(SPOT_Import!$A$1:$Z$2488,1845,'Live Data'!$C$14)),"")</f>
        <v/>
      </c>
      <c r="D1845" s="54" t="str">
        <f>IFERROR(IF(INDEX(SPOT_Import!$A$1:$Z$2488,1845,'Live Data'!$C$15)="","",INDEX(SPOT_Import!$A$1:$Z$2488,1845,'Live Data'!$C$15)),"")</f>
        <v/>
      </c>
      <c r="E1845" s="54" t="str">
        <f>IFERROR(IF(INDEX(SPOT_Import!$A$1:$Z$2488,1845,'Live Data'!$C$16)="","",INDEX(SPOT_Import!$A$1:$Z$2488,1845,'Live Data'!$C$16)),"")</f>
        <v/>
      </c>
      <c r="F1845" s="54" t="str">
        <f>IFERROR(IF(INDEX(SPOT_Import!$A$1:$Z$2488,1845,'Live Data'!$C$17)="","",INDEX(SPOT_Import!$A$1:$Z$2488,1845,'Live Data'!$C$17)),"")</f>
        <v/>
      </c>
      <c r="G1845" s="54" t="str">
        <f>IFERROR(IF(INDEX(SPOT_Import!$A$1:$Z$2488,1845,'Live Data'!$C$18)="","",INDEX(SPOT_Import!$A$1:$Z$2488,1845,'Live Data'!$C$18)),"")</f>
        <v/>
      </c>
      <c r="H1845" s="54" t="str">
        <f>IFERROR(IF(INDEX(SPOT_Import!$A$1:$Z$2488,1845,'Live Data'!$C$19)="","",INDEX(SPOT_Import!$A$1:$Z$2488,1845,'Live Data'!$C$19)),"")</f>
        <v/>
      </c>
      <c r="I1845" s="54" t="str">
        <f>IFERROR(IF(INDEX(SPOT_Import!$A$1:$Z$2488,1845,'Live Data'!$C$20)="","",INDEX(SPOT_Import!$A$1:$Z$2488,1845,'Live Data'!$C$20)),"")</f>
        <v/>
      </c>
      <c r="J1845" s="54" t="str">
        <f>IFERROR(IF(INDEX(SPOT_Import!$A$1:$Z$2488,1845,'Live Data'!$C$21)="","",INDEX(SPOT_Import!$A$1:$Z$2488,1845,'Live Data'!$C$21)),"")</f>
        <v/>
      </c>
      <c r="K1845" s="54" t="str">
        <f>IFERROR(IF(INDEX(SPOT_Import!$A$1:$Z$2488,1845,'Live Data'!$C$22)="","",INDEX(SPOT_Import!$A$1:$Z$2488,1845,'Live Data'!$C$22)),"")</f>
        <v/>
      </c>
      <c r="L1845" s="55" t="str">
        <f t="shared" si="56"/>
        <v/>
      </c>
      <c r="M1845" s="55" t="str">
        <f t="shared" si="57"/>
        <v/>
      </c>
      <c r="N1845" s="55" t="str">
        <f>IF(A1845="","",IFERROR(INDEX('Cluster Map'!$A$4:$A$38,MATCH(M1845,'Cluster Map'!$B$4:$B$38,0)),"Unmapped"))</f>
        <v/>
      </c>
      <c r="O1845" s="55">
        <f>IF(A1845="",0,IF(COUNTIFS($A$2:A1845,A1845,$F$2:F1845,F1845,$L$2:L1845,L1845)=1,1,0))</f>
        <v>0</v>
      </c>
      <c r="P1845" s="55">
        <f>IF(A1845="",0,IF(AND(F1845="C&amp;T",COUNTIFS($A$2:A1845,A1845,$F$2:F1845,"C&amp;T")=1),1,0))</f>
        <v>0</v>
      </c>
    </row>
    <row r="1846" spans="1:16" x14ac:dyDescent="0.35">
      <c r="A1846" s="54" t="str">
        <f>IFERROR(IF(INDEX(SPOT_Import!$A$1:$Z$2488,1846,'Live Data'!$C$12)="","",INDEX(SPOT_Import!$A$1:$Z$2488,1846,'Live Data'!$C$12)),"")</f>
        <v/>
      </c>
      <c r="B1846" s="54" t="str">
        <f>IFERROR(IF(INDEX(SPOT_Import!$A$1:$Z$2488,1846,'Live Data'!$C$13)="","",INDEX(SPOT_Import!$A$1:$Z$2488,1846,'Live Data'!$C$13)),"")</f>
        <v/>
      </c>
      <c r="C1846" s="54" t="str">
        <f>IFERROR(IF(INDEX(SPOT_Import!$A$1:$Z$2488,1846,'Live Data'!$C$14)="","",INDEX(SPOT_Import!$A$1:$Z$2488,1846,'Live Data'!$C$14)),"")</f>
        <v/>
      </c>
      <c r="D1846" s="54" t="str">
        <f>IFERROR(IF(INDEX(SPOT_Import!$A$1:$Z$2488,1846,'Live Data'!$C$15)="","",INDEX(SPOT_Import!$A$1:$Z$2488,1846,'Live Data'!$C$15)),"")</f>
        <v/>
      </c>
      <c r="E1846" s="54" t="str">
        <f>IFERROR(IF(INDEX(SPOT_Import!$A$1:$Z$2488,1846,'Live Data'!$C$16)="","",INDEX(SPOT_Import!$A$1:$Z$2488,1846,'Live Data'!$C$16)),"")</f>
        <v/>
      </c>
      <c r="F1846" s="54" t="str">
        <f>IFERROR(IF(INDEX(SPOT_Import!$A$1:$Z$2488,1846,'Live Data'!$C$17)="","",INDEX(SPOT_Import!$A$1:$Z$2488,1846,'Live Data'!$C$17)),"")</f>
        <v/>
      </c>
      <c r="G1846" s="54" t="str">
        <f>IFERROR(IF(INDEX(SPOT_Import!$A$1:$Z$2488,1846,'Live Data'!$C$18)="","",INDEX(SPOT_Import!$A$1:$Z$2488,1846,'Live Data'!$C$18)),"")</f>
        <v/>
      </c>
      <c r="H1846" s="54" t="str">
        <f>IFERROR(IF(INDEX(SPOT_Import!$A$1:$Z$2488,1846,'Live Data'!$C$19)="","",INDEX(SPOT_Import!$A$1:$Z$2488,1846,'Live Data'!$C$19)),"")</f>
        <v/>
      </c>
      <c r="I1846" s="54" t="str">
        <f>IFERROR(IF(INDEX(SPOT_Import!$A$1:$Z$2488,1846,'Live Data'!$C$20)="","",INDEX(SPOT_Import!$A$1:$Z$2488,1846,'Live Data'!$C$20)),"")</f>
        <v/>
      </c>
      <c r="J1846" s="54" t="str">
        <f>IFERROR(IF(INDEX(SPOT_Import!$A$1:$Z$2488,1846,'Live Data'!$C$21)="","",INDEX(SPOT_Import!$A$1:$Z$2488,1846,'Live Data'!$C$21)),"")</f>
        <v/>
      </c>
      <c r="K1846" s="54" t="str">
        <f>IFERROR(IF(INDEX(SPOT_Import!$A$1:$Z$2488,1846,'Live Data'!$C$22)="","",INDEX(SPOT_Import!$A$1:$Z$2488,1846,'Live Data'!$C$22)),"")</f>
        <v/>
      </c>
      <c r="L1846" s="55" t="str">
        <f t="shared" si="56"/>
        <v/>
      </c>
      <c r="M1846" s="55" t="str">
        <f t="shared" si="57"/>
        <v/>
      </c>
      <c r="N1846" s="55" t="str">
        <f>IF(A1846="","",IFERROR(INDEX('Cluster Map'!$A$4:$A$38,MATCH(M1846,'Cluster Map'!$B$4:$B$38,0)),"Unmapped"))</f>
        <v/>
      </c>
      <c r="O1846" s="55">
        <f>IF(A1846="",0,IF(COUNTIFS($A$2:A1846,A1846,$F$2:F1846,F1846,$L$2:L1846,L1846)=1,1,0))</f>
        <v>0</v>
      </c>
      <c r="P1846" s="55">
        <f>IF(A1846="",0,IF(AND(F1846="C&amp;T",COUNTIFS($A$2:A1846,A1846,$F$2:F1846,"C&amp;T")=1),1,0))</f>
        <v>0</v>
      </c>
    </row>
    <row r="1847" spans="1:16" x14ac:dyDescent="0.35">
      <c r="A1847" s="54" t="str">
        <f>IFERROR(IF(INDEX(SPOT_Import!$A$1:$Z$2488,1847,'Live Data'!$C$12)="","",INDEX(SPOT_Import!$A$1:$Z$2488,1847,'Live Data'!$C$12)),"")</f>
        <v/>
      </c>
      <c r="B1847" s="54" t="str">
        <f>IFERROR(IF(INDEX(SPOT_Import!$A$1:$Z$2488,1847,'Live Data'!$C$13)="","",INDEX(SPOT_Import!$A$1:$Z$2488,1847,'Live Data'!$C$13)),"")</f>
        <v/>
      </c>
      <c r="C1847" s="54" t="str">
        <f>IFERROR(IF(INDEX(SPOT_Import!$A$1:$Z$2488,1847,'Live Data'!$C$14)="","",INDEX(SPOT_Import!$A$1:$Z$2488,1847,'Live Data'!$C$14)),"")</f>
        <v/>
      </c>
      <c r="D1847" s="54" t="str">
        <f>IFERROR(IF(INDEX(SPOT_Import!$A$1:$Z$2488,1847,'Live Data'!$C$15)="","",INDEX(SPOT_Import!$A$1:$Z$2488,1847,'Live Data'!$C$15)),"")</f>
        <v/>
      </c>
      <c r="E1847" s="54" t="str">
        <f>IFERROR(IF(INDEX(SPOT_Import!$A$1:$Z$2488,1847,'Live Data'!$C$16)="","",INDEX(SPOT_Import!$A$1:$Z$2488,1847,'Live Data'!$C$16)),"")</f>
        <v/>
      </c>
      <c r="F1847" s="54" t="str">
        <f>IFERROR(IF(INDEX(SPOT_Import!$A$1:$Z$2488,1847,'Live Data'!$C$17)="","",INDEX(SPOT_Import!$A$1:$Z$2488,1847,'Live Data'!$C$17)),"")</f>
        <v/>
      </c>
      <c r="G1847" s="54" t="str">
        <f>IFERROR(IF(INDEX(SPOT_Import!$A$1:$Z$2488,1847,'Live Data'!$C$18)="","",INDEX(SPOT_Import!$A$1:$Z$2488,1847,'Live Data'!$C$18)),"")</f>
        <v/>
      </c>
      <c r="H1847" s="54" t="str">
        <f>IFERROR(IF(INDEX(SPOT_Import!$A$1:$Z$2488,1847,'Live Data'!$C$19)="","",INDEX(SPOT_Import!$A$1:$Z$2488,1847,'Live Data'!$C$19)),"")</f>
        <v/>
      </c>
      <c r="I1847" s="54" t="str">
        <f>IFERROR(IF(INDEX(SPOT_Import!$A$1:$Z$2488,1847,'Live Data'!$C$20)="","",INDEX(SPOT_Import!$A$1:$Z$2488,1847,'Live Data'!$C$20)),"")</f>
        <v/>
      </c>
      <c r="J1847" s="54" t="str">
        <f>IFERROR(IF(INDEX(SPOT_Import!$A$1:$Z$2488,1847,'Live Data'!$C$21)="","",INDEX(SPOT_Import!$A$1:$Z$2488,1847,'Live Data'!$C$21)),"")</f>
        <v/>
      </c>
      <c r="K1847" s="54" t="str">
        <f>IFERROR(IF(INDEX(SPOT_Import!$A$1:$Z$2488,1847,'Live Data'!$C$22)="","",INDEX(SPOT_Import!$A$1:$Z$2488,1847,'Live Data'!$C$22)),"")</f>
        <v/>
      </c>
      <c r="L1847" s="55" t="str">
        <f t="shared" si="56"/>
        <v/>
      </c>
      <c r="M1847" s="55" t="str">
        <f t="shared" si="57"/>
        <v/>
      </c>
      <c r="N1847" s="55" t="str">
        <f>IF(A1847="","",IFERROR(INDEX('Cluster Map'!$A$4:$A$38,MATCH(M1847,'Cluster Map'!$B$4:$B$38,0)),"Unmapped"))</f>
        <v/>
      </c>
      <c r="O1847" s="55">
        <f>IF(A1847="",0,IF(COUNTIFS($A$2:A1847,A1847,$F$2:F1847,F1847,$L$2:L1847,L1847)=1,1,0))</f>
        <v>0</v>
      </c>
      <c r="P1847" s="55">
        <f>IF(A1847="",0,IF(AND(F1847="C&amp;T",COUNTIFS($A$2:A1847,A1847,$F$2:F1847,"C&amp;T")=1),1,0))</f>
        <v>0</v>
      </c>
    </row>
    <row r="1848" spans="1:16" x14ac:dyDescent="0.35">
      <c r="A1848" s="54" t="str">
        <f>IFERROR(IF(INDEX(SPOT_Import!$A$1:$Z$2488,1848,'Live Data'!$C$12)="","",INDEX(SPOT_Import!$A$1:$Z$2488,1848,'Live Data'!$C$12)),"")</f>
        <v/>
      </c>
      <c r="B1848" s="54" t="str">
        <f>IFERROR(IF(INDEX(SPOT_Import!$A$1:$Z$2488,1848,'Live Data'!$C$13)="","",INDEX(SPOT_Import!$A$1:$Z$2488,1848,'Live Data'!$C$13)),"")</f>
        <v/>
      </c>
      <c r="C1848" s="54" t="str">
        <f>IFERROR(IF(INDEX(SPOT_Import!$A$1:$Z$2488,1848,'Live Data'!$C$14)="","",INDEX(SPOT_Import!$A$1:$Z$2488,1848,'Live Data'!$C$14)),"")</f>
        <v/>
      </c>
      <c r="D1848" s="54" t="str">
        <f>IFERROR(IF(INDEX(SPOT_Import!$A$1:$Z$2488,1848,'Live Data'!$C$15)="","",INDEX(SPOT_Import!$A$1:$Z$2488,1848,'Live Data'!$C$15)),"")</f>
        <v/>
      </c>
      <c r="E1848" s="54" t="str">
        <f>IFERROR(IF(INDEX(SPOT_Import!$A$1:$Z$2488,1848,'Live Data'!$C$16)="","",INDEX(SPOT_Import!$A$1:$Z$2488,1848,'Live Data'!$C$16)),"")</f>
        <v/>
      </c>
      <c r="F1848" s="54" t="str">
        <f>IFERROR(IF(INDEX(SPOT_Import!$A$1:$Z$2488,1848,'Live Data'!$C$17)="","",INDEX(SPOT_Import!$A$1:$Z$2488,1848,'Live Data'!$C$17)),"")</f>
        <v/>
      </c>
      <c r="G1848" s="54" t="str">
        <f>IFERROR(IF(INDEX(SPOT_Import!$A$1:$Z$2488,1848,'Live Data'!$C$18)="","",INDEX(SPOT_Import!$A$1:$Z$2488,1848,'Live Data'!$C$18)),"")</f>
        <v/>
      </c>
      <c r="H1848" s="54" t="str">
        <f>IFERROR(IF(INDEX(SPOT_Import!$A$1:$Z$2488,1848,'Live Data'!$C$19)="","",INDEX(SPOT_Import!$A$1:$Z$2488,1848,'Live Data'!$C$19)),"")</f>
        <v/>
      </c>
      <c r="I1848" s="54" t="str">
        <f>IFERROR(IF(INDEX(SPOT_Import!$A$1:$Z$2488,1848,'Live Data'!$C$20)="","",INDEX(SPOT_Import!$A$1:$Z$2488,1848,'Live Data'!$C$20)),"")</f>
        <v/>
      </c>
      <c r="J1848" s="54" t="str">
        <f>IFERROR(IF(INDEX(SPOT_Import!$A$1:$Z$2488,1848,'Live Data'!$C$21)="","",INDEX(SPOT_Import!$A$1:$Z$2488,1848,'Live Data'!$C$21)),"")</f>
        <v/>
      </c>
      <c r="K1848" s="54" t="str">
        <f>IFERROR(IF(INDEX(SPOT_Import!$A$1:$Z$2488,1848,'Live Data'!$C$22)="","",INDEX(SPOT_Import!$A$1:$Z$2488,1848,'Live Data'!$C$22)),"")</f>
        <v/>
      </c>
      <c r="L1848" s="55" t="str">
        <f t="shared" si="56"/>
        <v/>
      </c>
      <c r="M1848" s="55" t="str">
        <f t="shared" si="57"/>
        <v/>
      </c>
      <c r="N1848" s="55" t="str">
        <f>IF(A1848="","",IFERROR(INDEX('Cluster Map'!$A$4:$A$38,MATCH(M1848,'Cluster Map'!$B$4:$B$38,0)),"Unmapped"))</f>
        <v/>
      </c>
      <c r="O1848" s="55">
        <f>IF(A1848="",0,IF(COUNTIFS($A$2:A1848,A1848,$F$2:F1848,F1848,$L$2:L1848,L1848)=1,1,0))</f>
        <v>0</v>
      </c>
      <c r="P1848" s="55">
        <f>IF(A1848="",0,IF(AND(F1848="C&amp;T",COUNTIFS($A$2:A1848,A1848,$F$2:F1848,"C&amp;T")=1),1,0))</f>
        <v>0</v>
      </c>
    </row>
    <row r="1849" spans="1:16" x14ac:dyDescent="0.35">
      <c r="A1849" s="54" t="str">
        <f>IFERROR(IF(INDEX(SPOT_Import!$A$1:$Z$2488,1849,'Live Data'!$C$12)="","",INDEX(SPOT_Import!$A$1:$Z$2488,1849,'Live Data'!$C$12)),"")</f>
        <v/>
      </c>
      <c r="B1849" s="54" t="str">
        <f>IFERROR(IF(INDEX(SPOT_Import!$A$1:$Z$2488,1849,'Live Data'!$C$13)="","",INDEX(SPOT_Import!$A$1:$Z$2488,1849,'Live Data'!$C$13)),"")</f>
        <v/>
      </c>
      <c r="C1849" s="54" t="str">
        <f>IFERROR(IF(INDEX(SPOT_Import!$A$1:$Z$2488,1849,'Live Data'!$C$14)="","",INDEX(SPOT_Import!$A$1:$Z$2488,1849,'Live Data'!$C$14)),"")</f>
        <v/>
      </c>
      <c r="D1849" s="54" t="str">
        <f>IFERROR(IF(INDEX(SPOT_Import!$A$1:$Z$2488,1849,'Live Data'!$C$15)="","",INDEX(SPOT_Import!$A$1:$Z$2488,1849,'Live Data'!$C$15)),"")</f>
        <v/>
      </c>
      <c r="E1849" s="54" t="str">
        <f>IFERROR(IF(INDEX(SPOT_Import!$A$1:$Z$2488,1849,'Live Data'!$C$16)="","",INDEX(SPOT_Import!$A$1:$Z$2488,1849,'Live Data'!$C$16)),"")</f>
        <v/>
      </c>
      <c r="F1849" s="54" t="str">
        <f>IFERROR(IF(INDEX(SPOT_Import!$A$1:$Z$2488,1849,'Live Data'!$C$17)="","",INDEX(SPOT_Import!$A$1:$Z$2488,1849,'Live Data'!$C$17)),"")</f>
        <v/>
      </c>
      <c r="G1849" s="54" t="str">
        <f>IFERROR(IF(INDEX(SPOT_Import!$A$1:$Z$2488,1849,'Live Data'!$C$18)="","",INDEX(SPOT_Import!$A$1:$Z$2488,1849,'Live Data'!$C$18)),"")</f>
        <v/>
      </c>
      <c r="H1849" s="54" t="str">
        <f>IFERROR(IF(INDEX(SPOT_Import!$A$1:$Z$2488,1849,'Live Data'!$C$19)="","",INDEX(SPOT_Import!$A$1:$Z$2488,1849,'Live Data'!$C$19)),"")</f>
        <v/>
      </c>
      <c r="I1849" s="54" t="str">
        <f>IFERROR(IF(INDEX(SPOT_Import!$A$1:$Z$2488,1849,'Live Data'!$C$20)="","",INDEX(SPOT_Import!$A$1:$Z$2488,1849,'Live Data'!$C$20)),"")</f>
        <v/>
      </c>
      <c r="J1849" s="54" t="str">
        <f>IFERROR(IF(INDEX(SPOT_Import!$A$1:$Z$2488,1849,'Live Data'!$C$21)="","",INDEX(SPOT_Import!$A$1:$Z$2488,1849,'Live Data'!$C$21)),"")</f>
        <v/>
      </c>
      <c r="K1849" s="54" t="str">
        <f>IFERROR(IF(INDEX(SPOT_Import!$A$1:$Z$2488,1849,'Live Data'!$C$22)="","",INDEX(SPOT_Import!$A$1:$Z$2488,1849,'Live Data'!$C$22)),"")</f>
        <v/>
      </c>
      <c r="L1849" s="55" t="str">
        <f t="shared" si="56"/>
        <v/>
      </c>
      <c r="M1849" s="55" t="str">
        <f t="shared" si="57"/>
        <v/>
      </c>
      <c r="N1849" s="55" t="str">
        <f>IF(A1849="","",IFERROR(INDEX('Cluster Map'!$A$4:$A$38,MATCH(M1849,'Cluster Map'!$B$4:$B$38,0)),"Unmapped"))</f>
        <v/>
      </c>
      <c r="O1849" s="55">
        <f>IF(A1849="",0,IF(COUNTIFS($A$2:A1849,A1849,$F$2:F1849,F1849,$L$2:L1849,L1849)=1,1,0))</f>
        <v>0</v>
      </c>
      <c r="P1849" s="55">
        <f>IF(A1849="",0,IF(AND(F1849="C&amp;T",COUNTIFS($A$2:A1849,A1849,$F$2:F1849,"C&amp;T")=1),1,0))</f>
        <v>0</v>
      </c>
    </row>
    <row r="1850" spans="1:16" x14ac:dyDescent="0.35">
      <c r="A1850" s="54" t="str">
        <f>IFERROR(IF(INDEX(SPOT_Import!$A$1:$Z$2488,1850,'Live Data'!$C$12)="","",INDEX(SPOT_Import!$A$1:$Z$2488,1850,'Live Data'!$C$12)),"")</f>
        <v/>
      </c>
      <c r="B1850" s="54" t="str">
        <f>IFERROR(IF(INDEX(SPOT_Import!$A$1:$Z$2488,1850,'Live Data'!$C$13)="","",INDEX(SPOT_Import!$A$1:$Z$2488,1850,'Live Data'!$C$13)),"")</f>
        <v/>
      </c>
      <c r="C1850" s="54" t="str">
        <f>IFERROR(IF(INDEX(SPOT_Import!$A$1:$Z$2488,1850,'Live Data'!$C$14)="","",INDEX(SPOT_Import!$A$1:$Z$2488,1850,'Live Data'!$C$14)),"")</f>
        <v/>
      </c>
      <c r="D1850" s="54" t="str">
        <f>IFERROR(IF(INDEX(SPOT_Import!$A$1:$Z$2488,1850,'Live Data'!$C$15)="","",INDEX(SPOT_Import!$A$1:$Z$2488,1850,'Live Data'!$C$15)),"")</f>
        <v/>
      </c>
      <c r="E1850" s="54" t="str">
        <f>IFERROR(IF(INDEX(SPOT_Import!$A$1:$Z$2488,1850,'Live Data'!$C$16)="","",INDEX(SPOT_Import!$A$1:$Z$2488,1850,'Live Data'!$C$16)),"")</f>
        <v/>
      </c>
      <c r="F1850" s="54" t="str">
        <f>IFERROR(IF(INDEX(SPOT_Import!$A$1:$Z$2488,1850,'Live Data'!$C$17)="","",INDEX(SPOT_Import!$A$1:$Z$2488,1850,'Live Data'!$C$17)),"")</f>
        <v/>
      </c>
      <c r="G1850" s="54" t="str">
        <f>IFERROR(IF(INDEX(SPOT_Import!$A$1:$Z$2488,1850,'Live Data'!$C$18)="","",INDEX(SPOT_Import!$A$1:$Z$2488,1850,'Live Data'!$C$18)),"")</f>
        <v/>
      </c>
      <c r="H1850" s="54" t="str">
        <f>IFERROR(IF(INDEX(SPOT_Import!$A$1:$Z$2488,1850,'Live Data'!$C$19)="","",INDEX(SPOT_Import!$A$1:$Z$2488,1850,'Live Data'!$C$19)),"")</f>
        <v/>
      </c>
      <c r="I1850" s="54" t="str">
        <f>IFERROR(IF(INDEX(SPOT_Import!$A$1:$Z$2488,1850,'Live Data'!$C$20)="","",INDEX(SPOT_Import!$A$1:$Z$2488,1850,'Live Data'!$C$20)),"")</f>
        <v/>
      </c>
      <c r="J1850" s="54" t="str">
        <f>IFERROR(IF(INDEX(SPOT_Import!$A$1:$Z$2488,1850,'Live Data'!$C$21)="","",INDEX(SPOT_Import!$A$1:$Z$2488,1850,'Live Data'!$C$21)),"")</f>
        <v/>
      </c>
      <c r="K1850" s="54" t="str">
        <f>IFERROR(IF(INDEX(SPOT_Import!$A$1:$Z$2488,1850,'Live Data'!$C$22)="","",INDEX(SPOT_Import!$A$1:$Z$2488,1850,'Live Data'!$C$22)),"")</f>
        <v/>
      </c>
      <c r="L1850" s="55" t="str">
        <f t="shared" si="56"/>
        <v/>
      </c>
      <c r="M1850" s="55" t="str">
        <f t="shared" si="57"/>
        <v/>
      </c>
      <c r="N1850" s="55" t="str">
        <f>IF(A1850="","",IFERROR(INDEX('Cluster Map'!$A$4:$A$38,MATCH(M1850,'Cluster Map'!$B$4:$B$38,0)),"Unmapped"))</f>
        <v/>
      </c>
      <c r="O1850" s="55">
        <f>IF(A1850="",0,IF(COUNTIFS($A$2:A1850,A1850,$F$2:F1850,F1850,$L$2:L1850,L1850)=1,1,0))</f>
        <v>0</v>
      </c>
      <c r="P1850" s="55">
        <f>IF(A1850="",0,IF(AND(F1850="C&amp;T",COUNTIFS($A$2:A1850,A1850,$F$2:F1850,"C&amp;T")=1),1,0))</f>
        <v>0</v>
      </c>
    </row>
    <row r="1851" spans="1:16" x14ac:dyDescent="0.35">
      <c r="A1851" s="54" t="str">
        <f>IFERROR(IF(INDEX(SPOT_Import!$A$1:$Z$2488,1851,'Live Data'!$C$12)="","",INDEX(SPOT_Import!$A$1:$Z$2488,1851,'Live Data'!$C$12)),"")</f>
        <v/>
      </c>
      <c r="B1851" s="54" t="str">
        <f>IFERROR(IF(INDEX(SPOT_Import!$A$1:$Z$2488,1851,'Live Data'!$C$13)="","",INDEX(SPOT_Import!$A$1:$Z$2488,1851,'Live Data'!$C$13)),"")</f>
        <v/>
      </c>
      <c r="C1851" s="54" t="str">
        <f>IFERROR(IF(INDEX(SPOT_Import!$A$1:$Z$2488,1851,'Live Data'!$C$14)="","",INDEX(SPOT_Import!$A$1:$Z$2488,1851,'Live Data'!$C$14)),"")</f>
        <v/>
      </c>
      <c r="D1851" s="54" t="str">
        <f>IFERROR(IF(INDEX(SPOT_Import!$A$1:$Z$2488,1851,'Live Data'!$C$15)="","",INDEX(SPOT_Import!$A$1:$Z$2488,1851,'Live Data'!$C$15)),"")</f>
        <v/>
      </c>
      <c r="E1851" s="54" t="str">
        <f>IFERROR(IF(INDEX(SPOT_Import!$A$1:$Z$2488,1851,'Live Data'!$C$16)="","",INDEX(SPOT_Import!$A$1:$Z$2488,1851,'Live Data'!$C$16)),"")</f>
        <v/>
      </c>
      <c r="F1851" s="54" t="str">
        <f>IFERROR(IF(INDEX(SPOT_Import!$A$1:$Z$2488,1851,'Live Data'!$C$17)="","",INDEX(SPOT_Import!$A$1:$Z$2488,1851,'Live Data'!$C$17)),"")</f>
        <v/>
      </c>
      <c r="G1851" s="54" t="str">
        <f>IFERROR(IF(INDEX(SPOT_Import!$A$1:$Z$2488,1851,'Live Data'!$C$18)="","",INDEX(SPOT_Import!$A$1:$Z$2488,1851,'Live Data'!$C$18)),"")</f>
        <v/>
      </c>
      <c r="H1851" s="54" t="str">
        <f>IFERROR(IF(INDEX(SPOT_Import!$A$1:$Z$2488,1851,'Live Data'!$C$19)="","",INDEX(SPOT_Import!$A$1:$Z$2488,1851,'Live Data'!$C$19)),"")</f>
        <v/>
      </c>
      <c r="I1851" s="54" t="str">
        <f>IFERROR(IF(INDEX(SPOT_Import!$A$1:$Z$2488,1851,'Live Data'!$C$20)="","",INDEX(SPOT_Import!$A$1:$Z$2488,1851,'Live Data'!$C$20)),"")</f>
        <v/>
      </c>
      <c r="J1851" s="54" t="str">
        <f>IFERROR(IF(INDEX(SPOT_Import!$A$1:$Z$2488,1851,'Live Data'!$C$21)="","",INDEX(SPOT_Import!$A$1:$Z$2488,1851,'Live Data'!$C$21)),"")</f>
        <v/>
      </c>
      <c r="K1851" s="54" t="str">
        <f>IFERROR(IF(INDEX(SPOT_Import!$A$1:$Z$2488,1851,'Live Data'!$C$22)="","",INDEX(SPOT_Import!$A$1:$Z$2488,1851,'Live Data'!$C$22)),"")</f>
        <v/>
      </c>
      <c r="L1851" s="55" t="str">
        <f t="shared" si="56"/>
        <v/>
      </c>
      <c r="M1851" s="55" t="str">
        <f t="shared" si="57"/>
        <v/>
      </c>
      <c r="N1851" s="55" t="str">
        <f>IF(A1851="","",IFERROR(INDEX('Cluster Map'!$A$4:$A$38,MATCH(M1851,'Cluster Map'!$B$4:$B$38,0)),"Unmapped"))</f>
        <v/>
      </c>
      <c r="O1851" s="55">
        <f>IF(A1851="",0,IF(COUNTIFS($A$2:A1851,A1851,$F$2:F1851,F1851,$L$2:L1851,L1851)=1,1,0))</f>
        <v>0</v>
      </c>
      <c r="P1851" s="55">
        <f>IF(A1851="",0,IF(AND(F1851="C&amp;T",COUNTIFS($A$2:A1851,A1851,$F$2:F1851,"C&amp;T")=1),1,0))</f>
        <v>0</v>
      </c>
    </row>
    <row r="1852" spans="1:16" x14ac:dyDescent="0.35">
      <c r="A1852" s="54" t="str">
        <f>IFERROR(IF(INDEX(SPOT_Import!$A$1:$Z$2488,1852,'Live Data'!$C$12)="","",INDEX(SPOT_Import!$A$1:$Z$2488,1852,'Live Data'!$C$12)),"")</f>
        <v/>
      </c>
      <c r="B1852" s="54" t="str">
        <f>IFERROR(IF(INDEX(SPOT_Import!$A$1:$Z$2488,1852,'Live Data'!$C$13)="","",INDEX(SPOT_Import!$A$1:$Z$2488,1852,'Live Data'!$C$13)),"")</f>
        <v/>
      </c>
      <c r="C1852" s="54" t="str">
        <f>IFERROR(IF(INDEX(SPOT_Import!$A$1:$Z$2488,1852,'Live Data'!$C$14)="","",INDEX(SPOT_Import!$A$1:$Z$2488,1852,'Live Data'!$C$14)),"")</f>
        <v/>
      </c>
      <c r="D1852" s="54" t="str">
        <f>IFERROR(IF(INDEX(SPOT_Import!$A$1:$Z$2488,1852,'Live Data'!$C$15)="","",INDEX(SPOT_Import!$A$1:$Z$2488,1852,'Live Data'!$C$15)),"")</f>
        <v/>
      </c>
      <c r="E1852" s="54" t="str">
        <f>IFERROR(IF(INDEX(SPOT_Import!$A$1:$Z$2488,1852,'Live Data'!$C$16)="","",INDEX(SPOT_Import!$A$1:$Z$2488,1852,'Live Data'!$C$16)),"")</f>
        <v/>
      </c>
      <c r="F1852" s="54" t="str">
        <f>IFERROR(IF(INDEX(SPOT_Import!$A$1:$Z$2488,1852,'Live Data'!$C$17)="","",INDEX(SPOT_Import!$A$1:$Z$2488,1852,'Live Data'!$C$17)),"")</f>
        <v/>
      </c>
      <c r="G1852" s="54" t="str">
        <f>IFERROR(IF(INDEX(SPOT_Import!$A$1:$Z$2488,1852,'Live Data'!$C$18)="","",INDEX(SPOT_Import!$A$1:$Z$2488,1852,'Live Data'!$C$18)),"")</f>
        <v/>
      </c>
      <c r="H1852" s="54" t="str">
        <f>IFERROR(IF(INDEX(SPOT_Import!$A$1:$Z$2488,1852,'Live Data'!$C$19)="","",INDEX(SPOT_Import!$A$1:$Z$2488,1852,'Live Data'!$C$19)),"")</f>
        <v/>
      </c>
      <c r="I1852" s="54" t="str">
        <f>IFERROR(IF(INDEX(SPOT_Import!$A$1:$Z$2488,1852,'Live Data'!$C$20)="","",INDEX(SPOT_Import!$A$1:$Z$2488,1852,'Live Data'!$C$20)),"")</f>
        <v/>
      </c>
      <c r="J1852" s="54" t="str">
        <f>IFERROR(IF(INDEX(SPOT_Import!$A$1:$Z$2488,1852,'Live Data'!$C$21)="","",INDEX(SPOT_Import!$A$1:$Z$2488,1852,'Live Data'!$C$21)),"")</f>
        <v/>
      </c>
      <c r="K1852" s="54" t="str">
        <f>IFERROR(IF(INDEX(SPOT_Import!$A$1:$Z$2488,1852,'Live Data'!$C$22)="","",INDEX(SPOT_Import!$A$1:$Z$2488,1852,'Live Data'!$C$22)),"")</f>
        <v/>
      </c>
      <c r="L1852" s="55" t="str">
        <f t="shared" si="56"/>
        <v/>
      </c>
      <c r="M1852" s="55" t="str">
        <f t="shared" si="57"/>
        <v/>
      </c>
      <c r="N1852" s="55" t="str">
        <f>IF(A1852="","",IFERROR(INDEX('Cluster Map'!$A$4:$A$38,MATCH(M1852,'Cluster Map'!$B$4:$B$38,0)),"Unmapped"))</f>
        <v/>
      </c>
      <c r="O1852" s="55">
        <f>IF(A1852="",0,IF(COUNTIFS($A$2:A1852,A1852,$F$2:F1852,F1852,$L$2:L1852,L1852)=1,1,0))</f>
        <v>0</v>
      </c>
      <c r="P1852" s="55">
        <f>IF(A1852="",0,IF(AND(F1852="C&amp;T",COUNTIFS($A$2:A1852,A1852,$F$2:F1852,"C&amp;T")=1),1,0))</f>
        <v>0</v>
      </c>
    </row>
    <row r="1853" spans="1:16" x14ac:dyDescent="0.35">
      <c r="A1853" s="54" t="str">
        <f>IFERROR(IF(INDEX(SPOT_Import!$A$1:$Z$2488,1853,'Live Data'!$C$12)="","",INDEX(SPOT_Import!$A$1:$Z$2488,1853,'Live Data'!$C$12)),"")</f>
        <v/>
      </c>
      <c r="B1853" s="54" t="str">
        <f>IFERROR(IF(INDEX(SPOT_Import!$A$1:$Z$2488,1853,'Live Data'!$C$13)="","",INDEX(SPOT_Import!$A$1:$Z$2488,1853,'Live Data'!$C$13)),"")</f>
        <v/>
      </c>
      <c r="C1853" s="54" t="str">
        <f>IFERROR(IF(INDEX(SPOT_Import!$A$1:$Z$2488,1853,'Live Data'!$C$14)="","",INDEX(SPOT_Import!$A$1:$Z$2488,1853,'Live Data'!$C$14)),"")</f>
        <v/>
      </c>
      <c r="D1853" s="54" t="str">
        <f>IFERROR(IF(INDEX(SPOT_Import!$A$1:$Z$2488,1853,'Live Data'!$C$15)="","",INDEX(SPOT_Import!$A$1:$Z$2488,1853,'Live Data'!$C$15)),"")</f>
        <v/>
      </c>
      <c r="E1853" s="54" t="str">
        <f>IFERROR(IF(INDEX(SPOT_Import!$A$1:$Z$2488,1853,'Live Data'!$C$16)="","",INDEX(SPOT_Import!$A$1:$Z$2488,1853,'Live Data'!$C$16)),"")</f>
        <v/>
      </c>
      <c r="F1853" s="54" t="str">
        <f>IFERROR(IF(INDEX(SPOT_Import!$A$1:$Z$2488,1853,'Live Data'!$C$17)="","",INDEX(SPOT_Import!$A$1:$Z$2488,1853,'Live Data'!$C$17)),"")</f>
        <v/>
      </c>
      <c r="G1853" s="54" t="str">
        <f>IFERROR(IF(INDEX(SPOT_Import!$A$1:$Z$2488,1853,'Live Data'!$C$18)="","",INDEX(SPOT_Import!$A$1:$Z$2488,1853,'Live Data'!$C$18)),"")</f>
        <v/>
      </c>
      <c r="H1853" s="54" t="str">
        <f>IFERROR(IF(INDEX(SPOT_Import!$A$1:$Z$2488,1853,'Live Data'!$C$19)="","",INDEX(SPOT_Import!$A$1:$Z$2488,1853,'Live Data'!$C$19)),"")</f>
        <v/>
      </c>
      <c r="I1853" s="54" t="str">
        <f>IFERROR(IF(INDEX(SPOT_Import!$A$1:$Z$2488,1853,'Live Data'!$C$20)="","",INDEX(SPOT_Import!$A$1:$Z$2488,1853,'Live Data'!$C$20)),"")</f>
        <v/>
      </c>
      <c r="J1853" s="54" t="str">
        <f>IFERROR(IF(INDEX(SPOT_Import!$A$1:$Z$2488,1853,'Live Data'!$C$21)="","",INDEX(SPOT_Import!$A$1:$Z$2488,1853,'Live Data'!$C$21)),"")</f>
        <v/>
      </c>
      <c r="K1853" s="54" t="str">
        <f>IFERROR(IF(INDEX(SPOT_Import!$A$1:$Z$2488,1853,'Live Data'!$C$22)="","",INDEX(SPOT_Import!$A$1:$Z$2488,1853,'Live Data'!$C$22)),"")</f>
        <v/>
      </c>
      <c r="L1853" s="55" t="str">
        <f t="shared" si="56"/>
        <v/>
      </c>
      <c r="M1853" s="55" t="str">
        <f t="shared" si="57"/>
        <v/>
      </c>
      <c r="N1853" s="55" t="str">
        <f>IF(A1853="","",IFERROR(INDEX('Cluster Map'!$A$4:$A$38,MATCH(M1853,'Cluster Map'!$B$4:$B$38,0)),"Unmapped"))</f>
        <v/>
      </c>
      <c r="O1853" s="55">
        <f>IF(A1853="",0,IF(COUNTIFS($A$2:A1853,A1853,$F$2:F1853,F1853,$L$2:L1853,L1853)=1,1,0))</f>
        <v>0</v>
      </c>
      <c r="P1853" s="55">
        <f>IF(A1853="",0,IF(AND(F1853="C&amp;T",COUNTIFS($A$2:A1853,A1853,$F$2:F1853,"C&amp;T")=1),1,0))</f>
        <v>0</v>
      </c>
    </row>
    <row r="1854" spans="1:16" x14ac:dyDescent="0.35">
      <c r="A1854" s="54" t="str">
        <f>IFERROR(IF(INDEX(SPOT_Import!$A$1:$Z$2488,1854,'Live Data'!$C$12)="","",INDEX(SPOT_Import!$A$1:$Z$2488,1854,'Live Data'!$C$12)),"")</f>
        <v/>
      </c>
      <c r="B1854" s="54" t="str">
        <f>IFERROR(IF(INDEX(SPOT_Import!$A$1:$Z$2488,1854,'Live Data'!$C$13)="","",INDEX(SPOT_Import!$A$1:$Z$2488,1854,'Live Data'!$C$13)),"")</f>
        <v/>
      </c>
      <c r="C1854" s="54" t="str">
        <f>IFERROR(IF(INDEX(SPOT_Import!$A$1:$Z$2488,1854,'Live Data'!$C$14)="","",INDEX(SPOT_Import!$A$1:$Z$2488,1854,'Live Data'!$C$14)),"")</f>
        <v/>
      </c>
      <c r="D1854" s="54" t="str">
        <f>IFERROR(IF(INDEX(SPOT_Import!$A$1:$Z$2488,1854,'Live Data'!$C$15)="","",INDEX(SPOT_Import!$A$1:$Z$2488,1854,'Live Data'!$C$15)),"")</f>
        <v/>
      </c>
      <c r="E1854" s="54" t="str">
        <f>IFERROR(IF(INDEX(SPOT_Import!$A$1:$Z$2488,1854,'Live Data'!$C$16)="","",INDEX(SPOT_Import!$A$1:$Z$2488,1854,'Live Data'!$C$16)),"")</f>
        <v/>
      </c>
      <c r="F1854" s="54" t="str">
        <f>IFERROR(IF(INDEX(SPOT_Import!$A$1:$Z$2488,1854,'Live Data'!$C$17)="","",INDEX(SPOT_Import!$A$1:$Z$2488,1854,'Live Data'!$C$17)),"")</f>
        <v/>
      </c>
      <c r="G1854" s="54" t="str">
        <f>IFERROR(IF(INDEX(SPOT_Import!$A$1:$Z$2488,1854,'Live Data'!$C$18)="","",INDEX(SPOT_Import!$A$1:$Z$2488,1854,'Live Data'!$C$18)),"")</f>
        <v/>
      </c>
      <c r="H1854" s="54" t="str">
        <f>IFERROR(IF(INDEX(SPOT_Import!$A$1:$Z$2488,1854,'Live Data'!$C$19)="","",INDEX(SPOT_Import!$A$1:$Z$2488,1854,'Live Data'!$C$19)),"")</f>
        <v/>
      </c>
      <c r="I1854" s="54" t="str">
        <f>IFERROR(IF(INDEX(SPOT_Import!$A$1:$Z$2488,1854,'Live Data'!$C$20)="","",INDEX(SPOT_Import!$A$1:$Z$2488,1854,'Live Data'!$C$20)),"")</f>
        <v/>
      </c>
      <c r="J1854" s="54" t="str">
        <f>IFERROR(IF(INDEX(SPOT_Import!$A$1:$Z$2488,1854,'Live Data'!$C$21)="","",INDEX(SPOT_Import!$A$1:$Z$2488,1854,'Live Data'!$C$21)),"")</f>
        <v/>
      </c>
      <c r="K1854" s="54" t="str">
        <f>IFERROR(IF(INDEX(SPOT_Import!$A$1:$Z$2488,1854,'Live Data'!$C$22)="","",INDEX(SPOT_Import!$A$1:$Z$2488,1854,'Live Data'!$C$22)),"")</f>
        <v/>
      </c>
      <c r="L1854" s="55" t="str">
        <f t="shared" si="56"/>
        <v/>
      </c>
      <c r="M1854" s="55" t="str">
        <f t="shared" si="57"/>
        <v/>
      </c>
      <c r="N1854" s="55" t="str">
        <f>IF(A1854="","",IFERROR(INDEX('Cluster Map'!$A$4:$A$38,MATCH(M1854,'Cluster Map'!$B$4:$B$38,0)),"Unmapped"))</f>
        <v/>
      </c>
      <c r="O1854" s="55">
        <f>IF(A1854="",0,IF(COUNTIFS($A$2:A1854,A1854,$F$2:F1854,F1854,$L$2:L1854,L1854)=1,1,0))</f>
        <v>0</v>
      </c>
      <c r="P1854" s="55">
        <f>IF(A1854="",0,IF(AND(F1854="C&amp;T",COUNTIFS($A$2:A1854,A1854,$F$2:F1854,"C&amp;T")=1),1,0))</f>
        <v>0</v>
      </c>
    </row>
    <row r="1855" spans="1:16" x14ac:dyDescent="0.35">
      <c r="A1855" s="54" t="str">
        <f>IFERROR(IF(INDEX(SPOT_Import!$A$1:$Z$2488,1855,'Live Data'!$C$12)="","",INDEX(SPOT_Import!$A$1:$Z$2488,1855,'Live Data'!$C$12)),"")</f>
        <v/>
      </c>
      <c r="B1855" s="54" t="str">
        <f>IFERROR(IF(INDEX(SPOT_Import!$A$1:$Z$2488,1855,'Live Data'!$C$13)="","",INDEX(SPOT_Import!$A$1:$Z$2488,1855,'Live Data'!$C$13)),"")</f>
        <v/>
      </c>
      <c r="C1855" s="54" t="str">
        <f>IFERROR(IF(INDEX(SPOT_Import!$A$1:$Z$2488,1855,'Live Data'!$C$14)="","",INDEX(SPOT_Import!$A$1:$Z$2488,1855,'Live Data'!$C$14)),"")</f>
        <v/>
      </c>
      <c r="D1855" s="54" t="str">
        <f>IFERROR(IF(INDEX(SPOT_Import!$A$1:$Z$2488,1855,'Live Data'!$C$15)="","",INDEX(SPOT_Import!$A$1:$Z$2488,1855,'Live Data'!$C$15)),"")</f>
        <v/>
      </c>
      <c r="E1855" s="54" t="str">
        <f>IFERROR(IF(INDEX(SPOT_Import!$A$1:$Z$2488,1855,'Live Data'!$C$16)="","",INDEX(SPOT_Import!$A$1:$Z$2488,1855,'Live Data'!$C$16)),"")</f>
        <v/>
      </c>
      <c r="F1855" s="54" t="str">
        <f>IFERROR(IF(INDEX(SPOT_Import!$A$1:$Z$2488,1855,'Live Data'!$C$17)="","",INDEX(SPOT_Import!$A$1:$Z$2488,1855,'Live Data'!$C$17)),"")</f>
        <v/>
      </c>
      <c r="G1855" s="54" t="str">
        <f>IFERROR(IF(INDEX(SPOT_Import!$A$1:$Z$2488,1855,'Live Data'!$C$18)="","",INDEX(SPOT_Import!$A$1:$Z$2488,1855,'Live Data'!$C$18)),"")</f>
        <v/>
      </c>
      <c r="H1855" s="54" t="str">
        <f>IFERROR(IF(INDEX(SPOT_Import!$A$1:$Z$2488,1855,'Live Data'!$C$19)="","",INDEX(SPOT_Import!$A$1:$Z$2488,1855,'Live Data'!$C$19)),"")</f>
        <v/>
      </c>
      <c r="I1855" s="54" t="str">
        <f>IFERROR(IF(INDEX(SPOT_Import!$A$1:$Z$2488,1855,'Live Data'!$C$20)="","",INDEX(SPOT_Import!$A$1:$Z$2488,1855,'Live Data'!$C$20)),"")</f>
        <v/>
      </c>
      <c r="J1855" s="54" t="str">
        <f>IFERROR(IF(INDEX(SPOT_Import!$A$1:$Z$2488,1855,'Live Data'!$C$21)="","",INDEX(SPOT_Import!$A$1:$Z$2488,1855,'Live Data'!$C$21)),"")</f>
        <v/>
      </c>
      <c r="K1855" s="54" t="str">
        <f>IFERROR(IF(INDEX(SPOT_Import!$A$1:$Z$2488,1855,'Live Data'!$C$22)="","",INDEX(SPOT_Import!$A$1:$Z$2488,1855,'Live Data'!$C$22)),"")</f>
        <v/>
      </c>
      <c r="L1855" s="55" t="str">
        <f t="shared" si="56"/>
        <v/>
      </c>
      <c r="M1855" s="55" t="str">
        <f t="shared" si="57"/>
        <v/>
      </c>
      <c r="N1855" s="55" t="str">
        <f>IF(A1855="","",IFERROR(INDEX('Cluster Map'!$A$4:$A$38,MATCH(M1855,'Cluster Map'!$B$4:$B$38,0)),"Unmapped"))</f>
        <v/>
      </c>
      <c r="O1855" s="55">
        <f>IF(A1855="",0,IF(COUNTIFS($A$2:A1855,A1855,$F$2:F1855,F1855,$L$2:L1855,L1855)=1,1,0))</f>
        <v>0</v>
      </c>
      <c r="P1855" s="55">
        <f>IF(A1855="",0,IF(AND(F1855="C&amp;T",COUNTIFS($A$2:A1855,A1855,$F$2:F1855,"C&amp;T")=1),1,0))</f>
        <v>0</v>
      </c>
    </row>
    <row r="1856" spans="1:16" x14ac:dyDescent="0.35">
      <c r="A1856" s="54" t="str">
        <f>IFERROR(IF(INDEX(SPOT_Import!$A$1:$Z$2488,1856,'Live Data'!$C$12)="","",INDEX(SPOT_Import!$A$1:$Z$2488,1856,'Live Data'!$C$12)),"")</f>
        <v/>
      </c>
      <c r="B1856" s="54" t="str">
        <f>IFERROR(IF(INDEX(SPOT_Import!$A$1:$Z$2488,1856,'Live Data'!$C$13)="","",INDEX(SPOT_Import!$A$1:$Z$2488,1856,'Live Data'!$C$13)),"")</f>
        <v/>
      </c>
      <c r="C1856" s="54" t="str">
        <f>IFERROR(IF(INDEX(SPOT_Import!$A$1:$Z$2488,1856,'Live Data'!$C$14)="","",INDEX(SPOT_Import!$A$1:$Z$2488,1856,'Live Data'!$C$14)),"")</f>
        <v/>
      </c>
      <c r="D1856" s="54" t="str">
        <f>IFERROR(IF(INDEX(SPOT_Import!$A$1:$Z$2488,1856,'Live Data'!$C$15)="","",INDEX(SPOT_Import!$A$1:$Z$2488,1856,'Live Data'!$C$15)),"")</f>
        <v/>
      </c>
      <c r="E1856" s="54" t="str">
        <f>IFERROR(IF(INDEX(SPOT_Import!$A$1:$Z$2488,1856,'Live Data'!$C$16)="","",INDEX(SPOT_Import!$A$1:$Z$2488,1856,'Live Data'!$C$16)),"")</f>
        <v/>
      </c>
      <c r="F1856" s="54" t="str">
        <f>IFERROR(IF(INDEX(SPOT_Import!$A$1:$Z$2488,1856,'Live Data'!$C$17)="","",INDEX(SPOT_Import!$A$1:$Z$2488,1856,'Live Data'!$C$17)),"")</f>
        <v/>
      </c>
      <c r="G1856" s="54" t="str">
        <f>IFERROR(IF(INDEX(SPOT_Import!$A$1:$Z$2488,1856,'Live Data'!$C$18)="","",INDEX(SPOT_Import!$A$1:$Z$2488,1856,'Live Data'!$C$18)),"")</f>
        <v/>
      </c>
      <c r="H1856" s="54" t="str">
        <f>IFERROR(IF(INDEX(SPOT_Import!$A$1:$Z$2488,1856,'Live Data'!$C$19)="","",INDEX(SPOT_Import!$A$1:$Z$2488,1856,'Live Data'!$C$19)),"")</f>
        <v/>
      </c>
      <c r="I1856" s="54" t="str">
        <f>IFERROR(IF(INDEX(SPOT_Import!$A$1:$Z$2488,1856,'Live Data'!$C$20)="","",INDEX(SPOT_Import!$A$1:$Z$2488,1856,'Live Data'!$C$20)),"")</f>
        <v/>
      </c>
      <c r="J1856" s="54" t="str">
        <f>IFERROR(IF(INDEX(SPOT_Import!$A$1:$Z$2488,1856,'Live Data'!$C$21)="","",INDEX(SPOT_Import!$A$1:$Z$2488,1856,'Live Data'!$C$21)),"")</f>
        <v/>
      </c>
      <c r="K1856" s="54" t="str">
        <f>IFERROR(IF(INDEX(SPOT_Import!$A$1:$Z$2488,1856,'Live Data'!$C$22)="","",INDEX(SPOT_Import!$A$1:$Z$2488,1856,'Live Data'!$C$22)),"")</f>
        <v/>
      </c>
      <c r="L1856" s="55" t="str">
        <f t="shared" si="56"/>
        <v/>
      </c>
      <c r="M1856" s="55" t="str">
        <f t="shared" si="57"/>
        <v/>
      </c>
      <c r="N1856" s="55" t="str">
        <f>IF(A1856="","",IFERROR(INDEX('Cluster Map'!$A$4:$A$38,MATCH(M1856,'Cluster Map'!$B$4:$B$38,0)),"Unmapped"))</f>
        <v/>
      </c>
      <c r="O1856" s="55">
        <f>IF(A1856="",0,IF(COUNTIFS($A$2:A1856,A1856,$F$2:F1856,F1856,$L$2:L1856,L1856)=1,1,0))</f>
        <v>0</v>
      </c>
      <c r="P1856" s="55">
        <f>IF(A1856="",0,IF(AND(F1856="C&amp;T",COUNTIFS($A$2:A1856,A1856,$F$2:F1856,"C&amp;T")=1),1,0))</f>
        <v>0</v>
      </c>
    </row>
    <row r="1857" spans="1:16" x14ac:dyDescent="0.35">
      <c r="A1857" s="54" t="str">
        <f>IFERROR(IF(INDEX(SPOT_Import!$A$1:$Z$2488,1857,'Live Data'!$C$12)="","",INDEX(SPOT_Import!$A$1:$Z$2488,1857,'Live Data'!$C$12)),"")</f>
        <v/>
      </c>
      <c r="B1857" s="54" t="str">
        <f>IFERROR(IF(INDEX(SPOT_Import!$A$1:$Z$2488,1857,'Live Data'!$C$13)="","",INDEX(SPOT_Import!$A$1:$Z$2488,1857,'Live Data'!$C$13)),"")</f>
        <v/>
      </c>
      <c r="C1857" s="54" t="str">
        <f>IFERROR(IF(INDEX(SPOT_Import!$A$1:$Z$2488,1857,'Live Data'!$C$14)="","",INDEX(SPOT_Import!$A$1:$Z$2488,1857,'Live Data'!$C$14)),"")</f>
        <v/>
      </c>
      <c r="D1857" s="54" t="str">
        <f>IFERROR(IF(INDEX(SPOT_Import!$A$1:$Z$2488,1857,'Live Data'!$C$15)="","",INDEX(SPOT_Import!$A$1:$Z$2488,1857,'Live Data'!$C$15)),"")</f>
        <v/>
      </c>
      <c r="E1857" s="54" t="str">
        <f>IFERROR(IF(INDEX(SPOT_Import!$A$1:$Z$2488,1857,'Live Data'!$C$16)="","",INDEX(SPOT_Import!$A$1:$Z$2488,1857,'Live Data'!$C$16)),"")</f>
        <v/>
      </c>
      <c r="F1857" s="54" t="str">
        <f>IFERROR(IF(INDEX(SPOT_Import!$A$1:$Z$2488,1857,'Live Data'!$C$17)="","",INDEX(SPOT_Import!$A$1:$Z$2488,1857,'Live Data'!$C$17)),"")</f>
        <v/>
      </c>
      <c r="G1857" s="54" t="str">
        <f>IFERROR(IF(INDEX(SPOT_Import!$A$1:$Z$2488,1857,'Live Data'!$C$18)="","",INDEX(SPOT_Import!$A$1:$Z$2488,1857,'Live Data'!$C$18)),"")</f>
        <v/>
      </c>
      <c r="H1857" s="54" t="str">
        <f>IFERROR(IF(INDEX(SPOT_Import!$A$1:$Z$2488,1857,'Live Data'!$C$19)="","",INDEX(SPOT_Import!$A$1:$Z$2488,1857,'Live Data'!$C$19)),"")</f>
        <v/>
      </c>
      <c r="I1857" s="54" t="str">
        <f>IFERROR(IF(INDEX(SPOT_Import!$A$1:$Z$2488,1857,'Live Data'!$C$20)="","",INDEX(SPOT_Import!$A$1:$Z$2488,1857,'Live Data'!$C$20)),"")</f>
        <v/>
      </c>
      <c r="J1857" s="54" t="str">
        <f>IFERROR(IF(INDEX(SPOT_Import!$A$1:$Z$2488,1857,'Live Data'!$C$21)="","",INDEX(SPOT_Import!$A$1:$Z$2488,1857,'Live Data'!$C$21)),"")</f>
        <v/>
      </c>
      <c r="K1857" s="54" t="str">
        <f>IFERROR(IF(INDEX(SPOT_Import!$A$1:$Z$2488,1857,'Live Data'!$C$22)="","",INDEX(SPOT_Import!$A$1:$Z$2488,1857,'Live Data'!$C$22)),"")</f>
        <v/>
      </c>
      <c r="L1857" s="55" t="str">
        <f t="shared" si="56"/>
        <v/>
      </c>
      <c r="M1857" s="55" t="str">
        <f t="shared" si="57"/>
        <v/>
      </c>
      <c r="N1857" s="55" t="str">
        <f>IF(A1857="","",IFERROR(INDEX('Cluster Map'!$A$4:$A$38,MATCH(M1857,'Cluster Map'!$B$4:$B$38,0)),"Unmapped"))</f>
        <v/>
      </c>
      <c r="O1857" s="55">
        <f>IF(A1857="",0,IF(COUNTIFS($A$2:A1857,A1857,$F$2:F1857,F1857,$L$2:L1857,L1857)=1,1,0))</f>
        <v>0</v>
      </c>
      <c r="P1857" s="55">
        <f>IF(A1857="",0,IF(AND(F1857="C&amp;T",COUNTIFS($A$2:A1857,A1857,$F$2:F1857,"C&amp;T")=1),1,0))</f>
        <v>0</v>
      </c>
    </row>
    <row r="1858" spans="1:16" x14ac:dyDescent="0.35">
      <c r="A1858" s="54" t="str">
        <f>IFERROR(IF(INDEX(SPOT_Import!$A$1:$Z$2488,1858,'Live Data'!$C$12)="","",INDEX(SPOT_Import!$A$1:$Z$2488,1858,'Live Data'!$C$12)),"")</f>
        <v/>
      </c>
      <c r="B1858" s="54" t="str">
        <f>IFERROR(IF(INDEX(SPOT_Import!$A$1:$Z$2488,1858,'Live Data'!$C$13)="","",INDEX(SPOT_Import!$A$1:$Z$2488,1858,'Live Data'!$C$13)),"")</f>
        <v/>
      </c>
      <c r="C1858" s="54" t="str">
        <f>IFERROR(IF(INDEX(SPOT_Import!$A$1:$Z$2488,1858,'Live Data'!$C$14)="","",INDEX(SPOT_Import!$A$1:$Z$2488,1858,'Live Data'!$C$14)),"")</f>
        <v/>
      </c>
      <c r="D1858" s="54" t="str">
        <f>IFERROR(IF(INDEX(SPOT_Import!$A$1:$Z$2488,1858,'Live Data'!$C$15)="","",INDEX(SPOT_Import!$A$1:$Z$2488,1858,'Live Data'!$C$15)),"")</f>
        <v/>
      </c>
      <c r="E1858" s="54" t="str">
        <f>IFERROR(IF(INDEX(SPOT_Import!$A$1:$Z$2488,1858,'Live Data'!$C$16)="","",INDEX(SPOT_Import!$A$1:$Z$2488,1858,'Live Data'!$C$16)),"")</f>
        <v/>
      </c>
      <c r="F1858" s="54" t="str">
        <f>IFERROR(IF(INDEX(SPOT_Import!$A$1:$Z$2488,1858,'Live Data'!$C$17)="","",INDEX(SPOT_Import!$A$1:$Z$2488,1858,'Live Data'!$C$17)),"")</f>
        <v/>
      </c>
      <c r="G1858" s="54" t="str">
        <f>IFERROR(IF(INDEX(SPOT_Import!$A$1:$Z$2488,1858,'Live Data'!$C$18)="","",INDEX(SPOT_Import!$A$1:$Z$2488,1858,'Live Data'!$C$18)),"")</f>
        <v/>
      </c>
      <c r="H1858" s="54" t="str">
        <f>IFERROR(IF(INDEX(SPOT_Import!$A$1:$Z$2488,1858,'Live Data'!$C$19)="","",INDEX(SPOT_Import!$A$1:$Z$2488,1858,'Live Data'!$C$19)),"")</f>
        <v/>
      </c>
      <c r="I1858" s="54" t="str">
        <f>IFERROR(IF(INDEX(SPOT_Import!$A$1:$Z$2488,1858,'Live Data'!$C$20)="","",INDEX(SPOT_Import!$A$1:$Z$2488,1858,'Live Data'!$C$20)),"")</f>
        <v/>
      </c>
      <c r="J1858" s="54" t="str">
        <f>IFERROR(IF(INDEX(SPOT_Import!$A$1:$Z$2488,1858,'Live Data'!$C$21)="","",INDEX(SPOT_Import!$A$1:$Z$2488,1858,'Live Data'!$C$21)),"")</f>
        <v/>
      </c>
      <c r="K1858" s="54" t="str">
        <f>IFERROR(IF(INDEX(SPOT_Import!$A$1:$Z$2488,1858,'Live Data'!$C$22)="","",INDEX(SPOT_Import!$A$1:$Z$2488,1858,'Live Data'!$C$22)),"")</f>
        <v/>
      </c>
      <c r="L1858" s="55" t="str">
        <f t="shared" ref="L1858:L1921" si="58">IF(A1858="","",IF(ISNUMBER(K1858),TEXT(K1858,"yyyy-mm"),LEFT(K1858,7)))</f>
        <v/>
      </c>
      <c r="M1858" s="55" t="str">
        <f t="shared" ref="M1858:M1921" si="59">IF(A1858="","",UPPER(TRIM(SUBSTITUTE(C1858," - ","-"))))</f>
        <v/>
      </c>
      <c r="N1858" s="55" t="str">
        <f>IF(A1858="","",IFERROR(INDEX('Cluster Map'!$A$4:$A$38,MATCH(M1858,'Cluster Map'!$B$4:$B$38,0)),"Unmapped"))</f>
        <v/>
      </c>
      <c r="O1858" s="55">
        <f>IF(A1858="",0,IF(COUNTIFS($A$2:A1858,A1858,$F$2:F1858,F1858,$L$2:L1858,L1858)=1,1,0))</f>
        <v>0</v>
      </c>
      <c r="P1858" s="55">
        <f>IF(A1858="",0,IF(AND(F1858="C&amp;T",COUNTIFS($A$2:A1858,A1858,$F$2:F1858,"C&amp;T")=1),1,0))</f>
        <v>0</v>
      </c>
    </row>
    <row r="1859" spans="1:16" x14ac:dyDescent="0.35">
      <c r="A1859" s="54" t="str">
        <f>IFERROR(IF(INDEX(SPOT_Import!$A$1:$Z$2488,1859,'Live Data'!$C$12)="","",INDEX(SPOT_Import!$A$1:$Z$2488,1859,'Live Data'!$C$12)),"")</f>
        <v/>
      </c>
      <c r="B1859" s="54" t="str">
        <f>IFERROR(IF(INDEX(SPOT_Import!$A$1:$Z$2488,1859,'Live Data'!$C$13)="","",INDEX(SPOT_Import!$A$1:$Z$2488,1859,'Live Data'!$C$13)),"")</f>
        <v/>
      </c>
      <c r="C1859" s="54" t="str">
        <f>IFERROR(IF(INDEX(SPOT_Import!$A$1:$Z$2488,1859,'Live Data'!$C$14)="","",INDEX(SPOT_Import!$A$1:$Z$2488,1859,'Live Data'!$C$14)),"")</f>
        <v/>
      </c>
      <c r="D1859" s="54" t="str">
        <f>IFERROR(IF(INDEX(SPOT_Import!$A$1:$Z$2488,1859,'Live Data'!$C$15)="","",INDEX(SPOT_Import!$A$1:$Z$2488,1859,'Live Data'!$C$15)),"")</f>
        <v/>
      </c>
      <c r="E1859" s="54" t="str">
        <f>IFERROR(IF(INDEX(SPOT_Import!$A$1:$Z$2488,1859,'Live Data'!$C$16)="","",INDEX(SPOT_Import!$A$1:$Z$2488,1859,'Live Data'!$C$16)),"")</f>
        <v/>
      </c>
      <c r="F1859" s="54" t="str">
        <f>IFERROR(IF(INDEX(SPOT_Import!$A$1:$Z$2488,1859,'Live Data'!$C$17)="","",INDEX(SPOT_Import!$A$1:$Z$2488,1859,'Live Data'!$C$17)),"")</f>
        <v/>
      </c>
      <c r="G1859" s="54" t="str">
        <f>IFERROR(IF(INDEX(SPOT_Import!$A$1:$Z$2488,1859,'Live Data'!$C$18)="","",INDEX(SPOT_Import!$A$1:$Z$2488,1859,'Live Data'!$C$18)),"")</f>
        <v/>
      </c>
      <c r="H1859" s="54" t="str">
        <f>IFERROR(IF(INDEX(SPOT_Import!$A$1:$Z$2488,1859,'Live Data'!$C$19)="","",INDEX(SPOT_Import!$A$1:$Z$2488,1859,'Live Data'!$C$19)),"")</f>
        <v/>
      </c>
      <c r="I1859" s="54" t="str">
        <f>IFERROR(IF(INDEX(SPOT_Import!$A$1:$Z$2488,1859,'Live Data'!$C$20)="","",INDEX(SPOT_Import!$A$1:$Z$2488,1859,'Live Data'!$C$20)),"")</f>
        <v/>
      </c>
      <c r="J1859" s="54" t="str">
        <f>IFERROR(IF(INDEX(SPOT_Import!$A$1:$Z$2488,1859,'Live Data'!$C$21)="","",INDEX(SPOT_Import!$A$1:$Z$2488,1859,'Live Data'!$C$21)),"")</f>
        <v/>
      </c>
      <c r="K1859" s="54" t="str">
        <f>IFERROR(IF(INDEX(SPOT_Import!$A$1:$Z$2488,1859,'Live Data'!$C$22)="","",INDEX(SPOT_Import!$A$1:$Z$2488,1859,'Live Data'!$C$22)),"")</f>
        <v/>
      </c>
      <c r="L1859" s="55" t="str">
        <f t="shared" si="58"/>
        <v/>
      </c>
      <c r="M1859" s="55" t="str">
        <f t="shared" si="59"/>
        <v/>
      </c>
      <c r="N1859" s="55" t="str">
        <f>IF(A1859="","",IFERROR(INDEX('Cluster Map'!$A$4:$A$38,MATCH(M1859,'Cluster Map'!$B$4:$B$38,0)),"Unmapped"))</f>
        <v/>
      </c>
      <c r="O1859" s="55">
        <f>IF(A1859="",0,IF(COUNTIFS($A$2:A1859,A1859,$F$2:F1859,F1859,$L$2:L1859,L1859)=1,1,0))</f>
        <v>0</v>
      </c>
      <c r="P1859" s="55">
        <f>IF(A1859="",0,IF(AND(F1859="C&amp;T",COUNTIFS($A$2:A1859,A1859,$F$2:F1859,"C&amp;T")=1),1,0))</f>
        <v>0</v>
      </c>
    </row>
    <row r="1860" spans="1:16" x14ac:dyDescent="0.35">
      <c r="A1860" s="54" t="str">
        <f>IFERROR(IF(INDEX(SPOT_Import!$A$1:$Z$2488,1860,'Live Data'!$C$12)="","",INDEX(SPOT_Import!$A$1:$Z$2488,1860,'Live Data'!$C$12)),"")</f>
        <v/>
      </c>
      <c r="B1860" s="54" t="str">
        <f>IFERROR(IF(INDEX(SPOT_Import!$A$1:$Z$2488,1860,'Live Data'!$C$13)="","",INDEX(SPOT_Import!$A$1:$Z$2488,1860,'Live Data'!$C$13)),"")</f>
        <v/>
      </c>
      <c r="C1860" s="54" t="str">
        <f>IFERROR(IF(INDEX(SPOT_Import!$A$1:$Z$2488,1860,'Live Data'!$C$14)="","",INDEX(SPOT_Import!$A$1:$Z$2488,1860,'Live Data'!$C$14)),"")</f>
        <v/>
      </c>
      <c r="D1860" s="54" t="str">
        <f>IFERROR(IF(INDEX(SPOT_Import!$A$1:$Z$2488,1860,'Live Data'!$C$15)="","",INDEX(SPOT_Import!$A$1:$Z$2488,1860,'Live Data'!$C$15)),"")</f>
        <v/>
      </c>
      <c r="E1860" s="54" t="str">
        <f>IFERROR(IF(INDEX(SPOT_Import!$A$1:$Z$2488,1860,'Live Data'!$C$16)="","",INDEX(SPOT_Import!$A$1:$Z$2488,1860,'Live Data'!$C$16)),"")</f>
        <v/>
      </c>
      <c r="F1860" s="54" t="str">
        <f>IFERROR(IF(INDEX(SPOT_Import!$A$1:$Z$2488,1860,'Live Data'!$C$17)="","",INDEX(SPOT_Import!$A$1:$Z$2488,1860,'Live Data'!$C$17)),"")</f>
        <v/>
      </c>
      <c r="G1860" s="54" t="str">
        <f>IFERROR(IF(INDEX(SPOT_Import!$A$1:$Z$2488,1860,'Live Data'!$C$18)="","",INDEX(SPOT_Import!$A$1:$Z$2488,1860,'Live Data'!$C$18)),"")</f>
        <v/>
      </c>
      <c r="H1860" s="54" t="str">
        <f>IFERROR(IF(INDEX(SPOT_Import!$A$1:$Z$2488,1860,'Live Data'!$C$19)="","",INDEX(SPOT_Import!$A$1:$Z$2488,1860,'Live Data'!$C$19)),"")</f>
        <v/>
      </c>
      <c r="I1860" s="54" t="str">
        <f>IFERROR(IF(INDEX(SPOT_Import!$A$1:$Z$2488,1860,'Live Data'!$C$20)="","",INDEX(SPOT_Import!$A$1:$Z$2488,1860,'Live Data'!$C$20)),"")</f>
        <v/>
      </c>
      <c r="J1860" s="54" t="str">
        <f>IFERROR(IF(INDEX(SPOT_Import!$A$1:$Z$2488,1860,'Live Data'!$C$21)="","",INDEX(SPOT_Import!$A$1:$Z$2488,1860,'Live Data'!$C$21)),"")</f>
        <v/>
      </c>
      <c r="K1860" s="54" t="str">
        <f>IFERROR(IF(INDEX(SPOT_Import!$A$1:$Z$2488,1860,'Live Data'!$C$22)="","",INDEX(SPOT_Import!$A$1:$Z$2488,1860,'Live Data'!$C$22)),"")</f>
        <v/>
      </c>
      <c r="L1860" s="55" t="str">
        <f t="shared" si="58"/>
        <v/>
      </c>
      <c r="M1860" s="55" t="str">
        <f t="shared" si="59"/>
        <v/>
      </c>
      <c r="N1860" s="55" t="str">
        <f>IF(A1860="","",IFERROR(INDEX('Cluster Map'!$A$4:$A$38,MATCH(M1860,'Cluster Map'!$B$4:$B$38,0)),"Unmapped"))</f>
        <v/>
      </c>
      <c r="O1860" s="55">
        <f>IF(A1860="",0,IF(COUNTIFS($A$2:A1860,A1860,$F$2:F1860,F1860,$L$2:L1860,L1860)=1,1,0))</f>
        <v>0</v>
      </c>
      <c r="P1860" s="55">
        <f>IF(A1860="",0,IF(AND(F1860="C&amp;T",COUNTIFS($A$2:A1860,A1860,$F$2:F1860,"C&amp;T")=1),1,0))</f>
        <v>0</v>
      </c>
    </row>
    <row r="1861" spans="1:16" x14ac:dyDescent="0.35">
      <c r="A1861" s="54" t="str">
        <f>IFERROR(IF(INDEX(SPOT_Import!$A$1:$Z$2488,1861,'Live Data'!$C$12)="","",INDEX(SPOT_Import!$A$1:$Z$2488,1861,'Live Data'!$C$12)),"")</f>
        <v/>
      </c>
      <c r="B1861" s="54" t="str">
        <f>IFERROR(IF(INDEX(SPOT_Import!$A$1:$Z$2488,1861,'Live Data'!$C$13)="","",INDEX(SPOT_Import!$A$1:$Z$2488,1861,'Live Data'!$C$13)),"")</f>
        <v/>
      </c>
      <c r="C1861" s="54" t="str">
        <f>IFERROR(IF(INDEX(SPOT_Import!$A$1:$Z$2488,1861,'Live Data'!$C$14)="","",INDEX(SPOT_Import!$A$1:$Z$2488,1861,'Live Data'!$C$14)),"")</f>
        <v/>
      </c>
      <c r="D1861" s="54" t="str">
        <f>IFERROR(IF(INDEX(SPOT_Import!$A$1:$Z$2488,1861,'Live Data'!$C$15)="","",INDEX(SPOT_Import!$A$1:$Z$2488,1861,'Live Data'!$C$15)),"")</f>
        <v/>
      </c>
      <c r="E1861" s="54" t="str">
        <f>IFERROR(IF(INDEX(SPOT_Import!$A$1:$Z$2488,1861,'Live Data'!$C$16)="","",INDEX(SPOT_Import!$A$1:$Z$2488,1861,'Live Data'!$C$16)),"")</f>
        <v/>
      </c>
      <c r="F1861" s="54" t="str">
        <f>IFERROR(IF(INDEX(SPOT_Import!$A$1:$Z$2488,1861,'Live Data'!$C$17)="","",INDEX(SPOT_Import!$A$1:$Z$2488,1861,'Live Data'!$C$17)),"")</f>
        <v/>
      </c>
      <c r="G1861" s="54" t="str">
        <f>IFERROR(IF(INDEX(SPOT_Import!$A$1:$Z$2488,1861,'Live Data'!$C$18)="","",INDEX(SPOT_Import!$A$1:$Z$2488,1861,'Live Data'!$C$18)),"")</f>
        <v/>
      </c>
      <c r="H1861" s="54" t="str">
        <f>IFERROR(IF(INDEX(SPOT_Import!$A$1:$Z$2488,1861,'Live Data'!$C$19)="","",INDEX(SPOT_Import!$A$1:$Z$2488,1861,'Live Data'!$C$19)),"")</f>
        <v/>
      </c>
      <c r="I1861" s="54" t="str">
        <f>IFERROR(IF(INDEX(SPOT_Import!$A$1:$Z$2488,1861,'Live Data'!$C$20)="","",INDEX(SPOT_Import!$A$1:$Z$2488,1861,'Live Data'!$C$20)),"")</f>
        <v/>
      </c>
      <c r="J1861" s="54" t="str">
        <f>IFERROR(IF(INDEX(SPOT_Import!$A$1:$Z$2488,1861,'Live Data'!$C$21)="","",INDEX(SPOT_Import!$A$1:$Z$2488,1861,'Live Data'!$C$21)),"")</f>
        <v/>
      </c>
      <c r="K1861" s="54" t="str">
        <f>IFERROR(IF(INDEX(SPOT_Import!$A$1:$Z$2488,1861,'Live Data'!$C$22)="","",INDEX(SPOT_Import!$A$1:$Z$2488,1861,'Live Data'!$C$22)),"")</f>
        <v/>
      </c>
      <c r="L1861" s="55" t="str">
        <f t="shared" si="58"/>
        <v/>
      </c>
      <c r="M1861" s="55" t="str">
        <f t="shared" si="59"/>
        <v/>
      </c>
      <c r="N1861" s="55" t="str">
        <f>IF(A1861="","",IFERROR(INDEX('Cluster Map'!$A$4:$A$38,MATCH(M1861,'Cluster Map'!$B$4:$B$38,0)),"Unmapped"))</f>
        <v/>
      </c>
      <c r="O1861" s="55">
        <f>IF(A1861="",0,IF(COUNTIFS($A$2:A1861,A1861,$F$2:F1861,F1861,$L$2:L1861,L1861)=1,1,0))</f>
        <v>0</v>
      </c>
      <c r="P1861" s="55">
        <f>IF(A1861="",0,IF(AND(F1861="C&amp;T",COUNTIFS($A$2:A1861,A1861,$F$2:F1861,"C&amp;T")=1),1,0))</f>
        <v>0</v>
      </c>
    </row>
    <row r="1862" spans="1:16" x14ac:dyDescent="0.35">
      <c r="A1862" s="54" t="str">
        <f>IFERROR(IF(INDEX(SPOT_Import!$A$1:$Z$2488,1862,'Live Data'!$C$12)="","",INDEX(SPOT_Import!$A$1:$Z$2488,1862,'Live Data'!$C$12)),"")</f>
        <v/>
      </c>
      <c r="B1862" s="54" t="str">
        <f>IFERROR(IF(INDEX(SPOT_Import!$A$1:$Z$2488,1862,'Live Data'!$C$13)="","",INDEX(SPOT_Import!$A$1:$Z$2488,1862,'Live Data'!$C$13)),"")</f>
        <v/>
      </c>
      <c r="C1862" s="54" t="str">
        <f>IFERROR(IF(INDEX(SPOT_Import!$A$1:$Z$2488,1862,'Live Data'!$C$14)="","",INDEX(SPOT_Import!$A$1:$Z$2488,1862,'Live Data'!$C$14)),"")</f>
        <v/>
      </c>
      <c r="D1862" s="54" t="str">
        <f>IFERROR(IF(INDEX(SPOT_Import!$A$1:$Z$2488,1862,'Live Data'!$C$15)="","",INDEX(SPOT_Import!$A$1:$Z$2488,1862,'Live Data'!$C$15)),"")</f>
        <v/>
      </c>
      <c r="E1862" s="54" t="str">
        <f>IFERROR(IF(INDEX(SPOT_Import!$A$1:$Z$2488,1862,'Live Data'!$C$16)="","",INDEX(SPOT_Import!$A$1:$Z$2488,1862,'Live Data'!$C$16)),"")</f>
        <v/>
      </c>
      <c r="F1862" s="54" t="str">
        <f>IFERROR(IF(INDEX(SPOT_Import!$A$1:$Z$2488,1862,'Live Data'!$C$17)="","",INDEX(SPOT_Import!$A$1:$Z$2488,1862,'Live Data'!$C$17)),"")</f>
        <v/>
      </c>
      <c r="G1862" s="54" t="str">
        <f>IFERROR(IF(INDEX(SPOT_Import!$A$1:$Z$2488,1862,'Live Data'!$C$18)="","",INDEX(SPOT_Import!$A$1:$Z$2488,1862,'Live Data'!$C$18)),"")</f>
        <v/>
      </c>
      <c r="H1862" s="54" t="str">
        <f>IFERROR(IF(INDEX(SPOT_Import!$A$1:$Z$2488,1862,'Live Data'!$C$19)="","",INDEX(SPOT_Import!$A$1:$Z$2488,1862,'Live Data'!$C$19)),"")</f>
        <v/>
      </c>
      <c r="I1862" s="54" t="str">
        <f>IFERROR(IF(INDEX(SPOT_Import!$A$1:$Z$2488,1862,'Live Data'!$C$20)="","",INDEX(SPOT_Import!$A$1:$Z$2488,1862,'Live Data'!$C$20)),"")</f>
        <v/>
      </c>
      <c r="J1862" s="54" t="str">
        <f>IFERROR(IF(INDEX(SPOT_Import!$A$1:$Z$2488,1862,'Live Data'!$C$21)="","",INDEX(SPOT_Import!$A$1:$Z$2488,1862,'Live Data'!$C$21)),"")</f>
        <v/>
      </c>
      <c r="K1862" s="54" t="str">
        <f>IFERROR(IF(INDEX(SPOT_Import!$A$1:$Z$2488,1862,'Live Data'!$C$22)="","",INDEX(SPOT_Import!$A$1:$Z$2488,1862,'Live Data'!$C$22)),"")</f>
        <v/>
      </c>
      <c r="L1862" s="55" t="str">
        <f t="shared" si="58"/>
        <v/>
      </c>
      <c r="M1862" s="55" t="str">
        <f t="shared" si="59"/>
        <v/>
      </c>
      <c r="N1862" s="55" t="str">
        <f>IF(A1862="","",IFERROR(INDEX('Cluster Map'!$A$4:$A$38,MATCH(M1862,'Cluster Map'!$B$4:$B$38,0)),"Unmapped"))</f>
        <v/>
      </c>
      <c r="O1862" s="55">
        <f>IF(A1862="",0,IF(COUNTIFS($A$2:A1862,A1862,$F$2:F1862,F1862,$L$2:L1862,L1862)=1,1,0))</f>
        <v>0</v>
      </c>
      <c r="P1862" s="55">
        <f>IF(A1862="",0,IF(AND(F1862="C&amp;T",COUNTIFS($A$2:A1862,A1862,$F$2:F1862,"C&amp;T")=1),1,0))</f>
        <v>0</v>
      </c>
    </row>
    <row r="1863" spans="1:16" x14ac:dyDescent="0.35">
      <c r="A1863" s="54" t="str">
        <f>IFERROR(IF(INDEX(SPOT_Import!$A$1:$Z$2488,1863,'Live Data'!$C$12)="","",INDEX(SPOT_Import!$A$1:$Z$2488,1863,'Live Data'!$C$12)),"")</f>
        <v/>
      </c>
      <c r="B1863" s="54" t="str">
        <f>IFERROR(IF(INDEX(SPOT_Import!$A$1:$Z$2488,1863,'Live Data'!$C$13)="","",INDEX(SPOT_Import!$A$1:$Z$2488,1863,'Live Data'!$C$13)),"")</f>
        <v/>
      </c>
      <c r="C1863" s="54" t="str">
        <f>IFERROR(IF(INDEX(SPOT_Import!$A$1:$Z$2488,1863,'Live Data'!$C$14)="","",INDEX(SPOT_Import!$A$1:$Z$2488,1863,'Live Data'!$C$14)),"")</f>
        <v/>
      </c>
      <c r="D1863" s="54" t="str">
        <f>IFERROR(IF(INDEX(SPOT_Import!$A$1:$Z$2488,1863,'Live Data'!$C$15)="","",INDEX(SPOT_Import!$A$1:$Z$2488,1863,'Live Data'!$C$15)),"")</f>
        <v/>
      </c>
      <c r="E1863" s="54" t="str">
        <f>IFERROR(IF(INDEX(SPOT_Import!$A$1:$Z$2488,1863,'Live Data'!$C$16)="","",INDEX(SPOT_Import!$A$1:$Z$2488,1863,'Live Data'!$C$16)),"")</f>
        <v/>
      </c>
      <c r="F1863" s="54" t="str">
        <f>IFERROR(IF(INDEX(SPOT_Import!$A$1:$Z$2488,1863,'Live Data'!$C$17)="","",INDEX(SPOT_Import!$A$1:$Z$2488,1863,'Live Data'!$C$17)),"")</f>
        <v/>
      </c>
      <c r="G1863" s="54" t="str">
        <f>IFERROR(IF(INDEX(SPOT_Import!$A$1:$Z$2488,1863,'Live Data'!$C$18)="","",INDEX(SPOT_Import!$A$1:$Z$2488,1863,'Live Data'!$C$18)),"")</f>
        <v/>
      </c>
      <c r="H1863" s="54" t="str">
        <f>IFERROR(IF(INDEX(SPOT_Import!$A$1:$Z$2488,1863,'Live Data'!$C$19)="","",INDEX(SPOT_Import!$A$1:$Z$2488,1863,'Live Data'!$C$19)),"")</f>
        <v/>
      </c>
      <c r="I1863" s="54" t="str">
        <f>IFERROR(IF(INDEX(SPOT_Import!$A$1:$Z$2488,1863,'Live Data'!$C$20)="","",INDEX(SPOT_Import!$A$1:$Z$2488,1863,'Live Data'!$C$20)),"")</f>
        <v/>
      </c>
      <c r="J1863" s="54" t="str">
        <f>IFERROR(IF(INDEX(SPOT_Import!$A$1:$Z$2488,1863,'Live Data'!$C$21)="","",INDEX(SPOT_Import!$A$1:$Z$2488,1863,'Live Data'!$C$21)),"")</f>
        <v/>
      </c>
      <c r="K1863" s="54" t="str">
        <f>IFERROR(IF(INDEX(SPOT_Import!$A$1:$Z$2488,1863,'Live Data'!$C$22)="","",INDEX(SPOT_Import!$A$1:$Z$2488,1863,'Live Data'!$C$22)),"")</f>
        <v/>
      </c>
      <c r="L1863" s="55" t="str">
        <f t="shared" si="58"/>
        <v/>
      </c>
      <c r="M1863" s="55" t="str">
        <f t="shared" si="59"/>
        <v/>
      </c>
      <c r="N1863" s="55" t="str">
        <f>IF(A1863="","",IFERROR(INDEX('Cluster Map'!$A$4:$A$38,MATCH(M1863,'Cluster Map'!$B$4:$B$38,0)),"Unmapped"))</f>
        <v/>
      </c>
      <c r="O1863" s="55">
        <f>IF(A1863="",0,IF(COUNTIFS($A$2:A1863,A1863,$F$2:F1863,F1863,$L$2:L1863,L1863)=1,1,0))</f>
        <v>0</v>
      </c>
      <c r="P1863" s="55">
        <f>IF(A1863="",0,IF(AND(F1863="C&amp;T",COUNTIFS($A$2:A1863,A1863,$F$2:F1863,"C&amp;T")=1),1,0))</f>
        <v>0</v>
      </c>
    </row>
    <row r="1864" spans="1:16" x14ac:dyDescent="0.35">
      <c r="A1864" s="54" t="str">
        <f>IFERROR(IF(INDEX(SPOT_Import!$A$1:$Z$2488,1864,'Live Data'!$C$12)="","",INDEX(SPOT_Import!$A$1:$Z$2488,1864,'Live Data'!$C$12)),"")</f>
        <v/>
      </c>
      <c r="B1864" s="54" t="str">
        <f>IFERROR(IF(INDEX(SPOT_Import!$A$1:$Z$2488,1864,'Live Data'!$C$13)="","",INDEX(SPOT_Import!$A$1:$Z$2488,1864,'Live Data'!$C$13)),"")</f>
        <v/>
      </c>
      <c r="C1864" s="54" t="str">
        <f>IFERROR(IF(INDEX(SPOT_Import!$A$1:$Z$2488,1864,'Live Data'!$C$14)="","",INDEX(SPOT_Import!$A$1:$Z$2488,1864,'Live Data'!$C$14)),"")</f>
        <v/>
      </c>
      <c r="D1864" s="54" t="str">
        <f>IFERROR(IF(INDEX(SPOT_Import!$A$1:$Z$2488,1864,'Live Data'!$C$15)="","",INDEX(SPOT_Import!$A$1:$Z$2488,1864,'Live Data'!$C$15)),"")</f>
        <v/>
      </c>
      <c r="E1864" s="54" t="str">
        <f>IFERROR(IF(INDEX(SPOT_Import!$A$1:$Z$2488,1864,'Live Data'!$C$16)="","",INDEX(SPOT_Import!$A$1:$Z$2488,1864,'Live Data'!$C$16)),"")</f>
        <v/>
      </c>
      <c r="F1864" s="54" t="str">
        <f>IFERROR(IF(INDEX(SPOT_Import!$A$1:$Z$2488,1864,'Live Data'!$C$17)="","",INDEX(SPOT_Import!$A$1:$Z$2488,1864,'Live Data'!$C$17)),"")</f>
        <v/>
      </c>
      <c r="G1864" s="54" t="str">
        <f>IFERROR(IF(INDEX(SPOT_Import!$A$1:$Z$2488,1864,'Live Data'!$C$18)="","",INDEX(SPOT_Import!$A$1:$Z$2488,1864,'Live Data'!$C$18)),"")</f>
        <v/>
      </c>
      <c r="H1864" s="54" t="str">
        <f>IFERROR(IF(INDEX(SPOT_Import!$A$1:$Z$2488,1864,'Live Data'!$C$19)="","",INDEX(SPOT_Import!$A$1:$Z$2488,1864,'Live Data'!$C$19)),"")</f>
        <v/>
      </c>
      <c r="I1864" s="54" t="str">
        <f>IFERROR(IF(INDEX(SPOT_Import!$A$1:$Z$2488,1864,'Live Data'!$C$20)="","",INDEX(SPOT_Import!$A$1:$Z$2488,1864,'Live Data'!$C$20)),"")</f>
        <v/>
      </c>
      <c r="J1864" s="54" t="str">
        <f>IFERROR(IF(INDEX(SPOT_Import!$A$1:$Z$2488,1864,'Live Data'!$C$21)="","",INDEX(SPOT_Import!$A$1:$Z$2488,1864,'Live Data'!$C$21)),"")</f>
        <v/>
      </c>
      <c r="K1864" s="54" t="str">
        <f>IFERROR(IF(INDEX(SPOT_Import!$A$1:$Z$2488,1864,'Live Data'!$C$22)="","",INDEX(SPOT_Import!$A$1:$Z$2488,1864,'Live Data'!$C$22)),"")</f>
        <v/>
      </c>
      <c r="L1864" s="55" t="str">
        <f t="shared" si="58"/>
        <v/>
      </c>
      <c r="M1864" s="55" t="str">
        <f t="shared" si="59"/>
        <v/>
      </c>
      <c r="N1864" s="55" t="str">
        <f>IF(A1864="","",IFERROR(INDEX('Cluster Map'!$A$4:$A$38,MATCH(M1864,'Cluster Map'!$B$4:$B$38,0)),"Unmapped"))</f>
        <v/>
      </c>
      <c r="O1864" s="55">
        <f>IF(A1864="",0,IF(COUNTIFS($A$2:A1864,A1864,$F$2:F1864,F1864,$L$2:L1864,L1864)=1,1,0))</f>
        <v>0</v>
      </c>
      <c r="P1864" s="55">
        <f>IF(A1864="",0,IF(AND(F1864="C&amp;T",COUNTIFS($A$2:A1864,A1864,$F$2:F1864,"C&amp;T")=1),1,0))</f>
        <v>0</v>
      </c>
    </row>
    <row r="1865" spans="1:16" x14ac:dyDescent="0.35">
      <c r="A1865" s="54" t="str">
        <f>IFERROR(IF(INDEX(SPOT_Import!$A$1:$Z$2488,1865,'Live Data'!$C$12)="","",INDEX(SPOT_Import!$A$1:$Z$2488,1865,'Live Data'!$C$12)),"")</f>
        <v/>
      </c>
      <c r="B1865" s="54" t="str">
        <f>IFERROR(IF(INDEX(SPOT_Import!$A$1:$Z$2488,1865,'Live Data'!$C$13)="","",INDEX(SPOT_Import!$A$1:$Z$2488,1865,'Live Data'!$C$13)),"")</f>
        <v/>
      </c>
      <c r="C1865" s="54" t="str">
        <f>IFERROR(IF(INDEX(SPOT_Import!$A$1:$Z$2488,1865,'Live Data'!$C$14)="","",INDEX(SPOT_Import!$A$1:$Z$2488,1865,'Live Data'!$C$14)),"")</f>
        <v/>
      </c>
      <c r="D1865" s="54" t="str">
        <f>IFERROR(IF(INDEX(SPOT_Import!$A$1:$Z$2488,1865,'Live Data'!$C$15)="","",INDEX(SPOT_Import!$A$1:$Z$2488,1865,'Live Data'!$C$15)),"")</f>
        <v/>
      </c>
      <c r="E1865" s="54" t="str">
        <f>IFERROR(IF(INDEX(SPOT_Import!$A$1:$Z$2488,1865,'Live Data'!$C$16)="","",INDEX(SPOT_Import!$A$1:$Z$2488,1865,'Live Data'!$C$16)),"")</f>
        <v/>
      </c>
      <c r="F1865" s="54" t="str">
        <f>IFERROR(IF(INDEX(SPOT_Import!$A$1:$Z$2488,1865,'Live Data'!$C$17)="","",INDEX(SPOT_Import!$A$1:$Z$2488,1865,'Live Data'!$C$17)),"")</f>
        <v/>
      </c>
      <c r="G1865" s="54" t="str">
        <f>IFERROR(IF(INDEX(SPOT_Import!$A$1:$Z$2488,1865,'Live Data'!$C$18)="","",INDEX(SPOT_Import!$A$1:$Z$2488,1865,'Live Data'!$C$18)),"")</f>
        <v/>
      </c>
      <c r="H1865" s="54" t="str">
        <f>IFERROR(IF(INDEX(SPOT_Import!$A$1:$Z$2488,1865,'Live Data'!$C$19)="","",INDEX(SPOT_Import!$A$1:$Z$2488,1865,'Live Data'!$C$19)),"")</f>
        <v/>
      </c>
      <c r="I1865" s="54" t="str">
        <f>IFERROR(IF(INDEX(SPOT_Import!$A$1:$Z$2488,1865,'Live Data'!$C$20)="","",INDEX(SPOT_Import!$A$1:$Z$2488,1865,'Live Data'!$C$20)),"")</f>
        <v/>
      </c>
      <c r="J1865" s="54" t="str">
        <f>IFERROR(IF(INDEX(SPOT_Import!$A$1:$Z$2488,1865,'Live Data'!$C$21)="","",INDEX(SPOT_Import!$A$1:$Z$2488,1865,'Live Data'!$C$21)),"")</f>
        <v/>
      </c>
      <c r="K1865" s="54" t="str">
        <f>IFERROR(IF(INDEX(SPOT_Import!$A$1:$Z$2488,1865,'Live Data'!$C$22)="","",INDEX(SPOT_Import!$A$1:$Z$2488,1865,'Live Data'!$C$22)),"")</f>
        <v/>
      </c>
      <c r="L1865" s="55" t="str">
        <f t="shared" si="58"/>
        <v/>
      </c>
      <c r="M1865" s="55" t="str">
        <f t="shared" si="59"/>
        <v/>
      </c>
      <c r="N1865" s="55" t="str">
        <f>IF(A1865="","",IFERROR(INDEX('Cluster Map'!$A$4:$A$38,MATCH(M1865,'Cluster Map'!$B$4:$B$38,0)),"Unmapped"))</f>
        <v/>
      </c>
      <c r="O1865" s="55">
        <f>IF(A1865="",0,IF(COUNTIFS($A$2:A1865,A1865,$F$2:F1865,F1865,$L$2:L1865,L1865)=1,1,0))</f>
        <v>0</v>
      </c>
      <c r="P1865" s="55">
        <f>IF(A1865="",0,IF(AND(F1865="C&amp;T",COUNTIFS($A$2:A1865,A1865,$F$2:F1865,"C&amp;T")=1),1,0))</f>
        <v>0</v>
      </c>
    </row>
    <row r="1866" spans="1:16" x14ac:dyDescent="0.35">
      <c r="A1866" s="54" t="str">
        <f>IFERROR(IF(INDEX(SPOT_Import!$A$1:$Z$2488,1866,'Live Data'!$C$12)="","",INDEX(SPOT_Import!$A$1:$Z$2488,1866,'Live Data'!$C$12)),"")</f>
        <v/>
      </c>
      <c r="B1866" s="54" t="str">
        <f>IFERROR(IF(INDEX(SPOT_Import!$A$1:$Z$2488,1866,'Live Data'!$C$13)="","",INDEX(SPOT_Import!$A$1:$Z$2488,1866,'Live Data'!$C$13)),"")</f>
        <v/>
      </c>
      <c r="C1866" s="54" t="str">
        <f>IFERROR(IF(INDEX(SPOT_Import!$A$1:$Z$2488,1866,'Live Data'!$C$14)="","",INDEX(SPOT_Import!$A$1:$Z$2488,1866,'Live Data'!$C$14)),"")</f>
        <v/>
      </c>
      <c r="D1866" s="54" t="str">
        <f>IFERROR(IF(INDEX(SPOT_Import!$A$1:$Z$2488,1866,'Live Data'!$C$15)="","",INDEX(SPOT_Import!$A$1:$Z$2488,1866,'Live Data'!$C$15)),"")</f>
        <v/>
      </c>
      <c r="E1866" s="54" t="str">
        <f>IFERROR(IF(INDEX(SPOT_Import!$A$1:$Z$2488,1866,'Live Data'!$C$16)="","",INDEX(SPOT_Import!$A$1:$Z$2488,1866,'Live Data'!$C$16)),"")</f>
        <v/>
      </c>
      <c r="F1866" s="54" t="str">
        <f>IFERROR(IF(INDEX(SPOT_Import!$A$1:$Z$2488,1866,'Live Data'!$C$17)="","",INDEX(SPOT_Import!$A$1:$Z$2488,1866,'Live Data'!$C$17)),"")</f>
        <v/>
      </c>
      <c r="G1866" s="54" t="str">
        <f>IFERROR(IF(INDEX(SPOT_Import!$A$1:$Z$2488,1866,'Live Data'!$C$18)="","",INDEX(SPOT_Import!$A$1:$Z$2488,1866,'Live Data'!$C$18)),"")</f>
        <v/>
      </c>
      <c r="H1866" s="54" t="str">
        <f>IFERROR(IF(INDEX(SPOT_Import!$A$1:$Z$2488,1866,'Live Data'!$C$19)="","",INDEX(SPOT_Import!$A$1:$Z$2488,1866,'Live Data'!$C$19)),"")</f>
        <v/>
      </c>
      <c r="I1866" s="54" t="str">
        <f>IFERROR(IF(INDEX(SPOT_Import!$A$1:$Z$2488,1866,'Live Data'!$C$20)="","",INDEX(SPOT_Import!$A$1:$Z$2488,1866,'Live Data'!$C$20)),"")</f>
        <v/>
      </c>
      <c r="J1866" s="54" t="str">
        <f>IFERROR(IF(INDEX(SPOT_Import!$A$1:$Z$2488,1866,'Live Data'!$C$21)="","",INDEX(SPOT_Import!$A$1:$Z$2488,1866,'Live Data'!$C$21)),"")</f>
        <v/>
      </c>
      <c r="K1866" s="54" t="str">
        <f>IFERROR(IF(INDEX(SPOT_Import!$A$1:$Z$2488,1866,'Live Data'!$C$22)="","",INDEX(SPOT_Import!$A$1:$Z$2488,1866,'Live Data'!$C$22)),"")</f>
        <v/>
      </c>
      <c r="L1866" s="55" t="str">
        <f t="shared" si="58"/>
        <v/>
      </c>
      <c r="M1866" s="55" t="str">
        <f t="shared" si="59"/>
        <v/>
      </c>
      <c r="N1866" s="55" t="str">
        <f>IF(A1866="","",IFERROR(INDEX('Cluster Map'!$A$4:$A$38,MATCH(M1866,'Cluster Map'!$B$4:$B$38,0)),"Unmapped"))</f>
        <v/>
      </c>
      <c r="O1866" s="55">
        <f>IF(A1866="",0,IF(COUNTIFS($A$2:A1866,A1866,$F$2:F1866,F1866,$L$2:L1866,L1866)=1,1,0))</f>
        <v>0</v>
      </c>
      <c r="P1866" s="55">
        <f>IF(A1866="",0,IF(AND(F1866="C&amp;T",COUNTIFS($A$2:A1866,A1866,$F$2:F1866,"C&amp;T")=1),1,0))</f>
        <v>0</v>
      </c>
    </row>
    <row r="1867" spans="1:16" x14ac:dyDescent="0.35">
      <c r="A1867" s="54" t="str">
        <f>IFERROR(IF(INDEX(SPOT_Import!$A$1:$Z$2488,1867,'Live Data'!$C$12)="","",INDEX(SPOT_Import!$A$1:$Z$2488,1867,'Live Data'!$C$12)),"")</f>
        <v/>
      </c>
      <c r="B1867" s="54" t="str">
        <f>IFERROR(IF(INDEX(SPOT_Import!$A$1:$Z$2488,1867,'Live Data'!$C$13)="","",INDEX(SPOT_Import!$A$1:$Z$2488,1867,'Live Data'!$C$13)),"")</f>
        <v/>
      </c>
      <c r="C1867" s="54" t="str">
        <f>IFERROR(IF(INDEX(SPOT_Import!$A$1:$Z$2488,1867,'Live Data'!$C$14)="","",INDEX(SPOT_Import!$A$1:$Z$2488,1867,'Live Data'!$C$14)),"")</f>
        <v/>
      </c>
      <c r="D1867" s="54" t="str">
        <f>IFERROR(IF(INDEX(SPOT_Import!$A$1:$Z$2488,1867,'Live Data'!$C$15)="","",INDEX(SPOT_Import!$A$1:$Z$2488,1867,'Live Data'!$C$15)),"")</f>
        <v/>
      </c>
      <c r="E1867" s="54" t="str">
        <f>IFERROR(IF(INDEX(SPOT_Import!$A$1:$Z$2488,1867,'Live Data'!$C$16)="","",INDEX(SPOT_Import!$A$1:$Z$2488,1867,'Live Data'!$C$16)),"")</f>
        <v/>
      </c>
      <c r="F1867" s="54" t="str">
        <f>IFERROR(IF(INDEX(SPOT_Import!$A$1:$Z$2488,1867,'Live Data'!$C$17)="","",INDEX(SPOT_Import!$A$1:$Z$2488,1867,'Live Data'!$C$17)),"")</f>
        <v/>
      </c>
      <c r="G1867" s="54" t="str">
        <f>IFERROR(IF(INDEX(SPOT_Import!$A$1:$Z$2488,1867,'Live Data'!$C$18)="","",INDEX(SPOT_Import!$A$1:$Z$2488,1867,'Live Data'!$C$18)),"")</f>
        <v/>
      </c>
      <c r="H1867" s="54" t="str">
        <f>IFERROR(IF(INDEX(SPOT_Import!$A$1:$Z$2488,1867,'Live Data'!$C$19)="","",INDEX(SPOT_Import!$A$1:$Z$2488,1867,'Live Data'!$C$19)),"")</f>
        <v/>
      </c>
      <c r="I1867" s="54" t="str">
        <f>IFERROR(IF(INDEX(SPOT_Import!$A$1:$Z$2488,1867,'Live Data'!$C$20)="","",INDEX(SPOT_Import!$A$1:$Z$2488,1867,'Live Data'!$C$20)),"")</f>
        <v/>
      </c>
      <c r="J1867" s="54" t="str">
        <f>IFERROR(IF(INDEX(SPOT_Import!$A$1:$Z$2488,1867,'Live Data'!$C$21)="","",INDEX(SPOT_Import!$A$1:$Z$2488,1867,'Live Data'!$C$21)),"")</f>
        <v/>
      </c>
      <c r="K1867" s="54" t="str">
        <f>IFERROR(IF(INDEX(SPOT_Import!$A$1:$Z$2488,1867,'Live Data'!$C$22)="","",INDEX(SPOT_Import!$A$1:$Z$2488,1867,'Live Data'!$C$22)),"")</f>
        <v/>
      </c>
      <c r="L1867" s="55" t="str">
        <f t="shared" si="58"/>
        <v/>
      </c>
      <c r="M1867" s="55" t="str">
        <f t="shared" si="59"/>
        <v/>
      </c>
      <c r="N1867" s="55" t="str">
        <f>IF(A1867="","",IFERROR(INDEX('Cluster Map'!$A$4:$A$38,MATCH(M1867,'Cluster Map'!$B$4:$B$38,0)),"Unmapped"))</f>
        <v/>
      </c>
      <c r="O1867" s="55">
        <f>IF(A1867="",0,IF(COUNTIFS($A$2:A1867,A1867,$F$2:F1867,F1867,$L$2:L1867,L1867)=1,1,0))</f>
        <v>0</v>
      </c>
      <c r="P1867" s="55">
        <f>IF(A1867="",0,IF(AND(F1867="C&amp;T",COUNTIFS($A$2:A1867,A1867,$F$2:F1867,"C&amp;T")=1),1,0))</f>
        <v>0</v>
      </c>
    </row>
    <row r="1868" spans="1:16" x14ac:dyDescent="0.35">
      <c r="A1868" s="54" t="str">
        <f>IFERROR(IF(INDEX(SPOT_Import!$A$1:$Z$2488,1868,'Live Data'!$C$12)="","",INDEX(SPOT_Import!$A$1:$Z$2488,1868,'Live Data'!$C$12)),"")</f>
        <v/>
      </c>
      <c r="B1868" s="54" t="str">
        <f>IFERROR(IF(INDEX(SPOT_Import!$A$1:$Z$2488,1868,'Live Data'!$C$13)="","",INDEX(SPOT_Import!$A$1:$Z$2488,1868,'Live Data'!$C$13)),"")</f>
        <v/>
      </c>
      <c r="C1868" s="54" t="str">
        <f>IFERROR(IF(INDEX(SPOT_Import!$A$1:$Z$2488,1868,'Live Data'!$C$14)="","",INDEX(SPOT_Import!$A$1:$Z$2488,1868,'Live Data'!$C$14)),"")</f>
        <v/>
      </c>
      <c r="D1868" s="54" t="str">
        <f>IFERROR(IF(INDEX(SPOT_Import!$A$1:$Z$2488,1868,'Live Data'!$C$15)="","",INDEX(SPOT_Import!$A$1:$Z$2488,1868,'Live Data'!$C$15)),"")</f>
        <v/>
      </c>
      <c r="E1868" s="54" t="str">
        <f>IFERROR(IF(INDEX(SPOT_Import!$A$1:$Z$2488,1868,'Live Data'!$C$16)="","",INDEX(SPOT_Import!$A$1:$Z$2488,1868,'Live Data'!$C$16)),"")</f>
        <v/>
      </c>
      <c r="F1868" s="54" t="str">
        <f>IFERROR(IF(INDEX(SPOT_Import!$A$1:$Z$2488,1868,'Live Data'!$C$17)="","",INDEX(SPOT_Import!$A$1:$Z$2488,1868,'Live Data'!$C$17)),"")</f>
        <v/>
      </c>
      <c r="G1868" s="54" t="str">
        <f>IFERROR(IF(INDEX(SPOT_Import!$A$1:$Z$2488,1868,'Live Data'!$C$18)="","",INDEX(SPOT_Import!$A$1:$Z$2488,1868,'Live Data'!$C$18)),"")</f>
        <v/>
      </c>
      <c r="H1868" s="54" t="str">
        <f>IFERROR(IF(INDEX(SPOT_Import!$A$1:$Z$2488,1868,'Live Data'!$C$19)="","",INDEX(SPOT_Import!$A$1:$Z$2488,1868,'Live Data'!$C$19)),"")</f>
        <v/>
      </c>
      <c r="I1868" s="54" t="str">
        <f>IFERROR(IF(INDEX(SPOT_Import!$A$1:$Z$2488,1868,'Live Data'!$C$20)="","",INDEX(SPOT_Import!$A$1:$Z$2488,1868,'Live Data'!$C$20)),"")</f>
        <v/>
      </c>
      <c r="J1868" s="54" t="str">
        <f>IFERROR(IF(INDEX(SPOT_Import!$A$1:$Z$2488,1868,'Live Data'!$C$21)="","",INDEX(SPOT_Import!$A$1:$Z$2488,1868,'Live Data'!$C$21)),"")</f>
        <v/>
      </c>
      <c r="K1868" s="54" t="str">
        <f>IFERROR(IF(INDEX(SPOT_Import!$A$1:$Z$2488,1868,'Live Data'!$C$22)="","",INDEX(SPOT_Import!$A$1:$Z$2488,1868,'Live Data'!$C$22)),"")</f>
        <v/>
      </c>
      <c r="L1868" s="55" t="str">
        <f t="shared" si="58"/>
        <v/>
      </c>
      <c r="M1868" s="55" t="str">
        <f t="shared" si="59"/>
        <v/>
      </c>
      <c r="N1868" s="55" t="str">
        <f>IF(A1868="","",IFERROR(INDEX('Cluster Map'!$A$4:$A$38,MATCH(M1868,'Cluster Map'!$B$4:$B$38,0)),"Unmapped"))</f>
        <v/>
      </c>
      <c r="O1868" s="55">
        <f>IF(A1868="",0,IF(COUNTIFS($A$2:A1868,A1868,$F$2:F1868,F1868,$L$2:L1868,L1868)=1,1,0))</f>
        <v>0</v>
      </c>
      <c r="P1868" s="55">
        <f>IF(A1868="",0,IF(AND(F1868="C&amp;T",COUNTIFS($A$2:A1868,A1868,$F$2:F1868,"C&amp;T")=1),1,0))</f>
        <v>0</v>
      </c>
    </row>
    <row r="1869" spans="1:16" x14ac:dyDescent="0.35">
      <c r="A1869" s="54" t="str">
        <f>IFERROR(IF(INDEX(SPOT_Import!$A$1:$Z$2488,1869,'Live Data'!$C$12)="","",INDEX(SPOT_Import!$A$1:$Z$2488,1869,'Live Data'!$C$12)),"")</f>
        <v/>
      </c>
      <c r="B1869" s="54" t="str">
        <f>IFERROR(IF(INDEX(SPOT_Import!$A$1:$Z$2488,1869,'Live Data'!$C$13)="","",INDEX(SPOT_Import!$A$1:$Z$2488,1869,'Live Data'!$C$13)),"")</f>
        <v/>
      </c>
      <c r="C1869" s="54" t="str">
        <f>IFERROR(IF(INDEX(SPOT_Import!$A$1:$Z$2488,1869,'Live Data'!$C$14)="","",INDEX(SPOT_Import!$A$1:$Z$2488,1869,'Live Data'!$C$14)),"")</f>
        <v/>
      </c>
      <c r="D1869" s="54" t="str">
        <f>IFERROR(IF(INDEX(SPOT_Import!$A$1:$Z$2488,1869,'Live Data'!$C$15)="","",INDEX(SPOT_Import!$A$1:$Z$2488,1869,'Live Data'!$C$15)),"")</f>
        <v/>
      </c>
      <c r="E1869" s="54" t="str">
        <f>IFERROR(IF(INDEX(SPOT_Import!$A$1:$Z$2488,1869,'Live Data'!$C$16)="","",INDEX(SPOT_Import!$A$1:$Z$2488,1869,'Live Data'!$C$16)),"")</f>
        <v/>
      </c>
      <c r="F1869" s="54" t="str">
        <f>IFERROR(IF(INDEX(SPOT_Import!$A$1:$Z$2488,1869,'Live Data'!$C$17)="","",INDEX(SPOT_Import!$A$1:$Z$2488,1869,'Live Data'!$C$17)),"")</f>
        <v/>
      </c>
      <c r="G1869" s="54" t="str">
        <f>IFERROR(IF(INDEX(SPOT_Import!$A$1:$Z$2488,1869,'Live Data'!$C$18)="","",INDEX(SPOT_Import!$A$1:$Z$2488,1869,'Live Data'!$C$18)),"")</f>
        <v/>
      </c>
      <c r="H1869" s="54" t="str">
        <f>IFERROR(IF(INDEX(SPOT_Import!$A$1:$Z$2488,1869,'Live Data'!$C$19)="","",INDEX(SPOT_Import!$A$1:$Z$2488,1869,'Live Data'!$C$19)),"")</f>
        <v/>
      </c>
      <c r="I1869" s="54" t="str">
        <f>IFERROR(IF(INDEX(SPOT_Import!$A$1:$Z$2488,1869,'Live Data'!$C$20)="","",INDEX(SPOT_Import!$A$1:$Z$2488,1869,'Live Data'!$C$20)),"")</f>
        <v/>
      </c>
      <c r="J1869" s="54" t="str">
        <f>IFERROR(IF(INDEX(SPOT_Import!$A$1:$Z$2488,1869,'Live Data'!$C$21)="","",INDEX(SPOT_Import!$A$1:$Z$2488,1869,'Live Data'!$C$21)),"")</f>
        <v/>
      </c>
      <c r="K1869" s="54" t="str">
        <f>IFERROR(IF(INDEX(SPOT_Import!$A$1:$Z$2488,1869,'Live Data'!$C$22)="","",INDEX(SPOT_Import!$A$1:$Z$2488,1869,'Live Data'!$C$22)),"")</f>
        <v/>
      </c>
      <c r="L1869" s="55" t="str">
        <f t="shared" si="58"/>
        <v/>
      </c>
      <c r="M1869" s="55" t="str">
        <f t="shared" si="59"/>
        <v/>
      </c>
      <c r="N1869" s="55" t="str">
        <f>IF(A1869="","",IFERROR(INDEX('Cluster Map'!$A$4:$A$38,MATCH(M1869,'Cluster Map'!$B$4:$B$38,0)),"Unmapped"))</f>
        <v/>
      </c>
      <c r="O1869" s="55">
        <f>IF(A1869="",0,IF(COUNTIFS($A$2:A1869,A1869,$F$2:F1869,F1869,$L$2:L1869,L1869)=1,1,0))</f>
        <v>0</v>
      </c>
      <c r="P1869" s="55">
        <f>IF(A1869="",0,IF(AND(F1869="C&amp;T",COUNTIFS($A$2:A1869,A1869,$F$2:F1869,"C&amp;T")=1),1,0))</f>
        <v>0</v>
      </c>
    </row>
    <row r="1870" spans="1:16" x14ac:dyDescent="0.35">
      <c r="A1870" s="54" t="str">
        <f>IFERROR(IF(INDEX(SPOT_Import!$A$1:$Z$2488,1870,'Live Data'!$C$12)="","",INDEX(SPOT_Import!$A$1:$Z$2488,1870,'Live Data'!$C$12)),"")</f>
        <v/>
      </c>
      <c r="B1870" s="54" t="str">
        <f>IFERROR(IF(INDEX(SPOT_Import!$A$1:$Z$2488,1870,'Live Data'!$C$13)="","",INDEX(SPOT_Import!$A$1:$Z$2488,1870,'Live Data'!$C$13)),"")</f>
        <v/>
      </c>
      <c r="C1870" s="54" t="str">
        <f>IFERROR(IF(INDEX(SPOT_Import!$A$1:$Z$2488,1870,'Live Data'!$C$14)="","",INDEX(SPOT_Import!$A$1:$Z$2488,1870,'Live Data'!$C$14)),"")</f>
        <v/>
      </c>
      <c r="D1870" s="54" t="str">
        <f>IFERROR(IF(INDEX(SPOT_Import!$A$1:$Z$2488,1870,'Live Data'!$C$15)="","",INDEX(SPOT_Import!$A$1:$Z$2488,1870,'Live Data'!$C$15)),"")</f>
        <v/>
      </c>
      <c r="E1870" s="54" t="str">
        <f>IFERROR(IF(INDEX(SPOT_Import!$A$1:$Z$2488,1870,'Live Data'!$C$16)="","",INDEX(SPOT_Import!$A$1:$Z$2488,1870,'Live Data'!$C$16)),"")</f>
        <v/>
      </c>
      <c r="F1870" s="54" t="str">
        <f>IFERROR(IF(INDEX(SPOT_Import!$A$1:$Z$2488,1870,'Live Data'!$C$17)="","",INDEX(SPOT_Import!$A$1:$Z$2488,1870,'Live Data'!$C$17)),"")</f>
        <v/>
      </c>
      <c r="G1870" s="54" t="str">
        <f>IFERROR(IF(INDEX(SPOT_Import!$A$1:$Z$2488,1870,'Live Data'!$C$18)="","",INDEX(SPOT_Import!$A$1:$Z$2488,1870,'Live Data'!$C$18)),"")</f>
        <v/>
      </c>
      <c r="H1870" s="54" t="str">
        <f>IFERROR(IF(INDEX(SPOT_Import!$A$1:$Z$2488,1870,'Live Data'!$C$19)="","",INDEX(SPOT_Import!$A$1:$Z$2488,1870,'Live Data'!$C$19)),"")</f>
        <v/>
      </c>
      <c r="I1870" s="54" t="str">
        <f>IFERROR(IF(INDEX(SPOT_Import!$A$1:$Z$2488,1870,'Live Data'!$C$20)="","",INDEX(SPOT_Import!$A$1:$Z$2488,1870,'Live Data'!$C$20)),"")</f>
        <v/>
      </c>
      <c r="J1870" s="54" t="str">
        <f>IFERROR(IF(INDEX(SPOT_Import!$A$1:$Z$2488,1870,'Live Data'!$C$21)="","",INDEX(SPOT_Import!$A$1:$Z$2488,1870,'Live Data'!$C$21)),"")</f>
        <v/>
      </c>
      <c r="K1870" s="54" t="str">
        <f>IFERROR(IF(INDEX(SPOT_Import!$A$1:$Z$2488,1870,'Live Data'!$C$22)="","",INDEX(SPOT_Import!$A$1:$Z$2488,1870,'Live Data'!$C$22)),"")</f>
        <v/>
      </c>
      <c r="L1870" s="55" t="str">
        <f t="shared" si="58"/>
        <v/>
      </c>
      <c r="M1870" s="55" t="str">
        <f t="shared" si="59"/>
        <v/>
      </c>
      <c r="N1870" s="55" t="str">
        <f>IF(A1870="","",IFERROR(INDEX('Cluster Map'!$A$4:$A$38,MATCH(M1870,'Cluster Map'!$B$4:$B$38,0)),"Unmapped"))</f>
        <v/>
      </c>
      <c r="O1870" s="55">
        <f>IF(A1870="",0,IF(COUNTIFS($A$2:A1870,A1870,$F$2:F1870,F1870,$L$2:L1870,L1870)=1,1,0))</f>
        <v>0</v>
      </c>
      <c r="P1870" s="55">
        <f>IF(A1870="",0,IF(AND(F1870="C&amp;T",COUNTIFS($A$2:A1870,A1870,$F$2:F1870,"C&amp;T")=1),1,0))</f>
        <v>0</v>
      </c>
    </row>
    <row r="1871" spans="1:16" x14ac:dyDescent="0.35">
      <c r="A1871" s="54" t="str">
        <f>IFERROR(IF(INDEX(SPOT_Import!$A$1:$Z$2488,1871,'Live Data'!$C$12)="","",INDEX(SPOT_Import!$A$1:$Z$2488,1871,'Live Data'!$C$12)),"")</f>
        <v/>
      </c>
      <c r="B1871" s="54" t="str">
        <f>IFERROR(IF(INDEX(SPOT_Import!$A$1:$Z$2488,1871,'Live Data'!$C$13)="","",INDEX(SPOT_Import!$A$1:$Z$2488,1871,'Live Data'!$C$13)),"")</f>
        <v/>
      </c>
      <c r="C1871" s="54" t="str">
        <f>IFERROR(IF(INDEX(SPOT_Import!$A$1:$Z$2488,1871,'Live Data'!$C$14)="","",INDEX(SPOT_Import!$A$1:$Z$2488,1871,'Live Data'!$C$14)),"")</f>
        <v/>
      </c>
      <c r="D1871" s="54" t="str">
        <f>IFERROR(IF(INDEX(SPOT_Import!$A$1:$Z$2488,1871,'Live Data'!$C$15)="","",INDEX(SPOT_Import!$A$1:$Z$2488,1871,'Live Data'!$C$15)),"")</f>
        <v/>
      </c>
      <c r="E1871" s="54" t="str">
        <f>IFERROR(IF(INDEX(SPOT_Import!$A$1:$Z$2488,1871,'Live Data'!$C$16)="","",INDEX(SPOT_Import!$A$1:$Z$2488,1871,'Live Data'!$C$16)),"")</f>
        <v/>
      </c>
      <c r="F1871" s="54" t="str">
        <f>IFERROR(IF(INDEX(SPOT_Import!$A$1:$Z$2488,1871,'Live Data'!$C$17)="","",INDEX(SPOT_Import!$A$1:$Z$2488,1871,'Live Data'!$C$17)),"")</f>
        <v/>
      </c>
      <c r="G1871" s="54" t="str">
        <f>IFERROR(IF(INDEX(SPOT_Import!$A$1:$Z$2488,1871,'Live Data'!$C$18)="","",INDEX(SPOT_Import!$A$1:$Z$2488,1871,'Live Data'!$C$18)),"")</f>
        <v/>
      </c>
      <c r="H1871" s="54" t="str">
        <f>IFERROR(IF(INDEX(SPOT_Import!$A$1:$Z$2488,1871,'Live Data'!$C$19)="","",INDEX(SPOT_Import!$A$1:$Z$2488,1871,'Live Data'!$C$19)),"")</f>
        <v/>
      </c>
      <c r="I1871" s="54" t="str">
        <f>IFERROR(IF(INDEX(SPOT_Import!$A$1:$Z$2488,1871,'Live Data'!$C$20)="","",INDEX(SPOT_Import!$A$1:$Z$2488,1871,'Live Data'!$C$20)),"")</f>
        <v/>
      </c>
      <c r="J1871" s="54" t="str">
        <f>IFERROR(IF(INDEX(SPOT_Import!$A$1:$Z$2488,1871,'Live Data'!$C$21)="","",INDEX(SPOT_Import!$A$1:$Z$2488,1871,'Live Data'!$C$21)),"")</f>
        <v/>
      </c>
      <c r="K1871" s="54" t="str">
        <f>IFERROR(IF(INDEX(SPOT_Import!$A$1:$Z$2488,1871,'Live Data'!$C$22)="","",INDEX(SPOT_Import!$A$1:$Z$2488,1871,'Live Data'!$C$22)),"")</f>
        <v/>
      </c>
      <c r="L1871" s="55" t="str">
        <f t="shared" si="58"/>
        <v/>
      </c>
      <c r="M1871" s="55" t="str">
        <f t="shared" si="59"/>
        <v/>
      </c>
      <c r="N1871" s="55" t="str">
        <f>IF(A1871="","",IFERROR(INDEX('Cluster Map'!$A$4:$A$38,MATCH(M1871,'Cluster Map'!$B$4:$B$38,0)),"Unmapped"))</f>
        <v/>
      </c>
      <c r="O1871" s="55">
        <f>IF(A1871="",0,IF(COUNTIFS($A$2:A1871,A1871,$F$2:F1871,F1871,$L$2:L1871,L1871)=1,1,0))</f>
        <v>0</v>
      </c>
      <c r="P1871" s="55">
        <f>IF(A1871="",0,IF(AND(F1871="C&amp;T",COUNTIFS($A$2:A1871,A1871,$F$2:F1871,"C&amp;T")=1),1,0))</f>
        <v>0</v>
      </c>
    </row>
    <row r="1872" spans="1:16" x14ac:dyDescent="0.35">
      <c r="A1872" s="54" t="str">
        <f>IFERROR(IF(INDEX(SPOT_Import!$A$1:$Z$2488,1872,'Live Data'!$C$12)="","",INDEX(SPOT_Import!$A$1:$Z$2488,1872,'Live Data'!$C$12)),"")</f>
        <v/>
      </c>
      <c r="B1872" s="54" t="str">
        <f>IFERROR(IF(INDEX(SPOT_Import!$A$1:$Z$2488,1872,'Live Data'!$C$13)="","",INDEX(SPOT_Import!$A$1:$Z$2488,1872,'Live Data'!$C$13)),"")</f>
        <v/>
      </c>
      <c r="C1872" s="54" t="str">
        <f>IFERROR(IF(INDEX(SPOT_Import!$A$1:$Z$2488,1872,'Live Data'!$C$14)="","",INDEX(SPOT_Import!$A$1:$Z$2488,1872,'Live Data'!$C$14)),"")</f>
        <v/>
      </c>
      <c r="D1872" s="54" t="str">
        <f>IFERROR(IF(INDEX(SPOT_Import!$A$1:$Z$2488,1872,'Live Data'!$C$15)="","",INDEX(SPOT_Import!$A$1:$Z$2488,1872,'Live Data'!$C$15)),"")</f>
        <v/>
      </c>
      <c r="E1872" s="54" t="str">
        <f>IFERROR(IF(INDEX(SPOT_Import!$A$1:$Z$2488,1872,'Live Data'!$C$16)="","",INDEX(SPOT_Import!$A$1:$Z$2488,1872,'Live Data'!$C$16)),"")</f>
        <v/>
      </c>
      <c r="F1872" s="54" t="str">
        <f>IFERROR(IF(INDEX(SPOT_Import!$A$1:$Z$2488,1872,'Live Data'!$C$17)="","",INDEX(SPOT_Import!$A$1:$Z$2488,1872,'Live Data'!$C$17)),"")</f>
        <v/>
      </c>
      <c r="G1872" s="54" t="str">
        <f>IFERROR(IF(INDEX(SPOT_Import!$A$1:$Z$2488,1872,'Live Data'!$C$18)="","",INDEX(SPOT_Import!$A$1:$Z$2488,1872,'Live Data'!$C$18)),"")</f>
        <v/>
      </c>
      <c r="H1872" s="54" t="str">
        <f>IFERROR(IF(INDEX(SPOT_Import!$A$1:$Z$2488,1872,'Live Data'!$C$19)="","",INDEX(SPOT_Import!$A$1:$Z$2488,1872,'Live Data'!$C$19)),"")</f>
        <v/>
      </c>
      <c r="I1872" s="54" t="str">
        <f>IFERROR(IF(INDEX(SPOT_Import!$A$1:$Z$2488,1872,'Live Data'!$C$20)="","",INDEX(SPOT_Import!$A$1:$Z$2488,1872,'Live Data'!$C$20)),"")</f>
        <v/>
      </c>
      <c r="J1872" s="54" t="str">
        <f>IFERROR(IF(INDEX(SPOT_Import!$A$1:$Z$2488,1872,'Live Data'!$C$21)="","",INDEX(SPOT_Import!$A$1:$Z$2488,1872,'Live Data'!$C$21)),"")</f>
        <v/>
      </c>
      <c r="K1872" s="54" t="str">
        <f>IFERROR(IF(INDEX(SPOT_Import!$A$1:$Z$2488,1872,'Live Data'!$C$22)="","",INDEX(SPOT_Import!$A$1:$Z$2488,1872,'Live Data'!$C$22)),"")</f>
        <v/>
      </c>
      <c r="L1872" s="55" t="str">
        <f t="shared" si="58"/>
        <v/>
      </c>
      <c r="M1872" s="55" t="str">
        <f t="shared" si="59"/>
        <v/>
      </c>
      <c r="N1872" s="55" t="str">
        <f>IF(A1872="","",IFERROR(INDEX('Cluster Map'!$A$4:$A$38,MATCH(M1872,'Cluster Map'!$B$4:$B$38,0)),"Unmapped"))</f>
        <v/>
      </c>
      <c r="O1872" s="55">
        <f>IF(A1872="",0,IF(COUNTIFS($A$2:A1872,A1872,$F$2:F1872,F1872,$L$2:L1872,L1872)=1,1,0))</f>
        <v>0</v>
      </c>
      <c r="P1872" s="55">
        <f>IF(A1872="",0,IF(AND(F1872="C&amp;T",COUNTIFS($A$2:A1872,A1872,$F$2:F1872,"C&amp;T")=1),1,0))</f>
        <v>0</v>
      </c>
    </row>
    <row r="1873" spans="1:16" x14ac:dyDescent="0.35">
      <c r="A1873" s="54" t="str">
        <f>IFERROR(IF(INDEX(SPOT_Import!$A$1:$Z$2488,1873,'Live Data'!$C$12)="","",INDEX(SPOT_Import!$A$1:$Z$2488,1873,'Live Data'!$C$12)),"")</f>
        <v/>
      </c>
      <c r="B1873" s="54" t="str">
        <f>IFERROR(IF(INDEX(SPOT_Import!$A$1:$Z$2488,1873,'Live Data'!$C$13)="","",INDEX(SPOT_Import!$A$1:$Z$2488,1873,'Live Data'!$C$13)),"")</f>
        <v/>
      </c>
      <c r="C1873" s="54" t="str">
        <f>IFERROR(IF(INDEX(SPOT_Import!$A$1:$Z$2488,1873,'Live Data'!$C$14)="","",INDEX(SPOT_Import!$A$1:$Z$2488,1873,'Live Data'!$C$14)),"")</f>
        <v/>
      </c>
      <c r="D1873" s="54" t="str">
        <f>IFERROR(IF(INDEX(SPOT_Import!$A$1:$Z$2488,1873,'Live Data'!$C$15)="","",INDEX(SPOT_Import!$A$1:$Z$2488,1873,'Live Data'!$C$15)),"")</f>
        <v/>
      </c>
      <c r="E1873" s="54" t="str">
        <f>IFERROR(IF(INDEX(SPOT_Import!$A$1:$Z$2488,1873,'Live Data'!$C$16)="","",INDEX(SPOT_Import!$A$1:$Z$2488,1873,'Live Data'!$C$16)),"")</f>
        <v/>
      </c>
      <c r="F1873" s="54" t="str">
        <f>IFERROR(IF(INDEX(SPOT_Import!$A$1:$Z$2488,1873,'Live Data'!$C$17)="","",INDEX(SPOT_Import!$A$1:$Z$2488,1873,'Live Data'!$C$17)),"")</f>
        <v/>
      </c>
      <c r="G1873" s="54" t="str">
        <f>IFERROR(IF(INDEX(SPOT_Import!$A$1:$Z$2488,1873,'Live Data'!$C$18)="","",INDEX(SPOT_Import!$A$1:$Z$2488,1873,'Live Data'!$C$18)),"")</f>
        <v/>
      </c>
      <c r="H1873" s="54" t="str">
        <f>IFERROR(IF(INDEX(SPOT_Import!$A$1:$Z$2488,1873,'Live Data'!$C$19)="","",INDEX(SPOT_Import!$A$1:$Z$2488,1873,'Live Data'!$C$19)),"")</f>
        <v/>
      </c>
      <c r="I1873" s="54" t="str">
        <f>IFERROR(IF(INDEX(SPOT_Import!$A$1:$Z$2488,1873,'Live Data'!$C$20)="","",INDEX(SPOT_Import!$A$1:$Z$2488,1873,'Live Data'!$C$20)),"")</f>
        <v/>
      </c>
      <c r="J1873" s="54" t="str">
        <f>IFERROR(IF(INDEX(SPOT_Import!$A$1:$Z$2488,1873,'Live Data'!$C$21)="","",INDEX(SPOT_Import!$A$1:$Z$2488,1873,'Live Data'!$C$21)),"")</f>
        <v/>
      </c>
      <c r="K1873" s="54" t="str">
        <f>IFERROR(IF(INDEX(SPOT_Import!$A$1:$Z$2488,1873,'Live Data'!$C$22)="","",INDEX(SPOT_Import!$A$1:$Z$2488,1873,'Live Data'!$C$22)),"")</f>
        <v/>
      </c>
      <c r="L1873" s="55" t="str">
        <f t="shared" si="58"/>
        <v/>
      </c>
      <c r="M1873" s="55" t="str">
        <f t="shared" si="59"/>
        <v/>
      </c>
      <c r="N1873" s="55" t="str">
        <f>IF(A1873="","",IFERROR(INDEX('Cluster Map'!$A$4:$A$38,MATCH(M1873,'Cluster Map'!$B$4:$B$38,0)),"Unmapped"))</f>
        <v/>
      </c>
      <c r="O1873" s="55">
        <f>IF(A1873="",0,IF(COUNTIFS($A$2:A1873,A1873,$F$2:F1873,F1873,$L$2:L1873,L1873)=1,1,0))</f>
        <v>0</v>
      </c>
      <c r="P1873" s="55">
        <f>IF(A1873="",0,IF(AND(F1873="C&amp;T",COUNTIFS($A$2:A1873,A1873,$F$2:F1873,"C&amp;T")=1),1,0))</f>
        <v>0</v>
      </c>
    </row>
    <row r="1874" spans="1:16" x14ac:dyDescent="0.35">
      <c r="A1874" s="54" t="str">
        <f>IFERROR(IF(INDEX(SPOT_Import!$A$1:$Z$2488,1874,'Live Data'!$C$12)="","",INDEX(SPOT_Import!$A$1:$Z$2488,1874,'Live Data'!$C$12)),"")</f>
        <v/>
      </c>
      <c r="B1874" s="54" t="str">
        <f>IFERROR(IF(INDEX(SPOT_Import!$A$1:$Z$2488,1874,'Live Data'!$C$13)="","",INDEX(SPOT_Import!$A$1:$Z$2488,1874,'Live Data'!$C$13)),"")</f>
        <v/>
      </c>
      <c r="C1874" s="54" t="str">
        <f>IFERROR(IF(INDEX(SPOT_Import!$A$1:$Z$2488,1874,'Live Data'!$C$14)="","",INDEX(SPOT_Import!$A$1:$Z$2488,1874,'Live Data'!$C$14)),"")</f>
        <v/>
      </c>
      <c r="D1874" s="54" t="str">
        <f>IFERROR(IF(INDEX(SPOT_Import!$A$1:$Z$2488,1874,'Live Data'!$C$15)="","",INDEX(SPOT_Import!$A$1:$Z$2488,1874,'Live Data'!$C$15)),"")</f>
        <v/>
      </c>
      <c r="E1874" s="54" t="str">
        <f>IFERROR(IF(INDEX(SPOT_Import!$A$1:$Z$2488,1874,'Live Data'!$C$16)="","",INDEX(SPOT_Import!$A$1:$Z$2488,1874,'Live Data'!$C$16)),"")</f>
        <v/>
      </c>
      <c r="F1874" s="54" t="str">
        <f>IFERROR(IF(INDEX(SPOT_Import!$A$1:$Z$2488,1874,'Live Data'!$C$17)="","",INDEX(SPOT_Import!$A$1:$Z$2488,1874,'Live Data'!$C$17)),"")</f>
        <v/>
      </c>
      <c r="G1874" s="54" t="str">
        <f>IFERROR(IF(INDEX(SPOT_Import!$A$1:$Z$2488,1874,'Live Data'!$C$18)="","",INDEX(SPOT_Import!$A$1:$Z$2488,1874,'Live Data'!$C$18)),"")</f>
        <v/>
      </c>
      <c r="H1874" s="54" t="str">
        <f>IFERROR(IF(INDEX(SPOT_Import!$A$1:$Z$2488,1874,'Live Data'!$C$19)="","",INDEX(SPOT_Import!$A$1:$Z$2488,1874,'Live Data'!$C$19)),"")</f>
        <v/>
      </c>
      <c r="I1874" s="54" t="str">
        <f>IFERROR(IF(INDEX(SPOT_Import!$A$1:$Z$2488,1874,'Live Data'!$C$20)="","",INDEX(SPOT_Import!$A$1:$Z$2488,1874,'Live Data'!$C$20)),"")</f>
        <v/>
      </c>
      <c r="J1874" s="54" t="str">
        <f>IFERROR(IF(INDEX(SPOT_Import!$A$1:$Z$2488,1874,'Live Data'!$C$21)="","",INDEX(SPOT_Import!$A$1:$Z$2488,1874,'Live Data'!$C$21)),"")</f>
        <v/>
      </c>
      <c r="K1874" s="54" t="str">
        <f>IFERROR(IF(INDEX(SPOT_Import!$A$1:$Z$2488,1874,'Live Data'!$C$22)="","",INDEX(SPOT_Import!$A$1:$Z$2488,1874,'Live Data'!$C$22)),"")</f>
        <v/>
      </c>
      <c r="L1874" s="55" t="str">
        <f t="shared" si="58"/>
        <v/>
      </c>
      <c r="M1874" s="55" t="str">
        <f t="shared" si="59"/>
        <v/>
      </c>
      <c r="N1874" s="55" t="str">
        <f>IF(A1874="","",IFERROR(INDEX('Cluster Map'!$A$4:$A$38,MATCH(M1874,'Cluster Map'!$B$4:$B$38,0)),"Unmapped"))</f>
        <v/>
      </c>
      <c r="O1874" s="55">
        <f>IF(A1874="",0,IF(COUNTIFS($A$2:A1874,A1874,$F$2:F1874,F1874,$L$2:L1874,L1874)=1,1,0))</f>
        <v>0</v>
      </c>
      <c r="P1874" s="55">
        <f>IF(A1874="",0,IF(AND(F1874="C&amp;T",COUNTIFS($A$2:A1874,A1874,$F$2:F1874,"C&amp;T")=1),1,0))</f>
        <v>0</v>
      </c>
    </row>
    <row r="1875" spans="1:16" x14ac:dyDescent="0.35">
      <c r="A1875" s="54" t="str">
        <f>IFERROR(IF(INDEX(SPOT_Import!$A$1:$Z$2488,1875,'Live Data'!$C$12)="","",INDEX(SPOT_Import!$A$1:$Z$2488,1875,'Live Data'!$C$12)),"")</f>
        <v/>
      </c>
      <c r="B1875" s="54" t="str">
        <f>IFERROR(IF(INDEX(SPOT_Import!$A$1:$Z$2488,1875,'Live Data'!$C$13)="","",INDEX(SPOT_Import!$A$1:$Z$2488,1875,'Live Data'!$C$13)),"")</f>
        <v/>
      </c>
      <c r="C1875" s="54" t="str">
        <f>IFERROR(IF(INDEX(SPOT_Import!$A$1:$Z$2488,1875,'Live Data'!$C$14)="","",INDEX(SPOT_Import!$A$1:$Z$2488,1875,'Live Data'!$C$14)),"")</f>
        <v/>
      </c>
      <c r="D1875" s="54" t="str">
        <f>IFERROR(IF(INDEX(SPOT_Import!$A$1:$Z$2488,1875,'Live Data'!$C$15)="","",INDEX(SPOT_Import!$A$1:$Z$2488,1875,'Live Data'!$C$15)),"")</f>
        <v/>
      </c>
      <c r="E1875" s="54" t="str">
        <f>IFERROR(IF(INDEX(SPOT_Import!$A$1:$Z$2488,1875,'Live Data'!$C$16)="","",INDEX(SPOT_Import!$A$1:$Z$2488,1875,'Live Data'!$C$16)),"")</f>
        <v/>
      </c>
      <c r="F1875" s="54" t="str">
        <f>IFERROR(IF(INDEX(SPOT_Import!$A$1:$Z$2488,1875,'Live Data'!$C$17)="","",INDEX(SPOT_Import!$A$1:$Z$2488,1875,'Live Data'!$C$17)),"")</f>
        <v/>
      </c>
      <c r="G1875" s="54" t="str">
        <f>IFERROR(IF(INDEX(SPOT_Import!$A$1:$Z$2488,1875,'Live Data'!$C$18)="","",INDEX(SPOT_Import!$A$1:$Z$2488,1875,'Live Data'!$C$18)),"")</f>
        <v/>
      </c>
      <c r="H1875" s="54" t="str">
        <f>IFERROR(IF(INDEX(SPOT_Import!$A$1:$Z$2488,1875,'Live Data'!$C$19)="","",INDEX(SPOT_Import!$A$1:$Z$2488,1875,'Live Data'!$C$19)),"")</f>
        <v/>
      </c>
      <c r="I1875" s="54" t="str">
        <f>IFERROR(IF(INDEX(SPOT_Import!$A$1:$Z$2488,1875,'Live Data'!$C$20)="","",INDEX(SPOT_Import!$A$1:$Z$2488,1875,'Live Data'!$C$20)),"")</f>
        <v/>
      </c>
      <c r="J1875" s="54" t="str">
        <f>IFERROR(IF(INDEX(SPOT_Import!$A$1:$Z$2488,1875,'Live Data'!$C$21)="","",INDEX(SPOT_Import!$A$1:$Z$2488,1875,'Live Data'!$C$21)),"")</f>
        <v/>
      </c>
      <c r="K1875" s="54" t="str">
        <f>IFERROR(IF(INDEX(SPOT_Import!$A$1:$Z$2488,1875,'Live Data'!$C$22)="","",INDEX(SPOT_Import!$A$1:$Z$2488,1875,'Live Data'!$C$22)),"")</f>
        <v/>
      </c>
      <c r="L1875" s="55" t="str">
        <f t="shared" si="58"/>
        <v/>
      </c>
      <c r="M1875" s="55" t="str">
        <f t="shared" si="59"/>
        <v/>
      </c>
      <c r="N1875" s="55" t="str">
        <f>IF(A1875="","",IFERROR(INDEX('Cluster Map'!$A$4:$A$38,MATCH(M1875,'Cluster Map'!$B$4:$B$38,0)),"Unmapped"))</f>
        <v/>
      </c>
      <c r="O1875" s="55">
        <f>IF(A1875="",0,IF(COUNTIFS($A$2:A1875,A1875,$F$2:F1875,F1875,$L$2:L1875,L1875)=1,1,0))</f>
        <v>0</v>
      </c>
      <c r="P1875" s="55">
        <f>IF(A1875="",0,IF(AND(F1875="C&amp;T",COUNTIFS($A$2:A1875,A1875,$F$2:F1875,"C&amp;T")=1),1,0))</f>
        <v>0</v>
      </c>
    </row>
    <row r="1876" spans="1:16" x14ac:dyDescent="0.35">
      <c r="A1876" s="54" t="str">
        <f>IFERROR(IF(INDEX(SPOT_Import!$A$1:$Z$2488,1876,'Live Data'!$C$12)="","",INDEX(SPOT_Import!$A$1:$Z$2488,1876,'Live Data'!$C$12)),"")</f>
        <v/>
      </c>
      <c r="B1876" s="54" t="str">
        <f>IFERROR(IF(INDEX(SPOT_Import!$A$1:$Z$2488,1876,'Live Data'!$C$13)="","",INDEX(SPOT_Import!$A$1:$Z$2488,1876,'Live Data'!$C$13)),"")</f>
        <v/>
      </c>
      <c r="C1876" s="54" t="str">
        <f>IFERROR(IF(INDEX(SPOT_Import!$A$1:$Z$2488,1876,'Live Data'!$C$14)="","",INDEX(SPOT_Import!$A$1:$Z$2488,1876,'Live Data'!$C$14)),"")</f>
        <v/>
      </c>
      <c r="D1876" s="54" t="str">
        <f>IFERROR(IF(INDEX(SPOT_Import!$A$1:$Z$2488,1876,'Live Data'!$C$15)="","",INDEX(SPOT_Import!$A$1:$Z$2488,1876,'Live Data'!$C$15)),"")</f>
        <v/>
      </c>
      <c r="E1876" s="54" t="str">
        <f>IFERROR(IF(INDEX(SPOT_Import!$A$1:$Z$2488,1876,'Live Data'!$C$16)="","",INDEX(SPOT_Import!$A$1:$Z$2488,1876,'Live Data'!$C$16)),"")</f>
        <v/>
      </c>
      <c r="F1876" s="54" t="str">
        <f>IFERROR(IF(INDEX(SPOT_Import!$A$1:$Z$2488,1876,'Live Data'!$C$17)="","",INDEX(SPOT_Import!$A$1:$Z$2488,1876,'Live Data'!$C$17)),"")</f>
        <v/>
      </c>
      <c r="G1876" s="54" t="str">
        <f>IFERROR(IF(INDEX(SPOT_Import!$A$1:$Z$2488,1876,'Live Data'!$C$18)="","",INDEX(SPOT_Import!$A$1:$Z$2488,1876,'Live Data'!$C$18)),"")</f>
        <v/>
      </c>
      <c r="H1876" s="54" t="str">
        <f>IFERROR(IF(INDEX(SPOT_Import!$A$1:$Z$2488,1876,'Live Data'!$C$19)="","",INDEX(SPOT_Import!$A$1:$Z$2488,1876,'Live Data'!$C$19)),"")</f>
        <v/>
      </c>
      <c r="I1876" s="54" t="str">
        <f>IFERROR(IF(INDEX(SPOT_Import!$A$1:$Z$2488,1876,'Live Data'!$C$20)="","",INDEX(SPOT_Import!$A$1:$Z$2488,1876,'Live Data'!$C$20)),"")</f>
        <v/>
      </c>
      <c r="J1876" s="54" t="str">
        <f>IFERROR(IF(INDEX(SPOT_Import!$A$1:$Z$2488,1876,'Live Data'!$C$21)="","",INDEX(SPOT_Import!$A$1:$Z$2488,1876,'Live Data'!$C$21)),"")</f>
        <v/>
      </c>
      <c r="K1876" s="54" t="str">
        <f>IFERROR(IF(INDEX(SPOT_Import!$A$1:$Z$2488,1876,'Live Data'!$C$22)="","",INDEX(SPOT_Import!$A$1:$Z$2488,1876,'Live Data'!$C$22)),"")</f>
        <v/>
      </c>
      <c r="L1876" s="55" t="str">
        <f t="shared" si="58"/>
        <v/>
      </c>
      <c r="M1876" s="55" t="str">
        <f t="shared" si="59"/>
        <v/>
      </c>
      <c r="N1876" s="55" t="str">
        <f>IF(A1876="","",IFERROR(INDEX('Cluster Map'!$A$4:$A$38,MATCH(M1876,'Cluster Map'!$B$4:$B$38,0)),"Unmapped"))</f>
        <v/>
      </c>
      <c r="O1876" s="55">
        <f>IF(A1876="",0,IF(COUNTIFS($A$2:A1876,A1876,$F$2:F1876,F1876,$L$2:L1876,L1876)=1,1,0))</f>
        <v>0</v>
      </c>
      <c r="P1876" s="55">
        <f>IF(A1876="",0,IF(AND(F1876="C&amp;T",COUNTIFS($A$2:A1876,A1876,$F$2:F1876,"C&amp;T")=1),1,0))</f>
        <v>0</v>
      </c>
    </row>
    <row r="1877" spans="1:16" x14ac:dyDescent="0.35">
      <c r="A1877" s="54" t="str">
        <f>IFERROR(IF(INDEX(SPOT_Import!$A$1:$Z$2488,1877,'Live Data'!$C$12)="","",INDEX(SPOT_Import!$A$1:$Z$2488,1877,'Live Data'!$C$12)),"")</f>
        <v/>
      </c>
      <c r="B1877" s="54" t="str">
        <f>IFERROR(IF(INDEX(SPOT_Import!$A$1:$Z$2488,1877,'Live Data'!$C$13)="","",INDEX(SPOT_Import!$A$1:$Z$2488,1877,'Live Data'!$C$13)),"")</f>
        <v/>
      </c>
      <c r="C1877" s="54" t="str">
        <f>IFERROR(IF(INDEX(SPOT_Import!$A$1:$Z$2488,1877,'Live Data'!$C$14)="","",INDEX(SPOT_Import!$A$1:$Z$2488,1877,'Live Data'!$C$14)),"")</f>
        <v/>
      </c>
      <c r="D1877" s="54" t="str">
        <f>IFERROR(IF(INDEX(SPOT_Import!$A$1:$Z$2488,1877,'Live Data'!$C$15)="","",INDEX(SPOT_Import!$A$1:$Z$2488,1877,'Live Data'!$C$15)),"")</f>
        <v/>
      </c>
      <c r="E1877" s="54" t="str">
        <f>IFERROR(IF(INDEX(SPOT_Import!$A$1:$Z$2488,1877,'Live Data'!$C$16)="","",INDEX(SPOT_Import!$A$1:$Z$2488,1877,'Live Data'!$C$16)),"")</f>
        <v/>
      </c>
      <c r="F1877" s="54" t="str">
        <f>IFERROR(IF(INDEX(SPOT_Import!$A$1:$Z$2488,1877,'Live Data'!$C$17)="","",INDEX(SPOT_Import!$A$1:$Z$2488,1877,'Live Data'!$C$17)),"")</f>
        <v/>
      </c>
      <c r="G1877" s="54" t="str">
        <f>IFERROR(IF(INDEX(SPOT_Import!$A$1:$Z$2488,1877,'Live Data'!$C$18)="","",INDEX(SPOT_Import!$A$1:$Z$2488,1877,'Live Data'!$C$18)),"")</f>
        <v/>
      </c>
      <c r="H1877" s="54" t="str">
        <f>IFERROR(IF(INDEX(SPOT_Import!$A$1:$Z$2488,1877,'Live Data'!$C$19)="","",INDEX(SPOT_Import!$A$1:$Z$2488,1877,'Live Data'!$C$19)),"")</f>
        <v/>
      </c>
      <c r="I1877" s="54" t="str">
        <f>IFERROR(IF(INDEX(SPOT_Import!$A$1:$Z$2488,1877,'Live Data'!$C$20)="","",INDEX(SPOT_Import!$A$1:$Z$2488,1877,'Live Data'!$C$20)),"")</f>
        <v/>
      </c>
      <c r="J1877" s="54" t="str">
        <f>IFERROR(IF(INDEX(SPOT_Import!$A$1:$Z$2488,1877,'Live Data'!$C$21)="","",INDEX(SPOT_Import!$A$1:$Z$2488,1877,'Live Data'!$C$21)),"")</f>
        <v/>
      </c>
      <c r="K1877" s="54" t="str">
        <f>IFERROR(IF(INDEX(SPOT_Import!$A$1:$Z$2488,1877,'Live Data'!$C$22)="","",INDEX(SPOT_Import!$A$1:$Z$2488,1877,'Live Data'!$C$22)),"")</f>
        <v/>
      </c>
      <c r="L1877" s="55" t="str">
        <f t="shared" si="58"/>
        <v/>
      </c>
      <c r="M1877" s="55" t="str">
        <f t="shared" si="59"/>
        <v/>
      </c>
      <c r="N1877" s="55" t="str">
        <f>IF(A1877="","",IFERROR(INDEX('Cluster Map'!$A$4:$A$38,MATCH(M1877,'Cluster Map'!$B$4:$B$38,0)),"Unmapped"))</f>
        <v/>
      </c>
      <c r="O1877" s="55">
        <f>IF(A1877="",0,IF(COUNTIFS($A$2:A1877,A1877,$F$2:F1877,F1877,$L$2:L1877,L1877)=1,1,0))</f>
        <v>0</v>
      </c>
      <c r="P1877" s="55">
        <f>IF(A1877="",0,IF(AND(F1877="C&amp;T",COUNTIFS($A$2:A1877,A1877,$F$2:F1877,"C&amp;T")=1),1,0))</f>
        <v>0</v>
      </c>
    </row>
    <row r="1878" spans="1:16" x14ac:dyDescent="0.35">
      <c r="A1878" s="54" t="str">
        <f>IFERROR(IF(INDEX(SPOT_Import!$A$1:$Z$2488,1878,'Live Data'!$C$12)="","",INDEX(SPOT_Import!$A$1:$Z$2488,1878,'Live Data'!$C$12)),"")</f>
        <v/>
      </c>
      <c r="B1878" s="54" t="str">
        <f>IFERROR(IF(INDEX(SPOT_Import!$A$1:$Z$2488,1878,'Live Data'!$C$13)="","",INDEX(SPOT_Import!$A$1:$Z$2488,1878,'Live Data'!$C$13)),"")</f>
        <v/>
      </c>
      <c r="C1878" s="54" t="str">
        <f>IFERROR(IF(INDEX(SPOT_Import!$A$1:$Z$2488,1878,'Live Data'!$C$14)="","",INDEX(SPOT_Import!$A$1:$Z$2488,1878,'Live Data'!$C$14)),"")</f>
        <v/>
      </c>
      <c r="D1878" s="54" t="str">
        <f>IFERROR(IF(INDEX(SPOT_Import!$A$1:$Z$2488,1878,'Live Data'!$C$15)="","",INDEX(SPOT_Import!$A$1:$Z$2488,1878,'Live Data'!$C$15)),"")</f>
        <v/>
      </c>
      <c r="E1878" s="54" t="str">
        <f>IFERROR(IF(INDEX(SPOT_Import!$A$1:$Z$2488,1878,'Live Data'!$C$16)="","",INDEX(SPOT_Import!$A$1:$Z$2488,1878,'Live Data'!$C$16)),"")</f>
        <v/>
      </c>
      <c r="F1878" s="54" t="str">
        <f>IFERROR(IF(INDEX(SPOT_Import!$A$1:$Z$2488,1878,'Live Data'!$C$17)="","",INDEX(SPOT_Import!$A$1:$Z$2488,1878,'Live Data'!$C$17)),"")</f>
        <v/>
      </c>
      <c r="G1878" s="54" t="str">
        <f>IFERROR(IF(INDEX(SPOT_Import!$A$1:$Z$2488,1878,'Live Data'!$C$18)="","",INDEX(SPOT_Import!$A$1:$Z$2488,1878,'Live Data'!$C$18)),"")</f>
        <v/>
      </c>
      <c r="H1878" s="54" t="str">
        <f>IFERROR(IF(INDEX(SPOT_Import!$A$1:$Z$2488,1878,'Live Data'!$C$19)="","",INDEX(SPOT_Import!$A$1:$Z$2488,1878,'Live Data'!$C$19)),"")</f>
        <v/>
      </c>
      <c r="I1878" s="54" t="str">
        <f>IFERROR(IF(INDEX(SPOT_Import!$A$1:$Z$2488,1878,'Live Data'!$C$20)="","",INDEX(SPOT_Import!$A$1:$Z$2488,1878,'Live Data'!$C$20)),"")</f>
        <v/>
      </c>
      <c r="J1878" s="54" t="str">
        <f>IFERROR(IF(INDEX(SPOT_Import!$A$1:$Z$2488,1878,'Live Data'!$C$21)="","",INDEX(SPOT_Import!$A$1:$Z$2488,1878,'Live Data'!$C$21)),"")</f>
        <v/>
      </c>
      <c r="K1878" s="54" t="str">
        <f>IFERROR(IF(INDEX(SPOT_Import!$A$1:$Z$2488,1878,'Live Data'!$C$22)="","",INDEX(SPOT_Import!$A$1:$Z$2488,1878,'Live Data'!$C$22)),"")</f>
        <v/>
      </c>
      <c r="L1878" s="55" t="str">
        <f t="shared" si="58"/>
        <v/>
      </c>
      <c r="M1878" s="55" t="str">
        <f t="shared" si="59"/>
        <v/>
      </c>
      <c r="N1878" s="55" t="str">
        <f>IF(A1878="","",IFERROR(INDEX('Cluster Map'!$A$4:$A$38,MATCH(M1878,'Cluster Map'!$B$4:$B$38,0)),"Unmapped"))</f>
        <v/>
      </c>
      <c r="O1878" s="55">
        <f>IF(A1878="",0,IF(COUNTIFS($A$2:A1878,A1878,$F$2:F1878,F1878,$L$2:L1878,L1878)=1,1,0))</f>
        <v>0</v>
      </c>
      <c r="P1878" s="55">
        <f>IF(A1878="",0,IF(AND(F1878="C&amp;T",COUNTIFS($A$2:A1878,A1878,$F$2:F1878,"C&amp;T")=1),1,0))</f>
        <v>0</v>
      </c>
    </row>
    <row r="1879" spans="1:16" x14ac:dyDescent="0.35">
      <c r="A1879" s="54" t="str">
        <f>IFERROR(IF(INDEX(SPOT_Import!$A$1:$Z$2488,1879,'Live Data'!$C$12)="","",INDEX(SPOT_Import!$A$1:$Z$2488,1879,'Live Data'!$C$12)),"")</f>
        <v/>
      </c>
      <c r="B1879" s="54" t="str">
        <f>IFERROR(IF(INDEX(SPOT_Import!$A$1:$Z$2488,1879,'Live Data'!$C$13)="","",INDEX(SPOT_Import!$A$1:$Z$2488,1879,'Live Data'!$C$13)),"")</f>
        <v/>
      </c>
      <c r="C1879" s="54" t="str">
        <f>IFERROR(IF(INDEX(SPOT_Import!$A$1:$Z$2488,1879,'Live Data'!$C$14)="","",INDEX(SPOT_Import!$A$1:$Z$2488,1879,'Live Data'!$C$14)),"")</f>
        <v/>
      </c>
      <c r="D1879" s="54" t="str">
        <f>IFERROR(IF(INDEX(SPOT_Import!$A$1:$Z$2488,1879,'Live Data'!$C$15)="","",INDEX(SPOT_Import!$A$1:$Z$2488,1879,'Live Data'!$C$15)),"")</f>
        <v/>
      </c>
      <c r="E1879" s="54" t="str">
        <f>IFERROR(IF(INDEX(SPOT_Import!$A$1:$Z$2488,1879,'Live Data'!$C$16)="","",INDEX(SPOT_Import!$A$1:$Z$2488,1879,'Live Data'!$C$16)),"")</f>
        <v/>
      </c>
      <c r="F1879" s="54" t="str">
        <f>IFERROR(IF(INDEX(SPOT_Import!$A$1:$Z$2488,1879,'Live Data'!$C$17)="","",INDEX(SPOT_Import!$A$1:$Z$2488,1879,'Live Data'!$C$17)),"")</f>
        <v/>
      </c>
      <c r="G1879" s="54" t="str">
        <f>IFERROR(IF(INDEX(SPOT_Import!$A$1:$Z$2488,1879,'Live Data'!$C$18)="","",INDEX(SPOT_Import!$A$1:$Z$2488,1879,'Live Data'!$C$18)),"")</f>
        <v/>
      </c>
      <c r="H1879" s="54" t="str">
        <f>IFERROR(IF(INDEX(SPOT_Import!$A$1:$Z$2488,1879,'Live Data'!$C$19)="","",INDEX(SPOT_Import!$A$1:$Z$2488,1879,'Live Data'!$C$19)),"")</f>
        <v/>
      </c>
      <c r="I1879" s="54" t="str">
        <f>IFERROR(IF(INDEX(SPOT_Import!$A$1:$Z$2488,1879,'Live Data'!$C$20)="","",INDEX(SPOT_Import!$A$1:$Z$2488,1879,'Live Data'!$C$20)),"")</f>
        <v/>
      </c>
      <c r="J1879" s="54" t="str">
        <f>IFERROR(IF(INDEX(SPOT_Import!$A$1:$Z$2488,1879,'Live Data'!$C$21)="","",INDEX(SPOT_Import!$A$1:$Z$2488,1879,'Live Data'!$C$21)),"")</f>
        <v/>
      </c>
      <c r="K1879" s="54" t="str">
        <f>IFERROR(IF(INDEX(SPOT_Import!$A$1:$Z$2488,1879,'Live Data'!$C$22)="","",INDEX(SPOT_Import!$A$1:$Z$2488,1879,'Live Data'!$C$22)),"")</f>
        <v/>
      </c>
      <c r="L1879" s="55" t="str">
        <f t="shared" si="58"/>
        <v/>
      </c>
      <c r="M1879" s="55" t="str">
        <f t="shared" si="59"/>
        <v/>
      </c>
      <c r="N1879" s="55" t="str">
        <f>IF(A1879="","",IFERROR(INDEX('Cluster Map'!$A$4:$A$38,MATCH(M1879,'Cluster Map'!$B$4:$B$38,0)),"Unmapped"))</f>
        <v/>
      </c>
      <c r="O1879" s="55">
        <f>IF(A1879="",0,IF(COUNTIFS($A$2:A1879,A1879,$F$2:F1879,F1879,$L$2:L1879,L1879)=1,1,0))</f>
        <v>0</v>
      </c>
      <c r="P1879" s="55">
        <f>IF(A1879="",0,IF(AND(F1879="C&amp;T",COUNTIFS($A$2:A1879,A1879,$F$2:F1879,"C&amp;T")=1),1,0))</f>
        <v>0</v>
      </c>
    </row>
    <row r="1880" spans="1:16" x14ac:dyDescent="0.35">
      <c r="A1880" s="54" t="str">
        <f>IFERROR(IF(INDEX(SPOT_Import!$A$1:$Z$2488,1880,'Live Data'!$C$12)="","",INDEX(SPOT_Import!$A$1:$Z$2488,1880,'Live Data'!$C$12)),"")</f>
        <v/>
      </c>
      <c r="B1880" s="54" t="str">
        <f>IFERROR(IF(INDEX(SPOT_Import!$A$1:$Z$2488,1880,'Live Data'!$C$13)="","",INDEX(SPOT_Import!$A$1:$Z$2488,1880,'Live Data'!$C$13)),"")</f>
        <v/>
      </c>
      <c r="C1880" s="54" t="str">
        <f>IFERROR(IF(INDEX(SPOT_Import!$A$1:$Z$2488,1880,'Live Data'!$C$14)="","",INDEX(SPOT_Import!$A$1:$Z$2488,1880,'Live Data'!$C$14)),"")</f>
        <v/>
      </c>
      <c r="D1880" s="54" t="str">
        <f>IFERROR(IF(INDEX(SPOT_Import!$A$1:$Z$2488,1880,'Live Data'!$C$15)="","",INDEX(SPOT_Import!$A$1:$Z$2488,1880,'Live Data'!$C$15)),"")</f>
        <v/>
      </c>
      <c r="E1880" s="54" t="str">
        <f>IFERROR(IF(INDEX(SPOT_Import!$A$1:$Z$2488,1880,'Live Data'!$C$16)="","",INDEX(SPOT_Import!$A$1:$Z$2488,1880,'Live Data'!$C$16)),"")</f>
        <v/>
      </c>
      <c r="F1880" s="54" t="str">
        <f>IFERROR(IF(INDEX(SPOT_Import!$A$1:$Z$2488,1880,'Live Data'!$C$17)="","",INDEX(SPOT_Import!$A$1:$Z$2488,1880,'Live Data'!$C$17)),"")</f>
        <v/>
      </c>
      <c r="G1880" s="54" t="str">
        <f>IFERROR(IF(INDEX(SPOT_Import!$A$1:$Z$2488,1880,'Live Data'!$C$18)="","",INDEX(SPOT_Import!$A$1:$Z$2488,1880,'Live Data'!$C$18)),"")</f>
        <v/>
      </c>
      <c r="H1880" s="54" t="str">
        <f>IFERROR(IF(INDEX(SPOT_Import!$A$1:$Z$2488,1880,'Live Data'!$C$19)="","",INDEX(SPOT_Import!$A$1:$Z$2488,1880,'Live Data'!$C$19)),"")</f>
        <v/>
      </c>
      <c r="I1880" s="54" t="str">
        <f>IFERROR(IF(INDEX(SPOT_Import!$A$1:$Z$2488,1880,'Live Data'!$C$20)="","",INDEX(SPOT_Import!$A$1:$Z$2488,1880,'Live Data'!$C$20)),"")</f>
        <v/>
      </c>
      <c r="J1880" s="54" t="str">
        <f>IFERROR(IF(INDEX(SPOT_Import!$A$1:$Z$2488,1880,'Live Data'!$C$21)="","",INDEX(SPOT_Import!$A$1:$Z$2488,1880,'Live Data'!$C$21)),"")</f>
        <v/>
      </c>
      <c r="K1880" s="54" t="str">
        <f>IFERROR(IF(INDEX(SPOT_Import!$A$1:$Z$2488,1880,'Live Data'!$C$22)="","",INDEX(SPOT_Import!$A$1:$Z$2488,1880,'Live Data'!$C$22)),"")</f>
        <v/>
      </c>
      <c r="L1880" s="55" t="str">
        <f t="shared" si="58"/>
        <v/>
      </c>
      <c r="M1880" s="55" t="str">
        <f t="shared" si="59"/>
        <v/>
      </c>
      <c r="N1880" s="55" t="str">
        <f>IF(A1880="","",IFERROR(INDEX('Cluster Map'!$A$4:$A$38,MATCH(M1880,'Cluster Map'!$B$4:$B$38,0)),"Unmapped"))</f>
        <v/>
      </c>
      <c r="O1880" s="55">
        <f>IF(A1880="",0,IF(COUNTIFS($A$2:A1880,A1880,$F$2:F1880,F1880,$L$2:L1880,L1880)=1,1,0))</f>
        <v>0</v>
      </c>
      <c r="P1880" s="55">
        <f>IF(A1880="",0,IF(AND(F1880="C&amp;T",COUNTIFS($A$2:A1880,A1880,$F$2:F1880,"C&amp;T")=1),1,0))</f>
        <v>0</v>
      </c>
    </row>
    <row r="1881" spans="1:16" x14ac:dyDescent="0.35">
      <c r="A1881" s="54" t="str">
        <f>IFERROR(IF(INDEX(SPOT_Import!$A$1:$Z$2488,1881,'Live Data'!$C$12)="","",INDEX(SPOT_Import!$A$1:$Z$2488,1881,'Live Data'!$C$12)),"")</f>
        <v/>
      </c>
      <c r="B1881" s="54" t="str">
        <f>IFERROR(IF(INDEX(SPOT_Import!$A$1:$Z$2488,1881,'Live Data'!$C$13)="","",INDEX(SPOT_Import!$A$1:$Z$2488,1881,'Live Data'!$C$13)),"")</f>
        <v/>
      </c>
      <c r="C1881" s="54" t="str">
        <f>IFERROR(IF(INDEX(SPOT_Import!$A$1:$Z$2488,1881,'Live Data'!$C$14)="","",INDEX(SPOT_Import!$A$1:$Z$2488,1881,'Live Data'!$C$14)),"")</f>
        <v/>
      </c>
      <c r="D1881" s="54" t="str">
        <f>IFERROR(IF(INDEX(SPOT_Import!$A$1:$Z$2488,1881,'Live Data'!$C$15)="","",INDEX(SPOT_Import!$A$1:$Z$2488,1881,'Live Data'!$C$15)),"")</f>
        <v/>
      </c>
      <c r="E1881" s="54" t="str">
        <f>IFERROR(IF(INDEX(SPOT_Import!$A$1:$Z$2488,1881,'Live Data'!$C$16)="","",INDEX(SPOT_Import!$A$1:$Z$2488,1881,'Live Data'!$C$16)),"")</f>
        <v/>
      </c>
      <c r="F1881" s="54" t="str">
        <f>IFERROR(IF(INDEX(SPOT_Import!$A$1:$Z$2488,1881,'Live Data'!$C$17)="","",INDEX(SPOT_Import!$A$1:$Z$2488,1881,'Live Data'!$C$17)),"")</f>
        <v/>
      </c>
      <c r="G1881" s="54" t="str">
        <f>IFERROR(IF(INDEX(SPOT_Import!$A$1:$Z$2488,1881,'Live Data'!$C$18)="","",INDEX(SPOT_Import!$A$1:$Z$2488,1881,'Live Data'!$C$18)),"")</f>
        <v/>
      </c>
      <c r="H1881" s="54" t="str">
        <f>IFERROR(IF(INDEX(SPOT_Import!$A$1:$Z$2488,1881,'Live Data'!$C$19)="","",INDEX(SPOT_Import!$A$1:$Z$2488,1881,'Live Data'!$C$19)),"")</f>
        <v/>
      </c>
      <c r="I1881" s="54" t="str">
        <f>IFERROR(IF(INDEX(SPOT_Import!$A$1:$Z$2488,1881,'Live Data'!$C$20)="","",INDEX(SPOT_Import!$A$1:$Z$2488,1881,'Live Data'!$C$20)),"")</f>
        <v/>
      </c>
      <c r="J1881" s="54" t="str">
        <f>IFERROR(IF(INDEX(SPOT_Import!$A$1:$Z$2488,1881,'Live Data'!$C$21)="","",INDEX(SPOT_Import!$A$1:$Z$2488,1881,'Live Data'!$C$21)),"")</f>
        <v/>
      </c>
      <c r="K1881" s="54" t="str">
        <f>IFERROR(IF(INDEX(SPOT_Import!$A$1:$Z$2488,1881,'Live Data'!$C$22)="","",INDEX(SPOT_Import!$A$1:$Z$2488,1881,'Live Data'!$C$22)),"")</f>
        <v/>
      </c>
      <c r="L1881" s="55" t="str">
        <f t="shared" si="58"/>
        <v/>
      </c>
      <c r="M1881" s="55" t="str">
        <f t="shared" si="59"/>
        <v/>
      </c>
      <c r="N1881" s="55" t="str">
        <f>IF(A1881="","",IFERROR(INDEX('Cluster Map'!$A$4:$A$38,MATCH(M1881,'Cluster Map'!$B$4:$B$38,0)),"Unmapped"))</f>
        <v/>
      </c>
      <c r="O1881" s="55">
        <f>IF(A1881="",0,IF(COUNTIFS($A$2:A1881,A1881,$F$2:F1881,F1881,$L$2:L1881,L1881)=1,1,0))</f>
        <v>0</v>
      </c>
      <c r="P1881" s="55">
        <f>IF(A1881="",0,IF(AND(F1881="C&amp;T",COUNTIFS($A$2:A1881,A1881,$F$2:F1881,"C&amp;T")=1),1,0))</f>
        <v>0</v>
      </c>
    </row>
    <row r="1882" spans="1:16" x14ac:dyDescent="0.35">
      <c r="A1882" s="54" t="str">
        <f>IFERROR(IF(INDEX(SPOT_Import!$A$1:$Z$2488,1882,'Live Data'!$C$12)="","",INDEX(SPOT_Import!$A$1:$Z$2488,1882,'Live Data'!$C$12)),"")</f>
        <v/>
      </c>
      <c r="B1882" s="54" t="str">
        <f>IFERROR(IF(INDEX(SPOT_Import!$A$1:$Z$2488,1882,'Live Data'!$C$13)="","",INDEX(SPOT_Import!$A$1:$Z$2488,1882,'Live Data'!$C$13)),"")</f>
        <v/>
      </c>
      <c r="C1882" s="54" t="str">
        <f>IFERROR(IF(INDEX(SPOT_Import!$A$1:$Z$2488,1882,'Live Data'!$C$14)="","",INDEX(SPOT_Import!$A$1:$Z$2488,1882,'Live Data'!$C$14)),"")</f>
        <v/>
      </c>
      <c r="D1882" s="54" t="str">
        <f>IFERROR(IF(INDEX(SPOT_Import!$A$1:$Z$2488,1882,'Live Data'!$C$15)="","",INDEX(SPOT_Import!$A$1:$Z$2488,1882,'Live Data'!$C$15)),"")</f>
        <v/>
      </c>
      <c r="E1882" s="54" t="str">
        <f>IFERROR(IF(INDEX(SPOT_Import!$A$1:$Z$2488,1882,'Live Data'!$C$16)="","",INDEX(SPOT_Import!$A$1:$Z$2488,1882,'Live Data'!$C$16)),"")</f>
        <v/>
      </c>
      <c r="F1882" s="54" t="str">
        <f>IFERROR(IF(INDEX(SPOT_Import!$A$1:$Z$2488,1882,'Live Data'!$C$17)="","",INDEX(SPOT_Import!$A$1:$Z$2488,1882,'Live Data'!$C$17)),"")</f>
        <v/>
      </c>
      <c r="G1882" s="54" t="str">
        <f>IFERROR(IF(INDEX(SPOT_Import!$A$1:$Z$2488,1882,'Live Data'!$C$18)="","",INDEX(SPOT_Import!$A$1:$Z$2488,1882,'Live Data'!$C$18)),"")</f>
        <v/>
      </c>
      <c r="H1882" s="54" t="str">
        <f>IFERROR(IF(INDEX(SPOT_Import!$A$1:$Z$2488,1882,'Live Data'!$C$19)="","",INDEX(SPOT_Import!$A$1:$Z$2488,1882,'Live Data'!$C$19)),"")</f>
        <v/>
      </c>
      <c r="I1882" s="54" t="str">
        <f>IFERROR(IF(INDEX(SPOT_Import!$A$1:$Z$2488,1882,'Live Data'!$C$20)="","",INDEX(SPOT_Import!$A$1:$Z$2488,1882,'Live Data'!$C$20)),"")</f>
        <v/>
      </c>
      <c r="J1882" s="54" t="str">
        <f>IFERROR(IF(INDEX(SPOT_Import!$A$1:$Z$2488,1882,'Live Data'!$C$21)="","",INDEX(SPOT_Import!$A$1:$Z$2488,1882,'Live Data'!$C$21)),"")</f>
        <v/>
      </c>
      <c r="K1882" s="54" t="str">
        <f>IFERROR(IF(INDEX(SPOT_Import!$A$1:$Z$2488,1882,'Live Data'!$C$22)="","",INDEX(SPOT_Import!$A$1:$Z$2488,1882,'Live Data'!$C$22)),"")</f>
        <v/>
      </c>
      <c r="L1882" s="55" t="str">
        <f t="shared" si="58"/>
        <v/>
      </c>
      <c r="M1882" s="55" t="str">
        <f t="shared" si="59"/>
        <v/>
      </c>
      <c r="N1882" s="55" t="str">
        <f>IF(A1882="","",IFERROR(INDEX('Cluster Map'!$A$4:$A$38,MATCH(M1882,'Cluster Map'!$B$4:$B$38,0)),"Unmapped"))</f>
        <v/>
      </c>
      <c r="O1882" s="55">
        <f>IF(A1882="",0,IF(COUNTIFS($A$2:A1882,A1882,$F$2:F1882,F1882,$L$2:L1882,L1882)=1,1,0))</f>
        <v>0</v>
      </c>
      <c r="P1882" s="55">
        <f>IF(A1882="",0,IF(AND(F1882="C&amp;T",COUNTIFS($A$2:A1882,A1882,$F$2:F1882,"C&amp;T")=1),1,0))</f>
        <v>0</v>
      </c>
    </row>
    <row r="1883" spans="1:16" x14ac:dyDescent="0.35">
      <c r="A1883" s="54" t="str">
        <f>IFERROR(IF(INDEX(SPOT_Import!$A$1:$Z$2488,1883,'Live Data'!$C$12)="","",INDEX(SPOT_Import!$A$1:$Z$2488,1883,'Live Data'!$C$12)),"")</f>
        <v/>
      </c>
      <c r="B1883" s="54" t="str">
        <f>IFERROR(IF(INDEX(SPOT_Import!$A$1:$Z$2488,1883,'Live Data'!$C$13)="","",INDEX(SPOT_Import!$A$1:$Z$2488,1883,'Live Data'!$C$13)),"")</f>
        <v/>
      </c>
      <c r="C1883" s="54" t="str">
        <f>IFERROR(IF(INDEX(SPOT_Import!$A$1:$Z$2488,1883,'Live Data'!$C$14)="","",INDEX(SPOT_Import!$A$1:$Z$2488,1883,'Live Data'!$C$14)),"")</f>
        <v/>
      </c>
      <c r="D1883" s="54" t="str">
        <f>IFERROR(IF(INDEX(SPOT_Import!$A$1:$Z$2488,1883,'Live Data'!$C$15)="","",INDEX(SPOT_Import!$A$1:$Z$2488,1883,'Live Data'!$C$15)),"")</f>
        <v/>
      </c>
      <c r="E1883" s="54" t="str">
        <f>IFERROR(IF(INDEX(SPOT_Import!$A$1:$Z$2488,1883,'Live Data'!$C$16)="","",INDEX(SPOT_Import!$A$1:$Z$2488,1883,'Live Data'!$C$16)),"")</f>
        <v/>
      </c>
      <c r="F1883" s="54" t="str">
        <f>IFERROR(IF(INDEX(SPOT_Import!$A$1:$Z$2488,1883,'Live Data'!$C$17)="","",INDEX(SPOT_Import!$A$1:$Z$2488,1883,'Live Data'!$C$17)),"")</f>
        <v/>
      </c>
      <c r="G1883" s="54" t="str">
        <f>IFERROR(IF(INDEX(SPOT_Import!$A$1:$Z$2488,1883,'Live Data'!$C$18)="","",INDEX(SPOT_Import!$A$1:$Z$2488,1883,'Live Data'!$C$18)),"")</f>
        <v/>
      </c>
      <c r="H1883" s="54" t="str">
        <f>IFERROR(IF(INDEX(SPOT_Import!$A$1:$Z$2488,1883,'Live Data'!$C$19)="","",INDEX(SPOT_Import!$A$1:$Z$2488,1883,'Live Data'!$C$19)),"")</f>
        <v/>
      </c>
      <c r="I1883" s="54" t="str">
        <f>IFERROR(IF(INDEX(SPOT_Import!$A$1:$Z$2488,1883,'Live Data'!$C$20)="","",INDEX(SPOT_Import!$A$1:$Z$2488,1883,'Live Data'!$C$20)),"")</f>
        <v/>
      </c>
      <c r="J1883" s="54" t="str">
        <f>IFERROR(IF(INDEX(SPOT_Import!$A$1:$Z$2488,1883,'Live Data'!$C$21)="","",INDEX(SPOT_Import!$A$1:$Z$2488,1883,'Live Data'!$C$21)),"")</f>
        <v/>
      </c>
      <c r="K1883" s="54" t="str">
        <f>IFERROR(IF(INDEX(SPOT_Import!$A$1:$Z$2488,1883,'Live Data'!$C$22)="","",INDEX(SPOT_Import!$A$1:$Z$2488,1883,'Live Data'!$C$22)),"")</f>
        <v/>
      </c>
      <c r="L1883" s="55" t="str">
        <f t="shared" si="58"/>
        <v/>
      </c>
      <c r="M1883" s="55" t="str">
        <f t="shared" si="59"/>
        <v/>
      </c>
      <c r="N1883" s="55" t="str">
        <f>IF(A1883="","",IFERROR(INDEX('Cluster Map'!$A$4:$A$38,MATCH(M1883,'Cluster Map'!$B$4:$B$38,0)),"Unmapped"))</f>
        <v/>
      </c>
      <c r="O1883" s="55">
        <f>IF(A1883="",0,IF(COUNTIFS($A$2:A1883,A1883,$F$2:F1883,F1883,$L$2:L1883,L1883)=1,1,0))</f>
        <v>0</v>
      </c>
      <c r="P1883" s="55">
        <f>IF(A1883="",0,IF(AND(F1883="C&amp;T",COUNTIFS($A$2:A1883,A1883,$F$2:F1883,"C&amp;T")=1),1,0))</f>
        <v>0</v>
      </c>
    </row>
    <row r="1884" spans="1:16" x14ac:dyDescent="0.35">
      <c r="A1884" s="54" t="str">
        <f>IFERROR(IF(INDEX(SPOT_Import!$A$1:$Z$2488,1884,'Live Data'!$C$12)="","",INDEX(SPOT_Import!$A$1:$Z$2488,1884,'Live Data'!$C$12)),"")</f>
        <v/>
      </c>
      <c r="B1884" s="54" t="str">
        <f>IFERROR(IF(INDEX(SPOT_Import!$A$1:$Z$2488,1884,'Live Data'!$C$13)="","",INDEX(SPOT_Import!$A$1:$Z$2488,1884,'Live Data'!$C$13)),"")</f>
        <v/>
      </c>
      <c r="C1884" s="54" t="str">
        <f>IFERROR(IF(INDEX(SPOT_Import!$A$1:$Z$2488,1884,'Live Data'!$C$14)="","",INDEX(SPOT_Import!$A$1:$Z$2488,1884,'Live Data'!$C$14)),"")</f>
        <v/>
      </c>
      <c r="D1884" s="54" t="str">
        <f>IFERROR(IF(INDEX(SPOT_Import!$A$1:$Z$2488,1884,'Live Data'!$C$15)="","",INDEX(SPOT_Import!$A$1:$Z$2488,1884,'Live Data'!$C$15)),"")</f>
        <v/>
      </c>
      <c r="E1884" s="54" t="str">
        <f>IFERROR(IF(INDEX(SPOT_Import!$A$1:$Z$2488,1884,'Live Data'!$C$16)="","",INDEX(SPOT_Import!$A$1:$Z$2488,1884,'Live Data'!$C$16)),"")</f>
        <v/>
      </c>
      <c r="F1884" s="54" t="str">
        <f>IFERROR(IF(INDEX(SPOT_Import!$A$1:$Z$2488,1884,'Live Data'!$C$17)="","",INDEX(SPOT_Import!$A$1:$Z$2488,1884,'Live Data'!$C$17)),"")</f>
        <v/>
      </c>
      <c r="G1884" s="54" t="str">
        <f>IFERROR(IF(INDEX(SPOT_Import!$A$1:$Z$2488,1884,'Live Data'!$C$18)="","",INDEX(SPOT_Import!$A$1:$Z$2488,1884,'Live Data'!$C$18)),"")</f>
        <v/>
      </c>
      <c r="H1884" s="54" t="str">
        <f>IFERROR(IF(INDEX(SPOT_Import!$A$1:$Z$2488,1884,'Live Data'!$C$19)="","",INDEX(SPOT_Import!$A$1:$Z$2488,1884,'Live Data'!$C$19)),"")</f>
        <v/>
      </c>
      <c r="I1884" s="54" t="str">
        <f>IFERROR(IF(INDEX(SPOT_Import!$A$1:$Z$2488,1884,'Live Data'!$C$20)="","",INDEX(SPOT_Import!$A$1:$Z$2488,1884,'Live Data'!$C$20)),"")</f>
        <v/>
      </c>
      <c r="J1884" s="54" t="str">
        <f>IFERROR(IF(INDEX(SPOT_Import!$A$1:$Z$2488,1884,'Live Data'!$C$21)="","",INDEX(SPOT_Import!$A$1:$Z$2488,1884,'Live Data'!$C$21)),"")</f>
        <v/>
      </c>
      <c r="K1884" s="54" t="str">
        <f>IFERROR(IF(INDEX(SPOT_Import!$A$1:$Z$2488,1884,'Live Data'!$C$22)="","",INDEX(SPOT_Import!$A$1:$Z$2488,1884,'Live Data'!$C$22)),"")</f>
        <v/>
      </c>
      <c r="L1884" s="55" t="str">
        <f t="shared" si="58"/>
        <v/>
      </c>
      <c r="M1884" s="55" t="str">
        <f t="shared" si="59"/>
        <v/>
      </c>
      <c r="N1884" s="55" t="str">
        <f>IF(A1884="","",IFERROR(INDEX('Cluster Map'!$A$4:$A$38,MATCH(M1884,'Cluster Map'!$B$4:$B$38,0)),"Unmapped"))</f>
        <v/>
      </c>
      <c r="O1884" s="55">
        <f>IF(A1884="",0,IF(COUNTIFS($A$2:A1884,A1884,$F$2:F1884,F1884,$L$2:L1884,L1884)=1,1,0))</f>
        <v>0</v>
      </c>
      <c r="P1884" s="55">
        <f>IF(A1884="",0,IF(AND(F1884="C&amp;T",COUNTIFS($A$2:A1884,A1884,$F$2:F1884,"C&amp;T")=1),1,0))</f>
        <v>0</v>
      </c>
    </row>
    <row r="1885" spans="1:16" x14ac:dyDescent="0.35">
      <c r="A1885" s="54" t="str">
        <f>IFERROR(IF(INDEX(SPOT_Import!$A$1:$Z$2488,1885,'Live Data'!$C$12)="","",INDEX(SPOT_Import!$A$1:$Z$2488,1885,'Live Data'!$C$12)),"")</f>
        <v/>
      </c>
      <c r="B1885" s="54" t="str">
        <f>IFERROR(IF(INDEX(SPOT_Import!$A$1:$Z$2488,1885,'Live Data'!$C$13)="","",INDEX(SPOT_Import!$A$1:$Z$2488,1885,'Live Data'!$C$13)),"")</f>
        <v/>
      </c>
      <c r="C1885" s="54" t="str">
        <f>IFERROR(IF(INDEX(SPOT_Import!$A$1:$Z$2488,1885,'Live Data'!$C$14)="","",INDEX(SPOT_Import!$A$1:$Z$2488,1885,'Live Data'!$C$14)),"")</f>
        <v/>
      </c>
      <c r="D1885" s="54" t="str">
        <f>IFERROR(IF(INDEX(SPOT_Import!$A$1:$Z$2488,1885,'Live Data'!$C$15)="","",INDEX(SPOT_Import!$A$1:$Z$2488,1885,'Live Data'!$C$15)),"")</f>
        <v/>
      </c>
      <c r="E1885" s="54" t="str">
        <f>IFERROR(IF(INDEX(SPOT_Import!$A$1:$Z$2488,1885,'Live Data'!$C$16)="","",INDEX(SPOT_Import!$A$1:$Z$2488,1885,'Live Data'!$C$16)),"")</f>
        <v/>
      </c>
      <c r="F1885" s="54" t="str">
        <f>IFERROR(IF(INDEX(SPOT_Import!$A$1:$Z$2488,1885,'Live Data'!$C$17)="","",INDEX(SPOT_Import!$A$1:$Z$2488,1885,'Live Data'!$C$17)),"")</f>
        <v/>
      </c>
      <c r="G1885" s="54" t="str">
        <f>IFERROR(IF(INDEX(SPOT_Import!$A$1:$Z$2488,1885,'Live Data'!$C$18)="","",INDEX(SPOT_Import!$A$1:$Z$2488,1885,'Live Data'!$C$18)),"")</f>
        <v/>
      </c>
      <c r="H1885" s="54" t="str">
        <f>IFERROR(IF(INDEX(SPOT_Import!$A$1:$Z$2488,1885,'Live Data'!$C$19)="","",INDEX(SPOT_Import!$A$1:$Z$2488,1885,'Live Data'!$C$19)),"")</f>
        <v/>
      </c>
      <c r="I1885" s="54" t="str">
        <f>IFERROR(IF(INDEX(SPOT_Import!$A$1:$Z$2488,1885,'Live Data'!$C$20)="","",INDEX(SPOT_Import!$A$1:$Z$2488,1885,'Live Data'!$C$20)),"")</f>
        <v/>
      </c>
      <c r="J1885" s="54" t="str">
        <f>IFERROR(IF(INDEX(SPOT_Import!$A$1:$Z$2488,1885,'Live Data'!$C$21)="","",INDEX(SPOT_Import!$A$1:$Z$2488,1885,'Live Data'!$C$21)),"")</f>
        <v/>
      </c>
      <c r="K1885" s="54" t="str">
        <f>IFERROR(IF(INDEX(SPOT_Import!$A$1:$Z$2488,1885,'Live Data'!$C$22)="","",INDEX(SPOT_Import!$A$1:$Z$2488,1885,'Live Data'!$C$22)),"")</f>
        <v/>
      </c>
      <c r="L1885" s="55" t="str">
        <f t="shared" si="58"/>
        <v/>
      </c>
      <c r="M1885" s="55" t="str">
        <f t="shared" si="59"/>
        <v/>
      </c>
      <c r="N1885" s="55" t="str">
        <f>IF(A1885="","",IFERROR(INDEX('Cluster Map'!$A$4:$A$38,MATCH(M1885,'Cluster Map'!$B$4:$B$38,0)),"Unmapped"))</f>
        <v/>
      </c>
      <c r="O1885" s="55">
        <f>IF(A1885="",0,IF(COUNTIFS($A$2:A1885,A1885,$F$2:F1885,F1885,$L$2:L1885,L1885)=1,1,0))</f>
        <v>0</v>
      </c>
      <c r="P1885" s="55">
        <f>IF(A1885="",0,IF(AND(F1885="C&amp;T",COUNTIFS($A$2:A1885,A1885,$F$2:F1885,"C&amp;T")=1),1,0))</f>
        <v>0</v>
      </c>
    </row>
    <row r="1886" spans="1:16" x14ac:dyDescent="0.35">
      <c r="A1886" s="54" t="str">
        <f>IFERROR(IF(INDEX(SPOT_Import!$A$1:$Z$2488,1886,'Live Data'!$C$12)="","",INDEX(SPOT_Import!$A$1:$Z$2488,1886,'Live Data'!$C$12)),"")</f>
        <v/>
      </c>
      <c r="B1886" s="54" t="str">
        <f>IFERROR(IF(INDEX(SPOT_Import!$A$1:$Z$2488,1886,'Live Data'!$C$13)="","",INDEX(SPOT_Import!$A$1:$Z$2488,1886,'Live Data'!$C$13)),"")</f>
        <v/>
      </c>
      <c r="C1886" s="54" t="str">
        <f>IFERROR(IF(INDEX(SPOT_Import!$A$1:$Z$2488,1886,'Live Data'!$C$14)="","",INDEX(SPOT_Import!$A$1:$Z$2488,1886,'Live Data'!$C$14)),"")</f>
        <v/>
      </c>
      <c r="D1886" s="54" t="str">
        <f>IFERROR(IF(INDEX(SPOT_Import!$A$1:$Z$2488,1886,'Live Data'!$C$15)="","",INDEX(SPOT_Import!$A$1:$Z$2488,1886,'Live Data'!$C$15)),"")</f>
        <v/>
      </c>
      <c r="E1886" s="54" t="str">
        <f>IFERROR(IF(INDEX(SPOT_Import!$A$1:$Z$2488,1886,'Live Data'!$C$16)="","",INDEX(SPOT_Import!$A$1:$Z$2488,1886,'Live Data'!$C$16)),"")</f>
        <v/>
      </c>
      <c r="F1886" s="54" t="str">
        <f>IFERROR(IF(INDEX(SPOT_Import!$A$1:$Z$2488,1886,'Live Data'!$C$17)="","",INDEX(SPOT_Import!$A$1:$Z$2488,1886,'Live Data'!$C$17)),"")</f>
        <v/>
      </c>
      <c r="G1886" s="54" t="str">
        <f>IFERROR(IF(INDEX(SPOT_Import!$A$1:$Z$2488,1886,'Live Data'!$C$18)="","",INDEX(SPOT_Import!$A$1:$Z$2488,1886,'Live Data'!$C$18)),"")</f>
        <v/>
      </c>
      <c r="H1886" s="54" t="str">
        <f>IFERROR(IF(INDEX(SPOT_Import!$A$1:$Z$2488,1886,'Live Data'!$C$19)="","",INDEX(SPOT_Import!$A$1:$Z$2488,1886,'Live Data'!$C$19)),"")</f>
        <v/>
      </c>
      <c r="I1886" s="54" t="str">
        <f>IFERROR(IF(INDEX(SPOT_Import!$A$1:$Z$2488,1886,'Live Data'!$C$20)="","",INDEX(SPOT_Import!$A$1:$Z$2488,1886,'Live Data'!$C$20)),"")</f>
        <v/>
      </c>
      <c r="J1886" s="54" t="str">
        <f>IFERROR(IF(INDEX(SPOT_Import!$A$1:$Z$2488,1886,'Live Data'!$C$21)="","",INDEX(SPOT_Import!$A$1:$Z$2488,1886,'Live Data'!$C$21)),"")</f>
        <v/>
      </c>
      <c r="K1886" s="54" t="str">
        <f>IFERROR(IF(INDEX(SPOT_Import!$A$1:$Z$2488,1886,'Live Data'!$C$22)="","",INDEX(SPOT_Import!$A$1:$Z$2488,1886,'Live Data'!$C$22)),"")</f>
        <v/>
      </c>
      <c r="L1886" s="55" t="str">
        <f t="shared" si="58"/>
        <v/>
      </c>
      <c r="M1886" s="55" t="str">
        <f t="shared" si="59"/>
        <v/>
      </c>
      <c r="N1886" s="55" t="str">
        <f>IF(A1886="","",IFERROR(INDEX('Cluster Map'!$A$4:$A$38,MATCH(M1886,'Cluster Map'!$B$4:$B$38,0)),"Unmapped"))</f>
        <v/>
      </c>
      <c r="O1886" s="55">
        <f>IF(A1886="",0,IF(COUNTIFS($A$2:A1886,A1886,$F$2:F1886,F1886,$L$2:L1886,L1886)=1,1,0))</f>
        <v>0</v>
      </c>
      <c r="P1886" s="55">
        <f>IF(A1886="",0,IF(AND(F1886="C&amp;T",COUNTIFS($A$2:A1886,A1886,$F$2:F1886,"C&amp;T")=1),1,0))</f>
        <v>0</v>
      </c>
    </row>
    <row r="1887" spans="1:16" x14ac:dyDescent="0.35">
      <c r="A1887" s="54" t="str">
        <f>IFERROR(IF(INDEX(SPOT_Import!$A$1:$Z$2488,1887,'Live Data'!$C$12)="","",INDEX(SPOT_Import!$A$1:$Z$2488,1887,'Live Data'!$C$12)),"")</f>
        <v/>
      </c>
      <c r="B1887" s="54" t="str">
        <f>IFERROR(IF(INDEX(SPOT_Import!$A$1:$Z$2488,1887,'Live Data'!$C$13)="","",INDEX(SPOT_Import!$A$1:$Z$2488,1887,'Live Data'!$C$13)),"")</f>
        <v/>
      </c>
      <c r="C1887" s="54" t="str">
        <f>IFERROR(IF(INDEX(SPOT_Import!$A$1:$Z$2488,1887,'Live Data'!$C$14)="","",INDEX(SPOT_Import!$A$1:$Z$2488,1887,'Live Data'!$C$14)),"")</f>
        <v/>
      </c>
      <c r="D1887" s="54" t="str">
        <f>IFERROR(IF(INDEX(SPOT_Import!$A$1:$Z$2488,1887,'Live Data'!$C$15)="","",INDEX(SPOT_Import!$A$1:$Z$2488,1887,'Live Data'!$C$15)),"")</f>
        <v/>
      </c>
      <c r="E1887" s="54" t="str">
        <f>IFERROR(IF(INDEX(SPOT_Import!$A$1:$Z$2488,1887,'Live Data'!$C$16)="","",INDEX(SPOT_Import!$A$1:$Z$2488,1887,'Live Data'!$C$16)),"")</f>
        <v/>
      </c>
      <c r="F1887" s="54" t="str">
        <f>IFERROR(IF(INDEX(SPOT_Import!$A$1:$Z$2488,1887,'Live Data'!$C$17)="","",INDEX(SPOT_Import!$A$1:$Z$2488,1887,'Live Data'!$C$17)),"")</f>
        <v/>
      </c>
      <c r="G1887" s="54" t="str">
        <f>IFERROR(IF(INDEX(SPOT_Import!$A$1:$Z$2488,1887,'Live Data'!$C$18)="","",INDEX(SPOT_Import!$A$1:$Z$2488,1887,'Live Data'!$C$18)),"")</f>
        <v/>
      </c>
      <c r="H1887" s="54" t="str">
        <f>IFERROR(IF(INDEX(SPOT_Import!$A$1:$Z$2488,1887,'Live Data'!$C$19)="","",INDEX(SPOT_Import!$A$1:$Z$2488,1887,'Live Data'!$C$19)),"")</f>
        <v/>
      </c>
      <c r="I1887" s="54" t="str">
        <f>IFERROR(IF(INDEX(SPOT_Import!$A$1:$Z$2488,1887,'Live Data'!$C$20)="","",INDEX(SPOT_Import!$A$1:$Z$2488,1887,'Live Data'!$C$20)),"")</f>
        <v/>
      </c>
      <c r="J1887" s="54" t="str">
        <f>IFERROR(IF(INDEX(SPOT_Import!$A$1:$Z$2488,1887,'Live Data'!$C$21)="","",INDEX(SPOT_Import!$A$1:$Z$2488,1887,'Live Data'!$C$21)),"")</f>
        <v/>
      </c>
      <c r="K1887" s="54" t="str">
        <f>IFERROR(IF(INDEX(SPOT_Import!$A$1:$Z$2488,1887,'Live Data'!$C$22)="","",INDEX(SPOT_Import!$A$1:$Z$2488,1887,'Live Data'!$C$22)),"")</f>
        <v/>
      </c>
      <c r="L1887" s="55" t="str">
        <f t="shared" si="58"/>
        <v/>
      </c>
      <c r="M1887" s="55" t="str">
        <f t="shared" si="59"/>
        <v/>
      </c>
      <c r="N1887" s="55" t="str">
        <f>IF(A1887="","",IFERROR(INDEX('Cluster Map'!$A$4:$A$38,MATCH(M1887,'Cluster Map'!$B$4:$B$38,0)),"Unmapped"))</f>
        <v/>
      </c>
      <c r="O1887" s="55">
        <f>IF(A1887="",0,IF(COUNTIFS($A$2:A1887,A1887,$F$2:F1887,F1887,$L$2:L1887,L1887)=1,1,0))</f>
        <v>0</v>
      </c>
      <c r="P1887" s="55">
        <f>IF(A1887="",0,IF(AND(F1887="C&amp;T",COUNTIFS($A$2:A1887,A1887,$F$2:F1887,"C&amp;T")=1),1,0))</f>
        <v>0</v>
      </c>
    </row>
    <row r="1888" spans="1:16" x14ac:dyDescent="0.35">
      <c r="A1888" s="54" t="str">
        <f>IFERROR(IF(INDEX(SPOT_Import!$A$1:$Z$2488,1888,'Live Data'!$C$12)="","",INDEX(SPOT_Import!$A$1:$Z$2488,1888,'Live Data'!$C$12)),"")</f>
        <v/>
      </c>
      <c r="B1888" s="54" t="str">
        <f>IFERROR(IF(INDEX(SPOT_Import!$A$1:$Z$2488,1888,'Live Data'!$C$13)="","",INDEX(SPOT_Import!$A$1:$Z$2488,1888,'Live Data'!$C$13)),"")</f>
        <v/>
      </c>
      <c r="C1888" s="54" t="str">
        <f>IFERROR(IF(INDEX(SPOT_Import!$A$1:$Z$2488,1888,'Live Data'!$C$14)="","",INDEX(SPOT_Import!$A$1:$Z$2488,1888,'Live Data'!$C$14)),"")</f>
        <v/>
      </c>
      <c r="D1888" s="54" t="str">
        <f>IFERROR(IF(INDEX(SPOT_Import!$A$1:$Z$2488,1888,'Live Data'!$C$15)="","",INDEX(SPOT_Import!$A$1:$Z$2488,1888,'Live Data'!$C$15)),"")</f>
        <v/>
      </c>
      <c r="E1888" s="54" t="str">
        <f>IFERROR(IF(INDEX(SPOT_Import!$A$1:$Z$2488,1888,'Live Data'!$C$16)="","",INDEX(SPOT_Import!$A$1:$Z$2488,1888,'Live Data'!$C$16)),"")</f>
        <v/>
      </c>
      <c r="F1888" s="54" t="str">
        <f>IFERROR(IF(INDEX(SPOT_Import!$A$1:$Z$2488,1888,'Live Data'!$C$17)="","",INDEX(SPOT_Import!$A$1:$Z$2488,1888,'Live Data'!$C$17)),"")</f>
        <v/>
      </c>
      <c r="G1888" s="54" t="str">
        <f>IFERROR(IF(INDEX(SPOT_Import!$A$1:$Z$2488,1888,'Live Data'!$C$18)="","",INDEX(SPOT_Import!$A$1:$Z$2488,1888,'Live Data'!$C$18)),"")</f>
        <v/>
      </c>
      <c r="H1888" s="54" t="str">
        <f>IFERROR(IF(INDEX(SPOT_Import!$A$1:$Z$2488,1888,'Live Data'!$C$19)="","",INDEX(SPOT_Import!$A$1:$Z$2488,1888,'Live Data'!$C$19)),"")</f>
        <v/>
      </c>
      <c r="I1888" s="54" t="str">
        <f>IFERROR(IF(INDEX(SPOT_Import!$A$1:$Z$2488,1888,'Live Data'!$C$20)="","",INDEX(SPOT_Import!$A$1:$Z$2488,1888,'Live Data'!$C$20)),"")</f>
        <v/>
      </c>
      <c r="J1888" s="54" t="str">
        <f>IFERROR(IF(INDEX(SPOT_Import!$A$1:$Z$2488,1888,'Live Data'!$C$21)="","",INDEX(SPOT_Import!$A$1:$Z$2488,1888,'Live Data'!$C$21)),"")</f>
        <v/>
      </c>
      <c r="K1888" s="54" t="str">
        <f>IFERROR(IF(INDEX(SPOT_Import!$A$1:$Z$2488,1888,'Live Data'!$C$22)="","",INDEX(SPOT_Import!$A$1:$Z$2488,1888,'Live Data'!$C$22)),"")</f>
        <v/>
      </c>
      <c r="L1888" s="55" t="str">
        <f t="shared" si="58"/>
        <v/>
      </c>
      <c r="M1888" s="55" t="str">
        <f t="shared" si="59"/>
        <v/>
      </c>
      <c r="N1888" s="55" t="str">
        <f>IF(A1888="","",IFERROR(INDEX('Cluster Map'!$A$4:$A$38,MATCH(M1888,'Cluster Map'!$B$4:$B$38,0)),"Unmapped"))</f>
        <v/>
      </c>
      <c r="O1888" s="55">
        <f>IF(A1888="",0,IF(COUNTIFS($A$2:A1888,A1888,$F$2:F1888,F1888,$L$2:L1888,L1888)=1,1,0))</f>
        <v>0</v>
      </c>
      <c r="P1888" s="55">
        <f>IF(A1888="",0,IF(AND(F1888="C&amp;T",COUNTIFS($A$2:A1888,A1888,$F$2:F1888,"C&amp;T")=1),1,0))</f>
        <v>0</v>
      </c>
    </row>
    <row r="1889" spans="1:16" x14ac:dyDescent="0.35">
      <c r="A1889" s="54" t="str">
        <f>IFERROR(IF(INDEX(SPOT_Import!$A$1:$Z$2488,1889,'Live Data'!$C$12)="","",INDEX(SPOT_Import!$A$1:$Z$2488,1889,'Live Data'!$C$12)),"")</f>
        <v/>
      </c>
      <c r="B1889" s="54" t="str">
        <f>IFERROR(IF(INDEX(SPOT_Import!$A$1:$Z$2488,1889,'Live Data'!$C$13)="","",INDEX(SPOT_Import!$A$1:$Z$2488,1889,'Live Data'!$C$13)),"")</f>
        <v/>
      </c>
      <c r="C1889" s="54" t="str">
        <f>IFERROR(IF(INDEX(SPOT_Import!$A$1:$Z$2488,1889,'Live Data'!$C$14)="","",INDEX(SPOT_Import!$A$1:$Z$2488,1889,'Live Data'!$C$14)),"")</f>
        <v/>
      </c>
      <c r="D1889" s="54" t="str">
        <f>IFERROR(IF(INDEX(SPOT_Import!$A$1:$Z$2488,1889,'Live Data'!$C$15)="","",INDEX(SPOT_Import!$A$1:$Z$2488,1889,'Live Data'!$C$15)),"")</f>
        <v/>
      </c>
      <c r="E1889" s="54" t="str">
        <f>IFERROR(IF(INDEX(SPOT_Import!$A$1:$Z$2488,1889,'Live Data'!$C$16)="","",INDEX(SPOT_Import!$A$1:$Z$2488,1889,'Live Data'!$C$16)),"")</f>
        <v/>
      </c>
      <c r="F1889" s="54" t="str">
        <f>IFERROR(IF(INDEX(SPOT_Import!$A$1:$Z$2488,1889,'Live Data'!$C$17)="","",INDEX(SPOT_Import!$A$1:$Z$2488,1889,'Live Data'!$C$17)),"")</f>
        <v/>
      </c>
      <c r="G1889" s="54" t="str">
        <f>IFERROR(IF(INDEX(SPOT_Import!$A$1:$Z$2488,1889,'Live Data'!$C$18)="","",INDEX(SPOT_Import!$A$1:$Z$2488,1889,'Live Data'!$C$18)),"")</f>
        <v/>
      </c>
      <c r="H1889" s="54" t="str">
        <f>IFERROR(IF(INDEX(SPOT_Import!$A$1:$Z$2488,1889,'Live Data'!$C$19)="","",INDEX(SPOT_Import!$A$1:$Z$2488,1889,'Live Data'!$C$19)),"")</f>
        <v/>
      </c>
      <c r="I1889" s="54" t="str">
        <f>IFERROR(IF(INDEX(SPOT_Import!$A$1:$Z$2488,1889,'Live Data'!$C$20)="","",INDEX(SPOT_Import!$A$1:$Z$2488,1889,'Live Data'!$C$20)),"")</f>
        <v/>
      </c>
      <c r="J1889" s="54" t="str">
        <f>IFERROR(IF(INDEX(SPOT_Import!$A$1:$Z$2488,1889,'Live Data'!$C$21)="","",INDEX(SPOT_Import!$A$1:$Z$2488,1889,'Live Data'!$C$21)),"")</f>
        <v/>
      </c>
      <c r="K1889" s="54" t="str">
        <f>IFERROR(IF(INDEX(SPOT_Import!$A$1:$Z$2488,1889,'Live Data'!$C$22)="","",INDEX(SPOT_Import!$A$1:$Z$2488,1889,'Live Data'!$C$22)),"")</f>
        <v/>
      </c>
      <c r="L1889" s="55" t="str">
        <f t="shared" si="58"/>
        <v/>
      </c>
      <c r="M1889" s="55" t="str">
        <f t="shared" si="59"/>
        <v/>
      </c>
      <c r="N1889" s="55" t="str">
        <f>IF(A1889="","",IFERROR(INDEX('Cluster Map'!$A$4:$A$38,MATCH(M1889,'Cluster Map'!$B$4:$B$38,0)),"Unmapped"))</f>
        <v/>
      </c>
      <c r="O1889" s="55">
        <f>IF(A1889="",0,IF(COUNTIFS($A$2:A1889,A1889,$F$2:F1889,F1889,$L$2:L1889,L1889)=1,1,0))</f>
        <v>0</v>
      </c>
      <c r="P1889" s="55">
        <f>IF(A1889="",0,IF(AND(F1889="C&amp;T",COUNTIFS($A$2:A1889,A1889,$F$2:F1889,"C&amp;T")=1),1,0))</f>
        <v>0</v>
      </c>
    </row>
    <row r="1890" spans="1:16" x14ac:dyDescent="0.35">
      <c r="A1890" s="54" t="str">
        <f>IFERROR(IF(INDEX(SPOT_Import!$A$1:$Z$2488,1890,'Live Data'!$C$12)="","",INDEX(SPOT_Import!$A$1:$Z$2488,1890,'Live Data'!$C$12)),"")</f>
        <v/>
      </c>
      <c r="B1890" s="54" t="str">
        <f>IFERROR(IF(INDEX(SPOT_Import!$A$1:$Z$2488,1890,'Live Data'!$C$13)="","",INDEX(SPOT_Import!$A$1:$Z$2488,1890,'Live Data'!$C$13)),"")</f>
        <v/>
      </c>
      <c r="C1890" s="54" t="str">
        <f>IFERROR(IF(INDEX(SPOT_Import!$A$1:$Z$2488,1890,'Live Data'!$C$14)="","",INDEX(SPOT_Import!$A$1:$Z$2488,1890,'Live Data'!$C$14)),"")</f>
        <v/>
      </c>
      <c r="D1890" s="54" t="str">
        <f>IFERROR(IF(INDEX(SPOT_Import!$A$1:$Z$2488,1890,'Live Data'!$C$15)="","",INDEX(SPOT_Import!$A$1:$Z$2488,1890,'Live Data'!$C$15)),"")</f>
        <v/>
      </c>
      <c r="E1890" s="54" t="str">
        <f>IFERROR(IF(INDEX(SPOT_Import!$A$1:$Z$2488,1890,'Live Data'!$C$16)="","",INDEX(SPOT_Import!$A$1:$Z$2488,1890,'Live Data'!$C$16)),"")</f>
        <v/>
      </c>
      <c r="F1890" s="54" t="str">
        <f>IFERROR(IF(INDEX(SPOT_Import!$A$1:$Z$2488,1890,'Live Data'!$C$17)="","",INDEX(SPOT_Import!$A$1:$Z$2488,1890,'Live Data'!$C$17)),"")</f>
        <v/>
      </c>
      <c r="G1890" s="54" t="str">
        <f>IFERROR(IF(INDEX(SPOT_Import!$A$1:$Z$2488,1890,'Live Data'!$C$18)="","",INDEX(SPOT_Import!$A$1:$Z$2488,1890,'Live Data'!$C$18)),"")</f>
        <v/>
      </c>
      <c r="H1890" s="54" t="str">
        <f>IFERROR(IF(INDEX(SPOT_Import!$A$1:$Z$2488,1890,'Live Data'!$C$19)="","",INDEX(SPOT_Import!$A$1:$Z$2488,1890,'Live Data'!$C$19)),"")</f>
        <v/>
      </c>
      <c r="I1890" s="54" t="str">
        <f>IFERROR(IF(INDEX(SPOT_Import!$A$1:$Z$2488,1890,'Live Data'!$C$20)="","",INDEX(SPOT_Import!$A$1:$Z$2488,1890,'Live Data'!$C$20)),"")</f>
        <v/>
      </c>
      <c r="J1890" s="54" t="str">
        <f>IFERROR(IF(INDEX(SPOT_Import!$A$1:$Z$2488,1890,'Live Data'!$C$21)="","",INDEX(SPOT_Import!$A$1:$Z$2488,1890,'Live Data'!$C$21)),"")</f>
        <v/>
      </c>
      <c r="K1890" s="54" t="str">
        <f>IFERROR(IF(INDEX(SPOT_Import!$A$1:$Z$2488,1890,'Live Data'!$C$22)="","",INDEX(SPOT_Import!$A$1:$Z$2488,1890,'Live Data'!$C$22)),"")</f>
        <v/>
      </c>
      <c r="L1890" s="55" t="str">
        <f t="shared" si="58"/>
        <v/>
      </c>
      <c r="M1890" s="55" t="str">
        <f t="shared" si="59"/>
        <v/>
      </c>
      <c r="N1890" s="55" t="str">
        <f>IF(A1890="","",IFERROR(INDEX('Cluster Map'!$A$4:$A$38,MATCH(M1890,'Cluster Map'!$B$4:$B$38,0)),"Unmapped"))</f>
        <v/>
      </c>
      <c r="O1890" s="55">
        <f>IF(A1890="",0,IF(COUNTIFS($A$2:A1890,A1890,$F$2:F1890,F1890,$L$2:L1890,L1890)=1,1,0))</f>
        <v>0</v>
      </c>
      <c r="P1890" s="55">
        <f>IF(A1890="",0,IF(AND(F1890="C&amp;T",COUNTIFS($A$2:A1890,A1890,$F$2:F1890,"C&amp;T")=1),1,0))</f>
        <v>0</v>
      </c>
    </row>
    <row r="1891" spans="1:16" x14ac:dyDescent="0.35">
      <c r="A1891" s="54" t="str">
        <f>IFERROR(IF(INDEX(SPOT_Import!$A$1:$Z$2488,1891,'Live Data'!$C$12)="","",INDEX(SPOT_Import!$A$1:$Z$2488,1891,'Live Data'!$C$12)),"")</f>
        <v/>
      </c>
      <c r="B1891" s="54" t="str">
        <f>IFERROR(IF(INDEX(SPOT_Import!$A$1:$Z$2488,1891,'Live Data'!$C$13)="","",INDEX(SPOT_Import!$A$1:$Z$2488,1891,'Live Data'!$C$13)),"")</f>
        <v/>
      </c>
      <c r="C1891" s="54" t="str">
        <f>IFERROR(IF(INDEX(SPOT_Import!$A$1:$Z$2488,1891,'Live Data'!$C$14)="","",INDEX(SPOT_Import!$A$1:$Z$2488,1891,'Live Data'!$C$14)),"")</f>
        <v/>
      </c>
      <c r="D1891" s="54" t="str">
        <f>IFERROR(IF(INDEX(SPOT_Import!$A$1:$Z$2488,1891,'Live Data'!$C$15)="","",INDEX(SPOT_Import!$A$1:$Z$2488,1891,'Live Data'!$C$15)),"")</f>
        <v/>
      </c>
      <c r="E1891" s="54" t="str">
        <f>IFERROR(IF(INDEX(SPOT_Import!$A$1:$Z$2488,1891,'Live Data'!$C$16)="","",INDEX(SPOT_Import!$A$1:$Z$2488,1891,'Live Data'!$C$16)),"")</f>
        <v/>
      </c>
      <c r="F1891" s="54" t="str">
        <f>IFERROR(IF(INDEX(SPOT_Import!$A$1:$Z$2488,1891,'Live Data'!$C$17)="","",INDEX(SPOT_Import!$A$1:$Z$2488,1891,'Live Data'!$C$17)),"")</f>
        <v/>
      </c>
      <c r="G1891" s="54" t="str">
        <f>IFERROR(IF(INDEX(SPOT_Import!$A$1:$Z$2488,1891,'Live Data'!$C$18)="","",INDEX(SPOT_Import!$A$1:$Z$2488,1891,'Live Data'!$C$18)),"")</f>
        <v/>
      </c>
      <c r="H1891" s="54" t="str">
        <f>IFERROR(IF(INDEX(SPOT_Import!$A$1:$Z$2488,1891,'Live Data'!$C$19)="","",INDEX(SPOT_Import!$A$1:$Z$2488,1891,'Live Data'!$C$19)),"")</f>
        <v/>
      </c>
      <c r="I1891" s="54" t="str">
        <f>IFERROR(IF(INDEX(SPOT_Import!$A$1:$Z$2488,1891,'Live Data'!$C$20)="","",INDEX(SPOT_Import!$A$1:$Z$2488,1891,'Live Data'!$C$20)),"")</f>
        <v/>
      </c>
      <c r="J1891" s="54" t="str">
        <f>IFERROR(IF(INDEX(SPOT_Import!$A$1:$Z$2488,1891,'Live Data'!$C$21)="","",INDEX(SPOT_Import!$A$1:$Z$2488,1891,'Live Data'!$C$21)),"")</f>
        <v/>
      </c>
      <c r="K1891" s="54" t="str">
        <f>IFERROR(IF(INDEX(SPOT_Import!$A$1:$Z$2488,1891,'Live Data'!$C$22)="","",INDEX(SPOT_Import!$A$1:$Z$2488,1891,'Live Data'!$C$22)),"")</f>
        <v/>
      </c>
      <c r="L1891" s="55" t="str">
        <f t="shared" si="58"/>
        <v/>
      </c>
      <c r="M1891" s="55" t="str">
        <f t="shared" si="59"/>
        <v/>
      </c>
      <c r="N1891" s="55" t="str">
        <f>IF(A1891="","",IFERROR(INDEX('Cluster Map'!$A$4:$A$38,MATCH(M1891,'Cluster Map'!$B$4:$B$38,0)),"Unmapped"))</f>
        <v/>
      </c>
      <c r="O1891" s="55">
        <f>IF(A1891="",0,IF(COUNTIFS($A$2:A1891,A1891,$F$2:F1891,F1891,$L$2:L1891,L1891)=1,1,0))</f>
        <v>0</v>
      </c>
      <c r="P1891" s="55">
        <f>IF(A1891="",0,IF(AND(F1891="C&amp;T",COUNTIFS($A$2:A1891,A1891,$F$2:F1891,"C&amp;T")=1),1,0))</f>
        <v>0</v>
      </c>
    </row>
    <row r="1892" spans="1:16" x14ac:dyDescent="0.35">
      <c r="A1892" s="54" t="str">
        <f>IFERROR(IF(INDEX(SPOT_Import!$A$1:$Z$2488,1892,'Live Data'!$C$12)="","",INDEX(SPOT_Import!$A$1:$Z$2488,1892,'Live Data'!$C$12)),"")</f>
        <v/>
      </c>
      <c r="B1892" s="54" t="str">
        <f>IFERROR(IF(INDEX(SPOT_Import!$A$1:$Z$2488,1892,'Live Data'!$C$13)="","",INDEX(SPOT_Import!$A$1:$Z$2488,1892,'Live Data'!$C$13)),"")</f>
        <v/>
      </c>
      <c r="C1892" s="54" t="str">
        <f>IFERROR(IF(INDEX(SPOT_Import!$A$1:$Z$2488,1892,'Live Data'!$C$14)="","",INDEX(SPOT_Import!$A$1:$Z$2488,1892,'Live Data'!$C$14)),"")</f>
        <v/>
      </c>
      <c r="D1892" s="54" t="str">
        <f>IFERROR(IF(INDEX(SPOT_Import!$A$1:$Z$2488,1892,'Live Data'!$C$15)="","",INDEX(SPOT_Import!$A$1:$Z$2488,1892,'Live Data'!$C$15)),"")</f>
        <v/>
      </c>
      <c r="E1892" s="54" t="str">
        <f>IFERROR(IF(INDEX(SPOT_Import!$A$1:$Z$2488,1892,'Live Data'!$C$16)="","",INDEX(SPOT_Import!$A$1:$Z$2488,1892,'Live Data'!$C$16)),"")</f>
        <v/>
      </c>
      <c r="F1892" s="54" t="str">
        <f>IFERROR(IF(INDEX(SPOT_Import!$A$1:$Z$2488,1892,'Live Data'!$C$17)="","",INDEX(SPOT_Import!$A$1:$Z$2488,1892,'Live Data'!$C$17)),"")</f>
        <v/>
      </c>
      <c r="G1892" s="54" t="str">
        <f>IFERROR(IF(INDEX(SPOT_Import!$A$1:$Z$2488,1892,'Live Data'!$C$18)="","",INDEX(SPOT_Import!$A$1:$Z$2488,1892,'Live Data'!$C$18)),"")</f>
        <v/>
      </c>
      <c r="H1892" s="54" t="str">
        <f>IFERROR(IF(INDEX(SPOT_Import!$A$1:$Z$2488,1892,'Live Data'!$C$19)="","",INDEX(SPOT_Import!$A$1:$Z$2488,1892,'Live Data'!$C$19)),"")</f>
        <v/>
      </c>
      <c r="I1892" s="54" t="str">
        <f>IFERROR(IF(INDEX(SPOT_Import!$A$1:$Z$2488,1892,'Live Data'!$C$20)="","",INDEX(SPOT_Import!$A$1:$Z$2488,1892,'Live Data'!$C$20)),"")</f>
        <v/>
      </c>
      <c r="J1892" s="54" t="str">
        <f>IFERROR(IF(INDEX(SPOT_Import!$A$1:$Z$2488,1892,'Live Data'!$C$21)="","",INDEX(SPOT_Import!$A$1:$Z$2488,1892,'Live Data'!$C$21)),"")</f>
        <v/>
      </c>
      <c r="K1892" s="54" t="str">
        <f>IFERROR(IF(INDEX(SPOT_Import!$A$1:$Z$2488,1892,'Live Data'!$C$22)="","",INDEX(SPOT_Import!$A$1:$Z$2488,1892,'Live Data'!$C$22)),"")</f>
        <v/>
      </c>
      <c r="L1892" s="55" t="str">
        <f t="shared" si="58"/>
        <v/>
      </c>
      <c r="M1892" s="55" t="str">
        <f t="shared" si="59"/>
        <v/>
      </c>
      <c r="N1892" s="55" t="str">
        <f>IF(A1892="","",IFERROR(INDEX('Cluster Map'!$A$4:$A$38,MATCH(M1892,'Cluster Map'!$B$4:$B$38,0)),"Unmapped"))</f>
        <v/>
      </c>
      <c r="O1892" s="55">
        <f>IF(A1892="",0,IF(COUNTIFS($A$2:A1892,A1892,$F$2:F1892,F1892,$L$2:L1892,L1892)=1,1,0))</f>
        <v>0</v>
      </c>
      <c r="P1892" s="55">
        <f>IF(A1892="",0,IF(AND(F1892="C&amp;T",COUNTIFS($A$2:A1892,A1892,$F$2:F1892,"C&amp;T")=1),1,0))</f>
        <v>0</v>
      </c>
    </row>
    <row r="1893" spans="1:16" x14ac:dyDescent="0.35">
      <c r="A1893" s="54" t="str">
        <f>IFERROR(IF(INDEX(SPOT_Import!$A$1:$Z$2488,1893,'Live Data'!$C$12)="","",INDEX(SPOT_Import!$A$1:$Z$2488,1893,'Live Data'!$C$12)),"")</f>
        <v/>
      </c>
      <c r="B1893" s="54" t="str">
        <f>IFERROR(IF(INDEX(SPOT_Import!$A$1:$Z$2488,1893,'Live Data'!$C$13)="","",INDEX(SPOT_Import!$A$1:$Z$2488,1893,'Live Data'!$C$13)),"")</f>
        <v/>
      </c>
      <c r="C1893" s="54" t="str">
        <f>IFERROR(IF(INDEX(SPOT_Import!$A$1:$Z$2488,1893,'Live Data'!$C$14)="","",INDEX(SPOT_Import!$A$1:$Z$2488,1893,'Live Data'!$C$14)),"")</f>
        <v/>
      </c>
      <c r="D1893" s="54" t="str">
        <f>IFERROR(IF(INDEX(SPOT_Import!$A$1:$Z$2488,1893,'Live Data'!$C$15)="","",INDEX(SPOT_Import!$A$1:$Z$2488,1893,'Live Data'!$C$15)),"")</f>
        <v/>
      </c>
      <c r="E1893" s="54" t="str">
        <f>IFERROR(IF(INDEX(SPOT_Import!$A$1:$Z$2488,1893,'Live Data'!$C$16)="","",INDEX(SPOT_Import!$A$1:$Z$2488,1893,'Live Data'!$C$16)),"")</f>
        <v/>
      </c>
      <c r="F1893" s="54" t="str">
        <f>IFERROR(IF(INDEX(SPOT_Import!$A$1:$Z$2488,1893,'Live Data'!$C$17)="","",INDEX(SPOT_Import!$A$1:$Z$2488,1893,'Live Data'!$C$17)),"")</f>
        <v/>
      </c>
      <c r="G1893" s="54" t="str">
        <f>IFERROR(IF(INDEX(SPOT_Import!$A$1:$Z$2488,1893,'Live Data'!$C$18)="","",INDEX(SPOT_Import!$A$1:$Z$2488,1893,'Live Data'!$C$18)),"")</f>
        <v/>
      </c>
      <c r="H1893" s="54" t="str">
        <f>IFERROR(IF(INDEX(SPOT_Import!$A$1:$Z$2488,1893,'Live Data'!$C$19)="","",INDEX(SPOT_Import!$A$1:$Z$2488,1893,'Live Data'!$C$19)),"")</f>
        <v/>
      </c>
      <c r="I1893" s="54" t="str">
        <f>IFERROR(IF(INDEX(SPOT_Import!$A$1:$Z$2488,1893,'Live Data'!$C$20)="","",INDEX(SPOT_Import!$A$1:$Z$2488,1893,'Live Data'!$C$20)),"")</f>
        <v/>
      </c>
      <c r="J1893" s="54" t="str">
        <f>IFERROR(IF(INDEX(SPOT_Import!$A$1:$Z$2488,1893,'Live Data'!$C$21)="","",INDEX(SPOT_Import!$A$1:$Z$2488,1893,'Live Data'!$C$21)),"")</f>
        <v/>
      </c>
      <c r="K1893" s="54" t="str">
        <f>IFERROR(IF(INDEX(SPOT_Import!$A$1:$Z$2488,1893,'Live Data'!$C$22)="","",INDEX(SPOT_Import!$A$1:$Z$2488,1893,'Live Data'!$C$22)),"")</f>
        <v/>
      </c>
      <c r="L1893" s="55" t="str">
        <f t="shared" si="58"/>
        <v/>
      </c>
      <c r="M1893" s="55" t="str">
        <f t="shared" si="59"/>
        <v/>
      </c>
      <c r="N1893" s="55" t="str">
        <f>IF(A1893="","",IFERROR(INDEX('Cluster Map'!$A$4:$A$38,MATCH(M1893,'Cluster Map'!$B$4:$B$38,0)),"Unmapped"))</f>
        <v/>
      </c>
      <c r="O1893" s="55">
        <f>IF(A1893="",0,IF(COUNTIFS($A$2:A1893,A1893,$F$2:F1893,F1893,$L$2:L1893,L1893)=1,1,0))</f>
        <v>0</v>
      </c>
      <c r="P1893" s="55">
        <f>IF(A1893="",0,IF(AND(F1893="C&amp;T",COUNTIFS($A$2:A1893,A1893,$F$2:F1893,"C&amp;T")=1),1,0))</f>
        <v>0</v>
      </c>
    </row>
    <row r="1894" spans="1:16" x14ac:dyDescent="0.35">
      <c r="A1894" s="54" t="str">
        <f>IFERROR(IF(INDEX(SPOT_Import!$A$1:$Z$2488,1894,'Live Data'!$C$12)="","",INDEX(SPOT_Import!$A$1:$Z$2488,1894,'Live Data'!$C$12)),"")</f>
        <v/>
      </c>
      <c r="B1894" s="54" t="str">
        <f>IFERROR(IF(INDEX(SPOT_Import!$A$1:$Z$2488,1894,'Live Data'!$C$13)="","",INDEX(SPOT_Import!$A$1:$Z$2488,1894,'Live Data'!$C$13)),"")</f>
        <v/>
      </c>
      <c r="C1894" s="54" t="str">
        <f>IFERROR(IF(INDEX(SPOT_Import!$A$1:$Z$2488,1894,'Live Data'!$C$14)="","",INDEX(SPOT_Import!$A$1:$Z$2488,1894,'Live Data'!$C$14)),"")</f>
        <v/>
      </c>
      <c r="D1894" s="54" t="str">
        <f>IFERROR(IF(INDEX(SPOT_Import!$A$1:$Z$2488,1894,'Live Data'!$C$15)="","",INDEX(SPOT_Import!$A$1:$Z$2488,1894,'Live Data'!$C$15)),"")</f>
        <v/>
      </c>
      <c r="E1894" s="54" t="str">
        <f>IFERROR(IF(INDEX(SPOT_Import!$A$1:$Z$2488,1894,'Live Data'!$C$16)="","",INDEX(SPOT_Import!$A$1:$Z$2488,1894,'Live Data'!$C$16)),"")</f>
        <v/>
      </c>
      <c r="F1894" s="54" t="str">
        <f>IFERROR(IF(INDEX(SPOT_Import!$A$1:$Z$2488,1894,'Live Data'!$C$17)="","",INDEX(SPOT_Import!$A$1:$Z$2488,1894,'Live Data'!$C$17)),"")</f>
        <v/>
      </c>
      <c r="G1894" s="54" t="str">
        <f>IFERROR(IF(INDEX(SPOT_Import!$A$1:$Z$2488,1894,'Live Data'!$C$18)="","",INDEX(SPOT_Import!$A$1:$Z$2488,1894,'Live Data'!$C$18)),"")</f>
        <v/>
      </c>
      <c r="H1894" s="54" t="str">
        <f>IFERROR(IF(INDEX(SPOT_Import!$A$1:$Z$2488,1894,'Live Data'!$C$19)="","",INDEX(SPOT_Import!$A$1:$Z$2488,1894,'Live Data'!$C$19)),"")</f>
        <v/>
      </c>
      <c r="I1894" s="54" t="str">
        <f>IFERROR(IF(INDEX(SPOT_Import!$A$1:$Z$2488,1894,'Live Data'!$C$20)="","",INDEX(SPOT_Import!$A$1:$Z$2488,1894,'Live Data'!$C$20)),"")</f>
        <v/>
      </c>
      <c r="J1894" s="54" t="str">
        <f>IFERROR(IF(INDEX(SPOT_Import!$A$1:$Z$2488,1894,'Live Data'!$C$21)="","",INDEX(SPOT_Import!$A$1:$Z$2488,1894,'Live Data'!$C$21)),"")</f>
        <v/>
      </c>
      <c r="K1894" s="54" t="str">
        <f>IFERROR(IF(INDEX(SPOT_Import!$A$1:$Z$2488,1894,'Live Data'!$C$22)="","",INDEX(SPOT_Import!$A$1:$Z$2488,1894,'Live Data'!$C$22)),"")</f>
        <v/>
      </c>
      <c r="L1894" s="55" t="str">
        <f t="shared" si="58"/>
        <v/>
      </c>
      <c r="M1894" s="55" t="str">
        <f t="shared" si="59"/>
        <v/>
      </c>
      <c r="N1894" s="55" t="str">
        <f>IF(A1894="","",IFERROR(INDEX('Cluster Map'!$A$4:$A$38,MATCH(M1894,'Cluster Map'!$B$4:$B$38,0)),"Unmapped"))</f>
        <v/>
      </c>
      <c r="O1894" s="55">
        <f>IF(A1894="",0,IF(COUNTIFS($A$2:A1894,A1894,$F$2:F1894,F1894,$L$2:L1894,L1894)=1,1,0))</f>
        <v>0</v>
      </c>
      <c r="P1894" s="55">
        <f>IF(A1894="",0,IF(AND(F1894="C&amp;T",COUNTIFS($A$2:A1894,A1894,$F$2:F1894,"C&amp;T")=1),1,0))</f>
        <v>0</v>
      </c>
    </row>
    <row r="1895" spans="1:16" x14ac:dyDescent="0.35">
      <c r="A1895" s="54" t="str">
        <f>IFERROR(IF(INDEX(SPOT_Import!$A$1:$Z$2488,1895,'Live Data'!$C$12)="","",INDEX(SPOT_Import!$A$1:$Z$2488,1895,'Live Data'!$C$12)),"")</f>
        <v/>
      </c>
      <c r="B1895" s="54" t="str">
        <f>IFERROR(IF(INDEX(SPOT_Import!$A$1:$Z$2488,1895,'Live Data'!$C$13)="","",INDEX(SPOT_Import!$A$1:$Z$2488,1895,'Live Data'!$C$13)),"")</f>
        <v/>
      </c>
      <c r="C1895" s="54" t="str">
        <f>IFERROR(IF(INDEX(SPOT_Import!$A$1:$Z$2488,1895,'Live Data'!$C$14)="","",INDEX(SPOT_Import!$A$1:$Z$2488,1895,'Live Data'!$C$14)),"")</f>
        <v/>
      </c>
      <c r="D1895" s="54" t="str">
        <f>IFERROR(IF(INDEX(SPOT_Import!$A$1:$Z$2488,1895,'Live Data'!$C$15)="","",INDEX(SPOT_Import!$A$1:$Z$2488,1895,'Live Data'!$C$15)),"")</f>
        <v/>
      </c>
      <c r="E1895" s="54" t="str">
        <f>IFERROR(IF(INDEX(SPOT_Import!$A$1:$Z$2488,1895,'Live Data'!$C$16)="","",INDEX(SPOT_Import!$A$1:$Z$2488,1895,'Live Data'!$C$16)),"")</f>
        <v/>
      </c>
      <c r="F1895" s="54" t="str">
        <f>IFERROR(IF(INDEX(SPOT_Import!$A$1:$Z$2488,1895,'Live Data'!$C$17)="","",INDEX(SPOT_Import!$A$1:$Z$2488,1895,'Live Data'!$C$17)),"")</f>
        <v/>
      </c>
      <c r="G1895" s="54" t="str">
        <f>IFERROR(IF(INDEX(SPOT_Import!$A$1:$Z$2488,1895,'Live Data'!$C$18)="","",INDEX(SPOT_Import!$A$1:$Z$2488,1895,'Live Data'!$C$18)),"")</f>
        <v/>
      </c>
      <c r="H1895" s="54" t="str">
        <f>IFERROR(IF(INDEX(SPOT_Import!$A$1:$Z$2488,1895,'Live Data'!$C$19)="","",INDEX(SPOT_Import!$A$1:$Z$2488,1895,'Live Data'!$C$19)),"")</f>
        <v/>
      </c>
      <c r="I1895" s="54" t="str">
        <f>IFERROR(IF(INDEX(SPOT_Import!$A$1:$Z$2488,1895,'Live Data'!$C$20)="","",INDEX(SPOT_Import!$A$1:$Z$2488,1895,'Live Data'!$C$20)),"")</f>
        <v/>
      </c>
      <c r="J1895" s="54" t="str">
        <f>IFERROR(IF(INDEX(SPOT_Import!$A$1:$Z$2488,1895,'Live Data'!$C$21)="","",INDEX(SPOT_Import!$A$1:$Z$2488,1895,'Live Data'!$C$21)),"")</f>
        <v/>
      </c>
      <c r="K1895" s="54" t="str">
        <f>IFERROR(IF(INDEX(SPOT_Import!$A$1:$Z$2488,1895,'Live Data'!$C$22)="","",INDEX(SPOT_Import!$A$1:$Z$2488,1895,'Live Data'!$C$22)),"")</f>
        <v/>
      </c>
      <c r="L1895" s="55" t="str">
        <f t="shared" si="58"/>
        <v/>
      </c>
      <c r="M1895" s="55" t="str">
        <f t="shared" si="59"/>
        <v/>
      </c>
      <c r="N1895" s="55" t="str">
        <f>IF(A1895="","",IFERROR(INDEX('Cluster Map'!$A$4:$A$38,MATCH(M1895,'Cluster Map'!$B$4:$B$38,0)),"Unmapped"))</f>
        <v/>
      </c>
      <c r="O1895" s="55">
        <f>IF(A1895="",0,IF(COUNTIFS($A$2:A1895,A1895,$F$2:F1895,F1895,$L$2:L1895,L1895)=1,1,0))</f>
        <v>0</v>
      </c>
      <c r="P1895" s="55">
        <f>IF(A1895="",0,IF(AND(F1895="C&amp;T",COUNTIFS($A$2:A1895,A1895,$F$2:F1895,"C&amp;T")=1),1,0))</f>
        <v>0</v>
      </c>
    </row>
    <row r="1896" spans="1:16" x14ac:dyDescent="0.35">
      <c r="A1896" s="54" t="str">
        <f>IFERROR(IF(INDEX(SPOT_Import!$A$1:$Z$2488,1896,'Live Data'!$C$12)="","",INDEX(SPOT_Import!$A$1:$Z$2488,1896,'Live Data'!$C$12)),"")</f>
        <v/>
      </c>
      <c r="B1896" s="54" t="str">
        <f>IFERROR(IF(INDEX(SPOT_Import!$A$1:$Z$2488,1896,'Live Data'!$C$13)="","",INDEX(SPOT_Import!$A$1:$Z$2488,1896,'Live Data'!$C$13)),"")</f>
        <v/>
      </c>
      <c r="C1896" s="54" t="str">
        <f>IFERROR(IF(INDEX(SPOT_Import!$A$1:$Z$2488,1896,'Live Data'!$C$14)="","",INDEX(SPOT_Import!$A$1:$Z$2488,1896,'Live Data'!$C$14)),"")</f>
        <v/>
      </c>
      <c r="D1896" s="54" t="str">
        <f>IFERROR(IF(INDEX(SPOT_Import!$A$1:$Z$2488,1896,'Live Data'!$C$15)="","",INDEX(SPOT_Import!$A$1:$Z$2488,1896,'Live Data'!$C$15)),"")</f>
        <v/>
      </c>
      <c r="E1896" s="54" t="str">
        <f>IFERROR(IF(INDEX(SPOT_Import!$A$1:$Z$2488,1896,'Live Data'!$C$16)="","",INDEX(SPOT_Import!$A$1:$Z$2488,1896,'Live Data'!$C$16)),"")</f>
        <v/>
      </c>
      <c r="F1896" s="54" t="str">
        <f>IFERROR(IF(INDEX(SPOT_Import!$A$1:$Z$2488,1896,'Live Data'!$C$17)="","",INDEX(SPOT_Import!$A$1:$Z$2488,1896,'Live Data'!$C$17)),"")</f>
        <v/>
      </c>
      <c r="G1896" s="54" t="str">
        <f>IFERROR(IF(INDEX(SPOT_Import!$A$1:$Z$2488,1896,'Live Data'!$C$18)="","",INDEX(SPOT_Import!$A$1:$Z$2488,1896,'Live Data'!$C$18)),"")</f>
        <v/>
      </c>
      <c r="H1896" s="54" t="str">
        <f>IFERROR(IF(INDEX(SPOT_Import!$A$1:$Z$2488,1896,'Live Data'!$C$19)="","",INDEX(SPOT_Import!$A$1:$Z$2488,1896,'Live Data'!$C$19)),"")</f>
        <v/>
      </c>
      <c r="I1896" s="54" t="str">
        <f>IFERROR(IF(INDEX(SPOT_Import!$A$1:$Z$2488,1896,'Live Data'!$C$20)="","",INDEX(SPOT_Import!$A$1:$Z$2488,1896,'Live Data'!$C$20)),"")</f>
        <v/>
      </c>
      <c r="J1896" s="54" t="str">
        <f>IFERROR(IF(INDEX(SPOT_Import!$A$1:$Z$2488,1896,'Live Data'!$C$21)="","",INDEX(SPOT_Import!$A$1:$Z$2488,1896,'Live Data'!$C$21)),"")</f>
        <v/>
      </c>
      <c r="K1896" s="54" t="str">
        <f>IFERROR(IF(INDEX(SPOT_Import!$A$1:$Z$2488,1896,'Live Data'!$C$22)="","",INDEX(SPOT_Import!$A$1:$Z$2488,1896,'Live Data'!$C$22)),"")</f>
        <v/>
      </c>
      <c r="L1896" s="55" t="str">
        <f t="shared" si="58"/>
        <v/>
      </c>
      <c r="M1896" s="55" t="str">
        <f t="shared" si="59"/>
        <v/>
      </c>
      <c r="N1896" s="55" t="str">
        <f>IF(A1896="","",IFERROR(INDEX('Cluster Map'!$A$4:$A$38,MATCH(M1896,'Cluster Map'!$B$4:$B$38,0)),"Unmapped"))</f>
        <v/>
      </c>
      <c r="O1896" s="55">
        <f>IF(A1896="",0,IF(COUNTIFS($A$2:A1896,A1896,$F$2:F1896,F1896,$L$2:L1896,L1896)=1,1,0))</f>
        <v>0</v>
      </c>
      <c r="P1896" s="55">
        <f>IF(A1896="",0,IF(AND(F1896="C&amp;T",COUNTIFS($A$2:A1896,A1896,$F$2:F1896,"C&amp;T")=1),1,0))</f>
        <v>0</v>
      </c>
    </row>
    <row r="1897" spans="1:16" x14ac:dyDescent="0.35">
      <c r="A1897" s="54" t="str">
        <f>IFERROR(IF(INDEX(SPOT_Import!$A$1:$Z$2488,1897,'Live Data'!$C$12)="","",INDEX(SPOT_Import!$A$1:$Z$2488,1897,'Live Data'!$C$12)),"")</f>
        <v/>
      </c>
      <c r="B1897" s="54" t="str">
        <f>IFERROR(IF(INDEX(SPOT_Import!$A$1:$Z$2488,1897,'Live Data'!$C$13)="","",INDEX(SPOT_Import!$A$1:$Z$2488,1897,'Live Data'!$C$13)),"")</f>
        <v/>
      </c>
      <c r="C1897" s="54" t="str">
        <f>IFERROR(IF(INDEX(SPOT_Import!$A$1:$Z$2488,1897,'Live Data'!$C$14)="","",INDEX(SPOT_Import!$A$1:$Z$2488,1897,'Live Data'!$C$14)),"")</f>
        <v/>
      </c>
      <c r="D1897" s="54" t="str">
        <f>IFERROR(IF(INDEX(SPOT_Import!$A$1:$Z$2488,1897,'Live Data'!$C$15)="","",INDEX(SPOT_Import!$A$1:$Z$2488,1897,'Live Data'!$C$15)),"")</f>
        <v/>
      </c>
      <c r="E1897" s="54" t="str">
        <f>IFERROR(IF(INDEX(SPOT_Import!$A$1:$Z$2488,1897,'Live Data'!$C$16)="","",INDEX(SPOT_Import!$A$1:$Z$2488,1897,'Live Data'!$C$16)),"")</f>
        <v/>
      </c>
      <c r="F1897" s="54" t="str">
        <f>IFERROR(IF(INDEX(SPOT_Import!$A$1:$Z$2488,1897,'Live Data'!$C$17)="","",INDEX(SPOT_Import!$A$1:$Z$2488,1897,'Live Data'!$C$17)),"")</f>
        <v/>
      </c>
      <c r="G1897" s="54" t="str">
        <f>IFERROR(IF(INDEX(SPOT_Import!$A$1:$Z$2488,1897,'Live Data'!$C$18)="","",INDEX(SPOT_Import!$A$1:$Z$2488,1897,'Live Data'!$C$18)),"")</f>
        <v/>
      </c>
      <c r="H1897" s="54" t="str">
        <f>IFERROR(IF(INDEX(SPOT_Import!$A$1:$Z$2488,1897,'Live Data'!$C$19)="","",INDEX(SPOT_Import!$A$1:$Z$2488,1897,'Live Data'!$C$19)),"")</f>
        <v/>
      </c>
      <c r="I1897" s="54" t="str">
        <f>IFERROR(IF(INDEX(SPOT_Import!$A$1:$Z$2488,1897,'Live Data'!$C$20)="","",INDEX(SPOT_Import!$A$1:$Z$2488,1897,'Live Data'!$C$20)),"")</f>
        <v/>
      </c>
      <c r="J1897" s="54" t="str">
        <f>IFERROR(IF(INDEX(SPOT_Import!$A$1:$Z$2488,1897,'Live Data'!$C$21)="","",INDEX(SPOT_Import!$A$1:$Z$2488,1897,'Live Data'!$C$21)),"")</f>
        <v/>
      </c>
      <c r="K1897" s="54" t="str">
        <f>IFERROR(IF(INDEX(SPOT_Import!$A$1:$Z$2488,1897,'Live Data'!$C$22)="","",INDEX(SPOT_Import!$A$1:$Z$2488,1897,'Live Data'!$C$22)),"")</f>
        <v/>
      </c>
      <c r="L1897" s="55" t="str">
        <f t="shared" si="58"/>
        <v/>
      </c>
      <c r="M1897" s="55" t="str">
        <f t="shared" si="59"/>
        <v/>
      </c>
      <c r="N1897" s="55" t="str">
        <f>IF(A1897="","",IFERROR(INDEX('Cluster Map'!$A$4:$A$38,MATCH(M1897,'Cluster Map'!$B$4:$B$38,0)),"Unmapped"))</f>
        <v/>
      </c>
      <c r="O1897" s="55">
        <f>IF(A1897="",0,IF(COUNTIFS($A$2:A1897,A1897,$F$2:F1897,F1897,$L$2:L1897,L1897)=1,1,0))</f>
        <v>0</v>
      </c>
      <c r="P1897" s="55">
        <f>IF(A1897="",0,IF(AND(F1897="C&amp;T",COUNTIFS($A$2:A1897,A1897,$F$2:F1897,"C&amp;T")=1),1,0))</f>
        <v>0</v>
      </c>
    </row>
    <row r="1898" spans="1:16" x14ac:dyDescent="0.35">
      <c r="A1898" s="54" t="str">
        <f>IFERROR(IF(INDEX(SPOT_Import!$A$1:$Z$2488,1898,'Live Data'!$C$12)="","",INDEX(SPOT_Import!$A$1:$Z$2488,1898,'Live Data'!$C$12)),"")</f>
        <v/>
      </c>
      <c r="B1898" s="54" t="str">
        <f>IFERROR(IF(INDEX(SPOT_Import!$A$1:$Z$2488,1898,'Live Data'!$C$13)="","",INDEX(SPOT_Import!$A$1:$Z$2488,1898,'Live Data'!$C$13)),"")</f>
        <v/>
      </c>
      <c r="C1898" s="54" t="str">
        <f>IFERROR(IF(INDEX(SPOT_Import!$A$1:$Z$2488,1898,'Live Data'!$C$14)="","",INDEX(SPOT_Import!$A$1:$Z$2488,1898,'Live Data'!$C$14)),"")</f>
        <v/>
      </c>
      <c r="D1898" s="54" t="str">
        <f>IFERROR(IF(INDEX(SPOT_Import!$A$1:$Z$2488,1898,'Live Data'!$C$15)="","",INDEX(SPOT_Import!$A$1:$Z$2488,1898,'Live Data'!$C$15)),"")</f>
        <v/>
      </c>
      <c r="E1898" s="54" t="str">
        <f>IFERROR(IF(INDEX(SPOT_Import!$A$1:$Z$2488,1898,'Live Data'!$C$16)="","",INDEX(SPOT_Import!$A$1:$Z$2488,1898,'Live Data'!$C$16)),"")</f>
        <v/>
      </c>
      <c r="F1898" s="54" t="str">
        <f>IFERROR(IF(INDEX(SPOT_Import!$A$1:$Z$2488,1898,'Live Data'!$C$17)="","",INDEX(SPOT_Import!$A$1:$Z$2488,1898,'Live Data'!$C$17)),"")</f>
        <v/>
      </c>
      <c r="G1898" s="54" t="str">
        <f>IFERROR(IF(INDEX(SPOT_Import!$A$1:$Z$2488,1898,'Live Data'!$C$18)="","",INDEX(SPOT_Import!$A$1:$Z$2488,1898,'Live Data'!$C$18)),"")</f>
        <v/>
      </c>
      <c r="H1898" s="54" t="str">
        <f>IFERROR(IF(INDEX(SPOT_Import!$A$1:$Z$2488,1898,'Live Data'!$C$19)="","",INDEX(SPOT_Import!$A$1:$Z$2488,1898,'Live Data'!$C$19)),"")</f>
        <v/>
      </c>
      <c r="I1898" s="54" t="str">
        <f>IFERROR(IF(INDEX(SPOT_Import!$A$1:$Z$2488,1898,'Live Data'!$C$20)="","",INDEX(SPOT_Import!$A$1:$Z$2488,1898,'Live Data'!$C$20)),"")</f>
        <v/>
      </c>
      <c r="J1898" s="54" t="str">
        <f>IFERROR(IF(INDEX(SPOT_Import!$A$1:$Z$2488,1898,'Live Data'!$C$21)="","",INDEX(SPOT_Import!$A$1:$Z$2488,1898,'Live Data'!$C$21)),"")</f>
        <v/>
      </c>
      <c r="K1898" s="54" t="str">
        <f>IFERROR(IF(INDEX(SPOT_Import!$A$1:$Z$2488,1898,'Live Data'!$C$22)="","",INDEX(SPOT_Import!$A$1:$Z$2488,1898,'Live Data'!$C$22)),"")</f>
        <v/>
      </c>
      <c r="L1898" s="55" t="str">
        <f t="shared" si="58"/>
        <v/>
      </c>
      <c r="M1898" s="55" t="str">
        <f t="shared" si="59"/>
        <v/>
      </c>
      <c r="N1898" s="55" t="str">
        <f>IF(A1898="","",IFERROR(INDEX('Cluster Map'!$A$4:$A$38,MATCH(M1898,'Cluster Map'!$B$4:$B$38,0)),"Unmapped"))</f>
        <v/>
      </c>
      <c r="O1898" s="55">
        <f>IF(A1898="",0,IF(COUNTIFS($A$2:A1898,A1898,$F$2:F1898,F1898,$L$2:L1898,L1898)=1,1,0))</f>
        <v>0</v>
      </c>
      <c r="P1898" s="55">
        <f>IF(A1898="",0,IF(AND(F1898="C&amp;T",COUNTIFS($A$2:A1898,A1898,$F$2:F1898,"C&amp;T")=1),1,0))</f>
        <v>0</v>
      </c>
    </row>
    <row r="1899" spans="1:16" x14ac:dyDescent="0.35">
      <c r="A1899" s="54" t="str">
        <f>IFERROR(IF(INDEX(SPOT_Import!$A$1:$Z$2488,1899,'Live Data'!$C$12)="","",INDEX(SPOT_Import!$A$1:$Z$2488,1899,'Live Data'!$C$12)),"")</f>
        <v/>
      </c>
      <c r="B1899" s="54" t="str">
        <f>IFERROR(IF(INDEX(SPOT_Import!$A$1:$Z$2488,1899,'Live Data'!$C$13)="","",INDEX(SPOT_Import!$A$1:$Z$2488,1899,'Live Data'!$C$13)),"")</f>
        <v/>
      </c>
      <c r="C1899" s="54" t="str">
        <f>IFERROR(IF(INDEX(SPOT_Import!$A$1:$Z$2488,1899,'Live Data'!$C$14)="","",INDEX(SPOT_Import!$A$1:$Z$2488,1899,'Live Data'!$C$14)),"")</f>
        <v/>
      </c>
      <c r="D1899" s="54" t="str">
        <f>IFERROR(IF(INDEX(SPOT_Import!$A$1:$Z$2488,1899,'Live Data'!$C$15)="","",INDEX(SPOT_Import!$A$1:$Z$2488,1899,'Live Data'!$C$15)),"")</f>
        <v/>
      </c>
      <c r="E1899" s="54" t="str">
        <f>IFERROR(IF(INDEX(SPOT_Import!$A$1:$Z$2488,1899,'Live Data'!$C$16)="","",INDEX(SPOT_Import!$A$1:$Z$2488,1899,'Live Data'!$C$16)),"")</f>
        <v/>
      </c>
      <c r="F1899" s="54" t="str">
        <f>IFERROR(IF(INDEX(SPOT_Import!$A$1:$Z$2488,1899,'Live Data'!$C$17)="","",INDEX(SPOT_Import!$A$1:$Z$2488,1899,'Live Data'!$C$17)),"")</f>
        <v/>
      </c>
      <c r="G1899" s="54" t="str">
        <f>IFERROR(IF(INDEX(SPOT_Import!$A$1:$Z$2488,1899,'Live Data'!$C$18)="","",INDEX(SPOT_Import!$A$1:$Z$2488,1899,'Live Data'!$C$18)),"")</f>
        <v/>
      </c>
      <c r="H1899" s="54" t="str">
        <f>IFERROR(IF(INDEX(SPOT_Import!$A$1:$Z$2488,1899,'Live Data'!$C$19)="","",INDEX(SPOT_Import!$A$1:$Z$2488,1899,'Live Data'!$C$19)),"")</f>
        <v/>
      </c>
      <c r="I1899" s="54" t="str">
        <f>IFERROR(IF(INDEX(SPOT_Import!$A$1:$Z$2488,1899,'Live Data'!$C$20)="","",INDEX(SPOT_Import!$A$1:$Z$2488,1899,'Live Data'!$C$20)),"")</f>
        <v/>
      </c>
      <c r="J1899" s="54" t="str">
        <f>IFERROR(IF(INDEX(SPOT_Import!$A$1:$Z$2488,1899,'Live Data'!$C$21)="","",INDEX(SPOT_Import!$A$1:$Z$2488,1899,'Live Data'!$C$21)),"")</f>
        <v/>
      </c>
      <c r="K1899" s="54" t="str">
        <f>IFERROR(IF(INDEX(SPOT_Import!$A$1:$Z$2488,1899,'Live Data'!$C$22)="","",INDEX(SPOT_Import!$A$1:$Z$2488,1899,'Live Data'!$C$22)),"")</f>
        <v/>
      </c>
      <c r="L1899" s="55" t="str">
        <f t="shared" si="58"/>
        <v/>
      </c>
      <c r="M1899" s="55" t="str">
        <f t="shared" si="59"/>
        <v/>
      </c>
      <c r="N1899" s="55" t="str">
        <f>IF(A1899="","",IFERROR(INDEX('Cluster Map'!$A$4:$A$38,MATCH(M1899,'Cluster Map'!$B$4:$B$38,0)),"Unmapped"))</f>
        <v/>
      </c>
      <c r="O1899" s="55">
        <f>IF(A1899="",0,IF(COUNTIFS($A$2:A1899,A1899,$F$2:F1899,F1899,$L$2:L1899,L1899)=1,1,0))</f>
        <v>0</v>
      </c>
      <c r="P1899" s="55">
        <f>IF(A1899="",0,IF(AND(F1899="C&amp;T",COUNTIFS($A$2:A1899,A1899,$F$2:F1899,"C&amp;T")=1),1,0))</f>
        <v>0</v>
      </c>
    </row>
    <row r="1900" spans="1:16" x14ac:dyDescent="0.35">
      <c r="A1900" s="54" t="str">
        <f>IFERROR(IF(INDEX(SPOT_Import!$A$1:$Z$2488,1900,'Live Data'!$C$12)="","",INDEX(SPOT_Import!$A$1:$Z$2488,1900,'Live Data'!$C$12)),"")</f>
        <v/>
      </c>
      <c r="B1900" s="54" t="str">
        <f>IFERROR(IF(INDEX(SPOT_Import!$A$1:$Z$2488,1900,'Live Data'!$C$13)="","",INDEX(SPOT_Import!$A$1:$Z$2488,1900,'Live Data'!$C$13)),"")</f>
        <v/>
      </c>
      <c r="C1900" s="54" t="str">
        <f>IFERROR(IF(INDEX(SPOT_Import!$A$1:$Z$2488,1900,'Live Data'!$C$14)="","",INDEX(SPOT_Import!$A$1:$Z$2488,1900,'Live Data'!$C$14)),"")</f>
        <v/>
      </c>
      <c r="D1900" s="54" t="str">
        <f>IFERROR(IF(INDEX(SPOT_Import!$A$1:$Z$2488,1900,'Live Data'!$C$15)="","",INDEX(SPOT_Import!$A$1:$Z$2488,1900,'Live Data'!$C$15)),"")</f>
        <v/>
      </c>
      <c r="E1900" s="54" t="str">
        <f>IFERROR(IF(INDEX(SPOT_Import!$A$1:$Z$2488,1900,'Live Data'!$C$16)="","",INDEX(SPOT_Import!$A$1:$Z$2488,1900,'Live Data'!$C$16)),"")</f>
        <v/>
      </c>
      <c r="F1900" s="54" t="str">
        <f>IFERROR(IF(INDEX(SPOT_Import!$A$1:$Z$2488,1900,'Live Data'!$C$17)="","",INDEX(SPOT_Import!$A$1:$Z$2488,1900,'Live Data'!$C$17)),"")</f>
        <v/>
      </c>
      <c r="G1900" s="54" t="str">
        <f>IFERROR(IF(INDEX(SPOT_Import!$A$1:$Z$2488,1900,'Live Data'!$C$18)="","",INDEX(SPOT_Import!$A$1:$Z$2488,1900,'Live Data'!$C$18)),"")</f>
        <v/>
      </c>
      <c r="H1900" s="54" t="str">
        <f>IFERROR(IF(INDEX(SPOT_Import!$A$1:$Z$2488,1900,'Live Data'!$C$19)="","",INDEX(SPOT_Import!$A$1:$Z$2488,1900,'Live Data'!$C$19)),"")</f>
        <v/>
      </c>
      <c r="I1900" s="54" t="str">
        <f>IFERROR(IF(INDEX(SPOT_Import!$A$1:$Z$2488,1900,'Live Data'!$C$20)="","",INDEX(SPOT_Import!$A$1:$Z$2488,1900,'Live Data'!$C$20)),"")</f>
        <v/>
      </c>
      <c r="J1900" s="54" t="str">
        <f>IFERROR(IF(INDEX(SPOT_Import!$A$1:$Z$2488,1900,'Live Data'!$C$21)="","",INDEX(SPOT_Import!$A$1:$Z$2488,1900,'Live Data'!$C$21)),"")</f>
        <v/>
      </c>
      <c r="K1900" s="54" t="str">
        <f>IFERROR(IF(INDEX(SPOT_Import!$A$1:$Z$2488,1900,'Live Data'!$C$22)="","",INDEX(SPOT_Import!$A$1:$Z$2488,1900,'Live Data'!$C$22)),"")</f>
        <v/>
      </c>
      <c r="L1900" s="55" t="str">
        <f t="shared" si="58"/>
        <v/>
      </c>
      <c r="M1900" s="55" t="str">
        <f t="shared" si="59"/>
        <v/>
      </c>
      <c r="N1900" s="55" t="str">
        <f>IF(A1900="","",IFERROR(INDEX('Cluster Map'!$A$4:$A$38,MATCH(M1900,'Cluster Map'!$B$4:$B$38,0)),"Unmapped"))</f>
        <v/>
      </c>
      <c r="O1900" s="55">
        <f>IF(A1900="",0,IF(COUNTIFS($A$2:A1900,A1900,$F$2:F1900,F1900,$L$2:L1900,L1900)=1,1,0))</f>
        <v>0</v>
      </c>
      <c r="P1900" s="55">
        <f>IF(A1900="",0,IF(AND(F1900="C&amp;T",COUNTIFS($A$2:A1900,A1900,$F$2:F1900,"C&amp;T")=1),1,0))</f>
        <v>0</v>
      </c>
    </row>
    <row r="1901" spans="1:16" x14ac:dyDescent="0.35">
      <c r="A1901" s="54" t="str">
        <f>IFERROR(IF(INDEX(SPOT_Import!$A$1:$Z$2488,1901,'Live Data'!$C$12)="","",INDEX(SPOT_Import!$A$1:$Z$2488,1901,'Live Data'!$C$12)),"")</f>
        <v/>
      </c>
      <c r="B1901" s="54" t="str">
        <f>IFERROR(IF(INDEX(SPOT_Import!$A$1:$Z$2488,1901,'Live Data'!$C$13)="","",INDEX(SPOT_Import!$A$1:$Z$2488,1901,'Live Data'!$C$13)),"")</f>
        <v/>
      </c>
      <c r="C1901" s="54" t="str">
        <f>IFERROR(IF(INDEX(SPOT_Import!$A$1:$Z$2488,1901,'Live Data'!$C$14)="","",INDEX(SPOT_Import!$A$1:$Z$2488,1901,'Live Data'!$C$14)),"")</f>
        <v/>
      </c>
      <c r="D1901" s="54" t="str">
        <f>IFERROR(IF(INDEX(SPOT_Import!$A$1:$Z$2488,1901,'Live Data'!$C$15)="","",INDEX(SPOT_Import!$A$1:$Z$2488,1901,'Live Data'!$C$15)),"")</f>
        <v/>
      </c>
      <c r="E1901" s="54" t="str">
        <f>IFERROR(IF(INDEX(SPOT_Import!$A$1:$Z$2488,1901,'Live Data'!$C$16)="","",INDEX(SPOT_Import!$A$1:$Z$2488,1901,'Live Data'!$C$16)),"")</f>
        <v/>
      </c>
      <c r="F1901" s="54" t="str">
        <f>IFERROR(IF(INDEX(SPOT_Import!$A$1:$Z$2488,1901,'Live Data'!$C$17)="","",INDEX(SPOT_Import!$A$1:$Z$2488,1901,'Live Data'!$C$17)),"")</f>
        <v/>
      </c>
      <c r="G1901" s="54" t="str">
        <f>IFERROR(IF(INDEX(SPOT_Import!$A$1:$Z$2488,1901,'Live Data'!$C$18)="","",INDEX(SPOT_Import!$A$1:$Z$2488,1901,'Live Data'!$C$18)),"")</f>
        <v/>
      </c>
      <c r="H1901" s="54" t="str">
        <f>IFERROR(IF(INDEX(SPOT_Import!$A$1:$Z$2488,1901,'Live Data'!$C$19)="","",INDEX(SPOT_Import!$A$1:$Z$2488,1901,'Live Data'!$C$19)),"")</f>
        <v/>
      </c>
      <c r="I1901" s="54" t="str">
        <f>IFERROR(IF(INDEX(SPOT_Import!$A$1:$Z$2488,1901,'Live Data'!$C$20)="","",INDEX(SPOT_Import!$A$1:$Z$2488,1901,'Live Data'!$C$20)),"")</f>
        <v/>
      </c>
      <c r="J1901" s="54" t="str">
        <f>IFERROR(IF(INDEX(SPOT_Import!$A$1:$Z$2488,1901,'Live Data'!$C$21)="","",INDEX(SPOT_Import!$A$1:$Z$2488,1901,'Live Data'!$C$21)),"")</f>
        <v/>
      </c>
      <c r="K1901" s="54" t="str">
        <f>IFERROR(IF(INDEX(SPOT_Import!$A$1:$Z$2488,1901,'Live Data'!$C$22)="","",INDEX(SPOT_Import!$A$1:$Z$2488,1901,'Live Data'!$C$22)),"")</f>
        <v/>
      </c>
      <c r="L1901" s="55" t="str">
        <f t="shared" si="58"/>
        <v/>
      </c>
      <c r="M1901" s="55" t="str">
        <f t="shared" si="59"/>
        <v/>
      </c>
      <c r="N1901" s="55" t="str">
        <f>IF(A1901="","",IFERROR(INDEX('Cluster Map'!$A$4:$A$38,MATCH(M1901,'Cluster Map'!$B$4:$B$38,0)),"Unmapped"))</f>
        <v/>
      </c>
      <c r="O1901" s="55">
        <f>IF(A1901="",0,IF(COUNTIFS($A$2:A1901,A1901,$F$2:F1901,F1901,$L$2:L1901,L1901)=1,1,0))</f>
        <v>0</v>
      </c>
      <c r="P1901" s="55">
        <f>IF(A1901="",0,IF(AND(F1901="C&amp;T",COUNTIFS($A$2:A1901,A1901,$F$2:F1901,"C&amp;T")=1),1,0))</f>
        <v>0</v>
      </c>
    </row>
    <row r="1902" spans="1:16" x14ac:dyDescent="0.35">
      <c r="A1902" s="54" t="str">
        <f>IFERROR(IF(INDEX(SPOT_Import!$A$1:$Z$2488,1902,'Live Data'!$C$12)="","",INDEX(SPOT_Import!$A$1:$Z$2488,1902,'Live Data'!$C$12)),"")</f>
        <v/>
      </c>
      <c r="B1902" s="54" t="str">
        <f>IFERROR(IF(INDEX(SPOT_Import!$A$1:$Z$2488,1902,'Live Data'!$C$13)="","",INDEX(SPOT_Import!$A$1:$Z$2488,1902,'Live Data'!$C$13)),"")</f>
        <v/>
      </c>
      <c r="C1902" s="54" t="str">
        <f>IFERROR(IF(INDEX(SPOT_Import!$A$1:$Z$2488,1902,'Live Data'!$C$14)="","",INDEX(SPOT_Import!$A$1:$Z$2488,1902,'Live Data'!$C$14)),"")</f>
        <v/>
      </c>
      <c r="D1902" s="54" t="str">
        <f>IFERROR(IF(INDEX(SPOT_Import!$A$1:$Z$2488,1902,'Live Data'!$C$15)="","",INDEX(SPOT_Import!$A$1:$Z$2488,1902,'Live Data'!$C$15)),"")</f>
        <v/>
      </c>
      <c r="E1902" s="54" t="str">
        <f>IFERROR(IF(INDEX(SPOT_Import!$A$1:$Z$2488,1902,'Live Data'!$C$16)="","",INDEX(SPOT_Import!$A$1:$Z$2488,1902,'Live Data'!$C$16)),"")</f>
        <v/>
      </c>
      <c r="F1902" s="54" t="str">
        <f>IFERROR(IF(INDEX(SPOT_Import!$A$1:$Z$2488,1902,'Live Data'!$C$17)="","",INDEX(SPOT_Import!$A$1:$Z$2488,1902,'Live Data'!$C$17)),"")</f>
        <v/>
      </c>
      <c r="G1902" s="54" t="str">
        <f>IFERROR(IF(INDEX(SPOT_Import!$A$1:$Z$2488,1902,'Live Data'!$C$18)="","",INDEX(SPOT_Import!$A$1:$Z$2488,1902,'Live Data'!$C$18)),"")</f>
        <v/>
      </c>
      <c r="H1902" s="54" t="str">
        <f>IFERROR(IF(INDEX(SPOT_Import!$A$1:$Z$2488,1902,'Live Data'!$C$19)="","",INDEX(SPOT_Import!$A$1:$Z$2488,1902,'Live Data'!$C$19)),"")</f>
        <v/>
      </c>
      <c r="I1902" s="54" t="str">
        <f>IFERROR(IF(INDEX(SPOT_Import!$A$1:$Z$2488,1902,'Live Data'!$C$20)="","",INDEX(SPOT_Import!$A$1:$Z$2488,1902,'Live Data'!$C$20)),"")</f>
        <v/>
      </c>
      <c r="J1902" s="54" t="str">
        <f>IFERROR(IF(INDEX(SPOT_Import!$A$1:$Z$2488,1902,'Live Data'!$C$21)="","",INDEX(SPOT_Import!$A$1:$Z$2488,1902,'Live Data'!$C$21)),"")</f>
        <v/>
      </c>
      <c r="K1902" s="54" t="str">
        <f>IFERROR(IF(INDEX(SPOT_Import!$A$1:$Z$2488,1902,'Live Data'!$C$22)="","",INDEX(SPOT_Import!$A$1:$Z$2488,1902,'Live Data'!$C$22)),"")</f>
        <v/>
      </c>
      <c r="L1902" s="55" t="str">
        <f t="shared" si="58"/>
        <v/>
      </c>
      <c r="M1902" s="55" t="str">
        <f t="shared" si="59"/>
        <v/>
      </c>
      <c r="N1902" s="55" t="str">
        <f>IF(A1902="","",IFERROR(INDEX('Cluster Map'!$A$4:$A$38,MATCH(M1902,'Cluster Map'!$B$4:$B$38,0)),"Unmapped"))</f>
        <v/>
      </c>
      <c r="O1902" s="55">
        <f>IF(A1902="",0,IF(COUNTIFS($A$2:A1902,A1902,$F$2:F1902,F1902,$L$2:L1902,L1902)=1,1,0))</f>
        <v>0</v>
      </c>
      <c r="P1902" s="55">
        <f>IF(A1902="",0,IF(AND(F1902="C&amp;T",COUNTIFS($A$2:A1902,A1902,$F$2:F1902,"C&amp;T")=1),1,0))</f>
        <v>0</v>
      </c>
    </row>
    <row r="1903" spans="1:16" x14ac:dyDescent="0.35">
      <c r="A1903" s="54" t="str">
        <f>IFERROR(IF(INDEX(SPOT_Import!$A$1:$Z$2488,1903,'Live Data'!$C$12)="","",INDEX(SPOT_Import!$A$1:$Z$2488,1903,'Live Data'!$C$12)),"")</f>
        <v/>
      </c>
      <c r="B1903" s="54" t="str">
        <f>IFERROR(IF(INDEX(SPOT_Import!$A$1:$Z$2488,1903,'Live Data'!$C$13)="","",INDEX(SPOT_Import!$A$1:$Z$2488,1903,'Live Data'!$C$13)),"")</f>
        <v/>
      </c>
      <c r="C1903" s="54" t="str">
        <f>IFERROR(IF(INDEX(SPOT_Import!$A$1:$Z$2488,1903,'Live Data'!$C$14)="","",INDEX(SPOT_Import!$A$1:$Z$2488,1903,'Live Data'!$C$14)),"")</f>
        <v/>
      </c>
      <c r="D1903" s="54" t="str">
        <f>IFERROR(IF(INDEX(SPOT_Import!$A$1:$Z$2488,1903,'Live Data'!$C$15)="","",INDEX(SPOT_Import!$A$1:$Z$2488,1903,'Live Data'!$C$15)),"")</f>
        <v/>
      </c>
      <c r="E1903" s="54" t="str">
        <f>IFERROR(IF(INDEX(SPOT_Import!$A$1:$Z$2488,1903,'Live Data'!$C$16)="","",INDEX(SPOT_Import!$A$1:$Z$2488,1903,'Live Data'!$C$16)),"")</f>
        <v/>
      </c>
      <c r="F1903" s="54" t="str">
        <f>IFERROR(IF(INDEX(SPOT_Import!$A$1:$Z$2488,1903,'Live Data'!$C$17)="","",INDEX(SPOT_Import!$A$1:$Z$2488,1903,'Live Data'!$C$17)),"")</f>
        <v/>
      </c>
      <c r="G1903" s="54" t="str">
        <f>IFERROR(IF(INDEX(SPOT_Import!$A$1:$Z$2488,1903,'Live Data'!$C$18)="","",INDEX(SPOT_Import!$A$1:$Z$2488,1903,'Live Data'!$C$18)),"")</f>
        <v/>
      </c>
      <c r="H1903" s="54" t="str">
        <f>IFERROR(IF(INDEX(SPOT_Import!$A$1:$Z$2488,1903,'Live Data'!$C$19)="","",INDEX(SPOT_Import!$A$1:$Z$2488,1903,'Live Data'!$C$19)),"")</f>
        <v/>
      </c>
      <c r="I1903" s="54" t="str">
        <f>IFERROR(IF(INDEX(SPOT_Import!$A$1:$Z$2488,1903,'Live Data'!$C$20)="","",INDEX(SPOT_Import!$A$1:$Z$2488,1903,'Live Data'!$C$20)),"")</f>
        <v/>
      </c>
      <c r="J1903" s="54" t="str">
        <f>IFERROR(IF(INDEX(SPOT_Import!$A$1:$Z$2488,1903,'Live Data'!$C$21)="","",INDEX(SPOT_Import!$A$1:$Z$2488,1903,'Live Data'!$C$21)),"")</f>
        <v/>
      </c>
      <c r="K1903" s="54" t="str">
        <f>IFERROR(IF(INDEX(SPOT_Import!$A$1:$Z$2488,1903,'Live Data'!$C$22)="","",INDEX(SPOT_Import!$A$1:$Z$2488,1903,'Live Data'!$C$22)),"")</f>
        <v/>
      </c>
      <c r="L1903" s="55" t="str">
        <f t="shared" si="58"/>
        <v/>
      </c>
      <c r="M1903" s="55" t="str">
        <f t="shared" si="59"/>
        <v/>
      </c>
      <c r="N1903" s="55" t="str">
        <f>IF(A1903="","",IFERROR(INDEX('Cluster Map'!$A$4:$A$38,MATCH(M1903,'Cluster Map'!$B$4:$B$38,0)),"Unmapped"))</f>
        <v/>
      </c>
      <c r="O1903" s="55">
        <f>IF(A1903="",0,IF(COUNTIFS($A$2:A1903,A1903,$F$2:F1903,F1903,$L$2:L1903,L1903)=1,1,0))</f>
        <v>0</v>
      </c>
      <c r="P1903" s="55">
        <f>IF(A1903="",0,IF(AND(F1903="C&amp;T",COUNTIFS($A$2:A1903,A1903,$F$2:F1903,"C&amp;T")=1),1,0))</f>
        <v>0</v>
      </c>
    </row>
    <row r="1904" spans="1:16" x14ac:dyDescent="0.35">
      <c r="A1904" s="54" t="str">
        <f>IFERROR(IF(INDEX(SPOT_Import!$A$1:$Z$2488,1904,'Live Data'!$C$12)="","",INDEX(SPOT_Import!$A$1:$Z$2488,1904,'Live Data'!$C$12)),"")</f>
        <v/>
      </c>
      <c r="B1904" s="54" t="str">
        <f>IFERROR(IF(INDEX(SPOT_Import!$A$1:$Z$2488,1904,'Live Data'!$C$13)="","",INDEX(SPOT_Import!$A$1:$Z$2488,1904,'Live Data'!$C$13)),"")</f>
        <v/>
      </c>
      <c r="C1904" s="54" t="str">
        <f>IFERROR(IF(INDEX(SPOT_Import!$A$1:$Z$2488,1904,'Live Data'!$C$14)="","",INDEX(SPOT_Import!$A$1:$Z$2488,1904,'Live Data'!$C$14)),"")</f>
        <v/>
      </c>
      <c r="D1904" s="54" t="str">
        <f>IFERROR(IF(INDEX(SPOT_Import!$A$1:$Z$2488,1904,'Live Data'!$C$15)="","",INDEX(SPOT_Import!$A$1:$Z$2488,1904,'Live Data'!$C$15)),"")</f>
        <v/>
      </c>
      <c r="E1904" s="54" t="str">
        <f>IFERROR(IF(INDEX(SPOT_Import!$A$1:$Z$2488,1904,'Live Data'!$C$16)="","",INDEX(SPOT_Import!$A$1:$Z$2488,1904,'Live Data'!$C$16)),"")</f>
        <v/>
      </c>
      <c r="F1904" s="54" t="str">
        <f>IFERROR(IF(INDEX(SPOT_Import!$A$1:$Z$2488,1904,'Live Data'!$C$17)="","",INDEX(SPOT_Import!$A$1:$Z$2488,1904,'Live Data'!$C$17)),"")</f>
        <v/>
      </c>
      <c r="G1904" s="54" t="str">
        <f>IFERROR(IF(INDEX(SPOT_Import!$A$1:$Z$2488,1904,'Live Data'!$C$18)="","",INDEX(SPOT_Import!$A$1:$Z$2488,1904,'Live Data'!$C$18)),"")</f>
        <v/>
      </c>
      <c r="H1904" s="54" t="str">
        <f>IFERROR(IF(INDEX(SPOT_Import!$A$1:$Z$2488,1904,'Live Data'!$C$19)="","",INDEX(SPOT_Import!$A$1:$Z$2488,1904,'Live Data'!$C$19)),"")</f>
        <v/>
      </c>
      <c r="I1904" s="54" t="str">
        <f>IFERROR(IF(INDEX(SPOT_Import!$A$1:$Z$2488,1904,'Live Data'!$C$20)="","",INDEX(SPOT_Import!$A$1:$Z$2488,1904,'Live Data'!$C$20)),"")</f>
        <v/>
      </c>
      <c r="J1904" s="54" t="str">
        <f>IFERROR(IF(INDEX(SPOT_Import!$A$1:$Z$2488,1904,'Live Data'!$C$21)="","",INDEX(SPOT_Import!$A$1:$Z$2488,1904,'Live Data'!$C$21)),"")</f>
        <v/>
      </c>
      <c r="K1904" s="54" t="str">
        <f>IFERROR(IF(INDEX(SPOT_Import!$A$1:$Z$2488,1904,'Live Data'!$C$22)="","",INDEX(SPOT_Import!$A$1:$Z$2488,1904,'Live Data'!$C$22)),"")</f>
        <v/>
      </c>
      <c r="L1904" s="55" t="str">
        <f t="shared" si="58"/>
        <v/>
      </c>
      <c r="M1904" s="55" t="str">
        <f t="shared" si="59"/>
        <v/>
      </c>
      <c r="N1904" s="55" t="str">
        <f>IF(A1904="","",IFERROR(INDEX('Cluster Map'!$A$4:$A$38,MATCH(M1904,'Cluster Map'!$B$4:$B$38,0)),"Unmapped"))</f>
        <v/>
      </c>
      <c r="O1904" s="55">
        <f>IF(A1904="",0,IF(COUNTIFS($A$2:A1904,A1904,$F$2:F1904,F1904,$L$2:L1904,L1904)=1,1,0))</f>
        <v>0</v>
      </c>
      <c r="P1904" s="55">
        <f>IF(A1904="",0,IF(AND(F1904="C&amp;T",COUNTIFS($A$2:A1904,A1904,$F$2:F1904,"C&amp;T")=1),1,0))</f>
        <v>0</v>
      </c>
    </row>
    <row r="1905" spans="1:16" x14ac:dyDescent="0.35">
      <c r="A1905" s="54" t="str">
        <f>IFERROR(IF(INDEX(SPOT_Import!$A$1:$Z$2488,1905,'Live Data'!$C$12)="","",INDEX(SPOT_Import!$A$1:$Z$2488,1905,'Live Data'!$C$12)),"")</f>
        <v/>
      </c>
      <c r="B1905" s="54" t="str">
        <f>IFERROR(IF(INDEX(SPOT_Import!$A$1:$Z$2488,1905,'Live Data'!$C$13)="","",INDEX(SPOT_Import!$A$1:$Z$2488,1905,'Live Data'!$C$13)),"")</f>
        <v/>
      </c>
      <c r="C1905" s="54" t="str">
        <f>IFERROR(IF(INDEX(SPOT_Import!$A$1:$Z$2488,1905,'Live Data'!$C$14)="","",INDEX(SPOT_Import!$A$1:$Z$2488,1905,'Live Data'!$C$14)),"")</f>
        <v/>
      </c>
      <c r="D1905" s="54" t="str">
        <f>IFERROR(IF(INDEX(SPOT_Import!$A$1:$Z$2488,1905,'Live Data'!$C$15)="","",INDEX(SPOT_Import!$A$1:$Z$2488,1905,'Live Data'!$C$15)),"")</f>
        <v/>
      </c>
      <c r="E1905" s="54" t="str">
        <f>IFERROR(IF(INDEX(SPOT_Import!$A$1:$Z$2488,1905,'Live Data'!$C$16)="","",INDEX(SPOT_Import!$A$1:$Z$2488,1905,'Live Data'!$C$16)),"")</f>
        <v/>
      </c>
      <c r="F1905" s="54" t="str">
        <f>IFERROR(IF(INDEX(SPOT_Import!$A$1:$Z$2488,1905,'Live Data'!$C$17)="","",INDEX(SPOT_Import!$A$1:$Z$2488,1905,'Live Data'!$C$17)),"")</f>
        <v/>
      </c>
      <c r="G1905" s="54" t="str">
        <f>IFERROR(IF(INDEX(SPOT_Import!$A$1:$Z$2488,1905,'Live Data'!$C$18)="","",INDEX(SPOT_Import!$A$1:$Z$2488,1905,'Live Data'!$C$18)),"")</f>
        <v/>
      </c>
      <c r="H1905" s="54" t="str">
        <f>IFERROR(IF(INDEX(SPOT_Import!$A$1:$Z$2488,1905,'Live Data'!$C$19)="","",INDEX(SPOT_Import!$A$1:$Z$2488,1905,'Live Data'!$C$19)),"")</f>
        <v/>
      </c>
      <c r="I1905" s="54" t="str">
        <f>IFERROR(IF(INDEX(SPOT_Import!$A$1:$Z$2488,1905,'Live Data'!$C$20)="","",INDEX(SPOT_Import!$A$1:$Z$2488,1905,'Live Data'!$C$20)),"")</f>
        <v/>
      </c>
      <c r="J1905" s="54" t="str">
        <f>IFERROR(IF(INDEX(SPOT_Import!$A$1:$Z$2488,1905,'Live Data'!$C$21)="","",INDEX(SPOT_Import!$A$1:$Z$2488,1905,'Live Data'!$C$21)),"")</f>
        <v/>
      </c>
      <c r="K1905" s="54" t="str">
        <f>IFERROR(IF(INDEX(SPOT_Import!$A$1:$Z$2488,1905,'Live Data'!$C$22)="","",INDEX(SPOT_Import!$A$1:$Z$2488,1905,'Live Data'!$C$22)),"")</f>
        <v/>
      </c>
      <c r="L1905" s="55" t="str">
        <f t="shared" si="58"/>
        <v/>
      </c>
      <c r="M1905" s="55" t="str">
        <f t="shared" si="59"/>
        <v/>
      </c>
      <c r="N1905" s="55" t="str">
        <f>IF(A1905="","",IFERROR(INDEX('Cluster Map'!$A$4:$A$38,MATCH(M1905,'Cluster Map'!$B$4:$B$38,0)),"Unmapped"))</f>
        <v/>
      </c>
      <c r="O1905" s="55">
        <f>IF(A1905="",0,IF(COUNTIFS($A$2:A1905,A1905,$F$2:F1905,F1905,$L$2:L1905,L1905)=1,1,0))</f>
        <v>0</v>
      </c>
      <c r="P1905" s="55">
        <f>IF(A1905="",0,IF(AND(F1905="C&amp;T",COUNTIFS($A$2:A1905,A1905,$F$2:F1905,"C&amp;T")=1),1,0))</f>
        <v>0</v>
      </c>
    </row>
    <row r="1906" spans="1:16" x14ac:dyDescent="0.35">
      <c r="A1906" s="54" t="str">
        <f>IFERROR(IF(INDEX(SPOT_Import!$A$1:$Z$2488,1906,'Live Data'!$C$12)="","",INDEX(SPOT_Import!$A$1:$Z$2488,1906,'Live Data'!$C$12)),"")</f>
        <v/>
      </c>
      <c r="B1906" s="54" t="str">
        <f>IFERROR(IF(INDEX(SPOT_Import!$A$1:$Z$2488,1906,'Live Data'!$C$13)="","",INDEX(SPOT_Import!$A$1:$Z$2488,1906,'Live Data'!$C$13)),"")</f>
        <v/>
      </c>
      <c r="C1906" s="54" t="str">
        <f>IFERROR(IF(INDEX(SPOT_Import!$A$1:$Z$2488,1906,'Live Data'!$C$14)="","",INDEX(SPOT_Import!$A$1:$Z$2488,1906,'Live Data'!$C$14)),"")</f>
        <v/>
      </c>
      <c r="D1906" s="54" t="str">
        <f>IFERROR(IF(INDEX(SPOT_Import!$A$1:$Z$2488,1906,'Live Data'!$C$15)="","",INDEX(SPOT_Import!$A$1:$Z$2488,1906,'Live Data'!$C$15)),"")</f>
        <v/>
      </c>
      <c r="E1906" s="54" t="str">
        <f>IFERROR(IF(INDEX(SPOT_Import!$A$1:$Z$2488,1906,'Live Data'!$C$16)="","",INDEX(SPOT_Import!$A$1:$Z$2488,1906,'Live Data'!$C$16)),"")</f>
        <v/>
      </c>
      <c r="F1906" s="54" t="str">
        <f>IFERROR(IF(INDEX(SPOT_Import!$A$1:$Z$2488,1906,'Live Data'!$C$17)="","",INDEX(SPOT_Import!$A$1:$Z$2488,1906,'Live Data'!$C$17)),"")</f>
        <v/>
      </c>
      <c r="G1906" s="54" t="str">
        <f>IFERROR(IF(INDEX(SPOT_Import!$A$1:$Z$2488,1906,'Live Data'!$C$18)="","",INDEX(SPOT_Import!$A$1:$Z$2488,1906,'Live Data'!$C$18)),"")</f>
        <v/>
      </c>
      <c r="H1906" s="54" t="str">
        <f>IFERROR(IF(INDEX(SPOT_Import!$A$1:$Z$2488,1906,'Live Data'!$C$19)="","",INDEX(SPOT_Import!$A$1:$Z$2488,1906,'Live Data'!$C$19)),"")</f>
        <v/>
      </c>
      <c r="I1906" s="54" t="str">
        <f>IFERROR(IF(INDEX(SPOT_Import!$A$1:$Z$2488,1906,'Live Data'!$C$20)="","",INDEX(SPOT_Import!$A$1:$Z$2488,1906,'Live Data'!$C$20)),"")</f>
        <v/>
      </c>
      <c r="J1906" s="54" t="str">
        <f>IFERROR(IF(INDEX(SPOT_Import!$A$1:$Z$2488,1906,'Live Data'!$C$21)="","",INDEX(SPOT_Import!$A$1:$Z$2488,1906,'Live Data'!$C$21)),"")</f>
        <v/>
      </c>
      <c r="K1906" s="54" t="str">
        <f>IFERROR(IF(INDEX(SPOT_Import!$A$1:$Z$2488,1906,'Live Data'!$C$22)="","",INDEX(SPOT_Import!$A$1:$Z$2488,1906,'Live Data'!$C$22)),"")</f>
        <v/>
      </c>
      <c r="L1906" s="55" t="str">
        <f t="shared" si="58"/>
        <v/>
      </c>
      <c r="M1906" s="55" t="str">
        <f t="shared" si="59"/>
        <v/>
      </c>
      <c r="N1906" s="55" t="str">
        <f>IF(A1906="","",IFERROR(INDEX('Cluster Map'!$A$4:$A$38,MATCH(M1906,'Cluster Map'!$B$4:$B$38,0)),"Unmapped"))</f>
        <v/>
      </c>
      <c r="O1906" s="55">
        <f>IF(A1906="",0,IF(COUNTIFS($A$2:A1906,A1906,$F$2:F1906,F1906,$L$2:L1906,L1906)=1,1,0))</f>
        <v>0</v>
      </c>
      <c r="P1906" s="55">
        <f>IF(A1906="",0,IF(AND(F1906="C&amp;T",COUNTIFS($A$2:A1906,A1906,$F$2:F1906,"C&amp;T")=1),1,0))</f>
        <v>0</v>
      </c>
    </row>
    <row r="1907" spans="1:16" x14ac:dyDescent="0.35">
      <c r="A1907" s="54" t="str">
        <f>IFERROR(IF(INDEX(SPOT_Import!$A$1:$Z$2488,1907,'Live Data'!$C$12)="","",INDEX(SPOT_Import!$A$1:$Z$2488,1907,'Live Data'!$C$12)),"")</f>
        <v/>
      </c>
      <c r="B1907" s="54" t="str">
        <f>IFERROR(IF(INDEX(SPOT_Import!$A$1:$Z$2488,1907,'Live Data'!$C$13)="","",INDEX(SPOT_Import!$A$1:$Z$2488,1907,'Live Data'!$C$13)),"")</f>
        <v/>
      </c>
      <c r="C1907" s="54" t="str">
        <f>IFERROR(IF(INDEX(SPOT_Import!$A$1:$Z$2488,1907,'Live Data'!$C$14)="","",INDEX(SPOT_Import!$A$1:$Z$2488,1907,'Live Data'!$C$14)),"")</f>
        <v/>
      </c>
      <c r="D1907" s="54" t="str">
        <f>IFERROR(IF(INDEX(SPOT_Import!$A$1:$Z$2488,1907,'Live Data'!$C$15)="","",INDEX(SPOT_Import!$A$1:$Z$2488,1907,'Live Data'!$C$15)),"")</f>
        <v/>
      </c>
      <c r="E1907" s="54" t="str">
        <f>IFERROR(IF(INDEX(SPOT_Import!$A$1:$Z$2488,1907,'Live Data'!$C$16)="","",INDEX(SPOT_Import!$A$1:$Z$2488,1907,'Live Data'!$C$16)),"")</f>
        <v/>
      </c>
      <c r="F1907" s="54" t="str">
        <f>IFERROR(IF(INDEX(SPOT_Import!$A$1:$Z$2488,1907,'Live Data'!$C$17)="","",INDEX(SPOT_Import!$A$1:$Z$2488,1907,'Live Data'!$C$17)),"")</f>
        <v/>
      </c>
      <c r="G1907" s="54" t="str">
        <f>IFERROR(IF(INDEX(SPOT_Import!$A$1:$Z$2488,1907,'Live Data'!$C$18)="","",INDEX(SPOT_Import!$A$1:$Z$2488,1907,'Live Data'!$C$18)),"")</f>
        <v/>
      </c>
      <c r="H1907" s="54" t="str">
        <f>IFERROR(IF(INDEX(SPOT_Import!$A$1:$Z$2488,1907,'Live Data'!$C$19)="","",INDEX(SPOT_Import!$A$1:$Z$2488,1907,'Live Data'!$C$19)),"")</f>
        <v/>
      </c>
      <c r="I1907" s="54" t="str">
        <f>IFERROR(IF(INDEX(SPOT_Import!$A$1:$Z$2488,1907,'Live Data'!$C$20)="","",INDEX(SPOT_Import!$A$1:$Z$2488,1907,'Live Data'!$C$20)),"")</f>
        <v/>
      </c>
      <c r="J1907" s="54" t="str">
        <f>IFERROR(IF(INDEX(SPOT_Import!$A$1:$Z$2488,1907,'Live Data'!$C$21)="","",INDEX(SPOT_Import!$A$1:$Z$2488,1907,'Live Data'!$C$21)),"")</f>
        <v/>
      </c>
      <c r="K1907" s="54" t="str">
        <f>IFERROR(IF(INDEX(SPOT_Import!$A$1:$Z$2488,1907,'Live Data'!$C$22)="","",INDEX(SPOT_Import!$A$1:$Z$2488,1907,'Live Data'!$C$22)),"")</f>
        <v/>
      </c>
      <c r="L1907" s="55" t="str">
        <f t="shared" si="58"/>
        <v/>
      </c>
      <c r="M1907" s="55" t="str">
        <f t="shared" si="59"/>
        <v/>
      </c>
      <c r="N1907" s="55" t="str">
        <f>IF(A1907="","",IFERROR(INDEX('Cluster Map'!$A$4:$A$38,MATCH(M1907,'Cluster Map'!$B$4:$B$38,0)),"Unmapped"))</f>
        <v/>
      </c>
      <c r="O1907" s="55">
        <f>IF(A1907="",0,IF(COUNTIFS($A$2:A1907,A1907,$F$2:F1907,F1907,$L$2:L1907,L1907)=1,1,0))</f>
        <v>0</v>
      </c>
      <c r="P1907" s="55">
        <f>IF(A1907="",0,IF(AND(F1907="C&amp;T",COUNTIFS($A$2:A1907,A1907,$F$2:F1907,"C&amp;T")=1),1,0))</f>
        <v>0</v>
      </c>
    </row>
    <row r="1908" spans="1:16" x14ac:dyDescent="0.35">
      <c r="A1908" s="54" t="str">
        <f>IFERROR(IF(INDEX(SPOT_Import!$A$1:$Z$2488,1908,'Live Data'!$C$12)="","",INDEX(SPOT_Import!$A$1:$Z$2488,1908,'Live Data'!$C$12)),"")</f>
        <v/>
      </c>
      <c r="B1908" s="54" t="str">
        <f>IFERROR(IF(INDEX(SPOT_Import!$A$1:$Z$2488,1908,'Live Data'!$C$13)="","",INDEX(SPOT_Import!$A$1:$Z$2488,1908,'Live Data'!$C$13)),"")</f>
        <v/>
      </c>
      <c r="C1908" s="54" t="str">
        <f>IFERROR(IF(INDEX(SPOT_Import!$A$1:$Z$2488,1908,'Live Data'!$C$14)="","",INDEX(SPOT_Import!$A$1:$Z$2488,1908,'Live Data'!$C$14)),"")</f>
        <v/>
      </c>
      <c r="D1908" s="54" t="str">
        <f>IFERROR(IF(INDEX(SPOT_Import!$A$1:$Z$2488,1908,'Live Data'!$C$15)="","",INDEX(SPOT_Import!$A$1:$Z$2488,1908,'Live Data'!$C$15)),"")</f>
        <v/>
      </c>
      <c r="E1908" s="54" t="str">
        <f>IFERROR(IF(INDEX(SPOT_Import!$A$1:$Z$2488,1908,'Live Data'!$C$16)="","",INDEX(SPOT_Import!$A$1:$Z$2488,1908,'Live Data'!$C$16)),"")</f>
        <v/>
      </c>
      <c r="F1908" s="54" t="str">
        <f>IFERROR(IF(INDEX(SPOT_Import!$A$1:$Z$2488,1908,'Live Data'!$C$17)="","",INDEX(SPOT_Import!$A$1:$Z$2488,1908,'Live Data'!$C$17)),"")</f>
        <v/>
      </c>
      <c r="G1908" s="54" t="str">
        <f>IFERROR(IF(INDEX(SPOT_Import!$A$1:$Z$2488,1908,'Live Data'!$C$18)="","",INDEX(SPOT_Import!$A$1:$Z$2488,1908,'Live Data'!$C$18)),"")</f>
        <v/>
      </c>
      <c r="H1908" s="54" t="str">
        <f>IFERROR(IF(INDEX(SPOT_Import!$A$1:$Z$2488,1908,'Live Data'!$C$19)="","",INDEX(SPOT_Import!$A$1:$Z$2488,1908,'Live Data'!$C$19)),"")</f>
        <v/>
      </c>
      <c r="I1908" s="54" t="str">
        <f>IFERROR(IF(INDEX(SPOT_Import!$A$1:$Z$2488,1908,'Live Data'!$C$20)="","",INDEX(SPOT_Import!$A$1:$Z$2488,1908,'Live Data'!$C$20)),"")</f>
        <v/>
      </c>
      <c r="J1908" s="54" t="str">
        <f>IFERROR(IF(INDEX(SPOT_Import!$A$1:$Z$2488,1908,'Live Data'!$C$21)="","",INDEX(SPOT_Import!$A$1:$Z$2488,1908,'Live Data'!$C$21)),"")</f>
        <v/>
      </c>
      <c r="K1908" s="54" t="str">
        <f>IFERROR(IF(INDEX(SPOT_Import!$A$1:$Z$2488,1908,'Live Data'!$C$22)="","",INDEX(SPOT_Import!$A$1:$Z$2488,1908,'Live Data'!$C$22)),"")</f>
        <v/>
      </c>
      <c r="L1908" s="55" t="str">
        <f t="shared" si="58"/>
        <v/>
      </c>
      <c r="M1908" s="55" t="str">
        <f t="shared" si="59"/>
        <v/>
      </c>
      <c r="N1908" s="55" t="str">
        <f>IF(A1908="","",IFERROR(INDEX('Cluster Map'!$A$4:$A$38,MATCH(M1908,'Cluster Map'!$B$4:$B$38,0)),"Unmapped"))</f>
        <v/>
      </c>
      <c r="O1908" s="55">
        <f>IF(A1908="",0,IF(COUNTIFS($A$2:A1908,A1908,$F$2:F1908,F1908,$L$2:L1908,L1908)=1,1,0))</f>
        <v>0</v>
      </c>
      <c r="P1908" s="55">
        <f>IF(A1908="",0,IF(AND(F1908="C&amp;T",COUNTIFS($A$2:A1908,A1908,$F$2:F1908,"C&amp;T")=1),1,0))</f>
        <v>0</v>
      </c>
    </row>
    <row r="1909" spans="1:16" x14ac:dyDescent="0.35">
      <c r="A1909" s="54" t="str">
        <f>IFERROR(IF(INDEX(SPOT_Import!$A$1:$Z$2488,1909,'Live Data'!$C$12)="","",INDEX(SPOT_Import!$A$1:$Z$2488,1909,'Live Data'!$C$12)),"")</f>
        <v/>
      </c>
      <c r="B1909" s="54" t="str">
        <f>IFERROR(IF(INDEX(SPOT_Import!$A$1:$Z$2488,1909,'Live Data'!$C$13)="","",INDEX(SPOT_Import!$A$1:$Z$2488,1909,'Live Data'!$C$13)),"")</f>
        <v/>
      </c>
      <c r="C1909" s="54" t="str">
        <f>IFERROR(IF(INDEX(SPOT_Import!$A$1:$Z$2488,1909,'Live Data'!$C$14)="","",INDEX(SPOT_Import!$A$1:$Z$2488,1909,'Live Data'!$C$14)),"")</f>
        <v/>
      </c>
      <c r="D1909" s="54" t="str">
        <f>IFERROR(IF(INDEX(SPOT_Import!$A$1:$Z$2488,1909,'Live Data'!$C$15)="","",INDEX(SPOT_Import!$A$1:$Z$2488,1909,'Live Data'!$C$15)),"")</f>
        <v/>
      </c>
      <c r="E1909" s="54" t="str">
        <f>IFERROR(IF(INDEX(SPOT_Import!$A$1:$Z$2488,1909,'Live Data'!$C$16)="","",INDEX(SPOT_Import!$A$1:$Z$2488,1909,'Live Data'!$C$16)),"")</f>
        <v/>
      </c>
      <c r="F1909" s="54" t="str">
        <f>IFERROR(IF(INDEX(SPOT_Import!$A$1:$Z$2488,1909,'Live Data'!$C$17)="","",INDEX(SPOT_Import!$A$1:$Z$2488,1909,'Live Data'!$C$17)),"")</f>
        <v/>
      </c>
      <c r="G1909" s="54" t="str">
        <f>IFERROR(IF(INDEX(SPOT_Import!$A$1:$Z$2488,1909,'Live Data'!$C$18)="","",INDEX(SPOT_Import!$A$1:$Z$2488,1909,'Live Data'!$C$18)),"")</f>
        <v/>
      </c>
      <c r="H1909" s="54" t="str">
        <f>IFERROR(IF(INDEX(SPOT_Import!$A$1:$Z$2488,1909,'Live Data'!$C$19)="","",INDEX(SPOT_Import!$A$1:$Z$2488,1909,'Live Data'!$C$19)),"")</f>
        <v/>
      </c>
      <c r="I1909" s="54" t="str">
        <f>IFERROR(IF(INDEX(SPOT_Import!$A$1:$Z$2488,1909,'Live Data'!$C$20)="","",INDEX(SPOT_Import!$A$1:$Z$2488,1909,'Live Data'!$C$20)),"")</f>
        <v/>
      </c>
      <c r="J1909" s="54" t="str">
        <f>IFERROR(IF(INDEX(SPOT_Import!$A$1:$Z$2488,1909,'Live Data'!$C$21)="","",INDEX(SPOT_Import!$A$1:$Z$2488,1909,'Live Data'!$C$21)),"")</f>
        <v/>
      </c>
      <c r="K1909" s="54" t="str">
        <f>IFERROR(IF(INDEX(SPOT_Import!$A$1:$Z$2488,1909,'Live Data'!$C$22)="","",INDEX(SPOT_Import!$A$1:$Z$2488,1909,'Live Data'!$C$22)),"")</f>
        <v/>
      </c>
      <c r="L1909" s="55" t="str">
        <f t="shared" si="58"/>
        <v/>
      </c>
      <c r="M1909" s="55" t="str">
        <f t="shared" si="59"/>
        <v/>
      </c>
      <c r="N1909" s="55" t="str">
        <f>IF(A1909="","",IFERROR(INDEX('Cluster Map'!$A$4:$A$38,MATCH(M1909,'Cluster Map'!$B$4:$B$38,0)),"Unmapped"))</f>
        <v/>
      </c>
      <c r="O1909" s="55">
        <f>IF(A1909="",0,IF(COUNTIFS($A$2:A1909,A1909,$F$2:F1909,F1909,$L$2:L1909,L1909)=1,1,0))</f>
        <v>0</v>
      </c>
      <c r="P1909" s="55">
        <f>IF(A1909="",0,IF(AND(F1909="C&amp;T",COUNTIFS($A$2:A1909,A1909,$F$2:F1909,"C&amp;T")=1),1,0))</f>
        <v>0</v>
      </c>
    </row>
    <row r="1910" spans="1:16" x14ac:dyDescent="0.35">
      <c r="A1910" s="54" t="str">
        <f>IFERROR(IF(INDEX(SPOT_Import!$A$1:$Z$2488,1910,'Live Data'!$C$12)="","",INDEX(SPOT_Import!$A$1:$Z$2488,1910,'Live Data'!$C$12)),"")</f>
        <v/>
      </c>
      <c r="B1910" s="54" t="str">
        <f>IFERROR(IF(INDEX(SPOT_Import!$A$1:$Z$2488,1910,'Live Data'!$C$13)="","",INDEX(SPOT_Import!$A$1:$Z$2488,1910,'Live Data'!$C$13)),"")</f>
        <v/>
      </c>
      <c r="C1910" s="54" t="str">
        <f>IFERROR(IF(INDEX(SPOT_Import!$A$1:$Z$2488,1910,'Live Data'!$C$14)="","",INDEX(SPOT_Import!$A$1:$Z$2488,1910,'Live Data'!$C$14)),"")</f>
        <v/>
      </c>
      <c r="D1910" s="54" t="str">
        <f>IFERROR(IF(INDEX(SPOT_Import!$A$1:$Z$2488,1910,'Live Data'!$C$15)="","",INDEX(SPOT_Import!$A$1:$Z$2488,1910,'Live Data'!$C$15)),"")</f>
        <v/>
      </c>
      <c r="E1910" s="54" t="str">
        <f>IFERROR(IF(INDEX(SPOT_Import!$A$1:$Z$2488,1910,'Live Data'!$C$16)="","",INDEX(SPOT_Import!$A$1:$Z$2488,1910,'Live Data'!$C$16)),"")</f>
        <v/>
      </c>
      <c r="F1910" s="54" t="str">
        <f>IFERROR(IF(INDEX(SPOT_Import!$A$1:$Z$2488,1910,'Live Data'!$C$17)="","",INDEX(SPOT_Import!$A$1:$Z$2488,1910,'Live Data'!$C$17)),"")</f>
        <v/>
      </c>
      <c r="G1910" s="54" t="str">
        <f>IFERROR(IF(INDEX(SPOT_Import!$A$1:$Z$2488,1910,'Live Data'!$C$18)="","",INDEX(SPOT_Import!$A$1:$Z$2488,1910,'Live Data'!$C$18)),"")</f>
        <v/>
      </c>
      <c r="H1910" s="54" t="str">
        <f>IFERROR(IF(INDEX(SPOT_Import!$A$1:$Z$2488,1910,'Live Data'!$C$19)="","",INDEX(SPOT_Import!$A$1:$Z$2488,1910,'Live Data'!$C$19)),"")</f>
        <v/>
      </c>
      <c r="I1910" s="54" t="str">
        <f>IFERROR(IF(INDEX(SPOT_Import!$A$1:$Z$2488,1910,'Live Data'!$C$20)="","",INDEX(SPOT_Import!$A$1:$Z$2488,1910,'Live Data'!$C$20)),"")</f>
        <v/>
      </c>
      <c r="J1910" s="54" t="str">
        <f>IFERROR(IF(INDEX(SPOT_Import!$A$1:$Z$2488,1910,'Live Data'!$C$21)="","",INDEX(SPOT_Import!$A$1:$Z$2488,1910,'Live Data'!$C$21)),"")</f>
        <v/>
      </c>
      <c r="K1910" s="54" t="str">
        <f>IFERROR(IF(INDEX(SPOT_Import!$A$1:$Z$2488,1910,'Live Data'!$C$22)="","",INDEX(SPOT_Import!$A$1:$Z$2488,1910,'Live Data'!$C$22)),"")</f>
        <v/>
      </c>
      <c r="L1910" s="55" t="str">
        <f t="shared" si="58"/>
        <v/>
      </c>
      <c r="M1910" s="55" t="str">
        <f t="shared" si="59"/>
        <v/>
      </c>
      <c r="N1910" s="55" t="str">
        <f>IF(A1910="","",IFERROR(INDEX('Cluster Map'!$A$4:$A$38,MATCH(M1910,'Cluster Map'!$B$4:$B$38,0)),"Unmapped"))</f>
        <v/>
      </c>
      <c r="O1910" s="55">
        <f>IF(A1910="",0,IF(COUNTIFS($A$2:A1910,A1910,$F$2:F1910,F1910,$L$2:L1910,L1910)=1,1,0))</f>
        <v>0</v>
      </c>
      <c r="P1910" s="55">
        <f>IF(A1910="",0,IF(AND(F1910="C&amp;T",COUNTIFS($A$2:A1910,A1910,$F$2:F1910,"C&amp;T")=1),1,0))</f>
        <v>0</v>
      </c>
    </row>
    <row r="1911" spans="1:16" x14ac:dyDescent="0.35">
      <c r="A1911" s="54" t="str">
        <f>IFERROR(IF(INDEX(SPOT_Import!$A$1:$Z$2488,1911,'Live Data'!$C$12)="","",INDEX(SPOT_Import!$A$1:$Z$2488,1911,'Live Data'!$C$12)),"")</f>
        <v/>
      </c>
      <c r="B1911" s="54" t="str">
        <f>IFERROR(IF(INDEX(SPOT_Import!$A$1:$Z$2488,1911,'Live Data'!$C$13)="","",INDEX(SPOT_Import!$A$1:$Z$2488,1911,'Live Data'!$C$13)),"")</f>
        <v/>
      </c>
      <c r="C1911" s="54" t="str">
        <f>IFERROR(IF(INDEX(SPOT_Import!$A$1:$Z$2488,1911,'Live Data'!$C$14)="","",INDEX(SPOT_Import!$A$1:$Z$2488,1911,'Live Data'!$C$14)),"")</f>
        <v/>
      </c>
      <c r="D1911" s="54" t="str">
        <f>IFERROR(IF(INDEX(SPOT_Import!$A$1:$Z$2488,1911,'Live Data'!$C$15)="","",INDEX(SPOT_Import!$A$1:$Z$2488,1911,'Live Data'!$C$15)),"")</f>
        <v/>
      </c>
      <c r="E1911" s="54" t="str">
        <f>IFERROR(IF(INDEX(SPOT_Import!$A$1:$Z$2488,1911,'Live Data'!$C$16)="","",INDEX(SPOT_Import!$A$1:$Z$2488,1911,'Live Data'!$C$16)),"")</f>
        <v/>
      </c>
      <c r="F1911" s="54" t="str">
        <f>IFERROR(IF(INDEX(SPOT_Import!$A$1:$Z$2488,1911,'Live Data'!$C$17)="","",INDEX(SPOT_Import!$A$1:$Z$2488,1911,'Live Data'!$C$17)),"")</f>
        <v/>
      </c>
      <c r="G1911" s="54" t="str">
        <f>IFERROR(IF(INDEX(SPOT_Import!$A$1:$Z$2488,1911,'Live Data'!$C$18)="","",INDEX(SPOT_Import!$A$1:$Z$2488,1911,'Live Data'!$C$18)),"")</f>
        <v/>
      </c>
      <c r="H1911" s="54" t="str">
        <f>IFERROR(IF(INDEX(SPOT_Import!$A$1:$Z$2488,1911,'Live Data'!$C$19)="","",INDEX(SPOT_Import!$A$1:$Z$2488,1911,'Live Data'!$C$19)),"")</f>
        <v/>
      </c>
      <c r="I1911" s="54" t="str">
        <f>IFERROR(IF(INDEX(SPOT_Import!$A$1:$Z$2488,1911,'Live Data'!$C$20)="","",INDEX(SPOT_Import!$A$1:$Z$2488,1911,'Live Data'!$C$20)),"")</f>
        <v/>
      </c>
      <c r="J1911" s="54" t="str">
        <f>IFERROR(IF(INDEX(SPOT_Import!$A$1:$Z$2488,1911,'Live Data'!$C$21)="","",INDEX(SPOT_Import!$A$1:$Z$2488,1911,'Live Data'!$C$21)),"")</f>
        <v/>
      </c>
      <c r="K1911" s="54" t="str">
        <f>IFERROR(IF(INDEX(SPOT_Import!$A$1:$Z$2488,1911,'Live Data'!$C$22)="","",INDEX(SPOT_Import!$A$1:$Z$2488,1911,'Live Data'!$C$22)),"")</f>
        <v/>
      </c>
      <c r="L1911" s="55" t="str">
        <f t="shared" si="58"/>
        <v/>
      </c>
      <c r="M1911" s="55" t="str">
        <f t="shared" si="59"/>
        <v/>
      </c>
      <c r="N1911" s="55" t="str">
        <f>IF(A1911="","",IFERROR(INDEX('Cluster Map'!$A$4:$A$38,MATCH(M1911,'Cluster Map'!$B$4:$B$38,0)),"Unmapped"))</f>
        <v/>
      </c>
      <c r="O1911" s="55">
        <f>IF(A1911="",0,IF(COUNTIFS($A$2:A1911,A1911,$F$2:F1911,F1911,$L$2:L1911,L1911)=1,1,0))</f>
        <v>0</v>
      </c>
      <c r="P1911" s="55">
        <f>IF(A1911="",0,IF(AND(F1911="C&amp;T",COUNTIFS($A$2:A1911,A1911,$F$2:F1911,"C&amp;T")=1),1,0))</f>
        <v>0</v>
      </c>
    </row>
    <row r="1912" spans="1:16" x14ac:dyDescent="0.35">
      <c r="A1912" s="54" t="str">
        <f>IFERROR(IF(INDEX(SPOT_Import!$A$1:$Z$2488,1912,'Live Data'!$C$12)="","",INDEX(SPOT_Import!$A$1:$Z$2488,1912,'Live Data'!$C$12)),"")</f>
        <v/>
      </c>
      <c r="B1912" s="54" t="str">
        <f>IFERROR(IF(INDEX(SPOT_Import!$A$1:$Z$2488,1912,'Live Data'!$C$13)="","",INDEX(SPOT_Import!$A$1:$Z$2488,1912,'Live Data'!$C$13)),"")</f>
        <v/>
      </c>
      <c r="C1912" s="54" t="str">
        <f>IFERROR(IF(INDEX(SPOT_Import!$A$1:$Z$2488,1912,'Live Data'!$C$14)="","",INDEX(SPOT_Import!$A$1:$Z$2488,1912,'Live Data'!$C$14)),"")</f>
        <v/>
      </c>
      <c r="D1912" s="54" t="str">
        <f>IFERROR(IF(INDEX(SPOT_Import!$A$1:$Z$2488,1912,'Live Data'!$C$15)="","",INDEX(SPOT_Import!$A$1:$Z$2488,1912,'Live Data'!$C$15)),"")</f>
        <v/>
      </c>
      <c r="E1912" s="54" t="str">
        <f>IFERROR(IF(INDEX(SPOT_Import!$A$1:$Z$2488,1912,'Live Data'!$C$16)="","",INDEX(SPOT_Import!$A$1:$Z$2488,1912,'Live Data'!$C$16)),"")</f>
        <v/>
      </c>
      <c r="F1912" s="54" t="str">
        <f>IFERROR(IF(INDEX(SPOT_Import!$A$1:$Z$2488,1912,'Live Data'!$C$17)="","",INDEX(SPOT_Import!$A$1:$Z$2488,1912,'Live Data'!$C$17)),"")</f>
        <v/>
      </c>
      <c r="G1912" s="54" t="str">
        <f>IFERROR(IF(INDEX(SPOT_Import!$A$1:$Z$2488,1912,'Live Data'!$C$18)="","",INDEX(SPOT_Import!$A$1:$Z$2488,1912,'Live Data'!$C$18)),"")</f>
        <v/>
      </c>
      <c r="H1912" s="54" t="str">
        <f>IFERROR(IF(INDEX(SPOT_Import!$A$1:$Z$2488,1912,'Live Data'!$C$19)="","",INDEX(SPOT_Import!$A$1:$Z$2488,1912,'Live Data'!$C$19)),"")</f>
        <v/>
      </c>
      <c r="I1912" s="54" t="str">
        <f>IFERROR(IF(INDEX(SPOT_Import!$A$1:$Z$2488,1912,'Live Data'!$C$20)="","",INDEX(SPOT_Import!$A$1:$Z$2488,1912,'Live Data'!$C$20)),"")</f>
        <v/>
      </c>
      <c r="J1912" s="54" t="str">
        <f>IFERROR(IF(INDEX(SPOT_Import!$A$1:$Z$2488,1912,'Live Data'!$C$21)="","",INDEX(SPOT_Import!$A$1:$Z$2488,1912,'Live Data'!$C$21)),"")</f>
        <v/>
      </c>
      <c r="K1912" s="54" t="str">
        <f>IFERROR(IF(INDEX(SPOT_Import!$A$1:$Z$2488,1912,'Live Data'!$C$22)="","",INDEX(SPOT_Import!$A$1:$Z$2488,1912,'Live Data'!$C$22)),"")</f>
        <v/>
      </c>
      <c r="L1912" s="55" t="str">
        <f t="shared" si="58"/>
        <v/>
      </c>
      <c r="M1912" s="55" t="str">
        <f t="shared" si="59"/>
        <v/>
      </c>
      <c r="N1912" s="55" t="str">
        <f>IF(A1912="","",IFERROR(INDEX('Cluster Map'!$A$4:$A$38,MATCH(M1912,'Cluster Map'!$B$4:$B$38,0)),"Unmapped"))</f>
        <v/>
      </c>
      <c r="O1912" s="55">
        <f>IF(A1912="",0,IF(COUNTIFS($A$2:A1912,A1912,$F$2:F1912,F1912,$L$2:L1912,L1912)=1,1,0))</f>
        <v>0</v>
      </c>
      <c r="P1912" s="55">
        <f>IF(A1912="",0,IF(AND(F1912="C&amp;T",COUNTIFS($A$2:A1912,A1912,$F$2:F1912,"C&amp;T")=1),1,0))</f>
        <v>0</v>
      </c>
    </row>
    <row r="1913" spans="1:16" x14ac:dyDescent="0.35">
      <c r="A1913" s="54" t="str">
        <f>IFERROR(IF(INDEX(SPOT_Import!$A$1:$Z$2488,1913,'Live Data'!$C$12)="","",INDEX(SPOT_Import!$A$1:$Z$2488,1913,'Live Data'!$C$12)),"")</f>
        <v/>
      </c>
      <c r="B1913" s="54" t="str">
        <f>IFERROR(IF(INDEX(SPOT_Import!$A$1:$Z$2488,1913,'Live Data'!$C$13)="","",INDEX(SPOT_Import!$A$1:$Z$2488,1913,'Live Data'!$C$13)),"")</f>
        <v/>
      </c>
      <c r="C1913" s="54" t="str">
        <f>IFERROR(IF(INDEX(SPOT_Import!$A$1:$Z$2488,1913,'Live Data'!$C$14)="","",INDEX(SPOT_Import!$A$1:$Z$2488,1913,'Live Data'!$C$14)),"")</f>
        <v/>
      </c>
      <c r="D1913" s="54" t="str">
        <f>IFERROR(IF(INDEX(SPOT_Import!$A$1:$Z$2488,1913,'Live Data'!$C$15)="","",INDEX(SPOT_Import!$A$1:$Z$2488,1913,'Live Data'!$C$15)),"")</f>
        <v/>
      </c>
      <c r="E1913" s="54" t="str">
        <f>IFERROR(IF(INDEX(SPOT_Import!$A$1:$Z$2488,1913,'Live Data'!$C$16)="","",INDEX(SPOT_Import!$A$1:$Z$2488,1913,'Live Data'!$C$16)),"")</f>
        <v/>
      </c>
      <c r="F1913" s="54" t="str">
        <f>IFERROR(IF(INDEX(SPOT_Import!$A$1:$Z$2488,1913,'Live Data'!$C$17)="","",INDEX(SPOT_Import!$A$1:$Z$2488,1913,'Live Data'!$C$17)),"")</f>
        <v/>
      </c>
      <c r="G1913" s="54" t="str">
        <f>IFERROR(IF(INDEX(SPOT_Import!$A$1:$Z$2488,1913,'Live Data'!$C$18)="","",INDEX(SPOT_Import!$A$1:$Z$2488,1913,'Live Data'!$C$18)),"")</f>
        <v/>
      </c>
      <c r="H1913" s="54" t="str">
        <f>IFERROR(IF(INDEX(SPOT_Import!$A$1:$Z$2488,1913,'Live Data'!$C$19)="","",INDEX(SPOT_Import!$A$1:$Z$2488,1913,'Live Data'!$C$19)),"")</f>
        <v/>
      </c>
      <c r="I1913" s="54" t="str">
        <f>IFERROR(IF(INDEX(SPOT_Import!$A$1:$Z$2488,1913,'Live Data'!$C$20)="","",INDEX(SPOT_Import!$A$1:$Z$2488,1913,'Live Data'!$C$20)),"")</f>
        <v/>
      </c>
      <c r="J1913" s="54" t="str">
        <f>IFERROR(IF(INDEX(SPOT_Import!$A$1:$Z$2488,1913,'Live Data'!$C$21)="","",INDEX(SPOT_Import!$A$1:$Z$2488,1913,'Live Data'!$C$21)),"")</f>
        <v/>
      </c>
      <c r="K1913" s="54" t="str">
        <f>IFERROR(IF(INDEX(SPOT_Import!$A$1:$Z$2488,1913,'Live Data'!$C$22)="","",INDEX(SPOT_Import!$A$1:$Z$2488,1913,'Live Data'!$C$22)),"")</f>
        <v/>
      </c>
      <c r="L1913" s="55" t="str">
        <f t="shared" si="58"/>
        <v/>
      </c>
      <c r="M1913" s="55" t="str">
        <f t="shared" si="59"/>
        <v/>
      </c>
      <c r="N1913" s="55" t="str">
        <f>IF(A1913="","",IFERROR(INDEX('Cluster Map'!$A$4:$A$38,MATCH(M1913,'Cluster Map'!$B$4:$B$38,0)),"Unmapped"))</f>
        <v/>
      </c>
      <c r="O1913" s="55">
        <f>IF(A1913="",0,IF(COUNTIFS($A$2:A1913,A1913,$F$2:F1913,F1913,$L$2:L1913,L1913)=1,1,0))</f>
        <v>0</v>
      </c>
      <c r="P1913" s="55">
        <f>IF(A1913="",0,IF(AND(F1913="C&amp;T",COUNTIFS($A$2:A1913,A1913,$F$2:F1913,"C&amp;T")=1),1,0))</f>
        <v>0</v>
      </c>
    </row>
    <row r="1914" spans="1:16" x14ac:dyDescent="0.35">
      <c r="A1914" s="54" t="str">
        <f>IFERROR(IF(INDEX(SPOT_Import!$A$1:$Z$2488,1914,'Live Data'!$C$12)="","",INDEX(SPOT_Import!$A$1:$Z$2488,1914,'Live Data'!$C$12)),"")</f>
        <v/>
      </c>
      <c r="B1914" s="54" t="str">
        <f>IFERROR(IF(INDEX(SPOT_Import!$A$1:$Z$2488,1914,'Live Data'!$C$13)="","",INDEX(SPOT_Import!$A$1:$Z$2488,1914,'Live Data'!$C$13)),"")</f>
        <v/>
      </c>
      <c r="C1914" s="54" t="str">
        <f>IFERROR(IF(INDEX(SPOT_Import!$A$1:$Z$2488,1914,'Live Data'!$C$14)="","",INDEX(SPOT_Import!$A$1:$Z$2488,1914,'Live Data'!$C$14)),"")</f>
        <v/>
      </c>
      <c r="D1914" s="54" t="str">
        <f>IFERROR(IF(INDEX(SPOT_Import!$A$1:$Z$2488,1914,'Live Data'!$C$15)="","",INDEX(SPOT_Import!$A$1:$Z$2488,1914,'Live Data'!$C$15)),"")</f>
        <v/>
      </c>
      <c r="E1914" s="54" t="str">
        <f>IFERROR(IF(INDEX(SPOT_Import!$A$1:$Z$2488,1914,'Live Data'!$C$16)="","",INDEX(SPOT_Import!$A$1:$Z$2488,1914,'Live Data'!$C$16)),"")</f>
        <v/>
      </c>
      <c r="F1914" s="54" t="str">
        <f>IFERROR(IF(INDEX(SPOT_Import!$A$1:$Z$2488,1914,'Live Data'!$C$17)="","",INDEX(SPOT_Import!$A$1:$Z$2488,1914,'Live Data'!$C$17)),"")</f>
        <v/>
      </c>
      <c r="G1914" s="54" t="str">
        <f>IFERROR(IF(INDEX(SPOT_Import!$A$1:$Z$2488,1914,'Live Data'!$C$18)="","",INDEX(SPOT_Import!$A$1:$Z$2488,1914,'Live Data'!$C$18)),"")</f>
        <v/>
      </c>
      <c r="H1914" s="54" t="str">
        <f>IFERROR(IF(INDEX(SPOT_Import!$A$1:$Z$2488,1914,'Live Data'!$C$19)="","",INDEX(SPOT_Import!$A$1:$Z$2488,1914,'Live Data'!$C$19)),"")</f>
        <v/>
      </c>
      <c r="I1914" s="54" t="str">
        <f>IFERROR(IF(INDEX(SPOT_Import!$A$1:$Z$2488,1914,'Live Data'!$C$20)="","",INDEX(SPOT_Import!$A$1:$Z$2488,1914,'Live Data'!$C$20)),"")</f>
        <v/>
      </c>
      <c r="J1914" s="54" t="str">
        <f>IFERROR(IF(INDEX(SPOT_Import!$A$1:$Z$2488,1914,'Live Data'!$C$21)="","",INDEX(SPOT_Import!$A$1:$Z$2488,1914,'Live Data'!$C$21)),"")</f>
        <v/>
      </c>
      <c r="K1914" s="54" t="str">
        <f>IFERROR(IF(INDEX(SPOT_Import!$A$1:$Z$2488,1914,'Live Data'!$C$22)="","",INDEX(SPOT_Import!$A$1:$Z$2488,1914,'Live Data'!$C$22)),"")</f>
        <v/>
      </c>
      <c r="L1914" s="55" t="str">
        <f t="shared" si="58"/>
        <v/>
      </c>
      <c r="M1914" s="55" t="str">
        <f t="shared" si="59"/>
        <v/>
      </c>
      <c r="N1914" s="55" t="str">
        <f>IF(A1914="","",IFERROR(INDEX('Cluster Map'!$A$4:$A$38,MATCH(M1914,'Cluster Map'!$B$4:$B$38,0)),"Unmapped"))</f>
        <v/>
      </c>
      <c r="O1914" s="55">
        <f>IF(A1914="",0,IF(COUNTIFS($A$2:A1914,A1914,$F$2:F1914,F1914,$L$2:L1914,L1914)=1,1,0))</f>
        <v>0</v>
      </c>
      <c r="P1914" s="55">
        <f>IF(A1914="",0,IF(AND(F1914="C&amp;T",COUNTIFS($A$2:A1914,A1914,$F$2:F1914,"C&amp;T")=1),1,0))</f>
        <v>0</v>
      </c>
    </row>
    <row r="1915" spans="1:16" x14ac:dyDescent="0.35">
      <c r="A1915" s="54" t="str">
        <f>IFERROR(IF(INDEX(SPOT_Import!$A$1:$Z$2488,1915,'Live Data'!$C$12)="","",INDEX(SPOT_Import!$A$1:$Z$2488,1915,'Live Data'!$C$12)),"")</f>
        <v/>
      </c>
      <c r="B1915" s="54" t="str">
        <f>IFERROR(IF(INDEX(SPOT_Import!$A$1:$Z$2488,1915,'Live Data'!$C$13)="","",INDEX(SPOT_Import!$A$1:$Z$2488,1915,'Live Data'!$C$13)),"")</f>
        <v/>
      </c>
      <c r="C1915" s="54" t="str">
        <f>IFERROR(IF(INDEX(SPOT_Import!$A$1:$Z$2488,1915,'Live Data'!$C$14)="","",INDEX(SPOT_Import!$A$1:$Z$2488,1915,'Live Data'!$C$14)),"")</f>
        <v/>
      </c>
      <c r="D1915" s="54" t="str">
        <f>IFERROR(IF(INDEX(SPOT_Import!$A$1:$Z$2488,1915,'Live Data'!$C$15)="","",INDEX(SPOT_Import!$A$1:$Z$2488,1915,'Live Data'!$C$15)),"")</f>
        <v/>
      </c>
      <c r="E1915" s="54" t="str">
        <f>IFERROR(IF(INDEX(SPOT_Import!$A$1:$Z$2488,1915,'Live Data'!$C$16)="","",INDEX(SPOT_Import!$A$1:$Z$2488,1915,'Live Data'!$C$16)),"")</f>
        <v/>
      </c>
      <c r="F1915" s="54" t="str">
        <f>IFERROR(IF(INDEX(SPOT_Import!$A$1:$Z$2488,1915,'Live Data'!$C$17)="","",INDEX(SPOT_Import!$A$1:$Z$2488,1915,'Live Data'!$C$17)),"")</f>
        <v/>
      </c>
      <c r="G1915" s="54" t="str">
        <f>IFERROR(IF(INDEX(SPOT_Import!$A$1:$Z$2488,1915,'Live Data'!$C$18)="","",INDEX(SPOT_Import!$A$1:$Z$2488,1915,'Live Data'!$C$18)),"")</f>
        <v/>
      </c>
      <c r="H1915" s="54" t="str">
        <f>IFERROR(IF(INDEX(SPOT_Import!$A$1:$Z$2488,1915,'Live Data'!$C$19)="","",INDEX(SPOT_Import!$A$1:$Z$2488,1915,'Live Data'!$C$19)),"")</f>
        <v/>
      </c>
      <c r="I1915" s="54" t="str">
        <f>IFERROR(IF(INDEX(SPOT_Import!$A$1:$Z$2488,1915,'Live Data'!$C$20)="","",INDEX(SPOT_Import!$A$1:$Z$2488,1915,'Live Data'!$C$20)),"")</f>
        <v/>
      </c>
      <c r="J1915" s="54" t="str">
        <f>IFERROR(IF(INDEX(SPOT_Import!$A$1:$Z$2488,1915,'Live Data'!$C$21)="","",INDEX(SPOT_Import!$A$1:$Z$2488,1915,'Live Data'!$C$21)),"")</f>
        <v/>
      </c>
      <c r="K1915" s="54" t="str">
        <f>IFERROR(IF(INDEX(SPOT_Import!$A$1:$Z$2488,1915,'Live Data'!$C$22)="","",INDEX(SPOT_Import!$A$1:$Z$2488,1915,'Live Data'!$C$22)),"")</f>
        <v/>
      </c>
      <c r="L1915" s="55" t="str">
        <f t="shared" si="58"/>
        <v/>
      </c>
      <c r="M1915" s="55" t="str">
        <f t="shared" si="59"/>
        <v/>
      </c>
      <c r="N1915" s="55" t="str">
        <f>IF(A1915="","",IFERROR(INDEX('Cluster Map'!$A$4:$A$38,MATCH(M1915,'Cluster Map'!$B$4:$B$38,0)),"Unmapped"))</f>
        <v/>
      </c>
      <c r="O1915" s="55">
        <f>IF(A1915="",0,IF(COUNTIFS($A$2:A1915,A1915,$F$2:F1915,F1915,$L$2:L1915,L1915)=1,1,0))</f>
        <v>0</v>
      </c>
      <c r="P1915" s="55">
        <f>IF(A1915="",0,IF(AND(F1915="C&amp;T",COUNTIFS($A$2:A1915,A1915,$F$2:F1915,"C&amp;T")=1),1,0))</f>
        <v>0</v>
      </c>
    </row>
    <row r="1916" spans="1:16" x14ac:dyDescent="0.35">
      <c r="A1916" s="54" t="str">
        <f>IFERROR(IF(INDEX(SPOT_Import!$A$1:$Z$2488,1916,'Live Data'!$C$12)="","",INDEX(SPOT_Import!$A$1:$Z$2488,1916,'Live Data'!$C$12)),"")</f>
        <v/>
      </c>
      <c r="B1916" s="54" t="str">
        <f>IFERROR(IF(INDEX(SPOT_Import!$A$1:$Z$2488,1916,'Live Data'!$C$13)="","",INDEX(SPOT_Import!$A$1:$Z$2488,1916,'Live Data'!$C$13)),"")</f>
        <v/>
      </c>
      <c r="C1916" s="54" t="str">
        <f>IFERROR(IF(INDEX(SPOT_Import!$A$1:$Z$2488,1916,'Live Data'!$C$14)="","",INDEX(SPOT_Import!$A$1:$Z$2488,1916,'Live Data'!$C$14)),"")</f>
        <v/>
      </c>
      <c r="D1916" s="54" t="str">
        <f>IFERROR(IF(INDEX(SPOT_Import!$A$1:$Z$2488,1916,'Live Data'!$C$15)="","",INDEX(SPOT_Import!$A$1:$Z$2488,1916,'Live Data'!$C$15)),"")</f>
        <v/>
      </c>
      <c r="E1916" s="54" t="str">
        <f>IFERROR(IF(INDEX(SPOT_Import!$A$1:$Z$2488,1916,'Live Data'!$C$16)="","",INDEX(SPOT_Import!$A$1:$Z$2488,1916,'Live Data'!$C$16)),"")</f>
        <v/>
      </c>
      <c r="F1916" s="54" t="str">
        <f>IFERROR(IF(INDEX(SPOT_Import!$A$1:$Z$2488,1916,'Live Data'!$C$17)="","",INDEX(SPOT_Import!$A$1:$Z$2488,1916,'Live Data'!$C$17)),"")</f>
        <v/>
      </c>
      <c r="G1916" s="54" t="str">
        <f>IFERROR(IF(INDEX(SPOT_Import!$A$1:$Z$2488,1916,'Live Data'!$C$18)="","",INDEX(SPOT_Import!$A$1:$Z$2488,1916,'Live Data'!$C$18)),"")</f>
        <v/>
      </c>
      <c r="H1916" s="54" t="str">
        <f>IFERROR(IF(INDEX(SPOT_Import!$A$1:$Z$2488,1916,'Live Data'!$C$19)="","",INDEX(SPOT_Import!$A$1:$Z$2488,1916,'Live Data'!$C$19)),"")</f>
        <v/>
      </c>
      <c r="I1916" s="54" t="str">
        <f>IFERROR(IF(INDEX(SPOT_Import!$A$1:$Z$2488,1916,'Live Data'!$C$20)="","",INDEX(SPOT_Import!$A$1:$Z$2488,1916,'Live Data'!$C$20)),"")</f>
        <v/>
      </c>
      <c r="J1916" s="54" t="str">
        <f>IFERROR(IF(INDEX(SPOT_Import!$A$1:$Z$2488,1916,'Live Data'!$C$21)="","",INDEX(SPOT_Import!$A$1:$Z$2488,1916,'Live Data'!$C$21)),"")</f>
        <v/>
      </c>
      <c r="K1916" s="54" t="str">
        <f>IFERROR(IF(INDEX(SPOT_Import!$A$1:$Z$2488,1916,'Live Data'!$C$22)="","",INDEX(SPOT_Import!$A$1:$Z$2488,1916,'Live Data'!$C$22)),"")</f>
        <v/>
      </c>
      <c r="L1916" s="55" t="str">
        <f t="shared" si="58"/>
        <v/>
      </c>
      <c r="M1916" s="55" t="str">
        <f t="shared" si="59"/>
        <v/>
      </c>
      <c r="N1916" s="55" t="str">
        <f>IF(A1916="","",IFERROR(INDEX('Cluster Map'!$A$4:$A$38,MATCH(M1916,'Cluster Map'!$B$4:$B$38,0)),"Unmapped"))</f>
        <v/>
      </c>
      <c r="O1916" s="55">
        <f>IF(A1916="",0,IF(COUNTIFS($A$2:A1916,A1916,$F$2:F1916,F1916,$L$2:L1916,L1916)=1,1,0))</f>
        <v>0</v>
      </c>
      <c r="P1916" s="55">
        <f>IF(A1916="",0,IF(AND(F1916="C&amp;T",COUNTIFS($A$2:A1916,A1916,$F$2:F1916,"C&amp;T")=1),1,0))</f>
        <v>0</v>
      </c>
    </row>
    <row r="1917" spans="1:16" x14ac:dyDescent="0.35">
      <c r="A1917" s="54" t="str">
        <f>IFERROR(IF(INDEX(SPOT_Import!$A$1:$Z$2488,1917,'Live Data'!$C$12)="","",INDEX(SPOT_Import!$A$1:$Z$2488,1917,'Live Data'!$C$12)),"")</f>
        <v/>
      </c>
      <c r="B1917" s="54" t="str">
        <f>IFERROR(IF(INDEX(SPOT_Import!$A$1:$Z$2488,1917,'Live Data'!$C$13)="","",INDEX(SPOT_Import!$A$1:$Z$2488,1917,'Live Data'!$C$13)),"")</f>
        <v/>
      </c>
      <c r="C1917" s="54" t="str">
        <f>IFERROR(IF(INDEX(SPOT_Import!$A$1:$Z$2488,1917,'Live Data'!$C$14)="","",INDEX(SPOT_Import!$A$1:$Z$2488,1917,'Live Data'!$C$14)),"")</f>
        <v/>
      </c>
      <c r="D1917" s="54" t="str">
        <f>IFERROR(IF(INDEX(SPOT_Import!$A$1:$Z$2488,1917,'Live Data'!$C$15)="","",INDEX(SPOT_Import!$A$1:$Z$2488,1917,'Live Data'!$C$15)),"")</f>
        <v/>
      </c>
      <c r="E1917" s="54" t="str">
        <f>IFERROR(IF(INDEX(SPOT_Import!$A$1:$Z$2488,1917,'Live Data'!$C$16)="","",INDEX(SPOT_Import!$A$1:$Z$2488,1917,'Live Data'!$C$16)),"")</f>
        <v/>
      </c>
      <c r="F1917" s="54" t="str">
        <f>IFERROR(IF(INDEX(SPOT_Import!$A$1:$Z$2488,1917,'Live Data'!$C$17)="","",INDEX(SPOT_Import!$A$1:$Z$2488,1917,'Live Data'!$C$17)),"")</f>
        <v/>
      </c>
      <c r="G1917" s="54" t="str">
        <f>IFERROR(IF(INDEX(SPOT_Import!$A$1:$Z$2488,1917,'Live Data'!$C$18)="","",INDEX(SPOT_Import!$A$1:$Z$2488,1917,'Live Data'!$C$18)),"")</f>
        <v/>
      </c>
      <c r="H1917" s="54" t="str">
        <f>IFERROR(IF(INDEX(SPOT_Import!$A$1:$Z$2488,1917,'Live Data'!$C$19)="","",INDEX(SPOT_Import!$A$1:$Z$2488,1917,'Live Data'!$C$19)),"")</f>
        <v/>
      </c>
      <c r="I1917" s="54" t="str">
        <f>IFERROR(IF(INDEX(SPOT_Import!$A$1:$Z$2488,1917,'Live Data'!$C$20)="","",INDEX(SPOT_Import!$A$1:$Z$2488,1917,'Live Data'!$C$20)),"")</f>
        <v/>
      </c>
      <c r="J1917" s="54" t="str">
        <f>IFERROR(IF(INDEX(SPOT_Import!$A$1:$Z$2488,1917,'Live Data'!$C$21)="","",INDEX(SPOT_Import!$A$1:$Z$2488,1917,'Live Data'!$C$21)),"")</f>
        <v/>
      </c>
      <c r="K1917" s="54" t="str">
        <f>IFERROR(IF(INDEX(SPOT_Import!$A$1:$Z$2488,1917,'Live Data'!$C$22)="","",INDEX(SPOT_Import!$A$1:$Z$2488,1917,'Live Data'!$C$22)),"")</f>
        <v/>
      </c>
      <c r="L1917" s="55" t="str">
        <f t="shared" si="58"/>
        <v/>
      </c>
      <c r="M1917" s="55" t="str">
        <f t="shared" si="59"/>
        <v/>
      </c>
      <c r="N1917" s="55" t="str">
        <f>IF(A1917="","",IFERROR(INDEX('Cluster Map'!$A$4:$A$38,MATCH(M1917,'Cluster Map'!$B$4:$B$38,0)),"Unmapped"))</f>
        <v/>
      </c>
      <c r="O1917" s="55">
        <f>IF(A1917="",0,IF(COUNTIFS($A$2:A1917,A1917,$F$2:F1917,F1917,$L$2:L1917,L1917)=1,1,0))</f>
        <v>0</v>
      </c>
      <c r="P1917" s="55">
        <f>IF(A1917="",0,IF(AND(F1917="C&amp;T",COUNTIFS($A$2:A1917,A1917,$F$2:F1917,"C&amp;T")=1),1,0))</f>
        <v>0</v>
      </c>
    </row>
    <row r="1918" spans="1:16" x14ac:dyDescent="0.35">
      <c r="A1918" s="54" t="str">
        <f>IFERROR(IF(INDEX(SPOT_Import!$A$1:$Z$2488,1918,'Live Data'!$C$12)="","",INDEX(SPOT_Import!$A$1:$Z$2488,1918,'Live Data'!$C$12)),"")</f>
        <v/>
      </c>
      <c r="B1918" s="54" t="str">
        <f>IFERROR(IF(INDEX(SPOT_Import!$A$1:$Z$2488,1918,'Live Data'!$C$13)="","",INDEX(SPOT_Import!$A$1:$Z$2488,1918,'Live Data'!$C$13)),"")</f>
        <v/>
      </c>
      <c r="C1918" s="54" t="str">
        <f>IFERROR(IF(INDEX(SPOT_Import!$A$1:$Z$2488,1918,'Live Data'!$C$14)="","",INDEX(SPOT_Import!$A$1:$Z$2488,1918,'Live Data'!$C$14)),"")</f>
        <v/>
      </c>
      <c r="D1918" s="54" t="str">
        <f>IFERROR(IF(INDEX(SPOT_Import!$A$1:$Z$2488,1918,'Live Data'!$C$15)="","",INDEX(SPOT_Import!$A$1:$Z$2488,1918,'Live Data'!$C$15)),"")</f>
        <v/>
      </c>
      <c r="E1918" s="54" t="str">
        <f>IFERROR(IF(INDEX(SPOT_Import!$A$1:$Z$2488,1918,'Live Data'!$C$16)="","",INDEX(SPOT_Import!$A$1:$Z$2488,1918,'Live Data'!$C$16)),"")</f>
        <v/>
      </c>
      <c r="F1918" s="54" t="str">
        <f>IFERROR(IF(INDEX(SPOT_Import!$A$1:$Z$2488,1918,'Live Data'!$C$17)="","",INDEX(SPOT_Import!$A$1:$Z$2488,1918,'Live Data'!$C$17)),"")</f>
        <v/>
      </c>
      <c r="G1918" s="54" t="str">
        <f>IFERROR(IF(INDEX(SPOT_Import!$A$1:$Z$2488,1918,'Live Data'!$C$18)="","",INDEX(SPOT_Import!$A$1:$Z$2488,1918,'Live Data'!$C$18)),"")</f>
        <v/>
      </c>
      <c r="H1918" s="54" t="str">
        <f>IFERROR(IF(INDEX(SPOT_Import!$A$1:$Z$2488,1918,'Live Data'!$C$19)="","",INDEX(SPOT_Import!$A$1:$Z$2488,1918,'Live Data'!$C$19)),"")</f>
        <v/>
      </c>
      <c r="I1918" s="54" t="str">
        <f>IFERROR(IF(INDEX(SPOT_Import!$A$1:$Z$2488,1918,'Live Data'!$C$20)="","",INDEX(SPOT_Import!$A$1:$Z$2488,1918,'Live Data'!$C$20)),"")</f>
        <v/>
      </c>
      <c r="J1918" s="54" t="str">
        <f>IFERROR(IF(INDEX(SPOT_Import!$A$1:$Z$2488,1918,'Live Data'!$C$21)="","",INDEX(SPOT_Import!$A$1:$Z$2488,1918,'Live Data'!$C$21)),"")</f>
        <v/>
      </c>
      <c r="K1918" s="54" t="str">
        <f>IFERROR(IF(INDEX(SPOT_Import!$A$1:$Z$2488,1918,'Live Data'!$C$22)="","",INDEX(SPOT_Import!$A$1:$Z$2488,1918,'Live Data'!$C$22)),"")</f>
        <v/>
      </c>
      <c r="L1918" s="55" t="str">
        <f t="shared" si="58"/>
        <v/>
      </c>
      <c r="M1918" s="55" t="str">
        <f t="shared" si="59"/>
        <v/>
      </c>
      <c r="N1918" s="55" t="str">
        <f>IF(A1918="","",IFERROR(INDEX('Cluster Map'!$A$4:$A$38,MATCH(M1918,'Cluster Map'!$B$4:$B$38,0)),"Unmapped"))</f>
        <v/>
      </c>
      <c r="O1918" s="55">
        <f>IF(A1918="",0,IF(COUNTIFS($A$2:A1918,A1918,$F$2:F1918,F1918,$L$2:L1918,L1918)=1,1,0))</f>
        <v>0</v>
      </c>
      <c r="P1918" s="55">
        <f>IF(A1918="",0,IF(AND(F1918="C&amp;T",COUNTIFS($A$2:A1918,A1918,$F$2:F1918,"C&amp;T")=1),1,0))</f>
        <v>0</v>
      </c>
    </row>
    <row r="1919" spans="1:16" x14ac:dyDescent="0.35">
      <c r="A1919" s="54" t="str">
        <f>IFERROR(IF(INDEX(SPOT_Import!$A$1:$Z$2488,1919,'Live Data'!$C$12)="","",INDEX(SPOT_Import!$A$1:$Z$2488,1919,'Live Data'!$C$12)),"")</f>
        <v/>
      </c>
      <c r="B1919" s="54" t="str">
        <f>IFERROR(IF(INDEX(SPOT_Import!$A$1:$Z$2488,1919,'Live Data'!$C$13)="","",INDEX(SPOT_Import!$A$1:$Z$2488,1919,'Live Data'!$C$13)),"")</f>
        <v/>
      </c>
      <c r="C1919" s="54" t="str">
        <f>IFERROR(IF(INDEX(SPOT_Import!$A$1:$Z$2488,1919,'Live Data'!$C$14)="","",INDEX(SPOT_Import!$A$1:$Z$2488,1919,'Live Data'!$C$14)),"")</f>
        <v/>
      </c>
      <c r="D1919" s="54" t="str">
        <f>IFERROR(IF(INDEX(SPOT_Import!$A$1:$Z$2488,1919,'Live Data'!$C$15)="","",INDEX(SPOT_Import!$A$1:$Z$2488,1919,'Live Data'!$C$15)),"")</f>
        <v/>
      </c>
      <c r="E1919" s="54" t="str">
        <f>IFERROR(IF(INDEX(SPOT_Import!$A$1:$Z$2488,1919,'Live Data'!$C$16)="","",INDEX(SPOT_Import!$A$1:$Z$2488,1919,'Live Data'!$C$16)),"")</f>
        <v/>
      </c>
      <c r="F1919" s="54" t="str">
        <f>IFERROR(IF(INDEX(SPOT_Import!$A$1:$Z$2488,1919,'Live Data'!$C$17)="","",INDEX(SPOT_Import!$A$1:$Z$2488,1919,'Live Data'!$C$17)),"")</f>
        <v/>
      </c>
      <c r="G1919" s="54" t="str">
        <f>IFERROR(IF(INDEX(SPOT_Import!$A$1:$Z$2488,1919,'Live Data'!$C$18)="","",INDEX(SPOT_Import!$A$1:$Z$2488,1919,'Live Data'!$C$18)),"")</f>
        <v/>
      </c>
      <c r="H1919" s="54" t="str">
        <f>IFERROR(IF(INDEX(SPOT_Import!$A$1:$Z$2488,1919,'Live Data'!$C$19)="","",INDEX(SPOT_Import!$A$1:$Z$2488,1919,'Live Data'!$C$19)),"")</f>
        <v/>
      </c>
      <c r="I1919" s="54" t="str">
        <f>IFERROR(IF(INDEX(SPOT_Import!$A$1:$Z$2488,1919,'Live Data'!$C$20)="","",INDEX(SPOT_Import!$A$1:$Z$2488,1919,'Live Data'!$C$20)),"")</f>
        <v/>
      </c>
      <c r="J1919" s="54" t="str">
        <f>IFERROR(IF(INDEX(SPOT_Import!$A$1:$Z$2488,1919,'Live Data'!$C$21)="","",INDEX(SPOT_Import!$A$1:$Z$2488,1919,'Live Data'!$C$21)),"")</f>
        <v/>
      </c>
      <c r="K1919" s="54" t="str">
        <f>IFERROR(IF(INDEX(SPOT_Import!$A$1:$Z$2488,1919,'Live Data'!$C$22)="","",INDEX(SPOT_Import!$A$1:$Z$2488,1919,'Live Data'!$C$22)),"")</f>
        <v/>
      </c>
      <c r="L1919" s="55" t="str">
        <f t="shared" si="58"/>
        <v/>
      </c>
      <c r="M1919" s="55" t="str">
        <f t="shared" si="59"/>
        <v/>
      </c>
      <c r="N1919" s="55" t="str">
        <f>IF(A1919="","",IFERROR(INDEX('Cluster Map'!$A$4:$A$38,MATCH(M1919,'Cluster Map'!$B$4:$B$38,0)),"Unmapped"))</f>
        <v/>
      </c>
      <c r="O1919" s="55">
        <f>IF(A1919="",0,IF(COUNTIFS($A$2:A1919,A1919,$F$2:F1919,F1919,$L$2:L1919,L1919)=1,1,0))</f>
        <v>0</v>
      </c>
      <c r="P1919" s="55">
        <f>IF(A1919="",0,IF(AND(F1919="C&amp;T",COUNTIFS($A$2:A1919,A1919,$F$2:F1919,"C&amp;T")=1),1,0))</f>
        <v>0</v>
      </c>
    </row>
    <row r="1920" spans="1:16" x14ac:dyDescent="0.35">
      <c r="A1920" s="54" t="str">
        <f>IFERROR(IF(INDEX(SPOT_Import!$A$1:$Z$2488,1920,'Live Data'!$C$12)="","",INDEX(SPOT_Import!$A$1:$Z$2488,1920,'Live Data'!$C$12)),"")</f>
        <v/>
      </c>
      <c r="B1920" s="54" t="str">
        <f>IFERROR(IF(INDEX(SPOT_Import!$A$1:$Z$2488,1920,'Live Data'!$C$13)="","",INDEX(SPOT_Import!$A$1:$Z$2488,1920,'Live Data'!$C$13)),"")</f>
        <v/>
      </c>
      <c r="C1920" s="54" t="str">
        <f>IFERROR(IF(INDEX(SPOT_Import!$A$1:$Z$2488,1920,'Live Data'!$C$14)="","",INDEX(SPOT_Import!$A$1:$Z$2488,1920,'Live Data'!$C$14)),"")</f>
        <v/>
      </c>
      <c r="D1920" s="54" t="str">
        <f>IFERROR(IF(INDEX(SPOT_Import!$A$1:$Z$2488,1920,'Live Data'!$C$15)="","",INDEX(SPOT_Import!$A$1:$Z$2488,1920,'Live Data'!$C$15)),"")</f>
        <v/>
      </c>
      <c r="E1920" s="54" t="str">
        <f>IFERROR(IF(INDEX(SPOT_Import!$A$1:$Z$2488,1920,'Live Data'!$C$16)="","",INDEX(SPOT_Import!$A$1:$Z$2488,1920,'Live Data'!$C$16)),"")</f>
        <v/>
      </c>
      <c r="F1920" s="54" t="str">
        <f>IFERROR(IF(INDEX(SPOT_Import!$A$1:$Z$2488,1920,'Live Data'!$C$17)="","",INDEX(SPOT_Import!$A$1:$Z$2488,1920,'Live Data'!$C$17)),"")</f>
        <v/>
      </c>
      <c r="G1920" s="54" t="str">
        <f>IFERROR(IF(INDEX(SPOT_Import!$A$1:$Z$2488,1920,'Live Data'!$C$18)="","",INDEX(SPOT_Import!$A$1:$Z$2488,1920,'Live Data'!$C$18)),"")</f>
        <v/>
      </c>
      <c r="H1920" s="54" t="str">
        <f>IFERROR(IF(INDEX(SPOT_Import!$A$1:$Z$2488,1920,'Live Data'!$C$19)="","",INDEX(SPOT_Import!$A$1:$Z$2488,1920,'Live Data'!$C$19)),"")</f>
        <v/>
      </c>
      <c r="I1920" s="54" t="str">
        <f>IFERROR(IF(INDEX(SPOT_Import!$A$1:$Z$2488,1920,'Live Data'!$C$20)="","",INDEX(SPOT_Import!$A$1:$Z$2488,1920,'Live Data'!$C$20)),"")</f>
        <v/>
      </c>
      <c r="J1920" s="54" t="str">
        <f>IFERROR(IF(INDEX(SPOT_Import!$A$1:$Z$2488,1920,'Live Data'!$C$21)="","",INDEX(SPOT_Import!$A$1:$Z$2488,1920,'Live Data'!$C$21)),"")</f>
        <v/>
      </c>
      <c r="K1920" s="54" t="str">
        <f>IFERROR(IF(INDEX(SPOT_Import!$A$1:$Z$2488,1920,'Live Data'!$C$22)="","",INDEX(SPOT_Import!$A$1:$Z$2488,1920,'Live Data'!$C$22)),"")</f>
        <v/>
      </c>
      <c r="L1920" s="55" t="str">
        <f t="shared" si="58"/>
        <v/>
      </c>
      <c r="M1920" s="55" t="str">
        <f t="shared" si="59"/>
        <v/>
      </c>
      <c r="N1920" s="55" t="str">
        <f>IF(A1920="","",IFERROR(INDEX('Cluster Map'!$A$4:$A$38,MATCH(M1920,'Cluster Map'!$B$4:$B$38,0)),"Unmapped"))</f>
        <v/>
      </c>
      <c r="O1920" s="55">
        <f>IF(A1920="",0,IF(COUNTIFS($A$2:A1920,A1920,$F$2:F1920,F1920,$L$2:L1920,L1920)=1,1,0))</f>
        <v>0</v>
      </c>
      <c r="P1920" s="55">
        <f>IF(A1920="",0,IF(AND(F1920="C&amp;T",COUNTIFS($A$2:A1920,A1920,$F$2:F1920,"C&amp;T")=1),1,0))</f>
        <v>0</v>
      </c>
    </row>
    <row r="1921" spans="1:16" x14ac:dyDescent="0.35">
      <c r="A1921" s="54" t="str">
        <f>IFERROR(IF(INDEX(SPOT_Import!$A$1:$Z$2488,1921,'Live Data'!$C$12)="","",INDEX(SPOT_Import!$A$1:$Z$2488,1921,'Live Data'!$C$12)),"")</f>
        <v/>
      </c>
      <c r="B1921" s="54" t="str">
        <f>IFERROR(IF(INDEX(SPOT_Import!$A$1:$Z$2488,1921,'Live Data'!$C$13)="","",INDEX(SPOT_Import!$A$1:$Z$2488,1921,'Live Data'!$C$13)),"")</f>
        <v/>
      </c>
      <c r="C1921" s="54" t="str">
        <f>IFERROR(IF(INDEX(SPOT_Import!$A$1:$Z$2488,1921,'Live Data'!$C$14)="","",INDEX(SPOT_Import!$A$1:$Z$2488,1921,'Live Data'!$C$14)),"")</f>
        <v/>
      </c>
      <c r="D1921" s="54" t="str">
        <f>IFERROR(IF(INDEX(SPOT_Import!$A$1:$Z$2488,1921,'Live Data'!$C$15)="","",INDEX(SPOT_Import!$A$1:$Z$2488,1921,'Live Data'!$C$15)),"")</f>
        <v/>
      </c>
      <c r="E1921" s="54" t="str">
        <f>IFERROR(IF(INDEX(SPOT_Import!$A$1:$Z$2488,1921,'Live Data'!$C$16)="","",INDEX(SPOT_Import!$A$1:$Z$2488,1921,'Live Data'!$C$16)),"")</f>
        <v/>
      </c>
      <c r="F1921" s="54" t="str">
        <f>IFERROR(IF(INDEX(SPOT_Import!$A$1:$Z$2488,1921,'Live Data'!$C$17)="","",INDEX(SPOT_Import!$A$1:$Z$2488,1921,'Live Data'!$C$17)),"")</f>
        <v/>
      </c>
      <c r="G1921" s="54" t="str">
        <f>IFERROR(IF(INDEX(SPOT_Import!$A$1:$Z$2488,1921,'Live Data'!$C$18)="","",INDEX(SPOT_Import!$A$1:$Z$2488,1921,'Live Data'!$C$18)),"")</f>
        <v/>
      </c>
      <c r="H1921" s="54" t="str">
        <f>IFERROR(IF(INDEX(SPOT_Import!$A$1:$Z$2488,1921,'Live Data'!$C$19)="","",INDEX(SPOT_Import!$A$1:$Z$2488,1921,'Live Data'!$C$19)),"")</f>
        <v/>
      </c>
      <c r="I1921" s="54" t="str">
        <f>IFERROR(IF(INDEX(SPOT_Import!$A$1:$Z$2488,1921,'Live Data'!$C$20)="","",INDEX(SPOT_Import!$A$1:$Z$2488,1921,'Live Data'!$C$20)),"")</f>
        <v/>
      </c>
      <c r="J1921" s="54" t="str">
        <f>IFERROR(IF(INDEX(SPOT_Import!$A$1:$Z$2488,1921,'Live Data'!$C$21)="","",INDEX(SPOT_Import!$A$1:$Z$2488,1921,'Live Data'!$C$21)),"")</f>
        <v/>
      </c>
      <c r="K1921" s="54" t="str">
        <f>IFERROR(IF(INDEX(SPOT_Import!$A$1:$Z$2488,1921,'Live Data'!$C$22)="","",INDEX(SPOT_Import!$A$1:$Z$2488,1921,'Live Data'!$C$22)),"")</f>
        <v/>
      </c>
      <c r="L1921" s="55" t="str">
        <f t="shared" si="58"/>
        <v/>
      </c>
      <c r="M1921" s="55" t="str">
        <f t="shared" si="59"/>
        <v/>
      </c>
      <c r="N1921" s="55" t="str">
        <f>IF(A1921="","",IFERROR(INDEX('Cluster Map'!$A$4:$A$38,MATCH(M1921,'Cluster Map'!$B$4:$B$38,0)),"Unmapped"))</f>
        <v/>
      </c>
      <c r="O1921" s="55">
        <f>IF(A1921="",0,IF(COUNTIFS($A$2:A1921,A1921,$F$2:F1921,F1921,$L$2:L1921,L1921)=1,1,0))</f>
        <v>0</v>
      </c>
      <c r="P1921" s="55">
        <f>IF(A1921="",0,IF(AND(F1921="C&amp;T",COUNTIFS($A$2:A1921,A1921,$F$2:F1921,"C&amp;T")=1),1,0))</f>
        <v>0</v>
      </c>
    </row>
    <row r="1922" spans="1:16" x14ac:dyDescent="0.35">
      <c r="A1922" s="54" t="str">
        <f>IFERROR(IF(INDEX(SPOT_Import!$A$1:$Z$2488,1922,'Live Data'!$C$12)="","",INDEX(SPOT_Import!$A$1:$Z$2488,1922,'Live Data'!$C$12)),"")</f>
        <v/>
      </c>
      <c r="B1922" s="54" t="str">
        <f>IFERROR(IF(INDEX(SPOT_Import!$A$1:$Z$2488,1922,'Live Data'!$C$13)="","",INDEX(SPOT_Import!$A$1:$Z$2488,1922,'Live Data'!$C$13)),"")</f>
        <v/>
      </c>
      <c r="C1922" s="54" t="str">
        <f>IFERROR(IF(INDEX(SPOT_Import!$A$1:$Z$2488,1922,'Live Data'!$C$14)="","",INDEX(SPOT_Import!$A$1:$Z$2488,1922,'Live Data'!$C$14)),"")</f>
        <v/>
      </c>
      <c r="D1922" s="54" t="str">
        <f>IFERROR(IF(INDEX(SPOT_Import!$A$1:$Z$2488,1922,'Live Data'!$C$15)="","",INDEX(SPOT_Import!$A$1:$Z$2488,1922,'Live Data'!$C$15)),"")</f>
        <v/>
      </c>
      <c r="E1922" s="54" t="str">
        <f>IFERROR(IF(INDEX(SPOT_Import!$A$1:$Z$2488,1922,'Live Data'!$C$16)="","",INDEX(SPOT_Import!$A$1:$Z$2488,1922,'Live Data'!$C$16)),"")</f>
        <v/>
      </c>
      <c r="F1922" s="54" t="str">
        <f>IFERROR(IF(INDEX(SPOT_Import!$A$1:$Z$2488,1922,'Live Data'!$C$17)="","",INDEX(SPOT_Import!$A$1:$Z$2488,1922,'Live Data'!$C$17)),"")</f>
        <v/>
      </c>
      <c r="G1922" s="54" t="str">
        <f>IFERROR(IF(INDEX(SPOT_Import!$A$1:$Z$2488,1922,'Live Data'!$C$18)="","",INDEX(SPOT_Import!$A$1:$Z$2488,1922,'Live Data'!$C$18)),"")</f>
        <v/>
      </c>
      <c r="H1922" s="54" t="str">
        <f>IFERROR(IF(INDEX(SPOT_Import!$A$1:$Z$2488,1922,'Live Data'!$C$19)="","",INDEX(SPOT_Import!$A$1:$Z$2488,1922,'Live Data'!$C$19)),"")</f>
        <v/>
      </c>
      <c r="I1922" s="54" t="str">
        <f>IFERROR(IF(INDEX(SPOT_Import!$A$1:$Z$2488,1922,'Live Data'!$C$20)="","",INDEX(SPOT_Import!$A$1:$Z$2488,1922,'Live Data'!$C$20)),"")</f>
        <v/>
      </c>
      <c r="J1922" s="54" t="str">
        <f>IFERROR(IF(INDEX(SPOT_Import!$A$1:$Z$2488,1922,'Live Data'!$C$21)="","",INDEX(SPOT_Import!$A$1:$Z$2488,1922,'Live Data'!$C$21)),"")</f>
        <v/>
      </c>
      <c r="K1922" s="54" t="str">
        <f>IFERROR(IF(INDEX(SPOT_Import!$A$1:$Z$2488,1922,'Live Data'!$C$22)="","",INDEX(SPOT_Import!$A$1:$Z$2488,1922,'Live Data'!$C$22)),"")</f>
        <v/>
      </c>
      <c r="L1922" s="55" t="str">
        <f t="shared" ref="L1922:L1985" si="60">IF(A1922="","",IF(ISNUMBER(K1922),TEXT(K1922,"yyyy-mm"),LEFT(K1922,7)))</f>
        <v/>
      </c>
      <c r="M1922" s="55" t="str">
        <f t="shared" ref="M1922:M1985" si="61">IF(A1922="","",UPPER(TRIM(SUBSTITUTE(C1922," - ","-"))))</f>
        <v/>
      </c>
      <c r="N1922" s="55" t="str">
        <f>IF(A1922="","",IFERROR(INDEX('Cluster Map'!$A$4:$A$38,MATCH(M1922,'Cluster Map'!$B$4:$B$38,0)),"Unmapped"))</f>
        <v/>
      </c>
      <c r="O1922" s="55">
        <f>IF(A1922="",0,IF(COUNTIFS($A$2:A1922,A1922,$F$2:F1922,F1922,$L$2:L1922,L1922)=1,1,0))</f>
        <v>0</v>
      </c>
      <c r="P1922" s="55">
        <f>IF(A1922="",0,IF(AND(F1922="C&amp;T",COUNTIFS($A$2:A1922,A1922,$F$2:F1922,"C&amp;T")=1),1,0))</f>
        <v>0</v>
      </c>
    </row>
    <row r="1923" spans="1:16" x14ac:dyDescent="0.35">
      <c r="A1923" s="54" t="str">
        <f>IFERROR(IF(INDEX(SPOT_Import!$A$1:$Z$2488,1923,'Live Data'!$C$12)="","",INDEX(SPOT_Import!$A$1:$Z$2488,1923,'Live Data'!$C$12)),"")</f>
        <v/>
      </c>
      <c r="B1923" s="54" t="str">
        <f>IFERROR(IF(INDEX(SPOT_Import!$A$1:$Z$2488,1923,'Live Data'!$C$13)="","",INDEX(SPOT_Import!$A$1:$Z$2488,1923,'Live Data'!$C$13)),"")</f>
        <v/>
      </c>
      <c r="C1923" s="54" t="str">
        <f>IFERROR(IF(INDEX(SPOT_Import!$A$1:$Z$2488,1923,'Live Data'!$C$14)="","",INDEX(SPOT_Import!$A$1:$Z$2488,1923,'Live Data'!$C$14)),"")</f>
        <v/>
      </c>
      <c r="D1923" s="54" t="str">
        <f>IFERROR(IF(INDEX(SPOT_Import!$A$1:$Z$2488,1923,'Live Data'!$C$15)="","",INDEX(SPOT_Import!$A$1:$Z$2488,1923,'Live Data'!$C$15)),"")</f>
        <v/>
      </c>
      <c r="E1923" s="54" t="str">
        <f>IFERROR(IF(INDEX(SPOT_Import!$A$1:$Z$2488,1923,'Live Data'!$C$16)="","",INDEX(SPOT_Import!$A$1:$Z$2488,1923,'Live Data'!$C$16)),"")</f>
        <v/>
      </c>
      <c r="F1923" s="54" t="str">
        <f>IFERROR(IF(INDEX(SPOT_Import!$A$1:$Z$2488,1923,'Live Data'!$C$17)="","",INDEX(SPOT_Import!$A$1:$Z$2488,1923,'Live Data'!$C$17)),"")</f>
        <v/>
      </c>
      <c r="G1923" s="54" t="str">
        <f>IFERROR(IF(INDEX(SPOT_Import!$A$1:$Z$2488,1923,'Live Data'!$C$18)="","",INDEX(SPOT_Import!$A$1:$Z$2488,1923,'Live Data'!$C$18)),"")</f>
        <v/>
      </c>
      <c r="H1923" s="54" t="str">
        <f>IFERROR(IF(INDEX(SPOT_Import!$A$1:$Z$2488,1923,'Live Data'!$C$19)="","",INDEX(SPOT_Import!$A$1:$Z$2488,1923,'Live Data'!$C$19)),"")</f>
        <v/>
      </c>
      <c r="I1923" s="54" t="str">
        <f>IFERROR(IF(INDEX(SPOT_Import!$A$1:$Z$2488,1923,'Live Data'!$C$20)="","",INDEX(SPOT_Import!$A$1:$Z$2488,1923,'Live Data'!$C$20)),"")</f>
        <v/>
      </c>
      <c r="J1923" s="54" t="str">
        <f>IFERROR(IF(INDEX(SPOT_Import!$A$1:$Z$2488,1923,'Live Data'!$C$21)="","",INDEX(SPOT_Import!$A$1:$Z$2488,1923,'Live Data'!$C$21)),"")</f>
        <v/>
      </c>
      <c r="K1923" s="54" t="str">
        <f>IFERROR(IF(INDEX(SPOT_Import!$A$1:$Z$2488,1923,'Live Data'!$C$22)="","",INDEX(SPOT_Import!$A$1:$Z$2488,1923,'Live Data'!$C$22)),"")</f>
        <v/>
      </c>
      <c r="L1923" s="55" t="str">
        <f t="shared" si="60"/>
        <v/>
      </c>
      <c r="M1923" s="55" t="str">
        <f t="shared" si="61"/>
        <v/>
      </c>
      <c r="N1923" s="55" t="str">
        <f>IF(A1923="","",IFERROR(INDEX('Cluster Map'!$A$4:$A$38,MATCH(M1923,'Cluster Map'!$B$4:$B$38,0)),"Unmapped"))</f>
        <v/>
      </c>
      <c r="O1923" s="55">
        <f>IF(A1923="",0,IF(COUNTIFS($A$2:A1923,A1923,$F$2:F1923,F1923,$L$2:L1923,L1923)=1,1,0))</f>
        <v>0</v>
      </c>
      <c r="P1923" s="55">
        <f>IF(A1923="",0,IF(AND(F1923="C&amp;T",COUNTIFS($A$2:A1923,A1923,$F$2:F1923,"C&amp;T")=1),1,0))</f>
        <v>0</v>
      </c>
    </row>
    <row r="1924" spans="1:16" x14ac:dyDescent="0.35">
      <c r="A1924" s="54" t="str">
        <f>IFERROR(IF(INDEX(SPOT_Import!$A$1:$Z$2488,1924,'Live Data'!$C$12)="","",INDEX(SPOT_Import!$A$1:$Z$2488,1924,'Live Data'!$C$12)),"")</f>
        <v/>
      </c>
      <c r="B1924" s="54" t="str">
        <f>IFERROR(IF(INDEX(SPOT_Import!$A$1:$Z$2488,1924,'Live Data'!$C$13)="","",INDEX(SPOT_Import!$A$1:$Z$2488,1924,'Live Data'!$C$13)),"")</f>
        <v/>
      </c>
      <c r="C1924" s="54" t="str">
        <f>IFERROR(IF(INDEX(SPOT_Import!$A$1:$Z$2488,1924,'Live Data'!$C$14)="","",INDEX(SPOT_Import!$A$1:$Z$2488,1924,'Live Data'!$C$14)),"")</f>
        <v/>
      </c>
      <c r="D1924" s="54" t="str">
        <f>IFERROR(IF(INDEX(SPOT_Import!$A$1:$Z$2488,1924,'Live Data'!$C$15)="","",INDEX(SPOT_Import!$A$1:$Z$2488,1924,'Live Data'!$C$15)),"")</f>
        <v/>
      </c>
      <c r="E1924" s="54" t="str">
        <f>IFERROR(IF(INDEX(SPOT_Import!$A$1:$Z$2488,1924,'Live Data'!$C$16)="","",INDEX(SPOT_Import!$A$1:$Z$2488,1924,'Live Data'!$C$16)),"")</f>
        <v/>
      </c>
      <c r="F1924" s="54" t="str">
        <f>IFERROR(IF(INDEX(SPOT_Import!$A$1:$Z$2488,1924,'Live Data'!$C$17)="","",INDEX(SPOT_Import!$A$1:$Z$2488,1924,'Live Data'!$C$17)),"")</f>
        <v/>
      </c>
      <c r="G1924" s="54" t="str">
        <f>IFERROR(IF(INDEX(SPOT_Import!$A$1:$Z$2488,1924,'Live Data'!$C$18)="","",INDEX(SPOT_Import!$A$1:$Z$2488,1924,'Live Data'!$C$18)),"")</f>
        <v/>
      </c>
      <c r="H1924" s="54" t="str">
        <f>IFERROR(IF(INDEX(SPOT_Import!$A$1:$Z$2488,1924,'Live Data'!$C$19)="","",INDEX(SPOT_Import!$A$1:$Z$2488,1924,'Live Data'!$C$19)),"")</f>
        <v/>
      </c>
      <c r="I1924" s="54" t="str">
        <f>IFERROR(IF(INDEX(SPOT_Import!$A$1:$Z$2488,1924,'Live Data'!$C$20)="","",INDEX(SPOT_Import!$A$1:$Z$2488,1924,'Live Data'!$C$20)),"")</f>
        <v/>
      </c>
      <c r="J1924" s="54" t="str">
        <f>IFERROR(IF(INDEX(SPOT_Import!$A$1:$Z$2488,1924,'Live Data'!$C$21)="","",INDEX(SPOT_Import!$A$1:$Z$2488,1924,'Live Data'!$C$21)),"")</f>
        <v/>
      </c>
      <c r="K1924" s="54" t="str">
        <f>IFERROR(IF(INDEX(SPOT_Import!$A$1:$Z$2488,1924,'Live Data'!$C$22)="","",INDEX(SPOT_Import!$A$1:$Z$2488,1924,'Live Data'!$C$22)),"")</f>
        <v/>
      </c>
      <c r="L1924" s="55" t="str">
        <f t="shared" si="60"/>
        <v/>
      </c>
      <c r="M1924" s="55" t="str">
        <f t="shared" si="61"/>
        <v/>
      </c>
      <c r="N1924" s="55" t="str">
        <f>IF(A1924="","",IFERROR(INDEX('Cluster Map'!$A$4:$A$38,MATCH(M1924,'Cluster Map'!$B$4:$B$38,0)),"Unmapped"))</f>
        <v/>
      </c>
      <c r="O1924" s="55">
        <f>IF(A1924="",0,IF(COUNTIFS($A$2:A1924,A1924,$F$2:F1924,F1924,$L$2:L1924,L1924)=1,1,0))</f>
        <v>0</v>
      </c>
      <c r="P1924" s="55">
        <f>IF(A1924="",0,IF(AND(F1924="C&amp;T",COUNTIFS($A$2:A1924,A1924,$F$2:F1924,"C&amp;T")=1),1,0))</f>
        <v>0</v>
      </c>
    </row>
    <row r="1925" spans="1:16" x14ac:dyDescent="0.35">
      <c r="A1925" s="54" t="str">
        <f>IFERROR(IF(INDEX(SPOT_Import!$A$1:$Z$2488,1925,'Live Data'!$C$12)="","",INDEX(SPOT_Import!$A$1:$Z$2488,1925,'Live Data'!$C$12)),"")</f>
        <v/>
      </c>
      <c r="B1925" s="54" t="str">
        <f>IFERROR(IF(INDEX(SPOT_Import!$A$1:$Z$2488,1925,'Live Data'!$C$13)="","",INDEX(SPOT_Import!$A$1:$Z$2488,1925,'Live Data'!$C$13)),"")</f>
        <v/>
      </c>
      <c r="C1925" s="54" t="str">
        <f>IFERROR(IF(INDEX(SPOT_Import!$A$1:$Z$2488,1925,'Live Data'!$C$14)="","",INDEX(SPOT_Import!$A$1:$Z$2488,1925,'Live Data'!$C$14)),"")</f>
        <v/>
      </c>
      <c r="D1925" s="54" t="str">
        <f>IFERROR(IF(INDEX(SPOT_Import!$A$1:$Z$2488,1925,'Live Data'!$C$15)="","",INDEX(SPOT_Import!$A$1:$Z$2488,1925,'Live Data'!$C$15)),"")</f>
        <v/>
      </c>
      <c r="E1925" s="54" t="str">
        <f>IFERROR(IF(INDEX(SPOT_Import!$A$1:$Z$2488,1925,'Live Data'!$C$16)="","",INDEX(SPOT_Import!$A$1:$Z$2488,1925,'Live Data'!$C$16)),"")</f>
        <v/>
      </c>
      <c r="F1925" s="54" t="str">
        <f>IFERROR(IF(INDEX(SPOT_Import!$A$1:$Z$2488,1925,'Live Data'!$C$17)="","",INDEX(SPOT_Import!$A$1:$Z$2488,1925,'Live Data'!$C$17)),"")</f>
        <v/>
      </c>
      <c r="G1925" s="54" t="str">
        <f>IFERROR(IF(INDEX(SPOT_Import!$A$1:$Z$2488,1925,'Live Data'!$C$18)="","",INDEX(SPOT_Import!$A$1:$Z$2488,1925,'Live Data'!$C$18)),"")</f>
        <v/>
      </c>
      <c r="H1925" s="54" t="str">
        <f>IFERROR(IF(INDEX(SPOT_Import!$A$1:$Z$2488,1925,'Live Data'!$C$19)="","",INDEX(SPOT_Import!$A$1:$Z$2488,1925,'Live Data'!$C$19)),"")</f>
        <v/>
      </c>
      <c r="I1925" s="54" t="str">
        <f>IFERROR(IF(INDEX(SPOT_Import!$A$1:$Z$2488,1925,'Live Data'!$C$20)="","",INDEX(SPOT_Import!$A$1:$Z$2488,1925,'Live Data'!$C$20)),"")</f>
        <v/>
      </c>
      <c r="J1925" s="54" t="str">
        <f>IFERROR(IF(INDEX(SPOT_Import!$A$1:$Z$2488,1925,'Live Data'!$C$21)="","",INDEX(SPOT_Import!$A$1:$Z$2488,1925,'Live Data'!$C$21)),"")</f>
        <v/>
      </c>
      <c r="K1925" s="54" t="str">
        <f>IFERROR(IF(INDEX(SPOT_Import!$A$1:$Z$2488,1925,'Live Data'!$C$22)="","",INDEX(SPOT_Import!$A$1:$Z$2488,1925,'Live Data'!$C$22)),"")</f>
        <v/>
      </c>
      <c r="L1925" s="55" t="str">
        <f t="shared" si="60"/>
        <v/>
      </c>
      <c r="M1925" s="55" t="str">
        <f t="shared" si="61"/>
        <v/>
      </c>
      <c r="N1925" s="55" t="str">
        <f>IF(A1925="","",IFERROR(INDEX('Cluster Map'!$A$4:$A$38,MATCH(M1925,'Cluster Map'!$B$4:$B$38,0)),"Unmapped"))</f>
        <v/>
      </c>
      <c r="O1925" s="55">
        <f>IF(A1925="",0,IF(COUNTIFS($A$2:A1925,A1925,$F$2:F1925,F1925,$L$2:L1925,L1925)=1,1,0))</f>
        <v>0</v>
      </c>
      <c r="P1925" s="55">
        <f>IF(A1925="",0,IF(AND(F1925="C&amp;T",COUNTIFS($A$2:A1925,A1925,$F$2:F1925,"C&amp;T")=1),1,0))</f>
        <v>0</v>
      </c>
    </row>
    <row r="1926" spans="1:16" x14ac:dyDescent="0.35">
      <c r="A1926" s="54" t="str">
        <f>IFERROR(IF(INDEX(SPOT_Import!$A$1:$Z$2488,1926,'Live Data'!$C$12)="","",INDEX(SPOT_Import!$A$1:$Z$2488,1926,'Live Data'!$C$12)),"")</f>
        <v/>
      </c>
      <c r="B1926" s="54" t="str">
        <f>IFERROR(IF(INDEX(SPOT_Import!$A$1:$Z$2488,1926,'Live Data'!$C$13)="","",INDEX(SPOT_Import!$A$1:$Z$2488,1926,'Live Data'!$C$13)),"")</f>
        <v/>
      </c>
      <c r="C1926" s="54" t="str">
        <f>IFERROR(IF(INDEX(SPOT_Import!$A$1:$Z$2488,1926,'Live Data'!$C$14)="","",INDEX(SPOT_Import!$A$1:$Z$2488,1926,'Live Data'!$C$14)),"")</f>
        <v/>
      </c>
      <c r="D1926" s="54" t="str">
        <f>IFERROR(IF(INDEX(SPOT_Import!$A$1:$Z$2488,1926,'Live Data'!$C$15)="","",INDEX(SPOT_Import!$A$1:$Z$2488,1926,'Live Data'!$C$15)),"")</f>
        <v/>
      </c>
      <c r="E1926" s="54" t="str">
        <f>IFERROR(IF(INDEX(SPOT_Import!$A$1:$Z$2488,1926,'Live Data'!$C$16)="","",INDEX(SPOT_Import!$A$1:$Z$2488,1926,'Live Data'!$C$16)),"")</f>
        <v/>
      </c>
      <c r="F1926" s="54" t="str">
        <f>IFERROR(IF(INDEX(SPOT_Import!$A$1:$Z$2488,1926,'Live Data'!$C$17)="","",INDEX(SPOT_Import!$A$1:$Z$2488,1926,'Live Data'!$C$17)),"")</f>
        <v/>
      </c>
      <c r="G1926" s="54" t="str">
        <f>IFERROR(IF(INDEX(SPOT_Import!$A$1:$Z$2488,1926,'Live Data'!$C$18)="","",INDEX(SPOT_Import!$A$1:$Z$2488,1926,'Live Data'!$C$18)),"")</f>
        <v/>
      </c>
      <c r="H1926" s="54" t="str">
        <f>IFERROR(IF(INDEX(SPOT_Import!$A$1:$Z$2488,1926,'Live Data'!$C$19)="","",INDEX(SPOT_Import!$A$1:$Z$2488,1926,'Live Data'!$C$19)),"")</f>
        <v/>
      </c>
      <c r="I1926" s="54" t="str">
        <f>IFERROR(IF(INDEX(SPOT_Import!$A$1:$Z$2488,1926,'Live Data'!$C$20)="","",INDEX(SPOT_Import!$A$1:$Z$2488,1926,'Live Data'!$C$20)),"")</f>
        <v/>
      </c>
      <c r="J1926" s="54" t="str">
        <f>IFERROR(IF(INDEX(SPOT_Import!$A$1:$Z$2488,1926,'Live Data'!$C$21)="","",INDEX(SPOT_Import!$A$1:$Z$2488,1926,'Live Data'!$C$21)),"")</f>
        <v/>
      </c>
      <c r="K1926" s="54" t="str">
        <f>IFERROR(IF(INDEX(SPOT_Import!$A$1:$Z$2488,1926,'Live Data'!$C$22)="","",INDEX(SPOT_Import!$A$1:$Z$2488,1926,'Live Data'!$C$22)),"")</f>
        <v/>
      </c>
      <c r="L1926" s="55" t="str">
        <f t="shared" si="60"/>
        <v/>
      </c>
      <c r="M1926" s="55" t="str">
        <f t="shared" si="61"/>
        <v/>
      </c>
      <c r="N1926" s="55" t="str">
        <f>IF(A1926="","",IFERROR(INDEX('Cluster Map'!$A$4:$A$38,MATCH(M1926,'Cluster Map'!$B$4:$B$38,0)),"Unmapped"))</f>
        <v/>
      </c>
      <c r="O1926" s="55">
        <f>IF(A1926="",0,IF(COUNTIFS($A$2:A1926,A1926,$F$2:F1926,F1926,$L$2:L1926,L1926)=1,1,0))</f>
        <v>0</v>
      </c>
      <c r="P1926" s="55">
        <f>IF(A1926="",0,IF(AND(F1926="C&amp;T",COUNTIFS($A$2:A1926,A1926,$F$2:F1926,"C&amp;T")=1),1,0))</f>
        <v>0</v>
      </c>
    </row>
    <row r="1927" spans="1:16" x14ac:dyDescent="0.35">
      <c r="A1927" s="54" t="str">
        <f>IFERROR(IF(INDEX(SPOT_Import!$A$1:$Z$2488,1927,'Live Data'!$C$12)="","",INDEX(SPOT_Import!$A$1:$Z$2488,1927,'Live Data'!$C$12)),"")</f>
        <v/>
      </c>
      <c r="B1927" s="54" t="str">
        <f>IFERROR(IF(INDEX(SPOT_Import!$A$1:$Z$2488,1927,'Live Data'!$C$13)="","",INDEX(SPOT_Import!$A$1:$Z$2488,1927,'Live Data'!$C$13)),"")</f>
        <v/>
      </c>
      <c r="C1927" s="54" t="str">
        <f>IFERROR(IF(INDEX(SPOT_Import!$A$1:$Z$2488,1927,'Live Data'!$C$14)="","",INDEX(SPOT_Import!$A$1:$Z$2488,1927,'Live Data'!$C$14)),"")</f>
        <v/>
      </c>
      <c r="D1927" s="54" t="str">
        <f>IFERROR(IF(INDEX(SPOT_Import!$A$1:$Z$2488,1927,'Live Data'!$C$15)="","",INDEX(SPOT_Import!$A$1:$Z$2488,1927,'Live Data'!$C$15)),"")</f>
        <v/>
      </c>
      <c r="E1927" s="54" t="str">
        <f>IFERROR(IF(INDEX(SPOT_Import!$A$1:$Z$2488,1927,'Live Data'!$C$16)="","",INDEX(SPOT_Import!$A$1:$Z$2488,1927,'Live Data'!$C$16)),"")</f>
        <v/>
      </c>
      <c r="F1927" s="54" t="str">
        <f>IFERROR(IF(INDEX(SPOT_Import!$A$1:$Z$2488,1927,'Live Data'!$C$17)="","",INDEX(SPOT_Import!$A$1:$Z$2488,1927,'Live Data'!$C$17)),"")</f>
        <v/>
      </c>
      <c r="G1927" s="54" t="str">
        <f>IFERROR(IF(INDEX(SPOT_Import!$A$1:$Z$2488,1927,'Live Data'!$C$18)="","",INDEX(SPOT_Import!$A$1:$Z$2488,1927,'Live Data'!$C$18)),"")</f>
        <v/>
      </c>
      <c r="H1927" s="54" t="str">
        <f>IFERROR(IF(INDEX(SPOT_Import!$A$1:$Z$2488,1927,'Live Data'!$C$19)="","",INDEX(SPOT_Import!$A$1:$Z$2488,1927,'Live Data'!$C$19)),"")</f>
        <v/>
      </c>
      <c r="I1927" s="54" t="str">
        <f>IFERROR(IF(INDEX(SPOT_Import!$A$1:$Z$2488,1927,'Live Data'!$C$20)="","",INDEX(SPOT_Import!$A$1:$Z$2488,1927,'Live Data'!$C$20)),"")</f>
        <v/>
      </c>
      <c r="J1927" s="54" t="str">
        <f>IFERROR(IF(INDEX(SPOT_Import!$A$1:$Z$2488,1927,'Live Data'!$C$21)="","",INDEX(SPOT_Import!$A$1:$Z$2488,1927,'Live Data'!$C$21)),"")</f>
        <v/>
      </c>
      <c r="K1927" s="54" t="str">
        <f>IFERROR(IF(INDEX(SPOT_Import!$A$1:$Z$2488,1927,'Live Data'!$C$22)="","",INDEX(SPOT_Import!$A$1:$Z$2488,1927,'Live Data'!$C$22)),"")</f>
        <v/>
      </c>
      <c r="L1927" s="55" t="str">
        <f t="shared" si="60"/>
        <v/>
      </c>
      <c r="M1927" s="55" t="str">
        <f t="shared" si="61"/>
        <v/>
      </c>
      <c r="N1927" s="55" t="str">
        <f>IF(A1927="","",IFERROR(INDEX('Cluster Map'!$A$4:$A$38,MATCH(M1927,'Cluster Map'!$B$4:$B$38,0)),"Unmapped"))</f>
        <v/>
      </c>
      <c r="O1927" s="55">
        <f>IF(A1927="",0,IF(COUNTIFS($A$2:A1927,A1927,$F$2:F1927,F1927,$L$2:L1927,L1927)=1,1,0))</f>
        <v>0</v>
      </c>
      <c r="P1927" s="55">
        <f>IF(A1927="",0,IF(AND(F1927="C&amp;T",COUNTIFS($A$2:A1927,A1927,$F$2:F1927,"C&amp;T")=1),1,0))</f>
        <v>0</v>
      </c>
    </row>
    <row r="1928" spans="1:16" x14ac:dyDescent="0.35">
      <c r="A1928" s="54" t="str">
        <f>IFERROR(IF(INDEX(SPOT_Import!$A$1:$Z$2488,1928,'Live Data'!$C$12)="","",INDEX(SPOT_Import!$A$1:$Z$2488,1928,'Live Data'!$C$12)),"")</f>
        <v/>
      </c>
      <c r="B1928" s="54" t="str">
        <f>IFERROR(IF(INDEX(SPOT_Import!$A$1:$Z$2488,1928,'Live Data'!$C$13)="","",INDEX(SPOT_Import!$A$1:$Z$2488,1928,'Live Data'!$C$13)),"")</f>
        <v/>
      </c>
      <c r="C1928" s="54" t="str">
        <f>IFERROR(IF(INDEX(SPOT_Import!$A$1:$Z$2488,1928,'Live Data'!$C$14)="","",INDEX(SPOT_Import!$A$1:$Z$2488,1928,'Live Data'!$C$14)),"")</f>
        <v/>
      </c>
      <c r="D1928" s="54" t="str">
        <f>IFERROR(IF(INDEX(SPOT_Import!$A$1:$Z$2488,1928,'Live Data'!$C$15)="","",INDEX(SPOT_Import!$A$1:$Z$2488,1928,'Live Data'!$C$15)),"")</f>
        <v/>
      </c>
      <c r="E1928" s="54" t="str">
        <f>IFERROR(IF(INDEX(SPOT_Import!$A$1:$Z$2488,1928,'Live Data'!$C$16)="","",INDEX(SPOT_Import!$A$1:$Z$2488,1928,'Live Data'!$C$16)),"")</f>
        <v/>
      </c>
      <c r="F1928" s="54" t="str">
        <f>IFERROR(IF(INDEX(SPOT_Import!$A$1:$Z$2488,1928,'Live Data'!$C$17)="","",INDEX(SPOT_Import!$A$1:$Z$2488,1928,'Live Data'!$C$17)),"")</f>
        <v/>
      </c>
      <c r="G1928" s="54" t="str">
        <f>IFERROR(IF(INDEX(SPOT_Import!$A$1:$Z$2488,1928,'Live Data'!$C$18)="","",INDEX(SPOT_Import!$A$1:$Z$2488,1928,'Live Data'!$C$18)),"")</f>
        <v/>
      </c>
      <c r="H1928" s="54" t="str">
        <f>IFERROR(IF(INDEX(SPOT_Import!$A$1:$Z$2488,1928,'Live Data'!$C$19)="","",INDEX(SPOT_Import!$A$1:$Z$2488,1928,'Live Data'!$C$19)),"")</f>
        <v/>
      </c>
      <c r="I1928" s="54" t="str">
        <f>IFERROR(IF(INDEX(SPOT_Import!$A$1:$Z$2488,1928,'Live Data'!$C$20)="","",INDEX(SPOT_Import!$A$1:$Z$2488,1928,'Live Data'!$C$20)),"")</f>
        <v/>
      </c>
      <c r="J1928" s="54" t="str">
        <f>IFERROR(IF(INDEX(SPOT_Import!$A$1:$Z$2488,1928,'Live Data'!$C$21)="","",INDEX(SPOT_Import!$A$1:$Z$2488,1928,'Live Data'!$C$21)),"")</f>
        <v/>
      </c>
      <c r="K1928" s="54" t="str">
        <f>IFERROR(IF(INDEX(SPOT_Import!$A$1:$Z$2488,1928,'Live Data'!$C$22)="","",INDEX(SPOT_Import!$A$1:$Z$2488,1928,'Live Data'!$C$22)),"")</f>
        <v/>
      </c>
      <c r="L1928" s="55" t="str">
        <f t="shared" si="60"/>
        <v/>
      </c>
      <c r="M1928" s="55" t="str">
        <f t="shared" si="61"/>
        <v/>
      </c>
      <c r="N1928" s="55" t="str">
        <f>IF(A1928="","",IFERROR(INDEX('Cluster Map'!$A$4:$A$38,MATCH(M1928,'Cluster Map'!$B$4:$B$38,0)),"Unmapped"))</f>
        <v/>
      </c>
      <c r="O1928" s="55">
        <f>IF(A1928="",0,IF(COUNTIFS($A$2:A1928,A1928,$F$2:F1928,F1928,$L$2:L1928,L1928)=1,1,0))</f>
        <v>0</v>
      </c>
      <c r="P1928" s="55">
        <f>IF(A1928="",0,IF(AND(F1928="C&amp;T",COUNTIFS($A$2:A1928,A1928,$F$2:F1928,"C&amp;T")=1),1,0))</f>
        <v>0</v>
      </c>
    </row>
    <row r="1929" spans="1:16" x14ac:dyDescent="0.35">
      <c r="A1929" s="54" t="str">
        <f>IFERROR(IF(INDEX(SPOT_Import!$A$1:$Z$2488,1929,'Live Data'!$C$12)="","",INDEX(SPOT_Import!$A$1:$Z$2488,1929,'Live Data'!$C$12)),"")</f>
        <v/>
      </c>
      <c r="B1929" s="54" t="str">
        <f>IFERROR(IF(INDEX(SPOT_Import!$A$1:$Z$2488,1929,'Live Data'!$C$13)="","",INDEX(SPOT_Import!$A$1:$Z$2488,1929,'Live Data'!$C$13)),"")</f>
        <v/>
      </c>
      <c r="C1929" s="54" t="str">
        <f>IFERROR(IF(INDEX(SPOT_Import!$A$1:$Z$2488,1929,'Live Data'!$C$14)="","",INDEX(SPOT_Import!$A$1:$Z$2488,1929,'Live Data'!$C$14)),"")</f>
        <v/>
      </c>
      <c r="D1929" s="54" t="str">
        <f>IFERROR(IF(INDEX(SPOT_Import!$A$1:$Z$2488,1929,'Live Data'!$C$15)="","",INDEX(SPOT_Import!$A$1:$Z$2488,1929,'Live Data'!$C$15)),"")</f>
        <v/>
      </c>
      <c r="E1929" s="54" t="str">
        <f>IFERROR(IF(INDEX(SPOT_Import!$A$1:$Z$2488,1929,'Live Data'!$C$16)="","",INDEX(SPOT_Import!$A$1:$Z$2488,1929,'Live Data'!$C$16)),"")</f>
        <v/>
      </c>
      <c r="F1929" s="54" t="str">
        <f>IFERROR(IF(INDEX(SPOT_Import!$A$1:$Z$2488,1929,'Live Data'!$C$17)="","",INDEX(SPOT_Import!$A$1:$Z$2488,1929,'Live Data'!$C$17)),"")</f>
        <v/>
      </c>
      <c r="G1929" s="54" t="str">
        <f>IFERROR(IF(INDEX(SPOT_Import!$A$1:$Z$2488,1929,'Live Data'!$C$18)="","",INDEX(SPOT_Import!$A$1:$Z$2488,1929,'Live Data'!$C$18)),"")</f>
        <v/>
      </c>
      <c r="H1929" s="54" t="str">
        <f>IFERROR(IF(INDEX(SPOT_Import!$A$1:$Z$2488,1929,'Live Data'!$C$19)="","",INDEX(SPOT_Import!$A$1:$Z$2488,1929,'Live Data'!$C$19)),"")</f>
        <v/>
      </c>
      <c r="I1929" s="54" t="str">
        <f>IFERROR(IF(INDEX(SPOT_Import!$A$1:$Z$2488,1929,'Live Data'!$C$20)="","",INDEX(SPOT_Import!$A$1:$Z$2488,1929,'Live Data'!$C$20)),"")</f>
        <v/>
      </c>
      <c r="J1929" s="54" t="str">
        <f>IFERROR(IF(INDEX(SPOT_Import!$A$1:$Z$2488,1929,'Live Data'!$C$21)="","",INDEX(SPOT_Import!$A$1:$Z$2488,1929,'Live Data'!$C$21)),"")</f>
        <v/>
      </c>
      <c r="K1929" s="54" t="str">
        <f>IFERROR(IF(INDEX(SPOT_Import!$A$1:$Z$2488,1929,'Live Data'!$C$22)="","",INDEX(SPOT_Import!$A$1:$Z$2488,1929,'Live Data'!$C$22)),"")</f>
        <v/>
      </c>
      <c r="L1929" s="55" t="str">
        <f t="shared" si="60"/>
        <v/>
      </c>
      <c r="M1929" s="55" t="str">
        <f t="shared" si="61"/>
        <v/>
      </c>
      <c r="N1929" s="55" t="str">
        <f>IF(A1929="","",IFERROR(INDEX('Cluster Map'!$A$4:$A$38,MATCH(M1929,'Cluster Map'!$B$4:$B$38,0)),"Unmapped"))</f>
        <v/>
      </c>
      <c r="O1929" s="55">
        <f>IF(A1929="",0,IF(COUNTIFS($A$2:A1929,A1929,$F$2:F1929,F1929,$L$2:L1929,L1929)=1,1,0))</f>
        <v>0</v>
      </c>
      <c r="P1929" s="55">
        <f>IF(A1929="",0,IF(AND(F1929="C&amp;T",COUNTIFS($A$2:A1929,A1929,$F$2:F1929,"C&amp;T")=1),1,0))</f>
        <v>0</v>
      </c>
    </row>
    <row r="1930" spans="1:16" x14ac:dyDescent="0.35">
      <c r="A1930" s="54" t="str">
        <f>IFERROR(IF(INDEX(SPOT_Import!$A$1:$Z$2488,1930,'Live Data'!$C$12)="","",INDEX(SPOT_Import!$A$1:$Z$2488,1930,'Live Data'!$C$12)),"")</f>
        <v/>
      </c>
      <c r="B1930" s="54" t="str">
        <f>IFERROR(IF(INDEX(SPOT_Import!$A$1:$Z$2488,1930,'Live Data'!$C$13)="","",INDEX(SPOT_Import!$A$1:$Z$2488,1930,'Live Data'!$C$13)),"")</f>
        <v/>
      </c>
      <c r="C1930" s="54" t="str">
        <f>IFERROR(IF(INDEX(SPOT_Import!$A$1:$Z$2488,1930,'Live Data'!$C$14)="","",INDEX(SPOT_Import!$A$1:$Z$2488,1930,'Live Data'!$C$14)),"")</f>
        <v/>
      </c>
      <c r="D1930" s="54" t="str">
        <f>IFERROR(IF(INDEX(SPOT_Import!$A$1:$Z$2488,1930,'Live Data'!$C$15)="","",INDEX(SPOT_Import!$A$1:$Z$2488,1930,'Live Data'!$C$15)),"")</f>
        <v/>
      </c>
      <c r="E1930" s="54" t="str">
        <f>IFERROR(IF(INDEX(SPOT_Import!$A$1:$Z$2488,1930,'Live Data'!$C$16)="","",INDEX(SPOT_Import!$A$1:$Z$2488,1930,'Live Data'!$C$16)),"")</f>
        <v/>
      </c>
      <c r="F1930" s="54" t="str">
        <f>IFERROR(IF(INDEX(SPOT_Import!$A$1:$Z$2488,1930,'Live Data'!$C$17)="","",INDEX(SPOT_Import!$A$1:$Z$2488,1930,'Live Data'!$C$17)),"")</f>
        <v/>
      </c>
      <c r="G1930" s="54" t="str">
        <f>IFERROR(IF(INDEX(SPOT_Import!$A$1:$Z$2488,1930,'Live Data'!$C$18)="","",INDEX(SPOT_Import!$A$1:$Z$2488,1930,'Live Data'!$C$18)),"")</f>
        <v/>
      </c>
      <c r="H1930" s="54" t="str">
        <f>IFERROR(IF(INDEX(SPOT_Import!$A$1:$Z$2488,1930,'Live Data'!$C$19)="","",INDEX(SPOT_Import!$A$1:$Z$2488,1930,'Live Data'!$C$19)),"")</f>
        <v/>
      </c>
      <c r="I1930" s="54" t="str">
        <f>IFERROR(IF(INDEX(SPOT_Import!$A$1:$Z$2488,1930,'Live Data'!$C$20)="","",INDEX(SPOT_Import!$A$1:$Z$2488,1930,'Live Data'!$C$20)),"")</f>
        <v/>
      </c>
      <c r="J1930" s="54" t="str">
        <f>IFERROR(IF(INDEX(SPOT_Import!$A$1:$Z$2488,1930,'Live Data'!$C$21)="","",INDEX(SPOT_Import!$A$1:$Z$2488,1930,'Live Data'!$C$21)),"")</f>
        <v/>
      </c>
      <c r="K1930" s="54" t="str">
        <f>IFERROR(IF(INDEX(SPOT_Import!$A$1:$Z$2488,1930,'Live Data'!$C$22)="","",INDEX(SPOT_Import!$A$1:$Z$2488,1930,'Live Data'!$C$22)),"")</f>
        <v/>
      </c>
      <c r="L1930" s="55" t="str">
        <f t="shared" si="60"/>
        <v/>
      </c>
      <c r="M1930" s="55" t="str">
        <f t="shared" si="61"/>
        <v/>
      </c>
      <c r="N1930" s="55" t="str">
        <f>IF(A1930="","",IFERROR(INDEX('Cluster Map'!$A$4:$A$38,MATCH(M1930,'Cluster Map'!$B$4:$B$38,0)),"Unmapped"))</f>
        <v/>
      </c>
      <c r="O1930" s="55">
        <f>IF(A1930="",0,IF(COUNTIFS($A$2:A1930,A1930,$F$2:F1930,F1930,$L$2:L1930,L1930)=1,1,0))</f>
        <v>0</v>
      </c>
      <c r="P1930" s="55">
        <f>IF(A1930="",0,IF(AND(F1930="C&amp;T",COUNTIFS($A$2:A1930,A1930,$F$2:F1930,"C&amp;T")=1),1,0))</f>
        <v>0</v>
      </c>
    </row>
    <row r="1931" spans="1:16" x14ac:dyDescent="0.35">
      <c r="A1931" s="54" t="str">
        <f>IFERROR(IF(INDEX(SPOT_Import!$A$1:$Z$2488,1931,'Live Data'!$C$12)="","",INDEX(SPOT_Import!$A$1:$Z$2488,1931,'Live Data'!$C$12)),"")</f>
        <v/>
      </c>
      <c r="B1931" s="54" t="str">
        <f>IFERROR(IF(INDEX(SPOT_Import!$A$1:$Z$2488,1931,'Live Data'!$C$13)="","",INDEX(SPOT_Import!$A$1:$Z$2488,1931,'Live Data'!$C$13)),"")</f>
        <v/>
      </c>
      <c r="C1931" s="54" t="str">
        <f>IFERROR(IF(INDEX(SPOT_Import!$A$1:$Z$2488,1931,'Live Data'!$C$14)="","",INDEX(SPOT_Import!$A$1:$Z$2488,1931,'Live Data'!$C$14)),"")</f>
        <v/>
      </c>
      <c r="D1931" s="54" t="str">
        <f>IFERROR(IF(INDEX(SPOT_Import!$A$1:$Z$2488,1931,'Live Data'!$C$15)="","",INDEX(SPOT_Import!$A$1:$Z$2488,1931,'Live Data'!$C$15)),"")</f>
        <v/>
      </c>
      <c r="E1931" s="54" t="str">
        <f>IFERROR(IF(INDEX(SPOT_Import!$A$1:$Z$2488,1931,'Live Data'!$C$16)="","",INDEX(SPOT_Import!$A$1:$Z$2488,1931,'Live Data'!$C$16)),"")</f>
        <v/>
      </c>
      <c r="F1931" s="54" t="str">
        <f>IFERROR(IF(INDEX(SPOT_Import!$A$1:$Z$2488,1931,'Live Data'!$C$17)="","",INDEX(SPOT_Import!$A$1:$Z$2488,1931,'Live Data'!$C$17)),"")</f>
        <v/>
      </c>
      <c r="G1931" s="54" t="str">
        <f>IFERROR(IF(INDEX(SPOT_Import!$A$1:$Z$2488,1931,'Live Data'!$C$18)="","",INDEX(SPOT_Import!$A$1:$Z$2488,1931,'Live Data'!$C$18)),"")</f>
        <v/>
      </c>
      <c r="H1931" s="54" t="str">
        <f>IFERROR(IF(INDEX(SPOT_Import!$A$1:$Z$2488,1931,'Live Data'!$C$19)="","",INDEX(SPOT_Import!$A$1:$Z$2488,1931,'Live Data'!$C$19)),"")</f>
        <v/>
      </c>
      <c r="I1931" s="54" t="str">
        <f>IFERROR(IF(INDEX(SPOT_Import!$A$1:$Z$2488,1931,'Live Data'!$C$20)="","",INDEX(SPOT_Import!$A$1:$Z$2488,1931,'Live Data'!$C$20)),"")</f>
        <v/>
      </c>
      <c r="J1931" s="54" t="str">
        <f>IFERROR(IF(INDEX(SPOT_Import!$A$1:$Z$2488,1931,'Live Data'!$C$21)="","",INDEX(SPOT_Import!$A$1:$Z$2488,1931,'Live Data'!$C$21)),"")</f>
        <v/>
      </c>
      <c r="K1931" s="54" t="str">
        <f>IFERROR(IF(INDEX(SPOT_Import!$A$1:$Z$2488,1931,'Live Data'!$C$22)="","",INDEX(SPOT_Import!$A$1:$Z$2488,1931,'Live Data'!$C$22)),"")</f>
        <v/>
      </c>
      <c r="L1931" s="55" t="str">
        <f t="shared" si="60"/>
        <v/>
      </c>
      <c r="M1931" s="55" t="str">
        <f t="shared" si="61"/>
        <v/>
      </c>
      <c r="N1931" s="55" t="str">
        <f>IF(A1931="","",IFERROR(INDEX('Cluster Map'!$A$4:$A$38,MATCH(M1931,'Cluster Map'!$B$4:$B$38,0)),"Unmapped"))</f>
        <v/>
      </c>
      <c r="O1931" s="55">
        <f>IF(A1931="",0,IF(COUNTIFS($A$2:A1931,A1931,$F$2:F1931,F1931,$L$2:L1931,L1931)=1,1,0))</f>
        <v>0</v>
      </c>
      <c r="P1931" s="55">
        <f>IF(A1931="",0,IF(AND(F1931="C&amp;T",COUNTIFS($A$2:A1931,A1931,$F$2:F1931,"C&amp;T")=1),1,0))</f>
        <v>0</v>
      </c>
    </row>
    <row r="1932" spans="1:16" x14ac:dyDescent="0.35">
      <c r="A1932" s="54" t="str">
        <f>IFERROR(IF(INDEX(SPOT_Import!$A$1:$Z$2488,1932,'Live Data'!$C$12)="","",INDEX(SPOT_Import!$A$1:$Z$2488,1932,'Live Data'!$C$12)),"")</f>
        <v/>
      </c>
      <c r="B1932" s="54" t="str">
        <f>IFERROR(IF(INDEX(SPOT_Import!$A$1:$Z$2488,1932,'Live Data'!$C$13)="","",INDEX(SPOT_Import!$A$1:$Z$2488,1932,'Live Data'!$C$13)),"")</f>
        <v/>
      </c>
      <c r="C1932" s="54" t="str">
        <f>IFERROR(IF(INDEX(SPOT_Import!$A$1:$Z$2488,1932,'Live Data'!$C$14)="","",INDEX(SPOT_Import!$A$1:$Z$2488,1932,'Live Data'!$C$14)),"")</f>
        <v/>
      </c>
      <c r="D1932" s="54" t="str">
        <f>IFERROR(IF(INDEX(SPOT_Import!$A$1:$Z$2488,1932,'Live Data'!$C$15)="","",INDEX(SPOT_Import!$A$1:$Z$2488,1932,'Live Data'!$C$15)),"")</f>
        <v/>
      </c>
      <c r="E1932" s="54" t="str">
        <f>IFERROR(IF(INDEX(SPOT_Import!$A$1:$Z$2488,1932,'Live Data'!$C$16)="","",INDEX(SPOT_Import!$A$1:$Z$2488,1932,'Live Data'!$C$16)),"")</f>
        <v/>
      </c>
      <c r="F1932" s="54" t="str">
        <f>IFERROR(IF(INDEX(SPOT_Import!$A$1:$Z$2488,1932,'Live Data'!$C$17)="","",INDEX(SPOT_Import!$A$1:$Z$2488,1932,'Live Data'!$C$17)),"")</f>
        <v/>
      </c>
      <c r="G1932" s="54" t="str">
        <f>IFERROR(IF(INDEX(SPOT_Import!$A$1:$Z$2488,1932,'Live Data'!$C$18)="","",INDEX(SPOT_Import!$A$1:$Z$2488,1932,'Live Data'!$C$18)),"")</f>
        <v/>
      </c>
      <c r="H1932" s="54" t="str">
        <f>IFERROR(IF(INDEX(SPOT_Import!$A$1:$Z$2488,1932,'Live Data'!$C$19)="","",INDEX(SPOT_Import!$A$1:$Z$2488,1932,'Live Data'!$C$19)),"")</f>
        <v/>
      </c>
      <c r="I1932" s="54" t="str">
        <f>IFERROR(IF(INDEX(SPOT_Import!$A$1:$Z$2488,1932,'Live Data'!$C$20)="","",INDEX(SPOT_Import!$A$1:$Z$2488,1932,'Live Data'!$C$20)),"")</f>
        <v/>
      </c>
      <c r="J1932" s="54" t="str">
        <f>IFERROR(IF(INDEX(SPOT_Import!$A$1:$Z$2488,1932,'Live Data'!$C$21)="","",INDEX(SPOT_Import!$A$1:$Z$2488,1932,'Live Data'!$C$21)),"")</f>
        <v/>
      </c>
      <c r="K1932" s="54" t="str">
        <f>IFERROR(IF(INDEX(SPOT_Import!$A$1:$Z$2488,1932,'Live Data'!$C$22)="","",INDEX(SPOT_Import!$A$1:$Z$2488,1932,'Live Data'!$C$22)),"")</f>
        <v/>
      </c>
      <c r="L1932" s="55" t="str">
        <f t="shared" si="60"/>
        <v/>
      </c>
      <c r="M1932" s="55" t="str">
        <f t="shared" si="61"/>
        <v/>
      </c>
      <c r="N1932" s="55" t="str">
        <f>IF(A1932="","",IFERROR(INDEX('Cluster Map'!$A$4:$A$38,MATCH(M1932,'Cluster Map'!$B$4:$B$38,0)),"Unmapped"))</f>
        <v/>
      </c>
      <c r="O1932" s="55">
        <f>IF(A1932="",0,IF(COUNTIFS($A$2:A1932,A1932,$F$2:F1932,F1932,$L$2:L1932,L1932)=1,1,0))</f>
        <v>0</v>
      </c>
      <c r="P1932" s="55">
        <f>IF(A1932="",0,IF(AND(F1932="C&amp;T",COUNTIFS($A$2:A1932,A1932,$F$2:F1932,"C&amp;T")=1),1,0))</f>
        <v>0</v>
      </c>
    </row>
    <row r="1933" spans="1:16" x14ac:dyDescent="0.35">
      <c r="A1933" s="54" t="str">
        <f>IFERROR(IF(INDEX(SPOT_Import!$A$1:$Z$2488,1933,'Live Data'!$C$12)="","",INDEX(SPOT_Import!$A$1:$Z$2488,1933,'Live Data'!$C$12)),"")</f>
        <v/>
      </c>
      <c r="B1933" s="54" t="str">
        <f>IFERROR(IF(INDEX(SPOT_Import!$A$1:$Z$2488,1933,'Live Data'!$C$13)="","",INDEX(SPOT_Import!$A$1:$Z$2488,1933,'Live Data'!$C$13)),"")</f>
        <v/>
      </c>
      <c r="C1933" s="54" t="str">
        <f>IFERROR(IF(INDEX(SPOT_Import!$A$1:$Z$2488,1933,'Live Data'!$C$14)="","",INDEX(SPOT_Import!$A$1:$Z$2488,1933,'Live Data'!$C$14)),"")</f>
        <v/>
      </c>
      <c r="D1933" s="54" t="str">
        <f>IFERROR(IF(INDEX(SPOT_Import!$A$1:$Z$2488,1933,'Live Data'!$C$15)="","",INDEX(SPOT_Import!$A$1:$Z$2488,1933,'Live Data'!$C$15)),"")</f>
        <v/>
      </c>
      <c r="E1933" s="54" t="str">
        <f>IFERROR(IF(INDEX(SPOT_Import!$A$1:$Z$2488,1933,'Live Data'!$C$16)="","",INDEX(SPOT_Import!$A$1:$Z$2488,1933,'Live Data'!$C$16)),"")</f>
        <v/>
      </c>
      <c r="F1933" s="54" t="str">
        <f>IFERROR(IF(INDEX(SPOT_Import!$A$1:$Z$2488,1933,'Live Data'!$C$17)="","",INDEX(SPOT_Import!$A$1:$Z$2488,1933,'Live Data'!$C$17)),"")</f>
        <v/>
      </c>
      <c r="G1933" s="54" t="str">
        <f>IFERROR(IF(INDEX(SPOT_Import!$A$1:$Z$2488,1933,'Live Data'!$C$18)="","",INDEX(SPOT_Import!$A$1:$Z$2488,1933,'Live Data'!$C$18)),"")</f>
        <v/>
      </c>
      <c r="H1933" s="54" t="str">
        <f>IFERROR(IF(INDEX(SPOT_Import!$A$1:$Z$2488,1933,'Live Data'!$C$19)="","",INDEX(SPOT_Import!$A$1:$Z$2488,1933,'Live Data'!$C$19)),"")</f>
        <v/>
      </c>
      <c r="I1933" s="54" t="str">
        <f>IFERROR(IF(INDEX(SPOT_Import!$A$1:$Z$2488,1933,'Live Data'!$C$20)="","",INDEX(SPOT_Import!$A$1:$Z$2488,1933,'Live Data'!$C$20)),"")</f>
        <v/>
      </c>
      <c r="J1933" s="54" t="str">
        <f>IFERROR(IF(INDEX(SPOT_Import!$A$1:$Z$2488,1933,'Live Data'!$C$21)="","",INDEX(SPOT_Import!$A$1:$Z$2488,1933,'Live Data'!$C$21)),"")</f>
        <v/>
      </c>
      <c r="K1933" s="54" t="str">
        <f>IFERROR(IF(INDEX(SPOT_Import!$A$1:$Z$2488,1933,'Live Data'!$C$22)="","",INDEX(SPOT_Import!$A$1:$Z$2488,1933,'Live Data'!$C$22)),"")</f>
        <v/>
      </c>
      <c r="L1933" s="55" t="str">
        <f t="shared" si="60"/>
        <v/>
      </c>
      <c r="M1933" s="55" t="str">
        <f t="shared" si="61"/>
        <v/>
      </c>
      <c r="N1933" s="55" t="str">
        <f>IF(A1933="","",IFERROR(INDEX('Cluster Map'!$A$4:$A$38,MATCH(M1933,'Cluster Map'!$B$4:$B$38,0)),"Unmapped"))</f>
        <v/>
      </c>
      <c r="O1933" s="55">
        <f>IF(A1933="",0,IF(COUNTIFS($A$2:A1933,A1933,$F$2:F1933,F1933,$L$2:L1933,L1933)=1,1,0))</f>
        <v>0</v>
      </c>
      <c r="P1933" s="55">
        <f>IF(A1933="",0,IF(AND(F1933="C&amp;T",COUNTIFS($A$2:A1933,A1933,$F$2:F1933,"C&amp;T")=1),1,0))</f>
        <v>0</v>
      </c>
    </row>
    <row r="1934" spans="1:16" x14ac:dyDescent="0.35">
      <c r="A1934" s="54" t="str">
        <f>IFERROR(IF(INDEX(SPOT_Import!$A$1:$Z$2488,1934,'Live Data'!$C$12)="","",INDEX(SPOT_Import!$A$1:$Z$2488,1934,'Live Data'!$C$12)),"")</f>
        <v/>
      </c>
      <c r="B1934" s="54" t="str">
        <f>IFERROR(IF(INDEX(SPOT_Import!$A$1:$Z$2488,1934,'Live Data'!$C$13)="","",INDEX(SPOT_Import!$A$1:$Z$2488,1934,'Live Data'!$C$13)),"")</f>
        <v/>
      </c>
      <c r="C1934" s="54" t="str">
        <f>IFERROR(IF(INDEX(SPOT_Import!$A$1:$Z$2488,1934,'Live Data'!$C$14)="","",INDEX(SPOT_Import!$A$1:$Z$2488,1934,'Live Data'!$C$14)),"")</f>
        <v/>
      </c>
      <c r="D1934" s="54" t="str">
        <f>IFERROR(IF(INDEX(SPOT_Import!$A$1:$Z$2488,1934,'Live Data'!$C$15)="","",INDEX(SPOT_Import!$A$1:$Z$2488,1934,'Live Data'!$C$15)),"")</f>
        <v/>
      </c>
      <c r="E1934" s="54" t="str">
        <f>IFERROR(IF(INDEX(SPOT_Import!$A$1:$Z$2488,1934,'Live Data'!$C$16)="","",INDEX(SPOT_Import!$A$1:$Z$2488,1934,'Live Data'!$C$16)),"")</f>
        <v/>
      </c>
      <c r="F1934" s="54" t="str">
        <f>IFERROR(IF(INDEX(SPOT_Import!$A$1:$Z$2488,1934,'Live Data'!$C$17)="","",INDEX(SPOT_Import!$A$1:$Z$2488,1934,'Live Data'!$C$17)),"")</f>
        <v/>
      </c>
      <c r="G1934" s="54" t="str">
        <f>IFERROR(IF(INDEX(SPOT_Import!$A$1:$Z$2488,1934,'Live Data'!$C$18)="","",INDEX(SPOT_Import!$A$1:$Z$2488,1934,'Live Data'!$C$18)),"")</f>
        <v/>
      </c>
      <c r="H1934" s="54" t="str">
        <f>IFERROR(IF(INDEX(SPOT_Import!$A$1:$Z$2488,1934,'Live Data'!$C$19)="","",INDEX(SPOT_Import!$A$1:$Z$2488,1934,'Live Data'!$C$19)),"")</f>
        <v/>
      </c>
      <c r="I1934" s="54" t="str">
        <f>IFERROR(IF(INDEX(SPOT_Import!$A$1:$Z$2488,1934,'Live Data'!$C$20)="","",INDEX(SPOT_Import!$A$1:$Z$2488,1934,'Live Data'!$C$20)),"")</f>
        <v/>
      </c>
      <c r="J1934" s="54" t="str">
        <f>IFERROR(IF(INDEX(SPOT_Import!$A$1:$Z$2488,1934,'Live Data'!$C$21)="","",INDEX(SPOT_Import!$A$1:$Z$2488,1934,'Live Data'!$C$21)),"")</f>
        <v/>
      </c>
      <c r="K1934" s="54" t="str">
        <f>IFERROR(IF(INDEX(SPOT_Import!$A$1:$Z$2488,1934,'Live Data'!$C$22)="","",INDEX(SPOT_Import!$A$1:$Z$2488,1934,'Live Data'!$C$22)),"")</f>
        <v/>
      </c>
      <c r="L1934" s="55" t="str">
        <f t="shared" si="60"/>
        <v/>
      </c>
      <c r="M1934" s="55" t="str">
        <f t="shared" si="61"/>
        <v/>
      </c>
      <c r="N1934" s="55" t="str">
        <f>IF(A1934="","",IFERROR(INDEX('Cluster Map'!$A$4:$A$38,MATCH(M1934,'Cluster Map'!$B$4:$B$38,0)),"Unmapped"))</f>
        <v/>
      </c>
      <c r="O1934" s="55">
        <f>IF(A1934="",0,IF(COUNTIFS($A$2:A1934,A1934,$F$2:F1934,F1934,$L$2:L1934,L1934)=1,1,0))</f>
        <v>0</v>
      </c>
      <c r="P1934" s="55">
        <f>IF(A1934="",0,IF(AND(F1934="C&amp;T",COUNTIFS($A$2:A1934,A1934,$F$2:F1934,"C&amp;T")=1),1,0))</f>
        <v>0</v>
      </c>
    </row>
    <row r="1935" spans="1:16" x14ac:dyDescent="0.35">
      <c r="A1935" s="54" t="str">
        <f>IFERROR(IF(INDEX(SPOT_Import!$A$1:$Z$2488,1935,'Live Data'!$C$12)="","",INDEX(SPOT_Import!$A$1:$Z$2488,1935,'Live Data'!$C$12)),"")</f>
        <v/>
      </c>
      <c r="B1935" s="54" t="str">
        <f>IFERROR(IF(INDEX(SPOT_Import!$A$1:$Z$2488,1935,'Live Data'!$C$13)="","",INDEX(SPOT_Import!$A$1:$Z$2488,1935,'Live Data'!$C$13)),"")</f>
        <v/>
      </c>
      <c r="C1935" s="54" t="str">
        <f>IFERROR(IF(INDEX(SPOT_Import!$A$1:$Z$2488,1935,'Live Data'!$C$14)="","",INDEX(SPOT_Import!$A$1:$Z$2488,1935,'Live Data'!$C$14)),"")</f>
        <v/>
      </c>
      <c r="D1935" s="54" t="str">
        <f>IFERROR(IF(INDEX(SPOT_Import!$A$1:$Z$2488,1935,'Live Data'!$C$15)="","",INDEX(SPOT_Import!$A$1:$Z$2488,1935,'Live Data'!$C$15)),"")</f>
        <v/>
      </c>
      <c r="E1935" s="54" t="str">
        <f>IFERROR(IF(INDEX(SPOT_Import!$A$1:$Z$2488,1935,'Live Data'!$C$16)="","",INDEX(SPOT_Import!$A$1:$Z$2488,1935,'Live Data'!$C$16)),"")</f>
        <v/>
      </c>
      <c r="F1935" s="54" t="str">
        <f>IFERROR(IF(INDEX(SPOT_Import!$A$1:$Z$2488,1935,'Live Data'!$C$17)="","",INDEX(SPOT_Import!$A$1:$Z$2488,1935,'Live Data'!$C$17)),"")</f>
        <v/>
      </c>
      <c r="G1935" s="54" t="str">
        <f>IFERROR(IF(INDEX(SPOT_Import!$A$1:$Z$2488,1935,'Live Data'!$C$18)="","",INDEX(SPOT_Import!$A$1:$Z$2488,1935,'Live Data'!$C$18)),"")</f>
        <v/>
      </c>
      <c r="H1935" s="54" t="str">
        <f>IFERROR(IF(INDEX(SPOT_Import!$A$1:$Z$2488,1935,'Live Data'!$C$19)="","",INDEX(SPOT_Import!$A$1:$Z$2488,1935,'Live Data'!$C$19)),"")</f>
        <v/>
      </c>
      <c r="I1935" s="54" t="str">
        <f>IFERROR(IF(INDEX(SPOT_Import!$A$1:$Z$2488,1935,'Live Data'!$C$20)="","",INDEX(SPOT_Import!$A$1:$Z$2488,1935,'Live Data'!$C$20)),"")</f>
        <v/>
      </c>
      <c r="J1935" s="54" t="str">
        <f>IFERROR(IF(INDEX(SPOT_Import!$A$1:$Z$2488,1935,'Live Data'!$C$21)="","",INDEX(SPOT_Import!$A$1:$Z$2488,1935,'Live Data'!$C$21)),"")</f>
        <v/>
      </c>
      <c r="K1935" s="54" t="str">
        <f>IFERROR(IF(INDEX(SPOT_Import!$A$1:$Z$2488,1935,'Live Data'!$C$22)="","",INDEX(SPOT_Import!$A$1:$Z$2488,1935,'Live Data'!$C$22)),"")</f>
        <v/>
      </c>
      <c r="L1935" s="55" t="str">
        <f t="shared" si="60"/>
        <v/>
      </c>
      <c r="M1935" s="55" t="str">
        <f t="shared" si="61"/>
        <v/>
      </c>
      <c r="N1935" s="55" t="str">
        <f>IF(A1935="","",IFERROR(INDEX('Cluster Map'!$A$4:$A$38,MATCH(M1935,'Cluster Map'!$B$4:$B$38,0)),"Unmapped"))</f>
        <v/>
      </c>
      <c r="O1935" s="55">
        <f>IF(A1935="",0,IF(COUNTIFS($A$2:A1935,A1935,$F$2:F1935,F1935,$L$2:L1935,L1935)=1,1,0))</f>
        <v>0</v>
      </c>
      <c r="P1935" s="55">
        <f>IF(A1935="",0,IF(AND(F1935="C&amp;T",COUNTIFS($A$2:A1935,A1935,$F$2:F1935,"C&amp;T")=1),1,0))</f>
        <v>0</v>
      </c>
    </row>
    <row r="1936" spans="1:16" x14ac:dyDescent="0.35">
      <c r="A1936" s="54" t="str">
        <f>IFERROR(IF(INDEX(SPOT_Import!$A$1:$Z$2488,1936,'Live Data'!$C$12)="","",INDEX(SPOT_Import!$A$1:$Z$2488,1936,'Live Data'!$C$12)),"")</f>
        <v/>
      </c>
      <c r="B1936" s="54" t="str">
        <f>IFERROR(IF(INDEX(SPOT_Import!$A$1:$Z$2488,1936,'Live Data'!$C$13)="","",INDEX(SPOT_Import!$A$1:$Z$2488,1936,'Live Data'!$C$13)),"")</f>
        <v/>
      </c>
      <c r="C1936" s="54" t="str">
        <f>IFERROR(IF(INDEX(SPOT_Import!$A$1:$Z$2488,1936,'Live Data'!$C$14)="","",INDEX(SPOT_Import!$A$1:$Z$2488,1936,'Live Data'!$C$14)),"")</f>
        <v/>
      </c>
      <c r="D1936" s="54" t="str">
        <f>IFERROR(IF(INDEX(SPOT_Import!$A$1:$Z$2488,1936,'Live Data'!$C$15)="","",INDEX(SPOT_Import!$A$1:$Z$2488,1936,'Live Data'!$C$15)),"")</f>
        <v/>
      </c>
      <c r="E1936" s="54" t="str">
        <f>IFERROR(IF(INDEX(SPOT_Import!$A$1:$Z$2488,1936,'Live Data'!$C$16)="","",INDEX(SPOT_Import!$A$1:$Z$2488,1936,'Live Data'!$C$16)),"")</f>
        <v/>
      </c>
      <c r="F1936" s="54" t="str">
        <f>IFERROR(IF(INDEX(SPOT_Import!$A$1:$Z$2488,1936,'Live Data'!$C$17)="","",INDEX(SPOT_Import!$A$1:$Z$2488,1936,'Live Data'!$C$17)),"")</f>
        <v/>
      </c>
      <c r="G1936" s="54" t="str">
        <f>IFERROR(IF(INDEX(SPOT_Import!$A$1:$Z$2488,1936,'Live Data'!$C$18)="","",INDEX(SPOT_Import!$A$1:$Z$2488,1936,'Live Data'!$C$18)),"")</f>
        <v/>
      </c>
      <c r="H1936" s="54" t="str">
        <f>IFERROR(IF(INDEX(SPOT_Import!$A$1:$Z$2488,1936,'Live Data'!$C$19)="","",INDEX(SPOT_Import!$A$1:$Z$2488,1936,'Live Data'!$C$19)),"")</f>
        <v/>
      </c>
      <c r="I1936" s="54" t="str">
        <f>IFERROR(IF(INDEX(SPOT_Import!$A$1:$Z$2488,1936,'Live Data'!$C$20)="","",INDEX(SPOT_Import!$A$1:$Z$2488,1936,'Live Data'!$C$20)),"")</f>
        <v/>
      </c>
      <c r="J1936" s="54" t="str">
        <f>IFERROR(IF(INDEX(SPOT_Import!$A$1:$Z$2488,1936,'Live Data'!$C$21)="","",INDEX(SPOT_Import!$A$1:$Z$2488,1936,'Live Data'!$C$21)),"")</f>
        <v/>
      </c>
      <c r="K1936" s="54" t="str">
        <f>IFERROR(IF(INDEX(SPOT_Import!$A$1:$Z$2488,1936,'Live Data'!$C$22)="","",INDEX(SPOT_Import!$A$1:$Z$2488,1936,'Live Data'!$C$22)),"")</f>
        <v/>
      </c>
      <c r="L1936" s="55" t="str">
        <f t="shared" si="60"/>
        <v/>
      </c>
      <c r="M1936" s="55" t="str">
        <f t="shared" si="61"/>
        <v/>
      </c>
      <c r="N1936" s="55" t="str">
        <f>IF(A1936="","",IFERROR(INDEX('Cluster Map'!$A$4:$A$38,MATCH(M1936,'Cluster Map'!$B$4:$B$38,0)),"Unmapped"))</f>
        <v/>
      </c>
      <c r="O1936" s="55">
        <f>IF(A1936="",0,IF(COUNTIFS($A$2:A1936,A1936,$F$2:F1936,F1936,$L$2:L1936,L1936)=1,1,0))</f>
        <v>0</v>
      </c>
      <c r="P1936" s="55">
        <f>IF(A1936="",0,IF(AND(F1936="C&amp;T",COUNTIFS($A$2:A1936,A1936,$F$2:F1936,"C&amp;T")=1),1,0))</f>
        <v>0</v>
      </c>
    </row>
    <row r="1937" spans="1:16" x14ac:dyDescent="0.35">
      <c r="A1937" s="54" t="str">
        <f>IFERROR(IF(INDEX(SPOT_Import!$A$1:$Z$2488,1937,'Live Data'!$C$12)="","",INDEX(SPOT_Import!$A$1:$Z$2488,1937,'Live Data'!$C$12)),"")</f>
        <v/>
      </c>
      <c r="B1937" s="54" t="str">
        <f>IFERROR(IF(INDEX(SPOT_Import!$A$1:$Z$2488,1937,'Live Data'!$C$13)="","",INDEX(SPOT_Import!$A$1:$Z$2488,1937,'Live Data'!$C$13)),"")</f>
        <v/>
      </c>
      <c r="C1937" s="54" t="str">
        <f>IFERROR(IF(INDEX(SPOT_Import!$A$1:$Z$2488,1937,'Live Data'!$C$14)="","",INDEX(SPOT_Import!$A$1:$Z$2488,1937,'Live Data'!$C$14)),"")</f>
        <v/>
      </c>
      <c r="D1937" s="54" t="str">
        <f>IFERROR(IF(INDEX(SPOT_Import!$A$1:$Z$2488,1937,'Live Data'!$C$15)="","",INDEX(SPOT_Import!$A$1:$Z$2488,1937,'Live Data'!$C$15)),"")</f>
        <v/>
      </c>
      <c r="E1937" s="54" t="str">
        <f>IFERROR(IF(INDEX(SPOT_Import!$A$1:$Z$2488,1937,'Live Data'!$C$16)="","",INDEX(SPOT_Import!$A$1:$Z$2488,1937,'Live Data'!$C$16)),"")</f>
        <v/>
      </c>
      <c r="F1937" s="54" t="str">
        <f>IFERROR(IF(INDEX(SPOT_Import!$A$1:$Z$2488,1937,'Live Data'!$C$17)="","",INDEX(SPOT_Import!$A$1:$Z$2488,1937,'Live Data'!$C$17)),"")</f>
        <v/>
      </c>
      <c r="G1937" s="54" t="str">
        <f>IFERROR(IF(INDEX(SPOT_Import!$A$1:$Z$2488,1937,'Live Data'!$C$18)="","",INDEX(SPOT_Import!$A$1:$Z$2488,1937,'Live Data'!$C$18)),"")</f>
        <v/>
      </c>
      <c r="H1937" s="54" t="str">
        <f>IFERROR(IF(INDEX(SPOT_Import!$A$1:$Z$2488,1937,'Live Data'!$C$19)="","",INDEX(SPOT_Import!$A$1:$Z$2488,1937,'Live Data'!$C$19)),"")</f>
        <v/>
      </c>
      <c r="I1937" s="54" t="str">
        <f>IFERROR(IF(INDEX(SPOT_Import!$A$1:$Z$2488,1937,'Live Data'!$C$20)="","",INDEX(SPOT_Import!$A$1:$Z$2488,1937,'Live Data'!$C$20)),"")</f>
        <v/>
      </c>
      <c r="J1937" s="54" t="str">
        <f>IFERROR(IF(INDEX(SPOT_Import!$A$1:$Z$2488,1937,'Live Data'!$C$21)="","",INDEX(SPOT_Import!$A$1:$Z$2488,1937,'Live Data'!$C$21)),"")</f>
        <v/>
      </c>
      <c r="K1937" s="54" t="str">
        <f>IFERROR(IF(INDEX(SPOT_Import!$A$1:$Z$2488,1937,'Live Data'!$C$22)="","",INDEX(SPOT_Import!$A$1:$Z$2488,1937,'Live Data'!$C$22)),"")</f>
        <v/>
      </c>
      <c r="L1937" s="55" t="str">
        <f t="shared" si="60"/>
        <v/>
      </c>
      <c r="M1937" s="55" t="str">
        <f t="shared" si="61"/>
        <v/>
      </c>
      <c r="N1937" s="55" t="str">
        <f>IF(A1937="","",IFERROR(INDEX('Cluster Map'!$A$4:$A$38,MATCH(M1937,'Cluster Map'!$B$4:$B$38,0)),"Unmapped"))</f>
        <v/>
      </c>
      <c r="O1937" s="55">
        <f>IF(A1937="",0,IF(COUNTIFS($A$2:A1937,A1937,$F$2:F1937,F1937,$L$2:L1937,L1937)=1,1,0))</f>
        <v>0</v>
      </c>
      <c r="P1937" s="55">
        <f>IF(A1937="",0,IF(AND(F1937="C&amp;T",COUNTIFS($A$2:A1937,A1937,$F$2:F1937,"C&amp;T")=1),1,0))</f>
        <v>0</v>
      </c>
    </row>
    <row r="1938" spans="1:16" x14ac:dyDescent="0.35">
      <c r="A1938" s="54" t="str">
        <f>IFERROR(IF(INDEX(SPOT_Import!$A$1:$Z$2488,1938,'Live Data'!$C$12)="","",INDEX(SPOT_Import!$A$1:$Z$2488,1938,'Live Data'!$C$12)),"")</f>
        <v/>
      </c>
      <c r="B1938" s="54" t="str">
        <f>IFERROR(IF(INDEX(SPOT_Import!$A$1:$Z$2488,1938,'Live Data'!$C$13)="","",INDEX(SPOT_Import!$A$1:$Z$2488,1938,'Live Data'!$C$13)),"")</f>
        <v/>
      </c>
      <c r="C1938" s="54" t="str">
        <f>IFERROR(IF(INDEX(SPOT_Import!$A$1:$Z$2488,1938,'Live Data'!$C$14)="","",INDEX(SPOT_Import!$A$1:$Z$2488,1938,'Live Data'!$C$14)),"")</f>
        <v/>
      </c>
      <c r="D1938" s="54" t="str">
        <f>IFERROR(IF(INDEX(SPOT_Import!$A$1:$Z$2488,1938,'Live Data'!$C$15)="","",INDEX(SPOT_Import!$A$1:$Z$2488,1938,'Live Data'!$C$15)),"")</f>
        <v/>
      </c>
      <c r="E1938" s="54" t="str">
        <f>IFERROR(IF(INDEX(SPOT_Import!$A$1:$Z$2488,1938,'Live Data'!$C$16)="","",INDEX(SPOT_Import!$A$1:$Z$2488,1938,'Live Data'!$C$16)),"")</f>
        <v/>
      </c>
      <c r="F1938" s="54" t="str">
        <f>IFERROR(IF(INDEX(SPOT_Import!$A$1:$Z$2488,1938,'Live Data'!$C$17)="","",INDEX(SPOT_Import!$A$1:$Z$2488,1938,'Live Data'!$C$17)),"")</f>
        <v/>
      </c>
      <c r="G1938" s="54" t="str">
        <f>IFERROR(IF(INDEX(SPOT_Import!$A$1:$Z$2488,1938,'Live Data'!$C$18)="","",INDEX(SPOT_Import!$A$1:$Z$2488,1938,'Live Data'!$C$18)),"")</f>
        <v/>
      </c>
      <c r="H1938" s="54" t="str">
        <f>IFERROR(IF(INDEX(SPOT_Import!$A$1:$Z$2488,1938,'Live Data'!$C$19)="","",INDEX(SPOT_Import!$A$1:$Z$2488,1938,'Live Data'!$C$19)),"")</f>
        <v/>
      </c>
      <c r="I1938" s="54" t="str">
        <f>IFERROR(IF(INDEX(SPOT_Import!$A$1:$Z$2488,1938,'Live Data'!$C$20)="","",INDEX(SPOT_Import!$A$1:$Z$2488,1938,'Live Data'!$C$20)),"")</f>
        <v/>
      </c>
      <c r="J1938" s="54" t="str">
        <f>IFERROR(IF(INDEX(SPOT_Import!$A$1:$Z$2488,1938,'Live Data'!$C$21)="","",INDEX(SPOT_Import!$A$1:$Z$2488,1938,'Live Data'!$C$21)),"")</f>
        <v/>
      </c>
      <c r="K1938" s="54" t="str">
        <f>IFERROR(IF(INDEX(SPOT_Import!$A$1:$Z$2488,1938,'Live Data'!$C$22)="","",INDEX(SPOT_Import!$A$1:$Z$2488,1938,'Live Data'!$C$22)),"")</f>
        <v/>
      </c>
      <c r="L1938" s="55" t="str">
        <f t="shared" si="60"/>
        <v/>
      </c>
      <c r="M1938" s="55" t="str">
        <f t="shared" si="61"/>
        <v/>
      </c>
      <c r="N1938" s="55" t="str">
        <f>IF(A1938="","",IFERROR(INDEX('Cluster Map'!$A$4:$A$38,MATCH(M1938,'Cluster Map'!$B$4:$B$38,0)),"Unmapped"))</f>
        <v/>
      </c>
      <c r="O1938" s="55">
        <f>IF(A1938="",0,IF(COUNTIFS($A$2:A1938,A1938,$F$2:F1938,F1938,$L$2:L1938,L1938)=1,1,0))</f>
        <v>0</v>
      </c>
      <c r="P1938" s="55">
        <f>IF(A1938="",0,IF(AND(F1938="C&amp;T",COUNTIFS($A$2:A1938,A1938,$F$2:F1938,"C&amp;T")=1),1,0))</f>
        <v>0</v>
      </c>
    </row>
    <row r="1939" spans="1:16" x14ac:dyDescent="0.35">
      <c r="A1939" s="54" t="str">
        <f>IFERROR(IF(INDEX(SPOT_Import!$A$1:$Z$2488,1939,'Live Data'!$C$12)="","",INDEX(SPOT_Import!$A$1:$Z$2488,1939,'Live Data'!$C$12)),"")</f>
        <v/>
      </c>
      <c r="B1939" s="54" t="str">
        <f>IFERROR(IF(INDEX(SPOT_Import!$A$1:$Z$2488,1939,'Live Data'!$C$13)="","",INDEX(SPOT_Import!$A$1:$Z$2488,1939,'Live Data'!$C$13)),"")</f>
        <v/>
      </c>
      <c r="C1939" s="54" t="str">
        <f>IFERROR(IF(INDEX(SPOT_Import!$A$1:$Z$2488,1939,'Live Data'!$C$14)="","",INDEX(SPOT_Import!$A$1:$Z$2488,1939,'Live Data'!$C$14)),"")</f>
        <v/>
      </c>
      <c r="D1939" s="54" t="str">
        <f>IFERROR(IF(INDEX(SPOT_Import!$A$1:$Z$2488,1939,'Live Data'!$C$15)="","",INDEX(SPOT_Import!$A$1:$Z$2488,1939,'Live Data'!$C$15)),"")</f>
        <v/>
      </c>
      <c r="E1939" s="54" t="str">
        <f>IFERROR(IF(INDEX(SPOT_Import!$A$1:$Z$2488,1939,'Live Data'!$C$16)="","",INDEX(SPOT_Import!$A$1:$Z$2488,1939,'Live Data'!$C$16)),"")</f>
        <v/>
      </c>
      <c r="F1939" s="54" t="str">
        <f>IFERROR(IF(INDEX(SPOT_Import!$A$1:$Z$2488,1939,'Live Data'!$C$17)="","",INDEX(SPOT_Import!$A$1:$Z$2488,1939,'Live Data'!$C$17)),"")</f>
        <v/>
      </c>
      <c r="G1939" s="54" t="str">
        <f>IFERROR(IF(INDEX(SPOT_Import!$A$1:$Z$2488,1939,'Live Data'!$C$18)="","",INDEX(SPOT_Import!$A$1:$Z$2488,1939,'Live Data'!$C$18)),"")</f>
        <v/>
      </c>
      <c r="H1939" s="54" t="str">
        <f>IFERROR(IF(INDEX(SPOT_Import!$A$1:$Z$2488,1939,'Live Data'!$C$19)="","",INDEX(SPOT_Import!$A$1:$Z$2488,1939,'Live Data'!$C$19)),"")</f>
        <v/>
      </c>
      <c r="I1939" s="54" t="str">
        <f>IFERROR(IF(INDEX(SPOT_Import!$A$1:$Z$2488,1939,'Live Data'!$C$20)="","",INDEX(SPOT_Import!$A$1:$Z$2488,1939,'Live Data'!$C$20)),"")</f>
        <v/>
      </c>
      <c r="J1939" s="54" t="str">
        <f>IFERROR(IF(INDEX(SPOT_Import!$A$1:$Z$2488,1939,'Live Data'!$C$21)="","",INDEX(SPOT_Import!$A$1:$Z$2488,1939,'Live Data'!$C$21)),"")</f>
        <v/>
      </c>
      <c r="K1939" s="54" t="str">
        <f>IFERROR(IF(INDEX(SPOT_Import!$A$1:$Z$2488,1939,'Live Data'!$C$22)="","",INDEX(SPOT_Import!$A$1:$Z$2488,1939,'Live Data'!$C$22)),"")</f>
        <v/>
      </c>
      <c r="L1939" s="55" t="str">
        <f t="shared" si="60"/>
        <v/>
      </c>
      <c r="M1939" s="55" t="str">
        <f t="shared" si="61"/>
        <v/>
      </c>
      <c r="N1939" s="55" t="str">
        <f>IF(A1939="","",IFERROR(INDEX('Cluster Map'!$A$4:$A$38,MATCH(M1939,'Cluster Map'!$B$4:$B$38,0)),"Unmapped"))</f>
        <v/>
      </c>
      <c r="O1939" s="55">
        <f>IF(A1939="",0,IF(COUNTIFS($A$2:A1939,A1939,$F$2:F1939,F1939,$L$2:L1939,L1939)=1,1,0))</f>
        <v>0</v>
      </c>
      <c r="P1939" s="55">
        <f>IF(A1939="",0,IF(AND(F1939="C&amp;T",COUNTIFS($A$2:A1939,A1939,$F$2:F1939,"C&amp;T")=1),1,0))</f>
        <v>0</v>
      </c>
    </row>
    <row r="1940" spans="1:16" x14ac:dyDescent="0.35">
      <c r="A1940" s="54" t="str">
        <f>IFERROR(IF(INDEX(SPOT_Import!$A$1:$Z$2488,1940,'Live Data'!$C$12)="","",INDEX(SPOT_Import!$A$1:$Z$2488,1940,'Live Data'!$C$12)),"")</f>
        <v/>
      </c>
      <c r="B1940" s="54" t="str">
        <f>IFERROR(IF(INDEX(SPOT_Import!$A$1:$Z$2488,1940,'Live Data'!$C$13)="","",INDEX(SPOT_Import!$A$1:$Z$2488,1940,'Live Data'!$C$13)),"")</f>
        <v/>
      </c>
      <c r="C1940" s="54" t="str">
        <f>IFERROR(IF(INDEX(SPOT_Import!$A$1:$Z$2488,1940,'Live Data'!$C$14)="","",INDEX(SPOT_Import!$A$1:$Z$2488,1940,'Live Data'!$C$14)),"")</f>
        <v/>
      </c>
      <c r="D1940" s="54" t="str">
        <f>IFERROR(IF(INDEX(SPOT_Import!$A$1:$Z$2488,1940,'Live Data'!$C$15)="","",INDEX(SPOT_Import!$A$1:$Z$2488,1940,'Live Data'!$C$15)),"")</f>
        <v/>
      </c>
      <c r="E1940" s="54" t="str">
        <f>IFERROR(IF(INDEX(SPOT_Import!$A$1:$Z$2488,1940,'Live Data'!$C$16)="","",INDEX(SPOT_Import!$A$1:$Z$2488,1940,'Live Data'!$C$16)),"")</f>
        <v/>
      </c>
      <c r="F1940" s="54" t="str">
        <f>IFERROR(IF(INDEX(SPOT_Import!$A$1:$Z$2488,1940,'Live Data'!$C$17)="","",INDEX(SPOT_Import!$A$1:$Z$2488,1940,'Live Data'!$C$17)),"")</f>
        <v/>
      </c>
      <c r="G1940" s="54" t="str">
        <f>IFERROR(IF(INDEX(SPOT_Import!$A$1:$Z$2488,1940,'Live Data'!$C$18)="","",INDEX(SPOT_Import!$A$1:$Z$2488,1940,'Live Data'!$C$18)),"")</f>
        <v/>
      </c>
      <c r="H1940" s="54" t="str">
        <f>IFERROR(IF(INDEX(SPOT_Import!$A$1:$Z$2488,1940,'Live Data'!$C$19)="","",INDEX(SPOT_Import!$A$1:$Z$2488,1940,'Live Data'!$C$19)),"")</f>
        <v/>
      </c>
      <c r="I1940" s="54" t="str">
        <f>IFERROR(IF(INDEX(SPOT_Import!$A$1:$Z$2488,1940,'Live Data'!$C$20)="","",INDEX(SPOT_Import!$A$1:$Z$2488,1940,'Live Data'!$C$20)),"")</f>
        <v/>
      </c>
      <c r="J1940" s="54" t="str">
        <f>IFERROR(IF(INDEX(SPOT_Import!$A$1:$Z$2488,1940,'Live Data'!$C$21)="","",INDEX(SPOT_Import!$A$1:$Z$2488,1940,'Live Data'!$C$21)),"")</f>
        <v/>
      </c>
      <c r="K1940" s="54" t="str">
        <f>IFERROR(IF(INDEX(SPOT_Import!$A$1:$Z$2488,1940,'Live Data'!$C$22)="","",INDEX(SPOT_Import!$A$1:$Z$2488,1940,'Live Data'!$C$22)),"")</f>
        <v/>
      </c>
      <c r="L1940" s="55" t="str">
        <f t="shared" si="60"/>
        <v/>
      </c>
      <c r="M1940" s="55" t="str">
        <f t="shared" si="61"/>
        <v/>
      </c>
      <c r="N1940" s="55" t="str">
        <f>IF(A1940="","",IFERROR(INDEX('Cluster Map'!$A$4:$A$38,MATCH(M1940,'Cluster Map'!$B$4:$B$38,0)),"Unmapped"))</f>
        <v/>
      </c>
      <c r="O1940" s="55">
        <f>IF(A1940="",0,IF(COUNTIFS($A$2:A1940,A1940,$F$2:F1940,F1940,$L$2:L1940,L1940)=1,1,0))</f>
        <v>0</v>
      </c>
      <c r="P1940" s="55">
        <f>IF(A1940="",0,IF(AND(F1940="C&amp;T",COUNTIFS($A$2:A1940,A1940,$F$2:F1940,"C&amp;T")=1),1,0))</f>
        <v>0</v>
      </c>
    </row>
    <row r="1941" spans="1:16" x14ac:dyDescent="0.35">
      <c r="A1941" s="54" t="str">
        <f>IFERROR(IF(INDEX(SPOT_Import!$A$1:$Z$2488,1941,'Live Data'!$C$12)="","",INDEX(SPOT_Import!$A$1:$Z$2488,1941,'Live Data'!$C$12)),"")</f>
        <v/>
      </c>
      <c r="B1941" s="54" t="str">
        <f>IFERROR(IF(INDEX(SPOT_Import!$A$1:$Z$2488,1941,'Live Data'!$C$13)="","",INDEX(SPOT_Import!$A$1:$Z$2488,1941,'Live Data'!$C$13)),"")</f>
        <v/>
      </c>
      <c r="C1941" s="54" t="str">
        <f>IFERROR(IF(INDEX(SPOT_Import!$A$1:$Z$2488,1941,'Live Data'!$C$14)="","",INDEX(SPOT_Import!$A$1:$Z$2488,1941,'Live Data'!$C$14)),"")</f>
        <v/>
      </c>
      <c r="D1941" s="54" t="str">
        <f>IFERROR(IF(INDEX(SPOT_Import!$A$1:$Z$2488,1941,'Live Data'!$C$15)="","",INDEX(SPOT_Import!$A$1:$Z$2488,1941,'Live Data'!$C$15)),"")</f>
        <v/>
      </c>
      <c r="E1941" s="54" t="str">
        <f>IFERROR(IF(INDEX(SPOT_Import!$A$1:$Z$2488,1941,'Live Data'!$C$16)="","",INDEX(SPOT_Import!$A$1:$Z$2488,1941,'Live Data'!$C$16)),"")</f>
        <v/>
      </c>
      <c r="F1941" s="54" t="str">
        <f>IFERROR(IF(INDEX(SPOT_Import!$A$1:$Z$2488,1941,'Live Data'!$C$17)="","",INDEX(SPOT_Import!$A$1:$Z$2488,1941,'Live Data'!$C$17)),"")</f>
        <v/>
      </c>
      <c r="G1941" s="54" t="str">
        <f>IFERROR(IF(INDEX(SPOT_Import!$A$1:$Z$2488,1941,'Live Data'!$C$18)="","",INDEX(SPOT_Import!$A$1:$Z$2488,1941,'Live Data'!$C$18)),"")</f>
        <v/>
      </c>
      <c r="H1941" s="54" t="str">
        <f>IFERROR(IF(INDEX(SPOT_Import!$A$1:$Z$2488,1941,'Live Data'!$C$19)="","",INDEX(SPOT_Import!$A$1:$Z$2488,1941,'Live Data'!$C$19)),"")</f>
        <v/>
      </c>
      <c r="I1941" s="54" t="str">
        <f>IFERROR(IF(INDEX(SPOT_Import!$A$1:$Z$2488,1941,'Live Data'!$C$20)="","",INDEX(SPOT_Import!$A$1:$Z$2488,1941,'Live Data'!$C$20)),"")</f>
        <v/>
      </c>
      <c r="J1941" s="54" t="str">
        <f>IFERROR(IF(INDEX(SPOT_Import!$A$1:$Z$2488,1941,'Live Data'!$C$21)="","",INDEX(SPOT_Import!$A$1:$Z$2488,1941,'Live Data'!$C$21)),"")</f>
        <v/>
      </c>
      <c r="K1941" s="54" t="str">
        <f>IFERROR(IF(INDEX(SPOT_Import!$A$1:$Z$2488,1941,'Live Data'!$C$22)="","",INDEX(SPOT_Import!$A$1:$Z$2488,1941,'Live Data'!$C$22)),"")</f>
        <v/>
      </c>
      <c r="L1941" s="55" t="str">
        <f t="shared" si="60"/>
        <v/>
      </c>
      <c r="M1941" s="55" t="str">
        <f t="shared" si="61"/>
        <v/>
      </c>
      <c r="N1941" s="55" t="str">
        <f>IF(A1941="","",IFERROR(INDEX('Cluster Map'!$A$4:$A$38,MATCH(M1941,'Cluster Map'!$B$4:$B$38,0)),"Unmapped"))</f>
        <v/>
      </c>
      <c r="O1941" s="55">
        <f>IF(A1941="",0,IF(COUNTIFS($A$2:A1941,A1941,$F$2:F1941,F1941,$L$2:L1941,L1941)=1,1,0))</f>
        <v>0</v>
      </c>
      <c r="P1941" s="55">
        <f>IF(A1941="",0,IF(AND(F1941="C&amp;T",COUNTIFS($A$2:A1941,A1941,$F$2:F1941,"C&amp;T")=1),1,0))</f>
        <v>0</v>
      </c>
    </row>
    <row r="1942" spans="1:16" x14ac:dyDescent="0.35">
      <c r="A1942" s="54" t="str">
        <f>IFERROR(IF(INDEX(SPOT_Import!$A$1:$Z$2488,1942,'Live Data'!$C$12)="","",INDEX(SPOT_Import!$A$1:$Z$2488,1942,'Live Data'!$C$12)),"")</f>
        <v/>
      </c>
      <c r="B1942" s="54" t="str">
        <f>IFERROR(IF(INDEX(SPOT_Import!$A$1:$Z$2488,1942,'Live Data'!$C$13)="","",INDEX(SPOT_Import!$A$1:$Z$2488,1942,'Live Data'!$C$13)),"")</f>
        <v/>
      </c>
      <c r="C1942" s="54" t="str">
        <f>IFERROR(IF(INDEX(SPOT_Import!$A$1:$Z$2488,1942,'Live Data'!$C$14)="","",INDEX(SPOT_Import!$A$1:$Z$2488,1942,'Live Data'!$C$14)),"")</f>
        <v/>
      </c>
      <c r="D1942" s="54" t="str">
        <f>IFERROR(IF(INDEX(SPOT_Import!$A$1:$Z$2488,1942,'Live Data'!$C$15)="","",INDEX(SPOT_Import!$A$1:$Z$2488,1942,'Live Data'!$C$15)),"")</f>
        <v/>
      </c>
      <c r="E1942" s="54" t="str">
        <f>IFERROR(IF(INDEX(SPOT_Import!$A$1:$Z$2488,1942,'Live Data'!$C$16)="","",INDEX(SPOT_Import!$A$1:$Z$2488,1942,'Live Data'!$C$16)),"")</f>
        <v/>
      </c>
      <c r="F1942" s="54" t="str">
        <f>IFERROR(IF(INDEX(SPOT_Import!$A$1:$Z$2488,1942,'Live Data'!$C$17)="","",INDEX(SPOT_Import!$A$1:$Z$2488,1942,'Live Data'!$C$17)),"")</f>
        <v/>
      </c>
      <c r="G1942" s="54" t="str">
        <f>IFERROR(IF(INDEX(SPOT_Import!$A$1:$Z$2488,1942,'Live Data'!$C$18)="","",INDEX(SPOT_Import!$A$1:$Z$2488,1942,'Live Data'!$C$18)),"")</f>
        <v/>
      </c>
      <c r="H1942" s="54" t="str">
        <f>IFERROR(IF(INDEX(SPOT_Import!$A$1:$Z$2488,1942,'Live Data'!$C$19)="","",INDEX(SPOT_Import!$A$1:$Z$2488,1942,'Live Data'!$C$19)),"")</f>
        <v/>
      </c>
      <c r="I1942" s="54" t="str">
        <f>IFERROR(IF(INDEX(SPOT_Import!$A$1:$Z$2488,1942,'Live Data'!$C$20)="","",INDEX(SPOT_Import!$A$1:$Z$2488,1942,'Live Data'!$C$20)),"")</f>
        <v/>
      </c>
      <c r="J1942" s="54" t="str">
        <f>IFERROR(IF(INDEX(SPOT_Import!$A$1:$Z$2488,1942,'Live Data'!$C$21)="","",INDEX(SPOT_Import!$A$1:$Z$2488,1942,'Live Data'!$C$21)),"")</f>
        <v/>
      </c>
      <c r="K1942" s="54" t="str">
        <f>IFERROR(IF(INDEX(SPOT_Import!$A$1:$Z$2488,1942,'Live Data'!$C$22)="","",INDEX(SPOT_Import!$A$1:$Z$2488,1942,'Live Data'!$C$22)),"")</f>
        <v/>
      </c>
      <c r="L1942" s="55" t="str">
        <f t="shared" si="60"/>
        <v/>
      </c>
      <c r="M1942" s="55" t="str">
        <f t="shared" si="61"/>
        <v/>
      </c>
      <c r="N1942" s="55" t="str">
        <f>IF(A1942="","",IFERROR(INDEX('Cluster Map'!$A$4:$A$38,MATCH(M1942,'Cluster Map'!$B$4:$B$38,0)),"Unmapped"))</f>
        <v/>
      </c>
      <c r="O1942" s="55">
        <f>IF(A1942="",0,IF(COUNTIFS($A$2:A1942,A1942,$F$2:F1942,F1942,$L$2:L1942,L1942)=1,1,0))</f>
        <v>0</v>
      </c>
      <c r="P1942" s="55">
        <f>IF(A1942="",0,IF(AND(F1942="C&amp;T",COUNTIFS($A$2:A1942,A1942,$F$2:F1942,"C&amp;T")=1),1,0))</f>
        <v>0</v>
      </c>
    </row>
    <row r="1943" spans="1:16" x14ac:dyDescent="0.35">
      <c r="A1943" s="54" t="str">
        <f>IFERROR(IF(INDEX(SPOT_Import!$A$1:$Z$2488,1943,'Live Data'!$C$12)="","",INDEX(SPOT_Import!$A$1:$Z$2488,1943,'Live Data'!$C$12)),"")</f>
        <v/>
      </c>
      <c r="B1943" s="54" t="str">
        <f>IFERROR(IF(INDEX(SPOT_Import!$A$1:$Z$2488,1943,'Live Data'!$C$13)="","",INDEX(SPOT_Import!$A$1:$Z$2488,1943,'Live Data'!$C$13)),"")</f>
        <v/>
      </c>
      <c r="C1943" s="54" t="str">
        <f>IFERROR(IF(INDEX(SPOT_Import!$A$1:$Z$2488,1943,'Live Data'!$C$14)="","",INDEX(SPOT_Import!$A$1:$Z$2488,1943,'Live Data'!$C$14)),"")</f>
        <v/>
      </c>
      <c r="D1943" s="54" t="str">
        <f>IFERROR(IF(INDEX(SPOT_Import!$A$1:$Z$2488,1943,'Live Data'!$C$15)="","",INDEX(SPOT_Import!$A$1:$Z$2488,1943,'Live Data'!$C$15)),"")</f>
        <v/>
      </c>
      <c r="E1943" s="54" t="str">
        <f>IFERROR(IF(INDEX(SPOT_Import!$A$1:$Z$2488,1943,'Live Data'!$C$16)="","",INDEX(SPOT_Import!$A$1:$Z$2488,1943,'Live Data'!$C$16)),"")</f>
        <v/>
      </c>
      <c r="F1943" s="54" t="str">
        <f>IFERROR(IF(INDEX(SPOT_Import!$A$1:$Z$2488,1943,'Live Data'!$C$17)="","",INDEX(SPOT_Import!$A$1:$Z$2488,1943,'Live Data'!$C$17)),"")</f>
        <v/>
      </c>
      <c r="G1943" s="54" t="str">
        <f>IFERROR(IF(INDEX(SPOT_Import!$A$1:$Z$2488,1943,'Live Data'!$C$18)="","",INDEX(SPOT_Import!$A$1:$Z$2488,1943,'Live Data'!$C$18)),"")</f>
        <v/>
      </c>
      <c r="H1943" s="54" t="str">
        <f>IFERROR(IF(INDEX(SPOT_Import!$A$1:$Z$2488,1943,'Live Data'!$C$19)="","",INDEX(SPOT_Import!$A$1:$Z$2488,1943,'Live Data'!$C$19)),"")</f>
        <v/>
      </c>
      <c r="I1943" s="54" t="str">
        <f>IFERROR(IF(INDEX(SPOT_Import!$A$1:$Z$2488,1943,'Live Data'!$C$20)="","",INDEX(SPOT_Import!$A$1:$Z$2488,1943,'Live Data'!$C$20)),"")</f>
        <v/>
      </c>
      <c r="J1943" s="54" t="str">
        <f>IFERROR(IF(INDEX(SPOT_Import!$A$1:$Z$2488,1943,'Live Data'!$C$21)="","",INDEX(SPOT_Import!$A$1:$Z$2488,1943,'Live Data'!$C$21)),"")</f>
        <v/>
      </c>
      <c r="K1943" s="54" t="str">
        <f>IFERROR(IF(INDEX(SPOT_Import!$A$1:$Z$2488,1943,'Live Data'!$C$22)="","",INDEX(SPOT_Import!$A$1:$Z$2488,1943,'Live Data'!$C$22)),"")</f>
        <v/>
      </c>
      <c r="L1943" s="55" t="str">
        <f t="shared" si="60"/>
        <v/>
      </c>
      <c r="M1943" s="55" t="str">
        <f t="shared" si="61"/>
        <v/>
      </c>
      <c r="N1943" s="55" t="str">
        <f>IF(A1943="","",IFERROR(INDEX('Cluster Map'!$A$4:$A$38,MATCH(M1943,'Cluster Map'!$B$4:$B$38,0)),"Unmapped"))</f>
        <v/>
      </c>
      <c r="O1943" s="55">
        <f>IF(A1943="",0,IF(COUNTIFS($A$2:A1943,A1943,$F$2:F1943,F1943,$L$2:L1943,L1943)=1,1,0))</f>
        <v>0</v>
      </c>
      <c r="P1943" s="55">
        <f>IF(A1943="",0,IF(AND(F1943="C&amp;T",COUNTIFS($A$2:A1943,A1943,$F$2:F1943,"C&amp;T")=1),1,0))</f>
        <v>0</v>
      </c>
    </row>
    <row r="1944" spans="1:16" x14ac:dyDescent="0.35">
      <c r="A1944" s="54" t="str">
        <f>IFERROR(IF(INDEX(SPOT_Import!$A$1:$Z$2488,1944,'Live Data'!$C$12)="","",INDEX(SPOT_Import!$A$1:$Z$2488,1944,'Live Data'!$C$12)),"")</f>
        <v/>
      </c>
      <c r="B1944" s="54" t="str">
        <f>IFERROR(IF(INDEX(SPOT_Import!$A$1:$Z$2488,1944,'Live Data'!$C$13)="","",INDEX(SPOT_Import!$A$1:$Z$2488,1944,'Live Data'!$C$13)),"")</f>
        <v/>
      </c>
      <c r="C1944" s="54" t="str">
        <f>IFERROR(IF(INDEX(SPOT_Import!$A$1:$Z$2488,1944,'Live Data'!$C$14)="","",INDEX(SPOT_Import!$A$1:$Z$2488,1944,'Live Data'!$C$14)),"")</f>
        <v/>
      </c>
      <c r="D1944" s="54" t="str">
        <f>IFERROR(IF(INDEX(SPOT_Import!$A$1:$Z$2488,1944,'Live Data'!$C$15)="","",INDEX(SPOT_Import!$A$1:$Z$2488,1944,'Live Data'!$C$15)),"")</f>
        <v/>
      </c>
      <c r="E1944" s="54" t="str">
        <f>IFERROR(IF(INDEX(SPOT_Import!$A$1:$Z$2488,1944,'Live Data'!$C$16)="","",INDEX(SPOT_Import!$A$1:$Z$2488,1944,'Live Data'!$C$16)),"")</f>
        <v/>
      </c>
      <c r="F1944" s="54" t="str">
        <f>IFERROR(IF(INDEX(SPOT_Import!$A$1:$Z$2488,1944,'Live Data'!$C$17)="","",INDEX(SPOT_Import!$A$1:$Z$2488,1944,'Live Data'!$C$17)),"")</f>
        <v/>
      </c>
      <c r="G1944" s="54" t="str">
        <f>IFERROR(IF(INDEX(SPOT_Import!$A$1:$Z$2488,1944,'Live Data'!$C$18)="","",INDEX(SPOT_Import!$A$1:$Z$2488,1944,'Live Data'!$C$18)),"")</f>
        <v/>
      </c>
      <c r="H1944" s="54" t="str">
        <f>IFERROR(IF(INDEX(SPOT_Import!$A$1:$Z$2488,1944,'Live Data'!$C$19)="","",INDEX(SPOT_Import!$A$1:$Z$2488,1944,'Live Data'!$C$19)),"")</f>
        <v/>
      </c>
      <c r="I1944" s="54" t="str">
        <f>IFERROR(IF(INDEX(SPOT_Import!$A$1:$Z$2488,1944,'Live Data'!$C$20)="","",INDEX(SPOT_Import!$A$1:$Z$2488,1944,'Live Data'!$C$20)),"")</f>
        <v/>
      </c>
      <c r="J1944" s="54" t="str">
        <f>IFERROR(IF(INDEX(SPOT_Import!$A$1:$Z$2488,1944,'Live Data'!$C$21)="","",INDEX(SPOT_Import!$A$1:$Z$2488,1944,'Live Data'!$C$21)),"")</f>
        <v/>
      </c>
      <c r="K1944" s="54" t="str">
        <f>IFERROR(IF(INDEX(SPOT_Import!$A$1:$Z$2488,1944,'Live Data'!$C$22)="","",INDEX(SPOT_Import!$A$1:$Z$2488,1944,'Live Data'!$C$22)),"")</f>
        <v/>
      </c>
      <c r="L1944" s="55" t="str">
        <f t="shared" si="60"/>
        <v/>
      </c>
      <c r="M1944" s="55" t="str">
        <f t="shared" si="61"/>
        <v/>
      </c>
      <c r="N1944" s="55" t="str">
        <f>IF(A1944="","",IFERROR(INDEX('Cluster Map'!$A$4:$A$38,MATCH(M1944,'Cluster Map'!$B$4:$B$38,0)),"Unmapped"))</f>
        <v/>
      </c>
      <c r="O1944" s="55">
        <f>IF(A1944="",0,IF(COUNTIFS($A$2:A1944,A1944,$F$2:F1944,F1944,$L$2:L1944,L1944)=1,1,0))</f>
        <v>0</v>
      </c>
      <c r="P1944" s="55">
        <f>IF(A1944="",0,IF(AND(F1944="C&amp;T",COUNTIFS($A$2:A1944,A1944,$F$2:F1944,"C&amp;T")=1),1,0))</f>
        <v>0</v>
      </c>
    </row>
    <row r="1945" spans="1:16" x14ac:dyDescent="0.35">
      <c r="A1945" s="54" t="str">
        <f>IFERROR(IF(INDEX(SPOT_Import!$A$1:$Z$2488,1945,'Live Data'!$C$12)="","",INDEX(SPOT_Import!$A$1:$Z$2488,1945,'Live Data'!$C$12)),"")</f>
        <v/>
      </c>
      <c r="B1945" s="54" t="str">
        <f>IFERROR(IF(INDEX(SPOT_Import!$A$1:$Z$2488,1945,'Live Data'!$C$13)="","",INDEX(SPOT_Import!$A$1:$Z$2488,1945,'Live Data'!$C$13)),"")</f>
        <v/>
      </c>
      <c r="C1945" s="54" t="str">
        <f>IFERROR(IF(INDEX(SPOT_Import!$A$1:$Z$2488,1945,'Live Data'!$C$14)="","",INDEX(SPOT_Import!$A$1:$Z$2488,1945,'Live Data'!$C$14)),"")</f>
        <v/>
      </c>
      <c r="D1945" s="54" t="str">
        <f>IFERROR(IF(INDEX(SPOT_Import!$A$1:$Z$2488,1945,'Live Data'!$C$15)="","",INDEX(SPOT_Import!$A$1:$Z$2488,1945,'Live Data'!$C$15)),"")</f>
        <v/>
      </c>
      <c r="E1945" s="54" t="str">
        <f>IFERROR(IF(INDEX(SPOT_Import!$A$1:$Z$2488,1945,'Live Data'!$C$16)="","",INDEX(SPOT_Import!$A$1:$Z$2488,1945,'Live Data'!$C$16)),"")</f>
        <v/>
      </c>
      <c r="F1945" s="54" t="str">
        <f>IFERROR(IF(INDEX(SPOT_Import!$A$1:$Z$2488,1945,'Live Data'!$C$17)="","",INDEX(SPOT_Import!$A$1:$Z$2488,1945,'Live Data'!$C$17)),"")</f>
        <v/>
      </c>
      <c r="G1945" s="54" t="str">
        <f>IFERROR(IF(INDEX(SPOT_Import!$A$1:$Z$2488,1945,'Live Data'!$C$18)="","",INDEX(SPOT_Import!$A$1:$Z$2488,1945,'Live Data'!$C$18)),"")</f>
        <v/>
      </c>
      <c r="H1945" s="54" t="str">
        <f>IFERROR(IF(INDEX(SPOT_Import!$A$1:$Z$2488,1945,'Live Data'!$C$19)="","",INDEX(SPOT_Import!$A$1:$Z$2488,1945,'Live Data'!$C$19)),"")</f>
        <v/>
      </c>
      <c r="I1945" s="54" t="str">
        <f>IFERROR(IF(INDEX(SPOT_Import!$A$1:$Z$2488,1945,'Live Data'!$C$20)="","",INDEX(SPOT_Import!$A$1:$Z$2488,1945,'Live Data'!$C$20)),"")</f>
        <v/>
      </c>
      <c r="J1945" s="54" t="str">
        <f>IFERROR(IF(INDEX(SPOT_Import!$A$1:$Z$2488,1945,'Live Data'!$C$21)="","",INDEX(SPOT_Import!$A$1:$Z$2488,1945,'Live Data'!$C$21)),"")</f>
        <v/>
      </c>
      <c r="K1945" s="54" t="str">
        <f>IFERROR(IF(INDEX(SPOT_Import!$A$1:$Z$2488,1945,'Live Data'!$C$22)="","",INDEX(SPOT_Import!$A$1:$Z$2488,1945,'Live Data'!$C$22)),"")</f>
        <v/>
      </c>
      <c r="L1945" s="55" t="str">
        <f t="shared" si="60"/>
        <v/>
      </c>
      <c r="M1945" s="55" t="str">
        <f t="shared" si="61"/>
        <v/>
      </c>
      <c r="N1945" s="55" t="str">
        <f>IF(A1945="","",IFERROR(INDEX('Cluster Map'!$A$4:$A$38,MATCH(M1945,'Cluster Map'!$B$4:$B$38,0)),"Unmapped"))</f>
        <v/>
      </c>
      <c r="O1945" s="55">
        <f>IF(A1945="",0,IF(COUNTIFS($A$2:A1945,A1945,$F$2:F1945,F1945,$L$2:L1945,L1945)=1,1,0))</f>
        <v>0</v>
      </c>
      <c r="P1945" s="55">
        <f>IF(A1945="",0,IF(AND(F1945="C&amp;T",COUNTIFS($A$2:A1945,A1945,$F$2:F1945,"C&amp;T")=1),1,0))</f>
        <v>0</v>
      </c>
    </row>
    <row r="1946" spans="1:16" x14ac:dyDescent="0.35">
      <c r="A1946" s="54" t="str">
        <f>IFERROR(IF(INDEX(SPOT_Import!$A$1:$Z$2488,1946,'Live Data'!$C$12)="","",INDEX(SPOT_Import!$A$1:$Z$2488,1946,'Live Data'!$C$12)),"")</f>
        <v/>
      </c>
      <c r="B1946" s="54" t="str">
        <f>IFERROR(IF(INDEX(SPOT_Import!$A$1:$Z$2488,1946,'Live Data'!$C$13)="","",INDEX(SPOT_Import!$A$1:$Z$2488,1946,'Live Data'!$C$13)),"")</f>
        <v/>
      </c>
      <c r="C1946" s="54" t="str">
        <f>IFERROR(IF(INDEX(SPOT_Import!$A$1:$Z$2488,1946,'Live Data'!$C$14)="","",INDEX(SPOT_Import!$A$1:$Z$2488,1946,'Live Data'!$C$14)),"")</f>
        <v/>
      </c>
      <c r="D1946" s="54" t="str">
        <f>IFERROR(IF(INDEX(SPOT_Import!$A$1:$Z$2488,1946,'Live Data'!$C$15)="","",INDEX(SPOT_Import!$A$1:$Z$2488,1946,'Live Data'!$C$15)),"")</f>
        <v/>
      </c>
      <c r="E1946" s="54" t="str">
        <f>IFERROR(IF(INDEX(SPOT_Import!$A$1:$Z$2488,1946,'Live Data'!$C$16)="","",INDEX(SPOT_Import!$A$1:$Z$2488,1946,'Live Data'!$C$16)),"")</f>
        <v/>
      </c>
      <c r="F1946" s="54" t="str">
        <f>IFERROR(IF(INDEX(SPOT_Import!$A$1:$Z$2488,1946,'Live Data'!$C$17)="","",INDEX(SPOT_Import!$A$1:$Z$2488,1946,'Live Data'!$C$17)),"")</f>
        <v/>
      </c>
      <c r="G1946" s="54" t="str">
        <f>IFERROR(IF(INDEX(SPOT_Import!$A$1:$Z$2488,1946,'Live Data'!$C$18)="","",INDEX(SPOT_Import!$A$1:$Z$2488,1946,'Live Data'!$C$18)),"")</f>
        <v/>
      </c>
      <c r="H1946" s="54" t="str">
        <f>IFERROR(IF(INDEX(SPOT_Import!$A$1:$Z$2488,1946,'Live Data'!$C$19)="","",INDEX(SPOT_Import!$A$1:$Z$2488,1946,'Live Data'!$C$19)),"")</f>
        <v/>
      </c>
      <c r="I1946" s="54" t="str">
        <f>IFERROR(IF(INDEX(SPOT_Import!$A$1:$Z$2488,1946,'Live Data'!$C$20)="","",INDEX(SPOT_Import!$A$1:$Z$2488,1946,'Live Data'!$C$20)),"")</f>
        <v/>
      </c>
      <c r="J1946" s="54" t="str">
        <f>IFERROR(IF(INDEX(SPOT_Import!$A$1:$Z$2488,1946,'Live Data'!$C$21)="","",INDEX(SPOT_Import!$A$1:$Z$2488,1946,'Live Data'!$C$21)),"")</f>
        <v/>
      </c>
      <c r="K1946" s="54" t="str">
        <f>IFERROR(IF(INDEX(SPOT_Import!$A$1:$Z$2488,1946,'Live Data'!$C$22)="","",INDEX(SPOT_Import!$A$1:$Z$2488,1946,'Live Data'!$C$22)),"")</f>
        <v/>
      </c>
      <c r="L1946" s="55" t="str">
        <f t="shared" si="60"/>
        <v/>
      </c>
      <c r="M1946" s="55" t="str">
        <f t="shared" si="61"/>
        <v/>
      </c>
      <c r="N1946" s="55" t="str">
        <f>IF(A1946="","",IFERROR(INDEX('Cluster Map'!$A$4:$A$38,MATCH(M1946,'Cluster Map'!$B$4:$B$38,0)),"Unmapped"))</f>
        <v/>
      </c>
      <c r="O1946" s="55">
        <f>IF(A1946="",0,IF(COUNTIFS($A$2:A1946,A1946,$F$2:F1946,F1946,$L$2:L1946,L1946)=1,1,0))</f>
        <v>0</v>
      </c>
      <c r="P1946" s="55">
        <f>IF(A1946="",0,IF(AND(F1946="C&amp;T",COUNTIFS($A$2:A1946,A1946,$F$2:F1946,"C&amp;T")=1),1,0))</f>
        <v>0</v>
      </c>
    </row>
    <row r="1947" spans="1:16" x14ac:dyDescent="0.35">
      <c r="A1947" s="54" t="str">
        <f>IFERROR(IF(INDEX(SPOT_Import!$A$1:$Z$2488,1947,'Live Data'!$C$12)="","",INDEX(SPOT_Import!$A$1:$Z$2488,1947,'Live Data'!$C$12)),"")</f>
        <v/>
      </c>
      <c r="B1947" s="54" t="str">
        <f>IFERROR(IF(INDEX(SPOT_Import!$A$1:$Z$2488,1947,'Live Data'!$C$13)="","",INDEX(SPOT_Import!$A$1:$Z$2488,1947,'Live Data'!$C$13)),"")</f>
        <v/>
      </c>
      <c r="C1947" s="54" t="str">
        <f>IFERROR(IF(INDEX(SPOT_Import!$A$1:$Z$2488,1947,'Live Data'!$C$14)="","",INDEX(SPOT_Import!$A$1:$Z$2488,1947,'Live Data'!$C$14)),"")</f>
        <v/>
      </c>
      <c r="D1947" s="54" t="str">
        <f>IFERROR(IF(INDEX(SPOT_Import!$A$1:$Z$2488,1947,'Live Data'!$C$15)="","",INDEX(SPOT_Import!$A$1:$Z$2488,1947,'Live Data'!$C$15)),"")</f>
        <v/>
      </c>
      <c r="E1947" s="54" t="str">
        <f>IFERROR(IF(INDEX(SPOT_Import!$A$1:$Z$2488,1947,'Live Data'!$C$16)="","",INDEX(SPOT_Import!$A$1:$Z$2488,1947,'Live Data'!$C$16)),"")</f>
        <v/>
      </c>
      <c r="F1947" s="54" t="str">
        <f>IFERROR(IF(INDEX(SPOT_Import!$A$1:$Z$2488,1947,'Live Data'!$C$17)="","",INDEX(SPOT_Import!$A$1:$Z$2488,1947,'Live Data'!$C$17)),"")</f>
        <v/>
      </c>
      <c r="G1947" s="54" t="str">
        <f>IFERROR(IF(INDEX(SPOT_Import!$A$1:$Z$2488,1947,'Live Data'!$C$18)="","",INDEX(SPOT_Import!$A$1:$Z$2488,1947,'Live Data'!$C$18)),"")</f>
        <v/>
      </c>
      <c r="H1947" s="54" t="str">
        <f>IFERROR(IF(INDEX(SPOT_Import!$A$1:$Z$2488,1947,'Live Data'!$C$19)="","",INDEX(SPOT_Import!$A$1:$Z$2488,1947,'Live Data'!$C$19)),"")</f>
        <v/>
      </c>
      <c r="I1947" s="54" t="str">
        <f>IFERROR(IF(INDEX(SPOT_Import!$A$1:$Z$2488,1947,'Live Data'!$C$20)="","",INDEX(SPOT_Import!$A$1:$Z$2488,1947,'Live Data'!$C$20)),"")</f>
        <v/>
      </c>
      <c r="J1947" s="54" t="str">
        <f>IFERROR(IF(INDEX(SPOT_Import!$A$1:$Z$2488,1947,'Live Data'!$C$21)="","",INDEX(SPOT_Import!$A$1:$Z$2488,1947,'Live Data'!$C$21)),"")</f>
        <v/>
      </c>
      <c r="K1947" s="54" t="str">
        <f>IFERROR(IF(INDEX(SPOT_Import!$A$1:$Z$2488,1947,'Live Data'!$C$22)="","",INDEX(SPOT_Import!$A$1:$Z$2488,1947,'Live Data'!$C$22)),"")</f>
        <v/>
      </c>
      <c r="L1947" s="55" t="str">
        <f t="shared" si="60"/>
        <v/>
      </c>
      <c r="M1947" s="55" t="str">
        <f t="shared" si="61"/>
        <v/>
      </c>
      <c r="N1947" s="55" t="str">
        <f>IF(A1947="","",IFERROR(INDEX('Cluster Map'!$A$4:$A$38,MATCH(M1947,'Cluster Map'!$B$4:$B$38,0)),"Unmapped"))</f>
        <v/>
      </c>
      <c r="O1947" s="55">
        <f>IF(A1947="",0,IF(COUNTIFS($A$2:A1947,A1947,$F$2:F1947,F1947,$L$2:L1947,L1947)=1,1,0))</f>
        <v>0</v>
      </c>
      <c r="P1947" s="55">
        <f>IF(A1947="",0,IF(AND(F1947="C&amp;T",COUNTIFS($A$2:A1947,A1947,$F$2:F1947,"C&amp;T")=1),1,0))</f>
        <v>0</v>
      </c>
    </row>
    <row r="1948" spans="1:16" x14ac:dyDescent="0.35">
      <c r="A1948" s="54" t="str">
        <f>IFERROR(IF(INDEX(SPOT_Import!$A$1:$Z$2488,1948,'Live Data'!$C$12)="","",INDEX(SPOT_Import!$A$1:$Z$2488,1948,'Live Data'!$C$12)),"")</f>
        <v/>
      </c>
      <c r="B1948" s="54" t="str">
        <f>IFERROR(IF(INDEX(SPOT_Import!$A$1:$Z$2488,1948,'Live Data'!$C$13)="","",INDEX(SPOT_Import!$A$1:$Z$2488,1948,'Live Data'!$C$13)),"")</f>
        <v/>
      </c>
      <c r="C1948" s="54" t="str">
        <f>IFERROR(IF(INDEX(SPOT_Import!$A$1:$Z$2488,1948,'Live Data'!$C$14)="","",INDEX(SPOT_Import!$A$1:$Z$2488,1948,'Live Data'!$C$14)),"")</f>
        <v/>
      </c>
      <c r="D1948" s="54" t="str">
        <f>IFERROR(IF(INDEX(SPOT_Import!$A$1:$Z$2488,1948,'Live Data'!$C$15)="","",INDEX(SPOT_Import!$A$1:$Z$2488,1948,'Live Data'!$C$15)),"")</f>
        <v/>
      </c>
      <c r="E1948" s="54" t="str">
        <f>IFERROR(IF(INDEX(SPOT_Import!$A$1:$Z$2488,1948,'Live Data'!$C$16)="","",INDEX(SPOT_Import!$A$1:$Z$2488,1948,'Live Data'!$C$16)),"")</f>
        <v/>
      </c>
      <c r="F1948" s="54" t="str">
        <f>IFERROR(IF(INDEX(SPOT_Import!$A$1:$Z$2488,1948,'Live Data'!$C$17)="","",INDEX(SPOT_Import!$A$1:$Z$2488,1948,'Live Data'!$C$17)),"")</f>
        <v/>
      </c>
      <c r="G1948" s="54" t="str">
        <f>IFERROR(IF(INDEX(SPOT_Import!$A$1:$Z$2488,1948,'Live Data'!$C$18)="","",INDEX(SPOT_Import!$A$1:$Z$2488,1948,'Live Data'!$C$18)),"")</f>
        <v/>
      </c>
      <c r="H1948" s="54" t="str">
        <f>IFERROR(IF(INDEX(SPOT_Import!$A$1:$Z$2488,1948,'Live Data'!$C$19)="","",INDEX(SPOT_Import!$A$1:$Z$2488,1948,'Live Data'!$C$19)),"")</f>
        <v/>
      </c>
      <c r="I1948" s="54" t="str">
        <f>IFERROR(IF(INDEX(SPOT_Import!$A$1:$Z$2488,1948,'Live Data'!$C$20)="","",INDEX(SPOT_Import!$A$1:$Z$2488,1948,'Live Data'!$C$20)),"")</f>
        <v/>
      </c>
      <c r="J1948" s="54" t="str">
        <f>IFERROR(IF(INDEX(SPOT_Import!$A$1:$Z$2488,1948,'Live Data'!$C$21)="","",INDEX(SPOT_Import!$A$1:$Z$2488,1948,'Live Data'!$C$21)),"")</f>
        <v/>
      </c>
      <c r="K1948" s="54" t="str">
        <f>IFERROR(IF(INDEX(SPOT_Import!$A$1:$Z$2488,1948,'Live Data'!$C$22)="","",INDEX(SPOT_Import!$A$1:$Z$2488,1948,'Live Data'!$C$22)),"")</f>
        <v/>
      </c>
      <c r="L1948" s="55" t="str">
        <f t="shared" si="60"/>
        <v/>
      </c>
      <c r="M1948" s="55" t="str">
        <f t="shared" si="61"/>
        <v/>
      </c>
      <c r="N1948" s="55" t="str">
        <f>IF(A1948="","",IFERROR(INDEX('Cluster Map'!$A$4:$A$38,MATCH(M1948,'Cluster Map'!$B$4:$B$38,0)),"Unmapped"))</f>
        <v/>
      </c>
      <c r="O1948" s="55">
        <f>IF(A1948="",0,IF(COUNTIFS($A$2:A1948,A1948,$F$2:F1948,F1948,$L$2:L1948,L1948)=1,1,0))</f>
        <v>0</v>
      </c>
      <c r="P1948" s="55">
        <f>IF(A1948="",0,IF(AND(F1948="C&amp;T",COUNTIFS($A$2:A1948,A1948,$F$2:F1948,"C&amp;T")=1),1,0))</f>
        <v>0</v>
      </c>
    </row>
    <row r="1949" spans="1:16" x14ac:dyDescent="0.35">
      <c r="A1949" s="54" t="str">
        <f>IFERROR(IF(INDEX(SPOT_Import!$A$1:$Z$2488,1949,'Live Data'!$C$12)="","",INDEX(SPOT_Import!$A$1:$Z$2488,1949,'Live Data'!$C$12)),"")</f>
        <v/>
      </c>
      <c r="B1949" s="54" t="str">
        <f>IFERROR(IF(INDEX(SPOT_Import!$A$1:$Z$2488,1949,'Live Data'!$C$13)="","",INDEX(SPOT_Import!$A$1:$Z$2488,1949,'Live Data'!$C$13)),"")</f>
        <v/>
      </c>
      <c r="C1949" s="54" t="str">
        <f>IFERROR(IF(INDEX(SPOT_Import!$A$1:$Z$2488,1949,'Live Data'!$C$14)="","",INDEX(SPOT_Import!$A$1:$Z$2488,1949,'Live Data'!$C$14)),"")</f>
        <v/>
      </c>
      <c r="D1949" s="54" t="str">
        <f>IFERROR(IF(INDEX(SPOT_Import!$A$1:$Z$2488,1949,'Live Data'!$C$15)="","",INDEX(SPOT_Import!$A$1:$Z$2488,1949,'Live Data'!$C$15)),"")</f>
        <v/>
      </c>
      <c r="E1949" s="54" t="str">
        <f>IFERROR(IF(INDEX(SPOT_Import!$A$1:$Z$2488,1949,'Live Data'!$C$16)="","",INDEX(SPOT_Import!$A$1:$Z$2488,1949,'Live Data'!$C$16)),"")</f>
        <v/>
      </c>
      <c r="F1949" s="54" t="str">
        <f>IFERROR(IF(INDEX(SPOT_Import!$A$1:$Z$2488,1949,'Live Data'!$C$17)="","",INDEX(SPOT_Import!$A$1:$Z$2488,1949,'Live Data'!$C$17)),"")</f>
        <v/>
      </c>
      <c r="G1949" s="54" t="str">
        <f>IFERROR(IF(INDEX(SPOT_Import!$A$1:$Z$2488,1949,'Live Data'!$C$18)="","",INDEX(SPOT_Import!$A$1:$Z$2488,1949,'Live Data'!$C$18)),"")</f>
        <v/>
      </c>
      <c r="H1949" s="54" t="str">
        <f>IFERROR(IF(INDEX(SPOT_Import!$A$1:$Z$2488,1949,'Live Data'!$C$19)="","",INDEX(SPOT_Import!$A$1:$Z$2488,1949,'Live Data'!$C$19)),"")</f>
        <v/>
      </c>
      <c r="I1949" s="54" t="str">
        <f>IFERROR(IF(INDEX(SPOT_Import!$A$1:$Z$2488,1949,'Live Data'!$C$20)="","",INDEX(SPOT_Import!$A$1:$Z$2488,1949,'Live Data'!$C$20)),"")</f>
        <v/>
      </c>
      <c r="J1949" s="54" t="str">
        <f>IFERROR(IF(INDEX(SPOT_Import!$A$1:$Z$2488,1949,'Live Data'!$C$21)="","",INDEX(SPOT_Import!$A$1:$Z$2488,1949,'Live Data'!$C$21)),"")</f>
        <v/>
      </c>
      <c r="K1949" s="54" t="str">
        <f>IFERROR(IF(INDEX(SPOT_Import!$A$1:$Z$2488,1949,'Live Data'!$C$22)="","",INDEX(SPOT_Import!$A$1:$Z$2488,1949,'Live Data'!$C$22)),"")</f>
        <v/>
      </c>
      <c r="L1949" s="55" t="str">
        <f t="shared" si="60"/>
        <v/>
      </c>
      <c r="M1949" s="55" t="str">
        <f t="shared" si="61"/>
        <v/>
      </c>
      <c r="N1949" s="55" t="str">
        <f>IF(A1949="","",IFERROR(INDEX('Cluster Map'!$A$4:$A$38,MATCH(M1949,'Cluster Map'!$B$4:$B$38,0)),"Unmapped"))</f>
        <v/>
      </c>
      <c r="O1949" s="55">
        <f>IF(A1949="",0,IF(COUNTIFS($A$2:A1949,A1949,$F$2:F1949,F1949,$L$2:L1949,L1949)=1,1,0))</f>
        <v>0</v>
      </c>
      <c r="P1949" s="55">
        <f>IF(A1949="",0,IF(AND(F1949="C&amp;T",COUNTIFS($A$2:A1949,A1949,$F$2:F1949,"C&amp;T")=1),1,0))</f>
        <v>0</v>
      </c>
    </row>
    <row r="1950" spans="1:16" x14ac:dyDescent="0.35">
      <c r="A1950" s="54" t="str">
        <f>IFERROR(IF(INDEX(SPOT_Import!$A$1:$Z$2488,1950,'Live Data'!$C$12)="","",INDEX(SPOT_Import!$A$1:$Z$2488,1950,'Live Data'!$C$12)),"")</f>
        <v/>
      </c>
      <c r="B1950" s="54" t="str">
        <f>IFERROR(IF(INDEX(SPOT_Import!$A$1:$Z$2488,1950,'Live Data'!$C$13)="","",INDEX(SPOT_Import!$A$1:$Z$2488,1950,'Live Data'!$C$13)),"")</f>
        <v/>
      </c>
      <c r="C1950" s="54" t="str">
        <f>IFERROR(IF(INDEX(SPOT_Import!$A$1:$Z$2488,1950,'Live Data'!$C$14)="","",INDEX(SPOT_Import!$A$1:$Z$2488,1950,'Live Data'!$C$14)),"")</f>
        <v/>
      </c>
      <c r="D1950" s="54" t="str">
        <f>IFERROR(IF(INDEX(SPOT_Import!$A$1:$Z$2488,1950,'Live Data'!$C$15)="","",INDEX(SPOT_Import!$A$1:$Z$2488,1950,'Live Data'!$C$15)),"")</f>
        <v/>
      </c>
      <c r="E1950" s="54" t="str">
        <f>IFERROR(IF(INDEX(SPOT_Import!$A$1:$Z$2488,1950,'Live Data'!$C$16)="","",INDEX(SPOT_Import!$A$1:$Z$2488,1950,'Live Data'!$C$16)),"")</f>
        <v/>
      </c>
      <c r="F1950" s="54" t="str">
        <f>IFERROR(IF(INDEX(SPOT_Import!$A$1:$Z$2488,1950,'Live Data'!$C$17)="","",INDEX(SPOT_Import!$A$1:$Z$2488,1950,'Live Data'!$C$17)),"")</f>
        <v/>
      </c>
      <c r="G1950" s="54" t="str">
        <f>IFERROR(IF(INDEX(SPOT_Import!$A$1:$Z$2488,1950,'Live Data'!$C$18)="","",INDEX(SPOT_Import!$A$1:$Z$2488,1950,'Live Data'!$C$18)),"")</f>
        <v/>
      </c>
      <c r="H1950" s="54" t="str">
        <f>IFERROR(IF(INDEX(SPOT_Import!$A$1:$Z$2488,1950,'Live Data'!$C$19)="","",INDEX(SPOT_Import!$A$1:$Z$2488,1950,'Live Data'!$C$19)),"")</f>
        <v/>
      </c>
      <c r="I1950" s="54" t="str">
        <f>IFERROR(IF(INDEX(SPOT_Import!$A$1:$Z$2488,1950,'Live Data'!$C$20)="","",INDEX(SPOT_Import!$A$1:$Z$2488,1950,'Live Data'!$C$20)),"")</f>
        <v/>
      </c>
      <c r="J1950" s="54" t="str">
        <f>IFERROR(IF(INDEX(SPOT_Import!$A$1:$Z$2488,1950,'Live Data'!$C$21)="","",INDEX(SPOT_Import!$A$1:$Z$2488,1950,'Live Data'!$C$21)),"")</f>
        <v/>
      </c>
      <c r="K1950" s="54" t="str">
        <f>IFERROR(IF(INDEX(SPOT_Import!$A$1:$Z$2488,1950,'Live Data'!$C$22)="","",INDEX(SPOT_Import!$A$1:$Z$2488,1950,'Live Data'!$C$22)),"")</f>
        <v/>
      </c>
      <c r="L1950" s="55" t="str">
        <f t="shared" si="60"/>
        <v/>
      </c>
      <c r="M1950" s="55" t="str">
        <f t="shared" si="61"/>
        <v/>
      </c>
      <c r="N1950" s="55" t="str">
        <f>IF(A1950="","",IFERROR(INDEX('Cluster Map'!$A$4:$A$38,MATCH(M1950,'Cluster Map'!$B$4:$B$38,0)),"Unmapped"))</f>
        <v/>
      </c>
      <c r="O1950" s="55">
        <f>IF(A1950="",0,IF(COUNTIFS($A$2:A1950,A1950,$F$2:F1950,F1950,$L$2:L1950,L1950)=1,1,0))</f>
        <v>0</v>
      </c>
      <c r="P1950" s="55">
        <f>IF(A1950="",0,IF(AND(F1950="C&amp;T",COUNTIFS($A$2:A1950,A1950,$F$2:F1950,"C&amp;T")=1),1,0))</f>
        <v>0</v>
      </c>
    </row>
    <row r="1951" spans="1:16" x14ac:dyDescent="0.35">
      <c r="A1951" s="54" t="str">
        <f>IFERROR(IF(INDEX(SPOT_Import!$A$1:$Z$2488,1951,'Live Data'!$C$12)="","",INDEX(SPOT_Import!$A$1:$Z$2488,1951,'Live Data'!$C$12)),"")</f>
        <v/>
      </c>
      <c r="B1951" s="54" t="str">
        <f>IFERROR(IF(INDEX(SPOT_Import!$A$1:$Z$2488,1951,'Live Data'!$C$13)="","",INDEX(SPOT_Import!$A$1:$Z$2488,1951,'Live Data'!$C$13)),"")</f>
        <v/>
      </c>
      <c r="C1951" s="54" t="str">
        <f>IFERROR(IF(INDEX(SPOT_Import!$A$1:$Z$2488,1951,'Live Data'!$C$14)="","",INDEX(SPOT_Import!$A$1:$Z$2488,1951,'Live Data'!$C$14)),"")</f>
        <v/>
      </c>
      <c r="D1951" s="54" t="str">
        <f>IFERROR(IF(INDEX(SPOT_Import!$A$1:$Z$2488,1951,'Live Data'!$C$15)="","",INDEX(SPOT_Import!$A$1:$Z$2488,1951,'Live Data'!$C$15)),"")</f>
        <v/>
      </c>
      <c r="E1951" s="54" t="str">
        <f>IFERROR(IF(INDEX(SPOT_Import!$A$1:$Z$2488,1951,'Live Data'!$C$16)="","",INDEX(SPOT_Import!$A$1:$Z$2488,1951,'Live Data'!$C$16)),"")</f>
        <v/>
      </c>
      <c r="F1951" s="54" t="str">
        <f>IFERROR(IF(INDEX(SPOT_Import!$A$1:$Z$2488,1951,'Live Data'!$C$17)="","",INDEX(SPOT_Import!$A$1:$Z$2488,1951,'Live Data'!$C$17)),"")</f>
        <v/>
      </c>
      <c r="G1951" s="54" t="str">
        <f>IFERROR(IF(INDEX(SPOT_Import!$A$1:$Z$2488,1951,'Live Data'!$C$18)="","",INDEX(SPOT_Import!$A$1:$Z$2488,1951,'Live Data'!$C$18)),"")</f>
        <v/>
      </c>
      <c r="H1951" s="54" t="str">
        <f>IFERROR(IF(INDEX(SPOT_Import!$A$1:$Z$2488,1951,'Live Data'!$C$19)="","",INDEX(SPOT_Import!$A$1:$Z$2488,1951,'Live Data'!$C$19)),"")</f>
        <v/>
      </c>
      <c r="I1951" s="54" t="str">
        <f>IFERROR(IF(INDEX(SPOT_Import!$A$1:$Z$2488,1951,'Live Data'!$C$20)="","",INDEX(SPOT_Import!$A$1:$Z$2488,1951,'Live Data'!$C$20)),"")</f>
        <v/>
      </c>
      <c r="J1951" s="54" t="str">
        <f>IFERROR(IF(INDEX(SPOT_Import!$A$1:$Z$2488,1951,'Live Data'!$C$21)="","",INDEX(SPOT_Import!$A$1:$Z$2488,1951,'Live Data'!$C$21)),"")</f>
        <v/>
      </c>
      <c r="K1951" s="54" t="str">
        <f>IFERROR(IF(INDEX(SPOT_Import!$A$1:$Z$2488,1951,'Live Data'!$C$22)="","",INDEX(SPOT_Import!$A$1:$Z$2488,1951,'Live Data'!$C$22)),"")</f>
        <v/>
      </c>
      <c r="L1951" s="55" t="str">
        <f t="shared" si="60"/>
        <v/>
      </c>
      <c r="M1951" s="55" t="str">
        <f t="shared" si="61"/>
        <v/>
      </c>
      <c r="N1951" s="55" t="str">
        <f>IF(A1951="","",IFERROR(INDEX('Cluster Map'!$A$4:$A$38,MATCH(M1951,'Cluster Map'!$B$4:$B$38,0)),"Unmapped"))</f>
        <v/>
      </c>
      <c r="O1951" s="55">
        <f>IF(A1951="",0,IF(COUNTIFS($A$2:A1951,A1951,$F$2:F1951,F1951,$L$2:L1951,L1951)=1,1,0))</f>
        <v>0</v>
      </c>
      <c r="P1951" s="55">
        <f>IF(A1951="",0,IF(AND(F1951="C&amp;T",COUNTIFS($A$2:A1951,A1951,$F$2:F1951,"C&amp;T")=1),1,0))</f>
        <v>0</v>
      </c>
    </row>
    <row r="1952" spans="1:16" x14ac:dyDescent="0.35">
      <c r="A1952" s="54" t="str">
        <f>IFERROR(IF(INDEX(SPOT_Import!$A$1:$Z$2488,1952,'Live Data'!$C$12)="","",INDEX(SPOT_Import!$A$1:$Z$2488,1952,'Live Data'!$C$12)),"")</f>
        <v/>
      </c>
      <c r="B1952" s="54" t="str">
        <f>IFERROR(IF(INDEX(SPOT_Import!$A$1:$Z$2488,1952,'Live Data'!$C$13)="","",INDEX(SPOT_Import!$A$1:$Z$2488,1952,'Live Data'!$C$13)),"")</f>
        <v/>
      </c>
      <c r="C1952" s="54" t="str">
        <f>IFERROR(IF(INDEX(SPOT_Import!$A$1:$Z$2488,1952,'Live Data'!$C$14)="","",INDEX(SPOT_Import!$A$1:$Z$2488,1952,'Live Data'!$C$14)),"")</f>
        <v/>
      </c>
      <c r="D1952" s="54" t="str">
        <f>IFERROR(IF(INDEX(SPOT_Import!$A$1:$Z$2488,1952,'Live Data'!$C$15)="","",INDEX(SPOT_Import!$A$1:$Z$2488,1952,'Live Data'!$C$15)),"")</f>
        <v/>
      </c>
      <c r="E1952" s="54" t="str">
        <f>IFERROR(IF(INDEX(SPOT_Import!$A$1:$Z$2488,1952,'Live Data'!$C$16)="","",INDEX(SPOT_Import!$A$1:$Z$2488,1952,'Live Data'!$C$16)),"")</f>
        <v/>
      </c>
      <c r="F1952" s="54" t="str">
        <f>IFERROR(IF(INDEX(SPOT_Import!$A$1:$Z$2488,1952,'Live Data'!$C$17)="","",INDEX(SPOT_Import!$A$1:$Z$2488,1952,'Live Data'!$C$17)),"")</f>
        <v/>
      </c>
      <c r="G1952" s="54" t="str">
        <f>IFERROR(IF(INDEX(SPOT_Import!$A$1:$Z$2488,1952,'Live Data'!$C$18)="","",INDEX(SPOT_Import!$A$1:$Z$2488,1952,'Live Data'!$C$18)),"")</f>
        <v/>
      </c>
      <c r="H1952" s="54" t="str">
        <f>IFERROR(IF(INDEX(SPOT_Import!$A$1:$Z$2488,1952,'Live Data'!$C$19)="","",INDEX(SPOT_Import!$A$1:$Z$2488,1952,'Live Data'!$C$19)),"")</f>
        <v/>
      </c>
      <c r="I1952" s="54" t="str">
        <f>IFERROR(IF(INDEX(SPOT_Import!$A$1:$Z$2488,1952,'Live Data'!$C$20)="","",INDEX(SPOT_Import!$A$1:$Z$2488,1952,'Live Data'!$C$20)),"")</f>
        <v/>
      </c>
      <c r="J1952" s="54" t="str">
        <f>IFERROR(IF(INDEX(SPOT_Import!$A$1:$Z$2488,1952,'Live Data'!$C$21)="","",INDEX(SPOT_Import!$A$1:$Z$2488,1952,'Live Data'!$C$21)),"")</f>
        <v/>
      </c>
      <c r="K1952" s="54" t="str">
        <f>IFERROR(IF(INDEX(SPOT_Import!$A$1:$Z$2488,1952,'Live Data'!$C$22)="","",INDEX(SPOT_Import!$A$1:$Z$2488,1952,'Live Data'!$C$22)),"")</f>
        <v/>
      </c>
      <c r="L1952" s="55" t="str">
        <f t="shared" si="60"/>
        <v/>
      </c>
      <c r="M1952" s="55" t="str">
        <f t="shared" si="61"/>
        <v/>
      </c>
      <c r="N1952" s="55" t="str">
        <f>IF(A1952="","",IFERROR(INDEX('Cluster Map'!$A$4:$A$38,MATCH(M1952,'Cluster Map'!$B$4:$B$38,0)),"Unmapped"))</f>
        <v/>
      </c>
      <c r="O1952" s="55">
        <f>IF(A1952="",0,IF(COUNTIFS($A$2:A1952,A1952,$F$2:F1952,F1952,$L$2:L1952,L1952)=1,1,0))</f>
        <v>0</v>
      </c>
      <c r="P1952" s="55">
        <f>IF(A1952="",0,IF(AND(F1952="C&amp;T",COUNTIFS($A$2:A1952,A1952,$F$2:F1952,"C&amp;T")=1),1,0))</f>
        <v>0</v>
      </c>
    </row>
    <row r="1953" spans="1:16" x14ac:dyDescent="0.35">
      <c r="A1953" s="54" t="str">
        <f>IFERROR(IF(INDEX(SPOT_Import!$A$1:$Z$2488,1953,'Live Data'!$C$12)="","",INDEX(SPOT_Import!$A$1:$Z$2488,1953,'Live Data'!$C$12)),"")</f>
        <v/>
      </c>
      <c r="B1953" s="54" t="str">
        <f>IFERROR(IF(INDEX(SPOT_Import!$A$1:$Z$2488,1953,'Live Data'!$C$13)="","",INDEX(SPOT_Import!$A$1:$Z$2488,1953,'Live Data'!$C$13)),"")</f>
        <v/>
      </c>
      <c r="C1953" s="54" t="str">
        <f>IFERROR(IF(INDEX(SPOT_Import!$A$1:$Z$2488,1953,'Live Data'!$C$14)="","",INDEX(SPOT_Import!$A$1:$Z$2488,1953,'Live Data'!$C$14)),"")</f>
        <v/>
      </c>
      <c r="D1953" s="54" t="str">
        <f>IFERROR(IF(INDEX(SPOT_Import!$A$1:$Z$2488,1953,'Live Data'!$C$15)="","",INDEX(SPOT_Import!$A$1:$Z$2488,1953,'Live Data'!$C$15)),"")</f>
        <v/>
      </c>
      <c r="E1953" s="54" t="str">
        <f>IFERROR(IF(INDEX(SPOT_Import!$A$1:$Z$2488,1953,'Live Data'!$C$16)="","",INDEX(SPOT_Import!$A$1:$Z$2488,1953,'Live Data'!$C$16)),"")</f>
        <v/>
      </c>
      <c r="F1953" s="54" t="str">
        <f>IFERROR(IF(INDEX(SPOT_Import!$A$1:$Z$2488,1953,'Live Data'!$C$17)="","",INDEX(SPOT_Import!$A$1:$Z$2488,1953,'Live Data'!$C$17)),"")</f>
        <v/>
      </c>
      <c r="G1953" s="54" t="str">
        <f>IFERROR(IF(INDEX(SPOT_Import!$A$1:$Z$2488,1953,'Live Data'!$C$18)="","",INDEX(SPOT_Import!$A$1:$Z$2488,1953,'Live Data'!$C$18)),"")</f>
        <v/>
      </c>
      <c r="H1953" s="54" t="str">
        <f>IFERROR(IF(INDEX(SPOT_Import!$A$1:$Z$2488,1953,'Live Data'!$C$19)="","",INDEX(SPOT_Import!$A$1:$Z$2488,1953,'Live Data'!$C$19)),"")</f>
        <v/>
      </c>
      <c r="I1953" s="54" t="str">
        <f>IFERROR(IF(INDEX(SPOT_Import!$A$1:$Z$2488,1953,'Live Data'!$C$20)="","",INDEX(SPOT_Import!$A$1:$Z$2488,1953,'Live Data'!$C$20)),"")</f>
        <v/>
      </c>
      <c r="J1953" s="54" t="str">
        <f>IFERROR(IF(INDEX(SPOT_Import!$A$1:$Z$2488,1953,'Live Data'!$C$21)="","",INDEX(SPOT_Import!$A$1:$Z$2488,1953,'Live Data'!$C$21)),"")</f>
        <v/>
      </c>
      <c r="K1953" s="54" t="str">
        <f>IFERROR(IF(INDEX(SPOT_Import!$A$1:$Z$2488,1953,'Live Data'!$C$22)="","",INDEX(SPOT_Import!$A$1:$Z$2488,1953,'Live Data'!$C$22)),"")</f>
        <v/>
      </c>
      <c r="L1953" s="55" t="str">
        <f t="shared" si="60"/>
        <v/>
      </c>
      <c r="M1953" s="55" t="str">
        <f t="shared" si="61"/>
        <v/>
      </c>
      <c r="N1953" s="55" t="str">
        <f>IF(A1953="","",IFERROR(INDEX('Cluster Map'!$A$4:$A$38,MATCH(M1953,'Cluster Map'!$B$4:$B$38,0)),"Unmapped"))</f>
        <v/>
      </c>
      <c r="O1953" s="55">
        <f>IF(A1953="",0,IF(COUNTIFS($A$2:A1953,A1953,$F$2:F1953,F1953,$L$2:L1953,L1953)=1,1,0))</f>
        <v>0</v>
      </c>
      <c r="P1953" s="55">
        <f>IF(A1953="",0,IF(AND(F1953="C&amp;T",COUNTIFS($A$2:A1953,A1953,$F$2:F1953,"C&amp;T")=1),1,0))</f>
        <v>0</v>
      </c>
    </row>
    <row r="1954" spans="1:16" x14ac:dyDescent="0.35">
      <c r="A1954" s="54" t="str">
        <f>IFERROR(IF(INDEX(SPOT_Import!$A$1:$Z$2488,1954,'Live Data'!$C$12)="","",INDEX(SPOT_Import!$A$1:$Z$2488,1954,'Live Data'!$C$12)),"")</f>
        <v/>
      </c>
      <c r="B1954" s="54" t="str">
        <f>IFERROR(IF(INDEX(SPOT_Import!$A$1:$Z$2488,1954,'Live Data'!$C$13)="","",INDEX(SPOT_Import!$A$1:$Z$2488,1954,'Live Data'!$C$13)),"")</f>
        <v/>
      </c>
      <c r="C1954" s="54" t="str">
        <f>IFERROR(IF(INDEX(SPOT_Import!$A$1:$Z$2488,1954,'Live Data'!$C$14)="","",INDEX(SPOT_Import!$A$1:$Z$2488,1954,'Live Data'!$C$14)),"")</f>
        <v/>
      </c>
      <c r="D1954" s="54" t="str">
        <f>IFERROR(IF(INDEX(SPOT_Import!$A$1:$Z$2488,1954,'Live Data'!$C$15)="","",INDEX(SPOT_Import!$A$1:$Z$2488,1954,'Live Data'!$C$15)),"")</f>
        <v/>
      </c>
      <c r="E1954" s="54" t="str">
        <f>IFERROR(IF(INDEX(SPOT_Import!$A$1:$Z$2488,1954,'Live Data'!$C$16)="","",INDEX(SPOT_Import!$A$1:$Z$2488,1954,'Live Data'!$C$16)),"")</f>
        <v/>
      </c>
      <c r="F1954" s="54" t="str">
        <f>IFERROR(IF(INDEX(SPOT_Import!$A$1:$Z$2488,1954,'Live Data'!$C$17)="","",INDEX(SPOT_Import!$A$1:$Z$2488,1954,'Live Data'!$C$17)),"")</f>
        <v/>
      </c>
      <c r="G1954" s="54" t="str">
        <f>IFERROR(IF(INDEX(SPOT_Import!$A$1:$Z$2488,1954,'Live Data'!$C$18)="","",INDEX(SPOT_Import!$A$1:$Z$2488,1954,'Live Data'!$C$18)),"")</f>
        <v/>
      </c>
      <c r="H1954" s="54" t="str">
        <f>IFERROR(IF(INDEX(SPOT_Import!$A$1:$Z$2488,1954,'Live Data'!$C$19)="","",INDEX(SPOT_Import!$A$1:$Z$2488,1954,'Live Data'!$C$19)),"")</f>
        <v/>
      </c>
      <c r="I1954" s="54" t="str">
        <f>IFERROR(IF(INDEX(SPOT_Import!$A$1:$Z$2488,1954,'Live Data'!$C$20)="","",INDEX(SPOT_Import!$A$1:$Z$2488,1954,'Live Data'!$C$20)),"")</f>
        <v/>
      </c>
      <c r="J1954" s="54" t="str">
        <f>IFERROR(IF(INDEX(SPOT_Import!$A$1:$Z$2488,1954,'Live Data'!$C$21)="","",INDEX(SPOT_Import!$A$1:$Z$2488,1954,'Live Data'!$C$21)),"")</f>
        <v/>
      </c>
      <c r="K1954" s="54" t="str">
        <f>IFERROR(IF(INDEX(SPOT_Import!$A$1:$Z$2488,1954,'Live Data'!$C$22)="","",INDEX(SPOT_Import!$A$1:$Z$2488,1954,'Live Data'!$C$22)),"")</f>
        <v/>
      </c>
      <c r="L1954" s="55" t="str">
        <f t="shared" si="60"/>
        <v/>
      </c>
      <c r="M1954" s="55" t="str">
        <f t="shared" si="61"/>
        <v/>
      </c>
      <c r="N1954" s="55" t="str">
        <f>IF(A1954="","",IFERROR(INDEX('Cluster Map'!$A$4:$A$38,MATCH(M1954,'Cluster Map'!$B$4:$B$38,0)),"Unmapped"))</f>
        <v/>
      </c>
      <c r="O1954" s="55">
        <f>IF(A1954="",0,IF(COUNTIFS($A$2:A1954,A1954,$F$2:F1954,F1954,$L$2:L1954,L1954)=1,1,0))</f>
        <v>0</v>
      </c>
      <c r="P1954" s="55">
        <f>IF(A1954="",0,IF(AND(F1954="C&amp;T",COUNTIFS($A$2:A1954,A1954,$F$2:F1954,"C&amp;T")=1),1,0))</f>
        <v>0</v>
      </c>
    </row>
    <row r="1955" spans="1:16" x14ac:dyDescent="0.35">
      <c r="A1955" s="54" t="str">
        <f>IFERROR(IF(INDEX(SPOT_Import!$A$1:$Z$2488,1955,'Live Data'!$C$12)="","",INDEX(SPOT_Import!$A$1:$Z$2488,1955,'Live Data'!$C$12)),"")</f>
        <v/>
      </c>
      <c r="B1955" s="54" t="str">
        <f>IFERROR(IF(INDEX(SPOT_Import!$A$1:$Z$2488,1955,'Live Data'!$C$13)="","",INDEX(SPOT_Import!$A$1:$Z$2488,1955,'Live Data'!$C$13)),"")</f>
        <v/>
      </c>
      <c r="C1955" s="54" t="str">
        <f>IFERROR(IF(INDEX(SPOT_Import!$A$1:$Z$2488,1955,'Live Data'!$C$14)="","",INDEX(SPOT_Import!$A$1:$Z$2488,1955,'Live Data'!$C$14)),"")</f>
        <v/>
      </c>
      <c r="D1955" s="54" t="str">
        <f>IFERROR(IF(INDEX(SPOT_Import!$A$1:$Z$2488,1955,'Live Data'!$C$15)="","",INDEX(SPOT_Import!$A$1:$Z$2488,1955,'Live Data'!$C$15)),"")</f>
        <v/>
      </c>
      <c r="E1955" s="54" t="str">
        <f>IFERROR(IF(INDEX(SPOT_Import!$A$1:$Z$2488,1955,'Live Data'!$C$16)="","",INDEX(SPOT_Import!$A$1:$Z$2488,1955,'Live Data'!$C$16)),"")</f>
        <v/>
      </c>
      <c r="F1955" s="54" t="str">
        <f>IFERROR(IF(INDEX(SPOT_Import!$A$1:$Z$2488,1955,'Live Data'!$C$17)="","",INDEX(SPOT_Import!$A$1:$Z$2488,1955,'Live Data'!$C$17)),"")</f>
        <v/>
      </c>
      <c r="G1955" s="54" t="str">
        <f>IFERROR(IF(INDEX(SPOT_Import!$A$1:$Z$2488,1955,'Live Data'!$C$18)="","",INDEX(SPOT_Import!$A$1:$Z$2488,1955,'Live Data'!$C$18)),"")</f>
        <v/>
      </c>
      <c r="H1955" s="54" t="str">
        <f>IFERROR(IF(INDEX(SPOT_Import!$A$1:$Z$2488,1955,'Live Data'!$C$19)="","",INDEX(SPOT_Import!$A$1:$Z$2488,1955,'Live Data'!$C$19)),"")</f>
        <v/>
      </c>
      <c r="I1955" s="54" t="str">
        <f>IFERROR(IF(INDEX(SPOT_Import!$A$1:$Z$2488,1955,'Live Data'!$C$20)="","",INDEX(SPOT_Import!$A$1:$Z$2488,1955,'Live Data'!$C$20)),"")</f>
        <v/>
      </c>
      <c r="J1955" s="54" t="str">
        <f>IFERROR(IF(INDEX(SPOT_Import!$A$1:$Z$2488,1955,'Live Data'!$C$21)="","",INDEX(SPOT_Import!$A$1:$Z$2488,1955,'Live Data'!$C$21)),"")</f>
        <v/>
      </c>
      <c r="K1955" s="54" t="str">
        <f>IFERROR(IF(INDEX(SPOT_Import!$A$1:$Z$2488,1955,'Live Data'!$C$22)="","",INDEX(SPOT_Import!$A$1:$Z$2488,1955,'Live Data'!$C$22)),"")</f>
        <v/>
      </c>
      <c r="L1955" s="55" t="str">
        <f t="shared" si="60"/>
        <v/>
      </c>
      <c r="M1955" s="55" t="str">
        <f t="shared" si="61"/>
        <v/>
      </c>
      <c r="N1955" s="55" t="str">
        <f>IF(A1955="","",IFERROR(INDEX('Cluster Map'!$A$4:$A$38,MATCH(M1955,'Cluster Map'!$B$4:$B$38,0)),"Unmapped"))</f>
        <v/>
      </c>
      <c r="O1955" s="55">
        <f>IF(A1955="",0,IF(COUNTIFS($A$2:A1955,A1955,$F$2:F1955,F1955,$L$2:L1955,L1955)=1,1,0))</f>
        <v>0</v>
      </c>
      <c r="P1955" s="55">
        <f>IF(A1955="",0,IF(AND(F1955="C&amp;T",COUNTIFS($A$2:A1955,A1955,$F$2:F1955,"C&amp;T")=1),1,0))</f>
        <v>0</v>
      </c>
    </row>
    <row r="1956" spans="1:16" x14ac:dyDescent="0.35">
      <c r="A1956" s="54" t="str">
        <f>IFERROR(IF(INDEX(SPOT_Import!$A$1:$Z$2488,1956,'Live Data'!$C$12)="","",INDEX(SPOT_Import!$A$1:$Z$2488,1956,'Live Data'!$C$12)),"")</f>
        <v/>
      </c>
      <c r="B1956" s="54" t="str">
        <f>IFERROR(IF(INDEX(SPOT_Import!$A$1:$Z$2488,1956,'Live Data'!$C$13)="","",INDEX(SPOT_Import!$A$1:$Z$2488,1956,'Live Data'!$C$13)),"")</f>
        <v/>
      </c>
      <c r="C1956" s="54" t="str">
        <f>IFERROR(IF(INDEX(SPOT_Import!$A$1:$Z$2488,1956,'Live Data'!$C$14)="","",INDEX(SPOT_Import!$A$1:$Z$2488,1956,'Live Data'!$C$14)),"")</f>
        <v/>
      </c>
      <c r="D1956" s="54" t="str">
        <f>IFERROR(IF(INDEX(SPOT_Import!$A$1:$Z$2488,1956,'Live Data'!$C$15)="","",INDEX(SPOT_Import!$A$1:$Z$2488,1956,'Live Data'!$C$15)),"")</f>
        <v/>
      </c>
      <c r="E1956" s="54" t="str">
        <f>IFERROR(IF(INDEX(SPOT_Import!$A$1:$Z$2488,1956,'Live Data'!$C$16)="","",INDEX(SPOT_Import!$A$1:$Z$2488,1956,'Live Data'!$C$16)),"")</f>
        <v/>
      </c>
      <c r="F1956" s="54" t="str">
        <f>IFERROR(IF(INDEX(SPOT_Import!$A$1:$Z$2488,1956,'Live Data'!$C$17)="","",INDEX(SPOT_Import!$A$1:$Z$2488,1956,'Live Data'!$C$17)),"")</f>
        <v/>
      </c>
      <c r="G1956" s="54" t="str">
        <f>IFERROR(IF(INDEX(SPOT_Import!$A$1:$Z$2488,1956,'Live Data'!$C$18)="","",INDEX(SPOT_Import!$A$1:$Z$2488,1956,'Live Data'!$C$18)),"")</f>
        <v/>
      </c>
      <c r="H1956" s="54" t="str">
        <f>IFERROR(IF(INDEX(SPOT_Import!$A$1:$Z$2488,1956,'Live Data'!$C$19)="","",INDEX(SPOT_Import!$A$1:$Z$2488,1956,'Live Data'!$C$19)),"")</f>
        <v/>
      </c>
      <c r="I1956" s="54" t="str">
        <f>IFERROR(IF(INDEX(SPOT_Import!$A$1:$Z$2488,1956,'Live Data'!$C$20)="","",INDEX(SPOT_Import!$A$1:$Z$2488,1956,'Live Data'!$C$20)),"")</f>
        <v/>
      </c>
      <c r="J1956" s="54" t="str">
        <f>IFERROR(IF(INDEX(SPOT_Import!$A$1:$Z$2488,1956,'Live Data'!$C$21)="","",INDEX(SPOT_Import!$A$1:$Z$2488,1956,'Live Data'!$C$21)),"")</f>
        <v/>
      </c>
      <c r="K1956" s="54" t="str">
        <f>IFERROR(IF(INDEX(SPOT_Import!$A$1:$Z$2488,1956,'Live Data'!$C$22)="","",INDEX(SPOT_Import!$A$1:$Z$2488,1956,'Live Data'!$C$22)),"")</f>
        <v/>
      </c>
      <c r="L1956" s="55" t="str">
        <f t="shared" si="60"/>
        <v/>
      </c>
      <c r="M1956" s="55" t="str">
        <f t="shared" si="61"/>
        <v/>
      </c>
      <c r="N1956" s="55" t="str">
        <f>IF(A1956="","",IFERROR(INDEX('Cluster Map'!$A$4:$A$38,MATCH(M1956,'Cluster Map'!$B$4:$B$38,0)),"Unmapped"))</f>
        <v/>
      </c>
      <c r="O1956" s="55">
        <f>IF(A1956="",0,IF(COUNTIFS($A$2:A1956,A1956,$F$2:F1956,F1956,$L$2:L1956,L1956)=1,1,0))</f>
        <v>0</v>
      </c>
      <c r="P1956" s="55">
        <f>IF(A1956="",0,IF(AND(F1956="C&amp;T",COUNTIFS($A$2:A1956,A1956,$F$2:F1956,"C&amp;T")=1),1,0))</f>
        <v>0</v>
      </c>
    </row>
    <row r="1957" spans="1:16" x14ac:dyDescent="0.35">
      <c r="A1957" s="54" t="str">
        <f>IFERROR(IF(INDEX(SPOT_Import!$A$1:$Z$2488,1957,'Live Data'!$C$12)="","",INDEX(SPOT_Import!$A$1:$Z$2488,1957,'Live Data'!$C$12)),"")</f>
        <v/>
      </c>
      <c r="B1957" s="54" t="str">
        <f>IFERROR(IF(INDEX(SPOT_Import!$A$1:$Z$2488,1957,'Live Data'!$C$13)="","",INDEX(SPOT_Import!$A$1:$Z$2488,1957,'Live Data'!$C$13)),"")</f>
        <v/>
      </c>
      <c r="C1957" s="54" t="str">
        <f>IFERROR(IF(INDEX(SPOT_Import!$A$1:$Z$2488,1957,'Live Data'!$C$14)="","",INDEX(SPOT_Import!$A$1:$Z$2488,1957,'Live Data'!$C$14)),"")</f>
        <v/>
      </c>
      <c r="D1957" s="54" t="str">
        <f>IFERROR(IF(INDEX(SPOT_Import!$A$1:$Z$2488,1957,'Live Data'!$C$15)="","",INDEX(SPOT_Import!$A$1:$Z$2488,1957,'Live Data'!$C$15)),"")</f>
        <v/>
      </c>
      <c r="E1957" s="54" t="str">
        <f>IFERROR(IF(INDEX(SPOT_Import!$A$1:$Z$2488,1957,'Live Data'!$C$16)="","",INDEX(SPOT_Import!$A$1:$Z$2488,1957,'Live Data'!$C$16)),"")</f>
        <v/>
      </c>
      <c r="F1957" s="54" t="str">
        <f>IFERROR(IF(INDEX(SPOT_Import!$A$1:$Z$2488,1957,'Live Data'!$C$17)="","",INDEX(SPOT_Import!$A$1:$Z$2488,1957,'Live Data'!$C$17)),"")</f>
        <v/>
      </c>
      <c r="G1957" s="54" t="str">
        <f>IFERROR(IF(INDEX(SPOT_Import!$A$1:$Z$2488,1957,'Live Data'!$C$18)="","",INDEX(SPOT_Import!$A$1:$Z$2488,1957,'Live Data'!$C$18)),"")</f>
        <v/>
      </c>
      <c r="H1957" s="54" t="str">
        <f>IFERROR(IF(INDEX(SPOT_Import!$A$1:$Z$2488,1957,'Live Data'!$C$19)="","",INDEX(SPOT_Import!$A$1:$Z$2488,1957,'Live Data'!$C$19)),"")</f>
        <v/>
      </c>
      <c r="I1957" s="54" t="str">
        <f>IFERROR(IF(INDEX(SPOT_Import!$A$1:$Z$2488,1957,'Live Data'!$C$20)="","",INDEX(SPOT_Import!$A$1:$Z$2488,1957,'Live Data'!$C$20)),"")</f>
        <v/>
      </c>
      <c r="J1957" s="54" t="str">
        <f>IFERROR(IF(INDEX(SPOT_Import!$A$1:$Z$2488,1957,'Live Data'!$C$21)="","",INDEX(SPOT_Import!$A$1:$Z$2488,1957,'Live Data'!$C$21)),"")</f>
        <v/>
      </c>
      <c r="K1957" s="54" t="str">
        <f>IFERROR(IF(INDEX(SPOT_Import!$A$1:$Z$2488,1957,'Live Data'!$C$22)="","",INDEX(SPOT_Import!$A$1:$Z$2488,1957,'Live Data'!$C$22)),"")</f>
        <v/>
      </c>
      <c r="L1957" s="55" t="str">
        <f t="shared" si="60"/>
        <v/>
      </c>
      <c r="M1957" s="55" t="str">
        <f t="shared" si="61"/>
        <v/>
      </c>
      <c r="N1957" s="55" t="str">
        <f>IF(A1957="","",IFERROR(INDEX('Cluster Map'!$A$4:$A$38,MATCH(M1957,'Cluster Map'!$B$4:$B$38,0)),"Unmapped"))</f>
        <v/>
      </c>
      <c r="O1957" s="55">
        <f>IF(A1957="",0,IF(COUNTIFS($A$2:A1957,A1957,$F$2:F1957,F1957,$L$2:L1957,L1957)=1,1,0))</f>
        <v>0</v>
      </c>
      <c r="P1957" s="55">
        <f>IF(A1957="",0,IF(AND(F1957="C&amp;T",COUNTIFS($A$2:A1957,A1957,$F$2:F1957,"C&amp;T")=1),1,0))</f>
        <v>0</v>
      </c>
    </row>
    <row r="1958" spans="1:16" x14ac:dyDescent="0.35">
      <c r="A1958" s="54" t="str">
        <f>IFERROR(IF(INDEX(SPOT_Import!$A$1:$Z$2488,1958,'Live Data'!$C$12)="","",INDEX(SPOT_Import!$A$1:$Z$2488,1958,'Live Data'!$C$12)),"")</f>
        <v/>
      </c>
      <c r="B1958" s="54" t="str">
        <f>IFERROR(IF(INDEX(SPOT_Import!$A$1:$Z$2488,1958,'Live Data'!$C$13)="","",INDEX(SPOT_Import!$A$1:$Z$2488,1958,'Live Data'!$C$13)),"")</f>
        <v/>
      </c>
      <c r="C1958" s="54" t="str">
        <f>IFERROR(IF(INDEX(SPOT_Import!$A$1:$Z$2488,1958,'Live Data'!$C$14)="","",INDEX(SPOT_Import!$A$1:$Z$2488,1958,'Live Data'!$C$14)),"")</f>
        <v/>
      </c>
      <c r="D1958" s="54" t="str">
        <f>IFERROR(IF(INDEX(SPOT_Import!$A$1:$Z$2488,1958,'Live Data'!$C$15)="","",INDEX(SPOT_Import!$A$1:$Z$2488,1958,'Live Data'!$C$15)),"")</f>
        <v/>
      </c>
      <c r="E1958" s="54" t="str">
        <f>IFERROR(IF(INDEX(SPOT_Import!$A$1:$Z$2488,1958,'Live Data'!$C$16)="","",INDEX(SPOT_Import!$A$1:$Z$2488,1958,'Live Data'!$C$16)),"")</f>
        <v/>
      </c>
      <c r="F1958" s="54" t="str">
        <f>IFERROR(IF(INDEX(SPOT_Import!$A$1:$Z$2488,1958,'Live Data'!$C$17)="","",INDEX(SPOT_Import!$A$1:$Z$2488,1958,'Live Data'!$C$17)),"")</f>
        <v/>
      </c>
      <c r="G1958" s="54" t="str">
        <f>IFERROR(IF(INDEX(SPOT_Import!$A$1:$Z$2488,1958,'Live Data'!$C$18)="","",INDEX(SPOT_Import!$A$1:$Z$2488,1958,'Live Data'!$C$18)),"")</f>
        <v/>
      </c>
      <c r="H1958" s="54" t="str">
        <f>IFERROR(IF(INDEX(SPOT_Import!$A$1:$Z$2488,1958,'Live Data'!$C$19)="","",INDEX(SPOT_Import!$A$1:$Z$2488,1958,'Live Data'!$C$19)),"")</f>
        <v/>
      </c>
      <c r="I1958" s="54" t="str">
        <f>IFERROR(IF(INDEX(SPOT_Import!$A$1:$Z$2488,1958,'Live Data'!$C$20)="","",INDEX(SPOT_Import!$A$1:$Z$2488,1958,'Live Data'!$C$20)),"")</f>
        <v/>
      </c>
      <c r="J1958" s="54" t="str">
        <f>IFERROR(IF(INDEX(SPOT_Import!$A$1:$Z$2488,1958,'Live Data'!$C$21)="","",INDEX(SPOT_Import!$A$1:$Z$2488,1958,'Live Data'!$C$21)),"")</f>
        <v/>
      </c>
      <c r="K1958" s="54" t="str">
        <f>IFERROR(IF(INDEX(SPOT_Import!$A$1:$Z$2488,1958,'Live Data'!$C$22)="","",INDEX(SPOT_Import!$A$1:$Z$2488,1958,'Live Data'!$C$22)),"")</f>
        <v/>
      </c>
      <c r="L1958" s="55" t="str">
        <f t="shared" si="60"/>
        <v/>
      </c>
      <c r="M1958" s="55" t="str">
        <f t="shared" si="61"/>
        <v/>
      </c>
      <c r="N1958" s="55" t="str">
        <f>IF(A1958="","",IFERROR(INDEX('Cluster Map'!$A$4:$A$38,MATCH(M1958,'Cluster Map'!$B$4:$B$38,0)),"Unmapped"))</f>
        <v/>
      </c>
      <c r="O1958" s="55">
        <f>IF(A1958="",0,IF(COUNTIFS($A$2:A1958,A1958,$F$2:F1958,F1958,$L$2:L1958,L1958)=1,1,0))</f>
        <v>0</v>
      </c>
      <c r="P1958" s="55">
        <f>IF(A1958="",0,IF(AND(F1958="C&amp;T",COUNTIFS($A$2:A1958,A1958,$F$2:F1958,"C&amp;T")=1),1,0))</f>
        <v>0</v>
      </c>
    </row>
    <row r="1959" spans="1:16" x14ac:dyDescent="0.35">
      <c r="A1959" s="54" t="str">
        <f>IFERROR(IF(INDEX(SPOT_Import!$A$1:$Z$2488,1959,'Live Data'!$C$12)="","",INDEX(SPOT_Import!$A$1:$Z$2488,1959,'Live Data'!$C$12)),"")</f>
        <v/>
      </c>
      <c r="B1959" s="54" t="str">
        <f>IFERROR(IF(INDEX(SPOT_Import!$A$1:$Z$2488,1959,'Live Data'!$C$13)="","",INDEX(SPOT_Import!$A$1:$Z$2488,1959,'Live Data'!$C$13)),"")</f>
        <v/>
      </c>
      <c r="C1959" s="54" t="str">
        <f>IFERROR(IF(INDEX(SPOT_Import!$A$1:$Z$2488,1959,'Live Data'!$C$14)="","",INDEX(SPOT_Import!$A$1:$Z$2488,1959,'Live Data'!$C$14)),"")</f>
        <v/>
      </c>
      <c r="D1959" s="54" t="str">
        <f>IFERROR(IF(INDEX(SPOT_Import!$A$1:$Z$2488,1959,'Live Data'!$C$15)="","",INDEX(SPOT_Import!$A$1:$Z$2488,1959,'Live Data'!$C$15)),"")</f>
        <v/>
      </c>
      <c r="E1959" s="54" t="str">
        <f>IFERROR(IF(INDEX(SPOT_Import!$A$1:$Z$2488,1959,'Live Data'!$C$16)="","",INDEX(SPOT_Import!$A$1:$Z$2488,1959,'Live Data'!$C$16)),"")</f>
        <v/>
      </c>
      <c r="F1959" s="54" t="str">
        <f>IFERROR(IF(INDEX(SPOT_Import!$A$1:$Z$2488,1959,'Live Data'!$C$17)="","",INDEX(SPOT_Import!$A$1:$Z$2488,1959,'Live Data'!$C$17)),"")</f>
        <v/>
      </c>
      <c r="G1959" s="54" t="str">
        <f>IFERROR(IF(INDEX(SPOT_Import!$A$1:$Z$2488,1959,'Live Data'!$C$18)="","",INDEX(SPOT_Import!$A$1:$Z$2488,1959,'Live Data'!$C$18)),"")</f>
        <v/>
      </c>
      <c r="H1959" s="54" t="str">
        <f>IFERROR(IF(INDEX(SPOT_Import!$A$1:$Z$2488,1959,'Live Data'!$C$19)="","",INDEX(SPOT_Import!$A$1:$Z$2488,1959,'Live Data'!$C$19)),"")</f>
        <v/>
      </c>
      <c r="I1959" s="54" t="str">
        <f>IFERROR(IF(INDEX(SPOT_Import!$A$1:$Z$2488,1959,'Live Data'!$C$20)="","",INDEX(SPOT_Import!$A$1:$Z$2488,1959,'Live Data'!$C$20)),"")</f>
        <v/>
      </c>
      <c r="J1959" s="54" t="str">
        <f>IFERROR(IF(INDEX(SPOT_Import!$A$1:$Z$2488,1959,'Live Data'!$C$21)="","",INDEX(SPOT_Import!$A$1:$Z$2488,1959,'Live Data'!$C$21)),"")</f>
        <v/>
      </c>
      <c r="K1959" s="54" t="str">
        <f>IFERROR(IF(INDEX(SPOT_Import!$A$1:$Z$2488,1959,'Live Data'!$C$22)="","",INDEX(SPOT_Import!$A$1:$Z$2488,1959,'Live Data'!$C$22)),"")</f>
        <v/>
      </c>
      <c r="L1959" s="55" t="str">
        <f t="shared" si="60"/>
        <v/>
      </c>
      <c r="M1959" s="55" t="str">
        <f t="shared" si="61"/>
        <v/>
      </c>
      <c r="N1959" s="55" t="str">
        <f>IF(A1959="","",IFERROR(INDEX('Cluster Map'!$A$4:$A$38,MATCH(M1959,'Cluster Map'!$B$4:$B$38,0)),"Unmapped"))</f>
        <v/>
      </c>
      <c r="O1959" s="55">
        <f>IF(A1959="",0,IF(COUNTIFS($A$2:A1959,A1959,$F$2:F1959,F1959,$L$2:L1959,L1959)=1,1,0))</f>
        <v>0</v>
      </c>
      <c r="P1959" s="55">
        <f>IF(A1959="",0,IF(AND(F1959="C&amp;T",COUNTIFS($A$2:A1959,A1959,$F$2:F1959,"C&amp;T")=1),1,0))</f>
        <v>0</v>
      </c>
    </row>
    <row r="1960" spans="1:16" x14ac:dyDescent="0.35">
      <c r="A1960" s="54" t="str">
        <f>IFERROR(IF(INDEX(SPOT_Import!$A$1:$Z$2488,1960,'Live Data'!$C$12)="","",INDEX(SPOT_Import!$A$1:$Z$2488,1960,'Live Data'!$C$12)),"")</f>
        <v/>
      </c>
      <c r="B1960" s="54" t="str">
        <f>IFERROR(IF(INDEX(SPOT_Import!$A$1:$Z$2488,1960,'Live Data'!$C$13)="","",INDEX(SPOT_Import!$A$1:$Z$2488,1960,'Live Data'!$C$13)),"")</f>
        <v/>
      </c>
      <c r="C1960" s="54" t="str">
        <f>IFERROR(IF(INDEX(SPOT_Import!$A$1:$Z$2488,1960,'Live Data'!$C$14)="","",INDEX(SPOT_Import!$A$1:$Z$2488,1960,'Live Data'!$C$14)),"")</f>
        <v/>
      </c>
      <c r="D1960" s="54" t="str">
        <f>IFERROR(IF(INDEX(SPOT_Import!$A$1:$Z$2488,1960,'Live Data'!$C$15)="","",INDEX(SPOT_Import!$A$1:$Z$2488,1960,'Live Data'!$C$15)),"")</f>
        <v/>
      </c>
      <c r="E1960" s="54" t="str">
        <f>IFERROR(IF(INDEX(SPOT_Import!$A$1:$Z$2488,1960,'Live Data'!$C$16)="","",INDEX(SPOT_Import!$A$1:$Z$2488,1960,'Live Data'!$C$16)),"")</f>
        <v/>
      </c>
      <c r="F1960" s="54" t="str">
        <f>IFERROR(IF(INDEX(SPOT_Import!$A$1:$Z$2488,1960,'Live Data'!$C$17)="","",INDEX(SPOT_Import!$A$1:$Z$2488,1960,'Live Data'!$C$17)),"")</f>
        <v/>
      </c>
      <c r="G1960" s="54" t="str">
        <f>IFERROR(IF(INDEX(SPOT_Import!$A$1:$Z$2488,1960,'Live Data'!$C$18)="","",INDEX(SPOT_Import!$A$1:$Z$2488,1960,'Live Data'!$C$18)),"")</f>
        <v/>
      </c>
      <c r="H1960" s="54" t="str">
        <f>IFERROR(IF(INDEX(SPOT_Import!$A$1:$Z$2488,1960,'Live Data'!$C$19)="","",INDEX(SPOT_Import!$A$1:$Z$2488,1960,'Live Data'!$C$19)),"")</f>
        <v/>
      </c>
      <c r="I1960" s="54" t="str">
        <f>IFERROR(IF(INDEX(SPOT_Import!$A$1:$Z$2488,1960,'Live Data'!$C$20)="","",INDEX(SPOT_Import!$A$1:$Z$2488,1960,'Live Data'!$C$20)),"")</f>
        <v/>
      </c>
      <c r="J1960" s="54" t="str">
        <f>IFERROR(IF(INDEX(SPOT_Import!$A$1:$Z$2488,1960,'Live Data'!$C$21)="","",INDEX(SPOT_Import!$A$1:$Z$2488,1960,'Live Data'!$C$21)),"")</f>
        <v/>
      </c>
      <c r="K1960" s="54" t="str">
        <f>IFERROR(IF(INDEX(SPOT_Import!$A$1:$Z$2488,1960,'Live Data'!$C$22)="","",INDEX(SPOT_Import!$A$1:$Z$2488,1960,'Live Data'!$C$22)),"")</f>
        <v/>
      </c>
      <c r="L1960" s="55" t="str">
        <f t="shared" si="60"/>
        <v/>
      </c>
      <c r="M1960" s="55" t="str">
        <f t="shared" si="61"/>
        <v/>
      </c>
      <c r="N1960" s="55" t="str">
        <f>IF(A1960="","",IFERROR(INDEX('Cluster Map'!$A$4:$A$38,MATCH(M1960,'Cluster Map'!$B$4:$B$38,0)),"Unmapped"))</f>
        <v/>
      </c>
      <c r="O1960" s="55">
        <f>IF(A1960="",0,IF(COUNTIFS($A$2:A1960,A1960,$F$2:F1960,F1960,$L$2:L1960,L1960)=1,1,0))</f>
        <v>0</v>
      </c>
      <c r="P1960" s="55">
        <f>IF(A1960="",0,IF(AND(F1960="C&amp;T",COUNTIFS($A$2:A1960,A1960,$F$2:F1960,"C&amp;T")=1),1,0))</f>
        <v>0</v>
      </c>
    </row>
    <row r="1961" spans="1:16" x14ac:dyDescent="0.35">
      <c r="A1961" s="54" t="str">
        <f>IFERROR(IF(INDEX(SPOT_Import!$A$1:$Z$2488,1961,'Live Data'!$C$12)="","",INDEX(SPOT_Import!$A$1:$Z$2488,1961,'Live Data'!$C$12)),"")</f>
        <v/>
      </c>
      <c r="B1961" s="54" t="str">
        <f>IFERROR(IF(INDEX(SPOT_Import!$A$1:$Z$2488,1961,'Live Data'!$C$13)="","",INDEX(SPOT_Import!$A$1:$Z$2488,1961,'Live Data'!$C$13)),"")</f>
        <v/>
      </c>
      <c r="C1961" s="54" t="str">
        <f>IFERROR(IF(INDEX(SPOT_Import!$A$1:$Z$2488,1961,'Live Data'!$C$14)="","",INDEX(SPOT_Import!$A$1:$Z$2488,1961,'Live Data'!$C$14)),"")</f>
        <v/>
      </c>
      <c r="D1961" s="54" t="str">
        <f>IFERROR(IF(INDEX(SPOT_Import!$A$1:$Z$2488,1961,'Live Data'!$C$15)="","",INDEX(SPOT_Import!$A$1:$Z$2488,1961,'Live Data'!$C$15)),"")</f>
        <v/>
      </c>
      <c r="E1961" s="54" t="str">
        <f>IFERROR(IF(INDEX(SPOT_Import!$A$1:$Z$2488,1961,'Live Data'!$C$16)="","",INDEX(SPOT_Import!$A$1:$Z$2488,1961,'Live Data'!$C$16)),"")</f>
        <v/>
      </c>
      <c r="F1961" s="54" t="str">
        <f>IFERROR(IF(INDEX(SPOT_Import!$A$1:$Z$2488,1961,'Live Data'!$C$17)="","",INDEX(SPOT_Import!$A$1:$Z$2488,1961,'Live Data'!$C$17)),"")</f>
        <v/>
      </c>
      <c r="G1961" s="54" t="str">
        <f>IFERROR(IF(INDEX(SPOT_Import!$A$1:$Z$2488,1961,'Live Data'!$C$18)="","",INDEX(SPOT_Import!$A$1:$Z$2488,1961,'Live Data'!$C$18)),"")</f>
        <v/>
      </c>
      <c r="H1961" s="54" t="str">
        <f>IFERROR(IF(INDEX(SPOT_Import!$A$1:$Z$2488,1961,'Live Data'!$C$19)="","",INDEX(SPOT_Import!$A$1:$Z$2488,1961,'Live Data'!$C$19)),"")</f>
        <v/>
      </c>
      <c r="I1961" s="54" t="str">
        <f>IFERROR(IF(INDEX(SPOT_Import!$A$1:$Z$2488,1961,'Live Data'!$C$20)="","",INDEX(SPOT_Import!$A$1:$Z$2488,1961,'Live Data'!$C$20)),"")</f>
        <v/>
      </c>
      <c r="J1961" s="54" t="str">
        <f>IFERROR(IF(INDEX(SPOT_Import!$A$1:$Z$2488,1961,'Live Data'!$C$21)="","",INDEX(SPOT_Import!$A$1:$Z$2488,1961,'Live Data'!$C$21)),"")</f>
        <v/>
      </c>
      <c r="K1961" s="54" t="str">
        <f>IFERROR(IF(INDEX(SPOT_Import!$A$1:$Z$2488,1961,'Live Data'!$C$22)="","",INDEX(SPOT_Import!$A$1:$Z$2488,1961,'Live Data'!$C$22)),"")</f>
        <v/>
      </c>
      <c r="L1961" s="55" t="str">
        <f t="shared" si="60"/>
        <v/>
      </c>
      <c r="M1961" s="55" t="str">
        <f t="shared" si="61"/>
        <v/>
      </c>
      <c r="N1961" s="55" t="str">
        <f>IF(A1961="","",IFERROR(INDEX('Cluster Map'!$A$4:$A$38,MATCH(M1961,'Cluster Map'!$B$4:$B$38,0)),"Unmapped"))</f>
        <v/>
      </c>
      <c r="O1961" s="55">
        <f>IF(A1961="",0,IF(COUNTIFS($A$2:A1961,A1961,$F$2:F1961,F1961,$L$2:L1961,L1961)=1,1,0))</f>
        <v>0</v>
      </c>
      <c r="P1961" s="55">
        <f>IF(A1961="",0,IF(AND(F1961="C&amp;T",COUNTIFS($A$2:A1961,A1961,$F$2:F1961,"C&amp;T")=1),1,0))</f>
        <v>0</v>
      </c>
    </row>
    <row r="1962" spans="1:16" x14ac:dyDescent="0.35">
      <c r="A1962" s="54" t="str">
        <f>IFERROR(IF(INDEX(SPOT_Import!$A$1:$Z$2488,1962,'Live Data'!$C$12)="","",INDEX(SPOT_Import!$A$1:$Z$2488,1962,'Live Data'!$C$12)),"")</f>
        <v/>
      </c>
      <c r="B1962" s="54" t="str">
        <f>IFERROR(IF(INDEX(SPOT_Import!$A$1:$Z$2488,1962,'Live Data'!$C$13)="","",INDEX(SPOT_Import!$A$1:$Z$2488,1962,'Live Data'!$C$13)),"")</f>
        <v/>
      </c>
      <c r="C1962" s="54" t="str">
        <f>IFERROR(IF(INDEX(SPOT_Import!$A$1:$Z$2488,1962,'Live Data'!$C$14)="","",INDEX(SPOT_Import!$A$1:$Z$2488,1962,'Live Data'!$C$14)),"")</f>
        <v/>
      </c>
      <c r="D1962" s="54" t="str">
        <f>IFERROR(IF(INDEX(SPOT_Import!$A$1:$Z$2488,1962,'Live Data'!$C$15)="","",INDEX(SPOT_Import!$A$1:$Z$2488,1962,'Live Data'!$C$15)),"")</f>
        <v/>
      </c>
      <c r="E1962" s="54" t="str">
        <f>IFERROR(IF(INDEX(SPOT_Import!$A$1:$Z$2488,1962,'Live Data'!$C$16)="","",INDEX(SPOT_Import!$A$1:$Z$2488,1962,'Live Data'!$C$16)),"")</f>
        <v/>
      </c>
      <c r="F1962" s="54" t="str">
        <f>IFERROR(IF(INDEX(SPOT_Import!$A$1:$Z$2488,1962,'Live Data'!$C$17)="","",INDEX(SPOT_Import!$A$1:$Z$2488,1962,'Live Data'!$C$17)),"")</f>
        <v/>
      </c>
      <c r="G1962" s="54" t="str">
        <f>IFERROR(IF(INDEX(SPOT_Import!$A$1:$Z$2488,1962,'Live Data'!$C$18)="","",INDEX(SPOT_Import!$A$1:$Z$2488,1962,'Live Data'!$C$18)),"")</f>
        <v/>
      </c>
      <c r="H1962" s="54" t="str">
        <f>IFERROR(IF(INDEX(SPOT_Import!$A$1:$Z$2488,1962,'Live Data'!$C$19)="","",INDEX(SPOT_Import!$A$1:$Z$2488,1962,'Live Data'!$C$19)),"")</f>
        <v/>
      </c>
      <c r="I1962" s="54" t="str">
        <f>IFERROR(IF(INDEX(SPOT_Import!$A$1:$Z$2488,1962,'Live Data'!$C$20)="","",INDEX(SPOT_Import!$A$1:$Z$2488,1962,'Live Data'!$C$20)),"")</f>
        <v/>
      </c>
      <c r="J1962" s="54" t="str">
        <f>IFERROR(IF(INDEX(SPOT_Import!$A$1:$Z$2488,1962,'Live Data'!$C$21)="","",INDEX(SPOT_Import!$A$1:$Z$2488,1962,'Live Data'!$C$21)),"")</f>
        <v/>
      </c>
      <c r="K1962" s="54" t="str">
        <f>IFERROR(IF(INDEX(SPOT_Import!$A$1:$Z$2488,1962,'Live Data'!$C$22)="","",INDEX(SPOT_Import!$A$1:$Z$2488,1962,'Live Data'!$C$22)),"")</f>
        <v/>
      </c>
      <c r="L1962" s="55" t="str">
        <f t="shared" si="60"/>
        <v/>
      </c>
      <c r="M1962" s="55" t="str">
        <f t="shared" si="61"/>
        <v/>
      </c>
      <c r="N1962" s="55" t="str">
        <f>IF(A1962="","",IFERROR(INDEX('Cluster Map'!$A$4:$A$38,MATCH(M1962,'Cluster Map'!$B$4:$B$38,0)),"Unmapped"))</f>
        <v/>
      </c>
      <c r="O1962" s="55">
        <f>IF(A1962="",0,IF(COUNTIFS($A$2:A1962,A1962,$F$2:F1962,F1962,$L$2:L1962,L1962)=1,1,0))</f>
        <v>0</v>
      </c>
      <c r="P1962" s="55">
        <f>IF(A1962="",0,IF(AND(F1962="C&amp;T",COUNTIFS($A$2:A1962,A1962,$F$2:F1962,"C&amp;T")=1),1,0))</f>
        <v>0</v>
      </c>
    </row>
    <row r="1963" spans="1:16" x14ac:dyDescent="0.35">
      <c r="A1963" s="54" t="str">
        <f>IFERROR(IF(INDEX(SPOT_Import!$A$1:$Z$2488,1963,'Live Data'!$C$12)="","",INDEX(SPOT_Import!$A$1:$Z$2488,1963,'Live Data'!$C$12)),"")</f>
        <v/>
      </c>
      <c r="B1963" s="54" t="str">
        <f>IFERROR(IF(INDEX(SPOT_Import!$A$1:$Z$2488,1963,'Live Data'!$C$13)="","",INDEX(SPOT_Import!$A$1:$Z$2488,1963,'Live Data'!$C$13)),"")</f>
        <v/>
      </c>
      <c r="C1963" s="54" t="str">
        <f>IFERROR(IF(INDEX(SPOT_Import!$A$1:$Z$2488,1963,'Live Data'!$C$14)="","",INDEX(SPOT_Import!$A$1:$Z$2488,1963,'Live Data'!$C$14)),"")</f>
        <v/>
      </c>
      <c r="D1963" s="54" t="str">
        <f>IFERROR(IF(INDEX(SPOT_Import!$A$1:$Z$2488,1963,'Live Data'!$C$15)="","",INDEX(SPOT_Import!$A$1:$Z$2488,1963,'Live Data'!$C$15)),"")</f>
        <v/>
      </c>
      <c r="E1963" s="54" t="str">
        <f>IFERROR(IF(INDEX(SPOT_Import!$A$1:$Z$2488,1963,'Live Data'!$C$16)="","",INDEX(SPOT_Import!$A$1:$Z$2488,1963,'Live Data'!$C$16)),"")</f>
        <v/>
      </c>
      <c r="F1963" s="54" t="str">
        <f>IFERROR(IF(INDEX(SPOT_Import!$A$1:$Z$2488,1963,'Live Data'!$C$17)="","",INDEX(SPOT_Import!$A$1:$Z$2488,1963,'Live Data'!$C$17)),"")</f>
        <v/>
      </c>
      <c r="G1963" s="54" t="str">
        <f>IFERROR(IF(INDEX(SPOT_Import!$A$1:$Z$2488,1963,'Live Data'!$C$18)="","",INDEX(SPOT_Import!$A$1:$Z$2488,1963,'Live Data'!$C$18)),"")</f>
        <v/>
      </c>
      <c r="H1963" s="54" t="str">
        <f>IFERROR(IF(INDEX(SPOT_Import!$A$1:$Z$2488,1963,'Live Data'!$C$19)="","",INDEX(SPOT_Import!$A$1:$Z$2488,1963,'Live Data'!$C$19)),"")</f>
        <v/>
      </c>
      <c r="I1963" s="54" t="str">
        <f>IFERROR(IF(INDEX(SPOT_Import!$A$1:$Z$2488,1963,'Live Data'!$C$20)="","",INDEX(SPOT_Import!$A$1:$Z$2488,1963,'Live Data'!$C$20)),"")</f>
        <v/>
      </c>
      <c r="J1963" s="54" t="str">
        <f>IFERROR(IF(INDEX(SPOT_Import!$A$1:$Z$2488,1963,'Live Data'!$C$21)="","",INDEX(SPOT_Import!$A$1:$Z$2488,1963,'Live Data'!$C$21)),"")</f>
        <v/>
      </c>
      <c r="K1963" s="54" t="str">
        <f>IFERROR(IF(INDEX(SPOT_Import!$A$1:$Z$2488,1963,'Live Data'!$C$22)="","",INDEX(SPOT_Import!$A$1:$Z$2488,1963,'Live Data'!$C$22)),"")</f>
        <v/>
      </c>
      <c r="L1963" s="55" t="str">
        <f t="shared" si="60"/>
        <v/>
      </c>
      <c r="M1963" s="55" t="str">
        <f t="shared" si="61"/>
        <v/>
      </c>
      <c r="N1963" s="55" t="str">
        <f>IF(A1963="","",IFERROR(INDEX('Cluster Map'!$A$4:$A$38,MATCH(M1963,'Cluster Map'!$B$4:$B$38,0)),"Unmapped"))</f>
        <v/>
      </c>
      <c r="O1963" s="55">
        <f>IF(A1963="",0,IF(COUNTIFS($A$2:A1963,A1963,$F$2:F1963,F1963,$L$2:L1963,L1963)=1,1,0))</f>
        <v>0</v>
      </c>
      <c r="P1963" s="55">
        <f>IF(A1963="",0,IF(AND(F1963="C&amp;T",COUNTIFS($A$2:A1963,A1963,$F$2:F1963,"C&amp;T")=1),1,0))</f>
        <v>0</v>
      </c>
    </row>
    <row r="1964" spans="1:16" x14ac:dyDescent="0.35">
      <c r="A1964" s="54" t="str">
        <f>IFERROR(IF(INDEX(SPOT_Import!$A$1:$Z$2488,1964,'Live Data'!$C$12)="","",INDEX(SPOT_Import!$A$1:$Z$2488,1964,'Live Data'!$C$12)),"")</f>
        <v/>
      </c>
      <c r="B1964" s="54" t="str">
        <f>IFERROR(IF(INDEX(SPOT_Import!$A$1:$Z$2488,1964,'Live Data'!$C$13)="","",INDEX(SPOT_Import!$A$1:$Z$2488,1964,'Live Data'!$C$13)),"")</f>
        <v/>
      </c>
      <c r="C1964" s="54" t="str">
        <f>IFERROR(IF(INDEX(SPOT_Import!$A$1:$Z$2488,1964,'Live Data'!$C$14)="","",INDEX(SPOT_Import!$A$1:$Z$2488,1964,'Live Data'!$C$14)),"")</f>
        <v/>
      </c>
      <c r="D1964" s="54" t="str">
        <f>IFERROR(IF(INDEX(SPOT_Import!$A$1:$Z$2488,1964,'Live Data'!$C$15)="","",INDEX(SPOT_Import!$A$1:$Z$2488,1964,'Live Data'!$C$15)),"")</f>
        <v/>
      </c>
      <c r="E1964" s="54" t="str">
        <f>IFERROR(IF(INDEX(SPOT_Import!$A$1:$Z$2488,1964,'Live Data'!$C$16)="","",INDEX(SPOT_Import!$A$1:$Z$2488,1964,'Live Data'!$C$16)),"")</f>
        <v/>
      </c>
      <c r="F1964" s="54" t="str">
        <f>IFERROR(IF(INDEX(SPOT_Import!$A$1:$Z$2488,1964,'Live Data'!$C$17)="","",INDEX(SPOT_Import!$A$1:$Z$2488,1964,'Live Data'!$C$17)),"")</f>
        <v/>
      </c>
      <c r="G1964" s="54" t="str">
        <f>IFERROR(IF(INDEX(SPOT_Import!$A$1:$Z$2488,1964,'Live Data'!$C$18)="","",INDEX(SPOT_Import!$A$1:$Z$2488,1964,'Live Data'!$C$18)),"")</f>
        <v/>
      </c>
      <c r="H1964" s="54" t="str">
        <f>IFERROR(IF(INDEX(SPOT_Import!$A$1:$Z$2488,1964,'Live Data'!$C$19)="","",INDEX(SPOT_Import!$A$1:$Z$2488,1964,'Live Data'!$C$19)),"")</f>
        <v/>
      </c>
      <c r="I1964" s="54" t="str">
        <f>IFERROR(IF(INDEX(SPOT_Import!$A$1:$Z$2488,1964,'Live Data'!$C$20)="","",INDEX(SPOT_Import!$A$1:$Z$2488,1964,'Live Data'!$C$20)),"")</f>
        <v/>
      </c>
      <c r="J1964" s="54" t="str">
        <f>IFERROR(IF(INDEX(SPOT_Import!$A$1:$Z$2488,1964,'Live Data'!$C$21)="","",INDEX(SPOT_Import!$A$1:$Z$2488,1964,'Live Data'!$C$21)),"")</f>
        <v/>
      </c>
      <c r="K1964" s="54" t="str">
        <f>IFERROR(IF(INDEX(SPOT_Import!$A$1:$Z$2488,1964,'Live Data'!$C$22)="","",INDEX(SPOT_Import!$A$1:$Z$2488,1964,'Live Data'!$C$22)),"")</f>
        <v/>
      </c>
      <c r="L1964" s="55" t="str">
        <f t="shared" si="60"/>
        <v/>
      </c>
      <c r="M1964" s="55" t="str">
        <f t="shared" si="61"/>
        <v/>
      </c>
      <c r="N1964" s="55" t="str">
        <f>IF(A1964="","",IFERROR(INDEX('Cluster Map'!$A$4:$A$38,MATCH(M1964,'Cluster Map'!$B$4:$B$38,0)),"Unmapped"))</f>
        <v/>
      </c>
      <c r="O1964" s="55">
        <f>IF(A1964="",0,IF(COUNTIFS($A$2:A1964,A1964,$F$2:F1964,F1964,$L$2:L1964,L1964)=1,1,0))</f>
        <v>0</v>
      </c>
      <c r="P1964" s="55">
        <f>IF(A1964="",0,IF(AND(F1964="C&amp;T",COUNTIFS($A$2:A1964,A1964,$F$2:F1964,"C&amp;T")=1),1,0))</f>
        <v>0</v>
      </c>
    </row>
    <row r="1965" spans="1:16" x14ac:dyDescent="0.35">
      <c r="A1965" s="54" t="str">
        <f>IFERROR(IF(INDEX(SPOT_Import!$A$1:$Z$2488,1965,'Live Data'!$C$12)="","",INDEX(SPOT_Import!$A$1:$Z$2488,1965,'Live Data'!$C$12)),"")</f>
        <v/>
      </c>
      <c r="B1965" s="54" t="str">
        <f>IFERROR(IF(INDEX(SPOT_Import!$A$1:$Z$2488,1965,'Live Data'!$C$13)="","",INDEX(SPOT_Import!$A$1:$Z$2488,1965,'Live Data'!$C$13)),"")</f>
        <v/>
      </c>
      <c r="C1965" s="54" t="str">
        <f>IFERROR(IF(INDEX(SPOT_Import!$A$1:$Z$2488,1965,'Live Data'!$C$14)="","",INDEX(SPOT_Import!$A$1:$Z$2488,1965,'Live Data'!$C$14)),"")</f>
        <v/>
      </c>
      <c r="D1965" s="54" t="str">
        <f>IFERROR(IF(INDEX(SPOT_Import!$A$1:$Z$2488,1965,'Live Data'!$C$15)="","",INDEX(SPOT_Import!$A$1:$Z$2488,1965,'Live Data'!$C$15)),"")</f>
        <v/>
      </c>
      <c r="E1965" s="54" t="str">
        <f>IFERROR(IF(INDEX(SPOT_Import!$A$1:$Z$2488,1965,'Live Data'!$C$16)="","",INDEX(SPOT_Import!$A$1:$Z$2488,1965,'Live Data'!$C$16)),"")</f>
        <v/>
      </c>
      <c r="F1965" s="54" t="str">
        <f>IFERROR(IF(INDEX(SPOT_Import!$A$1:$Z$2488,1965,'Live Data'!$C$17)="","",INDEX(SPOT_Import!$A$1:$Z$2488,1965,'Live Data'!$C$17)),"")</f>
        <v/>
      </c>
      <c r="G1965" s="54" t="str">
        <f>IFERROR(IF(INDEX(SPOT_Import!$A$1:$Z$2488,1965,'Live Data'!$C$18)="","",INDEX(SPOT_Import!$A$1:$Z$2488,1965,'Live Data'!$C$18)),"")</f>
        <v/>
      </c>
      <c r="H1965" s="54" t="str">
        <f>IFERROR(IF(INDEX(SPOT_Import!$A$1:$Z$2488,1965,'Live Data'!$C$19)="","",INDEX(SPOT_Import!$A$1:$Z$2488,1965,'Live Data'!$C$19)),"")</f>
        <v/>
      </c>
      <c r="I1965" s="54" t="str">
        <f>IFERROR(IF(INDEX(SPOT_Import!$A$1:$Z$2488,1965,'Live Data'!$C$20)="","",INDEX(SPOT_Import!$A$1:$Z$2488,1965,'Live Data'!$C$20)),"")</f>
        <v/>
      </c>
      <c r="J1965" s="54" t="str">
        <f>IFERROR(IF(INDEX(SPOT_Import!$A$1:$Z$2488,1965,'Live Data'!$C$21)="","",INDEX(SPOT_Import!$A$1:$Z$2488,1965,'Live Data'!$C$21)),"")</f>
        <v/>
      </c>
      <c r="K1965" s="54" t="str">
        <f>IFERROR(IF(INDEX(SPOT_Import!$A$1:$Z$2488,1965,'Live Data'!$C$22)="","",INDEX(SPOT_Import!$A$1:$Z$2488,1965,'Live Data'!$C$22)),"")</f>
        <v/>
      </c>
      <c r="L1965" s="55" t="str">
        <f t="shared" si="60"/>
        <v/>
      </c>
      <c r="M1965" s="55" t="str">
        <f t="shared" si="61"/>
        <v/>
      </c>
      <c r="N1965" s="55" t="str">
        <f>IF(A1965="","",IFERROR(INDEX('Cluster Map'!$A$4:$A$38,MATCH(M1965,'Cluster Map'!$B$4:$B$38,0)),"Unmapped"))</f>
        <v/>
      </c>
      <c r="O1965" s="55">
        <f>IF(A1965="",0,IF(COUNTIFS($A$2:A1965,A1965,$F$2:F1965,F1965,$L$2:L1965,L1965)=1,1,0))</f>
        <v>0</v>
      </c>
      <c r="P1965" s="55">
        <f>IF(A1965="",0,IF(AND(F1965="C&amp;T",COUNTIFS($A$2:A1965,A1965,$F$2:F1965,"C&amp;T")=1),1,0))</f>
        <v>0</v>
      </c>
    </row>
    <row r="1966" spans="1:16" x14ac:dyDescent="0.35">
      <c r="A1966" s="54" t="str">
        <f>IFERROR(IF(INDEX(SPOT_Import!$A$1:$Z$2488,1966,'Live Data'!$C$12)="","",INDEX(SPOT_Import!$A$1:$Z$2488,1966,'Live Data'!$C$12)),"")</f>
        <v/>
      </c>
      <c r="B1966" s="54" t="str">
        <f>IFERROR(IF(INDEX(SPOT_Import!$A$1:$Z$2488,1966,'Live Data'!$C$13)="","",INDEX(SPOT_Import!$A$1:$Z$2488,1966,'Live Data'!$C$13)),"")</f>
        <v/>
      </c>
      <c r="C1966" s="54" t="str">
        <f>IFERROR(IF(INDEX(SPOT_Import!$A$1:$Z$2488,1966,'Live Data'!$C$14)="","",INDEX(SPOT_Import!$A$1:$Z$2488,1966,'Live Data'!$C$14)),"")</f>
        <v/>
      </c>
      <c r="D1966" s="54" t="str">
        <f>IFERROR(IF(INDEX(SPOT_Import!$A$1:$Z$2488,1966,'Live Data'!$C$15)="","",INDEX(SPOT_Import!$A$1:$Z$2488,1966,'Live Data'!$C$15)),"")</f>
        <v/>
      </c>
      <c r="E1966" s="54" t="str">
        <f>IFERROR(IF(INDEX(SPOT_Import!$A$1:$Z$2488,1966,'Live Data'!$C$16)="","",INDEX(SPOT_Import!$A$1:$Z$2488,1966,'Live Data'!$C$16)),"")</f>
        <v/>
      </c>
      <c r="F1966" s="54" t="str">
        <f>IFERROR(IF(INDEX(SPOT_Import!$A$1:$Z$2488,1966,'Live Data'!$C$17)="","",INDEX(SPOT_Import!$A$1:$Z$2488,1966,'Live Data'!$C$17)),"")</f>
        <v/>
      </c>
      <c r="G1966" s="54" t="str">
        <f>IFERROR(IF(INDEX(SPOT_Import!$A$1:$Z$2488,1966,'Live Data'!$C$18)="","",INDEX(SPOT_Import!$A$1:$Z$2488,1966,'Live Data'!$C$18)),"")</f>
        <v/>
      </c>
      <c r="H1966" s="54" t="str">
        <f>IFERROR(IF(INDEX(SPOT_Import!$A$1:$Z$2488,1966,'Live Data'!$C$19)="","",INDEX(SPOT_Import!$A$1:$Z$2488,1966,'Live Data'!$C$19)),"")</f>
        <v/>
      </c>
      <c r="I1966" s="54" t="str">
        <f>IFERROR(IF(INDEX(SPOT_Import!$A$1:$Z$2488,1966,'Live Data'!$C$20)="","",INDEX(SPOT_Import!$A$1:$Z$2488,1966,'Live Data'!$C$20)),"")</f>
        <v/>
      </c>
      <c r="J1966" s="54" t="str">
        <f>IFERROR(IF(INDEX(SPOT_Import!$A$1:$Z$2488,1966,'Live Data'!$C$21)="","",INDEX(SPOT_Import!$A$1:$Z$2488,1966,'Live Data'!$C$21)),"")</f>
        <v/>
      </c>
      <c r="K1966" s="54" t="str">
        <f>IFERROR(IF(INDEX(SPOT_Import!$A$1:$Z$2488,1966,'Live Data'!$C$22)="","",INDEX(SPOT_Import!$A$1:$Z$2488,1966,'Live Data'!$C$22)),"")</f>
        <v/>
      </c>
      <c r="L1966" s="55" t="str">
        <f t="shared" si="60"/>
        <v/>
      </c>
      <c r="M1966" s="55" t="str">
        <f t="shared" si="61"/>
        <v/>
      </c>
      <c r="N1966" s="55" t="str">
        <f>IF(A1966="","",IFERROR(INDEX('Cluster Map'!$A$4:$A$38,MATCH(M1966,'Cluster Map'!$B$4:$B$38,0)),"Unmapped"))</f>
        <v/>
      </c>
      <c r="O1966" s="55">
        <f>IF(A1966="",0,IF(COUNTIFS($A$2:A1966,A1966,$F$2:F1966,F1966,$L$2:L1966,L1966)=1,1,0))</f>
        <v>0</v>
      </c>
      <c r="P1966" s="55">
        <f>IF(A1966="",0,IF(AND(F1966="C&amp;T",COUNTIFS($A$2:A1966,A1966,$F$2:F1966,"C&amp;T")=1),1,0))</f>
        <v>0</v>
      </c>
    </row>
    <row r="1967" spans="1:16" x14ac:dyDescent="0.35">
      <c r="A1967" s="54" t="str">
        <f>IFERROR(IF(INDEX(SPOT_Import!$A$1:$Z$2488,1967,'Live Data'!$C$12)="","",INDEX(SPOT_Import!$A$1:$Z$2488,1967,'Live Data'!$C$12)),"")</f>
        <v/>
      </c>
      <c r="B1967" s="54" t="str">
        <f>IFERROR(IF(INDEX(SPOT_Import!$A$1:$Z$2488,1967,'Live Data'!$C$13)="","",INDEX(SPOT_Import!$A$1:$Z$2488,1967,'Live Data'!$C$13)),"")</f>
        <v/>
      </c>
      <c r="C1967" s="54" t="str">
        <f>IFERROR(IF(INDEX(SPOT_Import!$A$1:$Z$2488,1967,'Live Data'!$C$14)="","",INDEX(SPOT_Import!$A$1:$Z$2488,1967,'Live Data'!$C$14)),"")</f>
        <v/>
      </c>
      <c r="D1967" s="54" t="str">
        <f>IFERROR(IF(INDEX(SPOT_Import!$A$1:$Z$2488,1967,'Live Data'!$C$15)="","",INDEX(SPOT_Import!$A$1:$Z$2488,1967,'Live Data'!$C$15)),"")</f>
        <v/>
      </c>
      <c r="E1967" s="54" t="str">
        <f>IFERROR(IF(INDEX(SPOT_Import!$A$1:$Z$2488,1967,'Live Data'!$C$16)="","",INDEX(SPOT_Import!$A$1:$Z$2488,1967,'Live Data'!$C$16)),"")</f>
        <v/>
      </c>
      <c r="F1967" s="54" t="str">
        <f>IFERROR(IF(INDEX(SPOT_Import!$A$1:$Z$2488,1967,'Live Data'!$C$17)="","",INDEX(SPOT_Import!$A$1:$Z$2488,1967,'Live Data'!$C$17)),"")</f>
        <v/>
      </c>
      <c r="G1967" s="54" t="str">
        <f>IFERROR(IF(INDEX(SPOT_Import!$A$1:$Z$2488,1967,'Live Data'!$C$18)="","",INDEX(SPOT_Import!$A$1:$Z$2488,1967,'Live Data'!$C$18)),"")</f>
        <v/>
      </c>
      <c r="H1967" s="54" t="str">
        <f>IFERROR(IF(INDEX(SPOT_Import!$A$1:$Z$2488,1967,'Live Data'!$C$19)="","",INDEX(SPOT_Import!$A$1:$Z$2488,1967,'Live Data'!$C$19)),"")</f>
        <v/>
      </c>
      <c r="I1967" s="54" t="str">
        <f>IFERROR(IF(INDEX(SPOT_Import!$A$1:$Z$2488,1967,'Live Data'!$C$20)="","",INDEX(SPOT_Import!$A$1:$Z$2488,1967,'Live Data'!$C$20)),"")</f>
        <v/>
      </c>
      <c r="J1967" s="54" t="str">
        <f>IFERROR(IF(INDEX(SPOT_Import!$A$1:$Z$2488,1967,'Live Data'!$C$21)="","",INDEX(SPOT_Import!$A$1:$Z$2488,1967,'Live Data'!$C$21)),"")</f>
        <v/>
      </c>
      <c r="K1967" s="54" t="str">
        <f>IFERROR(IF(INDEX(SPOT_Import!$A$1:$Z$2488,1967,'Live Data'!$C$22)="","",INDEX(SPOT_Import!$A$1:$Z$2488,1967,'Live Data'!$C$22)),"")</f>
        <v/>
      </c>
      <c r="L1967" s="55" t="str">
        <f t="shared" si="60"/>
        <v/>
      </c>
      <c r="M1967" s="55" t="str">
        <f t="shared" si="61"/>
        <v/>
      </c>
      <c r="N1967" s="55" t="str">
        <f>IF(A1967="","",IFERROR(INDEX('Cluster Map'!$A$4:$A$38,MATCH(M1967,'Cluster Map'!$B$4:$B$38,0)),"Unmapped"))</f>
        <v/>
      </c>
      <c r="O1967" s="55">
        <f>IF(A1967="",0,IF(COUNTIFS($A$2:A1967,A1967,$F$2:F1967,F1967,$L$2:L1967,L1967)=1,1,0))</f>
        <v>0</v>
      </c>
      <c r="P1967" s="55">
        <f>IF(A1967="",0,IF(AND(F1967="C&amp;T",COUNTIFS($A$2:A1967,A1967,$F$2:F1967,"C&amp;T")=1),1,0))</f>
        <v>0</v>
      </c>
    </row>
    <row r="1968" spans="1:16" x14ac:dyDescent="0.35">
      <c r="A1968" s="54" t="str">
        <f>IFERROR(IF(INDEX(SPOT_Import!$A$1:$Z$2488,1968,'Live Data'!$C$12)="","",INDEX(SPOT_Import!$A$1:$Z$2488,1968,'Live Data'!$C$12)),"")</f>
        <v/>
      </c>
      <c r="B1968" s="54" t="str">
        <f>IFERROR(IF(INDEX(SPOT_Import!$A$1:$Z$2488,1968,'Live Data'!$C$13)="","",INDEX(SPOT_Import!$A$1:$Z$2488,1968,'Live Data'!$C$13)),"")</f>
        <v/>
      </c>
      <c r="C1968" s="54" t="str">
        <f>IFERROR(IF(INDEX(SPOT_Import!$A$1:$Z$2488,1968,'Live Data'!$C$14)="","",INDEX(SPOT_Import!$A$1:$Z$2488,1968,'Live Data'!$C$14)),"")</f>
        <v/>
      </c>
      <c r="D1968" s="54" t="str">
        <f>IFERROR(IF(INDEX(SPOT_Import!$A$1:$Z$2488,1968,'Live Data'!$C$15)="","",INDEX(SPOT_Import!$A$1:$Z$2488,1968,'Live Data'!$C$15)),"")</f>
        <v/>
      </c>
      <c r="E1968" s="54" t="str">
        <f>IFERROR(IF(INDEX(SPOT_Import!$A$1:$Z$2488,1968,'Live Data'!$C$16)="","",INDEX(SPOT_Import!$A$1:$Z$2488,1968,'Live Data'!$C$16)),"")</f>
        <v/>
      </c>
      <c r="F1968" s="54" t="str">
        <f>IFERROR(IF(INDEX(SPOT_Import!$A$1:$Z$2488,1968,'Live Data'!$C$17)="","",INDEX(SPOT_Import!$A$1:$Z$2488,1968,'Live Data'!$C$17)),"")</f>
        <v/>
      </c>
      <c r="G1968" s="54" t="str">
        <f>IFERROR(IF(INDEX(SPOT_Import!$A$1:$Z$2488,1968,'Live Data'!$C$18)="","",INDEX(SPOT_Import!$A$1:$Z$2488,1968,'Live Data'!$C$18)),"")</f>
        <v/>
      </c>
      <c r="H1968" s="54" t="str">
        <f>IFERROR(IF(INDEX(SPOT_Import!$A$1:$Z$2488,1968,'Live Data'!$C$19)="","",INDEX(SPOT_Import!$A$1:$Z$2488,1968,'Live Data'!$C$19)),"")</f>
        <v/>
      </c>
      <c r="I1968" s="54" t="str">
        <f>IFERROR(IF(INDEX(SPOT_Import!$A$1:$Z$2488,1968,'Live Data'!$C$20)="","",INDEX(SPOT_Import!$A$1:$Z$2488,1968,'Live Data'!$C$20)),"")</f>
        <v/>
      </c>
      <c r="J1968" s="54" t="str">
        <f>IFERROR(IF(INDEX(SPOT_Import!$A$1:$Z$2488,1968,'Live Data'!$C$21)="","",INDEX(SPOT_Import!$A$1:$Z$2488,1968,'Live Data'!$C$21)),"")</f>
        <v/>
      </c>
      <c r="K1968" s="54" t="str">
        <f>IFERROR(IF(INDEX(SPOT_Import!$A$1:$Z$2488,1968,'Live Data'!$C$22)="","",INDEX(SPOT_Import!$A$1:$Z$2488,1968,'Live Data'!$C$22)),"")</f>
        <v/>
      </c>
      <c r="L1968" s="55" t="str">
        <f t="shared" si="60"/>
        <v/>
      </c>
      <c r="M1968" s="55" t="str">
        <f t="shared" si="61"/>
        <v/>
      </c>
      <c r="N1968" s="55" t="str">
        <f>IF(A1968="","",IFERROR(INDEX('Cluster Map'!$A$4:$A$38,MATCH(M1968,'Cluster Map'!$B$4:$B$38,0)),"Unmapped"))</f>
        <v/>
      </c>
      <c r="O1968" s="55">
        <f>IF(A1968="",0,IF(COUNTIFS($A$2:A1968,A1968,$F$2:F1968,F1968,$L$2:L1968,L1968)=1,1,0))</f>
        <v>0</v>
      </c>
      <c r="P1968" s="55">
        <f>IF(A1968="",0,IF(AND(F1968="C&amp;T",COUNTIFS($A$2:A1968,A1968,$F$2:F1968,"C&amp;T")=1),1,0))</f>
        <v>0</v>
      </c>
    </row>
    <row r="1969" spans="1:16" x14ac:dyDescent="0.35">
      <c r="A1969" s="54" t="str">
        <f>IFERROR(IF(INDEX(SPOT_Import!$A$1:$Z$2488,1969,'Live Data'!$C$12)="","",INDEX(SPOT_Import!$A$1:$Z$2488,1969,'Live Data'!$C$12)),"")</f>
        <v/>
      </c>
      <c r="B1969" s="54" t="str">
        <f>IFERROR(IF(INDEX(SPOT_Import!$A$1:$Z$2488,1969,'Live Data'!$C$13)="","",INDEX(SPOT_Import!$A$1:$Z$2488,1969,'Live Data'!$C$13)),"")</f>
        <v/>
      </c>
      <c r="C1969" s="54" t="str">
        <f>IFERROR(IF(INDEX(SPOT_Import!$A$1:$Z$2488,1969,'Live Data'!$C$14)="","",INDEX(SPOT_Import!$A$1:$Z$2488,1969,'Live Data'!$C$14)),"")</f>
        <v/>
      </c>
      <c r="D1969" s="54" t="str">
        <f>IFERROR(IF(INDEX(SPOT_Import!$A$1:$Z$2488,1969,'Live Data'!$C$15)="","",INDEX(SPOT_Import!$A$1:$Z$2488,1969,'Live Data'!$C$15)),"")</f>
        <v/>
      </c>
      <c r="E1969" s="54" t="str">
        <f>IFERROR(IF(INDEX(SPOT_Import!$A$1:$Z$2488,1969,'Live Data'!$C$16)="","",INDEX(SPOT_Import!$A$1:$Z$2488,1969,'Live Data'!$C$16)),"")</f>
        <v/>
      </c>
      <c r="F1969" s="54" t="str">
        <f>IFERROR(IF(INDEX(SPOT_Import!$A$1:$Z$2488,1969,'Live Data'!$C$17)="","",INDEX(SPOT_Import!$A$1:$Z$2488,1969,'Live Data'!$C$17)),"")</f>
        <v/>
      </c>
      <c r="G1969" s="54" t="str">
        <f>IFERROR(IF(INDEX(SPOT_Import!$A$1:$Z$2488,1969,'Live Data'!$C$18)="","",INDEX(SPOT_Import!$A$1:$Z$2488,1969,'Live Data'!$C$18)),"")</f>
        <v/>
      </c>
      <c r="H1969" s="54" t="str">
        <f>IFERROR(IF(INDEX(SPOT_Import!$A$1:$Z$2488,1969,'Live Data'!$C$19)="","",INDEX(SPOT_Import!$A$1:$Z$2488,1969,'Live Data'!$C$19)),"")</f>
        <v/>
      </c>
      <c r="I1969" s="54" t="str">
        <f>IFERROR(IF(INDEX(SPOT_Import!$A$1:$Z$2488,1969,'Live Data'!$C$20)="","",INDEX(SPOT_Import!$A$1:$Z$2488,1969,'Live Data'!$C$20)),"")</f>
        <v/>
      </c>
      <c r="J1969" s="54" t="str">
        <f>IFERROR(IF(INDEX(SPOT_Import!$A$1:$Z$2488,1969,'Live Data'!$C$21)="","",INDEX(SPOT_Import!$A$1:$Z$2488,1969,'Live Data'!$C$21)),"")</f>
        <v/>
      </c>
      <c r="K1969" s="54" t="str">
        <f>IFERROR(IF(INDEX(SPOT_Import!$A$1:$Z$2488,1969,'Live Data'!$C$22)="","",INDEX(SPOT_Import!$A$1:$Z$2488,1969,'Live Data'!$C$22)),"")</f>
        <v/>
      </c>
      <c r="L1969" s="55" t="str">
        <f t="shared" si="60"/>
        <v/>
      </c>
      <c r="M1969" s="55" t="str">
        <f t="shared" si="61"/>
        <v/>
      </c>
      <c r="N1969" s="55" t="str">
        <f>IF(A1969="","",IFERROR(INDEX('Cluster Map'!$A$4:$A$38,MATCH(M1969,'Cluster Map'!$B$4:$B$38,0)),"Unmapped"))</f>
        <v/>
      </c>
      <c r="O1969" s="55">
        <f>IF(A1969="",0,IF(COUNTIFS($A$2:A1969,A1969,$F$2:F1969,F1969,$L$2:L1969,L1969)=1,1,0))</f>
        <v>0</v>
      </c>
      <c r="P1969" s="55">
        <f>IF(A1969="",0,IF(AND(F1969="C&amp;T",COUNTIFS($A$2:A1969,A1969,$F$2:F1969,"C&amp;T")=1),1,0))</f>
        <v>0</v>
      </c>
    </row>
    <row r="1970" spans="1:16" x14ac:dyDescent="0.35">
      <c r="A1970" s="54" t="str">
        <f>IFERROR(IF(INDEX(SPOT_Import!$A$1:$Z$2488,1970,'Live Data'!$C$12)="","",INDEX(SPOT_Import!$A$1:$Z$2488,1970,'Live Data'!$C$12)),"")</f>
        <v/>
      </c>
      <c r="B1970" s="54" t="str">
        <f>IFERROR(IF(INDEX(SPOT_Import!$A$1:$Z$2488,1970,'Live Data'!$C$13)="","",INDEX(SPOT_Import!$A$1:$Z$2488,1970,'Live Data'!$C$13)),"")</f>
        <v/>
      </c>
      <c r="C1970" s="54" t="str">
        <f>IFERROR(IF(INDEX(SPOT_Import!$A$1:$Z$2488,1970,'Live Data'!$C$14)="","",INDEX(SPOT_Import!$A$1:$Z$2488,1970,'Live Data'!$C$14)),"")</f>
        <v/>
      </c>
      <c r="D1970" s="54" t="str">
        <f>IFERROR(IF(INDEX(SPOT_Import!$A$1:$Z$2488,1970,'Live Data'!$C$15)="","",INDEX(SPOT_Import!$A$1:$Z$2488,1970,'Live Data'!$C$15)),"")</f>
        <v/>
      </c>
      <c r="E1970" s="54" t="str">
        <f>IFERROR(IF(INDEX(SPOT_Import!$A$1:$Z$2488,1970,'Live Data'!$C$16)="","",INDEX(SPOT_Import!$A$1:$Z$2488,1970,'Live Data'!$C$16)),"")</f>
        <v/>
      </c>
      <c r="F1970" s="54" t="str">
        <f>IFERROR(IF(INDEX(SPOT_Import!$A$1:$Z$2488,1970,'Live Data'!$C$17)="","",INDEX(SPOT_Import!$A$1:$Z$2488,1970,'Live Data'!$C$17)),"")</f>
        <v/>
      </c>
      <c r="G1970" s="54" t="str">
        <f>IFERROR(IF(INDEX(SPOT_Import!$A$1:$Z$2488,1970,'Live Data'!$C$18)="","",INDEX(SPOT_Import!$A$1:$Z$2488,1970,'Live Data'!$C$18)),"")</f>
        <v/>
      </c>
      <c r="H1970" s="54" t="str">
        <f>IFERROR(IF(INDEX(SPOT_Import!$A$1:$Z$2488,1970,'Live Data'!$C$19)="","",INDEX(SPOT_Import!$A$1:$Z$2488,1970,'Live Data'!$C$19)),"")</f>
        <v/>
      </c>
      <c r="I1970" s="54" t="str">
        <f>IFERROR(IF(INDEX(SPOT_Import!$A$1:$Z$2488,1970,'Live Data'!$C$20)="","",INDEX(SPOT_Import!$A$1:$Z$2488,1970,'Live Data'!$C$20)),"")</f>
        <v/>
      </c>
      <c r="J1970" s="54" t="str">
        <f>IFERROR(IF(INDEX(SPOT_Import!$A$1:$Z$2488,1970,'Live Data'!$C$21)="","",INDEX(SPOT_Import!$A$1:$Z$2488,1970,'Live Data'!$C$21)),"")</f>
        <v/>
      </c>
      <c r="K1970" s="54" t="str">
        <f>IFERROR(IF(INDEX(SPOT_Import!$A$1:$Z$2488,1970,'Live Data'!$C$22)="","",INDEX(SPOT_Import!$A$1:$Z$2488,1970,'Live Data'!$C$22)),"")</f>
        <v/>
      </c>
      <c r="L1970" s="55" t="str">
        <f t="shared" si="60"/>
        <v/>
      </c>
      <c r="M1970" s="55" t="str">
        <f t="shared" si="61"/>
        <v/>
      </c>
      <c r="N1970" s="55" t="str">
        <f>IF(A1970="","",IFERROR(INDEX('Cluster Map'!$A$4:$A$38,MATCH(M1970,'Cluster Map'!$B$4:$B$38,0)),"Unmapped"))</f>
        <v/>
      </c>
      <c r="O1970" s="55">
        <f>IF(A1970="",0,IF(COUNTIFS($A$2:A1970,A1970,$F$2:F1970,F1970,$L$2:L1970,L1970)=1,1,0))</f>
        <v>0</v>
      </c>
      <c r="P1970" s="55">
        <f>IF(A1970="",0,IF(AND(F1970="C&amp;T",COUNTIFS($A$2:A1970,A1970,$F$2:F1970,"C&amp;T")=1),1,0))</f>
        <v>0</v>
      </c>
    </row>
    <row r="1971" spans="1:16" x14ac:dyDescent="0.35">
      <c r="A1971" s="54" t="str">
        <f>IFERROR(IF(INDEX(SPOT_Import!$A$1:$Z$2488,1971,'Live Data'!$C$12)="","",INDEX(SPOT_Import!$A$1:$Z$2488,1971,'Live Data'!$C$12)),"")</f>
        <v/>
      </c>
      <c r="B1971" s="54" t="str">
        <f>IFERROR(IF(INDEX(SPOT_Import!$A$1:$Z$2488,1971,'Live Data'!$C$13)="","",INDEX(SPOT_Import!$A$1:$Z$2488,1971,'Live Data'!$C$13)),"")</f>
        <v/>
      </c>
      <c r="C1971" s="54" t="str">
        <f>IFERROR(IF(INDEX(SPOT_Import!$A$1:$Z$2488,1971,'Live Data'!$C$14)="","",INDEX(SPOT_Import!$A$1:$Z$2488,1971,'Live Data'!$C$14)),"")</f>
        <v/>
      </c>
      <c r="D1971" s="54" t="str">
        <f>IFERROR(IF(INDEX(SPOT_Import!$A$1:$Z$2488,1971,'Live Data'!$C$15)="","",INDEX(SPOT_Import!$A$1:$Z$2488,1971,'Live Data'!$C$15)),"")</f>
        <v/>
      </c>
      <c r="E1971" s="54" t="str">
        <f>IFERROR(IF(INDEX(SPOT_Import!$A$1:$Z$2488,1971,'Live Data'!$C$16)="","",INDEX(SPOT_Import!$A$1:$Z$2488,1971,'Live Data'!$C$16)),"")</f>
        <v/>
      </c>
      <c r="F1971" s="54" t="str">
        <f>IFERROR(IF(INDEX(SPOT_Import!$A$1:$Z$2488,1971,'Live Data'!$C$17)="","",INDEX(SPOT_Import!$A$1:$Z$2488,1971,'Live Data'!$C$17)),"")</f>
        <v/>
      </c>
      <c r="G1971" s="54" t="str">
        <f>IFERROR(IF(INDEX(SPOT_Import!$A$1:$Z$2488,1971,'Live Data'!$C$18)="","",INDEX(SPOT_Import!$A$1:$Z$2488,1971,'Live Data'!$C$18)),"")</f>
        <v/>
      </c>
      <c r="H1971" s="54" t="str">
        <f>IFERROR(IF(INDEX(SPOT_Import!$A$1:$Z$2488,1971,'Live Data'!$C$19)="","",INDEX(SPOT_Import!$A$1:$Z$2488,1971,'Live Data'!$C$19)),"")</f>
        <v/>
      </c>
      <c r="I1971" s="54" t="str">
        <f>IFERROR(IF(INDEX(SPOT_Import!$A$1:$Z$2488,1971,'Live Data'!$C$20)="","",INDEX(SPOT_Import!$A$1:$Z$2488,1971,'Live Data'!$C$20)),"")</f>
        <v/>
      </c>
      <c r="J1971" s="54" t="str">
        <f>IFERROR(IF(INDEX(SPOT_Import!$A$1:$Z$2488,1971,'Live Data'!$C$21)="","",INDEX(SPOT_Import!$A$1:$Z$2488,1971,'Live Data'!$C$21)),"")</f>
        <v/>
      </c>
      <c r="K1971" s="54" t="str">
        <f>IFERROR(IF(INDEX(SPOT_Import!$A$1:$Z$2488,1971,'Live Data'!$C$22)="","",INDEX(SPOT_Import!$A$1:$Z$2488,1971,'Live Data'!$C$22)),"")</f>
        <v/>
      </c>
      <c r="L1971" s="55" t="str">
        <f t="shared" si="60"/>
        <v/>
      </c>
      <c r="M1971" s="55" t="str">
        <f t="shared" si="61"/>
        <v/>
      </c>
      <c r="N1971" s="55" t="str">
        <f>IF(A1971="","",IFERROR(INDEX('Cluster Map'!$A$4:$A$38,MATCH(M1971,'Cluster Map'!$B$4:$B$38,0)),"Unmapped"))</f>
        <v/>
      </c>
      <c r="O1971" s="55">
        <f>IF(A1971="",0,IF(COUNTIFS($A$2:A1971,A1971,$F$2:F1971,F1971,$L$2:L1971,L1971)=1,1,0))</f>
        <v>0</v>
      </c>
      <c r="P1971" s="55">
        <f>IF(A1971="",0,IF(AND(F1971="C&amp;T",COUNTIFS($A$2:A1971,A1971,$F$2:F1971,"C&amp;T")=1),1,0))</f>
        <v>0</v>
      </c>
    </row>
    <row r="1972" spans="1:16" x14ac:dyDescent="0.35">
      <c r="A1972" s="54" t="str">
        <f>IFERROR(IF(INDEX(SPOT_Import!$A$1:$Z$2488,1972,'Live Data'!$C$12)="","",INDEX(SPOT_Import!$A$1:$Z$2488,1972,'Live Data'!$C$12)),"")</f>
        <v/>
      </c>
      <c r="B1972" s="54" t="str">
        <f>IFERROR(IF(INDEX(SPOT_Import!$A$1:$Z$2488,1972,'Live Data'!$C$13)="","",INDEX(SPOT_Import!$A$1:$Z$2488,1972,'Live Data'!$C$13)),"")</f>
        <v/>
      </c>
      <c r="C1972" s="54" t="str">
        <f>IFERROR(IF(INDEX(SPOT_Import!$A$1:$Z$2488,1972,'Live Data'!$C$14)="","",INDEX(SPOT_Import!$A$1:$Z$2488,1972,'Live Data'!$C$14)),"")</f>
        <v/>
      </c>
      <c r="D1972" s="54" t="str">
        <f>IFERROR(IF(INDEX(SPOT_Import!$A$1:$Z$2488,1972,'Live Data'!$C$15)="","",INDEX(SPOT_Import!$A$1:$Z$2488,1972,'Live Data'!$C$15)),"")</f>
        <v/>
      </c>
      <c r="E1972" s="54" t="str">
        <f>IFERROR(IF(INDEX(SPOT_Import!$A$1:$Z$2488,1972,'Live Data'!$C$16)="","",INDEX(SPOT_Import!$A$1:$Z$2488,1972,'Live Data'!$C$16)),"")</f>
        <v/>
      </c>
      <c r="F1972" s="54" t="str">
        <f>IFERROR(IF(INDEX(SPOT_Import!$A$1:$Z$2488,1972,'Live Data'!$C$17)="","",INDEX(SPOT_Import!$A$1:$Z$2488,1972,'Live Data'!$C$17)),"")</f>
        <v/>
      </c>
      <c r="G1972" s="54" t="str">
        <f>IFERROR(IF(INDEX(SPOT_Import!$A$1:$Z$2488,1972,'Live Data'!$C$18)="","",INDEX(SPOT_Import!$A$1:$Z$2488,1972,'Live Data'!$C$18)),"")</f>
        <v/>
      </c>
      <c r="H1972" s="54" t="str">
        <f>IFERROR(IF(INDEX(SPOT_Import!$A$1:$Z$2488,1972,'Live Data'!$C$19)="","",INDEX(SPOT_Import!$A$1:$Z$2488,1972,'Live Data'!$C$19)),"")</f>
        <v/>
      </c>
      <c r="I1972" s="54" t="str">
        <f>IFERROR(IF(INDEX(SPOT_Import!$A$1:$Z$2488,1972,'Live Data'!$C$20)="","",INDEX(SPOT_Import!$A$1:$Z$2488,1972,'Live Data'!$C$20)),"")</f>
        <v/>
      </c>
      <c r="J1972" s="54" t="str">
        <f>IFERROR(IF(INDEX(SPOT_Import!$A$1:$Z$2488,1972,'Live Data'!$C$21)="","",INDEX(SPOT_Import!$A$1:$Z$2488,1972,'Live Data'!$C$21)),"")</f>
        <v/>
      </c>
      <c r="K1972" s="54" t="str">
        <f>IFERROR(IF(INDEX(SPOT_Import!$A$1:$Z$2488,1972,'Live Data'!$C$22)="","",INDEX(SPOT_Import!$A$1:$Z$2488,1972,'Live Data'!$C$22)),"")</f>
        <v/>
      </c>
      <c r="L1972" s="55" t="str">
        <f t="shared" si="60"/>
        <v/>
      </c>
      <c r="M1972" s="55" t="str">
        <f t="shared" si="61"/>
        <v/>
      </c>
      <c r="N1972" s="55" t="str">
        <f>IF(A1972="","",IFERROR(INDEX('Cluster Map'!$A$4:$A$38,MATCH(M1972,'Cluster Map'!$B$4:$B$38,0)),"Unmapped"))</f>
        <v/>
      </c>
      <c r="O1972" s="55">
        <f>IF(A1972="",0,IF(COUNTIFS($A$2:A1972,A1972,$F$2:F1972,F1972,$L$2:L1972,L1972)=1,1,0))</f>
        <v>0</v>
      </c>
      <c r="P1972" s="55">
        <f>IF(A1972="",0,IF(AND(F1972="C&amp;T",COUNTIFS($A$2:A1972,A1972,$F$2:F1972,"C&amp;T")=1),1,0))</f>
        <v>0</v>
      </c>
    </row>
    <row r="1973" spans="1:16" x14ac:dyDescent="0.35">
      <c r="A1973" s="54" t="str">
        <f>IFERROR(IF(INDEX(SPOT_Import!$A$1:$Z$2488,1973,'Live Data'!$C$12)="","",INDEX(SPOT_Import!$A$1:$Z$2488,1973,'Live Data'!$C$12)),"")</f>
        <v/>
      </c>
      <c r="B1973" s="54" t="str">
        <f>IFERROR(IF(INDEX(SPOT_Import!$A$1:$Z$2488,1973,'Live Data'!$C$13)="","",INDEX(SPOT_Import!$A$1:$Z$2488,1973,'Live Data'!$C$13)),"")</f>
        <v/>
      </c>
      <c r="C1973" s="54" t="str">
        <f>IFERROR(IF(INDEX(SPOT_Import!$A$1:$Z$2488,1973,'Live Data'!$C$14)="","",INDEX(SPOT_Import!$A$1:$Z$2488,1973,'Live Data'!$C$14)),"")</f>
        <v/>
      </c>
      <c r="D1973" s="54" t="str">
        <f>IFERROR(IF(INDEX(SPOT_Import!$A$1:$Z$2488,1973,'Live Data'!$C$15)="","",INDEX(SPOT_Import!$A$1:$Z$2488,1973,'Live Data'!$C$15)),"")</f>
        <v/>
      </c>
      <c r="E1973" s="54" t="str">
        <f>IFERROR(IF(INDEX(SPOT_Import!$A$1:$Z$2488,1973,'Live Data'!$C$16)="","",INDEX(SPOT_Import!$A$1:$Z$2488,1973,'Live Data'!$C$16)),"")</f>
        <v/>
      </c>
      <c r="F1973" s="54" t="str">
        <f>IFERROR(IF(INDEX(SPOT_Import!$A$1:$Z$2488,1973,'Live Data'!$C$17)="","",INDEX(SPOT_Import!$A$1:$Z$2488,1973,'Live Data'!$C$17)),"")</f>
        <v/>
      </c>
      <c r="G1973" s="54" t="str">
        <f>IFERROR(IF(INDEX(SPOT_Import!$A$1:$Z$2488,1973,'Live Data'!$C$18)="","",INDEX(SPOT_Import!$A$1:$Z$2488,1973,'Live Data'!$C$18)),"")</f>
        <v/>
      </c>
      <c r="H1973" s="54" t="str">
        <f>IFERROR(IF(INDEX(SPOT_Import!$A$1:$Z$2488,1973,'Live Data'!$C$19)="","",INDEX(SPOT_Import!$A$1:$Z$2488,1973,'Live Data'!$C$19)),"")</f>
        <v/>
      </c>
      <c r="I1973" s="54" t="str">
        <f>IFERROR(IF(INDEX(SPOT_Import!$A$1:$Z$2488,1973,'Live Data'!$C$20)="","",INDEX(SPOT_Import!$A$1:$Z$2488,1973,'Live Data'!$C$20)),"")</f>
        <v/>
      </c>
      <c r="J1973" s="54" t="str">
        <f>IFERROR(IF(INDEX(SPOT_Import!$A$1:$Z$2488,1973,'Live Data'!$C$21)="","",INDEX(SPOT_Import!$A$1:$Z$2488,1973,'Live Data'!$C$21)),"")</f>
        <v/>
      </c>
      <c r="K1973" s="54" t="str">
        <f>IFERROR(IF(INDEX(SPOT_Import!$A$1:$Z$2488,1973,'Live Data'!$C$22)="","",INDEX(SPOT_Import!$A$1:$Z$2488,1973,'Live Data'!$C$22)),"")</f>
        <v/>
      </c>
      <c r="L1973" s="55" t="str">
        <f t="shared" si="60"/>
        <v/>
      </c>
      <c r="M1973" s="55" t="str">
        <f t="shared" si="61"/>
        <v/>
      </c>
      <c r="N1973" s="55" t="str">
        <f>IF(A1973="","",IFERROR(INDEX('Cluster Map'!$A$4:$A$38,MATCH(M1973,'Cluster Map'!$B$4:$B$38,0)),"Unmapped"))</f>
        <v/>
      </c>
      <c r="O1973" s="55">
        <f>IF(A1973="",0,IF(COUNTIFS($A$2:A1973,A1973,$F$2:F1973,F1973,$L$2:L1973,L1973)=1,1,0))</f>
        <v>0</v>
      </c>
      <c r="P1973" s="55">
        <f>IF(A1973="",0,IF(AND(F1973="C&amp;T",COUNTIFS($A$2:A1973,A1973,$F$2:F1973,"C&amp;T")=1),1,0))</f>
        <v>0</v>
      </c>
    </row>
    <row r="1974" spans="1:16" x14ac:dyDescent="0.35">
      <c r="A1974" s="54" t="str">
        <f>IFERROR(IF(INDEX(SPOT_Import!$A$1:$Z$2488,1974,'Live Data'!$C$12)="","",INDEX(SPOT_Import!$A$1:$Z$2488,1974,'Live Data'!$C$12)),"")</f>
        <v/>
      </c>
      <c r="B1974" s="54" t="str">
        <f>IFERROR(IF(INDEX(SPOT_Import!$A$1:$Z$2488,1974,'Live Data'!$C$13)="","",INDEX(SPOT_Import!$A$1:$Z$2488,1974,'Live Data'!$C$13)),"")</f>
        <v/>
      </c>
      <c r="C1974" s="54" t="str">
        <f>IFERROR(IF(INDEX(SPOT_Import!$A$1:$Z$2488,1974,'Live Data'!$C$14)="","",INDEX(SPOT_Import!$A$1:$Z$2488,1974,'Live Data'!$C$14)),"")</f>
        <v/>
      </c>
      <c r="D1974" s="54" t="str">
        <f>IFERROR(IF(INDEX(SPOT_Import!$A$1:$Z$2488,1974,'Live Data'!$C$15)="","",INDEX(SPOT_Import!$A$1:$Z$2488,1974,'Live Data'!$C$15)),"")</f>
        <v/>
      </c>
      <c r="E1974" s="54" t="str">
        <f>IFERROR(IF(INDEX(SPOT_Import!$A$1:$Z$2488,1974,'Live Data'!$C$16)="","",INDEX(SPOT_Import!$A$1:$Z$2488,1974,'Live Data'!$C$16)),"")</f>
        <v/>
      </c>
      <c r="F1974" s="54" t="str">
        <f>IFERROR(IF(INDEX(SPOT_Import!$A$1:$Z$2488,1974,'Live Data'!$C$17)="","",INDEX(SPOT_Import!$A$1:$Z$2488,1974,'Live Data'!$C$17)),"")</f>
        <v/>
      </c>
      <c r="G1974" s="54" t="str">
        <f>IFERROR(IF(INDEX(SPOT_Import!$A$1:$Z$2488,1974,'Live Data'!$C$18)="","",INDEX(SPOT_Import!$A$1:$Z$2488,1974,'Live Data'!$C$18)),"")</f>
        <v/>
      </c>
      <c r="H1974" s="54" t="str">
        <f>IFERROR(IF(INDEX(SPOT_Import!$A$1:$Z$2488,1974,'Live Data'!$C$19)="","",INDEX(SPOT_Import!$A$1:$Z$2488,1974,'Live Data'!$C$19)),"")</f>
        <v/>
      </c>
      <c r="I1974" s="54" t="str">
        <f>IFERROR(IF(INDEX(SPOT_Import!$A$1:$Z$2488,1974,'Live Data'!$C$20)="","",INDEX(SPOT_Import!$A$1:$Z$2488,1974,'Live Data'!$C$20)),"")</f>
        <v/>
      </c>
      <c r="J1974" s="54" t="str">
        <f>IFERROR(IF(INDEX(SPOT_Import!$A$1:$Z$2488,1974,'Live Data'!$C$21)="","",INDEX(SPOT_Import!$A$1:$Z$2488,1974,'Live Data'!$C$21)),"")</f>
        <v/>
      </c>
      <c r="K1974" s="54" t="str">
        <f>IFERROR(IF(INDEX(SPOT_Import!$A$1:$Z$2488,1974,'Live Data'!$C$22)="","",INDEX(SPOT_Import!$A$1:$Z$2488,1974,'Live Data'!$C$22)),"")</f>
        <v/>
      </c>
      <c r="L1974" s="55" t="str">
        <f t="shared" si="60"/>
        <v/>
      </c>
      <c r="M1974" s="55" t="str">
        <f t="shared" si="61"/>
        <v/>
      </c>
      <c r="N1974" s="55" t="str">
        <f>IF(A1974="","",IFERROR(INDEX('Cluster Map'!$A$4:$A$38,MATCH(M1974,'Cluster Map'!$B$4:$B$38,0)),"Unmapped"))</f>
        <v/>
      </c>
      <c r="O1974" s="55">
        <f>IF(A1974="",0,IF(COUNTIFS($A$2:A1974,A1974,$F$2:F1974,F1974,$L$2:L1974,L1974)=1,1,0))</f>
        <v>0</v>
      </c>
      <c r="P1974" s="55">
        <f>IF(A1974="",0,IF(AND(F1974="C&amp;T",COUNTIFS($A$2:A1974,A1974,$F$2:F1974,"C&amp;T")=1),1,0))</f>
        <v>0</v>
      </c>
    </row>
    <row r="1975" spans="1:16" x14ac:dyDescent="0.35">
      <c r="A1975" s="54" t="str">
        <f>IFERROR(IF(INDEX(SPOT_Import!$A$1:$Z$2488,1975,'Live Data'!$C$12)="","",INDEX(SPOT_Import!$A$1:$Z$2488,1975,'Live Data'!$C$12)),"")</f>
        <v/>
      </c>
      <c r="B1975" s="54" t="str">
        <f>IFERROR(IF(INDEX(SPOT_Import!$A$1:$Z$2488,1975,'Live Data'!$C$13)="","",INDEX(SPOT_Import!$A$1:$Z$2488,1975,'Live Data'!$C$13)),"")</f>
        <v/>
      </c>
      <c r="C1975" s="54" t="str">
        <f>IFERROR(IF(INDEX(SPOT_Import!$A$1:$Z$2488,1975,'Live Data'!$C$14)="","",INDEX(SPOT_Import!$A$1:$Z$2488,1975,'Live Data'!$C$14)),"")</f>
        <v/>
      </c>
      <c r="D1975" s="54" t="str">
        <f>IFERROR(IF(INDEX(SPOT_Import!$A$1:$Z$2488,1975,'Live Data'!$C$15)="","",INDEX(SPOT_Import!$A$1:$Z$2488,1975,'Live Data'!$C$15)),"")</f>
        <v/>
      </c>
      <c r="E1975" s="54" t="str">
        <f>IFERROR(IF(INDEX(SPOT_Import!$A$1:$Z$2488,1975,'Live Data'!$C$16)="","",INDEX(SPOT_Import!$A$1:$Z$2488,1975,'Live Data'!$C$16)),"")</f>
        <v/>
      </c>
      <c r="F1975" s="54" t="str">
        <f>IFERROR(IF(INDEX(SPOT_Import!$A$1:$Z$2488,1975,'Live Data'!$C$17)="","",INDEX(SPOT_Import!$A$1:$Z$2488,1975,'Live Data'!$C$17)),"")</f>
        <v/>
      </c>
      <c r="G1975" s="54" t="str">
        <f>IFERROR(IF(INDEX(SPOT_Import!$A$1:$Z$2488,1975,'Live Data'!$C$18)="","",INDEX(SPOT_Import!$A$1:$Z$2488,1975,'Live Data'!$C$18)),"")</f>
        <v/>
      </c>
      <c r="H1975" s="54" t="str">
        <f>IFERROR(IF(INDEX(SPOT_Import!$A$1:$Z$2488,1975,'Live Data'!$C$19)="","",INDEX(SPOT_Import!$A$1:$Z$2488,1975,'Live Data'!$C$19)),"")</f>
        <v/>
      </c>
      <c r="I1975" s="54" t="str">
        <f>IFERROR(IF(INDEX(SPOT_Import!$A$1:$Z$2488,1975,'Live Data'!$C$20)="","",INDEX(SPOT_Import!$A$1:$Z$2488,1975,'Live Data'!$C$20)),"")</f>
        <v/>
      </c>
      <c r="J1975" s="54" t="str">
        <f>IFERROR(IF(INDEX(SPOT_Import!$A$1:$Z$2488,1975,'Live Data'!$C$21)="","",INDEX(SPOT_Import!$A$1:$Z$2488,1975,'Live Data'!$C$21)),"")</f>
        <v/>
      </c>
      <c r="K1975" s="54" t="str">
        <f>IFERROR(IF(INDEX(SPOT_Import!$A$1:$Z$2488,1975,'Live Data'!$C$22)="","",INDEX(SPOT_Import!$A$1:$Z$2488,1975,'Live Data'!$C$22)),"")</f>
        <v/>
      </c>
      <c r="L1975" s="55" t="str">
        <f t="shared" si="60"/>
        <v/>
      </c>
      <c r="M1975" s="55" t="str">
        <f t="shared" si="61"/>
        <v/>
      </c>
      <c r="N1975" s="55" t="str">
        <f>IF(A1975="","",IFERROR(INDEX('Cluster Map'!$A$4:$A$38,MATCH(M1975,'Cluster Map'!$B$4:$B$38,0)),"Unmapped"))</f>
        <v/>
      </c>
      <c r="O1975" s="55">
        <f>IF(A1975="",0,IF(COUNTIFS($A$2:A1975,A1975,$F$2:F1975,F1975,$L$2:L1975,L1975)=1,1,0))</f>
        <v>0</v>
      </c>
      <c r="P1975" s="55">
        <f>IF(A1975="",0,IF(AND(F1975="C&amp;T",COUNTIFS($A$2:A1975,A1975,$F$2:F1975,"C&amp;T")=1),1,0))</f>
        <v>0</v>
      </c>
    </row>
    <row r="1976" spans="1:16" x14ac:dyDescent="0.35">
      <c r="A1976" s="54" t="str">
        <f>IFERROR(IF(INDEX(SPOT_Import!$A$1:$Z$2488,1976,'Live Data'!$C$12)="","",INDEX(SPOT_Import!$A$1:$Z$2488,1976,'Live Data'!$C$12)),"")</f>
        <v/>
      </c>
      <c r="B1976" s="54" t="str">
        <f>IFERROR(IF(INDEX(SPOT_Import!$A$1:$Z$2488,1976,'Live Data'!$C$13)="","",INDEX(SPOT_Import!$A$1:$Z$2488,1976,'Live Data'!$C$13)),"")</f>
        <v/>
      </c>
      <c r="C1976" s="54" t="str">
        <f>IFERROR(IF(INDEX(SPOT_Import!$A$1:$Z$2488,1976,'Live Data'!$C$14)="","",INDEX(SPOT_Import!$A$1:$Z$2488,1976,'Live Data'!$C$14)),"")</f>
        <v/>
      </c>
      <c r="D1976" s="54" t="str">
        <f>IFERROR(IF(INDEX(SPOT_Import!$A$1:$Z$2488,1976,'Live Data'!$C$15)="","",INDEX(SPOT_Import!$A$1:$Z$2488,1976,'Live Data'!$C$15)),"")</f>
        <v/>
      </c>
      <c r="E1976" s="54" t="str">
        <f>IFERROR(IF(INDEX(SPOT_Import!$A$1:$Z$2488,1976,'Live Data'!$C$16)="","",INDEX(SPOT_Import!$A$1:$Z$2488,1976,'Live Data'!$C$16)),"")</f>
        <v/>
      </c>
      <c r="F1976" s="54" t="str">
        <f>IFERROR(IF(INDEX(SPOT_Import!$A$1:$Z$2488,1976,'Live Data'!$C$17)="","",INDEX(SPOT_Import!$A$1:$Z$2488,1976,'Live Data'!$C$17)),"")</f>
        <v/>
      </c>
      <c r="G1976" s="54" t="str">
        <f>IFERROR(IF(INDEX(SPOT_Import!$A$1:$Z$2488,1976,'Live Data'!$C$18)="","",INDEX(SPOT_Import!$A$1:$Z$2488,1976,'Live Data'!$C$18)),"")</f>
        <v/>
      </c>
      <c r="H1976" s="54" t="str">
        <f>IFERROR(IF(INDEX(SPOT_Import!$A$1:$Z$2488,1976,'Live Data'!$C$19)="","",INDEX(SPOT_Import!$A$1:$Z$2488,1976,'Live Data'!$C$19)),"")</f>
        <v/>
      </c>
      <c r="I1976" s="54" t="str">
        <f>IFERROR(IF(INDEX(SPOT_Import!$A$1:$Z$2488,1976,'Live Data'!$C$20)="","",INDEX(SPOT_Import!$A$1:$Z$2488,1976,'Live Data'!$C$20)),"")</f>
        <v/>
      </c>
      <c r="J1976" s="54" t="str">
        <f>IFERROR(IF(INDEX(SPOT_Import!$A$1:$Z$2488,1976,'Live Data'!$C$21)="","",INDEX(SPOT_Import!$A$1:$Z$2488,1976,'Live Data'!$C$21)),"")</f>
        <v/>
      </c>
      <c r="K1976" s="54" t="str">
        <f>IFERROR(IF(INDEX(SPOT_Import!$A$1:$Z$2488,1976,'Live Data'!$C$22)="","",INDEX(SPOT_Import!$A$1:$Z$2488,1976,'Live Data'!$C$22)),"")</f>
        <v/>
      </c>
      <c r="L1976" s="55" t="str">
        <f t="shared" si="60"/>
        <v/>
      </c>
      <c r="M1976" s="55" t="str">
        <f t="shared" si="61"/>
        <v/>
      </c>
      <c r="N1976" s="55" t="str">
        <f>IF(A1976="","",IFERROR(INDEX('Cluster Map'!$A$4:$A$38,MATCH(M1976,'Cluster Map'!$B$4:$B$38,0)),"Unmapped"))</f>
        <v/>
      </c>
      <c r="O1976" s="55">
        <f>IF(A1976="",0,IF(COUNTIFS($A$2:A1976,A1976,$F$2:F1976,F1976,$L$2:L1976,L1976)=1,1,0))</f>
        <v>0</v>
      </c>
      <c r="P1976" s="55">
        <f>IF(A1976="",0,IF(AND(F1976="C&amp;T",COUNTIFS($A$2:A1976,A1976,$F$2:F1976,"C&amp;T")=1),1,0))</f>
        <v>0</v>
      </c>
    </row>
    <row r="1977" spans="1:16" x14ac:dyDescent="0.35">
      <c r="A1977" s="54" t="str">
        <f>IFERROR(IF(INDEX(SPOT_Import!$A$1:$Z$2488,1977,'Live Data'!$C$12)="","",INDEX(SPOT_Import!$A$1:$Z$2488,1977,'Live Data'!$C$12)),"")</f>
        <v/>
      </c>
      <c r="B1977" s="54" t="str">
        <f>IFERROR(IF(INDEX(SPOT_Import!$A$1:$Z$2488,1977,'Live Data'!$C$13)="","",INDEX(SPOT_Import!$A$1:$Z$2488,1977,'Live Data'!$C$13)),"")</f>
        <v/>
      </c>
      <c r="C1977" s="54" t="str">
        <f>IFERROR(IF(INDEX(SPOT_Import!$A$1:$Z$2488,1977,'Live Data'!$C$14)="","",INDEX(SPOT_Import!$A$1:$Z$2488,1977,'Live Data'!$C$14)),"")</f>
        <v/>
      </c>
      <c r="D1977" s="54" t="str">
        <f>IFERROR(IF(INDEX(SPOT_Import!$A$1:$Z$2488,1977,'Live Data'!$C$15)="","",INDEX(SPOT_Import!$A$1:$Z$2488,1977,'Live Data'!$C$15)),"")</f>
        <v/>
      </c>
      <c r="E1977" s="54" t="str">
        <f>IFERROR(IF(INDEX(SPOT_Import!$A$1:$Z$2488,1977,'Live Data'!$C$16)="","",INDEX(SPOT_Import!$A$1:$Z$2488,1977,'Live Data'!$C$16)),"")</f>
        <v/>
      </c>
      <c r="F1977" s="54" t="str">
        <f>IFERROR(IF(INDEX(SPOT_Import!$A$1:$Z$2488,1977,'Live Data'!$C$17)="","",INDEX(SPOT_Import!$A$1:$Z$2488,1977,'Live Data'!$C$17)),"")</f>
        <v/>
      </c>
      <c r="G1977" s="54" t="str">
        <f>IFERROR(IF(INDEX(SPOT_Import!$A$1:$Z$2488,1977,'Live Data'!$C$18)="","",INDEX(SPOT_Import!$A$1:$Z$2488,1977,'Live Data'!$C$18)),"")</f>
        <v/>
      </c>
      <c r="H1977" s="54" t="str">
        <f>IFERROR(IF(INDEX(SPOT_Import!$A$1:$Z$2488,1977,'Live Data'!$C$19)="","",INDEX(SPOT_Import!$A$1:$Z$2488,1977,'Live Data'!$C$19)),"")</f>
        <v/>
      </c>
      <c r="I1977" s="54" t="str">
        <f>IFERROR(IF(INDEX(SPOT_Import!$A$1:$Z$2488,1977,'Live Data'!$C$20)="","",INDEX(SPOT_Import!$A$1:$Z$2488,1977,'Live Data'!$C$20)),"")</f>
        <v/>
      </c>
      <c r="J1977" s="54" t="str">
        <f>IFERROR(IF(INDEX(SPOT_Import!$A$1:$Z$2488,1977,'Live Data'!$C$21)="","",INDEX(SPOT_Import!$A$1:$Z$2488,1977,'Live Data'!$C$21)),"")</f>
        <v/>
      </c>
      <c r="K1977" s="54" t="str">
        <f>IFERROR(IF(INDEX(SPOT_Import!$A$1:$Z$2488,1977,'Live Data'!$C$22)="","",INDEX(SPOT_Import!$A$1:$Z$2488,1977,'Live Data'!$C$22)),"")</f>
        <v/>
      </c>
      <c r="L1977" s="55" t="str">
        <f t="shared" si="60"/>
        <v/>
      </c>
      <c r="M1977" s="55" t="str">
        <f t="shared" si="61"/>
        <v/>
      </c>
      <c r="N1977" s="55" t="str">
        <f>IF(A1977="","",IFERROR(INDEX('Cluster Map'!$A$4:$A$38,MATCH(M1977,'Cluster Map'!$B$4:$B$38,0)),"Unmapped"))</f>
        <v/>
      </c>
      <c r="O1977" s="55">
        <f>IF(A1977="",0,IF(COUNTIFS($A$2:A1977,A1977,$F$2:F1977,F1977,$L$2:L1977,L1977)=1,1,0))</f>
        <v>0</v>
      </c>
      <c r="P1977" s="55">
        <f>IF(A1977="",0,IF(AND(F1977="C&amp;T",COUNTIFS($A$2:A1977,A1977,$F$2:F1977,"C&amp;T")=1),1,0))</f>
        <v>0</v>
      </c>
    </row>
    <row r="1978" spans="1:16" x14ac:dyDescent="0.35">
      <c r="A1978" s="54" t="str">
        <f>IFERROR(IF(INDEX(SPOT_Import!$A$1:$Z$2488,1978,'Live Data'!$C$12)="","",INDEX(SPOT_Import!$A$1:$Z$2488,1978,'Live Data'!$C$12)),"")</f>
        <v/>
      </c>
      <c r="B1978" s="54" t="str">
        <f>IFERROR(IF(INDEX(SPOT_Import!$A$1:$Z$2488,1978,'Live Data'!$C$13)="","",INDEX(SPOT_Import!$A$1:$Z$2488,1978,'Live Data'!$C$13)),"")</f>
        <v/>
      </c>
      <c r="C1978" s="54" t="str">
        <f>IFERROR(IF(INDEX(SPOT_Import!$A$1:$Z$2488,1978,'Live Data'!$C$14)="","",INDEX(SPOT_Import!$A$1:$Z$2488,1978,'Live Data'!$C$14)),"")</f>
        <v/>
      </c>
      <c r="D1978" s="54" t="str">
        <f>IFERROR(IF(INDEX(SPOT_Import!$A$1:$Z$2488,1978,'Live Data'!$C$15)="","",INDEX(SPOT_Import!$A$1:$Z$2488,1978,'Live Data'!$C$15)),"")</f>
        <v/>
      </c>
      <c r="E1978" s="54" t="str">
        <f>IFERROR(IF(INDEX(SPOT_Import!$A$1:$Z$2488,1978,'Live Data'!$C$16)="","",INDEX(SPOT_Import!$A$1:$Z$2488,1978,'Live Data'!$C$16)),"")</f>
        <v/>
      </c>
      <c r="F1978" s="54" t="str">
        <f>IFERROR(IF(INDEX(SPOT_Import!$A$1:$Z$2488,1978,'Live Data'!$C$17)="","",INDEX(SPOT_Import!$A$1:$Z$2488,1978,'Live Data'!$C$17)),"")</f>
        <v/>
      </c>
      <c r="G1978" s="54" t="str">
        <f>IFERROR(IF(INDEX(SPOT_Import!$A$1:$Z$2488,1978,'Live Data'!$C$18)="","",INDEX(SPOT_Import!$A$1:$Z$2488,1978,'Live Data'!$C$18)),"")</f>
        <v/>
      </c>
      <c r="H1978" s="54" t="str">
        <f>IFERROR(IF(INDEX(SPOT_Import!$A$1:$Z$2488,1978,'Live Data'!$C$19)="","",INDEX(SPOT_Import!$A$1:$Z$2488,1978,'Live Data'!$C$19)),"")</f>
        <v/>
      </c>
      <c r="I1978" s="54" t="str">
        <f>IFERROR(IF(INDEX(SPOT_Import!$A$1:$Z$2488,1978,'Live Data'!$C$20)="","",INDEX(SPOT_Import!$A$1:$Z$2488,1978,'Live Data'!$C$20)),"")</f>
        <v/>
      </c>
      <c r="J1978" s="54" t="str">
        <f>IFERROR(IF(INDEX(SPOT_Import!$A$1:$Z$2488,1978,'Live Data'!$C$21)="","",INDEX(SPOT_Import!$A$1:$Z$2488,1978,'Live Data'!$C$21)),"")</f>
        <v/>
      </c>
      <c r="K1978" s="54" t="str">
        <f>IFERROR(IF(INDEX(SPOT_Import!$A$1:$Z$2488,1978,'Live Data'!$C$22)="","",INDEX(SPOT_Import!$A$1:$Z$2488,1978,'Live Data'!$C$22)),"")</f>
        <v/>
      </c>
      <c r="L1978" s="55" t="str">
        <f t="shared" si="60"/>
        <v/>
      </c>
      <c r="M1978" s="55" t="str">
        <f t="shared" si="61"/>
        <v/>
      </c>
      <c r="N1978" s="55" t="str">
        <f>IF(A1978="","",IFERROR(INDEX('Cluster Map'!$A$4:$A$38,MATCH(M1978,'Cluster Map'!$B$4:$B$38,0)),"Unmapped"))</f>
        <v/>
      </c>
      <c r="O1978" s="55">
        <f>IF(A1978="",0,IF(COUNTIFS($A$2:A1978,A1978,$F$2:F1978,F1978,$L$2:L1978,L1978)=1,1,0))</f>
        <v>0</v>
      </c>
      <c r="P1978" s="55">
        <f>IF(A1978="",0,IF(AND(F1978="C&amp;T",COUNTIFS($A$2:A1978,A1978,$F$2:F1978,"C&amp;T")=1),1,0))</f>
        <v>0</v>
      </c>
    </row>
    <row r="1979" spans="1:16" x14ac:dyDescent="0.35">
      <c r="A1979" s="54" t="str">
        <f>IFERROR(IF(INDEX(SPOT_Import!$A$1:$Z$2488,1979,'Live Data'!$C$12)="","",INDEX(SPOT_Import!$A$1:$Z$2488,1979,'Live Data'!$C$12)),"")</f>
        <v/>
      </c>
      <c r="B1979" s="54" t="str">
        <f>IFERROR(IF(INDEX(SPOT_Import!$A$1:$Z$2488,1979,'Live Data'!$C$13)="","",INDEX(SPOT_Import!$A$1:$Z$2488,1979,'Live Data'!$C$13)),"")</f>
        <v/>
      </c>
      <c r="C1979" s="54" t="str">
        <f>IFERROR(IF(INDEX(SPOT_Import!$A$1:$Z$2488,1979,'Live Data'!$C$14)="","",INDEX(SPOT_Import!$A$1:$Z$2488,1979,'Live Data'!$C$14)),"")</f>
        <v/>
      </c>
      <c r="D1979" s="54" t="str">
        <f>IFERROR(IF(INDEX(SPOT_Import!$A$1:$Z$2488,1979,'Live Data'!$C$15)="","",INDEX(SPOT_Import!$A$1:$Z$2488,1979,'Live Data'!$C$15)),"")</f>
        <v/>
      </c>
      <c r="E1979" s="54" t="str">
        <f>IFERROR(IF(INDEX(SPOT_Import!$A$1:$Z$2488,1979,'Live Data'!$C$16)="","",INDEX(SPOT_Import!$A$1:$Z$2488,1979,'Live Data'!$C$16)),"")</f>
        <v/>
      </c>
      <c r="F1979" s="54" t="str">
        <f>IFERROR(IF(INDEX(SPOT_Import!$A$1:$Z$2488,1979,'Live Data'!$C$17)="","",INDEX(SPOT_Import!$A$1:$Z$2488,1979,'Live Data'!$C$17)),"")</f>
        <v/>
      </c>
      <c r="G1979" s="54" t="str">
        <f>IFERROR(IF(INDEX(SPOT_Import!$A$1:$Z$2488,1979,'Live Data'!$C$18)="","",INDEX(SPOT_Import!$A$1:$Z$2488,1979,'Live Data'!$C$18)),"")</f>
        <v/>
      </c>
      <c r="H1979" s="54" t="str">
        <f>IFERROR(IF(INDEX(SPOT_Import!$A$1:$Z$2488,1979,'Live Data'!$C$19)="","",INDEX(SPOT_Import!$A$1:$Z$2488,1979,'Live Data'!$C$19)),"")</f>
        <v/>
      </c>
      <c r="I1979" s="54" t="str">
        <f>IFERROR(IF(INDEX(SPOT_Import!$A$1:$Z$2488,1979,'Live Data'!$C$20)="","",INDEX(SPOT_Import!$A$1:$Z$2488,1979,'Live Data'!$C$20)),"")</f>
        <v/>
      </c>
      <c r="J1979" s="54" t="str">
        <f>IFERROR(IF(INDEX(SPOT_Import!$A$1:$Z$2488,1979,'Live Data'!$C$21)="","",INDEX(SPOT_Import!$A$1:$Z$2488,1979,'Live Data'!$C$21)),"")</f>
        <v/>
      </c>
      <c r="K1979" s="54" t="str">
        <f>IFERROR(IF(INDEX(SPOT_Import!$A$1:$Z$2488,1979,'Live Data'!$C$22)="","",INDEX(SPOT_Import!$A$1:$Z$2488,1979,'Live Data'!$C$22)),"")</f>
        <v/>
      </c>
      <c r="L1979" s="55" t="str">
        <f t="shared" si="60"/>
        <v/>
      </c>
      <c r="M1979" s="55" t="str">
        <f t="shared" si="61"/>
        <v/>
      </c>
      <c r="N1979" s="55" t="str">
        <f>IF(A1979="","",IFERROR(INDEX('Cluster Map'!$A$4:$A$38,MATCH(M1979,'Cluster Map'!$B$4:$B$38,0)),"Unmapped"))</f>
        <v/>
      </c>
      <c r="O1979" s="55">
        <f>IF(A1979="",0,IF(COUNTIFS($A$2:A1979,A1979,$F$2:F1979,F1979,$L$2:L1979,L1979)=1,1,0))</f>
        <v>0</v>
      </c>
      <c r="P1979" s="55">
        <f>IF(A1979="",0,IF(AND(F1979="C&amp;T",COUNTIFS($A$2:A1979,A1979,$F$2:F1979,"C&amp;T")=1),1,0))</f>
        <v>0</v>
      </c>
    </row>
    <row r="1980" spans="1:16" x14ac:dyDescent="0.35">
      <c r="A1980" s="54" t="str">
        <f>IFERROR(IF(INDEX(SPOT_Import!$A$1:$Z$2488,1980,'Live Data'!$C$12)="","",INDEX(SPOT_Import!$A$1:$Z$2488,1980,'Live Data'!$C$12)),"")</f>
        <v/>
      </c>
      <c r="B1980" s="54" t="str">
        <f>IFERROR(IF(INDEX(SPOT_Import!$A$1:$Z$2488,1980,'Live Data'!$C$13)="","",INDEX(SPOT_Import!$A$1:$Z$2488,1980,'Live Data'!$C$13)),"")</f>
        <v/>
      </c>
      <c r="C1980" s="54" t="str">
        <f>IFERROR(IF(INDEX(SPOT_Import!$A$1:$Z$2488,1980,'Live Data'!$C$14)="","",INDEX(SPOT_Import!$A$1:$Z$2488,1980,'Live Data'!$C$14)),"")</f>
        <v/>
      </c>
      <c r="D1980" s="54" t="str">
        <f>IFERROR(IF(INDEX(SPOT_Import!$A$1:$Z$2488,1980,'Live Data'!$C$15)="","",INDEX(SPOT_Import!$A$1:$Z$2488,1980,'Live Data'!$C$15)),"")</f>
        <v/>
      </c>
      <c r="E1980" s="54" t="str">
        <f>IFERROR(IF(INDEX(SPOT_Import!$A$1:$Z$2488,1980,'Live Data'!$C$16)="","",INDEX(SPOT_Import!$A$1:$Z$2488,1980,'Live Data'!$C$16)),"")</f>
        <v/>
      </c>
      <c r="F1980" s="54" t="str">
        <f>IFERROR(IF(INDEX(SPOT_Import!$A$1:$Z$2488,1980,'Live Data'!$C$17)="","",INDEX(SPOT_Import!$A$1:$Z$2488,1980,'Live Data'!$C$17)),"")</f>
        <v/>
      </c>
      <c r="G1980" s="54" t="str">
        <f>IFERROR(IF(INDEX(SPOT_Import!$A$1:$Z$2488,1980,'Live Data'!$C$18)="","",INDEX(SPOT_Import!$A$1:$Z$2488,1980,'Live Data'!$C$18)),"")</f>
        <v/>
      </c>
      <c r="H1980" s="54" t="str">
        <f>IFERROR(IF(INDEX(SPOT_Import!$A$1:$Z$2488,1980,'Live Data'!$C$19)="","",INDEX(SPOT_Import!$A$1:$Z$2488,1980,'Live Data'!$C$19)),"")</f>
        <v/>
      </c>
      <c r="I1980" s="54" t="str">
        <f>IFERROR(IF(INDEX(SPOT_Import!$A$1:$Z$2488,1980,'Live Data'!$C$20)="","",INDEX(SPOT_Import!$A$1:$Z$2488,1980,'Live Data'!$C$20)),"")</f>
        <v/>
      </c>
      <c r="J1980" s="54" t="str">
        <f>IFERROR(IF(INDEX(SPOT_Import!$A$1:$Z$2488,1980,'Live Data'!$C$21)="","",INDEX(SPOT_Import!$A$1:$Z$2488,1980,'Live Data'!$C$21)),"")</f>
        <v/>
      </c>
      <c r="K1980" s="54" t="str">
        <f>IFERROR(IF(INDEX(SPOT_Import!$A$1:$Z$2488,1980,'Live Data'!$C$22)="","",INDEX(SPOT_Import!$A$1:$Z$2488,1980,'Live Data'!$C$22)),"")</f>
        <v/>
      </c>
      <c r="L1980" s="55" t="str">
        <f t="shared" si="60"/>
        <v/>
      </c>
      <c r="M1980" s="55" t="str">
        <f t="shared" si="61"/>
        <v/>
      </c>
      <c r="N1980" s="55" t="str">
        <f>IF(A1980="","",IFERROR(INDEX('Cluster Map'!$A$4:$A$38,MATCH(M1980,'Cluster Map'!$B$4:$B$38,0)),"Unmapped"))</f>
        <v/>
      </c>
      <c r="O1980" s="55">
        <f>IF(A1980="",0,IF(COUNTIFS($A$2:A1980,A1980,$F$2:F1980,F1980,$L$2:L1980,L1980)=1,1,0))</f>
        <v>0</v>
      </c>
      <c r="P1980" s="55">
        <f>IF(A1980="",0,IF(AND(F1980="C&amp;T",COUNTIFS($A$2:A1980,A1980,$F$2:F1980,"C&amp;T")=1),1,0))</f>
        <v>0</v>
      </c>
    </row>
    <row r="1981" spans="1:16" x14ac:dyDescent="0.35">
      <c r="A1981" s="54" t="str">
        <f>IFERROR(IF(INDEX(SPOT_Import!$A$1:$Z$2488,1981,'Live Data'!$C$12)="","",INDEX(SPOT_Import!$A$1:$Z$2488,1981,'Live Data'!$C$12)),"")</f>
        <v/>
      </c>
      <c r="B1981" s="54" t="str">
        <f>IFERROR(IF(INDEX(SPOT_Import!$A$1:$Z$2488,1981,'Live Data'!$C$13)="","",INDEX(SPOT_Import!$A$1:$Z$2488,1981,'Live Data'!$C$13)),"")</f>
        <v/>
      </c>
      <c r="C1981" s="54" t="str">
        <f>IFERROR(IF(INDEX(SPOT_Import!$A$1:$Z$2488,1981,'Live Data'!$C$14)="","",INDEX(SPOT_Import!$A$1:$Z$2488,1981,'Live Data'!$C$14)),"")</f>
        <v/>
      </c>
      <c r="D1981" s="54" t="str">
        <f>IFERROR(IF(INDEX(SPOT_Import!$A$1:$Z$2488,1981,'Live Data'!$C$15)="","",INDEX(SPOT_Import!$A$1:$Z$2488,1981,'Live Data'!$C$15)),"")</f>
        <v/>
      </c>
      <c r="E1981" s="54" t="str">
        <f>IFERROR(IF(INDEX(SPOT_Import!$A$1:$Z$2488,1981,'Live Data'!$C$16)="","",INDEX(SPOT_Import!$A$1:$Z$2488,1981,'Live Data'!$C$16)),"")</f>
        <v/>
      </c>
      <c r="F1981" s="54" t="str">
        <f>IFERROR(IF(INDEX(SPOT_Import!$A$1:$Z$2488,1981,'Live Data'!$C$17)="","",INDEX(SPOT_Import!$A$1:$Z$2488,1981,'Live Data'!$C$17)),"")</f>
        <v/>
      </c>
      <c r="G1981" s="54" t="str">
        <f>IFERROR(IF(INDEX(SPOT_Import!$A$1:$Z$2488,1981,'Live Data'!$C$18)="","",INDEX(SPOT_Import!$A$1:$Z$2488,1981,'Live Data'!$C$18)),"")</f>
        <v/>
      </c>
      <c r="H1981" s="54" t="str">
        <f>IFERROR(IF(INDEX(SPOT_Import!$A$1:$Z$2488,1981,'Live Data'!$C$19)="","",INDEX(SPOT_Import!$A$1:$Z$2488,1981,'Live Data'!$C$19)),"")</f>
        <v/>
      </c>
      <c r="I1981" s="54" t="str">
        <f>IFERROR(IF(INDEX(SPOT_Import!$A$1:$Z$2488,1981,'Live Data'!$C$20)="","",INDEX(SPOT_Import!$A$1:$Z$2488,1981,'Live Data'!$C$20)),"")</f>
        <v/>
      </c>
      <c r="J1981" s="54" t="str">
        <f>IFERROR(IF(INDEX(SPOT_Import!$A$1:$Z$2488,1981,'Live Data'!$C$21)="","",INDEX(SPOT_Import!$A$1:$Z$2488,1981,'Live Data'!$C$21)),"")</f>
        <v/>
      </c>
      <c r="K1981" s="54" t="str">
        <f>IFERROR(IF(INDEX(SPOT_Import!$A$1:$Z$2488,1981,'Live Data'!$C$22)="","",INDEX(SPOT_Import!$A$1:$Z$2488,1981,'Live Data'!$C$22)),"")</f>
        <v/>
      </c>
      <c r="L1981" s="55" t="str">
        <f t="shared" si="60"/>
        <v/>
      </c>
      <c r="M1981" s="55" t="str">
        <f t="shared" si="61"/>
        <v/>
      </c>
      <c r="N1981" s="55" t="str">
        <f>IF(A1981="","",IFERROR(INDEX('Cluster Map'!$A$4:$A$38,MATCH(M1981,'Cluster Map'!$B$4:$B$38,0)),"Unmapped"))</f>
        <v/>
      </c>
      <c r="O1981" s="55">
        <f>IF(A1981="",0,IF(COUNTIFS($A$2:A1981,A1981,$F$2:F1981,F1981,$L$2:L1981,L1981)=1,1,0))</f>
        <v>0</v>
      </c>
      <c r="P1981" s="55">
        <f>IF(A1981="",0,IF(AND(F1981="C&amp;T",COUNTIFS($A$2:A1981,A1981,$F$2:F1981,"C&amp;T")=1),1,0))</f>
        <v>0</v>
      </c>
    </row>
    <row r="1982" spans="1:16" x14ac:dyDescent="0.35">
      <c r="A1982" s="54" t="str">
        <f>IFERROR(IF(INDEX(SPOT_Import!$A$1:$Z$2488,1982,'Live Data'!$C$12)="","",INDEX(SPOT_Import!$A$1:$Z$2488,1982,'Live Data'!$C$12)),"")</f>
        <v/>
      </c>
      <c r="B1982" s="54" t="str">
        <f>IFERROR(IF(INDEX(SPOT_Import!$A$1:$Z$2488,1982,'Live Data'!$C$13)="","",INDEX(SPOT_Import!$A$1:$Z$2488,1982,'Live Data'!$C$13)),"")</f>
        <v/>
      </c>
      <c r="C1982" s="54" t="str">
        <f>IFERROR(IF(INDEX(SPOT_Import!$A$1:$Z$2488,1982,'Live Data'!$C$14)="","",INDEX(SPOT_Import!$A$1:$Z$2488,1982,'Live Data'!$C$14)),"")</f>
        <v/>
      </c>
      <c r="D1982" s="54" t="str">
        <f>IFERROR(IF(INDEX(SPOT_Import!$A$1:$Z$2488,1982,'Live Data'!$C$15)="","",INDEX(SPOT_Import!$A$1:$Z$2488,1982,'Live Data'!$C$15)),"")</f>
        <v/>
      </c>
      <c r="E1982" s="54" t="str">
        <f>IFERROR(IF(INDEX(SPOT_Import!$A$1:$Z$2488,1982,'Live Data'!$C$16)="","",INDEX(SPOT_Import!$A$1:$Z$2488,1982,'Live Data'!$C$16)),"")</f>
        <v/>
      </c>
      <c r="F1982" s="54" t="str">
        <f>IFERROR(IF(INDEX(SPOT_Import!$A$1:$Z$2488,1982,'Live Data'!$C$17)="","",INDEX(SPOT_Import!$A$1:$Z$2488,1982,'Live Data'!$C$17)),"")</f>
        <v/>
      </c>
      <c r="G1982" s="54" t="str">
        <f>IFERROR(IF(INDEX(SPOT_Import!$A$1:$Z$2488,1982,'Live Data'!$C$18)="","",INDEX(SPOT_Import!$A$1:$Z$2488,1982,'Live Data'!$C$18)),"")</f>
        <v/>
      </c>
      <c r="H1982" s="54" t="str">
        <f>IFERROR(IF(INDEX(SPOT_Import!$A$1:$Z$2488,1982,'Live Data'!$C$19)="","",INDEX(SPOT_Import!$A$1:$Z$2488,1982,'Live Data'!$C$19)),"")</f>
        <v/>
      </c>
      <c r="I1982" s="54" t="str">
        <f>IFERROR(IF(INDEX(SPOT_Import!$A$1:$Z$2488,1982,'Live Data'!$C$20)="","",INDEX(SPOT_Import!$A$1:$Z$2488,1982,'Live Data'!$C$20)),"")</f>
        <v/>
      </c>
      <c r="J1982" s="54" t="str">
        <f>IFERROR(IF(INDEX(SPOT_Import!$A$1:$Z$2488,1982,'Live Data'!$C$21)="","",INDEX(SPOT_Import!$A$1:$Z$2488,1982,'Live Data'!$C$21)),"")</f>
        <v/>
      </c>
      <c r="K1982" s="54" t="str">
        <f>IFERROR(IF(INDEX(SPOT_Import!$A$1:$Z$2488,1982,'Live Data'!$C$22)="","",INDEX(SPOT_Import!$A$1:$Z$2488,1982,'Live Data'!$C$22)),"")</f>
        <v/>
      </c>
      <c r="L1982" s="55" t="str">
        <f t="shared" si="60"/>
        <v/>
      </c>
      <c r="M1982" s="55" t="str">
        <f t="shared" si="61"/>
        <v/>
      </c>
      <c r="N1982" s="55" t="str">
        <f>IF(A1982="","",IFERROR(INDEX('Cluster Map'!$A$4:$A$38,MATCH(M1982,'Cluster Map'!$B$4:$B$38,0)),"Unmapped"))</f>
        <v/>
      </c>
      <c r="O1982" s="55">
        <f>IF(A1982="",0,IF(COUNTIFS($A$2:A1982,A1982,$F$2:F1982,F1982,$L$2:L1982,L1982)=1,1,0))</f>
        <v>0</v>
      </c>
      <c r="P1982" s="55">
        <f>IF(A1982="",0,IF(AND(F1982="C&amp;T",COUNTIFS($A$2:A1982,A1982,$F$2:F1982,"C&amp;T")=1),1,0))</f>
        <v>0</v>
      </c>
    </row>
    <row r="1983" spans="1:16" x14ac:dyDescent="0.35">
      <c r="A1983" s="54" t="str">
        <f>IFERROR(IF(INDEX(SPOT_Import!$A$1:$Z$2488,1983,'Live Data'!$C$12)="","",INDEX(SPOT_Import!$A$1:$Z$2488,1983,'Live Data'!$C$12)),"")</f>
        <v/>
      </c>
      <c r="B1983" s="54" t="str">
        <f>IFERROR(IF(INDEX(SPOT_Import!$A$1:$Z$2488,1983,'Live Data'!$C$13)="","",INDEX(SPOT_Import!$A$1:$Z$2488,1983,'Live Data'!$C$13)),"")</f>
        <v/>
      </c>
      <c r="C1983" s="54" t="str">
        <f>IFERROR(IF(INDEX(SPOT_Import!$A$1:$Z$2488,1983,'Live Data'!$C$14)="","",INDEX(SPOT_Import!$A$1:$Z$2488,1983,'Live Data'!$C$14)),"")</f>
        <v/>
      </c>
      <c r="D1983" s="54" t="str">
        <f>IFERROR(IF(INDEX(SPOT_Import!$A$1:$Z$2488,1983,'Live Data'!$C$15)="","",INDEX(SPOT_Import!$A$1:$Z$2488,1983,'Live Data'!$C$15)),"")</f>
        <v/>
      </c>
      <c r="E1983" s="54" t="str">
        <f>IFERROR(IF(INDEX(SPOT_Import!$A$1:$Z$2488,1983,'Live Data'!$C$16)="","",INDEX(SPOT_Import!$A$1:$Z$2488,1983,'Live Data'!$C$16)),"")</f>
        <v/>
      </c>
      <c r="F1983" s="54" t="str">
        <f>IFERROR(IF(INDEX(SPOT_Import!$A$1:$Z$2488,1983,'Live Data'!$C$17)="","",INDEX(SPOT_Import!$A$1:$Z$2488,1983,'Live Data'!$C$17)),"")</f>
        <v/>
      </c>
      <c r="G1983" s="54" t="str">
        <f>IFERROR(IF(INDEX(SPOT_Import!$A$1:$Z$2488,1983,'Live Data'!$C$18)="","",INDEX(SPOT_Import!$A$1:$Z$2488,1983,'Live Data'!$C$18)),"")</f>
        <v/>
      </c>
      <c r="H1983" s="54" t="str">
        <f>IFERROR(IF(INDEX(SPOT_Import!$A$1:$Z$2488,1983,'Live Data'!$C$19)="","",INDEX(SPOT_Import!$A$1:$Z$2488,1983,'Live Data'!$C$19)),"")</f>
        <v/>
      </c>
      <c r="I1983" s="54" t="str">
        <f>IFERROR(IF(INDEX(SPOT_Import!$A$1:$Z$2488,1983,'Live Data'!$C$20)="","",INDEX(SPOT_Import!$A$1:$Z$2488,1983,'Live Data'!$C$20)),"")</f>
        <v/>
      </c>
      <c r="J1983" s="54" t="str">
        <f>IFERROR(IF(INDEX(SPOT_Import!$A$1:$Z$2488,1983,'Live Data'!$C$21)="","",INDEX(SPOT_Import!$A$1:$Z$2488,1983,'Live Data'!$C$21)),"")</f>
        <v/>
      </c>
      <c r="K1983" s="54" t="str">
        <f>IFERROR(IF(INDEX(SPOT_Import!$A$1:$Z$2488,1983,'Live Data'!$C$22)="","",INDEX(SPOT_Import!$A$1:$Z$2488,1983,'Live Data'!$C$22)),"")</f>
        <v/>
      </c>
      <c r="L1983" s="55" t="str">
        <f t="shared" si="60"/>
        <v/>
      </c>
      <c r="M1983" s="55" t="str">
        <f t="shared" si="61"/>
        <v/>
      </c>
      <c r="N1983" s="55" t="str">
        <f>IF(A1983="","",IFERROR(INDEX('Cluster Map'!$A$4:$A$38,MATCH(M1983,'Cluster Map'!$B$4:$B$38,0)),"Unmapped"))</f>
        <v/>
      </c>
      <c r="O1983" s="55">
        <f>IF(A1983="",0,IF(COUNTIFS($A$2:A1983,A1983,$F$2:F1983,F1983,$L$2:L1983,L1983)=1,1,0))</f>
        <v>0</v>
      </c>
      <c r="P1983" s="55">
        <f>IF(A1983="",0,IF(AND(F1983="C&amp;T",COUNTIFS($A$2:A1983,A1983,$F$2:F1983,"C&amp;T")=1),1,0))</f>
        <v>0</v>
      </c>
    </row>
    <row r="1984" spans="1:16" x14ac:dyDescent="0.35">
      <c r="A1984" s="54" t="str">
        <f>IFERROR(IF(INDEX(SPOT_Import!$A$1:$Z$2488,1984,'Live Data'!$C$12)="","",INDEX(SPOT_Import!$A$1:$Z$2488,1984,'Live Data'!$C$12)),"")</f>
        <v/>
      </c>
      <c r="B1984" s="54" t="str">
        <f>IFERROR(IF(INDEX(SPOT_Import!$A$1:$Z$2488,1984,'Live Data'!$C$13)="","",INDEX(SPOT_Import!$A$1:$Z$2488,1984,'Live Data'!$C$13)),"")</f>
        <v/>
      </c>
      <c r="C1984" s="54" t="str">
        <f>IFERROR(IF(INDEX(SPOT_Import!$A$1:$Z$2488,1984,'Live Data'!$C$14)="","",INDEX(SPOT_Import!$A$1:$Z$2488,1984,'Live Data'!$C$14)),"")</f>
        <v/>
      </c>
      <c r="D1984" s="54" t="str">
        <f>IFERROR(IF(INDEX(SPOT_Import!$A$1:$Z$2488,1984,'Live Data'!$C$15)="","",INDEX(SPOT_Import!$A$1:$Z$2488,1984,'Live Data'!$C$15)),"")</f>
        <v/>
      </c>
      <c r="E1984" s="54" t="str">
        <f>IFERROR(IF(INDEX(SPOT_Import!$A$1:$Z$2488,1984,'Live Data'!$C$16)="","",INDEX(SPOT_Import!$A$1:$Z$2488,1984,'Live Data'!$C$16)),"")</f>
        <v/>
      </c>
      <c r="F1984" s="54" t="str">
        <f>IFERROR(IF(INDEX(SPOT_Import!$A$1:$Z$2488,1984,'Live Data'!$C$17)="","",INDEX(SPOT_Import!$A$1:$Z$2488,1984,'Live Data'!$C$17)),"")</f>
        <v/>
      </c>
      <c r="G1984" s="54" t="str">
        <f>IFERROR(IF(INDEX(SPOT_Import!$A$1:$Z$2488,1984,'Live Data'!$C$18)="","",INDEX(SPOT_Import!$A$1:$Z$2488,1984,'Live Data'!$C$18)),"")</f>
        <v/>
      </c>
      <c r="H1984" s="54" t="str">
        <f>IFERROR(IF(INDEX(SPOT_Import!$A$1:$Z$2488,1984,'Live Data'!$C$19)="","",INDEX(SPOT_Import!$A$1:$Z$2488,1984,'Live Data'!$C$19)),"")</f>
        <v/>
      </c>
      <c r="I1984" s="54" t="str">
        <f>IFERROR(IF(INDEX(SPOT_Import!$A$1:$Z$2488,1984,'Live Data'!$C$20)="","",INDEX(SPOT_Import!$A$1:$Z$2488,1984,'Live Data'!$C$20)),"")</f>
        <v/>
      </c>
      <c r="J1984" s="54" t="str">
        <f>IFERROR(IF(INDEX(SPOT_Import!$A$1:$Z$2488,1984,'Live Data'!$C$21)="","",INDEX(SPOT_Import!$A$1:$Z$2488,1984,'Live Data'!$C$21)),"")</f>
        <v/>
      </c>
      <c r="K1984" s="54" t="str">
        <f>IFERROR(IF(INDEX(SPOT_Import!$A$1:$Z$2488,1984,'Live Data'!$C$22)="","",INDEX(SPOT_Import!$A$1:$Z$2488,1984,'Live Data'!$C$22)),"")</f>
        <v/>
      </c>
      <c r="L1984" s="55" t="str">
        <f t="shared" si="60"/>
        <v/>
      </c>
      <c r="M1984" s="55" t="str">
        <f t="shared" si="61"/>
        <v/>
      </c>
      <c r="N1984" s="55" t="str">
        <f>IF(A1984="","",IFERROR(INDEX('Cluster Map'!$A$4:$A$38,MATCH(M1984,'Cluster Map'!$B$4:$B$38,0)),"Unmapped"))</f>
        <v/>
      </c>
      <c r="O1984" s="55">
        <f>IF(A1984="",0,IF(COUNTIFS($A$2:A1984,A1984,$F$2:F1984,F1984,$L$2:L1984,L1984)=1,1,0))</f>
        <v>0</v>
      </c>
      <c r="P1984" s="55">
        <f>IF(A1984="",0,IF(AND(F1984="C&amp;T",COUNTIFS($A$2:A1984,A1984,$F$2:F1984,"C&amp;T")=1),1,0))</f>
        <v>0</v>
      </c>
    </row>
    <row r="1985" spans="1:16" x14ac:dyDescent="0.35">
      <c r="A1985" s="54" t="str">
        <f>IFERROR(IF(INDEX(SPOT_Import!$A$1:$Z$2488,1985,'Live Data'!$C$12)="","",INDEX(SPOT_Import!$A$1:$Z$2488,1985,'Live Data'!$C$12)),"")</f>
        <v/>
      </c>
      <c r="B1985" s="54" t="str">
        <f>IFERROR(IF(INDEX(SPOT_Import!$A$1:$Z$2488,1985,'Live Data'!$C$13)="","",INDEX(SPOT_Import!$A$1:$Z$2488,1985,'Live Data'!$C$13)),"")</f>
        <v/>
      </c>
      <c r="C1985" s="54" t="str">
        <f>IFERROR(IF(INDEX(SPOT_Import!$A$1:$Z$2488,1985,'Live Data'!$C$14)="","",INDEX(SPOT_Import!$A$1:$Z$2488,1985,'Live Data'!$C$14)),"")</f>
        <v/>
      </c>
      <c r="D1985" s="54" t="str">
        <f>IFERROR(IF(INDEX(SPOT_Import!$A$1:$Z$2488,1985,'Live Data'!$C$15)="","",INDEX(SPOT_Import!$A$1:$Z$2488,1985,'Live Data'!$C$15)),"")</f>
        <v/>
      </c>
      <c r="E1985" s="54" t="str">
        <f>IFERROR(IF(INDEX(SPOT_Import!$A$1:$Z$2488,1985,'Live Data'!$C$16)="","",INDEX(SPOT_Import!$A$1:$Z$2488,1985,'Live Data'!$C$16)),"")</f>
        <v/>
      </c>
      <c r="F1985" s="54" t="str">
        <f>IFERROR(IF(INDEX(SPOT_Import!$A$1:$Z$2488,1985,'Live Data'!$C$17)="","",INDEX(SPOT_Import!$A$1:$Z$2488,1985,'Live Data'!$C$17)),"")</f>
        <v/>
      </c>
      <c r="G1985" s="54" t="str">
        <f>IFERROR(IF(INDEX(SPOT_Import!$A$1:$Z$2488,1985,'Live Data'!$C$18)="","",INDEX(SPOT_Import!$A$1:$Z$2488,1985,'Live Data'!$C$18)),"")</f>
        <v/>
      </c>
      <c r="H1985" s="54" t="str">
        <f>IFERROR(IF(INDEX(SPOT_Import!$A$1:$Z$2488,1985,'Live Data'!$C$19)="","",INDEX(SPOT_Import!$A$1:$Z$2488,1985,'Live Data'!$C$19)),"")</f>
        <v/>
      </c>
      <c r="I1985" s="54" t="str">
        <f>IFERROR(IF(INDEX(SPOT_Import!$A$1:$Z$2488,1985,'Live Data'!$C$20)="","",INDEX(SPOT_Import!$A$1:$Z$2488,1985,'Live Data'!$C$20)),"")</f>
        <v/>
      </c>
      <c r="J1985" s="54" t="str">
        <f>IFERROR(IF(INDEX(SPOT_Import!$A$1:$Z$2488,1985,'Live Data'!$C$21)="","",INDEX(SPOT_Import!$A$1:$Z$2488,1985,'Live Data'!$C$21)),"")</f>
        <v/>
      </c>
      <c r="K1985" s="54" t="str">
        <f>IFERROR(IF(INDEX(SPOT_Import!$A$1:$Z$2488,1985,'Live Data'!$C$22)="","",INDEX(SPOT_Import!$A$1:$Z$2488,1985,'Live Data'!$C$22)),"")</f>
        <v/>
      </c>
      <c r="L1985" s="55" t="str">
        <f t="shared" si="60"/>
        <v/>
      </c>
      <c r="M1985" s="55" t="str">
        <f t="shared" si="61"/>
        <v/>
      </c>
      <c r="N1985" s="55" t="str">
        <f>IF(A1985="","",IFERROR(INDEX('Cluster Map'!$A$4:$A$38,MATCH(M1985,'Cluster Map'!$B$4:$B$38,0)),"Unmapped"))</f>
        <v/>
      </c>
      <c r="O1985" s="55">
        <f>IF(A1985="",0,IF(COUNTIFS($A$2:A1985,A1985,$F$2:F1985,F1985,$L$2:L1985,L1985)=1,1,0))</f>
        <v>0</v>
      </c>
      <c r="P1985" s="55">
        <f>IF(A1985="",0,IF(AND(F1985="C&amp;T",COUNTIFS($A$2:A1985,A1985,$F$2:F1985,"C&amp;T")=1),1,0))</f>
        <v>0</v>
      </c>
    </row>
    <row r="1986" spans="1:16" x14ac:dyDescent="0.35">
      <c r="A1986" s="54" t="str">
        <f>IFERROR(IF(INDEX(SPOT_Import!$A$1:$Z$2488,1986,'Live Data'!$C$12)="","",INDEX(SPOT_Import!$A$1:$Z$2488,1986,'Live Data'!$C$12)),"")</f>
        <v/>
      </c>
      <c r="B1986" s="54" t="str">
        <f>IFERROR(IF(INDEX(SPOT_Import!$A$1:$Z$2488,1986,'Live Data'!$C$13)="","",INDEX(SPOT_Import!$A$1:$Z$2488,1986,'Live Data'!$C$13)),"")</f>
        <v/>
      </c>
      <c r="C1986" s="54" t="str">
        <f>IFERROR(IF(INDEX(SPOT_Import!$A$1:$Z$2488,1986,'Live Data'!$C$14)="","",INDEX(SPOT_Import!$A$1:$Z$2488,1986,'Live Data'!$C$14)),"")</f>
        <v/>
      </c>
      <c r="D1986" s="54" t="str">
        <f>IFERROR(IF(INDEX(SPOT_Import!$A$1:$Z$2488,1986,'Live Data'!$C$15)="","",INDEX(SPOT_Import!$A$1:$Z$2488,1986,'Live Data'!$C$15)),"")</f>
        <v/>
      </c>
      <c r="E1986" s="54" t="str">
        <f>IFERROR(IF(INDEX(SPOT_Import!$A$1:$Z$2488,1986,'Live Data'!$C$16)="","",INDEX(SPOT_Import!$A$1:$Z$2488,1986,'Live Data'!$C$16)),"")</f>
        <v/>
      </c>
      <c r="F1986" s="54" t="str">
        <f>IFERROR(IF(INDEX(SPOT_Import!$A$1:$Z$2488,1986,'Live Data'!$C$17)="","",INDEX(SPOT_Import!$A$1:$Z$2488,1986,'Live Data'!$C$17)),"")</f>
        <v/>
      </c>
      <c r="G1986" s="54" t="str">
        <f>IFERROR(IF(INDEX(SPOT_Import!$A$1:$Z$2488,1986,'Live Data'!$C$18)="","",INDEX(SPOT_Import!$A$1:$Z$2488,1986,'Live Data'!$C$18)),"")</f>
        <v/>
      </c>
      <c r="H1986" s="54" t="str">
        <f>IFERROR(IF(INDEX(SPOT_Import!$A$1:$Z$2488,1986,'Live Data'!$C$19)="","",INDEX(SPOT_Import!$A$1:$Z$2488,1986,'Live Data'!$C$19)),"")</f>
        <v/>
      </c>
      <c r="I1986" s="54" t="str">
        <f>IFERROR(IF(INDEX(SPOT_Import!$A$1:$Z$2488,1986,'Live Data'!$C$20)="","",INDEX(SPOT_Import!$A$1:$Z$2488,1986,'Live Data'!$C$20)),"")</f>
        <v/>
      </c>
      <c r="J1986" s="54" t="str">
        <f>IFERROR(IF(INDEX(SPOT_Import!$A$1:$Z$2488,1986,'Live Data'!$C$21)="","",INDEX(SPOT_Import!$A$1:$Z$2488,1986,'Live Data'!$C$21)),"")</f>
        <v/>
      </c>
      <c r="K1986" s="54" t="str">
        <f>IFERROR(IF(INDEX(SPOT_Import!$A$1:$Z$2488,1986,'Live Data'!$C$22)="","",INDEX(SPOT_Import!$A$1:$Z$2488,1986,'Live Data'!$C$22)),"")</f>
        <v/>
      </c>
      <c r="L1986" s="55" t="str">
        <f t="shared" ref="L1986:L2049" si="62">IF(A1986="","",IF(ISNUMBER(K1986),TEXT(K1986,"yyyy-mm"),LEFT(K1986,7)))</f>
        <v/>
      </c>
      <c r="M1986" s="55" t="str">
        <f t="shared" ref="M1986:M2049" si="63">IF(A1986="","",UPPER(TRIM(SUBSTITUTE(C1986," - ","-"))))</f>
        <v/>
      </c>
      <c r="N1986" s="55" t="str">
        <f>IF(A1986="","",IFERROR(INDEX('Cluster Map'!$A$4:$A$38,MATCH(M1986,'Cluster Map'!$B$4:$B$38,0)),"Unmapped"))</f>
        <v/>
      </c>
      <c r="O1986" s="55">
        <f>IF(A1986="",0,IF(COUNTIFS($A$2:A1986,A1986,$F$2:F1986,F1986,$L$2:L1986,L1986)=1,1,0))</f>
        <v>0</v>
      </c>
      <c r="P1986" s="55">
        <f>IF(A1986="",0,IF(AND(F1986="C&amp;T",COUNTIFS($A$2:A1986,A1986,$F$2:F1986,"C&amp;T")=1),1,0))</f>
        <v>0</v>
      </c>
    </row>
    <row r="1987" spans="1:16" x14ac:dyDescent="0.35">
      <c r="A1987" s="54" t="str">
        <f>IFERROR(IF(INDEX(SPOT_Import!$A$1:$Z$2488,1987,'Live Data'!$C$12)="","",INDEX(SPOT_Import!$A$1:$Z$2488,1987,'Live Data'!$C$12)),"")</f>
        <v/>
      </c>
      <c r="B1987" s="54" t="str">
        <f>IFERROR(IF(INDEX(SPOT_Import!$A$1:$Z$2488,1987,'Live Data'!$C$13)="","",INDEX(SPOT_Import!$A$1:$Z$2488,1987,'Live Data'!$C$13)),"")</f>
        <v/>
      </c>
      <c r="C1987" s="54" t="str">
        <f>IFERROR(IF(INDEX(SPOT_Import!$A$1:$Z$2488,1987,'Live Data'!$C$14)="","",INDEX(SPOT_Import!$A$1:$Z$2488,1987,'Live Data'!$C$14)),"")</f>
        <v/>
      </c>
      <c r="D1987" s="54" t="str">
        <f>IFERROR(IF(INDEX(SPOT_Import!$A$1:$Z$2488,1987,'Live Data'!$C$15)="","",INDEX(SPOT_Import!$A$1:$Z$2488,1987,'Live Data'!$C$15)),"")</f>
        <v/>
      </c>
      <c r="E1987" s="54" t="str">
        <f>IFERROR(IF(INDEX(SPOT_Import!$A$1:$Z$2488,1987,'Live Data'!$C$16)="","",INDEX(SPOT_Import!$A$1:$Z$2488,1987,'Live Data'!$C$16)),"")</f>
        <v/>
      </c>
      <c r="F1987" s="54" t="str">
        <f>IFERROR(IF(INDEX(SPOT_Import!$A$1:$Z$2488,1987,'Live Data'!$C$17)="","",INDEX(SPOT_Import!$A$1:$Z$2488,1987,'Live Data'!$C$17)),"")</f>
        <v/>
      </c>
      <c r="G1987" s="54" t="str">
        <f>IFERROR(IF(INDEX(SPOT_Import!$A$1:$Z$2488,1987,'Live Data'!$C$18)="","",INDEX(SPOT_Import!$A$1:$Z$2488,1987,'Live Data'!$C$18)),"")</f>
        <v/>
      </c>
      <c r="H1987" s="54" t="str">
        <f>IFERROR(IF(INDEX(SPOT_Import!$A$1:$Z$2488,1987,'Live Data'!$C$19)="","",INDEX(SPOT_Import!$A$1:$Z$2488,1987,'Live Data'!$C$19)),"")</f>
        <v/>
      </c>
      <c r="I1987" s="54" t="str">
        <f>IFERROR(IF(INDEX(SPOT_Import!$A$1:$Z$2488,1987,'Live Data'!$C$20)="","",INDEX(SPOT_Import!$A$1:$Z$2488,1987,'Live Data'!$C$20)),"")</f>
        <v/>
      </c>
      <c r="J1987" s="54" t="str">
        <f>IFERROR(IF(INDEX(SPOT_Import!$A$1:$Z$2488,1987,'Live Data'!$C$21)="","",INDEX(SPOT_Import!$A$1:$Z$2488,1987,'Live Data'!$C$21)),"")</f>
        <v/>
      </c>
      <c r="K1987" s="54" t="str">
        <f>IFERROR(IF(INDEX(SPOT_Import!$A$1:$Z$2488,1987,'Live Data'!$C$22)="","",INDEX(SPOT_Import!$A$1:$Z$2488,1987,'Live Data'!$C$22)),"")</f>
        <v/>
      </c>
      <c r="L1987" s="55" t="str">
        <f t="shared" si="62"/>
        <v/>
      </c>
      <c r="M1987" s="55" t="str">
        <f t="shared" si="63"/>
        <v/>
      </c>
      <c r="N1987" s="55" t="str">
        <f>IF(A1987="","",IFERROR(INDEX('Cluster Map'!$A$4:$A$38,MATCH(M1987,'Cluster Map'!$B$4:$B$38,0)),"Unmapped"))</f>
        <v/>
      </c>
      <c r="O1987" s="55">
        <f>IF(A1987="",0,IF(COUNTIFS($A$2:A1987,A1987,$F$2:F1987,F1987,$L$2:L1987,L1987)=1,1,0))</f>
        <v>0</v>
      </c>
      <c r="P1987" s="55">
        <f>IF(A1987="",0,IF(AND(F1987="C&amp;T",COUNTIFS($A$2:A1987,A1987,$F$2:F1987,"C&amp;T")=1),1,0))</f>
        <v>0</v>
      </c>
    </row>
    <row r="1988" spans="1:16" x14ac:dyDescent="0.35">
      <c r="A1988" s="54" t="str">
        <f>IFERROR(IF(INDEX(SPOT_Import!$A$1:$Z$2488,1988,'Live Data'!$C$12)="","",INDEX(SPOT_Import!$A$1:$Z$2488,1988,'Live Data'!$C$12)),"")</f>
        <v/>
      </c>
      <c r="B1988" s="54" t="str">
        <f>IFERROR(IF(INDEX(SPOT_Import!$A$1:$Z$2488,1988,'Live Data'!$C$13)="","",INDEX(SPOT_Import!$A$1:$Z$2488,1988,'Live Data'!$C$13)),"")</f>
        <v/>
      </c>
      <c r="C1988" s="54" t="str">
        <f>IFERROR(IF(INDEX(SPOT_Import!$A$1:$Z$2488,1988,'Live Data'!$C$14)="","",INDEX(SPOT_Import!$A$1:$Z$2488,1988,'Live Data'!$C$14)),"")</f>
        <v/>
      </c>
      <c r="D1988" s="54" t="str">
        <f>IFERROR(IF(INDEX(SPOT_Import!$A$1:$Z$2488,1988,'Live Data'!$C$15)="","",INDEX(SPOT_Import!$A$1:$Z$2488,1988,'Live Data'!$C$15)),"")</f>
        <v/>
      </c>
      <c r="E1988" s="54" t="str">
        <f>IFERROR(IF(INDEX(SPOT_Import!$A$1:$Z$2488,1988,'Live Data'!$C$16)="","",INDEX(SPOT_Import!$A$1:$Z$2488,1988,'Live Data'!$C$16)),"")</f>
        <v/>
      </c>
      <c r="F1988" s="54" t="str">
        <f>IFERROR(IF(INDEX(SPOT_Import!$A$1:$Z$2488,1988,'Live Data'!$C$17)="","",INDEX(SPOT_Import!$A$1:$Z$2488,1988,'Live Data'!$C$17)),"")</f>
        <v/>
      </c>
      <c r="G1988" s="54" t="str">
        <f>IFERROR(IF(INDEX(SPOT_Import!$A$1:$Z$2488,1988,'Live Data'!$C$18)="","",INDEX(SPOT_Import!$A$1:$Z$2488,1988,'Live Data'!$C$18)),"")</f>
        <v/>
      </c>
      <c r="H1988" s="54" t="str">
        <f>IFERROR(IF(INDEX(SPOT_Import!$A$1:$Z$2488,1988,'Live Data'!$C$19)="","",INDEX(SPOT_Import!$A$1:$Z$2488,1988,'Live Data'!$C$19)),"")</f>
        <v/>
      </c>
      <c r="I1988" s="54" t="str">
        <f>IFERROR(IF(INDEX(SPOT_Import!$A$1:$Z$2488,1988,'Live Data'!$C$20)="","",INDEX(SPOT_Import!$A$1:$Z$2488,1988,'Live Data'!$C$20)),"")</f>
        <v/>
      </c>
      <c r="J1988" s="54" t="str">
        <f>IFERROR(IF(INDEX(SPOT_Import!$A$1:$Z$2488,1988,'Live Data'!$C$21)="","",INDEX(SPOT_Import!$A$1:$Z$2488,1988,'Live Data'!$C$21)),"")</f>
        <v/>
      </c>
      <c r="K1988" s="54" t="str">
        <f>IFERROR(IF(INDEX(SPOT_Import!$A$1:$Z$2488,1988,'Live Data'!$C$22)="","",INDEX(SPOT_Import!$A$1:$Z$2488,1988,'Live Data'!$C$22)),"")</f>
        <v/>
      </c>
      <c r="L1988" s="55" t="str">
        <f t="shared" si="62"/>
        <v/>
      </c>
      <c r="M1988" s="55" t="str">
        <f t="shared" si="63"/>
        <v/>
      </c>
      <c r="N1988" s="55" t="str">
        <f>IF(A1988="","",IFERROR(INDEX('Cluster Map'!$A$4:$A$38,MATCH(M1988,'Cluster Map'!$B$4:$B$38,0)),"Unmapped"))</f>
        <v/>
      </c>
      <c r="O1988" s="55">
        <f>IF(A1988="",0,IF(COUNTIFS($A$2:A1988,A1988,$F$2:F1988,F1988,$L$2:L1988,L1988)=1,1,0))</f>
        <v>0</v>
      </c>
      <c r="P1988" s="55">
        <f>IF(A1988="",0,IF(AND(F1988="C&amp;T",COUNTIFS($A$2:A1988,A1988,$F$2:F1988,"C&amp;T")=1),1,0))</f>
        <v>0</v>
      </c>
    </row>
    <row r="1989" spans="1:16" x14ac:dyDescent="0.35">
      <c r="A1989" s="54" t="str">
        <f>IFERROR(IF(INDEX(SPOT_Import!$A$1:$Z$2488,1989,'Live Data'!$C$12)="","",INDEX(SPOT_Import!$A$1:$Z$2488,1989,'Live Data'!$C$12)),"")</f>
        <v/>
      </c>
      <c r="B1989" s="54" t="str">
        <f>IFERROR(IF(INDEX(SPOT_Import!$A$1:$Z$2488,1989,'Live Data'!$C$13)="","",INDEX(SPOT_Import!$A$1:$Z$2488,1989,'Live Data'!$C$13)),"")</f>
        <v/>
      </c>
      <c r="C1989" s="54" t="str">
        <f>IFERROR(IF(INDEX(SPOT_Import!$A$1:$Z$2488,1989,'Live Data'!$C$14)="","",INDEX(SPOT_Import!$A$1:$Z$2488,1989,'Live Data'!$C$14)),"")</f>
        <v/>
      </c>
      <c r="D1989" s="54" t="str">
        <f>IFERROR(IF(INDEX(SPOT_Import!$A$1:$Z$2488,1989,'Live Data'!$C$15)="","",INDEX(SPOT_Import!$A$1:$Z$2488,1989,'Live Data'!$C$15)),"")</f>
        <v/>
      </c>
      <c r="E1989" s="54" t="str">
        <f>IFERROR(IF(INDEX(SPOT_Import!$A$1:$Z$2488,1989,'Live Data'!$C$16)="","",INDEX(SPOT_Import!$A$1:$Z$2488,1989,'Live Data'!$C$16)),"")</f>
        <v/>
      </c>
      <c r="F1989" s="54" t="str">
        <f>IFERROR(IF(INDEX(SPOT_Import!$A$1:$Z$2488,1989,'Live Data'!$C$17)="","",INDEX(SPOT_Import!$A$1:$Z$2488,1989,'Live Data'!$C$17)),"")</f>
        <v/>
      </c>
      <c r="G1989" s="54" t="str">
        <f>IFERROR(IF(INDEX(SPOT_Import!$A$1:$Z$2488,1989,'Live Data'!$C$18)="","",INDEX(SPOT_Import!$A$1:$Z$2488,1989,'Live Data'!$C$18)),"")</f>
        <v/>
      </c>
      <c r="H1989" s="54" t="str">
        <f>IFERROR(IF(INDEX(SPOT_Import!$A$1:$Z$2488,1989,'Live Data'!$C$19)="","",INDEX(SPOT_Import!$A$1:$Z$2488,1989,'Live Data'!$C$19)),"")</f>
        <v/>
      </c>
      <c r="I1989" s="54" t="str">
        <f>IFERROR(IF(INDEX(SPOT_Import!$A$1:$Z$2488,1989,'Live Data'!$C$20)="","",INDEX(SPOT_Import!$A$1:$Z$2488,1989,'Live Data'!$C$20)),"")</f>
        <v/>
      </c>
      <c r="J1989" s="54" t="str">
        <f>IFERROR(IF(INDEX(SPOT_Import!$A$1:$Z$2488,1989,'Live Data'!$C$21)="","",INDEX(SPOT_Import!$A$1:$Z$2488,1989,'Live Data'!$C$21)),"")</f>
        <v/>
      </c>
      <c r="K1989" s="54" t="str">
        <f>IFERROR(IF(INDEX(SPOT_Import!$A$1:$Z$2488,1989,'Live Data'!$C$22)="","",INDEX(SPOT_Import!$A$1:$Z$2488,1989,'Live Data'!$C$22)),"")</f>
        <v/>
      </c>
      <c r="L1989" s="55" t="str">
        <f t="shared" si="62"/>
        <v/>
      </c>
      <c r="M1989" s="55" t="str">
        <f t="shared" si="63"/>
        <v/>
      </c>
      <c r="N1989" s="55" t="str">
        <f>IF(A1989="","",IFERROR(INDEX('Cluster Map'!$A$4:$A$38,MATCH(M1989,'Cluster Map'!$B$4:$B$38,0)),"Unmapped"))</f>
        <v/>
      </c>
      <c r="O1989" s="55">
        <f>IF(A1989="",0,IF(COUNTIFS($A$2:A1989,A1989,$F$2:F1989,F1989,$L$2:L1989,L1989)=1,1,0))</f>
        <v>0</v>
      </c>
      <c r="P1989" s="55">
        <f>IF(A1989="",0,IF(AND(F1989="C&amp;T",COUNTIFS($A$2:A1989,A1989,$F$2:F1989,"C&amp;T")=1),1,0))</f>
        <v>0</v>
      </c>
    </row>
    <row r="1990" spans="1:16" x14ac:dyDescent="0.35">
      <c r="A1990" s="54" t="str">
        <f>IFERROR(IF(INDEX(SPOT_Import!$A$1:$Z$2488,1990,'Live Data'!$C$12)="","",INDEX(SPOT_Import!$A$1:$Z$2488,1990,'Live Data'!$C$12)),"")</f>
        <v/>
      </c>
      <c r="B1990" s="54" t="str">
        <f>IFERROR(IF(INDEX(SPOT_Import!$A$1:$Z$2488,1990,'Live Data'!$C$13)="","",INDEX(SPOT_Import!$A$1:$Z$2488,1990,'Live Data'!$C$13)),"")</f>
        <v/>
      </c>
      <c r="C1990" s="54" t="str">
        <f>IFERROR(IF(INDEX(SPOT_Import!$A$1:$Z$2488,1990,'Live Data'!$C$14)="","",INDEX(SPOT_Import!$A$1:$Z$2488,1990,'Live Data'!$C$14)),"")</f>
        <v/>
      </c>
      <c r="D1990" s="54" t="str">
        <f>IFERROR(IF(INDEX(SPOT_Import!$A$1:$Z$2488,1990,'Live Data'!$C$15)="","",INDEX(SPOT_Import!$A$1:$Z$2488,1990,'Live Data'!$C$15)),"")</f>
        <v/>
      </c>
      <c r="E1990" s="54" t="str">
        <f>IFERROR(IF(INDEX(SPOT_Import!$A$1:$Z$2488,1990,'Live Data'!$C$16)="","",INDEX(SPOT_Import!$A$1:$Z$2488,1990,'Live Data'!$C$16)),"")</f>
        <v/>
      </c>
      <c r="F1990" s="54" t="str">
        <f>IFERROR(IF(INDEX(SPOT_Import!$A$1:$Z$2488,1990,'Live Data'!$C$17)="","",INDEX(SPOT_Import!$A$1:$Z$2488,1990,'Live Data'!$C$17)),"")</f>
        <v/>
      </c>
      <c r="G1990" s="54" t="str">
        <f>IFERROR(IF(INDEX(SPOT_Import!$A$1:$Z$2488,1990,'Live Data'!$C$18)="","",INDEX(SPOT_Import!$A$1:$Z$2488,1990,'Live Data'!$C$18)),"")</f>
        <v/>
      </c>
      <c r="H1990" s="54" t="str">
        <f>IFERROR(IF(INDEX(SPOT_Import!$A$1:$Z$2488,1990,'Live Data'!$C$19)="","",INDEX(SPOT_Import!$A$1:$Z$2488,1990,'Live Data'!$C$19)),"")</f>
        <v/>
      </c>
      <c r="I1990" s="54" t="str">
        <f>IFERROR(IF(INDEX(SPOT_Import!$A$1:$Z$2488,1990,'Live Data'!$C$20)="","",INDEX(SPOT_Import!$A$1:$Z$2488,1990,'Live Data'!$C$20)),"")</f>
        <v/>
      </c>
      <c r="J1990" s="54" t="str">
        <f>IFERROR(IF(INDEX(SPOT_Import!$A$1:$Z$2488,1990,'Live Data'!$C$21)="","",INDEX(SPOT_Import!$A$1:$Z$2488,1990,'Live Data'!$C$21)),"")</f>
        <v/>
      </c>
      <c r="K1990" s="54" t="str">
        <f>IFERROR(IF(INDEX(SPOT_Import!$A$1:$Z$2488,1990,'Live Data'!$C$22)="","",INDEX(SPOT_Import!$A$1:$Z$2488,1990,'Live Data'!$C$22)),"")</f>
        <v/>
      </c>
      <c r="L1990" s="55" t="str">
        <f t="shared" si="62"/>
        <v/>
      </c>
      <c r="M1990" s="55" t="str">
        <f t="shared" si="63"/>
        <v/>
      </c>
      <c r="N1990" s="55" t="str">
        <f>IF(A1990="","",IFERROR(INDEX('Cluster Map'!$A$4:$A$38,MATCH(M1990,'Cluster Map'!$B$4:$B$38,0)),"Unmapped"))</f>
        <v/>
      </c>
      <c r="O1990" s="55">
        <f>IF(A1990="",0,IF(COUNTIFS($A$2:A1990,A1990,$F$2:F1990,F1990,$L$2:L1990,L1990)=1,1,0))</f>
        <v>0</v>
      </c>
      <c r="P1990" s="55">
        <f>IF(A1990="",0,IF(AND(F1990="C&amp;T",COUNTIFS($A$2:A1990,A1990,$F$2:F1990,"C&amp;T")=1),1,0))</f>
        <v>0</v>
      </c>
    </row>
    <row r="1991" spans="1:16" x14ac:dyDescent="0.35">
      <c r="A1991" s="54" t="str">
        <f>IFERROR(IF(INDEX(SPOT_Import!$A$1:$Z$2488,1991,'Live Data'!$C$12)="","",INDEX(SPOT_Import!$A$1:$Z$2488,1991,'Live Data'!$C$12)),"")</f>
        <v/>
      </c>
      <c r="B1991" s="54" t="str">
        <f>IFERROR(IF(INDEX(SPOT_Import!$A$1:$Z$2488,1991,'Live Data'!$C$13)="","",INDEX(SPOT_Import!$A$1:$Z$2488,1991,'Live Data'!$C$13)),"")</f>
        <v/>
      </c>
      <c r="C1991" s="54" t="str">
        <f>IFERROR(IF(INDEX(SPOT_Import!$A$1:$Z$2488,1991,'Live Data'!$C$14)="","",INDEX(SPOT_Import!$A$1:$Z$2488,1991,'Live Data'!$C$14)),"")</f>
        <v/>
      </c>
      <c r="D1991" s="54" t="str">
        <f>IFERROR(IF(INDEX(SPOT_Import!$A$1:$Z$2488,1991,'Live Data'!$C$15)="","",INDEX(SPOT_Import!$A$1:$Z$2488,1991,'Live Data'!$C$15)),"")</f>
        <v/>
      </c>
      <c r="E1991" s="54" t="str">
        <f>IFERROR(IF(INDEX(SPOT_Import!$A$1:$Z$2488,1991,'Live Data'!$C$16)="","",INDEX(SPOT_Import!$A$1:$Z$2488,1991,'Live Data'!$C$16)),"")</f>
        <v/>
      </c>
      <c r="F1991" s="54" t="str">
        <f>IFERROR(IF(INDEX(SPOT_Import!$A$1:$Z$2488,1991,'Live Data'!$C$17)="","",INDEX(SPOT_Import!$A$1:$Z$2488,1991,'Live Data'!$C$17)),"")</f>
        <v/>
      </c>
      <c r="G1991" s="54" t="str">
        <f>IFERROR(IF(INDEX(SPOT_Import!$A$1:$Z$2488,1991,'Live Data'!$C$18)="","",INDEX(SPOT_Import!$A$1:$Z$2488,1991,'Live Data'!$C$18)),"")</f>
        <v/>
      </c>
      <c r="H1991" s="54" t="str">
        <f>IFERROR(IF(INDEX(SPOT_Import!$A$1:$Z$2488,1991,'Live Data'!$C$19)="","",INDEX(SPOT_Import!$A$1:$Z$2488,1991,'Live Data'!$C$19)),"")</f>
        <v/>
      </c>
      <c r="I1991" s="54" t="str">
        <f>IFERROR(IF(INDEX(SPOT_Import!$A$1:$Z$2488,1991,'Live Data'!$C$20)="","",INDEX(SPOT_Import!$A$1:$Z$2488,1991,'Live Data'!$C$20)),"")</f>
        <v/>
      </c>
      <c r="J1991" s="54" t="str">
        <f>IFERROR(IF(INDEX(SPOT_Import!$A$1:$Z$2488,1991,'Live Data'!$C$21)="","",INDEX(SPOT_Import!$A$1:$Z$2488,1991,'Live Data'!$C$21)),"")</f>
        <v/>
      </c>
      <c r="K1991" s="54" t="str">
        <f>IFERROR(IF(INDEX(SPOT_Import!$A$1:$Z$2488,1991,'Live Data'!$C$22)="","",INDEX(SPOT_Import!$A$1:$Z$2488,1991,'Live Data'!$C$22)),"")</f>
        <v/>
      </c>
      <c r="L1991" s="55" t="str">
        <f t="shared" si="62"/>
        <v/>
      </c>
      <c r="M1991" s="55" t="str">
        <f t="shared" si="63"/>
        <v/>
      </c>
      <c r="N1991" s="55" t="str">
        <f>IF(A1991="","",IFERROR(INDEX('Cluster Map'!$A$4:$A$38,MATCH(M1991,'Cluster Map'!$B$4:$B$38,0)),"Unmapped"))</f>
        <v/>
      </c>
      <c r="O1991" s="55">
        <f>IF(A1991="",0,IF(COUNTIFS($A$2:A1991,A1991,$F$2:F1991,F1991,$L$2:L1991,L1991)=1,1,0))</f>
        <v>0</v>
      </c>
      <c r="P1991" s="55">
        <f>IF(A1991="",0,IF(AND(F1991="C&amp;T",COUNTIFS($A$2:A1991,A1991,$F$2:F1991,"C&amp;T")=1),1,0))</f>
        <v>0</v>
      </c>
    </row>
    <row r="1992" spans="1:16" x14ac:dyDescent="0.35">
      <c r="A1992" s="54" t="str">
        <f>IFERROR(IF(INDEX(SPOT_Import!$A$1:$Z$2488,1992,'Live Data'!$C$12)="","",INDEX(SPOT_Import!$A$1:$Z$2488,1992,'Live Data'!$C$12)),"")</f>
        <v/>
      </c>
      <c r="B1992" s="54" t="str">
        <f>IFERROR(IF(INDEX(SPOT_Import!$A$1:$Z$2488,1992,'Live Data'!$C$13)="","",INDEX(SPOT_Import!$A$1:$Z$2488,1992,'Live Data'!$C$13)),"")</f>
        <v/>
      </c>
      <c r="C1992" s="54" t="str">
        <f>IFERROR(IF(INDEX(SPOT_Import!$A$1:$Z$2488,1992,'Live Data'!$C$14)="","",INDEX(SPOT_Import!$A$1:$Z$2488,1992,'Live Data'!$C$14)),"")</f>
        <v/>
      </c>
      <c r="D1992" s="54" t="str">
        <f>IFERROR(IF(INDEX(SPOT_Import!$A$1:$Z$2488,1992,'Live Data'!$C$15)="","",INDEX(SPOT_Import!$A$1:$Z$2488,1992,'Live Data'!$C$15)),"")</f>
        <v/>
      </c>
      <c r="E1992" s="54" t="str">
        <f>IFERROR(IF(INDEX(SPOT_Import!$A$1:$Z$2488,1992,'Live Data'!$C$16)="","",INDEX(SPOT_Import!$A$1:$Z$2488,1992,'Live Data'!$C$16)),"")</f>
        <v/>
      </c>
      <c r="F1992" s="54" t="str">
        <f>IFERROR(IF(INDEX(SPOT_Import!$A$1:$Z$2488,1992,'Live Data'!$C$17)="","",INDEX(SPOT_Import!$A$1:$Z$2488,1992,'Live Data'!$C$17)),"")</f>
        <v/>
      </c>
      <c r="G1992" s="54" t="str">
        <f>IFERROR(IF(INDEX(SPOT_Import!$A$1:$Z$2488,1992,'Live Data'!$C$18)="","",INDEX(SPOT_Import!$A$1:$Z$2488,1992,'Live Data'!$C$18)),"")</f>
        <v/>
      </c>
      <c r="H1992" s="54" t="str">
        <f>IFERROR(IF(INDEX(SPOT_Import!$A$1:$Z$2488,1992,'Live Data'!$C$19)="","",INDEX(SPOT_Import!$A$1:$Z$2488,1992,'Live Data'!$C$19)),"")</f>
        <v/>
      </c>
      <c r="I1992" s="54" t="str">
        <f>IFERROR(IF(INDEX(SPOT_Import!$A$1:$Z$2488,1992,'Live Data'!$C$20)="","",INDEX(SPOT_Import!$A$1:$Z$2488,1992,'Live Data'!$C$20)),"")</f>
        <v/>
      </c>
      <c r="J1992" s="54" t="str">
        <f>IFERROR(IF(INDEX(SPOT_Import!$A$1:$Z$2488,1992,'Live Data'!$C$21)="","",INDEX(SPOT_Import!$A$1:$Z$2488,1992,'Live Data'!$C$21)),"")</f>
        <v/>
      </c>
      <c r="K1992" s="54" t="str">
        <f>IFERROR(IF(INDEX(SPOT_Import!$A$1:$Z$2488,1992,'Live Data'!$C$22)="","",INDEX(SPOT_Import!$A$1:$Z$2488,1992,'Live Data'!$C$22)),"")</f>
        <v/>
      </c>
      <c r="L1992" s="55" t="str">
        <f t="shared" si="62"/>
        <v/>
      </c>
      <c r="M1992" s="55" t="str">
        <f t="shared" si="63"/>
        <v/>
      </c>
      <c r="N1992" s="55" t="str">
        <f>IF(A1992="","",IFERROR(INDEX('Cluster Map'!$A$4:$A$38,MATCH(M1992,'Cluster Map'!$B$4:$B$38,0)),"Unmapped"))</f>
        <v/>
      </c>
      <c r="O1992" s="55">
        <f>IF(A1992="",0,IF(COUNTIFS($A$2:A1992,A1992,$F$2:F1992,F1992,$L$2:L1992,L1992)=1,1,0))</f>
        <v>0</v>
      </c>
      <c r="P1992" s="55">
        <f>IF(A1992="",0,IF(AND(F1992="C&amp;T",COUNTIFS($A$2:A1992,A1992,$F$2:F1992,"C&amp;T")=1),1,0))</f>
        <v>0</v>
      </c>
    </row>
    <row r="1993" spans="1:16" x14ac:dyDescent="0.35">
      <c r="A1993" s="54" t="str">
        <f>IFERROR(IF(INDEX(SPOT_Import!$A$1:$Z$2488,1993,'Live Data'!$C$12)="","",INDEX(SPOT_Import!$A$1:$Z$2488,1993,'Live Data'!$C$12)),"")</f>
        <v/>
      </c>
      <c r="B1993" s="54" t="str">
        <f>IFERROR(IF(INDEX(SPOT_Import!$A$1:$Z$2488,1993,'Live Data'!$C$13)="","",INDEX(SPOT_Import!$A$1:$Z$2488,1993,'Live Data'!$C$13)),"")</f>
        <v/>
      </c>
      <c r="C1993" s="54" t="str">
        <f>IFERROR(IF(INDEX(SPOT_Import!$A$1:$Z$2488,1993,'Live Data'!$C$14)="","",INDEX(SPOT_Import!$A$1:$Z$2488,1993,'Live Data'!$C$14)),"")</f>
        <v/>
      </c>
      <c r="D1993" s="54" t="str">
        <f>IFERROR(IF(INDEX(SPOT_Import!$A$1:$Z$2488,1993,'Live Data'!$C$15)="","",INDEX(SPOT_Import!$A$1:$Z$2488,1993,'Live Data'!$C$15)),"")</f>
        <v/>
      </c>
      <c r="E1993" s="54" t="str">
        <f>IFERROR(IF(INDEX(SPOT_Import!$A$1:$Z$2488,1993,'Live Data'!$C$16)="","",INDEX(SPOT_Import!$A$1:$Z$2488,1993,'Live Data'!$C$16)),"")</f>
        <v/>
      </c>
      <c r="F1993" s="54" t="str">
        <f>IFERROR(IF(INDEX(SPOT_Import!$A$1:$Z$2488,1993,'Live Data'!$C$17)="","",INDEX(SPOT_Import!$A$1:$Z$2488,1993,'Live Data'!$C$17)),"")</f>
        <v/>
      </c>
      <c r="G1993" s="54" t="str">
        <f>IFERROR(IF(INDEX(SPOT_Import!$A$1:$Z$2488,1993,'Live Data'!$C$18)="","",INDEX(SPOT_Import!$A$1:$Z$2488,1993,'Live Data'!$C$18)),"")</f>
        <v/>
      </c>
      <c r="H1993" s="54" t="str">
        <f>IFERROR(IF(INDEX(SPOT_Import!$A$1:$Z$2488,1993,'Live Data'!$C$19)="","",INDEX(SPOT_Import!$A$1:$Z$2488,1993,'Live Data'!$C$19)),"")</f>
        <v/>
      </c>
      <c r="I1993" s="54" t="str">
        <f>IFERROR(IF(INDEX(SPOT_Import!$A$1:$Z$2488,1993,'Live Data'!$C$20)="","",INDEX(SPOT_Import!$A$1:$Z$2488,1993,'Live Data'!$C$20)),"")</f>
        <v/>
      </c>
      <c r="J1993" s="54" t="str">
        <f>IFERROR(IF(INDEX(SPOT_Import!$A$1:$Z$2488,1993,'Live Data'!$C$21)="","",INDEX(SPOT_Import!$A$1:$Z$2488,1993,'Live Data'!$C$21)),"")</f>
        <v/>
      </c>
      <c r="K1993" s="54" t="str">
        <f>IFERROR(IF(INDEX(SPOT_Import!$A$1:$Z$2488,1993,'Live Data'!$C$22)="","",INDEX(SPOT_Import!$A$1:$Z$2488,1993,'Live Data'!$C$22)),"")</f>
        <v/>
      </c>
      <c r="L1993" s="55" t="str">
        <f t="shared" si="62"/>
        <v/>
      </c>
      <c r="M1993" s="55" t="str">
        <f t="shared" si="63"/>
        <v/>
      </c>
      <c r="N1993" s="55" t="str">
        <f>IF(A1993="","",IFERROR(INDEX('Cluster Map'!$A$4:$A$38,MATCH(M1993,'Cluster Map'!$B$4:$B$38,0)),"Unmapped"))</f>
        <v/>
      </c>
      <c r="O1993" s="55">
        <f>IF(A1993="",0,IF(COUNTIFS($A$2:A1993,A1993,$F$2:F1993,F1993,$L$2:L1993,L1993)=1,1,0))</f>
        <v>0</v>
      </c>
      <c r="P1993" s="55">
        <f>IF(A1993="",0,IF(AND(F1993="C&amp;T",COUNTIFS($A$2:A1993,A1993,$F$2:F1993,"C&amp;T")=1),1,0))</f>
        <v>0</v>
      </c>
    </row>
    <row r="1994" spans="1:16" x14ac:dyDescent="0.35">
      <c r="A1994" s="54" t="str">
        <f>IFERROR(IF(INDEX(SPOT_Import!$A$1:$Z$2488,1994,'Live Data'!$C$12)="","",INDEX(SPOT_Import!$A$1:$Z$2488,1994,'Live Data'!$C$12)),"")</f>
        <v/>
      </c>
      <c r="B1994" s="54" t="str">
        <f>IFERROR(IF(INDEX(SPOT_Import!$A$1:$Z$2488,1994,'Live Data'!$C$13)="","",INDEX(SPOT_Import!$A$1:$Z$2488,1994,'Live Data'!$C$13)),"")</f>
        <v/>
      </c>
      <c r="C1994" s="54" t="str">
        <f>IFERROR(IF(INDEX(SPOT_Import!$A$1:$Z$2488,1994,'Live Data'!$C$14)="","",INDEX(SPOT_Import!$A$1:$Z$2488,1994,'Live Data'!$C$14)),"")</f>
        <v/>
      </c>
      <c r="D1994" s="54" t="str">
        <f>IFERROR(IF(INDEX(SPOT_Import!$A$1:$Z$2488,1994,'Live Data'!$C$15)="","",INDEX(SPOT_Import!$A$1:$Z$2488,1994,'Live Data'!$C$15)),"")</f>
        <v/>
      </c>
      <c r="E1994" s="54" t="str">
        <f>IFERROR(IF(INDEX(SPOT_Import!$A$1:$Z$2488,1994,'Live Data'!$C$16)="","",INDEX(SPOT_Import!$A$1:$Z$2488,1994,'Live Data'!$C$16)),"")</f>
        <v/>
      </c>
      <c r="F1994" s="54" t="str">
        <f>IFERROR(IF(INDEX(SPOT_Import!$A$1:$Z$2488,1994,'Live Data'!$C$17)="","",INDEX(SPOT_Import!$A$1:$Z$2488,1994,'Live Data'!$C$17)),"")</f>
        <v/>
      </c>
      <c r="G1994" s="54" t="str">
        <f>IFERROR(IF(INDEX(SPOT_Import!$A$1:$Z$2488,1994,'Live Data'!$C$18)="","",INDEX(SPOT_Import!$A$1:$Z$2488,1994,'Live Data'!$C$18)),"")</f>
        <v/>
      </c>
      <c r="H1994" s="54" t="str">
        <f>IFERROR(IF(INDEX(SPOT_Import!$A$1:$Z$2488,1994,'Live Data'!$C$19)="","",INDEX(SPOT_Import!$A$1:$Z$2488,1994,'Live Data'!$C$19)),"")</f>
        <v/>
      </c>
      <c r="I1994" s="54" t="str">
        <f>IFERROR(IF(INDEX(SPOT_Import!$A$1:$Z$2488,1994,'Live Data'!$C$20)="","",INDEX(SPOT_Import!$A$1:$Z$2488,1994,'Live Data'!$C$20)),"")</f>
        <v/>
      </c>
      <c r="J1994" s="54" t="str">
        <f>IFERROR(IF(INDEX(SPOT_Import!$A$1:$Z$2488,1994,'Live Data'!$C$21)="","",INDEX(SPOT_Import!$A$1:$Z$2488,1994,'Live Data'!$C$21)),"")</f>
        <v/>
      </c>
      <c r="K1994" s="54" t="str">
        <f>IFERROR(IF(INDEX(SPOT_Import!$A$1:$Z$2488,1994,'Live Data'!$C$22)="","",INDEX(SPOT_Import!$A$1:$Z$2488,1994,'Live Data'!$C$22)),"")</f>
        <v/>
      </c>
      <c r="L1994" s="55" t="str">
        <f t="shared" si="62"/>
        <v/>
      </c>
      <c r="M1994" s="55" t="str">
        <f t="shared" si="63"/>
        <v/>
      </c>
      <c r="N1994" s="55" t="str">
        <f>IF(A1994="","",IFERROR(INDEX('Cluster Map'!$A$4:$A$38,MATCH(M1994,'Cluster Map'!$B$4:$B$38,0)),"Unmapped"))</f>
        <v/>
      </c>
      <c r="O1994" s="55">
        <f>IF(A1994="",0,IF(COUNTIFS($A$2:A1994,A1994,$F$2:F1994,F1994,$L$2:L1994,L1994)=1,1,0))</f>
        <v>0</v>
      </c>
      <c r="P1994" s="55">
        <f>IF(A1994="",0,IF(AND(F1994="C&amp;T",COUNTIFS($A$2:A1994,A1994,$F$2:F1994,"C&amp;T")=1),1,0))</f>
        <v>0</v>
      </c>
    </row>
    <row r="1995" spans="1:16" x14ac:dyDescent="0.35">
      <c r="A1995" s="54" t="str">
        <f>IFERROR(IF(INDEX(SPOT_Import!$A$1:$Z$2488,1995,'Live Data'!$C$12)="","",INDEX(SPOT_Import!$A$1:$Z$2488,1995,'Live Data'!$C$12)),"")</f>
        <v/>
      </c>
      <c r="B1995" s="54" t="str">
        <f>IFERROR(IF(INDEX(SPOT_Import!$A$1:$Z$2488,1995,'Live Data'!$C$13)="","",INDEX(SPOT_Import!$A$1:$Z$2488,1995,'Live Data'!$C$13)),"")</f>
        <v/>
      </c>
      <c r="C1995" s="54" t="str">
        <f>IFERROR(IF(INDEX(SPOT_Import!$A$1:$Z$2488,1995,'Live Data'!$C$14)="","",INDEX(SPOT_Import!$A$1:$Z$2488,1995,'Live Data'!$C$14)),"")</f>
        <v/>
      </c>
      <c r="D1995" s="54" t="str">
        <f>IFERROR(IF(INDEX(SPOT_Import!$A$1:$Z$2488,1995,'Live Data'!$C$15)="","",INDEX(SPOT_Import!$A$1:$Z$2488,1995,'Live Data'!$C$15)),"")</f>
        <v/>
      </c>
      <c r="E1995" s="54" t="str">
        <f>IFERROR(IF(INDEX(SPOT_Import!$A$1:$Z$2488,1995,'Live Data'!$C$16)="","",INDEX(SPOT_Import!$A$1:$Z$2488,1995,'Live Data'!$C$16)),"")</f>
        <v/>
      </c>
      <c r="F1995" s="54" t="str">
        <f>IFERROR(IF(INDEX(SPOT_Import!$A$1:$Z$2488,1995,'Live Data'!$C$17)="","",INDEX(SPOT_Import!$A$1:$Z$2488,1995,'Live Data'!$C$17)),"")</f>
        <v/>
      </c>
      <c r="G1995" s="54" t="str">
        <f>IFERROR(IF(INDEX(SPOT_Import!$A$1:$Z$2488,1995,'Live Data'!$C$18)="","",INDEX(SPOT_Import!$A$1:$Z$2488,1995,'Live Data'!$C$18)),"")</f>
        <v/>
      </c>
      <c r="H1995" s="54" t="str">
        <f>IFERROR(IF(INDEX(SPOT_Import!$A$1:$Z$2488,1995,'Live Data'!$C$19)="","",INDEX(SPOT_Import!$A$1:$Z$2488,1995,'Live Data'!$C$19)),"")</f>
        <v/>
      </c>
      <c r="I1995" s="54" t="str">
        <f>IFERROR(IF(INDEX(SPOT_Import!$A$1:$Z$2488,1995,'Live Data'!$C$20)="","",INDEX(SPOT_Import!$A$1:$Z$2488,1995,'Live Data'!$C$20)),"")</f>
        <v/>
      </c>
      <c r="J1995" s="54" t="str">
        <f>IFERROR(IF(INDEX(SPOT_Import!$A$1:$Z$2488,1995,'Live Data'!$C$21)="","",INDEX(SPOT_Import!$A$1:$Z$2488,1995,'Live Data'!$C$21)),"")</f>
        <v/>
      </c>
      <c r="K1995" s="54" t="str">
        <f>IFERROR(IF(INDEX(SPOT_Import!$A$1:$Z$2488,1995,'Live Data'!$C$22)="","",INDEX(SPOT_Import!$A$1:$Z$2488,1995,'Live Data'!$C$22)),"")</f>
        <v/>
      </c>
      <c r="L1995" s="55" t="str">
        <f t="shared" si="62"/>
        <v/>
      </c>
      <c r="M1995" s="55" t="str">
        <f t="shared" si="63"/>
        <v/>
      </c>
      <c r="N1995" s="55" t="str">
        <f>IF(A1995="","",IFERROR(INDEX('Cluster Map'!$A$4:$A$38,MATCH(M1995,'Cluster Map'!$B$4:$B$38,0)),"Unmapped"))</f>
        <v/>
      </c>
      <c r="O1995" s="55">
        <f>IF(A1995="",0,IF(COUNTIFS($A$2:A1995,A1995,$F$2:F1995,F1995,$L$2:L1995,L1995)=1,1,0))</f>
        <v>0</v>
      </c>
      <c r="P1995" s="55">
        <f>IF(A1995="",0,IF(AND(F1995="C&amp;T",COUNTIFS($A$2:A1995,A1995,$F$2:F1995,"C&amp;T")=1),1,0))</f>
        <v>0</v>
      </c>
    </row>
    <row r="1996" spans="1:16" x14ac:dyDescent="0.35">
      <c r="A1996" s="54" t="str">
        <f>IFERROR(IF(INDEX(SPOT_Import!$A$1:$Z$2488,1996,'Live Data'!$C$12)="","",INDEX(SPOT_Import!$A$1:$Z$2488,1996,'Live Data'!$C$12)),"")</f>
        <v/>
      </c>
      <c r="B1996" s="54" t="str">
        <f>IFERROR(IF(INDEX(SPOT_Import!$A$1:$Z$2488,1996,'Live Data'!$C$13)="","",INDEX(SPOT_Import!$A$1:$Z$2488,1996,'Live Data'!$C$13)),"")</f>
        <v/>
      </c>
      <c r="C1996" s="54" t="str">
        <f>IFERROR(IF(INDEX(SPOT_Import!$A$1:$Z$2488,1996,'Live Data'!$C$14)="","",INDEX(SPOT_Import!$A$1:$Z$2488,1996,'Live Data'!$C$14)),"")</f>
        <v/>
      </c>
      <c r="D1996" s="54" t="str">
        <f>IFERROR(IF(INDEX(SPOT_Import!$A$1:$Z$2488,1996,'Live Data'!$C$15)="","",INDEX(SPOT_Import!$A$1:$Z$2488,1996,'Live Data'!$C$15)),"")</f>
        <v/>
      </c>
      <c r="E1996" s="54" t="str">
        <f>IFERROR(IF(INDEX(SPOT_Import!$A$1:$Z$2488,1996,'Live Data'!$C$16)="","",INDEX(SPOT_Import!$A$1:$Z$2488,1996,'Live Data'!$C$16)),"")</f>
        <v/>
      </c>
      <c r="F1996" s="54" t="str">
        <f>IFERROR(IF(INDEX(SPOT_Import!$A$1:$Z$2488,1996,'Live Data'!$C$17)="","",INDEX(SPOT_Import!$A$1:$Z$2488,1996,'Live Data'!$C$17)),"")</f>
        <v/>
      </c>
      <c r="G1996" s="54" t="str">
        <f>IFERROR(IF(INDEX(SPOT_Import!$A$1:$Z$2488,1996,'Live Data'!$C$18)="","",INDEX(SPOT_Import!$A$1:$Z$2488,1996,'Live Data'!$C$18)),"")</f>
        <v/>
      </c>
      <c r="H1996" s="54" t="str">
        <f>IFERROR(IF(INDEX(SPOT_Import!$A$1:$Z$2488,1996,'Live Data'!$C$19)="","",INDEX(SPOT_Import!$A$1:$Z$2488,1996,'Live Data'!$C$19)),"")</f>
        <v/>
      </c>
      <c r="I1996" s="54" t="str">
        <f>IFERROR(IF(INDEX(SPOT_Import!$A$1:$Z$2488,1996,'Live Data'!$C$20)="","",INDEX(SPOT_Import!$A$1:$Z$2488,1996,'Live Data'!$C$20)),"")</f>
        <v/>
      </c>
      <c r="J1996" s="54" t="str">
        <f>IFERROR(IF(INDEX(SPOT_Import!$A$1:$Z$2488,1996,'Live Data'!$C$21)="","",INDEX(SPOT_Import!$A$1:$Z$2488,1996,'Live Data'!$C$21)),"")</f>
        <v/>
      </c>
      <c r="K1996" s="54" t="str">
        <f>IFERROR(IF(INDEX(SPOT_Import!$A$1:$Z$2488,1996,'Live Data'!$C$22)="","",INDEX(SPOT_Import!$A$1:$Z$2488,1996,'Live Data'!$C$22)),"")</f>
        <v/>
      </c>
      <c r="L1996" s="55" t="str">
        <f t="shared" si="62"/>
        <v/>
      </c>
      <c r="M1996" s="55" t="str">
        <f t="shared" si="63"/>
        <v/>
      </c>
      <c r="N1996" s="55" t="str">
        <f>IF(A1996="","",IFERROR(INDEX('Cluster Map'!$A$4:$A$38,MATCH(M1996,'Cluster Map'!$B$4:$B$38,0)),"Unmapped"))</f>
        <v/>
      </c>
      <c r="O1996" s="55">
        <f>IF(A1996="",0,IF(COUNTIFS($A$2:A1996,A1996,$F$2:F1996,F1996,$L$2:L1996,L1996)=1,1,0))</f>
        <v>0</v>
      </c>
      <c r="P1996" s="55">
        <f>IF(A1996="",0,IF(AND(F1996="C&amp;T",COUNTIFS($A$2:A1996,A1996,$F$2:F1996,"C&amp;T")=1),1,0))</f>
        <v>0</v>
      </c>
    </row>
    <row r="1997" spans="1:16" x14ac:dyDescent="0.35">
      <c r="A1997" s="54" t="str">
        <f>IFERROR(IF(INDEX(SPOT_Import!$A$1:$Z$2488,1997,'Live Data'!$C$12)="","",INDEX(SPOT_Import!$A$1:$Z$2488,1997,'Live Data'!$C$12)),"")</f>
        <v/>
      </c>
      <c r="B1997" s="54" t="str">
        <f>IFERROR(IF(INDEX(SPOT_Import!$A$1:$Z$2488,1997,'Live Data'!$C$13)="","",INDEX(SPOT_Import!$A$1:$Z$2488,1997,'Live Data'!$C$13)),"")</f>
        <v/>
      </c>
      <c r="C1997" s="54" t="str">
        <f>IFERROR(IF(INDEX(SPOT_Import!$A$1:$Z$2488,1997,'Live Data'!$C$14)="","",INDEX(SPOT_Import!$A$1:$Z$2488,1997,'Live Data'!$C$14)),"")</f>
        <v/>
      </c>
      <c r="D1997" s="54" t="str">
        <f>IFERROR(IF(INDEX(SPOT_Import!$A$1:$Z$2488,1997,'Live Data'!$C$15)="","",INDEX(SPOT_Import!$A$1:$Z$2488,1997,'Live Data'!$C$15)),"")</f>
        <v/>
      </c>
      <c r="E1997" s="54" t="str">
        <f>IFERROR(IF(INDEX(SPOT_Import!$A$1:$Z$2488,1997,'Live Data'!$C$16)="","",INDEX(SPOT_Import!$A$1:$Z$2488,1997,'Live Data'!$C$16)),"")</f>
        <v/>
      </c>
      <c r="F1997" s="54" t="str">
        <f>IFERROR(IF(INDEX(SPOT_Import!$A$1:$Z$2488,1997,'Live Data'!$C$17)="","",INDEX(SPOT_Import!$A$1:$Z$2488,1997,'Live Data'!$C$17)),"")</f>
        <v/>
      </c>
      <c r="G1997" s="54" t="str">
        <f>IFERROR(IF(INDEX(SPOT_Import!$A$1:$Z$2488,1997,'Live Data'!$C$18)="","",INDEX(SPOT_Import!$A$1:$Z$2488,1997,'Live Data'!$C$18)),"")</f>
        <v/>
      </c>
      <c r="H1997" s="54" t="str">
        <f>IFERROR(IF(INDEX(SPOT_Import!$A$1:$Z$2488,1997,'Live Data'!$C$19)="","",INDEX(SPOT_Import!$A$1:$Z$2488,1997,'Live Data'!$C$19)),"")</f>
        <v/>
      </c>
      <c r="I1997" s="54" t="str">
        <f>IFERROR(IF(INDEX(SPOT_Import!$A$1:$Z$2488,1997,'Live Data'!$C$20)="","",INDEX(SPOT_Import!$A$1:$Z$2488,1997,'Live Data'!$C$20)),"")</f>
        <v/>
      </c>
      <c r="J1997" s="54" t="str">
        <f>IFERROR(IF(INDEX(SPOT_Import!$A$1:$Z$2488,1997,'Live Data'!$C$21)="","",INDEX(SPOT_Import!$A$1:$Z$2488,1997,'Live Data'!$C$21)),"")</f>
        <v/>
      </c>
      <c r="K1997" s="54" t="str">
        <f>IFERROR(IF(INDEX(SPOT_Import!$A$1:$Z$2488,1997,'Live Data'!$C$22)="","",INDEX(SPOT_Import!$A$1:$Z$2488,1997,'Live Data'!$C$22)),"")</f>
        <v/>
      </c>
      <c r="L1997" s="55" t="str">
        <f t="shared" si="62"/>
        <v/>
      </c>
      <c r="M1997" s="55" t="str">
        <f t="shared" si="63"/>
        <v/>
      </c>
      <c r="N1997" s="55" t="str">
        <f>IF(A1997="","",IFERROR(INDEX('Cluster Map'!$A$4:$A$38,MATCH(M1997,'Cluster Map'!$B$4:$B$38,0)),"Unmapped"))</f>
        <v/>
      </c>
      <c r="O1997" s="55">
        <f>IF(A1997="",0,IF(COUNTIFS($A$2:A1997,A1997,$F$2:F1997,F1997,$L$2:L1997,L1997)=1,1,0))</f>
        <v>0</v>
      </c>
      <c r="P1997" s="55">
        <f>IF(A1997="",0,IF(AND(F1997="C&amp;T",COUNTIFS($A$2:A1997,A1997,$F$2:F1997,"C&amp;T")=1),1,0))</f>
        <v>0</v>
      </c>
    </row>
    <row r="1998" spans="1:16" x14ac:dyDescent="0.35">
      <c r="A1998" s="54" t="str">
        <f>IFERROR(IF(INDEX(SPOT_Import!$A$1:$Z$2488,1998,'Live Data'!$C$12)="","",INDEX(SPOT_Import!$A$1:$Z$2488,1998,'Live Data'!$C$12)),"")</f>
        <v/>
      </c>
      <c r="B1998" s="54" t="str">
        <f>IFERROR(IF(INDEX(SPOT_Import!$A$1:$Z$2488,1998,'Live Data'!$C$13)="","",INDEX(SPOT_Import!$A$1:$Z$2488,1998,'Live Data'!$C$13)),"")</f>
        <v/>
      </c>
      <c r="C1998" s="54" t="str">
        <f>IFERROR(IF(INDEX(SPOT_Import!$A$1:$Z$2488,1998,'Live Data'!$C$14)="","",INDEX(SPOT_Import!$A$1:$Z$2488,1998,'Live Data'!$C$14)),"")</f>
        <v/>
      </c>
      <c r="D1998" s="54" t="str">
        <f>IFERROR(IF(INDEX(SPOT_Import!$A$1:$Z$2488,1998,'Live Data'!$C$15)="","",INDEX(SPOT_Import!$A$1:$Z$2488,1998,'Live Data'!$C$15)),"")</f>
        <v/>
      </c>
      <c r="E1998" s="54" t="str">
        <f>IFERROR(IF(INDEX(SPOT_Import!$A$1:$Z$2488,1998,'Live Data'!$C$16)="","",INDEX(SPOT_Import!$A$1:$Z$2488,1998,'Live Data'!$C$16)),"")</f>
        <v/>
      </c>
      <c r="F1998" s="54" t="str">
        <f>IFERROR(IF(INDEX(SPOT_Import!$A$1:$Z$2488,1998,'Live Data'!$C$17)="","",INDEX(SPOT_Import!$A$1:$Z$2488,1998,'Live Data'!$C$17)),"")</f>
        <v/>
      </c>
      <c r="G1998" s="54" t="str">
        <f>IFERROR(IF(INDEX(SPOT_Import!$A$1:$Z$2488,1998,'Live Data'!$C$18)="","",INDEX(SPOT_Import!$A$1:$Z$2488,1998,'Live Data'!$C$18)),"")</f>
        <v/>
      </c>
      <c r="H1998" s="54" t="str">
        <f>IFERROR(IF(INDEX(SPOT_Import!$A$1:$Z$2488,1998,'Live Data'!$C$19)="","",INDEX(SPOT_Import!$A$1:$Z$2488,1998,'Live Data'!$C$19)),"")</f>
        <v/>
      </c>
      <c r="I1998" s="54" t="str">
        <f>IFERROR(IF(INDEX(SPOT_Import!$A$1:$Z$2488,1998,'Live Data'!$C$20)="","",INDEX(SPOT_Import!$A$1:$Z$2488,1998,'Live Data'!$C$20)),"")</f>
        <v/>
      </c>
      <c r="J1998" s="54" t="str">
        <f>IFERROR(IF(INDEX(SPOT_Import!$A$1:$Z$2488,1998,'Live Data'!$C$21)="","",INDEX(SPOT_Import!$A$1:$Z$2488,1998,'Live Data'!$C$21)),"")</f>
        <v/>
      </c>
      <c r="K1998" s="54" t="str">
        <f>IFERROR(IF(INDEX(SPOT_Import!$A$1:$Z$2488,1998,'Live Data'!$C$22)="","",INDEX(SPOT_Import!$A$1:$Z$2488,1998,'Live Data'!$C$22)),"")</f>
        <v/>
      </c>
      <c r="L1998" s="55" t="str">
        <f t="shared" si="62"/>
        <v/>
      </c>
      <c r="M1998" s="55" t="str">
        <f t="shared" si="63"/>
        <v/>
      </c>
      <c r="N1998" s="55" t="str">
        <f>IF(A1998="","",IFERROR(INDEX('Cluster Map'!$A$4:$A$38,MATCH(M1998,'Cluster Map'!$B$4:$B$38,0)),"Unmapped"))</f>
        <v/>
      </c>
      <c r="O1998" s="55">
        <f>IF(A1998="",0,IF(COUNTIFS($A$2:A1998,A1998,$F$2:F1998,F1998,$L$2:L1998,L1998)=1,1,0))</f>
        <v>0</v>
      </c>
      <c r="P1998" s="55">
        <f>IF(A1998="",0,IF(AND(F1998="C&amp;T",COUNTIFS($A$2:A1998,A1998,$F$2:F1998,"C&amp;T")=1),1,0))</f>
        <v>0</v>
      </c>
    </row>
    <row r="1999" spans="1:16" x14ac:dyDescent="0.35">
      <c r="A1999" s="54" t="str">
        <f>IFERROR(IF(INDEX(SPOT_Import!$A$1:$Z$2488,1999,'Live Data'!$C$12)="","",INDEX(SPOT_Import!$A$1:$Z$2488,1999,'Live Data'!$C$12)),"")</f>
        <v/>
      </c>
      <c r="B1999" s="54" t="str">
        <f>IFERROR(IF(INDEX(SPOT_Import!$A$1:$Z$2488,1999,'Live Data'!$C$13)="","",INDEX(SPOT_Import!$A$1:$Z$2488,1999,'Live Data'!$C$13)),"")</f>
        <v/>
      </c>
      <c r="C1999" s="54" t="str">
        <f>IFERROR(IF(INDEX(SPOT_Import!$A$1:$Z$2488,1999,'Live Data'!$C$14)="","",INDEX(SPOT_Import!$A$1:$Z$2488,1999,'Live Data'!$C$14)),"")</f>
        <v/>
      </c>
      <c r="D1999" s="54" t="str">
        <f>IFERROR(IF(INDEX(SPOT_Import!$A$1:$Z$2488,1999,'Live Data'!$C$15)="","",INDEX(SPOT_Import!$A$1:$Z$2488,1999,'Live Data'!$C$15)),"")</f>
        <v/>
      </c>
      <c r="E1999" s="54" t="str">
        <f>IFERROR(IF(INDEX(SPOT_Import!$A$1:$Z$2488,1999,'Live Data'!$C$16)="","",INDEX(SPOT_Import!$A$1:$Z$2488,1999,'Live Data'!$C$16)),"")</f>
        <v/>
      </c>
      <c r="F1999" s="54" t="str">
        <f>IFERROR(IF(INDEX(SPOT_Import!$A$1:$Z$2488,1999,'Live Data'!$C$17)="","",INDEX(SPOT_Import!$A$1:$Z$2488,1999,'Live Data'!$C$17)),"")</f>
        <v/>
      </c>
      <c r="G1999" s="54" t="str">
        <f>IFERROR(IF(INDEX(SPOT_Import!$A$1:$Z$2488,1999,'Live Data'!$C$18)="","",INDEX(SPOT_Import!$A$1:$Z$2488,1999,'Live Data'!$C$18)),"")</f>
        <v/>
      </c>
      <c r="H1999" s="54" t="str">
        <f>IFERROR(IF(INDEX(SPOT_Import!$A$1:$Z$2488,1999,'Live Data'!$C$19)="","",INDEX(SPOT_Import!$A$1:$Z$2488,1999,'Live Data'!$C$19)),"")</f>
        <v/>
      </c>
      <c r="I1999" s="54" t="str">
        <f>IFERROR(IF(INDEX(SPOT_Import!$A$1:$Z$2488,1999,'Live Data'!$C$20)="","",INDEX(SPOT_Import!$A$1:$Z$2488,1999,'Live Data'!$C$20)),"")</f>
        <v/>
      </c>
      <c r="J1999" s="54" t="str">
        <f>IFERROR(IF(INDEX(SPOT_Import!$A$1:$Z$2488,1999,'Live Data'!$C$21)="","",INDEX(SPOT_Import!$A$1:$Z$2488,1999,'Live Data'!$C$21)),"")</f>
        <v/>
      </c>
      <c r="K1999" s="54" t="str">
        <f>IFERROR(IF(INDEX(SPOT_Import!$A$1:$Z$2488,1999,'Live Data'!$C$22)="","",INDEX(SPOT_Import!$A$1:$Z$2488,1999,'Live Data'!$C$22)),"")</f>
        <v/>
      </c>
      <c r="L1999" s="55" t="str">
        <f t="shared" si="62"/>
        <v/>
      </c>
      <c r="M1999" s="55" t="str">
        <f t="shared" si="63"/>
        <v/>
      </c>
      <c r="N1999" s="55" t="str">
        <f>IF(A1999="","",IFERROR(INDEX('Cluster Map'!$A$4:$A$38,MATCH(M1999,'Cluster Map'!$B$4:$B$38,0)),"Unmapped"))</f>
        <v/>
      </c>
      <c r="O1999" s="55">
        <f>IF(A1999="",0,IF(COUNTIFS($A$2:A1999,A1999,$F$2:F1999,F1999,$L$2:L1999,L1999)=1,1,0))</f>
        <v>0</v>
      </c>
      <c r="P1999" s="55">
        <f>IF(A1999="",0,IF(AND(F1999="C&amp;T",COUNTIFS($A$2:A1999,A1999,$F$2:F1999,"C&amp;T")=1),1,0))</f>
        <v>0</v>
      </c>
    </row>
    <row r="2000" spans="1:16" x14ac:dyDescent="0.35">
      <c r="A2000" s="54" t="str">
        <f>IFERROR(IF(INDEX(SPOT_Import!$A$1:$Z$2488,2000,'Live Data'!$C$12)="","",INDEX(SPOT_Import!$A$1:$Z$2488,2000,'Live Data'!$C$12)),"")</f>
        <v/>
      </c>
      <c r="B2000" s="54" t="str">
        <f>IFERROR(IF(INDEX(SPOT_Import!$A$1:$Z$2488,2000,'Live Data'!$C$13)="","",INDEX(SPOT_Import!$A$1:$Z$2488,2000,'Live Data'!$C$13)),"")</f>
        <v/>
      </c>
      <c r="C2000" s="54" t="str">
        <f>IFERROR(IF(INDEX(SPOT_Import!$A$1:$Z$2488,2000,'Live Data'!$C$14)="","",INDEX(SPOT_Import!$A$1:$Z$2488,2000,'Live Data'!$C$14)),"")</f>
        <v/>
      </c>
      <c r="D2000" s="54" t="str">
        <f>IFERROR(IF(INDEX(SPOT_Import!$A$1:$Z$2488,2000,'Live Data'!$C$15)="","",INDEX(SPOT_Import!$A$1:$Z$2488,2000,'Live Data'!$C$15)),"")</f>
        <v/>
      </c>
      <c r="E2000" s="54" t="str">
        <f>IFERROR(IF(INDEX(SPOT_Import!$A$1:$Z$2488,2000,'Live Data'!$C$16)="","",INDEX(SPOT_Import!$A$1:$Z$2488,2000,'Live Data'!$C$16)),"")</f>
        <v/>
      </c>
      <c r="F2000" s="54" t="str">
        <f>IFERROR(IF(INDEX(SPOT_Import!$A$1:$Z$2488,2000,'Live Data'!$C$17)="","",INDEX(SPOT_Import!$A$1:$Z$2488,2000,'Live Data'!$C$17)),"")</f>
        <v/>
      </c>
      <c r="G2000" s="54" t="str">
        <f>IFERROR(IF(INDEX(SPOT_Import!$A$1:$Z$2488,2000,'Live Data'!$C$18)="","",INDEX(SPOT_Import!$A$1:$Z$2488,2000,'Live Data'!$C$18)),"")</f>
        <v/>
      </c>
      <c r="H2000" s="54" t="str">
        <f>IFERROR(IF(INDEX(SPOT_Import!$A$1:$Z$2488,2000,'Live Data'!$C$19)="","",INDEX(SPOT_Import!$A$1:$Z$2488,2000,'Live Data'!$C$19)),"")</f>
        <v/>
      </c>
      <c r="I2000" s="54" t="str">
        <f>IFERROR(IF(INDEX(SPOT_Import!$A$1:$Z$2488,2000,'Live Data'!$C$20)="","",INDEX(SPOT_Import!$A$1:$Z$2488,2000,'Live Data'!$C$20)),"")</f>
        <v/>
      </c>
      <c r="J2000" s="54" t="str">
        <f>IFERROR(IF(INDEX(SPOT_Import!$A$1:$Z$2488,2000,'Live Data'!$C$21)="","",INDEX(SPOT_Import!$A$1:$Z$2488,2000,'Live Data'!$C$21)),"")</f>
        <v/>
      </c>
      <c r="K2000" s="54" t="str">
        <f>IFERROR(IF(INDEX(SPOT_Import!$A$1:$Z$2488,2000,'Live Data'!$C$22)="","",INDEX(SPOT_Import!$A$1:$Z$2488,2000,'Live Data'!$C$22)),"")</f>
        <v/>
      </c>
      <c r="L2000" s="55" t="str">
        <f t="shared" si="62"/>
        <v/>
      </c>
      <c r="M2000" s="55" t="str">
        <f t="shared" si="63"/>
        <v/>
      </c>
      <c r="N2000" s="55" t="str">
        <f>IF(A2000="","",IFERROR(INDEX('Cluster Map'!$A$4:$A$38,MATCH(M2000,'Cluster Map'!$B$4:$B$38,0)),"Unmapped"))</f>
        <v/>
      </c>
      <c r="O2000" s="55">
        <f>IF(A2000="",0,IF(COUNTIFS($A$2:A2000,A2000,$F$2:F2000,F2000,$L$2:L2000,L2000)=1,1,0))</f>
        <v>0</v>
      </c>
      <c r="P2000" s="55">
        <f>IF(A2000="",0,IF(AND(F2000="C&amp;T",COUNTIFS($A$2:A2000,A2000,$F$2:F2000,"C&amp;T")=1),1,0))</f>
        <v>0</v>
      </c>
    </row>
    <row r="2001" spans="1:16" x14ac:dyDescent="0.35">
      <c r="A2001" s="54" t="str">
        <f>IFERROR(IF(INDEX(SPOT_Import!$A$1:$Z$2488,2001,'Live Data'!$C$12)="","",INDEX(SPOT_Import!$A$1:$Z$2488,2001,'Live Data'!$C$12)),"")</f>
        <v/>
      </c>
      <c r="B2001" s="54" t="str">
        <f>IFERROR(IF(INDEX(SPOT_Import!$A$1:$Z$2488,2001,'Live Data'!$C$13)="","",INDEX(SPOT_Import!$A$1:$Z$2488,2001,'Live Data'!$C$13)),"")</f>
        <v/>
      </c>
      <c r="C2001" s="54" t="str">
        <f>IFERROR(IF(INDEX(SPOT_Import!$A$1:$Z$2488,2001,'Live Data'!$C$14)="","",INDEX(SPOT_Import!$A$1:$Z$2488,2001,'Live Data'!$C$14)),"")</f>
        <v/>
      </c>
      <c r="D2001" s="54" t="str">
        <f>IFERROR(IF(INDEX(SPOT_Import!$A$1:$Z$2488,2001,'Live Data'!$C$15)="","",INDEX(SPOT_Import!$A$1:$Z$2488,2001,'Live Data'!$C$15)),"")</f>
        <v/>
      </c>
      <c r="E2001" s="54" t="str">
        <f>IFERROR(IF(INDEX(SPOT_Import!$A$1:$Z$2488,2001,'Live Data'!$C$16)="","",INDEX(SPOT_Import!$A$1:$Z$2488,2001,'Live Data'!$C$16)),"")</f>
        <v/>
      </c>
      <c r="F2001" s="54" t="str">
        <f>IFERROR(IF(INDEX(SPOT_Import!$A$1:$Z$2488,2001,'Live Data'!$C$17)="","",INDEX(SPOT_Import!$A$1:$Z$2488,2001,'Live Data'!$C$17)),"")</f>
        <v/>
      </c>
      <c r="G2001" s="54" t="str">
        <f>IFERROR(IF(INDEX(SPOT_Import!$A$1:$Z$2488,2001,'Live Data'!$C$18)="","",INDEX(SPOT_Import!$A$1:$Z$2488,2001,'Live Data'!$C$18)),"")</f>
        <v/>
      </c>
      <c r="H2001" s="54" t="str">
        <f>IFERROR(IF(INDEX(SPOT_Import!$A$1:$Z$2488,2001,'Live Data'!$C$19)="","",INDEX(SPOT_Import!$A$1:$Z$2488,2001,'Live Data'!$C$19)),"")</f>
        <v/>
      </c>
      <c r="I2001" s="54" t="str">
        <f>IFERROR(IF(INDEX(SPOT_Import!$A$1:$Z$2488,2001,'Live Data'!$C$20)="","",INDEX(SPOT_Import!$A$1:$Z$2488,2001,'Live Data'!$C$20)),"")</f>
        <v/>
      </c>
      <c r="J2001" s="54" t="str">
        <f>IFERROR(IF(INDEX(SPOT_Import!$A$1:$Z$2488,2001,'Live Data'!$C$21)="","",INDEX(SPOT_Import!$A$1:$Z$2488,2001,'Live Data'!$C$21)),"")</f>
        <v/>
      </c>
      <c r="K2001" s="54" t="str">
        <f>IFERROR(IF(INDEX(SPOT_Import!$A$1:$Z$2488,2001,'Live Data'!$C$22)="","",INDEX(SPOT_Import!$A$1:$Z$2488,2001,'Live Data'!$C$22)),"")</f>
        <v/>
      </c>
      <c r="L2001" s="55" t="str">
        <f t="shared" si="62"/>
        <v/>
      </c>
      <c r="M2001" s="55" t="str">
        <f t="shared" si="63"/>
        <v/>
      </c>
      <c r="N2001" s="55" t="str">
        <f>IF(A2001="","",IFERROR(INDEX('Cluster Map'!$A$4:$A$38,MATCH(M2001,'Cluster Map'!$B$4:$B$38,0)),"Unmapped"))</f>
        <v/>
      </c>
      <c r="O2001" s="55">
        <f>IF(A2001="",0,IF(COUNTIFS($A$2:A2001,A2001,$F$2:F2001,F2001,$L$2:L2001,L2001)=1,1,0))</f>
        <v>0</v>
      </c>
      <c r="P2001" s="55">
        <f>IF(A2001="",0,IF(AND(F2001="C&amp;T",COUNTIFS($A$2:A2001,A2001,$F$2:F2001,"C&amp;T")=1),1,0))</f>
        <v>0</v>
      </c>
    </row>
    <row r="2002" spans="1:16" x14ac:dyDescent="0.35">
      <c r="A2002" s="54" t="str">
        <f>IFERROR(IF(INDEX(SPOT_Import!$A$1:$Z$2488,2002,'Live Data'!$C$12)="","",INDEX(SPOT_Import!$A$1:$Z$2488,2002,'Live Data'!$C$12)),"")</f>
        <v/>
      </c>
      <c r="B2002" s="54" t="str">
        <f>IFERROR(IF(INDEX(SPOT_Import!$A$1:$Z$2488,2002,'Live Data'!$C$13)="","",INDEX(SPOT_Import!$A$1:$Z$2488,2002,'Live Data'!$C$13)),"")</f>
        <v/>
      </c>
      <c r="C2002" s="54" t="str">
        <f>IFERROR(IF(INDEX(SPOT_Import!$A$1:$Z$2488,2002,'Live Data'!$C$14)="","",INDEX(SPOT_Import!$A$1:$Z$2488,2002,'Live Data'!$C$14)),"")</f>
        <v/>
      </c>
      <c r="D2002" s="54" t="str">
        <f>IFERROR(IF(INDEX(SPOT_Import!$A$1:$Z$2488,2002,'Live Data'!$C$15)="","",INDEX(SPOT_Import!$A$1:$Z$2488,2002,'Live Data'!$C$15)),"")</f>
        <v/>
      </c>
      <c r="E2002" s="54" t="str">
        <f>IFERROR(IF(INDEX(SPOT_Import!$A$1:$Z$2488,2002,'Live Data'!$C$16)="","",INDEX(SPOT_Import!$A$1:$Z$2488,2002,'Live Data'!$C$16)),"")</f>
        <v/>
      </c>
      <c r="F2002" s="54" t="str">
        <f>IFERROR(IF(INDEX(SPOT_Import!$A$1:$Z$2488,2002,'Live Data'!$C$17)="","",INDEX(SPOT_Import!$A$1:$Z$2488,2002,'Live Data'!$C$17)),"")</f>
        <v/>
      </c>
      <c r="G2002" s="54" t="str">
        <f>IFERROR(IF(INDEX(SPOT_Import!$A$1:$Z$2488,2002,'Live Data'!$C$18)="","",INDEX(SPOT_Import!$A$1:$Z$2488,2002,'Live Data'!$C$18)),"")</f>
        <v/>
      </c>
      <c r="H2002" s="54" t="str">
        <f>IFERROR(IF(INDEX(SPOT_Import!$A$1:$Z$2488,2002,'Live Data'!$C$19)="","",INDEX(SPOT_Import!$A$1:$Z$2488,2002,'Live Data'!$C$19)),"")</f>
        <v/>
      </c>
      <c r="I2002" s="54" t="str">
        <f>IFERROR(IF(INDEX(SPOT_Import!$A$1:$Z$2488,2002,'Live Data'!$C$20)="","",INDEX(SPOT_Import!$A$1:$Z$2488,2002,'Live Data'!$C$20)),"")</f>
        <v/>
      </c>
      <c r="J2002" s="54" t="str">
        <f>IFERROR(IF(INDEX(SPOT_Import!$A$1:$Z$2488,2002,'Live Data'!$C$21)="","",INDEX(SPOT_Import!$A$1:$Z$2488,2002,'Live Data'!$C$21)),"")</f>
        <v/>
      </c>
      <c r="K2002" s="54" t="str">
        <f>IFERROR(IF(INDEX(SPOT_Import!$A$1:$Z$2488,2002,'Live Data'!$C$22)="","",INDEX(SPOT_Import!$A$1:$Z$2488,2002,'Live Data'!$C$22)),"")</f>
        <v/>
      </c>
      <c r="L2002" s="55" t="str">
        <f t="shared" si="62"/>
        <v/>
      </c>
      <c r="M2002" s="55" t="str">
        <f t="shared" si="63"/>
        <v/>
      </c>
      <c r="N2002" s="55" t="str">
        <f>IF(A2002="","",IFERROR(INDEX('Cluster Map'!$A$4:$A$38,MATCH(M2002,'Cluster Map'!$B$4:$B$38,0)),"Unmapped"))</f>
        <v/>
      </c>
      <c r="O2002" s="55">
        <f>IF(A2002="",0,IF(COUNTIFS($A$2:A2002,A2002,$F$2:F2002,F2002,$L$2:L2002,L2002)=1,1,0))</f>
        <v>0</v>
      </c>
      <c r="P2002" s="55">
        <f>IF(A2002="",0,IF(AND(F2002="C&amp;T",COUNTIFS($A$2:A2002,A2002,$F$2:F2002,"C&amp;T")=1),1,0))</f>
        <v>0</v>
      </c>
    </row>
    <row r="2003" spans="1:16" x14ac:dyDescent="0.35">
      <c r="A2003" s="54" t="str">
        <f>IFERROR(IF(INDEX(SPOT_Import!$A$1:$Z$2488,2003,'Live Data'!$C$12)="","",INDEX(SPOT_Import!$A$1:$Z$2488,2003,'Live Data'!$C$12)),"")</f>
        <v/>
      </c>
      <c r="B2003" s="54" t="str">
        <f>IFERROR(IF(INDEX(SPOT_Import!$A$1:$Z$2488,2003,'Live Data'!$C$13)="","",INDEX(SPOT_Import!$A$1:$Z$2488,2003,'Live Data'!$C$13)),"")</f>
        <v/>
      </c>
      <c r="C2003" s="54" t="str">
        <f>IFERROR(IF(INDEX(SPOT_Import!$A$1:$Z$2488,2003,'Live Data'!$C$14)="","",INDEX(SPOT_Import!$A$1:$Z$2488,2003,'Live Data'!$C$14)),"")</f>
        <v/>
      </c>
      <c r="D2003" s="54" t="str">
        <f>IFERROR(IF(INDEX(SPOT_Import!$A$1:$Z$2488,2003,'Live Data'!$C$15)="","",INDEX(SPOT_Import!$A$1:$Z$2488,2003,'Live Data'!$C$15)),"")</f>
        <v/>
      </c>
      <c r="E2003" s="54" t="str">
        <f>IFERROR(IF(INDEX(SPOT_Import!$A$1:$Z$2488,2003,'Live Data'!$C$16)="","",INDEX(SPOT_Import!$A$1:$Z$2488,2003,'Live Data'!$C$16)),"")</f>
        <v/>
      </c>
      <c r="F2003" s="54" t="str">
        <f>IFERROR(IF(INDEX(SPOT_Import!$A$1:$Z$2488,2003,'Live Data'!$C$17)="","",INDEX(SPOT_Import!$A$1:$Z$2488,2003,'Live Data'!$C$17)),"")</f>
        <v/>
      </c>
      <c r="G2003" s="54" t="str">
        <f>IFERROR(IF(INDEX(SPOT_Import!$A$1:$Z$2488,2003,'Live Data'!$C$18)="","",INDEX(SPOT_Import!$A$1:$Z$2488,2003,'Live Data'!$C$18)),"")</f>
        <v/>
      </c>
      <c r="H2003" s="54" t="str">
        <f>IFERROR(IF(INDEX(SPOT_Import!$A$1:$Z$2488,2003,'Live Data'!$C$19)="","",INDEX(SPOT_Import!$A$1:$Z$2488,2003,'Live Data'!$C$19)),"")</f>
        <v/>
      </c>
      <c r="I2003" s="54" t="str">
        <f>IFERROR(IF(INDEX(SPOT_Import!$A$1:$Z$2488,2003,'Live Data'!$C$20)="","",INDEX(SPOT_Import!$A$1:$Z$2488,2003,'Live Data'!$C$20)),"")</f>
        <v/>
      </c>
      <c r="J2003" s="54" t="str">
        <f>IFERROR(IF(INDEX(SPOT_Import!$A$1:$Z$2488,2003,'Live Data'!$C$21)="","",INDEX(SPOT_Import!$A$1:$Z$2488,2003,'Live Data'!$C$21)),"")</f>
        <v/>
      </c>
      <c r="K2003" s="54" t="str">
        <f>IFERROR(IF(INDEX(SPOT_Import!$A$1:$Z$2488,2003,'Live Data'!$C$22)="","",INDEX(SPOT_Import!$A$1:$Z$2488,2003,'Live Data'!$C$22)),"")</f>
        <v/>
      </c>
      <c r="L2003" s="55" t="str">
        <f t="shared" si="62"/>
        <v/>
      </c>
      <c r="M2003" s="55" t="str">
        <f t="shared" si="63"/>
        <v/>
      </c>
      <c r="N2003" s="55" t="str">
        <f>IF(A2003="","",IFERROR(INDEX('Cluster Map'!$A$4:$A$38,MATCH(M2003,'Cluster Map'!$B$4:$B$38,0)),"Unmapped"))</f>
        <v/>
      </c>
      <c r="O2003" s="55">
        <f>IF(A2003="",0,IF(COUNTIFS($A$2:A2003,A2003,$F$2:F2003,F2003,$L$2:L2003,L2003)=1,1,0))</f>
        <v>0</v>
      </c>
      <c r="P2003" s="55">
        <f>IF(A2003="",0,IF(AND(F2003="C&amp;T",COUNTIFS($A$2:A2003,A2003,$F$2:F2003,"C&amp;T")=1),1,0))</f>
        <v>0</v>
      </c>
    </row>
    <row r="2004" spans="1:16" x14ac:dyDescent="0.35">
      <c r="A2004" s="54" t="str">
        <f>IFERROR(IF(INDEX(SPOT_Import!$A$1:$Z$2488,2004,'Live Data'!$C$12)="","",INDEX(SPOT_Import!$A$1:$Z$2488,2004,'Live Data'!$C$12)),"")</f>
        <v/>
      </c>
      <c r="B2004" s="54" t="str">
        <f>IFERROR(IF(INDEX(SPOT_Import!$A$1:$Z$2488,2004,'Live Data'!$C$13)="","",INDEX(SPOT_Import!$A$1:$Z$2488,2004,'Live Data'!$C$13)),"")</f>
        <v/>
      </c>
      <c r="C2004" s="54" t="str">
        <f>IFERROR(IF(INDEX(SPOT_Import!$A$1:$Z$2488,2004,'Live Data'!$C$14)="","",INDEX(SPOT_Import!$A$1:$Z$2488,2004,'Live Data'!$C$14)),"")</f>
        <v/>
      </c>
      <c r="D2004" s="54" t="str">
        <f>IFERROR(IF(INDEX(SPOT_Import!$A$1:$Z$2488,2004,'Live Data'!$C$15)="","",INDEX(SPOT_Import!$A$1:$Z$2488,2004,'Live Data'!$C$15)),"")</f>
        <v/>
      </c>
      <c r="E2004" s="54" t="str">
        <f>IFERROR(IF(INDEX(SPOT_Import!$A$1:$Z$2488,2004,'Live Data'!$C$16)="","",INDEX(SPOT_Import!$A$1:$Z$2488,2004,'Live Data'!$C$16)),"")</f>
        <v/>
      </c>
      <c r="F2004" s="54" t="str">
        <f>IFERROR(IF(INDEX(SPOT_Import!$A$1:$Z$2488,2004,'Live Data'!$C$17)="","",INDEX(SPOT_Import!$A$1:$Z$2488,2004,'Live Data'!$C$17)),"")</f>
        <v/>
      </c>
      <c r="G2004" s="54" t="str">
        <f>IFERROR(IF(INDEX(SPOT_Import!$A$1:$Z$2488,2004,'Live Data'!$C$18)="","",INDEX(SPOT_Import!$A$1:$Z$2488,2004,'Live Data'!$C$18)),"")</f>
        <v/>
      </c>
      <c r="H2004" s="54" t="str">
        <f>IFERROR(IF(INDEX(SPOT_Import!$A$1:$Z$2488,2004,'Live Data'!$C$19)="","",INDEX(SPOT_Import!$A$1:$Z$2488,2004,'Live Data'!$C$19)),"")</f>
        <v/>
      </c>
      <c r="I2004" s="54" t="str">
        <f>IFERROR(IF(INDEX(SPOT_Import!$A$1:$Z$2488,2004,'Live Data'!$C$20)="","",INDEX(SPOT_Import!$A$1:$Z$2488,2004,'Live Data'!$C$20)),"")</f>
        <v/>
      </c>
      <c r="J2004" s="54" t="str">
        <f>IFERROR(IF(INDEX(SPOT_Import!$A$1:$Z$2488,2004,'Live Data'!$C$21)="","",INDEX(SPOT_Import!$A$1:$Z$2488,2004,'Live Data'!$C$21)),"")</f>
        <v/>
      </c>
      <c r="K2004" s="54" t="str">
        <f>IFERROR(IF(INDEX(SPOT_Import!$A$1:$Z$2488,2004,'Live Data'!$C$22)="","",INDEX(SPOT_Import!$A$1:$Z$2488,2004,'Live Data'!$C$22)),"")</f>
        <v/>
      </c>
      <c r="L2004" s="55" t="str">
        <f t="shared" si="62"/>
        <v/>
      </c>
      <c r="M2004" s="55" t="str">
        <f t="shared" si="63"/>
        <v/>
      </c>
      <c r="N2004" s="55" t="str">
        <f>IF(A2004="","",IFERROR(INDEX('Cluster Map'!$A$4:$A$38,MATCH(M2004,'Cluster Map'!$B$4:$B$38,0)),"Unmapped"))</f>
        <v/>
      </c>
      <c r="O2004" s="55">
        <f>IF(A2004="",0,IF(COUNTIFS($A$2:A2004,A2004,$F$2:F2004,F2004,$L$2:L2004,L2004)=1,1,0))</f>
        <v>0</v>
      </c>
      <c r="P2004" s="55">
        <f>IF(A2004="",0,IF(AND(F2004="C&amp;T",COUNTIFS($A$2:A2004,A2004,$F$2:F2004,"C&amp;T")=1),1,0))</f>
        <v>0</v>
      </c>
    </row>
    <row r="2005" spans="1:16" x14ac:dyDescent="0.35">
      <c r="A2005" s="54" t="str">
        <f>IFERROR(IF(INDEX(SPOT_Import!$A$1:$Z$2488,2005,'Live Data'!$C$12)="","",INDEX(SPOT_Import!$A$1:$Z$2488,2005,'Live Data'!$C$12)),"")</f>
        <v/>
      </c>
      <c r="B2005" s="54" t="str">
        <f>IFERROR(IF(INDEX(SPOT_Import!$A$1:$Z$2488,2005,'Live Data'!$C$13)="","",INDEX(SPOT_Import!$A$1:$Z$2488,2005,'Live Data'!$C$13)),"")</f>
        <v/>
      </c>
      <c r="C2005" s="54" t="str">
        <f>IFERROR(IF(INDEX(SPOT_Import!$A$1:$Z$2488,2005,'Live Data'!$C$14)="","",INDEX(SPOT_Import!$A$1:$Z$2488,2005,'Live Data'!$C$14)),"")</f>
        <v/>
      </c>
      <c r="D2005" s="54" t="str">
        <f>IFERROR(IF(INDEX(SPOT_Import!$A$1:$Z$2488,2005,'Live Data'!$C$15)="","",INDEX(SPOT_Import!$A$1:$Z$2488,2005,'Live Data'!$C$15)),"")</f>
        <v/>
      </c>
      <c r="E2005" s="54" t="str">
        <f>IFERROR(IF(INDEX(SPOT_Import!$A$1:$Z$2488,2005,'Live Data'!$C$16)="","",INDEX(SPOT_Import!$A$1:$Z$2488,2005,'Live Data'!$C$16)),"")</f>
        <v/>
      </c>
      <c r="F2005" s="54" t="str">
        <f>IFERROR(IF(INDEX(SPOT_Import!$A$1:$Z$2488,2005,'Live Data'!$C$17)="","",INDEX(SPOT_Import!$A$1:$Z$2488,2005,'Live Data'!$C$17)),"")</f>
        <v/>
      </c>
      <c r="G2005" s="54" t="str">
        <f>IFERROR(IF(INDEX(SPOT_Import!$A$1:$Z$2488,2005,'Live Data'!$C$18)="","",INDEX(SPOT_Import!$A$1:$Z$2488,2005,'Live Data'!$C$18)),"")</f>
        <v/>
      </c>
      <c r="H2005" s="54" t="str">
        <f>IFERROR(IF(INDEX(SPOT_Import!$A$1:$Z$2488,2005,'Live Data'!$C$19)="","",INDEX(SPOT_Import!$A$1:$Z$2488,2005,'Live Data'!$C$19)),"")</f>
        <v/>
      </c>
      <c r="I2005" s="54" t="str">
        <f>IFERROR(IF(INDEX(SPOT_Import!$A$1:$Z$2488,2005,'Live Data'!$C$20)="","",INDEX(SPOT_Import!$A$1:$Z$2488,2005,'Live Data'!$C$20)),"")</f>
        <v/>
      </c>
      <c r="J2005" s="54" t="str">
        <f>IFERROR(IF(INDEX(SPOT_Import!$A$1:$Z$2488,2005,'Live Data'!$C$21)="","",INDEX(SPOT_Import!$A$1:$Z$2488,2005,'Live Data'!$C$21)),"")</f>
        <v/>
      </c>
      <c r="K2005" s="54" t="str">
        <f>IFERROR(IF(INDEX(SPOT_Import!$A$1:$Z$2488,2005,'Live Data'!$C$22)="","",INDEX(SPOT_Import!$A$1:$Z$2488,2005,'Live Data'!$C$22)),"")</f>
        <v/>
      </c>
      <c r="L2005" s="55" t="str">
        <f t="shared" si="62"/>
        <v/>
      </c>
      <c r="M2005" s="55" t="str">
        <f t="shared" si="63"/>
        <v/>
      </c>
      <c r="N2005" s="55" t="str">
        <f>IF(A2005="","",IFERROR(INDEX('Cluster Map'!$A$4:$A$38,MATCH(M2005,'Cluster Map'!$B$4:$B$38,0)),"Unmapped"))</f>
        <v/>
      </c>
      <c r="O2005" s="55">
        <f>IF(A2005="",0,IF(COUNTIFS($A$2:A2005,A2005,$F$2:F2005,F2005,$L$2:L2005,L2005)=1,1,0))</f>
        <v>0</v>
      </c>
      <c r="P2005" s="55">
        <f>IF(A2005="",0,IF(AND(F2005="C&amp;T",COUNTIFS($A$2:A2005,A2005,$F$2:F2005,"C&amp;T")=1),1,0))</f>
        <v>0</v>
      </c>
    </row>
    <row r="2006" spans="1:16" x14ac:dyDescent="0.35">
      <c r="A2006" s="54" t="str">
        <f>IFERROR(IF(INDEX(SPOT_Import!$A$1:$Z$2488,2006,'Live Data'!$C$12)="","",INDEX(SPOT_Import!$A$1:$Z$2488,2006,'Live Data'!$C$12)),"")</f>
        <v/>
      </c>
      <c r="B2006" s="54" t="str">
        <f>IFERROR(IF(INDEX(SPOT_Import!$A$1:$Z$2488,2006,'Live Data'!$C$13)="","",INDEX(SPOT_Import!$A$1:$Z$2488,2006,'Live Data'!$C$13)),"")</f>
        <v/>
      </c>
      <c r="C2006" s="54" t="str">
        <f>IFERROR(IF(INDEX(SPOT_Import!$A$1:$Z$2488,2006,'Live Data'!$C$14)="","",INDEX(SPOT_Import!$A$1:$Z$2488,2006,'Live Data'!$C$14)),"")</f>
        <v/>
      </c>
      <c r="D2006" s="54" t="str">
        <f>IFERROR(IF(INDEX(SPOT_Import!$A$1:$Z$2488,2006,'Live Data'!$C$15)="","",INDEX(SPOT_Import!$A$1:$Z$2488,2006,'Live Data'!$C$15)),"")</f>
        <v/>
      </c>
      <c r="E2006" s="54" t="str">
        <f>IFERROR(IF(INDEX(SPOT_Import!$A$1:$Z$2488,2006,'Live Data'!$C$16)="","",INDEX(SPOT_Import!$A$1:$Z$2488,2006,'Live Data'!$C$16)),"")</f>
        <v/>
      </c>
      <c r="F2006" s="54" t="str">
        <f>IFERROR(IF(INDEX(SPOT_Import!$A$1:$Z$2488,2006,'Live Data'!$C$17)="","",INDEX(SPOT_Import!$A$1:$Z$2488,2006,'Live Data'!$C$17)),"")</f>
        <v/>
      </c>
      <c r="G2006" s="54" t="str">
        <f>IFERROR(IF(INDEX(SPOT_Import!$A$1:$Z$2488,2006,'Live Data'!$C$18)="","",INDEX(SPOT_Import!$A$1:$Z$2488,2006,'Live Data'!$C$18)),"")</f>
        <v/>
      </c>
      <c r="H2006" s="54" t="str">
        <f>IFERROR(IF(INDEX(SPOT_Import!$A$1:$Z$2488,2006,'Live Data'!$C$19)="","",INDEX(SPOT_Import!$A$1:$Z$2488,2006,'Live Data'!$C$19)),"")</f>
        <v/>
      </c>
      <c r="I2006" s="54" t="str">
        <f>IFERROR(IF(INDEX(SPOT_Import!$A$1:$Z$2488,2006,'Live Data'!$C$20)="","",INDEX(SPOT_Import!$A$1:$Z$2488,2006,'Live Data'!$C$20)),"")</f>
        <v/>
      </c>
      <c r="J2006" s="54" t="str">
        <f>IFERROR(IF(INDEX(SPOT_Import!$A$1:$Z$2488,2006,'Live Data'!$C$21)="","",INDEX(SPOT_Import!$A$1:$Z$2488,2006,'Live Data'!$C$21)),"")</f>
        <v/>
      </c>
      <c r="K2006" s="54" t="str">
        <f>IFERROR(IF(INDEX(SPOT_Import!$A$1:$Z$2488,2006,'Live Data'!$C$22)="","",INDEX(SPOT_Import!$A$1:$Z$2488,2006,'Live Data'!$C$22)),"")</f>
        <v/>
      </c>
      <c r="L2006" s="55" t="str">
        <f t="shared" si="62"/>
        <v/>
      </c>
      <c r="M2006" s="55" t="str">
        <f t="shared" si="63"/>
        <v/>
      </c>
      <c r="N2006" s="55" t="str">
        <f>IF(A2006="","",IFERROR(INDEX('Cluster Map'!$A$4:$A$38,MATCH(M2006,'Cluster Map'!$B$4:$B$38,0)),"Unmapped"))</f>
        <v/>
      </c>
      <c r="O2006" s="55">
        <f>IF(A2006="",0,IF(COUNTIFS($A$2:A2006,A2006,$F$2:F2006,F2006,$L$2:L2006,L2006)=1,1,0))</f>
        <v>0</v>
      </c>
      <c r="P2006" s="55">
        <f>IF(A2006="",0,IF(AND(F2006="C&amp;T",COUNTIFS($A$2:A2006,A2006,$F$2:F2006,"C&amp;T")=1),1,0))</f>
        <v>0</v>
      </c>
    </row>
    <row r="2007" spans="1:16" x14ac:dyDescent="0.35">
      <c r="A2007" s="54" t="str">
        <f>IFERROR(IF(INDEX(SPOT_Import!$A$1:$Z$2488,2007,'Live Data'!$C$12)="","",INDEX(SPOT_Import!$A$1:$Z$2488,2007,'Live Data'!$C$12)),"")</f>
        <v/>
      </c>
      <c r="B2007" s="54" t="str">
        <f>IFERROR(IF(INDEX(SPOT_Import!$A$1:$Z$2488,2007,'Live Data'!$C$13)="","",INDEX(SPOT_Import!$A$1:$Z$2488,2007,'Live Data'!$C$13)),"")</f>
        <v/>
      </c>
      <c r="C2007" s="54" t="str">
        <f>IFERROR(IF(INDEX(SPOT_Import!$A$1:$Z$2488,2007,'Live Data'!$C$14)="","",INDEX(SPOT_Import!$A$1:$Z$2488,2007,'Live Data'!$C$14)),"")</f>
        <v/>
      </c>
      <c r="D2007" s="54" t="str">
        <f>IFERROR(IF(INDEX(SPOT_Import!$A$1:$Z$2488,2007,'Live Data'!$C$15)="","",INDEX(SPOT_Import!$A$1:$Z$2488,2007,'Live Data'!$C$15)),"")</f>
        <v/>
      </c>
      <c r="E2007" s="54" t="str">
        <f>IFERROR(IF(INDEX(SPOT_Import!$A$1:$Z$2488,2007,'Live Data'!$C$16)="","",INDEX(SPOT_Import!$A$1:$Z$2488,2007,'Live Data'!$C$16)),"")</f>
        <v/>
      </c>
      <c r="F2007" s="54" t="str">
        <f>IFERROR(IF(INDEX(SPOT_Import!$A$1:$Z$2488,2007,'Live Data'!$C$17)="","",INDEX(SPOT_Import!$A$1:$Z$2488,2007,'Live Data'!$C$17)),"")</f>
        <v/>
      </c>
      <c r="G2007" s="54" t="str">
        <f>IFERROR(IF(INDEX(SPOT_Import!$A$1:$Z$2488,2007,'Live Data'!$C$18)="","",INDEX(SPOT_Import!$A$1:$Z$2488,2007,'Live Data'!$C$18)),"")</f>
        <v/>
      </c>
      <c r="H2007" s="54" t="str">
        <f>IFERROR(IF(INDEX(SPOT_Import!$A$1:$Z$2488,2007,'Live Data'!$C$19)="","",INDEX(SPOT_Import!$A$1:$Z$2488,2007,'Live Data'!$C$19)),"")</f>
        <v/>
      </c>
      <c r="I2007" s="54" t="str">
        <f>IFERROR(IF(INDEX(SPOT_Import!$A$1:$Z$2488,2007,'Live Data'!$C$20)="","",INDEX(SPOT_Import!$A$1:$Z$2488,2007,'Live Data'!$C$20)),"")</f>
        <v/>
      </c>
      <c r="J2007" s="54" t="str">
        <f>IFERROR(IF(INDEX(SPOT_Import!$A$1:$Z$2488,2007,'Live Data'!$C$21)="","",INDEX(SPOT_Import!$A$1:$Z$2488,2007,'Live Data'!$C$21)),"")</f>
        <v/>
      </c>
      <c r="K2007" s="54" t="str">
        <f>IFERROR(IF(INDEX(SPOT_Import!$A$1:$Z$2488,2007,'Live Data'!$C$22)="","",INDEX(SPOT_Import!$A$1:$Z$2488,2007,'Live Data'!$C$22)),"")</f>
        <v/>
      </c>
      <c r="L2007" s="55" t="str">
        <f t="shared" si="62"/>
        <v/>
      </c>
      <c r="M2007" s="55" t="str">
        <f t="shared" si="63"/>
        <v/>
      </c>
      <c r="N2007" s="55" t="str">
        <f>IF(A2007="","",IFERROR(INDEX('Cluster Map'!$A$4:$A$38,MATCH(M2007,'Cluster Map'!$B$4:$B$38,0)),"Unmapped"))</f>
        <v/>
      </c>
      <c r="O2007" s="55">
        <f>IF(A2007="",0,IF(COUNTIFS($A$2:A2007,A2007,$F$2:F2007,F2007,$L$2:L2007,L2007)=1,1,0))</f>
        <v>0</v>
      </c>
      <c r="P2007" s="55">
        <f>IF(A2007="",0,IF(AND(F2007="C&amp;T",COUNTIFS($A$2:A2007,A2007,$F$2:F2007,"C&amp;T")=1),1,0))</f>
        <v>0</v>
      </c>
    </row>
    <row r="2008" spans="1:16" x14ac:dyDescent="0.35">
      <c r="A2008" s="54" t="str">
        <f>IFERROR(IF(INDEX(SPOT_Import!$A$1:$Z$2488,2008,'Live Data'!$C$12)="","",INDEX(SPOT_Import!$A$1:$Z$2488,2008,'Live Data'!$C$12)),"")</f>
        <v/>
      </c>
      <c r="B2008" s="54" t="str">
        <f>IFERROR(IF(INDEX(SPOT_Import!$A$1:$Z$2488,2008,'Live Data'!$C$13)="","",INDEX(SPOT_Import!$A$1:$Z$2488,2008,'Live Data'!$C$13)),"")</f>
        <v/>
      </c>
      <c r="C2008" s="54" t="str">
        <f>IFERROR(IF(INDEX(SPOT_Import!$A$1:$Z$2488,2008,'Live Data'!$C$14)="","",INDEX(SPOT_Import!$A$1:$Z$2488,2008,'Live Data'!$C$14)),"")</f>
        <v/>
      </c>
      <c r="D2008" s="54" t="str">
        <f>IFERROR(IF(INDEX(SPOT_Import!$A$1:$Z$2488,2008,'Live Data'!$C$15)="","",INDEX(SPOT_Import!$A$1:$Z$2488,2008,'Live Data'!$C$15)),"")</f>
        <v/>
      </c>
      <c r="E2008" s="54" t="str">
        <f>IFERROR(IF(INDEX(SPOT_Import!$A$1:$Z$2488,2008,'Live Data'!$C$16)="","",INDEX(SPOT_Import!$A$1:$Z$2488,2008,'Live Data'!$C$16)),"")</f>
        <v/>
      </c>
      <c r="F2008" s="54" t="str">
        <f>IFERROR(IF(INDEX(SPOT_Import!$A$1:$Z$2488,2008,'Live Data'!$C$17)="","",INDEX(SPOT_Import!$A$1:$Z$2488,2008,'Live Data'!$C$17)),"")</f>
        <v/>
      </c>
      <c r="G2008" s="54" t="str">
        <f>IFERROR(IF(INDEX(SPOT_Import!$A$1:$Z$2488,2008,'Live Data'!$C$18)="","",INDEX(SPOT_Import!$A$1:$Z$2488,2008,'Live Data'!$C$18)),"")</f>
        <v/>
      </c>
      <c r="H2008" s="54" t="str">
        <f>IFERROR(IF(INDEX(SPOT_Import!$A$1:$Z$2488,2008,'Live Data'!$C$19)="","",INDEX(SPOT_Import!$A$1:$Z$2488,2008,'Live Data'!$C$19)),"")</f>
        <v/>
      </c>
      <c r="I2008" s="54" t="str">
        <f>IFERROR(IF(INDEX(SPOT_Import!$A$1:$Z$2488,2008,'Live Data'!$C$20)="","",INDEX(SPOT_Import!$A$1:$Z$2488,2008,'Live Data'!$C$20)),"")</f>
        <v/>
      </c>
      <c r="J2008" s="54" t="str">
        <f>IFERROR(IF(INDEX(SPOT_Import!$A$1:$Z$2488,2008,'Live Data'!$C$21)="","",INDEX(SPOT_Import!$A$1:$Z$2488,2008,'Live Data'!$C$21)),"")</f>
        <v/>
      </c>
      <c r="K2008" s="54" t="str">
        <f>IFERROR(IF(INDEX(SPOT_Import!$A$1:$Z$2488,2008,'Live Data'!$C$22)="","",INDEX(SPOT_Import!$A$1:$Z$2488,2008,'Live Data'!$C$22)),"")</f>
        <v/>
      </c>
      <c r="L2008" s="55" t="str">
        <f t="shared" si="62"/>
        <v/>
      </c>
      <c r="M2008" s="55" t="str">
        <f t="shared" si="63"/>
        <v/>
      </c>
      <c r="N2008" s="55" t="str">
        <f>IF(A2008="","",IFERROR(INDEX('Cluster Map'!$A$4:$A$38,MATCH(M2008,'Cluster Map'!$B$4:$B$38,0)),"Unmapped"))</f>
        <v/>
      </c>
      <c r="O2008" s="55">
        <f>IF(A2008="",0,IF(COUNTIFS($A$2:A2008,A2008,$F$2:F2008,F2008,$L$2:L2008,L2008)=1,1,0))</f>
        <v>0</v>
      </c>
      <c r="P2008" s="55">
        <f>IF(A2008="",0,IF(AND(F2008="C&amp;T",COUNTIFS($A$2:A2008,A2008,$F$2:F2008,"C&amp;T")=1),1,0))</f>
        <v>0</v>
      </c>
    </row>
    <row r="2009" spans="1:16" x14ac:dyDescent="0.35">
      <c r="A2009" s="54" t="str">
        <f>IFERROR(IF(INDEX(SPOT_Import!$A$1:$Z$2488,2009,'Live Data'!$C$12)="","",INDEX(SPOT_Import!$A$1:$Z$2488,2009,'Live Data'!$C$12)),"")</f>
        <v/>
      </c>
      <c r="B2009" s="54" t="str">
        <f>IFERROR(IF(INDEX(SPOT_Import!$A$1:$Z$2488,2009,'Live Data'!$C$13)="","",INDEX(SPOT_Import!$A$1:$Z$2488,2009,'Live Data'!$C$13)),"")</f>
        <v/>
      </c>
      <c r="C2009" s="54" t="str">
        <f>IFERROR(IF(INDEX(SPOT_Import!$A$1:$Z$2488,2009,'Live Data'!$C$14)="","",INDEX(SPOT_Import!$A$1:$Z$2488,2009,'Live Data'!$C$14)),"")</f>
        <v/>
      </c>
      <c r="D2009" s="54" t="str">
        <f>IFERROR(IF(INDEX(SPOT_Import!$A$1:$Z$2488,2009,'Live Data'!$C$15)="","",INDEX(SPOT_Import!$A$1:$Z$2488,2009,'Live Data'!$C$15)),"")</f>
        <v/>
      </c>
      <c r="E2009" s="54" t="str">
        <f>IFERROR(IF(INDEX(SPOT_Import!$A$1:$Z$2488,2009,'Live Data'!$C$16)="","",INDEX(SPOT_Import!$A$1:$Z$2488,2009,'Live Data'!$C$16)),"")</f>
        <v/>
      </c>
      <c r="F2009" s="54" t="str">
        <f>IFERROR(IF(INDEX(SPOT_Import!$A$1:$Z$2488,2009,'Live Data'!$C$17)="","",INDEX(SPOT_Import!$A$1:$Z$2488,2009,'Live Data'!$C$17)),"")</f>
        <v/>
      </c>
      <c r="G2009" s="54" t="str">
        <f>IFERROR(IF(INDEX(SPOT_Import!$A$1:$Z$2488,2009,'Live Data'!$C$18)="","",INDEX(SPOT_Import!$A$1:$Z$2488,2009,'Live Data'!$C$18)),"")</f>
        <v/>
      </c>
      <c r="H2009" s="54" t="str">
        <f>IFERROR(IF(INDEX(SPOT_Import!$A$1:$Z$2488,2009,'Live Data'!$C$19)="","",INDEX(SPOT_Import!$A$1:$Z$2488,2009,'Live Data'!$C$19)),"")</f>
        <v/>
      </c>
      <c r="I2009" s="54" t="str">
        <f>IFERROR(IF(INDEX(SPOT_Import!$A$1:$Z$2488,2009,'Live Data'!$C$20)="","",INDEX(SPOT_Import!$A$1:$Z$2488,2009,'Live Data'!$C$20)),"")</f>
        <v/>
      </c>
      <c r="J2009" s="54" t="str">
        <f>IFERROR(IF(INDEX(SPOT_Import!$A$1:$Z$2488,2009,'Live Data'!$C$21)="","",INDEX(SPOT_Import!$A$1:$Z$2488,2009,'Live Data'!$C$21)),"")</f>
        <v/>
      </c>
      <c r="K2009" s="54" t="str">
        <f>IFERROR(IF(INDEX(SPOT_Import!$A$1:$Z$2488,2009,'Live Data'!$C$22)="","",INDEX(SPOT_Import!$A$1:$Z$2488,2009,'Live Data'!$C$22)),"")</f>
        <v/>
      </c>
      <c r="L2009" s="55" t="str">
        <f t="shared" si="62"/>
        <v/>
      </c>
      <c r="M2009" s="55" t="str">
        <f t="shared" si="63"/>
        <v/>
      </c>
      <c r="N2009" s="55" t="str">
        <f>IF(A2009="","",IFERROR(INDEX('Cluster Map'!$A$4:$A$38,MATCH(M2009,'Cluster Map'!$B$4:$B$38,0)),"Unmapped"))</f>
        <v/>
      </c>
      <c r="O2009" s="55">
        <f>IF(A2009="",0,IF(COUNTIFS($A$2:A2009,A2009,$F$2:F2009,F2009,$L$2:L2009,L2009)=1,1,0))</f>
        <v>0</v>
      </c>
      <c r="P2009" s="55">
        <f>IF(A2009="",0,IF(AND(F2009="C&amp;T",COUNTIFS($A$2:A2009,A2009,$F$2:F2009,"C&amp;T")=1),1,0))</f>
        <v>0</v>
      </c>
    </row>
    <row r="2010" spans="1:16" x14ac:dyDescent="0.35">
      <c r="A2010" s="54" t="str">
        <f>IFERROR(IF(INDEX(SPOT_Import!$A$1:$Z$2488,2010,'Live Data'!$C$12)="","",INDEX(SPOT_Import!$A$1:$Z$2488,2010,'Live Data'!$C$12)),"")</f>
        <v/>
      </c>
      <c r="B2010" s="54" t="str">
        <f>IFERROR(IF(INDEX(SPOT_Import!$A$1:$Z$2488,2010,'Live Data'!$C$13)="","",INDEX(SPOT_Import!$A$1:$Z$2488,2010,'Live Data'!$C$13)),"")</f>
        <v/>
      </c>
      <c r="C2010" s="54" t="str">
        <f>IFERROR(IF(INDEX(SPOT_Import!$A$1:$Z$2488,2010,'Live Data'!$C$14)="","",INDEX(SPOT_Import!$A$1:$Z$2488,2010,'Live Data'!$C$14)),"")</f>
        <v/>
      </c>
      <c r="D2010" s="54" t="str">
        <f>IFERROR(IF(INDEX(SPOT_Import!$A$1:$Z$2488,2010,'Live Data'!$C$15)="","",INDEX(SPOT_Import!$A$1:$Z$2488,2010,'Live Data'!$C$15)),"")</f>
        <v/>
      </c>
      <c r="E2010" s="54" t="str">
        <f>IFERROR(IF(INDEX(SPOT_Import!$A$1:$Z$2488,2010,'Live Data'!$C$16)="","",INDEX(SPOT_Import!$A$1:$Z$2488,2010,'Live Data'!$C$16)),"")</f>
        <v/>
      </c>
      <c r="F2010" s="54" t="str">
        <f>IFERROR(IF(INDEX(SPOT_Import!$A$1:$Z$2488,2010,'Live Data'!$C$17)="","",INDEX(SPOT_Import!$A$1:$Z$2488,2010,'Live Data'!$C$17)),"")</f>
        <v/>
      </c>
      <c r="G2010" s="54" t="str">
        <f>IFERROR(IF(INDEX(SPOT_Import!$A$1:$Z$2488,2010,'Live Data'!$C$18)="","",INDEX(SPOT_Import!$A$1:$Z$2488,2010,'Live Data'!$C$18)),"")</f>
        <v/>
      </c>
      <c r="H2010" s="54" t="str">
        <f>IFERROR(IF(INDEX(SPOT_Import!$A$1:$Z$2488,2010,'Live Data'!$C$19)="","",INDEX(SPOT_Import!$A$1:$Z$2488,2010,'Live Data'!$C$19)),"")</f>
        <v/>
      </c>
      <c r="I2010" s="54" t="str">
        <f>IFERROR(IF(INDEX(SPOT_Import!$A$1:$Z$2488,2010,'Live Data'!$C$20)="","",INDEX(SPOT_Import!$A$1:$Z$2488,2010,'Live Data'!$C$20)),"")</f>
        <v/>
      </c>
      <c r="J2010" s="54" t="str">
        <f>IFERROR(IF(INDEX(SPOT_Import!$A$1:$Z$2488,2010,'Live Data'!$C$21)="","",INDEX(SPOT_Import!$A$1:$Z$2488,2010,'Live Data'!$C$21)),"")</f>
        <v/>
      </c>
      <c r="K2010" s="54" t="str">
        <f>IFERROR(IF(INDEX(SPOT_Import!$A$1:$Z$2488,2010,'Live Data'!$C$22)="","",INDEX(SPOT_Import!$A$1:$Z$2488,2010,'Live Data'!$C$22)),"")</f>
        <v/>
      </c>
      <c r="L2010" s="55" t="str">
        <f t="shared" si="62"/>
        <v/>
      </c>
      <c r="M2010" s="55" t="str">
        <f t="shared" si="63"/>
        <v/>
      </c>
      <c r="N2010" s="55" t="str">
        <f>IF(A2010="","",IFERROR(INDEX('Cluster Map'!$A$4:$A$38,MATCH(M2010,'Cluster Map'!$B$4:$B$38,0)),"Unmapped"))</f>
        <v/>
      </c>
      <c r="O2010" s="55">
        <f>IF(A2010="",0,IF(COUNTIFS($A$2:A2010,A2010,$F$2:F2010,F2010,$L$2:L2010,L2010)=1,1,0))</f>
        <v>0</v>
      </c>
      <c r="P2010" s="55">
        <f>IF(A2010="",0,IF(AND(F2010="C&amp;T",COUNTIFS($A$2:A2010,A2010,$F$2:F2010,"C&amp;T")=1),1,0))</f>
        <v>0</v>
      </c>
    </row>
    <row r="2011" spans="1:16" x14ac:dyDescent="0.35">
      <c r="A2011" s="54" t="str">
        <f>IFERROR(IF(INDEX(SPOT_Import!$A$1:$Z$2488,2011,'Live Data'!$C$12)="","",INDEX(SPOT_Import!$A$1:$Z$2488,2011,'Live Data'!$C$12)),"")</f>
        <v/>
      </c>
      <c r="B2011" s="54" t="str">
        <f>IFERROR(IF(INDEX(SPOT_Import!$A$1:$Z$2488,2011,'Live Data'!$C$13)="","",INDEX(SPOT_Import!$A$1:$Z$2488,2011,'Live Data'!$C$13)),"")</f>
        <v/>
      </c>
      <c r="C2011" s="54" t="str">
        <f>IFERROR(IF(INDEX(SPOT_Import!$A$1:$Z$2488,2011,'Live Data'!$C$14)="","",INDEX(SPOT_Import!$A$1:$Z$2488,2011,'Live Data'!$C$14)),"")</f>
        <v/>
      </c>
      <c r="D2011" s="54" t="str">
        <f>IFERROR(IF(INDEX(SPOT_Import!$A$1:$Z$2488,2011,'Live Data'!$C$15)="","",INDEX(SPOT_Import!$A$1:$Z$2488,2011,'Live Data'!$C$15)),"")</f>
        <v/>
      </c>
      <c r="E2011" s="54" t="str">
        <f>IFERROR(IF(INDEX(SPOT_Import!$A$1:$Z$2488,2011,'Live Data'!$C$16)="","",INDEX(SPOT_Import!$A$1:$Z$2488,2011,'Live Data'!$C$16)),"")</f>
        <v/>
      </c>
      <c r="F2011" s="54" t="str">
        <f>IFERROR(IF(INDEX(SPOT_Import!$A$1:$Z$2488,2011,'Live Data'!$C$17)="","",INDEX(SPOT_Import!$A$1:$Z$2488,2011,'Live Data'!$C$17)),"")</f>
        <v/>
      </c>
      <c r="G2011" s="54" t="str">
        <f>IFERROR(IF(INDEX(SPOT_Import!$A$1:$Z$2488,2011,'Live Data'!$C$18)="","",INDEX(SPOT_Import!$A$1:$Z$2488,2011,'Live Data'!$C$18)),"")</f>
        <v/>
      </c>
      <c r="H2011" s="54" t="str">
        <f>IFERROR(IF(INDEX(SPOT_Import!$A$1:$Z$2488,2011,'Live Data'!$C$19)="","",INDEX(SPOT_Import!$A$1:$Z$2488,2011,'Live Data'!$C$19)),"")</f>
        <v/>
      </c>
      <c r="I2011" s="54" t="str">
        <f>IFERROR(IF(INDEX(SPOT_Import!$A$1:$Z$2488,2011,'Live Data'!$C$20)="","",INDEX(SPOT_Import!$A$1:$Z$2488,2011,'Live Data'!$C$20)),"")</f>
        <v/>
      </c>
      <c r="J2011" s="54" t="str">
        <f>IFERROR(IF(INDEX(SPOT_Import!$A$1:$Z$2488,2011,'Live Data'!$C$21)="","",INDEX(SPOT_Import!$A$1:$Z$2488,2011,'Live Data'!$C$21)),"")</f>
        <v/>
      </c>
      <c r="K2011" s="54" t="str">
        <f>IFERROR(IF(INDEX(SPOT_Import!$A$1:$Z$2488,2011,'Live Data'!$C$22)="","",INDEX(SPOT_Import!$A$1:$Z$2488,2011,'Live Data'!$C$22)),"")</f>
        <v/>
      </c>
      <c r="L2011" s="55" t="str">
        <f t="shared" si="62"/>
        <v/>
      </c>
      <c r="M2011" s="55" t="str">
        <f t="shared" si="63"/>
        <v/>
      </c>
      <c r="N2011" s="55" t="str">
        <f>IF(A2011="","",IFERROR(INDEX('Cluster Map'!$A$4:$A$38,MATCH(M2011,'Cluster Map'!$B$4:$B$38,0)),"Unmapped"))</f>
        <v/>
      </c>
      <c r="O2011" s="55">
        <f>IF(A2011="",0,IF(COUNTIFS($A$2:A2011,A2011,$F$2:F2011,F2011,$L$2:L2011,L2011)=1,1,0))</f>
        <v>0</v>
      </c>
      <c r="P2011" s="55">
        <f>IF(A2011="",0,IF(AND(F2011="C&amp;T",COUNTIFS($A$2:A2011,A2011,$F$2:F2011,"C&amp;T")=1),1,0))</f>
        <v>0</v>
      </c>
    </row>
    <row r="2012" spans="1:16" x14ac:dyDescent="0.35">
      <c r="A2012" s="54" t="str">
        <f>IFERROR(IF(INDEX(SPOT_Import!$A$1:$Z$2488,2012,'Live Data'!$C$12)="","",INDEX(SPOT_Import!$A$1:$Z$2488,2012,'Live Data'!$C$12)),"")</f>
        <v/>
      </c>
      <c r="B2012" s="54" t="str">
        <f>IFERROR(IF(INDEX(SPOT_Import!$A$1:$Z$2488,2012,'Live Data'!$C$13)="","",INDEX(SPOT_Import!$A$1:$Z$2488,2012,'Live Data'!$C$13)),"")</f>
        <v/>
      </c>
      <c r="C2012" s="54" t="str">
        <f>IFERROR(IF(INDEX(SPOT_Import!$A$1:$Z$2488,2012,'Live Data'!$C$14)="","",INDEX(SPOT_Import!$A$1:$Z$2488,2012,'Live Data'!$C$14)),"")</f>
        <v/>
      </c>
      <c r="D2012" s="54" t="str">
        <f>IFERROR(IF(INDEX(SPOT_Import!$A$1:$Z$2488,2012,'Live Data'!$C$15)="","",INDEX(SPOT_Import!$A$1:$Z$2488,2012,'Live Data'!$C$15)),"")</f>
        <v/>
      </c>
      <c r="E2012" s="54" t="str">
        <f>IFERROR(IF(INDEX(SPOT_Import!$A$1:$Z$2488,2012,'Live Data'!$C$16)="","",INDEX(SPOT_Import!$A$1:$Z$2488,2012,'Live Data'!$C$16)),"")</f>
        <v/>
      </c>
      <c r="F2012" s="54" t="str">
        <f>IFERROR(IF(INDEX(SPOT_Import!$A$1:$Z$2488,2012,'Live Data'!$C$17)="","",INDEX(SPOT_Import!$A$1:$Z$2488,2012,'Live Data'!$C$17)),"")</f>
        <v/>
      </c>
      <c r="G2012" s="54" t="str">
        <f>IFERROR(IF(INDEX(SPOT_Import!$A$1:$Z$2488,2012,'Live Data'!$C$18)="","",INDEX(SPOT_Import!$A$1:$Z$2488,2012,'Live Data'!$C$18)),"")</f>
        <v/>
      </c>
      <c r="H2012" s="54" t="str">
        <f>IFERROR(IF(INDEX(SPOT_Import!$A$1:$Z$2488,2012,'Live Data'!$C$19)="","",INDEX(SPOT_Import!$A$1:$Z$2488,2012,'Live Data'!$C$19)),"")</f>
        <v/>
      </c>
      <c r="I2012" s="54" t="str">
        <f>IFERROR(IF(INDEX(SPOT_Import!$A$1:$Z$2488,2012,'Live Data'!$C$20)="","",INDEX(SPOT_Import!$A$1:$Z$2488,2012,'Live Data'!$C$20)),"")</f>
        <v/>
      </c>
      <c r="J2012" s="54" t="str">
        <f>IFERROR(IF(INDEX(SPOT_Import!$A$1:$Z$2488,2012,'Live Data'!$C$21)="","",INDEX(SPOT_Import!$A$1:$Z$2488,2012,'Live Data'!$C$21)),"")</f>
        <v/>
      </c>
      <c r="K2012" s="54" t="str">
        <f>IFERROR(IF(INDEX(SPOT_Import!$A$1:$Z$2488,2012,'Live Data'!$C$22)="","",INDEX(SPOT_Import!$A$1:$Z$2488,2012,'Live Data'!$C$22)),"")</f>
        <v/>
      </c>
      <c r="L2012" s="55" t="str">
        <f t="shared" si="62"/>
        <v/>
      </c>
      <c r="M2012" s="55" t="str">
        <f t="shared" si="63"/>
        <v/>
      </c>
      <c r="N2012" s="55" t="str">
        <f>IF(A2012="","",IFERROR(INDEX('Cluster Map'!$A$4:$A$38,MATCH(M2012,'Cluster Map'!$B$4:$B$38,0)),"Unmapped"))</f>
        <v/>
      </c>
      <c r="O2012" s="55">
        <f>IF(A2012="",0,IF(COUNTIFS($A$2:A2012,A2012,$F$2:F2012,F2012,$L$2:L2012,L2012)=1,1,0))</f>
        <v>0</v>
      </c>
      <c r="P2012" s="55">
        <f>IF(A2012="",0,IF(AND(F2012="C&amp;T",COUNTIFS($A$2:A2012,A2012,$F$2:F2012,"C&amp;T")=1),1,0))</f>
        <v>0</v>
      </c>
    </row>
    <row r="2013" spans="1:16" x14ac:dyDescent="0.35">
      <c r="A2013" s="54" t="str">
        <f>IFERROR(IF(INDEX(SPOT_Import!$A$1:$Z$2488,2013,'Live Data'!$C$12)="","",INDEX(SPOT_Import!$A$1:$Z$2488,2013,'Live Data'!$C$12)),"")</f>
        <v/>
      </c>
      <c r="B2013" s="54" t="str">
        <f>IFERROR(IF(INDEX(SPOT_Import!$A$1:$Z$2488,2013,'Live Data'!$C$13)="","",INDEX(SPOT_Import!$A$1:$Z$2488,2013,'Live Data'!$C$13)),"")</f>
        <v/>
      </c>
      <c r="C2013" s="54" t="str">
        <f>IFERROR(IF(INDEX(SPOT_Import!$A$1:$Z$2488,2013,'Live Data'!$C$14)="","",INDEX(SPOT_Import!$A$1:$Z$2488,2013,'Live Data'!$C$14)),"")</f>
        <v/>
      </c>
      <c r="D2013" s="54" t="str">
        <f>IFERROR(IF(INDEX(SPOT_Import!$A$1:$Z$2488,2013,'Live Data'!$C$15)="","",INDEX(SPOT_Import!$A$1:$Z$2488,2013,'Live Data'!$C$15)),"")</f>
        <v/>
      </c>
      <c r="E2013" s="54" t="str">
        <f>IFERROR(IF(INDEX(SPOT_Import!$A$1:$Z$2488,2013,'Live Data'!$C$16)="","",INDEX(SPOT_Import!$A$1:$Z$2488,2013,'Live Data'!$C$16)),"")</f>
        <v/>
      </c>
      <c r="F2013" s="54" t="str">
        <f>IFERROR(IF(INDEX(SPOT_Import!$A$1:$Z$2488,2013,'Live Data'!$C$17)="","",INDEX(SPOT_Import!$A$1:$Z$2488,2013,'Live Data'!$C$17)),"")</f>
        <v/>
      </c>
      <c r="G2013" s="54" t="str">
        <f>IFERROR(IF(INDEX(SPOT_Import!$A$1:$Z$2488,2013,'Live Data'!$C$18)="","",INDEX(SPOT_Import!$A$1:$Z$2488,2013,'Live Data'!$C$18)),"")</f>
        <v/>
      </c>
      <c r="H2013" s="54" t="str">
        <f>IFERROR(IF(INDEX(SPOT_Import!$A$1:$Z$2488,2013,'Live Data'!$C$19)="","",INDEX(SPOT_Import!$A$1:$Z$2488,2013,'Live Data'!$C$19)),"")</f>
        <v/>
      </c>
      <c r="I2013" s="54" t="str">
        <f>IFERROR(IF(INDEX(SPOT_Import!$A$1:$Z$2488,2013,'Live Data'!$C$20)="","",INDEX(SPOT_Import!$A$1:$Z$2488,2013,'Live Data'!$C$20)),"")</f>
        <v/>
      </c>
      <c r="J2013" s="54" t="str">
        <f>IFERROR(IF(INDEX(SPOT_Import!$A$1:$Z$2488,2013,'Live Data'!$C$21)="","",INDEX(SPOT_Import!$A$1:$Z$2488,2013,'Live Data'!$C$21)),"")</f>
        <v/>
      </c>
      <c r="K2013" s="54" t="str">
        <f>IFERROR(IF(INDEX(SPOT_Import!$A$1:$Z$2488,2013,'Live Data'!$C$22)="","",INDEX(SPOT_Import!$A$1:$Z$2488,2013,'Live Data'!$C$22)),"")</f>
        <v/>
      </c>
      <c r="L2013" s="55" t="str">
        <f t="shared" si="62"/>
        <v/>
      </c>
      <c r="M2013" s="55" t="str">
        <f t="shared" si="63"/>
        <v/>
      </c>
      <c r="N2013" s="55" t="str">
        <f>IF(A2013="","",IFERROR(INDEX('Cluster Map'!$A$4:$A$38,MATCH(M2013,'Cluster Map'!$B$4:$B$38,0)),"Unmapped"))</f>
        <v/>
      </c>
      <c r="O2013" s="55">
        <f>IF(A2013="",0,IF(COUNTIFS($A$2:A2013,A2013,$F$2:F2013,F2013,$L$2:L2013,L2013)=1,1,0))</f>
        <v>0</v>
      </c>
      <c r="P2013" s="55">
        <f>IF(A2013="",0,IF(AND(F2013="C&amp;T",COUNTIFS($A$2:A2013,A2013,$F$2:F2013,"C&amp;T")=1),1,0))</f>
        <v>0</v>
      </c>
    </row>
    <row r="2014" spans="1:16" x14ac:dyDescent="0.35">
      <c r="A2014" s="54" t="str">
        <f>IFERROR(IF(INDEX(SPOT_Import!$A$1:$Z$2488,2014,'Live Data'!$C$12)="","",INDEX(SPOT_Import!$A$1:$Z$2488,2014,'Live Data'!$C$12)),"")</f>
        <v/>
      </c>
      <c r="B2014" s="54" t="str">
        <f>IFERROR(IF(INDEX(SPOT_Import!$A$1:$Z$2488,2014,'Live Data'!$C$13)="","",INDEX(SPOT_Import!$A$1:$Z$2488,2014,'Live Data'!$C$13)),"")</f>
        <v/>
      </c>
      <c r="C2014" s="54" t="str">
        <f>IFERROR(IF(INDEX(SPOT_Import!$A$1:$Z$2488,2014,'Live Data'!$C$14)="","",INDEX(SPOT_Import!$A$1:$Z$2488,2014,'Live Data'!$C$14)),"")</f>
        <v/>
      </c>
      <c r="D2014" s="54" t="str">
        <f>IFERROR(IF(INDEX(SPOT_Import!$A$1:$Z$2488,2014,'Live Data'!$C$15)="","",INDEX(SPOT_Import!$A$1:$Z$2488,2014,'Live Data'!$C$15)),"")</f>
        <v/>
      </c>
      <c r="E2014" s="54" t="str">
        <f>IFERROR(IF(INDEX(SPOT_Import!$A$1:$Z$2488,2014,'Live Data'!$C$16)="","",INDEX(SPOT_Import!$A$1:$Z$2488,2014,'Live Data'!$C$16)),"")</f>
        <v/>
      </c>
      <c r="F2014" s="54" t="str">
        <f>IFERROR(IF(INDEX(SPOT_Import!$A$1:$Z$2488,2014,'Live Data'!$C$17)="","",INDEX(SPOT_Import!$A$1:$Z$2488,2014,'Live Data'!$C$17)),"")</f>
        <v/>
      </c>
      <c r="G2014" s="54" t="str">
        <f>IFERROR(IF(INDEX(SPOT_Import!$A$1:$Z$2488,2014,'Live Data'!$C$18)="","",INDEX(SPOT_Import!$A$1:$Z$2488,2014,'Live Data'!$C$18)),"")</f>
        <v/>
      </c>
      <c r="H2014" s="54" t="str">
        <f>IFERROR(IF(INDEX(SPOT_Import!$A$1:$Z$2488,2014,'Live Data'!$C$19)="","",INDEX(SPOT_Import!$A$1:$Z$2488,2014,'Live Data'!$C$19)),"")</f>
        <v/>
      </c>
      <c r="I2014" s="54" t="str">
        <f>IFERROR(IF(INDEX(SPOT_Import!$A$1:$Z$2488,2014,'Live Data'!$C$20)="","",INDEX(SPOT_Import!$A$1:$Z$2488,2014,'Live Data'!$C$20)),"")</f>
        <v/>
      </c>
      <c r="J2014" s="54" t="str">
        <f>IFERROR(IF(INDEX(SPOT_Import!$A$1:$Z$2488,2014,'Live Data'!$C$21)="","",INDEX(SPOT_Import!$A$1:$Z$2488,2014,'Live Data'!$C$21)),"")</f>
        <v/>
      </c>
      <c r="K2014" s="54" t="str">
        <f>IFERROR(IF(INDEX(SPOT_Import!$A$1:$Z$2488,2014,'Live Data'!$C$22)="","",INDEX(SPOT_Import!$A$1:$Z$2488,2014,'Live Data'!$C$22)),"")</f>
        <v/>
      </c>
      <c r="L2014" s="55" t="str">
        <f t="shared" si="62"/>
        <v/>
      </c>
      <c r="M2014" s="55" t="str">
        <f t="shared" si="63"/>
        <v/>
      </c>
      <c r="N2014" s="55" t="str">
        <f>IF(A2014="","",IFERROR(INDEX('Cluster Map'!$A$4:$A$38,MATCH(M2014,'Cluster Map'!$B$4:$B$38,0)),"Unmapped"))</f>
        <v/>
      </c>
      <c r="O2014" s="55">
        <f>IF(A2014="",0,IF(COUNTIFS($A$2:A2014,A2014,$F$2:F2014,F2014,$L$2:L2014,L2014)=1,1,0))</f>
        <v>0</v>
      </c>
      <c r="P2014" s="55">
        <f>IF(A2014="",0,IF(AND(F2014="C&amp;T",COUNTIFS($A$2:A2014,A2014,$F$2:F2014,"C&amp;T")=1),1,0))</f>
        <v>0</v>
      </c>
    </row>
    <row r="2015" spans="1:16" x14ac:dyDescent="0.35">
      <c r="A2015" s="54" t="str">
        <f>IFERROR(IF(INDEX(SPOT_Import!$A$1:$Z$2488,2015,'Live Data'!$C$12)="","",INDEX(SPOT_Import!$A$1:$Z$2488,2015,'Live Data'!$C$12)),"")</f>
        <v/>
      </c>
      <c r="B2015" s="54" t="str">
        <f>IFERROR(IF(INDEX(SPOT_Import!$A$1:$Z$2488,2015,'Live Data'!$C$13)="","",INDEX(SPOT_Import!$A$1:$Z$2488,2015,'Live Data'!$C$13)),"")</f>
        <v/>
      </c>
      <c r="C2015" s="54" t="str">
        <f>IFERROR(IF(INDEX(SPOT_Import!$A$1:$Z$2488,2015,'Live Data'!$C$14)="","",INDEX(SPOT_Import!$A$1:$Z$2488,2015,'Live Data'!$C$14)),"")</f>
        <v/>
      </c>
      <c r="D2015" s="54" t="str">
        <f>IFERROR(IF(INDEX(SPOT_Import!$A$1:$Z$2488,2015,'Live Data'!$C$15)="","",INDEX(SPOT_Import!$A$1:$Z$2488,2015,'Live Data'!$C$15)),"")</f>
        <v/>
      </c>
      <c r="E2015" s="54" t="str">
        <f>IFERROR(IF(INDEX(SPOT_Import!$A$1:$Z$2488,2015,'Live Data'!$C$16)="","",INDEX(SPOT_Import!$A$1:$Z$2488,2015,'Live Data'!$C$16)),"")</f>
        <v/>
      </c>
      <c r="F2015" s="54" t="str">
        <f>IFERROR(IF(INDEX(SPOT_Import!$A$1:$Z$2488,2015,'Live Data'!$C$17)="","",INDEX(SPOT_Import!$A$1:$Z$2488,2015,'Live Data'!$C$17)),"")</f>
        <v/>
      </c>
      <c r="G2015" s="54" t="str">
        <f>IFERROR(IF(INDEX(SPOT_Import!$A$1:$Z$2488,2015,'Live Data'!$C$18)="","",INDEX(SPOT_Import!$A$1:$Z$2488,2015,'Live Data'!$C$18)),"")</f>
        <v/>
      </c>
      <c r="H2015" s="54" t="str">
        <f>IFERROR(IF(INDEX(SPOT_Import!$A$1:$Z$2488,2015,'Live Data'!$C$19)="","",INDEX(SPOT_Import!$A$1:$Z$2488,2015,'Live Data'!$C$19)),"")</f>
        <v/>
      </c>
      <c r="I2015" s="54" t="str">
        <f>IFERROR(IF(INDEX(SPOT_Import!$A$1:$Z$2488,2015,'Live Data'!$C$20)="","",INDEX(SPOT_Import!$A$1:$Z$2488,2015,'Live Data'!$C$20)),"")</f>
        <v/>
      </c>
      <c r="J2015" s="54" t="str">
        <f>IFERROR(IF(INDEX(SPOT_Import!$A$1:$Z$2488,2015,'Live Data'!$C$21)="","",INDEX(SPOT_Import!$A$1:$Z$2488,2015,'Live Data'!$C$21)),"")</f>
        <v/>
      </c>
      <c r="K2015" s="54" t="str">
        <f>IFERROR(IF(INDEX(SPOT_Import!$A$1:$Z$2488,2015,'Live Data'!$C$22)="","",INDEX(SPOT_Import!$A$1:$Z$2488,2015,'Live Data'!$C$22)),"")</f>
        <v/>
      </c>
      <c r="L2015" s="55" t="str">
        <f t="shared" si="62"/>
        <v/>
      </c>
      <c r="M2015" s="55" t="str">
        <f t="shared" si="63"/>
        <v/>
      </c>
      <c r="N2015" s="55" t="str">
        <f>IF(A2015="","",IFERROR(INDEX('Cluster Map'!$A$4:$A$38,MATCH(M2015,'Cluster Map'!$B$4:$B$38,0)),"Unmapped"))</f>
        <v/>
      </c>
      <c r="O2015" s="55">
        <f>IF(A2015="",0,IF(COUNTIFS($A$2:A2015,A2015,$F$2:F2015,F2015,$L$2:L2015,L2015)=1,1,0))</f>
        <v>0</v>
      </c>
      <c r="P2015" s="55">
        <f>IF(A2015="",0,IF(AND(F2015="C&amp;T",COUNTIFS($A$2:A2015,A2015,$F$2:F2015,"C&amp;T")=1),1,0))</f>
        <v>0</v>
      </c>
    </row>
    <row r="2016" spans="1:16" x14ac:dyDescent="0.35">
      <c r="A2016" s="54" t="str">
        <f>IFERROR(IF(INDEX(SPOT_Import!$A$1:$Z$2488,2016,'Live Data'!$C$12)="","",INDEX(SPOT_Import!$A$1:$Z$2488,2016,'Live Data'!$C$12)),"")</f>
        <v/>
      </c>
      <c r="B2016" s="54" t="str">
        <f>IFERROR(IF(INDEX(SPOT_Import!$A$1:$Z$2488,2016,'Live Data'!$C$13)="","",INDEX(SPOT_Import!$A$1:$Z$2488,2016,'Live Data'!$C$13)),"")</f>
        <v/>
      </c>
      <c r="C2016" s="54" t="str">
        <f>IFERROR(IF(INDEX(SPOT_Import!$A$1:$Z$2488,2016,'Live Data'!$C$14)="","",INDEX(SPOT_Import!$A$1:$Z$2488,2016,'Live Data'!$C$14)),"")</f>
        <v/>
      </c>
      <c r="D2016" s="54" t="str">
        <f>IFERROR(IF(INDEX(SPOT_Import!$A$1:$Z$2488,2016,'Live Data'!$C$15)="","",INDEX(SPOT_Import!$A$1:$Z$2488,2016,'Live Data'!$C$15)),"")</f>
        <v/>
      </c>
      <c r="E2016" s="54" t="str">
        <f>IFERROR(IF(INDEX(SPOT_Import!$A$1:$Z$2488,2016,'Live Data'!$C$16)="","",INDEX(SPOT_Import!$A$1:$Z$2488,2016,'Live Data'!$C$16)),"")</f>
        <v/>
      </c>
      <c r="F2016" s="54" t="str">
        <f>IFERROR(IF(INDEX(SPOT_Import!$A$1:$Z$2488,2016,'Live Data'!$C$17)="","",INDEX(SPOT_Import!$A$1:$Z$2488,2016,'Live Data'!$C$17)),"")</f>
        <v/>
      </c>
      <c r="G2016" s="54" t="str">
        <f>IFERROR(IF(INDEX(SPOT_Import!$A$1:$Z$2488,2016,'Live Data'!$C$18)="","",INDEX(SPOT_Import!$A$1:$Z$2488,2016,'Live Data'!$C$18)),"")</f>
        <v/>
      </c>
      <c r="H2016" s="54" t="str">
        <f>IFERROR(IF(INDEX(SPOT_Import!$A$1:$Z$2488,2016,'Live Data'!$C$19)="","",INDEX(SPOT_Import!$A$1:$Z$2488,2016,'Live Data'!$C$19)),"")</f>
        <v/>
      </c>
      <c r="I2016" s="54" t="str">
        <f>IFERROR(IF(INDEX(SPOT_Import!$A$1:$Z$2488,2016,'Live Data'!$C$20)="","",INDEX(SPOT_Import!$A$1:$Z$2488,2016,'Live Data'!$C$20)),"")</f>
        <v/>
      </c>
      <c r="J2016" s="54" t="str">
        <f>IFERROR(IF(INDEX(SPOT_Import!$A$1:$Z$2488,2016,'Live Data'!$C$21)="","",INDEX(SPOT_Import!$A$1:$Z$2488,2016,'Live Data'!$C$21)),"")</f>
        <v/>
      </c>
      <c r="K2016" s="54" t="str">
        <f>IFERROR(IF(INDEX(SPOT_Import!$A$1:$Z$2488,2016,'Live Data'!$C$22)="","",INDEX(SPOT_Import!$A$1:$Z$2488,2016,'Live Data'!$C$22)),"")</f>
        <v/>
      </c>
      <c r="L2016" s="55" t="str">
        <f t="shared" si="62"/>
        <v/>
      </c>
      <c r="M2016" s="55" t="str">
        <f t="shared" si="63"/>
        <v/>
      </c>
      <c r="N2016" s="55" t="str">
        <f>IF(A2016="","",IFERROR(INDEX('Cluster Map'!$A$4:$A$38,MATCH(M2016,'Cluster Map'!$B$4:$B$38,0)),"Unmapped"))</f>
        <v/>
      </c>
      <c r="O2016" s="55">
        <f>IF(A2016="",0,IF(COUNTIFS($A$2:A2016,A2016,$F$2:F2016,F2016,$L$2:L2016,L2016)=1,1,0))</f>
        <v>0</v>
      </c>
      <c r="P2016" s="55">
        <f>IF(A2016="",0,IF(AND(F2016="C&amp;T",COUNTIFS($A$2:A2016,A2016,$F$2:F2016,"C&amp;T")=1),1,0))</f>
        <v>0</v>
      </c>
    </row>
    <row r="2017" spans="1:16" x14ac:dyDescent="0.35">
      <c r="A2017" s="54" t="str">
        <f>IFERROR(IF(INDEX(SPOT_Import!$A$1:$Z$2488,2017,'Live Data'!$C$12)="","",INDEX(SPOT_Import!$A$1:$Z$2488,2017,'Live Data'!$C$12)),"")</f>
        <v/>
      </c>
      <c r="B2017" s="54" t="str">
        <f>IFERROR(IF(INDEX(SPOT_Import!$A$1:$Z$2488,2017,'Live Data'!$C$13)="","",INDEX(SPOT_Import!$A$1:$Z$2488,2017,'Live Data'!$C$13)),"")</f>
        <v/>
      </c>
      <c r="C2017" s="54" t="str">
        <f>IFERROR(IF(INDEX(SPOT_Import!$A$1:$Z$2488,2017,'Live Data'!$C$14)="","",INDEX(SPOT_Import!$A$1:$Z$2488,2017,'Live Data'!$C$14)),"")</f>
        <v/>
      </c>
      <c r="D2017" s="54" t="str">
        <f>IFERROR(IF(INDEX(SPOT_Import!$A$1:$Z$2488,2017,'Live Data'!$C$15)="","",INDEX(SPOT_Import!$A$1:$Z$2488,2017,'Live Data'!$C$15)),"")</f>
        <v/>
      </c>
      <c r="E2017" s="54" t="str">
        <f>IFERROR(IF(INDEX(SPOT_Import!$A$1:$Z$2488,2017,'Live Data'!$C$16)="","",INDEX(SPOT_Import!$A$1:$Z$2488,2017,'Live Data'!$C$16)),"")</f>
        <v/>
      </c>
      <c r="F2017" s="54" t="str">
        <f>IFERROR(IF(INDEX(SPOT_Import!$A$1:$Z$2488,2017,'Live Data'!$C$17)="","",INDEX(SPOT_Import!$A$1:$Z$2488,2017,'Live Data'!$C$17)),"")</f>
        <v/>
      </c>
      <c r="G2017" s="54" t="str">
        <f>IFERROR(IF(INDEX(SPOT_Import!$A$1:$Z$2488,2017,'Live Data'!$C$18)="","",INDEX(SPOT_Import!$A$1:$Z$2488,2017,'Live Data'!$C$18)),"")</f>
        <v/>
      </c>
      <c r="H2017" s="54" t="str">
        <f>IFERROR(IF(INDEX(SPOT_Import!$A$1:$Z$2488,2017,'Live Data'!$C$19)="","",INDEX(SPOT_Import!$A$1:$Z$2488,2017,'Live Data'!$C$19)),"")</f>
        <v/>
      </c>
      <c r="I2017" s="54" t="str">
        <f>IFERROR(IF(INDEX(SPOT_Import!$A$1:$Z$2488,2017,'Live Data'!$C$20)="","",INDEX(SPOT_Import!$A$1:$Z$2488,2017,'Live Data'!$C$20)),"")</f>
        <v/>
      </c>
      <c r="J2017" s="54" t="str">
        <f>IFERROR(IF(INDEX(SPOT_Import!$A$1:$Z$2488,2017,'Live Data'!$C$21)="","",INDEX(SPOT_Import!$A$1:$Z$2488,2017,'Live Data'!$C$21)),"")</f>
        <v/>
      </c>
      <c r="K2017" s="54" t="str">
        <f>IFERROR(IF(INDEX(SPOT_Import!$A$1:$Z$2488,2017,'Live Data'!$C$22)="","",INDEX(SPOT_Import!$A$1:$Z$2488,2017,'Live Data'!$C$22)),"")</f>
        <v/>
      </c>
      <c r="L2017" s="55" t="str">
        <f t="shared" si="62"/>
        <v/>
      </c>
      <c r="M2017" s="55" t="str">
        <f t="shared" si="63"/>
        <v/>
      </c>
      <c r="N2017" s="55" t="str">
        <f>IF(A2017="","",IFERROR(INDEX('Cluster Map'!$A$4:$A$38,MATCH(M2017,'Cluster Map'!$B$4:$B$38,0)),"Unmapped"))</f>
        <v/>
      </c>
      <c r="O2017" s="55">
        <f>IF(A2017="",0,IF(COUNTIFS($A$2:A2017,A2017,$F$2:F2017,F2017,$L$2:L2017,L2017)=1,1,0))</f>
        <v>0</v>
      </c>
      <c r="P2017" s="55">
        <f>IF(A2017="",0,IF(AND(F2017="C&amp;T",COUNTIFS($A$2:A2017,A2017,$F$2:F2017,"C&amp;T")=1),1,0))</f>
        <v>0</v>
      </c>
    </row>
    <row r="2018" spans="1:16" x14ac:dyDescent="0.35">
      <c r="A2018" s="54" t="str">
        <f>IFERROR(IF(INDEX(SPOT_Import!$A$1:$Z$2488,2018,'Live Data'!$C$12)="","",INDEX(SPOT_Import!$A$1:$Z$2488,2018,'Live Data'!$C$12)),"")</f>
        <v/>
      </c>
      <c r="B2018" s="54" t="str">
        <f>IFERROR(IF(INDEX(SPOT_Import!$A$1:$Z$2488,2018,'Live Data'!$C$13)="","",INDEX(SPOT_Import!$A$1:$Z$2488,2018,'Live Data'!$C$13)),"")</f>
        <v/>
      </c>
      <c r="C2018" s="54" t="str">
        <f>IFERROR(IF(INDEX(SPOT_Import!$A$1:$Z$2488,2018,'Live Data'!$C$14)="","",INDEX(SPOT_Import!$A$1:$Z$2488,2018,'Live Data'!$C$14)),"")</f>
        <v/>
      </c>
      <c r="D2018" s="54" t="str">
        <f>IFERROR(IF(INDEX(SPOT_Import!$A$1:$Z$2488,2018,'Live Data'!$C$15)="","",INDEX(SPOT_Import!$A$1:$Z$2488,2018,'Live Data'!$C$15)),"")</f>
        <v/>
      </c>
      <c r="E2018" s="54" t="str">
        <f>IFERROR(IF(INDEX(SPOT_Import!$A$1:$Z$2488,2018,'Live Data'!$C$16)="","",INDEX(SPOT_Import!$A$1:$Z$2488,2018,'Live Data'!$C$16)),"")</f>
        <v/>
      </c>
      <c r="F2018" s="54" t="str">
        <f>IFERROR(IF(INDEX(SPOT_Import!$A$1:$Z$2488,2018,'Live Data'!$C$17)="","",INDEX(SPOT_Import!$A$1:$Z$2488,2018,'Live Data'!$C$17)),"")</f>
        <v/>
      </c>
      <c r="G2018" s="54" t="str">
        <f>IFERROR(IF(INDEX(SPOT_Import!$A$1:$Z$2488,2018,'Live Data'!$C$18)="","",INDEX(SPOT_Import!$A$1:$Z$2488,2018,'Live Data'!$C$18)),"")</f>
        <v/>
      </c>
      <c r="H2018" s="54" t="str">
        <f>IFERROR(IF(INDEX(SPOT_Import!$A$1:$Z$2488,2018,'Live Data'!$C$19)="","",INDEX(SPOT_Import!$A$1:$Z$2488,2018,'Live Data'!$C$19)),"")</f>
        <v/>
      </c>
      <c r="I2018" s="54" t="str">
        <f>IFERROR(IF(INDEX(SPOT_Import!$A$1:$Z$2488,2018,'Live Data'!$C$20)="","",INDEX(SPOT_Import!$A$1:$Z$2488,2018,'Live Data'!$C$20)),"")</f>
        <v/>
      </c>
      <c r="J2018" s="54" t="str">
        <f>IFERROR(IF(INDEX(SPOT_Import!$A$1:$Z$2488,2018,'Live Data'!$C$21)="","",INDEX(SPOT_Import!$A$1:$Z$2488,2018,'Live Data'!$C$21)),"")</f>
        <v/>
      </c>
      <c r="K2018" s="54" t="str">
        <f>IFERROR(IF(INDEX(SPOT_Import!$A$1:$Z$2488,2018,'Live Data'!$C$22)="","",INDEX(SPOT_Import!$A$1:$Z$2488,2018,'Live Data'!$C$22)),"")</f>
        <v/>
      </c>
      <c r="L2018" s="55" t="str">
        <f t="shared" si="62"/>
        <v/>
      </c>
      <c r="M2018" s="55" t="str">
        <f t="shared" si="63"/>
        <v/>
      </c>
      <c r="N2018" s="55" t="str">
        <f>IF(A2018="","",IFERROR(INDEX('Cluster Map'!$A$4:$A$38,MATCH(M2018,'Cluster Map'!$B$4:$B$38,0)),"Unmapped"))</f>
        <v/>
      </c>
      <c r="O2018" s="55">
        <f>IF(A2018="",0,IF(COUNTIFS($A$2:A2018,A2018,$F$2:F2018,F2018,$L$2:L2018,L2018)=1,1,0))</f>
        <v>0</v>
      </c>
      <c r="P2018" s="55">
        <f>IF(A2018="",0,IF(AND(F2018="C&amp;T",COUNTIFS($A$2:A2018,A2018,$F$2:F2018,"C&amp;T")=1),1,0))</f>
        <v>0</v>
      </c>
    </row>
    <row r="2019" spans="1:16" x14ac:dyDescent="0.35">
      <c r="A2019" s="54" t="str">
        <f>IFERROR(IF(INDEX(SPOT_Import!$A$1:$Z$2488,2019,'Live Data'!$C$12)="","",INDEX(SPOT_Import!$A$1:$Z$2488,2019,'Live Data'!$C$12)),"")</f>
        <v/>
      </c>
      <c r="B2019" s="54" t="str">
        <f>IFERROR(IF(INDEX(SPOT_Import!$A$1:$Z$2488,2019,'Live Data'!$C$13)="","",INDEX(SPOT_Import!$A$1:$Z$2488,2019,'Live Data'!$C$13)),"")</f>
        <v/>
      </c>
      <c r="C2019" s="54" t="str">
        <f>IFERROR(IF(INDEX(SPOT_Import!$A$1:$Z$2488,2019,'Live Data'!$C$14)="","",INDEX(SPOT_Import!$A$1:$Z$2488,2019,'Live Data'!$C$14)),"")</f>
        <v/>
      </c>
      <c r="D2019" s="54" t="str">
        <f>IFERROR(IF(INDEX(SPOT_Import!$A$1:$Z$2488,2019,'Live Data'!$C$15)="","",INDEX(SPOT_Import!$A$1:$Z$2488,2019,'Live Data'!$C$15)),"")</f>
        <v/>
      </c>
      <c r="E2019" s="54" t="str">
        <f>IFERROR(IF(INDEX(SPOT_Import!$A$1:$Z$2488,2019,'Live Data'!$C$16)="","",INDEX(SPOT_Import!$A$1:$Z$2488,2019,'Live Data'!$C$16)),"")</f>
        <v/>
      </c>
      <c r="F2019" s="54" t="str">
        <f>IFERROR(IF(INDEX(SPOT_Import!$A$1:$Z$2488,2019,'Live Data'!$C$17)="","",INDEX(SPOT_Import!$A$1:$Z$2488,2019,'Live Data'!$C$17)),"")</f>
        <v/>
      </c>
      <c r="G2019" s="54" t="str">
        <f>IFERROR(IF(INDEX(SPOT_Import!$A$1:$Z$2488,2019,'Live Data'!$C$18)="","",INDEX(SPOT_Import!$A$1:$Z$2488,2019,'Live Data'!$C$18)),"")</f>
        <v/>
      </c>
      <c r="H2019" s="54" t="str">
        <f>IFERROR(IF(INDEX(SPOT_Import!$A$1:$Z$2488,2019,'Live Data'!$C$19)="","",INDEX(SPOT_Import!$A$1:$Z$2488,2019,'Live Data'!$C$19)),"")</f>
        <v/>
      </c>
      <c r="I2019" s="54" t="str">
        <f>IFERROR(IF(INDEX(SPOT_Import!$A$1:$Z$2488,2019,'Live Data'!$C$20)="","",INDEX(SPOT_Import!$A$1:$Z$2488,2019,'Live Data'!$C$20)),"")</f>
        <v/>
      </c>
      <c r="J2019" s="54" t="str">
        <f>IFERROR(IF(INDEX(SPOT_Import!$A$1:$Z$2488,2019,'Live Data'!$C$21)="","",INDEX(SPOT_Import!$A$1:$Z$2488,2019,'Live Data'!$C$21)),"")</f>
        <v/>
      </c>
      <c r="K2019" s="54" t="str">
        <f>IFERROR(IF(INDEX(SPOT_Import!$A$1:$Z$2488,2019,'Live Data'!$C$22)="","",INDEX(SPOT_Import!$A$1:$Z$2488,2019,'Live Data'!$C$22)),"")</f>
        <v/>
      </c>
      <c r="L2019" s="55" t="str">
        <f t="shared" si="62"/>
        <v/>
      </c>
      <c r="M2019" s="55" t="str">
        <f t="shared" si="63"/>
        <v/>
      </c>
      <c r="N2019" s="55" t="str">
        <f>IF(A2019="","",IFERROR(INDEX('Cluster Map'!$A$4:$A$38,MATCH(M2019,'Cluster Map'!$B$4:$B$38,0)),"Unmapped"))</f>
        <v/>
      </c>
      <c r="O2019" s="55">
        <f>IF(A2019="",0,IF(COUNTIFS($A$2:A2019,A2019,$F$2:F2019,F2019,$L$2:L2019,L2019)=1,1,0))</f>
        <v>0</v>
      </c>
      <c r="P2019" s="55">
        <f>IF(A2019="",0,IF(AND(F2019="C&amp;T",COUNTIFS($A$2:A2019,A2019,$F$2:F2019,"C&amp;T")=1),1,0))</f>
        <v>0</v>
      </c>
    </row>
    <row r="2020" spans="1:16" x14ac:dyDescent="0.35">
      <c r="A2020" s="54" t="str">
        <f>IFERROR(IF(INDEX(SPOT_Import!$A$1:$Z$2488,2020,'Live Data'!$C$12)="","",INDEX(SPOT_Import!$A$1:$Z$2488,2020,'Live Data'!$C$12)),"")</f>
        <v/>
      </c>
      <c r="B2020" s="54" t="str">
        <f>IFERROR(IF(INDEX(SPOT_Import!$A$1:$Z$2488,2020,'Live Data'!$C$13)="","",INDEX(SPOT_Import!$A$1:$Z$2488,2020,'Live Data'!$C$13)),"")</f>
        <v/>
      </c>
      <c r="C2020" s="54" t="str">
        <f>IFERROR(IF(INDEX(SPOT_Import!$A$1:$Z$2488,2020,'Live Data'!$C$14)="","",INDEX(SPOT_Import!$A$1:$Z$2488,2020,'Live Data'!$C$14)),"")</f>
        <v/>
      </c>
      <c r="D2020" s="54" t="str">
        <f>IFERROR(IF(INDEX(SPOT_Import!$A$1:$Z$2488,2020,'Live Data'!$C$15)="","",INDEX(SPOT_Import!$A$1:$Z$2488,2020,'Live Data'!$C$15)),"")</f>
        <v/>
      </c>
      <c r="E2020" s="54" t="str">
        <f>IFERROR(IF(INDEX(SPOT_Import!$A$1:$Z$2488,2020,'Live Data'!$C$16)="","",INDEX(SPOT_Import!$A$1:$Z$2488,2020,'Live Data'!$C$16)),"")</f>
        <v/>
      </c>
      <c r="F2020" s="54" t="str">
        <f>IFERROR(IF(INDEX(SPOT_Import!$A$1:$Z$2488,2020,'Live Data'!$C$17)="","",INDEX(SPOT_Import!$A$1:$Z$2488,2020,'Live Data'!$C$17)),"")</f>
        <v/>
      </c>
      <c r="G2020" s="54" t="str">
        <f>IFERROR(IF(INDEX(SPOT_Import!$A$1:$Z$2488,2020,'Live Data'!$C$18)="","",INDEX(SPOT_Import!$A$1:$Z$2488,2020,'Live Data'!$C$18)),"")</f>
        <v/>
      </c>
      <c r="H2020" s="54" t="str">
        <f>IFERROR(IF(INDEX(SPOT_Import!$A$1:$Z$2488,2020,'Live Data'!$C$19)="","",INDEX(SPOT_Import!$A$1:$Z$2488,2020,'Live Data'!$C$19)),"")</f>
        <v/>
      </c>
      <c r="I2020" s="54" t="str">
        <f>IFERROR(IF(INDEX(SPOT_Import!$A$1:$Z$2488,2020,'Live Data'!$C$20)="","",INDEX(SPOT_Import!$A$1:$Z$2488,2020,'Live Data'!$C$20)),"")</f>
        <v/>
      </c>
      <c r="J2020" s="54" t="str">
        <f>IFERROR(IF(INDEX(SPOT_Import!$A$1:$Z$2488,2020,'Live Data'!$C$21)="","",INDEX(SPOT_Import!$A$1:$Z$2488,2020,'Live Data'!$C$21)),"")</f>
        <v/>
      </c>
      <c r="K2020" s="54" t="str">
        <f>IFERROR(IF(INDEX(SPOT_Import!$A$1:$Z$2488,2020,'Live Data'!$C$22)="","",INDEX(SPOT_Import!$A$1:$Z$2488,2020,'Live Data'!$C$22)),"")</f>
        <v/>
      </c>
      <c r="L2020" s="55" t="str">
        <f t="shared" si="62"/>
        <v/>
      </c>
      <c r="M2020" s="55" t="str">
        <f t="shared" si="63"/>
        <v/>
      </c>
      <c r="N2020" s="55" t="str">
        <f>IF(A2020="","",IFERROR(INDEX('Cluster Map'!$A$4:$A$38,MATCH(M2020,'Cluster Map'!$B$4:$B$38,0)),"Unmapped"))</f>
        <v/>
      </c>
      <c r="O2020" s="55">
        <f>IF(A2020="",0,IF(COUNTIFS($A$2:A2020,A2020,$F$2:F2020,F2020,$L$2:L2020,L2020)=1,1,0))</f>
        <v>0</v>
      </c>
      <c r="P2020" s="55">
        <f>IF(A2020="",0,IF(AND(F2020="C&amp;T",COUNTIFS($A$2:A2020,A2020,$F$2:F2020,"C&amp;T")=1),1,0))</f>
        <v>0</v>
      </c>
    </row>
    <row r="2021" spans="1:16" x14ac:dyDescent="0.35">
      <c r="A2021" s="54" t="str">
        <f>IFERROR(IF(INDEX(SPOT_Import!$A$1:$Z$2488,2021,'Live Data'!$C$12)="","",INDEX(SPOT_Import!$A$1:$Z$2488,2021,'Live Data'!$C$12)),"")</f>
        <v/>
      </c>
      <c r="B2021" s="54" t="str">
        <f>IFERROR(IF(INDEX(SPOT_Import!$A$1:$Z$2488,2021,'Live Data'!$C$13)="","",INDEX(SPOT_Import!$A$1:$Z$2488,2021,'Live Data'!$C$13)),"")</f>
        <v/>
      </c>
      <c r="C2021" s="54" t="str">
        <f>IFERROR(IF(INDEX(SPOT_Import!$A$1:$Z$2488,2021,'Live Data'!$C$14)="","",INDEX(SPOT_Import!$A$1:$Z$2488,2021,'Live Data'!$C$14)),"")</f>
        <v/>
      </c>
      <c r="D2021" s="54" t="str">
        <f>IFERROR(IF(INDEX(SPOT_Import!$A$1:$Z$2488,2021,'Live Data'!$C$15)="","",INDEX(SPOT_Import!$A$1:$Z$2488,2021,'Live Data'!$C$15)),"")</f>
        <v/>
      </c>
      <c r="E2021" s="54" t="str">
        <f>IFERROR(IF(INDEX(SPOT_Import!$A$1:$Z$2488,2021,'Live Data'!$C$16)="","",INDEX(SPOT_Import!$A$1:$Z$2488,2021,'Live Data'!$C$16)),"")</f>
        <v/>
      </c>
      <c r="F2021" s="54" t="str">
        <f>IFERROR(IF(INDEX(SPOT_Import!$A$1:$Z$2488,2021,'Live Data'!$C$17)="","",INDEX(SPOT_Import!$A$1:$Z$2488,2021,'Live Data'!$C$17)),"")</f>
        <v/>
      </c>
      <c r="G2021" s="54" t="str">
        <f>IFERROR(IF(INDEX(SPOT_Import!$A$1:$Z$2488,2021,'Live Data'!$C$18)="","",INDEX(SPOT_Import!$A$1:$Z$2488,2021,'Live Data'!$C$18)),"")</f>
        <v/>
      </c>
      <c r="H2021" s="54" t="str">
        <f>IFERROR(IF(INDEX(SPOT_Import!$A$1:$Z$2488,2021,'Live Data'!$C$19)="","",INDEX(SPOT_Import!$A$1:$Z$2488,2021,'Live Data'!$C$19)),"")</f>
        <v/>
      </c>
      <c r="I2021" s="54" t="str">
        <f>IFERROR(IF(INDEX(SPOT_Import!$A$1:$Z$2488,2021,'Live Data'!$C$20)="","",INDEX(SPOT_Import!$A$1:$Z$2488,2021,'Live Data'!$C$20)),"")</f>
        <v/>
      </c>
      <c r="J2021" s="54" t="str">
        <f>IFERROR(IF(INDEX(SPOT_Import!$A$1:$Z$2488,2021,'Live Data'!$C$21)="","",INDEX(SPOT_Import!$A$1:$Z$2488,2021,'Live Data'!$C$21)),"")</f>
        <v/>
      </c>
      <c r="K2021" s="54" t="str">
        <f>IFERROR(IF(INDEX(SPOT_Import!$A$1:$Z$2488,2021,'Live Data'!$C$22)="","",INDEX(SPOT_Import!$A$1:$Z$2488,2021,'Live Data'!$C$22)),"")</f>
        <v/>
      </c>
      <c r="L2021" s="55" t="str">
        <f t="shared" si="62"/>
        <v/>
      </c>
      <c r="M2021" s="55" t="str">
        <f t="shared" si="63"/>
        <v/>
      </c>
      <c r="N2021" s="55" t="str">
        <f>IF(A2021="","",IFERROR(INDEX('Cluster Map'!$A$4:$A$38,MATCH(M2021,'Cluster Map'!$B$4:$B$38,0)),"Unmapped"))</f>
        <v/>
      </c>
      <c r="O2021" s="55">
        <f>IF(A2021="",0,IF(COUNTIFS($A$2:A2021,A2021,$F$2:F2021,F2021,$L$2:L2021,L2021)=1,1,0))</f>
        <v>0</v>
      </c>
      <c r="P2021" s="55">
        <f>IF(A2021="",0,IF(AND(F2021="C&amp;T",COUNTIFS($A$2:A2021,A2021,$F$2:F2021,"C&amp;T")=1),1,0))</f>
        <v>0</v>
      </c>
    </row>
    <row r="2022" spans="1:16" x14ac:dyDescent="0.35">
      <c r="A2022" s="54" t="str">
        <f>IFERROR(IF(INDEX(SPOT_Import!$A$1:$Z$2488,2022,'Live Data'!$C$12)="","",INDEX(SPOT_Import!$A$1:$Z$2488,2022,'Live Data'!$C$12)),"")</f>
        <v/>
      </c>
      <c r="B2022" s="54" t="str">
        <f>IFERROR(IF(INDEX(SPOT_Import!$A$1:$Z$2488,2022,'Live Data'!$C$13)="","",INDEX(SPOT_Import!$A$1:$Z$2488,2022,'Live Data'!$C$13)),"")</f>
        <v/>
      </c>
      <c r="C2022" s="54" t="str">
        <f>IFERROR(IF(INDEX(SPOT_Import!$A$1:$Z$2488,2022,'Live Data'!$C$14)="","",INDEX(SPOT_Import!$A$1:$Z$2488,2022,'Live Data'!$C$14)),"")</f>
        <v/>
      </c>
      <c r="D2022" s="54" t="str">
        <f>IFERROR(IF(INDEX(SPOT_Import!$A$1:$Z$2488,2022,'Live Data'!$C$15)="","",INDEX(SPOT_Import!$A$1:$Z$2488,2022,'Live Data'!$C$15)),"")</f>
        <v/>
      </c>
      <c r="E2022" s="54" t="str">
        <f>IFERROR(IF(INDEX(SPOT_Import!$A$1:$Z$2488,2022,'Live Data'!$C$16)="","",INDEX(SPOT_Import!$A$1:$Z$2488,2022,'Live Data'!$C$16)),"")</f>
        <v/>
      </c>
      <c r="F2022" s="54" t="str">
        <f>IFERROR(IF(INDEX(SPOT_Import!$A$1:$Z$2488,2022,'Live Data'!$C$17)="","",INDEX(SPOT_Import!$A$1:$Z$2488,2022,'Live Data'!$C$17)),"")</f>
        <v/>
      </c>
      <c r="G2022" s="54" t="str">
        <f>IFERROR(IF(INDEX(SPOT_Import!$A$1:$Z$2488,2022,'Live Data'!$C$18)="","",INDEX(SPOT_Import!$A$1:$Z$2488,2022,'Live Data'!$C$18)),"")</f>
        <v/>
      </c>
      <c r="H2022" s="54" t="str">
        <f>IFERROR(IF(INDEX(SPOT_Import!$A$1:$Z$2488,2022,'Live Data'!$C$19)="","",INDEX(SPOT_Import!$A$1:$Z$2488,2022,'Live Data'!$C$19)),"")</f>
        <v/>
      </c>
      <c r="I2022" s="54" t="str">
        <f>IFERROR(IF(INDEX(SPOT_Import!$A$1:$Z$2488,2022,'Live Data'!$C$20)="","",INDEX(SPOT_Import!$A$1:$Z$2488,2022,'Live Data'!$C$20)),"")</f>
        <v/>
      </c>
      <c r="J2022" s="54" t="str">
        <f>IFERROR(IF(INDEX(SPOT_Import!$A$1:$Z$2488,2022,'Live Data'!$C$21)="","",INDEX(SPOT_Import!$A$1:$Z$2488,2022,'Live Data'!$C$21)),"")</f>
        <v/>
      </c>
      <c r="K2022" s="54" t="str">
        <f>IFERROR(IF(INDEX(SPOT_Import!$A$1:$Z$2488,2022,'Live Data'!$C$22)="","",INDEX(SPOT_Import!$A$1:$Z$2488,2022,'Live Data'!$C$22)),"")</f>
        <v/>
      </c>
      <c r="L2022" s="55" t="str">
        <f t="shared" si="62"/>
        <v/>
      </c>
      <c r="M2022" s="55" t="str">
        <f t="shared" si="63"/>
        <v/>
      </c>
      <c r="N2022" s="55" t="str">
        <f>IF(A2022="","",IFERROR(INDEX('Cluster Map'!$A$4:$A$38,MATCH(M2022,'Cluster Map'!$B$4:$B$38,0)),"Unmapped"))</f>
        <v/>
      </c>
      <c r="O2022" s="55">
        <f>IF(A2022="",0,IF(COUNTIFS($A$2:A2022,A2022,$F$2:F2022,F2022,$L$2:L2022,L2022)=1,1,0))</f>
        <v>0</v>
      </c>
      <c r="P2022" s="55">
        <f>IF(A2022="",0,IF(AND(F2022="C&amp;T",COUNTIFS($A$2:A2022,A2022,$F$2:F2022,"C&amp;T")=1),1,0))</f>
        <v>0</v>
      </c>
    </row>
    <row r="2023" spans="1:16" x14ac:dyDescent="0.35">
      <c r="A2023" s="54" t="str">
        <f>IFERROR(IF(INDEX(SPOT_Import!$A$1:$Z$2488,2023,'Live Data'!$C$12)="","",INDEX(SPOT_Import!$A$1:$Z$2488,2023,'Live Data'!$C$12)),"")</f>
        <v/>
      </c>
      <c r="B2023" s="54" t="str">
        <f>IFERROR(IF(INDEX(SPOT_Import!$A$1:$Z$2488,2023,'Live Data'!$C$13)="","",INDEX(SPOT_Import!$A$1:$Z$2488,2023,'Live Data'!$C$13)),"")</f>
        <v/>
      </c>
      <c r="C2023" s="54" t="str">
        <f>IFERROR(IF(INDEX(SPOT_Import!$A$1:$Z$2488,2023,'Live Data'!$C$14)="","",INDEX(SPOT_Import!$A$1:$Z$2488,2023,'Live Data'!$C$14)),"")</f>
        <v/>
      </c>
      <c r="D2023" s="54" t="str">
        <f>IFERROR(IF(INDEX(SPOT_Import!$A$1:$Z$2488,2023,'Live Data'!$C$15)="","",INDEX(SPOT_Import!$A$1:$Z$2488,2023,'Live Data'!$C$15)),"")</f>
        <v/>
      </c>
      <c r="E2023" s="54" t="str">
        <f>IFERROR(IF(INDEX(SPOT_Import!$A$1:$Z$2488,2023,'Live Data'!$C$16)="","",INDEX(SPOT_Import!$A$1:$Z$2488,2023,'Live Data'!$C$16)),"")</f>
        <v/>
      </c>
      <c r="F2023" s="54" t="str">
        <f>IFERROR(IF(INDEX(SPOT_Import!$A$1:$Z$2488,2023,'Live Data'!$C$17)="","",INDEX(SPOT_Import!$A$1:$Z$2488,2023,'Live Data'!$C$17)),"")</f>
        <v/>
      </c>
      <c r="G2023" s="54" t="str">
        <f>IFERROR(IF(INDEX(SPOT_Import!$A$1:$Z$2488,2023,'Live Data'!$C$18)="","",INDEX(SPOT_Import!$A$1:$Z$2488,2023,'Live Data'!$C$18)),"")</f>
        <v/>
      </c>
      <c r="H2023" s="54" t="str">
        <f>IFERROR(IF(INDEX(SPOT_Import!$A$1:$Z$2488,2023,'Live Data'!$C$19)="","",INDEX(SPOT_Import!$A$1:$Z$2488,2023,'Live Data'!$C$19)),"")</f>
        <v/>
      </c>
      <c r="I2023" s="54" t="str">
        <f>IFERROR(IF(INDEX(SPOT_Import!$A$1:$Z$2488,2023,'Live Data'!$C$20)="","",INDEX(SPOT_Import!$A$1:$Z$2488,2023,'Live Data'!$C$20)),"")</f>
        <v/>
      </c>
      <c r="J2023" s="54" t="str">
        <f>IFERROR(IF(INDEX(SPOT_Import!$A$1:$Z$2488,2023,'Live Data'!$C$21)="","",INDEX(SPOT_Import!$A$1:$Z$2488,2023,'Live Data'!$C$21)),"")</f>
        <v/>
      </c>
      <c r="K2023" s="54" t="str">
        <f>IFERROR(IF(INDEX(SPOT_Import!$A$1:$Z$2488,2023,'Live Data'!$C$22)="","",INDEX(SPOT_Import!$A$1:$Z$2488,2023,'Live Data'!$C$22)),"")</f>
        <v/>
      </c>
      <c r="L2023" s="55" t="str">
        <f t="shared" si="62"/>
        <v/>
      </c>
      <c r="M2023" s="55" t="str">
        <f t="shared" si="63"/>
        <v/>
      </c>
      <c r="N2023" s="55" t="str">
        <f>IF(A2023="","",IFERROR(INDEX('Cluster Map'!$A$4:$A$38,MATCH(M2023,'Cluster Map'!$B$4:$B$38,0)),"Unmapped"))</f>
        <v/>
      </c>
      <c r="O2023" s="55">
        <f>IF(A2023="",0,IF(COUNTIFS($A$2:A2023,A2023,$F$2:F2023,F2023,$L$2:L2023,L2023)=1,1,0))</f>
        <v>0</v>
      </c>
      <c r="P2023" s="55">
        <f>IF(A2023="",0,IF(AND(F2023="C&amp;T",COUNTIFS($A$2:A2023,A2023,$F$2:F2023,"C&amp;T")=1),1,0))</f>
        <v>0</v>
      </c>
    </row>
    <row r="2024" spans="1:16" x14ac:dyDescent="0.35">
      <c r="A2024" s="54" t="str">
        <f>IFERROR(IF(INDEX(SPOT_Import!$A$1:$Z$2488,2024,'Live Data'!$C$12)="","",INDEX(SPOT_Import!$A$1:$Z$2488,2024,'Live Data'!$C$12)),"")</f>
        <v/>
      </c>
      <c r="B2024" s="54" t="str">
        <f>IFERROR(IF(INDEX(SPOT_Import!$A$1:$Z$2488,2024,'Live Data'!$C$13)="","",INDEX(SPOT_Import!$A$1:$Z$2488,2024,'Live Data'!$C$13)),"")</f>
        <v/>
      </c>
      <c r="C2024" s="54" t="str">
        <f>IFERROR(IF(INDEX(SPOT_Import!$A$1:$Z$2488,2024,'Live Data'!$C$14)="","",INDEX(SPOT_Import!$A$1:$Z$2488,2024,'Live Data'!$C$14)),"")</f>
        <v/>
      </c>
      <c r="D2024" s="54" t="str">
        <f>IFERROR(IF(INDEX(SPOT_Import!$A$1:$Z$2488,2024,'Live Data'!$C$15)="","",INDEX(SPOT_Import!$A$1:$Z$2488,2024,'Live Data'!$C$15)),"")</f>
        <v/>
      </c>
      <c r="E2024" s="54" t="str">
        <f>IFERROR(IF(INDEX(SPOT_Import!$A$1:$Z$2488,2024,'Live Data'!$C$16)="","",INDEX(SPOT_Import!$A$1:$Z$2488,2024,'Live Data'!$C$16)),"")</f>
        <v/>
      </c>
      <c r="F2024" s="54" t="str">
        <f>IFERROR(IF(INDEX(SPOT_Import!$A$1:$Z$2488,2024,'Live Data'!$C$17)="","",INDEX(SPOT_Import!$A$1:$Z$2488,2024,'Live Data'!$C$17)),"")</f>
        <v/>
      </c>
      <c r="G2024" s="54" t="str">
        <f>IFERROR(IF(INDEX(SPOT_Import!$A$1:$Z$2488,2024,'Live Data'!$C$18)="","",INDEX(SPOT_Import!$A$1:$Z$2488,2024,'Live Data'!$C$18)),"")</f>
        <v/>
      </c>
      <c r="H2024" s="54" t="str">
        <f>IFERROR(IF(INDEX(SPOT_Import!$A$1:$Z$2488,2024,'Live Data'!$C$19)="","",INDEX(SPOT_Import!$A$1:$Z$2488,2024,'Live Data'!$C$19)),"")</f>
        <v/>
      </c>
      <c r="I2024" s="54" t="str">
        <f>IFERROR(IF(INDEX(SPOT_Import!$A$1:$Z$2488,2024,'Live Data'!$C$20)="","",INDEX(SPOT_Import!$A$1:$Z$2488,2024,'Live Data'!$C$20)),"")</f>
        <v/>
      </c>
      <c r="J2024" s="54" t="str">
        <f>IFERROR(IF(INDEX(SPOT_Import!$A$1:$Z$2488,2024,'Live Data'!$C$21)="","",INDEX(SPOT_Import!$A$1:$Z$2488,2024,'Live Data'!$C$21)),"")</f>
        <v/>
      </c>
      <c r="K2024" s="54" t="str">
        <f>IFERROR(IF(INDEX(SPOT_Import!$A$1:$Z$2488,2024,'Live Data'!$C$22)="","",INDEX(SPOT_Import!$A$1:$Z$2488,2024,'Live Data'!$C$22)),"")</f>
        <v/>
      </c>
      <c r="L2024" s="55" t="str">
        <f t="shared" si="62"/>
        <v/>
      </c>
      <c r="M2024" s="55" t="str">
        <f t="shared" si="63"/>
        <v/>
      </c>
      <c r="N2024" s="55" t="str">
        <f>IF(A2024="","",IFERROR(INDEX('Cluster Map'!$A$4:$A$38,MATCH(M2024,'Cluster Map'!$B$4:$B$38,0)),"Unmapped"))</f>
        <v/>
      </c>
      <c r="O2024" s="55">
        <f>IF(A2024="",0,IF(COUNTIFS($A$2:A2024,A2024,$F$2:F2024,F2024,$L$2:L2024,L2024)=1,1,0))</f>
        <v>0</v>
      </c>
      <c r="P2024" s="55">
        <f>IF(A2024="",0,IF(AND(F2024="C&amp;T",COUNTIFS($A$2:A2024,A2024,$F$2:F2024,"C&amp;T")=1),1,0))</f>
        <v>0</v>
      </c>
    </row>
    <row r="2025" spans="1:16" x14ac:dyDescent="0.35">
      <c r="A2025" s="54" t="str">
        <f>IFERROR(IF(INDEX(SPOT_Import!$A$1:$Z$2488,2025,'Live Data'!$C$12)="","",INDEX(SPOT_Import!$A$1:$Z$2488,2025,'Live Data'!$C$12)),"")</f>
        <v/>
      </c>
      <c r="B2025" s="54" t="str">
        <f>IFERROR(IF(INDEX(SPOT_Import!$A$1:$Z$2488,2025,'Live Data'!$C$13)="","",INDEX(SPOT_Import!$A$1:$Z$2488,2025,'Live Data'!$C$13)),"")</f>
        <v/>
      </c>
      <c r="C2025" s="54" t="str">
        <f>IFERROR(IF(INDEX(SPOT_Import!$A$1:$Z$2488,2025,'Live Data'!$C$14)="","",INDEX(SPOT_Import!$A$1:$Z$2488,2025,'Live Data'!$C$14)),"")</f>
        <v/>
      </c>
      <c r="D2025" s="54" t="str">
        <f>IFERROR(IF(INDEX(SPOT_Import!$A$1:$Z$2488,2025,'Live Data'!$C$15)="","",INDEX(SPOT_Import!$A$1:$Z$2488,2025,'Live Data'!$C$15)),"")</f>
        <v/>
      </c>
      <c r="E2025" s="54" t="str">
        <f>IFERROR(IF(INDEX(SPOT_Import!$A$1:$Z$2488,2025,'Live Data'!$C$16)="","",INDEX(SPOT_Import!$A$1:$Z$2488,2025,'Live Data'!$C$16)),"")</f>
        <v/>
      </c>
      <c r="F2025" s="54" t="str">
        <f>IFERROR(IF(INDEX(SPOT_Import!$A$1:$Z$2488,2025,'Live Data'!$C$17)="","",INDEX(SPOT_Import!$A$1:$Z$2488,2025,'Live Data'!$C$17)),"")</f>
        <v/>
      </c>
      <c r="G2025" s="54" t="str">
        <f>IFERROR(IF(INDEX(SPOT_Import!$A$1:$Z$2488,2025,'Live Data'!$C$18)="","",INDEX(SPOT_Import!$A$1:$Z$2488,2025,'Live Data'!$C$18)),"")</f>
        <v/>
      </c>
      <c r="H2025" s="54" t="str">
        <f>IFERROR(IF(INDEX(SPOT_Import!$A$1:$Z$2488,2025,'Live Data'!$C$19)="","",INDEX(SPOT_Import!$A$1:$Z$2488,2025,'Live Data'!$C$19)),"")</f>
        <v/>
      </c>
      <c r="I2025" s="54" t="str">
        <f>IFERROR(IF(INDEX(SPOT_Import!$A$1:$Z$2488,2025,'Live Data'!$C$20)="","",INDEX(SPOT_Import!$A$1:$Z$2488,2025,'Live Data'!$C$20)),"")</f>
        <v/>
      </c>
      <c r="J2025" s="54" t="str">
        <f>IFERROR(IF(INDEX(SPOT_Import!$A$1:$Z$2488,2025,'Live Data'!$C$21)="","",INDEX(SPOT_Import!$A$1:$Z$2488,2025,'Live Data'!$C$21)),"")</f>
        <v/>
      </c>
      <c r="K2025" s="54" t="str">
        <f>IFERROR(IF(INDEX(SPOT_Import!$A$1:$Z$2488,2025,'Live Data'!$C$22)="","",INDEX(SPOT_Import!$A$1:$Z$2488,2025,'Live Data'!$C$22)),"")</f>
        <v/>
      </c>
      <c r="L2025" s="55" t="str">
        <f t="shared" si="62"/>
        <v/>
      </c>
      <c r="M2025" s="55" t="str">
        <f t="shared" si="63"/>
        <v/>
      </c>
      <c r="N2025" s="55" t="str">
        <f>IF(A2025="","",IFERROR(INDEX('Cluster Map'!$A$4:$A$38,MATCH(M2025,'Cluster Map'!$B$4:$B$38,0)),"Unmapped"))</f>
        <v/>
      </c>
      <c r="O2025" s="55">
        <f>IF(A2025="",0,IF(COUNTIFS($A$2:A2025,A2025,$F$2:F2025,F2025,$L$2:L2025,L2025)=1,1,0))</f>
        <v>0</v>
      </c>
      <c r="P2025" s="55">
        <f>IF(A2025="",0,IF(AND(F2025="C&amp;T",COUNTIFS($A$2:A2025,A2025,$F$2:F2025,"C&amp;T")=1),1,0))</f>
        <v>0</v>
      </c>
    </row>
    <row r="2026" spans="1:16" x14ac:dyDescent="0.35">
      <c r="A2026" s="54" t="str">
        <f>IFERROR(IF(INDEX(SPOT_Import!$A$1:$Z$2488,2026,'Live Data'!$C$12)="","",INDEX(SPOT_Import!$A$1:$Z$2488,2026,'Live Data'!$C$12)),"")</f>
        <v/>
      </c>
      <c r="B2026" s="54" t="str">
        <f>IFERROR(IF(INDEX(SPOT_Import!$A$1:$Z$2488,2026,'Live Data'!$C$13)="","",INDEX(SPOT_Import!$A$1:$Z$2488,2026,'Live Data'!$C$13)),"")</f>
        <v/>
      </c>
      <c r="C2026" s="54" t="str">
        <f>IFERROR(IF(INDEX(SPOT_Import!$A$1:$Z$2488,2026,'Live Data'!$C$14)="","",INDEX(SPOT_Import!$A$1:$Z$2488,2026,'Live Data'!$C$14)),"")</f>
        <v/>
      </c>
      <c r="D2026" s="54" t="str">
        <f>IFERROR(IF(INDEX(SPOT_Import!$A$1:$Z$2488,2026,'Live Data'!$C$15)="","",INDEX(SPOT_Import!$A$1:$Z$2488,2026,'Live Data'!$C$15)),"")</f>
        <v/>
      </c>
      <c r="E2026" s="54" t="str">
        <f>IFERROR(IF(INDEX(SPOT_Import!$A$1:$Z$2488,2026,'Live Data'!$C$16)="","",INDEX(SPOT_Import!$A$1:$Z$2488,2026,'Live Data'!$C$16)),"")</f>
        <v/>
      </c>
      <c r="F2026" s="54" t="str">
        <f>IFERROR(IF(INDEX(SPOT_Import!$A$1:$Z$2488,2026,'Live Data'!$C$17)="","",INDEX(SPOT_Import!$A$1:$Z$2488,2026,'Live Data'!$C$17)),"")</f>
        <v/>
      </c>
      <c r="G2026" s="54" t="str">
        <f>IFERROR(IF(INDEX(SPOT_Import!$A$1:$Z$2488,2026,'Live Data'!$C$18)="","",INDEX(SPOT_Import!$A$1:$Z$2488,2026,'Live Data'!$C$18)),"")</f>
        <v/>
      </c>
      <c r="H2026" s="54" t="str">
        <f>IFERROR(IF(INDEX(SPOT_Import!$A$1:$Z$2488,2026,'Live Data'!$C$19)="","",INDEX(SPOT_Import!$A$1:$Z$2488,2026,'Live Data'!$C$19)),"")</f>
        <v/>
      </c>
      <c r="I2026" s="54" t="str">
        <f>IFERROR(IF(INDEX(SPOT_Import!$A$1:$Z$2488,2026,'Live Data'!$C$20)="","",INDEX(SPOT_Import!$A$1:$Z$2488,2026,'Live Data'!$C$20)),"")</f>
        <v/>
      </c>
      <c r="J2026" s="54" t="str">
        <f>IFERROR(IF(INDEX(SPOT_Import!$A$1:$Z$2488,2026,'Live Data'!$C$21)="","",INDEX(SPOT_Import!$A$1:$Z$2488,2026,'Live Data'!$C$21)),"")</f>
        <v/>
      </c>
      <c r="K2026" s="54" t="str">
        <f>IFERROR(IF(INDEX(SPOT_Import!$A$1:$Z$2488,2026,'Live Data'!$C$22)="","",INDEX(SPOT_Import!$A$1:$Z$2488,2026,'Live Data'!$C$22)),"")</f>
        <v/>
      </c>
      <c r="L2026" s="55" t="str">
        <f t="shared" si="62"/>
        <v/>
      </c>
      <c r="M2026" s="55" t="str">
        <f t="shared" si="63"/>
        <v/>
      </c>
      <c r="N2026" s="55" t="str">
        <f>IF(A2026="","",IFERROR(INDEX('Cluster Map'!$A$4:$A$38,MATCH(M2026,'Cluster Map'!$B$4:$B$38,0)),"Unmapped"))</f>
        <v/>
      </c>
      <c r="O2026" s="55">
        <f>IF(A2026="",0,IF(COUNTIFS($A$2:A2026,A2026,$F$2:F2026,F2026,$L$2:L2026,L2026)=1,1,0))</f>
        <v>0</v>
      </c>
      <c r="P2026" s="55">
        <f>IF(A2026="",0,IF(AND(F2026="C&amp;T",COUNTIFS($A$2:A2026,A2026,$F$2:F2026,"C&amp;T")=1),1,0))</f>
        <v>0</v>
      </c>
    </row>
    <row r="2027" spans="1:16" x14ac:dyDescent="0.35">
      <c r="A2027" s="54" t="str">
        <f>IFERROR(IF(INDEX(SPOT_Import!$A$1:$Z$2488,2027,'Live Data'!$C$12)="","",INDEX(SPOT_Import!$A$1:$Z$2488,2027,'Live Data'!$C$12)),"")</f>
        <v/>
      </c>
      <c r="B2027" s="54" t="str">
        <f>IFERROR(IF(INDEX(SPOT_Import!$A$1:$Z$2488,2027,'Live Data'!$C$13)="","",INDEX(SPOT_Import!$A$1:$Z$2488,2027,'Live Data'!$C$13)),"")</f>
        <v/>
      </c>
      <c r="C2027" s="54" t="str">
        <f>IFERROR(IF(INDEX(SPOT_Import!$A$1:$Z$2488,2027,'Live Data'!$C$14)="","",INDEX(SPOT_Import!$A$1:$Z$2488,2027,'Live Data'!$C$14)),"")</f>
        <v/>
      </c>
      <c r="D2027" s="54" t="str">
        <f>IFERROR(IF(INDEX(SPOT_Import!$A$1:$Z$2488,2027,'Live Data'!$C$15)="","",INDEX(SPOT_Import!$A$1:$Z$2488,2027,'Live Data'!$C$15)),"")</f>
        <v/>
      </c>
      <c r="E2027" s="54" t="str">
        <f>IFERROR(IF(INDEX(SPOT_Import!$A$1:$Z$2488,2027,'Live Data'!$C$16)="","",INDEX(SPOT_Import!$A$1:$Z$2488,2027,'Live Data'!$C$16)),"")</f>
        <v/>
      </c>
      <c r="F2027" s="54" t="str">
        <f>IFERROR(IF(INDEX(SPOT_Import!$A$1:$Z$2488,2027,'Live Data'!$C$17)="","",INDEX(SPOT_Import!$A$1:$Z$2488,2027,'Live Data'!$C$17)),"")</f>
        <v/>
      </c>
      <c r="G2027" s="54" t="str">
        <f>IFERROR(IF(INDEX(SPOT_Import!$A$1:$Z$2488,2027,'Live Data'!$C$18)="","",INDEX(SPOT_Import!$A$1:$Z$2488,2027,'Live Data'!$C$18)),"")</f>
        <v/>
      </c>
      <c r="H2027" s="54" t="str">
        <f>IFERROR(IF(INDEX(SPOT_Import!$A$1:$Z$2488,2027,'Live Data'!$C$19)="","",INDEX(SPOT_Import!$A$1:$Z$2488,2027,'Live Data'!$C$19)),"")</f>
        <v/>
      </c>
      <c r="I2027" s="54" t="str">
        <f>IFERROR(IF(INDEX(SPOT_Import!$A$1:$Z$2488,2027,'Live Data'!$C$20)="","",INDEX(SPOT_Import!$A$1:$Z$2488,2027,'Live Data'!$C$20)),"")</f>
        <v/>
      </c>
      <c r="J2027" s="54" t="str">
        <f>IFERROR(IF(INDEX(SPOT_Import!$A$1:$Z$2488,2027,'Live Data'!$C$21)="","",INDEX(SPOT_Import!$A$1:$Z$2488,2027,'Live Data'!$C$21)),"")</f>
        <v/>
      </c>
      <c r="K2027" s="54" t="str">
        <f>IFERROR(IF(INDEX(SPOT_Import!$A$1:$Z$2488,2027,'Live Data'!$C$22)="","",INDEX(SPOT_Import!$A$1:$Z$2488,2027,'Live Data'!$C$22)),"")</f>
        <v/>
      </c>
      <c r="L2027" s="55" t="str">
        <f t="shared" si="62"/>
        <v/>
      </c>
      <c r="M2027" s="55" t="str">
        <f t="shared" si="63"/>
        <v/>
      </c>
      <c r="N2027" s="55" t="str">
        <f>IF(A2027="","",IFERROR(INDEX('Cluster Map'!$A$4:$A$38,MATCH(M2027,'Cluster Map'!$B$4:$B$38,0)),"Unmapped"))</f>
        <v/>
      </c>
      <c r="O2027" s="55">
        <f>IF(A2027="",0,IF(COUNTIFS($A$2:A2027,A2027,$F$2:F2027,F2027,$L$2:L2027,L2027)=1,1,0))</f>
        <v>0</v>
      </c>
      <c r="P2027" s="55">
        <f>IF(A2027="",0,IF(AND(F2027="C&amp;T",COUNTIFS($A$2:A2027,A2027,$F$2:F2027,"C&amp;T")=1),1,0))</f>
        <v>0</v>
      </c>
    </row>
    <row r="2028" spans="1:16" x14ac:dyDescent="0.35">
      <c r="A2028" s="54" t="str">
        <f>IFERROR(IF(INDEX(SPOT_Import!$A$1:$Z$2488,2028,'Live Data'!$C$12)="","",INDEX(SPOT_Import!$A$1:$Z$2488,2028,'Live Data'!$C$12)),"")</f>
        <v/>
      </c>
      <c r="B2028" s="54" t="str">
        <f>IFERROR(IF(INDEX(SPOT_Import!$A$1:$Z$2488,2028,'Live Data'!$C$13)="","",INDEX(SPOT_Import!$A$1:$Z$2488,2028,'Live Data'!$C$13)),"")</f>
        <v/>
      </c>
      <c r="C2028" s="54" t="str">
        <f>IFERROR(IF(INDEX(SPOT_Import!$A$1:$Z$2488,2028,'Live Data'!$C$14)="","",INDEX(SPOT_Import!$A$1:$Z$2488,2028,'Live Data'!$C$14)),"")</f>
        <v/>
      </c>
      <c r="D2028" s="54" t="str">
        <f>IFERROR(IF(INDEX(SPOT_Import!$A$1:$Z$2488,2028,'Live Data'!$C$15)="","",INDEX(SPOT_Import!$A$1:$Z$2488,2028,'Live Data'!$C$15)),"")</f>
        <v/>
      </c>
      <c r="E2028" s="54" t="str">
        <f>IFERROR(IF(INDEX(SPOT_Import!$A$1:$Z$2488,2028,'Live Data'!$C$16)="","",INDEX(SPOT_Import!$A$1:$Z$2488,2028,'Live Data'!$C$16)),"")</f>
        <v/>
      </c>
      <c r="F2028" s="54" t="str">
        <f>IFERROR(IF(INDEX(SPOT_Import!$A$1:$Z$2488,2028,'Live Data'!$C$17)="","",INDEX(SPOT_Import!$A$1:$Z$2488,2028,'Live Data'!$C$17)),"")</f>
        <v/>
      </c>
      <c r="G2028" s="54" t="str">
        <f>IFERROR(IF(INDEX(SPOT_Import!$A$1:$Z$2488,2028,'Live Data'!$C$18)="","",INDEX(SPOT_Import!$A$1:$Z$2488,2028,'Live Data'!$C$18)),"")</f>
        <v/>
      </c>
      <c r="H2028" s="54" t="str">
        <f>IFERROR(IF(INDEX(SPOT_Import!$A$1:$Z$2488,2028,'Live Data'!$C$19)="","",INDEX(SPOT_Import!$A$1:$Z$2488,2028,'Live Data'!$C$19)),"")</f>
        <v/>
      </c>
      <c r="I2028" s="54" t="str">
        <f>IFERROR(IF(INDEX(SPOT_Import!$A$1:$Z$2488,2028,'Live Data'!$C$20)="","",INDEX(SPOT_Import!$A$1:$Z$2488,2028,'Live Data'!$C$20)),"")</f>
        <v/>
      </c>
      <c r="J2028" s="54" t="str">
        <f>IFERROR(IF(INDEX(SPOT_Import!$A$1:$Z$2488,2028,'Live Data'!$C$21)="","",INDEX(SPOT_Import!$A$1:$Z$2488,2028,'Live Data'!$C$21)),"")</f>
        <v/>
      </c>
      <c r="K2028" s="54" t="str">
        <f>IFERROR(IF(INDEX(SPOT_Import!$A$1:$Z$2488,2028,'Live Data'!$C$22)="","",INDEX(SPOT_Import!$A$1:$Z$2488,2028,'Live Data'!$C$22)),"")</f>
        <v/>
      </c>
      <c r="L2028" s="55" t="str">
        <f t="shared" si="62"/>
        <v/>
      </c>
      <c r="M2028" s="55" t="str">
        <f t="shared" si="63"/>
        <v/>
      </c>
      <c r="N2028" s="55" t="str">
        <f>IF(A2028="","",IFERROR(INDEX('Cluster Map'!$A$4:$A$38,MATCH(M2028,'Cluster Map'!$B$4:$B$38,0)),"Unmapped"))</f>
        <v/>
      </c>
      <c r="O2028" s="55">
        <f>IF(A2028="",0,IF(COUNTIFS($A$2:A2028,A2028,$F$2:F2028,F2028,$L$2:L2028,L2028)=1,1,0))</f>
        <v>0</v>
      </c>
      <c r="P2028" s="55">
        <f>IF(A2028="",0,IF(AND(F2028="C&amp;T",COUNTIFS($A$2:A2028,A2028,$F$2:F2028,"C&amp;T")=1),1,0))</f>
        <v>0</v>
      </c>
    </row>
    <row r="2029" spans="1:16" x14ac:dyDescent="0.35">
      <c r="A2029" s="54" t="str">
        <f>IFERROR(IF(INDEX(SPOT_Import!$A$1:$Z$2488,2029,'Live Data'!$C$12)="","",INDEX(SPOT_Import!$A$1:$Z$2488,2029,'Live Data'!$C$12)),"")</f>
        <v/>
      </c>
      <c r="B2029" s="54" t="str">
        <f>IFERROR(IF(INDEX(SPOT_Import!$A$1:$Z$2488,2029,'Live Data'!$C$13)="","",INDEX(SPOT_Import!$A$1:$Z$2488,2029,'Live Data'!$C$13)),"")</f>
        <v/>
      </c>
      <c r="C2029" s="54" t="str">
        <f>IFERROR(IF(INDEX(SPOT_Import!$A$1:$Z$2488,2029,'Live Data'!$C$14)="","",INDEX(SPOT_Import!$A$1:$Z$2488,2029,'Live Data'!$C$14)),"")</f>
        <v/>
      </c>
      <c r="D2029" s="54" t="str">
        <f>IFERROR(IF(INDEX(SPOT_Import!$A$1:$Z$2488,2029,'Live Data'!$C$15)="","",INDEX(SPOT_Import!$A$1:$Z$2488,2029,'Live Data'!$C$15)),"")</f>
        <v/>
      </c>
      <c r="E2029" s="54" t="str">
        <f>IFERROR(IF(INDEX(SPOT_Import!$A$1:$Z$2488,2029,'Live Data'!$C$16)="","",INDEX(SPOT_Import!$A$1:$Z$2488,2029,'Live Data'!$C$16)),"")</f>
        <v/>
      </c>
      <c r="F2029" s="54" t="str">
        <f>IFERROR(IF(INDEX(SPOT_Import!$A$1:$Z$2488,2029,'Live Data'!$C$17)="","",INDEX(SPOT_Import!$A$1:$Z$2488,2029,'Live Data'!$C$17)),"")</f>
        <v/>
      </c>
      <c r="G2029" s="54" t="str">
        <f>IFERROR(IF(INDEX(SPOT_Import!$A$1:$Z$2488,2029,'Live Data'!$C$18)="","",INDEX(SPOT_Import!$A$1:$Z$2488,2029,'Live Data'!$C$18)),"")</f>
        <v/>
      </c>
      <c r="H2029" s="54" t="str">
        <f>IFERROR(IF(INDEX(SPOT_Import!$A$1:$Z$2488,2029,'Live Data'!$C$19)="","",INDEX(SPOT_Import!$A$1:$Z$2488,2029,'Live Data'!$C$19)),"")</f>
        <v/>
      </c>
      <c r="I2029" s="54" t="str">
        <f>IFERROR(IF(INDEX(SPOT_Import!$A$1:$Z$2488,2029,'Live Data'!$C$20)="","",INDEX(SPOT_Import!$A$1:$Z$2488,2029,'Live Data'!$C$20)),"")</f>
        <v/>
      </c>
      <c r="J2029" s="54" t="str">
        <f>IFERROR(IF(INDEX(SPOT_Import!$A$1:$Z$2488,2029,'Live Data'!$C$21)="","",INDEX(SPOT_Import!$A$1:$Z$2488,2029,'Live Data'!$C$21)),"")</f>
        <v/>
      </c>
      <c r="K2029" s="54" t="str">
        <f>IFERROR(IF(INDEX(SPOT_Import!$A$1:$Z$2488,2029,'Live Data'!$C$22)="","",INDEX(SPOT_Import!$A$1:$Z$2488,2029,'Live Data'!$C$22)),"")</f>
        <v/>
      </c>
      <c r="L2029" s="55" t="str">
        <f t="shared" si="62"/>
        <v/>
      </c>
      <c r="M2029" s="55" t="str">
        <f t="shared" si="63"/>
        <v/>
      </c>
      <c r="N2029" s="55" t="str">
        <f>IF(A2029="","",IFERROR(INDEX('Cluster Map'!$A$4:$A$38,MATCH(M2029,'Cluster Map'!$B$4:$B$38,0)),"Unmapped"))</f>
        <v/>
      </c>
      <c r="O2029" s="55">
        <f>IF(A2029="",0,IF(COUNTIFS($A$2:A2029,A2029,$F$2:F2029,F2029,$L$2:L2029,L2029)=1,1,0))</f>
        <v>0</v>
      </c>
      <c r="P2029" s="55">
        <f>IF(A2029="",0,IF(AND(F2029="C&amp;T",COUNTIFS($A$2:A2029,A2029,$F$2:F2029,"C&amp;T")=1),1,0))</f>
        <v>0</v>
      </c>
    </row>
    <row r="2030" spans="1:16" x14ac:dyDescent="0.35">
      <c r="A2030" s="54" t="str">
        <f>IFERROR(IF(INDEX(SPOT_Import!$A$1:$Z$2488,2030,'Live Data'!$C$12)="","",INDEX(SPOT_Import!$A$1:$Z$2488,2030,'Live Data'!$C$12)),"")</f>
        <v/>
      </c>
      <c r="B2030" s="54" t="str">
        <f>IFERROR(IF(INDEX(SPOT_Import!$A$1:$Z$2488,2030,'Live Data'!$C$13)="","",INDEX(SPOT_Import!$A$1:$Z$2488,2030,'Live Data'!$C$13)),"")</f>
        <v/>
      </c>
      <c r="C2030" s="54" t="str">
        <f>IFERROR(IF(INDEX(SPOT_Import!$A$1:$Z$2488,2030,'Live Data'!$C$14)="","",INDEX(SPOT_Import!$A$1:$Z$2488,2030,'Live Data'!$C$14)),"")</f>
        <v/>
      </c>
      <c r="D2030" s="54" t="str">
        <f>IFERROR(IF(INDEX(SPOT_Import!$A$1:$Z$2488,2030,'Live Data'!$C$15)="","",INDEX(SPOT_Import!$A$1:$Z$2488,2030,'Live Data'!$C$15)),"")</f>
        <v/>
      </c>
      <c r="E2030" s="54" t="str">
        <f>IFERROR(IF(INDEX(SPOT_Import!$A$1:$Z$2488,2030,'Live Data'!$C$16)="","",INDEX(SPOT_Import!$A$1:$Z$2488,2030,'Live Data'!$C$16)),"")</f>
        <v/>
      </c>
      <c r="F2030" s="54" t="str">
        <f>IFERROR(IF(INDEX(SPOT_Import!$A$1:$Z$2488,2030,'Live Data'!$C$17)="","",INDEX(SPOT_Import!$A$1:$Z$2488,2030,'Live Data'!$C$17)),"")</f>
        <v/>
      </c>
      <c r="G2030" s="54" t="str">
        <f>IFERROR(IF(INDEX(SPOT_Import!$A$1:$Z$2488,2030,'Live Data'!$C$18)="","",INDEX(SPOT_Import!$A$1:$Z$2488,2030,'Live Data'!$C$18)),"")</f>
        <v/>
      </c>
      <c r="H2030" s="54" t="str">
        <f>IFERROR(IF(INDEX(SPOT_Import!$A$1:$Z$2488,2030,'Live Data'!$C$19)="","",INDEX(SPOT_Import!$A$1:$Z$2488,2030,'Live Data'!$C$19)),"")</f>
        <v/>
      </c>
      <c r="I2030" s="54" t="str">
        <f>IFERROR(IF(INDEX(SPOT_Import!$A$1:$Z$2488,2030,'Live Data'!$C$20)="","",INDEX(SPOT_Import!$A$1:$Z$2488,2030,'Live Data'!$C$20)),"")</f>
        <v/>
      </c>
      <c r="J2030" s="54" t="str">
        <f>IFERROR(IF(INDEX(SPOT_Import!$A$1:$Z$2488,2030,'Live Data'!$C$21)="","",INDEX(SPOT_Import!$A$1:$Z$2488,2030,'Live Data'!$C$21)),"")</f>
        <v/>
      </c>
      <c r="K2030" s="54" t="str">
        <f>IFERROR(IF(INDEX(SPOT_Import!$A$1:$Z$2488,2030,'Live Data'!$C$22)="","",INDEX(SPOT_Import!$A$1:$Z$2488,2030,'Live Data'!$C$22)),"")</f>
        <v/>
      </c>
      <c r="L2030" s="55" t="str">
        <f t="shared" si="62"/>
        <v/>
      </c>
      <c r="M2030" s="55" t="str">
        <f t="shared" si="63"/>
        <v/>
      </c>
      <c r="N2030" s="55" t="str">
        <f>IF(A2030="","",IFERROR(INDEX('Cluster Map'!$A$4:$A$38,MATCH(M2030,'Cluster Map'!$B$4:$B$38,0)),"Unmapped"))</f>
        <v/>
      </c>
      <c r="O2030" s="55">
        <f>IF(A2030="",0,IF(COUNTIFS($A$2:A2030,A2030,$F$2:F2030,F2030,$L$2:L2030,L2030)=1,1,0))</f>
        <v>0</v>
      </c>
      <c r="P2030" s="55">
        <f>IF(A2030="",0,IF(AND(F2030="C&amp;T",COUNTIFS($A$2:A2030,A2030,$F$2:F2030,"C&amp;T")=1),1,0))</f>
        <v>0</v>
      </c>
    </row>
    <row r="2031" spans="1:16" x14ac:dyDescent="0.35">
      <c r="A2031" s="54" t="str">
        <f>IFERROR(IF(INDEX(SPOT_Import!$A$1:$Z$2488,2031,'Live Data'!$C$12)="","",INDEX(SPOT_Import!$A$1:$Z$2488,2031,'Live Data'!$C$12)),"")</f>
        <v/>
      </c>
      <c r="B2031" s="54" t="str">
        <f>IFERROR(IF(INDEX(SPOT_Import!$A$1:$Z$2488,2031,'Live Data'!$C$13)="","",INDEX(SPOT_Import!$A$1:$Z$2488,2031,'Live Data'!$C$13)),"")</f>
        <v/>
      </c>
      <c r="C2031" s="54" t="str">
        <f>IFERROR(IF(INDEX(SPOT_Import!$A$1:$Z$2488,2031,'Live Data'!$C$14)="","",INDEX(SPOT_Import!$A$1:$Z$2488,2031,'Live Data'!$C$14)),"")</f>
        <v/>
      </c>
      <c r="D2031" s="54" t="str">
        <f>IFERROR(IF(INDEX(SPOT_Import!$A$1:$Z$2488,2031,'Live Data'!$C$15)="","",INDEX(SPOT_Import!$A$1:$Z$2488,2031,'Live Data'!$C$15)),"")</f>
        <v/>
      </c>
      <c r="E2031" s="54" t="str">
        <f>IFERROR(IF(INDEX(SPOT_Import!$A$1:$Z$2488,2031,'Live Data'!$C$16)="","",INDEX(SPOT_Import!$A$1:$Z$2488,2031,'Live Data'!$C$16)),"")</f>
        <v/>
      </c>
      <c r="F2031" s="54" t="str">
        <f>IFERROR(IF(INDEX(SPOT_Import!$A$1:$Z$2488,2031,'Live Data'!$C$17)="","",INDEX(SPOT_Import!$A$1:$Z$2488,2031,'Live Data'!$C$17)),"")</f>
        <v/>
      </c>
      <c r="G2031" s="54" t="str">
        <f>IFERROR(IF(INDEX(SPOT_Import!$A$1:$Z$2488,2031,'Live Data'!$C$18)="","",INDEX(SPOT_Import!$A$1:$Z$2488,2031,'Live Data'!$C$18)),"")</f>
        <v/>
      </c>
      <c r="H2031" s="54" t="str">
        <f>IFERROR(IF(INDEX(SPOT_Import!$A$1:$Z$2488,2031,'Live Data'!$C$19)="","",INDEX(SPOT_Import!$A$1:$Z$2488,2031,'Live Data'!$C$19)),"")</f>
        <v/>
      </c>
      <c r="I2031" s="54" t="str">
        <f>IFERROR(IF(INDEX(SPOT_Import!$A$1:$Z$2488,2031,'Live Data'!$C$20)="","",INDEX(SPOT_Import!$A$1:$Z$2488,2031,'Live Data'!$C$20)),"")</f>
        <v/>
      </c>
      <c r="J2031" s="54" t="str">
        <f>IFERROR(IF(INDEX(SPOT_Import!$A$1:$Z$2488,2031,'Live Data'!$C$21)="","",INDEX(SPOT_Import!$A$1:$Z$2488,2031,'Live Data'!$C$21)),"")</f>
        <v/>
      </c>
      <c r="K2031" s="54" t="str">
        <f>IFERROR(IF(INDEX(SPOT_Import!$A$1:$Z$2488,2031,'Live Data'!$C$22)="","",INDEX(SPOT_Import!$A$1:$Z$2488,2031,'Live Data'!$C$22)),"")</f>
        <v/>
      </c>
      <c r="L2031" s="55" t="str">
        <f t="shared" si="62"/>
        <v/>
      </c>
      <c r="M2031" s="55" t="str">
        <f t="shared" si="63"/>
        <v/>
      </c>
      <c r="N2031" s="55" t="str">
        <f>IF(A2031="","",IFERROR(INDEX('Cluster Map'!$A$4:$A$38,MATCH(M2031,'Cluster Map'!$B$4:$B$38,0)),"Unmapped"))</f>
        <v/>
      </c>
      <c r="O2031" s="55">
        <f>IF(A2031="",0,IF(COUNTIFS($A$2:A2031,A2031,$F$2:F2031,F2031,$L$2:L2031,L2031)=1,1,0))</f>
        <v>0</v>
      </c>
      <c r="P2031" s="55">
        <f>IF(A2031="",0,IF(AND(F2031="C&amp;T",COUNTIFS($A$2:A2031,A2031,$F$2:F2031,"C&amp;T")=1),1,0))</f>
        <v>0</v>
      </c>
    </row>
    <row r="2032" spans="1:16" x14ac:dyDescent="0.35">
      <c r="A2032" s="54" t="str">
        <f>IFERROR(IF(INDEX(SPOT_Import!$A$1:$Z$2488,2032,'Live Data'!$C$12)="","",INDEX(SPOT_Import!$A$1:$Z$2488,2032,'Live Data'!$C$12)),"")</f>
        <v/>
      </c>
      <c r="B2032" s="54" t="str">
        <f>IFERROR(IF(INDEX(SPOT_Import!$A$1:$Z$2488,2032,'Live Data'!$C$13)="","",INDEX(SPOT_Import!$A$1:$Z$2488,2032,'Live Data'!$C$13)),"")</f>
        <v/>
      </c>
      <c r="C2032" s="54" t="str">
        <f>IFERROR(IF(INDEX(SPOT_Import!$A$1:$Z$2488,2032,'Live Data'!$C$14)="","",INDEX(SPOT_Import!$A$1:$Z$2488,2032,'Live Data'!$C$14)),"")</f>
        <v/>
      </c>
      <c r="D2032" s="54" t="str">
        <f>IFERROR(IF(INDEX(SPOT_Import!$A$1:$Z$2488,2032,'Live Data'!$C$15)="","",INDEX(SPOT_Import!$A$1:$Z$2488,2032,'Live Data'!$C$15)),"")</f>
        <v/>
      </c>
      <c r="E2032" s="54" t="str">
        <f>IFERROR(IF(INDEX(SPOT_Import!$A$1:$Z$2488,2032,'Live Data'!$C$16)="","",INDEX(SPOT_Import!$A$1:$Z$2488,2032,'Live Data'!$C$16)),"")</f>
        <v/>
      </c>
      <c r="F2032" s="54" t="str">
        <f>IFERROR(IF(INDEX(SPOT_Import!$A$1:$Z$2488,2032,'Live Data'!$C$17)="","",INDEX(SPOT_Import!$A$1:$Z$2488,2032,'Live Data'!$C$17)),"")</f>
        <v/>
      </c>
      <c r="G2032" s="54" t="str">
        <f>IFERROR(IF(INDEX(SPOT_Import!$A$1:$Z$2488,2032,'Live Data'!$C$18)="","",INDEX(SPOT_Import!$A$1:$Z$2488,2032,'Live Data'!$C$18)),"")</f>
        <v/>
      </c>
      <c r="H2032" s="54" t="str">
        <f>IFERROR(IF(INDEX(SPOT_Import!$A$1:$Z$2488,2032,'Live Data'!$C$19)="","",INDEX(SPOT_Import!$A$1:$Z$2488,2032,'Live Data'!$C$19)),"")</f>
        <v/>
      </c>
      <c r="I2032" s="54" t="str">
        <f>IFERROR(IF(INDEX(SPOT_Import!$A$1:$Z$2488,2032,'Live Data'!$C$20)="","",INDEX(SPOT_Import!$A$1:$Z$2488,2032,'Live Data'!$C$20)),"")</f>
        <v/>
      </c>
      <c r="J2032" s="54" t="str">
        <f>IFERROR(IF(INDEX(SPOT_Import!$A$1:$Z$2488,2032,'Live Data'!$C$21)="","",INDEX(SPOT_Import!$A$1:$Z$2488,2032,'Live Data'!$C$21)),"")</f>
        <v/>
      </c>
      <c r="K2032" s="54" t="str">
        <f>IFERROR(IF(INDEX(SPOT_Import!$A$1:$Z$2488,2032,'Live Data'!$C$22)="","",INDEX(SPOT_Import!$A$1:$Z$2488,2032,'Live Data'!$C$22)),"")</f>
        <v/>
      </c>
      <c r="L2032" s="55" t="str">
        <f t="shared" si="62"/>
        <v/>
      </c>
      <c r="M2032" s="55" t="str">
        <f t="shared" si="63"/>
        <v/>
      </c>
      <c r="N2032" s="55" t="str">
        <f>IF(A2032="","",IFERROR(INDEX('Cluster Map'!$A$4:$A$38,MATCH(M2032,'Cluster Map'!$B$4:$B$38,0)),"Unmapped"))</f>
        <v/>
      </c>
      <c r="O2032" s="55">
        <f>IF(A2032="",0,IF(COUNTIFS($A$2:A2032,A2032,$F$2:F2032,F2032,$L$2:L2032,L2032)=1,1,0))</f>
        <v>0</v>
      </c>
      <c r="P2032" s="55">
        <f>IF(A2032="",0,IF(AND(F2032="C&amp;T",COUNTIFS($A$2:A2032,A2032,$F$2:F2032,"C&amp;T")=1),1,0))</f>
        <v>0</v>
      </c>
    </row>
    <row r="2033" spans="1:16" x14ac:dyDescent="0.35">
      <c r="A2033" s="54" t="str">
        <f>IFERROR(IF(INDEX(SPOT_Import!$A$1:$Z$2488,2033,'Live Data'!$C$12)="","",INDEX(SPOT_Import!$A$1:$Z$2488,2033,'Live Data'!$C$12)),"")</f>
        <v/>
      </c>
      <c r="B2033" s="54" t="str">
        <f>IFERROR(IF(INDEX(SPOT_Import!$A$1:$Z$2488,2033,'Live Data'!$C$13)="","",INDEX(SPOT_Import!$A$1:$Z$2488,2033,'Live Data'!$C$13)),"")</f>
        <v/>
      </c>
      <c r="C2033" s="54" t="str">
        <f>IFERROR(IF(INDEX(SPOT_Import!$A$1:$Z$2488,2033,'Live Data'!$C$14)="","",INDEX(SPOT_Import!$A$1:$Z$2488,2033,'Live Data'!$C$14)),"")</f>
        <v/>
      </c>
      <c r="D2033" s="54" t="str">
        <f>IFERROR(IF(INDEX(SPOT_Import!$A$1:$Z$2488,2033,'Live Data'!$C$15)="","",INDEX(SPOT_Import!$A$1:$Z$2488,2033,'Live Data'!$C$15)),"")</f>
        <v/>
      </c>
      <c r="E2033" s="54" t="str">
        <f>IFERROR(IF(INDEX(SPOT_Import!$A$1:$Z$2488,2033,'Live Data'!$C$16)="","",INDEX(SPOT_Import!$A$1:$Z$2488,2033,'Live Data'!$C$16)),"")</f>
        <v/>
      </c>
      <c r="F2033" s="54" t="str">
        <f>IFERROR(IF(INDEX(SPOT_Import!$A$1:$Z$2488,2033,'Live Data'!$C$17)="","",INDEX(SPOT_Import!$A$1:$Z$2488,2033,'Live Data'!$C$17)),"")</f>
        <v/>
      </c>
      <c r="G2033" s="54" t="str">
        <f>IFERROR(IF(INDEX(SPOT_Import!$A$1:$Z$2488,2033,'Live Data'!$C$18)="","",INDEX(SPOT_Import!$A$1:$Z$2488,2033,'Live Data'!$C$18)),"")</f>
        <v/>
      </c>
      <c r="H2033" s="54" t="str">
        <f>IFERROR(IF(INDEX(SPOT_Import!$A$1:$Z$2488,2033,'Live Data'!$C$19)="","",INDEX(SPOT_Import!$A$1:$Z$2488,2033,'Live Data'!$C$19)),"")</f>
        <v/>
      </c>
      <c r="I2033" s="54" t="str">
        <f>IFERROR(IF(INDEX(SPOT_Import!$A$1:$Z$2488,2033,'Live Data'!$C$20)="","",INDEX(SPOT_Import!$A$1:$Z$2488,2033,'Live Data'!$C$20)),"")</f>
        <v/>
      </c>
      <c r="J2033" s="54" t="str">
        <f>IFERROR(IF(INDEX(SPOT_Import!$A$1:$Z$2488,2033,'Live Data'!$C$21)="","",INDEX(SPOT_Import!$A$1:$Z$2488,2033,'Live Data'!$C$21)),"")</f>
        <v/>
      </c>
      <c r="K2033" s="54" t="str">
        <f>IFERROR(IF(INDEX(SPOT_Import!$A$1:$Z$2488,2033,'Live Data'!$C$22)="","",INDEX(SPOT_Import!$A$1:$Z$2488,2033,'Live Data'!$C$22)),"")</f>
        <v/>
      </c>
      <c r="L2033" s="55" t="str">
        <f t="shared" si="62"/>
        <v/>
      </c>
      <c r="M2033" s="55" t="str">
        <f t="shared" si="63"/>
        <v/>
      </c>
      <c r="N2033" s="55" t="str">
        <f>IF(A2033="","",IFERROR(INDEX('Cluster Map'!$A$4:$A$38,MATCH(M2033,'Cluster Map'!$B$4:$B$38,0)),"Unmapped"))</f>
        <v/>
      </c>
      <c r="O2033" s="55">
        <f>IF(A2033="",0,IF(COUNTIFS($A$2:A2033,A2033,$F$2:F2033,F2033,$L$2:L2033,L2033)=1,1,0))</f>
        <v>0</v>
      </c>
      <c r="P2033" s="55">
        <f>IF(A2033="",0,IF(AND(F2033="C&amp;T",COUNTIFS($A$2:A2033,A2033,$F$2:F2033,"C&amp;T")=1),1,0))</f>
        <v>0</v>
      </c>
    </row>
    <row r="2034" spans="1:16" x14ac:dyDescent="0.35">
      <c r="A2034" s="54" t="str">
        <f>IFERROR(IF(INDEX(SPOT_Import!$A$1:$Z$2488,2034,'Live Data'!$C$12)="","",INDEX(SPOT_Import!$A$1:$Z$2488,2034,'Live Data'!$C$12)),"")</f>
        <v/>
      </c>
      <c r="B2034" s="54" t="str">
        <f>IFERROR(IF(INDEX(SPOT_Import!$A$1:$Z$2488,2034,'Live Data'!$C$13)="","",INDEX(SPOT_Import!$A$1:$Z$2488,2034,'Live Data'!$C$13)),"")</f>
        <v/>
      </c>
      <c r="C2034" s="54" t="str">
        <f>IFERROR(IF(INDEX(SPOT_Import!$A$1:$Z$2488,2034,'Live Data'!$C$14)="","",INDEX(SPOT_Import!$A$1:$Z$2488,2034,'Live Data'!$C$14)),"")</f>
        <v/>
      </c>
      <c r="D2034" s="54" t="str">
        <f>IFERROR(IF(INDEX(SPOT_Import!$A$1:$Z$2488,2034,'Live Data'!$C$15)="","",INDEX(SPOT_Import!$A$1:$Z$2488,2034,'Live Data'!$C$15)),"")</f>
        <v/>
      </c>
      <c r="E2034" s="54" t="str">
        <f>IFERROR(IF(INDEX(SPOT_Import!$A$1:$Z$2488,2034,'Live Data'!$C$16)="","",INDEX(SPOT_Import!$A$1:$Z$2488,2034,'Live Data'!$C$16)),"")</f>
        <v/>
      </c>
      <c r="F2034" s="54" t="str">
        <f>IFERROR(IF(INDEX(SPOT_Import!$A$1:$Z$2488,2034,'Live Data'!$C$17)="","",INDEX(SPOT_Import!$A$1:$Z$2488,2034,'Live Data'!$C$17)),"")</f>
        <v/>
      </c>
      <c r="G2034" s="54" t="str">
        <f>IFERROR(IF(INDEX(SPOT_Import!$A$1:$Z$2488,2034,'Live Data'!$C$18)="","",INDEX(SPOT_Import!$A$1:$Z$2488,2034,'Live Data'!$C$18)),"")</f>
        <v/>
      </c>
      <c r="H2034" s="54" t="str">
        <f>IFERROR(IF(INDEX(SPOT_Import!$A$1:$Z$2488,2034,'Live Data'!$C$19)="","",INDEX(SPOT_Import!$A$1:$Z$2488,2034,'Live Data'!$C$19)),"")</f>
        <v/>
      </c>
      <c r="I2034" s="54" t="str">
        <f>IFERROR(IF(INDEX(SPOT_Import!$A$1:$Z$2488,2034,'Live Data'!$C$20)="","",INDEX(SPOT_Import!$A$1:$Z$2488,2034,'Live Data'!$C$20)),"")</f>
        <v/>
      </c>
      <c r="J2034" s="54" t="str">
        <f>IFERROR(IF(INDEX(SPOT_Import!$A$1:$Z$2488,2034,'Live Data'!$C$21)="","",INDEX(SPOT_Import!$A$1:$Z$2488,2034,'Live Data'!$C$21)),"")</f>
        <v/>
      </c>
      <c r="K2034" s="54" t="str">
        <f>IFERROR(IF(INDEX(SPOT_Import!$A$1:$Z$2488,2034,'Live Data'!$C$22)="","",INDEX(SPOT_Import!$A$1:$Z$2488,2034,'Live Data'!$C$22)),"")</f>
        <v/>
      </c>
      <c r="L2034" s="55" t="str">
        <f t="shared" si="62"/>
        <v/>
      </c>
      <c r="M2034" s="55" t="str">
        <f t="shared" si="63"/>
        <v/>
      </c>
      <c r="N2034" s="55" t="str">
        <f>IF(A2034="","",IFERROR(INDEX('Cluster Map'!$A$4:$A$38,MATCH(M2034,'Cluster Map'!$B$4:$B$38,0)),"Unmapped"))</f>
        <v/>
      </c>
      <c r="O2034" s="55">
        <f>IF(A2034="",0,IF(COUNTIFS($A$2:A2034,A2034,$F$2:F2034,F2034,$L$2:L2034,L2034)=1,1,0))</f>
        <v>0</v>
      </c>
      <c r="P2034" s="55">
        <f>IF(A2034="",0,IF(AND(F2034="C&amp;T",COUNTIFS($A$2:A2034,A2034,$F$2:F2034,"C&amp;T")=1),1,0))</f>
        <v>0</v>
      </c>
    </row>
    <row r="2035" spans="1:16" x14ac:dyDescent="0.35">
      <c r="A2035" s="54" t="str">
        <f>IFERROR(IF(INDEX(SPOT_Import!$A$1:$Z$2488,2035,'Live Data'!$C$12)="","",INDEX(SPOT_Import!$A$1:$Z$2488,2035,'Live Data'!$C$12)),"")</f>
        <v/>
      </c>
      <c r="B2035" s="54" t="str">
        <f>IFERROR(IF(INDEX(SPOT_Import!$A$1:$Z$2488,2035,'Live Data'!$C$13)="","",INDEX(SPOT_Import!$A$1:$Z$2488,2035,'Live Data'!$C$13)),"")</f>
        <v/>
      </c>
      <c r="C2035" s="54" t="str">
        <f>IFERROR(IF(INDEX(SPOT_Import!$A$1:$Z$2488,2035,'Live Data'!$C$14)="","",INDEX(SPOT_Import!$A$1:$Z$2488,2035,'Live Data'!$C$14)),"")</f>
        <v/>
      </c>
      <c r="D2035" s="54" t="str">
        <f>IFERROR(IF(INDEX(SPOT_Import!$A$1:$Z$2488,2035,'Live Data'!$C$15)="","",INDEX(SPOT_Import!$A$1:$Z$2488,2035,'Live Data'!$C$15)),"")</f>
        <v/>
      </c>
      <c r="E2035" s="54" t="str">
        <f>IFERROR(IF(INDEX(SPOT_Import!$A$1:$Z$2488,2035,'Live Data'!$C$16)="","",INDEX(SPOT_Import!$A$1:$Z$2488,2035,'Live Data'!$C$16)),"")</f>
        <v/>
      </c>
      <c r="F2035" s="54" t="str">
        <f>IFERROR(IF(INDEX(SPOT_Import!$A$1:$Z$2488,2035,'Live Data'!$C$17)="","",INDEX(SPOT_Import!$A$1:$Z$2488,2035,'Live Data'!$C$17)),"")</f>
        <v/>
      </c>
      <c r="G2035" s="54" t="str">
        <f>IFERROR(IF(INDEX(SPOT_Import!$A$1:$Z$2488,2035,'Live Data'!$C$18)="","",INDEX(SPOT_Import!$A$1:$Z$2488,2035,'Live Data'!$C$18)),"")</f>
        <v/>
      </c>
      <c r="H2035" s="54" t="str">
        <f>IFERROR(IF(INDEX(SPOT_Import!$A$1:$Z$2488,2035,'Live Data'!$C$19)="","",INDEX(SPOT_Import!$A$1:$Z$2488,2035,'Live Data'!$C$19)),"")</f>
        <v/>
      </c>
      <c r="I2035" s="54" t="str">
        <f>IFERROR(IF(INDEX(SPOT_Import!$A$1:$Z$2488,2035,'Live Data'!$C$20)="","",INDEX(SPOT_Import!$A$1:$Z$2488,2035,'Live Data'!$C$20)),"")</f>
        <v/>
      </c>
      <c r="J2035" s="54" t="str">
        <f>IFERROR(IF(INDEX(SPOT_Import!$A$1:$Z$2488,2035,'Live Data'!$C$21)="","",INDEX(SPOT_Import!$A$1:$Z$2488,2035,'Live Data'!$C$21)),"")</f>
        <v/>
      </c>
      <c r="K2035" s="54" t="str">
        <f>IFERROR(IF(INDEX(SPOT_Import!$A$1:$Z$2488,2035,'Live Data'!$C$22)="","",INDEX(SPOT_Import!$A$1:$Z$2488,2035,'Live Data'!$C$22)),"")</f>
        <v/>
      </c>
      <c r="L2035" s="55" t="str">
        <f t="shared" si="62"/>
        <v/>
      </c>
      <c r="M2035" s="55" t="str">
        <f t="shared" si="63"/>
        <v/>
      </c>
      <c r="N2035" s="55" t="str">
        <f>IF(A2035="","",IFERROR(INDEX('Cluster Map'!$A$4:$A$38,MATCH(M2035,'Cluster Map'!$B$4:$B$38,0)),"Unmapped"))</f>
        <v/>
      </c>
      <c r="O2035" s="55">
        <f>IF(A2035="",0,IF(COUNTIFS($A$2:A2035,A2035,$F$2:F2035,F2035,$L$2:L2035,L2035)=1,1,0))</f>
        <v>0</v>
      </c>
      <c r="P2035" s="55">
        <f>IF(A2035="",0,IF(AND(F2035="C&amp;T",COUNTIFS($A$2:A2035,A2035,$F$2:F2035,"C&amp;T")=1),1,0))</f>
        <v>0</v>
      </c>
    </row>
    <row r="2036" spans="1:16" x14ac:dyDescent="0.35">
      <c r="A2036" s="54" t="str">
        <f>IFERROR(IF(INDEX(SPOT_Import!$A$1:$Z$2488,2036,'Live Data'!$C$12)="","",INDEX(SPOT_Import!$A$1:$Z$2488,2036,'Live Data'!$C$12)),"")</f>
        <v/>
      </c>
      <c r="B2036" s="54" t="str">
        <f>IFERROR(IF(INDEX(SPOT_Import!$A$1:$Z$2488,2036,'Live Data'!$C$13)="","",INDEX(SPOT_Import!$A$1:$Z$2488,2036,'Live Data'!$C$13)),"")</f>
        <v/>
      </c>
      <c r="C2036" s="54" t="str">
        <f>IFERROR(IF(INDEX(SPOT_Import!$A$1:$Z$2488,2036,'Live Data'!$C$14)="","",INDEX(SPOT_Import!$A$1:$Z$2488,2036,'Live Data'!$C$14)),"")</f>
        <v/>
      </c>
      <c r="D2036" s="54" t="str">
        <f>IFERROR(IF(INDEX(SPOT_Import!$A$1:$Z$2488,2036,'Live Data'!$C$15)="","",INDEX(SPOT_Import!$A$1:$Z$2488,2036,'Live Data'!$C$15)),"")</f>
        <v/>
      </c>
      <c r="E2036" s="54" t="str">
        <f>IFERROR(IF(INDEX(SPOT_Import!$A$1:$Z$2488,2036,'Live Data'!$C$16)="","",INDEX(SPOT_Import!$A$1:$Z$2488,2036,'Live Data'!$C$16)),"")</f>
        <v/>
      </c>
      <c r="F2036" s="54" t="str">
        <f>IFERROR(IF(INDEX(SPOT_Import!$A$1:$Z$2488,2036,'Live Data'!$C$17)="","",INDEX(SPOT_Import!$A$1:$Z$2488,2036,'Live Data'!$C$17)),"")</f>
        <v/>
      </c>
      <c r="G2036" s="54" t="str">
        <f>IFERROR(IF(INDEX(SPOT_Import!$A$1:$Z$2488,2036,'Live Data'!$C$18)="","",INDEX(SPOT_Import!$A$1:$Z$2488,2036,'Live Data'!$C$18)),"")</f>
        <v/>
      </c>
      <c r="H2036" s="54" t="str">
        <f>IFERROR(IF(INDEX(SPOT_Import!$A$1:$Z$2488,2036,'Live Data'!$C$19)="","",INDEX(SPOT_Import!$A$1:$Z$2488,2036,'Live Data'!$C$19)),"")</f>
        <v/>
      </c>
      <c r="I2036" s="54" t="str">
        <f>IFERROR(IF(INDEX(SPOT_Import!$A$1:$Z$2488,2036,'Live Data'!$C$20)="","",INDEX(SPOT_Import!$A$1:$Z$2488,2036,'Live Data'!$C$20)),"")</f>
        <v/>
      </c>
      <c r="J2036" s="54" t="str">
        <f>IFERROR(IF(INDEX(SPOT_Import!$A$1:$Z$2488,2036,'Live Data'!$C$21)="","",INDEX(SPOT_Import!$A$1:$Z$2488,2036,'Live Data'!$C$21)),"")</f>
        <v/>
      </c>
      <c r="K2036" s="54" t="str">
        <f>IFERROR(IF(INDEX(SPOT_Import!$A$1:$Z$2488,2036,'Live Data'!$C$22)="","",INDEX(SPOT_Import!$A$1:$Z$2488,2036,'Live Data'!$C$22)),"")</f>
        <v/>
      </c>
      <c r="L2036" s="55" t="str">
        <f t="shared" si="62"/>
        <v/>
      </c>
      <c r="M2036" s="55" t="str">
        <f t="shared" si="63"/>
        <v/>
      </c>
      <c r="N2036" s="55" t="str">
        <f>IF(A2036="","",IFERROR(INDEX('Cluster Map'!$A$4:$A$38,MATCH(M2036,'Cluster Map'!$B$4:$B$38,0)),"Unmapped"))</f>
        <v/>
      </c>
      <c r="O2036" s="55">
        <f>IF(A2036="",0,IF(COUNTIFS($A$2:A2036,A2036,$F$2:F2036,F2036,$L$2:L2036,L2036)=1,1,0))</f>
        <v>0</v>
      </c>
      <c r="P2036" s="55">
        <f>IF(A2036="",0,IF(AND(F2036="C&amp;T",COUNTIFS($A$2:A2036,A2036,$F$2:F2036,"C&amp;T")=1),1,0))</f>
        <v>0</v>
      </c>
    </row>
    <row r="2037" spans="1:16" x14ac:dyDescent="0.35">
      <c r="A2037" s="54" t="str">
        <f>IFERROR(IF(INDEX(SPOT_Import!$A$1:$Z$2488,2037,'Live Data'!$C$12)="","",INDEX(SPOT_Import!$A$1:$Z$2488,2037,'Live Data'!$C$12)),"")</f>
        <v/>
      </c>
      <c r="B2037" s="54" t="str">
        <f>IFERROR(IF(INDEX(SPOT_Import!$A$1:$Z$2488,2037,'Live Data'!$C$13)="","",INDEX(SPOT_Import!$A$1:$Z$2488,2037,'Live Data'!$C$13)),"")</f>
        <v/>
      </c>
      <c r="C2037" s="54" t="str">
        <f>IFERROR(IF(INDEX(SPOT_Import!$A$1:$Z$2488,2037,'Live Data'!$C$14)="","",INDEX(SPOT_Import!$A$1:$Z$2488,2037,'Live Data'!$C$14)),"")</f>
        <v/>
      </c>
      <c r="D2037" s="54" t="str">
        <f>IFERROR(IF(INDEX(SPOT_Import!$A$1:$Z$2488,2037,'Live Data'!$C$15)="","",INDEX(SPOT_Import!$A$1:$Z$2488,2037,'Live Data'!$C$15)),"")</f>
        <v/>
      </c>
      <c r="E2037" s="54" t="str">
        <f>IFERROR(IF(INDEX(SPOT_Import!$A$1:$Z$2488,2037,'Live Data'!$C$16)="","",INDEX(SPOT_Import!$A$1:$Z$2488,2037,'Live Data'!$C$16)),"")</f>
        <v/>
      </c>
      <c r="F2037" s="54" t="str">
        <f>IFERROR(IF(INDEX(SPOT_Import!$A$1:$Z$2488,2037,'Live Data'!$C$17)="","",INDEX(SPOT_Import!$A$1:$Z$2488,2037,'Live Data'!$C$17)),"")</f>
        <v/>
      </c>
      <c r="G2037" s="54" t="str">
        <f>IFERROR(IF(INDEX(SPOT_Import!$A$1:$Z$2488,2037,'Live Data'!$C$18)="","",INDEX(SPOT_Import!$A$1:$Z$2488,2037,'Live Data'!$C$18)),"")</f>
        <v/>
      </c>
      <c r="H2037" s="54" t="str">
        <f>IFERROR(IF(INDEX(SPOT_Import!$A$1:$Z$2488,2037,'Live Data'!$C$19)="","",INDEX(SPOT_Import!$A$1:$Z$2488,2037,'Live Data'!$C$19)),"")</f>
        <v/>
      </c>
      <c r="I2037" s="54" t="str">
        <f>IFERROR(IF(INDEX(SPOT_Import!$A$1:$Z$2488,2037,'Live Data'!$C$20)="","",INDEX(SPOT_Import!$A$1:$Z$2488,2037,'Live Data'!$C$20)),"")</f>
        <v/>
      </c>
      <c r="J2037" s="54" t="str">
        <f>IFERROR(IF(INDEX(SPOT_Import!$A$1:$Z$2488,2037,'Live Data'!$C$21)="","",INDEX(SPOT_Import!$A$1:$Z$2488,2037,'Live Data'!$C$21)),"")</f>
        <v/>
      </c>
      <c r="K2037" s="54" t="str">
        <f>IFERROR(IF(INDEX(SPOT_Import!$A$1:$Z$2488,2037,'Live Data'!$C$22)="","",INDEX(SPOT_Import!$A$1:$Z$2488,2037,'Live Data'!$C$22)),"")</f>
        <v/>
      </c>
      <c r="L2037" s="55" t="str">
        <f t="shared" si="62"/>
        <v/>
      </c>
      <c r="M2037" s="55" t="str">
        <f t="shared" si="63"/>
        <v/>
      </c>
      <c r="N2037" s="55" t="str">
        <f>IF(A2037="","",IFERROR(INDEX('Cluster Map'!$A$4:$A$38,MATCH(M2037,'Cluster Map'!$B$4:$B$38,0)),"Unmapped"))</f>
        <v/>
      </c>
      <c r="O2037" s="55">
        <f>IF(A2037="",0,IF(COUNTIFS($A$2:A2037,A2037,$F$2:F2037,F2037,$L$2:L2037,L2037)=1,1,0))</f>
        <v>0</v>
      </c>
      <c r="P2037" s="55">
        <f>IF(A2037="",0,IF(AND(F2037="C&amp;T",COUNTIFS($A$2:A2037,A2037,$F$2:F2037,"C&amp;T")=1),1,0))</f>
        <v>0</v>
      </c>
    </row>
    <row r="2038" spans="1:16" x14ac:dyDescent="0.35">
      <c r="A2038" s="54" t="str">
        <f>IFERROR(IF(INDEX(SPOT_Import!$A$1:$Z$2488,2038,'Live Data'!$C$12)="","",INDEX(SPOT_Import!$A$1:$Z$2488,2038,'Live Data'!$C$12)),"")</f>
        <v/>
      </c>
      <c r="B2038" s="54" t="str">
        <f>IFERROR(IF(INDEX(SPOT_Import!$A$1:$Z$2488,2038,'Live Data'!$C$13)="","",INDEX(SPOT_Import!$A$1:$Z$2488,2038,'Live Data'!$C$13)),"")</f>
        <v/>
      </c>
      <c r="C2038" s="54" t="str">
        <f>IFERROR(IF(INDEX(SPOT_Import!$A$1:$Z$2488,2038,'Live Data'!$C$14)="","",INDEX(SPOT_Import!$A$1:$Z$2488,2038,'Live Data'!$C$14)),"")</f>
        <v/>
      </c>
      <c r="D2038" s="54" t="str">
        <f>IFERROR(IF(INDEX(SPOT_Import!$A$1:$Z$2488,2038,'Live Data'!$C$15)="","",INDEX(SPOT_Import!$A$1:$Z$2488,2038,'Live Data'!$C$15)),"")</f>
        <v/>
      </c>
      <c r="E2038" s="54" t="str">
        <f>IFERROR(IF(INDEX(SPOT_Import!$A$1:$Z$2488,2038,'Live Data'!$C$16)="","",INDEX(SPOT_Import!$A$1:$Z$2488,2038,'Live Data'!$C$16)),"")</f>
        <v/>
      </c>
      <c r="F2038" s="54" t="str">
        <f>IFERROR(IF(INDEX(SPOT_Import!$A$1:$Z$2488,2038,'Live Data'!$C$17)="","",INDEX(SPOT_Import!$A$1:$Z$2488,2038,'Live Data'!$C$17)),"")</f>
        <v/>
      </c>
      <c r="G2038" s="54" t="str">
        <f>IFERROR(IF(INDEX(SPOT_Import!$A$1:$Z$2488,2038,'Live Data'!$C$18)="","",INDEX(SPOT_Import!$A$1:$Z$2488,2038,'Live Data'!$C$18)),"")</f>
        <v/>
      </c>
      <c r="H2038" s="54" t="str">
        <f>IFERROR(IF(INDEX(SPOT_Import!$A$1:$Z$2488,2038,'Live Data'!$C$19)="","",INDEX(SPOT_Import!$A$1:$Z$2488,2038,'Live Data'!$C$19)),"")</f>
        <v/>
      </c>
      <c r="I2038" s="54" t="str">
        <f>IFERROR(IF(INDEX(SPOT_Import!$A$1:$Z$2488,2038,'Live Data'!$C$20)="","",INDEX(SPOT_Import!$A$1:$Z$2488,2038,'Live Data'!$C$20)),"")</f>
        <v/>
      </c>
      <c r="J2038" s="54" t="str">
        <f>IFERROR(IF(INDEX(SPOT_Import!$A$1:$Z$2488,2038,'Live Data'!$C$21)="","",INDEX(SPOT_Import!$A$1:$Z$2488,2038,'Live Data'!$C$21)),"")</f>
        <v/>
      </c>
      <c r="K2038" s="54" t="str">
        <f>IFERROR(IF(INDEX(SPOT_Import!$A$1:$Z$2488,2038,'Live Data'!$C$22)="","",INDEX(SPOT_Import!$A$1:$Z$2488,2038,'Live Data'!$C$22)),"")</f>
        <v/>
      </c>
      <c r="L2038" s="55" t="str">
        <f t="shared" si="62"/>
        <v/>
      </c>
      <c r="M2038" s="55" t="str">
        <f t="shared" si="63"/>
        <v/>
      </c>
      <c r="N2038" s="55" t="str">
        <f>IF(A2038="","",IFERROR(INDEX('Cluster Map'!$A$4:$A$38,MATCH(M2038,'Cluster Map'!$B$4:$B$38,0)),"Unmapped"))</f>
        <v/>
      </c>
      <c r="O2038" s="55">
        <f>IF(A2038="",0,IF(COUNTIFS($A$2:A2038,A2038,$F$2:F2038,F2038,$L$2:L2038,L2038)=1,1,0))</f>
        <v>0</v>
      </c>
      <c r="P2038" s="55">
        <f>IF(A2038="",0,IF(AND(F2038="C&amp;T",COUNTIFS($A$2:A2038,A2038,$F$2:F2038,"C&amp;T")=1),1,0))</f>
        <v>0</v>
      </c>
    </row>
    <row r="2039" spans="1:16" x14ac:dyDescent="0.35">
      <c r="A2039" s="54" t="str">
        <f>IFERROR(IF(INDEX(SPOT_Import!$A$1:$Z$2488,2039,'Live Data'!$C$12)="","",INDEX(SPOT_Import!$A$1:$Z$2488,2039,'Live Data'!$C$12)),"")</f>
        <v/>
      </c>
      <c r="B2039" s="54" t="str">
        <f>IFERROR(IF(INDEX(SPOT_Import!$A$1:$Z$2488,2039,'Live Data'!$C$13)="","",INDEX(SPOT_Import!$A$1:$Z$2488,2039,'Live Data'!$C$13)),"")</f>
        <v/>
      </c>
      <c r="C2039" s="54" t="str">
        <f>IFERROR(IF(INDEX(SPOT_Import!$A$1:$Z$2488,2039,'Live Data'!$C$14)="","",INDEX(SPOT_Import!$A$1:$Z$2488,2039,'Live Data'!$C$14)),"")</f>
        <v/>
      </c>
      <c r="D2039" s="54" t="str">
        <f>IFERROR(IF(INDEX(SPOT_Import!$A$1:$Z$2488,2039,'Live Data'!$C$15)="","",INDEX(SPOT_Import!$A$1:$Z$2488,2039,'Live Data'!$C$15)),"")</f>
        <v/>
      </c>
      <c r="E2039" s="54" t="str">
        <f>IFERROR(IF(INDEX(SPOT_Import!$A$1:$Z$2488,2039,'Live Data'!$C$16)="","",INDEX(SPOT_Import!$A$1:$Z$2488,2039,'Live Data'!$C$16)),"")</f>
        <v/>
      </c>
      <c r="F2039" s="54" t="str">
        <f>IFERROR(IF(INDEX(SPOT_Import!$A$1:$Z$2488,2039,'Live Data'!$C$17)="","",INDEX(SPOT_Import!$A$1:$Z$2488,2039,'Live Data'!$C$17)),"")</f>
        <v/>
      </c>
      <c r="G2039" s="54" t="str">
        <f>IFERROR(IF(INDEX(SPOT_Import!$A$1:$Z$2488,2039,'Live Data'!$C$18)="","",INDEX(SPOT_Import!$A$1:$Z$2488,2039,'Live Data'!$C$18)),"")</f>
        <v/>
      </c>
      <c r="H2039" s="54" t="str">
        <f>IFERROR(IF(INDEX(SPOT_Import!$A$1:$Z$2488,2039,'Live Data'!$C$19)="","",INDEX(SPOT_Import!$A$1:$Z$2488,2039,'Live Data'!$C$19)),"")</f>
        <v/>
      </c>
      <c r="I2039" s="54" t="str">
        <f>IFERROR(IF(INDEX(SPOT_Import!$A$1:$Z$2488,2039,'Live Data'!$C$20)="","",INDEX(SPOT_Import!$A$1:$Z$2488,2039,'Live Data'!$C$20)),"")</f>
        <v/>
      </c>
      <c r="J2039" s="54" t="str">
        <f>IFERROR(IF(INDEX(SPOT_Import!$A$1:$Z$2488,2039,'Live Data'!$C$21)="","",INDEX(SPOT_Import!$A$1:$Z$2488,2039,'Live Data'!$C$21)),"")</f>
        <v/>
      </c>
      <c r="K2039" s="54" t="str">
        <f>IFERROR(IF(INDEX(SPOT_Import!$A$1:$Z$2488,2039,'Live Data'!$C$22)="","",INDEX(SPOT_Import!$A$1:$Z$2488,2039,'Live Data'!$C$22)),"")</f>
        <v/>
      </c>
      <c r="L2039" s="55" t="str">
        <f t="shared" si="62"/>
        <v/>
      </c>
      <c r="M2039" s="55" t="str">
        <f t="shared" si="63"/>
        <v/>
      </c>
      <c r="N2039" s="55" t="str">
        <f>IF(A2039="","",IFERROR(INDEX('Cluster Map'!$A$4:$A$38,MATCH(M2039,'Cluster Map'!$B$4:$B$38,0)),"Unmapped"))</f>
        <v/>
      </c>
      <c r="O2039" s="55">
        <f>IF(A2039="",0,IF(COUNTIFS($A$2:A2039,A2039,$F$2:F2039,F2039,$L$2:L2039,L2039)=1,1,0))</f>
        <v>0</v>
      </c>
      <c r="P2039" s="55">
        <f>IF(A2039="",0,IF(AND(F2039="C&amp;T",COUNTIFS($A$2:A2039,A2039,$F$2:F2039,"C&amp;T")=1),1,0))</f>
        <v>0</v>
      </c>
    </row>
    <row r="2040" spans="1:16" x14ac:dyDescent="0.35">
      <c r="A2040" s="54" t="str">
        <f>IFERROR(IF(INDEX(SPOT_Import!$A$1:$Z$2488,2040,'Live Data'!$C$12)="","",INDEX(SPOT_Import!$A$1:$Z$2488,2040,'Live Data'!$C$12)),"")</f>
        <v/>
      </c>
      <c r="B2040" s="54" t="str">
        <f>IFERROR(IF(INDEX(SPOT_Import!$A$1:$Z$2488,2040,'Live Data'!$C$13)="","",INDEX(SPOT_Import!$A$1:$Z$2488,2040,'Live Data'!$C$13)),"")</f>
        <v/>
      </c>
      <c r="C2040" s="54" t="str">
        <f>IFERROR(IF(INDEX(SPOT_Import!$A$1:$Z$2488,2040,'Live Data'!$C$14)="","",INDEX(SPOT_Import!$A$1:$Z$2488,2040,'Live Data'!$C$14)),"")</f>
        <v/>
      </c>
      <c r="D2040" s="54" t="str">
        <f>IFERROR(IF(INDEX(SPOT_Import!$A$1:$Z$2488,2040,'Live Data'!$C$15)="","",INDEX(SPOT_Import!$A$1:$Z$2488,2040,'Live Data'!$C$15)),"")</f>
        <v/>
      </c>
      <c r="E2040" s="54" t="str">
        <f>IFERROR(IF(INDEX(SPOT_Import!$A$1:$Z$2488,2040,'Live Data'!$C$16)="","",INDEX(SPOT_Import!$A$1:$Z$2488,2040,'Live Data'!$C$16)),"")</f>
        <v/>
      </c>
      <c r="F2040" s="54" t="str">
        <f>IFERROR(IF(INDEX(SPOT_Import!$A$1:$Z$2488,2040,'Live Data'!$C$17)="","",INDEX(SPOT_Import!$A$1:$Z$2488,2040,'Live Data'!$C$17)),"")</f>
        <v/>
      </c>
      <c r="G2040" s="54" t="str">
        <f>IFERROR(IF(INDEX(SPOT_Import!$A$1:$Z$2488,2040,'Live Data'!$C$18)="","",INDEX(SPOT_Import!$A$1:$Z$2488,2040,'Live Data'!$C$18)),"")</f>
        <v/>
      </c>
      <c r="H2040" s="54" t="str">
        <f>IFERROR(IF(INDEX(SPOT_Import!$A$1:$Z$2488,2040,'Live Data'!$C$19)="","",INDEX(SPOT_Import!$A$1:$Z$2488,2040,'Live Data'!$C$19)),"")</f>
        <v/>
      </c>
      <c r="I2040" s="54" t="str">
        <f>IFERROR(IF(INDEX(SPOT_Import!$A$1:$Z$2488,2040,'Live Data'!$C$20)="","",INDEX(SPOT_Import!$A$1:$Z$2488,2040,'Live Data'!$C$20)),"")</f>
        <v/>
      </c>
      <c r="J2040" s="54" t="str">
        <f>IFERROR(IF(INDEX(SPOT_Import!$A$1:$Z$2488,2040,'Live Data'!$C$21)="","",INDEX(SPOT_Import!$A$1:$Z$2488,2040,'Live Data'!$C$21)),"")</f>
        <v/>
      </c>
      <c r="K2040" s="54" t="str">
        <f>IFERROR(IF(INDEX(SPOT_Import!$A$1:$Z$2488,2040,'Live Data'!$C$22)="","",INDEX(SPOT_Import!$A$1:$Z$2488,2040,'Live Data'!$C$22)),"")</f>
        <v/>
      </c>
      <c r="L2040" s="55" t="str">
        <f t="shared" si="62"/>
        <v/>
      </c>
      <c r="M2040" s="55" t="str">
        <f t="shared" si="63"/>
        <v/>
      </c>
      <c r="N2040" s="55" t="str">
        <f>IF(A2040="","",IFERROR(INDEX('Cluster Map'!$A$4:$A$38,MATCH(M2040,'Cluster Map'!$B$4:$B$38,0)),"Unmapped"))</f>
        <v/>
      </c>
      <c r="O2040" s="55">
        <f>IF(A2040="",0,IF(COUNTIFS($A$2:A2040,A2040,$F$2:F2040,F2040,$L$2:L2040,L2040)=1,1,0))</f>
        <v>0</v>
      </c>
      <c r="P2040" s="55">
        <f>IF(A2040="",0,IF(AND(F2040="C&amp;T",COUNTIFS($A$2:A2040,A2040,$F$2:F2040,"C&amp;T")=1),1,0))</f>
        <v>0</v>
      </c>
    </row>
    <row r="2041" spans="1:16" x14ac:dyDescent="0.35">
      <c r="A2041" s="54" t="str">
        <f>IFERROR(IF(INDEX(SPOT_Import!$A$1:$Z$2488,2041,'Live Data'!$C$12)="","",INDEX(SPOT_Import!$A$1:$Z$2488,2041,'Live Data'!$C$12)),"")</f>
        <v/>
      </c>
      <c r="B2041" s="54" t="str">
        <f>IFERROR(IF(INDEX(SPOT_Import!$A$1:$Z$2488,2041,'Live Data'!$C$13)="","",INDEX(SPOT_Import!$A$1:$Z$2488,2041,'Live Data'!$C$13)),"")</f>
        <v/>
      </c>
      <c r="C2041" s="54" t="str">
        <f>IFERROR(IF(INDEX(SPOT_Import!$A$1:$Z$2488,2041,'Live Data'!$C$14)="","",INDEX(SPOT_Import!$A$1:$Z$2488,2041,'Live Data'!$C$14)),"")</f>
        <v/>
      </c>
      <c r="D2041" s="54" t="str">
        <f>IFERROR(IF(INDEX(SPOT_Import!$A$1:$Z$2488,2041,'Live Data'!$C$15)="","",INDEX(SPOT_Import!$A$1:$Z$2488,2041,'Live Data'!$C$15)),"")</f>
        <v/>
      </c>
      <c r="E2041" s="54" t="str">
        <f>IFERROR(IF(INDEX(SPOT_Import!$A$1:$Z$2488,2041,'Live Data'!$C$16)="","",INDEX(SPOT_Import!$A$1:$Z$2488,2041,'Live Data'!$C$16)),"")</f>
        <v/>
      </c>
      <c r="F2041" s="54" t="str">
        <f>IFERROR(IF(INDEX(SPOT_Import!$A$1:$Z$2488,2041,'Live Data'!$C$17)="","",INDEX(SPOT_Import!$A$1:$Z$2488,2041,'Live Data'!$C$17)),"")</f>
        <v/>
      </c>
      <c r="G2041" s="54" t="str">
        <f>IFERROR(IF(INDEX(SPOT_Import!$A$1:$Z$2488,2041,'Live Data'!$C$18)="","",INDEX(SPOT_Import!$A$1:$Z$2488,2041,'Live Data'!$C$18)),"")</f>
        <v/>
      </c>
      <c r="H2041" s="54" t="str">
        <f>IFERROR(IF(INDEX(SPOT_Import!$A$1:$Z$2488,2041,'Live Data'!$C$19)="","",INDEX(SPOT_Import!$A$1:$Z$2488,2041,'Live Data'!$C$19)),"")</f>
        <v/>
      </c>
      <c r="I2041" s="54" t="str">
        <f>IFERROR(IF(INDEX(SPOT_Import!$A$1:$Z$2488,2041,'Live Data'!$C$20)="","",INDEX(SPOT_Import!$A$1:$Z$2488,2041,'Live Data'!$C$20)),"")</f>
        <v/>
      </c>
      <c r="J2041" s="54" t="str">
        <f>IFERROR(IF(INDEX(SPOT_Import!$A$1:$Z$2488,2041,'Live Data'!$C$21)="","",INDEX(SPOT_Import!$A$1:$Z$2488,2041,'Live Data'!$C$21)),"")</f>
        <v/>
      </c>
      <c r="K2041" s="54" t="str">
        <f>IFERROR(IF(INDEX(SPOT_Import!$A$1:$Z$2488,2041,'Live Data'!$C$22)="","",INDEX(SPOT_Import!$A$1:$Z$2488,2041,'Live Data'!$C$22)),"")</f>
        <v/>
      </c>
      <c r="L2041" s="55" t="str">
        <f t="shared" si="62"/>
        <v/>
      </c>
      <c r="M2041" s="55" t="str">
        <f t="shared" si="63"/>
        <v/>
      </c>
      <c r="N2041" s="55" t="str">
        <f>IF(A2041="","",IFERROR(INDEX('Cluster Map'!$A$4:$A$38,MATCH(M2041,'Cluster Map'!$B$4:$B$38,0)),"Unmapped"))</f>
        <v/>
      </c>
      <c r="O2041" s="55">
        <f>IF(A2041="",0,IF(COUNTIFS($A$2:A2041,A2041,$F$2:F2041,F2041,$L$2:L2041,L2041)=1,1,0))</f>
        <v>0</v>
      </c>
      <c r="P2041" s="55">
        <f>IF(A2041="",0,IF(AND(F2041="C&amp;T",COUNTIFS($A$2:A2041,A2041,$F$2:F2041,"C&amp;T")=1),1,0))</f>
        <v>0</v>
      </c>
    </row>
    <row r="2042" spans="1:16" x14ac:dyDescent="0.35">
      <c r="A2042" s="54" t="str">
        <f>IFERROR(IF(INDEX(SPOT_Import!$A$1:$Z$2488,2042,'Live Data'!$C$12)="","",INDEX(SPOT_Import!$A$1:$Z$2488,2042,'Live Data'!$C$12)),"")</f>
        <v/>
      </c>
      <c r="B2042" s="54" t="str">
        <f>IFERROR(IF(INDEX(SPOT_Import!$A$1:$Z$2488,2042,'Live Data'!$C$13)="","",INDEX(SPOT_Import!$A$1:$Z$2488,2042,'Live Data'!$C$13)),"")</f>
        <v/>
      </c>
      <c r="C2042" s="54" t="str">
        <f>IFERROR(IF(INDEX(SPOT_Import!$A$1:$Z$2488,2042,'Live Data'!$C$14)="","",INDEX(SPOT_Import!$A$1:$Z$2488,2042,'Live Data'!$C$14)),"")</f>
        <v/>
      </c>
      <c r="D2042" s="54" t="str">
        <f>IFERROR(IF(INDEX(SPOT_Import!$A$1:$Z$2488,2042,'Live Data'!$C$15)="","",INDEX(SPOT_Import!$A$1:$Z$2488,2042,'Live Data'!$C$15)),"")</f>
        <v/>
      </c>
      <c r="E2042" s="54" t="str">
        <f>IFERROR(IF(INDEX(SPOT_Import!$A$1:$Z$2488,2042,'Live Data'!$C$16)="","",INDEX(SPOT_Import!$A$1:$Z$2488,2042,'Live Data'!$C$16)),"")</f>
        <v/>
      </c>
      <c r="F2042" s="54" t="str">
        <f>IFERROR(IF(INDEX(SPOT_Import!$A$1:$Z$2488,2042,'Live Data'!$C$17)="","",INDEX(SPOT_Import!$A$1:$Z$2488,2042,'Live Data'!$C$17)),"")</f>
        <v/>
      </c>
      <c r="G2042" s="54" t="str">
        <f>IFERROR(IF(INDEX(SPOT_Import!$A$1:$Z$2488,2042,'Live Data'!$C$18)="","",INDEX(SPOT_Import!$A$1:$Z$2488,2042,'Live Data'!$C$18)),"")</f>
        <v/>
      </c>
      <c r="H2042" s="54" t="str">
        <f>IFERROR(IF(INDEX(SPOT_Import!$A$1:$Z$2488,2042,'Live Data'!$C$19)="","",INDEX(SPOT_Import!$A$1:$Z$2488,2042,'Live Data'!$C$19)),"")</f>
        <v/>
      </c>
      <c r="I2042" s="54" t="str">
        <f>IFERROR(IF(INDEX(SPOT_Import!$A$1:$Z$2488,2042,'Live Data'!$C$20)="","",INDEX(SPOT_Import!$A$1:$Z$2488,2042,'Live Data'!$C$20)),"")</f>
        <v/>
      </c>
      <c r="J2042" s="54" t="str">
        <f>IFERROR(IF(INDEX(SPOT_Import!$A$1:$Z$2488,2042,'Live Data'!$C$21)="","",INDEX(SPOT_Import!$A$1:$Z$2488,2042,'Live Data'!$C$21)),"")</f>
        <v/>
      </c>
      <c r="K2042" s="54" t="str">
        <f>IFERROR(IF(INDEX(SPOT_Import!$A$1:$Z$2488,2042,'Live Data'!$C$22)="","",INDEX(SPOT_Import!$A$1:$Z$2488,2042,'Live Data'!$C$22)),"")</f>
        <v/>
      </c>
      <c r="L2042" s="55" t="str">
        <f t="shared" si="62"/>
        <v/>
      </c>
      <c r="M2042" s="55" t="str">
        <f t="shared" si="63"/>
        <v/>
      </c>
      <c r="N2042" s="55" t="str">
        <f>IF(A2042="","",IFERROR(INDEX('Cluster Map'!$A$4:$A$38,MATCH(M2042,'Cluster Map'!$B$4:$B$38,0)),"Unmapped"))</f>
        <v/>
      </c>
      <c r="O2042" s="55">
        <f>IF(A2042="",0,IF(COUNTIFS($A$2:A2042,A2042,$F$2:F2042,F2042,$L$2:L2042,L2042)=1,1,0))</f>
        <v>0</v>
      </c>
      <c r="P2042" s="55">
        <f>IF(A2042="",0,IF(AND(F2042="C&amp;T",COUNTIFS($A$2:A2042,A2042,$F$2:F2042,"C&amp;T")=1),1,0))</f>
        <v>0</v>
      </c>
    </row>
    <row r="2043" spans="1:16" x14ac:dyDescent="0.35">
      <c r="A2043" s="54" t="str">
        <f>IFERROR(IF(INDEX(SPOT_Import!$A$1:$Z$2488,2043,'Live Data'!$C$12)="","",INDEX(SPOT_Import!$A$1:$Z$2488,2043,'Live Data'!$C$12)),"")</f>
        <v/>
      </c>
      <c r="B2043" s="54" t="str">
        <f>IFERROR(IF(INDEX(SPOT_Import!$A$1:$Z$2488,2043,'Live Data'!$C$13)="","",INDEX(SPOT_Import!$A$1:$Z$2488,2043,'Live Data'!$C$13)),"")</f>
        <v/>
      </c>
      <c r="C2043" s="54" t="str">
        <f>IFERROR(IF(INDEX(SPOT_Import!$A$1:$Z$2488,2043,'Live Data'!$C$14)="","",INDEX(SPOT_Import!$A$1:$Z$2488,2043,'Live Data'!$C$14)),"")</f>
        <v/>
      </c>
      <c r="D2043" s="54" t="str">
        <f>IFERROR(IF(INDEX(SPOT_Import!$A$1:$Z$2488,2043,'Live Data'!$C$15)="","",INDEX(SPOT_Import!$A$1:$Z$2488,2043,'Live Data'!$C$15)),"")</f>
        <v/>
      </c>
      <c r="E2043" s="54" t="str">
        <f>IFERROR(IF(INDEX(SPOT_Import!$A$1:$Z$2488,2043,'Live Data'!$C$16)="","",INDEX(SPOT_Import!$A$1:$Z$2488,2043,'Live Data'!$C$16)),"")</f>
        <v/>
      </c>
      <c r="F2043" s="54" t="str">
        <f>IFERROR(IF(INDEX(SPOT_Import!$A$1:$Z$2488,2043,'Live Data'!$C$17)="","",INDEX(SPOT_Import!$A$1:$Z$2488,2043,'Live Data'!$C$17)),"")</f>
        <v/>
      </c>
      <c r="G2043" s="54" t="str">
        <f>IFERROR(IF(INDEX(SPOT_Import!$A$1:$Z$2488,2043,'Live Data'!$C$18)="","",INDEX(SPOT_Import!$A$1:$Z$2488,2043,'Live Data'!$C$18)),"")</f>
        <v/>
      </c>
      <c r="H2043" s="54" t="str">
        <f>IFERROR(IF(INDEX(SPOT_Import!$A$1:$Z$2488,2043,'Live Data'!$C$19)="","",INDEX(SPOT_Import!$A$1:$Z$2488,2043,'Live Data'!$C$19)),"")</f>
        <v/>
      </c>
      <c r="I2043" s="54" t="str">
        <f>IFERROR(IF(INDEX(SPOT_Import!$A$1:$Z$2488,2043,'Live Data'!$C$20)="","",INDEX(SPOT_Import!$A$1:$Z$2488,2043,'Live Data'!$C$20)),"")</f>
        <v/>
      </c>
      <c r="J2043" s="54" t="str">
        <f>IFERROR(IF(INDEX(SPOT_Import!$A$1:$Z$2488,2043,'Live Data'!$C$21)="","",INDEX(SPOT_Import!$A$1:$Z$2488,2043,'Live Data'!$C$21)),"")</f>
        <v/>
      </c>
      <c r="K2043" s="54" t="str">
        <f>IFERROR(IF(INDEX(SPOT_Import!$A$1:$Z$2488,2043,'Live Data'!$C$22)="","",INDEX(SPOT_Import!$A$1:$Z$2488,2043,'Live Data'!$C$22)),"")</f>
        <v/>
      </c>
      <c r="L2043" s="55" t="str">
        <f t="shared" si="62"/>
        <v/>
      </c>
      <c r="M2043" s="55" t="str">
        <f t="shared" si="63"/>
        <v/>
      </c>
      <c r="N2043" s="55" t="str">
        <f>IF(A2043="","",IFERROR(INDEX('Cluster Map'!$A$4:$A$38,MATCH(M2043,'Cluster Map'!$B$4:$B$38,0)),"Unmapped"))</f>
        <v/>
      </c>
      <c r="O2043" s="55">
        <f>IF(A2043="",0,IF(COUNTIFS($A$2:A2043,A2043,$F$2:F2043,F2043,$L$2:L2043,L2043)=1,1,0))</f>
        <v>0</v>
      </c>
      <c r="P2043" s="55">
        <f>IF(A2043="",0,IF(AND(F2043="C&amp;T",COUNTIFS($A$2:A2043,A2043,$F$2:F2043,"C&amp;T")=1),1,0))</f>
        <v>0</v>
      </c>
    </row>
    <row r="2044" spans="1:16" x14ac:dyDescent="0.35">
      <c r="A2044" s="54" t="str">
        <f>IFERROR(IF(INDEX(SPOT_Import!$A$1:$Z$2488,2044,'Live Data'!$C$12)="","",INDEX(SPOT_Import!$A$1:$Z$2488,2044,'Live Data'!$C$12)),"")</f>
        <v/>
      </c>
      <c r="B2044" s="54" t="str">
        <f>IFERROR(IF(INDEX(SPOT_Import!$A$1:$Z$2488,2044,'Live Data'!$C$13)="","",INDEX(SPOT_Import!$A$1:$Z$2488,2044,'Live Data'!$C$13)),"")</f>
        <v/>
      </c>
      <c r="C2044" s="54" t="str">
        <f>IFERROR(IF(INDEX(SPOT_Import!$A$1:$Z$2488,2044,'Live Data'!$C$14)="","",INDEX(SPOT_Import!$A$1:$Z$2488,2044,'Live Data'!$C$14)),"")</f>
        <v/>
      </c>
      <c r="D2044" s="54" t="str">
        <f>IFERROR(IF(INDEX(SPOT_Import!$A$1:$Z$2488,2044,'Live Data'!$C$15)="","",INDEX(SPOT_Import!$A$1:$Z$2488,2044,'Live Data'!$C$15)),"")</f>
        <v/>
      </c>
      <c r="E2044" s="54" t="str">
        <f>IFERROR(IF(INDEX(SPOT_Import!$A$1:$Z$2488,2044,'Live Data'!$C$16)="","",INDEX(SPOT_Import!$A$1:$Z$2488,2044,'Live Data'!$C$16)),"")</f>
        <v/>
      </c>
      <c r="F2044" s="54" t="str">
        <f>IFERROR(IF(INDEX(SPOT_Import!$A$1:$Z$2488,2044,'Live Data'!$C$17)="","",INDEX(SPOT_Import!$A$1:$Z$2488,2044,'Live Data'!$C$17)),"")</f>
        <v/>
      </c>
      <c r="G2044" s="54" t="str">
        <f>IFERROR(IF(INDEX(SPOT_Import!$A$1:$Z$2488,2044,'Live Data'!$C$18)="","",INDEX(SPOT_Import!$A$1:$Z$2488,2044,'Live Data'!$C$18)),"")</f>
        <v/>
      </c>
      <c r="H2044" s="54" t="str">
        <f>IFERROR(IF(INDEX(SPOT_Import!$A$1:$Z$2488,2044,'Live Data'!$C$19)="","",INDEX(SPOT_Import!$A$1:$Z$2488,2044,'Live Data'!$C$19)),"")</f>
        <v/>
      </c>
      <c r="I2044" s="54" t="str">
        <f>IFERROR(IF(INDEX(SPOT_Import!$A$1:$Z$2488,2044,'Live Data'!$C$20)="","",INDEX(SPOT_Import!$A$1:$Z$2488,2044,'Live Data'!$C$20)),"")</f>
        <v/>
      </c>
      <c r="J2044" s="54" t="str">
        <f>IFERROR(IF(INDEX(SPOT_Import!$A$1:$Z$2488,2044,'Live Data'!$C$21)="","",INDEX(SPOT_Import!$A$1:$Z$2488,2044,'Live Data'!$C$21)),"")</f>
        <v/>
      </c>
      <c r="K2044" s="54" t="str">
        <f>IFERROR(IF(INDEX(SPOT_Import!$A$1:$Z$2488,2044,'Live Data'!$C$22)="","",INDEX(SPOT_Import!$A$1:$Z$2488,2044,'Live Data'!$C$22)),"")</f>
        <v/>
      </c>
      <c r="L2044" s="55" t="str">
        <f t="shared" si="62"/>
        <v/>
      </c>
      <c r="M2044" s="55" t="str">
        <f t="shared" si="63"/>
        <v/>
      </c>
      <c r="N2044" s="55" t="str">
        <f>IF(A2044="","",IFERROR(INDEX('Cluster Map'!$A$4:$A$38,MATCH(M2044,'Cluster Map'!$B$4:$B$38,0)),"Unmapped"))</f>
        <v/>
      </c>
      <c r="O2044" s="55">
        <f>IF(A2044="",0,IF(COUNTIFS($A$2:A2044,A2044,$F$2:F2044,F2044,$L$2:L2044,L2044)=1,1,0))</f>
        <v>0</v>
      </c>
      <c r="P2044" s="55">
        <f>IF(A2044="",0,IF(AND(F2044="C&amp;T",COUNTIFS($A$2:A2044,A2044,$F$2:F2044,"C&amp;T")=1),1,0))</f>
        <v>0</v>
      </c>
    </row>
    <row r="2045" spans="1:16" x14ac:dyDescent="0.35">
      <c r="A2045" s="54" t="str">
        <f>IFERROR(IF(INDEX(SPOT_Import!$A$1:$Z$2488,2045,'Live Data'!$C$12)="","",INDEX(SPOT_Import!$A$1:$Z$2488,2045,'Live Data'!$C$12)),"")</f>
        <v/>
      </c>
      <c r="B2045" s="54" t="str">
        <f>IFERROR(IF(INDEX(SPOT_Import!$A$1:$Z$2488,2045,'Live Data'!$C$13)="","",INDEX(SPOT_Import!$A$1:$Z$2488,2045,'Live Data'!$C$13)),"")</f>
        <v/>
      </c>
      <c r="C2045" s="54" t="str">
        <f>IFERROR(IF(INDEX(SPOT_Import!$A$1:$Z$2488,2045,'Live Data'!$C$14)="","",INDEX(SPOT_Import!$A$1:$Z$2488,2045,'Live Data'!$C$14)),"")</f>
        <v/>
      </c>
      <c r="D2045" s="54" t="str">
        <f>IFERROR(IF(INDEX(SPOT_Import!$A$1:$Z$2488,2045,'Live Data'!$C$15)="","",INDEX(SPOT_Import!$A$1:$Z$2488,2045,'Live Data'!$C$15)),"")</f>
        <v/>
      </c>
      <c r="E2045" s="54" t="str">
        <f>IFERROR(IF(INDEX(SPOT_Import!$A$1:$Z$2488,2045,'Live Data'!$C$16)="","",INDEX(SPOT_Import!$A$1:$Z$2488,2045,'Live Data'!$C$16)),"")</f>
        <v/>
      </c>
      <c r="F2045" s="54" t="str">
        <f>IFERROR(IF(INDEX(SPOT_Import!$A$1:$Z$2488,2045,'Live Data'!$C$17)="","",INDEX(SPOT_Import!$A$1:$Z$2488,2045,'Live Data'!$C$17)),"")</f>
        <v/>
      </c>
      <c r="G2045" s="54" t="str">
        <f>IFERROR(IF(INDEX(SPOT_Import!$A$1:$Z$2488,2045,'Live Data'!$C$18)="","",INDEX(SPOT_Import!$A$1:$Z$2488,2045,'Live Data'!$C$18)),"")</f>
        <v/>
      </c>
      <c r="H2045" s="54" t="str">
        <f>IFERROR(IF(INDEX(SPOT_Import!$A$1:$Z$2488,2045,'Live Data'!$C$19)="","",INDEX(SPOT_Import!$A$1:$Z$2488,2045,'Live Data'!$C$19)),"")</f>
        <v/>
      </c>
      <c r="I2045" s="54" t="str">
        <f>IFERROR(IF(INDEX(SPOT_Import!$A$1:$Z$2488,2045,'Live Data'!$C$20)="","",INDEX(SPOT_Import!$A$1:$Z$2488,2045,'Live Data'!$C$20)),"")</f>
        <v/>
      </c>
      <c r="J2045" s="54" t="str">
        <f>IFERROR(IF(INDEX(SPOT_Import!$A$1:$Z$2488,2045,'Live Data'!$C$21)="","",INDEX(SPOT_Import!$A$1:$Z$2488,2045,'Live Data'!$C$21)),"")</f>
        <v/>
      </c>
      <c r="K2045" s="54" t="str">
        <f>IFERROR(IF(INDEX(SPOT_Import!$A$1:$Z$2488,2045,'Live Data'!$C$22)="","",INDEX(SPOT_Import!$A$1:$Z$2488,2045,'Live Data'!$C$22)),"")</f>
        <v/>
      </c>
      <c r="L2045" s="55" t="str">
        <f t="shared" si="62"/>
        <v/>
      </c>
      <c r="M2045" s="55" t="str">
        <f t="shared" si="63"/>
        <v/>
      </c>
      <c r="N2045" s="55" t="str">
        <f>IF(A2045="","",IFERROR(INDEX('Cluster Map'!$A$4:$A$38,MATCH(M2045,'Cluster Map'!$B$4:$B$38,0)),"Unmapped"))</f>
        <v/>
      </c>
      <c r="O2045" s="55">
        <f>IF(A2045="",0,IF(COUNTIFS($A$2:A2045,A2045,$F$2:F2045,F2045,$L$2:L2045,L2045)=1,1,0))</f>
        <v>0</v>
      </c>
      <c r="P2045" s="55">
        <f>IF(A2045="",0,IF(AND(F2045="C&amp;T",COUNTIFS($A$2:A2045,A2045,$F$2:F2045,"C&amp;T")=1),1,0))</f>
        <v>0</v>
      </c>
    </row>
    <row r="2046" spans="1:16" x14ac:dyDescent="0.35">
      <c r="A2046" s="54" t="str">
        <f>IFERROR(IF(INDEX(SPOT_Import!$A$1:$Z$2488,2046,'Live Data'!$C$12)="","",INDEX(SPOT_Import!$A$1:$Z$2488,2046,'Live Data'!$C$12)),"")</f>
        <v/>
      </c>
      <c r="B2046" s="54" t="str">
        <f>IFERROR(IF(INDEX(SPOT_Import!$A$1:$Z$2488,2046,'Live Data'!$C$13)="","",INDEX(SPOT_Import!$A$1:$Z$2488,2046,'Live Data'!$C$13)),"")</f>
        <v/>
      </c>
      <c r="C2046" s="54" t="str">
        <f>IFERROR(IF(INDEX(SPOT_Import!$A$1:$Z$2488,2046,'Live Data'!$C$14)="","",INDEX(SPOT_Import!$A$1:$Z$2488,2046,'Live Data'!$C$14)),"")</f>
        <v/>
      </c>
      <c r="D2046" s="54" t="str">
        <f>IFERROR(IF(INDEX(SPOT_Import!$A$1:$Z$2488,2046,'Live Data'!$C$15)="","",INDEX(SPOT_Import!$A$1:$Z$2488,2046,'Live Data'!$C$15)),"")</f>
        <v/>
      </c>
      <c r="E2046" s="54" t="str">
        <f>IFERROR(IF(INDEX(SPOT_Import!$A$1:$Z$2488,2046,'Live Data'!$C$16)="","",INDEX(SPOT_Import!$A$1:$Z$2488,2046,'Live Data'!$C$16)),"")</f>
        <v/>
      </c>
      <c r="F2046" s="54" t="str">
        <f>IFERROR(IF(INDEX(SPOT_Import!$A$1:$Z$2488,2046,'Live Data'!$C$17)="","",INDEX(SPOT_Import!$A$1:$Z$2488,2046,'Live Data'!$C$17)),"")</f>
        <v/>
      </c>
      <c r="G2046" s="54" t="str">
        <f>IFERROR(IF(INDEX(SPOT_Import!$A$1:$Z$2488,2046,'Live Data'!$C$18)="","",INDEX(SPOT_Import!$A$1:$Z$2488,2046,'Live Data'!$C$18)),"")</f>
        <v/>
      </c>
      <c r="H2046" s="54" t="str">
        <f>IFERROR(IF(INDEX(SPOT_Import!$A$1:$Z$2488,2046,'Live Data'!$C$19)="","",INDEX(SPOT_Import!$A$1:$Z$2488,2046,'Live Data'!$C$19)),"")</f>
        <v/>
      </c>
      <c r="I2046" s="54" t="str">
        <f>IFERROR(IF(INDEX(SPOT_Import!$A$1:$Z$2488,2046,'Live Data'!$C$20)="","",INDEX(SPOT_Import!$A$1:$Z$2488,2046,'Live Data'!$C$20)),"")</f>
        <v/>
      </c>
      <c r="J2046" s="54" t="str">
        <f>IFERROR(IF(INDEX(SPOT_Import!$A$1:$Z$2488,2046,'Live Data'!$C$21)="","",INDEX(SPOT_Import!$A$1:$Z$2488,2046,'Live Data'!$C$21)),"")</f>
        <v/>
      </c>
      <c r="K2046" s="54" t="str">
        <f>IFERROR(IF(INDEX(SPOT_Import!$A$1:$Z$2488,2046,'Live Data'!$C$22)="","",INDEX(SPOT_Import!$A$1:$Z$2488,2046,'Live Data'!$C$22)),"")</f>
        <v/>
      </c>
      <c r="L2046" s="55" t="str">
        <f t="shared" si="62"/>
        <v/>
      </c>
      <c r="M2046" s="55" t="str">
        <f t="shared" si="63"/>
        <v/>
      </c>
      <c r="N2046" s="55" t="str">
        <f>IF(A2046="","",IFERROR(INDEX('Cluster Map'!$A$4:$A$38,MATCH(M2046,'Cluster Map'!$B$4:$B$38,0)),"Unmapped"))</f>
        <v/>
      </c>
      <c r="O2046" s="55">
        <f>IF(A2046="",0,IF(COUNTIFS($A$2:A2046,A2046,$F$2:F2046,F2046,$L$2:L2046,L2046)=1,1,0))</f>
        <v>0</v>
      </c>
      <c r="P2046" s="55">
        <f>IF(A2046="",0,IF(AND(F2046="C&amp;T",COUNTIFS($A$2:A2046,A2046,$F$2:F2046,"C&amp;T")=1),1,0))</f>
        <v>0</v>
      </c>
    </row>
    <row r="2047" spans="1:16" x14ac:dyDescent="0.35">
      <c r="A2047" s="54" t="str">
        <f>IFERROR(IF(INDEX(SPOT_Import!$A$1:$Z$2488,2047,'Live Data'!$C$12)="","",INDEX(SPOT_Import!$A$1:$Z$2488,2047,'Live Data'!$C$12)),"")</f>
        <v/>
      </c>
      <c r="B2047" s="54" t="str">
        <f>IFERROR(IF(INDEX(SPOT_Import!$A$1:$Z$2488,2047,'Live Data'!$C$13)="","",INDEX(SPOT_Import!$A$1:$Z$2488,2047,'Live Data'!$C$13)),"")</f>
        <v/>
      </c>
      <c r="C2047" s="54" t="str">
        <f>IFERROR(IF(INDEX(SPOT_Import!$A$1:$Z$2488,2047,'Live Data'!$C$14)="","",INDEX(SPOT_Import!$A$1:$Z$2488,2047,'Live Data'!$C$14)),"")</f>
        <v/>
      </c>
      <c r="D2047" s="54" t="str">
        <f>IFERROR(IF(INDEX(SPOT_Import!$A$1:$Z$2488,2047,'Live Data'!$C$15)="","",INDEX(SPOT_Import!$A$1:$Z$2488,2047,'Live Data'!$C$15)),"")</f>
        <v/>
      </c>
      <c r="E2047" s="54" t="str">
        <f>IFERROR(IF(INDEX(SPOT_Import!$A$1:$Z$2488,2047,'Live Data'!$C$16)="","",INDEX(SPOT_Import!$A$1:$Z$2488,2047,'Live Data'!$C$16)),"")</f>
        <v/>
      </c>
      <c r="F2047" s="54" t="str">
        <f>IFERROR(IF(INDEX(SPOT_Import!$A$1:$Z$2488,2047,'Live Data'!$C$17)="","",INDEX(SPOT_Import!$A$1:$Z$2488,2047,'Live Data'!$C$17)),"")</f>
        <v/>
      </c>
      <c r="G2047" s="54" t="str">
        <f>IFERROR(IF(INDEX(SPOT_Import!$A$1:$Z$2488,2047,'Live Data'!$C$18)="","",INDEX(SPOT_Import!$A$1:$Z$2488,2047,'Live Data'!$C$18)),"")</f>
        <v/>
      </c>
      <c r="H2047" s="54" t="str">
        <f>IFERROR(IF(INDEX(SPOT_Import!$A$1:$Z$2488,2047,'Live Data'!$C$19)="","",INDEX(SPOT_Import!$A$1:$Z$2488,2047,'Live Data'!$C$19)),"")</f>
        <v/>
      </c>
      <c r="I2047" s="54" t="str">
        <f>IFERROR(IF(INDEX(SPOT_Import!$A$1:$Z$2488,2047,'Live Data'!$C$20)="","",INDEX(SPOT_Import!$A$1:$Z$2488,2047,'Live Data'!$C$20)),"")</f>
        <v/>
      </c>
      <c r="J2047" s="54" t="str">
        <f>IFERROR(IF(INDEX(SPOT_Import!$A$1:$Z$2488,2047,'Live Data'!$C$21)="","",INDEX(SPOT_Import!$A$1:$Z$2488,2047,'Live Data'!$C$21)),"")</f>
        <v/>
      </c>
      <c r="K2047" s="54" t="str">
        <f>IFERROR(IF(INDEX(SPOT_Import!$A$1:$Z$2488,2047,'Live Data'!$C$22)="","",INDEX(SPOT_Import!$A$1:$Z$2488,2047,'Live Data'!$C$22)),"")</f>
        <v/>
      </c>
      <c r="L2047" s="55" t="str">
        <f t="shared" si="62"/>
        <v/>
      </c>
      <c r="M2047" s="55" t="str">
        <f t="shared" si="63"/>
        <v/>
      </c>
      <c r="N2047" s="55" t="str">
        <f>IF(A2047="","",IFERROR(INDEX('Cluster Map'!$A$4:$A$38,MATCH(M2047,'Cluster Map'!$B$4:$B$38,0)),"Unmapped"))</f>
        <v/>
      </c>
      <c r="O2047" s="55">
        <f>IF(A2047="",0,IF(COUNTIFS($A$2:A2047,A2047,$F$2:F2047,F2047,$L$2:L2047,L2047)=1,1,0))</f>
        <v>0</v>
      </c>
      <c r="P2047" s="55">
        <f>IF(A2047="",0,IF(AND(F2047="C&amp;T",COUNTIFS($A$2:A2047,A2047,$F$2:F2047,"C&amp;T")=1),1,0))</f>
        <v>0</v>
      </c>
    </row>
    <row r="2048" spans="1:16" x14ac:dyDescent="0.35">
      <c r="A2048" s="54" t="str">
        <f>IFERROR(IF(INDEX(SPOT_Import!$A$1:$Z$2488,2048,'Live Data'!$C$12)="","",INDEX(SPOT_Import!$A$1:$Z$2488,2048,'Live Data'!$C$12)),"")</f>
        <v/>
      </c>
      <c r="B2048" s="54" t="str">
        <f>IFERROR(IF(INDEX(SPOT_Import!$A$1:$Z$2488,2048,'Live Data'!$C$13)="","",INDEX(SPOT_Import!$A$1:$Z$2488,2048,'Live Data'!$C$13)),"")</f>
        <v/>
      </c>
      <c r="C2048" s="54" t="str">
        <f>IFERROR(IF(INDEX(SPOT_Import!$A$1:$Z$2488,2048,'Live Data'!$C$14)="","",INDEX(SPOT_Import!$A$1:$Z$2488,2048,'Live Data'!$C$14)),"")</f>
        <v/>
      </c>
      <c r="D2048" s="54" t="str">
        <f>IFERROR(IF(INDEX(SPOT_Import!$A$1:$Z$2488,2048,'Live Data'!$C$15)="","",INDEX(SPOT_Import!$A$1:$Z$2488,2048,'Live Data'!$C$15)),"")</f>
        <v/>
      </c>
      <c r="E2048" s="54" t="str">
        <f>IFERROR(IF(INDEX(SPOT_Import!$A$1:$Z$2488,2048,'Live Data'!$C$16)="","",INDEX(SPOT_Import!$A$1:$Z$2488,2048,'Live Data'!$C$16)),"")</f>
        <v/>
      </c>
      <c r="F2048" s="54" t="str">
        <f>IFERROR(IF(INDEX(SPOT_Import!$A$1:$Z$2488,2048,'Live Data'!$C$17)="","",INDEX(SPOT_Import!$A$1:$Z$2488,2048,'Live Data'!$C$17)),"")</f>
        <v/>
      </c>
      <c r="G2048" s="54" t="str">
        <f>IFERROR(IF(INDEX(SPOT_Import!$A$1:$Z$2488,2048,'Live Data'!$C$18)="","",INDEX(SPOT_Import!$A$1:$Z$2488,2048,'Live Data'!$C$18)),"")</f>
        <v/>
      </c>
      <c r="H2048" s="54" t="str">
        <f>IFERROR(IF(INDEX(SPOT_Import!$A$1:$Z$2488,2048,'Live Data'!$C$19)="","",INDEX(SPOT_Import!$A$1:$Z$2488,2048,'Live Data'!$C$19)),"")</f>
        <v/>
      </c>
      <c r="I2048" s="54" t="str">
        <f>IFERROR(IF(INDEX(SPOT_Import!$A$1:$Z$2488,2048,'Live Data'!$C$20)="","",INDEX(SPOT_Import!$A$1:$Z$2488,2048,'Live Data'!$C$20)),"")</f>
        <v/>
      </c>
      <c r="J2048" s="54" t="str">
        <f>IFERROR(IF(INDEX(SPOT_Import!$A$1:$Z$2488,2048,'Live Data'!$C$21)="","",INDEX(SPOT_Import!$A$1:$Z$2488,2048,'Live Data'!$C$21)),"")</f>
        <v/>
      </c>
      <c r="K2048" s="54" t="str">
        <f>IFERROR(IF(INDEX(SPOT_Import!$A$1:$Z$2488,2048,'Live Data'!$C$22)="","",INDEX(SPOT_Import!$A$1:$Z$2488,2048,'Live Data'!$C$22)),"")</f>
        <v/>
      </c>
      <c r="L2048" s="55" t="str">
        <f t="shared" si="62"/>
        <v/>
      </c>
      <c r="M2048" s="55" t="str">
        <f t="shared" si="63"/>
        <v/>
      </c>
      <c r="N2048" s="55" t="str">
        <f>IF(A2048="","",IFERROR(INDEX('Cluster Map'!$A$4:$A$38,MATCH(M2048,'Cluster Map'!$B$4:$B$38,0)),"Unmapped"))</f>
        <v/>
      </c>
      <c r="O2048" s="55">
        <f>IF(A2048="",0,IF(COUNTIFS($A$2:A2048,A2048,$F$2:F2048,F2048,$L$2:L2048,L2048)=1,1,0))</f>
        <v>0</v>
      </c>
      <c r="P2048" s="55">
        <f>IF(A2048="",0,IF(AND(F2048="C&amp;T",COUNTIFS($A$2:A2048,A2048,$F$2:F2048,"C&amp;T")=1),1,0))</f>
        <v>0</v>
      </c>
    </row>
    <row r="2049" spans="1:16" x14ac:dyDescent="0.35">
      <c r="A2049" s="54" t="str">
        <f>IFERROR(IF(INDEX(SPOT_Import!$A$1:$Z$2488,2049,'Live Data'!$C$12)="","",INDEX(SPOT_Import!$A$1:$Z$2488,2049,'Live Data'!$C$12)),"")</f>
        <v/>
      </c>
      <c r="B2049" s="54" t="str">
        <f>IFERROR(IF(INDEX(SPOT_Import!$A$1:$Z$2488,2049,'Live Data'!$C$13)="","",INDEX(SPOT_Import!$A$1:$Z$2488,2049,'Live Data'!$C$13)),"")</f>
        <v/>
      </c>
      <c r="C2049" s="54" t="str">
        <f>IFERROR(IF(INDEX(SPOT_Import!$A$1:$Z$2488,2049,'Live Data'!$C$14)="","",INDEX(SPOT_Import!$A$1:$Z$2488,2049,'Live Data'!$C$14)),"")</f>
        <v/>
      </c>
      <c r="D2049" s="54" t="str">
        <f>IFERROR(IF(INDEX(SPOT_Import!$A$1:$Z$2488,2049,'Live Data'!$C$15)="","",INDEX(SPOT_Import!$A$1:$Z$2488,2049,'Live Data'!$C$15)),"")</f>
        <v/>
      </c>
      <c r="E2049" s="54" t="str">
        <f>IFERROR(IF(INDEX(SPOT_Import!$A$1:$Z$2488,2049,'Live Data'!$C$16)="","",INDEX(SPOT_Import!$A$1:$Z$2488,2049,'Live Data'!$C$16)),"")</f>
        <v/>
      </c>
      <c r="F2049" s="54" t="str">
        <f>IFERROR(IF(INDEX(SPOT_Import!$A$1:$Z$2488,2049,'Live Data'!$C$17)="","",INDEX(SPOT_Import!$A$1:$Z$2488,2049,'Live Data'!$C$17)),"")</f>
        <v/>
      </c>
      <c r="G2049" s="54" t="str">
        <f>IFERROR(IF(INDEX(SPOT_Import!$A$1:$Z$2488,2049,'Live Data'!$C$18)="","",INDEX(SPOT_Import!$A$1:$Z$2488,2049,'Live Data'!$C$18)),"")</f>
        <v/>
      </c>
      <c r="H2049" s="54" t="str">
        <f>IFERROR(IF(INDEX(SPOT_Import!$A$1:$Z$2488,2049,'Live Data'!$C$19)="","",INDEX(SPOT_Import!$A$1:$Z$2488,2049,'Live Data'!$C$19)),"")</f>
        <v/>
      </c>
      <c r="I2049" s="54" t="str">
        <f>IFERROR(IF(INDEX(SPOT_Import!$A$1:$Z$2488,2049,'Live Data'!$C$20)="","",INDEX(SPOT_Import!$A$1:$Z$2488,2049,'Live Data'!$C$20)),"")</f>
        <v/>
      </c>
      <c r="J2049" s="54" t="str">
        <f>IFERROR(IF(INDEX(SPOT_Import!$A$1:$Z$2488,2049,'Live Data'!$C$21)="","",INDEX(SPOT_Import!$A$1:$Z$2488,2049,'Live Data'!$C$21)),"")</f>
        <v/>
      </c>
      <c r="K2049" s="54" t="str">
        <f>IFERROR(IF(INDEX(SPOT_Import!$A$1:$Z$2488,2049,'Live Data'!$C$22)="","",INDEX(SPOT_Import!$A$1:$Z$2488,2049,'Live Data'!$C$22)),"")</f>
        <v/>
      </c>
      <c r="L2049" s="55" t="str">
        <f t="shared" si="62"/>
        <v/>
      </c>
      <c r="M2049" s="55" t="str">
        <f t="shared" si="63"/>
        <v/>
      </c>
      <c r="N2049" s="55" t="str">
        <f>IF(A2049="","",IFERROR(INDEX('Cluster Map'!$A$4:$A$38,MATCH(M2049,'Cluster Map'!$B$4:$B$38,0)),"Unmapped"))</f>
        <v/>
      </c>
      <c r="O2049" s="55">
        <f>IF(A2049="",0,IF(COUNTIFS($A$2:A2049,A2049,$F$2:F2049,F2049,$L$2:L2049,L2049)=1,1,0))</f>
        <v>0</v>
      </c>
      <c r="P2049" s="55">
        <f>IF(A2049="",0,IF(AND(F2049="C&amp;T",COUNTIFS($A$2:A2049,A2049,$F$2:F2049,"C&amp;T")=1),1,0))</f>
        <v>0</v>
      </c>
    </row>
    <row r="2050" spans="1:16" x14ac:dyDescent="0.35">
      <c r="A2050" s="54" t="str">
        <f>IFERROR(IF(INDEX(SPOT_Import!$A$1:$Z$2488,2050,'Live Data'!$C$12)="","",INDEX(SPOT_Import!$A$1:$Z$2488,2050,'Live Data'!$C$12)),"")</f>
        <v/>
      </c>
      <c r="B2050" s="54" t="str">
        <f>IFERROR(IF(INDEX(SPOT_Import!$A$1:$Z$2488,2050,'Live Data'!$C$13)="","",INDEX(SPOT_Import!$A$1:$Z$2488,2050,'Live Data'!$C$13)),"")</f>
        <v/>
      </c>
      <c r="C2050" s="54" t="str">
        <f>IFERROR(IF(INDEX(SPOT_Import!$A$1:$Z$2488,2050,'Live Data'!$C$14)="","",INDEX(SPOT_Import!$A$1:$Z$2488,2050,'Live Data'!$C$14)),"")</f>
        <v/>
      </c>
      <c r="D2050" s="54" t="str">
        <f>IFERROR(IF(INDEX(SPOT_Import!$A$1:$Z$2488,2050,'Live Data'!$C$15)="","",INDEX(SPOT_Import!$A$1:$Z$2488,2050,'Live Data'!$C$15)),"")</f>
        <v/>
      </c>
      <c r="E2050" s="54" t="str">
        <f>IFERROR(IF(INDEX(SPOT_Import!$A$1:$Z$2488,2050,'Live Data'!$C$16)="","",INDEX(SPOT_Import!$A$1:$Z$2488,2050,'Live Data'!$C$16)),"")</f>
        <v/>
      </c>
      <c r="F2050" s="54" t="str">
        <f>IFERROR(IF(INDEX(SPOT_Import!$A$1:$Z$2488,2050,'Live Data'!$C$17)="","",INDEX(SPOT_Import!$A$1:$Z$2488,2050,'Live Data'!$C$17)),"")</f>
        <v/>
      </c>
      <c r="G2050" s="54" t="str">
        <f>IFERROR(IF(INDEX(SPOT_Import!$A$1:$Z$2488,2050,'Live Data'!$C$18)="","",INDEX(SPOT_Import!$A$1:$Z$2488,2050,'Live Data'!$C$18)),"")</f>
        <v/>
      </c>
      <c r="H2050" s="54" t="str">
        <f>IFERROR(IF(INDEX(SPOT_Import!$A$1:$Z$2488,2050,'Live Data'!$C$19)="","",INDEX(SPOT_Import!$A$1:$Z$2488,2050,'Live Data'!$C$19)),"")</f>
        <v/>
      </c>
      <c r="I2050" s="54" t="str">
        <f>IFERROR(IF(INDEX(SPOT_Import!$A$1:$Z$2488,2050,'Live Data'!$C$20)="","",INDEX(SPOT_Import!$A$1:$Z$2488,2050,'Live Data'!$C$20)),"")</f>
        <v/>
      </c>
      <c r="J2050" s="54" t="str">
        <f>IFERROR(IF(INDEX(SPOT_Import!$A$1:$Z$2488,2050,'Live Data'!$C$21)="","",INDEX(SPOT_Import!$A$1:$Z$2488,2050,'Live Data'!$C$21)),"")</f>
        <v/>
      </c>
      <c r="K2050" s="54" t="str">
        <f>IFERROR(IF(INDEX(SPOT_Import!$A$1:$Z$2488,2050,'Live Data'!$C$22)="","",INDEX(SPOT_Import!$A$1:$Z$2488,2050,'Live Data'!$C$22)),"")</f>
        <v/>
      </c>
      <c r="L2050" s="55" t="str">
        <f t="shared" ref="L2050:L2113" si="64">IF(A2050="","",IF(ISNUMBER(K2050),TEXT(K2050,"yyyy-mm"),LEFT(K2050,7)))</f>
        <v/>
      </c>
      <c r="M2050" s="55" t="str">
        <f t="shared" ref="M2050:M2113" si="65">IF(A2050="","",UPPER(TRIM(SUBSTITUTE(C2050," - ","-"))))</f>
        <v/>
      </c>
      <c r="N2050" s="55" t="str">
        <f>IF(A2050="","",IFERROR(INDEX('Cluster Map'!$A$4:$A$38,MATCH(M2050,'Cluster Map'!$B$4:$B$38,0)),"Unmapped"))</f>
        <v/>
      </c>
      <c r="O2050" s="55">
        <f>IF(A2050="",0,IF(COUNTIFS($A$2:A2050,A2050,$F$2:F2050,F2050,$L$2:L2050,L2050)=1,1,0))</f>
        <v>0</v>
      </c>
      <c r="P2050" s="55">
        <f>IF(A2050="",0,IF(AND(F2050="C&amp;T",COUNTIFS($A$2:A2050,A2050,$F$2:F2050,"C&amp;T")=1),1,0))</f>
        <v>0</v>
      </c>
    </row>
    <row r="2051" spans="1:16" x14ac:dyDescent="0.35">
      <c r="A2051" s="54" t="str">
        <f>IFERROR(IF(INDEX(SPOT_Import!$A$1:$Z$2488,2051,'Live Data'!$C$12)="","",INDEX(SPOT_Import!$A$1:$Z$2488,2051,'Live Data'!$C$12)),"")</f>
        <v/>
      </c>
      <c r="B2051" s="54" t="str">
        <f>IFERROR(IF(INDEX(SPOT_Import!$A$1:$Z$2488,2051,'Live Data'!$C$13)="","",INDEX(SPOT_Import!$A$1:$Z$2488,2051,'Live Data'!$C$13)),"")</f>
        <v/>
      </c>
      <c r="C2051" s="54" t="str">
        <f>IFERROR(IF(INDEX(SPOT_Import!$A$1:$Z$2488,2051,'Live Data'!$C$14)="","",INDEX(SPOT_Import!$A$1:$Z$2488,2051,'Live Data'!$C$14)),"")</f>
        <v/>
      </c>
      <c r="D2051" s="54" t="str">
        <f>IFERROR(IF(INDEX(SPOT_Import!$A$1:$Z$2488,2051,'Live Data'!$C$15)="","",INDEX(SPOT_Import!$A$1:$Z$2488,2051,'Live Data'!$C$15)),"")</f>
        <v/>
      </c>
      <c r="E2051" s="54" t="str">
        <f>IFERROR(IF(INDEX(SPOT_Import!$A$1:$Z$2488,2051,'Live Data'!$C$16)="","",INDEX(SPOT_Import!$A$1:$Z$2488,2051,'Live Data'!$C$16)),"")</f>
        <v/>
      </c>
      <c r="F2051" s="54" t="str">
        <f>IFERROR(IF(INDEX(SPOT_Import!$A$1:$Z$2488,2051,'Live Data'!$C$17)="","",INDEX(SPOT_Import!$A$1:$Z$2488,2051,'Live Data'!$C$17)),"")</f>
        <v/>
      </c>
      <c r="G2051" s="54" t="str">
        <f>IFERROR(IF(INDEX(SPOT_Import!$A$1:$Z$2488,2051,'Live Data'!$C$18)="","",INDEX(SPOT_Import!$A$1:$Z$2488,2051,'Live Data'!$C$18)),"")</f>
        <v/>
      </c>
      <c r="H2051" s="54" t="str">
        <f>IFERROR(IF(INDEX(SPOT_Import!$A$1:$Z$2488,2051,'Live Data'!$C$19)="","",INDEX(SPOT_Import!$A$1:$Z$2488,2051,'Live Data'!$C$19)),"")</f>
        <v/>
      </c>
      <c r="I2051" s="54" t="str">
        <f>IFERROR(IF(INDEX(SPOT_Import!$A$1:$Z$2488,2051,'Live Data'!$C$20)="","",INDEX(SPOT_Import!$A$1:$Z$2488,2051,'Live Data'!$C$20)),"")</f>
        <v/>
      </c>
      <c r="J2051" s="54" t="str">
        <f>IFERROR(IF(INDEX(SPOT_Import!$A$1:$Z$2488,2051,'Live Data'!$C$21)="","",INDEX(SPOT_Import!$A$1:$Z$2488,2051,'Live Data'!$C$21)),"")</f>
        <v/>
      </c>
      <c r="K2051" s="54" t="str">
        <f>IFERROR(IF(INDEX(SPOT_Import!$A$1:$Z$2488,2051,'Live Data'!$C$22)="","",INDEX(SPOT_Import!$A$1:$Z$2488,2051,'Live Data'!$C$22)),"")</f>
        <v/>
      </c>
      <c r="L2051" s="55" t="str">
        <f t="shared" si="64"/>
        <v/>
      </c>
      <c r="M2051" s="55" t="str">
        <f t="shared" si="65"/>
        <v/>
      </c>
      <c r="N2051" s="55" t="str">
        <f>IF(A2051="","",IFERROR(INDEX('Cluster Map'!$A$4:$A$38,MATCH(M2051,'Cluster Map'!$B$4:$B$38,0)),"Unmapped"))</f>
        <v/>
      </c>
      <c r="O2051" s="55">
        <f>IF(A2051="",0,IF(COUNTIFS($A$2:A2051,A2051,$F$2:F2051,F2051,$L$2:L2051,L2051)=1,1,0))</f>
        <v>0</v>
      </c>
      <c r="P2051" s="55">
        <f>IF(A2051="",0,IF(AND(F2051="C&amp;T",COUNTIFS($A$2:A2051,A2051,$F$2:F2051,"C&amp;T")=1),1,0))</f>
        <v>0</v>
      </c>
    </row>
    <row r="2052" spans="1:16" x14ac:dyDescent="0.35">
      <c r="A2052" s="54" t="str">
        <f>IFERROR(IF(INDEX(SPOT_Import!$A$1:$Z$2488,2052,'Live Data'!$C$12)="","",INDEX(SPOT_Import!$A$1:$Z$2488,2052,'Live Data'!$C$12)),"")</f>
        <v/>
      </c>
      <c r="B2052" s="54" t="str">
        <f>IFERROR(IF(INDEX(SPOT_Import!$A$1:$Z$2488,2052,'Live Data'!$C$13)="","",INDEX(SPOT_Import!$A$1:$Z$2488,2052,'Live Data'!$C$13)),"")</f>
        <v/>
      </c>
      <c r="C2052" s="54" t="str">
        <f>IFERROR(IF(INDEX(SPOT_Import!$A$1:$Z$2488,2052,'Live Data'!$C$14)="","",INDEX(SPOT_Import!$A$1:$Z$2488,2052,'Live Data'!$C$14)),"")</f>
        <v/>
      </c>
      <c r="D2052" s="54" t="str">
        <f>IFERROR(IF(INDEX(SPOT_Import!$A$1:$Z$2488,2052,'Live Data'!$C$15)="","",INDEX(SPOT_Import!$A$1:$Z$2488,2052,'Live Data'!$C$15)),"")</f>
        <v/>
      </c>
      <c r="E2052" s="54" t="str">
        <f>IFERROR(IF(INDEX(SPOT_Import!$A$1:$Z$2488,2052,'Live Data'!$C$16)="","",INDEX(SPOT_Import!$A$1:$Z$2488,2052,'Live Data'!$C$16)),"")</f>
        <v/>
      </c>
      <c r="F2052" s="54" t="str">
        <f>IFERROR(IF(INDEX(SPOT_Import!$A$1:$Z$2488,2052,'Live Data'!$C$17)="","",INDEX(SPOT_Import!$A$1:$Z$2488,2052,'Live Data'!$C$17)),"")</f>
        <v/>
      </c>
      <c r="G2052" s="54" t="str">
        <f>IFERROR(IF(INDEX(SPOT_Import!$A$1:$Z$2488,2052,'Live Data'!$C$18)="","",INDEX(SPOT_Import!$A$1:$Z$2488,2052,'Live Data'!$C$18)),"")</f>
        <v/>
      </c>
      <c r="H2052" s="54" t="str">
        <f>IFERROR(IF(INDEX(SPOT_Import!$A$1:$Z$2488,2052,'Live Data'!$C$19)="","",INDEX(SPOT_Import!$A$1:$Z$2488,2052,'Live Data'!$C$19)),"")</f>
        <v/>
      </c>
      <c r="I2052" s="54" t="str">
        <f>IFERROR(IF(INDEX(SPOT_Import!$A$1:$Z$2488,2052,'Live Data'!$C$20)="","",INDEX(SPOT_Import!$A$1:$Z$2488,2052,'Live Data'!$C$20)),"")</f>
        <v/>
      </c>
      <c r="J2052" s="54" t="str">
        <f>IFERROR(IF(INDEX(SPOT_Import!$A$1:$Z$2488,2052,'Live Data'!$C$21)="","",INDEX(SPOT_Import!$A$1:$Z$2488,2052,'Live Data'!$C$21)),"")</f>
        <v/>
      </c>
      <c r="K2052" s="54" t="str">
        <f>IFERROR(IF(INDEX(SPOT_Import!$A$1:$Z$2488,2052,'Live Data'!$C$22)="","",INDEX(SPOT_Import!$A$1:$Z$2488,2052,'Live Data'!$C$22)),"")</f>
        <v/>
      </c>
      <c r="L2052" s="55" t="str">
        <f t="shared" si="64"/>
        <v/>
      </c>
      <c r="M2052" s="55" t="str">
        <f t="shared" si="65"/>
        <v/>
      </c>
      <c r="N2052" s="55" t="str">
        <f>IF(A2052="","",IFERROR(INDEX('Cluster Map'!$A$4:$A$38,MATCH(M2052,'Cluster Map'!$B$4:$B$38,0)),"Unmapped"))</f>
        <v/>
      </c>
      <c r="O2052" s="55">
        <f>IF(A2052="",0,IF(COUNTIFS($A$2:A2052,A2052,$F$2:F2052,F2052,$L$2:L2052,L2052)=1,1,0))</f>
        <v>0</v>
      </c>
      <c r="P2052" s="55">
        <f>IF(A2052="",0,IF(AND(F2052="C&amp;T",COUNTIFS($A$2:A2052,A2052,$F$2:F2052,"C&amp;T")=1),1,0))</f>
        <v>0</v>
      </c>
    </row>
    <row r="2053" spans="1:16" x14ac:dyDescent="0.35">
      <c r="A2053" s="54" t="str">
        <f>IFERROR(IF(INDEX(SPOT_Import!$A$1:$Z$2488,2053,'Live Data'!$C$12)="","",INDEX(SPOT_Import!$A$1:$Z$2488,2053,'Live Data'!$C$12)),"")</f>
        <v/>
      </c>
      <c r="B2053" s="54" t="str">
        <f>IFERROR(IF(INDEX(SPOT_Import!$A$1:$Z$2488,2053,'Live Data'!$C$13)="","",INDEX(SPOT_Import!$A$1:$Z$2488,2053,'Live Data'!$C$13)),"")</f>
        <v/>
      </c>
      <c r="C2053" s="54" t="str">
        <f>IFERROR(IF(INDEX(SPOT_Import!$A$1:$Z$2488,2053,'Live Data'!$C$14)="","",INDEX(SPOT_Import!$A$1:$Z$2488,2053,'Live Data'!$C$14)),"")</f>
        <v/>
      </c>
      <c r="D2053" s="54" t="str">
        <f>IFERROR(IF(INDEX(SPOT_Import!$A$1:$Z$2488,2053,'Live Data'!$C$15)="","",INDEX(SPOT_Import!$A$1:$Z$2488,2053,'Live Data'!$C$15)),"")</f>
        <v/>
      </c>
      <c r="E2053" s="54" t="str">
        <f>IFERROR(IF(INDEX(SPOT_Import!$A$1:$Z$2488,2053,'Live Data'!$C$16)="","",INDEX(SPOT_Import!$A$1:$Z$2488,2053,'Live Data'!$C$16)),"")</f>
        <v/>
      </c>
      <c r="F2053" s="54" t="str">
        <f>IFERROR(IF(INDEX(SPOT_Import!$A$1:$Z$2488,2053,'Live Data'!$C$17)="","",INDEX(SPOT_Import!$A$1:$Z$2488,2053,'Live Data'!$C$17)),"")</f>
        <v/>
      </c>
      <c r="G2053" s="54" t="str">
        <f>IFERROR(IF(INDEX(SPOT_Import!$A$1:$Z$2488,2053,'Live Data'!$C$18)="","",INDEX(SPOT_Import!$A$1:$Z$2488,2053,'Live Data'!$C$18)),"")</f>
        <v/>
      </c>
      <c r="H2053" s="54" t="str">
        <f>IFERROR(IF(INDEX(SPOT_Import!$A$1:$Z$2488,2053,'Live Data'!$C$19)="","",INDEX(SPOT_Import!$A$1:$Z$2488,2053,'Live Data'!$C$19)),"")</f>
        <v/>
      </c>
      <c r="I2053" s="54" t="str">
        <f>IFERROR(IF(INDEX(SPOT_Import!$A$1:$Z$2488,2053,'Live Data'!$C$20)="","",INDEX(SPOT_Import!$A$1:$Z$2488,2053,'Live Data'!$C$20)),"")</f>
        <v/>
      </c>
      <c r="J2053" s="54" t="str">
        <f>IFERROR(IF(INDEX(SPOT_Import!$A$1:$Z$2488,2053,'Live Data'!$C$21)="","",INDEX(SPOT_Import!$A$1:$Z$2488,2053,'Live Data'!$C$21)),"")</f>
        <v/>
      </c>
      <c r="K2053" s="54" t="str">
        <f>IFERROR(IF(INDEX(SPOT_Import!$A$1:$Z$2488,2053,'Live Data'!$C$22)="","",INDEX(SPOT_Import!$A$1:$Z$2488,2053,'Live Data'!$C$22)),"")</f>
        <v/>
      </c>
      <c r="L2053" s="55" t="str">
        <f t="shared" si="64"/>
        <v/>
      </c>
      <c r="M2053" s="55" t="str">
        <f t="shared" si="65"/>
        <v/>
      </c>
      <c r="N2053" s="55" t="str">
        <f>IF(A2053="","",IFERROR(INDEX('Cluster Map'!$A$4:$A$38,MATCH(M2053,'Cluster Map'!$B$4:$B$38,0)),"Unmapped"))</f>
        <v/>
      </c>
      <c r="O2053" s="55">
        <f>IF(A2053="",0,IF(COUNTIFS($A$2:A2053,A2053,$F$2:F2053,F2053,$L$2:L2053,L2053)=1,1,0))</f>
        <v>0</v>
      </c>
      <c r="P2053" s="55">
        <f>IF(A2053="",0,IF(AND(F2053="C&amp;T",COUNTIFS($A$2:A2053,A2053,$F$2:F2053,"C&amp;T")=1),1,0))</f>
        <v>0</v>
      </c>
    </row>
    <row r="2054" spans="1:16" x14ac:dyDescent="0.35">
      <c r="A2054" s="54" t="str">
        <f>IFERROR(IF(INDEX(SPOT_Import!$A$1:$Z$2488,2054,'Live Data'!$C$12)="","",INDEX(SPOT_Import!$A$1:$Z$2488,2054,'Live Data'!$C$12)),"")</f>
        <v/>
      </c>
      <c r="B2054" s="54" t="str">
        <f>IFERROR(IF(INDEX(SPOT_Import!$A$1:$Z$2488,2054,'Live Data'!$C$13)="","",INDEX(SPOT_Import!$A$1:$Z$2488,2054,'Live Data'!$C$13)),"")</f>
        <v/>
      </c>
      <c r="C2054" s="54" t="str">
        <f>IFERROR(IF(INDEX(SPOT_Import!$A$1:$Z$2488,2054,'Live Data'!$C$14)="","",INDEX(SPOT_Import!$A$1:$Z$2488,2054,'Live Data'!$C$14)),"")</f>
        <v/>
      </c>
      <c r="D2054" s="54" t="str">
        <f>IFERROR(IF(INDEX(SPOT_Import!$A$1:$Z$2488,2054,'Live Data'!$C$15)="","",INDEX(SPOT_Import!$A$1:$Z$2488,2054,'Live Data'!$C$15)),"")</f>
        <v/>
      </c>
      <c r="E2054" s="54" t="str">
        <f>IFERROR(IF(INDEX(SPOT_Import!$A$1:$Z$2488,2054,'Live Data'!$C$16)="","",INDEX(SPOT_Import!$A$1:$Z$2488,2054,'Live Data'!$C$16)),"")</f>
        <v/>
      </c>
      <c r="F2054" s="54" t="str">
        <f>IFERROR(IF(INDEX(SPOT_Import!$A$1:$Z$2488,2054,'Live Data'!$C$17)="","",INDEX(SPOT_Import!$A$1:$Z$2488,2054,'Live Data'!$C$17)),"")</f>
        <v/>
      </c>
      <c r="G2054" s="54" t="str">
        <f>IFERROR(IF(INDEX(SPOT_Import!$A$1:$Z$2488,2054,'Live Data'!$C$18)="","",INDEX(SPOT_Import!$A$1:$Z$2488,2054,'Live Data'!$C$18)),"")</f>
        <v/>
      </c>
      <c r="H2054" s="54" t="str">
        <f>IFERROR(IF(INDEX(SPOT_Import!$A$1:$Z$2488,2054,'Live Data'!$C$19)="","",INDEX(SPOT_Import!$A$1:$Z$2488,2054,'Live Data'!$C$19)),"")</f>
        <v/>
      </c>
      <c r="I2054" s="54" t="str">
        <f>IFERROR(IF(INDEX(SPOT_Import!$A$1:$Z$2488,2054,'Live Data'!$C$20)="","",INDEX(SPOT_Import!$A$1:$Z$2488,2054,'Live Data'!$C$20)),"")</f>
        <v/>
      </c>
      <c r="J2054" s="54" t="str">
        <f>IFERROR(IF(INDEX(SPOT_Import!$A$1:$Z$2488,2054,'Live Data'!$C$21)="","",INDEX(SPOT_Import!$A$1:$Z$2488,2054,'Live Data'!$C$21)),"")</f>
        <v/>
      </c>
      <c r="K2054" s="54" t="str">
        <f>IFERROR(IF(INDEX(SPOT_Import!$A$1:$Z$2488,2054,'Live Data'!$C$22)="","",INDEX(SPOT_Import!$A$1:$Z$2488,2054,'Live Data'!$C$22)),"")</f>
        <v/>
      </c>
      <c r="L2054" s="55" t="str">
        <f t="shared" si="64"/>
        <v/>
      </c>
      <c r="M2054" s="55" t="str">
        <f t="shared" si="65"/>
        <v/>
      </c>
      <c r="N2054" s="55" t="str">
        <f>IF(A2054="","",IFERROR(INDEX('Cluster Map'!$A$4:$A$38,MATCH(M2054,'Cluster Map'!$B$4:$B$38,0)),"Unmapped"))</f>
        <v/>
      </c>
      <c r="O2054" s="55">
        <f>IF(A2054="",0,IF(COUNTIFS($A$2:A2054,A2054,$F$2:F2054,F2054,$L$2:L2054,L2054)=1,1,0))</f>
        <v>0</v>
      </c>
      <c r="P2054" s="55">
        <f>IF(A2054="",0,IF(AND(F2054="C&amp;T",COUNTIFS($A$2:A2054,A2054,$F$2:F2054,"C&amp;T")=1),1,0))</f>
        <v>0</v>
      </c>
    </row>
    <row r="2055" spans="1:16" x14ac:dyDescent="0.35">
      <c r="A2055" s="54" t="str">
        <f>IFERROR(IF(INDEX(SPOT_Import!$A$1:$Z$2488,2055,'Live Data'!$C$12)="","",INDEX(SPOT_Import!$A$1:$Z$2488,2055,'Live Data'!$C$12)),"")</f>
        <v/>
      </c>
      <c r="B2055" s="54" t="str">
        <f>IFERROR(IF(INDEX(SPOT_Import!$A$1:$Z$2488,2055,'Live Data'!$C$13)="","",INDEX(SPOT_Import!$A$1:$Z$2488,2055,'Live Data'!$C$13)),"")</f>
        <v/>
      </c>
      <c r="C2055" s="54" t="str">
        <f>IFERROR(IF(INDEX(SPOT_Import!$A$1:$Z$2488,2055,'Live Data'!$C$14)="","",INDEX(SPOT_Import!$A$1:$Z$2488,2055,'Live Data'!$C$14)),"")</f>
        <v/>
      </c>
      <c r="D2055" s="54" t="str">
        <f>IFERROR(IF(INDEX(SPOT_Import!$A$1:$Z$2488,2055,'Live Data'!$C$15)="","",INDEX(SPOT_Import!$A$1:$Z$2488,2055,'Live Data'!$C$15)),"")</f>
        <v/>
      </c>
      <c r="E2055" s="54" t="str">
        <f>IFERROR(IF(INDEX(SPOT_Import!$A$1:$Z$2488,2055,'Live Data'!$C$16)="","",INDEX(SPOT_Import!$A$1:$Z$2488,2055,'Live Data'!$C$16)),"")</f>
        <v/>
      </c>
      <c r="F2055" s="54" t="str">
        <f>IFERROR(IF(INDEX(SPOT_Import!$A$1:$Z$2488,2055,'Live Data'!$C$17)="","",INDEX(SPOT_Import!$A$1:$Z$2488,2055,'Live Data'!$C$17)),"")</f>
        <v/>
      </c>
      <c r="G2055" s="54" t="str">
        <f>IFERROR(IF(INDEX(SPOT_Import!$A$1:$Z$2488,2055,'Live Data'!$C$18)="","",INDEX(SPOT_Import!$A$1:$Z$2488,2055,'Live Data'!$C$18)),"")</f>
        <v/>
      </c>
      <c r="H2055" s="54" t="str">
        <f>IFERROR(IF(INDEX(SPOT_Import!$A$1:$Z$2488,2055,'Live Data'!$C$19)="","",INDEX(SPOT_Import!$A$1:$Z$2488,2055,'Live Data'!$C$19)),"")</f>
        <v/>
      </c>
      <c r="I2055" s="54" t="str">
        <f>IFERROR(IF(INDEX(SPOT_Import!$A$1:$Z$2488,2055,'Live Data'!$C$20)="","",INDEX(SPOT_Import!$A$1:$Z$2488,2055,'Live Data'!$C$20)),"")</f>
        <v/>
      </c>
      <c r="J2055" s="54" t="str">
        <f>IFERROR(IF(INDEX(SPOT_Import!$A$1:$Z$2488,2055,'Live Data'!$C$21)="","",INDEX(SPOT_Import!$A$1:$Z$2488,2055,'Live Data'!$C$21)),"")</f>
        <v/>
      </c>
      <c r="K2055" s="54" t="str">
        <f>IFERROR(IF(INDEX(SPOT_Import!$A$1:$Z$2488,2055,'Live Data'!$C$22)="","",INDEX(SPOT_Import!$A$1:$Z$2488,2055,'Live Data'!$C$22)),"")</f>
        <v/>
      </c>
      <c r="L2055" s="55" t="str">
        <f t="shared" si="64"/>
        <v/>
      </c>
      <c r="M2055" s="55" t="str">
        <f t="shared" si="65"/>
        <v/>
      </c>
      <c r="N2055" s="55" t="str">
        <f>IF(A2055="","",IFERROR(INDEX('Cluster Map'!$A$4:$A$38,MATCH(M2055,'Cluster Map'!$B$4:$B$38,0)),"Unmapped"))</f>
        <v/>
      </c>
      <c r="O2055" s="55">
        <f>IF(A2055="",0,IF(COUNTIFS($A$2:A2055,A2055,$F$2:F2055,F2055,$L$2:L2055,L2055)=1,1,0))</f>
        <v>0</v>
      </c>
      <c r="P2055" s="55">
        <f>IF(A2055="",0,IF(AND(F2055="C&amp;T",COUNTIFS($A$2:A2055,A2055,$F$2:F2055,"C&amp;T")=1),1,0))</f>
        <v>0</v>
      </c>
    </row>
    <row r="2056" spans="1:16" x14ac:dyDescent="0.35">
      <c r="A2056" s="54" t="str">
        <f>IFERROR(IF(INDEX(SPOT_Import!$A$1:$Z$2488,2056,'Live Data'!$C$12)="","",INDEX(SPOT_Import!$A$1:$Z$2488,2056,'Live Data'!$C$12)),"")</f>
        <v/>
      </c>
      <c r="B2056" s="54" t="str">
        <f>IFERROR(IF(INDEX(SPOT_Import!$A$1:$Z$2488,2056,'Live Data'!$C$13)="","",INDEX(SPOT_Import!$A$1:$Z$2488,2056,'Live Data'!$C$13)),"")</f>
        <v/>
      </c>
      <c r="C2056" s="54" t="str">
        <f>IFERROR(IF(INDEX(SPOT_Import!$A$1:$Z$2488,2056,'Live Data'!$C$14)="","",INDEX(SPOT_Import!$A$1:$Z$2488,2056,'Live Data'!$C$14)),"")</f>
        <v/>
      </c>
      <c r="D2056" s="54" t="str">
        <f>IFERROR(IF(INDEX(SPOT_Import!$A$1:$Z$2488,2056,'Live Data'!$C$15)="","",INDEX(SPOT_Import!$A$1:$Z$2488,2056,'Live Data'!$C$15)),"")</f>
        <v/>
      </c>
      <c r="E2056" s="54" t="str">
        <f>IFERROR(IF(INDEX(SPOT_Import!$A$1:$Z$2488,2056,'Live Data'!$C$16)="","",INDEX(SPOT_Import!$A$1:$Z$2488,2056,'Live Data'!$C$16)),"")</f>
        <v/>
      </c>
      <c r="F2056" s="54" t="str">
        <f>IFERROR(IF(INDEX(SPOT_Import!$A$1:$Z$2488,2056,'Live Data'!$C$17)="","",INDEX(SPOT_Import!$A$1:$Z$2488,2056,'Live Data'!$C$17)),"")</f>
        <v/>
      </c>
      <c r="G2056" s="54" t="str">
        <f>IFERROR(IF(INDEX(SPOT_Import!$A$1:$Z$2488,2056,'Live Data'!$C$18)="","",INDEX(SPOT_Import!$A$1:$Z$2488,2056,'Live Data'!$C$18)),"")</f>
        <v/>
      </c>
      <c r="H2056" s="54" t="str">
        <f>IFERROR(IF(INDEX(SPOT_Import!$A$1:$Z$2488,2056,'Live Data'!$C$19)="","",INDEX(SPOT_Import!$A$1:$Z$2488,2056,'Live Data'!$C$19)),"")</f>
        <v/>
      </c>
      <c r="I2056" s="54" t="str">
        <f>IFERROR(IF(INDEX(SPOT_Import!$A$1:$Z$2488,2056,'Live Data'!$C$20)="","",INDEX(SPOT_Import!$A$1:$Z$2488,2056,'Live Data'!$C$20)),"")</f>
        <v/>
      </c>
      <c r="J2056" s="54" t="str">
        <f>IFERROR(IF(INDEX(SPOT_Import!$A$1:$Z$2488,2056,'Live Data'!$C$21)="","",INDEX(SPOT_Import!$A$1:$Z$2488,2056,'Live Data'!$C$21)),"")</f>
        <v/>
      </c>
      <c r="K2056" s="54" t="str">
        <f>IFERROR(IF(INDEX(SPOT_Import!$A$1:$Z$2488,2056,'Live Data'!$C$22)="","",INDEX(SPOT_Import!$A$1:$Z$2488,2056,'Live Data'!$C$22)),"")</f>
        <v/>
      </c>
      <c r="L2056" s="55" t="str">
        <f t="shared" si="64"/>
        <v/>
      </c>
      <c r="M2056" s="55" t="str">
        <f t="shared" si="65"/>
        <v/>
      </c>
      <c r="N2056" s="55" t="str">
        <f>IF(A2056="","",IFERROR(INDEX('Cluster Map'!$A$4:$A$38,MATCH(M2056,'Cluster Map'!$B$4:$B$38,0)),"Unmapped"))</f>
        <v/>
      </c>
      <c r="O2056" s="55">
        <f>IF(A2056="",0,IF(COUNTIFS($A$2:A2056,A2056,$F$2:F2056,F2056,$L$2:L2056,L2056)=1,1,0))</f>
        <v>0</v>
      </c>
      <c r="P2056" s="55">
        <f>IF(A2056="",0,IF(AND(F2056="C&amp;T",COUNTIFS($A$2:A2056,A2056,$F$2:F2056,"C&amp;T")=1),1,0))</f>
        <v>0</v>
      </c>
    </row>
    <row r="2057" spans="1:16" x14ac:dyDescent="0.35">
      <c r="A2057" s="54" t="str">
        <f>IFERROR(IF(INDEX(SPOT_Import!$A$1:$Z$2488,2057,'Live Data'!$C$12)="","",INDEX(SPOT_Import!$A$1:$Z$2488,2057,'Live Data'!$C$12)),"")</f>
        <v/>
      </c>
      <c r="B2057" s="54" t="str">
        <f>IFERROR(IF(INDEX(SPOT_Import!$A$1:$Z$2488,2057,'Live Data'!$C$13)="","",INDEX(SPOT_Import!$A$1:$Z$2488,2057,'Live Data'!$C$13)),"")</f>
        <v/>
      </c>
      <c r="C2057" s="54" t="str">
        <f>IFERROR(IF(INDEX(SPOT_Import!$A$1:$Z$2488,2057,'Live Data'!$C$14)="","",INDEX(SPOT_Import!$A$1:$Z$2488,2057,'Live Data'!$C$14)),"")</f>
        <v/>
      </c>
      <c r="D2057" s="54" t="str">
        <f>IFERROR(IF(INDEX(SPOT_Import!$A$1:$Z$2488,2057,'Live Data'!$C$15)="","",INDEX(SPOT_Import!$A$1:$Z$2488,2057,'Live Data'!$C$15)),"")</f>
        <v/>
      </c>
      <c r="E2057" s="54" t="str">
        <f>IFERROR(IF(INDEX(SPOT_Import!$A$1:$Z$2488,2057,'Live Data'!$C$16)="","",INDEX(SPOT_Import!$A$1:$Z$2488,2057,'Live Data'!$C$16)),"")</f>
        <v/>
      </c>
      <c r="F2057" s="54" t="str">
        <f>IFERROR(IF(INDEX(SPOT_Import!$A$1:$Z$2488,2057,'Live Data'!$C$17)="","",INDEX(SPOT_Import!$A$1:$Z$2488,2057,'Live Data'!$C$17)),"")</f>
        <v/>
      </c>
      <c r="G2057" s="54" t="str">
        <f>IFERROR(IF(INDEX(SPOT_Import!$A$1:$Z$2488,2057,'Live Data'!$C$18)="","",INDEX(SPOT_Import!$A$1:$Z$2488,2057,'Live Data'!$C$18)),"")</f>
        <v/>
      </c>
      <c r="H2057" s="54" t="str">
        <f>IFERROR(IF(INDEX(SPOT_Import!$A$1:$Z$2488,2057,'Live Data'!$C$19)="","",INDEX(SPOT_Import!$A$1:$Z$2488,2057,'Live Data'!$C$19)),"")</f>
        <v/>
      </c>
      <c r="I2057" s="54" t="str">
        <f>IFERROR(IF(INDEX(SPOT_Import!$A$1:$Z$2488,2057,'Live Data'!$C$20)="","",INDEX(SPOT_Import!$A$1:$Z$2488,2057,'Live Data'!$C$20)),"")</f>
        <v/>
      </c>
      <c r="J2057" s="54" t="str">
        <f>IFERROR(IF(INDEX(SPOT_Import!$A$1:$Z$2488,2057,'Live Data'!$C$21)="","",INDEX(SPOT_Import!$A$1:$Z$2488,2057,'Live Data'!$C$21)),"")</f>
        <v/>
      </c>
      <c r="K2057" s="54" t="str">
        <f>IFERROR(IF(INDEX(SPOT_Import!$A$1:$Z$2488,2057,'Live Data'!$C$22)="","",INDEX(SPOT_Import!$A$1:$Z$2488,2057,'Live Data'!$C$22)),"")</f>
        <v/>
      </c>
      <c r="L2057" s="55" t="str">
        <f t="shared" si="64"/>
        <v/>
      </c>
      <c r="M2057" s="55" t="str">
        <f t="shared" si="65"/>
        <v/>
      </c>
      <c r="N2057" s="55" t="str">
        <f>IF(A2057="","",IFERROR(INDEX('Cluster Map'!$A$4:$A$38,MATCH(M2057,'Cluster Map'!$B$4:$B$38,0)),"Unmapped"))</f>
        <v/>
      </c>
      <c r="O2057" s="55">
        <f>IF(A2057="",0,IF(COUNTIFS($A$2:A2057,A2057,$F$2:F2057,F2057,$L$2:L2057,L2057)=1,1,0))</f>
        <v>0</v>
      </c>
      <c r="P2057" s="55">
        <f>IF(A2057="",0,IF(AND(F2057="C&amp;T",COUNTIFS($A$2:A2057,A2057,$F$2:F2057,"C&amp;T")=1),1,0))</f>
        <v>0</v>
      </c>
    </row>
    <row r="2058" spans="1:16" x14ac:dyDescent="0.35">
      <c r="A2058" s="54" t="str">
        <f>IFERROR(IF(INDEX(SPOT_Import!$A$1:$Z$2488,2058,'Live Data'!$C$12)="","",INDEX(SPOT_Import!$A$1:$Z$2488,2058,'Live Data'!$C$12)),"")</f>
        <v/>
      </c>
      <c r="B2058" s="54" t="str">
        <f>IFERROR(IF(INDEX(SPOT_Import!$A$1:$Z$2488,2058,'Live Data'!$C$13)="","",INDEX(SPOT_Import!$A$1:$Z$2488,2058,'Live Data'!$C$13)),"")</f>
        <v/>
      </c>
      <c r="C2058" s="54" t="str">
        <f>IFERROR(IF(INDEX(SPOT_Import!$A$1:$Z$2488,2058,'Live Data'!$C$14)="","",INDEX(SPOT_Import!$A$1:$Z$2488,2058,'Live Data'!$C$14)),"")</f>
        <v/>
      </c>
      <c r="D2058" s="54" t="str">
        <f>IFERROR(IF(INDEX(SPOT_Import!$A$1:$Z$2488,2058,'Live Data'!$C$15)="","",INDEX(SPOT_Import!$A$1:$Z$2488,2058,'Live Data'!$C$15)),"")</f>
        <v/>
      </c>
      <c r="E2058" s="54" t="str">
        <f>IFERROR(IF(INDEX(SPOT_Import!$A$1:$Z$2488,2058,'Live Data'!$C$16)="","",INDEX(SPOT_Import!$A$1:$Z$2488,2058,'Live Data'!$C$16)),"")</f>
        <v/>
      </c>
      <c r="F2058" s="54" t="str">
        <f>IFERROR(IF(INDEX(SPOT_Import!$A$1:$Z$2488,2058,'Live Data'!$C$17)="","",INDEX(SPOT_Import!$A$1:$Z$2488,2058,'Live Data'!$C$17)),"")</f>
        <v/>
      </c>
      <c r="G2058" s="54" t="str">
        <f>IFERROR(IF(INDEX(SPOT_Import!$A$1:$Z$2488,2058,'Live Data'!$C$18)="","",INDEX(SPOT_Import!$A$1:$Z$2488,2058,'Live Data'!$C$18)),"")</f>
        <v/>
      </c>
      <c r="H2058" s="54" t="str">
        <f>IFERROR(IF(INDEX(SPOT_Import!$A$1:$Z$2488,2058,'Live Data'!$C$19)="","",INDEX(SPOT_Import!$A$1:$Z$2488,2058,'Live Data'!$C$19)),"")</f>
        <v/>
      </c>
      <c r="I2058" s="54" t="str">
        <f>IFERROR(IF(INDEX(SPOT_Import!$A$1:$Z$2488,2058,'Live Data'!$C$20)="","",INDEX(SPOT_Import!$A$1:$Z$2488,2058,'Live Data'!$C$20)),"")</f>
        <v/>
      </c>
      <c r="J2058" s="54" t="str">
        <f>IFERROR(IF(INDEX(SPOT_Import!$A$1:$Z$2488,2058,'Live Data'!$C$21)="","",INDEX(SPOT_Import!$A$1:$Z$2488,2058,'Live Data'!$C$21)),"")</f>
        <v/>
      </c>
      <c r="K2058" s="54" t="str">
        <f>IFERROR(IF(INDEX(SPOT_Import!$A$1:$Z$2488,2058,'Live Data'!$C$22)="","",INDEX(SPOT_Import!$A$1:$Z$2488,2058,'Live Data'!$C$22)),"")</f>
        <v/>
      </c>
      <c r="L2058" s="55" t="str">
        <f t="shared" si="64"/>
        <v/>
      </c>
      <c r="M2058" s="55" t="str">
        <f t="shared" si="65"/>
        <v/>
      </c>
      <c r="N2058" s="55" t="str">
        <f>IF(A2058="","",IFERROR(INDEX('Cluster Map'!$A$4:$A$38,MATCH(M2058,'Cluster Map'!$B$4:$B$38,0)),"Unmapped"))</f>
        <v/>
      </c>
      <c r="O2058" s="55">
        <f>IF(A2058="",0,IF(COUNTIFS($A$2:A2058,A2058,$F$2:F2058,F2058,$L$2:L2058,L2058)=1,1,0))</f>
        <v>0</v>
      </c>
      <c r="P2058" s="55">
        <f>IF(A2058="",0,IF(AND(F2058="C&amp;T",COUNTIFS($A$2:A2058,A2058,$F$2:F2058,"C&amp;T")=1),1,0))</f>
        <v>0</v>
      </c>
    </row>
    <row r="2059" spans="1:16" x14ac:dyDescent="0.35">
      <c r="A2059" s="54" t="str">
        <f>IFERROR(IF(INDEX(SPOT_Import!$A$1:$Z$2488,2059,'Live Data'!$C$12)="","",INDEX(SPOT_Import!$A$1:$Z$2488,2059,'Live Data'!$C$12)),"")</f>
        <v/>
      </c>
      <c r="B2059" s="54" t="str">
        <f>IFERROR(IF(INDEX(SPOT_Import!$A$1:$Z$2488,2059,'Live Data'!$C$13)="","",INDEX(SPOT_Import!$A$1:$Z$2488,2059,'Live Data'!$C$13)),"")</f>
        <v/>
      </c>
      <c r="C2059" s="54" t="str">
        <f>IFERROR(IF(INDEX(SPOT_Import!$A$1:$Z$2488,2059,'Live Data'!$C$14)="","",INDEX(SPOT_Import!$A$1:$Z$2488,2059,'Live Data'!$C$14)),"")</f>
        <v/>
      </c>
      <c r="D2059" s="54" t="str">
        <f>IFERROR(IF(INDEX(SPOT_Import!$A$1:$Z$2488,2059,'Live Data'!$C$15)="","",INDEX(SPOT_Import!$A$1:$Z$2488,2059,'Live Data'!$C$15)),"")</f>
        <v/>
      </c>
      <c r="E2059" s="54" t="str">
        <f>IFERROR(IF(INDEX(SPOT_Import!$A$1:$Z$2488,2059,'Live Data'!$C$16)="","",INDEX(SPOT_Import!$A$1:$Z$2488,2059,'Live Data'!$C$16)),"")</f>
        <v/>
      </c>
      <c r="F2059" s="54" t="str">
        <f>IFERROR(IF(INDEX(SPOT_Import!$A$1:$Z$2488,2059,'Live Data'!$C$17)="","",INDEX(SPOT_Import!$A$1:$Z$2488,2059,'Live Data'!$C$17)),"")</f>
        <v/>
      </c>
      <c r="G2059" s="54" t="str">
        <f>IFERROR(IF(INDEX(SPOT_Import!$A$1:$Z$2488,2059,'Live Data'!$C$18)="","",INDEX(SPOT_Import!$A$1:$Z$2488,2059,'Live Data'!$C$18)),"")</f>
        <v/>
      </c>
      <c r="H2059" s="54" t="str">
        <f>IFERROR(IF(INDEX(SPOT_Import!$A$1:$Z$2488,2059,'Live Data'!$C$19)="","",INDEX(SPOT_Import!$A$1:$Z$2488,2059,'Live Data'!$C$19)),"")</f>
        <v/>
      </c>
      <c r="I2059" s="54" t="str">
        <f>IFERROR(IF(INDEX(SPOT_Import!$A$1:$Z$2488,2059,'Live Data'!$C$20)="","",INDEX(SPOT_Import!$A$1:$Z$2488,2059,'Live Data'!$C$20)),"")</f>
        <v/>
      </c>
      <c r="J2059" s="54" t="str">
        <f>IFERROR(IF(INDEX(SPOT_Import!$A$1:$Z$2488,2059,'Live Data'!$C$21)="","",INDEX(SPOT_Import!$A$1:$Z$2488,2059,'Live Data'!$C$21)),"")</f>
        <v/>
      </c>
      <c r="K2059" s="54" t="str">
        <f>IFERROR(IF(INDEX(SPOT_Import!$A$1:$Z$2488,2059,'Live Data'!$C$22)="","",INDEX(SPOT_Import!$A$1:$Z$2488,2059,'Live Data'!$C$22)),"")</f>
        <v/>
      </c>
      <c r="L2059" s="55" t="str">
        <f t="shared" si="64"/>
        <v/>
      </c>
      <c r="M2059" s="55" t="str">
        <f t="shared" si="65"/>
        <v/>
      </c>
      <c r="N2059" s="55" t="str">
        <f>IF(A2059="","",IFERROR(INDEX('Cluster Map'!$A$4:$A$38,MATCH(M2059,'Cluster Map'!$B$4:$B$38,0)),"Unmapped"))</f>
        <v/>
      </c>
      <c r="O2059" s="55">
        <f>IF(A2059="",0,IF(COUNTIFS($A$2:A2059,A2059,$F$2:F2059,F2059,$L$2:L2059,L2059)=1,1,0))</f>
        <v>0</v>
      </c>
      <c r="P2059" s="55">
        <f>IF(A2059="",0,IF(AND(F2059="C&amp;T",COUNTIFS($A$2:A2059,A2059,$F$2:F2059,"C&amp;T")=1),1,0))</f>
        <v>0</v>
      </c>
    </row>
    <row r="2060" spans="1:16" x14ac:dyDescent="0.35">
      <c r="A2060" s="54" t="str">
        <f>IFERROR(IF(INDEX(SPOT_Import!$A$1:$Z$2488,2060,'Live Data'!$C$12)="","",INDEX(SPOT_Import!$A$1:$Z$2488,2060,'Live Data'!$C$12)),"")</f>
        <v/>
      </c>
      <c r="B2060" s="54" t="str">
        <f>IFERROR(IF(INDEX(SPOT_Import!$A$1:$Z$2488,2060,'Live Data'!$C$13)="","",INDEX(SPOT_Import!$A$1:$Z$2488,2060,'Live Data'!$C$13)),"")</f>
        <v/>
      </c>
      <c r="C2060" s="54" t="str">
        <f>IFERROR(IF(INDEX(SPOT_Import!$A$1:$Z$2488,2060,'Live Data'!$C$14)="","",INDEX(SPOT_Import!$A$1:$Z$2488,2060,'Live Data'!$C$14)),"")</f>
        <v/>
      </c>
      <c r="D2060" s="54" t="str">
        <f>IFERROR(IF(INDEX(SPOT_Import!$A$1:$Z$2488,2060,'Live Data'!$C$15)="","",INDEX(SPOT_Import!$A$1:$Z$2488,2060,'Live Data'!$C$15)),"")</f>
        <v/>
      </c>
      <c r="E2060" s="54" t="str">
        <f>IFERROR(IF(INDEX(SPOT_Import!$A$1:$Z$2488,2060,'Live Data'!$C$16)="","",INDEX(SPOT_Import!$A$1:$Z$2488,2060,'Live Data'!$C$16)),"")</f>
        <v/>
      </c>
      <c r="F2060" s="54" t="str">
        <f>IFERROR(IF(INDEX(SPOT_Import!$A$1:$Z$2488,2060,'Live Data'!$C$17)="","",INDEX(SPOT_Import!$A$1:$Z$2488,2060,'Live Data'!$C$17)),"")</f>
        <v/>
      </c>
      <c r="G2060" s="54" t="str">
        <f>IFERROR(IF(INDEX(SPOT_Import!$A$1:$Z$2488,2060,'Live Data'!$C$18)="","",INDEX(SPOT_Import!$A$1:$Z$2488,2060,'Live Data'!$C$18)),"")</f>
        <v/>
      </c>
      <c r="H2060" s="54" t="str">
        <f>IFERROR(IF(INDEX(SPOT_Import!$A$1:$Z$2488,2060,'Live Data'!$C$19)="","",INDEX(SPOT_Import!$A$1:$Z$2488,2060,'Live Data'!$C$19)),"")</f>
        <v/>
      </c>
      <c r="I2060" s="54" t="str">
        <f>IFERROR(IF(INDEX(SPOT_Import!$A$1:$Z$2488,2060,'Live Data'!$C$20)="","",INDEX(SPOT_Import!$A$1:$Z$2488,2060,'Live Data'!$C$20)),"")</f>
        <v/>
      </c>
      <c r="J2060" s="54" t="str">
        <f>IFERROR(IF(INDEX(SPOT_Import!$A$1:$Z$2488,2060,'Live Data'!$C$21)="","",INDEX(SPOT_Import!$A$1:$Z$2488,2060,'Live Data'!$C$21)),"")</f>
        <v/>
      </c>
      <c r="K2060" s="54" t="str">
        <f>IFERROR(IF(INDEX(SPOT_Import!$A$1:$Z$2488,2060,'Live Data'!$C$22)="","",INDEX(SPOT_Import!$A$1:$Z$2488,2060,'Live Data'!$C$22)),"")</f>
        <v/>
      </c>
      <c r="L2060" s="55" t="str">
        <f t="shared" si="64"/>
        <v/>
      </c>
      <c r="M2060" s="55" t="str">
        <f t="shared" si="65"/>
        <v/>
      </c>
      <c r="N2060" s="55" t="str">
        <f>IF(A2060="","",IFERROR(INDEX('Cluster Map'!$A$4:$A$38,MATCH(M2060,'Cluster Map'!$B$4:$B$38,0)),"Unmapped"))</f>
        <v/>
      </c>
      <c r="O2060" s="55">
        <f>IF(A2060="",0,IF(COUNTIFS($A$2:A2060,A2060,$F$2:F2060,F2060,$L$2:L2060,L2060)=1,1,0))</f>
        <v>0</v>
      </c>
      <c r="P2060" s="55">
        <f>IF(A2060="",0,IF(AND(F2060="C&amp;T",COUNTIFS($A$2:A2060,A2060,$F$2:F2060,"C&amp;T")=1),1,0))</f>
        <v>0</v>
      </c>
    </row>
    <row r="2061" spans="1:16" x14ac:dyDescent="0.35">
      <c r="A2061" s="54" t="str">
        <f>IFERROR(IF(INDEX(SPOT_Import!$A$1:$Z$2488,2061,'Live Data'!$C$12)="","",INDEX(SPOT_Import!$A$1:$Z$2488,2061,'Live Data'!$C$12)),"")</f>
        <v/>
      </c>
      <c r="B2061" s="54" t="str">
        <f>IFERROR(IF(INDEX(SPOT_Import!$A$1:$Z$2488,2061,'Live Data'!$C$13)="","",INDEX(SPOT_Import!$A$1:$Z$2488,2061,'Live Data'!$C$13)),"")</f>
        <v/>
      </c>
      <c r="C2061" s="54" t="str">
        <f>IFERROR(IF(INDEX(SPOT_Import!$A$1:$Z$2488,2061,'Live Data'!$C$14)="","",INDEX(SPOT_Import!$A$1:$Z$2488,2061,'Live Data'!$C$14)),"")</f>
        <v/>
      </c>
      <c r="D2061" s="54" t="str">
        <f>IFERROR(IF(INDEX(SPOT_Import!$A$1:$Z$2488,2061,'Live Data'!$C$15)="","",INDEX(SPOT_Import!$A$1:$Z$2488,2061,'Live Data'!$C$15)),"")</f>
        <v/>
      </c>
      <c r="E2061" s="54" t="str">
        <f>IFERROR(IF(INDEX(SPOT_Import!$A$1:$Z$2488,2061,'Live Data'!$C$16)="","",INDEX(SPOT_Import!$A$1:$Z$2488,2061,'Live Data'!$C$16)),"")</f>
        <v/>
      </c>
      <c r="F2061" s="54" t="str">
        <f>IFERROR(IF(INDEX(SPOT_Import!$A$1:$Z$2488,2061,'Live Data'!$C$17)="","",INDEX(SPOT_Import!$A$1:$Z$2488,2061,'Live Data'!$C$17)),"")</f>
        <v/>
      </c>
      <c r="G2061" s="54" t="str">
        <f>IFERROR(IF(INDEX(SPOT_Import!$A$1:$Z$2488,2061,'Live Data'!$C$18)="","",INDEX(SPOT_Import!$A$1:$Z$2488,2061,'Live Data'!$C$18)),"")</f>
        <v/>
      </c>
      <c r="H2061" s="54" t="str">
        <f>IFERROR(IF(INDEX(SPOT_Import!$A$1:$Z$2488,2061,'Live Data'!$C$19)="","",INDEX(SPOT_Import!$A$1:$Z$2488,2061,'Live Data'!$C$19)),"")</f>
        <v/>
      </c>
      <c r="I2061" s="54" t="str">
        <f>IFERROR(IF(INDEX(SPOT_Import!$A$1:$Z$2488,2061,'Live Data'!$C$20)="","",INDEX(SPOT_Import!$A$1:$Z$2488,2061,'Live Data'!$C$20)),"")</f>
        <v/>
      </c>
      <c r="J2061" s="54" t="str">
        <f>IFERROR(IF(INDEX(SPOT_Import!$A$1:$Z$2488,2061,'Live Data'!$C$21)="","",INDEX(SPOT_Import!$A$1:$Z$2488,2061,'Live Data'!$C$21)),"")</f>
        <v/>
      </c>
      <c r="K2061" s="54" t="str">
        <f>IFERROR(IF(INDEX(SPOT_Import!$A$1:$Z$2488,2061,'Live Data'!$C$22)="","",INDEX(SPOT_Import!$A$1:$Z$2488,2061,'Live Data'!$C$22)),"")</f>
        <v/>
      </c>
      <c r="L2061" s="55" t="str">
        <f t="shared" si="64"/>
        <v/>
      </c>
      <c r="M2061" s="55" t="str">
        <f t="shared" si="65"/>
        <v/>
      </c>
      <c r="N2061" s="55" t="str">
        <f>IF(A2061="","",IFERROR(INDEX('Cluster Map'!$A$4:$A$38,MATCH(M2061,'Cluster Map'!$B$4:$B$38,0)),"Unmapped"))</f>
        <v/>
      </c>
      <c r="O2061" s="55">
        <f>IF(A2061="",0,IF(COUNTIFS($A$2:A2061,A2061,$F$2:F2061,F2061,$L$2:L2061,L2061)=1,1,0))</f>
        <v>0</v>
      </c>
      <c r="P2061" s="55">
        <f>IF(A2061="",0,IF(AND(F2061="C&amp;T",COUNTIFS($A$2:A2061,A2061,$F$2:F2061,"C&amp;T")=1),1,0))</f>
        <v>0</v>
      </c>
    </row>
    <row r="2062" spans="1:16" x14ac:dyDescent="0.35">
      <c r="A2062" s="54" t="str">
        <f>IFERROR(IF(INDEX(SPOT_Import!$A$1:$Z$2488,2062,'Live Data'!$C$12)="","",INDEX(SPOT_Import!$A$1:$Z$2488,2062,'Live Data'!$C$12)),"")</f>
        <v/>
      </c>
      <c r="B2062" s="54" t="str">
        <f>IFERROR(IF(INDEX(SPOT_Import!$A$1:$Z$2488,2062,'Live Data'!$C$13)="","",INDEX(SPOT_Import!$A$1:$Z$2488,2062,'Live Data'!$C$13)),"")</f>
        <v/>
      </c>
      <c r="C2062" s="54" t="str">
        <f>IFERROR(IF(INDEX(SPOT_Import!$A$1:$Z$2488,2062,'Live Data'!$C$14)="","",INDEX(SPOT_Import!$A$1:$Z$2488,2062,'Live Data'!$C$14)),"")</f>
        <v/>
      </c>
      <c r="D2062" s="54" t="str">
        <f>IFERROR(IF(INDEX(SPOT_Import!$A$1:$Z$2488,2062,'Live Data'!$C$15)="","",INDEX(SPOT_Import!$A$1:$Z$2488,2062,'Live Data'!$C$15)),"")</f>
        <v/>
      </c>
      <c r="E2062" s="54" t="str">
        <f>IFERROR(IF(INDEX(SPOT_Import!$A$1:$Z$2488,2062,'Live Data'!$C$16)="","",INDEX(SPOT_Import!$A$1:$Z$2488,2062,'Live Data'!$C$16)),"")</f>
        <v/>
      </c>
      <c r="F2062" s="54" t="str">
        <f>IFERROR(IF(INDEX(SPOT_Import!$A$1:$Z$2488,2062,'Live Data'!$C$17)="","",INDEX(SPOT_Import!$A$1:$Z$2488,2062,'Live Data'!$C$17)),"")</f>
        <v/>
      </c>
      <c r="G2062" s="54" t="str">
        <f>IFERROR(IF(INDEX(SPOT_Import!$A$1:$Z$2488,2062,'Live Data'!$C$18)="","",INDEX(SPOT_Import!$A$1:$Z$2488,2062,'Live Data'!$C$18)),"")</f>
        <v/>
      </c>
      <c r="H2062" s="54" t="str">
        <f>IFERROR(IF(INDEX(SPOT_Import!$A$1:$Z$2488,2062,'Live Data'!$C$19)="","",INDEX(SPOT_Import!$A$1:$Z$2488,2062,'Live Data'!$C$19)),"")</f>
        <v/>
      </c>
      <c r="I2062" s="54" t="str">
        <f>IFERROR(IF(INDEX(SPOT_Import!$A$1:$Z$2488,2062,'Live Data'!$C$20)="","",INDEX(SPOT_Import!$A$1:$Z$2488,2062,'Live Data'!$C$20)),"")</f>
        <v/>
      </c>
      <c r="J2062" s="54" t="str">
        <f>IFERROR(IF(INDEX(SPOT_Import!$A$1:$Z$2488,2062,'Live Data'!$C$21)="","",INDEX(SPOT_Import!$A$1:$Z$2488,2062,'Live Data'!$C$21)),"")</f>
        <v/>
      </c>
      <c r="K2062" s="54" t="str">
        <f>IFERROR(IF(INDEX(SPOT_Import!$A$1:$Z$2488,2062,'Live Data'!$C$22)="","",INDEX(SPOT_Import!$A$1:$Z$2488,2062,'Live Data'!$C$22)),"")</f>
        <v/>
      </c>
      <c r="L2062" s="55" t="str">
        <f t="shared" si="64"/>
        <v/>
      </c>
      <c r="M2062" s="55" t="str">
        <f t="shared" si="65"/>
        <v/>
      </c>
      <c r="N2062" s="55" t="str">
        <f>IF(A2062="","",IFERROR(INDEX('Cluster Map'!$A$4:$A$38,MATCH(M2062,'Cluster Map'!$B$4:$B$38,0)),"Unmapped"))</f>
        <v/>
      </c>
      <c r="O2062" s="55">
        <f>IF(A2062="",0,IF(COUNTIFS($A$2:A2062,A2062,$F$2:F2062,F2062,$L$2:L2062,L2062)=1,1,0))</f>
        <v>0</v>
      </c>
      <c r="P2062" s="55">
        <f>IF(A2062="",0,IF(AND(F2062="C&amp;T",COUNTIFS($A$2:A2062,A2062,$F$2:F2062,"C&amp;T")=1),1,0))</f>
        <v>0</v>
      </c>
    </row>
    <row r="2063" spans="1:16" x14ac:dyDescent="0.35">
      <c r="A2063" s="54" t="str">
        <f>IFERROR(IF(INDEX(SPOT_Import!$A$1:$Z$2488,2063,'Live Data'!$C$12)="","",INDEX(SPOT_Import!$A$1:$Z$2488,2063,'Live Data'!$C$12)),"")</f>
        <v/>
      </c>
      <c r="B2063" s="54" t="str">
        <f>IFERROR(IF(INDEX(SPOT_Import!$A$1:$Z$2488,2063,'Live Data'!$C$13)="","",INDEX(SPOT_Import!$A$1:$Z$2488,2063,'Live Data'!$C$13)),"")</f>
        <v/>
      </c>
      <c r="C2063" s="54" t="str">
        <f>IFERROR(IF(INDEX(SPOT_Import!$A$1:$Z$2488,2063,'Live Data'!$C$14)="","",INDEX(SPOT_Import!$A$1:$Z$2488,2063,'Live Data'!$C$14)),"")</f>
        <v/>
      </c>
      <c r="D2063" s="54" t="str">
        <f>IFERROR(IF(INDEX(SPOT_Import!$A$1:$Z$2488,2063,'Live Data'!$C$15)="","",INDEX(SPOT_Import!$A$1:$Z$2488,2063,'Live Data'!$C$15)),"")</f>
        <v/>
      </c>
      <c r="E2063" s="54" t="str">
        <f>IFERROR(IF(INDEX(SPOT_Import!$A$1:$Z$2488,2063,'Live Data'!$C$16)="","",INDEX(SPOT_Import!$A$1:$Z$2488,2063,'Live Data'!$C$16)),"")</f>
        <v/>
      </c>
      <c r="F2063" s="54" t="str">
        <f>IFERROR(IF(INDEX(SPOT_Import!$A$1:$Z$2488,2063,'Live Data'!$C$17)="","",INDEX(SPOT_Import!$A$1:$Z$2488,2063,'Live Data'!$C$17)),"")</f>
        <v/>
      </c>
      <c r="G2063" s="54" t="str">
        <f>IFERROR(IF(INDEX(SPOT_Import!$A$1:$Z$2488,2063,'Live Data'!$C$18)="","",INDEX(SPOT_Import!$A$1:$Z$2488,2063,'Live Data'!$C$18)),"")</f>
        <v/>
      </c>
      <c r="H2063" s="54" t="str">
        <f>IFERROR(IF(INDEX(SPOT_Import!$A$1:$Z$2488,2063,'Live Data'!$C$19)="","",INDEX(SPOT_Import!$A$1:$Z$2488,2063,'Live Data'!$C$19)),"")</f>
        <v/>
      </c>
      <c r="I2063" s="54" t="str">
        <f>IFERROR(IF(INDEX(SPOT_Import!$A$1:$Z$2488,2063,'Live Data'!$C$20)="","",INDEX(SPOT_Import!$A$1:$Z$2488,2063,'Live Data'!$C$20)),"")</f>
        <v/>
      </c>
      <c r="J2063" s="54" t="str">
        <f>IFERROR(IF(INDEX(SPOT_Import!$A$1:$Z$2488,2063,'Live Data'!$C$21)="","",INDEX(SPOT_Import!$A$1:$Z$2488,2063,'Live Data'!$C$21)),"")</f>
        <v/>
      </c>
      <c r="K2063" s="54" t="str">
        <f>IFERROR(IF(INDEX(SPOT_Import!$A$1:$Z$2488,2063,'Live Data'!$C$22)="","",INDEX(SPOT_Import!$A$1:$Z$2488,2063,'Live Data'!$C$22)),"")</f>
        <v/>
      </c>
      <c r="L2063" s="55" t="str">
        <f t="shared" si="64"/>
        <v/>
      </c>
      <c r="M2063" s="55" t="str">
        <f t="shared" si="65"/>
        <v/>
      </c>
      <c r="N2063" s="55" t="str">
        <f>IF(A2063="","",IFERROR(INDEX('Cluster Map'!$A$4:$A$38,MATCH(M2063,'Cluster Map'!$B$4:$B$38,0)),"Unmapped"))</f>
        <v/>
      </c>
      <c r="O2063" s="55">
        <f>IF(A2063="",0,IF(COUNTIFS($A$2:A2063,A2063,$F$2:F2063,F2063,$L$2:L2063,L2063)=1,1,0))</f>
        <v>0</v>
      </c>
      <c r="P2063" s="55">
        <f>IF(A2063="",0,IF(AND(F2063="C&amp;T",COUNTIFS($A$2:A2063,A2063,$F$2:F2063,"C&amp;T")=1),1,0))</f>
        <v>0</v>
      </c>
    </row>
    <row r="2064" spans="1:16" x14ac:dyDescent="0.35">
      <c r="A2064" s="54" t="str">
        <f>IFERROR(IF(INDEX(SPOT_Import!$A$1:$Z$2488,2064,'Live Data'!$C$12)="","",INDEX(SPOT_Import!$A$1:$Z$2488,2064,'Live Data'!$C$12)),"")</f>
        <v/>
      </c>
      <c r="B2064" s="54" t="str">
        <f>IFERROR(IF(INDEX(SPOT_Import!$A$1:$Z$2488,2064,'Live Data'!$C$13)="","",INDEX(SPOT_Import!$A$1:$Z$2488,2064,'Live Data'!$C$13)),"")</f>
        <v/>
      </c>
      <c r="C2064" s="54" t="str">
        <f>IFERROR(IF(INDEX(SPOT_Import!$A$1:$Z$2488,2064,'Live Data'!$C$14)="","",INDEX(SPOT_Import!$A$1:$Z$2488,2064,'Live Data'!$C$14)),"")</f>
        <v/>
      </c>
      <c r="D2064" s="54" t="str">
        <f>IFERROR(IF(INDEX(SPOT_Import!$A$1:$Z$2488,2064,'Live Data'!$C$15)="","",INDEX(SPOT_Import!$A$1:$Z$2488,2064,'Live Data'!$C$15)),"")</f>
        <v/>
      </c>
      <c r="E2064" s="54" t="str">
        <f>IFERROR(IF(INDEX(SPOT_Import!$A$1:$Z$2488,2064,'Live Data'!$C$16)="","",INDEX(SPOT_Import!$A$1:$Z$2488,2064,'Live Data'!$C$16)),"")</f>
        <v/>
      </c>
      <c r="F2064" s="54" t="str">
        <f>IFERROR(IF(INDEX(SPOT_Import!$A$1:$Z$2488,2064,'Live Data'!$C$17)="","",INDEX(SPOT_Import!$A$1:$Z$2488,2064,'Live Data'!$C$17)),"")</f>
        <v/>
      </c>
      <c r="G2064" s="54" t="str">
        <f>IFERROR(IF(INDEX(SPOT_Import!$A$1:$Z$2488,2064,'Live Data'!$C$18)="","",INDEX(SPOT_Import!$A$1:$Z$2488,2064,'Live Data'!$C$18)),"")</f>
        <v/>
      </c>
      <c r="H2064" s="54" t="str">
        <f>IFERROR(IF(INDEX(SPOT_Import!$A$1:$Z$2488,2064,'Live Data'!$C$19)="","",INDEX(SPOT_Import!$A$1:$Z$2488,2064,'Live Data'!$C$19)),"")</f>
        <v/>
      </c>
      <c r="I2064" s="54" t="str">
        <f>IFERROR(IF(INDEX(SPOT_Import!$A$1:$Z$2488,2064,'Live Data'!$C$20)="","",INDEX(SPOT_Import!$A$1:$Z$2488,2064,'Live Data'!$C$20)),"")</f>
        <v/>
      </c>
      <c r="J2064" s="54" t="str">
        <f>IFERROR(IF(INDEX(SPOT_Import!$A$1:$Z$2488,2064,'Live Data'!$C$21)="","",INDEX(SPOT_Import!$A$1:$Z$2488,2064,'Live Data'!$C$21)),"")</f>
        <v/>
      </c>
      <c r="K2064" s="54" t="str">
        <f>IFERROR(IF(INDEX(SPOT_Import!$A$1:$Z$2488,2064,'Live Data'!$C$22)="","",INDEX(SPOT_Import!$A$1:$Z$2488,2064,'Live Data'!$C$22)),"")</f>
        <v/>
      </c>
      <c r="L2064" s="55" t="str">
        <f t="shared" si="64"/>
        <v/>
      </c>
      <c r="M2064" s="55" t="str">
        <f t="shared" si="65"/>
        <v/>
      </c>
      <c r="N2064" s="55" t="str">
        <f>IF(A2064="","",IFERROR(INDEX('Cluster Map'!$A$4:$A$38,MATCH(M2064,'Cluster Map'!$B$4:$B$38,0)),"Unmapped"))</f>
        <v/>
      </c>
      <c r="O2064" s="55">
        <f>IF(A2064="",0,IF(COUNTIFS($A$2:A2064,A2064,$F$2:F2064,F2064,$L$2:L2064,L2064)=1,1,0))</f>
        <v>0</v>
      </c>
      <c r="P2064" s="55">
        <f>IF(A2064="",0,IF(AND(F2064="C&amp;T",COUNTIFS($A$2:A2064,A2064,$F$2:F2064,"C&amp;T")=1),1,0))</f>
        <v>0</v>
      </c>
    </row>
    <row r="2065" spans="1:16" x14ac:dyDescent="0.35">
      <c r="A2065" s="54" t="str">
        <f>IFERROR(IF(INDEX(SPOT_Import!$A$1:$Z$2488,2065,'Live Data'!$C$12)="","",INDEX(SPOT_Import!$A$1:$Z$2488,2065,'Live Data'!$C$12)),"")</f>
        <v/>
      </c>
      <c r="B2065" s="54" t="str">
        <f>IFERROR(IF(INDEX(SPOT_Import!$A$1:$Z$2488,2065,'Live Data'!$C$13)="","",INDEX(SPOT_Import!$A$1:$Z$2488,2065,'Live Data'!$C$13)),"")</f>
        <v/>
      </c>
      <c r="C2065" s="54" t="str">
        <f>IFERROR(IF(INDEX(SPOT_Import!$A$1:$Z$2488,2065,'Live Data'!$C$14)="","",INDEX(SPOT_Import!$A$1:$Z$2488,2065,'Live Data'!$C$14)),"")</f>
        <v/>
      </c>
      <c r="D2065" s="54" t="str">
        <f>IFERROR(IF(INDEX(SPOT_Import!$A$1:$Z$2488,2065,'Live Data'!$C$15)="","",INDEX(SPOT_Import!$A$1:$Z$2488,2065,'Live Data'!$C$15)),"")</f>
        <v/>
      </c>
      <c r="E2065" s="54" t="str">
        <f>IFERROR(IF(INDEX(SPOT_Import!$A$1:$Z$2488,2065,'Live Data'!$C$16)="","",INDEX(SPOT_Import!$A$1:$Z$2488,2065,'Live Data'!$C$16)),"")</f>
        <v/>
      </c>
      <c r="F2065" s="54" t="str">
        <f>IFERROR(IF(INDEX(SPOT_Import!$A$1:$Z$2488,2065,'Live Data'!$C$17)="","",INDEX(SPOT_Import!$A$1:$Z$2488,2065,'Live Data'!$C$17)),"")</f>
        <v/>
      </c>
      <c r="G2065" s="54" t="str">
        <f>IFERROR(IF(INDEX(SPOT_Import!$A$1:$Z$2488,2065,'Live Data'!$C$18)="","",INDEX(SPOT_Import!$A$1:$Z$2488,2065,'Live Data'!$C$18)),"")</f>
        <v/>
      </c>
      <c r="H2065" s="54" t="str">
        <f>IFERROR(IF(INDEX(SPOT_Import!$A$1:$Z$2488,2065,'Live Data'!$C$19)="","",INDEX(SPOT_Import!$A$1:$Z$2488,2065,'Live Data'!$C$19)),"")</f>
        <v/>
      </c>
      <c r="I2065" s="54" t="str">
        <f>IFERROR(IF(INDEX(SPOT_Import!$A$1:$Z$2488,2065,'Live Data'!$C$20)="","",INDEX(SPOT_Import!$A$1:$Z$2488,2065,'Live Data'!$C$20)),"")</f>
        <v/>
      </c>
      <c r="J2065" s="54" t="str">
        <f>IFERROR(IF(INDEX(SPOT_Import!$A$1:$Z$2488,2065,'Live Data'!$C$21)="","",INDEX(SPOT_Import!$A$1:$Z$2488,2065,'Live Data'!$C$21)),"")</f>
        <v/>
      </c>
      <c r="K2065" s="54" t="str">
        <f>IFERROR(IF(INDEX(SPOT_Import!$A$1:$Z$2488,2065,'Live Data'!$C$22)="","",INDEX(SPOT_Import!$A$1:$Z$2488,2065,'Live Data'!$C$22)),"")</f>
        <v/>
      </c>
      <c r="L2065" s="55" t="str">
        <f t="shared" si="64"/>
        <v/>
      </c>
      <c r="M2065" s="55" t="str">
        <f t="shared" si="65"/>
        <v/>
      </c>
      <c r="N2065" s="55" t="str">
        <f>IF(A2065="","",IFERROR(INDEX('Cluster Map'!$A$4:$A$38,MATCH(M2065,'Cluster Map'!$B$4:$B$38,0)),"Unmapped"))</f>
        <v/>
      </c>
      <c r="O2065" s="55">
        <f>IF(A2065="",0,IF(COUNTIFS($A$2:A2065,A2065,$F$2:F2065,F2065,$L$2:L2065,L2065)=1,1,0))</f>
        <v>0</v>
      </c>
      <c r="P2065" s="55">
        <f>IF(A2065="",0,IF(AND(F2065="C&amp;T",COUNTIFS($A$2:A2065,A2065,$F$2:F2065,"C&amp;T")=1),1,0))</f>
        <v>0</v>
      </c>
    </row>
    <row r="2066" spans="1:16" x14ac:dyDescent="0.35">
      <c r="A2066" s="54" t="str">
        <f>IFERROR(IF(INDEX(SPOT_Import!$A$1:$Z$2488,2066,'Live Data'!$C$12)="","",INDEX(SPOT_Import!$A$1:$Z$2488,2066,'Live Data'!$C$12)),"")</f>
        <v/>
      </c>
      <c r="B2066" s="54" t="str">
        <f>IFERROR(IF(INDEX(SPOT_Import!$A$1:$Z$2488,2066,'Live Data'!$C$13)="","",INDEX(SPOT_Import!$A$1:$Z$2488,2066,'Live Data'!$C$13)),"")</f>
        <v/>
      </c>
      <c r="C2066" s="54" t="str">
        <f>IFERROR(IF(INDEX(SPOT_Import!$A$1:$Z$2488,2066,'Live Data'!$C$14)="","",INDEX(SPOT_Import!$A$1:$Z$2488,2066,'Live Data'!$C$14)),"")</f>
        <v/>
      </c>
      <c r="D2066" s="54" t="str">
        <f>IFERROR(IF(INDEX(SPOT_Import!$A$1:$Z$2488,2066,'Live Data'!$C$15)="","",INDEX(SPOT_Import!$A$1:$Z$2488,2066,'Live Data'!$C$15)),"")</f>
        <v/>
      </c>
      <c r="E2066" s="54" t="str">
        <f>IFERROR(IF(INDEX(SPOT_Import!$A$1:$Z$2488,2066,'Live Data'!$C$16)="","",INDEX(SPOT_Import!$A$1:$Z$2488,2066,'Live Data'!$C$16)),"")</f>
        <v/>
      </c>
      <c r="F2066" s="54" t="str">
        <f>IFERROR(IF(INDEX(SPOT_Import!$A$1:$Z$2488,2066,'Live Data'!$C$17)="","",INDEX(SPOT_Import!$A$1:$Z$2488,2066,'Live Data'!$C$17)),"")</f>
        <v/>
      </c>
      <c r="G2066" s="54" t="str">
        <f>IFERROR(IF(INDEX(SPOT_Import!$A$1:$Z$2488,2066,'Live Data'!$C$18)="","",INDEX(SPOT_Import!$A$1:$Z$2488,2066,'Live Data'!$C$18)),"")</f>
        <v/>
      </c>
      <c r="H2066" s="54" t="str">
        <f>IFERROR(IF(INDEX(SPOT_Import!$A$1:$Z$2488,2066,'Live Data'!$C$19)="","",INDEX(SPOT_Import!$A$1:$Z$2488,2066,'Live Data'!$C$19)),"")</f>
        <v/>
      </c>
      <c r="I2066" s="54" t="str">
        <f>IFERROR(IF(INDEX(SPOT_Import!$A$1:$Z$2488,2066,'Live Data'!$C$20)="","",INDEX(SPOT_Import!$A$1:$Z$2488,2066,'Live Data'!$C$20)),"")</f>
        <v/>
      </c>
      <c r="J2066" s="54" t="str">
        <f>IFERROR(IF(INDEX(SPOT_Import!$A$1:$Z$2488,2066,'Live Data'!$C$21)="","",INDEX(SPOT_Import!$A$1:$Z$2488,2066,'Live Data'!$C$21)),"")</f>
        <v/>
      </c>
      <c r="K2066" s="54" t="str">
        <f>IFERROR(IF(INDEX(SPOT_Import!$A$1:$Z$2488,2066,'Live Data'!$C$22)="","",INDEX(SPOT_Import!$A$1:$Z$2488,2066,'Live Data'!$C$22)),"")</f>
        <v/>
      </c>
      <c r="L2066" s="55" t="str">
        <f t="shared" si="64"/>
        <v/>
      </c>
      <c r="M2066" s="55" t="str">
        <f t="shared" si="65"/>
        <v/>
      </c>
      <c r="N2066" s="55" t="str">
        <f>IF(A2066="","",IFERROR(INDEX('Cluster Map'!$A$4:$A$38,MATCH(M2066,'Cluster Map'!$B$4:$B$38,0)),"Unmapped"))</f>
        <v/>
      </c>
      <c r="O2066" s="55">
        <f>IF(A2066="",0,IF(COUNTIFS($A$2:A2066,A2066,$F$2:F2066,F2066,$L$2:L2066,L2066)=1,1,0))</f>
        <v>0</v>
      </c>
      <c r="P2066" s="55">
        <f>IF(A2066="",0,IF(AND(F2066="C&amp;T",COUNTIFS($A$2:A2066,A2066,$F$2:F2066,"C&amp;T")=1),1,0))</f>
        <v>0</v>
      </c>
    </row>
    <row r="2067" spans="1:16" x14ac:dyDescent="0.35">
      <c r="A2067" s="54" t="str">
        <f>IFERROR(IF(INDEX(SPOT_Import!$A$1:$Z$2488,2067,'Live Data'!$C$12)="","",INDEX(SPOT_Import!$A$1:$Z$2488,2067,'Live Data'!$C$12)),"")</f>
        <v/>
      </c>
      <c r="B2067" s="54" t="str">
        <f>IFERROR(IF(INDEX(SPOT_Import!$A$1:$Z$2488,2067,'Live Data'!$C$13)="","",INDEX(SPOT_Import!$A$1:$Z$2488,2067,'Live Data'!$C$13)),"")</f>
        <v/>
      </c>
      <c r="C2067" s="54" t="str">
        <f>IFERROR(IF(INDEX(SPOT_Import!$A$1:$Z$2488,2067,'Live Data'!$C$14)="","",INDEX(SPOT_Import!$A$1:$Z$2488,2067,'Live Data'!$C$14)),"")</f>
        <v/>
      </c>
      <c r="D2067" s="54" t="str">
        <f>IFERROR(IF(INDEX(SPOT_Import!$A$1:$Z$2488,2067,'Live Data'!$C$15)="","",INDEX(SPOT_Import!$A$1:$Z$2488,2067,'Live Data'!$C$15)),"")</f>
        <v/>
      </c>
      <c r="E2067" s="54" t="str">
        <f>IFERROR(IF(INDEX(SPOT_Import!$A$1:$Z$2488,2067,'Live Data'!$C$16)="","",INDEX(SPOT_Import!$A$1:$Z$2488,2067,'Live Data'!$C$16)),"")</f>
        <v/>
      </c>
      <c r="F2067" s="54" t="str">
        <f>IFERROR(IF(INDEX(SPOT_Import!$A$1:$Z$2488,2067,'Live Data'!$C$17)="","",INDEX(SPOT_Import!$A$1:$Z$2488,2067,'Live Data'!$C$17)),"")</f>
        <v/>
      </c>
      <c r="G2067" s="54" t="str">
        <f>IFERROR(IF(INDEX(SPOT_Import!$A$1:$Z$2488,2067,'Live Data'!$C$18)="","",INDEX(SPOT_Import!$A$1:$Z$2488,2067,'Live Data'!$C$18)),"")</f>
        <v/>
      </c>
      <c r="H2067" s="54" t="str">
        <f>IFERROR(IF(INDEX(SPOT_Import!$A$1:$Z$2488,2067,'Live Data'!$C$19)="","",INDEX(SPOT_Import!$A$1:$Z$2488,2067,'Live Data'!$C$19)),"")</f>
        <v/>
      </c>
      <c r="I2067" s="54" t="str">
        <f>IFERROR(IF(INDEX(SPOT_Import!$A$1:$Z$2488,2067,'Live Data'!$C$20)="","",INDEX(SPOT_Import!$A$1:$Z$2488,2067,'Live Data'!$C$20)),"")</f>
        <v/>
      </c>
      <c r="J2067" s="54" t="str">
        <f>IFERROR(IF(INDEX(SPOT_Import!$A$1:$Z$2488,2067,'Live Data'!$C$21)="","",INDEX(SPOT_Import!$A$1:$Z$2488,2067,'Live Data'!$C$21)),"")</f>
        <v/>
      </c>
      <c r="K2067" s="54" t="str">
        <f>IFERROR(IF(INDEX(SPOT_Import!$A$1:$Z$2488,2067,'Live Data'!$C$22)="","",INDEX(SPOT_Import!$A$1:$Z$2488,2067,'Live Data'!$C$22)),"")</f>
        <v/>
      </c>
      <c r="L2067" s="55" t="str">
        <f t="shared" si="64"/>
        <v/>
      </c>
      <c r="M2067" s="55" t="str">
        <f t="shared" si="65"/>
        <v/>
      </c>
      <c r="N2067" s="55" t="str">
        <f>IF(A2067="","",IFERROR(INDEX('Cluster Map'!$A$4:$A$38,MATCH(M2067,'Cluster Map'!$B$4:$B$38,0)),"Unmapped"))</f>
        <v/>
      </c>
      <c r="O2067" s="55">
        <f>IF(A2067="",0,IF(COUNTIFS($A$2:A2067,A2067,$F$2:F2067,F2067,$L$2:L2067,L2067)=1,1,0))</f>
        <v>0</v>
      </c>
      <c r="P2067" s="55">
        <f>IF(A2067="",0,IF(AND(F2067="C&amp;T",COUNTIFS($A$2:A2067,A2067,$F$2:F2067,"C&amp;T")=1),1,0))</f>
        <v>0</v>
      </c>
    </row>
    <row r="2068" spans="1:16" x14ac:dyDescent="0.35">
      <c r="A2068" s="54" t="str">
        <f>IFERROR(IF(INDEX(SPOT_Import!$A$1:$Z$2488,2068,'Live Data'!$C$12)="","",INDEX(SPOT_Import!$A$1:$Z$2488,2068,'Live Data'!$C$12)),"")</f>
        <v/>
      </c>
      <c r="B2068" s="54" t="str">
        <f>IFERROR(IF(INDEX(SPOT_Import!$A$1:$Z$2488,2068,'Live Data'!$C$13)="","",INDEX(SPOT_Import!$A$1:$Z$2488,2068,'Live Data'!$C$13)),"")</f>
        <v/>
      </c>
      <c r="C2068" s="54" t="str">
        <f>IFERROR(IF(INDEX(SPOT_Import!$A$1:$Z$2488,2068,'Live Data'!$C$14)="","",INDEX(SPOT_Import!$A$1:$Z$2488,2068,'Live Data'!$C$14)),"")</f>
        <v/>
      </c>
      <c r="D2068" s="54" t="str">
        <f>IFERROR(IF(INDEX(SPOT_Import!$A$1:$Z$2488,2068,'Live Data'!$C$15)="","",INDEX(SPOT_Import!$A$1:$Z$2488,2068,'Live Data'!$C$15)),"")</f>
        <v/>
      </c>
      <c r="E2068" s="54" t="str">
        <f>IFERROR(IF(INDEX(SPOT_Import!$A$1:$Z$2488,2068,'Live Data'!$C$16)="","",INDEX(SPOT_Import!$A$1:$Z$2488,2068,'Live Data'!$C$16)),"")</f>
        <v/>
      </c>
      <c r="F2068" s="54" t="str">
        <f>IFERROR(IF(INDEX(SPOT_Import!$A$1:$Z$2488,2068,'Live Data'!$C$17)="","",INDEX(SPOT_Import!$A$1:$Z$2488,2068,'Live Data'!$C$17)),"")</f>
        <v/>
      </c>
      <c r="G2068" s="54" t="str">
        <f>IFERROR(IF(INDEX(SPOT_Import!$A$1:$Z$2488,2068,'Live Data'!$C$18)="","",INDEX(SPOT_Import!$A$1:$Z$2488,2068,'Live Data'!$C$18)),"")</f>
        <v/>
      </c>
      <c r="H2068" s="54" t="str">
        <f>IFERROR(IF(INDEX(SPOT_Import!$A$1:$Z$2488,2068,'Live Data'!$C$19)="","",INDEX(SPOT_Import!$A$1:$Z$2488,2068,'Live Data'!$C$19)),"")</f>
        <v/>
      </c>
      <c r="I2068" s="54" t="str">
        <f>IFERROR(IF(INDEX(SPOT_Import!$A$1:$Z$2488,2068,'Live Data'!$C$20)="","",INDEX(SPOT_Import!$A$1:$Z$2488,2068,'Live Data'!$C$20)),"")</f>
        <v/>
      </c>
      <c r="J2068" s="54" t="str">
        <f>IFERROR(IF(INDEX(SPOT_Import!$A$1:$Z$2488,2068,'Live Data'!$C$21)="","",INDEX(SPOT_Import!$A$1:$Z$2488,2068,'Live Data'!$C$21)),"")</f>
        <v/>
      </c>
      <c r="K2068" s="54" t="str">
        <f>IFERROR(IF(INDEX(SPOT_Import!$A$1:$Z$2488,2068,'Live Data'!$C$22)="","",INDEX(SPOT_Import!$A$1:$Z$2488,2068,'Live Data'!$C$22)),"")</f>
        <v/>
      </c>
      <c r="L2068" s="55" t="str">
        <f t="shared" si="64"/>
        <v/>
      </c>
      <c r="M2068" s="55" t="str">
        <f t="shared" si="65"/>
        <v/>
      </c>
      <c r="N2068" s="55" t="str">
        <f>IF(A2068="","",IFERROR(INDEX('Cluster Map'!$A$4:$A$38,MATCH(M2068,'Cluster Map'!$B$4:$B$38,0)),"Unmapped"))</f>
        <v/>
      </c>
      <c r="O2068" s="55">
        <f>IF(A2068="",0,IF(COUNTIFS($A$2:A2068,A2068,$F$2:F2068,F2068,$L$2:L2068,L2068)=1,1,0))</f>
        <v>0</v>
      </c>
      <c r="P2068" s="55">
        <f>IF(A2068="",0,IF(AND(F2068="C&amp;T",COUNTIFS($A$2:A2068,A2068,$F$2:F2068,"C&amp;T")=1),1,0))</f>
        <v>0</v>
      </c>
    </row>
    <row r="2069" spans="1:16" x14ac:dyDescent="0.35">
      <c r="A2069" s="54" t="str">
        <f>IFERROR(IF(INDEX(SPOT_Import!$A$1:$Z$2488,2069,'Live Data'!$C$12)="","",INDEX(SPOT_Import!$A$1:$Z$2488,2069,'Live Data'!$C$12)),"")</f>
        <v/>
      </c>
      <c r="B2069" s="54" t="str">
        <f>IFERROR(IF(INDEX(SPOT_Import!$A$1:$Z$2488,2069,'Live Data'!$C$13)="","",INDEX(SPOT_Import!$A$1:$Z$2488,2069,'Live Data'!$C$13)),"")</f>
        <v/>
      </c>
      <c r="C2069" s="54" t="str">
        <f>IFERROR(IF(INDEX(SPOT_Import!$A$1:$Z$2488,2069,'Live Data'!$C$14)="","",INDEX(SPOT_Import!$A$1:$Z$2488,2069,'Live Data'!$C$14)),"")</f>
        <v/>
      </c>
      <c r="D2069" s="54" t="str">
        <f>IFERROR(IF(INDEX(SPOT_Import!$A$1:$Z$2488,2069,'Live Data'!$C$15)="","",INDEX(SPOT_Import!$A$1:$Z$2488,2069,'Live Data'!$C$15)),"")</f>
        <v/>
      </c>
      <c r="E2069" s="54" t="str">
        <f>IFERROR(IF(INDEX(SPOT_Import!$A$1:$Z$2488,2069,'Live Data'!$C$16)="","",INDEX(SPOT_Import!$A$1:$Z$2488,2069,'Live Data'!$C$16)),"")</f>
        <v/>
      </c>
      <c r="F2069" s="54" t="str">
        <f>IFERROR(IF(INDEX(SPOT_Import!$A$1:$Z$2488,2069,'Live Data'!$C$17)="","",INDEX(SPOT_Import!$A$1:$Z$2488,2069,'Live Data'!$C$17)),"")</f>
        <v/>
      </c>
      <c r="G2069" s="54" t="str">
        <f>IFERROR(IF(INDEX(SPOT_Import!$A$1:$Z$2488,2069,'Live Data'!$C$18)="","",INDEX(SPOT_Import!$A$1:$Z$2488,2069,'Live Data'!$C$18)),"")</f>
        <v/>
      </c>
      <c r="H2069" s="54" t="str">
        <f>IFERROR(IF(INDEX(SPOT_Import!$A$1:$Z$2488,2069,'Live Data'!$C$19)="","",INDEX(SPOT_Import!$A$1:$Z$2488,2069,'Live Data'!$C$19)),"")</f>
        <v/>
      </c>
      <c r="I2069" s="54" t="str">
        <f>IFERROR(IF(INDEX(SPOT_Import!$A$1:$Z$2488,2069,'Live Data'!$C$20)="","",INDEX(SPOT_Import!$A$1:$Z$2488,2069,'Live Data'!$C$20)),"")</f>
        <v/>
      </c>
      <c r="J2069" s="54" t="str">
        <f>IFERROR(IF(INDEX(SPOT_Import!$A$1:$Z$2488,2069,'Live Data'!$C$21)="","",INDEX(SPOT_Import!$A$1:$Z$2488,2069,'Live Data'!$C$21)),"")</f>
        <v/>
      </c>
      <c r="K2069" s="54" t="str">
        <f>IFERROR(IF(INDEX(SPOT_Import!$A$1:$Z$2488,2069,'Live Data'!$C$22)="","",INDEX(SPOT_Import!$A$1:$Z$2488,2069,'Live Data'!$C$22)),"")</f>
        <v/>
      </c>
      <c r="L2069" s="55" t="str">
        <f t="shared" si="64"/>
        <v/>
      </c>
      <c r="M2069" s="55" t="str">
        <f t="shared" si="65"/>
        <v/>
      </c>
      <c r="N2069" s="55" t="str">
        <f>IF(A2069="","",IFERROR(INDEX('Cluster Map'!$A$4:$A$38,MATCH(M2069,'Cluster Map'!$B$4:$B$38,0)),"Unmapped"))</f>
        <v/>
      </c>
      <c r="O2069" s="55">
        <f>IF(A2069="",0,IF(COUNTIFS($A$2:A2069,A2069,$F$2:F2069,F2069,$L$2:L2069,L2069)=1,1,0))</f>
        <v>0</v>
      </c>
      <c r="P2069" s="55">
        <f>IF(A2069="",0,IF(AND(F2069="C&amp;T",COUNTIFS($A$2:A2069,A2069,$F$2:F2069,"C&amp;T")=1),1,0))</f>
        <v>0</v>
      </c>
    </row>
    <row r="2070" spans="1:16" x14ac:dyDescent="0.35">
      <c r="A2070" s="54" t="str">
        <f>IFERROR(IF(INDEX(SPOT_Import!$A$1:$Z$2488,2070,'Live Data'!$C$12)="","",INDEX(SPOT_Import!$A$1:$Z$2488,2070,'Live Data'!$C$12)),"")</f>
        <v/>
      </c>
      <c r="B2070" s="54" t="str">
        <f>IFERROR(IF(INDEX(SPOT_Import!$A$1:$Z$2488,2070,'Live Data'!$C$13)="","",INDEX(SPOT_Import!$A$1:$Z$2488,2070,'Live Data'!$C$13)),"")</f>
        <v/>
      </c>
      <c r="C2070" s="54" t="str">
        <f>IFERROR(IF(INDEX(SPOT_Import!$A$1:$Z$2488,2070,'Live Data'!$C$14)="","",INDEX(SPOT_Import!$A$1:$Z$2488,2070,'Live Data'!$C$14)),"")</f>
        <v/>
      </c>
      <c r="D2070" s="54" t="str">
        <f>IFERROR(IF(INDEX(SPOT_Import!$A$1:$Z$2488,2070,'Live Data'!$C$15)="","",INDEX(SPOT_Import!$A$1:$Z$2488,2070,'Live Data'!$C$15)),"")</f>
        <v/>
      </c>
      <c r="E2070" s="54" t="str">
        <f>IFERROR(IF(INDEX(SPOT_Import!$A$1:$Z$2488,2070,'Live Data'!$C$16)="","",INDEX(SPOT_Import!$A$1:$Z$2488,2070,'Live Data'!$C$16)),"")</f>
        <v/>
      </c>
      <c r="F2070" s="54" t="str">
        <f>IFERROR(IF(INDEX(SPOT_Import!$A$1:$Z$2488,2070,'Live Data'!$C$17)="","",INDEX(SPOT_Import!$A$1:$Z$2488,2070,'Live Data'!$C$17)),"")</f>
        <v/>
      </c>
      <c r="G2070" s="54" t="str">
        <f>IFERROR(IF(INDEX(SPOT_Import!$A$1:$Z$2488,2070,'Live Data'!$C$18)="","",INDEX(SPOT_Import!$A$1:$Z$2488,2070,'Live Data'!$C$18)),"")</f>
        <v/>
      </c>
      <c r="H2070" s="54" t="str">
        <f>IFERROR(IF(INDEX(SPOT_Import!$A$1:$Z$2488,2070,'Live Data'!$C$19)="","",INDEX(SPOT_Import!$A$1:$Z$2488,2070,'Live Data'!$C$19)),"")</f>
        <v/>
      </c>
      <c r="I2070" s="54" t="str">
        <f>IFERROR(IF(INDEX(SPOT_Import!$A$1:$Z$2488,2070,'Live Data'!$C$20)="","",INDEX(SPOT_Import!$A$1:$Z$2488,2070,'Live Data'!$C$20)),"")</f>
        <v/>
      </c>
      <c r="J2070" s="54" t="str">
        <f>IFERROR(IF(INDEX(SPOT_Import!$A$1:$Z$2488,2070,'Live Data'!$C$21)="","",INDEX(SPOT_Import!$A$1:$Z$2488,2070,'Live Data'!$C$21)),"")</f>
        <v/>
      </c>
      <c r="K2070" s="54" t="str">
        <f>IFERROR(IF(INDEX(SPOT_Import!$A$1:$Z$2488,2070,'Live Data'!$C$22)="","",INDEX(SPOT_Import!$A$1:$Z$2488,2070,'Live Data'!$C$22)),"")</f>
        <v/>
      </c>
      <c r="L2070" s="55" t="str">
        <f t="shared" si="64"/>
        <v/>
      </c>
      <c r="M2070" s="55" t="str">
        <f t="shared" si="65"/>
        <v/>
      </c>
      <c r="N2070" s="55" t="str">
        <f>IF(A2070="","",IFERROR(INDEX('Cluster Map'!$A$4:$A$38,MATCH(M2070,'Cluster Map'!$B$4:$B$38,0)),"Unmapped"))</f>
        <v/>
      </c>
      <c r="O2070" s="55">
        <f>IF(A2070="",0,IF(COUNTIFS($A$2:A2070,A2070,$F$2:F2070,F2070,$L$2:L2070,L2070)=1,1,0))</f>
        <v>0</v>
      </c>
      <c r="P2070" s="55">
        <f>IF(A2070="",0,IF(AND(F2070="C&amp;T",COUNTIFS($A$2:A2070,A2070,$F$2:F2070,"C&amp;T")=1),1,0))</f>
        <v>0</v>
      </c>
    </row>
    <row r="2071" spans="1:16" x14ac:dyDescent="0.35">
      <c r="A2071" s="54" t="str">
        <f>IFERROR(IF(INDEX(SPOT_Import!$A$1:$Z$2488,2071,'Live Data'!$C$12)="","",INDEX(SPOT_Import!$A$1:$Z$2488,2071,'Live Data'!$C$12)),"")</f>
        <v/>
      </c>
      <c r="B2071" s="54" t="str">
        <f>IFERROR(IF(INDEX(SPOT_Import!$A$1:$Z$2488,2071,'Live Data'!$C$13)="","",INDEX(SPOT_Import!$A$1:$Z$2488,2071,'Live Data'!$C$13)),"")</f>
        <v/>
      </c>
      <c r="C2071" s="54" t="str">
        <f>IFERROR(IF(INDEX(SPOT_Import!$A$1:$Z$2488,2071,'Live Data'!$C$14)="","",INDEX(SPOT_Import!$A$1:$Z$2488,2071,'Live Data'!$C$14)),"")</f>
        <v/>
      </c>
      <c r="D2071" s="54" t="str">
        <f>IFERROR(IF(INDEX(SPOT_Import!$A$1:$Z$2488,2071,'Live Data'!$C$15)="","",INDEX(SPOT_Import!$A$1:$Z$2488,2071,'Live Data'!$C$15)),"")</f>
        <v/>
      </c>
      <c r="E2071" s="54" t="str">
        <f>IFERROR(IF(INDEX(SPOT_Import!$A$1:$Z$2488,2071,'Live Data'!$C$16)="","",INDEX(SPOT_Import!$A$1:$Z$2488,2071,'Live Data'!$C$16)),"")</f>
        <v/>
      </c>
      <c r="F2071" s="54" t="str">
        <f>IFERROR(IF(INDEX(SPOT_Import!$A$1:$Z$2488,2071,'Live Data'!$C$17)="","",INDEX(SPOT_Import!$A$1:$Z$2488,2071,'Live Data'!$C$17)),"")</f>
        <v/>
      </c>
      <c r="G2071" s="54" t="str">
        <f>IFERROR(IF(INDEX(SPOT_Import!$A$1:$Z$2488,2071,'Live Data'!$C$18)="","",INDEX(SPOT_Import!$A$1:$Z$2488,2071,'Live Data'!$C$18)),"")</f>
        <v/>
      </c>
      <c r="H2071" s="54" t="str">
        <f>IFERROR(IF(INDEX(SPOT_Import!$A$1:$Z$2488,2071,'Live Data'!$C$19)="","",INDEX(SPOT_Import!$A$1:$Z$2488,2071,'Live Data'!$C$19)),"")</f>
        <v/>
      </c>
      <c r="I2071" s="54" t="str">
        <f>IFERROR(IF(INDEX(SPOT_Import!$A$1:$Z$2488,2071,'Live Data'!$C$20)="","",INDEX(SPOT_Import!$A$1:$Z$2488,2071,'Live Data'!$C$20)),"")</f>
        <v/>
      </c>
      <c r="J2071" s="54" t="str">
        <f>IFERROR(IF(INDEX(SPOT_Import!$A$1:$Z$2488,2071,'Live Data'!$C$21)="","",INDEX(SPOT_Import!$A$1:$Z$2488,2071,'Live Data'!$C$21)),"")</f>
        <v/>
      </c>
      <c r="K2071" s="54" t="str">
        <f>IFERROR(IF(INDEX(SPOT_Import!$A$1:$Z$2488,2071,'Live Data'!$C$22)="","",INDEX(SPOT_Import!$A$1:$Z$2488,2071,'Live Data'!$C$22)),"")</f>
        <v/>
      </c>
      <c r="L2071" s="55" t="str">
        <f t="shared" si="64"/>
        <v/>
      </c>
      <c r="M2071" s="55" t="str">
        <f t="shared" si="65"/>
        <v/>
      </c>
      <c r="N2071" s="55" t="str">
        <f>IF(A2071="","",IFERROR(INDEX('Cluster Map'!$A$4:$A$38,MATCH(M2071,'Cluster Map'!$B$4:$B$38,0)),"Unmapped"))</f>
        <v/>
      </c>
      <c r="O2071" s="55">
        <f>IF(A2071="",0,IF(COUNTIFS($A$2:A2071,A2071,$F$2:F2071,F2071,$L$2:L2071,L2071)=1,1,0))</f>
        <v>0</v>
      </c>
      <c r="P2071" s="55">
        <f>IF(A2071="",0,IF(AND(F2071="C&amp;T",COUNTIFS($A$2:A2071,A2071,$F$2:F2071,"C&amp;T")=1),1,0))</f>
        <v>0</v>
      </c>
    </row>
    <row r="2072" spans="1:16" x14ac:dyDescent="0.35">
      <c r="A2072" s="54" t="str">
        <f>IFERROR(IF(INDEX(SPOT_Import!$A$1:$Z$2488,2072,'Live Data'!$C$12)="","",INDEX(SPOT_Import!$A$1:$Z$2488,2072,'Live Data'!$C$12)),"")</f>
        <v/>
      </c>
      <c r="B2072" s="54" t="str">
        <f>IFERROR(IF(INDEX(SPOT_Import!$A$1:$Z$2488,2072,'Live Data'!$C$13)="","",INDEX(SPOT_Import!$A$1:$Z$2488,2072,'Live Data'!$C$13)),"")</f>
        <v/>
      </c>
      <c r="C2072" s="54" t="str">
        <f>IFERROR(IF(INDEX(SPOT_Import!$A$1:$Z$2488,2072,'Live Data'!$C$14)="","",INDEX(SPOT_Import!$A$1:$Z$2488,2072,'Live Data'!$C$14)),"")</f>
        <v/>
      </c>
      <c r="D2072" s="54" t="str">
        <f>IFERROR(IF(INDEX(SPOT_Import!$A$1:$Z$2488,2072,'Live Data'!$C$15)="","",INDEX(SPOT_Import!$A$1:$Z$2488,2072,'Live Data'!$C$15)),"")</f>
        <v/>
      </c>
      <c r="E2072" s="54" t="str">
        <f>IFERROR(IF(INDEX(SPOT_Import!$A$1:$Z$2488,2072,'Live Data'!$C$16)="","",INDEX(SPOT_Import!$A$1:$Z$2488,2072,'Live Data'!$C$16)),"")</f>
        <v/>
      </c>
      <c r="F2072" s="54" t="str">
        <f>IFERROR(IF(INDEX(SPOT_Import!$A$1:$Z$2488,2072,'Live Data'!$C$17)="","",INDEX(SPOT_Import!$A$1:$Z$2488,2072,'Live Data'!$C$17)),"")</f>
        <v/>
      </c>
      <c r="G2072" s="54" t="str">
        <f>IFERROR(IF(INDEX(SPOT_Import!$A$1:$Z$2488,2072,'Live Data'!$C$18)="","",INDEX(SPOT_Import!$A$1:$Z$2488,2072,'Live Data'!$C$18)),"")</f>
        <v/>
      </c>
      <c r="H2072" s="54" t="str">
        <f>IFERROR(IF(INDEX(SPOT_Import!$A$1:$Z$2488,2072,'Live Data'!$C$19)="","",INDEX(SPOT_Import!$A$1:$Z$2488,2072,'Live Data'!$C$19)),"")</f>
        <v/>
      </c>
      <c r="I2072" s="54" t="str">
        <f>IFERROR(IF(INDEX(SPOT_Import!$A$1:$Z$2488,2072,'Live Data'!$C$20)="","",INDEX(SPOT_Import!$A$1:$Z$2488,2072,'Live Data'!$C$20)),"")</f>
        <v/>
      </c>
      <c r="J2072" s="54" t="str">
        <f>IFERROR(IF(INDEX(SPOT_Import!$A$1:$Z$2488,2072,'Live Data'!$C$21)="","",INDEX(SPOT_Import!$A$1:$Z$2488,2072,'Live Data'!$C$21)),"")</f>
        <v/>
      </c>
      <c r="K2072" s="54" t="str">
        <f>IFERROR(IF(INDEX(SPOT_Import!$A$1:$Z$2488,2072,'Live Data'!$C$22)="","",INDEX(SPOT_Import!$A$1:$Z$2488,2072,'Live Data'!$C$22)),"")</f>
        <v/>
      </c>
      <c r="L2072" s="55" t="str">
        <f t="shared" si="64"/>
        <v/>
      </c>
      <c r="M2072" s="55" t="str">
        <f t="shared" si="65"/>
        <v/>
      </c>
      <c r="N2072" s="55" t="str">
        <f>IF(A2072="","",IFERROR(INDEX('Cluster Map'!$A$4:$A$38,MATCH(M2072,'Cluster Map'!$B$4:$B$38,0)),"Unmapped"))</f>
        <v/>
      </c>
      <c r="O2072" s="55">
        <f>IF(A2072="",0,IF(COUNTIFS($A$2:A2072,A2072,$F$2:F2072,F2072,$L$2:L2072,L2072)=1,1,0))</f>
        <v>0</v>
      </c>
      <c r="P2072" s="55">
        <f>IF(A2072="",0,IF(AND(F2072="C&amp;T",COUNTIFS($A$2:A2072,A2072,$F$2:F2072,"C&amp;T")=1),1,0))</f>
        <v>0</v>
      </c>
    </row>
    <row r="2073" spans="1:16" x14ac:dyDescent="0.35">
      <c r="A2073" s="54" t="str">
        <f>IFERROR(IF(INDEX(SPOT_Import!$A$1:$Z$2488,2073,'Live Data'!$C$12)="","",INDEX(SPOT_Import!$A$1:$Z$2488,2073,'Live Data'!$C$12)),"")</f>
        <v/>
      </c>
      <c r="B2073" s="54" t="str">
        <f>IFERROR(IF(INDEX(SPOT_Import!$A$1:$Z$2488,2073,'Live Data'!$C$13)="","",INDEX(SPOT_Import!$A$1:$Z$2488,2073,'Live Data'!$C$13)),"")</f>
        <v/>
      </c>
      <c r="C2073" s="54" t="str">
        <f>IFERROR(IF(INDEX(SPOT_Import!$A$1:$Z$2488,2073,'Live Data'!$C$14)="","",INDEX(SPOT_Import!$A$1:$Z$2488,2073,'Live Data'!$C$14)),"")</f>
        <v/>
      </c>
      <c r="D2073" s="54" t="str">
        <f>IFERROR(IF(INDEX(SPOT_Import!$A$1:$Z$2488,2073,'Live Data'!$C$15)="","",INDEX(SPOT_Import!$A$1:$Z$2488,2073,'Live Data'!$C$15)),"")</f>
        <v/>
      </c>
      <c r="E2073" s="54" t="str">
        <f>IFERROR(IF(INDEX(SPOT_Import!$A$1:$Z$2488,2073,'Live Data'!$C$16)="","",INDEX(SPOT_Import!$A$1:$Z$2488,2073,'Live Data'!$C$16)),"")</f>
        <v/>
      </c>
      <c r="F2073" s="54" t="str">
        <f>IFERROR(IF(INDEX(SPOT_Import!$A$1:$Z$2488,2073,'Live Data'!$C$17)="","",INDEX(SPOT_Import!$A$1:$Z$2488,2073,'Live Data'!$C$17)),"")</f>
        <v/>
      </c>
      <c r="G2073" s="54" t="str">
        <f>IFERROR(IF(INDEX(SPOT_Import!$A$1:$Z$2488,2073,'Live Data'!$C$18)="","",INDEX(SPOT_Import!$A$1:$Z$2488,2073,'Live Data'!$C$18)),"")</f>
        <v/>
      </c>
      <c r="H2073" s="54" t="str">
        <f>IFERROR(IF(INDEX(SPOT_Import!$A$1:$Z$2488,2073,'Live Data'!$C$19)="","",INDEX(SPOT_Import!$A$1:$Z$2488,2073,'Live Data'!$C$19)),"")</f>
        <v/>
      </c>
      <c r="I2073" s="54" t="str">
        <f>IFERROR(IF(INDEX(SPOT_Import!$A$1:$Z$2488,2073,'Live Data'!$C$20)="","",INDEX(SPOT_Import!$A$1:$Z$2488,2073,'Live Data'!$C$20)),"")</f>
        <v/>
      </c>
      <c r="J2073" s="54" t="str">
        <f>IFERROR(IF(INDEX(SPOT_Import!$A$1:$Z$2488,2073,'Live Data'!$C$21)="","",INDEX(SPOT_Import!$A$1:$Z$2488,2073,'Live Data'!$C$21)),"")</f>
        <v/>
      </c>
      <c r="K2073" s="54" t="str">
        <f>IFERROR(IF(INDEX(SPOT_Import!$A$1:$Z$2488,2073,'Live Data'!$C$22)="","",INDEX(SPOT_Import!$A$1:$Z$2488,2073,'Live Data'!$C$22)),"")</f>
        <v/>
      </c>
      <c r="L2073" s="55" t="str">
        <f t="shared" si="64"/>
        <v/>
      </c>
      <c r="M2073" s="55" t="str">
        <f t="shared" si="65"/>
        <v/>
      </c>
      <c r="N2073" s="55" t="str">
        <f>IF(A2073="","",IFERROR(INDEX('Cluster Map'!$A$4:$A$38,MATCH(M2073,'Cluster Map'!$B$4:$B$38,0)),"Unmapped"))</f>
        <v/>
      </c>
      <c r="O2073" s="55">
        <f>IF(A2073="",0,IF(COUNTIFS($A$2:A2073,A2073,$F$2:F2073,F2073,$L$2:L2073,L2073)=1,1,0))</f>
        <v>0</v>
      </c>
      <c r="P2073" s="55">
        <f>IF(A2073="",0,IF(AND(F2073="C&amp;T",COUNTIFS($A$2:A2073,A2073,$F$2:F2073,"C&amp;T")=1),1,0))</f>
        <v>0</v>
      </c>
    </row>
    <row r="2074" spans="1:16" x14ac:dyDescent="0.35">
      <c r="A2074" s="54" t="str">
        <f>IFERROR(IF(INDEX(SPOT_Import!$A$1:$Z$2488,2074,'Live Data'!$C$12)="","",INDEX(SPOT_Import!$A$1:$Z$2488,2074,'Live Data'!$C$12)),"")</f>
        <v/>
      </c>
      <c r="B2074" s="54" t="str">
        <f>IFERROR(IF(INDEX(SPOT_Import!$A$1:$Z$2488,2074,'Live Data'!$C$13)="","",INDEX(SPOT_Import!$A$1:$Z$2488,2074,'Live Data'!$C$13)),"")</f>
        <v/>
      </c>
      <c r="C2074" s="54" t="str">
        <f>IFERROR(IF(INDEX(SPOT_Import!$A$1:$Z$2488,2074,'Live Data'!$C$14)="","",INDEX(SPOT_Import!$A$1:$Z$2488,2074,'Live Data'!$C$14)),"")</f>
        <v/>
      </c>
      <c r="D2074" s="54" t="str">
        <f>IFERROR(IF(INDEX(SPOT_Import!$A$1:$Z$2488,2074,'Live Data'!$C$15)="","",INDEX(SPOT_Import!$A$1:$Z$2488,2074,'Live Data'!$C$15)),"")</f>
        <v/>
      </c>
      <c r="E2074" s="54" t="str">
        <f>IFERROR(IF(INDEX(SPOT_Import!$A$1:$Z$2488,2074,'Live Data'!$C$16)="","",INDEX(SPOT_Import!$A$1:$Z$2488,2074,'Live Data'!$C$16)),"")</f>
        <v/>
      </c>
      <c r="F2074" s="54" t="str">
        <f>IFERROR(IF(INDEX(SPOT_Import!$A$1:$Z$2488,2074,'Live Data'!$C$17)="","",INDEX(SPOT_Import!$A$1:$Z$2488,2074,'Live Data'!$C$17)),"")</f>
        <v/>
      </c>
      <c r="G2074" s="54" t="str">
        <f>IFERROR(IF(INDEX(SPOT_Import!$A$1:$Z$2488,2074,'Live Data'!$C$18)="","",INDEX(SPOT_Import!$A$1:$Z$2488,2074,'Live Data'!$C$18)),"")</f>
        <v/>
      </c>
      <c r="H2074" s="54" t="str">
        <f>IFERROR(IF(INDEX(SPOT_Import!$A$1:$Z$2488,2074,'Live Data'!$C$19)="","",INDEX(SPOT_Import!$A$1:$Z$2488,2074,'Live Data'!$C$19)),"")</f>
        <v/>
      </c>
      <c r="I2074" s="54" t="str">
        <f>IFERROR(IF(INDEX(SPOT_Import!$A$1:$Z$2488,2074,'Live Data'!$C$20)="","",INDEX(SPOT_Import!$A$1:$Z$2488,2074,'Live Data'!$C$20)),"")</f>
        <v/>
      </c>
      <c r="J2074" s="54" t="str">
        <f>IFERROR(IF(INDEX(SPOT_Import!$A$1:$Z$2488,2074,'Live Data'!$C$21)="","",INDEX(SPOT_Import!$A$1:$Z$2488,2074,'Live Data'!$C$21)),"")</f>
        <v/>
      </c>
      <c r="K2074" s="54" t="str">
        <f>IFERROR(IF(INDEX(SPOT_Import!$A$1:$Z$2488,2074,'Live Data'!$C$22)="","",INDEX(SPOT_Import!$A$1:$Z$2488,2074,'Live Data'!$C$22)),"")</f>
        <v/>
      </c>
      <c r="L2074" s="55" t="str">
        <f t="shared" si="64"/>
        <v/>
      </c>
      <c r="M2074" s="55" t="str">
        <f t="shared" si="65"/>
        <v/>
      </c>
      <c r="N2074" s="55" t="str">
        <f>IF(A2074="","",IFERROR(INDEX('Cluster Map'!$A$4:$A$38,MATCH(M2074,'Cluster Map'!$B$4:$B$38,0)),"Unmapped"))</f>
        <v/>
      </c>
      <c r="O2074" s="55">
        <f>IF(A2074="",0,IF(COUNTIFS($A$2:A2074,A2074,$F$2:F2074,F2074,$L$2:L2074,L2074)=1,1,0))</f>
        <v>0</v>
      </c>
      <c r="P2074" s="55">
        <f>IF(A2074="",0,IF(AND(F2074="C&amp;T",COUNTIFS($A$2:A2074,A2074,$F$2:F2074,"C&amp;T")=1),1,0))</f>
        <v>0</v>
      </c>
    </row>
    <row r="2075" spans="1:16" x14ac:dyDescent="0.35">
      <c r="A2075" s="54" t="str">
        <f>IFERROR(IF(INDEX(SPOT_Import!$A$1:$Z$2488,2075,'Live Data'!$C$12)="","",INDEX(SPOT_Import!$A$1:$Z$2488,2075,'Live Data'!$C$12)),"")</f>
        <v/>
      </c>
      <c r="B2075" s="54" t="str">
        <f>IFERROR(IF(INDEX(SPOT_Import!$A$1:$Z$2488,2075,'Live Data'!$C$13)="","",INDEX(SPOT_Import!$A$1:$Z$2488,2075,'Live Data'!$C$13)),"")</f>
        <v/>
      </c>
      <c r="C2075" s="54" t="str">
        <f>IFERROR(IF(INDEX(SPOT_Import!$A$1:$Z$2488,2075,'Live Data'!$C$14)="","",INDEX(SPOT_Import!$A$1:$Z$2488,2075,'Live Data'!$C$14)),"")</f>
        <v/>
      </c>
      <c r="D2075" s="54" t="str">
        <f>IFERROR(IF(INDEX(SPOT_Import!$A$1:$Z$2488,2075,'Live Data'!$C$15)="","",INDEX(SPOT_Import!$A$1:$Z$2488,2075,'Live Data'!$C$15)),"")</f>
        <v/>
      </c>
      <c r="E2075" s="54" t="str">
        <f>IFERROR(IF(INDEX(SPOT_Import!$A$1:$Z$2488,2075,'Live Data'!$C$16)="","",INDEX(SPOT_Import!$A$1:$Z$2488,2075,'Live Data'!$C$16)),"")</f>
        <v/>
      </c>
      <c r="F2075" s="54" t="str">
        <f>IFERROR(IF(INDEX(SPOT_Import!$A$1:$Z$2488,2075,'Live Data'!$C$17)="","",INDEX(SPOT_Import!$A$1:$Z$2488,2075,'Live Data'!$C$17)),"")</f>
        <v/>
      </c>
      <c r="G2075" s="54" t="str">
        <f>IFERROR(IF(INDEX(SPOT_Import!$A$1:$Z$2488,2075,'Live Data'!$C$18)="","",INDEX(SPOT_Import!$A$1:$Z$2488,2075,'Live Data'!$C$18)),"")</f>
        <v/>
      </c>
      <c r="H2075" s="54" t="str">
        <f>IFERROR(IF(INDEX(SPOT_Import!$A$1:$Z$2488,2075,'Live Data'!$C$19)="","",INDEX(SPOT_Import!$A$1:$Z$2488,2075,'Live Data'!$C$19)),"")</f>
        <v/>
      </c>
      <c r="I2075" s="54" t="str">
        <f>IFERROR(IF(INDEX(SPOT_Import!$A$1:$Z$2488,2075,'Live Data'!$C$20)="","",INDEX(SPOT_Import!$A$1:$Z$2488,2075,'Live Data'!$C$20)),"")</f>
        <v/>
      </c>
      <c r="J2075" s="54" t="str">
        <f>IFERROR(IF(INDEX(SPOT_Import!$A$1:$Z$2488,2075,'Live Data'!$C$21)="","",INDEX(SPOT_Import!$A$1:$Z$2488,2075,'Live Data'!$C$21)),"")</f>
        <v/>
      </c>
      <c r="K2075" s="54" t="str">
        <f>IFERROR(IF(INDEX(SPOT_Import!$A$1:$Z$2488,2075,'Live Data'!$C$22)="","",INDEX(SPOT_Import!$A$1:$Z$2488,2075,'Live Data'!$C$22)),"")</f>
        <v/>
      </c>
      <c r="L2075" s="55" t="str">
        <f t="shared" si="64"/>
        <v/>
      </c>
      <c r="M2075" s="55" t="str">
        <f t="shared" si="65"/>
        <v/>
      </c>
      <c r="N2075" s="55" t="str">
        <f>IF(A2075="","",IFERROR(INDEX('Cluster Map'!$A$4:$A$38,MATCH(M2075,'Cluster Map'!$B$4:$B$38,0)),"Unmapped"))</f>
        <v/>
      </c>
      <c r="O2075" s="55">
        <f>IF(A2075="",0,IF(COUNTIFS($A$2:A2075,A2075,$F$2:F2075,F2075,$L$2:L2075,L2075)=1,1,0))</f>
        <v>0</v>
      </c>
      <c r="P2075" s="55">
        <f>IF(A2075="",0,IF(AND(F2075="C&amp;T",COUNTIFS($A$2:A2075,A2075,$F$2:F2075,"C&amp;T")=1),1,0))</f>
        <v>0</v>
      </c>
    </row>
    <row r="2076" spans="1:16" x14ac:dyDescent="0.35">
      <c r="A2076" s="54" t="str">
        <f>IFERROR(IF(INDEX(SPOT_Import!$A$1:$Z$2488,2076,'Live Data'!$C$12)="","",INDEX(SPOT_Import!$A$1:$Z$2488,2076,'Live Data'!$C$12)),"")</f>
        <v/>
      </c>
      <c r="B2076" s="54" t="str">
        <f>IFERROR(IF(INDEX(SPOT_Import!$A$1:$Z$2488,2076,'Live Data'!$C$13)="","",INDEX(SPOT_Import!$A$1:$Z$2488,2076,'Live Data'!$C$13)),"")</f>
        <v/>
      </c>
      <c r="C2076" s="54" t="str">
        <f>IFERROR(IF(INDEX(SPOT_Import!$A$1:$Z$2488,2076,'Live Data'!$C$14)="","",INDEX(SPOT_Import!$A$1:$Z$2488,2076,'Live Data'!$C$14)),"")</f>
        <v/>
      </c>
      <c r="D2076" s="54" t="str">
        <f>IFERROR(IF(INDEX(SPOT_Import!$A$1:$Z$2488,2076,'Live Data'!$C$15)="","",INDEX(SPOT_Import!$A$1:$Z$2488,2076,'Live Data'!$C$15)),"")</f>
        <v/>
      </c>
      <c r="E2076" s="54" t="str">
        <f>IFERROR(IF(INDEX(SPOT_Import!$A$1:$Z$2488,2076,'Live Data'!$C$16)="","",INDEX(SPOT_Import!$A$1:$Z$2488,2076,'Live Data'!$C$16)),"")</f>
        <v/>
      </c>
      <c r="F2076" s="54" t="str">
        <f>IFERROR(IF(INDEX(SPOT_Import!$A$1:$Z$2488,2076,'Live Data'!$C$17)="","",INDEX(SPOT_Import!$A$1:$Z$2488,2076,'Live Data'!$C$17)),"")</f>
        <v/>
      </c>
      <c r="G2076" s="54" t="str">
        <f>IFERROR(IF(INDEX(SPOT_Import!$A$1:$Z$2488,2076,'Live Data'!$C$18)="","",INDEX(SPOT_Import!$A$1:$Z$2488,2076,'Live Data'!$C$18)),"")</f>
        <v/>
      </c>
      <c r="H2076" s="54" t="str">
        <f>IFERROR(IF(INDEX(SPOT_Import!$A$1:$Z$2488,2076,'Live Data'!$C$19)="","",INDEX(SPOT_Import!$A$1:$Z$2488,2076,'Live Data'!$C$19)),"")</f>
        <v/>
      </c>
      <c r="I2076" s="54" t="str">
        <f>IFERROR(IF(INDEX(SPOT_Import!$A$1:$Z$2488,2076,'Live Data'!$C$20)="","",INDEX(SPOT_Import!$A$1:$Z$2488,2076,'Live Data'!$C$20)),"")</f>
        <v/>
      </c>
      <c r="J2076" s="54" t="str">
        <f>IFERROR(IF(INDEX(SPOT_Import!$A$1:$Z$2488,2076,'Live Data'!$C$21)="","",INDEX(SPOT_Import!$A$1:$Z$2488,2076,'Live Data'!$C$21)),"")</f>
        <v/>
      </c>
      <c r="K2076" s="54" t="str">
        <f>IFERROR(IF(INDEX(SPOT_Import!$A$1:$Z$2488,2076,'Live Data'!$C$22)="","",INDEX(SPOT_Import!$A$1:$Z$2488,2076,'Live Data'!$C$22)),"")</f>
        <v/>
      </c>
      <c r="L2076" s="55" t="str">
        <f t="shared" si="64"/>
        <v/>
      </c>
      <c r="M2076" s="55" t="str">
        <f t="shared" si="65"/>
        <v/>
      </c>
      <c r="N2076" s="55" t="str">
        <f>IF(A2076="","",IFERROR(INDEX('Cluster Map'!$A$4:$A$38,MATCH(M2076,'Cluster Map'!$B$4:$B$38,0)),"Unmapped"))</f>
        <v/>
      </c>
      <c r="O2076" s="55">
        <f>IF(A2076="",0,IF(COUNTIFS($A$2:A2076,A2076,$F$2:F2076,F2076,$L$2:L2076,L2076)=1,1,0))</f>
        <v>0</v>
      </c>
      <c r="P2076" s="55">
        <f>IF(A2076="",0,IF(AND(F2076="C&amp;T",COUNTIFS($A$2:A2076,A2076,$F$2:F2076,"C&amp;T")=1),1,0))</f>
        <v>0</v>
      </c>
    </row>
    <row r="2077" spans="1:16" x14ac:dyDescent="0.35">
      <c r="A2077" s="54" t="str">
        <f>IFERROR(IF(INDEX(SPOT_Import!$A$1:$Z$2488,2077,'Live Data'!$C$12)="","",INDEX(SPOT_Import!$A$1:$Z$2488,2077,'Live Data'!$C$12)),"")</f>
        <v/>
      </c>
      <c r="B2077" s="54" t="str">
        <f>IFERROR(IF(INDEX(SPOT_Import!$A$1:$Z$2488,2077,'Live Data'!$C$13)="","",INDEX(SPOT_Import!$A$1:$Z$2488,2077,'Live Data'!$C$13)),"")</f>
        <v/>
      </c>
      <c r="C2077" s="54" t="str">
        <f>IFERROR(IF(INDEX(SPOT_Import!$A$1:$Z$2488,2077,'Live Data'!$C$14)="","",INDEX(SPOT_Import!$A$1:$Z$2488,2077,'Live Data'!$C$14)),"")</f>
        <v/>
      </c>
      <c r="D2077" s="54" t="str">
        <f>IFERROR(IF(INDEX(SPOT_Import!$A$1:$Z$2488,2077,'Live Data'!$C$15)="","",INDEX(SPOT_Import!$A$1:$Z$2488,2077,'Live Data'!$C$15)),"")</f>
        <v/>
      </c>
      <c r="E2077" s="54" t="str">
        <f>IFERROR(IF(INDEX(SPOT_Import!$A$1:$Z$2488,2077,'Live Data'!$C$16)="","",INDEX(SPOT_Import!$A$1:$Z$2488,2077,'Live Data'!$C$16)),"")</f>
        <v/>
      </c>
      <c r="F2077" s="54" t="str">
        <f>IFERROR(IF(INDEX(SPOT_Import!$A$1:$Z$2488,2077,'Live Data'!$C$17)="","",INDEX(SPOT_Import!$A$1:$Z$2488,2077,'Live Data'!$C$17)),"")</f>
        <v/>
      </c>
      <c r="G2077" s="54" t="str">
        <f>IFERROR(IF(INDEX(SPOT_Import!$A$1:$Z$2488,2077,'Live Data'!$C$18)="","",INDEX(SPOT_Import!$A$1:$Z$2488,2077,'Live Data'!$C$18)),"")</f>
        <v/>
      </c>
      <c r="H2077" s="54" t="str">
        <f>IFERROR(IF(INDEX(SPOT_Import!$A$1:$Z$2488,2077,'Live Data'!$C$19)="","",INDEX(SPOT_Import!$A$1:$Z$2488,2077,'Live Data'!$C$19)),"")</f>
        <v/>
      </c>
      <c r="I2077" s="54" t="str">
        <f>IFERROR(IF(INDEX(SPOT_Import!$A$1:$Z$2488,2077,'Live Data'!$C$20)="","",INDEX(SPOT_Import!$A$1:$Z$2488,2077,'Live Data'!$C$20)),"")</f>
        <v/>
      </c>
      <c r="J2077" s="54" t="str">
        <f>IFERROR(IF(INDEX(SPOT_Import!$A$1:$Z$2488,2077,'Live Data'!$C$21)="","",INDEX(SPOT_Import!$A$1:$Z$2488,2077,'Live Data'!$C$21)),"")</f>
        <v/>
      </c>
      <c r="K2077" s="54" t="str">
        <f>IFERROR(IF(INDEX(SPOT_Import!$A$1:$Z$2488,2077,'Live Data'!$C$22)="","",INDEX(SPOT_Import!$A$1:$Z$2488,2077,'Live Data'!$C$22)),"")</f>
        <v/>
      </c>
      <c r="L2077" s="55" t="str">
        <f t="shared" si="64"/>
        <v/>
      </c>
      <c r="M2077" s="55" t="str">
        <f t="shared" si="65"/>
        <v/>
      </c>
      <c r="N2077" s="55" t="str">
        <f>IF(A2077="","",IFERROR(INDEX('Cluster Map'!$A$4:$A$38,MATCH(M2077,'Cluster Map'!$B$4:$B$38,0)),"Unmapped"))</f>
        <v/>
      </c>
      <c r="O2077" s="55">
        <f>IF(A2077="",0,IF(COUNTIFS($A$2:A2077,A2077,$F$2:F2077,F2077,$L$2:L2077,L2077)=1,1,0))</f>
        <v>0</v>
      </c>
      <c r="P2077" s="55">
        <f>IF(A2077="",0,IF(AND(F2077="C&amp;T",COUNTIFS($A$2:A2077,A2077,$F$2:F2077,"C&amp;T")=1),1,0))</f>
        <v>0</v>
      </c>
    </row>
    <row r="2078" spans="1:16" x14ac:dyDescent="0.35">
      <c r="A2078" s="54" t="str">
        <f>IFERROR(IF(INDEX(SPOT_Import!$A$1:$Z$2488,2078,'Live Data'!$C$12)="","",INDEX(SPOT_Import!$A$1:$Z$2488,2078,'Live Data'!$C$12)),"")</f>
        <v/>
      </c>
      <c r="B2078" s="54" t="str">
        <f>IFERROR(IF(INDEX(SPOT_Import!$A$1:$Z$2488,2078,'Live Data'!$C$13)="","",INDEX(SPOT_Import!$A$1:$Z$2488,2078,'Live Data'!$C$13)),"")</f>
        <v/>
      </c>
      <c r="C2078" s="54" t="str">
        <f>IFERROR(IF(INDEX(SPOT_Import!$A$1:$Z$2488,2078,'Live Data'!$C$14)="","",INDEX(SPOT_Import!$A$1:$Z$2488,2078,'Live Data'!$C$14)),"")</f>
        <v/>
      </c>
      <c r="D2078" s="54" t="str">
        <f>IFERROR(IF(INDEX(SPOT_Import!$A$1:$Z$2488,2078,'Live Data'!$C$15)="","",INDEX(SPOT_Import!$A$1:$Z$2488,2078,'Live Data'!$C$15)),"")</f>
        <v/>
      </c>
      <c r="E2078" s="54" t="str">
        <f>IFERROR(IF(INDEX(SPOT_Import!$A$1:$Z$2488,2078,'Live Data'!$C$16)="","",INDEX(SPOT_Import!$A$1:$Z$2488,2078,'Live Data'!$C$16)),"")</f>
        <v/>
      </c>
      <c r="F2078" s="54" t="str">
        <f>IFERROR(IF(INDEX(SPOT_Import!$A$1:$Z$2488,2078,'Live Data'!$C$17)="","",INDEX(SPOT_Import!$A$1:$Z$2488,2078,'Live Data'!$C$17)),"")</f>
        <v/>
      </c>
      <c r="G2078" s="54" t="str">
        <f>IFERROR(IF(INDEX(SPOT_Import!$A$1:$Z$2488,2078,'Live Data'!$C$18)="","",INDEX(SPOT_Import!$A$1:$Z$2488,2078,'Live Data'!$C$18)),"")</f>
        <v/>
      </c>
      <c r="H2078" s="54" t="str">
        <f>IFERROR(IF(INDEX(SPOT_Import!$A$1:$Z$2488,2078,'Live Data'!$C$19)="","",INDEX(SPOT_Import!$A$1:$Z$2488,2078,'Live Data'!$C$19)),"")</f>
        <v/>
      </c>
      <c r="I2078" s="54" t="str">
        <f>IFERROR(IF(INDEX(SPOT_Import!$A$1:$Z$2488,2078,'Live Data'!$C$20)="","",INDEX(SPOT_Import!$A$1:$Z$2488,2078,'Live Data'!$C$20)),"")</f>
        <v/>
      </c>
      <c r="J2078" s="54" t="str">
        <f>IFERROR(IF(INDEX(SPOT_Import!$A$1:$Z$2488,2078,'Live Data'!$C$21)="","",INDEX(SPOT_Import!$A$1:$Z$2488,2078,'Live Data'!$C$21)),"")</f>
        <v/>
      </c>
      <c r="K2078" s="54" t="str">
        <f>IFERROR(IF(INDEX(SPOT_Import!$A$1:$Z$2488,2078,'Live Data'!$C$22)="","",INDEX(SPOT_Import!$A$1:$Z$2488,2078,'Live Data'!$C$22)),"")</f>
        <v/>
      </c>
      <c r="L2078" s="55" t="str">
        <f t="shared" si="64"/>
        <v/>
      </c>
      <c r="M2078" s="55" t="str">
        <f t="shared" si="65"/>
        <v/>
      </c>
      <c r="N2078" s="55" t="str">
        <f>IF(A2078="","",IFERROR(INDEX('Cluster Map'!$A$4:$A$38,MATCH(M2078,'Cluster Map'!$B$4:$B$38,0)),"Unmapped"))</f>
        <v/>
      </c>
      <c r="O2078" s="55">
        <f>IF(A2078="",0,IF(COUNTIFS($A$2:A2078,A2078,$F$2:F2078,F2078,$L$2:L2078,L2078)=1,1,0))</f>
        <v>0</v>
      </c>
      <c r="P2078" s="55">
        <f>IF(A2078="",0,IF(AND(F2078="C&amp;T",COUNTIFS($A$2:A2078,A2078,$F$2:F2078,"C&amp;T")=1),1,0))</f>
        <v>0</v>
      </c>
    </row>
    <row r="2079" spans="1:16" x14ac:dyDescent="0.35">
      <c r="A2079" s="54" t="str">
        <f>IFERROR(IF(INDEX(SPOT_Import!$A$1:$Z$2488,2079,'Live Data'!$C$12)="","",INDEX(SPOT_Import!$A$1:$Z$2488,2079,'Live Data'!$C$12)),"")</f>
        <v/>
      </c>
      <c r="B2079" s="54" t="str">
        <f>IFERROR(IF(INDEX(SPOT_Import!$A$1:$Z$2488,2079,'Live Data'!$C$13)="","",INDEX(SPOT_Import!$A$1:$Z$2488,2079,'Live Data'!$C$13)),"")</f>
        <v/>
      </c>
      <c r="C2079" s="54" t="str">
        <f>IFERROR(IF(INDEX(SPOT_Import!$A$1:$Z$2488,2079,'Live Data'!$C$14)="","",INDEX(SPOT_Import!$A$1:$Z$2488,2079,'Live Data'!$C$14)),"")</f>
        <v/>
      </c>
      <c r="D2079" s="54" t="str">
        <f>IFERROR(IF(INDEX(SPOT_Import!$A$1:$Z$2488,2079,'Live Data'!$C$15)="","",INDEX(SPOT_Import!$A$1:$Z$2488,2079,'Live Data'!$C$15)),"")</f>
        <v/>
      </c>
      <c r="E2079" s="54" t="str">
        <f>IFERROR(IF(INDEX(SPOT_Import!$A$1:$Z$2488,2079,'Live Data'!$C$16)="","",INDEX(SPOT_Import!$A$1:$Z$2488,2079,'Live Data'!$C$16)),"")</f>
        <v/>
      </c>
      <c r="F2079" s="54" t="str">
        <f>IFERROR(IF(INDEX(SPOT_Import!$A$1:$Z$2488,2079,'Live Data'!$C$17)="","",INDEX(SPOT_Import!$A$1:$Z$2488,2079,'Live Data'!$C$17)),"")</f>
        <v/>
      </c>
      <c r="G2079" s="54" t="str">
        <f>IFERROR(IF(INDEX(SPOT_Import!$A$1:$Z$2488,2079,'Live Data'!$C$18)="","",INDEX(SPOT_Import!$A$1:$Z$2488,2079,'Live Data'!$C$18)),"")</f>
        <v/>
      </c>
      <c r="H2079" s="54" t="str">
        <f>IFERROR(IF(INDEX(SPOT_Import!$A$1:$Z$2488,2079,'Live Data'!$C$19)="","",INDEX(SPOT_Import!$A$1:$Z$2488,2079,'Live Data'!$C$19)),"")</f>
        <v/>
      </c>
      <c r="I2079" s="54" t="str">
        <f>IFERROR(IF(INDEX(SPOT_Import!$A$1:$Z$2488,2079,'Live Data'!$C$20)="","",INDEX(SPOT_Import!$A$1:$Z$2488,2079,'Live Data'!$C$20)),"")</f>
        <v/>
      </c>
      <c r="J2079" s="54" t="str">
        <f>IFERROR(IF(INDEX(SPOT_Import!$A$1:$Z$2488,2079,'Live Data'!$C$21)="","",INDEX(SPOT_Import!$A$1:$Z$2488,2079,'Live Data'!$C$21)),"")</f>
        <v/>
      </c>
      <c r="K2079" s="54" t="str">
        <f>IFERROR(IF(INDEX(SPOT_Import!$A$1:$Z$2488,2079,'Live Data'!$C$22)="","",INDEX(SPOT_Import!$A$1:$Z$2488,2079,'Live Data'!$C$22)),"")</f>
        <v/>
      </c>
      <c r="L2079" s="55" t="str">
        <f t="shared" si="64"/>
        <v/>
      </c>
      <c r="M2079" s="55" t="str">
        <f t="shared" si="65"/>
        <v/>
      </c>
      <c r="N2079" s="55" t="str">
        <f>IF(A2079="","",IFERROR(INDEX('Cluster Map'!$A$4:$A$38,MATCH(M2079,'Cluster Map'!$B$4:$B$38,0)),"Unmapped"))</f>
        <v/>
      </c>
      <c r="O2079" s="55">
        <f>IF(A2079="",0,IF(COUNTIFS($A$2:A2079,A2079,$F$2:F2079,F2079,$L$2:L2079,L2079)=1,1,0))</f>
        <v>0</v>
      </c>
      <c r="P2079" s="55">
        <f>IF(A2079="",0,IF(AND(F2079="C&amp;T",COUNTIFS($A$2:A2079,A2079,$F$2:F2079,"C&amp;T")=1),1,0))</f>
        <v>0</v>
      </c>
    </row>
    <row r="2080" spans="1:16" x14ac:dyDescent="0.35">
      <c r="A2080" s="54" t="str">
        <f>IFERROR(IF(INDEX(SPOT_Import!$A$1:$Z$2488,2080,'Live Data'!$C$12)="","",INDEX(SPOT_Import!$A$1:$Z$2488,2080,'Live Data'!$C$12)),"")</f>
        <v/>
      </c>
      <c r="B2080" s="54" t="str">
        <f>IFERROR(IF(INDEX(SPOT_Import!$A$1:$Z$2488,2080,'Live Data'!$C$13)="","",INDEX(SPOT_Import!$A$1:$Z$2488,2080,'Live Data'!$C$13)),"")</f>
        <v/>
      </c>
      <c r="C2080" s="54" t="str">
        <f>IFERROR(IF(INDEX(SPOT_Import!$A$1:$Z$2488,2080,'Live Data'!$C$14)="","",INDEX(SPOT_Import!$A$1:$Z$2488,2080,'Live Data'!$C$14)),"")</f>
        <v/>
      </c>
      <c r="D2080" s="54" t="str">
        <f>IFERROR(IF(INDEX(SPOT_Import!$A$1:$Z$2488,2080,'Live Data'!$C$15)="","",INDEX(SPOT_Import!$A$1:$Z$2488,2080,'Live Data'!$C$15)),"")</f>
        <v/>
      </c>
      <c r="E2080" s="54" t="str">
        <f>IFERROR(IF(INDEX(SPOT_Import!$A$1:$Z$2488,2080,'Live Data'!$C$16)="","",INDEX(SPOT_Import!$A$1:$Z$2488,2080,'Live Data'!$C$16)),"")</f>
        <v/>
      </c>
      <c r="F2080" s="54" t="str">
        <f>IFERROR(IF(INDEX(SPOT_Import!$A$1:$Z$2488,2080,'Live Data'!$C$17)="","",INDEX(SPOT_Import!$A$1:$Z$2488,2080,'Live Data'!$C$17)),"")</f>
        <v/>
      </c>
      <c r="G2080" s="54" t="str">
        <f>IFERROR(IF(INDEX(SPOT_Import!$A$1:$Z$2488,2080,'Live Data'!$C$18)="","",INDEX(SPOT_Import!$A$1:$Z$2488,2080,'Live Data'!$C$18)),"")</f>
        <v/>
      </c>
      <c r="H2080" s="54" t="str">
        <f>IFERROR(IF(INDEX(SPOT_Import!$A$1:$Z$2488,2080,'Live Data'!$C$19)="","",INDEX(SPOT_Import!$A$1:$Z$2488,2080,'Live Data'!$C$19)),"")</f>
        <v/>
      </c>
      <c r="I2080" s="54" t="str">
        <f>IFERROR(IF(INDEX(SPOT_Import!$A$1:$Z$2488,2080,'Live Data'!$C$20)="","",INDEX(SPOT_Import!$A$1:$Z$2488,2080,'Live Data'!$C$20)),"")</f>
        <v/>
      </c>
      <c r="J2080" s="54" t="str">
        <f>IFERROR(IF(INDEX(SPOT_Import!$A$1:$Z$2488,2080,'Live Data'!$C$21)="","",INDEX(SPOT_Import!$A$1:$Z$2488,2080,'Live Data'!$C$21)),"")</f>
        <v/>
      </c>
      <c r="K2080" s="54" t="str">
        <f>IFERROR(IF(INDEX(SPOT_Import!$A$1:$Z$2488,2080,'Live Data'!$C$22)="","",INDEX(SPOT_Import!$A$1:$Z$2488,2080,'Live Data'!$C$22)),"")</f>
        <v/>
      </c>
      <c r="L2080" s="55" t="str">
        <f t="shared" si="64"/>
        <v/>
      </c>
      <c r="M2080" s="55" t="str">
        <f t="shared" si="65"/>
        <v/>
      </c>
      <c r="N2080" s="55" t="str">
        <f>IF(A2080="","",IFERROR(INDEX('Cluster Map'!$A$4:$A$38,MATCH(M2080,'Cluster Map'!$B$4:$B$38,0)),"Unmapped"))</f>
        <v/>
      </c>
      <c r="O2080" s="55">
        <f>IF(A2080="",0,IF(COUNTIFS($A$2:A2080,A2080,$F$2:F2080,F2080,$L$2:L2080,L2080)=1,1,0))</f>
        <v>0</v>
      </c>
      <c r="P2080" s="55">
        <f>IF(A2080="",0,IF(AND(F2080="C&amp;T",COUNTIFS($A$2:A2080,A2080,$F$2:F2080,"C&amp;T")=1),1,0))</f>
        <v>0</v>
      </c>
    </row>
    <row r="2081" spans="1:16" x14ac:dyDescent="0.35">
      <c r="A2081" s="54" t="str">
        <f>IFERROR(IF(INDEX(SPOT_Import!$A$1:$Z$2488,2081,'Live Data'!$C$12)="","",INDEX(SPOT_Import!$A$1:$Z$2488,2081,'Live Data'!$C$12)),"")</f>
        <v/>
      </c>
      <c r="B2081" s="54" t="str">
        <f>IFERROR(IF(INDEX(SPOT_Import!$A$1:$Z$2488,2081,'Live Data'!$C$13)="","",INDEX(SPOT_Import!$A$1:$Z$2488,2081,'Live Data'!$C$13)),"")</f>
        <v/>
      </c>
      <c r="C2081" s="54" t="str">
        <f>IFERROR(IF(INDEX(SPOT_Import!$A$1:$Z$2488,2081,'Live Data'!$C$14)="","",INDEX(SPOT_Import!$A$1:$Z$2488,2081,'Live Data'!$C$14)),"")</f>
        <v/>
      </c>
      <c r="D2081" s="54" t="str">
        <f>IFERROR(IF(INDEX(SPOT_Import!$A$1:$Z$2488,2081,'Live Data'!$C$15)="","",INDEX(SPOT_Import!$A$1:$Z$2488,2081,'Live Data'!$C$15)),"")</f>
        <v/>
      </c>
      <c r="E2081" s="54" t="str">
        <f>IFERROR(IF(INDEX(SPOT_Import!$A$1:$Z$2488,2081,'Live Data'!$C$16)="","",INDEX(SPOT_Import!$A$1:$Z$2488,2081,'Live Data'!$C$16)),"")</f>
        <v/>
      </c>
      <c r="F2081" s="54" t="str">
        <f>IFERROR(IF(INDEX(SPOT_Import!$A$1:$Z$2488,2081,'Live Data'!$C$17)="","",INDEX(SPOT_Import!$A$1:$Z$2488,2081,'Live Data'!$C$17)),"")</f>
        <v/>
      </c>
      <c r="G2081" s="54" t="str">
        <f>IFERROR(IF(INDEX(SPOT_Import!$A$1:$Z$2488,2081,'Live Data'!$C$18)="","",INDEX(SPOT_Import!$A$1:$Z$2488,2081,'Live Data'!$C$18)),"")</f>
        <v/>
      </c>
      <c r="H2081" s="54" t="str">
        <f>IFERROR(IF(INDEX(SPOT_Import!$A$1:$Z$2488,2081,'Live Data'!$C$19)="","",INDEX(SPOT_Import!$A$1:$Z$2488,2081,'Live Data'!$C$19)),"")</f>
        <v/>
      </c>
      <c r="I2081" s="54" t="str">
        <f>IFERROR(IF(INDEX(SPOT_Import!$A$1:$Z$2488,2081,'Live Data'!$C$20)="","",INDEX(SPOT_Import!$A$1:$Z$2488,2081,'Live Data'!$C$20)),"")</f>
        <v/>
      </c>
      <c r="J2081" s="54" t="str">
        <f>IFERROR(IF(INDEX(SPOT_Import!$A$1:$Z$2488,2081,'Live Data'!$C$21)="","",INDEX(SPOT_Import!$A$1:$Z$2488,2081,'Live Data'!$C$21)),"")</f>
        <v/>
      </c>
      <c r="K2081" s="54" t="str">
        <f>IFERROR(IF(INDEX(SPOT_Import!$A$1:$Z$2488,2081,'Live Data'!$C$22)="","",INDEX(SPOT_Import!$A$1:$Z$2488,2081,'Live Data'!$C$22)),"")</f>
        <v/>
      </c>
      <c r="L2081" s="55" t="str">
        <f t="shared" si="64"/>
        <v/>
      </c>
      <c r="M2081" s="55" t="str">
        <f t="shared" si="65"/>
        <v/>
      </c>
      <c r="N2081" s="55" t="str">
        <f>IF(A2081="","",IFERROR(INDEX('Cluster Map'!$A$4:$A$38,MATCH(M2081,'Cluster Map'!$B$4:$B$38,0)),"Unmapped"))</f>
        <v/>
      </c>
      <c r="O2081" s="55">
        <f>IF(A2081="",0,IF(COUNTIFS($A$2:A2081,A2081,$F$2:F2081,F2081,$L$2:L2081,L2081)=1,1,0))</f>
        <v>0</v>
      </c>
      <c r="P2081" s="55">
        <f>IF(A2081="",0,IF(AND(F2081="C&amp;T",COUNTIFS($A$2:A2081,A2081,$F$2:F2081,"C&amp;T")=1),1,0))</f>
        <v>0</v>
      </c>
    </row>
    <row r="2082" spans="1:16" x14ac:dyDescent="0.35">
      <c r="A2082" s="54" t="str">
        <f>IFERROR(IF(INDEX(SPOT_Import!$A$1:$Z$2488,2082,'Live Data'!$C$12)="","",INDEX(SPOT_Import!$A$1:$Z$2488,2082,'Live Data'!$C$12)),"")</f>
        <v/>
      </c>
      <c r="B2082" s="54" t="str">
        <f>IFERROR(IF(INDEX(SPOT_Import!$A$1:$Z$2488,2082,'Live Data'!$C$13)="","",INDEX(SPOT_Import!$A$1:$Z$2488,2082,'Live Data'!$C$13)),"")</f>
        <v/>
      </c>
      <c r="C2082" s="54" t="str">
        <f>IFERROR(IF(INDEX(SPOT_Import!$A$1:$Z$2488,2082,'Live Data'!$C$14)="","",INDEX(SPOT_Import!$A$1:$Z$2488,2082,'Live Data'!$C$14)),"")</f>
        <v/>
      </c>
      <c r="D2082" s="54" t="str">
        <f>IFERROR(IF(INDEX(SPOT_Import!$A$1:$Z$2488,2082,'Live Data'!$C$15)="","",INDEX(SPOT_Import!$A$1:$Z$2488,2082,'Live Data'!$C$15)),"")</f>
        <v/>
      </c>
      <c r="E2082" s="54" t="str">
        <f>IFERROR(IF(INDEX(SPOT_Import!$A$1:$Z$2488,2082,'Live Data'!$C$16)="","",INDEX(SPOT_Import!$A$1:$Z$2488,2082,'Live Data'!$C$16)),"")</f>
        <v/>
      </c>
      <c r="F2082" s="54" t="str">
        <f>IFERROR(IF(INDEX(SPOT_Import!$A$1:$Z$2488,2082,'Live Data'!$C$17)="","",INDEX(SPOT_Import!$A$1:$Z$2488,2082,'Live Data'!$C$17)),"")</f>
        <v/>
      </c>
      <c r="G2082" s="54" t="str">
        <f>IFERROR(IF(INDEX(SPOT_Import!$A$1:$Z$2488,2082,'Live Data'!$C$18)="","",INDEX(SPOT_Import!$A$1:$Z$2488,2082,'Live Data'!$C$18)),"")</f>
        <v/>
      </c>
      <c r="H2082" s="54" t="str">
        <f>IFERROR(IF(INDEX(SPOT_Import!$A$1:$Z$2488,2082,'Live Data'!$C$19)="","",INDEX(SPOT_Import!$A$1:$Z$2488,2082,'Live Data'!$C$19)),"")</f>
        <v/>
      </c>
      <c r="I2082" s="54" t="str">
        <f>IFERROR(IF(INDEX(SPOT_Import!$A$1:$Z$2488,2082,'Live Data'!$C$20)="","",INDEX(SPOT_Import!$A$1:$Z$2488,2082,'Live Data'!$C$20)),"")</f>
        <v/>
      </c>
      <c r="J2082" s="54" t="str">
        <f>IFERROR(IF(INDEX(SPOT_Import!$A$1:$Z$2488,2082,'Live Data'!$C$21)="","",INDEX(SPOT_Import!$A$1:$Z$2488,2082,'Live Data'!$C$21)),"")</f>
        <v/>
      </c>
      <c r="K2082" s="54" t="str">
        <f>IFERROR(IF(INDEX(SPOT_Import!$A$1:$Z$2488,2082,'Live Data'!$C$22)="","",INDEX(SPOT_Import!$A$1:$Z$2488,2082,'Live Data'!$C$22)),"")</f>
        <v/>
      </c>
      <c r="L2082" s="55" t="str">
        <f t="shared" si="64"/>
        <v/>
      </c>
      <c r="M2082" s="55" t="str">
        <f t="shared" si="65"/>
        <v/>
      </c>
      <c r="N2082" s="55" t="str">
        <f>IF(A2082="","",IFERROR(INDEX('Cluster Map'!$A$4:$A$38,MATCH(M2082,'Cluster Map'!$B$4:$B$38,0)),"Unmapped"))</f>
        <v/>
      </c>
      <c r="O2082" s="55">
        <f>IF(A2082="",0,IF(COUNTIFS($A$2:A2082,A2082,$F$2:F2082,F2082,$L$2:L2082,L2082)=1,1,0))</f>
        <v>0</v>
      </c>
      <c r="P2082" s="55">
        <f>IF(A2082="",0,IF(AND(F2082="C&amp;T",COUNTIFS($A$2:A2082,A2082,$F$2:F2082,"C&amp;T")=1),1,0))</f>
        <v>0</v>
      </c>
    </row>
    <row r="2083" spans="1:16" x14ac:dyDescent="0.35">
      <c r="A2083" s="54" t="str">
        <f>IFERROR(IF(INDEX(SPOT_Import!$A$1:$Z$2488,2083,'Live Data'!$C$12)="","",INDEX(SPOT_Import!$A$1:$Z$2488,2083,'Live Data'!$C$12)),"")</f>
        <v/>
      </c>
      <c r="B2083" s="54" t="str">
        <f>IFERROR(IF(INDEX(SPOT_Import!$A$1:$Z$2488,2083,'Live Data'!$C$13)="","",INDEX(SPOT_Import!$A$1:$Z$2488,2083,'Live Data'!$C$13)),"")</f>
        <v/>
      </c>
      <c r="C2083" s="54" t="str">
        <f>IFERROR(IF(INDEX(SPOT_Import!$A$1:$Z$2488,2083,'Live Data'!$C$14)="","",INDEX(SPOT_Import!$A$1:$Z$2488,2083,'Live Data'!$C$14)),"")</f>
        <v/>
      </c>
      <c r="D2083" s="54" t="str">
        <f>IFERROR(IF(INDEX(SPOT_Import!$A$1:$Z$2488,2083,'Live Data'!$C$15)="","",INDEX(SPOT_Import!$A$1:$Z$2488,2083,'Live Data'!$C$15)),"")</f>
        <v/>
      </c>
      <c r="E2083" s="54" t="str">
        <f>IFERROR(IF(INDEX(SPOT_Import!$A$1:$Z$2488,2083,'Live Data'!$C$16)="","",INDEX(SPOT_Import!$A$1:$Z$2488,2083,'Live Data'!$C$16)),"")</f>
        <v/>
      </c>
      <c r="F2083" s="54" t="str">
        <f>IFERROR(IF(INDEX(SPOT_Import!$A$1:$Z$2488,2083,'Live Data'!$C$17)="","",INDEX(SPOT_Import!$A$1:$Z$2488,2083,'Live Data'!$C$17)),"")</f>
        <v/>
      </c>
      <c r="G2083" s="54" t="str">
        <f>IFERROR(IF(INDEX(SPOT_Import!$A$1:$Z$2488,2083,'Live Data'!$C$18)="","",INDEX(SPOT_Import!$A$1:$Z$2488,2083,'Live Data'!$C$18)),"")</f>
        <v/>
      </c>
      <c r="H2083" s="54" t="str">
        <f>IFERROR(IF(INDEX(SPOT_Import!$A$1:$Z$2488,2083,'Live Data'!$C$19)="","",INDEX(SPOT_Import!$A$1:$Z$2488,2083,'Live Data'!$C$19)),"")</f>
        <v/>
      </c>
      <c r="I2083" s="54" t="str">
        <f>IFERROR(IF(INDEX(SPOT_Import!$A$1:$Z$2488,2083,'Live Data'!$C$20)="","",INDEX(SPOT_Import!$A$1:$Z$2488,2083,'Live Data'!$C$20)),"")</f>
        <v/>
      </c>
      <c r="J2083" s="54" t="str">
        <f>IFERROR(IF(INDEX(SPOT_Import!$A$1:$Z$2488,2083,'Live Data'!$C$21)="","",INDEX(SPOT_Import!$A$1:$Z$2488,2083,'Live Data'!$C$21)),"")</f>
        <v/>
      </c>
      <c r="K2083" s="54" t="str">
        <f>IFERROR(IF(INDEX(SPOT_Import!$A$1:$Z$2488,2083,'Live Data'!$C$22)="","",INDEX(SPOT_Import!$A$1:$Z$2488,2083,'Live Data'!$C$22)),"")</f>
        <v/>
      </c>
      <c r="L2083" s="55" t="str">
        <f t="shared" si="64"/>
        <v/>
      </c>
      <c r="M2083" s="55" t="str">
        <f t="shared" si="65"/>
        <v/>
      </c>
      <c r="N2083" s="55" t="str">
        <f>IF(A2083="","",IFERROR(INDEX('Cluster Map'!$A$4:$A$38,MATCH(M2083,'Cluster Map'!$B$4:$B$38,0)),"Unmapped"))</f>
        <v/>
      </c>
      <c r="O2083" s="55">
        <f>IF(A2083="",0,IF(COUNTIFS($A$2:A2083,A2083,$F$2:F2083,F2083,$L$2:L2083,L2083)=1,1,0))</f>
        <v>0</v>
      </c>
      <c r="P2083" s="55">
        <f>IF(A2083="",0,IF(AND(F2083="C&amp;T",COUNTIFS($A$2:A2083,A2083,$F$2:F2083,"C&amp;T")=1),1,0))</f>
        <v>0</v>
      </c>
    </row>
    <row r="2084" spans="1:16" x14ac:dyDescent="0.35">
      <c r="A2084" s="54" t="str">
        <f>IFERROR(IF(INDEX(SPOT_Import!$A$1:$Z$2488,2084,'Live Data'!$C$12)="","",INDEX(SPOT_Import!$A$1:$Z$2488,2084,'Live Data'!$C$12)),"")</f>
        <v/>
      </c>
      <c r="B2084" s="54" t="str">
        <f>IFERROR(IF(INDEX(SPOT_Import!$A$1:$Z$2488,2084,'Live Data'!$C$13)="","",INDEX(SPOT_Import!$A$1:$Z$2488,2084,'Live Data'!$C$13)),"")</f>
        <v/>
      </c>
      <c r="C2084" s="54" t="str">
        <f>IFERROR(IF(INDEX(SPOT_Import!$A$1:$Z$2488,2084,'Live Data'!$C$14)="","",INDEX(SPOT_Import!$A$1:$Z$2488,2084,'Live Data'!$C$14)),"")</f>
        <v/>
      </c>
      <c r="D2084" s="54" t="str">
        <f>IFERROR(IF(INDEX(SPOT_Import!$A$1:$Z$2488,2084,'Live Data'!$C$15)="","",INDEX(SPOT_Import!$A$1:$Z$2488,2084,'Live Data'!$C$15)),"")</f>
        <v/>
      </c>
      <c r="E2084" s="54" t="str">
        <f>IFERROR(IF(INDEX(SPOT_Import!$A$1:$Z$2488,2084,'Live Data'!$C$16)="","",INDEX(SPOT_Import!$A$1:$Z$2488,2084,'Live Data'!$C$16)),"")</f>
        <v/>
      </c>
      <c r="F2084" s="54" t="str">
        <f>IFERROR(IF(INDEX(SPOT_Import!$A$1:$Z$2488,2084,'Live Data'!$C$17)="","",INDEX(SPOT_Import!$A$1:$Z$2488,2084,'Live Data'!$C$17)),"")</f>
        <v/>
      </c>
      <c r="G2084" s="54" t="str">
        <f>IFERROR(IF(INDEX(SPOT_Import!$A$1:$Z$2488,2084,'Live Data'!$C$18)="","",INDEX(SPOT_Import!$A$1:$Z$2488,2084,'Live Data'!$C$18)),"")</f>
        <v/>
      </c>
      <c r="H2084" s="54" t="str">
        <f>IFERROR(IF(INDEX(SPOT_Import!$A$1:$Z$2488,2084,'Live Data'!$C$19)="","",INDEX(SPOT_Import!$A$1:$Z$2488,2084,'Live Data'!$C$19)),"")</f>
        <v/>
      </c>
      <c r="I2084" s="54" t="str">
        <f>IFERROR(IF(INDEX(SPOT_Import!$A$1:$Z$2488,2084,'Live Data'!$C$20)="","",INDEX(SPOT_Import!$A$1:$Z$2488,2084,'Live Data'!$C$20)),"")</f>
        <v/>
      </c>
      <c r="J2084" s="54" t="str">
        <f>IFERROR(IF(INDEX(SPOT_Import!$A$1:$Z$2488,2084,'Live Data'!$C$21)="","",INDEX(SPOT_Import!$A$1:$Z$2488,2084,'Live Data'!$C$21)),"")</f>
        <v/>
      </c>
      <c r="K2084" s="54" t="str">
        <f>IFERROR(IF(INDEX(SPOT_Import!$A$1:$Z$2488,2084,'Live Data'!$C$22)="","",INDEX(SPOT_Import!$A$1:$Z$2488,2084,'Live Data'!$C$22)),"")</f>
        <v/>
      </c>
      <c r="L2084" s="55" t="str">
        <f t="shared" si="64"/>
        <v/>
      </c>
      <c r="M2084" s="55" t="str">
        <f t="shared" si="65"/>
        <v/>
      </c>
      <c r="N2084" s="55" t="str">
        <f>IF(A2084="","",IFERROR(INDEX('Cluster Map'!$A$4:$A$38,MATCH(M2084,'Cluster Map'!$B$4:$B$38,0)),"Unmapped"))</f>
        <v/>
      </c>
      <c r="O2084" s="55">
        <f>IF(A2084="",0,IF(COUNTIFS($A$2:A2084,A2084,$F$2:F2084,F2084,$L$2:L2084,L2084)=1,1,0))</f>
        <v>0</v>
      </c>
      <c r="P2084" s="55">
        <f>IF(A2084="",0,IF(AND(F2084="C&amp;T",COUNTIFS($A$2:A2084,A2084,$F$2:F2084,"C&amp;T")=1),1,0))</f>
        <v>0</v>
      </c>
    </row>
    <row r="2085" spans="1:16" x14ac:dyDescent="0.35">
      <c r="A2085" s="54" t="str">
        <f>IFERROR(IF(INDEX(SPOT_Import!$A$1:$Z$2488,2085,'Live Data'!$C$12)="","",INDEX(SPOT_Import!$A$1:$Z$2488,2085,'Live Data'!$C$12)),"")</f>
        <v/>
      </c>
      <c r="B2085" s="54" t="str">
        <f>IFERROR(IF(INDEX(SPOT_Import!$A$1:$Z$2488,2085,'Live Data'!$C$13)="","",INDEX(SPOT_Import!$A$1:$Z$2488,2085,'Live Data'!$C$13)),"")</f>
        <v/>
      </c>
      <c r="C2085" s="54" t="str">
        <f>IFERROR(IF(INDEX(SPOT_Import!$A$1:$Z$2488,2085,'Live Data'!$C$14)="","",INDEX(SPOT_Import!$A$1:$Z$2488,2085,'Live Data'!$C$14)),"")</f>
        <v/>
      </c>
      <c r="D2085" s="54" t="str">
        <f>IFERROR(IF(INDEX(SPOT_Import!$A$1:$Z$2488,2085,'Live Data'!$C$15)="","",INDEX(SPOT_Import!$A$1:$Z$2488,2085,'Live Data'!$C$15)),"")</f>
        <v/>
      </c>
      <c r="E2085" s="54" t="str">
        <f>IFERROR(IF(INDEX(SPOT_Import!$A$1:$Z$2488,2085,'Live Data'!$C$16)="","",INDEX(SPOT_Import!$A$1:$Z$2488,2085,'Live Data'!$C$16)),"")</f>
        <v/>
      </c>
      <c r="F2085" s="54" t="str">
        <f>IFERROR(IF(INDEX(SPOT_Import!$A$1:$Z$2488,2085,'Live Data'!$C$17)="","",INDEX(SPOT_Import!$A$1:$Z$2488,2085,'Live Data'!$C$17)),"")</f>
        <v/>
      </c>
      <c r="G2085" s="54" t="str">
        <f>IFERROR(IF(INDEX(SPOT_Import!$A$1:$Z$2488,2085,'Live Data'!$C$18)="","",INDEX(SPOT_Import!$A$1:$Z$2488,2085,'Live Data'!$C$18)),"")</f>
        <v/>
      </c>
      <c r="H2085" s="54" t="str">
        <f>IFERROR(IF(INDEX(SPOT_Import!$A$1:$Z$2488,2085,'Live Data'!$C$19)="","",INDEX(SPOT_Import!$A$1:$Z$2488,2085,'Live Data'!$C$19)),"")</f>
        <v/>
      </c>
      <c r="I2085" s="54" t="str">
        <f>IFERROR(IF(INDEX(SPOT_Import!$A$1:$Z$2488,2085,'Live Data'!$C$20)="","",INDEX(SPOT_Import!$A$1:$Z$2488,2085,'Live Data'!$C$20)),"")</f>
        <v/>
      </c>
      <c r="J2085" s="54" t="str">
        <f>IFERROR(IF(INDEX(SPOT_Import!$A$1:$Z$2488,2085,'Live Data'!$C$21)="","",INDEX(SPOT_Import!$A$1:$Z$2488,2085,'Live Data'!$C$21)),"")</f>
        <v/>
      </c>
      <c r="K2085" s="54" t="str">
        <f>IFERROR(IF(INDEX(SPOT_Import!$A$1:$Z$2488,2085,'Live Data'!$C$22)="","",INDEX(SPOT_Import!$A$1:$Z$2488,2085,'Live Data'!$C$22)),"")</f>
        <v/>
      </c>
      <c r="L2085" s="55" t="str">
        <f t="shared" si="64"/>
        <v/>
      </c>
      <c r="M2085" s="55" t="str">
        <f t="shared" si="65"/>
        <v/>
      </c>
      <c r="N2085" s="55" t="str">
        <f>IF(A2085="","",IFERROR(INDEX('Cluster Map'!$A$4:$A$38,MATCH(M2085,'Cluster Map'!$B$4:$B$38,0)),"Unmapped"))</f>
        <v/>
      </c>
      <c r="O2085" s="55">
        <f>IF(A2085="",0,IF(COUNTIFS($A$2:A2085,A2085,$F$2:F2085,F2085,$L$2:L2085,L2085)=1,1,0))</f>
        <v>0</v>
      </c>
      <c r="P2085" s="55">
        <f>IF(A2085="",0,IF(AND(F2085="C&amp;T",COUNTIFS($A$2:A2085,A2085,$F$2:F2085,"C&amp;T")=1),1,0))</f>
        <v>0</v>
      </c>
    </row>
    <row r="2086" spans="1:16" x14ac:dyDescent="0.35">
      <c r="A2086" s="54" t="str">
        <f>IFERROR(IF(INDEX(SPOT_Import!$A$1:$Z$2488,2086,'Live Data'!$C$12)="","",INDEX(SPOT_Import!$A$1:$Z$2488,2086,'Live Data'!$C$12)),"")</f>
        <v/>
      </c>
      <c r="B2086" s="54" t="str">
        <f>IFERROR(IF(INDEX(SPOT_Import!$A$1:$Z$2488,2086,'Live Data'!$C$13)="","",INDEX(SPOT_Import!$A$1:$Z$2488,2086,'Live Data'!$C$13)),"")</f>
        <v/>
      </c>
      <c r="C2086" s="54" t="str">
        <f>IFERROR(IF(INDEX(SPOT_Import!$A$1:$Z$2488,2086,'Live Data'!$C$14)="","",INDEX(SPOT_Import!$A$1:$Z$2488,2086,'Live Data'!$C$14)),"")</f>
        <v/>
      </c>
      <c r="D2086" s="54" t="str">
        <f>IFERROR(IF(INDEX(SPOT_Import!$A$1:$Z$2488,2086,'Live Data'!$C$15)="","",INDEX(SPOT_Import!$A$1:$Z$2488,2086,'Live Data'!$C$15)),"")</f>
        <v/>
      </c>
      <c r="E2086" s="54" t="str">
        <f>IFERROR(IF(INDEX(SPOT_Import!$A$1:$Z$2488,2086,'Live Data'!$C$16)="","",INDEX(SPOT_Import!$A$1:$Z$2488,2086,'Live Data'!$C$16)),"")</f>
        <v/>
      </c>
      <c r="F2086" s="54" t="str">
        <f>IFERROR(IF(INDEX(SPOT_Import!$A$1:$Z$2488,2086,'Live Data'!$C$17)="","",INDEX(SPOT_Import!$A$1:$Z$2488,2086,'Live Data'!$C$17)),"")</f>
        <v/>
      </c>
      <c r="G2086" s="54" t="str">
        <f>IFERROR(IF(INDEX(SPOT_Import!$A$1:$Z$2488,2086,'Live Data'!$C$18)="","",INDEX(SPOT_Import!$A$1:$Z$2488,2086,'Live Data'!$C$18)),"")</f>
        <v/>
      </c>
      <c r="H2086" s="54" t="str">
        <f>IFERROR(IF(INDEX(SPOT_Import!$A$1:$Z$2488,2086,'Live Data'!$C$19)="","",INDEX(SPOT_Import!$A$1:$Z$2488,2086,'Live Data'!$C$19)),"")</f>
        <v/>
      </c>
      <c r="I2086" s="54" t="str">
        <f>IFERROR(IF(INDEX(SPOT_Import!$A$1:$Z$2488,2086,'Live Data'!$C$20)="","",INDEX(SPOT_Import!$A$1:$Z$2488,2086,'Live Data'!$C$20)),"")</f>
        <v/>
      </c>
      <c r="J2086" s="54" t="str">
        <f>IFERROR(IF(INDEX(SPOT_Import!$A$1:$Z$2488,2086,'Live Data'!$C$21)="","",INDEX(SPOT_Import!$A$1:$Z$2488,2086,'Live Data'!$C$21)),"")</f>
        <v/>
      </c>
      <c r="K2086" s="54" t="str">
        <f>IFERROR(IF(INDEX(SPOT_Import!$A$1:$Z$2488,2086,'Live Data'!$C$22)="","",INDEX(SPOT_Import!$A$1:$Z$2488,2086,'Live Data'!$C$22)),"")</f>
        <v/>
      </c>
      <c r="L2086" s="55" t="str">
        <f t="shared" si="64"/>
        <v/>
      </c>
      <c r="M2086" s="55" t="str">
        <f t="shared" si="65"/>
        <v/>
      </c>
      <c r="N2086" s="55" t="str">
        <f>IF(A2086="","",IFERROR(INDEX('Cluster Map'!$A$4:$A$38,MATCH(M2086,'Cluster Map'!$B$4:$B$38,0)),"Unmapped"))</f>
        <v/>
      </c>
      <c r="O2086" s="55">
        <f>IF(A2086="",0,IF(COUNTIFS($A$2:A2086,A2086,$F$2:F2086,F2086,$L$2:L2086,L2086)=1,1,0))</f>
        <v>0</v>
      </c>
      <c r="P2086" s="55">
        <f>IF(A2086="",0,IF(AND(F2086="C&amp;T",COUNTIFS($A$2:A2086,A2086,$F$2:F2086,"C&amp;T")=1),1,0))</f>
        <v>0</v>
      </c>
    </row>
    <row r="2087" spans="1:16" x14ac:dyDescent="0.35">
      <c r="A2087" s="54" t="str">
        <f>IFERROR(IF(INDEX(SPOT_Import!$A$1:$Z$2488,2087,'Live Data'!$C$12)="","",INDEX(SPOT_Import!$A$1:$Z$2488,2087,'Live Data'!$C$12)),"")</f>
        <v/>
      </c>
      <c r="B2087" s="54" t="str">
        <f>IFERROR(IF(INDEX(SPOT_Import!$A$1:$Z$2488,2087,'Live Data'!$C$13)="","",INDEX(SPOT_Import!$A$1:$Z$2488,2087,'Live Data'!$C$13)),"")</f>
        <v/>
      </c>
      <c r="C2087" s="54" t="str">
        <f>IFERROR(IF(INDEX(SPOT_Import!$A$1:$Z$2488,2087,'Live Data'!$C$14)="","",INDEX(SPOT_Import!$A$1:$Z$2488,2087,'Live Data'!$C$14)),"")</f>
        <v/>
      </c>
      <c r="D2087" s="54" t="str">
        <f>IFERROR(IF(INDEX(SPOT_Import!$A$1:$Z$2488,2087,'Live Data'!$C$15)="","",INDEX(SPOT_Import!$A$1:$Z$2488,2087,'Live Data'!$C$15)),"")</f>
        <v/>
      </c>
      <c r="E2087" s="54" t="str">
        <f>IFERROR(IF(INDEX(SPOT_Import!$A$1:$Z$2488,2087,'Live Data'!$C$16)="","",INDEX(SPOT_Import!$A$1:$Z$2488,2087,'Live Data'!$C$16)),"")</f>
        <v/>
      </c>
      <c r="F2087" s="54" t="str">
        <f>IFERROR(IF(INDEX(SPOT_Import!$A$1:$Z$2488,2087,'Live Data'!$C$17)="","",INDEX(SPOT_Import!$A$1:$Z$2488,2087,'Live Data'!$C$17)),"")</f>
        <v/>
      </c>
      <c r="G2087" s="54" t="str">
        <f>IFERROR(IF(INDEX(SPOT_Import!$A$1:$Z$2488,2087,'Live Data'!$C$18)="","",INDEX(SPOT_Import!$A$1:$Z$2488,2087,'Live Data'!$C$18)),"")</f>
        <v/>
      </c>
      <c r="H2087" s="54" t="str">
        <f>IFERROR(IF(INDEX(SPOT_Import!$A$1:$Z$2488,2087,'Live Data'!$C$19)="","",INDEX(SPOT_Import!$A$1:$Z$2488,2087,'Live Data'!$C$19)),"")</f>
        <v/>
      </c>
      <c r="I2087" s="54" t="str">
        <f>IFERROR(IF(INDEX(SPOT_Import!$A$1:$Z$2488,2087,'Live Data'!$C$20)="","",INDEX(SPOT_Import!$A$1:$Z$2488,2087,'Live Data'!$C$20)),"")</f>
        <v/>
      </c>
      <c r="J2087" s="54" t="str">
        <f>IFERROR(IF(INDEX(SPOT_Import!$A$1:$Z$2488,2087,'Live Data'!$C$21)="","",INDEX(SPOT_Import!$A$1:$Z$2488,2087,'Live Data'!$C$21)),"")</f>
        <v/>
      </c>
      <c r="K2087" s="54" t="str">
        <f>IFERROR(IF(INDEX(SPOT_Import!$A$1:$Z$2488,2087,'Live Data'!$C$22)="","",INDEX(SPOT_Import!$A$1:$Z$2488,2087,'Live Data'!$C$22)),"")</f>
        <v/>
      </c>
      <c r="L2087" s="55" t="str">
        <f t="shared" si="64"/>
        <v/>
      </c>
      <c r="M2087" s="55" t="str">
        <f t="shared" si="65"/>
        <v/>
      </c>
      <c r="N2087" s="55" t="str">
        <f>IF(A2087="","",IFERROR(INDEX('Cluster Map'!$A$4:$A$38,MATCH(M2087,'Cluster Map'!$B$4:$B$38,0)),"Unmapped"))</f>
        <v/>
      </c>
      <c r="O2087" s="55">
        <f>IF(A2087="",0,IF(COUNTIFS($A$2:A2087,A2087,$F$2:F2087,F2087,$L$2:L2087,L2087)=1,1,0))</f>
        <v>0</v>
      </c>
      <c r="P2087" s="55">
        <f>IF(A2087="",0,IF(AND(F2087="C&amp;T",COUNTIFS($A$2:A2087,A2087,$F$2:F2087,"C&amp;T")=1),1,0))</f>
        <v>0</v>
      </c>
    </row>
    <row r="2088" spans="1:16" x14ac:dyDescent="0.35">
      <c r="A2088" s="54" t="str">
        <f>IFERROR(IF(INDEX(SPOT_Import!$A$1:$Z$2488,2088,'Live Data'!$C$12)="","",INDEX(SPOT_Import!$A$1:$Z$2488,2088,'Live Data'!$C$12)),"")</f>
        <v/>
      </c>
      <c r="B2088" s="54" t="str">
        <f>IFERROR(IF(INDEX(SPOT_Import!$A$1:$Z$2488,2088,'Live Data'!$C$13)="","",INDEX(SPOT_Import!$A$1:$Z$2488,2088,'Live Data'!$C$13)),"")</f>
        <v/>
      </c>
      <c r="C2088" s="54" t="str">
        <f>IFERROR(IF(INDEX(SPOT_Import!$A$1:$Z$2488,2088,'Live Data'!$C$14)="","",INDEX(SPOT_Import!$A$1:$Z$2488,2088,'Live Data'!$C$14)),"")</f>
        <v/>
      </c>
      <c r="D2088" s="54" t="str">
        <f>IFERROR(IF(INDEX(SPOT_Import!$A$1:$Z$2488,2088,'Live Data'!$C$15)="","",INDEX(SPOT_Import!$A$1:$Z$2488,2088,'Live Data'!$C$15)),"")</f>
        <v/>
      </c>
      <c r="E2088" s="54" t="str">
        <f>IFERROR(IF(INDEX(SPOT_Import!$A$1:$Z$2488,2088,'Live Data'!$C$16)="","",INDEX(SPOT_Import!$A$1:$Z$2488,2088,'Live Data'!$C$16)),"")</f>
        <v/>
      </c>
      <c r="F2088" s="54" t="str">
        <f>IFERROR(IF(INDEX(SPOT_Import!$A$1:$Z$2488,2088,'Live Data'!$C$17)="","",INDEX(SPOT_Import!$A$1:$Z$2488,2088,'Live Data'!$C$17)),"")</f>
        <v/>
      </c>
      <c r="G2088" s="54" t="str">
        <f>IFERROR(IF(INDEX(SPOT_Import!$A$1:$Z$2488,2088,'Live Data'!$C$18)="","",INDEX(SPOT_Import!$A$1:$Z$2488,2088,'Live Data'!$C$18)),"")</f>
        <v/>
      </c>
      <c r="H2088" s="54" t="str">
        <f>IFERROR(IF(INDEX(SPOT_Import!$A$1:$Z$2488,2088,'Live Data'!$C$19)="","",INDEX(SPOT_Import!$A$1:$Z$2488,2088,'Live Data'!$C$19)),"")</f>
        <v/>
      </c>
      <c r="I2088" s="54" t="str">
        <f>IFERROR(IF(INDEX(SPOT_Import!$A$1:$Z$2488,2088,'Live Data'!$C$20)="","",INDEX(SPOT_Import!$A$1:$Z$2488,2088,'Live Data'!$C$20)),"")</f>
        <v/>
      </c>
      <c r="J2088" s="54" t="str">
        <f>IFERROR(IF(INDEX(SPOT_Import!$A$1:$Z$2488,2088,'Live Data'!$C$21)="","",INDEX(SPOT_Import!$A$1:$Z$2488,2088,'Live Data'!$C$21)),"")</f>
        <v/>
      </c>
      <c r="K2088" s="54" t="str">
        <f>IFERROR(IF(INDEX(SPOT_Import!$A$1:$Z$2488,2088,'Live Data'!$C$22)="","",INDEX(SPOT_Import!$A$1:$Z$2488,2088,'Live Data'!$C$22)),"")</f>
        <v/>
      </c>
      <c r="L2088" s="55" t="str">
        <f t="shared" si="64"/>
        <v/>
      </c>
      <c r="M2088" s="55" t="str">
        <f t="shared" si="65"/>
        <v/>
      </c>
      <c r="N2088" s="55" t="str">
        <f>IF(A2088="","",IFERROR(INDEX('Cluster Map'!$A$4:$A$38,MATCH(M2088,'Cluster Map'!$B$4:$B$38,0)),"Unmapped"))</f>
        <v/>
      </c>
      <c r="O2088" s="55">
        <f>IF(A2088="",0,IF(COUNTIFS($A$2:A2088,A2088,$F$2:F2088,F2088,$L$2:L2088,L2088)=1,1,0))</f>
        <v>0</v>
      </c>
      <c r="P2088" s="55">
        <f>IF(A2088="",0,IF(AND(F2088="C&amp;T",COUNTIFS($A$2:A2088,A2088,$F$2:F2088,"C&amp;T")=1),1,0))</f>
        <v>0</v>
      </c>
    </row>
    <row r="2089" spans="1:16" x14ac:dyDescent="0.35">
      <c r="A2089" s="54" t="str">
        <f>IFERROR(IF(INDEX(SPOT_Import!$A$1:$Z$2488,2089,'Live Data'!$C$12)="","",INDEX(SPOT_Import!$A$1:$Z$2488,2089,'Live Data'!$C$12)),"")</f>
        <v/>
      </c>
      <c r="B2089" s="54" t="str">
        <f>IFERROR(IF(INDEX(SPOT_Import!$A$1:$Z$2488,2089,'Live Data'!$C$13)="","",INDEX(SPOT_Import!$A$1:$Z$2488,2089,'Live Data'!$C$13)),"")</f>
        <v/>
      </c>
      <c r="C2089" s="54" t="str">
        <f>IFERROR(IF(INDEX(SPOT_Import!$A$1:$Z$2488,2089,'Live Data'!$C$14)="","",INDEX(SPOT_Import!$A$1:$Z$2488,2089,'Live Data'!$C$14)),"")</f>
        <v/>
      </c>
      <c r="D2089" s="54" t="str">
        <f>IFERROR(IF(INDEX(SPOT_Import!$A$1:$Z$2488,2089,'Live Data'!$C$15)="","",INDEX(SPOT_Import!$A$1:$Z$2488,2089,'Live Data'!$C$15)),"")</f>
        <v/>
      </c>
      <c r="E2089" s="54" t="str">
        <f>IFERROR(IF(INDEX(SPOT_Import!$A$1:$Z$2488,2089,'Live Data'!$C$16)="","",INDEX(SPOT_Import!$A$1:$Z$2488,2089,'Live Data'!$C$16)),"")</f>
        <v/>
      </c>
      <c r="F2089" s="54" t="str">
        <f>IFERROR(IF(INDEX(SPOT_Import!$A$1:$Z$2488,2089,'Live Data'!$C$17)="","",INDEX(SPOT_Import!$A$1:$Z$2488,2089,'Live Data'!$C$17)),"")</f>
        <v/>
      </c>
      <c r="G2089" s="54" t="str">
        <f>IFERROR(IF(INDEX(SPOT_Import!$A$1:$Z$2488,2089,'Live Data'!$C$18)="","",INDEX(SPOT_Import!$A$1:$Z$2488,2089,'Live Data'!$C$18)),"")</f>
        <v/>
      </c>
      <c r="H2089" s="54" t="str">
        <f>IFERROR(IF(INDEX(SPOT_Import!$A$1:$Z$2488,2089,'Live Data'!$C$19)="","",INDEX(SPOT_Import!$A$1:$Z$2488,2089,'Live Data'!$C$19)),"")</f>
        <v/>
      </c>
      <c r="I2089" s="54" t="str">
        <f>IFERROR(IF(INDEX(SPOT_Import!$A$1:$Z$2488,2089,'Live Data'!$C$20)="","",INDEX(SPOT_Import!$A$1:$Z$2488,2089,'Live Data'!$C$20)),"")</f>
        <v/>
      </c>
      <c r="J2089" s="54" t="str">
        <f>IFERROR(IF(INDEX(SPOT_Import!$A$1:$Z$2488,2089,'Live Data'!$C$21)="","",INDEX(SPOT_Import!$A$1:$Z$2488,2089,'Live Data'!$C$21)),"")</f>
        <v/>
      </c>
      <c r="K2089" s="54" t="str">
        <f>IFERROR(IF(INDEX(SPOT_Import!$A$1:$Z$2488,2089,'Live Data'!$C$22)="","",INDEX(SPOT_Import!$A$1:$Z$2488,2089,'Live Data'!$C$22)),"")</f>
        <v/>
      </c>
      <c r="L2089" s="55" t="str">
        <f t="shared" si="64"/>
        <v/>
      </c>
      <c r="M2089" s="55" t="str">
        <f t="shared" si="65"/>
        <v/>
      </c>
      <c r="N2089" s="55" t="str">
        <f>IF(A2089="","",IFERROR(INDEX('Cluster Map'!$A$4:$A$38,MATCH(M2089,'Cluster Map'!$B$4:$B$38,0)),"Unmapped"))</f>
        <v/>
      </c>
      <c r="O2089" s="55">
        <f>IF(A2089="",0,IF(COUNTIFS($A$2:A2089,A2089,$F$2:F2089,F2089,$L$2:L2089,L2089)=1,1,0))</f>
        <v>0</v>
      </c>
      <c r="P2089" s="55">
        <f>IF(A2089="",0,IF(AND(F2089="C&amp;T",COUNTIFS($A$2:A2089,A2089,$F$2:F2089,"C&amp;T")=1),1,0))</f>
        <v>0</v>
      </c>
    </row>
    <row r="2090" spans="1:16" x14ac:dyDescent="0.35">
      <c r="A2090" s="54" t="str">
        <f>IFERROR(IF(INDEX(SPOT_Import!$A$1:$Z$2488,2090,'Live Data'!$C$12)="","",INDEX(SPOT_Import!$A$1:$Z$2488,2090,'Live Data'!$C$12)),"")</f>
        <v/>
      </c>
      <c r="B2090" s="54" t="str">
        <f>IFERROR(IF(INDEX(SPOT_Import!$A$1:$Z$2488,2090,'Live Data'!$C$13)="","",INDEX(SPOT_Import!$A$1:$Z$2488,2090,'Live Data'!$C$13)),"")</f>
        <v/>
      </c>
      <c r="C2090" s="54" t="str">
        <f>IFERROR(IF(INDEX(SPOT_Import!$A$1:$Z$2488,2090,'Live Data'!$C$14)="","",INDEX(SPOT_Import!$A$1:$Z$2488,2090,'Live Data'!$C$14)),"")</f>
        <v/>
      </c>
      <c r="D2090" s="54" t="str">
        <f>IFERROR(IF(INDEX(SPOT_Import!$A$1:$Z$2488,2090,'Live Data'!$C$15)="","",INDEX(SPOT_Import!$A$1:$Z$2488,2090,'Live Data'!$C$15)),"")</f>
        <v/>
      </c>
      <c r="E2090" s="54" t="str">
        <f>IFERROR(IF(INDEX(SPOT_Import!$A$1:$Z$2488,2090,'Live Data'!$C$16)="","",INDEX(SPOT_Import!$A$1:$Z$2488,2090,'Live Data'!$C$16)),"")</f>
        <v/>
      </c>
      <c r="F2090" s="54" t="str">
        <f>IFERROR(IF(INDEX(SPOT_Import!$A$1:$Z$2488,2090,'Live Data'!$C$17)="","",INDEX(SPOT_Import!$A$1:$Z$2488,2090,'Live Data'!$C$17)),"")</f>
        <v/>
      </c>
      <c r="G2090" s="54" t="str">
        <f>IFERROR(IF(INDEX(SPOT_Import!$A$1:$Z$2488,2090,'Live Data'!$C$18)="","",INDEX(SPOT_Import!$A$1:$Z$2488,2090,'Live Data'!$C$18)),"")</f>
        <v/>
      </c>
      <c r="H2090" s="54" t="str">
        <f>IFERROR(IF(INDEX(SPOT_Import!$A$1:$Z$2488,2090,'Live Data'!$C$19)="","",INDEX(SPOT_Import!$A$1:$Z$2488,2090,'Live Data'!$C$19)),"")</f>
        <v/>
      </c>
      <c r="I2090" s="54" t="str">
        <f>IFERROR(IF(INDEX(SPOT_Import!$A$1:$Z$2488,2090,'Live Data'!$C$20)="","",INDEX(SPOT_Import!$A$1:$Z$2488,2090,'Live Data'!$C$20)),"")</f>
        <v/>
      </c>
      <c r="J2090" s="54" t="str">
        <f>IFERROR(IF(INDEX(SPOT_Import!$A$1:$Z$2488,2090,'Live Data'!$C$21)="","",INDEX(SPOT_Import!$A$1:$Z$2488,2090,'Live Data'!$C$21)),"")</f>
        <v/>
      </c>
      <c r="K2090" s="54" t="str">
        <f>IFERROR(IF(INDEX(SPOT_Import!$A$1:$Z$2488,2090,'Live Data'!$C$22)="","",INDEX(SPOT_Import!$A$1:$Z$2488,2090,'Live Data'!$C$22)),"")</f>
        <v/>
      </c>
      <c r="L2090" s="55" t="str">
        <f t="shared" si="64"/>
        <v/>
      </c>
      <c r="M2090" s="55" t="str">
        <f t="shared" si="65"/>
        <v/>
      </c>
      <c r="N2090" s="55" t="str">
        <f>IF(A2090="","",IFERROR(INDEX('Cluster Map'!$A$4:$A$38,MATCH(M2090,'Cluster Map'!$B$4:$B$38,0)),"Unmapped"))</f>
        <v/>
      </c>
      <c r="O2090" s="55">
        <f>IF(A2090="",0,IF(COUNTIFS($A$2:A2090,A2090,$F$2:F2090,F2090,$L$2:L2090,L2090)=1,1,0))</f>
        <v>0</v>
      </c>
      <c r="P2090" s="55">
        <f>IF(A2090="",0,IF(AND(F2090="C&amp;T",COUNTIFS($A$2:A2090,A2090,$F$2:F2090,"C&amp;T")=1),1,0))</f>
        <v>0</v>
      </c>
    </row>
    <row r="2091" spans="1:16" x14ac:dyDescent="0.35">
      <c r="A2091" s="54" t="str">
        <f>IFERROR(IF(INDEX(SPOT_Import!$A$1:$Z$2488,2091,'Live Data'!$C$12)="","",INDEX(SPOT_Import!$A$1:$Z$2488,2091,'Live Data'!$C$12)),"")</f>
        <v/>
      </c>
      <c r="B2091" s="54" t="str">
        <f>IFERROR(IF(INDEX(SPOT_Import!$A$1:$Z$2488,2091,'Live Data'!$C$13)="","",INDEX(SPOT_Import!$A$1:$Z$2488,2091,'Live Data'!$C$13)),"")</f>
        <v/>
      </c>
      <c r="C2091" s="54" t="str">
        <f>IFERROR(IF(INDEX(SPOT_Import!$A$1:$Z$2488,2091,'Live Data'!$C$14)="","",INDEX(SPOT_Import!$A$1:$Z$2488,2091,'Live Data'!$C$14)),"")</f>
        <v/>
      </c>
      <c r="D2091" s="54" t="str">
        <f>IFERROR(IF(INDEX(SPOT_Import!$A$1:$Z$2488,2091,'Live Data'!$C$15)="","",INDEX(SPOT_Import!$A$1:$Z$2488,2091,'Live Data'!$C$15)),"")</f>
        <v/>
      </c>
      <c r="E2091" s="54" t="str">
        <f>IFERROR(IF(INDEX(SPOT_Import!$A$1:$Z$2488,2091,'Live Data'!$C$16)="","",INDEX(SPOT_Import!$A$1:$Z$2488,2091,'Live Data'!$C$16)),"")</f>
        <v/>
      </c>
      <c r="F2091" s="54" t="str">
        <f>IFERROR(IF(INDEX(SPOT_Import!$A$1:$Z$2488,2091,'Live Data'!$C$17)="","",INDEX(SPOT_Import!$A$1:$Z$2488,2091,'Live Data'!$C$17)),"")</f>
        <v/>
      </c>
      <c r="G2091" s="54" t="str">
        <f>IFERROR(IF(INDEX(SPOT_Import!$A$1:$Z$2488,2091,'Live Data'!$C$18)="","",INDEX(SPOT_Import!$A$1:$Z$2488,2091,'Live Data'!$C$18)),"")</f>
        <v/>
      </c>
      <c r="H2091" s="54" t="str">
        <f>IFERROR(IF(INDEX(SPOT_Import!$A$1:$Z$2488,2091,'Live Data'!$C$19)="","",INDEX(SPOT_Import!$A$1:$Z$2488,2091,'Live Data'!$C$19)),"")</f>
        <v/>
      </c>
      <c r="I2091" s="54" t="str">
        <f>IFERROR(IF(INDEX(SPOT_Import!$A$1:$Z$2488,2091,'Live Data'!$C$20)="","",INDEX(SPOT_Import!$A$1:$Z$2488,2091,'Live Data'!$C$20)),"")</f>
        <v/>
      </c>
      <c r="J2091" s="54" t="str">
        <f>IFERROR(IF(INDEX(SPOT_Import!$A$1:$Z$2488,2091,'Live Data'!$C$21)="","",INDEX(SPOT_Import!$A$1:$Z$2488,2091,'Live Data'!$C$21)),"")</f>
        <v/>
      </c>
      <c r="K2091" s="54" t="str">
        <f>IFERROR(IF(INDEX(SPOT_Import!$A$1:$Z$2488,2091,'Live Data'!$C$22)="","",INDEX(SPOT_Import!$A$1:$Z$2488,2091,'Live Data'!$C$22)),"")</f>
        <v/>
      </c>
      <c r="L2091" s="55" t="str">
        <f t="shared" si="64"/>
        <v/>
      </c>
      <c r="M2091" s="55" t="str">
        <f t="shared" si="65"/>
        <v/>
      </c>
      <c r="N2091" s="55" t="str">
        <f>IF(A2091="","",IFERROR(INDEX('Cluster Map'!$A$4:$A$38,MATCH(M2091,'Cluster Map'!$B$4:$B$38,0)),"Unmapped"))</f>
        <v/>
      </c>
      <c r="O2091" s="55">
        <f>IF(A2091="",0,IF(COUNTIFS($A$2:A2091,A2091,$F$2:F2091,F2091,$L$2:L2091,L2091)=1,1,0))</f>
        <v>0</v>
      </c>
      <c r="P2091" s="55">
        <f>IF(A2091="",0,IF(AND(F2091="C&amp;T",COUNTIFS($A$2:A2091,A2091,$F$2:F2091,"C&amp;T")=1),1,0))</f>
        <v>0</v>
      </c>
    </row>
    <row r="2092" spans="1:16" x14ac:dyDescent="0.35">
      <c r="A2092" s="54" t="str">
        <f>IFERROR(IF(INDEX(SPOT_Import!$A$1:$Z$2488,2092,'Live Data'!$C$12)="","",INDEX(SPOT_Import!$A$1:$Z$2488,2092,'Live Data'!$C$12)),"")</f>
        <v/>
      </c>
      <c r="B2092" s="54" t="str">
        <f>IFERROR(IF(INDEX(SPOT_Import!$A$1:$Z$2488,2092,'Live Data'!$C$13)="","",INDEX(SPOT_Import!$A$1:$Z$2488,2092,'Live Data'!$C$13)),"")</f>
        <v/>
      </c>
      <c r="C2092" s="54" t="str">
        <f>IFERROR(IF(INDEX(SPOT_Import!$A$1:$Z$2488,2092,'Live Data'!$C$14)="","",INDEX(SPOT_Import!$A$1:$Z$2488,2092,'Live Data'!$C$14)),"")</f>
        <v/>
      </c>
      <c r="D2092" s="54" t="str">
        <f>IFERROR(IF(INDEX(SPOT_Import!$A$1:$Z$2488,2092,'Live Data'!$C$15)="","",INDEX(SPOT_Import!$A$1:$Z$2488,2092,'Live Data'!$C$15)),"")</f>
        <v/>
      </c>
      <c r="E2092" s="54" t="str">
        <f>IFERROR(IF(INDEX(SPOT_Import!$A$1:$Z$2488,2092,'Live Data'!$C$16)="","",INDEX(SPOT_Import!$A$1:$Z$2488,2092,'Live Data'!$C$16)),"")</f>
        <v/>
      </c>
      <c r="F2092" s="54" t="str">
        <f>IFERROR(IF(INDEX(SPOT_Import!$A$1:$Z$2488,2092,'Live Data'!$C$17)="","",INDEX(SPOT_Import!$A$1:$Z$2488,2092,'Live Data'!$C$17)),"")</f>
        <v/>
      </c>
      <c r="G2092" s="54" t="str">
        <f>IFERROR(IF(INDEX(SPOT_Import!$A$1:$Z$2488,2092,'Live Data'!$C$18)="","",INDEX(SPOT_Import!$A$1:$Z$2488,2092,'Live Data'!$C$18)),"")</f>
        <v/>
      </c>
      <c r="H2092" s="54" t="str">
        <f>IFERROR(IF(INDEX(SPOT_Import!$A$1:$Z$2488,2092,'Live Data'!$C$19)="","",INDEX(SPOT_Import!$A$1:$Z$2488,2092,'Live Data'!$C$19)),"")</f>
        <v/>
      </c>
      <c r="I2092" s="54" t="str">
        <f>IFERROR(IF(INDEX(SPOT_Import!$A$1:$Z$2488,2092,'Live Data'!$C$20)="","",INDEX(SPOT_Import!$A$1:$Z$2488,2092,'Live Data'!$C$20)),"")</f>
        <v/>
      </c>
      <c r="J2092" s="54" t="str">
        <f>IFERROR(IF(INDEX(SPOT_Import!$A$1:$Z$2488,2092,'Live Data'!$C$21)="","",INDEX(SPOT_Import!$A$1:$Z$2488,2092,'Live Data'!$C$21)),"")</f>
        <v/>
      </c>
      <c r="K2092" s="54" t="str">
        <f>IFERROR(IF(INDEX(SPOT_Import!$A$1:$Z$2488,2092,'Live Data'!$C$22)="","",INDEX(SPOT_Import!$A$1:$Z$2488,2092,'Live Data'!$C$22)),"")</f>
        <v/>
      </c>
      <c r="L2092" s="55" t="str">
        <f t="shared" si="64"/>
        <v/>
      </c>
      <c r="M2092" s="55" t="str">
        <f t="shared" si="65"/>
        <v/>
      </c>
      <c r="N2092" s="55" t="str">
        <f>IF(A2092="","",IFERROR(INDEX('Cluster Map'!$A$4:$A$38,MATCH(M2092,'Cluster Map'!$B$4:$B$38,0)),"Unmapped"))</f>
        <v/>
      </c>
      <c r="O2092" s="55">
        <f>IF(A2092="",0,IF(COUNTIFS($A$2:A2092,A2092,$F$2:F2092,F2092,$L$2:L2092,L2092)=1,1,0))</f>
        <v>0</v>
      </c>
      <c r="P2092" s="55">
        <f>IF(A2092="",0,IF(AND(F2092="C&amp;T",COUNTIFS($A$2:A2092,A2092,$F$2:F2092,"C&amp;T")=1),1,0))</f>
        <v>0</v>
      </c>
    </row>
    <row r="2093" spans="1:16" x14ac:dyDescent="0.35">
      <c r="A2093" s="54" t="str">
        <f>IFERROR(IF(INDEX(SPOT_Import!$A$1:$Z$2488,2093,'Live Data'!$C$12)="","",INDEX(SPOT_Import!$A$1:$Z$2488,2093,'Live Data'!$C$12)),"")</f>
        <v/>
      </c>
      <c r="B2093" s="54" t="str">
        <f>IFERROR(IF(INDEX(SPOT_Import!$A$1:$Z$2488,2093,'Live Data'!$C$13)="","",INDEX(SPOT_Import!$A$1:$Z$2488,2093,'Live Data'!$C$13)),"")</f>
        <v/>
      </c>
      <c r="C2093" s="54" t="str">
        <f>IFERROR(IF(INDEX(SPOT_Import!$A$1:$Z$2488,2093,'Live Data'!$C$14)="","",INDEX(SPOT_Import!$A$1:$Z$2488,2093,'Live Data'!$C$14)),"")</f>
        <v/>
      </c>
      <c r="D2093" s="54" t="str">
        <f>IFERROR(IF(INDEX(SPOT_Import!$A$1:$Z$2488,2093,'Live Data'!$C$15)="","",INDEX(SPOT_Import!$A$1:$Z$2488,2093,'Live Data'!$C$15)),"")</f>
        <v/>
      </c>
      <c r="E2093" s="54" t="str">
        <f>IFERROR(IF(INDEX(SPOT_Import!$A$1:$Z$2488,2093,'Live Data'!$C$16)="","",INDEX(SPOT_Import!$A$1:$Z$2488,2093,'Live Data'!$C$16)),"")</f>
        <v/>
      </c>
      <c r="F2093" s="54" t="str">
        <f>IFERROR(IF(INDEX(SPOT_Import!$A$1:$Z$2488,2093,'Live Data'!$C$17)="","",INDEX(SPOT_Import!$A$1:$Z$2488,2093,'Live Data'!$C$17)),"")</f>
        <v/>
      </c>
      <c r="G2093" s="54" t="str">
        <f>IFERROR(IF(INDEX(SPOT_Import!$A$1:$Z$2488,2093,'Live Data'!$C$18)="","",INDEX(SPOT_Import!$A$1:$Z$2488,2093,'Live Data'!$C$18)),"")</f>
        <v/>
      </c>
      <c r="H2093" s="54" t="str">
        <f>IFERROR(IF(INDEX(SPOT_Import!$A$1:$Z$2488,2093,'Live Data'!$C$19)="","",INDEX(SPOT_Import!$A$1:$Z$2488,2093,'Live Data'!$C$19)),"")</f>
        <v/>
      </c>
      <c r="I2093" s="54" t="str">
        <f>IFERROR(IF(INDEX(SPOT_Import!$A$1:$Z$2488,2093,'Live Data'!$C$20)="","",INDEX(SPOT_Import!$A$1:$Z$2488,2093,'Live Data'!$C$20)),"")</f>
        <v/>
      </c>
      <c r="J2093" s="54" t="str">
        <f>IFERROR(IF(INDEX(SPOT_Import!$A$1:$Z$2488,2093,'Live Data'!$C$21)="","",INDEX(SPOT_Import!$A$1:$Z$2488,2093,'Live Data'!$C$21)),"")</f>
        <v/>
      </c>
      <c r="K2093" s="54" t="str">
        <f>IFERROR(IF(INDEX(SPOT_Import!$A$1:$Z$2488,2093,'Live Data'!$C$22)="","",INDEX(SPOT_Import!$A$1:$Z$2488,2093,'Live Data'!$C$22)),"")</f>
        <v/>
      </c>
      <c r="L2093" s="55" t="str">
        <f t="shared" si="64"/>
        <v/>
      </c>
      <c r="M2093" s="55" t="str">
        <f t="shared" si="65"/>
        <v/>
      </c>
      <c r="N2093" s="55" t="str">
        <f>IF(A2093="","",IFERROR(INDEX('Cluster Map'!$A$4:$A$38,MATCH(M2093,'Cluster Map'!$B$4:$B$38,0)),"Unmapped"))</f>
        <v/>
      </c>
      <c r="O2093" s="55">
        <f>IF(A2093="",0,IF(COUNTIFS($A$2:A2093,A2093,$F$2:F2093,F2093,$L$2:L2093,L2093)=1,1,0))</f>
        <v>0</v>
      </c>
      <c r="P2093" s="55">
        <f>IF(A2093="",0,IF(AND(F2093="C&amp;T",COUNTIFS($A$2:A2093,A2093,$F$2:F2093,"C&amp;T")=1),1,0))</f>
        <v>0</v>
      </c>
    </row>
    <row r="2094" spans="1:16" x14ac:dyDescent="0.35">
      <c r="A2094" s="54" t="str">
        <f>IFERROR(IF(INDEX(SPOT_Import!$A$1:$Z$2488,2094,'Live Data'!$C$12)="","",INDEX(SPOT_Import!$A$1:$Z$2488,2094,'Live Data'!$C$12)),"")</f>
        <v/>
      </c>
      <c r="B2094" s="54" t="str">
        <f>IFERROR(IF(INDEX(SPOT_Import!$A$1:$Z$2488,2094,'Live Data'!$C$13)="","",INDEX(SPOT_Import!$A$1:$Z$2488,2094,'Live Data'!$C$13)),"")</f>
        <v/>
      </c>
      <c r="C2094" s="54" t="str">
        <f>IFERROR(IF(INDEX(SPOT_Import!$A$1:$Z$2488,2094,'Live Data'!$C$14)="","",INDEX(SPOT_Import!$A$1:$Z$2488,2094,'Live Data'!$C$14)),"")</f>
        <v/>
      </c>
      <c r="D2094" s="54" t="str">
        <f>IFERROR(IF(INDEX(SPOT_Import!$A$1:$Z$2488,2094,'Live Data'!$C$15)="","",INDEX(SPOT_Import!$A$1:$Z$2488,2094,'Live Data'!$C$15)),"")</f>
        <v/>
      </c>
      <c r="E2094" s="54" t="str">
        <f>IFERROR(IF(INDEX(SPOT_Import!$A$1:$Z$2488,2094,'Live Data'!$C$16)="","",INDEX(SPOT_Import!$A$1:$Z$2488,2094,'Live Data'!$C$16)),"")</f>
        <v/>
      </c>
      <c r="F2094" s="54" t="str">
        <f>IFERROR(IF(INDEX(SPOT_Import!$A$1:$Z$2488,2094,'Live Data'!$C$17)="","",INDEX(SPOT_Import!$A$1:$Z$2488,2094,'Live Data'!$C$17)),"")</f>
        <v/>
      </c>
      <c r="G2094" s="54" t="str">
        <f>IFERROR(IF(INDEX(SPOT_Import!$A$1:$Z$2488,2094,'Live Data'!$C$18)="","",INDEX(SPOT_Import!$A$1:$Z$2488,2094,'Live Data'!$C$18)),"")</f>
        <v/>
      </c>
      <c r="H2094" s="54" t="str">
        <f>IFERROR(IF(INDEX(SPOT_Import!$A$1:$Z$2488,2094,'Live Data'!$C$19)="","",INDEX(SPOT_Import!$A$1:$Z$2488,2094,'Live Data'!$C$19)),"")</f>
        <v/>
      </c>
      <c r="I2094" s="54" t="str">
        <f>IFERROR(IF(INDEX(SPOT_Import!$A$1:$Z$2488,2094,'Live Data'!$C$20)="","",INDEX(SPOT_Import!$A$1:$Z$2488,2094,'Live Data'!$C$20)),"")</f>
        <v/>
      </c>
      <c r="J2094" s="54" t="str">
        <f>IFERROR(IF(INDEX(SPOT_Import!$A$1:$Z$2488,2094,'Live Data'!$C$21)="","",INDEX(SPOT_Import!$A$1:$Z$2488,2094,'Live Data'!$C$21)),"")</f>
        <v/>
      </c>
      <c r="K2094" s="54" t="str">
        <f>IFERROR(IF(INDEX(SPOT_Import!$A$1:$Z$2488,2094,'Live Data'!$C$22)="","",INDEX(SPOT_Import!$A$1:$Z$2488,2094,'Live Data'!$C$22)),"")</f>
        <v/>
      </c>
      <c r="L2094" s="55" t="str">
        <f t="shared" si="64"/>
        <v/>
      </c>
      <c r="M2094" s="55" t="str">
        <f t="shared" si="65"/>
        <v/>
      </c>
      <c r="N2094" s="55" t="str">
        <f>IF(A2094="","",IFERROR(INDEX('Cluster Map'!$A$4:$A$38,MATCH(M2094,'Cluster Map'!$B$4:$B$38,0)),"Unmapped"))</f>
        <v/>
      </c>
      <c r="O2094" s="55">
        <f>IF(A2094="",0,IF(COUNTIFS($A$2:A2094,A2094,$F$2:F2094,F2094,$L$2:L2094,L2094)=1,1,0))</f>
        <v>0</v>
      </c>
      <c r="P2094" s="55">
        <f>IF(A2094="",0,IF(AND(F2094="C&amp;T",COUNTIFS($A$2:A2094,A2094,$F$2:F2094,"C&amp;T")=1),1,0))</f>
        <v>0</v>
      </c>
    </row>
    <row r="2095" spans="1:16" x14ac:dyDescent="0.35">
      <c r="A2095" s="54" t="str">
        <f>IFERROR(IF(INDEX(SPOT_Import!$A$1:$Z$2488,2095,'Live Data'!$C$12)="","",INDEX(SPOT_Import!$A$1:$Z$2488,2095,'Live Data'!$C$12)),"")</f>
        <v/>
      </c>
      <c r="B2095" s="54" t="str">
        <f>IFERROR(IF(INDEX(SPOT_Import!$A$1:$Z$2488,2095,'Live Data'!$C$13)="","",INDEX(SPOT_Import!$A$1:$Z$2488,2095,'Live Data'!$C$13)),"")</f>
        <v/>
      </c>
      <c r="C2095" s="54" t="str">
        <f>IFERROR(IF(INDEX(SPOT_Import!$A$1:$Z$2488,2095,'Live Data'!$C$14)="","",INDEX(SPOT_Import!$A$1:$Z$2488,2095,'Live Data'!$C$14)),"")</f>
        <v/>
      </c>
      <c r="D2095" s="54" t="str">
        <f>IFERROR(IF(INDEX(SPOT_Import!$A$1:$Z$2488,2095,'Live Data'!$C$15)="","",INDEX(SPOT_Import!$A$1:$Z$2488,2095,'Live Data'!$C$15)),"")</f>
        <v/>
      </c>
      <c r="E2095" s="54" t="str">
        <f>IFERROR(IF(INDEX(SPOT_Import!$A$1:$Z$2488,2095,'Live Data'!$C$16)="","",INDEX(SPOT_Import!$A$1:$Z$2488,2095,'Live Data'!$C$16)),"")</f>
        <v/>
      </c>
      <c r="F2095" s="54" t="str">
        <f>IFERROR(IF(INDEX(SPOT_Import!$A$1:$Z$2488,2095,'Live Data'!$C$17)="","",INDEX(SPOT_Import!$A$1:$Z$2488,2095,'Live Data'!$C$17)),"")</f>
        <v/>
      </c>
      <c r="G2095" s="54" t="str">
        <f>IFERROR(IF(INDEX(SPOT_Import!$A$1:$Z$2488,2095,'Live Data'!$C$18)="","",INDEX(SPOT_Import!$A$1:$Z$2488,2095,'Live Data'!$C$18)),"")</f>
        <v/>
      </c>
      <c r="H2095" s="54" t="str">
        <f>IFERROR(IF(INDEX(SPOT_Import!$A$1:$Z$2488,2095,'Live Data'!$C$19)="","",INDEX(SPOT_Import!$A$1:$Z$2488,2095,'Live Data'!$C$19)),"")</f>
        <v/>
      </c>
      <c r="I2095" s="54" t="str">
        <f>IFERROR(IF(INDEX(SPOT_Import!$A$1:$Z$2488,2095,'Live Data'!$C$20)="","",INDEX(SPOT_Import!$A$1:$Z$2488,2095,'Live Data'!$C$20)),"")</f>
        <v/>
      </c>
      <c r="J2095" s="54" t="str">
        <f>IFERROR(IF(INDEX(SPOT_Import!$A$1:$Z$2488,2095,'Live Data'!$C$21)="","",INDEX(SPOT_Import!$A$1:$Z$2488,2095,'Live Data'!$C$21)),"")</f>
        <v/>
      </c>
      <c r="K2095" s="54" t="str">
        <f>IFERROR(IF(INDEX(SPOT_Import!$A$1:$Z$2488,2095,'Live Data'!$C$22)="","",INDEX(SPOT_Import!$A$1:$Z$2488,2095,'Live Data'!$C$22)),"")</f>
        <v/>
      </c>
      <c r="L2095" s="55" t="str">
        <f t="shared" si="64"/>
        <v/>
      </c>
      <c r="M2095" s="55" t="str">
        <f t="shared" si="65"/>
        <v/>
      </c>
      <c r="N2095" s="55" t="str">
        <f>IF(A2095="","",IFERROR(INDEX('Cluster Map'!$A$4:$A$38,MATCH(M2095,'Cluster Map'!$B$4:$B$38,0)),"Unmapped"))</f>
        <v/>
      </c>
      <c r="O2095" s="55">
        <f>IF(A2095="",0,IF(COUNTIFS($A$2:A2095,A2095,$F$2:F2095,F2095,$L$2:L2095,L2095)=1,1,0))</f>
        <v>0</v>
      </c>
      <c r="P2095" s="55">
        <f>IF(A2095="",0,IF(AND(F2095="C&amp;T",COUNTIFS($A$2:A2095,A2095,$F$2:F2095,"C&amp;T")=1),1,0))</f>
        <v>0</v>
      </c>
    </row>
    <row r="2096" spans="1:16" x14ac:dyDescent="0.35">
      <c r="A2096" s="54" t="str">
        <f>IFERROR(IF(INDEX(SPOT_Import!$A$1:$Z$2488,2096,'Live Data'!$C$12)="","",INDEX(SPOT_Import!$A$1:$Z$2488,2096,'Live Data'!$C$12)),"")</f>
        <v/>
      </c>
      <c r="B2096" s="54" t="str">
        <f>IFERROR(IF(INDEX(SPOT_Import!$A$1:$Z$2488,2096,'Live Data'!$C$13)="","",INDEX(SPOT_Import!$A$1:$Z$2488,2096,'Live Data'!$C$13)),"")</f>
        <v/>
      </c>
      <c r="C2096" s="54" t="str">
        <f>IFERROR(IF(INDEX(SPOT_Import!$A$1:$Z$2488,2096,'Live Data'!$C$14)="","",INDEX(SPOT_Import!$A$1:$Z$2488,2096,'Live Data'!$C$14)),"")</f>
        <v/>
      </c>
      <c r="D2096" s="54" t="str">
        <f>IFERROR(IF(INDEX(SPOT_Import!$A$1:$Z$2488,2096,'Live Data'!$C$15)="","",INDEX(SPOT_Import!$A$1:$Z$2488,2096,'Live Data'!$C$15)),"")</f>
        <v/>
      </c>
      <c r="E2096" s="54" t="str">
        <f>IFERROR(IF(INDEX(SPOT_Import!$A$1:$Z$2488,2096,'Live Data'!$C$16)="","",INDEX(SPOT_Import!$A$1:$Z$2488,2096,'Live Data'!$C$16)),"")</f>
        <v/>
      </c>
      <c r="F2096" s="54" t="str">
        <f>IFERROR(IF(INDEX(SPOT_Import!$A$1:$Z$2488,2096,'Live Data'!$C$17)="","",INDEX(SPOT_Import!$A$1:$Z$2488,2096,'Live Data'!$C$17)),"")</f>
        <v/>
      </c>
      <c r="G2096" s="54" t="str">
        <f>IFERROR(IF(INDEX(SPOT_Import!$A$1:$Z$2488,2096,'Live Data'!$C$18)="","",INDEX(SPOT_Import!$A$1:$Z$2488,2096,'Live Data'!$C$18)),"")</f>
        <v/>
      </c>
      <c r="H2096" s="54" t="str">
        <f>IFERROR(IF(INDEX(SPOT_Import!$A$1:$Z$2488,2096,'Live Data'!$C$19)="","",INDEX(SPOT_Import!$A$1:$Z$2488,2096,'Live Data'!$C$19)),"")</f>
        <v/>
      </c>
      <c r="I2096" s="54" t="str">
        <f>IFERROR(IF(INDEX(SPOT_Import!$A$1:$Z$2488,2096,'Live Data'!$C$20)="","",INDEX(SPOT_Import!$A$1:$Z$2488,2096,'Live Data'!$C$20)),"")</f>
        <v/>
      </c>
      <c r="J2096" s="54" t="str">
        <f>IFERROR(IF(INDEX(SPOT_Import!$A$1:$Z$2488,2096,'Live Data'!$C$21)="","",INDEX(SPOT_Import!$A$1:$Z$2488,2096,'Live Data'!$C$21)),"")</f>
        <v/>
      </c>
      <c r="K2096" s="54" t="str">
        <f>IFERROR(IF(INDEX(SPOT_Import!$A$1:$Z$2488,2096,'Live Data'!$C$22)="","",INDEX(SPOT_Import!$A$1:$Z$2488,2096,'Live Data'!$C$22)),"")</f>
        <v/>
      </c>
      <c r="L2096" s="55" t="str">
        <f t="shared" si="64"/>
        <v/>
      </c>
      <c r="M2096" s="55" t="str">
        <f t="shared" si="65"/>
        <v/>
      </c>
      <c r="N2096" s="55" t="str">
        <f>IF(A2096="","",IFERROR(INDEX('Cluster Map'!$A$4:$A$38,MATCH(M2096,'Cluster Map'!$B$4:$B$38,0)),"Unmapped"))</f>
        <v/>
      </c>
      <c r="O2096" s="55">
        <f>IF(A2096="",0,IF(COUNTIFS($A$2:A2096,A2096,$F$2:F2096,F2096,$L$2:L2096,L2096)=1,1,0))</f>
        <v>0</v>
      </c>
      <c r="P2096" s="55">
        <f>IF(A2096="",0,IF(AND(F2096="C&amp;T",COUNTIFS($A$2:A2096,A2096,$F$2:F2096,"C&amp;T")=1),1,0))</f>
        <v>0</v>
      </c>
    </row>
    <row r="2097" spans="1:16" x14ac:dyDescent="0.35">
      <c r="A2097" s="54" t="str">
        <f>IFERROR(IF(INDEX(SPOT_Import!$A$1:$Z$2488,2097,'Live Data'!$C$12)="","",INDEX(SPOT_Import!$A$1:$Z$2488,2097,'Live Data'!$C$12)),"")</f>
        <v/>
      </c>
      <c r="B2097" s="54" t="str">
        <f>IFERROR(IF(INDEX(SPOT_Import!$A$1:$Z$2488,2097,'Live Data'!$C$13)="","",INDEX(SPOT_Import!$A$1:$Z$2488,2097,'Live Data'!$C$13)),"")</f>
        <v/>
      </c>
      <c r="C2097" s="54" t="str">
        <f>IFERROR(IF(INDEX(SPOT_Import!$A$1:$Z$2488,2097,'Live Data'!$C$14)="","",INDEX(SPOT_Import!$A$1:$Z$2488,2097,'Live Data'!$C$14)),"")</f>
        <v/>
      </c>
      <c r="D2097" s="54" t="str">
        <f>IFERROR(IF(INDEX(SPOT_Import!$A$1:$Z$2488,2097,'Live Data'!$C$15)="","",INDEX(SPOT_Import!$A$1:$Z$2488,2097,'Live Data'!$C$15)),"")</f>
        <v/>
      </c>
      <c r="E2097" s="54" t="str">
        <f>IFERROR(IF(INDEX(SPOT_Import!$A$1:$Z$2488,2097,'Live Data'!$C$16)="","",INDEX(SPOT_Import!$A$1:$Z$2488,2097,'Live Data'!$C$16)),"")</f>
        <v/>
      </c>
      <c r="F2097" s="54" t="str">
        <f>IFERROR(IF(INDEX(SPOT_Import!$A$1:$Z$2488,2097,'Live Data'!$C$17)="","",INDEX(SPOT_Import!$A$1:$Z$2488,2097,'Live Data'!$C$17)),"")</f>
        <v/>
      </c>
      <c r="G2097" s="54" t="str">
        <f>IFERROR(IF(INDEX(SPOT_Import!$A$1:$Z$2488,2097,'Live Data'!$C$18)="","",INDEX(SPOT_Import!$A$1:$Z$2488,2097,'Live Data'!$C$18)),"")</f>
        <v/>
      </c>
      <c r="H2097" s="54" t="str">
        <f>IFERROR(IF(INDEX(SPOT_Import!$A$1:$Z$2488,2097,'Live Data'!$C$19)="","",INDEX(SPOT_Import!$A$1:$Z$2488,2097,'Live Data'!$C$19)),"")</f>
        <v/>
      </c>
      <c r="I2097" s="54" t="str">
        <f>IFERROR(IF(INDEX(SPOT_Import!$A$1:$Z$2488,2097,'Live Data'!$C$20)="","",INDEX(SPOT_Import!$A$1:$Z$2488,2097,'Live Data'!$C$20)),"")</f>
        <v/>
      </c>
      <c r="J2097" s="54" t="str">
        <f>IFERROR(IF(INDEX(SPOT_Import!$A$1:$Z$2488,2097,'Live Data'!$C$21)="","",INDEX(SPOT_Import!$A$1:$Z$2488,2097,'Live Data'!$C$21)),"")</f>
        <v/>
      </c>
      <c r="K2097" s="54" t="str">
        <f>IFERROR(IF(INDEX(SPOT_Import!$A$1:$Z$2488,2097,'Live Data'!$C$22)="","",INDEX(SPOT_Import!$A$1:$Z$2488,2097,'Live Data'!$C$22)),"")</f>
        <v/>
      </c>
      <c r="L2097" s="55" t="str">
        <f t="shared" si="64"/>
        <v/>
      </c>
      <c r="M2097" s="55" t="str">
        <f t="shared" si="65"/>
        <v/>
      </c>
      <c r="N2097" s="55" t="str">
        <f>IF(A2097="","",IFERROR(INDEX('Cluster Map'!$A$4:$A$38,MATCH(M2097,'Cluster Map'!$B$4:$B$38,0)),"Unmapped"))</f>
        <v/>
      </c>
      <c r="O2097" s="55">
        <f>IF(A2097="",0,IF(COUNTIFS($A$2:A2097,A2097,$F$2:F2097,F2097,$L$2:L2097,L2097)=1,1,0))</f>
        <v>0</v>
      </c>
      <c r="P2097" s="55">
        <f>IF(A2097="",0,IF(AND(F2097="C&amp;T",COUNTIFS($A$2:A2097,A2097,$F$2:F2097,"C&amp;T")=1),1,0))</f>
        <v>0</v>
      </c>
    </row>
    <row r="2098" spans="1:16" x14ac:dyDescent="0.35">
      <c r="A2098" s="54" t="str">
        <f>IFERROR(IF(INDEX(SPOT_Import!$A$1:$Z$2488,2098,'Live Data'!$C$12)="","",INDEX(SPOT_Import!$A$1:$Z$2488,2098,'Live Data'!$C$12)),"")</f>
        <v/>
      </c>
      <c r="B2098" s="54" t="str">
        <f>IFERROR(IF(INDEX(SPOT_Import!$A$1:$Z$2488,2098,'Live Data'!$C$13)="","",INDEX(SPOT_Import!$A$1:$Z$2488,2098,'Live Data'!$C$13)),"")</f>
        <v/>
      </c>
      <c r="C2098" s="54" t="str">
        <f>IFERROR(IF(INDEX(SPOT_Import!$A$1:$Z$2488,2098,'Live Data'!$C$14)="","",INDEX(SPOT_Import!$A$1:$Z$2488,2098,'Live Data'!$C$14)),"")</f>
        <v/>
      </c>
      <c r="D2098" s="54" t="str">
        <f>IFERROR(IF(INDEX(SPOT_Import!$A$1:$Z$2488,2098,'Live Data'!$C$15)="","",INDEX(SPOT_Import!$A$1:$Z$2488,2098,'Live Data'!$C$15)),"")</f>
        <v/>
      </c>
      <c r="E2098" s="54" t="str">
        <f>IFERROR(IF(INDEX(SPOT_Import!$A$1:$Z$2488,2098,'Live Data'!$C$16)="","",INDEX(SPOT_Import!$A$1:$Z$2488,2098,'Live Data'!$C$16)),"")</f>
        <v/>
      </c>
      <c r="F2098" s="54" t="str">
        <f>IFERROR(IF(INDEX(SPOT_Import!$A$1:$Z$2488,2098,'Live Data'!$C$17)="","",INDEX(SPOT_Import!$A$1:$Z$2488,2098,'Live Data'!$C$17)),"")</f>
        <v/>
      </c>
      <c r="G2098" s="54" t="str">
        <f>IFERROR(IF(INDEX(SPOT_Import!$A$1:$Z$2488,2098,'Live Data'!$C$18)="","",INDEX(SPOT_Import!$A$1:$Z$2488,2098,'Live Data'!$C$18)),"")</f>
        <v/>
      </c>
      <c r="H2098" s="54" t="str">
        <f>IFERROR(IF(INDEX(SPOT_Import!$A$1:$Z$2488,2098,'Live Data'!$C$19)="","",INDEX(SPOT_Import!$A$1:$Z$2488,2098,'Live Data'!$C$19)),"")</f>
        <v/>
      </c>
      <c r="I2098" s="54" t="str">
        <f>IFERROR(IF(INDEX(SPOT_Import!$A$1:$Z$2488,2098,'Live Data'!$C$20)="","",INDEX(SPOT_Import!$A$1:$Z$2488,2098,'Live Data'!$C$20)),"")</f>
        <v/>
      </c>
      <c r="J2098" s="54" t="str">
        <f>IFERROR(IF(INDEX(SPOT_Import!$A$1:$Z$2488,2098,'Live Data'!$C$21)="","",INDEX(SPOT_Import!$A$1:$Z$2488,2098,'Live Data'!$C$21)),"")</f>
        <v/>
      </c>
      <c r="K2098" s="54" t="str">
        <f>IFERROR(IF(INDEX(SPOT_Import!$A$1:$Z$2488,2098,'Live Data'!$C$22)="","",INDEX(SPOT_Import!$A$1:$Z$2488,2098,'Live Data'!$C$22)),"")</f>
        <v/>
      </c>
      <c r="L2098" s="55" t="str">
        <f t="shared" si="64"/>
        <v/>
      </c>
      <c r="M2098" s="55" t="str">
        <f t="shared" si="65"/>
        <v/>
      </c>
      <c r="N2098" s="55" t="str">
        <f>IF(A2098="","",IFERROR(INDEX('Cluster Map'!$A$4:$A$38,MATCH(M2098,'Cluster Map'!$B$4:$B$38,0)),"Unmapped"))</f>
        <v/>
      </c>
      <c r="O2098" s="55">
        <f>IF(A2098="",0,IF(COUNTIFS($A$2:A2098,A2098,$F$2:F2098,F2098,$L$2:L2098,L2098)=1,1,0))</f>
        <v>0</v>
      </c>
      <c r="P2098" s="55">
        <f>IF(A2098="",0,IF(AND(F2098="C&amp;T",COUNTIFS($A$2:A2098,A2098,$F$2:F2098,"C&amp;T")=1),1,0))</f>
        <v>0</v>
      </c>
    </row>
    <row r="2099" spans="1:16" x14ac:dyDescent="0.35">
      <c r="A2099" s="54" t="str">
        <f>IFERROR(IF(INDEX(SPOT_Import!$A$1:$Z$2488,2099,'Live Data'!$C$12)="","",INDEX(SPOT_Import!$A$1:$Z$2488,2099,'Live Data'!$C$12)),"")</f>
        <v/>
      </c>
      <c r="B2099" s="54" t="str">
        <f>IFERROR(IF(INDEX(SPOT_Import!$A$1:$Z$2488,2099,'Live Data'!$C$13)="","",INDEX(SPOT_Import!$A$1:$Z$2488,2099,'Live Data'!$C$13)),"")</f>
        <v/>
      </c>
      <c r="C2099" s="54" t="str">
        <f>IFERROR(IF(INDEX(SPOT_Import!$A$1:$Z$2488,2099,'Live Data'!$C$14)="","",INDEX(SPOT_Import!$A$1:$Z$2488,2099,'Live Data'!$C$14)),"")</f>
        <v/>
      </c>
      <c r="D2099" s="54" t="str">
        <f>IFERROR(IF(INDEX(SPOT_Import!$A$1:$Z$2488,2099,'Live Data'!$C$15)="","",INDEX(SPOT_Import!$A$1:$Z$2488,2099,'Live Data'!$C$15)),"")</f>
        <v/>
      </c>
      <c r="E2099" s="54" t="str">
        <f>IFERROR(IF(INDEX(SPOT_Import!$A$1:$Z$2488,2099,'Live Data'!$C$16)="","",INDEX(SPOT_Import!$A$1:$Z$2488,2099,'Live Data'!$C$16)),"")</f>
        <v/>
      </c>
      <c r="F2099" s="54" t="str">
        <f>IFERROR(IF(INDEX(SPOT_Import!$A$1:$Z$2488,2099,'Live Data'!$C$17)="","",INDEX(SPOT_Import!$A$1:$Z$2488,2099,'Live Data'!$C$17)),"")</f>
        <v/>
      </c>
      <c r="G2099" s="54" t="str">
        <f>IFERROR(IF(INDEX(SPOT_Import!$A$1:$Z$2488,2099,'Live Data'!$C$18)="","",INDEX(SPOT_Import!$A$1:$Z$2488,2099,'Live Data'!$C$18)),"")</f>
        <v/>
      </c>
      <c r="H2099" s="54" t="str">
        <f>IFERROR(IF(INDEX(SPOT_Import!$A$1:$Z$2488,2099,'Live Data'!$C$19)="","",INDEX(SPOT_Import!$A$1:$Z$2488,2099,'Live Data'!$C$19)),"")</f>
        <v/>
      </c>
      <c r="I2099" s="54" t="str">
        <f>IFERROR(IF(INDEX(SPOT_Import!$A$1:$Z$2488,2099,'Live Data'!$C$20)="","",INDEX(SPOT_Import!$A$1:$Z$2488,2099,'Live Data'!$C$20)),"")</f>
        <v/>
      </c>
      <c r="J2099" s="54" t="str">
        <f>IFERROR(IF(INDEX(SPOT_Import!$A$1:$Z$2488,2099,'Live Data'!$C$21)="","",INDEX(SPOT_Import!$A$1:$Z$2488,2099,'Live Data'!$C$21)),"")</f>
        <v/>
      </c>
      <c r="K2099" s="54" t="str">
        <f>IFERROR(IF(INDEX(SPOT_Import!$A$1:$Z$2488,2099,'Live Data'!$C$22)="","",INDEX(SPOT_Import!$A$1:$Z$2488,2099,'Live Data'!$C$22)),"")</f>
        <v/>
      </c>
      <c r="L2099" s="55" t="str">
        <f t="shared" si="64"/>
        <v/>
      </c>
      <c r="M2099" s="55" t="str">
        <f t="shared" si="65"/>
        <v/>
      </c>
      <c r="N2099" s="55" t="str">
        <f>IF(A2099="","",IFERROR(INDEX('Cluster Map'!$A$4:$A$38,MATCH(M2099,'Cluster Map'!$B$4:$B$38,0)),"Unmapped"))</f>
        <v/>
      </c>
      <c r="O2099" s="55">
        <f>IF(A2099="",0,IF(COUNTIFS($A$2:A2099,A2099,$F$2:F2099,F2099,$L$2:L2099,L2099)=1,1,0))</f>
        <v>0</v>
      </c>
      <c r="P2099" s="55">
        <f>IF(A2099="",0,IF(AND(F2099="C&amp;T",COUNTIFS($A$2:A2099,A2099,$F$2:F2099,"C&amp;T")=1),1,0))</f>
        <v>0</v>
      </c>
    </row>
    <row r="2100" spans="1:16" x14ac:dyDescent="0.35">
      <c r="A2100" s="54" t="str">
        <f>IFERROR(IF(INDEX(SPOT_Import!$A$1:$Z$2488,2100,'Live Data'!$C$12)="","",INDEX(SPOT_Import!$A$1:$Z$2488,2100,'Live Data'!$C$12)),"")</f>
        <v/>
      </c>
      <c r="B2100" s="54" t="str">
        <f>IFERROR(IF(INDEX(SPOT_Import!$A$1:$Z$2488,2100,'Live Data'!$C$13)="","",INDEX(SPOT_Import!$A$1:$Z$2488,2100,'Live Data'!$C$13)),"")</f>
        <v/>
      </c>
      <c r="C2100" s="54" t="str">
        <f>IFERROR(IF(INDEX(SPOT_Import!$A$1:$Z$2488,2100,'Live Data'!$C$14)="","",INDEX(SPOT_Import!$A$1:$Z$2488,2100,'Live Data'!$C$14)),"")</f>
        <v/>
      </c>
      <c r="D2100" s="54" t="str">
        <f>IFERROR(IF(INDEX(SPOT_Import!$A$1:$Z$2488,2100,'Live Data'!$C$15)="","",INDEX(SPOT_Import!$A$1:$Z$2488,2100,'Live Data'!$C$15)),"")</f>
        <v/>
      </c>
      <c r="E2100" s="54" t="str">
        <f>IFERROR(IF(INDEX(SPOT_Import!$A$1:$Z$2488,2100,'Live Data'!$C$16)="","",INDEX(SPOT_Import!$A$1:$Z$2488,2100,'Live Data'!$C$16)),"")</f>
        <v/>
      </c>
      <c r="F2100" s="54" t="str">
        <f>IFERROR(IF(INDEX(SPOT_Import!$A$1:$Z$2488,2100,'Live Data'!$C$17)="","",INDEX(SPOT_Import!$A$1:$Z$2488,2100,'Live Data'!$C$17)),"")</f>
        <v/>
      </c>
      <c r="G2100" s="54" t="str">
        <f>IFERROR(IF(INDEX(SPOT_Import!$A$1:$Z$2488,2100,'Live Data'!$C$18)="","",INDEX(SPOT_Import!$A$1:$Z$2488,2100,'Live Data'!$C$18)),"")</f>
        <v/>
      </c>
      <c r="H2100" s="54" t="str">
        <f>IFERROR(IF(INDEX(SPOT_Import!$A$1:$Z$2488,2100,'Live Data'!$C$19)="","",INDEX(SPOT_Import!$A$1:$Z$2488,2100,'Live Data'!$C$19)),"")</f>
        <v/>
      </c>
      <c r="I2100" s="54" t="str">
        <f>IFERROR(IF(INDEX(SPOT_Import!$A$1:$Z$2488,2100,'Live Data'!$C$20)="","",INDEX(SPOT_Import!$A$1:$Z$2488,2100,'Live Data'!$C$20)),"")</f>
        <v/>
      </c>
      <c r="J2100" s="54" t="str">
        <f>IFERROR(IF(INDEX(SPOT_Import!$A$1:$Z$2488,2100,'Live Data'!$C$21)="","",INDEX(SPOT_Import!$A$1:$Z$2488,2100,'Live Data'!$C$21)),"")</f>
        <v/>
      </c>
      <c r="K2100" s="54" t="str">
        <f>IFERROR(IF(INDEX(SPOT_Import!$A$1:$Z$2488,2100,'Live Data'!$C$22)="","",INDEX(SPOT_Import!$A$1:$Z$2488,2100,'Live Data'!$C$22)),"")</f>
        <v/>
      </c>
      <c r="L2100" s="55" t="str">
        <f t="shared" si="64"/>
        <v/>
      </c>
      <c r="M2100" s="55" t="str">
        <f t="shared" si="65"/>
        <v/>
      </c>
      <c r="N2100" s="55" t="str">
        <f>IF(A2100="","",IFERROR(INDEX('Cluster Map'!$A$4:$A$38,MATCH(M2100,'Cluster Map'!$B$4:$B$38,0)),"Unmapped"))</f>
        <v/>
      </c>
      <c r="O2100" s="55">
        <f>IF(A2100="",0,IF(COUNTIFS($A$2:A2100,A2100,$F$2:F2100,F2100,$L$2:L2100,L2100)=1,1,0))</f>
        <v>0</v>
      </c>
      <c r="P2100" s="55">
        <f>IF(A2100="",0,IF(AND(F2100="C&amp;T",COUNTIFS($A$2:A2100,A2100,$F$2:F2100,"C&amp;T")=1),1,0))</f>
        <v>0</v>
      </c>
    </row>
    <row r="2101" spans="1:16" x14ac:dyDescent="0.35">
      <c r="A2101" s="54" t="str">
        <f>IFERROR(IF(INDEX(SPOT_Import!$A$1:$Z$2488,2101,'Live Data'!$C$12)="","",INDEX(SPOT_Import!$A$1:$Z$2488,2101,'Live Data'!$C$12)),"")</f>
        <v/>
      </c>
      <c r="B2101" s="54" t="str">
        <f>IFERROR(IF(INDEX(SPOT_Import!$A$1:$Z$2488,2101,'Live Data'!$C$13)="","",INDEX(SPOT_Import!$A$1:$Z$2488,2101,'Live Data'!$C$13)),"")</f>
        <v/>
      </c>
      <c r="C2101" s="54" t="str">
        <f>IFERROR(IF(INDEX(SPOT_Import!$A$1:$Z$2488,2101,'Live Data'!$C$14)="","",INDEX(SPOT_Import!$A$1:$Z$2488,2101,'Live Data'!$C$14)),"")</f>
        <v/>
      </c>
      <c r="D2101" s="54" t="str">
        <f>IFERROR(IF(INDEX(SPOT_Import!$A$1:$Z$2488,2101,'Live Data'!$C$15)="","",INDEX(SPOT_Import!$A$1:$Z$2488,2101,'Live Data'!$C$15)),"")</f>
        <v/>
      </c>
      <c r="E2101" s="54" t="str">
        <f>IFERROR(IF(INDEX(SPOT_Import!$A$1:$Z$2488,2101,'Live Data'!$C$16)="","",INDEX(SPOT_Import!$A$1:$Z$2488,2101,'Live Data'!$C$16)),"")</f>
        <v/>
      </c>
      <c r="F2101" s="54" t="str">
        <f>IFERROR(IF(INDEX(SPOT_Import!$A$1:$Z$2488,2101,'Live Data'!$C$17)="","",INDEX(SPOT_Import!$A$1:$Z$2488,2101,'Live Data'!$C$17)),"")</f>
        <v/>
      </c>
      <c r="G2101" s="54" t="str">
        <f>IFERROR(IF(INDEX(SPOT_Import!$A$1:$Z$2488,2101,'Live Data'!$C$18)="","",INDEX(SPOT_Import!$A$1:$Z$2488,2101,'Live Data'!$C$18)),"")</f>
        <v/>
      </c>
      <c r="H2101" s="54" t="str">
        <f>IFERROR(IF(INDEX(SPOT_Import!$A$1:$Z$2488,2101,'Live Data'!$C$19)="","",INDEX(SPOT_Import!$A$1:$Z$2488,2101,'Live Data'!$C$19)),"")</f>
        <v/>
      </c>
      <c r="I2101" s="54" t="str">
        <f>IFERROR(IF(INDEX(SPOT_Import!$A$1:$Z$2488,2101,'Live Data'!$C$20)="","",INDEX(SPOT_Import!$A$1:$Z$2488,2101,'Live Data'!$C$20)),"")</f>
        <v/>
      </c>
      <c r="J2101" s="54" t="str">
        <f>IFERROR(IF(INDEX(SPOT_Import!$A$1:$Z$2488,2101,'Live Data'!$C$21)="","",INDEX(SPOT_Import!$A$1:$Z$2488,2101,'Live Data'!$C$21)),"")</f>
        <v/>
      </c>
      <c r="K2101" s="54" t="str">
        <f>IFERROR(IF(INDEX(SPOT_Import!$A$1:$Z$2488,2101,'Live Data'!$C$22)="","",INDEX(SPOT_Import!$A$1:$Z$2488,2101,'Live Data'!$C$22)),"")</f>
        <v/>
      </c>
      <c r="L2101" s="55" t="str">
        <f t="shared" si="64"/>
        <v/>
      </c>
      <c r="M2101" s="55" t="str">
        <f t="shared" si="65"/>
        <v/>
      </c>
      <c r="N2101" s="55" t="str">
        <f>IF(A2101="","",IFERROR(INDEX('Cluster Map'!$A$4:$A$38,MATCH(M2101,'Cluster Map'!$B$4:$B$38,0)),"Unmapped"))</f>
        <v/>
      </c>
      <c r="O2101" s="55">
        <f>IF(A2101="",0,IF(COUNTIFS($A$2:A2101,A2101,$F$2:F2101,F2101,$L$2:L2101,L2101)=1,1,0))</f>
        <v>0</v>
      </c>
      <c r="P2101" s="55">
        <f>IF(A2101="",0,IF(AND(F2101="C&amp;T",COUNTIFS($A$2:A2101,A2101,$F$2:F2101,"C&amp;T")=1),1,0))</f>
        <v>0</v>
      </c>
    </row>
    <row r="2102" spans="1:16" x14ac:dyDescent="0.35">
      <c r="A2102" s="54" t="str">
        <f>IFERROR(IF(INDEX(SPOT_Import!$A$1:$Z$2488,2102,'Live Data'!$C$12)="","",INDEX(SPOT_Import!$A$1:$Z$2488,2102,'Live Data'!$C$12)),"")</f>
        <v/>
      </c>
      <c r="B2102" s="54" t="str">
        <f>IFERROR(IF(INDEX(SPOT_Import!$A$1:$Z$2488,2102,'Live Data'!$C$13)="","",INDEX(SPOT_Import!$A$1:$Z$2488,2102,'Live Data'!$C$13)),"")</f>
        <v/>
      </c>
      <c r="C2102" s="54" t="str">
        <f>IFERROR(IF(INDEX(SPOT_Import!$A$1:$Z$2488,2102,'Live Data'!$C$14)="","",INDEX(SPOT_Import!$A$1:$Z$2488,2102,'Live Data'!$C$14)),"")</f>
        <v/>
      </c>
      <c r="D2102" s="54" t="str">
        <f>IFERROR(IF(INDEX(SPOT_Import!$A$1:$Z$2488,2102,'Live Data'!$C$15)="","",INDEX(SPOT_Import!$A$1:$Z$2488,2102,'Live Data'!$C$15)),"")</f>
        <v/>
      </c>
      <c r="E2102" s="54" t="str">
        <f>IFERROR(IF(INDEX(SPOT_Import!$A$1:$Z$2488,2102,'Live Data'!$C$16)="","",INDEX(SPOT_Import!$A$1:$Z$2488,2102,'Live Data'!$C$16)),"")</f>
        <v/>
      </c>
      <c r="F2102" s="54" t="str">
        <f>IFERROR(IF(INDEX(SPOT_Import!$A$1:$Z$2488,2102,'Live Data'!$C$17)="","",INDEX(SPOT_Import!$A$1:$Z$2488,2102,'Live Data'!$C$17)),"")</f>
        <v/>
      </c>
      <c r="G2102" s="54" t="str">
        <f>IFERROR(IF(INDEX(SPOT_Import!$A$1:$Z$2488,2102,'Live Data'!$C$18)="","",INDEX(SPOT_Import!$A$1:$Z$2488,2102,'Live Data'!$C$18)),"")</f>
        <v/>
      </c>
      <c r="H2102" s="54" t="str">
        <f>IFERROR(IF(INDEX(SPOT_Import!$A$1:$Z$2488,2102,'Live Data'!$C$19)="","",INDEX(SPOT_Import!$A$1:$Z$2488,2102,'Live Data'!$C$19)),"")</f>
        <v/>
      </c>
      <c r="I2102" s="54" t="str">
        <f>IFERROR(IF(INDEX(SPOT_Import!$A$1:$Z$2488,2102,'Live Data'!$C$20)="","",INDEX(SPOT_Import!$A$1:$Z$2488,2102,'Live Data'!$C$20)),"")</f>
        <v/>
      </c>
      <c r="J2102" s="54" t="str">
        <f>IFERROR(IF(INDEX(SPOT_Import!$A$1:$Z$2488,2102,'Live Data'!$C$21)="","",INDEX(SPOT_Import!$A$1:$Z$2488,2102,'Live Data'!$C$21)),"")</f>
        <v/>
      </c>
      <c r="K2102" s="54" t="str">
        <f>IFERROR(IF(INDEX(SPOT_Import!$A$1:$Z$2488,2102,'Live Data'!$C$22)="","",INDEX(SPOT_Import!$A$1:$Z$2488,2102,'Live Data'!$C$22)),"")</f>
        <v/>
      </c>
      <c r="L2102" s="55" t="str">
        <f t="shared" si="64"/>
        <v/>
      </c>
      <c r="M2102" s="55" t="str">
        <f t="shared" si="65"/>
        <v/>
      </c>
      <c r="N2102" s="55" t="str">
        <f>IF(A2102="","",IFERROR(INDEX('Cluster Map'!$A$4:$A$38,MATCH(M2102,'Cluster Map'!$B$4:$B$38,0)),"Unmapped"))</f>
        <v/>
      </c>
      <c r="O2102" s="55">
        <f>IF(A2102="",0,IF(COUNTIFS($A$2:A2102,A2102,$F$2:F2102,F2102,$L$2:L2102,L2102)=1,1,0))</f>
        <v>0</v>
      </c>
      <c r="P2102" s="55">
        <f>IF(A2102="",0,IF(AND(F2102="C&amp;T",COUNTIFS($A$2:A2102,A2102,$F$2:F2102,"C&amp;T")=1),1,0))</f>
        <v>0</v>
      </c>
    </row>
    <row r="2103" spans="1:16" x14ac:dyDescent="0.35">
      <c r="A2103" s="54" t="str">
        <f>IFERROR(IF(INDEX(SPOT_Import!$A$1:$Z$2488,2103,'Live Data'!$C$12)="","",INDEX(SPOT_Import!$A$1:$Z$2488,2103,'Live Data'!$C$12)),"")</f>
        <v/>
      </c>
      <c r="B2103" s="54" t="str">
        <f>IFERROR(IF(INDEX(SPOT_Import!$A$1:$Z$2488,2103,'Live Data'!$C$13)="","",INDEX(SPOT_Import!$A$1:$Z$2488,2103,'Live Data'!$C$13)),"")</f>
        <v/>
      </c>
      <c r="C2103" s="54" t="str">
        <f>IFERROR(IF(INDEX(SPOT_Import!$A$1:$Z$2488,2103,'Live Data'!$C$14)="","",INDEX(SPOT_Import!$A$1:$Z$2488,2103,'Live Data'!$C$14)),"")</f>
        <v/>
      </c>
      <c r="D2103" s="54" t="str">
        <f>IFERROR(IF(INDEX(SPOT_Import!$A$1:$Z$2488,2103,'Live Data'!$C$15)="","",INDEX(SPOT_Import!$A$1:$Z$2488,2103,'Live Data'!$C$15)),"")</f>
        <v/>
      </c>
      <c r="E2103" s="54" t="str">
        <f>IFERROR(IF(INDEX(SPOT_Import!$A$1:$Z$2488,2103,'Live Data'!$C$16)="","",INDEX(SPOT_Import!$A$1:$Z$2488,2103,'Live Data'!$C$16)),"")</f>
        <v/>
      </c>
      <c r="F2103" s="54" t="str">
        <f>IFERROR(IF(INDEX(SPOT_Import!$A$1:$Z$2488,2103,'Live Data'!$C$17)="","",INDEX(SPOT_Import!$A$1:$Z$2488,2103,'Live Data'!$C$17)),"")</f>
        <v/>
      </c>
      <c r="G2103" s="54" t="str">
        <f>IFERROR(IF(INDEX(SPOT_Import!$A$1:$Z$2488,2103,'Live Data'!$C$18)="","",INDEX(SPOT_Import!$A$1:$Z$2488,2103,'Live Data'!$C$18)),"")</f>
        <v/>
      </c>
      <c r="H2103" s="54" t="str">
        <f>IFERROR(IF(INDEX(SPOT_Import!$A$1:$Z$2488,2103,'Live Data'!$C$19)="","",INDEX(SPOT_Import!$A$1:$Z$2488,2103,'Live Data'!$C$19)),"")</f>
        <v/>
      </c>
      <c r="I2103" s="54" t="str">
        <f>IFERROR(IF(INDEX(SPOT_Import!$A$1:$Z$2488,2103,'Live Data'!$C$20)="","",INDEX(SPOT_Import!$A$1:$Z$2488,2103,'Live Data'!$C$20)),"")</f>
        <v/>
      </c>
      <c r="J2103" s="54" t="str">
        <f>IFERROR(IF(INDEX(SPOT_Import!$A$1:$Z$2488,2103,'Live Data'!$C$21)="","",INDEX(SPOT_Import!$A$1:$Z$2488,2103,'Live Data'!$C$21)),"")</f>
        <v/>
      </c>
      <c r="K2103" s="54" t="str">
        <f>IFERROR(IF(INDEX(SPOT_Import!$A$1:$Z$2488,2103,'Live Data'!$C$22)="","",INDEX(SPOT_Import!$A$1:$Z$2488,2103,'Live Data'!$C$22)),"")</f>
        <v/>
      </c>
      <c r="L2103" s="55" t="str">
        <f t="shared" si="64"/>
        <v/>
      </c>
      <c r="M2103" s="55" t="str">
        <f t="shared" si="65"/>
        <v/>
      </c>
      <c r="N2103" s="55" t="str">
        <f>IF(A2103="","",IFERROR(INDEX('Cluster Map'!$A$4:$A$38,MATCH(M2103,'Cluster Map'!$B$4:$B$38,0)),"Unmapped"))</f>
        <v/>
      </c>
      <c r="O2103" s="55">
        <f>IF(A2103="",0,IF(COUNTIFS($A$2:A2103,A2103,$F$2:F2103,F2103,$L$2:L2103,L2103)=1,1,0))</f>
        <v>0</v>
      </c>
      <c r="P2103" s="55">
        <f>IF(A2103="",0,IF(AND(F2103="C&amp;T",COUNTIFS($A$2:A2103,A2103,$F$2:F2103,"C&amp;T")=1),1,0))</f>
        <v>0</v>
      </c>
    </row>
    <row r="2104" spans="1:16" x14ac:dyDescent="0.35">
      <c r="A2104" s="54" t="str">
        <f>IFERROR(IF(INDEX(SPOT_Import!$A$1:$Z$2488,2104,'Live Data'!$C$12)="","",INDEX(SPOT_Import!$A$1:$Z$2488,2104,'Live Data'!$C$12)),"")</f>
        <v/>
      </c>
      <c r="B2104" s="54" t="str">
        <f>IFERROR(IF(INDEX(SPOT_Import!$A$1:$Z$2488,2104,'Live Data'!$C$13)="","",INDEX(SPOT_Import!$A$1:$Z$2488,2104,'Live Data'!$C$13)),"")</f>
        <v/>
      </c>
      <c r="C2104" s="54" t="str">
        <f>IFERROR(IF(INDEX(SPOT_Import!$A$1:$Z$2488,2104,'Live Data'!$C$14)="","",INDEX(SPOT_Import!$A$1:$Z$2488,2104,'Live Data'!$C$14)),"")</f>
        <v/>
      </c>
      <c r="D2104" s="54" t="str">
        <f>IFERROR(IF(INDEX(SPOT_Import!$A$1:$Z$2488,2104,'Live Data'!$C$15)="","",INDEX(SPOT_Import!$A$1:$Z$2488,2104,'Live Data'!$C$15)),"")</f>
        <v/>
      </c>
      <c r="E2104" s="54" t="str">
        <f>IFERROR(IF(INDEX(SPOT_Import!$A$1:$Z$2488,2104,'Live Data'!$C$16)="","",INDEX(SPOT_Import!$A$1:$Z$2488,2104,'Live Data'!$C$16)),"")</f>
        <v/>
      </c>
      <c r="F2104" s="54" t="str">
        <f>IFERROR(IF(INDEX(SPOT_Import!$A$1:$Z$2488,2104,'Live Data'!$C$17)="","",INDEX(SPOT_Import!$A$1:$Z$2488,2104,'Live Data'!$C$17)),"")</f>
        <v/>
      </c>
      <c r="G2104" s="54" t="str">
        <f>IFERROR(IF(INDEX(SPOT_Import!$A$1:$Z$2488,2104,'Live Data'!$C$18)="","",INDEX(SPOT_Import!$A$1:$Z$2488,2104,'Live Data'!$C$18)),"")</f>
        <v/>
      </c>
      <c r="H2104" s="54" t="str">
        <f>IFERROR(IF(INDEX(SPOT_Import!$A$1:$Z$2488,2104,'Live Data'!$C$19)="","",INDEX(SPOT_Import!$A$1:$Z$2488,2104,'Live Data'!$C$19)),"")</f>
        <v/>
      </c>
      <c r="I2104" s="54" t="str">
        <f>IFERROR(IF(INDEX(SPOT_Import!$A$1:$Z$2488,2104,'Live Data'!$C$20)="","",INDEX(SPOT_Import!$A$1:$Z$2488,2104,'Live Data'!$C$20)),"")</f>
        <v/>
      </c>
      <c r="J2104" s="54" t="str">
        <f>IFERROR(IF(INDEX(SPOT_Import!$A$1:$Z$2488,2104,'Live Data'!$C$21)="","",INDEX(SPOT_Import!$A$1:$Z$2488,2104,'Live Data'!$C$21)),"")</f>
        <v/>
      </c>
      <c r="K2104" s="54" t="str">
        <f>IFERROR(IF(INDEX(SPOT_Import!$A$1:$Z$2488,2104,'Live Data'!$C$22)="","",INDEX(SPOT_Import!$A$1:$Z$2488,2104,'Live Data'!$C$22)),"")</f>
        <v/>
      </c>
      <c r="L2104" s="55" t="str">
        <f t="shared" si="64"/>
        <v/>
      </c>
      <c r="M2104" s="55" t="str">
        <f t="shared" si="65"/>
        <v/>
      </c>
      <c r="N2104" s="55" t="str">
        <f>IF(A2104="","",IFERROR(INDEX('Cluster Map'!$A$4:$A$38,MATCH(M2104,'Cluster Map'!$B$4:$B$38,0)),"Unmapped"))</f>
        <v/>
      </c>
      <c r="O2104" s="55">
        <f>IF(A2104="",0,IF(COUNTIFS($A$2:A2104,A2104,$F$2:F2104,F2104,$L$2:L2104,L2104)=1,1,0))</f>
        <v>0</v>
      </c>
      <c r="P2104" s="55">
        <f>IF(A2104="",0,IF(AND(F2104="C&amp;T",COUNTIFS($A$2:A2104,A2104,$F$2:F2104,"C&amp;T")=1),1,0))</f>
        <v>0</v>
      </c>
    </row>
    <row r="2105" spans="1:16" x14ac:dyDescent="0.35">
      <c r="A2105" s="54" t="str">
        <f>IFERROR(IF(INDEX(SPOT_Import!$A$1:$Z$2488,2105,'Live Data'!$C$12)="","",INDEX(SPOT_Import!$A$1:$Z$2488,2105,'Live Data'!$C$12)),"")</f>
        <v/>
      </c>
      <c r="B2105" s="54" t="str">
        <f>IFERROR(IF(INDEX(SPOT_Import!$A$1:$Z$2488,2105,'Live Data'!$C$13)="","",INDEX(SPOT_Import!$A$1:$Z$2488,2105,'Live Data'!$C$13)),"")</f>
        <v/>
      </c>
      <c r="C2105" s="54" t="str">
        <f>IFERROR(IF(INDEX(SPOT_Import!$A$1:$Z$2488,2105,'Live Data'!$C$14)="","",INDEX(SPOT_Import!$A$1:$Z$2488,2105,'Live Data'!$C$14)),"")</f>
        <v/>
      </c>
      <c r="D2105" s="54" t="str">
        <f>IFERROR(IF(INDEX(SPOT_Import!$A$1:$Z$2488,2105,'Live Data'!$C$15)="","",INDEX(SPOT_Import!$A$1:$Z$2488,2105,'Live Data'!$C$15)),"")</f>
        <v/>
      </c>
      <c r="E2105" s="54" t="str">
        <f>IFERROR(IF(INDEX(SPOT_Import!$A$1:$Z$2488,2105,'Live Data'!$C$16)="","",INDEX(SPOT_Import!$A$1:$Z$2488,2105,'Live Data'!$C$16)),"")</f>
        <v/>
      </c>
      <c r="F2105" s="54" t="str">
        <f>IFERROR(IF(INDEX(SPOT_Import!$A$1:$Z$2488,2105,'Live Data'!$C$17)="","",INDEX(SPOT_Import!$A$1:$Z$2488,2105,'Live Data'!$C$17)),"")</f>
        <v/>
      </c>
      <c r="G2105" s="54" t="str">
        <f>IFERROR(IF(INDEX(SPOT_Import!$A$1:$Z$2488,2105,'Live Data'!$C$18)="","",INDEX(SPOT_Import!$A$1:$Z$2488,2105,'Live Data'!$C$18)),"")</f>
        <v/>
      </c>
      <c r="H2105" s="54" t="str">
        <f>IFERROR(IF(INDEX(SPOT_Import!$A$1:$Z$2488,2105,'Live Data'!$C$19)="","",INDEX(SPOT_Import!$A$1:$Z$2488,2105,'Live Data'!$C$19)),"")</f>
        <v/>
      </c>
      <c r="I2105" s="54" t="str">
        <f>IFERROR(IF(INDEX(SPOT_Import!$A$1:$Z$2488,2105,'Live Data'!$C$20)="","",INDEX(SPOT_Import!$A$1:$Z$2488,2105,'Live Data'!$C$20)),"")</f>
        <v/>
      </c>
      <c r="J2105" s="54" t="str">
        <f>IFERROR(IF(INDEX(SPOT_Import!$A$1:$Z$2488,2105,'Live Data'!$C$21)="","",INDEX(SPOT_Import!$A$1:$Z$2488,2105,'Live Data'!$C$21)),"")</f>
        <v/>
      </c>
      <c r="K2105" s="54" t="str">
        <f>IFERROR(IF(INDEX(SPOT_Import!$A$1:$Z$2488,2105,'Live Data'!$C$22)="","",INDEX(SPOT_Import!$A$1:$Z$2488,2105,'Live Data'!$C$22)),"")</f>
        <v/>
      </c>
      <c r="L2105" s="55" t="str">
        <f t="shared" si="64"/>
        <v/>
      </c>
      <c r="M2105" s="55" t="str">
        <f t="shared" si="65"/>
        <v/>
      </c>
      <c r="N2105" s="55" t="str">
        <f>IF(A2105="","",IFERROR(INDEX('Cluster Map'!$A$4:$A$38,MATCH(M2105,'Cluster Map'!$B$4:$B$38,0)),"Unmapped"))</f>
        <v/>
      </c>
      <c r="O2105" s="55">
        <f>IF(A2105="",0,IF(COUNTIFS($A$2:A2105,A2105,$F$2:F2105,F2105,$L$2:L2105,L2105)=1,1,0))</f>
        <v>0</v>
      </c>
      <c r="P2105" s="55">
        <f>IF(A2105="",0,IF(AND(F2105="C&amp;T",COUNTIFS($A$2:A2105,A2105,$F$2:F2105,"C&amp;T")=1),1,0))</f>
        <v>0</v>
      </c>
    </row>
    <row r="2106" spans="1:16" x14ac:dyDescent="0.35">
      <c r="A2106" s="54" t="str">
        <f>IFERROR(IF(INDEX(SPOT_Import!$A$1:$Z$2488,2106,'Live Data'!$C$12)="","",INDEX(SPOT_Import!$A$1:$Z$2488,2106,'Live Data'!$C$12)),"")</f>
        <v/>
      </c>
      <c r="B2106" s="54" t="str">
        <f>IFERROR(IF(INDEX(SPOT_Import!$A$1:$Z$2488,2106,'Live Data'!$C$13)="","",INDEX(SPOT_Import!$A$1:$Z$2488,2106,'Live Data'!$C$13)),"")</f>
        <v/>
      </c>
      <c r="C2106" s="54" t="str">
        <f>IFERROR(IF(INDEX(SPOT_Import!$A$1:$Z$2488,2106,'Live Data'!$C$14)="","",INDEX(SPOT_Import!$A$1:$Z$2488,2106,'Live Data'!$C$14)),"")</f>
        <v/>
      </c>
      <c r="D2106" s="54" t="str">
        <f>IFERROR(IF(INDEX(SPOT_Import!$A$1:$Z$2488,2106,'Live Data'!$C$15)="","",INDEX(SPOT_Import!$A$1:$Z$2488,2106,'Live Data'!$C$15)),"")</f>
        <v/>
      </c>
      <c r="E2106" s="54" t="str">
        <f>IFERROR(IF(INDEX(SPOT_Import!$A$1:$Z$2488,2106,'Live Data'!$C$16)="","",INDEX(SPOT_Import!$A$1:$Z$2488,2106,'Live Data'!$C$16)),"")</f>
        <v/>
      </c>
      <c r="F2106" s="54" t="str">
        <f>IFERROR(IF(INDEX(SPOT_Import!$A$1:$Z$2488,2106,'Live Data'!$C$17)="","",INDEX(SPOT_Import!$A$1:$Z$2488,2106,'Live Data'!$C$17)),"")</f>
        <v/>
      </c>
      <c r="G2106" s="54" t="str">
        <f>IFERROR(IF(INDEX(SPOT_Import!$A$1:$Z$2488,2106,'Live Data'!$C$18)="","",INDEX(SPOT_Import!$A$1:$Z$2488,2106,'Live Data'!$C$18)),"")</f>
        <v/>
      </c>
      <c r="H2106" s="54" t="str">
        <f>IFERROR(IF(INDEX(SPOT_Import!$A$1:$Z$2488,2106,'Live Data'!$C$19)="","",INDEX(SPOT_Import!$A$1:$Z$2488,2106,'Live Data'!$C$19)),"")</f>
        <v/>
      </c>
      <c r="I2106" s="54" t="str">
        <f>IFERROR(IF(INDEX(SPOT_Import!$A$1:$Z$2488,2106,'Live Data'!$C$20)="","",INDEX(SPOT_Import!$A$1:$Z$2488,2106,'Live Data'!$C$20)),"")</f>
        <v/>
      </c>
      <c r="J2106" s="54" t="str">
        <f>IFERROR(IF(INDEX(SPOT_Import!$A$1:$Z$2488,2106,'Live Data'!$C$21)="","",INDEX(SPOT_Import!$A$1:$Z$2488,2106,'Live Data'!$C$21)),"")</f>
        <v/>
      </c>
      <c r="K2106" s="54" t="str">
        <f>IFERROR(IF(INDEX(SPOT_Import!$A$1:$Z$2488,2106,'Live Data'!$C$22)="","",INDEX(SPOT_Import!$A$1:$Z$2488,2106,'Live Data'!$C$22)),"")</f>
        <v/>
      </c>
      <c r="L2106" s="55" t="str">
        <f t="shared" si="64"/>
        <v/>
      </c>
      <c r="M2106" s="55" t="str">
        <f t="shared" si="65"/>
        <v/>
      </c>
      <c r="N2106" s="55" t="str">
        <f>IF(A2106="","",IFERROR(INDEX('Cluster Map'!$A$4:$A$38,MATCH(M2106,'Cluster Map'!$B$4:$B$38,0)),"Unmapped"))</f>
        <v/>
      </c>
      <c r="O2106" s="55">
        <f>IF(A2106="",0,IF(COUNTIFS($A$2:A2106,A2106,$F$2:F2106,F2106,$L$2:L2106,L2106)=1,1,0))</f>
        <v>0</v>
      </c>
      <c r="P2106" s="55">
        <f>IF(A2106="",0,IF(AND(F2106="C&amp;T",COUNTIFS($A$2:A2106,A2106,$F$2:F2106,"C&amp;T")=1),1,0))</f>
        <v>0</v>
      </c>
    </row>
    <row r="2107" spans="1:16" x14ac:dyDescent="0.35">
      <c r="A2107" s="54" t="str">
        <f>IFERROR(IF(INDEX(SPOT_Import!$A$1:$Z$2488,2107,'Live Data'!$C$12)="","",INDEX(SPOT_Import!$A$1:$Z$2488,2107,'Live Data'!$C$12)),"")</f>
        <v/>
      </c>
      <c r="B2107" s="54" t="str">
        <f>IFERROR(IF(INDEX(SPOT_Import!$A$1:$Z$2488,2107,'Live Data'!$C$13)="","",INDEX(SPOT_Import!$A$1:$Z$2488,2107,'Live Data'!$C$13)),"")</f>
        <v/>
      </c>
      <c r="C2107" s="54" t="str">
        <f>IFERROR(IF(INDEX(SPOT_Import!$A$1:$Z$2488,2107,'Live Data'!$C$14)="","",INDEX(SPOT_Import!$A$1:$Z$2488,2107,'Live Data'!$C$14)),"")</f>
        <v/>
      </c>
      <c r="D2107" s="54" t="str">
        <f>IFERROR(IF(INDEX(SPOT_Import!$A$1:$Z$2488,2107,'Live Data'!$C$15)="","",INDEX(SPOT_Import!$A$1:$Z$2488,2107,'Live Data'!$C$15)),"")</f>
        <v/>
      </c>
      <c r="E2107" s="54" t="str">
        <f>IFERROR(IF(INDEX(SPOT_Import!$A$1:$Z$2488,2107,'Live Data'!$C$16)="","",INDEX(SPOT_Import!$A$1:$Z$2488,2107,'Live Data'!$C$16)),"")</f>
        <v/>
      </c>
      <c r="F2107" s="54" t="str">
        <f>IFERROR(IF(INDEX(SPOT_Import!$A$1:$Z$2488,2107,'Live Data'!$C$17)="","",INDEX(SPOT_Import!$A$1:$Z$2488,2107,'Live Data'!$C$17)),"")</f>
        <v/>
      </c>
      <c r="G2107" s="54" t="str">
        <f>IFERROR(IF(INDEX(SPOT_Import!$A$1:$Z$2488,2107,'Live Data'!$C$18)="","",INDEX(SPOT_Import!$A$1:$Z$2488,2107,'Live Data'!$C$18)),"")</f>
        <v/>
      </c>
      <c r="H2107" s="54" t="str">
        <f>IFERROR(IF(INDEX(SPOT_Import!$A$1:$Z$2488,2107,'Live Data'!$C$19)="","",INDEX(SPOT_Import!$A$1:$Z$2488,2107,'Live Data'!$C$19)),"")</f>
        <v/>
      </c>
      <c r="I2107" s="54" t="str">
        <f>IFERROR(IF(INDEX(SPOT_Import!$A$1:$Z$2488,2107,'Live Data'!$C$20)="","",INDEX(SPOT_Import!$A$1:$Z$2488,2107,'Live Data'!$C$20)),"")</f>
        <v/>
      </c>
      <c r="J2107" s="54" t="str">
        <f>IFERROR(IF(INDEX(SPOT_Import!$A$1:$Z$2488,2107,'Live Data'!$C$21)="","",INDEX(SPOT_Import!$A$1:$Z$2488,2107,'Live Data'!$C$21)),"")</f>
        <v/>
      </c>
      <c r="K2107" s="54" t="str">
        <f>IFERROR(IF(INDEX(SPOT_Import!$A$1:$Z$2488,2107,'Live Data'!$C$22)="","",INDEX(SPOT_Import!$A$1:$Z$2488,2107,'Live Data'!$C$22)),"")</f>
        <v/>
      </c>
      <c r="L2107" s="55" t="str">
        <f t="shared" si="64"/>
        <v/>
      </c>
      <c r="M2107" s="55" t="str">
        <f t="shared" si="65"/>
        <v/>
      </c>
      <c r="N2107" s="55" t="str">
        <f>IF(A2107="","",IFERROR(INDEX('Cluster Map'!$A$4:$A$38,MATCH(M2107,'Cluster Map'!$B$4:$B$38,0)),"Unmapped"))</f>
        <v/>
      </c>
      <c r="O2107" s="55">
        <f>IF(A2107="",0,IF(COUNTIFS($A$2:A2107,A2107,$F$2:F2107,F2107,$L$2:L2107,L2107)=1,1,0))</f>
        <v>0</v>
      </c>
      <c r="P2107" s="55">
        <f>IF(A2107="",0,IF(AND(F2107="C&amp;T",COUNTIFS($A$2:A2107,A2107,$F$2:F2107,"C&amp;T")=1),1,0))</f>
        <v>0</v>
      </c>
    </row>
    <row r="2108" spans="1:16" x14ac:dyDescent="0.35">
      <c r="A2108" s="54" t="str">
        <f>IFERROR(IF(INDEX(SPOT_Import!$A$1:$Z$2488,2108,'Live Data'!$C$12)="","",INDEX(SPOT_Import!$A$1:$Z$2488,2108,'Live Data'!$C$12)),"")</f>
        <v/>
      </c>
      <c r="B2108" s="54" t="str">
        <f>IFERROR(IF(INDEX(SPOT_Import!$A$1:$Z$2488,2108,'Live Data'!$C$13)="","",INDEX(SPOT_Import!$A$1:$Z$2488,2108,'Live Data'!$C$13)),"")</f>
        <v/>
      </c>
      <c r="C2108" s="54" t="str">
        <f>IFERROR(IF(INDEX(SPOT_Import!$A$1:$Z$2488,2108,'Live Data'!$C$14)="","",INDEX(SPOT_Import!$A$1:$Z$2488,2108,'Live Data'!$C$14)),"")</f>
        <v/>
      </c>
      <c r="D2108" s="54" t="str">
        <f>IFERROR(IF(INDEX(SPOT_Import!$A$1:$Z$2488,2108,'Live Data'!$C$15)="","",INDEX(SPOT_Import!$A$1:$Z$2488,2108,'Live Data'!$C$15)),"")</f>
        <v/>
      </c>
      <c r="E2108" s="54" t="str">
        <f>IFERROR(IF(INDEX(SPOT_Import!$A$1:$Z$2488,2108,'Live Data'!$C$16)="","",INDEX(SPOT_Import!$A$1:$Z$2488,2108,'Live Data'!$C$16)),"")</f>
        <v/>
      </c>
      <c r="F2108" s="54" t="str">
        <f>IFERROR(IF(INDEX(SPOT_Import!$A$1:$Z$2488,2108,'Live Data'!$C$17)="","",INDEX(SPOT_Import!$A$1:$Z$2488,2108,'Live Data'!$C$17)),"")</f>
        <v/>
      </c>
      <c r="G2108" s="54" t="str">
        <f>IFERROR(IF(INDEX(SPOT_Import!$A$1:$Z$2488,2108,'Live Data'!$C$18)="","",INDEX(SPOT_Import!$A$1:$Z$2488,2108,'Live Data'!$C$18)),"")</f>
        <v/>
      </c>
      <c r="H2108" s="54" t="str">
        <f>IFERROR(IF(INDEX(SPOT_Import!$A$1:$Z$2488,2108,'Live Data'!$C$19)="","",INDEX(SPOT_Import!$A$1:$Z$2488,2108,'Live Data'!$C$19)),"")</f>
        <v/>
      </c>
      <c r="I2108" s="54" t="str">
        <f>IFERROR(IF(INDEX(SPOT_Import!$A$1:$Z$2488,2108,'Live Data'!$C$20)="","",INDEX(SPOT_Import!$A$1:$Z$2488,2108,'Live Data'!$C$20)),"")</f>
        <v/>
      </c>
      <c r="J2108" s="54" t="str">
        <f>IFERROR(IF(INDEX(SPOT_Import!$A$1:$Z$2488,2108,'Live Data'!$C$21)="","",INDEX(SPOT_Import!$A$1:$Z$2488,2108,'Live Data'!$C$21)),"")</f>
        <v/>
      </c>
      <c r="K2108" s="54" t="str">
        <f>IFERROR(IF(INDEX(SPOT_Import!$A$1:$Z$2488,2108,'Live Data'!$C$22)="","",INDEX(SPOT_Import!$A$1:$Z$2488,2108,'Live Data'!$C$22)),"")</f>
        <v/>
      </c>
      <c r="L2108" s="55" t="str">
        <f t="shared" si="64"/>
        <v/>
      </c>
      <c r="M2108" s="55" t="str">
        <f t="shared" si="65"/>
        <v/>
      </c>
      <c r="N2108" s="55" t="str">
        <f>IF(A2108="","",IFERROR(INDEX('Cluster Map'!$A$4:$A$38,MATCH(M2108,'Cluster Map'!$B$4:$B$38,0)),"Unmapped"))</f>
        <v/>
      </c>
      <c r="O2108" s="55">
        <f>IF(A2108="",0,IF(COUNTIFS($A$2:A2108,A2108,$F$2:F2108,F2108,$L$2:L2108,L2108)=1,1,0))</f>
        <v>0</v>
      </c>
      <c r="P2108" s="55">
        <f>IF(A2108="",0,IF(AND(F2108="C&amp;T",COUNTIFS($A$2:A2108,A2108,$F$2:F2108,"C&amp;T")=1),1,0))</f>
        <v>0</v>
      </c>
    </row>
    <row r="2109" spans="1:16" x14ac:dyDescent="0.35">
      <c r="A2109" s="54" t="str">
        <f>IFERROR(IF(INDEX(SPOT_Import!$A$1:$Z$2488,2109,'Live Data'!$C$12)="","",INDEX(SPOT_Import!$A$1:$Z$2488,2109,'Live Data'!$C$12)),"")</f>
        <v/>
      </c>
      <c r="B2109" s="54" t="str">
        <f>IFERROR(IF(INDEX(SPOT_Import!$A$1:$Z$2488,2109,'Live Data'!$C$13)="","",INDEX(SPOT_Import!$A$1:$Z$2488,2109,'Live Data'!$C$13)),"")</f>
        <v/>
      </c>
      <c r="C2109" s="54" t="str">
        <f>IFERROR(IF(INDEX(SPOT_Import!$A$1:$Z$2488,2109,'Live Data'!$C$14)="","",INDEX(SPOT_Import!$A$1:$Z$2488,2109,'Live Data'!$C$14)),"")</f>
        <v/>
      </c>
      <c r="D2109" s="54" t="str">
        <f>IFERROR(IF(INDEX(SPOT_Import!$A$1:$Z$2488,2109,'Live Data'!$C$15)="","",INDEX(SPOT_Import!$A$1:$Z$2488,2109,'Live Data'!$C$15)),"")</f>
        <v/>
      </c>
      <c r="E2109" s="54" t="str">
        <f>IFERROR(IF(INDEX(SPOT_Import!$A$1:$Z$2488,2109,'Live Data'!$C$16)="","",INDEX(SPOT_Import!$A$1:$Z$2488,2109,'Live Data'!$C$16)),"")</f>
        <v/>
      </c>
      <c r="F2109" s="54" t="str">
        <f>IFERROR(IF(INDEX(SPOT_Import!$A$1:$Z$2488,2109,'Live Data'!$C$17)="","",INDEX(SPOT_Import!$A$1:$Z$2488,2109,'Live Data'!$C$17)),"")</f>
        <v/>
      </c>
      <c r="G2109" s="54" t="str">
        <f>IFERROR(IF(INDEX(SPOT_Import!$A$1:$Z$2488,2109,'Live Data'!$C$18)="","",INDEX(SPOT_Import!$A$1:$Z$2488,2109,'Live Data'!$C$18)),"")</f>
        <v/>
      </c>
      <c r="H2109" s="54" t="str">
        <f>IFERROR(IF(INDEX(SPOT_Import!$A$1:$Z$2488,2109,'Live Data'!$C$19)="","",INDEX(SPOT_Import!$A$1:$Z$2488,2109,'Live Data'!$C$19)),"")</f>
        <v/>
      </c>
      <c r="I2109" s="54" t="str">
        <f>IFERROR(IF(INDEX(SPOT_Import!$A$1:$Z$2488,2109,'Live Data'!$C$20)="","",INDEX(SPOT_Import!$A$1:$Z$2488,2109,'Live Data'!$C$20)),"")</f>
        <v/>
      </c>
      <c r="J2109" s="54" t="str">
        <f>IFERROR(IF(INDEX(SPOT_Import!$A$1:$Z$2488,2109,'Live Data'!$C$21)="","",INDEX(SPOT_Import!$A$1:$Z$2488,2109,'Live Data'!$C$21)),"")</f>
        <v/>
      </c>
      <c r="K2109" s="54" t="str">
        <f>IFERROR(IF(INDEX(SPOT_Import!$A$1:$Z$2488,2109,'Live Data'!$C$22)="","",INDEX(SPOT_Import!$A$1:$Z$2488,2109,'Live Data'!$C$22)),"")</f>
        <v/>
      </c>
      <c r="L2109" s="55" t="str">
        <f t="shared" si="64"/>
        <v/>
      </c>
      <c r="M2109" s="55" t="str">
        <f t="shared" si="65"/>
        <v/>
      </c>
      <c r="N2109" s="55" t="str">
        <f>IF(A2109="","",IFERROR(INDEX('Cluster Map'!$A$4:$A$38,MATCH(M2109,'Cluster Map'!$B$4:$B$38,0)),"Unmapped"))</f>
        <v/>
      </c>
      <c r="O2109" s="55">
        <f>IF(A2109="",0,IF(COUNTIFS($A$2:A2109,A2109,$F$2:F2109,F2109,$L$2:L2109,L2109)=1,1,0))</f>
        <v>0</v>
      </c>
      <c r="P2109" s="55">
        <f>IF(A2109="",0,IF(AND(F2109="C&amp;T",COUNTIFS($A$2:A2109,A2109,$F$2:F2109,"C&amp;T")=1),1,0))</f>
        <v>0</v>
      </c>
    </row>
    <row r="2110" spans="1:16" x14ac:dyDescent="0.35">
      <c r="A2110" s="54" t="str">
        <f>IFERROR(IF(INDEX(SPOT_Import!$A$1:$Z$2488,2110,'Live Data'!$C$12)="","",INDEX(SPOT_Import!$A$1:$Z$2488,2110,'Live Data'!$C$12)),"")</f>
        <v/>
      </c>
      <c r="B2110" s="54" t="str">
        <f>IFERROR(IF(INDEX(SPOT_Import!$A$1:$Z$2488,2110,'Live Data'!$C$13)="","",INDEX(SPOT_Import!$A$1:$Z$2488,2110,'Live Data'!$C$13)),"")</f>
        <v/>
      </c>
      <c r="C2110" s="54" t="str">
        <f>IFERROR(IF(INDEX(SPOT_Import!$A$1:$Z$2488,2110,'Live Data'!$C$14)="","",INDEX(SPOT_Import!$A$1:$Z$2488,2110,'Live Data'!$C$14)),"")</f>
        <v/>
      </c>
      <c r="D2110" s="54" t="str">
        <f>IFERROR(IF(INDEX(SPOT_Import!$A$1:$Z$2488,2110,'Live Data'!$C$15)="","",INDEX(SPOT_Import!$A$1:$Z$2488,2110,'Live Data'!$C$15)),"")</f>
        <v/>
      </c>
      <c r="E2110" s="54" t="str">
        <f>IFERROR(IF(INDEX(SPOT_Import!$A$1:$Z$2488,2110,'Live Data'!$C$16)="","",INDEX(SPOT_Import!$A$1:$Z$2488,2110,'Live Data'!$C$16)),"")</f>
        <v/>
      </c>
      <c r="F2110" s="54" t="str">
        <f>IFERROR(IF(INDEX(SPOT_Import!$A$1:$Z$2488,2110,'Live Data'!$C$17)="","",INDEX(SPOT_Import!$A$1:$Z$2488,2110,'Live Data'!$C$17)),"")</f>
        <v/>
      </c>
      <c r="G2110" s="54" t="str">
        <f>IFERROR(IF(INDEX(SPOT_Import!$A$1:$Z$2488,2110,'Live Data'!$C$18)="","",INDEX(SPOT_Import!$A$1:$Z$2488,2110,'Live Data'!$C$18)),"")</f>
        <v/>
      </c>
      <c r="H2110" s="54" t="str">
        <f>IFERROR(IF(INDEX(SPOT_Import!$A$1:$Z$2488,2110,'Live Data'!$C$19)="","",INDEX(SPOT_Import!$A$1:$Z$2488,2110,'Live Data'!$C$19)),"")</f>
        <v/>
      </c>
      <c r="I2110" s="54" t="str">
        <f>IFERROR(IF(INDEX(SPOT_Import!$A$1:$Z$2488,2110,'Live Data'!$C$20)="","",INDEX(SPOT_Import!$A$1:$Z$2488,2110,'Live Data'!$C$20)),"")</f>
        <v/>
      </c>
      <c r="J2110" s="54" t="str">
        <f>IFERROR(IF(INDEX(SPOT_Import!$A$1:$Z$2488,2110,'Live Data'!$C$21)="","",INDEX(SPOT_Import!$A$1:$Z$2488,2110,'Live Data'!$C$21)),"")</f>
        <v/>
      </c>
      <c r="K2110" s="54" t="str">
        <f>IFERROR(IF(INDEX(SPOT_Import!$A$1:$Z$2488,2110,'Live Data'!$C$22)="","",INDEX(SPOT_Import!$A$1:$Z$2488,2110,'Live Data'!$C$22)),"")</f>
        <v/>
      </c>
      <c r="L2110" s="55" t="str">
        <f t="shared" si="64"/>
        <v/>
      </c>
      <c r="M2110" s="55" t="str">
        <f t="shared" si="65"/>
        <v/>
      </c>
      <c r="N2110" s="55" t="str">
        <f>IF(A2110="","",IFERROR(INDEX('Cluster Map'!$A$4:$A$38,MATCH(M2110,'Cluster Map'!$B$4:$B$38,0)),"Unmapped"))</f>
        <v/>
      </c>
      <c r="O2110" s="55">
        <f>IF(A2110="",0,IF(COUNTIFS($A$2:A2110,A2110,$F$2:F2110,F2110,$L$2:L2110,L2110)=1,1,0))</f>
        <v>0</v>
      </c>
      <c r="P2110" s="55">
        <f>IF(A2110="",0,IF(AND(F2110="C&amp;T",COUNTIFS($A$2:A2110,A2110,$F$2:F2110,"C&amp;T")=1),1,0))</f>
        <v>0</v>
      </c>
    </row>
    <row r="2111" spans="1:16" x14ac:dyDescent="0.35">
      <c r="A2111" s="54" t="str">
        <f>IFERROR(IF(INDEX(SPOT_Import!$A$1:$Z$2488,2111,'Live Data'!$C$12)="","",INDEX(SPOT_Import!$A$1:$Z$2488,2111,'Live Data'!$C$12)),"")</f>
        <v/>
      </c>
      <c r="B2111" s="54" t="str">
        <f>IFERROR(IF(INDEX(SPOT_Import!$A$1:$Z$2488,2111,'Live Data'!$C$13)="","",INDEX(SPOT_Import!$A$1:$Z$2488,2111,'Live Data'!$C$13)),"")</f>
        <v/>
      </c>
      <c r="C2111" s="54" t="str">
        <f>IFERROR(IF(INDEX(SPOT_Import!$A$1:$Z$2488,2111,'Live Data'!$C$14)="","",INDEX(SPOT_Import!$A$1:$Z$2488,2111,'Live Data'!$C$14)),"")</f>
        <v/>
      </c>
      <c r="D2111" s="54" t="str">
        <f>IFERROR(IF(INDEX(SPOT_Import!$A$1:$Z$2488,2111,'Live Data'!$C$15)="","",INDEX(SPOT_Import!$A$1:$Z$2488,2111,'Live Data'!$C$15)),"")</f>
        <v/>
      </c>
      <c r="E2111" s="54" t="str">
        <f>IFERROR(IF(INDEX(SPOT_Import!$A$1:$Z$2488,2111,'Live Data'!$C$16)="","",INDEX(SPOT_Import!$A$1:$Z$2488,2111,'Live Data'!$C$16)),"")</f>
        <v/>
      </c>
      <c r="F2111" s="54" t="str">
        <f>IFERROR(IF(INDEX(SPOT_Import!$A$1:$Z$2488,2111,'Live Data'!$C$17)="","",INDEX(SPOT_Import!$A$1:$Z$2488,2111,'Live Data'!$C$17)),"")</f>
        <v/>
      </c>
      <c r="G2111" s="54" t="str">
        <f>IFERROR(IF(INDEX(SPOT_Import!$A$1:$Z$2488,2111,'Live Data'!$C$18)="","",INDEX(SPOT_Import!$A$1:$Z$2488,2111,'Live Data'!$C$18)),"")</f>
        <v/>
      </c>
      <c r="H2111" s="54" t="str">
        <f>IFERROR(IF(INDEX(SPOT_Import!$A$1:$Z$2488,2111,'Live Data'!$C$19)="","",INDEX(SPOT_Import!$A$1:$Z$2488,2111,'Live Data'!$C$19)),"")</f>
        <v/>
      </c>
      <c r="I2111" s="54" t="str">
        <f>IFERROR(IF(INDEX(SPOT_Import!$A$1:$Z$2488,2111,'Live Data'!$C$20)="","",INDEX(SPOT_Import!$A$1:$Z$2488,2111,'Live Data'!$C$20)),"")</f>
        <v/>
      </c>
      <c r="J2111" s="54" t="str">
        <f>IFERROR(IF(INDEX(SPOT_Import!$A$1:$Z$2488,2111,'Live Data'!$C$21)="","",INDEX(SPOT_Import!$A$1:$Z$2488,2111,'Live Data'!$C$21)),"")</f>
        <v/>
      </c>
      <c r="K2111" s="54" t="str">
        <f>IFERROR(IF(INDEX(SPOT_Import!$A$1:$Z$2488,2111,'Live Data'!$C$22)="","",INDEX(SPOT_Import!$A$1:$Z$2488,2111,'Live Data'!$C$22)),"")</f>
        <v/>
      </c>
      <c r="L2111" s="55" t="str">
        <f t="shared" si="64"/>
        <v/>
      </c>
      <c r="M2111" s="55" t="str">
        <f t="shared" si="65"/>
        <v/>
      </c>
      <c r="N2111" s="55" t="str">
        <f>IF(A2111="","",IFERROR(INDEX('Cluster Map'!$A$4:$A$38,MATCH(M2111,'Cluster Map'!$B$4:$B$38,0)),"Unmapped"))</f>
        <v/>
      </c>
      <c r="O2111" s="55">
        <f>IF(A2111="",0,IF(COUNTIFS($A$2:A2111,A2111,$F$2:F2111,F2111,$L$2:L2111,L2111)=1,1,0))</f>
        <v>0</v>
      </c>
      <c r="P2111" s="55">
        <f>IF(A2111="",0,IF(AND(F2111="C&amp;T",COUNTIFS($A$2:A2111,A2111,$F$2:F2111,"C&amp;T")=1),1,0))</f>
        <v>0</v>
      </c>
    </row>
    <row r="2112" spans="1:16" x14ac:dyDescent="0.35">
      <c r="A2112" s="54" t="str">
        <f>IFERROR(IF(INDEX(SPOT_Import!$A$1:$Z$2488,2112,'Live Data'!$C$12)="","",INDEX(SPOT_Import!$A$1:$Z$2488,2112,'Live Data'!$C$12)),"")</f>
        <v/>
      </c>
      <c r="B2112" s="54" t="str">
        <f>IFERROR(IF(INDEX(SPOT_Import!$A$1:$Z$2488,2112,'Live Data'!$C$13)="","",INDEX(SPOT_Import!$A$1:$Z$2488,2112,'Live Data'!$C$13)),"")</f>
        <v/>
      </c>
      <c r="C2112" s="54" t="str">
        <f>IFERROR(IF(INDEX(SPOT_Import!$A$1:$Z$2488,2112,'Live Data'!$C$14)="","",INDEX(SPOT_Import!$A$1:$Z$2488,2112,'Live Data'!$C$14)),"")</f>
        <v/>
      </c>
      <c r="D2112" s="54" t="str">
        <f>IFERROR(IF(INDEX(SPOT_Import!$A$1:$Z$2488,2112,'Live Data'!$C$15)="","",INDEX(SPOT_Import!$A$1:$Z$2488,2112,'Live Data'!$C$15)),"")</f>
        <v/>
      </c>
      <c r="E2112" s="54" t="str">
        <f>IFERROR(IF(INDEX(SPOT_Import!$A$1:$Z$2488,2112,'Live Data'!$C$16)="","",INDEX(SPOT_Import!$A$1:$Z$2488,2112,'Live Data'!$C$16)),"")</f>
        <v/>
      </c>
      <c r="F2112" s="54" t="str">
        <f>IFERROR(IF(INDEX(SPOT_Import!$A$1:$Z$2488,2112,'Live Data'!$C$17)="","",INDEX(SPOT_Import!$A$1:$Z$2488,2112,'Live Data'!$C$17)),"")</f>
        <v/>
      </c>
      <c r="G2112" s="54" t="str">
        <f>IFERROR(IF(INDEX(SPOT_Import!$A$1:$Z$2488,2112,'Live Data'!$C$18)="","",INDEX(SPOT_Import!$A$1:$Z$2488,2112,'Live Data'!$C$18)),"")</f>
        <v/>
      </c>
      <c r="H2112" s="54" t="str">
        <f>IFERROR(IF(INDEX(SPOT_Import!$A$1:$Z$2488,2112,'Live Data'!$C$19)="","",INDEX(SPOT_Import!$A$1:$Z$2488,2112,'Live Data'!$C$19)),"")</f>
        <v/>
      </c>
      <c r="I2112" s="54" t="str">
        <f>IFERROR(IF(INDEX(SPOT_Import!$A$1:$Z$2488,2112,'Live Data'!$C$20)="","",INDEX(SPOT_Import!$A$1:$Z$2488,2112,'Live Data'!$C$20)),"")</f>
        <v/>
      </c>
      <c r="J2112" s="54" t="str">
        <f>IFERROR(IF(INDEX(SPOT_Import!$A$1:$Z$2488,2112,'Live Data'!$C$21)="","",INDEX(SPOT_Import!$A$1:$Z$2488,2112,'Live Data'!$C$21)),"")</f>
        <v/>
      </c>
      <c r="K2112" s="54" t="str">
        <f>IFERROR(IF(INDEX(SPOT_Import!$A$1:$Z$2488,2112,'Live Data'!$C$22)="","",INDEX(SPOT_Import!$A$1:$Z$2488,2112,'Live Data'!$C$22)),"")</f>
        <v/>
      </c>
      <c r="L2112" s="55" t="str">
        <f t="shared" si="64"/>
        <v/>
      </c>
      <c r="M2112" s="55" t="str">
        <f t="shared" si="65"/>
        <v/>
      </c>
      <c r="N2112" s="55" t="str">
        <f>IF(A2112="","",IFERROR(INDEX('Cluster Map'!$A$4:$A$38,MATCH(M2112,'Cluster Map'!$B$4:$B$38,0)),"Unmapped"))</f>
        <v/>
      </c>
      <c r="O2112" s="55">
        <f>IF(A2112="",0,IF(COUNTIFS($A$2:A2112,A2112,$F$2:F2112,F2112,$L$2:L2112,L2112)=1,1,0))</f>
        <v>0</v>
      </c>
      <c r="P2112" s="55">
        <f>IF(A2112="",0,IF(AND(F2112="C&amp;T",COUNTIFS($A$2:A2112,A2112,$F$2:F2112,"C&amp;T")=1),1,0))</f>
        <v>0</v>
      </c>
    </row>
    <row r="2113" spans="1:16" x14ac:dyDescent="0.35">
      <c r="A2113" s="54" t="str">
        <f>IFERROR(IF(INDEX(SPOT_Import!$A$1:$Z$2488,2113,'Live Data'!$C$12)="","",INDEX(SPOT_Import!$A$1:$Z$2488,2113,'Live Data'!$C$12)),"")</f>
        <v/>
      </c>
      <c r="B2113" s="54" t="str">
        <f>IFERROR(IF(INDEX(SPOT_Import!$A$1:$Z$2488,2113,'Live Data'!$C$13)="","",INDEX(SPOT_Import!$A$1:$Z$2488,2113,'Live Data'!$C$13)),"")</f>
        <v/>
      </c>
      <c r="C2113" s="54" t="str">
        <f>IFERROR(IF(INDEX(SPOT_Import!$A$1:$Z$2488,2113,'Live Data'!$C$14)="","",INDEX(SPOT_Import!$A$1:$Z$2488,2113,'Live Data'!$C$14)),"")</f>
        <v/>
      </c>
      <c r="D2113" s="54" t="str">
        <f>IFERROR(IF(INDEX(SPOT_Import!$A$1:$Z$2488,2113,'Live Data'!$C$15)="","",INDEX(SPOT_Import!$A$1:$Z$2488,2113,'Live Data'!$C$15)),"")</f>
        <v/>
      </c>
      <c r="E2113" s="54" t="str">
        <f>IFERROR(IF(INDEX(SPOT_Import!$A$1:$Z$2488,2113,'Live Data'!$C$16)="","",INDEX(SPOT_Import!$A$1:$Z$2488,2113,'Live Data'!$C$16)),"")</f>
        <v/>
      </c>
      <c r="F2113" s="54" t="str">
        <f>IFERROR(IF(INDEX(SPOT_Import!$A$1:$Z$2488,2113,'Live Data'!$C$17)="","",INDEX(SPOT_Import!$A$1:$Z$2488,2113,'Live Data'!$C$17)),"")</f>
        <v/>
      </c>
      <c r="G2113" s="54" t="str">
        <f>IFERROR(IF(INDEX(SPOT_Import!$A$1:$Z$2488,2113,'Live Data'!$C$18)="","",INDEX(SPOT_Import!$A$1:$Z$2488,2113,'Live Data'!$C$18)),"")</f>
        <v/>
      </c>
      <c r="H2113" s="54" t="str">
        <f>IFERROR(IF(INDEX(SPOT_Import!$A$1:$Z$2488,2113,'Live Data'!$C$19)="","",INDEX(SPOT_Import!$A$1:$Z$2488,2113,'Live Data'!$C$19)),"")</f>
        <v/>
      </c>
      <c r="I2113" s="54" t="str">
        <f>IFERROR(IF(INDEX(SPOT_Import!$A$1:$Z$2488,2113,'Live Data'!$C$20)="","",INDEX(SPOT_Import!$A$1:$Z$2488,2113,'Live Data'!$C$20)),"")</f>
        <v/>
      </c>
      <c r="J2113" s="54" t="str">
        <f>IFERROR(IF(INDEX(SPOT_Import!$A$1:$Z$2488,2113,'Live Data'!$C$21)="","",INDEX(SPOT_Import!$A$1:$Z$2488,2113,'Live Data'!$C$21)),"")</f>
        <v/>
      </c>
      <c r="K2113" s="54" t="str">
        <f>IFERROR(IF(INDEX(SPOT_Import!$A$1:$Z$2488,2113,'Live Data'!$C$22)="","",INDEX(SPOT_Import!$A$1:$Z$2488,2113,'Live Data'!$C$22)),"")</f>
        <v/>
      </c>
      <c r="L2113" s="55" t="str">
        <f t="shared" si="64"/>
        <v/>
      </c>
      <c r="M2113" s="55" t="str">
        <f t="shared" si="65"/>
        <v/>
      </c>
      <c r="N2113" s="55" t="str">
        <f>IF(A2113="","",IFERROR(INDEX('Cluster Map'!$A$4:$A$38,MATCH(M2113,'Cluster Map'!$B$4:$B$38,0)),"Unmapped"))</f>
        <v/>
      </c>
      <c r="O2113" s="55">
        <f>IF(A2113="",0,IF(COUNTIFS($A$2:A2113,A2113,$F$2:F2113,F2113,$L$2:L2113,L2113)=1,1,0))</f>
        <v>0</v>
      </c>
      <c r="P2113" s="55">
        <f>IF(A2113="",0,IF(AND(F2113="C&amp;T",COUNTIFS($A$2:A2113,A2113,$F$2:F2113,"C&amp;T")=1),1,0))</f>
        <v>0</v>
      </c>
    </row>
    <row r="2114" spans="1:16" x14ac:dyDescent="0.35">
      <c r="A2114" s="54" t="str">
        <f>IFERROR(IF(INDEX(SPOT_Import!$A$1:$Z$2488,2114,'Live Data'!$C$12)="","",INDEX(SPOT_Import!$A$1:$Z$2488,2114,'Live Data'!$C$12)),"")</f>
        <v/>
      </c>
      <c r="B2114" s="54" t="str">
        <f>IFERROR(IF(INDEX(SPOT_Import!$A$1:$Z$2488,2114,'Live Data'!$C$13)="","",INDEX(SPOT_Import!$A$1:$Z$2488,2114,'Live Data'!$C$13)),"")</f>
        <v/>
      </c>
      <c r="C2114" s="54" t="str">
        <f>IFERROR(IF(INDEX(SPOT_Import!$A$1:$Z$2488,2114,'Live Data'!$C$14)="","",INDEX(SPOT_Import!$A$1:$Z$2488,2114,'Live Data'!$C$14)),"")</f>
        <v/>
      </c>
      <c r="D2114" s="54" t="str">
        <f>IFERROR(IF(INDEX(SPOT_Import!$A$1:$Z$2488,2114,'Live Data'!$C$15)="","",INDEX(SPOT_Import!$A$1:$Z$2488,2114,'Live Data'!$C$15)),"")</f>
        <v/>
      </c>
      <c r="E2114" s="54" t="str">
        <f>IFERROR(IF(INDEX(SPOT_Import!$A$1:$Z$2488,2114,'Live Data'!$C$16)="","",INDEX(SPOT_Import!$A$1:$Z$2488,2114,'Live Data'!$C$16)),"")</f>
        <v/>
      </c>
      <c r="F2114" s="54" t="str">
        <f>IFERROR(IF(INDEX(SPOT_Import!$A$1:$Z$2488,2114,'Live Data'!$C$17)="","",INDEX(SPOT_Import!$A$1:$Z$2488,2114,'Live Data'!$C$17)),"")</f>
        <v/>
      </c>
      <c r="G2114" s="54" t="str">
        <f>IFERROR(IF(INDEX(SPOT_Import!$A$1:$Z$2488,2114,'Live Data'!$C$18)="","",INDEX(SPOT_Import!$A$1:$Z$2488,2114,'Live Data'!$C$18)),"")</f>
        <v/>
      </c>
      <c r="H2114" s="54" t="str">
        <f>IFERROR(IF(INDEX(SPOT_Import!$A$1:$Z$2488,2114,'Live Data'!$C$19)="","",INDEX(SPOT_Import!$A$1:$Z$2488,2114,'Live Data'!$C$19)),"")</f>
        <v/>
      </c>
      <c r="I2114" s="54" t="str">
        <f>IFERROR(IF(INDEX(SPOT_Import!$A$1:$Z$2488,2114,'Live Data'!$C$20)="","",INDEX(SPOT_Import!$A$1:$Z$2488,2114,'Live Data'!$C$20)),"")</f>
        <v/>
      </c>
      <c r="J2114" s="54" t="str">
        <f>IFERROR(IF(INDEX(SPOT_Import!$A$1:$Z$2488,2114,'Live Data'!$C$21)="","",INDEX(SPOT_Import!$A$1:$Z$2488,2114,'Live Data'!$C$21)),"")</f>
        <v/>
      </c>
      <c r="K2114" s="54" t="str">
        <f>IFERROR(IF(INDEX(SPOT_Import!$A$1:$Z$2488,2114,'Live Data'!$C$22)="","",INDEX(SPOT_Import!$A$1:$Z$2488,2114,'Live Data'!$C$22)),"")</f>
        <v/>
      </c>
      <c r="L2114" s="55" t="str">
        <f t="shared" ref="L2114:L2177" si="66">IF(A2114="","",IF(ISNUMBER(K2114),TEXT(K2114,"yyyy-mm"),LEFT(K2114,7)))</f>
        <v/>
      </c>
      <c r="M2114" s="55" t="str">
        <f t="shared" ref="M2114:M2177" si="67">IF(A2114="","",UPPER(TRIM(SUBSTITUTE(C2114," - ","-"))))</f>
        <v/>
      </c>
      <c r="N2114" s="55" t="str">
        <f>IF(A2114="","",IFERROR(INDEX('Cluster Map'!$A$4:$A$38,MATCH(M2114,'Cluster Map'!$B$4:$B$38,0)),"Unmapped"))</f>
        <v/>
      </c>
      <c r="O2114" s="55">
        <f>IF(A2114="",0,IF(COUNTIFS($A$2:A2114,A2114,$F$2:F2114,F2114,$L$2:L2114,L2114)=1,1,0))</f>
        <v>0</v>
      </c>
      <c r="P2114" s="55">
        <f>IF(A2114="",0,IF(AND(F2114="C&amp;T",COUNTIFS($A$2:A2114,A2114,$F$2:F2114,"C&amp;T")=1),1,0))</f>
        <v>0</v>
      </c>
    </row>
    <row r="2115" spans="1:16" x14ac:dyDescent="0.35">
      <c r="A2115" s="54" t="str">
        <f>IFERROR(IF(INDEX(SPOT_Import!$A$1:$Z$2488,2115,'Live Data'!$C$12)="","",INDEX(SPOT_Import!$A$1:$Z$2488,2115,'Live Data'!$C$12)),"")</f>
        <v/>
      </c>
      <c r="B2115" s="54" t="str">
        <f>IFERROR(IF(INDEX(SPOT_Import!$A$1:$Z$2488,2115,'Live Data'!$C$13)="","",INDEX(SPOT_Import!$A$1:$Z$2488,2115,'Live Data'!$C$13)),"")</f>
        <v/>
      </c>
      <c r="C2115" s="54" t="str">
        <f>IFERROR(IF(INDEX(SPOT_Import!$A$1:$Z$2488,2115,'Live Data'!$C$14)="","",INDEX(SPOT_Import!$A$1:$Z$2488,2115,'Live Data'!$C$14)),"")</f>
        <v/>
      </c>
      <c r="D2115" s="54" t="str">
        <f>IFERROR(IF(INDEX(SPOT_Import!$A$1:$Z$2488,2115,'Live Data'!$C$15)="","",INDEX(SPOT_Import!$A$1:$Z$2488,2115,'Live Data'!$C$15)),"")</f>
        <v/>
      </c>
      <c r="E2115" s="54" t="str">
        <f>IFERROR(IF(INDEX(SPOT_Import!$A$1:$Z$2488,2115,'Live Data'!$C$16)="","",INDEX(SPOT_Import!$A$1:$Z$2488,2115,'Live Data'!$C$16)),"")</f>
        <v/>
      </c>
      <c r="F2115" s="54" t="str">
        <f>IFERROR(IF(INDEX(SPOT_Import!$A$1:$Z$2488,2115,'Live Data'!$C$17)="","",INDEX(SPOT_Import!$A$1:$Z$2488,2115,'Live Data'!$C$17)),"")</f>
        <v/>
      </c>
      <c r="G2115" s="54" t="str">
        <f>IFERROR(IF(INDEX(SPOT_Import!$A$1:$Z$2488,2115,'Live Data'!$C$18)="","",INDEX(SPOT_Import!$A$1:$Z$2488,2115,'Live Data'!$C$18)),"")</f>
        <v/>
      </c>
      <c r="H2115" s="54" t="str">
        <f>IFERROR(IF(INDEX(SPOT_Import!$A$1:$Z$2488,2115,'Live Data'!$C$19)="","",INDEX(SPOT_Import!$A$1:$Z$2488,2115,'Live Data'!$C$19)),"")</f>
        <v/>
      </c>
      <c r="I2115" s="54" t="str">
        <f>IFERROR(IF(INDEX(SPOT_Import!$A$1:$Z$2488,2115,'Live Data'!$C$20)="","",INDEX(SPOT_Import!$A$1:$Z$2488,2115,'Live Data'!$C$20)),"")</f>
        <v/>
      </c>
      <c r="J2115" s="54" t="str">
        <f>IFERROR(IF(INDEX(SPOT_Import!$A$1:$Z$2488,2115,'Live Data'!$C$21)="","",INDEX(SPOT_Import!$A$1:$Z$2488,2115,'Live Data'!$C$21)),"")</f>
        <v/>
      </c>
      <c r="K2115" s="54" t="str">
        <f>IFERROR(IF(INDEX(SPOT_Import!$A$1:$Z$2488,2115,'Live Data'!$C$22)="","",INDEX(SPOT_Import!$A$1:$Z$2488,2115,'Live Data'!$C$22)),"")</f>
        <v/>
      </c>
      <c r="L2115" s="55" t="str">
        <f t="shared" si="66"/>
        <v/>
      </c>
      <c r="M2115" s="55" t="str">
        <f t="shared" si="67"/>
        <v/>
      </c>
      <c r="N2115" s="55" t="str">
        <f>IF(A2115="","",IFERROR(INDEX('Cluster Map'!$A$4:$A$38,MATCH(M2115,'Cluster Map'!$B$4:$B$38,0)),"Unmapped"))</f>
        <v/>
      </c>
      <c r="O2115" s="55">
        <f>IF(A2115="",0,IF(COUNTIFS($A$2:A2115,A2115,$F$2:F2115,F2115,$L$2:L2115,L2115)=1,1,0))</f>
        <v>0</v>
      </c>
      <c r="P2115" s="55">
        <f>IF(A2115="",0,IF(AND(F2115="C&amp;T",COUNTIFS($A$2:A2115,A2115,$F$2:F2115,"C&amp;T")=1),1,0))</f>
        <v>0</v>
      </c>
    </row>
    <row r="2116" spans="1:16" x14ac:dyDescent="0.35">
      <c r="A2116" s="54" t="str">
        <f>IFERROR(IF(INDEX(SPOT_Import!$A$1:$Z$2488,2116,'Live Data'!$C$12)="","",INDEX(SPOT_Import!$A$1:$Z$2488,2116,'Live Data'!$C$12)),"")</f>
        <v/>
      </c>
      <c r="B2116" s="54" t="str">
        <f>IFERROR(IF(INDEX(SPOT_Import!$A$1:$Z$2488,2116,'Live Data'!$C$13)="","",INDEX(SPOT_Import!$A$1:$Z$2488,2116,'Live Data'!$C$13)),"")</f>
        <v/>
      </c>
      <c r="C2116" s="54" t="str">
        <f>IFERROR(IF(INDEX(SPOT_Import!$A$1:$Z$2488,2116,'Live Data'!$C$14)="","",INDEX(SPOT_Import!$A$1:$Z$2488,2116,'Live Data'!$C$14)),"")</f>
        <v/>
      </c>
      <c r="D2116" s="54" t="str">
        <f>IFERROR(IF(INDEX(SPOT_Import!$A$1:$Z$2488,2116,'Live Data'!$C$15)="","",INDEX(SPOT_Import!$A$1:$Z$2488,2116,'Live Data'!$C$15)),"")</f>
        <v/>
      </c>
      <c r="E2116" s="54" t="str">
        <f>IFERROR(IF(INDEX(SPOT_Import!$A$1:$Z$2488,2116,'Live Data'!$C$16)="","",INDEX(SPOT_Import!$A$1:$Z$2488,2116,'Live Data'!$C$16)),"")</f>
        <v/>
      </c>
      <c r="F2116" s="54" t="str">
        <f>IFERROR(IF(INDEX(SPOT_Import!$A$1:$Z$2488,2116,'Live Data'!$C$17)="","",INDEX(SPOT_Import!$A$1:$Z$2488,2116,'Live Data'!$C$17)),"")</f>
        <v/>
      </c>
      <c r="G2116" s="54" t="str">
        <f>IFERROR(IF(INDEX(SPOT_Import!$A$1:$Z$2488,2116,'Live Data'!$C$18)="","",INDEX(SPOT_Import!$A$1:$Z$2488,2116,'Live Data'!$C$18)),"")</f>
        <v/>
      </c>
      <c r="H2116" s="54" t="str">
        <f>IFERROR(IF(INDEX(SPOT_Import!$A$1:$Z$2488,2116,'Live Data'!$C$19)="","",INDEX(SPOT_Import!$A$1:$Z$2488,2116,'Live Data'!$C$19)),"")</f>
        <v/>
      </c>
      <c r="I2116" s="54" t="str">
        <f>IFERROR(IF(INDEX(SPOT_Import!$A$1:$Z$2488,2116,'Live Data'!$C$20)="","",INDEX(SPOT_Import!$A$1:$Z$2488,2116,'Live Data'!$C$20)),"")</f>
        <v/>
      </c>
      <c r="J2116" s="54" t="str">
        <f>IFERROR(IF(INDEX(SPOT_Import!$A$1:$Z$2488,2116,'Live Data'!$C$21)="","",INDEX(SPOT_Import!$A$1:$Z$2488,2116,'Live Data'!$C$21)),"")</f>
        <v/>
      </c>
      <c r="K2116" s="54" t="str">
        <f>IFERROR(IF(INDEX(SPOT_Import!$A$1:$Z$2488,2116,'Live Data'!$C$22)="","",INDEX(SPOT_Import!$A$1:$Z$2488,2116,'Live Data'!$C$22)),"")</f>
        <v/>
      </c>
      <c r="L2116" s="55" t="str">
        <f t="shared" si="66"/>
        <v/>
      </c>
      <c r="M2116" s="55" t="str">
        <f t="shared" si="67"/>
        <v/>
      </c>
      <c r="N2116" s="55" t="str">
        <f>IF(A2116="","",IFERROR(INDEX('Cluster Map'!$A$4:$A$38,MATCH(M2116,'Cluster Map'!$B$4:$B$38,0)),"Unmapped"))</f>
        <v/>
      </c>
      <c r="O2116" s="55">
        <f>IF(A2116="",0,IF(COUNTIFS($A$2:A2116,A2116,$F$2:F2116,F2116,$L$2:L2116,L2116)=1,1,0))</f>
        <v>0</v>
      </c>
      <c r="P2116" s="55">
        <f>IF(A2116="",0,IF(AND(F2116="C&amp;T",COUNTIFS($A$2:A2116,A2116,$F$2:F2116,"C&amp;T")=1),1,0))</f>
        <v>0</v>
      </c>
    </row>
    <row r="2117" spans="1:16" x14ac:dyDescent="0.35">
      <c r="A2117" s="54" t="str">
        <f>IFERROR(IF(INDEX(SPOT_Import!$A$1:$Z$2488,2117,'Live Data'!$C$12)="","",INDEX(SPOT_Import!$A$1:$Z$2488,2117,'Live Data'!$C$12)),"")</f>
        <v/>
      </c>
      <c r="B2117" s="54" t="str">
        <f>IFERROR(IF(INDEX(SPOT_Import!$A$1:$Z$2488,2117,'Live Data'!$C$13)="","",INDEX(SPOT_Import!$A$1:$Z$2488,2117,'Live Data'!$C$13)),"")</f>
        <v/>
      </c>
      <c r="C2117" s="54" t="str">
        <f>IFERROR(IF(INDEX(SPOT_Import!$A$1:$Z$2488,2117,'Live Data'!$C$14)="","",INDEX(SPOT_Import!$A$1:$Z$2488,2117,'Live Data'!$C$14)),"")</f>
        <v/>
      </c>
      <c r="D2117" s="54" t="str">
        <f>IFERROR(IF(INDEX(SPOT_Import!$A$1:$Z$2488,2117,'Live Data'!$C$15)="","",INDEX(SPOT_Import!$A$1:$Z$2488,2117,'Live Data'!$C$15)),"")</f>
        <v/>
      </c>
      <c r="E2117" s="54" t="str">
        <f>IFERROR(IF(INDEX(SPOT_Import!$A$1:$Z$2488,2117,'Live Data'!$C$16)="","",INDEX(SPOT_Import!$A$1:$Z$2488,2117,'Live Data'!$C$16)),"")</f>
        <v/>
      </c>
      <c r="F2117" s="54" t="str">
        <f>IFERROR(IF(INDEX(SPOT_Import!$A$1:$Z$2488,2117,'Live Data'!$C$17)="","",INDEX(SPOT_Import!$A$1:$Z$2488,2117,'Live Data'!$C$17)),"")</f>
        <v/>
      </c>
      <c r="G2117" s="54" t="str">
        <f>IFERROR(IF(INDEX(SPOT_Import!$A$1:$Z$2488,2117,'Live Data'!$C$18)="","",INDEX(SPOT_Import!$A$1:$Z$2488,2117,'Live Data'!$C$18)),"")</f>
        <v/>
      </c>
      <c r="H2117" s="54" t="str">
        <f>IFERROR(IF(INDEX(SPOT_Import!$A$1:$Z$2488,2117,'Live Data'!$C$19)="","",INDEX(SPOT_Import!$A$1:$Z$2488,2117,'Live Data'!$C$19)),"")</f>
        <v/>
      </c>
      <c r="I2117" s="54" t="str">
        <f>IFERROR(IF(INDEX(SPOT_Import!$A$1:$Z$2488,2117,'Live Data'!$C$20)="","",INDEX(SPOT_Import!$A$1:$Z$2488,2117,'Live Data'!$C$20)),"")</f>
        <v/>
      </c>
      <c r="J2117" s="54" t="str">
        <f>IFERROR(IF(INDEX(SPOT_Import!$A$1:$Z$2488,2117,'Live Data'!$C$21)="","",INDEX(SPOT_Import!$A$1:$Z$2488,2117,'Live Data'!$C$21)),"")</f>
        <v/>
      </c>
      <c r="K2117" s="54" t="str">
        <f>IFERROR(IF(INDEX(SPOT_Import!$A$1:$Z$2488,2117,'Live Data'!$C$22)="","",INDEX(SPOT_Import!$A$1:$Z$2488,2117,'Live Data'!$C$22)),"")</f>
        <v/>
      </c>
      <c r="L2117" s="55" t="str">
        <f t="shared" si="66"/>
        <v/>
      </c>
      <c r="M2117" s="55" t="str">
        <f t="shared" si="67"/>
        <v/>
      </c>
      <c r="N2117" s="55" t="str">
        <f>IF(A2117="","",IFERROR(INDEX('Cluster Map'!$A$4:$A$38,MATCH(M2117,'Cluster Map'!$B$4:$B$38,0)),"Unmapped"))</f>
        <v/>
      </c>
      <c r="O2117" s="55">
        <f>IF(A2117="",0,IF(COUNTIFS($A$2:A2117,A2117,$F$2:F2117,F2117,$L$2:L2117,L2117)=1,1,0))</f>
        <v>0</v>
      </c>
      <c r="P2117" s="55">
        <f>IF(A2117="",0,IF(AND(F2117="C&amp;T",COUNTIFS($A$2:A2117,A2117,$F$2:F2117,"C&amp;T")=1),1,0))</f>
        <v>0</v>
      </c>
    </row>
    <row r="2118" spans="1:16" x14ac:dyDescent="0.35">
      <c r="A2118" s="54" t="str">
        <f>IFERROR(IF(INDEX(SPOT_Import!$A$1:$Z$2488,2118,'Live Data'!$C$12)="","",INDEX(SPOT_Import!$A$1:$Z$2488,2118,'Live Data'!$C$12)),"")</f>
        <v/>
      </c>
      <c r="B2118" s="54" t="str">
        <f>IFERROR(IF(INDEX(SPOT_Import!$A$1:$Z$2488,2118,'Live Data'!$C$13)="","",INDEX(SPOT_Import!$A$1:$Z$2488,2118,'Live Data'!$C$13)),"")</f>
        <v/>
      </c>
      <c r="C2118" s="54" t="str">
        <f>IFERROR(IF(INDEX(SPOT_Import!$A$1:$Z$2488,2118,'Live Data'!$C$14)="","",INDEX(SPOT_Import!$A$1:$Z$2488,2118,'Live Data'!$C$14)),"")</f>
        <v/>
      </c>
      <c r="D2118" s="54" t="str">
        <f>IFERROR(IF(INDEX(SPOT_Import!$A$1:$Z$2488,2118,'Live Data'!$C$15)="","",INDEX(SPOT_Import!$A$1:$Z$2488,2118,'Live Data'!$C$15)),"")</f>
        <v/>
      </c>
      <c r="E2118" s="54" t="str">
        <f>IFERROR(IF(INDEX(SPOT_Import!$A$1:$Z$2488,2118,'Live Data'!$C$16)="","",INDEX(SPOT_Import!$A$1:$Z$2488,2118,'Live Data'!$C$16)),"")</f>
        <v/>
      </c>
      <c r="F2118" s="54" t="str">
        <f>IFERROR(IF(INDEX(SPOT_Import!$A$1:$Z$2488,2118,'Live Data'!$C$17)="","",INDEX(SPOT_Import!$A$1:$Z$2488,2118,'Live Data'!$C$17)),"")</f>
        <v/>
      </c>
      <c r="G2118" s="54" t="str">
        <f>IFERROR(IF(INDEX(SPOT_Import!$A$1:$Z$2488,2118,'Live Data'!$C$18)="","",INDEX(SPOT_Import!$A$1:$Z$2488,2118,'Live Data'!$C$18)),"")</f>
        <v/>
      </c>
      <c r="H2118" s="54" t="str">
        <f>IFERROR(IF(INDEX(SPOT_Import!$A$1:$Z$2488,2118,'Live Data'!$C$19)="","",INDEX(SPOT_Import!$A$1:$Z$2488,2118,'Live Data'!$C$19)),"")</f>
        <v/>
      </c>
      <c r="I2118" s="54" t="str">
        <f>IFERROR(IF(INDEX(SPOT_Import!$A$1:$Z$2488,2118,'Live Data'!$C$20)="","",INDEX(SPOT_Import!$A$1:$Z$2488,2118,'Live Data'!$C$20)),"")</f>
        <v/>
      </c>
      <c r="J2118" s="54" t="str">
        <f>IFERROR(IF(INDEX(SPOT_Import!$A$1:$Z$2488,2118,'Live Data'!$C$21)="","",INDEX(SPOT_Import!$A$1:$Z$2488,2118,'Live Data'!$C$21)),"")</f>
        <v/>
      </c>
      <c r="K2118" s="54" t="str">
        <f>IFERROR(IF(INDEX(SPOT_Import!$A$1:$Z$2488,2118,'Live Data'!$C$22)="","",INDEX(SPOT_Import!$A$1:$Z$2488,2118,'Live Data'!$C$22)),"")</f>
        <v/>
      </c>
      <c r="L2118" s="55" t="str">
        <f t="shared" si="66"/>
        <v/>
      </c>
      <c r="M2118" s="55" t="str">
        <f t="shared" si="67"/>
        <v/>
      </c>
      <c r="N2118" s="55" t="str">
        <f>IF(A2118="","",IFERROR(INDEX('Cluster Map'!$A$4:$A$38,MATCH(M2118,'Cluster Map'!$B$4:$B$38,0)),"Unmapped"))</f>
        <v/>
      </c>
      <c r="O2118" s="55">
        <f>IF(A2118="",0,IF(COUNTIFS($A$2:A2118,A2118,$F$2:F2118,F2118,$L$2:L2118,L2118)=1,1,0))</f>
        <v>0</v>
      </c>
      <c r="P2118" s="55">
        <f>IF(A2118="",0,IF(AND(F2118="C&amp;T",COUNTIFS($A$2:A2118,A2118,$F$2:F2118,"C&amp;T")=1),1,0))</f>
        <v>0</v>
      </c>
    </row>
    <row r="2119" spans="1:16" x14ac:dyDescent="0.35">
      <c r="A2119" s="54" t="str">
        <f>IFERROR(IF(INDEX(SPOT_Import!$A$1:$Z$2488,2119,'Live Data'!$C$12)="","",INDEX(SPOT_Import!$A$1:$Z$2488,2119,'Live Data'!$C$12)),"")</f>
        <v/>
      </c>
      <c r="B2119" s="54" t="str">
        <f>IFERROR(IF(INDEX(SPOT_Import!$A$1:$Z$2488,2119,'Live Data'!$C$13)="","",INDEX(SPOT_Import!$A$1:$Z$2488,2119,'Live Data'!$C$13)),"")</f>
        <v/>
      </c>
      <c r="C2119" s="54" t="str">
        <f>IFERROR(IF(INDEX(SPOT_Import!$A$1:$Z$2488,2119,'Live Data'!$C$14)="","",INDEX(SPOT_Import!$A$1:$Z$2488,2119,'Live Data'!$C$14)),"")</f>
        <v/>
      </c>
      <c r="D2119" s="54" t="str">
        <f>IFERROR(IF(INDEX(SPOT_Import!$A$1:$Z$2488,2119,'Live Data'!$C$15)="","",INDEX(SPOT_Import!$A$1:$Z$2488,2119,'Live Data'!$C$15)),"")</f>
        <v/>
      </c>
      <c r="E2119" s="54" t="str">
        <f>IFERROR(IF(INDEX(SPOT_Import!$A$1:$Z$2488,2119,'Live Data'!$C$16)="","",INDEX(SPOT_Import!$A$1:$Z$2488,2119,'Live Data'!$C$16)),"")</f>
        <v/>
      </c>
      <c r="F2119" s="54" t="str">
        <f>IFERROR(IF(INDEX(SPOT_Import!$A$1:$Z$2488,2119,'Live Data'!$C$17)="","",INDEX(SPOT_Import!$A$1:$Z$2488,2119,'Live Data'!$C$17)),"")</f>
        <v/>
      </c>
      <c r="G2119" s="54" t="str">
        <f>IFERROR(IF(INDEX(SPOT_Import!$A$1:$Z$2488,2119,'Live Data'!$C$18)="","",INDEX(SPOT_Import!$A$1:$Z$2488,2119,'Live Data'!$C$18)),"")</f>
        <v/>
      </c>
      <c r="H2119" s="54" t="str">
        <f>IFERROR(IF(INDEX(SPOT_Import!$A$1:$Z$2488,2119,'Live Data'!$C$19)="","",INDEX(SPOT_Import!$A$1:$Z$2488,2119,'Live Data'!$C$19)),"")</f>
        <v/>
      </c>
      <c r="I2119" s="54" t="str">
        <f>IFERROR(IF(INDEX(SPOT_Import!$A$1:$Z$2488,2119,'Live Data'!$C$20)="","",INDEX(SPOT_Import!$A$1:$Z$2488,2119,'Live Data'!$C$20)),"")</f>
        <v/>
      </c>
      <c r="J2119" s="54" t="str">
        <f>IFERROR(IF(INDEX(SPOT_Import!$A$1:$Z$2488,2119,'Live Data'!$C$21)="","",INDEX(SPOT_Import!$A$1:$Z$2488,2119,'Live Data'!$C$21)),"")</f>
        <v/>
      </c>
      <c r="K2119" s="54" t="str">
        <f>IFERROR(IF(INDEX(SPOT_Import!$A$1:$Z$2488,2119,'Live Data'!$C$22)="","",INDEX(SPOT_Import!$A$1:$Z$2488,2119,'Live Data'!$C$22)),"")</f>
        <v/>
      </c>
      <c r="L2119" s="55" t="str">
        <f t="shared" si="66"/>
        <v/>
      </c>
      <c r="M2119" s="55" t="str">
        <f t="shared" si="67"/>
        <v/>
      </c>
      <c r="N2119" s="55" t="str">
        <f>IF(A2119="","",IFERROR(INDEX('Cluster Map'!$A$4:$A$38,MATCH(M2119,'Cluster Map'!$B$4:$B$38,0)),"Unmapped"))</f>
        <v/>
      </c>
      <c r="O2119" s="55">
        <f>IF(A2119="",0,IF(COUNTIFS($A$2:A2119,A2119,$F$2:F2119,F2119,$L$2:L2119,L2119)=1,1,0))</f>
        <v>0</v>
      </c>
      <c r="P2119" s="55">
        <f>IF(A2119="",0,IF(AND(F2119="C&amp;T",COUNTIFS($A$2:A2119,A2119,$F$2:F2119,"C&amp;T")=1),1,0))</f>
        <v>0</v>
      </c>
    </row>
    <row r="2120" spans="1:16" x14ac:dyDescent="0.35">
      <c r="A2120" s="54" t="str">
        <f>IFERROR(IF(INDEX(SPOT_Import!$A$1:$Z$2488,2120,'Live Data'!$C$12)="","",INDEX(SPOT_Import!$A$1:$Z$2488,2120,'Live Data'!$C$12)),"")</f>
        <v/>
      </c>
      <c r="B2120" s="54" t="str">
        <f>IFERROR(IF(INDEX(SPOT_Import!$A$1:$Z$2488,2120,'Live Data'!$C$13)="","",INDEX(SPOT_Import!$A$1:$Z$2488,2120,'Live Data'!$C$13)),"")</f>
        <v/>
      </c>
      <c r="C2120" s="54" t="str">
        <f>IFERROR(IF(INDEX(SPOT_Import!$A$1:$Z$2488,2120,'Live Data'!$C$14)="","",INDEX(SPOT_Import!$A$1:$Z$2488,2120,'Live Data'!$C$14)),"")</f>
        <v/>
      </c>
      <c r="D2120" s="54" t="str">
        <f>IFERROR(IF(INDEX(SPOT_Import!$A$1:$Z$2488,2120,'Live Data'!$C$15)="","",INDEX(SPOT_Import!$A$1:$Z$2488,2120,'Live Data'!$C$15)),"")</f>
        <v/>
      </c>
      <c r="E2120" s="54" t="str">
        <f>IFERROR(IF(INDEX(SPOT_Import!$A$1:$Z$2488,2120,'Live Data'!$C$16)="","",INDEX(SPOT_Import!$A$1:$Z$2488,2120,'Live Data'!$C$16)),"")</f>
        <v/>
      </c>
      <c r="F2120" s="54" t="str">
        <f>IFERROR(IF(INDEX(SPOT_Import!$A$1:$Z$2488,2120,'Live Data'!$C$17)="","",INDEX(SPOT_Import!$A$1:$Z$2488,2120,'Live Data'!$C$17)),"")</f>
        <v/>
      </c>
      <c r="G2120" s="54" t="str">
        <f>IFERROR(IF(INDEX(SPOT_Import!$A$1:$Z$2488,2120,'Live Data'!$C$18)="","",INDEX(SPOT_Import!$A$1:$Z$2488,2120,'Live Data'!$C$18)),"")</f>
        <v/>
      </c>
      <c r="H2120" s="54" t="str">
        <f>IFERROR(IF(INDEX(SPOT_Import!$A$1:$Z$2488,2120,'Live Data'!$C$19)="","",INDEX(SPOT_Import!$A$1:$Z$2488,2120,'Live Data'!$C$19)),"")</f>
        <v/>
      </c>
      <c r="I2120" s="54" t="str">
        <f>IFERROR(IF(INDEX(SPOT_Import!$A$1:$Z$2488,2120,'Live Data'!$C$20)="","",INDEX(SPOT_Import!$A$1:$Z$2488,2120,'Live Data'!$C$20)),"")</f>
        <v/>
      </c>
      <c r="J2120" s="54" t="str">
        <f>IFERROR(IF(INDEX(SPOT_Import!$A$1:$Z$2488,2120,'Live Data'!$C$21)="","",INDEX(SPOT_Import!$A$1:$Z$2488,2120,'Live Data'!$C$21)),"")</f>
        <v/>
      </c>
      <c r="K2120" s="54" t="str">
        <f>IFERROR(IF(INDEX(SPOT_Import!$A$1:$Z$2488,2120,'Live Data'!$C$22)="","",INDEX(SPOT_Import!$A$1:$Z$2488,2120,'Live Data'!$C$22)),"")</f>
        <v/>
      </c>
      <c r="L2120" s="55" t="str">
        <f t="shared" si="66"/>
        <v/>
      </c>
      <c r="M2120" s="55" t="str">
        <f t="shared" si="67"/>
        <v/>
      </c>
      <c r="N2120" s="55" t="str">
        <f>IF(A2120="","",IFERROR(INDEX('Cluster Map'!$A$4:$A$38,MATCH(M2120,'Cluster Map'!$B$4:$B$38,0)),"Unmapped"))</f>
        <v/>
      </c>
      <c r="O2120" s="55">
        <f>IF(A2120="",0,IF(COUNTIFS($A$2:A2120,A2120,$F$2:F2120,F2120,$L$2:L2120,L2120)=1,1,0))</f>
        <v>0</v>
      </c>
      <c r="P2120" s="55">
        <f>IF(A2120="",0,IF(AND(F2120="C&amp;T",COUNTIFS($A$2:A2120,A2120,$F$2:F2120,"C&amp;T")=1),1,0))</f>
        <v>0</v>
      </c>
    </row>
    <row r="2121" spans="1:16" x14ac:dyDescent="0.35">
      <c r="A2121" s="54" t="str">
        <f>IFERROR(IF(INDEX(SPOT_Import!$A$1:$Z$2488,2121,'Live Data'!$C$12)="","",INDEX(SPOT_Import!$A$1:$Z$2488,2121,'Live Data'!$C$12)),"")</f>
        <v/>
      </c>
      <c r="B2121" s="54" t="str">
        <f>IFERROR(IF(INDEX(SPOT_Import!$A$1:$Z$2488,2121,'Live Data'!$C$13)="","",INDEX(SPOT_Import!$A$1:$Z$2488,2121,'Live Data'!$C$13)),"")</f>
        <v/>
      </c>
      <c r="C2121" s="54" t="str">
        <f>IFERROR(IF(INDEX(SPOT_Import!$A$1:$Z$2488,2121,'Live Data'!$C$14)="","",INDEX(SPOT_Import!$A$1:$Z$2488,2121,'Live Data'!$C$14)),"")</f>
        <v/>
      </c>
      <c r="D2121" s="54" t="str">
        <f>IFERROR(IF(INDEX(SPOT_Import!$A$1:$Z$2488,2121,'Live Data'!$C$15)="","",INDEX(SPOT_Import!$A$1:$Z$2488,2121,'Live Data'!$C$15)),"")</f>
        <v/>
      </c>
      <c r="E2121" s="54" t="str">
        <f>IFERROR(IF(INDEX(SPOT_Import!$A$1:$Z$2488,2121,'Live Data'!$C$16)="","",INDEX(SPOT_Import!$A$1:$Z$2488,2121,'Live Data'!$C$16)),"")</f>
        <v/>
      </c>
      <c r="F2121" s="54" t="str">
        <f>IFERROR(IF(INDEX(SPOT_Import!$A$1:$Z$2488,2121,'Live Data'!$C$17)="","",INDEX(SPOT_Import!$A$1:$Z$2488,2121,'Live Data'!$C$17)),"")</f>
        <v/>
      </c>
      <c r="G2121" s="54" t="str">
        <f>IFERROR(IF(INDEX(SPOT_Import!$A$1:$Z$2488,2121,'Live Data'!$C$18)="","",INDEX(SPOT_Import!$A$1:$Z$2488,2121,'Live Data'!$C$18)),"")</f>
        <v/>
      </c>
      <c r="H2121" s="54" t="str">
        <f>IFERROR(IF(INDEX(SPOT_Import!$A$1:$Z$2488,2121,'Live Data'!$C$19)="","",INDEX(SPOT_Import!$A$1:$Z$2488,2121,'Live Data'!$C$19)),"")</f>
        <v/>
      </c>
      <c r="I2121" s="54" t="str">
        <f>IFERROR(IF(INDEX(SPOT_Import!$A$1:$Z$2488,2121,'Live Data'!$C$20)="","",INDEX(SPOT_Import!$A$1:$Z$2488,2121,'Live Data'!$C$20)),"")</f>
        <v/>
      </c>
      <c r="J2121" s="54" t="str">
        <f>IFERROR(IF(INDEX(SPOT_Import!$A$1:$Z$2488,2121,'Live Data'!$C$21)="","",INDEX(SPOT_Import!$A$1:$Z$2488,2121,'Live Data'!$C$21)),"")</f>
        <v/>
      </c>
      <c r="K2121" s="54" t="str">
        <f>IFERROR(IF(INDEX(SPOT_Import!$A$1:$Z$2488,2121,'Live Data'!$C$22)="","",INDEX(SPOT_Import!$A$1:$Z$2488,2121,'Live Data'!$C$22)),"")</f>
        <v/>
      </c>
      <c r="L2121" s="55" t="str">
        <f t="shared" si="66"/>
        <v/>
      </c>
      <c r="M2121" s="55" t="str">
        <f t="shared" si="67"/>
        <v/>
      </c>
      <c r="N2121" s="55" t="str">
        <f>IF(A2121="","",IFERROR(INDEX('Cluster Map'!$A$4:$A$38,MATCH(M2121,'Cluster Map'!$B$4:$B$38,0)),"Unmapped"))</f>
        <v/>
      </c>
      <c r="O2121" s="55">
        <f>IF(A2121="",0,IF(COUNTIFS($A$2:A2121,A2121,$F$2:F2121,F2121,$L$2:L2121,L2121)=1,1,0))</f>
        <v>0</v>
      </c>
      <c r="P2121" s="55">
        <f>IF(A2121="",0,IF(AND(F2121="C&amp;T",COUNTIFS($A$2:A2121,A2121,$F$2:F2121,"C&amp;T")=1),1,0))</f>
        <v>0</v>
      </c>
    </row>
    <row r="2122" spans="1:16" x14ac:dyDescent="0.35">
      <c r="A2122" s="54" t="str">
        <f>IFERROR(IF(INDEX(SPOT_Import!$A$1:$Z$2488,2122,'Live Data'!$C$12)="","",INDEX(SPOT_Import!$A$1:$Z$2488,2122,'Live Data'!$C$12)),"")</f>
        <v/>
      </c>
      <c r="B2122" s="54" t="str">
        <f>IFERROR(IF(INDEX(SPOT_Import!$A$1:$Z$2488,2122,'Live Data'!$C$13)="","",INDEX(SPOT_Import!$A$1:$Z$2488,2122,'Live Data'!$C$13)),"")</f>
        <v/>
      </c>
      <c r="C2122" s="54" t="str">
        <f>IFERROR(IF(INDEX(SPOT_Import!$A$1:$Z$2488,2122,'Live Data'!$C$14)="","",INDEX(SPOT_Import!$A$1:$Z$2488,2122,'Live Data'!$C$14)),"")</f>
        <v/>
      </c>
      <c r="D2122" s="54" t="str">
        <f>IFERROR(IF(INDEX(SPOT_Import!$A$1:$Z$2488,2122,'Live Data'!$C$15)="","",INDEX(SPOT_Import!$A$1:$Z$2488,2122,'Live Data'!$C$15)),"")</f>
        <v/>
      </c>
      <c r="E2122" s="54" t="str">
        <f>IFERROR(IF(INDEX(SPOT_Import!$A$1:$Z$2488,2122,'Live Data'!$C$16)="","",INDEX(SPOT_Import!$A$1:$Z$2488,2122,'Live Data'!$C$16)),"")</f>
        <v/>
      </c>
      <c r="F2122" s="54" t="str">
        <f>IFERROR(IF(INDEX(SPOT_Import!$A$1:$Z$2488,2122,'Live Data'!$C$17)="","",INDEX(SPOT_Import!$A$1:$Z$2488,2122,'Live Data'!$C$17)),"")</f>
        <v/>
      </c>
      <c r="G2122" s="54" t="str">
        <f>IFERROR(IF(INDEX(SPOT_Import!$A$1:$Z$2488,2122,'Live Data'!$C$18)="","",INDEX(SPOT_Import!$A$1:$Z$2488,2122,'Live Data'!$C$18)),"")</f>
        <v/>
      </c>
      <c r="H2122" s="54" t="str">
        <f>IFERROR(IF(INDEX(SPOT_Import!$A$1:$Z$2488,2122,'Live Data'!$C$19)="","",INDEX(SPOT_Import!$A$1:$Z$2488,2122,'Live Data'!$C$19)),"")</f>
        <v/>
      </c>
      <c r="I2122" s="54" t="str">
        <f>IFERROR(IF(INDEX(SPOT_Import!$A$1:$Z$2488,2122,'Live Data'!$C$20)="","",INDEX(SPOT_Import!$A$1:$Z$2488,2122,'Live Data'!$C$20)),"")</f>
        <v/>
      </c>
      <c r="J2122" s="54" t="str">
        <f>IFERROR(IF(INDEX(SPOT_Import!$A$1:$Z$2488,2122,'Live Data'!$C$21)="","",INDEX(SPOT_Import!$A$1:$Z$2488,2122,'Live Data'!$C$21)),"")</f>
        <v/>
      </c>
      <c r="K2122" s="54" t="str">
        <f>IFERROR(IF(INDEX(SPOT_Import!$A$1:$Z$2488,2122,'Live Data'!$C$22)="","",INDEX(SPOT_Import!$A$1:$Z$2488,2122,'Live Data'!$C$22)),"")</f>
        <v/>
      </c>
      <c r="L2122" s="55" t="str">
        <f t="shared" si="66"/>
        <v/>
      </c>
      <c r="M2122" s="55" t="str">
        <f t="shared" si="67"/>
        <v/>
      </c>
      <c r="N2122" s="55" t="str">
        <f>IF(A2122="","",IFERROR(INDEX('Cluster Map'!$A$4:$A$38,MATCH(M2122,'Cluster Map'!$B$4:$B$38,0)),"Unmapped"))</f>
        <v/>
      </c>
      <c r="O2122" s="55">
        <f>IF(A2122="",0,IF(COUNTIFS($A$2:A2122,A2122,$F$2:F2122,F2122,$L$2:L2122,L2122)=1,1,0))</f>
        <v>0</v>
      </c>
      <c r="P2122" s="55">
        <f>IF(A2122="",0,IF(AND(F2122="C&amp;T",COUNTIFS($A$2:A2122,A2122,$F$2:F2122,"C&amp;T")=1),1,0))</f>
        <v>0</v>
      </c>
    </row>
    <row r="2123" spans="1:16" x14ac:dyDescent="0.35">
      <c r="A2123" s="54" t="str">
        <f>IFERROR(IF(INDEX(SPOT_Import!$A$1:$Z$2488,2123,'Live Data'!$C$12)="","",INDEX(SPOT_Import!$A$1:$Z$2488,2123,'Live Data'!$C$12)),"")</f>
        <v/>
      </c>
      <c r="B2123" s="54" t="str">
        <f>IFERROR(IF(INDEX(SPOT_Import!$A$1:$Z$2488,2123,'Live Data'!$C$13)="","",INDEX(SPOT_Import!$A$1:$Z$2488,2123,'Live Data'!$C$13)),"")</f>
        <v/>
      </c>
      <c r="C2123" s="54" t="str">
        <f>IFERROR(IF(INDEX(SPOT_Import!$A$1:$Z$2488,2123,'Live Data'!$C$14)="","",INDEX(SPOT_Import!$A$1:$Z$2488,2123,'Live Data'!$C$14)),"")</f>
        <v/>
      </c>
      <c r="D2123" s="54" t="str">
        <f>IFERROR(IF(INDEX(SPOT_Import!$A$1:$Z$2488,2123,'Live Data'!$C$15)="","",INDEX(SPOT_Import!$A$1:$Z$2488,2123,'Live Data'!$C$15)),"")</f>
        <v/>
      </c>
      <c r="E2123" s="54" t="str">
        <f>IFERROR(IF(INDEX(SPOT_Import!$A$1:$Z$2488,2123,'Live Data'!$C$16)="","",INDEX(SPOT_Import!$A$1:$Z$2488,2123,'Live Data'!$C$16)),"")</f>
        <v/>
      </c>
      <c r="F2123" s="54" t="str">
        <f>IFERROR(IF(INDEX(SPOT_Import!$A$1:$Z$2488,2123,'Live Data'!$C$17)="","",INDEX(SPOT_Import!$A$1:$Z$2488,2123,'Live Data'!$C$17)),"")</f>
        <v/>
      </c>
      <c r="G2123" s="54" t="str">
        <f>IFERROR(IF(INDEX(SPOT_Import!$A$1:$Z$2488,2123,'Live Data'!$C$18)="","",INDEX(SPOT_Import!$A$1:$Z$2488,2123,'Live Data'!$C$18)),"")</f>
        <v/>
      </c>
      <c r="H2123" s="54" t="str">
        <f>IFERROR(IF(INDEX(SPOT_Import!$A$1:$Z$2488,2123,'Live Data'!$C$19)="","",INDEX(SPOT_Import!$A$1:$Z$2488,2123,'Live Data'!$C$19)),"")</f>
        <v/>
      </c>
      <c r="I2123" s="54" t="str">
        <f>IFERROR(IF(INDEX(SPOT_Import!$A$1:$Z$2488,2123,'Live Data'!$C$20)="","",INDEX(SPOT_Import!$A$1:$Z$2488,2123,'Live Data'!$C$20)),"")</f>
        <v/>
      </c>
      <c r="J2123" s="54" t="str">
        <f>IFERROR(IF(INDEX(SPOT_Import!$A$1:$Z$2488,2123,'Live Data'!$C$21)="","",INDEX(SPOT_Import!$A$1:$Z$2488,2123,'Live Data'!$C$21)),"")</f>
        <v/>
      </c>
      <c r="K2123" s="54" t="str">
        <f>IFERROR(IF(INDEX(SPOT_Import!$A$1:$Z$2488,2123,'Live Data'!$C$22)="","",INDEX(SPOT_Import!$A$1:$Z$2488,2123,'Live Data'!$C$22)),"")</f>
        <v/>
      </c>
      <c r="L2123" s="55" t="str">
        <f t="shared" si="66"/>
        <v/>
      </c>
      <c r="M2123" s="55" t="str">
        <f t="shared" si="67"/>
        <v/>
      </c>
      <c r="N2123" s="55" t="str">
        <f>IF(A2123="","",IFERROR(INDEX('Cluster Map'!$A$4:$A$38,MATCH(M2123,'Cluster Map'!$B$4:$B$38,0)),"Unmapped"))</f>
        <v/>
      </c>
      <c r="O2123" s="55">
        <f>IF(A2123="",0,IF(COUNTIFS($A$2:A2123,A2123,$F$2:F2123,F2123,$L$2:L2123,L2123)=1,1,0))</f>
        <v>0</v>
      </c>
      <c r="P2123" s="55">
        <f>IF(A2123="",0,IF(AND(F2123="C&amp;T",COUNTIFS($A$2:A2123,A2123,$F$2:F2123,"C&amp;T")=1),1,0))</f>
        <v>0</v>
      </c>
    </row>
    <row r="2124" spans="1:16" x14ac:dyDescent="0.35">
      <c r="A2124" s="54" t="str">
        <f>IFERROR(IF(INDEX(SPOT_Import!$A$1:$Z$2488,2124,'Live Data'!$C$12)="","",INDEX(SPOT_Import!$A$1:$Z$2488,2124,'Live Data'!$C$12)),"")</f>
        <v/>
      </c>
      <c r="B2124" s="54" t="str">
        <f>IFERROR(IF(INDEX(SPOT_Import!$A$1:$Z$2488,2124,'Live Data'!$C$13)="","",INDEX(SPOT_Import!$A$1:$Z$2488,2124,'Live Data'!$C$13)),"")</f>
        <v/>
      </c>
      <c r="C2124" s="54" t="str">
        <f>IFERROR(IF(INDEX(SPOT_Import!$A$1:$Z$2488,2124,'Live Data'!$C$14)="","",INDEX(SPOT_Import!$A$1:$Z$2488,2124,'Live Data'!$C$14)),"")</f>
        <v/>
      </c>
      <c r="D2124" s="54" t="str">
        <f>IFERROR(IF(INDEX(SPOT_Import!$A$1:$Z$2488,2124,'Live Data'!$C$15)="","",INDEX(SPOT_Import!$A$1:$Z$2488,2124,'Live Data'!$C$15)),"")</f>
        <v/>
      </c>
      <c r="E2124" s="54" t="str">
        <f>IFERROR(IF(INDEX(SPOT_Import!$A$1:$Z$2488,2124,'Live Data'!$C$16)="","",INDEX(SPOT_Import!$A$1:$Z$2488,2124,'Live Data'!$C$16)),"")</f>
        <v/>
      </c>
      <c r="F2124" s="54" t="str">
        <f>IFERROR(IF(INDEX(SPOT_Import!$A$1:$Z$2488,2124,'Live Data'!$C$17)="","",INDEX(SPOT_Import!$A$1:$Z$2488,2124,'Live Data'!$C$17)),"")</f>
        <v/>
      </c>
      <c r="G2124" s="54" t="str">
        <f>IFERROR(IF(INDEX(SPOT_Import!$A$1:$Z$2488,2124,'Live Data'!$C$18)="","",INDEX(SPOT_Import!$A$1:$Z$2488,2124,'Live Data'!$C$18)),"")</f>
        <v/>
      </c>
      <c r="H2124" s="54" t="str">
        <f>IFERROR(IF(INDEX(SPOT_Import!$A$1:$Z$2488,2124,'Live Data'!$C$19)="","",INDEX(SPOT_Import!$A$1:$Z$2488,2124,'Live Data'!$C$19)),"")</f>
        <v/>
      </c>
      <c r="I2124" s="54" t="str">
        <f>IFERROR(IF(INDEX(SPOT_Import!$A$1:$Z$2488,2124,'Live Data'!$C$20)="","",INDEX(SPOT_Import!$A$1:$Z$2488,2124,'Live Data'!$C$20)),"")</f>
        <v/>
      </c>
      <c r="J2124" s="54" t="str">
        <f>IFERROR(IF(INDEX(SPOT_Import!$A$1:$Z$2488,2124,'Live Data'!$C$21)="","",INDEX(SPOT_Import!$A$1:$Z$2488,2124,'Live Data'!$C$21)),"")</f>
        <v/>
      </c>
      <c r="K2124" s="54" t="str">
        <f>IFERROR(IF(INDEX(SPOT_Import!$A$1:$Z$2488,2124,'Live Data'!$C$22)="","",INDEX(SPOT_Import!$A$1:$Z$2488,2124,'Live Data'!$C$22)),"")</f>
        <v/>
      </c>
      <c r="L2124" s="55" t="str">
        <f t="shared" si="66"/>
        <v/>
      </c>
      <c r="M2124" s="55" t="str">
        <f t="shared" si="67"/>
        <v/>
      </c>
      <c r="N2124" s="55" t="str">
        <f>IF(A2124="","",IFERROR(INDEX('Cluster Map'!$A$4:$A$38,MATCH(M2124,'Cluster Map'!$B$4:$B$38,0)),"Unmapped"))</f>
        <v/>
      </c>
      <c r="O2124" s="55">
        <f>IF(A2124="",0,IF(COUNTIFS($A$2:A2124,A2124,$F$2:F2124,F2124,$L$2:L2124,L2124)=1,1,0))</f>
        <v>0</v>
      </c>
      <c r="P2124" s="55">
        <f>IF(A2124="",0,IF(AND(F2124="C&amp;T",COUNTIFS($A$2:A2124,A2124,$F$2:F2124,"C&amp;T")=1),1,0))</f>
        <v>0</v>
      </c>
    </row>
    <row r="2125" spans="1:16" x14ac:dyDescent="0.35">
      <c r="A2125" s="54" t="str">
        <f>IFERROR(IF(INDEX(SPOT_Import!$A$1:$Z$2488,2125,'Live Data'!$C$12)="","",INDEX(SPOT_Import!$A$1:$Z$2488,2125,'Live Data'!$C$12)),"")</f>
        <v/>
      </c>
      <c r="B2125" s="54" t="str">
        <f>IFERROR(IF(INDEX(SPOT_Import!$A$1:$Z$2488,2125,'Live Data'!$C$13)="","",INDEX(SPOT_Import!$A$1:$Z$2488,2125,'Live Data'!$C$13)),"")</f>
        <v/>
      </c>
      <c r="C2125" s="54" t="str">
        <f>IFERROR(IF(INDEX(SPOT_Import!$A$1:$Z$2488,2125,'Live Data'!$C$14)="","",INDEX(SPOT_Import!$A$1:$Z$2488,2125,'Live Data'!$C$14)),"")</f>
        <v/>
      </c>
      <c r="D2125" s="54" t="str">
        <f>IFERROR(IF(INDEX(SPOT_Import!$A$1:$Z$2488,2125,'Live Data'!$C$15)="","",INDEX(SPOT_Import!$A$1:$Z$2488,2125,'Live Data'!$C$15)),"")</f>
        <v/>
      </c>
      <c r="E2125" s="54" t="str">
        <f>IFERROR(IF(INDEX(SPOT_Import!$A$1:$Z$2488,2125,'Live Data'!$C$16)="","",INDEX(SPOT_Import!$A$1:$Z$2488,2125,'Live Data'!$C$16)),"")</f>
        <v/>
      </c>
      <c r="F2125" s="54" t="str">
        <f>IFERROR(IF(INDEX(SPOT_Import!$A$1:$Z$2488,2125,'Live Data'!$C$17)="","",INDEX(SPOT_Import!$A$1:$Z$2488,2125,'Live Data'!$C$17)),"")</f>
        <v/>
      </c>
      <c r="G2125" s="54" t="str">
        <f>IFERROR(IF(INDEX(SPOT_Import!$A$1:$Z$2488,2125,'Live Data'!$C$18)="","",INDEX(SPOT_Import!$A$1:$Z$2488,2125,'Live Data'!$C$18)),"")</f>
        <v/>
      </c>
      <c r="H2125" s="54" t="str">
        <f>IFERROR(IF(INDEX(SPOT_Import!$A$1:$Z$2488,2125,'Live Data'!$C$19)="","",INDEX(SPOT_Import!$A$1:$Z$2488,2125,'Live Data'!$C$19)),"")</f>
        <v/>
      </c>
      <c r="I2125" s="54" t="str">
        <f>IFERROR(IF(INDEX(SPOT_Import!$A$1:$Z$2488,2125,'Live Data'!$C$20)="","",INDEX(SPOT_Import!$A$1:$Z$2488,2125,'Live Data'!$C$20)),"")</f>
        <v/>
      </c>
      <c r="J2125" s="54" t="str">
        <f>IFERROR(IF(INDEX(SPOT_Import!$A$1:$Z$2488,2125,'Live Data'!$C$21)="","",INDEX(SPOT_Import!$A$1:$Z$2488,2125,'Live Data'!$C$21)),"")</f>
        <v/>
      </c>
      <c r="K2125" s="54" t="str">
        <f>IFERROR(IF(INDEX(SPOT_Import!$A$1:$Z$2488,2125,'Live Data'!$C$22)="","",INDEX(SPOT_Import!$A$1:$Z$2488,2125,'Live Data'!$C$22)),"")</f>
        <v/>
      </c>
      <c r="L2125" s="55" t="str">
        <f t="shared" si="66"/>
        <v/>
      </c>
      <c r="M2125" s="55" t="str">
        <f t="shared" si="67"/>
        <v/>
      </c>
      <c r="N2125" s="55" t="str">
        <f>IF(A2125="","",IFERROR(INDEX('Cluster Map'!$A$4:$A$38,MATCH(M2125,'Cluster Map'!$B$4:$B$38,0)),"Unmapped"))</f>
        <v/>
      </c>
      <c r="O2125" s="55">
        <f>IF(A2125="",0,IF(COUNTIFS($A$2:A2125,A2125,$F$2:F2125,F2125,$L$2:L2125,L2125)=1,1,0))</f>
        <v>0</v>
      </c>
      <c r="P2125" s="55">
        <f>IF(A2125="",0,IF(AND(F2125="C&amp;T",COUNTIFS($A$2:A2125,A2125,$F$2:F2125,"C&amp;T")=1),1,0))</f>
        <v>0</v>
      </c>
    </row>
    <row r="2126" spans="1:16" x14ac:dyDescent="0.35">
      <c r="A2126" s="54" t="str">
        <f>IFERROR(IF(INDEX(SPOT_Import!$A$1:$Z$2488,2126,'Live Data'!$C$12)="","",INDEX(SPOT_Import!$A$1:$Z$2488,2126,'Live Data'!$C$12)),"")</f>
        <v/>
      </c>
      <c r="B2126" s="54" t="str">
        <f>IFERROR(IF(INDEX(SPOT_Import!$A$1:$Z$2488,2126,'Live Data'!$C$13)="","",INDEX(SPOT_Import!$A$1:$Z$2488,2126,'Live Data'!$C$13)),"")</f>
        <v/>
      </c>
      <c r="C2126" s="54" t="str">
        <f>IFERROR(IF(INDEX(SPOT_Import!$A$1:$Z$2488,2126,'Live Data'!$C$14)="","",INDEX(SPOT_Import!$A$1:$Z$2488,2126,'Live Data'!$C$14)),"")</f>
        <v/>
      </c>
      <c r="D2126" s="54" t="str">
        <f>IFERROR(IF(INDEX(SPOT_Import!$A$1:$Z$2488,2126,'Live Data'!$C$15)="","",INDEX(SPOT_Import!$A$1:$Z$2488,2126,'Live Data'!$C$15)),"")</f>
        <v/>
      </c>
      <c r="E2126" s="54" t="str">
        <f>IFERROR(IF(INDEX(SPOT_Import!$A$1:$Z$2488,2126,'Live Data'!$C$16)="","",INDEX(SPOT_Import!$A$1:$Z$2488,2126,'Live Data'!$C$16)),"")</f>
        <v/>
      </c>
      <c r="F2126" s="54" t="str">
        <f>IFERROR(IF(INDEX(SPOT_Import!$A$1:$Z$2488,2126,'Live Data'!$C$17)="","",INDEX(SPOT_Import!$A$1:$Z$2488,2126,'Live Data'!$C$17)),"")</f>
        <v/>
      </c>
      <c r="G2126" s="54" t="str">
        <f>IFERROR(IF(INDEX(SPOT_Import!$A$1:$Z$2488,2126,'Live Data'!$C$18)="","",INDEX(SPOT_Import!$A$1:$Z$2488,2126,'Live Data'!$C$18)),"")</f>
        <v/>
      </c>
      <c r="H2126" s="54" t="str">
        <f>IFERROR(IF(INDEX(SPOT_Import!$A$1:$Z$2488,2126,'Live Data'!$C$19)="","",INDEX(SPOT_Import!$A$1:$Z$2488,2126,'Live Data'!$C$19)),"")</f>
        <v/>
      </c>
      <c r="I2126" s="54" t="str">
        <f>IFERROR(IF(INDEX(SPOT_Import!$A$1:$Z$2488,2126,'Live Data'!$C$20)="","",INDEX(SPOT_Import!$A$1:$Z$2488,2126,'Live Data'!$C$20)),"")</f>
        <v/>
      </c>
      <c r="J2126" s="54" t="str">
        <f>IFERROR(IF(INDEX(SPOT_Import!$A$1:$Z$2488,2126,'Live Data'!$C$21)="","",INDEX(SPOT_Import!$A$1:$Z$2488,2126,'Live Data'!$C$21)),"")</f>
        <v/>
      </c>
      <c r="K2126" s="54" t="str">
        <f>IFERROR(IF(INDEX(SPOT_Import!$A$1:$Z$2488,2126,'Live Data'!$C$22)="","",INDEX(SPOT_Import!$A$1:$Z$2488,2126,'Live Data'!$C$22)),"")</f>
        <v/>
      </c>
      <c r="L2126" s="55" t="str">
        <f t="shared" si="66"/>
        <v/>
      </c>
      <c r="M2126" s="55" t="str">
        <f t="shared" si="67"/>
        <v/>
      </c>
      <c r="N2126" s="55" t="str">
        <f>IF(A2126="","",IFERROR(INDEX('Cluster Map'!$A$4:$A$38,MATCH(M2126,'Cluster Map'!$B$4:$B$38,0)),"Unmapped"))</f>
        <v/>
      </c>
      <c r="O2126" s="55">
        <f>IF(A2126="",0,IF(COUNTIFS($A$2:A2126,A2126,$F$2:F2126,F2126,$L$2:L2126,L2126)=1,1,0))</f>
        <v>0</v>
      </c>
      <c r="P2126" s="55">
        <f>IF(A2126="",0,IF(AND(F2126="C&amp;T",COUNTIFS($A$2:A2126,A2126,$F$2:F2126,"C&amp;T")=1),1,0))</f>
        <v>0</v>
      </c>
    </row>
    <row r="2127" spans="1:16" x14ac:dyDescent="0.35">
      <c r="A2127" s="54" t="str">
        <f>IFERROR(IF(INDEX(SPOT_Import!$A$1:$Z$2488,2127,'Live Data'!$C$12)="","",INDEX(SPOT_Import!$A$1:$Z$2488,2127,'Live Data'!$C$12)),"")</f>
        <v/>
      </c>
      <c r="B2127" s="54" t="str">
        <f>IFERROR(IF(INDEX(SPOT_Import!$A$1:$Z$2488,2127,'Live Data'!$C$13)="","",INDEX(SPOT_Import!$A$1:$Z$2488,2127,'Live Data'!$C$13)),"")</f>
        <v/>
      </c>
      <c r="C2127" s="54" t="str">
        <f>IFERROR(IF(INDEX(SPOT_Import!$A$1:$Z$2488,2127,'Live Data'!$C$14)="","",INDEX(SPOT_Import!$A$1:$Z$2488,2127,'Live Data'!$C$14)),"")</f>
        <v/>
      </c>
      <c r="D2127" s="54" t="str">
        <f>IFERROR(IF(INDEX(SPOT_Import!$A$1:$Z$2488,2127,'Live Data'!$C$15)="","",INDEX(SPOT_Import!$A$1:$Z$2488,2127,'Live Data'!$C$15)),"")</f>
        <v/>
      </c>
      <c r="E2127" s="54" t="str">
        <f>IFERROR(IF(INDEX(SPOT_Import!$A$1:$Z$2488,2127,'Live Data'!$C$16)="","",INDEX(SPOT_Import!$A$1:$Z$2488,2127,'Live Data'!$C$16)),"")</f>
        <v/>
      </c>
      <c r="F2127" s="54" t="str">
        <f>IFERROR(IF(INDEX(SPOT_Import!$A$1:$Z$2488,2127,'Live Data'!$C$17)="","",INDEX(SPOT_Import!$A$1:$Z$2488,2127,'Live Data'!$C$17)),"")</f>
        <v/>
      </c>
      <c r="G2127" s="54" t="str">
        <f>IFERROR(IF(INDEX(SPOT_Import!$A$1:$Z$2488,2127,'Live Data'!$C$18)="","",INDEX(SPOT_Import!$A$1:$Z$2488,2127,'Live Data'!$C$18)),"")</f>
        <v/>
      </c>
      <c r="H2127" s="54" t="str">
        <f>IFERROR(IF(INDEX(SPOT_Import!$A$1:$Z$2488,2127,'Live Data'!$C$19)="","",INDEX(SPOT_Import!$A$1:$Z$2488,2127,'Live Data'!$C$19)),"")</f>
        <v/>
      </c>
      <c r="I2127" s="54" t="str">
        <f>IFERROR(IF(INDEX(SPOT_Import!$A$1:$Z$2488,2127,'Live Data'!$C$20)="","",INDEX(SPOT_Import!$A$1:$Z$2488,2127,'Live Data'!$C$20)),"")</f>
        <v/>
      </c>
      <c r="J2127" s="54" t="str">
        <f>IFERROR(IF(INDEX(SPOT_Import!$A$1:$Z$2488,2127,'Live Data'!$C$21)="","",INDEX(SPOT_Import!$A$1:$Z$2488,2127,'Live Data'!$C$21)),"")</f>
        <v/>
      </c>
      <c r="K2127" s="54" t="str">
        <f>IFERROR(IF(INDEX(SPOT_Import!$A$1:$Z$2488,2127,'Live Data'!$C$22)="","",INDEX(SPOT_Import!$A$1:$Z$2488,2127,'Live Data'!$C$22)),"")</f>
        <v/>
      </c>
      <c r="L2127" s="55" t="str">
        <f t="shared" si="66"/>
        <v/>
      </c>
      <c r="M2127" s="55" t="str">
        <f t="shared" si="67"/>
        <v/>
      </c>
      <c r="N2127" s="55" t="str">
        <f>IF(A2127="","",IFERROR(INDEX('Cluster Map'!$A$4:$A$38,MATCH(M2127,'Cluster Map'!$B$4:$B$38,0)),"Unmapped"))</f>
        <v/>
      </c>
      <c r="O2127" s="55">
        <f>IF(A2127="",0,IF(COUNTIFS($A$2:A2127,A2127,$F$2:F2127,F2127,$L$2:L2127,L2127)=1,1,0))</f>
        <v>0</v>
      </c>
      <c r="P2127" s="55">
        <f>IF(A2127="",0,IF(AND(F2127="C&amp;T",COUNTIFS($A$2:A2127,A2127,$F$2:F2127,"C&amp;T")=1),1,0))</f>
        <v>0</v>
      </c>
    </row>
    <row r="2128" spans="1:16" x14ac:dyDescent="0.35">
      <c r="A2128" s="54" t="str">
        <f>IFERROR(IF(INDEX(SPOT_Import!$A$1:$Z$2488,2128,'Live Data'!$C$12)="","",INDEX(SPOT_Import!$A$1:$Z$2488,2128,'Live Data'!$C$12)),"")</f>
        <v/>
      </c>
      <c r="B2128" s="54" t="str">
        <f>IFERROR(IF(INDEX(SPOT_Import!$A$1:$Z$2488,2128,'Live Data'!$C$13)="","",INDEX(SPOT_Import!$A$1:$Z$2488,2128,'Live Data'!$C$13)),"")</f>
        <v/>
      </c>
      <c r="C2128" s="54" t="str">
        <f>IFERROR(IF(INDEX(SPOT_Import!$A$1:$Z$2488,2128,'Live Data'!$C$14)="","",INDEX(SPOT_Import!$A$1:$Z$2488,2128,'Live Data'!$C$14)),"")</f>
        <v/>
      </c>
      <c r="D2128" s="54" t="str">
        <f>IFERROR(IF(INDEX(SPOT_Import!$A$1:$Z$2488,2128,'Live Data'!$C$15)="","",INDEX(SPOT_Import!$A$1:$Z$2488,2128,'Live Data'!$C$15)),"")</f>
        <v/>
      </c>
      <c r="E2128" s="54" t="str">
        <f>IFERROR(IF(INDEX(SPOT_Import!$A$1:$Z$2488,2128,'Live Data'!$C$16)="","",INDEX(SPOT_Import!$A$1:$Z$2488,2128,'Live Data'!$C$16)),"")</f>
        <v/>
      </c>
      <c r="F2128" s="54" t="str">
        <f>IFERROR(IF(INDEX(SPOT_Import!$A$1:$Z$2488,2128,'Live Data'!$C$17)="","",INDEX(SPOT_Import!$A$1:$Z$2488,2128,'Live Data'!$C$17)),"")</f>
        <v/>
      </c>
      <c r="G2128" s="54" t="str">
        <f>IFERROR(IF(INDEX(SPOT_Import!$A$1:$Z$2488,2128,'Live Data'!$C$18)="","",INDEX(SPOT_Import!$A$1:$Z$2488,2128,'Live Data'!$C$18)),"")</f>
        <v/>
      </c>
      <c r="H2128" s="54" t="str">
        <f>IFERROR(IF(INDEX(SPOT_Import!$A$1:$Z$2488,2128,'Live Data'!$C$19)="","",INDEX(SPOT_Import!$A$1:$Z$2488,2128,'Live Data'!$C$19)),"")</f>
        <v/>
      </c>
      <c r="I2128" s="54" t="str">
        <f>IFERROR(IF(INDEX(SPOT_Import!$A$1:$Z$2488,2128,'Live Data'!$C$20)="","",INDEX(SPOT_Import!$A$1:$Z$2488,2128,'Live Data'!$C$20)),"")</f>
        <v/>
      </c>
      <c r="J2128" s="54" t="str">
        <f>IFERROR(IF(INDEX(SPOT_Import!$A$1:$Z$2488,2128,'Live Data'!$C$21)="","",INDEX(SPOT_Import!$A$1:$Z$2488,2128,'Live Data'!$C$21)),"")</f>
        <v/>
      </c>
      <c r="K2128" s="54" t="str">
        <f>IFERROR(IF(INDEX(SPOT_Import!$A$1:$Z$2488,2128,'Live Data'!$C$22)="","",INDEX(SPOT_Import!$A$1:$Z$2488,2128,'Live Data'!$C$22)),"")</f>
        <v/>
      </c>
      <c r="L2128" s="55" t="str">
        <f t="shared" si="66"/>
        <v/>
      </c>
      <c r="M2128" s="55" t="str">
        <f t="shared" si="67"/>
        <v/>
      </c>
      <c r="N2128" s="55" t="str">
        <f>IF(A2128="","",IFERROR(INDEX('Cluster Map'!$A$4:$A$38,MATCH(M2128,'Cluster Map'!$B$4:$B$38,0)),"Unmapped"))</f>
        <v/>
      </c>
      <c r="O2128" s="55">
        <f>IF(A2128="",0,IF(COUNTIFS($A$2:A2128,A2128,$F$2:F2128,F2128,$L$2:L2128,L2128)=1,1,0))</f>
        <v>0</v>
      </c>
      <c r="P2128" s="55">
        <f>IF(A2128="",0,IF(AND(F2128="C&amp;T",COUNTIFS($A$2:A2128,A2128,$F$2:F2128,"C&amp;T")=1),1,0))</f>
        <v>0</v>
      </c>
    </row>
    <row r="2129" spans="1:16" x14ac:dyDescent="0.35">
      <c r="A2129" s="54" t="str">
        <f>IFERROR(IF(INDEX(SPOT_Import!$A$1:$Z$2488,2129,'Live Data'!$C$12)="","",INDEX(SPOT_Import!$A$1:$Z$2488,2129,'Live Data'!$C$12)),"")</f>
        <v/>
      </c>
      <c r="B2129" s="54" t="str">
        <f>IFERROR(IF(INDEX(SPOT_Import!$A$1:$Z$2488,2129,'Live Data'!$C$13)="","",INDEX(SPOT_Import!$A$1:$Z$2488,2129,'Live Data'!$C$13)),"")</f>
        <v/>
      </c>
      <c r="C2129" s="54" t="str">
        <f>IFERROR(IF(INDEX(SPOT_Import!$A$1:$Z$2488,2129,'Live Data'!$C$14)="","",INDEX(SPOT_Import!$A$1:$Z$2488,2129,'Live Data'!$C$14)),"")</f>
        <v/>
      </c>
      <c r="D2129" s="54" t="str">
        <f>IFERROR(IF(INDEX(SPOT_Import!$A$1:$Z$2488,2129,'Live Data'!$C$15)="","",INDEX(SPOT_Import!$A$1:$Z$2488,2129,'Live Data'!$C$15)),"")</f>
        <v/>
      </c>
      <c r="E2129" s="54" t="str">
        <f>IFERROR(IF(INDEX(SPOT_Import!$A$1:$Z$2488,2129,'Live Data'!$C$16)="","",INDEX(SPOT_Import!$A$1:$Z$2488,2129,'Live Data'!$C$16)),"")</f>
        <v/>
      </c>
      <c r="F2129" s="54" t="str">
        <f>IFERROR(IF(INDEX(SPOT_Import!$A$1:$Z$2488,2129,'Live Data'!$C$17)="","",INDEX(SPOT_Import!$A$1:$Z$2488,2129,'Live Data'!$C$17)),"")</f>
        <v/>
      </c>
      <c r="G2129" s="54" t="str">
        <f>IFERROR(IF(INDEX(SPOT_Import!$A$1:$Z$2488,2129,'Live Data'!$C$18)="","",INDEX(SPOT_Import!$A$1:$Z$2488,2129,'Live Data'!$C$18)),"")</f>
        <v/>
      </c>
      <c r="H2129" s="54" t="str">
        <f>IFERROR(IF(INDEX(SPOT_Import!$A$1:$Z$2488,2129,'Live Data'!$C$19)="","",INDEX(SPOT_Import!$A$1:$Z$2488,2129,'Live Data'!$C$19)),"")</f>
        <v/>
      </c>
      <c r="I2129" s="54" t="str">
        <f>IFERROR(IF(INDEX(SPOT_Import!$A$1:$Z$2488,2129,'Live Data'!$C$20)="","",INDEX(SPOT_Import!$A$1:$Z$2488,2129,'Live Data'!$C$20)),"")</f>
        <v/>
      </c>
      <c r="J2129" s="54" t="str">
        <f>IFERROR(IF(INDEX(SPOT_Import!$A$1:$Z$2488,2129,'Live Data'!$C$21)="","",INDEX(SPOT_Import!$A$1:$Z$2488,2129,'Live Data'!$C$21)),"")</f>
        <v/>
      </c>
      <c r="K2129" s="54" t="str">
        <f>IFERROR(IF(INDEX(SPOT_Import!$A$1:$Z$2488,2129,'Live Data'!$C$22)="","",INDEX(SPOT_Import!$A$1:$Z$2488,2129,'Live Data'!$C$22)),"")</f>
        <v/>
      </c>
      <c r="L2129" s="55" t="str">
        <f t="shared" si="66"/>
        <v/>
      </c>
      <c r="M2129" s="55" t="str">
        <f t="shared" si="67"/>
        <v/>
      </c>
      <c r="N2129" s="55" t="str">
        <f>IF(A2129="","",IFERROR(INDEX('Cluster Map'!$A$4:$A$38,MATCH(M2129,'Cluster Map'!$B$4:$B$38,0)),"Unmapped"))</f>
        <v/>
      </c>
      <c r="O2129" s="55">
        <f>IF(A2129="",0,IF(COUNTIFS($A$2:A2129,A2129,$F$2:F2129,F2129,$L$2:L2129,L2129)=1,1,0))</f>
        <v>0</v>
      </c>
      <c r="P2129" s="55">
        <f>IF(A2129="",0,IF(AND(F2129="C&amp;T",COUNTIFS($A$2:A2129,A2129,$F$2:F2129,"C&amp;T")=1),1,0))</f>
        <v>0</v>
      </c>
    </row>
    <row r="2130" spans="1:16" x14ac:dyDescent="0.35">
      <c r="A2130" s="54" t="str">
        <f>IFERROR(IF(INDEX(SPOT_Import!$A$1:$Z$2488,2130,'Live Data'!$C$12)="","",INDEX(SPOT_Import!$A$1:$Z$2488,2130,'Live Data'!$C$12)),"")</f>
        <v/>
      </c>
      <c r="B2130" s="54" t="str">
        <f>IFERROR(IF(INDEX(SPOT_Import!$A$1:$Z$2488,2130,'Live Data'!$C$13)="","",INDEX(SPOT_Import!$A$1:$Z$2488,2130,'Live Data'!$C$13)),"")</f>
        <v/>
      </c>
      <c r="C2130" s="54" t="str">
        <f>IFERROR(IF(INDEX(SPOT_Import!$A$1:$Z$2488,2130,'Live Data'!$C$14)="","",INDEX(SPOT_Import!$A$1:$Z$2488,2130,'Live Data'!$C$14)),"")</f>
        <v/>
      </c>
      <c r="D2130" s="54" t="str">
        <f>IFERROR(IF(INDEX(SPOT_Import!$A$1:$Z$2488,2130,'Live Data'!$C$15)="","",INDEX(SPOT_Import!$A$1:$Z$2488,2130,'Live Data'!$C$15)),"")</f>
        <v/>
      </c>
      <c r="E2130" s="54" t="str">
        <f>IFERROR(IF(INDEX(SPOT_Import!$A$1:$Z$2488,2130,'Live Data'!$C$16)="","",INDEX(SPOT_Import!$A$1:$Z$2488,2130,'Live Data'!$C$16)),"")</f>
        <v/>
      </c>
      <c r="F2130" s="54" t="str">
        <f>IFERROR(IF(INDEX(SPOT_Import!$A$1:$Z$2488,2130,'Live Data'!$C$17)="","",INDEX(SPOT_Import!$A$1:$Z$2488,2130,'Live Data'!$C$17)),"")</f>
        <v/>
      </c>
      <c r="G2130" s="54" t="str">
        <f>IFERROR(IF(INDEX(SPOT_Import!$A$1:$Z$2488,2130,'Live Data'!$C$18)="","",INDEX(SPOT_Import!$A$1:$Z$2488,2130,'Live Data'!$C$18)),"")</f>
        <v/>
      </c>
      <c r="H2130" s="54" t="str">
        <f>IFERROR(IF(INDEX(SPOT_Import!$A$1:$Z$2488,2130,'Live Data'!$C$19)="","",INDEX(SPOT_Import!$A$1:$Z$2488,2130,'Live Data'!$C$19)),"")</f>
        <v/>
      </c>
      <c r="I2130" s="54" t="str">
        <f>IFERROR(IF(INDEX(SPOT_Import!$A$1:$Z$2488,2130,'Live Data'!$C$20)="","",INDEX(SPOT_Import!$A$1:$Z$2488,2130,'Live Data'!$C$20)),"")</f>
        <v/>
      </c>
      <c r="J2130" s="54" t="str">
        <f>IFERROR(IF(INDEX(SPOT_Import!$A$1:$Z$2488,2130,'Live Data'!$C$21)="","",INDEX(SPOT_Import!$A$1:$Z$2488,2130,'Live Data'!$C$21)),"")</f>
        <v/>
      </c>
      <c r="K2130" s="54" t="str">
        <f>IFERROR(IF(INDEX(SPOT_Import!$A$1:$Z$2488,2130,'Live Data'!$C$22)="","",INDEX(SPOT_Import!$A$1:$Z$2488,2130,'Live Data'!$C$22)),"")</f>
        <v/>
      </c>
      <c r="L2130" s="55" t="str">
        <f t="shared" si="66"/>
        <v/>
      </c>
      <c r="M2130" s="55" t="str">
        <f t="shared" si="67"/>
        <v/>
      </c>
      <c r="N2130" s="55" t="str">
        <f>IF(A2130="","",IFERROR(INDEX('Cluster Map'!$A$4:$A$38,MATCH(M2130,'Cluster Map'!$B$4:$B$38,0)),"Unmapped"))</f>
        <v/>
      </c>
      <c r="O2130" s="55">
        <f>IF(A2130="",0,IF(COUNTIFS($A$2:A2130,A2130,$F$2:F2130,F2130,$L$2:L2130,L2130)=1,1,0))</f>
        <v>0</v>
      </c>
      <c r="P2130" s="55">
        <f>IF(A2130="",0,IF(AND(F2130="C&amp;T",COUNTIFS($A$2:A2130,A2130,$F$2:F2130,"C&amp;T")=1),1,0))</f>
        <v>0</v>
      </c>
    </row>
    <row r="2131" spans="1:16" x14ac:dyDescent="0.35">
      <c r="A2131" s="54" t="str">
        <f>IFERROR(IF(INDEX(SPOT_Import!$A$1:$Z$2488,2131,'Live Data'!$C$12)="","",INDEX(SPOT_Import!$A$1:$Z$2488,2131,'Live Data'!$C$12)),"")</f>
        <v/>
      </c>
      <c r="B2131" s="54" t="str">
        <f>IFERROR(IF(INDEX(SPOT_Import!$A$1:$Z$2488,2131,'Live Data'!$C$13)="","",INDEX(SPOT_Import!$A$1:$Z$2488,2131,'Live Data'!$C$13)),"")</f>
        <v/>
      </c>
      <c r="C2131" s="54" t="str">
        <f>IFERROR(IF(INDEX(SPOT_Import!$A$1:$Z$2488,2131,'Live Data'!$C$14)="","",INDEX(SPOT_Import!$A$1:$Z$2488,2131,'Live Data'!$C$14)),"")</f>
        <v/>
      </c>
      <c r="D2131" s="54" t="str">
        <f>IFERROR(IF(INDEX(SPOT_Import!$A$1:$Z$2488,2131,'Live Data'!$C$15)="","",INDEX(SPOT_Import!$A$1:$Z$2488,2131,'Live Data'!$C$15)),"")</f>
        <v/>
      </c>
      <c r="E2131" s="54" t="str">
        <f>IFERROR(IF(INDEX(SPOT_Import!$A$1:$Z$2488,2131,'Live Data'!$C$16)="","",INDEX(SPOT_Import!$A$1:$Z$2488,2131,'Live Data'!$C$16)),"")</f>
        <v/>
      </c>
      <c r="F2131" s="54" t="str">
        <f>IFERROR(IF(INDEX(SPOT_Import!$A$1:$Z$2488,2131,'Live Data'!$C$17)="","",INDEX(SPOT_Import!$A$1:$Z$2488,2131,'Live Data'!$C$17)),"")</f>
        <v/>
      </c>
      <c r="G2131" s="54" t="str">
        <f>IFERROR(IF(INDEX(SPOT_Import!$A$1:$Z$2488,2131,'Live Data'!$C$18)="","",INDEX(SPOT_Import!$A$1:$Z$2488,2131,'Live Data'!$C$18)),"")</f>
        <v/>
      </c>
      <c r="H2131" s="54" t="str">
        <f>IFERROR(IF(INDEX(SPOT_Import!$A$1:$Z$2488,2131,'Live Data'!$C$19)="","",INDEX(SPOT_Import!$A$1:$Z$2488,2131,'Live Data'!$C$19)),"")</f>
        <v/>
      </c>
      <c r="I2131" s="54" t="str">
        <f>IFERROR(IF(INDEX(SPOT_Import!$A$1:$Z$2488,2131,'Live Data'!$C$20)="","",INDEX(SPOT_Import!$A$1:$Z$2488,2131,'Live Data'!$C$20)),"")</f>
        <v/>
      </c>
      <c r="J2131" s="54" t="str">
        <f>IFERROR(IF(INDEX(SPOT_Import!$A$1:$Z$2488,2131,'Live Data'!$C$21)="","",INDEX(SPOT_Import!$A$1:$Z$2488,2131,'Live Data'!$C$21)),"")</f>
        <v/>
      </c>
      <c r="K2131" s="54" t="str">
        <f>IFERROR(IF(INDEX(SPOT_Import!$A$1:$Z$2488,2131,'Live Data'!$C$22)="","",INDEX(SPOT_Import!$A$1:$Z$2488,2131,'Live Data'!$C$22)),"")</f>
        <v/>
      </c>
      <c r="L2131" s="55" t="str">
        <f t="shared" si="66"/>
        <v/>
      </c>
      <c r="M2131" s="55" t="str">
        <f t="shared" si="67"/>
        <v/>
      </c>
      <c r="N2131" s="55" t="str">
        <f>IF(A2131="","",IFERROR(INDEX('Cluster Map'!$A$4:$A$38,MATCH(M2131,'Cluster Map'!$B$4:$B$38,0)),"Unmapped"))</f>
        <v/>
      </c>
      <c r="O2131" s="55">
        <f>IF(A2131="",0,IF(COUNTIFS($A$2:A2131,A2131,$F$2:F2131,F2131,$L$2:L2131,L2131)=1,1,0))</f>
        <v>0</v>
      </c>
      <c r="P2131" s="55">
        <f>IF(A2131="",0,IF(AND(F2131="C&amp;T",COUNTIFS($A$2:A2131,A2131,$F$2:F2131,"C&amp;T")=1),1,0))</f>
        <v>0</v>
      </c>
    </row>
    <row r="2132" spans="1:16" x14ac:dyDescent="0.35">
      <c r="A2132" s="54" t="str">
        <f>IFERROR(IF(INDEX(SPOT_Import!$A$1:$Z$2488,2132,'Live Data'!$C$12)="","",INDEX(SPOT_Import!$A$1:$Z$2488,2132,'Live Data'!$C$12)),"")</f>
        <v/>
      </c>
      <c r="B2132" s="54" t="str">
        <f>IFERROR(IF(INDEX(SPOT_Import!$A$1:$Z$2488,2132,'Live Data'!$C$13)="","",INDEX(SPOT_Import!$A$1:$Z$2488,2132,'Live Data'!$C$13)),"")</f>
        <v/>
      </c>
      <c r="C2132" s="54" t="str">
        <f>IFERROR(IF(INDEX(SPOT_Import!$A$1:$Z$2488,2132,'Live Data'!$C$14)="","",INDEX(SPOT_Import!$A$1:$Z$2488,2132,'Live Data'!$C$14)),"")</f>
        <v/>
      </c>
      <c r="D2132" s="54" t="str">
        <f>IFERROR(IF(INDEX(SPOT_Import!$A$1:$Z$2488,2132,'Live Data'!$C$15)="","",INDEX(SPOT_Import!$A$1:$Z$2488,2132,'Live Data'!$C$15)),"")</f>
        <v/>
      </c>
      <c r="E2132" s="54" t="str">
        <f>IFERROR(IF(INDEX(SPOT_Import!$A$1:$Z$2488,2132,'Live Data'!$C$16)="","",INDEX(SPOT_Import!$A$1:$Z$2488,2132,'Live Data'!$C$16)),"")</f>
        <v/>
      </c>
      <c r="F2132" s="54" t="str">
        <f>IFERROR(IF(INDEX(SPOT_Import!$A$1:$Z$2488,2132,'Live Data'!$C$17)="","",INDEX(SPOT_Import!$A$1:$Z$2488,2132,'Live Data'!$C$17)),"")</f>
        <v/>
      </c>
      <c r="G2132" s="54" t="str">
        <f>IFERROR(IF(INDEX(SPOT_Import!$A$1:$Z$2488,2132,'Live Data'!$C$18)="","",INDEX(SPOT_Import!$A$1:$Z$2488,2132,'Live Data'!$C$18)),"")</f>
        <v/>
      </c>
      <c r="H2132" s="54" t="str">
        <f>IFERROR(IF(INDEX(SPOT_Import!$A$1:$Z$2488,2132,'Live Data'!$C$19)="","",INDEX(SPOT_Import!$A$1:$Z$2488,2132,'Live Data'!$C$19)),"")</f>
        <v/>
      </c>
      <c r="I2132" s="54" t="str">
        <f>IFERROR(IF(INDEX(SPOT_Import!$A$1:$Z$2488,2132,'Live Data'!$C$20)="","",INDEX(SPOT_Import!$A$1:$Z$2488,2132,'Live Data'!$C$20)),"")</f>
        <v/>
      </c>
      <c r="J2132" s="54" t="str">
        <f>IFERROR(IF(INDEX(SPOT_Import!$A$1:$Z$2488,2132,'Live Data'!$C$21)="","",INDEX(SPOT_Import!$A$1:$Z$2488,2132,'Live Data'!$C$21)),"")</f>
        <v/>
      </c>
      <c r="K2132" s="54" t="str">
        <f>IFERROR(IF(INDEX(SPOT_Import!$A$1:$Z$2488,2132,'Live Data'!$C$22)="","",INDEX(SPOT_Import!$A$1:$Z$2488,2132,'Live Data'!$C$22)),"")</f>
        <v/>
      </c>
      <c r="L2132" s="55" t="str">
        <f t="shared" si="66"/>
        <v/>
      </c>
      <c r="M2132" s="55" t="str">
        <f t="shared" si="67"/>
        <v/>
      </c>
      <c r="N2132" s="55" t="str">
        <f>IF(A2132="","",IFERROR(INDEX('Cluster Map'!$A$4:$A$38,MATCH(M2132,'Cluster Map'!$B$4:$B$38,0)),"Unmapped"))</f>
        <v/>
      </c>
      <c r="O2132" s="55">
        <f>IF(A2132="",0,IF(COUNTIFS($A$2:A2132,A2132,$F$2:F2132,F2132,$L$2:L2132,L2132)=1,1,0))</f>
        <v>0</v>
      </c>
      <c r="P2132" s="55">
        <f>IF(A2132="",0,IF(AND(F2132="C&amp;T",COUNTIFS($A$2:A2132,A2132,$F$2:F2132,"C&amp;T")=1),1,0))</f>
        <v>0</v>
      </c>
    </row>
    <row r="2133" spans="1:16" x14ac:dyDescent="0.35">
      <c r="A2133" s="54" t="str">
        <f>IFERROR(IF(INDEX(SPOT_Import!$A$1:$Z$2488,2133,'Live Data'!$C$12)="","",INDEX(SPOT_Import!$A$1:$Z$2488,2133,'Live Data'!$C$12)),"")</f>
        <v/>
      </c>
      <c r="B2133" s="54" t="str">
        <f>IFERROR(IF(INDEX(SPOT_Import!$A$1:$Z$2488,2133,'Live Data'!$C$13)="","",INDEX(SPOT_Import!$A$1:$Z$2488,2133,'Live Data'!$C$13)),"")</f>
        <v/>
      </c>
      <c r="C2133" s="54" t="str">
        <f>IFERROR(IF(INDEX(SPOT_Import!$A$1:$Z$2488,2133,'Live Data'!$C$14)="","",INDEX(SPOT_Import!$A$1:$Z$2488,2133,'Live Data'!$C$14)),"")</f>
        <v/>
      </c>
      <c r="D2133" s="54" t="str">
        <f>IFERROR(IF(INDEX(SPOT_Import!$A$1:$Z$2488,2133,'Live Data'!$C$15)="","",INDEX(SPOT_Import!$A$1:$Z$2488,2133,'Live Data'!$C$15)),"")</f>
        <v/>
      </c>
      <c r="E2133" s="54" t="str">
        <f>IFERROR(IF(INDEX(SPOT_Import!$A$1:$Z$2488,2133,'Live Data'!$C$16)="","",INDEX(SPOT_Import!$A$1:$Z$2488,2133,'Live Data'!$C$16)),"")</f>
        <v/>
      </c>
      <c r="F2133" s="54" t="str">
        <f>IFERROR(IF(INDEX(SPOT_Import!$A$1:$Z$2488,2133,'Live Data'!$C$17)="","",INDEX(SPOT_Import!$A$1:$Z$2488,2133,'Live Data'!$C$17)),"")</f>
        <v/>
      </c>
      <c r="G2133" s="54" t="str">
        <f>IFERROR(IF(INDEX(SPOT_Import!$A$1:$Z$2488,2133,'Live Data'!$C$18)="","",INDEX(SPOT_Import!$A$1:$Z$2488,2133,'Live Data'!$C$18)),"")</f>
        <v/>
      </c>
      <c r="H2133" s="54" t="str">
        <f>IFERROR(IF(INDEX(SPOT_Import!$A$1:$Z$2488,2133,'Live Data'!$C$19)="","",INDEX(SPOT_Import!$A$1:$Z$2488,2133,'Live Data'!$C$19)),"")</f>
        <v/>
      </c>
      <c r="I2133" s="54" t="str">
        <f>IFERROR(IF(INDEX(SPOT_Import!$A$1:$Z$2488,2133,'Live Data'!$C$20)="","",INDEX(SPOT_Import!$A$1:$Z$2488,2133,'Live Data'!$C$20)),"")</f>
        <v/>
      </c>
      <c r="J2133" s="54" t="str">
        <f>IFERROR(IF(INDEX(SPOT_Import!$A$1:$Z$2488,2133,'Live Data'!$C$21)="","",INDEX(SPOT_Import!$A$1:$Z$2488,2133,'Live Data'!$C$21)),"")</f>
        <v/>
      </c>
      <c r="K2133" s="54" t="str">
        <f>IFERROR(IF(INDEX(SPOT_Import!$A$1:$Z$2488,2133,'Live Data'!$C$22)="","",INDEX(SPOT_Import!$A$1:$Z$2488,2133,'Live Data'!$C$22)),"")</f>
        <v/>
      </c>
      <c r="L2133" s="55" t="str">
        <f t="shared" si="66"/>
        <v/>
      </c>
      <c r="M2133" s="55" t="str">
        <f t="shared" si="67"/>
        <v/>
      </c>
      <c r="N2133" s="55" t="str">
        <f>IF(A2133="","",IFERROR(INDEX('Cluster Map'!$A$4:$A$38,MATCH(M2133,'Cluster Map'!$B$4:$B$38,0)),"Unmapped"))</f>
        <v/>
      </c>
      <c r="O2133" s="55">
        <f>IF(A2133="",0,IF(COUNTIFS($A$2:A2133,A2133,$F$2:F2133,F2133,$L$2:L2133,L2133)=1,1,0))</f>
        <v>0</v>
      </c>
      <c r="P2133" s="55">
        <f>IF(A2133="",0,IF(AND(F2133="C&amp;T",COUNTIFS($A$2:A2133,A2133,$F$2:F2133,"C&amp;T")=1),1,0))</f>
        <v>0</v>
      </c>
    </row>
    <row r="2134" spans="1:16" x14ac:dyDescent="0.35">
      <c r="A2134" s="54" t="str">
        <f>IFERROR(IF(INDEX(SPOT_Import!$A$1:$Z$2488,2134,'Live Data'!$C$12)="","",INDEX(SPOT_Import!$A$1:$Z$2488,2134,'Live Data'!$C$12)),"")</f>
        <v/>
      </c>
      <c r="B2134" s="54" t="str">
        <f>IFERROR(IF(INDEX(SPOT_Import!$A$1:$Z$2488,2134,'Live Data'!$C$13)="","",INDEX(SPOT_Import!$A$1:$Z$2488,2134,'Live Data'!$C$13)),"")</f>
        <v/>
      </c>
      <c r="C2134" s="54" t="str">
        <f>IFERROR(IF(INDEX(SPOT_Import!$A$1:$Z$2488,2134,'Live Data'!$C$14)="","",INDEX(SPOT_Import!$A$1:$Z$2488,2134,'Live Data'!$C$14)),"")</f>
        <v/>
      </c>
      <c r="D2134" s="54" t="str">
        <f>IFERROR(IF(INDEX(SPOT_Import!$A$1:$Z$2488,2134,'Live Data'!$C$15)="","",INDEX(SPOT_Import!$A$1:$Z$2488,2134,'Live Data'!$C$15)),"")</f>
        <v/>
      </c>
      <c r="E2134" s="54" t="str">
        <f>IFERROR(IF(INDEX(SPOT_Import!$A$1:$Z$2488,2134,'Live Data'!$C$16)="","",INDEX(SPOT_Import!$A$1:$Z$2488,2134,'Live Data'!$C$16)),"")</f>
        <v/>
      </c>
      <c r="F2134" s="54" t="str">
        <f>IFERROR(IF(INDEX(SPOT_Import!$A$1:$Z$2488,2134,'Live Data'!$C$17)="","",INDEX(SPOT_Import!$A$1:$Z$2488,2134,'Live Data'!$C$17)),"")</f>
        <v/>
      </c>
      <c r="G2134" s="54" t="str">
        <f>IFERROR(IF(INDEX(SPOT_Import!$A$1:$Z$2488,2134,'Live Data'!$C$18)="","",INDEX(SPOT_Import!$A$1:$Z$2488,2134,'Live Data'!$C$18)),"")</f>
        <v/>
      </c>
      <c r="H2134" s="54" t="str">
        <f>IFERROR(IF(INDEX(SPOT_Import!$A$1:$Z$2488,2134,'Live Data'!$C$19)="","",INDEX(SPOT_Import!$A$1:$Z$2488,2134,'Live Data'!$C$19)),"")</f>
        <v/>
      </c>
      <c r="I2134" s="54" t="str">
        <f>IFERROR(IF(INDEX(SPOT_Import!$A$1:$Z$2488,2134,'Live Data'!$C$20)="","",INDEX(SPOT_Import!$A$1:$Z$2488,2134,'Live Data'!$C$20)),"")</f>
        <v/>
      </c>
      <c r="J2134" s="54" t="str">
        <f>IFERROR(IF(INDEX(SPOT_Import!$A$1:$Z$2488,2134,'Live Data'!$C$21)="","",INDEX(SPOT_Import!$A$1:$Z$2488,2134,'Live Data'!$C$21)),"")</f>
        <v/>
      </c>
      <c r="K2134" s="54" t="str">
        <f>IFERROR(IF(INDEX(SPOT_Import!$A$1:$Z$2488,2134,'Live Data'!$C$22)="","",INDEX(SPOT_Import!$A$1:$Z$2488,2134,'Live Data'!$C$22)),"")</f>
        <v/>
      </c>
      <c r="L2134" s="55" t="str">
        <f t="shared" si="66"/>
        <v/>
      </c>
      <c r="M2134" s="55" t="str">
        <f t="shared" si="67"/>
        <v/>
      </c>
      <c r="N2134" s="55" t="str">
        <f>IF(A2134="","",IFERROR(INDEX('Cluster Map'!$A$4:$A$38,MATCH(M2134,'Cluster Map'!$B$4:$B$38,0)),"Unmapped"))</f>
        <v/>
      </c>
      <c r="O2134" s="55">
        <f>IF(A2134="",0,IF(COUNTIFS($A$2:A2134,A2134,$F$2:F2134,F2134,$L$2:L2134,L2134)=1,1,0))</f>
        <v>0</v>
      </c>
      <c r="P2134" s="55">
        <f>IF(A2134="",0,IF(AND(F2134="C&amp;T",COUNTIFS($A$2:A2134,A2134,$F$2:F2134,"C&amp;T")=1),1,0))</f>
        <v>0</v>
      </c>
    </row>
    <row r="2135" spans="1:16" x14ac:dyDescent="0.35">
      <c r="A2135" s="54" t="str">
        <f>IFERROR(IF(INDEX(SPOT_Import!$A$1:$Z$2488,2135,'Live Data'!$C$12)="","",INDEX(SPOT_Import!$A$1:$Z$2488,2135,'Live Data'!$C$12)),"")</f>
        <v/>
      </c>
      <c r="B2135" s="54" t="str">
        <f>IFERROR(IF(INDEX(SPOT_Import!$A$1:$Z$2488,2135,'Live Data'!$C$13)="","",INDEX(SPOT_Import!$A$1:$Z$2488,2135,'Live Data'!$C$13)),"")</f>
        <v/>
      </c>
      <c r="C2135" s="54" t="str">
        <f>IFERROR(IF(INDEX(SPOT_Import!$A$1:$Z$2488,2135,'Live Data'!$C$14)="","",INDEX(SPOT_Import!$A$1:$Z$2488,2135,'Live Data'!$C$14)),"")</f>
        <v/>
      </c>
      <c r="D2135" s="54" t="str">
        <f>IFERROR(IF(INDEX(SPOT_Import!$A$1:$Z$2488,2135,'Live Data'!$C$15)="","",INDEX(SPOT_Import!$A$1:$Z$2488,2135,'Live Data'!$C$15)),"")</f>
        <v/>
      </c>
      <c r="E2135" s="54" t="str">
        <f>IFERROR(IF(INDEX(SPOT_Import!$A$1:$Z$2488,2135,'Live Data'!$C$16)="","",INDEX(SPOT_Import!$A$1:$Z$2488,2135,'Live Data'!$C$16)),"")</f>
        <v/>
      </c>
      <c r="F2135" s="54" t="str">
        <f>IFERROR(IF(INDEX(SPOT_Import!$A$1:$Z$2488,2135,'Live Data'!$C$17)="","",INDEX(SPOT_Import!$A$1:$Z$2488,2135,'Live Data'!$C$17)),"")</f>
        <v/>
      </c>
      <c r="G2135" s="54" t="str">
        <f>IFERROR(IF(INDEX(SPOT_Import!$A$1:$Z$2488,2135,'Live Data'!$C$18)="","",INDEX(SPOT_Import!$A$1:$Z$2488,2135,'Live Data'!$C$18)),"")</f>
        <v/>
      </c>
      <c r="H2135" s="54" t="str">
        <f>IFERROR(IF(INDEX(SPOT_Import!$A$1:$Z$2488,2135,'Live Data'!$C$19)="","",INDEX(SPOT_Import!$A$1:$Z$2488,2135,'Live Data'!$C$19)),"")</f>
        <v/>
      </c>
      <c r="I2135" s="54" t="str">
        <f>IFERROR(IF(INDEX(SPOT_Import!$A$1:$Z$2488,2135,'Live Data'!$C$20)="","",INDEX(SPOT_Import!$A$1:$Z$2488,2135,'Live Data'!$C$20)),"")</f>
        <v/>
      </c>
      <c r="J2135" s="54" t="str">
        <f>IFERROR(IF(INDEX(SPOT_Import!$A$1:$Z$2488,2135,'Live Data'!$C$21)="","",INDEX(SPOT_Import!$A$1:$Z$2488,2135,'Live Data'!$C$21)),"")</f>
        <v/>
      </c>
      <c r="K2135" s="54" t="str">
        <f>IFERROR(IF(INDEX(SPOT_Import!$A$1:$Z$2488,2135,'Live Data'!$C$22)="","",INDEX(SPOT_Import!$A$1:$Z$2488,2135,'Live Data'!$C$22)),"")</f>
        <v/>
      </c>
      <c r="L2135" s="55" t="str">
        <f t="shared" si="66"/>
        <v/>
      </c>
      <c r="M2135" s="55" t="str">
        <f t="shared" si="67"/>
        <v/>
      </c>
      <c r="N2135" s="55" t="str">
        <f>IF(A2135="","",IFERROR(INDEX('Cluster Map'!$A$4:$A$38,MATCH(M2135,'Cluster Map'!$B$4:$B$38,0)),"Unmapped"))</f>
        <v/>
      </c>
      <c r="O2135" s="55">
        <f>IF(A2135="",0,IF(COUNTIFS($A$2:A2135,A2135,$F$2:F2135,F2135,$L$2:L2135,L2135)=1,1,0))</f>
        <v>0</v>
      </c>
      <c r="P2135" s="55">
        <f>IF(A2135="",0,IF(AND(F2135="C&amp;T",COUNTIFS($A$2:A2135,A2135,$F$2:F2135,"C&amp;T")=1),1,0))</f>
        <v>0</v>
      </c>
    </row>
    <row r="2136" spans="1:16" x14ac:dyDescent="0.35">
      <c r="A2136" s="54" t="str">
        <f>IFERROR(IF(INDEX(SPOT_Import!$A$1:$Z$2488,2136,'Live Data'!$C$12)="","",INDEX(SPOT_Import!$A$1:$Z$2488,2136,'Live Data'!$C$12)),"")</f>
        <v/>
      </c>
      <c r="B2136" s="54" t="str">
        <f>IFERROR(IF(INDEX(SPOT_Import!$A$1:$Z$2488,2136,'Live Data'!$C$13)="","",INDEX(SPOT_Import!$A$1:$Z$2488,2136,'Live Data'!$C$13)),"")</f>
        <v/>
      </c>
      <c r="C2136" s="54" t="str">
        <f>IFERROR(IF(INDEX(SPOT_Import!$A$1:$Z$2488,2136,'Live Data'!$C$14)="","",INDEX(SPOT_Import!$A$1:$Z$2488,2136,'Live Data'!$C$14)),"")</f>
        <v/>
      </c>
      <c r="D2136" s="54" t="str">
        <f>IFERROR(IF(INDEX(SPOT_Import!$A$1:$Z$2488,2136,'Live Data'!$C$15)="","",INDEX(SPOT_Import!$A$1:$Z$2488,2136,'Live Data'!$C$15)),"")</f>
        <v/>
      </c>
      <c r="E2136" s="54" t="str">
        <f>IFERROR(IF(INDEX(SPOT_Import!$A$1:$Z$2488,2136,'Live Data'!$C$16)="","",INDEX(SPOT_Import!$A$1:$Z$2488,2136,'Live Data'!$C$16)),"")</f>
        <v/>
      </c>
      <c r="F2136" s="54" t="str">
        <f>IFERROR(IF(INDEX(SPOT_Import!$A$1:$Z$2488,2136,'Live Data'!$C$17)="","",INDEX(SPOT_Import!$A$1:$Z$2488,2136,'Live Data'!$C$17)),"")</f>
        <v/>
      </c>
      <c r="G2136" s="54" t="str">
        <f>IFERROR(IF(INDEX(SPOT_Import!$A$1:$Z$2488,2136,'Live Data'!$C$18)="","",INDEX(SPOT_Import!$A$1:$Z$2488,2136,'Live Data'!$C$18)),"")</f>
        <v/>
      </c>
      <c r="H2136" s="54" t="str">
        <f>IFERROR(IF(INDEX(SPOT_Import!$A$1:$Z$2488,2136,'Live Data'!$C$19)="","",INDEX(SPOT_Import!$A$1:$Z$2488,2136,'Live Data'!$C$19)),"")</f>
        <v/>
      </c>
      <c r="I2136" s="54" t="str">
        <f>IFERROR(IF(INDEX(SPOT_Import!$A$1:$Z$2488,2136,'Live Data'!$C$20)="","",INDEX(SPOT_Import!$A$1:$Z$2488,2136,'Live Data'!$C$20)),"")</f>
        <v/>
      </c>
      <c r="J2136" s="54" t="str">
        <f>IFERROR(IF(INDEX(SPOT_Import!$A$1:$Z$2488,2136,'Live Data'!$C$21)="","",INDEX(SPOT_Import!$A$1:$Z$2488,2136,'Live Data'!$C$21)),"")</f>
        <v/>
      </c>
      <c r="K2136" s="54" t="str">
        <f>IFERROR(IF(INDEX(SPOT_Import!$A$1:$Z$2488,2136,'Live Data'!$C$22)="","",INDEX(SPOT_Import!$A$1:$Z$2488,2136,'Live Data'!$C$22)),"")</f>
        <v/>
      </c>
      <c r="L2136" s="55" t="str">
        <f t="shared" si="66"/>
        <v/>
      </c>
      <c r="M2136" s="55" t="str">
        <f t="shared" si="67"/>
        <v/>
      </c>
      <c r="N2136" s="55" t="str">
        <f>IF(A2136="","",IFERROR(INDEX('Cluster Map'!$A$4:$A$38,MATCH(M2136,'Cluster Map'!$B$4:$B$38,0)),"Unmapped"))</f>
        <v/>
      </c>
      <c r="O2136" s="55">
        <f>IF(A2136="",0,IF(COUNTIFS($A$2:A2136,A2136,$F$2:F2136,F2136,$L$2:L2136,L2136)=1,1,0))</f>
        <v>0</v>
      </c>
      <c r="P2136" s="55">
        <f>IF(A2136="",0,IF(AND(F2136="C&amp;T",COUNTIFS($A$2:A2136,A2136,$F$2:F2136,"C&amp;T")=1),1,0))</f>
        <v>0</v>
      </c>
    </row>
    <row r="2137" spans="1:16" x14ac:dyDescent="0.35">
      <c r="A2137" s="54" t="str">
        <f>IFERROR(IF(INDEX(SPOT_Import!$A$1:$Z$2488,2137,'Live Data'!$C$12)="","",INDEX(SPOT_Import!$A$1:$Z$2488,2137,'Live Data'!$C$12)),"")</f>
        <v/>
      </c>
      <c r="B2137" s="54" t="str">
        <f>IFERROR(IF(INDEX(SPOT_Import!$A$1:$Z$2488,2137,'Live Data'!$C$13)="","",INDEX(SPOT_Import!$A$1:$Z$2488,2137,'Live Data'!$C$13)),"")</f>
        <v/>
      </c>
      <c r="C2137" s="54" t="str">
        <f>IFERROR(IF(INDEX(SPOT_Import!$A$1:$Z$2488,2137,'Live Data'!$C$14)="","",INDEX(SPOT_Import!$A$1:$Z$2488,2137,'Live Data'!$C$14)),"")</f>
        <v/>
      </c>
      <c r="D2137" s="54" t="str">
        <f>IFERROR(IF(INDEX(SPOT_Import!$A$1:$Z$2488,2137,'Live Data'!$C$15)="","",INDEX(SPOT_Import!$A$1:$Z$2488,2137,'Live Data'!$C$15)),"")</f>
        <v/>
      </c>
      <c r="E2137" s="54" t="str">
        <f>IFERROR(IF(INDEX(SPOT_Import!$A$1:$Z$2488,2137,'Live Data'!$C$16)="","",INDEX(SPOT_Import!$A$1:$Z$2488,2137,'Live Data'!$C$16)),"")</f>
        <v/>
      </c>
      <c r="F2137" s="54" t="str">
        <f>IFERROR(IF(INDEX(SPOT_Import!$A$1:$Z$2488,2137,'Live Data'!$C$17)="","",INDEX(SPOT_Import!$A$1:$Z$2488,2137,'Live Data'!$C$17)),"")</f>
        <v/>
      </c>
      <c r="G2137" s="54" t="str">
        <f>IFERROR(IF(INDEX(SPOT_Import!$A$1:$Z$2488,2137,'Live Data'!$C$18)="","",INDEX(SPOT_Import!$A$1:$Z$2488,2137,'Live Data'!$C$18)),"")</f>
        <v/>
      </c>
      <c r="H2137" s="54" t="str">
        <f>IFERROR(IF(INDEX(SPOT_Import!$A$1:$Z$2488,2137,'Live Data'!$C$19)="","",INDEX(SPOT_Import!$A$1:$Z$2488,2137,'Live Data'!$C$19)),"")</f>
        <v/>
      </c>
      <c r="I2137" s="54" t="str">
        <f>IFERROR(IF(INDEX(SPOT_Import!$A$1:$Z$2488,2137,'Live Data'!$C$20)="","",INDEX(SPOT_Import!$A$1:$Z$2488,2137,'Live Data'!$C$20)),"")</f>
        <v/>
      </c>
      <c r="J2137" s="54" t="str">
        <f>IFERROR(IF(INDEX(SPOT_Import!$A$1:$Z$2488,2137,'Live Data'!$C$21)="","",INDEX(SPOT_Import!$A$1:$Z$2488,2137,'Live Data'!$C$21)),"")</f>
        <v/>
      </c>
      <c r="K2137" s="54" t="str">
        <f>IFERROR(IF(INDEX(SPOT_Import!$A$1:$Z$2488,2137,'Live Data'!$C$22)="","",INDEX(SPOT_Import!$A$1:$Z$2488,2137,'Live Data'!$C$22)),"")</f>
        <v/>
      </c>
      <c r="L2137" s="55" t="str">
        <f t="shared" si="66"/>
        <v/>
      </c>
      <c r="M2137" s="55" t="str">
        <f t="shared" si="67"/>
        <v/>
      </c>
      <c r="N2137" s="55" t="str">
        <f>IF(A2137="","",IFERROR(INDEX('Cluster Map'!$A$4:$A$38,MATCH(M2137,'Cluster Map'!$B$4:$B$38,0)),"Unmapped"))</f>
        <v/>
      </c>
      <c r="O2137" s="55">
        <f>IF(A2137="",0,IF(COUNTIFS($A$2:A2137,A2137,$F$2:F2137,F2137,$L$2:L2137,L2137)=1,1,0))</f>
        <v>0</v>
      </c>
      <c r="P2137" s="55">
        <f>IF(A2137="",0,IF(AND(F2137="C&amp;T",COUNTIFS($A$2:A2137,A2137,$F$2:F2137,"C&amp;T")=1),1,0))</f>
        <v>0</v>
      </c>
    </row>
    <row r="2138" spans="1:16" x14ac:dyDescent="0.35">
      <c r="A2138" s="54" t="str">
        <f>IFERROR(IF(INDEX(SPOT_Import!$A$1:$Z$2488,2138,'Live Data'!$C$12)="","",INDEX(SPOT_Import!$A$1:$Z$2488,2138,'Live Data'!$C$12)),"")</f>
        <v/>
      </c>
      <c r="B2138" s="54" t="str">
        <f>IFERROR(IF(INDEX(SPOT_Import!$A$1:$Z$2488,2138,'Live Data'!$C$13)="","",INDEX(SPOT_Import!$A$1:$Z$2488,2138,'Live Data'!$C$13)),"")</f>
        <v/>
      </c>
      <c r="C2138" s="54" t="str">
        <f>IFERROR(IF(INDEX(SPOT_Import!$A$1:$Z$2488,2138,'Live Data'!$C$14)="","",INDEX(SPOT_Import!$A$1:$Z$2488,2138,'Live Data'!$C$14)),"")</f>
        <v/>
      </c>
      <c r="D2138" s="54" t="str">
        <f>IFERROR(IF(INDEX(SPOT_Import!$A$1:$Z$2488,2138,'Live Data'!$C$15)="","",INDEX(SPOT_Import!$A$1:$Z$2488,2138,'Live Data'!$C$15)),"")</f>
        <v/>
      </c>
      <c r="E2138" s="54" t="str">
        <f>IFERROR(IF(INDEX(SPOT_Import!$A$1:$Z$2488,2138,'Live Data'!$C$16)="","",INDEX(SPOT_Import!$A$1:$Z$2488,2138,'Live Data'!$C$16)),"")</f>
        <v/>
      </c>
      <c r="F2138" s="54" t="str">
        <f>IFERROR(IF(INDEX(SPOT_Import!$A$1:$Z$2488,2138,'Live Data'!$C$17)="","",INDEX(SPOT_Import!$A$1:$Z$2488,2138,'Live Data'!$C$17)),"")</f>
        <v/>
      </c>
      <c r="G2138" s="54" t="str">
        <f>IFERROR(IF(INDEX(SPOT_Import!$A$1:$Z$2488,2138,'Live Data'!$C$18)="","",INDEX(SPOT_Import!$A$1:$Z$2488,2138,'Live Data'!$C$18)),"")</f>
        <v/>
      </c>
      <c r="H2138" s="54" t="str">
        <f>IFERROR(IF(INDEX(SPOT_Import!$A$1:$Z$2488,2138,'Live Data'!$C$19)="","",INDEX(SPOT_Import!$A$1:$Z$2488,2138,'Live Data'!$C$19)),"")</f>
        <v/>
      </c>
      <c r="I2138" s="54" t="str">
        <f>IFERROR(IF(INDEX(SPOT_Import!$A$1:$Z$2488,2138,'Live Data'!$C$20)="","",INDEX(SPOT_Import!$A$1:$Z$2488,2138,'Live Data'!$C$20)),"")</f>
        <v/>
      </c>
      <c r="J2138" s="54" t="str">
        <f>IFERROR(IF(INDEX(SPOT_Import!$A$1:$Z$2488,2138,'Live Data'!$C$21)="","",INDEX(SPOT_Import!$A$1:$Z$2488,2138,'Live Data'!$C$21)),"")</f>
        <v/>
      </c>
      <c r="K2138" s="54" t="str">
        <f>IFERROR(IF(INDEX(SPOT_Import!$A$1:$Z$2488,2138,'Live Data'!$C$22)="","",INDEX(SPOT_Import!$A$1:$Z$2488,2138,'Live Data'!$C$22)),"")</f>
        <v/>
      </c>
      <c r="L2138" s="55" t="str">
        <f t="shared" si="66"/>
        <v/>
      </c>
      <c r="M2138" s="55" t="str">
        <f t="shared" si="67"/>
        <v/>
      </c>
      <c r="N2138" s="55" t="str">
        <f>IF(A2138="","",IFERROR(INDEX('Cluster Map'!$A$4:$A$38,MATCH(M2138,'Cluster Map'!$B$4:$B$38,0)),"Unmapped"))</f>
        <v/>
      </c>
      <c r="O2138" s="55">
        <f>IF(A2138="",0,IF(COUNTIFS($A$2:A2138,A2138,$F$2:F2138,F2138,$L$2:L2138,L2138)=1,1,0))</f>
        <v>0</v>
      </c>
      <c r="P2138" s="55">
        <f>IF(A2138="",0,IF(AND(F2138="C&amp;T",COUNTIFS($A$2:A2138,A2138,$F$2:F2138,"C&amp;T")=1),1,0))</f>
        <v>0</v>
      </c>
    </row>
    <row r="2139" spans="1:16" x14ac:dyDescent="0.35">
      <c r="A2139" s="54" t="str">
        <f>IFERROR(IF(INDEX(SPOT_Import!$A$1:$Z$2488,2139,'Live Data'!$C$12)="","",INDEX(SPOT_Import!$A$1:$Z$2488,2139,'Live Data'!$C$12)),"")</f>
        <v/>
      </c>
      <c r="B2139" s="54" t="str">
        <f>IFERROR(IF(INDEX(SPOT_Import!$A$1:$Z$2488,2139,'Live Data'!$C$13)="","",INDEX(SPOT_Import!$A$1:$Z$2488,2139,'Live Data'!$C$13)),"")</f>
        <v/>
      </c>
      <c r="C2139" s="54" t="str">
        <f>IFERROR(IF(INDEX(SPOT_Import!$A$1:$Z$2488,2139,'Live Data'!$C$14)="","",INDEX(SPOT_Import!$A$1:$Z$2488,2139,'Live Data'!$C$14)),"")</f>
        <v/>
      </c>
      <c r="D2139" s="54" t="str">
        <f>IFERROR(IF(INDEX(SPOT_Import!$A$1:$Z$2488,2139,'Live Data'!$C$15)="","",INDEX(SPOT_Import!$A$1:$Z$2488,2139,'Live Data'!$C$15)),"")</f>
        <v/>
      </c>
      <c r="E2139" s="54" t="str">
        <f>IFERROR(IF(INDEX(SPOT_Import!$A$1:$Z$2488,2139,'Live Data'!$C$16)="","",INDEX(SPOT_Import!$A$1:$Z$2488,2139,'Live Data'!$C$16)),"")</f>
        <v/>
      </c>
      <c r="F2139" s="54" t="str">
        <f>IFERROR(IF(INDEX(SPOT_Import!$A$1:$Z$2488,2139,'Live Data'!$C$17)="","",INDEX(SPOT_Import!$A$1:$Z$2488,2139,'Live Data'!$C$17)),"")</f>
        <v/>
      </c>
      <c r="G2139" s="54" t="str">
        <f>IFERROR(IF(INDEX(SPOT_Import!$A$1:$Z$2488,2139,'Live Data'!$C$18)="","",INDEX(SPOT_Import!$A$1:$Z$2488,2139,'Live Data'!$C$18)),"")</f>
        <v/>
      </c>
      <c r="H2139" s="54" t="str">
        <f>IFERROR(IF(INDEX(SPOT_Import!$A$1:$Z$2488,2139,'Live Data'!$C$19)="","",INDEX(SPOT_Import!$A$1:$Z$2488,2139,'Live Data'!$C$19)),"")</f>
        <v/>
      </c>
      <c r="I2139" s="54" t="str">
        <f>IFERROR(IF(INDEX(SPOT_Import!$A$1:$Z$2488,2139,'Live Data'!$C$20)="","",INDEX(SPOT_Import!$A$1:$Z$2488,2139,'Live Data'!$C$20)),"")</f>
        <v/>
      </c>
      <c r="J2139" s="54" t="str">
        <f>IFERROR(IF(INDEX(SPOT_Import!$A$1:$Z$2488,2139,'Live Data'!$C$21)="","",INDEX(SPOT_Import!$A$1:$Z$2488,2139,'Live Data'!$C$21)),"")</f>
        <v/>
      </c>
      <c r="K2139" s="54" t="str">
        <f>IFERROR(IF(INDEX(SPOT_Import!$A$1:$Z$2488,2139,'Live Data'!$C$22)="","",INDEX(SPOT_Import!$A$1:$Z$2488,2139,'Live Data'!$C$22)),"")</f>
        <v/>
      </c>
      <c r="L2139" s="55" t="str">
        <f t="shared" si="66"/>
        <v/>
      </c>
      <c r="M2139" s="55" t="str">
        <f t="shared" si="67"/>
        <v/>
      </c>
      <c r="N2139" s="55" t="str">
        <f>IF(A2139="","",IFERROR(INDEX('Cluster Map'!$A$4:$A$38,MATCH(M2139,'Cluster Map'!$B$4:$B$38,0)),"Unmapped"))</f>
        <v/>
      </c>
      <c r="O2139" s="55">
        <f>IF(A2139="",0,IF(COUNTIFS($A$2:A2139,A2139,$F$2:F2139,F2139,$L$2:L2139,L2139)=1,1,0))</f>
        <v>0</v>
      </c>
      <c r="P2139" s="55">
        <f>IF(A2139="",0,IF(AND(F2139="C&amp;T",COUNTIFS($A$2:A2139,A2139,$F$2:F2139,"C&amp;T")=1),1,0))</f>
        <v>0</v>
      </c>
    </row>
    <row r="2140" spans="1:16" x14ac:dyDescent="0.35">
      <c r="A2140" s="54" t="str">
        <f>IFERROR(IF(INDEX(SPOT_Import!$A$1:$Z$2488,2140,'Live Data'!$C$12)="","",INDEX(SPOT_Import!$A$1:$Z$2488,2140,'Live Data'!$C$12)),"")</f>
        <v/>
      </c>
      <c r="B2140" s="54" t="str">
        <f>IFERROR(IF(INDEX(SPOT_Import!$A$1:$Z$2488,2140,'Live Data'!$C$13)="","",INDEX(SPOT_Import!$A$1:$Z$2488,2140,'Live Data'!$C$13)),"")</f>
        <v/>
      </c>
      <c r="C2140" s="54" t="str">
        <f>IFERROR(IF(INDEX(SPOT_Import!$A$1:$Z$2488,2140,'Live Data'!$C$14)="","",INDEX(SPOT_Import!$A$1:$Z$2488,2140,'Live Data'!$C$14)),"")</f>
        <v/>
      </c>
      <c r="D2140" s="54" t="str">
        <f>IFERROR(IF(INDEX(SPOT_Import!$A$1:$Z$2488,2140,'Live Data'!$C$15)="","",INDEX(SPOT_Import!$A$1:$Z$2488,2140,'Live Data'!$C$15)),"")</f>
        <v/>
      </c>
      <c r="E2140" s="54" t="str">
        <f>IFERROR(IF(INDEX(SPOT_Import!$A$1:$Z$2488,2140,'Live Data'!$C$16)="","",INDEX(SPOT_Import!$A$1:$Z$2488,2140,'Live Data'!$C$16)),"")</f>
        <v/>
      </c>
      <c r="F2140" s="54" t="str">
        <f>IFERROR(IF(INDEX(SPOT_Import!$A$1:$Z$2488,2140,'Live Data'!$C$17)="","",INDEX(SPOT_Import!$A$1:$Z$2488,2140,'Live Data'!$C$17)),"")</f>
        <v/>
      </c>
      <c r="G2140" s="54" t="str">
        <f>IFERROR(IF(INDEX(SPOT_Import!$A$1:$Z$2488,2140,'Live Data'!$C$18)="","",INDEX(SPOT_Import!$A$1:$Z$2488,2140,'Live Data'!$C$18)),"")</f>
        <v/>
      </c>
      <c r="H2140" s="54" t="str">
        <f>IFERROR(IF(INDEX(SPOT_Import!$A$1:$Z$2488,2140,'Live Data'!$C$19)="","",INDEX(SPOT_Import!$A$1:$Z$2488,2140,'Live Data'!$C$19)),"")</f>
        <v/>
      </c>
      <c r="I2140" s="54" t="str">
        <f>IFERROR(IF(INDEX(SPOT_Import!$A$1:$Z$2488,2140,'Live Data'!$C$20)="","",INDEX(SPOT_Import!$A$1:$Z$2488,2140,'Live Data'!$C$20)),"")</f>
        <v/>
      </c>
      <c r="J2140" s="54" t="str">
        <f>IFERROR(IF(INDEX(SPOT_Import!$A$1:$Z$2488,2140,'Live Data'!$C$21)="","",INDEX(SPOT_Import!$A$1:$Z$2488,2140,'Live Data'!$C$21)),"")</f>
        <v/>
      </c>
      <c r="K2140" s="54" t="str">
        <f>IFERROR(IF(INDEX(SPOT_Import!$A$1:$Z$2488,2140,'Live Data'!$C$22)="","",INDEX(SPOT_Import!$A$1:$Z$2488,2140,'Live Data'!$C$22)),"")</f>
        <v/>
      </c>
      <c r="L2140" s="55" t="str">
        <f t="shared" si="66"/>
        <v/>
      </c>
      <c r="M2140" s="55" t="str">
        <f t="shared" si="67"/>
        <v/>
      </c>
      <c r="N2140" s="55" t="str">
        <f>IF(A2140="","",IFERROR(INDEX('Cluster Map'!$A$4:$A$38,MATCH(M2140,'Cluster Map'!$B$4:$B$38,0)),"Unmapped"))</f>
        <v/>
      </c>
      <c r="O2140" s="55">
        <f>IF(A2140="",0,IF(COUNTIFS($A$2:A2140,A2140,$F$2:F2140,F2140,$L$2:L2140,L2140)=1,1,0))</f>
        <v>0</v>
      </c>
      <c r="P2140" s="55">
        <f>IF(A2140="",0,IF(AND(F2140="C&amp;T",COUNTIFS($A$2:A2140,A2140,$F$2:F2140,"C&amp;T")=1),1,0))</f>
        <v>0</v>
      </c>
    </row>
    <row r="2141" spans="1:16" x14ac:dyDescent="0.35">
      <c r="A2141" s="54" t="str">
        <f>IFERROR(IF(INDEX(SPOT_Import!$A$1:$Z$2488,2141,'Live Data'!$C$12)="","",INDEX(SPOT_Import!$A$1:$Z$2488,2141,'Live Data'!$C$12)),"")</f>
        <v/>
      </c>
      <c r="B2141" s="54" t="str">
        <f>IFERROR(IF(INDEX(SPOT_Import!$A$1:$Z$2488,2141,'Live Data'!$C$13)="","",INDEX(SPOT_Import!$A$1:$Z$2488,2141,'Live Data'!$C$13)),"")</f>
        <v/>
      </c>
      <c r="C2141" s="54" t="str">
        <f>IFERROR(IF(INDEX(SPOT_Import!$A$1:$Z$2488,2141,'Live Data'!$C$14)="","",INDEX(SPOT_Import!$A$1:$Z$2488,2141,'Live Data'!$C$14)),"")</f>
        <v/>
      </c>
      <c r="D2141" s="54" t="str">
        <f>IFERROR(IF(INDEX(SPOT_Import!$A$1:$Z$2488,2141,'Live Data'!$C$15)="","",INDEX(SPOT_Import!$A$1:$Z$2488,2141,'Live Data'!$C$15)),"")</f>
        <v/>
      </c>
      <c r="E2141" s="54" t="str">
        <f>IFERROR(IF(INDEX(SPOT_Import!$A$1:$Z$2488,2141,'Live Data'!$C$16)="","",INDEX(SPOT_Import!$A$1:$Z$2488,2141,'Live Data'!$C$16)),"")</f>
        <v/>
      </c>
      <c r="F2141" s="54" t="str">
        <f>IFERROR(IF(INDEX(SPOT_Import!$A$1:$Z$2488,2141,'Live Data'!$C$17)="","",INDEX(SPOT_Import!$A$1:$Z$2488,2141,'Live Data'!$C$17)),"")</f>
        <v/>
      </c>
      <c r="G2141" s="54" t="str">
        <f>IFERROR(IF(INDEX(SPOT_Import!$A$1:$Z$2488,2141,'Live Data'!$C$18)="","",INDEX(SPOT_Import!$A$1:$Z$2488,2141,'Live Data'!$C$18)),"")</f>
        <v/>
      </c>
      <c r="H2141" s="54" t="str">
        <f>IFERROR(IF(INDEX(SPOT_Import!$A$1:$Z$2488,2141,'Live Data'!$C$19)="","",INDEX(SPOT_Import!$A$1:$Z$2488,2141,'Live Data'!$C$19)),"")</f>
        <v/>
      </c>
      <c r="I2141" s="54" t="str">
        <f>IFERROR(IF(INDEX(SPOT_Import!$A$1:$Z$2488,2141,'Live Data'!$C$20)="","",INDEX(SPOT_Import!$A$1:$Z$2488,2141,'Live Data'!$C$20)),"")</f>
        <v/>
      </c>
      <c r="J2141" s="54" t="str">
        <f>IFERROR(IF(INDEX(SPOT_Import!$A$1:$Z$2488,2141,'Live Data'!$C$21)="","",INDEX(SPOT_Import!$A$1:$Z$2488,2141,'Live Data'!$C$21)),"")</f>
        <v/>
      </c>
      <c r="K2141" s="54" t="str">
        <f>IFERROR(IF(INDEX(SPOT_Import!$A$1:$Z$2488,2141,'Live Data'!$C$22)="","",INDEX(SPOT_Import!$A$1:$Z$2488,2141,'Live Data'!$C$22)),"")</f>
        <v/>
      </c>
      <c r="L2141" s="55" t="str">
        <f t="shared" si="66"/>
        <v/>
      </c>
      <c r="M2141" s="55" t="str">
        <f t="shared" si="67"/>
        <v/>
      </c>
      <c r="N2141" s="55" t="str">
        <f>IF(A2141="","",IFERROR(INDEX('Cluster Map'!$A$4:$A$38,MATCH(M2141,'Cluster Map'!$B$4:$B$38,0)),"Unmapped"))</f>
        <v/>
      </c>
      <c r="O2141" s="55">
        <f>IF(A2141="",0,IF(COUNTIFS($A$2:A2141,A2141,$F$2:F2141,F2141,$L$2:L2141,L2141)=1,1,0))</f>
        <v>0</v>
      </c>
      <c r="P2141" s="55">
        <f>IF(A2141="",0,IF(AND(F2141="C&amp;T",COUNTIFS($A$2:A2141,A2141,$F$2:F2141,"C&amp;T")=1),1,0))</f>
        <v>0</v>
      </c>
    </row>
    <row r="2142" spans="1:16" x14ac:dyDescent="0.35">
      <c r="A2142" s="54" t="str">
        <f>IFERROR(IF(INDEX(SPOT_Import!$A$1:$Z$2488,2142,'Live Data'!$C$12)="","",INDEX(SPOT_Import!$A$1:$Z$2488,2142,'Live Data'!$C$12)),"")</f>
        <v/>
      </c>
      <c r="B2142" s="54" t="str">
        <f>IFERROR(IF(INDEX(SPOT_Import!$A$1:$Z$2488,2142,'Live Data'!$C$13)="","",INDEX(SPOT_Import!$A$1:$Z$2488,2142,'Live Data'!$C$13)),"")</f>
        <v/>
      </c>
      <c r="C2142" s="54" t="str">
        <f>IFERROR(IF(INDEX(SPOT_Import!$A$1:$Z$2488,2142,'Live Data'!$C$14)="","",INDEX(SPOT_Import!$A$1:$Z$2488,2142,'Live Data'!$C$14)),"")</f>
        <v/>
      </c>
      <c r="D2142" s="54" t="str">
        <f>IFERROR(IF(INDEX(SPOT_Import!$A$1:$Z$2488,2142,'Live Data'!$C$15)="","",INDEX(SPOT_Import!$A$1:$Z$2488,2142,'Live Data'!$C$15)),"")</f>
        <v/>
      </c>
      <c r="E2142" s="54" t="str">
        <f>IFERROR(IF(INDEX(SPOT_Import!$A$1:$Z$2488,2142,'Live Data'!$C$16)="","",INDEX(SPOT_Import!$A$1:$Z$2488,2142,'Live Data'!$C$16)),"")</f>
        <v/>
      </c>
      <c r="F2142" s="54" t="str">
        <f>IFERROR(IF(INDEX(SPOT_Import!$A$1:$Z$2488,2142,'Live Data'!$C$17)="","",INDEX(SPOT_Import!$A$1:$Z$2488,2142,'Live Data'!$C$17)),"")</f>
        <v/>
      </c>
      <c r="G2142" s="54" t="str">
        <f>IFERROR(IF(INDEX(SPOT_Import!$A$1:$Z$2488,2142,'Live Data'!$C$18)="","",INDEX(SPOT_Import!$A$1:$Z$2488,2142,'Live Data'!$C$18)),"")</f>
        <v/>
      </c>
      <c r="H2142" s="54" t="str">
        <f>IFERROR(IF(INDEX(SPOT_Import!$A$1:$Z$2488,2142,'Live Data'!$C$19)="","",INDEX(SPOT_Import!$A$1:$Z$2488,2142,'Live Data'!$C$19)),"")</f>
        <v/>
      </c>
      <c r="I2142" s="54" t="str">
        <f>IFERROR(IF(INDEX(SPOT_Import!$A$1:$Z$2488,2142,'Live Data'!$C$20)="","",INDEX(SPOT_Import!$A$1:$Z$2488,2142,'Live Data'!$C$20)),"")</f>
        <v/>
      </c>
      <c r="J2142" s="54" t="str">
        <f>IFERROR(IF(INDEX(SPOT_Import!$A$1:$Z$2488,2142,'Live Data'!$C$21)="","",INDEX(SPOT_Import!$A$1:$Z$2488,2142,'Live Data'!$C$21)),"")</f>
        <v/>
      </c>
      <c r="K2142" s="54" t="str">
        <f>IFERROR(IF(INDEX(SPOT_Import!$A$1:$Z$2488,2142,'Live Data'!$C$22)="","",INDEX(SPOT_Import!$A$1:$Z$2488,2142,'Live Data'!$C$22)),"")</f>
        <v/>
      </c>
      <c r="L2142" s="55" t="str">
        <f t="shared" si="66"/>
        <v/>
      </c>
      <c r="M2142" s="55" t="str">
        <f t="shared" si="67"/>
        <v/>
      </c>
      <c r="N2142" s="55" t="str">
        <f>IF(A2142="","",IFERROR(INDEX('Cluster Map'!$A$4:$A$38,MATCH(M2142,'Cluster Map'!$B$4:$B$38,0)),"Unmapped"))</f>
        <v/>
      </c>
      <c r="O2142" s="55">
        <f>IF(A2142="",0,IF(COUNTIFS($A$2:A2142,A2142,$F$2:F2142,F2142,$L$2:L2142,L2142)=1,1,0))</f>
        <v>0</v>
      </c>
      <c r="P2142" s="55">
        <f>IF(A2142="",0,IF(AND(F2142="C&amp;T",COUNTIFS($A$2:A2142,A2142,$F$2:F2142,"C&amp;T")=1),1,0))</f>
        <v>0</v>
      </c>
    </row>
    <row r="2143" spans="1:16" x14ac:dyDescent="0.35">
      <c r="A2143" s="54" t="str">
        <f>IFERROR(IF(INDEX(SPOT_Import!$A$1:$Z$2488,2143,'Live Data'!$C$12)="","",INDEX(SPOT_Import!$A$1:$Z$2488,2143,'Live Data'!$C$12)),"")</f>
        <v/>
      </c>
      <c r="B2143" s="54" t="str">
        <f>IFERROR(IF(INDEX(SPOT_Import!$A$1:$Z$2488,2143,'Live Data'!$C$13)="","",INDEX(SPOT_Import!$A$1:$Z$2488,2143,'Live Data'!$C$13)),"")</f>
        <v/>
      </c>
      <c r="C2143" s="54" t="str">
        <f>IFERROR(IF(INDEX(SPOT_Import!$A$1:$Z$2488,2143,'Live Data'!$C$14)="","",INDEX(SPOT_Import!$A$1:$Z$2488,2143,'Live Data'!$C$14)),"")</f>
        <v/>
      </c>
      <c r="D2143" s="54" t="str">
        <f>IFERROR(IF(INDEX(SPOT_Import!$A$1:$Z$2488,2143,'Live Data'!$C$15)="","",INDEX(SPOT_Import!$A$1:$Z$2488,2143,'Live Data'!$C$15)),"")</f>
        <v/>
      </c>
      <c r="E2143" s="54" t="str">
        <f>IFERROR(IF(INDEX(SPOT_Import!$A$1:$Z$2488,2143,'Live Data'!$C$16)="","",INDEX(SPOT_Import!$A$1:$Z$2488,2143,'Live Data'!$C$16)),"")</f>
        <v/>
      </c>
      <c r="F2143" s="54" t="str">
        <f>IFERROR(IF(INDEX(SPOT_Import!$A$1:$Z$2488,2143,'Live Data'!$C$17)="","",INDEX(SPOT_Import!$A$1:$Z$2488,2143,'Live Data'!$C$17)),"")</f>
        <v/>
      </c>
      <c r="G2143" s="54" t="str">
        <f>IFERROR(IF(INDEX(SPOT_Import!$A$1:$Z$2488,2143,'Live Data'!$C$18)="","",INDEX(SPOT_Import!$A$1:$Z$2488,2143,'Live Data'!$C$18)),"")</f>
        <v/>
      </c>
      <c r="H2143" s="54" t="str">
        <f>IFERROR(IF(INDEX(SPOT_Import!$A$1:$Z$2488,2143,'Live Data'!$C$19)="","",INDEX(SPOT_Import!$A$1:$Z$2488,2143,'Live Data'!$C$19)),"")</f>
        <v/>
      </c>
      <c r="I2143" s="54" t="str">
        <f>IFERROR(IF(INDEX(SPOT_Import!$A$1:$Z$2488,2143,'Live Data'!$C$20)="","",INDEX(SPOT_Import!$A$1:$Z$2488,2143,'Live Data'!$C$20)),"")</f>
        <v/>
      </c>
      <c r="J2143" s="54" t="str">
        <f>IFERROR(IF(INDEX(SPOT_Import!$A$1:$Z$2488,2143,'Live Data'!$C$21)="","",INDEX(SPOT_Import!$A$1:$Z$2488,2143,'Live Data'!$C$21)),"")</f>
        <v/>
      </c>
      <c r="K2143" s="54" t="str">
        <f>IFERROR(IF(INDEX(SPOT_Import!$A$1:$Z$2488,2143,'Live Data'!$C$22)="","",INDEX(SPOT_Import!$A$1:$Z$2488,2143,'Live Data'!$C$22)),"")</f>
        <v/>
      </c>
      <c r="L2143" s="55" t="str">
        <f t="shared" si="66"/>
        <v/>
      </c>
      <c r="M2143" s="55" t="str">
        <f t="shared" si="67"/>
        <v/>
      </c>
      <c r="N2143" s="55" t="str">
        <f>IF(A2143="","",IFERROR(INDEX('Cluster Map'!$A$4:$A$38,MATCH(M2143,'Cluster Map'!$B$4:$B$38,0)),"Unmapped"))</f>
        <v/>
      </c>
      <c r="O2143" s="55">
        <f>IF(A2143="",0,IF(COUNTIFS($A$2:A2143,A2143,$F$2:F2143,F2143,$L$2:L2143,L2143)=1,1,0))</f>
        <v>0</v>
      </c>
      <c r="P2143" s="55">
        <f>IF(A2143="",0,IF(AND(F2143="C&amp;T",COUNTIFS($A$2:A2143,A2143,$F$2:F2143,"C&amp;T")=1),1,0))</f>
        <v>0</v>
      </c>
    </row>
    <row r="2144" spans="1:16" x14ac:dyDescent="0.35">
      <c r="A2144" s="54" t="str">
        <f>IFERROR(IF(INDEX(SPOT_Import!$A$1:$Z$2488,2144,'Live Data'!$C$12)="","",INDEX(SPOT_Import!$A$1:$Z$2488,2144,'Live Data'!$C$12)),"")</f>
        <v/>
      </c>
      <c r="B2144" s="54" t="str">
        <f>IFERROR(IF(INDEX(SPOT_Import!$A$1:$Z$2488,2144,'Live Data'!$C$13)="","",INDEX(SPOT_Import!$A$1:$Z$2488,2144,'Live Data'!$C$13)),"")</f>
        <v/>
      </c>
      <c r="C2144" s="54" t="str">
        <f>IFERROR(IF(INDEX(SPOT_Import!$A$1:$Z$2488,2144,'Live Data'!$C$14)="","",INDEX(SPOT_Import!$A$1:$Z$2488,2144,'Live Data'!$C$14)),"")</f>
        <v/>
      </c>
      <c r="D2144" s="54" t="str">
        <f>IFERROR(IF(INDEX(SPOT_Import!$A$1:$Z$2488,2144,'Live Data'!$C$15)="","",INDEX(SPOT_Import!$A$1:$Z$2488,2144,'Live Data'!$C$15)),"")</f>
        <v/>
      </c>
      <c r="E2144" s="54" t="str">
        <f>IFERROR(IF(INDEX(SPOT_Import!$A$1:$Z$2488,2144,'Live Data'!$C$16)="","",INDEX(SPOT_Import!$A$1:$Z$2488,2144,'Live Data'!$C$16)),"")</f>
        <v/>
      </c>
      <c r="F2144" s="54" t="str">
        <f>IFERROR(IF(INDEX(SPOT_Import!$A$1:$Z$2488,2144,'Live Data'!$C$17)="","",INDEX(SPOT_Import!$A$1:$Z$2488,2144,'Live Data'!$C$17)),"")</f>
        <v/>
      </c>
      <c r="G2144" s="54" t="str">
        <f>IFERROR(IF(INDEX(SPOT_Import!$A$1:$Z$2488,2144,'Live Data'!$C$18)="","",INDEX(SPOT_Import!$A$1:$Z$2488,2144,'Live Data'!$C$18)),"")</f>
        <v/>
      </c>
      <c r="H2144" s="54" t="str">
        <f>IFERROR(IF(INDEX(SPOT_Import!$A$1:$Z$2488,2144,'Live Data'!$C$19)="","",INDEX(SPOT_Import!$A$1:$Z$2488,2144,'Live Data'!$C$19)),"")</f>
        <v/>
      </c>
      <c r="I2144" s="54" t="str">
        <f>IFERROR(IF(INDEX(SPOT_Import!$A$1:$Z$2488,2144,'Live Data'!$C$20)="","",INDEX(SPOT_Import!$A$1:$Z$2488,2144,'Live Data'!$C$20)),"")</f>
        <v/>
      </c>
      <c r="J2144" s="54" t="str">
        <f>IFERROR(IF(INDEX(SPOT_Import!$A$1:$Z$2488,2144,'Live Data'!$C$21)="","",INDEX(SPOT_Import!$A$1:$Z$2488,2144,'Live Data'!$C$21)),"")</f>
        <v/>
      </c>
      <c r="K2144" s="54" t="str">
        <f>IFERROR(IF(INDEX(SPOT_Import!$A$1:$Z$2488,2144,'Live Data'!$C$22)="","",INDEX(SPOT_Import!$A$1:$Z$2488,2144,'Live Data'!$C$22)),"")</f>
        <v/>
      </c>
      <c r="L2144" s="55" t="str">
        <f t="shared" si="66"/>
        <v/>
      </c>
      <c r="M2144" s="55" t="str">
        <f t="shared" si="67"/>
        <v/>
      </c>
      <c r="N2144" s="55" t="str">
        <f>IF(A2144="","",IFERROR(INDEX('Cluster Map'!$A$4:$A$38,MATCH(M2144,'Cluster Map'!$B$4:$B$38,0)),"Unmapped"))</f>
        <v/>
      </c>
      <c r="O2144" s="55">
        <f>IF(A2144="",0,IF(COUNTIFS($A$2:A2144,A2144,$F$2:F2144,F2144,$L$2:L2144,L2144)=1,1,0))</f>
        <v>0</v>
      </c>
      <c r="P2144" s="55">
        <f>IF(A2144="",0,IF(AND(F2144="C&amp;T",COUNTIFS($A$2:A2144,A2144,$F$2:F2144,"C&amp;T")=1),1,0))</f>
        <v>0</v>
      </c>
    </row>
    <row r="2145" spans="1:16" x14ac:dyDescent="0.35">
      <c r="A2145" s="54" t="str">
        <f>IFERROR(IF(INDEX(SPOT_Import!$A$1:$Z$2488,2145,'Live Data'!$C$12)="","",INDEX(SPOT_Import!$A$1:$Z$2488,2145,'Live Data'!$C$12)),"")</f>
        <v/>
      </c>
      <c r="B2145" s="54" t="str">
        <f>IFERROR(IF(INDEX(SPOT_Import!$A$1:$Z$2488,2145,'Live Data'!$C$13)="","",INDEX(SPOT_Import!$A$1:$Z$2488,2145,'Live Data'!$C$13)),"")</f>
        <v/>
      </c>
      <c r="C2145" s="54" t="str">
        <f>IFERROR(IF(INDEX(SPOT_Import!$A$1:$Z$2488,2145,'Live Data'!$C$14)="","",INDEX(SPOT_Import!$A$1:$Z$2488,2145,'Live Data'!$C$14)),"")</f>
        <v/>
      </c>
      <c r="D2145" s="54" t="str">
        <f>IFERROR(IF(INDEX(SPOT_Import!$A$1:$Z$2488,2145,'Live Data'!$C$15)="","",INDEX(SPOT_Import!$A$1:$Z$2488,2145,'Live Data'!$C$15)),"")</f>
        <v/>
      </c>
      <c r="E2145" s="54" t="str">
        <f>IFERROR(IF(INDEX(SPOT_Import!$A$1:$Z$2488,2145,'Live Data'!$C$16)="","",INDEX(SPOT_Import!$A$1:$Z$2488,2145,'Live Data'!$C$16)),"")</f>
        <v/>
      </c>
      <c r="F2145" s="54" t="str">
        <f>IFERROR(IF(INDEX(SPOT_Import!$A$1:$Z$2488,2145,'Live Data'!$C$17)="","",INDEX(SPOT_Import!$A$1:$Z$2488,2145,'Live Data'!$C$17)),"")</f>
        <v/>
      </c>
      <c r="G2145" s="54" t="str">
        <f>IFERROR(IF(INDEX(SPOT_Import!$A$1:$Z$2488,2145,'Live Data'!$C$18)="","",INDEX(SPOT_Import!$A$1:$Z$2488,2145,'Live Data'!$C$18)),"")</f>
        <v/>
      </c>
      <c r="H2145" s="54" t="str">
        <f>IFERROR(IF(INDEX(SPOT_Import!$A$1:$Z$2488,2145,'Live Data'!$C$19)="","",INDEX(SPOT_Import!$A$1:$Z$2488,2145,'Live Data'!$C$19)),"")</f>
        <v/>
      </c>
      <c r="I2145" s="54" t="str">
        <f>IFERROR(IF(INDEX(SPOT_Import!$A$1:$Z$2488,2145,'Live Data'!$C$20)="","",INDEX(SPOT_Import!$A$1:$Z$2488,2145,'Live Data'!$C$20)),"")</f>
        <v/>
      </c>
      <c r="J2145" s="54" t="str">
        <f>IFERROR(IF(INDEX(SPOT_Import!$A$1:$Z$2488,2145,'Live Data'!$C$21)="","",INDEX(SPOT_Import!$A$1:$Z$2488,2145,'Live Data'!$C$21)),"")</f>
        <v/>
      </c>
      <c r="K2145" s="54" t="str">
        <f>IFERROR(IF(INDEX(SPOT_Import!$A$1:$Z$2488,2145,'Live Data'!$C$22)="","",INDEX(SPOT_Import!$A$1:$Z$2488,2145,'Live Data'!$C$22)),"")</f>
        <v/>
      </c>
      <c r="L2145" s="55" t="str">
        <f t="shared" si="66"/>
        <v/>
      </c>
      <c r="M2145" s="55" t="str">
        <f t="shared" si="67"/>
        <v/>
      </c>
      <c r="N2145" s="55" t="str">
        <f>IF(A2145="","",IFERROR(INDEX('Cluster Map'!$A$4:$A$38,MATCH(M2145,'Cluster Map'!$B$4:$B$38,0)),"Unmapped"))</f>
        <v/>
      </c>
      <c r="O2145" s="55">
        <f>IF(A2145="",0,IF(COUNTIFS($A$2:A2145,A2145,$F$2:F2145,F2145,$L$2:L2145,L2145)=1,1,0))</f>
        <v>0</v>
      </c>
      <c r="P2145" s="55">
        <f>IF(A2145="",0,IF(AND(F2145="C&amp;T",COUNTIFS($A$2:A2145,A2145,$F$2:F2145,"C&amp;T")=1),1,0))</f>
        <v>0</v>
      </c>
    </row>
    <row r="2146" spans="1:16" x14ac:dyDescent="0.35">
      <c r="A2146" s="54" t="str">
        <f>IFERROR(IF(INDEX(SPOT_Import!$A$1:$Z$2488,2146,'Live Data'!$C$12)="","",INDEX(SPOT_Import!$A$1:$Z$2488,2146,'Live Data'!$C$12)),"")</f>
        <v/>
      </c>
      <c r="B2146" s="54" t="str">
        <f>IFERROR(IF(INDEX(SPOT_Import!$A$1:$Z$2488,2146,'Live Data'!$C$13)="","",INDEX(SPOT_Import!$A$1:$Z$2488,2146,'Live Data'!$C$13)),"")</f>
        <v/>
      </c>
      <c r="C2146" s="54" t="str">
        <f>IFERROR(IF(INDEX(SPOT_Import!$A$1:$Z$2488,2146,'Live Data'!$C$14)="","",INDEX(SPOT_Import!$A$1:$Z$2488,2146,'Live Data'!$C$14)),"")</f>
        <v/>
      </c>
      <c r="D2146" s="54" t="str">
        <f>IFERROR(IF(INDEX(SPOT_Import!$A$1:$Z$2488,2146,'Live Data'!$C$15)="","",INDEX(SPOT_Import!$A$1:$Z$2488,2146,'Live Data'!$C$15)),"")</f>
        <v/>
      </c>
      <c r="E2146" s="54" t="str">
        <f>IFERROR(IF(INDEX(SPOT_Import!$A$1:$Z$2488,2146,'Live Data'!$C$16)="","",INDEX(SPOT_Import!$A$1:$Z$2488,2146,'Live Data'!$C$16)),"")</f>
        <v/>
      </c>
      <c r="F2146" s="54" t="str">
        <f>IFERROR(IF(INDEX(SPOT_Import!$A$1:$Z$2488,2146,'Live Data'!$C$17)="","",INDEX(SPOT_Import!$A$1:$Z$2488,2146,'Live Data'!$C$17)),"")</f>
        <v/>
      </c>
      <c r="G2146" s="54" t="str">
        <f>IFERROR(IF(INDEX(SPOT_Import!$A$1:$Z$2488,2146,'Live Data'!$C$18)="","",INDEX(SPOT_Import!$A$1:$Z$2488,2146,'Live Data'!$C$18)),"")</f>
        <v/>
      </c>
      <c r="H2146" s="54" t="str">
        <f>IFERROR(IF(INDEX(SPOT_Import!$A$1:$Z$2488,2146,'Live Data'!$C$19)="","",INDEX(SPOT_Import!$A$1:$Z$2488,2146,'Live Data'!$C$19)),"")</f>
        <v/>
      </c>
      <c r="I2146" s="54" t="str">
        <f>IFERROR(IF(INDEX(SPOT_Import!$A$1:$Z$2488,2146,'Live Data'!$C$20)="","",INDEX(SPOT_Import!$A$1:$Z$2488,2146,'Live Data'!$C$20)),"")</f>
        <v/>
      </c>
      <c r="J2146" s="54" t="str">
        <f>IFERROR(IF(INDEX(SPOT_Import!$A$1:$Z$2488,2146,'Live Data'!$C$21)="","",INDEX(SPOT_Import!$A$1:$Z$2488,2146,'Live Data'!$C$21)),"")</f>
        <v/>
      </c>
      <c r="K2146" s="54" t="str">
        <f>IFERROR(IF(INDEX(SPOT_Import!$A$1:$Z$2488,2146,'Live Data'!$C$22)="","",INDEX(SPOT_Import!$A$1:$Z$2488,2146,'Live Data'!$C$22)),"")</f>
        <v/>
      </c>
      <c r="L2146" s="55" t="str">
        <f t="shared" si="66"/>
        <v/>
      </c>
      <c r="M2146" s="55" t="str">
        <f t="shared" si="67"/>
        <v/>
      </c>
      <c r="N2146" s="55" t="str">
        <f>IF(A2146="","",IFERROR(INDEX('Cluster Map'!$A$4:$A$38,MATCH(M2146,'Cluster Map'!$B$4:$B$38,0)),"Unmapped"))</f>
        <v/>
      </c>
      <c r="O2146" s="55">
        <f>IF(A2146="",0,IF(COUNTIFS($A$2:A2146,A2146,$F$2:F2146,F2146,$L$2:L2146,L2146)=1,1,0))</f>
        <v>0</v>
      </c>
      <c r="P2146" s="55">
        <f>IF(A2146="",0,IF(AND(F2146="C&amp;T",COUNTIFS($A$2:A2146,A2146,$F$2:F2146,"C&amp;T")=1),1,0))</f>
        <v>0</v>
      </c>
    </row>
    <row r="2147" spans="1:16" x14ac:dyDescent="0.35">
      <c r="A2147" s="54" t="str">
        <f>IFERROR(IF(INDEX(SPOT_Import!$A$1:$Z$2488,2147,'Live Data'!$C$12)="","",INDEX(SPOT_Import!$A$1:$Z$2488,2147,'Live Data'!$C$12)),"")</f>
        <v/>
      </c>
      <c r="B2147" s="54" t="str">
        <f>IFERROR(IF(INDEX(SPOT_Import!$A$1:$Z$2488,2147,'Live Data'!$C$13)="","",INDEX(SPOT_Import!$A$1:$Z$2488,2147,'Live Data'!$C$13)),"")</f>
        <v/>
      </c>
      <c r="C2147" s="54" t="str">
        <f>IFERROR(IF(INDEX(SPOT_Import!$A$1:$Z$2488,2147,'Live Data'!$C$14)="","",INDEX(SPOT_Import!$A$1:$Z$2488,2147,'Live Data'!$C$14)),"")</f>
        <v/>
      </c>
      <c r="D2147" s="54" t="str">
        <f>IFERROR(IF(INDEX(SPOT_Import!$A$1:$Z$2488,2147,'Live Data'!$C$15)="","",INDEX(SPOT_Import!$A$1:$Z$2488,2147,'Live Data'!$C$15)),"")</f>
        <v/>
      </c>
      <c r="E2147" s="54" t="str">
        <f>IFERROR(IF(INDEX(SPOT_Import!$A$1:$Z$2488,2147,'Live Data'!$C$16)="","",INDEX(SPOT_Import!$A$1:$Z$2488,2147,'Live Data'!$C$16)),"")</f>
        <v/>
      </c>
      <c r="F2147" s="54" t="str">
        <f>IFERROR(IF(INDEX(SPOT_Import!$A$1:$Z$2488,2147,'Live Data'!$C$17)="","",INDEX(SPOT_Import!$A$1:$Z$2488,2147,'Live Data'!$C$17)),"")</f>
        <v/>
      </c>
      <c r="G2147" s="54" t="str">
        <f>IFERROR(IF(INDEX(SPOT_Import!$A$1:$Z$2488,2147,'Live Data'!$C$18)="","",INDEX(SPOT_Import!$A$1:$Z$2488,2147,'Live Data'!$C$18)),"")</f>
        <v/>
      </c>
      <c r="H2147" s="54" t="str">
        <f>IFERROR(IF(INDEX(SPOT_Import!$A$1:$Z$2488,2147,'Live Data'!$C$19)="","",INDEX(SPOT_Import!$A$1:$Z$2488,2147,'Live Data'!$C$19)),"")</f>
        <v/>
      </c>
      <c r="I2147" s="54" t="str">
        <f>IFERROR(IF(INDEX(SPOT_Import!$A$1:$Z$2488,2147,'Live Data'!$C$20)="","",INDEX(SPOT_Import!$A$1:$Z$2488,2147,'Live Data'!$C$20)),"")</f>
        <v/>
      </c>
      <c r="J2147" s="54" t="str">
        <f>IFERROR(IF(INDEX(SPOT_Import!$A$1:$Z$2488,2147,'Live Data'!$C$21)="","",INDEX(SPOT_Import!$A$1:$Z$2488,2147,'Live Data'!$C$21)),"")</f>
        <v/>
      </c>
      <c r="K2147" s="54" t="str">
        <f>IFERROR(IF(INDEX(SPOT_Import!$A$1:$Z$2488,2147,'Live Data'!$C$22)="","",INDEX(SPOT_Import!$A$1:$Z$2488,2147,'Live Data'!$C$22)),"")</f>
        <v/>
      </c>
      <c r="L2147" s="55" t="str">
        <f t="shared" si="66"/>
        <v/>
      </c>
      <c r="M2147" s="55" t="str">
        <f t="shared" si="67"/>
        <v/>
      </c>
      <c r="N2147" s="55" t="str">
        <f>IF(A2147="","",IFERROR(INDEX('Cluster Map'!$A$4:$A$38,MATCH(M2147,'Cluster Map'!$B$4:$B$38,0)),"Unmapped"))</f>
        <v/>
      </c>
      <c r="O2147" s="55">
        <f>IF(A2147="",0,IF(COUNTIFS($A$2:A2147,A2147,$F$2:F2147,F2147,$L$2:L2147,L2147)=1,1,0))</f>
        <v>0</v>
      </c>
      <c r="P2147" s="55">
        <f>IF(A2147="",0,IF(AND(F2147="C&amp;T",COUNTIFS($A$2:A2147,A2147,$F$2:F2147,"C&amp;T")=1),1,0))</f>
        <v>0</v>
      </c>
    </row>
    <row r="2148" spans="1:16" x14ac:dyDescent="0.35">
      <c r="A2148" s="54" t="str">
        <f>IFERROR(IF(INDEX(SPOT_Import!$A$1:$Z$2488,2148,'Live Data'!$C$12)="","",INDEX(SPOT_Import!$A$1:$Z$2488,2148,'Live Data'!$C$12)),"")</f>
        <v/>
      </c>
      <c r="B2148" s="54" t="str">
        <f>IFERROR(IF(INDEX(SPOT_Import!$A$1:$Z$2488,2148,'Live Data'!$C$13)="","",INDEX(SPOT_Import!$A$1:$Z$2488,2148,'Live Data'!$C$13)),"")</f>
        <v/>
      </c>
      <c r="C2148" s="54" t="str">
        <f>IFERROR(IF(INDEX(SPOT_Import!$A$1:$Z$2488,2148,'Live Data'!$C$14)="","",INDEX(SPOT_Import!$A$1:$Z$2488,2148,'Live Data'!$C$14)),"")</f>
        <v/>
      </c>
      <c r="D2148" s="54" t="str">
        <f>IFERROR(IF(INDEX(SPOT_Import!$A$1:$Z$2488,2148,'Live Data'!$C$15)="","",INDEX(SPOT_Import!$A$1:$Z$2488,2148,'Live Data'!$C$15)),"")</f>
        <v/>
      </c>
      <c r="E2148" s="54" t="str">
        <f>IFERROR(IF(INDEX(SPOT_Import!$A$1:$Z$2488,2148,'Live Data'!$C$16)="","",INDEX(SPOT_Import!$A$1:$Z$2488,2148,'Live Data'!$C$16)),"")</f>
        <v/>
      </c>
      <c r="F2148" s="54" t="str">
        <f>IFERROR(IF(INDEX(SPOT_Import!$A$1:$Z$2488,2148,'Live Data'!$C$17)="","",INDEX(SPOT_Import!$A$1:$Z$2488,2148,'Live Data'!$C$17)),"")</f>
        <v/>
      </c>
      <c r="G2148" s="54" t="str">
        <f>IFERROR(IF(INDEX(SPOT_Import!$A$1:$Z$2488,2148,'Live Data'!$C$18)="","",INDEX(SPOT_Import!$A$1:$Z$2488,2148,'Live Data'!$C$18)),"")</f>
        <v/>
      </c>
      <c r="H2148" s="54" t="str">
        <f>IFERROR(IF(INDEX(SPOT_Import!$A$1:$Z$2488,2148,'Live Data'!$C$19)="","",INDEX(SPOT_Import!$A$1:$Z$2488,2148,'Live Data'!$C$19)),"")</f>
        <v/>
      </c>
      <c r="I2148" s="54" t="str">
        <f>IFERROR(IF(INDEX(SPOT_Import!$A$1:$Z$2488,2148,'Live Data'!$C$20)="","",INDEX(SPOT_Import!$A$1:$Z$2488,2148,'Live Data'!$C$20)),"")</f>
        <v/>
      </c>
      <c r="J2148" s="54" t="str">
        <f>IFERROR(IF(INDEX(SPOT_Import!$A$1:$Z$2488,2148,'Live Data'!$C$21)="","",INDEX(SPOT_Import!$A$1:$Z$2488,2148,'Live Data'!$C$21)),"")</f>
        <v/>
      </c>
      <c r="K2148" s="54" t="str">
        <f>IFERROR(IF(INDEX(SPOT_Import!$A$1:$Z$2488,2148,'Live Data'!$C$22)="","",INDEX(SPOT_Import!$A$1:$Z$2488,2148,'Live Data'!$C$22)),"")</f>
        <v/>
      </c>
      <c r="L2148" s="55" t="str">
        <f t="shared" si="66"/>
        <v/>
      </c>
      <c r="M2148" s="55" t="str">
        <f t="shared" si="67"/>
        <v/>
      </c>
      <c r="N2148" s="55" t="str">
        <f>IF(A2148="","",IFERROR(INDEX('Cluster Map'!$A$4:$A$38,MATCH(M2148,'Cluster Map'!$B$4:$B$38,0)),"Unmapped"))</f>
        <v/>
      </c>
      <c r="O2148" s="55">
        <f>IF(A2148="",0,IF(COUNTIFS($A$2:A2148,A2148,$F$2:F2148,F2148,$L$2:L2148,L2148)=1,1,0))</f>
        <v>0</v>
      </c>
      <c r="P2148" s="55">
        <f>IF(A2148="",0,IF(AND(F2148="C&amp;T",COUNTIFS($A$2:A2148,A2148,$F$2:F2148,"C&amp;T")=1),1,0))</f>
        <v>0</v>
      </c>
    </row>
    <row r="2149" spans="1:16" x14ac:dyDescent="0.35">
      <c r="A2149" s="54" t="str">
        <f>IFERROR(IF(INDEX(SPOT_Import!$A$1:$Z$2488,2149,'Live Data'!$C$12)="","",INDEX(SPOT_Import!$A$1:$Z$2488,2149,'Live Data'!$C$12)),"")</f>
        <v/>
      </c>
      <c r="B2149" s="54" t="str">
        <f>IFERROR(IF(INDEX(SPOT_Import!$A$1:$Z$2488,2149,'Live Data'!$C$13)="","",INDEX(SPOT_Import!$A$1:$Z$2488,2149,'Live Data'!$C$13)),"")</f>
        <v/>
      </c>
      <c r="C2149" s="54" t="str">
        <f>IFERROR(IF(INDEX(SPOT_Import!$A$1:$Z$2488,2149,'Live Data'!$C$14)="","",INDEX(SPOT_Import!$A$1:$Z$2488,2149,'Live Data'!$C$14)),"")</f>
        <v/>
      </c>
      <c r="D2149" s="54" t="str">
        <f>IFERROR(IF(INDEX(SPOT_Import!$A$1:$Z$2488,2149,'Live Data'!$C$15)="","",INDEX(SPOT_Import!$A$1:$Z$2488,2149,'Live Data'!$C$15)),"")</f>
        <v/>
      </c>
      <c r="E2149" s="54" t="str">
        <f>IFERROR(IF(INDEX(SPOT_Import!$A$1:$Z$2488,2149,'Live Data'!$C$16)="","",INDEX(SPOT_Import!$A$1:$Z$2488,2149,'Live Data'!$C$16)),"")</f>
        <v/>
      </c>
      <c r="F2149" s="54" t="str">
        <f>IFERROR(IF(INDEX(SPOT_Import!$A$1:$Z$2488,2149,'Live Data'!$C$17)="","",INDEX(SPOT_Import!$A$1:$Z$2488,2149,'Live Data'!$C$17)),"")</f>
        <v/>
      </c>
      <c r="G2149" s="54" t="str">
        <f>IFERROR(IF(INDEX(SPOT_Import!$A$1:$Z$2488,2149,'Live Data'!$C$18)="","",INDEX(SPOT_Import!$A$1:$Z$2488,2149,'Live Data'!$C$18)),"")</f>
        <v/>
      </c>
      <c r="H2149" s="54" t="str">
        <f>IFERROR(IF(INDEX(SPOT_Import!$A$1:$Z$2488,2149,'Live Data'!$C$19)="","",INDEX(SPOT_Import!$A$1:$Z$2488,2149,'Live Data'!$C$19)),"")</f>
        <v/>
      </c>
      <c r="I2149" s="54" t="str">
        <f>IFERROR(IF(INDEX(SPOT_Import!$A$1:$Z$2488,2149,'Live Data'!$C$20)="","",INDEX(SPOT_Import!$A$1:$Z$2488,2149,'Live Data'!$C$20)),"")</f>
        <v/>
      </c>
      <c r="J2149" s="54" t="str">
        <f>IFERROR(IF(INDEX(SPOT_Import!$A$1:$Z$2488,2149,'Live Data'!$C$21)="","",INDEX(SPOT_Import!$A$1:$Z$2488,2149,'Live Data'!$C$21)),"")</f>
        <v/>
      </c>
      <c r="K2149" s="54" t="str">
        <f>IFERROR(IF(INDEX(SPOT_Import!$A$1:$Z$2488,2149,'Live Data'!$C$22)="","",INDEX(SPOT_Import!$A$1:$Z$2488,2149,'Live Data'!$C$22)),"")</f>
        <v/>
      </c>
      <c r="L2149" s="55" t="str">
        <f t="shared" si="66"/>
        <v/>
      </c>
      <c r="M2149" s="55" t="str">
        <f t="shared" si="67"/>
        <v/>
      </c>
      <c r="N2149" s="55" t="str">
        <f>IF(A2149="","",IFERROR(INDEX('Cluster Map'!$A$4:$A$38,MATCH(M2149,'Cluster Map'!$B$4:$B$38,0)),"Unmapped"))</f>
        <v/>
      </c>
      <c r="O2149" s="55">
        <f>IF(A2149="",0,IF(COUNTIFS($A$2:A2149,A2149,$F$2:F2149,F2149,$L$2:L2149,L2149)=1,1,0))</f>
        <v>0</v>
      </c>
      <c r="P2149" s="55">
        <f>IF(A2149="",0,IF(AND(F2149="C&amp;T",COUNTIFS($A$2:A2149,A2149,$F$2:F2149,"C&amp;T")=1),1,0))</f>
        <v>0</v>
      </c>
    </row>
    <row r="2150" spans="1:16" x14ac:dyDescent="0.35">
      <c r="A2150" s="54" t="str">
        <f>IFERROR(IF(INDEX(SPOT_Import!$A$1:$Z$2488,2150,'Live Data'!$C$12)="","",INDEX(SPOT_Import!$A$1:$Z$2488,2150,'Live Data'!$C$12)),"")</f>
        <v/>
      </c>
      <c r="B2150" s="54" t="str">
        <f>IFERROR(IF(INDEX(SPOT_Import!$A$1:$Z$2488,2150,'Live Data'!$C$13)="","",INDEX(SPOT_Import!$A$1:$Z$2488,2150,'Live Data'!$C$13)),"")</f>
        <v/>
      </c>
      <c r="C2150" s="54" t="str">
        <f>IFERROR(IF(INDEX(SPOT_Import!$A$1:$Z$2488,2150,'Live Data'!$C$14)="","",INDEX(SPOT_Import!$A$1:$Z$2488,2150,'Live Data'!$C$14)),"")</f>
        <v/>
      </c>
      <c r="D2150" s="54" t="str">
        <f>IFERROR(IF(INDEX(SPOT_Import!$A$1:$Z$2488,2150,'Live Data'!$C$15)="","",INDEX(SPOT_Import!$A$1:$Z$2488,2150,'Live Data'!$C$15)),"")</f>
        <v/>
      </c>
      <c r="E2150" s="54" t="str">
        <f>IFERROR(IF(INDEX(SPOT_Import!$A$1:$Z$2488,2150,'Live Data'!$C$16)="","",INDEX(SPOT_Import!$A$1:$Z$2488,2150,'Live Data'!$C$16)),"")</f>
        <v/>
      </c>
      <c r="F2150" s="54" t="str">
        <f>IFERROR(IF(INDEX(SPOT_Import!$A$1:$Z$2488,2150,'Live Data'!$C$17)="","",INDEX(SPOT_Import!$A$1:$Z$2488,2150,'Live Data'!$C$17)),"")</f>
        <v/>
      </c>
      <c r="G2150" s="54" t="str">
        <f>IFERROR(IF(INDEX(SPOT_Import!$A$1:$Z$2488,2150,'Live Data'!$C$18)="","",INDEX(SPOT_Import!$A$1:$Z$2488,2150,'Live Data'!$C$18)),"")</f>
        <v/>
      </c>
      <c r="H2150" s="54" t="str">
        <f>IFERROR(IF(INDEX(SPOT_Import!$A$1:$Z$2488,2150,'Live Data'!$C$19)="","",INDEX(SPOT_Import!$A$1:$Z$2488,2150,'Live Data'!$C$19)),"")</f>
        <v/>
      </c>
      <c r="I2150" s="54" t="str">
        <f>IFERROR(IF(INDEX(SPOT_Import!$A$1:$Z$2488,2150,'Live Data'!$C$20)="","",INDEX(SPOT_Import!$A$1:$Z$2488,2150,'Live Data'!$C$20)),"")</f>
        <v/>
      </c>
      <c r="J2150" s="54" t="str">
        <f>IFERROR(IF(INDEX(SPOT_Import!$A$1:$Z$2488,2150,'Live Data'!$C$21)="","",INDEX(SPOT_Import!$A$1:$Z$2488,2150,'Live Data'!$C$21)),"")</f>
        <v/>
      </c>
      <c r="K2150" s="54" t="str">
        <f>IFERROR(IF(INDEX(SPOT_Import!$A$1:$Z$2488,2150,'Live Data'!$C$22)="","",INDEX(SPOT_Import!$A$1:$Z$2488,2150,'Live Data'!$C$22)),"")</f>
        <v/>
      </c>
      <c r="L2150" s="55" t="str">
        <f t="shared" si="66"/>
        <v/>
      </c>
      <c r="M2150" s="55" t="str">
        <f t="shared" si="67"/>
        <v/>
      </c>
      <c r="N2150" s="55" t="str">
        <f>IF(A2150="","",IFERROR(INDEX('Cluster Map'!$A$4:$A$38,MATCH(M2150,'Cluster Map'!$B$4:$B$38,0)),"Unmapped"))</f>
        <v/>
      </c>
      <c r="O2150" s="55">
        <f>IF(A2150="",0,IF(COUNTIFS($A$2:A2150,A2150,$F$2:F2150,F2150,$L$2:L2150,L2150)=1,1,0))</f>
        <v>0</v>
      </c>
      <c r="P2150" s="55">
        <f>IF(A2150="",0,IF(AND(F2150="C&amp;T",COUNTIFS($A$2:A2150,A2150,$F$2:F2150,"C&amp;T")=1),1,0))</f>
        <v>0</v>
      </c>
    </row>
    <row r="2151" spans="1:16" x14ac:dyDescent="0.35">
      <c r="A2151" s="54" t="str">
        <f>IFERROR(IF(INDEX(SPOT_Import!$A$1:$Z$2488,2151,'Live Data'!$C$12)="","",INDEX(SPOT_Import!$A$1:$Z$2488,2151,'Live Data'!$C$12)),"")</f>
        <v/>
      </c>
      <c r="B2151" s="54" t="str">
        <f>IFERROR(IF(INDEX(SPOT_Import!$A$1:$Z$2488,2151,'Live Data'!$C$13)="","",INDEX(SPOT_Import!$A$1:$Z$2488,2151,'Live Data'!$C$13)),"")</f>
        <v/>
      </c>
      <c r="C2151" s="54" t="str">
        <f>IFERROR(IF(INDEX(SPOT_Import!$A$1:$Z$2488,2151,'Live Data'!$C$14)="","",INDEX(SPOT_Import!$A$1:$Z$2488,2151,'Live Data'!$C$14)),"")</f>
        <v/>
      </c>
      <c r="D2151" s="54" t="str">
        <f>IFERROR(IF(INDEX(SPOT_Import!$A$1:$Z$2488,2151,'Live Data'!$C$15)="","",INDEX(SPOT_Import!$A$1:$Z$2488,2151,'Live Data'!$C$15)),"")</f>
        <v/>
      </c>
      <c r="E2151" s="54" t="str">
        <f>IFERROR(IF(INDEX(SPOT_Import!$A$1:$Z$2488,2151,'Live Data'!$C$16)="","",INDEX(SPOT_Import!$A$1:$Z$2488,2151,'Live Data'!$C$16)),"")</f>
        <v/>
      </c>
      <c r="F2151" s="54" t="str">
        <f>IFERROR(IF(INDEX(SPOT_Import!$A$1:$Z$2488,2151,'Live Data'!$C$17)="","",INDEX(SPOT_Import!$A$1:$Z$2488,2151,'Live Data'!$C$17)),"")</f>
        <v/>
      </c>
      <c r="G2151" s="54" t="str">
        <f>IFERROR(IF(INDEX(SPOT_Import!$A$1:$Z$2488,2151,'Live Data'!$C$18)="","",INDEX(SPOT_Import!$A$1:$Z$2488,2151,'Live Data'!$C$18)),"")</f>
        <v/>
      </c>
      <c r="H2151" s="54" t="str">
        <f>IFERROR(IF(INDEX(SPOT_Import!$A$1:$Z$2488,2151,'Live Data'!$C$19)="","",INDEX(SPOT_Import!$A$1:$Z$2488,2151,'Live Data'!$C$19)),"")</f>
        <v/>
      </c>
      <c r="I2151" s="54" t="str">
        <f>IFERROR(IF(INDEX(SPOT_Import!$A$1:$Z$2488,2151,'Live Data'!$C$20)="","",INDEX(SPOT_Import!$A$1:$Z$2488,2151,'Live Data'!$C$20)),"")</f>
        <v/>
      </c>
      <c r="J2151" s="54" t="str">
        <f>IFERROR(IF(INDEX(SPOT_Import!$A$1:$Z$2488,2151,'Live Data'!$C$21)="","",INDEX(SPOT_Import!$A$1:$Z$2488,2151,'Live Data'!$C$21)),"")</f>
        <v/>
      </c>
      <c r="K2151" s="54" t="str">
        <f>IFERROR(IF(INDEX(SPOT_Import!$A$1:$Z$2488,2151,'Live Data'!$C$22)="","",INDEX(SPOT_Import!$A$1:$Z$2488,2151,'Live Data'!$C$22)),"")</f>
        <v/>
      </c>
      <c r="L2151" s="55" t="str">
        <f t="shared" si="66"/>
        <v/>
      </c>
      <c r="M2151" s="55" t="str">
        <f t="shared" si="67"/>
        <v/>
      </c>
      <c r="N2151" s="55" t="str">
        <f>IF(A2151="","",IFERROR(INDEX('Cluster Map'!$A$4:$A$38,MATCH(M2151,'Cluster Map'!$B$4:$B$38,0)),"Unmapped"))</f>
        <v/>
      </c>
      <c r="O2151" s="55">
        <f>IF(A2151="",0,IF(COUNTIFS($A$2:A2151,A2151,$F$2:F2151,F2151,$L$2:L2151,L2151)=1,1,0))</f>
        <v>0</v>
      </c>
      <c r="P2151" s="55">
        <f>IF(A2151="",0,IF(AND(F2151="C&amp;T",COUNTIFS($A$2:A2151,A2151,$F$2:F2151,"C&amp;T")=1),1,0))</f>
        <v>0</v>
      </c>
    </row>
    <row r="2152" spans="1:16" x14ac:dyDescent="0.35">
      <c r="A2152" s="54" t="str">
        <f>IFERROR(IF(INDEX(SPOT_Import!$A$1:$Z$2488,2152,'Live Data'!$C$12)="","",INDEX(SPOT_Import!$A$1:$Z$2488,2152,'Live Data'!$C$12)),"")</f>
        <v/>
      </c>
      <c r="B2152" s="54" t="str">
        <f>IFERROR(IF(INDEX(SPOT_Import!$A$1:$Z$2488,2152,'Live Data'!$C$13)="","",INDEX(SPOT_Import!$A$1:$Z$2488,2152,'Live Data'!$C$13)),"")</f>
        <v/>
      </c>
      <c r="C2152" s="54" t="str">
        <f>IFERROR(IF(INDEX(SPOT_Import!$A$1:$Z$2488,2152,'Live Data'!$C$14)="","",INDEX(SPOT_Import!$A$1:$Z$2488,2152,'Live Data'!$C$14)),"")</f>
        <v/>
      </c>
      <c r="D2152" s="54" t="str">
        <f>IFERROR(IF(INDEX(SPOT_Import!$A$1:$Z$2488,2152,'Live Data'!$C$15)="","",INDEX(SPOT_Import!$A$1:$Z$2488,2152,'Live Data'!$C$15)),"")</f>
        <v/>
      </c>
      <c r="E2152" s="54" t="str">
        <f>IFERROR(IF(INDEX(SPOT_Import!$A$1:$Z$2488,2152,'Live Data'!$C$16)="","",INDEX(SPOT_Import!$A$1:$Z$2488,2152,'Live Data'!$C$16)),"")</f>
        <v/>
      </c>
      <c r="F2152" s="54" t="str">
        <f>IFERROR(IF(INDEX(SPOT_Import!$A$1:$Z$2488,2152,'Live Data'!$C$17)="","",INDEX(SPOT_Import!$A$1:$Z$2488,2152,'Live Data'!$C$17)),"")</f>
        <v/>
      </c>
      <c r="G2152" s="54" t="str">
        <f>IFERROR(IF(INDEX(SPOT_Import!$A$1:$Z$2488,2152,'Live Data'!$C$18)="","",INDEX(SPOT_Import!$A$1:$Z$2488,2152,'Live Data'!$C$18)),"")</f>
        <v/>
      </c>
      <c r="H2152" s="54" t="str">
        <f>IFERROR(IF(INDEX(SPOT_Import!$A$1:$Z$2488,2152,'Live Data'!$C$19)="","",INDEX(SPOT_Import!$A$1:$Z$2488,2152,'Live Data'!$C$19)),"")</f>
        <v/>
      </c>
      <c r="I2152" s="54" t="str">
        <f>IFERROR(IF(INDEX(SPOT_Import!$A$1:$Z$2488,2152,'Live Data'!$C$20)="","",INDEX(SPOT_Import!$A$1:$Z$2488,2152,'Live Data'!$C$20)),"")</f>
        <v/>
      </c>
      <c r="J2152" s="54" t="str">
        <f>IFERROR(IF(INDEX(SPOT_Import!$A$1:$Z$2488,2152,'Live Data'!$C$21)="","",INDEX(SPOT_Import!$A$1:$Z$2488,2152,'Live Data'!$C$21)),"")</f>
        <v/>
      </c>
      <c r="K2152" s="54" t="str">
        <f>IFERROR(IF(INDEX(SPOT_Import!$A$1:$Z$2488,2152,'Live Data'!$C$22)="","",INDEX(SPOT_Import!$A$1:$Z$2488,2152,'Live Data'!$C$22)),"")</f>
        <v/>
      </c>
      <c r="L2152" s="55" t="str">
        <f t="shared" si="66"/>
        <v/>
      </c>
      <c r="M2152" s="55" t="str">
        <f t="shared" si="67"/>
        <v/>
      </c>
      <c r="N2152" s="55" t="str">
        <f>IF(A2152="","",IFERROR(INDEX('Cluster Map'!$A$4:$A$38,MATCH(M2152,'Cluster Map'!$B$4:$B$38,0)),"Unmapped"))</f>
        <v/>
      </c>
      <c r="O2152" s="55">
        <f>IF(A2152="",0,IF(COUNTIFS($A$2:A2152,A2152,$F$2:F2152,F2152,$L$2:L2152,L2152)=1,1,0))</f>
        <v>0</v>
      </c>
      <c r="P2152" s="55">
        <f>IF(A2152="",0,IF(AND(F2152="C&amp;T",COUNTIFS($A$2:A2152,A2152,$F$2:F2152,"C&amp;T")=1),1,0))</f>
        <v>0</v>
      </c>
    </row>
    <row r="2153" spans="1:16" x14ac:dyDescent="0.35">
      <c r="A2153" s="54" t="str">
        <f>IFERROR(IF(INDEX(SPOT_Import!$A$1:$Z$2488,2153,'Live Data'!$C$12)="","",INDEX(SPOT_Import!$A$1:$Z$2488,2153,'Live Data'!$C$12)),"")</f>
        <v/>
      </c>
      <c r="B2153" s="54" t="str">
        <f>IFERROR(IF(INDEX(SPOT_Import!$A$1:$Z$2488,2153,'Live Data'!$C$13)="","",INDEX(SPOT_Import!$A$1:$Z$2488,2153,'Live Data'!$C$13)),"")</f>
        <v/>
      </c>
      <c r="C2153" s="54" t="str">
        <f>IFERROR(IF(INDEX(SPOT_Import!$A$1:$Z$2488,2153,'Live Data'!$C$14)="","",INDEX(SPOT_Import!$A$1:$Z$2488,2153,'Live Data'!$C$14)),"")</f>
        <v/>
      </c>
      <c r="D2153" s="54" t="str">
        <f>IFERROR(IF(INDEX(SPOT_Import!$A$1:$Z$2488,2153,'Live Data'!$C$15)="","",INDEX(SPOT_Import!$A$1:$Z$2488,2153,'Live Data'!$C$15)),"")</f>
        <v/>
      </c>
      <c r="E2153" s="54" t="str">
        <f>IFERROR(IF(INDEX(SPOT_Import!$A$1:$Z$2488,2153,'Live Data'!$C$16)="","",INDEX(SPOT_Import!$A$1:$Z$2488,2153,'Live Data'!$C$16)),"")</f>
        <v/>
      </c>
      <c r="F2153" s="54" t="str">
        <f>IFERROR(IF(INDEX(SPOT_Import!$A$1:$Z$2488,2153,'Live Data'!$C$17)="","",INDEX(SPOT_Import!$A$1:$Z$2488,2153,'Live Data'!$C$17)),"")</f>
        <v/>
      </c>
      <c r="G2153" s="54" t="str">
        <f>IFERROR(IF(INDEX(SPOT_Import!$A$1:$Z$2488,2153,'Live Data'!$C$18)="","",INDEX(SPOT_Import!$A$1:$Z$2488,2153,'Live Data'!$C$18)),"")</f>
        <v/>
      </c>
      <c r="H2153" s="54" t="str">
        <f>IFERROR(IF(INDEX(SPOT_Import!$A$1:$Z$2488,2153,'Live Data'!$C$19)="","",INDEX(SPOT_Import!$A$1:$Z$2488,2153,'Live Data'!$C$19)),"")</f>
        <v/>
      </c>
      <c r="I2153" s="54" t="str">
        <f>IFERROR(IF(INDEX(SPOT_Import!$A$1:$Z$2488,2153,'Live Data'!$C$20)="","",INDEX(SPOT_Import!$A$1:$Z$2488,2153,'Live Data'!$C$20)),"")</f>
        <v/>
      </c>
      <c r="J2153" s="54" t="str">
        <f>IFERROR(IF(INDEX(SPOT_Import!$A$1:$Z$2488,2153,'Live Data'!$C$21)="","",INDEX(SPOT_Import!$A$1:$Z$2488,2153,'Live Data'!$C$21)),"")</f>
        <v/>
      </c>
      <c r="K2153" s="54" t="str">
        <f>IFERROR(IF(INDEX(SPOT_Import!$A$1:$Z$2488,2153,'Live Data'!$C$22)="","",INDEX(SPOT_Import!$A$1:$Z$2488,2153,'Live Data'!$C$22)),"")</f>
        <v/>
      </c>
      <c r="L2153" s="55" t="str">
        <f t="shared" si="66"/>
        <v/>
      </c>
      <c r="M2153" s="55" t="str">
        <f t="shared" si="67"/>
        <v/>
      </c>
      <c r="N2153" s="55" t="str">
        <f>IF(A2153="","",IFERROR(INDEX('Cluster Map'!$A$4:$A$38,MATCH(M2153,'Cluster Map'!$B$4:$B$38,0)),"Unmapped"))</f>
        <v/>
      </c>
      <c r="O2153" s="55">
        <f>IF(A2153="",0,IF(COUNTIFS($A$2:A2153,A2153,$F$2:F2153,F2153,$L$2:L2153,L2153)=1,1,0))</f>
        <v>0</v>
      </c>
      <c r="P2153" s="55">
        <f>IF(A2153="",0,IF(AND(F2153="C&amp;T",COUNTIFS($A$2:A2153,A2153,$F$2:F2153,"C&amp;T")=1),1,0))</f>
        <v>0</v>
      </c>
    </row>
    <row r="2154" spans="1:16" x14ac:dyDescent="0.35">
      <c r="A2154" s="54" t="str">
        <f>IFERROR(IF(INDEX(SPOT_Import!$A$1:$Z$2488,2154,'Live Data'!$C$12)="","",INDEX(SPOT_Import!$A$1:$Z$2488,2154,'Live Data'!$C$12)),"")</f>
        <v/>
      </c>
      <c r="B2154" s="54" t="str">
        <f>IFERROR(IF(INDEX(SPOT_Import!$A$1:$Z$2488,2154,'Live Data'!$C$13)="","",INDEX(SPOT_Import!$A$1:$Z$2488,2154,'Live Data'!$C$13)),"")</f>
        <v/>
      </c>
      <c r="C2154" s="54" t="str">
        <f>IFERROR(IF(INDEX(SPOT_Import!$A$1:$Z$2488,2154,'Live Data'!$C$14)="","",INDEX(SPOT_Import!$A$1:$Z$2488,2154,'Live Data'!$C$14)),"")</f>
        <v/>
      </c>
      <c r="D2154" s="54" t="str">
        <f>IFERROR(IF(INDEX(SPOT_Import!$A$1:$Z$2488,2154,'Live Data'!$C$15)="","",INDEX(SPOT_Import!$A$1:$Z$2488,2154,'Live Data'!$C$15)),"")</f>
        <v/>
      </c>
      <c r="E2154" s="54" t="str">
        <f>IFERROR(IF(INDEX(SPOT_Import!$A$1:$Z$2488,2154,'Live Data'!$C$16)="","",INDEX(SPOT_Import!$A$1:$Z$2488,2154,'Live Data'!$C$16)),"")</f>
        <v/>
      </c>
      <c r="F2154" s="54" t="str">
        <f>IFERROR(IF(INDEX(SPOT_Import!$A$1:$Z$2488,2154,'Live Data'!$C$17)="","",INDEX(SPOT_Import!$A$1:$Z$2488,2154,'Live Data'!$C$17)),"")</f>
        <v/>
      </c>
      <c r="G2154" s="54" t="str">
        <f>IFERROR(IF(INDEX(SPOT_Import!$A$1:$Z$2488,2154,'Live Data'!$C$18)="","",INDEX(SPOT_Import!$A$1:$Z$2488,2154,'Live Data'!$C$18)),"")</f>
        <v/>
      </c>
      <c r="H2154" s="54" t="str">
        <f>IFERROR(IF(INDEX(SPOT_Import!$A$1:$Z$2488,2154,'Live Data'!$C$19)="","",INDEX(SPOT_Import!$A$1:$Z$2488,2154,'Live Data'!$C$19)),"")</f>
        <v/>
      </c>
      <c r="I2154" s="54" t="str">
        <f>IFERROR(IF(INDEX(SPOT_Import!$A$1:$Z$2488,2154,'Live Data'!$C$20)="","",INDEX(SPOT_Import!$A$1:$Z$2488,2154,'Live Data'!$C$20)),"")</f>
        <v/>
      </c>
      <c r="J2154" s="54" t="str">
        <f>IFERROR(IF(INDEX(SPOT_Import!$A$1:$Z$2488,2154,'Live Data'!$C$21)="","",INDEX(SPOT_Import!$A$1:$Z$2488,2154,'Live Data'!$C$21)),"")</f>
        <v/>
      </c>
      <c r="K2154" s="54" t="str">
        <f>IFERROR(IF(INDEX(SPOT_Import!$A$1:$Z$2488,2154,'Live Data'!$C$22)="","",INDEX(SPOT_Import!$A$1:$Z$2488,2154,'Live Data'!$C$22)),"")</f>
        <v/>
      </c>
      <c r="L2154" s="55" t="str">
        <f t="shared" si="66"/>
        <v/>
      </c>
      <c r="M2154" s="55" t="str">
        <f t="shared" si="67"/>
        <v/>
      </c>
      <c r="N2154" s="55" t="str">
        <f>IF(A2154="","",IFERROR(INDEX('Cluster Map'!$A$4:$A$38,MATCH(M2154,'Cluster Map'!$B$4:$B$38,0)),"Unmapped"))</f>
        <v/>
      </c>
      <c r="O2154" s="55">
        <f>IF(A2154="",0,IF(COUNTIFS($A$2:A2154,A2154,$F$2:F2154,F2154,$L$2:L2154,L2154)=1,1,0))</f>
        <v>0</v>
      </c>
      <c r="P2154" s="55">
        <f>IF(A2154="",0,IF(AND(F2154="C&amp;T",COUNTIFS($A$2:A2154,A2154,$F$2:F2154,"C&amp;T")=1),1,0))</f>
        <v>0</v>
      </c>
    </row>
    <row r="2155" spans="1:16" x14ac:dyDescent="0.35">
      <c r="A2155" s="54" t="str">
        <f>IFERROR(IF(INDEX(SPOT_Import!$A$1:$Z$2488,2155,'Live Data'!$C$12)="","",INDEX(SPOT_Import!$A$1:$Z$2488,2155,'Live Data'!$C$12)),"")</f>
        <v/>
      </c>
      <c r="B2155" s="54" t="str">
        <f>IFERROR(IF(INDEX(SPOT_Import!$A$1:$Z$2488,2155,'Live Data'!$C$13)="","",INDEX(SPOT_Import!$A$1:$Z$2488,2155,'Live Data'!$C$13)),"")</f>
        <v/>
      </c>
      <c r="C2155" s="54" t="str">
        <f>IFERROR(IF(INDEX(SPOT_Import!$A$1:$Z$2488,2155,'Live Data'!$C$14)="","",INDEX(SPOT_Import!$A$1:$Z$2488,2155,'Live Data'!$C$14)),"")</f>
        <v/>
      </c>
      <c r="D2155" s="54" t="str">
        <f>IFERROR(IF(INDEX(SPOT_Import!$A$1:$Z$2488,2155,'Live Data'!$C$15)="","",INDEX(SPOT_Import!$A$1:$Z$2488,2155,'Live Data'!$C$15)),"")</f>
        <v/>
      </c>
      <c r="E2155" s="54" t="str">
        <f>IFERROR(IF(INDEX(SPOT_Import!$A$1:$Z$2488,2155,'Live Data'!$C$16)="","",INDEX(SPOT_Import!$A$1:$Z$2488,2155,'Live Data'!$C$16)),"")</f>
        <v/>
      </c>
      <c r="F2155" s="54" t="str">
        <f>IFERROR(IF(INDEX(SPOT_Import!$A$1:$Z$2488,2155,'Live Data'!$C$17)="","",INDEX(SPOT_Import!$A$1:$Z$2488,2155,'Live Data'!$C$17)),"")</f>
        <v/>
      </c>
      <c r="G2155" s="54" t="str">
        <f>IFERROR(IF(INDEX(SPOT_Import!$A$1:$Z$2488,2155,'Live Data'!$C$18)="","",INDEX(SPOT_Import!$A$1:$Z$2488,2155,'Live Data'!$C$18)),"")</f>
        <v/>
      </c>
      <c r="H2155" s="54" t="str">
        <f>IFERROR(IF(INDEX(SPOT_Import!$A$1:$Z$2488,2155,'Live Data'!$C$19)="","",INDEX(SPOT_Import!$A$1:$Z$2488,2155,'Live Data'!$C$19)),"")</f>
        <v/>
      </c>
      <c r="I2155" s="54" t="str">
        <f>IFERROR(IF(INDEX(SPOT_Import!$A$1:$Z$2488,2155,'Live Data'!$C$20)="","",INDEX(SPOT_Import!$A$1:$Z$2488,2155,'Live Data'!$C$20)),"")</f>
        <v/>
      </c>
      <c r="J2155" s="54" t="str">
        <f>IFERROR(IF(INDEX(SPOT_Import!$A$1:$Z$2488,2155,'Live Data'!$C$21)="","",INDEX(SPOT_Import!$A$1:$Z$2488,2155,'Live Data'!$C$21)),"")</f>
        <v/>
      </c>
      <c r="K2155" s="54" t="str">
        <f>IFERROR(IF(INDEX(SPOT_Import!$A$1:$Z$2488,2155,'Live Data'!$C$22)="","",INDEX(SPOT_Import!$A$1:$Z$2488,2155,'Live Data'!$C$22)),"")</f>
        <v/>
      </c>
      <c r="L2155" s="55" t="str">
        <f t="shared" si="66"/>
        <v/>
      </c>
      <c r="M2155" s="55" t="str">
        <f t="shared" si="67"/>
        <v/>
      </c>
      <c r="N2155" s="55" t="str">
        <f>IF(A2155="","",IFERROR(INDEX('Cluster Map'!$A$4:$A$38,MATCH(M2155,'Cluster Map'!$B$4:$B$38,0)),"Unmapped"))</f>
        <v/>
      </c>
      <c r="O2155" s="55">
        <f>IF(A2155="",0,IF(COUNTIFS($A$2:A2155,A2155,$F$2:F2155,F2155,$L$2:L2155,L2155)=1,1,0))</f>
        <v>0</v>
      </c>
      <c r="P2155" s="55">
        <f>IF(A2155="",0,IF(AND(F2155="C&amp;T",COUNTIFS($A$2:A2155,A2155,$F$2:F2155,"C&amp;T")=1),1,0))</f>
        <v>0</v>
      </c>
    </row>
    <row r="2156" spans="1:16" x14ac:dyDescent="0.35">
      <c r="A2156" s="54" t="str">
        <f>IFERROR(IF(INDEX(SPOT_Import!$A$1:$Z$2488,2156,'Live Data'!$C$12)="","",INDEX(SPOT_Import!$A$1:$Z$2488,2156,'Live Data'!$C$12)),"")</f>
        <v/>
      </c>
      <c r="B2156" s="54" t="str">
        <f>IFERROR(IF(INDEX(SPOT_Import!$A$1:$Z$2488,2156,'Live Data'!$C$13)="","",INDEX(SPOT_Import!$A$1:$Z$2488,2156,'Live Data'!$C$13)),"")</f>
        <v/>
      </c>
      <c r="C2156" s="54" t="str">
        <f>IFERROR(IF(INDEX(SPOT_Import!$A$1:$Z$2488,2156,'Live Data'!$C$14)="","",INDEX(SPOT_Import!$A$1:$Z$2488,2156,'Live Data'!$C$14)),"")</f>
        <v/>
      </c>
      <c r="D2156" s="54" t="str">
        <f>IFERROR(IF(INDEX(SPOT_Import!$A$1:$Z$2488,2156,'Live Data'!$C$15)="","",INDEX(SPOT_Import!$A$1:$Z$2488,2156,'Live Data'!$C$15)),"")</f>
        <v/>
      </c>
      <c r="E2156" s="54" t="str">
        <f>IFERROR(IF(INDEX(SPOT_Import!$A$1:$Z$2488,2156,'Live Data'!$C$16)="","",INDEX(SPOT_Import!$A$1:$Z$2488,2156,'Live Data'!$C$16)),"")</f>
        <v/>
      </c>
      <c r="F2156" s="54" t="str">
        <f>IFERROR(IF(INDEX(SPOT_Import!$A$1:$Z$2488,2156,'Live Data'!$C$17)="","",INDEX(SPOT_Import!$A$1:$Z$2488,2156,'Live Data'!$C$17)),"")</f>
        <v/>
      </c>
      <c r="G2156" s="54" t="str">
        <f>IFERROR(IF(INDEX(SPOT_Import!$A$1:$Z$2488,2156,'Live Data'!$C$18)="","",INDEX(SPOT_Import!$A$1:$Z$2488,2156,'Live Data'!$C$18)),"")</f>
        <v/>
      </c>
      <c r="H2156" s="54" t="str">
        <f>IFERROR(IF(INDEX(SPOT_Import!$A$1:$Z$2488,2156,'Live Data'!$C$19)="","",INDEX(SPOT_Import!$A$1:$Z$2488,2156,'Live Data'!$C$19)),"")</f>
        <v/>
      </c>
      <c r="I2156" s="54" t="str">
        <f>IFERROR(IF(INDEX(SPOT_Import!$A$1:$Z$2488,2156,'Live Data'!$C$20)="","",INDEX(SPOT_Import!$A$1:$Z$2488,2156,'Live Data'!$C$20)),"")</f>
        <v/>
      </c>
      <c r="J2156" s="54" t="str">
        <f>IFERROR(IF(INDEX(SPOT_Import!$A$1:$Z$2488,2156,'Live Data'!$C$21)="","",INDEX(SPOT_Import!$A$1:$Z$2488,2156,'Live Data'!$C$21)),"")</f>
        <v/>
      </c>
      <c r="K2156" s="54" t="str">
        <f>IFERROR(IF(INDEX(SPOT_Import!$A$1:$Z$2488,2156,'Live Data'!$C$22)="","",INDEX(SPOT_Import!$A$1:$Z$2488,2156,'Live Data'!$C$22)),"")</f>
        <v/>
      </c>
      <c r="L2156" s="55" t="str">
        <f t="shared" si="66"/>
        <v/>
      </c>
      <c r="M2156" s="55" t="str">
        <f t="shared" si="67"/>
        <v/>
      </c>
      <c r="N2156" s="55" t="str">
        <f>IF(A2156="","",IFERROR(INDEX('Cluster Map'!$A$4:$A$38,MATCH(M2156,'Cluster Map'!$B$4:$B$38,0)),"Unmapped"))</f>
        <v/>
      </c>
      <c r="O2156" s="55">
        <f>IF(A2156="",0,IF(COUNTIFS($A$2:A2156,A2156,$F$2:F2156,F2156,$L$2:L2156,L2156)=1,1,0))</f>
        <v>0</v>
      </c>
      <c r="P2156" s="55">
        <f>IF(A2156="",0,IF(AND(F2156="C&amp;T",COUNTIFS($A$2:A2156,A2156,$F$2:F2156,"C&amp;T")=1),1,0))</f>
        <v>0</v>
      </c>
    </row>
    <row r="2157" spans="1:16" x14ac:dyDescent="0.35">
      <c r="A2157" s="54" t="str">
        <f>IFERROR(IF(INDEX(SPOT_Import!$A$1:$Z$2488,2157,'Live Data'!$C$12)="","",INDEX(SPOT_Import!$A$1:$Z$2488,2157,'Live Data'!$C$12)),"")</f>
        <v/>
      </c>
      <c r="B2157" s="54" t="str">
        <f>IFERROR(IF(INDEX(SPOT_Import!$A$1:$Z$2488,2157,'Live Data'!$C$13)="","",INDEX(SPOT_Import!$A$1:$Z$2488,2157,'Live Data'!$C$13)),"")</f>
        <v/>
      </c>
      <c r="C2157" s="54" t="str">
        <f>IFERROR(IF(INDEX(SPOT_Import!$A$1:$Z$2488,2157,'Live Data'!$C$14)="","",INDEX(SPOT_Import!$A$1:$Z$2488,2157,'Live Data'!$C$14)),"")</f>
        <v/>
      </c>
      <c r="D2157" s="54" t="str">
        <f>IFERROR(IF(INDEX(SPOT_Import!$A$1:$Z$2488,2157,'Live Data'!$C$15)="","",INDEX(SPOT_Import!$A$1:$Z$2488,2157,'Live Data'!$C$15)),"")</f>
        <v/>
      </c>
      <c r="E2157" s="54" t="str">
        <f>IFERROR(IF(INDEX(SPOT_Import!$A$1:$Z$2488,2157,'Live Data'!$C$16)="","",INDEX(SPOT_Import!$A$1:$Z$2488,2157,'Live Data'!$C$16)),"")</f>
        <v/>
      </c>
      <c r="F2157" s="54" t="str">
        <f>IFERROR(IF(INDEX(SPOT_Import!$A$1:$Z$2488,2157,'Live Data'!$C$17)="","",INDEX(SPOT_Import!$A$1:$Z$2488,2157,'Live Data'!$C$17)),"")</f>
        <v/>
      </c>
      <c r="G2157" s="54" t="str">
        <f>IFERROR(IF(INDEX(SPOT_Import!$A$1:$Z$2488,2157,'Live Data'!$C$18)="","",INDEX(SPOT_Import!$A$1:$Z$2488,2157,'Live Data'!$C$18)),"")</f>
        <v/>
      </c>
      <c r="H2157" s="54" t="str">
        <f>IFERROR(IF(INDEX(SPOT_Import!$A$1:$Z$2488,2157,'Live Data'!$C$19)="","",INDEX(SPOT_Import!$A$1:$Z$2488,2157,'Live Data'!$C$19)),"")</f>
        <v/>
      </c>
      <c r="I2157" s="54" t="str">
        <f>IFERROR(IF(INDEX(SPOT_Import!$A$1:$Z$2488,2157,'Live Data'!$C$20)="","",INDEX(SPOT_Import!$A$1:$Z$2488,2157,'Live Data'!$C$20)),"")</f>
        <v/>
      </c>
      <c r="J2157" s="54" t="str">
        <f>IFERROR(IF(INDEX(SPOT_Import!$A$1:$Z$2488,2157,'Live Data'!$C$21)="","",INDEX(SPOT_Import!$A$1:$Z$2488,2157,'Live Data'!$C$21)),"")</f>
        <v/>
      </c>
      <c r="K2157" s="54" t="str">
        <f>IFERROR(IF(INDEX(SPOT_Import!$A$1:$Z$2488,2157,'Live Data'!$C$22)="","",INDEX(SPOT_Import!$A$1:$Z$2488,2157,'Live Data'!$C$22)),"")</f>
        <v/>
      </c>
      <c r="L2157" s="55" t="str">
        <f t="shared" si="66"/>
        <v/>
      </c>
      <c r="M2157" s="55" t="str">
        <f t="shared" si="67"/>
        <v/>
      </c>
      <c r="N2157" s="55" t="str">
        <f>IF(A2157="","",IFERROR(INDEX('Cluster Map'!$A$4:$A$38,MATCH(M2157,'Cluster Map'!$B$4:$B$38,0)),"Unmapped"))</f>
        <v/>
      </c>
      <c r="O2157" s="55">
        <f>IF(A2157="",0,IF(COUNTIFS($A$2:A2157,A2157,$F$2:F2157,F2157,$L$2:L2157,L2157)=1,1,0))</f>
        <v>0</v>
      </c>
      <c r="P2157" s="55">
        <f>IF(A2157="",0,IF(AND(F2157="C&amp;T",COUNTIFS($A$2:A2157,A2157,$F$2:F2157,"C&amp;T")=1),1,0))</f>
        <v>0</v>
      </c>
    </row>
    <row r="2158" spans="1:16" x14ac:dyDescent="0.35">
      <c r="A2158" s="54" t="str">
        <f>IFERROR(IF(INDEX(SPOT_Import!$A$1:$Z$2488,2158,'Live Data'!$C$12)="","",INDEX(SPOT_Import!$A$1:$Z$2488,2158,'Live Data'!$C$12)),"")</f>
        <v/>
      </c>
      <c r="B2158" s="54" t="str">
        <f>IFERROR(IF(INDEX(SPOT_Import!$A$1:$Z$2488,2158,'Live Data'!$C$13)="","",INDEX(SPOT_Import!$A$1:$Z$2488,2158,'Live Data'!$C$13)),"")</f>
        <v/>
      </c>
      <c r="C2158" s="54" t="str">
        <f>IFERROR(IF(INDEX(SPOT_Import!$A$1:$Z$2488,2158,'Live Data'!$C$14)="","",INDEX(SPOT_Import!$A$1:$Z$2488,2158,'Live Data'!$C$14)),"")</f>
        <v/>
      </c>
      <c r="D2158" s="54" t="str">
        <f>IFERROR(IF(INDEX(SPOT_Import!$A$1:$Z$2488,2158,'Live Data'!$C$15)="","",INDEX(SPOT_Import!$A$1:$Z$2488,2158,'Live Data'!$C$15)),"")</f>
        <v/>
      </c>
      <c r="E2158" s="54" t="str">
        <f>IFERROR(IF(INDEX(SPOT_Import!$A$1:$Z$2488,2158,'Live Data'!$C$16)="","",INDEX(SPOT_Import!$A$1:$Z$2488,2158,'Live Data'!$C$16)),"")</f>
        <v/>
      </c>
      <c r="F2158" s="54" t="str">
        <f>IFERROR(IF(INDEX(SPOT_Import!$A$1:$Z$2488,2158,'Live Data'!$C$17)="","",INDEX(SPOT_Import!$A$1:$Z$2488,2158,'Live Data'!$C$17)),"")</f>
        <v/>
      </c>
      <c r="G2158" s="54" t="str">
        <f>IFERROR(IF(INDEX(SPOT_Import!$A$1:$Z$2488,2158,'Live Data'!$C$18)="","",INDEX(SPOT_Import!$A$1:$Z$2488,2158,'Live Data'!$C$18)),"")</f>
        <v/>
      </c>
      <c r="H2158" s="54" t="str">
        <f>IFERROR(IF(INDEX(SPOT_Import!$A$1:$Z$2488,2158,'Live Data'!$C$19)="","",INDEX(SPOT_Import!$A$1:$Z$2488,2158,'Live Data'!$C$19)),"")</f>
        <v/>
      </c>
      <c r="I2158" s="54" t="str">
        <f>IFERROR(IF(INDEX(SPOT_Import!$A$1:$Z$2488,2158,'Live Data'!$C$20)="","",INDEX(SPOT_Import!$A$1:$Z$2488,2158,'Live Data'!$C$20)),"")</f>
        <v/>
      </c>
      <c r="J2158" s="54" t="str">
        <f>IFERROR(IF(INDEX(SPOT_Import!$A$1:$Z$2488,2158,'Live Data'!$C$21)="","",INDEX(SPOT_Import!$A$1:$Z$2488,2158,'Live Data'!$C$21)),"")</f>
        <v/>
      </c>
      <c r="K2158" s="54" t="str">
        <f>IFERROR(IF(INDEX(SPOT_Import!$A$1:$Z$2488,2158,'Live Data'!$C$22)="","",INDEX(SPOT_Import!$A$1:$Z$2488,2158,'Live Data'!$C$22)),"")</f>
        <v/>
      </c>
      <c r="L2158" s="55" t="str">
        <f t="shared" si="66"/>
        <v/>
      </c>
      <c r="M2158" s="55" t="str">
        <f t="shared" si="67"/>
        <v/>
      </c>
      <c r="N2158" s="55" t="str">
        <f>IF(A2158="","",IFERROR(INDEX('Cluster Map'!$A$4:$A$38,MATCH(M2158,'Cluster Map'!$B$4:$B$38,0)),"Unmapped"))</f>
        <v/>
      </c>
      <c r="O2158" s="55">
        <f>IF(A2158="",0,IF(COUNTIFS($A$2:A2158,A2158,$F$2:F2158,F2158,$L$2:L2158,L2158)=1,1,0))</f>
        <v>0</v>
      </c>
      <c r="P2158" s="55">
        <f>IF(A2158="",0,IF(AND(F2158="C&amp;T",COUNTIFS($A$2:A2158,A2158,$F$2:F2158,"C&amp;T")=1),1,0))</f>
        <v>0</v>
      </c>
    </row>
    <row r="2159" spans="1:16" x14ac:dyDescent="0.35">
      <c r="A2159" s="54" t="str">
        <f>IFERROR(IF(INDEX(SPOT_Import!$A$1:$Z$2488,2159,'Live Data'!$C$12)="","",INDEX(SPOT_Import!$A$1:$Z$2488,2159,'Live Data'!$C$12)),"")</f>
        <v/>
      </c>
      <c r="B2159" s="54" t="str">
        <f>IFERROR(IF(INDEX(SPOT_Import!$A$1:$Z$2488,2159,'Live Data'!$C$13)="","",INDEX(SPOT_Import!$A$1:$Z$2488,2159,'Live Data'!$C$13)),"")</f>
        <v/>
      </c>
      <c r="C2159" s="54" t="str">
        <f>IFERROR(IF(INDEX(SPOT_Import!$A$1:$Z$2488,2159,'Live Data'!$C$14)="","",INDEX(SPOT_Import!$A$1:$Z$2488,2159,'Live Data'!$C$14)),"")</f>
        <v/>
      </c>
      <c r="D2159" s="54" t="str">
        <f>IFERROR(IF(INDEX(SPOT_Import!$A$1:$Z$2488,2159,'Live Data'!$C$15)="","",INDEX(SPOT_Import!$A$1:$Z$2488,2159,'Live Data'!$C$15)),"")</f>
        <v/>
      </c>
      <c r="E2159" s="54" t="str">
        <f>IFERROR(IF(INDEX(SPOT_Import!$A$1:$Z$2488,2159,'Live Data'!$C$16)="","",INDEX(SPOT_Import!$A$1:$Z$2488,2159,'Live Data'!$C$16)),"")</f>
        <v/>
      </c>
      <c r="F2159" s="54" t="str">
        <f>IFERROR(IF(INDEX(SPOT_Import!$A$1:$Z$2488,2159,'Live Data'!$C$17)="","",INDEX(SPOT_Import!$A$1:$Z$2488,2159,'Live Data'!$C$17)),"")</f>
        <v/>
      </c>
      <c r="G2159" s="54" t="str">
        <f>IFERROR(IF(INDEX(SPOT_Import!$A$1:$Z$2488,2159,'Live Data'!$C$18)="","",INDEX(SPOT_Import!$A$1:$Z$2488,2159,'Live Data'!$C$18)),"")</f>
        <v/>
      </c>
      <c r="H2159" s="54" t="str">
        <f>IFERROR(IF(INDEX(SPOT_Import!$A$1:$Z$2488,2159,'Live Data'!$C$19)="","",INDEX(SPOT_Import!$A$1:$Z$2488,2159,'Live Data'!$C$19)),"")</f>
        <v/>
      </c>
      <c r="I2159" s="54" t="str">
        <f>IFERROR(IF(INDEX(SPOT_Import!$A$1:$Z$2488,2159,'Live Data'!$C$20)="","",INDEX(SPOT_Import!$A$1:$Z$2488,2159,'Live Data'!$C$20)),"")</f>
        <v/>
      </c>
      <c r="J2159" s="54" t="str">
        <f>IFERROR(IF(INDEX(SPOT_Import!$A$1:$Z$2488,2159,'Live Data'!$C$21)="","",INDEX(SPOT_Import!$A$1:$Z$2488,2159,'Live Data'!$C$21)),"")</f>
        <v/>
      </c>
      <c r="K2159" s="54" t="str">
        <f>IFERROR(IF(INDEX(SPOT_Import!$A$1:$Z$2488,2159,'Live Data'!$C$22)="","",INDEX(SPOT_Import!$A$1:$Z$2488,2159,'Live Data'!$C$22)),"")</f>
        <v/>
      </c>
      <c r="L2159" s="55" t="str">
        <f t="shared" si="66"/>
        <v/>
      </c>
      <c r="M2159" s="55" t="str">
        <f t="shared" si="67"/>
        <v/>
      </c>
      <c r="N2159" s="55" t="str">
        <f>IF(A2159="","",IFERROR(INDEX('Cluster Map'!$A$4:$A$38,MATCH(M2159,'Cluster Map'!$B$4:$B$38,0)),"Unmapped"))</f>
        <v/>
      </c>
      <c r="O2159" s="55">
        <f>IF(A2159="",0,IF(COUNTIFS($A$2:A2159,A2159,$F$2:F2159,F2159,$L$2:L2159,L2159)=1,1,0))</f>
        <v>0</v>
      </c>
      <c r="P2159" s="55">
        <f>IF(A2159="",0,IF(AND(F2159="C&amp;T",COUNTIFS($A$2:A2159,A2159,$F$2:F2159,"C&amp;T")=1),1,0))</f>
        <v>0</v>
      </c>
    </row>
    <row r="2160" spans="1:16" x14ac:dyDescent="0.35">
      <c r="A2160" s="54" t="str">
        <f>IFERROR(IF(INDEX(SPOT_Import!$A$1:$Z$2488,2160,'Live Data'!$C$12)="","",INDEX(SPOT_Import!$A$1:$Z$2488,2160,'Live Data'!$C$12)),"")</f>
        <v/>
      </c>
      <c r="B2160" s="54" t="str">
        <f>IFERROR(IF(INDEX(SPOT_Import!$A$1:$Z$2488,2160,'Live Data'!$C$13)="","",INDEX(SPOT_Import!$A$1:$Z$2488,2160,'Live Data'!$C$13)),"")</f>
        <v/>
      </c>
      <c r="C2160" s="54" t="str">
        <f>IFERROR(IF(INDEX(SPOT_Import!$A$1:$Z$2488,2160,'Live Data'!$C$14)="","",INDEX(SPOT_Import!$A$1:$Z$2488,2160,'Live Data'!$C$14)),"")</f>
        <v/>
      </c>
      <c r="D2160" s="54" t="str">
        <f>IFERROR(IF(INDEX(SPOT_Import!$A$1:$Z$2488,2160,'Live Data'!$C$15)="","",INDEX(SPOT_Import!$A$1:$Z$2488,2160,'Live Data'!$C$15)),"")</f>
        <v/>
      </c>
      <c r="E2160" s="54" t="str">
        <f>IFERROR(IF(INDEX(SPOT_Import!$A$1:$Z$2488,2160,'Live Data'!$C$16)="","",INDEX(SPOT_Import!$A$1:$Z$2488,2160,'Live Data'!$C$16)),"")</f>
        <v/>
      </c>
      <c r="F2160" s="54" t="str">
        <f>IFERROR(IF(INDEX(SPOT_Import!$A$1:$Z$2488,2160,'Live Data'!$C$17)="","",INDEX(SPOT_Import!$A$1:$Z$2488,2160,'Live Data'!$C$17)),"")</f>
        <v/>
      </c>
      <c r="G2160" s="54" t="str">
        <f>IFERROR(IF(INDEX(SPOT_Import!$A$1:$Z$2488,2160,'Live Data'!$C$18)="","",INDEX(SPOT_Import!$A$1:$Z$2488,2160,'Live Data'!$C$18)),"")</f>
        <v/>
      </c>
      <c r="H2160" s="54" t="str">
        <f>IFERROR(IF(INDEX(SPOT_Import!$A$1:$Z$2488,2160,'Live Data'!$C$19)="","",INDEX(SPOT_Import!$A$1:$Z$2488,2160,'Live Data'!$C$19)),"")</f>
        <v/>
      </c>
      <c r="I2160" s="54" t="str">
        <f>IFERROR(IF(INDEX(SPOT_Import!$A$1:$Z$2488,2160,'Live Data'!$C$20)="","",INDEX(SPOT_Import!$A$1:$Z$2488,2160,'Live Data'!$C$20)),"")</f>
        <v/>
      </c>
      <c r="J2160" s="54" t="str">
        <f>IFERROR(IF(INDEX(SPOT_Import!$A$1:$Z$2488,2160,'Live Data'!$C$21)="","",INDEX(SPOT_Import!$A$1:$Z$2488,2160,'Live Data'!$C$21)),"")</f>
        <v/>
      </c>
      <c r="K2160" s="54" t="str">
        <f>IFERROR(IF(INDEX(SPOT_Import!$A$1:$Z$2488,2160,'Live Data'!$C$22)="","",INDEX(SPOT_Import!$A$1:$Z$2488,2160,'Live Data'!$C$22)),"")</f>
        <v/>
      </c>
      <c r="L2160" s="55" t="str">
        <f t="shared" si="66"/>
        <v/>
      </c>
      <c r="M2160" s="55" t="str">
        <f t="shared" si="67"/>
        <v/>
      </c>
      <c r="N2160" s="55" t="str">
        <f>IF(A2160="","",IFERROR(INDEX('Cluster Map'!$A$4:$A$38,MATCH(M2160,'Cluster Map'!$B$4:$B$38,0)),"Unmapped"))</f>
        <v/>
      </c>
      <c r="O2160" s="55">
        <f>IF(A2160="",0,IF(COUNTIFS($A$2:A2160,A2160,$F$2:F2160,F2160,$L$2:L2160,L2160)=1,1,0))</f>
        <v>0</v>
      </c>
      <c r="P2160" s="55">
        <f>IF(A2160="",0,IF(AND(F2160="C&amp;T",COUNTIFS($A$2:A2160,A2160,$F$2:F2160,"C&amp;T")=1),1,0))</f>
        <v>0</v>
      </c>
    </row>
    <row r="2161" spans="1:16" x14ac:dyDescent="0.35">
      <c r="A2161" s="54" t="str">
        <f>IFERROR(IF(INDEX(SPOT_Import!$A$1:$Z$2488,2161,'Live Data'!$C$12)="","",INDEX(SPOT_Import!$A$1:$Z$2488,2161,'Live Data'!$C$12)),"")</f>
        <v/>
      </c>
      <c r="B2161" s="54" t="str">
        <f>IFERROR(IF(INDEX(SPOT_Import!$A$1:$Z$2488,2161,'Live Data'!$C$13)="","",INDEX(SPOT_Import!$A$1:$Z$2488,2161,'Live Data'!$C$13)),"")</f>
        <v/>
      </c>
      <c r="C2161" s="54" t="str">
        <f>IFERROR(IF(INDEX(SPOT_Import!$A$1:$Z$2488,2161,'Live Data'!$C$14)="","",INDEX(SPOT_Import!$A$1:$Z$2488,2161,'Live Data'!$C$14)),"")</f>
        <v/>
      </c>
      <c r="D2161" s="54" t="str">
        <f>IFERROR(IF(INDEX(SPOT_Import!$A$1:$Z$2488,2161,'Live Data'!$C$15)="","",INDEX(SPOT_Import!$A$1:$Z$2488,2161,'Live Data'!$C$15)),"")</f>
        <v/>
      </c>
      <c r="E2161" s="54" t="str">
        <f>IFERROR(IF(INDEX(SPOT_Import!$A$1:$Z$2488,2161,'Live Data'!$C$16)="","",INDEX(SPOT_Import!$A$1:$Z$2488,2161,'Live Data'!$C$16)),"")</f>
        <v/>
      </c>
      <c r="F2161" s="54" t="str">
        <f>IFERROR(IF(INDEX(SPOT_Import!$A$1:$Z$2488,2161,'Live Data'!$C$17)="","",INDEX(SPOT_Import!$A$1:$Z$2488,2161,'Live Data'!$C$17)),"")</f>
        <v/>
      </c>
      <c r="G2161" s="54" t="str">
        <f>IFERROR(IF(INDEX(SPOT_Import!$A$1:$Z$2488,2161,'Live Data'!$C$18)="","",INDEX(SPOT_Import!$A$1:$Z$2488,2161,'Live Data'!$C$18)),"")</f>
        <v/>
      </c>
      <c r="H2161" s="54" t="str">
        <f>IFERROR(IF(INDEX(SPOT_Import!$A$1:$Z$2488,2161,'Live Data'!$C$19)="","",INDEX(SPOT_Import!$A$1:$Z$2488,2161,'Live Data'!$C$19)),"")</f>
        <v/>
      </c>
      <c r="I2161" s="54" t="str">
        <f>IFERROR(IF(INDEX(SPOT_Import!$A$1:$Z$2488,2161,'Live Data'!$C$20)="","",INDEX(SPOT_Import!$A$1:$Z$2488,2161,'Live Data'!$C$20)),"")</f>
        <v/>
      </c>
      <c r="J2161" s="54" t="str">
        <f>IFERROR(IF(INDEX(SPOT_Import!$A$1:$Z$2488,2161,'Live Data'!$C$21)="","",INDEX(SPOT_Import!$A$1:$Z$2488,2161,'Live Data'!$C$21)),"")</f>
        <v/>
      </c>
      <c r="K2161" s="54" t="str">
        <f>IFERROR(IF(INDEX(SPOT_Import!$A$1:$Z$2488,2161,'Live Data'!$C$22)="","",INDEX(SPOT_Import!$A$1:$Z$2488,2161,'Live Data'!$C$22)),"")</f>
        <v/>
      </c>
      <c r="L2161" s="55" t="str">
        <f t="shared" si="66"/>
        <v/>
      </c>
      <c r="M2161" s="55" t="str">
        <f t="shared" si="67"/>
        <v/>
      </c>
      <c r="N2161" s="55" t="str">
        <f>IF(A2161="","",IFERROR(INDEX('Cluster Map'!$A$4:$A$38,MATCH(M2161,'Cluster Map'!$B$4:$B$38,0)),"Unmapped"))</f>
        <v/>
      </c>
      <c r="O2161" s="55">
        <f>IF(A2161="",0,IF(COUNTIFS($A$2:A2161,A2161,$F$2:F2161,F2161,$L$2:L2161,L2161)=1,1,0))</f>
        <v>0</v>
      </c>
      <c r="P2161" s="55">
        <f>IF(A2161="",0,IF(AND(F2161="C&amp;T",COUNTIFS($A$2:A2161,A2161,$F$2:F2161,"C&amp;T")=1),1,0))</f>
        <v>0</v>
      </c>
    </row>
    <row r="2162" spans="1:16" x14ac:dyDescent="0.35">
      <c r="A2162" s="54" t="str">
        <f>IFERROR(IF(INDEX(SPOT_Import!$A$1:$Z$2488,2162,'Live Data'!$C$12)="","",INDEX(SPOT_Import!$A$1:$Z$2488,2162,'Live Data'!$C$12)),"")</f>
        <v/>
      </c>
      <c r="B2162" s="54" t="str">
        <f>IFERROR(IF(INDEX(SPOT_Import!$A$1:$Z$2488,2162,'Live Data'!$C$13)="","",INDEX(SPOT_Import!$A$1:$Z$2488,2162,'Live Data'!$C$13)),"")</f>
        <v/>
      </c>
      <c r="C2162" s="54" t="str">
        <f>IFERROR(IF(INDEX(SPOT_Import!$A$1:$Z$2488,2162,'Live Data'!$C$14)="","",INDEX(SPOT_Import!$A$1:$Z$2488,2162,'Live Data'!$C$14)),"")</f>
        <v/>
      </c>
      <c r="D2162" s="54" t="str">
        <f>IFERROR(IF(INDEX(SPOT_Import!$A$1:$Z$2488,2162,'Live Data'!$C$15)="","",INDEX(SPOT_Import!$A$1:$Z$2488,2162,'Live Data'!$C$15)),"")</f>
        <v/>
      </c>
      <c r="E2162" s="54" t="str">
        <f>IFERROR(IF(INDEX(SPOT_Import!$A$1:$Z$2488,2162,'Live Data'!$C$16)="","",INDEX(SPOT_Import!$A$1:$Z$2488,2162,'Live Data'!$C$16)),"")</f>
        <v/>
      </c>
      <c r="F2162" s="54" t="str">
        <f>IFERROR(IF(INDEX(SPOT_Import!$A$1:$Z$2488,2162,'Live Data'!$C$17)="","",INDEX(SPOT_Import!$A$1:$Z$2488,2162,'Live Data'!$C$17)),"")</f>
        <v/>
      </c>
      <c r="G2162" s="54" t="str">
        <f>IFERROR(IF(INDEX(SPOT_Import!$A$1:$Z$2488,2162,'Live Data'!$C$18)="","",INDEX(SPOT_Import!$A$1:$Z$2488,2162,'Live Data'!$C$18)),"")</f>
        <v/>
      </c>
      <c r="H2162" s="54" t="str">
        <f>IFERROR(IF(INDEX(SPOT_Import!$A$1:$Z$2488,2162,'Live Data'!$C$19)="","",INDEX(SPOT_Import!$A$1:$Z$2488,2162,'Live Data'!$C$19)),"")</f>
        <v/>
      </c>
      <c r="I2162" s="54" t="str">
        <f>IFERROR(IF(INDEX(SPOT_Import!$A$1:$Z$2488,2162,'Live Data'!$C$20)="","",INDEX(SPOT_Import!$A$1:$Z$2488,2162,'Live Data'!$C$20)),"")</f>
        <v/>
      </c>
      <c r="J2162" s="54" t="str">
        <f>IFERROR(IF(INDEX(SPOT_Import!$A$1:$Z$2488,2162,'Live Data'!$C$21)="","",INDEX(SPOT_Import!$A$1:$Z$2488,2162,'Live Data'!$C$21)),"")</f>
        <v/>
      </c>
      <c r="K2162" s="54" t="str">
        <f>IFERROR(IF(INDEX(SPOT_Import!$A$1:$Z$2488,2162,'Live Data'!$C$22)="","",INDEX(SPOT_Import!$A$1:$Z$2488,2162,'Live Data'!$C$22)),"")</f>
        <v/>
      </c>
      <c r="L2162" s="55" t="str">
        <f t="shared" si="66"/>
        <v/>
      </c>
      <c r="M2162" s="55" t="str">
        <f t="shared" si="67"/>
        <v/>
      </c>
      <c r="N2162" s="55" t="str">
        <f>IF(A2162="","",IFERROR(INDEX('Cluster Map'!$A$4:$A$38,MATCH(M2162,'Cluster Map'!$B$4:$B$38,0)),"Unmapped"))</f>
        <v/>
      </c>
      <c r="O2162" s="55">
        <f>IF(A2162="",0,IF(COUNTIFS($A$2:A2162,A2162,$F$2:F2162,F2162,$L$2:L2162,L2162)=1,1,0))</f>
        <v>0</v>
      </c>
      <c r="P2162" s="55">
        <f>IF(A2162="",0,IF(AND(F2162="C&amp;T",COUNTIFS($A$2:A2162,A2162,$F$2:F2162,"C&amp;T")=1),1,0))</f>
        <v>0</v>
      </c>
    </row>
    <row r="2163" spans="1:16" x14ac:dyDescent="0.35">
      <c r="A2163" s="54" t="str">
        <f>IFERROR(IF(INDEX(SPOT_Import!$A$1:$Z$2488,2163,'Live Data'!$C$12)="","",INDEX(SPOT_Import!$A$1:$Z$2488,2163,'Live Data'!$C$12)),"")</f>
        <v/>
      </c>
      <c r="B2163" s="54" t="str">
        <f>IFERROR(IF(INDEX(SPOT_Import!$A$1:$Z$2488,2163,'Live Data'!$C$13)="","",INDEX(SPOT_Import!$A$1:$Z$2488,2163,'Live Data'!$C$13)),"")</f>
        <v/>
      </c>
      <c r="C2163" s="54" t="str">
        <f>IFERROR(IF(INDEX(SPOT_Import!$A$1:$Z$2488,2163,'Live Data'!$C$14)="","",INDEX(SPOT_Import!$A$1:$Z$2488,2163,'Live Data'!$C$14)),"")</f>
        <v/>
      </c>
      <c r="D2163" s="54" t="str">
        <f>IFERROR(IF(INDEX(SPOT_Import!$A$1:$Z$2488,2163,'Live Data'!$C$15)="","",INDEX(SPOT_Import!$A$1:$Z$2488,2163,'Live Data'!$C$15)),"")</f>
        <v/>
      </c>
      <c r="E2163" s="54" t="str">
        <f>IFERROR(IF(INDEX(SPOT_Import!$A$1:$Z$2488,2163,'Live Data'!$C$16)="","",INDEX(SPOT_Import!$A$1:$Z$2488,2163,'Live Data'!$C$16)),"")</f>
        <v/>
      </c>
      <c r="F2163" s="54" t="str">
        <f>IFERROR(IF(INDEX(SPOT_Import!$A$1:$Z$2488,2163,'Live Data'!$C$17)="","",INDEX(SPOT_Import!$A$1:$Z$2488,2163,'Live Data'!$C$17)),"")</f>
        <v/>
      </c>
      <c r="G2163" s="54" t="str">
        <f>IFERROR(IF(INDEX(SPOT_Import!$A$1:$Z$2488,2163,'Live Data'!$C$18)="","",INDEX(SPOT_Import!$A$1:$Z$2488,2163,'Live Data'!$C$18)),"")</f>
        <v/>
      </c>
      <c r="H2163" s="54" t="str">
        <f>IFERROR(IF(INDEX(SPOT_Import!$A$1:$Z$2488,2163,'Live Data'!$C$19)="","",INDEX(SPOT_Import!$A$1:$Z$2488,2163,'Live Data'!$C$19)),"")</f>
        <v/>
      </c>
      <c r="I2163" s="54" t="str">
        <f>IFERROR(IF(INDEX(SPOT_Import!$A$1:$Z$2488,2163,'Live Data'!$C$20)="","",INDEX(SPOT_Import!$A$1:$Z$2488,2163,'Live Data'!$C$20)),"")</f>
        <v/>
      </c>
      <c r="J2163" s="54" t="str">
        <f>IFERROR(IF(INDEX(SPOT_Import!$A$1:$Z$2488,2163,'Live Data'!$C$21)="","",INDEX(SPOT_Import!$A$1:$Z$2488,2163,'Live Data'!$C$21)),"")</f>
        <v/>
      </c>
      <c r="K2163" s="54" t="str">
        <f>IFERROR(IF(INDEX(SPOT_Import!$A$1:$Z$2488,2163,'Live Data'!$C$22)="","",INDEX(SPOT_Import!$A$1:$Z$2488,2163,'Live Data'!$C$22)),"")</f>
        <v/>
      </c>
      <c r="L2163" s="55" t="str">
        <f t="shared" si="66"/>
        <v/>
      </c>
      <c r="M2163" s="55" t="str">
        <f t="shared" si="67"/>
        <v/>
      </c>
      <c r="N2163" s="55" t="str">
        <f>IF(A2163="","",IFERROR(INDEX('Cluster Map'!$A$4:$A$38,MATCH(M2163,'Cluster Map'!$B$4:$B$38,0)),"Unmapped"))</f>
        <v/>
      </c>
      <c r="O2163" s="55">
        <f>IF(A2163="",0,IF(COUNTIFS($A$2:A2163,A2163,$F$2:F2163,F2163,$L$2:L2163,L2163)=1,1,0))</f>
        <v>0</v>
      </c>
      <c r="P2163" s="55">
        <f>IF(A2163="",0,IF(AND(F2163="C&amp;T",COUNTIFS($A$2:A2163,A2163,$F$2:F2163,"C&amp;T")=1),1,0))</f>
        <v>0</v>
      </c>
    </row>
    <row r="2164" spans="1:16" x14ac:dyDescent="0.35">
      <c r="A2164" s="54" t="str">
        <f>IFERROR(IF(INDEX(SPOT_Import!$A$1:$Z$2488,2164,'Live Data'!$C$12)="","",INDEX(SPOT_Import!$A$1:$Z$2488,2164,'Live Data'!$C$12)),"")</f>
        <v/>
      </c>
      <c r="B2164" s="54" t="str">
        <f>IFERROR(IF(INDEX(SPOT_Import!$A$1:$Z$2488,2164,'Live Data'!$C$13)="","",INDEX(SPOT_Import!$A$1:$Z$2488,2164,'Live Data'!$C$13)),"")</f>
        <v/>
      </c>
      <c r="C2164" s="54" t="str">
        <f>IFERROR(IF(INDEX(SPOT_Import!$A$1:$Z$2488,2164,'Live Data'!$C$14)="","",INDEX(SPOT_Import!$A$1:$Z$2488,2164,'Live Data'!$C$14)),"")</f>
        <v/>
      </c>
      <c r="D2164" s="54" t="str">
        <f>IFERROR(IF(INDEX(SPOT_Import!$A$1:$Z$2488,2164,'Live Data'!$C$15)="","",INDEX(SPOT_Import!$A$1:$Z$2488,2164,'Live Data'!$C$15)),"")</f>
        <v/>
      </c>
      <c r="E2164" s="54" t="str">
        <f>IFERROR(IF(INDEX(SPOT_Import!$A$1:$Z$2488,2164,'Live Data'!$C$16)="","",INDEX(SPOT_Import!$A$1:$Z$2488,2164,'Live Data'!$C$16)),"")</f>
        <v/>
      </c>
      <c r="F2164" s="54" t="str">
        <f>IFERROR(IF(INDEX(SPOT_Import!$A$1:$Z$2488,2164,'Live Data'!$C$17)="","",INDEX(SPOT_Import!$A$1:$Z$2488,2164,'Live Data'!$C$17)),"")</f>
        <v/>
      </c>
      <c r="G2164" s="54" t="str">
        <f>IFERROR(IF(INDEX(SPOT_Import!$A$1:$Z$2488,2164,'Live Data'!$C$18)="","",INDEX(SPOT_Import!$A$1:$Z$2488,2164,'Live Data'!$C$18)),"")</f>
        <v/>
      </c>
      <c r="H2164" s="54" t="str">
        <f>IFERROR(IF(INDEX(SPOT_Import!$A$1:$Z$2488,2164,'Live Data'!$C$19)="","",INDEX(SPOT_Import!$A$1:$Z$2488,2164,'Live Data'!$C$19)),"")</f>
        <v/>
      </c>
      <c r="I2164" s="54" t="str">
        <f>IFERROR(IF(INDEX(SPOT_Import!$A$1:$Z$2488,2164,'Live Data'!$C$20)="","",INDEX(SPOT_Import!$A$1:$Z$2488,2164,'Live Data'!$C$20)),"")</f>
        <v/>
      </c>
      <c r="J2164" s="54" t="str">
        <f>IFERROR(IF(INDEX(SPOT_Import!$A$1:$Z$2488,2164,'Live Data'!$C$21)="","",INDEX(SPOT_Import!$A$1:$Z$2488,2164,'Live Data'!$C$21)),"")</f>
        <v/>
      </c>
      <c r="K2164" s="54" t="str">
        <f>IFERROR(IF(INDEX(SPOT_Import!$A$1:$Z$2488,2164,'Live Data'!$C$22)="","",INDEX(SPOT_Import!$A$1:$Z$2488,2164,'Live Data'!$C$22)),"")</f>
        <v/>
      </c>
      <c r="L2164" s="55" t="str">
        <f t="shared" si="66"/>
        <v/>
      </c>
      <c r="M2164" s="55" t="str">
        <f t="shared" si="67"/>
        <v/>
      </c>
      <c r="N2164" s="55" t="str">
        <f>IF(A2164="","",IFERROR(INDEX('Cluster Map'!$A$4:$A$38,MATCH(M2164,'Cluster Map'!$B$4:$B$38,0)),"Unmapped"))</f>
        <v/>
      </c>
      <c r="O2164" s="55">
        <f>IF(A2164="",0,IF(COUNTIFS($A$2:A2164,A2164,$F$2:F2164,F2164,$L$2:L2164,L2164)=1,1,0))</f>
        <v>0</v>
      </c>
      <c r="P2164" s="55">
        <f>IF(A2164="",0,IF(AND(F2164="C&amp;T",COUNTIFS($A$2:A2164,A2164,$F$2:F2164,"C&amp;T")=1),1,0))</f>
        <v>0</v>
      </c>
    </row>
    <row r="2165" spans="1:16" x14ac:dyDescent="0.35">
      <c r="A2165" s="54" t="str">
        <f>IFERROR(IF(INDEX(SPOT_Import!$A$1:$Z$2488,2165,'Live Data'!$C$12)="","",INDEX(SPOT_Import!$A$1:$Z$2488,2165,'Live Data'!$C$12)),"")</f>
        <v/>
      </c>
      <c r="B2165" s="54" t="str">
        <f>IFERROR(IF(INDEX(SPOT_Import!$A$1:$Z$2488,2165,'Live Data'!$C$13)="","",INDEX(SPOT_Import!$A$1:$Z$2488,2165,'Live Data'!$C$13)),"")</f>
        <v/>
      </c>
      <c r="C2165" s="54" t="str">
        <f>IFERROR(IF(INDEX(SPOT_Import!$A$1:$Z$2488,2165,'Live Data'!$C$14)="","",INDEX(SPOT_Import!$A$1:$Z$2488,2165,'Live Data'!$C$14)),"")</f>
        <v/>
      </c>
      <c r="D2165" s="54" t="str">
        <f>IFERROR(IF(INDEX(SPOT_Import!$A$1:$Z$2488,2165,'Live Data'!$C$15)="","",INDEX(SPOT_Import!$A$1:$Z$2488,2165,'Live Data'!$C$15)),"")</f>
        <v/>
      </c>
      <c r="E2165" s="54" t="str">
        <f>IFERROR(IF(INDEX(SPOT_Import!$A$1:$Z$2488,2165,'Live Data'!$C$16)="","",INDEX(SPOT_Import!$A$1:$Z$2488,2165,'Live Data'!$C$16)),"")</f>
        <v/>
      </c>
      <c r="F2165" s="54" t="str">
        <f>IFERROR(IF(INDEX(SPOT_Import!$A$1:$Z$2488,2165,'Live Data'!$C$17)="","",INDEX(SPOT_Import!$A$1:$Z$2488,2165,'Live Data'!$C$17)),"")</f>
        <v/>
      </c>
      <c r="G2165" s="54" t="str">
        <f>IFERROR(IF(INDEX(SPOT_Import!$A$1:$Z$2488,2165,'Live Data'!$C$18)="","",INDEX(SPOT_Import!$A$1:$Z$2488,2165,'Live Data'!$C$18)),"")</f>
        <v/>
      </c>
      <c r="H2165" s="54" t="str">
        <f>IFERROR(IF(INDEX(SPOT_Import!$A$1:$Z$2488,2165,'Live Data'!$C$19)="","",INDEX(SPOT_Import!$A$1:$Z$2488,2165,'Live Data'!$C$19)),"")</f>
        <v/>
      </c>
      <c r="I2165" s="54" t="str">
        <f>IFERROR(IF(INDEX(SPOT_Import!$A$1:$Z$2488,2165,'Live Data'!$C$20)="","",INDEX(SPOT_Import!$A$1:$Z$2488,2165,'Live Data'!$C$20)),"")</f>
        <v/>
      </c>
      <c r="J2165" s="54" t="str">
        <f>IFERROR(IF(INDEX(SPOT_Import!$A$1:$Z$2488,2165,'Live Data'!$C$21)="","",INDEX(SPOT_Import!$A$1:$Z$2488,2165,'Live Data'!$C$21)),"")</f>
        <v/>
      </c>
      <c r="K2165" s="54" t="str">
        <f>IFERROR(IF(INDEX(SPOT_Import!$A$1:$Z$2488,2165,'Live Data'!$C$22)="","",INDEX(SPOT_Import!$A$1:$Z$2488,2165,'Live Data'!$C$22)),"")</f>
        <v/>
      </c>
      <c r="L2165" s="55" t="str">
        <f t="shared" si="66"/>
        <v/>
      </c>
      <c r="M2165" s="55" t="str">
        <f t="shared" si="67"/>
        <v/>
      </c>
      <c r="N2165" s="55" t="str">
        <f>IF(A2165="","",IFERROR(INDEX('Cluster Map'!$A$4:$A$38,MATCH(M2165,'Cluster Map'!$B$4:$B$38,0)),"Unmapped"))</f>
        <v/>
      </c>
      <c r="O2165" s="55">
        <f>IF(A2165="",0,IF(COUNTIFS($A$2:A2165,A2165,$F$2:F2165,F2165,$L$2:L2165,L2165)=1,1,0))</f>
        <v>0</v>
      </c>
      <c r="P2165" s="55">
        <f>IF(A2165="",0,IF(AND(F2165="C&amp;T",COUNTIFS($A$2:A2165,A2165,$F$2:F2165,"C&amp;T")=1),1,0))</f>
        <v>0</v>
      </c>
    </row>
    <row r="2166" spans="1:16" x14ac:dyDescent="0.35">
      <c r="A2166" s="54" t="str">
        <f>IFERROR(IF(INDEX(SPOT_Import!$A$1:$Z$2488,2166,'Live Data'!$C$12)="","",INDEX(SPOT_Import!$A$1:$Z$2488,2166,'Live Data'!$C$12)),"")</f>
        <v/>
      </c>
      <c r="B2166" s="54" t="str">
        <f>IFERROR(IF(INDEX(SPOT_Import!$A$1:$Z$2488,2166,'Live Data'!$C$13)="","",INDEX(SPOT_Import!$A$1:$Z$2488,2166,'Live Data'!$C$13)),"")</f>
        <v/>
      </c>
      <c r="C2166" s="54" t="str">
        <f>IFERROR(IF(INDEX(SPOT_Import!$A$1:$Z$2488,2166,'Live Data'!$C$14)="","",INDEX(SPOT_Import!$A$1:$Z$2488,2166,'Live Data'!$C$14)),"")</f>
        <v/>
      </c>
      <c r="D2166" s="54" t="str">
        <f>IFERROR(IF(INDEX(SPOT_Import!$A$1:$Z$2488,2166,'Live Data'!$C$15)="","",INDEX(SPOT_Import!$A$1:$Z$2488,2166,'Live Data'!$C$15)),"")</f>
        <v/>
      </c>
      <c r="E2166" s="54" t="str">
        <f>IFERROR(IF(INDEX(SPOT_Import!$A$1:$Z$2488,2166,'Live Data'!$C$16)="","",INDEX(SPOT_Import!$A$1:$Z$2488,2166,'Live Data'!$C$16)),"")</f>
        <v/>
      </c>
      <c r="F2166" s="54" t="str">
        <f>IFERROR(IF(INDEX(SPOT_Import!$A$1:$Z$2488,2166,'Live Data'!$C$17)="","",INDEX(SPOT_Import!$A$1:$Z$2488,2166,'Live Data'!$C$17)),"")</f>
        <v/>
      </c>
      <c r="G2166" s="54" t="str">
        <f>IFERROR(IF(INDEX(SPOT_Import!$A$1:$Z$2488,2166,'Live Data'!$C$18)="","",INDEX(SPOT_Import!$A$1:$Z$2488,2166,'Live Data'!$C$18)),"")</f>
        <v/>
      </c>
      <c r="H2166" s="54" t="str">
        <f>IFERROR(IF(INDEX(SPOT_Import!$A$1:$Z$2488,2166,'Live Data'!$C$19)="","",INDEX(SPOT_Import!$A$1:$Z$2488,2166,'Live Data'!$C$19)),"")</f>
        <v/>
      </c>
      <c r="I2166" s="54" t="str">
        <f>IFERROR(IF(INDEX(SPOT_Import!$A$1:$Z$2488,2166,'Live Data'!$C$20)="","",INDEX(SPOT_Import!$A$1:$Z$2488,2166,'Live Data'!$C$20)),"")</f>
        <v/>
      </c>
      <c r="J2166" s="54" t="str">
        <f>IFERROR(IF(INDEX(SPOT_Import!$A$1:$Z$2488,2166,'Live Data'!$C$21)="","",INDEX(SPOT_Import!$A$1:$Z$2488,2166,'Live Data'!$C$21)),"")</f>
        <v/>
      </c>
      <c r="K2166" s="54" t="str">
        <f>IFERROR(IF(INDEX(SPOT_Import!$A$1:$Z$2488,2166,'Live Data'!$C$22)="","",INDEX(SPOT_Import!$A$1:$Z$2488,2166,'Live Data'!$C$22)),"")</f>
        <v/>
      </c>
      <c r="L2166" s="55" t="str">
        <f t="shared" si="66"/>
        <v/>
      </c>
      <c r="M2166" s="55" t="str">
        <f t="shared" si="67"/>
        <v/>
      </c>
      <c r="N2166" s="55" t="str">
        <f>IF(A2166="","",IFERROR(INDEX('Cluster Map'!$A$4:$A$38,MATCH(M2166,'Cluster Map'!$B$4:$B$38,0)),"Unmapped"))</f>
        <v/>
      </c>
      <c r="O2166" s="55">
        <f>IF(A2166="",0,IF(COUNTIFS($A$2:A2166,A2166,$F$2:F2166,F2166,$L$2:L2166,L2166)=1,1,0))</f>
        <v>0</v>
      </c>
      <c r="P2166" s="55">
        <f>IF(A2166="",0,IF(AND(F2166="C&amp;T",COUNTIFS($A$2:A2166,A2166,$F$2:F2166,"C&amp;T")=1),1,0))</f>
        <v>0</v>
      </c>
    </row>
    <row r="2167" spans="1:16" x14ac:dyDescent="0.35">
      <c r="A2167" s="54" t="str">
        <f>IFERROR(IF(INDEX(SPOT_Import!$A$1:$Z$2488,2167,'Live Data'!$C$12)="","",INDEX(SPOT_Import!$A$1:$Z$2488,2167,'Live Data'!$C$12)),"")</f>
        <v/>
      </c>
      <c r="B2167" s="54" t="str">
        <f>IFERROR(IF(INDEX(SPOT_Import!$A$1:$Z$2488,2167,'Live Data'!$C$13)="","",INDEX(SPOT_Import!$A$1:$Z$2488,2167,'Live Data'!$C$13)),"")</f>
        <v/>
      </c>
      <c r="C2167" s="54" t="str">
        <f>IFERROR(IF(INDEX(SPOT_Import!$A$1:$Z$2488,2167,'Live Data'!$C$14)="","",INDEX(SPOT_Import!$A$1:$Z$2488,2167,'Live Data'!$C$14)),"")</f>
        <v/>
      </c>
      <c r="D2167" s="54" t="str">
        <f>IFERROR(IF(INDEX(SPOT_Import!$A$1:$Z$2488,2167,'Live Data'!$C$15)="","",INDEX(SPOT_Import!$A$1:$Z$2488,2167,'Live Data'!$C$15)),"")</f>
        <v/>
      </c>
      <c r="E2167" s="54" t="str">
        <f>IFERROR(IF(INDEX(SPOT_Import!$A$1:$Z$2488,2167,'Live Data'!$C$16)="","",INDEX(SPOT_Import!$A$1:$Z$2488,2167,'Live Data'!$C$16)),"")</f>
        <v/>
      </c>
      <c r="F2167" s="54" t="str">
        <f>IFERROR(IF(INDEX(SPOT_Import!$A$1:$Z$2488,2167,'Live Data'!$C$17)="","",INDEX(SPOT_Import!$A$1:$Z$2488,2167,'Live Data'!$C$17)),"")</f>
        <v/>
      </c>
      <c r="G2167" s="54" t="str">
        <f>IFERROR(IF(INDEX(SPOT_Import!$A$1:$Z$2488,2167,'Live Data'!$C$18)="","",INDEX(SPOT_Import!$A$1:$Z$2488,2167,'Live Data'!$C$18)),"")</f>
        <v/>
      </c>
      <c r="H2167" s="54" t="str">
        <f>IFERROR(IF(INDEX(SPOT_Import!$A$1:$Z$2488,2167,'Live Data'!$C$19)="","",INDEX(SPOT_Import!$A$1:$Z$2488,2167,'Live Data'!$C$19)),"")</f>
        <v/>
      </c>
      <c r="I2167" s="54" t="str">
        <f>IFERROR(IF(INDEX(SPOT_Import!$A$1:$Z$2488,2167,'Live Data'!$C$20)="","",INDEX(SPOT_Import!$A$1:$Z$2488,2167,'Live Data'!$C$20)),"")</f>
        <v/>
      </c>
      <c r="J2167" s="54" t="str">
        <f>IFERROR(IF(INDEX(SPOT_Import!$A$1:$Z$2488,2167,'Live Data'!$C$21)="","",INDEX(SPOT_Import!$A$1:$Z$2488,2167,'Live Data'!$C$21)),"")</f>
        <v/>
      </c>
      <c r="K2167" s="54" t="str">
        <f>IFERROR(IF(INDEX(SPOT_Import!$A$1:$Z$2488,2167,'Live Data'!$C$22)="","",INDEX(SPOT_Import!$A$1:$Z$2488,2167,'Live Data'!$C$22)),"")</f>
        <v/>
      </c>
      <c r="L2167" s="55" t="str">
        <f t="shared" si="66"/>
        <v/>
      </c>
      <c r="M2167" s="55" t="str">
        <f t="shared" si="67"/>
        <v/>
      </c>
      <c r="N2167" s="55" t="str">
        <f>IF(A2167="","",IFERROR(INDEX('Cluster Map'!$A$4:$A$38,MATCH(M2167,'Cluster Map'!$B$4:$B$38,0)),"Unmapped"))</f>
        <v/>
      </c>
      <c r="O2167" s="55">
        <f>IF(A2167="",0,IF(COUNTIFS($A$2:A2167,A2167,$F$2:F2167,F2167,$L$2:L2167,L2167)=1,1,0))</f>
        <v>0</v>
      </c>
      <c r="P2167" s="55">
        <f>IF(A2167="",0,IF(AND(F2167="C&amp;T",COUNTIFS($A$2:A2167,A2167,$F$2:F2167,"C&amp;T")=1),1,0))</f>
        <v>0</v>
      </c>
    </row>
    <row r="2168" spans="1:16" x14ac:dyDescent="0.35">
      <c r="A2168" s="54" t="str">
        <f>IFERROR(IF(INDEX(SPOT_Import!$A$1:$Z$2488,2168,'Live Data'!$C$12)="","",INDEX(SPOT_Import!$A$1:$Z$2488,2168,'Live Data'!$C$12)),"")</f>
        <v/>
      </c>
      <c r="B2168" s="54" t="str">
        <f>IFERROR(IF(INDEX(SPOT_Import!$A$1:$Z$2488,2168,'Live Data'!$C$13)="","",INDEX(SPOT_Import!$A$1:$Z$2488,2168,'Live Data'!$C$13)),"")</f>
        <v/>
      </c>
      <c r="C2168" s="54" t="str">
        <f>IFERROR(IF(INDEX(SPOT_Import!$A$1:$Z$2488,2168,'Live Data'!$C$14)="","",INDEX(SPOT_Import!$A$1:$Z$2488,2168,'Live Data'!$C$14)),"")</f>
        <v/>
      </c>
      <c r="D2168" s="54" t="str">
        <f>IFERROR(IF(INDEX(SPOT_Import!$A$1:$Z$2488,2168,'Live Data'!$C$15)="","",INDEX(SPOT_Import!$A$1:$Z$2488,2168,'Live Data'!$C$15)),"")</f>
        <v/>
      </c>
      <c r="E2168" s="54" t="str">
        <f>IFERROR(IF(INDEX(SPOT_Import!$A$1:$Z$2488,2168,'Live Data'!$C$16)="","",INDEX(SPOT_Import!$A$1:$Z$2488,2168,'Live Data'!$C$16)),"")</f>
        <v/>
      </c>
      <c r="F2168" s="54" t="str">
        <f>IFERROR(IF(INDEX(SPOT_Import!$A$1:$Z$2488,2168,'Live Data'!$C$17)="","",INDEX(SPOT_Import!$A$1:$Z$2488,2168,'Live Data'!$C$17)),"")</f>
        <v/>
      </c>
      <c r="G2168" s="54" t="str">
        <f>IFERROR(IF(INDEX(SPOT_Import!$A$1:$Z$2488,2168,'Live Data'!$C$18)="","",INDEX(SPOT_Import!$A$1:$Z$2488,2168,'Live Data'!$C$18)),"")</f>
        <v/>
      </c>
      <c r="H2168" s="54" t="str">
        <f>IFERROR(IF(INDEX(SPOT_Import!$A$1:$Z$2488,2168,'Live Data'!$C$19)="","",INDEX(SPOT_Import!$A$1:$Z$2488,2168,'Live Data'!$C$19)),"")</f>
        <v/>
      </c>
      <c r="I2168" s="54" t="str">
        <f>IFERROR(IF(INDEX(SPOT_Import!$A$1:$Z$2488,2168,'Live Data'!$C$20)="","",INDEX(SPOT_Import!$A$1:$Z$2488,2168,'Live Data'!$C$20)),"")</f>
        <v/>
      </c>
      <c r="J2168" s="54" t="str">
        <f>IFERROR(IF(INDEX(SPOT_Import!$A$1:$Z$2488,2168,'Live Data'!$C$21)="","",INDEX(SPOT_Import!$A$1:$Z$2488,2168,'Live Data'!$C$21)),"")</f>
        <v/>
      </c>
      <c r="K2168" s="54" t="str">
        <f>IFERROR(IF(INDEX(SPOT_Import!$A$1:$Z$2488,2168,'Live Data'!$C$22)="","",INDEX(SPOT_Import!$A$1:$Z$2488,2168,'Live Data'!$C$22)),"")</f>
        <v/>
      </c>
      <c r="L2168" s="55" t="str">
        <f t="shared" si="66"/>
        <v/>
      </c>
      <c r="M2168" s="55" t="str">
        <f t="shared" si="67"/>
        <v/>
      </c>
      <c r="N2168" s="55" t="str">
        <f>IF(A2168="","",IFERROR(INDEX('Cluster Map'!$A$4:$A$38,MATCH(M2168,'Cluster Map'!$B$4:$B$38,0)),"Unmapped"))</f>
        <v/>
      </c>
      <c r="O2168" s="55">
        <f>IF(A2168="",0,IF(COUNTIFS($A$2:A2168,A2168,$F$2:F2168,F2168,$L$2:L2168,L2168)=1,1,0))</f>
        <v>0</v>
      </c>
      <c r="P2168" s="55">
        <f>IF(A2168="",0,IF(AND(F2168="C&amp;T",COUNTIFS($A$2:A2168,A2168,$F$2:F2168,"C&amp;T")=1),1,0))</f>
        <v>0</v>
      </c>
    </row>
    <row r="2169" spans="1:16" x14ac:dyDescent="0.35">
      <c r="A2169" s="54" t="str">
        <f>IFERROR(IF(INDEX(SPOT_Import!$A$1:$Z$2488,2169,'Live Data'!$C$12)="","",INDEX(SPOT_Import!$A$1:$Z$2488,2169,'Live Data'!$C$12)),"")</f>
        <v/>
      </c>
      <c r="B2169" s="54" t="str">
        <f>IFERROR(IF(INDEX(SPOT_Import!$A$1:$Z$2488,2169,'Live Data'!$C$13)="","",INDEX(SPOT_Import!$A$1:$Z$2488,2169,'Live Data'!$C$13)),"")</f>
        <v/>
      </c>
      <c r="C2169" s="54" t="str">
        <f>IFERROR(IF(INDEX(SPOT_Import!$A$1:$Z$2488,2169,'Live Data'!$C$14)="","",INDEX(SPOT_Import!$A$1:$Z$2488,2169,'Live Data'!$C$14)),"")</f>
        <v/>
      </c>
      <c r="D2169" s="54" t="str">
        <f>IFERROR(IF(INDEX(SPOT_Import!$A$1:$Z$2488,2169,'Live Data'!$C$15)="","",INDEX(SPOT_Import!$A$1:$Z$2488,2169,'Live Data'!$C$15)),"")</f>
        <v/>
      </c>
      <c r="E2169" s="54" t="str">
        <f>IFERROR(IF(INDEX(SPOT_Import!$A$1:$Z$2488,2169,'Live Data'!$C$16)="","",INDEX(SPOT_Import!$A$1:$Z$2488,2169,'Live Data'!$C$16)),"")</f>
        <v/>
      </c>
      <c r="F2169" s="54" t="str">
        <f>IFERROR(IF(INDEX(SPOT_Import!$A$1:$Z$2488,2169,'Live Data'!$C$17)="","",INDEX(SPOT_Import!$A$1:$Z$2488,2169,'Live Data'!$C$17)),"")</f>
        <v/>
      </c>
      <c r="G2169" s="54" t="str">
        <f>IFERROR(IF(INDEX(SPOT_Import!$A$1:$Z$2488,2169,'Live Data'!$C$18)="","",INDEX(SPOT_Import!$A$1:$Z$2488,2169,'Live Data'!$C$18)),"")</f>
        <v/>
      </c>
      <c r="H2169" s="54" t="str">
        <f>IFERROR(IF(INDEX(SPOT_Import!$A$1:$Z$2488,2169,'Live Data'!$C$19)="","",INDEX(SPOT_Import!$A$1:$Z$2488,2169,'Live Data'!$C$19)),"")</f>
        <v/>
      </c>
      <c r="I2169" s="54" t="str">
        <f>IFERROR(IF(INDEX(SPOT_Import!$A$1:$Z$2488,2169,'Live Data'!$C$20)="","",INDEX(SPOT_Import!$A$1:$Z$2488,2169,'Live Data'!$C$20)),"")</f>
        <v/>
      </c>
      <c r="J2169" s="54" t="str">
        <f>IFERROR(IF(INDEX(SPOT_Import!$A$1:$Z$2488,2169,'Live Data'!$C$21)="","",INDEX(SPOT_Import!$A$1:$Z$2488,2169,'Live Data'!$C$21)),"")</f>
        <v/>
      </c>
      <c r="K2169" s="54" t="str">
        <f>IFERROR(IF(INDEX(SPOT_Import!$A$1:$Z$2488,2169,'Live Data'!$C$22)="","",INDEX(SPOT_Import!$A$1:$Z$2488,2169,'Live Data'!$C$22)),"")</f>
        <v/>
      </c>
      <c r="L2169" s="55" t="str">
        <f t="shared" si="66"/>
        <v/>
      </c>
      <c r="M2169" s="55" t="str">
        <f t="shared" si="67"/>
        <v/>
      </c>
      <c r="N2169" s="55" t="str">
        <f>IF(A2169="","",IFERROR(INDEX('Cluster Map'!$A$4:$A$38,MATCH(M2169,'Cluster Map'!$B$4:$B$38,0)),"Unmapped"))</f>
        <v/>
      </c>
      <c r="O2169" s="55">
        <f>IF(A2169="",0,IF(COUNTIFS($A$2:A2169,A2169,$F$2:F2169,F2169,$L$2:L2169,L2169)=1,1,0))</f>
        <v>0</v>
      </c>
      <c r="P2169" s="55">
        <f>IF(A2169="",0,IF(AND(F2169="C&amp;T",COUNTIFS($A$2:A2169,A2169,$F$2:F2169,"C&amp;T")=1),1,0))</f>
        <v>0</v>
      </c>
    </row>
    <row r="2170" spans="1:16" x14ac:dyDescent="0.35">
      <c r="A2170" s="54" t="str">
        <f>IFERROR(IF(INDEX(SPOT_Import!$A$1:$Z$2488,2170,'Live Data'!$C$12)="","",INDEX(SPOT_Import!$A$1:$Z$2488,2170,'Live Data'!$C$12)),"")</f>
        <v/>
      </c>
      <c r="B2170" s="54" t="str">
        <f>IFERROR(IF(INDEX(SPOT_Import!$A$1:$Z$2488,2170,'Live Data'!$C$13)="","",INDEX(SPOT_Import!$A$1:$Z$2488,2170,'Live Data'!$C$13)),"")</f>
        <v/>
      </c>
      <c r="C2170" s="54" t="str">
        <f>IFERROR(IF(INDEX(SPOT_Import!$A$1:$Z$2488,2170,'Live Data'!$C$14)="","",INDEX(SPOT_Import!$A$1:$Z$2488,2170,'Live Data'!$C$14)),"")</f>
        <v/>
      </c>
      <c r="D2170" s="54" t="str">
        <f>IFERROR(IF(INDEX(SPOT_Import!$A$1:$Z$2488,2170,'Live Data'!$C$15)="","",INDEX(SPOT_Import!$A$1:$Z$2488,2170,'Live Data'!$C$15)),"")</f>
        <v/>
      </c>
      <c r="E2170" s="54" t="str">
        <f>IFERROR(IF(INDEX(SPOT_Import!$A$1:$Z$2488,2170,'Live Data'!$C$16)="","",INDEX(SPOT_Import!$A$1:$Z$2488,2170,'Live Data'!$C$16)),"")</f>
        <v/>
      </c>
      <c r="F2170" s="54" t="str">
        <f>IFERROR(IF(INDEX(SPOT_Import!$A$1:$Z$2488,2170,'Live Data'!$C$17)="","",INDEX(SPOT_Import!$A$1:$Z$2488,2170,'Live Data'!$C$17)),"")</f>
        <v/>
      </c>
      <c r="G2170" s="54" t="str">
        <f>IFERROR(IF(INDEX(SPOT_Import!$A$1:$Z$2488,2170,'Live Data'!$C$18)="","",INDEX(SPOT_Import!$A$1:$Z$2488,2170,'Live Data'!$C$18)),"")</f>
        <v/>
      </c>
      <c r="H2170" s="54" t="str">
        <f>IFERROR(IF(INDEX(SPOT_Import!$A$1:$Z$2488,2170,'Live Data'!$C$19)="","",INDEX(SPOT_Import!$A$1:$Z$2488,2170,'Live Data'!$C$19)),"")</f>
        <v/>
      </c>
      <c r="I2170" s="54" t="str">
        <f>IFERROR(IF(INDEX(SPOT_Import!$A$1:$Z$2488,2170,'Live Data'!$C$20)="","",INDEX(SPOT_Import!$A$1:$Z$2488,2170,'Live Data'!$C$20)),"")</f>
        <v/>
      </c>
      <c r="J2170" s="54" t="str">
        <f>IFERROR(IF(INDEX(SPOT_Import!$A$1:$Z$2488,2170,'Live Data'!$C$21)="","",INDEX(SPOT_Import!$A$1:$Z$2488,2170,'Live Data'!$C$21)),"")</f>
        <v/>
      </c>
      <c r="K2170" s="54" t="str">
        <f>IFERROR(IF(INDEX(SPOT_Import!$A$1:$Z$2488,2170,'Live Data'!$C$22)="","",INDEX(SPOT_Import!$A$1:$Z$2488,2170,'Live Data'!$C$22)),"")</f>
        <v/>
      </c>
      <c r="L2170" s="55" t="str">
        <f t="shared" si="66"/>
        <v/>
      </c>
      <c r="M2170" s="55" t="str">
        <f t="shared" si="67"/>
        <v/>
      </c>
      <c r="N2170" s="55" t="str">
        <f>IF(A2170="","",IFERROR(INDEX('Cluster Map'!$A$4:$A$38,MATCH(M2170,'Cluster Map'!$B$4:$B$38,0)),"Unmapped"))</f>
        <v/>
      </c>
      <c r="O2170" s="55">
        <f>IF(A2170="",0,IF(COUNTIFS($A$2:A2170,A2170,$F$2:F2170,F2170,$L$2:L2170,L2170)=1,1,0))</f>
        <v>0</v>
      </c>
      <c r="P2170" s="55">
        <f>IF(A2170="",0,IF(AND(F2170="C&amp;T",COUNTIFS($A$2:A2170,A2170,$F$2:F2170,"C&amp;T")=1),1,0))</f>
        <v>0</v>
      </c>
    </row>
    <row r="2171" spans="1:16" x14ac:dyDescent="0.35">
      <c r="A2171" s="54" t="str">
        <f>IFERROR(IF(INDEX(SPOT_Import!$A$1:$Z$2488,2171,'Live Data'!$C$12)="","",INDEX(SPOT_Import!$A$1:$Z$2488,2171,'Live Data'!$C$12)),"")</f>
        <v/>
      </c>
      <c r="B2171" s="54" t="str">
        <f>IFERROR(IF(INDEX(SPOT_Import!$A$1:$Z$2488,2171,'Live Data'!$C$13)="","",INDEX(SPOT_Import!$A$1:$Z$2488,2171,'Live Data'!$C$13)),"")</f>
        <v/>
      </c>
      <c r="C2171" s="54" t="str">
        <f>IFERROR(IF(INDEX(SPOT_Import!$A$1:$Z$2488,2171,'Live Data'!$C$14)="","",INDEX(SPOT_Import!$A$1:$Z$2488,2171,'Live Data'!$C$14)),"")</f>
        <v/>
      </c>
      <c r="D2171" s="54" t="str">
        <f>IFERROR(IF(INDEX(SPOT_Import!$A$1:$Z$2488,2171,'Live Data'!$C$15)="","",INDEX(SPOT_Import!$A$1:$Z$2488,2171,'Live Data'!$C$15)),"")</f>
        <v/>
      </c>
      <c r="E2171" s="54" t="str">
        <f>IFERROR(IF(INDEX(SPOT_Import!$A$1:$Z$2488,2171,'Live Data'!$C$16)="","",INDEX(SPOT_Import!$A$1:$Z$2488,2171,'Live Data'!$C$16)),"")</f>
        <v/>
      </c>
      <c r="F2171" s="54" t="str">
        <f>IFERROR(IF(INDEX(SPOT_Import!$A$1:$Z$2488,2171,'Live Data'!$C$17)="","",INDEX(SPOT_Import!$A$1:$Z$2488,2171,'Live Data'!$C$17)),"")</f>
        <v/>
      </c>
      <c r="G2171" s="54" t="str">
        <f>IFERROR(IF(INDEX(SPOT_Import!$A$1:$Z$2488,2171,'Live Data'!$C$18)="","",INDEX(SPOT_Import!$A$1:$Z$2488,2171,'Live Data'!$C$18)),"")</f>
        <v/>
      </c>
      <c r="H2171" s="54" t="str">
        <f>IFERROR(IF(INDEX(SPOT_Import!$A$1:$Z$2488,2171,'Live Data'!$C$19)="","",INDEX(SPOT_Import!$A$1:$Z$2488,2171,'Live Data'!$C$19)),"")</f>
        <v/>
      </c>
      <c r="I2171" s="54" t="str">
        <f>IFERROR(IF(INDEX(SPOT_Import!$A$1:$Z$2488,2171,'Live Data'!$C$20)="","",INDEX(SPOT_Import!$A$1:$Z$2488,2171,'Live Data'!$C$20)),"")</f>
        <v/>
      </c>
      <c r="J2171" s="54" t="str">
        <f>IFERROR(IF(INDEX(SPOT_Import!$A$1:$Z$2488,2171,'Live Data'!$C$21)="","",INDEX(SPOT_Import!$A$1:$Z$2488,2171,'Live Data'!$C$21)),"")</f>
        <v/>
      </c>
      <c r="K2171" s="54" t="str">
        <f>IFERROR(IF(INDEX(SPOT_Import!$A$1:$Z$2488,2171,'Live Data'!$C$22)="","",INDEX(SPOT_Import!$A$1:$Z$2488,2171,'Live Data'!$C$22)),"")</f>
        <v/>
      </c>
      <c r="L2171" s="55" t="str">
        <f t="shared" si="66"/>
        <v/>
      </c>
      <c r="M2171" s="55" t="str">
        <f t="shared" si="67"/>
        <v/>
      </c>
      <c r="N2171" s="55" t="str">
        <f>IF(A2171="","",IFERROR(INDEX('Cluster Map'!$A$4:$A$38,MATCH(M2171,'Cluster Map'!$B$4:$B$38,0)),"Unmapped"))</f>
        <v/>
      </c>
      <c r="O2171" s="55">
        <f>IF(A2171="",0,IF(COUNTIFS($A$2:A2171,A2171,$F$2:F2171,F2171,$L$2:L2171,L2171)=1,1,0))</f>
        <v>0</v>
      </c>
      <c r="P2171" s="55">
        <f>IF(A2171="",0,IF(AND(F2171="C&amp;T",COUNTIFS($A$2:A2171,A2171,$F$2:F2171,"C&amp;T")=1),1,0))</f>
        <v>0</v>
      </c>
    </row>
    <row r="2172" spans="1:16" x14ac:dyDescent="0.35">
      <c r="A2172" s="54" t="str">
        <f>IFERROR(IF(INDEX(SPOT_Import!$A$1:$Z$2488,2172,'Live Data'!$C$12)="","",INDEX(SPOT_Import!$A$1:$Z$2488,2172,'Live Data'!$C$12)),"")</f>
        <v/>
      </c>
      <c r="B2172" s="54" t="str">
        <f>IFERROR(IF(INDEX(SPOT_Import!$A$1:$Z$2488,2172,'Live Data'!$C$13)="","",INDEX(SPOT_Import!$A$1:$Z$2488,2172,'Live Data'!$C$13)),"")</f>
        <v/>
      </c>
      <c r="C2172" s="54" t="str">
        <f>IFERROR(IF(INDEX(SPOT_Import!$A$1:$Z$2488,2172,'Live Data'!$C$14)="","",INDEX(SPOT_Import!$A$1:$Z$2488,2172,'Live Data'!$C$14)),"")</f>
        <v/>
      </c>
      <c r="D2172" s="54" t="str">
        <f>IFERROR(IF(INDEX(SPOT_Import!$A$1:$Z$2488,2172,'Live Data'!$C$15)="","",INDEX(SPOT_Import!$A$1:$Z$2488,2172,'Live Data'!$C$15)),"")</f>
        <v/>
      </c>
      <c r="E2172" s="54" t="str">
        <f>IFERROR(IF(INDEX(SPOT_Import!$A$1:$Z$2488,2172,'Live Data'!$C$16)="","",INDEX(SPOT_Import!$A$1:$Z$2488,2172,'Live Data'!$C$16)),"")</f>
        <v/>
      </c>
      <c r="F2172" s="54" t="str">
        <f>IFERROR(IF(INDEX(SPOT_Import!$A$1:$Z$2488,2172,'Live Data'!$C$17)="","",INDEX(SPOT_Import!$A$1:$Z$2488,2172,'Live Data'!$C$17)),"")</f>
        <v/>
      </c>
      <c r="G2172" s="54" t="str">
        <f>IFERROR(IF(INDEX(SPOT_Import!$A$1:$Z$2488,2172,'Live Data'!$C$18)="","",INDEX(SPOT_Import!$A$1:$Z$2488,2172,'Live Data'!$C$18)),"")</f>
        <v/>
      </c>
      <c r="H2172" s="54" t="str">
        <f>IFERROR(IF(INDEX(SPOT_Import!$A$1:$Z$2488,2172,'Live Data'!$C$19)="","",INDEX(SPOT_Import!$A$1:$Z$2488,2172,'Live Data'!$C$19)),"")</f>
        <v/>
      </c>
      <c r="I2172" s="54" t="str">
        <f>IFERROR(IF(INDEX(SPOT_Import!$A$1:$Z$2488,2172,'Live Data'!$C$20)="","",INDEX(SPOT_Import!$A$1:$Z$2488,2172,'Live Data'!$C$20)),"")</f>
        <v/>
      </c>
      <c r="J2172" s="54" t="str">
        <f>IFERROR(IF(INDEX(SPOT_Import!$A$1:$Z$2488,2172,'Live Data'!$C$21)="","",INDEX(SPOT_Import!$A$1:$Z$2488,2172,'Live Data'!$C$21)),"")</f>
        <v/>
      </c>
      <c r="K2172" s="54" t="str">
        <f>IFERROR(IF(INDEX(SPOT_Import!$A$1:$Z$2488,2172,'Live Data'!$C$22)="","",INDEX(SPOT_Import!$A$1:$Z$2488,2172,'Live Data'!$C$22)),"")</f>
        <v/>
      </c>
      <c r="L2172" s="55" t="str">
        <f t="shared" si="66"/>
        <v/>
      </c>
      <c r="M2172" s="55" t="str">
        <f t="shared" si="67"/>
        <v/>
      </c>
      <c r="N2172" s="55" t="str">
        <f>IF(A2172="","",IFERROR(INDEX('Cluster Map'!$A$4:$A$38,MATCH(M2172,'Cluster Map'!$B$4:$B$38,0)),"Unmapped"))</f>
        <v/>
      </c>
      <c r="O2172" s="55">
        <f>IF(A2172="",0,IF(COUNTIFS($A$2:A2172,A2172,$F$2:F2172,F2172,$L$2:L2172,L2172)=1,1,0))</f>
        <v>0</v>
      </c>
      <c r="P2172" s="55">
        <f>IF(A2172="",0,IF(AND(F2172="C&amp;T",COUNTIFS($A$2:A2172,A2172,$F$2:F2172,"C&amp;T")=1),1,0))</f>
        <v>0</v>
      </c>
    </row>
    <row r="2173" spans="1:16" x14ac:dyDescent="0.35">
      <c r="A2173" s="54" t="str">
        <f>IFERROR(IF(INDEX(SPOT_Import!$A$1:$Z$2488,2173,'Live Data'!$C$12)="","",INDEX(SPOT_Import!$A$1:$Z$2488,2173,'Live Data'!$C$12)),"")</f>
        <v/>
      </c>
      <c r="B2173" s="54" t="str">
        <f>IFERROR(IF(INDEX(SPOT_Import!$A$1:$Z$2488,2173,'Live Data'!$C$13)="","",INDEX(SPOT_Import!$A$1:$Z$2488,2173,'Live Data'!$C$13)),"")</f>
        <v/>
      </c>
      <c r="C2173" s="54" t="str">
        <f>IFERROR(IF(INDEX(SPOT_Import!$A$1:$Z$2488,2173,'Live Data'!$C$14)="","",INDEX(SPOT_Import!$A$1:$Z$2488,2173,'Live Data'!$C$14)),"")</f>
        <v/>
      </c>
      <c r="D2173" s="54" t="str">
        <f>IFERROR(IF(INDEX(SPOT_Import!$A$1:$Z$2488,2173,'Live Data'!$C$15)="","",INDEX(SPOT_Import!$A$1:$Z$2488,2173,'Live Data'!$C$15)),"")</f>
        <v/>
      </c>
      <c r="E2173" s="54" t="str">
        <f>IFERROR(IF(INDEX(SPOT_Import!$A$1:$Z$2488,2173,'Live Data'!$C$16)="","",INDEX(SPOT_Import!$A$1:$Z$2488,2173,'Live Data'!$C$16)),"")</f>
        <v/>
      </c>
      <c r="F2173" s="54" t="str">
        <f>IFERROR(IF(INDEX(SPOT_Import!$A$1:$Z$2488,2173,'Live Data'!$C$17)="","",INDEX(SPOT_Import!$A$1:$Z$2488,2173,'Live Data'!$C$17)),"")</f>
        <v/>
      </c>
      <c r="G2173" s="54" t="str">
        <f>IFERROR(IF(INDEX(SPOT_Import!$A$1:$Z$2488,2173,'Live Data'!$C$18)="","",INDEX(SPOT_Import!$A$1:$Z$2488,2173,'Live Data'!$C$18)),"")</f>
        <v/>
      </c>
      <c r="H2173" s="54" t="str">
        <f>IFERROR(IF(INDEX(SPOT_Import!$A$1:$Z$2488,2173,'Live Data'!$C$19)="","",INDEX(SPOT_Import!$A$1:$Z$2488,2173,'Live Data'!$C$19)),"")</f>
        <v/>
      </c>
      <c r="I2173" s="54" t="str">
        <f>IFERROR(IF(INDEX(SPOT_Import!$A$1:$Z$2488,2173,'Live Data'!$C$20)="","",INDEX(SPOT_Import!$A$1:$Z$2488,2173,'Live Data'!$C$20)),"")</f>
        <v/>
      </c>
      <c r="J2173" s="54" t="str">
        <f>IFERROR(IF(INDEX(SPOT_Import!$A$1:$Z$2488,2173,'Live Data'!$C$21)="","",INDEX(SPOT_Import!$A$1:$Z$2488,2173,'Live Data'!$C$21)),"")</f>
        <v/>
      </c>
      <c r="K2173" s="54" t="str">
        <f>IFERROR(IF(INDEX(SPOT_Import!$A$1:$Z$2488,2173,'Live Data'!$C$22)="","",INDEX(SPOT_Import!$A$1:$Z$2488,2173,'Live Data'!$C$22)),"")</f>
        <v/>
      </c>
      <c r="L2173" s="55" t="str">
        <f t="shared" si="66"/>
        <v/>
      </c>
      <c r="M2173" s="55" t="str">
        <f t="shared" si="67"/>
        <v/>
      </c>
      <c r="N2173" s="55" t="str">
        <f>IF(A2173="","",IFERROR(INDEX('Cluster Map'!$A$4:$A$38,MATCH(M2173,'Cluster Map'!$B$4:$B$38,0)),"Unmapped"))</f>
        <v/>
      </c>
      <c r="O2173" s="55">
        <f>IF(A2173="",0,IF(COUNTIFS($A$2:A2173,A2173,$F$2:F2173,F2173,$L$2:L2173,L2173)=1,1,0))</f>
        <v>0</v>
      </c>
      <c r="P2173" s="55">
        <f>IF(A2173="",0,IF(AND(F2173="C&amp;T",COUNTIFS($A$2:A2173,A2173,$F$2:F2173,"C&amp;T")=1),1,0))</f>
        <v>0</v>
      </c>
    </row>
    <row r="2174" spans="1:16" x14ac:dyDescent="0.35">
      <c r="A2174" s="54" t="str">
        <f>IFERROR(IF(INDEX(SPOT_Import!$A$1:$Z$2488,2174,'Live Data'!$C$12)="","",INDEX(SPOT_Import!$A$1:$Z$2488,2174,'Live Data'!$C$12)),"")</f>
        <v/>
      </c>
      <c r="B2174" s="54" t="str">
        <f>IFERROR(IF(INDEX(SPOT_Import!$A$1:$Z$2488,2174,'Live Data'!$C$13)="","",INDEX(SPOT_Import!$A$1:$Z$2488,2174,'Live Data'!$C$13)),"")</f>
        <v/>
      </c>
      <c r="C2174" s="54" t="str">
        <f>IFERROR(IF(INDEX(SPOT_Import!$A$1:$Z$2488,2174,'Live Data'!$C$14)="","",INDEX(SPOT_Import!$A$1:$Z$2488,2174,'Live Data'!$C$14)),"")</f>
        <v/>
      </c>
      <c r="D2174" s="54" t="str">
        <f>IFERROR(IF(INDEX(SPOT_Import!$A$1:$Z$2488,2174,'Live Data'!$C$15)="","",INDEX(SPOT_Import!$A$1:$Z$2488,2174,'Live Data'!$C$15)),"")</f>
        <v/>
      </c>
      <c r="E2174" s="54" t="str">
        <f>IFERROR(IF(INDEX(SPOT_Import!$A$1:$Z$2488,2174,'Live Data'!$C$16)="","",INDEX(SPOT_Import!$A$1:$Z$2488,2174,'Live Data'!$C$16)),"")</f>
        <v/>
      </c>
      <c r="F2174" s="54" t="str">
        <f>IFERROR(IF(INDEX(SPOT_Import!$A$1:$Z$2488,2174,'Live Data'!$C$17)="","",INDEX(SPOT_Import!$A$1:$Z$2488,2174,'Live Data'!$C$17)),"")</f>
        <v/>
      </c>
      <c r="G2174" s="54" t="str">
        <f>IFERROR(IF(INDEX(SPOT_Import!$A$1:$Z$2488,2174,'Live Data'!$C$18)="","",INDEX(SPOT_Import!$A$1:$Z$2488,2174,'Live Data'!$C$18)),"")</f>
        <v/>
      </c>
      <c r="H2174" s="54" t="str">
        <f>IFERROR(IF(INDEX(SPOT_Import!$A$1:$Z$2488,2174,'Live Data'!$C$19)="","",INDEX(SPOT_Import!$A$1:$Z$2488,2174,'Live Data'!$C$19)),"")</f>
        <v/>
      </c>
      <c r="I2174" s="54" t="str">
        <f>IFERROR(IF(INDEX(SPOT_Import!$A$1:$Z$2488,2174,'Live Data'!$C$20)="","",INDEX(SPOT_Import!$A$1:$Z$2488,2174,'Live Data'!$C$20)),"")</f>
        <v/>
      </c>
      <c r="J2174" s="54" t="str">
        <f>IFERROR(IF(INDEX(SPOT_Import!$A$1:$Z$2488,2174,'Live Data'!$C$21)="","",INDEX(SPOT_Import!$A$1:$Z$2488,2174,'Live Data'!$C$21)),"")</f>
        <v/>
      </c>
      <c r="K2174" s="54" t="str">
        <f>IFERROR(IF(INDEX(SPOT_Import!$A$1:$Z$2488,2174,'Live Data'!$C$22)="","",INDEX(SPOT_Import!$A$1:$Z$2488,2174,'Live Data'!$C$22)),"")</f>
        <v/>
      </c>
      <c r="L2174" s="55" t="str">
        <f t="shared" si="66"/>
        <v/>
      </c>
      <c r="M2174" s="55" t="str">
        <f t="shared" si="67"/>
        <v/>
      </c>
      <c r="N2174" s="55" t="str">
        <f>IF(A2174="","",IFERROR(INDEX('Cluster Map'!$A$4:$A$38,MATCH(M2174,'Cluster Map'!$B$4:$B$38,0)),"Unmapped"))</f>
        <v/>
      </c>
      <c r="O2174" s="55">
        <f>IF(A2174="",0,IF(COUNTIFS($A$2:A2174,A2174,$F$2:F2174,F2174,$L$2:L2174,L2174)=1,1,0))</f>
        <v>0</v>
      </c>
      <c r="P2174" s="55">
        <f>IF(A2174="",0,IF(AND(F2174="C&amp;T",COUNTIFS($A$2:A2174,A2174,$F$2:F2174,"C&amp;T")=1),1,0))</f>
        <v>0</v>
      </c>
    </row>
    <row r="2175" spans="1:16" x14ac:dyDescent="0.35">
      <c r="A2175" s="54" t="str">
        <f>IFERROR(IF(INDEX(SPOT_Import!$A$1:$Z$2488,2175,'Live Data'!$C$12)="","",INDEX(SPOT_Import!$A$1:$Z$2488,2175,'Live Data'!$C$12)),"")</f>
        <v/>
      </c>
      <c r="B2175" s="54" t="str">
        <f>IFERROR(IF(INDEX(SPOT_Import!$A$1:$Z$2488,2175,'Live Data'!$C$13)="","",INDEX(SPOT_Import!$A$1:$Z$2488,2175,'Live Data'!$C$13)),"")</f>
        <v/>
      </c>
      <c r="C2175" s="54" t="str">
        <f>IFERROR(IF(INDEX(SPOT_Import!$A$1:$Z$2488,2175,'Live Data'!$C$14)="","",INDEX(SPOT_Import!$A$1:$Z$2488,2175,'Live Data'!$C$14)),"")</f>
        <v/>
      </c>
      <c r="D2175" s="54" t="str">
        <f>IFERROR(IF(INDEX(SPOT_Import!$A$1:$Z$2488,2175,'Live Data'!$C$15)="","",INDEX(SPOT_Import!$A$1:$Z$2488,2175,'Live Data'!$C$15)),"")</f>
        <v/>
      </c>
      <c r="E2175" s="54" t="str">
        <f>IFERROR(IF(INDEX(SPOT_Import!$A$1:$Z$2488,2175,'Live Data'!$C$16)="","",INDEX(SPOT_Import!$A$1:$Z$2488,2175,'Live Data'!$C$16)),"")</f>
        <v/>
      </c>
      <c r="F2175" s="54" t="str">
        <f>IFERROR(IF(INDEX(SPOT_Import!$A$1:$Z$2488,2175,'Live Data'!$C$17)="","",INDEX(SPOT_Import!$A$1:$Z$2488,2175,'Live Data'!$C$17)),"")</f>
        <v/>
      </c>
      <c r="G2175" s="54" t="str">
        <f>IFERROR(IF(INDEX(SPOT_Import!$A$1:$Z$2488,2175,'Live Data'!$C$18)="","",INDEX(SPOT_Import!$A$1:$Z$2488,2175,'Live Data'!$C$18)),"")</f>
        <v/>
      </c>
      <c r="H2175" s="54" t="str">
        <f>IFERROR(IF(INDEX(SPOT_Import!$A$1:$Z$2488,2175,'Live Data'!$C$19)="","",INDEX(SPOT_Import!$A$1:$Z$2488,2175,'Live Data'!$C$19)),"")</f>
        <v/>
      </c>
      <c r="I2175" s="54" t="str">
        <f>IFERROR(IF(INDEX(SPOT_Import!$A$1:$Z$2488,2175,'Live Data'!$C$20)="","",INDEX(SPOT_Import!$A$1:$Z$2488,2175,'Live Data'!$C$20)),"")</f>
        <v/>
      </c>
      <c r="J2175" s="54" t="str">
        <f>IFERROR(IF(INDEX(SPOT_Import!$A$1:$Z$2488,2175,'Live Data'!$C$21)="","",INDEX(SPOT_Import!$A$1:$Z$2488,2175,'Live Data'!$C$21)),"")</f>
        <v/>
      </c>
      <c r="K2175" s="54" t="str">
        <f>IFERROR(IF(INDEX(SPOT_Import!$A$1:$Z$2488,2175,'Live Data'!$C$22)="","",INDEX(SPOT_Import!$A$1:$Z$2488,2175,'Live Data'!$C$22)),"")</f>
        <v/>
      </c>
      <c r="L2175" s="55" t="str">
        <f t="shared" si="66"/>
        <v/>
      </c>
      <c r="M2175" s="55" t="str">
        <f t="shared" si="67"/>
        <v/>
      </c>
      <c r="N2175" s="55" t="str">
        <f>IF(A2175="","",IFERROR(INDEX('Cluster Map'!$A$4:$A$38,MATCH(M2175,'Cluster Map'!$B$4:$B$38,0)),"Unmapped"))</f>
        <v/>
      </c>
      <c r="O2175" s="55">
        <f>IF(A2175="",0,IF(COUNTIFS($A$2:A2175,A2175,$F$2:F2175,F2175,$L$2:L2175,L2175)=1,1,0))</f>
        <v>0</v>
      </c>
      <c r="P2175" s="55">
        <f>IF(A2175="",0,IF(AND(F2175="C&amp;T",COUNTIFS($A$2:A2175,A2175,$F$2:F2175,"C&amp;T")=1),1,0))</f>
        <v>0</v>
      </c>
    </row>
    <row r="2176" spans="1:16" x14ac:dyDescent="0.35">
      <c r="A2176" s="54" t="str">
        <f>IFERROR(IF(INDEX(SPOT_Import!$A$1:$Z$2488,2176,'Live Data'!$C$12)="","",INDEX(SPOT_Import!$A$1:$Z$2488,2176,'Live Data'!$C$12)),"")</f>
        <v/>
      </c>
      <c r="B2176" s="54" t="str">
        <f>IFERROR(IF(INDEX(SPOT_Import!$A$1:$Z$2488,2176,'Live Data'!$C$13)="","",INDEX(SPOT_Import!$A$1:$Z$2488,2176,'Live Data'!$C$13)),"")</f>
        <v/>
      </c>
      <c r="C2176" s="54" t="str">
        <f>IFERROR(IF(INDEX(SPOT_Import!$A$1:$Z$2488,2176,'Live Data'!$C$14)="","",INDEX(SPOT_Import!$A$1:$Z$2488,2176,'Live Data'!$C$14)),"")</f>
        <v/>
      </c>
      <c r="D2176" s="54" t="str">
        <f>IFERROR(IF(INDEX(SPOT_Import!$A$1:$Z$2488,2176,'Live Data'!$C$15)="","",INDEX(SPOT_Import!$A$1:$Z$2488,2176,'Live Data'!$C$15)),"")</f>
        <v/>
      </c>
      <c r="E2176" s="54" t="str">
        <f>IFERROR(IF(INDEX(SPOT_Import!$A$1:$Z$2488,2176,'Live Data'!$C$16)="","",INDEX(SPOT_Import!$A$1:$Z$2488,2176,'Live Data'!$C$16)),"")</f>
        <v/>
      </c>
      <c r="F2176" s="54" t="str">
        <f>IFERROR(IF(INDEX(SPOT_Import!$A$1:$Z$2488,2176,'Live Data'!$C$17)="","",INDEX(SPOT_Import!$A$1:$Z$2488,2176,'Live Data'!$C$17)),"")</f>
        <v/>
      </c>
      <c r="G2176" s="54" t="str">
        <f>IFERROR(IF(INDEX(SPOT_Import!$A$1:$Z$2488,2176,'Live Data'!$C$18)="","",INDEX(SPOT_Import!$A$1:$Z$2488,2176,'Live Data'!$C$18)),"")</f>
        <v/>
      </c>
      <c r="H2176" s="54" t="str">
        <f>IFERROR(IF(INDEX(SPOT_Import!$A$1:$Z$2488,2176,'Live Data'!$C$19)="","",INDEX(SPOT_Import!$A$1:$Z$2488,2176,'Live Data'!$C$19)),"")</f>
        <v/>
      </c>
      <c r="I2176" s="54" t="str">
        <f>IFERROR(IF(INDEX(SPOT_Import!$A$1:$Z$2488,2176,'Live Data'!$C$20)="","",INDEX(SPOT_Import!$A$1:$Z$2488,2176,'Live Data'!$C$20)),"")</f>
        <v/>
      </c>
      <c r="J2176" s="54" t="str">
        <f>IFERROR(IF(INDEX(SPOT_Import!$A$1:$Z$2488,2176,'Live Data'!$C$21)="","",INDEX(SPOT_Import!$A$1:$Z$2488,2176,'Live Data'!$C$21)),"")</f>
        <v/>
      </c>
      <c r="K2176" s="54" t="str">
        <f>IFERROR(IF(INDEX(SPOT_Import!$A$1:$Z$2488,2176,'Live Data'!$C$22)="","",INDEX(SPOT_Import!$A$1:$Z$2488,2176,'Live Data'!$C$22)),"")</f>
        <v/>
      </c>
      <c r="L2176" s="55" t="str">
        <f t="shared" si="66"/>
        <v/>
      </c>
      <c r="M2176" s="55" t="str">
        <f t="shared" si="67"/>
        <v/>
      </c>
      <c r="N2176" s="55" t="str">
        <f>IF(A2176="","",IFERROR(INDEX('Cluster Map'!$A$4:$A$38,MATCH(M2176,'Cluster Map'!$B$4:$B$38,0)),"Unmapped"))</f>
        <v/>
      </c>
      <c r="O2176" s="55">
        <f>IF(A2176="",0,IF(COUNTIFS($A$2:A2176,A2176,$F$2:F2176,F2176,$L$2:L2176,L2176)=1,1,0))</f>
        <v>0</v>
      </c>
      <c r="P2176" s="55">
        <f>IF(A2176="",0,IF(AND(F2176="C&amp;T",COUNTIFS($A$2:A2176,A2176,$F$2:F2176,"C&amp;T")=1),1,0))</f>
        <v>0</v>
      </c>
    </row>
    <row r="2177" spans="1:16" x14ac:dyDescent="0.35">
      <c r="A2177" s="54" t="str">
        <f>IFERROR(IF(INDEX(SPOT_Import!$A$1:$Z$2488,2177,'Live Data'!$C$12)="","",INDEX(SPOT_Import!$A$1:$Z$2488,2177,'Live Data'!$C$12)),"")</f>
        <v/>
      </c>
      <c r="B2177" s="54" t="str">
        <f>IFERROR(IF(INDEX(SPOT_Import!$A$1:$Z$2488,2177,'Live Data'!$C$13)="","",INDEX(SPOT_Import!$A$1:$Z$2488,2177,'Live Data'!$C$13)),"")</f>
        <v/>
      </c>
      <c r="C2177" s="54" t="str">
        <f>IFERROR(IF(INDEX(SPOT_Import!$A$1:$Z$2488,2177,'Live Data'!$C$14)="","",INDEX(SPOT_Import!$A$1:$Z$2488,2177,'Live Data'!$C$14)),"")</f>
        <v/>
      </c>
      <c r="D2177" s="54" t="str">
        <f>IFERROR(IF(INDEX(SPOT_Import!$A$1:$Z$2488,2177,'Live Data'!$C$15)="","",INDEX(SPOT_Import!$A$1:$Z$2488,2177,'Live Data'!$C$15)),"")</f>
        <v/>
      </c>
      <c r="E2177" s="54" t="str">
        <f>IFERROR(IF(INDEX(SPOT_Import!$A$1:$Z$2488,2177,'Live Data'!$C$16)="","",INDEX(SPOT_Import!$A$1:$Z$2488,2177,'Live Data'!$C$16)),"")</f>
        <v/>
      </c>
      <c r="F2177" s="54" t="str">
        <f>IFERROR(IF(INDEX(SPOT_Import!$A$1:$Z$2488,2177,'Live Data'!$C$17)="","",INDEX(SPOT_Import!$A$1:$Z$2488,2177,'Live Data'!$C$17)),"")</f>
        <v/>
      </c>
      <c r="G2177" s="54" t="str">
        <f>IFERROR(IF(INDEX(SPOT_Import!$A$1:$Z$2488,2177,'Live Data'!$C$18)="","",INDEX(SPOT_Import!$A$1:$Z$2488,2177,'Live Data'!$C$18)),"")</f>
        <v/>
      </c>
      <c r="H2177" s="54" t="str">
        <f>IFERROR(IF(INDEX(SPOT_Import!$A$1:$Z$2488,2177,'Live Data'!$C$19)="","",INDEX(SPOT_Import!$A$1:$Z$2488,2177,'Live Data'!$C$19)),"")</f>
        <v/>
      </c>
      <c r="I2177" s="54" t="str">
        <f>IFERROR(IF(INDEX(SPOT_Import!$A$1:$Z$2488,2177,'Live Data'!$C$20)="","",INDEX(SPOT_Import!$A$1:$Z$2488,2177,'Live Data'!$C$20)),"")</f>
        <v/>
      </c>
      <c r="J2177" s="54" t="str">
        <f>IFERROR(IF(INDEX(SPOT_Import!$A$1:$Z$2488,2177,'Live Data'!$C$21)="","",INDEX(SPOT_Import!$A$1:$Z$2488,2177,'Live Data'!$C$21)),"")</f>
        <v/>
      </c>
      <c r="K2177" s="54" t="str">
        <f>IFERROR(IF(INDEX(SPOT_Import!$A$1:$Z$2488,2177,'Live Data'!$C$22)="","",INDEX(SPOT_Import!$A$1:$Z$2488,2177,'Live Data'!$C$22)),"")</f>
        <v/>
      </c>
      <c r="L2177" s="55" t="str">
        <f t="shared" si="66"/>
        <v/>
      </c>
      <c r="M2177" s="55" t="str">
        <f t="shared" si="67"/>
        <v/>
      </c>
      <c r="N2177" s="55" t="str">
        <f>IF(A2177="","",IFERROR(INDEX('Cluster Map'!$A$4:$A$38,MATCH(M2177,'Cluster Map'!$B$4:$B$38,0)),"Unmapped"))</f>
        <v/>
      </c>
      <c r="O2177" s="55">
        <f>IF(A2177="",0,IF(COUNTIFS($A$2:A2177,A2177,$F$2:F2177,F2177,$L$2:L2177,L2177)=1,1,0))</f>
        <v>0</v>
      </c>
      <c r="P2177" s="55">
        <f>IF(A2177="",0,IF(AND(F2177="C&amp;T",COUNTIFS($A$2:A2177,A2177,$F$2:F2177,"C&amp;T")=1),1,0))</f>
        <v>0</v>
      </c>
    </row>
    <row r="2178" spans="1:16" x14ac:dyDescent="0.35">
      <c r="A2178" s="54" t="str">
        <f>IFERROR(IF(INDEX(SPOT_Import!$A$1:$Z$2488,2178,'Live Data'!$C$12)="","",INDEX(SPOT_Import!$A$1:$Z$2488,2178,'Live Data'!$C$12)),"")</f>
        <v/>
      </c>
      <c r="B2178" s="54" t="str">
        <f>IFERROR(IF(INDEX(SPOT_Import!$A$1:$Z$2488,2178,'Live Data'!$C$13)="","",INDEX(SPOT_Import!$A$1:$Z$2488,2178,'Live Data'!$C$13)),"")</f>
        <v/>
      </c>
      <c r="C2178" s="54" t="str">
        <f>IFERROR(IF(INDEX(SPOT_Import!$A$1:$Z$2488,2178,'Live Data'!$C$14)="","",INDEX(SPOT_Import!$A$1:$Z$2488,2178,'Live Data'!$C$14)),"")</f>
        <v/>
      </c>
      <c r="D2178" s="54" t="str">
        <f>IFERROR(IF(INDEX(SPOT_Import!$A$1:$Z$2488,2178,'Live Data'!$C$15)="","",INDEX(SPOT_Import!$A$1:$Z$2488,2178,'Live Data'!$C$15)),"")</f>
        <v/>
      </c>
      <c r="E2178" s="54" t="str">
        <f>IFERROR(IF(INDEX(SPOT_Import!$A$1:$Z$2488,2178,'Live Data'!$C$16)="","",INDEX(SPOT_Import!$A$1:$Z$2488,2178,'Live Data'!$C$16)),"")</f>
        <v/>
      </c>
      <c r="F2178" s="54" t="str">
        <f>IFERROR(IF(INDEX(SPOT_Import!$A$1:$Z$2488,2178,'Live Data'!$C$17)="","",INDEX(SPOT_Import!$A$1:$Z$2488,2178,'Live Data'!$C$17)),"")</f>
        <v/>
      </c>
      <c r="G2178" s="54" t="str">
        <f>IFERROR(IF(INDEX(SPOT_Import!$A$1:$Z$2488,2178,'Live Data'!$C$18)="","",INDEX(SPOT_Import!$A$1:$Z$2488,2178,'Live Data'!$C$18)),"")</f>
        <v/>
      </c>
      <c r="H2178" s="54" t="str">
        <f>IFERROR(IF(INDEX(SPOT_Import!$A$1:$Z$2488,2178,'Live Data'!$C$19)="","",INDEX(SPOT_Import!$A$1:$Z$2488,2178,'Live Data'!$C$19)),"")</f>
        <v/>
      </c>
      <c r="I2178" s="54" t="str">
        <f>IFERROR(IF(INDEX(SPOT_Import!$A$1:$Z$2488,2178,'Live Data'!$C$20)="","",INDEX(SPOT_Import!$A$1:$Z$2488,2178,'Live Data'!$C$20)),"")</f>
        <v/>
      </c>
      <c r="J2178" s="54" t="str">
        <f>IFERROR(IF(INDEX(SPOT_Import!$A$1:$Z$2488,2178,'Live Data'!$C$21)="","",INDEX(SPOT_Import!$A$1:$Z$2488,2178,'Live Data'!$C$21)),"")</f>
        <v/>
      </c>
      <c r="K2178" s="54" t="str">
        <f>IFERROR(IF(INDEX(SPOT_Import!$A$1:$Z$2488,2178,'Live Data'!$C$22)="","",INDEX(SPOT_Import!$A$1:$Z$2488,2178,'Live Data'!$C$22)),"")</f>
        <v/>
      </c>
      <c r="L2178" s="55" t="str">
        <f t="shared" ref="L2178:L2241" si="68">IF(A2178="","",IF(ISNUMBER(K2178),TEXT(K2178,"yyyy-mm"),LEFT(K2178,7)))</f>
        <v/>
      </c>
      <c r="M2178" s="55" t="str">
        <f t="shared" ref="M2178:M2241" si="69">IF(A2178="","",UPPER(TRIM(SUBSTITUTE(C2178," - ","-"))))</f>
        <v/>
      </c>
      <c r="N2178" s="55" t="str">
        <f>IF(A2178="","",IFERROR(INDEX('Cluster Map'!$A$4:$A$38,MATCH(M2178,'Cluster Map'!$B$4:$B$38,0)),"Unmapped"))</f>
        <v/>
      </c>
      <c r="O2178" s="55">
        <f>IF(A2178="",0,IF(COUNTIFS($A$2:A2178,A2178,$F$2:F2178,F2178,$L$2:L2178,L2178)=1,1,0))</f>
        <v>0</v>
      </c>
      <c r="P2178" s="55">
        <f>IF(A2178="",0,IF(AND(F2178="C&amp;T",COUNTIFS($A$2:A2178,A2178,$F$2:F2178,"C&amp;T")=1),1,0))</f>
        <v>0</v>
      </c>
    </row>
    <row r="2179" spans="1:16" x14ac:dyDescent="0.35">
      <c r="A2179" s="54" t="str">
        <f>IFERROR(IF(INDEX(SPOT_Import!$A$1:$Z$2488,2179,'Live Data'!$C$12)="","",INDEX(SPOT_Import!$A$1:$Z$2488,2179,'Live Data'!$C$12)),"")</f>
        <v/>
      </c>
      <c r="B2179" s="54" t="str">
        <f>IFERROR(IF(INDEX(SPOT_Import!$A$1:$Z$2488,2179,'Live Data'!$C$13)="","",INDEX(SPOT_Import!$A$1:$Z$2488,2179,'Live Data'!$C$13)),"")</f>
        <v/>
      </c>
      <c r="C2179" s="54" t="str">
        <f>IFERROR(IF(INDEX(SPOT_Import!$A$1:$Z$2488,2179,'Live Data'!$C$14)="","",INDEX(SPOT_Import!$A$1:$Z$2488,2179,'Live Data'!$C$14)),"")</f>
        <v/>
      </c>
      <c r="D2179" s="54" t="str">
        <f>IFERROR(IF(INDEX(SPOT_Import!$A$1:$Z$2488,2179,'Live Data'!$C$15)="","",INDEX(SPOT_Import!$A$1:$Z$2488,2179,'Live Data'!$C$15)),"")</f>
        <v/>
      </c>
      <c r="E2179" s="54" t="str">
        <f>IFERROR(IF(INDEX(SPOT_Import!$A$1:$Z$2488,2179,'Live Data'!$C$16)="","",INDEX(SPOT_Import!$A$1:$Z$2488,2179,'Live Data'!$C$16)),"")</f>
        <v/>
      </c>
      <c r="F2179" s="54" t="str">
        <f>IFERROR(IF(INDEX(SPOT_Import!$A$1:$Z$2488,2179,'Live Data'!$C$17)="","",INDEX(SPOT_Import!$A$1:$Z$2488,2179,'Live Data'!$C$17)),"")</f>
        <v/>
      </c>
      <c r="G2179" s="54" t="str">
        <f>IFERROR(IF(INDEX(SPOT_Import!$A$1:$Z$2488,2179,'Live Data'!$C$18)="","",INDEX(SPOT_Import!$A$1:$Z$2488,2179,'Live Data'!$C$18)),"")</f>
        <v/>
      </c>
      <c r="H2179" s="54" t="str">
        <f>IFERROR(IF(INDEX(SPOT_Import!$A$1:$Z$2488,2179,'Live Data'!$C$19)="","",INDEX(SPOT_Import!$A$1:$Z$2488,2179,'Live Data'!$C$19)),"")</f>
        <v/>
      </c>
      <c r="I2179" s="54" t="str">
        <f>IFERROR(IF(INDEX(SPOT_Import!$A$1:$Z$2488,2179,'Live Data'!$C$20)="","",INDEX(SPOT_Import!$A$1:$Z$2488,2179,'Live Data'!$C$20)),"")</f>
        <v/>
      </c>
      <c r="J2179" s="54" t="str">
        <f>IFERROR(IF(INDEX(SPOT_Import!$A$1:$Z$2488,2179,'Live Data'!$C$21)="","",INDEX(SPOT_Import!$A$1:$Z$2488,2179,'Live Data'!$C$21)),"")</f>
        <v/>
      </c>
      <c r="K2179" s="54" t="str">
        <f>IFERROR(IF(INDEX(SPOT_Import!$A$1:$Z$2488,2179,'Live Data'!$C$22)="","",INDEX(SPOT_Import!$A$1:$Z$2488,2179,'Live Data'!$C$22)),"")</f>
        <v/>
      </c>
      <c r="L2179" s="55" t="str">
        <f t="shared" si="68"/>
        <v/>
      </c>
      <c r="M2179" s="55" t="str">
        <f t="shared" si="69"/>
        <v/>
      </c>
      <c r="N2179" s="55" t="str">
        <f>IF(A2179="","",IFERROR(INDEX('Cluster Map'!$A$4:$A$38,MATCH(M2179,'Cluster Map'!$B$4:$B$38,0)),"Unmapped"))</f>
        <v/>
      </c>
      <c r="O2179" s="55">
        <f>IF(A2179="",0,IF(COUNTIFS($A$2:A2179,A2179,$F$2:F2179,F2179,$L$2:L2179,L2179)=1,1,0))</f>
        <v>0</v>
      </c>
      <c r="P2179" s="55">
        <f>IF(A2179="",0,IF(AND(F2179="C&amp;T",COUNTIFS($A$2:A2179,A2179,$F$2:F2179,"C&amp;T")=1),1,0))</f>
        <v>0</v>
      </c>
    </row>
    <row r="2180" spans="1:16" x14ac:dyDescent="0.35">
      <c r="A2180" s="54" t="str">
        <f>IFERROR(IF(INDEX(SPOT_Import!$A$1:$Z$2488,2180,'Live Data'!$C$12)="","",INDEX(SPOT_Import!$A$1:$Z$2488,2180,'Live Data'!$C$12)),"")</f>
        <v/>
      </c>
      <c r="B2180" s="54" t="str">
        <f>IFERROR(IF(INDEX(SPOT_Import!$A$1:$Z$2488,2180,'Live Data'!$C$13)="","",INDEX(SPOT_Import!$A$1:$Z$2488,2180,'Live Data'!$C$13)),"")</f>
        <v/>
      </c>
      <c r="C2180" s="54" t="str">
        <f>IFERROR(IF(INDEX(SPOT_Import!$A$1:$Z$2488,2180,'Live Data'!$C$14)="","",INDEX(SPOT_Import!$A$1:$Z$2488,2180,'Live Data'!$C$14)),"")</f>
        <v/>
      </c>
      <c r="D2180" s="54" t="str">
        <f>IFERROR(IF(INDEX(SPOT_Import!$A$1:$Z$2488,2180,'Live Data'!$C$15)="","",INDEX(SPOT_Import!$A$1:$Z$2488,2180,'Live Data'!$C$15)),"")</f>
        <v/>
      </c>
      <c r="E2180" s="54" t="str">
        <f>IFERROR(IF(INDEX(SPOT_Import!$A$1:$Z$2488,2180,'Live Data'!$C$16)="","",INDEX(SPOT_Import!$A$1:$Z$2488,2180,'Live Data'!$C$16)),"")</f>
        <v/>
      </c>
      <c r="F2180" s="54" t="str">
        <f>IFERROR(IF(INDEX(SPOT_Import!$A$1:$Z$2488,2180,'Live Data'!$C$17)="","",INDEX(SPOT_Import!$A$1:$Z$2488,2180,'Live Data'!$C$17)),"")</f>
        <v/>
      </c>
      <c r="G2180" s="54" t="str">
        <f>IFERROR(IF(INDEX(SPOT_Import!$A$1:$Z$2488,2180,'Live Data'!$C$18)="","",INDEX(SPOT_Import!$A$1:$Z$2488,2180,'Live Data'!$C$18)),"")</f>
        <v/>
      </c>
      <c r="H2180" s="54" t="str">
        <f>IFERROR(IF(INDEX(SPOT_Import!$A$1:$Z$2488,2180,'Live Data'!$C$19)="","",INDEX(SPOT_Import!$A$1:$Z$2488,2180,'Live Data'!$C$19)),"")</f>
        <v/>
      </c>
      <c r="I2180" s="54" t="str">
        <f>IFERROR(IF(INDEX(SPOT_Import!$A$1:$Z$2488,2180,'Live Data'!$C$20)="","",INDEX(SPOT_Import!$A$1:$Z$2488,2180,'Live Data'!$C$20)),"")</f>
        <v/>
      </c>
      <c r="J2180" s="54" t="str">
        <f>IFERROR(IF(INDEX(SPOT_Import!$A$1:$Z$2488,2180,'Live Data'!$C$21)="","",INDEX(SPOT_Import!$A$1:$Z$2488,2180,'Live Data'!$C$21)),"")</f>
        <v/>
      </c>
      <c r="K2180" s="54" t="str">
        <f>IFERROR(IF(INDEX(SPOT_Import!$A$1:$Z$2488,2180,'Live Data'!$C$22)="","",INDEX(SPOT_Import!$A$1:$Z$2488,2180,'Live Data'!$C$22)),"")</f>
        <v/>
      </c>
      <c r="L2180" s="55" t="str">
        <f t="shared" si="68"/>
        <v/>
      </c>
      <c r="M2180" s="55" t="str">
        <f t="shared" si="69"/>
        <v/>
      </c>
      <c r="N2180" s="55" t="str">
        <f>IF(A2180="","",IFERROR(INDEX('Cluster Map'!$A$4:$A$38,MATCH(M2180,'Cluster Map'!$B$4:$B$38,0)),"Unmapped"))</f>
        <v/>
      </c>
      <c r="O2180" s="55">
        <f>IF(A2180="",0,IF(COUNTIFS($A$2:A2180,A2180,$F$2:F2180,F2180,$L$2:L2180,L2180)=1,1,0))</f>
        <v>0</v>
      </c>
      <c r="P2180" s="55">
        <f>IF(A2180="",0,IF(AND(F2180="C&amp;T",COUNTIFS($A$2:A2180,A2180,$F$2:F2180,"C&amp;T")=1),1,0))</f>
        <v>0</v>
      </c>
    </row>
    <row r="2181" spans="1:16" x14ac:dyDescent="0.35">
      <c r="A2181" s="54" t="str">
        <f>IFERROR(IF(INDEX(SPOT_Import!$A$1:$Z$2488,2181,'Live Data'!$C$12)="","",INDEX(SPOT_Import!$A$1:$Z$2488,2181,'Live Data'!$C$12)),"")</f>
        <v/>
      </c>
      <c r="B2181" s="54" t="str">
        <f>IFERROR(IF(INDEX(SPOT_Import!$A$1:$Z$2488,2181,'Live Data'!$C$13)="","",INDEX(SPOT_Import!$A$1:$Z$2488,2181,'Live Data'!$C$13)),"")</f>
        <v/>
      </c>
      <c r="C2181" s="54" t="str">
        <f>IFERROR(IF(INDEX(SPOT_Import!$A$1:$Z$2488,2181,'Live Data'!$C$14)="","",INDEX(SPOT_Import!$A$1:$Z$2488,2181,'Live Data'!$C$14)),"")</f>
        <v/>
      </c>
      <c r="D2181" s="54" t="str">
        <f>IFERROR(IF(INDEX(SPOT_Import!$A$1:$Z$2488,2181,'Live Data'!$C$15)="","",INDEX(SPOT_Import!$A$1:$Z$2488,2181,'Live Data'!$C$15)),"")</f>
        <v/>
      </c>
      <c r="E2181" s="54" t="str">
        <f>IFERROR(IF(INDEX(SPOT_Import!$A$1:$Z$2488,2181,'Live Data'!$C$16)="","",INDEX(SPOT_Import!$A$1:$Z$2488,2181,'Live Data'!$C$16)),"")</f>
        <v/>
      </c>
      <c r="F2181" s="54" t="str">
        <f>IFERROR(IF(INDEX(SPOT_Import!$A$1:$Z$2488,2181,'Live Data'!$C$17)="","",INDEX(SPOT_Import!$A$1:$Z$2488,2181,'Live Data'!$C$17)),"")</f>
        <v/>
      </c>
      <c r="G2181" s="54" t="str">
        <f>IFERROR(IF(INDEX(SPOT_Import!$A$1:$Z$2488,2181,'Live Data'!$C$18)="","",INDEX(SPOT_Import!$A$1:$Z$2488,2181,'Live Data'!$C$18)),"")</f>
        <v/>
      </c>
      <c r="H2181" s="54" t="str">
        <f>IFERROR(IF(INDEX(SPOT_Import!$A$1:$Z$2488,2181,'Live Data'!$C$19)="","",INDEX(SPOT_Import!$A$1:$Z$2488,2181,'Live Data'!$C$19)),"")</f>
        <v/>
      </c>
      <c r="I2181" s="54" t="str">
        <f>IFERROR(IF(INDEX(SPOT_Import!$A$1:$Z$2488,2181,'Live Data'!$C$20)="","",INDEX(SPOT_Import!$A$1:$Z$2488,2181,'Live Data'!$C$20)),"")</f>
        <v/>
      </c>
      <c r="J2181" s="54" t="str">
        <f>IFERROR(IF(INDEX(SPOT_Import!$A$1:$Z$2488,2181,'Live Data'!$C$21)="","",INDEX(SPOT_Import!$A$1:$Z$2488,2181,'Live Data'!$C$21)),"")</f>
        <v/>
      </c>
      <c r="K2181" s="54" t="str">
        <f>IFERROR(IF(INDEX(SPOT_Import!$A$1:$Z$2488,2181,'Live Data'!$C$22)="","",INDEX(SPOT_Import!$A$1:$Z$2488,2181,'Live Data'!$C$22)),"")</f>
        <v/>
      </c>
      <c r="L2181" s="55" t="str">
        <f t="shared" si="68"/>
        <v/>
      </c>
      <c r="M2181" s="55" t="str">
        <f t="shared" si="69"/>
        <v/>
      </c>
      <c r="N2181" s="55" t="str">
        <f>IF(A2181="","",IFERROR(INDEX('Cluster Map'!$A$4:$A$38,MATCH(M2181,'Cluster Map'!$B$4:$B$38,0)),"Unmapped"))</f>
        <v/>
      </c>
      <c r="O2181" s="55">
        <f>IF(A2181="",0,IF(COUNTIFS($A$2:A2181,A2181,$F$2:F2181,F2181,$L$2:L2181,L2181)=1,1,0))</f>
        <v>0</v>
      </c>
      <c r="P2181" s="55">
        <f>IF(A2181="",0,IF(AND(F2181="C&amp;T",COUNTIFS($A$2:A2181,A2181,$F$2:F2181,"C&amp;T")=1),1,0))</f>
        <v>0</v>
      </c>
    </row>
    <row r="2182" spans="1:16" x14ac:dyDescent="0.35">
      <c r="A2182" s="54" t="str">
        <f>IFERROR(IF(INDEX(SPOT_Import!$A$1:$Z$2488,2182,'Live Data'!$C$12)="","",INDEX(SPOT_Import!$A$1:$Z$2488,2182,'Live Data'!$C$12)),"")</f>
        <v/>
      </c>
      <c r="B2182" s="54" t="str">
        <f>IFERROR(IF(INDEX(SPOT_Import!$A$1:$Z$2488,2182,'Live Data'!$C$13)="","",INDEX(SPOT_Import!$A$1:$Z$2488,2182,'Live Data'!$C$13)),"")</f>
        <v/>
      </c>
      <c r="C2182" s="54" t="str">
        <f>IFERROR(IF(INDEX(SPOT_Import!$A$1:$Z$2488,2182,'Live Data'!$C$14)="","",INDEX(SPOT_Import!$A$1:$Z$2488,2182,'Live Data'!$C$14)),"")</f>
        <v/>
      </c>
      <c r="D2182" s="54" t="str">
        <f>IFERROR(IF(INDEX(SPOT_Import!$A$1:$Z$2488,2182,'Live Data'!$C$15)="","",INDEX(SPOT_Import!$A$1:$Z$2488,2182,'Live Data'!$C$15)),"")</f>
        <v/>
      </c>
      <c r="E2182" s="54" t="str">
        <f>IFERROR(IF(INDEX(SPOT_Import!$A$1:$Z$2488,2182,'Live Data'!$C$16)="","",INDEX(SPOT_Import!$A$1:$Z$2488,2182,'Live Data'!$C$16)),"")</f>
        <v/>
      </c>
      <c r="F2182" s="54" t="str">
        <f>IFERROR(IF(INDEX(SPOT_Import!$A$1:$Z$2488,2182,'Live Data'!$C$17)="","",INDEX(SPOT_Import!$A$1:$Z$2488,2182,'Live Data'!$C$17)),"")</f>
        <v/>
      </c>
      <c r="G2182" s="54" t="str">
        <f>IFERROR(IF(INDEX(SPOT_Import!$A$1:$Z$2488,2182,'Live Data'!$C$18)="","",INDEX(SPOT_Import!$A$1:$Z$2488,2182,'Live Data'!$C$18)),"")</f>
        <v/>
      </c>
      <c r="H2182" s="54" t="str">
        <f>IFERROR(IF(INDEX(SPOT_Import!$A$1:$Z$2488,2182,'Live Data'!$C$19)="","",INDEX(SPOT_Import!$A$1:$Z$2488,2182,'Live Data'!$C$19)),"")</f>
        <v/>
      </c>
      <c r="I2182" s="54" t="str">
        <f>IFERROR(IF(INDEX(SPOT_Import!$A$1:$Z$2488,2182,'Live Data'!$C$20)="","",INDEX(SPOT_Import!$A$1:$Z$2488,2182,'Live Data'!$C$20)),"")</f>
        <v/>
      </c>
      <c r="J2182" s="54" t="str">
        <f>IFERROR(IF(INDEX(SPOT_Import!$A$1:$Z$2488,2182,'Live Data'!$C$21)="","",INDEX(SPOT_Import!$A$1:$Z$2488,2182,'Live Data'!$C$21)),"")</f>
        <v/>
      </c>
      <c r="K2182" s="54" t="str">
        <f>IFERROR(IF(INDEX(SPOT_Import!$A$1:$Z$2488,2182,'Live Data'!$C$22)="","",INDEX(SPOT_Import!$A$1:$Z$2488,2182,'Live Data'!$C$22)),"")</f>
        <v/>
      </c>
      <c r="L2182" s="55" t="str">
        <f t="shared" si="68"/>
        <v/>
      </c>
      <c r="M2182" s="55" t="str">
        <f t="shared" si="69"/>
        <v/>
      </c>
      <c r="N2182" s="55" t="str">
        <f>IF(A2182="","",IFERROR(INDEX('Cluster Map'!$A$4:$A$38,MATCH(M2182,'Cluster Map'!$B$4:$B$38,0)),"Unmapped"))</f>
        <v/>
      </c>
      <c r="O2182" s="55">
        <f>IF(A2182="",0,IF(COUNTIFS($A$2:A2182,A2182,$F$2:F2182,F2182,$L$2:L2182,L2182)=1,1,0))</f>
        <v>0</v>
      </c>
      <c r="P2182" s="55">
        <f>IF(A2182="",0,IF(AND(F2182="C&amp;T",COUNTIFS($A$2:A2182,A2182,$F$2:F2182,"C&amp;T")=1),1,0))</f>
        <v>0</v>
      </c>
    </row>
    <row r="2183" spans="1:16" x14ac:dyDescent="0.35">
      <c r="A2183" s="54" t="str">
        <f>IFERROR(IF(INDEX(SPOT_Import!$A$1:$Z$2488,2183,'Live Data'!$C$12)="","",INDEX(SPOT_Import!$A$1:$Z$2488,2183,'Live Data'!$C$12)),"")</f>
        <v/>
      </c>
      <c r="B2183" s="54" t="str">
        <f>IFERROR(IF(INDEX(SPOT_Import!$A$1:$Z$2488,2183,'Live Data'!$C$13)="","",INDEX(SPOT_Import!$A$1:$Z$2488,2183,'Live Data'!$C$13)),"")</f>
        <v/>
      </c>
      <c r="C2183" s="54" t="str">
        <f>IFERROR(IF(INDEX(SPOT_Import!$A$1:$Z$2488,2183,'Live Data'!$C$14)="","",INDEX(SPOT_Import!$A$1:$Z$2488,2183,'Live Data'!$C$14)),"")</f>
        <v/>
      </c>
      <c r="D2183" s="54" t="str">
        <f>IFERROR(IF(INDEX(SPOT_Import!$A$1:$Z$2488,2183,'Live Data'!$C$15)="","",INDEX(SPOT_Import!$A$1:$Z$2488,2183,'Live Data'!$C$15)),"")</f>
        <v/>
      </c>
      <c r="E2183" s="54" t="str">
        <f>IFERROR(IF(INDEX(SPOT_Import!$A$1:$Z$2488,2183,'Live Data'!$C$16)="","",INDEX(SPOT_Import!$A$1:$Z$2488,2183,'Live Data'!$C$16)),"")</f>
        <v/>
      </c>
      <c r="F2183" s="54" t="str">
        <f>IFERROR(IF(INDEX(SPOT_Import!$A$1:$Z$2488,2183,'Live Data'!$C$17)="","",INDEX(SPOT_Import!$A$1:$Z$2488,2183,'Live Data'!$C$17)),"")</f>
        <v/>
      </c>
      <c r="G2183" s="54" t="str">
        <f>IFERROR(IF(INDEX(SPOT_Import!$A$1:$Z$2488,2183,'Live Data'!$C$18)="","",INDEX(SPOT_Import!$A$1:$Z$2488,2183,'Live Data'!$C$18)),"")</f>
        <v/>
      </c>
      <c r="H2183" s="54" t="str">
        <f>IFERROR(IF(INDEX(SPOT_Import!$A$1:$Z$2488,2183,'Live Data'!$C$19)="","",INDEX(SPOT_Import!$A$1:$Z$2488,2183,'Live Data'!$C$19)),"")</f>
        <v/>
      </c>
      <c r="I2183" s="54" t="str">
        <f>IFERROR(IF(INDEX(SPOT_Import!$A$1:$Z$2488,2183,'Live Data'!$C$20)="","",INDEX(SPOT_Import!$A$1:$Z$2488,2183,'Live Data'!$C$20)),"")</f>
        <v/>
      </c>
      <c r="J2183" s="54" t="str">
        <f>IFERROR(IF(INDEX(SPOT_Import!$A$1:$Z$2488,2183,'Live Data'!$C$21)="","",INDEX(SPOT_Import!$A$1:$Z$2488,2183,'Live Data'!$C$21)),"")</f>
        <v/>
      </c>
      <c r="K2183" s="54" t="str">
        <f>IFERROR(IF(INDEX(SPOT_Import!$A$1:$Z$2488,2183,'Live Data'!$C$22)="","",INDEX(SPOT_Import!$A$1:$Z$2488,2183,'Live Data'!$C$22)),"")</f>
        <v/>
      </c>
      <c r="L2183" s="55" t="str">
        <f t="shared" si="68"/>
        <v/>
      </c>
      <c r="M2183" s="55" t="str">
        <f t="shared" si="69"/>
        <v/>
      </c>
      <c r="N2183" s="55" t="str">
        <f>IF(A2183="","",IFERROR(INDEX('Cluster Map'!$A$4:$A$38,MATCH(M2183,'Cluster Map'!$B$4:$B$38,0)),"Unmapped"))</f>
        <v/>
      </c>
      <c r="O2183" s="55">
        <f>IF(A2183="",0,IF(COUNTIFS($A$2:A2183,A2183,$F$2:F2183,F2183,$L$2:L2183,L2183)=1,1,0))</f>
        <v>0</v>
      </c>
      <c r="P2183" s="55">
        <f>IF(A2183="",0,IF(AND(F2183="C&amp;T",COUNTIFS($A$2:A2183,A2183,$F$2:F2183,"C&amp;T")=1),1,0))</f>
        <v>0</v>
      </c>
    </row>
    <row r="2184" spans="1:16" x14ac:dyDescent="0.35">
      <c r="A2184" s="54" t="str">
        <f>IFERROR(IF(INDEX(SPOT_Import!$A$1:$Z$2488,2184,'Live Data'!$C$12)="","",INDEX(SPOT_Import!$A$1:$Z$2488,2184,'Live Data'!$C$12)),"")</f>
        <v/>
      </c>
      <c r="B2184" s="54" t="str">
        <f>IFERROR(IF(INDEX(SPOT_Import!$A$1:$Z$2488,2184,'Live Data'!$C$13)="","",INDEX(SPOT_Import!$A$1:$Z$2488,2184,'Live Data'!$C$13)),"")</f>
        <v/>
      </c>
      <c r="C2184" s="54" t="str">
        <f>IFERROR(IF(INDEX(SPOT_Import!$A$1:$Z$2488,2184,'Live Data'!$C$14)="","",INDEX(SPOT_Import!$A$1:$Z$2488,2184,'Live Data'!$C$14)),"")</f>
        <v/>
      </c>
      <c r="D2184" s="54" t="str">
        <f>IFERROR(IF(INDEX(SPOT_Import!$A$1:$Z$2488,2184,'Live Data'!$C$15)="","",INDEX(SPOT_Import!$A$1:$Z$2488,2184,'Live Data'!$C$15)),"")</f>
        <v/>
      </c>
      <c r="E2184" s="54" t="str">
        <f>IFERROR(IF(INDEX(SPOT_Import!$A$1:$Z$2488,2184,'Live Data'!$C$16)="","",INDEX(SPOT_Import!$A$1:$Z$2488,2184,'Live Data'!$C$16)),"")</f>
        <v/>
      </c>
      <c r="F2184" s="54" t="str">
        <f>IFERROR(IF(INDEX(SPOT_Import!$A$1:$Z$2488,2184,'Live Data'!$C$17)="","",INDEX(SPOT_Import!$A$1:$Z$2488,2184,'Live Data'!$C$17)),"")</f>
        <v/>
      </c>
      <c r="G2184" s="54" t="str">
        <f>IFERROR(IF(INDEX(SPOT_Import!$A$1:$Z$2488,2184,'Live Data'!$C$18)="","",INDEX(SPOT_Import!$A$1:$Z$2488,2184,'Live Data'!$C$18)),"")</f>
        <v/>
      </c>
      <c r="H2184" s="54" t="str">
        <f>IFERROR(IF(INDEX(SPOT_Import!$A$1:$Z$2488,2184,'Live Data'!$C$19)="","",INDEX(SPOT_Import!$A$1:$Z$2488,2184,'Live Data'!$C$19)),"")</f>
        <v/>
      </c>
      <c r="I2184" s="54" t="str">
        <f>IFERROR(IF(INDEX(SPOT_Import!$A$1:$Z$2488,2184,'Live Data'!$C$20)="","",INDEX(SPOT_Import!$A$1:$Z$2488,2184,'Live Data'!$C$20)),"")</f>
        <v/>
      </c>
      <c r="J2184" s="54" t="str">
        <f>IFERROR(IF(INDEX(SPOT_Import!$A$1:$Z$2488,2184,'Live Data'!$C$21)="","",INDEX(SPOT_Import!$A$1:$Z$2488,2184,'Live Data'!$C$21)),"")</f>
        <v/>
      </c>
      <c r="K2184" s="54" t="str">
        <f>IFERROR(IF(INDEX(SPOT_Import!$A$1:$Z$2488,2184,'Live Data'!$C$22)="","",INDEX(SPOT_Import!$A$1:$Z$2488,2184,'Live Data'!$C$22)),"")</f>
        <v/>
      </c>
      <c r="L2184" s="55" t="str">
        <f t="shared" si="68"/>
        <v/>
      </c>
      <c r="M2184" s="55" t="str">
        <f t="shared" si="69"/>
        <v/>
      </c>
      <c r="N2184" s="55" t="str">
        <f>IF(A2184="","",IFERROR(INDEX('Cluster Map'!$A$4:$A$38,MATCH(M2184,'Cluster Map'!$B$4:$B$38,0)),"Unmapped"))</f>
        <v/>
      </c>
      <c r="O2184" s="55">
        <f>IF(A2184="",0,IF(COUNTIFS($A$2:A2184,A2184,$F$2:F2184,F2184,$L$2:L2184,L2184)=1,1,0))</f>
        <v>0</v>
      </c>
      <c r="P2184" s="55">
        <f>IF(A2184="",0,IF(AND(F2184="C&amp;T",COUNTIFS($A$2:A2184,A2184,$F$2:F2184,"C&amp;T")=1),1,0))</f>
        <v>0</v>
      </c>
    </row>
    <row r="2185" spans="1:16" x14ac:dyDescent="0.35">
      <c r="A2185" s="54" t="str">
        <f>IFERROR(IF(INDEX(SPOT_Import!$A$1:$Z$2488,2185,'Live Data'!$C$12)="","",INDEX(SPOT_Import!$A$1:$Z$2488,2185,'Live Data'!$C$12)),"")</f>
        <v/>
      </c>
      <c r="B2185" s="54" t="str">
        <f>IFERROR(IF(INDEX(SPOT_Import!$A$1:$Z$2488,2185,'Live Data'!$C$13)="","",INDEX(SPOT_Import!$A$1:$Z$2488,2185,'Live Data'!$C$13)),"")</f>
        <v/>
      </c>
      <c r="C2185" s="54" t="str">
        <f>IFERROR(IF(INDEX(SPOT_Import!$A$1:$Z$2488,2185,'Live Data'!$C$14)="","",INDEX(SPOT_Import!$A$1:$Z$2488,2185,'Live Data'!$C$14)),"")</f>
        <v/>
      </c>
      <c r="D2185" s="54" t="str">
        <f>IFERROR(IF(INDEX(SPOT_Import!$A$1:$Z$2488,2185,'Live Data'!$C$15)="","",INDEX(SPOT_Import!$A$1:$Z$2488,2185,'Live Data'!$C$15)),"")</f>
        <v/>
      </c>
      <c r="E2185" s="54" t="str">
        <f>IFERROR(IF(INDEX(SPOT_Import!$A$1:$Z$2488,2185,'Live Data'!$C$16)="","",INDEX(SPOT_Import!$A$1:$Z$2488,2185,'Live Data'!$C$16)),"")</f>
        <v/>
      </c>
      <c r="F2185" s="54" t="str">
        <f>IFERROR(IF(INDEX(SPOT_Import!$A$1:$Z$2488,2185,'Live Data'!$C$17)="","",INDEX(SPOT_Import!$A$1:$Z$2488,2185,'Live Data'!$C$17)),"")</f>
        <v/>
      </c>
      <c r="G2185" s="54" t="str">
        <f>IFERROR(IF(INDEX(SPOT_Import!$A$1:$Z$2488,2185,'Live Data'!$C$18)="","",INDEX(SPOT_Import!$A$1:$Z$2488,2185,'Live Data'!$C$18)),"")</f>
        <v/>
      </c>
      <c r="H2185" s="54" t="str">
        <f>IFERROR(IF(INDEX(SPOT_Import!$A$1:$Z$2488,2185,'Live Data'!$C$19)="","",INDEX(SPOT_Import!$A$1:$Z$2488,2185,'Live Data'!$C$19)),"")</f>
        <v/>
      </c>
      <c r="I2185" s="54" t="str">
        <f>IFERROR(IF(INDEX(SPOT_Import!$A$1:$Z$2488,2185,'Live Data'!$C$20)="","",INDEX(SPOT_Import!$A$1:$Z$2488,2185,'Live Data'!$C$20)),"")</f>
        <v/>
      </c>
      <c r="J2185" s="54" t="str">
        <f>IFERROR(IF(INDEX(SPOT_Import!$A$1:$Z$2488,2185,'Live Data'!$C$21)="","",INDEX(SPOT_Import!$A$1:$Z$2488,2185,'Live Data'!$C$21)),"")</f>
        <v/>
      </c>
      <c r="K2185" s="54" t="str">
        <f>IFERROR(IF(INDEX(SPOT_Import!$A$1:$Z$2488,2185,'Live Data'!$C$22)="","",INDEX(SPOT_Import!$A$1:$Z$2488,2185,'Live Data'!$C$22)),"")</f>
        <v/>
      </c>
      <c r="L2185" s="55" t="str">
        <f t="shared" si="68"/>
        <v/>
      </c>
      <c r="M2185" s="55" t="str">
        <f t="shared" si="69"/>
        <v/>
      </c>
      <c r="N2185" s="55" t="str">
        <f>IF(A2185="","",IFERROR(INDEX('Cluster Map'!$A$4:$A$38,MATCH(M2185,'Cluster Map'!$B$4:$B$38,0)),"Unmapped"))</f>
        <v/>
      </c>
      <c r="O2185" s="55">
        <f>IF(A2185="",0,IF(COUNTIFS($A$2:A2185,A2185,$F$2:F2185,F2185,$L$2:L2185,L2185)=1,1,0))</f>
        <v>0</v>
      </c>
      <c r="P2185" s="55">
        <f>IF(A2185="",0,IF(AND(F2185="C&amp;T",COUNTIFS($A$2:A2185,A2185,$F$2:F2185,"C&amp;T")=1),1,0))</f>
        <v>0</v>
      </c>
    </row>
    <row r="2186" spans="1:16" x14ac:dyDescent="0.35">
      <c r="A2186" s="54" t="str">
        <f>IFERROR(IF(INDEX(SPOT_Import!$A$1:$Z$2488,2186,'Live Data'!$C$12)="","",INDEX(SPOT_Import!$A$1:$Z$2488,2186,'Live Data'!$C$12)),"")</f>
        <v/>
      </c>
      <c r="B2186" s="54" t="str">
        <f>IFERROR(IF(INDEX(SPOT_Import!$A$1:$Z$2488,2186,'Live Data'!$C$13)="","",INDEX(SPOT_Import!$A$1:$Z$2488,2186,'Live Data'!$C$13)),"")</f>
        <v/>
      </c>
      <c r="C2186" s="54" t="str">
        <f>IFERROR(IF(INDEX(SPOT_Import!$A$1:$Z$2488,2186,'Live Data'!$C$14)="","",INDEX(SPOT_Import!$A$1:$Z$2488,2186,'Live Data'!$C$14)),"")</f>
        <v/>
      </c>
      <c r="D2186" s="54" t="str">
        <f>IFERROR(IF(INDEX(SPOT_Import!$A$1:$Z$2488,2186,'Live Data'!$C$15)="","",INDEX(SPOT_Import!$A$1:$Z$2488,2186,'Live Data'!$C$15)),"")</f>
        <v/>
      </c>
      <c r="E2186" s="54" t="str">
        <f>IFERROR(IF(INDEX(SPOT_Import!$A$1:$Z$2488,2186,'Live Data'!$C$16)="","",INDEX(SPOT_Import!$A$1:$Z$2488,2186,'Live Data'!$C$16)),"")</f>
        <v/>
      </c>
      <c r="F2186" s="54" t="str">
        <f>IFERROR(IF(INDEX(SPOT_Import!$A$1:$Z$2488,2186,'Live Data'!$C$17)="","",INDEX(SPOT_Import!$A$1:$Z$2488,2186,'Live Data'!$C$17)),"")</f>
        <v/>
      </c>
      <c r="G2186" s="54" t="str">
        <f>IFERROR(IF(INDEX(SPOT_Import!$A$1:$Z$2488,2186,'Live Data'!$C$18)="","",INDEX(SPOT_Import!$A$1:$Z$2488,2186,'Live Data'!$C$18)),"")</f>
        <v/>
      </c>
      <c r="H2186" s="54" t="str">
        <f>IFERROR(IF(INDEX(SPOT_Import!$A$1:$Z$2488,2186,'Live Data'!$C$19)="","",INDEX(SPOT_Import!$A$1:$Z$2488,2186,'Live Data'!$C$19)),"")</f>
        <v/>
      </c>
      <c r="I2186" s="54" t="str">
        <f>IFERROR(IF(INDEX(SPOT_Import!$A$1:$Z$2488,2186,'Live Data'!$C$20)="","",INDEX(SPOT_Import!$A$1:$Z$2488,2186,'Live Data'!$C$20)),"")</f>
        <v/>
      </c>
      <c r="J2186" s="54" t="str">
        <f>IFERROR(IF(INDEX(SPOT_Import!$A$1:$Z$2488,2186,'Live Data'!$C$21)="","",INDEX(SPOT_Import!$A$1:$Z$2488,2186,'Live Data'!$C$21)),"")</f>
        <v/>
      </c>
      <c r="K2186" s="54" t="str">
        <f>IFERROR(IF(INDEX(SPOT_Import!$A$1:$Z$2488,2186,'Live Data'!$C$22)="","",INDEX(SPOT_Import!$A$1:$Z$2488,2186,'Live Data'!$C$22)),"")</f>
        <v/>
      </c>
      <c r="L2186" s="55" t="str">
        <f t="shared" si="68"/>
        <v/>
      </c>
      <c r="M2186" s="55" t="str">
        <f t="shared" si="69"/>
        <v/>
      </c>
      <c r="N2186" s="55" t="str">
        <f>IF(A2186="","",IFERROR(INDEX('Cluster Map'!$A$4:$A$38,MATCH(M2186,'Cluster Map'!$B$4:$B$38,0)),"Unmapped"))</f>
        <v/>
      </c>
      <c r="O2186" s="55">
        <f>IF(A2186="",0,IF(COUNTIFS($A$2:A2186,A2186,$F$2:F2186,F2186,$L$2:L2186,L2186)=1,1,0))</f>
        <v>0</v>
      </c>
      <c r="P2186" s="55">
        <f>IF(A2186="",0,IF(AND(F2186="C&amp;T",COUNTIFS($A$2:A2186,A2186,$F$2:F2186,"C&amp;T")=1),1,0))</f>
        <v>0</v>
      </c>
    </row>
    <row r="2187" spans="1:16" x14ac:dyDescent="0.35">
      <c r="A2187" s="54" t="str">
        <f>IFERROR(IF(INDEX(SPOT_Import!$A$1:$Z$2488,2187,'Live Data'!$C$12)="","",INDEX(SPOT_Import!$A$1:$Z$2488,2187,'Live Data'!$C$12)),"")</f>
        <v/>
      </c>
      <c r="B2187" s="54" t="str">
        <f>IFERROR(IF(INDEX(SPOT_Import!$A$1:$Z$2488,2187,'Live Data'!$C$13)="","",INDEX(SPOT_Import!$A$1:$Z$2488,2187,'Live Data'!$C$13)),"")</f>
        <v/>
      </c>
      <c r="C2187" s="54" t="str">
        <f>IFERROR(IF(INDEX(SPOT_Import!$A$1:$Z$2488,2187,'Live Data'!$C$14)="","",INDEX(SPOT_Import!$A$1:$Z$2488,2187,'Live Data'!$C$14)),"")</f>
        <v/>
      </c>
      <c r="D2187" s="54" t="str">
        <f>IFERROR(IF(INDEX(SPOT_Import!$A$1:$Z$2488,2187,'Live Data'!$C$15)="","",INDEX(SPOT_Import!$A$1:$Z$2488,2187,'Live Data'!$C$15)),"")</f>
        <v/>
      </c>
      <c r="E2187" s="54" t="str">
        <f>IFERROR(IF(INDEX(SPOT_Import!$A$1:$Z$2488,2187,'Live Data'!$C$16)="","",INDEX(SPOT_Import!$A$1:$Z$2488,2187,'Live Data'!$C$16)),"")</f>
        <v/>
      </c>
      <c r="F2187" s="54" t="str">
        <f>IFERROR(IF(INDEX(SPOT_Import!$A$1:$Z$2488,2187,'Live Data'!$C$17)="","",INDEX(SPOT_Import!$A$1:$Z$2488,2187,'Live Data'!$C$17)),"")</f>
        <v/>
      </c>
      <c r="G2187" s="54" t="str">
        <f>IFERROR(IF(INDEX(SPOT_Import!$A$1:$Z$2488,2187,'Live Data'!$C$18)="","",INDEX(SPOT_Import!$A$1:$Z$2488,2187,'Live Data'!$C$18)),"")</f>
        <v/>
      </c>
      <c r="H2187" s="54" t="str">
        <f>IFERROR(IF(INDEX(SPOT_Import!$A$1:$Z$2488,2187,'Live Data'!$C$19)="","",INDEX(SPOT_Import!$A$1:$Z$2488,2187,'Live Data'!$C$19)),"")</f>
        <v/>
      </c>
      <c r="I2187" s="54" t="str">
        <f>IFERROR(IF(INDEX(SPOT_Import!$A$1:$Z$2488,2187,'Live Data'!$C$20)="","",INDEX(SPOT_Import!$A$1:$Z$2488,2187,'Live Data'!$C$20)),"")</f>
        <v/>
      </c>
      <c r="J2187" s="54" t="str">
        <f>IFERROR(IF(INDEX(SPOT_Import!$A$1:$Z$2488,2187,'Live Data'!$C$21)="","",INDEX(SPOT_Import!$A$1:$Z$2488,2187,'Live Data'!$C$21)),"")</f>
        <v/>
      </c>
      <c r="K2187" s="54" t="str">
        <f>IFERROR(IF(INDEX(SPOT_Import!$A$1:$Z$2488,2187,'Live Data'!$C$22)="","",INDEX(SPOT_Import!$A$1:$Z$2488,2187,'Live Data'!$C$22)),"")</f>
        <v/>
      </c>
      <c r="L2187" s="55" t="str">
        <f t="shared" si="68"/>
        <v/>
      </c>
      <c r="M2187" s="55" t="str">
        <f t="shared" si="69"/>
        <v/>
      </c>
      <c r="N2187" s="55" t="str">
        <f>IF(A2187="","",IFERROR(INDEX('Cluster Map'!$A$4:$A$38,MATCH(M2187,'Cluster Map'!$B$4:$B$38,0)),"Unmapped"))</f>
        <v/>
      </c>
      <c r="O2187" s="55">
        <f>IF(A2187="",0,IF(COUNTIFS($A$2:A2187,A2187,$F$2:F2187,F2187,$L$2:L2187,L2187)=1,1,0))</f>
        <v>0</v>
      </c>
      <c r="P2187" s="55">
        <f>IF(A2187="",0,IF(AND(F2187="C&amp;T",COUNTIFS($A$2:A2187,A2187,$F$2:F2187,"C&amp;T")=1),1,0))</f>
        <v>0</v>
      </c>
    </row>
    <row r="2188" spans="1:16" x14ac:dyDescent="0.35">
      <c r="A2188" s="54" t="str">
        <f>IFERROR(IF(INDEX(SPOT_Import!$A$1:$Z$2488,2188,'Live Data'!$C$12)="","",INDEX(SPOT_Import!$A$1:$Z$2488,2188,'Live Data'!$C$12)),"")</f>
        <v/>
      </c>
      <c r="B2188" s="54" t="str">
        <f>IFERROR(IF(INDEX(SPOT_Import!$A$1:$Z$2488,2188,'Live Data'!$C$13)="","",INDEX(SPOT_Import!$A$1:$Z$2488,2188,'Live Data'!$C$13)),"")</f>
        <v/>
      </c>
      <c r="C2188" s="54" t="str">
        <f>IFERROR(IF(INDEX(SPOT_Import!$A$1:$Z$2488,2188,'Live Data'!$C$14)="","",INDEX(SPOT_Import!$A$1:$Z$2488,2188,'Live Data'!$C$14)),"")</f>
        <v/>
      </c>
      <c r="D2188" s="54" t="str">
        <f>IFERROR(IF(INDEX(SPOT_Import!$A$1:$Z$2488,2188,'Live Data'!$C$15)="","",INDEX(SPOT_Import!$A$1:$Z$2488,2188,'Live Data'!$C$15)),"")</f>
        <v/>
      </c>
      <c r="E2188" s="54" t="str">
        <f>IFERROR(IF(INDEX(SPOT_Import!$A$1:$Z$2488,2188,'Live Data'!$C$16)="","",INDEX(SPOT_Import!$A$1:$Z$2488,2188,'Live Data'!$C$16)),"")</f>
        <v/>
      </c>
      <c r="F2188" s="54" t="str">
        <f>IFERROR(IF(INDEX(SPOT_Import!$A$1:$Z$2488,2188,'Live Data'!$C$17)="","",INDEX(SPOT_Import!$A$1:$Z$2488,2188,'Live Data'!$C$17)),"")</f>
        <v/>
      </c>
      <c r="G2188" s="54" t="str">
        <f>IFERROR(IF(INDEX(SPOT_Import!$A$1:$Z$2488,2188,'Live Data'!$C$18)="","",INDEX(SPOT_Import!$A$1:$Z$2488,2188,'Live Data'!$C$18)),"")</f>
        <v/>
      </c>
      <c r="H2188" s="54" t="str">
        <f>IFERROR(IF(INDEX(SPOT_Import!$A$1:$Z$2488,2188,'Live Data'!$C$19)="","",INDEX(SPOT_Import!$A$1:$Z$2488,2188,'Live Data'!$C$19)),"")</f>
        <v/>
      </c>
      <c r="I2188" s="54" t="str">
        <f>IFERROR(IF(INDEX(SPOT_Import!$A$1:$Z$2488,2188,'Live Data'!$C$20)="","",INDEX(SPOT_Import!$A$1:$Z$2488,2188,'Live Data'!$C$20)),"")</f>
        <v/>
      </c>
      <c r="J2188" s="54" t="str">
        <f>IFERROR(IF(INDEX(SPOT_Import!$A$1:$Z$2488,2188,'Live Data'!$C$21)="","",INDEX(SPOT_Import!$A$1:$Z$2488,2188,'Live Data'!$C$21)),"")</f>
        <v/>
      </c>
      <c r="K2188" s="54" t="str">
        <f>IFERROR(IF(INDEX(SPOT_Import!$A$1:$Z$2488,2188,'Live Data'!$C$22)="","",INDEX(SPOT_Import!$A$1:$Z$2488,2188,'Live Data'!$C$22)),"")</f>
        <v/>
      </c>
      <c r="L2188" s="55" t="str">
        <f t="shared" si="68"/>
        <v/>
      </c>
      <c r="M2188" s="55" t="str">
        <f t="shared" si="69"/>
        <v/>
      </c>
      <c r="N2188" s="55" t="str">
        <f>IF(A2188="","",IFERROR(INDEX('Cluster Map'!$A$4:$A$38,MATCH(M2188,'Cluster Map'!$B$4:$B$38,0)),"Unmapped"))</f>
        <v/>
      </c>
      <c r="O2188" s="55">
        <f>IF(A2188="",0,IF(COUNTIFS($A$2:A2188,A2188,$F$2:F2188,F2188,$L$2:L2188,L2188)=1,1,0))</f>
        <v>0</v>
      </c>
      <c r="P2188" s="55">
        <f>IF(A2188="",0,IF(AND(F2188="C&amp;T",COUNTIFS($A$2:A2188,A2188,$F$2:F2188,"C&amp;T")=1),1,0))</f>
        <v>0</v>
      </c>
    </row>
    <row r="2189" spans="1:16" x14ac:dyDescent="0.35">
      <c r="A2189" s="54" t="str">
        <f>IFERROR(IF(INDEX(SPOT_Import!$A$1:$Z$2488,2189,'Live Data'!$C$12)="","",INDEX(SPOT_Import!$A$1:$Z$2488,2189,'Live Data'!$C$12)),"")</f>
        <v/>
      </c>
      <c r="B2189" s="54" t="str">
        <f>IFERROR(IF(INDEX(SPOT_Import!$A$1:$Z$2488,2189,'Live Data'!$C$13)="","",INDEX(SPOT_Import!$A$1:$Z$2488,2189,'Live Data'!$C$13)),"")</f>
        <v/>
      </c>
      <c r="C2189" s="54" t="str">
        <f>IFERROR(IF(INDEX(SPOT_Import!$A$1:$Z$2488,2189,'Live Data'!$C$14)="","",INDEX(SPOT_Import!$A$1:$Z$2488,2189,'Live Data'!$C$14)),"")</f>
        <v/>
      </c>
      <c r="D2189" s="54" t="str">
        <f>IFERROR(IF(INDEX(SPOT_Import!$A$1:$Z$2488,2189,'Live Data'!$C$15)="","",INDEX(SPOT_Import!$A$1:$Z$2488,2189,'Live Data'!$C$15)),"")</f>
        <v/>
      </c>
      <c r="E2189" s="54" t="str">
        <f>IFERROR(IF(INDEX(SPOT_Import!$A$1:$Z$2488,2189,'Live Data'!$C$16)="","",INDEX(SPOT_Import!$A$1:$Z$2488,2189,'Live Data'!$C$16)),"")</f>
        <v/>
      </c>
      <c r="F2189" s="54" t="str">
        <f>IFERROR(IF(INDEX(SPOT_Import!$A$1:$Z$2488,2189,'Live Data'!$C$17)="","",INDEX(SPOT_Import!$A$1:$Z$2488,2189,'Live Data'!$C$17)),"")</f>
        <v/>
      </c>
      <c r="G2189" s="54" t="str">
        <f>IFERROR(IF(INDEX(SPOT_Import!$A$1:$Z$2488,2189,'Live Data'!$C$18)="","",INDEX(SPOT_Import!$A$1:$Z$2488,2189,'Live Data'!$C$18)),"")</f>
        <v/>
      </c>
      <c r="H2189" s="54" t="str">
        <f>IFERROR(IF(INDEX(SPOT_Import!$A$1:$Z$2488,2189,'Live Data'!$C$19)="","",INDEX(SPOT_Import!$A$1:$Z$2488,2189,'Live Data'!$C$19)),"")</f>
        <v/>
      </c>
      <c r="I2189" s="54" t="str">
        <f>IFERROR(IF(INDEX(SPOT_Import!$A$1:$Z$2488,2189,'Live Data'!$C$20)="","",INDEX(SPOT_Import!$A$1:$Z$2488,2189,'Live Data'!$C$20)),"")</f>
        <v/>
      </c>
      <c r="J2189" s="54" t="str">
        <f>IFERROR(IF(INDEX(SPOT_Import!$A$1:$Z$2488,2189,'Live Data'!$C$21)="","",INDEX(SPOT_Import!$A$1:$Z$2488,2189,'Live Data'!$C$21)),"")</f>
        <v/>
      </c>
      <c r="K2189" s="54" t="str">
        <f>IFERROR(IF(INDEX(SPOT_Import!$A$1:$Z$2488,2189,'Live Data'!$C$22)="","",INDEX(SPOT_Import!$A$1:$Z$2488,2189,'Live Data'!$C$22)),"")</f>
        <v/>
      </c>
      <c r="L2189" s="55" t="str">
        <f t="shared" si="68"/>
        <v/>
      </c>
      <c r="M2189" s="55" t="str">
        <f t="shared" si="69"/>
        <v/>
      </c>
      <c r="N2189" s="55" t="str">
        <f>IF(A2189="","",IFERROR(INDEX('Cluster Map'!$A$4:$A$38,MATCH(M2189,'Cluster Map'!$B$4:$B$38,0)),"Unmapped"))</f>
        <v/>
      </c>
      <c r="O2189" s="55">
        <f>IF(A2189="",0,IF(COUNTIFS($A$2:A2189,A2189,$F$2:F2189,F2189,$L$2:L2189,L2189)=1,1,0))</f>
        <v>0</v>
      </c>
      <c r="P2189" s="55">
        <f>IF(A2189="",0,IF(AND(F2189="C&amp;T",COUNTIFS($A$2:A2189,A2189,$F$2:F2189,"C&amp;T")=1),1,0))</f>
        <v>0</v>
      </c>
    </row>
    <row r="2190" spans="1:16" x14ac:dyDescent="0.35">
      <c r="A2190" s="54" t="str">
        <f>IFERROR(IF(INDEX(SPOT_Import!$A$1:$Z$2488,2190,'Live Data'!$C$12)="","",INDEX(SPOT_Import!$A$1:$Z$2488,2190,'Live Data'!$C$12)),"")</f>
        <v/>
      </c>
      <c r="B2190" s="54" t="str">
        <f>IFERROR(IF(INDEX(SPOT_Import!$A$1:$Z$2488,2190,'Live Data'!$C$13)="","",INDEX(SPOT_Import!$A$1:$Z$2488,2190,'Live Data'!$C$13)),"")</f>
        <v/>
      </c>
      <c r="C2190" s="54" t="str">
        <f>IFERROR(IF(INDEX(SPOT_Import!$A$1:$Z$2488,2190,'Live Data'!$C$14)="","",INDEX(SPOT_Import!$A$1:$Z$2488,2190,'Live Data'!$C$14)),"")</f>
        <v/>
      </c>
      <c r="D2190" s="54" t="str">
        <f>IFERROR(IF(INDEX(SPOT_Import!$A$1:$Z$2488,2190,'Live Data'!$C$15)="","",INDEX(SPOT_Import!$A$1:$Z$2488,2190,'Live Data'!$C$15)),"")</f>
        <v/>
      </c>
      <c r="E2190" s="54" t="str">
        <f>IFERROR(IF(INDEX(SPOT_Import!$A$1:$Z$2488,2190,'Live Data'!$C$16)="","",INDEX(SPOT_Import!$A$1:$Z$2488,2190,'Live Data'!$C$16)),"")</f>
        <v/>
      </c>
      <c r="F2190" s="54" t="str">
        <f>IFERROR(IF(INDEX(SPOT_Import!$A$1:$Z$2488,2190,'Live Data'!$C$17)="","",INDEX(SPOT_Import!$A$1:$Z$2488,2190,'Live Data'!$C$17)),"")</f>
        <v/>
      </c>
      <c r="G2190" s="54" t="str">
        <f>IFERROR(IF(INDEX(SPOT_Import!$A$1:$Z$2488,2190,'Live Data'!$C$18)="","",INDEX(SPOT_Import!$A$1:$Z$2488,2190,'Live Data'!$C$18)),"")</f>
        <v/>
      </c>
      <c r="H2190" s="54" t="str">
        <f>IFERROR(IF(INDEX(SPOT_Import!$A$1:$Z$2488,2190,'Live Data'!$C$19)="","",INDEX(SPOT_Import!$A$1:$Z$2488,2190,'Live Data'!$C$19)),"")</f>
        <v/>
      </c>
      <c r="I2190" s="54" t="str">
        <f>IFERROR(IF(INDEX(SPOT_Import!$A$1:$Z$2488,2190,'Live Data'!$C$20)="","",INDEX(SPOT_Import!$A$1:$Z$2488,2190,'Live Data'!$C$20)),"")</f>
        <v/>
      </c>
      <c r="J2190" s="54" t="str">
        <f>IFERROR(IF(INDEX(SPOT_Import!$A$1:$Z$2488,2190,'Live Data'!$C$21)="","",INDEX(SPOT_Import!$A$1:$Z$2488,2190,'Live Data'!$C$21)),"")</f>
        <v/>
      </c>
      <c r="K2190" s="54" t="str">
        <f>IFERROR(IF(INDEX(SPOT_Import!$A$1:$Z$2488,2190,'Live Data'!$C$22)="","",INDEX(SPOT_Import!$A$1:$Z$2488,2190,'Live Data'!$C$22)),"")</f>
        <v/>
      </c>
      <c r="L2190" s="55" t="str">
        <f t="shared" si="68"/>
        <v/>
      </c>
      <c r="M2190" s="55" t="str">
        <f t="shared" si="69"/>
        <v/>
      </c>
      <c r="N2190" s="55" t="str">
        <f>IF(A2190="","",IFERROR(INDEX('Cluster Map'!$A$4:$A$38,MATCH(M2190,'Cluster Map'!$B$4:$B$38,0)),"Unmapped"))</f>
        <v/>
      </c>
      <c r="O2190" s="55">
        <f>IF(A2190="",0,IF(COUNTIFS($A$2:A2190,A2190,$F$2:F2190,F2190,$L$2:L2190,L2190)=1,1,0))</f>
        <v>0</v>
      </c>
      <c r="P2190" s="55">
        <f>IF(A2190="",0,IF(AND(F2190="C&amp;T",COUNTIFS($A$2:A2190,A2190,$F$2:F2190,"C&amp;T")=1),1,0))</f>
        <v>0</v>
      </c>
    </row>
    <row r="2191" spans="1:16" x14ac:dyDescent="0.35">
      <c r="A2191" s="54" t="str">
        <f>IFERROR(IF(INDEX(SPOT_Import!$A$1:$Z$2488,2191,'Live Data'!$C$12)="","",INDEX(SPOT_Import!$A$1:$Z$2488,2191,'Live Data'!$C$12)),"")</f>
        <v/>
      </c>
      <c r="B2191" s="54" t="str">
        <f>IFERROR(IF(INDEX(SPOT_Import!$A$1:$Z$2488,2191,'Live Data'!$C$13)="","",INDEX(SPOT_Import!$A$1:$Z$2488,2191,'Live Data'!$C$13)),"")</f>
        <v/>
      </c>
      <c r="C2191" s="54" t="str">
        <f>IFERROR(IF(INDEX(SPOT_Import!$A$1:$Z$2488,2191,'Live Data'!$C$14)="","",INDEX(SPOT_Import!$A$1:$Z$2488,2191,'Live Data'!$C$14)),"")</f>
        <v/>
      </c>
      <c r="D2191" s="54" t="str">
        <f>IFERROR(IF(INDEX(SPOT_Import!$A$1:$Z$2488,2191,'Live Data'!$C$15)="","",INDEX(SPOT_Import!$A$1:$Z$2488,2191,'Live Data'!$C$15)),"")</f>
        <v/>
      </c>
      <c r="E2191" s="54" t="str">
        <f>IFERROR(IF(INDEX(SPOT_Import!$A$1:$Z$2488,2191,'Live Data'!$C$16)="","",INDEX(SPOT_Import!$A$1:$Z$2488,2191,'Live Data'!$C$16)),"")</f>
        <v/>
      </c>
      <c r="F2191" s="54" t="str">
        <f>IFERROR(IF(INDEX(SPOT_Import!$A$1:$Z$2488,2191,'Live Data'!$C$17)="","",INDEX(SPOT_Import!$A$1:$Z$2488,2191,'Live Data'!$C$17)),"")</f>
        <v/>
      </c>
      <c r="G2191" s="54" t="str">
        <f>IFERROR(IF(INDEX(SPOT_Import!$A$1:$Z$2488,2191,'Live Data'!$C$18)="","",INDEX(SPOT_Import!$A$1:$Z$2488,2191,'Live Data'!$C$18)),"")</f>
        <v/>
      </c>
      <c r="H2191" s="54" t="str">
        <f>IFERROR(IF(INDEX(SPOT_Import!$A$1:$Z$2488,2191,'Live Data'!$C$19)="","",INDEX(SPOT_Import!$A$1:$Z$2488,2191,'Live Data'!$C$19)),"")</f>
        <v/>
      </c>
      <c r="I2191" s="54" t="str">
        <f>IFERROR(IF(INDEX(SPOT_Import!$A$1:$Z$2488,2191,'Live Data'!$C$20)="","",INDEX(SPOT_Import!$A$1:$Z$2488,2191,'Live Data'!$C$20)),"")</f>
        <v/>
      </c>
      <c r="J2191" s="54" t="str">
        <f>IFERROR(IF(INDEX(SPOT_Import!$A$1:$Z$2488,2191,'Live Data'!$C$21)="","",INDEX(SPOT_Import!$A$1:$Z$2488,2191,'Live Data'!$C$21)),"")</f>
        <v/>
      </c>
      <c r="K2191" s="54" t="str">
        <f>IFERROR(IF(INDEX(SPOT_Import!$A$1:$Z$2488,2191,'Live Data'!$C$22)="","",INDEX(SPOT_Import!$A$1:$Z$2488,2191,'Live Data'!$C$22)),"")</f>
        <v/>
      </c>
      <c r="L2191" s="55" t="str">
        <f t="shared" si="68"/>
        <v/>
      </c>
      <c r="M2191" s="55" t="str">
        <f t="shared" si="69"/>
        <v/>
      </c>
      <c r="N2191" s="55" t="str">
        <f>IF(A2191="","",IFERROR(INDEX('Cluster Map'!$A$4:$A$38,MATCH(M2191,'Cluster Map'!$B$4:$B$38,0)),"Unmapped"))</f>
        <v/>
      </c>
      <c r="O2191" s="55">
        <f>IF(A2191="",0,IF(COUNTIFS($A$2:A2191,A2191,$F$2:F2191,F2191,$L$2:L2191,L2191)=1,1,0))</f>
        <v>0</v>
      </c>
      <c r="P2191" s="55">
        <f>IF(A2191="",0,IF(AND(F2191="C&amp;T",COUNTIFS($A$2:A2191,A2191,$F$2:F2191,"C&amp;T")=1),1,0))</f>
        <v>0</v>
      </c>
    </row>
    <row r="2192" spans="1:16" x14ac:dyDescent="0.35">
      <c r="A2192" s="54" t="str">
        <f>IFERROR(IF(INDEX(SPOT_Import!$A$1:$Z$2488,2192,'Live Data'!$C$12)="","",INDEX(SPOT_Import!$A$1:$Z$2488,2192,'Live Data'!$C$12)),"")</f>
        <v/>
      </c>
      <c r="B2192" s="54" t="str">
        <f>IFERROR(IF(INDEX(SPOT_Import!$A$1:$Z$2488,2192,'Live Data'!$C$13)="","",INDEX(SPOT_Import!$A$1:$Z$2488,2192,'Live Data'!$C$13)),"")</f>
        <v/>
      </c>
      <c r="C2192" s="54" t="str">
        <f>IFERROR(IF(INDEX(SPOT_Import!$A$1:$Z$2488,2192,'Live Data'!$C$14)="","",INDEX(SPOT_Import!$A$1:$Z$2488,2192,'Live Data'!$C$14)),"")</f>
        <v/>
      </c>
      <c r="D2192" s="54" t="str">
        <f>IFERROR(IF(INDEX(SPOT_Import!$A$1:$Z$2488,2192,'Live Data'!$C$15)="","",INDEX(SPOT_Import!$A$1:$Z$2488,2192,'Live Data'!$C$15)),"")</f>
        <v/>
      </c>
      <c r="E2192" s="54" t="str">
        <f>IFERROR(IF(INDEX(SPOT_Import!$A$1:$Z$2488,2192,'Live Data'!$C$16)="","",INDEX(SPOT_Import!$A$1:$Z$2488,2192,'Live Data'!$C$16)),"")</f>
        <v/>
      </c>
      <c r="F2192" s="54" t="str">
        <f>IFERROR(IF(INDEX(SPOT_Import!$A$1:$Z$2488,2192,'Live Data'!$C$17)="","",INDEX(SPOT_Import!$A$1:$Z$2488,2192,'Live Data'!$C$17)),"")</f>
        <v/>
      </c>
      <c r="G2192" s="54" t="str">
        <f>IFERROR(IF(INDEX(SPOT_Import!$A$1:$Z$2488,2192,'Live Data'!$C$18)="","",INDEX(SPOT_Import!$A$1:$Z$2488,2192,'Live Data'!$C$18)),"")</f>
        <v/>
      </c>
      <c r="H2192" s="54" t="str">
        <f>IFERROR(IF(INDEX(SPOT_Import!$A$1:$Z$2488,2192,'Live Data'!$C$19)="","",INDEX(SPOT_Import!$A$1:$Z$2488,2192,'Live Data'!$C$19)),"")</f>
        <v/>
      </c>
      <c r="I2192" s="54" t="str">
        <f>IFERROR(IF(INDEX(SPOT_Import!$A$1:$Z$2488,2192,'Live Data'!$C$20)="","",INDEX(SPOT_Import!$A$1:$Z$2488,2192,'Live Data'!$C$20)),"")</f>
        <v/>
      </c>
      <c r="J2192" s="54" t="str">
        <f>IFERROR(IF(INDEX(SPOT_Import!$A$1:$Z$2488,2192,'Live Data'!$C$21)="","",INDEX(SPOT_Import!$A$1:$Z$2488,2192,'Live Data'!$C$21)),"")</f>
        <v/>
      </c>
      <c r="K2192" s="54" t="str">
        <f>IFERROR(IF(INDEX(SPOT_Import!$A$1:$Z$2488,2192,'Live Data'!$C$22)="","",INDEX(SPOT_Import!$A$1:$Z$2488,2192,'Live Data'!$C$22)),"")</f>
        <v/>
      </c>
      <c r="L2192" s="55" t="str">
        <f t="shared" si="68"/>
        <v/>
      </c>
      <c r="M2192" s="55" t="str">
        <f t="shared" si="69"/>
        <v/>
      </c>
      <c r="N2192" s="55" t="str">
        <f>IF(A2192="","",IFERROR(INDEX('Cluster Map'!$A$4:$A$38,MATCH(M2192,'Cluster Map'!$B$4:$B$38,0)),"Unmapped"))</f>
        <v/>
      </c>
      <c r="O2192" s="55">
        <f>IF(A2192="",0,IF(COUNTIFS($A$2:A2192,A2192,$F$2:F2192,F2192,$L$2:L2192,L2192)=1,1,0))</f>
        <v>0</v>
      </c>
      <c r="P2192" s="55">
        <f>IF(A2192="",0,IF(AND(F2192="C&amp;T",COUNTIFS($A$2:A2192,A2192,$F$2:F2192,"C&amp;T")=1),1,0))</f>
        <v>0</v>
      </c>
    </row>
    <row r="2193" spans="1:16" x14ac:dyDescent="0.35">
      <c r="A2193" s="54" t="str">
        <f>IFERROR(IF(INDEX(SPOT_Import!$A$1:$Z$2488,2193,'Live Data'!$C$12)="","",INDEX(SPOT_Import!$A$1:$Z$2488,2193,'Live Data'!$C$12)),"")</f>
        <v/>
      </c>
      <c r="B2193" s="54" t="str">
        <f>IFERROR(IF(INDEX(SPOT_Import!$A$1:$Z$2488,2193,'Live Data'!$C$13)="","",INDEX(SPOT_Import!$A$1:$Z$2488,2193,'Live Data'!$C$13)),"")</f>
        <v/>
      </c>
      <c r="C2193" s="54" t="str">
        <f>IFERROR(IF(INDEX(SPOT_Import!$A$1:$Z$2488,2193,'Live Data'!$C$14)="","",INDEX(SPOT_Import!$A$1:$Z$2488,2193,'Live Data'!$C$14)),"")</f>
        <v/>
      </c>
      <c r="D2193" s="54" t="str">
        <f>IFERROR(IF(INDEX(SPOT_Import!$A$1:$Z$2488,2193,'Live Data'!$C$15)="","",INDEX(SPOT_Import!$A$1:$Z$2488,2193,'Live Data'!$C$15)),"")</f>
        <v/>
      </c>
      <c r="E2193" s="54" t="str">
        <f>IFERROR(IF(INDEX(SPOT_Import!$A$1:$Z$2488,2193,'Live Data'!$C$16)="","",INDEX(SPOT_Import!$A$1:$Z$2488,2193,'Live Data'!$C$16)),"")</f>
        <v/>
      </c>
      <c r="F2193" s="54" t="str">
        <f>IFERROR(IF(INDEX(SPOT_Import!$A$1:$Z$2488,2193,'Live Data'!$C$17)="","",INDEX(SPOT_Import!$A$1:$Z$2488,2193,'Live Data'!$C$17)),"")</f>
        <v/>
      </c>
      <c r="G2193" s="54" t="str">
        <f>IFERROR(IF(INDEX(SPOT_Import!$A$1:$Z$2488,2193,'Live Data'!$C$18)="","",INDEX(SPOT_Import!$A$1:$Z$2488,2193,'Live Data'!$C$18)),"")</f>
        <v/>
      </c>
      <c r="H2193" s="54" t="str">
        <f>IFERROR(IF(INDEX(SPOT_Import!$A$1:$Z$2488,2193,'Live Data'!$C$19)="","",INDEX(SPOT_Import!$A$1:$Z$2488,2193,'Live Data'!$C$19)),"")</f>
        <v/>
      </c>
      <c r="I2193" s="54" t="str">
        <f>IFERROR(IF(INDEX(SPOT_Import!$A$1:$Z$2488,2193,'Live Data'!$C$20)="","",INDEX(SPOT_Import!$A$1:$Z$2488,2193,'Live Data'!$C$20)),"")</f>
        <v/>
      </c>
      <c r="J2193" s="54" t="str">
        <f>IFERROR(IF(INDEX(SPOT_Import!$A$1:$Z$2488,2193,'Live Data'!$C$21)="","",INDEX(SPOT_Import!$A$1:$Z$2488,2193,'Live Data'!$C$21)),"")</f>
        <v/>
      </c>
      <c r="K2193" s="54" t="str">
        <f>IFERROR(IF(INDEX(SPOT_Import!$A$1:$Z$2488,2193,'Live Data'!$C$22)="","",INDEX(SPOT_Import!$A$1:$Z$2488,2193,'Live Data'!$C$22)),"")</f>
        <v/>
      </c>
      <c r="L2193" s="55" t="str">
        <f t="shared" si="68"/>
        <v/>
      </c>
      <c r="M2193" s="55" t="str">
        <f t="shared" si="69"/>
        <v/>
      </c>
      <c r="N2193" s="55" t="str">
        <f>IF(A2193="","",IFERROR(INDEX('Cluster Map'!$A$4:$A$38,MATCH(M2193,'Cluster Map'!$B$4:$B$38,0)),"Unmapped"))</f>
        <v/>
      </c>
      <c r="O2193" s="55">
        <f>IF(A2193="",0,IF(COUNTIFS($A$2:A2193,A2193,$F$2:F2193,F2193,$L$2:L2193,L2193)=1,1,0))</f>
        <v>0</v>
      </c>
      <c r="P2193" s="55">
        <f>IF(A2193="",0,IF(AND(F2193="C&amp;T",COUNTIFS($A$2:A2193,A2193,$F$2:F2193,"C&amp;T")=1),1,0))</f>
        <v>0</v>
      </c>
    </row>
    <row r="2194" spans="1:16" x14ac:dyDescent="0.35">
      <c r="A2194" s="54" t="str">
        <f>IFERROR(IF(INDEX(SPOT_Import!$A$1:$Z$2488,2194,'Live Data'!$C$12)="","",INDEX(SPOT_Import!$A$1:$Z$2488,2194,'Live Data'!$C$12)),"")</f>
        <v/>
      </c>
      <c r="B2194" s="54" t="str">
        <f>IFERROR(IF(INDEX(SPOT_Import!$A$1:$Z$2488,2194,'Live Data'!$C$13)="","",INDEX(SPOT_Import!$A$1:$Z$2488,2194,'Live Data'!$C$13)),"")</f>
        <v/>
      </c>
      <c r="C2194" s="54" t="str">
        <f>IFERROR(IF(INDEX(SPOT_Import!$A$1:$Z$2488,2194,'Live Data'!$C$14)="","",INDEX(SPOT_Import!$A$1:$Z$2488,2194,'Live Data'!$C$14)),"")</f>
        <v/>
      </c>
      <c r="D2194" s="54" t="str">
        <f>IFERROR(IF(INDEX(SPOT_Import!$A$1:$Z$2488,2194,'Live Data'!$C$15)="","",INDEX(SPOT_Import!$A$1:$Z$2488,2194,'Live Data'!$C$15)),"")</f>
        <v/>
      </c>
      <c r="E2194" s="54" t="str">
        <f>IFERROR(IF(INDEX(SPOT_Import!$A$1:$Z$2488,2194,'Live Data'!$C$16)="","",INDEX(SPOT_Import!$A$1:$Z$2488,2194,'Live Data'!$C$16)),"")</f>
        <v/>
      </c>
      <c r="F2194" s="54" t="str">
        <f>IFERROR(IF(INDEX(SPOT_Import!$A$1:$Z$2488,2194,'Live Data'!$C$17)="","",INDEX(SPOT_Import!$A$1:$Z$2488,2194,'Live Data'!$C$17)),"")</f>
        <v/>
      </c>
      <c r="G2194" s="54" t="str">
        <f>IFERROR(IF(INDEX(SPOT_Import!$A$1:$Z$2488,2194,'Live Data'!$C$18)="","",INDEX(SPOT_Import!$A$1:$Z$2488,2194,'Live Data'!$C$18)),"")</f>
        <v/>
      </c>
      <c r="H2194" s="54" t="str">
        <f>IFERROR(IF(INDEX(SPOT_Import!$A$1:$Z$2488,2194,'Live Data'!$C$19)="","",INDEX(SPOT_Import!$A$1:$Z$2488,2194,'Live Data'!$C$19)),"")</f>
        <v/>
      </c>
      <c r="I2194" s="54" t="str">
        <f>IFERROR(IF(INDEX(SPOT_Import!$A$1:$Z$2488,2194,'Live Data'!$C$20)="","",INDEX(SPOT_Import!$A$1:$Z$2488,2194,'Live Data'!$C$20)),"")</f>
        <v/>
      </c>
      <c r="J2194" s="54" t="str">
        <f>IFERROR(IF(INDEX(SPOT_Import!$A$1:$Z$2488,2194,'Live Data'!$C$21)="","",INDEX(SPOT_Import!$A$1:$Z$2488,2194,'Live Data'!$C$21)),"")</f>
        <v/>
      </c>
      <c r="K2194" s="54" t="str">
        <f>IFERROR(IF(INDEX(SPOT_Import!$A$1:$Z$2488,2194,'Live Data'!$C$22)="","",INDEX(SPOT_Import!$A$1:$Z$2488,2194,'Live Data'!$C$22)),"")</f>
        <v/>
      </c>
      <c r="L2194" s="55" t="str">
        <f t="shared" si="68"/>
        <v/>
      </c>
      <c r="M2194" s="55" t="str">
        <f t="shared" si="69"/>
        <v/>
      </c>
      <c r="N2194" s="55" t="str">
        <f>IF(A2194="","",IFERROR(INDEX('Cluster Map'!$A$4:$A$38,MATCH(M2194,'Cluster Map'!$B$4:$B$38,0)),"Unmapped"))</f>
        <v/>
      </c>
      <c r="O2194" s="55">
        <f>IF(A2194="",0,IF(COUNTIFS($A$2:A2194,A2194,$F$2:F2194,F2194,$L$2:L2194,L2194)=1,1,0))</f>
        <v>0</v>
      </c>
      <c r="P2194" s="55">
        <f>IF(A2194="",0,IF(AND(F2194="C&amp;T",COUNTIFS($A$2:A2194,A2194,$F$2:F2194,"C&amp;T")=1),1,0))</f>
        <v>0</v>
      </c>
    </row>
    <row r="2195" spans="1:16" x14ac:dyDescent="0.35">
      <c r="A2195" s="54" t="str">
        <f>IFERROR(IF(INDEX(SPOT_Import!$A$1:$Z$2488,2195,'Live Data'!$C$12)="","",INDEX(SPOT_Import!$A$1:$Z$2488,2195,'Live Data'!$C$12)),"")</f>
        <v/>
      </c>
      <c r="B2195" s="54" t="str">
        <f>IFERROR(IF(INDEX(SPOT_Import!$A$1:$Z$2488,2195,'Live Data'!$C$13)="","",INDEX(SPOT_Import!$A$1:$Z$2488,2195,'Live Data'!$C$13)),"")</f>
        <v/>
      </c>
      <c r="C2195" s="54" t="str">
        <f>IFERROR(IF(INDEX(SPOT_Import!$A$1:$Z$2488,2195,'Live Data'!$C$14)="","",INDEX(SPOT_Import!$A$1:$Z$2488,2195,'Live Data'!$C$14)),"")</f>
        <v/>
      </c>
      <c r="D2195" s="54" t="str">
        <f>IFERROR(IF(INDEX(SPOT_Import!$A$1:$Z$2488,2195,'Live Data'!$C$15)="","",INDEX(SPOT_Import!$A$1:$Z$2488,2195,'Live Data'!$C$15)),"")</f>
        <v/>
      </c>
      <c r="E2195" s="54" t="str">
        <f>IFERROR(IF(INDEX(SPOT_Import!$A$1:$Z$2488,2195,'Live Data'!$C$16)="","",INDEX(SPOT_Import!$A$1:$Z$2488,2195,'Live Data'!$C$16)),"")</f>
        <v/>
      </c>
      <c r="F2195" s="54" t="str">
        <f>IFERROR(IF(INDEX(SPOT_Import!$A$1:$Z$2488,2195,'Live Data'!$C$17)="","",INDEX(SPOT_Import!$A$1:$Z$2488,2195,'Live Data'!$C$17)),"")</f>
        <v/>
      </c>
      <c r="G2195" s="54" t="str">
        <f>IFERROR(IF(INDEX(SPOT_Import!$A$1:$Z$2488,2195,'Live Data'!$C$18)="","",INDEX(SPOT_Import!$A$1:$Z$2488,2195,'Live Data'!$C$18)),"")</f>
        <v/>
      </c>
      <c r="H2195" s="54" t="str">
        <f>IFERROR(IF(INDEX(SPOT_Import!$A$1:$Z$2488,2195,'Live Data'!$C$19)="","",INDEX(SPOT_Import!$A$1:$Z$2488,2195,'Live Data'!$C$19)),"")</f>
        <v/>
      </c>
      <c r="I2195" s="54" t="str">
        <f>IFERROR(IF(INDEX(SPOT_Import!$A$1:$Z$2488,2195,'Live Data'!$C$20)="","",INDEX(SPOT_Import!$A$1:$Z$2488,2195,'Live Data'!$C$20)),"")</f>
        <v/>
      </c>
      <c r="J2195" s="54" t="str">
        <f>IFERROR(IF(INDEX(SPOT_Import!$A$1:$Z$2488,2195,'Live Data'!$C$21)="","",INDEX(SPOT_Import!$A$1:$Z$2488,2195,'Live Data'!$C$21)),"")</f>
        <v/>
      </c>
      <c r="K2195" s="54" t="str">
        <f>IFERROR(IF(INDEX(SPOT_Import!$A$1:$Z$2488,2195,'Live Data'!$C$22)="","",INDEX(SPOT_Import!$A$1:$Z$2488,2195,'Live Data'!$C$22)),"")</f>
        <v/>
      </c>
      <c r="L2195" s="55" t="str">
        <f t="shared" si="68"/>
        <v/>
      </c>
      <c r="M2195" s="55" t="str">
        <f t="shared" si="69"/>
        <v/>
      </c>
      <c r="N2195" s="55" t="str">
        <f>IF(A2195="","",IFERROR(INDEX('Cluster Map'!$A$4:$A$38,MATCH(M2195,'Cluster Map'!$B$4:$B$38,0)),"Unmapped"))</f>
        <v/>
      </c>
      <c r="O2195" s="55">
        <f>IF(A2195="",0,IF(COUNTIFS($A$2:A2195,A2195,$F$2:F2195,F2195,$L$2:L2195,L2195)=1,1,0))</f>
        <v>0</v>
      </c>
      <c r="P2195" s="55">
        <f>IF(A2195="",0,IF(AND(F2195="C&amp;T",COUNTIFS($A$2:A2195,A2195,$F$2:F2195,"C&amp;T")=1),1,0))</f>
        <v>0</v>
      </c>
    </row>
    <row r="2196" spans="1:16" x14ac:dyDescent="0.35">
      <c r="A2196" s="54" t="str">
        <f>IFERROR(IF(INDEX(SPOT_Import!$A$1:$Z$2488,2196,'Live Data'!$C$12)="","",INDEX(SPOT_Import!$A$1:$Z$2488,2196,'Live Data'!$C$12)),"")</f>
        <v/>
      </c>
      <c r="B2196" s="54" t="str">
        <f>IFERROR(IF(INDEX(SPOT_Import!$A$1:$Z$2488,2196,'Live Data'!$C$13)="","",INDEX(SPOT_Import!$A$1:$Z$2488,2196,'Live Data'!$C$13)),"")</f>
        <v/>
      </c>
      <c r="C2196" s="54" t="str">
        <f>IFERROR(IF(INDEX(SPOT_Import!$A$1:$Z$2488,2196,'Live Data'!$C$14)="","",INDEX(SPOT_Import!$A$1:$Z$2488,2196,'Live Data'!$C$14)),"")</f>
        <v/>
      </c>
      <c r="D2196" s="54" t="str">
        <f>IFERROR(IF(INDEX(SPOT_Import!$A$1:$Z$2488,2196,'Live Data'!$C$15)="","",INDEX(SPOT_Import!$A$1:$Z$2488,2196,'Live Data'!$C$15)),"")</f>
        <v/>
      </c>
      <c r="E2196" s="54" t="str">
        <f>IFERROR(IF(INDEX(SPOT_Import!$A$1:$Z$2488,2196,'Live Data'!$C$16)="","",INDEX(SPOT_Import!$A$1:$Z$2488,2196,'Live Data'!$C$16)),"")</f>
        <v/>
      </c>
      <c r="F2196" s="54" t="str">
        <f>IFERROR(IF(INDEX(SPOT_Import!$A$1:$Z$2488,2196,'Live Data'!$C$17)="","",INDEX(SPOT_Import!$A$1:$Z$2488,2196,'Live Data'!$C$17)),"")</f>
        <v/>
      </c>
      <c r="G2196" s="54" t="str">
        <f>IFERROR(IF(INDEX(SPOT_Import!$A$1:$Z$2488,2196,'Live Data'!$C$18)="","",INDEX(SPOT_Import!$A$1:$Z$2488,2196,'Live Data'!$C$18)),"")</f>
        <v/>
      </c>
      <c r="H2196" s="54" t="str">
        <f>IFERROR(IF(INDEX(SPOT_Import!$A$1:$Z$2488,2196,'Live Data'!$C$19)="","",INDEX(SPOT_Import!$A$1:$Z$2488,2196,'Live Data'!$C$19)),"")</f>
        <v/>
      </c>
      <c r="I2196" s="54" t="str">
        <f>IFERROR(IF(INDEX(SPOT_Import!$A$1:$Z$2488,2196,'Live Data'!$C$20)="","",INDEX(SPOT_Import!$A$1:$Z$2488,2196,'Live Data'!$C$20)),"")</f>
        <v/>
      </c>
      <c r="J2196" s="54" t="str">
        <f>IFERROR(IF(INDEX(SPOT_Import!$A$1:$Z$2488,2196,'Live Data'!$C$21)="","",INDEX(SPOT_Import!$A$1:$Z$2488,2196,'Live Data'!$C$21)),"")</f>
        <v/>
      </c>
      <c r="K2196" s="54" t="str">
        <f>IFERROR(IF(INDEX(SPOT_Import!$A$1:$Z$2488,2196,'Live Data'!$C$22)="","",INDEX(SPOT_Import!$A$1:$Z$2488,2196,'Live Data'!$C$22)),"")</f>
        <v/>
      </c>
      <c r="L2196" s="55" t="str">
        <f t="shared" si="68"/>
        <v/>
      </c>
      <c r="M2196" s="55" t="str">
        <f t="shared" si="69"/>
        <v/>
      </c>
      <c r="N2196" s="55" t="str">
        <f>IF(A2196="","",IFERROR(INDEX('Cluster Map'!$A$4:$A$38,MATCH(M2196,'Cluster Map'!$B$4:$B$38,0)),"Unmapped"))</f>
        <v/>
      </c>
      <c r="O2196" s="55">
        <f>IF(A2196="",0,IF(COUNTIFS($A$2:A2196,A2196,$F$2:F2196,F2196,$L$2:L2196,L2196)=1,1,0))</f>
        <v>0</v>
      </c>
      <c r="P2196" s="55">
        <f>IF(A2196="",0,IF(AND(F2196="C&amp;T",COUNTIFS($A$2:A2196,A2196,$F$2:F2196,"C&amp;T")=1),1,0))</f>
        <v>0</v>
      </c>
    </row>
    <row r="2197" spans="1:16" x14ac:dyDescent="0.35">
      <c r="A2197" s="54" t="str">
        <f>IFERROR(IF(INDEX(SPOT_Import!$A$1:$Z$2488,2197,'Live Data'!$C$12)="","",INDEX(SPOT_Import!$A$1:$Z$2488,2197,'Live Data'!$C$12)),"")</f>
        <v/>
      </c>
      <c r="B2197" s="54" t="str">
        <f>IFERROR(IF(INDEX(SPOT_Import!$A$1:$Z$2488,2197,'Live Data'!$C$13)="","",INDEX(SPOT_Import!$A$1:$Z$2488,2197,'Live Data'!$C$13)),"")</f>
        <v/>
      </c>
      <c r="C2197" s="54" t="str">
        <f>IFERROR(IF(INDEX(SPOT_Import!$A$1:$Z$2488,2197,'Live Data'!$C$14)="","",INDEX(SPOT_Import!$A$1:$Z$2488,2197,'Live Data'!$C$14)),"")</f>
        <v/>
      </c>
      <c r="D2197" s="54" t="str">
        <f>IFERROR(IF(INDEX(SPOT_Import!$A$1:$Z$2488,2197,'Live Data'!$C$15)="","",INDEX(SPOT_Import!$A$1:$Z$2488,2197,'Live Data'!$C$15)),"")</f>
        <v/>
      </c>
      <c r="E2197" s="54" t="str">
        <f>IFERROR(IF(INDEX(SPOT_Import!$A$1:$Z$2488,2197,'Live Data'!$C$16)="","",INDEX(SPOT_Import!$A$1:$Z$2488,2197,'Live Data'!$C$16)),"")</f>
        <v/>
      </c>
      <c r="F2197" s="54" t="str">
        <f>IFERROR(IF(INDEX(SPOT_Import!$A$1:$Z$2488,2197,'Live Data'!$C$17)="","",INDEX(SPOT_Import!$A$1:$Z$2488,2197,'Live Data'!$C$17)),"")</f>
        <v/>
      </c>
      <c r="G2197" s="54" t="str">
        <f>IFERROR(IF(INDEX(SPOT_Import!$A$1:$Z$2488,2197,'Live Data'!$C$18)="","",INDEX(SPOT_Import!$A$1:$Z$2488,2197,'Live Data'!$C$18)),"")</f>
        <v/>
      </c>
      <c r="H2197" s="54" t="str">
        <f>IFERROR(IF(INDEX(SPOT_Import!$A$1:$Z$2488,2197,'Live Data'!$C$19)="","",INDEX(SPOT_Import!$A$1:$Z$2488,2197,'Live Data'!$C$19)),"")</f>
        <v/>
      </c>
      <c r="I2197" s="54" t="str">
        <f>IFERROR(IF(INDEX(SPOT_Import!$A$1:$Z$2488,2197,'Live Data'!$C$20)="","",INDEX(SPOT_Import!$A$1:$Z$2488,2197,'Live Data'!$C$20)),"")</f>
        <v/>
      </c>
      <c r="J2197" s="54" t="str">
        <f>IFERROR(IF(INDEX(SPOT_Import!$A$1:$Z$2488,2197,'Live Data'!$C$21)="","",INDEX(SPOT_Import!$A$1:$Z$2488,2197,'Live Data'!$C$21)),"")</f>
        <v/>
      </c>
      <c r="K2197" s="54" t="str">
        <f>IFERROR(IF(INDEX(SPOT_Import!$A$1:$Z$2488,2197,'Live Data'!$C$22)="","",INDEX(SPOT_Import!$A$1:$Z$2488,2197,'Live Data'!$C$22)),"")</f>
        <v/>
      </c>
      <c r="L2197" s="55" t="str">
        <f t="shared" si="68"/>
        <v/>
      </c>
      <c r="M2197" s="55" t="str">
        <f t="shared" si="69"/>
        <v/>
      </c>
      <c r="N2197" s="55" t="str">
        <f>IF(A2197="","",IFERROR(INDEX('Cluster Map'!$A$4:$A$38,MATCH(M2197,'Cluster Map'!$B$4:$B$38,0)),"Unmapped"))</f>
        <v/>
      </c>
      <c r="O2197" s="55">
        <f>IF(A2197="",0,IF(COUNTIFS($A$2:A2197,A2197,$F$2:F2197,F2197,$L$2:L2197,L2197)=1,1,0))</f>
        <v>0</v>
      </c>
      <c r="P2197" s="55">
        <f>IF(A2197="",0,IF(AND(F2197="C&amp;T",COUNTIFS($A$2:A2197,A2197,$F$2:F2197,"C&amp;T")=1),1,0))</f>
        <v>0</v>
      </c>
    </row>
    <row r="2198" spans="1:16" x14ac:dyDescent="0.35">
      <c r="A2198" s="54" t="str">
        <f>IFERROR(IF(INDEX(SPOT_Import!$A$1:$Z$2488,2198,'Live Data'!$C$12)="","",INDEX(SPOT_Import!$A$1:$Z$2488,2198,'Live Data'!$C$12)),"")</f>
        <v/>
      </c>
      <c r="B2198" s="54" t="str">
        <f>IFERROR(IF(INDEX(SPOT_Import!$A$1:$Z$2488,2198,'Live Data'!$C$13)="","",INDEX(SPOT_Import!$A$1:$Z$2488,2198,'Live Data'!$C$13)),"")</f>
        <v/>
      </c>
      <c r="C2198" s="54" t="str">
        <f>IFERROR(IF(INDEX(SPOT_Import!$A$1:$Z$2488,2198,'Live Data'!$C$14)="","",INDEX(SPOT_Import!$A$1:$Z$2488,2198,'Live Data'!$C$14)),"")</f>
        <v/>
      </c>
      <c r="D2198" s="54" t="str">
        <f>IFERROR(IF(INDEX(SPOT_Import!$A$1:$Z$2488,2198,'Live Data'!$C$15)="","",INDEX(SPOT_Import!$A$1:$Z$2488,2198,'Live Data'!$C$15)),"")</f>
        <v/>
      </c>
      <c r="E2198" s="54" t="str">
        <f>IFERROR(IF(INDEX(SPOT_Import!$A$1:$Z$2488,2198,'Live Data'!$C$16)="","",INDEX(SPOT_Import!$A$1:$Z$2488,2198,'Live Data'!$C$16)),"")</f>
        <v/>
      </c>
      <c r="F2198" s="54" t="str">
        <f>IFERROR(IF(INDEX(SPOT_Import!$A$1:$Z$2488,2198,'Live Data'!$C$17)="","",INDEX(SPOT_Import!$A$1:$Z$2488,2198,'Live Data'!$C$17)),"")</f>
        <v/>
      </c>
      <c r="G2198" s="54" t="str">
        <f>IFERROR(IF(INDEX(SPOT_Import!$A$1:$Z$2488,2198,'Live Data'!$C$18)="","",INDEX(SPOT_Import!$A$1:$Z$2488,2198,'Live Data'!$C$18)),"")</f>
        <v/>
      </c>
      <c r="H2198" s="54" t="str">
        <f>IFERROR(IF(INDEX(SPOT_Import!$A$1:$Z$2488,2198,'Live Data'!$C$19)="","",INDEX(SPOT_Import!$A$1:$Z$2488,2198,'Live Data'!$C$19)),"")</f>
        <v/>
      </c>
      <c r="I2198" s="54" t="str">
        <f>IFERROR(IF(INDEX(SPOT_Import!$A$1:$Z$2488,2198,'Live Data'!$C$20)="","",INDEX(SPOT_Import!$A$1:$Z$2488,2198,'Live Data'!$C$20)),"")</f>
        <v/>
      </c>
      <c r="J2198" s="54" t="str">
        <f>IFERROR(IF(INDEX(SPOT_Import!$A$1:$Z$2488,2198,'Live Data'!$C$21)="","",INDEX(SPOT_Import!$A$1:$Z$2488,2198,'Live Data'!$C$21)),"")</f>
        <v/>
      </c>
      <c r="K2198" s="54" t="str">
        <f>IFERROR(IF(INDEX(SPOT_Import!$A$1:$Z$2488,2198,'Live Data'!$C$22)="","",INDEX(SPOT_Import!$A$1:$Z$2488,2198,'Live Data'!$C$22)),"")</f>
        <v/>
      </c>
      <c r="L2198" s="55" t="str">
        <f t="shared" si="68"/>
        <v/>
      </c>
      <c r="M2198" s="55" t="str">
        <f t="shared" si="69"/>
        <v/>
      </c>
      <c r="N2198" s="55" t="str">
        <f>IF(A2198="","",IFERROR(INDEX('Cluster Map'!$A$4:$A$38,MATCH(M2198,'Cluster Map'!$B$4:$B$38,0)),"Unmapped"))</f>
        <v/>
      </c>
      <c r="O2198" s="55">
        <f>IF(A2198="",0,IF(COUNTIFS($A$2:A2198,A2198,$F$2:F2198,F2198,$L$2:L2198,L2198)=1,1,0))</f>
        <v>0</v>
      </c>
      <c r="P2198" s="55">
        <f>IF(A2198="",0,IF(AND(F2198="C&amp;T",COUNTIFS($A$2:A2198,A2198,$F$2:F2198,"C&amp;T")=1),1,0))</f>
        <v>0</v>
      </c>
    </row>
    <row r="2199" spans="1:16" x14ac:dyDescent="0.35">
      <c r="A2199" s="54" t="str">
        <f>IFERROR(IF(INDEX(SPOT_Import!$A$1:$Z$2488,2199,'Live Data'!$C$12)="","",INDEX(SPOT_Import!$A$1:$Z$2488,2199,'Live Data'!$C$12)),"")</f>
        <v/>
      </c>
      <c r="B2199" s="54" t="str">
        <f>IFERROR(IF(INDEX(SPOT_Import!$A$1:$Z$2488,2199,'Live Data'!$C$13)="","",INDEX(SPOT_Import!$A$1:$Z$2488,2199,'Live Data'!$C$13)),"")</f>
        <v/>
      </c>
      <c r="C2199" s="54" t="str">
        <f>IFERROR(IF(INDEX(SPOT_Import!$A$1:$Z$2488,2199,'Live Data'!$C$14)="","",INDEX(SPOT_Import!$A$1:$Z$2488,2199,'Live Data'!$C$14)),"")</f>
        <v/>
      </c>
      <c r="D2199" s="54" t="str">
        <f>IFERROR(IF(INDEX(SPOT_Import!$A$1:$Z$2488,2199,'Live Data'!$C$15)="","",INDEX(SPOT_Import!$A$1:$Z$2488,2199,'Live Data'!$C$15)),"")</f>
        <v/>
      </c>
      <c r="E2199" s="54" t="str">
        <f>IFERROR(IF(INDEX(SPOT_Import!$A$1:$Z$2488,2199,'Live Data'!$C$16)="","",INDEX(SPOT_Import!$A$1:$Z$2488,2199,'Live Data'!$C$16)),"")</f>
        <v/>
      </c>
      <c r="F2199" s="54" t="str">
        <f>IFERROR(IF(INDEX(SPOT_Import!$A$1:$Z$2488,2199,'Live Data'!$C$17)="","",INDEX(SPOT_Import!$A$1:$Z$2488,2199,'Live Data'!$C$17)),"")</f>
        <v/>
      </c>
      <c r="G2199" s="54" t="str">
        <f>IFERROR(IF(INDEX(SPOT_Import!$A$1:$Z$2488,2199,'Live Data'!$C$18)="","",INDEX(SPOT_Import!$A$1:$Z$2488,2199,'Live Data'!$C$18)),"")</f>
        <v/>
      </c>
      <c r="H2199" s="54" t="str">
        <f>IFERROR(IF(INDEX(SPOT_Import!$A$1:$Z$2488,2199,'Live Data'!$C$19)="","",INDEX(SPOT_Import!$A$1:$Z$2488,2199,'Live Data'!$C$19)),"")</f>
        <v/>
      </c>
      <c r="I2199" s="54" t="str">
        <f>IFERROR(IF(INDEX(SPOT_Import!$A$1:$Z$2488,2199,'Live Data'!$C$20)="","",INDEX(SPOT_Import!$A$1:$Z$2488,2199,'Live Data'!$C$20)),"")</f>
        <v/>
      </c>
      <c r="J2199" s="54" t="str">
        <f>IFERROR(IF(INDEX(SPOT_Import!$A$1:$Z$2488,2199,'Live Data'!$C$21)="","",INDEX(SPOT_Import!$A$1:$Z$2488,2199,'Live Data'!$C$21)),"")</f>
        <v/>
      </c>
      <c r="K2199" s="54" t="str">
        <f>IFERROR(IF(INDEX(SPOT_Import!$A$1:$Z$2488,2199,'Live Data'!$C$22)="","",INDEX(SPOT_Import!$A$1:$Z$2488,2199,'Live Data'!$C$22)),"")</f>
        <v/>
      </c>
      <c r="L2199" s="55" t="str">
        <f t="shared" si="68"/>
        <v/>
      </c>
      <c r="M2199" s="55" t="str">
        <f t="shared" si="69"/>
        <v/>
      </c>
      <c r="N2199" s="55" t="str">
        <f>IF(A2199="","",IFERROR(INDEX('Cluster Map'!$A$4:$A$38,MATCH(M2199,'Cluster Map'!$B$4:$B$38,0)),"Unmapped"))</f>
        <v/>
      </c>
      <c r="O2199" s="55">
        <f>IF(A2199="",0,IF(COUNTIFS($A$2:A2199,A2199,$F$2:F2199,F2199,$L$2:L2199,L2199)=1,1,0))</f>
        <v>0</v>
      </c>
      <c r="P2199" s="55">
        <f>IF(A2199="",0,IF(AND(F2199="C&amp;T",COUNTIFS($A$2:A2199,A2199,$F$2:F2199,"C&amp;T")=1),1,0))</f>
        <v>0</v>
      </c>
    </row>
    <row r="2200" spans="1:16" x14ac:dyDescent="0.35">
      <c r="A2200" s="54" t="str">
        <f>IFERROR(IF(INDEX(SPOT_Import!$A$1:$Z$2488,2200,'Live Data'!$C$12)="","",INDEX(SPOT_Import!$A$1:$Z$2488,2200,'Live Data'!$C$12)),"")</f>
        <v/>
      </c>
      <c r="B2200" s="54" t="str">
        <f>IFERROR(IF(INDEX(SPOT_Import!$A$1:$Z$2488,2200,'Live Data'!$C$13)="","",INDEX(SPOT_Import!$A$1:$Z$2488,2200,'Live Data'!$C$13)),"")</f>
        <v/>
      </c>
      <c r="C2200" s="54" t="str">
        <f>IFERROR(IF(INDEX(SPOT_Import!$A$1:$Z$2488,2200,'Live Data'!$C$14)="","",INDEX(SPOT_Import!$A$1:$Z$2488,2200,'Live Data'!$C$14)),"")</f>
        <v/>
      </c>
      <c r="D2200" s="54" t="str">
        <f>IFERROR(IF(INDEX(SPOT_Import!$A$1:$Z$2488,2200,'Live Data'!$C$15)="","",INDEX(SPOT_Import!$A$1:$Z$2488,2200,'Live Data'!$C$15)),"")</f>
        <v/>
      </c>
      <c r="E2200" s="54" t="str">
        <f>IFERROR(IF(INDEX(SPOT_Import!$A$1:$Z$2488,2200,'Live Data'!$C$16)="","",INDEX(SPOT_Import!$A$1:$Z$2488,2200,'Live Data'!$C$16)),"")</f>
        <v/>
      </c>
      <c r="F2200" s="54" t="str">
        <f>IFERROR(IF(INDEX(SPOT_Import!$A$1:$Z$2488,2200,'Live Data'!$C$17)="","",INDEX(SPOT_Import!$A$1:$Z$2488,2200,'Live Data'!$C$17)),"")</f>
        <v/>
      </c>
      <c r="G2200" s="54" t="str">
        <f>IFERROR(IF(INDEX(SPOT_Import!$A$1:$Z$2488,2200,'Live Data'!$C$18)="","",INDEX(SPOT_Import!$A$1:$Z$2488,2200,'Live Data'!$C$18)),"")</f>
        <v/>
      </c>
      <c r="H2200" s="54" t="str">
        <f>IFERROR(IF(INDEX(SPOT_Import!$A$1:$Z$2488,2200,'Live Data'!$C$19)="","",INDEX(SPOT_Import!$A$1:$Z$2488,2200,'Live Data'!$C$19)),"")</f>
        <v/>
      </c>
      <c r="I2200" s="54" t="str">
        <f>IFERROR(IF(INDEX(SPOT_Import!$A$1:$Z$2488,2200,'Live Data'!$C$20)="","",INDEX(SPOT_Import!$A$1:$Z$2488,2200,'Live Data'!$C$20)),"")</f>
        <v/>
      </c>
      <c r="J2200" s="54" t="str">
        <f>IFERROR(IF(INDEX(SPOT_Import!$A$1:$Z$2488,2200,'Live Data'!$C$21)="","",INDEX(SPOT_Import!$A$1:$Z$2488,2200,'Live Data'!$C$21)),"")</f>
        <v/>
      </c>
      <c r="K2200" s="54" t="str">
        <f>IFERROR(IF(INDEX(SPOT_Import!$A$1:$Z$2488,2200,'Live Data'!$C$22)="","",INDEX(SPOT_Import!$A$1:$Z$2488,2200,'Live Data'!$C$22)),"")</f>
        <v/>
      </c>
      <c r="L2200" s="55" t="str">
        <f t="shared" si="68"/>
        <v/>
      </c>
      <c r="M2200" s="55" t="str">
        <f t="shared" si="69"/>
        <v/>
      </c>
      <c r="N2200" s="55" t="str">
        <f>IF(A2200="","",IFERROR(INDEX('Cluster Map'!$A$4:$A$38,MATCH(M2200,'Cluster Map'!$B$4:$B$38,0)),"Unmapped"))</f>
        <v/>
      </c>
      <c r="O2200" s="55">
        <f>IF(A2200="",0,IF(COUNTIFS($A$2:A2200,A2200,$F$2:F2200,F2200,$L$2:L2200,L2200)=1,1,0))</f>
        <v>0</v>
      </c>
      <c r="P2200" s="55">
        <f>IF(A2200="",0,IF(AND(F2200="C&amp;T",COUNTIFS($A$2:A2200,A2200,$F$2:F2200,"C&amp;T")=1),1,0))</f>
        <v>0</v>
      </c>
    </row>
    <row r="2201" spans="1:16" x14ac:dyDescent="0.35">
      <c r="A2201" s="54" t="str">
        <f>IFERROR(IF(INDEX(SPOT_Import!$A$1:$Z$2488,2201,'Live Data'!$C$12)="","",INDEX(SPOT_Import!$A$1:$Z$2488,2201,'Live Data'!$C$12)),"")</f>
        <v/>
      </c>
      <c r="B2201" s="54" t="str">
        <f>IFERROR(IF(INDEX(SPOT_Import!$A$1:$Z$2488,2201,'Live Data'!$C$13)="","",INDEX(SPOT_Import!$A$1:$Z$2488,2201,'Live Data'!$C$13)),"")</f>
        <v/>
      </c>
      <c r="C2201" s="54" t="str">
        <f>IFERROR(IF(INDEX(SPOT_Import!$A$1:$Z$2488,2201,'Live Data'!$C$14)="","",INDEX(SPOT_Import!$A$1:$Z$2488,2201,'Live Data'!$C$14)),"")</f>
        <v/>
      </c>
      <c r="D2201" s="54" t="str">
        <f>IFERROR(IF(INDEX(SPOT_Import!$A$1:$Z$2488,2201,'Live Data'!$C$15)="","",INDEX(SPOT_Import!$A$1:$Z$2488,2201,'Live Data'!$C$15)),"")</f>
        <v/>
      </c>
      <c r="E2201" s="54" t="str">
        <f>IFERROR(IF(INDEX(SPOT_Import!$A$1:$Z$2488,2201,'Live Data'!$C$16)="","",INDEX(SPOT_Import!$A$1:$Z$2488,2201,'Live Data'!$C$16)),"")</f>
        <v/>
      </c>
      <c r="F2201" s="54" t="str">
        <f>IFERROR(IF(INDEX(SPOT_Import!$A$1:$Z$2488,2201,'Live Data'!$C$17)="","",INDEX(SPOT_Import!$A$1:$Z$2488,2201,'Live Data'!$C$17)),"")</f>
        <v/>
      </c>
      <c r="G2201" s="54" t="str">
        <f>IFERROR(IF(INDEX(SPOT_Import!$A$1:$Z$2488,2201,'Live Data'!$C$18)="","",INDEX(SPOT_Import!$A$1:$Z$2488,2201,'Live Data'!$C$18)),"")</f>
        <v/>
      </c>
      <c r="H2201" s="54" t="str">
        <f>IFERROR(IF(INDEX(SPOT_Import!$A$1:$Z$2488,2201,'Live Data'!$C$19)="","",INDEX(SPOT_Import!$A$1:$Z$2488,2201,'Live Data'!$C$19)),"")</f>
        <v/>
      </c>
      <c r="I2201" s="54" t="str">
        <f>IFERROR(IF(INDEX(SPOT_Import!$A$1:$Z$2488,2201,'Live Data'!$C$20)="","",INDEX(SPOT_Import!$A$1:$Z$2488,2201,'Live Data'!$C$20)),"")</f>
        <v/>
      </c>
      <c r="J2201" s="54" t="str">
        <f>IFERROR(IF(INDEX(SPOT_Import!$A$1:$Z$2488,2201,'Live Data'!$C$21)="","",INDEX(SPOT_Import!$A$1:$Z$2488,2201,'Live Data'!$C$21)),"")</f>
        <v/>
      </c>
      <c r="K2201" s="54" t="str">
        <f>IFERROR(IF(INDEX(SPOT_Import!$A$1:$Z$2488,2201,'Live Data'!$C$22)="","",INDEX(SPOT_Import!$A$1:$Z$2488,2201,'Live Data'!$C$22)),"")</f>
        <v/>
      </c>
      <c r="L2201" s="55" t="str">
        <f t="shared" si="68"/>
        <v/>
      </c>
      <c r="M2201" s="55" t="str">
        <f t="shared" si="69"/>
        <v/>
      </c>
      <c r="N2201" s="55" t="str">
        <f>IF(A2201="","",IFERROR(INDEX('Cluster Map'!$A$4:$A$38,MATCH(M2201,'Cluster Map'!$B$4:$B$38,0)),"Unmapped"))</f>
        <v/>
      </c>
      <c r="O2201" s="55">
        <f>IF(A2201="",0,IF(COUNTIFS($A$2:A2201,A2201,$F$2:F2201,F2201,$L$2:L2201,L2201)=1,1,0))</f>
        <v>0</v>
      </c>
      <c r="P2201" s="55">
        <f>IF(A2201="",0,IF(AND(F2201="C&amp;T",COUNTIFS($A$2:A2201,A2201,$F$2:F2201,"C&amp;T")=1),1,0))</f>
        <v>0</v>
      </c>
    </row>
    <row r="2202" spans="1:16" x14ac:dyDescent="0.35">
      <c r="A2202" s="54" t="str">
        <f>IFERROR(IF(INDEX(SPOT_Import!$A$1:$Z$2488,2202,'Live Data'!$C$12)="","",INDEX(SPOT_Import!$A$1:$Z$2488,2202,'Live Data'!$C$12)),"")</f>
        <v/>
      </c>
      <c r="B2202" s="54" t="str">
        <f>IFERROR(IF(INDEX(SPOT_Import!$A$1:$Z$2488,2202,'Live Data'!$C$13)="","",INDEX(SPOT_Import!$A$1:$Z$2488,2202,'Live Data'!$C$13)),"")</f>
        <v/>
      </c>
      <c r="C2202" s="54" t="str">
        <f>IFERROR(IF(INDEX(SPOT_Import!$A$1:$Z$2488,2202,'Live Data'!$C$14)="","",INDEX(SPOT_Import!$A$1:$Z$2488,2202,'Live Data'!$C$14)),"")</f>
        <v/>
      </c>
      <c r="D2202" s="54" t="str">
        <f>IFERROR(IF(INDEX(SPOT_Import!$A$1:$Z$2488,2202,'Live Data'!$C$15)="","",INDEX(SPOT_Import!$A$1:$Z$2488,2202,'Live Data'!$C$15)),"")</f>
        <v/>
      </c>
      <c r="E2202" s="54" t="str">
        <f>IFERROR(IF(INDEX(SPOT_Import!$A$1:$Z$2488,2202,'Live Data'!$C$16)="","",INDEX(SPOT_Import!$A$1:$Z$2488,2202,'Live Data'!$C$16)),"")</f>
        <v/>
      </c>
      <c r="F2202" s="54" t="str">
        <f>IFERROR(IF(INDEX(SPOT_Import!$A$1:$Z$2488,2202,'Live Data'!$C$17)="","",INDEX(SPOT_Import!$A$1:$Z$2488,2202,'Live Data'!$C$17)),"")</f>
        <v/>
      </c>
      <c r="G2202" s="54" t="str">
        <f>IFERROR(IF(INDEX(SPOT_Import!$A$1:$Z$2488,2202,'Live Data'!$C$18)="","",INDEX(SPOT_Import!$A$1:$Z$2488,2202,'Live Data'!$C$18)),"")</f>
        <v/>
      </c>
      <c r="H2202" s="54" t="str">
        <f>IFERROR(IF(INDEX(SPOT_Import!$A$1:$Z$2488,2202,'Live Data'!$C$19)="","",INDEX(SPOT_Import!$A$1:$Z$2488,2202,'Live Data'!$C$19)),"")</f>
        <v/>
      </c>
      <c r="I2202" s="54" t="str">
        <f>IFERROR(IF(INDEX(SPOT_Import!$A$1:$Z$2488,2202,'Live Data'!$C$20)="","",INDEX(SPOT_Import!$A$1:$Z$2488,2202,'Live Data'!$C$20)),"")</f>
        <v/>
      </c>
      <c r="J2202" s="54" t="str">
        <f>IFERROR(IF(INDEX(SPOT_Import!$A$1:$Z$2488,2202,'Live Data'!$C$21)="","",INDEX(SPOT_Import!$A$1:$Z$2488,2202,'Live Data'!$C$21)),"")</f>
        <v/>
      </c>
      <c r="K2202" s="54" t="str">
        <f>IFERROR(IF(INDEX(SPOT_Import!$A$1:$Z$2488,2202,'Live Data'!$C$22)="","",INDEX(SPOT_Import!$A$1:$Z$2488,2202,'Live Data'!$C$22)),"")</f>
        <v/>
      </c>
      <c r="L2202" s="55" t="str">
        <f t="shared" si="68"/>
        <v/>
      </c>
      <c r="M2202" s="55" t="str">
        <f t="shared" si="69"/>
        <v/>
      </c>
      <c r="N2202" s="55" t="str">
        <f>IF(A2202="","",IFERROR(INDEX('Cluster Map'!$A$4:$A$38,MATCH(M2202,'Cluster Map'!$B$4:$B$38,0)),"Unmapped"))</f>
        <v/>
      </c>
      <c r="O2202" s="55">
        <f>IF(A2202="",0,IF(COUNTIFS($A$2:A2202,A2202,$F$2:F2202,F2202,$L$2:L2202,L2202)=1,1,0))</f>
        <v>0</v>
      </c>
      <c r="P2202" s="55">
        <f>IF(A2202="",0,IF(AND(F2202="C&amp;T",COUNTIFS($A$2:A2202,A2202,$F$2:F2202,"C&amp;T")=1),1,0))</f>
        <v>0</v>
      </c>
    </row>
    <row r="2203" spans="1:16" x14ac:dyDescent="0.35">
      <c r="A2203" s="54" t="str">
        <f>IFERROR(IF(INDEX(SPOT_Import!$A$1:$Z$2488,2203,'Live Data'!$C$12)="","",INDEX(SPOT_Import!$A$1:$Z$2488,2203,'Live Data'!$C$12)),"")</f>
        <v/>
      </c>
      <c r="B2203" s="54" t="str">
        <f>IFERROR(IF(INDEX(SPOT_Import!$A$1:$Z$2488,2203,'Live Data'!$C$13)="","",INDEX(SPOT_Import!$A$1:$Z$2488,2203,'Live Data'!$C$13)),"")</f>
        <v/>
      </c>
      <c r="C2203" s="54" t="str">
        <f>IFERROR(IF(INDEX(SPOT_Import!$A$1:$Z$2488,2203,'Live Data'!$C$14)="","",INDEX(SPOT_Import!$A$1:$Z$2488,2203,'Live Data'!$C$14)),"")</f>
        <v/>
      </c>
      <c r="D2203" s="54" t="str">
        <f>IFERROR(IF(INDEX(SPOT_Import!$A$1:$Z$2488,2203,'Live Data'!$C$15)="","",INDEX(SPOT_Import!$A$1:$Z$2488,2203,'Live Data'!$C$15)),"")</f>
        <v/>
      </c>
      <c r="E2203" s="54" t="str">
        <f>IFERROR(IF(INDEX(SPOT_Import!$A$1:$Z$2488,2203,'Live Data'!$C$16)="","",INDEX(SPOT_Import!$A$1:$Z$2488,2203,'Live Data'!$C$16)),"")</f>
        <v/>
      </c>
      <c r="F2203" s="54" t="str">
        <f>IFERROR(IF(INDEX(SPOT_Import!$A$1:$Z$2488,2203,'Live Data'!$C$17)="","",INDEX(SPOT_Import!$A$1:$Z$2488,2203,'Live Data'!$C$17)),"")</f>
        <v/>
      </c>
      <c r="G2203" s="54" t="str">
        <f>IFERROR(IF(INDEX(SPOT_Import!$A$1:$Z$2488,2203,'Live Data'!$C$18)="","",INDEX(SPOT_Import!$A$1:$Z$2488,2203,'Live Data'!$C$18)),"")</f>
        <v/>
      </c>
      <c r="H2203" s="54" t="str">
        <f>IFERROR(IF(INDEX(SPOT_Import!$A$1:$Z$2488,2203,'Live Data'!$C$19)="","",INDEX(SPOT_Import!$A$1:$Z$2488,2203,'Live Data'!$C$19)),"")</f>
        <v/>
      </c>
      <c r="I2203" s="54" t="str">
        <f>IFERROR(IF(INDEX(SPOT_Import!$A$1:$Z$2488,2203,'Live Data'!$C$20)="","",INDEX(SPOT_Import!$A$1:$Z$2488,2203,'Live Data'!$C$20)),"")</f>
        <v/>
      </c>
      <c r="J2203" s="54" t="str">
        <f>IFERROR(IF(INDEX(SPOT_Import!$A$1:$Z$2488,2203,'Live Data'!$C$21)="","",INDEX(SPOT_Import!$A$1:$Z$2488,2203,'Live Data'!$C$21)),"")</f>
        <v/>
      </c>
      <c r="K2203" s="54" t="str">
        <f>IFERROR(IF(INDEX(SPOT_Import!$A$1:$Z$2488,2203,'Live Data'!$C$22)="","",INDEX(SPOT_Import!$A$1:$Z$2488,2203,'Live Data'!$C$22)),"")</f>
        <v/>
      </c>
      <c r="L2203" s="55" t="str">
        <f t="shared" si="68"/>
        <v/>
      </c>
      <c r="M2203" s="55" t="str">
        <f t="shared" si="69"/>
        <v/>
      </c>
      <c r="N2203" s="55" t="str">
        <f>IF(A2203="","",IFERROR(INDEX('Cluster Map'!$A$4:$A$38,MATCH(M2203,'Cluster Map'!$B$4:$B$38,0)),"Unmapped"))</f>
        <v/>
      </c>
      <c r="O2203" s="55">
        <f>IF(A2203="",0,IF(COUNTIFS($A$2:A2203,A2203,$F$2:F2203,F2203,$L$2:L2203,L2203)=1,1,0))</f>
        <v>0</v>
      </c>
      <c r="P2203" s="55">
        <f>IF(A2203="",0,IF(AND(F2203="C&amp;T",COUNTIFS($A$2:A2203,A2203,$F$2:F2203,"C&amp;T")=1),1,0))</f>
        <v>0</v>
      </c>
    </row>
    <row r="2204" spans="1:16" x14ac:dyDescent="0.35">
      <c r="A2204" s="54" t="str">
        <f>IFERROR(IF(INDEX(SPOT_Import!$A$1:$Z$2488,2204,'Live Data'!$C$12)="","",INDEX(SPOT_Import!$A$1:$Z$2488,2204,'Live Data'!$C$12)),"")</f>
        <v/>
      </c>
      <c r="B2204" s="54" t="str">
        <f>IFERROR(IF(INDEX(SPOT_Import!$A$1:$Z$2488,2204,'Live Data'!$C$13)="","",INDEX(SPOT_Import!$A$1:$Z$2488,2204,'Live Data'!$C$13)),"")</f>
        <v/>
      </c>
      <c r="C2204" s="54" t="str">
        <f>IFERROR(IF(INDEX(SPOT_Import!$A$1:$Z$2488,2204,'Live Data'!$C$14)="","",INDEX(SPOT_Import!$A$1:$Z$2488,2204,'Live Data'!$C$14)),"")</f>
        <v/>
      </c>
      <c r="D2204" s="54" t="str">
        <f>IFERROR(IF(INDEX(SPOT_Import!$A$1:$Z$2488,2204,'Live Data'!$C$15)="","",INDEX(SPOT_Import!$A$1:$Z$2488,2204,'Live Data'!$C$15)),"")</f>
        <v/>
      </c>
      <c r="E2204" s="54" t="str">
        <f>IFERROR(IF(INDEX(SPOT_Import!$A$1:$Z$2488,2204,'Live Data'!$C$16)="","",INDEX(SPOT_Import!$A$1:$Z$2488,2204,'Live Data'!$C$16)),"")</f>
        <v/>
      </c>
      <c r="F2204" s="54" t="str">
        <f>IFERROR(IF(INDEX(SPOT_Import!$A$1:$Z$2488,2204,'Live Data'!$C$17)="","",INDEX(SPOT_Import!$A$1:$Z$2488,2204,'Live Data'!$C$17)),"")</f>
        <v/>
      </c>
      <c r="G2204" s="54" t="str">
        <f>IFERROR(IF(INDEX(SPOT_Import!$A$1:$Z$2488,2204,'Live Data'!$C$18)="","",INDEX(SPOT_Import!$A$1:$Z$2488,2204,'Live Data'!$C$18)),"")</f>
        <v/>
      </c>
      <c r="H2204" s="54" t="str">
        <f>IFERROR(IF(INDEX(SPOT_Import!$A$1:$Z$2488,2204,'Live Data'!$C$19)="","",INDEX(SPOT_Import!$A$1:$Z$2488,2204,'Live Data'!$C$19)),"")</f>
        <v/>
      </c>
      <c r="I2204" s="54" t="str">
        <f>IFERROR(IF(INDEX(SPOT_Import!$A$1:$Z$2488,2204,'Live Data'!$C$20)="","",INDEX(SPOT_Import!$A$1:$Z$2488,2204,'Live Data'!$C$20)),"")</f>
        <v/>
      </c>
      <c r="J2204" s="54" t="str">
        <f>IFERROR(IF(INDEX(SPOT_Import!$A$1:$Z$2488,2204,'Live Data'!$C$21)="","",INDEX(SPOT_Import!$A$1:$Z$2488,2204,'Live Data'!$C$21)),"")</f>
        <v/>
      </c>
      <c r="K2204" s="54" t="str">
        <f>IFERROR(IF(INDEX(SPOT_Import!$A$1:$Z$2488,2204,'Live Data'!$C$22)="","",INDEX(SPOT_Import!$A$1:$Z$2488,2204,'Live Data'!$C$22)),"")</f>
        <v/>
      </c>
      <c r="L2204" s="55" t="str">
        <f t="shared" si="68"/>
        <v/>
      </c>
      <c r="M2204" s="55" t="str">
        <f t="shared" si="69"/>
        <v/>
      </c>
      <c r="N2204" s="55" t="str">
        <f>IF(A2204="","",IFERROR(INDEX('Cluster Map'!$A$4:$A$38,MATCH(M2204,'Cluster Map'!$B$4:$B$38,0)),"Unmapped"))</f>
        <v/>
      </c>
      <c r="O2204" s="55">
        <f>IF(A2204="",0,IF(COUNTIFS($A$2:A2204,A2204,$F$2:F2204,F2204,$L$2:L2204,L2204)=1,1,0))</f>
        <v>0</v>
      </c>
      <c r="P2204" s="55">
        <f>IF(A2204="",0,IF(AND(F2204="C&amp;T",COUNTIFS($A$2:A2204,A2204,$F$2:F2204,"C&amp;T")=1),1,0))</f>
        <v>0</v>
      </c>
    </row>
    <row r="2205" spans="1:16" x14ac:dyDescent="0.35">
      <c r="A2205" s="54" t="str">
        <f>IFERROR(IF(INDEX(SPOT_Import!$A$1:$Z$2488,2205,'Live Data'!$C$12)="","",INDEX(SPOT_Import!$A$1:$Z$2488,2205,'Live Data'!$C$12)),"")</f>
        <v/>
      </c>
      <c r="B2205" s="54" t="str">
        <f>IFERROR(IF(INDEX(SPOT_Import!$A$1:$Z$2488,2205,'Live Data'!$C$13)="","",INDEX(SPOT_Import!$A$1:$Z$2488,2205,'Live Data'!$C$13)),"")</f>
        <v/>
      </c>
      <c r="C2205" s="54" t="str">
        <f>IFERROR(IF(INDEX(SPOT_Import!$A$1:$Z$2488,2205,'Live Data'!$C$14)="","",INDEX(SPOT_Import!$A$1:$Z$2488,2205,'Live Data'!$C$14)),"")</f>
        <v/>
      </c>
      <c r="D2205" s="54" t="str">
        <f>IFERROR(IF(INDEX(SPOT_Import!$A$1:$Z$2488,2205,'Live Data'!$C$15)="","",INDEX(SPOT_Import!$A$1:$Z$2488,2205,'Live Data'!$C$15)),"")</f>
        <v/>
      </c>
      <c r="E2205" s="54" t="str">
        <f>IFERROR(IF(INDEX(SPOT_Import!$A$1:$Z$2488,2205,'Live Data'!$C$16)="","",INDEX(SPOT_Import!$A$1:$Z$2488,2205,'Live Data'!$C$16)),"")</f>
        <v/>
      </c>
      <c r="F2205" s="54" t="str">
        <f>IFERROR(IF(INDEX(SPOT_Import!$A$1:$Z$2488,2205,'Live Data'!$C$17)="","",INDEX(SPOT_Import!$A$1:$Z$2488,2205,'Live Data'!$C$17)),"")</f>
        <v/>
      </c>
      <c r="G2205" s="54" t="str">
        <f>IFERROR(IF(INDEX(SPOT_Import!$A$1:$Z$2488,2205,'Live Data'!$C$18)="","",INDEX(SPOT_Import!$A$1:$Z$2488,2205,'Live Data'!$C$18)),"")</f>
        <v/>
      </c>
      <c r="H2205" s="54" t="str">
        <f>IFERROR(IF(INDEX(SPOT_Import!$A$1:$Z$2488,2205,'Live Data'!$C$19)="","",INDEX(SPOT_Import!$A$1:$Z$2488,2205,'Live Data'!$C$19)),"")</f>
        <v/>
      </c>
      <c r="I2205" s="54" t="str">
        <f>IFERROR(IF(INDEX(SPOT_Import!$A$1:$Z$2488,2205,'Live Data'!$C$20)="","",INDEX(SPOT_Import!$A$1:$Z$2488,2205,'Live Data'!$C$20)),"")</f>
        <v/>
      </c>
      <c r="J2205" s="54" t="str">
        <f>IFERROR(IF(INDEX(SPOT_Import!$A$1:$Z$2488,2205,'Live Data'!$C$21)="","",INDEX(SPOT_Import!$A$1:$Z$2488,2205,'Live Data'!$C$21)),"")</f>
        <v/>
      </c>
      <c r="K2205" s="54" t="str">
        <f>IFERROR(IF(INDEX(SPOT_Import!$A$1:$Z$2488,2205,'Live Data'!$C$22)="","",INDEX(SPOT_Import!$A$1:$Z$2488,2205,'Live Data'!$C$22)),"")</f>
        <v/>
      </c>
      <c r="L2205" s="55" t="str">
        <f t="shared" si="68"/>
        <v/>
      </c>
      <c r="M2205" s="55" t="str">
        <f t="shared" si="69"/>
        <v/>
      </c>
      <c r="N2205" s="55" t="str">
        <f>IF(A2205="","",IFERROR(INDEX('Cluster Map'!$A$4:$A$38,MATCH(M2205,'Cluster Map'!$B$4:$B$38,0)),"Unmapped"))</f>
        <v/>
      </c>
      <c r="O2205" s="55">
        <f>IF(A2205="",0,IF(COUNTIFS($A$2:A2205,A2205,$F$2:F2205,F2205,$L$2:L2205,L2205)=1,1,0))</f>
        <v>0</v>
      </c>
      <c r="P2205" s="55">
        <f>IF(A2205="",0,IF(AND(F2205="C&amp;T",COUNTIFS($A$2:A2205,A2205,$F$2:F2205,"C&amp;T")=1),1,0))</f>
        <v>0</v>
      </c>
    </row>
    <row r="2206" spans="1:16" x14ac:dyDescent="0.35">
      <c r="A2206" s="54" t="str">
        <f>IFERROR(IF(INDEX(SPOT_Import!$A$1:$Z$2488,2206,'Live Data'!$C$12)="","",INDEX(SPOT_Import!$A$1:$Z$2488,2206,'Live Data'!$C$12)),"")</f>
        <v/>
      </c>
      <c r="B2206" s="54" t="str">
        <f>IFERROR(IF(INDEX(SPOT_Import!$A$1:$Z$2488,2206,'Live Data'!$C$13)="","",INDEX(SPOT_Import!$A$1:$Z$2488,2206,'Live Data'!$C$13)),"")</f>
        <v/>
      </c>
      <c r="C2206" s="54" t="str">
        <f>IFERROR(IF(INDEX(SPOT_Import!$A$1:$Z$2488,2206,'Live Data'!$C$14)="","",INDEX(SPOT_Import!$A$1:$Z$2488,2206,'Live Data'!$C$14)),"")</f>
        <v/>
      </c>
      <c r="D2206" s="54" t="str">
        <f>IFERROR(IF(INDEX(SPOT_Import!$A$1:$Z$2488,2206,'Live Data'!$C$15)="","",INDEX(SPOT_Import!$A$1:$Z$2488,2206,'Live Data'!$C$15)),"")</f>
        <v/>
      </c>
      <c r="E2206" s="54" t="str">
        <f>IFERROR(IF(INDEX(SPOT_Import!$A$1:$Z$2488,2206,'Live Data'!$C$16)="","",INDEX(SPOT_Import!$A$1:$Z$2488,2206,'Live Data'!$C$16)),"")</f>
        <v/>
      </c>
      <c r="F2206" s="54" t="str">
        <f>IFERROR(IF(INDEX(SPOT_Import!$A$1:$Z$2488,2206,'Live Data'!$C$17)="","",INDEX(SPOT_Import!$A$1:$Z$2488,2206,'Live Data'!$C$17)),"")</f>
        <v/>
      </c>
      <c r="G2206" s="54" t="str">
        <f>IFERROR(IF(INDEX(SPOT_Import!$A$1:$Z$2488,2206,'Live Data'!$C$18)="","",INDEX(SPOT_Import!$A$1:$Z$2488,2206,'Live Data'!$C$18)),"")</f>
        <v/>
      </c>
      <c r="H2206" s="54" t="str">
        <f>IFERROR(IF(INDEX(SPOT_Import!$A$1:$Z$2488,2206,'Live Data'!$C$19)="","",INDEX(SPOT_Import!$A$1:$Z$2488,2206,'Live Data'!$C$19)),"")</f>
        <v/>
      </c>
      <c r="I2206" s="54" t="str">
        <f>IFERROR(IF(INDEX(SPOT_Import!$A$1:$Z$2488,2206,'Live Data'!$C$20)="","",INDEX(SPOT_Import!$A$1:$Z$2488,2206,'Live Data'!$C$20)),"")</f>
        <v/>
      </c>
      <c r="J2206" s="54" t="str">
        <f>IFERROR(IF(INDEX(SPOT_Import!$A$1:$Z$2488,2206,'Live Data'!$C$21)="","",INDEX(SPOT_Import!$A$1:$Z$2488,2206,'Live Data'!$C$21)),"")</f>
        <v/>
      </c>
      <c r="K2206" s="54" t="str">
        <f>IFERROR(IF(INDEX(SPOT_Import!$A$1:$Z$2488,2206,'Live Data'!$C$22)="","",INDEX(SPOT_Import!$A$1:$Z$2488,2206,'Live Data'!$C$22)),"")</f>
        <v/>
      </c>
      <c r="L2206" s="55" t="str">
        <f t="shared" si="68"/>
        <v/>
      </c>
      <c r="M2206" s="55" t="str">
        <f t="shared" si="69"/>
        <v/>
      </c>
      <c r="N2206" s="55" t="str">
        <f>IF(A2206="","",IFERROR(INDEX('Cluster Map'!$A$4:$A$38,MATCH(M2206,'Cluster Map'!$B$4:$B$38,0)),"Unmapped"))</f>
        <v/>
      </c>
      <c r="O2206" s="55">
        <f>IF(A2206="",0,IF(COUNTIFS($A$2:A2206,A2206,$F$2:F2206,F2206,$L$2:L2206,L2206)=1,1,0))</f>
        <v>0</v>
      </c>
      <c r="P2206" s="55">
        <f>IF(A2206="",0,IF(AND(F2206="C&amp;T",COUNTIFS($A$2:A2206,A2206,$F$2:F2206,"C&amp;T")=1),1,0))</f>
        <v>0</v>
      </c>
    </row>
    <row r="2207" spans="1:16" x14ac:dyDescent="0.35">
      <c r="A2207" s="54" t="str">
        <f>IFERROR(IF(INDEX(SPOT_Import!$A$1:$Z$2488,2207,'Live Data'!$C$12)="","",INDEX(SPOT_Import!$A$1:$Z$2488,2207,'Live Data'!$C$12)),"")</f>
        <v/>
      </c>
      <c r="B2207" s="54" t="str">
        <f>IFERROR(IF(INDEX(SPOT_Import!$A$1:$Z$2488,2207,'Live Data'!$C$13)="","",INDEX(SPOT_Import!$A$1:$Z$2488,2207,'Live Data'!$C$13)),"")</f>
        <v/>
      </c>
      <c r="C2207" s="54" t="str">
        <f>IFERROR(IF(INDEX(SPOT_Import!$A$1:$Z$2488,2207,'Live Data'!$C$14)="","",INDEX(SPOT_Import!$A$1:$Z$2488,2207,'Live Data'!$C$14)),"")</f>
        <v/>
      </c>
      <c r="D2207" s="54" t="str">
        <f>IFERROR(IF(INDEX(SPOT_Import!$A$1:$Z$2488,2207,'Live Data'!$C$15)="","",INDEX(SPOT_Import!$A$1:$Z$2488,2207,'Live Data'!$C$15)),"")</f>
        <v/>
      </c>
      <c r="E2207" s="54" t="str">
        <f>IFERROR(IF(INDEX(SPOT_Import!$A$1:$Z$2488,2207,'Live Data'!$C$16)="","",INDEX(SPOT_Import!$A$1:$Z$2488,2207,'Live Data'!$C$16)),"")</f>
        <v/>
      </c>
      <c r="F2207" s="54" t="str">
        <f>IFERROR(IF(INDEX(SPOT_Import!$A$1:$Z$2488,2207,'Live Data'!$C$17)="","",INDEX(SPOT_Import!$A$1:$Z$2488,2207,'Live Data'!$C$17)),"")</f>
        <v/>
      </c>
      <c r="G2207" s="54" t="str">
        <f>IFERROR(IF(INDEX(SPOT_Import!$A$1:$Z$2488,2207,'Live Data'!$C$18)="","",INDEX(SPOT_Import!$A$1:$Z$2488,2207,'Live Data'!$C$18)),"")</f>
        <v/>
      </c>
      <c r="H2207" s="54" t="str">
        <f>IFERROR(IF(INDEX(SPOT_Import!$A$1:$Z$2488,2207,'Live Data'!$C$19)="","",INDEX(SPOT_Import!$A$1:$Z$2488,2207,'Live Data'!$C$19)),"")</f>
        <v/>
      </c>
      <c r="I2207" s="54" t="str">
        <f>IFERROR(IF(INDEX(SPOT_Import!$A$1:$Z$2488,2207,'Live Data'!$C$20)="","",INDEX(SPOT_Import!$A$1:$Z$2488,2207,'Live Data'!$C$20)),"")</f>
        <v/>
      </c>
      <c r="J2207" s="54" t="str">
        <f>IFERROR(IF(INDEX(SPOT_Import!$A$1:$Z$2488,2207,'Live Data'!$C$21)="","",INDEX(SPOT_Import!$A$1:$Z$2488,2207,'Live Data'!$C$21)),"")</f>
        <v/>
      </c>
      <c r="K2207" s="54" t="str">
        <f>IFERROR(IF(INDEX(SPOT_Import!$A$1:$Z$2488,2207,'Live Data'!$C$22)="","",INDEX(SPOT_Import!$A$1:$Z$2488,2207,'Live Data'!$C$22)),"")</f>
        <v/>
      </c>
      <c r="L2207" s="55" t="str">
        <f t="shared" si="68"/>
        <v/>
      </c>
      <c r="M2207" s="55" t="str">
        <f t="shared" si="69"/>
        <v/>
      </c>
      <c r="N2207" s="55" t="str">
        <f>IF(A2207="","",IFERROR(INDEX('Cluster Map'!$A$4:$A$38,MATCH(M2207,'Cluster Map'!$B$4:$B$38,0)),"Unmapped"))</f>
        <v/>
      </c>
      <c r="O2207" s="55">
        <f>IF(A2207="",0,IF(COUNTIFS($A$2:A2207,A2207,$F$2:F2207,F2207,$L$2:L2207,L2207)=1,1,0))</f>
        <v>0</v>
      </c>
      <c r="P2207" s="55">
        <f>IF(A2207="",0,IF(AND(F2207="C&amp;T",COUNTIFS($A$2:A2207,A2207,$F$2:F2207,"C&amp;T")=1),1,0))</f>
        <v>0</v>
      </c>
    </row>
    <row r="2208" spans="1:16" x14ac:dyDescent="0.35">
      <c r="A2208" s="54" t="str">
        <f>IFERROR(IF(INDEX(SPOT_Import!$A$1:$Z$2488,2208,'Live Data'!$C$12)="","",INDEX(SPOT_Import!$A$1:$Z$2488,2208,'Live Data'!$C$12)),"")</f>
        <v/>
      </c>
      <c r="B2208" s="54" t="str">
        <f>IFERROR(IF(INDEX(SPOT_Import!$A$1:$Z$2488,2208,'Live Data'!$C$13)="","",INDEX(SPOT_Import!$A$1:$Z$2488,2208,'Live Data'!$C$13)),"")</f>
        <v/>
      </c>
      <c r="C2208" s="54" t="str">
        <f>IFERROR(IF(INDEX(SPOT_Import!$A$1:$Z$2488,2208,'Live Data'!$C$14)="","",INDEX(SPOT_Import!$A$1:$Z$2488,2208,'Live Data'!$C$14)),"")</f>
        <v/>
      </c>
      <c r="D2208" s="54" t="str">
        <f>IFERROR(IF(INDEX(SPOT_Import!$A$1:$Z$2488,2208,'Live Data'!$C$15)="","",INDEX(SPOT_Import!$A$1:$Z$2488,2208,'Live Data'!$C$15)),"")</f>
        <v/>
      </c>
      <c r="E2208" s="54" t="str">
        <f>IFERROR(IF(INDEX(SPOT_Import!$A$1:$Z$2488,2208,'Live Data'!$C$16)="","",INDEX(SPOT_Import!$A$1:$Z$2488,2208,'Live Data'!$C$16)),"")</f>
        <v/>
      </c>
      <c r="F2208" s="54" t="str">
        <f>IFERROR(IF(INDEX(SPOT_Import!$A$1:$Z$2488,2208,'Live Data'!$C$17)="","",INDEX(SPOT_Import!$A$1:$Z$2488,2208,'Live Data'!$C$17)),"")</f>
        <v/>
      </c>
      <c r="G2208" s="54" t="str">
        <f>IFERROR(IF(INDEX(SPOT_Import!$A$1:$Z$2488,2208,'Live Data'!$C$18)="","",INDEX(SPOT_Import!$A$1:$Z$2488,2208,'Live Data'!$C$18)),"")</f>
        <v/>
      </c>
      <c r="H2208" s="54" t="str">
        <f>IFERROR(IF(INDEX(SPOT_Import!$A$1:$Z$2488,2208,'Live Data'!$C$19)="","",INDEX(SPOT_Import!$A$1:$Z$2488,2208,'Live Data'!$C$19)),"")</f>
        <v/>
      </c>
      <c r="I2208" s="54" t="str">
        <f>IFERROR(IF(INDEX(SPOT_Import!$A$1:$Z$2488,2208,'Live Data'!$C$20)="","",INDEX(SPOT_Import!$A$1:$Z$2488,2208,'Live Data'!$C$20)),"")</f>
        <v/>
      </c>
      <c r="J2208" s="54" t="str">
        <f>IFERROR(IF(INDEX(SPOT_Import!$A$1:$Z$2488,2208,'Live Data'!$C$21)="","",INDEX(SPOT_Import!$A$1:$Z$2488,2208,'Live Data'!$C$21)),"")</f>
        <v/>
      </c>
      <c r="K2208" s="54" t="str">
        <f>IFERROR(IF(INDEX(SPOT_Import!$A$1:$Z$2488,2208,'Live Data'!$C$22)="","",INDEX(SPOT_Import!$A$1:$Z$2488,2208,'Live Data'!$C$22)),"")</f>
        <v/>
      </c>
      <c r="L2208" s="55" t="str">
        <f t="shared" si="68"/>
        <v/>
      </c>
      <c r="M2208" s="55" t="str">
        <f t="shared" si="69"/>
        <v/>
      </c>
      <c r="N2208" s="55" t="str">
        <f>IF(A2208="","",IFERROR(INDEX('Cluster Map'!$A$4:$A$38,MATCH(M2208,'Cluster Map'!$B$4:$B$38,0)),"Unmapped"))</f>
        <v/>
      </c>
      <c r="O2208" s="55">
        <f>IF(A2208="",0,IF(COUNTIFS($A$2:A2208,A2208,$F$2:F2208,F2208,$L$2:L2208,L2208)=1,1,0))</f>
        <v>0</v>
      </c>
      <c r="P2208" s="55">
        <f>IF(A2208="",0,IF(AND(F2208="C&amp;T",COUNTIFS($A$2:A2208,A2208,$F$2:F2208,"C&amp;T")=1),1,0))</f>
        <v>0</v>
      </c>
    </row>
    <row r="2209" spans="1:16" x14ac:dyDescent="0.35">
      <c r="A2209" s="54" t="str">
        <f>IFERROR(IF(INDEX(SPOT_Import!$A$1:$Z$2488,2209,'Live Data'!$C$12)="","",INDEX(SPOT_Import!$A$1:$Z$2488,2209,'Live Data'!$C$12)),"")</f>
        <v/>
      </c>
      <c r="B2209" s="54" t="str">
        <f>IFERROR(IF(INDEX(SPOT_Import!$A$1:$Z$2488,2209,'Live Data'!$C$13)="","",INDEX(SPOT_Import!$A$1:$Z$2488,2209,'Live Data'!$C$13)),"")</f>
        <v/>
      </c>
      <c r="C2209" s="54" t="str">
        <f>IFERROR(IF(INDEX(SPOT_Import!$A$1:$Z$2488,2209,'Live Data'!$C$14)="","",INDEX(SPOT_Import!$A$1:$Z$2488,2209,'Live Data'!$C$14)),"")</f>
        <v/>
      </c>
      <c r="D2209" s="54" t="str">
        <f>IFERROR(IF(INDEX(SPOT_Import!$A$1:$Z$2488,2209,'Live Data'!$C$15)="","",INDEX(SPOT_Import!$A$1:$Z$2488,2209,'Live Data'!$C$15)),"")</f>
        <v/>
      </c>
      <c r="E2209" s="54" t="str">
        <f>IFERROR(IF(INDEX(SPOT_Import!$A$1:$Z$2488,2209,'Live Data'!$C$16)="","",INDEX(SPOT_Import!$A$1:$Z$2488,2209,'Live Data'!$C$16)),"")</f>
        <v/>
      </c>
      <c r="F2209" s="54" t="str">
        <f>IFERROR(IF(INDEX(SPOT_Import!$A$1:$Z$2488,2209,'Live Data'!$C$17)="","",INDEX(SPOT_Import!$A$1:$Z$2488,2209,'Live Data'!$C$17)),"")</f>
        <v/>
      </c>
      <c r="G2209" s="54" t="str">
        <f>IFERROR(IF(INDEX(SPOT_Import!$A$1:$Z$2488,2209,'Live Data'!$C$18)="","",INDEX(SPOT_Import!$A$1:$Z$2488,2209,'Live Data'!$C$18)),"")</f>
        <v/>
      </c>
      <c r="H2209" s="54" t="str">
        <f>IFERROR(IF(INDEX(SPOT_Import!$A$1:$Z$2488,2209,'Live Data'!$C$19)="","",INDEX(SPOT_Import!$A$1:$Z$2488,2209,'Live Data'!$C$19)),"")</f>
        <v/>
      </c>
      <c r="I2209" s="54" t="str">
        <f>IFERROR(IF(INDEX(SPOT_Import!$A$1:$Z$2488,2209,'Live Data'!$C$20)="","",INDEX(SPOT_Import!$A$1:$Z$2488,2209,'Live Data'!$C$20)),"")</f>
        <v/>
      </c>
      <c r="J2209" s="54" t="str">
        <f>IFERROR(IF(INDEX(SPOT_Import!$A$1:$Z$2488,2209,'Live Data'!$C$21)="","",INDEX(SPOT_Import!$A$1:$Z$2488,2209,'Live Data'!$C$21)),"")</f>
        <v/>
      </c>
      <c r="K2209" s="54" t="str">
        <f>IFERROR(IF(INDEX(SPOT_Import!$A$1:$Z$2488,2209,'Live Data'!$C$22)="","",INDEX(SPOT_Import!$A$1:$Z$2488,2209,'Live Data'!$C$22)),"")</f>
        <v/>
      </c>
      <c r="L2209" s="55" t="str">
        <f t="shared" si="68"/>
        <v/>
      </c>
      <c r="M2209" s="55" t="str">
        <f t="shared" si="69"/>
        <v/>
      </c>
      <c r="N2209" s="55" t="str">
        <f>IF(A2209="","",IFERROR(INDEX('Cluster Map'!$A$4:$A$38,MATCH(M2209,'Cluster Map'!$B$4:$B$38,0)),"Unmapped"))</f>
        <v/>
      </c>
      <c r="O2209" s="55">
        <f>IF(A2209="",0,IF(COUNTIFS($A$2:A2209,A2209,$F$2:F2209,F2209,$L$2:L2209,L2209)=1,1,0))</f>
        <v>0</v>
      </c>
      <c r="P2209" s="55">
        <f>IF(A2209="",0,IF(AND(F2209="C&amp;T",COUNTIFS($A$2:A2209,A2209,$F$2:F2209,"C&amp;T")=1),1,0))</f>
        <v>0</v>
      </c>
    </row>
    <row r="2210" spans="1:16" x14ac:dyDescent="0.35">
      <c r="A2210" s="54" t="str">
        <f>IFERROR(IF(INDEX(SPOT_Import!$A$1:$Z$2488,2210,'Live Data'!$C$12)="","",INDEX(SPOT_Import!$A$1:$Z$2488,2210,'Live Data'!$C$12)),"")</f>
        <v/>
      </c>
      <c r="B2210" s="54" t="str">
        <f>IFERROR(IF(INDEX(SPOT_Import!$A$1:$Z$2488,2210,'Live Data'!$C$13)="","",INDEX(SPOT_Import!$A$1:$Z$2488,2210,'Live Data'!$C$13)),"")</f>
        <v/>
      </c>
      <c r="C2210" s="54" t="str">
        <f>IFERROR(IF(INDEX(SPOT_Import!$A$1:$Z$2488,2210,'Live Data'!$C$14)="","",INDEX(SPOT_Import!$A$1:$Z$2488,2210,'Live Data'!$C$14)),"")</f>
        <v/>
      </c>
      <c r="D2210" s="54" t="str">
        <f>IFERROR(IF(INDEX(SPOT_Import!$A$1:$Z$2488,2210,'Live Data'!$C$15)="","",INDEX(SPOT_Import!$A$1:$Z$2488,2210,'Live Data'!$C$15)),"")</f>
        <v/>
      </c>
      <c r="E2210" s="54" t="str">
        <f>IFERROR(IF(INDEX(SPOT_Import!$A$1:$Z$2488,2210,'Live Data'!$C$16)="","",INDEX(SPOT_Import!$A$1:$Z$2488,2210,'Live Data'!$C$16)),"")</f>
        <v/>
      </c>
      <c r="F2210" s="54" t="str">
        <f>IFERROR(IF(INDEX(SPOT_Import!$A$1:$Z$2488,2210,'Live Data'!$C$17)="","",INDEX(SPOT_Import!$A$1:$Z$2488,2210,'Live Data'!$C$17)),"")</f>
        <v/>
      </c>
      <c r="G2210" s="54" t="str">
        <f>IFERROR(IF(INDEX(SPOT_Import!$A$1:$Z$2488,2210,'Live Data'!$C$18)="","",INDEX(SPOT_Import!$A$1:$Z$2488,2210,'Live Data'!$C$18)),"")</f>
        <v/>
      </c>
      <c r="H2210" s="54" t="str">
        <f>IFERROR(IF(INDEX(SPOT_Import!$A$1:$Z$2488,2210,'Live Data'!$C$19)="","",INDEX(SPOT_Import!$A$1:$Z$2488,2210,'Live Data'!$C$19)),"")</f>
        <v/>
      </c>
      <c r="I2210" s="54" t="str">
        <f>IFERROR(IF(INDEX(SPOT_Import!$A$1:$Z$2488,2210,'Live Data'!$C$20)="","",INDEX(SPOT_Import!$A$1:$Z$2488,2210,'Live Data'!$C$20)),"")</f>
        <v/>
      </c>
      <c r="J2210" s="54" t="str">
        <f>IFERROR(IF(INDEX(SPOT_Import!$A$1:$Z$2488,2210,'Live Data'!$C$21)="","",INDEX(SPOT_Import!$A$1:$Z$2488,2210,'Live Data'!$C$21)),"")</f>
        <v/>
      </c>
      <c r="K2210" s="54" t="str">
        <f>IFERROR(IF(INDEX(SPOT_Import!$A$1:$Z$2488,2210,'Live Data'!$C$22)="","",INDEX(SPOT_Import!$A$1:$Z$2488,2210,'Live Data'!$C$22)),"")</f>
        <v/>
      </c>
      <c r="L2210" s="55" t="str">
        <f t="shared" si="68"/>
        <v/>
      </c>
      <c r="M2210" s="55" t="str">
        <f t="shared" si="69"/>
        <v/>
      </c>
      <c r="N2210" s="55" t="str">
        <f>IF(A2210="","",IFERROR(INDEX('Cluster Map'!$A$4:$A$38,MATCH(M2210,'Cluster Map'!$B$4:$B$38,0)),"Unmapped"))</f>
        <v/>
      </c>
      <c r="O2210" s="55">
        <f>IF(A2210="",0,IF(COUNTIFS($A$2:A2210,A2210,$F$2:F2210,F2210,$L$2:L2210,L2210)=1,1,0))</f>
        <v>0</v>
      </c>
      <c r="P2210" s="55">
        <f>IF(A2210="",0,IF(AND(F2210="C&amp;T",COUNTIFS($A$2:A2210,A2210,$F$2:F2210,"C&amp;T")=1),1,0))</f>
        <v>0</v>
      </c>
    </row>
    <row r="2211" spans="1:16" x14ac:dyDescent="0.35">
      <c r="A2211" s="54" t="str">
        <f>IFERROR(IF(INDEX(SPOT_Import!$A$1:$Z$2488,2211,'Live Data'!$C$12)="","",INDEX(SPOT_Import!$A$1:$Z$2488,2211,'Live Data'!$C$12)),"")</f>
        <v/>
      </c>
      <c r="B2211" s="54" t="str">
        <f>IFERROR(IF(INDEX(SPOT_Import!$A$1:$Z$2488,2211,'Live Data'!$C$13)="","",INDEX(SPOT_Import!$A$1:$Z$2488,2211,'Live Data'!$C$13)),"")</f>
        <v/>
      </c>
      <c r="C2211" s="54" t="str">
        <f>IFERROR(IF(INDEX(SPOT_Import!$A$1:$Z$2488,2211,'Live Data'!$C$14)="","",INDEX(SPOT_Import!$A$1:$Z$2488,2211,'Live Data'!$C$14)),"")</f>
        <v/>
      </c>
      <c r="D2211" s="54" t="str">
        <f>IFERROR(IF(INDEX(SPOT_Import!$A$1:$Z$2488,2211,'Live Data'!$C$15)="","",INDEX(SPOT_Import!$A$1:$Z$2488,2211,'Live Data'!$C$15)),"")</f>
        <v/>
      </c>
      <c r="E2211" s="54" t="str">
        <f>IFERROR(IF(INDEX(SPOT_Import!$A$1:$Z$2488,2211,'Live Data'!$C$16)="","",INDEX(SPOT_Import!$A$1:$Z$2488,2211,'Live Data'!$C$16)),"")</f>
        <v/>
      </c>
      <c r="F2211" s="54" t="str">
        <f>IFERROR(IF(INDEX(SPOT_Import!$A$1:$Z$2488,2211,'Live Data'!$C$17)="","",INDEX(SPOT_Import!$A$1:$Z$2488,2211,'Live Data'!$C$17)),"")</f>
        <v/>
      </c>
      <c r="G2211" s="54" t="str">
        <f>IFERROR(IF(INDEX(SPOT_Import!$A$1:$Z$2488,2211,'Live Data'!$C$18)="","",INDEX(SPOT_Import!$A$1:$Z$2488,2211,'Live Data'!$C$18)),"")</f>
        <v/>
      </c>
      <c r="H2211" s="54" t="str">
        <f>IFERROR(IF(INDEX(SPOT_Import!$A$1:$Z$2488,2211,'Live Data'!$C$19)="","",INDEX(SPOT_Import!$A$1:$Z$2488,2211,'Live Data'!$C$19)),"")</f>
        <v/>
      </c>
      <c r="I2211" s="54" t="str">
        <f>IFERROR(IF(INDEX(SPOT_Import!$A$1:$Z$2488,2211,'Live Data'!$C$20)="","",INDEX(SPOT_Import!$A$1:$Z$2488,2211,'Live Data'!$C$20)),"")</f>
        <v/>
      </c>
      <c r="J2211" s="54" t="str">
        <f>IFERROR(IF(INDEX(SPOT_Import!$A$1:$Z$2488,2211,'Live Data'!$C$21)="","",INDEX(SPOT_Import!$A$1:$Z$2488,2211,'Live Data'!$C$21)),"")</f>
        <v/>
      </c>
      <c r="K2211" s="54" t="str">
        <f>IFERROR(IF(INDEX(SPOT_Import!$A$1:$Z$2488,2211,'Live Data'!$C$22)="","",INDEX(SPOT_Import!$A$1:$Z$2488,2211,'Live Data'!$C$22)),"")</f>
        <v/>
      </c>
      <c r="L2211" s="55" t="str">
        <f t="shared" si="68"/>
        <v/>
      </c>
      <c r="M2211" s="55" t="str">
        <f t="shared" si="69"/>
        <v/>
      </c>
      <c r="N2211" s="55" t="str">
        <f>IF(A2211="","",IFERROR(INDEX('Cluster Map'!$A$4:$A$38,MATCH(M2211,'Cluster Map'!$B$4:$B$38,0)),"Unmapped"))</f>
        <v/>
      </c>
      <c r="O2211" s="55">
        <f>IF(A2211="",0,IF(COUNTIFS($A$2:A2211,A2211,$F$2:F2211,F2211,$L$2:L2211,L2211)=1,1,0))</f>
        <v>0</v>
      </c>
      <c r="P2211" s="55">
        <f>IF(A2211="",0,IF(AND(F2211="C&amp;T",COUNTIFS($A$2:A2211,A2211,$F$2:F2211,"C&amp;T")=1),1,0))</f>
        <v>0</v>
      </c>
    </row>
    <row r="2212" spans="1:16" x14ac:dyDescent="0.35">
      <c r="A2212" s="54" t="str">
        <f>IFERROR(IF(INDEX(SPOT_Import!$A$1:$Z$2488,2212,'Live Data'!$C$12)="","",INDEX(SPOT_Import!$A$1:$Z$2488,2212,'Live Data'!$C$12)),"")</f>
        <v/>
      </c>
      <c r="B2212" s="54" t="str">
        <f>IFERROR(IF(INDEX(SPOT_Import!$A$1:$Z$2488,2212,'Live Data'!$C$13)="","",INDEX(SPOT_Import!$A$1:$Z$2488,2212,'Live Data'!$C$13)),"")</f>
        <v/>
      </c>
      <c r="C2212" s="54" t="str">
        <f>IFERROR(IF(INDEX(SPOT_Import!$A$1:$Z$2488,2212,'Live Data'!$C$14)="","",INDEX(SPOT_Import!$A$1:$Z$2488,2212,'Live Data'!$C$14)),"")</f>
        <v/>
      </c>
      <c r="D2212" s="54" t="str">
        <f>IFERROR(IF(INDEX(SPOT_Import!$A$1:$Z$2488,2212,'Live Data'!$C$15)="","",INDEX(SPOT_Import!$A$1:$Z$2488,2212,'Live Data'!$C$15)),"")</f>
        <v/>
      </c>
      <c r="E2212" s="54" t="str">
        <f>IFERROR(IF(INDEX(SPOT_Import!$A$1:$Z$2488,2212,'Live Data'!$C$16)="","",INDEX(SPOT_Import!$A$1:$Z$2488,2212,'Live Data'!$C$16)),"")</f>
        <v/>
      </c>
      <c r="F2212" s="54" t="str">
        <f>IFERROR(IF(INDEX(SPOT_Import!$A$1:$Z$2488,2212,'Live Data'!$C$17)="","",INDEX(SPOT_Import!$A$1:$Z$2488,2212,'Live Data'!$C$17)),"")</f>
        <v/>
      </c>
      <c r="G2212" s="54" t="str">
        <f>IFERROR(IF(INDEX(SPOT_Import!$A$1:$Z$2488,2212,'Live Data'!$C$18)="","",INDEX(SPOT_Import!$A$1:$Z$2488,2212,'Live Data'!$C$18)),"")</f>
        <v/>
      </c>
      <c r="H2212" s="54" t="str">
        <f>IFERROR(IF(INDEX(SPOT_Import!$A$1:$Z$2488,2212,'Live Data'!$C$19)="","",INDEX(SPOT_Import!$A$1:$Z$2488,2212,'Live Data'!$C$19)),"")</f>
        <v/>
      </c>
      <c r="I2212" s="54" t="str">
        <f>IFERROR(IF(INDEX(SPOT_Import!$A$1:$Z$2488,2212,'Live Data'!$C$20)="","",INDEX(SPOT_Import!$A$1:$Z$2488,2212,'Live Data'!$C$20)),"")</f>
        <v/>
      </c>
      <c r="J2212" s="54" t="str">
        <f>IFERROR(IF(INDEX(SPOT_Import!$A$1:$Z$2488,2212,'Live Data'!$C$21)="","",INDEX(SPOT_Import!$A$1:$Z$2488,2212,'Live Data'!$C$21)),"")</f>
        <v/>
      </c>
      <c r="K2212" s="54" t="str">
        <f>IFERROR(IF(INDEX(SPOT_Import!$A$1:$Z$2488,2212,'Live Data'!$C$22)="","",INDEX(SPOT_Import!$A$1:$Z$2488,2212,'Live Data'!$C$22)),"")</f>
        <v/>
      </c>
      <c r="L2212" s="55" t="str">
        <f t="shared" si="68"/>
        <v/>
      </c>
      <c r="M2212" s="55" t="str">
        <f t="shared" si="69"/>
        <v/>
      </c>
      <c r="N2212" s="55" t="str">
        <f>IF(A2212="","",IFERROR(INDEX('Cluster Map'!$A$4:$A$38,MATCH(M2212,'Cluster Map'!$B$4:$B$38,0)),"Unmapped"))</f>
        <v/>
      </c>
      <c r="O2212" s="55">
        <f>IF(A2212="",0,IF(COUNTIFS($A$2:A2212,A2212,$F$2:F2212,F2212,$L$2:L2212,L2212)=1,1,0))</f>
        <v>0</v>
      </c>
      <c r="P2212" s="55">
        <f>IF(A2212="",0,IF(AND(F2212="C&amp;T",COUNTIFS($A$2:A2212,A2212,$F$2:F2212,"C&amp;T")=1),1,0))</f>
        <v>0</v>
      </c>
    </row>
    <row r="2213" spans="1:16" x14ac:dyDescent="0.35">
      <c r="A2213" s="54" t="str">
        <f>IFERROR(IF(INDEX(SPOT_Import!$A$1:$Z$2488,2213,'Live Data'!$C$12)="","",INDEX(SPOT_Import!$A$1:$Z$2488,2213,'Live Data'!$C$12)),"")</f>
        <v/>
      </c>
      <c r="B2213" s="54" t="str">
        <f>IFERROR(IF(INDEX(SPOT_Import!$A$1:$Z$2488,2213,'Live Data'!$C$13)="","",INDEX(SPOT_Import!$A$1:$Z$2488,2213,'Live Data'!$C$13)),"")</f>
        <v/>
      </c>
      <c r="C2213" s="54" t="str">
        <f>IFERROR(IF(INDEX(SPOT_Import!$A$1:$Z$2488,2213,'Live Data'!$C$14)="","",INDEX(SPOT_Import!$A$1:$Z$2488,2213,'Live Data'!$C$14)),"")</f>
        <v/>
      </c>
      <c r="D2213" s="54" t="str">
        <f>IFERROR(IF(INDEX(SPOT_Import!$A$1:$Z$2488,2213,'Live Data'!$C$15)="","",INDEX(SPOT_Import!$A$1:$Z$2488,2213,'Live Data'!$C$15)),"")</f>
        <v/>
      </c>
      <c r="E2213" s="54" t="str">
        <f>IFERROR(IF(INDEX(SPOT_Import!$A$1:$Z$2488,2213,'Live Data'!$C$16)="","",INDEX(SPOT_Import!$A$1:$Z$2488,2213,'Live Data'!$C$16)),"")</f>
        <v/>
      </c>
      <c r="F2213" s="54" t="str">
        <f>IFERROR(IF(INDEX(SPOT_Import!$A$1:$Z$2488,2213,'Live Data'!$C$17)="","",INDEX(SPOT_Import!$A$1:$Z$2488,2213,'Live Data'!$C$17)),"")</f>
        <v/>
      </c>
      <c r="G2213" s="54" t="str">
        <f>IFERROR(IF(INDEX(SPOT_Import!$A$1:$Z$2488,2213,'Live Data'!$C$18)="","",INDEX(SPOT_Import!$A$1:$Z$2488,2213,'Live Data'!$C$18)),"")</f>
        <v/>
      </c>
      <c r="H2213" s="54" t="str">
        <f>IFERROR(IF(INDEX(SPOT_Import!$A$1:$Z$2488,2213,'Live Data'!$C$19)="","",INDEX(SPOT_Import!$A$1:$Z$2488,2213,'Live Data'!$C$19)),"")</f>
        <v/>
      </c>
      <c r="I2213" s="54" t="str">
        <f>IFERROR(IF(INDEX(SPOT_Import!$A$1:$Z$2488,2213,'Live Data'!$C$20)="","",INDEX(SPOT_Import!$A$1:$Z$2488,2213,'Live Data'!$C$20)),"")</f>
        <v/>
      </c>
      <c r="J2213" s="54" t="str">
        <f>IFERROR(IF(INDEX(SPOT_Import!$A$1:$Z$2488,2213,'Live Data'!$C$21)="","",INDEX(SPOT_Import!$A$1:$Z$2488,2213,'Live Data'!$C$21)),"")</f>
        <v/>
      </c>
      <c r="K2213" s="54" t="str">
        <f>IFERROR(IF(INDEX(SPOT_Import!$A$1:$Z$2488,2213,'Live Data'!$C$22)="","",INDEX(SPOT_Import!$A$1:$Z$2488,2213,'Live Data'!$C$22)),"")</f>
        <v/>
      </c>
      <c r="L2213" s="55" t="str">
        <f t="shared" si="68"/>
        <v/>
      </c>
      <c r="M2213" s="55" t="str">
        <f t="shared" si="69"/>
        <v/>
      </c>
      <c r="N2213" s="55" t="str">
        <f>IF(A2213="","",IFERROR(INDEX('Cluster Map'!$A$4:$A$38,MATCH(M2213,'Cluster Map'!$B$4:$B$38,0)),"Unmapped"))</f>
        <v/>
      </c>
      <c r="O2213" s="55">
        <f>IF(A2213="",0,IF(COUNTIFS($A$2:A2213,A2213,$F$2:F2213,F2213,$L$2:L2213,L2213)=1,1,0))</f>
        <v>0</v>
      </c>
      <c r="P2213" s="55">
        <f>IF(A2213="",0,IF(AND(F2213="C&amp;T",COUNTIFS($A$2:A2213,A2213,$F$2:F2213,"C&amp;T")=1),1,0))</f>
        <v>0</v>
      </c>
    </row>
    <row r="2214" spans="1:16" x14ac:dyDescent="0.35">
      <c r="A2214" s="54" t="str">
        <f>IFERROR(IF(INDEX(SPOT_Import!$A$1:$Z$2488,2214,'Live Data'!$C$12)="","",INDEX(SPOT_Import!$A$1:$Z$2488,2214,'Live Data'!$C$12)),"")</f>
        <v/>
      </c>
      <c r="B2214" s="54" t="str">
        <f>IFERROR(IF(INDEX(SPOT_Import!$A$1:$Z$2488,2214,'Live Data'!$C$13)="","",INDEX(SPOT_Import!$A$1:$Z$2488,2214,'Live Data'!$C$13)),"")</f>
        <v/>
      </c>
      <c r="C2214" s="54" t="str">
        <f>IFERROR(IF(INDEX(SPOT_Import!$A$1:$Z$2488,2214,'Live Data'!$C$14)="","",INDEX(SPOT_Import!$A$1:$Z$2488,2214,'Live Data'!$C$14)),"")</f>
        <v/>
      </c>
      <c r="D2214" s="54" t="str">
        <f>IFERROR(IF(INDEX(SPOT_Import!$A$1:$Z$2488,2214,'Live Data'!$C$15)="","",INDEX(SPOT_Import!$A$1:$Z$2488,2214,'Live Data'!$C$15)),"")</f>
        <v/>
      </c>
      <c r="E2214" s="54" t="str">
        <f>IFERROR(IF(INDEX(SPOT_Import!$A$1:$Z$2488,2214,'Live Data'!$C$16)="","",INDEX(SPOT_Import!$A$1:$Z$2488,2214,'Live Data'!$C$16)),"")</f>
        <v/>
      </c>
      <c r="F2214" s="54" t="str">
        <f>IFERROR(IF(INDEX(SPOT_Import!$A$1:$Z$2488,2214,'Live Data'!$C$17)="","",INDEX(SPOT_Import!$A$1:$Z$2488,2214,'Live Data'!$C$17)),"")</f>
        <v/>
      </c>
      <c r="G2214" s="54" t="str">
        <f>IFERROR(IF(INDEX(SPOT_Import!$A$1:$Z$2488,2214,'Live Data'!$C$18)="","",INDEX(SPOT_Import!$A$1:$Z$2488,2214,'Live Data'!$C$18)),"")</f>
        <v/>
      </c>
      <c r="H2214" s="54" t="str">
        <f>IFERROR(IF(INDEX(SPOT_Import!$A$1:$Z$2488,2214,'Live Data'!$C$19)="","",INDEX(SPOT_Import!$A$1:$Z$2488,2214,'Live Data'!$C$19)),"")</f>
        <v/>
      </c>
      <c r="I2214" s="54" t="str">
        <f>IFERROR(IF(INDEX(SPOT_Import!$A$1:$Z$2488,2214,'Live Data'!$C$20)="","",INDEX(SPOT_Import!$A$1:$Z$2488,2214,'Live Data'!$C$20)),"")</f>
        <v/>
      </c>
      <c r="J2214" s="54" t="str">
        <f>IFERROR(IF(INDEX(SPOT_Import!$A$1:$Z$2488,2214,'Live Data'!$C$21)="","",INDEX(SPOT_Import!$A$1:$Z$2488,2214,'Live Data'!$C$21)),"")</f>
        <v/>
      </c>
      <c r="K2214" s="54" t="str">
        <f>IFERROR(IF(INDEX(SPOT_Import!$A$1:$Z$2488,2214,'Live Data'!$C$22)="","",INDEX(SPOT_Import!$A$1:$Z$2488,2214,'Live Data'!$C$22)),"")</f>
        <v/>
      </c>
      <c r="L2214" s="55" t="str">
        <f t="shared" si="68"/>
        <v/>
      </c>
      <c r="M2214" s="55" t="str">
        <f t="shared" si="69"/>
        <v/>
      </c>
      <c r="N2214" s="55" t="str">
        <f>IF(A2214="","",IFERROR(INDEX('Cluster Map'!$A$4:$A$38,MATCH(M2214,'Cluster Map'!$B$4:$B$38,0)),"Unmapped"))</f>
        <v/>
      </c>
      <c r="O2214" s="55">
        <f>IF(A2214="",0,IF(COUNTIFS($A$2:A2214,A2214,$F$2:F2214,F2214,$L$2:L2214,L2214)=1,1,0))</f>
        <v>0</v>
      </c>
      <c r="P2214" s="55">
        <f>IF(A2214="",0,IF(AND(F2214="C&amp;T",COUNTIFS($A$2:A2214,A2214,$F$2:F2214,"C&amp;T")=1),1,0))</f>
        <v>0</v>
      </c>
    </row>
    <row r="2215" spans="1:16" x14ac:dyDescent="0.35">
      <c r="A2215" s="54" t="str">
        <f>IFERROR(IF(INDEX(SPOT_Import!$A$1:$Z$2488,2215,'Live Data'!$C$12)="","",INDEX(SPOT_Import!$A$1:$Z$2488,2215,'Live Data'!$C$12)),"")</f>
        <v/>
      </c>
      <c r="B2215" s="54" t="str">
        <f>IFERROR(IF(INDEX(SPOT_Import!$A$1:$Z$2488,2215,'Live Data'!$C$13)="","",INDEX(SPOT_Import!$A$1:$Z$2488,2215,'Live Data'!$C$13)),"")</f>
        <v/>
      </c>
      <c r="C2215" s="54" t="str">
        <f>IFERROR(IF(INDEX(SPOT_Import!$A$1:$Z$2488,2215,'Live Data'!$C$14)="","",INDEX(SPOT_Import!$A$1:$Z$2488,2215,'Live Data'!$C$14)),"")</f>
        <v/>
      </c>
      <c r="D2215" s="54" t="str">
        <f>IFERROR(IF(INDEX(SPOT_Import!$A$1:$Z$2488,2215,'Live Data'!$C$15)="","",INDEX(SPOT_Import!$A$1:$Z$2488,2215,'Live Data'!$C$15)),"")</f>
        <v/>
      </c>
      <c r="E2215" s="54" t="str">
        <f>IFERROR(IF(INDEX(SPOT_Import!$A$1:$Z$2488,2215,'Live Data'!$C$16)="","",INDEX(SPOT_Import!$A$1:$Z$2488,2215,'Live Data'!$C$16)),"")</f>
        <v/>
      </c>
      <c r="F2215" s="54" t="str">
        <f>IFERROR(IF(INDEX(SPOT_Import!$A$1:$Z$2488,2215,'Live Data'!$C$17)="","",INDEX(SPOT_Import!$A$1:$Z$2488,2215,'Live Data'!$C$17)),"")</f>
        <v/>
      </c>
      <c r="G2215" s="54" t="str">
        <f>IFERROR(IF(INDEX(SPOT_Import!$A$1:$Z$2488,2215,'Live Data'!$C$18)="","",INDEX(SPOT_Import!$A$1:$Z$2488,2215,'Live Data'!$C$18)),"")</f>
        <v/>
      </c>
      <c r="H2215" s="54" t="str">
        <f>IFERROR(IF(INDEX(SPOT_Import!$A$1:$Z$2488,2215,'Live Data'!$C$19)="","",INDEX(SPOT_Import!$A$1:$Z$2488,2215,'Live Data'!$C$19)),"")</f>
        <v/>
      </c>
      <c r="I2215" s="54" t="str">
        <f>IFERROR(IF(INDEX(SPOT_Import!$A$1:$Z$2488,2215,'Live Data'!$C$20)="","",INDEX(SPOT_Import!$A$1:$Z$2488,2215,'Live Data'!$C$20)),"")</f>
        <v/>
      </c>
      <c r="J2215" s="54" t="str">
        <f>IFERROR(IF(INDEX(SPOT_Import!$A$1:$Z$2488,2215,'Live Data'!$C$21)="","",INDEX(SPOT_Import!$A$1:$Z$2488,2215,'Live Data'!$C$21)),"")</f>
        <v/>
      </c>
      <c r="K2215" s="54" t="str">
        <f>IFERROR(IF(INDEX(SPOT_Import!$A$1:$Z$2488,2215,'Live Data'!$C$22)="","",INDEX(SPOT_Import!$A$1:$Z$2488,2215,'Live Data'!$C$22)),"")</f>
        <v/>
      </c>
      <c r="L2215" s="55" t="str">
        <f t="shared" si="68"/>
        <v/>
      </c>
      <c r="M2215" s="55" t="str">
        <f t="shared" si="69"/>
        <v/>
      </c>
      <c r="N2215" s="55" t="str">
        <f>IF(A2215="","",IFERROR(INDEX('Cluster Map'!$A$4:$A$38,MATCH(M2215,'Cluster Map'!$B$4:$B$38,0)),"Unmapped"))</f>
        <v/>
      </c>
      <c r="O2215" s="55">
        <f>IF(A2215="",0,IF(COUNTIFS($A$2:A2215,A2215,$F$2:F2215,F2215,$L$2:L2215,L2215)=1,1,0))</f>
        <v>0</v>
      </c>
      <c r="P2215" s="55">
        <f>IF(A2215="",0,IF(AND(F2215="C&amp;T",COUNTIFS($A$2:A2215,A2215,$F$2:F2215,"C&amp;T")=1),1,0))</f>
        <v>0</v>
      </c>
    </row>
    <row r="2216" spans="1:16" x14ac:dyDescent="0.35">
      <c r="A2216" s="54" t="str">
        <f>IFERROR(IF(INDEX(SPOT_Import!$A$1:$Z$2488,2216,'Live Data'!$C$12)="","",INDEX(SPOT_Import!$A$1:$Z$2488,2216,'Live Data'!$C$12)),"")</f>
        <v/>
      </c>
      <c r="B2216" s="54" t="str">
        <f>IFERROR(IF(INDEX(SPOT_Import!$A$1:$Z$2488,2216,'Live Data'!$C$13)="","",INDEX(SPOT_Import!$A$1:$Z$2488,2216,'Live Data'!$C$13)),"")</f>
        <v/>
      </c>
      <c r="C2216" s="54" t="str">
        <f>IFERROR(IF(INDEX(SPOT_Import!$A$1:$Z$2488,2216,'Live Data'!$C$14)="","",INDEX(SPOT_Import!$A$1:$Z$2488,2216,'Live Data'!$C$14)),"")</f>
        <v/>
      </c>
      <c r="D2216" s="54" t="str">
        <f>IFERROR(IF(INDEX(SPOT_Import!$A$1:$Z$2488,2216,'Live Data'!$C$15)="","",INDEX(SPOT_Import!$A$1:$Z$2488,2216,'Live Data'!$C$15)),"")</f>
        <v/>
      </c>
      <c r="E2216" s="54" t="str">
        <f>IFERROR(IF(INDEX(SPOT_Import!$A$1:$Z$2488,2216,'Live Data'!$C$16)="","",INDEX(SPOT_Import!$A$1:$Z$2488,2216,'Live Data'!$C$16)),"")</f>
        <v/>
      </c>
      <c r="F2216" s="54" t="str">
        <f>IFERROR(IF(INDEX(SPOT_Import!$A$1:$Z$2488,2216,'Live Data'!$C$17)="","",INDEX(SPOT_Import!$A$1:$Z$2488,2216,'Live Data'!$C$17)),"")</f>
        <v/>
      </c>
      <c r="G2216" s="54" t="str">
        <f>IFERROR(IF(INDEX(SPOT_Import!$A$1:$Z$2488,2216,'Live Data'!$C$18)="","",INDEX(SPOT_Import!$A$1:$Z$2488,2216,'Live Data'!$C$18)),"")</f>
        <v/>
      </c>
      <c r="H2216" s="54" t="str">
        <f>IFERROR(IF(INDEX(SPOT_Import!$A$1:$Z$2488,2216,'Live Data'!$C$19)="","",INDEX(SPOT_Import!$A$1:$Z$2488,2216,'Live Data'!$C$19)),"")</f>
        <v/>
      </c>
      <c r="I2216" s="54" t="str">
        <f>IFERROR(IF(INDEX(SPOT_Import!$A$1:$Z$2488,2216,'Live Data'!$C$20)="","",INDEX(SPOT_Import!$A$1:$Z$2488,2216,'Live Data'!$C$20)),"")</f>
        <v/>
      </c>
      <c r="J2216" s="54" t="str">
        <f>IFERROR(IF(INDEX(SPOT_Import!$A$1:$Z$2488,2216,'Live Data'!$C$21)="","",INDEX(SPOT_Import!$A$1:$Z$2488,2216,'Live Data'!$C$21)),"")</f>
        <v/>
      </c>
      <c r="K2216" s="54" t="str">
        <f>IFERROR(IF(INDEX(SPOT_Import!$A$1:$Z$2488,2216,'Live Data'!$C$22)="","",INDEX(SPOT_Import!$A$1:$Z$2488,2216,'Live Data'!$C$22)),"")</f>
        <v/>
      </c>
      <c r="L2216" s="55" t="str">
        <f t="shared" si="68"/>
        <v/>
      </c>
      <c r="M2216" s="55" t="str">
        <f t="shared" si="69"/>
        <v/>
      </c>
      <c r="N2216" s="55" t="str">
        <f>IF(A2216="","",IFERROR(INDEX('Cluster Map'!$A$4:$A$38,MATCH(M2216,'Cluster Map'!$B$4:$B$38,0)),"Unmapped"))</f>
        <v/>
      </c>
      <c r="O2216" s="55">
        <f>IF(A2216="",0,IF(COUNTIFS($A$2:A2216,A2216,$F$2:F2216,F2216,$L$2:L2216,L2216)=1,1,0))</f>
        <v>0</v>
      </c>
      <c r="P2216" s="55">
        <f>IF(A2216="",0,IF(AND(F2216="C&amp;T",COUNTIFS($A$2:A2216,A2216,$F$2:F2216,"C&amp;T")=1),1,0))</f>
        <v>0</v>
      </c>
    </row>
    <row r="2217" spans="1:16" x14ac:dyDescent="0.35">
      <c r="A2217" s="54" t="str">
        <f>IFERROR(IF(INDEX(SPOT_Import!$A$1:$Z$2488,2217,'Live Data'!$C$12)="","",INDEX(SPOT_Import!$A$1:$Z$2488,2217,'Live Data'!$C$12)),"")</f>
        <v/>
      </c>
      <c r="B2217" s="54" t="str">
        <f>IFERROR(IF(INDEX(SPOT_Import!$A$1:$Z$2488,2217,'Live Data'!$C$13)="","",INDEX(SPOT_Import!$A$1:$Z$2488,2217,'Live Data'!$C$13)),"")</f>
        <v/>
      </c>
      <c r="C2217" s="54" t="str">
        <f>IFERROR(IF(INDEX(SPOT_Import!$A$1:$Z$2488,2217,'Live Data'!$C$14)="","",INDEX(SPOT_Import!$A$1:$Z$2488,2217,'Live Data'!$C$14)),"")</f>
        <v/>
      </c>
      <c r="D2217" s="54" t="str">
        <f>IFERROR(IF(INDEX(SPOT_Import!$A$1:$Z$2488,2217,'Live Data'!$C$15)="","",INDEX(SPOT_Import!$A$1:$Z$2488,2217,'Live Data'!$C$15)),"")</f>
        <v/>
      </c>
      <c r="E2217" s="54" t="str">
        <f>IFERROR(IF(INDEX(SPOT_Import!$A$1:$Z$2488,2217,'Live Data'!$C$16)="","",INDEX(SPOT_Import!$A$1:$Z$2488,2217,'Live Data'!$C$16)),"")</f>
        <v/>
      </c>
      <c r="F2217" s="54" t="str">
        <f>IFERROR(IF(INDEX(SPOT_Import!$A$1:$Z$2488,2217,'Live Data'!$C$17)="","",INDEX(SPOT_Import!$A$1:$Z$2488,2217,'Live Data'!$C$17)),"")</f>
        <v/>
      </c>
      <c r="G2217" s="54" t="str">
        <f>IFERROR(IF(INDEX(SPOT_Import!$A$1:$Z$2488,2217,'Live Data'!$C$18)="","",INDEX(SPOT_Import!$A$1:$Z$2488,2217,'Live Data'!$C$18)),"")</f>
        <v/>
      </c>
      <c r="H2217" s="54" t="str">
        <f>IFERROR(IF(INDEX(SPOT_Import!$A$1:$Z$2488,2217,'Live Data'!$C$19)="","",INDEX(SPOT_Import!$A$1:$Z$2488,2217,'Live Data'!$C$19)),"")</f>
        <v/>
      </c>
      <c r="I2217" s="54" t="str">
        <f>IFERROR(IF(INDEX(SPOT_Import!$A$1:$Z$2488,2217,'Live Data'!$C$20)="","",INDEX(SPOT_Import!$A$1:$Z$2488,2217,'Live Data'!$C$20)),"")</f>
        <v/>
      </c>
      <c r="J2217" s="54" t="str">
        <f>IFERROR(IF(INDEX(SPOT_Import!$A$1:$Z$2488,2217,'Live Data'!$C$21)="","",INDEX(SPOT_Import!$A$1:$Z$2488,2217,'Live Data'!$C$21)),"")</f>
        <v/>
      </c>
      <c r="K2217" s="54" t="str">
        <f>IFERROR(IF(INDEX(SPOT_Import!$A$1:$Z$2488,2217,'Live Data'!$C$22)="","",INDEX(SPOT_Import!$A$1:$Z$2488,2217,'Live Data'!$C$22)),"")</f>
        <v/>
      </c>
      <c r="L2217" s="55" t="str">
        <f t="shared" si="68"/>
        <v/>
      </c>
      <c r="M2217" s="55" t="str">
        <f t="shared" si="69"/>
        <v/>
      </c>
      <c r="N2217" s="55" t="str">
        <f>IF(A2217="","",IFERROR(INDEX('Cluster Map'!$A$4:$A$38,MATCH(M2217,'Cluster Map'!$B$4:$B$38,0)),"Unmapped"))</f>
        <v/>
      </c>
      <c r="O2217" s="55">
        <f>IF(A2217="",0,IF(COUNTIFS($A$2:A2217,A2217,$F$2:F2217,F2217,$L$2:L2217,L2217)=1,1,0))</f>
        <v>0</v>
      </c>
      <c r="P2217" s="55">
        <f>IF(A2217="",0,IF(AND(F2217="C&amp;T",COUNTIFS($A$2:A2217,A2217,$F$2:F2217,"C&amp;T")=1),1,0))</f>
        <v>0</v>
      </c>
    </row>
    <row r="2218" spans="1:16" x14ac:dyDescent="0.35">
      <c r="A2218" s="54" t="str">
        <f>IFERROR(IF(INDEX(SPOT_Import!$A$1:$Z$2488,2218,'Live Data'!$C$12)="","",INDEX(SPOT_Import!$A$1:$Z$2488,2218,'Live Data'!$C$12)),"")</f>
        <v/>
      </c>
      <c r="B2218" s="54" t="str">
        <f>IFERROR(IF(INDEX(SPOT_Import!$A$1:$Z$2488,2218,'Live Data'!$C$13)="","",INDEX(SPOT_Import!$A$1:$Z$2488,2218,'Live Data'!$C$13)),"")</f>
        <v/>
      </c>
      <c r="C2218" s="54" t="str">
        <f>IFERROR(IF(INDEX(SPOT_Import!$A$1:$Z$2488,2218,'Live Data'!$C$14)="","",INDEX(SPOT_Import!$A$1:$Z$2488,2218,'Live Data'!$C$14)),"")</f>
        <v/>
      </c>
      <c r="D2218" s="54" t="str">
        <f>IFERROR(IF(INDEX(SPOT_Import!$A$1:$Z$2488,2218,'Live Data'!$C$15)="","",INDEX(SPOT_Import!$A$1:$Z$2488,2218,'Live Data'!$C$15)),"")</f>
        <v/>
      </c>
      <c r="E2218" s="54" t="str">
        <f>IFERROR(IF(INDEX(SPOT_Import!$A$1:$Z$2488,2218,'Live Data'!$C$16)="","",INDEX(SPOT_Import!$A$1:$Z$2488,2218,'Live Data'!$C$16)),"")</f>
        <v/>
      </c>
      <c r="F2218" s="54" t="str">
        <f>IFERROR(IF(INDEX(SPOT_Import!$A$1:$Z$2488,2218,'Live Data'!$C$17)="","",INDEX(SPOT_Import!$A$1:$Z$2488,2218,'Live Data'!$C$17)),"")</f>
        <v/>
      </c>
      <c r="G2218" s="54" t="str">
        <f>IFERROR(IF(INDEX(SPOT_Import!$A$1:$Z$2488,2218,'Live Data'!$C$18)="","",INDEX(SPOT_Import!$A$1:$Z$2488,2218,'Live Data'!$C$18)),"")</f>
        <v/>
      </c>
      <c r="H2218" s="54" t="str">
        <f>IFERROR(IF(INDEX(SPOT_Import!$A$1:$Z$2488,2218,'Live Data'!$C$19)="","",INDEX(SPOT_Import!$A$1:$Z$2488,2218,'Live Data'!$C$19)),"")</f>
        <v/>
      </c>
      <c r="I2218" s="54" t="str">
        <f>IFERROR(IF(INDEX(SPOT_Import!$A$1:$Z$2488,2218,'Live Data'!$C$20)="","",INDEX(SPOT_Import!$A$1:$Z$2488,2218,'Live Data'!$C$20)),"")</f>
        <v/>
      </c>
      <c r="J2218" s="54" t="str">
        <f>IFERROR(IF(INDEX(SPOT_Import!$A$1:$Z$2488,2218,'Live Data'!$C$21)="","",INDEX(SPOT_Import!$A$1:$Z$2488,2218,'Live Data'!$C$21)),"")</f>
        <v/>
      </c>
      <c r="K2218" s="54" t="str">
        <f>IFERROR(IF(INDEX(SPOT_Import!$A$1:$Z$2488,2218,'Live Data'!$C$22)="","",INDEX(SPOT_Import!$A$1:$Z$2488,2218,'Live Data'!$C$22)),"")</f>
        <v/>
      </c>
      <c r="L2218" s="55" t="str">
        <f t="shared" si="68"/>
        <v/>
      </c>
      <c r="M2218" s="55" t="str">
        <f t="shared" si="69"/>
        <v/>
      </c>
      <c r="N2218" s="55" t="str">
        <f>IF(A2218="","",IFERROR(INDEX('Cluster Map'!$A$4:$A$38,MATCH(M2218,'Cluster Map'!$B$4:$B$38,0)),"Unmapped"))</f>
        <v/>
      </c>
      <c r="O2218" s="55">
        <f>IF(A2218="",0,IF(COUNTIFS($A$2:A2218,A2218,$F$2:F2218,F2218,$L$2:L2218,L2218)=1,1,0))</f>
        <v>0</v>
      </c>
      <c r="P2218" s="55">
        <f>IF(A2218="",0,IF(AND(F2218="C&amp;T",COUNTIFS($A$2:A2218,A2218,$F$2:F2218,"C&amp;T")=1),1,0))</f>
        <v>0</v>
      </c>
    </row>
    <row r="2219" spans="1:16" x14ac:dyDescent="0.35">
      <c r="A2219" s="54" t="str">
        <f>IFERROR(IF(INDEX(SPOT_Import!$A$1:$Z$2488,2219,'Live Data'!$C$12)="","",INDEX(SPOT_Import!$A$1:$Z$2488,2219,'Live Data'!$C$12)),"")</f>
        <v/>
      </c>
      <c r="B2219" s="54" t="str">
        <f>IFERROR(IF(INDEX(SPOT_Import!$A$1:$Z$2488,2219,'Live Data'!$C$13)="","",INDEX(SPOT_Import!$A$1:$Z$2488,2219,'Live Data'!$C$13)),"")</f>
        <v/>
      </c>
      <c r="C2219" s="54" t="str">
        <f>IFERROR(IF(INDEX(SPOT_Import!$A$1:$Z$2488,2219,'Live Data'!$C$14)="","",INDEX(SPOT_Import!$A$1:$Z$2488,2219,'Live Data'!$C$14)),"")</f>
        <v/>
      </c>
      <c r="D2219" s="54" t="str">
        <f>IFERROR(IF(INDEX(SPOT_Import!$A$1:$Z$2488,2219,'Live Data'!$C$15)="","",INDEX(SPOT_Import!$A$1:$Z$2488,2219,'Live Data'!$C$15)),"")</f>
        <v/>
      </c>
      <c r="E2219" s="54" t="str">
        <f>IFERROR(IF(INDEX(SPOT_Import!$A$1:$Z$2488,2219,'Live Data'!$C$16)="","",INDEX(SPOT_Import!$A$1:$Z$2488,2219,'Live Data'!$C$16)),"")</f>
        <v/>
      </c>
      <c r="F2219" s="54" t="str">
        <f>IFERROR(IF(INDEX(SPOT_Import!$A$1:$Z$2488,2219,'Live Data'!$C$17)="","",INDEX(SPOT_Import!$A$1:$Z$2488,2219,'Live Data'!$C$17)),"")</f>
        <v/>
      </c>
      <c r="G2219" s="54" t="str">
        <f>IFERROR(IF(INDEX(SPOT_Import!$A$1:$Z$2488,2219,'Live Data'!$C$18)="","",INDEX(SPOT_Import!$A$1:$Z$2488,2219,'Live Data'!$C$18)),"")</f>
        <v/>
      </c>
      <c r="H2219" s="54" t="str">
        <f>IFERROR(IF(INDEX(SPOT_Import!$A$1:$Z$2488,2219,'Live Data'!$C$19)="","",INDEX(SPOT_Import!$A$1:$Z$2488,2219,'Live Data'!$C$19)),"")</f>
        <v/>
      </c>
      <c r="I2219" s="54" t="str">
        <f>IFERROR(IF(INDEX(SPOT_Import!$A$1:$Z$2488,2219,'Live Data'!$C$20)="","",INDEX(SPOT_Import!$A$1:$Z$2488,2219,'Live Data'!$C$20)),"")</f>
        <v/>
      </c>
      <c r="J2219" s="54" t="str">
        <f>IFERROR(IF(INDEX(SPOT_Import!$A$1:$Z$2488,2219,'Live Data'!$C$21)="","",INDEX(SPOT_Import!$A$1:$Z$2488,2219,'Live Data'!$C$21)),"")</f>
        <v/>
      </c>
      <c r="K2219" s="54" t="str">
        <f>IFERROR(IF(INDEX(SPOT_Import!$A$1:$Z$2488,2219,'Live Data'!$C$22)="","",INDEX(SPOT_Import!$A$1:$Z$2488,2219,'Live Data'!$C$22)),"")</f>
        <v/>
      </c>
      <c r="L2219" s="55" t="str">
        <f t="shared" si="68"/>
        <v/>
      </c>
      <c r="M2219" s="55" t="str">
        <f t="shared" si="69"/>
        <v/>
      </c>
      <c r="N2219" s="55" t="str">
        <f>IF(A2219="","",IFERROR(INDEX('Cluster Map'!$A$4:$A$38,MATCH(M2219,'Cluster Map'!$B$4:$B$38,0)),"Unmapped"))</f>
        <v/>
      </c>
      <c r="O2219" s="55">
        <f>IF(A2219="",0,IF(COUNTIFS($A$2:A2219,A2219,$F$2:F2219,F2219,$L$2:L2219,L2219)=1,1,0))</f>
        <v>0</v>
      </c>
      <c r="P2219" s="55">
        <f>IF(A2219="",0,IF(AND(F2219="C&amp;T",COUNTIFS($A$2:A2219,A2219,$F$2:F2219,"C&amp;T")=1),1,0))</f>
        <v>0</v>
      </c>
    </row>
    <row r="2220" spans="1:16" x14ac:dyDescent="0.35">
      <c r="A2220" s="54" t="str">
        <f>IFERROR(IF(INDEX(SPOT_Import!$A$1:$Z$2488,2220,'Live Data'!$C$12)="","",INDEX(SPOT_Import!$A$1:$Z$2488,2220,'Live Data'!$C$12)),"")</f>
        <v/>
      </c>
      <c r="B2220" s="54" t="str">
        <f>IFERROR(IF(INDEX(SPOT_Import!$A$1:$Z$2488,2220,'Live Data'!$C$13)="","",INDEX(SPOT_Import!$A$1:$Z$2488,2220,'Live Data'!$C$13)),"")</f>
        <v/>
      </c>
      <c r="C2220" s="54" t="str">
        <f>IFERROR(IF(INDEX(SPOT_Import!$A$1:$Z$2488,2220,'Live Data'!$C$14)="","",INDEX(SPOT_Import!$A$1:$Z$2488,2220,'Live Data'!$C$14)),"")</f>
        <v/>
      </c>
      <c r="D2220" s="54" t="str">
        <f>IFERROR(IF(INDEX(SPOT_Import!$A$1:$Z$2488,2220,'Live Data'!$C$15)="","",INDEX(SPOT_Import!$A$1:$Z$2488,2220,'Live Data'!$C$15)),"")</f>
        <v/>
      </c>
      <c r="E2220" s="54" t="str">
        <f>IFERROR(IF(INDEX(SPOT_Import!$A$1:$Z$2488,2220,'Live Data'!$C$16)="","",INDEX(SPOT_Import!$A$1:$Z$2488,2220,'Live Data'!$C$16)),"")</f>
        <v/>
      </c>
      <c r="F2220" s="54" t="str">
        <f>IFERROR(IF(INDEX(SPOT_Import!$A$1:$Z$2488,2220,'Live Data'!$C$17)="","",INDEX(SPOT_Import!$A$1:$Z$2488,2220,'Live Data'!$C$17)),"")</f>
        <v/>
      </c>
      <c r="G2220" s="54" t="str">
        <f>IFERROR(IF(INDEX(SPOT_Import!$A$1:$Z$2488,2220,'Live Data'!$C$18)="","",INDEX(SPOT_Import!$A$1:$Z$2488,2220,'Live Data'!$C$18)),"")</f>
        <v/>
      </c>
      <c r="H2220" s="54" t="str">
        <f>IFERROR(IF(INDEX(SPOT_Import!$A$1:$Z$2488,2220,'Live Data'!$C$19)="","",INDEX(SPOT_Import!$A$1:$Z$2488,2220,'Live Data'!$C$19)),"")</f>
        <v/>
      </c>
      <c r="I2220" s="54" t="str">
        <f>IFERROR(IF(INDEX(SPOT_Import!$A$1:$Z$2488,2220,'Live Data'!$C$20)="","",INDEX(SPOT_Import!$A$1:$Z$2488,2220,'Live Data'!$C$20)),"")</f>
        <v/>
      </c>
      <c r="J2220" s="54" t="str">
        <f>IFERROR(IF(INDEX(SPOT_Import!$A$1:$Z$2488,2220,'Live Data'!$C$21)="","",INDEX(SPOT_Import!$A$1:$Z$2488,2220,'Live Data'!$C$21)),"")</f>
        <v/>
      </c>
      <c r="K2220" s="54" t="str">
        <f>IFERROR(IF(INDEX(SPOT_Import!$A$1:$Z$2488,2220,'Live Data'!$C$22)="","",INDEX(SPOT_Import!$A$1:$Z$2488,2220,'Live Data'!$C$22)),"")</f>
        <v/>
      </c>
      <c r="L2220" s="55" t="str">
        <f t="shared" si="68"/>
        <v/>
      </c>
      <c r="M2220" s="55" t="str">
        <f t="shared" si="69"/>
        <v/>
      </c>
      <c r="N2220" s="55" t="str">
        <f>IF(A2220="","",IFERROR(INDEX('Cluster Map'!$A$4:$A$38,MATCH(M2220,'Cluster Map'!$B$4:$B$38,0)),"Unmapped"))</f>
        <v/>
      </c>
      <c r="O2220" s="55">
        <f>IF(A2220="",0,IF(COUNTIFS($A$2:A2220,A2220,$F$2:F2220,F2220,$L$2:L2220,L2220)=1,1,0))</f>
        <v>0</v>
      </c>
      <c r="P2220" s="55">
        <f>IF(A2220="",0,IF(AND(F2220="C&amp;T",COUNTIFS($A$2:A2220,A2220,$F$2:F2220,"C&amp;T")=1),1,0))</f>
        <v>0</v>
      </c>
    </row>
    <row r="2221" spans="1:16" x14ac:dyDescent="0.35">
      <c r="A2221" s="54" t="str">
        <f>IFERROR(IF(INDEX(SPOT_Import!$A$1:$Z$2488,2221,'Live Data'!$C$12)="","",INDEX(SPOT_Import!$A$1:$Z$2488,2221,'Live Data'!$C$12)),"")</f>
        <v/>
      </c>
      <c r="B2221" s="54" t="str">
        <f>IFERROR(IF(INDEX(SPOT_Import!$A$1:$Z$2488,2221,'Live Data'!$C$13)="","",INDEX(SPOT_Import!$A$1:$Z$2488,2221,'Live Data'!$C$13)),"")</f>
        <v/>
      </c>
      <c r="C2221" s="54" t="str">
        <f>IFERROR(IF(INDEX(SPOT_Import!$A$1:$Z$2488,2221,'Live Data'!$C$14)="","",INDEX(SPOT_Import!$A$1:$Z$2488,2221,'Live Data'!$C$14)),"")</f>
        <v/>
      </c>
      <c r="D2221" s="54" t="str">
        <f>IFERROR(IF(INDEX(SPOT_Import!$A$1:$Z$2488,2221,'Live Data'!$C$15)="","",INDEX(SPOT_Import!$A$1:$Z$2488,2221,'Live Data'!$C$15)),"")</f>
        <v/>
      </c>
      <c r="E2221" s="54" t="str">
        <f>IFERROR(IF(INDEX(SPOT_Import!$A$1:$Z$2488,2221,'Live Data'!$C$16)="","",INDEX(SPOT_Import!$A$1:$Z$2488,2221,'Live Data'!$C$16)),"")</f>
        <v/>
      </c>
      <c r="F2221" s="54" t="str">
        <f>IFERROR(IF(INDEX(SPOT_Import!$A$1:$Z$2488,2221,'Live Data'!$C$17)="","",INDEX(SPOT_Import!$A$1:$Z$2488,2221,'Live Data'!$C$17)),"")</f>
        <v/>
      </c>
      <c r="G2221" s="54" t="str">
        <f>IFERROR(IF(INDEX(SPOT_Import!$A$1:$Z$2488,2221,'Live Data'!$C$18)="","",INDEX(SPOT_Import!$A$1:$Z$2488,2221,'Live Data'!$C$18)),"")</f>
        <v/>
      </c>
      <c r="H2221" s="54" t="str">
        <f>IFERROR(IF(INDEX(SPOT_Import!$A$1:$Z$2488,2221,'Live Data'!$C$19)="","",INDEX(SPOT_Import!$A$1:$Z$2488,2221,'Live Data'!$C$19)),"")</f>
        <v/>
      </c>
      <c r="I2221" s="54" t="str">
        <f>IFERROR(IF(INDEX(SPOT_Import!$A$1:$Z$2488,2221,'Live Data'!$C$20)="","",INDEX(SPOT_Import!$A$1:$Z$2488,2221,'Live Data'!$C$20)),"")</f>
        <v/>
      </c>
      <c r="J2221" s="54" t="str">
        <f>IFERROR(IF(INDEX(SPOT_Import!$A$1:$Z$2488,2221,'Live Data'!$C$21)="","",INDEX(SPOT_Import!$A$1:$Z$2488,2221,'Live Data'!$C$21)),"")</f>
        <v/>
      </c>
      <c r="K2221" s="54" t="str">
        <f>IFERROR(IF(INDEX(SPOT_Import!$A$1:$Z$2488,2221,'Live Data'!$C$22)="","",INDEX(SPOT_Import!$A$1:$Z$2488,2221,'Live Data'!$C$22)),"")</f>
        <v/>
      </c>
      <c r="L2221" s="55" t="str">
        <f t="shared" si="68"/>
        <v/>
      </c>
      <c r="M2221" s="55" t="str">
        <f t="shared" si="69"/>
        <v/>
      </c>
      <c r="N2221" s="55" t="str">
        <f>IF(A2221="","",IFERROR(INDEX('Cluster Map'!$A$4:$A$38,MATCH(M2221,'Cluster Map'!$B$4:$B$38,0)),"Unmapped"))</f>
        <v/>
      </c>
      <c r="O2221" s="55">
        <f>IF(A2221="",0,IF(COUNTIFS($A$2:A2221,A2221,$F$2:F2221,F2221,$L$2:L2221,L2221)=1,1,0))</f>
        <v>0</v>
      </c>
      <c r="P2221" s="55">
        <f>IF(A2221="",0,IF(AND(F2221="C&amp;T",COUNTIFS($A$2:A2221,A2221,$F$2:F2221,"C&amp;T")=1),1,0))</f>
        <v>0</v>
      </c>
    </row>
    <row r="2222" spans="1:16" x14ac:dyDescent="0.35">
      <c r="A2222" s="54" t="str">
        <f>IFERROR(IF(INDEX(SPOT_Import!$A$1:$Z$2488,2222,'Live Data'!$C$12)="","",INDEX(SPOT_Import!$A$1:$Z$2488,2222,'Live Data'!$C$12)),"")</f>
        <v/>
      </c>
      <c r="B2222" s="54" t="str">
        <f>IFERROR(IF(INDEX(SPOT_Import!$A$1:$Z$2488,2222,'Live Data'!$C$13)="","",INDEX(SPOT_Import!$A$1:$Z$2488,2222,'Live Data'!$C$13)),"")</f>
        <v/>
      </c>
      <c r="C2222" s="54" t="str">
        <f>IFERROR(IF(INDEX(SPOT_Import!$A$1:$Z$2488,2222,'Live Data'!$C$14)="","",INDEX(SPOT_Import!$A$1:$Z$2488,2222,'Live Data'!$C$14)),"")</f>
        <v/>
      </c>
      <c r="D2222" s="54" t="str">
        <f>IFERROR(IF(INDEX(SPOT_Import!$A$1:$Z$2488,2222,'Live Data'!$C$15)="","",INDEX(SPOT_Import!$A$1:$Z$2488,2222,'Live Data'!$C$15)),"")</f>
        <v/>
      </c>
      <c r="E2222" s="54" t="str">
        <f>IFERROR(IF(INDEX(SPOT_Import!$A$1:$Z$2488,2222,'Live Data'!$C$16)="","",INDEX(SPOT_Import!$A$1:$Z$2488,2222,'Live Data'!$C$16)),"")</f>
        <v/>
      </c>
      <c r="F2222" s="54" t="str">
        <f>IFERROR(IF(INDEX(SPOT_Import!$A$1:$Z$2488,2222,'Live Data'!$C$17)="","",INDEX(SPOT_Import!$A$1:$Z$2488,2222,'Live Data'!$C$17)),"")</f>
        <v/>
      </c>
      <c r="G2222" s="54" t="str">
        <f>IFERROR(IF(INDEX(SPOT_Import!$A$1:$Z$2488,2222,'Live Data'!$C$18)="","",INDEX(SPOT_Import!$A$1:$Z$2488,2222,'Live Data'!$C$18)),"")</f>
        <v/>
      </c>
      <c r="H2222" s="54" t="str">
        <f>IFERROR(IF(INDEX(SPOT_Import!$A$1:$Z$2488,2222,'Live Data'!$C$19)="","",INDEX(SPOT_Import!$A$1:$Z$2488,2222,'Live Data'!$C$19)),"")</f>
        <v/>
      </c>
      <c r="I2222" s="54" t="str">
        <f>IFERROR(IF(INDEX(SPOT_Import!$A$1:$Z$2488,2222,'Live Data'!$C$20)="","",INDEX(SPOT_Import!$A$1:$Z$2488,2222,'Live Data'!$C$20)),"")</f>
        <v/>
      </c>
      <c r="J2222" s="54" t="str">
        <f>IFERROR(IF(INDEX(SPOT_Import!$A$1:$Z$2488,2222,'Live Data'!$C$21)="","",INDEX(SPOT_Import!$A$1:$Z$2488,2222,'Live Data'!$C$21)),"")</f>
        <v/>
      </c>
      <c r="K2222" s="54" t="str">
        <f>IFERROR(IF(INDEX(SPOT_Import!$A$1:$Z$2488,2222,'Live Data'!$C$22)="","",INDEX(SPOT_Import!$A$1:$Z$2488,2222,'Live Data'!$C$22)),"")</f>
        <v/>
      </c>
      <c r="L2222" s="55" t="str">
        <f t="shared" si="68"/>
        <v/>
      </c>
      <c r="M2222" s="55" t="str">
        <f t="shared" si="69"/>
        <v/>
      </c>
      <c r="N2222" s="55" t="str">
        <f>IF(A2222="","",IFERROR(INDEX('Cluster Map'!$A$4:$A$38,MATCH(M2222,'Cluster Map'!$B$4:$B$38,0)),"Unmapped"))</f>
        <v/>
      </c>
      <c r="O2222" s="55">
        <f>IF(A2222="",0,IF(COUNTIFS($A$2:A2222,A2222,$F$2:F2222,F2222,$L$2:L2222,L2222)=1,1,0))</f>
        <v>0</v>
      </c>
      <c r="P2222" s="55">
        <f>IF(A2222="",0,IF(AND(F2222="C&amp;T",COUNTIFS($A$2:A2222,A2222,$F$2:F2222,"C&amp;T")=1),1,0))</f>
        <v>0</v>
      </c>
    </row>
    <row r="2223" spans="1:16" x14ac:dyDescent="0.35">
      <c r="A2223" s="54" t="str">
        <f>IFERROR(IF(INDEX(SPOT_Import!$A$1:$Z$2488,2223,'Live Data'!$C$12)="","",INDEX(SPOT_Import!$A$1:$Z$2488,2223,'Live Data'!$C$12)),"")</f>
        <v/>
      </c>
      <c r="B2223" s="54" t="str">
        <f>IFERROR(IF(INDEX(SPOT_Import!$A$1:$Z$2488,2223,'Live Data'!$C$13)="","",INDEX(SPOT_Import!$A$1:$Z$2488,2223,'Live Data'!$C$13)),"")</f>
        <v/>
      </c>
      <c r="C2223" s="54" t="str">
        <f>IFERROR(IF(INDEX(SPOT_Import!$A$1:$Z$2488,2223,'Live Data'!$C$14)="","",INDEX(SPOT_Import!$A$1:$Z$2488,2223,'Live Data'!$C$14)),"")</f>
        <v/>
      </c>
      <c r="D2223" s="54" t="str">
        <f>IFERROR(IF(INDEX(SPOT_Import!$A$1:$Z$2488,2223,'Live Data'!$C$15)="","",INDEX(SPOT_Import!$A$1:$Z$2488,2223,'Live Data'!$C$15)),"")</f>
        <v/>
      </c>
      <c r="E2223" s="54" t="str">
        <f>IFERROR(IF(INDEX(SPOT_Import!$A$1:$Z$2488,2223,'Live Data'!$C$16)="","",INDEX(SPOT_Import!$A$1:$Z$2488,2223,'Live Data'!$C$16)),"")</f>
        <v/>
      </c>
      <c r="F2223" s="54" t="str">
        <f>IFERROR(IF(INDEX(SPOT_Import!$A$1:$Z$2488,2223,'Live Data'!$C$17)="","",INDEX(SPOT_Import!$A$1:$Z$2488,2223,'Live Data'!$C$17)),"")</f>
        <v/>
      </c>
      <c r="G2223" s="54" t="str">
        <f>IFERROR(IF(INDEX(SPOT_Import!$A$1:$Z$2488,2223,'Live Data'!$C$18)="","",INDEX(SPOT_Import!$A$1:$Z$2488,2223,'Live Data'!$C$18)),"")</f>
        <v/>
      </c>
      <c r="H2223" s="54" t="str">
        <f>IFERROR(IF(INDEX(SPOT_Import!$A$1:$Z$2488,2223,'Live Data'!$C$19)="","",INDEX(SPOT_Import!$A$1:$Z$2488,2223,'Live Data'!$C$19)),"")</f>
        <v/>
      </c>
      <c r="I2223" s="54" t="str">
        <f>IFERROR(IF(INDEX(SPOT_Import!$A$1:$Z$2488,2223,'Live Data'!$C$20)="","",INDEX(SPOT_Import!$A$1:$Z$2488,2223,'Live Data'!$C$20)),"")</f>
        <v/>
      </c>
      <c r="J2223" s="54" t="str">
        <f>IFERROR(IF(INDEX(SPOT_Import!$A$1:$Z$2488,2223,'Live Data'!$C$21)="","",INDEX(SPOT_Import!$A$1:$Z$2488,2223,'Live Data'!$C$21)),"")</f>
        <v/>
      </c>
      <c r="K2223" s="54" t="str">
        <f>IFERROR(IF(INDEX(SPOT_Import!$A$1:$Z$2488,2223,'Live Data'!$C$22)="","",INDEX(SPOT_Import!$A$1:$Z$2488,2223,'Live Data'!$C$22)),"")</f>
        <v/>
      </c>
      <c r="L2223" s="55" t="str">
        <f t="shared" si="68"/>
        <v/>
      </c>
      <c r="M2223" s="55" t="str">
        <f t="shared" si="69"/>
        <v/>
      </c>
      <c r="N2223" s="55" t="str">
        <f>IF(A2223="","",IFERROR(INDEX('Cluster Map'!$A$4:$A$38,MATCH(M2223,'Cluster Map'!$B$4:$B$38,0)),"Unmapped"))</f>
        <v/>
      </c>
      <c r="O2223" s="55">
        <f>IF(A2223="",0,IF(COUNTIFS($A$2:A2223,A2223,$F$2:F2223,F2223,$L$2:L2223,L2223)=1,1,0))</f>
        <v>0</v>
      </c>
      <c r="P2223" s="55">
        <f>IF(A2223="",0,IF(AND(F2223="C&amp;T",COUNTIFS($A$2:A2223,A2223,$F$2:F2223,"C&amp;T")=1),1,0))</f>
        <v>0</v>
      </c>
    </row>
    <row r="2224" spans="1:16" x14ac:dyDescent="0.35">
      <c r="A2224" s="54" t="str">
        <f>IFERROR(IF(INDEX(SPOT_Import!$A$1:$Z$2488,2224,'Live Data'!$C$12)="","",INDEX(SPOT_Import!$A$1:$Z$2488,2224,'Live Data'!$C$12)),"")</f>
        <v/>
      </c>
      <c r="B2224" s="54" t="str">
        <f>IFERROR(IF(INDEX(SPOT_Import!$A$1:$Z$2488,2224,'Live Data'!$C$13)="","",INDEX(SPOT_Import!$A$1:$Z$2488,2224,'Live Data'!$C$13)),"")</f>
        <v/>
      </c>
      <c r="C2224" s="54" t="str">
        <f>IFERROR(IF(INDEX(SPOT_Import!$A$1:$Z$2488,2224,'Live Data'!$C$14)="","",INDEX(SPOT_Import!$A$1:$Z$2488,2224,'Live Data'!$C$14)),"")</f>
        <v/>
      </c>
      <c r="D2224" s="54" t="str">
        <f>IFERROR(IF(INDEX(SPOT_Import!$A$1:$Z$2488,2224,'Live Data'!$C$15)="","",INDEX(SPOT_Import!$A$1:$Z$2488,2224,'Live Data'!$C$15)),"")</f>
        <v/>
      </c>
      <c r="E2224" s="54" t="str">
        <f>IFERROR(IF(INDEX(SPOT_Import!$A$1:$Z$2488,2224,'Live Data'!$C$16)="","",INDEX(SPOT_Import!$A$1:$Z$2488,2224,'Live Data'!$C$16)),"")</f>
        <v/>
      </c>
      <c r="F2224" s="54" t="str">
        <f>IFERROR(IF(INDEX(SPOT_Import!$A$1:$Z$2488,2224,'Live Data'!$C$17)="","",INDEX(SPOT_Import!$A$1:$Z$2488,2224,'Live Data'!$C$17)),"")</f>
        <v/>
      </c>
      <c r="G2224" s="54" t="str">
        <f>IFERROR(IF(INDEX(SPOT_Import!$A$1:$Z$2488,2224,'Live Data'!$C$18)="","",INDEX(SPOT_Import!$A$1:$Z$2488,2224,'Live Data'!$C$18)),"")</f>
        <v/>
      </c>
      <c r="H2224" s="54" t="str">
        <f>IFERROR(IF(INDEX(SPOT_Import!$A$1:$Z$2488,2224,'Live Data'!$C$19)="","",INDEX(SPOT_Import!$A$1:$Z$2488,2224,'Live Data'!$C$19)),"")</f>
        <v/>
      </c>
      <c r="I2224" s="54" t="str">
        <f>IFERROR(IF(INDEX(SPOT_Import!$A$1:$Z$2488,2224,'Live Data'!$C$20)="","",INDEX(SPOT_Import!$A$1:$Z$2488,2224,'Live Data'!$C$20)),"")</f>
        <v/>
      </c>
      <c r="J2224" s="54" t="str">
        <f>IFERROR(IF(INDEX(SPOT_Import!$A$1:$Z$2488,2224,'Live Data'!$C$21)="","",INDEX(SPOT_Import!$A$1:$Z$2488,2224,'Live Data'!$C$21)),"")</f>
        <v/>
      </c>
      <c r="K2224" s="54" t="str">
        <f>IFERROR(IF(INDEX(SPOT_Import!$A$1:$Z$2488,2224,'Live Data'!$C$22)="","",INDEX(SPOT_Import!$A$1:$Z$2488,2224,'Live Data'!$C$22)),"")</f>
        <v/>
      </c>
      <c r="L2224" s="55" t="str">
        <f t="shared" si="68"/>
        <v/>
      </c>
      <c r="M2224" s="55" t="str">
        <f t="shared" si="69"/>
        <v/>
      </c>
      <c r="N2224" s="55" t="str">
        <f>IF(A2224="","",IFERROR(INDEX('Cluster Map'!$A$4:$A$38,MATCH(M2224,'Cluster Map'!$B$4:$B$38,0)),"Unmapped"))</f>
        <v/>
      </c>
      <c r="O2224" s="55">
        <f>IF(A2224="",0,IF(COUNTIFS($A$2:A2224,A2224,$F$2:F2224,F2224,$L$2:L2224,L2224)=1,1,0))</f>
        <v>0</v>
      </c>
      <c r="P2224" s="55">
        <f>IF(A2224="",0,IF(AND(F2224="C&amp;T",COUNTIFS($A$2:A2224,A2224,$F$2:F2224,"C&amp;T")=1),1,0))</f>
        <v>0</v>
      </c>
    </row>
    <row r="2225" spans="1:16" x14ac:dyDescent="0.35">
      <c r="A2225" s="54" t="str">
        <f>IFERROR(IF(INDEX(SPOT_Import!$A$1:$Z$2488,2225,'Live Data'!$C$12)="","",INDEX(SPOT_Import!$A$1:$Z$2488,2225,'Live Data'!$C$12)),"")</f>
        <v/>
      </c>
      <c r="B2225" s="54" t="str">
        <f>IFERROR(IF(INDEX(SPOT_Import!$A$1:$Z$2488,2225,'Live Data'!$C$13)="","",INDEX(SPOT_Import!$A$1:$Z$2488,2225,'Live Data'!$C$13)),"")</f>
        <v/>
      </c>
      <c r="C2225" s="54" t="str">
        <f>IFERROR(IF(INDEX(SPOT_Import!$A$1:$Z$2488,2225,'Live Data'!$C$14)="","",INDEX(SPOT_Import!$A$1:$Z$2488,2225,'Live Data'!$C$14)),"")</f>
        <v/>
      </c>
      <c r="D2225" s="54" t="str">
        <f>IFERROR(IF(INDEX(SPOT_Import!$A$1:$Z$2488,2225,'Live Data'!$C$15)="","",INDEX(SPOT_Import!$A$1:$Z$2488,2225,'Live Data'!$C$15)),"")</f>
        <v/>
      </c>
      <c r="E2225" s="54" t="str">
        <f>IFERROR(IF(INDEX(SPOT_Import!$A$1:$Z$2488,2225,'Live Data'!$C$16)="","",INDEX(SPOT_Import!$A$1:$Z$2488,2225,'Live Data'!$C$16)),"")</f>
        <v/>
      </c>
      <c r="F2225" s="54" t="str">
        <f>IFERROR(IF(INDEX(SPOT_Import!$A$1:$Z$2488,2225,'Live Data'!$C$17)="","",INDEX(SPOT_Import!$A$1:$Z$2488,2225,'Live Data'!$C$17)),"")</f>
        <v/>
      </c>
      <c r="G2225" s="54" t="str">
        <f>IFERROR(IF(INDEX(SPOT_Import!$A$1:$Z$2488,2225,'Live Data'!$C$18)="","",INDEX(SPOT_Import!$A$1:$Z$2488,2225,'Live Data'!$C$18)),"")</f>
        <v/>
      </c>
      <c r="H2225" s="54" t="str">
        <f>IFERROR(IF(INDEX(SPOT_Import!$A$1:$Z$2488,2225,'Live Data'!$C$19)="","",INDEX(SPOT_Import!$A$1:$Z$2488,2225,'Live Data'!$C$19)),"")</f>
        <v/>
      </c>
      <c r="I2225" s="54" t="str">
        <f>IFERROR(IF(INDEX(SPOT_Import!$A$1:$Z$2488,2225,'Live Data'!$C$20)="","",INDEX(SPOT_Import!$A$1:$Z$2488,2225,'Live Data'!$C$20)),"")</f>
        <v/>
      </c>
      <c r="J2225" s="54" t="str">
        <f>IFERROR(IF(INDEX(SPOT_Import!$A$1:$Z$2488,2225,'Live Data'!$C$21)="","",INDEX(SPOT_Import!$A$1:$Z$2488,2225,'Live Data'!$C$21)),"")</f>
        <v/>
      </c>
      <c r="K2225" s="54" t="str">
        <f>IFERROR(IF(INDEX(SPOT_Import!$A$1:$Z$2488,2225,'Live Data'!$C$22)="","",INDEX(SPOT_Import!$A$1:$Z$2488,2225,'Live Data'!$C$22)),"")</f>
        <v/>
      </c>
      <c r="L2225" s="55" t="str">
        <f t="shared" si="68"/>
        <v/>
      </c>
      <c r="M2225" s="55" t="str">
        <f t="shared" si="69"/>
        <v/>
      </c>
      <c r="N2225" s="55" t="str">
        <f>IF(A2225="","",IFERROR(INDEX('Cluster Map'!$A$4:$A$38,MATCH(M2225,'Cluster Map'!$B$4:$B$38,0)),"Unmapped"))</f>
        <v/>
      </c>
      <c r="O2225" s="55">
        <f>IF(A2225="",0,IF(COUNTIFS($A$2:A2225,A2225,$F$2:F2225,F2225,$L$2:L2225,L2225)=1,1,0))</f>
        <v>0</v>
      </c>
      <c r="P2225" s="55">
        <f>IF(A2225="",0,IF(AND(F2225="C&amp;T",COUNTIFS($A$2:A2225,A2225,$F$2:F2225,"C&amp;T")=1),1,0))</f>
        <v>0</v>
      </c>
    </row>
    <row r="2226" spans="1:16" x14ac:dyDescent="0.35">
      <c r="A2226" s="54" t="str">
        <f>IFERROR(IF(INDEX(SPOT_Import!$A$1:$Z$2488,2226,'Live Data'!$C$12)="","",INDEX(SPOT_Import!$A$1:$Z$2488,2226,'Live Data'!$C$12)),"")</f>
        <v/>
      </c>
      <c r="B2226" s="54" t="str">
        <f>IFERROR(IF(INDEX(SPOT_Import!$A$1:$Z$2488,2226,'Live Data'!$C$13)="","",INDEX(SPOT_Import!$A$1:$Z$2488,2226,'Live Data'!$C$13)),"")</f>
        <v/>
      </c>
      <c r="C2226" s="54" t="str">
        <f>IFERROR(IF(INDEX(SPOT_Import!$A$1:$Z$2488,2226,'Live Data'!$C$14)="","",INDEX(SPOT_Import!$A$1:$Z$2488,2226,'Live Data'!$C$14)),"")</f>
        <v/>
      </c>
      <c r="D2226" s="54" t="str">
        <f>IFERROR(IF(INDEX(SPOT_Import!$A$1:$Z$2488,2226,'Live Data'!$C$15)="","",INDEX(SPOT_Import!$A$1:$Z$2488,2226,'Live Data'!$C$15)),"")</f>
        <v/>
      </c>
      <c r="E2226" s="54" t="str">
        <f>IFERROR(IF(INDEX(SPOT_Import!$A$1:$Z$2488,2226,'Live Data'!$C$16)="","",INDEX(SPOT_Import!$A$1:$Z$2488,2226,'Live Data'!$C$16)),"")</f>
        <v/>
      </c>
      <c r="F2226" s="54" t="str">
        <f>IFERROR(IF(INDEX(SPOT_Import!$A$1:$Z$2488,2226,'Live Data'!$C$17)="","",INDEX(SPOT_Import!$A$1:$Z$2488,2226,'Live Data'!$C$17)),"")</f>
        <v/>
      </c>
      <c r="G2226" s="54" t="str">
        <f>IFERROR(IF(INDEX(SPOT_Import!$A$1:$Z$2488,2226,'Live Data'!$C$18)="","",INDEX(SPOT_Import!$A$1:$Z$2488,2226,'Live Data'!$C$18)),"")</f>
        <v/>
      </c>
      <c r="H2226" s="54" t="str">
        <f>IFERROR(IF(INDEX(SPOT_Import!$A$1:$Z$2488,2226,'Live Data'!$C$19)="","",INDEX(SPOT_Import!$A$1:$Z$2488,2226,'Live Data'!$C$19)),"")</f>
        <v/>
      </c>
      <c r="I2226" s="54" t="str">
        <f>IFERROR(IF(INDEX(SPOT_Import!$A$1:$Z$2488,2226,'Live Data'!$C$20)="","",INDEX(SPOT_Import!$A$1:$Z$2488,2226,'Live Data'!$C$20)),"")</f>
        <v/>
      </c>
      <c r="J2226" s="54" t="str">
        <f>IFERROR(IF(INDEX(SPOT_Import!$A$1:$Z$2488,2226,'Live Data'!$C$21)="","",INDEX(SPOT_Import!$A$1:$Z$2488,2226,'Live Data'!$C$21)),"")</f>
        <v/>
      </c>
      <c r="K2226" s="54" t="str">
        <f>IFERROR(IF(INDEX(SPOT_Import!$A$1:$Z$2488,2226,'Live Data'!$C$22)="","",INDEX(SPOT_Import!$A$1:$Z$2488,2226,'Live Data'!$C$22)),"")</f>
        <v/>
      </c>
      <c r="L2226" s="55" t="str">
        <f t="shared" si="68"/>
        <v/>
      </c>
      <c r="M2226" s="55" t="str">
        <f t="shared" si="69"/>
        <v/>
      </c>
      <c r="N2226" s="55" t="str">
        <f>IF(A2226="","",IFERROR(INDEX('Cluster Map'!$A$4:$A$38,MATCH(M2226,'Cluster Map'!$B$4:$B$38,0)),"Unmapped"))</f>
        <v/>
      </c>
      <c r="O2226" s="55">
        <f>IF(A2226="",0,IF(COUNTIFS($A$2:A2226,A2226,$F$2:F2226,F2226,$L$2:L2226,L2226)=1,1,0))</f>
        <v>0</v>
      </c>
      <c r="P2226" s="55">
        <f>IF(A2226="",0,IF(AND(F2226="C&amp;T",COUNTIFS($A$2:A2226,A2226,$F$2:F2226,"C&amp;T")=1),1,0))</f>
        <v>0</v>
      </c>
    </row>
    <row r="2227" spans="1:16" x14ac:dyDescent="0.35">
      <c r="A2227" s="54" t="str">
        <f>IFERROR(IF(INDEX(SPOT_Import!$A$1:$Z$2488,2227,'Live Data'!$C$12)="","",INDEX(SPOT_Import!$A$1:$Z$2488,2227,'Live Data'!$C$12)),"")</f>
        <v/>
      </c>
      <c r="B2227" s="54" t="str">
        <f>IFERROR(IF(INDEX(SPOT_Import!$A$1:$Z$2488,2227,'Live Data'!$C$13)="","",INDEX(SPOT_Import!$A$1:$Z$2488,2227,'Live Data'!$C$13)),"")</f>
        <v/>
      </c>
      <c r="C2227" s="54" t="str">
        <f>IFERROR(IF(INDEX(SPOT_Import!$A$1:$Z$2488,2227,'Live Data'!$C$14)="","",INDEX(SPOT_Import!$A$1:$Z$2488,2227,'Live Data'!$C$14)),"")</f>
        <v/>
      </c>
      <c r="D2227" s="54" t="str">
        <f>IFERROR(IF(INDEX(SPOT_Import!$A$1:$Z$2488,2227,'Live Data'!$C$15)="","",INDEX(SPOT_Import!$A$1:$Z$2488,2227,'Live Data'!$C$15)),"")</f>
        <v/>
      </c>
      <c r="E2227" s="54" t="str">
        <f>IFERROR(IF(INDEX(SPOT_Import!$A$1:$Z$2488,2227,'Live Data'!$C$16)="","",INDEX(SPOT_Import!$A$1:$Z$2488,2227,'Live Data'!$C$16)),"")</f>
        <v/>
      </c>
      <c r="F2227" s="54" t="str">
        <f>IFERROR(IF(INDEX(SPOT_Import!$A$1:$Z$2488,2227,'Live Data'!$C$17)="","",INDEX(SPOT_Import!$A$1:$Z$2488,2227,'Live Data'!$C$17)),"")</f>
        <v/>
      </c>
      <c r="G2227" s="54" t="str">
        <f>IFERROR(IF(INDEX(SPOT_Import!$A$1:$Z$2488,2227,'Live Data'!$C$18)="","",INDEX(SPOT_Import!$A$1:$Z$2488,2227,'Live Data'!$C$18)),"")</f>
        <v/>
      </c>
      <c r="H2227" s="54" t="str">
        <f>IFERROR(IF(INDEX(SPOT_Import!$A$1:$Z$2488,2227,'Live Data'!$C$19)="","",INDEX(SPOT_Import!$A$1:$Z$2488,2227,'Live Data'!$C$19)),"")</f>
        <v/>
      </c>
      <c r="I2227" s="54" t="str">
        <f>IFERROR(IF(INDEX(SPOT_Import!$A$1:$Z$2488,2227,'Live Data'!$C$20)="","",INDEX(SPOT_Import!$A$1:$Z$2488,2227,'Live Data'!$C$20)),"")</f>
        <v/>
      </c>
      <c r="J2227" s="54" t="str">
        <f>IFERROR(IF(INDEX(SPOT_Import!$A$1:$Z$2488,2227,'Live Data'!$C$21)="","",INDEX(SPOT_Import!$A$1:$Z$2488,2227,'Live Data'!$C$21)),"")</f>
        <v/>
      </c>
      <c r="K2227" s="54" t="str">
        <f>IFERROR(IF(INDEX(SPOT_Import!$A$1:$Z$2488,2227,'Live Data'!$C$22)="","",INDEX(SPOT_Import!$A$1:$Z$2488,2227,'Live Data'!$C$22)),"")</f>
        <v/>
      </c>
      <c r="L2227" s="55" t="str">
        <f t="shared" si="68"/>
        <v/>
      </c>
      <c r="M2227" s="55" t="str">
        <f t="shared" si="69"/>
        <v/>
      </c>
      <c r="N2227" s="55" t="str">
        <f>IF(A2227="","",IFERROR(INDEX('Cluster Map'!$A$4:$A$38,MATCH(M2227,'Cluster Map'!$B$4:$B$38,0)),"Unmapped"))</f>
        <v/>
      </c>
      <c r="O2227" s="55">
        <f>IF(A2227="",0,IF(COUNTIFS($A$2:A2227,A2227,$F$2:F2227,F2227,$L$2:L2227,L2227)=1,1,0))</f>
        <v>0</v>
      </c>
      <c r="P2227" s="55">
        <f>IF(A2227="",0,IF(AND(F2227="C&amp;T",COUNTIFS($A$2:A2227,A2227,$F$2:F2227,"C&amp;T")=1),1,0))</f>
        <v>0</v>
      </c>
    </row>
    <row r="2228" spans="1:16" x14ac:dyDescent="0.35">
      <c r="A2228" s="54" t="str">
        <f>IFERROR(IF(INDEX(SPOT_Import!$A$1:$Z$2488,2228,'Live Data'!$C$12)="","",INDEX(SPOT_Import!$A$1:$Z$2488,2228,'Live Data'!$C$12)),"")</f>
        <v/>
      </c>
      <c r="B2228" s="54" t="str">
        <f>IFERROR(IF(INDEX(SPOT_Import!$A$1:$Z$2488,2228,'Live Data'!$C$13)="","",INDEX(SPOT_Import!$A$1:$Z$2488,2228,'Live Data'!$C$13)),"")</f>
        <v/>
      </c>
      <c r="C2228" s="54" t="str">
        <f>IFERROR(IF(INDEX(SPOT_Import!$A$1:$Z$2488,2228,'Live Data'!$C$14)="","",INDEX(SPOT_Import!$A$1:$Z$2488,2228,'Live Data'!$C$14)),"")</f>
        <v/>
      </c>
      <c r="D2228" s="54" t="str">
        <f>IFERROR(IF(INDEX(SPOT_Import!$A$1:$Z$2488,2228,'Live Data'!$C$15)="","",INDEX(SPOT_Import!$A$1:$Z$2488,2228,'Live Data'!$C$15)),"")</f>
        <v/>
      </c>
      <c r="E2228" s="54" t="str">
        <f>IFERROR(IF(INDEX(SPOT_Import!$A$1:$Z$2488,2228,'Live Data'!$C$16)="","",INDEX(SPOT_Import!$A$1:$Z$2488,2228,'Live Data'!$C$16)),"")</f>
        <v/>
      </c>
      <c r="F2228" s="54" t="str">
        <f>IFERROR(IF(INDEX(SPOT_Import!$A$1:$Z$2488,2228,'Live Data'!$C$17)="","",INDEX(SPOT_Import!$A$1:$Z$2488,2228,'Live Data'!$C$17)),"")</f>
        <v/>
      </c>
      <c r="G2228" s="54" t="str">
        <f>IFERROR(IF(INDEX(SPOT_Import!$A$1:$Z$2488,2228,'Live Data'!$C$18)="","",INDEX(SPOT_Import!$A$1:$Z$2488,2228,'Live Data'!$C$18)),"")</f>
        <v/>
      </c>
      <c r="H2228" s="54" t="str">
        <f>IFERROR(IF(INDEX(SPOT_Import!$A$1:$Z$2488,2228,'Live Data'!$C$19)="","",INDEX(SPOT_Import!$A$1:$Z$2488,2228,'Live Data'!$C$19)),"")</f>
        <v/>
      </c>
      <c r="I2228" s="54" t="str">
        <f>IFERROR(IF(INDEX(SPOT_Import!$A$1:$Z$2488,2228,'Live Data'!$C$20)="","",INDEX(SPOT_Import!$A$1:$Z$2488,2228,'Live Data'!$C$20)),"")</f>
        <v/>
      </c>
      <c r="J2228" s="54" t="str">
        <f>IFERROR(IF(INDEX(SPOT_Import!$A$1:$Z$2488,2228,'Live Data'!$C$21)="","",INDEX(SPOT_Import!$A$1:$Z$2488,2228,'Live Data'!$C$21)),"")</f>
        <v/>
      </c>
      <c r="K2228" s="54" t="str">
        <f>IFERROR(IF(INDEX(SPOT_Import!$A$1:$Z$2488,2228,'Live Data'!$C$22)="","",INDEX(SPOT_Import!$A$1:$Z$2488,2228,'Live Data'!$C$22)),"")</f>
        <v/>
      </c>
      <c r="L2228" s="55" t="str">
        <f t="shared" si="68"/>
        <v/>
      </c>
      <c r="M2228" s="55" t="str">
        <f t="shared" si="69"/>
        <v/>
      </c>
      <c r="N2228" s="55" t="str">
        <f>IF(A2228="","",IFERROR(INDEX('Cluster Map'!$A$4:$A$38,MATCH(M2228,'Cluster Map'!$B$4:$B$38,0)),"Unmapped"))</f>
        <v/>
      </c>
      <c r="O2228" s="55">
        <f>IF(A2228="",0,IF(COUNTIFS($A$2:A2228,A2228,$F$2:F2228,F2228,$L$2:L2228,L2228)=1,1,0))</f>
        <v>0</v>
      </c>
      <c r="P2228" s="55">
        <f>IF(A2228="",0,IF(AND(F2228="C&amp;T",COUNTIFS($A$2:A2228,A2228,$F$2:F2228,"C&amp;T")=1),1,0))</f>
        <v>0</v>
      </c>
    </row>
    <row r="2229" spans="1:16" x14ac:dyDescent="0.35">
      <c r="A2229" s="54" t="str">
        <f>IFERROR(IF(INDEX(SPOT_Import!$A$1:$Z$2488,2229,'Live Data'!$C$12)="","",INDEX(SPOT_Import!$A$1:$Z$2488,2229,'Live Data'!$C$12)),"")</f>
        <v/>
      </c>
      <c r="B2229" s="54" t="str">
        <f>IFERROR(IF(INDEX(SPOT_Import!$A$1:$Z$2488,2229,'Live Data'!$C$13)="","",INDEX(SPOT_Import!$A$1:$Z$2488,2229,'Live Data'!$C$13)),"")</f>
        <v/>
      </c>
      <c r="C2229" s="54" t="str">
        <f>IFERROR(IF(INDEX(SPOT_Import!$A$1:$Z$2488,2229,'Live Data'!$C$14)="","",INDEX(SPOT_Import!$A$1:$Z$2488,2229,'Live Data'!$C$14)),"")</f>
        <v/>
      </c>
      <c r="D2229" s="54" t="str">
        <f>IFERROR(IF(INDEX(SPOT_Import!$A$1:$Z$2488,2229,'Live Data'!$C$15)="","",INDEX(SPOT_Import!$A$1:$Z$2488,2229,'Live Data'!$C$15)),"")</f>
        <v/>
      </c>
      <c r="E2229" s="54" t="str">
        <f>IFERROR(IF(INDEX(SPOT_Import!$A$1:$Z$2488,2229,'Live Data'!$C$16)="","",INDEX(SPOT_Import!$A$1:$Z$2488,2229,'Live Data'!$C$16)),"")</f>
        <v/>
      </c>
      <c r="F2229" s="54" t="str">
        <f>IFERROR(IF(INDEX(SPOT_Import!$A$1:$Z$2488,2229,'Live Data'!$C$17)="","",INDEX(SPOT_Import!$A$1:$Z$2488,2229,'Live Data'!$C$17)),"")</f>
        <v/>
      </c>
      <c r="G2229" s="54" t="str">
        <f>IFERROR(IF(INDEX(SPOT_Import!$A$1:$Z$2488,2229,'Live Data'!$C$18)="","",INDEX(SPOT_Import!$A$1:$Z$2488,2229,'Live Data'!$C$18)),"")</f>
        <v/>
      </c>
      <c r="H2229" s="54" t="str">
        <f>IFERROR(IF(INDEX(SPOT_Import!$A$1:$Z$2488,2229,'Live Data'!$C$19)="","",INDEX(SPOT_Import!$A$1:$Z$2488,2229,'Live Data'!$C$19)),"")</f>
        <v/>
      </c>
      <c r="I2229" s="54" t="str">
        <f>IFERROR(IF(INDEX(SPOT_Import!$A$1:$Z$2488,2229,'Live Data'!$C$20)="","",INDEX(SPOT_Import!$A$1:$Z$2488,2229,'Live Data'!$C$20)),"")</f>
        <v/>
      </c>
      <c r="J2229" s="54" t="str">
        <f>IFERROR(IF(INDEX(SPOT_Import!$A$1:$Z$2488,2229,'Live Data'!$C$21)="","",INDEX(SPOT_Import!$A$1:$Z$2488,2229,'Live Data'!$C$21)),"")</f>
        <v/>
      </c>
      <c r="K2229" s="54" t="str">
        <f>IFERROR(IF(INDEX(SPOT_Import!$A$1:$Z$2488,2229,'Live Data'!$C$22)="","",INDEX(SPOT_Import!$A$1:$Z$2488,2229,'Live Data'!$C$22)),"")</f>
        <v/>
      </c>
      <c r="L2229" s="55" t="str">
        <f t="shared" si="68"/>
        <v/>
      </c>
      <c r="M2229" s="55" t="str">
        <f t="shared" si="69"/>
        <v/>
      </c>
      <c r="N2229" s="55" t="str">
        <f>IF(A2229="","",IFERROR(INDEX('Cluster Map'!$A$4:$A$38,MATCH(M2229,'Cluster Map'!$B$4:$B$38,0)),"Unmapped"))</f>
        <v/>
      </c>
      <c r="O2229" s="55">
        <f>IF(A2229="",0,IF(COUNTIFS($A$2:A2229,A2229,$F$2:F2229,F2229,$L$2:L2229,L2229)=1,1,0))</f>
        <v>0</v>
      </c>
      <c r="P2229" s="55">
        <f>IF(A2229="",0,IF(AND(F2229="C&amp;T",COUNTIFS($A$2:A2229,A2229,$F$2:F2229,"C&amp;T")=1),1,0))</f>
        <v>0</v>
      </c>
    </row>
    <row r="2230" spans="1:16" x14ac:dyDescent="0.35">
      <c r="A2230" s="54" t="str">
        <f>IFERROR(IF(INDEX(SPOT_Import!$A$1:$Z$2488,2230,'Live Data'!$C$12)="","",INDEX(SPOT_Import!$A$1:$Z$2488,2230,'Live Data'!$C$12)),"")</f>
        <v/>
      </c>
      <c r="B2230" s="54" t="str">
        <f>IFERROR(IF(INDEX(SPOT_Import!$A$1:$Z$2488,2230,'Live Data'!$C$13)="","",INDEX(SPOT_Import!$A$1:$Z$2488,2230,'Live Data'!$C$13)),"")</f>
        <v/>
      </c>
      <c r="C2230" s="54" t="str">
        <f>IFERROR(IF(INDEX(SPOT_Import!$A$1:$Z$2488,2230,'Live Data'!$C$14)="","",INDEX(SPOT_Import!$A$1:$Z$2488,2230,'Live Data'!$C$14)),"")</f>
        <v/>
      </c>
      <c r="D2230" s="54" t="str">
        <f>IFERROR(IF(INDEX(SPOT_Import!$A$1:$Z$2488,2230,'Live Data'!$C$15)="","",INDEX(SPOT_Import!$A$1:$Z$2488,2230,'Live Data'!$C$15)),"")</f>
        <v/>
      </c>
      <c r="E2230" s="54" t="str">
        <f>IFERROR(IF(INDEX(SPOT_Import!$A$1:$Z$2488,2230,'Live Data'!$C$16)="","",INDEX(SPOT_Import!$A$1:$Z$2488,2230,'Live Data'!$C$16)),"")</f>
        <v/>
      </c>
      <c r="F2230" s="54" t="str">
        <f>IFERROR(IF(INDEX(SPOT_Import!$A$1:$Z$2488,2230,'Live Data'!$C$17)="","",INDEX(SPOT_Import!$A$1:$Z$2488,2230,'Live Data'!$C$17)),"")</f>
        <v/>
      </c>
      <c r="G2230" s="54" t="str">
        <f>IFERROR(IF(INDEX(SPOT_Import!$A$1:$Z$2488,2230,'Live Data'!$C$18)="","",INDEX(SPOT_Import!$A$1:$Z$2488,2230,'Live Data'!$C$18)),"")</f>
        <v/>
      </c>
      <c r="H2230" s="54" t="str">
        <f>IFERROR(IF(INDEX(SPOT_Import!$A$1:$Z$2488,2230,'Live Data'!$C$19)="","",INDEX(SPOT_Import!$A$1:$Z$2488,2230,'Live Data'!$C$19)),"")</f>
        <v/>
      </c>
      <c r="I2230" s="54" t="str">
        <f>IFERROR(IF(INDEX(SPOT_Import!$A$1:$Z$2488,2230,'Live Data'!$C$20)="","",INDEX(SPOT_Import!$A$1:$Z$2488,2230,'Live Data'!$C$20)),"")</f>
        <v/>
      </c>
      <c r="J2230" s="54" t="str">
        <f>IFERROR(IF(INDEX(SPOT_Import!$A$1:$Z$2488,2230,'Live Data'!$C$21)="","",INDEX(SPOT_Import!$A$1:$Z$2488,2230,'Live Data'!$C$21)),"")</f>
        <v/>
      </c>
      <c r="K2230" s="54" t="str">
        <f>IFERROR(IF(INDEX(SPOT_Import!$A$1:$Z$2488,2230,'Live Data'!$C$22)="","",INDEX(SPOT_Import!$A$1:$Z$2488,2230,'Live Data'!$C$22)),"")</f>
        <v/>
      </c>
      <c r="L2230" s="55" t="str">
        <f t="shared" si="68"/>
        <v/>
      </c>
      <c r="M2230" s="55" t="str">
        <f t="shared" si="69"/>
        <v/>
      </c>
      <c r="N2230" s="55" t="str">
        <f>IF(A2230="","",IFERROR(INDEX('Cluster Map'!$A$4:$A$38,MATCH(M2230,'Cluster Map'!$B$4:$B$38,0)),"Unmapped"))</f>
        <v/>
      </c>
      <c r="O2230" s="55">
        <f>IF(A2230="",0,IF(COUNTIFS($A$2:A2230,A2230,$F$2:F2230,F2230,$L$2:L2230,L2230)=1,1,0))</f>
        <v>0</v>
      </c>
      <c r="P2230" s="55">
        <f>IF(A2230="",0,IF(AND(F2230="C&amp;T",COUNTIFS($A$2:A2230,A2230,$F$2:F2230,"C&amp;T")=1),1,0))</f>
        <v>0</v>
      </c>
    </row>
    <row r="2231" spans="1:16" x14ac:dyDescent="0.35">
      <c r="A2231" s="54" t="str">
        <f>IFERROR(IF(INDEX(SPOT_Import!$A$1:$Z$2488,2231,'Live Data'!$C$12)="","",INDEX(SPOT_Import!$A$1:$Z$2488,2231,'Live Data'!$C$12)),"")</f>
        <v/>
      </c>
      <c r="B2231" s="54" t="str">
        <f>IFERROR(IF(INDEX(SPOT_Import!$A$1:$Z$2488,2231,'Live Data'!$C$13)="","",INDEX(SPOT_Import!$A$1:$Z$2488,2231,'Live Data'!$C$13)),"")</f>
        <v/>
      </c>
      <c r="C2231" s="54" t="str">
        <f>IFERROR(IF(INDEX(SPOT_Import!$A$1:$Z$2488,2231,'Live Data'!$C$14)="","",INDEX(SPOT_Import!$A$1:$Z$2488,2231,'Live Data'!$C$14)),"")</f>
        <v/>
      </c>
      <c r="D2231" s="54" t="str">
        <f>IFERROR(IF(INDEX(SPOT_Import!$A$1:$Z$2488,2231,'Live Data'!$C$15)="","",INDEX(SPOT_Import!$A$1:$Z$2488,2231,'Live Data'!$C$15)),"")</f>
        <v/>
      </c>
      <c r="E2231" s="54" t="str">
        <f>IFERROR(IF(INDEX(SPOT_Import!$A$1:$Z$2488,2231,'Live Data'!$C$16)="","",INDEX(SPOT_Import!$A$1:$Z$2488,2231,'Live Data'!$C$16)),"")</f>
        <v/>
      </c>
      <c r="F2231" s="54" t="str">
        <f>IFERROR(IF(INDEX(SPOT_Import!$A$1:$Z$2488,2231,'Live Data'!$C$17)="","",INDEX(SPOT_Import!$A$1:$Z$2488,2231,'Live Data'!$C$17)),"")</f>
        <v/>
      </c>
      <c r="G2231" s="54" t="str">
        <f>IFERROR(IF(INDEX(SPOT_Import!$A$1:$Z$2488,2231,'Live Data'!$C$18)="","",INDEX(SPOT_Import!$A$1:$Z$2488,2231,'Live Data'!$C$18)),"")</f>
        <v/>
      </c>
      <c r="H2231" s="54" t="str">
        <f>IFERROR(IF(INDEX(SPOT_Import!$A$1:$Z$2488,2231,'Live Data'!$C$19)="","",INDEX(SPOT_Import!$A$1:$Z$2488,2231,'Live Data'!$C$19)),"")</f>
        <v/>
      </c>
      <c r="I2231" s="54" t="str">
        <f>IFERROR(IF(INDEX(SPOT_Import!$A$1:$Z$2488,2231,'Live Data'!$C$20)="","",INDEX(SPOT_Import!$A$1:$Z$2488,2231,'Live Data'!$C$20)),"")</f>
        <v/>
      </c>
      <c r="J2231" s="54" t="str">
        <f>IFERROR(IF(INDEX(SPOT_Import!$A$1:$Z$2488,2231,'Live Data'!$C$21)="","",INDEX(SPOT_Import!$A$1:$Z$2488,2231,'Live Data'!$C$21)),"")</f>
        <v/>
      </c>
      <c r="K2231" s="54" t="str">
        <f>IFERROR(IF(INDEX(SPOT_Import!$A$1:$Z$2488,2231,'Live Data'!$C$22)="","",INDEX(SPOT_Import!$A$1:$Z$2488,2231,'Live Data'!$C$22)),"")</f>
        <v/>
      </c>
      <c r="L2231" s="55" t="str">
        <f t="shared" si="68"/>
        <v/>
      </c>
      <c r="M2231" s="55" t="str">
        <f t="shared" si="69"/>
        <v/>
      </c>
      <c r="N2231" s="55" t="str">
        <f>IF(A2231="","",IFERROR(INDEX('Cluster Map'!$A$4:$A$38,MATCH(M2231,'Cluster Map'!$B$4:$B$38,0)),"Unmapped"))</f>
        <v/>
      </c>
      <c r="O2231" s="55">
        <f>IF(A2231="",0,IF(COUNTIFS($A$2:A2231,A2231,$F$2:F2231,F2231,$L$2:L2231,L2231)=1,1,0))</f>
        <v>0</v>
      </c>
      <c r="P2231" s="55">
        <f>IF(A2231="",0,IF(AND(F2231="C&amp;T",COUNTIFS($A$2:A2231,A2231,$F$2:F2231,"C&amp;T")=1),1,0))</f>
        <v>0</v>
      </c>
    </row>
    <row r="2232" spans="1:16" x14ac:dyDescent="0.35">
      <c r="A2232" s="54" t="str">
        <f>IFERROR(IF(INDEX(SPOT_Import!$A$1:$Z$2488,2232,'Live Data'!$C$12)="","",INDEX(SPOT_Import!$A$1:$Z$2488,2232,'Live Data'!$C$12)),"")</f>
        <v/>
      </c>
      <c r="B2232" s="54" t="str">
        <f>IFERROR(IF(INDEX(SPOT_Import!$A$1:$Z$2488,2232,'Live Data'!$C$13)="","",INDEX(SPOT_Import!$A$1:$Z$2488,2232,'Live Data'!$C$13)),"")</f>
        <v/>
      </c>
      <c r="C2232" s="54" t="str">
        <f>IFERROR(IF(INDEX(SPOT_Import!$A$1:$Z$2488,2232,'Live Data'!$C$14)="","",INDEX(SPOT_Import!$A$1:$Z$2488,2232,'Live Data'!$C$14)),"")</f>
        <v/>
      </c>
      <c r="D2232" s="54" t="str">
        <f>IFERROR(IF(INDEX(SPOT_Import!$A$1:$Z$2488,2232,'Live Data'!$C$15)="","",INDEX(SPOT_Import!$A$1:$Z$2488,2232,'Live Data'!$C$15)),"")</f>
        <v/>
      </c>
      <c r="E2232" s="54" t="str">
        <f>IFERROR(IF(INDEX(SPOT_Import!$A$1:$Z$2488,2232,'Live Data'!$C$16)="","",INDEX(SPOT_Import!$A$1:$Z$2488,2232,'Live Data'!$C$16)),"")</f>
        <v/>
      </c>
      <c r="F2232" s="54" t="str">
        <f>IFERROR(IF(INDEX(SPOT_Import!$A$1:$Z$2488,2232,'Live Data'!$C$17)="","",INDEX(SPOT_Import!$A$1:$Z$2488,2232,'Live Data'!$C$17)),"")</f>
        <v/>
      </c>
      <c r="G2232" s="54" t="str">
        <f>IFERROR(IF(INDEX(SPOT_Import!$A$1:$Z$2488,2232,'Live Data'!$C$18)="","",INDEX(SPOT_Import!$A$1:$Z$2488,2232,'Live Data'!$C$18)),"")</f>
        <v/>
      </c>
      <c r="H2232" s="54" t="str">
        <f>IFERROR(IF(INDEX(SPOT_Import!$A$1:$Z$2488,2232,'Live Data'!$C$19)="","",INDEX(SPOT_Import!$A$1:$Z$2488,2232,'Live Data'!$C$19)),"")</f>
        <v/>
      </c>
      <c r="I2232" s="54" t="str">
        <f>IFERROR(IF(INDEX(SPOT_Import!$A$1:$Z$2488,2232,'Live Data'!$C$20)="","",INDEX(SPOT_Import!$A$1:$Z$2488,2232,'Live Data'!$C$20)),"")</f>
        <v/>
      </c>
      <c r="J2232" s="54" t="str">
        <f>IFERROR(IF(INDEX(SPOT_Import!$A$1:$Z$2488,2232,'Live Data'!$C$21)="","",INDEX(SPOT_Import!$A$1:$Z$2488,2232,'Live Data'!$C$21)),"")</f>
        <v/>
      </c>
      <c r="K2232" s="54" t="str">
        <f>IFERROR(IF(INDEX(SPOT_Import!$A$1:$Z$2488,2232,'Live Data'!$C$22)="","",INDEX(SPOT_Import!$A$1:$Z$2488,2232,'Live Data'!$C$22)),"")</f>
        <v/>
      </c>
      <c r="L2232" s="55" t="str">
        <f t="shared" si="68"/>
        <v/>
      </c>
      <c r="M2232" s="55" t="str">
        <f t="shared" si="69"/>
        <v/>
      </c>
      <c r="N2232" s="55" t="str">
        <f>IF(A2232="","",IFERROR(INDEX('Cluster Map'!$A$4:$A$38,MATCH(M2232,'Cluster Map'!$B$4:$B$38,0)),"Unmapped"))</f>
        <v/>
      </c>
      <c r="O2232" s="55">
        <f>IF(A2232="",0,IF(COUNTIFS($A$2:A2232,A2232,$F$2:F2232,F2232,$L$2:L2232,L2232)=1,1,0))</f>
        <v>0</v>
      </c>
      <c r="P2232" s="55">
        <f>IF(A2232="",0,IF(AND(F2232="C&amp;T",COUNTIFS($A$2:A2232,A2232,$F$2:F2232,"C&amp;T")=1),1,0))</f>
        <v>0</v>
      </c>
    </row>
    <row r="2233" spans="1:16" x14ac:dyDescent="0.35">
      <c r="A2233" s="54" t="str">
        <f>IFERROR(IF(INDEX(SPOT_Import!$A$1:$Z$2488,2233,'Live Data'!$C$12)="","",INDEX(SPOT_Import!$A$1:$Z$2488,2233,'Live Data'!$C$12)),"")</f>
        <v/>
      </c>
      <c r="B2233" s="54" t="str">
        <f>IFERROR(IF(INDEX(SPOT_Import!$A$1:$Z$2488,2233,'Live Data'!$C$13)="","",INDEX(SPOT_Import!$A$1:$Z$2488,2233,'Live Data'!$C$13)),"")</f>
        <v/>
      </c>
      <c r="C2233" s="54" t="str">
        <f>IFERROR(IF(INDEX(SPOT_Import!$A$1:$Z$2488,2233,'Live Data'!$C$14)="","",INDEX(SPOT_Import!$A$1:$Z$2488,2233,'Live Data'!$C$14)),"")</f>
        <v/>
      </c>
      <c r="D2233" s="54" t="str">
        <f>IFERROR(IF(INDEX(SPOT_Import!$A$1:$Z$2488,2233,'Live Data'!$C$15)="","",INDEX(SPOT_Import!$A$1:$Z$2488,2233,'Live Data'!$C$15)),"")</f>
        <v/>
      </c>
      <c r="E2233" s="54" t="str">
        <f>IFERROR(IF(INDEX(SPOT_Import!$A$1:$Z$2488,2233,'Live Data'!$C$16)="","",INDEX(SPOT_Import!$A$1:$Z$2488,2233,'Live Data'!$C$16)),"")</f>
        <v/>
      </c>
      <c r="F2233" s="54" t="str">
        <f>IFERROR(IF(INDEX(SPOT_Import!$A$1:$Z$2488,2233,'Live Data'!$C$17)="","",INDEX(SPOT_Import!$A$1:$Z$2488,2233,'Live Data'!$C$17)),"")</f>
        <v/>
      </c>
      <c r="G2233" s="54" t="str">
        <f>IFERROR(IF(INDEX(SPOT_Import!$A$1:$Z$2488,2233,'Live Data'!$C$18)="","",INDEX(SPOT_Import!$A$1:$Z$2488,2233,'Live Data'!$C$18)),"")</f>
        <v/>
      </c>
      <c r="H2233" s="54" t="str">
        <f>IFERROR(IF(INDEX(SPOT_Import!$A$1:$Z$2488,2233,'Live Data'!$C$19)="","",INDEX(SPOT_Import!$A$1:$Z$2488,2233,'Live Data'!$C$19)),"")</f>
        <v/>
      </c>
      <c r="I2233" s="54" t="str">
        <f>IFERROR(IF(INDEX(SPOT_Import!$A$1:$Z$2488,2233,'Live Data'!$C$20)="","",INDEX(SPOT_Import!$A$1:$Z$2488,2233,'Live Data'!$C$20)),"")</f>
        <v/>
      </c>
      <c r="J2233" s="54" t="str">
        <f>IFERROR(IF(INDEX(SPOT_Import!$A$1:$Z$2488,2233,'Live Data'!$C$21)="","",INDEX(SPOT_Import!$A$1:$Z$2488,2233,'Live Data'!$C$21)),"")</f>
        <v/>
      </c>
      <c r="K2233" s="54" t="str">
        <f>IFERROR(IF(INDEX(SPOT_Import!$A$1:$Z$2488,2233,'Live Data'!$C$22)="","",INDEX(SPOT_Import!$A$1:$Z$2488,2233,'Live Data'!$C$22)),"")</f>
        <v/>
      </c>
      <c r="L2233" s="55" t="str">
        <f t="shared" si="68"/>
        <v/>
      </c>
      <c r="M2233" s="55" t="str">
        <f t="shared" si="69"/>
        <v/>
      </c>
      <c r="N2233" s="55" t="str">
        <f>IF(A2233="","",IFERROR(INDEX('Cluster Map'!$A$4:$A$38,MATCH(M2233,'Cluster Map'!$B$4:$B$38,0)),"Unmapped"))</f>
        <v/>
      </c>
      <c r="O2233" s="55">
        <f>IF(A2233="",0,IF(COUNTIFS($A$2:A2233,A2233,$F$2:F2233,F2233,$L$2:L2233,L2233)=1,1,0))</f>
        <v>0</v>
      </c>
      <c r="P2233" s="55">
        <f>IF(A2233="",0,IF(AND(F2233="C&amp;T",COUNTIFS($A$2:A2233,A2233,$F$2:F2233,"C&amp;T")=1),1,0))</f>
        <v>0</v>
      </c>
    </row>
    <row r="2234" spans="1:16" x14ac:dyDescent="0.35">
      <c r="A2234" s="54" t="str">
        <f>IFERROR(IF(INDEX(SPOT_Import!$A$1:$Z$2488,2234,'Live Data'!$C$12)="","",INDEX(SPOT_Import!$A$1:$Z$2488,2234,'Live Data'!$C$12)),"")</f>
        <v/>
      </c>
      <c r="B2234" s="54" t="str">
        <f>IFERROR(IF(INDEX(SPOT_Import!$A$1:$Z$2488,2234,'Live Data'!$C$13)="","",INDEX(SPOT_Import!$A$1:$Z$2488,2234,'Live Data'!$C$13)),"")</f>
        <v/>
      </c>
      <c r="C2234" s="54" t="str">
        <f>IFERROR(IF(INDEX(SPOT_Import!$A$1:$Z$2488,2234,'Live Data'!$C$14)="","",INDEX(SPOT_Import!$A$1:$Z$2488,2234,'Live Data'!$C$14)),"")</f>
        <v/>
      </c>
      <c r="D2234" s="54" t="str">
        <f>IFERROR(IF(INDEX(SPOT_Import!$A$1:$Z$2488,2234,'Live Data'!$C$15)="","",INDEX(SPOT_Import!$A$1:$Z$2488,2234,'Live Data'!$C$15)),"")</f>
        <v/>
      </c>
      <c r="E2234" s="54" t="str">
        <f>IFERROR(IF(INDEX(SPOT_Import!$A$1:$Z$2488,2234,'Live Data'!$C$16)="","",INDEX(SPOT_Import!$A$1:$Z$2488,2234,'Live Data'!$C$16)),"")</f>
        <v/>
      </c>
      <c r="F2234" s="54" t="str">
        <f>IFERROR(IF(INDEX(SPOT_Import!$A$1:$Z$2488,2234,'Live Data'!$C$17)="","",INDEX(SPOT_Import!$A$1:$Z$2488,2234,'Live Data'!$C$17)),"")</f>
        <v/>
      </c>
      <c r="G2234" s="54" t="str">
        <f>IFERROR(IF(INDEX(SPOT_Import!$A$1:$Z$2488,2234,'Live Data'!$C$18)="","",INDEX(SPOT_Import!$A$1:$Z$2488,2234,'Live Data'!$C$18)),"")</f>
        <v/>
      </c>
      <c r="H2234" s="54" t="str">
        <f>IFERROR(IF(INDEX(SPOT_Import!$A$1:$Z$2488,2234,'Live Data'!$C$19)="","",INDEX(SPOT_Import!$A$1:$Z$2488,2234,'Live Data'!$C$19)),"")</f>
        <v/>
      </c>
      <c r="I2234" s="54" t="str">
        <f>IFERROR(IF(INDEX(SPOT_Import!$A$1:$Z$2488,2234,'Live Data'!$C$20)="","",INDEX(SPOT_Import!$A$1:$Z$2488,2234,'Live Data'!$C$20)),"")</f>
        <v/>
      </c>
      <c r="J2234" s="54" t="str">
        <f>IFERROR(IF(INDEX(SPOT_Import!$A$1:$Z$2488,2234,'Live Data'!$C$21)="","",INDEX(SPOT_Import!$A$1:$Z$2488,2234,'Live Data'!$C$21)),"")</f>
        <v/>
      </c>
      <c r="K2234" s="54" t="str">
        <f>IFERROR(IF(INDEX(SPOT_Import!$A$1:$Z$2488,2234,'Live Data'!$C$22)="","",INDEX(SPOT_Import!$A$1:$Z$2488,2234,'Live Data'!$C$22)),"")</f>
        <v/>
      </c>
      <c r="L2234" s="55" t="str">
        <f t="shared" si="68"/>
        <v/>
      </c>
      <c r="M2234" s="55" t="str">
        <f t="shared" si="69"/>
        <v/>
      </c>
      <c r="N2234" s="55" t="str">
        <f>IF(A2234="","",IFERROR(INDEX('Cluster Map'!$A$4:$A$38,MATCH(M2234,'Cluster Map'!$B$4:$B$38,0)),"Unmapped"))</f>
        <v/>
      </c>
      <c r="O2234" s="55">
        <f>IF(A2234="",0,IF(COUNTIFS($A$2:A2234,A2234,$F$2:F2234,F2234,$L$2:L2234,L2234)=1,1,0))</f>
        <v>0</v>
      </c>
      <c r="P2234" s="55">
        <f>IF(A2234="",0,IF(AND(F2234="C&amp;T",COUNTIFS($A$2:A2234,A2234,$F$2:F2234,"C&amp;T")=1),1,0))</f>
        <v>0</v>
      </c>
    </row>
    <row r="2235" spans="1:16" x14ac:dyDescent="0.35">
      <c r="A2235" s="54" t="str">
        <f>IFERROR(IF(INDEX(SPOT_Import!$A$1:$Z$2488,2235,'Live Data'!$C$12)="","",INDEX(SPOT_Import!$A$1:$Z$2488,2235,'Live Data'!$C$12)),"")</f>
        <v/>
      </c>
      <c r="B2235" s="54" t="str">
        <f>IFERROR(IF(INDEX(SPOT_Import!$A$1:$Z$2488,2235,'Live Data'!$C$13)="","",INDEX(SPOT_Import!$A$1:$Z$2488,2235,'Live Data'!$C$13)),"")</f>
        <v/>
      </c>
      <c r="C2235" s="54" t="str">
        <f>IFERROR(IF(INDEX(SPOT_Import!$A$1:$Z$2488,2235,'Live Data'!$C$14)="","",INDEX(SPOT_Import!$A$1:$Z$2488,2235,'Live Data'!$C$14)),"")</f>
        <v/>
      </c>
      <c r="D2235" s="54" t="str">
        <f>IFERROR(IF(INDEX(SPOT_Import!$A$1:$Z$2488,2235,'Live Data'!$C$15)="","",INDEX(SPOT_Import!$A$1:$Z$2488,2235,'Live Data'!$C$15)),"")</f>
        <v/>
      </c>
      <c r="E2235" s="54" t="str">
        <f>IFERROR(IF(INDEX(SPOT_Import!$A$1:$Z$2488,2235,'Live Data'!$C$16)="","",INDEX(SPOT_Import!$A$1:$Z$2488,2235,'Live Data'!$C$16)),"")</f>
        <v/>
      </c>
      <c r="F2235" s="54" t="str">
        <f>IFERROR(IF(INDEX(SPOT_Import!$A$1:$Z$2488,2235,'Live Data'!$C$17)="","",INDEX(SPOT_Import!$A$1:$Z$2488,2235,'Live Data'!$C$17)),"")</f>
        <v/>
      </c>
      <c r="G2235" s="54" t="str">
        <f>IFERROR(IF(INDEX(SPOT_Import!$A$1:$Z$2488,2235,'Live Data'!$C$18)="","",INDEX(SPOT_Import!$A$1:$Z$2488,2235,'Live Data'!$C$18)),"")</f>
        <v/>
      </c>
      <c r="H2235" s="54" t="str">
        <f>IFERROR(IF(INDEX(SPOT_Import!$A$1:$Z$2488,2235,'Live Data'!$C$19)="","",INDEX(SPOT_Import!$A$1:$Z$2488,2235,'Live Data'!$C$19)),"")</f>
        <v/>
      </c>
      <c r="I2235" s="54" t="str">
        <f>IFERROR(IF(INDEX(SPOT_Import!$A$1:$Z$2488,2235,'Live Data'!$C$20)="","",INDEX(SPOT_Import!$A$1:$Z$2488,2235,'Live Data'!$C$20)),"")</f>
        <v/>
      </c>
      <c r="J2235" s="54" t="str">
        <f>IFERROR(IF(INDEX(SPOT_Import!$A$1:$Z$2488,2235,'Live Data'!$C$21)="","",INDEX(SPOT_Import!$A$1:$Z$2488,2235,'Live Data'!$C$21)),"")</f>
        <v/>
      </c>
      <c r="K2235" s="54" t="str">
        <f>IFERROR(IF(INDEX(SPOT_Import!$A$1:$Z$2488,2235,'Live Data'!$C$22)="","",INDEX(SPOT_Import!$A$1:$Z$2488,2235,'Live Data'!$C$22)),"")</f>
        <v/>
      </c>
      <c r="L2235" s="55" t="str">
        <f t="shared" si="68"/>
        <v/>
      </c>
      <c r="M2235" s="55" t="str">
        <f t="shared" si="69"/>
        <v/>
      </c>
      <c r="N2235" s="55" t="str">
        <f>IF(A2235="","",IFERROR(INDEX('Cluster Map'!$A$4:$A$38,MATCH(M2235,'Cluster Map'!$B$4:$B$38,0)),"Unmapped"))</f>
        <v/>
      </c>
      <c r="O2235" s="55">
        <f>IF(A2235="",0,IF(COUNTIFS($A$2:A2235,A2235,$F$2:F2235,F2235,$L$2:L2235,L2235)=1,1,0))</f>
        <v>0</v>
      </c>
      <c r="P2235" s="55">
        <f>IF(A2235="",0,IF(AND(F2235="C&amp;T",COUNTIFS($A$2:A2235,A2235,$F$2:F2235,"C&amp;T")=1),1,0))</f>
        <v>0</v>
      </c>
    </row>
    <row r="2236" spans="1:16" x14ac:dyDescent="0.35">
      <c r="A2236" s="54" t="str">
        <f>IFERROR(IF(INDEX(SPOT_Import!$A$1:$Z$2488,2236,'Live Data'!$C$12)="","",INDEX(SPOT_Import!$A$1:$Z$2488,2236,'Live Data'!$C$12)),"")</f>
        <v/>
      </c>
      <c r="B2236" s="54" t="str">
        <f>IFERROR(IF(INDEX(SPOT_Import!$A$1:$Z$2488,2236,'Live Data'!$C$13)="","",INDEX(SPOT_Import!$A$1:$Z$2488,2236,'Live Data'!$C$13)),"")</f>
        <v/>
      </c>
      <c r="C2236" s="54" t="str">
        <f>IFERROR(IF(INDEX(SPOT_Import!$A$1:$Z$2488,2236,'Live Data'!$C$14)="","",INDEX(SPOT_Import!$A$1:$Z$2488,2236,'Live Data'!$C$14)),"")</f>
        <v/>
      </c>
      <c r="D2236" s="54" t="str">
        <f>IFERROR(IF(INDEX(SPOT_Import!$A$1:$Z$2488,2236,'Live Data'!$C$15)="","",INDEX(SPOT_Import!$A$1:$Z$2488,2236,'Live Data'!$C$15)),"")</f>
        <v/>
      </c>
      <c r="E2236" s="54" t="str">
        <f>IFERROR(IF(INDEX(SPOT_Import!$A$1:$Z$2488,2236,'Live Data'!$C$16)="","",INDEX(SPOT_Import!$A$1:$Z$2488,2236,'Live Data'!$C$16)),"")</f>
        <v/>
      </c>
      <c r="F2236" s="54" t="str">
        <f>IFERROR(IF(INDEX(SPOT_Import!$A$1:$Z$2488,2236,'Live Data'!$C$17)="","",INDEX(SPOT_Import!$A$1:$Z$2488,2236,'Live Data'!$C$17)),"")</f>
        <v/>
      </c>
      <c r="G2236" s="54" t="str">
        <f>IFERROR(IF(INDEX(SPOT_Import!$A$1:$Z$2488,2236,'Live Data'!$C$18)="","",INDEX(SPOT_Import!$A$1:$Z$2488,2236,'Live Data'!$C$18)),"")</f>
        <v/>
      </c>
      <c r="H2236" s="54" t="str">
        <f>IFERROR(IF(INDEX(SPOT_Import!$A$1:$Z$2488,2236,'Live Data'!$C$19)="","",INDEX(SPOT_Import!$A$1:$Z$2488,2236,'Live Data'!$C$19)),"")</f>
        <v/>
      </c>
      <c r="I2236" s="54" t="str">
        <f>IFERROR(IF(INDEX(SPOT_Import!$A$1:$Z$2488,2236,'Live Data'!$C$20)="","",INDEX(SPOT_Import!$A$1:$Z$2488,2236,'Live Data'!$C$20)),"")</f>
        <v/>
      </c>
      <c r="J2236" s="54" t="str">
        <f>IFERROR(IF(INDEX(SPOT_Import!$A$1:$Z$2488,2236,'Live Data'!$C$21)="","",INDEX(SPOT_Import!$A$1:$Z$2488,2236,'Live Data'!$C$21)),"")</f>
        <v/>
      </c>
      <c r="K2236" s="54" t="str">
        <f>IFERROR(IF(INDEX(SPOT_Import!$A$1:$Z$2488,2236,'Live Data'!$C$22)="","",INDEX(SPOT_Import!$A$1:$Z$2488,2236,'Live Data'!$C$22)),"")</f>
        <v/>
      </c>
      <c r="L2236" s="55" t="str">
        <f t="shared" si="68"/>
        <v/>
      </c>
      <c r="M2236" s="55" t="str">
        <f t="shared" si="69"/>
        <v/>
      </c>
      <c r="N2236" s="55" t="str">
        <f>IF(A2236="","",IFERROR(INDEX('Cluster Map'!$A$4:$A$38,MATCH(M2236,'Cluster Map'!$B$4:$B$38,0)),"Unmapped"))</f>
        <v/>
      </c>
      <c r="O2236" s="55">
        <f>IF(A2236="",0,IF(COUNTIFS($A$2:A2236,A2236,$F$2:F2236,F2236,$L$2:L2236,L2236)=1,1,0))</f>
        <v>0</v>
      </c>
      <c r="P2236" s="55">
        <f>IF(A2236="",0,IF(AND(F2236="C&amp;T",COUNTIFS($A$2:A2236,A2236,$F$2:F2236,"C&amp;T")=1),1,0))</f>
        <v>0</v>
      </c>
    </row>
    <row r="2237" spans="1:16" x14ac:dyDescent="0.35">
      <c r="A2237" s="54" t="str">
        <f>IFERROR(IF(INDEX(SPOT_Import!$A$1:$Z$2488,2237,'Live Data'!$C$12)="","",INDEX(SPOT_Import!$A$1:$Z$2488,2237,'Live Data'!$C$12)),"")</f>
        <v/>
      </c>
      <c r="B2237" s="54" t="str">
        <f>IFERROR(IF(INDEX(SPOT_Import!$A$1:$Z$2488,2237,'Live Data'!$C$13)="","",INDEX(SPOT_Import!$A$1:$Z$2488,2237,'Live Data'!$C$13)),"")</f>
        <v/>
      </c>
      <c r="C2237" s="54" t="str">
        <f>IFERROR(IF(INDEX(SPOT_Import!$A$1:$Z$2488,2237,'Live Data'!$C$14)="","",INDEX(SPOT_Import!$A$1:$Z$2488,2237,'Live Data'!$C$14)),"")</f>
        <v/>
      </c>
      <c r="D2237" s="54" t="str">
        <f>IFERROR(IF(INDEX(SPOT_Import!$A$1:$Z$2488,2237,'Live Data'!$C$15)="","",INDEX(SPOT_Import!$A$1:$Z$2488,2237,'Live Data'!$C$15)),"")</f>
        <v/>
      </c>
      <c r="E2237" s="54" t="str">
        <f>IFERROR(IF(INDEX(SPOT_Import!$A$1:$Z$2488,2237,'Live Data'!$C$16)="","",INDEX(SPOT_Import!$A$1:$Z$2488,2237,'Live Data'!$C$16)),"")</f>
        <v/>
      </c>
      <c r="F2237" s="54" t="str">
        <f>IFERROR(IF(INDEX(SPOT_Import!$A$1:$Z$2488,2237,'Live Data'!$C$17)="","",INDEX(SPOT_Import!$A$1:$Z$2488,2237,'Live Data'!$C$17)),"")</f>
        <v/>
      </c>
      <c r="G2237" s="54" t="str">
        <f>IFERROR(IF(INDEX(SPOT_Import!$A$1:$Z$2488,2237,'Live Data'!$C$18)="","",INDEX(SPOT_Import!$A$1:$Z$2488,2237,'Live Data'!$C$18)),"")</f>
        <v/>
      </c>
      <c r="H2237" s="54" t="str">
        <f>IFERROR(IF(INDEX(SPOT_Import!$A$1:$Z$2488,2237,'Live Data'!$C$19)="","",INDEX(SPOT_Import!$A$1:$Z$2488,2237,'Live Data'!$C$19)),"")</f>
        <v/>
      </c>
      <c r="I2237" s="54" t="str">
        <f>IFERROR(IF(INDEX(SPOT_Import!$A$1:$Z$2488,2237,'Live Data'!$C$20)="","",INDEX(SPOT_Import!$A$1:$Z$2488,2237,'Live Data'!$C$20)),"")</f>
        <v/>
      </c>
      <c r="J2237" s="54" t="str">
        <f>IFERROR(IF(INDEX(SPOT_Import!$A$1:$Z$2488,2237,'Live Data'!$C$21)="","",INDEX(SPOT_Import!$A$1:$Z$2488,2237,'Live Data'!$C$21)),"")</f>
        <v/>
      </c>
      <c r="K2237" s="54" t="str">
        <f>IFERROR(IF(INDEX(SPOT_Import!$A$1:$Z$2488,2237,'Live Data'!$C$22)="","",INDEX(SPOT_Import!$A$1:$Z$2488,2237,'Live Data'!$C$22)),"")</f>
        <v/>
      </c>
      <c r="L2237" s="55" t="str">
        <f t="shared" si="68"/>
        <v/>
      </c>
      <c r="M2237" s="55" t="str">
        <f t="shared" si="69"/>
        <v/>
      </c>
      <c r="N2237" s="55" t="str">
        <f>IF(A2237="","",IFERROR(INDEX('Cluster Map'!$A$4:$A$38,MATCH(M2237,'Cluster Map'!$B$4:$B$38,0)),"Unmapped"))</f>
        <v/>
      </c>
      <c r="O2237" s="55">
        <f>IF(A2237="",0,IF(COUNTIFS($A$2:A2237,A2237,$F$2:F2237,F2237,$L$2:L2237,L2237)=1,1,0))</f>
        <v>0</v>
      </c>
      <c r="P2237" s="55">
        <f>IF(A2237="",0,IF(AND(F2237="C&amp;T",COUNTIFS($A$2:A2237,A2237,$F$2:F2237,"C&amp;T")=1),1,0))</f>
        <v>0</v>
      </c>
    </row>
    <row r="2238" spans="1:16" x14ac:dyDescent="0.35">
      <c r="A2238" s="54" t="str">
        <f>IFERROR(IF(INDEX(SPOT_Import!$A$1:$Z$2488,2238,'Live Data'!$C$12)="","",INDEX(SPOT_Import!$A$1:$Z$2488,2238,'Live Data'!$C$12)),"")</f>
        <v/>
      </c>
      <c r="B2238" s="54" t="str">
        <f>IFERROR(IF(INDEX(SPOT_Import!$A$1:$Z$2488,2238,'Live Data'!$C$13)="","",INDEX(SPOT_Import!$A$1:$Z$2488,2238,'Live Data'!$C$13)),"")</f>
        <v/>
      </c>
      <c r="C2238" s="54" t="str">
        <f>IFERROR(IF(INDEX(SPOT_Import!$A$1:$Z$2488,2238,'Live Data'!$C$14)="","",INDEX(SPOT_Import!$A$1:$Z$2488,2238,'Live Data'!$C$14)),"")</f>
        <v/>
      </c>
      <c r="D2238" s="54" t="str">
        <f>IFERROR(IF(INDEX(SPOT_Import!$A$1:$Z$2488,2238,'Live Data'!$C$15)="","",INDEX(SPOT_Import!$A$1:$Z$2488,2238,'Live Data'!$C$15)),"")</f>
        <v/>
      </c>
      <c r="E2238" s="54" t="str">
        <f>IFERROR(IF(INDEX(SPOT_Import!$A$1:$Z$2488,2238,'Live Data'!$C$16)="","",INDEX(SPOT_Import!$A$1:$Z$2488,2238,'Live Data'!$C$16)),"")</f>
        <v/>
      </c>
      <c r="F2238" s="54" t="str">
        <f>IFERROR(IF(INDEX(SPOT_Import!$A$1:$Z$2488,2238,'Live Data'!$C$17)="","",INDEX(SPOT_Import!$A$1:$Z$2488,2238,'Live Data'!$C$17)),"")</f>
        <v/>
      </c>
      <c r="G2238" s="54" t="str">
        <f>IFERROR(IF(INDEX(SPOT_Import!$A$1:$Z$2488,2238,'Live Data'!$C$18)="","",INDEX(SPOT_Import!$A$1:$Z$2488,2238,'Live Data'!$C$18)),"")</f>
        <v/>
      </c>
      <c r="H2238" s="54" t="str">
        <f>IFERROR(IF(INDEX(SPOT_Import!$A$1:$Z$2488,2238,'Live Data'!$C$19)="","",INDEX(SPOT_Import!$A$1:$Z$2488,2238,'Live Data'!$C$19)),"")</f>
        <v/>
      </c>
      <c r="I2238" s="54" t="str">
        <f>IFERROR(IF(INDEX(SPOT_Import!$A$1:$Z$2488,2238,'Live Data'!$C$20)="","",INDEX(SPOT_Import!$A$1:$Z$2488,2238,'Live Data'!$C$20)),"")</f>
        <v/>
      </c>
      <c r="J2238" s="54" t="str">
        <f>IFERROR(IF(INDEX(SPOT_Import!$A$1:$Z$2488,2238,'Live Data'!$C$21)="","",INDEX(SPOT_Import!$A$1:$Z$2488,2238,'Live Data'!$C$21)),"")</f>
        <v/>
      </c>
      <c r="K2238" s="54" t="str">
        <f>IFERROR(IF(INDEX(SPOT_Import!$A$1:$Z$2488,2238,'Live Data'!$C$22)="","",INDEX(SPOT_Import!$A$1:$Z$2488,2238,'Live Data'!$C$22)),"")</f>
        <v/>
      </c>
      <c r="L2238" s="55" t="str">
        <f t="shared" si="68"/>
        <v/>
      </c>
      <c r="M2238" s="55" t="str">
        <f t="shared" si="69"/>
        <v/>
      </c>
      <c r="N2238" s="55" t="str">
        <f>IF(A2238="","",IFERROR(INDEX('Cluster Map'!$A$4:$A$38,MATCH(M2238,'Cluster Map'!$B$4:$B$38,0)),"Unmapped"))</f>
        <v/>
      </c>
      <c r="O2238" s="55">
        <f>IF(A2238="",0,IF(COUNTIFS($A$2:A2238,A2238,$F$2:F2238,F2238,$L$2:L2238,L2238)=1,1,0))</f>
        <v>0</v>
      </c>
      <c r="P2238" s="55">
        <f>IF(A2238="",0,IF(AND(F2238="C&amp;T",COUNTIFS($A$2:A2238,A2238,$F$2:F2238,"C&amp;T")=1),1,0))</f>
        <v>0</v>
      </c>
    </row>
    <row r="2239" spans="1:16" x14ac:dyDescent="0.35">
      <c r="A2239" s="54" t="str">
        <f>IFERROR(IF(INDEX(SPOT_Import!$A$1:$Z$2488,2239,'Live Data'!$C$12)="","",INDEX(SPOT_Import!$A$1:$Z$2488,2239,'Live Data'!$C$12)),"")</f>
        <v/>
      </c>
      <c r="B2239" s="54" t="str">
        <f>IFERROR(IF(INDEX(SPOT_Import!$A$1:$Z$2488,2239,'Live Data'!$C$13)="","",INDEX(SPOT_Import!$A$1:$Z$2488,2239,'Live Data'!$C$13)),"")</f>
        <v/>
      </c>
      <c r="C2239" s="54" t="str">
        <f>IFERROR(IF(INDEX(SPOT_Import!$A$1:$Z$2488,2239,'Live Data'!$C$14)="","",INDEX(SPOT_Import!$A$1:$Z$2488,2239,'Live Data'!$C$14)),"")</f>
        <v/>
      </c>
      <c r="D2239" s="54" t="str">
        <f>IFERROR(IF(INDEX(SPOT_Import!$A$1:$Z$2488,2239,'Live Data'!$C$15)="","",INDEX(SPOT_Import!$A$1:$Z$2488,2239,'Live Data'!$C$15)),"")</f>
        <v/>
      </c>
      <c r="E2239" s="54" t="str">
        <f>IFERROR(IF(INDEX(SPOT_Import!$A$1:$Z$2488,2239,'Live Data'!$C$16)="","",INDEX(SPOT_Import!$A$1:$Z$2488,2239,'Live Data'!$C$16)),"")</f>
        <v/>
      </c>
      <c r="F2239" s="54" t="str">
        <f>IFERROR(IF(INDEX(SPOT_Import!$A$1:$Z$2488,2239,'Live Data'!$C$17)="","",INDEX(SPOT_Import!$A$1:$Z$2488,2239,'Live Data'!$C$17)),"")</f>
        <v/>
      </c>
      <c r="G2239" s="54" t="str">
        <f>IFERROR(IF(INDEX(SPOT_Import!$A$1:$Z$2488,2239,'Live Data'!$C$18)="","",INDEX(SPOT_Import!$A$1:$Z$2488,2239,'Live Data'!$C$18)),"")</f>
        <v/>
      </c>
      <c r="H2239" s="54" t="str">
        <f>IFERROR(IF(INDEX(SPOT_Import!$A$1:$Z$2488,2239,'Live Data'!$C$19)="","",INDEX(SPOT_Import!$A$1:$Z$2488,2239,'Live Data'!$C$19)),"")</f>
        <v/>
      </c>
      <c r="I2239" s="54" t="str">
        <f>IFERROR(IF(INDEX(SPOT_Import!$A$1:$Z$2488,2239,'Live Data'!$C$20)="","",INDEX(SPOT_Import!$A$1:$Z$2488,2239,'Live Data'!$C$20)),"")</f>
        <v/>
      </c>
      <c r="J2239" s="54" t="str">
        <f>IFERROR(IF(INDEX(SPOT_Import!$A$1:$Z$2488,2239,'Live Data'!$C$21)="","",INDEX(SPOT_Import!$A$1:$Z$2488,2239,'Live Data'!$C$21)),"")</f>
        <v/>
      </c>
      <c r="K2239" s="54" t="str">
        <f>IFERROR(IF(INDEX(SPOT_Import!$A$1:$Z$2488,2239,'Live Data'!$C$22)="","",INDEX(SPOT_Import!$A$1:$Z$2488,2239,'Live Data'!$C$22)),"")</f>
        <v/>
      </c>
      <c r="L2239" s="55" t="str">
        <f t="shared" si="68"/>
        <v/>
      </c>
      <c r="M2239" s="55" t="str">
        <f t="shared" si="69"/>
        <v/>
      </c>
      <c r="N2239" s="55" t="str">
        <f>IF(A2239="","",IFERROR(INDEX('Cluster Map'!$A$4:$A$38,MATCH(M2239,'Cluster Map'!$B$4:$B$38,0)),"Unmapped"))</f>
        <v/>
      </c>
      <c r="O2239" s="55">
        <f>IF(A2239="",0,IF(COUNTIFS($A$2:A2239,A2239,$F$2:F2239,F2239,$L$2:L2239,L2239)=1,1,0))</f>
        <v>0</v>
      </c>
      <c r="P2239" s="55">
        <f>IF(A2239="",0,IF(AND(F2239="C&amp;T",COUNTIFS($A$2:A2239,A2239,$F$2:F2239,"C&amp;T")=1),1,0))</f>
        <v>0</v>
      </c>
    </row>
    <row r="2240" spans="1:16" x14ac:dyDescent="0.35">
      <c r="A2240" s="54" t="str">
        <f>IFERROR(IF(INDEX(SPOT_Import!$A$1:$Z$2488,2240,'Live Data'!$C$12)="","",INDEX(SPOT_Import!$A$1:$Z$2488,2240,'Live Data'!$C$12)),"")</f>
        <v/>
      </c>
      <c r="B2240" s="54" t="str">
        <f>IFERROR(IF(INDEX(SPOT_Import!$A$1:$Z$2488,2240,'Live Data'!$C$13)="","",INDEX(SPOT_Import!$A$1:$Z$2488,2240,'Live Data'!$C$13)),"")</f>
        <v/>
      </c>
      <c r="C2240" s="54" t="str">
        <f>IFERROR(IF(INDEX(SPOT_Import!$A$1:$Z$2488,2240,'Live Data'!$C$14)="","",INDEX(SPOT_Import!$A$1:$Z$2488,2240,'Live Data'!$C$14)),"")</f>
        <v/>
      </c>
      <c r="D2240" s="54" t="str">
        <f>IFERROR(IF(INDEX(SPOT_Import!$A$1:$Z$2488,2240,'Live Data'!$C$15)="","",INDEX(SPOT_Import!$A$1:$Z$2488,2240,'Live Data'!$C$15)),"")</f>
        <v/>
      </c>
      <c r="E2240" s="54" t="str">
        <f>IFERROR(IF(INDEX(SPOT_Import!$A$1:$Z$2488,2240,'Live Data'!$C$16)="","",INDEX(SPOT_Import!$A$1:$Z$2488,2240,'Live Data'!$C$16)),"")</f>
        <v/>
      </c>
      <c r="F2240" s="54" t="str">
        <f>IFERROR(IF(INDEX(SPOT_Import!$A$1:$Z$2488,2240,'Live Data'!$C$17)="","",INDEX(SPOT_Import!$A$1:$Z$2488,2240,'Live Data'!$C$17)),"")</f>
        <v/>
      </c>
      <c r="G2240" s="54" t="str">
        <f>IFERROR(IF(INDEX(SPOT_Import!$A$1:$Z$2488,2240,'Live Data'!$C$18)="","",INDEX(SPOT_Import!$A$1:$Z$2488,2240,'Live Data'!$C$18)),"")</f>
        <v/>
      </c>
      <c r="H2240" s="54" t="str">
        <f>IFERROR(IF(INDEX(SPOT_Import!$A$1:$Z$2488,2240,'Live Data'!$C$19)="","",INDEX(SPOT_Import!$A$1:$Z$2488,2240,'Live Data'!$C$19)),"")</f>
        <v/>
      </c>
      <c r="I2240" s="54" t="str">
        <f>IFERROR(IF(INDEX(SPOT_Import!$A$1:$Z$2488,2240,'Live Data'!$C$20)="","",INDEX(SPOT_Import!$A$1:$Z$2488,2240,'Live Data'!$C$20)),"")</f>
        <v/>
      </c>
      <c r="J2240" s="54" t="str">
        <f>IFERROR(IF(INDEX(SPOT_Import!$A$1:$Z$2488,2240,'Live Data'!$C$21)="","",INDEX(SPOT_Import!$A$1:$Z$2488,2240,'Live Data'!$C$21)),"")</f>
        <v/>
      </c>
      <c r="K2240" s="54" t="str">
        <f>IFERROR(IF(INDEX(SPOT_Import!$A$1:$Z$2488,2240,'Live Data'!$C$22)="","",INDEX(SPOT_Import!$A$1:$Z$2488,2240,'Live Data'!$C$22)),"")</f>
        <v/>
      </c>
      <c r="L2240" s="55" t="str">
        <f t="shared" si="68"/>
        <v/>
      </c>
      <c r="M2240" s="55" t="str">
        <f t="shared" si="69"/>
        <v/>
      </c>
      <c r="N2240" s="55" t="str">
        <f>IF(A2240="","",IFERROR(INDEX('Cluster Map'!$A$4:$A$38,MATCH(M2240,'Cluster Map'!$B$4:$B$38,0)),"Unmapped"))</f>
        <v/>
      </c>
      <c r="O2240" s="55">
        <f>IF(A2240="",0,IF(COUNTIFS($A$2:A2240,A2240,$F$2:F2240,F2240,$L$2:L2240,L2240)=1,1,0))</f>
        <v>0</v>
      </c>
      <c r="P2240" s="55">
        <f>IF(A2240="",0,IF(AND(F2240="C&amp;T",COUNTIFS($A$2:A2240,A2240,$F$2:F2240,"C&amp;T")=1),1,0))</f>
        <v>0</v>
      </c>
    </row>
    <row r="2241" spans="1:16" x14ac:dyDescent="0.35">
      <c r="A2241" s="54" t="str">
        <f>IFERROR(IF(INDEX(SPOT_Import!$A$1:$Z$2488,2241,'Live Data'!$C$12)="","",INDEX(SPOT_Import!$A$1:$Z$2488,2241,'Live Data'!$C$12)),"")</f>
        <v/>
      </c>
      <c r="B2241" s="54" t="str">
        <f>IFERROR(IF(INDEX(SPOT_Import!$A$1:$Z$2488,2241,'Live Data'!$C$13)="","",INDEX(SPOT_Import!$A$1:$Z$2488,2241,'Live Data'!$C$13)),"")</f>
        <v/>
      </c>
      <c r="C2241" s="54" t="str">
        <f>IFERROR(IF(INDEX(SPOT_Import!$A$1:$Z$2488,2241,'Live Data'!$C$14)="","",INDEX(SPOT_Import!$A$1:$Z$2488,2241,'Live Data'!$C$14)),"")</f>
        <v/>
      </c>
      <c r="D2241" s="54" t="str">
        <f>IFERROR(IF(INDEX(SPOT_Import!$A$1:$Z$2488,2241,'Live Data'!$C$15)="","",INDEX(SPOT_Import!$A$1:$Z$2488,2241,'Live Data'!$C$15)),"")</f>
        <v/>
      </c>
      <c r="E2241" s="54" t="str">
        <f>IFERROR(IF(INDEX(SPOT_Import!$A$1:$Z$2488,2241,'Live Data'!$C$16)="","",INDEX(SPOT_Import!$A$1:$Z$2488,2241,'Live Data'!$C$16)),"")</f>
        <v/>
      </c>
      <c r="F2241" s="54" t="str">
        <f>IFERROR(IF(INDEX(SPOT_Import!$A$1:$Z$2488,2241,'Live Data'!$C$17)="","",INDEX(SPOT_Import!$A$1:$Z$2488,2241,'Live Data'!$C$17)),"")</f>
        <v/>
      </c>
      <c r="G2241" s="54" t="str">
        <f>IFERROR(IF(INDEX(SPOT_Import!$A$1:$Z$2488,2241,'Live Data'!$C$18)="","",INDEX(SPOT_Import!$A$1:$Z$2488,2241,'Live Data'!$C$18)),"")</f>
        <v/>
      </c>
      <c r="H2241" s="54" t="str">
        <f>IFERROR(IF(INDEX(SPOT_Import!$A$1:$Z$2488,2241,'Live Data'!$C$19)="","",INDEX(SPOT_Import!$A$1:$Z$2488,2241,'Live Data'!$C$19)),"")</f>
        <v/>
      </c>
      <c r="I2241" s="54" t="str">
        <f>IFERROR(IF(INDEX(SPOT_Import!$A$1:$Z$2488,2241,'Live Data'!$C$20)="","",INDEX(SPOT_Import!$A$1:$Z$2488,2241,'Live Data'!$C$20)),"")</f>
        <v/>
      </c>
      <c r="J2241" s="54" t="str">
        <f>IFERROR(IF(INDEX(SPOT_Import!$A$1:$Z$2488,2241,'Live Data'!$C$21)="","",INDEX(SPOT_Import!$A$1:$Z$2488,2241,'Live Data'!$C$21)),"")</f>
        <v/>
      </c>
      <c r="K2241" s="54" t="str">
        <f>IFERROR(IF(INDEX(SPOT_Import!$A$1:$Z$2488,2241,'Live Data'!$C$22)="","",INDEX(SPOT_Import!$A$1:$Z$2488,2241,'Live Data'!$C$22)),"")</f>
        <v/>
      </c>
      <c r="L2241" s="55" t="str">
        <f t="shared" si="68"/>
        <v/>
      </c>
      <c r="M2241" s="55" t="str">
        <f t="shared" si="69"/>
        <v/>
      </c>
      <c r="N2241" s="55" t="str">
        <f>IF(A2241="","",IFERROR(INDEX('Cluster Map'!$A$4:$A$38,MATCH(M2241,'Cluster Map'!$B$4:$B$38,0)),"Unmapped"))</f>
        <v/>
      </c>
      <c r="O2241" s="55">
        <f>IF(A2241="",0,IF(COUNTIFS($A$2:A2241,A2241,$F$2:F2241,F2241,$L$2:L2241,L2241)=1,1,0))</f>
        <v>0</v>
      </c>
      <c r="P2241" s="55">
        <f>IF(A2241="",0,IF(AND(F2241="C&amp;T",COUNTIFS($A$2:A2241,A2241,$F$2:F2241,"C&amp;T")=1),1,0))</f>
        <v>0</v>
      </c>
    </row>
    <row r="2242" spans="1:16" x14ac:dyDescent="0.35">
      <c r="A2242" s="54" t="str">
        <f>IFERROR(IF(INDEX(SPOT_Import!$A$1:$Z$2488,2242,'Live Data'!$C$12)="","",INDEX(SPOT_Import!$A$1:$Z$2488,2242,'Live Data'!$C$12)),"")</f>
        <v/>
      </c>
      <c r="B2242" s="54" t="str">
        <f>IFERROR(IF(INDEX(SPOT_Import!$A$1:$Z$2488,2242,'Live Data'!$C$13)="","",INDEX(SPOT_Import!$A$1:$Z$2488,2242,'Live Data'!$C$13)),"")</f>
        <v/>
      </c>
      <c r="C2242" s="54" t="str">
        <f>IFERROR(IF(INDEX(SPOT_Import!$A$1:$Z$2488,2242,'Live Data'!$C$14)="","",INDEX(SPOT_Import!$A$1:$Z$2488,2242,'Live Data'!$C$14)),"")</f>
        <v/>
      </c>
      <c r="D2242" s="54" t="str">
        <f>IFERROR(IF(INDEX(SPOT_Import!$A$1:$Z$2488,2242,'Live Data'!$C$15)="","",INDEX(SPOT_Import!$A$1:$Z$2488,2242,'Live Data'!$C$15)),"")</f>
        <v/>
      </c>
      <c r="E2242" s="54" t="str">
        <f>IFERROR(IF(INDEX(SPOT_Import!$A$1:$Z$2488,2242,'Live Data'!$C$16)="","",INDEX(SPOT_Import!$A$1:$Z$2488,2242,'Live Data'!$C$16)),"")</f>
        <v/>
      </c>
      <c r="F2242" s="54" t="str">
        <f>IFERROR(IF(INDEX(SPOT_Import!$A$1:$Z$2488,2242,'Live Data'!$C$17)="","",INDEX(SPOT_Import!$A$1:$Z$2488,2242,'Live Data'!$C$17)),"")</f>
        <v/>
      </c>
      <c r="G2242" s="54" t="str">
        <f>IFERROR(IF(INDEX(SPOT_Import!$A$1:$Z$2488,2242,'Live Data'!$C$18)="","",INDEX(SPOT_Import!$A$1:$Z$2488,2242,'Live Data'!$C$18)),"")</f>
        <v/>
      </c>
      <c r="H2242" s="54" t="str">
        <f>IFERROR(IF(INDEX(SPOT_Import!$A$1:$Z$2488,2242,'Live Data'!$C$19)="","",INDEX(SPOT_Import!$A$1:$Z$2488,2242,'Live Data'!$C$19)),"")</f>
        <v/>
      </c>
      <c r="I2242" s="54" t="str">
        <f>IFERROR(IF(INDEX(SPOT_Import!$A$1:$Z$2488,2242,'Live Data'!$C$20)="","",INDEX(SPOT_Import!$A$1:$Z$2488,2242,'Live Data'!$C$20)),"")</f>
        <v/>
      </c>
      <c r="J2242" s="54" t="str">
        <f>IFERROR(IF(INDEX(SPOT_Import!$A$1:$Z$2488,2242,'Live Data'!$C$21)="","",INDEX(SPOT_Import!$A$1:$Z$2488,2242,'Live Data'!$C$21)),"")</f>
        <v/>
      </c>
      <c r="K2242" s="54" t="str">
        <f>IFERROR(IF(INDEX(SPOT_Import!$A$1:$Z$2488,2242,'Live Data'!$C$22)="","",INDEX(SPOT_Import!$A$1:$Z$2488,2242,'Live Data'!$C$22)),"")</f>
        <v/>
      </c>
      <c r="L2242" s="55" t="str">
        <f t="shared" ref="L2242:L2305" si="70">IF(A2242="","",IF(ISNUMBER(K2242),TEXT(K2242,"yyyy-mm"),LEFT(K2242,7)))</f>
        <v/>
      </c>
      <c r="M2242" s="55" t="str">
        <f t="shared" ref="M2242:M2305" si="71">IF(A2242="","",UPPER(TRIM(SUBSTITUTE(C2242," - ","-"))))</f>
        <v/>
      </c>
      <c r="N2242" s="55" t="str">
        <f>IF(A2242="","",IFERROR(INDEX('Cluster Map'!$A$4:$A$38,MATCH(M2242,'Cluster Map'!$B$4:$B$38,0)),"Unmapped"))</f>
        <v/>
      </c>
      <c r="O2242" s="55">
        <f>IF(A2242="",0,IF(COUNTIFS($A$2:A2242,A2242,$F$2:F2242,F2242,$L$2:L2242,L2242)=1,1,0))</f>
        <v>0</v>
      </c>
      <c r="P2242" s="55">
        <f>IF(A2242="",0,IF(AND(F2242="C&amp;T",COUNTIFS($A$2:A2242,A2242,$F$2:F2242,"C&amp;T")=1),1,0))</f>
        <v>0</v>
      </c>
    </row>
    <row r="2243" spans="1:16" x14ac:dyDescent="0.35">
      <c r="A2243" s="54" t="str">
        <f>IFERROR(IF(INDEX(SPOT_Import!$A$1:$Z$2488,2243,'Live Data'!$C$12)="","",INDEX(SPOT_Import!$A$1:$Z$2488,2243,'Live Data'!$C$12)),"")</f>
        <v/>
      </c>
      <c r="B2243" s="54" t="str">
        <f>IFERROR(IF(INDEX(SPOT_Import!$A$1:$Z$2488,2243,'Live Data'!$C$13)="","",INDEX(SPOT_Import!$A$1:$Z$2488,2243,'Live Data'!$C$13)),"")</f>
        <v/>
      </c>
      <c r="C2243" s="54" t="str">
        <f>IFERROR(IF(INDEX(SPOT_Import!$A$1:$Z$2488,2243,'Live Data'!$C$14)="","",INDEX(SPOT_Import!$A$1:$Z$2488,2243,'Live Data'!$C$14)),"")</f>
        <v/>
      </c>
      <c r="D2243" s="54" t="str">
        <f>IFERROR(IF(INDEX(SPOT_Import!$A$1:$Z$2488,2243,'Live Data'!$C$15)="","",INDEX(SPOT_Import!$A$1:$Z$2488,2243,'Live Data'!$C$15)),"")</f>
        <v/>
      </c>
      <c r="E2243" s="54" t="str">
        <f>IFERROR(IF(INDEX(SPOT_Import!$A$1:$Z$2488,2243,'Live Data'!$C$16)="","",INDEX(SPOT_Import!$A$1:$Z$2488,2243,'Live Data'!$C$16)),"")</f>
        <v/>
      </c>
      <c r="F2243" s="54" t="str">
        <f>IFERROR(IF(INDEX(SPOT_Import!$A$1:$Z$2488,2243,'Live Data'!$C$17)="","",INDEX(SPOT_Import!$A$1:$Z$2488,2243,'Live Data'!$C$17)),"")</f>
        <v/>
      </c>
      <c r="G2243" s="54" t="str">
        <f>IFERROR(IF(INDEX(SPOT_Import!$A$1:$Z$2488,2243,'Live Data'!$C$18)="","",INDEX(SPOT_Import!$A$1:$Z$2488,2243,'Live Data'!$C$18)),"")</f>
        <v/>
      </c>
      <c r="H2243" s="54" t="str">
        <f>IFERROR(IF(INDEX(SPOT_Import!$A$1:$Z$2488,2243,'Live Data'!$C$19)="","",INDEX(SPOT_Import!$A$1:$Z$2488,2243,'Live Data'!$C$19)),"")</f>
        <v/>
      </c>
      <c r="I2243" s="54" t="str">
        <f>IFERROR(IF(INDEX(SPOT_Import!$A$1:$Z$2488,2243,'Live Data'!$C$20)="","",INDEX(SPOT_Import!$A$1:$Z$2488,2243,'Live Data'!$C$20)),"")</f>
        <v/>
      </c>
      <c r="J2243" s="54" t="str">
        <f>IFERROR(IF(INDEX(SPOT_Import!$A$1:$Z$2488,2243,'Live Data'!$C$21)="","",INDEX(SPOT_Import!$A$1:$Z$2488,2243,'Live Data'!$C$21)),"")</f>
        <v/>
      </c>
      <c r="K2243" s="54" t="str">
        <f>IFERROR(IF(INDEX(SPOT_Import!$A$1:$Z$2488,2243,'Live Data'!$C$22)="","",INDEX(SPOT_Import!$A$1:$Z$2488,2243,'Live Data'!$C$22)),"")</f>
        <v/>
      </c>
      <c r="L2243" s="55" t="str">
        <f t="shared" si="70"/>
        <v/>
      </c>
      <c r="M2243" s="55" t="str">
        <f t="shared" si="71"/>
        <v/>
      </c>
      <c r="N2243" s="55" t="str">
        <f>IF(A2243="","",IFERROR(INDEX('Cluster Map'!$A$4:$A$38,MATCH(M2243,'Cluster Map'!$B$4:$B$38,0)),"Unmapped"))</f>
        <v/>
      </c>
      <c r="O2243" s="55">
        <f>IF(A2243="",0,IF(COUNTIFS($A$2:A2243,A2243,$F$2:F2243,F2243,$L$2:L2243,L2243)=1,1,0))</f>
        <v>0</v>
      </c>
      <c r="P2243" s="55">
        <f>IF(A2243="",0,IF(AND(F2243="C&amp;T",COUNTIFS($A$2:A2243,A2243,$F$2:F2243,"C&amp;T")=1),1,0))</f>
        <v>0</v>
      </c>
    </row>
    <row r="2244" spans="1:16" x14ac:dyDescent="0.35">
      <c r="A2244" s="54" t="str">
        <f>IFERROR(IF(INDEX(SPOT_Import!$A$1:$Z$2488,2244,'Live Data'!$C$12)="","",INDEX(SPOT_Import!$A$1:$Z$2488,2244,'Live Data'!$C$12)),"")</f>
        <v/>
      </c>
      <c r="B2244" s="54" t="str">
        <f>IFERROR(IF(INDEX(SPOT_Import!$A$1:$Z$2488,2244,'Live Data'!$C$13)="","",INDEX(SPOT_Import!$A$1:$Z$2488,2244,'Live Data'!$C$13)),"")</f>
        <v/>
      </c>
      <c r="C2244" s="54" t="str">
        <f>IFERROR(IF(INDEX(SPOT_Import!$A$1:$Z$2488,2244,'Live Data'!$C$14)="","",INDEX(SPOT_Import!$A$1:$Z$2488,2244,'Live Data'!$C$14)),"")</f>
        <v/>
      </c>
      <c r="D2244" s="54" t="str">
        <f>IFERROR(IF(INDEX(SPOT_Import!$A$1:$Z$2488,2244,'Live Data'!$C$15)="","",INDEX(SPOT_Import!$A$1:$Z$2488,2244,'Live Data'!$C$15)),"")</f>
        <v/>
      </c>
      <c r="E2244" s="54" t="str">
        <f>IFERROR(IF(INDEX(SPOT_Import!$A$1:$Z$2488,2244,'Live Data'!$C$16)="","",INDEX(SPOT_Import!$A$1:$Z$2488,2244,'Live Data'!$C$16)),"")</f>
        <v/>
      </c>
      <c r="F2244" s="54" t="str">
        <f>IFERROR(IF(INDEX(SPOT_Import!$A$1:$Z$2488,2244,'Live Data'!$C$17)="","",INDEX(SPOT_Import!$A$1:$Z$2488,2244,'Live Data'!$C$17)),"")</f>
        <v/>
      </c>
      <c r="G2244" s="54" t="str">
        <f>IFERROR(IF(INDEX(SPOT_Import!$A$1:$Z$2488,2244,'Live Data'!$C$18)="","",INDEX(SPOT_Import!$A$1:$Z$2488,2244,'Live Data'!$C$18)),"")</f>
        <v/>
      </c>
      <c r="H2244" s="54" t="str">
        <f>IFERROR(IF(INDEX(SPOT_Import!$A$1:$Z$2488,2244,'Live Data'!$C$19)="","",INDEX(SPOT_Import!$A$1:$Z$2488,2244,'Live Data'!$C$19)),"")</f>
        <v/>
      </c>
      <c r="I2244" s="54" t="str">
        <f>IFERROR(IF(INDEX(SPOT_Import!$A$1:$Z$2488,2244,'Live Data'!$C$20)="","",INDEX(SPOT_Import!$A$1:$Z$2488,2244,'Live Data'!$C$20)),"")</f>
        <v/>
      </c>
      <c r="J2244" s="54" t="str">
        <f>IFERROR(IF(INDEX(SPOT_Import!$A$1:$Z$2488,2244,'Live Data'!$C$21)="","",INDEX(SPOT_Import!$A$1:$Z$2488,2244,'Live Data'!$C$21)),"")</f>
        <v/>
      </c>
      <c r="K2244" s="54" t="str">
        <f>IFERROR(IF(INDEX(SPOT_Import!$A$1:$Z$2488,2244,'Live Data'!$C$22)="","",INDEX(SPOT_Import!$A$1:$Z$2488,2244,'Live Data'!$C$22)),"")</f>
        <v/>
      </c>
      <c r="L2244" s="55" t="str">
        <f t="shared" si="70"/>
        <v/>
      </c>
      <c r="M2244" s="55" t="str">
        <f t="shared" si="71"/>
        <v/>
      </c>
      <c r="N2244" s="55" t="str">
        <f>IF(A2244="","",IFERROR(INDEX('Cluster Map'!$A$4:$A$38,MATCH(M2244,'Cluster Map'!$B$4:$B$38,0)),"Unmapped"))</f>
        <v/>
      </c>
      <c r="O2244" s="55">
        <f>IF(A2244="",0,IF(COUNTIFS($A$2:A2244,A2244,$F$2:F2244,F2244,$L$2:L2244,L2244)=1,1,0))</f>
        <v>0</v>
      </c>
      <c r="P2244" s="55">
        <f>IF(A2244="",0,IF(AND(F2244="C&amp;T",COUNTIFS($A$2:A2244,A2244,$F$2:F2244,"C&amp;T")=1),1,0))</f>
        <v>0</v>
      </c>
    </row>
    <row r="2245" spans="1:16" x14ac:dyDescent="0.35">
      <c r="A2245" s="54" t="str">
        <f>IFERROR(IF(INDEX(SPOT_Import!$A$1:$Z$2488,2245,'Live Data'!$C$12)="","",INDEX(SPOT_Import!$A$1:$Z$2488,2245,'Live Data'!$C$12)),"")</f>
        <v/>
      </c>
      <c r="B2245" s="54" t="str">
        <f>IFERROR(IF(INDEX(SPOT_Import!$A$1:$Z$2488,2245,'Live Data'!$C$13)="","",INDEX(SPOT_Import!$A$1:$Z$2488,2245,'Live Data'!$C$13)),"")</f>
        <v/>
      </c>
      <c r="C2245" s="54" t="str">
        <f>IFERROR(IF(INDEX(SPOT_Import!$A$1:$Z$2488,2245,'Live Data'!$C$14)="","",INDEX(SPOT_Import!$A$1:$Z$2488,2245,'Live Data'!$C$14)),"")</f>
        <v/>
      </c>
      <c r="D2245" s="54" t="str">
        <f>IFERROR(IF(INDEX(SPOT_Import!$A$1:$Z$2488,2245,'Live Data'!$C$15)="","",INDEX(SPOT_Import!$A$1:$Z$2488,2245,'Live Data'!$C$15)),"")</f>
        <v/>
      </c>
      <c r="E2245" s="54" t="str">
        <f>IFERROR(IF(INDEX(SPOT_Import!$A$1:$Z$2488,2245,'Live Data'!$C$16)="","",INDEX(SPOT_Import!$A$1:$Z$2488,2245,'Live Data'!$C$16)),"")</f>
        <v/>
      </c>
      <c r="F2245" s="54" t="str">
        <f>IFERROR(IF(INDEX(SPOT_Import!$A$1:$Z$2488,2245,'Live Data'!$C$17)="","",INDEX(SPOT_Import!$A$1:$Z$2488,2245,'Live Data'!$C$17)),"")</f>
        <v/>
      </c>
      <c r="G2245" s="54" t="str">
        <f>IFERROR(IF(INDEX(SPOT_Import!$A$1:$Z$2488,2245,'Live Data'!$C$18)="","",INDEX(SPOT_Import!$A$1:$Z$2488,2245,'Live Data'!$C$18)),"")</f>
        <v/>
      </c>
      <c r="H2245" s="54" t="str">
        <f>IFERROR(IF(INDEX(SPOT_Import!$A$1:$Z$2488,2245,'Live Data'!$C$19)="","",INDEX(SPOT_Import!$A$1:$Z$2488,2245,'Live Data'!$C$19)),"")</f>
        <v/>
      </c>
      <c r="I2245" s="54" t="str">
        <f>IFERROR(IF(INDEX(SPOT_Import!$A$1:$Z$2488,2245,'Live Data'!$C$20)="","",INDEX(SPOT_Import!$A$1:$Z$2488,2245,'Live Data'!$C$20)),"")</f>
        <v/>
      </c>
      <c r="J2245" s="54" t="str">
        <f>IFERROR(IF(INDEX(SPOT_Import!$A$1:$Z$2488,2245,'Live Data'!$C$21)="","",INDEX(SPOT_Import!$A$1:$Z$2488,2245,'Live Data'!$C$21)),"")</f>
        <v/>
      </c>
      <c r="K2245" s="54" t="str">
        <f>IFERROR(IF(INDEX(SPOT_Import!$A$1:$Z$2488,2245,'Live Data'!$C$22)="","",INDEX(SPOT_Import!$A$1:$Z$2488,2245,'Live Data'!$C$22)),"")</f>
        <v/>
      </c>
      <c r="L2245" s="55" t="str">
        <f t="shared" si="70"/>
        <v/>
      </c>
      <c r="M2245" s="55" t="str">
        <f t="shared" si="71"/>
        <v/>
      </c>
      <c r="N2245" s="55" t="str">
        <f>IF(A2245="","",IFERROR(INDEX('Cluster Map'!$A$4:$A$38,MATCH(M2245,'Cluster Map'!$B$4:$B$38,0)),"Unmapped"))</f>
        <v/>
      </c>
      <c r="O2245" s="55">
        <f>IF(A2245="",0,IF(COUNTIFS($A$2:A2245,A2245,$F$2:F2245,F2245,$L$2:L2245,L2245)=1,1,0))</f>
        <v>0</v>
      </c>
      <c r="P2245" s="55">
        <f>IF(A2245="",0,IF(AND(F2245="C&amp;T",COUNTIFS($A$2:A2245,A2245,$F$2:F2245,"C&amp;T")=1),1,0))</f>
        <v>0</v>
      </c>
    </row>
    <row r="2246" spans="1:16" x14ac:dyDescent="0.35">
      <c r="A2246" s="54" t="str">
        <f>IFERROR(IF(INDEX(SPOT_Import!$A$1:$Z$2488,2246,'Live Data'!$C$12)="","",INDEX(SPOT_Import!$A$1:$Z$2488,2246,'Live Data'!$C$12)),"")</f>
        <v/>
      </c>
      <c r="B2246" s="54" t="str">
        <f>IFERROR(IF(INDEX(SPOT_Import!$A$1:$Z$2488,2246,'Live Data'!$C$13)="","",INDEX(SPOT_Import!$A$1:$Z$2488,2246,'Live Data'!$C$13)),"")</f>
        <v/>
      </c>
      <c r="C2246" s="54" t="str">
        <f>IFERROR(IF(INDEX(SPOT_Import!$A$1:$Z$2488,2246,'Live Data'!$C$14)="","",INDEX(SPOT_Import!$A$1:$Z$2488,2246,'Live Data'!$C$14)),"")</f>
        <v/>
      </c>
      <c r="D2246" s="54" t="str">
        <f>IFERROR(IF(INDEX(SPOT_Import!$A$1:$Z$2488,2246,'Live Data'!$C$15)="","",INDEX(SPOT_Import!$A$1:$Z$2488,2246,'Live Data'!$C$15)),"")</f>
        <v/>
      </c>
      <c r="E2246" s="54" t="str">
        <f>IFERROR(IF(INDEX(SPOT_Import!$A$1:$Z$2488,2246,'Live Data'!$C$16)="","",INDEX(SPOT_Import!$A$1:$Z$2488,2246,'Live Data'!$C$16)),"")</f>
        <v/>
      </c>
      <c r="F2246" s="54" t="str">
        <f>IFERROR(IF(INDEX(SPOT_Import!$A$1:$Z$2488,2246,'Live Data'!$C$17)="","",INDEX(SPOT_Import!$A$1:$Z$2488,2246,'Live Data'!$C$17)),"")</f>
        <v/>
      </c>
      <c r="G2246" s="54" t="str">
        <f>IFERROR(IF(INDEX(SPOT_Import!$A$1:$Z$2488,2246,'Live Data'!$C$18)="","",INDEX(SPOT_Import!$A$1:$Z$2488,2246,'Live Data'!$C$18)),"")</f>
        <v/>
      </c>
      <c r="H2246" s="54" t="str">
        <f>IFERROR(IF(INDEX(SPOT_Import!$A$1:$Z$2488,2246,'Live Data'!$C$19)="","",INDEX(SPOT_Import!$A$1:$Z$2488,2246,'Live Data'!$C$19)),"")</f>
        <v/>
      </c>
      <c r="I2246" s="54" t="str">
        <f>IFERROR(IF(INDEX(SPOT_Import!$A$1:$Z$2488,2246,'Live Data'!$C$20)="","",INDEX(SPOT_Import!$A$1:$Z$2488,2246,'Live Data'!$C$20)),"")</f>
        <v/>
      </c>
      <c r="J2246" s="54" t="str">
        <f>IFERROR(IF(INDEX(SPOT_Import!$A$1:$Z$2488,2246,'Live Data'!$C$21)="","",INDEX(SPOT_Import!$A$1:$Z$2488,2246,'Live Data'!$C$21)),"")</f>
        <v/>
      </c>
      <c r="K2246" s="54" t="str">
        <f>IFERROR(IF(INDEX(SPOT_Import!$A$1:$Z$2488,2246,'Live Data'!$C$22)="","",INDEX(SPOT_Import!$A$1:$Z$2488,2246,'Live Data'!$C$22)),"")</f>
        <v/>
      </c>
      <c r="L2246" s="55" t="str">
        <f t="shared" si="70"/>
        <v/>
      </c>
      <c r="M2246" s="55" t="str">
        <f t="shared" si="71"/>
        <v/>
      </c>
      <c r="N2246" s="55" t="str">
        <f>IF(A2246="","",IFERROR(INDEX('Cluster Map'!$A$4:$A$38,MATCH(M2246,'Cluster Map'!$B$4:$B$38,0)),"Unmapped"))</f>
        <v/>
      </c>
      <c r="O2246" s="55">
        <f>IF(A2246="",0,IF(COUNTIFS($A$2:A2246,A2246,$F$2:F2246,F2246,$L$2:L2246,L2246)=1,1,0))</f>
        <v>0</v>
      </c>
      <c r="P2246" s="55">
        <f>IF(A2246="",0,IF(AND(F2246="C&amp;T",COUNTIFS($A$2:A2246,A2246,$F$2:F2246,"C&amp;T")=1),1,0))</f>
        <v>0</v>
      </c>
    </row>
    <row r="2247" spans="1:16" x14ac:dyDescent="0.35">
      <c r="A2247" s="54" t="str">
        <f>IFERROR(IF(INDEX(SPOT_Import!$A$1:$Z$2488,2247,'Live Data'!$C$12)="","",INDEX(SPOT_Import!$A$1:$Z$2488,2247,'Live Data'!$C$12)),"")</f>
        <v/>
      </c>
      <c r="B2247" s="54" t="str">
        <f>IFERROR(IF(INDEX(SPOT_Import!$A$1:$Z$2488,2247,'Live Data'!$C$13)="","",INDEX(SPOT_Import!$A$1:$Z$2488,2247,'Live Data'!$C$13)),"")</f>
        <v/>
      </c>
      <c r="C2247" s="54" t="str">
        <f>IFERROR(IF(INDEX(SPOT_Import!$A$1:$Z$2488,2247,'Live Data'!$C$14)="","",INDEX(SPOT_Import!$A$1:$Z$2488,2247,'Live Data'!$C$14)),"")</f>
        <v/>
      </c>
      <c r="D2247" s="54" t="str">
        <f>IFERROR(IF(INDEX(SPOT_Import!$A$1:$Z$2488,2247,'Live Data'!$C$15)="","",INDEX(SPOT_Import!$A$1:$Z$2488,2247,'Live Data'!$C$15)),"")</f>
        <v/>
      </c>
      <c r="E2247" s="54" t="str">
        <f>IFERROR(IF(INDEX(SPOT_Import!$A$1:$Z$2488,2247,'Live Data'!$C$16)="","",INDEX(SPOT_Import!$A$1:$Z$2488,2247,'Live Data'!$C$16)),"")</f>
        <v/>
      </c>
      <c r="F2247" s="54" t="str">
        <f>IFERROR(IF(INDEX(SPOT_Import!$A$1:$Z$2488,2247,'Live Data'!$C$17)="","",INDEX(SPOT_Import!$A$1:$Z$2488,2247,'Live Data'!$C$17)),"")</f>
        <v/>
      </c>
      <c r="G2247" s="54" t="str">
        <f>IFERROR(IF(INDEX(SPOT_Import!$A$1:$Z$2488,2247,'Live Data'!$C$18)="","",INDEX(SPOT_Import!$A$1:$Z$2488,2247,'Live Data'!$C$18)),"")</f>
        <v/>
      </c>
      <c r="H2247" s="54" t="str">
        <f>IFERROR(IF(INDEX(SPOT_Import!$A$1:$Z$2488,2247,'Live Data'!$C$19)="","",INDEX(SPOT_Import!$A$1:$Z$2488,2247,'Live Data'!$C$19)),"")</f>
        <v/>
      </c>
      <c r="I2247" s="54" t="str">
        <f>IFERROR(IF(INDEX(SPOT_Import!$A$1:$Z$2488,2247,'Live Data'!$C$20)="","",INDEX(SPOT_Import!$A$1:$Z$2488,2247,'Live Data'!$C$20)),"")</f>
        <v/>
      </c>
      <c r="J2247" s="54" t="str">
        <f>IFERROR(IF(INDEX(SPOT_Import!$A$1:$Z$2488,2247,'Live Data'!$C$21)="","",INDEX(SPOT_Import!$A$1:$Z$2488,2247,'Live Data'!$C$21)),"")</f>
        <v/>
      </c>
      <c r="K2247" s="54" t="str">
        <f>IFERROR(IF(INDEX(SPOT_Import!$A$1:$Z$2488,2247,'Live Data'!$C$22)="","",INDEX(SPOT_Import!$A$1:$Z$2488,2247,'Live Data'!$C$22)),"")</f>
        <v/>
      </c>
      <c r="L2247" s="55" t="str">
        <f t="shared" si="70"/>
        <v/>
      </c>
      <c r="M2247" s="55" t="str">
        <f t="shared" si="71"/>
        <v/>
      </c>
      <c r="N2247" s="55" t="str">
        <f>IF(A2247="","",IFERROR(INDEX('Cluster Map'!$A$4:$A$38,MATCH(M2247,'Cluster Map'!$B$4:$B$38,0)),"Unmapped"))</f>
        <v/>
      </c>
      <c r="O2247" s="55">
        <f>IF(A2247="",0,IF(COUNTIFS($A$2:A2247,A2247,$F$2:F2247,F2247,$L$2:L2247,L2247)=1,1,0))</f>
        <v>0</v>
      </c>
      <c r="P2247" s="55">
        <f>IF(A2247="",0,IF(AND(F2247="C&amp;T",COUNTIFS($A$2:A2247,A2247,$F$2:F2247,"C&amp;T")=1),1,0))</f>
        <v>0</v>
      </c>
    </row>
    <row r="2248" spans="1:16" x14ac:dyDescent="0.35">
      <c r="A2248" s="54" t="str">
        <f>IFERROR(IF(INDEX(SPOT_Import!$A$1:$Z$2488,2248,'Live Data'!$C$12)="","",INDEX(SPOT_Import!$A$1:$Z$2488,2248,'Live Data'!$C$12)),"")</f>
        <v/>
      </c>
      <c r="B2248" s="54" t="str">
        <f>IFERROR(IF(INDEX(SPOT_Import!$A$1:$Z$2488,2248,'Live Data'!$C$13)="","",INDEX(SPOT_Import!$A$1:$Z$2488,2248,'Live Data'!$C$13)),"")</f>
        <v/>
      </c>
      <c r="C2248" s="54" t="str">
        <f>IFERROR(IF(INDEX(SPOT_Import!$A$1:$Z$2488,2248,'Live Data'!$C$14)="","",INDEX(SPOT_Import!$A$1:$Z$2488,2248,'Live Data'!$C$14)),"")</f>
        <v/>
      </c>
      <c r="D2248" s="54" t="str">
        <f>IFERROR(IF(INDEX(SPOT_Import!$A$1:$Z$2488,2248,'Live Data'!$C$15)="","",INDEX(SPOT_Import!$A$1:$Z$2488,2248,'Live Data'!$C$15)),"")</f>
        <v/>
      </c>
      <c r="E2248" s="54" t="str">
        <f>IFERROR(IF(INDEX(SPOT_Import!$A$1:$Z$2488,2248,'Live Data'!$C$16)="","",INDEX(SPOT_Import!$A$1:$Z$2488,2248,'Live Data'!$C$16)),"")</f>
        <v/>
      </c>
      <c r="F2248" s="54" t="str">
        <f>IFERROR(IF(INDEX(SPOT_Import!$A$1:$Z$2488,2248,'Live Data'!$C$17)="","",INDEX(SPOT_Import!$A$1:$Z$2488,2248,'Live Data'!$C$17)),"")</f>
        <v/>
      </c>
      <c r="G2248" s="54" t="str">
        <f>IFERROR(IF(INDEX(SPOT_Import!$A$1:$Z$2488,2248,'Live Data'!$C$18)="","",INDEX(SPOT_Import!$A$1:$Z$2488,2248,'Live Data'!$C$18)),"")</f>
        <v/>
      </c>
      <c r="H2248" s="54" t="str">
        <f>IFERROR(IF(INDEX(SPOT_Import!$A$1:$Z$2488,2248,'Live Data'!$C$19)="","",INDEX(SPOT_Import!$A$1:$Z$2488,2248,'Live Data'!$C$19)),"")</f>
        <v/>
      </c>
      <c r="I2248" s="54" t="str">
        <f>IFERROR(IF(INDEX(SPOT_Import!$A$1:$Z$2488,2248,'Live Data'!$C$20)="","",INDEX(SPOT_Import!$A$1:$Z$2488,2248,'Live Data'!$C$20)),"")</f>
        <v/>
      </c>
      <c r="J2248" s="54" t="str">
        <f>IFERROR(IF(INDEX(SPOT_Import!$A$1:$Z$2488,2248,'Live Data'!$C$21)="","",INDEX(SPOT_Import!$A$1:$Z$2488,2248,'Live Data'!$C$21)),"")</f>
        <v/>
      </c>
      <c r="K2248" s="54" t="str">
        <f>IFERROR(IF(INDEX(SPOT_Import!$A$1:$Z$2488,2248,'Live Data'!$C$22)="","",INDEX(SPOT_Import!$A$1:$Z$2488,2248,'Live Data'!$C$22)),"")</f>
        <v/>
      </c>
      <c r="L2248" s="55" t="str">
        <f t="shared" si="70"/>
        <v/>
      </c>
      <c r="M2248" s="55" t="str">
        <f t="shared" si="71"/>
        <v/>
      </c>
      <c r="N2248" s="55" t="str">
        <f>IF(A2248="","",IFERROR(INDEX('Cluster Map'!$A$4:$A$38,MATCH(M2248,'Cluster Map'!$B$4:$B$38,0)),"Unmapped"))</f>
        <v/>
      </c>
      <c r="O2248" s="55">
        <f>IF(A2248="",0,IF(COUNTIFS($A$2:A2248,A2248,$F$2:F2248,F2248,$L$2:L2248,L2248)=1,1,0))</f>
        <v>0</v>
      </c>
      <c r="P2248" s="55">
        <f>IF(A2248="",0,IF(AND(F2248="C&amp;T",COUNTIFS($A$2:A2248,A2248,$F$2:F2248,"C&amp;T")=1),1,0))</f>
        <v>0</v>
      </c>
    </row>
    <row r="2249" spans="1:16" x14ac:dyDescent="0.35">
      <c r="A2249" s="54" t="str">
        <f>IFERROR(IF(INDEX(SPOT_Import!$A$1:$Z$2488,2249,'Live Data'!$C$12)="","",INDEX(SPOT_Import!$A$1:$Z$2488,2249,'Live Data'!$C$12)),"")</f>
        <v/>
      </c>
      <c r="B2249" s="54" t="str">
        <f>IFERROR(IF(INDEX(SPOT_Import!$A$1:$Z$2488,2249,'Live Data'!$C$13)="","",INDEX(SPOT_Import!$A$1:$Z$2488,2249,'Live Data'!$C$13)),"")</f>
        <v/>
      </c>
      <c r="C2249" s="54" t="str">
        <f>IFERROR(IF(INDEX(SPOT_Import!$A$1:$Z$2488,2249,'Live Data'!$C$14)="","",INDEX(SPOT_Import!$A$1:$Z$2488,2249,'Live Data'!$C$14)),"")</f>
        <v/>
      </c>
      <c r="D2249" s="54" t="str">
        <f>IFERROR(IF(INDEX(SPOT_Import!$A$1:$Z$2488,2249,'Live Data'!$C$15)="","",INDEX(SPOT_Import!$A$1:$Z$2488,2249,'Live Data'!$C$15)),"")</f>
        <v/>
      </c>
      <c r="E2249" s="54" t="str">
        <f>IFERROR(IF(INDEX(SPOT_Import!$A$1:$Z$2488,2249,'Live Data'!$C$16)="","",INDEX(SPOT_Import!$A$1:$Z$2488,2249,'Live Data'!$C$16)),"")</f>
        <v/>
      </c>
      <c r="F2249" s="54" t="str">
        <f>IFERROR(IF(INDEX(SPOT_Import!$A$1:$Z$2488,2249,'Live Data'!$C$17)="","",INDEX(SPOT_Import!$A$1:$Z$2488,2249,'Live Data'!$C$17)),"")</f>
        <v/>
      </c>
      <c r="G2249" s="54" t="str">
        <f>IFERROR(IF(INDEX(SPOT_Import!$A$1:$Z$2488,2249,'Live Data'!$C$18)="","",INDEX(SPOT_Import!$A$1:$Z$2488,2249,'Live Data'!$C$18)),"")</f>
        <v/>
      </c>
      <c r="H2249" s="54" t="str">
        <f>IFERROR(IF(INDEX(SPOT_Import!$A$1:$Z$2488,2249,'Live Data'!$C$19)="","",INDEX(SPOT_Import!$A$1:$Z$2488,2249,'Live Data'!$C$19)),"")</f>
        <v/>
      </c>
      <c r="I2249" s="54" t="str">
        <f>IFERROR(IF(INDEX(SPOT_Import!$A$1:$Z$2488,2249,'Live Data'!$C$20)="","",INDEX(SPOT_Import!$A$1:$Z$2488,2249,'Live Data'!$C$20)),"")</f>
        <v/>
      </c>
      <c r="J2249" s="54" t="str">
        <f>IFERROR(IF(INDEX(SPOT_Import!$A$1:$Z$2488,2249,'Live Data'!$C$21)="","",INDEX(SPOT_Import!$A$1:$Z$2488,2249,'Live Data'!$C$21)),"")</f>
        <v/>
      </c>
      <c r="K2249" s="54" t="str">
        <f>IFERROR(IF(INDEX(SPOT_Import!$A$1:$Z$2488,2249,'Live Data'!$C$22)="","",INDEX(SPOT_Import!$A$1:$Z$2488,2249,'Live Data'!$C$22)),"")</f>
        <v/>
      </c>
      <c r="L2249" s="55" t="str">
        <f t="shared" si="70"/>
        <v/>
      </c>
      <c r="M2249" s="55" t="str">
        <f t="shared" si="71"/>
        <v/>
      </c>
      <c r="N2249" s="55" t="str">
        <f>IF(A2249="","",IFERROR(INDEX('Cluster Map'!$A$4:$A$38,MATCH(M2249,'Cluster Map'!$B$4:$B$38,0)),"Unmapped"))</f>
        <v/>
      </c>
      <c r="O2249" s="55">
        <f>IF(A2249="",0,IF(COUNTIFS($A$2:A2249,A2249,$F$2:F2249,F2249,$L$2:L2249,L2249)=1,1,0))</f>
        <v>0</v>
      </c>
      <c r="P2249" s="55">
        <f>IF(A2249="",0,IF(AND(F2249="C&amp;T",COUNTIFS($A$2:A2249,A2249,$F$2:F2249,"C&amp;T")=1),1,0))</f>
        <v>0</v>
      </c>
    </row>
    <row r="2250" spans="1:16" x14ac:dyDescent="0.35">
      <c r="A2250" s="54" t="str">
        <f>IFERROR(IF(INDEX(SPOT_Import!$A$1:$Z$2488,2250,'Live Data'!$C$12)="","",INDEX(SPOT_Import!$A$1:$Z$2488,2250,'Live Data'!$C$12)),"")</f>
        <v/>
      </c>
      <c r="B2250" s="54" t="str">
        <f>IFERROR(IF(INDEX(SPOT_Import!$A$1:$Z$2488,2250,'Live Data'!$C$13)="","",INDEX(SPOT_Import!$A$1:$Z$2488,2250,'Live Data'!$C$13)),"")</f>
        <v/>
      </c>
      <c r="C2250" s="54" t="str">
        <f>IFERROR(IF(INDEX(SPOT_Import!$A$1:$Z$2488,2250,'Live Data'!$C$14)="","",INDEX(SPOT_Import!$A$1:$Z$2488,2250,'Live Data'!$C$14)),"")</f>
        <v/>
      </c>
      <c r="D2250" s="54" t="str">
        <f>IFERROR(IF(INDEX(SPOT_Import!$A$1:$Z$2488,2250,'Live Data'!$C$15)="","",INDEX(SPOT_Import!$A$1:$Z$2488,2250,'Live Data'!$C$15)),"")</f>
        <v/>
      </c>
      <c r="E2250" s="54" t="str">
        <f>IFERROR(IF(INDEX(SPOT_Import!$A$1:$Z$2488,2250,'Live Data'!$C$16)="","",INDEX(SPOT_Import!$A$1:$Z$2488,2250,'Live Data'!$C$16)),"")</f>
        <v/>
      </c>
      <c r="F2250" s="54" t="str">
        <f>IFERROR(IF(INDEX(SPOT_Import!$A$1:$Z$2488,2250,'Live Data'!$C$17)="","",INDEX(SPOT_Import!$A$1:$Z$2488,2250,'Live Data'!$C$17)),"")</f>
        <v/>
      </c>
      <c r="G2250" s="54" t="str">
        <f>IFERROR(IF(INDEX(SPOT_Import!$A$1:$Z$2488,2250,'Live Data'!$C$18)="","",INDEX(SPOT_Import!$A$1:$Z$2488,2250,'Live Data'!$C$18)),"")</f>
        <v/>
      </c>
      <c r="H2250" s="54" t="str">
        <f>IFERROR(IF(INDEX(SPOT_Import!$A$1:$Z$2488,2250,'Live Data'!$C$19)="","",INDEX(SPOT_Import!$A$1:$Z$2488,2250,'Live Data'!$C$19)),"")</f>
        <v/>
      </c>
      <c r="I2250" s="54" t="str">
        <f>IFERROR(IF(INDEX(SPOT_Import!$A$1:$Z$2488,2250,'Live Data'!$C$20)="","",INDEX(SPOT_Import!$A$1:$Z$2488,2250,'Live Data'!$C$20)),"")</f>
        <v/>
      </c>
      <c r="J2250" s="54" t="str">
        <f>IFERROR(IF(INDEX(SPOT_Import!$A$1:$Z$2488,2250,'Live Data'!$C$21)="","",INDEX(SPOT_Import!$A$1:$Z$2488,2250,'Live Data'!$C$21)),"")</f>
        <v/>
      </c>
      <c r="K2250" s="54" t="str">
        <f>IFERROR(IF(INDEX(SPOT_Import!$A$1:$Z$2488,2250,'Live Data'!$C$22)="","",INDEX(SPOT_Import!$A$1:$Z$2488,2250,'Live Data'!$C$22)),"")</f>
        <v/>
      </c>
      <c r="L2250" s="55" t="str">
        <f t="shared" si="70"/>
        <v/>
      </c>
      <c r="M2250" s="55" t="str">
        <f t="shared" si="71"/>
        <v/>
      </c>
      <c r="N2250" s="55" t="str">
        <f>IF(A2250="","",IFERROR(INDEX('Cluster Map'!$A$4:$A$38,MATCH(M2250,'Cluster Map'!$B$4:$B$38,0)),"Unmapped"))</f>
        <v/>
      </c>
      <c r="O2250" s="55">
        <f>IF(A2250="",0,IF(COUNTIFS($A$2:A2250,A2250,$F$2:F2250,F2250,$L$2:L2250,L2250)=1,1,0))</f>
        <v>0</v>
      </c>
      <c r="P2250" s="55">
        <f>IF(A2250="",0,IF(AND(F2250="C&amp;T",COUNTIFS($A$2:A2250,A2250,$F$2:F2250,"C&amp;T")=1),1,0))</f>
        <v>0</v>
      </c>
    </row>
    <row r="2251" spans="1:16" x14ac:dyDescent="0.35">
      <c r="A2251" s="54" t="str">
        <f>IFERROR(IF(INDEX(SPOT_Import!$A$1:$Z$2488,2251,'Live Data'!$C$12)="","",INDEX(SPOT_Import!$A$1:$Z$2488,2251,'Live Data'!$C$12)),"")</f>
        <v/>
      </c>
      <c r="B2251" s="54" t="str">
        <f>IFERROR(IF(INDEX(SPOT_Import!$A$1:$Z$2488,2251,'Live Data'!$C$13)="","",INDEX(SPOT_Import!$A$1:$Z$2488,2251,'Live Data'!$C$13)),"")</f>
        <v/>
      </c>
      <c r="C2251" s="54" t="str">
        <f>IFERROR(IF(INDEX(SPOT_Import!$A$1:$Z$2488,2251,'Live Data'!$C$14)="","",INDEX(SPOT_Import!$A$1:$Z$2488,2251,'Live Data'!$C$14)),"")</f>
        <v/>
      </c>
      <c r="D2251" s="54" t="str">
        <f>IFERROR(IF(INDEX(SPOT_Import!$A$1:$Z$2488,2251,'Live Data'!$C$15)="","",INDEX(SPOT_Import!$A$1:$Z$2488,2251,'Live Data'!$C$15)),"")</f>
        <v/>
      </c>
      <c r="E2251" s="54" t="str">
        <f>IFERROR(IF(INDEX(SPOT_Import!$A$1:$Z$2488,2251,'Live Data'!$C$16)="","",INDEX(SPOT_Import!$A$1:$Z$2488,2251,'Live Data'!$C$16)),"")</f>
        <v/>
      </c>
      <c r="F2251" s="54" t="str">
        <f>IFERROR(IF(INDEX(SPOT_Import!$A$1:$Z$2488,2251,'Live Data'!$C$17)="","",INDEX(SPOT_Import!$A$1:$Z$2488,2251,'Live Data'!$C$17)),"")</f>
        <v/>
      </c>
      <c r="G2251" s="54" t="str">
        <f>IFERROR(IF(INDEX(SPOT_Import!$A$1:$Z$2488,2251,'Live Data'!$C$18)="","",INDEX(SPOT_Import!$A$1:$Z$2488,2251,'Live Data'!$C$18)),"")</f>
        <v/>
      </c>
      <c r="H2251" s="54" t="str">
        <f>IFERROR(IF(INDEX(SPOT_Import!$A$1:$Z$2488,2251,'Live Data'!$C$19)="","",INDEX(SPOT_Import!$A$1:$Z$2488,2251,'Live Data'!$C$19)),"")</f>
        <v/>
      </c>
      <c r="I2251" s="54" t="str">
        <f>IFERROR(IF(INDEX(SPOT_Import!$A$1:$Z$2488,2251,'Live Data'!$C$20)="","",INDEX(SPOT_Import!$A$1:$Z$2488,2251,'Live Data'!$C$20)),"")</f>
        <v/>
      </c>
      <c r="J2251" s="54" t="str">
        <f>IFERROR(IF(INDEX(SPOT_Import!$A$1:$Z$2488,2251,'Live Data'!$C$21)="","",INDEX(SPOT_Import!$A$1:$Z$2488,2251,'Live Data'!$C$21)),"")</f>
        <v/>
      </c>
      <c r="K2251" s="54" t="str">
        <f>IFERROR(IF(INDEX(SPOT_Import!$A$1:$Z$2488,2251,'Live Data'!$C$22)="","",INDEX(SPOT_Import!$A$1:$Z$2488,2251,'Live Data'!$C$22)),"")</f>
        <v/>
      </c>
      <c r="L2251" s="55" t="str">
        <f t="shared" si="70"/>
        <v/>
      </c>
      <c r="M2251" s="55" t="str">
        <f t="shared" si="71"/>
        <v/>
      </c>
      <c r="N2251" s="55" t="str">
        <f>IF(A2251="","",IFERROR(INDEX('Cluster Map'!$A$4:$A$38,MATCH(M2251,'Cluster Map'!$B$4:$B$38,0)),"Unmapped"))</f>
        <v/>
      </c>
      <c r="O2251" s="55">
        <f>IF(A2251="",0,IF(COUNTIFS($A$2:A2251,A2251,$F$2:F2251,F2251,$L$2:L2251,L2251)=1,1,0))</f>
        <v>0</v>
      </c>
      <c r="P2251" s="55">
        <f>IF(A2251="",0,IF(AND(F2251="C&amp;T",COUNTIFS($A$2:A2251,A2251,$F$2:F2251,"C&amp;T")=1),1,0))</f>
        <v>0</v>
      </c>
    </row>
    <row r="2252" spans="1:16" x14ac:dyDescent="0.35">
      <c r="A2252" s="54" t="str">
        <f>IFERROR(IF(INDEX(SPOT_Import!$A$1:$Z$2488,2252,'Live Data'!$C$12)="","",INDEX(SPOT_Import!$A$1:$Z$2488,2252,'Live Data'!$C$12)),"")</f>
        <v/>
      </c>
      <c r="B2252" s="54" t="str">
        <f>IFERROR(IF(INDEX(SPOT_Import!$A$1:$Z$2488,2252,'Live Data'!$C$13)="","",INDEX(SPOT_Import!$A$1:$Z$2488,2252,'Live Data'!$C$13)),"")</f>
        <v/>
      </c>
      <c r="C2252" s="54" t="str">
        <f>IFERROR(IF(INDEX(SPOT_Import!$A$1:$Z$2488,2252,'Live Data'!$C$14)="","",INDEX(SPOT_Import!$A$1:$Z$2488,2252,'Live Data'!$C$14)),"")</f>
        <v/>
      </c>
      <c r="D2252" s="54" t="str">
        <f>IFERROR(IF(INDEX(SPOT_Import!$A$1:$Z$2488,2252,'Live Data'!$C$15)="","",INDEX(SPOT_Import!$A$1:$Z$2488,2252,'Live Data'!$C$15)),"")</f>
        <v/>
      </c>
      <c r="E2252" s="54" t="str">
        <f>IFERROR(IF(INDEX(SPOT_Import!$A$1:$Z$2488,2252,'Live Data'!$C$16)="","",INDEX(SPOT_Import!$A$1:$Z$2488,2252,'Live Data'!$C$16)),"")</f>
        <v/>
      </c>
      <c r="F2252" s="54" t="str">
        <f>IFERROR(IF(INDEX(SPOT_Import!$A$1:$Z$2488,2252,'Live Data'!$C$17)="","",INDEX(SPOT_Import!$A$1:$Z$2488,2252,'Live Data'!$C$17)),"")</f>
        <v/>
      </c>
      <c r="G2252" s="54" t="str">
        <f>IFERROR(IF(INDEX(SPOT_Import!$A$1:$Z$2488,2252,'Live Data'!$C$18)="","",INDEX(SPOT_Import!$A$1:$Z$2488,2252,'Live Data'!$C$18)),"")</f>
        <v/>
      </c>
      <c r="H2252" s="54" t="str">
        <f>IFERROR(IF(INDEX(SPOT_Import!$A$1:$Z$2488,2252,'Live Data'!$C$19)="","",INDEX(SPOT_Import!$A$1:$Z$2488,2252,'Live Data'!$C$19)),"")</f>
        <v/>
      </c>
      <c r="I2252" s="54" t="str">
        <f>IFERROR(IF(INDEX(SPOT_Import!$A$1:$Z$2488,2252,'Live Data'!$C$20)="","",INDEX(SPOT_Import!$A$1:$Z$2488,2252,'Live Data'!$C$20)),"")</f>
        <v/>
      </c>
      <c r="J2252" s="54" t="str">
        <f>IFERROR(IF(INDEX(SPOT_Import!$A$1:$Z$2488,2252,'Live Data'!$C$21)="","",INDEX(SPOT_Import!$A$1:$Z$2488,2252,'Live Data'!$C$21)),"")</f>
        <v/>
      </c>
      <c r="K2252" s="54" t="str">
        <f>IFERROR(IF(INDEX(SPOT_Import!$A$1:$Z$2488,2252,'Live Data'!$C$22)="","",INDEX(SPOT_Import!$A$1:$Z$2488,2252,'Live Data'!$C$22)),"")</f>
        <v/>
      </c>
      <c r="L2252" s="55" t="str">
        <f t="shared" si="70"/>
        <v/>
      </c>
      <c r="M2252" s="55" t="str">
        <f t="shared" si="71"/>
        <v/>
      </c>
      <c r="N2252" s="55" t="str">
        <f>IF(A2252="","",IFERROR(INDEX('Cluster Map'!$A$4:$A$38,MATCH(M2252,'Cluster Map'!$B$4:$B$38,0)),"Unmapped"))</f>
        <v/>
      </c>
      <c r="O2252" s="55">
        <f>IF(A2252="",0,IF(COUNTIFS($A$2:A2252,A2252,$F$2:F2252,F2252,$L$2:L2252,L2252)=1,1,0))</f>
        <v>0</v>
      </c>
      <c r="P2252" s="55">
        <f>IF(A2252="",0,IF(AND(F2252="C&amp;T",COUNTIFS($A$2:A2252,A2252,$F$2:F2252,"C&amp;T")=1),1,0))</f>
        <v>0</v>
      </c>
    </row>
    <row r="2253" spans="1:16" x14ac:dyDescent="0.35">
      <c r="A2253" s="54" t="str">
        <f>IFERROR(IF(INDEX(SPOT_Import!$A$1:$Z$2488,2253,'Live Data'!$C$12)="","",INDEX(SPOT_Import!$A$1:$Z$2488,2253,'Live Data'!$C$12)),"")</f>
        <v/>
      </c>
      <c r="B2253" s="54" t="str">
        <f>IFERROR(IF(INDEX(SPOT_Import!$A$1:$Z$2488,2253,'Live Data'!$C$13)="","",INDEX(SPOT_Import!$A$1:$Z$2488,2253,'Live Data'!$C$13)),"")</f>
        <v/>
      </c>
      <c r="C2253" s="54" t="str">
        <f>IFERROR(IF(INDEX(SPOT_Import!$A$1:$Z$2488,2253,'Live Data'!$C$14)="","",INDEX(SPOT_Import!$A$1:$Z$2488,2253,'Live Data'!$C$14)),"")</f>
        <v/>
      </c>
      <c r="D2253" s="54" t="str">
        <f>IFERROR(IF(INDEX(SPOT_Import!$A$1:$Z$2488,2253,'Live Data'!$C$15)="","",INDEX(SPOT_Import!$A$1:$Z$2488,2253,'Live Data'!$C$15)),"")</f>
        <v/>
      </c>
      <c r="E2253" s="54" t="str">
        <f>IFERROR(IF(INDEX(SPOT_Import!$A$1:$Z$2488,2253,'Live Data'!$C$16)="","",INDEX(SPOT_Import!$A$1:$Z$2488,2253,'Live Data'!$C$16)),"")</f>
        <v/>
      </c>
      <c r="F2253" s="54" t="str">
        <f>IFERROR(IF(INDEX(SPOT_Import!$A$1:$Z$2488,2253,'Live Data'!$C$17)="","",INDEX(SPOT_Import!$A$1:$Z$2488,2253,'Live Data'!$C$17)),"")</f>
        <v/>
      </c>
      <c r="G2253" s="54" t="str">
        <f>IFERROR(IF(INDEX(SPOT_Import!$A$1:$Z$2488,2253,'Live Data'!$C$18)="","",INDEX(SPOT_Import!$A$1:$Z$2488,2253,'Live Data'!$C$18)),"")</f>
        <v/>
      </c>
      <c r="H2253" s="54" t="str">
        <f>IFERROR(IF(INDEX(SPOT_Import!$A$1:$Z$2488,2253,'Live Data'!$C$19)="","",INDEX(SPOT_Import!$A$1:$Z$2488,2253,'Live Data'!$C$19)),"")</f>
        <v/>
      </c>
      <c r="I2253" s="54" t="str">
        <f>IFERROR(IF(INDEX(SPOT_Import!$A$1:$Z$2488,2253,'Live Data'!$C$20)="","",INDEX(SPOT_Import!$A$1:$Z$2488,2253,'Live Data'!$C$20)),"")</f>
        <v/>
      </c>
      <c r="J2253" s="54" t="str">
        <f>IFERROR(IF(INDEX(SPOT_Import!$A$1:$Z$2488,2253,'Live Data'!$C$21)="","",INDEX(SPOT_Import!$A$1:$Z$2488,2253,'Live Data'!$C$21)),"")</f>
        <v/>
      </c>
      <c r="K2253" s="54" t="str">
        <f>IFERROR(IF(INDEX(SPOT_Import!$A$1:$Z$2488,2253,'Live Data'!$C$22)="","",INDEX(SPOT_Import!$A$1:$Z$2488,2253,'Live Data'!$C$22)),"")</f>
        <v/>
      </c>
      <c r="L2253" s="55" t="str">
        <f t="shared" si="70"/>
        <v/>
      </c>
      <c r="M2253" s="55" t="str">
        <f t="shared" si="71"/>
        <v/>
      </c>
      <c r="N2253" s="55" t="str">
        <f>IF(A2253="","",IFERROR(INDEX('Cluster Map'!$A$4:$A$38,MATCH(M2253,'Cluster Map'!$B$4:$B$38,0)),"Unmapped"))</f>
        <v/>
      </c>
      <c r="O2253" s="55">
        <f>IF(A2253="",0,IF(COUNTIFS($A$2:A2253,A2253,$F$2:F2253,F2253,$L$2:L2253,L2253)=1,1,0))</f>
        <v>0</v>
      </c>
      <c r="P2253" s="55">
        <f>IF(A2253="",0,IF(AND(F2253="C&amp;T",COUNTIFS($A$2:A2253,A2253,$F$2:F2253,"C&amp;T")=1),1,0))</f>
        <v>0</v>
      </c>
    </row>
    <row r="2254" spans="1:16" x14ac:dyDescent="0.35">
      <c r="A2254" s="54" t="str">
        <f>IFERROR(IF(INDEX(SPOT_Import!$A$1:$Z$2488,2254,'Live Data'!$C$12)="","",INDEX(SPOT_Import!$A$1:$Z$2488,2254,'Live Data'!$C$12)),"")</f>
        <v/>
      </c>
      <c r="B2254" s="54" t="str">
        <f>IFERROR(IF(INDEX(SPOT_Import!$A$1:$Z$2488,2254,'Live Data'!$C$13)="","",INDEX(SPOT_Import!$A$1:$Z$2488,2254,'Live Data'!$C$13)),"")</f>
        <v/>
      </c>
      <c r="C2254" s="54" t="str">
        <f>IFERROR(IF(INDEX(SPOT_Import!$A$1:$Z$2488,2254,'Live Data'!$C$14)="","",INDEX(SPOT_Import!$A$1:$Z$2488,2254,'Live Data'!$C$14)),"")</f>
        <v/>
      </c>
      <c r="D2254" s="54" t="str">
        <f>IFERROR(IF(INDEX(SPOT_Import!$A$1:$Z$2488,2254,'Live Data'!$C$15)="","",INDEX(SPOT_Import!$A$1:$Z$2488,2254,'Live Data'!$C$15)),"")</f>
        <v/>
      </c>
      <c r="E2254" s="54" t="str">
        <f>IFERROR(IF(INDEX(SPOT_Import!$A$1:$Z$2488,2254,'Live Data'!$C$16)="","",INDEX(SPOT_Import!$A$1:$Z$2488,2254,'Live Data'!$C$16)),"")</f>
        <v/>
      </c>
      <c r="F2254" s="54" t="str">
        <f>IFERROR(IF(INDEX(SPOT_Import!$A$1:$Z$2488,2254,'Live Data'!$C$17)="","",INDEX(SPOT_Import!$A$1:$Z$2488,2254,'Live Data'!$C$17)),"")</f>
        <v/>
      </c>
      <c r="G2254" s="54" t="str">
        <f>IFERROR(IF(INDEX(SPOT_Import!$A$1:$Z$2488,2254,'Live Data'!$C$18)="","",INDEX(SPOT_Import!$A$1:$Z$2488,2254,'Live Data'!$C$18)),"")</f>
        <v/>
      </c>
      <c r="H2254" s="54" t="str">
        <f>IFERROR(IF(INDEX(SPOT_Import!$A$1:$Z$2488,2254,'Live Data'!$C$19)="","",INDEX(SPOT_Import!$A$1:$Z$2488,2254,'Live Data'!$C$19)),"")</f>
        <v/>
      </c>
      <c r="I2254" s="54" t="str">
        <f>IFERROR(IF(INDEX(SPOT_Import!$A$1:$Z$2488,2254,'Live Data'!$C$20)="","",INDEX(SPOT_Import!$A$1:$Z$2488,2254,'Live Data'!$C$20)),"")</f>
        <v/>
      </c>
      <c r="J2254" s="54" t="str">
        <f>IFERROR(IF(INDEX(SPOT_Import!$A$1:$Z$2488,2254,'Live Data'!$C$21)="","",INDEX(SPOT_Import!$A$1:$Z$2488,2254,'Live Data'!$C$21)),"")</f>
        <v/>
      </c>
      <c r="K2254" s="54" t="str">
        <f>IFERROR(IF(INDEX(SPOT_Import!$A$1:$Z$2488,2254,'Live Data'!$C$22)="","",INDEX(SPOT_Import!$A$1:$Z$2488,2254,'Live Data'!$C$22)),"")</f>
        <v/>
      </c>
      <c r="L2254" s="55" t="str">
        <f t="shared" si="70"/>
        <v/>
      </c>
      <c r="M2254" s="55" t="str">
        <f t="shared" si="71"/>
        <v/>
      </c>
      <c r="N2254" s="55" t="str">
        <f>IF(A2254="","",IFERROR(INDEX('Cluster Map'!$A$4:$A$38,MATCH(M2254,'Cluster Map'!$B$4:$B$38,0)),"Unmapped"))</f>
        <v/>
      </c>
      <c r="O2254" s="55">
        <f>IF(A2254="",0,IF(COUNTIFS($A$2:A2254,A2254,$F$2:F2254,F2254,$L$2:L2254,L2254)=1,1,0))</f>
        <v>0</v>
      </c>
      <c r="P2254" s="55">
        <f>IF(A2254="",0,IF(AND(F2254="C&amp;T",COUNTIFS($A$2:A2254,A2254,$F$2:F2254,"C&amp;T")=1),1,0))</f>
        <v>0</v>
      </c>
    </row>
    <row r="2255" spans="1:16" x14ac:dyDescent="0.35">
      <c r="A2255" s="54" t="str">
        <f>IFERROR(IF(INDEX(SPOT_Import!$A$1:$Z$2488,2255,'Live Data'!$C$12)="","",INDEX(SPOT_Import!$A$1:$Z$2488,2255,'Live Data'!$C$12)),"")</f>
        <v/>
      </c>
      <c r="B2255" s="54" t="str">
        <f>IFERROR(IF(INDEX(SPOT_Import!$A$1:$Z$2488,2255,'Live Data'!$C$13)="","",INDEX(SPOT_Import!$A$1:$Z$2488,2255,'Live Data'!$C$13)),"")</f>
        <v/>
      </c>
      <c r="C2255" s="54" t="str">
        <f>IFERROR(IF(INDEX(SPOT_Import!$A$1:$Z$2488,2255,'Live Data'!$C$14)="","",INDEX(SPOT_Import!$A$1:$Z$2488,2255,'Live Data'!$C$14)),"")</f>
        <v/>
      </c>
      <c r="D2255" s="54" t="str">
        <f>IFERROR(IF(INDEX(SPOT_Import!$A$1:$Z$2488,2255,'Live Data'!$C$15)="","",INDEX(SPOT_Import!$A$1:$Z$2488,2255,'Live Data'!$C$15)),"")</f>
        <v/>
      </c>
      <c r="E2255" s="54" t="str">
        <f>IFERROR(IF(INDEX(SPOT_Import!$A$1:$Z$2488,2255,'Live Data'!$C$16)="","",INDEX(SPOT_Import!$A$1:$Z$2488,2255,'Live Data'!$C$16)),"")</f>
        <v/>
      </c>
      <c r="F2255" s="54" t="str">
        <f>IFERROR(IF(INDEX(SPOT_Import!$A$1:$Z$2488,2255,'Live Data'!$C$17)="","",INDEX(SPOT_Import!$A$1:$Z$2488,2255,'Live Data'!$C$17)),"")</f>
        <v/>
      </c>
      <c r="G2255" s="54" t="str">
        <f>IFERROR(IF(INDEX(SPOT_Import!$A$1:$Z$2488,2255,'Live Data'!$C$18)="","",INDEX(SPOT_Import!$A$1:$Z$2488,2255,'Live Data'!$C$18)),"")</f>
        <v/>
      </c>
      <c r="H2255" s="54" t="str">
        <f>IFERROR(IF(INDEX(SPOT_Import!$A$1:$Z$2488,2255,'Live Data'!$C$19)="","",INDEX(SPOT_Import!$A$1:$Z$2488,2255,'Live Data'!$C$19)),"")</f>
        <v/>
      </c>
      <c r="I2255" s="54" t="str">
        <f>IFERROR(IF(INDEX(SPOT_Import!$A$1:$Z$2488,2255,'Live Data'!$C$20)="","",INDEX(SPOT_Import!$A$1:$Z$2488,2255,'Live Data'!$C$20)),"")</f>
        <v/>
      </c>
      <c r="J2255" s="54" t="str">
        <f>IFERROR(IF(INDEX(SPOT_Import!$A$1:$Z$2488,2255,'Live Data'!$C$21)="","",INDEX(SPOT_Import!$A$1:$Z$2488,2255,'Live Data'!$C$21)),"")</f>
        <v/>
      </c>
      <c r="K2255" s="54" t="str">
        <f>IFERROR(IF(INDEX(SPOT_Import!$A$1:$Z$2488,2255,'Live Data'!$C$22)="","",INDEX(SPOT_Import!$A$1:$Z$2488,2255,'Live Data'!$C$22)),"")</f>
        <v/>
      </c>
      <c r="L2255" s="55" t="str">
        <f t="shared" si="70"/>
        <v/>
      </c>
      <c r="M2255" s="55" t="str">
        <f t="shared" si="71"/>
        <v/>
      </c>
      <c r="N2255" s="55" t="str">
        <f>IF(A2255="","",IFERROR(INDEX('Cluster Map'!$A$4:$A$38,MATCH(M2255,'Cluster Map'!$B$4:$B$38,0)),"Unmapped"))</f>
        <v/>
      </c>
      <c r="O2255" s="55">
        <f>IF(A2255="",0,IF(COUNTIFS($A$2:A2255,A2255,$F$2:F2255,F2255,$L$2:L2255,L2255)=1,1,0))</f>
        <v>0</v>
      </c>
      <c r="P2255" s="55">
        <f>IF(A2255="",0,IF(AND(F2255="C&amp;T",COUNTIFS($A$2:A2255,A2255,$F$2:F2255,"C&amp;T")=1),1,0))</f>
        <v>0</v>
      </c>
    </row>
    <row r="2256" spans="1:16" x14ac:dyDescent="0.35">
      <c r="A2256" s="54" t="str">
        <f>IFERROR(IF(INDEX(SPOT_Import!$A$1:$Z$2488,2256,'Live Data'!$C$12)="","",INDEX(SPOT_Import!$A$1:$Z$2488,2256,'Live Data'!$C$12)),"")</f>
        <v/>
      </c>
      <c r="B2256" s="54" t="str">
        <f>IFERROR(IF(INDEX(SPOT_Import!$A$1:$Z$2488,2256,'Live Data'!$C$13)="","",INDEX(SPOT_Import!$A$1:$Z$2488,2256,'Live Data'!$C$13)),"")</f>
        <v/>
      </c>
      <c r="C2256" s="54" t="str">
        <f>IFERROR(IF(INDEX(SPOT_Import!$A$1:$Z$2488,2256,'Live Data'!$C$14)="","",INDEX(SPOT_Import!$A$1:$Z$2488,2256,'Live Data'!$C$14)),"")</f>
        <v/>
      </c>
      <c r="D2256" s="54" t="str">
        <f>IFERROR(IF(INDEX(SPOT_Import!$A$1:$Z$2488,2256,'Live Data'!$C$15)="","",INDEX(SPOT_Import!$A$1:$Z$2488,2256,'Live Data'!$C$15)),"")</f>
        <v/>
      </c>
      <c r="E2256" s="54" t="str">
        <f>IFERROR(IF(INDEX(SPOT_Import!$A$1:$Z$2488,2256,'Live Data'!$C$16)="","",INDEX(SPOT_Import!$A$1:$Z$2488,2256,'Live Data'!$C$16)),"")</f>
        <v/>
      </c>
      <c r="F2256" s="54" t="str">
        <f>IFERROR(IF(INDEX(SPOT_Import!$A$1:$Z$2488,2256,'Live Data'!$C$17)="","",INDEX(SPOT_Import!$A$1:$Z$2488,2256,'Live Data'!$C$17)),"")</f>
        <v/>
      </c>
      <c r="G2256" s="54" t="str">
        <f>IFERROR(IF(INDEX(SPOT_Import!$A$1:$Z$2488,2256,'Live Data'!$C$18)="","",INDEX(SPOT_Import!$A$1:$Z$2488,2256,'Live Data'!$C$18)),"")</f>
        <v/>
      </c>
      <c r="H2256" s="54" t="str">
        <f>IFERROR(IF(INDEX(SPOT_Import!$A$1:$Z$2488,2256,'Live Data'!$C$19)="","",INDEX(SPOT_Import!$A$1:$Z$2488,2256,'Live Data'!$C$19)),"")</f>
        <v/>
      </c>
      <c r="I2256" s="54" t="str">
        <f>IFERROR(IF(INDEX(SPOT_Import!$A$1:$Z$2488,2256,'Live Data'!$C$20)="","",INDEX(SPOT_Import!$A$1:$Z$2488,2256,'Live Data'!$C$20)),"")</f>
        <v/>
      </c>
      <c r="J2256" s="54" t="str">
        <f>IFERROR(IF(INDEX(SPOT_Import!$A$1:$Z$2488,2256,'Live Data'!$C$21)="","",INDEX(SPOT_Import!$A$1:$Z$2488,2256,'Live Data'!$C$21)),"")</f>
        <v/>
      </c>
      <c r="K2256" s="54" t="str">
        <f>IFERROR(IF(INDEX(SPOT_Import!$A$1:$Z$2488,2256,'Live Data'!$C$22)="","",INDEX(SPOT_Import!$A$1:$Z$2488,2256,'Live Data'!$C$22)),"")</f>
        <v/>
      </c>
      <c r="L2256" s="55" t="str">
        <f t="shared" si="70"/>
        <v/>
      </c>
      <c r="M2256" s="55" t="str">
        <f t="shared" si="71"/>
        <v/>
      </c>
      <c r="N2256" s="55" t="str">
        <f>IF(A2256="","",IFERROR(INDEX('Cluster Map'!$A$4:$A$38,MATCH(M2256,'Cluster Map'!$B$4:$B$38,0)),"Unmapped"))</f>
        <v/>
      </c>
      <c r="O2256" s="55">
        <f>IF(A2256="",0,IF(COUNTIFS($A$2:A2256,A2256,$F$2:F2256,F2256,$L$2:L2256,L2256)=1,1,0))</f>
        <v>0</v>
      </c>
      <c r="P2256" s="55">
        <f>IF(A2256="",0,IF(AND(F2256="C&amp;T",COUNTIFS($A$2:A2256,A2256,$F$2:F2256,"C&amp;T")=1),1,0))</f>
        <v>0</v>
      </c>
    </row>
    <row r="2257" spans="1:16" x14ac:dyDescent="0.35">
      <c r="A2257" s="54" t="str">
        <f>IFERROR(IF(INDEX(SPOT_Import!$A$1:$Z$2488,2257,'Live Data'!$C$12)="","",INDEX(SPOT_Import!$A$1:$Z$2488,2257,'Live Data'!$C$12)),"")</f>
        <v/>
      </c>
      <c r="B2257" s="54" t="str">
        <f>IFERROR(IF(INDEX(SPOT_Import!$A$1:$Z$2488,2257,'Live Data'!$C$13)="","",INDEX(SPOT_Import!$A$1:$Z$2488,2257,'Live Data'!$C$13)),"")</f>
        <v/>
      </c>
      <c r="C2257" s="54" t="str">
        <f>IFERROR(IF(INDEX(SPOT_Import!$A$1:$Z$2488,2257,'Live Data'!$C$14)="","",INDEX(SPOT_Import!$A$1:$Z$2488,2257,'Live Data'!$C$14)),"")</f>
        <v/>
      </c>
      <c r="D2257" s="54" t="str">
        <f>IFERROR(IF(INDEX(SPOT_Import!$A$1:$Z$2488,2257,'Live Data'!$C$15)="","",INDEX(SPOT_Import!$A$1:$Z$2488,2257,'Live Data'!$C$15)),"")</f>
        <v/>
      </c>
      <c r="E2257" s="54" t="str">
        <f>IFERROR(IF(INDEX(SPOT_Import!$A$1:$Z$2488,2257,'Live Data'!$C$16)="","",INDEX(SPOT_Import!$A$1:$Z$2488,2257,'Live Data'!$C$16)),"")</f>
        <v/>
      </c>
      <c r="F2257" s="54" t="str">
        <f>IFERROR(IF(INDEX(SPOT_Import!$A$1:$Z$2488,2257,'Live Data'!$C$17)="","",INDEX(SPOT_Import!$A$1:$Z$2488,2257,'Live Data'!$C$17)),"")</f>
        <v/>
      </c>
      <c r="G2257" s="54" t="str">
        <f>IFERROR(IF(INDEX(SPOT_Import!$A$1:$Z$2488,2257,'Live Data'!$C$18)="","",INDEX(SPOT_Import!$A$1:$Z$2488,2257,'Live Data'!$C$18)),"")</f>
        <v/>
      </c>
      <c r="H2257" s="54" t="str">
        <f>IFERROR(IF(INDEX(SPOT_Import!$A$1:$Z$2488,2257,'Live Data'!$C$19)="","",INDEX(SPOT_Import!$A$1:$Z$2488,2257,'Live Data'!$C$19)),"")</f>
        <v/>
      </c>
      <c r="I2257" s="54" t="str">
        <f>IFERROR(IF(INDEX(SPOT_Import!$A$1:$Z$2488,2257,'Live Data'!$C$20)="","",INDEX(SPOT_Import!$A$1:$Z$2488,2257,'Live Data'!$C$20)),"")</f>
        <v/>
      </c>
      <c r="J2257" s="54" t="str">
        <f>IFERROR(IF(INDEX(SPOT_Import!$A$1:$Z$2488,2257,'Live Data'!$C$21)="","",INDEX(SPOT_Import!$A$1:$Z$2488,2257,'Live Data'!$C$21)),"")</f>
        <v/>
      </c>
      <c r="K2257" s="54" t="str">
        <f>IFERROR(IF(INDEX(SPOT_Import!$A$1:$Z$2488,2257,'Live Data'!$C$22)="","",INDEX(SPOT_Import!$A$1:$Z$2488,2257,'Live Data'!$C$22)),"")</f>
        <v/>
      </c>
      <c r="L2257" s="55" t="str">
        <f t="shared" si="70"/>
        <v/>
      </c>
      <c r="M2257" s="55" t="str">
        <f t="shared" si="71"/>
        <v/>
      </c>
      <c r="N2257" s="55" t="str">
        <f>IF(A2257="","",IFERROR(INDEX('Cluster Map'!$A$4:$A$38,MATCH(M2257,'Cluster Map'!$B$4:$B$38,0)),"Unmapped"))</f>
        <v/>
      </c>
      <c r="O2257" s="55">
        <f>IF(A2257="",0,IF(COUNTIFS($A$2:A2257,A2257,$F$2:F2257,F2257,$L$2:L2257,L2257)=1,1,0))</f>
        <v>0</v>
      </c>
      <c r="P2257" s="55">
        <f>IF(A2257="",0,IF(AND(F2257="C&amp;T",COUNTIFS($A$2:A2257,A2257,$F$2:F2257,"C&amp;T")=1),1,0))</f>
        <v>0</v>
      </c>
    </row>
    <row r="2258" spans="1:16" x14ac:dyDescent="0.35">
      <c r="A2258" s="54" t="str">
        <f>IFERROR(IF(INDEX(SPOT_Import!$A$1:$Z$2488,2258,'Live Data'!$C$12)="","",INDEX(SPOT_Import!$A$1:$Z$2488,2258,'Live Data'!$C$12)),"")</f>
        <v/>
      </c>
      <c r="B2258" s="54" t="str">
        <f>IFERROR(IF(INDEX(SPOT_Import!$A$1:$Z$2488,2258,'Live Data'!$C$13)="","",INDEX(SPOT_Import!$A$1:$Z$2488,2258,'Live Data'!$C$13)),"")</f>
        <v/>
      </c>
      <c r="C2258" s="54" t="str">
        <f>IFERROR(IF(INDEX(SPOT_Import!$A$1:$Z$2488,2258,'Live Data'!$C$14)="","",INDEX(SPOT_Import!$A$1:$Z$2488,2258,'Live Data'!$C$14)),"")</f>
        <v/>
      </c>
      <c r="D2258" s="54" t="str">
        <f>IFERROR(IF(INDEX(SPOT_Import!$A$1:$Z$2488,2258,'Live Data'!$C$15)="","",INDEX(SPOT_Import!$A$1:$Z$2488,2258,'Live Data'!$C$15)),"")</f>
        <v/>
      </c>
      <c r="E2258" s="54" t="str">
        <f>IFERROR(IF(INDEX(SPOT_Import!$A$1:$Z$2488,2258,'Live Data'!$C$16)="","",INDEX(SPOT_Import!$A$1:$Z$2488,2258,'Live Data'!$C$16)),"")</f>
        <v/>
      </c>
      <c r="F2258" s="54" t="str">
        <f>IFERROR(IF(INDEX(SPOT_Import!$A$1:$Z$2488,2258,'Live Data'!$C$17)="","",INDEX(SPOT_Import!$A$1:$Z$2488,2258,'Live Data'!$C$17)),"")</f>
        <v/>
      </c>
      <c r="G2258" s="54" t="str">
        <f>IFERROR(IF(INDEX(SPOT_Import!$A$1:$Z$2488,2258,'Live Data'!$C$18)="","",INDEX(SPOT_Import!$A$1:$Z$2488,2258,'Live Data'!$C$18)),"")</f>
        <v/>
      </c>
      <c r="H2258" s="54" t="str">
        <f>IFERROR(IF(INDEX(SPOT_Import!$A$1:$Z$2488,2258,'Live Data'!$C$19)="","",INDEX(SPOT_Import!$A$1:$Z$2488,2258,'Live Data'!$C$19)),"")</f>
        <v/>
      </c>
      <c r="I2258" s="54" t="str">
        <f>IFERROR(IF(INDEX(SPOT_Import!$A$1:$Z$2488,2258,'Live Data'!$C$20)="","",INDEX(SPOT_Import!$A$1:$Z$2488,2258,'Live Data'!$C$20)),"")</f>
        <v/>
      </c>
      <c r="J2258" s="54" t="str">
        <f>IFERROR(IF(INDEX(SPOT_Import!$A$1:$Z$2488,2258,'Live Data'!$C$21)="","",INDEX(SPOT_Import!$A$1:$Z$2488,2258,'Live Data'!$C$21)),"")</f>
        <v/>
      </c>
      <c r="K2258" s="54" t="str">
        <f>IFERROR(IF(INDEX(SPOT_Import!$A$1:$Z$2488,2258,'Live Data'!$C$22)="","",INDEX(SPOT_Import!$A$1:$Z$2488,2258,'Live Data'!$C$22)),"")</f>
        <v/>
      </c>
      <c r="L2258" s="55" t="str">
        <f t="shared" si="70"/>
        <v/>
      </c>
      <c r="M2258" s="55" t="str">
        <f t="shared" si="71"/>
        <v/>
      </c>
      <c r="N2258" s="55" t="str">
        <f>IF(A2258="","",IFERROR(INDEX('Cluster Map'!$A$4:$A$38,MATCH(M2258,'Cluster Map'!$B$4:$B$38,0)),"Unmapped"))</f>
        <v/>
      </c>
      <c r="O2258" s="55">
        <f>IF(A2258="",0,IF(COUNTIFS($A$2:A2258,A2258,$F$2:F2258,F2258,$L$2:L2258,L2258)=1,1,0))</f>
        <v>0</v>
      </c>
      <c r="P2258" s="55">
        <f>IF(A2258="",0,IF(AND(F2258="C&amp;T",COUNTIFS($A$2:A2258,A2258,$F$2:F2258,"C&amp;T")=1),1,0))</f>
        <v>0</v>
      </c>
    </row>
    <row r="2259" spans="1:16" x14ac:dyDescent="0.35">
      <c r="A2259" s="54" t="str">
        <f>IFERROR(IF(INDEX(SPOT_Import!$A$1:$Z$2488,2259,'Live Data'!$C$12)="","",INDEX(SPOT_Import!$A$1:$Z$2488,2259,'Live Data'!$C$12)),"")</f>
        <v/>
      </c>
      <c r="B2259" s="54" t="str">
        <f>IFERROR(IF(INDEX(SPOT_Import!$A$1:$Z$2488,2259,'Live Data'!$C$13)="","",INDEX(SPOT_Import!$A$1:$Z$2488,2259,'Live Data'!$C$13)),"")</f>
        <v/>
      </c>
      <c r="C2259" s="54" t="str">
        <f>IFERROR(IF(INDEX(SPOT_Import!$A$1:$Z$2488,2259,'Live Data'!$C$14)="","",INDEX(SPOT_Import!$A$1:$Z$2488,2259,'Live Data'!$C$14)),"")</f>
        <v/>
      </c>
      <c r="D2259" s="54" t="str">
        <f>IFERROR(IF(INDEX(SPOT_Import!$A$1:$Z$2488,2259,'Live Data'!$C$15)="","",INDEX(SPOT_Import!$A$1:$Z$2488,2259,'Live Data'!$C$15)),"")</f>
        <v/>
      </c>
      <c r="E2259" s="54" t="str">
        <f>IFERROR(IF(INDEX(SPOT_Import!$A$1:$Z$2488,2259,'Live Data'!$C$16)="","",INDEX(SPOT_Import!$A$1:$Z$2488,2259,'Live Data'!$C$16)),"")</f>
        <v/>
      </c>
      <c r="F2259" s="54" t="str">
        <f>IFERROR(IF(INDEX(SPOT_Import!$A$1:$Z$2488,2259,'Live Data'!$C$17)="","",INDEX(SPOT_Import!$A$1:$Z$2488,2259,'Live Data'!$C$17)),"")</f>
        <v/>
      </c>
      <c r="G2259" s="54" t="str">
        <f>IFERROR(IF(INDEX(SPOT_Import!$A$1:$Z$2488,2259,'Live Data'!$C$18)="","",INDEX(SPOT_Import!$A$1:$Z$2488,2259,'Live Data'!$C$18)),"")</f>
        <v/>
      </c>
      <c r="H2259" s="54" t="str">
        <f>IFERROR(IF(INDEX(SPOT_Import!$A$1:$Z$2488,2259,'Live Data'!$C$19)="","",INDEX(SPOT_Import!$A$1:$Z$2488,2259,'Live Data'!$C$19)),"")</f>
        <v/>
      </c>
      <c r="I2259" s="54" t="str">
        <f>IFERROR(IF(INDEX(SPOT_Import!$A$1:$Z$2488,2259,'Live Data'!$C$20)="","",INDEX(SPOT_Import!$A$1:$Z$2488,2259,'Live Data'!$C$20)),"")</f>
        <v/>
      </c>
      <c r="J2259" s="54" t="str">
        <f>IFERROR(IF(INDEX(SPOT_Import!$A$1:$Z$2488,2259,'Live Data'!$C$21)="","",INDEX(SPOT_Import!$A$1:$Z$2488,2259,'Live Data'!$C$21)),"")</f>
        <v/>
      </c>
      <c r="K2259" s="54" t="str">
        <f>IFERROR(IF(INDEX(SPOT_Import!$A$1:$Z$2488,2259,'Live Data'!$C$22)="","",INDEX(SPOT_Import!$A$1:$Z$2488,2259,'Live Data'!$C$22)),"")</f>
        <v/>
      </c>
      <c r="L2259" s="55" t="str">
        <f t="shared" si="70"/>
        <v/>
      </c>
      <c r="M2259" s="55" t="str">
        <f t="shared" si="71"/>
        <v/>
      </c>
      <c r="N2259" s="55" t="str">
        <f>IF(A2259="","",IFERROR(INDEX('Cluster Map'!$A$4:$A$38,MATCH(M2259,'Cluster Map'!$B$4:$B$38,0)),"Unmapped"))</f>
        <v/>
      </c>
      <c r="O2259" s="55">
        <f>IF(A2259="",0,IF(COUNTIFS($A$2:A2259,A2259,$F$2:F2259,F2259,$L$2:L2259,L2259)=1,1,0))</f>
        <v>0</v>
      </c>
      <c r="P2259" s="55">
        <f>IF(A2259="",0,IF(AND(F2259="C&amp;T",COUNTIFS($A$2:A2259,A2259,$F$2:F2259,"C&amp;T")=1),1,0))</f>
        <v>0</v>
      </c>
    </row>
    <row r="2260" spans="1:16" x14ac:dyDescent="0.35">
      <c r="A2260" s="54" t="str">
        <f>IFERROR(IF(INDEX(SPOT_Import!$A$1:$Z$2488,2260,'Live Data'!$C$12)="","",INDEX(SPOT_Import!$A$1:$Z$2488,2260,'Live Data'!$C$12)),"")</f>
        <v/>
      </c>
      <c r="B2260" s="54" t="str">
        <f>IFERROR(IF(INDEX(SPOT_Import!$A$1:$Z$2488,2260,'Live Data'!$C$13)="","",INDEX(SPOT_Import!$A$1:$Z$2488,2260,'Live Data'!$C$13)),"")</f>
        <v/>
      </c>
      <c r="C2260" s="54" t="str">
        <f>IFERROR(IF(INDEX(SPOT_Import!$A$1:$Z$2488,2260,'Live Data'!$C$14)="","",INDEX(SPOT_Import!$A$1:$Z$2488,2260,'Live Data'!$C$14)),"")</f>
        <v/>
      </c>
      <c r="D2260" s="54" t="str">
        <f>IFERROR(IF(INDEX(SPOT_Import!$A$1:$Z$2488,2260,'Live Data'!$C$15)="","",INDEX(SPOT_Import!$A$1:$Z$2488,2260,'Live Data'!$C$15)),"")</f>
        <v/>
      </c>
      <c r="E2260" s="54" t="str">
        <f>IFERROR(IF(INDEX(SPOT_Import!$A$1:$Z$2488,2260,'Live Data'!$C$16)="","",INDEX(SPOT_Import!$A$1:$Z$2488,2260,'Live Data'!$C$16)),"")</f>
        <v/>
      </c>
      <c r="F2260" s="54" t="str">
        <f>IFERROR(IF(INDEX(SPOT_Import!$A$1:$Z$2488,2260,'Live Data'!$C$17)="","",INDEX(SPOT_Import!$A$1:$Z$2488,2260,'Live Data'!$C$17)),"")</f>
        <v/>
      </c>
      <c r="G2260" s="54" t="str">
        <f>IFERROR(IF(INDEX(SPOT_Import!$A$1:$Z$2488,2260,'Live Data'!$C$18)="","",INDEX(SPOT_Import!$A$1:$Z$2488,2260,'Live Data'!$C$18)),"")</f>
        <v/>
      </c>
      <c r="H2260" s="54" t="str">
        <f>IFERROR(IF(INDEX(SPOT_Import!$A$1:$Z$2488,2260,'Live Data'!$C$19)="","",INDEX(SPOT_Import!$A$1:$Z$2488,2260,'Live Data'!$C$19)),"")</f>
        <v/>
      </c>
      <c r="I2260" s="54" t="str">
        <f>IFERROR(IF(INDEX(SPOT_Import!$A$1:$Z$2488,2260,'Live Data'!$C$20)="","",INDEX(SPOT_Import!$A$1:$Z$2488,2260,'Live Data'!$C$20)),"")</f>
        <v/>
      </c>
      <c r="J2260" s="54" t="str">
        <f>IFERROR(IF(INDEX(SPOT_Import!$A$1:$Z$2488,2260,'Live Data'!$C$21)="","",INDEX(SPOT_Import!$A$1:$Z$2488,2260,'Live Data'!$C$21)),"")</f>
        <v/>
      </c>
      <c r="K2260" s="54" t="str">
        <f>IFERROR(IF(INDEX(SPOT_Import!$A$1:$Z$2488,2260,'Live Data'!$C$22)="","",INDEX(SPOT_Import!$A$1:$Z$2488,2260,'Live Data'!$C$22)),"")</f>
        <v/>
      </c>
      <c r="L2260" s="55" t="str">
        <f t="shared" si="70"/>
        <v/>
      </c>
      <c r="M2260" s="55" t="str">
        <f t="shared" si="71"/>
        <v/>
      </c>
      <c r="N2260" s="55" t="str">
        <f>IF(A2260="","",IFERROR(INDEX('Cluster Map'!$A$4:$A$38,MATCH(M2260,'Cluster Map'!$B$4:$B$38,0)),"Unmapped"))</f>
        <v/>
      </c>
      <c r="O2260" s="55">
        <f>IF(A2260="",0,IF(COUNTIFS($A$2:A2260,A2260,$F$2:F2260,F2260,$L$2:L2260,L2260)=1,1,0))</f>
        <v>0</v>
      </c>
      <c r="P2260" s="55">
        <f>IF(A2260="",0,IF(AND(F2260="C&amp;T",COUNTIFS($A$2:A2260,A2260,$F$2:F2260,"C&amp;T")=1),1,0))</f>
        <v>0</v>
      </c>
    </row>
    <row r="2261" spans="1:16" x14ac:dyDescent="0.35">
      <c r="A2261" s="54" t="str">
        <f>IFERROR(IF(INDEX(SPOT_Import!$A$1:$Z$2488,2261,'Live Data'!$C$12)="","",INDEX(SPOT_Import!$A$1:$Z$2488,2261,'Live Data'!$C$12)),"")</f>
        <v/>
      </c>
      <c r="B2261" s="54" t="str">
        <f>IFERROR(IF(INDEX(SPOT_Import!$A$1:$Z$2488,2261,'Live Data'!$C$13)="","",INDEX(SPOT_Import!$A$1:$Z$2488,2261,'Live Data'!$C$13)),"")</f>
        <v/>
      </c>
      <c r="C2261" s="54" t="str">
        <f>IFERROR(IF(INDEX(SPOT_Import!$A$1:$Z$2488,2261,'Live Data'!$C$14)="","",INDEX(SPOT_Import!$A$1:$Z$2488,2261,'Live Data'!$C$14)),"")</f>
        <v/>
      </c>
      <c r="D2261" s="54" t="str">
        <f>IFERROR(IF(INDEX(SPOT_Import!$A$1:$Z$2488,2261,'Live Data'!$C$15)="","",INDEX(SPOT_Import!$A$1:$Z$2488,2261,'Live Data'!$C$15)),"")</f>
        <v/>
      </c>
      <c r="E2261" s="54" t="str">
        <f>IFERROR(IF(INDEX(SPOT_Import!$A$1:$Z$2488,2261,'Live Data'!$C$16)="","",INDEX(SPOT_Import!$A$1:$Z$2488,2261,'Live Data'!$C$16)),"")</f>
        <v/>
      </c>
      <c r="F2261" s="54" t="str">
        <f>IFERROR(IF(INDEX(SPOT_Import!$A$1:$Z$2488,2261,'Live Data'!$C$17)="","",INDEX(SPOT_Import!$A$1:$Z$2488,2261,'Live Data'!$C$17)),"")</f>
        <v/>
      </c>
      <c r="G2261" s="54" t="str">
        <f>IFERROR(IF(INDEX(SPOT_Import!$A$1:$Z$2488,2261,'Live Data'!$C$18)="","",INDEX(SPOT_Import!$A$1:$Z$2488,2261,'Live Data'!$C$18)),"")</f>
        <v/>
      </c>
      <c r="H2261" s="54" t="str">
        <f>IFERROR(IF(INDEX(SPOT_Import!$A$1:$Z$2488,2261,'Live Data'!$C$19)="","",INDEX(SPOT_Import!$A$1:$Z$2488,2261,'Live Data'!$C$19)),"")</f>
        <v/>
      </c>
      <c r="I2261" s="54" t="str">
        <f>IFERROR(IF(INDEX(SPOT_Import!$A$1:$Z$2488,2261,'Live Data'!$C$20)="","",INDEX(SPOT_Import!$A$1:$Z$2488,2261,'Live Data'!$C$20)),"")</f>
        <v/>
      </c>
      <c r="J2261" s="54" t="str">
        <f>IFERROR(IF(INDEX(SPOT_Import!$A$1:$Z$2488,2261,'Live Data'!$C$21)="","",INDEX(SPOT_Import!$A$1:$Z$2488,2261,'Live Data'!$C$21)),"")</f>
        <v/>
      </c>
      <c r="K2261" s="54" t="str">
        <f>IFERROR(IF(INDEX(SPOT_Import!$A$1:$Z$2488,2261,'Live Data'!$C$22)="","",INDEX(SPOT_Import!$A$1:$Z$2488,2261,'Live Data'!$C$22)),"")</f>
        <v/>
      </c>
      <c r="L2261" s="55" t="str">
        <f t="shared" si="70"/>
        <v/>
      </c>
      <c r="M2261" s="55" t="str">
        <f t="shared" si="71"/>
        <v/>
      </c>
      <c r="N2261" s="55" t="str">
        <f>IF(A2261="","",IFERROR(INDEX('Cluster Map'!$A$4:$A$38,MATCH(M2261,'Cluster Map'!$B$4:$B$38,0)),"Unmapped"))</f>
        <v/>
      </c>
      <c r="O2261" s="55">
        <f>IF(A2261="",0,IF(COUNTIFS($A$2:A2261,A2261,$F$2:F2261,F2261,$L$2:L2261,L2261)=1,1,0))</f>
        <v>0</v>
      </c>
      <c r="P2261" s="55">
        <f>IF(A2261="",0,IF(AND(F2261="C&amp;T",COUNTIFS($A$2:A2261,A2261,$F$2:F2261,"C&amp;T")=1),1,0))</f>
        <v>0</v>
      </c>
    </row>
    <row r="2262" spans="1:16" x14ac:dyDescent="0.35">
      <c r="A2262" s="54" t="str">
        <f>IFERROR(IF(INDEX(SPOT_Import!$A$1:$Z$2488,2262,'Live Data'!$C$12)="","",INDEX(SPOT_Import!$A$1:$Z$2488,2262,'Live Data'!$C$12)),"")</f>
        <v/>
      </c>
      <c r="B2262" s="54" t="str">
        <f>IFERROR(IF(INDEX(SPOT_Import!$A$1:$Z$2488,2262,'Live Data'!$C$13)="","",INDEX(SPOT_Import!$A$1:$Z$2488,2262,'Live Data'!$C$13)),"")</f>
        <v/>
      </c>
      <c r="C2262" s="54" t="str">
        <f>IFERROR(IF(INDEX(SPOT_Import!$A$1:$Z$2488,2262,'Live Data'!$C$14)="","",INDEX(SPOT_Import!$A$1:$Z$2488,2262,'Live Data'!$C$14)),"")</f>
        <v/>
      </c>
      <c r="D2262" s="54" t="str">
        <f>IFERROR(IF(INDEX(SPOT_Import!$A$1:$Z$2488,2262,'Live Data'!$C$15)="","",INDEX(SPOT_Import!$A$1:$Z$2488,2262,'Live Data'!$C$15)),"")</f>
        <v/>
      </c>
      <c r="E2262" s="54" t="str">
        <f>IFERROR(IF(INDEX(SPOT_Import!$A$1:$Z$2488,2262,'Live Data'!$C$16)="","",INDEX(SPOT_Import!$A$1:$Z$2488,2262,'Live Data'!$C$16)),"")</f>
        <v/>
      </c>
      <c r="F2262" s="54" t="str">
        <f>IFERROR(IF(INDEX(SPOT_Import!$A$1:$Z$2488,2262,'Live Data'!$C$17)="","",INDEX(SPOT_Import!$A$1:$Z$2488,2262,'Live Data'!$C$17)),"")</f>
        <v/>
      </c>
      <c r="G2262" s="54" t="str">
        <f>IFERROR(IF(INDEX(SPOT_Import!$A$1:$Z$2488,2262,'Live Data'!$C$18)="","",INDEX(SPOT_Import!$A$1:$Z$2488,2262,'Live Data'!$C$18)),"")</f>
        <v/>
      </c>
      <c r="H2262" s="54" t="str">
        <f>IFERROR(IF(INDEX(SPOT_Import!$A$1:$Z$2488,2262,'Live Data'!$C$19)="","",INDEX(SPOT_Import!$A$1:$Z$2488,2262,'Live Data'!$C$19)),"")</f>
        <v/>
      </c>
      <c r="I2262" s="54" t="str">
        <f>IFERROR(IF(INDEX(SPOT_Import!$A$1:$Z$2488,2262,'Live Data'!$C$20)="","",INDEX(SPOT_Import!$A$1:$Z$2488,2262,'Live Data'!$C$20)),"")</f>
        <v/>
      </c>
      <c r="J2262" s="54" t="str">
        <f>IFERROR(IF(INDEX(SPOT_Import!$A$1:$Z$2488,2262,'Live Data'!$C$21)="","",INDEX(SPOT_Import!$A$1:$Z$2488,2262,'Live Data'!$C$21)),"")</f>
        <v/>
      </c>
      <c r="K2262" s="54" t="str">
        <f>IFERROR(IF(INDEX(SPOT_Import!$A$1:$Z$2488,2262,'Live Data'!$C$22)="","",INDEX(SPOT_Import!$A$1:$Z$2488,2262,'Live Data'!$C$22)),"")</f>
        <v/>
      </c>
      <c r="L2262" s="55" t="str">
        <f t="shared" si="70"/>
        <v/>
      </c>
      <c r="M2262" s="55" t="str">
        <f t="shared" si="71"/>
        <v/>
      </c>
      <c r="N2262" s="55" t="str">
        <f>IF(A2262="","",IFERROR(INDEX('Cluster Map'!$A$4:$A$38,MATCH(M2262,'Cluster Map'!$B$4:$B$38,0)),"Unmapped"))</f>
        <v/>
      </c>
      <c r="O2262" s="55">
        <f>IF(A2262="",0,IF(COUNTIFS($A$2:A2262,A2262,$F$2:F2262,F2262,$L$2:L2262,L2262)=1,1,0))</f>
        <v>0</v>
      </c>
      <c r="P2262" s="55">
        <f>IF(A2262="",0,IF(AND(F2262="C&amp;T",COUNTIFS($A$2:A2262,A2262,$F$2:F2262,"C&amp;T")=1),1,0))</f>
        <v>0</v>
      </c>
    </row>
    <row r="2263" spans="1:16" x14ac:dyDescent="0.35">
      <c r="A2263" s="54" t="str">
        <f>IFERROR(IF(INDEX(SPOT_Import!$A$1:$Z$2488,2263,'Live Data'!$C$12)="","",INDEX(SPOT_Import!$A$1:$Z$2488,2263,'Live Data'!$C$12)),"")</f>
        <v/>
      </c>
      <c r="B2263" s="54" t="str">
        <f>IFERROR(IF(INDEX(SPOT_Import!$A$1:$Z$2488,2263,'Live Data'!$C$13)="","",INDEX(SPOT_Import!$A$1:$Z$2488,2263,'Live Data'!$C$13)),"")</f>
        <v/>
      </c>
      <c r="C2263" s="54" t="str">
        <f>IFERROR(IF(INDEX(SPOT_Import!$A$1:$Z$2488,2263,'Live Data'!$C$14)="","",INDEX(SPOT_Import!$A$1:$Z$2488,2263,'Live Data'!$C$14)),"")</f>
        <v/>
      </c>
      <c r="D2263" s="54" t="str">
        <f>IFERROR(IF(INDEX(SPOT_Import!$A$1:$Z$2488,2263,'Live Data'!$C$15)="","",INDEX(SPOT_Import!$A$1:$Z$2488,2263,'Live Data'!$C$15)),"")</f>
        <v/>
      </c>
      <c r="E2263" s="54" t="str">
        <f>IFERROR(IF(INDEX(SPOT_Import!$A$1:$Z$2488,2263,'Live Data'!$C$16)="","",INDEX(SPOT_Import!$A$1:$Z$2488,2263,'Live Data'!$C$16)),"")</f>
        <v/>
      </c>
      <c r="F2263" s="54" t="str">
        <f>IFERROR(IF(INDEX(SPOT_Import!$A$1:$Z$2488,2263,'Live Data'!$C$17)="","",INDEX(SPOT_Import!$A$1:$Z$2488,2263,'Live Data'!$C$17)),"")</f>
        <v/>
      </c>
      <c r="G2263" s="54" t="str">
        <f>IFERROR(IF(INDEX(SPOT_Import!$A$1:$Z$2488,2263,'Live Data'!$C$18)="","",INDEX(SPOT_Import!$A$1:$Z$2488,2263,'Live Data'!$C$18)),"")</f>
        <v/>
      </c>
      <c r="H2263" s="54" t="str">
        <f>IFERROR(IF(INDEX(SPOT_Import!$A$1:$Z$2488,2263,'Live Data'!$C$19)="","",INDEX(SPOT_Import!$A$1:$Z$2488,2263,'Live Data'!$C$19)),"")</f>
        <v/>
      </c>
      <c r="I2263" s="54" t="str">
        <f>IFERROR(IF(INDEX(SPOT_Import!$A$1:$Z$2488,2263,'Live Data'!$C$20)="","",INDEX(SPOT_Import!$A$1:$Z$2488,2263,'Live Data'!$C$20)),"")</f>
        <v/>
      </c>
      <c r="J2263" s="54" t="str">
        <f>IFERROR(IF(INDEX(SPOT_Import!$A$1:$Z$2488,2263,'Live Data'!$C$21)="","",INDEX(SPOT_Import!$A$1:$Z$2488,2263,'Live Data'!$C$21)),"")</f>
        <v/>
      </c>
      <c r="K2263" s="54" t="str">
        <f>IFERROR(IF(INDEX(SPOT_Import!$A$1:$Z$2488,2263,'Live Data'!$C$22)="","",INDEX(SPOT_Import!$A$1:$Z$2488,2263,'Live Data'!$C$22)),"")</f>
        <v/>
      </c>
      <c r="L2263" s="55" t="str">
        <f t="shared" si="70"/>
        <v/>
      </c>
      <c r="M2263" s="55" t="str">
        <f t="shared" si="71"/>
        <v/>
      </c>
      <c r="N2263" s="55" t="str">
        <f>IF(A2263="","",IFERROR(INDEX('Cluster Map'!$A$4:$A$38,MATCH(M2263,'Cluster Map'!$B$4:$B$38,0)),"Unmapped"))</f>
        <v/>
      </c>
      <c r="O2263" s="55">
        <f>IF(A2263="",0,IF(COUNTIFS($A$2:A2263,A2263,$F$2:F2263,F2263,$L$2:L2263,L2263)=1,1,0))</f>
        <v>0</v>
      </c>
      <c r="P2263" s="55">
        <f>IF(A2263="",0,IF(AND(F2263="C&amp;T",COUNTIFS($A$2:A2263,A2263,$F$2:F2263,"C&amp;T")=1),1,0))</f>
        <v>0</v>
      </c>
    </row>
    <row r="2264" spans="1:16" x14ac:dyDescent="0.35">
      <c r="A2264" s="54" t="str">
        <f>IFERROR(IF(INDEX(SPOT_Import!$A$1:$Z$2488,2264,'Live Data'!$C$12)="","",INDEX(SPOT_Import!$A$1:$Z$2488,2264,'Live Data'!$C$12)),"")</f>
        <v/>
      </c>
      <c r="B2264" s="54" t="str">
        <f>IFERROR(IF(INDEX(SPOT_Import!$A$1:$Z$2488,2264,'Live Data'!$C$13)="","",INDEX(SPOT_Import!$A$1:$Z$2488,2264,'Live Data'!$C$13)),"")</f>
        <v/>
      </c>
      <c r="C2264" s="54" t="str">
        <f>IFERROR(IF(INDEX(SPOT_Import!$A$1:$Z$2488,2264,'Live Data'!$C$14)="","",INDEX(SPOT_Import!$A$1:$Z$2488,2264,'Live Data'!$C$14)),"")</f>
        <v/>
      </c>
      <c r="D2264" s="54" t="str">
        <f>IFERROR(IF(INDEX(SPOT_Import!$A$1:$Z$2488,2264,'Live Data'!$C$15)="","",INDEX(SPOT_Import!$A$1:$Z$2488,2264,'Live Data'!$C$15)),"")</f>
        <v/>
      </c>
      <c r="E2264" s="54" t="str">
        <f>IFERROR(IF(INDEX(SPOT_Import!$A$1:$Z$2488,2264,'Live Data'!$C$16)="","",INDEX(SPOT_Import!$A$1:$Z$2488,2264,'Live Data'!$C$16)),"")</f>
        <v/>
      </c>
      <c r="F2264" s="54" t="str">
        <f>IFERROR(IF(INDEX(SPOT_Import!$A$1:$Z$2488,2264,'Live Data'!$C$17)="","",INDEX(SPOT_Import!$A$1:$Z$2488,2264,'Live Data'!$C$17)),"")</f>
        <v/>
      </c>
      <c r="G2264" s="54" t="str">
        <f>IFERROR(IF(INDEX(SPOT_Import!$A$1:$Z$2488,2264,'Live Data'!$C$18)="","",INDEX(SPOT_Import!$A$1:$Z$2488,2264,'Live Data'!$C$18)),"")</f>
        <v/>
      </c>
      <c r="H2264" s="54" t="str">
        <f>IFERROR(IF(INDEX(SPOT_Import!$A$1:$Z$2488,2264,'Live Data'!$C$19)="","",INDEX(SPOT_Import!$A$1:$Z$2488,2264,'Live Data'!$C$19)),"")</f>
        <v/>
      </c>
      <c r="I2264" s="54" t="str">
        <f>IFERROR(IF(INDEX(SPOT_Import!$A$1:$Z$2488,2264,'Live Data'!$C$20)="","",INDEX(SPOT_Import!$A$1:$Z$2488,2264,'Live Data'!$C$20)),"")</f>
        <v/>
      </c>
      <c r="J2264" s="54" t="str">
        <f>IFERROR(IF(INDEX(SPOT_Import!$A$1:$Z$2488,2264,'Live Data'!$C$21)="","",INDEX(SPOT_Import!$A$1:$Z$2488,2264,'Live Data'!$C$21)),"")</f>
        <v/>
      </c>
      <c r="K2264" s="54" t="str">
        <f>IFERROR(IF(INDEX(SPOT_Import!$A$1:$Z$2488,2264,'Live Data'!$C$22)="","",INDEX(SPOT_Import!$A$1:$Z$2488,2264,'Live Data'!$C$22)),"")</f>
        <v/>
      </c>
      <c r="L2264" s="55" t="str">
        <f t="shared" si="70"/>
        <v/>
      </c>
      <c r="M2264" s="55" t="str">
        <f t="shared" si="71"/>
        <v/>
      </c>
      <c r="N2264" s="55" t="str">
        <f>IF(A2264="","",IFERROR(INDEX('Cluster Map'!$A$4:$A$38,MATCH(M2264,'Cluster Map'!$B$4:$B$38,0)),"Unmapped"))</f>
        <v/>
      </c>
      <c r="O2264" s="55">
        <f>IF(A2264="",0,IF(COUNTIFS($A$2:A2264,A2264,$F$2:F2264,F2264,$L$2:L2264,L2264)=1,1,0))</f>
        <v>0</v>
      </c>
      <c r="P2264" s="55">
        <f>IF(A2264="",0,IF(AND(F2264="C&amp;T",COUNTIFS($A$2:A2264,A2264,$F$2:F2264,"C&amp;T")=1),1,0))</f>
        <v>0</v>
      </c>
    </row>
    <row r="2265" spans="1:16" x14ac:dyDescent="0.35">
      <c r="A2265" s="54" t="str">
        <f>IFERROR(IF(INDEX(SPOT_Import!$A$1:$Z$2488,2265,'Live Data'!$C$12)="","",INDEX(SPOT_Import!$A$1:$Z$2488,2265,'Live Data'!$C$12)),"")</f>
        <v/>
      </c>
      <c r="B2265" s="54" t="str">
        <f>IFERROR(IF(INDEX(SPOT_Import!$A$1:$Z$2488,2265,'Live Data'!$C$13)="","",INDEX(SPOT_Import!$A$1:$Z$2488,2265,'Live Data'!$C$13)),"")</f>
        <v/>
      </c>
      <c r="C2265" s="54" t="str">
        <f>IFERROR(IF(INDEX(SPOT_Import!$A$1:$Z$2488,2265,'Live Data'!$C$14)="","",INDEX(SPOT_Import!$A$1:$Z$2488,2265,'Live Data'!$C$14)),"")</f>
        <v/>
      </c>
      <c r="D2265" s="54" t="str">
        <f>IFERROR(IF(INDEX(SPOT_Import!$A$1:$Z$2488,2265,'Live Data'!$C$15)="","",INDEX(SPOT_Import!$A$1:$Z$2488,2265,'Live Data'!$C$15)),"")</f>
        <v/>
      </c>
      <c r="E2265" s="54" t="str">
        <f>IFERROR(IF(INDEX(SPOT_Import!$A$1:$Z$2488,2265,'Live Data'!$C$16)="","",INDEX(SPOT_Import!$A$1:$Z$2488,2265,'Live Data'!$C$16)),"")</f>
        <v/>
      </c>
      <c r="F2265" s="54" t="str">
        <f>IFERROR(IF(INDEX(SPOT_Import!$A$1:$Z$2488,2265,'Live Data'!$C$17)="","",INDEX(SPOT_Import!$A$1:$Z$2488,2265,'Live Data'!$C$17)),"")</f>
        <v/>
      </c>
      <c r="G2265" s="54" t="str">
        <f>IFERROR(IF(INDEX(SPOT_Import!$A$1:$Z$2488,2265,'Live Data'!$C$18)="","",INDEX(SPOT_Import!$A$1:$Z$2488,2265,'Live Data'!$C$18)),"")</f>
        <v/>
      </c>
      <c r="H2265" s="54" t="str">
        <f>IFERROR(IF(INDEX(SPOT_Import!$A$1:$Z$2488,2265,'Live Data'!$C$19)="","",INDEX(SPOT_Import!$A$1:$Z$2488,2265,'Live Data'!$C$19)),"")</f>
        <v/>
      </c>
      <c r="I2265" s="54" t="str">
        <f>IFERROR(IF(INDEX(SPOT_Import!$A$1:$Z$2488,2265,'Live Data'!$C$20)="","",INDEX(SPOT_Import!$A$1:$Z$2488,2265,'Live Data'!$C$20)),"")</f>
        <v/>
      </c>
      <c r="J2265" s="54" t="str">
        <f>IFERROR(IF(INDEX(SPOT_Import!$A$1:$Z$2488,2265,'Live Data'!$C$21)="","",INDEX(SPOT_Import!$A$1:$Z$2488,2265,'Live Data'!$C$21)),"")</f>
        <v/>
      </c>
      <c r="K2265" s="54" t="str">
        <f>IFERROR(IF(INDEX(SPOT_Import!$A$1:$Z$2488,2265,'Live Data'!$C$22)="","",INDEX(SPOT_Import!$A$1:$Z$2488,2265,'Live Data'!$C$22)),"")</f>
        <v/>
      </c>
      <c r="L2265" s="55" t="str">
        <f t="shared" si="70"/>
        <v/>
      </c>
      <c r="M2265" s="55" t="str">
        <f t="shared" si="71"/>
        <v/>
      </c>
      <c r="N2265" s="55" t="str">
        <f>IF(A2265="","",IFERROR(INDEX('Cluster Map'!$A$4:$A$38,MATCH(M2265,'Cluster Map'!$B$4:$B$38,0)),"Unmapped"))</f>
        <v/>
      </c>
      <c r="O2265" s="55">
        <f>IF(A2265="",0,IF(COUNTIFS($A$2:A2265,A2265,$F$2:F2265,F2265,$L$2:L2265,L2265)=1,1,0))</f>
        <v>0</v>
      </c>
      <c r="P2265" s="55">
        <f>IF(A2265="",0,IF(AND(F2265="C&amp;T",COUNTIFS($A$2:A2265,A2265,$F$2:F2265,"C&amp;T")=1),1,0))</f>
        <v>0</v>
      </c>
    </row>
    <row r="2266" spans="1:16" x14ac:dyDescent="0.35">
      <c r="A2266" s="54" t="str">
        <f>IFERROR(IF(INDEX(SPOT_Import!$A$1:$Z$2488,2266,'Live Data'!$C$12)="","",INDEX(SPOT_Import!$A$1:$Z$2488,2266,'Live Data'!$C$12)),"")</f>
        <v/>
      </c>
      <c r="B2266" s="54" t="str">
        <f>IFERROR(IF(INDEX(SPOT_Import!$A$1:$Z$2488,2266,'Live Data'!$C$13)="","",INDEX(SPOT_Import!$A$1:$Z$2488,2266,'Live Data'!$C$13)),"")</f>
        <v/>
      </c>
      <c r="C2266" s="54" t="str">
        <f>IFERROR(IF(INDEX(SPOT_Import!$A$1:$Z$2488,2266,'Live Data'!$C$14)="","",INDEX(SPOT_Import!$A$1:$Z$2488,2266,'Live Data'!$C$14)),"")</f>
        <v/>
      </c>
      <c r="D2266" s="54" t="str">
        <f>IFERROR(IF(INDEX(SPOT_Import!$A$1:$Z$2488,2266,'Live Data'!$C$15)="","",INDEX(SPOT_Import!$A$1:$Z$2488,2266,'Live Data'!$C$15)),"")</f>
        <v/>
      </c>
      <c r="E2266" s="54" t="str">
        <f>IFERROR(IF(INDEX(SPOT_Import!$A$1:$Z$2488,2266,'Live Data'!$C$16)="","",INDEX(SPOT_Import!$A$1:$Z$2488,2266,'Live Data'!$C$16)),"")</f>
        <v/>
      </c>
      <c r="F2266" s="54" t="str">
        <f>IFERROR(IF(INDEX(SPOT_Import!$A$1:$Z$2488,2266,'Live Data'!$C$17)="","",INDEX(SPOT_Import!$A$1:$Z$2488,2266,'Live Data'!$C$17)),"")</f>
        <v/>
      </c>
      <c r="G2266" s="54" t="str">
        <f>IFERROR(IF(INDEX(SPOT_Import!$A$1:$Z$2488,2266,'Live Data'!$C$18)="","",INDEX(SPOT_Import!$A$1:$Z$2488,2266,'Live Data'!$C$18)),"")</f>
        <v/>
      </c>
      <c r="H2266" s="54" t="str">
        <f>IFERROR(IF(INDEX(SPOT_Import!$A$1:$Z$2488,2266,'Live Data'!$C$19)="","",INDEX(SPOT_Import!$A$1:$Z$2488,2266,'Live Data'!$C$19)),"")</f>
        <v/>
      </c>
      <c r="I2266" s="54" t="str">
        <f>IFERROR(IF(INDEX(SPOT_Import!$A$1:$Z$2488,2266,'Live Data'!$C$20)="","",INDEX(SPOT_Import!$A$1:$Z$2488,2266,'Live Data'!$C$20)),"")</f>
        <v/>
      </c>
      <c r="J2266" s="54" t="str">
        <f>IFERROR(IF(INDEX(SPOT_Import!$A$1:$Z$2488,2266,'Live Data'!$C$21)="","",INDEX(SPOT_Import!$A$1:$Z$2488,2266,'Live Data'!$C$21)),"")</f>
        <v/>
      </c>
      <c r="K2266" s="54" t="str">
        <f>IFERROR(IF(INDEX(SPOT_Import!$A$1:$Z$2488,2266,'Live Data'!$C$22)="","",INDEX(SPOT_Import!$A$1:$Z$2488,2266,'Live Data'!$C$22)),"")</f>
        <v/>
      </c>
      <c r="L2266" s="55" t="str">
        <f t="shared" si="70"/>
        <v/>
      </c>
      <c r="M2266" s="55" t="str">
        <f t="shared" si="71"/>
        <v/>
      </c>
      <c r="N2266" s="55" t="str">
        <f>IF(A2266="","",IFERROR(INDEX('Cluster Map'!$A$4:$A$38,MATCH(M2266,'Cluster Map'!$B$4:$B$38,0)),"Unmapped"))</f>
        <v/>
      </c>
      <c r="O2266" s="55">
        <f>IF(A2266="",0,IF(COUNTIFS($A$2:A2266,A2266,$F$2:F2266,F2266,$L$2:L2266,L2266)=1,1,0))</f>
        <v>0</v>
      </c>
      <c r="P2266" s="55">
        <f>IF(A2266="",0,IF(AND(F2266="C&amp;T",COUNTIFS($A$2:A2266,A2266,$F$2:F2266,"C&amp;T")=1),1,0))</f>
        <v>0</v>
      </c>
    </row>
    <row r="2267" spans="1:16" x14ac:dyDescent="0.35">
      <c r="A2267" s="54" t="str">
        <f>IFERROR(IF(INDEX(SPOT_Import!$A$1:$Z$2488,2267,'Live Data'!$C$12)="","",INDEX(SPOT_Import!$A$1:$Z$2488,2267,'Live Data'!$C$12)),"")</f>
        <v/>
      </c>
      <c r="B2267" s="54" t="str">
        <f>IFERROR(IF(INDEX(SPOT_Import!$A$1:$Z$2488,2267,'Live Data'!$C$13)="","",INDEX(SPOT_Import!$A$1:$Z$2488,2267,'Live Data'!$C$13)),"")</f>
        <v/>
      </c>
      <c r="C2267" s="54" t="str">
        <f>IFERROR(IF(INDEX(SPOT_Import!$A$1:$Z$2488,2267,'Live Data'!$C$14)="","",INDEX(SPOT_Import!$A$1:$Z$2488,2267,'Live Data'!$C$14)),"")</f>
        <v/>
      </c>
      <c r="D2267" s="54" t="str">
        <f>IFERROR(IF(INDEX(SPOT_Import!$A$1:$Z$2488,2267,'Live Data'!$C$15)="","",INDEX(SPOT_Import!$A$1:$Z$2488,2267,'Live Data'!$C$15)),"")</f>
        <v/>
      </c>
      <c r="E2267" s="54" t="str">
        <f>IFERROR(IF(INDEX(SPOT_Import!$A$1:$Z$2488,2267,'Live Data'!$C$16)="","",INDEX(SPOT_Import!$A$1:$Z$2488,2267,'Live Data'!$C$16)),"")</f>
        <v/>
      </c>
      <c r="F2267" s="54" t="str">
        <f>IFERROR(IF(INDEX(SPOT_Import!$A$1:$Z$2488,2267,'Live Data'!$C$17)="","",INDEX(SPOT_Import!$A$1:$Z$2488,2267,'Live Data'!$C$17)),"")</f>
        <v/>
      </c>
      <c r="G2267" s="54" t="str">
        <f>IFERROR(IF(INDEX(SPOT_Import!$A$1:$Z$2488,2267,'Live Data'!$C$18)="","",INDEX(SPOT_Import!$A$1:$Z$2488,2267,'Live Data'!$C$18)),"")</f>
        <v/>
      </c>
      <c r="H2267" s="54" t="str">
        <f>IFERROR(IF(INDEX(SPOT_Import!$A$1:$Z$2488,2267,'Live Data'!$C$19)="","",INDEX(SPOT_Import!$A$1:$Z$2488,2267,'Live Data'!$C$19)),"")</f>
        <v/>
      </c>
      <c r="I2267" s="54" t="str">
        <f>IFERROR(IF(INDEX(SPOT_Import!$A$1:$Z$2488,2267,'Live Data'!$C$20)="","",INDEX(SPOT_Import!$A$1:$Z$2488,2267,'Live Data'!$C$20)),"")</f>
        <v/>
      </c>
      <c r="J2267" s="54" t="str">
        <f>IFERROR(IF(INDEX(SPOT_Import!$A$1:$Z$2488,2267,'Live Data'!$C$21)="","",INDEX(SPOT_Import!$A$1:$Z$2488,2267,'Live Data'!$C$21)),"")</f>
        <v/>
      </c>
      <c r="K2267" s="54" t="str">
        <f>IFERROR(IF(INDEX(SPOT_Import!$A$1:$Z$2488,2267,'Live Data'!$C$22)="","",INDEX(SPOT_Import!$A$1:$Z$2488,2267,'Live Data'!$C$22)),"")</f>
        <v/>
      </c>
      <c r="L2267" s="55" t="str">
        <f t="shared" si="70"/>
        <v/>
      </c>
      <c r="M2267" s="55" t="str">
        <f t="shared" si="71"/>
        <v/>
      </c>
      <c r="N2267" s="55" t="str">
        <f>IF(A2267="","",IFERROR(INDEX('Cluster Map'!$A$4:$A$38,MATCH(M2267,'Cluster Map'!$B$4:$B$38,0)),"Unmapped"))</f>
        <v/>
      </c>
      <c r="O2267" s="55">
        <f>IF(A2267="",0,IF(COUNTIFS($A$2:A2267,A2267,$F$2:F2267,F2267,$L$2:L2267,L2267)=1,1,0))</f>
        <v>0</v>
      </c>
      <c r="P2267" s="55">
        <f>IF(A2267="",0,IF(AND(F2267="C&amp;T",COUNTIFS($A$2:A2267,A2267,$F$2:F2267,"C&amp;T")=1),1,0))</f>
        <v>0</v>
      </c>
    </row>
    <row r="2268" spans="1:16" x14ac:dyDescent="0.35">
      <c r="A2268" s="54" t="str">
        <f>IFERROR(IF(INDEX(SPOT_Import!$A$1:$Z$2488,2268,'Live Data'!$C$12)="","",INDEX(SPOT_Import!$A$1:$Z$2488,2268,'Live Data'!$C$12)),"")</f>
        <v/>
      </c>
      <c r="B2268" s="54" t="str">
        <f>IFERROR(IF(INDEX(SPOT_Import!$A$1:$Z$2488,2268,'Live Data'!$C$13)="","",INDEX(SPOT_Import!$A$1:$Z$2488,2268,'Live Data'!$C$13)),"")</f>
        <v/>
      </c>
      <c r="C2268" s="54" t="str">
        <f>IFERROR(IF(INDEX(SPOT_Import!$A$1:$Z$2488,2268,'Live Data'!$C$14)="","",INDEX(SPOT_Import!$A$1:$Z$2488,2268,'Live Data'!$C$14)),"")</f>
        <v/>
      </c>
      <c r="D2268" s="54" t="str">
        <f>IFERROR(IF(INDEX(SPOT_Import!$A$1:$Z$2488,2268,'Live Data'!$C$15)="","",INDEX(SPOT_Import!$A$1:$Z$2488,2268,'Live Data'!$C$15)),"")</f>
        <v/>
      </c>
      <c r="E2268" s="54" t="str">
        <f>IFERROR(IF(INDEX(SPOT_Import!$A$1:$Z$2488,2268,'Live Data'!$C$16)="","",INDEX(SPOT_Import!$A$1:$Z$2488,2268,'Live Data'!$C$16)),"")</f>
        <v/>
      </c>
      <c r="F2268" s="54" t="str">
        <f>IFERROR(IF(INDEX(SPOT_Import!$A$1:$Z$2488,2268,'Live Data'!$C$17)="","",INDEX(SPOT_Import!$A$1:$Z$2488,2268,'Live Data'!$C$17)),"")</f>
        <v/>
      </c>
      <c r="G2268" s="54" t="str">
        <f>IFERROR(IF(INDEX(SPOT_Import!$A$1:$Z$2488,2268,'Live Data'!$C$18)="","",INDEX(SPOT_Import!$A$1:$Z$2488,2268,'Live Data'!$C$18)),"")</f>
        <v/>
      </c>
      <c r="H2268" s="54" t="str">
        <f>IFERROR(IF(INDEX(SPOT_Import!$A$1:$Z$2488,2268,'Live Data'!$C$19)="","",INDEX(SPOT_Import!$A$1:$Z$2488,2268,'Live Data'!$C$19)),"")</f>
        <v/>
      </c>
      <c r="I2268" s="54" t="str">
        <f>IFERROR(IF(INDEX(SPOT_Import!$A$1:$Z$2488,2268,'Live Data'!$C$20)="","",INDEX(SPOT_Import!$A$1:$Z$2488,2268,'Live Data'!$C$20)),"")</f>
        <v/>
      </c>
      <c r="J2268" s="54" t="str">
        <f>IFERROR(IF(INDEX(SPOT_Import!$A$1:$Z$2488,2268,'Live Data'!$C$21)="","",INDEX(SPOT_Import!$A$1:$Z$2488,2268,'Live Data'!$C$21)),"")</f>
        <v/>
      </c>
      <c r="K2268" s="54" t="str">
        <f>IFERROR(IF(INDEX(SPOT_Import!$A$1:$Z$2488,2268,'Live Data'!$C$22)="","",INDEX(SPOT_Import!$A$1:$Z$2488,2268,'Live Data'!$C$22)),"")</f>
        <v/>
      </c>
      <c r="L2268" s="55" t="str">
        <f t="shared" si="70"/>
        <v/>
      </c>
      <c r="M2268" s="55" t="str">
        <f t="shared" si="71"/>
        <v/>
      </c>
      <c r="N2268" s="55" t="str">
        <f>IF(A2268="","",IFERROR(INDEX('Cluster Map'!$A$4:$A$38,MATCH(M2268,'Cluster Map'!$B$4:$B$38,0)),"Unmapped"))</f>
        <v/>
      </c>
      <c r="O2268" s="55">
        <f>IF(A2268="",0,IF(COUNTIFS($A$2:A2268,A2268,$F$2:F2268,F2268,$L$2:L2268,L2268)=1,1,0))</f>
        <v>0</v>
      </c>
      <c r="P2268" s="55">
        <f>IF(A2268="",0,IF(AND(F2268="C&amp;T",COUNTIFS($A$2:A2268,A2268,$F$2:F2268,"C&amp;T")=1),1,0))</f>
        <v>0</v>
      </c>
    </row>
    <row r="2269" spans="1:16" x14ac:dyDescent="0.35">
      <c r="A2269" s="54" t="str">
        <f>IFERROR(IF(INDEX(SPOT_Import!$A$1:$Z$2488,2269,'Live Data'!$C$12)="","",INDEX(SPOT_Import!$A$1:$Z$2488,2269,'Live Data'!$C$12)),"")</f>
        <v/>
      </c>
      <c r="B2269" s="54" t="str">
        <f>IFERROR(IF(INDEX(SPOT_Import!$A$1:$Z$2488,2269,'Live Data'!$C$13)="","",INDEX(SPOT_Import!$A$1:$Z$2488,2269,'Live Data'!$C$13)),"")</f>
        <v/>
      </c>
      <c r="C2269" s="54" t="str">
        <f>IFERROR(IF(INDEX(SPOT_Import!$A$1:$Z$2488,2269,'Live Data'!$C$14)="","",INDEX(SPOT_Import!$A$1:$Z$2488,2269,'Live Data'!$C$14)),"")</f>
        <v/>
      </c>
      <c r="D2269" s="54" t="str">
        <f>IFERROR(IF(INDEX(SPOT_Import!$A$1:$Z$2488,2269,'Live Data'!$C$15)="","",INDEX(SPOT_Import!$A$1:$Z$2488,2269,'Live Data'!$C$15)),"")</f>
        <v/>
      </c>
      <c r="E2269" s="54" t="str">
        <f>IFERROR(IF(INDEX(SPOT_Import!$A$1:$Z$2488,2269,'Live Data'!$C$16)="","",INDEX(SPOT_Import!$A$1:$Z$2488,2269,'Live Data'!$C$16)),"")</f>
        <v/>
      </c>
      <c r="F2269" s="54" t="str">
        <f>IFERROR(IF(INDEX(SPOT_Import!$A$1:$Z$2488,2269,'Live Data'!$C$17)="","",INDEX(SPOT_Import!$A$1:$Z$2488,2269,'Live Data'!$C$17)),"")</f>
        <v/>
      </c>
      <c r="G2269" s="54" t="str">
        <f>IFERROR(IF(INDEX(SPOT_Import!$A$1:$Z$2488,2269,'Live Data'!$C$18)="","",INDEX(SPOT_Import!$A$1:$Z$2488,2269,'Live Data'!$C$18)),"")</f>
        <v/>
      </c>
      <c r="H2269" s="54" t="str">
        <f>IFERROR(IF(INDEX(SPOT_Import!$A$1:$Z$2488,2269,'Live Data'!$C$19)="","",INDEX(SPOT_Import!$A$1:$Z$2488,2269,'Live Data'!$C$19)),"")</f>
        <v/>
      </c>
      <c r="I2269" s="54" t="str">
        <f>IFERROR(IF(INDEX(SPOT_Import!$A$1:$Z$2488,2269,'Live Data'!$C$20)="","",INDEX(SPOT_Import!$A$1:$Z$2488,2269,'Live Data'!$C$20)),"")</f>
        <v/>
      </c>
      <c r="J2269" s="54" t="str">
        <f>IFERROR(IF(INDEX(SPOT_Import!$A$1:$Z$2488,2269,'Live Data'!$C$21)="","",INDEX(SPOT_Import!$A$1:$Z$2488,2269,'Live Data'!$C$21)),"")</f>
        <v/>
      </c>
      <c r="K2269" s="54" t="str">
        <f>IFERROR(IF(INDEX(SPOT_Import!$A$1:$Z$2488,2269,'Live Data'!$C$22)="","",INDEX(SPOT_Import!$A$1:$Z$2488,2269,'Live Data'!$C$22)),"")</f>
        <v/>
      </c>
      <c r="L2269" s="55" t="str">
        <f t="shared" si="70"/>
        <v/>
      </c>
      <c r="M2269" s="55" t="str">
        <f t="shared" si="71"/>
        <v/>
      </c>
      <c r="N2269" s="55" t="str">
        <f>IF(A2269="","",IFERROR(INDEX('Cluster Map'!$A$4:$A$38,MATCH(M2269,'Cluster Map'!$B$4:$B$38,0)),"Unmapped"))</f>
        <v/>
      </c>
      <c r="O2269" s="55">
        <f>IF(A2269="",0,IF(COUNTIFS($A$2:A2269,A2269,$F$2:F2269,F2269,$L$2:L2269,L2269)=1,1,0))</f>
        <v>0</v>
      </c>
      <c r="P2269" s="55">
        <f>IF(A2269="",0,IF(AND(F2269="C&amp;T",COUNTIFS($A$2:A2269,A2269,$F$2:F2269,"C&amp;T")=1),1,0))</f>
        <v>0</v>
      </c>
    </row>
    <row r="2270" spans="1:16" x14ac:dyDescent="0.35">
      <c r="A2270" s="54" t="str">
        <f>IFERROR(IF(INDEX(SPOT_Import!$A$1:$Z$2488,2270,'Live Data'!$C$12)="","",INDEX(SPOT_Import!$A$1:$Z$2488,2270,'Live Data'!$C$12)),"")</f>
        <v/>
      </c>
      <c r="B2270" s="54" t="str">
        <f>IFERROR(IF(INDEX(SPOT_Import!$A$1:$Z$2488,2270,'Live Data'!$C$13)="","",INDEX(SPOT_Import!$A$1:$Z$2488,2270,'Live Data'!$C$13)),"")</f>
        <v/>
      </c>
      <c r="C2270" s="54" t="str">
        <f>IFERROR(IF(INDEX(SPOT_Import!$A$1:$Z$2488,2270,'Live Data'!$C$14)="","",INDEX(SPOT_Import!$A$1:$Z$2488,2270,'Live Data'!$C$14)),"")</f>
        <v/>
      </c>
      <c r="D2270" s="54" t="str">
        <f>IFERROR(IF(INDEX(SPOT_Import!$A$1:$Z$2488,2270,'Live Data'!$C$15)="","",INDEX(SPOT_Import!$A$1:$Z$2488,2270,'Live Data'!$C$15)),"")</f>
        <v/>
      </c>
      <c r="E2270" s="54" t="str">
        <f>IFERROR(IF(INDEX(SPOT_Import!$A$1:$Z$2488,2270,'Live Data'!$C$16)="","",INDEX(SPOT_Import!$A$1:$Z$2488,2270,'Live Data'!$C$16)),"")</f>
        <v/>
      </c>
      <c r="F2270" s="54" t="str">
        <f>IFERROR(IF(INDEX(SPOT_Import!$A$1:$Z$2488,2270,'Live Data'!$C$17)="","",INDEX(SPOT_Import!$A$1:$Z$2488,2270,'Live Data'!$C$17)),"")</f>
        <v/>
      </c>
      <c r="G2270" s="54" t="str">
        <f>IFERROR(IF(INDEX(SPOT_Import!$A$1:$Z$2488,2270,'Live Data'!$C$18)="","",INDEX(SPOT_Import!$A$1:$Z$2488,2270,'Live Data'!$C$18)),"")</f>
        <v/>
      </c>
      <c r="H2270" s="54" t="str">
        <f>IFERROR(IF(INDEX(SPOT_Import!$A$1:$Z$2488,2270,'Live Data'!$C$19)="","",INDEX(SPOT_Import!$A$1:$Z$2488,2270,'Live Data'!$C$19)),"")</f>
        <v/>
      </c>
      <c r="I2270" s="54" t="str">
        <f>IFERROR(IF(INDEX(SPOT_Import!$A$1:$Z$2488,2270,'Live Data'!$C$20)="","",INDEX(SPOT_Import!$A$1:$Z$2488,2270,'Live Data'!$C$20)),"")</f>
        <v/>
      </c>
      <c r="J2270" s="54" t="str">
        <f>IFERROR(IF(INDEX(SPOT_Import!$A$1:$Z$2488,2270,'Live Data'!$C$21)="","",INDEX(SPOT_Import!$A$1:$Z$2488,2270,'Live Data'!$C$21)),"")</f>
        <v/>
      </c>
      <c r="K2270" s="54" t="str">
        <f>IFERROR(IF(INDEX(SPOT_Import!$A$1:$Z$2488,2270,'Live Data'!$C$22)="","",INDEX(SPOT_Import!$A$1:$Z$2488,2270,'Live Data'!$C$22)),"")</f>
        <v/>
      </c>
      <c r="L2270" s="55" t="str">
        <f t="shared" si="70"/>
        <v/>
      </c>
      <c r="M2270" s="55" t="str">
        <f t="shared" si="71"/>
        <v/>
      </c>
      <c r="N2270" s="55" t="str">
        <f>IF(A2270="","",IFERROR(INDEX('Cluster Map'!$A$4:$A$38,MATCH(M2270,'Cluster Map'!$B$4:$B$38,0)),"Unmapped"))</f>
        <v/>
      </c>
      <c r="O2270" s="55">
        <f>IF(A2270="",0,IF(COUNTIFS($A$2:A2270,A2270,$F$2:F2270,F2270,$L$2:L2270,L2270)=1,1,0))</f>
        <v>0</v>
      </c>
      <c r="P2270" s="55">
        <f>IF(A2270="",0,IF(AND(F2270="C&amp;T",COUNTIFS($A$2:A2270,A2270,$F$2:F2270,"C&amp;T")=1),1,0))</f>
        <v>0</v>
      </c>
    </row>
    <row r="2271" spans="1:16" x14ac:dyDescent="0.35">
      <c r="A2271" s="54" t="str">
        <f>IFERROR(IF(INDEX(SPOT_Import!$A$1:$Z$2488,2271,'Live Data'!$C$12)="","",INDEX(SPOT_Import!$A$1:$Z$2488,2271,'Live Data'!$C$12)),"")</f>
        <v/>
      </c>
      <c r="B2271" s="54" t="str">
        <f>IFERROR(IF(INDEX(SPOT_Import!$A$1:$Z$2488,2271,'Live Data'!$C$13)="","",INDEX(SPOT_Import!$A$1:$Z$2488,2271,'Live Data'!$C$13)),"")</f>
        <v/>
      </c>
      <c r="C2271" s="54" t="str">
        <f>IFERROR(IF(INDEX(SPOT_Import!$A$1:$Z$2488,2271,'Live Data'!$C$14)="","",INDEX(SPOT_Import!$A$1:$Z$2488,2271,'Live Data'!$C$14)),"")</f>
        <v/>
      </c>
      <c r="D2271" s="54" t="str">
        <f>IFERROR(IF(INDEX(SPOT_Import!$A$1:$Z$2488,2271,'Live Data'!$C$15)="","",INDEX(SPOT_Import!$A$1:$Z$2488,2271,'Live Data'!$C$15)),"")</f>
        <v/>
      </c>
      <c r="E2271" s="54" t="str">
        <f>IFERROR(IF(INDEX(SPOT_Import!$A$1:$Z$2488,2271,'Live Data'!$C$16)="","",INDEX(SPOT_Import!$A$1:$Z$2488,2271,'Live Data'!$C$16)),"")</f>
        <v/>
      </c>
      <c r="F2271" s="54" t="str">
        <f>IFERROR(IF(INDEX(SPOT_Import!$A$1:$Z$2488,2271,'Live Data'!$C$17)="","",INDEX(SPOT_Import!$A$1:$Z$2488,2271,'Live Data'!$C$17)),"")</f>
        <v/>
      </c>
      <c r="G2271" s="54" t="str">
        <f>IFERROR(IF(INDEX(SPOT_Import!$A$1:$Z$2488,2271,'Live Data'!$C$18)="","",INDEX(SPOT_Import!$A$1:$Z$2488,2271,'Live Data'!$C$18)),"")</f>
        <v/>
      </c>
      <c r="H2271" s="54" t="str">
        <f>IFERROR(IF(INDEX(SPOT_Import!$A$1:$Z$2488,2271,'Live Data'!$C$19)="","",INDEX(SPOT_Import!$A$1:$Z$2488,2271,'Live Data'!$C$19)),"")</f>
        <v/>
      </c>
      <c r="I2271" s="54" t="str">
        <f>IFERROR(IF(INDEX(SPOT_Import!$A$1:$Z$2488,2271,'Live Data'!$C$20)="","",INDEX(SPOT_Import!$A$1:$Z$2488,2271,'Live Data'!$C$20)),"")</f>
        <v/>
      </c>
      <c r="J2271" s="54" t="str">
        <f>IFERROR(IF(INDEX(SPOT_Import!$A$1:$Z$2488,2271,'Live Data'!$C$21)="","",INDEX(SPOT_Import!$A$1:$Z$2488,2271,'Live Data'!$C$21)),"")</f>
        <v/>
      </c>
      <c r="K2271" s="54" t="str">
        <f>IFERROR(IF(INDEX(SPOT_Import!$A$1:$Z$2488,2271,'Live Data'!$C$22)="","",INDEX(SPOT_Import!$A$1:$Z$2488,2271,'Live Data'!$C$22)),"")</f>
        <v/>
      </c>
      <c r="L2271" s="55" t="str">
        <f t="shared" si="70"/>
        <v/>
      </c>
      <c r="M2271" s="55" t="str">
        <f t="shared" si="71"/>
        <v/>
      </c>
      <c r="N2271" s="55" t="str">
        <f>IF(A2271="","",IFERROR(INDEX('Cluster Map'!$A$4:$A$38,MATCH(M2271,'Cluster Map'!$B$4:$B$38,0)),"Unmapped"))</f>
        <v/>
      </c>
      <c r="O2271" s="55">
        <f>IF(A2271="",0,IF(COUNTIFS($A$2:A2271,A2271,$F$2:F2271,F2271,$L$2:L2271,L2271)=1,1,0))</f>
        <v>0</v>
      </c>
      <c r="P2271" s="55">
        <f>IF(A2271="",0,IF(AND(F2271="C&amp;T",COUNTIFS($A$2:A2271,A2271,$F$2:F2271,"C&amp;T")=1),1,0))</f>
        <v>0</v>
      </c>
    </row>
    <row r="2272" spans="1:16" x14ac:dyDescent="0.35">
      <c r="A2272" s="54" t="str">
        <f>IFERROR(IF(INDEX(SPOT_Import!$A$1:$Z$2488,2272,'Live Data'!$C$12)="","",INDEX(SPOT_Import!$A$1:$Z$2488,2272,'Live Data'!$C$12)),"")</f>
        <v/>
      </c>
      <c r="B2272" s="54" t="str">
        <f>IFERROR(IF(INDEX(SPOT_Import!$A$1:$Z$2488,2272,'Live Data'!$C$13)="","",INDEX(SPOT_Import!$A$1:$Z$2488,2272,'Live Data'!$C$13)),"")</f>
        <v/>
      </c>
      <c r="C2272" s="54" t="str">
        <f>IFERROR(IF(INDEX(SPOT_Import!$A$1:$Z$2488,2272,'Live Data'!$C$14)="","",INDEX(SPOT_Import!$A$1:$Z$2488,2272,'Live Data'!$C$14)),"")</f>
        <v/>
      </c>
      <c r="D2272" s="54" t="str">
        <f>IFERROR(IF(INDEX(SPOT_Import!$A$1:$Z$2488,2272,'Live Data'!$C$15)="","",INDEX(SPOT_Import!$A$1:$Z$2488,2272,'Live Data'!$C$15)),"")</f>
        <v/>
      </c>
      <c r="E2272" s="54" t="str">
        <f>IFERROR(IF(INDEX(SPOT_Import!$A$1:$Z$2488,2272,'Live Data'!$C$16)="","",INDEX(SPOT_Import!$A$1:$Z$2488,2272,'Live Data'!$C$16)),"")</f>
        <v/>
      </c>
      <c r="F2272" s="54" t="str">
        <f>IFERROR(IF(INDEX(SPOT_Import!$A$1:$Z$2488,2272,'Live Data'!$C$17)="","",INDEX(SPOT_Import!$A$1:$Z$2488,2272,'Live Data'!$C$17)),"")</f>
        <v/>
      </c>
      <c r="G2272" s="54" t="str">
        <f>IFERROR(IF(INDEX(SPOT_Import!$A$1:$Z$2488,2272,'Live Data'!$C$18)="","",INDEX(SPOT_Import!$A$1:$Z$2488,2272,'Live Data'!$C$18)),"")</f>
        <v/>
      </c>
      <c r="H2272" s="54" t="str">
        <f>IFERROR(IF(INDEX(SPOT_Import!$A$1:$Z$2488,2272,'Live Data'!$C$19)="","",INDEX(SPOT_Import!$A$1:$Z$2488,2272,'Live Data'!$C$19)),"")</f>
        <v/>
      </c>
      <c r="I2272" s="54" t="str">
        <f>IFERROR(IF(INDEX(SPOT_Import!$A$1:$Z$2488,2272,'Live Data'!$C$20)="","",INDEX(SPOT_Import!$A$1:$Z$2488,2272,'Live Data'!$C$20)),"")</f>
        <v/>
      </c>
      <c r="J2272" s="54" t="str">
        <f>IFERROR(IF(INDEX(SPOT_Import!$A$1:$Z$2488,2272,'Live Data'!$C$21)="","",INDEX(SPOT_Import!$A$1:$Z$2488,2272,'Live Data'!$C$21)),"")</f>
        <v/>
      </c>
      <c r="K2272" s="54" t="str">
        <f>IFERROR(IF(INDEX(SPOT_Import!$A$1:$Z$2488,2272,'Live Data'!$C$22)="","",INDEX(SPOT_Import!$A$1:$Z$2488,2272,'Live Data'!$C$22)),"")</f>
        <v/>
      </c>
      <c r="L2272" s="55" t="str">
        <f t="shared" si="70"/>
        <v/>
      </c>
      <c r="M2272" s="55" t="str">
        <f t="shared" si="71"/>
        <v/>
      </c>
      <c r="N2272" s="55" t="str">
        <f>IF(A2272="","",IFERROR(INDEX('Cluster Map'!$A$4:$A$38,MATCH(M2272,'Cluster Map'!$B$4:$B$38,0)),"Unmapped"))</f>
        <v/>
      </c>
      <c r="O2272" s="55">
        <f>IF(A2272="",0,IF(COUNTIFS($A$2:A2272,A2272,$F$2:F2272,F2272,$L$2:L2272,L2272)=1,1,0))</f>
        <v>0</v>
      </c>
      <c r="P2272" s="55">
        <f>IF(A2272="",0,IF(AND(F2272="C&amp;T",COUNTIFS($A$2:A2272,A2272,$F$2:F2272,"C&amp;T")=1),1,0))</f>
        <v>0</v>
      </c>
    </row>
    <row r="2273" spans="1:16" x14ac:dyDescent="0.35">
      <c r="A2273" s="54" t="str">
        <f>IFERROR(IF(INDEX(SPOT_Import!$A$1:$Z$2488,2273,'Live Data'!$C$12)="","",INDEX(SPOT_Import!$A$1:$Z$2488,2273,'Live Data'!$C$12)),"")</f>
        <v/>
      </c>
      <c r="B2273" s="54" t="str">
        <f>IFERROR(IF(INDEX(SPOT_Import!$A$1:$Z$2488,2273,'Live Data'!$C$13)="","",INDEX(SPOT_Import!$A$1:$Z$2488,2273,'Live Data'!$C$13)),"")</f>
        <v/>
      </c>
      <c r="C2273" s="54" t="str">
        <f>IFERROR(IF(INDEX(SPOT_Import!$A$1:$Z$2488,2273,'Live Data'!$C$14)="","",INDEX(SPOT_Import!$A$1:$Z$2488,2273,'Live Data'!$C$14)),"")</f>
        <v/>
      </c>
      <c r="D2273" s="54" t="str">
        <f>IFERROR(IF(INDEX(SPOT_Import!$A$1:$Z$2488,2273,'Live Data'!$C$15)="","",INDEX(SPOT_Import!$A$1:$Z$2488,2273,'Live Data'!$C$15)),"")</f>
        <v/>
      </c>
      <c r="E2273" s="54" t="str">
        <f>IFERROR(IF(INDEX(SPOT_Import!$A$1:$Z$2488,2273,'Live Data'!$C$16)="","",INDEX(SPOT_Import!$A$1:$Z$2488,2273,'Live Data'!$C$16)),"")</f>
        <v/>
      </c>
      <c r="F2273" s="54" t="str">
        <f>IFERROR(IF(INDEX(SPOT_Import!$A$1:$Z$2488,2273,'Live Data'!$C$17)="","",INDEX(SPOT_Import!$A$1:$Z$2488,2273,'Live Data'!$C$17)),"")</f>
        <v/>
      </c>
      <c r="G2273" s="54" t="str">
        <f>IFERROR(IF(INDEX(SPOT_Import!$A$1:$Z$2488,2273,'Live Data'!$C$18)="","",INDEX(SPOT_Import!$A$1:$Z$2488,2273,'Live Data'!$C$18)),"")</f>
        <v/>
      </c>
      <c r="H2273" s="54" t="str">
        <f>IFERROR(IF(INDEX(SPOT_Import!$A$1:$Z$2488,2273,'Live Data'!$C$19)="","",INDEX(SPOT_Import!$A$1:$Z$2488,2273,'Live Data'!$C$19)),"")</f>
        <v/>
      </c>
      <c r="I2273" s="54" t="str">
        <f>IFERROR(IF(INDEX(SPOT_Import!$A$1:$Z$2488,2273,'Live Data'!$C$20)="","",INDEX(SPOT_Import!$A$1:$Z$2488,2273,'Live Data'!$C$20)),"")</f>
        <v/>
      </c>
      <c r="J2273" s="54" t="str">
        <f>IFERROR(IF(INDEX(SPOT_Import!$A$1:$Z$2488,2273,'Live Data'!$C$21)="","",INDEX(SPOT_Import!$A$1:$Z$2488,2273,'Live Data'!$C$21)),"")</f>
        <v/>
      </c>
      <c r="K2273" s="54" t="str">
        <f>IFERROR(IF(INDEX(SPOT_Import!$A$1:$Z$2488,2273,'Live Data'!$C$22)="","",INDEX(SPOT_Import!$A$1:$Z$2488,2273,'Live Data'!$C$22)),"")</f>
        <v/>
      </c>
      <c r="L2273" s="55" t="str">
        <f t="shared" si="70"/>
        <v/>
      </c>
      <c r="M2273" s="55" t="str">
        <f t="shared" si="71"/>
        <v/>
      </c>
      <c r="N2273" s="55" t="str">
        <f>IF(A2273="","",IFERROR(INDEX('Cluster Map'!$A$4:$A$38,MATCH(M2273,'Cluster Map'!$B$4:$B$38,0)),"Unmapped"))</f>
        <v/>
      </c>
      <c r="O2273" s="55">
        <f>IF(A2273="",0,IF(COUNTIFS($A$2:A2273,A2273,$F$2:F2273,F2273,$L$2:L2273,L2273)=1,1,0))</f>
        <v>0</v>
      </c>
      <c r="P2273" s="55">
        <f>IF(A2273="",0,IF(AND(F2273="C&amp;T",COUNTIFS($A$2:A2273,A2273,$F$2:F2273,"C&amp;T")=1),1,0))</f>
        <v>0</v>
      </c>
    </row>
    <row r="2274" spans="1:16" x14ac:dyDescent="0.35">
      <c r="A2274" s="54" t="str">
        <f>IFERROR(IF(INDEX(SPOT_Import!$A$1:$Z$2488,2274,'Live Data'!$C$12)="","",INDEX(SPOT_Import!$A$1:$Z$2488,2274,'Live Data'!$C$12)),"")</f>
        <v/>
      </c>
      <c r="B2274" s="54" t="str">
        <f>IFERROR(IF(INDEX(SPOT_Import!$A$1:$Z$2488,2274,'Live Data'!$C$13)="","",INDEX(SPOT_Import!$A$1:$Z$2488,2274,'Live Data'!$C$13)),"")</f>
        <v/>
      </c>
      <c r="C2274" s="54" t="str">
        <f>IFERROR(IF(INDEX(SPOT_Import!$A$1:$Z$2488,2274,'Live Data'!$C$14)="","",INDEX(SPOT_Import!$A$1:$Z$2488,2274,'Live Data'!$C$14)),"")</f>
        <v/>
      </c>
      <c r="D2274" s="54" t="str">
        <f>IFERROR(IF(INDEX(SPOT_Import!$A$1:$Z$2488,2274,'Live Data'!$C$15)="","",INDEX(SPOT_Import!$A$1:$Z$2488,2274,'Live Data'!$C$15)),"")</f>
        <v/>
      </c>
      <c r="E2274" s="54" t="str">
        <f>IFERROR(IF(INDEX(SPOT_Import!$A$1:$Z$2488,2274,'Live Data'!$C$16)="","",INDEX(SPOT_Import!$A$1:$Z$2488,2274,'Live Data'!$C$16)),"")</f>
        <v/>
      </c>
      <c r="F2274" s="54" t="str">
        <f>IFERROR(IF(INDEX(SPOT_Import!$A$1:$Z$2488,2274,'Live Data'!$C$17)="","",INDEX(SPOT_Import!$A$1:$Z$2488,2274,'Live Data'!$C$17)),"")</f>
        <v/>
      </c>
      <c r="G2274" s="54" t="str">
        <f>IFERROR(IF(INDEX(SPOT_Import!$A$1:$Z$2488,2274,'Live Data'!$C$18)="","",INDEX(SPOT_Import!$A$1:$Z$2488,2274,'Live Data'!$C$18)),"")</f>
        <v/>
      </c>
      <c r="H2274" s="54" t="str">
        <f>IFERROR(IF(INDEX(SPOT_Import!$A$1:$Z$2488,2274,'Live Data'!$C$19)="","",INDEX(SPOT_Import!$A$1:$Z$2488,2274,'Live Data'!$C$19)),"")</f>
        <v/>
      </c>
      <c r="I2274" s="54" t="str">
        <f>IFERROR(IF(INDEX(SPOT_Import!$A$1:$Z$2488,2274,'Live Data'!$C$20)="","",INDEX(SPOT_Import!$A$1:$Z$2488,2274,'Live Data'!$C$20)),"")</f>
        <v/>
      </c>
      <c r="J2274" s="54" t="str">
        <f>IFERROR(IF(INDEX(SPOT_Import!$A$1:$Z$2488,2274,'Live Data'!$C$21)="","",INDEX(SPOT_Import!$A$1:$Z$2488,2274,'Live Data'!$C$21)),"")</f>
        <v/>
      </c>
      <c r="K2274" s="54" t="str">
        <f>IFERROR(IF(INDEX(SPOT_Import!$A$1:$Z$2488,2274,'Live Data'!$C$22)="","",INDEX(SPOT_Import!$A$1:$Z$2488,2274,'Live Data'!$C$22)),"")</f>
        <v/>
      </c>
      <c r="L2274" s="55" t="str">
        <f t="shared" si="70"/>
        <v/>
      </c>
      <c r="M2274" s="55" t="str">
        <f t="shared" si="71"/>
        <v/>
      </c>
      <c r="N2274" s="55" t="str">
        <f>IF(A2274="","",IFERROR(INDEX('Cluster Map'!$A$4:$A$38,MATCH(M2274,'Cluster Map'!$B$4:$B$38,0)),"Unmapped"))</f>
        <v/>
      </c>
      <c r="O2274" s="55">
        <f>IF(A2274="",0,IF(COUNTIFS($A$2:A2274,A2274,$F$2:F2274,F2274,$L$2:L2274,L2274)=1,1,0))</f>
        <v>0</v>
      </c>
      <c r="P2274" s="55">
        <f>IF(A2274="",0,IF(AND(F2274="C&amp;T",COUNTIFS($A$2:A2274,A2274,$F$2:F2274,"C&amp;T")=1),1,0))</f>
        <v>0</v>
      </c>
    </row>
    <row r="2275" spans="1:16" x14ac:dyDescent="0.35">
      <c r="A2275" s="54" t="str">
        <f>IFERROR(IF(INDEX(SPOT_Import!$A$1:$Z$2488,2275,'Live Data'!$C$12)="","",INDEX(SPOT_Import!$A$1:$Z$2488,2275,'Live Data'!$C$12)),"")</f>
        <v/>
      </c>
      <c r="B2275" s="54" t="str">
        <f>IFERROR(IF(INDEX(SPOT_Import!$A$1:$Z$2488,2275,'Live Data'!$C$13)="","",INDEX(SPOT_Import!$A$1:$Z$2488,2275,'Live Data'!$C$13)),"")</f>
        <v/>
      </c>
      <c r="C2275" s="54" t="str">
        <f>IFERROR(IF(INDEX(SPOT_Import!$A$1:$Z$2488,2275,'Live Data'!$C$14)="","",INDEX(SPOT_Import!$A$1:$Z$2488,2275,'Live Data'!$C$14)),"")</f>
        <v/>
      </c>
      <c r="D2275" s="54" t="str">
        <f>IFERROR(IF(INDEX(SPOT_Import!$A$1:$Z$2488,2275,'Live Data'!$C$15)="","",INDEX(SPOT_Import!$A$1:$Z$2488,2275,'Live Data'!$C$15)),"")</f>
        <v/>
      </c>
      <c r="E2275" s="54" t="str">
        <f>IFERROR(IF(INDEX(SPOT_Import!$A$1:$Z$2488,2275,'Live Data'!$C$16)="","",INDEX(SPOT_Import!$A$1:$Z$2488,2275,'Live Data'!$C$16)),"")</f>
        <v/>
      </c>
      <c r="F2275" s="54" t="str">
        <f>IFERROR(IF(INDEX(SPOT_Import!$A$1:$Z$2488,2275,'Live Data'!$C$17)="","",INDEX(SPOT_Import!$A$1:$Z$2488,2275,'Live Data'!$C$17)),"")</f>
        <v/>
      </c>
      <c r="G2275" s="54" t="str">
        <f>IFERROR(IF(INDEX(SPOT_Import!$A$1:$Z$2488,2275,'Live Data'!$C$18)="","",INDEX(SPOT_Import!$A$1:$Z$2488,2275,'Live Data'!$C$18)),"")</f>
        <v/>
      </c>
      <c r="H2275" s="54" t="str">
        <f>IFERROR(IF(INDEX(SPOT_Import!$A$1:$Z$2488,2275,'Live Data'!$C$19)="","",INDEX(SPOT_Import!$A$1:$Z$2488,2275,'Live Data'!$C$19)),"")</f>
        <v/>
      </c>
      <c r="I2275" s="54" t="str">
        <f>IFERROR(IF(INDEX(SPOT_Import!$A$1:$Z$2488,2275,'Live Data'!$C$20)="","",INDEX(SPOT_Import!$A$1:$Z$2488,2275,'Live Data'!$C$20)),"")</f>
        <v/>
      </c>
      <c r="J2275" s="54" t="str">
        <f>IFERROR(IF(INDEX(SPOT_Import!$A$1:$Z$2488,2275,'Live Data'!$C$21)="","",INDEX(SPOT_Import!$A$1:$Z$2488,2275,'Live Data'!$C$21)),"")</f>
        <v/>
      </c>
      <c r="K2275" s="54" t="str">
        <f>IFERROR(IF(INDEX(SPOT_Import!$A$1:$Z$2488,2275,'Live Data'!$C$22)="","",INDEX(SPOT_Import!$A$1:$Z$2488,2275,'Live Data'!$C$22)),"")</f>
        <v/>
      </c>
      <c r="L2275" s="55" t="str">
        <f t="shared" si="70"/>
        <v/>
      </c>
      <c r="M2275" s="55" t="str">
        <f t="shared" si="71"/>
        <v/>
      </c>
      <c r="N2275" s="55" t="str">
        <f>IF(A2275="","",IFERROR(INDEX('Cluster Map'!$A$4:$A$38,MATCH(M2275,'Cluster Map'!$B$4:$B$38,0)),"Unmapped"))</f>
        <v/>
      </c>
      <c r="O2275" s="55">
        <f>IF(A2275="",0,IF(COUNTIFS($A$2:A2275,A2275,$F$2:F2275,F2275,$L$2:L2275,L2275)=1,1,0))</f>
        <v>0</v>
      </c>
      <c r="P2275" s="55">
        <f>IF(A2275="",0,IF(AND(F2275="C&amp;T",COUNTIFS($A$2:A2275,A2275,$F$2:F2275,"C&amp;T")=1),1,0))</f>
        <v>0</v>
      </c>
    </row>
    <row r="2276" spans="1:16" x14ac:dyDescent="0.35">
      <c r="A2276" s="54" t="str">
        <f>IFERROR(IF(INDEX(SPOT_Import!$A$1:$Z$2488,2276,'Live Data'!$C$12)="","",INDEX(SPOT_Import!$A$1:$Z$2488,2276,'Live Data'!$C$12)),"")</f>
        <v/>
      </c>
      <c r="B2276" s="54" t="str">
        <f>IFERROR(IF(INDEX(SPOT_Import!$A$1:$Z$2488,2276,'Live Data'!$C$13)="","",INDEX(SPOT_Import!$A$1:$Z$2488,2276,'Live Data'!$C$13)),"")</f>
        <v/>
      </c>
      <c r="C2276" s="54" t="str">
        <f>IFERROR(IF(INDEX(SPOT_Import!$A$1:$Z$2488,2276,'Live Data'!$C$14)="","",INDEX(SPOT_Import!$A$1:$Z$2488,2276,'Live Data'!$C$14)),"")</f>
        <v/>
      </c>
      <c r="D2276" s="54" t="str">
        <f>IFERROR(IF(INDEX(SPOT_Import!$A$1:$Z$2488,2276,'Live Data'!$C$15)="","",INDEX(SPOT_Import!$A$1:$Z$2488,2276,'Live Data'!$C$15)),"")</f>
        <v/>
      </c>
      <c r="E2276" s="54" t="str">
        <f>IFERROR(IF(INDEX(SPOT_Import!$A$1:$Z$2488,2276,'Live Data'!$C$16)="","",INDEX(SPOT_Import!$A$1:$Z$2488,2276,'Live Data'!$C$16)),"")</f>
        <v/>
      </c>
      <c r="F2276" s="54" t="str">
        <f>IFERROR(IF(INDEX(SPOT_Import!$A$1:$Z$2488,2276,'Live Data'!$C$17)="","",INDEX(SPOT_Import!$A$1:$Z$2488,2276,'Live Data'!$C$17)),"")</f>
        <v/>
      </c>
      <c r="G2276" s="54" t="str">
        <f>IFERROR(IF(INDEX(SPOT_Import!$A$1:$Z$2488,2276,'Live Data'!$C$18)="","",INDEX(SPOT_Import!$A$1:$Z$2488,2276,'Live Data'!$C$18)),"")</f>
        <v/>
      </c>
      <c r="H2276" s="54" t="str">
        <f>IFERROR(IF(INDEX(SPOT_Import!$A$1:$Z$2488,2276,'Live Data'!$C$19)="","",INDEX(SPOT_Import!$A$1:$Z$2488,2276,'Live Data'!$C$19)),"")</f>
        <v/>
      </c>
      <c r="I2276" s="54" t="str">
        <f>IFERROR(IF(INDEX(SPOT_Import!$A$1:$Z$2488,2276,'Live Data'!$C$20)="","",INDEX(SPOT_Import!$A$1:$Z$2488,2276,'Live Data'!$C$20)),"")</f>
        <v/>
      </c>
      <c r="J2276" s="54" t="str">
        <f>IFERROR(IF(INDEX(SPOT_Import!$A$1:$Z$2488,2276,'Live Data'!$C$21)="","",INDEX(SPOT_Import!$A$1:$Z$2488,2276,'Live Data'!$C$21)),"")</f>
        <v/>
      </c>
      <c r="K2276" s="54" t="str">
        <f>IFERROR(IF(INDEX(SPOT_Import!$A$1:$Z$2488,2276,'Live Data'!$C$22)="","",INDEX(SPOT_Import!$A$1:$Z$2488,2276,'Live Data'!$C$22)),"")</f>
        <v/>
      </c>
      <c r="L2276" s="55" t="str">
        <f t="shared" si="70"/>
        <v/>
      </c>
      <c r="M2276" s="55" t="str">
        <f t="shared" si="71"/>
        <v/>
      </c>
      <c r="N2276" s="55" t="str">
        <f>IF(A2276="","",IFERROR(INDEX('Cluster Map'!$A$4:$A$38,MATCH(M2276,'Cluster Map'!$B$4:$B$38,0)),"Unmapped"))</f>
        <v/>
      </c>
      <c r="O2276" s="55">
        <f>IF(A2276="",0,IF(COUNTIFS($A$2:A2276,A2276,$F$2:F2276,F2276,$L$2:L2276,L2276)=1,1,0))</f>
        <v>0</v>
      </c>
      <c r="P2276" s="55">
        <f>IF(A2276="",0,IF(AND(F2276="C&amp;T",COUNTIFS($A$2:A2276,A2276,$F$2:F2276,"C&amp;T")=1),1,0))</f>
        <v>0</v>
      </c>
    </row>
    <row r="2277" spans="1:16" x14ac:dyDescent="0.35">
      <c r="A2277" s="54" t="str">
        <f>IFERROR(IF(INDEX(SPOT_Import!$A$1:$Z$2488,2277,'Live Data'!$C$12)="","",INDEX(SPOT_Import!$A$1:$Z$2488,2277,'Live Data'!$C$12)),"")</f>
        <v/>
      </c>
      <c r="B2277" s="54" t="str">
        <f>IFERROR(IF(INDEX(SPOT_Import!$A$1:$Z$2488,2277,'Live Data'!$C$13)="","",INDEX(SPOT_Import!$A$1:$Z$2488,2277,'Live Data'!$C$13)),"")</f>
        <v/>
      </c>
      <c r="C2277" s="54" t="str">
        <f>IFERROR(IF(INDEX(SPOT_Import!$A$1:$Z$2488,2277,'Live Data'!$C$14)="","",INDEX(SPOT_Import!$A$1:$Z$2488,2277,'Live Data'!$C$14)),"")</f>
        <v/>
      </c>
      <c r="D2277" s="54" t="str">
        <f>IFERROR(IF(INDEX(SPOT_Import!$A$1:$Z$2488,2277,'Live Data'!$C$15)="","",INDEX(SPOT_Import!$A$1:$Z$2488,2277,'Live Data'!$C$15)),"")</f>
        <v/>
      </c>
      <c r="E2277" s="54" t="str">
        <f>IFERROR(IF(INDEX(SPOT_Import!$A$1:$Z$2488,2277,'Live Data'!$C$16)="","",INDEX(SPOT_Import!$A$1:$Z$2488,2277,'Live Data'!$C$16)),"")</f>
        <v/>
      </c>
      <c r="F2277" s="54" t="str">
        <f>IFERROR(IF(INDEX(SPOT_Import!$A$1:$Z$2488,2277,'Live Data'!$C$17)="","",INDEX(SPOT_Import!$A$1:$Z$2488,2277,'Live Data'!$C$17)),"")</f>
        <v/>
      </c>
      <c r="G2277" s="54" t="str">
        <f>IFERROR(IF(INDEX(SPOT_Import!$A$1:$Z$2488,2277,'Live Data'!$C$18)="","",INDEX(SPOT_Import!$A$1:$Z$2488,2277,'Live Data'!$C$18)),"")</f>
        <v/>
      </c>
      <c r="H2277" s="54" t="str">
        <f>IFERROR(IF(INDEX(SPOT_Import!$A$1:$Z$2488,2277,'Live Data'!$C$19)="","",INDEX(SPOT_Import!$A$1:$Z$2488,2277,'Live Data'!$C$19)),"")</f>
        <v/>
      </c>
      <c r="I2277" s="54" t="str">
        <f>IFERROR(IF(INDEX(SPOT_Import!$A$1:$Z$2488,2277,'Live Data'!$C$20)="","",INDEX(SPOT_Import!$A$1:$Z$2488,2277,'Live Data'!$C$20)),"")</f>
        <v/>
      </c>
      <c r="J2277" s="54" t="str">
        <f>IFERROR(IF(INDEX(SPOT_Import!$A$1:$Z$2488,2277,'Live Data'!$C$21)="","",INDEX(SPOT_Import!$A$1:$Z$2488,2277,'Live Data'!$C$21)),"")</f>
        <v/>
      </c>
      <c r="K2277" s="54" t="str">
        <f>IFERROR(IF(INDEX(SPOT_Import!$A$1:$Z$2488,2277,'Live Data'!$C$22)="","",INDEX(SPOT_Import!$A$1:$Z$2488,2277,'Live Data'!$C$22)),"")</f>
        <v/>
      </c>
      <c r="L2277" s="55" t="str">
        <f t="shared" si="70"/>
        <v/>
      </c>
      <c r="M2277" s="55" t="str">
        <f t="shared" si="71"/>
        <v/>
      </c>
      <c r="N2277" s="55" t="str">
        <f>IF(A2277="","",IFERROR(INDEX('Cluster Map'!$A$4:$A$38,MATCH(M2277,'Cluster Map'!$B$4:$B$38,0)),"Unmapped"))</f>
        <v/>
      </c>
      <c r="O2277" s="55">
        <f>IF(A2277="",0,IF(COUNTIFS($A$2:A2277,A2277,$F$2:F2277,F2277,$L$2:L2277,L2277)=1,1,0))</f>
        <v>0</v>
      </c>
      <c r="P2277" s="55">
        <f>IF(A2277="",0,IF(AND(F2277="C&amp;T",COUNTIFS($A$2:A2277,A2277,$F$2:F2277,"C&amp;T")=1),1,0))</f>
        <v>0</v>
      </c>
    </row>
    <row r="2278" spans="1:16" x14ac:dyDescent="0.35">
      <c r="A2278" s="54" t="str">
        <f>IFERROR(IF(INDEX(SPOT_Import!$A$1:$Z$2488,2278,'Live Data'!$C$12)="","",INDEX(SPOT_Import!$A$1:$Z$2488,2278,'Live Data'!$C$12)),"")</f>
        <v/>
      </c>
      <c r="B2278" s="54" t="str">
        <f>IFERROR(IF(INDEX(SPOT_Import!$A$1:$Z$2488,2278,'Live Data'!$C$13)="","",INDEX(SPOT_Import!$A$1:$Z$2488,2278,'Live Data'!$C$13)),"")</f>
        <v/>
      </c>
      <c r="C2278" s="54" t="str">
        <f>IFERROR(IF(INDEX(SPOT_Import!$A$1:$Z$2488,2278,'Live Data'!$C$14)="","",INDEX(SPOT_Import!$A$1:$Z$2488,2278,'Live Data'!$C$14)),"")</f>
        <v/>
      </c>
      <c r="D2278" s="54" t="str">
        <f>IFERROR(IF(INDEX(SPOT_Import!$A$1:$Z$2488,2278,'Live Data'!$C$15)="","",INDEX(SPOT_Import!$A$1:$Z$2488,2278,'Live Data'!$C$15)),"")</f>
        <v/>
      </c>
      <c r="E2278" s="54" t="str">
        <f>IFERROR(IF(INDEX(SPOT_Import!$A$1:$Z$2488,2278,'Live Data'!$C$16)="","",INDEX(SPOT_Import!$A$1:$Z$2488,2278,'Live Data'!$C$16)),"")</f>
        <v/>
      </c>
      <c r="F2278" s="54" t="str">
        <f>IFERROR(IF(INDEX(SPOT_Import!$A$1:$Z$2488,2278,'Live Data'!$C$17)="","",INDEX(SPOT_Import!$A$1:$Z$2488,2278,'Live Data'!$C$17)),"")</f>
        <v/>
      </c>
      <c r="G2278" s="54" t="str">
        <f>IFERROR(IF(INDEX(SPOT_Import!$A$1:$Z$2488,2278,'Live Data'!$C$18)="","",INDEX(SPOT_Import!$A$1:$Z$2488,2278,'Live Data'!$C$18)),"")</f>
        <v/>
      </c>
      <c r="H2278" s="54" t="str">
        <f>IFERROR(IF(INDEX(SPOT_Import!$A$1:$Z$2488,2278,'Live Data'!$C$19)="","",INDEX(SPOT_Import!$A$1:$Z$2488,2278,'Live Data'!$C$19)),"")</f>
        <v/>
      </c>
      <c r="I2278" s="54" t="str">
        <f>IFERROR(IF(INDEX(SPOT_Import!$A$1:$Z$2488,2278,'Live Data'!$C$20)="","",INDEX(SPOT_Import!$A$1:$Z$2488,2278,'Live Data'!$C$20)),"")</f>
        <v/>
      </c>
      <c r="J2278" s="54" t="str">
        <f>IFERROR(IF(INDEX(SPOT_Import!$A$1:$Z$2488,2278,'Live Data'!$C$21)="","",INDEX(SPOT_Import!$A$1:$Z$2488,2278,'Live Data'!$C$21)),"")</f>
        <v/>
      </c>
      <c r="K2278" s="54" t="str">
        <f>IFERROR(IF(INDEX(SPOT_Import!$A$1:$Z$2488,2278,'Live Data'!$C$22)="","",INDEX(SPOT_Import!$A$1:$Z$2488,2278,'Live Data'!$C$22)),"")</f>
        <v/>
      </c>
      <c r="L2278" s="55" t="str">
        <f t="shared" si="70"/>
        <v/>
      </c>
      <c r="M2278" s="55" t="str">
        <f t="shared" si="71"/>
        <v/>
      </c>
      <c r="N2278" s="55" t="str">
        <f>IF(A2278="","",IFERROR(INDEX('Cluster Map'!$A$4:$A$38,MATCH(M2278,'Cluster Map'!$B$4:$B$38,0)),"Unmapped"))</f>
        <v/>
      </c>
      <c r="O2278" s="55">
        <f>IF(A2278="",0,IF(COUNTIFS($A$2:A2278,A2278,$F$2:F2278,F2278,$L$2:L2278,L2278)=1,1,0))</f>
        <v>0</v>
      </c>
      <c r="P2278" s="55">
        <f>IF(A2278="",0,IF(AND(F2278="C&amp;T",COUNTIFS($A$2:A2278,A2278,$F$2:F2278,"C&amp;T")=1),1,0))</f>
        <v>0</v>
      </c>
    </row>
    <row r="2279" spans="1:16" x14ac:dyDescent="0.35">
      <c r="A2279" s="54" t="str">
        <f>IFERROR(IF(INDEX(SPOT_Import!$A$1:$Z$2488,2279,'Live Data'!$C$12)="","",INDEX(SPOT_Import!$A$1:$Z$2488,2279,'Live Data'!$C$12)),"")</f>
        <v/>
      </c>
      <c r="B2279" s="54" t="str">
        <f>IFERROR(IF(INDEX(SPOT_Import!$A$1:$Z$2488,2279,'Live Data'!$C$13)="","",INDEX(SPOT_Import!$A$1:$Z$2488,2279,'Live Data'!$C$13)),"")</f>
        <v/>
      </c>
      <c r="C2279" s="54" t="str">
        <f>IFERROR(IF(INDEX(SPOT_Import!$A$1:$Z$2488,2279,'Live Data'!$C$14)="","",INDEX(SPOT_Import!$A$1:$Z$2488,2279,'Live Data'!$C$14)),"")</f>
        <v/>
      </c>
      <c r="D2279" s="54" t="str">
        <f>IFERROR(IF(INDEX(SPOT_Import!$A$1:$Z$2488,2279,'Live Data'!$C$15)="","",INDEX(SPOT_Import!$A$1:$Z$2488,2279,'Live Data'!$C$15)),"")</f>
        <v/>
      </c>
      <c r="E2279" s="54" t="str">
        <f>IFERROR(IF(INDEX(SPOT_Import!$A$1:$Z$2488,2279,'Live Data'!$C$16)="","",INDEX(SPOT_Import!$A$1:$Z$2488,2279,'Live Data'!$C$16)),"")</f>
        <v/>
      </c>
      <c r="F2279" s="54" t="str">
        <f>IFERROR(IF(INDEX(SPOT_Import!$A$1:$Z$2488,2279,'Live Data'!$C$17)="","",INDEX(SPOT_Import!$A$1:$Z$2488,2279,'Live Data'!$C$17)),"")</f>
        <v/>
      </c>
      <c r="G2279" s="54" t="str">
        <f>IFERROR(IF(INDEX(SPOT_Import!$A$1:$Z$2488,2279,'Live Data'!$C$18)="","",INDEX(SPOT_Import!$A$1:$Z$2488,2279,'Live Data'!$C$18)),"")</f>
        <v/>
      </c>
      <c r="H2279" s="54" t="str">
        <f>IFERROR(IF(INDEX(SPOT_Import!$A$1:$Z$2488,2279,'Live Data'!$C$19)="","",INDEX(SPOT_Import!$A$1:$Z$2488,2279,'Live Data'!$C$19)),"")</f>
        <v/>
      </c>
      <c r="I2279" s="54" t="str">
        <f>IFERROR(IF(INDEX(SPOT_Import!$A$1:$Z$2488,2279,'Live Data'!$C$20)="","",INDEX(SPOT_Import!$A$1:$Z$2488,2279,'Live Data'!$C$20)),"")</f>
        <v/>
      </c>
      <c r="J2279" s="54" t="str">
        <f>IFERROR(IF(INDEX(SPOT_Import!$A$1:$Z$2488,2279,'Live Data'!$C$21)="","",INDEX(SPOT_Import!$A$1:$Z$2488,2279,'Live Data'!$C$21)),"")</f>
        <v/>
      </c>
      <c r="K2279" s="54" t="str">
        <f>IFERROR(IF(INDEX(SPOT_Import!$A$1:$Z$2488,2279,'Live Data'!$C$22)="","",INDEX(SPOT_Import!$A$1:$Z$2488,2279,'Live Data'!$C$22)),"")</f>
        <v/>
      </c>
      <c r="L2279" s="55" t="str">
        <f t="shared" si="70"/>
        <v/>
      </c>
      <c r="M2279" s="55" t="str">
        <f t="shared" si="71"/>
        <v/>
      </c>
      <c r="N2279" s="55" t="str">
        <f>IF(A2279="","",IFERROR(INDEX('Cluster Map'!$A$4:$A$38,MATCH(M2279,'Cluster Map'!$B$4:$B$38,0)),"Unmapped"))</f>
        <v/>
      </c>
      <c r="O2279" s="55">
        <f>IF(A2279="",0,IF(COUNTIFS($A$2:A2279,A2279,$F$2:F2279,F2279,$L$2:L2279,L2279)=1,1,0))</f>
        <v>0</v>
      </c>
      <c r="P2279" s="55">
        <f>IF(A2279="",0,IF(AND(F2279="C&amp;T",COUNTIFS($A$2:A2279,A2279,$F$2:F2279,"C&amp;T")=1),1,0))</f>
        <v>0</v>
      </c>
    </row>
    <row r="2280" spans="1:16" x14ac:dyDescent="0.35">
      <c r="A2280" s="54" t="str">
        <f>IFERROR(IF(INDEX(SPOT_Import!$A$1:$Z$2488,2280,'Live Data'!$C$12)="","",INDEX(SPOT_Import!$A$1:$Z$2488,2280,'Live Data'!$C$12)),"")</f>
        <v/>
      </c>
      <c r="B2280" s="54" t="str">
        <f>IFERROR(IF(INDEX(SPOT_Import!$A$1:$Z$2488,2280,'Live Data'!$C$13)="","",INDEX(SPOT_Import!$A$1:$Z$2488,2280,'Live Data'!$C$13)),"")</f>
        <v/>
      </c>
      <c r="C2280" s="54" t="str">
        <f>IFERROR(IF(INDEX(SPOT_Import!$A$1:$Z$2488,2280,'Live Data'!$C$14)="","",INDEX(SPOT_Import!$A$1:$Z$2488,2280,'Live Data'!$C$14)),"")</f>
        <v/>
      </c>
      <c r="D2280" s="54" t="str">
        <f>IFERROR(IF(INDEX(SPOT_Import!$A$1:$Z$2488,2280,'Live Data'!$C$15)="","",INDEX(SPOT_Import!$A$1:$Z$2488,2280,'Live Data'!$C$15)),"")</f>
        <v/>
      </c>
      <c r="E2280" s="54" t="str">
        <f>IFERROR(IF(INDEX(SPOT_Import!$A$1:$Z$2488,2280,'Live Data'!$C$16)="","",INDEX(SPOT_Import!$A$1:$Z$2488,2280,'Live Data'!$C$16)),"")</f>
        <v/>
      </c>
      <c r="F2280" s="54" t="str">
        <f>IFERROR(IF(INDEX(SPOT_Import!$A$1:$Z$2488,2280,'Live Data'!$C$17)="","",INDEX(SPOT_Import!$A$1:$Z$2488,2280,'Live Data'!$C$17)),"")</f>
        <v/>
      </c>
      <c r="G2280" s="54" t="str">
        <f>IFERROR(IF(INDEX(SPOT_Import!$A$1:$Z$2488,2280,'Live Data'!$C$18)="","",INDEX(SPOT_Import!$A$1:$Z$2488,2280,'Live Data'!$C$18)),"")</f>
        <v/>
      </c>
      <c r="H2280" s="54" t="str">
        <f>IFERROR(IF(INDEX(SPOT_Import!$A$1:$Z$2488,2280,'Live Data'!$C$19)="","",INDEX(SPOT_Import!$A$1:$Z$2488,2280,'Live Data'!$C$19)),"")</f>
        <v/>
      </c>
      <c r="I2280" s="54" t="str">
        <f>IFERROR(IF(INDEX(SPOT_Import!$A$1:$Z$2488,2280,'Live Data'!$C$20)="","",INDEX(SPOT_Import!$A$1:$Z$2488,2280,'Live Data'!$C$20)),"")</f>
        <v/>
      </c>
      <c r="J2280" s="54" t="str">
        <f>IFERROR(IF(INDEX(SPOT_Import!$A$1:$Z$2488,2280,'Live Data'!$C$21)="","",INDEX(SPOT_Import!$A$1:$Z$2488,2280,'Live Data'!$C$21)),"")</f>
        <v/>
      </c>
      <c r="K2280" s="54" t="str">
        <f>IFERROR(IF(INDEX(SPOT_Import!$A$1:$Z$2488,2280,'Live Data'!$C$22)="","",INDEX(SPOT_Import!$A$1:$Z$2488,2280,'Live Data'!$C$22)),"")</f>
        <v/>
      </c>
      <c r="L2280" s="55" t="str">
        <f t="shared" si="70"/>
        <v/>
      </c>
      <c r="M2280" s="55" t="str">
        <f t="shared" si="71"/>
        <v/>
      </c>
      <c r="N2280" s="55" t="str">
        <f>IF(A2280="","",IFERROR(INDEX('Cluster Map'!$A$4:$A$38,MATCH(M2280,'Cluster Map'!$B$4:$B$38,0)),"Unmapped"))</f>
        <v/>
      </c>
      <c r="O2280" s="55">
        <f>IF(A2280="",0,IF(COUNTIFS($A$2:A2280,A2280,$F$2:F2280,F2280,$L$2:L2280,L2280)=1,1,0))</f>
        <v>0</v>
      </c>
      <c r="P2280" s="55">
        <f>IF(A2280="",0,IF(AND(F2280="C&amp;T",COUNTIFS($A$2:A2280,A2280,$F$2:F2280,"C&amp;T")=1),1,0))</f>
        <v>0</v>
      </c>
    </row>
    <row r="2281" spans="1:16" x14ac:dyDescent="0.35">
      <c r="A2281" s="54" t="str">
        <f>IFERROR(IF(INDEX(SPOT_Import!$A$1:$Z$2488,2281,'Live Data'!$C$12)="","",INDEX(SPOT_Import!$A$1:$Z$2488,2281,'Live Data'!$C$12)),"")</f>
        <v/>
      </c>
      <c r="B2281" s="54" t="str">
        <f>IFERROR(IF(INDEX(SPOT_Import!$A$1:$Z$2488,2281,'Live Data'!$C$13)="","",INDEX(SPOT_Import!$A$1:$Z$2488,2281,'Live Data'!$C$13)),"")</f>
        <v/>
      </c>
      <c r="C2281" s="54" t="str">
        <f>IFERROR(IF(INDEX(SPOT_Import!$A$1:$Z$2488,2281,'Live Data'!$C$14)="","",INDEX(SPOT_Import!$A$1:$Z$2488,2281,'Live Data'!$C$14)),"")</f>
        <v/>
      </c>
      <c r="D2281" s="54" t="str">
        <f>IFERROR(IF(INDEX(SPOT_Import!$A$1:$Z$2488,2281,'Live Data'!$C$15)="","",INDEX(SPOT_Import!$A$1:$Z$2488,2281,'Live Data'!$C$15)),"")</f>
        <v/>
      </c>
      <c r="E2281" s="54" t="str">
        <f>IFERROR(IF(INDEX(SPOT_Import!$A$1:$Z$2488,2281,'Live Data'!$C$16)="","",INDEX(SPOT_Import!$A$1:$Z$2488,2281,'Live Data'!$C$16)),"")</f>
        <v/>
      </c>
      <c r="F2281" s="54" t="str">
        <f>IFERROR(IF(INDEX(SPOT_Import!$A$1:$Z$2488,2281,'Live Data'!$C$17)="","",INDEX(SPOT_Import!$A$1:$Z$2488,2281,'Live Data'!$C$17)),"")</f>
        <v/>
      </c>
      <c r="G2281" s="54" t="str">
        <f>IFERROR(IF(INDEX(SPOT_Import!$A$1:$Z$2488,2281,'Live Data'!$C$18)="","",INDEX(SPOT_Import!$A$1:$Z$2488,2281,'Live Data'!$C$18)),"")</f>
        <v/>
      </c>
      <c r="H2281" s="54" t="str">
        <f>IFERROR(IF(INDEX(SPOT_Import!$A$1:$Z$2488,2281,'Live Data'!$C$19)="","",INDEX(SPOT_Import!$A$1:$Z$2488,2281,'Live Data'!$C$19)),"")</f>
        <v/>
      </c>
      <c r="I2281" s="54" t="str">
        <f>IFERROR(IF(INDEX(SPOT_Import!$A$1:$Z$2488,2281,'Live Data'!$C$20)="","",INDEX(SPOT_Import!$A$1:$Z$2488,2281,'Live Data'!$C$20)),"")</f>
        <v/>
      </c>
      <c r="J2281" s="54" t="str">
        <f>IFERROR(IF(INDEX(SPOT_Import!$A$1:$Z$2488,2281,'Live Data'!$C$21)="","",INDEX(SPOT_Import!$A$1:$Z$2488,2281,'Live Data'!$C$21)),"")</f>
        <v/>
      </c>
      <c r="K2281" s="54" t="str">
        <f>IFERROR(IF(INDEX(SPOT_Import!$A$1:$Z$2488,2281,'Live Data'!$C$22)="","",INDEX(SPOT_Import!$A$1:$Z$2488,2281,'Live Data'!$C$22)),"")</f>
        <v/>
      </c>
      <c r="L2281" s="55" t="str">
        <f t="shared" si="70"/>
        <v/>
      </c>
      <c r="M2281" s="55" t="str">
        <f t="shared" si="71"/>
        <v/>
      </c>
      <c r="N2281" s="55" t="str">
        <f>IF(A2281="","",IFERROR(INDEX('Cluster Map'!$A$4:$A$38,MATCH(M2281,'Cluster Map'!$B$4:$B$38,0)),"Unmapped"))</f>
        <v/>
      </c>
      <c r="O2281" s="55">
        <f>IF(A2281="",0,IF(COUNTIFS($A$2:A2281,A2281,$F$2:F2281,F2281,$L$2:L2281,L2281)=1,1,0))</f>
        <v>0</v>
      </c>
      <c r="P2281" s="55">
        <f>IF(A2281="",0,IF(AND(F2281="C&amp;T",COUNTIFS($A$2:A2281,A2281,$F$2:F2281,"C&amp;T")=1),1,0))</f>
        <v>0</v>
      </c>
    </row>
    <row r="2282" spans="1:16" x14ac:dyDescent="0.35">
      <c r="A2282" s="54" t="str">
        <f>IFERROR(IF(INDEX(SPOT_Import!$A$1:$Z$2488,2282,'Live Data'!$C$12)="","",INDEX(SPOT_Import!$A$1:$Z$2488,2282,'Live Data'!$C$12)),"")</f>
        <v/>
      </c>
      <c r="B2282" s="54" t="str">
        <f>IFERROR(IF(INDEX(SPOT_Import!$A$1:$Z$2488,2282,'Live Data'!$C$13)="","",INDEX(SPOT_Import!$A$1:$Z$2488,2282,'Live Data'!$C$13)),"")</f>
        <v/>
      </c>
      <c r="C2282" s="54" t="str">
        <f>IFERROR(IF(INDEX(SPOT_Import!$A$1:$Z$2488,2282,'Live Data'!$C$14)="","",INDEX(SPOT_Import!$A$1:$Z$2488,2282,'Live Data'!$C$14)),"")</f>
        <v/>
      </c>
      <c r="D2282" s="54" t="str">
        <f>IFERROR(IF(INDEX(SPOT_Import!$A$1:$Z$2488,2282,'Live Data'!$C$15)="","",INDEX(SPOT_Import!$A$1:$Z$2488,2282,'Live Data'!$C$15)),"")</f>
        <v/>
      </c>
      <c r="E2282" s="54" t="str">
        <f>IFERROR(IF(INDEX(SPOT_Import!$A$1:$Z$2488,2282,'Live Data'!$C$16)="","",INDEX(SPOT_Import!$A$1:$Z$2488,2282,'Live Data'!$C$16)),"")</f>
        <v/>
      </c>
      <c r="F2282" s="54" t="str">
        <f>IFERROR(IF(INDEX(SPOT_Import!$A$1:$Z$2488,2282,'Live Data'!$C$17)="","",INDEX(SPOT_Import!$A$1:$Z$2488,2282,'Live Data'!$C$17)),"")</f>
        <v/>
      </c>
      <c r="G2282" s="54" t="str">
        <f>IFERROR(IF(INDEX(SPOT_Import!$A$1:$Z$2488,2282,'Live Data'!$C$18)="","",INDEX(SPOT_Import!$A$1:$Z$2488,2282,'Live Data'!$C$18)),"")</f>
        <v/>
      </c>
      <c r="H2282" s="54" t="str">
        <f>IFERROR(IF(INDEX(SPOT_Import!$A$1:$Z$2488,2282,'Live Data'!$C$19)="","",INDEX(SPOT_Import!$A$1:$Z$2488,2282,'Live Data'!$C$19)),"")</f>
        <v/>
      </c>
      <c r="I2282" s="54" t="str">
        <f>IFERROR(IF(INDEX(SPOT_Import!$A$1:$Z$2488,2282,'Live Data'!$C$20)="","",INDEX(SPOT_Import!$A$1:$Z$2488,2282,'Live Data'!$C$20)),"")</f>
        <v/>
      </c>
      <c r="J2282" s="54" t="str">
        <f>IFERROR(IF(INDEX(SPOT_Import!$A$1:$Z$2488,2282,'Live Data'!$C$21)="","",INDEX(SPOT_Import!$A$1:$Z$2488,2282,'Live Data'!$C$21)),"")</f>
        <v/>
      </c>
      <c r="K2282" s="54" t="str">
        <f>IFERROR(IF(INDEX(SPOT_Import!$A$1:$Z$2488,2282,'Live Data'!$C$22)="","",INDEX(SPOT_Import!$A$1:$Z$2488,2282,'Live Data'!$C$22)),"")</f>
        <v/>
      </c>
      <c r="L2282" s="55" t="str">
        <f t="shared" si="70"/>
        <v/>
      </c>
      <c r="M2282" s="55" t="str">
        <f t="shared" si="71"/>
        <v/>
      </c>
      <c r="N2282" s="55" t="str">
        <f>IF(A2282="","",IFERROR(INDEX('Cluster Map'!$A$4:$A$38,MATCH(M2282,'Cluster Map'!$B$4:$B$38,0)),"Unmapped"))</f>
        <v/>
      </c>
      <c r="O2282" s="55">
        <f>IF(A2282="",0,IF(COUNTIFS($A$2:A2282,A2282,$F$2:F2282,F2282,$L$2:L2282,L2282)=1,1,0))</f>
        <v>0</v>
      </c>
      <c r="P2282" s="55">
        <f>IF(A2282="",0,IF(AND(F2282="C&amp;T",COUNTIFS($A$2:A2282,A2282,$F$2:F2282,"C&amp;T")=1),1,0))</f>
        <v>0</v>
      </c>
    </row>
    <row r="2283" spans="1:16" x14ac:dyDescent="0.35">
      <c r="A2283" s="54" t="str">
        <f>IFERROR(IF(INDEX(SPOT_Import!$A$1:$Z$2488,2283,'Live Data'!$C$12)="","",INDEX(SPOT_Import!$A$1:$Z$2488,2283,'Live Data'!$C$12)),"")</f>
        <v/>
      </c>
      <c r="B2283" s="54" t="str">
        <f>IFERROR(IF(INDEX(SPOT_Import!$A$1:$Z$2488,2283,'Live Data'!$C$13)="","",INDEX(SPOT_Import!$A$1:$Z$2488,2283,'Live Data'!$C$13)),"")</f>
        <v/>
      </c>
      <c r="C2283" s="54" t="str">
        <f>IFERROR(IF(INDEX(SPOT_Import!$A$1:$Z$2488,2283,'Live Data'!$C$14)="","",INDEX(SPOT_Import!$A$1:$Z$2488,2283,'Live Data'!$C$14)),"")</f>
        <v/>
      </c>
      <c r="D2283" s="54" t="str">
        <f>IFERROR(IF(INDEX(SPOT_Import!$A$1:$Z$2488,2283,'Live Data'!$C$15)="","",INDEX(SPOT_Import!$A$1:$Z$2488,2283,'Live Data'!$C$15)),"")</f>
        <v/>
      </c>
      <c r="E2283" s="54" t="str">
        <f>IFERROR(IF(INDEX(SPOT_Import!$A$1:$Z$2488,2283,'Live Data'!$C$16)="","",INDEX(SPOT_Import!$A$1:$Z$2488,2283,'Live Data'!$C$16)),"")</f>
        <v/>
      </c>
      <c r="F2283" s="54" t="str">
        <f>IFERROR(IF(INDEX(SPOT_Import!$A$1:$Z$2488,2283,'Live Data'!$C$17)="","",INDEX(SPOT_Import!$A$1:$Z$2488,2283,'Live Data'!$C$17)),"")</f>
        <v/>
      </c>
      <c r="G2283" s="54" t="str">
        <f>IFERROR(IF(INDEX(SPOT_Import!$A$1:$Z$2488,2283,'Live Data'!$C$18)="","",INDEX(SPOT_Import!$A$1:$Z$2488,2283,'Live Data'!$C$18)),"")</f>
        <v/>
      </c>
      <c r="H2283" s="54" t="str">
        <f>IFERROR(IF(INDEX(SPOT_Import!$A$1:$Z$2488,2283,'Live Data'!$C$19)="","",INDEX(SPOT_Import!$A$1:$Z$2488,2283,'Live Data'!$C$19)),"")</f>
        <v/>
      </c>
      <c r="I2283" s="54" t="str">
        <f>IFERROR(IF(INDEX(SPOT_Import!$A$1:$Z$2488,2283,'Live Data'!$C$20)="","",INDEX(SPOT_Import!$A$1:$Z$2488,2283,'Live Data'!$C$20)),"")</f>
        <v/>
      </c>
      <c r="J2283" s="54" t="str">
        <f>IFERROR(IF(INDEX(SPOT_Import!$A$1:$Z$2488,2283,'Live Data'!$C$21)="","",INDEX(SPOT_Import!$A$1:$Z$2488,2283,'Live Data'!$C$21)),"")</f>
        <v/>
      </c>
      <c r="K2283" s="54" t="str">
        <f>IFERROR(IF(INDEX(SPOT_Import!$A$1:$Z$2488,2283,'Live Data'!$C$22)="","",INDEX(SPOT_Import!$A$1:$Z$2488,2283,'Live Data'!$C$22)),"")</f>
        <v/>
      </c>
      <c r="L2283" s="55" t="str">
        <f t="shared" si="70"/>
        <v/>
      </c>
      <c r="M2283" s="55" t="str">
        <f t="shared" si="71"/>
        <v/>
      </c>
      <c r="N2283" s="55" t="str">
        <f>IF(A2283="","",IFERROR(INDEX('Cluster Map'!$A$4:$A$38,MATCH(M2283,'Cluster Map'!$B$4:$B$38,0)),"Unmapped"))</f>
        <v/>
      </c>
      <c r="O2283" s="55">
        <f>IF(A2283="",0,IF(COUNTIFS($A$2:A2283,A2283,$F$2:F2283,F2283,$L$2:L2283,L2283)=1,1,0))</f>
        <v>0</v>
      </c>
      <c r="P2283" s="55">
        <f>IF(A2283="",0,IF(AND(F2283="C&amp;T",COUNTIFS($A$2:A2283,A2283,$F$2:F2283,"C&amp;T")=1),1,0))</f>
        <v>0</v>
      </c>
    </row>
    <row r="2284" spans="1:16" x14ac:dyDescent="0.35">
      <c r="A2284" s="54" t="str">
        <f>IFERROR(IF(INDEX(SPOT_Import!$A$1:$Z$2488,2284,'Live Data'!$C$12)="","",INDEX(SPOT_Import!$A$1:$Z$2488,2284,'Live Data'!$C$12)),"")</f>
        <v/>
      </c>
      <c r="B2284" s="54" t="str">
        <f>IFERROR(IF(INDEX(SPOT_Import!$A$1:$Z$2488,2284,'Live Data'!$C$13)="","",INDEX(SPOT_Import!$A$1:$Z$2488,2284,'Live Data'!$C$13)),"")</f>
        <v/>
      </c>
      <c r="C2284" s="54" t="str">
        <f>IFERROR(IF(INDEX(SPOT_Import!$A$1:$Z$2488,2284,'Live Data'!$C$14)="","",INDEX(SPOT_Import!$A$1:$Z$2488,2284,'Live Data'!$C$14)),"")</f>
        <v/>
      </c>
      <c r="D2284" s="54" t="str">
        <f>IFERROR(IF(INDEX(SPOT_Import!$A$1:$Z$2488,2284,'Live Data'!$C$15)="","",INDEX(SPOT_Import!$A$1:$Z$2488,2284,'Live Data'!$C$15)),"")</f>
        <v/>
      </c>
      <c r="E2284" s="54" t="str">
        <f>IFERROR(IF(INDEX(SPOT_Import!$A$1:$Z$2488,2284,'Live Data'!$C$16)="","",INDEX(SPOT_Import!$A$1:$Z$2488,2284,'Live Data'!$C$16)),"")</f>
        <v/>
      </c>
      <c r="F2284" s="54" t="str">
        <f>IFERROR(IF(INDEX(SPOT_Import!$A$1:$Z$2488,2284,'Live Data'!$C$17)="","",INDEX(SPOT_Import!$A$1:$Z$2488,2284,'Live Data'!$C$17)),"")</f>
        <v/>
      </c>
      <c r="G2284" s="54" t="str">
        <f>IFERROR(IF(INDEX(SPOT_Import!$A$1:$Z$2488,2284,'Live Data'!$C$18)="","",INDEX(SPOT_Import!$A$1:$Z$2488,2284,'Live Data'!$C$18)),"")</f>
        <v/>
      </c>
      <c r="H2284" s="54" t="str">
        <f>IFERROR(IF(INDEX(SPOT_Import!$A$1:$Z$2488,2284,'Live Data'!$C$19)="","",INDEX(SPOT_Import!$A$1:$Z$2488,2284,'Live Data'!$C$19)),"")</f>
        <v/>
      </c>
      <c r="I2284" s="54" t="str">
        <f>IFERROR(IF(INDEX(SPOT_Import!$A$1:$Z$2488,2284,'Live Data'!$C$20)="","",INDEX(SPOT_Import!$A$1:$Z$2488,2284,'Live Data'!$C$20)),"")</f>
        <v/>
      </c>
      <c r="J2284" s="54" t="str">
        <f>IFERROR(IF(INDEX(SPOT_Import!$A$1:$Z$2488,2284,'Live Data'!$C$21)="","",INDEX(SPOT_Import!$A$1:$Z$2488,2284,'Live Data'!$C$21)),"")</f>
        <v/>
      </c>
      <c r="K2284" s="54" t="str">
        <f>IFERROR(IF(INDEX(SPOT_Import!$A$1:$Z$2488,2284,'Live Data'!$C$22)="","",INDEX(SPOT_Import!$A$1:$Z$2488,2284,'Live Data'!$C$22)),"")</f>
        <v/>
      </c>
      <c r="L2284" s="55" t="str">
        <f t="shared" si="70"/>
        <v/>
      </c>
      <c r="M2284" s="55" t="str">
        <f t="shared" si="71"/>
        <v/>
      </c>
      <c r="N2284" s="55" t="str">
        <f>IF(A2284="","",IFERROR(INDEX('Cluster Map'!$A$4:$A$38,MATCH(M2284,'Cluster Map'!$B$4:$B$38,0)),"Unmapped"))</f>
        <v/>
      </c>
      <c r="O2284" s="55">
        <f>IF(A2284="",0,IF(COUNTIFS($A$2:A2284,A2284,$F$2:F2284,F2284,$L$2:L2284,L2284)=1,1,0))</f>
        <v>0</v>
      </c>
      <c r="P2284" s="55">
        <f>IF(A2284="",0,IF(AND(F2284="C&amp;T",COUNTIFS($A$2:A2284,A2284,$F$2:F2284,"C&amp;T")=1),1,0))</f>
        <v>0</v>
      </c>
    </row>
    <row r="2285" spans="1:16" x14ac:dyDescent="0.35">
      <c r="A2285" s="54" t="str">
        <f>IFERROR(IF(INDEX(SPOT_Import!$A$1:$Z$2488,2285,'Live Data'!$C$12)="","",INDEX(SPOT_Import!$A$1:$Z$2488,2285,'Live Data'!$C$12)),"")</f>
        <v/>
      </c>
      <c r="B2285" s="54" t="str">
        <f>IFERROR(IF(INDEX(SPOT_Import!$A$1:$Z$2488,2285,'Live Data'!$C$13)="","",INDEX(SPOT_Import!$A$1:$Z$2488,2285,'Live Data'!$C$13)),"")</f>
        <v/>
      </c>
      <c r="C2285" s="54" t="str">
        <f>IFERROR(IF(INDEX(SPOT_Import!$A$1:$Z$2488,2285,'Live Data'!$C$14)="","",INDEX(SPOT_Import!$A$1:$Z$2488,2285,'Live Data'!$C$14)),"")</f>
        <v/>
      </c>
      <c r="D2285" s="54" t="str">
        <f>IFERROR(IF(INDEX(SPOT_Import!$A$1:$Z$2488,2285,'Live Data'!$C$15)="","",INDEX(SPOT_Import!$A$1:$Z$2488,2285,'Live Data'!$C$15)),"")</f>
        <v/>
      </c>
      <c r="E2285" s="54" t="str">
        <f>IFERROR(IF(INDEX(SPOT_Import!$A$1:$Z$2488,2285,'Live Data'!$C$16)="","",INDEX(SPOT_Import!$A$1:$Z$2488,2285,'Live Data'!$C$16)),"")</f>
        <v/>
      </c>
      <c r="F2285" s="54" t="str">
        <f>IFERROR(IF(INDEX(SPOT_Import!$A$1:$Z$2488,2285,'Live Data'!$C$17)="","",INDEX(SPOT_Import!$A$1:$Z$2488,2285,'Live Data'!$C$17)),"")</f>
        <v/>
      </c>
      <c r="G2285" s="54" t="str">
        <f>IFERROR(IF(INDEX(SPOT_Import!$A$1:$Z$2488,2285,'Live Data'!$C$18)="","",INDEX(SPOT_Import!$A$1:$Z$2488,2285,'Live Data'!$C$18)),"")</f>
        <v/>
      </c>
      <c r="H2285" s="54" t="str">
        <f>IFERROR(IF(INDEX(SPOT_Import!$A$1:$Z$2488,2285,'Live Data'!$C$19)="","",INDEX(SPOT_Import!$A$1:$Z$2488,2285,'Live Data'!$C$19)),"")</f>
        <v/>
      </c>
      <c r="I2285" s="54" t="str">
        <f>IFERROR(IF(INDEX(SPOT_Import!$A$1:$Z$2488,2285,'Live Data'!$C$20)="","",INDEX(SPOT_Import!$A$1:$Z$2488,2285,'Live Data'!$C$20)),"")</f>
        <v/>
      </c>
      <c r="J2285" s="54" t="str">
        <f>IFERROR(IF(INDEX(SPOT_Import!$A$1:$Z$2488,2285,'Live Data'!$C$21)="","",INDEX(SPOT_Import!$A$1:$Z$2488,2285,'Live Data'!$C$21)),"")</f>
        <v/>
      </c>
      <c r="K2285" s="54" t="str">
        <f>IFERROR(IF(INDEX(SPOT_Import!$A$1:$Z$2488,2285,'Live Data'!$C$22)="","",INDEX(SPOT_Import!$A$1:$Z$2488,2285,'Live Data'!$C$22)),"")</f>
        <v/>
      </c>
      <c r="L2285" s="55" t="str">
        <f t="shared" si="70"/>
        <v/>
      </c>
      <c r="M2285" s="55" t="str">
        <f t="shared" si="71"/>
        <v/>
      </c>
      <c r="N2285" s="55" t="str">
        <f>IF(A2285="","",IFERROR(INDEX('Cluster Map'!$A$4:$A$38,MATCH(M2285,'Cluster Map'!$B$4:$B$38,0)),"Unmapped"))</f>
        <v/>
      </c>
      <c r="O2285" s="55">
        <f>IF(A2285="",0,IF(COUNTIFS($A$2:A2285,A2285,$F$2:F2285,F2285,$L$2:L2285,L2285)=1,1,0))</f>
        <v>0</v>
      </c>
      <c r="P2285" s="55">
        <f>IF(A2285="",0,IF(AND(F2285="C&amp;T",COUNTIFS($A$2:A2285,A2285,$F$2:F2285,"C&amp;T")=1),1,0))</f>
        <v>0</v>
      </c>
    </row>
    <row r="2286" spans="1:16" x14ac:dyDescent="0.35">
      <c r="A2286" s="54" t="str">
        <f>IFERROR(IF(INDEX(SPOT_Import!$A$1:$Z$2488,2286,'Live Data'!$C$12)="","",INDEX(SPOT_Import!$A$1:$Z$2488,2286,'Live Data'!$C$12)),"")</f>
        <v/>
      </c>
      <c r="B2286" s="54" t="str">
        <f>IFERROR(IF(INDEX(SPOT_Import!$A$1:$Z$2488,2286,'Live Data'!$C$13)="","",INDEX(SPOT_Import!$A$1:$Z$2488,2286,'Live Data'!$C$13)),"")</f>
        <v/>
      </c>
      <c r="C2286" s="54" t="str">
        <f>IFERROR(IF(INDEX(SPOT_Import!$A$1:$Z$2488,2286,'Live Data'!$C$14)="","",INDEX(SPOT_Import!$A$1:$Z$2488,2286,'Live Data'!$C$14)),"")</f>
        <v/>
      </c>
      <c r="D2286" s="54" t="str">
        <f>IFERROR(IF(INDEX(SPOT_Import!$A$1:$Z$2488,2286,'Live Data'!$C$15)="","",INDEX(SPOT_Import!$A$1:$Z$2488,2286,'Live Data'!$C$15)),"")</f>
        <v/>
      </c>
      <c r="E2286" s="54" t="str">
        <f>IFERROR(IF(INDEX(SPOT_Import!$A$1:$Z$2488,2286,'Live Data'!$C$16)="","",INDEX(SPOT_Import!$A$1:$Z$2488,2286,'Live Data'!$C$16)),"")</f>
        <v/>
      </c>
      <c r="F2286" s="54" t="str">
        <f>IFERROR(IF(INDEX(SPOT_Import!$A$1:$Z$2488,2286,'Live Data'!$C$17)="","",INDEX(SPOT_Import!$A$1:$Z$2488,2286,'Live Data'!$C$17)),"")</f>
        <v/>
      </c>
      <c r="G2286" s="54" t="str">
        <f>IFERROR(IF(INDEX(SPOT_Import!$A$1:$Z$2488,2286,'Live Data'!$C$18)="","",INDEX(SPOT_Import!$A$1:$Z$2488,2286,'Live Data'!$C$18)),"")</f>
        <v/>
      </c>
      <c r="H2286" s="54" t="str">
        <f>IFERROR(IF(INDEX(SPOT_Import!$A$1:$Z$2488,2286,'Live Data'!$C$19)="","",INDEX(SPOT_Import!$A$1:$Z$2488,2286,'Live Data'!$C$19)),"")</f>
        <v/>
      </c>
      <c r="I2286" s="54" t="str">
        <f>IFERROR(IF(INDEX(SPOT_Import!$A$1:$Z$2488,2286,'Live Data'!$C$20)="","",INDEX(SPOT_Import!$A$1:$Z$2488,2286,'Live Data'!$C$20)),"")</f>
        <v/>
      </c>
      <c r="J2286" s="54" t="str">
        <f>IFERROR(IF(INDEX(SPOT_Import!$A$1:$Z$2488,2286,'Live Data'!$C$21)="","",INDEX(SPOT_Import!$A$1:$Z$2488,2286,'Live Data'!$C$21)),"")</f>
        <v/>
      </c>
      <c r="K2286" s="54" t="str">
        <f>IFERROR(IF(INDEX(SPOT_Import!$A$1:$Z$2488,2286,'Live Data'!$C$22)="","",INDEX(SPOT_Import!$A$1:$Z$2488,2286,'Live Data'!$C$22)),"")</f>
        <v/>
      </c>
      <c r="L2286" s="55" t="str">
        <f t="shared" si="70"/>
        <v/>
      </c>
      <c r="M2286" s="55" t="str">
        <f t="shared" si="71"/>
        <v/>
      </c>
      <c r="N2286" s="55" t="str">
        <f>IF(A2286="","",IFERROR(INDEX('Cluster Map'!$A$4:$A$38,MATCH(M2286,'Cluster Map'!$B$4:$B$38,0)),"Unmapped"))</f>
        <v/>
      </c>
      <c r="O2286" s="55">
        <f>IF(A2286="",0,IF(COUNTIFS($A$2:A2286,A2286,$F$2:F2286,F2286,$L$2:L2286,L2286)=1,1,0))</f>
        <v>0</v>
      </c>
      <c r="P2286" s="55">
        <f>IF(A2286="",0,IF(AND(F2286="C&amp;T",COUNTIFS($A$2:A2286,A2286,$F$2:F2286,"C&amp;T")=1),1,0))</f>
        <v>0</v>
      </c>
    </row>
    <row r="2287" spans="1:16" x14ac:dyDescent="0.35">
      <c r="A2287" s="54" t="str">
        <f>IFERROR(IF(INDEX(SPOT_Import!$A$1:$Z$2488,2287,'Live Data'!$C$12)="","",INDEX(SPOT_Import!$A$1:$Z$2488,2287,'Live Data'!$C$12)),"")</f>
        <v/>
      </c>
      <c r="B2287" s="54" t="str">
        <f>IFERROR(IF(INDEX(SPOT_Import!$A$1:$Z$2488,2287,'Live Data'!$C$13)="","",INDEX(SPOT_Import!$A$1:$Z$2488,2287,'Live Data'!$C$13)),"")</f>
        <v/>
      </c>
      <c r="C2287" s="54" t="str">
        <f>IFERROR(IF(INDEX(SPOT_Import!$A$1:$Z$2488,2287,'Live Data'!$C$14)="","",INDEX(SPOT_Import!$A$1:$Z$2488,2287,'Live Data'!$C$14)),"")</f>
        <v/>
      </c>
      <c r="D2287" s="54" t="str">
        <f>IFERROR(IF(INDEX(SPOT_Import!$A$1:$Z$2488,2287,'Live Data'!$C$15)="","",INDEX(SPOT_Import!$A$1:$Z$2488,2287,'Live Data'!$C$15)),"")</f>
        <v/>
      </c>
      <c r="E2287" s="54" t="str">
        <f>IFERROR(IF(INDEX(SPOT_Import!$A$1:$Z$2488,2287,'Live Data'!$C$16)="","",INDEX(SPOT_Import!$A$1:$Z$2488,2287,'Live Data'!$C$16)),"")</f>
        <v/>
      </c>
      <c r="F2287" s="54" t="str">
        <f>IFERROR(IF(INDEX(SPOT_Import!$A$1:$Z$2488,2287,'Live Data'!$C$17)="","",INDEX(SPOT_Import!$A$1:$Z$2488,2287,'Live Data'!$C$17)),"")</f>
        <v/>
      </c>
      <c r="G2287" s="54" t="str">
        <f>IFERROR(IF(INDEX(SPOT_Import!$A$1:$Z$2488,2287,'Live Data'!$C$18)="","",INDEX(SPOT_Import!$A$1:$Z$2488,2287,'Live Data'!$C$18)),"")</f>
        <v/>
      </c>
      <c r="H2287" s="54" t="str">
        <f>IFERROR(IF(INDEX(SPOT_Import!$A$1:$Z$2488,2287,'Live Data'!$C$19)="","",INDEX(SPOT_Import!$A$1:$Z$2488,2287,'Live Data'!$C$19)),"")</f>
        <v/>
      </c>
      <c r="I2287" s="54" t="str">
        <f>IFERROR(IF(INDEX(SPOT_Import!$A$1:$Z$2488,2287,'Live Data'!$C$20)="","",INDEX(SPOT_Import!$A$1:$Z$2488,2287,'Live Data'!$C$20)),"")</f>
        <v/>
      </c>
      <c r="J2287" s="54" t="str">
        <f>IFERROR(IF(INDEX(SPOT_Import!$A$1:$Z$2488,2287,'Live Data'!$C$21)="","",INDEX(SPOT_Import!$A$1:$Z$2488,2287,'Live Data'!$C$21)),"")</f>
        <v/>
      </c>
      <c r="K2287" s="54" t="str">
        <f>IFERROR(IF(INDEX(SPOT_Import!$A$1:$Z$2488,2287,'Live Data'!$C$22)="","",INDEX(SPOT_Import!$A$1:$Z$2488,2287,'Live Data'!$C$22)),"")</f>
        <v/>
      </c>
      <c r="L2287" s="55" t="str">
        <f t="shared" si="70"/>
        <v/>
      </c>
      <c r="M2287" s="55" t="str">
        <f t="shared" si="71"/>
        <v/>
      </c>
      <c r="N2287" s="55" t="str">
        <f>IF(A2287="","",IFERROR(INDEX('Cluster Map'!$A$4:$A$38,MATCH(M2287,'Cluster Map'!$B$4:$B$38,0)),"Unmapped"))</f>
        <v/>
      </c>
      <c r="O2287" s="55">
        <f>IF(A2287="",0,IF(COUNTIFS($A$2:A2287,A2287,$F$2:F2287,F2287,$L$2:L2287,L2287)=1,1,0))</f>
        <v>0</v>
      </c>
      <c r="P2287" s="55">
        <f>IF(A2287="",0,IF(AND(F2287="C&amp;T",COUNTIFS($A$2:A2287,A2287,$F$2:F2287,"C&amp;T")=1),1,0))</f>
        <v>0</v>
      </c>
    </row>
    <row r="2288" spans="1:16" x14ac:dyDescent="0.35">
      <c r="A2288" s="54" t="str">
        <f>IFERROR(IF(INDEX(SPOT_Import!$A$1:$Z$2488,2288,'Live Data'!$C$12)="","",INDEX(SPOT_Import!$A$1:$Z$2488,2288,'Live Data'!$C$12)),"")</f>
        <v/>
      </c>
      <c r="B2288" s="54" t="str">
        <f>IFERROR(IF(INDEX(SPOT_Import!$A$1:$Z$2488,2288,'Live Data'!$C$13)="","",INDEX(SPOT_Import!$A$1:$Z$2488,2288,'Live Data'!$C$13)),"")</f>
        <v/>
      </c>
      <c r="C2288" s="54" t="str">
        <f>IFERROR(IF(INDEX(SPOT_Import!$A$1:$Z$2488,2288,'Live Data'!$C$14)="","",INDEX(SPOT_Import!$A$1:$Z$2488,2288,'Live Data'!$C$14)),"")</f>
        <v/>
      </c>
      <c r="D2288" s="54" t="str">
        <f>IFERROR(IF(INDEX(SPOT_Import!$A$1:$Z$2488,2288,'Live Data'!$C$15)="","",INDEX(SPOT_Import!$A$1:$Z$2488,2288,'Live Data'!$C$15)),"")</f>
        <v/>
      </c>
      <c r="E2288" s="54" t="str">
        <f>IFERROR(IF(INDEX(SPOT_Import!$A$1:$Z$2488,2288,'Live Data'!$C$16)="","",INDEX(SPOT_Import!$A$1:$Z$2488,2288,'Live Data'!$C$16)),"")</f>
        <v/>
      </c>
      <c r="F2288" s="54" t="str">
        <f>IFERROR(IF(INDEX(SPOT_Import!$A$1:$Z$2488,2288,'Live Data'!$C$17)="","",INDEX(SPOT_Import!$A$1:$Z$2488,2288,'Live Data'!$C$17)),"")</f>
        <v/>
      </c>
      <c r="G2288" s="54" t="str">
        <f>IFERROR(IF(INDEX(SPOT_Import!$A$1:$Z$2488,2288,'Live Data'!$C$18)="","",INDEX(SPOT_Import!$A$1:$Z$2488,2288,'Live Data'!$C$18)),"")</f>
        <v/>
      </c>
      <c r="H2288" s="54" t="str">
        <f>IFERROR(IF(INDEX(SPOT_Import!$A$1:$Z$2488,2288,'Live Data'!$C$19)="","",INDEX(SPOT_Import!$A$1:$Z$2488,2288,'Live Data'!$C$19)),"")</f>
        <v/>
      </c>
      <c r="I2288" s="54" t="str">
        <f>IFERROR(IF(INDEX(SPOT_Import!$A$1:$Z$2488,2288,'Live Data'!$C$20)="","",INDEX(SPOT_Import!$A$1:$Z$2488,2288,'Live Data'!$C$20)),"")</f>
        <v/>
      </c>
      <c r="J2288" s="54" t="str">
        <f>IFERROR(IF(INDEX(SPOT_Import!$A$1:$Z$2488,2288,'Live Data'!$C$21)="","",INDEX(SPOT_Import!$A$1:$Z$2488,2288,'Live Data'!$C$21)),"")</f>
        <v/>
      </c>
      <c r="K2288" s="54" t="str">
        <f>IFERROR(IF(INDEX(SPOT_Import!$A$1:$Z$2488,2288,'Live Data'!$C$22)="","",INDEX(SPOT_Import!$A$1:$Z$2488,2288,'Live Data'!$C$22)),"")</f>
        <v/>
      </c>
      <c r="L2288" s="55" t="str">
        <f t="shared" si="70"/>
        <v/>
      </c>
      <c r="M2288" s="55" t="str">
        <f t="shared" si="71"/>
        <v/>
      </c>
      <c r="N2288" s="55" t="str">
        <f>IF(A2288="","",IFERROR(INDEX('Cluster Map'!$A$4:$A$38,MATCH(M2288,'Cluster Map'!$B$4:$B$38,0)),"Unmapped"))</f>
        <v/>
      </c>
      <c r="O2288" s="55">
        <f>IF(A2288="",0,IF(COUNTIFS($A$2:A2288,A2288,$F$2:F2288,F2288,$L$2:L2288,L2288)=1,1,0))</f>
        <v>0</v>
      </c>
      <c r="P2288" s="55">
        <f>IF(A2288="",0,IF(AND(F2288="C&amp;T",COUNTIFS($A$2:A2288,A2288,$F$2:F2288,"C&amp;T")=1),1,0))</f>
        <v>0</v>
      </c>
    </row>
    <row r="2289" spans="1:16" x14ac:dyDescent="0.35">
      <c r="A2289" s="54" t="str">
        <f>IFERROR(IF(INDEX(SPOT_Import!$A$1:$Z$2488,2289,'Live Data'!$C$12)="","",INDEX(SPOT_Import!$A$1:$Z$2488,2289,'Live Data'!$C$12)),"")</f>
        <v/>
      </c>
      <c r="B2289" s="54" t="str">
        <f>IFERROR(IF(INDEX(SPOT_Import!$A$1:$Z$2488,2289,'Live Data'!$C$13)="","",INDEX(SPOT_Import!$A$1:$Z$2488,2289,'Live Data'!$C$13)),"")</f>
        <v/>
      </c>
      <c r="C2289" s="54" t="str">
        <f>IFERROR(IF(INDEX(SPOT_Import!$A$1:$Z$2488,2289,'Live Data'!$C$14)="","",INDEX(SPOT_Import!$A$1:$Z$2488,2289,'Live Data'!$C$14)),"")</f>
        <v/>
      </c>
      <c r="D2289" s="54" t="str">
        <f>IFERROR(IF(INDEX(SPOT_Import!$A$1:$Z$2488,2289,'Live Data'!$C$15)="","",INDEX(SPOT_Import!$A$1:$Z$2488,2289,'Live Data'!$C$15)),"")</f>
        <v/>
      </c>
      <c r="E2289" s="54" t="str">
        <f>IFERROR(IF(INDEX(SPOT_Import!$A$1:$Z$2488,2289,'Live Data'!$C$16)="","",INDEX(SPOT_Import!$A$1:$Z$2488,2289,'Live Data'!$C$16)),"")</f>
        <v/>
      </c>
      <c r="F2289" s="54" t="str">
        <f>IFERROR(IF(INDEX(SPOT_Import!$A$1:$Z$2488,2289,'Live Data'!$C$17)="","",INDEX(SPOT_Import!$A$1:$Z$2488,2289,'Live Data'!$C$17)),"")</f>
        <v/>
      </c>
      <c r="G2289" s="54" t="str">
        <f>IFERROR(IF(INDEX(SPOT_Import!$A$1:$Z$2488,2289,'Live Data'!$C$18)="","",INDEX(SPOT_Import!$A$1:$Z$2488,2289,'Live Data'!$C$18)),"")</f>
        <v/>
      </c>
      <c r="H2289" s="54" t="str">
        <f>IFERROR(IF(INDEX(SPOT_Import!$A$1:$Z$2488,2289,'Live Data'!$C$19)="","",INDEX(SPOT_Import!$A$1:$Z$2488,2289,'Live Data'!$C$19)),"")</f>
        <v/>
      </c>
      <c r="I2289" s="54" t="str">
        <f>IFERROR(IF(INDEX(SPOT_Import!$A$1:$Z$2488,2289,'Live Data'!$C$20)="","",INDEX(SPOT_Import!$A$1:$Z$2488,2289,'Live Data'!$C$20)),"")</f>
        <v/>
      </c>
      <c r="J2289" s="54" t="str">
        <f>IFERROR(IF(INDEX(SPOT_Import!$A$1:$Z$2488,2289,'Live Data'!$C$21)="","",INDEX(SPOT_Import!$A$1:$Z$2488,2289,'Live Data'!$C$21)),"")</f>
        <v/>
      </c>
      <c r="K2289" s="54" t="str">
        <f>IFERROR(IF(INDEX(SPOT_Import!$A$1:$Z$2488,2289,'Live Data'!$C$22)="","",INDEX(SPOT_Import!$A$1:$Z$2488,2289,'Live Data'!$C$22)),"")</f>
        <v/>
      </c>
      <c r="L2289" s="55" t="str">
        <f t="shared" si="70"/>
        <v/>
      </c>
      <c r="M2289" s="55" t="str">
        <f t="shared" si="71"/>
        <v/>
      </c>
      <c r="N2289" s="55" t="str">
        <f>IF(A2289="","",IFERROR(INDEX('Cluster Map'!$A$4:$A$38,MATCH(M2289,'Cluster Map'!$B$4:$B$38,0)),"Unmapped"))</f>
        <v/>
      </c>
      <c r="O2289" s="55">
        <f>IF(A2289="",0,IF(COUNTIFS($A$2:A2289,A2289,$F$2:F2289,F2289,$L$2:L2289,L2289)=1,1,0))</f>
        <v>0</v>
      </c>
      <c r="P2289" s="55">
        <f>IF(A2289="",0,IF(AND(F2289="C&amp;T",COUNTIFS($A$2:A2289,A2289,$F$2:F2289,"C&amp;T")=1),1,0))</f>
        <v>0</v>
      </c>
    </row>
    <row r="2290" spans="1:16" x14ac:dyDescent="0.35">
      <c r="A2290" s="54" t="str">
        <f>IFERROR(IF(INDEX(SPOT_Import!$A$1:$Z$2488,2290,'Live Data'!$C$12)="","",INDEX(SPOT_Import!$A$1:$Z$2488,2290,'Live Data'!$C$12)),"")</f>
        <v/>
      </c>
      <c r="B2290" s="54" t="str">
        <f>IFERROR(IF(INDEX(SPOT_Import!$A$1:$Z$2488,2290,'Live Data'!$C$13)="","",INDEX(SPOT_Import!$A$1:$Z$2488,2290,'Live Data'!$C$13)),"")</f>
        <v/>
      </c>
      <c r="C2290" s="54" t="str">
        <f>IFERROR(IF(INDEX(SPOT_Import!$A$1:$Z$2488,2290,'Live Data'!$C$14)="","",INDEX(SPOT_Import!$A$1:$Z$2488,2290,'Live Data'!$C$14)),"")</f>
        <v/>
      </c>
      <c r="D2290" s="54" t="str">
        <f>IFERROR(IF(INDEX(SPOT_Import!$A$1:$Z$2488,2290,'Live Data'!$C$15)="","",INDEX(SPOT_Import!$A$1:$Z$2488,2290,'Live Data'!$C$15)),"")</f>
        <v/>
      </c>
      <c r="E2290" s="54" t="str">
        <f>IFERROR(IF(INDEX(SPOT_Import!$A$1:$Z$2488,2290,'Live Data'!$C$16)="","",INDEX(SPOT_Import!$A$1:$Z$2488,2290,'Live Data'!$C$16)),"")</f>
        <v/>
      </c>
      <c r="F2290" s="54" t="str">
        <f>IFERROR(IF(INDEX(SPOT_Import!$A$1:$Z$2488,2290,'Live Data'!$C$17)="","",INDEX(SPOT_Import!$A$1:$Z$2488,2290,'Live Data'!$C$17)),"")</f>
        <v/>
      </c>
      <c r="G2290" s="54" t="str">
        <f>IFERROR(IF(INDEX(SPOT_Import!$A$1:$Z$2488,2290,'Live Data'!$C$18)="","",INDEX(SPOT_Import!$A$1:$Z$2488,2290,'Live Data'!$C$18)),"")</f>
        <v/>
      </c>
      <c r="H2290" s="54" t="str">
        <f>IFERROR(IF(INDEX(SPOT_Import!$A$1:$Z$2488,2290,'Live Data'!$C$19)="","",INDEX(SPOT_Import!$A$1:$Z$2488,2290,'Live Data'!$C$19)),"")</f>
        <v/>
      </c>
      <c r="I2290" s="54" t="str">
        <f>IFERROR(IF(INDEX(SPOT_Import!$A$1:$Z$2488,2290,'Live Data'!$C$20)="","",INDEX(SPOT_Import!$A$1:$Z$2488,2290,'Live Data'!$C$20)),"")</f>
        <v/>
      </c>
      <c r="J2290" s="54" t="str">
        <f>IFERROR(IF(INDEX(SPOT_Import!$A$1:$Z$2488,2290,'Live Data'!$C$21)="","",INDEX(SPOT_Import!$A$1:$Z$2488,2290,'Live Data'!$C$21)),"")</f>
        <v/>
      </c>
      <c r="K2290" s="54" t="str">
        <f>IFERROR(IF(INDEX(SPOT_Import!$A$1:$Z$2488,2290,'Live Data'!$C$22)="","",INDEX(SPOT_Import!$A$1:$Z$2488,2290,'Live Data'!$C$22)),"")</f>
        <v/>
      </c>
      <c r="L2290" s="55" t="str">
        <f t="shared" si="70"/>
        <v/>
      </c>
      <c r="M2290" s="55" t="str">
        <f t="shared" si="71"/>
        <v/>
      </c>
      <c r="N2290" s="55" t="str">
        <f>IF(A2290="","",IFERROR(INDEX('Cluster Map'!$A$4:$A$38,MATCH(M2290,'Cluster Map'!$B$4:$B$38,0)),"Unmapped"))</f>
        <v/>
      </c>
      <c r="O2290" s="55">
        <f>IF(A2290="",0,IF(COUNTIFS($A$2:A2290,A2290,$F$2:F2290,F2290,$L$2:L2290,L2290)=1,1,0))</f>
        <v>0</v>
      </c>
      <c r="P2290" s="55">
        <f>IF(A2290="",0,IF(AND(F2290="C&amp;T",COUNTIFS($A$2:A2290,A2290,$F$2:F2290,"C&amp;T")=1),1,0))</f>
        <v>0</v>
      </c>
    </row>
    <row r="2291" spans="1:16" x14ac:dyDescent="0.35">
      <c r="A2291" s="54" t="str">
        <f>IFERROR(IF(INDEX(SPOT_Import!$A$1:$Z$2488,2291,'Live Data'!$C$12)="","",INDEX(SPOT_Import!$A$1:$Z$2488,2291,'Live Data'!$C$12)),"")</f>
        <v/>
      </c>
      <c r="B2291" s="54" t="str">
        <f>IFERROR(IF(INDEX(SPOT_Import!$A$1:$Z$2488,2291,'Live Data'!$C$13)="","",INDEX(SPOT_Import!$A$1:$Z$2488,2291,'Live Data'!$C$13)),"")</f>
        <v/>
      </c>
      <c r="C2291" s="54" t="str">
        <f>IFERROR(IF(INDEX(SPOT_Import!$A$1:$Z$2488,2291,'Live Data'!$C$14)="","",INDEX(SPOT_Import!$A$1:$Z$2488,2291,'Live Data'!$C$14)),"")</f>
        <v/>
      </c>
      <c r="D2291" s="54" t="str">
        <f>IFERROR(IF(INDEX(SPOT_Import!$A$1:$Z$2488,2291,'Live Data'!$C$15)="","",INDEX(SPOT_Import!$A$1:$Z$2488,2291,'Live Data'!$C$15)),"")</f>
        <v/>
      </c>
      <c r="E2291" s="54" t="str">
        <f>IFERROR(IF(INDEX(SPOT_Import!$A$1:$Z$2488,2291,'Live Data'!$C$16)="","",INDEX(SPOT_Import!$A$1:$Z$2488,2291,'Live Data'!$C$16)),"")</f>
        <v/>
      </c>
      <c r="F2291" s="54" t="str">
        <f>IFERROR(IF(INDEX(SPOT_Import!$A$1:$Z$2488,2291,'Live Data'!$C$17)="","",INDEX(SPOT_Import!$A$1:$Z$2488,2291,'Live Data'!$C$17)),"")</f>
        <v/>
      </c>
      <c r="G2291" s="54" t="str">
        <f>IFERROR(IF(INDEX(SPOT_Import!$A$1:$Z$2488,2291,'Live Data'!$C$18)="","",INDEX(SPOT_Import!$A$1:$Z$2488,2291,'Live Data'!$C$18)),"")</f>
        <v/>
      </c>
      <c r="H2291" s="54" t="str">
        <f>IFERROR(IF(INDEX(SPOT_Import!$A$1:$Z$2488,2291,'Live Data'!$C$19)="","",INDEX(SPOT_Import!$A$1:$Z$2488,2291,'Live Data'!$C$19)),"")</f>
        <v/>
      </c>
      <c r="I2291" s="54" t="str">
        <f>IFERROR(IF(INDEX(SPOT_Import!$A$1:$Z$2488,2291,'Live Data'!$C$20)="","",INDEX(SPOT_Import!$A$1:$Z$2488,2291,'Live Data'!$C$20)),"")</f>
        <v/>
      </c>
      <c r="J2291" s="54" t="str">
        <f>IFERROR(IF(INDEX(SPOT_Import!$A$1:$Z$2488,2291,'Live Data'!$C$21)="","",INDEX(SPOT_Import!$A$1:$Z$2488,2291,'Live Data'!$C$21)),"")</f>
        <v/>
      </c>
      <c r="K2291" s="54" t="str">
        <f>IFERROR(IF(INDEX(SPOT_Import!$A$1:$Z$2488,2291,'Live Data'!$C$22)="","",INDEX(SPOT_Import!$A$1:$Z$2488,2291,'Live Data'!$C$22)),"")</f>
        <v/>
      </c>
      <c r="L2291" s="55" t="str">
        <f t="shared" si="70"/>
        <v/>
      </c>
      <c r="M2291" s="55" t="str">
        <f t="shared" si="71"/>
        <v/>
      </c>
      <c r="N2291" s="55" t="str">
        <f>IF(A2291="","",IFERROR(INDEX('Cluster Map'!$A$4:$A$38,MATCH(M2291,'Cluster Map'!$B$4:$B$38,0)),"Unmapped"))</f>
        <v/>
      </c>
      <c r="O2291" s="55">
        <f>IF(A2291="",0,IF(COUNTIFS($A$2:A2291,A2291,$F$2:F2291,F2291,$L$2:L2291,L2291)=1,1,0))</f>
        <v>0</v>
      </c>
      <c r="P2291" s="55">
        <f>IF(A2291="",0,IF(AND(F2291="C&amp;T",COUNTIFS($A$2:A2291,A2291,$F$2:F2291,"C&amp;T")=1),1,0))</f>
        <v>0</v>
      </c>
    </row>
    <row r="2292" spans="1:16" x14ac:dyDescent="0.35">
      <c r="A2292" s="54" t="str">
        <f>IFERROR(IF(INDEX(SPOT_Import!$A$1:$Z$2488,2292,'Live Data'!$C$12)="","",INDEX(SPOT_Import!$A$1:$Z$2488,2292,'Live Data'!$C$12)),"")</f>
        <v/>
      </c>
      <c r="B2292" s="54" t="str">
        <f>IFERROR(IF(INDEX(SPOT_Import!$A$1:$Z$2488,2292,'Live Data'!$C$13)="","",INDEX(SPOT_Import!$A$1:$Z$2488,2292,'Live Data'!$C$13)),"")</f>
        <v/>
      </c>
      <c r="C2292" s="54" t="str">
        <f>IFERROR(IF(INDEX(SPOT_Import!$A$1:$Z$2488,2292,'Live Data'!$C$14)="","",INDEX(SPOT_Import!$A$1:$Z$2488,2292,'Live Data'!$C$14)),"")</f>
        <v/>
      </c>
      <c r="D2292" s="54" t="str">
        <f>IFERROR(IF(INDEX(SPOT_Import!$A$1:$Z$2488,2292,'Live Data'!$C$15)="","",INDEX(SPOT_Import!$A$1:$Z$2488,2292,'Live Data'!$C$15)),"")</f>
        <v/>
      </c>
      <c r="E2292" s="54" t="str">
        <f>IFERROR(IF(INDEX(SPOT_Import!$A$1:$Z$2488,2292,'Live Data'!$C$16)="","",INDEX(SPOT_Import!$A$1:$Z$2488,2292,'Live Data'!$C$16)),"")</f>
        <v/>
      </c>
      <c r="F2292" s="54" t="str">
        <f>IFERROR(IF(INDEX(SPOT_Import!$A$1:$Z$2488,2292,'Live Data'!$C$17)="","",INDEX(SPOT_Import!$A$1:$Z$2488,2292,'Live Data'!$C$17)),"")</f>
        <v/>
      </c>
      <c r="G2292" s="54" t="str">
        <f>IFERROR(IF(INDEX(SPOT_Import!$A$1:$Z$2488,2292,'Live Data'!$C$18)="","",INDEX(SPOT_Import!$A$1:$Z$2488,2292,'Live Data'!$C$18)),"")</f>
        <v/>
      </c>
      <c r="H2292" s="54" t="str">
        <f>IFERROR(IF(INDEX(SPOT_Import!$A$1:$Z$2488,2292,'Live Data'!$C$19)="","",INDEX(SPOT_Import!$A$1:$Z$2488,2292,'Live Data'!$C$19)),"")</f>
        <v/>
      </c>
      <c r="I2292" s="54" t="str">
        <f>IFERROR(IF(INDEX(SPOT_Import!$A$1:$Z$2488,2292,'Live Data'!$C$20)="","",INDEX(SPOT_Import!$A$1:$Z$2488,2292,'Live Data'!$C$20)),"")</f>
        <v/>
      </c>
      <c r="J2292" s="54" t="str">
        <f>IFERROR(IF(INDEX(SPOT_Import!$A$1:$Z$2488,2292,'Live Data'!$C$21)="","",INDEX(SPOT_Import!$A$1:$Z$2488,2292,'Live Data'!$C$21)),"")</f>
        <v/>
      </c>
      <c r="K2292" s="54" t="str">
        <f>IFERROR(IF(INDEX(SPOT_Import!$A$1:$Z$2488,2292,'Live Data'!$C$22)="","",INDEX(SPOT_Import!$A$1:$Z$2488,2292,'Live Data'!$C$22)),"")</f>
        <v/>
      </c>
      <c r="L2292" s="55" t="str">
        <f t="shared" si="70"/>
        <v/>
      </c>
      <c r="M2292" s="55" t="str">
        <f t="shared" si="71"/>
        <v/>
      </c>
      <c r="N2292" s="55" t="str">
        <f>IF(A2292="","",IFERROR(INDEX('Cluster Map'!$A$4:$A$38,MATCH(M2292,'Cluster Map'!$B$4:$B$38,0)),"Unmapped"))</f>
        <v/>
      </c>
      <c r="O2292" s="55">
        <f>IF(A2292="",0,IF(COUNTIFS($A$2:A2292,A2292,$F$2:F2292,F2292,$L$2:L2292,L2292)=1,1,0))</f>
        <v>0</v>
      </c>
      <c r="P2292" s="55">
        <f>IF(A2292="",0,IF(AND(F2292="C&amp;T",COUNTIFS($A$2:A2292,A2292,$F$2:F2292,"C&amp;T")=1),1,0))</f>
        <v>0</v>
      </c>
    </row>
    <row r="2293" spans="1:16" x14ac:dyDescent="0.35">
      <c r="A2293" s="54" t="str">
        <f>IFERROR(IF(INDEX(SPOT_Import!$A$1:$Z$2488,2293,'Live Data'!$C$12)="","",INDEX(SPOT_Import!$A$1:$Z$2488,2293,'Live Data'!$C$12)),"")</f>
        <v/>
      </c>
      <c r="B2293" s="54" t="str">
        <f>IFERROR(IF(INDEX(SPOT_Import!$A$1:$Z$2488,2293,'Live Data'!$C$13)="","",INDEX(SPOT_Import!$A$1:$Z$2488,2293,'Live Data'!$C$13)),"")</f>
        <v/>
      </c>
      <c r="C2293" s="54" t="str">
        <f>IFERROR(IF(INDEX(SPOT_Import!$A$1:$Z$2488,2293,'Live Data'!$C$14)="","",INDEX(SPOT_Import!$A$1:$Z$2488,2293,'Live Data'!$C$14)),"")</f>
        <v/>
      </c>
      <c r="D2293" s="54" t="str">
        <f>IFERROR(IF(INDEX(SPOT_Import!$A$1:$Z$2488,2293,'Live Data'!$C$15)="","",INDEX(SPOT_Import!$A$1:$Z$2488,2293,'Live Data'!$C$15)),"")</f>
        <v/>
      </c>
      <c r="E2293" s="54" t="str">
        <f>IFERROR(IF(INDEX(SPOT_Import!$A$1:$Z$2488,2293,'Live Data'!$C$16)="","",INDEX(SPOT_Import!$A$1:$Z$2488,2293,'Live Data'!$C$16)),"")</f>
        <v/>
      </c>
      <c r="F2293" s="54" t="str">
        <f>IFERROR(IF(INDEX(SPOT_Import!$A$1:$Z$2488,2293,'Live Data'!$C$17)="","",INDEX(SPOT_Import!$A$1:$Z$2488,2293,'Live Data'!$C$17)),"")</f>
        <v/>
      </c>
      <c r="G2293" s="54" t="str">
        <f>IFERROR(IF(INDEX(SPOT_Import!$A$1:$Z$2488,2293,'Live Data'!$C$18)="","",INDEX(SPOT_Import!$A$1:$Z$2488,2293,'Live Data'!$C$18)),"")</f>
        <v/>
      </c>
      <c r="H2293" s="54" t="str">
        <f>IFERROR(IF(INDEX(SPOT_Import!$A$1:$Z$2488,2293,'Live Data'!$C$19)="","",INDEX(SPOT_Import!$A$1:$Z$2488,2293,'Live Data'!$C$19)),"")</f>
        <v/>
      </c>
      <c r="I2293" s="54" t="str">
        <f>IFERROR(IF(INDEX(SPOT_Import!$A$1:$Z$2488,2293,'Live Data'!$C$20)="","",INDEX(SPOT_Import!$A$1:$Z$2488,2293,'Live Data'!$C$20)),"")</f>
        <v/>
      </c>
      <c r="J2293" s="54" t="str">
        <f>IFERROR(IF(INDEX(SPOT_Import!$A$1:$Z$2488,2293,'Live Data'!$C$21)="","",INDEX(SPOT_Import!$A$1:$Z$2488,2293,'Live Data'!$C$21)),"")</f>
        <v/>
      </c>
      <c r="K2293" s="54" t="str">
        <f>IFERROR(IF(INDEX(SPOT_Import!$A$1:$Z$2488,2293,'Live Data'!$C$22)="","",INDEX(SPOT_Import!$A$1:$Z$2488,2293,'Live Data'!$C$22)),"")</f>
        <v/>
      </c>
      <c r="L2293" s="55" t="str">
        <f t="shared" si="70"/>
        <v/>
      </c>
      <c r="M2293" s="55" t="str">
        <f t="shared" si="71"/>
        <v/>
      </c>
      <c r="N2293" s="55" t="str">
        <f>IF(A2293="","",IFERROR(INDEX('Cluster Map'!$A$4:$A$38,MATCH(M2293,'Cluster Map'!$B$4:$B$38,0)),"Unmapped"))</f>
        <v/>
      </c>
      <c r="O2293" s="55">
        <f>IF(A2293="",0,IF(COUNTIFS($A$2:A2293,A2293,$F$2:F2293,F2293,$L$2:L2293,L2293)=1,1,0))</f>
        <v>0</v>
      </c>
      <c r="P2293" s="55">
        <f>IF(A2293="",0,IF(AND(F2293="C&amp;T",COUNTIFS($A$2:A2293,A2293,$F$2:F2293,"C&amp;T")=1),1,0))</f>
        <v>0</v>
      </c>
    </row>
    <row r="2294" spans="1:16" x14ac:dyDescent="0.35">
      <c r="A2294" s="54" t="str">
        <f>IFERROR(IF(INDEX(SPOT_Import!$A$1:$Z$2488,2294,'Live Data'!$C$12)="","",INDEX(SPOT_Import!$A$1:$Z$2488,2294,'Live Data'!$C$12)),"")</f>
        <v/>
      </c>
      <c r="B2294" s="54" t="str">
        <f>IFERROR(IF(INDEX(SPOT_Import!$A$1:$Z$2488,2294,'Live Data'!$C$13)="","",INDEX(SPOT_Import!$A$1:$Z$2488,2294,'Live Data'!$C$13)),"")</f>
        <v/>
      </c>
      <c r="C2294" s="54" t="str">
        <f>IFERROR(IF(INDEX(SPOT_Import!$A$1:$Z$2488,2294,'Live Data'!$C$14)="","",INDEX(SPOT_Import!$A$1:$Z$2488,2294,'Live Data'!$C$14)),"")</f>
        <v/>
      </c>
      <c r="D2294" s="54" t="str">
        <f>IFERROR(IF(INDEX(SPOT_Import!$A$1:$Z$2488,2294,'Live Data'!$C$15)="","",INDEX(SPOT_Import!$A$1:$Z$2488,2294,'Live Data'!$C$15)),"")</f>
        <v/>
      </c>
      <c r="E2294" s="54" t="str">
        <f>IFERROR(IF(INDEX(SPOT_Import!$A$1:$Z$2488,2294,'Live Data'!$C$16)="","",INDEX(SPOT_Import!$A$1:$Z$2488,2294,'Live Data'!$C$16)),"")</f>
        <v/>
      </c>
      <c r="F2294" s="54" t="str">
        <f>IFERROR(IF(INDEX(SPOT_Import!$A$1:$Z$2488,2294,'Live Data'!$C$17)="","",INDEX(SPOT_Import!$A$1:$Z$2488,2294,'Live Data'!$C$17)),"")</f>
        <v/>
      </c>
      <c r="G2294" s="54" t="str">
        <f>IFERROR(IF(INDEX(SPOT_Import!$A$1:$Z$2488,2294,'Live Data'!$C$18)="","",INDEX(SPOT_Import!$A$1:$Z$2488,2294,'Live Data'!$C$18)),"")</f>
        <v/>
      </c>
      <c r="H2294" s="54" t="str">
        <f>IFERROR(IF(INDEX(SPOT_Import!$A$1:$Z$2488,2294,'Live Data'!$C$19)="","",INDEX(SPOT_Import!$A$1:$Z$2488,2294,'Live Data'!$C$19)),"")</f>
        <v/>
      </c>
      <c r="I2294" s="54" t="str">
        <f>IFERROR(IF(INDEX(SPOT_Import!$A$1:$Z$2488,2294,'Live Data'!$C$20)="","",INDEX(SPOT_Import!$A$1:$Z$2488,2294,'Live Data'!$C$20)),"")</f>
        <v/>
      </c>
      <c r="J2294" s="54" t="str">
        <f>IFERROR(IF(INDEX(SPOT_Import!$A$1:$Z$2488,2294,'Live Data'!$C$21)="","",INDEX(SPOT_Import!$A$1:$Z$2488,2294,'Live Data'!$C$21)),"")</f>
        <v/>
      </c>
      <c r="K2294" s="54" t="str">
        <f>IFERROR(IF(INDEX(SPOT_Import!$A$1:$Z$2488,2294,'Live Data'!$C$22)="","",INDEX(SPOT_Import!$A$1:$Z$2488,2294,'Live Data'!$C$22)),"")</f>
        <v/>
      </c>
      <c r="L2294" s="55" t="str">
        <f t="shared" si="70"/>
        <v/>
      </c>
      <c r="M2294" s="55" t="str">
        <f t="shared" si="71"/>
        <v/>
      </c>
      <c r="N2294" s="55" t="str">
        <f>IF(A2294="","",IFERROR(INDEX('Cluster Map'!$A$4:$A$38,MATCH(M2294,'Cluster Map'!$B$4:$B$38,0)),"Unmapped"))</f>
        <v/>
      </c>
      <c r="O2294" s="55">
        <f>IF(A2294="",0,IF(COUNTIFS($A$2:A2294,A2294,$F$2:F2294,F2294,$L$2:L2294,L2294)=1,1,0))</f>
        <v>0</v>
      </c>
      <c r="P2294" s="55">
        <f>IF(A2294="",0,IF(AND(F2294="C&amp;T",COUNTIFS($A$2:A2294,A2294,$F$2:F2294,"C&amp;T")=1),1,0))</f>
        <v>0</v>
      </c>
    </row>
    <row r="2295" spans="1:16" x14ac:dyDescent="0.35">
      <c r="A2295" s="54" t="str">
        <f>IFERROR(IF(INDEX(SPOT_Import!$A$1:$Z$2488,2295,'Live Data'!$C$12)="","",INDEX(SPOT_Import!$A$1:$Z$2488,2295,'Live Data'!$C$12)),"")</f>
        <v/>
      </c>
      <c r="B2295" s="54" t="str">
        <f>IFERROR(IF(INDEX(SPOT_Import!$A$1:$Z$2488,2295,'Live Data'!$C$13)="","",INDEX(SPOT_Import!$A$1:$Z$2488,2295,'Live Data'!$C$13)),"")</f>
        <v/>
      </c>
      <c r="C2295" s="54" t="str">
        <f>IFERROR(IF(INDEX(SPOT_Import!$A$1:$Z$2488,2295,'Live Data'!$C$14)="","",INDEX(SPOT_Import!$A$1:$Z$2488,2295,'Live Data'!$C$14)),"")</f>
        <v/>
      </c>
      <c r="D2295" s="54" t="str">
        <f>IFERROR(IF(INDEX(SPOT_Import!$A$1:$Z$2488,2295,'Live Data'!$C$15)="","",INDEX(SPOT_Import!$A$1:$Z$2488,2295,'Live Data'!$C$15)),"")</f>
        <v/>
      </c>
      <c r="E2295" s="54" t="str">
        <f>IFERROR(IF(INDEX(SPOT_Import!$A$1:$Z$2488,2295,'Live Data'!$C$16)="","",INDEX(SPOT_Import!$A$1:$Z$2488,2295,'Live Data'!$C$16)),"")</f>
        <v/>
      </c>
      <c r="F2295" s="54" t="str">
        <f>IFERROR(IF(INDEX(SPOT_Import!$A$1:$Z$2488,2295,'Live Data'!$C$17)="","",INDEX(SPOT_Import!$A$1:$Z$2488,2295,'Live Data'!$C$17)),"")</f>
        <v/>
      </c>
      <c r="G2295" s="54" t="str">
        <f>IFERROR(IF(INDEX(SPOT_Import!$A$1:$Z$2488,2295,'Live Data'!$C$18)="","",INDEX(SPOT_Import!$A$1:$Z$2488,2295,'Live Data'!$C$18)),"")</f>
        <v/>
      </c>
      <c r="H2295" s="54" t="str">
        <f>IFERROR(IF(INDEX(SPOT_Import!$A$1:$Z$2488,2295,'Live Data'!$C$19)="","",INDEX(SPOT_Import!$A$1:$Z$2488,2295,'Live Data'!$C$19)),"")</f>
        <v/>
      </c>
      <c r="I2295" s="54" t="str">
        <f>IFERROR(IF(INDEX(SPOT_Import!$A$1:$Z$2488,2295,'Live Data'!$C$20)="","",INDEX(SPOT_Import!$A$1:$Z$2488,2295,'Live Data'!$C$20)),"")</f>
        <v/>
      </c>
      <c r="J2295" s="54" t="str">
        <f>IFERROR(IF(INDEX(SPOT_Import!$A$1:$Z$2488,2295,'Live Data'!$C$21)="","",INDEX(SPOT_Import!$A$1:$Z$2488,2295,'Live Data'!$C$21)),"")</f>
        <v/>
      </c>
      <c r="K2295" s="54" t="str">
        <f>IFERROR(IF(INDEX(SPOT_Import!$A$1:$Z$2488,2295,'Live Data'!$C$22)="","",INDEX(SPOT_Import!$A$1:$Z$2488,2295,'Live Data'!$C$22)),"")</f>
        <v/>
      </c>
      <c r="L2295" s="55" t="str">
        <f t="shared" si="70"/>
        <v/>
      </c>
      <c r="M2295" s="55" t="str">
        <f t="shared" si="71"/>
        <v/>
      </c>
      <c r="N2295" s="55" t="str">
        <f>IF(A2295="","",IFERROR(INDEX('Cluster Map'!$A$4:$A$38,MATCH(M2295,'Cluster Map'!$B$4:$B$38,0)),"Unmapped"))</f>
        <v/>
      </c>
      <c r="O2295" s="55">
        <f>IF(A2295="",0,IF(COUNTIFS($A$2:A2295,A2295,$F$2:F2295,F2295,$L$2:L2295,L2295)=1,1,0))</f>
        <v>0</v>
      </c>
      <c r="P2295" s="55">
        <f>IF(A2295="",0,IF(AND(F2295="C&amp;T",COUNTIFS($A$2:A2295,A2295,$F$2:F2295,"C&amp;T")=1),1,0))</f>
        <v>0</v>
      </c>
    </row>
    <row r="2296" spans="1:16" x14ac:dyDescent="0.35">
      <c r="A2296" s="54" t="str">
        <f>IFERROR(IF(INDEX(SPOT_Import!$A$1:$Z$2488,2296,'Live Data'!$C$12)="","",INDEX(SPOT_Import!$A$1:$Z$2488,2296,'Live Data'!$C$12)),"")</f>
        <v/>
      </c>
      <c r="B2296" s="54" t="str">
        <f>IFERROR(IF(INDEX(SPOT_Import!$A$1:$Z$2488,2296,'Live Data'!$C$13)="","",INDEX(SPOT_Import!$A$1:$Z$2488,2296,'Live Data'!$C$13)),"")</f>
        <v/>
      </c>
      <c r="C2296" s="54" t="str">
        <f>IFERROR(IF(INDEX(SPOT_Import!$A$1:$Z$2488,2296,'Live Data'!$C$14)="","",INDEX(SPOT_Import!$A$1:$Z$2488,2296,'Live Data'!$C$14)),"")</f>
        <v/>
      </c>
      <c r="D2296" s="54" t="str">
        <f>IFERROR(IF(INDEX(SPOT_Import!$A$1:$Z$2488,2296,'Live Data'!$C$15)="","",INDEX(SPOT_Import!$A$1:$Z$2488,2296,'Live Data'!$C$15)),"")</f>
        <v/>
      </c>
      <c r="E2296" s="54" t="str">
        <f>IFERROR(IF(INDEX(SPOT_Import!$A$1:$Z$2488,2296,'Live Data'!$C$16)="","",INDEX(SPOT_Import!$A$1:$Z$2488,2296,'Live Data'!$C$16)),"")</f>
        <v/>
      </c>
      <c r="F2296" s="54" t="str">
        <f>IFERROR(IF(INDEX(SPOT_Import!$A$1:$Z$2488,2296,'Live Data'!$C$17)="","",INDEX(SPOT_Import!$A$1:$Z$2488,2296,'Live Data'!$C$17)),"")</f>
        <v/>
      </c>
      <c r="G2296" s="54" t="str">
        <f>IFERROR(IF(INDEX(SPOT_Import!$A$1:$Z$2488,2296,'Live Data'!$C$18)="","",INDEX(SPOT_Import!$A$1:$Z$2488,2296,'Live Data'!$C$18)),"")</f>
        <v/>
      </c>
      <c r="H2296" s="54" t="str">
        <f>IFERROR(IF(INDEX(SPOT_Import!$A$1:$Z$2488,2296,'Live Data'!$C$19)="","",INDEX(SPOT_Import!$A$1:$Z$2488,2296,'Live Data'!$C$19)),"")</f>
        <v/>
      </c>
      <c r="I2296" s="54" t="str">
        <f>IFERROR(IF(INDEX(SPOT_Import!$A$1:$Z$2488,2296,'Live Data'!$C$20)="","",INDEX(SPOT_Import!$A$1:$Z$2488,2296,'Live Data'!$C$20)),"")</f>
        <v/>
      </c>
      <c r="J2296" s="54" t="str">
        <f>IFERROR(IF(INDEX(SPOT_Import!$A$1:$Z$2488,2296,'Live Data'!$C$21)="","",INDEX(SPOT_Import!$A$1:$Z$2488,2296,'Live Data'!$C$21)),"")</f>
        <v/>
      </c>
      <c r="K2296" s="54" t="str">
        <f>IFERROR(IF(INDEX(SPOT_Import!$A$1:$Z$2488,2296,'Live Data'!$C$22)="","",INDEX(SPOT_Import!$A$1:$Z$2488,2296,'Live Data'!$C$22)),"")</f>
        <v/>
      </c>
      <c r="L2296" s="55" t="str">
        <f t="shared" si="70"/>
        <v/>
      </c>
      <c r="M2296" s="55" t="str">
        <f t="shared" si="71"/>
        <v/>
      </c>
      <c r="N2296" s="55" t="str">
        <f>IF(A2296="","",IFERROR(INDEX('Cluster Map'!$A$4:$A$38,MATCH(M2296,'Cluster Map'!$B$4:$B$38,0)),"Unmapped"))</f>
        <v/>
      </c>
      <c r="O2296" s="55">
        <f>IF(A2296="",0,IF(COUNTIFS($A$2:A2296,A2296,$F$2:F2296,F2296,$L$2:L2296,L2296)=1,1,0))</f>
        <v>0</v>
      </c>
      <c r="P2296" s="55">
        <f>IF(A2296="",0,IF(AND(F2296="C&amp;T",COUNTIFS($A$2:A2296,A2296,$F$2:F2296,"C&amp;T")=1),1,0))</f>
        <v>0</v>
      </c>
    </row>
    <row r="2297" spans="1:16" x14ac:dyDescent="0.35">
      <c r="A2297" s="54" t="str">
        <f>IFERROR(IF(INDEX(SPOT_Import!$A$1:$Z$2488,2297,'Live Data'!$C$12)="","",INDEX(SPOT_Import!$A$1:$Z$2488,2297,'Live Data'!$C$12)),"")</f>
        <v/>
      </c>
      <c r="B2297" s="54" t="str">
        <f>IFERROR(IF(INDEX(SPOT_Import!$A$1:$Z$2488,2297,'Live Data'!$C$13)="","",INDEX(SPOT_Import!$A$1:$Z$2488,2297,'Live Data'!$C$13)),"")</f>
        <v/>
      </c>
      <c r="C2297" s="54" t="str">
        <f>IFERROR(IF(INDEX(SPOT_Import!$A$1:$Z$2488,2297,'Live Data'!$C$14)="","",INDEX(SPOT_Import!$A$1:$Z$2488,2297,'Live Data'!$C$14)),"")</f>
        <v/>
      </c>
      <c r="D2297" s="54" t="str">
        <f>IFERROR(IF(INDEX(SPOT_Import!$A$1:$Z$2488,2297,'Live Data'!$C$15)="","",INDEX(SPOT_Import!$A$1:$Z$2488,2297,'Live Data'!$C$15)),"")</f>
        <v/>
      </c>
      <c r="E2297" s="54" t="str">
        <f>IFERROR(IF(INDEX(SPOT_Import!$A$1:$Z$2488,2297,'Live Data'!$C$16)="","",INDEX(SPOT_Import!$A$1:$Z$2488,2297,'Live Data'!$C$16)),"")</f>
        <v/>
      </c>
      <c r="F2297" s="54" t="str">
        <f>IFERROR(IF(INDEX(SPOT_Import!$A$1:$Z$2488,2297,'Live Data'!$C$17)="","",INDEX(SPOT_Import!$A$1:$Z$2488,2297,'Live Data'!$C$17)),"")</f>
        <v/>
      </c>
      <c r="G2297" s="54" t="str">
        <f>IFERROR(IF(INDEX(SPOT_Import!$A$1:$Z$2488,2297,'Live Data'!$C$18)="","",INDEX(SPOT_Import!$A$1:$Z$2488,2297,'Live Data'!$C$18)),"")</f>
        <v/>
      </c>
      <c r="H2297" s="54" t="str">
        <f>IFERROR(IF(INDEX(SPOT_Import!$A$1:$Z$2488,2297,'Live Data'!$C$19)="","",INDEX(SPOT_Import!$A$1:$Z$2488,2297,'Live Data'!$C$19)),"")</f>
        <v/>
      </c>
      <c r="I2297" s="54" t="str">
        <f>IFERROR(IF(INDEX(SPOT_Import!$A$1:$Z$2488,2297,'Live Data'!$C$20)="","",INDEX(SPOT_Import!$A$1:$Z$2488,2297,'Live Data'!$C$20)),"")</f>
        <v/>
      </c>
      <c r="J2297" s="54" t="str">
        <f>IFERROR(IF(INDEX(SPOT_Import!$A$1:$Z$2488,2297,'Live Data'!$C$21)="","",INDEX(SPOT_Import!$A$1:$Z$2488,2297,'Live Data'!$C$21)),"")</f>
        <v/>
      </c>
      <c r="K2297" s="54" t="str">
        <f>IFERROR(IF(INDEX(SPOT_Import!$A$1:$Z$2488,2297,'Live Data'!$C$22)="","",INDEX(SPOT_Import!$A$1:$Z$2488,2297,'Live Data'!$C$22)),"")</f>
        <v/>
      </c>
      <c r="L2297" s="55" t="str">
        <f t="shared" si="70"/>
        <v/>
      </c>
      <c r="M2297" s="55" t="str">
        <f t="shared" si="71"/>
        <v/>
      </c>
      <c r="N2297" s="55" t="str">
        <f>IF(A2297="","",IFERROR(INDEX('Cluster Map'!$A$4:$A$38,MATCH(M2297,'Cluster Map'!$B$4:$B$38,0)),"Unmapped"))</f>
        <v/>
      </c>
      <c r="O2297" s="55">
        <f>IF(A2297="",0,IF(COUNTIFS($A$2:A2297,A2297,$F$2:F2297,F2297,$L$2:L2297,L2297)=1,1,0))</f>
        <v>0</v>
      </c>
      <c r="P2297" s="55">
        <f>IF(A2297="",0,IF(AND(F2297="C&amp;T",COUNTIFS($A$2:A2297,A2297,$F$2:F2297,"C&amp;T")=1),1,0))</f>
        <v>0</v>
      </c>
    </row>
    <row r="2298" spans="1:16" x14ac:dyDescent="0.35">
      <c r="A2298" s="54" t="str">
        <f>IFERROR(IF(INDEX(SPOT_Import!$A$1:$Z$2488,2298,'Live Data'!$C$12)="","",INDEX(SPOT_Import!$A$1:$Z$2488,2298,'Live Data'!$C$12)),"")</f>
        <v/>
      </c>
      <c r="B2298" s="54" t="str">
        <f>IFERROR(IF(INDEX(SPOT_Import!$A$1:$Z$2488,2298,'Live Data'!$C$13)="","",INDEX(SPOT_Import!$A$1:$Z$2488,2298,'Live Data'!$C$13)),"")</f>
        <v/>
      </c>
      <c r="C2298" s="54" t="str">
        <f>IFERROR(IF(INDEX(SPOT_Import!$A$1:$Z$2488,2298,'Live Data'!$C$14)="","",INDEX(SPOT_Import!$A$1:$Z$2488,2298,'Live Data'!$C$14)),"")</f>
        <v/>
      </c>
      <c r="D2298" s="54" t="str">
        <f>IFERROR(IF(INDEX(SPOT_Import!$A$1:$Z$2488,2298,'Live Data'!$C$15)="","",INDEX(SPOT_Import!$A$1:$Z$2488,2298,'Live Data'!$C$15)),"")</f>
        <v/>
      </c>
      <c r="E2298" s="54" t="str">
        <f>IFERROR(IF(INDEX(SPOT_Import!$A$1:$Z$2488,2298,'Live Data'!$C$16)="","",INDEX(SPOT_Import!$A$1:$Z$2488,2298,'Live Data'!$C$16)),"")</f>
        <v/>
      </c>
      <c r="F2298" s="54" t="str">
        <f>IFERROR(IF(INDEX(SPOT_Import!$A$1:$Z$2488,2298,'Live Data'!$C$17)="","",INDEX(SPOT_Import!$A$1:$Z$2488,2298,'Live Data'!$C$17)),"")</f>
        <v/>
      </c>
      <c r="G2298" s="54" t="str">
        <f>IFERROR(IF(INDEX(SPOT_Import!$A$1:$Z$2488,2298,'Live Data'!$C$18)="","",INDEX(SPOT_Import!$A$1:$Z$2488,2298,'Live Data'!$C$18)),"")</f>
        <v/>
      </c>
      <c r="H2298" s="54" t="str">
        <f>IFERROR(IF(INDEX(SPOT_Import!$A$1:$Z$2488,2298,'Live Data'!$C$19)="","",INDEX(SPOT_Import!$A$1:$Z$2488,2298,'Live Data'!$C$19)),"")</f>
        <v/>
      </c>
      <c r="I2298" s="54" t="str">
        <f>IFERROR(IF(INDEX(SPOT_Import!$A$1:$Z$2488,2298,'Live Data'!$C$20)="","",INDEX(SPOT_Import!$A$1:$Z$2488,2298,'Live Data'!$C$20)),"")</f>
        <v/>
      </c>
      <c r="J2298" s="54" t="str">
        <f>IFERROR(IF(INDEX(SPOT_Import!$A$1:$Z$2488,2298,'Live Data'!$C$21)="","",INDEX(SPOT_Import!$A$1:$Z$2488,2298,'Live Data'!$C$21)),"")</f>
        <v/>
      </c>
      <c r="K2298" s="54" t="str">
        <f>IFERROR(IF(INDEX(SPOT_Import!$A$1:$Z$2488,2298,'Live Data'!$C$22)="","",INDEX(SPOT_Import!$A$1:$Z$2488,2298,'Live Data'!$C$22)),"")</f>
        <v/>
      </c>
      <c r="L2298" s="55" t="str">
        <f t="shared" si="70"/>
        <v/>
      </c>
      <c r="M2298" s="55" t="str">
        <f t="shared" si="71"/>
        <v/>
      </c>
      <c r="N2298" s="55" t="str">
        <f>IF(A2298="","",IFERROR(INDEX('Cluster Map'!$A$4:$A$38,MATCH(M2298,'Cluster Map'!$B$4:$B$38,0)),"Unmapped"))</f>
        <v/>
      </c>
      <c r="O2298" s="55">
        <f>IF(A2298="",0,IF(COUNTIFS($A$2:A2298,A2298,$F$2:F2298,F2298,$L$2:L2298,L2298)=1,1,0))</f>
        <v>0</v>
      </c>
      <c r="P2298" s="55">
        <f>IF(A2298="",0,IF(AND(F2298="C&amp;T",COUNTIFS($A$2:A2298,A2298,$F$2:F2298,"C&amp;T")=1),1,0))</f>
        <v>0</v>
      </c>
    </row>
    <row r="2299" spans="1:16" x14ac:dyDescent="0.35">
      <c r="A2299" s="54" t="str">
        <f>IFERROR(IF(INDEX(SPOT_Import!$A$1:$Z$2488,2299,'Live Data'!$C$12)="","",INDEX(SPOT_Import!$A$1:$Z$2488,2299,'Live Data'!$C$12)),"")</f>
        <v/>
      </c>
      <c r="B2299" s="54" t="str">
        <f>IFERROR(IF(INDEX(SPOT_Import!$A$1:$Z$2488,2299,'Live Data'!$C$13)="","",INDEX(SPOT_Import!$A$1:$Z$2488,2299,'Live Data'!$C$13)),"")</f>
        <v/>
      </c>
      <c r="C2299" s="54" t="str">
        <f>IFERROR(IF(INDEX(SPOT_Import!$A$1:$Z$2488,2299,'Live Data'!$C$14)="","",INDEX(SPOT_Import!$A$1:$Z$2488,2299,'Live Data'!$C$14)),"")</f>
        <v/>
      </c>
      <c r="D2299" s="54" t="str">
        <f>IFERROR(IF(INDEX(SPOT_Import!$A$1:$Z$2488,2299,'Live Data'!$C$15)="","",INDEX(SPOT_Import!$A$1:$Z$2488,2299,'Live Data'!$C$15)),"")</f>
        <v/>
      </c>
      <c r="E2299" s="54" t="str">
        <f>IFERROR(IF(INDEX(SPOT_Import!$A$1:$Z$2488,2299,'Live Data'!$C$16)="","",INDEX(SPOT_Import!$A$1:$Z$2488,2299,'Live Data'!$C$16)),"")</f>
        <v/>
      </c>
      <c r="F2299" s="54" t="str">
        <f>IFERROR(IF(INDEX(SPOT_Import!$A$1:$Z$2488,2299,'Live Data'!$C$17)="","",INDEX(SPOT_Import!$A$1:$Z$2488,2299,'Live Data'!$C$17)),"")</f>
        <v/>
      </c>
      <c r="G2299" s="54" t="str">
        <f>IFERROR(IF(INDEX(SPOT_Import!$A$1:$Z$2488,2299,'Live Data'!$C$18)="","",INDEX(SPOT_Import!$A$1:$Z$2488,2299,'Live Data'!$C$18)),"")</f>
        <v/>
      </c>
      <c r="H2299" s="54" t="str">
        <f>IFERROR(IF(INDEX(SPOT_Import!$A$1:$Z$2488,2299,'Live Data'!$C$19)="","",INDEX(SPOT_Import!$A$1:$Z$2488,2299,'Live Data'!$C$19)),"")</f>
        <v/>
      </c>
      <c r="I2299" s="54" t="str">
        <f>IFERROR(IF(INDEX(SPOT_Import!$A$1:$Z$2488,2299,'Live Data'!$C$20)="","",INDEX(SPOT_Import!$A$1:$Z$2488,2299,'Live Data'!$C$20)),"")</f>
        <v/>
      </c>
      <c r="J2299" s="54" t="str">
        <f>IFERROR(IF(INDEX(SPOT_Import!$A$1:$Z$2488,2299,'Live Data'!$C$21)="","",INDEX(SPOT_Import!$A$1:$Z$2488,2299,'Live Data'!$C$21)),"")</f>
        <v/>
      </c>
      <c r="K2299" s="54" t="str">
        <f>IFERROR(IF(INDEX(SPOT_Import!$A$1:$Z$2488,2299,'Live Data'!$C$22)="","",INDEX(SPOT_Import!$A$1:$Z$2488,2299,'Live Data'!$C$22)),"")</f>
        <v/>
      </c>
      <c r="L2299" s="55" t="str">
        <f t="shared" si="70"/>
        <v/>
      </c>
      <c r="M2299" s="55" t="str">
        <f t="shared" si="71"/>
        <v/>
      </c>
      <c r="N2299" s="55" t="str">
        <f>IF(A2299="","",IFERROR(INDEX('Cluster Map'!$A$4:$A$38,MATCH(M2299,'Cluster Map'!$B$4:$B$38,0)),"Unmapped"))</f>
        <v/>
      </c>
      <c r="O2299" s="55">
        <f>IF(A2299="",0,IF(COUNTIFS($A$2:A2299,A2299,$F$2:F2299,F2299,$L$2:L2299,L2299)=1,1,0))</f>
        <v>0</v>
      </c>
      <c r="P2299" s="55">
        <f>IF(A2299="",0,IF(AND(F2299="C&amp;T",COUNTIFS($A$2:A2299,A2299,$F$2:F2299,"C&amp;T")=1),1,0))</f>
        <v>0</v>
      </c>
    </row>
    <row r="2300" spans="1:16" x14ac:dyDescent="0.35">
      <c r="A2300" s="54" t="str">
        <f>IFERROR(IF(INDEX(SPOT_Import!$A$1:$Z$2488,2300,'Live Data'!$C$12)="","",INDEX(SPOT_Import!$A$1:$Z$2488,2300,'Live Data'!$C$12)),"")</f>
        <v/>
      </c>
      <c r="B2300" s="54" t="str">
        <f>IFERROR(IF(INDEX(SPOT_Import!$A$1:$Z$2488,2300,'Live Data'!$C$13)="","",INDEX(SPOT_Import!$A$1:$Z$2488,2300,'Live Data'!$C$13)),"")</f>
        <v/>
      </c>
      <c r="C2300" s="54" t="str">
        <f>IFERROR(IF(INDEX(SPOT_Import!$A$1:$Z$2488,2300,'Live Data'!$C$14)="","",INDEX(SPOT_Import!$A$1:$Z$2488,2300,'Live Data'!$C$14)),"")</f>
        <v/>
      </c>
      <c r="D2300" s="54" t="str">
        <f>IFERROR(IF(INDEX(SPOT_Import!$A$1:$Z$2488,2300,'Live Data'!$C$15)="","",INDEX(SPOT_Import!$A$1:$Z$2488,2300,'Live Data'!$C$15)),"")</f>
        <v/>
      </c>
      <c r="E2300" s="54" t="str">
        <f>IFERROR(IF(INDEX(SPOT_Import!$A$1:$Z$2488,2300,'Live Data'!$C$16)="","",INDEX(SPOT_Import!$A$1:$Z$2488,2300,'Live Data'!$C$16)),"")</f>
        <v/>
      </c>
      <c r="F2300" s="54" t="str">
        <f>IFERROR(IF(INDEX(SPOT_Import!$A$1:$Z$2488,2300,'Live Data'!$C$17)="","",INDEX(SPOT_Import!$A$1:$Z$2488,2300,'Live Data'!$C$17)),"")</f>
        <v/>
      </c>
      <c r="G2300" s="54" t="str">
        <f>IFERROR(IF(INDEX(SPOT_Import!$A$1:$Z$2488,2300,'Live Data'!$C$18)="","",INDEX(SPOT_Import!$A$1:$Z$2488,2300,'Live Data'!$C$18)),"")</f>
        <v/>
      </c>
      <c r="H2300" s="54" t="str">
        <f>IFERROR(IF(INDEX(SPOT_Import!$A$1:$Z$2488,2300,'Live Data'!$C$19)="","",INDEX(SPOT_Import!$A$1:$Z$2488,2300,'Live Data'!$C$19)),"")</f>
        <v/>
      </c>
      <c r="I2300" s="54" t="str">
        <f>IFERROR(IF(INDEX(SPOT_Import!$A$1:$Z$2488,2300,'Live Data'!$C$20)="","",INDEX(SPOT_Import!$A$1:$Z$2488,2300,'Live Data'!$C$20)),"")</f>
        <v/>
      </c>
      <c r="J2300" s="54" t="str">
        <f>IFERROR(IF(INDEX(SPOT_Import!$A$1:$Z$2488,2300,'Live Data'!$C$21)="","",INDEX(SPOT_Import!$A$1:$Z$2488,2300,'Live Data'!$C$21)),"")</f>
        <v/>
      </c>
      <c r="K2300" s="54" t="str">
        <f>IFERROR(IF(INDEX(SPOT_Import!$A$1:$Z$2488,2300,'Live Data'!$C$22)="","",INDEX(SPOT_Import!$A$1:$Z$2488,2300,'Live Data'!$C$22)),"")</f>
        <v/>
      </c>
      <c r="L2300" s="55" t="str">
        <f t="shared" si="70"/>
        <v/>
      </c>
      <c r="M2300" s="55" t="str">
        <f t="shared" si="71"/>
        <v/>
      </c>
      <c r="N2300" s="55" t="str">
        <f>IF(A2300="","",IFERROR(INDEX('Cluster Map'!$A$4:$A$38,MATCH(M2300,'Cluster Map'!$B$4:$B$38,0)),"Unmapped"))</f>
        <v/>
      </c>
      <c r="O2300" s="55">
        <f>IF(A2300="",0,IF(COUNTIFS($A$2:A2300,A2300,$F$2:F2300,F2300,$L$2:L2300,L2300)=1,1,0))</f>
        <v>0</v>
      </c>
      <c r="P2300" s="55">
        <f>IF(A2300="",0,IF(AND(F2300="C&amp;T",COUNTIFS($A$2:A2300,A2300,$F$2:F2300,"C&amp;T")=1),1,0))</f>
        <v>0</v>
      </c>
    </row>
    <row r="2301" spans="1:16" x14ac:dyDescent="0.35">
      <c r="A2301" s="54" t="str">
        <f>IFERROR(IF(INDEX(SPOT_Import!$A$1:$Z$2488,2301,'Live Data'!$C$12)="","",INDEX(SPOT_Import!$A$1:$Z$2488,2301,'Live Data'!$C$12)),"")</f>
        <v/>
      </c>
      <c r="B2301" s="54" t="str">
        <f>IFERROR(IF(INDEX(SPOT_Import!$A$1:$Z$2488,2301,'Live Data'!$C$13)="","",INDEX(SPOT_Import!$A$1:$Z$2488,2301,'Live Data'!$C$13)),"")</f>
        <v/>
      </c>
      <c r="C2301" s="54" t="str">
        <f>IFERROR(IF(INDEX(SPOT_Import!$A$1:$Z$2488,2301,'Live Data'!$C$14)="","",INDEX(SPOT_Import!$A$1:$Z$2488,2301,'Live Data'!$C$14)),"")</f>
        <v/>
      </c>
      <c r="D2301" s="54" t="str">
        <f>IFERROR(IF(INDEX(SPOT_Import!$A$1:$Z$2488,2301,'Live Data'!$C$15)="","",INDEX(SPOT_Import!$A$1:$Z$2488,2301,'Live Data'!$C$15)),"")</f>
        <v/>
      </c>
      <c r="E2301" s="54" t="str">
        <f>IFERROR(IF(INDEX(SPOT_Import!$A$1:$Z$2488,2301,'Live Data'!$C$16)="","",INDEX(SPOT_Import!$A$1:$Z$2488,2301,'Live Data'!$C$16)),"")</f>
        <v/>
      </c>
      <c r="F2301" s="54" t="str">
        <f>IFERROR(IF(INDEX(SPOT_Import!$A$1:$Z$2488,2301,'Live Data'!$C$17)="","",INDEX(SPOT_Import!$A$1:$Z$2488,2301,'Live Data'!$C$17)),"")</f>
        <v/>
      </c>
      <c r="G2301" s="54" t="str">
        <f>IFERROR(IF(INDEX(SPOT_Import!$A$1:$Z$2488,2301,'Live Data'!$C$18)="","",INDEX(SPOT_Import!$A$1:$Z$2488,2301,'Live Data'!$C$18)),"")</f>
        <v/>
      </c>
      <c r="H2301" s="54" t="str">
        <f>IFERROR(IF(INDEX(SPOT_Import!$A$1:$Z$2488,2301,'Live Data'!$C$19)="","",INDEX(SPOT_Import!$A$1:$Z$2488,2301,'Live Data'!$C$19)),"")</f>
        <v/>
      </c>
      <c r="I2301" s="54" t="str">
        <f>IFERROR(IF(INDEX(SPOT_Import!$A$1:$Z$2488,2301,'Live Data'!$C$20)="","",INDEX(SPOT_Import!$A$1:$Z$2488,2301,'Live Data'!$C$20)),"")</f>
        <v/>
      </c>
      <c r="J2301" s="54" t="str">
        <f>IFERROR(IF(INDEX(SPOT_Import!$A$1:$Z$2488,2301,'Live Data'!$C$21)="","",INDEX(SPOT_Import!$A$1:$Z$2488,2301,'Live Data'!$C$21)),"")</f>
        <v/>
      </c>
      <c r="K2301" s="54" t="str">
        <f>IFERROR(IF(INDEX(SPOT_Import!$A$1:$Z$2488,2301,'Live Data'!$C$22)="","",INDEX(SPOT_Import!$A$1:$Z$2488,2301,'Live Data'!$C$22)),"")</f>
        <v/>
      </c>
      <c r="L2301" s="55" t="str">
        <f t="shared" si="70"/>
        <v/>
      </c>
      <c r="M2301" s="55" t="str">
        <f t="shared" si="71"/>
        <v/>
      </c>
      <c r="N2301" s="55" t="str">
        <f>IF(A2301="","",IFERROR(INDEX('Cluster Map'!$A$4:$A$38,MATCH(M2301,'Cluster Map'!$B$4:$B$38,0)),"Unmapped"))</f>
        <v/>
      </c>
      <c r="O2301" s="55">
        <f>IF(A2301="",0,IF(COUNTIFS($A$2:A2301,A2301,$F$2:F2301,F2301,$L$2:L2301,L2301)=1,1,0))</f>
        <v>0</v>
      </c>
      <c r="P2301" s="55">
        <f>IF(A2301="",0,IF(AND(F2301="C&amp;T",COUNTIFS($A$2:A2301,A2301,$F$2:F2301,"C&amp;T")=1),1,0))</f>
        <v>0</v>
      </c>
    </row>
    <row r="2302" spans="1:16" x14ac:dyDescent="0.35">
      <c r="A2302" s="54" t="str">
        <f>IFERROR(IF(INDEX(SPOT_Import!$A$1:$Z$2488,2302,'Live Data'!$C$12)="","",INDEX(SPOT_Import!$A$1:$Z$2488,2302,'Live Data'!$C$12)),"")</f>
        <v/>
      </c>
      <c r="B2302" s="54" t="str">
        <f>IFERROR(IF(INDEX(SPOT_Import!$A$1:$Z$2488,2302,'Live Data'!$C$13)="","",INDEX(SPOT_Import!$A$1:$Z$2488,2302,'Live Data'!$C$13)),"")</f>
        <v/>
      </c>
      <c r="C2302" s="54" t="str">
        <f>IFERROR(IF(INDEX(SPOT_Import!$A$1:$Z$2488,2302,'Live Data'!$C$14)="","",INDEX(SPOT_Import!$A$1:$Z$2488,2302,'Live Data'!$C$14)),"")</f>
        <v/>
      </c>
      <c r="D2302" s="54" t="str">
        <f>IFERROR(IF(INDEX(SPOT_Import!$A$1:$Z$2488,2302,'Live Data'!$C$15)="","",INDEX(SPOT_Import!$A$1:$Z$2488,2302,'Live Data'!$C$15)),"")</f>
        <v/>
      </c>
      <c r="E2302" s="54" t="str">
        <f>IFERROR(IF(INDEX(SPOT_Import!$A$1:$Z$2488,2302,'Live Data'!$C$16)="","",INDEX(SPOT_Import!$A$1:$Z$2488,2302,'Live Data'!$C$16)),"")</f>
        <v/>
      </c>
      <c r="F2302" s="54" t="str">
        <f>IFERROR(IF(INDEX(SPOT_Import!$A$1:$Z$2488,2302,'Live Data'!$C$17)="","",INDEX(SPOT_Import!$A$1:$Z$2488,2302,'Live Data'!$C$17)),"")</f>
        <v/>
      </c>
      <c r="G2302" s="54" t="str">
        <f>IFERROR(IF(INDEX(SPOT_Import!$A$1:$Z$2488,2302,'Live Data'!$C$18)="","",INDEX(SPOT_Import!$A$1:$Z$2488,2302,'Live Data'!$C$18)),"")</f>
        <v/>
      </c>
      <c r="H2302" s="54" t="str">
        <f>IFERROR(IF(INDEX(SPOT_Import!$A$1:$Z$2488,2302,'Live Data'!$C$19)="","",INDEX(SPOT_Import!$A$1:$Z$2488,2302,'Live Data'!$C$19)),"")</f>
        <v/>
      </c>
      <c r="I2302" s="54" t="str">
        <f>IFERROR(IF(INDEX(SPOT_Import!$A$1:$Z$2488,2302,'Live Data'!$C$20)="","",INDEX(SPOT_Import!$A$1:$Z$2488,2302,'Live Data'!$C$20)),"")</f>
        <v/>
      </c>
      <c r="J2302" s="54" t="str">
        <f>IFERROR(IF(INDEX(SPOT_Import!$A$1:$Z$2488,2302,'Live Data'!$C$21)="","",INDEX(SPOT_Import!$A$1:$Z$2488,2302,'Live Data'!$C$21)),"")</f>
        <v/>
      </c>
      <c r="K2302" s="54" t="str">
        <f>IFERROR(IF(INDEX(SPOT_Import!$A$1:$Z$2488,2302,'Live Data'!$C$22)="","",INDEX(SPOT_Import!$A$1:$Z$2488,2302,'Live Data'!$C$22)),"")</f>
        <v/>
      </c>
      <c r="L2302" s="55" t="str">
        <f t="shared" si="70"/>
        <v/>
      </c>
      <c r="M2302" s="55" t="str">
        <f t="shared" si="71"/>
        <v/>
      </c>
      <c r="N2302" s="55" t="str">
        <f>IF(A2302="","",IFERROR(INDEX('Cluster Map'!$A$4:$A$38,MATCH(M2302,'Cluster Map'!$B$4:$B$38,0)),"Unmapped"))</f>
        <v/>
      </c>
      <c r="O2302" s="55">
        <f>IF(A2302="",0,IF(COUNTIFS($A$2:A2302,A2302,$F$2:F2302,F2302,$L$2:L2302,L2302)=1,1,0))</f>
        <v>0</v>
      </c>
      <c r="P2302" s="55">
        <f>IF(A2302="",0,IF(AND(F2302="C&amp;T",COUNTIFS($A$2:A2302,A2302,$F$2:F2302,"C&amp;T")=1),1,0))</f>
        <v>0</v>
      </c>
    </row>
    <row r="2303" spans="1:16" x14ac:dyDescent="0.35">
      <c r="A2303" s="54" t="str">
        <f>IFERROR(IF(INDEX(SPOT_Import!$A$1:$Z$2488,2303,'Live Data'!$C$12)="","",INDEX(SPOT_Import!$A$1:$Z$2488,2303,'Live Data'!$C$12)),"")</f>
        <v/>
      </c>
      <c r="B2303" s="54" t="str">
        <f>IFERROR(IF(INDEX(SPOT_Import!$A$1:$Z$2488,2303,'Live Data'!$C$13)="","",INDEX(SPOT_Import!$A$1:$Z$2488,2303,'Live Data'!$C$13)),"")</f>
        <v/>
      </c>
      <c r="C2303" s="54" t="str">
        <f>IFERROR(IF(INDEX(SPOT_Import!$A$1:$Z$2488,2303,'Live Data'!$C$14)="","",INDEX(SPOT_Import!$A$1:$Z$2488,2303,'Live Data'!$C$14)),"")</f>
        <v/>
      </c>
      <c r="D2303" s="54" t="str">
        <f>IFERROR(IF(INDEX(SPOT_Import!$A$1:$Z$2488,2303,'Live Data'!$C$15)="","",INDEX(SPOT_Import!$A$1:$Z$2488,2303,'Live Data'!$C$15)),"")</f>
        <v/>
      </c>
      <c r="E2303" s="54" t="str">
        <f>IFERROR(IF(INDEX(SPOT_Import!$A$1:$Z$2488,2303,'Live Data'!$C$16)="","",INDEX(SPOT_Import!$A$1:$Z$2488,2303,'Live Data'!$C$16)),"")</f>
        <v/>
      </c>
      <c r="F2303" s="54" t="str">
        <f>IFERROR(IF(INDEX(SPOT_Import!$A$1:$Z$2488,2303,'Live Data'!$C$17)="","",INDEX(SPOT_Import!$A$1:$Z$2488,2303,'Live Data'!$C$17)),"")</f>
        <v/>
      </c>
      <c r="G2303" s="54" t="str">
        <f>IFERROR(IF(INDEX(SPOT_Import!$A$1:$Z$2488,2303,'Live Data'!$C$18)="","",INDEX(SPOT_Import!$A$1:$Z$2488,2303,'Live Data'!$C$18)),"")</f>
        <v/>
      </c>
      <c r="H2303" s="54" t="str">
        <f>IFERROR(IF(INDEX(SPOT_Import!$A$1:$Z$2488,2303,'Live Data'!$C$19)="","",INDEX(SPOT_Import!$A$1:$Z$2488,2303,'Live Data'!$C$19)),"")</f>
        <v/>
      </c>
      <c r="I2303" s="54" t="str">
        <f>IFERROR(IF(INDEX(SPOT_Import!$A$1:$Z$2488,2303,'Live Data'!$C$20)="","",INDEX(SPOT_Import!$A$1:$Z$2488,2303,'Live Data'!$C$20)),"")</f>
        <v/>
      </c>
      <c r="J2303" s="54" t="str">
        <f>IFERROR(IF(INDEX(SPOT_Import!$A$1:$Z$2488,2303,'Live Data'!$C$21)="","",INDEX(SPOT_Import!$A$1:$Z$2488,2303,'Live Data'!$C$21)),"")</f>
        <v/>
      </c>
      <c r="K2303" s="54" t="str">
        <f>IFERROR(IF(INDEX(SPOT_Import!$A$1:$Z$2488,2303,'Live Data'!$C$22)="","",INDEX(SPOT_Import!$A$1:$Z$2488,2303,'Live Data'!$C$22)),"")</f>
        <v/>
      </c>
      <c r="L2303" s="55" t="str">
        <f t="shared" si="70"/>
        <v/>
      </c>
      <c r="M2303" s="55" t="str">
        <f t="shared" si="71"/>
        <v/>
      </c>
      <c r="N2303" s="55" t="str">
        <f>IF(A2303="","",IFERROR(INDEX('Cluster Map'!$A$4:$A$38,MATCH(M2303,'Cluster Map'!$B$4:$B$38,0)),"Unmapped"))</f>
        <v/>
      </c>
      <c r="O2303" s="55">
        <f>IF(A2303="",0,IF(COUNTIFS($A$2:A2303,A2303,$F$2:F2303,F2303,$L$2:L2303,L2303)=1,1,0))</f>
        <v>0</v>
      </c>
      <c r="P2303" s="55">
        <f>IF(A2303="",0,IF(AND(F2303="C&amp;T",COUNTIFS($A$2:A2303,A2303,$F$2:F2303,"C&amp;T")=1),1,0))</f>
        <v>0</v>
      </c>
    </row>
    <row r="2304" spans="1:16" x14ac:dyDescent="0.35">
      <c r="A2304" s="54" t="str">
        <f>IFERROR(IF(INDEX(SPOT_Import!$A$1:$Z$2488,2304,'Live Data'!$C$12)="","",INDEX(SPOT_Import!$A$1:$Z$2488,2304,'Live Data'!$C$12)),"")</f>
        <v/>
      </c>
      <c r="B2304" s="54" t="str">
        <f>IFERROR(IF(INDEX(SPOT_Import!$A$1:$Z$2488,2304,'Live Data'!$C$13)="","",INDEX(SPOT_Import!$A$1:$Z$2488,2304,'Live Data'!$C$13)),"")</f>
        <v/>
      </c>
      <c r="C2304" s="54" t="str">
        <f>IFERROR(IF(INDEX(SPOT_Import!$A$1:$Z$2488,2304,'Live Data'!$C$14)="","",INDEX(SPOT_Import!$A$1:$Z$2488,2304,'Live Data'!$C$14)),"")</f>
        <v/>
      </c>
      <c r="D2304" s="54" t="str">
        <f>IFERROR(IF(INDEX(SPOT_Import!$A$1:$Z$2488,2304,'Live Data'!$C$15)="","",INDEX(SPOT_Import!$A$1:$Z$2488,2304,'Live Data'!$C$15)),"")</f>
        <v/>
      </c>
      <c r="E2304" s="54" t="str">
        <f>IFERROR(IF(INDEX(SPOT_Import!$A$1:$Z$2488,2304,'Live Data'!$C$16)="","",INDEX(SPOT_Import!$A$1:$Z$2488,2304,'Live Data'!$C$16)),"")</f>
        <v/>
      </c>
      <c r="F2304" s="54" t="str">
        <f>IFERROR(IF(INDEX(SPOT_Import!$A$1:$Z$2488,2304,'Live Data'!$C$17)="","",INDEX(SPOT_Import!$A$1:$Z$2488,2304,'Live Data'!$C$17)),"")</f>
        <v/>
      </c>
      <c r="G2304" s="54" t="str">
        <f>IFERROR(IF(INDEX(SPOT_Import!$A$1:$Z$2488,2304,'Live Data'!$C$18)="","",INDEX(SPOT_Import!$A$1:$Z$2488,2304,'Live Data'!$C$18)),"")</f>
        <v/>
      </c>
      <c r="H2304" s="54" t="str">
        <f>IFERROR(IF(INDEX(SPOT_Import!$A$1:$Z$2488,2304,'Live Data'!$C$19)="","",INDEX(SPOT_Import!$A$1:$Z$2488,2304,'Live Data'!$C$19)),"")</f>
        <v/>
      </c>
      <c r="I2304" s="54" t="str">
        <f>IFERROR(IF(INDEX(SPOT_Import!$A$1:$Z$2488,2304,'Live Data'!$C$20)="","",INDEX(SPOT_Import!$A$1:$Z$2488,2304,'Live Data'!$C$20)),"")</f>
        <v/>
      </c>
      <c r="J2304" s="54" t="str">
        <f>IFERROR(IF(INDEX(SPOT_Import!$A$1:$Z$2488,2304,'Live Data'!$C$21)="","",INDEX(SPOT_Import!$A$1:$Z$2488,2304,'Live Data'!$C$21)),"")</f>
        <v/>
      </c>
      <c r="K2304" s="54" t="str">
        <f>IFERROR(IF(INDEX(SPOT_Import!$A$1:$Z$2488,2304,'Live Data'!$C$22)="","",INDEX(SPOT_Import!$A$1:$Z$2488,2304,'Live Data'!$C$22)),"")</f>
        <v/>
      </c>
      <c r="L2304" s="55" t="str">
        <f t="shared" si="70"/>
        <v/>
      </c>
      <c r="M2304" s="55" t="str">
        <f t="shared" si="71"/>
        <v/>
      </c>
      <c r="N2304" s="55" t="str">
        <f>IF(A2304="","",IFERROR(INDEX('Cluster Map'!$A$4:$A$38,MATCH(M2304,'Cluster Map'!$B$4:$B$38,0)),"Unmapped"))</f>
        <v/>
      </c>
      <c r="O2304" s="55">
        <f>IF(A2304="",0,IF(COUNTIFS($A$2:A2304,A2304,$F$2:F2304,F2304,$L$2:L2304,L2304)=1,1,0))</f>
        <v>0</v>
      </c>
      <c r="P2304" s="55">
        <f>IF(A2304="",0,IF(AND(F2304="C&amp;T",COUNTIFS($A$2:A2304,A2304,$F$2:F2304,"C&amp;T")=1),1,0))</f>
        <v>0</v>
      </c>
    </row>
    <row r="2305" spans="1:16" x14ac:dyDescent="0.35">
      <c r="A2305" s="54" t="str">
        <f>IFERROR(IF(INDEX(SPOT_Import!$A$1:$Z$2488,2305,'Live Data'!$C$12)="","",INDEX(SPOT_Import!$A$1:$Z$2488,2305,'Live Data'!$C$12)),"")</f>
        <v/>
      </c>
      <c r="B2305" s="54" t="str">
        <f>IFERROR(IF(INDEX(SPOT_Import!$A$1:$Z$2488,2305,'Live Data'!$C$13)="","",INDEX(SPOT_Import!$A$1:$Z$2488,2305,'Live Data'!$C$13)),"")</f>
        <v/>
      </c>
      <c r="C2305" s="54" t="str">
        <f>IFERROR(IF(INDEX(SPOT_Import!$A$1:$Z$2488,2305,'Live Data'!$C$14)="","",INDEX(SPOT_Import!$A$1:$Z$2488,2305,'Live Data'!$C$14)),"")</f>
        <v/>
      </c>
      <c r="D2305" s="54" t="str">
        <f>IFERROR(IF(INDEX(SPOT_Import!$A$1:$Z$2488,2305,'Live Data'!$C$15)="","",INDEX(SPOT_Import!$A$1:$Z$2488,2305,'Live Data'!$C$15)),"")</f>
        <v/>
      </c>
      <c r="E2305" s="54" t="str">
        <f>IFERROR(IF(INDEX(SPOT_Import!$A$1:$Z$2488,2305,'Live Data'!$C$16)="","",INDEX(SPOT_Import!$A$1:$Z$2488,2305,'Live Data'!$C$16)),"")</f>
        <v/>
      </c>
      <c r="F2305" s="54" t="str">
        <f>IFERROR(IF(INDEX(SPOT_Import!$A$1:$Z$2488,2305,'Live Data'!$C$17)="","",INDEX(SPOT_Import!$A$1:$Z$2488,2305,'Live Data'!$C$17)),"")</f>
        <v/>
      </c>
      <c r="G2305" s="54" t="str">
        <f>IFERROR(IF(INDEX(SPOT_Import!$A$1:$Z$2488,2305,'Live Data'!$C$18)="","",INDEX(SPOT_Import!$A$1:$Z$2488,2305,'Live Data'!$C$18)),"")</f>
        <v/>
      </c>
      <c r="H2305" s="54" t="str">
        <f>IFERROR(IF(INDEX(SPOT_Import!$A$1:$Z$2488,2305,'Live Data'!$C$19)="","",INDEX(SPOT_Import!$A$1:$Z$2488,2305,'Live Data'!$C$19)),"")</f>
        <v/>
      </c>
      <c r="I2305" s="54" t="str">
        <f>IFERROR(IF(INDEX(SPOT_Import!$A$1:$Z$2488,2305,'Live Data'!$C$20)="","",INDEX(SPOT_Import!$A$1:$Z$2488,2305,'Live Data'!$C$20)),"")</f>
        <v/>
      </c>
      <c r="J2305" s="54" t="str">
        <f>IFERROR(IF(INDEX(SPOT_Import!$A$1:$Z$2488,2305,'Live Data'!$C$21)="","",INDEX(SPOT_Import!$A$1:$Z$2488,2305,'Live Data'!$C$21)),"")</f>
        <v/>
      </c>
      <c r="K2305" s="54" t="str">
        <f>IFERROR(IF(INDEX(SPOT_Import!$A$1:$Z$2488,2305,'Live Data'!$C$22)="","",INDEX(SPOT_Import!$A$1:$Z$2488,2305,'Live Data'!$C$22)),"")</f>
        <v/>
      </c>
      <c r="L2305" s="55" t="str">
        <f t="shared" si="70"/>
        <v/>
      </c>
      <c r="M2305" s="55" t="str">
        <f t="shared" si="71"/>
        <v/>
      </c>
      <c r="N2305" s="55" t="str">
        <f>IF(A2305="","",IFERROR(INDEX('Cluster Map'!$A$4:$A$38,MATCH(M2305,'Cluster Map'!$B$4:$B$38,0)),"Unmapped"))</f>
        <v/>
      </c>
      <c r="O2305" s="55">
        <f>IF(A2305="",0,IF(COUNTIFS($A$2:A2305,A2305,$F$2:F2305,F2305,$L$2:L2305,L2305)=1,1,0))</f>
        <v>0</v>
      </c>
      <c r="P2305" s="55">
        <f>IF(A2305="",0,IF(AND(F2305="C&amp;T",COUNTIFS($A$2:A2305,A2305,$F$2:F2305,"C&amp;T")=1),1,0))</f>
        <v>0</v>
      </c>
    </row>
    <row r="2306" spans="1:16" x14ac:dyDescent="0.35">
      <c r="A2306" s="54" t="str">
        <f>IFERROR(IF(INDEX(SPOT_Import!$A$1:$Z$2488,2306,'Live Data'!$C$12)="","",INDEX(SPOT_Import!$A$1:$Z$2488,2306,'Live Data'!$C$12)),"")</f>
        <v/>
      </c>
      <c r="B2306" s="54" t="str">
        <f>IFERROR(IF(INDEX(SPOT_Import!$A$1:$Z$2488,2306,'Live Data'!$C$13)="","",INDEX(SPOT_Import!$A$1:$Z$2488,2306,'Live Data'!$C$13)),"")</f>
        <v/>
      </c>
      <c r="C2306" s="54" t="str">
        <f>IFERROR(IF(INDEX(SPOT_Import!$A$1:$Z$2488,2306,'Live Data'!$C$14)="","",INDEX(SPOT_Import!$A$1:$Z$2488,2306,'Live Data'!$C$14)),"")</f>
        <v/>
      </c>
      <c r="D2306" s="54" t="str">
        <f>IFERROR(IF(INDEX(SPOT_Import!$A$1:$Z$2488,2306,'Live Data'!$C$15)="","",INDEX(SPOT_Import!$A$1:$Z$2488,2306,'Live Data'!$C$15)),"")</f>
        <v/>
      </c>
      <c r="E2306" s="54" t="str">
        <f>IFERROR(IF(INDEX(SPOT_Import!$A$1:$Z$2488,2306,'Live Data'!$C$16)="","",INDEX(SPOT_Import!$A$1:$Z$2488,2306,'Live Data'!$C$16)),"")</f>
        <v/>
      </c>
      <c r="F2306" s="54" t="str">
        <f>IFERROR(IF(INDEX(SPOT_Import!$A$1:$Z$2488,2306,'Live Data'!$C$17)="","",INDEX(SPOT_Import!$A$1:$Z$2488,2306,'Live Data'!$C$17)),"")</f>
        <v/>
      </c>
      <c r="G2306" s="54" t="str">
        <f>IFERROR(IF(INDEX(SPOT_Import!$A$1:$Z$2488,2306,'Live Data'!$C$18)="","",INDEX(SPOT_Import!$A$1:$Z$2488,2306,'Live Data'!$C$18)),"")</f>
        <v/>
      </c>
      <c r="H2306" s="54" t="str">
        <f>IFERROR(IF(INDEX(SPOT_Import!$A$1:$Z$2488,2306,'Live Data'!$C$19)="","",INDEX(SPOT_Import!$A$1:$Z$2488,2306,'Live Data'!$C$19)),"")</f>
        <v/>
      </c>
      <c r="I2306" s="54" t="str">
        <f>IFERROR(IF(INDEX(SPOT_Import!$A$1:$Z$2488,2306,'Live Data'!$C$20)="","",INDEX(SPOT_Import!$A$1:$Z$2488,2306,'Live Data'!$C$20)),"")</f>
        <v/>
      </c>
      <c r="J2306" s="54" t="str">
        <f>IFERROR(IF(INDEX(SPOT_Import!$A$1:$Z$2488,2306,'Live Data'!$C$21)="","",INDEX(SPOT_Import!$A$1:$Z$2488,2306,'Live Data'!$C$21)),"")</f>
        <v/>
      </c>
      <c r="K2306" s="54" t="str">
        <f>IFERROR(IF(INDEX(SPOT_Import!$A$1:$Z$2488,2306,'Live Data'!$C$22)="","",INDEX(SPOT_Import!$A$1:$Z$2488,2306,'Live Data'!$C$22)),"")</f>
        <v/>
      </c>
      <c r="L2306" s="55" t="str">
        <f t="shared" ref="L2306:L2369" si="72">IF(A2306="","",IF(ISNUMBER(K2306),TEXT(K2306,"yyyy-mm"),LEFT(K2306,7)))</f>
        <v/>
      </c>
      <c r="M2306" s="55" t="str">
        <f t="shared" ref="M2306:M2369" si="73">IF(A2306="","",UPPER(TRIM(SUBSTITUTE(C2306," - ","-"))))</f>
        <v/>
      </c>
      <c r="N2306" s="55" t="str">
        <f>IF(A2306="","",IFERROR(INDEX('Cluster Map'!$A$4:$A$38,MATCH(M2306,'Cluster Map'!$B$4:$B$38,0)),"Unmapped"))</f>
        <v/>
      </c>
      <c r="O2306" s="55">
        <f>IF(A2306="",0,IF(COUNTIFS($A$2:A2306,A2306,$F$2:F2306,F2306,$L$2:L2306,L2306)=1,1,0))</f>
        <v>0</v>
      </c>
      <c r="P2306" s="55">
        <f>IF(A2306="",0,IF(AND(F2306="C&amp;T",COUNTIFS($A$2:A2306,A2306,$F$2:F2306,"C&amp;T")=1),1,0))</f>
        <v>0</v>
      </c>
    </row>
    <row r="2307" spans="1:16" x14ac:dyDescent="0.35">
      <c r="A2307" s="54" t="str">
        <f>IFERROR(IF(INDEX(SPOT_Import!$A$1:$Z$2488,2307,'Live Data'!$C$12)="","",INDEX(SPOT_Import!$A$1:$Z$2488,2307,'Live Data'!$C$12)),"")</f>
        <v/>
      </c>
      <c r="B2307" s="54" t="str">
        <f>IFERROR(IF(INDEX(SPOT_Import!$A$1:$Z$2488,2307,'Live Data'!$C$13)="","",INDEX(SPOT_Import!$A$1:$Z$2488,2307,'Live Data'!$C$13)),"")</f>
        <v/>
      </c>
      <c r="C2307" s="54" t="str">
        <f>IFERROR(IF(INDEX(SPOT_Import!$A$1:$Z$2488,2307,'Live Data'!$C$14)="","",INDEX(SPOT_Import!$A$1:$Z$2488,2307,'Live Data'!$C$14)),"")</f>
        <v/>
      </c>
      <c r="D2307" s="54" t="str">
        <f>IFERROR(IF(INDEX(SPOT_Import!$A$1:$Z$2488,2307,'Live Data'!$C$15)="","",INDEX(SPOT_Import!$A$1:$Z$2488,2307,'Live Data'!$C$15)),"")</f>
        <v/>
      </c>
      <c r="E2307" s="54" t="str">
        <f>IFERROR(IF(INDEX(SPOT_Import!$A$1:$Z$2488,2307,'Live Data'!$C$16)="","",INDEX(SPOT_Import!$A$1:$Z$2488,2307,'Live Data'!$C$16)),"")</f>
        <v/>
      </c>
      <c r="F2307" s="54" t="str">
        <f>IFERROR(IF(INDEX(SPOT_Import!$A$1:$Z$2488,2307,'Live Data'!$C$17)="","",INDEX(SPOT_Import!$A$1:$Z$2488,2307,'Live Data'!$C$17)),"")</f>
        <v/>
      </c>
      <c r="G2307" s="54" t="str">
        <f>IFERROR(IF(INDEX(SPOT_Import!$A$1:$Z$2488,2307,'Live Data'!$C$18)="","",INDEX(SPOT_Import!$A$1:$Z$2488,2307,'Live Data'!$C$18)),"")</f>
        <v/>
      </c>
      <c r="H2307" s="54" t="str">
        <f>IFERROR(IF(INDEX(SPOT_Import!$A$1:$Z$2488,2307,'Live Data'!$C$19)="","",INDEX(SPOT_Import!$A$1:$Z$2488,2307,'Live Data'!$C$19)),"")</f>
        <v/>
      </c>
      <c r="I2307" s="54" t="str">
        <f>IFERROR(IF(INDEX(SPOT_Import!$A$1:$Z$2488,2307,'Live Data'!$C$20)="","",INDEX(SPOT_Import!$A$1:$Z$2488,2307,'Live Data'!$C$20)),"")</f>
        <v/>
      </c>
      <c r="J2307" s="54" t="str">
        <f>IFERROR(IF(INDEX(SPOT_Import!$A$1:$Z$2488,2307,'Live Data'!$C$21)="","",INDEX(SPOT_Import!$A$1:$Z$2488,2307,'Live Data'!$C$21)),"")</f>
        <v/>
      </c>
      <c r="K2307" s="54" t="str">
        <f>IFERROR(IF(INDEX(SPOT_Import!$A$1:$Z$2488,2307,'Live Data'!$C$22)="","",INDEX(SPOT_Import!$A$1:$Z$2488,2307,'Live Data'!$C$22)),"")</f>
        <v/>
      </c>
      <c r="L2307" s="55" t="str">
        <f t="shared" si="72"/>
        <v/>
      </c>
      <c r="M2307" s="55" t="str">
        <f t="shared" si="73"/>
        <v/>
      </c>
      <c r="N2307" s="55" t="str">
        <f>IF(A2307="","",IFERROR(INDEX('Cluster Map'!$A$4:$A$38,MATCH(M2307,'Cluster Map'!$B$4:$B$38,0)),"Unmapped"))</f>
        <v/>
      </c>
      <c r="O2307" s="55">
        <f>IF(A2307="",0,IF(COUNTIFS($A$2:A2307,A2307,$F$2:F2307,F2307,$L$2:L2307,L2307)=1,1,0))</f>
        <v>0</v>
      </c>
      <c r="P2307" s="55">
        <f>IF(A2307="",0,IF(AND(F2307="C&amp;T",COUNTIFS($A$2:A2307,A2307,$F$2:F2307,"C&amp;T")=1),1,0))</f>
        <v>0</v>
      </c>
    </row>
    <row r="2308" spans="1:16" x14ac:dyDescent="0.35">
      <c r="A2308" s="54" t="str">
        <f>IFERROR(IF(INDEX(SPOT_Import!$A$1:$Z$2488,2308,'Live Data'!$C$12)="","",INDEX(SPOT_Import!$A$1:$Z$2488,2308,'Live Data'!$C$12)),"")</f>
        <v/>
      </c>
      <c r="B2308" s="54" t="str">
        <f>IFERROR(IF(INDEX(SPOT_Import!$A$1:$Z$2488,2308,'Live Data'!$C$13)="","",INDEX(SPOT_Import!$A$1:$Z$2488,2308,'Live Data'!$C$13)),"")</f>
        <v/>
      </c>
      <c r="C2308" s="54" t="str">
        <f>IFERROR(IF(INDEX(SPOT_Import!$A$1:$Z$2488,2308,'Live Data'!$C$14)="","",INDEX(SPOT_Import!$A$1:$Z$2488,2308,'Live Data'!$C$14)),"")</f>
        <v/>
      </c>
      <c r="D2308" s="54" t="str">
        <f>IFERROR(IF(INDEX(SPOT_Import!$A$1:$Z$2488,2308,'Live Data'!$C$15)="","",INDEX(SPOT_Import!$A$1:$Z$2488,2308,'Live Data'!$C$15)),"")</f>
        <v/>
      </c>
      <c r="E2308" s="54" t="str">
        <f>IFERROR(IF(INDEX(SPOT_Import!$A$1:$Z$2488,2308,'Live Data'!$C$16)="","",INDEX(SPOT_Import!$A$1:$Z$2488,2308,'Live Data'!$C$16)),"")</f>
        <v/>
      </c>
      <c r="F2308" s="54" t="str">
        <f>IFERROR(IF(INDEX(SPOT_Import!$A$1:$Z$2488,2308,'Live Data'!$C$17)="","",INDEX(SPOT_Import!$A$1:$Z$2488,2308,'Live Data'!$C$17)),"")</f>
        <v/>
      </c>
      <c r="G2308" s="54" t="str">
        <f>IFERROR(IF(INDEX(SPOT_Import!$A$1:$Z$2488,2308,'Live Data'!$C$18)="","",INDEX(SPOT_Import!$A$1:$Z$2488,2308,'Live Data'!$C$18)),"")</f>
        <v/>
      </c>
      <c r="H2308" s="54" t="str">
        <f>IFERROR(IF(INDEX(SPOT_Import!$A$1:$Z$2488,2308,'Live Data'!$C$19)="","",INDEX(SPOT_Import!$A$1:$Z$2488,2308,'Live Data'!$C$19)),"")</f>
        <v/>
      </c>
      <c r="I2308" s="54" t="str">
        <f>IFERROR(IF(INDEX(SPOT_Import!$A$1:$Z$2488,2308,'Live Data'!$C$20)="","",INDEX(SPOT_Import!$A$1:$Z$2488,2308,'Live Data'!$C$20)),"")</f>
        <v/>
      </c>
      <c r="J2308" s="54" t="str">
        <f>IFERROR(IF(INDEX(SPOT_Import!$A$1:$Z$2488,2308,'Live Data'!$C$21)="","",INDEX(SPOT_Import!$A$1:$Z$2488,2308,'Live Data'!$C$21)),"")</f>
        <v/>
      </c>
      <c r="K2308" s="54" t="str">
        <f>IFERROR(IF(INDEX(SPOT_Import!$A$1:$Z$2488,2308,'Live Data'!$C$22)="","",INDEX(SPOT_Import!$A$1:$Z$2488,2308,'Live Data'!$C$22)),"")</f>
        <v/>
      </c>
      <c r="L2308" s="55" t="str">
        <f t="shared" si="72"/>
        <v/>
      </c>
      <c r="M2308" s="55" t="str">
        <f t="shared" si="73"/>
        <v/>
      </c>
      <c r="N2308" s="55" t="str">
        <f>IF(A2308="","",IFERROR(INDEX('Cluster Map'!$A$4:$A$38,MATCH(M2308,'Cluster Map'!$B$4:$B$38,0)),"Unmapped"))</f>
        <v/>
      </c>
      <c r="O2308" s="55">
        <f>IF(A2308="",0,IF(COUNTIFS($A$2:A2308,A2308,$F$2:F2308,F2308,$L$2:L2308,L2308)=1,1,0))</f>
        <v>0</v>
      </c>
      <c r="P2308" s="55">
        <f>IF(A2308="",0,IF(AND(F2308="C&amp;T",COUNTIFS($A$2:A2308,A2308,$F$2:F2308,"C&amp;T")=1),1,0))</f>
        <v>0</v>
      </c>
    </row>
    <row r="2309" spans="1:16" x14ac:dyDescent="0.35">
      <c r="A2309" s="54" t="str">
        <f>IFERROR(IF(INDEX(SPOT_Import!$A$1:$Z$2488,2309,'Live Data'!$C$12)="","",INDEX(SPOT_Import!$A$1:$Z$2488,2309,'Live Data'!$C$12)),"")</f>
        <v/>
      </c>
      <c r="B2309" s="54" t="str">
        <f>IFERROR(IF(INDEX(SPOT_Import!$A$1:$Z$2488,2309,'Live Data'!$C$13)="","",INDEX(SPOT_Import!$A$1:$Z$2488,2309,'Live Data'!$C$13)),"")</f>
        <v/>
      </c>
      <c r="C2309" s="54" t="str">
        <f>IFERROR(IF(INDEX(SPOT_Import!$A$1:$Z$2488,2309,'Live Data'!$C$14)="","",INDEX(SPOT_Import!$A$1:$Z$2488,2309,'Live Data'!$C$14)),"")</f>
        <v/>
      </c>
      <c r="D2309" s="54" t="str">
        <f>IFERROR(IF(INDEX(SPOT_Import!$A$1:$Z$2488,2309,'Live Data'!$C$15)="","",INDEX(SPOT_Import!$A$1:$Z$2488,2309,'Live Data'!$C$15)),"")</f>
        <v/>
      </c>
      <c r="E2309" s="54" t="str">
        <f>IFERROR(IF(INDEX(SPOT_Import!$A$1:$Z$2488,2309,'Live Data'!$C$16)="","",INDEX(SPOT_Import!$A$1:$Z$2488,2309,'Live Data'!$C$16)),"")</f>
        <v/>
      </c>
      <c r="F2309" s="54" t="str">
        <f>IFERROR(IF(INDEX(SPOT_Import!$A$1:$Z$2488,2309,'Live Data'!$C$17)="","",INDEX(SPOT_Import!$A$1:$Z$2488,2309,'Live Data'!$C$17)),"")</f>
        <v/>
      </c>
      <c r="G2309" s="54" t="str">
        <f>IFERROR(IF(INDEX(SPOT_Import!$A$1:$Z$2488,2309,'Live Data'!$C$18)="","",INDEX(SPOT_Import!$A$1:$Z$2488,2309,'Live Data'!$C$18)),"")</f>
        <v/>
      </c>
      <c r="H2309" s="54" t="str">
        <f>IFERROR(IF(INDEX(SPOT_Import!$A$1:$Z$2488,2309,'Live Data'!$C$19)="","",INDEX(SPOT_Import!$A$1:$Z$2488,2309,'Live Data'!$C$19)),"")</f>
        <v/>
      </c>
      <c r="I2309" s="54" t="str">
        <f>IFERROR(IF(INDEX(SPOT_Import!$A$1:$Z$2488,2309,'Live Data'!$C$20)="","",INDEX(SPOT_Import!$A$1:$Z$2488,2309,'Live Data'!$C$20)),"")</f>
        <v/>
      </c>
      <c r="J2309" s="54" t="str">
        <f>IFERROR(IF(INDEX(SPOT_Import!$A$1:$Z$2488,2309,'Live Data'!$C$21)="","",INDEX(SPOT_Import!$A$1:$Z$2488,2309,'Live Data'!$C$21)),"")</f>
        <v/>
      </c>
      <c r="K2309" s="54" t="str">
        <f>IFERROR(IF(INDEX(SPOT_Import!$A$1:$Z$2488,2309,'Live Data'!$C$22)="","",INDEX(SPOT_Import!$A$1:$Z$2488,2309,'Live Data'!$C$22)),"")</f>
        <v/>
      </c>
      <c r="L2309" s="55" t="str">
        <f t="shared" si="72"/>
        <v/>
      </c>
      <c r="M2309" s="55" t="str">
        <f t="shared" si="73"/>
        <v/>
      </c>
      <c r="N2309" s="55" t="str">
        <f>IF(A2309="","",IFERROR(INDEX('Cluster Map'!$A$4:$A$38,MATCH(M2309,'Cluster Map'!$B$4:$B$38,0)),"Unmapped"))</f>
        <v/>
      </c>
      <c r="O2309" s="55">
        <f>IF(A2309="",0,IF(COUNTIFS($A$2:A2309,A2309,$F$2:F2309,F2309,$L$2:L2309,L2309)=1,1,0))</f>
        <v>0</v>
      </c>
      <c r="P2309" s="55">
        <f>IF(A2309="",0,IF(AND(F2309="C&amp;T",COUNTIFS($A$2:A2309,A2309,$F$2:F2309,"C&amp;T")=1),1,0))</f>
        <v>0</v>
      </c>
    </row>
    <row r="2310" spans="1:16" x14ac:dyDescent="0.35">
      <c r="A2310" s="54" t="str">
        <f>IFERROR(IF(INDEX(SPOT_Import!$A$1:$Z$2488,2310,'Live Data'!$C$12)="","",INDEX(SPOT_Import!$A$1:$Z$2488,2310,'Live Data'!$C$12)),"")</f>
        <v/>
      </c>
      <c r="B2310" s="54" t="str">
        <f>IFERROR(IF(INDEX(SPOT_Import!$A$1:$Z$2488,2310,'Live Data'!$C$13)="","",INDEX(SPOT_Import!$A$1:$Z$2488,2310,'Live Data'!$C$13)),"")</f>
        <v/>
      </c>
      <c r="C2310" s="54" t="str">
        <f>IFERROR(IF(INDEX(SPOT_Import!$A$1:$Z$2488,2310,'Live Data'!$C$14)="","",INDEX(SPOT_Import!$A$1:$Z$2488,2310,'Live Data'!$C$14)),"")</f>
        <v/>
      </c>
      <c r="D2310" s="54" t="str">
        <f>IFERROR(IF(INDEX(SPOT_Import!$A$1:$Z$2488,2310,'Live Data'!$C$15)="","",INDEX(SPOT_Import!$A$1:$Z$2488,2310,'Live Data'!$C$15)),"")</f>
        <v/>
      </c>
      <c r="E2310" s="54" t="str">
        <f>IFERROR(IF(INDEX(SPOT_Import!$A$1:$Z$2488,2310,'Live Data'!$C$16)="","",INDEX(SPOT_Import!$A$1:$Z$2488,2310,'Live Data'!$C$16)),"")</f>
        <v/>
      </c>
      <c r="F2310" s="54" t="str">
        <f>IFERROR(IF(INDEX(SPOT_Import!$A$1:$Z$2488,2310,'Live Data'!$C$17)="","",INDEX(SPOT_Import!$A$1:$Z$2488,2310,'Live Data'!$C$17)),"")</f>
        <v/>
      </c>
      <c r="G2310" s="54" t="str">
        <f>IFERROR(IF(INDEX(SPOT_Import!$A$1:$Z$2488,2310,'Live Data'!$C$18)="","",INDEX(SPOT_Import!$A$1:$Z$2488,2310,'Live Data'!$C$18)),"")</f>
        <v/>
      </c>
      <c r="H2310" s="54" t="str">
        <f>IFERROR(IF(INDEX(SPOT_Import!$A$1:$Z$2488,2310,'Live Data'!$C$19)="","",INDEX(SPOT_Import!$A$1:$Z$2488,2310,'Live Data'!$C$19)),"")</f>
        <v/>
      </c>
      <c r="I2310" s="54" t="str">
        <f>IFERROR(IF(INDEX(SPOT_Import!$A$1:$Z$2488,2310,'Live Data'!$C$20)="","",INDEX(SPOT_Import!$A$1:$Z$2488,2310,'Live Data'!$C$20)),"")</f>
        <v/>
      </c>
      <c r="J2310" s="54" t="str">
        <f>IFERROR(IF(INDEX(SPOT_Import!$A$1:$Z$2488,2310,'Live Data'!$C$21)="","",INDEX(SPOT_Import!$A$1:$Z$2488,2310,'Live Data'!$C$21)),"")</f>
        <v/>
      </c>
      <c r="K2310" s="54" t="str">
        <f>IFERROR(IF(INDEX(SPOT_Import!$A$1:$Z$2488,2310,'Live Data'!$C$22)="","",INDEX(SPOT_Import!$A$1:$Z$2488,2310,'Live Data'!$C$22)),"")</f>
        <v/>
      </c>
      <c r="L2310" s="55" t="str">
        <f t="shared" si="72"/>
        <v/>
      </c>
      <c r="M2310" s="55" t="str">
        <f t="shared" si="73"/>
        <v/>
      </c>
      <c r="N2310" s="55" t="str">
        <f>IF(A2310="","",IFERROR(INDEX('Cluster Map'!$A$4:$A$38,MATCH(M2310,'Cluster Map'!$B$4:$B$38,0)),"Unmapped"))</f>
        <v/>
      </c>
      <c r="O2310" s="55">
        <f>IF(A2310="",0,IF(COUNTIFS($A$2:A2310,A2310,$F$2:F2310,F2310,$L$2:L2310,L2310)=1,1,0))</f>
        <v>0</v>
      </c>
      <c r="P2310" s="55">
        <f>IF(A2310="",0,IF(AND(F2310="C&amp;T",COUNTIFS($A$2:A2310,A2310,$F$2:F2310,"C&amp;T")=1),1,0))</f>
        <v>0</v>
      </c>
    </row>
    <row r="2311" spans="1:16" x14ac:dyDescent="0.35">
      <c r="A2311" s="54" t="str">
        <f>IFERROR(IF(INDEX(SPOT_Import!$A$1:$Z$2488,2311,'Live Data'!$C$12)="","",INDEX(SPOT_Import!$A$1:$Z$2488,2311,'Live Data'!$C$12)),"")</f>
        <v/>
      </c>
      <c r="B2311" s="54" t="str">
        <f>IFERROR(IF(INDEX(SPOT_Import!$A$1:$Z$2488,2311,'Live Data'!$C$13)="","",INDEX(SPOT_Import!$A$1:$Z$2488,2311,'Live Data'!$C$13)),"")</f>
        <v/>
      </c>
      <c r="C2311" s="54" t="str">
        <f>IFERROR(IF(INDEX(SPOT_Import!$A$1:$Z$2488,2311,'Live Data'!$C$14)="","",INDEX(SPOT_Import!$A$1:$Z$2488,2311,'Live Data'!$C$14)),"")</f>
        <v/>
      </c>
      <c r="D2311" s="54" t="str">
        <f>IFERROR(IF(INDEX(SPOT_Import!$A$1:$Z$2488,2311,'Live Data'!$C$15)="","",INDEX(SPOT_Import!$A$1:$Z$2488,2311,'Live Data'!$C$15)),"")</f>
        <v/>
      </c>
      <c r="E2311" s="54" t="str">
        <f>IFERROR(IF(INDEX(SPOT_Import!$A$1:$Z$2488,2311,'Live Data'!$C$16)="","",INDEX(SPOT_Import!$A$1:$Z$2488,2311,'Live Data'!$C$16)),"")</f>
        <v/>
      </c>
      <c r="F2311" s="54" t="str">
        <f>IFERROR(IF(INDEX(SPOT_Import!$A$1:$Z$2488,2311,'Live Data'!$C$17)="","",INDEX(SPOT_Import!$A$1:$Z$2488,2311,'Live Data'!$C$17)),"")</f>
        <v/>
      </c>
      <c r="G2311" s="54" t="str">
        <f>IFERROR(IF(INDEX(SPOT_Import!$A$1:$Z$2488,2311,'Live Data'!$C$18)="","",INDEX(SPOT_Import!$A$1:$Z$2488,2311,'Live Data'!$C$18)),"")</f>
        <v/>
      </c>
      <c r="H2311" s="54" t="str">
        <f>IFERROR(IF(INDEX(SPOT_Import!$A$1:$Z$2488,2311,'Live Data'!$C$19)="","",INDEX(SPOT_Import!$A$1:$Z$2488,2311,'Live Data'!$C$19)),"")</f>
        <v/>
      </c>
      <c r="I2311" s="54" t="str">
        <f>IFERROR(IF(INDEX(SPOT_Import!$A$1:$Z$2488,2311,'Live Data'!$C$20)="","",INDEX(SPOT_Import!$A$1:$Z$2488,2311,'Live Data'!$C$20)),"")</f>
        <v/>
      </c>
      <c r="J2311" s="54" t="str">
        <f>IFERROR(IF(INDEX(SPOT_Import!$A$1:$Z$2488,2311,'Live Data'!$C$21)="","",INDEX(SPOT_Import!$A$1:$Z$2488,2311,'Live Data'!$C$21)),"")</f>
        <v/>
      </c>
      <c r="K2311" s="54" t="str">
        <f>IFERROR(IF(INDEX(SPOT_Import!$A$1:$Z$2488,2311,'Live Data'!$C$22)="","",INDEX(SPOT_Import!$A$1:$Z$2488,2311,'Live Data'!$C$22)),"")</f>
        <v/>
      </c>
      <c r="L2311" s="55" t="str">
        <f t="shared" si="72"/>
        <v/>
      </c>
      <c r="M2311" s="55" t="str">
        <f t="shared" si="73"/>
        <v/>
      </c>
      <c r="N2311" s="55" t="str">
        <f>IF(A2311="","",IFERROR(INDEX('Cluster Map'!$A$4:$A$38,MATCH(M2311,'Cluster Map'!$B$4:$B$38,0)),"Unmapped"))</f>
        <v/>
      </c>
      <c r="O2311" s="55">
        <f>IF(A2311="",0,IF(COUNTIFS($A$2:A2311,A2311,$F$2:F2311,F2311,$L$2:L2311,L2311)=1,1,0))</f>
        <v>0</v>
      </c>
      <c r="P2311" s="55">
        <f>IF(A2311="",0,IF(AND(F2311="C&amp;T",COUNTIFS($A$2:A2311,A2311,$F$2:F2311,"C&amp;T")=1),1,0))</f>
        <v>0</v>
      </c>
    </row>
    <row r="2312" spans="1:16" x14ac:dyDescent="0.35">
      <c r="A2312" s="54" t="str">
        <f>IFERROR(IF(INDEX(SPOT_Import!$A$1:$Z$2488,2312,'Live Data'!$C$12)="","",INDEX(SPOT_Import!$A$1:$Z$2488,2312,'Live Data'!$C$12)),"")</f>
        <v/>
      </c>
      <c r="B2312" s="54" t="str">
        <f>IFERROR(IF(INDEX(SPOT_Import!$A$1:$Z$2488,2312,'Live Data'!$C$13)="","",INDEX(SPOT_Import!$A$1:$Z$2488,2312,'Live Data'!$C$13)),"")</f>
        <v/>
      </c>
      <c r="C2312" s="54" t="str">
        <f>IFERROR(IF(INDEX(SPOT_Import!$A$1:$Z$2488,2312,'Live Data'!$C$14)="","",INDEX(SPOT_Import!$A$1:$Z$2488,2312,'Live Data'!$C$14)),"")</f>
        <v/>
      </c>
      <c r="D2312" s="54" t="str">
        <f>IFERROR(IF(INDEX(SPOT_Import!$A$1:$Z$2488,2312,'Live Data'!$C$15)="","",INDEX(SPOT_Import!$A$1:$Z$2488,2312,'Live Data'!$C$15)),"")</f>
        <v/>
      </c>
      <c r="E2312" s="54" t="str">
        <f>IFERROR(IF(INDEX(SPOT_Import!$A$1:$Z$2488,2312,'Live Data'!$C$16)="","",INDEX(SPOT_Import!$A$1:$Z$2488,2312,'Live Data'!$C$16)),"")</f>
        <v/>
      </c>
      <c r="F2312" s="54" t="str">
        <f>IFERROR(IF(INDEX(SPOT_Import!$A$1:$Z$2488,2312,'Live Data'!$C$17)="","",INDEX(SPOT_Import!$A$1:$Z$2488,2312,'Live Data'!$C$17)),"")</f>
        <v/>
      </c>
      <c r="G2312" s="54" t="str">
        <f>IFERROR(IF(INDEX(SPOT_Import!$A$1:$Z$2488,2312,'Live Data'!$C$18)="","",INDEX(SPOT_Import!$A$1:$Z$2488,2312,'Live Data'!$C$18)),"")</f>
        <v/>
      </c>
      <c r="H2312" s="54" t="str">
        <f>IFERROR(IF(INDEX(SPOT_Import!$A$1:$Z$2488,2312,'Live Data'!$C$19)="","",INDEX(SPOT_Import!$A$1:$Z$2488,2312,'Live Data'!$C$19)),"")</f>
        <v/>
      </c>
      <c r="I2312" s="54" t="str">
        <f>IFERROR(IF(INDEX(SPOT_Import!$A$1:$Z$2488,2312,'Live Data'!$C$20)="","",INDEX(SPOT_Import!$A$1:$Z$2488,2312,'Live Data'!$C$20)),"")</f>
        <v/>
      </c>
      <c r="J2312" s="54" t="str">
        <f>IFERROR(IF(INDEX(SPOT_Import!$A$1:$Z$2488,2312,'Live Data'!$C$21)="","",INDEX(SPOT_Import!$A$1:$Z$2488,2312,'Live Data'!$C$21)),"")</f>
        <v/>
      </c>
      <c r="K2312" s="54" t="str">
        <f>IFERROR(IF(INDEX(SPOT_Import!$A$1:$Z$2488,2312,'Live Data'!$C$22)="","",INDEX(SPOT_Import!$A$1:$Z$2488,2312,'Live Data'!$C$22)),"")</f>
        <v/>
      </c>
      <c r="L2312" s="55" t="str">
        <f t="shared" si="72"/>
        <v/>
      </c>
      <c r="M2312" s="55" t="str">
        <f t="shared" si="73"/>
        <v/>
      </c>
      <c r="N2312" s="55" t="str">
        <f>IF(A2312="","",IFERROR(INDEX('Cluster Map'!$A$4:$A$38,MATCH(M2312,'Cluster Map'!$B$4:$B$38,0)),"Unmapped"))</f>
        <v/>
      </c>
      <c r="O2312" s="55">
        <f>IF(A2312="",0,IF(COUNTIFS($A$2:A2312,A2312,$F$2:F2312,F2312,$L$2:L2312,L2312)=1,1,0))</f>
        <v>0</v>
      </c>
      <c r="P2312" s="55">
        <f>IF(A2312="",0,IF(AND(F2312="C&amp;T",COUNTIFS($A$2:A2312,A2312,$F$2:F2312,"C&amp;T")=1),1,0))</f>
        <v>0</v>
      </c>
    </row>
    <row r="2313" spans="1:16" x14ac:dyDescent="0.35">
      <c r="A2313" s="54" t="str">
        <f>IFERROR(IF(INDEX(SPOT_Import!$A$1:$Z$2488,2313,'Live Data'!$C$12)="","",INDEX(SPOT_Import!$A$1:$Z$2488,2313,'Live Data'!$C$12)),"")</f>
        <v/>
      </c>
      <c r="B2313" s="54" t="str">
        <f>IFERROR(IF(INDEX(SPOT_Import!$A$1:$Z$2488,2313,'Live Data'!$C$13)="","",INDEX(SPOT_Import!$A$1:$Z$2488,2313,'Live Data'!$C$13)),"")</f>
        <v/>
      </c>
      <c r="C2313" s="54" t="str">
        <f>IFERROR(IF(INDEX(SPOT_Import!$A$1:$Z$2488,2313,'Live Data'!$C$14)="","",INDEX(SPOT_Import!$A$1:$Z$2488,2313,'Live Data'!$C$14)),"")</f>
        <v/>
      </c>
      <c r="D2313" s="54" t="str">
        <f>IFERROR(IF(INDEX(SPOT_Import!$A$1:$Z$2488,2313,'Live Data'!$C$15)="","",INDEX(SPOT_Import!$A$1:$Z$2488,2313,'Live Data'!$C$15)),"")</f>
        <v/>
      </c>
      <c r="E2313" s="54" t="str">
        <f>IFERROR(IF(INDEX(SPOT_Import!$A$1:$Z$2488,2313,'Live Data'!$C$16)="","",INDEX(SPOT_Import!$A$1:$Z$2488,2313,'Live Data'!$C$16)),"")</f>
        <v/>
      </c>
      <c r="F2313" s="54" t="str">
        <f>IFERROR(IF(INDEX(SPOT_Import!$A$1:$Z$2488,2313,'Live Data'!$C$17)="","",INDEX(SPOT_Import!$A$1:$Z$2488,2313,'Live Data'!$C$17)),"")</f>
        <v/>
      </c>
      <c r="G2313" s="54" t="str">
        <f>IFERROR(IF(INDEX(SPOT_Import!$A$1:$Z$2488,2313,'Live Data'!$C$18)="","",INDEX(SPOT_Import!$A$1:$Z$2488,2313,'Live Data'!$C$18)),"")</f>
        <v/>
      </c>
      <c r="H2313" s="54" t="str">
        <f>IFERROR(IF(INDEX(SPOT_Import!$A$1:$Z$2488,2313,'Live Data'!$C$19)="","",INDEX(SPOT_Import!$A$1:$Z$2488,2313,'Live Data'!$C$19)),"")</f>
        <v/>
      </c>
      <c r="I2313" s="54" t="str">
        <f>IFERROR(IF(INDEX(SPOT_Import!$A$1:$Z$2488,2313,'Live Data'!$C$20)="","",INDEX(SPOT_Import!$A$1:$Z$2488,2313,'Live Data'!$C$20)),"")</f>
        <v/>
      </c>
      <c r="J2313" s="54" t="str">
        <f>IFERROR(IF(INDEX(SPOT_Import!$A$1:$Z$2488,2313,'Live Data'!$C$21)="","",INDEX(SPOT_Import!$A$1:$Z$2488,2313,'Live Data'!$C$21)),"")</f>
        <v/>
      </c>
      <c r="K2313" s="54" t="str">
        <f>IFERROR(IF(INDEX(SPOT_Import!$A$1:$Z$2488,2313,'Live Data'!$C$22)="","",INDEX(SPOT_Import!$A$1:$Z$2488,2313,'Live Data'!$C$22)),"")</f>
        <v/>
      </c>
      <c r="L2313" s="55" t="str">
        <f t="shared" si="72"/>
        <v/>
      </c>
      <c r="M2313" s="55" t="str">
        <f t="shared" si="73"/>
        <v/>
      </c>
      <c r="N2313" s="55" t="str">
        <f>IF(A2313="","",IFERROR(INDEX('Cluster Map'!$A$4:$A$38,MATCH(M2313,'Cluster Map'!$B$4:$B$38,0)),"Unmapped"))</f>
        <v/>
      </c>
      <c r="O2313" s="55">
        <f>IF(A2313="",0,IF(COUNTIFS($A$2:A2313,A2313,$F$2:F2313,F2313,$L$2:L2313,L2313)=1,1,0))</f>
        <v>0</v>
      </c>
      <c r="P2313" s="55">
        <f>IF(A2313="",0,IF(AND(F2313="C&amp;T",COUNTIFS($A$2:A2313,A2313,$F$2:F2313,"C&amp;T")=1),1,0))</f>
        <v>0</v>
      </c>
    </row>
    <row r="2314" spans="1:16" x14ac:dyDescent="0.35">
      <c r="A2314" s="54" t="str">
        <f>IFERROR(IF(INDEX(SPOT_Import!$A$1:$Z$2488,2314,'Live Data'!$C$12)="","",INDEX(SPOT_Import!$A$1:$Z$2488,2314,'Live Data'!$C$12)),"")</f>
        <v/>
      </c>
      <c r="B2314" s="54" t="str">
        <f>IFERROR(IF(INDEX(SPOT_Import!$A$1:$Z$2488,2314,'Live Data'!$C$13)="","",INDEX(SPOT_Import!$A$1:$Z$2488,2314,'Live Data'!$C$13)),"")</f>
        <v/>
      </c>
      <c r="C2314" s="54" t="str">
        <f>IFERROR(IF(INDEX(SPOT_Import!$A$1:$Z$2488,2314,'Live Data'!$C$14)="","",INDEX(SPOT_Import!$A$1:$Z$2488,2314,'Live Data'!$C$14)),"")</f>
        <v/>
      </c>
      <c r="D2314" s="54" t="str">
        <f>IFERROR(IF(INDEX(SPOT_Import!$A$1:$Z$2488,2314,'Live Data'!$C$15)="","",INDEX(SPOT_Import!$A$1:$Z$2488,2314,'Live Data'!$C$15)),"")</f>
        <v/>
      </c>
      <c r="E2314" s="54" t="str">
        <f>IFERROR(IF(INDEX(SPOT_Import!$A$1:$Z$2488,2314,'Live Data'!$C$16)="","",INDEX(SPOT_Import!$A$1:$Z$2488,2314,'Live Data'!$C$16)),"")</f>
        <v/>
      </c>
      <c r="F2314" s="54" t="str">
        <f>IFERROR(IF(INDEX(SPOT_Import!$A$1:$Z$2488,2314,'Live Data'!$C$17)="","",INDEX(SPOT_Import!$A$1:$Z$2488,2314,'Live Data'!$C$17)),"")</f>
        <v/>
      </c>
      <c r="G2314" s="54" t="str">
        <f>IFERROR(IF(INDEX(SPOT_Import!$A$1:$Z$2488,2314,'Live Data'!$C$18)="","",INDEX(SPOT_Import!$A$1:$Z$2488,2314,'Live Data'!$C$18)),"")</f>
        <v/>
      </c>
      <c r="H2314" s="54" t="str">
        <f>IFERROR(IF(INDEX(SPOT_Import!$A$1:$Z$2488,2314,'Live Data'!$C$19)="","",INDEX(SPOT_Import!$A$1:$Z$2488,2314,'Live Data'!$C$19)),"")</f>
        <v/>
      </c>
      <c r="I2314" s="54" t="str">
        <f>IFERROR(IF(INDEX(SPOT_Import!$A$1:$Z$2488,2314,'Live Data'!$C$20)="","",INDEX(SPOT_Import!$A$1:$Z$2488,2314,'Live Data'!$C$20)),"")</f>
        <v/>
      </c>
      <c r="J2314" s="54" t="str">
        <f>IFERROR(IF(INDEX(SPOT_Import!$A$1:$Z$2488,2314,'Live Data'!$C$21)="","",INDEX(SPOT_Import!$A$1:$Z$2488,2314,'Live Data'!$C$21)),"")</f>
        <v/>
      </c>
      <c r="K2314" s="54" t="str">
        <f>IFERROR(IF(INDEX(SPOT_Import!$A$1:$Z$2488,2314,'Live Data'!$C$22)="","",INDEX(SPOT_Import!$A$1:$Z$2488,2314,'Live Data'!$C$22)),"")</f>
        <v/>
      </c>
      <c r="L2314" s="55" t="str">
        <f t="shared" si="72"/>
        <v/>
      </c>
      <c r="M2314" s="55" t="str">
        <f t="shared" si="73"/>
        <v/>
      </c>
      <c r="N2314" s="55" t="str">
        <f>IF(A2314="","",IFERROR(INDEX('Cluster Map'!$A$4:$A$38,MATCH(M2314,'Cluster Map'!$B$4:$B$38,0)),"Unmapped"))</f>
        <v/>
      </c>
      <c r="O2314" s="55">
        <f>IF(A2314="",0,IF(COUNTIFS($A$2:A2314,A2314,$F$2:F2314,F2314,$L$2:L2314,L2314)=1,1,0))</f>
        <v>0</v>
      </c>
      <c r="P2314" s="55">
        <f>IF(A2314="",0,IF(AND(F2314="C&amp;T",COUNTIFS($A$2:A2314,A2314,$F$2:F2314,"C&amp;T")=1),1,0))</f>
        <v>0</v>
      </c>
    </row>
    <row r="2315" spans="1:16" x14ac:dyDescent="0.35">
      <c r="A2315" s="54" t="str">
        <f>IFERROR(IF(INDEX(SPOT_Import!$A$1:$Z$2488,2315,'Live Data'!$C$12)="","",INDEX(SPOT_Import!$A$1:$Z$2488,2315,'Live Data'!$C$12)),"")</f>
        <v/>
      </c>
      <c r="B2315" s="54" t="str">
        <f>IFERROR(IF(INDEX(SPOT_Import!$A$1:$Z$2488,2315,'Live Data'!$C$13)="","",INDEX(SPOT_Import!$A$1:$Z$2488,2315,'Live Data'!$C$13)),"")</f>
        <v/>
      </c>
      <c r="C2315" s="54" t="str">
        <f>IFERROR(IF(INDEX(SPOT_Import!$A$1:$Z$2488,2315,'Live Data'!$C$14)="","",INDEX(SPOT_Import!$A$1:$Z$2488,2315,'Live Data'!$C$14)),"")</f>
        <v/>
      </c>
      <c r="D2315" s="54" t="str">
        <f>IFERROR(IF(INDEX(SPOT_Import!$A$1:$Z$2488,2315,'Live Data'!$C$15)="","",INDEX(SPOT_Import!$A$1:$Z$2488,2315,'Live Data'!$C$15)),"")</f>
        <v/>
      </c>
      <c r="E2315" s="54" t="str">
        <f>IFERROR(IF(INDEX(SPOT_Import!$A$1:$Z$2488,2315,'Live Data'!$C$16)="","",INDEX(SPOT_Import!$A$1:$Z$2488,2315,'Live Data'!$C$16)),"")</f>
        <v/>
      </c>
      <c r="F2315" s="54" t="str">
        <f>IFERROR(IF(INDEX(SPOT_Import!$A$1:$Z$2488,2315,'Live Data'!$C$17)="","",INDEX(SPOT_Import!$A$1:$Z$2488,2315,'Live Data'!$C$17)),"")</f>
        <v/>
      </c>
      <c r="G2315" s="54" t="str">
        <f>IFERROR(IF(INDEX(SPOT_Import!$A$1:$Z$2488,2315,'Live Data'!$C$18)="","",INDEX(SPOT_Import!$A$1:$Z$2488,2315,'Live Data'!$C$18)),"")</f>
        <v/>
      </c>
      <c r="H2315" s="54" t="str">
        <f>IFERROR(IF(INDEX(SPOT_Import!$A$1:$Z$2488,2315,'Live Data'!$C$19)="","",INDEX(SPOT_Import!$A$1:$Z$2488,2315,'Live Data'!$C$19)),"")</f>
        <v/>
      </c>
      <c r="I2315" s="54" t="str">
        <f>IFERROR(IF(INDEX(SPOT_Import!$A$1:$Z$2488,2315,'Live Data'!$C$20)="","",INDEX(SPOT_Import!$A$1:$Z$2488,2315,'Live Data'!$C$20)),"")</f>
        <v/>
      </c>
      <c r="J2315" s="54" t="str">
        <f>IFERROR(IF(INDEX(SPOT_Import!$A$1:$Z$2488,2315,'Live Data'!$C$21)="","",INDEX(SPOT_Import!$A$1:$Z$2488,2315,'Live Data'!$C$21)),"")</f>
        <v/>
      </c>
      <c r="K2315" s="54" t="str">
        <f>IFERROR(IF(INDEX(SPOT_Import!$A$1:$Z$2488,2315,'Live Data'!$C$22)="","",INDEX(SPOT_Import!$A$1:$Z$2488,2315,'Live Data'!$C$22)),"")</f>
        <v/>
      </c>
      <c r="L2315" s="55" t="str">
        <f t="shared" si="72"/>
        <v/>
      </c>
      <c r="M2315" s="55" t="str">
        <f t="shared" si="73"/>
        <v/>
      </c>
      <c r="N2315" s="55" t="str">
        <f>IF(A2315="","",IFERROR(INDEX('Cluster Map'!$A$4:$A$38,MATCH(M2315,'Cluster Map'!$B$4:$B$38,0)),"Unmapped"))</f>
        <v/>
      </c>
      <c r="O2315" s="55">
        <f>IF(A2315="",0,IF(COUNTIFS($A$2:A2315,A2315,$F$2:F2315,F2315,$L$2:L2315,L2315)=1,1,0))</f>
        <v>0</v>
      </c>
      <c r="P2315" s="55">
        <f>IF(A2315="",0,IF(AND(F2315="C&amp;T",COUNTIFS($A$2:A2315,A2315,$F$2:F2315,"C&amp;T")=1),1,0))</f>
        <v>0</v>
      </c>
    </row>
    <row r="2316" spans="1:16" x14ac:dyDescent="0.35">
      <c r="A2316" s="54" t="str">
        <f>IFERROR(IF(INDEX(SPOT_Import!$A$1:$Z$2488,2316,'Live Data'!$C$12)="","",INDEX(SPOT_Import!$A$1:$Z$2488,2316,'Live Data'!$C$12)),"")</f>
        <v/>
      </c>
      <c r="B2316" s="54" t="str">
        <f>IFERROR(IF(INDEX(SPOT_Import!$A$1:$Z$2488,2316,'Live Data'!$C$13)="","",INDEX(SPOT_Import!$A$1:$Z$2488,2316,'Live Data'!$C$13)),"")</f>
        <v/>
      </c>
      <c r="C2316" s="54" t="str">
        <f>IFERROR(IF(INDEX(SPOT_Import!$A$1:$Z$2488,2316,'Live Data'!$C$14)="","",INDEX(SPOT_Import!$A$1:$Z$2488,2316,'Live Data'!$C$14)),"")</f>
        <v/>
      </c>
      <c r="D2316" s="54" t="str">
        <f>IFERROR(IF(INDEX(SPOT_Import!$A$1:$Z$2488,2316,'Live Data'!$C$15)="","",INDEX(SPOT_Import!$A$1:$Z$2488,2316,'Live Data'!$C$15)),"")</f>
        <v/>
      </c>
      <c r="E2316" s="54" t="str">
        <f>IFERROR(IF(INDEX(SPOT_Import!$A$1:$Z$2488,2316,'Live Data'!$C$16)="","",INDEX(SPOT_Import!$A$1:$Z$2488,2316,'Live Data'!$C$16)),"")</f>
        <v/>
      </c>
      <c r="F2316" s="54" t="str">
        <f>IFERROR(IF(INDEX(SPOT_Import!$A$1:$Z$2488,2316,'Live Data'!$C$17)="","",INDEX(SPOT_Import!$A$1:$Z$2488,2316,'Live Data'!$C$17)),"")</f>
        <v/>
      </c>
      <c r="G2316" s="54" t="str">
        <f>IFERROR(IF(INDEX(SPOT_Import!$A$1:$Z$2488,2316,'Live Data'!$C$18)="","",INDEX(SPOT_Import!$A$1:$Z$2488,2316,'Live Data'!$C$18)),"")</f>
        <v/>
      </c>
      <c r="H2316" s="54" t="str">
        <f>IFERROR(IF(INDEX(SPOT_Import!$A$1:$Z$2488,2316,'Live Data'!$C$19)="","",INDEX(SPOT_Import!$A$1:$Z$2488,2316,'Live Data'!$C$19)),"")</f>
        <v/>
      </c>
      <c r="I2316" s="54" t="str">
        <f>IFERROR(IF(INDEX(SPOT_Import!$A$1:$Z$2488,2316,'Live Data'!$C$20)="","",INDEX(SPOT_Import!$A$1:$Z$2488,2316,'Live Data'!$C$20)),"")</f>
        <v/>
      </c>
      <c r="J2316" s="54" t="str">
        <f>IFERROR(IF(INDEX(SPOT_Import!$A$1:$Z$2488,2316,'Live Data'!$C$21)="","",INDEX(SPOT_Import!$A$1:$Z$2488,2316,'Live Data'!$C$21)),"")</f>
        <v/>
      </c>
      <c r="K2316" s="54" t="str">
        <f>IFERROR(IF(INDEX(SPOT_Import!$A$1:$Z$2488,2316,'Live Data'!$C$22)="","",INDEX(SPOT_Import!$A$1:$Z$2488,2316,'Live Data'!$C$22)),"")</f>
        <v/>
      </c>
      <c r="L2316" s="55" t="str">
        <f t="shared" si="72"/>
        <v/>
      </c>
      <c r="M2316" s="55" t="str">
        <f t="shared" si="73"/>
        <v/>
      </c>
      <c r="N2316" s="55" t="str">
        <f>IF(A2316="","",IFERROR(INDEX('Cluster Map'!$A$4:$A$38,MATCH(M2316,'Cluster Map'!$B$4:$B$38,0)),"Unmapped"))</f>
        <v/>
      </c>
      <c r="O2316" s="55">
        <f>IF(A2316="",0,IF(COUNTIFS($A$2:A2316,A2316,$F$2:F2316,F2316,$L$2:L2316,L2316)=1,1,0))</f>
        <v>0</v>
      </c>
      <c r="P2316" s="55">
        <f>IF(A2316="",0,IF(AND(F2316="C&amp;T",COUNTIFS($A$2:A2316,A2316,$F$2:F2316,"C&amp;T")=1),1,0))</f>
        <v>0</v>
      </c>
    </row>
    <row r="2317" spans="1:16" x14ac:dyDescent="0.35">
      <c r="A2317" s="54" t="str">
        <f>IFERROR(IF(INDEX(SPOT_Import!$A$1:$Z$2488,2317,'Live Data'!$C$12)="","",INDEX(SPOT_Import!$A$1:$Z$2488,2317,'Live Data'!$C$12)),"")</f>
        <v/>
      </c>
      <c r="B2317" s="54" t="str">
        <f>IFERROR(IF(INDEX(SPOT_Import!$A$1:$Z$2488,2317,'Live Data'!$C$13)="","",INDEX(SPOT_Import!$A$1:$Z$2488,2317,'Live Data'!$C$13)),"")</f>
        <v/>
      </c>
      <c r="C2317" s="54" t="str">
        <f>IFERROR(IF(INDEX(SPOT_Import!$A$1:$Z$2488,2317,'Live Data'!$C$14)="","",INDEX(SPOT_Import!$A$1:$Z$2488,2317,'Live Data'!$C$14)),"")</f>
        <v/>
      </c>
      <c r="D2317" s="54" t="str">
        <f>IFERROR(IF(INDEX(SPOT_Import!$A$1:$Z$2488,2317,'Live Data'!$C$15)="","",INDEX(SPOT_Import!$A$1:$Z$2488,2317,'Live Data'!$C$15)),"")</f>
        <v/>
      </c>
      <c r="E2317" s="54" t="str">
        <f>IFERROR(IF(INDEX(SPOT_Import!$A$1:$Z$2488,2317,'Live Data'!$C$16)="","",INDEX(SPOT_Import!$A$1:$Z$2488,2317,'Live Data'!$C$16)),"")</f>
        <v/>
      </c>
      <c r="F2317" s="54" t="str">
        <f>IFERROR(IF(INDEX(SPOT_Import!$A$1:$Z$2488,2317,'Live Data'!$C$17)="","",INDEX(SPOT_Import!$A$1:$Z$2488,2317,'Live Data'!$C$17)),"")</f>
        <v/>
      </c>
      <c r="G2317" s="54" t="str">
        <f>IFERROR(IF(INDEX(SPOT_Import!$A$1:$Z$2488,2317,'Live Data'!$C$18)="","",INDEX(SPOT_Import!$A$1:$Z$2488,2317,'Live Data'!$C$18)),"")</f>
        <v/>
      </c>
      <c r="H2317" s="54" t="str">
        <f>IFERROR(IF(INDEX(SPOT_Import!$A$1:$Z$2488,2317,'Live Data'!$C$19)="","",INDEX(SPOT_Import!$A$1:$Z$2488,2317,'Live Data'!$C$19)),"")</f>
        <v/>
      </c>
      <c r="I2317" s="54" t="str">
        <f>IFERROR(IF(INDEX(SPOT_Import!$A$1:$Z$2488,2317,'Live Data'!$C$20)="","",INDEX(SPOT_Import!$A$1:$Z$2488,2317,'Live Data'!$C$20)),"")</f>
        <v/>
      </c>
      <c r="J2317" s="54" t="str">
        <f>IFERROR(IF(INDEX(SPOT_Import!$A$1:$Z$2488,2317,'Live Data'!$C$21)="","",INDEX(SPOT_Import!$A$1:$Z$2488,2317,'Live Data'!$C$21)),"")</f>
        <v/>
      </c>
      <c r="K2317" s="54" t="str">
        <f>IFERROR(IF(INDEX(SPOT_Import!$A$1:$Z$2488,2317,'Live Data'!$C$22)="","",INDEX(SPOT_Import!$A$1:$Z$2488,2317,'Live Data'!$C$22)),"")</f>
        <v/>
      </c>
      <c r="L2317" s="55" t="str">
        <f t="shared" si="72"/>
        <v/>
      </c>
      <c r="M2317" s="55" t="str">
        <f t="shared" si="73"/>
        <v/>
      </c>
      <c r="N2317" s="55" t="str">
        <f>IF(A2317="","",IFERROR(INDEX('Cluster Map'!$A$4:$A$38,MATCH(M2317,'Cluster Map'!$B$4:$B$38,0)),"Unmapped"))</f>
        <v/>
      </c>
      <c r="O2317" s="55">
        <f>IF(A2317="",0,IF(COUNTIFS($A$2:A2317,A2317,$F$2:F2317,F2317,$L$2:L2317,L2317)=1,1,0))</f>
        <v>0</v>
      </c>
      <c r="P2317" s="55">
        <f>IF(A2317="",0,IF(AND(F2317="C&amp;T",COUNTIFS($A$2:A2317,A2317,$F$2:F2317,"C&amp;T")=1),1,0))</f>
        <v>0</v>
      </c>
    </row>
    <row r="2318" spans="1:16" x14ac:dyDescent="0.35">
      <c r="A2318" s="54" t="str">
        <f>IFERROR(IF(INDEX(SPOT_Import!$A$1:$Z$2488,2318,'Live Data'!$C$12)="","",INDEX(SPOT_Import!$A$1:$Z$2488,2318,'Live Data'!$C$12)),"")</f>
        <v/>
      </c>
      <c r="B2318" s="54" t="str">
        <f>IFERROR(IF(INDEX(SPOT_Import!$A$1:$Z$2488,2318,'Live Data'!$C$13)="","",INDEX(SPOT_Import!$A$1:$Z$2488,2318,'Live Data'!$C$13)),"")</f>
        <v/>
      </c>
      <c r="C2318" s="54" t="str">
        <f>IFERROR(IF(INDEX(SPOT_Import!$A$1:$Z$2488,2318,'Live Data'!$C$14)="","",INDEX(SPOT_Import!$A$1:$Z$2488,2318,'Live Data'!$C$14)),"")</f>
        <v/>
      </c>
      <c r="D2318" s="54" t="str">
        <f>IFERROR(IF(INDEX(SPOT_Import!$A$1:$Z$2488,2318,'Live Data'!$C$15)="","",INDEX(SPOT_Import!$A$1:$Z$2488,2318,'Live Data'!$C$15)),"")</f>
        <v/>
      </c>
      <c r="E2318" s="54" t="str">
        <f>IFERROR(IF(INDEX(SPOT_Import!$A$1:$Z$2488,2318,'Live Data'!$C$16)="","",INDEX(SPOT_Import!$A$1:$Z$2488,2318,'Live Data'!$C$16)),"")</f>
        <v/>
      </c>
      <c r="F2318" s="54" t="str">
        <f>IFERROR(IF(INDEX(SPOT_Import!$A$1:$Z$2488,2318,'Live Data'!$C$17)="","",INDEX(SPOT_Import!$A$1:$Z$2488,2318,'Live Data'!$C$17)),"")</f>
        <v/>
      </c>
      <c r="G2318" s="54" t="str">
        <f>IFERROR(IF(INDEX(SPOT_Import!$A$1:$Z$2488,2318,'Live Data'!$C$18)="","",INDEX(SPOT_Import!$A$1:$Z$2488,2318,'Live Data'!$C$18)),"")</f>
        <v/>
      </c>
      <c r="H2318" s="54" t="str">
        <f>IFERROR(IF(INDEX(SPOT_Import!$A$1:$Z$2488,2318,'Live Data'!$C$19)="","",INDEX(SPOT_Import!$A$1:$Z$2488,2318,'Live Data'!$C$19)),"")</f>
        <v/>
      </c>
      <c r="I2318" s="54" t="str">
        <f>IFERROR(IF(INDEX(SPOT_Import!$A$1:$Z$2488,2318,'Live Data'!$C$20)="","",INDEX(SPOT_Import!$A$1:$Z$2488,2318,'Live Data'!$C$20)),"")</f>
        <v/>
      </c>
      <c r="J2318" s="54" t="str">
        <f>IFERROR(IF(INDEX(SPOT_Import!$A$1:$Z$2488,2318,'Live Data'!$C$21)="","",INDEX(SPOT_Import!$A$1:$Z$2488,2318,'Live Data'!$C$21)),"")</f>
        <v/>
      </c>
      <c r="K2318" s="54" t="str">
        <f>IFERROR(IF(INDEX(SPOT_Import!$A$1:$Z$2488,2318,'Live Data'!$C$22)="","",INDEX(SPOT_Import!$A$1:$Z$2488,2318,'Live Data'!$C$22)),"")</f>
        <v/>
      </c>
      <c r="L2318" s="55" t="str">
        <f t="shared" si="72"/>
        <v/>
      </c>
      <c r="M2318" s="55" t="str">
        <f t="shared" si="73"/>
        <v/>
      </c>
      <c r="N2318" s="55" t="str">
        <f>IF(A2318="","",IFERROR(INDEX('Cluster Map'!$A$4:$A$38,MATCH(M2318,'Cluster Map'!$B$4:$B$38,0)),"Unmapped"))</f>
        <v/>
      </c>
      <c r="O2318" s="55">
        <f>IF(A2318="",0,IF(COUNTIFS($A$2:A2318,A2318,$F$2:F2318,F2318,$L$2:L2318,L2318)=1,1,0))</f>
        <v>0</v>
      </c>
      <c r="P2318" s="55">
        <f>IF(A2318="",0,IF(AND(F2318="C&amp;T",COUNTIFS($A$2:A2318,A2318,$F$2:F2318,"C&amp;T")=1),1,0))</f>
        <v>0</v>
      </c>
    </row>
    <row r="2319" spans="1:16" x14ac:dyDescent="0.35">
      <c r="A2319" s="54" t="str">
        <f>IFERROR(IF(INDEX(SPOT_Import!$A$1:$Z$2488,2319,'Live Data'!$C$12)="","",INDEX(SPOT_Import!$A$1:$Z$2488,2319,'Live Data'!$C$12)),"")</f>
        <v/>
      </c>
      <c r="B2319" s="54" t="str">
        <f>IFERROR(IF(INDEX(SPOT_Import!$A$1:$Z$2488,2319,'Live Data'!$C$13)="","",INDEX(SPOT_Import!$A$1:$Z$2488,2319,'Live Data'!$C$13)),"")</f>
        <v/>
      </c>
      <c r="C2319" s="54" t="str">
        <f>IFERROR(IF(INDEX(SPOT_Import!$A$1:$Z$2488,2319,'Live Data'!$C$14)="","",INDEX(SPOT_Import!$A$1:$Z$2488,2319,'Live Data'!$C$14)),"")</f>
        <v/>
      </c>
      <c r="D2319" s="54" t="str">
        <f>IFERROR(IF(INDEX(SPOT_Import!$A$1:$Z$2488,2319,'Live Data'!$C$15)="","",INDEX(SPOT_Import!$A$1:$Z$2488,2319,'Live Data'!$C$15)),"")</f>
        <v/>
      </c>
      <c r="E2319" s="54" t="str">
        <f>IFERROR(IF(INDEX(SPOT_Import!$A$1:$Z$2488,2319,'Live Data'!$C$16)="","",INDEX(SPOT_Import!$A$1:$Z$2488,2319,'Live Data'!$C$16)),"")</f>
        <v/>
      </c>
      <c r="F2319" s="54" t="str">
        <f>IFERROR(IF(INDEX(SPOT_Import!$A$1:$Z$2488,2319,'Live Data'!$C$17)="","",INDEX(SPOT_Import!$A$1:$Z$2488,2319,'Live Data'!$C$17)),"")</f>
        <v/>
      </c>
      <c r="G2319" s="54" t="str">
        <f>IFERROR(IF(INDEX(SPOT_Import!$A$1:$Z$2488,2319,'Live Data'!$C$18)="","",INDEX(SPOT_Import!$A$1:$Z$2488,2319,'Live Data'!$C$18)),"")</f>
        <v/>
      </c>
      <c r="H2319" s="54" t="str">
        <f>IFERROR(IF(INDEX(SPOT_Import!$A$1:$Z$2488,2319,'Live Data'!$C$19)="","",INDEX(SPOT_Import!$A$1:$Z$2488,2319,'Live Data'!$C$19)),"")</f>
        <v/>
      </c>
      <c r="I2319" s="54" t="str">
        <f>IFERROR(IF(INDEX(SPOT_Import!$A$1:$Z$2488,2319,'Live Data'!$C$20)="","",INDEX(SPOT_Import!$A$1:$Z$2488,2319,'Live Data'!$C$20)),"")</f>
        <v/>
      </c>
      <c r="J2319" s="54" t="str">
        <f>IFERROR(IF(INDEX(SPOT_Import!$A$1:$Z$2488,2319,'Live Data'!$C$21)="","",INDEX(SPOT_Import!$A$1:$Z$2488,2319,'Live Data'!$C$21)),"")</f>
        <v/>
      </c>
      <c r="K2319" s="54" t="str">
        <f>IFERROR(IF(INDEX(SPOT_Import!$A$1:$Z$2488,2319,'Live Data'!$C$22)="","",INDEX(SPOT_Import!$A$1:$Z$2488,2319,'Live Data'!$C$22)),"")</f>
        <v/>
      </c>
      <c r="L2319" s="55" t="str">
        <f t="shared" si="72"/>
        <v/>
      </c>
      <c r="M2319" s="55" t="str">
        <f t="shared" si="73"/>
        <v/>
      </c>
      <c r="N2319" s="55" t="str">
        <f>IF(A2319="","",IFERROR(INDEX('Cluster Map'!$A$4:$A$38,MATCH(M2319,'Cluster Map'!$B$4:$B$38,0)),"Unmapped"))</f>
        <v/>
      </c>
      <c r="O2319" s="55">
        <f>IF(A2319="",0,IF(COUNTIFS($A$2:A2319,A2319,$F$2:F2319,F2319,$L$2:L2319,L2319)=1,1,0))</f>
        <v>0</v>
      </c>
      <c r="P2319" s="55">
        <f>IF(A2319="",0,IF(AND(F2319="C&amp;T",COUNTIFS($A$2:A2319,A2319,$F$2:F2319,"C&amp;T")=1),1,0))</f>
        <v>0</v>
      </c>
    </row>
    <row r="2320" spans="1:16" x14ac:dyDescent="0.35">
      <c r="A2320" s="54" t="str">
        <f>IFERROR(IF(INDEX(SPOT_Import!$A$1:$Z$2488,2320,'Live Data'!$C$12)="","",INDEX(SPOT_Import!$A$1:$Z$2488,2320,'Live Data'!$C$12)),"")</f>
        <v/>
      </c>
      <c r="B2320" s="54" t="str">
        <f>IFERROR(IF(INDEX(SPOT_Import!$A$1:$Z$2488,2320,'Live Data'!$C$13)="","",INDEX(SPOT_Import!$A$1:$Z$2488,2320,'Live Data'!$C$13)),"")</f>
        <v/>
      </c>
      <c r="C2320" s="54" t="str">
        <f>IFERROR(IF(INDEX(SPOT_Import!$A$1:$Z$2488,2320,'Live Data'!$C$14)="","",INDEX(SPOT_Import!$A$1:$Z$2488,2320,'Live Data'!$C$14)),"")</f>
        <v/>
      </c>
      <c r="D2320" s="54" t="str">
        <f>IFERROR(IF(INDEX(SPOT_Import!$A$1:$Z$2488,2320,'Live Data'!$C$15)="","",INDEX(SPOT_Import!$A$1:$Z$2488,2320,'Live Data'!$C$15)),"")</f>
        <v/>
      </c>
      <c r="E2320" s="54" t="str">
        <f>IFERROR(IF(INDEX(SPOT_Import!$A$1:$Z$2488,2320,'Live Data'!$C$16)="","",INDEX(SPOT_Import!$A$1:$Z$2488,2320,'Live Data'!$C$16)),"")</f>
        <v/>
      </c>
      <c r="F2320" s="54" t="str">
        <f>IFERROR(IF(INDEX(SPOT_Import!$A$1:$Z$2488,2320,'Live Data'!$C$17)="","",INDEX(SPOT_Import!$A$1:$Z$2488,2320,'Live Data'!$C$17)),"")</f>
        <v/>
      </c>
      <c r="G2320" s="54" t="str">
        <f>IFERROR(IF(INDEX(SPOT_Import!$A$1:$Z$2488,2320,'Live Data'!$C$18)="","",INDEX(SPOT_Import!$A$1:$Z$2488,2320,'Live Data'!$C$18)),"")</f>
        <v/>
      </c>
      <c r="H2320" s="54" t="str">
        <f>IFERROR(IF(INDEX(SPOT_Import!$A$1:$Z$2488,2320,'Live Data'!$C$19)="","",INDEX(SPOT_Import!$A$1:$Z$2488,2320,'Live Data'!$C$19)),"")</f>
        <v/>
      </c>
      <c r="I2320" s="54" t="str">
        <f>IFERROR(IF(INDEX(SPOT_Import!$A$1:$Z$2488,2320,'Live Data'!$C$20)="","",INDEX(SPOT_Import!$A$1:$Z$2488,2320,'Live Data'!$C$20)),"")</f>
        <v/>
      </c>
      <c r="J2320" s="54" t="str">
        <f>IFERROR(IF(INDEX(SPOT_Import!$A$1:$Z$2488,2320,'Live Data'!$C$21)="","",INDEX(SPOT_Import!$A$1:$Z$2488,2320,'Live Data'!$C$21)),"")</f>
        <v/>
      </c>
      <c r="K2320" s="54" t="str">
        <f>IFERROR(IF(INDEX(SPOT_Import!$A$1:$Z$2488,2320,'Live Data'!$C$22)="","",INDEX(SPOT_Import!$A$1:$Z$2488,2320,'Live Data'!$C$22)),"")</f>
        <v/>
      </c>
      <c r="L2320" s="55" t="str">
        <f t="shared" si="72"/>
        <v/>
      </c>
      <c r="M2320" s="55" t="str">
        <f t="shared" si="73"/>
        <v/>
      </c>
      <c r="N2320" s="55" t="str">
        <f>IF(A2320="","",IFERROR(INDEX('Cluster Map'!$A$4:$A$38,MATCH(M2320,'Cluster Map'!$B$4:$B$38,0)),"Unmapped"))</f>
        <v/>
      </c>
      <c r="O2320" s="55">
        <f>IF(A2320="",0,IF(COUNTIFS($A$2:A2320,A2320,$F$2:F2320,F2320,$L$2:L2320,L2320)=1,1,0))</f>
        <v>0</v>
      </c>
      <c r="P2320" s="55">
        <f>IF(A2320="",0,IF(AND(F2320="C&amp;T",COUNTIFS($A$2:A2320,A2320,$F$2:F2320,"C&amp;T")=1),1,0))</f>
        <v>0</v>
      </c>
    </row>
    <row r="2321" spans="1:16" x14ac:dyDescent="0.35">
      <c r="A2321" s="54" t="str">
        <f>IFERROR(IF(INDEX(SPOT_Import!$A$1:$Z$2488,2321,'Live Data'!$C$12)="","",INDEX(SPOT_Import!$A$1:$Z$2488,2321,'Live Data'!$C$12)),"")</f>
        <v/>
      </c>
      <c r="B2321" s="54" t="str">
        <f>IFERROR(IF(INDEX(SPOT_Import!$A$1:$Z$2488,2321,'Live Data'!$C$13)="","",INDEX(SPOT_Import!$A$1:$Z$2488,2321,'Live Data'!$C$13)),"")</f>
        <v/>
      </c>
      <c r="C2321" s="54" t="str">
        <f>IFERROR(IF(INDEX(SPOT_Import!$A$1:$Z$2488,2321,'Live Data'!$C$14)="","",INDEX(SPOT_Import!$A$1:$Z$2488,2321,'Live Data'!$C$14)),"")</f>
        <v/>
      </c>
      <c r="D2321" s="54" t="str">
        <f>IFERROR(IF(INDEX(SPOT_Import!$A$1:$Z$2488,2321,'Live Data'!$C$15)="","",INDEX(SPOT_Import!$A$1:$Z$2488,2321,'Live Data'!$C$15)),"")</f>
        <v/>
      </c>
      <c r="E2321" s="54" t="str">
        <f>IFERROR(IF(INDEX(SPOT_Import!$A$1:$Z$2488,2321,'Live Data'!$C$16)="","",INDEX(SPOT_Import!$A$1:$Z$2488,2321,'Live Data'!$C$16)),"")</f>
        <v/>
      </c>
      <c r="F2321" s="54" t="str">
        <f>IFERROR(IF(INDEX(SPOT_Import!$A$1:$Z$2488,2321,'Live Data'!$C$17)="","",INDEX(SPOT_Import!$A$1:$Z$2488,2321,'Live Data'!$C$17)),"")</f>
        <v/>
      </c>
      <c r="G2321" s="54" t="str">
        <f>IFERROR(IF(INDEX(SPOT_Import!$A$1:$Z$2488,2321,'Live Data'!$C$18)="","",INDEX(SPOT_Import!$A$1:$Z$2488,2321,'Live Data'!$C$18)),"")</f>
        <v/>
      </c>
      <c r="H2321" s="54" t="str">
        <f>IFERROR(IF(INDEX(SPOT_Import!$A$1:$Z$2488,2321,'Live Data'!$C$19)="","",INDEX(SPOT_Import!$A$1:$Z$2488,2321,'Live Data'!$C$19)),"")</f>
        <v/>
      </c>
      <c r="I2321" s="54" t="str">
        <f>IFERROR(IF(INDEX(SPOT_Import!$A$1:$Z$2488,2321,'Live Data'!$C$20)="","",INDEX(SPOT_Import!$A$1:$Z$2488,2321,'Live Data'!$C$20)),"")</f>
        <v/>
      </c>
      <c r="J2321" s="54" t="str">
        <f>IFERROR(IF(INDEX(SPOT_Import!$A$1:$Z$2488,2321,'Live Data'!$C$21)="","",INDEX(SPOT_Import!$A$1:$Z$2488,2321,'Live Data'!$C$21)),"")</f>
        <v/>
      </c>
      <c r="K2321" s="54" t="str">
        <f>IFERROR(IF(INDEX(SPOT_Import!$A$1:$Z$2488,2321,'Live Data'!$C$22)="","",INDEX(SPOT_Import!$A$1:$Z$2488,2321,'Live Data'!$C$22)),"")</f>
        <v/>
      </c>
      <c r="L2321" s="55" t="str">
        <f t="shared" si="72"/>
        <v/>
      </c>
      <c r="M2321" s="55" t="str">
        <f t="shared" si="73"/>
        <v/>
      </c>
      <c r="N2321" s="55" t="str">
        <f>IF(A2321="","",IFERROR(INDEX('Cluster Map'!$A$4:$A$38,MATCH(M2321,'Cluster Map'!$B$4:$B$38,0)),"Unmapped"))</f>
        <v/>
      </c>
      <c r="O2321" s="55">
        <f>IF(A2321="",0,IF(COUNTIFS($A$2:A2321,A2321,$F$2:F2321,F2321,$L$2:L2321,L2321)=1,1,0))</f>
        <v>0</v>
      </c>
      <c r="P2321" s="55">
        <f>IF(A2321="",0,IF(AND(F2321="C&amp;T",COUNTIFS($A$2:A2321,A2321,$F$2:F2321,"C&amp;T")=1),1,0))</f>
        <v>0</v>
      </c>
    </row>
    <row r="2322" spans="1:16" x14ac:dyDescent="0.35">
      <c r="A2322" s="54" t="str">
        <f>IFERROR(IF(INDEX(SPOT_Import!$A$1:$Z$2488,2322,'Live Data'!$C$12)="","",INDEX(SPOT_Import!$A$1:$Z$2488,2322,'Live Data'!$C$12)),"")</f>
        <v/>
      </c>
      <c r="B2322" s="54" t="str">
        <f>IFERROR(IF(INDEX(SPOT_Import!$A$1:$Z$2488,2322,'Live Data'!$C$13)="","",INDEX(SPOT_Import!$A$1:$Z$2488,2322,'Live Data'!$C$13)),"")</f>
        <v/>
      </c>
      <c r="C2322" s="54" t="str">
        <f>IFERROR(IF(INDEX(SPOT_Import!$A$1:$Z$2488,2322,'Live Data'!$C$14)="","",INDEX(SPOT_Import!$A$1:$Z$2488,2322,'Live Data'!$C$14)),"")</f>
        <v/>
      </c>
      <c r="D2322" s="54" t="str">
        <f>IFERROR(IF(INDEX(SPOT_Import!$A$1:$Z$2488,2322,'Live Data'!$C$15)="","",INDEX(SPOT_Import!$A$1:$Z$2488,2322,'Live Data'!$C$15)),"")</f>
        <v/>
      </c>
      <c r="E2322" s="54" t="str">
        <f>IFERROR(IF(INDEX(SPOT_Import!$A$1:$Z$2488,2322,'Live Data'!$C$16)="","",INDEX(SPOT_Import!$A$1:$Z$2488,2322,'Live Data'!$C$16)),"")</f>
        <v/>
      </c>
      <c r="F2322" s="54" t="str">
        <f>IFERROR(IF(INDEX(SPOT_Import!$A$1:$Z$2488,2322,'Live Data'!$C$17)="","",INDEX(SPOT_Import!$A$1:$Z$2488,2322,'Live Data'!$C$17)),"")</f>
        <v/>
      </c>
      <c r="G2322" s="54" t="str">
        <f>IFERROR(IF(INDEX(SPOT_Import!$A$1:$Z$2488,2322,'Live Data'!$C$18)="","",INDEX(SPOT_Import!$A$1:$Z$2488,2322,'Live Data'!$C$18)),"")</f>
        <v/>
      </c>
      <c r="H2322" s="54" t="str">
        <f>IFERROR(IF(INDEX(SPOT_Import!$A$1:$Z$2488,2322,'Live Data'!$C$19)="","",INDEX(SPOT_Import!$A$1:$Z$2488,2322,'Live Data'!$C$19)),"")</f>
        <v/>
      </c>
      <c r="I2322" s="54" t="str">
        <f>IFERROR(IF(INDEX(SPOT_Import!$A$1:$Z$2488,2322,'Live Data'!$C$20)="","",INDEX(SPOT_Import!$A$1:$Z$2488,2322,'Live Data'!$C$20)),"")</f>
        <v/>
      </c>
      <c r="J2322" s="54" t="str">
        <f>IFERROR(IF(INDEX(SPOT_Import!$A$1:$Z$2488,2322,'Live Data'!$C$21)="","",INDEX(SPOT_Import!$A$1:$Z$2488,2322,'Live Data'!$C$21)),"")</f>
        <v/>
      </c>
      <c r="K2322" s="54" t="str">
        <f>IFERROR(IF(INDEX(SPOT_Import!$A$1:$Z$2488,2322,'Live Data'!$C$22)="","",INDEX(SPOT_Import!$A$1:$Z$2488,2322,'Live Data'!$C$22)),"")</f>
        <v/>
      </c>
      <c r="L2322" s="55" t="str">
        <f t="shared" si="72"/>
        <v/>
      </c>
      <c r="M2322" s="55" t="str">
        <f t="shared" si="73"/>
        <v/>
      </c>
      <c r="N2322" s="55" t="str">
        <f>IF(A2322="","",IFERROR(INDEX('Cluster Map'!$A$4:$A$38,MATCH(M2322,'Cluster Map'!$B$4:$B$38,0)),"Unmapped"))</f>
        <v/>
      </c>
      <c r="O2322" s="55">
        <f>IF(A2322="",0,IF(COUNTIFS($A$2:A2322,A2322,$F$2:F2322,F2322,$L$2:L2322,L2322)=1,1,0))</f>
        <v>0</v>
      </c>
      <c r="P2322" s="55">
        <f>IF(A2322="",0,IF(AND(F2322="C&amp;T",COUNTIFS($A$2:A2322,A2322,$F$2:F2322,"C&amp;T")=1),1,0))</f>
        <v>0</v>
      </c>
    </row>
    <row r="2323" spans="1:16" x14ac:dyDescent="0.35">
      <c r="A2323" s="54" t="str">
        <f>IFERROR(IF(INDEX(SPOT_Import!$A$1:$Z$2488,2323,'Live Data'!$C$12)="","",INDEX(SPOT_Import!$A$1:$Z$2488,2323,'Live Data'!$C$12)),"")</f>
        <v/>
      </c>
      <c r="B2323" s="54" t="str">
        <f>IFERROR(IF(INDEX(SPOT_Import!$A$1:$Z$2488,2323,'Live Data'!$C$13)="","",INDEX(SPOT_Import!$A$1:$Z$2488,2323,'Live Data'!$C$13)),"")</f>
        <v/>
      </c>
      <c r="C2323" s="54" t="str">
        <f>IFERROR(IF(INDEX(SPOT_Import!$A$1:$Z$2488,2323,'Live Data'!$C$14)="","",INDEX(SPOT_Import!$A$1:$Z$2488,2323,'Live Data'!$C$14)),"")</f>
        <v/>
      </c>
      <c r="D2323" s="54" t="str">
        <f>IFERROR(IF(INDEX(SPOT_Import!$A$1:$Z$2488,2323,'Live Data'!$C$15)="","",INDEX(SPOT_Import!$A$1:$Z$2488,2323,'Live Data'!$C$15)),"")</f>
        <v/>
      </c>
      <c r="E2323" s="54" t="str">
        <f>IFERROR(IF(INDEX(SPOT_Import!$A$1:$Z$2488,2323,'Live Data'!$C$16)="","",INDEX(SPOT_Import!$A$1:$Z$2488,2323,'Live Data'!$C$16)),"")</f>
        <v/>
      </c>
      <c r="F2323" s="54" t="str">
        <f>IFERROR(IF(INDEX(SPOT_Import!$A$1:$Z$2488,2323,'Live Data'!$C$17)="","",INDEX(SPOT_Import!$A$1:$Z$2488,2323,'Live Data'!$C$17)),"")</f>
        <v/>
      </c>
      <c r="G2323" s="54" t="str">
        <f>IFERROR(IF(INDEX(SPOT_Import!$A$1:$Z$2488,2323,'Live Data'!$C$18)="","",INDEX(SPOT_Import!$A$1:$Z$2488,2323,'Live Data'!$C$18)),"")</f>
        <v/>
      </c>
      <c r="H2323" s="54" t="str">
        <f>IFERROR(IF(INDEX(SPOT_Import!$A$1:$Z$2488,2323,'Live Data'!$C$19)="","",INDEX(SPOT_Import!$A$1:$Z$2488,2323,'Live Data'!$C$19)),"")</f>
        <v/>
      </c>
      <c r="I2323" s="54" t="str">
        <f>IFERROR(IF(INDEX(SPOT_Import!$A$1:$Z$2488,2323,'Live Data'!$C$20)="","",INDEX(SPOT_Import!$A$1:$Z$2488,2323,'Live Data'!$C$20)),"")</f>
        <v/>
      </c>
      <c r="J2323" s="54" t="str">
        <f>IFERROR(IF(INDEX(SPOT_Import!$A$1:$Z$2488,2323,'Live Data'!$C$21)="","",INDEX(SPOT_Import!$A$1:$Z$2488,2323,'Live Data'!$C$21)),"")</f>
        <v/>
      </c>
      <c r="K2323" s="54" t="str">
        <f>IFERROR(IF(INDEX(SPOT_Import!$A$1:$Z$2488,2323,'Live Data'!$C$22)="","",INDEX(SPOT_Import!$A$1:$Z$2488,2323,'Live Data'!$C$22)),"")</f>
        <v/>
      </c>
      <c r="L2323" s="55" t="str">
        <f t="shared" si="72"/>
        <v/>
      </c>
      <c r="M2323" s="55" t="str">
        <f t="shared" si="73"/>
        <v/>
      </c>
      <c r="N2323" s="55" t="str">
        <f>IF(A2323="","",IFERROR(INDEX('Cluster Map'!$A$4:$A$38,MATCH(M2323,'Cluster Map'!$B$4:$B$38,0)),"Unmapped"))</f>
        <v/>
      </c>
      <c r="O2323" s="55">
        <f>IF(A2323="",0,IF(COUNTIFS($A$2:A2323,A2323,$F$2:F2323,F2323,$L$2:L2323,L2323)=1,1,0))</f>
        <v>0</v>
      </c>
      <c r="P2323" s="55">
        <f>IF(A2323="",0,IF(AND(F2323="C&amp;T",COUNTIFS($A$2:A2323,A2323,$F$2:F2323,"C&amp;T")=1),1,0))</f>
        <v>0</v>
      </c>
    </row>
    <row r="2324" spans="1:16" x14ac:dyDescent="0.35">
      <c r="A2324" s="54" t="str">
        <f>IFERROR(IF(INDEX(SPOT_Import!$A$1:$Z$2488,2324,'Live Data'!$C$12)="","",INDEX(SPOT_Import!$A$1:$Z$2488,2324,'Live Data'!$C$12)),"")</f>
        <v/>
      </c>
      <c r="B2324" s="54" t="str">
        <f>IFERROR(IF(INDEX(SPOT_Import!$A$1:$Z$2488,2324,'Live Data'!$C$13)="","",INDEX(SPOT_Import!$A$1:$Z$2488,2324,'Live Data'!$C$13)),"")</f>
        <v/>
      </c>
      <c r="C2324" s="54" t="str">
        <f>IFERROR(IF(INDEX(SPOT_Import!$A$1:$Z$2488,2324,'Live Data'!$C$14)="","",INDEX(SPOT_Import!$A$1:$Z$2488,2324,'Live Data'!$C$14)),"")</f>
        <v/>
      </c>
      <c r="D2324" s="54" t="str">
        <f>IFERROR(IF(INDEX(SPOT_Import!$A$1:$Z$2488,2324,'Live Data'!$C$15)="","",INDEX(SPOT_Import!$A$1:$Z$2488,2324,'Live Data'!$C$15)),"")</f>
        <v/>
      </c>
      <c r="E2324" s="54" t="str">
        <f>IFERROR(IF(INDEX(SPOT_Import!$A$1:$Z$2488,2324,'Live Data'!$C$16)="","",INDEX(SPOT_Import!$A$1:$Z$2488,2324,'Live Data'!$C$16)),"")</f>
        <v/>
      </c>
      <c r="F2324" s="54" t="str">
        <f>IFERROR(IF(INDEX(SPOT_Import!$A$1:$Z$2488,2324,'Live Data'!$C$17)="","",INDEX(SPOT_Import!$A$1:$Z$2488,2324,'Live Data'!$C$17)),"")</f>
        <v/>
      </c>
      <c r="G2324" s="54" t="str">
        <f>IFERROR(IF(INDEX(SPOT_Import!$A$1:$Z$2488,2324,'Live Data'!$C$18)="","",INDEX(SPOT_Import!$A$1:$Z$2488,2324,'Live Data'!$C$18)),"")</f>
        <v/>
      </c>
      <c r="H2324" s="54" t="str">
        <f>IFERROR(IF(INDEX(SPOT_Import!$A$1:$Z$2488,2324,'Live Data'!$C$19)="","",INDEX(SPOT_Import!$A$1:$Z$2488,2324,'Live Data'!$C$19)),"")</f>
        <v/>
      </c>
      <c r="I2324" s="54" t="str">
        <f>IFERROR(IF(INDEX(SPOT_Import!$A$1:$Z$2488,2324,'Live Data'!$C$20)="","",INDEX(SPOT_Import!$A$1:$Z$2488,2324,'Live Data'!$C$20)),"")</f>
        <v/>
      </c>
      <c r="J2324" s="54" t="str">
        <f>IFERROR(IF(INDEX(SPOT_Import!$A$1:$Z$2488,2324,'Live Data'!$C$21)="","",INDEX(SPOT_Import!$A$1:$Z$2488,2324,'Live Data'!$C$21)),"")</f>
        <v/>
      </c>
      <c r="K2324" s="54" t="str">
        <f>IFERROR(IF(INDEX(SPOT_Import!$A$1:$Z$2488,2324,'Live Data'!$C$22)="","",INDEX(SPOT_Import!$A$1:$Z$2488,2324,'Live Data'!$C$22)),"")</f>
        <v/>
      </c>
      <c r="L2324" s="55" t="str">
        <f t="shared" si="72"/>
        <v/>
      </c>
      <c r="M2324" s="55" t="str">
        <f t="shared" si="73"/>
        <v/>
      </c>
      <c r="N2324" s="55" t="str">
        <f>IF(A2324="","",IFERROR(INDEX('Cluster Map'!$A$4:$A$38,MATCH(M2324,'Cluster Map'!$B$4:$B$38,0)),"Unmapped"))</f>
        <v/>
      </c>
      <c r="O2324" s="55">
        <f>IF(A2324="",0,IF(COUNTIFS($A$2:A2324,A2324,$F$2:F2324,F2324,$L$2:L2324,L2324)=1,1,0))</f>
        <v>0</v>
      </c>
      <c r="P2324" s="55">
        <f>IF(A2324="",0,IF(AND(F2324="C&amp;T",COUNTIFS($A$2:A2324,A2324,$F$2:F2324,"C&amp;T")=1),1,0))</f>
        <v>0</v>
      </c>
    </row>
    <row r="2325" spans="1:16" x14ac:dyDescent="0.35">
      <c r="A2325" s="54" t="str">
        <f>IFERROR(IF(INDEX(SPOT_Import!$A$1:$Z$2488,2325,'Live Data'!$C$12)="","",INDEX(SPOT_Import!$A$1:$Z$2488,2325,'Live Data'!$C$12)),"")</f>
        <v/>
      </c>
      <c r="B2325" s="54" t="str">
        <f>IFERROR(IF(INDEX(SPOT_Import!$A$1:$Z$2488,2325,'Live Data'!$C$13)="","",INDEX(SPOT_Import!$A$1:$Z$2488,2325,'Live Data'!$C$13)),"")</f>
        <v/>
      </c>
      <c r="C2325" s="54" t="str">
        <f>IFERROR(IF(INDEX(SPOT_Import!$A$1:$Z$2488,2325,'Live Data'!$C$14)="","",INDEX(SPOT_Import!$A$1:$Z$2488,2325,'Live Data'!$C$14)),"")</f>
        <v/>
      </c>
      <c r="D2325" s="54" t="str">
        <f>IFERROR(IF(INDEX(SPOT_Import!$A$1:$Z$2488,2325,'Live Data'!$C$15)="","",INDEX(SPOT_Import!$A$1:$Z$2488,2325,'Live Data'!$C$15)),"")</f>
        <v/>
      </c>
      <c r="E2325" s="54" t="str">
        <f>IFERROR(IF(INDEX(SPOT_Import!$A$1:$Z$2488,2325,'Live Data'!$C$16)="","",INDEX(SPOT_Import!$A$1:$Z$2488,2325,'Live Data'!$C$16)),"")</f>
        <v/>
      </c>
      <c r="F2325" s="54" t="str">
        <f>IFERROR(IF(INDEX(SPOT_Import!$A$1:$Z$2488,2325,'Live Data'!$C$17)="","",INDEX(SPOT_Import!$A$1:$Z$2488,2325,'Live Data'!$C$17)),"")</f>
        <v/>
      </c>
      <c r="G2325" s="54" t="str">
        <f>IFERROR(IF(INDEX(SPOT_Import!$A$1:$Z$2488,2325,'Live Data'!$C$18)="","",INDEX(SPOT_Import!$A$1:$Z$2488,2325,'Live Data'!$C$18)),"")</f>
        <v/>
      </c>
      <c r="H2325" s="54" t="str">
        <f>IFERROR(IF(INDEX(SPOT_Import!$A$1:$Z$2488,2325,'Live Data'!$C$19)="","",INDEX(SPOT_Import!$A$1:$Z$2488,2325,'Live Data'!$C$19)),"")</f>
        <v/>
      </c>
      <c r="I2325" s="54" t="str">
        <f>IFERROR(IF(INDEX(SPOT_Import!$A$1:$Z$2488,2325,'Live Data'!$C$20)="","",INDEX(SPOT_Import!$A$1:$Z$2488,2325,'Live Data'!$C$20)),"")</f>
        <v/>
      </c>
      <c r="J2325" s="54" t="str">
        <f>IFERROR(IF(INDEX(SPOT_Import!$A$1:$Z$2488,2325,'Live Data'!$C$21)="","",INDEX(SPOT_Import!$A$1:$Z$2488,2325,'Live Data'!$C$21)),"")</f>
        <v/>
      </c>
      <c r="K2325" s="54" t="str">
        <f>IFERROR(IF(INDEX(SPOT_Import!$A$1:$Z$2488,2325,'Live Data'!$C$22)="","",INDEX(SPOT_Import!$A$1:$Z$2488,2325,'Live Data'!$C$22)),"")</f>
        <v/>
      </c>
      <c r="L2325" s="55" t="str">
        <f t="shared" si="72"/>
        <v/>
      </c>
      <c r="M2325" s="55" t="str">
        <f t="shared" si="73"/>
        <v/>
      </c>
      <c r="N2325" s="55" t="str">
        <f>IF(A2325="","",IFERROR(INDEX('Cluster Map'!$A$4:$A$38,MATCH(M2325,'Cluster Map'!$B$4:$B$38,0)),"Unmapped"))</f>
        <v/>
      </c>
      <c r="O2325" s="55">
        <f>IF(A2325="",0,IF(COUNTIFS($A$2:A2325,A2325,$F$2:F2325,F2325,$L$2:L2325,L2325)=1,1,0))</f>
        <v>0</v>
      </c>
      <c r="P2325" s="55">
        <f>IF(A2325="",0,IF(AND(F2325="C&amp;T",COUNTIFS($A$2:A2325,A2325,$F$2:F2325,"C&amp;T")=1),1,0))</f>
        <v>0</v>
      </c>
    </row>
    <row r="2326" spans="1:16" x14ac:dyDescent="0.35">
      <c r="A2326" s="54" t="str">
        <f>IFERROR(IF(INDEX(SPOT_Import!$A$1:$Z$2488,2326,'Live Data'!$C$12)="","",INDEX(SPOT_Import!$A$1:$Z$2488,2326,'Live Data'!$C$12)),"")</f>
        <v/>
      </c>
      <c r="B2326" s="54" t="str">
        <f>IFERROR(IF(INDEX(SPOT_Import!$A$1:$Z$2488,2326,'Live Data'!$C$13)="","",INDEX(SPOT_Import!$A$1:$Z$2488,2326,'Live Data'!$C$13)),"")</f>
        <v/>
      </c>
      <c r="C2326" s="54" t="str">
        <f>IFERROR(IF(INDEX(SPOT_Import!$A$1:$Z$2488,2326,'Live Data'!$C$14)="","",INDEX(SPOT_Import!$A$1:$Z$2488,2326,'Live Data'!$C$14)),"")</f>
        <v/>
      </c>
      <c r="D2326" s="54" t="str">
        <f>IFERROR(IF(INDEX(SPOT_Import!$A$1:$Z$2488,2326,'Live Data'!$C$15)="","",INDEX(SPOT_Import!$A$1:$Z$2488,2326,'Live Data'!$C$15)),"")</f>
        <v/>
      </c>
      <c r="E2326" s="54" t="str">
        <f>IFERROR(IF(INDEX(SPOT_Import!$A$1:$Z$2488,2326,'Live Data'!$C$16)="","",INDEX(SPOT_Import!$A$1:$Z$2488,2326,'Live Data'!$C$16)),"")</f>
        <v/>
      </c>
      <c r="F2326" s="54" t="str">
        <f>IFERROR(IF(INDEX(SPOT_Import!$A$1:$Z$2488,2326,'Live Data'!$C$17)="","",INDEX(SPOT_Import!$A$1:$Z$2488,2326,'Live Data'!$C$17)),"")</f>
        <v/>
      </c>
      <c r="G2326" s="54" t="str">
        <f>IFERROR(IF(INDEX(SPOT_Import!$A$1:$Z$2488,2326,'Live Data'!$C$18)="","",INDEX(SPOT_Import!$A$1:$Z$2488,2326,'Live Data'!$C$18)),"")</f>
        <v/>
      </c>
      <c r="H2326" s="54" t="str">
        <f>IFERROR(IF(INDEX(SPOT_Import!$A$1:$Z$2488,2326,'Live Data'!$C$19)="","",INDEX(SPOT_Import!$A$1:$Z$2488,2326,'Live Data'!$C$19)),"")</f>
        <v/>
      </c>
      <c r="I2326" s="54" t="str">
        <f>IFERROR(IF(INDEX(SPOT_Import!$A$1:$Z$2488,2326,'Live Data'!$C$20)="","",INDEX(SPOT_Import!$A$1:$Z$2488,2326,'Live Data'!$C$20)),"")</f>
        <v/>
      </c>
      <c r="J2326" s="54" t="str">
        <f>IFERROR(IF(INDEX(SPOT_Import!$A$1:$Z$2488,2326,'Live Data'!$C$21)="","",INDEX(SPOT_Import!$A$1:$Z$2488,2326,'Live Data'!$C$21)),"")</f>
        <v/>
      </c>
      <c r="K2326" s="54" t="str">
        <f>IFERROR(IF(INDEX(SPOT_Import!$A$1:$Z$2488,2326,'Live Data'!$C$22)="","",INDEX(SPOT_Import!$A$1:$Z$2488,2326,'Live Data'!$C$22)),"")</f>
        <v/>
      </c>
      <c r="L2326" s="55" t="str">
        <f t="shared" si="72"/>
        <v/>
      </c>
      <c r="M2326" s="55" t="str">
        <f t="shared" si="73"/>
        <v/>
      </c>
      <c r="N2326" s="55" t="str">
        <f>IF(A2326="","",IFERROR(INDEX('Cluster Map'!$A$4:$A$38,MATCH(M2326,'Cluster Map'!$B$4:$B$38,0)),"Unmapped"))</f>
        <v/>
      </c>
      <c r="O2326" s="55">
        <f>IF(A2326="",0,IF(COUNTIFS($A$2:A2326,A2326,$F$2:F2326,F2326,$L$2:L2326,L2326)=1,1,0))</f>
        <v>0</v>
      </c>
      <c r="P2326" s="55">
        <f>IF(A2326="",0,IF(AND(F2326="C&amp;T",COUNTIFS($A$2:A2326,A2326,$F$2:F2326,"C&amp;T")=1),1,0))</f>
        <v>0</v>
      </c>
    </row>
    <row r="2327" spans="1:16" x14ac:dyDescent="0.35">
      <c r="A2327" s="54" t="str">
        <f>IFERROR(IF(INDEX(SPOT_Import!$A$1:$Z$2488,2327,'Live Data'!$C$12)="","",INDEX(SPOT_Import!$A$1:$Z$2488,2327,'Live Data'!$C$12)),"")</f>
        <v/>
      </c>
      <c r="B2327" s="54" t="str">
        <f>IFERROR(IF(INDEX(SPOT_Import!$A$1:$Z$2488,2327,'Live Data'!$C$13)="","",INDEX(SPOT_Import!$A$1:$Z$2488,2327,'Live Data'!$C$13)),"")</f>
        <v/>
      </c>
      <c r="C2327" s="54" t="str">
        <f>IFERROR(IF(INDEX(SPOT_Import!$A$1:$Z$2488,2327,'Live Data'!$C$14)="","",INDEX(SPOT_Import!$A$1:$Z$2488,2327,'Live Data'!$C$14)),"")</f>
        <v/>
      </c>
      <c r="D2327" s="54" t="str">
        <f>IFERROR(IF(INDEX(SPOT_Import!$A$1:$Z$2488,2327,'Live Data'!$C$15)="","",INDEX(SPOT_Import!$A$1:$Z$2488,2327,'Live Data'!$C$15)),"")</f>
        <v/>
      </c>
      <c r="E2327" s="54" t="str">
        <f>IFERROR(IF(INDEX(SPOT_Import!$A$1:$Z$2488,2327,'Live Data'!$C$16)="","",INDEX(SPOT_Import!$A$1:$Z$2488,2327,'Live Data'!$C$16)),"")</f>
        <v/>
      </c>
      <c r="F2327" s="54" t="str">
        <f>IFERROR(IF(INDEX(SPOT_Import!$A$1:$Z$2488,2327,'Live Data'!$C$17)="","",INDEX(SPOT_Import!$A$1:$Z$2488,2327,'Live Data'!$C$17)),"")</f>
        <v/>
      </c>
      <c r="G2327" s="54" t="str">
        <f>IFERROR(IF(INDEX(SPOT_Import!$A$1:$Z$2488,2327,'Live Data'!$C$18)="","",INDEX(SPOT_Import!$A$1:$Z$2488,2327,'Live Data'!$C$18)),"")</f>
        <v/>
      </c>
      <c r="H2327" s="54" t="str">
        <f>IFERROR(IF(INDEX(SPOT_Import!$A$1:$Z$2488,2327,'Live Data'!$C$19)="","",INDEX(SPOT_Import!$A$1:$Z$2488,2327,'Live Data'!$C$19)),"")</f>
        <v/>
      </c>
      <c r="I2327" s="54" t="str">
        <f>IFERROR(IF(INDEX(SPOT_Import!$A$1:$Z$2488,2327,'Live Data'!$C$20)="","",INDEX(SPOT_Import!$A$1:$Z$2488,2327,'Live Data'!$C$20)),"")</f>
        <v/>
      </c>
      <c r="J2327" s="54" t="str">
        <f>IFERROR(IF(INDEX(SPOT_Import!$A$1:$Z$2488,2327,'Live Data'!$C$21)="","",INDEX(SPOT_Import!$A$1:$Z$2488,2327,'Live Data'!$C$21)),"")</f>
        <v/>
      </c>
      <c r="K2327" s="54" t="str">
        <f>IFERROR(IF(INDEX(SPOT_Import!$A$1:$Z$2488,2327,'Live Data'!$C$22)="","",INDEX(SPOT_Import!$A$1:$Z$2488,2327,'Live Data'!$C$22)),"")</f>
        <v/>
      </c>
      <c r="L2327" s="55" t="str">
        <f t="shared" si="72"/>
        <v/>
      </c>
      <c r="M2327" s="55" t="str">
        <f t="shared" si="73"/>
        <v/>
      </c>
      <c r="N2327" s="55" t="str">
        <f>IF(A2327="","",IFERROR(INDEX('Cluster Map'!$A$4:$A$38,MATCH(M2327,'Cluster Map'!$B$4:$B$38,0)),"Unmapped"))</f>
        <v/>
      </c>
      <c r="O2327" s="55">
        <f>IF(A2327="",0,IF(COUNTIFS($A$2:A2327,A2327,$F$2:F2327,F2327,$L$2:L2327,L2327)=1,1,0))</f>
        <v>0</v>
      </c>
      <c r="P2327" s="55">
        <f>IF(A2327="",0,IF(AND(F2327="C&amp;T",COUNTIFS($A$2:A2327,A2327,$F$2:F2327,"C&amp;T")=1),1,0))</f>
        <v>0</v>
      </c>
    </row>
    <row r="2328" spans="1:16" x14ac:dyDescent="0.35">
      <c r="A2328" s="54" t="str">
        <f>IFERROR(IF(INDEX(SPOT_Import!$A$1:$Z$2488,2328,'Live Data'!$C$12)="","",INDEX(SPOT_Import!$A$1:$Z$2488,2328,'Live Data'!$C$12)),"")</f>
        <v/>
      </c>
      <c r="B2328" s="54" t="str">
        <f>IFERROR(IF(INDEX(SPOT_Import!$A$1:$Z$2488,2328,'Live Data'!$C$13)="","",INDEX(SPOT_Import!$A$1:$Z$2488,2328,'Live Data'!$C$13)),"")</f>
        <v/>
      </c>
      <c r="C2328" s="54" t="str">
        <f>IFERROR(IF(INDEX(SPOT_Import!$A$1:$Z$2488,2328,'Live Data'!$C$14)="","",INDEX(SPOT_Import!$A$1:$Z$2488,2328,'Live Data'!$C$14)),"")</f>
        <v/>
      </c>
      <c r="D2328" s="54" t="str">
        <f>IFERROR(IF(INDEX(SPOT_Import!$A$1:$Z$2488,2328,'Live Data'!$C$15)="","",INDEX(SPOT_Import!$A$1:$Z$2488,2328,'Live Data'!$C$15)),"")</f>
        <v/>
      </c>
      <c r="E2328" s="54" t="str">
        <f>IFERROR(IF(INDEX(SPOT_Import!$A$1:$Z$2488,2328,'Live Data'!$C$16)="","",INDEX(SPOT_Import!$A$1:$Z$2488,2328,'Live Data'!$C$16)),"")</f>
        <v/>
      </c>
      <c r="F2328" s="54" t="str">
        <f>IFERROR(IF(INDEX(SPOT_Import!$A$1:$Z$2488,2328,'Live Data'!$C$17)="","",INDEX(SPOT_Import!$A$1:$Z$2488,2328,'Live Data'!$C$17)),"")</f>
        <v/>
      </c>
      <c r="G2328" s="54" t="str">
        <f>IFERROR(IF(INDEX(SPOT_Import!$A$1:$Z$2488,2328,'Live Data'!$C$18)="","",INDEX(SPOT_Import!$A$1:$Z$2488,2328,'Live Data'!$C$18)),"")</f>
        <v/>
      </c>
      <c r="H2328" s="54" t="str">
        <f>IFERROR(IF(INDEX(SPOT_Import!$A$1:$Z$2488,2328,'Live Data'!$C$19)="","",INDEX(SPOT_Import!$A$1:$Z$2488,2328,'Live Data'!$C$19)),"")</f>
        <v/>
      </c>
      <c r="I2328" s="54" t="str">
        <f>IFERROR(IF(INDEX(SPOT_Import!$A$1:$Z$2488,2328,'Live Data'!$C$20)="","",INDEX(SPOT_Import!$A$1:$Z$2488,2328,'Live Data'!$C$20)),"")</f>
        <v/>
      </c>
      <c r="J2328" s="54" t="str">
        <f>IFERROR(IF(INDEX(SPOT_Import!$A$1:$Z$2488,2328,'Live Data'!$C$21)="","",INDEX(SPOT_Import!$A$1:$Z$2488,2328,'Live Data'!$C$21)),"")</f>
        <v/>
      </c>
      <c r="K2328" s="54" t="str">
        <f>IFERROR(IF(INDEX(SPOT_Import!$A$1:$Z$2488,2328,'Live Data'!$C$22)="","",INDEX(SPOT_Import!$A$1:$Z$2488,2328,'Live Data'!$C$22)),"")</f>
        <v/>
      </c>
      <c r="L2328" s="55" t="str">
        <f t="shared" si="72"/>
        <v/>
      </c>
      <c r="M2328" s="55" t="str">
        <f t="shared" si="73"/>
        <v/>
      </c>
      <c r="N2328" s="55" t="str">
        <f>IF(A2328="","",IFERROR(INDEX('Cluster Map'!$A$4:$A$38,MATCH(M2328,'Cluster Map'!$B$4:$B$38,0)),"Unmapped"))</f>
        <v/>
      </c>
      <c r="O2328" s="55">
        <f>IF(A2328="",0,IF(COUNTIFS($A$2:A2328,A2328,$F$2:F2328,F2328,$L$2:L2328,L2328)=1,1,0))</f>
        <v>0</v>
      </c>
      <c r="P2328" s="55">
        <f>IF(A2328="",0,IF(AND(F2328="C&amp;T",COUNTIFS($A$2:A2328,A2328,$F$2:F2328,"C&amp;T")=1),1,0))</f>
        <v>0</v>
      </c>
    </row>
    <row r="2329" spans="1:16" x14ac:dyDescent="0.35">
      <c r="A2329" s="54" t="str">
        <f>IFERROR(IF(INDEX(SPOT_Import!$A$1:$Z$2488,2329,'Live Data'!$C$12)="","",INDEX(SPOT_Import!$A$1:$Z$2488,2329,'Live Data'!$C$12)),"")</f>
        <v/>
      </c>
      <c r="B2329" s="54" t="str">
        <f>IFERROR(IF(INDEX(SPOT_Import!$A$1:$Z$2488,2329,'Live Data'!$C$13)="","",INDEX(SPOT_Import!$A$1:$Z$2488,2329,'Live Data'!$C$13)),"")</f>
        <v/>
      </c>
      <c r="C2329" s="54" t="str">
        <f>IFERROR(IF(INDEX(SPOT_Import!$A$1:$Z$2488,2329,'Live Data'!$C$14)="","",INDEX(SPOT_Import!$A$1:$Z$2488,2329,'Live Data'!$C$14)),"")</f>
        <v/>
      </c>
      <c r="D2329" s="54" t="str">
        <f>IFERROR(IF(INDEX(SPOT_Import!$A$1:$Z$2488,2329,'Live Data'!$C$15)="","",INDEX(SPOT_Import!$A$1:$Z$2488,2329,'Live Data'!$C$15)),"")</f>
        <v/>
      </c>
      <c r="E2329" s="54" t="str">
        <f>IFERROR(IF(INDEX(SPOT_Import!$A$1:$Z$2488,2329,'Live Data'!$C$16)="","",INDEX(SPOT_Import!$A$1:$Z$2488,2329,'Live Data'!$C$16)),"")</f>
        <v/>
      </c>
      <c r="F2329" s="54" t="str">
        <f>IFERROR(IF(INDEX(SPOT_Import!$A$1:$Z$2488,2329,'Live Data'!$C$17)="","",INDEX(SPOT_Import!$A$1:$Z$2488,2329,'Live Data'!$C$17)),"")</f>
        <v/>
      </c>
      <c r="G2329" s="54" t="str">
        <f>IFERROR(IF(INDEX(SPOT_Import!$A$1:$Z$2488,2329,'Live Data'!$C$18)="","",INDEX(SPOT_Import!$A$1:$Z$2488,2329,'Live Data'!$C$18)),"")</f>
        <v/>
      </c>
      <c r="H2329" s="54" t="str">
        <f>IFERROR(IF(INDEX(SPOT_Import!$A$1:$Z$2488,2329,'Live Data'!$C$19)="","",INDEX(SPOT_Import!$A$1:$Z$2488,2329,'Live Data'!$C$19)),"")</f>
        <v/>
      </c>
      <c r="I2329" s="54" t="str">
        <f>IFERROR(IF(INDEX(SPOT_Import!$A$1:$Z$2488,2329,'Live Data'!$C$20)="","",INDEX(SPOT_Import!$A$1:$Z$2488,2329,'Live Data'!$C$20)),"")</f>
        <v/>
      </c>
      <c r="J2329" s="54" t="str">
        <f>IFERROR(IF(INDEX(SPOT_Import!$A$1:$Z$2488,2329,'Live Data'!$C$21)="","",INDEX(SPOT_Import!$A$1:$Z$2488,2329,'Live Data'!$C$21)),"")</f>
        <v/>
      </c>
      <c r="K2329" s="54" t="str">
        <f>IFERROR(IF(INDEX(SPOT_Import!$A$1:$Z$2488,2329,'Live Data'!$C$22)="","",INDEX(SPOT_Import!$A$1:$Z$2488,2329,'Live Data'!$C$22)),"")</f>
        <v/>
      </c>
      <c r="L2329" s="55" t="str">
        <f t="shared" si="72"/>
        <v/>
      </c>
      <c r="M2329" s="55" t="str">
        <f t="shared" si="73"/>
        <v/>
      </c>
      <c r="N2329" s="55" t="str">
        <f>IF(A2329="","",IFERROR(INDEX('Cluster Map'!$A$4:$A$38,MATCH(M2329,'Cluster Map'!$B$4:$B$38,0)),"Unmapped"))</f>
        <v/>
      </c>
      <c r="O2329" s="55">
        <f>IF(A2329="",0,IF(COUNTIFS($A$2:A2329,A2329,$F$2:F2329,F2329,$L$2:L2329,L2329)=1,1,0))</f>
        <v>0</v>
      </c>
      <c r="P2329" s="55">
        <f>IF(A2329="",0,IF(AND(F2329="C&amp;T",COUNTIFS($A$2:A2329,A2329,$F$2:F2329,"C&amp;T")=1),1,0))</f>
        <v>0</v>
      </c>
    </row>
    <row r="2330" spans="1:16" x14ac:dyDescent="0.35">
      <c r="A2330" s="54" t="str">
        <f>IFERROR(IF(INDEX(SPOT_Import!$A$1:$Z$2488,2330,'Live Data'!$C$12)="","",INDEX(SPOT_Import!$A$1:$Z$2488,2330,'Live Data'!$C$12)),"")</f>
        <v/>
      </c>
      <c r="B2330" s="54" t="str">
        <f>IFERROR(IF(INDEX(SPOT_Import!$A$1:$Z$2488,2330,'Live Data'!$C$13)="","",INDEX(SPOT_Import!$A$1:$Z$2488,2330,'Live Data'!$C$13)),"")</f>
        <v/>
      </c>
      <c r="C2330" s="54" t="str">
        <f>IFERROR(IF(INDEX(SPOT_Import!$A$1:$Z$2488,2330,'Live Data'!$C$14)="","",INDEX(SPOT_Import!$A$1:$Z$2488,2330,'Live Data'!$C$14)),"")</f>
        <v/>
      </c>
      <c r="D2330" s="54" t="str">
        <f>IFERROR(IF(INDEX(SPOT_Import!$A$1:$Z$2488,2330,'Live Data'!$C$15)="","",INDEX(SPOT_Import!$A$1:$Z$2488,2330,'Live Data'!$C$15)),"")</f>
        <v/>
      </c>
      <c r="E2330" s="54" t="str">
        <f>IFERROR(IF(INDEX(SPOT_Import!$A$1:$Z$2488,2330,'Live Data'!$C$16)="","",INDEX(SPOT_Import!$A$1:$Z$2488,2330,'Live Data'!$C$16)),"")</f>
        <v/>
      </c>
      <c r="F2330" s="54" t="str">
        <f>IFERROR(IF(INDEX(SPOT_Import!$A$1:$Z$2488,2330,'Live Data'!$C$17)="","",INDEX(SPOT_Import!$A$1:$Z$2488,2330,'Live Data'!$C$17)),"")</f>
        <v/>
      </c>
      <c r="G2330" s="54" t="str">
        <f>IFERROR(IF(INDEX(SPOT_Import!$A$1:$Z$2488,2330,'Live Data'!$C$18)="","",INDEX(SPOT_Import!$A$1:$Z$2488,2330,'Live Data'!$C$18)),"")</f>
        <v/>
      </c>
      <c r="H2330" s="54" t="str">
        <f>IFERROR(IF(INDEX(SPOT_Import!$A$1:$Z$2488,2330,'Live Data'!$C$19)="","",INDEX(SPOT_Import!$A$1:$Z$2488,2330,'Live Data'!$C$19)),"")</f>
        <v/>
      </c>
      <c r="I2330" s="54" t="str">
        <f>IFERROR(IF(INDEX(SPOT_Import!$A$1:$Z$2488,2330,'Live Data'!$C$20)="","",INDEX(SPOT_Import!$A$1:$Z$2488,2330,'Live Data'!$C$20)),"")</f>
        <v/>
      </c>
      <c r="J2330" s="54" t="str">
        <f>IFERROR(IF(INDEX(SPOT_Import!$A$1:$Z$2488,2330,'Live Data'!$C$21)="","",INDEX(SPOT_Import!$A$1:$Z$2488,2330,'Live Data'!$C$21)),"")</f>
        <v/>
      </c>
      <c r="K2330" s="54" t="str">
        <f>IFERROR(IF(INDEX(SPOT_Import!$A$1:$Z$2488,2330,'Live Data'!$C$22)="","",INDEX(SPOT_Import!$A$1:$Z$2488,2330,'Live Data'!$C$22)),"")</f>
        <v/>
      </c>
      <c r="L2330" s="55" t="str">
        <f t="shared" si="72"/>
        <v/>
      </c>
      <c r="M2330" s="55" t="str">
        <f t="shared" si="73"/>
        <v/>
      </c>
      <c r="N2330" s="55" t="str">
        <f>IF(A2330="","",IFERROR(INDEX('Cluster Map'!$A$4:$A$38,MATCH(M2330,'Cluster Map'!$B$4:$B$38,0)),"Unmapped"))</f>
        <v/>
      </c>
      <c r="O2330" s="55">
        <f>IF(A2330="",0,IF(COUNTIFS($A$2:A2330,A2330,$F$2:F2330,F2330,$L$2:L2330,L2330)=1,1,0))</f>
        <v>0</v>
      </c>
      <c r="P2330" s="55">
        <f>IF(A2330="",0,IF(AND(F2330="C&amp;T",COUNTIFS($A$2:A2330,A2330,$F$2:F2330,"C&amp;T")=1),1,0))</f>
        <v>0</v>
      </c>
    </row>
    <row r="2331" spans="1:16" x14ac:dyDescent="0.35">
      <c r="A2331" s="54" t="str">
        <f>IFERROR(IF(INDEX(SPOT_Import!$A$1:$Z$2488,2331,'Live Data'!$C$12)="","",INDEX(SPOT_Import!$A$1:$Z$2488,2331,'Live Data'!$C$12)),"")</f>
        <v/>
      </c>
      <c r="B2331" s="54" t="str">
        <f>IFERROR(IF(INDEX(SPOT_Import!$A$1:$Z$2488,2331,'Live Data'!$C$13)="","",INDEX(SPOT_Import!$A$1:$Z$2488,2331,'Live Data'!$C$13)),"")</f>
        <v/>
      </c>
      <c r="C2331" s="54" t="str">
        <f>IFERROR(IF(INDEX(SPOT_Import!$A$1:$Z$2488,2331,'Live Data'!$C$14)="","",INDEX(SPOT_Import!$A$1:$Z$2488,2331,'Live Data'!$C$14)),"")</f>
        <v/>
      </c>
      <c r="D2331" s="54" t="str">
        <f>IFERROR(IF(INDEX(SPOT_Import!$A$1:$Z$2488,2331,'Live Data'!$C$15)="","",INDEX(SPOT_Import!$A$1:$Z$2488,2331,'Live Data'!$C$15)),"")</f>
        <v/>
      </c>
      <c r="E2331" s="54" t="str">
        <f>IFERROR(IF(INDEX(SPOT_Import!$A$1:$Z$2488,2331,'Live Data'!$C$16)="","",INDEX(SPOT_Import!$A$1:$Z$2488,2331,'Live Data'!$C$16)),"")</f>
        <v/>
      </c>
      <c r="F2331" s="54" t="str">
        <f>IFERROR(IF(INDEX(SPOT_Import!$A$1:$Z$2488,2331,'Live Data'!$C$17)="","",INDEX(SPOT_Import!$A$1:$Z$2488,2331,'Live Data'!$C$17)),"")</f>
        <v/>
      </c>
      <c r="G2331" s="54" t="str">
        <f>IFERROR(IF(INDEX(SPOT_Import!$A$1:$Z$2488,2331,'Live Data'!$C$18)="","",INDEX(SPOT_Import!$A$1:$Z$2488,2331,'Live Data'!$C$18)),"")</f>
        <v/>
      </c>
      <c r="H2331" s="54" t="str">
        <f>IFERROR(IF(INDEX(SPOT_Import!$A$1:$Z$2488,2331,'Live Data'!$C$19)="","",INDEX(SPOT_Import!$A$1:$Z$2488,2331,'Live Data'!$C$19)),"")</f>
        <v/>
      </c>
      <c r="I2331" s="54" t="str">
        <f>IFERROR(IF(INDEX(SPOT_Import!$A$1:$Z$2488,2331,'Live Data'!$C$20)="","",INDEX(SPOT_Import!$A$1:$Z$2488,2331,'Live Data'!$C$20)),"")</f>
        <v/>
      </c>
      <c r="J2331" s="54" t="str">
        <f>IFERROR(IF(INDEX(SPOT_Import!$A$1:$Z$2488,2331,'Live Data'!$C$21)="","",INDEX(SPOT_Import!$A$1:$Z$2488,2331,'Live Data'!$C$21)),"")</f>
        <v/>
      </c>
      <c r="K2331" s="54" t="str">
        <f>IFERROR(IF(INDEX(SPOT_Import!$A$1:$Z$2488,2331,'Live Data'!$C$22)="","",INDEX(SPOT_Import!$A$1:$Z$2488,2331,'Live Data'!$C$22)),"")</f>
        <v/>
      </c>
      <c r="L2331" s="55" t="str">
        <f t="shared" si="72"/>
        <v/>
      </c>
      <c r="M2331" s="55" t="str">
        <f t="shared" si="73"/>
        <v/>
      </c>
      <c r="N2331" s="55" t="str">
        <f>IF(A2331="","",IFERROR(INDEX('Cluster Map'!$A$4:$A$38,MATCH(M2331,'Cluster Map'!$B$4:$B$38,0)),"Unmapped"))</f>
        <v/>
      </c>
      <c r="O2331" s="55">
        <f>IF(A2331="",0,IF(COUNTIFS($A$2:A2331,A2331,$F$2:F2331,F2331,$L$2:L2331,L2331)=1,1,0))</f>
        <v>0</v>
      </c>
      <c r="P2331" s="55">
        <f>IF(A2331="",0,IF(AND(F2331="C&amp;T",COUNTIFS($A$2:A2331,A2331,$F$2:F2331,"C&amp;T")=1),1,0))</f>
        <v>0</v>
      </c>
    </row>
    <row r="2332" spans="1:16" x14ac:dyDescent="0.35">
      <c r="A2332" s="54" t="str">
        <f>IFERROR(IF(INDEX(SPOT_Import!$A$1:$Z$2488,2332,'Live Data'!$C$12)="","",INDEX(SPOT_Import!$A$1:$Z$2488,2332,'Live Data'!$C$12)),"")</f>
        <v/>
      </c>
      <c r="B2332" s="54" t="str">
        <f>IFERROR(IF(INDEX(SPOT_Import!$A$1:$Z$2488,2332,'Live Data'!$C$13)="","",INDEX(SPOT_Import!$A$1:$Z$2488,2332,'Live Data'!$C$13)),"")</f>
        <v/>
      </c>
      <c r="C2332" s="54" t="str">
        <f>IFERROR(IF(INDEX(SPOT_Import!$A$1:$Z$2488,2332,'Live Data'!$C$14)="","",INDEX(SPOT_Import!$A$1:$Z$2488,2332,'Live Data'!$C$14)),"")</f>
        <v/>
      </c>
      <c r="D2332" s="54" t="str">
        <f>IFERROR(IF(INDEX(SPOT_Import!$A$1:$Z$2488,2332,'Live Data'!$C$15)="","",INDEX(SPOT_Import!$A$1:$Z$2488,2332,'Live Data'!$C$15)),"")</f>
        <v/>
      </c>
      <c r="E2332" s="54" t="str">
        <f>IFERROR(IF(INDEX(SPOT_Import!$A$1:$Z$2488,2332,'Live Data'!$C$16)="","",INDEX(SPOT_Import!$A$1:$Z$2488,2332,'Live Data'!$C$16)),"")</f>
        <v/>
      </c>
      <c r="F2332" s="54" t="str">
        <f>IFERROR(IF(INDEX(SPOT_Import!$A$1:$Z$2488,2332,'Live Data'!$C$17)="","",INDEX(SPOT_Import!$A$1:$Z$2488,2332,'Live Data'!$C$17)),"")</f>
        <v/>
      </c>
      <c r="G2332" s="54" t="str">
        <f>IFERROR(IF(INDEX(SPOT_Import!$A$1:$Z$2488,2332,'Live Data'!$C$18)="","",INDEX(SPOT_Import!$A$1:$Z$2488,2332,'Live Data'!$C$18)),"")</f>
        <v/>
      </c>
      <c r="H2332" s="54" t="str">
        <f>IFERROR(IF(INDEX(SPOT_Import!$A$1:$Z$2488,2332,'Live Data'!$C$19)="","",INDEX(SPOT_Import!$A$1:$Z$2488,2332,'Live Data'!$C$19)),"")</f>
        <v/>
      </c>
      <c r="I2332" s="54" t="str">
        <f>IFERROR(IF(INDEX(SPOT_Import!$A$1:$Z$2488,2332,'Live Data'!$C$20)="","",INDEX(SPOT_Import!$A$1:$Z$2488,2332,'Live Data'!$C$20)),"")</f>
        <v/>
      </c>
      <c r="J2332" s="54" t="str">
        <f>IFERROR(IF(INDEX(SPOT_Import!$A$1:$Z$2488,2332,'Live Data'!$C$21)="","",INDEX(SPOT_Import!$A$1:$Z$2488,2332,'Live Data'!$C$21)),"")</f>
        <v/>
      </c>
      <c r="K2332" s="54" t="str">
        <f>IFERROR(IF(INDEX(SPOT_Import!$A$1:$Z$2488,2332,'Live Data'!$C$22)="","",INDEX(SPOT_Import!$A$1:$Z$2488,2332,'Live Data'!$C$22)),"")</f>
        <v/>
      </c>
      <c r="L2332" s="55" t="str">
        <f t="shared" si="72"/>
        <v/>
      </c>
      <c r="M2332" s="55" t="str">
        <f t="shared" si="73"/>
        <v/>
      </c>
      <c r="N2332" s="55" t="str">
        <f>IF(A2332="","",IFERROR(INDEX('Cluster Map'!$A$4:$A$38,MATCH(M2332,'Cluster Map'!$B$4:$B$38,0)),"Unmapped"))</f>
        <v/>
      </c>
      <c r="O2332" s="55">
        <f>IF(A2332="",0,IF(COUNTIFS($A$2:A2332,A2332,$F$2:F2332,F2332,$L$2:L2332,L2332)=1,1,0))</f>
        <v>0</v>
      </c>
      <c r="P2332" s="55">
        <f>IF(A2332="",0,IF(AND(F2332="C&amp;T",COUNTIFS($A$2:A2332,A2332,$F$2:F2332,"C&amp;T")=1),1,0))</f>
        <v>0</v>
      </c>
    </row>
    <row r="2333" spans="1:16" x14ac:dyDescent="0.35">
      <c r="A2333" s="54" t="str">
        <f>IFERROR(IF(INDEX(SPOT_Import!$A$1:$Z$2488,2333,'Live Data'!$C$12)="","",INDEX(SPOT_Import!$A$1:$Z$2488,2333,'Live Data'!$C$12)),"")</f>
        <v/>
      </c>
      <c r="B2333" s="54" t="str">
        <f>IFERROR(IF(INDEX(SPOT_Import!$A$1:$Z$2488,2333,'Live Data'!$C$13)="","",INDEX(SPOT_Import!$A$1:$Z$2488,2333,'Live Data'!$C$13)),"")</f>
        <v/>
      </c>
      <c r="C2333" s="54" t="str">
        <f>IFERROR(IF(INDEX(SPOT_Import!$A$1:$Z$2488,2333,'Live Data'!$C$14)="","",INDEX(SPOT_Import!$A$1:$Z$2488,2333,'Live Data'!$C$14)),"")</f>
        <v/>
      </c>
      <c r="D2333" s="54" t="str">
        <f>IFERROR(IF(INDEX(SPOT_Import!$A$1:$Z$2488,2333,'Live Data'!$C$15)="","",INDEX(SPOT_Import!$A$1:$Z$2488,2333,'Live Data'!$C$15)),"")</f>
        <v/>
      </c>
      <c r="E2333" s="54" t="str">
        <f>IFERROR(IF(INDEX(SPOT_Import!$A$1:$Z$2488,2333,'Live Data'!$C$16)="","",INDEX(SPOT_Import!$A$1:$Z$2488,2333,'Live Data'!$C$16)),"")</f>
        <v/>
      </c>
      <c r="F2333" s="54" t="str">
        <f>IFERROR(IF(INDEX(SPOT_Import!$A$1:$Z$2488,2333,'Live Data'!$C$17)="","",INDEX(SPOT_Import!$A$1:$Z$2488,2333,'Live Data'!$C$17)),"")</f>
        <v/>
      </c>
      <c r="G2333" s="54" t="str">
        <f>IFERROR(IF(INDEX(SPOT_Import!$A$1:$Z$2488,2333,'Live Data'!$C$18)="","",INDEX(SPOT_Import!$A$1:$Z$2488,2333,'Live Data'!$C$18)),"")</f>
        <v/>
      </c>
      <c r="H2333" s="54" t="str">
        <f>IFERROR(IF(INDEX(SPOT_Import!$A$1:$Z$2488,2333,'Live Data'!$C$19)="","",INDEX(SPOT_Import!$A$1:$Z$2488,2333,'Live Data'!$C$19)),"")</f>
        <v/>
      </c>
      <c r="I2333" s="54" t="str">
        <f>IFERROR(IF(INDEX(SPOT_Import!$A$1:$Z$2488,2333,'Live Data'!$C$20)="","",INDEX(SPOT_Import!$A$1:$Z$2488,2333,'Live Data'!$C$20)),"")</f>
        <v/>
      </c>
      <c r="J2333" s="54" t="str">
        <f>IFERROR(IF(INDEX(SPOT_Import!$A$1:$Z$2488,2333,'Live Data'!$C$21)="","",INDEX(SPOT_Import!$A$1:$Z$2488,2333,'Live Data'!$C$21)),"")</f>
        <v/>
      </c>
      <c r="K2333" s="54" t="str">
        <f>IFERROR(IF(INDEX(SPOT_Import!$A$1:$Z$2488,2333,'Live Data'!$C$22)="","",INDEX(SPOT_Import!$A$1:$Z$2488,2333,'Live Data'!$C$22)),"")</f>
        <v/>
      </c>
      <c r="L2333" s="55" t="str">
        <f t="shared" si="72"/>
        <v/>
      </c>
      <c r="M2333" s="55" t="str">
        <f t="shared" si="73"/>
        <v/>
      </c>
      <c r="N2333" s="55" t="str">
        <f>IF(A2333="","",IFERROR(INDEX('Cluster Map'!$A$4:$A$38,MATCH(M2333,'Cluster Map'!$B$4:$B$38,0)),"Unmapped"))</f>
        <v/>
      </c>
      <c r="O2333" s="55">
        <f>IF(A2333="",0,IF(COUNTIFS($A$2:A2333,A2333,$F$2:F2333,F2333,$L$2:L2333,L2333)=1,1,0))</f>
        <v>0</v>
      </c>
      <c r="P2333" s="55">
        <f>IF(A2333="",0,IF(AND(F2333="C&amp;T",COUNTIFS($A$2:A2333,A2333,$F$2:F2333,"C&amp;T")=1),1,0))</f>
        <v>0</v>
      </c>
    </row>
    <row r="2334" spans="1:16" x14ac:dyDescent="0.35">
      <c r="A2334" s="54" t="str">
        <f>IFERROR(IF(INDEX(SPOT_Import!$A$1:$Z$2488,2334,'Live Data'!$C$12)="","",INDEX(SPOT_Import!$A$1:$Z$2488,2334,'Live Data'!$C$12)),"")</f>
        <v/>
      </c>
      <c r="B2334" s="54" t="str">
        <f>IFERROR(IF(INDEX(SPOT_Import!$A$1:$Z$2488,2334,'Live Data'!$C$13)="","",INDEX(SPOT_Import!$A$1:$Z$2488,2334,'Live Data'!$C$13)),"")</f>
        <v/>
      </c>
      <c r="C2334" s="54" t="str">
        <f>IFERROR(IF(INDEX(SPOT_Import!$A$1:$Z$2488,2334,'Live Data'!$C$14)="","",INDEX(SPOT_Import!$A$1:$Z$2488,2334,'Live Data'!$C$14)),"")</f>
        <v/>
      </c>
      <c r="D2334" s="54" t="str">
        <f>IFERROR(IF(INDEX(SPOT_Import!$A$1:$Z$2488,2334,'Live Data'!$C$15)="","",INDEX(SPOT_Import!$A$1:$Z$2488,2334,'Live Data'!$C$15)),"")</f>
        <v/>
      </c>
      <c r="E2334" s="54" t="str">
        <f>IFERROR(IF(INDEX(SPOT_Import!$A$1:$Z$2488,2334,'Live Data'!$C$16)="","",INDEX(SPOT_Import!$A$1:$Z$2488,2334,'Live Data'!$C$16)),"")</f>
        <v/>
      </c>
      <c r="F2334" s="54" t="str">
        <f>IFERROR(IF(INDEX(SPOT_Import!$A$1:$Z$2488,2334,'Live Data'!$C$17)="","",INDEX(SPOT_Import!$A$1:$Z$2488,2334,'Live Data'!$C$17)),"")</f>
        <v/>
      </c>
      <c r="G2334" s="54" t="str">
        <f>IFERROR(IF(INDEX(SPOT_Import!$A$1:$Z$2488,2334,'Live Data'!$C$18)="","",INDEX(SPOT_Import!$A$1:$Z$2488,2334,'Live Data'!$C$18)),"")</f>
        <v/>
      </c>
      <c r="H2334" s="54" t="str">
        <f>IFERROR(IF(INDEX(SPOT_Import!$A$1:$Z$2488,2334,'Live Data'!$C$19)="","",INDEX(SPOT_Import!$A$1:$Z$2488,2334,'Live Data'!$C$19)),"")</f>
        <v/>
      </c>
      <c r="I2334" s="54" t="str">
        <f>IFERROR(IF(INDEX(SPOT_Import!$A$1:$Z$2488,2334,'Live Data'!$C$20)="","",INDEX(SPOT_Import!$A$1:$Z$2488,2334,'Live Data'!$C$20)),"")</f>
        <v/>
      </c>
      <c r="J2334" s="54" t="str">
        <f>IFERROR(IF(INDEX(SPOT_Import!$A$1:$Z$2488,2334,'Live Data'!$C$21)="","",INDEX(SPOT_Import!$A$1:$Z$2488,2334,'Live Data'!$C$21)),"")</f>
        <v/>
      </c>
      <c r="K2334" s="54" t="str">
        <f>IFERROR(IF(INDEX(SPOT_Import!$A$1:$Z$2488,2334,'Live Data'!$C$22)="","",INDEX(SPOT_Import!$A$1:$Z$2488,2334,'Live Data'!$C$22)),"")</f>
        <v/>
      </c>
      <c r="L2334" s="55" t="str">
        <f t="shared" si="72"/>
        <v/>
      </c>
      <c r="M2334" s="55" t="str">
        <f t="shared" si="73"/>
        <v/>
      </c>
      <c r="N2334" s="55" t="str">
        <f>IF(A2334="","",IFERROR(INDEX('Cluster Map'!$A$4:$A$38,MATCH(M2334,'Cluster Map'!$B$4:$B$38,0)),"Unmapped"))</f>
        <v/>
      </c>
      <c r="O2334" s="55">
        <f>IF(A2334="",0,IF(COUNTIFS($A$2:A2334,A2334,$F$2:F2334,F2334,$L$2:L2334,L2334)=1,1,0))</f>
        <v>0</v>
      </c>
      <c r="P2334" s="55">
        <f>IF(A2334="",0,IF(AND(F2334="C&amp;T",COUNTIFS($A$2:A2334,A2334,$F$2:F2334,"C&amp;T")=1),1,0))</f>
        <v>0</v>
      </c>
    </row>
    <row r="2335" spans="1:16" x14ac:dyDescent="0.35">
      <c r="A2335" s="54" t="str">
        <f>IFERROR(IF(INDEX(SPOT_Import!$A$1:$Z$2488,2335,'Live Data'!$C$12)="","",INDEX(SPOT_Import!$A$1:$Z$2488,2335,'Live Data'!$C$12)),"")</f>
        <v/>
      </c>
      <c r="B2335" s="54" t="str">
        <f>IFERROR(IF(INDEX(SPOT_Import!$A$1:$Z$2488,2335,'Live Data'!$C$13)="","",INDEX(SPOT_Import!$A$1:$Z$2488,2335,'Live Data'!$C$13)),"")</f>
        <v/>
      </c>
      <c r="C2335" s="54" t="str">
        <f>IFERROR(IF(INDEX(SPOT_Import!$A$1:$Z$2488,2335,'Live Data'!$C$14)="","",INDEX(SPOT_Import!$A$1:$Z$2488,2335,'Live Data'!$C$14)),"")</f>
        <v/>
      </c>
      <c r="D2335" s="54" t="str">
        <f>IFERROR(IF(INDEX(SPOT_Import!$A$1:$Z$2488,2335,'Live Data'!$C$15)="","",INDEX(SPOT_Import!$A$1:$Z$2488,2335,'Live Data'!$C$15)),"")</f>
        <v/>
      </c>
      <c r="E2335" s="54" t="str">
        <f>IFERROR(IF(INDEX(SPOT_Import!$A$1:$Z$2488,2335,'Live Data'!$C$16)="","",INDEX(SPOT_Import!$A$1:$Z$2488,2335,'Live Data'!$C$16)),"")</f>
        <v/>
      </c>
      <c r="F2335" s="54" t="str">
        <f>IFERROR(IF(INDEX(SPOT_Import!$A$1:$Z$2488,2335,'Live Data'!$C$17)="","",INDEX(SPOT_Import!$A$1:$Z$2488,2335,'Live Data'!$C$17)),"")</f>
        <v/>
      </c>
      <c r="G2335" s="54" t="str">
        <f>IFERROR(IF(INDEX(SPOT_Import!$A$1:$Z$2488,2335,'Live Data'!$C$18)="","",INDEX(SPOT_Import!$A$1:$Z$2488,2335,'Live Data'!$C$18)),"")</f>
        <v/>
      </c>
      <c r="H2335" s="54" t="str">
        <f>IFERROR(IF(INDEX(SPOT_Import!$A$1:$Z$2488,2335,'Live Data'!$C$19)="","",INDEX(SPOT_Import!$A$1:$Z$2488,2335,'Live Data'!$C$19)),"")</f>
        <v/>
      </c>
      <c r="I2335" s="54" t="str">
        <f>IFERROR(IF(INDEX(SPOT_Import!$A$1:$Z$2488,2335,'Live Data'!$C$20)="","",INDEX(SPOT_Import!$A$1:$Z$2488,2335,'Live Data'!$C$20)),"")</f>
        <v/>
      </c>
      <c r="J2335" s="54" t="str">
        <f>IFERROR(IF(INDEX(SPOT_Import!$A$1:$Z$2488,2335,'Live Data'!$C$21)="","",INDEX(SPOT_Import!$A$1:$Z$2488,2335,'Live Data'!$C$21)),"")</f>
        <v/>
      </c>
      <c r="K2335" s="54" t="str">
        <f>IFERROR(IF(INDEX(SPOT_Import!$A$1:$Z$2488,2335,'Live Data'!$C$22)="","",INDEX(SPOT_Import!$A$1:$Z$2488,2335,'Live Data'!$C$22)),"")</f>
        <v/>
      </c>
      <c r="L2335" s="55" t="str">
        <f t="shared" si="72"/>
        <v/>
      </c>
      <c r="M2335" s="55" t="str">
        <f t="shared" si="73"/>
        <v/>
      </c>
      <c r="N2335" s="55" t="str">
        <f>IF(A2335="","",IFERROR(INDEX('Cluster Map'!$A$4:$A$38,MATCH(M2335,'Cluster Map'!$B$4:$B$38,0)),"Unmapped"))</f>
        <v/>
      </c>
      <c r="O2335" s="55">
        <f>IF(A2335="",0,IF(COUNTIFS($A$2:A2335,A2335,$F$2:F2335,F2335,$L$2:L2335,L2335)=1,1,0))</f>
        <v>0</v>
      </c>
      <c r="P2335" s="55">
        <f>IF(A2335="",0,IF(AND(F2335="C&amp;T",COUNTIFS($A$2:A2335,A2335,$F$2:F2335,"C&amp;T")=1),1,0))</f>
        <v>0</v>
      </c>
    </row>
    <row r="2336" spans="1:16" x14ac:dyDescent="0.35">
      <c r="A2336" s="54" t="str">
        <f>IFERROR(IF(INDEX(SPOT_Import!$A$1:$Z$2488,2336,'Live Data'!$C$12)="","",INDEX(SPOT_Import!$A$1:$Z$2488,2336,'Live Data'!$C$12)),"")</f>
        <v/>
      </c>
      <c r="B2336" s="54" t="str">
        <f>IFERROR(IF(INDEX(SPOT_Import!$A$1:$Z$2488,2336,'Live Data'!$C$13)="","",INDEX(SPOT_Import!$A$1:$Z$2488,2336,'Live Data'!$C$13)),"")</f>
        <v/>
      </c>
      <c r="C2336" s="54" t="str">
        <f>IFERROR(IF(INDEX(SPOT_Import!$A$1:$Z$2488,2336,'Live Data'!$C$14)="","",INDEX(SPOT_Import!$A$1:$Z$2488,2336,'Live Data'!$C$14)),"")</f>
        <v/>
      </c>
      <c r="D2336" s="54" t="str">
        <f>IFERROR(IF(INDEX(SPOT_Import!$A$1:$Z$2488,2336,'Live Data'!$C$15)="","",INDEX(SPOT_Import!$A$1:$Z$2488,2336,'Live Data'!$C$15)),"")</f>
        <v/>
      </c>
      <c r="E2336" s="54" t="str">
        <f>IFERROR(IF(INDEX(SPOT_Import!$A$1:$Z$2488,2336,'Live Data'!$C$16)="","",INDEX(SPOT_Import!$A$1:$Z$2488,2336,'Live Data'!$C$16)),"")</f>
        <v/>
      </c>
      <c r="F2336" s="54" t="str">
        <f>IFERROR(IF(INDEX(SPOT_Import!$A$1:$Z$2488,2336,'Live Data'!$C$17)="","",INDEX(SPOT_Import!$A$1:$Z$2488,2336,'Live Data'!$C$17)),"")</f>
        <v/>
      </c>
      <c r="G2336" s="54" t="str">
        <f>IFERROR(IF(INDEX(SPOT_Import!$A$1:$Z$2488,2336,'Live Data'!$C$18)="","",INDEX(SPOT_Import!$A$1:$Z$2488,2336,'Live Data'!$C$18)),"")</f>
        <v/>
      </c>
      <c r="H2336" s="54" t="str">
        <f>IFERROR(IF(INDEX(SPOT_Import!$A$1:$Z$2488,2336,'Live Data'!$C$19)="","",INDEX(SPOT_Import!$A$1:$Z$2488,2336,'Live Data'!$C$19)),"")</f>
        <v/>
      </c>
      <c r="I2336" s="54" t="str">
        <f>IFERROR(IF(INDEX(SPOT_Import!$A$1:$Z$2488,2336,'Live Data'!$C$20)="","",INDEX(SPOT_Import!$A$1:$Z$2488,2336,'Live Data'!$C$20)),"")</f>
        <v/>
      </c>
      <c r="J2336" s="54" t="str">
        <f>IFERROR(IF(INDEX(SPOT_Import!$A$1:$Z$2488,2336,'Live Data'!$C$21)="","",INDEX(SPOT_Import!$A$1:$Z$2488,2336,'Live Data'!$C$21)),"")</f>
        <v/>
      </c>
      <c r="K2336" s="54" t="str">
        <f>IFERROR(IF(INDEX(SPOT_Import!$A$1:$Z$2488,2336,'Live Data'!$C$22)="","",INDEX(SPOT_Import!$A$1:$Z$2488,2336,'Live Data'!$C$22)),"")</f>
        <v/>
      </c>
      <c r="L2336" s="55" t="str">
        <f t="shared" si="72"/>
        <v/>
      </c>
      <c r="M2336" s="55" t="str">
        <f t="shared" si="73"/>
        <v/>
      </c>
      <c r="N2336" s="55" t="str">
        <f>IF(A2336="","",IFERROR(INDEX('Cluster Map'!$A$4:$A$38,MATCH(M2336,'Cluster Map'!$B$4:$B$38,0)),"Unmapped"))</f>
        <v/>
      </c>
      <c r="O2336" s="55">
        <f>IF(A2336="",0,IF(COUNTIFS($A$2:A2336,A2336,$F$2:F2336,F2336,$L$2:L2336,L2336)=1,1,0))</f>
        <v>0</v>
      </c>
      <c r="P2336" s="55">
        <f>IF(A2336="",0,IF(AND(F2336="C&amp;T",COUNTIFS($A$2:A2336,A2336,$F$2:F2336,"C&amp;T")=1),1,0))</f>
        <v>0</v>
      </c>
    </row>
    <row r="2337" spans="1:16" x14ac:dyDescent="0.35">
      <c r="A2337" s="54" t="str">
        <f>IFERROR(IF(INDEX(SPOT_Import!$A$1:$Z$2488,2337,'Live Data'!$C$12)="","",INDEX(SPOT_Import!$A$1:$Z$2488,2337,'Live Data'!$C$12)),"")</f>
        <v/>
      </c>
      <c r="B2337" s="54" t="str">
        <f>IFERROR(IF(INDEX(SPOT_Import!$A$1:$Z$2488,2337,'Live Data'!$C$13)="","",INDEX(SPOT_Import!$A$1:$Z$2488,2337,'Live Data'!$C$13)),"")</f>
        <v/>
      </c>
      <c r="C2337" s="54" t="str">
        <f>IFERROR(IF(INDEX(SPOT_Import!$A$1:$Z$2488,2337,'Live Data'!$C$14)="","",INDEX(SPOT_Import!$A$1:$Z$2488,2337,'Live Data'!$C$14)),"")</f>
        <v/>
      </c>
      <c r="D2337" s="54" t="str">
        <f>IFERROR(IF(INDEX(SPOT_Import!$A$1:$Z$2488,2337,'Live Data'!$C$15)="","",INDEX(SPOT_Import!$A$1:$Z$2488,2337,'Live Data'!$C$15)),"")</f>
        <v/>
      </c>
      <c r="E2337" s="54" t="str">
        <f>IFERROR(IF(INDEX(SPOT_Import!$A$1:$Z$2488,2337,'Live Data'!$C$16)="","",INDEX(SPOT_Import!$A$1:$Z$2488,2337,'Live Data'!$C$16)),"")</f>
        <v/>
      </c>
      <c r="F2337" s="54" t="str">
        <f>IFERROR(IF(INDEX(SPOT_Import!$A$1:$Z$2488,2337,'Live Data'!$C$17)="","",INDEX(SPOT_Import!$A$1:$Z$2488,2337,'Live Data'!$C$17)),"")</f>
        <v/>
      </c>
      <c r="G2337" s="54" t="str">
        <f>IFERROR(IF(INDEX(SPOT_Import!$A$1:$Z$2488,2337,'Live Data'!$C$18)="","",INDEX(SPOT_Import!$A$1:$Z$2488,2337,'Live Data'!$C$18)),"")</f>
        <v/>
      </c>
      <c r="H2337" s="54" t="str">
        <f>IFERROR(IF(INDEX(SPOT_Import!$A$1:$Z$2488,2337,'Live Data'!$C$19)="","",INDEX(SPOT_Import!$A$1:$Z$2488,2337,'Live Data'!$C$19)),"")</f>
        <v/>
      </c>
      <c r="I2337" s="54" t="str">
        <f>IFERROR(IF(INDEX(SPOT_Import!$A$1:$Z$2488,2337,'Live Data'!$C$20)="","",INDEX(SPOT_Import!$A$1:$Z$2488,2337,'Live Data'!$C$20)),"")</f>
        <v/>
      </c>
      <c r="J2337" s="54" t="str">
        <f>IFERROR(IF(INDEX(SPOT_Import!$A$1:$Z$2488,2337,'Live Data'!$C$21)="","",INDEX(SPOT_Import!$A$1:$Z$2488,2337,'Live Data'!$C$21)),"")</f>
        <v/>
      </c>
      <c r="K2337" s="54" t="str">
        <f>IFERROR(IF(INDEX(SPOT_Import!$A$1:$Z$2488,2337,'Live Data'!$C$22)="","",INDEX(SPOT_Import!$A$1:$Z$2488,2337,'Live Data'!$C$22)),"")</f>
        <v/>
      </c>
      <c r="L2337" s="55" t="str">
        <f t="shared" si="72"/>
        <v/>
      </c>
      <c r="M2337" s="55" t="str">
        <f t="shared" si="73"/>
        <v/>
      </c>
      <c r="N2337" s="55" t="str">
        <f>IF(A2337="","",IFERROR(INDEX('Cluster Map'!$A$4:$A$38,MATCH(M2337,'Cluster Map'!$B$4:$B$38,0)),"Unmapped"))</f>
        <v/>
      </c>
      <c r="O2337" s="55">
        <f>IF(A2337="",0,IF(COUNTIFS($A$2:A2337,A2337,$F$2:F2337,F2337,$L$2:L2337,L2337)=1,1,0))</f>
        <v>0</v>
      </c>
      <c r="P2337" s="55">
        <f>IF(A2337="",0,IF(AND(F2337="C&amp;T",COUNTIFS($A$2:A2337,A2337,$F$2:F2337,"C&amp;T")=1),1,0))</f>
        <v>0</v>
      </c>
    </row>
    <row r="2338" spans="1:16" x14ac:dyDescent="0.35">
      <c r="A2338" s="54" t="str">
        <f>IFERROR(IF(INDEX(SPOT_Import!$A$1:$Z$2488,2338,'Live Data'!$C$12)="","",INDEX(SPOT_Import!$A$1:$Z$2488,2338,'Live Data'!$C$12)),"")</f>
        <v/>
      </c>
      <c r="B2338" s="54" t="str">
        <f>IFERROR(IF(INDEX(SPOT_Import!$A$1:$Z$2488,2338,'Live Data'!$C$13)="","",INDEX(SPOT_Import!$A$1:$Z$2488,2338,'Live Data'!$C$13)),"")</f>
        <v/>
      </c>
      <c r="C2338" s="54" t="str">
        <f>IFERROR(IF(INDEX(SPOT_Import!$A$1:$Z$2488,2338,'Live Data'!$C$14)="","",INDEX(SPOT_Import!$A$1:$Z$2488,2338,'Live Data'!$C$14)),"")</f>
        <v/>
      </c>
      <c r="D2338" s="54" t="str">
        <f>IFERROR(IF(INDEX(SPOT_Import!$A$1:$Z$2488,2338,'Live Data'!$C$15)="","",INDEX(SPOT_Import!$A$1:$Z$2488,2338,'Live Data'!$C$15)),"")</f>
        <v/>
      </c>
      <c r="E2338" s="54" t="str">
        <f>IFERROR(IF(INDEX(SPOT_Import!$A$1:$Z$2488,2338,'Live Data'!$C$16)="","",INDEX(SPOT_Import!$A$1:$Z$2488,2338,'Live Data'!$C$16)),"")</f>
        <v/>
      </c>
      <c r="F2338" s="54" t="str">
        <f>IFERROR(IF(INDEX(SPOT_Import!$A$1:$Z$2488,2338,'Live Data'!$C$17)="","",INDEX(SPOT_Import!$A$1:$Z$2488,2338,'Live Data'!$C$17)),"")</f>
        <v/>
      </c>
      <c r="G2338" s="54" t="str">
        <f>IFERROR(IF(INDEX(SPOT_Import!$A$1:$Z$2488,2338,'Live Data'!$C$18)="","",INDEX(SPOT_Import!$A$1:$Z$2488,2338,'Live Data'!$C$18)),"")</f>
        <v/>
      </c>
      <c r="H2338" s="54" t="str">
        <f>IFERROR(IF(INDEX(SPOT_Import!$A$1:$Z$2488,2338,'Live Data'!$C$19)="","",INDEX(SPOT_Import!$A$1:$Z$2488,2338,'Live Data'!$C$19)),"")</f>
        <v/>
      </c>
      <c r="I2338" s="54" t="str">
        <f>IFERROR(IF(INDEX(SPOT_Import!$A$1:$Z$2488,2338,'Live Data'!$C$20)="","",INDEX(SPOT_Import!$A$1:$Z$2488,2338,'Live Data'!$C$20)),"")</f>
        <v/>
      </c>
      <c r="J2338" s="54" t="str">
        <f>IFERROR(IF(INDEX(SPOT_Import!$A$1:$Z$2488,2338,'Live Data'!$C$21)="","",INDEX(SPOT_Import!$A$1:$Z$2488,2338,'Live Data'!$C$21)),"")</f>
        <v/>
      </c>
      <c r="K2338" s="54" t="str">
        <f>IFERROR(IF(INDEX(SPOT_Import!$A$1:$Z$2488,2338,'Live Data'!$C$22)="","",INDEX(SPOT_Import!$A$1:$Z$2488,2338,'Live Data'!$C$22)),"")</f>
        <v/>
      </c>
      <c r="L2338" s="55" t="str">
        <f t="shared" si="72"/>
        <v/>
      </c>
      <c r="M2338" s="55" t="str">
        <f t="shared" si="73"/>
        <v/>
      </c>
      <c r="N2338" s="55" t="str">
        <f>IF(A2338="","",IFERROR(INDEX('Cluster Map'!$A$4:$A$38,MATCH(M2338,'Cluster Map'!$B$4:$B$38,0)),"Unmapped"))</f>
        <v/>
      </c>
      <c r="O2338" s="55">
        <f>IF(A2338="",0,IF(COUNTIFS($A$2:A2338,A2338,$F$2:F2338,F2338,$L$2:L2338,L2338)=1,1,0))</f>
        <v>0</v>
      </c>
      <c r="P2338" s="55">
        <f>IF(A2338="",0,IF(AND(F2338="C&amp;T",COUNTIFS($A$2:A2338,A2338,$F$2:F2338,"C&amp;T")=1),1,0))</f>
        <v>0</v>
      </c>
    </row>
    <row r="2339" spans="1:16" x14ac:dyDescent="0.35">
      <c r="A2339" s="54" t="str">
        <f>IFERROR(IF(INDEX(SPOT_Import!$A$1:$Z$2488,2339,'Live Data'!$C$12)="","",INDEX(SPOT_Import!$A$1:$Z$2488,2339,'Live Data'!$C$12)),"")</f>
        <v/>
      </c>
      <c r="B2339" s="54" t="str">
        <f>IFERROR(IF(INDEX(SPOT_Import!$A$1:$Z$2488,2339,'Live Data'!$C$13)="","",INDEX(SPOT_Import!$A$1:$Z$2488,2339,'Live Data'!$C$13)),"")</f>
        <v/>
      </c>
      <c r="C2339" s="54" t="str">
        <f>IFERROR(IF(INDEX(SPOT_Import!$A$1:$Z$2488,2339,'Live Data'!$C$14)="","",INDEX(SPOT_Import!$A$1:$Z$2488,2339,'Live Data'!$C$14)),"")</f>
        <v/>
      </c>
      <c r="D2339" s="54" t="str">
        <f>IFERROR(IF(INDEX(SPOT_Import!$A$1:$Z$2488,2339,'Live Data'!$C$15)="","",INDEX(SPOT_Import!$A$1:$Z$2488,2339,'Live Data'!$C$15)),"")</f>
        <v/>
      </c>
      <c r="E2339" s="54" t="str">
        <f>IFERROR(IF(INDEX(SPOT_Import!$A$1:$Z$2488,2339,'Live Data'!$C$16)="","",INDEX(SPOT_Import!$A$1:$Z$2488,2339,'Live Data'!$C$16)),"")</f>
        <v/>
      </c>
      <c r="F2339" s="54" t="str">
        <f>IFERROR(IF(INDEX(SPOT_Import!$A$1:$Z$2488,2339,'Live Data'!$C$17)="","",INDEX(SPOT_Import!$A$1:$Z$2488,2339,'Live Data'!$C$17)),"")</f>
        <v/>
      </c>
      <c r="G2339" s="54" t="str">
        <f>IFERROR(IF(INDEX(SPOT_Import!$A$1:$Z$2488,2339,'Live Data'!$C$18)="","",INDEX(SPOT_Import!$A$1:$Z$2488,2339,'Live Data'!$C$18)),"")</f>
        <v/>
      </c>
      <c r="H2339" s="54" t="str">
        <f>IFERROR(IF(INDEX(SPOT_Import!$A$1:$Z$2488,2339,'Live Data'!$C$19)="","",INDEX(SPOT_Import!$A$1:$Z$2488,2339,'Live Data'!$C$19)),"")</f>
        <v/>
      </c>
      <c r="I2339" s="54" t="str">
        <f>IFERROR(IF(INDEX(SPOT_Import!$A$1:$Z$2488,2339,'Live Data'!$C$20)="","",INDEX(SPOT_Import!$A$1:$Z$2488,2339,'Live Data'!$C$20)),"")</f>
        <v/>
      </c>
      <c r="J2339" s="54" t="str">
        <f>IFERROR(IF(INDEX(SPOT_Import!$A$1:$Z$2488,2339,'Live Data'!$C$21)="","",INDEX(SPOT_Import!$A$1:$Z$2488,2339,'Live Data'!$C$21)),"")</f>
        <v/>
      </c>
      <c r="K2339" s="54" t="str">
        <f>IFERROR(IF(INDEX(SPOT_Import!$A$1:$Z$2488,2339,'Live Data'!$C$22)="","",INDEX(SPOT_Import!$A$1:$Z$2488,2339,'Live Data'!$C$22)),"")</f>
        <v/>
      </c>
      <c r="L2339" s="55" t="str">
        <f t="shared" si="72"/>
        <v/>
      </c>
      <c r="M2339" s="55" t="str">
        <f t="shared" si="73"/>
        <v/>
      </c>
      <c r="N2339" s="55" t="str">
        <f>IF(A2339="","",IFERROR(INDEX('Cluster Map'!$A$4:$A$38,MATCH(M2339,'Cluster Map'!$B$4:$B$38,0)),"Unmapped"))</f>
        <v/>
      </c>
      <c r="O2339" s="55">
        <f>IF(A2339="",0,IF(COUNTIFS($A$2:A2339,A2339,$F$2:F2339,F2339,$L$2:L2339,L2339)=1,1,0))</f>
        <v>0</v>
      </c>
      <c r="P2339" s="55">
        <f>IF(A2339="",0,IF(AND(F2339="C&amp;T",COUNTIFS($A$2:A2339,A2339,$F$2:F2339,"C&amp;T")=1),1,0))</f>
        <v>0</v>
      </c>
    </row>
    <row r="2340" spans="1:16" x14ac:dyDescent="0.35">
      <c r="A2340" s="54" t="str">
        <f>IFERROR(IF(INDEX(SPOT_Import!$A$1:$Z$2488,2340,'Live Data'!$C$12)="","",INDEX(SPOT_Import!$A$1:$Z$2488,2340,'Live Data'!$C$12)),"")</f>
        <v/>
      </c>
      <c r="B2340" s="54" t="str">
        <f>IFERROR(IF(INDEX(SPOT_Import!$A$1:$Z$2488,2340,'Live Data'!$C$13)="","",INDEX(SPOT_Import!$A$1:$Z$2488,2340,'Live Data'!$C$13)),"")</f>
        <v/>
      </c>
      <c r="C2340" s="54" t="str">
        <f>IFERROR(IF(INDEX(SPOT_Import!$A$1:$Z$2488,2340,'Live Data'!$C$14)="","",INDEX(SPOT_Import!$A$1:$Z$2488,2340,'Live Data'!$C$14)),"")</f>
        <v/>
      </c>
      <c r="D2340" s="54" t="str">
        <f>IFERROR(IF(INDEX(SPOT_Import!$A$1:$Z$2488,2340,'Live Data'!$C$15)="","",INDEX(SPOT_Import!$A$1:$Z$2488,2340,'Live Data'!$C$15)),"")</f>
        <v/>
      </c>
      <c r="E2340" s="54" t="str">
        <f>IFERROR(IF(INDEX(SPOT_Import!$A$1:$Z$2488,2340,'Live Data'!$C$16)="","",INDEX(SPOT_Import!$A$1:$Z$2488,2340,'Live Data'!$C$16)),"")</f>
        <v/>
      </c>
      <c r="F2340" s="54" t="str">
        <f>IFERROR(IF(INDEX(SPOT_Import!$A$1:$Z$2488,2340,'Live Data'!$C$17)="","",INDEX(SPOT_Import!$A$1:$Z$2488,2340,'Live Data'!$C$17)),"")</f>
        <v/>
      </c>
      <c r="G2340" s="54" t="str">
        <f>IFERROR(IF(INDEX(SPOT_Import!$A$1:$Z$2488,2340,'Live Data'!$C$18)="","",INDEX(SPOT_Import!$A$1:$Z$2488,2340,'Live Data'!$C$18)),"")</f>
        <v/>
      </c>
      <c r="H2340" s="54" t="str">
        <f>IFERROR(IF(INDEX(SPOT_Import!$A$1:$Z$2488,2340,'Live Data'!$C$19)="","",INDEX(SPOT_Import!$A$1:$Z$2488,2340,'Live Data'!$C$19)),"")</f>
        <v/>
      </c>
      <c r="I2340" s="54" t="str">
        <f>IFERROR(IF(INDEX(SPOT_Import!$A$1:$Z$2488,2340,'Live Data'!$C$20)="","",INDEX(SPOT_Import!$A$1:$Z$2488,2340,'Live Data'!$C$20)),"")</f>
        <v/>
      </c>
      <c r="J2340" s="54" t="str">
        <f>IFERROR(IF(INDEX(SPOT_Import!$A$1:$Z$2488,2340,'Live Data'!$C$21)="","",INDEX(SPOT_Import!$A$1:$Z$2488,2340,'Live Data'!$C$21)),"")</f>
        <v/>
      </c>
      <c r="K2340" s="54" t="str">
        <f>IFERROR(IF(INDEX(SPOT_Import!$A$1:$Z$2488,2340,'Live Data'!$C$22)="","",INDEX(SPOT_Import!$A$1:$Z$2488,2340,'Live Data'!$C$22)),"")</f>
        <v/>
      </c>
      <c r="L2340" s="55" t="str">
        <f t="shared" si="72"/>
        <v/>
      </c>
      <c r="M2340" s="55" t="str">
        <f t="shared" si="73"/>
        <v/>
      </c>
      <c r="N2340" s="55" t="str">
        <f>IF(A2340="","",IFERROR(INDEX('Cluster Map'!$A$4:$A$38,MATCH(M2340,'Cluster Map'!$B$4:$B$38,0)),"Unmapped"))</f>
        <v/>
      </c>
      <c r="O2340" s="55">
        <f>IF(A2340="",0,IF(COUNTIFS($A$2:A2340,A2340,$F$2:F2340,F2340,$L$2:L2340,L2340)=1,1,0))</f>
        <v>0</v>
      </c>
      <c r="P2340" s="55">
        <f>IF(A2340="",0,IF(AND(F2340="C&amp;T",COUNTIFS($A$2:A2340,A2340,$F$2:F2340,"C&amp;T")=1),1,0))</f>
        <v>0</v>
      </c>
    </row>
    <row r="2341" spans="1:16" x14ac:dyDescent="0.35">
      <c r="A2341" s="54" t="str">
        <f>IFERROR(IF(INDEX(SPOT_Import!$A$1:$Z$2488,2341,'Live Data'!$C$12)="","",INDEX(SPOT_Import!$A$1:$Z$2488,2341,'Live Data'!$C$12)),"")</f>
        <v/>
      </c>
      <c r="B2341" s="54" t="str">
        <f>IFERROR(IF(INDEX(SPOT_Import!$A$1:$Z$2488,2341,'Live Data'!$C$13)="","",INDEX(SPOT_Import!$A$1:$Z$2488,2341,'Live Data'!$C$13)),"")</f>
        <v/>
      </c>
      <c r="C2341" s="54" t="str">
        <f>IFERROR(IF(INDEX(SPOT_Import!$A$1:$Z$2488,2341,'Live Data'!$C$14)="","",INDEX(SPOT_Import!$A$1:$Z$2488,2341,'Live Data'!$C$14)),"")</f>
        <v/>
      </c>
      <c r="D2341" s="54" t="str">
        <f>IFERROR(IF(INDEX(SPOT_Import!$A$1:$Z$2488,2341,'Live Data'!$C$15)="","",INDEX(SPOT_Import!$A$1:$Z$2488,2341,'Live Data'!$C$15)),"")</f>
        <v/>
      </c>
      <c r="E2341" s="54" t="str">
        <f>IFERROR(IF(INDEX(SPOT_Import!$A$1:$Z$2488,2341,'Live Data'!$C$16)="","",INDEX(SPOT_Import!$A$1:$Z$2488,2341,'Live Data'!$C$16)),"")</f>
        <v/>
      </c>
      <c r="F2341" s="54" t="str">
        <f>IFERROR(IF(INDEX(SPOT_Import!$A$1:$Z$2488,2341,'Live Data'!$C$17)="","",INDEX(SPOT_Import!$A$1:$Z$2488,2341,'Live Data'!$C$17)),"")</f>
        <v/>
      </c>
      <c r="G2341" s="54" t="str">
        <f>IFERROR(IF(INDEX(SPOT_Import!$A$1:$Z$2488,2341,'Live Data'!$C$18)="","",INDEX(SPOT_Import!$A$1:$Z$2488,2341,'Live Data'!$C$18)),"")</f>
        <v/>
      </c>
      <c r="H2341" s="54" t="str">
        <f>IFERROR(IF(INDEX(SPOT_Import!$A$1:$Z$2488,2341,'Live Data'!$C$19)="","",INDEX(SPOT_Import!$A$1:$Z$2488,2341,'Live Data'!$C$19)),"")</f>
        <v/>
      </c>
      <c r="I2341" s="54" t="str">
        <f>IFERROR(IF(INDEX(SPOT_Import!$A$1:$Z$2488,2341,'Live Data'!$C$20)="","",INDEX(SPOT_Import!$A$1:$Z$2488,2341,'Live Data'!$C$20)),"")</f>
        <v/>
      </c>
      <c r="J2341" s="54" t="str">
        <f>IFERROR(IF(INDEX(SPOT_Import!$A$1:$Z$2488,2341,'Live Data'!$C$21)="","",INDEX(SPOT_Import!$A$1:$Z$2488,2341,'Live Data'!$C$21)),"")</f>
        <v/>
      </c>
      <c r="K2341" s="54" t="str">
        <f>IFERROR(IF(INDEX(SPOT_Import!$A$1:$Z$2488,2341,'Live Data'!$C$22)="","",INDEX(SPOT_Import!$A$1:$Z$2488,2341,'Live Data'!$C$22)),"")</f>
        <v/>
      </c>
      <c r="L2341" s="55" t="str">
        <f t="shared" si="72"/>
        <v/>
      </c>
      <c r="M2341" s="55" t="str">
        <f t="shared" si="73"/>
        <v/>
      </c>
      <c r="N2341" s="55" t="str">
        <f>IF(A2341="","",IFERROR(INDEX('Cluster Map'!$A$4:$A$38,MATCH(M2341,'Cluster Map'!$B$4:$B$38,0)),"Unmapped"))</f>
        <v/>
      </c>
      <c r="O2341" s="55">
        <f>IF(A2341="",0,IF(COUNTIFS($A$2:A2341,A2341,$F$2:F2341,F2341,$L$2:L2341,L2341)=1,1,0))</f>
        <v>0</v>
      </c>
      <c r="P2341" s="55">
        <f>IF(A2341="",0,IF(AND(F2341="C&amp;T",COUNTIFS($A$2:A2341,A2341,$F$2:F2341,"C&amp;T")=1),1,0))</f>
        <v>0</v>
      </c>
    </row>
    <row r="2342" spans="1:16" x14ac:dyDescent="0.35">
      <c r="A2342" s="54" t="str">
        <f>IFERROR(IF(INDEX(SPOT_Import!$A$1:$Z$2488,2342,'Live Data'!$C$12)="","",INDEX(SPOT_Import!$A$1:$Z$2488,2342,'Live Data'!$C$12)),"")</f>
        <v/>
      </c>
      <c r="B2342" s="54" t="str">
        <f>IFERROR(IF(INDEX(SPOT_Import!$A$1:$Z$2488,2342,'Live Data'!$C$13)="","",INDEX(SPOT_Import!$A$1:$Z$2488,2342,'Live Data'!$C$13)),"")</f>
        <v/>
      </c>
      <c r="C2342" s="54" t="str">
        <f>IFERROR(IF(INDEX(SPOT_Import!$A$1:$Z$2488,2342,'Live Data'!$C$14)="","",INDEX(SPOT_Import!$A$1:$Z$2488,2342,'Live Data'!$C$14)),"")</f>
        <v/>
      </c>
      <c r="D2342" s="54" t="str">
        <f>IFERROR(IF(INDEX(SPOT_Import!$A$1:$Z$2488,2342,'Live Data'!$C$15)="","",INDEX(SPOT_Import!$A$1:$Z$2488,2342,'Live Data'!$C$15)),"")</f>
        <v/>
      </c>
      <c r="E2342" s="54" t="str">
        <f>IFERROR(IF(INDEX(SPOT_Import!$A$1:$Z$2488,2342,'Live Data'!$C$16)="","",INDEX(SPOT_Import!$A$1:$Z$2488,2342,'Live Data'!$C$16)),"")</f>
        <v/>
      </c>
      <c r="F2342" s="54" t="str">
        <f>IFERROR(IF(INDEX(SPOT_Import!$A$1:$Z$2488,2342,'Live Data'!$C$17)="","",INDEX(SPOT_Import!$A$1:$Z$2488,2342,'Live Data'!$C$17)),"")</f>
        <v/>
      </c>
      <c r="G2342" s="54" t="str">
        <f>IFERROR(IF(INDEX(SPOT_Import!$A$1:$Z$2488,2342,'Live Data'!$C$18)="","",INDEX(SPOT_Import!$A$1:$Z$2488,2342,'Live Data'!$C$18)),"")</f>
        <v/>
      </c>
      <c r="H2342" s="54" t="str">
        <f>IFERROR(IF(INDEX(SPOT_Import!$A$1:$Z$2488,2342,'Live Data'!$C$19)="","",INDEX(SPOT_Import!$A$1:$Z$2488,2342,'Live Data'!$C$19)),"")</f>
        <v/>
      </c>
      <c r="I2342" s="54" t="str">
        <f>IFERROR(IF(INDEX(SPOT_Import!$A$1:$Z$2488,2342,'Live Data'!$C$20)="","",INDEX(SPOT_Import!$A$1:$Z$2488,2342,'Live Data'!$C$20)),"")</f>
        <v/>
      </c>
      <c r="J2342" s="54" t="str">
        <f>IFERROR(IF(INDEX(SPOT_Import!$A$1:$Z$2488,2342,'Live Data'!$C$21)="","",INDEX(SPOT_Import!$A$1:$Z$2488,2342,'Live Data'!$C$21)),"")</f>
        <v/>
      </c>
      <c r="K2342" s="54" t="str">
        <f>IFERROR(IF(INDEX(SPOT_Import!$A$1:$Z$2488,2342,'Live Data'!$C$22)="","",INDEX(SPOT_Import!$A$1:$Z$2488,2342,'Live Data'!$C$22)),"")</f>
        <v/>
      </c>
      <c r="L2342" s="55" t="str">
        <f t="shared" si="72"/>
        <v/>
      </c>
      <c r="M2342" s="55" t="str">
        <f t="shared" si="73"/>
        <v/>
      </c>
      <c r="N2342" s="55" t="str">
        <f>IF(A2342="","",IFERROR(INDEX('Cluster Map'!$A$4:$A$38,MATCH(M2342,'Cluster Map'!$B$4:$B$38,0)),"Unmapped"))</f>
        <v/>
      </c>
      <c r="O2342" s="55">
        <f>IF(A2342="",0,IF(COUNTIFS($A$2:A2342,A2342,$F$2:F2342,F2342,$L$2:L2342,L2342)=1,1,0))</f>
        <v>0</v>
      </c>
      <c r="P2342" s="55">
        <f>IF(A2342="",0,IF(AND(F2342="C&amp;T",COUNTIFS($A$2:A2342,A2342,$F$2:F2342,"C&amp;T")=1),1,0))</f>
        <v>0</v>
      </c>
    </row>
    <row r="2343" spans="1:16" x14ac:dyDescent="0.35">
      <c r="A2343" s="54" t="str">
        <f>IFERROR(IF(INDEX(SPOT_Import!$A$1:$Z$2488,2343,'Live Data'!$C$12)="","",INDEX(SPOT_Import!$A$1:$Z$2488,2343,'Live Data'!$C$12)),"")</f>
        <v/>
      </c>
      <c r="B2343" s="54" t="str">
        <f>IFERROR(IF(INDEX(SPOT_Import!$A$1:$Z$2488,2343,'Live Data'!$C$13)="","",INDEX(SPOT_Import!$A$1:$Z$2488,2343,'Live Data'!$C$13)),"")</f>
        <v/>
      </c>
      <c r="C2343" s="54" t="str">
        <f>IFERROR(IF(INDEX(SPOT_Import!$A$1:$Z$2488,2343,'Live Data'!$C$14)="","",INDEX(SPOT_Import!$A$1:$Z$2488,2343,'Live Data'!$C$14)),"")</f>
        <v/>
      </c>
      <c r="D2343" s="54" t="str">
        <f>IFERROR(IF(INDEX(SPOT_Import!$A$1:$Z$2488,2343,'Live Data'!$C$15)="","",INDEX(SPOT_Import!$A$1:$Z$2488,2343,'Live Data'!$C$15)),"")</f>
        <v/>
      </c>
      <c r="E2343" s="54" t="str">
        <f>IFERROR(IF(INDEX(SPOT_Import!$A$1:$Z$2488,2343,'Live Data'!$C$16)="","",INDEX(SPOT_Import!$A$1:$Z$2488,2343,'Live Data'!$C$16)),"")</f>
        <v/>
      </c>
      <c r="F2343" s="54" t="str">
        <f>IFERROR(IF(INDEX(SPOT_Import!$A$1:$Z$2488,2343,'Live Data'!$C$17)="","",INDEX(SPOT_Import!$A$1:$Z$2488,2343,'Live Data'!$C$17)),"")</f>
        <v/>
      </c>
      <c r="G2343" s="54" t="str">
        <f>IFERROR(IF(INDEX(SPOT_Import!$A$1:$Z$2488,2343,'Live Data'!$C$18)="","",INDEX(SPOT_Import!$A$1:$Z$2488,2343,'Live Data'!$C$18)),"")</f>
        <v/>
      </c>
      <c r="H2343" s="54" t="str">
        <f>IFERROR(IF(INDEX(SPOT_Import!$A$1:$Z$2488,2343,'Live Data'!$C$19)="","",INDEX(SPOT_Import!$A$1:$Z$2488,2343,'Live Data'!$C$19)),"")</f>
        <v/>
      </c>
      <c r="I2343" s="54" t="str">
        <f>IFERROR(IF(INDEX(SPOT_Import!$A$1:$Z$2488,2343,'Live Data'!$C$20)="","",INDEX(SPOT_Import!$A$1:$Z$2488,2343,'Live Data'!$C$20)),"")</f>
        <v/>
      </c>
      <c r="J2343" s="54" t="str">
        <f>IFERROR(IF(INDEX(SPOT_Import!$A$1:$Z$2488,2343,'Live Data'!$C$21)="","",INDEX(SPOT_Import!$A$1:$Z$2488,2343,'Live Data'!$C$21)),"")</f>
        <v/>
      </c>
      <c r="K2343" s="54" t="str">
        <f>IFERROR(IF(INDEX(SPOT_Import!$A$1:$Z$2488,2343,'Live Data'!$C$22)="","",INDEX(SPOT_Import!$A$1:$Z$2488,2343,'Live Data'!$C$22)),"")</f>
        <v/>
      </c>
      <c r="L2343" s="55" t="str">
        <f t="shared" si="72"/>
        <v/>
      </c>
      <c r="M2343" s="55" t="str">
        <f t="shared" si="73"/>
        <v/>
      </c>
      <c r="N2343" s="55" t="str">
        <f>IF(A2343="","",IFERROR(INDEX('Cluster Map'!$A$4:$A$38,MATCH(M2343,'Cluster Map'!$B$4:$B$38,0)),"Unmapped"))</f>
        <v/>
      </c>
      <c r="O2343" s="55">
        <f>IF(A2343="",0,IF(COUNTIFS($A$2:A2343,A2343,$F$2:F2343,F2343,$L$2:L2343,L2343)=1,1,0))</f>
        <v>0</v>
      </c>
      <c r="P2343" s="55">
        <f>IF(A2343="",0,IF(AND(F2343="C&amp;T",COUNTIFS($A$2:A2343,A2343,$F$2:F2343,"C&amp;T")=1),1,0))</f>
        <v>0</v>
      </c>
    </row>
    <row r="2344" spans="1:16" x14ac:dyDescent="0.35">
      <c r="A2344" s="54" t="str">
        <f>IFERROR(IF(INDEX(SPOT_Import!$A$1:$Z$2488,2344,'Live Data'!$C$12)="","",INDEX(SPOT_Import!$A$1:$Z$2488,2344,'Live Data'!$C$12)),"")</f>
        <v/>
      </c>
      <c r="B2344" s="54" t="str">
        <f>IFERROR(IF(INDEX(SPOT_Import!$A$1:$Z$2488,2344,'Live Data'!$C$13)="","",INDEX(SPOT_Import!$A$1:$Z$2488,2344,'Live Data'!$C$13)),"")</f>
        <v/>
      </c>
      <c r="C2344" s="54" t="str">
        <f>IFERROR(IF(INDEX(SPOT_Import!$A$1:$Z$2488,2344,'Live Data'!$C$14)="","",INDEX(SPOT_Import!$A$1:$Z$2488,2344,'Live Data'!$C$14)),"")</f>
        <v/>
      </c>
      <c r="D2344" s="54" t="str">
        <f>IFERROR(IF(INDEX(SPOT_Import!$A$1:$Z$2488,2344,'Live Data'!$C$15)="","",INDEX(SPOT_Import!$A$1:$Z$2488,2344,'Live Data'!$C$15)),"")</f>
        <v/>
      </c>
      <c r="E2344" s="54" t="str">
        <f>IFERROR(IF(INDEX(SPOT_Import!$A$1:$Z$2488,2344,'Live Data'!$C$16)="","",INDEX(SPOT_Import!$A$1:$Z$2488,2344,'Live Data'!$C$16)),"")</f>
        <v/>
      </c>
      <c r="F2344" s="54" t="str">
        <f>IFERROR(IF(INDEX(SPOT_Import!$A$1:$Z$2488,2344,'Live Data'!$C$17)="","",INDEX(SPOT_Import!$A$1:$Z$2488,2344,'Live Data'!$C$17)),"")</f>
        <v/>
      </c>
      <c r="G2344" s="54" t="str">
        <f>IFERROR(IF(INDEX(SPOT_Import!$A$1:$Z$2488,2344,'Live Data'!$C$18)="","",INDEX(SPOT_Import!$A$1:$Z$2488,2344,'Live Data'!$C$18)),"")</f>
        <v/>
      </c>
      <c r="H2344" s="54" t="str">
        <f>IFERROR(IF(INDEX(SPOT_Import!$A$1:$Z$2488,2344,'Live Data'!$C$19)="","",INDEX(SPOT_Import!$A$1:$Z$2488,2344,'Live Data'!$C$19)),"")</f>
        <v/>
      </c>
      <c r="I2344" s="54" t="str">
        <f>IFERROR(IF(INDEX(SPOT_Import!$A$1:$Z$2488,2344,'Live Data'!$C$20)="","",INDEX(SPOT_Import!$A$1:$Z$2488,2344,'Live Data'!$C$20)),"")</f>
        <v/>
      </c>
      <c r="J2344" s="54" t="str">
        <f>IFERROR(IF(INDEX(SPOT_Import!$A$1:$Z$2488,2344,'Live Data'!$C$21)="","",INDEX(SPOT_Import!$A$1:$Z$2488,2344,'Live Data'!$C$21)),"")</f>
        <v/>
      </c>
      <c r="K2344" s="54" t="str">
        <f>IFERROR(IF(INDEX(SPOT_Import!$A$1:$Z$2488,2344,'Live Data'!$C$22)="","",INDEX(SPOT_Import!$A$1:$Z$2488,2344,'Live Data'!$C$22)),"")</f>
        <v/>
      </c>
      <c r="L2344" s="55" t="str">
        <f t="shared" si="72"/>
        <v/>
      </c>
      <c r="M2344" s="55" t="str">
        <f t="shared" si="73"/>
        <v/>
      </c>
      <c r="N2344" s="55" t="str">
        <f>IF(A2344="","",IFERROR(INDEX('Cluster Map'!$A$4:$A$38,MATCH(M2344,'Cluster Map'!$B$4:$B$38,0)),"Unmapped"))</f>
        <v/>
      </c>
      <c r="O2344" s="55">
        <f>IF(A2344="",0,IF(COUNTIFS($A$2:A2344,A2344,$F$2:F2344,F2344,$L$2:L2344,L2344)=1,1,0))</f>
        <v>0</v>
      </c>
      <c r="P2344" s="55">
        <f>IF(A2344="",0,IF(AND(F2344="C&amp;T",COUNTIFS($A$2:A2344,A2344,$F$2:F2344,"C&amp;T")=1),1,0))</f>
        <v>0</v>
      </c>
    </row>
    <row r="2345" spans="1:16" x14ac:dyDescent="0.35">
      <c r="A2345" s="54" t="str">
        <f>IFERROR(IF(INDEX(SPOT_Import!$A$1:$Z$2488,2345,'Live Data'!$C$12)="","",INDEX(SPOT_Import!$A$1:$Z$2488,2345,'Live Data'!$C$12)),"")</f>
        <v/>
      </c>
      <c r="B2345" s="54" t="str">
        <f>IFERROR(IF(INDEX(SPOT_Import!$A$1:$Z$2488,2345,'Live Data'!$C$13)="","",INDEX(SPOT_Import!$A$1:$Z$2488,2345,'Live Data'!$C$13)),"")</f>
        <v/>
      </c>
      <c r="C2345" s="54" t="str">
        <f>IFERROR(IF(INDEX(SPOT_Import!$A$1:$Z$2488,2345,'Live Data'!$C$14)="","",INDEX(SPOT_Import!$A$1:$Z$2488,2345,'Live Data'!$C$14)),"")</f>
        <v/>
      </c>
      <c r="D2345" s="54" t="str">
        <f>IFERROR(IF(INDEX(SPOT_Import!$A$1:$Z$2488,2345,'Live Data'!$C$15)="","",INDEX(SPOT_Import!$A$1:$Z$2488,2345,'Live Data'!$C$15)),"")</f>
        <v/>
      </c>
      <c r="E2345" s="54" t="str">
        <f>IFERROR(IF(INDEX(SPOT_Import!$A$1:$Z$2488,2345,'Live Data'!$C$16)="","",INDEX(SPOT_Import!$A$1:$Z$2488,2345,'Live Data'!$C$16)),"")</f>
        <v/>
      </c>
      <c r="F2345" s="54" t="str">
        <f>IFERROR(IF(INDEX(SPOT_Import!$A$1:$Z$2488,2345,'Live Data'!$C$17)="","",INDEX(SPOT_Import!$A$1:$Z$2488,2345,'Live Data'!$C$17)),"")</f>
        <v/>
      </c>
      <c r="G2345" s="54" t="str">
        <f>IFERROR(IF(INDEX(SPOT_Import!$A$1:$Z$2488,2345,'Live Data'!$C$18)="","",INDEX(SPOT_Import!$A$1:$Z$2488,2345,'Live Data'!$C$18)),"")</f>
        <v/>
      </c>
      <c r="H2345" s="54" t="str">
        <f>IFERROR(IF(INDEX(SPOT_Import!$A$1:$Z$2488,2345,'Live Data'!$C$19)="","",INDEX(SPOT_Import!$A$1:$Z$2488,2345,'Live Data'!$C$19)),"")</f>
        <v/>
      </c>
      <c r="I2345" s="54" t="str">
        <f>IFERROR(IF(INDEX(SPOT_Import!$A$1:$Z$2488,2345,'Live Data'!$C$20)="","",INDEX(SPOT_Import!$A$1:$Z$2488,2345,'Live Data'!$C$20)),"")</f>
        <v/>
      </c>
      <c r="J2345" s="54" t="str">
        <f>IFERROR(IF(INDEX(SPOT_Import!$A$1:$Z$2488,2345,'Live Data'!$C$21)="","",INDEX(SPOT_Import!$A$1:$Z$2488,2345,'Live Data'!$C$21)),"")</f>
        <v/>
      </c>
      <c r="K2345" s="54" t="str">
        <f>IFERROR(IF(INDEX(SPOT_Import!$A$1:$Z$2488,2345,'Live Data'!$C$22)="","",INDEX(SPOT_Import!$A$1:$Z$2488,2345,'Live Data'!$C$22)),"")</f>
        <v/>
      </c>
      <c r="L2345" s="55" t="str">
        <f t="shared" si="72"/>
        <v/>
      </c>
      <c r="M2345" s="55" t="str">
        <f t="shared" si="73"/>
        <v/>
      </c>
      <c r="N2345" s="55" t="str">
        <f>IF(A2345="","",IFERROR(INDEX('Cluster Map'!$A$4:$A$38,MATCH(M2345,'Cluster Map'!$B$4:$B$38,0)),"Unmapped"))</f>
        <v/>
      </c>
      <c r="O2345" s="55">
        <f>IF(A2345="",0,IF(COUNTIFS($A$2:A2345,A2345,$F$2:F2345,F2345,$L$2:L2345,L2345)=1,1,0))</f>
        <v>0</v>
      </c>
      <c r="P2345" s="55">
        <f>IF(A2345="",0,IF(AND(F2345="C&amp;T",COUNTIFS($A$2:A2345,A2345,$F$2:F2345,"C&amp;T")=1),1,0))</f>
        <v>0</v>
      </c>
    </row>
    <row r="2346" spans="1:16" x14ac:dyDescent="0.35">
      <c r="A2346" s="54" t="str">
        <f>IFERROR(IF(INDEX(SPOT_Import!$A$1:$Z$2488,2346,'Live Data'!$C$12)="","",INDEX(SPOT_Import!$A$1:$Z$2488,2346,'Live Data'!$C$12)),"")</f>
        <v/>
      </c>
      <c r="B2346" s="54" t="str">
        <f>IFERROR(IF(INDEX(SPOT_Import!$A$1:$Z$2488,2346,'Live Data'!$C$13)="","",INDEX(SPOT_Import!$A$1:$Z$2488,2346,'Live Data'!$C$13)),"")</f>
        <v/>
      </c>
      <c r="C2346" s="54" t="str">
        <f>IFERROR(IF(INDEX(SPOT_Import!$A$1:$Z$2488,2346,'Live Data'!$C$14)="","",INDEX(SPOT_Import!$A$1:$Z$2488,2346,'Live Data'!$C$14)),"")</f>
        <v/>
      </c>
      <c r="D2346" s="54" t="str">
        <f>IFERROR(IF(INDEX(SPOT_Import!$A$1:$Z$2488,2346,'Live Data'!$C$15)="","",INDEX(SPOT_Import!$A$1:$Z$2488,2346,'Live Data'!$C$15)),"")</f>
        <v/>
      </c>
      <c r="E2346" s="54" t="str">
        <f>IFERROR(IF(INDEX(SPOT_Import!$A$1:$Z$2488,2346,'Live Data'!$C$16)="","",INDEX(SPOT_Import!$A$1:$Z$2488,2346,'Live Data'!$C$16)),"")</f>
        <v/>
      </c>
      <c r="F2346" s="54" t="str">
        <f>IFERROR(IF(INDEX(SPOT_Import!$A$1:$Z$2488,2346,'Live Data'!$C$17)="","",INDEX(SPOT_Import!$A$1:$Z$2488,2346,'Live Data'!$C$17)),"")</f>
        <v/>
      </c>
      <c r="G2346" s="54" t="str">
        <f>IFERROR(IF(INDEX(SPOT_Import!$A$1:$Z$2488,2346,'Live Data'!$C$18)="","",INDEX(SPOT_Import!$A$1:$Z$2488,2346,'Live Data'!$C$18)),"")</f>
        <v/>
      </c>
      <c r="H2346" s="54" t="str">
        <f>IFERROR(IF(INDEX(SPOT_Import!$A$1:$Z$2488,2346,'Live Data'!$C$19)="","",INDEX(SPOT_Import!$A$1:$Z$2488,2346,'Live Data'!$C$19)),"")</f>
        <v/>
      </c>
      <c r="I2346" s="54" t="str">
        <f>IFERROR(IF(INDEX(SPOT_Import!$A$1:$Z$2488,2346,'Live Data'!$C$20)="","",INDEX(SPOT_Import!$A$1:$Z$2488,2346,'Live Data'!$C$20)),"")</f>
        <v/>
      </c>
      <c r="J2346" s="54" t="str">
        <f>IFERROR(IF(INDEX(SPOT_Import!$A$1:$Z$2488,2346,'Live Data'!$C$21)="","",INDEX(SPOT_Import!$A$1:$Z$2488,2346,'Live Data'!$C$21)),"")</f>
        <v/>
      </c>
      <c r="K2346" s="54" t="str">
        <f>IFERROR(IF(INDEX(SPOT_Import!$A$1:$Z$2488,2346,'Live Data'!$C$22)="","",INDEX(SPOT_Import!$A$1:$Z$2488,2346,'Live Data'!$C$22)),"")</f>
        <v/>
      </c>
      <c r="L2346" s="55" t="str">
        <f t="shared" si="72"/>
        <v/>
      </c>
      <c r="M2346" s="55" t="str">
        <f t="shared" si="73"/>
        <v/>
      </c>
      <c r="N2346" s="55" t="str">
        <f>IF(A2346="","",IFERROR(INDEX('Cluster Map'!$A$4:$A$38,MATCH(M2346,'Cluster Map'!$B$4:$B$38,0)),"Unmapped"))</f>
        <v/>
      </c>
      <c r="O2346" s="55">
        <f>IF(A2346="",0,IF(COUNTIFS($A$2:A2346,A2346,$F$2:F2346,F2346,$L$2:L2346,L2346)=1,1,0))</f>
        <v>0</v>
      </c>
      <c r="P2346" s="55">
        <f>IF(A2346="",0,IF(AND(F2346="C&amp;T",COUNTIFS($A$2:A2346,A2346,$F$2:F2346,"C&amp;T")=1),1,0))</f>
        <v>0</v>
      </c>
    </row>
    <row r="2347" spans="1:16" x14ac:dyDescent="0.35">
      <c r="A2347" s="54" t="str">
        <f>IFERROR(IF(INDEX(SPOT_Import!$A$1:$Z$2488,2347,'Live Data'!$C$12)="","",INDEX(SPOT_Import!$A$1:$Z$2488,2347,'Live Data'!$C$12)),"")</f>
        <v/>
      </c>
      <c r="B2347" s="54" t="str">
        <f>IFERROR(IF(INDEX(SPOT_Import!$A$1:$Z$2488,2347,'Live Data'!$C$13)="","",INDEX(SPOT_Import!$A$1:$Z$2488,2347,'Live Data'!$C$13)),"")</f>
        <v/>
      </c>
      <c r="C2347" s="54" t="str">
        <f>IFERROR(IF(INDEX(SPOT_Import!$A$1:$Z$2488,2347,'Live Data'!$C$14)="","",INDEX(SPOT_Import!$A$1:$Z$2488,2347,'Live Data'!$C$14)),"")</f>
        <v/>
      </c>
      <c r="D2347" s="54" t="str">
        <f>IFERROR(IF(INDEX(SPOT_Import!$A$1:$Z$2488,2347,'Live Data'!$C$15)="","",INDEX(SPOT_Import!$A$1:$Z$2488,2347,'Live Data'!$C$15)),"")</f>
        <v/>
      </c>
      <c r="E2347" s="54" t="str">
        <f>IFERROR(IF(INDEX(SPOT_Import!$A$1:$Z$2488,2347,'Live Data'!$C$16)="","",INDEX(SPOT_Import!$A$1:$Z$2488,2347,'Live Data'!$C$16)),"")</f>
        <v/>
      </c>
      <c r="F2347" s="54" t="str">
        <f>IFERROR(IF(INDEX(SPOT_Import!$A$1:$Z$2488,2347,'Live Data'!$C$17)="","",INDEX(SPOT_Import!$A$1:$Z$2488,2347,'Live Data'!$C$17)),"")</f>
        <v/>
      </c>
      <c r="G2347" s="54" t="str">
        <f>IFERROR(IF(INDEX(SPOT_Import!$A$1:$Z$2488,2347,'Live Data'!$C$18)="","",INDEX(SPOT_Import!$A$1:$Z$2488,2347,'Live Data'!$C$18)),"")</f>
        <v/>
      </c>
      <c r="H2347" s="54" t="str">
        <f>IFERROR(IF(INDEX(SPOT_Import!$A$1:$Z$2488,2347,'Live Data'!$C$19)="","",INDEX(SPOT_Import!$A$1:$Z$2488,2347,'Live Data'!$C$19)),"")</f>
        <v/>
      </c>
      <c r="I2347" s="54" t="str">
        <f>IFERROR(IF(INDEX(SPOT_Import!$A$1:$Z$2488,2347,'Live Data'!$C$20)="","",INDEX(SPOT_Import!$A$1:$Z$2488,2347,'Live Data'!$C$20)),"")</f>
        <v/>
      </c>
      <c r="J2347" s="54" t="str">
        <f>IFERROR(IF(INDEX(SPOT_Import!$A$1:$Z$2488,2347,'Live Data'!$C$21)="","",INDEX(SPOT_Import!$A$1:$Z$2488,2347,'Live Data'!$C$21)),"")</f>
        <v/>
      </c>
      <c r="K2347" s="54" t="str">
        <f>IFERROR(IF(INDEX(SPOT_Import!$A$1:$Z$2488,2347,'Live Data'!$C$22)="","",INDEX(SPOT_Import!$A$1:$Z$2488,2347,'Live Data'!$C$22)),"")</f>
        <v/>
      </c>
      <c r="L2347" s="55" t="str">
        <f t="shared" si="72"/>
        <v/>
      </c>
      <c r="M2347" s="55" t="str">
        <f t="shared" si="73"/>
        <v/>
      </c>
      <c r="N2347" s="55" t="str">
        <f>IF(A2347="","",IFERROR(INDEX('Cluster Map'!$A$4:$A$38,MATCH(M2347,'Cluster Map'!$B$4:$B$38,0)),"Unmapped"))</f>
        <v/>
      </c>
      <c r="O2347" s="55">
        <f>IF(A2347="",0,IF(COUNTIFS($A$2:A2347,A2347,$F$2:F2347,F2347,$L$2:L2347,L2347)=1,1,0))</f>
        <v>0</v>
      </c>
      <c r="P2347" s="55">
        <f>IF(A2347="",0,IF(AND(F2347="C&amp;T",COUNTIFS($A$2:A2347,A2347,$F$2:F2347,"C&amp;T")=1),1,0))</f>
        <v>0</v>
      </c>
    </row>
    <row r="2348" spans="1:16" x14ac:dyDescent="0.35">
      <c r="A2348" s="54" t="str">
        <f>IFERROR(IF(INDEX(SPOT_Import!$A$1:$Z$2488,2348,'Live Data'!$C$12)="","",INDEX(SPOT_Import!$A$1:$Z$2488,2348,'Live Data'!$C$12)),"")</f>
        <v/>
      </c>
      <c r="B2348" s="54" t="str">
        <f>IFERROR(IF(INDEX(SPOT_Import!$A$1:$Z$2488,2348,'Live Data'!$C$13)="","",INDEX(SPOT_Import!$A$1:$Z$2488,2348,'Live Data'!$C$13)),"")</f>
        <v/>
      </c>
      <c r="C2348" s="54" t="str">
        <f>IFERROR(IF(INDEX(SPOT_Import!$A$1:$Z$2488,2348,'Live Data'!$C$14)="","",INDEX(SPOT_Import!$A$1:$Z$2488,2348,'Live Data'!$C$14)),"")</f>
        <v/>
      </c>
      <c r="D2348" s="54" t="str">
        <f>IFERROR(IF(INDEX(SPOT_Import!$A$1:$Z$2488,2348,'Live Data'!$C$15)="","",INDEX(SPOT_Import!$A$1:$Z$2488,2348,'Live Data'!$C$15)),"")</f>
        <v/>
      </c>
      <c r="E2348" s="54" t="str">
        <f>IFERROR(IF(INDEX(SPOT_Import!$A$1:$Z$2488,2348,'Live Data'!$C$16)="","",INDEX(SPOT_Import!$A$1:$Z$2488,2348,'Live Data'!$C$16)),"")</f>
        <v/>
      </c>
      <c r="F2348" s="54" t="str">
        <f>IFERROR(IF(INDEX(SPOT_Import!$A$1:$Z$2488,2348,'Live Data'!$C$17)="","",INDEX(SPOT_Import!$A$1:$Z$2488,2348,'Live Data'!$C$17)),"")</f>
        <v/>
      </c>
      <c r="G2348" s="54" t="str">
        <f>IFERROR(IF(INDEX(SPOT_Import!$A$1:$Z$2488,2348,'Live Data'!$C$18)="","",INDEX(SPOT_Import!$A$1:$Z$2488,2348,'Live Data'!$C$18)),"")</f>
        <v/>
      </c>
      <c r="H2348" s="54" t="str">
        <f>IFERROR(IF(INDEX(SPOT_Import!$A$1:$Z$2488,2348,'Live Data'!$C$19)="","",INDEX(SPOT_Import!$A$1:$Z$2488,2348,'Live Data'!$C$19)),"")</f>
        <v/>
      </c>
      <c r="I2348" s="54" t="str">
        <f>IFERROR(IF(INDEX(SPOT_Import!$A$1:$Z$2488,2348,'Live Data'!$C$20)="","",INDEX(SPOT_Import!$A$1:$Z$2488,2348,'Live Data'!$C$20)),"")</f>
        <v/>
      </c>
      <c r="J2348" s="54" t="str">
        <f>IFERROR(IF(INDEX(SPOT_Import!$A$1:$Z$2488,2348,'Live Data'!$C$21)="","",INDEX(SPOT_Import!$A$1:$Z$2488,2348,'Live Data'!$C$21)),"")</f>
        <v/>
      </c>
      <c r="K2348" s="54" t="str">
        <f>IFERROR(IF(INDEX(SPOT_Import!$A$1:$Z$2488,2348,'Live Data'!$C$22)="","",INDEX(SPOT_Import!$A$1:$Z$2488,2348,'Live Data'!$C$22)),"")</f>
        <v/>
      </c>
      <c r="L2348" s="55" t="str">
        <f t="shared" si="72"/>
        <v/>
      </c>
      <c r="M2348" s="55" t="str">
        <f t="shared" si="73"/>
        <v/>
      </c>
      <c r="N2348" s="55" t="str">
        <f>IF(A2348="","",IFERROR(INDEX('Cluster Map'!$A$4:$A$38,MATCH(M2348,'Cluster Map'!$B$4:$B$38,0)),"Unmapped"))</f>
        <v/>
      </c>
      <c r="O2348" s="55">
        <f>IF(A2348="",0,IF(COUNTIFS($A$2:A2348,A2348,$F$2:F2348,F2348,$L$2:L2348,L2348)=1,1,0))</f>
        <v>0</v>
      </c>
      <c r="P2348" s="55">
        <f>IF(A2348="",0,IF(AND(F2348="C&amp;T",COUNTIFS($A$2:A2348,A2348,$F$2:F2348,"C&amp;T")=1),1,0))</f>
        <v>0</v>
      </c>
    </row>
    <row r="2349" spans="1:16" x14ac:dyDescent="0.35">
      <c r="A2349" s="54" t="str">
        <f>IFERROR(IF(INDEX(SPOT_Import!$A$1:$Z$2488,2349,'Live Data'!$C$12)="","",INDEX(SPOT_Import!$A$1:$Z$2488,2349,'Live Data'!$C$12)),"")</f>
        <v/>
      </c>
      <c r="B2349" s="54" t="str">
        <f>IFERROR(IF(INDEX(SPOT_Import!$A$1:$Z$2488,2349,'Live Data'!$C$13)="","",INDEX(SPOT_Import!$A$1:$Z$2488,2349,'Live Data'!$C$13)),"")</f>
        <v/>
      </c>
      <c r="C2349" s="54" t="str">
        <f>IFERROR(IF(INDEX(SPOT_Import!$A$1:$Z$2488,2349,'Live Data'!$C$14)="","",INDEX(SPOT_Import!$A$1:$Z$2488,2349,'Live Data'!$C$14)),"")</f>
        <v/>
      </c>
      <c r="D2349" s="54" t="str">
        <f>IFERROR(IF(INDEX(SPOT_Import!$A$1:$Z$2488,2349,'Live Data'!$C$15)="","",INDEX(SPOT_Import!$A$1:$Z$2488,2349,'Live Data'!$C$15)),"")</f>
        <v/>
      </c>
      <c r="E2349" s="54" t="str">
        <f>IFERROR(IF(INDEX(SPOT_Import!$A$1:$Z$2488,2349,'Live Data'!$C$16)="","",INDEX(SPOT_Import!$A$1:$Z$2488,2349,'Live Data'!$C$16)),"")</f>
        <v/>
      </c>
      <c r="F2349" s="54" t="str">
        <f>IFERROR(IF(INDEX(SPOT_Import!$A$1:$Z$2488,2349,'Live Data'!$C$17)="","",INDEX(SPOT_Import!$A$1:$Z$2488,2349,'Live Data'!$C$17)),"")</f>
        <v/>
      </c>
      <c r="G2349" s="54" t="str">
        <f>IFERROR(IF(INDEX(SPOT_Import!$A$1:$Z$2488,2349,'Live Data'!$C$18)="","",INDEX(SPOT_Import!$A$1:$Z$2488,2349,'Live Data'!$C$18)),"")</f>
        <v/>
      </c>
      <c r="H2349" s="54" t="str">
        <f>IFERROR(IF(INDEX(SPOT_Import!$A$1:$Z$2488,2349,'Live Data'!$C$19)="","",INDEX(SPOT_Import!$A$1:$Z$2488,2349,'Live Data'!$C$19)),"")</f>
        <v/>
      </c>
      <c r="I2349" s="54" t="str">
        <f>IFERROR(IF(INDEX(SPOT_Import!$A$1:$Z$2488,2349,'Live Data'!$C$20)="","",INDEX(SPOT_Import!$A$1:$Z$2488,2349,'Live Data'!$C$20)),"")</f>
        <v/>
      </c>
      <c r="J2349" s="54" t="str">
        <f>IFERROR(IF(INDEX(SPOT_Import!$A$1:$Z$2488,2349,'Live Data'!$C$21)="","",INDEX(SPOT_Import!$A$1:$Z$2488,2349,'Live Data'!$C$21)),"")</f>
        <v/>
      </c>
      <c r="K2349" s="54" t="str">
        <f>IFERROR(IF(INDEX(SPOT_Import!$A$1:$Z$2488,2349,'Live Data'!$C$22)="","",INDEX(SPOT_Import!$A$1:$Z$2488,2349,'Live Data'!$C$22)),"")</f>
        <v/>
      </c>
      <c r="L2349" s="55" t="str">
        <f t="shared" si="72"/>
        <v/>
      </c>
      <c r="M2349" s="55" t="str">
        <f t="shared" si="73"/>
        <v/>
      </c>
      <c r="N2349" s="55" t="str">
        <f>IF(A2349="","",IFERROR(INDEX('Cluster Map'!$A$4:$A$38,MATCH(M2349,'Cluster Map'!$B$4:$B$38,0)),"Unmapped"))</f>
        <v/>
      </c>
      <c r="O2349" s="55">
        <f>IF(A2349="",0,IF(COUNTIFS($A$2:A2349,A2349,$F$2:F2349,F2349,$L$2:L2349,L2349)=1,1,0))</f>
        <v>0</v>
      </c>
      <c r="P2349" s="55">
        <f>IF(A2349="",0,IF(AND(F2349="C&amp;T",COUNTIFS($A$2:A2349,A2349,$F$2:F2349,"C&amp;T")=1),1,0))</f>
        <v>0</v>
      </c>
    </row>
    <row r="2350" spans="1:16" x14ac:dyDescent="0.35">
      <c r="A2350" s="54" t="str">
        <f>IFERROR(IF(INDEX(SPOT_Import!$A$1:$Z$2488,2350,'Live Data'!$C$12)="","",INDEX(SPOT_Import!$A$1:$Z$2488,2350,'Live Data'!$C$12)),"")</f>
        <v/>
      </c>
      <c r="B2350" s="54" t="str">
        <f>IFERROR(IF(INDEX(SPOT_Import!$A$1:$Z$2488,2350,'Live Data'!$C$13)="","",INDEX(SPOT_Import!$A$1:$Z$2488,2350,'Live Data'!$C$13)),"")</f>
        <v/>
      </c>
      <c r="C2350" s="54" t="str">
        <f>IFERROR(IF(INDEX(SPOT_Import!$A$1:$Z$2488,2350,'Live Data'!$C$14)="","",INDEX(SPOT_Import!$A$1:$Z$2488,2350,'Live Data'!$C$14)),"")</f>
        <v/>
      </c>
      <c r="D2350" s="54" t="str">
        <f>IFERROR(IF(INDEX(SPOT_Import!$A$1:$Z$2488,2350,'Live Data'!$C$15)="","",INDEX(SPOT_Import!$A$1:$Z$2488,2350,'Live Data'!$C$15)),"")</f>
        <v/>
      </c>
      <c r="E2350" s="54" t="str">
        <f>IFERROR(IF(INDEX(SPOT_Import!$A$1:$Z$2488,2350,'Live Data'!$C$16)="","",INDEX(SPOT_Import!$A$1:$Z$2488,2350,'Live Data'!$C$16)),"")</f>
        <v/>
      </c>
      <c r="F2350" s="54" t="str">
        <f>IFERROR(IF(INDEX(SPOT_Import!$A$1:$Z$2488,2350,'Live Data'!$C$17)="","",INDEX(SPOT_Import!$A$1:$Z$2488,2350,'Live Data'!$C$17)),"")</f>
        <v/>
      </c>
      <c r="G2350" s="54" t="str">
        <f>IFERROR(IF(INDEX(SPOT_Import!$A$1:$Z$2488,2350,'Live Data'!$C$18)="","",INDEX(SPOT_Import!$A$1:$Z$2488,2350,'Live Data'!$C$18)),"")</f>
        <v/>
      </c>
      <c r="H2350" s="54" t="str">
        <f>IFERROR(IF(INDEX(SPOT_Import!$A$1:$Z$2488,2350,'Live Data'!$C$19)="","",INDEX(SPOT_Import!$A$1:$Z$2488,2350,'Live Data'!$C$19)),"")</f>
        <v/>
      </c>
      <c r="I2350" s="54" t="str">
        <f>IFERROR(IF(INDEX(SPOT_Import!$A$1:$Z$2488,2350,'Live Data'!$C$20)="","",INDEX(SPOT_Import!$A$1:$Z$2488,2350,'Live Data'!$C$20)),"")</f>
        <v/>
      </c>
      <c r="J2350" s="54" t="str">
        <f>IFERROR(IF(INDEX(SPOT_Import!$A$1:$Z$2488,2350,'Live Data'!$C$21)="","",INDEX(SPOT_Import!$A$1:$Z$2488,2350,'Live Data'!$C$21)),"")</f>
        <v/>
      </c>
      <c r="K2350" s="54" t="str">
        <f>IFERROR(IF(INDEX(SPOT_Import!$A$1:$Z$2488,2350,'Live Data'!$C$22)="","",INDEX(SPOT_Import!$A$1:$Z$2488,2350,'Live Data'!$C$22)),"")</f>
        <v/>
      </c>
      <c r="L2350" s="55" t="str">
        <f t="shared" si="72"/>
        <v/>
      </c>
      <c r="M2350" s="55" t="str">
        <f t="shared" si="73"/>
        <v/>
      </c>
      <c r="N2350" s="55" t="str">
        <f>IF(A2350="","",IFERROR(INDEX('Cluster Map'!$A$4:$A$38,MATCH(M2350,'Cluster Map'!$B$4:$B$38,0)),"Unmapped"))</f>
        <v/>
      </c>
      <c r="O2350" s="55">
        <f>IF(A2350="",0,IF(COUNTIFS($A$2:A2350,A2350,$F$2:F2350,F2350,$L$2:L2350,L2350)=1,1,0))</f>
        <v>0</v>
      </c>
      <c r="P2350" s="55">
        <f>IF(A2350="",0,IF(AND(F2350="C&amp;T",COUNTIFS($A$2:A2350,A2350,$F$2:F2350,"C&amp;T")=1),1,0))</f>
        <v>0</v>
      </c>
    </row>
    <row r="2351" spans="1:16" x14ac:dyDescent="0.35">
      <c r="A2351" s="54" t="str">
        <f>IFERROR(IF(INDEX(SPOT_Import!$A$1:$Z$2488,2351,'Live Data'!$C$12)="","",INDEX(SPOT_Import!$A$1:$Z$2488,2351,'Live Data'!$C$12)),"")</f>
        <v/>
      </c>
      <c r="B2351" s="54" t="str">
        <f>IFERROR(IF(INDEX(SPOT_Import!$A$1:$Z$2488,2351,'Live Data'!$C$13)="","",INDEX(SPOT_Import!$A$1:$Z$2488,2351,'Live Data'!$C$13)),"")</f>
        <v/>
      </c>
      <c r="C2351" s="54" t="str">
        <f>IFERROR(IF(INDEX(SPOT_Import!$A$1:$Z$2488,2351,'Live Data'!$C$14)="","",INDEX(SPOT_Import!$A$1:$Z$2488,2351,'Live Data'!$C$14)),"")</f>
        <v/>
      </c>
      <c r="D2351" s="54" t="str">
        <f>IFERROR(IF(INDEX(SPOT_Import!$A$1:$Z$2488,2351,'Live Data'!$C$15)="","",INDEX(SPOT_Import!$A$1:$Z$2488,2351,'Live Data'!$C$15)),"")</f>
        <v/>
      </c>
      <c r="E2351" s="54" t="str">
        <f>IFERROR(IF(INDEX(SPOT_Import!$A$1:$Z$2488,2351,'Live Data'!$C$16)="","",INDEX(SPOT_Import!$A$1:$Z$2488,2351,'Live Data'!$C$16)),"")</f>
        <v/>
      </c>
      <c r="F2351" s="54" t="str">
        <f>IFERROR(IF(INDEX(SPOT_Import!$A$1:$Z$2488,2351,'Live Data'!$C$17)="","",INDEX(SPOT_Import!$A$1:$Z$2488,2351,'Live Data'!$C$17)),"")</f>
        <v/>
      </c>
      <c r="G2351" s="54" t="str">
        <f>IFERROR(IF(INDEX(SPOT_Import!$A$1:$Z$2488,2351,'Live Data'!$C$18)="","",INDEX(SPOT_Import!$A$1:$Z$2488,2351,'Live Data'!$C$18)),"")</f>
        <v/>
      </c>
      <c r="H2351" s="54" t="str">
        <f>IFERROR(IF(INDEX(SPOT_Import!$A$1:$Z$2488,2351,'Live Data'!$C$19)="","",INDEX(SPOT_Import!$A$1:$Z$2488,2351,'Live Data'!$C$19)),"")</f>
        <v/>
      </c>
      <c r="I2351" s="54" t="str">
        <f>IFERROR(IF(INDEX(SPOT_Import!$A$1:$Z$2488,2351,'Live Data'!$C$20)="","",INDEX(SPOT_Import!$A$1:$Z$2488,2351,'Live Data'!$C$20)),"")</f>
        <v/>
      </c>
      <c r="J2351" s="54" t="str">
        <f>IFERROR(IF(INDEX(SPOT_Import!$A$1:$Z$2488,2351,'Live Data'!$C$21)="","",INDEX(SPOT_Import!$A$1:$Z$2488,2351,'Live Data'!$C$21)),"")</f>
        <v/>
      </c>
      <c r="K2351" s="54" t="str">
        <f>IFERROR(IF(INDEX(SPOT_Import!$A$1:$Z$2488,2351,'Live Data'!$C$22)="","",INDEX(SPOT_Import!$A$1:$Z$2488,2351,'Live Data'!$C$22)),"")</f>
        <v/>
      </c>
      <c r="L2351" s="55" t="str">
        <f t="shared" si="72"/>
        <v/>
      </c>
      <c r="M2351" s="55" t="str">
        <f t="shared" si="73"/>
        <v/>
      </c>
      <c r="N2351" s="55" t="str">
        <f>IF(A2351="","",IFERROR(INDEX('Cluster Map'!$A$4:$A$38,MATCH(M2351,'Cluster Map'!$B$4:$B$38,0)),"Unmapped"))</f>
        <v/>
      </c>
      <c r="O2351" s="55">
        <f>IF(A2351="",0,IF(COUNTIFS($A$2:A2351,A2351,$F$2:F2351,F2351,$L$2:L2351,L2351)=1,1,0))</f>
        <v>0</v>
      </c>
      <c r="P2351" s="55">
        <f>IF(A2351="",0,IF(AND(F2351="C&amp;T",COUNTIFS($A$2:A2351,A2351,$F$2:F2351,"C&amp;T")=1),1,0))</f>
        <v>0</v>
      </c>
    </row>
    <row r="2352" spans="1:16" x14ac:dyDescent="0.35">
      <c r="A2352" s="54" t="str">
        <f>IFERROR(IF(INDEX(SPOT_Import!$A$1:$Z$2488,2352,'Live Data'!$C$12)="","",INDEX(SPOT_Import!$A$1:$Z$2488,2352,'Live Data'!$C$12)),"")</f>
        <v/>
      </c>
      <c r="B2352" s="54" t="str">
        <f>IFERROR(IF(INDEX(SPOT_Import!$A$1:$Z$2488,2352,'Live Data'!$C$13)="","",INDEX(SPOT_Import!$A$1:$Z$2488,2352,'Live Data'!$C$13)),"")</f>
        <v/>
      </c>
      <c r="C2352" s="54" t="str">
        <f>IFERROR(IF(INDEX(SPOT_Import!$A$1:$Z$2488,2352,'Live Data'!$C$14)="","",INDEX(SPOT_Import!$A$1:$Z$2488,2352,'Live Data'!$C$14)),"")</f>
        <v/>
      </c>
      <c r="D2352" s="54" t="str">
        <f>IFERROR(IF(INDEX(SPOT_Import!$A$1:$Z$2488,2352,'Live Data'!$C$15)="","",INDEX(SPOT_Import!$A$1:$Z$2488,2352,'Live Data'!$C$15)),"")</f>
        <v/>
      </c>
      <c r="E2352" s="54" t="str">
        <f>IFERROR(IF(INDEX(SPOT_Import!$A$1:$Z$2488,2352,'Live Data'!$C$16)="","",INDEX(SPOT_Import!$A$1:$Z$2488,2352,'Live Data'!$C$16)),"")</f>
        <v/>
      </c>
      <c r="F2352" s="54" t="str">
        <f>IFERROR(IF(INDEX(SPOT_Import!$A$1:$Z$2488,2352,'Live Data'!$C$17)="","",INDEX(SPOT_Import!$A$1:$Z$2488,2352,'Live Data'!$C$17)),"")</f>
        <v/>
      </c>
      <c r="G2352" s="54" t="str">
        <f>IFERROR(IF(INDEX(SPOT_Import!$A$1:$Z$2488,2352,'Live Data'!$C$18)="","",INDEX(SPOT_Import!$A$1:$Z$2488,2352,'Live Data'!$C$18)),"")</f>
        <v/>
      </c>
      <c r="H2352" s="54" t="str">
        <f>IFERROR(IF(INDEX(SPOT_Import!$A$1:$Z$2488,2352,'Live Data'!$C$19)="","",INDEX(SPOT_Import!$A$1:$Z$2488,2352,'Live Data'!$C$19)),"")</f>
        <v/>
      </c>
      <c r="I2352" s="54" t="str">
        <f>IFERROR(IF(INDEX(SPOT_Import!$A$1:$Z$2488,2352,'Live Data'!$C$20)="","",INDEX(SPOT_Import!$A$1:$Z$2488,2352,'Live Data'!$C$20)),"")</f>
        <v/>
      </c>
      <c r="J2352" s="54" t="str">
        <f>IFERROR(IF(INDEX(SPOT_Import!$A$1:$Z$2488,2352,'Live Data'!$C$21)="","",INDEX(SPOT_Import!$A$1:$Z$2488,2352,'Live Data'!$C$21)),"")</f>
        <v/>
      </c>
      <c r="K2352" s="54" t="str">
        <f>IFERROR(IF(INDEX(SPOT_Import!$A$1:$Z$2488,2352,'Live Data'!$C$22)="","",INDEX(SPOT_Import!$A$1:$Z$2488,2352,'Live Data'!$C$22)),"")</f>
        <v/>
      </c>
      <c r="L2352" s="55" t="str">
        <f t="shared" si="72"/>
        <v/>
      </c>
      <c r="M2352" s="55" t="str">
        <f t="shared" si="73"/>
        <v/>
      </c>
      <c r="N2352" s="55" t="str">
        <f>IF(A2352="","",IFERROR(INDEX('Cluster Map'!$A$4:$A$38,MATCH(M2352,'Cluster Map'!$B$4:$B$38,0)),"Unmapped"))</f>
        <v/>
      </c>
      <c r="O2352" s="55">
        <f>IF(A2352="",0,IF(COUNTIFS($A$2:A2352,A2352,$F$2:F2352,F2352,$L$2:L2352,L2352)=1,1,0))</f>
        <v>0</v>
      </c>
      <c r="P2352" s="55">
        <f>IF(A2352="",0,IF(AND(F2352="C&amp;T",COUNTIFS($A$2:A2352,A2352,$F$2:F2352,"C&amp;T")=1),1,0))</f>
        <v>0</v>
      </c>
    </row>
    <row r="2353" spans="1:16" x14ac:dyDescent="0.35">
      <c r="A2353" s="54" t="str">
        <f>IFERROR(IF(INDEX(SPOT_Import!$A$1:$Z$2488,2353,'Live Data'!$C$12)="","",INDEX(SPOT_Import!$A$1:$Z$2488,2353,'Live Data'!$C$12)),"")</f>
        <v/>
      </c>
      <c r="B2353" s="54" t="str">
        <f>IFERROR(IF(INDEX(SPOT_Import!$A$1:$Z$2488,2353,'Live Data'!$C$13)="","",INDEX(SPOT_Import!$A$1:$Z$2488,2353,'Live Data'!$C$13)),"")</f>
        <v/>
      </c>
      <c r="C2353" s="54" t="str">
        <f>IFERROR(IF(INDEX(SPOT_Import!$A$1:$Z$2488,2353,'Live Data'!$C$14)="","",INDEX(SPOT_Import!$A$1:$Z$2488,2353,'Live Data'!$C$14)),"")</f>
        <v/>
      </c>
      <c r="D2353" s="54" t="str">
        <f>IFERROR(IF(INDEX(SPOT_Import!$A$1:$Z$2488,2353,'Live Data'!$C$15)="","",INDEX(SPOT_Import!$A$1:$Z$2488,2353,'Live Data'!$C$15)),"")</f>
        <v/>
      </c>
      <c r="E2353" s="54" t="str">
        <f>IFERROR(IF(INDEX(SPOT_Import!$A$1:$Z$2488,2353,'Live Data'!$C$16)="","",INDEX(SPOT_Import!$A$1:$Z$2488,2353,'Live Data'!$C$16)),"")</f>
        <v/>
      </c>
      <c r="F2353" s="54" t="str">
        <f>IFERROR(IF(INDEX(SPOT_Import!$A$1:$Z$2488,2353,'Live Data'!$C$17)="","",INDEX(SPOT_Import!$A$1:$Z$2488,2353,'Live Data'!$C$17)),"")</f>
        <v/>
      </c>
      <c r="G2353" s="54" t="str">
        <f>IFERROR(IF(INDEX(SPOT_Import!$A$1:$Z$2488,2353,'Live Data'!$C$18)="","",INDEX(SPOT_Import!$A$1:$Z$2488,2353,'Live Data'!$C$18)),"")</f>
        <v/>
      </c>
      <c r="H2353" s="54" t="str">
        <f>IFERROR(IF(INDEX(SPOT_Import!$A$1:$Z$2488,2353,'Live Data'!$C$19)="","",INDEX(SPOT_Import!$A$1:$Z$2488,2353,'Live Data'!$C$19)),"")</f>
        <v/>
      </c>
      <c r="I2353" s="54" t="str">
        <f>IFERROR(IF(INDEX(SPOT_Import!$A$1:$Z$2488,2353,'Live Data'!$C$20)="","",INDEX(SPOT_Import!$A$1:$Z$2488,2353,'Live Data'!$C$20)),"")</f>
        <v/>
      </c>
      <c r="J2353" s="54" t="str">
        <f>IFERROR(IF(INDEX(SPOT_Import!$A$1:$Z$2488,2353,'Live Data'!$C$21)="","",INDEX(SPOT_Import!$A$1:$Z$2488,2353,'Live Data'!$C$21)),"")</f>
        <v/>
      </c>
      <c r="K2353" s="54" t="str">
        <f>IFERROR(IF(INDEX(SPOT_Import!$A$1:$Z$2488,2353,'Live Data'!$C$22)="","",INDEX(SPOT_Import!$A$1:$Z$2488,2353,'Live Data'!$C$22)),"")</f>
        <v/>
      </c>
      <c r="L2353" s="55" t="str">
        <f t="shared" si="72"/>
        <v/>
      </c>
      <c r="M2353" s="55" t="str">
        <f t="shared" si="73"/>
        <v/>
      </c>
      <c r="N2353" s="55" t="str">
        <f>IF(A2353="","",IFERROR(INDEX('Cluster Map'!$A$4:$A$38,MATCH(M2353,'Cluster Map'!$B$4:$B$38,0)),"Unmapped"))</f>
        <v/>
      </c>
      <c r="O2353" s="55">
        <f>IF(A2353="",0,IF(COUNTIFS($A$2:A2353,A2353,$F$2:F2353,F2353,$L$2:L2353,L2353)=1,1,0))</f>
        <v>0</v>
      </c>
      <c r="P2353" s="55">
        <f>IF(A2353="",0,IF(AND(F2353="C&amp;T",COUNTIFS($A$2:A2353,A2353,$F$2:F2353,"C&amp;T")=1),1,0))</f>
        <v>0</v>
      </c>
    </row>
    <row r="2354" spans="1:16" x14ac:dyDescent="0.35">
      <c r="A2354" s="54" t="str">
        <f>IFERROR(IF(INDEX(SPOT_Import!$A$1:$Z$2488,2354,'Live Data'!$C$12)="","",INDEX(SPOT_Import!$A$1:$Z$2488,2354,'Live Data'!$C$12)),"")</f>
        <v/>
      </c>
      <c r="B2354" s="54" t="str">
        <f>IFERROR(IF(INDEX(SPOT_Import!$A$1:$Z$2488,2354,'Live Data'!$C$13)="","",INDEX(SPOT_Import!$A$1:$Z$2488,2354,'Live Data'!$C$13)),"")</f>
        <v/>
      </c>
      <c r="C2354" s="54" t="str">
        <f>IFERROR(IF(INDEX(SPOT_Import!$A$1:$Z$2488,2354,'Live Data'!$C$14)="","",INDEX(SPOT_Import!$A$1:$Z$2488,2354,'Live Data'!$C$14)),"")</f>
        <v/>
      </c>
      <c r="D2354" s="54" t="str">
        <f>IFERROR(IF(INDEX(SPOT_Import!$A$1:$Z$2488,2354,'Live Data'!$C$15)="","",INDEX(SPOT_Import!$A$1:$Z$2488,2354,'Live Data'!$C$15)),"")</f>
        <v/>
      </c>
      <c r="E2354" s="54" t="str">
        <f>IFERROR(IF(INDEX(SPOT_Import!$A$1:$Z$2488,2354,'Live Data'!$C$16)="","",INDEX(SPOT_Import!$A$1:$Z$2488,2354,'Live Data'!$C$16)),"")</f>
        <v/>
      </c>
      <c r="F2354" s="54" t="str">
        <f>IFERROR(IF(INDEX(SPOT_Import!$A$1:$Z$2488,2354,'Live Data'!$C$17)="","",INDEX(SPOT_Import!$A$1:$Z$2488,2354,'Live Data'!$C$17)),"")</f>
        <v/>
      </c>
      <c r="G2354" s="54" t="str">
        <f>IFERROR(IF(INDEX(SPOT_Import!$A$1:$Z$2488,2354,'Live Data'!$C$18)="","",INDEX(SPOT_Import!$A$1:$Z$2488,2354,'Live Data'!$C$18)),"")</f>
        <v/>
      </c>
      <c r="H2354" s="54" t="str">
        <f>IFERROR(IF(INDEX(SPOT_Import!$A$1:$Z$2488,2354,'Live Data'!$C$19)="","",INDEX(SPOT_Import!$A$1:$Z$2488,2354,'Live Data'!$C$19)),"")</f>
        <v/>
      </c>
      <c r="I2354" s="54" t="str">
        <f>IFERROR(IF(INDEX(SPOT_Import!$A$1:$Z$2488,2354,'Live Data'!$C$20)="","",INDEX(SPOT_Import!$A$1:$Z$2488,2354,'Live Data'!$C$20)),"")</f>
        <v/>
      </c>
      <c r="J2354" s="54" t="str">
        <f>IFERROR(IF(INDEX(SPOT_Import!$A$1:$Z$2488,2354,'Live Data'!$C$21)="","",INDEX(SPOT_Import!$A$1:$Z$2488,2354,'Live Data'!$C$21)),"")</f>
        <v/>
      </c>
      <c r="K2354" s="54" t="str">
        <f>IFERROR(IF(INDEX(SPOT_Import!$A$1:$Z$2488,2354,'Live Data'!$C$22)="","",INDEX(SPOT_Import!$A$1:$Z$2488,2354,'Live Data'!$C$22)),"")</f>
        <v/>
      </c>
      <c r="L2354" s="55" t="str">
        <f t="shared" si="72"/>
        <v/>
      </c>
      <c r="M2354" s="55" t="str">
        <f t="shared" si="73"/>
        <v/>
      </c>
      <c r="N2354" s="55" t="str">
        <f>IF(A2354="","",IFERROR(INDEX('Cluster Map'!$A$4:$A$38,MATCH(M2354,'Cluster Map'!$B$4:$B$38,0)),"Unmapped"))</f>
        <v/>
      </c>
      <c r="O2354" s="55">
        <f>IF(A2354="",0,IF(COUNTIFS($A$2:A2354,A2354,$F$2:F2354,F2354,$L$2:L2354,L2354)=1,1,0))</f>
        <v>0</v>
      </c>
      <c r="P2354" s="55">
        <f>IF(A2354="",0,IF(AND(F2354="C&amp;T",COUNTIFS($A$2:A2354,A2354,$F$2:F2354,"C&amp;T")=1),1,0))</f>
        <v>0</v>
      </c>
    </row>
    <row r="2355" spans="1:16" x14ac:dyDescent="0.35">
      <c r="A2355" s="54" t="str">
        <f>IFERROR(IF(INDEX(SPOT_Import!$A$1:$Z$2488,2355,'Live Data'!$C$12)="","",INDEX(SPOT_Import!$A$1:$Z$2488,2355,'Live Data'!$C$12)),"")</f>
        <v/>
      </c>
      <c r="B2355" s="54" t="str">
        <f>IFERROR(IF(INDEX(SPOT_Import!$A$1:$Z$2488,2355,'Live Data'!$C$13)="","",INDEX(SPOT_Import!$A$1:$Z$2488,2355,'Live Data'!$C$13)),"")</f>
        <v/>
      </c>
      <c r="C2355" s="54" t="str">
        <f>IFERROR(IF(INDEX(SPOT_Import!$A$1:$Z$2488,2355,'Live Data'!$C$14)="","",INDEX(SPOT_Import!$A$1:$Z$2488,2355,'Live Data'!$C$14)),"")</f>
        <v/>
      </c>
      <c r="D2355" s="54" t="str">
        <f>IFERROR(IF(INDEX(SPOT_Import!$A$1:$Z$2488,2355,'Live Data'!$C$15)="","",INDEX(SPOT_Import!$A$1:$Z$2488,2355,'Live Data'!$C$15)),"")</f>
        <v/>
      </c>
      <c r="E2355" s="54" t="str">
        <f>IFERROR(IF(INDEX(SPOT_Import!$A$1:$Z$2488,2355,'Live Data'!$C$16)="","",INDEX(SPOT_Import!$A$1:$Z$2488,2355,'Live Data'!$C$16)),"")</f>
        <v/>
      </c>
      <c r="F2355" s="54" t="str">
        <f>IFERROR(IF(INDEX(SPOT_Import!$A$1:$Z$2488,2355,'Live Data'!$C$17)="","",INDEX(SPOT_Import!$A$1:$Z$2488,2355,'Live Data'!$C$17)),"")</f>
        <v/>
      </c>
      <c r="G2355" s="54" t="str">
        <f>IFERROR(IF(INDEX(SPOT_Import!$A$1:$Z$2488,2355,'Live Data'!$C$18)="","",INDEX(SPOT_Import!$A$1:$Z$2488,2355,'Live Data'!$C$18)),"")</f>
        <v/>
      </c>
      <c r="H2355" s="54" t="str">
        <f>IFERROR(IF(INDEX(SPOT_Import!$A$1:$Z$2488,2355,'Live Data'!$C$19)="","",INDEX(SPOT_Import!$A$1:$Z$2488,2355,'Live Data'!$C$19)),"")</f>
        <v/>
      </c>
      <c r="I2355" s="54" t="str">
        <f>IFERROR(IF(INDEX(SPOT_Import!$A$1:$Z$2488,2355,'Live Data'!$C$20)="","",INDEX(SPOT_Import!$A$1:$Z$2488,2355,'Live Data'!$C$20)),"")</f>
        <v/>
      </c>
      <c r="J2355" s="54" t="str">
        <f>IFERROR(IF(INDEX(SPOT_Import!$A$1:$Z$2488,2355,'Live Data'!$C$21)="","",INDEX(SPOT_Import!$A$1:$Z$2488,2355,'Live Data'!$C$21)),"")</f>
        <v/>
      </c>
      <c r="K2355" s="54" t="str">
        <f>IFERROR(IF(INDEX(SPOT_Import!$A$1:$Z$2488,2355,'Live Data'!$C$22)="","",INDEX(SPOT_Import!$A$1:$Z$2488,2355,'Live Data'!$C$22)),"")</f>
        <v/>
      </c>
      <c r="L2355" s="55" t="str">
        <f t="shared" si="72"/>
        <v/>
      </c>
      <c r="M2355" s="55" t="str">
        <f t="shared" si="73"/>
        <v/>
      </c>
      <c r="N2355" s="55" t="str">
        <f>IF(A2355="","",IFERROR(INDEX('Cluster Map'!$A$4:$A$38,MATCH(M2355,'Cluster Map'!$B$4:$B$38,0)),"Unmapped"))</f>
        <v/>
      </c>
      <c r="O2355" s="55">
        <f>IF(A2355="",0,IF(COUNTIFS($A$2:A2355,A2355,$F$2:F2355,F2355,$L$2:L2355,L2355)=1,1,0))</f>
        <v>0</v>
      </c>
      <c r="P2355" s="55">
        <f>IF(A2355="",0,IF(AND(F2355="C&amp;T",COUNTIFS($A$2:A2355,A2355,$F$2:F2355,"C&amp;T")=1),1,0))</f>
        <v>0</v>
      </c>
    </row>
    <row r="2356" spans="1:16" x14ac:dyDescent="0.35">
      <c r="A2356" s="54" t="str">
        <f>IFERROR(IF(INDEX(SPOT_Import!$A$1:$Z$2488,2356,'Live Data'!$C$12)="","",INDEX(SPOT_Import!$A$1:$Z$2488,2356,'Live Data'!$C$12)),"")</f>
        <v/>
      </c>
      <c r="B2356" s="54" t="str">
        <f>IFERROR(IF(INDEX(SPOT_Import!$A$1:$Z$2488,2356,'Live Data'!$C$13)="","",INDEX(SPOT_Import!$A$1:$Z$2488,2356,'Live Data'!$C$13)),"")</f>
        <v/>
      </c>
      <c r="C2356" s="54" t="str">
        <f>IFERROR(IF(INDEX(SPOT_Import!$A$1:$Z$2488,2356,'Live Data'!$C$14)="","",INDEX(SPOT_Import!$A$1:$Z$2488,2356,'Live Data'!$C$14)),"")</f>
        <v/>
      </c>
      <c r="D2356" s="54" t="str">
        <f>IFERROR(IF(INDEX(SPOT_Import!$A$1:$Z$2488,2356,'Live Data'!$C$15)="","",INDEX(SPOT_Import!$A$1:$Z$2488,2356,'Live Data'!$C$15)),"")</f>
        <v/>
      </c>
      <c r="E2356" s="54" t="str">
        <f>IFERROR(IF(INDEX(SPOT_Import!$A$1:$Z$2488,2356,'Live Data'!$C$16)="","",INDEX(SPOT_Import!$A$1:$Z$2488,2356,'Live Data'!$C$16)),"")</f>
        <v/>
      </c>
      <c r="F2356" s="54" t="str">
        <f>IFERROR(IF(INDEX(SPOT_Import!$A$1:$Z$2488,2356,'Live Data'!$C$17)="","",INDEX(SPOT_Import!$A$1:$Z$2488,2356,'Live Data'!$C$17)),"")</f>
        <v/>
      </c>
      <c r="G2356" s="54" t="str">
        <f>IFERROR(IF(INDEX(SPOT_Import!$A$1:$Z$2488,2356,'Live Data'!$C$18)="","",INDEX(SPOT_Import!$A$1:$Z$2488,2356,'Live Data'!$C$18)),"")</f>
        <v/>
      </c>
      <c r="H2356" s="54" t="str">
        <f>IFERROR(IF(INDEX(SPOT_Import!$A$1:$Z$2488,2356,'Live Data'!$C$19)="","",INDEX(SPOT_Import!$A$1:$Z$2488,2356,'Live Data'!$C$19)),"")</f>
        <v/>
      </c>
      <c r="I2356" s="54" t="str">
        <f>IFERROR(IF(INDEX(SPOT_Import!$A$1:$Z$2488,2356,'Live Data'!$C$20)="","",INDEX(SPOT_Import!$A$1:$Z$2488,2356,'Live Data'!$C$20)),"")</f>
        <v/>
      </c>
      <c r="J2356" s="54" t="str">
        <f>IFERROR(IF(INDEX(SPOT_Import!$A$1:$Z$2488,2356,'Live Data'!$C$21)="","",INDEX(SPOT_Import!$A$1:$Z$2488,2356,'Live Data'!$C$21)),"")</f>
        <v/>
      </c>
      <c r="K2356" s="54" t="str">
        <f>IFERROR(IF(INDEX(SPOT_Import!$A$1:$Z$2488,2356,'Live Data'!$C$22)="","",INDEX(SPOT_Import!$A$1:$Z$2488,2356,'Live Data'!$C$22)),"")</f>
        <v/>
      </c>
      <c r="L2356" s="55" t="str">
        <f t="shared" si="72"/>
        <v/>
      </c>
      <c r="M2356" s="55" t="str">
        <f t="shared" si="73"/>
        <v/>
      </c>
      <c r="N2356" s="55" t="str">
        <f>IF(A2356="","",IFERROR(INDEX('Cluster Map'!$A$4:$A$38,MATCH(M2356,'Cluster Map'!$B$4:$B$38,0)),"Unmapped"))</f>
        <v/>
      </c>
      <c r="O2356" s="55">
        <f>IF(A2356="",0,IF(COUNTIFS($A$2:A2356,A2356,$F$2:F2356,F2356,$L$2:L2356,L2356)=1,1,0))</f>
        <v>0</v>
      </c>
      <c r="P2356" s="55">
        <f>IF(A2356="",0,IF(AND(F2356="C&amp;T",COUNTIFS($A$2:A2356,A2356,$F$2:F2356,"C&amp;T")=1),1,0))</f>
        <v>0</v>
      </c>
    </row>
    <row r="2357" spans="1:16" x14ac:dyDescent="0.35">
      <c r="A2357" s="54" t="str">
        <f>IFERROR(IF(INDEX(SPOT_Import!$A$1:$Z$2488,2357,'Live Data'!$C$12)="","",INDEX(SPOT_Import!$A$1:$Z$2488,2357,'Live Data'!$C$12)),"")</f>
        <v/>
      </c>
      <c r="B2357" s="54" t="str">
        <f>IFERROR(IF(INDEX(SPOT_Import!$A$1:$Z$2488,2357,'Live Data'!$C$13)="","",INDEX(SPOT_Import!$A$1:$Z$2488,2357,'Live Data'!$C$13)),"")</f>
        <v/>
      </c>
      <c r="C2357" s="54" t="str">
        <f>IFERROR(IF(INDEX(SPOT_Import!$A$1:$Z$2488,2357,'Live Data'!$C$14)="","",INDEX(SPOT_Import!$A$1:$Z$2488,2357,'Live Data'!$C$14)),"")</f>
        <v/>
      </c>
      <c r="D2357" s="54" t="str">
        <f>IFERROR(IF(INDEX(SPOT_Import!$A$1:$Z$2488,2357,'Live Data'!$C$15)="","",INDEX(SPOT_Import!$A$1:$Z$2488,2357,'Live Data'!$C$15)),"")</f>
        <v/>
      </c>
      <c r="E2357" s="54" t="str">
        <f>IFERROR(IF(INDEX(SPOT_Import!$A$1:$Z$2488,2357,'Live Data'!$C$16)="","",INDEX(SPOT_Import!$A$1:$Z$2488,2357,'Live Data'!$C$16)),"")</f>
        <v/>
      </c>
      <c r="F2357" s="54" t="str">
        <f>IFERROR(IF(INDEX(SPOT_Import!$A$1:$Z$2488,2357,'Live Data'!$C$17)="","",INDEX(SPOT_Import!$A$1:$Z$2488,2357,'Live Data'!$C$17)),"")</f>
        <v/>
      </c>
      <c r="G2357" s="54" t="str">
        <f>IFERROR(IF(INDEX(SPOT_Import!$A$1:$Z$2488,2357,'Live Data'!$C$18)="","",INDEX(SPOT_Import!$A$1:$Z$2488,2357,'Live Data'!$C$18)),"")</f>
        <v/>
      </c>
      <c r="H2357" s="54" t="str">
        <f>IFERROR(IF(INDEX(SPOT_Import!$A$1:$Z$2488,2357,'Live Data'!$C$19)="","",INDEX(SPOT_Import!$A$1:$Z$2488,2357,'Live Data'!$C$19)),"")</f>
        <v/>
      </c>
      <c r="I2357" s="54" t="str">
        <f>IFERROR(IF(INDEX(SPOT_Import!$A$1:$Z$2488,2357,'Live Data'!$C$20)="","",INDEX(SPOT_Import!$A$1:$Z$2488,2357,'Live Data'!$C$20)),"")</f>
        <v/>
      </c>
      <c r="J2357" s="54" t="str">
        <f>IFERROR(IF(INDEX(SPOT_Import!$A$1:$Z$2488,2357,'Live Data'!$C$21)="","",INDEX(SPOT_Import!$A$1:$Z$2488,2357,'Live Data'!$C$21)),"")</f>
        <v/>
      </c>
      <c r="K2357" s="54" t="str">
        <f>IFERROR(IF(INDEX(SPOT_Import!$A$1:$Z$2488,2357,'Live Data'!$C$22)="","",INDEX(SPOT_Import!$A$1:$Z$2488,2357,'Live Data'!$C$22)),"")</f>
        <v/>
      </c>
      <c r="L2357" s="55" t="str">
        <f t="shared" si="72"/>
        <v/>
      </c>
      <c r="M2357" s="55" t="str">
        <f t="shared" si="73"/>
        <v/>
      </c>
      <c r="N2357" s="55" t="str">
        <f>IF(A2357="","",IFERROR(INDEX('Cluster Map'!$A$4:$A$38,MATCH(M2357,'Cluster Map'!$B$4:$B$38,0)),"Unmapped"))</f>
        <v/>
      </c>
      <c r="O2357" s="55">
        <f>IF(A2357="",0,IF(COUNTIFS($A$2:A2357,A2357,$F$2:F2357,F2357,$L$2:L2357,L2357)=1,1,0))</f>
        <v>0</v>
      </c>
      <c r="P2357" s="55">
        <f>IF(A2357="",0,IF(AND(F2357="C&amp;T",COUNTIFS($A$2:A2357,A2357,$F$2:F2357,"C&amp;T")=1),1,0))</f>
        <v>0</v>
      </c>
    </row>
    <row r="2358" spans="1:16" x14ac:dyDescent="0.35">
      <c r="A2358" s="54" t="str">
        <f>IFERROR(IF(INDEX(SPOT_Import!$A$1:$Z$2488,2358,'Live Data'!$C$12)="","",INDEX(SPOT_Import!$A$1:$Z$2488,2358,'Live Data'!$C$12)),"")</f>
        <v/>
      </c>
      <c r="B2358" s="54" t="str">
        <f>IFERROR(IF(INDEX(SPOT_Import!$A$1:$Z$2488,2358,'Live Data'!$C$13)="","",INDEX(SPOT_Import!$A$1:$Z$2488,2358,'Live Data'!$C$13)),"")</f>
        <v/>
      </c>
      <c r="C2358" s="54" t="str">
        <f>IFERROR(IF(INDEX(SPOT_Import!$A$1:$Z$2488,2358,'Live Data'!$C$14)="","",INDEX(SPOT_Import!$A$1:$Z$2488,2358,'Live Data'!$C$14)),"")</f>
        <v/>
      </c>
      <c r="D2358" s="54" t="str">
        <f>IFERROR(IF(INDEX(SPOT_Import!$A$1:$Z$2488,2358,'Live Data'!$C$15)="","",INDEX(SPOT_Import!$A$1:$Z$2488,2358,'Live Data'!$C$15)),"")</f>
        <v/>
      </c>
      <c r="E2358" s="54" t="str">
        <f>IFERROR(IF(INDEX(SPOT_Import!$A$1:$Z$2488,2358,'Live Data'!$C$16)="","",INDEX(SPOT_Import!$A$1:$Z$2488,2358,'Live Data'!$C$16)),"")</f>
        <v/>
      </c>
      <c r="F2358" s="54" t="str">
        <f>IFERROR(IF(INDEX(SPOT_Import!$A$1:$Z$2488,2358,'Live Data'!$C$17)="","",INDEX(SPOT_Import!$A$1:$Z$2488,2358,'Live Data'!$C$17)),"")</f>
        <v/>
      </c>
      <c r="G2358" s="54" t="str">
        <f>IFERROR(IF(INDEX(SPOT_Import!$A$1:$Z$2488,2358,'Live Data'!$C$18)="","",INDEX(SPOT_Import!$A$1:$Z$2488,2358,'Live Data'!$C$18)),"")</f>
        <v/>
      </c>
      <c r="H2358" s="54" t="str">
        <f>IFERROR(IF(INDEX(SPOT_Import!$A$1:$Z$2488,2358,'Live Data'!$C$19)="","",INDEX(SPOT_Import!$A$1:$Z$2488,2358,'Live Data'!$C$19)),"")</f>
        <v/>
      </c>
      <c r="I2358" s="54" t="str">
        <f>IFERROR(IF(INDEX(SPOT_Import!$A$1:$Z$2488,2358,'Live Data'!$C$20)="","",INDEX(SPOT_Import!$A$1:$Z$2488,2358,'Live Data'!$C$20)),"")</f>
        <v/>
      </c>
      <c r="J2358" s="54" t="str">
        <f>IFERROR(IF(INDEX(SPOT_Import!$A$1:$Z$2488,2358,'Live Data'!$C$21)="","",INDEX(SPOT_Import!$A$1:$Z$2488,2358,'Live Data'!$C$21)),"")</f>
        <v/>
      </c>
      <c r="K2358" s="54" t="str">
        <f>IFERROR(IF(INDEX(SPOT_Import!$A$1:$Z$2488,2358,'Live Data'!$C$22)="","",INDEX(SPOT_Import!$A$1:$Z$2488,2358,'Live Data'!$C$22)),"")</f>
        <v/>
      </c>
      <c r="L2358" s="55" t="str">
        <f t="shared" si="72"/>
        <v/>
      </c>
      <c r="M2358" s="55" t="str">
        <f t="shared" si="73"/>
        <v/>
      </c>
      <c r="N2358" s="55" t="str">
        <f>IF(A2358="","",IFERROR(INDEX('Cluster Map'!$A$4:$A$38,MATCH(M2358,'Cluster Map'!$B$4:$B$38,0)),"Unmapped"))</f>
        <v/>
      </c>
      <c r="O2358" s="55">
        <f>IF(A2358="",0,IF(COUNTIFS($A$2:A2358,A2358,$F$2:F2358,F2358,$L$2:L2358,L2358)=1,1,0))</f>
        <v>0</v>
      </c>
      <c r="P2358" s="55">
        <f>IF(A2358="",0,IF(AND(F2358="C&amp;T",COUNTIFS($A$2:A2358,A2358,$F$2:F2358,"C&amp;T")=1),1,0))</f>
        <v>0</v>
      </c>
    </row>
    <row r="2359" spans="1:16" x14ac:dyDescent="0.35">
      <c r="A2359" s="54" t="str">
        <f>IFERROR(IF(INDEX(SPOT_Import!$A$1:$Z$2488,2359,'Live Data'!$C$12)="","",INDEX(SPOT_Import!$A$1:$Z$2488,2359,'Live Data'!$C$12)),"")</f>
        <v/>
      </c>
      <c r="B2359" s="54" t="str">
        <f>IFERROR(IF(INDEX(SPOT_Import!$A$1:$Z$2488,2359,'Live Data'!$C$13)="","",INDEX(SPOT_Import!$A$1:$Z$2488,2359,'Live Data'!$C$13)),"")</f>
        <v/>
      </c>
      <c r="C2359" s="54" t="str">
        <f>IFERROR(IF(INDEX(SPOT_Import!$A$1:$Z$2488,2359,'Live Data'!$C$14)="","",INDEX(SPOT_Import!$A$1:$Z$2488,2359,'Live Data'!$C$14)),"")</f>
        <v/>
      </c>
      <c r="D2359" s="54" t="str">
        <f>IFERROR(IF(INDEX(SPOT_Import!$A$1:$Z$2488,2359,'Live Data'!$C$15)="","",INDEX(SPOT_Import!$A$1:$Z$2488,2359,'Live Data'!$C$15)),"")</f>
        <v/>
      </c>
      <c r="E2359" s="54" t="str">
        <f>IFERROR(IF(INDEX(SPOT_Import!$A$1:$Z$2488,2359,'Live Data'!$C$16)="","",INDEX(SPOT_Import!$A$1:$Z$2488,2359,'Live Data'!$C$16)),"")</f>
        <v/>
      </c>
      <c r="F2359" s="54" t="str">
        <f>IFERROR(IF(INDEX(SPOT_Import!$A$1:$Z$2488,2359,'Live Data'!$C$17)="","",INDEX(SPOT_Import!$A$1:$Z$2488,2359,'Live Data'!$C$17)),"")</f>
        <v/>
      </c>
      <c r="G2359" s="54" t="str">
        <f>IFERROR(IF(INDEX(SPOT_Import!$A$1:$Z$2488,2359,'Live Data'!$C$18)="","",INDEX(SPOT_Import!$A$1:$Z$2488,2359,'Live Data'!$C$18)),"")</f>
        <v/>
      </c>
      <c r="H2359" s="54" t="str">
        <f>IFERROR(IF(INDEX(SPOT_Import!$A$1:$Z$2488,2359,'Live Data'!$C$19)="","",INDEX(SPOT_Import!$A$1:$Z$2488,2359,'Live Data'!$C$19)),"")</f>
        <v/>
      </c>
      <c r="I2359" s="54" t="str">
        <f>IFERROR(IF(INDEX(SPOT_Import!$A$1:$Z$2488,2359,'Live Data'!$C$20)="","",INDEX(SPOT_Import!$A$1:$Z$2488,2359,'Live Data'!$C$20)),"")</f>
        <v/>
      </c>
      <c r="J2359" s="54" t="str">
        <f>IFERROR(IF(INDEX(SPOT_Import!$A$1:$Z$2488,2359,'Live Data'!$C$21)="","",INDEX(SPOT_Import!$A$1:$Z$2488,2359,'Live Data'!$C$21)),"")</f>
        <v/>
      </c>
      <c r="K2359" s="54" t="str">
        <f>IFERROR(IF(INDEX(SPOT_Import!$A$1:$Z$2488,2359,'Live Data'!$C$22)="","",INDEX(SPOT_Import!$A$1:$Z$2488,2359,'Live Data'!$C$22)),"")</f>
        <v/>
      </c>
      <c r="L2359" s="55" t="str">
        <f t="shared" si="72"/>
        <v/>
      </c>
      <c r="M2359" s="55" t="str">
        <f t="shared" si="73"/>
        <v/>
      </c>
      <c r="N2359" s="55" t="str">
        <f>IF(A2359="","",IFERROR(INDEX('Cluster Map'!$A$4:$A$38,MATCH(M2359,'Cluster Map'!$B$4:$B$38,0)),"Unmapped"))</f>
        <v/>
      </c>
      <c r="O2359" s="55">
        <f>IF(A2359="",0,IF(COUNTIFS($A$2:A2359,A2359,$F$2:F2359,F2359,$L$2:L2359,L2359)=1,1,0))</f>
        <v>0</v>
      </c>
      <c r="P2359" s="55">
        <f>IF(A2359="",0,IF(AND(F2359="C&amp;T",COUNTIFS($A$2:A2359,A2359,$F$2:F2359,"C&amp;T")=1),1,0))</f>
        <v>0</v>
      </c>
    </row>
    <row r="2360" spans="1:16" x14ac:dyDescent="0.35">
      <c r="A2360" s="54" t="str">
        <f>IFERROR(IF(INDEX(SPOT_Import!$A$1:$Z$2488,2360,'Live Data'!$C$12)="","",INDEX(SPOT_Import!$A$1:$Z$2488,2360,'Live Data'!$C$12)),"")</f>
        <v/>
      </c>
      <c r="B2360" s="54" t="str">
        <f>IFERROR(IF(INDEX(SPOT_Import!$A$1:$Z$2488,2360,'Live Data'!$C$13)="","",INDEX(SPOT_Import!$A$1:$Z$2488,2360,'Live Data'!$C$13)),"")</f>
        <v/>
      </c>
      <c r="C2360" s="54" t="str">
        <f>IFERROR(IF(INDEX(SPOT_Import!$A$1:$Z$2488,2360,'Live Data'!$C$14)="","",INDEX(SPOT_Import!$A$1:$Z$2488,2360,'Live Data'!$C$14)),"")</f>
        <v/>
      </c>
      <c r="D2360" s="54" t="str">
        <f>IFERROR(IF(INDEX(SPOT_Import!$A$1:$Z$2488,2360,'Live Data'!$C$15)="","",INDEX(SPOT_Import!$A$1:$Z$2488,2360,'Live Data'!$C$15)),"")</f>
        <v/>
      </c>
      <c r="E2360" s="54" t="str">
        <f>IFERROR(IF(INDEX(SPOT_Import!$A$1:$Z$2488,2360,'Live Data'!$C$16)="","",INDEX(SPOT_Import!$A$1:$Z$2488,2360,'Live Data'!$C$16)),"")</f>
        <v/>
      </c>
      <c r="F2360" s="54" t="str">
        <f>IFERROR(IF(INDEX(SPOT_Import!$A$1:$Z$2488,2360,'Live Data'!$C$17)="","",INDEX(SPOT_Import!$A$1:$Z$2488,2360,'Live Data'!$C$17)),"")</f>
        <v/>
      </c>
      <c r="G2360" s="54" t="str">
        <f>IFERROR(IF(INDEX(SPOT_Import!$A$1:$Z$2488,2360,'Live Data'!$C$18)="","",INDEX(SPOT_Import!$A$1:$Z$2488,2360,'Live Data'!$C$18)),"")</f>
        <v/>
      </c>
      <c r="H2360" s="54" t="str">
        <f>IFERROR(IF(INDEX(SPOT_Import!$A$1:$Z$2488,2360,'Live Data'!$C$19)="","",INDEX(SPOT_Import!$A$1:$Z$2488,2360,'Live Data'!$C$19)),"")</f>
        <v/>
      </c>
      <c r="I2360" s="54" t="str">
        <f>IFERROR(IF(INDEX(SPOT_Import!$A$1:$Z$2488,2360,'Live Data'!$C$20)="","",INDEX(SPOT_Import!$A$1:$Z$2488,2360,'Live Data'!$C$20)),"")</f>
        <v/>
      </c>
      <c r="J2360" s="54" t="str">
        <f>IFERROR(IF(INDEX(SPOT_Import!$A$1:$Z$2488,2360,'Live Data'!$C$21)="","",INDEX(SPOT_Import!$A$1:$Z$2488,2360,'Live Data'!$C$21)),"")</f>
        <v/>
      </c>
      <c r="K2360" s="54" t="str">
        <f>IFERROR(IF(INDEX(SPOT_Import!$A$1:$Z$2488,2360,'Live Data'!$C$22)="","",INDEX(SPOT_Import!$A$1:$Z$2488,2360,'Live Data'!$C$22)),"")</f>
        <v/>
      </c>
      <c r="L2360" s="55" t="str">
        <f t="shared" si="72"/>
        <v/>
      </c>
      <c r="M2360" s="55" t="str">
        <f t="shared" si="73"/>
        <v/>
      </c>
      <c r="N2360" s="55" t="str">
        <f>IF(A2360="","",IFERROR(INDEX('Cluster Map'!$A$4:$A$38,MATCH(M2360,'Cluster Map'!$B$4:$B$38,0)),"Unmapped"))</f>
        <v/>
      </c>
      <c r="O2360" s="55">
        <f>IF(A2360="",0,IF(COUNTIFS($A$2:A2360,A2360,$F$2:F2360,F2360,$L$2:L2360,L2360)=1,1,0))</f>
        <v>0</v>
      </c>
      <c r="P2360" s="55">
        <f>IF(A2360="",0,IF(AND(F2360="C&amp;T",COUNTIFS($A$2:A2360,A2360,$F$2:F2360,"C&amp;T")=1),1,0))</f>
        <v>0</v>
      </c>
    </row>
    <row r="2361" spans="1:16" x14ac:dyDescent="0.35">
      <c r="A2361" s="54" t="str">
        <f>IFERROR(IF(INDEX(SPOT_Import!$A$1:$Z$2488,2361,'Live Data'!$C$12)="","",INDEX(SPOT_Import!$A$1:$Z$2488,2361,'Live Data'!$C$12)),"")</f>
        <v/>
      </c>
      <c r="B2361" s="54" t="str">
        <f>IFERROR(IF(INDEX(SPOT_Import!$A$1:$Z$2488,2361,'Live Data'!$C$13)="","",INDEX(SPOT_Import!$A$1:$Z$2488,2361,'Live Data'!$C$13)),"")</f>
        <v/>
      </c>
      <c r="C2361" s="54" t="str">
        <f>IFERROR(IF(INDEX(SPOT_Import!$A$1:$Z$2488,2361,'Live Data'!$C$14)="","",INDEX(SPOT_Import!$A$1:$Z$2488,2361,'Live Data'!$C$14)),"")</f>
        <v/>
      </c>
      <c r="D2361" s="54" t="str">
        <f>IFERROR(IF(INDEX(SPOT_Import!$A$1:$Z$2488,2361,'Live Data'!$C$15)="","",INDEX(SPOT_Import!$A$1:$Z$2488,2361,'Live Data'!$C$15)),"")</f>
        <v/>
      </c>
      <c r="E2361" s="54" t="str">
        <f>IFERROR(IF(INDEX(SPOT_Import!$A$1:$Z$2488,2361,'Live Data'!$C$16)="","",INDEX(SPOT_Import!$A$1:$Z$2488,2361,'Live Data'!$C$16)),"")</f>
        <v/>
      </c>
      <c r="F2361" s="54" t="str">
        <f>IFERROR(IF(INDEX(SPOT_Import!$A$1:$Z$2488,2361,'Live Data'!$C$17)="","",INDEX(SPOT_Import!$A$1:$Z$2488,2361,'Live Data'!$C$17)),"")</f>
        <v/>
      </c>
      <c r="G2361" s="54" t="str">
        <f>IFERROR(IF(INDEX(SPOT_Import!$A$1:$Z$2488,2361,'Live Data'!$C$18)="","",INDEX(SPOT_Import!$A$1:$Z$2488,2361,'Live Data'!$C$18)),"")</f>
        <v/>
      </c>
      <c r="H2361" s="54" t="str">
        <f>IFERROR(IF(INDEX(SPOT_Import!$A$1:$Z$2488,2361,'Live Data'!$C$19)="","",INDEX(SPOT_Import!$A$1:$Z$2488,2361,'Live Data'!$C$19)),"")</f>
        <v/>
      </c>
      <c r="I2361" s="54" t="str">
        <f>IFERROR(IF(INDEX(SPOT_Import!$A$1:$Z$2488,2361,'Live Data'!$C$20)="","",INDEX(SPOT_Import!$A$1:$Z$2488,2361,'Live Data'!$C$20)),"")</f>
        <v/>
      </c>
      <c r="J2361" s="54" t="str">
        <f>IFERROR(IF(INDEX(SPOT_Import!$A$1:$Z$2488,2361,'Live Data'!$C$21)="","",INDEX(SPOT_Import!$A$1:$Z$2488,2361,'Live Data'!$C$21)),"")</f>
        <v/>
      </c>
      <c r="K2361" s="54" t="str">
        <f>IFERROR(IF(INDEX(SPOT_Import!$A$1:$Z$2488,2361,'Live Data'!$C$22)="","",INDEX(SPOT_Import!$A$1:$Z$2488,2361,'Live Data'!$C$22)),"")</f>
        <v/>
      </c>
      <c r="L2361" s="55" t="str">
        <f t="shared" si="72"/>
        <v/>
      </c>
      <c r="M2361" s="55" t="str">
        <f t="shared" si="73"/>
        <v/>
      </c>
      <c r="N2361" s="55" t="str">
        <f>IF(A2361="","",IFERROR(INDEX('Cluster Map'!$A$4:$A$38,MATCH(M2361,'Cluster Map'!$B$4:$B$38,0)),"Unmapped"))</f>
        <v/>
      </c>
      <c r="O2361" s="55">
        <f>IF(A2361="",0,IF(COUNTIFS($A$2:A2361,A2361,$F$2:F2361,F2361,$L$2:L2361,L2361)=1,1,0))</f>
        <v>0</v>
      </c>
      <c r="P2361" s="55">
        <f>IF(A2361="",0,IF(AND(F2361="C&amp;T",COUNTIFS($A$2:A2361,A2361,$F$2:F2361,"C&amp;T")=1),1,0))</f>
        <v>0</v>
      </c>
    </row>
    <row r="2362" spans="1:16" x14ac:dyDescent="0.35">
      <c r="A2362" s="54" t="str">
        <f>IFERROR(IF(INDEX(SPOT_Import!$A$1:$Z$2488,2362,'Live Data'!$C$12)="","",INDEX(SPOT_Import!$A$1:$Z$2488,2362,'Live Data'!$C$12)),"")</f>
        <v/>
      </c>
      <c r="B2362" s="54" t="str">
        <f>IFERROR(IF(INDEX(SPOT_Import!$A$1:$Z$2488,2362,'Live Data'!$C$13)="","",INDEX(SPOT_Import!$A$1:$Z$2488,2362,'Live Data'!$C$13)),"")</f>
        <v/>
      </c>
      <c r="C2362" s="54" t="str">
        <f>IFERROR(IF(INDEX(SPOT_Import!$A$1:$Z$2488,2362,'Live Data'!$C$14)="","",INDEX(SPOT_Import!$A$1:$Z$2488,2362,'Live Data'!$C$14)),"")</f>
        <v/>
      </c>
      <c r="D2362" s="54" t="str">
        <f>IFERROR(IF(INDEX(SPOT_Import!$A$1:$Z$2488,2362,'Live Data'!$C$15)="","",INDEX(SPOT_Import!$A$1:$Z$2488,2362,'Live Data'!$C$15)),"")</f>
        <v/>
      </c>
      <c r="E2362" s="54" t="str">
        <f>IFERROR(IF(INDEX(SPOT_Import!$A$1:$Z$2488,2362,'Live Data'!$C$16)="","",INDEX(SPOT_Import!$A$1:$Z$2488,2362,'Live Data'!$C$16)),"")</f>
        <v/>
      </c>
      <c r="F2362" s="54" t="str">
        <f>IFERROR(IF(INDEX(SPOT_Import!$A$1:$Z$2488,2362,'Live Data'!$C$17)="","",INDEX(SPOT_Import!$A$1:$Z$2488,2362,'Live Data'!$C$17)),"")</f>
        <v/>
      </c>
      <c r="G2362" s="54" t="str">
        <f>IFERROR(IF(INDEX(SPOT_Import!$A$1:$Z$2488,2362,'Live Data'!$C$18)="","",INDEX(SPOT_Import!$A$1:$Z$2488,2362,'Live Data'!$C$18)),"")</f>
        <v/>
      </c>
      <c r="H2362" s="54" t="str">
        <f>IFERROR(IF(INDEX(SPOT_Import!$A$1:$Z$2488,2362,'Live Data'!$C$19)="","",INDEX(SPOT_Import!$A$1:$Z$2488,2362,'Live Data'!$C$19)),"")</f>
        <v/>
      </c>
      <c r="I2362" s="54" t="str">
        <f>IFERROR(IF(INDEX(SPOT_Import!$A$1:$Z$2488,2362,'Live Data'!$C$20)="","",INDEX(SPOT_Import!$A$1:$Z$2488,2362,'Live Data'!$C$20)),"")</f>
        <v/>
      </c>
      <c r="J2362" s="54" t="str">
        <f>IFERROR(IF(INDEX(SPOT_Import!$A$1:$Z$2488,2362,'Live Data'!$C$21)="","",INDEX(SPOT_Import!$A$1:$Z$2488,2362,'Live Data'!$C$21)),"")</f>
        <v/>
      </c>
      <c r="K2362" s="54" t="str">
        <f>IFERROR(IF(INDEX(SPOT_Import!$A$1:$Z$2488,2362,'Live Data'!$C$22)="","",INDEX(SPOT_Import!$A$1:$Z$2488,2362,'Live Data'!$C$22)),"")</f>
        <v/>
      </c>
      <c r="L2362" s="55" t="str">
        <f t="shared" si="72"/>
        <v/>
      </c>
      <c r="M2362" s="55" t="str">
        <f t="shared" si="73"/>
        <v/>
      </c>
      <c r="N2362" s="55" t="str">
        <f>IF(A2362="","",IFERROR(INDEX('Cluster Map'!$A$4:$A$38,MATCH(M2362,'Cluster Map'!$B$4:$B$38,0)),"Unmapped"))</f>
        <v/>
      </c>
      <c r="O2362" s="55">
        <f>IF(A2362="",0,IF(COUNTIFS($A$2:A2362,A2362,$F$2:F2362,F2362,$L$2:L2362,L2362)=1,1,0))</f>
        <v>0</v>
      </c>
      <c r="P2362" s="55">
        <f>IF(A2362="",0,IF(AND(F2362="C&amp;T",COUNTIFS($A$2:A2362,A2362,$F$2:F2362,"C&amp;T")=1),1,0))</f>
        <v>0</v>
      </c>
    </row>
    <row r="2363" spans="1:16" x14ac:dyDescent="0.35">
      <c r="A2363" s="54" t="str">
        <f>IFERROR(IF(INDEX(SPOT_Import!$A$1:$Z$2488,2363,'Live Data'!$C$12)="","",INDEX(SPOT_Import!$A$1:$Z$2488,2363,'Live Data'!$C$12)),"")</f>
        <v/>
      </c>
      <c r="B2363" s="54" t="str">
        <f>IFERROR(IF(INDEX(SPOT_Import!$A$1:$Z$2488,2363,'Live Data'!$C$13)="","",INDEX(SPOT_Import!$A$1:$Z$2488,2363,'Live Data'!$C$13)),"")</f>
        <v/>
      </c>
      <c r="C2363" s="54" t="str">
        <f>IFERROR(IF(INDEX(SPOT_Import!$A$1:$Z$2488,2363,'Live Data'!$C$14)="","",INDEX(SPOT_Import!$A$1:$Z$2488,2363,'Live Data'!$C$14)),"")</f>
        <v/>
      </c>
      <c r="D2363" s="54" t="str">
        <f>IFERROR(IF(INDEX(SPOT_Import!$A$1:$Z$2488,2363,'Live Data'!$C$15)="","",INDEX(SPOT_Import!$A$1:$Z$2488,2363,'Live Data'!$C$15)),"")</f>
        <v/>
      </c>
      <c r="E2363" s="54" t="str">
        <f>IFERROR(IF(INDEX(SPOT_Import!$A$1:$Z$2488,2363,'Live Data'!$C$16)="","",INDEX(SPOT_Import!$A$1:$Z$2488,2363,'Live Data'!$C$16)),"")</f>
        <v/>
      </c>
      <c r="F2363" s="54" t="str">
        <f>IFERROR(IF(INDEX(SPOT_Import!$A$1:$Z$2488,2363,'Live Data'!$C$17)="","",INDEX(SPOT_Import!$A$1:$Z$2488,2363,'Live Data'!$C$17)),"")</f>
        <v/>
      </c>
      <c r="G2363" s="54" t="str">
        <f>IFERROR(IF(INDEX(SPOT_Import!$A$1:$Z$2488,2363,'Live Data'!$C$18)="","",INDEX(SPOT_Import!$A$1:$Z$2488,2363,'Live Data'!$C$18)),"")</f>
        <v/>
      </c>
      <c r="H2363" s="54" t="str">
        <f>IFERROR(IF(INDEX(SPOT_Import!$A$1:$Z$2488,2363,'Live Data'!$C$19)="","",INDEX(SPOT_Import!$A$1:$Z$2488,2363,'Live Data'!$C$19)),"")</f>
        <v/>
      </c>
      <c r="I2363" s="54" t="str">
        <f>IFERROR(IF(INDEX(SPOT_Import!$A$1:$Z$2488,2363,'Live Data'!$C$20)="","",INDEX(SPOT_Import!$A$1:$Z$2488,2363,'Live Data'!$C$20)),"")</f>
        <v/>
      </c>
      <c r="J2363" s="54" t="str">
        <f>IFERROR(IF(INDEX(SPOT_Import!$A$1:$Z$2488,2363,'Live Data'!$C$21)="","",INDEX(SPOT_Import!$A$1:$Z$2488,2363,'Live Data'!$C$21)),"")</f>
        <v/>
      </c>
      <c r="K2363" s="54" t="str">
        <f>IFERROR(IF(INDEX(SPOT_Import!$A$1:$Z$2488,2363,'Live Data'!$C$22)="","",INDEX(SPOT_Import!$A$1:$Z$2488,2363,'Live Data'!$C$22)),"")</f>
        <v/>
      </c>
      <c r="L2363" s="55" t="str">
        <f t="shared" si="72"/>
        <v/>
      </c>
      <c r="M2363" s="55" t="str">
        <f t="shared" si="73"/>
        <v/>
      </c>
      <c r="N2363" s="55" t="str">
        <f>IF(A2363="","",IFERROR(INDEX('Cluster Map'!$A$4:$A$38,MATCH(M2363,'Cluster Map'!$B$4:$B$38,0)),"Unmapped"))</f>
        <v/>
      </c>
      <c r="O2363" s="55">
        <f>IF(A2363="",0,IF(COUNTIFS($A$2:A2363,A2363,$F$2:F2363,F2363,$L$2:L2363,L2363)=1,1,0))</f>
        <v>0</v>
      </c>
      <c r="P2363" s="55">
        <f>IF(A2363="",0,IF(AND(F2363="C&amp;T",COUNTIFS($A$2:A2363,A2363,$F$2:F2363,"C&amp;T")=1),1,0))</f>
        <v>0</v>
      </c>
    </row>
    <row r="2364" spans="1:16" x14ac:dyDescent="0.35">
      <c r="A2364" s="54" t="str">
        <f>IFERROR(IF(INDEX(SPOT_Import!$A$1:$Z$2488,2364,'Live Data'!$C$12)="","",INDEX(SPOT_Import!$A$1:$Z$2488,2364,'Live Data'!$C$12)),"")</f>
        <v/>
      </c>
      <c r="B2364" s="54" t="str">
        <f>IFERROR(IF(INDEX(SPOT_Import!$A$1:$Z$2488,2364,'Live Data'!$C$13)="","",INDEX(SPOT_Import!$A$1:$Z$2488,2364,'Live Data'!$C$13)),"")</f>
        <v/>
      </c>
      <c r="C2364" s="54" t="str">
        <f>IFERROR(IF(INDEX(SPOT_Import!$A$1:$Z$2488,2364,'Live Data'!$C$14)="","",INDEX(SPOT_Import!$A$1:$Z$2488,2364,'Live Data'!$C$14)),"")</f>
        <v/>
      </c>
      <c r="D2364" s="54" t="str">
        <f>IFERROR(IF(INDEX(SPOT_Import!$A$1:$Z$2488,2364,'Live Data'!$C$15)="","",INDEX(SPOT_Import!$A$1:$Z$2488,2364,'Live Data'!$C$15)),"")</f>
        <v/>
      </c>
      <c r="E2364" s="54" t="str">
        <f>IFERROR(IF(INDEX(SPOT_Import!$A$1:$Z$2488,2364,'Live Data'!$C$16)="","",INDEX(SPOT_Import!$A$1:$Z$2488,2364,'Live Data'!$C$16)),"")</f>
        <v/>
      </c>
      <c r="F2364" s="54" t="str">
        <f>IFERROR(IF(INDEX(SPOT_Import!$A$1:$Z$2488,2364,'Live Data'!$C$17)="","",INDEX(SPOT_Import!$A$1:$Z$2488,2364,'Live Data'!$C$17)),"")</f>
        <v/>
      </c>
      <c r="G2364" s="54" t="str">
        <f>IFERROR(IF(INDEX(SPOT_Import!$A$1:$Z$2488,2364,'Live Data'!$C$18)="","",INDEX(SPOT_Import!$A$1:$Z$2488,2364,'Live Data'!$C$18)),"")</f>
        <v/>
      </c>
      <c r="H2364" s="54" t="str">
        <f>IFERROR(IF(INDEX(SPOT_Import!$A$1:$Z$2488,2364,'Live Data'!$C$19)="","",INDEX(SPOT_Import!$A$1:$Z$2488,2364,'Live Data'!$C$19)),"")</f>
        <v/>
      </c>
      <c r="I2364" s="54" t="str">
        <f>IFERROR(IF(INDEX(SPOT_Import!$A$1:$Z$2488,2364,'Live Data'!$C$20)="","",INDEX(SPOT_Import!$A$1:$Z$2488,2364,'Live Data'!$C$20)),"")</f>
        <v/>
      </c>
      <c r="J2364" s="54" t="str">
        <f>IFERROR(IF(INDEX(SPOT_Import!$A$1:$Z$2488,2364,'Live Data'!$C$21)="","",INDEX(SPOT_Import!$A$1:$Z$2488,2364,'Live Data'!$C$21)),"")</f>
        <v/>
      </c>
      <c r="K2364" s="54" t="str">
        <f>IFERROR(IF(INDEX(SPOT_Import!$A$1:$Z$2488,2364,'Live Data'!$C$22)="","",INDEX(SPOT_Import!$A$1:$Z$2488,2364,'Live Data'!$C$22)),"")</f>
        <v/>
      </c>
      <c r="L2364" s="55" t="str">
        <f t="shared" si="72"/>
        <v/>
      </c>
      <c r="M2364" s="55" t="str">
        <f t="shared" si="73"/>
        <v/>
      </c>
      <c r="N2364" s="55" t="str">
        <f>IF(A2364="","",IFERROR(INDEX('Cluster Map'!$A$4:$A$38,MATCH(M2364,'Cluster Map'!$B$4:$B$38,0)),"Unmapped"))</f>
        <v/>
      </c>
      <c r="O2364" s="55">
        <f>IF(A2364="",0,IF(COUNTIFS($A$2:A2364,A2364,$F$2:F2364,F2364,$L$2:L2364,L2364)=1,1,0))</f>
        <v>0</v>
      </c>
      <c r="P2364" s="55">
        <f>IF(A2364="",0,IF(AND(F2364="C&amp;T",COUNTIFS($A$2:A2364,A2364,$F$2:F2364,"C&amp;T")=1),1,0))</f>
        <v>0</v>
      </c>
    </row>
    <row r="2365" spans="1:16" x14ac:dyDescent="0.35">
      <c r="A2365" s="54" t="str">
        <f>IFERROR(IF(INDEX(SPOT_Import!$A$1:$Z$2488,2365,'Live Data'!$C$12)="","",INDEX(SPOT_Import!$A$1:$Z$2488,2365,'Live Data'!$C$12)),"")</f>
        <v/>
      </c>
      <c r="B2365" s="54" t="str">
        <f>IFERROR(IF(INDEX(SPOT_Import!$A$1:$Z$2488,2365,'Live Data'!$C$13)="","",INDEX(SPOT_Import!$A$1:$Z$2488,2365,'Live Data'!$C$13)),"")</f>
        <v/>
      </c>
      <c r="C2365" s="54" t="str">
        <f>IFERROR(IF(INDEX(SPOT_Import!$A$1:$Z$2488,2365,'Live Data'!$C$14)="","",INDEX(SPOT_Import!$A$1:$Z$2488,2365,'Live Data'!$C$14)),"")</f>
        <v/>
      </c>
      <c r="D2365" s="54" t="str">
        <f>IFERROR(IF(INDEX(SPOT_Import!$A$1:$Z$2488,2365,'Live Data'!$C$15)="","",INDEX(SPOT_Import!$A$1:$Z$2488,2365,'Live Data'!$C$15)),"")</f>
        <v/>
      </c>
      <c r="E2365" s="54" t="str">
        <f>IFERROR(IF(INDEX(SPOT_Import!$A$1:$Z$2488,2365,'Live Data'!$C$16)="","",INDEX(SPOT_Import!$A$1:$Z$2488,2365,'Live Data'!$C$16)),"")</f>
        <v/>
      </c>
      <c r="F2365" s="54" t="str">
        <f>IFERROR(IF(INDEX(SPOT_Import!$A$1:$Z$2488,2365,'Live Data'!$C$17)="","",INDEX(SPOT_Import!$A$1:$Z$2488,2365,'Live Data'!$C$17)),"")</f>
        <v/>
      </c>
      <c r="G2365" s="54" t="str">
        <f>IFERROR(IF(INDEX(SPOT_Import!$A$1:$Z$2488,2365,'Live Data'!$C$18)="","",INDEX(SPOT_Import!$A$1:$Z$2488,2365,'Live Data'!$C$18)),"")</f>
        <v/>
      </c>
      <c r="H2365" s="54" t="str">
        <f>IFERROR(IF(INDEX(SPOT_Import!$A$1:$Z$2488,2365,'Live Data'!$C$19)="","",INDEX(SPOT_Import!$A$1:$Z$2488,2365,'Live Data'!$C$19)),"")</f>
        <v/>
      </c>
      <c r="I2365" s="54" t="str">
        <f>IFERROR(IF(INDEX(SPOT_Import!$A$1:$Z$2488,2365,'Live Data'!$C$20)="","",INDEX(SPOT_Import!$A$1:$Z$2488,2365,'Live Data'!$C$20)),"")</f>
        <v/>
      </c>
      <c r="J2365" s="54" t="str">
        <f>IFERROR(IF(INDEX(SPOT_Import!$A$1:$Z$2488,2365,'Live Data'!$C$21)="","",INDEX(SPOT_Import!$A$1:$Z$2488,2365,'Live Data'!$C$21)),"")</f>
        <v/>
      </c>
      <c r="K2365" s="54" t="str">
        <f>IFERROR(IF(INDEX(SPOT_Import!$A$1:$Z$2488,2365,'Live Data'!$C$22)="","",INDEX(SPOT_Import!$A$1:$Z$2488,2365,'Live Data'!$C$22)),"")</f>
        <v/>
      </c>
      <c r="L2365" s="55" t="str">
        <f t="shared" si="72"/>
        <v/>
      </c>
      <c r="M2365" s="55" t="str">
        <f t="shared" si="73"/>
        <v/>
      </c>
      <c r="N2365" s="55" t="str">
        <f>IF(A2365="","",IFERROR(INDEX('Cluster Map'!$A$4:$A$38,MATCH(M2365,'Cluster Map'!$B$4:$B$38,0)),"Unmapped"))</f>
        <v/>
      </c>
      <c r="O2365" s="55">
        <f>IF(A2365="",0,IF(COUNTIFS($A$2:A2365,A2365,$F$2:F2365,F2365,$L$2:L2365,L2365)=1,1,0))</f>
        <v>0</v>
      </c>
      <c r="P2365" s="55">
        <f>IF(A2365="",0,IF(AND(F2365="C&amp;T",COUNTIFS($A$2:A2365,A2365,$F$2:F2365,"C&amp;T")=1),1,0))</f>
        <v>0</v>
      </c>
    </row>
    <row r="2366" spans="1:16" x14ac:dyDescent="0.35">
      <c r="A2366" s="54" t="str">
        <f>IFERROR(IF(INDEX(SPOT_Import!$A$1:$Z$2488,2366,'Live Data'!$C$12)="","",INDEX(SPOT_Import!$A$1:$Z$2488,2366,'Live Data'!$C$12)),"")</f>
        <v/>
      </c>
      <c r="B2366" s="54" t="str">
        <f>IFERROR(IF(INDEX(SPOT_Import!$A$1:$Z$2488,2366,'Live Data'!$C$13)="","",INDEX(SPOT_Import!$A$1:$Z$2488,2366,'Live Data'!$C$13)),"")</f>
        <v/>
      </c>
      <c r="C2366" s="54" t="str">
        <f>IFERROR(IF(INDEX(SPOT_Import!$A$1:$Z$2488,2366,'Live Data'!$C$14)="","",INDEX(SPOT_Import!$A$1:$Z$2488,2366,'Live Data'!$C$14)),"")</f>
        <v/>
      </c>
      <c r="D2366" s="54" t="str">
        <f>IFERROR(IF(INDEX(SPOT_Import!$A$1:$Z$2488,2366,'Live Data'!$C$15)="","",INDEX(SPOT_Import!$A$1:$Z$2488,2366,'Live Data'!$C$15)),"")</f>
        <v/>
      </c>
      <c r="E2366" s="54" t="str">
        <f>IFERROR(IF(INDEX(SPOT_Import!$A$1:$Z$2488,2366,'Live Data'!$C$16)="","",INDEX(SPOT_Import!$A$1:$Z$2488,2366,'Live Data'!$C$16)),"")</f>
        <v/>
      </c>
      <c r="F2366" s="54" t="str">
        <f>IFERROR(IF(INDEX(SPOT_Import!$A$1:$Z$2488,2366,'Live Data'!$C$17)="","",INDEX(SPOT_Import!$A$1:$Z$2488,2366,'Live Data'!$C$17)),"")</f>
        <v/>
      </c>
      <c r="G2366" s="54" t="str">
        <f>IFERROR(IF(INDEX(SPOT_Import!$A$1:$Z$2488,2366,'Live Data'!$C$18)="","",INDEX(SPOT_Import!$A$1:$Z$2488,2366,'Live Data'!$C$18)),"")</f>
        <v/>
      </c>
      <c r="H2366" s="54" t="str">
        <f>IFERROR(IF(INDEX(SPOT_Import!$A$1:$Z$2488,2366,'Live Data'!$C$19)="","",INDEX(SPOT_Import!$A$1:$Z$2488,2366,'Live Data'!$C$19)),"")</f>
        <v/>
      </c>
      <c r="I2366" s="54" t="str">
        <f>IFERROR(IF(INDEX(SPOT_Import!$A$1:$Z$2488,2366,'Live Data'!$C$20)="","",INDEX(SPOT_Import!$A$1:$Z$2488,2366,'Live Data'!$C$20)),"")</f>
        <v/>
      </c>
      <c r="J2366" s="54" t="str">
        <f>IFERROR(IF(INDEX(SPOT_Import!$A$1:$Z$2488,2366,'Live Data'!$C$21)="","",INDEX(SPOT_Import!$A$1:$Z$2488,2366,'Live Data'!$C$21)),"")</f>
        <v/>
      </c>
      <c r="K2366" s="54" t="str">
        <f>IFERROR(IF(INDEX(SPOT_Import!$A$1:$Z$2488,2366,'Live Data'!$C$22)="","",INDEX(SPOT_Import!$A$1:$Z$2488,2366,'Live Data'!$C$22)),"")</f>
        <v/>
      </c>
      <c r="L2366" s="55" t="str">
        <f t="shared" si="72"/>
        <v/>
      </c>
      <c r="M2366" s="55" t="str">
        <f t="shared" si="73"/>
        <v/>
      </c>
      <c r="N2366" s="55" t="str">
        <f>IF(A2366="","",IFERROR(INDEX('Cluster Map'!$A$4:$A$38,MATCH(M2366,'Cluster Map'!$B$4:$B$38,0)),"Unmapped"))</f>
        <v/>
      </c>
      <c r="O2366" s="55">
        <f>IF(A2366="",0,IF(COUNTIFS($A$2:A2366,A2366,$F$2:F2366,F2366,$L$2:L2366,L2366)=1,1,0))</f>
        <v>0</v>
      </c>
      <c r="P2366" s="55">
        <f>IF(A2366="",0,IF(AND(F2366="C&amp;T",COUNTIFS($A$2:A2366,A2366,$F$2:F2366,"C&amp;T")=1),1,0))</f>
        <v>0</v>
      </c>
    </row>
    <row r="2367" spans="1:16" x14ac:dyDescent="0.35">
      <c r="A2367" s="54" t="str">
        <f>IFERROR(IF(INDEX(SPOT_Import!$A$1:$Z$2488,2367,'Live Data'!$C$12)="","",INDEX(SPOT_Import!$A$1:$Z$2488,2367,'Live Data'!$C$12)),"")</f>
        <v/>
      </c>
      <c r="B2367" s="54" t="str">
        <f>IFERROR(IF(INDEX(SPOT_Import!$A$1:$Z$2488,2367,'Live Data'!$C$13)="","",INDEX(SPOT_Import!$A$1:$Z$2488,2367,'Live Data'!$C$13)),"")</f>
        <v/>
      </c>
      <c r="C2367" s="54" t="str">
        <f>IFERROR(IF(INDEX(SPOT_Import!$A$1:$Z$2488,2367,'Live Data'!$C$14)="","",INDEX(SPOT_Import!$A$1:$Z$2488,2367,'Live Data'!$C$14)),"")</f>
        <v/>
      </c>
      <c r="D2367" s="54" t="str">
        <f>IFERROR(IF(INDEX(SPOT_Import!$A$1:$Z$2488,2367,'Live Data'!$C$15)="","",INDEX(SPOT_Import!$A$1:$Z$2488,2367,'Live Data'!$C$15)),"")</f>
        <v/>
      </c>
      <c r="E2367" s="54" t="str">
        <f>IFERROR(IF(INDEX(SPOT_Import!$A$1:$Z$2488,2367,'Live Data'!$C$16)="","",INDEX(SPOT_Import!$A$1:$Z$2488,2367,'Live Data'!$C$16)),"")</f>
        <v/>
      </c>
      <c r="F2367" s="54" t="str">
        <f>IFERROR(IF(INDEX(SPOT_Import!$A$1:$Z$2488,2367,'Live Data'!$C$17)="","",INDEX(SPOT_Import!$A$1:$Z$2488,2367,'Live Data'!$C$17)),"")</f>
        <v/>
      </c>
      <c r="G2367" s="54" t="str">
        <f>IFERROR(IF(INDEX(SPOT_Import!$A$1:$Z$2488,2367,'Live Data'!$C$18)="","",INDEX(SPOT_Import!$A$1:$Z$2488,2367,'Live Data'!$C$18)),"")</f>
        <v/>
      </c>
      <c r="H2367" s="54" t="str">
        <f>IFERROR(IF(INDEX(SPOT_Import!$A$1:$Z$2488,2367,'Live Data'!$C$19)="","",INDEX(SPOT_Import!$A$1:$Z$2488,2367,'Live Data'!$C$19)),"")</f>
        <v/>
      </c>
      <c r="I2367" s="54" t="str">
        <f>IFERROR(IF(INDEX(SPOT_Import!$A$1:$Z$2488,2367,'Live Data'!$C$20)="","",INDEX(SPOT_Import!$A$1:$Z$2488,2367,'Live Data'!$C$20)),"")</f>
        <v/>
      </c>
      <c r="J2367" s="54" t="str">
        <f>IFERROR(IF(INDEX(SPOT_Import!$A$1:$Z$2488,2367,'Live Data'!$C$21)="","",INDEX(SPOT_Import!$A$1:$Z$2488,2367,'Live Data'!$C$21)),"")</f>
        <v/>
      </c>
      <c r="K2367" s="54" t="str">
        <f>IFERROR(IF(INDEX(SPOT_Import!$A$1:$Z$2488,2367,'Live Data'!$C$22)="","",INDEX(SPOT_Import!$A$1:$Z$2488,2367,'Live Data'!$C$22)),"")</f>
        <v/>
      </c>
      <c r="L2367" s="55" t="str">
        <f t="shared" si="72"/>
        <v/>
      </c>
      <c r="M2367" s="55" t="str">
        <f t="shared" si="73"/>
        <v/>
      </c>
      <c r="N2367" s="55" t="str">
        <f>IF(A2367="","",IFERROR(INDEX('Cluster Map'!$A$4:$A$38,MATCH(M2367,'Cluster Map'!$B$4:$B$38,0)),"Unmapped"))</f>
        <v/>
      </c>
      <c r="O2367" s="55">
        <f>IF(A2367="",0,IF(COUNTIFS($A$2:A2367,A2367,$F$2:F2367,F2367,$L$2:L2367,L2367)=1,1,0))</f>
        <v>0</v>
      </c>
      <c r="P2367" s="55">
        <f>IF(A2367="",0,IF(AND(F2367="C&amp;T",COUNTIFS($A$2:A2367,A2367,$F$2:F2367,"C&amp;T")=1),1,0))</f>
        <v>0</v>
      </c>
    </row>
    <row r="2368" spans="1:16" x14ac:dyDescent="0.35">
      <c r="A2368" s="54" t="str">
        <f>IFERROR(IF(INDEX(SPOT_Import!$A$1:$Z$2488,2368,'Live Data'!$C$12)="","",INDEX(SPOT_Import!$A$1:$Z$2488,2368,'Live Data'!$C$12)),"")</f>
        <v/>
      </c>
      <c r="B2368" s="54" t="str">
        <f>IFERROR(IF(INDEX(SPOT_Import!$A$1:$Z$2488,2368,'Live Data'!$C$13)="","",INDEX(SPOT_Import!$A$1:$Z$2488,2368,'Live Data'!$C$13)),"")</f>
        <v/>
      </c>
      <c r="C2368" s="54" t="str">
        <f>IFERROR(IF(INDEX(SPOT_Import!$A$1:$Z$2488,2368,'Live Data'!$C$14)="","",INDEX(SPOT_Import!$A$1:$Z$2488,2368,'Live Data'!$C$14)),"")</f>
        <v/>
      </c>
      <c r="D2368" s="54" t="str">
        <f>IFERROR(IF(INDEX(SPOT_Import!$A$1:$Z$2488,2368,'Live Data'!$C$15)="","",INDEX(SPOT_Import!$A$1:$Z$2488,2368,'Live Data'!$C$15)),"")</f>
        <v/>
      </c>
      <c r="E2368" s="54" t="str">
        <f>IFERROR(IF(INDEX(SPOT_Import!$A$1:$Z$2488,2368,'Live Data'!$C$16)="","",INDEX(SPOT_Import!$A$1:$Z$2488,2368,'Live Data'!$C$16)),"")</f>
        <v/>
      </c>
      <c r="F2368" s="54" t="str">
        <f>IFERROR(IF(INDEX(SPOT_Import!$A$1:$Z$2488,2368,'Live Data'!$C$17)="","",INDEX(SPOT_Import!$A$1:$Z$2488,2368,'Live Data'!$C$17)),"")</f>
        <v/>
      </c>
      <c r="G2368" s="54" t="str">
        <f>IFERROR(IF(INDEX(SPOT_Import!$A$1:$Z$2488,2368,'Live Data'!$C$18)="","",INDEX(SPOT_Import!$A$1:$Z$2488,2368,'Live Data'!$C$18)),"")</f>
        <v/>
      </c>
      <c r="H2368" s="54" t="str">
        <f>IFERROR(IF(INDEX(SPOT_Import!$A$1:$Z$2488,2368,'Live Data'!$C$19)="","",INDEX(SPOT_Import!$A$1:$Z$2488,2368,'Live Data'!$C$19)),"")</f>
        <v/>
      </c>
      <c r="I2368" s="54" t="str">
        <f>IFERROR(IF(INDEX(SPOT_Import!$A$1:$Z$2488,2368,'Live Data'!$C$20)="","",INDEX(SPOT_Import!$A$1:$Z$2488,2368,'Live Data'!$C$20)),"")</f>
        <v/>
      </c>
      <c r="J2368" s="54" t="str">
        <f>IFERROR(IF(INDEX(SPOT_Import!$A$1:$Z$2488,2368,'Live Data'!$C$21)="","",INDEX(SPOT_Import!$A$1:$Z$2488,2368,'Live Data'!$C$21)),"")</f>
        <v/>
      </c>
      <c r="K2368" s="54" t="str">
        <f>IFERROR(IF(INDEX(SPOT_Import!$A$1:$Z$2488,2368,'Live Data'!$C$22)="","",INDEX(SPOT_Import!$A$1:$Z$2488,2368,'Live Data'!$C$22)),"")</f>
        <v/>
      </c>
      <c r="L2368" s="55" t="str">
        <f t="shared" si="72"/>
        <v/>
      </c>
      <c r="M2368" s="55" t="str">
        <f t="shared" si="73"/>
        <v/>
      </c>
      <c r="N2368" s="55" t="str">
        <f>IF(A2368="","",IFERROR(INDEX('Cluster Map'!$A$4:$A$38,MATCH(M2368,'Cluster Map'!$B$4:$B$38,0)),"Unmapped"))</f>
        <v/>
      </c>
      <c r="O2368" s="55">
        <f>IF(A2368="",0,IF(COUNTIFS($A$2:A2368,A2368,$F$2:F2368,F2368,$L$2:L2368,L2368)=1,1,0))</f>
        <v>0</v>
      </c>
      <c r="P2368" s="55">
        <f>IF(A2368="",0,IF(AND(F2368="C&amp;T",COUNTIFS($A$2:A2368,A2368,$F$2:F2368,"C&amp;T")=1),1,0))</f>
        <v>0</v>
      </c>
    </row>
    <row r="2369" spans="1:16" x14ac:dyDescent="0.35">
      <c r="A2369" s="54" t="str">
        <f>IFERROR(IF(INDEX(SPOT_Import!$A$1:$Z$2488,2369,'Live Data'!$C$12)="","",INDEX(SPOT_Import!$A$1:$Z$2488,2369,'Live Data'!$C$12)),"")</f>
        <v/>
      </c>
      <c r="B2369" s="54" t="str">
        <f>IFERROR(IF(INDEX(SPOT_Import!$A$1:$Z$2488,2369,'Live Data'!$C$13)="","",INDEX(SPOT_Import!$A$1:$Z$2488,2369,'Live Data'!$C$13)),"")</f>
        <v/>
      </c>
      <c r="C2369" s="54" t="str">
        <f>IFERROR(IF(INDEX(SPOT_Import!$A$1:$Z$2488,2369,'Live Data'!$C$14)="","",INDEX(SPOT_Import!$A$1:$Z$2488,2369,'Live Data'!$C$14)),"")</f>
        <v/>
      </c>
      <c r="D2369" s="54" t="str">
        <f>IFERROR(IF(INDEX(SPOT_Import!$A$1:$Z$2488,2369,'Live Data'!$C$15)="","",INDEX(SPOT_Import!$A$1:$Z$2488,2369,'Live Data'!$C$15)),"")</f>
        <v/>
      </c>
      <c r="E2369" s="54" t="str">
        <f>IFERROR(IF(INDEX(SPOT_Import!$A$1:$Z$2488,2369,'Live Data'!$C$16)="","",INDEX(SPOT_Import!$A$1:$Z$2488,2369,'Live Data'!$C$16)),"")</f>
        <v/>
      </c>
      <c r="F2369" s="54" t="str">
        <f>IFERROR(IF(INDEX(SPOT_Import!$A$1:$Z$2488,2369,'Live Data'!$C$17)="","",INDEX(SPOT_Import!$A$1:$Z$2488,2369,'Live Data'!$C$17)),"")</f>
        <v/>
      </c>
      <c r="G2369" s="54" t="str">
        <f>IFERROR(IF(INDEX(SPOT_Import!$A$1:$Z$2488,2369,'Live Data'!$C$18)="","",INDEX(SPOT_Import!$A$1:$Z$2488,2369,'Live Data'!$C$18)),"")</f>
        <v/>
      </c>
      <c r="H2369" s="54" t="str">
        <f>IFERROR(IF(INDEX(SPOT_Import!$A$1:$Z$2488,2369,'Live Data'!$C$19)="","",INDEX(SPOT_Import!$A$1:$Z$2488,2369,'Live Data'!$C$19)),"")</f>
        <v/>
      </c>
      <c r="I2369" s="54" t="str">
        <f>IFERROR(IF(INDEX(SPOT_Import!$A$1:$Z$2488,2369,'Live Data'!$C$20)="","",INDEX(SPOT_Import!$A$1:$Z$2488,2369,'Live Data'!$C$20)),"")</f>
        <v/>
      </c>
      <c r="J2369" s="54" t="str">
        <f>IFERROR(IF(INDEX(SPOT_Import!$A$1:$Z$2488,2369,'Live Data'!$C$21)="","",INDEX(SPOT_Import!$A$1:$Z$2488,2369,'Live Data'!$C$21)),"")</f>
        <v/>
      </c>
      <c r="K2369" s="54" t="str">
        <f>IFERROR(IF(INDEX(SPOT_Import!$A$1:$Z$2488,2369,'Live Data'!$C$22)="","",INDEX(SPOT_Import!$A$1:$Z$2488,2369,'Live Data'!$C$22)),"")</f>
        <v/>
      </c>
      <c r="L2369" s="55" t="str">
        <f t="shared" si="72"/>
        <v/>
      </c>
      <c r="M2369" s="55" t="str">
        <f t="shared" si="73"/>
        <v/>
      </c>
      <c r="N2369" s="55" t="str">
        <f>IF(A2369="","",IFERROR(INDEX('Cluster Map'!$A$4:$A$38,MATCH(M2369,'Cluster Map'!$B$4:$B$38,0)),"Unmapped"))</f>
        <v/>
      </c>
      <c r="O2369" s="55">
        <f>IF(A2369="",0,IF(COUNTIFS($A$2:A2369,A2369,$F$2:F2369,F2369,$L$2:L2369,L2369)=1,1,0))</f>
        <v>0</v>
      </c>
      <c r="P2369" s="55">
        <f>IF(A2369="",0,IF(AND(F2369="C&amp;T",COUNTIFS($A$2:A2369,A2369,$F$2:F2369,"C&amp;T")=1),1,0))</f>
        <v>0</v>
      </c>
    </row>
    <row r="2370" spans="1:16" x14ac:dyDescent="0.35">
      <c r="A2370" s="54" t="str">
        <f>IFERROR(IF(INDEX(SPOT_Import!$A$1:$Z$2488,2370,'Live Data'!$C$12)="","",INDEX(SPOT_Import!$A$1:$Z$2488,2370,'Live Data'!$C$12)),"")</f>
        <v/>
      </c>
      <c r="B2370" s="54" t="str">
        <f>IFERROR(IF(INDEX(SPOT_Import!$A$1:$Z$2488,2370,'Live Data'!$C$13)="","",INDEX(SPOT_Import!$A$1:$Z$2488,2370,'Live Data'!$C$13)),"")</f>
        <v/>
      </c>
      <c r="C2370" s="54" t="str">
        <f>IFERROR(IF(INDEX(SPOT_Import!$A$1:$Z$2488,2370,'Live Data'!$C$14)="","",INDEX(SPOT_Import!$A$1:$Z$2488,2370,'Live Data'!$C$14)),"")</f>
        <v/>
      </c>
      <c r="D2370" s="54" t="str">
        <f>IFERROR(IF(INDEX(SPOT_Import!$A$1:$Z$2488,2370,'Live Data'!$C$15)="","",INDEX(SPOT_Import!$A$1:$Z$2488,2370,'Live Data'!$C$15)),"")</f>
        <v/>
      </c>
      <c r="E2370" s="54" t="str">
        <f>IFERROR(IF(INDEX(SPOT_Import!$A$1:$Z$2488,2370,'Live Data'!$C$16)="","",INDEX(SPOT_Import!$A$1:$Z$2488,2370,'Live Data'!$C$16)),"")</f>
        <v/>
      </c>
      <c r="F2370" s="54" t="str">
        <f>IFERROR(IF(INDEX(SPOT_Import!$A$1:$Z$2488,2370,'Live Data'!$C$17)="","",INDEX(SPOT_Import!$A$1:$Z$2488,2370,'Live Data'!$C$17)),"")</f>
        <v/>
      </c>
      <c r="G2370" s="54" t="str">
        <f>IFERROR(IF(INDEX(SPOT_Import!$A$1:$Z$2488,2370,'Live Data'!$C$18)="","",INDEX(SPOT_Import!$A$1:$Z$2488,2370,'Live Data'!$C$18)),"")</f>
        <v/>
      </c>
      <c r="H2370" s="54" t="str">
        <f>IFERROR(IF(INDEX(SPOT_Import!$A$1:$Z$2488,2370,'Live Data'!$C$19)="","",INDEX(SPOT_Import!$A$1:$Z$2488,2370,'Live Data'!$C$19)),"")</f>
        <v/>
      </c>
      <c r="I2370" s="54" t="str">
        <f>IFERROR(IF(INDEX(SPOT_Import!$A$1:$Z$2488,2370,'Live Data'!$C$20)="","",INDEX(SPOT_Import!$A$1:$Z$2488,2370,'Live Data'!$C$20)),"")</f>
        <v/>
      </c>
      <c r="J2370" s="54" t="str">
        <f>IFERROR(IF(INDEX(SPOT_Import!$A$1:$Z$2488,2370,'Live Data'!$C$21)="","",INDEX(SPOT_Import!$A$1:$Z$2488,2370,'Live Data'!$C$21)),"")</f>
        <v/>
      </c>
      <c r="K2370" s="54" t="str">
        <f>IFERROR(IF(INDEX(SPOT_Import!$A$1:$Z$2488,2370,'Live Data'!$C$22)="","",INDEX(SPOT_Import!$A$1:$Z$2488,2370,'Live Data'!$C$22)),"")</f>
        <v/>
      </c>
      <c r="L2370" s="55" t="str">
        <f t="shared" ref="L2370:L2433" si="74">IF(A2370="","",IF(ISNUMBER(K2370),TEXT(K2370,"yyyy-mm"),LEFT(K2370,7)))</f>
        <v/>
      </c>
      <c r="M2370" s="55" t="str">
        <f t="shared" ref="M2370:M2433" si="75">IF(A2370="","",UPPER(TRIM(SUBSTITUTE(C2370," - ","-"))))</f>
        <v/>
      </c>
      <c r="N2370" s="55" t="str">
        <f>IF(A2370="","",IFERROR(INDEX('Cluster Map'!$A$4:$A$38,MATCH(M2370,'Cluster Map'!$B$4:$B$38,0)),"Unmapped"))</f>
        <v/>
      </c>
      <c r="O2370" s="55">
        <f>IF(A2370="",0,IF(COUNTIFS($A$2:A2370,A2370,$F$2:F2370,F2370,$L$2:L2370,L2370)=1,1,0))</f>
        <v>0</v>
      </c>
      <c r="P2370" s="55">
        <f>IF(A2370="",0,IF(AND(F2370="C&amp;T",COUNTIFS($A$2:A2370,A2370,$F$2:F2370,"C&amp;T")=1),1,0))</f>
        <v>0</v>
      </c>
    </row>
    <row r="2371" spans="1:16" x14ac:dyDescent="0.35">
      <c r="A2371" s="54" t="str">
        <f>IFERROR(IF(INDEX(SPOT_Import!$A$1:$Z$2488,2371,'Live Data'!$C$12)="","",INDEX(SPOT_Import!$A$1:$Z$2488,2371,'Live Data'!$C$12)),"")</f>
        <v/>
      </c>
      <c r="B2371" s="54" t="str">
        <f>IFERROR(IF(INDEX(SPOT_Import!$A$1:$Z$2488,2371,'Live Data'!$C$13)="","",INDEX(SPOT_Import!$A$1:$Z$2488,2371,'Live Data'!$C$13)),"")</f>
        <v/>
      </c>
      <c r="C2371" s="54" t="str">
        <f>IFERROR(IF(INDEX(SPOT_Import!$A$1:$Z$2488,2371,'Live Data'!$C$14)="","",INDEX(SPOT_Import!$A$1:$Z$2488,2371,'Live Data'!$C$14)),"")</f>
        <v/>
      </c>
      <c r="D2371" s="54" t="str">
        <f>IFERROR(IF(INDEX(SPOT_Import!$A$1:$Z$2488,2371,'Live Data'!$C$15)="","",INDEX(SPOT_Import!$A$1:$Z$2488,2371,'Live Data'!$C$15)),"")</f>
        <v/>
      </c>
      <c r="E2371" s="54" t="str">
        <f>IFERROR(IF(INDEX(SPOT_Import!$A$1:$Z$2488,2371,'Live Data'!$C$16)="","",INDEX(SPOT_Import!$A$1:$Z$2488,2371,'Live Data'!$C$16)),"")</f>
        <v/>
      </c>
      <c r="F2371" s="54" t="str">
        <f>IFERROR(IF(INDEX(SPOT_Import!$A$1:$Z$2488,2371,'Live Data'!$C$17)="","",INDEX(SPOT_Import!$A$1:$Z$2488,2371,'Live Data'!$C$17)),"")</f>
        <v/>
      </c>
      <c r="G2371" s="54" t="str">
        <f>IFERROR(IF(INDEX(SPOT_Import!$A$1:$Z$2488,2371,'Live Data'!$C$18)="","",INDEX(SPOT_Import!$A$1:$Z$2488,2371,'Live Data'!$C$18)),"")</f>
        <v/>
      </c>
      <c r="H2371" s="54" t="str">
        <f>IFERROR(IF(INDEX(SPOT_Import!$A$1:$Z$2488,2371,'Live Data'!$C$19)="","",INDEX(SPOT_Import!$A$1:$Z$2488,2371,'Live Data'!$C$19)),"")</f>
        <v/>
      </c>
      <c r="I2371" s="54" t="str">
        <f>IFERROR(IF(INDEX(SPOT_Import!$A$1:$Z$2488,2371,'Live Data'!$C$20)="","",INDEX(SPOT_Import!$A$1:$Z$2488,2371,'Live Data'!$C$20)),"")</f>
        <v/>
      </c>
      <c r="J2371" s="54" t="str">
        <f>IFERROR(IF(INDEX(SPOT_Import!$A$1:$Z$2488,2371,'Live Data'!$C$21)="","",INDEX(SPOT_Import!$A$1:$Z$2488,2371,'Live Data'!$C$21)),"")</f>
        <v/>
      </c>
      <c r="K2371" s="54" t="str">
        <f>IFERROR(IF(INDEX(SPOT_Import!$A$1:$Z$2488,2371,'Live Data'!$C$22)="","",INDEX(SPOT_Import!$A$1:$Z$2488,2371,'Live Data'!$C$22)),"")</f>
        <v/>
      </c>
      <c r="L2371" s="55" t="str">
        <f t="shared" si="74"/>
        <v/>
      </c>
      <c r="M2371" s="55" t="str">
        <f t="shared" si="75"/>
        <v/>
      </c>
      <c r="N2371" s="55" t="str">
        <f>IF(A2371="","",IFERROR(INDEX('Cluster Map'!$A$4:$A$38,MATCH(M2371,'Cluster Map'!$B$4:$B$38,0)),"Unmapped"))</f>
        <v/>
      </c>
      <c r="O2371" s="55">
        <f>IF(A2371="",0,IF(COUNTIFS($A$2:A2371,A2371,$F$2:F2371,F2371,$L$2:L2371,L2371)=1,1,0))</f>
        <v>0</v>
      </c>
      <c r="P2371" s="55">
        <f>IF(A2371="",0,IF(AND(F2371="C&amp;T",COUNTIFS($A$2:A2371,A2371,$F$2:F2371,"C&amp;T")=1),1,0))</f>
        <v>0</v>
      </c>
    </row>
    <row r="2372" spans="1:16" x14ac:dyDescent="0.35">
      <c r="A2372" s="54" t="str">
        <f>IFERROR(IF(INDEX(SPOT_Import!$A$1:$Z$2488,2372,'Live Data'!$C$12)="","",INDEX(SPOT_Import!$A$1:$Z$2488,2372,'Live Data'!$C$12)),"")</f>
        <v/>
      </c>
      <c r="B2372" s="54" t="str">
        <f>IFERROR(IF(INDEX(SPOT_Import!$A$1:$Z$2488,2372,'Live Data'!$C$13)="","",INDEX(SPOT_Import!$A$1:$Z$2488,2372,'Live Data'!$C$13)),"")</f>
        <v/>
      </c>
      <c r="C2372" s="54" t="str">
        <f>IFERROR(IF(INDEX(SPOT_Import!$A$1:$Z$2488,2372,'Live Data'!$C$14)="","",INDEX(SPOT_Import!$A$1:$Z$2488,2372,'Live Data'!$C$14)),"")</f>
        <v/>
      </c>
      <c r="D2372" s="54" t="str">
        <f>IFERROR(IF(INDEX(SPOT_Import!$A$1:$Z$2488,2372,'Live Data'!$C$15)="","",INDEX(SPOT_Import!$A$1:$Z$2488,2372,'Live Data'!$C$15)),"")</f>
        <v/>
      </c>
      <c r="E2372" s="54" t="str">
        <f>IFERROR(IF(INDEX(SPOT_Import!$A$1:$Z$2488,2372,'Live Data'!$C$16)="","",INDEX(SPOT_Import!$A$1:$Z$2488,2372,'Live Data'!$C$16)),"")</f>
        <v/>
      </c>
      <c r="F2372" s="54" t="str">
        <f>IFERROR(IF(INDEX(SPOT_Import!$A$1:$Z$2488,2372,'Live Data'!$C$17)="","",INDEX(SPOT_Import!$A$1:$Z$2488,2372,'Live Data'!$C$17)),"")</f>
        <v/>
      </c>
      <c r="G2372" s="54" t="str">
        <f>IFERROR(IF(INDEX(SPOT_Import!$A$1:$Z$2488,2372,'Live Data'!$C$18)="","",INDEX(SPOT_Import!$A$1:$Z$2488,2372,'Live Data'!$C$18)),"")</f>
        <v/>
      </c>
      <c r="H2372" s="54" t="str">
        <f>IFERROR(IF(INDEX(SPOT_Import!$A$1:$Z$2488,2372,'Live Data'!$C$19)="","",INDEX(SPOT_Import!$A$1:$Z$2488,2372,'Live Data'!$C$19)),"")</f>
        <v/>
      </c>
      <c r="I2372" s="54" t="str">
        <f>IFERROR(IF(INDEX(SPOT_Import!$A$1:$Z$2488,2372,'Live Data'!$C$20)="","",INDEX(SPOT_Import!$A$1:$Z$2488,2372,'Live Data'!$C$20)),"")</f>
        <v/>
      </c>
      <c r="J2372" s="54" t="str">
        <f>IFERROR(IF(INDEX(SPOT_Import!$A$1:$Z$2488,2372,'Live Data'!$C$21)="","",INDEX(SPOT_Import!$A$1:$Z$2488,2372,'Live Data'!$C$21)),"")</f>
        <v/>
      </c>
      <c r="K2372" s="54" t="str">
        <f>IFERROR(IF(INDEX(SPOT_Import!$A$1:$Z$2488,2372,'Live Data'!$C$22)="","",INDEX(SPOT_Import!$A$1:$Z$2488,2372,'Live Data'!$C$22)),"")</f>
        <v/>
      </c>
      <c r="L2372" s="55" t="str">
        <f t="shared" si="74"/>
        <v/>
      </c>
      <c r="M2372" s="55" t="str">
        <f t="shared" si="75"/>
        <v/>
      </c>
      <c r="N2372" s="55" t="str">
        <f>IF(A2372="","",IFERROR(INDEX('Cluster Map'!$A$4:$A$38,MATCH(M2372,'Cluster Map'!$B$4:$B$38,0)),"Unmapped"))</f>
        <v/>
      </c>
      <c r="O2372" s="55">
        <f>IF(A2372="",0,IF(COUNTIFS($A$2:A2372,A2372,$F$2:F2372,F2372,$L$2:L2372,L2372)=1,1,0))</f>
        <v>0</v>
      </c>
      <c r="P2372" s="55">
        <f>IF(A2372="",0,IF(AND(F2372="C&amp;T",COUNTIFS($A$2:A2372,A2372,$F$2:F2372,"C&amp;T")=1),1,0))</f>
        <v>0</v>
      </c>
    </row>
    <row r="2373" spans="1:16" x14ac:dyDescent="0.35">
      <c r="A2373" s="54" t="str">
        <f>IFERROR(IF(INDEX(SPOT_Import!$A$1:$Z$2488,2373,'Live Data'!$C$12)="","",INDEX(SPOT_Import!$A$1:$Z$2488,2373,'Live Data'!$C$12)),"")</f>
        <v/>
      </c>
      <c r="B2373" s="54" t="str">
        <f>IFERROR(IF(INDEX(SPOT_Import!$A$1:$Z$2488,2373,'Live Data'!$C$13)="","",INDEX(SPOT_Import!$A$1:$Z$2488,2373,'Live Data'!$C$13)),"")</f>
        <v/>
      </c>
      <c r="C2373" s="54" t="str">
        <f>IFERROR(IF(INDEX(SPOT_Import!$A$1:$Z$2488,2373,'Live Data'!$C$14)="","",INDEX(SPOT_Import!$A$1:$Z$2488,2373,'Live Data'!$C$14)),"")</f>
        <v/>
      </c>
      <c r="D2373" s="54" t="str">
        <f>IFERROR(IF(INDEX(SPOT_Import!$A$1:$Z$2488,2373,'Live Data'!$C$15)="","",INDEX(SPOT_Import!$A$1:$Z$2488,2373,'Live Data'!$C$15)),"")</f>
        <v/>
      </c>
      <c r="E2373" s="54" t="str">
        <f>IFERROR(IF(INDEX(SPOT_Import!$A$1:$Z$2488,2373,'Live Data'!$C$16)="","",INDEX(SPOT_Import!$A$1:$Z$2488,2373,'Live Data'!$C$16)),"")</f>
        <v/>
      </c>
      <c r="F2373" s="54" t="str">
        <f>IFERROR(IF(INDEX(SPOT_Import!$A$1:$Z$2488,2373,'Live Data'!$C$17)="","",INDEX(SPOT_Import!$A$1:$Z$2488,2373,'Live Data'!$C$17)),"")</f>
        <v/>
      </c>
      <c r="G2373" s="54" t="str">
        <f>IFERROR(IF(INDEX(SPOT_Import!$A$1:$Z$2488,2373,'Live Data'!$C$18)="","",INDEX(SPOT_Import!$A$1:$Z$2488,2373,'Live Data'!$C$18)),"")</f>
        <v/>
      </c>
      <c r="H2373" s="54" t="str">
        <f>IFERROR(IF(INDEX(SPOT_Import!$A$1:$Z$2488,2373,'Live Data'!$C$19)="","",INDEX(SPOT_Import!$A$1:$Z$2488,2373,'Live Data'!$C$19)),"")</f>
        <v/>
      </c>
      <c r="I2373" s="54" t="str">
        <f>IFERROR(IF(INDEX(SPOT_Import!$A$1:$Z$2488,2373,'Live Data'!$C$20)="","",INDEX(SPOT_Import!$A$1:$Z$2488,2373,'Live Data'!$C$20)),"")</f>
        <v/>
      </c>
      <c r="J2373" s="54" t="str">
        <f>IFERROR(IF(INDEX(SPOT_Import!$A$1:$Z$2488,2373,'Live Data'!$C$21)="","",INDEX(SPOT_Import!$A$1:$Z$2488,2373,'Live Data'!$C$21)),"")</f>
        <v/>
      </c>
      <c r="K2373" s="54" t="str">
        <f>IFERROR(IF(INDEX(SPOT_Import!$A$1:$Z$2488,2373,'Live Data'!$C$22)="","",INDEX(SPOT_Import!$A$1:$Z$2488,2373,'Live Data'!$C$22)),"")</f>
        <v/>
      </c>
      <c r="L2373" s="55" t="str">
        <f t="shared" si="74"/>
        <v/>
      </c>
      <c r="M2373" s="55" t="str">
        <f t="shared" si="75"/>
        <v/>
      </c>
      <c r="N2373" s="55" t="str">
        <f>IF(A2373="","",IFERROR(INDEX('Cluster Map'!$A$4:$A$38,MATCH(M2373,'Cluster Map'!$B$4:$B$38,0)),"Unmapped"))</f>
        <v/>
      </c>
      <c r="O2373" s="55">
        <f>IF(A2373="",0,IF(COUNTIFS($A$2:A2373,A2373,$F$2:F2373,F2373,$L$2:L2373,L2373)=1,1,0))</f>
        <v>0</v>
      </c>
      <c r="P2373" s="55">
        <f>IF(A2373="",0,IF(AND(F2373="C&amp;T",COUNTIFS($A$2:A2373,A2373,$F$2:F2373,"C&amp;T")=1),1,0))</f>
        <v>0</v>
      </c>
    </row>
    <row r="2374" spans="1:16" x14ac:dyDescent="0.35">
      <c r="A2374" s="54" t="str">
        <f>IFERROR(IF(INDEX(SPOT_Import!$A$1:$Z$2488,2374,'Live Data'!$C$12)="","",INDEX(SPOT_Import!$A$1:$Z$2488,2374,'Live Data'!$C$12)),"")</f>
        <v/>
      </c>
      <c r="B2374" s="54" t="str">
        <f>IFERROR(IF(INDEX(SPOT_Import!$A$1:$Z$2488,2374,'Live Data'!$C$13)="","",INDEX(SPOT_Import!$A$1:$Z$2488,2374,'Live Data'!$C$13)),"")</f>
        <v/>
      </c>
      <c r="C2374" s="54" t="str">
        <f>IFERROR(IF(INDEX(SPOT_Import!$A$1:$Z$2488,2374,'Live Data'!$C$14)="","",INDEX(SPOT_Import!$A$1:$Z$2488,2374,'Live Data'!$C$14)),"")</f>
        <v/>
      </c>
      <c r="D2374" s="54" t="str">
        <f>IFERROR(IF(INDEX(SPOT_Import!$A$1:$Z$2488,2374,'Live Data'!$C$15)="","",INDEX(SPOT_Import!$A$1:$Z$2488,2374,'Live Data'!$C$15)),"")</f>
        <v/>
      </c>
      <c r="E2374" s="54" t="str">
        <f>IFERROR(IF(INDEX(SPOT_Import!$A$1:$Z$2488,2374,'Live Data'!$C$16)="","",INDEX(SPOT_Import!$A$1:$Z$2488,2374,'Live Data'!$C$16)),"")</f>
        <v/>
      </c>
      <c r="F2374" s="54" t="str">
        <f>IFERROR(IF(INDEX(SPOT_Import!$A$1:$Z$2488,2374,'Live Data'!$C$17)="","",INDEX(SPOT_Import!$A$1:$Z$2488,2374,'Live Data'!$C$17)),"")</f>
        <v/>
      </c>
      <c r="G2374" s="54" t="str">
        <f>IFERROR(IF(INDEX(SPOT_Import!$A$1:$Z$2488,2374,'Live Data'!$C$18)="","",INDEX(SPOT_Import!$A$1:$Z$2488,2374,'Live Data'!$C$18)),"")</f>
        <v/>
      </c>
      <c r="H2374" s="54" t="str">
        <f>IFERROR(IF(INDEX(SPOT_Import!$A$1:$Z$2488,2374,'Live Data'!$C$19)="","",INDEX(SPOT_Import!$A$1:$Z$2488,2374,'Live Data'!$C$19)),"")</f>
        <v/>
      </c>
      <c r="I2374" s="54" t="str">
        <f>IFERROR(IF(INDEX(SPOT_Import!$A$1:$Z$2488,2374,'Live Data'!$C$20)="","",INDEX(SPOT_Import!$A$1:$Z$2488,2374,'Live Data'!$C$20)),"")</f>
        <v/>
      </c>
      <c r="J2374" s="54" t="str">
        <f>IFERROR(IF(INDEX(SPOT_Import!$A$1:$Z$2488,2374,'Live Data'!$C$21)="","",INDEX(SPOT_Import!$A$1:$Z$2488,2374,'Live Data'!$C$21)),"")</f>
        <v/>
      </c>
      <c r="K2374" s="54" t="str">
        <f>IFERROR(IF(INDEX(SPOT_Import!$A$1:$Z$2488,2374,'Live Data'!$C$22)="","",INDEX(SPOT_Import!$A$1:$Z$2488,2374,'Live Data'!$C$22)),"")</f>
        <v/>
      </c>
      <c r="L2374" s="55" t="str">
        <f t="shared" si="74"/>
        <v/>
      </c>
      <c r="M2374" s="55" t="str">
        <f t="shared" si="75"/>
        <v/>
      </c>
      <c r="N2374" s="55" t="str">
        <f>IF(A2374="","",IFERROR(INDEX('Cluster Map'!$A$4:$A$38,MATCH(M2374,'Cluster Map'!$B$4:$B$38,0)),"Unmapped"))</f>
        <v/>
      </c>
      <c r="O2374" s="55">
        <f>IF(A2374="",0,IF(COUNTIFS($A$2:A2374,A2374,$F$2:F2374,F2374,$L$2:L2374,L2374)=1,1,0))</f>
        <v>0</v>
      </c>
      <c r="P2374" s="55">
        <f>IF(A2374="",0,IF(AND(F2374="C&amp;T",COUNTIFS($A$2:A2374,A2374,$F$2:F2374,"C&amp;T")=1),1,0))</f>
        <v>0</v>
      </c>
    </row>
    <row r="2375" spans="1:16" x14ac:dyDescent="0.35">
      <c r="A2375" s="54" t="str">
        <f>IFERROR(IF(INDEX(SPOT_Import!$A$1:$Z$2488,2375,'Live Data'!$C$12)="","",INDEX(SPOT_Import!$A$1:$Z$2488,2375,'Live Data'!$C$12)),"")</f>
        <v/>
      </c>
      <c r="B2375" s="54" t="str">
        <f>IFERROR(IF(INDEX(SPOT_Import!$A$1:$Z$2488,2375,'Live Data'!$C$13)="","",INDEX(SPOT_Import!$A$1:$Z$2488,2375,'Live Data'!$C$13)),"")</f>
        <v/>
      </c>
      <c r="C2375" s="54" t="str">
        <f>IFERROR(IF(INDEX(SPOT_Import!$A$1:$Z$2488,2375,'Live Data'!$C$14)="","",INDEX(SPOT_Import!$A$1:$Z$2488,2375,'Live Data'!$C$14)),"")</f>
        <v/>
      </c>
      <c r="D2375" s="54" t="str">
        <f>IFERROR(IF(INDEX(SPOT_Import!$A$1:$Z$2488,2375,'Live Data'!$C$15)="","",INDEX(SPOT_Import!$A$1:$Z$2488,2375,'Live Data'!$C$15)),"")</f>
        <v/>
      </c>
      <c r="E2375" s="54" t="str">
        <f>IFERROR(IF(INDEX(SPOT_Import!$A$1:$Z$2488,2375,'Live Data'!$C$16)="","",INDEX(SPOT_Import!$A$1:$Z$2488,2375,'Live Data'!$C$16)),"")</f>
        <v/>
      </c>
      <c r="F2375" s="54" t="str">
        <f>IFERROR(IF(INDEX(SPOT_Import!$A$1:$Z$2488,2375,'Live Data'!$C$17)="","",INDEX(SPOT_Import!$A$1:$Z$2488,2375,'Live Data'!$C$17)),"")</f>
        <v/>
      </c>
      <c r="G2375" s="54" t="str">
        <f>IFERROR(IF(INDEX(SPOT_Import!$A$1:$Z$2488,2375,'Live Data'!$C$18)="","",INDEX(SPOT_Import!$A$1:$Z$2488,2375,'Live Data'!$C$18)),"")</f>
        <v/>
      </c>
      <c r="H2375" s="54" t="str">
        <f>IFERROR(IF(INDEX(SPOT_Import!$A$1:$Z$2488,2375,'Live Data'!$C$19)="","",INDEX(SPOT_Import!$A$1:$Z$2488,2375,'Live Data'!$C$19)),"")</f>
        <v/>
      </c>
      <c r="I2375" s="54" t="str">
        <f>IFERROR(IF(INDEX(SPOT_Import!$A$1:$Z$2488,2375,'Live Data'!$C$20)="","",INDEX(SPOT_Import!$A$1:$Z$2488,2375,'Live Data'!$C$20)),"")</f>
        <v/>
      </c>
      <c r="J2375" s="54" t="str">
        <f>IFERROR(IF(INDEX(SPOT_Import!$A$1:$Z$2488,2375,'Live Data'!$C$21)="","",INDEX(SPOT_Import!$A$1:$Z$2488,2375,'Live Data'!$C$21)),"")</f>
        <v/>
      </c>
      <c r="K2375" s="54" t="str">
        <f>IFERROR(IF(INDEX(SPOT_Import!$A$1:$Z$2488,2375,'Live Data'!$C$22)="","",INDEX(SPOT_Import!$A$1:$Z$2488,2375,'Live Data'!$C$22)),"")</f>
        <v/>
      </c>
      <c r="L2375" s="55" t="str">
        <f t="shared" si="74"/>
        <v/>
      </c>
      <c r="M2375" s="55" t="str">
        <f t="shared" si="75"/>
        <v/>
      </c>
      <c r="N2375" s="55" t="str">
        <f>IF(A2375="","",IFERROR(INDEX('Cluster Map'!$A$4:$A$38,MATCH(M2375,'Cluster Map'!$B$4:$B$38,0)),"Unmapped"))</f>
        <v/>
      </c>
      <c r="O2375" s="55">
        <f>IF(A2375="",0,IF(COUNTIFS($A$2:A2375,A2375,$F$2:F2375,F2375,$L$2:L2375,L2375)=1,1,0))</f>
        <v>0</v>
      </c>
      <c r="P2375" s="55">
        <f>IF(A2375="",0,IF(AND(F2375="C&amp;T",COUNTIFS($A$2:A2375,A2375,$F$2:F2375,"C&amp;T")=1),1,0))</f>
        <v>0</v>
      </c>
    </row>
    <row r="2376" spans="1:16" x14ac:dyDescent="0.35">
      <c r="A2376" s="54" t="str">
        <f>IFERROR(IF(INDEX(SPOT_Import!$A$1:$Z$2488,2376,'Live Data'!$C$12)="","",INDEX(SPOT_Import!$A$1:$Z$2488,2376,'Live Data'!$C$12)),"")</f>
        <v/>
      </c>
      <c r="B2376" s="54" t="str">
        <f>IFERROR(IF(INDEX(SPOT_Import!$A$1:$Z$2488,2376,'Live Data'!$C$13)="","",INDEX(SPOT_Import!$A$1:$Z$2488,2376,'Live Data'!$C$13)),"")</f>
        <v/>
      </c>
      <c r="C2376" s="54" t="str">
        <f>IFERROR(IF(INDEX(SPOT_Import!$A$1:$Z$2488,2376,'Live Data'!$C$14)="","",INDEX(SPOT_Import!$A$1:$Z$2488,2376,'Live Data'!$C$14)),"")</f>
        <v/>
      </c>
      <c r="D2376" s="54" t="str">
        <f>IFERROR(IF(INDEX(SPOT_Import!$A$1:$Z$2488,2376,'Live Data'!$C$15)="","",INDEX(SPOT_Import!$A$1:$Z$2488,2376,'Live Data'!$C$15)),"")</f>
        <v/>
      </c>
      <c r="E2376" s="54" t="str">
        <f>IFERROR(IF(INDEX(SPOT_Import!$A$1:$Z$2488,2376,'Live Data'!$C$16)="","",INDEX(SPOT_Import!$A$1:$Z$2488,2376,'Live Data'!$C$16)),"")</f>
        <v/>
      </c>
      <c r="F2376" s="54" t="str">
        <f>IFERROR(IF(INDEX(SPOT_Import!$A$1:$Z$2488,2376,'Live Data'!$C$17)="","",INDEX(SPOT_Import!$A$1:$Z$2488,2376,'Live Data'!$C$17)),"")</f>
        <v/>
      </c>
      <c r="G2376" s="54" t="str">
        <f>IFERROR(IF(INDEX(SPOT_Import!$A$1:$Z$2488,2376,'Live Data'!$C$18)="","",INDEX(SPOT_Import!$A$1:$Z$2488,2376,'Live Data'!$C$18)),"")</f>
        <v/>
      </c>
      <c r="H2376" s="54" t="str">
        <f>IFERROR(IF(INDEX(SPOT_Import!$A$1:$Z$2488,2376,'Live Data'!$C$19)="","",INDEX(SPOT_Import!$A$1:$Z$2488,2376,'Live Data'!$C$19)),"")</f>
        <v/>
      </c>
      <c r="I2376" s="54" t="str">
        <f>IFERROR(IF(INDEX(SPOT_Import!$A$1:$Z$2488,2376,'Live Data'!$C$20)="","",INDEX(SPOT_Import!$A$1:$Z$2488,2376,'Live Data'!$C$20)),"")</f>
        <v/>
      </c>
      <c r="J2376" s="54" t="str">
        <f>IFERROR(IF(INDEX(SPOT_Import!$A$1:$Z$2488,2376,'Live Data'!$C$21)="","",INDEX(SPOT_Import!$A$1:$Z$2488,2376,'Live Data'!$C$21)),"")</f>
        <v/>
      </c>
      <c r="K2376" s="54" t="str">
        <f>IFERROR(IF(INDEX(SPOT_Import!$A$1:$Z$2488,2376,'Live Data'!$C$22)="","",INDEX(SPOT_Import!$A$1:$Z$2488,2376,'Live Data'!$C$22)),"")</f>
        <v/>
      </c>
      <c r="L2376" s="55" t="str">
        <f t="shared" si="74"/>
        <v/>
      </c>
      <c r="M2376" s="55" t="str">
        <f t="shared" si="75"/>
        <v/>
      </c>
      <c r="N2376" s="55" t="str">
        <f>IF(A2376="","",IFERROR(INDEX('Cluster Map'!$A$4:$A$38,MATCH(M2376,'Cluster Map'!$B$4:$B$38,0)),"Unmapped"))</f>
        <v/>
      </c>
      <c r="O2376" s="55">
        <f>IF(A2376="",0,IF(COUNTIFS($A$2:A2376,A2376,$F$2:F2376,F2376,$L$2:L2376,L2376)=1,1,0))</f>
        <v>0</v>
      </c>
      <c r="P2376" s="55">
        <f>IF(A2376="",0,IF(AND(F2376="C&amp;T",COUNTIFS($A$2:A2376,A2376,$F$2:F2376,"C&amp;T")=1),1,0))</f>
        <v>0</v>
      </c>
    </row>
    <row r="2377" spans="1:16" x14ac:dyDescent="0.35">
      <c r="A2377" s="54" t="str">
        <f>IFERROR(IF(INDEX(SPOT_Import!$A$1:$Z$2488,2377,'Live Data'!$C$12)="","",INDEX(SPOT_Import!$A$1:$Z$2488,2377,'Live Data'!$C$12)),"")</f>
        <v/>
      </c>
      <c r="B2377" s="54" t="str">
        <f>IFERROR(IF(INDEX(SPOT_Import!$A$1:$Z$2488,2377,'Live Data'!$C$13)="","",INDEX(SPOT_Import!$A$1:$Z$2488,2377,'Live Data'!$C$13)),"")</f>
        <v/>
      </c>
      <c r="C2377" s="54" t="str">
        <f>IFERROR(IF(INDEX(SPOT_Import!$A$1:$Z$2488,2377,'Live Data'!$C$14)="","",INDEX(SPOT_Import!$A$1:$Z$2488,2377,'Live Data'!$C$14)),"")</f>
        <v/>
      </c>
      <c r="D2377" s="54" t="str">
        <f>IFERROR(IF(INDEX(SPOT_Import!$A$1:$Z$2488,2377,'Live Data'!$C$15)="","",INDEX(SPOT_Import!$A$1:$Z$2488,2377,'Live Data'!$C$15)),"")</f>
        <v/>
      </c>
      <c r="E2377" s="54" t="str">
        <f>IFERROR(IF(INDEX(SPOT_Import!$A$1:$Z$2488,2377,'Live Data'!$C$16)="","",INDEX(SPOT_Import!$A$1:$Z$2488,2377,'Live Data'!$C$16)),"")</f>
        <v/>
      </c>
      <c r="F2377" s="54" t="str">
        <f>IFERROR(IF(INDEX(SPOT_Import!$A$1:$Z$2488,2377,'Live Data'!$C$17)="","",INDEX(SPOT_Import!$A$1:$Z$2488,2377,'Live Data'!$C$17)),"")</f>
        <v/>
      </c>
      <c r="G2377" s="54" t="str">
        <f>IFERROR(IF(INDEX(SPOT_Import!$A$1:$Z$2488,2377,'Live Data'!$C$18)="","",INDEX(SPOT_Import!$A$1:$Z$2488,2377,'Live Data'!$C$18)),"")</f>
        <v/>
      </c>
      <c r="H2377" s="54" t="str">
        <f>IFERROR(IF(INDEX(SPOT_Import!$A$1:$Z$2488,2377,'Live Data'!$C$19)="","",INDEX(SPOT_Import!$A$1:$Z$2488,2377,'Live Data'!$C$19)),"")</f>
        <v/>
      </c>
      <c r="I2377" s="54" t="str">
        <f>IFERROR(IF(INDEX(SPOT_Import!$A$1:$Z$2488,2377,'Live Data'!$C$20)="","",INDEX(SPOT_Import!$A$1:$Z$2488,2377,'Live Data'!$C$20)),"")</f>
        <v/>
      </c>
      <c r="J2377" s="54" t="str">
        <f>IFERROR(IF(INDEX(SPOT_Import!$A$1:$Z$2488,2377,'Live Data'!$C$21)="","",INDEX(SPOT_Import!$A$1:$Z$2488,2377,'Live Data'!$C$21)),"")</f>
        <v/>
      </c>
      <c r="K2377" s="54" t="str">
        <f>IFERROR(IF(INDEX(SPOT_Import!$A$1:$Z$2488,2377,'Live Data'!$C$22)="","",INDEX(SPOT_Import!$A$1:$Z$2488,2377,'Live Data'!$C$22)),"")</f>
        <v/>
      </c>
      <c r="L2377" s="55" t="str">
        <f t="shared" si="74"/>
        <v/>
      </c>
      <c r="M2377" s="55" t="str">
        <f t="shared" si="75"/>
        <v/>
      </c>
      <c r="N2377" s="55" t="str">
        <f>IF(A2377="","",IFERROR(INDEX('Cluster Map'!$A$4:$A$38,MATCH(M2377,'Cluster Map'!$B$4:$B$38,0)),"Unmapped"))</f>
        <v/>
      </c>
      <c r="O2377" s="55">
        <f>IF(A2377="",0,IF(COUNTIFS($A$2:A2377,A2377,$F$2:F2377,F2377,$L$2:L2377,L2377)=1,1,0))</f>
        <v>0</v>
      </c>
      <c r="P2377" s="55">
        <f>IF(A2377="",0,IF(AND(F2377="C&amp;T",COUNTIFS($A$2:A2377,A2377,$F$2:F2377,"C&amp;T")=1),1,0))</f>
        <v>0</v>
      </c>
    </row>
    <row r="2378" spans="1:16" x14ac:dyDescent="0.35">
      <c r="A2378" s="54" t="str">
        <f>IFERROR(IF(INDEX(SPOT_Import!$A$1:$Z$2488,2378,'Live Data'!$C$12)="","",INDEX(SPOT_Import!$A$1:$Z$2488,2378,'Live Data'!$C$12)),"")</f>
        <v/>
      </c>
      <c r="B2378" s="54" t="str">
        <f>IFERROR(IF(INDEX(SPOT_Import!$A$1:$Z$2488,2378,'Live Data'!$C$13)="","",INDEX(SPOT_Import!$A$1:$Z$2488,2378,'Live Data'!$C$13)),"")</f>
        <v/>
      </c>
      <c r="C2378" s="54" t="str">
        <f>IFERROR(IF(INDEX(SPOT_Import!$A$1:$Z$2488,2378,'Live Data'!$C$14)="","",INDEX(SPOT_Import!$A$1:$Z$2488,2378,'Live Data'!$C$14)),"")</f>
        <v/>
      </c>
      <c r="D2378" s="54" t="str">
        <f>IFERROR(IF(INDEX(SPOT_Import!$A$1:$Z$2488,2378,'Live Data'!$C$15)="","",INDEX(SPOT_Import!$A$1:$Z$2488,2378,'Live Data'!$C$15)),"")</f>
        <v/>
      </c>
      <c r="E2378" s="54" t="str">
        <f>IFERROR(IF(INDEX(SPOT_Import!$A$1:$Z$2488,2378,'Live Data'!$C$16)="","",INDEX(SPOT_Import!$A$1:$Z$2488,2378,'Live Data'!$C$16)),"")</f>
        <v/>
      </c>
      <c r="F2378" s="54" t="str">
        <f>IFERROR(IF(INDEX(SPOT_Import!$A$1:$Z$2488,2378,'Live Data'!$C$17)="","",INDEX(SPOT_Import!$A$1:$Z$2488,2378,'Live Data'!$C$17)),"")</f>
        <v/>
      </c>
      <c r="G2378" s="54" t="str">
        <f>IFERROR(IF(INDEX(SPOT_Import!$A$1:$Z$2488,2378,'Live Data'!$C$18)="","",INDEX(SPOT_Import!$A$1:$Z$2488,2378,'Live Data'!$C$18)),"")</f>
        <v/>
      </c>
      <c r="H2378" s="54" t="str">
        <f>IFERROR(IF(INDEX(SPOT_Import!$A$1:$Z$2488,2378,'Live Data'!$C$19)="","",INDEX(SPOT_Import!$A$1:$Z$2488,2378,'Live Data'!$C$19)),"")</f>
        <v/>
      </c>
      <c r="I2378" s="54" t="str">
        <f>IFERROR(IF(INDEX(SPOT_Import!$A$1:$Z$2488,2378,'Live Data'!$C$20)="","",INDEX(SPOT_Import!$A$1:$Z$2488,2378,'Live Data'!$C$20)),"")</f>
        <v/>
      </c>
      <c r="J2378" s="54" t="str">
        <f>IFERROR(IF(INDEX(SPOT_Import!$A$1:$Z$2488,2378,'Live Data'!$C$21)="","",INDEX(SPOT_Import!$A$1:$Z$2488,2378,'Live Data'!$C$21)),"")</f>
        <v/>
      </c>
      <c r="K2378" s="54" t="str">
        <f>IFERROR(IF(INDEX(SPOT_Import!$A$1:$Z$2488,2378,'Live Data'!$C$22)="","",INDEX(SPOT_Import!$A$1:$Z$2488,2378,'Live Data'!$C$22)),"")</f>
        <v/>
      </c>
      <c r="L2378" s="55" t="str">
        <f t="shared" si="74"/>
        <v/>
      </c>
      <c r="M2378" s="55" t="str">
        <f t="shared" si="75"/>
        <v/>
      </c>
      <c r="N2378" s="55" t="str">
        <f>IF(A2378="","",IFERROR(INDEX('Cluster Map'!$A$4:$A$38,MATCH(M2378,'Cluster Map'!$B$4:$B$38,0)),"Unmapped"))</f>
        <v/>
      </c>
      <c r="O2378" s="55">
        <f>IF(A2378="",0,IF(COUNTIFS($A$2:A2378,A2378,$F$2:F2378,F2378,$L$2:L2378,L2378)=1,1,0))</f>
        <v>0</v>
      </c>
      <c r="P2378" s="55">
        <f>IF(A2378="",0,IF(AND(F2378="C&amp;T",COUNTIFS($A$2:A2378,A2378,$F$2:F2378,"C&amp;T")=1),1,0))</f>
        <v>0</v>
      </c>
    </row>
    <row r="2379" spans="1:16" x14ac:dyDescent="0.35">
      <c r="A2379" s="54" t="str">
        <f>IFERROR(IF(INDEX(SPOT_Import!$A$1:$Z$2488,2379,'Live Data'!$C$12)="","",INDEX(SPOT_Import!$A$1:$Z$2488,2379,'Live Data'!$C$12)),"")</f>
        <v/>
      </c>
      <c r="B2379" s="54" t="str">
        <f>IFERROR(IF(INDEX(SPOT_Import!$A$1:$Z$2488,2379,'Live Data'!$C$13)="","",INDEX(SPOT_Import!$A$1:$Z$2488,2379,'Live Data'!$C$13)),"")</f>
        <v/>
      </c>
      <c r="C2379" s="54" t="str">
        <f>IFERROR(IF(INDEX(SPOT_Import!$A$1:$Z$2488,2379,'Live Data'!$C$14)="","",INDEX(SPOT_Import!$A$1:$Z$2488,2379,'Live Data'!$C$14)),"")</f>
        <v/>
      </c>
      <c r="D2379" s="54" t="str">
        <f>IFERROR(IF(INDEX(SPOT_Import!$A$1:$Z$2488,2379,'Live Data'!$C$15)="","",INDEX(SPOT_Import!$A$1:$Z$2488,2379,'Live Data'!$C$15)),"")</f>
        <v/>
      </c>
      <c r="E2379" s="54" t="str">
        <f>IFERROR(IF(INDEX(SPOT_Import!$A$1:$Z$2488,2379,'Live Data'!$C$16)="","",INDEX(SPOT_Import!$A$1:$Z$2488,2379,'Live Data'!$C$16)),"")</f>
        <v/>
      </c>
      <c r="F2379" s="54" t="str">
        <f>IFERROR(IF(INDEX(SPOT_Import!$A$1:$Z$2488,2379,'Live Data'!$C$17)="","",INDEX(SPOT_Import!$A$1:$Z$2488,2379,'Live Data'!$C$17)),"")</f>
        <v/>
      </c>
      <c r="G2379" s="54" t="str">
        <f>IFERROR(IF(INDEX(SPOT_Import!$A$1:$Z$2488,2379,'Live Data'!$C$18)="","",INDEX(SPOT_Import!$A$1:$Z$2488,2379,'Live Data'!$C$18)),"")</f>
        <v/>
      </c>
      <c r="H2379" s="54" t="str">
        <f>IFERROR(IF(INDEX(SPOT_Import!$A$1:$Z$2488,2379,'Live Data'!$C$19)="","",INDEX(SPOT_Import!$A$1:$Z$2488,2379,'Live Data'!$C$19)),"")</f>
        <v/>
      </c>
      <c r="I2379" s="54" t="str">
        <f>IFERROR(IF(INDEX(SPOT_Import!$A$1:$Z$2488,2379,'Live Data'!$C$20)="","",INDEX(SPOT_Import!$A$1:$Z$2488,2379,'Live Data'!$C$20)),"")</f>
        <v/>
      </c>
      <c r="J2379" s="54" t="str">
        <f>IFERROR(IF(INDEX(SPOT_Import!$A$1:$Z$2488,2379,'Live Data'!$C$21)="","",INDEX(SPOT_Import!$A$1:$Z$2488,2379,'Live Data'!$C$21)),"")</f>
        <v/>
      </c>
      <c r="K2379" s="54" t="str">
        <f>IFERROR(IF(INDEX(SPOT_Import!$A$1:$Z$2488,2379,'Live Data'!$C$22)="","",INDEX(SPOT_Import!$A$1:$Z$2488,2379,'Live Data'!$C$22)),"")</f>
        <v/>
      </c>
      <c r="L2379" s="55" t="str">
        <f t="shared" si="74"/>
        <v/>
      </c>
      <c r="M2379" s="55" t="str">
        <f t="shared" si="75"/>
        <v/>
      </c>
      <c r="N2379" s="55" t="str">
        <f>IF(A2379="","",IFERROR(INDEX('Cluster Map'!$A$4:$A$38,MATCH(M2379,'Cluster Map'!$B$4:$B$38,0)),"Unmapped"))</f>
        <v/>
      </c>
      <c r="O2379" s="55">
        <f>IF(A2379="",0,IF(COUNTIFS($A$2:A2379,A2379,$F$2:F2379,F2379,$L$2:L2379,L2379)=1,1,0))</f>
        <v>0</v>
      </c>
      <c r="P2379" s="55">
        <f>IF(A2379="",0,IF(AND(F2379="C&amp;T",COUNTIFS($A$2:A2379,A2379,$F$2:F2379,"C&amp;T")=1),1,0))</f>
        <v>0</v>
      </c>
    </row>
    <row r="2380" spans="1:16" x14ac:dyDescent="0.35">
      <c r="A2380" s="54" t="str">
        <f>IFERROR(IF(INDEX(SPOT_Import!$A$1:$Z$2488,2380,'Live Data'!$C$12)="","",INDEX(SPOT_Import!$A$1:$Z$2488,2380,'Live Data'!$C$12)),"")</f>
        <v/>
      </c>
      <c r="B2380" s="54" t="str">
        <f>IFERROR(IF(INDEX(SPOT_Import!$A$1:$Z$2488,2380,'Live Data'!$C$13)="","",INDEX(SPOT_Import!$A$1:$Z$2488,2380,'Live Data'!$C$13)),"")</f>
        <v/>
      </c>
      <c r="C2380" s="54" t="str">
        <f>IFERROR(IF(INDEX(SPOT_Import!$A$1:$Z$2488,2380,'Live Data'!$C$14)="","",INDEX(SPOT_Import!$A$1:$Z$2488,2380,'Live Data'!$C$14)),"")</f>
        <v/>
      </c>
      <c r="D2380" s="54" t="str">
        <f>IFERROR(IF(INDEX(SPOT_Import!$A$1:$Z$2488,2380,'Live Data'!$C$15)="","",INDEX(SPOT_Import!$A$1:$Z$2488,2380,'Live Data'!$C$15)),"")</f>
        <v/>
      </c>
      <c r="E2380" s="54" t="str">
        <f>IFERROR(IF(INDEX(SPOT_Import!$A$1:$Z$2488,2380,'Live Data'!$C$16)="","",INDEX(SPOT_Import!$A$1:$Z$2488,2380,'Live Data'!$C$16)),"")</f>
        <v/>
      </c>
      <c r="F2380" s="54" t="str">
        <f>IFERROR(IF(INDEX(SPOT_Import!$A$1:$Z$2488,2380,'Live Data'!$C$17)="","",INDEX(SPOT_Import!$A$1:$Z$2488,2380,'Live Data'!$C$17)),"")</f>
        <v/>
      </c>
      <c r="G2380" s="54" t="str">
        <f>IFERROR(IF(INDEX(SPOT_Import!$A$1:$Z$2488,2380,'Live Data'!$C$18)="","",INDEX(SPOT_Import!$A$1:$Z$2488,2380,'Live Data'!$C$18)),"")</f>
        <v/>
      </c>
      <c r="H2380" s="54" t="str">
        <f>IFERROR(IF(INDEX(SPOT_Import!$A$1:$Z$2488,2380,'Live Data'!$C$19)="","",INDEX(SPOT_Import!$A$1:$Z$2488,2380,'Live Data'!$C$19)),"")</f>
        <v/>
      </c>
      <c r="I2380" s="54" t="str">
        <f>IFERROR(IF(INDEX(SPOT_Import!$A$1:$Z$2488,2380,'Live Data'!$C$20)="","",INDEX(SPOT_Import!$A$1:$Z$2488,2380,'Live Data'!$C$20)),"")</f>
        <v/>
      </c>
      <c r="J2380" s="54" t="str">
        <f>IFERROR(IF(INDEX(SPOT_Import!$A$1:$Z$2488,2380,'Live Data'!$C$21)="","",INDEX(SPOT_Import!$A$1:$Z$2488,2380,'Live Data'!$C$21)),"")</f>
        <v/>
      </c>
      <c r="K2380" s="54" t="str">
        <f>IFERROR(IF(INDEX(SPOT_Import!$A$1:$Z$2488,2380,'Live Data'!$C$22)="","",INDEX(SPOT_Import!$A$1:$Z$2488,2380,'Live Data'!$C$22)),"")</f>
        <v/>
      </c>
      <c r="L2380" s="55" t="str">
        <f t="shared" si="74"/>
        <v/>
      </c>
      <c r="M2380" s="55" t="str">
        <f t="shared" si="75"/>
        <v/>
      </c>
      <c r="N2380" s="55" t="str">
        <f>IF(A2380="","",IFERROR(INDEX('Cluster Map'!$A$4:$A$38,MATCH(M2380,'Cluster Map'!$B$4:$B$38,0)),"Unmapped"))</f>
        <v/>
      </c>
      <c r="O2380" s="55">
        <f>IF(A2380="",0,IF(COUNTIFS($A$2:A2380,A2380,$F$2:F2380,F2380,$L$2:L2380,L2380)=1,1,0))</f>
        <v>0</v>
      </c>
      <c r="P2380" s="55">
        <f>IF(A2380="",0,IF(AND(F2380="C&amp;T",COUNTIFS($A$2:A2380,A2380,$F$2:F2380,"C&amp;T")=1),1,0))</f>
        <v>0</v>
      </c>
    </row>
    <row r="2381" spans="1:16" x14ac:dyDescent="0.35">
      <c r="A2381" s="54" t="str">
        <f>IFERROR(IF(INDEX(SPOT_Import!$A$1:$Z$2488,2381,'Live Data'!$C$12)="","",INDEX(SPOT_Import!$A$1:$Z$2488,2381,'Live Data'!$C$12)),"")</f>
        <v/>
      </c>
      <c r="B2381" s="54" t="str">
        <f>IFERROR(IF(INDEX(SPOT_Import!$A$1:$Z$2488,2381,'Live Data'!$C$13)="","",INDEX(SPOT_Import!$A$1:$Z$2488,2381,'Live Data'!$C$13)),"")</f>
        <v/>
      </c>
      <c r="C2381" s="54" t="str">
        <f>IFERROR(IF(INDEX(SPOT_Import!$A$1:$Z$2488,2381,'Live Data'!$C$14)="","",INDEX(SPOT_Import!$A$1:$Z$2488,2381,'Live Data'!$C$14)),"")</f>
        <v/>
      </c>
      <c r="D2381" s="54" t="str">
        <f>IFERROR(IF(INDEX(SPOT_Import!$A$1:$Z$2488,2381,'Live Data'!$C$15)="","",INDEX(SPOT_Import!$A$1:$Z$2488,2381,'Live Data'!$C$15)),"")</f>
        <v/>
      </c>
      <c r="E2381" s="54" t="str">
        <f>IFERROR(IF(INDEX(SPOT_Import!$A$1:$Z$2488,2381,'Live Data'!$C$16)="","",INDEX(SPOT_Import!$A$1:$Z$2488,2381,'Live Data'!$C$16)),"")</f>
        <v/>
      </c>
      <c r="F2381" s="54" t="str">
        <f>IFERROR(IF(INDEX(SPOT_Import!$A$1:$Z$2488,2381,'Live Data'!$C$17)="","",INDEX(SPOT_Import!$A$1:$Z$2488,2381,'Live Data'!$C$17)),"")</f>
        <v/>
      </c>
      <c r="G2381" s="54" t="str">
        <f>IFERROR(IF(INDEX(SPOT_Import!$A$1:$Z$2488,2381,'Live Data'!$C$18)="","",INDEX(SPOT_Import!$A$1:$Z$2488,2381,'Live Data'!$C$18)),"")</f>
        <v/>
      </c>
      <c r="H2381" s="54" t="str">
        <f>IFERROR(IF(INDEX(SPOT_Import!$A$1:$Z$2488,2381,'Live Data'!$C$19)="","",INDEX(SPOT_Import!$A$1:$Z$2488,2381,'Live Data'!$C$19)),"")</f>
        <v/>
      </c>
      <c r="I2381" s="54" t="str">
        <f>IFERROR(IF(INDEX(SPOT_Import!$A$1:$Z$2488,2381,'Live Data'!$C$20)="","",INDEX(SPOT_Import!$A$1:$Z$2488,2381,'Live Data'!$C$20)),"")</f>
        <v/>
      </c>
      <c r="J2381" s="54" t="str">
        <f>IFERROR(IF(INDEX(SPOT_Import!$A$1:$Z$2488,2381,'Live Data'!$C$21)="","",INDEX(SPOT_Import!$A$1:$Z$2488,2381,'Live Data'!$C$21)),"")</f>
        <v/>
      </c>
      <c r="K2381" s="54" t="str">
        <f>IFERROR(IF(INDEX(SPOT_Import!$A$1:$Z$2488,2381,'Live Data'!$C$22)="","",INDEX(SPOT_Import!$A$1:$Z$2488,2381,'Live Data'!$C$22)),"")</f>
        <v/>
      </c>
      <c r="L2381" s="55" t="str">
        <f t="shared" si="74"/>
        <v/>
      </c>
      <c r="M2381" s="55" t="str">
        <f t="shared" si="75"/>
        <v/>
      </c>
      <c r="N2381" s="55" t="str">
        <f>IF(A2381="","",IFERROR(INDEX('Cluster Map'!$A$4:$A$38,MATCH(M2381,'Cluster Map'!$B$4:$B$38,0)),"Unmapped"))</f>
        <v/>
      </c>
      <c r="O2381" s="55">
        <f>IF(A2381="",0,IF(COUNTIFS($A$2:A2381,A2381,$F$2:F2381,F2381,$L$2:L2381,L2381)=1,1,0))</f>
        <v>0</v>
      </c>
      <c r="P2381" s="55">
        <f>IF(A2381="",0,IF(AND(F2381="C&amp;T",COUNTIFS($A$2:A2381,A2381,$F$2:F2381,"C&amp;T")=1),1,0))</f>
        <v>0</v>
      </c>
    </row>
    <row r="2382" spans="1:16" x14ac:dyDescent="0.35">
      <c r="A2382" s="54" t="str">
        <f>IFERROR(IF(INDEX(SPOT_Import!$A$1:$Z$2488,2382,'Live Data'!$C$12)="","",INDEX(SPOT_Import!$A$1:$Z$2488,2382,'Live Data'!$C$12)),"")</f>
        <v/>
      </c>
      <c r="B2382" s="54" t="str">
        <f>IFERROR(IF(INDEX(SPOT_Import!$A$1:$Z$2488,2382,'Live Data'!$C$13)="","",INDEX(SPOT_Import!$A$1:$Z$2488,2382,'Live Data'!$C$13)),"")</f>
        <v/>
      </c>
      <c r="C2382" s="54" t="str">
        <f>IFERROR(IF(INDEX(SPOT_Import!$A$1:$Z$2488,2382,'Live Data'!$C$14)="","",INDEX(SPOT_Import!$A$1:$Z$2488,2382,'Live Data'!$C$14)),"")</f>
        <v/>
      </c>
      <c r="D2382" s="54" t="str">
        <f>IFERROR(IF(INDEX(SPOT_Import!$A$1:$Z$2488,2382,'Live Data'!$C$15)="","",INDEX(SPOT_Import!$A$1:$Z$2488,2382,'Live Data'!$C$15)),"")</f>
        <v/>
      </c>
      <c r="E2382" s="54" t="str">
        <f>IFERROR(IF(INDEX(SPOT_Import!$A$1:$Z$2488,2382,'Live Data'!$C$16)="","",INDEX(SPOT_Import!$A$1:$Z$2488,2382,'Live Data'!$C$16)),"")</f>
        <v/>
      </c>
      <c r="F2382" s="54" t="str">
        <f>IFERROR(IF(INDEX(SPOT_Import!$A$1:$Z$2488,2382,'Live Data'!$C$17)="","",INDEX(SPOT_Import!$A$1:$Z$2488,2382,'Live Data'!$C$17)),"")</f>
        <v/>
      </c>
      <c r="G2382" s="54" t="str">
        <f>IFERROR(IF(INDEX(SPOT_Import!$A$1:$Z$2488,2382,'Live Data'!$C$18)="","",INDEX(SPOT_Import!$A$1:$Z$2488,2382,'Live Data'!$C$18)),"")</f>
        <v/>
      </c>
      <c r="H2382" s="54" t="str">
        <f>IFERROR(IF(INDEX(SPOT_Import!$A$1:$Z$2488,2382,'Live Data'!$C$19)="","",INDEX(SPOT_Import!$A$1:$Z$2488,2382,'Live Data'!$C$19)),"")</f>
        <v/>
      </c>
      <c r="I2382" s="54" t="str">
        <f>IFERROR(IF(INDEX(SPOT_Import!$A$1:$Z$2488,2382,'Live Data'!$C$20)="","",INDEX(SPOT_Import!$A$1:$Z$2488,2382,'Live Data'!$C$20)),"")</f>
        <v/>
      </c>
      <c r="J2382" s="54" t="str">
        <f>IFERROR(IF(INDEX(SPOT_Import!$A$1:$Z$2488,2382,'Live Data'!$C$21)="","",INDEX(SPOT_Import!$A$1:$Z$2488,2382,'Live Data'!$C$21)),"")</f>
        <v/>
      </c>
      <c r="K2382" s="54" t="str">
        <f>IFERROR(IF(INDEX(SPOT_Import!$A$1:$Z$2488,2382,'Live Data'!$C$22)="","",INDEX(SPOT_Import!$A$1:$Z$2488,2382,'Live Data'!$C$22)),"")</f>
        <v/>
      </c>
      <c r="L2382" s="55" t="str">
        <f t="shared" si="74"/>
        <v/>
      </c>
      <c r="M2382" s="55" t="str">
        <f t="shared" si="75"/>
        <v/>
      </c>
      <c r="N2382" s="55" t="str">
        <f>IF(A2382="","",IFERROR(INDEX('Cluster Map'!$A$4:$A$38,MATCH(M2382,'Cluster Map'!$B$4:$B$38,0)),"Unmapped"))</f>
        <v/>
      </c>
      <c r="O2382" s="55">
        <f>IF(A2382="",0,IF(COUNTIFS($A$2:A2382,A2382,$F$2:F2382,F2382,$L$2:L2382,L2382)=1,1,0))</f>
        <v>0</v>
      </c>
      <c r="P2382" s="55">
        <f>IF(A2382="",0,IF(AND(F2382="C&amp;T",COUNTIFS($A$2:A2382,A2382,$F$2:F2382,"C&amp;T")=1),1,0))</f>
        <v>0</v>
      </c>
    </row>
    <row r="2383" spans="1:16" x14ac:dyDescent="0.35">
      <c r="A2383" s="54" t="str">
        <f>IFERROR(IF(INDEX(SPOT_Import!$A$1:$Z$2488,2383,'Live Data'!$C$12)="","",INDEX(SPOT_Import!$A$1:$Z$2488,2383,'Live Data'!$C$12)),"")</f>
        <v/>
      </c>
      <c r="B2383" s="54" t="str">
        <f>IFERROR(IF(INDEX(SPOT_Import!$A$1:$Z$2488,2383,'Live Data'!$C$13)="","",INDEX(SPOT_Import!$A$1:$Z$2488,2383,'Live Data'!$C$13)),"")</f>
        <v/>
      </c>
      <c r="C2383" s="54" t="str">
        <f>IFERROR(IF(INDEX(SPOT_Import!$A$1:$Z$2488,2383,'Live Data'!$C$14)="","",INDEX(SPOT_Import!$A$1:$Z$2488,2383,'Live Data'!$C$14)),"")</f>
        <v/>
      </c>
      <c r="D2383" s="54" t="str">
        <f>IFERROR(IF(INDEX(SPOT_Import!$A$1:$Z$2488,2383,'Live Data'!$C$15)="","",INDEX(SPOT_Import!$A$1:$Z$2488,2383,'Live Data'!$C$15)),"")</f>
        <v/>
      </c>
      <c r="E2383" s="54" t="str">
        <f>IFERROR(IF(INDEX(SPOT_Import!$A$1:$Z$2488,2383,'Live Data'!$C$16)="","",INDEX(SPOT_Import!$A$1:$Z$2488,2383,'Live Data'!$C$16)),"")</f>
        <v/>
      </c>
      <c r="F2383" s="54" t="str">
        <f>IFERROR(IF(INDEX(SPOT_Import!$A$1:$Z$2488,2383,'Live Data'!$C$17)="","",INDEX(SPOT_Import!$A$1:$Z$2488,2383,'Live Data'!$C$17)),"")</f>
        <v/>
      </c>
      <c r="G2383" s="54" t="str">
        <f>IFERROR(IF(INDEX(SPOT_Import!$A$1:$Z$2488,2383,'Live Data'!$C$18)="","",INDEX(SPOT_Import!$A$1:$Z$2488,2383,'Live Data'!$C$18)),"")</f>
        <v/>
      </c>
      <c r="H2383" s="54" t="str">
        <f>IFERROR(IF(INDEX(SPOT_Import!$A$1:$Z$2488,2383,'Live Data'!$C$19)="","",INDEX(SPOT_Import!$A$1:$Z$2488,2383,'Live Data'!$C$19)),"")</f>
        <v/>
      </c>
      <c r="I2383" s="54" t="str">
        <f>IFERROR(IF(INDEX(SPOT_Import!$A$1:$Z$2488,2383,'Live Data'!$C$20)="","",INDEX(SPOT_Import!$A$1:$Z$2488,2383,'Live Data'!$C$20)),"")</f>
        <v/>
      </c>
      <c r="J2383" s="54" t="str">
        <f>IFERROR(IF(INDEX(SPOT_Import!$A$1:$Z$2488,2383,'Live Data'!$C$21)="","",INDEX(SPOT_Import!$A$1:$Z$2488,2383,'Live Data'!$C$21)),"")</f>
        <v/>
      </c>
      <c r="K2383" s="54" t="str">
        <f>IFERROR(IF(INDEX(SPOT_Import!$A$1:$Z$2488,2383,'Live Data'!$C$22)="","",INDEX(SPOT_Import!$A$1:$Z$2488,2383,'Live Data'!$C$22)),"")</f>
        <v/>
      </c>
      <c r="L2383" s="55" t="str">
        <f t="shared" si="74"/>
        <v/>
      </c>
      <c r="M2383" s="55" t="str">
        <f t="shared" si="75"/>
        <v/>
      </c>
      <c r="N2383" s="55" t="str">
        <f>IF(A2383="","",IFERROR(INDEX('Cluster Map'!$A$4:$A$38,MATCH(M2383,'Cluster Map'!$B$4:$B$38,0)),"Unmapped"))</f>
        <v/>
      </c>
      <c r="O2383" s="55">
        <f>IF(A2383="",0,IF(COUNTIFS($A$2:A2383,A2383,$F$2:F2383,F2383,$L$2:L2383,L2383)=1,1,0))</f>
        <v>0</v>
      </c>
      <c r="P2383" s="55">
        <f>IF(A2383="",0,IF(AND(F2383="C&amp;T",COUNTIFS($A$2:A2383,A2383,$F$2:F2383,"C&amp;T")=1),1,0))</f>
        <v>0</v>
      </c>
    </row>
    <row r="2384" spans="1:16" x14ac:dyDescent="0.35">
      <c r="A2384" s="54" t="str">
        <f>IFERROR(IF(INDEX(SPOT_Import!$A$1:$Z$2488,2384,'Live Data'!$C$12)="","",INDEX(SPOT_Import!$A$1:$Z$2488,2384,'Live Data'!$C$12)),"")</f>
        <v/>
      </c>
      <c r="B2384" s="54" t="str">
        <f>IFERROR(IF(INDEX(SPOT_Import!$A$1:$Z$2488,2384,'Live Data'!$C$13)="","",INDEX(SPOT_Import!$A$1:$Z$2488,2384,'Live Data'!$C$13)),"")</f>
        <v/>
      </c>
      <c r="C2384" s="54" t="str">
        <f>IFERROR(IF(INDEX(SPOT_Import!$A$1:$Z$2488,2384,'Live Data'!$C$14)="","",INDEX(SPOT_Import!$A$1:$Z$2488,2384,'Live Data'!$C$14)),"")</f>
        <v/>
      </c>
      <c r="D2384" s="54" t="str">
        <f>IFERROR(IF(INDEX(SPOT_Import!$A$1:$Z$2488,2384,'Live Data'!$C$15)="","",INDEX(SPOT_Import!$A$1:$Z$2488,2384,'Live Data'!$C$15)),"")</f>
        <v/>
      </c>
      <c r="E2384" s="54" t="str">
        <f>IFERROR(IF(INDEX(SPOT_Import!$A$1:$Z$2488,2384,'Live Data'!$C$16)="","",INDEX(SPOT_Import!$A$1:$Z$2488,2384,'Live Data'!$C$16)),"")</f>
        <v/>
      </c>
      <c r="F2384" s="54" t="str">
        <f>IFERROR(IF(INDEX(SPOT_Import!$A$1:$Z$2488,2384,'Live Data'!$C$17)="","",INDEX(SPOT_Import!$A$1:$Z$2488,2384,'Live Data'!$C$17)),"")</f>
        <v/>
      </c>
      <c r="G2384" s="54" t="str">
        <f>IFERROR(IF(INDEX(SPOT_Import!$A$1:$Z$2488,2384,'Live Data'!$C$18)="","",INDEX(SPOT_Import!$A$1:$Z$2488,2384,'Live Data'!$C$18)),"")</f>
        <v/>
      </c>
      <c r="H2384" s="54" t="str">
        <f>IFERROR(IF(INDEX(SPOT_Import!$A$1:$Z$2488,2384,'Live Data'!$C$19)="","",INDEX(SPOT_Import!$A$1:$Z$2488,2384,'Live Data'!$C$19)),"")</f>
        <v/>
      </c>
      <c r="I2384" s="54" t="str">
        <f>IFERROR(IF(INDEX(SPOT_Import!$A$1:$Z$2488,2384,'Live Data'!$C$20)="","",INDEX(SPOT_Import!$A$1:$Z$2488,2384,'Live Data'!$C$20)),"")</f>
        <v/>
      </c>
      <c r="J2384" s="54" t="str">
        <f>IFERROR(IF(INDEX(SPOT_Import!$A$1:$Z$2488,2384,'Live Data'!$C$21)="","",INDEX(SPOT_Import!$A$1:$Z$2488,2384,'Live Data'!$C$21)),"")</f>
        <v/>
      </c>
      <c r="K2384" s="54" t="str">
        <f>IFERROR(IF(INDEX(SPOT_Import!$A$1:$Z$2488,2384,'Live Data'!$C$22)="","",INDEX(SPOT_Import!$A$1:$Z$2488,2384,'Live Data'!$C$22)),"")</f>
        <v/>
      </c>
      <c r="L2384" s="55" t="str">
        <f t="shared" si="74"/>
        <v/>
      </c>
      <c r="M2384" s="55" t="str">
        <f t="shared" si="75"/>
        <v/>
      </c>
      <c r="N2384" s="55" t="str">
        <f>IF(A2384="","",IFERROR(INDEX('Cluster Map'!$A$4:$A$38,MATCH(M2384,'Cluster Map'!$B$4:$B$38,0)),"Unmapped"))</f>
        <v/>
      </c>
      <c r="O2384" s="55">
        <f>IF(A2384="",0,IF(COUNTIFS($A$2:A2384,A2384,$F$2:F2384,F2384,$L$2:L2384,L2384)=1,1,0))</f>
        <v>0</v>
      </c>
      <c r="P2384" s="55">
        <f>IF(A2384="",0,IF(AND(F2384="C&amp;T",COUNTIFS($A$2:A2384,A2384,$F$2:F2384,"C&amp;T")=1),1,0))</f>
        <v>0</v>
      </c>
    </row>
    <row r="2385" spans="1:16" x14ac:dyDescent="0.35">
      <c r="A2385" s="54" t="str">
        <f>IFERROR(IF(INDEX(SPOT_Import!$A$1:$Z$2488,2385,'Live Data'!$C$12)="","",INDEX(SPOT_Import!$A$1:$Z$2488,2385,'Live Data'!$C$12)),"")</f>
        <v/>
      </c>
      <c r="B2385" s="54" t="str">
        <f>IFERROR(IF(INDEX(SPOT_Import!$A$1:$Z$2488,2385,'Live Data'!$C$13)="","",INDEX(SPOT_Import!$A$1:$Z$2488,2385,'Live Data'!$C$13)),"")</f>
        <v/>
      </c>
      <c r="C2385" s="54" t="str">
        <f>IFERROR(IF(INDEX(SPOT_Import!$A$1:$Z$2488,2385,'Live Data'!$C$14)="","",INDEX(SPOT_Import!$A$1:$Z$2488,2385,'Live Data'!$C$14)),"")</f>
        <v/>
      </c>
      <c r="D2385" s="54" t="str">
        <f>IFERROR(IF(INDEX(SPOT_Import!$A$1:$Z$2488,2385,'Live Data'!$C$15)="","",INDEX(SPOT_Import!$A$1:$Z$2488,2385,'Live Data'!$C$15)),"")</f>
        <v/>
      </c>
      <c r="E2385" s="54" t="str">
        <f>IFERROR(IF(INDEX(SPOT_Import!$A$1:$Z$2488,2385,'Live Data'!$C$16)="","",INDEX(SPOT_Import!$A$1:$Z$2488,2385,'Live Data'!$C$16)),"")</f>
        <v/>
      </c>
      <c r="F2385" s="54" t="str">
        <f>IFERROR(IF(INDEX(SPOT_Import!$A$1:$Z$2488,2385,'Live Data'!$C$17)="","",INDEX(SPOT_Import!$A$1:$Z$2488,2385,'Live Data'!$C$17)),"")</f>
        <v/>
      </c>
      <c r="G2385" s="54" t="str">
        <f>IFERROR(IF(INDEX(SPOT_Import!$A$1:$Z$2488,2385,'Live Data'!$C$18)="","",INDEX(SPOT_Import!$A$1:$Z$2488,2385,'Live Data'!$C$18)),"")</f>
        <v/>
      </c>
      <c r="H2385" s="54" t="str">
        <f>IFERROR(IF(INDEX(SPOT_Import!$A$1:$Z$2488,2385,'Live Data'!$C$19)="","",INDEX(SPOT_Import!$A$1:$Z$2488,2385,'Live Data'!$C$19)),"")</f>
        <v/>
      </c>
      <c r="I2385" s="54" t="str">
        <f>IFERROR(IF(INDEX(SPOT_Import!$A$1:$Z$2488,2385,'Live Data'!$C$20)="","",INDEX(SPOT_Import!$A$1:$Z$2488,2385,'Live Data'!$C$20)),"")</f>
        <v/>
      </c>
      <c r="J2385" s="54" t="str">
        <f>IFERROR(IF(INDEX(SPOT_Import!$A$1:$Z$2488,2385,'Live Data'!$C$21)="","",INDEX(SPOT_Import!$A$1:$Z$2488,2385,'Live Data'!$C$21)),"")</f>
        <v/>
      </c>
      <c r="K2385" s="54" t="str">
        <f>IFERROR(IF(INDEX(SPOT_Import!$A$1:$Z$2488,2385,'Live Data'!$C$22)="","",INDEX(SPOT_Import!$A$1:$Z$2488,2385,'Live Data'!$C$22)),"")</f>
        <v/>
      </c>
      <c r="L2385" s="55" t="str">
        <f t="shared" si="74"/>
        <v/>
      </c>
      <c r="M2385" s="55" t="str">
        <f t="shared" si="75"/>
        <v/>
      </c>
      <c r="N2385" s="55" t="str">
        <f>IF(A2385="","",IFERROR(INDEX('Cluster Map'!$A$4:$A$38,MATCH(M2385,'Cluster Map'!$B$4:$B$38,0)),"Unmapped"))</f>
        <v/>
      </c>
      <c r="O2385" s="55">
        <f>IF(A2385="",0,IF(COUNTIFS($A$2:A2385,A2385,$F$2:F2385,F2385,$L$2:L2385,L2385)=1,1,0))</f>
        <v>0</v>
      </c>
      <c r="P2385" s="55">
        <f>IF(A2385="",0,IF(AND(F2385="C&amp;T",COUNTIFS($A$2:A2385,A2385,$F$2:F2385,"C&amp;T")=1),1,0))</f>
        <v>0</v>
      </c>
    </row>
    <row r="2386" spans="1:16" x14ac:dyDescent="0.35">
      <c r="A2386" s="54" t="str">
        <f>IFERROR(IF(INDEX(SPOT_Import!$A$1:$Z$2488,2386,'Live Data'!$C$12)="","",INDEX(SPOT_Import!$A$1:$Z$2488,2386,'Live Data'!$C$12)),"")</f>
        <v/>
      </c>
      <c r="B2386" s="54" t="str">
        <f>IFERROR(IF(INDEX(SPOT_Import!$A$1:$Z$2488,2386,'Live Data'!$C$13)="","",INDEX(SPOT_Import!$A$1:$Z$2488,2386,'Live Data'!$C$13)),"")</f>
        <v/>
      </c>
      <c r="C2386" s="54" t="str">
        <f>IFERROR(IF(INDEX(SPOT_Import!$A$1:$Z$2488,2386,'Live Data'!$C$14)="","",INDEX(SPOT_Import!$A$1:$Z$2488,2386,'Live Data'!$C$14)),"")</f>
        <v/>
      </c>
      <c r="D2386" s="54" t="str">
        <f>IFERROR(IF(INDEX(SPOT_Import!$A$1:$Z$2488,2386,'Live Data'!$C$15)="","",INDEX(SPOT_Import!$A$1:$Z$2488,2386,'Live Data'!$C$15)),"")</f>
        <v/>
      </c>
      <c r="E2386" s="54" t="str">
        <f>IFERROR(IF(INDEX(SPOT_Import!$A$1:$Z$2488,2386,'Live Data'!$C$16)="","",INDEX(SPOT_Import!$A$1:$Z$2488,2386,'Live Data'!$C$16)),"")</f>
        <v/>
      </c>
      <c r="F2386" s="54" t="str">
        <f>IFERROR(IF(INDEX(SPOT_Import!$A$1:$Z$2488,2386,'Live Data'!$C$17)="","",INDEX(SPOT_Import!$A$1:$Z$2488,2386,'Live Data'!$C$17)),"")</f>
        <v/>
      </c>
      <c r="G2386" s="54" t="str">
        <f>IFERROR(IF(INDEX(SPOT_Import!$A$1:$Z$2488,2386,'Live Data'!$C$18)="","",INDEX(SPOT_Import!$A$1:$Z$2488,2386,'Live Data'!$C$18)),"")</f>
        <v/>
      </c>
      <c r="H2386" s="54" t="str">
        <f>IFERROR(IF(INDEX(SPOT_Import!$A$1:$Z$2488,2386,'Live Data'!$C$19)="","",INDEX(SPOT_Import!$A$1:$Z$2488,2386,'Live Data'!$C$19)),"")</f>
        <v/>
      </c>
      <c r="I2386" s="54" t="str">
        <f>IFERROR(IF(INDEX(SPOT_Import!$A$1:$Z$2488,2386,'Live Data'!$C$20)="","",INDEX(SPOT_Import!$A$1:$Z$2488,2386,'Live Data'!$C$20)),"")</f>
        <v/>
      </c>
      <c r="J2386" s="54" t="str">
        <f>IFERROR(IF(INDEX(SPOT_Import!$A$1:$Z$2488,2386,'Live Data'!$C$21)="","",INDEX(SPOT_Import!$A$1:$Z$2488,2386,'Live Data'!$C$21)),"")</f>
        <v/>
      </c>
      <c r="K2386" s="54" t="str">
        <f>IFERROR(IF(INDEX(SPOT_Import!$A$1:$Z$2488,2386,'Live Data'!$C$22)="","",INDEX(SPOT_Import!$A$1:$Z$2488,2386,'Live Data'!$C$22)),"")</f>
        <v/>
      </c>
      <c r="L2386" s="55" t="str">
        <f t="shared" si="74"/>
        <v/>
      </c>
      <c r="M2386" s="55" t="str">
        <f t="shared" si="75"/>
        <v/>
      </c>
      <c r="N2386" s="55" t="str">
        <f>IF(A2386="","",IFERROR(INDEX('Cluster Map'!$A$4:$A$38,MATCH(M2386,'Cluster Map'!$B$4:$B$38,0)),"Unmapped"))</f>
        <v/>
      </c>
      <c r="O2386" s="55">
        <f>IF(A2386="",0,IF(COUNTIFS($A$2:A2386,A2386,$F$2:F2386,F2386,$L$2:L2386,L2386)=1,1,0))</f>
        <v>0</v>
      </c>
      <c r="P2386" s="55">
        <f>IF(A2386="",0,IF(AND(F2386="C&amp;T",COUNTIFS($A$2:A2386,A2386,$F$2:F2386,"C&amp;T")=1),1,0))</f>
        <v>0</v>
      </c>
    </row>
    <row r="2387" spans="1:16" x14ac:dyDescent="0.35">
      <c r="A2387" s="54" t="str">
        <f>IFERROR(IF(INDEX(SPOT_Import!$A$1:$Z$2488,2387,'Live Data'!$C$12)="","",INDEX(SPOT_Import!$A$1:$Z$2488,2387,'Live Data'!$C$12)),"")</f>
        <v/>
      </c>
      <c r="B2387" s="54" t="str">
        <f>IFERROR(IF(INDEX(SPOT_Import!$A$1:$Z$2488,2387,'Live Data'!$C$13)="","",INDEX(SPOT_Import!$A$1:$Z$2488,2387,'Live Data'!$C$13)),"")</f>
        <v/>
      </c>
      <c r="C2387" s="54" t="str">
        <f>IFERROR(IF(INDEX(SPOT_Import!$A$1:$Z$2488,2387,'Live Data'!$C$14)="","",INDEX(SPOT_Import!$A$1:$Z$2488,2387,'Live Data'!$C$14)),"")</f>
        <v/>
      </c>
      <c r="D2387" s="54" t="str">
        <f>IFERROR(IF(INDEX(SPOT_Import!$A$1:$Z$2488,2387,'Live Data'!$C$15)="","",INDEX(SPOT_Import!$A$1:$Z$2488,2387,'Live Data'!$C$15)),"")</f>
        <v/>
      </c>
      <c r="E2387" s="54" t="str">
        <f>IFERROR(IF(INDEX(SPOT_Import!$A$1:$Z$2488,2387,'Live Data'!$C$16)="","",INDEX(SPOT_Import!$A$1:$Z$2488,2387,'Live Data'!$C$16)),"")</f>
        <v/>
      </c>
      <c r="F2387" s="54" t="str">
        <f>IFERROR(IF(INDEX(SPOT_Import!$A$1:$Z$2488,2387,'Live Data'!$C$17)="","",INDEX(SPOT_Import!$A$1:$Z$2488,2387,'Live Data'!$C$17)),"")</f>
        <v/>
      </c>
      <c r="G2387" s="54" t="str">
        <f>IFERROR(IF(INDEX(SPOT_Import!$A$1:$Z$2488,2387,'Live Data'!$C$18)="","",INDEX(SPOT_Import!$A$1:$Z$2488,2387,'Live Data'!$C$18)),"")</f>
        <v/>
      </c>
      <c r="H2387" s="54" t="str">
        <f>IFERROR(IF(INDEX(SPOT_Import!$A$1:$Z$2488,2387,'Live Data'!$C$19)="","",INDEX(SPOT_Import!$A$1:$Z$2488,2387,'Live Data'!$C$19)),"")</f>
        <v/>
      </c>
      <c r="I2387" s="54" t="str">
        <f>IFERROR(IF(INDEX(SPOT_Import!$A$1:$Z$2488,2387,'Live Data'!$C$20)="","",INDEX(SPOT_Import!$A$1:$Z$2488,2387,'Live Data'!$C$20)),"")</f>
        <v/>
      </c>
      <c r="J2387" s="54" t="str">
        <f>IFERROR(IF(INDEX(SPOT_Import!$A$1:$Z$2488,2387,'Live Data'!$C$21)="","",INDEX(SPOT_Import!$A$1:$Z$2488,2387,'Live Data'!$C$21)),"")</f>
        <v/>
      </c>
      <c r="K2387" s="54" t="str">
        <f>IFERROR(IF(INDEX(SPOT_Import!$A$1:$Z$2488,2387,'Live Data'!$C$22)="","",INDEX(SPOT_Import!$A$1:$Z$2488,2387,'Live Data'!$C$22)),"")</f>
        <v/>
      </c>
      <c r="L2387" s="55" t="str">
        <f t="shared" si="74"/>
        <v/>
      </c>
      <c r="M2387" s="55" t="str">
        <f t="shared" si="75"/>
        <v/>
      </c>
      <c r="N2387" s="55" t="str">
        <f>IF(A2387="","",IFERROR(INDEX('Cluster Map'!$A$4:$A$38,MATCH(M2387,'Cluster Map'!$B$4:$B$38,0)),"Unmapped"))</f>
        <v/>
      </c>
      <c r="O2387" s="55">
        <f>IF(A2387="",0,IF(COUNTIFS($A$2:A2387,A2387,$F$2:F2387,F2387,$L$2:L2387,L2387)=1,1,0))</f>
        <v>0</v>
      </c>
      <c r="P2387" s="55">
        <f>IF(A2387="",0,IF(AND(F2387="C&amp;T",COUNTIFS($A$2:A2387,A2387,$F$2:F2387,"C&amp;T")=1),1,0))</f>
        <v>0</v>
      </c>
    </row>
    <row r="2388" spans="1:16" x14ac:dyDescent="0.35">
      <c r="A2388" s="54" t="str">
        <f>IFERROR(IF(INDEX(SPOT_Import!$A$1:$Z$2488,2388,'Live Data'!$C$12)="","",INDEX(SPOT_Import!$A$1:$Z$2488,2388,'Live Data'!$C$12)),"")</f>
        <v/>
      </c>
      <c r="B2388" s="54" t="str">
        <f>IFERROR(IF(INDEX(SPOT_Import!$A$1:$Z$2488,2388,'Live Data'!$C$13)="","",INDEX(SPOT_Import!$A$1:$Z$2488,2388,'Live Data'!$C$13)),"")</f>
        <v/>
      </c>
      <c r="C2388" s="54" t="str">
        <f>IFERROR(IF(INDEX(SPOT_Import!$A$1:$Z$2488,2388,'Live Data'!$C$14)="","",INDEX(SPOT_Import!$A$1:$Z$2488,2388,'Live Data'!$C$14)),"")</f>
        <v/>
      </c>
      <c r="D2388" s="54" t="str">
        <f>IFERROR(IF(INDEX(SPOT_Import!$A$1:$Z$2488,2388,'Live Data'!$C$15)="","",INDEX(SPOT_Import!$A$1:$Z$2488,2388,'Live Data'!$C$15)),"")</f>
        <v/>
      </c>
      <c r="E2388" s="54" t="str">
        <f>IFERROR(IF(INDEX(SPOT_Import!$A$1:$Z$2488,2388,'Live Data'!$C$16)="","",INDEX(SPOT_Import!$A$1:$Z$2488,2388,'Live Data'!$C$16)),"")</f>
        <v/>
      </c>
      <c r="F2388" s="54" t="str">
        <f>IFERROR(IF(INDEX(SPOT_Import!$A$1:$Z$2488,2388,'Live Data'!$C$17)="","",INDEX(SPOT_Import!$A$1:$Z$2488,2388,'Live Data'!$C$17)),"")</f>
        <v/>
      </c>
      <c r="G2388" s="54" t="str">
        <f>IFERROR(IF(INDEX(SPOT_Import!$A$1:$Z$2488,2388,'Live Data'!$C$18)="","",INDEX(SPOT_Import!$A$1:$Z$2488,2388,'Live Data'!$C$18)),"")</f>
        <v/>
      </c>
      <c r="H2388" s="54" t="str">
        <f>IFERROR(IF(INDEX(SPOT_Import!$A$1:$Z$2488,2388,'Live Data'!$C$19)="","",INDEX(SPOT_Import!$A$1:$Z$2488,2388,'Live Data'!$C$19)),"")</f>
        <v/>
      </c>
      <c r="I2388" s="54" t="str">
        <f>IFERROR(IF(INDEX(SPOT_Import!$A$1:$Z$2488,2388,'Live Data'!$C$20)="","",INDEX(SPOT_Import!$A$1:$Z$2488,2388,'Live Data'!$C$20)),"")</f>
        <v/>
      </c>
      <c r="J2388" s="54" t="str">
        <f>IFERROR(IF(INDEX(SPOT_Import!$A$1:$Z$2488,2388,'Live Data'!$C$21)="","",INDEX(SPOT_Import!$A$1:$Z$2488,2388,'Live Data'!$C$21)),"")</f>
        <v/>
      </c>
      <c r="K2388" s="54" t="str">
        <f>IFERROR(IF(INDEX(SPOT_Import!$A$1:$Z$2488,2388,'Live Data'!$C$22)="","",INDEX(SPOT_Import!$A$1:$Z$2488,2388,'Live Data'!$C$22)),"")</f>
        <v/>
      </c>
      <c r="L2388" s="55" t="str">
        <f t="shared" si="74"/>
        <v/>
      </c>
      <c r="M2388" s="55" t="str">
        <f t="shared" si="75"/>
        <v/>
      </c>
      <c r="N2388" s="55" t="str">
        <f>IF(A2388="","",IFERROR(INDEX('Cluster Map'!$A$4:$A$38,MATCH(M2388,'Cluster Map'!$B$4:$B$38,0)),"Unmapped"))</f>
        <v/>
      </c>
      <c r="O2388" s="55">
        <f>IF(A2388="",0,IF(COUNTIFS($A$2:A2388,A2388,$F$2:F2388,F2388,$L$2:L2388,L2388)=1,1,0))</f>
        <v>0</v>
      </c>
      <c r="P2388" s="55">
        <f>IF(A2388="",0,IF(AND(F2388="C&amp;T",COUNTIFS($A$2:A2388,A2388,$F$2:F2388,"C&amp;T")=1),1,0))</f>
        <v>0</v>
      </c>
    </row>
    <row r="2389" spans="1:16" x14ac:dyDescent="0.35">
      <c r="A2389" s="54" t="str">
        <f>IFERROR(IF(INDEX(SPOT_Import!$A$1:$Z$2488,2389,'Live Data'!$C$12)="","",INDEX(SPOT_Import!$A$1:$Z$2488,2389,'Live Data'!$C$12)),"")</f>
        <v/>
      </c>
      <c r="B2389" s="54" t="str">
        <f>IFERROR(IF(INDEX(SPOT_Import!$A$1:$Z$2488,2389,'Live Data'!$C$13)="","",INDEX(SPOT_Import!$A$1:$Z$2488,2389,'Live Data'!$C$13)),"")</f>
        <v/>
      </c>
      <c r="C2389" s="54" t="str">
        <f>IFERROR(IF(INDEX(SPOT_Import!$A$1:$Z$2488,2389,'Live Data'!$C$14)="","",INDEX(SPOT_Import!$A$1:$Z$2488,2389,'Live Data'!$C$14)),"")</f>
        <v/>
      </c>
      <c r="D2389" s="54" t="str">
        <f>IFERROR(IF(INDEX(SPOT_Import!$A$1:$Z$2488,2389,'Live Data'!$C$15)="","",INDEX(SPOT_Import!$A$1:$Z$2488,2389,'Live Data'!$C$15)),"")</f>
        <v/>
      </c>
      <c r="E2389" s="54" t="str">
        <f>IFERROR(IF(INDEX(SPOT_Import!$A$1:$Z$2488,2389,'Live Data'!$C$16)="","",INDEX(SPOT_Import!$A$1:$Z$2488,2389,'Live Data'!$C$16)),"")</f>
        <v/>
      </c>
      <c r="F2389" s="54" t="str">
        <f>IFERROR(IF(INDEX(SPOT_Import!$A$1:$Z$2488,2389,'Live Data'!$C$17)="","",INDEX(SPOT_Import!$A$1:$Z$2488,2389,'Live Data'!$C$17)),"")</f>
        <v/>
      </c>
      <c r="G2389" s="54" t="str">
        <f>IFERROR(IF(INDEX(SPOT_Import!$A$1:$Z$2488,2389,'Live Data'!$C$18)="","",INDEX(SPOT_Import!$A$1:$Z$2488,2389,'Live Data'!$C$18)),"")</f>
        <v/>
      </c>
      <c r="H2389" s="54" t="str">
        <f>IFERROR(IF(INDEX(SPOT_Import!$A$1:$Z$2488,2389,'Live Data'!$C$19)="","",INDEX(SPOT_Import!$A$1:$Z$2488,2389,'Live Data'!$C$19)),"")</f>
        <v/>
      </c>
      <c r="I2389" s="54" t="str">
        <f>IFERROR(IF(INDEX(SPOT_Import!$A$1:$Z$2488,2389,'Live Data'!$C$20)="","",INDEX(SPOT_Import!$A$1:$Z$2488,2389,'Live Data'!$C$20)),"")</f>
        <v/>
      </c>
      <c r="J2389" s="54" t="str">
        <f>IFERROR(IF(INDEX(SPOT_Import!$A$1:$Z$2488,2389,'Live Data'!$C$21)="","",INDEX(SPOT_Import!$A$1:$Z$2488,2389,'Live Data'!$C$21)),"")</f>
        <v/>
      </c>
      <c r="K2389" s="54" t="str">
        <f>IFERROR(IF(INDEX(SPOT_Import!$A$1:$Z$2488,2389,'Live Data'!$C$22)="","",INDEX(SPOT_Import!$A$1:$Z$2488,2389,'Live Data'!$C$22)),"")</f>
        <v/>
      </c>
      <c r="L2389" s="55" t="str">
        <f t="shared" si="74"/>
        <v/>
      </c>
      <c r="M2389" s="55" t="str">
        <f t="shared" si="75"/>
        <v/>
      </c>
      <c r="N2389" s="55" t="str">
        <f>IF(A2389="","",IFERROR(INDEX('Cluster Map'!$A$4:$A$38,MATCH(M2389,'Cluster Map'!$B$4:$B$38,0)),"Unmapped"))</f>
        <v/>
      </c>
      <c r="O2389" s="55">
        <f>IF(A2389="",0,IF(COUNTIFS($A$2:A2389,A2389,$F$2:F2389,F2389,$L$2:L2389,L2389)=1,1,0))</f>
        <v>0</v>
      </c>
      <c r="P2389" s="55">
        <f>IF(A2389="",0,IF(AND(F2389="C&amp;T",COUNTIFS($A$2:A2389,A2389,$F$2:F2389,"C&amp;T")=1),1,0))</f>
        <v>0</v>
      </c>
    </row>
    <row r="2390" spans="1:16" x14ac:dyDescent="0.35">
      <c r="A2390" s="54" t="str">
        <f>IFERROR(IF(INDEX(SPOT_Import!$A$1:$Z$2488,2390,'Live Data'!$C$12)="","",INDEX(SPOT_Import!$A$1:$Z$2488,2390,'Live Data'!$C$12)),"")</f>
        <v/>
      </c>
      <c r="B2390" s="54" t="str">
        <f>IFERROR(IF(INDEX(SPOT_Import!$A$1:$Z$2488,2390,'Live Data'!$C$13)="","",INDEX(SPOT_Import!$A$1:$Z$2488,2390,'Live Data'!$C$13)),"")</f>
        <v/>
      </c>
      <c r="C2390" s="54" t="str">
        <f>IFERROR(IF(INDEX(SPOT_Import!$A$1:$Z$2488,2390,'Live Data'!$C$14)="","",INDEX(SPOT_Import!$A$1:$Z$2488,2390,'Live Data'!$C$14)),"")</f>
        <v/>
      </c>
      <c r="D2390" s="54" t="str">
        <f>IFERROR(IF(INDEX(SPOT_Import!$A$1:$Z$2488,2390,'Live Data'!$C$15)="","",INDEX(SPOT_Import!$A$1:$Z$2488,2390,'Live Data'!$C$15)),"")</f>
        <v/>
      </c>
      <c r="E2390" s="54" t="str">
        <f>IFERROR(IF(INDEX(SPOT_Import!$A$1:$Z$2488,2390,'Live Data'!$C$16)="","",INDEX(SPOT_Import!$A$1:$Z$2488,2390,'Live Data'!$C$16)),"")</f>
        <v/>
      </c>
      <c r="F2390" s="54" t="str">
        <f>IFERROR(IF(INDEX(SPOT_Import!$A$1:$Z$2488,2390,'Live Data'!$C$17)="","",INDEX(SPOT_Import!$A$1:$Z$2488,2390,'Live Data'!$C$17)),"")</f>
        <v/>
      </c>
      <c r="G2390" s="54" t="str">
        <f>IFERROR(IF(INDEX(SPOT_Import!$A$1:$Z$2488,2390,'Live Data'!$C$18)="","",INDEX(SPOT_Import!$A$1:$Z$2488,2390,'Live Data'!$C$18)),"")</f>
        <v/>
      </c>
      <c r="H2390" s="54" t="str">
        <f>IFERROR(IF(INDEX(SPOT_Import!$A$1:$Z$2488,2390,'Live Data'!$C$19)="","",INDEX(SPOT_Import!$A$1:$Z$2488,2390,'Live Data'!$C$19)),"")</f>
        <v/>
      </c>
      <c r="I2390" s="54" t="str">
        <f>IFERROR(IF(INDEX(SPOT_Import!$A$1:$Z$2488,2390,'Live Data'!$C$20)="","",INDEX(SPOT_Import!$A$1:$Z$2488,2390,'Live Data'!$C$20)),"")</f>
        <v/>
      </c>
      <c r="J2390" s="54" t="str">
        <f>IFERROR(IF(INDEX(SPOT_Import!$A$1:$Z$2488,2390,'Live Data'!$C$21)="","",INDEX(SPOT_Import!$A$1:$Z$2488,2390,'Live Data'!$C$21)),"")</f>
        <v/>
      </c>
      <c r="K2390" s="54" t="str">
        <f>IFERROR(IF(INDEX(SPOT_Import!$A$1:$Z$2488,2390,'Live Data'!$C$22)="","",INDEX(SPOT_Import!$A$1:$Z$2488,2390,'Live Data'!$C$22)),"")</f>
        <v/>
      </c>
      <c r="L2390" s="55" t="str">
        <f t="shared" si="74"/>
        <v/>
      </c>
      <c r="M2390" s="55" t="str">
        <f t="shared" si="75"/>
        <v/>
      </c>
      <c r="N2390" s="55" t="str">
        <f>IF(A2390="","",IFERROR(INDEX('Cluster Map'!$A$4:$A$38,MATCH(M2390,'Cluster Map'!$B$4:$B$38,0)),"Unmapped"))</f>
        <v/>
      </c>
      <c r="O2390" s="55">
        <f>IF(A2390="",0,IF(COUNTIFS($A$2:A2390,A2390,$F$2:F2390,F2390,$L$2:L2390,L2390)=1,1,0))</f>
        <v>0</v>
      </c>
      <c r="P2390" s="55">
        <f>IF(A2390="",0,IF(AND(F2390="C&amp;T",COUNTIFS($A$2:A2390,A2390,$F$2:F2390,"C&amp;T")=1),1,0))</f>
        <v>0</v>
      </c>
    </row>
    <row r="2391" spans="1:16" x14ac:dyDescent="0.35">
      <c r="A2391" s="54" t="str">
        <f>IFERROR(IF(INDEX(SPOT_Import!$A$1:$Z$2488,2391,'Live Data'!$C$12)="","",INDEX(SPOT_Import!$A$1:$Z$2488,2391,'Live Data'!$C$12)),"")</f>
        <v/>
      </c>
      <c r="B2391" s="54" t="str">
        <f>IFERROR(IF(INDEX(SPOT_Import!$A$1:$Z$2488,2391,'Live Data'!$C$13)="","",INDEX(SPOT_Import!$A$1:$Z$2488,2391,'Live Data'!$C$13)),"")</f>
        <v/>
      </c>
      <c r="C2391" s="54" t="str">
        <f>IFERROR(IF(INDEX(SPOT_Import!$A$1:$Z$2488,2391,'Live Data'!$C$14)="","",INDEX(SPOT_Import!$A$1:$Z$2488,2391,'Live Data'!$C$14)),"")</f>
        <v/>
      </c>
      <c r="D2391" s="54" t="str">
        <f>IFERROR(IF(INDEX(SPOT_Import!$A$1:$Z$2488,2391,'Live Data'!$C$15)="","",INDEX(SPOT_Import!$A$1:$Z$2488,2391,'Live Data'!$C$15)),"")</f>
        <v/>
      </c>
      <c r="E2391" s="54" t="str">
        <f>IFERROR(IF(INDEX(SPOT_Import!$A$1:$Z$2488,2391,'Live Data'!$C$16)="","",INDEX(SPOT_Import!$A$1:$Z$2488,2391,'Live Data'!$C$16)),"")</f>
        <v/>
      </c>
      <c r="F2391" s="54" t="str">
        <f>IFERROR(IF(INDEX(SPOT_Import!$A$1:$Z$2488,2391,'Live Data'!$C$17)="","",INDEX(SPOT_Import!$A$1:$Z$2488,2391,'Live Data'!$C$17)),"")</f>
        <v/>
      </c>
      <c r="G2391" s="54" t="str">
        <f>IFERROR(IF(INDEX(SPOT_Import!$A$1:$Z$2488,2391,'Live Data'!$C$18)="","",INDEX(SPOT_Import!$A$1:$Z$2488,2391,'Live Data'!$C$18)),"")</f>
        <v/>
      </c>
      <c r="H2391" s="54" t="str">
        <f>IFERROR(IF(INDEX(SPOT_Import!$A$1:$Z$2488,2391,'Live Data'!$C$19)="","",INDEX(SPOT_Import!$A$1:$Z$2488,2391,'Live Data'!$C$19)),"")</f>
        <v/>
      </c>
      <c r="I2391" s="54" t="str">
        <f>IFERROR(IF(INDEX(SPOT_Import!$A$1:$Z$2488,2391,'Live Data'!$C$20)="","",INDEX(SPOT_Import!$A$1:$Z$2488,2391,'Live Data'!$C$20)),"")</f>
        <v/>
      </c>
      <c r="J2391" s="54" t="str">
        <f>IFERROR(IF(INDEX(SPOT_Import!$A$1:$Z$2488,2391,'Live Data'!$C$21)="","",INDEX(SPOT_Import!$A$1:$Z$2488,2391,'Live Data'!$C$21)),"")</f>
        <v/>
      </c>
      <c r="K2391" s="54" t="str">
        <f>IFERROR(IF(INDEX(SPOT_Import!$A$1:$Z$2488,2391,'Live Data'!$C$22)="","",INDEX(SPOT_Import!$A$1:$Z$2488,2391,'Live Data'!$C$22)),"")</f>
        <v/>
      </c>
      <c r="L2391" s="55" t="str">
        <f t="shared" si="74"/>
        <v/>
      </c>
      <c r="M2391" s="55" t="str">
        <f t="shared" si="75"/>
        <v/>
      </c>
      <c r="N2391" s="55" t="str">
        <f>IF(A2391="","",IFERROR(INDEX('Cluster Map'!$A$4:$A$38,MATCH(M2391,'Cluster Map'!$B$4:$B$38,0)),"Unmapped"))</f>
        <v/>
      </c>
      <c r="O2391" s="55">
        <f>IF(A2391="",0,IF(COUNTIFS($A$2:A2391,A2391,$F$2:F2391,F2391,$L$2:L2391,L2391)=1,1,0))</f>
        <v>0</v>
      </c>
      <c r="P2391" s="55">
        <f>IF(A2391="",0,IF(AND(F2391="C&amp;T",COUNTIFS($A$2:A2391,A2391,$F$2:F2391,"C&amp;T")=1),1,0))</f>
        <v>0</v>
      </c>
    </row>
    <row r="2392" spans="1:16" x14ac:dyDescent="0.35">
      <c r="A2392" s="54" t="str">
        <f>IFERROR(IF(INDEX(SPOT_Import!$A$1:$Z$2488,2392,'Live Data'!$C$12)="","",INDEX(SPOT_Import!$A$1:$Z$2488,2392,'Live Data'!$C$12)),"")</f>
        <v/>
      </c>
      <c r="B2392" s="54" t="str">
        <f>IFERROR(IF(INDEX(SPOT_Import!$A$1:$Z$2488,2392,'Live Data'!$C$13)="","",INDEX(SPOT_Import!$A$1:$Z$2488,2392,'Live Data'!$C$13)),"")</f>
        <v/>
      </c>
      <c r="C2392" s="54" t="str">
        <f>IFERROR(IF(INDEX(SPOT_Import!$A$1:$Z$2488,2392,'Live Data'!$C$14)="","",INDEX(SPOT_Import!$A$1:$Z$2488,2392,'Live Data'!$C$14)),"")</f>
        <v/>
      </c>
      <c r="D2392" s="54" t="str">
        <f>IFERROR(IF(INDEX(SPOT_Import!$A$1:$Z$2488,2392,'Live Data'!$C$15)="","",INDEX(SPOT_Import!$A$1:$Z$2488,2392,'Live Data'!$C$15)),"")</f>
        <v/>
      </c>
      <c r="E2392" s="54" t="str">
        <f>IFERROR(IF(INDEX(SPOT_Import!$A$1:$Z$2488,2392,'Live Data'!$C$16)="","",INDEX(SPOT_Import!$A$1:$Z$2488,2392,'Live Data'!$C$16)),"")</f>
        <v/>
      </c>
      <c r="F2392" s="54" t="str">
        <f>IFERROR(IF(INDEX(SPOT_Import!$A$1:$Z$2488,2392,'Live Data'!$C$17)="","",INDEX(SPOT_Import!$A$1:$Z$2488,2392,'Live Data'!$C$17)),"")</f>
        <v/>
      </c>
      <c r="G2392" s="54" t="str">
        <f>IFERROR(IF(INDEX(SPOT_Import!$A$1:$Z$2488,2392,'Live Data'!$C$18)="","",INDEX(SPOT_Import!$A$1:$Z$2488,2392,'Live Data'!$C$18)),"")</f>
        <v/>
      </c>
      <c r="H2392" s="54" t="str">
        <f>IFERROR(IF(INDEX(SPOT_Import!$A$1:$Z$2488,2392,'Live Data'!$C$19)="","",INDEX(SPOT_Import!$A$1:$Z$2488,2392,'Live Data'!$C$19)),"")</f>
        <v/>
      </c>
      <c r="I2392" s="54" t="str">
        <f>IFERROR(IF(INDEX(SPOT_Import!$A$1:$Z$2488,2392,'Live Data'!$C$20)="","",INDEX(SPOT_Import!$A$1:$Z$2488,2392,'Live Data'!$C$20)),"")</f>
        <v/>
      </c>
      <c r="J2392" s="54" t="str">
        <f>IFERROR(IF(INDEX(SPOT_Import!$A$1:$Z$2488,2392,'Live Data'!$C$21)="","",INDEX(SPOT_Import!$A$1:$Z$2488,2392,'Live Data'!$C$21)),"")</f>
        <v/>
      </c>
      <c r="K2392" s="54" t="str">
        <f>IFERROR(IF(INDEX(SPOT_Import!$A$1:$Z$2488,2392,'Live Data'!$C$22)="","",INDEX(SPOT_Import!$A$1:$Z$2488,2392,'Live Data'!$C$22)),"")</f>
        <v/>
      </c>
      <c r="L2392" s="55" t="str">
        <f t="shared" si="74"/>
        <v/>
      </c>
      <c r="M2392" s="55" t="str">
        <f t="shared" si="75"/>
        <v/>
      </c>
      <c r="N2392" s="55" t="str">
        <f>IF(A2392="","",IFERROR(INDEX('Cluster Map'!$A$4:$A$38,MATCH(M2392,'Cluster Map'!$B$4:$B$38,0)),"Unmapped"))</f>
        <v/>
      </c>
      <c r="O2392" s="55">
        <f>IF(A2392="",0,IF(COUNTIFS($A$2:A2392,A2392,$F$2:F2392,F2392,$L$2:L2392,L2392)=1,1,0))</f>
        <v>0</v>
      </c>
      <c r="P2392" s="55">
        <f>IF(A2392="",0,IF(AND(F2392="C&amp;T",COUNTIFS($A$2:A2392,A2392,$F$2:F2392,"C&amp;T")=1),1,0))</f>
        <v>0</v>
      </c>
    </row>
    <row r="2393" spans="1:16" x14ac:dyDescent="0.35">
      <c r="A2393" s="54" t="str">
        <f>IFERROR(IF(INDEX(SPOT_Import!$A$1:$Z$2488,2393,'Live Data'!$C$12)="","",INDEX(SPOT_Import!$A$1:$Z$2488,2393,'Live Data'!$C$12)),"")</f>
        <v/>
      </c>
      <c r="B2393" s="54" t="str">
        <f>IFERROR(IF(INDEX(SPOT_Import!$A$1:$Z$2488,2393,'Live Data'!$C$13)="","",INDEX(SPOT_Import!$A$1:$Z$2488,2393,'Live Data'!$C$13)),"")</f>
        <v/>
      </c>
      <c r="C2393" s="54" t="str">
        <f>IFERROR(IF(INDEX(SPOT_Import!$A$1:$Z$2488,2393,'Live Data'!$C$14)="","",INDEX(SPOT_Import!$A$1:$Z$2488,2393,'Live Data'!$C$14)),"")</f>
        <v/>
      </c>
      <c r="D2393" s="54" t="str">
        <f>IFERROR(IF(INDEX(SPOT_Import!$A$1:$Z$2488,2393,'Live Data'!$C$15)="","",INDEX(SPOT_Import!$A$1:$Z$2488,2393,'Live Data'!$C$15)),"")</f>
        <v/>
      </c>
      <c r="E2393" s="54" t="str">
        <f>IFERROR(IF(INDEX(SPOT_Import!$A$1:$Z$2488,2393,'Live Data'!$C$16)="","",INDEX(SPOT_Import!$A$1:$Z$2488,2393,'Live Data'!$C$16)),"")</f>
        <v/>
      </c>
      <c r="F2393" s="54" t="str">
        <f>IFERROR(IF(INDEX(SPOT_Import!$A$1:$Z$2488,2393,'Live Data'!$C$17)="","",INDEX(SPOT_Import!$A$1:$Z$2488,2393,'Live Data'!$C$17)),"")</f>
        <v/>
      </c>
      <c r="G2393" s="54" t="str">
        <f>IFERROR(IF(INDEX(SPOT_Import!$A$1:$Z$2488,2393,'Live Data'!$C$18)="","",INDEX(SPOT_Import!$A$1:$Z$2488,2393,'Live Data'!$C$18)),"")</f>
        <v/>
      </c>
      <c r="H2393" s="54" t="str">
        <f>IFERROR(IF(INDEX(SPOT_Import!$A$1:$Z$2488,2393,'Live Data'!$C$19)="","",INDEX(SPOT_Import!$A$1:$Z$2488,2393,'Live Data'!$C$19)),"")</f>
        <v/>
      </c>
      <c r="I2393" s="54" t="str">
        <f>IFERROR(IF(INDEX(SPOT_Import!$A$1:$Z$2488,2393,'Live Data'!$C$20)="","",INDEX(SPOT_Import!$A$1:$Z$2488,2393,'Live Data'!$C$20)),"")</f>
        <v/>
      </c>
      <c r="J2393" s="54" t="str">
        <f>IFERROR(IF(INDEX(SPOT_Import!$A$1:$Z$2488,2393,'Live Data'!$C$21)="","",INDEX(SPOT_Import!$A$1:$Z$2488,2393,'Live Data'!$C$21)),"")</f>
        <v/>
      </c>
      <c r="K2393" s="54" t="str">
        <f>IFERROR(IF(INDEX(SPOT_Import!$A$1:$Z$2488,2393,'Live Data'!$C$22)="","",INDEX(SPOT_Import!$A$1:$Z$2488,2393,'Live Data'!$C$22)),"")</f>
        <v/>
      </c>
      <c r="L2393" s="55" t="str">
        <f t="shared" si="74"/>
        <v/>
      </c>
      <c r="M2393" s="55" t="str">
        <f t="shared" si="75"/>
        <v/>
      </c>
      <c r="N2393" s="55" t="str">
        <f>IF(A2393="","",IFERROR(INDEX('Cluster Map'!$A$4:$A$38,MATCH(M2393,'Cluster Map'!$B$4:$B$38,0)),"Unmapped"))</f>
        <v/>
      </c>
      <c r="O2393" s="55">
        <f>IF(A2393="",0,IF(COUNTIFS($A$2:A2393,A2393,$F$2:F2393,F2393,$L$2:L2393,L2393)=1,1,0))</f>
        <v>0</v>
      </c>
      <c r="P2393" s="55">
        <f>IF(A2393="",0,IF(AND(F2393="C&amp;T",COUNTIFS($A$2:A2393,A2393,$F$2:F2393,"C&amp;T")=1),1,0))</f>
        <v>0</v>
      </c>
    </row>
    <row r="2394" spans="1:16" x14ac:dyDescent="0.35">
      <c r="A2394" s="54" t="str">
        <f>IFERROR(IF(INDEX(SPOT_Import!$A$1:$Z$2488,2394,'Live Data'!$C$12)="","",INDEX(SPOT_Import!$A$1:$Z$2488,2394,'Live Data'!$C$12)),"")</f>
        <v/>
      </c>
      <c r="B2394" s="54" t="str">
        <f>IFERROR(IF(INDEX(SPOT_Import!$A$1:$Z$2488,2394,'Live Data'!$C$13)="","",INDEX(SPOT_Import!$A$1:$Z$2488,2394,'Live Data'!$C$13)),"")</f>
        <v/>
      </c>
      <c r="C2394" s="54" t="str">
        <f>IFERROR(IF(INDEX(SPOT_Import!$A$1:$Z$2488,2394,'Live Data'!$C$14)="","",INDEX(SPOT_Import!$A$1:$Z$2488,2394,'Live Data'!$C$14)),"")</f>
        <v/>
      </c>
      <c r="D2394" s="54" t="str">
        <f>IFERROR(IF(INDEX(SPOT_Import!$A$1:$Z$2488,2394,'Live Data'!$C$15)="","",INDEX(SPOT_Import!$A$1:$Z$2488,2394,'Live Data'!$C$15)),"")</f>
        <v/>
      </c>
      <c r="E2394" s="54" t="str">
        <f>IFERROR(IF(INDEX(SPOT_Import!$A$1:$Z$2488,2394,'Live Data'!$C$16)="","",INDEX(SPOT_Import!$A$1:$Z$2488,2394,'Live Data'!$C$16)),"")</f>
        <v/>
      </c>
      <c r="F2394" s="54" t="str">
        <f>IFERROR(IF(INDEX(SPOT_Import!$A$1:$Z$2488,2394,'Live Data'!$C$17)="","",INDEX(SPOT_Import!$A$1:$Z$2488,2394,'Live Data'!$C$17)),"")</f>
        <v/>
      </c>
      <c r="G2394" s="54" t="str">
        <f>IFERROR(IF(INDEX(SPOT_Import!$A$1:$Z$2488,2394,'Live Data'!$C$18)="","",INDEX(SPOT_Import!$A$1:$Z$2488,2394,'Live Data'!$C$18)),"")</f>
        <v/>
      </c>
      <c r="H2394" s="54" t="str">
        <f>IFERROR(IF(INDEX(SPOT_Import!$A$1:$Z$2488,2394,'Live Data'!$C$19)="","",INDEX(SPOT_Import!$A$1:$Z$2488,2394,'Live Data'!$C$19)),"")</f>
        <v/>
      </c>
      <c r="I2394" s="54" t="str">
        <f>IFERROR(IF(INDEX(SPOT_Import!$A$1:$Z$2488,2394,'Live Data'!$C$20)="","",INDEX(SPOT_Import!$A$1:$Z$2488,2394,'Live Data'!$C$20)),"")</f>
        <v/>
      </c>
      <c r="J2394" s="54" t="str">
        <f>IFERROR(IF(INDEX(SPOT_Import!$A$1:$Z$2488,2394,'Live Data'!$C$21)="","",INDEX(SPOT_Import!$A$1:$Z$2488,2394,'Live Data'!$C$21)),"")</f>
        <v/>
      </c>
      <c r="K2394" s="54" t="str">
        <f>IFERROR(IF(INDEX(SPOT_Import!$A$1:$Z$2488,2394,'Live Data'!$C$22)="","",INDEX(SPOT_Import!$A$1:$Z$2488,2394,'Live Data'!$C$22)),"")</f>
        <v/>
      </c>
      <c r="L2394" s="55" t="str">
        <f t="shared" si="74"/>
        <v/>
      </c>
      <c r="M2394" s="55" t="str">
        <f t="shared" si="75"/>
        <v/>
      </c>
      <c r="N2394" s="55" t="str">
        <f>IF(A2394="","",IFERROR(INDEX('Cluster Map'!$A$4:$A$38,MATCH(M2394,'Cluster Map'!$B$4:$B$38,0)),"Unmapped"))</f>
        <v/>
      </c>
      <c r="O2394" s="55">
        <f>IF(A2394="",0,IF(COUNTIFS($A$2:A2394,A2394,$F$2:F2394,F2394,$L$2:L2394,L2394)=1,1,0))</f>
        <v>0</v>
      </c>
      <c r="P2394" s="55">
        <f>IF(A2394="",0,IF(AND(F2394="C&amp;T",COUNTIFS($A$2:A2394,A2394,$F$2:F2394,"C&amp;T")=1),1,0))</f>
        <v>0</v>
      </c>
    </row>
    <row r="2395" spans="1:16" x14ac:dyDescent="0.35">
      <c r="A2395" s="54" t="str">
        <f>IFERROR(IF(INDEX(SPOT_Import!$A$1:$Z$2488,2395,'Live Data'!$C$12)="","",INDEX(SPOT_Import!$A$1:$Z$2488,2395,'Live Data'!$C$12)),"")</f>
        <v/>
      </c>
      <c r="B2395" s="54" t="str">
        <f>IFERROR(IF(INDEX(SPOT_Import!$A$1:$Z$2488,2395,'Live Data'!$C$13)="","",INDEX(SPOT_Import!$A$1:$Z$2488,2395,'Live Data'!$C$13)),"")</f>
        <v/>
      </c>
      <c r="C2395" s="54" t="str">
        <f>IFERROR(IF(INDEX(SPOT_Import!$A$1:$Z$2488,2395,'Live Data'!$C$14)="","",INDEX(SPOT_Import!$A$1:$Z$2488,2395,'Live Data'!$C$14)),"")</f>
        <v/>
      </c>
      <c r="D2395" s="54" t="str">
        <f>IFERROR(IF(INDEX(SPOT_Import!$A$1:$Z$2488,2395,'Live Data'!$C$15)="","",INDEX(SPOT_Import!$A$1:$Z$2488,2395,'Live Data'!$C$15)),"")</f>
        <v/>
      </c>
      <c r="E2395" s="54" t="str">
        <f>IFERROR(IF(INDEX(SPOT_Import!$A$1:$Z$2488,2395,'Live Data'!$C$16)="","",INDEX(SPOT_Import!$A$1:$Z$2488,2395,'Live Data'!$C$16)),"")</f>
        <v/>
      </c>
      <c r="F2395" s="54" t="str">
        <f>IFERROR(IF(INDEX(SPOT_Import!$A$1:$Z$2488,2395,'Live Data'!$C$17)="","",INDEX(SPOT_Import!$A$1:$Z$2488,2395,'Live Data'!$C$17)),"")</f>
        <v/>
      </c>
      <c r="G2395" s="54" t="str">
        <f>IFERROR(IF(INDEX(SPOT_Import!$A$1:$Z$2488,2395,'Live Data'!$C$18)="","",INDEX(SPOT_Import!$A$1:$Z$2488,2395,'Live Data'!$C$18)),"")</f>
        <v/>
      </c>
      <c r="H2395" s="54" t="str">
        <f>IFERROR(IF(INDEX(SPOT_Import!$A$1:$Z$2488,2395,'Live Data'!$C$19)="","",INDEX(SPOT_Import!$A$1:$Z$2488,2395,'Live Data'!$C$19)),"")</f>
        <v/>
      </c>
      <c r="I2395" s="54" t="str">
        <f>IFERROR(IF(INDEX(SPOT_Import!$A$1:$Z$2488,2395,'Live Data'!$C$20)="","",INDEX(SPOT_Import!$A$1:$Z$2488,2395,'Live Data'!$C$20)),"")</f>
        <v/>
      </c>
      <c r="J2395" s="54" t="str">
        <f>IFERROR(IF(INDEX(SPOT_Import!$A$1:$Z$2488,2395,'Live Data'!$C$21)="","",INDEX(SPOT_Import!$A$1:$Z$2488,2395,'Live Data'!$C$21)),"")</f>
        <v/>
      </c>
      <c r="K2395" s="54" t="str">
        <f>IFERROR(IF(INDEX(SPOT_Import!$A$1:$Z$2488,2395,'Live Data'!$C$22)="","",INDEX(SPOT_Import!$A$1:$Z$2488,2395,'Live Data'!$C$22)),"")</f>
        <v/>
      </c>
      <c r="L2395" s="55" t="str">
        <f t="shared" si="74"/>
        <v/>
      </c>
      <c r="M2395" s="55" t="str">
        <f t="shared" si="75"/>
        <v/>
      </c>
      <c r="N2395" s="55" t="str">
        <f>IF(A2395="","",IFERROR(INDEX('Cluster Map'!$A$4:$A$38,MATCH(M2395,'Cluster Map'!$B$4:$B$38,0)),"Unmapped"))</f>
        <v/>
      </c>
      <c r="O2395" s="55">
        <f>IF(A2395="",0,IF(COUNTIFS($A$2:A2395,A2395,$F$2:F2395,F2395,$L$2:L2395,L2395)=1,1,0))</f>
        <v>0</v>
      </c>
      <c r="P2395" s="55">
        <f>IF(A2395="",0,IF(AND(F2395="C&amp;T",COUNTIFS($A$2:A2395,A2395,$F$2:F2395,"C&amp;T")=1),1,0))</f>
        <v>0</v>
      </c>
    </row>
    <row r="2396" spans="1:16" x14ac:dyDescent="0.35">
      <c r="A2396" s="54" t="str">
        <f>IFERROR(IF(INDEX(SPOT_Import!$A$1:$Z$2488,2396,'Live Data'!$C$12)="","",INDEX(SPOT_Import!$A$1:$Z$2488,2396,'Live Data'!$C$12)),"")</f>
        <v/>
      </c>
      <c r="B2396" s="54" t="str">
        <f>IFERROR(IF(INDEX(SPOT_Import!$A$1:$Z$2488,2396,'Live Data'!$C$13)="","",INDEX(SPOT_Import!$A$1:$Z$2488,2396,'Live Data'!$C$13)),"")</f>
        <v/>
      </c>
      <c r="C2396" s="54" t="str">
        <f>IFERROR(IF(INDEX(SPOT_Import!$A$1:$Z$2488,2396,'Live Data'!$C$14)="","",INDEX(SPOT_Import!$A$1:$Z$2488,2396,'Live Data'!$C$14)),"")</f>
        <v/>
      </c>
      <c r="D2396" s="54" t="str">
        <f>IFERROR(IF(INDEX(SPOT_Import!$A$1:$Z$2488,2396,'Live Data'!$C$15)="","",INDEX(SPOT_Import!$A$1:$Z$2488,2396,'Live Data'!$C$15)),"")</f>
        <v/>
      </c>
      <c r="E2396" s="54" t="str">
        <f>IFERROR(IF(INDEX(SPOT_Import!$A$1:$Z$2488,2396,'Live Data'!$C$16)="","",INDEX(SPOT_Import!$A$1:$Z$2488,2396,'Live Data'!$C$16)),"")</f>
        <v/>
      </c>
      <c r="F2396" s="54" t="str">
        <f>IFERROR(IF(INDEX(SPOT_Import!$A$1:$Z$2488,2396,'Live Data'!$C$17)="","",INDEX(SPOT_Import!$A$1:$Z$2488,2396,'Live Data'!$C$17)),"")</f>
        <v/>
      </c>
      <c r="G2396" s="54" t="str">
        <f>IFERROR(IF(INDEX(SPOT_Import!$A$1:$Z$2488,2396,'Live Data'!$C$18)="","",INDEX(SPOT_Import!$A$1:$Z$2488,2396,'Live Data'!$C$18)),"")</f>
        <v/>
      </c>
      <c r="H2396" s="54" t="str">
        <f>IFERROR(IF(INDEX(SPOT_Import!$A$1:$Z$2488,2396,'Live Data'!$C$19)="","",INDEX(SPOT_Import!$A$1:$Z$2488,2396,'Live Data'!$C$19)),"")</f>
        <v/>
      </c>
      <c r="I2396" s="54" t="str">
        <f>IFERROR(IF(INDEX(SPOT_Import!$A$1:$Z$2488,2396,'Live Data'!$C$20)="","",INDEX(SPOT_Import!$A$1:$Z$2488,2396,'Live Data'!$C$20)),"")</f>
        <v/>
      </c>
      <c r="J2396" s="54" t="str">
        <f>IFERROR(IF(INDEX(SPOT_Import!$A$1:$Z$2488,2396,'Live Data'!$C$21)="","",INDEX(SPOT_Import!$A$1:$Z$2488,2396,'Live Data'!$C$21)),"")</f>
        <v/>
      </c>
      <c r="K2396" s="54" t="str">
        <f>IFERROR(IF(INDEX(SPOT_Import!$A$1:$Z$2488,2396,'Live Data'!$C$22)="","",INDEX(SPOT_Import!$A$1:$Z$2488,2396,'Live Data'!$C$22)),"")</f>
        <v/>
      </c>
      <c r="L2396" s="55" t="str">
        <f t="shared" si="74"/>
        <v/>
      </c>
      <c r="M2396" s="55" t="str">
        <f t="shared" si="75"/>
        <v/>
      </c>
      <c r="N2396" s="55" t="str">
        <f>IF(A2396="","",IFERROR(INDEX('Cluster Map'!$A$4:$A$38,MATCH(M2396,'Cluster Map'!$B$4:$B$38,0)),"Unmapped"))</f>
        <v/>
      </c>
      <c r="O2396" s="55">
        <f>IF(A2396="",0,IF(COUNTIFS($A$2:A2396,A2396,$F$2:F2396,F2396,$L$2:L2396,L2396)=1,1,0))</f>
        <v>0</v>
      </c>
      <c r="P2396" s="55">
        <f>IF(A2396="",0,IF(AND(F2396="C&amp;T",COUNTIFS($A$2:A2396,A2396,$F$2:F2396,"C&amp;T")=1),1,0))</f>
        <v>0</v>
      </c>
    </row>
    <row r="2397" spans="1:16" x14ac:dyDescent="0.35">
      <c r="A2397" s="54" t="str">
        <f>IFERROR(IF(INDEX(SPOT_Import!$A$1:$Z$2488,2397,'Live Data'!$C$12)="","",INDEX(SPOT_Import!$A$1:$Z$2488,2397,'Live Data'!$C$12)),"")</f>
        <v/>
      </c>
      <c r="B2397" s="54" t="str">
        <f>IFERROR(IF(INDEX(SPOT_Import!$A$1:$Z$2488,2397,'Live Data'!$C$13)="","",INDEX(SPOT_Import!$A$1:$Z$2488,2397,'Live Data'!$C$13)),"")</f>
        <v/>
      </c>
      <c r="C2397" s="54" t="str">
        <f>IFERROR(IF(INDEX(SPOT_Import!$A$1:$Z$2488,2397,'Live Data'!$C$14)="","",INDEX(SPOT_Import!$A$1:$Z$2488,2397,'Live Data'!$C$14)),"")</f>
        <v/>
      </c>
      <c r="D2397" s="54" t="str">
        <f>IFERROR(IF(INDEX(SPOT_Import!$A$1:$Z$2488,2397,'Live Data'!$C$15)="","",INDEX(SPOT_Import!$A$1:$Z$2488,2397,'Live Data'!$C$15)),"")</f>
        <v/>
      </c>
      <c r="E2397" s="54" t="str">
        <f>IFERROR(IF(INDEX(SPOT_Import!$A$1:$Z$2488,2397,'Live Data'!$C$16)="","",INDEX(SPOT_Import!$A$1:$Z$2488,2397,'Live Data'!$C$16)),"")</f>
        <v/>
      </c>
      <c r="F2397" s="54" t="str">
        <f>IFERROR(IF(INDEX(SPOT_Import!$A$1:$Z$2488,2397,'Live Data'!$C$17)="","",INDEX(SPOT_Import!$A$1:$Z$2488,2397,'Live Data'!$C$17)),"")</f>
        <v/>
      </c>
      <c r="G2397" s="54" t="str">
        <f>IFERROR(IF(INDEX(SPOT_Import!$A$1:$Z$2488,2397,'Live Data'!$C$18)="","",INDEX(SPOT_Import!$A$1:$Z$2488,2397,'Live Data'!$C$18)),"")</f>
        <v/>
      </c>
      <c r="H2397" s="54" t="str">
        <f>IFERROR(IF(INDEX(SPOT_Import!$A$1:$Z$2488,2397,'Live Data'!$C$19)="","",INDEX(SPOT_Import!$A$1:$Z$2488,2397,'Live Data'!$C$19)),"")</f>
        <v/>
      </c>
      <c r="I2397" s="54" t="str">
        <f>IFERROR(IF(INDEX(SPOT_Import!$A$1:$Z$2488,2397,'Live Data'!$C$20)="","",INDEX(SPOT_Import!$A$1:$Z$2488,2397,'Live Data'!$C$20)),"")</f>
        <v/>
      </c>
      <c r="J2397" s="54" t="str">
        <f>IFERROR(IF(INDEX(SPOT_Import!$A$1:$Z$2488,2397,'Live Data'!$C$21)="","",INDEX(SPOT_Import!$A$1:$Z$2488,2397,'Live Data'!$C$21)),"")</f>
        <v/>
      </c>
      <c r="K2397" s="54" t="str">
        <f>IFERROR(IF(INDEX(SPOT_Import!$A$1:$Z$2488,2397,'Live Data'!$C$22)="","",INDEX(SPOT_Import!$A$1:$Z$2488,2397,'Live Data'!$C$22)),"")</f>
        <v/>
      </c>
      <c r="L2397" s="55" t="str">
        <f t="shared" si="74"/>
        <v/>
      </c>
      <c r="M2397" s="55" t="str">
        <f t="shared" si="75"/>
        <v/>
      </c>
      <c r="N2397" s="55" t="str">
        <f>IF(A2397="","",IFERROR(INDEX('Cluster Map'!$A$4:$A$38,MATCH(M2397,'Cluster Map'!$B$4:$B$38,0)),"Unmapped"))</f>
        <v/>
      </c>
      <c r="O2397" s="55">
        <f>IF(A2397="",0,IF(COUNTIFS($A$2:A2397,A2397,$F$2:F2397,F2397,$L$2:L2397,L2397)=1,1,0))</f>
        <v>0</v>
      </c>
      <c r="P2397" s="55">
        <f>IF(A2397="",0,IF(AND(F2397="C&amp;T",COUNTIFS($A$2:A2397,A2397,$F$2:F2397,"C&amp;T")=1),1,0))</f>
        <v>0</v>
      </c>
    </row>
    <row r="2398" spans="1:16" x14ac:dyDescent="0.35">
      <c r="A2398" s="54" t="str">
        <f>IFERROR(IF(INDEX(SPOT_Import!$A$1:$Z$2488,2398,'Live Data'!$C$12)="","",INDEX(SPOT_Import!$A$1:$Z$2488,2398,'Live Data'!$C$12)),"")</f>
        <v/>
      </c>
      <c r="B2398" s="54" t="str">
        <f>IFERROR(IF(INDEX(SPOT_Import!$A$1:$Z$2488,2398,'Live Data'!$C$13)="","",INDEX(SPOT_Import!$A$1:$Z$2488,2398,'Live Data'!$C$13)),"")</f>
        <v/>
      </c>
      <c r="C2398" s="54" t="str">
        <f>IFERROR(IF(INDEX(SPOT_Import!$A$1:$Z$2488,2398,'Live Data'!$C$14)="","",INDEX(SPOT_Import!$A$1:$Z$2488,2398,'Live Data'!$C$14)),"")</f>
        <v/>
      </c>
      <c r="D2398" s="54" t="str">
        <f>IFERROR(IF(INDEX(SPOT_Import!$A$1:$Z$2488,2398,'Live Data'!$C$15)="","",INDEX(SPOT_Import!$A$1:$Z$2488,2398,'Live Data'!$C$15)),"")</f>
        <v/>
      </c>
      <c r="E2398" s="54" t="str">
        <f>IFERROR(IF(INDEX(SPOT_Import!$A$1:$Z$2488,2398,'Live Data'!$C$16)="","",INDEX(SPOT_Import!$A$1:$Z$2488,2398,'Live Data'!$C$16)),"")</f>
        <v/>
      </c>
      <c r="F2398" s="54" t="str">
        <f>IFERROR(IF(INDEX(SPOT_Import!$A$1:$Z$2488,2398,'Live Data'!$C$17)="","",INDEX(SPOT_Import!$A$1:$Z$2488,2398,'Live Data'!$C$17)),"")</f>
        <v/>
      </c>
      <c r="G2398" s="54" t="str">
        <f>IFERROR(IF(INDEX(SPOT_Import!$A$1:$Z$2488,2398,'Live Data'!$C$18)="","",INDEX(SPOT_Import!$A$1:$Z$2488,2398,'Live Data'!$C$18)),"")</f>
        <v/>
      </c>
      <c r="H2398" s="54" t="str">
        <f>IFERROR(IF(INDEX(SPOT_Import!$A$1:$Z$2488,2398,'Live Data'!$C$19)="","",INDEX(SPOT_Import!$A$1:$Z$2488,2398,'Live Data'!$C$19)),"")</f>
        <v/>
      </c>
      <c r="I2398" s="54" t="str">
        <f>IFERROR(IF(INDEX(SPOT_Import!$A$1:$Z$2488,2398,'Live Data'!$C$20)="","",INDEX(SPOT_Import!$A$1:$Z$2488,2398,'Live Data'!$C$20)),"")</f>
        <v/>
      </c>
      <c r="J2398" s="54" t="str">
        <f>IFERROR(IF(INDEX(SPOT_Import!$A$1:$Z$2488,2398,'Live Data'!$C$21)="","",INDEX(SPOT_Import!$A$1:$Z$2488,2398,'Live Data'!$C$21)),"")</f>
        <v/>
      </c>
      <c r="K2398" s="54" t="str">
        <f>IFERROR(IF(INDEX(SPOT_Import!$A$1:$Z$2488,2398,'Live Data'!$C$22)="","",INDEX(SPOT_Import!$A$1:$Z$2488,2398,'Live Data'!$C$22)),"")</f>
        <v/>
      </c>
      <c r="L2398" s="55" t="str">
        <f t="shared" si="74"/>
        <v/>
      </c>
      <c r="M2398" s="55" t="str">
        <f t="shared" si="75"/>
        <v/>
      </c>
      <c r="N2398" s="55" t="str">
        <f>IF(A2398="","",IFERROR(INDEX('Cluster Map'!$A$4:$A$38,MATCH(M2398,'Cluster Map'!$B$4:$B$38,0)),"Unmapped"))</f>
        <v/>
      </c>
      <c r="O2398" s="55">
        <f>IF(A2398="",0,IF(COUNTIFS($A$2:A2398,A2398,$F$2:F2398,F2398,$L$2:L2398,L2398)=1,1,0))</f>
        <v>0</v>
      </c>
      <c r="P2398" s="55">
        <f>IF(A2398="",0,IF(AND(F2398="C&amp;T",COUNTIFS($A$2:A2398,A2398,$F$2:F2398,"C&amp;T")=1),1,0))</f>
        <v>0</v>
      </c>
    </row>
    <row r="2399" spans="1:16" x14ac:dyDescent="0.35">
      <c r="A2399" s="54" t="str">
        <f>IFERROR(IF(INDEX(SPOT_Import!$A$1:$Z$2488,2399,'Live Data'!$C$12)="","",INDEX(SPOT_Import!$A$1:$Z$2488,2399,'Live Data'!$C$12)),"")</f>
        <v/>
      </c>
      <c r="B2399" s="54" t="str">
        <f>IFERROR(IF(INDEX(SPOT_Import!$A$1:$Z$2488,2399,'Live Data'!$C$13)="","",INDEX(SPOT_Import!$A$1:$Z$2488,2399,'Live Data'!$C$13)),"")</f>
        <v/>
      </c>
      <c r="C2399" s="54" t="str">
        <f>IFERROR(IF(INDEX(SPOT_Import!$A$1:$Z$2488,2399,'Live Data'!$C$14)="","",INDEX(SPOT_Import!$A$1:$Z$2488,2399,'Live Data'!$C$14)),"")</f>
        <v/>
      </c>
      <c r="D2399" s="54" t="str">
        <f>IFERROR(IF(INDEX(SPOT_Import!$A$1:$Z$2488,2399,'Live Data'!$C$15)="","",INDEX(SPOT_Import!$A$1:$Z$2488,2399,'Live Data'!$C$15)),"")</f>
        <v/>
      </c>
      <c r="E2399" s="54" t="str">
        <f>IFERROR(IF(INDEX(SPOT_Import!$A$1:$Z$2488,2399,'Live Data'!$C$16)="","",INDEX(SPOT_Import!$A$1:$Z$2488,2399,'Live Data'!$C$16)),"")</f>
        <v/>
      </c>
      <c r="F2399" s="54" t="str">
        <f>IFERROR(IF(INDEX(SPOT_Import!$A$1:$Z$2488,2399,'Live Data'!$C$17)="","",INDEX(SPOT_Import!$A$1:$Z$2488,2399,'Live Data'!$C$17)),"")</f>
        <v/>
      </c>
      <c r="G2399" s="54" t="str">
        <f>IFERROR(IF(INDEX(SPOT_Import!$A$1:$Z$2488,2399,'Live Data'!$C$18)="","",INDEX(SPOT_Import!$A$1:$Z$2488,2399,'Live Data'!$C$18)),"")</f>
        <v/>
      </c>
      <c r="H2399" s="54" t="str">
        <f>IFERROR(IF(INDEX(SPOT_Import!$A$1:$Z$2488,2399,'Live Data'!$C$19)="","",INDEX(SPOT_Import!$A$1:$Z$2488,2399,'Live Data'!$C$19)),"")</f>
        <v/>
      </c>
      <c r="I2399" s="54" t="str">
        <f>IFERROR(IF(INDEX(SPOT_Import!$A$1:$Z$2488,2399,'Live Data'!$C$20)="","",INDEX(SPOT_Import!$A$1:$Z$2488,2399,'Live Data'!$C$20)),"")</f>
        <v/>
      </c>
      <c r="J2399" s="54" t="str">
        <f>IFERROR(IF(INDEX(SPOT_Import!$A$1:$Z$2488,2399,'Live Data'!$C$21)="","",INDEX(SPOT_Import!$A$1:$Z$2488,2399,'Live Data'!$C$21)),"")</f>
        <v/>
      </c>
      <c r="K2399" s="54" t="str">
        <f>IFERROR(IF(INDEX(SPOT_Import!$A$1:$Z$2488,2399,'Live Data'!$C$22)="","",INDEX(SPOT_Import!$A$1:$Z$2488,2399,'Live Data'!$C$22)),"")</f>
        <v/>
      </c>
      <c r="L2399" s="55" t="str">
        <f t="shared" si="74"/>
        <v/>
      </c>
      <c r="M2399" s="55" t="str">
        <f t="shared" si="75"/>
        <v/>
      </c>
      <c r="N2399" s="55" t="str">
        <f>IF(A2399="","",IFERROR(INDEX('Cluster Map'!$A$4:$A$38,MATCH(M2399,'Cluster Map'!$B$4:$B$38,0)),"Unmapped"))</f>
        <v/>
      </c>
      <c r="O2399" s="55">
        <f>IF(A2399="",0,IF(COUNTIFS($A$2:A2399,A2399,$F$2:F2399,F2399,$L$2:L2399,L2399)=1,1,0))</f>
        <v>0</v>
      </c>
      <c r="P2399" s="55">
        <f>IF(A2399="",0,IF(AND(F2399="C&amp;T",COUNTIFS($A$2:A2399,A2399,$F$2:F2399,"C&amp;T")=1),1,0))</f>
        <v>0</v>
      </c>
    </row>
    <row r="2400" spans="1:16" x14ac:dyDescent="0.35">
      <c r="A2400" s="54" t="str">
        <f>IFERROR(IF(INDEX(SPOT_Import!$A$1:$Z$2488,2400,'Live Data'!$C$12)="","",INDEX(SPOT_Import!$A$1:$Z$2488,2400,'Live Data'!$C$12)),"")</f>
        <v/>
      </c>
      <c r="B2400" s="54" t="str">
        <f>IFERROR(IF(INDEX(SPOT_Import!$A$1:$Z$2488,2400,'Live Data'!$C$13)="","",INDEX(SPOT_Import!$A$1:$Z$2488,2400,'Live Data'!$C$13)),"")</f>
        <v/>
      </c>
      <c r="C2400" s="54" t="str">
        <f>IFERROR(IF(INDEX(SPOT_Import!$A$1:$Z$2488,2400,'Live Data'!$C$14)="","",INDEX(SPOT_Import!$A$1:$Z$2488,2400,'Live Data'!$C$14)),"")</f>
        <v/>
      </c>
      <c r="D2400" s="54" t="str">
        <f>IFERROR(IF(INDEX(SPOT_Import!$A$1:$Z$2488,2400,'Live Data'!$C$15)="","",INDEX(SPOT_Import!$A$1:$Z$2488,2400,'Live Data'!$C$15)),"")</f>
        <v/>
      </c>
      <c r="E2400" s="54" t="str">
        <f>IFERROR(IF(INDEX(SPOT_Import!$A$1:$Z$2488,2400,'Live Data'!$C$16)="","",INDEX(SPOT_Import!$A$1:$Z$2488,2400,'Live Data'!$C$16)),"")</f>
        <v/>
      </c>
      <c r="F2400" s="54" t="str">
        <f>IFERROR(IF(INDEX(SPOT_Import!$A$1:$Z$2488,2400,'Live Data'!$C$17)="","",INDEX(SPOT_Import!$A$1:$Z$2488,2400,'Live Data'!$C$17)),"")</f>
        <v/>
      </c>
      <c r="G2400" s="54" t="str">
        <f>IFERROR(IF(INDEX(SPOT_Import!$A$1:$Z$2488,2400,'Live Data'!$C$18)="","",INDEX(SPOT_Import!$A$1:$Z$2488,2400,'Live Data'!$C$18)),"")</f>
        <v/>
      </c>
      <c r="H2400" s="54" t="str">
        <f>IFERROR(IF(INDEX(SPOT_Import!$A$1:$Z$2488,2400,'Live Data'!$C$19)="","",INDEX(SPOT_Import!$A$1:$Z$2488,2400,'Live Data'!$C$19)),"")</f>
        <v/>
      </c>
      <c r="I2400" s="54" t="str">
        <f>IFERROR(IF(INDEX(SPOT_Import!$A$1:$Z$2488,2400,'Live Data'!$C$20)="","",INDEX(SPOT_Import!$A$1:$Z$2488,2400,'Live Data'!$C$20)),"")</f>
        <v/>
      </c>
      <c r="J2400" s="54" t="str">
        <f>IFERROR(IF(INDEX(SPOT_Import!$A$1:$Z$2488,2400,'Live Data'!$C$21)="","",INDEX(SPOT_Import!$A$1:$Z$2488,2400,'Live Data'!$C$21)),"")</f>
        <v/>
      </c>
      <c r="K2400" s="54" t="str">
        <f>IFERROR(IF(INDEX(SPOT_Import!$A$1:$Z$2488,2400,'Live Data'!$C$22)="","",INDEX(SPOT_Import!$A$1:$Z$2488,2400,'Live Data'!$C$22)),"")</f>
        <v/>
      </c>
      <c r="L2400" s="55" t="str">
        <f t="shared" si="74"/>
        <v/>
      </c>
      <c r="M2400" s="55" t="str">
        <f t="shared" si="75"/>
        <v/>
      </c>
      <c r="N2400" s="55" t="str">
        <f>IF(A2400="","",IFERROR(INDEX('Cluster Map'!$A$4:$A$38,MATCH(M2400,'Cluster Map'!$B$4:$B$38,0)),"Unmapped"))</f>
        <v/>
      </c>
      <c r="O2400" s="55">
        <f>IF(A2400="",0,IF(COUNTIFS($A$2:A2400,A2400,$F$2:F2400,F2400,$L$2:L2400,L2400)=1,1,0))</f>
        <v>0</v>
      </c>
      <c r="P2400" s="55">
        <f>IF(A2400="",0,IF(AND(F2400="C&amp;T",COUNTIFS($A$2:A2400,A2400,$F$2:F2400,"C&amp;T")=1),1,0))</f>
        <v>0</v>
      </c>
    </row>
    <row r="2401" spans="1:16" x14ac:dyDescent="0.35">
      <c r="A2401" s="54" t="str">
        <f>IFERROR(IF(INDEX(SPOT_Import!$A$1:$Z$2488,2401,'Live Data'!$C$12)="","",INDEX(SPOT_Import!$A$1:$Z$2488,2401,'Live Data'!$C$12)),"")</f>
        <v/>
      </c>
      <c r="B2401" s="54" t="str">
        <f>IFERROR(IF(INDEX(SPOT_Import!$A$1:$Z$2488,2401,'Live Data'!$C$13)="","",INDEX(SPOT_Import!$A$1:$Z$2488,2401,'Live Data'!$C$13)),"")</f>
        <v/>
      </c>
      <c r="C2401" s="54" t="str">
        <f>IFERROR(IF(INDEX(SPOT_Import!$A$1:$Z$2488,2401,'Live Data'!$C$14)="","",INDEX(SPOT_Import!$A$1:$Z$2488,2401,'Live Data'!$C$14)),"")</f>
        <v/>
      </c>
      <c r="D2401" s="54" t="str">
        <f>IFERROR(IF(INDEX(SPOT_Import!$A$1:$Z$2488,2401,'Live Data'!$C$15)="","",INDEX(SPOT_Import!$A$1:$Z$2488,2401,'Live Data'!$C$15)),"")</f>
        <v/>
      </c>
      <c r="E2401" s="54" t="str">
        <f>IFERROR(IF(INDEX(SPOT_Import!$A$1:$Z$2488,2401,'Live Data'!$C$16)="","",INDEX(SPOT_Import!$A$1:$Z$2488,2401,'Live Data'!$C$16)),"")</f>
        <v/>
      </c>
      <c r="F2401" s="54" t="str">
        <f>IFERROR(IF(INDEX(SPOT_Import!$A$1:$Z$2488,2401,'Live Data'!$C$17)="","",INDEX(SPOT_Import!$A$1:$Z$2488,2401,'Live Data'!$C$17)),"")</f>
        <v/>
      </c>
      <c r="G2401" s="54" t="str">
        <f>IFERROR(IF(INDEX(SPOT_Import!$A$1:$Z$2488,2401,'Live Data'!$C$18)="","",INDEX(SPOT_Import!$A$1:$Z$2488,2401,'Live Data'!$C$18)),"")</f>
        <v/>
      </c>
      <c r="H2401" s="54" t="str">
        <f>IFERROR(IF(INDEX(SPOT_Import!$A$1:$Z$2488,2401,'Live Data'!$C$19)="","",INDEX(SPOT_Import!$A$1:$Z$2488,2401,'Live Data'!$C$19)),"")</f>
        <v/>
      </c>
      <c r="I2401" s="54" t="str">
        <f>IFERROR(IF(INDEX(SPOT_Import!$A$1:$Z$2488,2401,'Live Data'!$C$20)="","",INDEX(SPOT_Import!$A$1:$Z$2488,2401,'Live Data'!$C$20)),"")</f>
        <v/>
      </c>
      <c r="J2401" s="54" t="str">
        <f>IFERROR(IF(INDEX(SPOT_Import!$A$1:$Z$2488,2401,'Live Data'!$C$21)="","",INDEX(SPOT_Import!$A$1:$Z$2488,2401,'Live Data'!$C$21)),"")</f>
        <v/>
      </c>
      <c r="K2401" s="54" t="str">
        <f>IFERROR(IF(INDEX(SPOT_Import!$A$1:$Z$2488,2401,'Live Data'!$C$22)="","",INDEX(SPOT_Import!$A$1:$Z$2488,2401,'Live Data'!$C$22)),"")</f>
        <v/>
      </c>
      <c r="L2401" s="55" t="str">
        <f t="shared" si="74"/>
        <v/>
      </c>
      <c r="M2401" s="55" t="str">
        <f t="shared" si="75"/>
        <v/>
      </c>
      <c r="N2401" s="55" t="str">
        <f>IF(A2401="","",IFERROR(INDEX('Cluster Map'!$A$4:$A$38,MATCH(M2401,'Cluster Map'!$B$4:$B$38,0)),"Unmapped"))</f>
        <v/>
      </c>
      <c r="O2401" s="55">
        <f>IF(A2401="",0,IF(COUNTIFS($A$2:A2401,A2401,$F$2:F2401,F2401,$L$2:L2401,L2401)=1,1,0))</f>
        <v>0</v>
      </c>
      <c r="P2401" s="55">
        <f>IF(A2401="",0,IF(AND(F2401="C&amp;T",COUNTIFS($A$2:A2401,A2401,$F$2:F2401,"C&amp;T")=1),1,0))</f>
        <v>0</v>
      </c>
    </row>
    <row r="2402" spans="1:16" x14ac:dyDescent="0.35">
      <c r="A2402" s="54" t="str">
        <f>IFERROR(IF(INDEX(SPOT_Import!$A$1:$Z$2488,2402,'Live Data'!$C$12)="","",INDEX(SPOT_Import!$A$1:$Z$2488,2402,'Live Data'!$C$12)),"")</f>
        <v/>
      </c>
      <c r="B2402" s="54" t="str">
        <f>IFERROR(IF(INDEX(SPOT_Import!$A$1:$Z$2488,2402,'Live Data'!$C$13)="","",INDEX(SPOT_Import!$A$1:$Z$2488,2402,'Live Data'!$C$13)),"")</f>
        <v/>
      </c>
      <c r="C2402" s="54" t="str">
        <f>IFERROR(IF(INDEX(SPOT_Import!$A$1:$Z$2488,2402,'Live Data'!$C$14)="","",INDEX(SPOT_Import!$A$1:$Z$2488,2402,'Live Data'!$C$14)),"")</f>
        <v/>
      </c>
      <c r="D2402" s="54" t="str">
        <f>IFERROR(IF(INDEX(SPOT_Import!$A$1:$Z$2488,2402,'Live Data'!$C$15)="","",INDEX(SPOT_Import!$A$1:$Z$2488,2402,'Live Data'!$C$15)),"")</f>
        <v/>
      </c>
      <c r="E2402" s="54" t="str">
        <f>IFERROR(IF(INDEX(SPOT_Import!$A$1:$Z$2488,2402,'Live Data'!$C$16)="","",INDEX(SPOT_Import!$A$1:$Z$2488,2402,'Live Data'!$C$16)),"")</f>
        <v/>
      </c>
      <c r="F2402" s="54" t="str">
        <f>IFERROR(IF(INDEX(SPOT_Import!$A$1:$Z$2488,2402,'Live Data'!$C$17)="","",INDEX(SPOT_Import!$A$1:$Z$2488,2402,'Live Data'!$C$17)),"")</f>
        <v/>
      </c>
      <c r="G2402" s="54" t="str">
        <f>IFERROR(IF(INDEX(SPOT_Import!$A$1:$Z$2488,2402,'Live Data'!$C$18)="","",INDEX(SPOT_Import!$A$1:$Z$2488,2402,'Live Data'!$C$18)),"")</f>
        <v/>
      </c>
      <c r="H2402" s="54" t="str">
        <f>IFERROR(IF(INDEX(SPOT_Import!$A$1:$Z$2488,2402,'Live Data'!$C$19)="","",INDEX(SPOT_Import!$A$1:$Z$2488,2402,'Live Data'!$C$19)),"")</f>
        <v/>
      </c>
      <c r="I2402" s="54" t="str">
        <f>IFERROR(IF(INDEX(SPOT_Import!$A$1:$Z$2488,2402,'Live Data'!$C$20)="","",INDEX(SPOT_Import!$A$1:$Z$2488,2402,'Live Data'!$C$20)),"")</f>
        <v/>
      </c>
      <c r="J2402" s="54" t="str">
        <f>IFERROR(IF(INDEX(SPOT_Import!$A$1:$Z$2488,2402,'Live Data'!$C$21)="","",INDEX(SPOT_Import!$A$1:$Z$2488,2402,'Live Data'!$C$21)),"")</f>
        <v/>
      </c>
      <c r="K2402" s="54" t="str">
        <f>IFERROR(IF(INDEX(SPOT_Import!$A$1:$Z$2488,2402,'Live Data'!$C$22)="","",INDEX(SPOT_Import!$A$1:$Z$2488,2402,'Live Data'!$C$22)),"")</f>
        <v/>
      </c>
      <c r="L2402" s="55" t="str">
        <f t="shared" si="74"/>
        <v/>
      </c>
      <c r="M2402" s="55" t="str">
        <f t="shared" si="75"/>
        <v/>
      </c>
      <c r="N2402" s="55" t="str">
        <f>IF(A2402="","",IFERROR(INDEX('Cluster Map'!$A$4:$A$38,MATCH(M2402,'Cluster Map'!$B$4:$B$38,0)),"Unmapped"))</f>
        <v/>
      </c>
      <c r="O2402" s="55">
        <f>IF(A2402="",0,IF(COUNTIFS($A$2:A2402,A2402,$F$2:F2402,F2402,$L$2:L2402,L2402)=1,1,0))</f>
        <v>0</v>
      </c>
      <c r="P2402" s="55">
        <f>IF(A2402="",0,IF(AND(F2402="C&amp;T",COUNTIFS($A$2:A2402,A2402,$F$2:F2402,"C&amp;T")=1),1,0))</f>
        <v>0</v>
      </c>
    </row>
    <row r="2403" spans="1:16" x14ac:dyDescent="0.35">
      <c r="A2403" s="54" t="str">
        <f>IFERROR(IF(INDEX(SPOT_Import!$A$1:$Z$2488,2403,'Live Data'!$C$12)="","",INDEX(SPOT_Import!$A$1:$Z$2488,2403,'Live Data'!$C$12)),"")</f>
        <v/>
      </c>
      <c r="B2403" s="54" t="str">
        <f>IFERROR(IF(INDEX(SPOT_Import!$A$1:$Z$2488,2403,'Live Data'!$C$13)="","",INDEX(SPOT_Import!$A$1:$Z$2488,2403,'Live Data'!$C$13)),"")</f>
        <v/>
      </c>
      <c r="C2403" s="54" t="str">
        <f>IFERROR(IF(INDEX(SPOT_Import!$A$1:$Z$2488,2403,'Live Data'!$C$14)="","",INDEX(SPOT_Import!$A$1:$Z$2488,2403,'Live Data'!$C$14)),"")</f>
        <v/>
      </c>
      <c r="D2403" s="54" t="str">
        <f>IFERROR(IF(INDEX(SPOT_Import!$A$1:$Z$2488,2403,'Live Data'!$C$15)="","",INDEX(SPOT_Import!$A$1:$Z$2488,2403,'Live Data'!$C$15)),"")</f>
        <v/>
      </c>
      <c r="E2403" s="54" t="str">
        <f>IFERROR(IF(INDEX(SPOT_Import!$A$1:$Z$2488,2403,'Live Data'!$C$16)="","",INDEX(SPOT_Import!$A$1:$Z$2488,2403,'Live Data'!$C$16)),"")</f>
        <v/>
      </c>
      <c r="F2403" s="54" t="str">
        <f>IFERROR(IF(INDEX(SPOT_Import!$A$1:$Z$2488,2403,'Live Data'!$C$17)="","",INDEX(SPOT_Import!$A$1:$Z$2488,2403,'Live Data'!$C$17)),"")</f>
        <v/>
      </c>
      <c r="G2403" s="54" t="str">
        <f>IFERROR(IF(INDEX(SPOT_Import!$A$1:$Z$2488,2403,'Live Data'!$C$18)="","",INDEX(SPOT_Import!$A$1:$Z$2488,2403,'Live Data'!$C$18)),"")</f>
        <v/>
      </c>
      <c r="H2403" s="54" t="str">
        <f>IFERROR(IF(INDEX(SPOT_Import!$A$1:$Z$2488,2403,'Live Data'!$C$19)="","",INDEX(SPOT_Import!$A$1:$Z$2488,2403,'Live Data'!$C$19)),"")</f>
        <v/>
      </c>
      <c r="I2403" s="54" t="str">
        <f>IFERROR(IF(INDEX(SPOT_Import!$A$1:$Z$2488,2403,'Live Data'!$C$20)="","",INDEX(SPOT_Import!$A$1:$Z$2488,2403,'Live Data'!$C$20)),"")</f>
        <v/>
      </c>
      <c r="J2403" s="54" t="str">
        <f>IFERROR(IF(INDEX(SPOT_Import!$A$1:$Z$2488,2403,'Live Data'!$C$21)="","",INDEX(SPOT_Import!$A$1:$Z$2488,2403,'Live Data'!$C$21)),"")</f>
        <v/>
      </c>
      <c r="K2403" s="54" t="str">
        <f>IFERROR(IF(INDEX(SPOT_Import!$A$1:$Z$2488,2403,'Live Data'!$C$22)="","",INDEX(SPOT_Import!$A$1:$Z$2488,2403,'Live Data'!$C$22)),"")</f>
        <v/>
      </c>
      <c r="L2403" s="55" t="str">
        <f t="shared" si="74"/>
        <v/>
      </c>
      <c r="M2403" s="55" t="str">
        <f t="shared" si="75"/>
        <v/>
      </c>
      <c r="N2403" s="55" t="str">
        <f>IF(A2403="","",IFERROR(INDEX('Cluster Map'!$A$4:$A$38,MATCH(M2403,'Cluster Map'!$B$4:$B$38,0)),"Unmapped"))</f>
        <v/>
      </c>
      <c r="O2403" s="55">
        <f>IF(A2403="",0,IF(COUNTIFS($A$2:A2403,A2403,$F$2:F2403,F2403,$L$2:L2403,L2403)=1,1,0))</f>
        <v>0</v>
      </c>
      <c r="P2403" s="55">
        <f>IF(A2403="",0,IF(AND(F2403="C&amp;T",COUNTIFS($A$2:A2403,A2403,$F$2:F2403,"C&amp;T")=1),1,0))</f>
        <v>0</v>
      </c>
    </row>
    <row r="2404" spans="1:16" x14ac:dyDescent="0.35">
      <c r="A2404" s="54" t="str">
        <f>IFERROR(IF(INDEX(SPOT_Import!$A$1:$Z$2488,2404,'Live Data'!$C$12)="","",INDEX(SPOT_Import!$A$1:$Z$2488,2404,'Live Data'!$C$12)),"")</f>
        <v/>
      </c>
      <c r="B2404" s="54" t="str">
        <f>IFERROR(IF(INDEX(SPOT_Import!$A$1:$Z$2488,2404,'Live Data'!$C$13)="","",INDEX(SPOT_Import!$A$1:$Z$2488,2404,'Live Data'!$C$13)),"")</f>
        <v/>
      </c>
      <c r="C2404" s="54" t="str">
        <f>IFERROR(IF(INDEX(SPOT_Import!$A$1:$Z$2488,2404,'Live Data'!$C$14)="","",INDEX(SPOT_Import!$A$1:$Z$2488,2404,'Live Data'!$C$14)),"")</f>
        <v/>
      </c>
      <c r="D2404" s="54" t="str">
        <f>IFERROR(IF(INDEX(SPOT_Import!$A$1:$Z$2488,2404,'Live Data'!$C$15)="","",INDEX(SPOT_Import!$A$1:$Z$2488,2404,'Live Data'!$C$15)),"")</f>
        <v/>
      </c>
      <c r="E2404" s="54" t="str">
        <f>IFERROR(IF(INDEX(SPOT_Import!$A$1:$Z$2488,2404,'Live Data'!$C$16)="","",INDEX(SPOT_Import!$A$1:$Z$2488,2404,'Live Data'!$C$16)),"")</f>
        <v/>
      </c>
      <c r="F2404" s="54" t="str">
        <f>IFERROR(IF(INDEX(SPOT_Import!$A$1:$Z$2488,2404,'Live Data'!$C$17)="","",INDEX(SPOT_Import!$A$1:$Z$2488,2404,'Live Data'!$C$17)),"")</f>
        <v/>
      </c>
      <c r="G2404" s="54" t="str">
        <f>IFERROR(IF(INDEX(SPOT_Import!$A$1:$Z$2488,2404,'Live Data'!$C$18)="","",INDEX(SPOT_Import!$A$1:$Z$2488,2404,'Live Data'!$C$18)),"")</f>
        <v/>
      </c>
      <c r="H2404" s="54" t="str">
        <f>IFERROR(IF(INDEX(SPOT_Import!$A$1:$Z$2488,2404,'Live Data'!$C$19)="","",INDEX(SPOT_Import!$A$1:$Z$2488,2404,'Live Data'!$C$19)),"")</f>
        <v/>
      </c>
      <c r="I2404" s="54" t="str">
        <f>IFERROR(IF(INDEX(SPOT_Import!$A$1:$Z$2488,2404,'Live Data'!$C$20)="","",INDEX(SPOT_Import!$A$1:$Z$2488,2404,'Live Data'!$C$20)),"")</f>
        <v/>
      </c>
      <c r="J2404" s="54" t="str">
        <f>IFERROR(IF(INDEX(SPOT_Import!$A$1:$Z$2488,2404,'Live Data'!$C$21)="","",INDEX(SPOT_Import!$A$1:$Z$2488,2404,'Live Data'!$C$21)),"")</f>
        <v/>
      </c>
      <c r="K2404" s="54" t="str">
        <f>IFERROR(IF(INDEX(SPOT_Import!$A$1:$Z$2488,2404,'Live Data'!$C$22)="","",INDEX(SPOT_Import!$A$1:$Z$2488,2404,'Live Data'!$C$22)),"")</f>
        <v/>
      </c>
      <c r="L2404" s="55" t="str">
        <f t="shared" si="74"/>
        <v/>
      </c>
      <c r="M2404" s="55" t="str">
        <f t="shared" si="75"/>
        <v/>
      </c>
      <c r="N2404" s="55" t="str">
        <f>IF(A2404="","",IFERROR(INDEX('Cluster Map'!$A$4:$A$38,MATCH(M2404,'Cluster Map'!$B$4:$B$38,0)),"Unmapped"))</f>
        <v/>
      </c>
      <c r="O2404" s="55">
        <f>IF(A2404="",0,IF(COUNTIFS($A$2:A2404,A2404,$F$2:F2404,F2404,$L$2:L2404,L2404)=1,1,0))</f>
        <v>0</v>
      </c>
      <c r="P2404" s="55">
        <f>IF(A2404="",0,IF(AND(F2404="C&amp;T",COUNTIFS($A$2:A2404,A2404,$F$2:F2404,"C&amp;T")=1),1,0))</f>
        <v>0</v>
      </c>
    </row>
    <row r="2405" spans="1:16" x14ac:dyDescent="0.35">
      <c r="A2405" s="54" t="str">
        <f>IFERROR(IF(INDEX(SPOT_Import!$A$1:$Z$2488,2405,'Live Data'!$C$12)="","",INDEX(SPOT_Import!$A$1:$Z$2488,2405,'Live Data'!$C$12)),"")</f>
        <v/>
      </c>
      <c r="B2405" s="54" t="str">
        <f>IFERROR(IF(INDEX(SPOT_Import!$A$1:$Z$2488,2405,'Live Data'!$C$13)="","",INDEX(SPOT_Import!$A$1:$Z$2488,2405,'Live Data'!$C$13)),"")</f>
        <v/>
      </c>
      <c r="C2405" s="54" t="str">
        <f>IFERROR(IF(INDEX(SPOT_Import!$A$1:$Z$2488,2405,'Live Data'!$C$14)="","",INDEX(SPOT_Import!$A$1:$Z$2488,2405,'Live Data'!$C$14)),"")</f>
        <v/>
      </c>
      <c r="D2405" s="54" t="str">
        <f>IFERROR(IF(INDEX(SPOT_Import!$A$1:$Z$2488,2405,'Live Data'!$C$15)="","",INDEX(SPOT_Import!$A$1:$Z$2488,2405,'Live Data'!$C$15)),"")</f>
        <v/>
      </c>
      <c r="E2405" s="54" t="str">
        <f>IFERROR(IF(INDEX(SPOT_Import!$A$1:$Z$2488,2405,'Live Data'!$C$16)="","",INDEX(SPOT_Import!$A$1:$Z$2488,2405,'Live Data'!$C$16)),"")</f>
        <v/>
      </c>
      <c r="F2405" s="54" t="str">
        <f>IFERROR(IF(INDEX(SPOT_Import!$A$1:$Z$2488,2405,'Live Data'!$C$17)="","",INDEX(SPOT_Import!$A$1:$Z$2488,2405,'Live Data'!$C$17)),"")</f>
        <v/>
      </c>
      <c r="G2405" s="54" t="str">
        <f>IFERROR(IF(INDEX(SPOT_Import!$A$1:$Z$2488,2405,'Live Data'!$C$18)="","",INDEX(SPOT_Import!$A$1:$Z$2488,2405,'Live Data'!$C$18)),"")</f>
        <v/>
      </c>
      <c r="H2405" s="54" t="str">
        <f>IFERROR(IF(INDEX(SPOT_Import!$A$1:$Z$2488,2405,'Live Data'!$C$19)="","",INDEX(SPOT_Import!$A$1:$Z$2488,2405,'Live Data'!$C$19)),"")</f>
        <v/>
      </c>
      <c r="I2405" s="54" t="str">
        <f>IFERROR(IF(INDEX(SPOT_Import!$A$1:$Z$2488,2405,'Live Data'!$C$20)="","",INDEX(SPOT_Import!$A$1:$Z$2488,2405,'Live Data'!$C$20)),"")</f>
        <v/>
      </c>
      <c r="J2405" s="54" t="str">
        <f>IFERROR(IF(INDEX(SPOT_Import!$A$1:$Z$2488,2405,'Live Data'!$C$21)="","",INDEX(SPOT_Import!$A$1:$Z$2488,2405,'Live Data'!$C$21)),"")</f>
        <v/>
      </c>
      <c r="K2405" s="54" t="str">
        <f>IFERROR(IF(INDEX(SPOT_Import!$A$1:$Z$2488,2405,'Live Data'!$C$22)="","",INDEX(SPOT_Import!$A$1:$Z$2488,2405,'Live Data'!$C$22)),"")</f>
        <v/>
      </c>
      <c r="L2405" s="55" t="str">
        <f t="shared" si="74"/>
        <v/>
      </c>
      <c r="M2405" s="55" t="str">
        <f t="shared" si="75"/>
        <v/>
      </c>
      <c r="N2405" s="55" t="str">
        <f>IF(A2405="","",IFERROR(INDEX('Cluster Map'!$A$4:$A$38,MATCH(M2405,'Cluster Map'!$B$4:$B$38,0)),"Unmapped"))</f>
        <v/>
      </c>
      <c r="O2405" s="55">
        <f>IF(A2405="",0,IF(COUNTIFS($A$2:A2405,A2405,$F$2:F2405,F2405,$L$2:L2405,L2405)=1,1,0))</f>
        <v>0</v>
      </c>
      <c r="P2405" s="55">
        <f>IF(A2405="",0,IF(AND(F2405="C&amp;T",COUNTIFS($A$2:A2405,A2405,$F$2:F2405,"C&amp;T")=1),1,0))</f>
        <v>0</v>
      </c>
    </row>
    <row r="2406" spans="1:16" x14ac:dyDescent="0.35">
      <c r="A2406" s="54" t="str">
        <f>IFERROR(IF(INDEX(SPOT_Import!$A$1:$Z$2488,2406,'Live Data'!$C$12)="","",INDEX(SPOT_Import!$A$1:$Z$2488,2406,'Live Data'!$C$12)),"")</f>
        <v/>
      </c>
      <c r="B2406" s="54" t="str">
        <f>IFERROR(IF(INDEX(SPOT_Import!$A$1:$Z$2488,2406,'Live Data'!$C$13)="","",INDEX(SPOT_Import!$A$1:$Z$2488,2406,'Live Data'!$C$13)),"")</f>
        <v/>
      </c>
      <c r="C2406" s="54" t="str">
        <f>IFERROR(IF(INDEX(SPOT_Import!$A$1:$Z$2488,2406,'Live Data'!$C$14)="","",INDEX(SPOT_Import!$A$1:$Z$2488,2406,'Live Data'!$C$14)),"")</f>
        <v/>
      </c>
      <c r="D2406" s="54" t="str">
        <f>IFERROR(IF(INDEX(SPOT_Import!$A$1:$Z$2488,2406,'Live Data'!$C$15)="","",INDEX(SPOT_Import!$A$1:$Z$2488,2406,'Live Data'!$C$15)),"")</f>
        <v/>
      </c>
      <c r="E2406" s="54" t="str">
        <f>IFERROR(IF(INDEX(SPOT_Import!$A$1:$Z$2488,2406,'Live Data'!$C$16)="","",INDEX(SPOT_Import!$A$1:$Z$2488,2406,'Live Data'!$C$16)),"")</f>
        <v/>
      </c>
      <c r="F2406" s="54" t="str">
        <f>IFERROR(IF(INDEX(SPOT_Import!$A$1:$Z$2488,2406,'Live Data'!$C$17)="","",INDEX(SPOT_Import!$A$1:$Z$2488,2406,'Live Data'!$C$17)),"")</f>
        <v/>
      </c>
      <c r="G2406" s="54" t="str">
        <f>IFERROR(IF(INDEX(SPOT_Import!$A$1:$Z$2488,2406,'Live Data'!$C$18)="","",INDEX(SPOT_Import!$A$1:$Z$2488,2406,'Live Data'!$C$18)),"")</f>
        <v/>
      </c>
      <c r="H2406" s="54" t="str">
        <f>IFERROR(IF(INDEX(SPOT_Import!$A$1:$Z$2488,2406,'Live Data'!$C$19)="","",INDEX(SPOT_Import!$A$1:$Z$2488,2406,'Live Data'!$C$19)),"")</f>
        <v/>
      </c>
      <c r="I2406" s="54" t="str">
        <f>IFERROR(IF(INDEX(SPOT_Import!$A$1:$Z$2488,2406,'Live Data'!$C$20)="","",INDEX(SPOT_Import!$A$1:$Z$2488,2406,'Live Data'!$C$20)),"")</f>
        <v/>
      </c>
      <c r="J2406" s="54" t="str">
        <f>IFERROR(IF(INDEX(SPOT_Import!$A$1:$Z$2488,2406,'Live Data'!$C$21)="","",INDEX(SPOT_Import!$A$1:$Z$2488,2406,'Live Data'!$C$21)),"")</f>
        <v/>
      </c>
      <c r="K2406" s="54" t="str">
        <f>IFERROR(IF(INDEX(SPOT_Import!$A$1:$Z$2488,2406,'Live Data'!$C$22)="","",INDEX(SPOT_Import!$A$1:$Z$2488,2406,'Live Data'!$C$22)),"")</f>
        <v/>
      </c>
      <c r="L2406" s="55" t="str">
        <f t="shared" si="74"/>
        <v/>
      </c>
      <c r="M2406" s="55" t="str">
        <f t="shared" si="75"/>
        <v/>
      </c>
      <c r="N2406" s="55" t="str">
        <f>IF(A2406="","",IFERROR(INDEX('Cluster Map'!$A$4:$A$38,MATCH(M2406,'Cluster Map'!$B$4:$B$38,0)),"Unmapped"))</f>
        <v/>
      </c>
      <c r="O2406" s="55">
        <f>IF(A2406="",0,IF(COUNTIFS($A$2:A2406,A2406,$F$2:F2406,F2406,$L$2:L2406,L2406)=1,1,0))</f>
        <v>0</v>
      </c>
      <c r="P2406" s="55">
        <f>IF(A2406="",0,IF(AND(F2406="C&amp;T",COUNTIFS($A$2:A2406,A2406,$F$2:F2406,"C&amp;T")=1),1,0))</f>
        <v>0</v>
      </c>
    </row>
    <row r="2407" spans="1:16" x14ac:dyDescent="0.35">
      <c r="A2407" s="54" t="str">
        <f>IFERROR(IF(INDEX(SPOT_Import!$A$1:$Z$2488,2407,'Live Data'!$C$12)="","",INDEX(SPOT_Import!$A$1:$Z$2488,2407,'Live Data'!$C$12)),"")</f>
        <v/>
      </c>
      <c r="B2407" s="54" t="str">
        <f>IFERROR(IF(INDEX(SPOT_Import!$A$1:$Z$2488,2407,'Live Data'!$C$13)="","",INDEX(SPOT_Import!$A$1:$Z$2488,2407,'Live Data'!$C$13)),"")</f>
        <v/>
      </c>
      <c r="C2407" s="54" t="str">
        <f>IFERROR(IF(INDEX(SPOT_Import!$A$1:$Z$2488,2407,'Live Data'!$C$14)="","",INDEX(SPOT_Import!$A$1:$Z$2488,2407,'Live Data'!$C$14)),"")</f>
        <v/>
      </c>
      <c r="D2407" s="54" t="str">
        <f>IFERROR(IF(INDEX(SPOT_Import!$A$1:$Z$2488,2407,'Live Data'!$C$15)="","",INDEX(SPOT_Import!$A$1:$Z$2488,2407,'Live Data'!$C$15)),"")</f>
        <v/>
      </c>
      <c r="E2407" s="54" t="str">
        <f>IFERROR(IF(INDEX(SPOT_Import!$A$1:$Z$2488,2407,'Live Data'!$C$16)="","",INDEX(SPOT_Import!$A$1:$Z$2488,2407,'Live Data'!$C$16)),"")</f>
        <v/>
      </c>
      <c r="F2407" s="54" t="str">
        <f>IFERROR(IF(INDEX(SPOT_Import!$A$1:$Z$2488,2407,'Live Data'!$C$17)="","",INDEX(SPOT_Import!$A$1:$Z$2488,2407,'Live Data'!$C$17)),"")</f>
        <v/>
      </c>
      <c r="G2407" s="54" t="str">
        <f>IFERROR(IF(INDEX(SPOT_Import!$A$1:$Z$2488,2407,'Live Data'!$C$18)="","",INDEX(SPOT_Import!$A$1:$Z$2488,2407,'Live Data'!$C$18)),"")</f>
        <v/>
      </c>
      <c r="H2407" s="54" t="str">
        <f>IFERROR(IF(INDEX(SPOT_Import!$A$1:$Z$2488,2407,'Live Data'!$C$19)="","",INDEX(SPOT_Import!$A$1:$Z$2488,2407,'Live Data'!$C$19)),"")</f>
        <v/>
      </c>
      <c r="I2407" s="54" t="str">
        <f>IFERROR(IF(INDEX(SPOT_Import!$A$1:$Z$2488,2407,'Live Data'!$C$20)="","",INDEX(SPOT_Import!$A$1:$Z$2488,2407,'Live Data'!$C$20)),"")</f>
        <v/>
      </c>
      <c r="J2407" s="54" t="str">
        <f>IFERROR(IF(INDEX(SPOT_Import!$A$1:$Z$2488,2407,'Live Data'!$C$21)="","",INDEX(SPOT_Import!$A$1:$Z$2488,2407,'Live Data'!$C$21)),"")</f>
        <v/>
      </c>
      <c r="K2407" s="54" t="str">
        <f>IFERROR(IF(INDEX(SPOT_Import!$A$1:$Z$2488,2407,'Live Data'!$C$22)="","",INDEX(SPOT_Import!$A$1:$Z$2488,2407,'Live Data'!$C$22)),"")</f>
        <v/>
      </c>
      <c r="L2407" s="55" t="str">
        <f t="shared" si="74"/>
        <v/>
      </c>
      <c r="M2407" s="55" t="str">
        <f t="shared" si="75"/>
        <v/>
      </c>
      <c r="N2407" s="55" t="str">
        <f>IF(A2407="","",IFERROR(INDEX('Cluster Map'!$A$4:$A$38,MATCH(M2407,'Cluster Map'!$B$4:$B$38,0)),"Unmapped"))</f>
        <v/>
      </c>
      <c r="O2407" s="55">
        <f>IF(A2407="",0,IF(COUNTIFS($A$2:A2407,A2407,$F$2:F2407,F2407,$L$2:L2407,L2407)=1,1,0))</f>
        <v>0</v>
      </c>
      <c r="P2407" s="55">
        <f>IF(A2407="",0,IF(AND(F2407="C&amp;T",COUNTIFS($A$2:A2407,A2407,$F$2:F2407,"C&amp;T")=1),1,0))</f>
        <v>0</v>
      </c>
    </row>
    <row r="2408" spans="1:16" x14ac:dyDescent="0.35">
      <c r="A2408" s="54" t="str">
        <f>IFERROR(IF(INDEX(SPOT_Import!$A$1:$Z$2488,2408,'Live Data'!$C$12)="","",INDEX(SPOT_Import!$A$1:$Z$2488,2408,'Live Data'!$C$12)),"")</f>
        <v/>
      </c>
      <c r="B2408" s="54" t="str">
        <f>IFERROR(IF(INDEX(SPOT_Import!$A$1:$Z$2488,2408,'Live Data'!$C$13)="","",INDEX(SPOT_Import!$A$1:$Z$2488,2408,'Live Data'!$C$13)),"")</f>
        <v/>
      </c>
      <c r="C2408" s="54" t="str">
        <f>IFERROR(IF(INDEX(SPOT_Import!$A$1:$Z$2488,2408,'Live Data'!$C$14)="","",INDEX(SPOT_Import!$A$1:$Z$2488,2408,'Live Data'!$C$14)),"")</f>
        <v/>
      </c>
      <c r="D2408" s="54" t="str">
        <f>IFERROR(IF(INDEX(SPOT_Import!$A$1:$Z$2488,2408,'Live Data'!$C$15)="","",INDEX(SPOT_Import!$A$1:$Z$2488,2408,'Live Data'!$C$15)),"")</f>
        <v/>
      </c>
      <c r="E2408" s="54" t="str">
        <f>IFERROR(IF(INDEX(SPOT_Import!$A$1:$Z$2488,2408,'Live Data'!$C$16)="","",INDEX(SPOT_Import!$A$1:$Z$2488,2408,'Live Data'!$C$16)),"")</f>
        <v/>
      </c>
      <c r="F2408" s="54" t="str">
        <f>IFERROR(IF(INDEX(SPOT_Import!$A$1:$Z$2488,2408,'Live Data'!$C$17)="","",INDEX(SPOT_Import!$A$1:$Z$2488,2408,'Live Data'!$C$17)),"")</f>
        <v/>
      </c>
      <c r="G2408" s="54" t="str">
        <f>IFERROR(IF(INDEX(SPOT_Import!$A$1:$Z$2488,2408,'Live Data'!$C$18)="","",INDEX(SPOT_Import!$A$1:$Z$2488,2408,'Live Data'!$C$18)),"")</f>
        <v/>
      </c>
      <c r="H2408" s="54" t="str">
        <f>IFERROR(IF(INDEX(SPOT_Import!$A$1:$Z$2488,2408,'Live Data'!$C$19)="","",INDEX(SPOT_Import!$A$1:$Z$2488,2408,'Live Data'!$C$19)),"")</f>
        <v/>
      </c>
      <c r="I2408" s="54" t="str">
        <f>IFERROR(IF(INDEX(SPOT_Import!$A$1:$Z$2488,2408,'Live Data'!$C$20)="","",INDEX(SPOT_Import!$A$1:$Z$2488,2408,'Live Data'!$C$20)),"")</f>
        <v/>
      </c>
      <c r="J2408" s="54" t="str">
        <f>IFERROR(IF(INDEX(SPOT_Import!$A$1:$Z$2488,2408,'Live Data'!$C$21)="","",INDEX(SPOT_Import!$A$1:$Z$2488,2408,'Live Data'!$C$21)),"")</f>
        <v/>
      </c>
      <c r="K2408" s="54" t="str">
        <f>IFERROR(IF(INDEX(SPOT_Import!$A$1:$Z$2488,2408,'Live Data'!$C$22)="","",INDEX(SPOT_Import!$A$1:$Z$2488,2408,'Live Data'!$C$22)),"")</f>
        <v/>
      </c>
      <c r="L2408" s="55" t="str">
        <f t="shared" si="74"/>
        <v/>
      </c>
      <c r="M2408" s="55" t="str">
        <f t="shared" si="75"/>
        <v/>
      </c>
      <c r="N2408" s="55" t="str">
        <f>IF(A2408="","",IFERROR(INDEX('Cluster Map'!$A$4:$A$38,MATCH(M2408,'Cluster Map'!$B$4:$B$38,0)),"Unmapped"))</f>
        <v/>
      </c>
      <c r="O2408" s="55">
        <f>IF(A2408="",0,IF(COUNTIFS($A$2:A2408,A2408,$F$2:F2408,F2408,$L$2:L2408,L2408)=1,1,0))</f>
        <v>0</v>
      </c>
      <c r="P2408" s="55">
        <f>IF(A2408="",0,IF(AND(F2408="C&amp;T",COUNTIFS($A$2:A2408,A2408,$F$2:F2408,"C&amp;T")=1),1,0))</f>
        <v>0</v>
      </c>
    </row>
    <row r="2409" spans="1:16" x14ac:dyDescent="0.35">
      <c r="A2409" s="54" t="str">
        <f>IFERROR(IF(INDEX(SPOT_Import!$A$1:$Z$2488,2409,'Live Data'!$C$12)="","",INDEX(SPOT_Import!$A$1:$Z$2488,2409,'Live Data'!$C$12)),"")</f>
        <v/>
      </c>
      <c r="B2409" s="54" t="str">
        <f>IFERROR(IF(INDEX(SPOT_Import!$A$1:$Z$2488,2409,'Live Data'!$C$13)="","",INDEX(SPOT_Import!$A$1:$Z$2488,2409,'Live Data'!$C$13)),"")</f>
        <v/>
      </c>
      <c r="C2409" s="54" t="str">
        <f>IFERROR(IF(INDEX(SPOT_Import!$A$1:$Z$2488,2409,'Live Data'!$C$14)="","",INDEX(SPOT_Import!$A$1:$Z$2488,2409,'Live Data'!$C$14)),"")</f>
        <v/>
      </c>
      <c r="D2409" s="54" t="str">
        <f>IFERROR(IF(INDEX(SPOT_Import!$A$1:$Z$2488,2409,'Live Data'!$C$15)="","",INDEX(SPOT_Import!$A$1:$Z$2488,2409,'Live Data'!$C$15)),"")</f>
        <v/>
      </c>
      <c r="E2409" s="54" t="str">
        <f>IFERROR(IF(INDEX(SPOT_Import!$A$1:$Z$2488,2409,'Live Data'!$C$16)="","",INDEX(SPOT_Import!$A$1:$Z$2488,2409,'Live Data'!$C$16)),"")</f>
        <v/>
      </c>
      <c r="F2409" s="54" t="str">
        <f>IFERROR(IF(INDEX(SPOT_Import!$A$1:$Z$2488,2409,'Live Data'!$C$17)="","",INDEX(SPOT_Import!$A$1:$Z$2488,2409,'Live Data'!$C$17)),"")</f>
        <v/>
      </c>
      <c r="G2409" s="54" t="str">
        <f>IFERROR(IF(INDEX(SPOT_Import!$A$1:$Z$2488,2409,'Live Data'!$C$18)="","",INDEX(SPOT_Import!$A$1:$Z$2488,2409,'Live Data'!$C$18)),"")</f>
        <v/>
      </c>
      <c r="H2409" s="54" t="str">
        <f>IFERROR(IF(INDEX(SPOT_Import!$A$1:$Z$2488,2409,'Live Data'!$C$19)="","",INDEX(SPOT_Import!$A$1:$Z$2488,2409,'Live Data'!$C$19)),"")</f>
        <v/>
      </c>
      <c r="I2409" s="54" t="str">
        <f>IFERROR(IF(INDEX(SPOT_Import!$A$1:$Z$2488,2409,'Live Data'!$C$20)="","",INDEX(SPOT_Import!$A$1:$Z$2488,2409,'Live Data'!$C$20)),"")</f>
        <v/>
      </c>
      <c r="J2409" s="54" t="str">
        <f>IFERROR(IF(INDEX(SPOT_Import!$A$1:$Z$2488,2409,'Live Data'!$C$21)="","",INDEX(SPOT_Import!$A$1:$Z$2488,2409,'Live Data'!$C$21)),"")</f>
        <v/>
      </c>
      <c r="K2409" s="54" t="str">
        <f>IFERROR(IF(INDEX(SPOT_Import!$A$1:$Z$2488,2409,'Live Data'!$C$22)="","",INDEX(SPOT_Import!$A$1:$Z$2488,2409,'Live Data'!$C$22)),"")</f>
        <v/>
      </c>
      <c r="L2409" s="55" t="str">
        <f t="shared" si="74"/>
        <v/>
      </c>
      <c r="M2409" s="55" t="str">
        <f t="shared" si="75"/>
        <v/>
      </c>
      <c r="N2409" s="55" t="str">
        <f>IF(A2409="","",IFERROR(INDEX('Cluster Map'!$A$4:$A$38,MATCH(M2409,'Cluster Map'!$B$4:$B$38,0)),"Unmapped"))</f>
        <v/>
      </c>
      <c r="O2409" s="55">
        <f>IF(A2409="",0,IF(COUNTIFS($A$2:A2409,A2409,$F$2:F2409,F2409,$L$2:L2409,L2409)=1,1,0))</f>
        <v>0</v>
      </c>
      <c r="P2409" s="55">
        <f>IF(A2409="",0,IF(AND(F2409="C&amp;T",COUNTIFS($A$2:A2409,A2409,$F$2:F2409,"C&amp;T")=1),1,0))</f>
        <v>0</v>
      </c>
    </row>
    <row r="2410" spans="1:16" x14ac:dyDescent="0.35">
      <c r="A2410" s="54" t="str">
        <f>IFERROR(IF(INDEX(SPOT_Import!$A$1:$Z$2488,2410,'Live Data'!$C$12)="","",INDEX(SPOT_Import!$A$1:$Z$2488,2410,'Live Data'!$C$12)),"")</f>
        <v/>
      </c>
      <c r="B2410" s="54" t="str">
        <f>IFERROR(IF(INDEX(SPOT_Import!$A$1:$Z$2488,2410,'Live Data'!$C$13)="","",INDEX(SPOT_Import!$A$1:$Z$2488,2410,'Live Data'!$C$13)),"")</f>
        <v/>
      </c>
      <c r="C2410" s="54" t="str">
        <f>IFERROR(IF(INDEX(SPOT_Import!$A$1:$Z$2488,2410,'Live Data'!$C$14)="","",INDEX(SPOT_Import!$A$1:$Z$2488,2410,'Live Data'!$C$14)),"")</f>
        <v/>
      </c>
      <c r="D2410" s="54" t="str">
        <f>IFERROR(IF(INDEX(SPOT_Import!$A$1:$Z$2488,2410,'Live Data'!$C$15)="","",INDEX(SPOT_Import!$A$1:$Z$2488,2410,'Live Data'!$C$15)),"")</f>
        <v/>
      </c>
      <c r="E2410" s="54" t="str">
        <f>IFERROR(IF(INDEX(SPOT_Import!$A$1:$Z$2488,2410,'Live Data'!$C$16)="","",INDEX(SPOT_Import!$A$1:$Z$2488,2410,'Live Data'!$C$16)),"")</f>
        <v/>
      </c>
      <c r="F2410" s="54" t="str">
        <f>IFERROR(IF(INDEX(SPOT_Import!$A$1:$Z$2488,2410,'Live Data'!$C$17)="","",INDEX(SPOT_Import!$A$1:$Z$2488,2410,'Live Data'!$C$17)),"")</f>
        <v/>
      </c>
      <c r="G2410" s="54" t="str">
        <f>IFERROR(IF(INDEX(SPOT_Import!$A$1:$Z$2488,2410,'Live Data'!$C$18)="","",INDEX(SPOT_Import!$A$1:$Z$2488,2410,'Live Data'!$C$18)),"")</f>
        <v/>
      </c>
      <c r="H2410" s="54" t="str">
        <f>IFERROR(IF(INDEX(SPOT_Import!$A$1:$Z$2488,2410,'Live Data'!$C$19)="","",INDEX(SPOT_Import!$A$1:$Z$2488,2410,'Live Data'!$C$19)),"")</f>
        <v/>
      </c>
      <c r="I2410" s="54" t="str">
        <f>IFERROR(IF(INDEX(SPOT_Import!$A$1:$Z$2488,2410,'Live Data'!$C$20)="","",INDEX(SPOT_Import!$A$1:$Z$2488,2410,'Live Data'!$C$20)),"")</f>
        <v/>
      </c>
      <c r="J2410" s="54" t="str">
        <f>IFERROR(IF(INDEX(SPOT_Import!$A$1:$Z$2488,2410,'Live Data'!$C$21)="","",INDEX(SPOT_Import!$A$1:$Z$2488,2410,'Live Data'!$C$21)),"")</f>
        <v/>
      </c>
      <c r="K2410" s="54" t="str">
        <f>IFERROR(IF(INDEX(SPOT_Import!$A$1:$Z$2488,2410,'Live Data'!$C$22)="","",INDEX(SPOT_Import!$A$1:$Z$2488,2410,'Live Data'!$C$22)),"")</f>
        <v/>
      </c>
      <c r="L2410" s="55" t="str">
        <f t="shared" si="74"/>
        <v/>
      </c>
      <c r="M2410" s="55" t="str">
        <f t="shared" si="75"/>
        <v/>
      </c>
      <c r="N2410" s="55" t="str">
        <f>IF(A2410="","",IFERROR(INDEX('Cluster Map'!$A$4:$A$38,MATCH(M2410,'Cluster Map'!$B$4:$B$38,0)),"Unmapped"))</f>
        <v/>
      </c>
      <c r="O2410" s="55">
        <f>IF(A2410="",0,IF(COUNTIFS($A$2:A2410,A2410,$F$2:F2410,F2410,$L$2:L2410,L2410)=1,1,0))</f>
        <v>0</v>
      </c>
      <c r="P2410" s="55">
        <f>IF(A2410="",0,IF(AND(F2410="C&amp;T",COUNTIFS($A$2:A2410,A2410,$F$2:F2410,"C&amp;T")=1),1,0))</f>
        <v>0</v>
      </c>
    </row>
    <row r="2411" spans="1:16" x14ac:dyDescent="0.35">
      <c r="A2411" s="54" t="str">
        <f>IFERROR(IF(INDEX(SPOT_Import!$A$1:$Z$2488,2411,'Live Data'!$C$12)="","",INDEX(SPOT_Import!$A$1:$Z$2488,2411,'Live Data'!$C$12)),"")</f>
        <v/>
      </c>
      <c r="B2411" s="54" t="str">
        <f>IFERROR(IF(INDEX(SPOT_Import!$A$1:$Z$2488,2411,'Live Data'!$C$13)="","",INDEX(SPOT_Import!$A$1:$Z$2488,2411,'Live Data'!$C$13)),"")</f>
        <v/>
      </c>
      <c r="C2411" s="54" t="str">
        <f>IFERROR(IF(INDEX(SPOT_Import!$A$1:$Z$2488,2411,'Live Data'!$C$14)="","",INDEX(SPOT_Import!$A$1:$Z$2488,2411,'Live Data'!$C$14)),"")</f>
        <v/>
      </c>
      <c r="D2411" s="54" t="str">
        <f>IFERROR(IF(INDEX(SPOT_Import!$A$1:$Z$2488,2411,'Live Data'!$C$15)="","",INDEX(SPOT_Import!$A$1:$Z$2488,2411,'Live Data'!$C$15)),"")</f>
        <v/>
      </c>
      <c r="E2411" s="54" t="str">
        <f>IFERROR(IF(INDEX(SPOT_Import!$A$1:$Z$2488,2411,'Live Data'!$C$16)="","",INDEX(SPOT_Import!$A$1:$Z$2488,2411,'Live Data'!$C$16)),"")</f>
        <v/>
      </c>
      <c r="F2411" s="54" t="str">
        <f>IFERROR(IF(INDEX(SPOT_Import!$A$1:$Z$2488,2411,'Live Data'!$C$17)="","",INDEX(SPOT_Import!$A$1:$Z$2488,2411,'Live Data'!$C$17)),"")</f>
        <v/>
      </c>
      <c r="G2411" s="54" t="str">
        <f>IFERROR(IF(INDEX(SPOT_Import!$A$1:$Z$2488,2411,'Live Data'!$C$18)="","",INDEX(SPOT_Import!$A$1:$Z$2488,2411,'Live Data'!$C$18)),"")</f>
        <v/>
      </c>
      <c r="H2411" s="54" t="str">
        <f>IFERROR(IF(INDEX(SPOT_Import!$A$1:$Z$2488,2411,'Live Data'!$C$19)="","",INDEX(SPOT_Import!$A$1:$Z$2488,2411,'Live Data'!$C$19)),"")</f>
        <v/>
      </c>
      <c r="I2411" s="54" t="str">
        <f>IFERROR(IF(INDEX(SPOT_Import!$A$1:$Z$2488,2411,'Live Data'!$C$20)="","",INDEX(SPOT_Import!$A$1:$Z$2488,2411,'Live Data'!$C$20)),"")</f>
        <v/>
      </c>
      <c r="J2411" s="54" t="str">
        <f>IFERROR(IF(INDEX(SPOT_Import!$A$1:$Z$2488,2411,'Live Data'!$C$21)="","",INDEX(SPOT_Import!$A$1:$Z$2488,2411,'Live Data'!$C$21)),"")</f>
        <v/>
      </c>
      <c r="K2411" s="54" t="str">
        <f>IFERROR(IF(INDEX(SPOT_Import!$A$1:$Z$2488,2411,'Live Data'!$C$22)="","",INDEX(SPOT_Import!$A$1:$Z$2488,2411,'Live Data'!$C$22)),"")</f>
        <v/>
      </c>
      <c r="L2411" s="55" t="str">
        <f t="shared" si="74"/>
        <v/>
      </c>
      <c r="M2411" s="55" t="str">
        <f t="shared" si="75"/>
        <v/>
      </c>
      <c r="N2411" s="55" t="str">
        <f>IF(A2411="","",IFERROR(INDEX('Cluster Map'!$A$4:$A$38,MATCH(M2411,'Cluster Map'!$B$4:$B$38,0)),"Unmapped"))</f>
        <v/>
      </c>
      <c r="O2411" s="55">
        <f>IF(A2411="",0,IF(COUNTIFS($A$2:A2411,A2411,$F$2:F2411,F2411,$L$2:L2411,L2411)=1,1,0))</f>
        <v>0</v>
      </c>
      <c r="P2411" s="55">
        <f>IF(A2411="",0,IF(AND(F2411="C&amp;T",COUNTIFS($A$2:A2411,A2411,$F$2:F2411,"C&amp;T")=1),1,0))</f>
        <v>0</v>
      </c>
    </row>
    <row r="2412" spans="1:16" x14ac:dyDescent="0.35">
      <c r="A2412" s="54" t="str">
        <f>IFERROR(IF(INDEX(SPOT_Import!$A$1:$Z$2488,2412,'Live Data'!$C$12)="","",INDEX(SPOT_Import!$A$1:$Z$2488,2412,'Live Data'!$C$12)),"")</f>
        <v/>
      </c>
      <c r="B2412" s="54" t="str">
        <f>IFERROR(IF(INDEX(SPOT_Import!$A$1:$Z$2488,2412,'Live Data'!$C$13)="","",INDEX(SPOT_Import!$A$1:$Z$2488,2412,'Live Data'!$C$13)),"")</f>
        <v/>
      </c>
      <c r="C2412" s="54" t="str">
        <f>IFERROR(IF(INDEX(SPOT_Import!$A$1:$Z$2488,2412,'Live Data'!$C$14)="","",INDEX(SPOT_Import!$A$1:$Z$2488,2412,'Live Data'!$C$14)),"")</f>
        <v/>
      </c>
      <c r="D2412" s="54" t="str">
        <f>IFERROR(IF(INDEX(SPOT_Import!$A$1:$Z$2488,2412,'Live Data'!$C$15)="","",INDEX(SPOT_Import!$A$1:$Z$2488,2412,'Live Data'!$C$15)),"")</f>
        <v/>
      </c>
      <c r="E2412" s="54" t="str">
        <f>IFERROR(IF(INDEX(SPOT_Import!$A$1:$Z$2488,2412,'Live Data'!$C$16)="","",INDEX(SPOT_Import!$A$1:$Z$2488,2412,'Live Data'!$C$16)),"")</f>
        <v/>
      </c>
      <c r="F2412" s="54" t="str">
        <f>IFERROR(IF(INDEX(SPOT_Import!$A$1:$Z$2488,2412,'Live Data'!$C$17)="","",INDEX(SPOT_Import!$A$1:$Z$2488,2412,'Live Data'!$C$17)),"")</f>
        <v/>
      </c>
      <c r="G2412" s="54" t="str">
        <f>IFERROR(IF(INDEX(SPOT_Import!$A$1:$Z$2488,2412,'Live Data'!$C$18)="","",INDEX(SPOT_Import!$A$1:$Z$2488,2412,'Live Data'!$C$18)),"")</f>
        <v/>
      </c>
      <c r="H2412" s="54" t="str">
        <f>IFERROR(IF(INDEX(SPOT_Import!$A$1:$Z$2488,2412,'Live Data'!$C$19)="","",INDEX(SPOT_Import!$A$1:$Z$2488,2412,'Live Data'!$C$19)),"")</f>
        <v/>
      </c>
      <c r="I2412" s="54" t="str">
        <f>IFERROR(IF(INDEX(SPOT_Import!$A$1:$Z$2488,2412,'Live Data'!$C$20)="","",INDEX(SPOT_Import!$A$1:$Z$2488,2412,'Live Data'!$C$20)),"")</f>
        <v/>
      </c>
      <c r="J2412" s="54" t="str">
        <f>IFERROR(IF(INDEX(SPOT_Import!$A$1:$Z$2488,2412,'Live Data'!$C$21)="","",INDEX(SPOT_Import!$A$1:$Z$2488,2412,'Live Data'!$C$21)),"")</f>
        <v/>
      </c>
      <c r="K2412" s="54" t="str">
        <f>IFERROR(IF(INDEX(SPOT_Import!$A$1:$Z$2488,2412,'Live Data'!$C$22)="","",INDEX(SPOT_Import!$A$1:$Z$2488,2412,'Live Data'!$C$22)),"")</f>
        <v/>
      </c>
      <c r="L2412" s="55" t="str">
        <f t="shared" si="74"/>
        <v/>
      </c>
      <c r="M2412" s="55" t="str">
        <f t="shared" si="75"/>
        <v/>
      </c>
      <c r="N2412" s="55" t="str">
        <f>IF(A2412="","",IFERROR(INDEX('Cluster Map'!$A$4:$A$38,MATCH(M2412,'Cluster Map'!$B$4:$B$38,0)),"Unmapped"))</f>
        <v/>
      </c>
      <c r="O2412" s="55">
        <f>IF(A2412="",0,IF(COUNTIFS($A$2:A2412,A2412,$F$2:F2412,F2412,$L$2:L2412,L2412)=1,1,0))</f>
        <v>0</v>
      </c>
      <c r="P2412" s="55">
        <f>IF(A2412="",0,IF(AND(F2412="C&amp;T",COUNTIFS($A$2:A2412,A2412,$F$2:F2412,"C&amp;T")=1),1,0))</f>
        <v>0</v>
      </c>
    </row>
    <row r="2413" spans="1:16" x14ac:dyDescent="0.35">
      <c r="A2413" s="54" t="str">
        <f>IFERROR(IF(INDEX(SPOT_Import!$A$1:$Z$2488,2413,'Live Data'!$C$12)="","",INDEX(SPOT_Import!$A$1:$Z$2488,2413,'Live Data'!$C$12)),"")</f>
        <v/>
      </c>
      <c r="B2413" s="54" t="str">
        <f>IFERROR(IF(INDEX(SPOT_Import!$A$1:$Z$2488,2413,'Live Data'!$C$13)="","",INDEX(SPOT_Import!$A$1:$Z$2488,2413,'Live Data'!$C$13)),"")</f>
        <v/>
      </c>
      <c r="C2413" s="54" t="str">
        <f>IFERROR(IF(INDEX(SPOT_Import!$A$1:$Z$2488,2413,'Live Data'!$C$14)="","",INDEX(SPOT_Import!$A$1:$Z$2488,2413,'Live Data'!$C$14)),"")</f>
        <v/>
      </c>
      <c r="D2413" s="54" t="str">
        <f>IFERROR(IF(INDEX(SPOT_Import!$A$1:$Z$2488,2413,'Live Data'!$C$15)="","",INDEX(SPOT_Import!$A$1:$Z$2488,2413,'Live Data'!$C$15)),"")</f>
        <v/>
      </c>
      <c r="E2413" s="54" t="str">
        <f>IFERROR(IF(INDEX(SPOT_Import!$A$1:$Z$2488,2413,'Live Data'!$C$16)="","",INDEX(SPOT_Import!$A$1:$Z$2488,2413,'Live Data'!$C$16)),"")</f>
        <v/>
      </c>
      <c r="F2413" s="54" t="str">
        <f>IFERROR(IF(INDEX(SPOT_Import!$A$1:$Z$2488,2413,'Live Data'!$C$17)="","",INDEX(SPOT_Import!$A$1:$Z$2488,2413,'Live Data'!$C$17)),"")</f>
        <v/>
      </c>
      <c r="G2413" s="54" t="str">
        <f>IFERROR(IF(INDEX(SPOT_Import!$A$1:$Z$2488,2413,'Live Data'!$C$18)="","",INDEX(SPOT_Import!$A$1:$Z$2488,2413,'Live Data'!$C$18)),"")</f>
        <v/>
      </c>
      <c r="H2413" s="54" t="str">
        <f>IFERROR(IF(INDEX(SPOT_Import!$A$1:$Z$2488,2413,'Live Data'!$C$19)="","",INDEX(SPOT_Import!$A$1:$Z$2488,2413,'Live Data'!$C$19)),"")</f>
        <v/>
      </c>
      <c r="I2413" s="54" t="str">
        <f>IFERROR(IF(INDEX(SPOT_Import!$A$1:$Z$2488,2413,'Live Data'!$C$20)="","",INDEX(SPOT_Import!$A$1:$Z$2488,2413,'Live Data'!$C$20)),"")</f>
        <v/>
      </c>
      <c r="J2413" s="54" t="str">
        <f>IFERROR(IF(INDEX(SPOT_Import!$A$1:$Z$2488,2413,'Live Data'!$C$21)="","",INDEX(SPOT_Import!$A$1:$Z$2488,2413,'Live Data'!$C$21)),"")</f>
        <v/>
      </c>
      <c r="K2413" s="54" t="str">
        <f>IFERROR(IF(INDEX(SPOT_Import!$A$1:$Z$2488,2413,'Live Data'!$C$22)="","",INDEX(SPOT_Import!$A$1:$Z$2488,2413,'Live Data'!$C$22)),"")</f>
        <v/>
      </c>
      <c r="L2413" s="55" t="str">
        <f t="shared" si="74"/>
        <v/>
      </c>
      <c r="M2413" s="55" t="str">
        <f t="shared" si="75"/>
        <v/>
      </c>
      <c r="N2413" s="55" t="str">
        <f>IF(A2413="","",IFERROR(INDEX('Cluster Map'!$A$4:$A$38,MATCH(M2413,'Cluster Map'!$B$4:$B$38,0)),"Unmapped"))</f>
        <v/>
      </c>
      <c r="O2413" s="55">
        <f>IF(A2413="",0,IF(COUNTIFS($A$2:A2413,A2413,$F$2:F2413,F2413,$L$2:L2413,L2413)=1,1,0))</f>
        <v>0</v>
      </c>
      <c r="P2413" s="55">
        <f>IF(A2413="",0,IF(AND(F2413="C&amp;T",COUNTIFS($A$2:A2413,A2413,$F$2:F2413,"C&amp;T")=1),1,0))</f>
        <v>0</v>
      </c>
    </row>
    <row r="2414" spans="1:16" x14ac:dyDescent="0.35">
      <c r="A2414" s="54" t="str">
        <f>IFERROR(IF(INDEX(SPOT_Import!$A$1:$Z$2488,2414,'Live Data'!$C$12)="","",INDEX(SPOT_Import!$A$1:$Z$2488,2414,'Live Data'!$C$12)),"")</f>
        <v/>
      </c>
      <c r="B2414" s="54" t="str">
        <f>IFERROR(IF(INDEX(SPOT_Import!$A$1:$Z$2488,2414,'Live Data'!$C$13)="","",INDEX(SPOT_Import!$A$1:$Z$2488,2414,'Live Data'!$C$13)),"")</f>
        <v/>
      </c>
      <c r="C2414" s="54" t="str">
        <f>IFERROR(IF(INDEX(SPOT_Import!$A$1:$Z$2488,2414,'Live Data'!$C$14)="","",INDEX(SPOT_Import!$A$1:$Z$2488,2414,'Live Data'!$C$14)),"")</f>
        <v/>
      </c>
      <c r="D2414" s="54" t="str">
        <f>IFERROR(IF(INDEX(SPOT_Import!$A$1:$Z$2488,2414,'Live Data'!$C$15)="","",INDEX(SPOT_Import!$A$1:$Z$2488,2414,'Live Data'!$C$15)),"")</f>
        <v/>
      </c>
      <c r="E2414" s="54" t="str">
        <f>IFERROR(IF(INDEX(SPOT_Import!$A$1:$Z$2488,2414,'Live Data'!$C$16)="","",INDEX(SPOT_Import!$A$1:$Z$2488,2414,'Live Data'!$C$16)),"")</f>
        <v/>
      </c>
      <c r="F2414" s="54" t="str">
        <f>IFERROR(IF(INDEX(SPOT_Import!$A$1:$Z$2488,2414,'Live Data'!$C$17)="","",INDEX(SPOT_Import!$A$1:$Z$2488,2414,'Live Data'!$C$17)),"")</f>
        <v/>
      </c>
      <c r="G2414" s="54" t="str">
        <f>IFERROR(IF(INDEX(SPOT_Import!$A$1:$Z$2488,2414,'Live Data'!$C$18)="","",INDEX(SPOT_Import!$A$1:$Z$2488,2414,'Live Data'!$C$18)),"")</f>
        <v/>
      </c>
      <c r="H2414" s="54" t="str">
        <f>IFERROR(IF(INDEX(SPOT_Import!$A$1:$Z$2488,2414,'Live Data'!$C$19)="","",INDEX(SPOT_Import!$A$1:$Z$2488,2414,'Live Data'!$C$19)),"")</f>
        <v/>
      </c>
      <c r="I2414" s="54" t="str">
        <f>IFERROR(IF(INDEX(SPOT_Import!$A$1:$Z$2488,2414,'Live Data'!$C$20)="","",INDEX(SPOT_Import!$A$1:$Z$2488,2414,'Live Data'!$C$20)),"")</f>
        <v/>
      </c>
      <c r="J2414" s="54" t="str">
        <f>IFERROR(IF(INDEX(SPOT_Import!$A$1:$Z$2488,2414,'Live Data'!$C$21)="","",INDEX(SPOT_Import!$A$1:$Z$2488,2414,'Live Data'!$C$21)),"")</f>
        <v/>
      </c>
      <c r="K2414" s="54" t="str">
        <f>IFERROR(IF(INDEX(SPOT_Import!$A$1:$Z$2488,2414,'Live Data'!$C$22)="","",INDEX(SPOT_Import!$A$1:$Z$2488,2414,'Live Data'!$C$22)),"")</f>
        <v/>
      </c>
      <c r="L2414" s="55" t="str">
        <f t="shared" si="74"/>
        <v/>
      </c>
      <c r="M2414" s="55" t="str">
        <f t="shared" si="75"/>
        <v/>
      </c>
      <c r="N2414" s="55" t="str">
        <f>IF(A2414="","",IFERROR(INDEX('Cluster Map'!$A$4:$A$38,MATCH(M2414,'Cluster Map'!$B$4:$B$38,0)),"Unmapped"))</f>
        <v/>
      </c>
      <c r="O2414" s="55">
        <f>IF(A2414="",0,IF(COUNTIFS($A$2:A2414,A2414,$F$2:F2414,F2414,$L$2:L2414,L2414)=1,1,0))</f>
        <v>0</v>
      </c>
      <c r="P2414" s="55">
        <f>IF(A2414="",0,IF(AND(F2414="C&amp;T",COUNTIFS($A$2:A2414,A2414,$F$2:F2414,"C&amp;T")=1),1,0))</f>
        <v>0</v>
      </c>
    </row>
    <row r="2415" spans="1:16" x14ac:dyDescent="0.35">
      <c r="A2415" s="54" t="str">
        <f>IFERROR(IF(INDEX(SPOT_Import!$A$1:$Z$2488,2415,'Live Data'!$C$12)="","",INDEX(SPOT_Import!$A$1:$Z$2488,2415,'Live Data'!$C$12)),"")</f>
        <v/>
      </c>
      <c r="B2415" s="54" t="str">
        <f>IFERROR(IF(INDEX(SPOT_Import!$A$1:$Z$2488,2415,'Live Data'!$C$13)="","",INDEX(SPOT_Import!$A$1:$Z$2488,2415,'Live Data'!$C$13)),"")</f>
        <v/>
      </c>
      <c r="C2415" s="54" t="str">
        <f>IFERROR(IF(INDEX(SPOT_Import!$A$1:$Z$2488,2415,'Live Data'!$C$14)="","",INDEX(SPOT_Import!$A$1:$Z$2488,2415,'Live Data'!$C$14)),"")</f>
        <v/>
      </c>
      <c r="D2415" s="54" t="str">
        <f>IFERROR(IF(INDEX(SPOT_Import!$A$1:$Z$2488,2415,'Live Data'!$C$15)="","",INDEX(SPOT_Import!$A$1:$Z$2488,2415,'Live Data'!$C$15)),"")</f>
        <v/>
      </c>
      <c r="E2415" s="54" t="str">
        <f>IFERROR(IF(INDEX(SPOT_Import!$A$1:$Z$2488,2415,'Live Data'!$C$16)="","",INDEX(SPOT_Import!$A$1:$Z$2488,2415,'Live Data'!$C$16)),"")</f>
        <v/>
      </c>
      <c r="F2415" s="54" t="str">
        <f>IFERROR(IF(INDEX(SPOT_Import!$A$1:$Z$2488,2415,'Live Data'!$C$17)="","",INDEX(SPOT_Import!$A$1:$Z$2488,2415,'Live Data'!$C$17)),"")</f>
        <v/>
      </c>
      <c r="G2415" s="54" t="str">
        <f>IFERROR(IF(INDEX(SPOT_Import!$A$1:$Z$2488,2415,'Live Data'!$C$18)="","",INDEX(SPOT_Import!$A$1:$Z$2488,2415,'Live Data'!$C$18)),"")</f>
        <v/>
      </c>
      <c r="H2415" s="54" t="str">
        <f>IFERROR(IF(INDEX(SPOT_Import!$A$1:$Z$2488,2415,'Live Data'!$C$19)="","",INDEX(SPOT_Import!$A$1:$Z$2488,2415,'Live Data'!$C$19)),"")</f>
        <v/>
      </c>
      <c r="I2415" s="54" t="str">
        <f>IFERROR(IF(INDEX(SPOT_Import!$A$1:$Z$2488,2415,'Live Data'!$C$20)="","",INDEX(SPOT_Import!$A$1:$Z$2488,2415,'Live Data'!$C$20)),"")</f>
        <v/>
      </c>
      <c r="J2415" s="54" t="str">
        <f>IFERROR(IF(INDEX(SPOT_Import!$A$1:$Z$2488,2415,'Live Data'!$C$21)="","",INDEX(SPOT_Import!$A$1:$Z$2488,2415,'Live Data'!$C$21)),"")</f>
        <v/>
      </c>
      <c r="K2415" s="54" t="str">
        <f>IFERROR(IF(INDEX(SPOT_Import!$A$1:$Z$2488,2415,'Live Data'!$C$22)="","",INDEX(SPOT_Import!$A$1:$Z$2488,2415,'Live Data'!$C$22)),"")</f>
        <v/>
      </c>
      <c r="L2415" s="55" t="str">
        <f t="shared" si="74"/>
        <v/>
      </c>
      <c r="M2415" s="55" t="str">
        <f t="shared" si="75"/>
        <v/>
      </c>
      <c r="N2415" s="55" t="str">
        <f>IF(A2415="","",IFERROR(INDEX('Cluster Map'!$A$4:$A$38,MATCH(M2415,'Cluster Map'!$B$4:$B$38,0)),"Unmapped"))</f>
        <v/>
      </c>
      <c r="O2415" s="55">
        <f>IF(A2415="",0,IF(COUNTIFS($A$2:A2415,A2415,$F$2:F2415,F2415,$L$2:L2415,L2415)=1,1,0))</f>
        <v>0</v>
      </c>
      <c r="P2415" s="55">
        <f>IF(A2415="",0,IF(AND(F2415="C&amp;T",COUNTIFS($A$2:A2415,A2415,$F$2:F2415,"C&amp;T")=1),1,0))</f>
        <v>0</v>
      </c>
    </row>
    <row r="2416" spans="1:16" x14ac:dyDescent="0.35">
      <c r="A2416" s="54" t="str">
        <f>IFERROR(IF(INDEX(SPOT_Import!$A$1:$Z$2488,2416,'Live Data'!$C$12)="","",INDEX(SPOT_Import!$A$1:$Z$2488,2416,'Live Data'!$C$12)),"")</f>
        <v/>
      </c>
      <c r="B2416" s="54" t="str">
        <f>IFERROR(IF(INDEX(SPOT_Import!$A$1:$Z$2488,2416,'Live Data'!$C$13)="","",INDEX(SPOT_Import!$A$1:$Z$2488,2416,'Live Data'!$C$13)),"")</f>
        <v/>
      </c>
      <c r="C2416" s="54" t="str">
        <f>IFERROR(IF(INDEX(SPOT_Import!$A$1:$Z$2488,2416,'Live Data'!$C$14)="","",INDEX(SPOT_Import!$A$1:$Z$2488,2416,'Live Data'!$C$14)),"")</f>
        <v/>
      </c>
      <c r="D2416" s="54" t="str">
        <f>IFERROR(IF(INDEX(SPOT_Import!$A$1:$Z$2488,2416,'Live Data'!$C$15)="","",INDEX(SPOT_Import!$A$1:$Z$2488,2416,'Live Data'!$C$15)),"")</f>
        <v/>
      </c>
      <c r="E2416" s="54" t="str">
        <f>IFERROR(IF(INDEX(SPOT_Import!$A$1:$Z$2488,2416,'Live Data'!$C$16)="","",INDEX(SPOT_Import!$A$1:$Z$2488,2416,'Live Data'!$C$16)),"")</f>
        <v/>
      </c>
      <c r="F2416" s="54" t="str">
        <f>IFERROR(IF(INDEX(SPOT_Import!$A$1:$Z$2488,2416,'Live Data'!$C$17)="","",INDEX(SPOT_Import!$A$1:$Z$2488,2416,'Live Data'!$C$17)),"")</f>
        <v/>
      </c>
      <c r="G2416" s="54" t="str">
        <f>IFERROR(IF(INDEX(SPOT_Import!$A$1:$Z$2488,2416,'Live Data'!$C$18)="","",INDEX(SPOT_Import!$A$1:$Z$2488,2416,'Live Data'!$C$18)),"")</f>
        <v/>
      </c>
      <c r="H2416" s="54" t="str">
        <f>IFERROR(IF(INDEX(SPOT_Import!$A$1:$Z$2488,2416,'Live Data'!$C$19)="","",INDEX(SPOT_Import!$A$1:$Z$2488,2416,'Live Data'!$C$19)),"")</f>
        <v/>
      </c>
      <c r="I2416" s="54" t="str">
        <f>IFERROR(IF(INDEX(SPOT_Import!$A$1:$Z$2488,2416,'Live Data'!$C$20)="","",INDEX(SPOT_Import!$A$1:$Z$2488,2416,'Live Data'!$C$20)),"")</f>
        <v/>
      </c>
      <c r="J2416" s="54" t="str">
        <f>IFERROR(IF(INDEX(SPOT_Import!$A$1:$Z$2488,2416,'Live Data'!$C$21)="","",INDEX(SPOT_Import!$A$1:$Z$2488,2416,'Live Data'!$C$21)),"")</f>
        <v/>
      </c>
      <c r="K2416" s="54" t="str">
        <f>IFERROR(IF(INDEX(SPOT_Import!$A$1:$Z$2488,2416,'Live Data'!$C$22)="","",INDEX(SPOT_Import!$A$1:$Z$2488,2416,'Live Data'!$C$22)),"")</f>
        <v/>
      </c>
      <c r="L2416" s="55" t="str">
        <f t="shared" si="74"/>
        <v/>
      </c>
      <c r="M2416" s="55" t="str">
        <f t="shared" si="75"/>
        <v/>
      </c>
      <c r="N2416" s="55" t="str">
        <f>IF(A2416="","",IFERROR(INDEX('Cluster Map'!$A$4:$A$38,MATCH(M2416,'Cluster Map'!$B$4:$B$38,0)),"Unmapped"))</f>
        <v/>
      </c>
      <c r="O2416" s="55">
        <f>IF(A2416="",0,IF(COUNTIFS($A$2:A2416,A2416,$F$2:F2416,F2416,$L$2:L2416,L2416)=1,1,0))</f>
        <v>0</v>
      </c>
      <c r="P2416" s="55">
        <f>IF(A2416="",0,IF(AND(F2416="C&amp;T",COUNTIFS($A$2:A2416,A2416,$F$2:F2416,"C&amp;T")=1),1,0))</f>
        <v>0</v>
      </c>
    </row>
    <row r="2417" spans="1:16" x14ac:dyDescent="0.35">
      <c r="A2417" s="54" t="str">
        <f>IFERROR(IF(INDEX(SPOT_Import!$A$1:$Z$2488,2417,'Live Data'!$C$12)="","",INDEX(SPOT_Import!$A$1:$Z$2488,2417,'Live Data'!$C$12)),"")</f>
        <v/>
      </c>
      <c r="B2417" s="54" t="str">
        <f>IFERROR(IF(INDEX(SPOT_Import!$A$1:$Z$2488,2417,'Live Data'!$C$13)="","",INDEX(SPOT_Import!$A$1:$Z$2488,2417,'Live Data'!$C$13)),"")</f>
        <v/>
      </c>
      <c r="C2417" s="54" t="str">
        <f>IFERROR(IF(INDEX(SPOT_Import!$A$1:$Z$2488,2417,'Live Data'!$C$14)="","",INDEX(SPOT_Import!$A$1:$Z$2488,2417,'Live Data'!$C$14)),"")</f>
        <v/>
      </c>
      <c r="D2417" s="54" t="str">
        <f>IFERROR(IF(INDEX(SPOT_Import!$A$1:$Z$2488,2417,'Live Data'!$C$15)="","",INDEX(SPOT_Import!$A$1:$Z$2488,2417,'Live Data'!$C$15)),"")</f>
        <v/>
      </c>
      <c r="E2417" s="54" t="str">
        <f>IFERROR(IF(INDEX(SPOT_Import!$A$1:$Z$2488,2417,'Live Data'!$C$16)="","",INDEX(SPOT_Import!$A$1:$Z$2488,2417,'Live Data'!$C$16)),"")</f>
        <v/>
      </c>
      <c r="F2417" s="54" t="str">
        <f>IFERROR(IF(INDEX(SPOT_Import!$A$1:$Z$2488,2417,'Live Data'!$C$17)="","",INDEX(SPOT_Import!$A$1:$Z$2488,2417,'Live Data'!$C$17)),"")</f>
        <v/>
      </c>
      <c r="G2417" s="54" t="str">
        <f>IFERROR(IF(INDEX(SPOT_Import!$A$1:$Z$2488,2417,'Live Data'!$C$18)="","",INDEX(SPOT_Import!$A$1:$Z$2488,2417,'Live Data'!$C$18)),"")</f>
        <v/>
      </c>
      <c r="H2417" s="54" t="str">
        <f>IFERROR(IF(INDEX(SPOT_Import!$A$1:$Z$2488,2417,'Live Data'!$C$19)="","",INDEX(SPOT_Import!$A$1:$Z$2488,2417,'Live Data'!$C$19)),"")</f>
        <v/>
      </c>
      <c r="I2417" s="54" t="str">
        <f>IFERROR(IF(INDEX(SPOT_Import!$A$1:$Z$2488,2417,'Live Data'!$C$20)="","",INDEX(SPOT_Import!$A$1:$Z$2488,2417,'Live Data'!$C$20)),"")</f>
        <v/>
      </c>
      <c r="J2417" s="54" t="str">
        <f>IFERROR(IF(INDEX(SPOT_Import!$A$1:$Z$2488,2417,'Live Data'!$C$21)="","",INDEX(SPOT_Import!$A$1:$Z$2488,2417,'Live Data'!$C$21)),"")</f>
        <v/>
      </c>
      <c r="K2417" s="54" t="str">
        <f>IFERROR(IF(INDEX(SPOT_Import!$A$1:$Z$2488,2417,'Live Data'!$C$22)="","",INDEX(SPOT_Import!$A$1:$Z$2488,2417,'Live Data'!$C$22)),"")</f>
        <v/>
      </c>
      <c r="L2417" s="55" t="str">
        <f t="shared" si="74"/>
        <v/>
      </c>
      <c r="M2417" s="55" t="str">
        <f t="shared" si="75"/>
        <v/>
      </c>
      <c r="N2417" s="55" t="str">
        <f>IF(A2417="","",IFERROR(INDEX('Cluster Map'!$A$4:$A$38,MATCH(M2417,'Cluster Map'!$B$4:$B$38,0)),"Unmapped"))</f>
        <v/>
      </c>
      <c r="O2417" s="55">
        <f>IF(A2417="",0,IF(COUNTIFS($A$2:A2417,A2417,$F$2:F2417,F2417,$L$2:L2417,L2417)=1,1,0))</f>
        <v>0</v>
      </c>
      <c r="P2417" s="55">
        <f>IF(A2417="",0,IF(AND(F2417="C&amp;T",COUNTIFS($A$2:A2417,A2417,$F$2:F2417,"C&amp;T")=1),1,0))</f>
        <v>0</v>
      </c>
    </row>
    <row r="2418" spans="1:16" x14ac:dyDescent="0.35">
      <c r="A2418" s="54" t="str">
        <f>IFERROR(IF(INDEX(SPOT_Import!$A$1:$Z$2488,2418,'Live Data'!$C$12)="","",INDEX(SPOT_Import!$A$1:$Z$2488,2418,'Live Data'!$C$12)),"")</f>
        <v/>
      </c>
      <c r="B2418" s="54" t="str">
        <f>IFERROR(IF(INDEX(SPOT_Import!$A$1:$Z$2488,2418,'Live Data'!$C$13)="","",INDEX(SPOT_Import!$A$1:$Z$2488,2418,'Live Data'!$C$13)),"")</f>
        <v/>
      </c>
      <c r="C2418" s="54" t="str">
        <f>IFERROR(IF(INDEX(SPOT_Import!$A$1:$Z$2488,2418,'Live Data'!$C$14)="","",INDEX(SPOT_Import!$A$1:$Z$2488,2418,'Live Data'!$C$14)),"")</f>
        <v/>
      </c>
      <c r="D2418" s="54" t="str">
        <f>IFERROR(IF(INDEX(SPOT_Import!$A$1:$Z$2488,2418,'Live Data'!$C$15)="","",INDEX(SPOT_Import!$A$1:$Z$2488,2418,'Live Data'!$C$15)),"")</f>
        <v/>
      </c>
      <c r="E2418" s="54" t="str">
        <f>IFERROR(IF(INDEX(SPOT_Import!$A$1:$Z$2488,2418,'Live Data'!$C$16)="","",INDEX(SPOT_Import!$A$1:$Z$2488,2418,'Live Data'!$C$16)),"")</f>
        <v/>
      </c>
      <c r="F2418" s="54" t="str">
        <f>IFERROR(IF(INDEX(SPOT_Import!$A$1:$Z$2488,2418,'Live Data'!$C$17)="","",INDEX(SPOT_Import!$A$1:$Z$2488,2418,'Live Data'!$C$17)),"")</f>
        <v/>
      </c>
      <c r="G2418" s="54" t="str">
        <f>IFERROR(IF(INDEX(SPOT_Import!$A$1:$Z$2488,2418,'Live Data'!$C$18)="","",INDEX(SPOT_Import!$A$1:$Z$2488,2418,'Live Data'!$C$18)),"")</f>
        <v/>
      </c>
      <c r="H2418" s="54" t="str">
        <f>IFERROR(IF(INDEX(SPOT_Import!$A$1:$Z$2488,2418,'Live Data'!$C$19)="","",INDEX(SPOT_Import!$A$1:$Z$2488,2418,'Live Data'!$C$19)),"")</f>
        <v/>
      </c>
      <c r="I2418" s="54" t="str">
        <f>IFERROR(IF(INDEX(SPOT_Import!$A$1:$Z$2488,2418,'Live Data'!$C$20)="","",INDEX(SPOT_Import!$A$1:$Z$2488,2418,'Live Data'!$C$20)),"")</f>
        <v/>
      </c>
      <c r="J2418" s="54" t="str">
        <f>IFERROR(IF(INDEX(SPOT_Import!$A$1:$Z$2488,2418,'Live Data'!$C$21)="","",INDEX(SPOT_Import!$A$1:$Z$2488,2418,'Live Data'!$C$21)),"")</f>
        <v/>
      </c>
      <c r="K2418" s="54" t="str">
        <f>IFERROR(IF(INDEX(SPOT_Import!$A$1:$Z$2488,2418,'Live Data'!$C$22)="","",INDEX(SPOT_Import!$A$1:$Z$2488,2418,'Live Data'!$C$22)),"")</f>
        <v/>
      </c>
      <c r="L2418" s="55" t="str">
        <f t="shared" si="74"/>
        <v/>
      </c>
      <c r="M2418" s="55" t="str">
        <f t="shared" si="75"/>
        <v/>
      </c>
      <c r="N2418" s="55" t="str">
        <f>IF(A2418="","",IFERROR(INDEX('Cluster Map'!$A$4:$A$38,MATCH(M2418,'Cluster Map'!$B$4:$B$38,0)),"Unmapped"))</f>
        <v/>
      </c>
      <c r="O2418" s="55">
        <f>IF(A2418="",0,IF(COUNTIFS($A$2:A2418,A2418,$F$2:F2418,F2418,$L$2:L2418,L2418)=1,1,0))</f>
        <v>0</v>
      </c>
      <c r="P2418" s="55">
        <f>IF(A2418="",0,IF(AND(F2418="C&amp;T",COUNTIFS($A$2:A2418,A2418,$F$2:F2418,"C&amp;T")=1),1,0))</f>
        <v>0</v>
      </c>
    </row>
    <row r="2419" spans="1:16" x14ac:dyDescent="0.35">
      <c r="A2419" s="54" t="str">
        <f>IFERROR(IF(INDEX(SPOT_Import!$A$1:$Z$2488,2419,'Live Data'!$C$12)="","",INDEX(SPOT_Import!$A$1:$Z$2488,2419,'Live Data'!$C$12)),"")</f>
        <v/>
      </c>
      <c r="B2419" s="54" t="str">
        <f>IFERROR(IF(INDEX(SPOT_Import!$A$1:$Z$2488,2419,'Live Data'!$C$13)="","",INDEX(SPOT_Import!$A$1:$Z$2488,2419,'Live Data'!$C$13)),"")</f>
        <v/>
      </c>
      <c r="C2419" s="54" t="str">
        <f>IFERROR(IF(INDEX(SPOT_Import!$A$1:$Z$2488,2419,'Live Data'!$C$14)="","",INDEX(SPOT_Import!$A$1:$Z$2488,2419,'Live Data'!$C$14)),"")</f>
        <v/>
      </c>
      <c r="D2419" s="54" t="str">
        <f>IFERROR(IF(INDEX(SPOT_Import!$A$1:$Z$2488,2419,'Live Data'!$C$15)="","",INDEX(SPOT_Import!$A$1:$Z$2488,2419,'Live Data'!$C$15)),"")</f>
        <v/>
      </c>
      <c r="E2419" s="54" t="str">
        <f>IFERROR(IF(INDEX(SPOT_Import!$A$1:$Z$2488,2419,'Live Data'!$C$16)="","",INDEX(SPOT_Import!$A$1:$Z$2488,2419,'Live Data'!$C$16)),"")</f>
        <v/>
      </c>
      <c r="F2419" s="54" t="str">
        <f>IFERROR(IF(INDEX(SPOT_Import!$A$1:$Z$2488,2419,'Live Data'!$C$17)="","",INDEX(SPOT_Import!$A$1:$Z$2488,2419,'Live Data'!$C$17)),"")</f>
        <v/>
      </c>
      <c r="G2419" s="54" t="str">
        <f>IFERROR(IF(INDEX(SPOT_Import!$A$1:$Z$2488,2419,'Live Data'!$C$18)="","",INDEX(SPOT_Import!$A$1:$Z$2488,2419,'Live Data'!$C$18)),"")</f>
        <v/>
      </c>
      <c r="H2419" s="54" t="str">
        <f>IFERROR(IF(INDEX(SPOT_Import!$A$1:$Z$2488,2419,'Live Data'!$C$19)="","",INDEX(SPOT_Import!$A$1:$Z$2488,2419,'Live Data'!$C$19)),"")</f>
        <v/>
      </c>
      <c r="I2419" s="54" t="str">
        <f>IFERROR(IF(INDEX(SPOT_Import!$A$1:$Z$2488,2419,'Live Data'!$C$20)="","",INDEX(SPOT_Import!$A$1:$Z$2488,2419,'Live Data'!$C$20)),"")</f>
        <v/>
      </c>
      <c r="J2419" s="54" t="str">
        <f>IFERROR(IF(INDEX(SPOT_Import!$A$1:$Z$2488,2419,'Live Data'!$C$21)="","",INDEX(SPOT_Import!$A$1:$Z$2488,2419,'Live Data'!$C$21)),"")</f>
        <v/>
      </c>
      <c r="K2419" s="54" t="str">
        <f>IFERROR(IF(INDEX(SPOT_Import!$A$1:$Z$2488,2419,'Live Data'!$C$22)="","",INDEX(SPOT_Import!$A$1:$Z$2488,2419,'Live Data'!$C$22)),"")</f>
        <v/>
      </c>
      <c r="L2419" s="55" t="str">
        <f t="shared" si="74"/>
        <v/>
      </c>
      <c r="M2419" s="55" t="str">
        <f t="shared" si="75"/>
        <v/>
      </c>
      <c r="N2419" s="55" t="str">
        <f>IF(A2419="","",IFERROR(INDEX('Cluster Map'!$A$4:$A$38,MATCH(M2419,'Cluster Map'!$B$4:$B$38,0)),"Unmapped"))</f>
        <v/>
      </c>
      <c r="O2419" s="55">
        <f>IF(A2419="",0,IF(COUNTIFS($A$2:A2419,A2419,$F$2:F2419,F2419,$L$2:L2419,L2419)=1,1,0))</f>
        <v>0</v>
      </c>
      <c r="P2419" s="55">
        <f>IF(A2419="",0,IF(AND(F2419="C&amp;T",COUNTIFS($A$2:A2419,A2419,$F$2:F2419,"C&amp;T")=1),1,0))</f>
        <v>0</v>
      </c>
    </row>
    <row r="2420" spans="1:16" x14ac:dyDescent="0.35">
      <c r="A2420" s="54" t="str">
        <f>IFERROR(IF(INDEX(SPOT_Import!$A$1:$Z$2488,2420,'Live Data'!$C$12)="","",INDEX(SPOT_Import!$A$1:$Z$2488,2420,'Live Data'!$C$12)),"")</f>
        <v/>
      </c>
      <c r="B2420" s="54" t="str">
        <f>IFERROR(IF(INDEX(SPOT_Import!$A$1:$Z$2488,2420,'Live Data'!$C$13)="","",INDEX(SPOT_Import!$A$1:$Z$2488,2420,'Live Data'!$C$13)),"")</f>
        <v/>
      </c>
      <c r="C2420" s="54" t="str">
        <f>IFERROR(IF(INDEX(SPOT_Import!$A$1:$Z$2488,2420,'Live Data'!$C$14)="","",INDEX(SPOT_Import!$A$1:$Z$2488,2420,'Live Data'!$C$14)),"")</f>
        <v/>
      </c>
      <c r="D2420" s="54" t="str">
        <f>IFERROR(IF(INDEX(SPOT_Import!$A$1:$Z$2488,2420,'Live Data'!$C$15)="","",INDEX(SPOT_Import!$A$1:$Z$2488,2420,'Live Data'!$C$15)),"")</f>
        <v/>
      </c>
      <c r="E2420" s="54" t="str">
        <f>IFERROR(IF(INDEX(SPOT_Import!$A$1:$Z$2488,2420,'Live Data'!$C$16)="","",INDEX(SPOT_Import!$A$1:$Z$2488,2420,'Live Data'!$C$16)),"")</f>
        <v/>
      </c>
      <c r="F2420" s="54" t="str">
        <f>IFERROR(IF(INDEX(SPOT_Import!$A$1:$Z$2488,2420,'Live Data'!$C$17)="","",INDEX(SPOT_Import!$A$1:$Z$2488,2420,'Live Data'!$C$17)),"")</f>
        <v/>
      </c>
      <c r="G2420" s="54" t="str">
        <f>IFERROR(IF(INDEX(SPOT_Import!$A$1:$Z$2488,2420,'Live Data'!$C$18)="","",INDEX(SPOT_Import!$A$1:$Z$2488,2420,'Live Data'!$C$18)),"")</f>
        <v/>
      </c>
      <c r="H2420" s="54" t="str">
        <f>IFERROR(IF(INDEX(SPOT_Import!$A$1:$Z$2488,2420,'Live Data'!$C$19)="","",INDEX(SPOT_Import!$A$1:$Z$2488,2420,'Live Data'!$C$19)),"")</f>
        <v/>
      </c>
      <c r="I2420" s="54" t="str">
        <f>IFERROR(IF(INDEX(SPOT_Import!$A$1:$Z$2488,2420,'Live Data'!$C$20)="","",INDEX(SPOT_Import!$A$1:$Z$2488,2420,'Live Data'!$C$20)),"")</f>
        <v/>
      </c>
      <c r="J2420" s="54" t="str">
        <f>IFERROR(IF(INDEX(SPOT_Import!$A$1:$Z$2488,2420,'Live Data'!$C$21)="","",INDEX(SPOT_Import!$A$1:$Z$2488,2420,'Live Data'!$C$21)),"")</f>
        <v/>
      </c>
      <c r="K2420" s="54" t="str">
        <f>IFERROR(IF(INDEX(SPOT_Import!$A$1:$Z$2488,2420,'Live Data'!$C$22)="","",INDEX(SPOT_Import!$A$1:$Z$2488,2420,'Live Data'!$C$22)),"")</f>
        <v/>
      </c>
      <c r="L2420" s="55" t="str">
        <f t="shared" si="74"/>
        <v/>
      </c>
      <c r="M2420" s="55" t="str">
        <f t="shared" si="75"/>
        <v/>
      </c>
      <c r="N2420" s="55" t="str">
        <f>IF(A2420="","",IFERROR(INDEX('Cluster Map'!$A$4:$A$38,MATCH(M2420,'Cluster Map'!$B$4:$B$38,0)),"Unmapped"))</f>
        <v/>
      </c>
      <c r="O2420" s="55">
        <f>IF(A2420="",0,IF(COUNTIFS($A$2:A2420,A2420,$F$2:F2420,F2420,$L$2:L2420,L2420)=1,1,0))</f>
        <v>0</v>
      </c>
      <c r="P2420" s="55">
        <f>IF(A2420="",0,IF(AND(F2420="C&amp;T",COUNTIFS($A$2:A2420,A2420,$F$2:F2420,"C&amp;T")=1),1,0))</f>
        <v>0</v>
      </c>
    </row>
    <row r="2421" spans="1:16" x14ac:dyDescent="0.35">
      <c r="A2421" s="54" t="str">
        <f>IFERROR(IF(INDEX(SPOT_Import!$A$1:$Z$2488,2421,'Live Data'!$C$12)="","",INDEX(SPOT_Import!$A$1:$Z$2488,2421,'Live Data'!$C$12)),"")</f>
        <v/>
      </c>
      <c r="B2421" s="54" t="str">
        <f>IFERROR(IF(INDEX(SPOT_Import!$A$1:$Z$2488,2421,'Live Data'!$C$13)="","",INDEX(SPOT_Import!$A$1:$Z$2488,2421,'Live Data'!$C$13)),"")</f>
        <v/>
      </c>
      <c r="C2421" s="54" t="str">
        <f>IFERROR(IF(INDEX(SPOT_Import!$A$1:$Z$2488,2421,'Live Data'!$C$14)="","",INDEX(SPOT_Import!$A$1:$Z$2488,2421,'Live Data'!$C$14)),"")</f>
        <v/>
      </c>
      <c r="D2421" s="54" t="str">
        <f>IFERROR(IF(INDEX(SPOT_Import!$A$1:$Z$2488,2421,'Live Data'!$C$15)="","",INDEX(SPOT_Import!$A$1:$Z$2488,2421,'Live Data'!$C$15)),"")</f>
        <v/>
      </c>
      <c r="E2421" s="54" t="str">
        <f>IFERROR(IF(INDEX(SPOT_Import!$A$1:$Z$2488,2421,'Live Data'!$C$16)="","",INDEX(SPOT_Import!$A$1:$Z$2488,2421,'Live Data'!$C$16)),"")</f>
        <v/>
      </c>
      <c r="F2421" s="54" t="str">
        <f>IFERROR(IF(INDEX(SPOT_Import!$A$1:$Z$2488,2421,'Live Data'!$C$17)="","",INDEX(SPOT_Import!$A$1:$Z$2488,2421,'Live Data'!$C$17)),"")</f>
        <v/>
      </c>
      <c r="G2421" s="54" t="str">
        <f>IFERROR(IF(INDEX(SPOT_Import!$A$1:$Z$2488,2421,'Live Data'!$C$18)="","",INDEX(SPOT_Import!$A$1:$Z$2488,2421,'Live Data'!$C$18)),"")</f>
        <v/>
      </c>
      <c r="H2421" s="54" t="str">
        <f>IFERROR(IF(INDEX(SPOT_Import!$A$1:$Z$2488,2421,'Live Data'!$C$19)="","",INDEX(SPOT_Import!$A$1:$Z$2488,2421,'Live Data'!$C$19)),"")</f>
        <v/>
      </c>
      <c r="I2421" s="54" t="str">
        <f>IFERROR(IF(INDEX(SPOT_Import!$A$1:$Z$2488,2421,'Live Data'!$C$20)="","",INDEX(SPOT_Import!$A$1:$Z$2488,2421,'Live Data'!$C$20)),"")</f>
        <v/>
      </c>
      <c r="J2421" s="54" t="str">
        <f>IFERROR(IF(INDEX(SPOT_Import!$A$1:$Z$2488,2421,'Live Data'!$C$21)="","",INDEX(SPOT_Import!$A$1:$Z$2488,2421,'Live Data'!$C$21)),"")</f>
        <v/>
      </c>
      <c r="K2421" s="54" t="str">
        <f>IFERROR(IF(INDEX(SPOT_Import!$A$1:$Z$2488,2421,'Live Data'!$C$22)="","",INDEX(SPOT_Import!$A$1:$Z$2488,2421,'Live Data'!$C$22)),"")</f>
        <v/>
      </c>
      <c r="L2421" s="55" t="str">
        <f t="shared" si="74"/>
        <v/>
      </c>
      <c r="M2421" s="55" t="str">
        <f t="shared" si="75"/>
        <v/>
      </c>
      <c r="N2421" s="55" t="str">
        <f>IF(A2421="","",IFERROR(INDEX('Cluster Map'!$A$4:$A$38,MATCH(M2421,'Cluster Map'!$B$4:$B$38,0)),"Unmapped"))</f>
        <v/>
      </c>
      <c r="O2421" s="55">
        <f>IF(A2421="",0,IF(COUNTIFS($A$2:A2421,A2421,$F$2:F2421,F2421,$L$2:L2421,L2421)=1,1,0))</f>
        <v>0</v>
      </c>
      <c r="P2421" s="55">
        <f>IF(A2421="",0,IF(AND(F2421="C&amp;T",COUNTIFS($A$2:A2421,A2421,$F$2:F2421,"C&amp;T")=1),1,0))</f>
        <v>0</v>
      </c>
    </row>
    <row r="2422" spans="1:16" x14ac:dyDescent="0.35">
      <c r="A2422" s="54" t="str">
        <f>IFERROR(IF(INDEX(SPOT_Import!$A$1:$Z$2488,2422,'Live Data'!$C$12)="","",INDEX(SPOT_Import!$A$1:$Z$2488,2422,'Live Data'!$C$12)),"")</f>
        <v/>
      </c>
      <c r="B2422" s="54" t="str">
        <f>IFERROR(IF(INDEX(SPOT_Import!$A$1:$Z$2488,2422,'Live Data'!$C$13)="","",INDEX(SPOT_Import!$A$1:$Z$2488,2422,'Live Data'!$C$13)),"")</f>
        <v/>
      </c>
      <c r="C2422" s="54" t="str">
        <f>IFERROR(IF(INDEX(SPOT_Import!$A$1:$Z$2488,2422,'Live Data'!$C$14)="","",INDEX(SPOT_Import!$A$1:$Z$2488,2422,'Live Data'!$C$14)),"")</f>
        <v/>
      </c>
      <c r="D2422" s="54" t="str">
        <f>IFERROR(IF(INDEX(SPOT_Import!$A$1:$Z$2488,2422,'Live Data'!$C$15)="","",INDEX(SPOT_Import!$A$1:$Z$2488,2422,'Live Data'!$C$15)),"")</f>
        <v/>
      </c>
      <c r="E2422" s="54" t="str">
        <f>IFERROR(IF(INDEX(SPOT_Import!$A$1:$Z$2488,2422,'Live Data'!$C$16)="","",INDEX(SPOT_Import!$A$1:$Z$2488,2422,'Live Data'!$C$16)),"")</f>
        <v/>
      </c>
      <c r="F2422" s="54" t="str">
        <f>IFERROR(IF(INDEX(SPOT_Import!$A$1:$Z$2488,2422,'Live Data'!$C$17)="","",INDEX(SPOT_Import!$A$1:$Z$2488,2422,'Live Data'!$C$17)),"")</f>
        <v/>
      </c>
      <c r="G2422" s="54" t="str">
        <f>IFERROR(IF(INDEX(SPOT_Import!$A$1:$Z$2488,2422,'Live Data'!$C$18)="","",INDEX(SPOT_Import!$A$1:$Z$2488,2422,'Live Data'!$C$18)),"")</f>
        <v/>
      </c>
      <c r="H2422" s="54" t="str">
        <f>IFERROR(IF(INDEX(SPOT_Import!$A$1:$Z$2488,2422,'Live Data'!$C$19)="","",INDEX(SPOT_Import!$A$1:$Z$2488,2422,'Live Data'!$C$19)),"")</f>
        <v/>
      </c>
      <c r="I2422" s="54" t="str">
        <f>IFERROR(IF(INDEX(SPOT_Import!$A$1:$Z$2488,2422,'Live Data'!$C$20)="","",INDEX(SPOT_Import!$A$1:$Z$2488,2422,'Live Data'!$C$20)),"")</f>
        <v/>
      </c>
      <c r="J2422" s="54" t="str">
        <f>IFERROR(IF(INDEX(SPOT_Import!$A$1:$Z$2488,2422,'Live Data'!$C$21)="","",INDEX(SPOT_Import!$A$1:$Z$2488,2422,'Live Data'!$C$21)),"")</f>
        <v/>
      </c>
      <c r="K2422" s="54" t="str">
        <f>IFERROR(IF(INDEX(SPOT_Import!$A$1:$Z$2488,2422,'Live Data'!$C$22)="","",INDEX(SPOT_Import!$A$1:$Z$2488,2422,'Live Data'!$C$22)),"")</f>
        <v/>
      </c>
      <c r="L2422" s="55" t="str">
        <f t="shared" si="74"/>
        <v/>
      </c>
      <c r="M2422" s="55" t="str">
        <f t="shared" si="75"/>
        <v/>
      </c>
      <c r="N2422" s="55" t="str">
        <f>IF(A2422="","",IFERROR(INDEX('Cluster Map'!$A$4:$A$38,MATCH(M2422,'Cluster Map'!$B$4:$B$38,0)),"Unmapped"))</f>
        <v/>
      </c>
      <c r="O2422" s="55">
        <f>IF(A2422="",0,IF(COUNTIFS($A$2:A2422,A2422,$F$2:F2422,F2422,$L$2:L2422,L2422)=1,1,0))</f>
        <v>0</v>
      </c>
      <c r="P2422" s="55">
        <f>IF(A2422="",0,IF(AND(F2422="C&amp;T",COUNTIFS($A$2:A2422,A2422,$F$2:F2422,"C&amp;T")=1),1,0))</f>
        <v>0</v>
      </c>
    </row>
    <row r="2423" spans="1:16" x14ac:dyDescent="0.35">
      <c r="A2423" s="54" t="str">
        <f>IFERROR(IF(INDEX(SPOT_Import!$A$1:$Z$2488,2423,'Live Data'!$C$12)="","",INDEX(SPOT_Import!$A$1:$Z$2488,2423,'Live Data'!$C$12)),"")</f>
        <v/>
      </c>
      <c r="B2423" s="54" t="str">
        <f>IFERROR(IF(INDEX(SPOT_Import!$A$1:$Z$2488,2423,'Live Data'!$C$13)="","",INDEX(SPOT_Import!$A$1:$Z$2488,2423,'Live Data'!$C$13)),"")</f>
        <v/>
      </c>
      <c r="C2423" s="54" t="str">
        <f>IFERROR(IF(INDEX(SPOT_Import!$A$1:$Z$2488,2423,'Live Data'!$C$14)="","",INDEX(SPOT_Import!$A$1:$Z$2488,2423,'Live Data'!$C$14)),"")</f>
        <v/>
      </c>
      <c r="D2423" s="54" t="str">
        <f>IFERROR(IF(INDEX(SPOT_Import!$A$1:$Z$2488,2423,'Live Data'!$C$15)="","",INDEX(SPOT_Import!$A$1:$Z$2488,2423,'Live Data'!$C$15)),"")</f>
        <v/>
      </c>
      <c r="E2423" s="54" t="str">
        <f>IFERROR(IF(INDEX(SPOT_Import!$A$1:$Z$2488,2423,'Live Data'!$C$16)="","",INDEX(SPOT_Import!$A$1:$Z$2488,2423,'Live Data'!$C$16)),"")</f>
        <v/>
      </c>
      <c r="F2423" s="54" t="str">
        <f>IFERROR(IF(INDEX(SPOT_Import!$A$1:$Z$2488,2423,'Live Data'!$C$17)="","",INDEX(SPOT_Import!$A$1:$Z$2488,2423,'Live Data'!$C$17)),"")</f>
        <v/>
      </c>
      <c r="G2423" s="54" t="str">
        <f>IFERROR(IF(INDEX(SPOT_Import!$A$1:$Z$2488,2423,'Live Data'!$C$18)="","",INDEX(SPOT_Import!$A$1:$Z$2488,2423,'Live Data'!$C$18)),"")</f>
        <v/>
      </c>
      <c r="H2423" s="54" t="str">
        <f>IFERROR(IF(INDEX(SPOT_Import!$A$1:$Z$2488,2423,'Live Data'!$C$19)="","",INDEX(SPOT_Import!$A$1:$Z$2488,2423,'Live Data'!$C$19)),"")</f>
        <v/>
      </c>
      <c r="I2423" s="54" t="str">
        <f>IFERROR(IF(INDEX(SPOT_Import!$A$1:$Z$2488,2423,'Live Data'!$C$20)="","",INDEX(SPOT_Import!$A$1:$Z$2488,2423,'Live Data'!$C$20)),"")</f>
        <v/>
      </c>
      <c r="J2423" s="54" t="str">
        <f>IFERROR(IF(INDEX(SPOT_Import!$A$1:$Z$2488,2423,'Live Data'!$C$21)="","",INDEX(SPOT_Import!$A$1:$Z$2488,2423,'Live Data'!$C$21)),"")</f>
        <v/>
      </c>
      <c r="K2423" s="54" t="str">
        <f>IFERROR(IF(INDEX(SPOT_Import!$A$1:$Z$2488,2423,'Live Data'!$C$22)="","",INDEX(SPOT_Import!$A$1:$Z$2488,2423,'Live Data'!$C$22)),"")</f>
        <v/>
      </c>
      <c r="L2423" s="55" t="str">
        <f t="shared" si="74"/>
        <v/>
      </c>
      <c r="M2423" s="55" t="str">
        <f t="shared" si="75"/>
        <v/>
      </c>
      <c r="N2423" s="55" t="str">
        <f>IF(A2423="","",IFERROR(INDEX('Cluster Map'!$A$4:$A$38,MATCH(M2423,'Cluster Map'!$B$4:$B$38,0)),"Unmapped"))</f>
        <v/>
      </c>
      <c r="O2423" s="55">
        <f>IF(A2423="",0,IF(COUNTIFS($A$2:A2423,A2423,$F$2:F2423,F2423,$L$2:L2423,L2423)=1,1,0))</f>
        <v>0</v>
      </c>
      <c r="P2423" s="55">
        <f>IF(A2423="",0,IF(AND(F2423="C&amp;T",COUNTIFS($A$2:A2423,A2423,$F$2:F2423,"C&amp;T")=1),1,0))</f>
        <v>0</v>
      </c>
    </row>
    <row r="2424" spans="1:16" x14ac:dyDescent="0.35">
      <c r="A2424" s="54" t="str">
        <f>IFERROR(IF(INDEX(SPOT_Import!$A$1:$Z$2488,2424,'Live Data'!$C$12)="","",INDEX(SPOT_Import!$A$1:$Z$2488,2424,'Live Data'!$C$12)),"")</f>
        <v/>
      </c>
      <c r="B2424" s="54" t="str">
        <f>IFERROR(IF(INDEX(SPOT_Import!$A$1:$Z$2488,2424,'Live Data'!$C$13)="","",INDEX(SPOT_Import!$A$1:$Z$2488,2424,'Live Data'!$C$13)),"")</f>
        <v/>
      </c>
      <c r="C2424" s="54" t="str">
        <f>IFERROR(IF(INDEX(SPOT_Import!$A$1:$Z$2488,2424,'Live Data'!$C$14)="","",INDEX(SPOT_Import!$A$1:$Z$2488,2424,'Live Data'!$C$14)),"")</f>
        <v/>
      </c>
      <c r="D2424" s="54" t="str">
        <f>IFERROR(IF(INDEX(SPOT_Import!$A$1:$Z$2488,2424,'Live Data'!$C$15)="","",INDEX(SPOT_Import!$A$1:$Z$2488,2424,'Live Data'!$C$15)),"")</f>
        <v/>
      </c>
      <c r="E2424" s="54" t="str">
        <f>IFERROR(IF(INDEX(SPOT_Import!$A$1:$Z$2488,2424,'Live Data'!$C$16)="","",INDEX(SPOT_Import!$A$1:$Z$2488,2424,'Live Data'!$C$16)),"")</f>
        <v/>
      </c>
      <c r="F2424" s="54" t="str">
        <f>IFERROR(IF(INDEX(SPOT_Import!$A$1:$Z$2488,2424,'Live Data'!$C$17)="","",INDEX(SPOT_Import!$A$1:$Z$2488,2424,'Live Data'!$C$17)),"")</f>
        <v/>
      </c>
      <c r="G2424" s="54" t="str">
        <f>IFERROR(IF(INDEX(SPOT_Import!$A$1:$Z$2488,2424,'Live Data'!$C$18)="","",INDEX(SPOT_Import!$A$1:$Z$2488,2424,'Live Data'!$C$18)),"")</f>
        <v/>
      </c>
      <c r="H2424" s="54" t="str">
        <f>IFERROR(IF(INDEX(SPOT_Import!$A$1:$Z$2488,2424,'Live Data'!$C$19)="","",INDEX(SPOT_Import!$A$1:$Z$2488,2424,'Live Data'!$C$19)),"")</f>
        <v/>
      </c>
      <c r="I2424" s="54" t="str">
        <f>IFERROR(IF(INDEX(SPOT_Import!$A$1:$Z$2488,2424,'Live Data'!$C$20)="","",INDEX(SPOT_Import!$A$1:$Z$2488,2424,'Live Data'!$C$20)),"")</f>
        <v/>
      </c>
      <c r="J2424" s="54" t="str">
        <f>IFERROR(IF(INDEX(SPOT_Import!$A$1:$Z$2488,2424,'Live Data'!$C$21)="","",INDEX(SPOT_Import!$A$1:$Z$2488,2424,'Live Data'!$C$21)),"")</f>
        <v/>
      </c>
      <c r="K2424" s="54" t="str">
        <f>IFERROR(IF(INDEX(SPOT_Import!$A$1:$Z$2488,2424,'Live Data'!$C$22)="","",INDEX(SPOT_Import!$A$1:$Z$2488,2424,'Live Data'!$C$22)),"")</f>
        <v/>
      </c>
      <c r="L2424" s="55" t="str">
        <f t="shared" si="74"/>
        <v/>
      </c>
      <c r="M2424" s="55" t="str">
        <f t="shared" si="75"/>
        <v/>
      </c>
      <c r="N2424" s="55" t="str">
        <f>IF(A2424="","",IFERROR(INDEX('Cluster Map'!$A$4:$A$38,MATCH(M2424,'Cluster Map'!$B$4:$B$38,0)),"Unmapped"))</f>
        <v/>
      </c>
      <c r="O2424" s="55">
        <f>IF(A2424="",0,IF(COUNTIFS($A$2:A2424,A2424,$F$2:F2424,F2424,$L$2:L2424,L2424)=1,1,0))</f>
        <v>0</v>
      </c>
      <c r="P2424" s="55">
        <f>IF(A2424="",0,IF(AND(F2424="C&amp;T",COUNTIFS($A$2:A2424,A2424,$F$2:F2424,"C&amp;T")=1),1,0))</f>
        <v>0</v>
      </c>
    </row>
    <row r="2425" spans="1:16" x14ac:dyDescent="0.35">
      <c r="A2425" s="54" t="str">
        <f>IFERROR(IF(INDEX(SPOT_Import!$A$1:$Z$2488,2425,'Live Data'!$C$12)="","",INDEX(SPOT_Import!$A$1:$Z$2488,2425,'Live Data'!$C$12)),"")</f>
        <v/>
      </c>
      <c r="B2425" s="54" t="str">
        <f>IFERROR(IF(INDEX(SPOT_Import!$A$1:$Z$2488,2425,'Live Data'!$C$13)="","",INDEX(SPOT_Import!$A$1:$Z$2488,2425,'Live Data'!$C$13)),"")</f>
        <v/>
      </c>
      <c r="C2425" s="54" t="str">
        <f>IFERROR(IF(INDEX(SPOT_Import!$A$1:$Z$2488,2425,'Live Data'!$C$14)="","",INDEX(SPOT_Import!$A$1:$Z$2488,2425,'Live Data'!$C$14)),"")</f>
        <v/>
      </c>
      <c r="D2425" s="54" t="str">
        <f>IFERROR(IF(INDEX(SPOT_Import!$A$1:$Z$2488,2425,'Live Data'!$C$15)="","",INDEX(SPOT_Import!$A$1:$Z$2488,2425,'Live Data'!$C$15)),"")</f>
        <v/>
      </c>
      <c r="E2425" s="54" t="str">
        <f>IFERROR(IF(INDEX(SPOT_Import!$A$1:$Z$2488,2425,'Live Data'!$C$16)="","",INDEX(SPOT_Import!$A$1:$Z$2488,2425,'Live Data'!$C$16)),"")</f>
        <v/>
      </c>
      <c r="F2425" s="54" t="str">
        <f>IFERROR(IF(INDEX(SPOT_Import!$A$1:$Z$2488,2425,'Live Data'!$C$17)="","",INDEX(SPOT_Import!$A$1:$Z$2488,2425,'Live Data'!$C$17)),"")</f>
        <v/>
      </c>
      <c r="G2425" s="54" t="str">
        <f>IFERROR(IF(INDEX(SPOT_Import!$A$1:$Z$2488,2425,'Live Data'!$C$18)="","",INDEX(SPOT_Import!$A$1:$Z$2488,2425,'Live Data'!$C$18)),"")</f>
        <v/>
      </c>
      <c r="H2425" s="54" t="str">
        <f>IFERROR(IF(INDEX(SPOT_Import!$A$1:$Z$2488,2425,'Live Data'!$C$19)="","",INDEX(SPOT_Import!$A$1:$Z$2488,2425,'Live Data'!$C$19)),"")</f>
        <v/>
      </c>
      <c r="I2425" s="54" t="str">
        <f>IFERROR(IF(INDEX(SPOT_Import!$A$1:$Z$2488,2425,'Live Data'!$C$20)="","",INDEX(SPOT_Import!$A$1:$Z$2488,2425,'Live Data'!$C$20)),"")</f>
        <v/>
      </c>
      <c r="J2425" s="54" t="str">
        <f>IFERROR(IF(INDEX(SPOT_Import!$A$1:$Z$2488,2425,'Live Data'!$C$21)="","",INDEX(SPOT_Import!$A$1:$Z$2488,2425,'Live Data'!$C$21)),"")</f>
        <v/>
      </c>
      <c r="K2425" s="54" t="str">
        <f>IFERROR(IF(INDEX(SPOT_Import!$A$1:$Z$2488,2425,'Live Data'!$C$22)="","",INDEX(SPOT_Import!$A$1:$Z$2488,2425,'Live Data'!$C$22)),"")</f>
        <v/>
      </c>
      <c r="L2425" s="55" t="str">
        <f t="shared" si="74"/>
        <v/>
      </c>
      <c r="M2425" s="55" t="str">
        <f t="shared" si="75"/>
        <v/>
      </c>
      <c r="N2425" s="55" t="str">
        <f>IF(A2425="","",IFERROR(INDEX('Cluster Map'!$A$4:$A$38,MATCH(M2425,'Cluster Map'!$B$4:$B$38,0)),"Unmapped"))</f>
        <v/>
      </c>
      <c r="O2425" s="55">
        <f>IF(A2425="",0,IF(COUNTIFS($A$2:A2425,A2425,$F$2:F2425,F2425,$L$2:L2425,L2425)=1,1,0))</f>
        <v>0</v>
      </c>
      <c r="P2425" s="55">
        <f>IF(A2425="",0,IF(AND(F2425="C&amp;T",COUNTIFS($A$2:A2425,A2425,$F$2:F2425,"C&amp;T")=1),1,0))</f>
        <v>0</v>
      </c>
    </row>
    <row r="2426" spans="1:16" x14ac:dyDescent="0.35">
      <c r="A2426" s="54" t="str">
        <f>IFERROR(IF(INDEX(SPOT_Import!$A$1:$Z$2488,2426,'Live Data'!$C$12)="","",INDEX(SPOT_Import!$A$1:$Z$2488,2426,'Live Data'!$C$12)),"")</f>
        <v/>
      </c>
      <c r="B2426" s="54" t="str">
        <f>IFERROR(IF(INDEX(SPOT_Import!$A$1:$Z$2488,2426,'Live Data'!$C$13)="","",INDEX(SPOT_Import!$A$1:$Z$2488,2426,'Live Data'!$C$13)),"")</f>
        <v/>
      </c>
      <c r="C2426" s="54" t="str">
        <f>IFERROR(IF(INDEX(SPOT_Import!$A$1:$Z$2488,2426,'Live Data'!$C$14)="","",INDEX(SPOT_Import!$A$1:$Z$2488,2426,'Live Data'!$C$14)),"")</f>
        <v/>
      </c>
      <c r="D2426" s="54" t="str">
        <f>IFERROR(IF(INDEX(SPOT_Import!$A$1:$Z$2488,2426,'Live Data'!$C$15)="","",INDEX(SPOT_Import!$A$1:$Z$2488,2426,'Live Data'!$C$15)),"")</f>
        <v/>
      </c>
      <c r="E2426" s="54" t="str">
        <f>IFERROR(IF(INDEX(SPOT_Import!$A$1:$Z$2488,2426,'Live Data'!$C$16)="","",INDEX(SPOT_Import!$A$1:$Z$2488,2426,'Live Data'!$C$16)),"")</f>
        <v/>
      </c>
      <c r="F2426" s="54" t="str">
        <f>IFERROR(IF(INDEX(SPOT_Import!$A$1:$Z$2488,2426,'Live Data'!$C$17)="","",INDEX(SPOT_Import!$A$1:$Z$2488,2426,'Live Data'!$C$17)),"")</f>
        <v/>
      </c>
      <c r="G2426" s="54" t="str">
        <f>IFERROR(IF(INDEX(SPOT_Import!$A$1:$Z$2488,2426,'Live Data'!$C$18)="","",INDEX(SPOT_Import!$A$1:$Z$2488,2426,'Live Data'!$C$18)),"")</f>
        <v/>
      </c>
      <c r="H2426" s="54" t="str">
        <f>IFERROR(IF(INDEX(SPOT_Import!$A$1:$Z$2488,2426,'Live Data'!$C$19)="","",INDEX(SPOT_Import!$A$1:$Z$2488,2426,'Live Data'!$C$19)),"")</f>
        <v/>
      </c>
      <c r="I2426" s="54" t="str">
        <f>IFERROR(IF(INDEX(SPOT_Import!$A$1:$Z$2488,2426,'Live Data'!$C$20)="","",INDEX(SPOT_Import!$A$1:$Z$2488,2426,'Live Data'!$C$20)),"")</f>
        <v/>
      </c>
      <c r="J2426" s="54" t="str">
        <f>IFERROR(IF(INDEX(SPOT_Import!$A$1:$Z$2488,2426,'Live Data'!$C$21)="","",INDEX(SPOT_Import!$A$1:$Z$2488,2426,'Live Data'!$C$21)),"")</f>
        <v/>
      </c>
      <c r="K2426" s="54" t="str">
        <f>IFERROR(IF(INDEX(SPOT_Import!$A$1:$Z$2488,2426,'Live Data'!$C$22)="","",INDEX(SPOT_Import!$A$1:$Z$2488,2426,'Live Data'!$C$22)),"")</f>
        <v/>
      </c>
      <c r="L2426" s="55" t="str">
        <f t="shared" si="74"/>
        <v/>
      </c>
      <c r="M2426" s="55" t="str">
        <f t="shared" si="75"/>
        <v/>
      </c>
      <c r="N2426" s="55" t="str">
        <f>IF(A2426="","",IFERROR(INDEX('Cluster Map'!$A$4:$A$38,MATCH(M2426,'Cluster Map'!$B$4:$B$38,0)),"Unmapped"))</f>
        <v/>
      </c>
      <c r="O2426" s="55">
        <f>IF(A2426="",0,IF(COUNTIFS($A$2:A2426,A2426,$F$2:F2426,F2426,$L$2:L2426,L2426)=1,1,0))</f>
        <v>0</v>
      </c>
      <c r="P2426" s="55">
        <f>IF(A2426="",0,IF(AND(F2426="C&amp;T",COUNTIFS($A$2:A2426,A2426,$F$2:F2426,"C&amp;T")=1),1,0))</f>
        <v>0</v>
      </c>
    </row>
    <row r="2427" spans="1:16" x14ac:dyDescent="0.35">
      <c r="A2427" s="54" t="str">
        <f>IFERROR(IF(INDEX(SPOT_Import!$A$1:$Z$2488,2427,'Live Data'!$C$12)="","",INDEX(SPOT_Import!$A$1:$Z$2488,2427,'Live Data'!$C$12)),"")</f>
        <v/>
      </c>
      <c r="B2427" s="54" t="str">
        <f>IFERROR(IF(INDEX(SPOT_Import!$A$1:$Z$2488,2427,'Live Data'!$C$13)="","",INDEX(SPOT_Import!$A$1:$Z$2488,2427,'Live Data'!$C$13)),"")</f>
        <v/>
      </c>
      <c r="C2427" s="54" t="str">
        <f>IFERROR(IF(INDEX(SPOT_Import!$A$1:$Z$2488,2427,'Live Data'!$C$14)="","",INDEX(SPOT_Import!$A$1:$Z$2488,2427,'Live Data'!$C$14)),"")</f>
        <v/>
      </c>
      <c r="D2427" s="54" t="str">
        <f>IFERROR(IF(INDEX(SPOT_Import!$A$1:$Z$2488,2427,'Live Data'!$C$15)="","",INDEX(SPOT_Import!$A$1:$Z$2488,2427,'Live Data'!$C$15)),"")</f>
        <v/>
      </c>
      <c r="E2427" s="54" t="str">
        <f>IFERROR(IF(INDEX(SPOT_Import!$A$1:$Z$2488,2427,'Live Data'!$C$16)="","",INDEX(SPOT_Import!$A$1:$Z$2488,2427,'Live Data'!$C$16)),"")</f>
        <v/>
      </c>
      <c r="F2427" s="54" t="str">
        <f>IFERROR(IF(INDEX(SPOT_Import!$A$1:$Z$2488,2427,'Live Data'!$C$17)="","",INDEX(SPOT_Import!$A$1:$Z$2488,2427,'Live Data'!$C$17)),"")</f>
        <v/>
      </c>
      <c r="G2427" s="54" t="str">
        <f>IFERROR(IF(INDEX(SPOT_Import!$A$1:$Z$2488,2427,'Live Data'!$C$18)="","",INDEX(SPOT_Import!$A$1:$Z$2488,2427,'Live Data'!$C$18)),"")</f>
        <v/>
      </c>
      <c r="H2427" s="54" t="str">
        <f>IFERROR(IF(INDEX(SPOT_Import!$A$1:$Z$2488,2427,'Live Data'!$C$19)="","",INDEX(SPOT_Import!$A$1:$Z$2488,2427,'Live Data'!$C$19)),"")</f>
        <v/>
      </c>
      <c r="I2427" s="54" t="str">
        <f>IFERROR(IF(INDEX(SPOT_Import!$A$1:$Z$2488,2427,'Live Data'!$C$20)="","",INDEX(SPOT_Import!$A$1:$Z$2488,2427,'Live Data'!$C$20)),"")</f>
        <v/>
      </c>
      <c r="J2427" s="54" t="str">
        <f>IFERROR(IF(INDEX(SPOT_Import!$A$1:$Z$2488,2427,'Live Data'!$C$21)="","",INDEX(SPOT_Import!$A$1:$Z$2488,2427,'Live Data'!$C$21)),"")</f>
        <v/>
      </c>
      <c r="K2427" s="54" t="str">
        <f>IFERROR(IF(INDEX(SPOT_Import!$A$1:$Z$2488,2427,'Live Data'!$C$22)="","",INDEX(SPOT_Import!$A$1:$Z$2488,2427,'Live Data'!$C$22)),"")</f>
        <v/>
      </c>
      <c r="L2427" s="55" t="str">
        <f t="shared" si="74"/>
        <v/>
      </c>
      <c r="M2427" s="55" t="str">
        <f t="shared" si="75"/>
        <v/>
      </c>
      <c r="N2427" s="55" t="str">
        <f>IF(A2427="","",IFERROR(INDEX('Cluster Map'!$A$4:$A$38,MATCH(M2427,'Cluster Map'!$B$4:$B$38,0)),"Unmapped"))</f>
        <v/>
      </c>
      <c r="O2427" s="55">
        <f>IF(A2427="",0,IF(COUNTIFS($A$2:A2427,A2427,$F$2:F2427,F2427,$L$2:L2427,L2427)=1,1,0))</f>
        <v>0</v>
      </c>
      <c r="P2427" s="55">
        <f>IF(A2427="",0,IF(AND(F2427="C&amp;T",COUNTIFS($A$2:A2427,A2427,$F$2:F2427,"C&amp;T")=1),1,0))</f>
        <v>0</v>
      </c>
    </row>
    <row r="2428" spans="1:16" x14ac:dyDescent="0.35">
      <c r="A2428" s="54" t="str">
        <f>IFERROR(IF(INDEX(SPOT_Import!$A$1:$Z$2488,2428,'Live Data'!$C$12)="","",INDEX(SPOT_Import!$A$1:$Z$2488,2428,'Live Data'!$C$12)),"")</f>
        <v/>
      </c>
      <c r="B2428" s="54" t="str">
        <f>IFERROR(IF(INDEX(SPOT_Import!$A$1:$Z$2488,2428,'Live Data'!$C$13)="","",INDEX(SPOT_Import!$A$1:$Z$2488,2428,'Live Data'!$C$13)),"")</f>
        <v/>
      </c>
      <c r="C2428" s="54" t="str">
        <f>IFERROR(IF(INDEX(SPOT_Import!$A$1:$Z$2488,2428,'Live Data'!$C$14)="","",INDEX(SPOT_Import!$A$1:$Z$2488,2428,'Live Data'!$C$14)),"")</f>
        <v/>
      </c>
      <c r="D2428" s="54" t="str">
        <f>IFERROR(IF(INDEX(SPOT_Import!$A$1:$Z$2488,2428,'Live Data'!$C$15)="","",INDEX(SPOT_Import!$A$1:$Z$2488,2428,'Live Data'!$C$15)),"")</f>
        <v/>
      </c>
      <c r="E2428" s="54" t="str">
        <f>IFERROR(IF(INDEX(SPOT_Import!$A$1:$Z$2488,2428,'Live Data'!$C$16)="","",INDEX(SPOT_Import!$A$1:$Z$2488,2428,'Live Data'!$C$16)),"")</f>
        <v/>
      </c>
      <c r="F2428" s="54" t="str">
        <f>IFERROR(IF(INDEX(SPOT_Import!$A$1:$Z$2488,2428,'Live Data'!$C$17)="","",INDEX(SPOT_Import!$A$1:$Z$2488,2428,'Live Data'!$C$17)),"")</f>
        <v/>
      </c>
      <c r="G2428" s="54" t="str">
        <f>IFERROR(IF(INDEX(SPOT_Import!$A$1:$Z$2488,2428,'Live Data'!$C$18)="","",INDEX(SPOT_Import!$A$1:$Z$2488,2428,'Live Data'!$C$18)),"")</f>
        <v/>
      </c>
      <c r="H2428" s="54" t="str">
        <f>IFERROR(IF(INDEX(SPOT_Import!$A$1:$Z$2488,2428,'Live Data'!$C$19)="","",INDEX(SPOT_Import!$A$1:$Z$2488,2428,'Live Data'!$C$19)),"")</f>
        <v/>
      </c>
      <c r="I2428" s="54" t="str">
        <f>IFERROR(IF(INDEX(SPOT_Import!$A$1:$Z$2488,2428,'Live Data'!$C$20)="","",INDEX(SPOT_Import!$A$1:$Z$2488,2428,'Live Data'!$C$20)),"")</f>
        <v/>
      </c>
      <c r="J2428" s="54" t="str">
        <f>IFERROR(IF(INDEX(SPOT_Import!$A$1:$Z$2488,2428,'Live Data'!$C$21)="","",INDEX(SPOT_Import!$A$1:$Z$2488,2428,'Live Data'!$C$21)),"")</f>
        <v/>
      </c>
      <c r="K2428" s="54" t="str">
        <f>IFERROR(IF(INDEX(SPOT_Import!$A$1:$Z$2488,2428,'Live Data'!$C$22)="","",INDEX(SPOT_Import!$A$1:$Z$2488,2428,'Live Data'!$C$22)),"")</f>
        <v/>
      </c>
      <c r="L2428" s="55" t="str">
        <f t="shared" si="74"/>
        <v/>
      </c>
      <c r="M2428" s="55" t="str">
        <f t="shared" si="75"/>
        <v/>
      </c>
      <c r="N2428" s="55" t="str">
        <f>IF(A2428="","",IFERROR(INDEX('Cluster Map'!$A$4:$A$38,MATCH(M2428,'Cluster Map'!$B$4:$B$38,0)),"Unmapped"))</f>
        <v/>
      </c>
      <c r="O2428" s="55">
        <f>IF(A2428="",0,IF(COUNTIFS($A$2:A2428,A2428,$F$2:F2428,F2428,$L$2:L2428,L2428)=1,1,0))</f>
        <v>0</v>
      </c>
      <c r="P2428" s="55">
        <f>IF(A2428="",0,IF(AND(F2428="C&amp;T",COUNTIFS($A$2:A2428,A2428,$F$2:F2428,"C&amp;T")=1),1,0))</f>
        <v>0</v>
      </c>
    </row>
    <row r="2429" spans="1:16" x14ac:dyDescent="0.35">
      <c r="A2429" s="54" t="str">
        <f>IFERROR(IF(INDEX(SPOT_Import!$A$1:$Z$2488,2429,'Live Data'!$C$12)="","",INDEX(SPOT_Import!$A$1:$Z$2488,2429,'Live Data'!$C$12)),"")</f>
        <v/>
      </c>
      <c r="B2429" s="54" t="str">
        <f>IFERROR(IF(INDEX(SPOT_Import!$A$1:$Z$2488,2429,'Live Data'!$C$13)="","",INDEX(SPOT_Import!$A$1:$Z$2488,2429,'Live Data'!$C$13)),"")</f>
        <v/>
      </c>
      <c r="C2429" s="54" t="str">
        <f>IFERROR(IF(INDEX(SPOT_Import!$A$1:$Z$2488,2429,'Live Data'!$C$14)="","",INDEX(SPOT_Import!$A$1:$Z$2488,2429,'Live Data'!$C$14)),"")</f>
        <v/>
      </c>
      <c r="D2429" s="54" t="str">
        <f>IFERROR(IF(INDEX(SPOT_Import!$A$1:$Z$2488,2429,'Live Data'!$C$15)="","",INDEX(SPOT_Import!$A$1:$Z$2488,2429,'Live Data'!$C$15)),"")</f>
        <v/>
      </c>
      <c r="E2429" s="54" t="str">
        <f>IFERROR(IF(INDEX(SPOT_Import!$A$1:$Z$2488,2429,'Live Data'!$C$16)="","",INDEX(SPOT_Import!$A$1:$Z$2488,2429,'Live Data'!$C$16)),"")</f>
        <v/>
      </c>
      <c r="F2429" s="54" t="str">
        <f>IFERROR(IF(INDEX(SPOT_Import!$A$1:$Z$2488,2429,'Live Data'!$C$17)="","",INDEX(SPOT_Import!$A$1:$Z$2488,2429,'Live Data'!$C$17)),"")</f>
        <v/>
      </c>
      <c r="G2429" s="54" t="str">
        <f>IFERROR(IF(INDEX(SPOT_Import!$A$1:$Z$2488,2429,'Live Data'!$C$18)="","",INDEX(SPOT_Import!$A$1:$Z$2488,2429,'Live Data'!$C$18)),"")</f>
        <v/>
      </c>
      <c r="H2429" s="54" t="str">
        <f>IFERROR(IF(INDEX(SPOT_Import!$A$1:$Z$2488,2429,'Live Data'!$C$19)="","",INDEX(SPOT_Import!$A$1:$Z$2488,2429,'Live Data'!$C$19)),"")</f>
        <v/>
      </c>
      <c r="I2429" s="54" t="str">
        <f>IFERROR(IF(INDEX(SPOT_Import!$A$1:$Z$2488,2429,'Live Data'!$C$20)="","",INDEX(SPOT_Import!$A$1:$Z$2488,2429,'Live Data'!$C$20)),"")</f>
        <v/>
      </c>
      <c r="J2429" s="54" t="str">
        <f>IFERROR(IF(INDEX(SPOT_Import!$A$1:$Z$2488,2429,'Live Data'!$C$21)="","",INDEX(SPOT_Import!$A$1:$Z$2488,2429,'Live Data'!$C$21)),"")</f>
        <v/>
      </c>
      <c r="K2429" s="54" t="str">
        <f>IFERROR(IF(INDEX(SPOT_Import!$A$1:$Z$2488,2429,'Live Data'!$C$22)="","",INDEX(SPOT_Import!$A$1:$Z$2488,2429,'Live Data'!$C$22)),"")</f>
        <v/>
      </c>
      <c r="L2429" s="55" t="str">
        <f t="shared" si="74"/>
        <v/>
      </c>
      <c r="M2429" s="55" t="str">
        <f t="shared" si="75"/>
        <v/>
      </c>
      <c r="N2429" s="55" t="str">
        <f>IF(A2429="","",IFERROR(INDEX('Cluster Map'!$A$4:$A$38,MATCH(M2429,'Cluster Map'!$B$4:$B$38,0)),"Unmapped"))</f>
        <v/>
      </c>
      <c r="O2429" s="55">
        <f>IF(A2429="",0,IF(COUNTIFS($A$2:A2429,A2429,$F$2:F2429,F2429,$L$2:L2429,L2429)=1,1,0))</f>
        <v>0</v>
      </c>
      <c r="P2429" s="55">
        <f>IF(A2429="",0,IF(AND(F2429="C&amp;T",COUNTIFS($A$2:A2429,A2429,$F$2:F2429,"C&amp;T")=1),1,0))</f>
        <v>0</v>
      </c>
    </row>
    <row r="2430" spans="1:16" x14ac:dyDescent="0.35">
      <c r="A2430" s="54" t="str">
        <f>IFERROR(IF(INDEX(SPOT_Import!$A$1:$Z$2488,2430,'Live Data'!$C$12)="","",INDEX(SPOT_Import!$A$1:$Z$2488,2430,'Live Data'!$C$12)),"")</f>
        <v/>
      </c>
      <c r="B2430" s="54" t="str">
        <f>IFERROR(IF(INDEX(SPOT_Import!$A$1:$Z$2488,2430,'Live Data'!$C$13)="","",INDEX(SPOT_Import!$A$1:$Z$2488,2430,'Live Data'!$C$13)),"")</f>
        <v/>
      </c>
      <c r="C2430" s="54" t="str">
        <f>IFERROR(IF(INDEX(SPOT_Import!$A$1:$Z$2488,2430,'Live Data'!$C$14)="","",INDEX(SPOT_Import!$A$1:$Z$2488,2430,'Live Data'!$C$14)),"")</f>
        <v/>
      </c>
      <c r="D2430" s="54" t="str">
        <f>IFERROR(IF(INDEX(SPOT_Import!$A$1:$Z$2488,2430,'Live Data'!$C$15)="","",INDEX(SPOT_Import!$A$1:$Z$2488,2430,'Live Data'!$C$15)),"")</f>
        <v/>
      </c>
      <c r="E2430" s="54" t="str">
        <f>IFERROR(IF(INDEX(SPOT_Import!$A$1:$Z$2488,2430,'Live Data'!$C$16)="","",INDEX(SPOT_Import!$A$1:$Z$2488,2430,'Live Data'!$C$16)),"")</f>
        <v/>
      </c>
      <c r="F2430" s="54" t="str">
        <f>IFERROR(IF(INDEX(SPOT_Import!$A$1:$Z$2488,2430,'Live Data'!$C$17)="","",INDEX(SPOT_Import!$A$1:$Z$2488,2430,'Live Data'!$C$17)),"")</f>
        <v/>
      </c>
      <c r="G2430" s="54" t="str">
        <f>IFERROR(IF(INDEX(SPOT_Import!$A$1:$Z$2488,2430,'Live Data'!$C$18)="","",INDEX(SPOT_Import!$A$1:$Z$2488,2430,'Live Data'!$C$18)),"")</f>
        <v/>
      </c>
      <c r="H2430" s="54" t="str">
        <f>IFERROR(IF(INDEX(SPOT_Import!$A$1:$Z$2488,2430,'Live Data'!$C$19)="","",INDEX(SPOT_Import!$A$1:$Z$2488,2430,'Live Data'!$C$19)),"")</f>
        <v/>
      </c>
      <c r="I2430" s="54" t="str">
        <f>IFERROR(IF(INDEX(SPOT_Import!$A$1:$Z$2488,2430,'Live Data'!$C$20)="","",INDEX(SPOT_Import!$A$1:$Z$2488,2430,'Live Data'!$C$20)),"")</f>
        <v/>
      </c>
      <c r="J2430" s="54" t="str">
        <f>IFERROR(IF(INDEX(SPOT_Import!$A$1:$Z$2488,2430,'Live Data'!$C$21)="","",INDEX(SPOT_Import!$A$1:$Z$2488,2430,'Live Data'!$C$21)),"")</f>
        <v/>
      </c>
      <c r="K2430" s="54" t="str">
        <f>IFERROR(IF(INDEX(SPOT_Import!$A$1:$Z$2488,2430,'Live Data'!$C$22)="","",INDEX(SPOT_Import!$A$1:$Z$2488,2430,'Live Data'!$C$22)),"")</f>
        <v/>
      </c>
      <c r="L2430" s="55" t="str">
        <f t="shared" si="74"/>
        <v/>
      </c>
      <c r="M2430" s="55" t="str">
        <f t="shared" si="75"/>
        <v/>
      </c>
      <c r="N2430" s="55" t="str">
        <f>IF(A2430="","",IFERROR(INDEX('Cluster Map'!$A$4:$A$38,MATCH(M2430,'Cluster Map'!$B$4:$B$38,0)),"Unmapped"))</f>
        <v/>
      </c>
      <c r="O2430" s="55">
        <f>IF(A2430="",0,IF(COUNTIFS($A$2:A2430,A2430,$F$2:F2430,F2430,$L$2:L2430,L2430)=1,1,0))</f>
        <v>0</v>
      </c>
      <c r="P2430" s="55">
        <f>IF(A2430="",0,IF(AND(F2430="C&amp;T",COUNTIFS($A$2:A2430,A2430,$F$2:F2430,"C&amp;T")=1),1,0))</f>
        <v>0</v>
      </c>
    </row>
    <row r="2431" spans="1:16" x14ac:dyDescent="0.35">
      <c r="A2431" s="54" t="str">
        <f>IFERROR(IF(INDEX(SPOT_Import!$A$1:$Z$2488,2431,'Live Data'!$C$12)="","",INDEX(SPOT_Import!$A$1:$Z$2488,2431,'Live Data'!$C$12)),"")</f>
        <v/>
      </c>
      <c r="B2431" s="54" t="str">
        <f>IFERROR(IF(INDEX(SPOT_Import!$A$1:$Z$2488,2431,'Live Data'!$C$13)="","",INDEX(SPOT_Import!$A$1:$Z$2488,2431,'Live Data'!$C$13)),"")</f>
        <v/>
      </c>
      <c r="C2431" s="54" t="str">
        <f>IFERROR(IF(INDEX(SPOT_Import!$A$1:$Z$2488,2431,'Live Data'!$C$14)="","",INDEX(SPOT_Import!$A$1:$Z$2488,2431,'Live Data'!$C$14)),"")</f>
        <v/>
      </c>
      <c r="D2431" s="54" t="str">
        <f>IFERROR(IF(INDEX(SPOT_Import!$A$1:$Z$2488,2431,'Live Data'!$C$15)="","",INDEX(SPOT_Import!$A$1:$Z$2488,2431,'Live Data'!$C$15)),"")</f>
        <v/>
      </c>
      <c r="E2431" s="54" t="str">
        <f>IFERROR(IF(INDEX(SPOT_Import!$A$1:$Z$2488,2431,'Live Data'!$C$16)="","",INDEX(SPOT_Import!$A$1:$Z$2488,2431,'Live Data'!$C$16)),"")</f>
        <v/>
      </c>
      <c r="F2431" s="54" t="str">
        <f>IFERROR(IF(INDEX(SPOT_Import!$A$1:$Z$2488,2431,'Live Data'!$C$17)="","",INDEX(SPOT_Import!$A$1:$Z$2488,2431,'Live Data'!$C$17)),"")</f>
        <v/>
      </c>
      <c r="G2431" s="54" t="str">
        <f>IFERROR(IF(INDEX(SPOT_Import!$A$1:$Z$2488,2431,'Live Data'!$C$18)="","",INDEX(SPOT_Import!$A$1:$Z$2488,2431,'Live Data'!$C$18)),"")</f>
        <v/>
      </c>
      <c r="H2431" s="54" t="str">
        <f>IFERROR(IF(INDEX(SPOT_Import!$A$1:$Z$2488,2431,'Live Data'!$C$19)="","",INDEX(SPOT_Import!$A$1:$Z$2488,2431,'Live Data'!$C$19)),"")</f>
        <v/>
      </c>
      <c r="I2431" s="54" t="str">
        <f>IFERROR(IF(INDEX(SPOT_Import!$A$1:$Z$2488,2431,'Live Data'!$C$20)="","",INDEX(SPOT_Import!$A$1:$Z$2488,2431,'Live Data'!$C$20)),"")</f>
        <v/>
      </c>
      <c r="J2431" s="54" t="str">
        <f>IFERROR(IF(INDEX(SPOT_Import!$A$1:$Z$2488,2431,'Live Data'!$C$21)="","",INDEX(SPOT_Import!$A$1:$Z$2488,2431,'Live Data'!$C$21)),"")</f>
        <v/>
      </c>
      <c r="K2431" s="54" t="str">
        <f>IFERROR(IF(INDEX(SPOT_Import!$A$1:$Z$2488,2431,'Live Data'!$C$22)="","",INDEX(SPOT_Import!$A$1:$Z$2488,2431,'Live Data'!$C$22)),"")</f>
        <v/>
      </c>
      <c r="L2431" s="55" t="str">
        <f t="shared" si="74"/>
        <v/>
      </c>
      <c r="M2431" s="55" t="str">
        <f t="shared" si="75"/>
        <v/>
      </c>
      <c r="N2431" s="55" t="str">
        <f>IF(A2431="","",IFERROR(INDEX('Cluster Map'!$A$4:$A$38,MATCH(M2431,'Cluster Map'!$B$4:$B$38,0)),"Unmapped"))</f>
        <v/>
      </c>
      <c r="O2431" s="55">
        <f>IF(A2431="",0,IF(COUNTIFS($A$2:A2431,A2431,$F$2:F2431,F2431,$L$2:L2431,L2431)=1,1,0))</f>
        <v>0</v>
      </c>
      <c r="P2431" s="55">
        <f>IF(A2431="",0,IF(AND(F2431="C&amp;T",COUNTIFS($A$2:A2431,A2431,$F$2:F2431,"C&amp;T")=1),1,0))</f>
        <v>0</v>
      </c>
    </row>
    <row r="2432" spans="1:16" x14ac:dyDescent="0.35">
      <c r="A2432" s="54" t="str">
        <f>IFERROR(IF(INDEX(SPOT_Import!$A$1:$Z$2488,2432,'Live Data'!$C$12)="","",INDEX(SPOT_Import!$A$1:$Z$2488,2432,'Live Data'!$C$12)),"")</f>
        <v/>
      </c>
      <c r="B2432" s="54" t="str">
        <f>IFERROR(IF(INDEX(SPOT_Import!$A$1:$Z$2488,2432,'Live Data'!$C$13)="","",INDEX(SPOT_Import!$A$1:$Z$2488,2432,'Live Data'!$C$13)),"")</f>
        <v/>
      </c>
      <c r="C2432" s="54" t="str">
        <f>IFERROR(IF(INDEX(SPOT_Import!$A$1:$Z$2488,2432,'Live Data'!$C$14)="","",INDEX(SPOT_Import!$A$1:$Z$2488,2432,'Live Data'!$C$14)),"")</f>
        <v/>
      </c>
      <c r="D2432" s="54" t="str">
        <f>IFERROR(IF(INDEX(SPOT_Import!$A$1:$Z$2488,2432,'Live Data'!$C$15)="","",INDEX(SPOT_Import!$A$1:$Z$2488,2432,'Live Data'!$C$15)),"")</f>
        <v/>
      </c>
      <c r="E2432" s="54" t="str">
        <f>IFERROR(IF(INDEX(SPOT_Import!$A$1:$Z$2488,2432,'Live Data'!$C$16)="","",INDEX(SPOT_Import!$A$1:$Z$2488,2432,'Live Data'!$C$16)),"")</f>
        <v/>
      </c>
      <c r="F2432" s="54" t="str">
        <f>IFERROR(IF(INDEX(SPOT_Import!$A$1:$Z$2488,2432,'Live Data'!$C$17)="","",INDEX(SPOT_Import!$A$1:$Z$2488,2432,'Live Data'!$C$17)),"")</f>
        <v/>
      </c>
      <c r="G2432" s="54" t="str">
        <f>IFERROR(IF(INDEX(SPOT_Import!$A$1:$Z$2488,2432,'Live Data'!$C$18)="","",INDEX(SPOT_Import!$A$1:$Z$2488,2432,'Live Data'!$C$18)),"")</f>
        <v/>
      </c>
      <c r="H2432" s="54" t="str">
        <f>IFERROR(IF(INDEX(SPOT_Import!$A$1:$Z$2488,2432,'Live Data'!$C$19)="","",INDEX(SPOT_Import!$A$1:$Z$2488,2432,'Live Data'!$C$19)),"")</f>
        <v/>
      </c>
      <c r="I2432" s="54" t="str">
        <f>IFERROR(IF(INDEX(SPOT_Import!$A$1:$Z$2488,2432,'Live Data'!$C$20)="","",INDEX(SPOT_Import!$A$1:$Z$2488,2432,'Live Data'!$C$20)),"")</f>
        <v/>
      </c>
      <c r="J2432" s="54" t="str">
        <f>IFERROR(IF(INDEX(SPOT_Import!$A$1:$Z$2488,2432,'Live Data'!$C$21)="","",INDEX(SPOT_Import!$A$1:$Z$2488,2432,'Live Data'!$C$21)),"")</f>
        <v/>
      </c>
      <c r="K2432" s="54" t="str">
        <f>IFERROR(IF(INDEX(SPOT_Import!$A$1:$Z$2488,2432,'Live Data'!$C$22)="","",INDEX(SPOT_Import!$A$1:$Z$2488,2432,'Live Data'!$C$22)),"")</f>
        <v/>
      </c>
      <c r="L2432" s="55" t="str">
        <f t="shared" si="74"/>
        <v/>
      </c>
      <c r="M2432" s="55" t="str">
        <f t="shared" si="75"/>
        <v/>
      </c>
      <c r="N2432" s="55" t="str">
        <f>IF(A2432="","",IFERROR(INDEX('Cluster Map'!$A$4:$A$38,MATCH(M2432,'Cluster Map'!$B$4:$B$38,0)),"Unmapped"))</f>
        <v/>
      </c>
      <c r="O2432" s="55">
        <f>IF(A2432="",0,IF(COUNTIFS($A$2:A2432,A2432,$F$2:F2432,F2432,$L$2:L2432,L2432)=1,1,0))</f>
        <v>0</v>
      </c>
      <c r="P2432" s="55">
        <f>IF(A2432="",0,IF(AND(F2432="C&amp;T",COUNTIFS($A$2:A2432,A2432,$F$2:F2432,"C&amp;T")=1),1,0))</f>
        <v>0</v>
      </c>
    </row>
    <row r="2433" spans="1:16" x14ac:dyDescent="0.35">
      <c r="A2433" s="54" t="str">
        <f>IFERROR(IF(INDEX(SPOT_Import!$A$1:$Z$2488,2433,'Live Data'!$C$12)="","",INDEX(SPOT_Import!$A$1:$Z$2488,2433,'Live Data'!$C$12)),"")</f>
        <v/>
      </c>
      <c r="B2433" s="54" t="str">
        <f>IFERROR(IF(INDEX(SPOT_Import!$A$1:$Z$2488,2433,'Live Data'!$C$13)="","",INDEX(SPOT_Import!$A$1:$Z$2488,2433,'Live Data'!$C$13)),"")</f>
        <v/>
      </c>
      <c r="C2433" s="54" t="str">
        <f>IFERROR(IF(INDEX(SPOT_Import!$A$1:$Z$2488,2433,'Live Data'!$C$14)="","",INDEX(SPOT_Import!$A$1:$Z$2488,2433,'Live Data'!$C$14)),"")</f>
        <v/>
      </c>
      <c r="D2433" s="54" t="str">
        <f>IFERROR(IF(INDEX(SPOT_Import!$A$1:$Z$2488,2433,'Live Data'!$C$15)="","",INDEX(SPOT_Import!$A$1:$Z$2488,2433,'Live Data'!$C$15)),"")</f>
        <v/>
      </c>
      <c r="E2433" s="54" t="str">
        <f>IFERROR(IF(INDEX(SPOT_Import!$A$1:$Z$2488,2433,'Live Data'!$C$16)="","",INDEX(SPOT_Import!$A$1:$Z$2488,2433,'Live Data'!$C$16)),"")</f>
        <v/>
      </c>
      <c r="F2433" s="54" t="str">
        <f>IFERROR(IF(INDEX(SPOT_Import!$A$1:$Z$2488,2433,'Live Data'!$C$17)="","",INDEX(SPOT_Import!$A$1:$Z$2488,2433,'Live Data'!$C$17)),"")</f>
        <v/>
      </c>
      <c r="G2433" s="54" t="str">
        <f>IFERROR(IF(INDEX(SPOT_Import!$A$1:$Z$2488,2433,'Live Data'!$C$18)="","",INDEX(SPOT_Import!$A$1:$Z$2488,2433,'Live Data'!$C$18)),"")</f>
        <v/>
      </c>
      <c r="H2433" s="54" t="str">
        <f>IFERROR(IF(INDEX(SPOT_Import!$A$1:$Z$2488,2433,'Live Data'!$C$19)="","",INDEX(SPOT_Import!$A$1:$Z$2488,2433,'Live Data'!$C$19)),"")</f>
        <v/>
      </c>
      <c r="I2433" s="54" t="str">
        <f>IFERROR(IF(INDEX(SPOT_Import!$A$1:$Z$2488,2433,'Live Data'!$C$20)="","",INDEX(SPOT_Import!$A$1:$Z$2488,2433,'Live Data'!$C$20)),"")</f>
        <v/>
      </c>
      <c r="J2433" s="54" t="str">
        <f>IFERROR(IF(INDEX(SPOT_Import!$A$1:$Z$2488,2433,'Live Data'!$C$21)="","",INDEX(SPOT_Import!$A$1:$Z$2488,2433,'Live Data'!$C$21)),"")</f>
        <v/>
      </c>
      <c r="K2433" s="54" t="str">
        <f>IFERROR(IF(INDEX(SPOT_Import!$A$1:$Z$2488,2433,'Live Data'!$C$22)="","",INDEX(SPOT_Import!$A$1:$Z$2488,2433,'Live Data'!$C$22)),"")</f>
        <v/>
      </c>
      <c r="L2433" s="55" t="str">
        <f t="shared" si="74"/>
        <v/>
      </c>
      <c r="M2433" s="55" t="str">
        <f t="shared" si="75"/>
        <v/>
      </c>
      <c r="N2433" s="55" t="str">
        <f>IF(A2433="","",IFERROR(INDEX('Cluster Map'!$A$4:$A$38,MATCH(M2433,'Cluster Map'!$B$4:$B$38,0)),"Unmapped"))</f>
        <v/>
      </c>
      <c r="O2433" s="55">
        <f>IF(A2433="",0,IF(COUNTIFS($A$2:A2433,A2433,$F$2:F2433,F2433,$L$2:L2433,L2433)=1,1,0))</f>
        <v>0</v>
      </c>
      <c r="P2433" s="55">
        <f>IF(A2433="",0,IF(AND(F2433="C&amp;T",COUNTIFS($A$2:A2433,A2433,$F$2:F2433,"C&amp;T")=1),1,0))</f>
        <v>0</v>
      </c>
    </row>
    <row r="2434" spans="1:16" x14ac:dyDescent="0.35">
      <c r="A2434" s="54" t="str">
        <f>IFERROR(IF(INDEX(SPOT_Import!$A$1:$Z$2488,2434,'Live Data'!$C$12)="","",INDEX(SPOT_Import!$A$1:$Z$2488,2434,'Live Data'!$C$12)),"")</f>
        <v/>
      </c>
      <c r="B2434" s="54" t="str">
        <f>IFERROR(IF(INDEX(SPOT_Import!$A$1:$Z$2488,2434,'Live Data'!$C$13)="","",INDEX(SPOT_Import!$A$1:$Z$2488,2434,'Live Data'!$C$13)),"")</f>
        <v/>
      </c>
      <c r="C2434" s="54" t="str">
        <f>IFERROR(IF(INDEX(SPOT_Import!$A$1:$Z$2488,2434,'Live Data'!$C$14)="","",INDEX(SPOT_Import!$A$1:$Z$2488,2434,'Live Data'!$C$14)),"")</f>
        <v/>
      </c>
      <c r="D2434" s="54" t="str">
        <f>IFERROR(IF(INDEX(SPOT_Import!$A$1:$Z$2488,2434,'Live Data'!$C$15)="","",INDEX(SPOT_Import!$A$1:$Z$2488,2434,'Live Data'!$C$15)),"")</f>
        <v/>
      </c>
      <c r="E2434" s="54" t="str">
        <f>IFERROR(IF(INDEX(SPOT_Import!$A$1:$Z$2488,2434,'Live Data'!$C$16)="","",INDEX(SPOT_Import!$A$1:$Z$2488,2434,'Live Data'!$C$16)),"")</f>
        <v/>
      </c>
      <c r="F2434" s="54" t="str">
        <f>IFERROR(IF(INDEX(SPOT_Import!$A$1:$Z$2488,2434,'Live Data'!$C$17)="","",INDEX(SPOT_Import!$A$1:$Z$2488,2434,'Live Data'!$C$17)),"")</f>
        <v/>
      </c>
      <c r="G2434" s="54" t="str">
        <f>IFERROR(IF(INDEX(SPOT_Import!$A$1:$Z$2488,2434,'Live Data'!$C$18)="","",INDEX(SPOT_Import!$A$1:$Z$2488,2434,'Live Data'!$C$18)),"")</f>
        <v/>
      </c>
      <c r="H2434" s="54" t="str">
        <f>IFERROR(IF(INDEX(SPOT_Import!$A$1:$Z$2488,2434,'Live Data'!$C$19)="","",INDEX(SPOT_Import!$A$1:$Z$2488,2434,'Live Data'!$C$19)),"")</f>
        <v/>
      </c>
      <c r="I2434" s="54" t="str">
        <f>IFERROR(IF(INDEX(SPOT_Import!$A$1:$Z$2488,2434,'Live Data'!$C$20)="","",INDEX(SPOT_Import!$A$1:$Z$2488,2434,'Live Data'!$C$20)),"")</f>
        <v/>
      </c>
      <c r="J2434" s="54" t="str">
        <f>IFERROR(IF(INDEX(SPOT_Import!$A$1:$Z$2488,2434,'Live Data'!$C$21)="","",INDEX(SPOT_Import!$A$1:$Z$2488,2434,'Live Data'!$C$21)),"")</f>
        <v/>
      </c>
      <c r="K2434" s="54" t="str">
        <f>IFERROR(IF(INDEX(SPOT_Import!$A$1:$Z$2488,2434,'Live Data'!$C$22)="","",INDEX(SPOT_Import!$A$1:$Z$2488,2434,'Live Data'!$C$22)),"")</f>
        <v/>
      </c>
      <c r="L2434" s="55" t="str">
        <f t="shared" ref="L2434:L2497" si="76">IF(A2434="","",IF(ISNUMBER(K2434),TEXT(K2434,"yyyy-mm"),LEFT(K2434,7)))</f>
        <v/>
      </c>
      <c r="M2434" s="55" t="str">
        <f t="shared" ref="M2434:M2500" si="77">IF(A2434="","",UPPER(TRIM(SUBSTITUTE(C2434," - ","-"))))</f>
        <v/>
      </c>
      <c r="N2434" s="55" t="str">
        <f>IF(A2434="","",IFERROR(INDEX('Cluster Map'!$A$4:$A$38,MATCH(M2434,'Cluster Map'!$B$4:$B$38,0)),"Unmapped"))</f>
        <v/>
      </c>
      <c r="O2434" s="55">
        <f>IF(A2434="",0,IF(COUNTIFS($A$2:A2434,A2434,$F$2:F2434,F2434,$L$2:L2434,L2434)=1,1,0))</f>
        <v>0</v>
      </c>
      <c r="P2434" s="55">
        <f>IF(A2434="",0,IF(AND(F2434="C&amp;T",COUNTIFS($A$2:A2434,A2434,$F$2:F2434,"C&amp;T")=1),1,0))</f>
        <v>0</v>
      </c>
    </row>
    <row r="2435" spans="1:16" x14ac:dyDescent="0.35">
      <c r="A2435" s="54" t="str">
        <f>IFERROR(IF(INDEX(SPOT_Import!$A$1:$Z$2488,2435,'Live Data'!$C$12)="","",INDEX(SPOT_Import!$A$1:$Z$2488,2435,'Live Data'!$C$12)),"")</f>
        <v/>
      </c>
      <c r="B2435" s="54" t="str">
        <f>IFERROR(IF(INDEX(SPOT_Import!$A$1:$Z$2488,2435,'Live Data'!$C$13)="","",INDEX(SPOT_Import!$A$1:$Z$2488,2435,'Live Data'!$C$13)),"")</f>
        <v/>
      </c>
      <c r="C2435" s="54" t="str">
        <f>IFERROR(IF(INDEX(SPOT_Import!$A$1:$Z$2488,2435,'Live Data'!$C$14)="","",INDEX(SPOT_Import!$A$1:$Z$2488,2435,'Live Data'!$C$14)),"")</f>
        <v/>
      </c>
      <c r="D2435" s="54" t="str">
        <f>IFERROR(IF(INDEX(SPOT_Import!$A$1:$Z$2488,2435,'Live Data'!$C$15)="","",INDEX(SPOT_Import!$A$1:$Z$2488,2435,'Live Data'!$C$15)),"")</f>
        <v/>
      </c>
      <c r="E2435" s="54" t="str">
        <f>IFERROR(IF(INDEX(SPOT_Import!$A$1:$Z$2488,2435,'Live Data'!$C$16)="","",INDEX(SPOT_Import!$A$1:$Z$2488,2435,'Live Data'!$C$16)),"")</f>
        <v/>
      </c>
      <c r="F2435" s="54" t="str">
        <f>IFERROR(IF(INDEX(SPOT_Import!$A$1:$Z$2488,2435,'Live Data'!$C$17)="","",INDEX(SPOT_Import!$A$1:$Z$2488,2435,'Live Data'!$C$17)),"")</f>
        <v/>
      </c>
      <c r="G2435" s="54" t="str">
        <f>IFERROR(IF(INDEX(SPOT_Import!$A$1:$Z$2488,2435,'Live Data'!$C$18)="","",INDEX(SPOT_Import!$A$1:$Z$2488,2435,'Live Data'!$C$18)),"")</f>
        <v/>
      </c>
      <c r="H2435" s="54" t="str">
        <f>IFERROR(IF(INDEX(SPOT_Import!$A$1:$Z$2488,2435,'Live Data'!$C$19)="","",INDEX(SPOT_Import!$A$1:$Z$2488,2435,'Live Data'!$C$19)),"")</f>
        <v/>
      </c>
      <c r="I2435" s="54" t="str">
        <f>IFERROR(IF(INDEX(SPOT_Import!$A$1:$Z$2488,2435,'Live Data'!$C$20)="","",INDEX(SPOT_Import!$A$1:$Z$2488,2435,'Live Data'!$C$20)),"")</f>
        <v/>
      </c>
      <c r="J2435" s="54" t="str">
        <f>IFERROR(IF(INDEX(SPOT_Import!$A$1:$Z$2488,2435,'Live Data'!$C$21)="","",INDEX(SPOT_Import!$A$1:$Z$2488,2435,'Live Data'!$C$21)),"")</f>
        <v/>
      </c>
      <c r="K2435" s="54" t="str">
        <f>IFERROR(IF(INDEX(SPOT_Import!$A$1:$Z$2488,2435,'Live Data'!$C$22)="","",INDEX(SPOT_Import!$A$1:$Z$2488,2435,'Live Data'!$C$22)),"")</f>
        <v/>
      </c>
      <c r="L2435" s="55" t="str">
        <f t="shared" si="76"/>
        <v/>
      </c>
      <c r="M2435" s="55" t="str">
        <f t="shared" si="77"/>
        <v/>
      </c>
      <c r="N2435" s="55" t="str">
        <f>IF(A2435="","",IFERROR(INDEX('Cluster Map'!$A$4:$A$38,MATCH(M2435,'Cluster Map'!$B$4:$B$38,0)),"Unmapped"))</f>
        <v/>
      </c>
      <c r="O2435" s="55">
        <f>IF(A2435="",0,IF(COUNTIFS($A$2:A2435,A2435,$F$2:F2435,F2435,$L$2:L2435,L2435)=1,1,0))</f>
        <v>0</v>
      </c>
      <c r="P2435" s="55">
        <f>IF(A2435="",0,IF(AND(F2435="C&amp;T",COUNTIFS($A$2:A2435,A2435,$F$2:F2435,"C&amp;T")=1),1,0))</f>
        <v>0</v>
      </c>
    </row>
    <row r="2436" spans="1:16" x14ac:dyDescent="0.35">
      <c r="A2436" s="54" t="str">
        <f>IFERROR(IF(INDEX(SPOT_Import!$A$1:$Z$2488,2436,'Live Data'!$C$12)="","",INDEX(SPOT_Import!$A$1:$Z$2488,2436,'Live Data'!$C$12)),"")</f>
        <v/>
      </c>
      <c r="B2436" s="54" t="str">
        <f>IFERROR(IF(INDEX(SPOT_Import!$A$1:$Z$2488,2436,'Live Data'!$C$13)="","",INDEX(SPOT_Import!$A$1:$Z$2488,2436,'Live Data'!$C$13)),"")</f>
        <v/>
      </c>
      <c r="C2436" s="54" t="str">
        <f>IFERROR(IF(INDEX(SPOT_Import!$A$1:$Z$2488,2436,'Live Data'!$C$14)="","",INDEX(SPOT_Import!$A$1:$Z$2488,2436,'Live Data'!$C$14)),"")</f>
        <v/>
      </c>
      <c r="D2436" s="54" t="str">
        <f>IFERROR(IF(INDEX(SPOT_Import!$A$1:$Z$2488,2436,'Live Data'!$C$15)="","",INDEX(SPOT_Import!$A$1:$Z$2488,2436,'Live Data'!$C$15)),"")</f>
        <v/>
      </c>
      <c r="E2436" s="54" t="str">
        <f>IFERROR(IF(INDEX(SPOT_Import!$A$1:$Z$2488,2436,'Live Data'!$C$16)="","",INDEX(SPOT_Import!$A$1:$Z$2488,2436,'Live Data'!$C$16)),"")</f>
        <v/>
      </c>
      <c r="F2436" s="54" t="str">
        <f>IFERROR(IF(INDEX(SPOT_Import!$A$1:$Z$2488,2436,'Live Data'!$C$17)="","",INDEX(SPOT_Import!$A$1:$Z$2488,2436,'Live Data'!$C$17)),"")</f>
        <v/>
      </c>
      <c r="G2436" s="54" t="str">
        <f>IFERROR(IF(INDEX(SPOT_Import!$A$1:$Z$2488,2436,'Live Data'!$C$18)="","",INDEX(SPOT_Import!$A$1:$Z$2488,2436,'Live Data'!$C$18)),"")</f>
        <v/>
      </c>
      <c r="H2436" s="54" t="str">
        <f>IFERROR(IF(INDEX(SPOT_Import!$A$1:$Z$2488,2436,'Live Data'!$C$19)="","",INDEX(SPOT_Import!$A$1:$Z$2488,2436,'Live Data'!$C$19)),"")</f>
        <v/>
      </c>
      <c r="I2436" s="54" t="str">
        <f>IFERROR(IF(INDEX(SPOT_Import!$A$1:$Z$2488,2436,'Live Data'!$C$20)="","",INDEX(SPOT_Import!$A$1:$Z$2488,2436,'Live Data'!$C$20)),"")</f>
        <v/>
      </c>
      <c r="J2436" s="54" t="str">
        <f>IFERROR(IF(INDEX(SPOT_Import!$A$1:$Z$2488,2436,'Live Data'!$C$21)="","",INDEX(SPOT_Import!$A$1:$Z$2488,2436,'Live Data'!$C$21)),"")</f>
        <v/>
      </c>
      <c r="K2436" s="54" t="str">
        <f>IFERROR(IF(INDEX(SPOT_Import!$A$1:$Z$2488,2436,'Live Data'!$C$22)="","",INDEX(SPOT_Import!$A$1:$Z$2488,2436,'Live Data'!$C$22)),"")</f>
        <v/>
      </c>
      <c r="L2436" s="55" t="str">
        <f t="shared" si="76"/>
        <v/>
      </c>
      <c r="M2436" s="55" t="str">
        <f t="shared" si="77"/>
        <v/>
      </c>
      <c r="N2436" s="55" t="str">
        <f>IF(A2436="","",IFERROR(INDEX('Cluster Map'!$A$4:$A$38,MATCH(M2436,'Cluster Map'!$B$4:$B$38,0)),"Unmapped"))</f>
        <v/>
      </c>
      <c r="O2436" s="55">
        <f>IF(A2436="",0,IF(COUNTIFS($A$2:A2436,A2436,$F$2:F2436,F2436,$L$2:L2436,L2436)=1,1,0))</f>
        <v>0</v>
      </c>
      <c r="P2436" s="55">
        <f>IF(A2436="",0,IF(AND(F2436="C&amp;T",COUNTIFS($A$2:A2436,A2436,$F$2:F2436,"C&amp;T")=1),1,0))</f>
        <v>0</v>
      </c>
    </row>
    <row r="2437" spans="1:16" x14ac:dyDescent="0.35">
      <c r="A2437" s="54" t="str">
        <f>IFERROR(IF(INDEX(SPOT_Import!$A$1:$Z$2488,2437,'Live Data'!$C$12)="","",INDEX(SPOT_Import!$A$1:$Z$2488,2437,'Live Data'!$C$12)),"")</f>
        <v/>
      </c>
      <c r="B2437" s="54" t="str">
        <f>IFERROR(IF(INDEX(SPOT_Import!$A$1:$Z$2488,2437,'Live Data'!$C$13)="","",INDEX(SPOT_Import!$A$1:$Z$2488,2437,'Live Data'!$C$13)),"")</f>
        <v/>
      </c>
      <c r="C2437" s="54" t="str">
        <f>IFERROR(IF(INDEX(SPOT_Import!$A$1:$Z$2488,2437,'Live Data'!$C$14)="","",INDEX(SPOT_Import!$A$1:$Z$2488,2437,'Live Data'!$C$14)),"")</f>
        <v/>
      </c>
      <c r="D2437" s="54" t="str">
        <f>IFERROR(IF(INDEX(SPOT_Import!$A$1:$Z$2488,2437,'Live Data'!$C$15)="","",INDEX(SPOT_Import!$A$1:$Z$2488,2437,'Live Data'!$C$15)),"")</f>
        <v/>
      </c>
      <c r="E2437" s="54" t="str">
        <f>IFERROR(IF(INDEX(SPOT_Import!$A$1:$Z$2488,2437,'Live Data'!$C$16)="","",INDEX(SPOT_Import!$A$1:$Z$2488,2437,'Live Data'!$C$16)),"")</f>
        <v/>
      </c>
      <c r="F2437" s="54" t="str">
        <f>IFERROR(IF(INDEX(SPOT_Import!$A$1:$Z$2488,2437,'Live Data'!$C$17)="","",INDEX(SPOT_Import!$A$1:$Z$2488,2437,'Live Data'!$C$17)),"")</f>
        <v/>
      </c>
      <c r="G2437" s="54" t="str">
        <f>IFERROR(IF(INDEX(SPOT_Import!$A$1:$Z$2488,2437,'Live Data'!$C$18)="","",INDEX(SPOT_Import!$A$1:$Z$2488,2437,'Live Data'!$C$18)),"")</f>
        <v/>
      </c>
      <c r="H2437" s="54" t="str">
        <f>IFERROR(IF(INDEX(SPOT_Import!$A$1:$Z$2488,2437,'Live Data'!$C$19)="","",INDEX(SPOT_Import!$A$1:$Z$2488,2437,'Live Data'!$C$19)),"")</f>
        <v/>
      </c>
      <c r="I2437" s="54" t="str">
        <f>IFERROR(IF(INDEX(SPOT_Import!$A$1:$Z$2488,2437,'Live Data'!$C$20)="","",INDEX(SPOT_Import!$A$1:$Z$2488,2437,'Live Data'!$C$20)),"")</f>
        <v/>
      </c>
      <c r="J2437" s="54" t="str">
        <f>IFERROR(IF(INDEX(SPOT_Import!$A$1:$Z$2488,2437,'Live Data'!$C$21)="","",INDEX(SPOT_Import!$A$1:$Z$2488,2437,'Live Data'!$C$21)),"")</f>
        <v/>
      </c>
      <c r="K2437" s="54" t="str">
        <f>IFERROR(IF(INDEX(SPOT_Import!$A$1:$Z$2488,2437,'Live Data'!$C$22)="","",INDEX(SPOT_Import!$A$1:$Z$2488,2437,'Live Data'!$C$22)),"")</f>
        <v/>
      </c>
      <c r="L2437" s="55" t="str">
        <f t="shared" si="76"/>
        <v/>
      </c>
      <c r="M2437" s="55" t="str">
        <f t="shared" si="77"/>
        <v/>
      </c>
      <c r="N2437" s="55" t="str">
        <f>IF(A2437="","",IFERROR(INDEX('Cluster Map'!$A$4:$A$38,MATCH(M2437,'Cluster Map'!$B$4:$B$38,0)),"Unmapped"))</f>
        <v/>
      </c>
      <c r="O2437" s="55">
        <f>IF(A2437="",0,IF(COUNTIFS($A$2:A2437,A2437,$F$2:F2437,F2437,$L$2:L2437,L2437)=1,1,0))</f>
        <v>0</v>
      </c>
      <c r="P2437" s="55">
        <f>IF(A2437="",0,IF(AND(F2437="C&amp;T",COUNTIFS($A$2:A2437,A2437,$F$2:F2437,"C&amp;T")=1),1,0))</f>
        <v>0</v>
      </c>
    </row>
    <row r="2438" spans="1:16" x14ac:dyDescent="0.35">
      <c r="A2438" s="54" t="str">
        <f>IFERROR(IF(INDEX(SPOT_Import!$A$1:$Z$2488,2438,'Live Data'!$C$12)="","",INDEX(SPOT_Import!$A$1:$Z$2488,2438,'Live Data'!$C$12)),"")</f>
        <v/>
      </c>
      <c r="B2438" s="54" t="str">
        <f>IFERROR(IF(INDEX(SPOT_Import!$A$1:$Z$2488,2438,'Live Data'!$C$13)="","",INDEX(SPOT_Import!$A$1:$Z$2488,2438,'Live Data'!$C$13)),"")</f>
        <v/>
      </c>
      <c r="C2438" s="54" t="str">
        <f>IFERROR(IF(INDEX(SPOT_Import!$A$1:$Z$2488,2438,'Live Data'!$C$14)="","",INDEX(SPOT_Import!$A$1:$Z$2488,2438,'Live Data'!$C$14)),"")</f>
        <v/>
      </c>
      <c r="D2438" s="54" t="str">
        <f>IFERROR(IF(INDEX(SPOT_Import!$A$1:$Z$2488,2438,'Live Data'!$C$15)="","",INDEX(SPOT_Import!$A$1:$Z$2488,2438,'Live Data'!$C$15)),"")</f>
        <v/>
      </c>
      <c r="E2438" s="54" t="str">
        <f>IFERROR(IF(INDEX(SPOT_Import!$A$1:$Z$2488,2438,'Live Data'!$C$16)="","",INDEX(SPOT_Import!$A$1:$Z$2488,2438,'Live Data'!$C$16)),"")</f>
        <v/>
      </c>
      <c r="F2438" s="54" t="str">
        <f>IFERROR(IF(INDEX(SPOT_Import!$A$1:$Z$2488,2438,'Live Data'!$C$17)="","",INDEX(SPOT_Import!$A$1:$Z$2488,2438,'Live Data'!$C$17)),"")</f>
        <v/>
      </c>
      <c r="G2438" s="54" t="str">
        <f>IFERROR(IF(INDEX(SPOT_Import!$A$1:$Z$2488,2438,'Live Data'!$C$18)="","",INDEX(SPOT_Import!$A$1:$Z$2488,2438,'Live Data'!$C$18)),"")</f>
        <v/>
      </c>
      <c r="H2438" s="54" t="str">
        <f>IFERROR(IF(INDEX(SPOT_Import!$A$1:$Z$2488,2438,'Live Data'!$C$19)="","",INDEX(SPOT_Import!$A$1:$Z$2488,2438,'Live Data'!$C$19)),"")</f>
        <v/>
      </c>
      <c r="I2438" s="54" t="str">
        <f>IFERROR(IF(INDEX(SPOT_Import!$A$1:$Z$2488,2438,'Live Data'!$C$20)="","",INDEX(SPOT_Import!$A$1:$Z$2488,2438,'Live Data'!$C$20)),"")</f>
        <v/>
      </c>
      <c r="J2438" s="54" t="str">
        <f>IFERROR(IF(INDEX(SPOT_Import!$A$1:$Z$2488,2438,'Live Data'!$C$21)="","",INDEX(SPOT_Import!$A$1:$Z$2488,2438,'Live Data'!$C$21)),"")</f>
        <v/>
      </c>
      <c r="K2438" s="54" t="str">
        <f>IFERROR(IF(INDEX(SPOT_Import!$A$1:$Z$2488,2438,'Live Data'!$C$22)="","",INDEX(SPOT_Import!$A$1:$Z$2488,2438,'Live Data'!$C$22)),"")</f>
        <v/>
      </c>
      <c r="L2438" s="55" t="str">
        <f t="shared" si="76"/>
        <v/>
      </c>
      <c r="M2438" s="55" t="str">
        <f t="shared" si="77"/>
        <v/>
      </c>
      <c r="N2438" s="55" t="str">
        <f>IF(A2438="","",IFERROR(INDEX('Cluster Map'!$A$4:$A$38,MATCH(M2438,'Cluster Map'!$B$4:$B$38,0)),"Unmapped"))</f>
        <v/>
      </c>
      <c r="O2438" s="55">
        <f>IF(A2438="",0,IF(COUNTIFS($A$2:A2438,A2438,$F$2:F2438,F2438,$L$2:L2438,L2438)=1,1,0))</f>
        <v>0</v>
      </c>
      <c r="P2438" s="55">
        <f>IF(A2438="",0,IF(AND(F2438="C&amp;T",COUNTIFS($A$2:A2438,A2438,$F$2:F2438,"C&amp;T")=1),1,0))</f>
        <v>0</v>
      </c>
    </row>
    <row r="2439" spans="1:16" x14ac:dyDescent="0.35">
      <c r="A2439" s="54" t="str">
        <f>IFERROR(IF(INDEX(SPOT_Import!$A$1:$Z$2488,2439,'Live Data'!$C$12)="","",INDEX(SPOT_Import!$A$1:$Z$2488,2439,'Live Data'!$C$12)),"")</f>
        <v/>
      </c>
      <c r="B2439" s="54" t="str">
        <f>IFERROR(IF(INDEX(SPOT_Import!$A$1:$Z$2488,2439,'Live Data'!$C$13)="","",INDEX(SPOT_Import!$A$1:$Z$2488,2439,'Live Data'!$C$13)),"")</f>
        <v/>
      </c>
      <c r="C2439" s="54" t="str">
        <f>IFERROR(IF(INDEX(SPOT_Import!$A$1:$Z$2488,2439,'Live Data'!$C$14)="","",INDEX(SPOT_Import!$A$1:$Z$2488,2439,'Live Data'!$C$14)),"")</f>
        <v/>
      </c>
      <c r="D2439" s="54" t="str">
        <f>IFERROR(IF(INDEX(SPOT_Import!$A$1:$Z$2488,2439,'Live Data'!$C$15)="","",INDEX(SPOT_Import!$A$1:$Z$2488,2439,'Live Data'!$C$15)),"")</f>
        <v/>
      </c>
      <c r="E2439" s="54" t="str">
        <f>IFERROR(IF(INDEX(SPOT_Import!$A$1:$Z$2488,2439,'Live Data'!$C$16)="","",INDEX(SPOT_Import!$A$1:$Z$2488,2439,'Live Data'!$C$16)),"")</f>
        <v/>
      </c>
      <c r="F2439" s="54" t="str">
        <f>IFERROR(IF(INDEX(SPOT_Import!$A$1:$Z$2488,2439,'Live Data'!$C$17)="","",INDEX(SPOT_Import!$A$1:$Z$2488,2439,'Live Data'!$C$17)),"")</f>
        <v/>
      </c>
      <c r="G2439" s="54" t="str">
        <f>IFERROR(IF(INDEX(SPOT_Import!$A$1:$Z$2488,2439,'Live Data'!$C$18)="","",INDEX(SPOT_Import!$A$1:$Z$2488,2439,'Live Data'!$C$18)),"")</f>
        <v/>
      </c>
      <c r="H2439" s="54" t="str">
        <f>IFERROR(IF(INDEX(SPOT_Import!$A$1:$Z$2488,2439,'Live Data'!$C$19)="","",INDEX(SPOT_Import!$A$1:$Z$2488,2439,'Live Data'!$C$19)),"")</f>
        <v/>
      </c>
      <c r="I2439" s="54" t="str">
        <f>IFERROR(IF(INDEX(SPOT_Import!$A$1:$Z$2488,2439,'Live Data'!$C$20)="","",INDEX(SPOT_Import!$A$1:$Z$2488,2439,'Live Data'!$C$20)),"")</f>
        <v/>
      </c>
      <c r="J2439" s="54" t="str">
        <f>IFERROR(IF(INDEX(SPOT_Import!$A$1:$Z$2488,2439,'Live Data'!$C$21)="","",INDEX(SPOT_Import!$A$1:$Z$2488,2439,'Live Data'!$C$21)),"")</f>
        <v/>
      </c>
      <c r="K2439" s="54" t="str">
        <f>IFERROR(IF(INDEX(SPOT_Import!$A$1:$Z$2488,2439,'Live Data'!$C$22)="","",INDEX(SPOT_Import!$A$1:$Z$2488,2439,'Live Data'!$C$22)),"")</f>
        <v/>
      </c>
      <c r="L2439" s="55" t="str">
        <f t="shared" si="76"/>
        <v/>
      </c>
      <c r="M2439" s="55" t="str">
        <f t="shared" si="77"/>
        <v/>
      </c>
      <c r="N2439" s="55" t="str">
        <f>IF(A2439="","",IFERROR(INDEX('Cluster Map'!$A$4:$A$38,MATCH(M2439,'Cluster Map'!$B$4:$B$38,0)),"Unmapped"))</f>
        <v/>
      </c>
      <c r="O2439" s="55">
        <f>IF(A2439="",0,IF(COUNTIFS($A$2:A2439,A2439,$F$2:F2439,F2439,$L$2:L2439,L2439)=1,1,0))</f>
        <v>0</v>
      </c>
      <c r="P2439" s="55">
        <f>IF(A2439="",0,IF(AND(F2439="C&amp;T",COUNTIFS($A$2:A2439,A2439,$F$2:F2439,"C&amp;T")=1),1,0))</f>
        <v>0</v>
      </c>
    </row>
    <row r="2440" spans="1:16" x14ac:dyDescent="0.35">
      <c r="A2440" s="54" t="str">
        <f>IFERROR(IF(INDEX(SPOT_Import!$A$1:$Z$2488,2440,'Live Data'!$C$12)="","",INDEX(SPOT_Import!$A$1:$Z$2488,2440,'Live Data'!$C$12)),"")</f>
        <v/>
      </c>
      <c r="B2440" s="54" t="str">
        <f>IFERROR(IF(INDEX(SPOT_Import!$A$1:$Z$2488,2440,'Live Data'!$C$13)="","",INDEX(SPOT_Import!$A$1:$Z$2488,2440,'Live Data'!$C$13)),"")</f>
        <v/>
      </c>
      <c r="C2440" s="54" t="str">
        <f>IFERROR(IF(INDEX(SPOT_Import!$A$1:$Z$2488,2440,'Live Data'!$C$14)="","",INDEX(SPOT_Import!$A$1:$Z$2488,2440,'Live Data'!$C$14)),"")</f>
        <v/>
      </c>
      <c r="D2440" s="54" t="str">
        <f>IFERROR(IF(INDEX(SPOT_Import!$A$1:$Z$2488,2440,'Live Data'!$C$15)="","",INDEX(SPOT_Import!$A$1:$Z$2488,2440,'Live Data'!$C$15)),"")</f>
        <v/>
      </c>
      <c r="E2440" s="54" t="str">
        <f>IFERROR(IF(INDEX(SPOT_Import!$A$1:$Z$2488,2440,'Live Data'!$C$16)="","",INDEX(SPOT_Import!$A$1:$Z$2488,2440,'Live Data'!$C$16)),"")</f>
        <v/>
      </c>
      <c r="F2440" s="54" t="str">
        <f>IFERROR(IF(INDEX(SPOT_Import!$A$1:$Z$2488,2440,'Live Data'!$C$17)="","",INDEX(SPOT_Import!$A$1:$Z$2488,2440,'Live Data'!$C$17)),"")</f>
        <v/>
      </c>
      <c r="G2440" s="54" t="str">
        <f>IFERROR(IF(INDEX(SPOT_Import!$A$1:$Z$2488,2440,'Live Data'!$C$18)="","",INDEX(SPOT_Import!$A$1:$Z$2488,2440,'Live Data'!$C$18)),"")</f>
        <v/>
      </c>
      <c r="H2440" s="54" t="str">
        <f>IFERROR(IF(INDEX(SPOT_Import!$A$1:$Z$2488,2440,'Live Data'!$C$19)="","",INDEX(SPOT_Import!$A$1:$Z$2488,2440,'Live Data'!$C$19)),"")</f>
        <v/>
      </c>
      <c r="I2440" s="54" t="str">
        <f>IFERROR(IF(INDEX(SPOT_Import!$A$1:$Z$2488,2440,'Live Data'!$C$20)="","",INDEX(SPOT_Import!$A$1:$Z$2488,2440,'Live Data'!$C$20)),"")</f>
        <v/>
      </c>
      <c r="J2440" s="54" t="str">
        <f>IFERROR(IF(INDEX(SPOT_Import!$A$1:$Z$2488,2440,'Live Data'!$C$21)="","",INDEX(SPOT_Import!$A$1:$Z$2488,2440,'Live Data'!$C$21)),"")</f>
        <v/>
      </c>
      <c r="K2440" s="54" t="str">
        <f>IFERROR(IF(INDEX(SPOT_Import!$A$1:$Z$2488,2440,'Live Data'!$C$22)="","",INDEX(SPOT_Import!$A$1:$Z$2488,2440,'Live Data'!$C$22)),"")</f>
        <v/>
      </c>
      <c r="L2440" s="55" t="str">
        <f t="shared" si="76"/>
        <v/>
      </c>
      <c r="M2440" s="55" t="str">
        <f t="shared" si="77"/>
        <v/>
      </c>
      <c r="N2440" s="55" t="str">
        <f>IF(A2440="","",IFERROR(INDEX('Cluster Map'!$A$4:$A$38,MATCH(M2440,'Cluster Map'!$B$4:$B$38,0)),"Unmapped"))</f>
        <v/>
      </c>
      <c r="O2440" s="55">
        <f>IF(A2440="",0,IF(COUNTIFS($A$2:A2440,A2440,$F$2:F2440,F2440,$L$2:L2440,L2440)=1,1,0))</f>
        <v>0</v>
      </c>
      <c r="P2440" s="55">
        <f>IF(A2440="",0,IF(AND(F2440="C&amp;T",COUNTIFS($A$2:A2440,A2440,$F$2:F2440,"C&amp;T")=1),1,0))</f>
        <v>0</v>
      </c>
    </row>
    <row r="2441" spans="1:16" x14ac:dyDescent="0.35">
      <c r="A2441" s="54" t="str">
        <f>IFERROR(IF(INDEX(SPOT_Import!$A$1:$Z$2488,2441,'Live Data'!$C$12)="","",INDEX(SPOT_Import!$A$1:$Z$2488,2441,'Live Data'!$C$12)),"")</f>
        <v/>
      </c>
      <c r="B2441" s="54" t="str">
        <f>IFERROR(IF(INDEX(SPOT_Import!$A$1:$Z$2488,2441,'Live Data'!$C$13)="","",INDEX(SPOT_Import!$A$1:$Z$2488,2441,'Live Data'!$C$13)),"")</f>
        <v/>
      </c>
      <c r="C2441" s="54" t="str">
        <f>IFERROR(IF(INDEX(SPOT_Import!$A$1:$Z$2488,2441,'Live Data'!$C$14)="","",INDEX(SPOT_Import!$A$1:$Z$2488,2441,'Live Data'!$C$14)),"")</f>
        <v/>
      </c>
      <c r="D2441" s="54" t="str">
        <f>IFERROR(IF(INDEX(SPOT_Import!$A$1:$Z$2488,2441,'Live Data'!$C$15)="","",INDEX(SPOT_Import!$A$1:$Z$2488,2441,'Live Data'!$C$15)),"")</f>
        <v/>
      </c>
      <c r="E2441" s="54" t="str">
        <f>IFERROR(IF(INDEX(SPOT_Import!$A$1:$Z$2488,2441,'Live Data'!$C$16)="","",INDEX(SPOT_Import!$A$1:$Z$2488,2441,'Live Data'!$C$16)),"")</f>
        <v/>
      </c>
      <c r="F2441" s="54" t="str">
        <f>IFERROR(IF(INDEX(SPOT_Import!$A$1:$Z$2488,2441,'Live Data'!$C$17)="","",INDEX(SPOT_Import!$A$1:$Z$2488,2441,'Live Data'!$C$17)),"")</f>
        <v/>
      </c>
      <c r="G2441" s="54" t="str">
        <f>IFERROR(IF(INDEX(SPOT_Import!$A$1:$Z$2488,2441,'Live Data'!$C$18)="","",INDEX(SPOT_Import!$A$1:$Z$2488,2441,'Live Data'!$C$18)),"")</f>
        <v/>
      </c>
      <c r="H2441" s="54" t="str">
        <f>IFERROR(IF(INDEX(SPOT_Import!$A$1:$Z$2488,2441,'Live Data'!$C$19)="","",INDEX(SPOT_Import!$A$1:$Z$2488,2441,'Live Data'!$C$19)),"")</f>
        <v/>
      </c>
      <c r="I2441" s="54" t="str">
        <f>IFERROR(IF(INDEX(SPOT_Import!$A$1:$Z$2488,2441,'Live Data'!$C$20)="","",INDEX(SPOT_Import!$A$1:$Z$2488,2441,'Live Data'!$C$20)),"")</f>
        <v/>
      </c>
      <c r="J2441" s="54" t="str">
        <f>IFERROR(IF(INDEX(SPOT_Import!$A$1:$Z$2488,2441,'Live Data'!$C$21)="","",INDEX(SPOT_Import!$A$1:$Z$2488,2441,'Live Data'!$C$21)),"")</f>
        <v/>
      </c>
      <c r="K2441" s="54" t="str">
        <f>IFERROR(IF(INDEX(SPOT_Import!$A$1:$Z$2488,2441,'Live Data'!$C$22)="","",INDEX(SPOT_Import!$A$1:$Z$2488,2441,'Live Data'!$C$22)),"")</f>
        <v/>
      </c>
      <c r="L2441" s="55" t="str">
        <f t="shared" si="76"/>
        <v/>
      </c>
      <c r="M2441" s="55" t="str">
        <f t="shared" si="77"/>
        <v/>
      </c>
      <c r="N2441" s="55" t="str">
        <f>IF(A2441="","",IFERROR(INDEX('Cluster Map'!$A$4:$A$38,MATCH(M2441,'Cluster Map'!$B$4:$B$38,0)),"Unmapped"))</f>
        <v/>
      </c>
      <c r="O2441" s="55">
        <f>IF(A2441="",0,IF(COUNTIFS($A$2:A2441,A2441,$F$2:F2441,F2441,$L$2:L2441,L2441)=1,1,0))</f>
        <v>0</v>
      </c>
      <c r="P2441" s="55">
        <f>IF(A2441="",0,IF(AND(F2441="C&amp;T",COUNTIFS($A$2:A2441,A2441,$F$2:F2441,"C&amp;T")=1),1,0))</f>
        <v>0</v>
      </c>
    </row>
    <row r="2442" spans="1:16" x14ac:dyDescent="0.35">
      <c r="A2442" s="54" t="str">
        <f>IFERROR(IF(INDEX(SPOT_Import!$A$1:$Z$2488,2442,'Live Data'!$C$12)="","",INDEX(SPOT_Import!$A$1:$Z$2488,2442,'Live Data'!$C$12)),"")</f>
        <v/>
      </c>
      <c r="B2442" s="54" t="str">
        <f>IFERROR(IF(INDEX(SPOT_Import!$A$1:$Z$2488,2442,'Live Data'!$C$13)="","",INDEX(SPOT_Import!$A$1:$Z$2488,2442,'Live Data'!$C$13)),"")</f>
        <v/>
      </c>
      <c r="C2442" s="54" t="str">
        <f>IFERROR(IF(INDEX(SPOT_Import!$A$1:$Z$2488,2442,'Live Data'!$C$14)="","",INDEX(SPOT_Import!$A$1:$Z$2488,2442,'Live Data'!$C$14)),"")</f>
        <v/>
      </c>
      <c r="D2442" s="54" t="str">
        <f>IFERROR(IF(INDEX(SPOT_Import!$A$1:$Z$2488,2442,'Live Data'!$C$15)="","",INDEX(SPOT_Import!$A$1:$Z$2488,2442,'Live Data'!$C$15)),"")</f>
        <v/>
      </c>
      <c r="E2442" s="54" t="str">
        <f>IFERROR(IF(INDEX(SPOT_Import!$A$1:$Z$2488,2442,'Live Data'!$C$16)="","",INDEX(SPOT_Import!$A$1:$Z$2488,2442,'Live Data'!$C$16)),"")</f>
        <v/>
      </c>
      <c r="F2442" s="54" t="str">
        <f>IFERROR(IF(INDEX(SPOT_Import!$A$1:$Z$2488,2442,'Live Data'!$C$17)="","",INDEX(SPOT_Import!$A$1:$Z$2488,2442,'Live Data'!$C$17)),"")</f>
        <v/>
      </c>
      <c r="G2442" s="54" t="str">
        <f>IFERROR(IF(INDEX(SPOT_Import!$A$1:$Z$2488,2442,'Live Data'!$C$18)="","",INDEX(SPOT_Import!$A$1:$Z$2488,2442,'Live Data'!$C$18)),"")</f>
        <v/>
      </c>
      <c r="H2442" s="54" t="str">
        <f>IFERROR(IF(INDEX(SPOT_Import!$A$1:$Z$2488,2442,'Live Data'!$C$19)="","",INDEX(SPOT_Import!$A$1:$Z$2488,2442,'Live Data'!$C$19)),"")</f>
        <v/>
      </c>
      <c r="I2442" s="54" t="str">
        <f>IFERROR(IF(INDEX(SPOT_Import!$A$1:$Z$2488,2442,'Live Data'!$C$20)="","",INDEX(SPOT_Import!$A$1:$Z$2488,2442,'Live Data'!$C$20)),"")</f>
        <v/>
      </c>
      <c r="J2442" s="54" t="str">
        <f>IFERROR(IF(INDEX(SPOT_Import!$A$1:$Z$2488,2442,'Live Data'!$C$21)="","",INDEX(SPOT_Import!$A$1:$Z$2488,2442,'Live Data'!$C$21)),"")</f>
        <v/>
      </c>
      <c r="K2442" s="54" t="str">
        <f>IFERROR(IF(INDEX(SPOT_Import!$A$1:$Z$2488,2442,'Live Data'!$C$22)="","",INDEX(SPOT_Import!$A$1:$Z$2488,2442,'Live Data'!$C$22)),"")</f>
        <v/>
      </c>
      <c r="L2442" s="55" t="str">
        <f t="shared" si="76"/>
        <v/>
      </c>
      <c r="M2442" s="55" t="str">
        <f t="shared" si="77"/>
        <v/>
      </c>
      <c r="N2442" s="55" t="str">
        <f>IF(A2442="","",IFERROR(INDEX('Cluster Map'!$A$4:$A$38,MATCH(M2442,'Cluster Map'!$B$4:$B$38,0)),"Unmapped"))</f>
        <v/>
      </c>
      <c r="O2442" s="55">
        <f>IF(A2442="",0,IF(COUNTIFS($A$2:A2442,A2442,$F$2:F2442,F2442,$L$2:L2442,L2442)=1,1,0))</f>
        <v>0</v>
      </c>
      <c r="P2442" s="55">
        <f>IF(A2442="",0,IF(AND(F2442="C&amp;T",COUNTIFS($A$2:A2442,A2442,$F$2:F2442,"C&amp;T")=1),1,0))</f>
        <v>0</v>
      </c>
    </row>
    <row r="2443" spans="1:16" x14ac:dyDescent="0.35">
      <c r="A2443" s="54" t="str">
        <f>IFERROR(IF(INDEX(SPOT_Import!$A$1:$Z$2488,2443,'Live Data'!$C$12)="","",INDEX(SPOT_Import!$A$1:$Z$2488,2443,'Live Data'!$C$12)),"")</f>
        <v/>
      </c>
      <c r="B2443" s="54" t="str">
        <f>IFERROR(IF(INDEX(SPOT_Import!$A$1:$Z$2488,2443,'Live Data'!$C$13)="","",INDEX(SPOT_Import!$A$1:$Z$2488,2443,'Live Data'!$C$13)),"")</f>
        <v/>
      </c>
      <c r="C2443" s="54" t="str">
        <f>IFERROR(IF(INDEX(SPOT_Import!$A$1:$Z$2488,2443,'Live Data'!$C$14)="","",INDEX(SPOT_Import!$A$1:$Z$2488,2443,'Live Data'!$C$14)),"")</f>
        <v/>
      </c>
      <c r="D2443" s="54" t="str">
        <f>IFERROR(IF(INDEX(SPOT_Import!$A$1:$Z$2488,2443,'Live Data'!$C$15)="","",INDEX(SPOT_Import!$A$1:$Z$2488,2443,'Live Data'!$C$15)),"")</f>
        <v/>
      </c>
      <c r="E2443" s="54" t="str">
        <f>IFERROR(IF(INDEX(SPOT_Import!$A$1:$Z$2488,2443,'Live Data'!$C$16)="","",INDEX(SPOT_Import!$A$1:$Z$2488,2443,'Live Data'!$C$16)),"")</f>
        <v/>
      </c>
      <c r="F2443" s="54" t="str">
        <f>IFERROR(IF(INDEX(SPOT_Import!$A$1:$Z$2488,2443,'Live Data'!$C$17)="","",INDEX(SPOT_Import!$A$1:$Z$2488,2443,'Live Data'!$C$17)),"")</f>
        <v/>
      </c>
      <c r="G2443" s="54" t="str">
        <f>IFERROR(IF(INDEX(SPOT_Import!$A$1:$Z$2488,2443,'Live Data'!$C$18)="","",INDEX(SPOT_Import!$A$1:$Z$2488,2443,'Live Data'!$C$18)),"")</f>
        <v/>
      </c>
      <c r="H2443" s="54" t="str">
        <f>IFERROR(IF(INDEX(SPOT_Import!$A$1:$Z$2488,2443,'Live Data'!$C$19)="","",INDEX(SPOT_Import!$A$1:$Z$2488,2443,'Live Data'!$C$19)),"")</f>
        <v/>
      </c>
      <c r="I2443" s="54" t="str">
        <f>IFERROR(IF(INDEX(SPOT_Import!$A$1:$Z$2488,2443,'Live Data'!$C$20)="","",INDEX(SPOT_Import!$A$1:$Z$2488,2443,'Live Data'!$C$20)),"")</f>
        <v/>
      </c>
      <c r="J2443" s="54" t="str">
        <f>IFERROR(IF(INDEX(SPOT_Import!$A$1:$Z$2488,2443,'Live Data'!$C$21)="","",INDEX(SPOT_Import!$A$1:$Z$2488,2443,'Live Data'!$C$21)),"")</f>
        <v/>
      </c>
      <c r="K2443" s="54" t="str">
        <f>IFERROR(IF(INDEX(SPOT_Import!$A$1:$Z$2488,2443,'Live Data'!$C$22)="","",INDEX(SPOT_Import!$A$1:$Z$2488,2443,'Live Data'!$C$22)),"")</f>
        <v/>
      </c>
      <c r="L2443" s="55" t="str">
        <f t="shared" si="76"/>
        <v/>
      </c>
      <c r="M2443" s="55" t="str">
        <f t="shared" si="77"/>
        <v/>
      </c>
      <c r="N2443" s="55" t="str">
        <f>IF(A2443="","",IFERROR(INDEX('Cluster Map'!$A$4:$A$38,MATCH(M2443,'Cluster Map'!$B$4:$B$38,0)),"Unmapped"))</f>
        <v/>
      </c>
      <c r="O2443" s="55">
        <f>IF(A2443="",0,IF(COUNTIFS($A$2:A2443,A2443,$F$2:F2443,F2443,$L$2:L2443,L2443)=1,1,0))</f>
        <v>0</v>
      </c>
      <c r="P2443" s="55">
        <f>IF(A2443="",0,IF(AND(F2443="C&amp;T",COUNTIFS($A$2:A2443,A2443,$F$2:F2443,"C&amp;T")=1),1,0))</f>
        <v>0</v>
      </c>
    </row>
    <row r="2444" spans="1:16" x14ac:dyDescent="0.35">
      <c r="A2444" s="54" t="str">
        <f>IFERROR(IF(INDEX(SPOT_Import!$A$1:$Z$2488,2444,'Live Data'!$C$12)="","",INDEX(SPOT_Import!$A$1:$Z$2488,2444,'Live Data'!$C$12)),"")</f>
        <v/>
      </c>
      <c r="B2444" s="54" t="str">
        <f>IFERROR(IF(INDEX(SPOT_Import!$A$1:$Z$2488,2444,'Live Data'!$C$13)="","",INDEX(SPOT_Import!$A$1:$Z$2488,2444,'Live Data'!$C$13)),"")</f>
        <v/>
      </c>
      <c r="C2444" s="54" t="str">
        <f>IFERROR(IF(INDEX(SPOT_Import!$A$1:$Z$2488,2444,'Live Data'!$C$14)="","",INDEX(SPOT_Import!$A$1:$Z$2488,2444,'Live Data'!$C$14)),"")</f>
        <v/>
      </c>
      <c r="D2444" s="54" t="str">
        <f>IFERROR(IF(INDEX(SPOT_Import!$A$1:$Z$2488,2444,'Live Data'!$C$15)="","",INDEX(SPOT_Import!$A$1:$Z$2488,2444,'Live Data'!$C$15)),"")</f>
        <v/>
      </c>
      <c r="E2444" s="54" t="str">
        <f>IFERROR(IF(INDEX(SPOT_Import!$A$1:$Z$2488,2444,'Live Data'!$C$16)="","",INDEX(SPOT_Import!$A$1:$Z$2488,2444,'Live Data'!$C$16)),"")</f>
        <v/>
      </c>
      <c r="F2444" s="54" t="str">
        <f>IFERROR(IF(INDEX(SPOT_Import!$A$1:$Z$2488,2444,'Live Data'!$C$17)="","",INDEX(SPOT_Import!$A$1:$Z$2488,2444,'Live Data'!$C$17)),"")</f>
        <v/>
      </c>
      <c r="G2444" s="54" t="str">
        <f>IFERROR(IF(INDEX(SPOT_Import!$A$1:$Z$2488,2444,'Live Data'!$C$18)="","",INDEX(SPOT_Import!$A$1:$Z$2488,2444,'Live Data'!$C$18)),"")</f>
        <v/>
      </c>
      <c r="H2444" s="54" t="str">
        <f>IFERROR(IF(INDEX(SPOT_Import!$A$1:$Z$2488,2444,'Live Data'!$C$19)="","",INDEX(SPOT_Import!$A$1:$Z$2488,2444,'Live Data'!$C$19)),"")</f>
        <v/>
      </c>
      <c r="I2444" s="54" t="str">
        <f>IFERROR(IF(INDEX(SPOT_Import!$A$1:$Z$2488,2444,'Live Data'!$C$20)="","",INDEX(SPOT_Import!$A$1:$Z$2488,2444,'Live Data'!$C$20)),"")</f>
        <v/>
      </c>
      <c r="J2444" s="54" t="str">
        <f>IFERROR(IF(INDEX(SPOT_Import!$A$1:$Z$2488,2444,'Live Data'!$C$21)="","",INDEX(SPOT_Import!$A$1:$Z$2488,2444,'Live Data'!$C$21)),"")</f>
        <v/>
      </c>
      <c r="K2444" s="54" t="str">
        <f>IFERROR(IF(INDEX(SPOT_Import!$A$1:$Z$2488,2444,'Live Data'!$C$22)="","",INDEX(SPOT_Import!$A$1:$Z$2488,2444,'Live Data'!$C$22)),"")</f>
        <v/>
      </c>
      <c r="L2444" s="55" t="str">
        <f t="shared" si="76"/>
        <v/>
      </c>
      <c r="M2444" s="55" t="str">
        <f t="shared" si="77"/>
        <v/>
      </c>
      <c r="N2444" s="55" t="str">
        <f>IF(A2444="","",IFERROR(INDEX('Cluster Map'!$A$4:$A$38,MATCH(M2444,'Cluster Map'!$B$4:$B$38,0)),"Unmapped"))</f>
        <v/>
      </c>
      <c r="O2444" s="55">
        <f>IF(A2444="",0,IF(COUNTIFS($A$2:A2444,A2444,$F$2:F2444,F2444,$L$2:L2444,L2444)=1,1,0))</f>
        <v>0</v>
      </c>
      <c r="P2444" s="55">
        <f>IF(A2444="",0,IF(AND(F2444="C&amp;T",COUNTIFS($A$2:A2444,A2444,$F$2:F2444,"C&amp;T")=1),1,0))</f>
        <v>0</v>
      </c>
    </row>
    <row r="2445" spans="1:16" x14ac:dyDescent="0.35">
      <c r="A2445" s="54" t="str">
        <f>IFERROR(IF(INDEX(SPOT_Import!$A$1:$Z$2488,2445,'Live Data'!$C$12)="","",INDEX(SPOT_Import!$A$1:$Z$2488,2445,'Live Data'!$C$12)),"")</f>
        <v/>
      </c>
      <c r="B2445" s="54" t="str">
        <f>IFERROR(IF(INDEX(SPOT_Import!$A$1:$Z$2488,2445,'Live Data'!$C$13)="","",INDEX(SPOT_Import!$A$1:$Z$2488,2445,'Live Data'!$C$13)),"")</f>
        <v/>
      </c>
      <c r="C2445" s="54" t="str">
        <f>IFERROR(IF(INDEX(SPOT_Import!$A$1:$Z$2488,2445,'Live Data'!$C$14)="","",INDEX(SPOT_Import!$A$1:$Z$2488,2445,'Live Data'!$C$14)),"")</f>
        <v/>
      </c>
      <c r="D2445" s="54" t="str">
        <f>IFERROR(IF(INDEX(SPOT_Import!$A$1:$Z$2488,2445,'Live Data'!$C$15)="","",INDEX(SPOT_Import!$A$1:$Z$2488,2445,'Live Data'!$C$15)),"")</f>
        <v/>
      </c>
      <c r="E2445" s="54" t="str">
        <f>IFERROR(IF(INDEX(SPOT_Import!$A$1:$Z$2488,2445,'Live Data'!$C$16)="","",INDEX(SPOT_Import!$A$1:$Z$2488,2445,'Live Data'!$C$16)),"")</f>
        <v/>
      </c>
      <c r="F2445" s="54" t="str">
        <f>IFERROR(IF(INDEX(SPOT_Import!$A$1:$Z$2488,2445,'Live Data'!$C$17)="","",INDEX(SPOT_Import!$A$1:$Z$2488,2445,'Live Data'!$C$17)),"")</f>
        <v/>
      </c>
      <c r="G2445" s="54" t="str">
        <f>IFERROR(IF(INDEX(SPOT_Import!$A$1:$Z$2488,2445,'Live Data'!$C$18)="","",INDEX(SPOT_Import!$A$1:$Z$2488,2445,'Live Data'!$C$18)),"")</f>
        <v/>
      </c>
      <c r="H2445" s="54" t="str">
        <f>IFERROR(IF(INDEX(SPOT_Import!$A$1:$Z$2488,2445,'Live Data'!$C$19)="","",INDEX(SPOT_Import!$A$1:$Z$2488,2445,'Live Data'!$C$19)),"")</f>
        <v/>
      </c>
      <c r="I2445" s="54" t="str">
        <f>IFERROR(IF(INDEX(SPOT_Import!$A$1:$Z$2488,2445,'Live Data'!$C$20)="","",INDEX(SPOT_Import!$A$1:$Z$2488,2445,'Live Data'!$C$20)),"")</f>
        <v/>
      </c>
      <c r="J2445" s="54" t="str">
        <f>IFERROR(IF(INDEX(SPOT_Import!$A$1:$Z$2488,2445,'Live Data'!$C$21)="","",INDEX(SPOT_Import!$A$1:$Z$2488,2445,'Live Data'!$C$21)),"")</f>
        <v/>
      </c>
      <c r="K2445" s="54" t="str">
        <f>IFERROR(IF(INDEX(SPOT_Import!$A$1:$Z$2488,2445,'Live Data'!$C$22)="","",INDEX(SPOT_Import!$A$1:$Z$2488,2445,'Live Data'!$C$22)),"")</f>
        <v/>
      </c>
      <c r="L2445" s="55" t="str">
        <f t="shared" si="76"/>
        <v/>
      </c>
      <c r="M2445" s="55" t="str">
        <f t="shared" si="77"/>
        <v/>
      </c>
      <c r="N2445" s="55" t="str">
        <f>IF(A2445="","",IFERROR(INDEX('Cluster Map'!$A$4:$A$38,MATCH(M2445,'Cluster Map'!$B$4:$B$38,0)),"Unmapped"))</f>
        <v/>
      </c>
      <c r="O2445" s="55">
        <f>IF(A2445="",0,IF(COUNTIFS($A$2:A2445,A2445,$F$2:F2445,F2445,$L$2:L2445,L2445)=1,1,0))</f>
        <v>0</v>
      </c>
      <c r="P2445" s="55">
        <f>IF(A2445="",0,IF(AND(F2445="C&amp;T",COUNTIFS($A$2:A2445,A2445,$F$2:F2445,"C&amp;T")=1),1,0))</f>
        <v>0</v>
      </c>
    </row>
    <row r="2446" spans="1:16" x14ac:dyDescent="0.35">
      <c r="A2446" s="54" t="str">
        <f>IFERROR(IF(INDEX(SPOT_Import!$A$1:$Z$2488,2446,'Live Data'!$C$12)="","",INDEX(SPOT_Import!$A$1:$Z$2488,2446,'Live Data'!$C$12)),"")</f>
        <v/>
      </c>
      <c r="B2446" s="54" t="str">
        <f>IFERROR(IF(INDEX(SPOT_Import!$A$1:$Z$2488,2446,'Live Data'!$C$13)="","",INDEX(SPOT_Import!$A$1:$Z$2488,2446,'Live Data'!$C$13)),"")</f>
        <v/>
      </c>
      <c r="C2446" s="54" t="str">
        <f>IFERROR(IF(INDEX(SPOT_Import!$A$1:$Z$2488,2446,'Live Data'!$C$14)="","",INDEX(SPOT_Import!$A$1:$Z$2488,2446,'Live Data'!$C$14)),"")</f>
        <v/>
      </c>
      <c r="D2446" s="54" t="str">
        <f>IFERROR(IF(INDEX(SPOT_Import!$A$1:$Z$2488,2446,'Live Data'!$C$15)="","",INDEX(SPOT_Import!$A$1:$Z$2488,2446,'Live Data'!$C$15)),"")</f>
        <v/>
      </c>
      <c r="E2446" s="54" t="str">
        <f>IFERROR(IF(INDEX(SPOT_Import!$A$1:$Z$2488,2446,'Live Data'!$C$16)="","",INDEX(SPOT_Import!$A$1:$Z$2488,2446,'Live Data'!$C$16)),"")</f>
        <v/>
      </c>
      <c r="F2446" s="54" t="str">
        <f>IFERROR(IF(INDEX(SPOT_Import!$A$1:$Z$2488,2446,'Live Data'!$C$17)="","",INDEX(SPOT_Import!$A$1:$Z$2488,2446,'Live Data'!$C$17)),"")</f>
        <v/>
      </c>
      <c r="G2446" s="54" t="str">
        <f>IFERROR(IF(INDEX(SPOT_Import!$A$1:$Z$2488,2446,'Live Data'!$C$18)="","",INDEX(SPOT_Import!$A$1:$Z$2488,2446,'Live Data'!$C$18)),"")</f>
        <v/>
      </c>
      <c r="H2446" s="54" t="str">
        <f>IFERROR(IF(INDEX(SPOT_Import!$A$1:$Z$2488,2446,'Live Data'!$C$19)="","",INDEX(SPOT_Import!$A$1:$Z$2488,2446,'Live Data'!$C$19)),"")</f>
        <v/>
      </c>
      <c r="I2446" s="54" t="str">
        <f>IFERROR(IF(INDEX(SPOT_Import!$A$1:$Z$2488,2446,'Live Data'!$C$20)="","",INDEX(SPOT_Import!$A$1:$Z$2488,2446,'Live Data'!$C$20)),"")</f>
        <v/>
      </c>
      <c r="J2446" s="54" t="str">
        <f>IFERROR(IF(INDEX(SPOT_Import!$A$1:$Z$2488,2446,'Live Data'!$C$21)="","",INDEX(SPOT_Import!$A$1:$Z$2488,2446,'Live Data'!$C$21)),"")</f>
        <v/>
      </c>
      <c r="K2446" s="54" t="str">
        <f>IFERROR(IF(INDEX(SPOT_Import!$A$1:$Z$2488,2446,'Live Data'!$C$22)="","",INDEX(SPOT_Import!$A$1:$Z$2488,2446,'Live Data'!$C$22)),"")</f>
        <v/>
      </c>
      <c r="L2446" s="55" t="str">
        <f t="shared" si="76"/>
        <v/>
      </c>
      <c r="M2446" s="55" t="str">
        <f t="shared" si="77"/>
        <v/>
      </c>
      <c r="N2446" s="55" t="str">
        <f>IF(A2446="","",IFERROR(INDEX('Cluster Map'!$A$4:$A$38,MATCH(M2446,'Cluster Map'!$B$4:$B$38,0)),"Unmapped"))</f>
        <v/>
      </c>
      <c r="O2446" s="55">
        <f>IF(A2446="",0,IF(COUNTIFS($A$2:A2446,A2446,$F$2:F2446,F2446,$L$2:L2446,L2446)=1,1,0))</f>
        <v>0</v>
      </c>
      <c r="P2446" s="55">
        <f>IF(A2446="",0,IF(AND(F2446="C&amp;T",COUNTIFS($A$2:A2446,A2446,$F$2:F2446,"C&amp;T")=1),1,0))</f>
        <v>0</v>
      </c>
    </row>
    <row r="2447" spans="1:16" x14ac:dyDescent="0.35">
      <c r="A2447" s="54" t="str">
        <f>IFERROR(IF(INDEX(SPOT_Import!$A$1:$Z$2488,2447,'Live Data'!$C$12)="","",INDEX(SPOT_Import!$A$1:$Z$2488,2447,'Live Data'!$C$12)),"")</f>
        <v/>
      </c>
      <c r="B2447" s="54" t="str">
        <f>IFERROR(IF(INDEX(SPOT_Import!$A$1:$Z$2488,2447,'Live Data'!$C$13)="","",INDEX(SPOT_Import!$A$1:$Z$2488,2447,'Live Data'!$C$13)),"")</f>
        <v/>
      </c>
      <c r="C2447" s="54" t="str">
        <f>IFERROR(IF(INDEX(SPOT_Import!$A$1:$Z$2488,2447,'Live Data'!$C$14)="","",INDEX(SPOT_Import!$A$1:$Z$2488,2447,'Live Data'!$C$14)),"")</f>
        <v/>
      </c>
      <c r="D2447" s="54" t="str">
        <f>IFERROR(IF(INDEX(SPOT_Import!$A$1:$Z$2488,2447,'Live Data'!$C$15)="","",INDEX(SPOT_Import!$A$1:$Z$2488,2447,'Live Data'!$C$15)),"")</f>
        <v/>
      </c>
      <c r="E2447" s="54" t="str">
        <f>IFERROR(IF(INDEX(SPOT_Import!$A$1:$Z$2488,2447,'Live Data'!$C$16)="","",INDEX(SPOT_Import!$A$1:$Z$2488,2447,'Live Data'!$C$16)),"")</f>
        <v/>
      </c>
      <c r="F2447" s="54" t="str">
        <f>IFERROR(IF(INDEX(SPOT_Import!$A$1:$Z$2488,2447,'Live Data'!$C$17)="","",INDEX(SPOT_Import!$A$1:$Z$2488,2447,'Live Data'!$C$17)),"")</f>
        <v/>
      </c>
      <c r="G2447" s="54" t="str">
        <f>IFERROR(IF(INDEX(SPOT_Import!$A$1:$Z$2488,2447,'Live Data'!$C$18)="","",INDEX(SPOT_Import!$A$1:$Z$2488,2447,'Live Data'!$C$18)),"")</f>
        <v/>
      </c>
      <c r="H2447" s="54" t="str">
        <f>IFERROR(IF(INDEX(SPOT_Import!$A$1:$Z$2488,2447,'Live Data'!$C$19)="","",INDEX(SPOT_Import!$A$1:$Z$2488,2447,'Live Data'!$C$19)),"")</f>
        <v/>
      </c>
      <c r="I2447" s="54" t="str">
        <f>IFERROR(IF(INDEX(SPOT_Import!$A$1:$Z$2488,2447,'Live Data'!$C$20)="","",INDEX(SPOT_Import!$A$1:$Z$2488,2447,'Live Data'!$C$20)),"")</f>
        <v/>
      </c>
      <c r="J2447" s="54" t="str">
        <f>IFERROR(IF(INDEX(SPOT_Import!$A$1:$Z$2488,2447,'Live Data'!$C$21)="","",INDEX(SPOT_Import!$A$1:$Z$2488,2447,'Live Data'!$C$21)),"")</f>
        <v/>
      </c>
      <c r="K2447" s="54" t="str">
        <f>IFERROR(IF(INDEX(SPOT_Import!$A$1:$Z$2488,2447,'Live Data'!$C$22)="","",INDEX(SPOT_Import!$A$1:$Z$2488,2447,'Live Data'!$C$22)),"")</f>
        <v/>
      </c>
      <c r="L2447" s="55" t="str">
        <f t="shared" si="76"/>
        <v/>
      </c>
      <c r="M2447" s="55" t="str">
        <f t="shared" si="77"/>
        <v/>
      </c>
      <c r="N2447" s="55" t="str">
        <f>IF(A2447="","",IFERROR(INDEX('Cluster Map'!$A$4:$A$38,MATCH(M2447,'Cluster Map'!$B$4:$B$38,0)),"Unmapped"))</f>
        <v/>
      </c>
      <c r="O2447" s="55">
        <f>IF(A2447="",0,IF(COUNTIFS($A$2:A2447,A2447,$F$2:F2447,F2447,$L$2:L2447,L2447)=1,1,0))</f>
        <v>0</v>
      </c>
      <c r="P2447" s="55">
        <f>IF(A2447="",0,IF(AND(F2447="C&amp;T",COUNTIFS($A$2:A2447,A2447,$F$2:F2447,"C&amp;T")=1),1,0))</f>
        <v>0</v>
      </c>
    </row>
    <row r="2448" spans="1:16" x14ac:dyDescent="0.35">
      <c r="A2448" s="54" t="str">
        <f>IFERROR(IF(INDEX(SPOT_Import!$A$1:$Z$2488,2448,'Live Data'!$C$12)="","",INDEX(SPOT_Import!$A$1:$Z$2488,2448,'Live Data'!$C$12)),"")</f>
        <v/>
      </c>
      <c r="B2448" s="54" t="str">
        <f>IFERROR(IF(INDEX(SPOT_Import!$A$1:$Z$2488,2448,'Live Data'!$C$13)="","",INDEX(SPOT_Import!$A$1:$Z$2488,2448,'Live Data'!$C$13)),"")</f>
        <v/>
      </c>
      <c r="C2448" s="54" t="str">
        <f>IFERROR(IF(INDEX(SPOT_Import!$A$1:$Z$2488,2448,'Live Data'!$C$14)="","",INDEX(SPOT_Import!$A$1:$Z$2488,2448,'Live Data'!$C$14)),"")</f>
        <v/>
      </c>
      <c r="D2448" s="54" t="str">
        <f>IFERROR(IF(INDEX(SPOT_Import!$A$1:$Z$2488,2448,'Live Data'!$C$15)="","",INDEX(SPOT_Import!$A$1:$Z$2488,2448,'Live Data'!$C$15)),"")</f>
        <v/>
      </c>
      <c r="E2448" s="54" t="str">
        <f>IFERROR(IF(INDEX(SPOT_Import!$A$1:$Z$2488,2448,'Live Data'!$C$16)="","",INDEX(SPOT_Import!$A$1:$Z$2488,2448,'Live Data'!$C$16)),"")</f>
        <v/>
      </c>
      <c r="F2448" s="54" t="str">
        <f>IFERROR(IF(INDEX(SPOT_Import!$A$1:$Z$2488,2448,'Live Data'!$C$17)="","",INDEX(SPOT_Import!$A$1:$Z$2488,2448,'Live Data'!$C$17)),"")</f>
        <v/>
      </c>
      <c r="G2448" s="54" t="str">
        <f>IFERROR(IF(INDEX(SPOT_Import!$A$1:$Z$2488,2448,'Live Data'!$C$18)="","",INDEX(SPOT_Import!$A$1:$Z$2488,2448,'Live Data'!$C$18)),"")</f>
        <v/>
      </c>
      <c r="H2448" s="54" t="str">
        <f>IFERROR(IF(INDEX(SPOT_Import!$A$1:$Z$2488,2448,'Live Data'!$C$19)="","",INDEX(SPOT_Import!$A$1:$Z$2488,2448,'Live Data'!$C$19)),"")</f>
        <v/>
      </c>
      <c r="I2448" s="54" t="str">
        <f>IFERROR(IF(INDEX(SPOT_Import!$A$1:$Z$2488,2448,'Live Data'!$C$20)="","",INDEX(SPOT_Import!$A$1:$Z$2488,2448,'Live Data'!$C$20)),"")</f>
        <v/>
      </c>
      <c r="J2448" s="54" t="str">
        <f>IFERROR(IF(INDEX(SPOT_Import!$A$1:$Z$2488,2448,'Live Data'!$C$21)="","",INDEX(SPOT_Import!$A$1:$Z$2488,2448,'Live Data'!$C$21)),"")</f>
        <v/>
      </c>
      <c r="K2448" s="54" t="str">
        <f>IFERROR(IF(INDEX(SPOT_Import!$A$1:$Z$2488,2448,'Live Data'!$C$22)="","",INDEX(SPOT_Import!$A$1:$Z$2488,2448,'Live Data'!$C$22)),"")</f>
        <v/>
      </c>
      <c r="L2448" s="55" t="str">
        <f t="shared" si="76"/>
        <v/>
      </c>
      <c r="M2448" s="55" t="str">
        <f t="shared" si="77"/>
        <v/>
      </c>
      <c r="N2448" s="55" t="str">
        <f>IF(A2448="","",IFERROR(INDEX('Cluster Map'!$A$4:$A$38,MATCH(M2448,'Cluster Map'!$B$4:$B$38,0)),"Unmapped"))</f>
        <v/>
      </c>
      <c r="O2448" s="55">
        <f>IF(A2448="",0,IF(COUNTIFS($A$2:A2448,A2448,$F$2:F2448,F2448,$L$2:L2448,L2448)=1,1,0))</f>
        <v>0</v>
      </c>
      <c r="P2448" s="55">
        <f>IF(A2448="",0,IF(AND(F2448="C&amp;T",COUNTIFS($A$2:A2448,A2448,$F$2:F2448,"C&amp;T")=1),1,0))</f>
        <v>0</v>
      </c>
    </row>
    <row r="2449" spans="1:16" x14ac:dyDescent="0.35">
      <c r="A2449" s="54" t="str">
        <f>IFERROR(IF(INDEX(SPOT_Import!$A$1:$Z$2488,2449,'Live Data'!$C$12)="","",INDEX(SPOT_Import!$A$1:$Z$2488,2449,'Live Data'!$C$12)),"")</f>
        <v/>
      </c>
      <c r="B2449" s="54" t="str">
        <f>IFERROR(IF(INDEX(SPOT_Import!$A$1:$Z$2488,2449,'Live Data'!$C$13)="","",INDEX(SPOT_Import!$A$1:$Z$2488,2449,'Live Data'!$C$13)),"")</f>
        <v/>
      </c>
      <c r="C2449" s="54" t="str">
        <f>IFERROR(IF(INDEX(SPOT_Import!$A$1:$Z$2488,2449,'Live Data'!$C$14)="","",INDEX(SPOT_Import!$A$1:$Z$2488,2449,'Live Data'!$C$14)),"")</f>
        <v/>
      </c>
      <c r="D2449" s="54" t="str">
        <f>IFERROR(IF(INDEX(SPOT_Import!$A$1:$Z$2488,2449,'Live Data'!$C$15)="","",INDEX(SPOT_Import!$A$1:$Z$2488,2449,'Live Data'!$C$15)),"")</f>
        <v/>
      </c>
      <c r="E2449" s="54" t="str">
        <f>IFERROR(IF(INDEX(SPOT_Import!$A$1:$Z$2488,2449,'Live Data'!$C$16)="","",INDEX(SPOT_Import!$A$1:$Z$2488,2449,'Live Data'!$C$16)),"")</f>
        <v/>
      </c>
      <c r="F2449" s="54" t="str">
        <f>IFERROR(IF(INDEX(SPOT_Import!$A$1:$Z$2488,2449,'Live Data'!$C$17)="","",INDEX(SPOT_Import!$A$1:$Z$2488,2449,'Live Data'!$C$17)),"")</f>
        <v/>
      </c>
      <c r="G2449" s="54" t="str">
        <f>IFERROR(IF(INDEX(SPOT_Import!$A$1:$Z$2488,2449,'Live Data'!$C$18)="","",INDEX(SPOT_Import!$A$1:$Z$2488,2449,'Live Data'!$C$18)),"")</f>
        <v/>
      </c>
      <c r="H2449" s="54" t="str">
        <f>IFERROR(IF(INDEX(SPOT_Import!$A$1:$Z$2488,2449,'Live Data'!$C$19)="","",INDEX(SPOT_Import!$A$1:$Z$2488,2449,'Live Data'!$C$19)),"")</f>
        <v/>
      </c>
      <c r="I2449" s="54" t="str">
        <f>IFERROR(IF(INDEX(SPOT_Import!$A$1:$Z$2488,2449,'Live Data'!$C$20)="","",INDEX(SPOT_Import!$A$1:$Z$2488,2449,'Live Data'!$C$20)),"")</f>
        <v/>
      </c>
      <c r="J2449" s="54" t="str">
        <f>IFERROR(IF(INDEX(SPOT_Import!$A$1:$Z$2488,2449,'Live Data'!$C$21)="","",INDEX(SPOT_Import!$A$1:$Z$2488,2449,'Live Data'!$C$21)),"")</f>
        <v/>
      </c>
      <c r="K2449" s="54" t="str">
        <f>IFERROR(IF(INDEX(SPOT_Import!$A$1:$Z$2488,2449,'Live Data'!$C$22)="","",INDEX(SPOT_Import!$A$1:$Z$2488,2449,'Live Data'!$C$22)),"")</f>
        <v/>
      </c>
      <c r="L2449" s="55" t="str">
        <f t="shared" si="76"/>
        <v/>
      </c>
      <c r="M2449" s="55" t="str">
        <f t="shared" si="77"/>
        <v/>
      </c>
      <c r="N2449" s="55" t="str">
        <f>IF(A2449="","",IFERROR(INDEX('Cluster Map'!$A$4:$A$38,MATCH(M2449,'Cluster Map'!$B$4:$B$38,0)),"Unmapped"))</f>
        <v/>
      </c>
      <c r="O2449" s="55">
        <f>IF(A2449="",0,IF(COUNTIFS($A$2:A2449,A2449,$F$2:F2449,F2449,$L$2:L2449,L2449)=1,1,0))</f>
        <v>0</v>
      </c>
      <c r="P2449" s="55">
        <f>IF(A2449="",0,IF(AND(F2449="C&amp;T",COUNTIFS($A$2:A2449,A2449,$F$2:F2449,"C&amp;T")=1),1,0))</f>
        <v>0</v>
      </c>
    </row>
    <row r="2450" spans="1:16" x14ac:dyDescent="0.35">
      <c r="A2450" s="54" t="str">
        <f>IFERROR(IF(INDEX(SPOT_Import!$A$1:$Z$2488,2450,'Live Data'!$C$12)="","",INDEX(SPOT_Import!$A$1:$Z$2488,2450,'Live Data'!$C$12)),"")</f>
        <v/>
      </c>
      <c r="B2450" s="54" t="str">
        <f>IFERROR(IF(INDEX(SPOT_Import!$A$1:$Z$2488,2450,'Live Data'!$C$13)="","",INDEX(SPOT_Import!$A$1:$Z$2488,2450,'Live Data'!$C$13)),"")</f>
        <v/>
      </c>
      <c r="C2450" s="54" t="str">
        <f>IFERROR(IF(INDEX(SPOT_Import!$A$1:$Z$2488,2450,'Live Data'!$C$14)="","",INDEX(SPOT_Import!$A$1:$Z$2488,2450,'Live Data'!$C$14)),"")</f>
        <v/>
      </c>
      <c r="D2450" s="54" t="str">
        <f>IFERROR(IF(INDEX(SPOT_Import!$A$1:$Z$2488,2450,'Live Data'!$C$15)="","",INDEX(SPOT_Import!$A$1:$Z$2488,2450,'Live Data'!$C$15)),"")</f>
        <v/>
      </c>
      <c r="E2450" s="54" t="str">
        <f>IFERROR(IF(INDEX(SPOT_Import!$A$1:$Z$2488,2450,'Live Data'!$C$16)="","",INDEX(SPOT_Import!$A$1:$Z$2488,2450,'Live Data'!$C$16)),"")</f>
        <v/>
      </c>
      <c r="F2450" s="54" t="str">
        <f>IFERROR(IF(INDEX(SPOT_Import!$A$1:$Z$2488,2450,'Live Data'!$C$17)="","",INDEX(SPOT_Import!$A$1:$Z$2488,2450,'Live Data'!$C$17)),"")</f>
        <v/>
      </c>
      <c r="G2450" s="54" t="str">
        <f>IFERROR(IF(INDEX(SPOT_Import!$A$1:$Z$2488,2450,'Live Data'!$C$18)="","",INDEX(SPOT_Import!$A$1:$Z$2488,2450,'Live Data'!$C$18)),"")</f>
        <v/>
      </c>
      <c r="H2450" s="54" t="str">
        <f>IFERROR(IF(INDEX(SPOT_Import!$A$1:$Z$2488,2450,'Live Data'!$C$19)="","",INDEX(SPOT_Import!$A$1:$Z$2488,2450,'Live Data'!$C$19)),"")</f>
        <v/>
      </c>
      <c r="I2450" s="54" t="str">
        <f>IFERROR(IF(INDEX(SPOT_Import!$A$1:$Z$2488,2450,'Live Data'!$C$20)="","",INDEX(SPOT_Import!$A$1:$Z$2488,2450,'Live Data'!$C$20)),"")</f>
        <v/>
      </c>
      <c r="J2450" s="54" t="str">
        <f>IFERROR(IF(INDEX(SPOT_Import!$A$1:$Z$2488,2450,'Live Data'!$C$21)="","",INDEX(SPOT_Import!$A$1:$Z$2488,2450,'Live Data'!$C$21)),"")</f>
        <v/>
      </c>
      <c r="K2450" s="54" t="str">
        <f>IFERROR(IF(INDEX(SPOT_Import!$A$1:$Z$2488,2450,'Live Data'!$C$22)="","",INDEX(SPOT_Import!$A$1:$Z$2488,2450,'Live Data'!$C$22)),"")</f>
        <v/>
      </c>
      <c r="L2450" s="55" t="str">
        <f t="shared" si="76"/>
        <v/>
      </c>
      <c r="M2450" s="55" t="str">
        <f t="shared" si="77"/>
        <v/>
      </c>
      <c r="N2450" s="55" t="str">
        <f>IF(A2450="","",IFERROR(INDEX('Cluster Map'!$A$4:$A$38,MATCH(M2450,'Cluster Map'!$B$4:$B$38,0)),"Unmapped"))</f>
        <v/>
      </c>
      <c r="O2450" s="55">
        <f>IF(A2450="",0,IF(COUNTIFS($A$2:A2450,A2450,$F$2:F2450,F2450,$L$2:L2450,L2450)=1,1,0))</f>
        <v>0</v>
      </c>
      <c r="P2450" s="55">
        <f>IF(A2450="",0,IF(AND(F2450="C&amp;T",COUNTIFS($A$2:A2450,A2450,$F$2:F2450,"C&amp;T")=1),1,0))</f>
        <v>0</v>
      </c>
    </row>
    <row r="2451" spans="1:16" x14ac:dyDescent="0.35">
      <c r="A2451" s="54" t="str">
        <f>IFERROR(IF(INDEX(SPOT_Import!$A$1:$Z$2488,2451,'Live Data'!$C$12)="","",INDEX(SPOT_Import!$A$1:$Z$2488,2451,'Live Data'!$C$12)),"")</f>
        <v/>
      </c>
      <c r="B2451" s="54" t="str">
        <f>IFERROR(IF(INDEX(SPOT_Import!$A$1:$Z$2488,2451,'Live Data'!$C$13)="","",INDEX(SPOT_Import!$A$1:$Z$2488,2451,'Live Data'!$C$13)),"")</f>
        <v/>
      </c>
      <c r="C2451" s="54" t="str">
        <f>IFERROR(IF(INDEX(SPOT_Import!$A$1:$Z$2488,2451,'Live Data'!$C$14)="","",INDEX(SPOT_Import!$A$1:$Z$2488,2451,'Live Data'!$C$14)),"")</f>
        <v/>
      </c>
      <c r="D2451" s="54" t="str">
        <f>IFERROR(IF(INDEX(SPOT_Import!$A$1:$Z$2488,2451,'Live Data'!$C$15)="","",INDEX(SPOT_Import!$A$1:$Z$2488,2451,'Live Data'!$C$15)),"")</f>
        <v/>
      </c>
      <c r="E2451" s="54" t="str">
        <f>IFERROR(IF(INDEX(SPOT_Import!$A$1:$Z$2488,2451,'Live Data'!$C$16)="","",INDEX(SPOT_Import!$A$1:$Z$2488,2451,'Live Data'!$C$16)),"")</f>
        <v/>
      </c>
      <c r="F2451" s="54" t="str">
        <f>IFERROR(IF(INDEX(SPOT_Import!$A$1:$Z$2488,2451,'Live Data'!$C$17)="","",INDEX(SPOT_Import!$A$1:$Z$2488,2451,'Live Data'!$C$17)),"")</f>
        <v/>
      </c>
      <c r="G2451" s="54" t="str">
        <f>IFERROR(IF(INDEX(SPOT_Import!$A$1:$Z$2488,2451,'Live Data'!$C$18)="","",INDEX(SPOT_Import!$A$1:$Z$2488,2451,'Live Data'!$C$18)),"")</f>
        <v/>
      </c>
      <c r="H2451" s="54" t="str">
        <f>IFERROR(IF(INDEX(SPOT_Import!$A$1:$Z$2488,2451,'Live Data'!$C$19)="","",INDEX(SPOT_Import!$A$1:$Z$2488,2451,'Live Data'!$C$19)),"")</f>
        <v/>
      </c>
      <c r="I2451" s="54" t="str">
        <f>IFERROR(IF(INDEX(SPOT_Import!$A$1:$Z$2488,2451,'Live Data'!$C$20)="","",INDEX(SPOT_Import!$A$1:$Z$2488,2451,'Live Data'!$C$20)),"")</f>
        <v/>
      </c>
      <c r="J2451" s="54" t="str">
        <f>IFERROR(IF(INDEX(SPOT_Import!$A$1:$Z$2488,2451,'Live Data'!$C$21)="","",INDEX(SPOT_Import!$A$1:$Z$2488,2451,'Live Data'!$C$21)),"")</f>
        <v/>
      </c>
      <c r="K2451" s="54" t="str">
        <f>IFERROR(IF(INDEX(SPOT_Import!$A$1:$Z$2488,2451,'Live Data'!$C$22)="","",INDEX(SPOT_Import!$A$1:$Z$2488,2451,'Live Data'!$C$22)),"")</f>
        <v/>
      </c>
      <c r="L2451" s="55" t="str">
        <f t="shared" si="76"/>
        <v/>
      </c>
      <c r="M2451" s="55" t="str">
        <f t="shared" si="77"/>
        <v/>
      </c>
      <c r="N2451" s="55" t="str">
        <f>IF(A2451="","",IFERROR(INDEX('Cluster Map'!$A$4:$A$38,MATCH(M2451,'Cluster Map'!$B$4:$B$38,0)),"Unmapped"))</f>
        <v/>
      </c>
      <c r="O2451" s="55">
        <f>IF(A2451="",0,IF(COUNTIFS($A$2:A2451,A2451,$F$2:F2451,F2451,$L$2:L2451,L2451)=1,1,0))</f>
        <v>0</v>
      </c>
      <c r="P2451" s="55">
        <f>IF(A2451="",0,IF(AND(F2451="C&amp;T",COUNTIFS($A$2:A2451,A2451,$F$2:F2451,"C&amp;T")=1),1,0))</f>
        <v>0</v>
      </c>
    </row>
    <row r="2452" spans="1:16" x14ac:dyDescent="0.35">
      <c r="A2452" s="54" t="str">
        <f>IFERROR(IF(INDEX(SPOT_Import!$A$1:$Z$2488,2452,'Live Data'!$C$12)="","",INDEX(SPOT_Import!$A$1:$Z$2488,2452,'Live Data'!$C$12)),"")</f>
        <v/>
      </c>
      <c r="B2452" s="54" t="str">
        <f>IFERROR(IF(INDEX(SPOT_Import!$A$1:$Z$2488,2452,'Live Data'!$C$13)="","",INDEX(SPOT_Import!$A$1:$Z$2488,2452,'Live Data'!$C$13)),"")</f>
        <v/>
      </c>
      <c r="C2452" s="54" t="str">
        <f>IFERROR(IF(INDEX(SPOT_Import!$A$1:$Z$2488,2452,'Live Data'!$C$14)="","",INDEX(SPOT_Import!$A$1:$Z$2488,2452,'Live Data'!$C$14)),"")</f>
        <v/>
      </c>
      <c r="D2452" s="54" t="str">
        <f>IFERROR(IF(INDEX(SPOT_Import!$A$1:$Z$2488,2452,'Live Data'!$C$15)="","",INDEX(SPOT_Import!$A$1:$Z$2488,2452,'Live Data'!$C$15)),"")</f>
        <v/>
      </c>
      <c r="E2452" s="54" t="str">
        <f>IFERROR(IF(INDEX(SPOT_Import!$A$1:$Z$2488,2452,'Live Data'!$C$16)="","",INDEX(SPOT_Import!$A$1:$Z$2488,2452,'Live Data'!$C$16)),"")</f>
        <v/>
      </c>
      <c r="F2452" s="54" t="str">
        <f>IFERROR(IF(INDEX(SPOT_Import!$A$1:$Z$2488,2452,'Live Data'!$C$17)="","",INDEX(SPOT_Import!$A$1:$Z$2488,2452,'Live Data'!$C$17)),"")</f>
        <v/>
      </c>
      <c r="G2452" s="54" t="str">
        <f>IFERROR(IF(INDEX(SPOT_Import!$A$1:$Z$2488,2452,'Live Data'!$C$18)="","",INDEX(SPOT_Import!$A$1:$Z$2488,2452,'Live Data'!$C$18)),"")</f>
        <v/>
      </c>
      <c r="H2452" s="54" t="str">
        <f>IFERROR(IF(INDEX(SPOT_Import!$A$1:$Z$2488,2452,'Live Data'!$C$19)="","",INDEX(SPOT_Import!$A$1:$Z$2488,2452,'Live Data'!$C$19)),"")</f>
        <v/>
      </c>
      <c r="I2452" s="54" t="str">
        <f>IFERROR(IF(INDEX(SPOT_Import!$A$1:$Z$2488,2452,'Live Data'!$C$20)="","",INDEX(SPOT_Import!$A$1:$Z$2488,2452,'Live Data'!$C$20)),"")</f>
        <v/>
      </c>
      <c r="J2452" s="54" t="str">
        <f>IFERROR(IF(INDEX(SPOT_Import!$A$1:$Z$2488,2452,'Live Data'!$C$21)="","",INDEX(SPOT_Import!$A$1:$Z$2488,2452,'Live Data'!$C$21)),"")</f>
        <v/>
      </c>
      <c r="K2452" s="54" t="str">
        <f>IFERROR(IF(INDEX(SPOT_Import!$A$1:$Z$2488,2452,'Live Data'!$C$22)="","",INDEX(SPOT_Import!$A$1:$Z$2488,2452,'Live Data'!$C$22)),"")</f>
        <v/>
      </c>
      <c r="L2452" s="55" t="str">
        <f t="shared" si="76"/>
        <v/>
      </c>
      <c r="M2452" s="55" t="str">
        <f t="shared" si="77"/>
        <v/>
      </c>
      <c r="N2452" s="55" t="str">
        <f>IF(A2452="","",IFERROR(INDEX('Cluster Map'!$A$4:$A$38,MATCH(M2452,'Cluster Map'!$B$4:$B$38,0)),"Unmapped"))</f>
        <v/>
      </c>
      <c r="O2452" s="55">
        <f>IF(A2452="",0,IF(COUNTIFS($A$2:A2452,A2452,$F$2:F2452,F2452,$L$2:L2452,L2452)=1,1,0))</f>
        <v>0</v>
      </c>
      <c r="P2452" s="55">
        <f>IF(A2452="",0,IF(AND(F2452="C&amp;T",COUNTIFS($A$2:A2452,A2452,$F$2:F2452,"C&amp;T")=1),1,0))</f>
        <v>0</v>
      </c>
    </row>
    <row r="2453" spans="1:16" x14ac:dyDescent="0.35">
      <c r="A2453" s="54" t="str">
        <f>IFERROR(IF(INDEX(SPOT_Import!$A$1:$Z$2488,2453,'Live Data'!$C$12)="","",INDEX(SPOT_Import!$A$1:$Z$2488,2453,'Live Data'!$C$12)),"")</f>
        <v/>
      </c>
      <c r="B2453" s="54" t="str">
        <f>IFERROR(IF(INDEX(SPOT_Import!$A$1:$Z$2488,2453,'Live Data'!$C$13)="","",INDEX(SPOT_Import!$A$1:$Z$2488,2453,'Live Data'!$C$13)),"")</f>
        <v/>
      </c>
      <c r="C2453" s="54" t="str">
        <f>IFERROR(IF(INDEX(SPOT_Import!$A$1:$Z$2488,2453,'Live Data'!$C$14)="","",INDEX(SPOT_Import!$A$1:$Z$2488,2453,'Live Data'!$C$14)),"")</f>
        <v/>
      </c>
      <c r="D2453" s="54" t="str">
        <f>IFERROR(IF(INDEX(SPOT_Import!$A$1:$Z$2488,2453,'Live Data'!$C$15)="","",INDEX(SPOT_Import!$A$1:$Z$2488,2453,'Live Data'!$C$15)),"")</f>
        <v/>
      </c>
      <c r="E2453" s="54" t="str">
        <f>IFERROR(IF(INDEX(SPOT_Import!$A$1:$Z$2488,2453,'Live Data'!$C$16)="","",INDEX(SPOT_Import!$A$1:$Z$2488,2453,'Live Data'!$C$16)),"")</f>
        <v/>
      </c>
      <c r="F2453" s="54" t="str">
        <f>IFERROR(IF(INDEX(SPOT_Import!$A$1:$Z$2488,2453,'Live Data'!$C$17)="","",INDEX(SPOT_Import!$A$1:$Z$2488,2453,'Live Data'!$C$17)),"")</f>
        <v/>
      </c>
      <c r="G2453" s="54" t="str">
        <f>IFERROR(IF(INDEX(SPOT_Import!$A$1:$Z$2488,2453,'Live Data'!$C$18)="","",INDEX(SPOT_Import!$A$1:$Z$2488,2453,'Live Data'!$C$18)),"")</f>
        <v/>
      </c>
      <c r="H2453" s="54" t="str">
        <f>IFERROR(IF(INDEX(SPOT_Import!$A$1:$Z$2488,2453,'Live Data'!$C$19)="","",INDEX(SPOT_Import!$A$1:$Z$2488,2453,'Live Data'!$C$19)),"")</f>
        <v/>
      </c>
      <c r="I2453" s="54" t="str">
        <f>IFERROR(IF(INDEX(SPOT_Import!$A$1:$Z$2488,2453,'Live Data'!$C$20)="","",INDEX(SPOT_Import!$A$1:$Z$2488,2453,'Live Data'!$C$20)),"")</f>
        <v/>
      </c>
      <c r="J2453" s="54" t="str">
        <f>IFERROR(IF(INDEX(SPOT_Import!$A$1:$Z$2488,2453,'Live Data'!$C$21)="","",INDEX(SPOT_Import!$A$1:$Z$2488,2453,'Live Data'!$C$21)),"")</f>
        <v/>
      </c>
      <c r="K2453" s="54" t="str">
        <f>IFERROR(IF(INDEX(SPOT_Import!$A$1:$Z$2488,2453,'Live Data'!$C$22)="","",INDEX(SPOT_Import!$A$1:$Z$2488,2453,'Live Data'!$C$22)),"")</f>
        <v/>
      </c>
      <c r="L2453" s="55" t="str">
        <f t="shared" si="76"/>
        <v/>
      </c>
      <c r="M2453" s="55" t="str">
        <f t="shared" si="77"/>
        <v/>
      </c>
      <c r="N2453" s="55" t="str">
        <f>IF(A2453="","",IFERROR(INDEX('Cluster Map'!$A$4:$A$38,MATCH(M2453,'Cluster Map'!$B$4:$B$38,0)),"Unmapped"))</f>
        <v/>
      </c>
      <c r="O2453" s="55">
        <f>IF(A2453="",0,IF(COUNTIFS($A$2:A2453,A2453,$F$2:F2453,F2453,$L$2:L2453,L2453)=1,1,0))</f>
        <v>0</v>
      </c>
      <c r="P2453" s="55">
        <f>IF(A2453="",0,IF(AND(F2453="C&amp;T",COUNTIFS($A$2:A2453,A2453,$F$2:F2453,"C&amp;T")=1),1,0))</f>
        <v>0</v>
      </c>
    </row>
    <row r="2454" spans="1:16" x14ac:dyDescent="0.35">
      <c r="A2454" s="54" t="str">
        <f>IFERROR(IF(INDEX(SPOT_Import!$A$1:$Z$2488,2454,'Live Data'!$C$12)="","",INDEX(SPOT_Import!$A$1:$Z$2488,2454,'Live Data'!$C$12)),"")</f>
        <v/>
      </c>
      <c r="B2454" s="54" t="str">
        <f>IFERROR(IF(INDEX(SPOT_Import!$A$1:$Z$2488,2454,'Live Data'!$C$13)="","",INDEX(SPOT_Import!$A$1:$Z$2488,2454,'Live Data'!$C$13)),"")</f>
        <v/>
      </c>
      <c r="C2454" s="54" t="str">
        <f>IFERROR(IF(INDEX(SPOT_Import!$A$1:$Z$2488,2454,'Live Data'!$C$14)="","",INDEX(SPOT_Import!$A$1:$Z$2488,2454,'Live Data'!$C$14)),"")</f>
        <v/>
      </c>
      <c r="D2454" s="54" t="str">
        <f>IFERROR(IF(INDEX(SPOT_Import!$A$1:$Z$2488,2454,'Live Data'!$C$15)="","",INDEX(SPOT_Import!$A$1:$Z$2488,2454,'Live Data'!$C$15)),"")</f>
        <v/>
      </c>
      <c r="E2454" s="54" t="str">
        <f>IFERROR(IF(INDEX(SPOT_Import!$A$1:$Z$2488,2454,'Live Data'!$C$16)="","",INDEX(SPOT_Import!$A$1:$Z$2488,2454,'Live Data'!$C$16)),"")</f>
        <v/>
      </c>
      <c r="F2454" s="54" t="str">
        <f>IFERROR(IF(INDEX(SPOT_Import!$A$1:$Z$2488,2454,'Live Data'!$C$17)="","",INDEX(SPOT_Import!$A$1:$Z$2488,2454,'Live Data'!$C$17)),"")</f>
        <v/>
      </c>
      <c r="G2454" s="54" t="str">
        <f>IFERROR(IF(INDEX(SPOT_Import!$A$1:$Z$2488,2454,'Live Data'!$C$18)="","",INDEX(SPOT_Import!$A$1:$Z$2488,2454,'Live Data'!$C$18)),"")</f>
        <v/>
      </c>
      <c r="H2454" s="54" t="str">
        <f>IFERROR(IF(INDEX(SPOT_Import!$A$1:$Z$2488,2454,'Live Data'!$C$19)="","",INDEX(SPOT_Import!$A$1:$Z$2488,2454,'Live Data'!$C$19)),"")</f>
        <v/>
      </c>
      <c r="I2454" s="54" t="str">
        <f>IFERROR(IF(INDEX(SPOT_Import!$A$1:$Z$2488,2454,'Live Data'!$C$20)="","",INDEX(SPOT_Import!$A$1:$Z$2488,2454,'Live Data'!$C$20)),"")</f>
        <v/>
      </c>
      <c r="J2454" s="54" t="str">
        <f>IFERROR(IF(INDEX(SPOT_Import!$A$1:$Z$2488,2454,'Live Data'!$C$21)="","",INDEX(SPOT_Import!$A$1:$Z$2488,2454,'Live Data'!$C$21)),"")</f>
        <v/>
      </c>
      <c r="K2454" s="54" t="str">
        <f>IFERROR(IF(INDEX(SPOT_Import!$A$1:$Z$2488,2454,'Live Data'!$C$22)="","",INDEX(SPOT_Import!$A$1:$Z$2488,2454,'Live Data'!$C$22)),"")</f>
        <v/>
      </c>
      <c r="L2454" s="55" t="str">
        <f t="shared" si="76"/>
        <v/>
      </c>
      <c r="M2454" s="55" t="str">
        <f t="shared" si="77"/>
        <v/>
      </c>
      <c r="N2454" s="55" t="str">
        <f>IF(A2454="","",IFERROR(INDEX('Cluster Map'!$A$4:$A$38,MATCH(M2454,'Cluster Map'!$B$4:$B$38,0)),"Unmapped"))</f>
        <v/>
      </c>
      <c r="O2454" s="55">
        <f>IF(A2454="",0,IF(COUNTIFS($A$2:A2454,A2454,$F$2:F2454,F2454,$L$2:L2454,L2454)=1,1,0))</f>
        <v>0</v>
      </c>
      <c r="P2454" s="55">
        <f>IF(A2454="",0,IF(AND(F2454="C&amp;T",COUNTIFS($A$2:A2454,A2454,$F$2:F2454,"C&amp;T")=1),1,0))</f>
        <v>0</v>
      </c>
    </row>
    <row r="2455" spans="1:16" x14ac:dyDescent="0.35">
      <c r="A2455" s="54" t="str">
        <f>IFERROR(IF(INDEX(SPOT_Import!$A$1:$Z$2488,2455,'Live Data'!$C$12)="","",INDEX(SPOT_Import!$A$1:$Z$2488,2455,'Live Data'!$C$12)),"")</f>
        <v/>
      </c>
      <c r="B2455" s="54" t="str">
        <f>IFERROR(IF(INDEX(SPOT_Import!$A$1:$Z$2488,2455,'Live Data'!$C$13)="","",INDEX(SPOT_Import!$A$1:$Z$2488,2455,'Live Data'!$C$13)),"")</f>
        <v/>
      </c>
      <c r="C2455" s="54" t="str">
        <f>IFERROR(IF(INDEX(SPOT_Import!$A$1:$Z$2488,2455,'Live Data'!$C$14)="","",INDEX(SPOT_Import!$A$1:$Z$2488,2455,'Live Data'!$C$14)),"")</f>
        <v/>
      </c>
      <c r="D2455" s="54" t="str">
        <f>IFERROR(IF(INDEX(SPOT_Import!$A$1:$Z$2488,2455,'Live Data'!$C$15)="","",INDEX(SPOT_Import!$A$1:$Z$2488,2455,'Live Data'!$C$15)),"")</f>
        <v/>
      </c>
      <c r="E2455" s="54" t="str">
        <f>IFERROR(IF(INDEX(SPOT_Import!$A$1:$Z$2488,2455,'Live Data'!$C$16)="","",INDEX(SPOT_Import!$A$1:$Z$2488,2455,'Live Data'!$C$16)),"")</f>
        <v/>
      </c>
      <c r="F2455" s="54" t="str">
        <f>IFERROR(IF(INDEX(SPOT_Import!$A$1:$Z$2488,2455,'Live Data'!$C$17)="","",INDEX(SPOT_Import!$A$1:$Z$2488,2455,'Live Data'!$C$17)),"")</f>
        <v/>
      </c>
      <c r="G2455" s="54" t="str">
        <f>IFERROR(IF(INDEX(SPOT_Import!$A$1:$Z$2488,2455,'Live Data'!$C$18)="","",INDEX(SPOT_Import!$A$1:$Z$2488,2455,'Live Data'!$C$18)),"")</f>
        <v/>
      </c>
      <c r="H2455" s="54" t="str">
        <f>IFERROR(IF(INDEX(SPOT_Import!$A$1:$Z$2488,2455,'Live Data'!$C$19)="","",INDEX(SPOT_Import!$A$1:$Z$2488,2455,'Live Data'!$C$19)),"")</f>
        <v/>
      </c>
      <c r="I2455" s="54" t="str">
        <f>IFERROR(IF(INDEX(SPOT_Import!$A$1:$Z$2488,2455,'Live Data'!$C$20)="","",INDEX(SPOT_Import!$A$1:$Z$2488,2455,'Live Data'!$C$20)),"")</f>
        <v/>
      </c>
      <c r="J2455" s="54" t="str">
        <f>IFERROR(IF(INDEX(SPOT_Import!$A$1:$Z$2488,2455,'Live Data'!$C$21)="","",INDEX(SPOT_Import!$A$1:$Z$2488,2455,'Live Data'!$C$21)),"")</f>
        <v/>
      </c>
      <c r="K2455" s="54" t="str">
        <f>IFERROR(IF(INDEX(SPOT_Import!$A$1:$Z$2488,2455,'Live Data'!$C$22)="","",INDEX(SPOT_Import!$A$1:$Z$2488,2455,'Live Data'!$C$22)),"")</f>
        <v/>
      </c>
      <c r="L2455" s="55" t="str">
        <f t="shared" si="76"/>
        <v/>
      </c>
      <c r="M2455" s="55" t="str">
        <f t="shared" si="77"/>
        <v/>
      </c>
      <c r="N2455" s="55" t="str">
        <f>IF(A2455="","",IFERROR(INDEX('Cluster Map'!$A$4:$A$38,MATCH(M2455,'Cluster Map'!$B$4:$B$38,0)),"Unmapped"))</f>
        <v/>
      </c>
      <c r="O2455" s="55">
        <f>IF(A2455="",0,IF(COUNTIFS($A$2:A2455,A2455,$F$2:F2455,F2455,$L$2:L2455,L2455)=1,1,0))</f>
        <v>0</v>
      </c>
      <c r="P2455" s="55">
        <f>IF(A2455="",0,IF(AND(F2455="C&amp;T",COUNTIFS($A$2:A2455,A2455,$F$2:F2455,"C&amp;T")=1),1,0))</f>
        <v>0</v>
      </c>
    </row>
    <row r="2456" spans="1:16" x14ac:dyDescent="0.35">
      <c r="A2456" s="54" t="str">
        <f>IFERROR(IF(INDEX(SPOT_Import!$A$1:$Z$2488,2456,'Live Data'!$C$12)="","",INDEX(SPOT_Import!$A$1:$Z$2488,2456,'Live Data'!$C$12)),"")</f>
        <v/>
      </c>
      <c r="B2456" s="54" t="str">
        <f>IFERROR(IF(INDEX(SPOT_Import!$A$1:$Z$2488,2456,'Live Data'!$C$13)="","",INDEX(SPOT_Import!$A$1:$Z$2488,2456,'Live Data'!$C$13)),"")</f>
        <v/>
      </c>
      <c r="C2456" s="54" t="str">
        <f>IFERROR(IF(INDEX(SPOT_Import!$A$1:$Z$2488,2456,'Live Data'!$C$14)="","",INDEX(SPOT_Import!$A$1:$Z$2488,2456,'Live Data'!$C$14)),"")</f>
        <v/>
      </c>
      <c r="D2456" s="54" t="str">
        <f>IFERROR(IF(INDEX(SPOT_Import!$A$1:$Z$2488,2456,'Live Data'!$C$15)="","",INDEX(SPOT_Import!$A$1:$Z$2488,2456,'Live Data'!$C$15)),"")</f>
        <v/>
      </c>
      <c r="E2456" s="54" t="str">
        <f>IFERROR(IF(INDEX(SPOT_Import!$A$1:$Z$2488,2456,'Live Data'!$C$16)="","",INDEX(SPOT_Import!$A$1:$Z$2488,2456,'Live Data'!$C$16)),"")</f>
        <v/>
      </c>
      <c r="F2456" s="54" t="str">
        <f>IFERROR(IF(INDEX(SPOT_Import!$A$1:$Z$2488,2456,'Live Data'!$C$17)="","",INDEX(SPOT_Import!$A$1:$Z$2488,2456,'Live Data'!$C$17)),"")</f>
        <v/>
      </c>
      <c r="G2456" s="54" t="str">
        <f>IFERROR(IF(INDEX(SPOT_Import!$A$1:$Z$2488,2456,'Live Data'!$C$18)="","",INDEX(SPOT_Import!$A$1:$Z$2488,2456,'Live Data'!$C$18)),"")</f>
        <v/>
      </c>
      <c r="H2456" s="54" t="str">
        <f>IFERROR(IF(INDEX(SPOT_Import!$A$1:$Z$2488,2456,'Live Data'!$C$19)="","",INDEX(SPOT_Import!$A$1:$Z$2488,2456,'Live Data'!$C$19)),"")</f>
        <v/>
      </c>
      <c r="I2456" s="54" t="str">
        <f>IFERROR(IF(INDEX(SPOT_Import!$A$1:$Z$2488,2456,'Live Data'!$C$20)="","",INDEX(SPOT_Import!$A$1:$Z$2488,2456,'Live Data'!$C$20)),"")</f>
        <v/>
      </c>
      <c r="J2456" s="54" t="str">
        <f>IFERROR(IF(INDEX(SPOT_Import!$A$1:$Z$2488,2456,'Live Data'!$C$21)="","",INDEX(SPOT_Import!$A$1:$Z$2488,2456,'Live Data'!$C$21)),"")</f>
        <v/>
      </c>
      <c r="K2456" s="54" t="str">
        <f>IFERROR(IF(INDEX(SPOT_Import!$A$1:$Z$2488,2456,'Live Data'!$C$22)="","",INDEX(SPOT_Import!$A$1:$Z$2488,2456,'Live Data'!$C$22)),"")</f>
        <v/>
      </c>
      <c r="L2456" s="55" t="str">
        <f t="shared" si="76"/>
        <v/>
      </c>
      <c r="M2456" s="55" t="str">
        <f t="shared" si="77"/>
        <v/>
      </c>
      <c r="N2456" s="55" t="str">
        <f>IF(A2456="","",IFERROR(INDEX('Cluster Map'!$A$4:$A$38,MATCH(M2456,'Cluster Map'!$B$4:$B$38,0)),"Unmapped"))</f>
        <v/>
      </c>
      <c r="O2456" s="55">
        <f>IF(A2456="",0,IF(COUNTIFS($A$2:A2456,A2456,$F$2:F2456,F2456,$L$2:L2456,L2456)=1,1,0))</f>
        <v>0</v>
      </c>
      <c r="P2456" s="55">
        <f>IF(A2456="",0,IF(AND(F2456="C&amp;T",COUNTIFS($A$2:A2456,A2456,$F$2:F2456,"C&amp;T")=1),1,0))</f>
        <v>0</v>
      </c>
    </row>
    <row r="2457" spans="1:16" x14ac:dyDescent="0.35">
      <c r="A2457" s="54" t="str">
        <f>IFERROR(IF(INDEX(SPOT_Import!$A$1:$Z$2488,2457,'Live Data'!$C$12)="","",INDEX(SPOT_Import!$A$1:$Z$2488,2457,'Live Data'!$C$12)),"")</f>
        <v/>
      </c>
      <c r="B2457" s="54" t="str">
        <f>IFERROR(IF(INDEX(SPOT_Import!$A$1:$Z$2488,2457,'Live Data'!$C$13)="","",INDEX(SPOT_Import!$A$1:$Z$2488,2457,'Live Data'!$C$13)),"")</f>
        <v/>
      </c>
      <c r="C2457" s="54" t="str">
        <f>IFERROR(IF(INDEX(SPOT_Import!$A$1:$Z$2488,2457,'Live Data'!$C$14)="","",INDEX(SPOT_Import!$A$1:$Z$2488,2457,'Live Data'!$C$14)),"")</f>
        <v/>
      </c>
      <c r="D2457" s="54" t="str">
        <f>IFERROR(IF(INDEX(SPOT_Import!$A$1:$Z$2488,2457,'Live Data'!$C$15)="","",INDEX(SPOT_Import!$A$1:$Z$2488,2457,'Live Data'!$C$15)),"")</f>
        <v/>
      </c>
      <c r="E2457" s="54" t="str">
        <f>IFERROR(IF(INDEX(SPOT_Import!$A$1:$Z$2488,2457,'Live Data'!$C$16)="","",INDEX(SPOT_Import!$A$1:$Z$2488,2457,'Live Data'!$C$16)),"")</f>
        <v/>
      </c>
      <c r="F2457" s="54" t="str">
        <f>IFERROR(IF(INDEX(SPOT_Import!$A$1:$Z$2488,2457,'Live Data'!$C$17)="","",INDEX(SPOT_Import!$A$1:$Z$2488,2457,'Live Data'!$C$17)),"")</f>
        <v/>
      </c>
      <c r="G2457" s="54" t="str">
        <f>IFERROR(IF(INDEX(SPOT_Import!$A$1:$Z$2488,2457,'Live Data'!$C$18)="","",INDEX(SPOT_Import!$A$1:$Z$2488,2457,'Live Data'!$C$18)),"")</f>
        <v/>
      </c>
      <c r="H2457" s="54" t="str">
        <f>IFERROR(IF(INDEX(SPOT_Import!$A$1:$Z$2488,2457,'Live Data'!$C$19)="","",INDEX(SPOT_Import!$A$1:$Z$2488,2457,'Live Data'!$C$19)),"")</f>
        <v/>
      </c>
      <c r="I2457" s="54" t="str">
        <f>IFERROR(IF(INDEX(SPOT_Import!$A$1:$Z$2488,2457,'Live Data'!$C$20)="","",INDEX(SPOT_Import!$A$1:$Z$2488,2457,'Live Data'!$C$20)),"")</f>
        <v/>
      </c>
      <c r="J2457" s="54" t="str">
        <f>IFERROR(IF(INDEX(SPOT_Import!$A$1:$Z$2488,2457,'Live Data'!$C$21)="","",INDEX(SPOT_Import!$A$1:$Z$2488,2457,'Live Data'!$C$21)),"")</f>
        <v/>
      </c>
      <c r="K2457" s="54" t="str">
        <f>IFERROR(IF(INDEX(SPOT_Import!$A$1:$Z$2488,2457,'Live Data'!$C$22)="","",INDEX(SPOT_Import!$A$1:$Z$2488,2457,'Live Data'!$C$22)),"")</f>
        <v/>
      </c>
      <c r="L2457" s="55" t="str">
        <f t="shared" si="76"/>
        <v/>
      </c>
      <c r="M2457" s="55" t="str">
        <f t="shared" si="77"/>
        <v/>
      </c>
      <c r="N2457" s="55" t="str">
        <f>IF(A2457="","",IFERROR(INDEX('Cluster Map'!$A$4:$A$38,MATCH(M2457,'Cluster Map'!$B$4:$B$38,0)),"Unmapped"))</f>
        <v/>
      </c>
      <c r="O2457" s="55">
        <f>IF(A2457="",0,IF(COUNTIFS($A$2:A2457,A2457,$F$2:F2457,F2457,$L$2:L2457,L2457)=1,1,0))</f>
        <v>0</v>
      </c>
      <c r="P2457" s="55">
        <f>IF(A2457="",0,IF(AND(F2457="C&amp;T",COUNTIFS($A$2:A2457,A2457,$F$2:F2457,"C&amp;T")=1),1,0))</f>
        <v>0</v>
      </c>
    </row>
    <row r="2458" spans="1:16" x14ac:dyDescent="0.35">
      <c r="A2458" s="54" t="str">
        <f>IFERROR(IF(INDEX(SPOT_Import!$A$1:$Z$2488,2458,'Live Data'!$C$12)="","",INDEX(SPOT_Import!$A$1:$Z$2488,2458,'Live Data'!$C$12)),"")</f>
        <v/>
      </c>
      <c r="B2458" s="54" t="str">
        <f>IFERROR(IF(INDEX(SPOT_Import!$A$1:$Z$2488,2458,'Live Data'!$C$13)="","",INDEX(SPOT_Import!$A$1:$Z$2488,2458,'Live Data'!$C$13)),"")</f>
        <v/>
      </c>
      <c r="C2458" s="54" t="str">
        <f>IFERROR(IF(INDEX(SPOT_Import!$A$1:$Z$2488,2458,'Live Data'!$C$14)="","",INDEX(SPOT_Import!$A$1:$Z$2488,2458,'Live Data'!$C$14)),"")</f>
        <v/>
      </c>
      <c r="D2458" s="54" t="str">
        <f>IFERROR(IF(INDEX(SPOT_Import!$A$1:$Z$2488,2458,'Live Data'!$C$15)="","",INDEX(SPOT_Import!$A$1:$Z$2488,2458,'Live Data'!$C$15)),"")</f>
        <v/>
      </c>
      <c r="E2458" s="54" t="str">
        <f>IFERROR(IF(INDEX(SPOT_Import!$A$1:$Z$2488,2458,'Live Data'!$C$16)="","",INDEX(SPOT_Import!$A$1:$Z$2488,2458,'Live Data'!$C$16)),"")</f>
        <v/>
      </c>
      <c r="F2458" s="54" t="str">
        <f>IFERROR(IF(INDEX(SPOT_Import!$A$1:$Z$2488,2458,'Live Data'!$C$17)="","",INDEX(SPOT_Import!$A$1:$Z$2488,2458,'Live Data'!$C$17)),"")</f>
        <v/>
      </c>
      <c r="G2458" s="54" t="str">
        <f>IFERROR(IF(INDEX(SPOT_Import!$A$1:$Z$2488,2458,'Live Data'!$C$18)="","",INDEX(SPOT_Import!$A$1:$Z$2488,2458,'Live Data'!$C$18)),"")</f>
        <v/>
      </c>
      <c r="H2458" s="54" t="str">
        <f>IFERROR(IF(INDEX(SPOT_Import!$A$1:$Z$2488,2458,'Live Data'!$C$19)="","",INDEX(SPOT_Import!$A$1:$Z$2488,2458,'Live Data'!$C$19)),"")</f>
        <v/>
      </c>
      <c r="I2458" s="54" t="str">
        <f>IFERROR(IF(INDEX(SPOT_Import!$A$1:$Z$2488,2458,'Live Data'!$C$20)="","",INDEX(SPOT_Import!$A$1:$Z$2488,2458,'Live Data'!$C$20)),"")</f>
        <v/>
      </c>
      <c r="J2458" s="54" t="str">
        <f>IFERROR(IF(INDEX(SPOT_Import!$A$1:$Z$2488,2458,'Live Data'!$C$21)="","",INDEX(SPOT_Import!$A$1:$Z$2488,2458,'Live Data'!$C$21)),"")</f>
        <v/>
      </c>
      <c r="K2458" s="54" t="str">
        <f>IFERROR(IF(INDEX(SPOT_Import!$A$1:$Z$2488,2458,'Live Data'!$C$22)="","",INDEX(SPOT_Import!$A$1:$Z$2488,2458,'Live Data'!$C$22)),"")</f>
        <v/>
      </c>
      <c r="L2458" s="55" t="str">
        <f t="shared" si="76"/>
        <v/>
      </c>
      <c r="M2458" s="55" t="str">
        <f t="shared" si="77"/>
        <v/>
      </c>
      <c r="N2458" s="55" t="str">
        <f>IF(A2458="","",IFERROR(INDEX('Cluster Map'!$A$4:$A$38,MATCH(M2458,'Cluster Map'!$B$4:$B$38,0)),"Unmapped"))</f>
        <v/>
      </c>
      <c r="O2458" s="55">
        <f>IF(A2458="",0,IF(COUNTIFS($A$2:A2458,A2458,$F$2:F2458,F2458,$L$2:L2458,L2458)=1,1,0))</f>
        <v>0</v>
      </c>
      <c r="P2458" s="55">
        <f>IF(A2458="",0,IF(AND(F2458="C&amp;T",COUNTIFS($A$2:A2458,A2458,$F$2:F2458,"C&amp;T")=1),1,0))</f>
        <v>0</v>
      </c>
    </row>
    <row r="2459" spans="1:16" x14ac:dyDescent="0.35">
      <c r="A2459" s="54" t="str">
        <f>IFERROR(IF(INDEX(SPOT_Import!$A$1:$Z$2488,2459,'Live Data'!$C$12)="","",INDEX(SPOT_Import!$A$1:$Z$2488,2459,'Live Data'!$C$12)),"")</f>
        <v/>
      </c>
      <c r="B2459" s="54" t="str">
        <f>IFERROR(IF(INDEX(SPOT_Import!$A$1:$Z$2488,2459,'Live Data'!$C$13)="","",INDEX(SPOT_Import!$A$1:$Z$2488,2459,'Live Data'!$C$13)),"")</f>
        <v/>
      </c>
      <c r="C2459" s="54" t="str">
        <f>IFERROR(IF(INDEX(SPOT_Import!$A$1:$Z$2488,2459,'Live Data'!$C$14)="","",INDEX(SPOT_Import!$A$1:$Z$2488,2459,'Live Data'!$C$14)),"")</f>
        <v/>
      </c>
      <c r="D2459" s="54" t="str">
        <f>IFERROR(IF(INDEX(SPOT_Import!$A$1:$Z$2488,2459,'Live Data'!$C$15)="","",INDEX(SPOT_Import!$A$1:$Z$2488,2459,'Live Data'!$C$15)),"")</f>
        <v/>
      </c>
      <c r="E2459" s="54" t="str">
        <f>IFERROR(IF(INDEX(SPOT_Import!$A$1:$Z$2488,2459,'Live Data'!$C$16)="","",INDEX(SPOT_Import!$A$1:$Z$2488,2459,'Live Data'!$C$16)),"")</f>
        <v/>
      </c>
      <c r="F2459" s="54" t="str">
        <f>IFERROR(IF(INDEX(SPOT_Import!$A$1:$Z$2488,2459,'Live Data'!$C$17)="","",INDEX(SPOT_Import!$A$1:$Z$2488,2459,'Live Data'!$C$17)),"")</f>
        <v/>
      </c>
      <c r="G2459" s="54" t="str">
        <f>IFERROR(IF(INDEX(SPOT_Import!$A$1:$Z$2488,2459,'Live Data'!$C$18)="","",INDEX(SPOT_Import!$A$1:$Z$2488,2459,'Live Data'!$C$18)),"")</f>
        <v/>
      </c>
      <c r="H2459" s="54" t="str">
        <f>IFERROR(IF(INDEX(SPOT_Import!$A$1:$Z$2488,2459,'Live Data'!$C$19)="","",INDEX(SPOT_Import!$A$1:$Z$2488,2459,'Live Data'!$C$19)),"")</f>
        <v/>
      </c>
      <c r="I2459" s="54" t="str">
        <f>IFERROR(IF(INDEX(SPOT_Import!$A$1:$Z$2488,2459,'Live Data'!$C$20)="","",INDEX(SPOT_Import!$A$1:$Z$2488,2459,'Live Data'!$C$20)),"")</f>
        <v/>
      </c>
      <c r="J2459" s="54" t="str">
        <f>IFERROR(IF(INDEX(SPOT_Import!$A$1:$Z$2488,2459,'Live Data'!$C$21)="","",INDEX(SPOT_Import!$A$1:$Z$2488,2459,'Live Data'!$C$21)),"")</f>
        <v/>
      </c>
      <c r="K2459" s="54" t="str">
        <f>IFERROR(IF(INDEX(SPOT_Import!$A$1:$Z$2488,2459,'Live Data'!$C$22)="","",INDEX(SPOT_Import!$A$1:$Z$2488,2459,'Live Data'!$C$22)),"")</f>
        <v/>
      </c>
      <c r="L2459" s="55" t="str">
        <f t="shared" si="76"/>
        <v/>
      </c>
      <c r="M2459" s="55" t="str">
        <f t="shared" si="77"/>
        <v/>
      </c>
      <c r="N2459" s="55" t="str">
        <f>IF(A2459="","",IFERROR(INDEX('Cluster Map'!$A$4:$A$38,MATCH(M2459,'Cluster Map'!$B$4:$B$38,0)),"Unmapped"))</f>
        <v/>
      </c>
      <c r="O2459" s="55">
        <f>IF(A2459="",0,IF(COUNTIFS($A$2:A2459,A2459,$F$2:F2459,F2459,$L$2:L2459,L2459)=1,1,0))</f>
        <v>0</v>
      </c>
      <c r="P2459" s="55">
        <f>IF(A2459="",0,IF(AND(F2459="C&amp;T",COUNTIFS($A$2:A2459,A2459,$F$2:F2459,"C&amp;T")=1),1,0))</f>
        <v>0</v>
      </c>
    </row>
    <row r="2460" spans="1:16" x14ac:dyDescent="0.35">
      <c r="A2460" s="54" t="str">
        <f>IFERROR(IF(INDEX(SPOT_Import!$A$1:$Z$2488,2460,'Live Data'!$C$12)="","",INDEX(SPOT_Import!$A$1:$Z$2488,2460,'Live Data'!$C$12)),"")</f>
        <v/>
      </c>
      <c r="B2460" s="54" t="str">
        <f>IFERROR(IF(INDEX(SPOT_Import!$A$1:$Z$2488,2460,'Live Data'!$C$13)="","",INDEX(SPOT_Import!$A$1:$Z$2488,2460,'Live Data'!$C$13)),"")</f>
        <v/>
      </c>
      <c r="C2460" s="54" t="str">
        <f>IFERROR(IF(INDEX(SPOT_Import!$A$1:$Z$2488,2460,'Live Data'!$C$14)="","",INDEX(SPOT_Import!$A$1:$Z$2488,2460,'Live Data'!$C$14)),"")</f>
        <v/>
      </c>
      <c r="D2460" s="54" t="str">
        <f>IFERROR(IF(INDEX(SPOT_Import!$A$1:$Z$2488,2460,'Live Data'!$C$15)="","",INDEX(SPOT_Import!$A$1:$Z$2488,2460,'Live Data'!$C$15)),"")</f>
        <v/>
      </c>
      <c r="E2460" s="54" t="str">
        <f>IFERROR(IF(INDEX(SPOT_Import!$A$1:$Z$2488,2460,'Live Data'!$C$16)="","",INDEX(SPOT_Import!$A$1:$Z$2488,2460,'Live Data'!$C$16)),"")</f>
        <v/>
      </c>
      <c r="F2460" s="54" t="str">
        <f>IFERROR(IF(INDEX(SPOT_Import!$A$1:$Z$2488,2460,'Live Data'!$C$17)="","",INDEX(SPOT_Import!$A$1:$Z$2488,2460,'Live Data'!$C$17)),"")</f>
        <v/>
      </c>
      <c r="G2460" s="54" t="str">
        <f>IFERROR(IF(INDEX(SPOT_Import!$A$1:$Z$2488,2460,'Live Data'!$C$18)="","",INDEX(SPOT_Import!$A$1:$Z$2488,2460,'Live Data'!$C$18)),"")</f>
        <v/>
      </c>
      <c r="H2460" s="54" t="str">
        <f>IFERROR(IF(INDEX(SPOT_Import!$A$1:$Z$2488,2460,'Live Data'!$C$19)="","",INDEX(SPOT_Import!$A$1:$Z$2488,2460,'Live Data'!$C$19)),"")</f>
        <v/>
      </c>
      <c r="I2460" s="54" t="str">
        <f>IFERROR(IF(INDEX(SPOT_Import!$A$1:$Z$2488,2460,'Live Data'!$C$20)="","",INDEX(SPOT_Import!$A$1:$Z$2488,2460,'Live Data'!$C$20)),"")</f>
        <v/>
      </c>
      <c r="J2460" s="54" t="str">
        <f>IFERROR(IF(INDEX(SPOT_Import!$A$1:$Z$2488,2460,'Live Data'!$C$21)="","",INDEX(SPOT_Import!$A$1:$Z$2488,2460,'Live Data'!$C$21)),"")</f>
        <v/>
      </c>
      <c r="K2460" s="54" t="str">
        <f>IFERROR(IF(INDEX(SPOT_Import!$A$1:$Z$2488,2460,'Live Data'!$C$22)="","",INDEX(SPOT_Import!$A$1:$Z$2488,2460,'Live Data'!$C$22)),"")</f>
        <v/>
      </c>
      <c r="L2460" s="55" t="str">
        <f t="shared" si="76"/>
        <v/>
      </c>
      <c r="M2460" s="55" t="str">
        <f t="shared" si="77"/>
        <v/>
      </c>
      <c r="N2460" s="55" t="str">
        <f>IF(A2460="","",IFERROR(INDEX('Cluster Map'!$A$4:$A$38,MATCH(M2460,'Cluster Map'!$B$4:$B$38,0)),"Unmapped"))</f>
        <v/>
      </c>
      <c r="O2460" s="55">
        <f>IF(A2460="",0,IF(COUNTIFS($A$2:A2460,A2460,$F$2:F2460,F2460,$L$2:L2460,L2460)=1,1,0))</f>
        <v>0</v>
      </c>
      <c r="P2460" s="55">
        <f>IF(A2460="",0,IF(AND(F2460="C&amp;T",COUNTIFS($A$2:A2460,A2460,$F$2:F2460,"C&amp;T")=1),1,0))</f>
        <v>0</v>
      </c>
    </row>
    <row r="2461" spans="1:16" x14ac:dyDescent="0.35">
      <c r="A2461" s="54" t="str">
        <f>IFERROR(IF(INDEX(SPOT_Import!$A$1:$Z$2488,2461,'Live Data'!$C$12)="","",INDEX(SPOT_Import!$A$1:$Z$2488,2461,'Live Data'!$C$12)),"")</f>
        <v/>
      </c>
      <c r="B2461" s="54" t="str">
        <f>IFERROR(IF(INDEX(SPOT_Import!$A$1:$Z$2488,2461,'Live Data'!$C$13)="","",INDEX(SPOT_Import!$A$1:$Z$2488,2461,'Live Data'!$C$13)),"")</f>
        <v/>
      </c>
      <c r="C2461" s="54" t="str">
        <f>IFERROR(IF(INDEX(SPOT_Import!$A$1:$Z$2488,2461,'Live Data'!$C$14)="","",INDEX(SPOT_Import!$A$1:$Z$2488,2461,'Live Data'!$C$14)),"")</f>
        <v/>
      </c>
      <c r="D2461" s="54" t="str">
        <f>IFERROR(IF(INDEX(SPOT_Import!$A$1:$Z$2488,2461,'Live Data'!$C$15)="","",INDEX(SPOT_Import!$A$1:$Z$2488,2461,'Live Data'!$C$15)),"")</f>
        <v/>
      </c>
      <c r="E2461" s="54" t="str">
        <f>IFERROR(IF(INDEX(SPOT_Import!$A$1:$Z$2488,2461,'Live Data'!$C$16)="","",INDEX(SPOT_Import!$A$1:$Z$2488,2461,'Live Data'!$C$16)),"")</f>
        <v/>
      </c>
      <c r="F2461" s="54" t="str">
        <f>IFERROR(IF(INDEX(SPOT_Import!$A$1:$Z$2488,2461,'Live Data'!$C$17)="","",INDEX(SPOT_Import!$A$1:$Z$2488,2461,'Live Data'!$C$17)),"")</f>
        <v/>
      </c>
      <c r="G2461" s="54" t="str">
        <f>IFERROR(IF(INDEX(SPOT_Import!$A$1:$Z$2488,2461,'Live Data'!$C$18)="","",INDEX(SPOT_Import!$A$1:$Z$2488,2461,'Live Data'!$C$18)),"")</f>
        <v/>
      </c>
      <c r="H2461" s="54" t="str">
        <f>IFERROR(IF(INDEX(SPOT_Import!$A$1:$Z$2488,2461,'Live Data'!$C$19)="","",INDEX(SPOT_Import!$A$1:$Z$2488,2461,'Live Data'!$C$19)),"")</f>
        <v/>
      </c>
      <c r="I2461" s="54" t="str">
        <f>IFERROR(IF(INDEX(SPOT_Import!$A$1:$Z$2488,2461,'Live Data'!$C$20)="","",INDEX(SPOT_Import!$A$1:$Z$2488,2461,'Live Data'!$C$20)),"")</f>
        <v/>
      </c>
      <c r="J2461" s="54" t="str">
        <f>IFERROR(IF(INDEX(SPOT_Import!$A$1:$Z$2488,2461,'Live Data'!$C$21)="","",INDEX(SPOT_Import!$A$1:$Z$2488,2461,'Live Data'!$C$21)),"")</f>
        <v/>
      </c>
      <c r="K2461" s="54" t="str">
        <f>IFERROR(IF(INDEX(SPOT_Import!$A$1:$Z$2488,2461,'Live Data'!$C$22)="","",INDEX(SPOT_Import!$A$1:$Z$2488,2461,'Live Data'!$C$22)),"")</f>
        <v/>
      </c>
      <c r="L2461" s="55" t="str">
        <f t="shared" si="76"/>
        <v/>
      </c>
      <c r="M2461" s="55" t="str">
        <f t="shared" si="77"/>
        <v/>
      </c>
      <c r="N2461" s="55" t="str">
        <f>IF(A2461="","",IFERROR(INDEX('Cluster Map'!$A$4:$A$38,MATCH(M2461,'Cluster Map'!$B$4:$B$38,0)),"Unmapped"))</f>
        <v/>
      </c>
      <c r="O2461" s="55">
        <f>IF(A2461="",0,IF(COUNTIFS($A$2:A2461,A2461,$F$2:F2461,F2461,$L$2:L2461,L2461)=1,1,0))</f>
        <v>0</v>
      </c>
      <c r="P2461" s="55">
        <f>IF(A2461="",0,IF(AND(F2461="C&amp;T",COUNTIFS($A$2:A2461,A2461,$F$2:F2461,"C&amp;T")=1),1,0))</f>
        <v>0</v>
      </c>
    </row>
    <row r="2462" spans="1:16" x14ac:dyDescent="0.35">
      <c r="A2462" s="54" t="str">
        <f>IFERROR(IF(INDEX(SPOT_Import!$A$1:$Z$2488,2462,'Live Data'!$C$12)="","",INDEX(SPOT_Import!$A$1:$Z$2488,2462,'Live Data'!$C$12)),"")</f>
        <v/>
      </c>
      <c r="B2462" s="54" t="str">
        <f>IFERROR(IF(INDEX(SPOT_Import!$A$1:$Z$2488,2462,'Live Data'!$C$13)="","",INDEX(SPOT_Import!$A$1:$Z$2488,2462,'Live Data'!$C$13)),"")</f>
        <v/>
      </c>
      <c r="C2462" s="54" t="str">
        <f>IFERROR(IF(INDEX(SPOT_Import!$A$1:$Z$2488,2462,'Live Data'!$C$14)="","",INDEX(SPOT_Import!$A$1:$Z$2488,2462,'Live Data'!$C$14)),"")</f>
        <v/>
      </c>
      <c r="D2462" s="54" t="str">
        <f>IFERROR(IF(INDEX(SPOT_Import!$A$1:$Z$2488,2462,'Live Data'!$C$15)="","",INDEX(SPOT_Import!$A$1:$Z$2488,2462,'Live Data'!$C$15)),"")</f>
        <v/>
      </c>
      <c r="E2462" s="54" t="str">
        <f>IFERROR(IF(INDEX(SPOT_Import!$A$1:$Z$2488,2462,'Live Data'!$C$16)="","",INDEX(SPOT_Import!$A$1:$Z$2488,2462,'Live Data'!$C$16)),"")</f>
        <v/>
      </c>
      <c r="F2462" s="54" t="str">
        <f>IFERROR(IF(INDEX(SPOT_Import!$A$1:$Z$2488,2462,'Live Data'!$C$17)="","",INDEX(SPOT_Import!$A$1:$Z$2488,2462,'Live Data'!$C$17)),"")</f>
        <v/>
      </c>
      <c r="G2462" s="54" t="str">
        <f>IFERROR(IF(INDEX(SPOT_Import!$A$1:$Z$2488,2462,'Live Data'!$C$18)="","",INDEX(SPOT_Import!$A$1:$Z$2488,2462,'Live Data'!$C$18)),"")</f>
        <v/>
      </c>
      <c r="H2462" s="54" t="str">
        <f>IFERROR(IF(INDEX(SPOT_Import!$A$1:$Z$2488,2462,'Live Data'!$C$19)="","",INDEX(SPOT_Import!$A$1:$Z$2488,2462,'Live Data'!$C$19)),"")</f>
        <v/>
      </c>
      <c r="I2462" s="54" t="str">
        <f>IFERROR(IF(INDEX(SPOT_Import!$A$1:$Z$2488,2462,'Live Data'!$C$20)="","",INDEX(SPOT_Import!$A$1:$Z$2488,2462,'Live Data'!$C$20)),"")</f>
        <v/>
      </c>
      <c r="J2462" s="54" t="str">
        <f>IFERROR(IF(INDEX(SPOT_Import!$A$1:$Z$2488,2462,'Live Data'!$C$21)="","",INDEX(SPOT_Import!$A$1:$Z$2488,2462,'Live Data'!$C$21)),"")</f>
        <v/>
      </c>
      <c r="K2462" s="54" t="str">
        <f>IFERROR(IF(INDEX(SPOT_Import!$A$1:$Z$2488,2462,'Live Data'!$C$22)="","",INDEX(SPOT_Import!$A$1:$Z$2488,2462,'Live Data'!$C$22)),"")</f>
        <v/>
      </c>
      <c r="L2462" s="55" t="str">
        <f t="shared" si="76"/>
        <v/>
      </c>
      <c r="M2462" s="55" t="str">
        <f t="shared" si="77"/>
        <v/>
      </c>
      <c r="N2462" s="55" t="str">
        <f>IF(A2462="","",IFERROR(INDEX('Cluster Map'!$A$4:$A$38,MATCH(M2462,'Cluster Map'!$B$4:$B$38,0)),"Unmapped"))</f>
        <v/>
      </c>
      <c r="O2462" s="55">
        <f>IF(A2462="",0,IF(COUNTIFS($A$2:A2462,A2462,$F$2:F2462,F2462,$L$2:L2462,L2462)=1,1,0))</f>
        <v>0</v>
      </c>
      <c r="P2462" s="55">
        <f>IF(A2462="",0,IF(AND(F2462="C&amp;T",COUNTIFS($A$2:A2462,A2462,$F$2:F2462,"C&amp;T")=1),1,0))</f>
        <v>0</v>
      </c>
    </row>
    <row r="2463" spans="1:16" x14ac:dyDescent="0.35">
      <c r="A2463" s="54" t="str">
        <f>IFERROR(IF(INDEX(SPOT_Import!$A$1:$Z$2488,2463,'Live Data'!$C$12)="","",INDEX(SPOT_Import!$A$1:$Z$2488,2463,'Live Data'!$C$12)),"")</f>
        <v/>
      </c>
      <c r="B2463" s="54" t="str">
        <f>IFERROR(IF(INDEX(SPOT_Import!$A$1:$Z$2488,2463,'Live Data'!$C$13)="","",INDEX(SPOT_Import!$A$1:$Z$2488,2463,'Live Data'!$C$13)),"")</f>
        <v/>
      </c>
      <c r="C2463" s="54" t="str">
        <f>IFERROR(IF(INDEX(SPOT_Import!$A$1:$Z$2488,2463,'Live Data'!$C$14)="","",INDEX(SPOT_Import!$A$1:$Z$2488,2463,'Live Data'!$C$14)),"")</f>
        <v/>
      </c>
      <c r="D2463" s="54" t="str">
        <f>IFERROR(IF(INDEX(SPOT_Import!$A$1:$Z$2488,2463,'Live Data'!$C$15)="","",INDEX(SPOT_Import!$A$1:$Z$2488,2463,'Live Data'!$C$15)),"")</f>
        <v/>
      </c>
      <c r="E2463" s="54" t="str">
        <f>IFERROR(IF(INDEX(SPOT_Import!$A$1:$Z$2488,2463,'Live Data'!$C$16)="","",INDEX(SPOT_Import!$A$1:$Z$2488,2463,'Live Data'!$C$16)),"")</f>
        <v/>
      </c>
      <c r="F2463" s="54" t="str">
        <f>IFERROR(IF(INDEX(SPOT_Import!$A$1:$Z$2488,2463,'Live Data'!$C$17)="","",INDEX(SPOT_Import!$A$1:$Z$2488,2463,'Live Data'!$C$17)),"")</f>
        <v/>
      </c>
      <c r="G2463" s="54" t="str">
        <f>IFERROR(IF(INDEX(SPOT_Import!$A$1:$Z$2488,2463,'Live Data'!$C$18)="","",INDEX(SPOT_Import!$A$1:$Z$2488,2463,'Live Data'!$C$18)),"")</f>
        <v/>
      </c>
      <c r="H2463" s="54" t="str">
        <f>IFERROR(IF(INDEX(SPOT_Import!$A$1:$Z$2488,2463,'Live Data'!$C$19)="","",INDEX(SPOT_Import!$A$1:$Z$2488,2463,'Live Data'!$C$19)),"")</f>
        <v/>
      </c>
      <c r="I2463" s="54" t="str">
        <f>IFERROR(IF(INDEX(SPOT_Import!$A$1:$Z$2488,2463,'Live Data'!$C$20)="","",INDEX(SPOT_Import!$A$1:$Z$2488,2463,'Live Data'!$C$20)),"")</f>
        <v/>
      </c>
      <c r="J2463" s="54" t="str">
        <f>IFERROR(IF(INDEX(SPOT_Import!$A$1:$Z$2488,2463,'Live Data'!$C$21)="","",INDEX(SPOT_Import!$A$1:$Z$2488,2463,'Live Data'!$C$21)),"")</f>
        <v/>
      </c>
      <c r="K2463" s="54" t="str">
        <f>IFERROR(IF(INDEX(SPOT_Import!$A$1:$Z$2488,2463,'Live Data'!$C$22)="","",INDEX(SPOT_Import!$A$1:$Z$2488,2463,'Live Data'!$C$22)),"")</f>
        <v/>
      </c>
      <c r="L2463" s="55" t="str">
        <f t="shared" si="76"/>
        <v/>
      </c>
      <c r="M2463" s="55" t="str">
        <f t="shared" si="77"/>
        <v/>
      </c>
      <c r="N2463" s="55" t="str">
        <f>IF(A2463="","",IFERROR(INDEX('Cluster Map'!$A$4:$A$38,MATCH(M2463,'Cluster Map'!$B$4:$B$38,0)),"Unmapped"))</f>
        <v/>
      </c>
      <c r="O2463" s="55">
        <f>IF(A2463="",0,IF(COUNTIFS($A$2:A2463,A2463,$F$2:F2463,F2463,$L$2:L2463,L2463)=1,1,0))</f>
        <v>0</v>
      </c>
      <c r="P2463" s="55">
        <f>IF(A2463="",0,IF(AND(F2463="C&amp;T",COUNTIFS($A$2:A2463,A2463,$F$2:F2463,"C&amp;T")=1),1,0))</f>
        <v>0</v>
      </c>
    </row>
    <row r="2464" spans="1:16" x14ac:dyDescent="0.35">
      <c r="A2464" s="54" t="str">
        <f>IFERROR(IF(INDEX(SPOT_Import!$A$1:$Z$2488,2464,'Live Data'!$C$12)="","",INDEX(SPOT_Import!$A$1:$Z$2488,2464,'Live Data'!$C$12)),"")</f>
        <v/>
      </c>
      <c r="B2464" s="54" t="str">
        <f>IFERROR(IF(INDEX(SPOT_Import!$A$1:$Z$2488,2464,'Live Data'!$C$13)="","",INDEX(SPOT_Import!$A$1:$Z$2488,2464,'Live Data'!$C$13)),"")</f>
        <v/>
      </c>
      <c r="C2464" s="54" t="str">
        <f>IFERROR(IF(INDEX(SPOT_Import!$A$1:$Z$2488,2464,'Live Data'!$C$14)="","",INDEX(SPOT_Import!$A$1:$Z$2488,2464,'Live Data'!$C$14)),"")</f>
        <v/>
      </c>
      <c r="D2464" s="54" t="str">
        <f>IFERROR(IF(INDEX(SPOT_Import!$A$1:$Z$2488,2464,'Live Data'!$C$15)="","",INDEX(SPOT_Import!$A$1:$Z$2488,2464,'Live Data'!$C$15)),"")</f>
        <v/>
      </c>
      <c r="E2464" s="54" t="str">
        <f>IFERROR(IF(INDEX(SPOT_Import!$A$1:$Z$2488,2464,'Live Data'!$C$16)="","",INDEX(SPOT_Import!$A$1:$Z$2488,2464,'Live Data'!$C$16)),"")</f>
        <v/>
      </c>
      <c r="F2464" s="54" t="str">
        <f>IFERROR(IF(INDEX(SPOT_Import!$A$1:$Z$2488,2464,'Live Data'!$C$17)="","",INDEX(SPOT_Import!$A$1:$Z$2488,2464,'Live Data'!$C$17)),"")</f>
        <v/>
      </c>
      <c r="G2464" s="54" t="str">
        <f>IFERROR(IF(INDEX(SPOT_Import!$A$1:$Z$2488,2464,'Live Data'!$C$18)="","",INDEX(SPOT_Import!$A$1:$Z$2488,2464,'Live Data'!$C$18)),"")</f>
        <v/>
      </c>
      <c r="H2464" s="54" t="str">
        <f>IFERROR(IF(INDEX(SPOT_Import!$A$1:$Z$2488,2464,'Live Data'!$C$19)="","",INDEX(SPOT_Import!$A$1:$Z$2488,2464,'Live Data'!$C$19)),"")</f>
        <v/>
      </c>
      <c r="I2464" s="54" t="str">
        <f>IFERROR(IF(INDEX(SPOT_Import!$A$1:$Z$2488,2464,'Live Data'!$C$20)="","",INDEX(SPOT_Import!$A$1:$Z$2488,2464,'Live Data'!$C$20)),"")</f>
        <v/>
      </c>
      <c r="J2464" s="54" t="str">
        <f>IFERROR(IF(INDEX(SPOT_Import!$A$1:$Z$2488,2464,'Live Data'!$C$21)="","",INDEX(SPOT_Import!$A$1:$Z$2488,2464,'Live Data'!$C$21)),"")</f>
        <v/>
      </c>
      <c r="K2464" s="54" t="str">
        <f>IFERROR(IF(INDEX(SPOT_Import!$A$1:$Z$2488,2464,'Live Data'!$C$22)="","",INDEX(SPOT_Import!$A$1:$Z$2488,2464,'Live Data'!$C$22)),"")</f>
        <v/>
      </c>
      <c r="L2464" s="55" t="str">
        <f t="shared" si="76"/>
        <v/>
      </c>
      <c r="M2464" s="55" t="str">
        <f t="shared" si="77"/>
        <v/>
      </c>
      <c r="N2464" s="55" t="str">
        <f>IF(A2464="","",IFERROR(INDEX('Cluster Map'!$A$4:$A$38,MATCH(M2464,'Cluster Map'!$B$4:$B$38,0)),"Unmapped"))</f>
        <v/>
      </c>
      <c r="O2464" s="55">
        <f>IF(A2464="",0,IF(COUNTIFS($A$2:A2464,A2464,$F$2:F2464,F2464,$L$2:L2464,L2464)=1,1,0))</f>
        <v>0</v>
      </c>
      <c r="P2464" s="55">
        <f>IF(A2464="",0,IF(AND(F2464="C&amp;T",COUNTIFS($A$2:A2464,A2464,$F$2:F2464,"C&amp;T")=1),1,0))</f>
        <v>0</v>
      </c>
    </row>
    <row r="2465" spans="1:16" x14ac:dyDescent="0.35">
      <c r="A2465" s="54" t="str">
        <f>IFERROR(IF(INDEX(SPOT_Import!$A$1:$Z$2488,2465,'Live Data'!$C$12)="","",INDEX(SPOT_Import!$A$1:$Z$2488,2465,'Live Data'!$C$12)),"")</f>
        <v/>
      </c>
      <c r="B2465" s="54" t="str">
        <f>IFERROR(IF(INDEX(SPOT_Import!$A$1:$Z$2488,2465,'Live Data'!$C$13)="","",INDEX(SPOT_Import!$A$1:$Z$2488,2465,'Live Data'!$C$13)),"")</f>
        <v/>
      </c>
      <c r="C2465" s="54" t="str">
        <f>IFERROR(IF(INDEX(SPOT_Import!$A$1:$Z$2488,2465,'Live Data'!$C$14)="","",INDEX(SPOT_Import!$A$1:$Z$2488,2465,'Live Data'!$C$14)),"")</f>
        <v/>
      </c>
      <c r="D2465" s="54" t="str">
        <f>IFERROR(IF(INDEX(SPOT_Import!$A$1:$Z$2488,2465,'Live Data'!$C$15)="","",INDEX(SPOT_Import!$A$1:$Z$2488,2465,'Live Data'!$C$15)),"")</f>
        <v/>
      </c>
      <c r="E2465" s="54" t="str">
        <f>IFERROR(IF(INDEX(SPOT_Import!$A$1:$Z$2488,2465,'Live Data'!$C$16)="","",INDEX(SPOT_Import!$A$1:$Z$2488,2465,'Live Data'!$C$16)),"")</f>
        <v/>
      </c>
      <c r="F2465" s="54" t="str">
        <f>IFERROR(IF(INDEX(SPOT_Import!$A$1:$Z$2488,2465,'Live Data'!$C$17)="","",INDEX(SPOT_Import!$A$1:$Z$2488,2465,'Live Data'!$C$17)),"")</f>
        <v/>
      </c>
      <c r="G2465" s="54" t="str">
        <f>IFERROR(IF(INDEX(SPOT_Import!$A$1:$Z$2488,2465,'Live Data'!$C$18)="","",INDEX(SPOT_Import!$A$1:$Z$2488,2465,'Live Data'!$C$18)),"")</f>
        <v/>
      </c>
      <c r="H2465" s="54" t="str">
        <f>IFERROR(IF(INDEX(SPOT_Import!$A$1:$Z$2488,2465,'Live Data'!$C$19)="","",INDEX(SPOT_Import!$A$1:$Z$2488,2465,'Live Data'!$C$19)),"")</f>
        <v/>
      </c>
      <c r="I2465" s="54" t="str">
        <f>IFERROR(IF(INDEX(SPOT_Import!$A$1:$Z$2488,2465,'Live Data'!$C$20)="","",INDEX(SPOT_Import!$A$1:$Z$2488,2465,'Live Data'!$C$20)),"")</f>
        <v/>
      </c>
      <c r="J2465" s="54" t="str">
        <f>IFERROR(IF(INDEX(SPOT_Import!$A$1:$Z$2488,2465,'Live Data'!$C$21)="","",INDEX(SPOT_Import!$A$1:$Z$2488,2465,'Live Data'!$C$21)),"")</f>
        <v/>
      </c>
      <c r="K2465" s="54" t="str">
        <f>IFERROR(IF(INDEX(SPOT_Import!$A$1:$Z$2488,2465,'Live Data'!$C$22)="","",INDEX(SPOT_Import!$A$1:$Z$2488,2465,'Live Data'!$C$22)),"")</f>
        <v/>
      </c>
      <c r="L2465" s="55" t="str">
        <f t="shared" si="76"/>
        <v/>
      </c>
      <c r="M2465" s="55" t="str">
        <f t="shared" si="77"/>
        <v/>
      </c>
      <c r="N2465" s="55" t="str">
        <f>IF(A2465="","",IFERROR(INDEX('Cluster Map'!$A$4:$A$38,MATCH(M2465,'Cluster Map'!$B$4:$B$38,0)),"Unmapped"))</f>
        <v/>
      </c>
      <c r="O2465" s="55">
        <f>IF(A2465="",0,IF(COUNTIFS($A$2:A2465,A2465,$F$2:F2465,F2465,$L$2:L2465,L2465)=1,1,0))</f>
        <v>0</v>
      </c>
      <c r="P2465" s="55">
        <f>IF(A2465="",0,IF(AND(F2465="C&amp;T",COUNTIFS($A$2:A2465,A2465,$F$2:F2465,"C&amp;T")=1),1,0))</f>
        <v>0</v>
      </c>
    </row>
    <row r="2466" spans="1:16" x14ac:dyDescent="0.35">
      <c r="A2466" s="54" t="str">
        <f>IFERROR(IF(INDEX(SPOT_Import!$A$1:$Z$2488,2466,'Live Data'!$C$12)="","",INDEX(SPOT_Import!$A$1:$Z$2488,2466,'Live Data'!$C$12)),"")</f>
        <v/>
      </c>
      <c r="B2466" s="54" t="str">
        <f>IFERROR(IF(INDEX(SPOT_Import!$A$1:$Z$2488,2466,'Live Data'!$C$13)="","",INDEX(SPOT_Import!$A$1:$Z$2488,2466,'Live Data'!$C$13)),"")</f>
        <v/>
      </c>
      <c r="C2466" s="54" t="str">
        <f>IFERROR(IF(INDEX(SPOT_Import!$A$1:$Z$2488,2466,'Live Data'!$C$14)="","",INDEX(SPOT_Import!$A$1:$Z$2488,2466,'Live Data'!$C$14)),"")</f>
        <v/>
      </c>
      <c r="D2466" s="54" t="str">
        <f>IFERROR(IF(INDEX(SPOT_Import!$A$1:$Z$2488,2466,'Live Data'!$C$15)="","",INDEX(SPOT_Import!$A$1:$Z$2488,2466,'Live Data'!$C$15)),"")</f>
        <v/>
      </c>
      <c r="E2466" s="54" t="str">
        <f>IFERROR(IF(INDEX(SPOT_Import!$A$1:$Z$2488,2466,'Live Data'!$C$16)="","",INDEX(SPOT_Import!$A$1:$Z$2488,2466,'Live Data'!$C$16)),"")</f>
        <v/>
      </c>
      <c r="F2466" s="54" t="str">
        <f>IFERROR(IF(INDEX(SPOT_Import!$A$1:$Z$2488,2466,'Live Data'!$C$17)="","",INDEX(SPOT_Import!$A$1:$Z$2488,2466,'Live Data'!$C$17)),"")</f>
        <v/>
      </c>
      <c r="G2466" s="54" t="str">
        <f>IFERROR(IF(INDEX(SPOT_Import!$A$1:$Z$2488,2466,'Live Data'!$C$18)="","",INDEX(SPOT_Import!$A$1:$Z$2488,2466,'Live Data'!$C$18)),"")</f>
        <v/>
      </c>
      <c r="H2466" s="54" t="str">
        <f>IFERROR(IF(INDEX(SPOT_Import!$A$1:$Z$2488,2466,'Live Data'!$C$19)="","",INDEX(SPOT_Import!$A$1:$Z$2488,2466,'Live Data'!$C$19)),"")</f>
        <v/>
      </c>
      <c r="I2466" s="54" t="str">
        <f>IFERROR(IF(INDEX(SPOT_Import!$A$1:$Z$2488,2466,'Live Data'!$C$20)="","",INDEX(SPOT_Import!$A$1:$Z$2488,2466,'Live Data'!$C$20)),"")</f>
        <v/>
      </c>
      <c r="J2466" s="54" t="str">
        <f>IFERROR(IF(INDEX(SPOT_Import!$A$1:$Z$2488,2466,'Live Data'!$C$21)="","",INDEX(SPOT_Import!$A$1:$Z$2488,2466,'Live Data'!$C$21)),"")</f>
        <v/>
      </c>
      <c r="K2466" s="54" t="str">
        <f>IFERROR(IF(INDEX(SPOT_Import!$A$1:$Z$2488,2466,'Live Data'!$C$22)="","",INDEX(SPOT_Import!$A$1:$Z$2488,2466,'Live Data'!$C$22)),"")</f>
        <v/>
      </c>
      <c r="L2466" s="55" t="str">
        <f t="shared" si="76"/>
        <v/>
      </c>
      <c r="M2466" s="55" t="str">
        <f t="shared" si="77"/>
        <v/>
      </c>
      <c r="N2466" s="55" t="str">
        <f>IF(A2466="","",IFERROR(INDEX('Cluster Map'!$A$4:$A$38,MATCH(M2466,'Cluster Map'!$B$4:$B$38,0)),"Unmapped"))</f>
        <v/>
      </c>
      <c r="O2466" s="55">
        <f>IF(A2466="",0,IF(COUNTIFS($A$2:A2466,A2466,$F$2:F2466,F2466,$L$2:L2466,L2466)=1,1,0))</f>
        <v>0</v>
      </c>
      <c r="P2466" s="55">
        <f>IF(A2466="",0,IF(AND(F2466="C&amp;T",COUNTIFS($A$2:A2466,A2466,$F$2:F2466,"C&amp;T")=1),1,0))</f>
        <v>0</v>
      </c>
    </row>
    <row r="2467" spans="1:16" x14ac:dyDescent="0.35">
      <c r="A2467" s="54" t="str">
        <f>IFERROR(IF(INDEX(SPOT_Import!$A$1:$Z$2488,2467,'Live Data'!$C$12)="","",INDEX(SPOT_Import!$A$1:$Z$2488,2467,'Live Data'!$C$12)),"")</f>
        <v/>
      </c>
      <c r="B2467" s="54" t="str">
        <f>IFERROR(IF(INDEX(SPOT_Import!$A$1:$Z$2488,2467,'Live Data'!$C$13)="","",INDEX(SPOT_Import!$A$1:$Z$2488,2467,'Live Data'!$C$13)),"")</f>
        <v/>
      </c>
      <c r="C2467" s="54" t="str">
        <f>IFERROR(IF(INDEX(SPOT_Import!$A$1:$Z$2488,2467,'Live Data'!$C$14)="","",INDEX(SPOT_Import!$A$1:$Z$2488,2467,'Live Data'!$C$14)),"")</f>
        <v/>
      </c>
      <c r="D2467" s="54" t="str">
        <f>IFERROR(IF(INDEX(SPOT_Import!$A$1:$Z$2488,2467,'Live Data'!$C$15)="","",INDEX(SPOT_Import!$A$1:$Z$2488,2467,'Live Data'!$C$15)),"")</f>
        <v/>
      </c>
      <c r="E2467" s="54" t="str">
        <f>IFERROR(IF(INDEX(SPOT_Import!$A$1:$Z$2488,2467,'Live Data'!$C$16)="","",INDEX(SPOT_Import!$A$1:$Z$2488,2467,'Live Data'!$C$16)),"")</f>
        <v/>
      </c>
      <c r="F2467" s="54" t="str">
        <f>IFERROR(IF(INDEX(SPOT_Import!$A$1:$Z$2488,2467,'Live Data'!$C$17)="","",INDEX(SPOT_Import!$A$1:$Z$2488,2467,'Live Data'!$C$17)),"")</f>
        <v/>
      </c>
      <c r="G2467" s="54" t="str">
        <f>IFERROR(IF(INDEX(SPOT_Import!$A$1:$Z$2488,2467,'Live Data'!$C$18)="","",INDEX(SPOT_Import!$A$1:$Z$2488,2467,'Live Data'!$C$18)),"")</f>
        <v/>
      </c>
      <c r="H2467" s="54" t="str">
        <f>IFERROR(IF(INDEX(SPOT_Import!$A$1:$Z$2488,2467,'Live Data'!$C$19)="","",INDEX(SPOT_Import!$A$1:$Z$2488,2467,'Live Data'!$C$19)),"")</f>
        <v/>
      </c>
      <c r="I2467" s="54" t="str">
        <f>IFERROR(IF(INDEX(SPOT_Import!$A$1:$Z$2488,2467,'Live Data'!$C$20)="","",INDEX(SPOT_Import!$A$1:$Z$2488,2467,'Live Data'!$C$20)),"")</f>
        <v/>
      </c>
      <c r="J2467" s="54" t="str">
        <f>IFERROR(IF(INDEX(SPOT_Import!$A$1:$Z$2488,2467,'Live Data'!$C$21)="","",INDEX(SPOT_Import!$A$1:$Z$2488,2467,'Live Data'!$C$21)),"")</f>
        <v/>
      </c>
      <c r="K2467" s="54" t="str">
        <f>IFERROR(IF(INDEX(SPOT_Import!$A$1:$Z$2488,2467,'Live Data'!$C$22)="","",INDEX(SPOT_Import!$A$1:$Z$2488,2467,'Live Data'!$C$22)),"")</f>
        <v/>
      </c>
      <c r="L2467" s="55" t="str">
        <f t="shared" si="76"/>
        <v/>
      </c>
      <c r="M2467" s="55" t="str">
        <f t="shared" si="77"/>
        <v/>
      </c>
      <c r="N2467" s="55" t="str">
        <f>IF(A2467="","",IFERROR(INDEX('Cluster Map'!$A$4:$A$38,MATCH(M2467,'Cluster Map'!$B$4:$B$38,0)),"Unmapped"))</f>
        <v/>
      </c>
      <c r="O2467" s="55">
        <f>IF(A2467="",0,IF(COUNTIFS($A$2:A2467,A2467,$F$2:F2467,F2467,$L$2:L2467,L2467)=1,1,0))</f>
        <v>0</v>
      </c>
      <c r="P2467" s="55">
        <f>IF(A2467="",0,IF(AND(F2467="C&amp;T",COUNTIFS($A$2:A2467,A2467,$F$2:F2467,"C&amp;T")=1),1,0))</f>
        <v>0</v>
      </c>
    </row>
    <row r="2468" spans="1:16" x14ac:dyDescent="0.35">
      <c r="A2468" s="54" t="str">
        <f>IFERROR(IF(INDEX(SPOT_Import!$A$1:$Z$2488,2468,'Live Data'!$C$12)="","",INDEX(SPOT_Import!$A$1:$Z$2488,2468,'Live Data'!$C$12)),"")</f>
        <v/>
      </c>
      <c r="B2468" s="54" t="str">
        <f>IFERROR(IF(INDEX(SPOT_Import!$A$1:$Z$2488,2468,'Live Data'!$C$13)="","",INDEX(SPOT_Import!$A$1:$Z$2488,2468,'Live Data'!$C$13)),"")</f>
        <v/>
      </c>
      <c r="C2468" s="54" t="str">
        <f>IFERROR(IF(INDEX(SPOT_Import!$A$1:$Z$2488,2468,'Live Data'!$C$14)="","",INDEX(SPOT_Import!$A$1:$Z$2488,2468,'Live Data'!$C$14)),"")</f>
        <v/>
      </c>
      <c r="D2468" s="54" t="str">
        <f>IFERROR(IF(INDEX(SPOT_Import!$A$1:$Z$2488,2468,'Live Data'!$C$15)="","",INDEX(SPOT_Import!$A$1:$Z$2488,2468,'Live Data'!$C$15)),"")</f>
        <v/>
      </c>
      <c r="E2468" s="54" t="str">
        <f>IFERROR(IF(INDEX(SPOT_Import!$A$1:$Z$2488,2468,'Live Data'!$C$16)="","",INDEX(SPOT_Import!$A$1:$Z$2488,2468,'Live Data'!$C$16)),"")</f>
        <v/>
      </c>
      <c r="F2468" s="54" t="str">
        <f>IFERROR(IF(INDEX(SPOT_Import!$A$1:$Z$2488,2468,'Live Data'!$C$17)="","",INDEX(SPOT_Import!$A$1:$Z$2488,2468,'Live Data'!$C$17)),"")</f>
        <v/>
      </c>
      <c r="G2468" s="54" t="str">
        <f>IFERROR(IF(INDEX(SPOT_Import!$A$1:$Z$2488,2468,'Live Data'!$C$18)="","",INDEX(SPOT_Import!$A$1:$Z$2488,2468,'Live Data'!$C$18)),"")</f>
        <v/>
      </c>
      <c r="H2468" s="54" t="str">
        <f>IFERROR(IF(INDEX(SPOT_Import!$A$1:$Z$2488,2468,'Live Data'!$C$19)="","",INDEX(SPOT_Import!$A$1:$Z$2488,2468,'Live Data'!$C$19)),"")</f>
        <v/>
      </c>
      <c r="I2468" s="54" t="str">
        <f>IFERROR(IF(INDEX(SPOT_Import!$A$1:$Z$2488,2468,'Live Data'!$C$20)="","",INDEX(SPOT_Import!$A$1:$Z$2488,2468,'Live Data'!$C$20)),"")</f>
        <v/>
      </c>
      <c r="J2468" s="54" t="str">
        <f>IFERROR(IF(INDEX(SPOT_Import!$A$1:$Z$2488,2468,'Live Data'!$C$21)="","",INDEX(SPOT_Import!$A$1:$Z$2488,2468,'Live Data'!$C$21)),"")</f>
        <v/>
      </c>
      <c r="K2468" s="54" t="str">
        <f>IFERROR(IF(INDEX(SPOT_Import!$A$1:$Z$2488,2468,'Live Data'!$C$22)="","",INDEX(SPOT_Import!$A$1:$Z$2488,2468,'Live Data'!$C$22)),"")</f>
        <v/>
      </c>
      <c r="L2468" s="55" t="str">
        <f t="shared" si="76"/>
        <v/>
      </c>
      <c r="M2468" s="55" t="str">
        <f t="shared" si="77"/>
        <v/>
      </c>
      <c r="N2468" s="55" t="str">
        <f>IF(A2468="","",IFERROR(INDEX('Cluster Map'!$A$4:$A$38,MATCH(M2468,'Cluster Map'!$B$4:$B$38,0)),"Unmapped"))</f>
        <v/>
      </c>
      <c r="O2468" s="55">
        <f>IF(A2468="",0,IF(COUNTIFS($A$2:A2468,A2468,$F$2:F2468,F2468,$L$2:L2468,L2468)=1,1,0))</f>
        <v>0</v>
      </c>
      <c r="P2468" s="55">
        <f>IF(A2468="",0,IF(AND(F2468="C&amp;T",COUNTIFS($A$2:A2468,A2468,$F$2:F2468,"C&amp;T")=1),1,0))</f>
        <v>0</v>
      </c>
    </row>
    <row r="2469" spans="1:16" x14ac:dyDescent="0.35">
      <c r="A2469" s="54" t="str">
        <f>IFERROR(IF(INDEX(SPOT_Import!$A$1:$Z$2488,2469,'Live Data'!$C$12)="","",INDEX(SPOT_Import!$A$1:$Z$2488,2469,'Live Data'!$C$12)),"")</f>
        <v/>
      </c>
      <c r="B2469" s="54" t="str">
        <f>IFERROR(IF(INDEX(SPOT_Import!$A$1:$Z$2488,2469,'Live Data'!$C$13)="","",INDEX(SPOT_Import!$A$1:$Z$2488,2469,'Live Data'!$C$13)),"")</f>
        <v/>
      </c>
      <c r="C2469" s="54" t="str">
        <f>IFERROR(IF(INDEX(SPOT_Import!$A$1:$Z$2488,2469,'Live Data'!$C$14)="","",INDEX(SPOT_Import!$A$1:$Z$2488,2469,'Live Data'!$C$14)),"")</f>
        <v/>
      </c>
      <c r="D2469" s="54" t="str">
        <f>IFERROR(IF(INDEX(SPOT_Import!$A$1:$Z$2488,2469,'Live Data'!$C$15)="","",INDEX(SPOT_Import!$A$1:$Z$2488,2469,'Live Data'!$C$15)),"")</f>
        <v/>
      </c>
      <c r="E2469" s="54" t="str">
        <f>IFERROR(IF(INDEX(SPOT_Import!$A$1:$Z$2488,2469,'Live Data'!$C$16)="","",INDEX(SPOT_Import!$A$1:$Z$2488,2469,'Live Data'!$C$16)),"")</f>
        <v/>
      </c>
      <c r="F2469" s="54" t="str">
        <f>IFERROR(IF(INDEX(SPOT_Import!$A$1:$Z$2488,2469,'Live Data'!$C$17)="","",INDEX(SPOT_Import!$A$1:$Z$2488,2469,'Live Data'!$C$17)),"")</f>
        <v/>
      </c>
      <c r="G2469" s="54" t="str">
        <f>IFERROR(IF(INDEX(SPOT_Import!$A$1:$Z$2488,2469,'Live Data'!$C$18)="","",INDEX(SPOT_Import!$A$1:$Z$2488,2469,'Live Data'!$C$18)),"")</f>
        <v/>
      </c>
      <c r="H2469" s="54" t="str">
        <f>IFERROR(IF(INDEX(SPOT_Import!$A$1:$Z$2488,2469,'Live Data'!$C$19)="","",INDEX(SPOT_Import!$A$1:$Z$2488,2469,'Live Data'!$C$19)),"")</f>
        <v/>
      </c>
      <c r="I2469" s="54" t="str">
        <f>IFERROR(IF(INDEX(SPOT_Import!$A$1:$Z$2488,2469,'Live Data'!$C$20)="","",INDEX(SPOT_Import!$A$1:$Z$2488,2469,'Live Data'!$C$20)),"")</f>
        <v/>
      </c>
      <c r="J2469" s="54" t="str">
        <f>IFERROR(IF(INDEX(SPOT_Import!$A$1:$Z$2488,2469,'Live Data'!$C$21)="","",INDEX(SPOT_Import!$A$1:$Z$2488,2469,'Live Data'!$C$21)),"")</f>
        <v/>
      </c>
      <c r="K2469" s="54" t="str">
        <f>IFERROR(IF(INDEX(SPOT_Import!$A$1:$Z$2488,2469,'Live Data'!$C$22)="","",INDEX(SPOT_Import!$A$1:$Z$2488,2469,'Live Data'!$C$22)),"")</f>
        <v/>
      </c>
      <c r="L2469" s="55" t="str">
        <f t="shared" si="76"/>
        <v/>
      </c>
      <c r="M2469" s="55" t="str">
        <f t="shared" si="77"/>
        <v/>
      </c>
      <c r="N2469" s="55" t="str">
        <f>IF(A2469="","",IFERROR(INDEX('Cluster Map'!$A$4:$A$38,MATCH(M2469,'Cluster Map'!$B$4:$B$38,0)),"Unmapped"))</f>
        <v/>
      </c>
      <c r="O2469" s="55">
        <f>IF(A2469="",0,IF(COUNTIFS($A$2:A2469,A2469,$F$2:F2469,F2469,$L$2:L2469,L2469)=1,1,0))</f>
        <v>0</v>
      </c>
      <c r="P2469" s="55">
        <f>IF(A2469="",0,IF(AND(F2469="C&amp;T",COUNTIFS($A$2:A2469,A2469,$F$2:F2469,"C&amp;T")=1),1,0))</f>
        <v>0</v>
      </c>
    </row>
    <row r="2470" spans="1:16" x14ac:dyDescent="0.35">
      <c r="A2470" s="54" t="str">
        <f>IFERROR(IF(INDEX(SPOT_Import!$A$1:$Z$2488,2470,'Live Data'!$C$12)="","",INDEX(SPOT_Import!$A$1:$Z$2488,2470,'Live Data'!$C$12)),"")</f>
        <v/>
      </c>
      <c r="B2470" s="54" t="str">
        <f>IFERROR(IF(INDEX(SPOT_Import!$A$1:$Z$2488,2470,'Live Data'!$C$13)="","",INDEX(SPOT_Import!$A$1:$Z$2488,2470,'Live Data'!$C$13)),"")</f>
        <v/>
      </c>
      <c r="C2470" s="54" t="str">
        <f>IFERROR(IF(INDEX(SPOT_Import!$A$1:$Z$2488,2470,'Live Data'!$C$14)="","",INDEX(SPOT_Import!$A$1:$Z$2488,2470,'Live Data'!$C$14)),"")</f>
        <v/>
      </c>
      <c r="D2470" s="54" t="str">
        <f>IFERROR(IF(INDEX(SPOT_Import!$A$1:$Z$2488,2470,'Live Data'!$C$15)="","",INDEX(SPOT_Import!$A$1:$Z$2488,2470,'Live Data'!$C$15)),"")</f>
        <v/>
      </c>
      <c r="E2470" s="54" t="str">
        <f>IFERROR(IF(INDEX(SPOT_Import!$A$1:$Z$2488,2470,'Live Data'!$C$16)="","",INDEX(SPOT_Import!$A$1:$Z$2488,2470,'Live Data'!$C$16)),"")</f>
        <v/>
      </c>
      <c r="F2470" s="54" t="str">
        <f>IFERROR(IF(INDEX(SPOT_Import!$A$1:$Z$2488,2470,'Live Data'!$C$17)="","",INDEX(SPOT_Import!$A$1:$Z$2488,2470,'Live Data'!$C$17)),"")</f>
        <v/>
      </c>
      <c r="G2470" s="54" t="str">
        <f>IFERROR(IF(INDEX(SPOT_Import!$A$1:$Z$2488,2470,'Live Data'!$C$18)="","",INDEX(SPOT_Import!$A$1:$Z$2488,2470,'Live Data'!$C$18)),"")</f>
        <v/>
      </c>
      <c r="H2470" s="54" t="str">
        <f>IFERROR(IF(INDEX(SPOT_Import!$A$1:$Z$2488,2470,'Live Data'!$C$19)="","",INDEX(SPOT_Import!$A$1:$Z$2488,2470,'Live Data'!$C$19)),"")</f>
        <v/>
      </c>
      <c r="I2470" s="54" t="str">
        <f>IFERROR(IF(INDEX(SPOT_Import!$A$1:$Z$2488,2470,'Live Data'!$C$20)="","",INDEX(SPOT_Import!$A$1:$Z$2488,2470,'Live Data'!$C$20)),"")</f>
        <v/>
      </c>
      <c r="J2470" s="54" t="str">
        <f>IFERROR(IF(INDEX(SPOT_Import!$A$1:$Z$2488,2470,'Live Data'!$C$21)="","",INDEX(SPOT_Import!$A$1:$Z$2488,2470,'Live Data'!$C$21)),"")</f>
        <v/>
      </c>
      <c r="K2470" s="54" t="str">
        <f>IFERROR(IF(INDEX(SPOT_Import!$A$1:$Z$2488,2470,'Live Data'!$C$22)="","",INDEX(SPOT_Import!$A$1:$Z$2488,2470,'Live Data'!$C$22)),"")</f>
        <v/>
      </c>
      <c r="L2470" s="55" t="str">
        <f t="shared" si="76"/>
        <v/>
      </c>
      <c r="M2470" s="55" t="str">
        <f t="shared" si="77"/>
        <v/>
      </c>
      <c r="N2470" s="55" t="str">
        <f>IF(A2470="","",IFERROR(INDEX('Cluster Map'!$A$4:$A$38,MATCH(M2470,'Cluster Map'!$B$4:$B$38,0)),"Unmapped"))</f>
        <v/>
      </c>
      <c r="O2470" s="55">
        <f>IF(A2470="",0,IF(COUNTIFS($A$2:A2470,A2470,$F$2:F2470,F2470,$L$2:L2470,L2470)=1,1,0))</f>
        <v>0</v>
      </c>
      <c r="P2470" s="55">
        <f>IF(A2470="",0,IF(AND(F2470="C&amp;T",COUNTIFS($A$2:A2470,A2470,$F$2:F2470,"C&amp;T")=1),1,0))</f>
        <v>0</v>
      </c>
    </row>
    <row r="2471" spans="1:16" x14ac:dyDescent="0.35">
      <c r="A2471" s="54" t="str">
        <f>IFERROR(IF(INDEX(SPOT_Import!$A$1:$Z$2488,2471,'Live Data'!$C$12)="","",INDEX(SPOT_Import!$A$1:$Z$2488,2471,'Live Data'!$C$12)),"")</f>
        <v/>
      </c>
      <c r="B2471" s="54" t="str">
        <f>IFERROR(IF(INDEX(SPOT_Import!$A$1:$Z$2488,2471,'Live Data'!$C$13)="","",INDEX(SPOT_Import!$A$1:$Z$2488,2471,'Live Data'!$C$13)),"")</f>
        <v/>
      </c>
      <c r="C2471" s="54" t="str">
        <f>IFERROR(IF(INDEX(SPOT_Import!$A$1:$Z$2488,2471,'Live Data'!$C$14)="","",INDEX(SPOT_Import!$A$1:$Z$2488,2471,'Live Data'!$C$14)),"")</f>
        <v/>
      </c>
      <c r="D2471" s="54" t="str">
        <f>IFERROR(IF(INDEX(SPOT_Import!$A$1:$Z$2488,2471,'Live Data'!$C$15)="","",INDEX(SPOT_Import!$A$1:$Z$2488,2471,'Live Data'!$C$15)),"")</f>
        <v/>
      </c>
      <c r="E2471" s="54" t="str">
        <f>IFERROR(IF(INDEX(SPOT_Import!$A$1:$Z$2488,2471,'Live Data'!$C$16)="","",INDEX(SPOT_Import!$A$1:$Z$2488,2471,'Live Data'!$C$16)),"")</f>
        <v/>
      </c>
      <c r="F2471" s="54" t="str">
        <f>IFERROR(IF(INDEX(SPOT_Import!$A$1:$Z$2488,2471,'Live Data'!$C$17)="","",INDEX(SPOT_Import!$A$1:$Z$2488,2471,'Live Data'!$C$17)),"")</f>
        <v/>
      </c>
      <c r="G2471" s="54" t="str">
        <f>IFERROR(IF(INDEX(SPOT_Import!$A$1:$Z$2488,2471,'Live Data'!$C$18)="","",INDEX(SPOT_Import!$A$1:$Z$2488,2471,'Live Data'!$C$18)),"")</f>
        <v/>
      </c>
      <c r="H2471" s="54" t="str">
        <f>IFERROR(IF(INDEX(SPOT_Import!$A$1:$Z$2488,2471,'Live Data'!$C$19)="","",INDEX(SPOT_Import!$A$1:$Z$2488,2471,'Live Data'!$C$19)),"")</f>
        <v/>
      </c>
      <c r="I2471" s="54" t="str">
        <f>IFERROR(IF(INDEX(SPOT_Import!$A$1:$Z$2488,2471,'Live Data'!$C$20)="","",INDEX(SPOT_Import!$A$1:$Z$2488,2471,'Live Data'!$C$20)),"")</f>
        <v/>
      </c>
      <c r="J2471" s="54" t="str">
        <f>IFERROR(IF(INDEX(SPOT_Import!$A$1:$Z$2488,2471,'Live Data'!$C$21)="","",INDEX(SPOT_Import!$A$1:$Z$2488,2471,'Live Data'!$C$21)),"")</f>
        <v/>
      </c>
      <c r="K2471" s="54" t="str">
        <f>IFERROR(IF(INDEX(SPOT_Import!$A$1:$Z$2488,2471,'Live Data'!$C$22)="","",INDEX(SPOT_Import!$A$1:$Z$2488,2471,'Live Data'!$C$22)),"")</f>
        <v/>
      </c>
      <c r="L2471" s="55" t="str">
        <f t="shared" si="76"/>
        <v/>
      </c>
      <c r="M2471" s="55" t="str">
        <f t="shared" si="77"/>
        <v/>
      </c>
      <c r="N2471" s="55" t="str">
        <f>IF(A2471="","",IFERROR(INDEX('Cluster Map'!$A$4:$A$38,MATCH(M2471,'Cluster Map'!$B$4:$B$38,0)),"Unmapped"))</f>
        <v/>
      </c>
      <c r="O2471" s="55">
        <f>IF(A2471="",0,IF(COUNTIFS($A$2:A2471,A2471,$F$2:F2471,F2471,$L$2:L2471,L2471)=1,1,0))</f>
        <v>0</v>
      </c>
      <c r="P2471" s="55">
        <f>IF(A2471="",0,IF(AND(F2471="C&amp;T",COUNTIFS($A$2:A2471,A2471,$F$2:F2471,"C&amp;T")=1),1,0))</f>
        <v>0</v>
      </c>
    </row>
    <row r="2472" spans="1:16" x14ac:dyDescent="0.35">
      <c r="A2472" s="54" t="str">
        <f>IFERROR(IF(INDEX(SPOT_Import!$A$1:$Z$2488,2472,'Live Data'!$C$12)="","",INDEX(SPOT_Import!$A$1:$Z$2488,2472,'Live Data'!$C$12)),"")</f>
        <v/>
      </c>
      <c r="B2472" s="54" t="str">
        <f>IFERROR(IF(INDEX(SPOT_Import!$A$1:$Z$2488,2472,'Live Data'!$C$13)="","",INDEX(SPOT_Import!$A$1:$Z$2488,2472,'Live Data'!$C$13)),"")</f>
        <v/>
      </c>
      <c r="C2472" s="54" t="str">
        <f>IFERROR(IF(INDEX(SPOT_Import!$A$1:$Z$2488,2472,'Live Data'!$C$14)="","",INDEX(SPOT_Import!$A$1:$Z$2488,2472,'Live Data'!$C$14)),"")</f>
        <v/>
      </c>
      <c r="D2472" s="54" t="str">
        <f>IFERROR(IF(INDEX(SPOT_Import!$A$1:$Z$2488,2472,'Live Data'!$C$15)="","",INDEX(SPOT_Import!$A$1:$Z$2488,2472,'Live Data'!$C$15)),"")</f>
        <v/>
      </c>
      <c r="E2472" s="54" t="str">
        <f>IFERROR(IF(INDEX(SPOT_Import!$A$1:$Z$2488,2472,'Live Data'!$C$16)="","",INDEX(SPOT_Import!$A$1:$Z$2488,2472,'Live Data'!$C$16)),"")</f>
        <v/>
      </c>
      <c r="F2472" s="54" t="str">
        <f>IFERROR(IF(INDEX(SPOT_Import!$A$1:$Z$2488,2472,'Live Data'!$C$17)="","",INDEX(SPOT_Import!$A$1:$Z$2488,2472,'Live Data'!$C$17)),"")</f>
        <v/>
      </c>
      <c r="G2472" s="54" t="str">
        <f>IFERROR(IF(INDEX(SPOT_Import!$A$1:$Z$2488,2472,'Live Data'!$C$18)="","",INDEX(SPOT_Import!$A$1:$Z$2488,2472,'Live Data'!$C$18)),"")</f>
        <v/>
      </c>
      <c r="H2472" s="54" t="str">
        <f>IFERROR(IF(INDEX(SPOT_Import!$A$1:$Z$2488,2472,'Live Data'!$C$19)="","",INDEX(SPOT_Import!$A$1:$Z$2488,2472,'Live Data'!$C$19)),"")</f>
        <v/>
      </c>
      <c r="I2472" s="54" t="str">
        <f>IFERROR(IF(INDEX(SPOT_Import!$A$1:$Z$2488,2472,'Live Data'!$C$20)="","",INDEX(SPOT_Import!$A$1:$Z$2488,2472,'Live Data'!$C$20)),"")</f>
        <v/>
      </c>
      <c r="J2472" s="54" t="str">
        <f>IFERROR(IF(INDEX(SPOT_Import!$A$1:$Z$2488,2472,'Live Data'!$C$21)="","",INDEX(SPOT_Import!$A$1:$Z$2488,2472,'Live Data'!$C$21)),"")</f>
        <v/>
      </c>
      <c r="K2472" s="54" t="str">
        <f>IFERROR(IF(INDEX(SPOT_Import!$A$1:$Z$2488,2472,'Live Data'!$C$22)="","",INDEX(SPOT_Import!$A$1:$Z$2488,2472,'Live Data'!$C$22)),"")</f>
        <v/>
      </c>
      <c r="L2472" s="55" t="str">
        <f t="shared" si="76"/>
        <v/>
      </c>
      <c r="M2472" s="55" t="str">
        <f t="shared" si="77"/>
        <v/>
      </c>
      <c r="N2472" s="55" t="str">
        <f>IF(A2472="","",IFERROR(INDEX('Cluster Map'!$A$4:$A$38,MATCH(M2472,'Cluster Map'!$B$4:$B$38,0)),"Unmapped"))</f>
        <v/>
      </c>
      <c r="O2472" s="55">
        <f>IF(A2472="",0,IF(COUNTIFS($A$2:A2472,A2472,$F$2:F2472,F2472,$L$2:L2472,L2472)=1,1,0))</f>
        <v>0</v>
      </c>
      <c r="P2472" s="55">
        <f>IF(A2472="",0,IF(AND(F2472="C&amp;T",COUNTIFS($A$2:A2472,A2472,$F$2:F2472,"C&amp;T")=1),1,0))</f>
        <v>0</v>
      </c>
    </row>
    <row r="2473" spans="1:16" x14ac:dyDescent="0.35">
      <c r="A2473" s="54" t="str">
        <f>IFERROR(IF(INDEX(SPOT_Import!$A$1:$Z$2488,2473,'Live Data'!$C$12)="","",INDEX(SPOT_Import!$A$1:$Z$2488,2473,'Live Data'!$C$12)),"")</f>
        <v/>
      </c>
      <c r="B2473" s="54" t="str">
        <f>IFERROR(IF(INDEX(SPOT_Import!$A$1:$Z$2488,2473,'Live Data'!$C$13)="","",INDEX(SPOT_Import!$A$1:$Z$2488,2473,'Live Data'!$C$13)),"")</f>
        <v/>
      </c>
      <c r="C2473" s="54" t="str">
        <f>IFERROR(IF(INDEX(SPOT_Import!$A$1:$Z$2488,2473,'Live Data'!$C$14)="","",INDEX(SPOT_Import!$A$1:$Z$2488,2473,'Live Data'!$C$14)),"")</f>
        <v/>
      </c>
      <c r="D2473" s="54" t="str">
        <f>IFERROR(IF(INDEX(SPOT_Import!$A$1:$Z$2488,2473,'Live Data'!$C$15)="","",INDEX(SPOT_Import!$A$1:$Z$2488,2473,'Live Data'!$C$15)),"")</f>
        <v/>
      </c>
      <c r="E2473" s="54" t="str">
        <f>IFERROR(IF(INDEX(SPOT_Import!$A$1:$Z$2488,2473,'Live Data'!$C$16)="","",INDEX(SPOT_Import!$A$1:$Z$2488,2473,'Live Data'!$C$16)),"")</f>
        <v/>
      </c>
      <c r="F2473" s="54" t="str">
        <f>IFERROR(IF(INDEX(SPOT_Import!$A$1:$Z$2488,2473,'Live Data'!$C$17)="","",INDEX(SPOT_Import!$A$1:$Z$2488,2473,'Live Data'!$C$17)),"")</f>
        <v/>
      </c>
      <c r="G2473" s="54" t="str">
        <f>IFERROR(IF(INDEX(SPOT_Import!$A$1:$Z$2488,2473,'Live Data'!$C$18)="","",INDEX(SPOT_Import!$A$1:$Z$2488,2473,'Live Data'!$C$18)),"")</f>
        <v/>
      </c>
      <c r="H2473" s="54" t="str">
        <f>IFERROR(IF(INDEX(SPOT_Import!$A$1:$Z$2488,2473,'Live Data'!$C$19)="","",INDEX(SPOT_Import!$A$1:$Z$2488,2473,'Live Data'!$C$19)),"")</f>
        <v/>
      </c>
      <c r="I2473" s="54" t="str">
        <f>IFERROR(IF(INDEX(SPOT_Import!$A$1:$Z$2488,2473,'Live Data'!$C$20)="","",INDEX(SPOT_Import!$A$1:$Z$2488,2473,'Live Data'!$C$20)),"")</f>
        <v/>
      </c>
      <c r="J2473" s="54" t="str">
        <f>IFERROR(IF(INDEX(SPOT_Import!$A$1:$Z$2488,2473,'Live Data'!$C$21)="","",INDEX(SPOT_Import!$A$1:$Z$2488,2473,'Live Data'!$C$21)),"")</f>
        <v/>
      </c>
      <c r="K2473" s="54" t="str">
        <f>IFERROR(IF(INDEX(SPOT_Import!$A$1:$Z$2488,2473,'Live Data'!$C$22)="","",INDEX(SPOT_Import!$A$1:$Z$2488,2473,'Live Data'!$C$22)),"")</f>
        <v/>
      </c>
      <c r="L2473" s="55" t="str">
        <f t="shared" si="76"/>
        <v/>
      </c>
      <c r="M2473" s="55" t="str">
        <f t="shared" si="77"/>
        <v/>
      </c>
      <c r="N2473" s="55" t="str">
        <f>IF(A2473="","",IFERROR(INDEX('Cluster Map'!$A$4:$A$38,MATCH(M2473,'Cluster Map'!$B$4:$B$38,0)),"Unmapped"))</f>
        <v/>
      </c>
      <c r="O2473" s="55">
        <f>IF(A2473="",0,IF(COUNTIFS($A$2:A2473,A2473,$F$2:F2473,F2473,$L$2:L2473,L2473)=1,1,0))</f>
        <v>0</v>
      </c>
      <c r="P2473" s="55">
        <f>IF(A2473="",0,IF(AND(F2473="C&amp;T",COUNTIFS($A$2:A2473,A2473,$F$2:F2473,"C&amp;T")=1),1,0))</f>
        <v>0</v>
      </c>
    </row>
    <row r="2474" spans="1:16" x14ac:dyDescent="0.35">
      <c r="A2474" s="54" t="str">
        <f>IFERROR(IF(INDEX(SPOT_Import!$A$1:$Z$2488,2474,'Live Data'!$C$12)="","",INDEX(SPOT_Import!$A$1:$Z$2488,2474,'Live Data'!$C$12)),"")</f>
        <v/>
      </c>
      <c r="B2474" s="54" t="str">
        <f>IFERROR(IF(INDEX(SPOT_Import!$A$1:$Z$2488,2474,'Live Data'!$C$13)="","",INDEX(SPOT_Import!$A$1:$Z$2488,2474,'Live Data'!$C$13)),"")</f>
        <v/>
      </c>
      <c r="C2474" s="54" t="str">
        <f>IFERROR(IF(INDEX(SPOT_Import!$A$1:$Z$2488,2474,'Live Data'!$C$14)="","",INDEX(SPOT_Import!$A$1:$Z$2488,2474,'Live Data'!$C$14)),"")</f>
        <v/>
      </c>
      <c r="D2474" s="54" t="str">
        <f>IFERROR(IF(INDEX(SPOT_Import!$A$1:$Z$2488,2474,'Live Data'!$C$15)="","",INDEX(SPOT_Import!$A$1:$Z$2488,2474,'Live Data'!$C$15)),"")</f>
        <v/>
      </c>
      <c r="E2474" s="54" t="str">
        <f>IFERROR(IF(INDEX(SPOT_Import!$A$1:$Z$2488,2474,'Live Data'!$C$16)="","",INDEX(SPOT_Import!$A$1:$Z$2488,2474,'Live Data'!$C$16)),"")</f>
        <v/>
      </c>
      <c r="F2474" s="54" t="str">
        <f>IFERROR(IF(INDEX(SPOT_Import!$A$1:$Z$2488,2474,'Live Data'!$C$17)="","",INDEX(SPOT_Import!$A$1:$Z$2488,2474,'Live Data'!$C$17)),"")</f>
        <v/>
      </c>
      <c r="G2474" s="54" t="str">
        <f>IFERROR(IF(INDEX(SPOT_Import!$A$1:$Z$2488,2474,'Live Data'!$C$18)="","",INDEX(SPOT_Import!$A$1:$Z$2488,2474,'Live Data'!$C$18)),"")</f>
        <v/>
      </c>
      <c r="H2474" s="54" t="str">
        <f>IFERROR(IF(INDEX(SPOT_Import!$A$1:$Z$2488,2474,'Live Data'!$C$19)="","",INDEX(SPOT_Import!$A$1:$Z$2488,2474,'Live Data'!$C$19)),"")</f>
        <v/>
      </c>
      <c r="I2474" s="54" t="str">
        <f>IFERROR(IF(INDEX(SPOT_Import!$A$1:$Z$2488,2474,'Live Data'!$C$20)="","",INDEX(SPOT_Import!$A$1:$Z$2488,2474,'Live Data'!$C$20)),"")</f>
        <v/>
      </c>
      <c r="J2474" s="54" t="str">
        <f>IFERROR(IF(INDEX(SPOT_Import!$A$1:$Z$2488,2474,'Live Data'!$C$21)="","",INDEX(SPOT_Import!$A$1:$Z$2488,2474,'Live Data'!$C$21)),"")</f>
        <v/>
      </c>
      <c r="K2474" s="54" t="str">
        <f>IFERROR(IF(INDEX(SPOT_Import!$A$1:$Z$2488,2474,'Live Data'!$C$22)="","",INDEX(SPOT_Import!$A$1:$Z$2488,2474,'Live Data'!$C$22)),"")</f>
        <v/>
      </c>
      <c r="L2474" s="55" t="str">
        <f t="shared" si="76"/>
        <v/>
      </c>
      <c r="M2474" s="55" t="str">
        <f t="shared" si="77"/>
        <v/>
      </c>
      <c r="N2474" s="55" t="str">
        <f>IF(A2474="","",IFERROR(INDEX('Cluster Map'!$A$4:$A$38,MATCH(M2474,'Cluster Map'!$B$4:$B$38,0)),"Unmapped"))</f>
        <v/>
      </c>
      <c r="O2474" s="55">
        <f>IF(A2474="",0,IF(COUNTIFS($A$2:A2474,A2474,$F$2:F2474,F2474,$L$2:L2474,L2474)=1,1,0))</f>
        <v>0</v>
      </c>
      <c r="P2474" s="55">
        <f>IF(A2474="",0,IF(AND(F2474="C&amp;T",COUNTIFS($A$2:A2474,A2474,$F$2:F2474,"C&amp;T")=1),1,0))</f>
        <v>0</v>
      </c>
    </row>
    <row r="2475" spans="1:16" x14ac:dyDescent="0.35">
      <c r="A2475" s="54" t="str">
        <f>IFERROR(IF(INDEX(SPOT_Import!$A$1:$Z$2488,2475,'Live Data'!$C$12)="","",INDEX(SPOT_Import!$A$1:$Z$2488,2475,'Live Data'!$C$12)),"")</f>
        <v/>
      </c>
      <c r="B2475" s="54" t="str">
        <f>IFERROR(IF(INDEX(SPOT_Import!$A$1:$Z$2488,2475,'Live Data'!$C$13)="","",INDEX(SPOT_Import!$A$1:$Z$2488,2475,'Live Data'!$C$13)),"")</f>
        <v/>
      </c>
      <c r="C2475" s="54" t="str">
        <f>IFERROR(IF(INDEX(SPOT_Import!$A$1:$Z$2488,2475,'Live Data'!$C$14)="","",INDEX(SPOT_Import!$A$1:$Z$2488,2475,'Live Data'!$C$14)),"")</f>
        <v/>
      </c>
      <c r="D2475" s="54" t="str">
        <f>IFERROR(IF(INDEX(SPOT_Import!$A$1:$Z$2488,2475,'Live Data'!$C$15)="","",INDEX(SPOT_Import!$A$1:$Z$2488,2475,'Live Data'!$C$15)),"")</f>
        <v/>
      </c>
      <c r="E2475" s="54" t="str">
        <f>IFERROR(IF(INDEX(SPOT_Import!$A$1:$Z$2488,2475,'Live Data'!$C$16)="","",INDEX(SPOT_Import!$A$1:$Z$2488,2475,'Live Data'!$C$16)),"")</f>
        <v/>
      </c>
      <c r="F2475" s="54" t="str">
        <f>IFERROR(IF(INDEX(SPOT_Import!$A$1:$Z$2488,2475,'Live Data'!$C$17)="","",INDEX(SPOT_Import!$A$1:$Z$2488,2475,'Live Data'!$C$17)),"")</f>
        <v/>
      </c>
      <c r="G2475" s="54" t="str">
        <f>IFERROR(IF(INDEX(SPOT_Import!$A$1:$Z$2488,2475,'Live Data'!$C$18)="","",INDEX(SPOT_Import!$A$1:$Z$2488,2475,'Live Data'!$C$18)),"")</f>
        <v/>
      </c>
      <c r="H2475" s="54" t="str">
        <f>IFERROR(IF(INDEX(SPOT_Import!$A$1:$Z$2488,2475,'Live Data'!$C$19)="","",INDEX(SPOT_Import!$A$1:$Z$2488,2475,'Live Data'!$C$19)),"")</f>
        <v/>
      </c>
      <c r="I2475" s="54" t="str">
        <f>IFERROR(IF(INDEX(SPOT_Import!$A$1:$Z$2488,2475,'Live Data'!$C$20)="","",INDEX(SPOT_Import!$A$1:$Z$2488,2475,'Live Data'!$C$20)),"")</f>
        <v/>
      </c>
      <c r="J2475" s="54" t="str">
        <f>IFERROR(IF(INDEX(SPOT_Import!$A$1:$Z$2488,2475,'Live Data'!$C$21)="","",INDEX(SPOT_Import!$A$1:$Z$2488,2475,'Live Data'!$C$21)),"")</f>
        <v/>
      </c>
      <c r="K2475" s="54" t="str">
        <f>IFERROR(IF(INDEX(SPOT_Import!$A$1:$Z$2488,2475,'Live Data'!$C$22)="","",INDEX(SPOT_Import!$A$1:$Z$2488,2475,'Live Data'!$C$22)),"")</f>
        <v/>
      </c>
      <c r="L2475" s="55" t="str">
        <f t="shared" si="76"/>
        <v/>
      </c>
      <c r="M2475" s="55" t="str">
        <f t="shared" si="77"/>
        <v/>
      </c>
      <c r="N2475" s="55" t="str">
        <f>IF(A2475="","",IFERROR(INDEX('Cluster Map'!$A$4:$A$38,MATCH(M2475,'Cluster Map'!$B$4:$B$38,0)),"Unmapped"))</f>
        <v/>
      </c>
      <c r="O2475" s="55">
        <f>IF(A2475="",0,IF(COUNTIFS($A$2:A2475,A2475,$F$2:F2475,F2475,$L$2:L2475,L2475)=1,1,0))</f>
        <v>0</v>
      </c>
      <c r="P2475" s="55">
        <f>IF(A2475="",0,IF(AND(F2475="C&amp;T",COUNTIFS($A$2:A2475,A2475,$F$2:F2475,"C&amp;T")=1),1,0))</f>
        <v>0</v>
      </c>
    </row>
    <row r="2476" spans="1:16" x14ac:dyDescent="0.35">
      <c r="A2476" s="54" t="str">
        <f>IFERROR(IF(INDEX(SPOT_Import!$A$1:$Z$2488,2476,'Live Data'!$C$12)="","",INDEX(SPOT_Import!$A$1:$Z$2488,2476,'Live Data'!$C$12)),"")</f>
        <v/>
      </c>
      <c r="B2476" s="54" t="str">
        <f>IFERROR(IF(INDEX(SPOT_Import!$A$1:$Z$2488,2476,'Live Data'!$C$13)="","",INDEX(SPOT_Import!$A$1:$Z$2488,2476,'Live Data'!$C$13)),"")</f>
        <v/>
      </c>
      <c r="C2476" s="54" t="str">
        <f>IFERROR(IF(INDEX(SPOT_Import!$A$1:$Z$2488,2476,'Live Data'!$C$14)="","",INDEX(SPOT_Import!$A$1:$Z$2488,2476,'Live Data'!$C$14)),"")</f>
        <v/>
      </c>
      <c r="D2476" s="54" t="str">
        <f>IFERROR(IF(INDEX(SPOT_Import!$A$1:$Z$2488,2476,'Live Data'!$C$15)="","",INDEX(SPOT_Import!$A$1:$Z$2488,2476,'Live Data'!$C$15)),"")</f>
        <v/>
      </c>
      <c r="E2476" s="54" t="str">
        <f>IFERROR(IF(INDEX(SPOT_Import!$A$1:$Z$2488,2476,'Live Data'!$C$16)="","",INDEX(SPOT_Import!$A$1:$Z$2488,2476,'Live Data'!$C$16)),"")</f>
        <v/>
      </c>
      <c r="F2476" s="54" t="str">
        <f>IFERROR(IF(INDEX(SPOT_Import!$A$1:$Z$2488,2476,'Live Data'!$C$17)="","",INDEX(SPOT_Import!$A$1:$Z$2488,2476,'Live Data'!$C$17)),"")</f>
        <v/>
      </c>
      <c r="G2476" s="54" t="str">
        <f>IFERROR(IF(INDEX(SPOT_Import!$A$1:$Z$2488,2476,'Live Data'!$C$18)="","",INDEX(SPOT_Import!$A$1:$Z$2488,2476,'Live Data'!$C$18)),"")</f>
        <v/>
      </c>
      <c r="H2476" s="54" t="str">
        <f>IFERROR(IF(INDEX(SPOT_Import!$A$1:$Z$2488,2476,'Live Data'!$C$19)="","",INDEX(SPOT_Import!$A$1:$Z$2488,2476,'Live Data'!$C$19)),"")</f>
        <v/>
      </c>
      <c r="I2476" s="54" t="str">
        <f>IFERROR(IF(INDEX(SPOT_Import!$A$1:$Z$2488,2476,'Live Data'!$C$20)="","",INDEX(SPOT_Import!$A$1:$Z$2488,2476,'Live Data'!$C$20)),"")</f>
        <v/>
      </c>
      <c r="J2476" s="54" t="str">
        <f>IFERROR(IF(INDEX(SPOT_Import!$A$1:$Z$2488,2476,'Live Data'!$C$21)="","",INDEX(SPOT_Import!$A$1:$Z$2488,2476,'Live Data'!$C$21)),"")</f>
        <v/>
      </c>
      <c r="K2476" s="54" t="str">
        <f>IFERROR(IF(INDEX(SPOT_Import!$A$1:$Z$2488,2476,'Live Data'!$C$22)="","",INDEX(SPOT_Import!$A$1:$Z$2488,2476,'Live Data'!$C$22)),"")</f>
        <v/>
      </c>
      <c r="L2476" s="55" t="str">
        <f t="shared" si="76"/>
        <v/>
      </c>
      <c r="M2476" s="55" t="str">
        <f t="shared" si="77"/>
        <v/>
      </c>
      <c r="N2476" s="55" t="str">
        <f>IF(A2476="","",IFERROR(INDEX('Cluster Map'!$A$4:$A$38,MATCH(M2476,'Cluster Map'!$B$4:$B$38,0)),"Unmapped"))</f>
        <v/>
      </c>
      <c r="O2476" s="55">
        <f>IF(A2476="",0,IF(COUNTIFS($A$2:A2476,A2476,$F$2:F2476,F2476,$L$2:L2476,L2476)=1,1,0))</f>
        <v>0</v>
      </c>
      <c r="P2476" s="55">
        <f>IF(A2476="",0,IF(AND(F2476="C&amp;T",COUNTIFS($A$2:A2476,A2476,$F$2:F2476,"C&amp;T")=1),1,0))</f>
        <v>0</v>
      </c>
    </row>
    <row r="2477" spans="1:16" x14ac:dyDescent="0.35">
      <c r="A2477" s="54" t="str">
        <f>IFERROR(IF(INDEX(SPOT_Import!$A$1:$Z$2488,2477,'Live Data'!$C$12)="","",INDEX(SPOT_Import!$A$1:$Z$2488,2477,'Live Data'!$C$12)),"")</f>
        <v/>
      </c>
      <c r="B2477" s="54" t="str">
        <f>IFERROR(IF(INDEX(SPOT_Import!$A$1:$Z$2488,2477,'Live Data'!$C$13)="","",INDEX(SPOT_Import!$A$1:$Z$2488,2477,'Live Data'!$C$13)),"")</f>
        <v/>
      </c>
      <c r="C2477" s="54" t="str">
        <f>IFERROR(IF(INDEX(SPOT_Import!$A$1:$Z$2488,2477,'Live Data'!$C$14)="","",INDEX(SPOT_Import!$A$1:$Z$2488,2477,'Live Data'!$C$14)),"")</f>
        <v/>
      </c>
      <c r="D2477" s="54" t="str">
        <f>IFERROR(IF(INDEX(SPOT_Import!$A$1:$Z$2488,2477,'Live Data'!$C$15)="","",INDEX(SPOT_Import!$A$1:$Z$2488,2477,'Live Data'!$C$15)),"")</f>
        <v/>
      </c>
      <c r="E2477" s="54" t="str">
        <f>IFERROR(IF(INDEX(SPOT_Import!$A$1:$Z$2488,2477,'Live Data'!$C$16)="","",INDEX(SPOT_Import!$A$1:$Z$2488,2477,'Live Data'!$C$16)),"")</f>
        <v/>
      </c>
      <c r="F2477" s="54" t="str">
        <f>IFERROR(IF(INDEX(SPOT_Import!$A$1:$Z$2488,2477,'Live Data'!$C$17)="","",INDEX(SPOT_Import!$A$1:$Z$2488,2477,'Live Data'!$C$17)),"")</f>
        <v/>
      </c>
      <c r="G2477" s="54" t="str">
        <f>IFERROR(IF(INDEX(SPOT_Import!$A$1:$Z$2488,2477,'Live Data'!$C$18)="","",INDEX(SPOT_Import!$A$1:$Z$2488,2477,'Live Data'!$C$18)),"")</f>
        <v/>
      </c>
      <c r="H2477" s="54" t="str">
        <f>IFERROR(IF(INDEX(SPOT_Import!$A$1:$Z$2488,2477,'Live Data'!$C$19)="","",INDEX(SPOT_Import!$A$1:$Z$2488,2477,'Live Data'!$C$19)),"")</f>
        <v/>
      </c>
      <c r="I2477" s="54" t="str">
        <f>IFERROR(IF(INDEX(SPOT_Import!$A$1:$Z$2488,2477,'Live Data'!$C$20)="","",INDEX(SPOT_Import!$A$1:$Z$2488,2477,'Live Data'!$C$20)),"")</f>
        <v/>
      </c>
      <c r="J2477" s="54" t="str">
        <f>IFERROR(IF(INDEX(SPOT_Import!$A$1:$Z$2488,2477,'Live Data'!$C$21)="","",INDEX(SPOT_Import!$A$1:$Z$2488,2477,'Live Data'!$C$21)),"")</f>
        <v/>
      </c>
      <c r="K2477" s="54" t="str">
        <f>IFERROR(IF(INDEX(SPOT_Import!$A$1:$Z$2488,2477,'Live Data'!$C$22)="","",INDEX(SPOT_Import!$A$1:$Z$2488,2477,'Live Data'!$C$22)),"")</f>
        <v/>
      </c>
      <c r="L2477" s="55" t="str">
        <f t="shared" si="76"/>
        <v/>
      </c>
      <c r="M2477" s="55" t="str">
        <f t="shared" si="77"/>
        <v/>
      </c>
      <c r="N2477" s="55" t="str">
        <f>IF(A2477="","",IFERROR(INDEX('Cluster Map'!$A$4:$A$38,MATCH(M2477,'Cluster Map'!$B$4:$B$38,0)),"Unmapped"))</f>
        <v/>
      </c>
      <c r="O2477" s="55">
        <f>IF(A2477="",0,IF(COUNTIFS($A$2:A2477,A2477,$F$2:F2477,F2477,$L$2:L2477,L2477)=1,1,0))</f>
        <v>0</v>
      </c>
      <c r="P2477" s="55">
        <f>IF(A2477="",0,IF(AND(F2477="C&amp;T",COUNTIFS($A$2:A2477,A2477,$F$2:F2477,"C&amp;T")=1),1,0))</f>
        <v>0</v>
      </c>
    </row>
    <row r="2478" spans="1:16" x14ac:dyDescent="0.35">
      <c r="A2478" s="54" t="str">
        <f>IFERROR(IF(INDEX(SPOT_Import!$A$1:$Z$2488,2478,'Live Data'!$C$12)="","",INDEX(SPOT_Import!$A$1:$Z$2488,2478,'Live Data'!$C$12)),"")</f>
        <v/>
      </c>
      <c r="B2478" s="54" t="str">
        <f>IFERROR(IF(INDEX(SPOT_Import!$A$1:$Z$2488,2478,'Live Data'!$C$13)="","",INDEX(SPOT_Import!$A$1:$Z$2488,2478,'Live Data'!$C$13)),"")</f>
        <v/>
      </c>
      <c r="C2478" s="54" t="str">
        <f>IFERROR(IF(INDEX(SPOT_Import!$A$1:$Z$2488,2478,'Live Data'!$C$14)="","",INDEX(SPOT_Import!$A$1:$Z$2488,2478,'Live Data'!$C$14)),"")</f>
        <v/>
      </c>
      <c r="D2478" s="54" t="str">
        <f>IFERROR(IF(INDEX(SPOT_Import!$A$1:$Z$2488,2478,'Live Data'!$C$15)="","",INDEX(SPOT_Import!$A$1:$Z$2488,2478,'Live Data'!$C$15)),"")</f>
        <v/>
      </c>
      <c r="E2478" s="54" t="str">
        <f>IFERROR(IF(INDEX(SPOT_Import!$A$1:$Z$2488,2478,'Live Data'!$C$16)="","",INDEX(SPOT_Import!$A$1:$Z$2488,2478,'Live Data'!$C$16)),"")</f>
        <v/>
      </c>
      <c r="F2478" s="54" t="str">
        <f>IFERROR(IF(INDEX(SPOT_Import!$A$1:$Z$2488,2478,'Live Data'!$C$17)="","",INDEX(SPOT_Import!$A$1:$Z$2488,2478,'Live Data'!$C$17)),"")</f>
        <v/>
      </c>
      <c r="G2478" s="54" t="str">
        <f>IFERROR(IF(INDEX(SPOT_Import!$A$1:$Z$2488,2478,'Live Data'!$C$18)="","",INDEX(SPOT_Import!$A$1:$Z$2488,2478,'Live Data'!$C$18)),"")</f>
        <v/>
      </c>
      <c r="H2478" s="54" t="str">
        <f>IFERROR(IF(INDEX(SPOT_Import!$A$1:$Z$2488,2478,'Live Data'!$C$19)="","",INDEX(SPOT_Import!$A$1:$Z$2488,2478,'Live Data'!$C$19)),"")</f>
        <v/>
      </c>
      <c r="I2478" s="54" t="str">
        <f>IFERROR(IF(INDEX(SPOT_Import!$A$1:$Z$2488,2478,'Live Data'!$C$20)="","",INDEX(SPOT_Import!$A$1:$Z$2488,2478,'Live Data'!$C$20)),"")</f>
        <v/>
      </c>
      <c r="J2478" s="54" t="str">
        <f>IFERROR(IF(INDEX(SPOT_Import!$A$1:$Z$2488,2478,'Live Data'!$C$21)="","",INDEX(SPOT_Import!$A$1:$Z$2488,2478,'Live Data'!$C$21)),"")</f>
        <v/>
      </c>
      <c r="K2478" s="54" t="str">
        <f>IFERROR(IF(INDEX(SPOT_Import!$A$1:$Z$2488,2478,'Live Data'!$C$22)="","",INDEX(SPOT_Import!$A$1:$Z$2488,2478,'Live Data'!$C$22)),"")</f>
        <v/>
      </c>
      <c r="L2478" s="55" t="str">
        <f t="shared" si="76"/>
        <v/>
      </c>
      <c r="M2478" s="55" t="str">
        <f t="shared" si="77"/>
        <v/>
      </c>
      <c r="N2478" s="55" t="str">
        <f>IF(A2478="","",IFERROR(INDEX('Cluster Map'!$A$4:$A$38,MATCH(M2478,'Cluster Map'!$B$4:$B$38,0)),"Unmapped"))</f>
        <v/>
      </c>
      <c r="O2478" s="55">
        <f>IF(A2478="",0,IF(COUNTIFS($A$2:A2478,A2478,$F$2:F2478,F2478,$L$2:L2478,L2478)=1,1,0))</f>
        <v>0</v>
      </c>
      <c r="P2478" s="55">
        <f>IF(A2478="",0,IF(AND(F2478="C&amp;T",COUNTIFS($A$2:A2478,A2478,$F$2:F2478,"C&amp;T")=1),1,0))</f>
        <v>0</v>
      </c>
    </row>
    <row r="2479" spans="1:16" x14ac:dyDescent="0.35">
      <c r="A2479" s="54" t="str">
        <f>IFERROR(IF(INDEX(SPOT_Import!$A$1:$Z$2488,2479,'Live Data'!$C$12)="","",INDEX(SPOT_Import!$A$1:$Z$2488,2479,'Live Data'!$C$12)),"")</f>
        <v/>
      </c>
      <c r="B2479" s="54" t="str">
        <f>IFERROR(IF(INDEX(SPOT_Import!$A$1:$Z$2488,2479,'Live Data'!$C$13)="","",INDEX(SPOT_Import!$A$1:$Z$2488,2479,'Live Data'!$C$13)),"")</f>
        <v/>
      </c>
      <c r="C2479" s="54" t="str">
        <f>IFERROR(IF(INDEX(SPOT_Import!$A$1:$Z$2488,2479,'Live Data'!$C$14)="","",INDEX(SPOT_Import!$A$1:$Z$2488,2479,'Live Data'!$C$14)),"")</f>
        <v/>
      </c>
      <c r="D2479" s="54" t="str">
        <f>IFERROR(IF(INDEX(SPOT_Import!$A$1:$Z$2488,2479,'Live Data'!$C$15)="","",INDEX(SPOT_Import!$A$1:$Z$2488,2479,'Live Data'!$C$15)),"")</f>
        <v/>
      </c>
      <c r="E2479" s="54" t="str">
        <f>IFERROR(IF(INDEX(SPOT_Import!$A$1:$Z$2488,2479,'Live Data'!$C$16)="","",INDEX(SPOT_Import!$A$1:$Z$2488,2479,'Live Data'!$C$16)),"")</f>
        <v/>
      </c>
      <c r="F2479" s="54" t="str">
        <f>IFERROR(IF(INDEX(SPOT_Import!$A$1:$Z$2488,2479,'Live Data'!$C$17)="","",INDEX(SPOT_Import!$A$1:$Z$2488,2479,'Live Data'!$C$17)),"")</f>
        <v/>
      </c>
      <c r="G2479" s="54" t="str">
        <f>IFERROR(IF(INDEX(SPOT_Import!$A$1:$Z$2488,2479,'Live Data'!$C$18)="","",INDEX(SPOT_Import!$A$1:$Z$2488,2479,'Live Data'!$C$18)),"")</f>
        <v/>
      </c>
      <c r="H2479" s="54" t="str">
        <f>IFERROR(IF(INDEX(SPOT_Import!$A$1:$Z$2488,2479,'Live Data'!$C$19)="","",INDEX(SPOT_Import!$A$1:$Z$2488,2479,'Live Data'!$C$19)),"")</f>
        <v/>
      </c>
      <c r="I2479" s="54" t="str">
        <f>IFERROR(IF(INDEX(SPOT_Import!$A$1:$Z$2488,2479,'Live Data'!$C$20)="","",INDEX(SPOT_Import!$A$1:$Z$2488,2479,'Live Data'!$C$20)),"")</f>
        <v/>
      </c>
      <c r="J2479" s="54" t="str">
        <f>IFERROR(IF(INDEX(SPOT_Import!$A$1:$Z$2488,2479,'Live Data'!$C$21)="","",INDEX(SPOT_Import!$A$1:$Z$2488,2479,'Live Data'!$C$21)),"")</f>
        <v/>
      </c>
      <c r="K2479" s="54" t="str">
        <f>IFERROR(IF(INDEX(SPOT_Import!$A$1:$Z$2488,2479,'Live Data'!$C$22)="","",INDEX(SPOT_Import!$A$1:$Z$2488,2479,'Live Data'!$C$22)),"")</f>
        <v/>
      </c>
      <c r="L2479" s="55" t="str">
        <f t="shared" si="76"/>
        <v/>
      </c>
      <c r="M2479" s="55" t="str">
        <f t="shared" si="77"/>
        <v/>
      </c>
      <c r="N2479" s="55" t="str">
        <f>IF(A2479="","",IFERROR(INDEX('Cluster Map'!$A$4:$A$38,MATCH(M2479,'Cluster Map'!$B$4:$B$38,0)),"Unmapped"))</f>
        <v/>
      </c>
      <c r="O2479" s="55">
        <f>IF(A2479="",0,IF(COUNTIFS($A$2:A2479,A2479,$F$2:F2479,F2479,$L$2:L2479,L2479)=1,1,0))</f>
        <v>0</v>
      </c>
      <c r="P2479" s="55">
        <f>IF(A2479="",0,IF(AND(F2479="C&amp;T",COUNTIFS($A$2:A2479,A2479,$F$2:F2479,"C&amp;T")=1),1,0))</f>
        <v>0</v>
      </c>
    </row>
    <row r="2480" spans="1:16" x14ac:dyDescent="0.35">
      <c r="A2480" s="54" t="str">
        <f>IFERROR(IF(INDEX(SPOT_Import!$A$1:$Z$2488,2480,'Live Data'!$C$12)="","",INDEX(SPOT_Import!$A$1:$Z$2488,2480,'Live Data'!$C$12)),"")</f>
        <v/>
      </c>
      <c r="B2480" s="54" t="str">
        <f>IFERROR(IF(INDEX(SPOT_Import!$A$1:$Z$2488,2480,'Live Data'!$C$13)="","",INDEX(SPOT_Import!$A$1:$Z$2488,2480,'Live Data'!$C$13)),"")</f>
        <v/>
      </c>
      <c r="C2480" s="54" t="str">
        <f>IFERROR(IF(INDEX(SPOT_Import!$A$1:$Z$2488,2480,'Live Data'!$C$14)="","",INDEX(SPOT_Import!$A$1:$Z$2488,2480,'Live Data'!$C$14)),"")</f>
        <v/>
      </c>
      <c r="D2480" s="54" t="str">
        <f>IFERROR(IF(INDEX(SPOT_Import!$A$1:$Z$2488,2480,'Live Data'!$C$15)="","",INDEX(SPOT_Import!$A$1:$Z$2488,2480,'Live Data'!$C$15)),"")</f>
        <v/>
      </c>
      <c r="E2480" s="54" t="str">
        <f>IFERROR(IF(INDEX(SPOT_Import!$A$1:$Z$2488,2480,'Live Data'!$C$16)="","",INDEX(SPOT_Import!$A$1:$Z$2488,2480,'Live Data'!$C$16)),"")</f>
        <v/>
      </c>
      <c r="F2480" s="54" t="str">
        <f>IFERROR(IF(INDEX(SPOT_Import!$A$1:$Z$2488,2480,'Live Data'!$C$17)="","",INDEX(SPOT_Import!$A$1:$Z$2488,2480,'Live Data'!$C$17)),"")</f>
        <v/>
      </c>
      <c r="G2480" s="54" t="str">
        <f>IFERROR(IF(INDEX(SPOT_Import!$A$1:$Z$2488,2480,'Live Data'!$C$18)="","",INDEX(SPOT_Import!$A$1:$Z$2488,2480,'Live Data'!$C$18)),"")</f>
        <v/>
      </c>
      <c r="H2480" s="54" t="str">
        <f>IFERROR(IF(INDEX(SPOT_Import!$A$1:$Z$2488,2480,'Live Data'!$C$19)="","",INDEX(SPOT_Import!$A$1:$Z$2488,2480,'Live Data'!$C$19)),"")</f>
        <v/>
      </c>
      <c r="I2480" s="54" t="str">
        <f>IFERROR(IF(INDEX(SPOT_Import!$A$1:$Z$2488,2480,'Live Data'!$C$20)="","",INDEX(SPOT_Import!$A$1:$Z$2488,2480,'Live Data'!$C$20)),"")</f>
        <v/>
      </c>
      <c r="J2480" s="54" t="str">
        <f>IFERROR(IF(INDEX(SPOT_Import!$A$1:$Z$2488,2480,'Live Data'!$C$21)="","",INDEX(SPOT_Import!$A$1:$Z$2488,2480,'Live Data'!$C$21)),"")</f>
        <v/>
      </c>
      <c r="K2480" s="54" t="str">
        <f>IFERROR(IF(INDEX(SPOT_Import!$A$1:$Z$2488,2480,'Live Data'!$C$22)="","",INDEX(SPOT_Import!$A$1:$Z$2488,2480,'Live Data'!$C$22)),"")</f>
        <v/>
      </c>
      <c r="L2480" s="55" t="str">
        <f t="shared" si="76"/>
        <v/>
      </c>
      <c r="M2480" s="55" t="str">
        <f t="shared" si="77"/>
        <v/>
      </c>
      <c r="N2480" s="55" t="str">
        <f>IF(A2480="","",IFERROR(INDEX('Cluster Map'!$A$4:$A$38,MATCH(M2480,'Cluster Map'!$B$4:$B$38,0)),"Unmapped"))</f>
        <v/>
      </c>
      <c r="O2480" s="55">
        <f>IF(A2480="",0,IF(COUNTIFS($A$2:A2480,A2480,$F$2:F2480,F2480,$L$2:L2480,L2480)=1,1,0))</f>
        <v>0</v>
      </c>
      <c r="P2480" s="55">
        <f>IF(A2480="",0,IF(AND(F2480="C&amp;T",COUNTIFS($A$2:A2480,A2480,$F$2:F2480,"C&amp;T")=1),1,0))</f>
        <v>0</v>
      </c>
    </row>
    <row r="2481" spans="1:16" x14ac:dyDescent="0.35">
      <c r="A2481" s="54" t="str">
        <f>IFERROR(IF(INDEX(SPOT_Import!$A$1:$Z$2488,2481,'Live Data'!$C$12)="","",INDEX(SPOT_Import!$A$1:$Z$2488,2481,'Live Data'!$C$12)),"")</f>
        <v/>
      </c>
      <c r="B2481" s="54" t="str">
        <f>IFERROR(IF(INDEX(SPOT_Import!$A$1:$Z$2488,2481,'Live Data'!$C$13)="","",INDEX(SPOT_Import!$A$1:$Z$2488,2481,'Live Data'!$C$13)),"")</f>
        <v/>
      </c>
      <c r="C2481" s="54" t="str">
        <f>IFERROR(IF(INDEX(SPOT_Import!$A$1:$Z$2488,2481,'Live Data'!$C$14)="","",INDEX(SPOT_Import!$A$1:$Z$2488,2481,'Live Data'!$C$14)),"")</f>
        <v/>
      </c>
      <c r="D2481" s="54" t="str">
        <f>IFERROR(IF(INDEX(SPOT_Import!$A$1:$Z$2488,2481,'Live Data'!$C$15)="","",INDEX(SPOT_Import!$A$1:$Z$2488,2481,'Live Data'!$C$15)),"")</f>
        <v/>
      </c>
      <c r="E2481" s="54" t="str">
        <f>IFERROR(IF(INDEX(SPOT_Import!$A$1:$Z$2488,2481,'Live Data'!$C$16)="","",INDEX(SPOT_Import!$A$1:$Z$2488,2481,'Live Data'!$C$16)),"")</f>
        <v/>
      </c>
      <c r="F2481" s="54" t="str">
        <f>IFERROR(IF(INDEX(SPOT_Import!$A$1:$Z$2488,2481,'Live Data'!$C$17)="","",INDEX(SPOT_Import!$A$1:$Z$2488,2481,'Live Data'!$C$17)),"")</f>
        <v/>
      </c>
      <c r="G2481" s="54" t="str">
        <f>IFERROR(IF(INDEX(SPOT_Import!$A$1:$Z$2488,2481,'Live Data'!$C$18)="","",INDEX(SPOT_Import!$A$1:$Z$2488,2481,'Live Data'!$C$18)),"")</f>
        <v/>
      </c>
      <c r="H2481" s="54" t="str">
        <f>IFERROR(IF(INDEX(SPOT_Import!$A$1:$Z$2488,2481,'Live Data'!$C$19)="","",INDEX(SPOT_Import!$A$1:$Z$2488,2481,'Live Data'!$C$19)),"")</f>
        <v/>
      </c>
      <c r="I2481" s="54" t="str">
        <f>IFERROR(IF(INDEX(SPOT_Import!$A$1:$Z$2488,2481,'Live Data'!$C$20)="","",INDEX(SPOT_Import!$A$1:$Z$2488,2481,'Live Data'!$C$20)),"")</f>
        <v/>
      </c>
      <c r="J2481" s="54" t="str">
        <f>IFERROR(IF(INDEX(SPOT_Import!$A$1:$Z$2488,2481,'Live Data'!$C$21)="","",INDEX(SPOT_Import!$A$1:$Z$2488,2481,'Live Data'!$C$21)),"")</f>
        <v/>
      </c>
      <c r="K2481" s="54" t="str">
        <f>IFERROR(IF(INDEX(SPOT_Import!$A$1:$Z$2488,2481,'Live Data'!$C$22)="","",INDEX(SPOT_Import!$A$1:$Z$2488,2481,'Live Data'!$C$22)),"")</f>
        <v/>
      </c>
      <c r="L2481" s="55" t="str">
        <f t="shared" si="76"/>
        <v/>
      </c>
      <c r="M2481" s="55" t="str">
        <f t="shared" si="77"/>
        <v/>
      </c>
      <c r="N2481" s="55" t="str">
        <f>IF(A2481="","",IFERROR(INDEX('Cluster Map'!$A$4:$A$38,MATCH(M2481,'Cluster Map'!$B$4:$B$38,0)),"Unmapped"))</f>
        <v/>
      </c>
      <c r="O2481" s="55">
        <f>IF(A2481="",0,IF(COUNTIFS($A$2:A2481,A2481,$F$2:F2481,F2481,$L$2:L2481,L2481)=1,1,0))</f>
        <v>0</v>
      </c>
      <c r="P2481" s="55">
        <f>IF(A2481="",0,IF(AND(F2481="C&amp;T",COUNTIFS($A$2:A2481,A2481,$F$2:F2481,"C&amp;T")=1),1,0))</f>
        <v>0</v>
      </c>
    </row>
    <row r="2482" spans="1:16" x14ac:dyDescent="0.35">
      <c r="A2482" s="54" t="str">
        <f>IFERROR(IF(INDEX(SPOT_Import!$A$1:$Z$2488,2482,'Live Data'!$C$12)="","",INDEX(SPOT_Import!$A$1:$Z$2488,2482,'Live Data'!$C$12)),"")</f>
        <v/>
      </c>
      <c r="B2482" s="54" t="str">
        <f>IFERROR(IF(INDEX(SPOT_Import!$A$1:$Z$2488,2482,'Live Data'!$C$13)="","",INDEX(SPOT_Import!$A$1:$Z$2488,2482,'Live Data'!$C$13)),"")</f>
        <v/>
      </c>
      <c r="C2482" s="54" t="str">
        <f>IFERROR(IF(INDEX(SPOT_Import!$A$1:$Z$2488,2482,'Live Data'!$C$14)="","",INDEX(SPOT_Import!$A$1:$Z$2488,2482,'Live Data'!$C$14)),"")</f>
        <v/>
      </c>
      <c r="D2482" s="54" t="str">
        <f>IFERROR(IF(INDEX(SPOT_Import!$A$1:$Z$2488,2482,'Live Data'!$C$15)="","",INDEX(SPOT_Import!$A$1:$Z$2488,2482,'Live Data'!$C$15)),"")</f>
        <v/>
      </c>
      <c r="E2482" s="54" t="str">
        <f>IFERROR(IF(INDEX(SPOT_Import!$A$1:$Z$2488,2482,'Live Data'!$C$16)="","",INDEX(SPOT_Import!$A$1:$Z$2488,2482,'Live Data'!$C$16)),"")</f>
        <v/>
      </c>
      <c r="F2482" s="54" t="str">
        <f>IFERROR(IF(INDEX(SPOT_Import!$A$1:$Z$2488,2482,'Live Data'!$C$17)="","",INDEX(SPOT_Import!$A$1:$Z$2488,2482,'Live Data'!$C$17)),"")</f>
        <v/>
      </c>
      <c r="G2482" s="54" t="str">
        <f>IFERROR(IF(INDEX(SPOT_Import!$A$1:$Z$2488,2482,'Live Data'!$C$18)="","",INDEX(SPOT_Import!$A$1:$Z$2488,2482,'Live Data'!$C$18)),"")</f>
        <v/>
      </c>
      <c r="H2482" s="54" t="str">
        <f>IFERROR(IF(INDEX(SPOT_Import!$A$1:$Z$2488,2482,'Live Data'!$C$19)="","",INDEX(SPOT_Import!$A$1:$Z$2488,2482,'Live Data'!$C$19)),"")</f>
        <v/>
      </c>
      <c r="I2482" s="54" t="str">
        <f>IFERROR(IF(INDEX(SPOT_Import!$A$1:$Z$2488,2482,'Live Data'!$C$20)="","",INDEX(SPOT_Import!$A$1:$Z$2488,2482,'Live Data'!$C$20)),"")</f>
        <v/>
      </c>
      <c r="J2482" s="54" t="str">
        <f>IFERROR(IF(INDEX(SPOT_Import!$A$1:$Z$2488,2482,'Live Data'!$C$21)="","",INDEX(SPOT_Import!$A$1:$Z$2488,2482,'Live Data'!$C$21)),"")</f>
        <v/>
      </c>
      <c r="K2482" s="54" t="str">
        <f>IFERROR(IF(INDEX(SPOT_Import!$A$1:$Z$2488,2482,'Live Data'!$C$22)="","",INDEX(SPOT_Import!$A$1:$Z$2488,2482,'Live Data'!$C$22)),"")</f>
        <v/>
      </c>
      <c r="L2482" s="55" t="str">
        <f t="shared" si="76"/>
        <v/>
      </c>
      <c r="M2482" s="55" t="str">
        <f t="shared" si="77"/>
        <v/>
      </c>
      <c r="N2482" s="55" t="str">
        <f>IF(A2482="","",IFERROR(INDEX('Cluster Map'!$A$4:$A$38,MATCH(M2482,'Cluster Map'!$B$4:$B$38,0)),"Unmapped"))</f>
        <v/>
      </c>
      <c r="O2482" s="55">
        <f>IF(A2482="",0,IF(COUNTIFS($A$2:A2482,A2482,$F$2:F2482,F2482,$L$2:L2482,L2482)=1,1,0))</f>
        <v>0</v>
      </c>
      <c r="P2482" s="55">
        <f>IF(A2482="",0,IF(AND(F2482="C&amp;T",COUNTIFS($A$2:A2482,A2482,$F$2:F2482,"C&amp;T")=1),1,0))</f>
        <v>0</v>
      </c>
    </row>
    <row r="2483" spans="1:16" x14ac:dyDescent="0.35">
      <c r="A2483" s="54" t="str">
        <f>IFERROR(IF(INDEX(SPOT_Import!$A$1:$Z$2488,2483,'Live Data'!$C$12)="","",INDEX(SPOT_Import!$A$1:$Z$2488,2483,'Live Data'!$C$12)),"")</f>
        <v/>
      </c>
      <c r="B2483" s="54" t="str">
        <f>IFERROR(IF(INDEX(SPOT_Import!$A$1:$Z$2488,2483,'Live Data'!$C$13)="","",INDEX(SPOT_Import!$A$1:$Z$2488,2483,'Live Data'!$C$13)),"")</f>
        <v/>
      </c>
      <c r="C2483" s="54" t="str">
        <f>IFERROR(IF(INDEX(SPOT_Import!$A$1:$Z$2488,2483,'Live Data'!$C$14)="","",INDEX(SPOT_Import!$A$1:$Z$2488,2483,'Live Data'!$C$14)),"")</f>
        <v/>
      </c>
      <c r="D2483" s="54" t="str">
        <f>IFERROR(IF(INDEX(SPOT_Import!$A$1:$Z$2488,2483,'Live Data'!$C$15)="","",INDEX(SPOT_Import!$A$1:$Z$2488,2483,'Live Data'!$C$15)),"")</f>
        <v/>
      </c>
      <c r="E2483" s="54" t="str">
        <f>IFERROR(IF(INDEX(SPOT_Import!$A$1:$Z$2488,2483,'Live Data'!$C$16)="","",INDEX(SPOT_Import!$A$1:$Z$2488,2483,'Live Data'!$C$16)),"")</f>
        <v/>
      </c>
      <c r="F2483" s="54" t="str">
        <f>IFERROR(IF(INDEX(SPOT_Import!$A$1:$Z$2488,2483,'Live Data'!$C$17)="","",INDEX(SPOT_Import!$A$1:$Z$2488,2483,'Live Data'!$C$17)),"")</f>
        <v/>
      </c>
      <c r="G2483" s="54" t="str">
        <f>IFERROR(IF(INDEX(SPOT_Import!$A$1:$Z$2488,2483,'Live Data'!$C$18)="","",INDEX(SPOT_Import!$A$1:$Z$2488,2483,'Live Data'!$C$18)),"")</f>
        <v/>
      </c>
      <c r="H2483" s="54" t="str">
        <f>IFERROR(IF(INDEX(SPOT_Import!$A$1:$Z$2488,2483,'Live Data'!$C$19)="","",INDEX(SPOT_Import!$A$1:$Z$2488,2483,'Live Data'!$C$19)),"")</f>
        <v/>
      </c>
      <c r="I2483" s="54" t="str">
        <f>IFERROR(IF(INDEX(SPOT_Import!$A$1:$Z$2488,2483,'Live Data'!$C$20)="","",INDEX(SPOT_Import!$A$1:$Z$2488,2483,'Live Data'!$C$20)),"")</f>
        <v/>
      </c>
      <c r="J2483" s="54" t="str">
        <f>IFERROR(IF(INDEX(SPOT_Import!$A$1:$Z$2488,2483,'Live Data'!$C$21)="","",INDEX(SPOT_Import!$A$1:$Z$2488,2483,'Live Data'!$C$21)),"")</f>
        <v/>
      </c>
      <c r="K2483" s="54" t="str">
        <f>IFERROR(IF(INDEX(SPOT_Import!$A$1:$Z$2488,2483,'Live Data'!$C$22)="","",INDEX(SPOT_Import!$A$1:$Z$2488,2483,'Live Data'!$C$22)),"")</f>
        <v/>
      </c>
      <c r="L2483" s="55" t="str">
        <f t="shared" si="76"/>
        <v/>
      </c>
      <c r="M2483" s="55" t="str">
        <f t="shared" si="77"/>
        <v/>
      </c>
      <c r="N2483" s="55" t="str">
        <f>IF(A2483="","",IFERROR(INDEX('Cluster Map'!$A$4:$A$38,MATCH(M2483,'Cluster Map'!$B$4:$B$38,0)),"Unmapped"))</f>
        <v/>
      </c>
      <c r="O2483" s="55">
        <f>IF(A2483="",0,IF(COUNTIFS($A$2:A2483,A2483,$F$2:F2483,F2483,$L$2:L2483,L2483)=1,1,0))</f>
        <v>0</v>
      </c>
      <c r="P2483" s="55">
        <f>IF(A2483="",0,IF(AND(F2483="C&amp;T",COUNTIFS($A$2:A2483,A2483,$F$2:F2483,"C&amp;T")=1),1,0))</f>
        <v>0</v>
      </c>
    </row>
    <row r="2484" spans="1:16" x14ac:dyDescent="0.35">
      <c r="A2484" s="54" t="str">
        <f>IFERROR(IF(INDEX(SPOT_Import!$A$1:$Z$2488,2484,'Live Data'!$C$12)="","",INDEX(SPOT_Import!$A$1:$Z$2488,2484,'Live Data'!$C$12)),"")</f>
        <v/>
      </c>
      <c r="B2484" s="54" t="str">
        <f>IFERROR(IF(INDEX(SPOT_Import!$A$1:$Z$2488,2484,'Live Data'!$C$13)="","",INDEX(SPOT_Import!$A$1:$Z$2488,2484,'Live Data'!$C$13)),"")</f>
        <v/>
      </c>
      <c r="C2484" s="54" t="str">
        <f>IFERROR(IF(INDEX(SPOT_Import!$A$1:$Z$2488,2484,'Live Data'!$C$14)="","",INDEX(SPOT_Import!$A$1:$Z$2488,2484,'Live Data'!$C$14)),"")</f>
        <v/>
      </c>
      <c r="D2484" s="54" t="str">
        <f>IFERROR(IF(INDEX(SPOT_Import!$A$1:$Z$2488,2484,'Live Data'!$C$15)="","",INDEX(SPOT_Import!$A$1:$Z$2488,2484,'Live Data'!$C$15)),"")</f>
        <v/>
      </c>
      <c r="E2484" s="54" t="str">
        <f>IFERROR(IF(INDEX(SPOT_Import!$A$1:$Z$2488,2484,'Live Data'!$C$16)="","",INDEX(SPOT_Import!$A$1:$Z$2488,2484,'Live Data'!$C$16)),"")</f>
        <v/>
      </c>
      <c r="F2484" s="54" t="str">
        <f>IFERROR(IF(INDEX(SPOT_Import!$A$1:$Z$2488,2484,'Live Data'!$C$17)="","",INDEX(SPOT_Import!$A$1:$Z$2488,2484,'Live Data'!$C$17)),"")</f>
        <v/>
      </c>
      <c r="G2484" s="54" t="str">
        <f>IFERROR(IF(INDEX(SPOT_Import!$A$1:$Z$2488,2484,'Live Data'!$C$18)="","",INDEX(SPOT_Import!$A$1:$Z$2488,2484,'Live Data'!$C$18)),"")</f>
        <v/>
      </c>
      <c r="H2484" s="54" t="str">
        <f>IFERROR(IF(INDEX(SPOT_Import!$A$1:$Z$2488,2484,'Live Data'!$C$19)="","",INDEX(SPOT_Import!$A$1:$Z$2488,2484,'Live Data'!$C$19)),"")</f>
        <v/>
      </c>
      <c r="I2484" s="54" t="str">
        <f>IFERROR(IF(INDEX(SPOT_Import!$A$1:$Z$2488,2484,'Live Data'!$C$20)="","",INDEX(SPOT_Import!$A$1:$Z$2488,2484,'Live Data'!$C$20)),"")</f>
        <v/>
      </c>
      <c r="J2484" s="54" t="str">
        <f>IFERROR(IF(INDEX(SPOT_Import!$A$1:$Z$2488,2484,'Live Data'!$C$21)="","",INDEX(SPOT_Import!$A$1:$Z$2488,2484,'Live Data'!$C$21)),"")</f>
        <v/>
      </c>
      <c r="K2484" s="54" t="str">
        <f>IFERROR(IF(INDEX(SPOT_Import!$A$1:$Z$2488,2484,'Live Data'!$C$22)="","",INDEX(SPOT_Import!$A$1:$Z$2488,2484,'Live Data'!$C$22)),"")</f>
        <v/>
      </c>
      <c r="L2484" s="55" t="str">
        <f t="shared" si="76"/>
        <v/>
      </c>
      <c r="M2484" s="55" t="str">
        <f t="shared" si="77"/>
        <v/>
      </c>
      <c r="N2484" s="55" t="str">
        <f>IF(A2484="","",IFERROR(INDEX('Cluster Map'!$A$4:$A$38,MATCH(M2484,'Cluster Map'!$B$4:$B$38,0)),"Unmapped"))</f>
        <v/>
      </c>
      <c r="O2484" s="55">
        <f>IF(A2484="",0,IF(COUNTIFS($A$2:A2484,A2484,$F$2:F2484,F2484,$L$2:L2484,L2484)=1,1,0))</f>
        <v>0</v>
      </c>
      <c r="P2484" s="55">
        <f>IF(A2484="",0,IF(AND(F2484="C&amp;T",COUNTIFS($A$2:A2484,A2484,$F$2:F2484,"C&amp;T")=1),1,0))</f>
        <v>0</v>
      </c>
    </row>
    <row r="2485" spans="1:16" x14ac:dyDescent="0.35">
      <c r="A2485" s="54" t="str">
        <f>IFERROR(IF(INDEX(SPOT_Import!$A$1:$Z$2488,2485,'Live Data'!$C$12)="","",INDEX(SPOT_Import!$A$1:$Z$2488,2485,'Live Data'!$C$12)),"")</f>
        <v/>
      </c>
      <c r="B2485" s="54" t="str">
        <f>IFERROR(IF(INDEX(SPOT_Import!$A$1:$Z$2488,2485,'Live Data'!$C$13)="","",INDEX(SPOT_Import!$A$1:$Z$2488,2485,'Live Data'!$C$13)),"")</f>
        <v/>
      </c>
      <c r="C2485" s="54" t="str">
        <f>IFERROR(IF(INDEX(SPOT_Import!$A$1:$Z$2488,2485,'Live Data'!$C$14)="","",INDEX(SPOT_Import!$A$1:$Z$2488,2485,'Live Data'!$C$14)),"")</f>
        <v/>
      </c>
      <c r="D2485" s="54" t="str">
        <f>IFERROR(IF(INDEX(SPOT_Import!$A$1:$Z$2488,2485,'Live Data'!$C$15)="","",INDEX(SPOT_Import!$A$1:$Z$2488,2485,'Live Data'!$C$15)),"")</f>
        <v/>
      </c>
      <c r="E2485" s="54" t="str">
        <f>IFERROR(IF(INDEX(SPOT_Import!$A$1:$Z$2488,2485,'Live Data'!$C$16)="","",INDEX(SPOT_Import!$A$1:$Z$2488,2485,'Live Data'!$C$16)),"")</f>
        <v/>
      </c>
      <c r="F2485" s="54" t="str">
        <f>IFERROR(IF(INDEX(SPOT_Import!$A$1:$Z$2488,2485,'Live Data'!$C$17)="","",INDEX(SPOT_Import!$A$1:$Z$2488,2485,'Live Data'!$C$17)),"")</f>
        <v/>
      </c>
      <c r="G2485" s="54" t="str">
        <f>IFERROR(IF(INDEX(SPOT_Import!$A$1:$Z$2488,2485,'Live Data'!$C$18)="","",INDEX(SPOT_Import!$A$1:$Z$2488,2485,'Live Data'!$C$18)),"")</f>
        <v/>
      </c>
      <c r="H2485" s="54" t="str">
        <f>IFERROR(IF(INDEX(SPOT_Import!$A$1:$Z$2488,2485,'Live Data'!$C$19)="","",INDEX(SPOT_Import!$A$1:$Z$2488,2485,'Live Data'!$C$19)),"")</f>
        <v/>
      </c>
      <c r="I2485" s="54" t="str">
        <f>IFERROR(IF(INDEX(SPOT_Import!$A$1:$Z$2488,2485,'Live Data'!$C$20)="","",INDEX(SPOT_Import!$A$1:$Z$2488,2485,'Live Data'!$C$20)),"")</f>
        <v/>
      </c>
      <c r="J2485" s="54" t="str">
        <f>IFERROR(IF(INDEX(SPOT_Import!$A$1:$Z$2488,2485,'Live Data'!$C$21)="","",INDEX(SPOT_Import!$A$1:$Z$2488,2485,'Live Data'!$C$21)),"")</f>
        <v/>
      </c>
      <c r="K2485" s="54" t="str">
        <f>IFERROR(IF(INDEX(SPOT_Import!$A$1:$Z$2488,2485,'Live Data'!$C$22)="","",INDEX(SPOT_Import!$A$1:$Z$2488,2485,'Live Data'!$C$22)),"")</f>
        <v/>
      </c>
      <c r="L2485" s="55" t="str">
        <f t="shared" si="76"/>
        <v/>
      </c>
      <c r="M2485" s="55" t="str">
        <f t="shared" si="77"/>
        <v/>
      </c>
      <c r="N2485" s="55" t="str">
        <f>IF(A2485="","",IFERROR(INDEX('Cluster Map'!$A$4:$A$38,MATCH(M2485,'Cluster Map'!$B$4:$B$38,0)),"Unmapped"))</f>
        <v/>
      </c>
      <c r="O2485" s="55">
        <f>IF(A2485="",0,IF(COUNTIFS($A$2:A2485,A2485,$F$2:F2485,F2485,$L$2:L2485,L2485)=1,1,0))</f>
        <v>0</v>
      </c>
      <c r="P2485" s="55">
        <f>IF(A2485="",0,IF(AND(F2485="C&amp;T",COUNTIFS($A$2:A2485,A2485,$F$2:F2485,"C&amp;T")=1),1,0))</f>
        <v>0</v>
      </c>
    </row>
    <row r="2486" spans="1:16" x14ac:dyDescent="0.35">
      <c r="A2486" s="54" t="str">
        <f>IFERROR(IF(INDEX(SPOT_Import!$A$1:$Z$2488,2486,'Live Data'!$C$12)="","",INDEX(SPOT_Import!$A$1:$Z$2488,2486,'Live Data'!$C$12)),"")</f>
        <v/>
      </c>
      <c r="B2486" s="54" t="str">
        <f>IFERROR(IF(INDEX(SPOT_Import!$A$1:$Z$2488,2486,'Live Data'!$C$13)="","",INDEX(SPOT_Import!$A$1:$Z$2488,2486,'Live Data'!$C$13)),"")</f>
        <v/>
      </c>
      <c r="C2486" s="54" t="str">
        <f>IFERROR(IF(INDEX(SPOT_Import!$A$1:$Z$2488,2486,'Live Data'!$C$14)="","",INDEX(SPOT_Import!$A$1:$Z$2488,2486,'Live Data'!$C$14)),"")</f>
        <v/>
      </c>
      <c r="D2486" s="54" t="str">
        <f>IFERROR(IF(INDEX(SPOT_Import!$A$1:$Z$2488,2486,'Live Data'!$C$15)="","",INDEX(SPOT_Import!$A$1:$Z$2488,2486,'Live Data'!$C$15)),"")</f>
        <v/>
      </c>
      <c r="E2486" s="54" t="str">
        <f>IFERROR(IF(INDEX(SPOT_Import!$A$1:$Z$2488,2486,'Live Data'!$C$16)="","",INDEX(SPOT_Import!$A$1:$Z$2488,2486,'Live Data'!$C$16)),"")</f>
        <v/>
      </c>
      <c r="F2486" s="54" t="str">
        <f>IFERROR(IF(INDEX(SPOT_Import!$A$1:$Z$2488,2486,'Live Data'!$C$17)="","",INDEX(SPOT_Import!$A$1:$Z$2488,2486,'Live Data'!$C$17)),"")</f>
        <v/>
      </c>
      <c r="G2486" s="54" t="str">
        <f>IFERROR(IF(INDEX(SPOT_Import!$A$1:$Z$2488,2486,'Live Data'!$C$18)="","",INDEX(SPOT_Import!$A$1:$Z$2488,2486,'Live Data'!$C$18)),"")</f>
        <v/>
      </c>
      <c r="H2486" s="54" t="str">
        <f>IFERROR(IF(INDEX(SPOT_Import!$A$1:$Z$2488,2486,'Live Data'!$C$19)="","",INDEX(SPOT_Import!$A$1:$Z$2488,2486,'Live Data'!$C$19)),"")</f>
        <v/>
      </c>
      <c r="I2486" s="54" t="str">
        <f>IFERROR(IF(INDEX(SPOT_Import!$A$1:$Z$2488,2486,'Live Data'!$C$20)="","",INDEX(SPOT_Import!$A$1:$Z$2488,2486,'Live Data'!$C$20)),"")</f>
        <v/>
      </c>
      <c r="J2486" s="54" t="str">
        <f>IFERROR(IF(INDEX(SPOT_Import!$A$1:$Z$2488,2486,'Live Data'!$C$21)="","",INDEX(SPOT_Import!$A$1:$Z$2488,2486,'Live Data'!$C$21)),"")</f>
        <v/>
      </c>
      <c r="K2486" s="54" t="str">
        <f>IFERROR(IF(INDEX(SPOT_Import!$A$1:$Z$2488,2486,'Live Data'!$C$22)="","",INDEX(SPOT_Import!$A$1:$Z$2488,2486,'Live Data'!$C$22)),"")</f>
        <v/>
      </c>
      <c r="L2486" s="55" t="str">
        <f t="shared" si="76"/>
        <v/>
      </c>
      <c r="M2486" s="55" t="str">
        <f t="shared" si="77"/>
        <v/>
      </c>
      <c r="N2486" s="55" t="str">
        <f>IF(A2486="","",IFERROR(INDEX('Cluster Map'!$A$4:$A$38,MATCH(M2486,'Cluster Map'!$B$4:$B$38,0)),"Unmapped"))</f>
        <v/>
      </c>
      <c r="O2486" s="55">
        <f>IF(A2486="",0,IF(COUNTIFS($A$2:A2486,A2486,$F$2:F2486,F2486,$L$2:L2486,L2486)=1,1,0))</f>
        <v>0</v>
      </c>
      <c r="P2486" s="55">
        <f>IF(A2486="",0,IF(AND(F2486="C&amp;T",COUNTIFS($A$2:A2486,A2486,$F$2:F2486,"C&amp;T")=1),1,0))</f>
        <v>0</v>
      </c>
    </row>
    <row r="2487" spans="1:16" x14ac:dyDescent="0.35">
      <c r="A2487" s="54" t="str">
        <f>IFERROR(IF(INDEX(SPOT_Import!$A$1:$Z$2488,2487,'Live Data'!$C$12)="","",INDEX(SPOT_Import!$A$1:$Z$2488,2487,'Live Data'!$C$12)),"")</f>
        <v/>
      </c>
      <c r="B2487" s="54" t="str">
        <f>IFERROR(IF(INDEX(SPOT_Import!$A$1:$Z$2488,2487,'Live Data'!$C$13)="","",INDEX(SPOT_Import!$A$1:$Z$2488,2487,'Live Data'!$C$13)),"")</f>
        <v/>
      </c>
      <c r="C2487" s="54" t="str">
        <f>IFERROR(IF(INDEX(SPOT_Import!$A$1:$Z$2488,2487,'Live Data'!$C$14)="","",INDEX(SPOT_Import!$A$1:$Z$2488,2487,'Live Data'!$C$14)),"")</f>
        <v/>
      </c>
      <c r="D2487" s="54" t="str">
        <f>IFERROR(IF(INDEX(SPOT_Import!$A$1:$Z$2488,2487,'Live Data'!$C$15)="","",INDEX(SPOT_Import!$A$1:$Z$2488,2487,'Live Data'!$C$15)),"")</f>
        <v/>
      </c>
      <c r="E2487" s="54" t="str">
        <f>IFERROR(IF(INDEX(SPOT_Import!$A$1:$Z$2488,2487,'Live Data'!$C$16)="","",INDEX(SPOT_Import!$A$1:$Z$2488,2487,'Live Data'!$C$16)),"")</f>
        <v/>
      </c>
      <c r="F2487" s="54" t="str">
        <f>IFERROR(IF(INDEX(SPOT_Import!$A$1:$Z$2488,2487,'Live Data'!$C$17)="","",INDEX(SPOT_Import!$A$1:$Z$2488,2487,'Live Data'!$C$17)),"")</f>
        <v/>
      </c>
      <c r="G2487" s="54" t="str">
        <f>IFERROR(IF(INDEX(SPOT_Import!$A$1:$Z$2488,2487,'Live Data'!$C$18)="","",INDEX(SPOT_Import!$A$1:$Z$2488,2487,'Live Data'!$C$18)),"")</f>
        <v/>
      </c>
      <c r="H2487" s="54" t="str">
        <f>IFERROR(IF(INDEX(SPOT_Import!$A$1:$Z$2488,2487,'Live Data'!$C$19)="","",INDEX(SPOT_Import!$A$1:$Z$2488,2487,'Live Data'!$C$19)),"")</f>
        <v/>
      </c>
      <c r="I2487" s="54" t="str">
        <f>IFERROR(IF(INDEX(SPOT_Import!$A$1:$Z$2488,2487,'Live Data'!$C$20)="","",INDEX(SPOT_Import!$A$1:$Z$2488,2487,'Live Data'!$C$20)),"")</f>
        <v/>
      </c>
      <c r="J2487" s="54" t="str">
        <f>IFERROR(IF(INDEX(SPOT_Import!$A$1:$Z$2488,2487,'Live Data'!$C$21)="","",INDEX(SPOT_Import!$A$1:$Z$2488,2487,'Live Data'!$C$21)),"")</f>
        <v/>
      </c>
      <c r="K2487" s="54" t="str">
        <f>IFERROR(IF(INDEX(SPOT_Import!$A$1:$Z$2488,2487,'Live Data'!$C$22)="","",INDEX(SPOT_Import!$A$1:$Z$2488,2487,'Live Data'!$C$22)),"")</f>
        <v/>
      </c>
      <c r="L2487" s="55" t="str">
        <f t="shared" si="76"/>
        <v/>
      </c>
      <c r="M2487" s="55" t="str">
        <f t="shared" si="77"/>
        <v/>
      </c>
      <c r="N2487" s="55" t="str">
        <f>IF(A2487="","",IFERROR(INDEX('Cluster Map'!$A$4:$A$38,MATCH(M2487,'Cluster Map'!$B$4:$B$38,0)),"Unmapped"))</f>
        <v/>
      </c>
      <c r="O2487" s="55">
        <f>IF(A2487="",0,IF(COUNTIFS($A$2:A2487,A2487,$F$2:F2487,F2487,$L$2:L2487,L2487)=1,1,0))</f>
        <v>0</v>
      </c>
      <c r="P2487" s="55">
        <f>IF(A2487="",0,IF(AND(F2487="C&amp;T",COUNTIFS($A$2:A2487,A2487,$F$2:F2487,"C&amp;T")=1),1,0))</f>
        <v>0</v>
      </c>
    </row>
    <row r="2488" spans="1:16" x14ac:dyDescent="0.35">
      <c r="A2488" s="54" t="str">
        <f>IFERROR(IF(INDEX(SPOT_Import!$A$1:$Z$2488,2488,'Live Data'!$C$12)="","",INDEX(SPOT_Import!$A$1:$Z$2488,2488,'Live Data'!$C$12)),"")</f>
        <v/>
      </c>
      <c r="B2488" s="54" t="str">
        <f>IFERROR(IF(INDEX(SPOT_Import!$A$1:$Z$2488,2488,'Live Data'!$C$13)="","",INDEX(SPOT_Import!$A$1:$Z$2488,2488,'Live Data'!$C$13)),"")</f>
        <v/>
      </c>
      <c r="C2488" s="54" t="str">
        <f>IFERROR(IF(INDEX(SPOT_Import!$A$1:$Z$2488,2488,'Live Data'!$C$14)="","",INDEX(SPOT_Import!$A$1:$Z$2488,2488,'Live Data'!$C$14)),"")</f>
        <v/>
      </c>
      <c r="D2488" s="54" t="str">
        <f>IFERROR(IF(INDEX(SPOT_Import!$A$1:$Z$2488,2488,'Live Data'!$C$15)="","",INDEX(SPOT_Import!$A$1:$Z$2488,2488,'Live Data'!$C$15)),"")</f>
        <v/>
      </c>
      <c r="E2488" s="54" t="str">
        <f>IFERROR(IF(INDEX(SPOT_Import!$A$1:$Z$2488,2488,'Live Data'!$C$16)="","",INDEX(SPOT_Import!$A$1:$Z$2488,2488,'Live Data'!$C$16)),"")</f>
        <v/>
      </c>
      <c r="F2488" s="54" t="str">
        <f>IFERROR(IF(INDEX(SPOT_Import!$A$1:$Z$2488,2488,'Live Data'!$C$17)="","",INDEX(SPOT_Import!$A$1:$Z$2488,2488,'Live Data'!$C$17)),"")</f>
        <v/>
      </c>
      <c r="G2488" s="54" t="str">
        <f>IFERROR(IF(INDEX(SPOT_Import!$A$1:$Z$2488,2488,'Live Data'!$C$18)="","",INDEX(SPOT_Import!$A$1:$Z$2488,2488,'Live Data'!$C$18)),"")</f>
        <v/>
      </c>
      <c r="H2488" s="54" t="str">
        <f>IFERROR(IF(INDEX(SPOT_Import!$A$1:$Z$2488,2488,'Live Data'!$C$19)="","",INDEX(SPOT_Import!$A$1:$Z$2488,2488,'Live Data'!$C$19)),"")</f>
        <v/>
      </c>
      <c r="I2488" s="54" t="str">
        <f>IFERROR(IF(INDEX(SPOT_Import!$A$1:$Z$2488,2488,'Live Data'!$C$20)="","",INDEX(SPOT_Import!$A$1:$Z$2488,2488,'Live Data'!$C$20)),"")</f>
        <v/>
      </c>
      <c r="J2488" s="54" t="str">
        <f>IFERROR(IF(INDEX(SPOT_Import!$A$1:$Z$2488,2488,'Live Data'!$C$21)="","",INDEX(SPOT_Import!$A$1:$Z$2488,2488,'Live Data'!$C$21)),"")</f>
        <v/>
      </c>
      <c r="K2488" s="54" t="str">
        <f>IFERROR(IF(INDEX(SPOT_Import!$A$1:$Z$2488,2488,'Live Data'!$C$22)="","",INDEX(SPOT_Import!$A$1:$Z$2488,2488,'Live Data'!$C$22)),"")</f>
        <v/>
      </c>
      <c r="L2488" s="55" t="str">
        <f t="shared" si="76"/>
        <v/>
      </c>
      <c r="M2488" s="55" t="str">
        <f t="shared" si="77"/>
        <v/>
      </c>
      <c r="N2488" s="55" t="str">
        <f>IF(A2488="","",IFERROR(INDEX('Cluster Map'!$A$4:$A$38,MATCH(M2488,'Cluster Map'!$B$4:$B$38,0)),"Unmapped"))</f>
        <v/>
      </c>
      <c r="O2488" s="55">
        <f>IF(A2488="",0,IF(COUNTIFS($A$2:A2488,A2488,$F$2:F2488,F2488,$L$2:L2488,L2488)=1,1,0))</f>
        <v>0</v>
      </c>
      <c r="P2488" s="55">
        <f>IF(A2488="",0,IF(AND(F2488="C&amp;T",COUNTIFS($A$2:A2488,A2488,$F$2:F2488,"C&amp;T")=1),1,0))</f>
        <v>0</v>
      </c>
    </row>
    <row r="2489" spans="1:16" x14ac:dyDescent="0.35">
      <c r="A2489" s="54" t="str">
        <f>IFERROR(IF(INDEX(SPOT_Import!$A$1:$Z$2488,2489,'Live Data'!$C$12)="","",INDEX(SPOT_Import!$A$1:$Z$2488,2489,'Live Data'!$C$12)),"")</f>
        <v/>
      </c>
      <c r="B2489" s="54" t="str">
        <f>IFERROR(IF(INDEX(SPOT_Import!$A$1:$Z$2488,2489,'Live Data'!$C$13)="","",INDEX(SPOT_Import!$A$1:$Z$2488,2489,'Live Data'!$C$13)),"")</f>
        <v/>
      </c>
      <c r="C2489" s="54" t="str">
        <f>IFERROR(IF(INDEX(SPOT_Import!$A$1:$Z$2488,2489,'Live Data'!$C$14)="","",INDEX(SPOT_Import!$A$1:$Z$2488,2489,'Live Data'!$C$14)),"")</f>
        <v/>
      </c>
      <c r="D2489" s="54" t="str">
        <f>IFERROR(IF(INDEX(SPOT_Import!$A$1:$Z$2488,2489,'Live Data'!$C$15)="","",INDEX(SPOT_Import!$A$1:$Z$2488,2489,'Live Data'!$C$15)),"")</f>
        <v/>
      </c>
      <c r="E2489" s="54" t="str">
        <f>IFERROR(IF(INDEX(SPOT_Import!$A$1:$Z$2488,2489,'Live Data'!$C$16)="","",INDEX(SPOT_Import!$A$1:$Z$2488,2489,'Live Data'!$C$16)),"")</f>
        <v/>
      </c>
      <c r="F2489" s="54" t="str">
        <f>IFERROR(IF(INDEX(SPOT_Import!$A$1:$Z$2488,2489,'Live Data'!$C$17)="","",INDEX(SPOT_Import!$A$1:$Z$2488,2489,'Live Data'!$C$17)),"")</f>
        <v/>
      </c>
      <c r="G2489" s="54" t="str">
        <f>IFERROR(IF(INDEX(SPOT_Import!$A$1:$Z$2488,2489,'Live Data'!$C$18)="","",INDEX(SPOT_Import!$A$1:$Z$2488,2489,'Live Data'!$C$18)),"")</f>
        <v/>
      </c>
      <c r="H2489" s="54" t="str">
        <f>IFERROR(IF(INDEX(SPOT_Import!$A$1:$Z$2488,2489,'Live Data'!$C$19)="","",INDEX(SPOT_Import!$A$1:$Z$2488,2489,'Live Data'!$C$19)),"")</f>
        <v/>
      </c>
      <c r="I2489" s="54" t="str">
        <f>IFERROR(IF(INDEX(SPOT_Import!$A$1:$Z$2488,2489,'Live Data'!$C$20)="","",INDEX(SPOT_Import!$A$1:$Z$2488,2489,'Live Data'!$C$20)),"")</f>
        <v/>
      </c>
      <c r="J2489" s="54" t="str">
        <f>IFERROR(IF(INDEX(SPOT_Import!$A$1:$Z$2488,2489,'Live Data'!$C$21)="","",INDEX(SPOT_Import!$A$1:$Z$2488,2489,'Live Data'!$C$21)),"")</f>
        <v/>
      </c>
      <c r="K2489" s="54" t="str">
        <f>IFERROR(IF(INDEX(SPOT_Import!$A$1:$Z$2488,2489,'Live Data'!$C$22)="","",INDEX(SPOT_Import!$A$1:$Z$2488,2489,'Live Data'!$C$22)),"")</f>
        <v/>
      </c>
      <c r="L2489" s="55" t="str">
        <f t="shared" si="76"/>
        <v/>
      </c>
      <c r="M2489" s="55" t="str">
        <f t="shared" si="77"/>
        <v/>
      </c>
      <c r="N2489" s="55" t="str">
        <f>IF(A2489="","",IFERROR(INDEX('Cluster Map'!$A$4:$A$38,MATCH(M2489,'Cluster Map'!$B$4:$B$38,0)),"Unmapped"))</f>
        <v/>
      </c>
      <c r="O2489" s="55">
        <f>IF(A2489="",0,IF(COUNTIFS($A$2:A2489,A2489,$F$2:F2489,F2489,$L$2:L2489,L2489)=1,1,0))</f>
        <v>0</v>
      </c>
      <c r="P2489" s="55">
        <f>IF(A2489="",0,IF(AND(F2489="C&amp;T",COUNTIFS($A$2:A2489,A2489,$F$2:F2489,"C&amp;T")=1),1,0))</f>
        <v>0</v>
      </c>
    </row>
    <row r="2490" spans="1:16" x14ac:dyDescent="0.35">
      <c r="A2490" s="54" t="str">
        <f>IFERROR(IF(INDEX(SPOT_Import!$A$1:$Z$2488,2490,'Live Data'!$C$12)="","",INDEX(SPOT_Import!$A$1:$Z$2488,2490,'Live Data'!$C$12)),"")</f>
        <v/>
      </c>
      <c r="B2490" s="54" t="str">
        <f>IFERROR(IF(INDEX(SPOT_Import!$A$1:$Z$2488,2490,'Live Data'!$C$13)="","",INDEX(SPOT_Import!$A$1:$Z$2488,2490,'Live Data'!$C$13)),"")</f>
        <v/>
      </c>
      <c r="C2490" s="54" t="str">
        <f>IFERROR(IF(INDEX(SPOT_Import!$A$1:$Z$2488,2490,'Live Data'!$C$14)="","",INDEX(SPOT_Import!$A$1:$Z$2488,2490,'Live Data'!$C$14)),"")</f>
        <v/>
      </c>
      <c r="D2490" s="54" t="str">
        <f>IFERROR(IF(INDEX(SPOT_Import!$A$1:$Z$2488,2490,'Live Data'!$C$15)="","",INDEX(SPOT_Import!$A$1:$Z$2488,2490,'Live Data'!$C$15)),"")</f>
        <v/>
      </c>
      <c r="E2490" s="54" t="str">
        <f>IFERROR(IF(INDEX(SPOT_Import!$A$1:$Z$2488,2490,'Live Data'!$C$16)="","",INDEX(SPOT_Import!$A$1:$Z$2488,2490,'Live Data'!$C$16)),"")</f>
        <v/>
      </c>
      <c r="F2490" s="54" t="str">
        <f>IFERROR(IF(INDEX(SPOT_Import!$A$1:$Z$2488,2490,'Live Data'!$C$17)="","",INDEX(SPOT_Import!$A$1:$Z$2488,2490,'Live Data'!$C$17)),"")</f>
        <v/>
      </c>
      <c r="G2490" s="54" t="str">
        <f>IFERROR(IF(INDEX(SPOT_Import!$A$1:$Z$2488,2490,'Live Data'!$C$18)="","",INDEX(SPOT_Import!$A$1:$Z$2488,2490,'Live Data'!$C$18)),"")</f>
        <v/>
      </c>
      <c r="H2490" s="54" t="str">
        <f>IFERROR(IF(INDEX(SPOT_Import!$A$1:$Z$2488,2490,'Live Data'!$C$19)="","",INDEX(SPOT_Import!$A$1:$Z$2488,2490,'Live Data'!$C$19)),"")</f>
        <v/>
      </c>
      <c r="I2490" s="54" t="str">
        <f>IFERROR(IF(INDEX(SPOT_Import!$A$1:$Z$2488,2490,'Live Data'!$C$20)="","",INDEX(SPOT_Import!$A$1:$Z$2488,2490,'Live Data'!$C$20)),"")</f>
        <v/>
      </c>
      <c r="J2490" s="54" t="str">
        <f>IFERROR(IF(INDEX(SPOT_Import!$A$1:$Z$2488,2490,'Live Data'!$C$21)="","",INDEX(SPOT_Import!$A$1:$Z$2488,2490,'Live Data'!$C$21)),"")</f>
        <v/>
      </c>
      <c r="K2490" s="54" t="str">
        <f>IFERROR(IF(INDEX(SPOT_Import!$A$1:$Z$2488,2490,'Live Data'!$C$22)="","",INDEX(SPOT_Import!$A$1:$Z$2488,2490,'Live Data'!$C$22)),"")</f>
        <v/>
      </c>
      <c r="L2490" s="55" t="str">
        <f t="shared" si="76"/>
        <v/>
      </c>
      <c r="M2490" s="55" t="str">
        <f t="shared" si="77"/>
        <v/>
      </c>
      <c r="N2490" s="55" t="str">
        <f>IF(A2490="","",IFERROR(INDEX('Cluster Map'!$A$4:$A$38,MATCH(M2490,'Cluster Map'!$B$4:$B$38,0)),"Unmapped"))</f>
        <v/>
      </c>
      <c r="O2490" s="55">
        <f>IF(A2490="",0,IF(COUNTIFS($A$2:A2490,A2490,$F$2:F2490,F2490,$L$2:L2490,L2490)=1,1,0))</f>
        <v>0</v>
      </c>
      <c r="P2490" s="55">
        <f>IF(A2490="",0,IF(AND(F2490="C&amp;T",COUNTIFS($A$2:A2490,A2490,$F$2:F2490,"C&amp;T")=1),1,0))</f>
        <v>0</v>
      </c>
    </row>
    <row r="2491" spans="1:16" x14ac:dyDescent="0.35">
      <c r="A2491" s="54" t="str">
        <f>IFERROR(IF(INDEX(SPOT_Import!$A$1:$Z$2488,2491,'Live Data'!$C$12)="","",INDEX(SPOT_Import!$A$1:$Z$2488,2491,'Live Data'!$C$12)),"")</f>
        <v/>
      </c>
      <c r="B2491" s="54" t="str">
        <f>IFERROR(IF(INDEX(SPOT_Import!$A$1:$Z$2488,2491,'Live Data'!$C$13)="","",INDEX(SPOT_Import!$A$1:$Z$2488,2491,'Live Data'!$C$13)),"")</f>
        <v/>
      </c>
      <c r="C2491" s="54" t="str">
        <f>IFERROR(IF(INDEX(SPOT_Import!$A$1:$Z$2488,2491,'Live Data'!$C$14)="","",INDEX(SPOT_Import!$A$1:$Z$2488,2491,'Live Data'!$C$14)),"")</f>
        <v/>
      </c>
      <c r="D2491" s="54" t="str">
        <f>IFERROR(IF(INDEX(SPOT_Import!$A$1:$Z$2488,2491,'Live Data'!$C$15)="","",INDEX(SPOT_Import!$A$1:$Z$2488,2491,'Live Data'!$C$15)),"")</f>
        <v/>
      </c>
      <c r="E2491" s="54" t="str">
        <f>IFERROR(IF(INDEX(SPOT_Import!$A$1:$Z$2488,2491,'Live Data'!$C$16)="","",INDEX(SPOT_Import!$A$1:$Z$2488,2491,'Live Data'!$C$16)),"")</f>
        <v/>
      </c>
      <c r="F2491" s="54" t="str">
        <f>IFERROR(IF(INDEX(SPOT_Import!$A$1:$Z$2488,2491,'Live Data'!$C$17)="","",INDEX(SPOT_Import!$A$1:$Z$2488,2491,'Live Data'!$C$17)),"")</f>
        <v/>
      </c>
      <c r="G2491" s="54" t="str">
        <f>IFERROR(IF(INDEX(SPOT_Import!$A$1:$Z$2488,2491,'Live Data'!$C$18)="","",INDEX(SPOT_Import!$A$1:$Z$2488,2491,'Live Data'!$C$18)),"")</f>
        <v/>
      </c>
      <c r="H2491" s="54" t="str">
        <f>IFERROR(IF(INDEX(SPOT_Import!$A$1:$Z$2488,2491,'Live Data'!$C$19)="","",INDEX(SPOT_Import!$A$1:$Z$2488,2491,'Live Data'!$C$19)),"")</f>
        <v/>
      </c>
      <c r="I2491" s="54" t="str">
        <f>IFERROR(IF(INDEX(SPOT_Import!$A$1:$Z$2488,2491,'Live Data'!$C$20)="","",INDEX(SPOT_Import!$A$1:$Z$2488,2491,'Live Data'!$C$20)),"")</f>
        <v/>
      </c>
      <c r="J2491" s="54" t="str">
        <f>IFERROR(IF(INDEX(SPOT_Import!$A$1:$Z$2488,2491,'Live Data'!$C$21)="","",INDEX(SPOT_Import!$A$1:$Z$2488,2491,'Live Data'!$C$21)),"")</f>
        <v/>
      </c>
      <c r="K2491" s="54" t="str">
        <f>IFERROR(IF(INDEX(SPOT_Import!$A$1:$Z$2488,2491,'Live Data'!$C$22)="","",INDEX(SPOT_Import!$A$1:$Z$2488,2491,'Live Data'!$C$22)),"")</f>
        <v/>
      </c>
      <c r="L2491" s="55" t="str">
        <f t="shared" si="76"/>
        <v/>
      </c>
      <c r="M2491" s="55" t="str">
        <f t="shared" si="77"/>
        <v/>
      </c>
      <c r="N2491" s="55" t="str">
        <f>IF(A2491="","",IFERROR(INDEX('Cluster Map'!$A$4:$A$38,MATCH(M2491,'Cluster Map'!$B$4:$B$38,0)),"Unmapped"))</f>
        <v/>
      </c>
      <c r="O2491" s="55">
        <f>IF(A2491="",0,IF(COUNTIFS($A$2:A2491,A2491,$F$2:F2491,F2491,$L$2:L2491,L2491)=1,1,0))</f>
        <v>0</v>
      </c>
      <c r="P2491" s="55">
        <f>IF(A2491="",0,IF(AND(F2491="C&amp;T",COUNTIFS($A$2:A2491,A2491,$F$2:F2491,"C&amp;T")=1),1,0))</f>
        <v>0</v>
      </c>
    </row>
    <row r="2492" spans="1:16" x14ac:dyDescent="0.35">
      <c r="A2492" s="54" t="str">
        <f>IFERROR(IF(INDEX(SPOT_Import!$A$1:$Z$2488,2492,'Live Data'!$C$12)="","",INDEX(SPOT_Import!$A$1:$Z$2488,2492,'Live Data'!$C$12)),"")</f>
        <v/>
      </c>
      <c r="B2492" s="54" t="str">
        <f>IFERROR(IF(INDEX(SPOT_Import!$A$1:$Z$2488,2492,'Live Data'!$C$13)="","",INDEX(SPOT_Import!$A$1:$Z$2488,2492,'Live Data'!$C$13)),"")</f>
        <v/>
      </c>
      <c r="C2492" s="54" t="str">
        <f>IFERROR(IF(INDEX(SPOT_Import!$A$1:$Z$2488,2492,'Live Data'!$C$14)="","",INDEX(SPOT_Import!$A$1:$Z$2488,2492,'Live Data'!$C$14)),"")</f>
        <v/>
      </c>
      <c r="D2492" s="54" t="str">
        <f>IFERROR(IF(INDEX(SPOT_Import!$A$1:$Z$2488,2492,'Live Data'!$C$15)="","",INDEX(SPOT_Import!$A$1:$Z$2488,2492,'Live Data'!$C$15)),"")</f>
        <v/>
      </c>
      <c r="E2492" s="54" t="str">
        <f>IFERROR(IF(INDEX(SPOT_Import!$A$1:$Z$2488,2492,'Live Data'!$C$16)="","",INDEX(SPOT_Import!$A$1:$Z$2488,2492,'Live Data'!$C$16)),"")</f>
        <v/>
      </c>
      <c r="F2492" s="54" t="str">
        <f>IFERROR(IF(INDEX(SPOT_Import!$A$1:$Z$2488,2492,'Live Data'!$C$17)="","",INDEX(SPOT_Import!$A$1:$Z$2488,2492,'Live Data'!$C$17)),"")</f>
        <v/>
      </c>
      <c r="G2492" s="54" t="str">
        <f>IFERROR(IF(INDEX(SPOT_Import!$A$1:$Z$2488,2492,'Live Data'!$C$18)="","",INDEX(SPOT_Import!$A$1:$Z$2488,2492,'Live Data'!$C$18)),"")</f>
        <v/>
      </c>
      <c r="H2492" s="54" t="str">
        <f>IFERROR(IF(INDEX(SPOT_Import!$A$1:$Z$2488,2492,'Live Data'!$C$19)="","",INDEX(SPOT_Import!$A$1:$Z$2488,2492,'Live Data'!$C$19)),"")</f>
        <v/>
      </c>
      <c r="I2492" s="54" t="str">
        <f>IFERROR(IF(INDEX(SPOT_Import!$A$1:$Z$2488,2492,'Live Data'!$C$20)="","",INDEX(SPOT_Import!$A$1:$Z$2488,2492,'Live Data'!$C$20)),"")</f>
        <v/>
      </c>
      <c r="J2492" s="54" t="str">
        <f>IFERROR(IF(INDEX(SPOT_Import!$A$1:$Z$2488,2492,'Live Data'!$C$21)="","",INDEX(SPOT_Import!$A$1:$Z$2488,2492,'Live Data'!$C$21)),"")</f>
        <v/>
      </c>
      <c r="K2492" s="54" t="str">
        <f>IFERROR(IF(INDEX(SPOT_Import!$A$1:$Z$2488,2492,'Live Data'!$C$22)="","",INDEX(SPOT_Import!$A$1:$Z$2488,2492,'Live Data'!$C$22)),"")</f>
        <v/>
      </c>
      <c r="L2492" s="55" t="str">
        <f t="shared" si="76"/>
        <v/>
      </c>
      <c r="M2492" s="55" t="str">
        <f t="shared" si="77"/>
        <v/>
      </c>
      <c r="N2492" s="55" t="str">
        <f>IF(A2492="","",IFERROR(INDEX('Cluster Map'!$A$4:$A$38,MATCH(M2492,'Cluster Map'!$B$4:$B$38,0)),"Unmapped"))</f>
        <v/>
      </c>
      <c r="O2492" s="55">
        <f>IF(A2492="",0,IF(COUNTIFS($A$2:A2492,A2492,$F$2:F2492,F2492,$L$2:L2492,L2492)=1,1,0))</f>
        <v>0</v>
      </c>
      <c r="P2492" s="55">
        <f>IF(A2492="",0,IF(AND(F2492="C&amp;T",COUNTIFS($A$2:A2492,A2492,$F$2:F2492,"C&amp;T")=1),1,0))</f>
        <v>0</v>
      </c>
    </row>
    <row r="2493" spans="1:16" x14ac:dyDescent="0.35">
      <c r="A2493" s="54" t="str">
        <f>IFERROR(IF(INDEX(SPOT_Import!$A$1:$Z$2488,2493,'Live Data'!$C$12)="","",INDEX(SPOT_Import!$A$1:$Z$2488,2493,'Live Data'!$C$12)),"")</f>
        <v/>
      </c>
      <c r="B2493" s="54" t="str">
        <f>IFERROR(IF(INDEX(SPOT_Import!$A$1:$Z$2488,2493,'Live Data'!$C$13)="","",INDEX(SPOT_Import!$A$1:$Z$2488,2493,'Live Data'!$C$13)),"")</f>
        <v/>
      </c>
      <c r="C2493" s="54" t="str">
        <f>IFERROR(IF(INDEX(SPOT_Import!$A$1:$Z$2488,2493,'Live Data'!$C$14)="","",INDEX(SPOT_Import!$A$1:$Z$2488,2493,'Live Data'!$C$14)),"")</f>
        <v/>
      </c>
      <c r="D2493" s="54" t="str">
        <f>IFERROR(IF(INDEX(SPOT_Import!$A$1:$Z$2488,2493,'Live Data'!$C$15)="","",INDEX(SPOT_Import!$A$1:$Z$2488,2493,'Live Data'!$C$15)),"")</f>
        <v/>
      </c>
      <c r="E2493" s="54" t="str">
        <f>IFERROR(IF(INDEX(SPOT_Import!$A$1:$Z$2488,2493,'Live Data'!$C$16)="","",INDEX(SPOT_Import!$A$1:$Z$2488,2493,'Live Data'!$C$16)),"")</f>
        <v/>
      </c>
      <c r="F2493" s="54" t="str">
        <f>IFERROR(IF(INDEX(SPOT_Import!$A$1:$Z$2488,2493,'Live Data'!$C$17)="","",INDEX(SPOT_Import!$A$1:$Z$2488,2493,'Live Data'!$C$17)),"")</f>
        <v/>
      </c>
      <c r="G2493" s="54" t="str">
        <f>IFERROR(IF(INDEX(SPOT_Import!$A$1:$Z$2488,2493,'Live Data'!$C$18)="","",INDEX(SPOT_Import!$A$1:$Z$2488,2493,'Live Data'!$C$18)),"")</f>
        <v/>
      </c>
      <c r="H2493" s="54" t="str">
        <f>IFERROR(IF(INDEX(SPOT_Import!$A$1:$Z$2488,2493,'Live Data'!$C$19)="","",INDEX(SPOT_Import!$A$1:$Z$2488,2493,'Live Data'!$C$19)),"")</f>
        <v/>
      </c>
      <c r="I2493" s="54" t="str">
        <f>IFERROR(IF(INDEX(SPOT_Import!$A$1:$Z$2488,2493,'Live Data'!$C$20)="","",INDEX(SPOT_Import!$A$1:$Z$2488,2493,'Live Data'!$C$20)),"")</f>
        <v/>
      </c>
      <c r="J2493" s="54" t="str">
        <f>IFERROR(IF(INDEX(SPOT_Import!$A$1:$Z$2488,2493,'Live Data'!$C$21)="","",INDEX(SPOT_Import!$A$1:$Z$2488,2493,'Live Data'!$C$21)),"")</f>
        <v/>
      </c>
      <c r="K2493" s="54" t="str">
        <f>IFERROR(IF(INDEX(SPOT_Import!$A$1:$Z$2488,2493,'Live Data'!$C$22)="","",INDEX(SPOT_Import!$A$1:$Z$2488,2493,'Live Data'!$C$22)),"")</f>
        <v/>
      </c>
      <c r="L2493" s="55" t="str">
        <f t="shared" si="76"/>
        <v/>
      </c>
      <c r="M2493" s="55" t="str">
        <f t="shared" si="77"/>
        <v/>
      </c>
      <c r="N2493" s="55" t="str">
        <f>IF(A2493="","",IFERROR(INDEX('Cluster Map'!$A$4:$A$38,MATCH(M2493,'Cluster Map'!$B$4:$B$38,0)),"Unmapped"))</f>
        <v/>
      </c>
      <c r="O2493" s="55">
        <f>IF(A2493="",0,IF(COUNTIFS($A$2:A2493,A2493,$F$2:F2493,F2493,$L$2:L2493,L2493)=1,1,0))</f>
        <v>0</v>
      </c>
      <c r="P2493" s="55">
        <f>IF(A2493="",0,IF(AND(F2493="C&amp;T",COUNTIFS($A$2:A2493,A2493,$F$2:F2493,"C&amp;T")=1),1,0))</f>
        <v>0</v>
      </c>
    </row>
    <row r="2494" spans="1:16" x14ac:dyDescent="0.35">
      <c r="A2494" s="54" t="str">
        <f>IFERROR(IF(INDEX(SPOT_Import!$A$1:$Z$2488,2494,'Live Data'!$C$12)="","",INDEX(SPOT_Import!$A$1:$Z$2488,2494,'Live Data'!$C$12)),"")</f>
        <v/>
      </c>
      <c r="B2494" s="54" t="str">
        <f>IFERROR(IF(INDEX(SPOT_Import!$A$1:$Z$2488,2494,'Live Data'!$C$13)="","",INDEX(SPOT_Import!$A$1:$Z$2488,2494,'Live Data'!$C$13)),"")</f>
        <v/>
      </c>
      <c r="C2494" s="54" t="str">
        <f>IFERROR(IF(INDEX(SPOT_Import!$A$1:$Z$2488,2494,'Live Data'!$C$14)="","",INDEX(SPOT_Import!$A$1:$Z$2488,2494,'Live Data'!$C$14)),"")</f>
        <v/>
      </c>
      <c r="D2494" s="54" t="str">
        <f>IFERROR(IF(INDEX(SPOT_Import!$A$1:$Z$2488,2494,'Live Data'!$C$15)="","",INDEX(SPOT_Import!$A$1:$Z$2488,2494,'Live Data'!$C$15)),"")</f>
        <v/>
      </c>
      <c r="E2494" s="54" t="str">
        <f>IFERROR(IF(INDEX(SPOT_Import!$A$1:$Z$2488,2494,'Live Data'!$C$16)="","",INDEX(SPOT_Import!$A$1:$Z$2488,2494,'Live Data'!$C$16)),"")</f>
        <v/>
      </c>
      <c r="F2494" s="54" t="str">
        <f>IFERROR(IF(INDEX(SPOT_Import!$A$1:$Z$2488,2494,'Live Data'!$C$17)="","",INDEX(SPOT_Import!$A$1:$Z$2488,2494,'Live Data'!$C$17)),"")</f>
        <v/>
      </c>
      <c r="G2494" s="54" t="str">
        <f>IFERROR(IF(INDEX(SPOT_Import!$A$1:$Z$2488,2494,'Live Data'!$C$18)="","",INDEX(SPOT_Import!$A$1:$Z$2488,2494,'Live Data'!$C$18)),"")</f>
        <v/>
      </c>
      <c r="H2494" s="54" t="str">
        <f>IFERROR(IF(INDEX(SPOT_Import!$A$1:$Z$2488,2494,'Live Data'!$C$19)="","",INDEX(SPOT_Import!$A$1:$Z$2488,2494,'Live Data'!$C$19)),"")</f>
        <v/>
      </c>
      <c r="I2494" s="54" t="str">
        <f>IFERROR(IF(INDEX(SPOT_Import!$A$1:$Z$2488,2494,'Live Data'!$C$20)="","",INDEX(SPOT_Import!$A$1:$Z$2488,2494,'Live Data'!$C$20)),"")</f>
        <v/>
      </c>
      <c r="J2494" s="54" t="str">
        <f>IFERROR(IF(INDEX(SPOT_Import!$A$1:$Z$2488,2494,'Live Data'!$C$21)="","",INDEX(SPOT_Import!$A$1:$Z$2488,2494,'Live Data'!$C$21)),"")</f>
        <v/>
      </c>
      <c r="K2494" s="54" t="str">
        <f>IFERROR(IF(INDEX(SPOT_Import!$A$1:$Z$2488,2494,'Live Data'!$C$22)="","",INDEX(SPOT_Import!$A$1:$Z$2488,2494,'Live Data'!$C$22)),"")</f>
        <v/>
      </c>
      <c r="L2494" s="55" t="str">
        <f t="shared" si="76"/>
        <v/>
      </c>
      <c r="M2494" s="55" t="str">
        <f t="shared" si="77"/>
        <v/>
      </c>
      <c r="N2494" s="55" t="str">
        <f>IF(A2494="","",IFERROR(INDEX('Cluster Map'!$A$4:$A$38,MATCH(M2494,'Cluster Map'!$B$4:$B$38,0)),"Unmapped"))</f>
        <v/>
      </c>
      <c r="O2494" s="55">
        <f>IF(A2494="",0,IF(COUNTIFS($A$2:A2494,A2494,$F$2:F2494,F2494,$L$2:L2494,L2494)=1,1,0))</f>
        <v>0</v>
      </c>
      <c r="P2494" s="55">
        <f>IF(A2494="",0,IF(AND(F2494="C&amp;T",COUNTIFS($A$2:A2494,A2494,$F$2:F2494,"C&amp;T")=1),1,0))</f>
        <v>0</v>
      </c>
    </row>
    <row r="2495" spans="1:16" x14ac:dyDescent="0.35">
      <c r="A2495" s="54" t="str">
        <f>IFERROR(IF(INDEX(SPOT_Import!$A$1:$Z$2488,2495,'Live Data'!$C$12)="","",INDEX(SPOT_Import!$A$1:$Z$2488,2495,'Live Data'!$C$12)),"")</f>
        <v/>
      </c>
      <c r="B2495" s="54" t="str">
        <f>IFERROR(IF(INDEX(SPOT_Import!$A$1:$Z$2488,2495,'Live Data'!$C$13)="","",INDEX(SPOT_Import!$A$1:$Z$2488,2495,'Live Data'!$C$13)),"")</f>
        <v/>
      </c>
      <c r="C2495" s="54" t="str">
        <f>IFERROR(IF(INDEX(SPOT_Import!$A$1:$Z$2488,2495,'Live Data'!$C$14)="","",INDEX(SPOT_Import!$A$1:$Z$2488,2495,'Live Data'!$C$14)),"")</f>
        <v/>
      </c>
      <c r="D2495" s="54" t="str">
        <f>IFERROR(IF(INDEX(SPOT_Import!$A$1:$Z$2488,2495,'Live Data'!$C$15)="","",INDEX(SPOT_Import!$A$1:$Z$2488,2495,'Live Data'!$C$15)),"")</f>
        <v/>
      </c>
      <c r="E2495" s="54" t="str">
        <f>IFERROR(IF(INDEX(SPOT_Import!$A$1:$Z$2488,2495,'Live Data'!$C$16)="","",INDEX(SPOT_Import!$A$1:$Z$2488,2495,'Live Data'!$C$16)),"")</f>
        <v/>
      </c>
      <c r="F2495" s="54" t="str">
        <f>IFERROR(IF(INDEX(SPOT_Import!$A$1:$Z$2488,2495,'Live Data'!$C$17)="","",INDEX(SPOT_Import!$A$1:$Z$2488,2495,'Live Data'!$C$17)),"")</f>
        <v/>
      </c>
      <c r="G2495" s="54" t="str">
        <f>IFERROR(IF(INDEX(SPOT_Import!$A$1:$Z$2488,2495,'Live Data'!$C$18)="","",INDEX(SPOT_Import!$A$1:$Z$2488,2495,'Live Data'!$C$18)),"")</f>
        <v/>
      </c>
      <c r="H2495" s="54" t="str">
        <f>IFERROR(IF(INDEX(SPOT_Import!$A$1:$Z$2488,2495,'Live Data'!$C$19)="","",INDEX(SPOT_Import!$A$1:$Z$2488,2495,'Live Data'!$C$19)),"")</f>
        <v/>
      </c>
      <c r="I2495" s="54" t="str">
        <f>IFERROR(IF(INDEX(SPOT_Import!$A$1:$Z$2488,2495,'Live Data'!$C$20)="","",INDEX(SPOT_Import!$A$1:$Z$2488,2495,'Live Data'!$C$20)),"")</f>
        <v/>
      </c>
      <c r="J2495" s="54" t="str">
        <f>IFERROR(IF(INDEX(SPOT_Import!$A$1:$Z$2488,2495,'Live Data'!$C$21)="","",INDEX(SPOT_Import!$A$1:$Z$2488,2495,'Live Data'!$C$21)),"")</f>
        <v/>
      </c>
      <c r="K2495" s="54" t="str">
        <f>IFERROR(IF(INDEX(SPOT_Import!$A$1:$Z$2488,2495,'Live Data'!$C$22)="","",INDEX(SPOT_Import!$A$1:$Z$2488,2495,'Live Data'!$C$22)),"")</f>
        <v/>
      </c>
      <c r="L2495" s="55" t="str">
        <f t="shared" si="76"/>
        <v/>
      </c>
      <c r="M2495" s="55" t="str">
        <f t="shared" si="77"/>
        <v/>
      </c>
      <c r="N2495" s="55" t="str">
        <f>IF(A2495="","",IFERROR(INDEX('Cluster Map'!$A$4:$A$38,MATCH(M2495,'Cluster Map'!$B$4:$B$38,0)),"Unmapped"))</f>
        <v/>
      </c>
      <c r="O2495" s="55">
        <f>IF(A2495="",0,IF(COUNTIFS($A$2:A2495,A2495,$F$2:F2495,F2495,$L$2:L2495,L2495)=1,1,0))</f>
        <v>0</v>
      </c>
      <c r="P2495" s="55">
        <f>IF(A2495="",0,IF(AND(F2495="C&amp;T",COUNTIFS($A$2:A2495,A2495,$F$2:F2495,"C&amp;T")=1),1,0))</f>
        <v>0</v>
      </c>
    </row>
    <row r="2496" spans="1:16" x14ac:dyDescent="0.35">
      <c r="A2496" s="54" t="str">
        <f>IFERROR(IF(INDEX(SPOT_Import!$A$1:$Z$2488,2496,'Live Data'!$C$12)="","",INDEX(SPOT_Import!$A$1:$Z$2488,2496,'Live Data'!$C$12)),"")</f>
        <v/>
      </c>
      <c r="B2496" s="54" t="str">
        <f>IFERROR(IF(INDEX(SPOT_Import!$A$1:$Z$2488,2496,'Live Data'!$C$13)="","",INDEX(SPOT_Import!$A$1:$Z$2488,2496,'Live Data'!$C$13)),"")</f>
        <v/>
      </c>
      <c r="C2496" s="54" t="str">
        <f>IFERROR(IF(INDEX(SPOT_Import!$A$1:$Z$2488,2496,'Live Data'!$C$14)="","",INDEX(SPOT_Import!$A$1:$Z$2488,2496,'Live Data'!$C$14)),"")</f>
        <v/>
      </c>
      <c r="D2496" s="54" t="str">
        <f>IFERROR(IF(INDEX(SPOT_Import!$A$1:$Z$2488,2496,'Live Data'!$C$15)="","",INDEX(SPOT_Import!$A$1:$Z$2488,2496,'Live Data'!$C$15)),"")</f>
        <v/>
      </c>
      <c r="E2496" s="54" t="str">
        <f>IFERROR(IF(INDEX(SPOT_Import!$A$1:$Z$2488,2496,'Live Data'!$C$16)="","",INDEX(SPOT_Import!$A$1:$Z$2488,2496,'Live Data'!$C$16)),"")</f>
        <v/>
      </c>
      <c r="F2496" s="54" t="str">
        <f>IFERROR(IF(INDEX(SPOT_Import!$A$1:$Z$2488,2496,'Live Data'!$C$17)="","",INDEX(SPOT_Import!$A$1:$Z$2488,2496,'Live Data'!$C$17)),"")</f>
        <v/>
      </c>
      <c r="G2496" s="54" t="str">
        <f>IFERROR(IF(INDEX(SPOT_Import!$A$1:$Z$2488,2496,'Live Data'!$C$18)="","",INDEX(SPOT_Import!$A$1:$Z$2488,2496,'Live Data'!$C$18)),"")</f>
        <v/>
      </c>
      <c r="H2496" s="54" t="str">
        <f>IFERROR(IF(INDEX(SPOT_Import!$A$1:$Z$2488,2496,'Live Data'!$C$19)="","",INDEX(SPOT_Import!$A$1:$Z$2488,2496,'Live Data'!$C$19)),"")</f>
        <v/>
      </c>
      <c r="I2496" s="54" t="str">
        <f>IFERROR(IF(INDEX(SPOT_Import!$A$1:$Z$2488,2496,'Live Data'!$C$20)="","",INDEX(SPOT_Import!$A$1:$Z$2488,2496,'Live Data'!$C$20)),"")</f>
        <v/>
      </c>
      <c r="J2496" s="54" t="str">
        <f>IFERROR(IF(INDEX(SPOT_Import!$A$1:$Z$2488,2496,'Live Data'!$C$21)="","",INDEX(SPOT_Import!$A$1:$Z$2488,2496,'Live Data'!$C$21)),"")</f>
        <v/>
      </c>
      <c r="K2496" s="54" t="str">
        <f>IFERROR(IF(INDEX(SPOT_Import!$A$1:$Z$2488,2496,'Live Data'!$C$22)="","",INDEX(SPOT_Import!$A$1:$Z$2488,2496,'Live Data'!$C$22)),"")</f>
        <v/>
      </c>
      <c r="L2496" s="55" t="str">
        <f t="shared" si="76"/>
        <v/>
      </c>
      <c r="M2496" s="55" t="str">
        <f t="shared" si="77"/>
        <v/>
      </c>
      <c r="N2496" s="55" t="str">
        <f>IF(A2496="","",IFERROR(INDEX('Cluster Map'!$A$4:$A$38,MATCH(M2496,'Cluster Map'!$B$4:$B$38,0)),"Unmapped"))</f>
        <v/>
      </c>
      <c r="O2496" s="55">
        <f>IF(A2496="",0,IF(COUNTIFS($A$2:A2496,A2496,$F$2:F2496,F2496,$L$2:L2496,L2496)=1,1,0))</f>
        <v>0</v>
      </c>
      <c r="P2496" s="55">
        <f>IF(A2496="",0,IF(AND(F2496="C&amp;T",COUNTIFS($A$2:A2496,A2496,$F$2:F2496,"C&amp;T")=1),1,0))</f>
        <v>0</v>
      </c>
    </row>
    <row r="2497" spans="1:16" x14ac:dyDescent="0.35">
      <c r="A2497" s="54" t="str">
        <f>IFERROR(IF(INDEX(SPOT_Import!$A$1:$Z$2488,2497,'Live Data'!$C$12)="","",INDEX(SPOT_Import!$A$1:$Z$2488,2497,'Live Data'!$C$12)),"")</f>
        <v/>
      </c>
      <c r="B2497" s="54" t="str">
        <f>IFERROR(IF(INDEX(SPOT_Import!$A$1:$Z$2488,2497,'Live Data'!$C$13)="","",INDEX(SPOT_Import!$A$1:$Z$2488,2497,'Live Data'!$C$13)),"")</f>
        <v/>
      </c>
      <c r="C2497" s="54" t="str">
        <f>IFERROR(IF(INDEX(SPOT_Import!$A$1:$Z$2488,2497,'Live Data'!$C$14)="","",INDEX(SPOT_Import!$A$1:$Z$2488,2497,'Live Data'!$C$14)),"")</f>
        <v/>
      </c>
      <c r="D2497" s="54" t="str">
        <f>IFERROR(IF(INDEX(SPOT_Import!$A$1:$Z$2488,2497,'Live Data'!$C$15)="","",INDEX(SPOT_Import!$A$1:$Z$2488,2497,'Live Data'!$C$15)),"")</f>
        <v/>
      </c>
      <c r="E2497" s="54" t="str">
        <f>IFERROR(IF(INDEX(SPOT_Import!$A$1:$Z$2488,2497,'Live Data'!$C$16)="","",INDEX(SPOT_Import!$A$1:$Z$2488,2497,'Live Data'!$C$16)),"")</f>
        <v/>
      </c>
      <c r="F2497" s="54" t="str">
        <f>IFERROR(IF(INDEX(SPOT_Import!$A$1:$Z$2488,2497,'Live Data'!$C$17)="","",INDEX(SPOT_Import!$A$1:$Z$2488,2497,'Live Data'!$C$17)),"")</f>
        <v/>
      </c>
      <c r="G2497" s="54" t="str">
        <f>IFERROR(IF(INDEX(SPOT_Import!$A$1:$Z$2488,2497,'Live Data'!$C$18)="","",INDEX(SPOT_Import!$A$1:$Z$2488,2497,'Live Data'!$C$18)),"")</f>
        <v/>
      </c>
      <c r="H2497" s="54" t="str">
        <f>IFERROR(IF(INDEX(SPOT_Import!$A$1:$Z$2488,2497,'Live Data'!$C$19)="","",INDEX(SPOT_Import!$A$1:$Z$2488,2497,'Live Data'!$C$19)),"")</f>
        <v/>
      </c>
      <c r="I2497" s="54" t="str">
        <f>IFERROR(IF(INDEX(SPOT_Import!$A$1:$Z$2488,2497,'Live Data'!$C$20)="","",INDEX(SPOT_Import!$A$1:$Z$2488,2497,'Live Data'!$C$20)),"")</f>
        <v/>
      </c>
      <c r="J2497" s="54" t="str">
        <f>IFERROR(IF(INDEX(SPOT_Import!$A$1:$Z$2488,2497,'Live Data'!$C$21)="","",INDEX(SPOT_Import!$A$1:$Z$2488,2497,'Live Data'!$C$21)),"")</f>
        <v/>
      </c>
      <c r="K2497" s="54" t="str">
        <f>IFERROR(IF(INDEX(SPOT_Import!$A$1:$Z$2488,2497,'Live Data'!$C$22)="","",INDEX(SPOT_Import!$A$1:$Z$2488,2497,'Live Data'!$C$22)),"")</f>
        <v/>
      </c>
      <c r="L2497" s="55" t="str">
        <f t="shared" si="76"/>
        <v/>
      </c>
      <c r="M2497" s="55" t="str">
        <f t="shared" si="77"/>
        <v/>
      </c>
      <c r="N2497" s="55" t="str">
        <f>IF(A2497="","",IFERROR(INDEX('Cluster Map'!$A$4:$A$38,MATCH(M2497,'Cluster Map'!$B$4:$B$38,0)),"Unmapped"))</f>
        <v/>
      </c>
      <c r="O2497" s="55">
        <f>IF(A2497="",0,IF(COUNTIFS($A$2:A2497,A2497,$F$2:F2497,F2497,$L$2:L2497,L2497)=1,1,0))</f>
        <v>0</v>
      </c>
      <c r="P2497" s="55">
        <f>IF(A2497="",0,IF(AND(F2497="C&amp;T",COUNTIFS($A$2:A2497,A2497,$F$2:F2497,"C&amp;T")=1),1,0))</f>
        <v>0</v>
      </c>
    </row>
    <row r="2498" spans="1:16" x14ac:dyDescent="0.35">
      <c r="A2498" s="54" t="str">
        <f>IFERROR(IF(INDEX(SPOT_Import!$A$1:$Z$2488,2498,'Live Data'!$C$12)="","",INDEX(SPOT_Import!$A$1:$Z$2488,2498,'Live Data'!$C$12)),"")</f>
        <v/>
      </c>
      <c r="B2498" s="54" t="str">
        <f>IFERROR(IF(INDEX(SPOT_Import!$A$1:$Z$2488,2498,'Live Data'!$C$13)="","",INDEX(SPOT_Import!$A$1:$Z$2488,2498,'Live Data'!$C$13)),"")</f>
        <v/>
      </c>
      <c r="C2498" s="54" t="str">
        <f>IFERROR(IF(INDEX(SPOT_Import!$A$1:$Z$2488,2498,'Live Data'!$C$14)="","",INDEX(SPOT_Import!$A$1:$Z$2488,2498,'Live Data'!$C$14)),"")</f>
        <v/>
      </c>
      <c r="D2498" s="54" t="str">
        <f>IFERROR(IF(INDEX(SPOT_Import!$A$1:$Z$2488,2498,'Live Data'!$C$15)="","",INDEX(SPOT_Import!$A$1:$Z$2488,2498,'Live Data'!$C$15)),"")</f>
        <v/>
      </c>
      <c r="E2498" s="54" t="str">
        <f>IFERROR(IF(INDEX(SPOT_Import!$A$1:$Z$2488,2498,'Live Data'!$C$16)="","",INDEX(SPOT_Import!$A$1:$Z$2488,2498,'Live Data'!$C$16)),"")</f>
        <v/>
      </c>
      <c r="F2498" s="54" t="str">
        <f>IFERROR(IF(INDEX(SPOT_Import!$A$1:$Z$2488,2498,'Live Data'!$C$17)="","",INDEX(SPOT_Import!$A$1:$Z$2488,2498,'Live Data'!$C$17)),"")</f>
        <v/>
      </c>
      <c r="G2498" s="54" t="str">
        <f>IFERROR(IF(INDEX(SPOT_Import!$A$1:$Z$2488,2498,'Live Data'!$C$18)="","",INDEX(SPOT_Import!$A$1:$Z$2488,2498,'Live Data'!$C$18)),"")</f>
        <v/>
      </c>
      <c r="H2498" s="54" t="str">
        <f>IFERROR(IF(INDEX(SPOT_Import!$A$1:$Z$2488,2498,'Live Data'!$C$19)="","",INDEX(SPOT_Import!$A$1:$Z$2488,2498,'Live Data'!$C$19)),"")</f>
        <v/>
      </c>
      <c r="I2498" s="54" t="str">
        <f>IFERROR(IF(INDEX(SPOT_Import!$A$1:$Z$2488,2498,'Live Data'!$C$20)="","",INDEX(SPOT_Import!$A$1:$Z$2488,2498,'Live Data'!$C$20)),"")</f>
        <v/>
      </c>
      <c r="J2498" s="54" t="str">
        <f>IFERROR(IF(INDEX(SPOT_Import!$A$1:$Z$2488,2498,'Live Data'!$C$21)="","",INDEX(SPOT_Import!$A$1:$Z$2488,2498,'Live Data'!$C$21)),"")</f>
        <v/>
      </c>
      <c r="K2498" s="54" t="str">
        <f>IFERROR(IF(INDEX(SPOT_Import!$A$1:$Z$2488,2498,'Live Data'!$C$22)="","",INDEX(SPOT_Import!$A$1:$Z$2488,2498,'Live Data'!$C$22)),"")</f>
        <v/>
      </c>
      <c r="L2498" s="55" t="str">
        <f t="shared" ref="L2498:L2500" si="78">IF(A2498="","",IF(ISNUMBER(K2498),TEXT(K2498,"yyyy-mm"),LEFT(K2498,7)))</f>
        <v/>
      </c>
      <c r="M2498" s="55" t="str">
        <f t="shared" si="77"/>
        <v/>
      </c>
      <c r="N2498" s="55" t="str">
        <f>IF(A2498="","",IFERROR(INDEX('Cluster Map'!$A$4:$A$38,MATCH(M2498,'Cluster Map'!$B$4:$B$38,0)),"Unmapped"))</f>
        <v/>
      </c>
      <c r="O2498" s="55">
        <f>IF(A2498="",0,IF(COUNTIFS($A$2:A2498,A2498,$F$2:F2498,F2498,$L$2:L2498,L2498)=1,1,0))</f>
        <v>0</v>
      </c>
      <c r="P2498" s="55">
        <f>IF(A2498="",0,IF(AND(F2498="C&amp;T",COUNTIFS($A$2:A2498,A2498,$F$2:F2498,"C&amp;T")=1),1,0))</f>
        <v>0</v>
      </c>
    </row>
    <row r="2499" spans="1:16" x14ac:dyDescent="0.35">
      <c r="A2499" s="54" t="str">
        <f>IFERROR(IF(INDEX(SPOT_Import!$A$1:$Z$2488,2499,'Live Data'!$C$12)="","",INDEX(SPOT_Import!$A$1:$Z$2488,2499,'Live Data'!$C$12)),"")</f>
        <v/>
      </c>
      <c r="B2499" s="54" t="str">
        <f>IFERROR(IF(INDEX(SPOT_Import!$A$1:$Z$2488,2499,'Live Data'!$C$13)="","",INDEX(SPOT_Import!$A$1:$Z$2488,2499,'Live Data'!$C$13)),"")</f>
        <v/>
      </c>
      <c r="C2499" s="54" t="str">
        <f>IFERROR(IF(INDEX(SPOT_Import!$A$1:$Z$2488,2499,'Live Data'!$C$14)="","",INDEX(SPOT_Import!$A$1:$Z$2488,2499,'Live Data'!$C$14)),"")</f>
        <v/>
      </c>
      <c r="D2499" s="54" t="str">
        <f>IFERROR(IF(INDEX(SPOT_Import!$A$1:$Z$2488,2499,'Live Data'!$C$15)="","",INDEX(SPOT_Import!$A$1:$Z$2488,2499,'Live Data'!$C$15)),"")</f>
        <v/>
      </c>
      <c r="E2499" s="54" t="str">
        <f>IFERROR(IF(INDEX(SPOT_Import!$A$1:$Z$2488,2499,'Live Data'!$C$16)="","",INDEX(SPOT_Import!$A$1:$Z$2488,2499,'Live Data'!$C$16)),"")</f>
        <v/>
      </c>
      <c r="F2499" s="54" t="str">
        <f>IFERROR(IF(INDEX(SPOT_Import!$A$1:$Z$2488,2499,'Live Data'!$C$17)="","",INDEX(SPOT_Import!$A$1:$Z$2488,2499,'Live Data'!$C$17)),"")</f>
        <v/>
      </c>
      <c r="G2499" s="54" t="str">
        <f>IFERROR(IF(INDEX(SPOT_Import!$A$1:$Z$2488,2499,'Live Data'!$C$18)="","",INDEX(SPOT_Import!$A$1:$Z$2488,2499,'Live Data'!$C$18)),"")</f>
        <v/>
      </c>
      <c r="H2499" s="54" t="str">
        <f>IFERROR(IF(INDEX(SPOT_Import!$A$1:$Z$2488,2499,'Live Data'!$C$19)="","",INDEX(SPOT_Import!$A$1:$Z$2488,2499,'Live Data'!$C$19)),"")</f>
        <v/>
      </c>
      <c r="I2499" s="54" t="str">
        <f>IFERROR(IF(INDEX(SPOT_Import!$A$1:$Z$2488,2499,'Live Data'!$C$20)="","",INDEX(SPOT_Import!$A$1:$Z$2488,2499,'Live Data'!$C$20)),"")</f>
        <v/>
      </c>
      <c r="J2499" s="54" t="str">
        <f>IFERROR(IF(INDEX(SPOT_Import!$A$1:$Z$2488,2499,'Live Data'!$C$21)="","",INDEX(SPOT_Import!$A$1:$Z$2488,2499,'Live Data'!$C$21)),"")</f>
        <v/>
      </c>
      <c r="K2499" s="54" t="str">
        <f>IFERROR(IF(INDEX(SPOT_Import!$A$1:$Z$2488,2499,'Live Data'!$C$22)="","",INDEX(SPOT_Import!$A$1:$Z$2488,2499,'Live Data'!$C$22)),"")</f>
        <v/>
      </c>
      <c r="L2499" s="55" t="str">
        <f t="shared" si="78"/>
        <v/>
      </c>
      <c r="M2499" s="55" t="str">
        <f t="shared" si="77"/>
        <v/>
      </c>
      <c r="N2499" s="55" t="str">
        <f>IF(A2499="","",IFERROR(INDEX('Cluster Map'!$A$4:$A$38,MATCH(M2499,'Cluster Map'!$B$4:$B$38,0)),"Unmapped"))</f>
        <v/>
      </c>
      <c r="O2499" s="55">
        <f>IF(A2499="",0,IF(COUNTIFS($A$2:A2499,A2499,$F$2:F2499,F2499,$L$2:L2499,L2499)=1,1,0))</f>
        <v>0</v>
      </c>
      <c r="P2499" s="55">
        <f>IF(A2499="",0,IF(AND(F2499="C&amp;T",COUNTIFS($A$2:A2499,A2499,$F$2:F2499,"C&amp;T")=1),1,0))</f>
        <v>0</v>
      </c>
    </row>
    <row r="2500" spans="1:16" x14ac:dyDescent="0.35">
      <c r="A2500" s="54" t="str">
        <f>IFERROR(IF(INDEX(SPOT_Import!$A$1:$Z$2488,2500,'Live Data'!$C$12)="","",INDEX(SPOT_Import!$A$1:$Z$2488,2500,'Live Data'!$C$12)),"")</f>
        <v/>
      </c>
      <c r="B2500" s="54" t="str">
        <f>IFERROR(IF(INDEX(SPOT_Import!$A$1:$Z$2488,2500,'Live Data'!$C$13)="","",INDEX(SPOT_Import!$A$1:$Z$2488,2500,'Live Data'!$C$13)),"")</f>
        <v/>
      </c>
      <c r="C2500" s="54" t="str">
        <f>IFERROR(IF(INDEX(SPOT_Import!$A$1:$Z$2488,2500,'Live Data'!$C$14)="","",INDEX(SPOT_Import!$A$1:$Z$2488,2500,'Live Data'!$C$14)),"")</f>
        <v/>
      </c>
      <c r="D2500" s="54" t="str">
        <f>IFERROR(IF(INDEX(SPOT_Import!$A$1:$Z$2488,2500,'Live Data'!$C$15)="","",INDEX(SPOT_Import!$A$1:$Z$2488,2500,'Live Data'!$C$15)),"")</f>
        <v/>
      </c>
      <c r="E2500" s="54" t="str">
        <f>IFERROR(IF(INDEX(SPOT_Import!$A$1:$Z$2488,2500,'Live Data'!$C$16)="","",INDEX(SPOT_Import!$A$1:$Z$2488,2500,'Live Data'!$C$16)),"")</f>
        <v/>
      </c>
      <c r="F2500" s="54" t="str">
        <f>IFERROR(IF(INDEX(SPOT_Import!$A$1:$Z$2488,2500,'Live Data'!$C$17)="","",INDEX(SPOT_Import!$A$1:$Z$2488,2500,'Live Data'!$C$17)),"")</f>
        <v/>
      </c>
      <c r="G2500" s="54" t="str">
        <f>IFERROR(IF(INDEX(SPOT_Import!$A$1:$Z$2488,2500,'Live Data'!$C$18)="","",INDEX(SPOT_Import!$A$1:$Z$2488,2500,'Live Data'!$C$18)),"")</f>
        <v/>
      </c>
      <c r="H2500" s="54" t="str">
        <f>IFERROR(IF(INDEX(SPOT_Import!$A$1:$Z$2488,2500,'Live Data'!$C$19)="","",INDEX(SPOT_Import!$A$1:$Z$2488,2500,'Live Data'!$C$19)),"")</f>
        <v/>
      </c>
      <c r="I2500" s="54" t="str">
        <f>IFERROR(IF(INDEX(SPOT_Import!$A$1:$Z$2488,2500,'Live Data'!$C$20)="","",INDEX(SPOT_Import!$A$1:$Z$2488,2500,'Live Data'!$C$20)),"")</f>
        <v/>
      </c>
      <c r="J2500" s="54" t="str">
        <f>IFERROR(IF(INDEX(SPOT_Import!$A$1:$Z$2488,2500,'Live Data'!$C$21)="","",INDEX(SPOT_Import!$A$1:$Z$2488,2500,'Live Data'!$C$21)),"")</f>
        <v/>
      </c>
      <c r="K2500" s="54" t="str">
        <f>IFERROR(IF(INDEX(SPOT_Import!$A$1:$Z$2488,2500,'Live Data'!$C$22)="","",INDEX(SPOT_Import!$A$1:$Z$2488,2500,'Live Data'!$C$22)),"")</f>
        <v/>
      </c>
      <c r="L2500" s="55" t="str">
        <f t="shared" si="78"/>
        <v/>
      </c>
      <c r="M2500" s="55" t="str">
        <f t="shared" si="77"/>
        <v/>
      </c>
      <c r="N2500" s="55" t="str">
        <f>IF(A2500="","",IFERROR(INDEX('Cluster Map'!$A$4:$A$38,MATCH(M2500,'Cluster Map'!$B$4:$B$38,0)),"Unmapped"))</f>
        <v/>
      </c>
      <c r="O2500" s="55">
        <f>IF(A2500="",0,IF(COUNTIFS($A$2:A2500,A2500,$F$2:F2500,F2500,$L$2:L2500,L2500)=1,1,0))</f>
        <v>0</v>
      </c>
      <c r="P2500" s="55">
        <f>IF(A2500="",0,IF(AND(F2500="C&amp;T",COUNTIFS($A$2:A2500,A2500,$F$2:F2500,"C&amp;T")=1),1,0))</f>
        <v>0</v>
      </c>
    </row>
  </sheetData>
  <autoFilter ref="A1:P2500" xr:uid="{00000000-0009-0000-0000-000005000000}"/>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16"/>
  <sheetViews>
    <sheetView zoomScaleNormal="100" workbookViewId="0">
      <pane ySplit="1" topLeftCell="A2" activePane="bottomLeft" state="frozen"/>
      <selection pane="bottomLeft" activeCell="A988" sqref="A988:XFD1117"/>
    </sheetView>
  </sheetViews>
  <sheetFormatPr defaultColWidth="8.6328125" defaultRowHeight="14.5" x14ac:dyDescent="0.35"/>
  <cols>
    <col min="1" max="1" width="9.81640625" bestFit="1" customWidth="1"/>
    <col min="2" max="2" width="37.453125" bestFit="1" customWidth="1"/>
    <col min="3" max="3" width="14.08984375" bestFit="1" customWidth="1"/>
    <col min="4" max="4" width="21.36328125" bestFit="1" customWidth="1"/>
    <col min="5" max="5" width="19.1796875" bestFit="1" customWidth="1"/>
    <col min="6" max="6" width="11.36328125" bestFit="1" customWidth="1"/>
    <col min="7" max="7" width="13.36328125" bestFit="1" customWidth="1"/>
    <col min="8" max="8" width="13.1796875" bestFit="1" customWidth="1"/>
    <col min="9" max="9" width="10.90625" bestFit="1" customWidth="1"/>
    <col min="10" max="11" width="21.08984375" bestFit="1" customWidth="1"/>
    <col min="12" max="12" width="15" bestFit="1" customWidth="1"/>
  </cols>
  <sheetData>
    <row r="1" spans="1:12" x14ac:dyDescent="0.35">
      <c r="A1" s="56" t="s">
        <v>420</v>
      </c>
      <c r="B1" s="56" t="s">
        <v>125</v>
      </c>
      <c r="C1" s="56" t="s">
        <v>122</v>
      </c>
      <c r="D1" s="56" t="s">
        <v>123</v>
      </c>
      <c r="E1" s="56" t="s">
        <v>126</v>
      </c>
      <c r="F1" s="56" t="s">
        <v>71</v>
      </c>
      <c r="G1" s="56" t="s">
        <v>421</v>
      </c>
      <c r="H1" s="56" t="s">
        <v>422</v>
      </c>
      <c r="I1" s="56" t="s">
        <v>419</v>
      </c>
      <c r="J1" s="56" t="s">
        <v>423</v>
      </c>
      <c r="K1" s="56" t="s">
        <v>424</v>
      </c>
      <c r="L1" s="56" t="s">
        <v>505</v>
      </c>
    </row>
    <row r="2" spans="1:12" x14ac:dyDescent="0.35">
      <c r="A2">
        <v>12802</v>
      </c>
      <c r="B2" s="62" t="s">
        <v>522</v>
      </c>
      <c r="C2" s="62" t="s">
        <v>485</v>
      </c>
      <c r="D2" s="62" t="s">
        <v>129</v>
      </c>
      <c r="E2" s="62" t="s">
        <v>131</v>
      </c>
      <c r="F2" s="62" t="s">
        <v>4</v>
      </c>
      <c r="G2">
        <v>1500</v>
      </c>
      <c r="H2">
        <v>1500</v>
      </c>
      <c r="I2" s="62" t="s">
        <v>506</v>
      </c>
      <c r="J2" s="62" t="s">
        <v>1850</v>
      </c>
      <c r="K2" s="62" t="s">
        <v>1850</v>
      </c>
      <c r="L2" s="62" t="s">
        <v>1110</v>
      </c>
    </row>
    <row r="3" spans="1:12" x14ac:dyDescent="0.35">
      <c r="A3">
        <v>12719</v>
      </c>
      <c r="B3" s="62" t="s">
        <v>245</v>
      </c>
      <c r="C3" s="62" t="s">
        <v>487</v>
      </c>
      <c r="D3" s="62" t="s">
        <v>237</v>
      </c>
      <c r="E3" s="62" t="s">
        <v>131</v>
      </c>
      <c r="F3" s="62" t="s">
        <v>508</v>
      </c>
      <c r="G3">
        <v>463</v>
      </c>
      <c r="I3" s="62" t="s">
        <v>507</v>
      </c>
      <c r="J3" s="62" t="s">
        <v>1829</v>
      </c>
      <c r="K3" s="62" t="s">
        <v>1829</v>
      </c>
      <c r="L3" s="62" t="s">
        <v>1110</v>
      </c>
    </row>
    <row r="4" spans="1:12" x14ac:dyDescent="0.35">
      <c r="A4">
        <v>12719</v>
      </c>
      <c r="B4" s="62" t="s">
        <v>245</v>
      </c>
      <c r="C4" s="62" t="s">
        <v>487</v>
      </c>
      <c r="D4" s="62" t="s">
        <v>237</v>
      </c>
      <c r="E4" s="62" t="s">
        <v>131</v>
      </c>
      <c r="F4" s="62" t="s">
        <v>6</v>
      </c>
      <c r="G4">
        <v>74</v>
      </c>
      <c r="H4">
        <v>74</v>
      </c>
      <c r="I4" s="62" t="s">
        <v>506</v>
      </c>
      <c r="J4" s="62" t="s">
        <v>1830</v>
      </c>
      <c r="K4" s="62" t="s">
        <v>1830</v>
      </c>
      <c r="L4" s="62" t="s">
        <v>1110</v>
      </c>
    </row>
    <row r="5" spans="1:12" x14ac:dyDescent="0.35">
      <c r="A5">
        <v>12719</v>
      </c>
      <c r="B5" s="62" t="s">
        <v>245</v>
      </c>
      <c r="C5" s="62" t="s">
        <v>487</v>
      </c>
      <c r="D5" s="62" t="s">
        <v>237</v>
      </c>
      <c r="E5" s="62" t="s">
        <v>131</v>
      </c>
      <c r="F5" s="62" t="s">
        <v>5</v>
      </c>
      <c r="G5">
        <v>4214</v>
      </c>
      <c r="H5">
        <v>1000</v>
      </c>
      <c r="I5" s="62" t="s">
        <v>507</v>
      </c>
      <c r="J5" s="62" t="s">
        <v>1831</v>
      </c>
      <c r="K5" s="62" t="s">
        <v>1831</v>
      </c>
      <c r="L5" s="62" t="s">
        <v>1110</v>
      </c>
    </row>
    <row r="6" spans="1:12" x14ac:dyDescent="0.35">
      <c r="A6">
        <v>12719</v>
      </c>
      <c r="B6" s="62" t="s">
        <v>245</v>
      </c>
      <c r="C6" s="62" t="s">
        <v>487</v>
      </c>
      <c r="D6" s="62" t="s">
        <v>237</v>
      </c>
      <c r="E6" s="62" t="s">
        <v>131</v>
      </c>
      <c r="F6" s="62" t="s">
        <v>4</v>
      </c>
      <c r="G6">
        <v>1938</v>
      </c>
      <c r="H6">
        <v>1938</v>
      </c>
      <c r="I6" s="62" t="s">
        <v>506</v>
      </c>
      <c r="J6" s="62" t="s">
        <v>1832</v>
      </c>
      <c r="K6" s="62" t="s">
        <v>1832</v>
      </c>
      <c r="L6" s="62" t="s">
        <v>1110</v>
      </c>
    </row>
    <row r="7" spans="1:12" x14ac:dyDescent="0.35">
      <c r="A7">
        <v>11126</v>
      </c>
      <c r="B7" s="62" t="s">
        <v>335</v>
      </c>
      <c r="C7" s="62" t="s">
        <v>494</v>
      </c>
      <c r="D7" s="62" t="s">
        <v>330</v>
      </c>
      <c r="E7" s="62" t="s">
        <v>131</v>
      </c>
      <c r="F7" s="62" t="s">
        <v>6</v>
      </c>
      <c r="G7">
        <v>20</v>
      </c>
      <c r="I7" s="62" t="s">
        <v>507</v>
      </c>
      <c r="J7" s="62" t="s">
        <v>1818</v>
      </c>
      <c r="K7" s="62" t="s">
        <v>1818</v>
      </c>
      <c r="L7" s="62" t="s">
        <v>1110</v>
      </c>
    </row>
    <row r="8" spans="1:12" x14ac:dyDescent="0.35">
      <c r="A8">
        <v>11126</v>
      </c>
      <c r="B8" s="62" t="s">
        <v>335</v>
      </c>
      <c r="C8" s="62" t="s">
        <v>494</v>
      </c>
      <c r="D8" s="62" t="s">
        <v>330</v>
      </c>
      <c r="E8" s="62" t="s">
        <v>131</v>
      </c>
      <c r="F8" s="62" t="s">
        <v>4</v>
      </c>
      <c r="G8">
        <v>44</v>
      </c>
      <c r="H8">
        <v>44</v>
      </c>
      <c r="I8" s="62" t="s">
        <v>506</v>
      </c>
      <c r="J8" s="62" t="s">
        <v>1819</v>
      </c>
      <c r="K8" s="62" t="s">
        <v>1819</v>
      </c>
      <c r="L8" s="62" t="s">
        <v>1110</v>
      </c>
    </row>
    <row r="9" spans="1:12" x14ac:dyDescent="0.35">
      <c r="A9">
        <v>10509</v>
      </c>
      <c r="B9" s="62" t="s">
        <v>347</v>
      </c>
      <c r="C9" s="62" t="s">
        <v>494</v>
      </c>
      <c r="D9" s="62" t="s">
        <v>344</v>
      </c>
      <c r="E9" s="62" t="s">
        <v>131</v>
      </c>
      <c r="F9" s="62" t="s">
        <v>508</v>
      </c>
      <c r="G9">
        <v>99</v>
      </c>
      <c r="H9">
        <v>99</v>
      </c>
      <c r="I9" s="62" t="s">
        <v>506</v>
      </c>
      <c r="J9" s="62" t="s">
        <v>1802</v>
      </c>
      <c r="K9" s="62" t="s">
        <v>1802</v>
      </c>
      <c r="L9" s="62" t="s">
        <v>1110</v>
      </c>
    </row>
    <row r="10" spans="1:12" x14ac:dyDescent="0.35">
      <c r="A10">
        <v>10509</v>
      </c>
      <c r="B10" s="62" t="s">
        <v>347</v>
      </c>
      <c r="C10" s="62" t="s">
        <v>494</v>
      </c>
      <c r="D10" s="62" t="s">
        <v>344</v>
      </c>
      <c r="E10" s="62" t="s">
        <v>131</v>
      </c>
      <c r="F10" s="62" t="s">
        <v>6</v>
      </c>
      <c r="G10">
        <v>75</v>
      </c>
      <c r="H10">
        <v>75</v>
      </c>
      <c r="I10" s="62" t="s">
        <v>506</v>
      </c>
      <c r="J10" s="62" t="s">
        <v>1803</v>
      </c>
      <c r="K10" s="62" t="s">
        <v>1803</v>
      </c>
      <c r="L10" s="62" t="s">
        <v>1110</v>
      </c>
    </row>
    <row r="11" spans="1:12" x14ac:dyDescent="0.35">
      <c r="A11">
        <v>10509</v>
      </c>
      <c r="B11" s="62" t="s">
        <v>347</v>
      </c>
      <c r="C11" s="62" t="s">
        <v>494</v>
      </c>
      <c r="D11" s="62" t="s">
        <v>344</v>
      </c>
      <c r="E11" s="62" t="s">
        <v>131</v>
      </c>
      <c r="F11" s="62" t="s">
        <v>5</v>
      </c>
      <c r="G11">
        <v>5704</v>
      </c>
      <c r="I11" s="62" t="s">
        <v>507</v>
      </c>
      <c r="J11" s="62" t="s">
        <v>1804</v>
      </c>
      <c r="K11" s="62" t="s">
        <v>1804</v>
      </c>
      <c r="L11" s="62" t="s">
        <v>1110</v>
      </c>
    </row>
    <row r="12" spans="1:12" x14ac:dyDescent="0.35">
      <c r="A12">
        <v>10509</v>
      </c>
      <c r="B12" s="62" t="s">
        <v>347</v>
      </c>
      <c r="C12" s="62" t="s">
        <v>494</v>
      </c>
      <c r="D12" s="62" t="s">
        <v>344</v>
      </c>
      <c r="E12" s="62" t="s">
        <v>131</v>
      </c>
      <c r="F12" s="62" t="s">
        <v>4</v>
      </c>
      <c r="G12">
        <v>1181</v>
      </c>
      <c r="H12">
        <v>1181</v>
      </c>
      <c r="I12" s="62" t="s">
        <v>506</v>
      </c>
      <c r="J12" s="62" t="s">
        <v>1805</v>
      </c>
      <c r="K12" s="62" t="s">
        <v>1805</v>
      </c>
      <c r="L12" s="62" t="s">
        <v>1110</v>
      </c>
    </row>
    <row r="13" spans="1:12" x14ac:dyDescent="0.35">
      <c r="A13">
        <v>10852</v>
      </c>
      <c r="B13" s="62" t="s">
        <v>536</v>
      </c>
      <c r="C13" s="62" t="s">
        <v>494</v>
      </c>
      <c r="D13" s="62" t="s">
        <v>351</v>
      </c>
      <c r="E13" s="62" t="s">
        <v>131</v>
      </c>
      <c r="F13" s="62" t="s">
        <v>508</v>
      </c>
      <c r="G13">
        <v>41</v>
      </c>
      <c r="I13" s="62" t="s">
        <v>506</v>
      </c>
      <c r="J13" s="62" t="s">
        <v>1806</v>
      </c>
      <c r="K13" s="62" t="s">
        <v>1806</v>
      </c>
      <c r="L13" s="62" t="s">
        <v>1110</v>
      </c>
    </row>
    <row r="14" spans="1:12" x14ac:dyDescent="0.35">
      <c r="A14">
        <v>10852</v>
      </c>
      <c r="B14" s="62" t="s">
        <v>536</v>
      </c>
      <c r="C14" s="62" t="s">
        <v>494</v>
      </c>
      <c r="D14" s="62" t="s">
        <v>351</v>
      </c>
      <c r="E14" s="62" t="s">
        <v>131</v>
      </c>
      <c r="F14" s="62" t="s">
        <v>6</v>
      </c>
      <c r="G14">
        <v>37</v>
      </c>
      <c r="I14" s="62" t="s">
        <v>507</v>
      </c>
      <c r="J14" s="62" t="s">
        <v>1807</v>
      </c>
      <c r="K14" s="62" t="s">
        <v>1807</v>
      </c>
      <c r="L14" s="62" t="s">
        <v>1110</v>
      </c>
    </row>
    <row r="15" spans="1:12" x14ac:dyDescent="0.35">
      <c r="A15">
        <v>10852</v>
      </c>
      <c r="B15" s="62" t="s">
        <v>536</v>
      </c>
      <c r="C15" s="62" t="s">
        <v>494</v>
      </c>
      <c r="D15" s="62" t="s">
        <v>351</v>
      </c>
      <c r="E15" s="62" t="s">
        <v>131</v>
      </c>
      <c r="F15" s="62" t="s">
        <v>5</v>
      </c>
      <c r="G15">
        <v>2968</v>
      </c>
      <c r="H15">
        <v>2968</v>
      </c>
      <c r="I15" s="62" t="s">
        <v>506</v>
      </c>
      <c r="J15" s="62" t="s">
        <v>1808</v>
      </c>
      <c r="K15" s="62" t="s">
        <v>1808</v>
      </c>
      <c r="L15" s="62" t="s">
        <v>1110</v>
      </c>
    </row>
    <row r="16" spans="1:12" x14ac:dyDescent="0.35">
      <c r="A16">
        <v>10852</v>
      </c>
      <c r="B16" s="62" t="s">
        <v>356</v>
      </c>
      <c r="C16" s="62" t="s">
        <v>494</v>
      </c>
      <c r="D16" s="62" t="s">
        <v>351</v>
      </c>
      <c r="E16" s="62" t="s">
        <v>131</v>
      </c>
      <c r="F16" s="62" t="s">
        <v>4</v>
      </c>
      <c r="G16">
        <v>445</v>
      </c>
      <c r="H16">
        <v>445</v>
      </c>
      <c r="I16" s="62" t="s">
        <v>506</v>
      </c>
      <c r="J16" s="62" t="s">
        <v>1809</v>
      </c>
      <c r="K16" s="62" t="s">
        <v>1809</v>
      </c>
      <c r="L16" s="62" t="s">
        <v>1110</v>
      </c>
    </row>
    <row r="17" spans="1:12" x14ac:dyDescent="0.35">
      <c r="A17">
        <v>11059</v>
      </c>
      <c r="B17" s="62" t="s">
        <v>358</v>
      </c>
      <c r="C17" s="62" t="s">
        <v>494</v>
      </c>
      <c r="D17" s="62" t="s">
        <v>351</v>
      </c>
      <c r="E17" s="62" t="s">
        <v>131</v>
      </c>
      <c r="F17" s="62" t="s">
        <v>508</v>
      </c>
      <c r="G17">
        <v>2</v>
      </c>
      <c r="I17" s="62" t="s">
        <v>507</v>
      </c>
      <c r="J17" s="62" t="s">
        <v>1810</v>
      </c>
      <c r="K17" s="62" t="s">
        <v>1810</v>
      </c>
      <c r="L17" s="62" t="s">
        <v>1110</v>
      </c>
    </row>
    <row r="18" spans="1:12" x14ac:dyDescent="0.35">
      <c r="A18">
        <v>11059</v>
      </c>
      <c r="B18" s="62" t="s">
        <v>358</v>
      </c>
      <c r="C18" s="62" t="s">
        <v>494</v>
      </c>
      <c r="D18" s="62" t="s">
        <v>351</v>
      </c>
      <c r="E18" s="62" t="s">
        <v>131</v>
      </c>
      <c r="F18" s="62" t="s">
        <v>6</v>
      </c>
      <c r="G18">
        <v>12</v>
      </c>
      <c r="I18" s="62" t="s">
        <v>507</v>
      </c>
      <c r="J18" s="62" t="s">
        <v>1811</v>
      </c>
      <c r="K18" s="62" t="s">
        <v>1811</v>
      </c>
      <c r="L18" s="62" t="s">
        <v>1110</v>
      </c>
    </row>
    <row r="19" spans="1:12" x14ac:dyDescent="0.35">
      <c r="A19">
        <v>11059</v>
      </c>
      <c r="B19" s="62" t="s">
        <v>358</v>
      </c>
      <c r="C19" s="62" t="s">
        <v>494</v>
      </c>
      <c r="D19" s="62" t="s">
        <v>351</v>
      </c>
      <c r="E19" s="62" t="s">
        <v>131</v>
      </c>
      <c r="F19" s="62" t="s">
        <v>5</v>
      </c>
      <c r="G19">
        <v>112</v>
      </c>
      <c r="H19">
        <v>112</v>
      </c>
      <c r="I19" s="62" t="s">
        <v>506</v>
      </c>
      <c r="J19" s="62" t="s">
        <v>1812</v>
      </c>
      <c r="K19" s="62" t="s">
        <v>1812</v>
      </c>
      <c r="L19" s="62" t="s">
        <v>1110</v>
      </c>
    </row>
    <row r="20" spans="1:12" x14ac:dyDescent="0.35">
      <c r="A20">
        <v>12790</v>
      </c>
      <c r="B20" s="62" t="s">
        <v>210</v>
      </c>
      <c r="C20" s="62" t="s">
        <v>487</v>
      </c>
      <c r="D20" s="62" t="s">
        <v>208</v>
      </c>
      <c r="E20" s="62" t="s">
        <v>131</v>
      </c>
      <c r="F20" s="62" t="s">
        <v>508</v>
      </c>
      <c r="G20">
        <v>9</v>
      </c>
      <c r="H20">
        <v>9</v>
      </c>
      <c r="I20" s="62" t="s">
        <v>506</v>
      </c>
      <c r="J20" s="62" t="s">
        <v>1813</v>
      </c>
      <c r="K20" s="62" t="s">
        <v>1813</v>
      </c>
      <c r="L20" s="62" t="s">
        <v>1110</v>
      </c>
    </row>
    <row r="21" spans="1:12" x14ac:dyDescent="0.35">
      <c r="A21">
        <v>12790</v>
      </c>
      <c r="B21" s="62" t="s">
        <v>210</v>
      </c>
      <c r="C21" s="62" t="s">
        <v>487</v>
      </c>
      <c r="D21" s="62" t="s">
        <v>208</v>
      </c>
      <c r="E21" s="62" t="s">
        <v>131</v>
      </c>
      <c r="F21" s="62" t="s">
        <v>6</v>
      </c>
      <c r="G21">
        <v>21</v>
      </c>
      <c r="I21" s="62" t="s">
        <v>507</v>
      </c>
      <c r="J21" s="62" t="s">
        <v>1814</v>
      </c>
      <c r="K21" s="62" t="s">
        <v>1814</v>
      </c>
      <c r="L21" s="62" t="s">
        <v>1110</v>
      </c>
    </row>
    <row r="22" spans="1:12" x14ac:dyDescent="0.35">
      <c r="A22">
        <v>12790</v>
      </c>
      <c r="B22" s="62" t="s">
        <v>210</v>
      </c>
      <c r="C22" s="62" t="s">
        <v>487</v>
      </c>
      <c r="D22" s="62" t="s">
        <v>208</v>
      </c>
      <c r="E22" s="62" t="s">
        <v>131</v>
      </c>
      <c r="F22" s="62" t="s">
        <v>5</v>
      </c>
      <c r="G22">
        <v>2426</v>
      </c>
      <c r="I22" s="62" t="s">
        <v>507</v>
      </c>
      <c r="J22" s="62" t="s">
        <v>1815</v>
      </c>
      <c r="K22" s="62" t="s">
        <v>1815</v>
      </c>
      <c r="L22" s="62" t="s">
        <v>1110</v>
      </c>
    </row>
    <row r="23" spans="1:12" x14ac:dyDescent="0.35">
      <c r="A23">
        <v>11059</v>
      </c>
      <c r="B23" s="62" t="s">
        <v>358</v>
      </c>
      <c r="C23" s="62" t="s">
        <v>494</v>
      </c>
      <c r="D23" s="62" t="s">
        <v>351</v>
      </c>
      <c r="E23" s="62" t="s">
        <v>131</v>
      </c>
      <c r="F23" s="62" t="s">
        <v>4</v>
      </c>
      <c r="G23">
        <v>68</v>
      </c>
      <c r="H23">
        <v>68</v>
      </c>
      <c r="I23" s="62" t="s">
        <v>506</v>
      </c>
      <c r="J23" s="62" t="s">
        <v>1816</v>
      </c>
      <c r="K23" s="62" t="s">
        <v>1816</v>
      </c>
      <c r="L23" s="62" t="s">
        <v>1110</v>
      </c>
    </row>
    <row r="24" spans="1:12" x14ac:dyDescent="0.35">
      <c r="A24">
        <v>12790</v>
      </c>
      <c r="B24" s="62" t="s">
        <v>210</v>
      </c>
      <c r="C24" s="62" t="s">
        <v>487</v>
      </c>
      <c r="D24" s="62" t="s">
        <v>208</v>
      </c>
      <c r="E24" s="62" t="s">
        <v>131</v>
      </c>
      <c r="F24" s="62" t="s">
        <v>4</v>
      </c>
      <c r="G24">
        <v>396</v>
      </c>
      <c r="H24">
        <v>396</v>
      </c>
      <c r="I24" s="62" t="s">
        <v>506</v>
      </c>
      <c r="J24" s="62" t="s">
        <v>1817</v>
      </c>
      <c r="K24" s="62" t="s">
        <v>1817</v>
      </c>
      <c r="L24" s="62" t="s">
        <v>1110</v>
      </c>
    </row>
    <row r="25" spans="1:12" x14ac:dyDescent="0.35">
      <c r="A25">
        <v>11942</v>
      </c>
      <c r="B25" s="62" t="s">
        <v>264</v>
      </c>
      <c r="C25" s="62" t="s">
        <v>488</v>
      </c>
      <c r="D25" s="62" t="s">
        <v>263</v>
      </c>
      <c r="E25" s="62" t="s">
        <v>131</v>
      </c>
      <c r="F25" s="62" t="s">
        <v>4</v>
      </c>
      <c r="G25">
        <v>209</v>
      </c>
      <c r="H25">
        <v>209</v>
      </c>
      <c r="I25" s="62" t="s">
        <v>506</v>
      </c>
      <c r="J25" s="62" t="s">
        <v>1784</v>
      </c>
      <c r="K25" s="62" t="s">
        <v>1784</v>
      </c>
      <c r="L25" s="62" t="s">
        <v>1110</v>
      </c>
    </row>
    <row r="26" spans="1:12" x14ac:dyDescent="0.35">
      <c r="A26">
        <v>18782</v>
      </c>
      <c r="B26" s="62" t="s">
        <v>516</v>
      </c>
      <c r="C26" s="62" t="s">
        <v>494</v>
      </c>
      <c r="D26" s="62" t="s">
        <v>344</v>
      </c>
      <c r="E26" s="62" t="s">
        <v>131</v>
      </c>
      <c r="F26" s="62" t="s">
        <v>4</v>
      </c>
      <c r="G26">
        <v>270</v>
      </c>
      <c r="H26">
        <v>270</v>
      </c>
      <c r="I26" s="62" t="s">
        <v>506</v>
      </c>
      <c r="J26" s="62" t="s">
        <v>1780</v>
      </c>
      <c r="K26" s="62" t="s">
        <v>1780</v>
      </c>
      <c r="L26" s="62" t="s">
        <v>1110</v>
      </c>
    </row>
    <row r="27" spans="1:12" x14ac:dyDescent="0.35">
      <c r="A27">
        <v>11973</v>
      </c>
      <c r="B27" s="62" t="s">
        <v>529</v>
      </c>
      <c r="C27" s="62" t="s">
        <v>488</v>
      </c>
      <c r="D27" s="62" t="s">
        <v>250</v>
      </c>
      <c r="E27" s="62" t="s">
        <v>131</v>
      </c>
      <c r="F27" s="62" t="s">
        <v>508</v>
      </c>
      <c r="G27">
        <v>1379</v>
      </c>
      <c r="I27" s="62" t="s">
        <v>507</v>
      </c>
      <c r="J27" s="62" t="s">
        <v>1781</v>
      </c>
      <c r="K27" s="62" t="s">
        <v>1781</v>
      </c>
      <c r="L27" s="62" t="s">
        <v>1110</v>
      </c>
    </row>
    <row r="28" spans="1:12" x14ac:dyDescent="0.35">
      <c r="A28">
        <v>12174</v>
      </c>
      <c r="B28" s="62" t="s">
        <v>524</v>
      </c>
      <c r="C28" s="62" t="s">
        <v>485</v>
      </c>
      <c r="D28" s="62" t="s">
        <v>140</v>
      </c>
      <c r="E28" s="62" t="s">
        <v>131</v>
      </c>
      <c r="F28" s="62" t="s">
        <v>4</v>
      </c>
      <c r="G28">
        <v>917</v>
      </c>
      <c r="H28">
        <v>917</v>
      </c>
      <c r="I28" s="62" t="s">
        <v>506</v>
      </c>
      <c r="J28" s="62" t="s">
        <v>1782</v>
      </c>
      <c r="K28" s="62" t="s">
        <v>1782</v>
      </c>
      <c r="L28" s="62" t="s">
        <v>1110</v>
      </c>
    </row>
    <row r="29" spans="1:12" x14ac:dyDescent="0.35">
      <c r="A29">
        <v>11973</v>
      </c>
      <c r="B29" s="62" t="s">
        <v>251</v>
      </c>
      <c r="C29" s="62" t="s">
        <v>488</v>
      </c>
      <c r="D29" s="62" t="s">
        <v>250</v>
      </c>
      <c r="E29" s="62" t="s">
        <v>131</v>
      </c>
      <c r="F29" s="62" t="s">
        <v>4</v>
      </c>
      <c r="G29">
        <v>3530</v>
      </c>
      <c r="H29">
        <v>3530</v>
      </c>
      <c r="I29" s="62" t="s">
        <v>506</v>
      </c>
      <c r="J29" s="62" t="s">
        <v>1783</v>
      </c>
      <c r="K29" s="62" t="s">
        <v>1783</v>
      </c>
      <c r="L29" s="62" t="s">
        <v>1110</v>
      </c>
    </row>
    <row r="30" spans="1:12" x14ac:dyDescent="0.35">
      <c r="A30">
        <v>12516</v>
      </c>
      <c r="B30" s="62" t="s">
        <v>174</v>
      </c>
      <c r="C30" s="62" t="s">
        <v>485</v>
      </c>
      <c r="D30" s="62" t="s">
        <v>163</v>
      </c>
      <c r="E30" s="62" t="s">
        <v>131</v>
      </c>
      <c r="F30" s="62" t="s">
        <v>4</v>
      </c>
      <c r="G30">
        <v>10443</v>
      </c>
      <c r="I30" s="62" t="s">
        <v>507</v>
      </c>
      <c r="J30" s="62" t="s">
        <v>1759</v>
      </c>
      <c r="K30" s="62" t="s">
        <v>1759</v>
      </c>
      <c r="L30" s="62" t="s">
        <v>1110</v>
      </c>
    </row>
    <row r="31" spans="1:12" x14ac:dyDescent="0.35">
      <c r="A31">
        <v>12391</v>
      </c>
      <c r="B31" s="62" t="s">
        <v>198</v>
      </c>
      <c r="C31" s="62" t="s">
        <v>485</v>
      </c>
      <c r="D31" s="62" t="s">
        <v>196</v>
      </c>
      <c r="E31" s="62" t="s">
        <v>131</v>
      </c>
      <c r="F31" s="62" t="s">
        <v>4</v>
      </c>
      <c r="G31">
        <v>3</v>
      </c>
      <c r="H31">
        <v>3</v>
      </c>
      <c r="I31" s="62" t="s">
        <v>506</v>
      </c>
      <c r="J31" s="62" t="s">
        <v>1760</v>
      </c>
      <c r="K31" s="62" t="s">
        <v>1760</v>
      </c>
      <c r="L31" s="62" t="s">
        <v>1110</v>
      </c>
    </row>
    <row r="32" spans="1:12" x14ac:dyDescent="0.35">
      <c r="A32">
        <v>12303</v>
      </c>
      <c r="B32" s="62" t="s">
        <v>138</v>
      </c>
      <c r="C32" s="62" t="s">
        <v>485</v>
      </c>
      <c r="D32" s="62" t="s">
        <v>129</v>
      </c>
      <c r="E32" s="62" t="s">
        <v>131</v>
      </c>
      <c r="F32" s="62" t="s">
        <v>508</v>
      </c>
      <c r="G32">
        <v>24</v>
      </c>
      <c r="H32">
        <v>24</v>
      </c>
      <c r="I32" s="62" t="s">
        <v>506</v>
      </c>
      <c r="J32" s="62" t="s">
        <v>1761</v>
      </c>
      <c r="K32" s="62" t="s">
        <v>1761</v>
      </c>
      <c r="L32" s="62" t="s">
        <v>1110</v>
      </c>
    </row>
    <row r="33" spans="1:12" x14ac:dyDescent="0.35">
      <c r="A33">
        <v>12303</v>
      </c>
      <c r="B33" s="62" t="s">
        <v>138</v>
      </c>
      <c r="C33" s="62" t="s">
        <v>485</v>
      </c>
      <c r="D33" s="62" t="s">
        <v>129</v>
      </c>
      <c r="E33" s="62" t="s">
        <v>131</v>
      </c>
      <c r="F33" s="62" t="s">
        <v>6</v>
      </c>
      <c r="G33">
        <v>282</v>
      </c>
      <c r="H33">
        <v>282</v>
      </c>
      <c r="I33" s="62" t="s">
        <v>506</v>
      </c>
      <c r="J33" s="62" t="s">
        <v>1762</v>
      </c>
      <c r="K33" s="62" t="s">
        <v>1762</v>
      </c>
      <c r="L33" s="62" t="s">
        <v>1110</v>
      </c>
    </row>
    <row r="34" spans="1:12" x14ac:dyDescent="0.35">
      <c r="A34">
        <v>12303</v>
      </c>
      <c r="B34" s="62" t="s">
        <v>138</v>
      </c>
      <c r="C34" s="62" t="s">
        <v>485</v>
      </c>
      <c r="D34" s="62" t="s">
        <v>129</v>
      </c>
      <c r="E34" s="62" t="s">
        <v>131</v>
      </c>
      <c r="F34" s="62" t="s">
        <v>5</v>
      </c>
      <c r="G34">
        <v>1867</v>
      </c>
      <c r="H34">
        <v>1867</v>
      </c>
      <c r="I34" s="62" t="s">
        <v>506</v>
      </c>
      <c r="J34" s="62" t="s">
        <v>1763</v>
      </c>
      <c r="K34" s="62" t="s">
        <v>1763</v>
      </c>
      <c r="L34" s="62" t="s">
        <v>1110</v>
      </c>
    </row>
    <row r="35" spans="1:12" x14ac:dyDescent="0.35">
      <c r="A35">
        <v>12303</v>
      </c>
      <c r="B35" s="62" t="s">
        <v>517</v>
      </c>
      <c r="C35" s="62" t="s">
        <v>485</v>
      </c>
      <c r="D35" s="62" t="s">
        <v>129</v>
      </c>
      <c r="E35" s="62" t="s">
        <v>131</v>
      </c>
      <c r="F35" s="62" t="s">
        <v>4</v>
      </c>
      <c r="G35">
        <v>1745</v>
      </c>
      <c r="H35">
        <v>1745</v>
      </c>
      <c r="I35" s="62" t="s">
        <v>506</v>
      </c>
      <c r="J35" s="62" t="s">
        <v>1764</v>
      </c>
      <c r="K35" s="62" t="s">
        <v>1764</v>
      </c>
      <c r="L35" s="62" t="s">
        <v>1110</v>
      </c>
    </row>
    <row r="36" spans="1:12" x14ac:dyDescent="0.35">
      <c r="A36">
        <v>11009</v>
      </c>
      <c r="B36" s="62" t="s">
        <v>540</v>
      </c>
      <c r="C36" s="62" t="s">
        <v>494</v>
      </c>
      <c r="D36" s="62" t="s">
        <v>344</v>
      </c>
      <c r="E36" s="62" t="s">
        <v>131</v>
      </c>
      <c r="F36" s="62" t="s">
        <v>4</v>
      </c>
      <c r="G36">
        <v>474</v>
      </c>
      <c r="H36">
        <v>474</v>
      </c>
      <c r="I36" s="62" t="s">
        <v>506</v>
      </c>
      <c r="J36" s="62" t="s">
        <v>1765</v>
      </c>
      <c r="K36" s="62" t="s">
        <v>1765</v>
      </c>
      <c r="L36" s="62" t="s">
        <v>1110</v>
      </c>
    </row>
    <row r="37" spans="1:12" x14ac:dyDescent="0.35">
      <c r="A37">
        <v>12816</v>
      </c>
      <c r="B37" s="62" t="s">
        <v>145</v>
      </c>
      <c r="C37" s="62" t="s">
        <v>485</v>
      </c>
      <c r="D37" s="62" t="s">
        <v>140</v>
      </c>
      <c r="E37" s="62" t="s">
        <v>131</v>
      </c>
      <c r="F37" s="62" t="s">
        <v>5</v>
      </c>
      <c r="G37">
        <v>1</v>
      </c>
      <c r="H37">
        <v>1</v>
      </c>
      <c r="I37" s="62" t="s">
        <v>506</v>
      </c>
      <c r="J37" s="62" t="s">
        <v>1766</v>
      </c>
      <c r="K37" s="62" t="s">
        <v>1766</v>
      </c>
      <c r="L37" s="62" t="s">
        <v>1110</v>
      </c>
    </row>
    <row r="38" spans="1:12" x14ac:dyDescent="0.35">
      <c r="A38">
        <v>12816</v>
      </c>
      <c r="B38" s="62" t="s">
        <v>145</v>
      </c>
      <c r="C38" s="62" t="s">
        <v>485</v>
      </c>
      <c r="D38" s="62" t="s">
        <v>140</v>
      </c>
      <c r="E38" s="62" t="s">
        <v>131</v>
      </c>
      <c r="F38" s="62" t="s">
        <v>4</v>
      </c>
      <c r="G38">
        <v>40</v>
      </c>
      <c r="H38">
        <v>40</v>
      </c>
      <c r="I38" s="62" t="s">
        <v>506</v>
      </c>
      <c r="J38" s="62" t="s">
        <v>1767</v>
      </c>
      <c r="K38" s="62" t="s">
        <v>1767</v>
      </c>
      <c r="L38" s="62" t="s">
        <v>1110</v>
      </c>
    </row>
    <row r="39" spans="1:12" x14ac:dyDescent="0.35">
      <c r="A39">
        <v>11984</v>
      </c>
      <c r="B39" s="62" t="s">
        <v>209</v>
      </c>
      <c r="C39" s="62" t="s">
        <v>487</v>
      </c>
      <c r="D39" s="62" t="s">
        <v>208</v>
      </c>
      <c r="E39" s="62" t="s">
        <v>131</v>
      </c>
      <c r="F39" s="62" t="s">
        <v>508</v>
      </c>
      <c r="G39">
        <v>184</v>
      </c>
      <c r="H39">
        <v>184</v>
      </c>
      <c r="I39" s="62" t="s">
        <v>506</v>
      </c>
      <c r="J39" s="62" t="s">
        <v>1768</v>
      </c>
      <c r="K39" s="62" t="s">
        <v>1768</v>
      </c>
      <c r="L39" s="62" t="s">
        <v>1110</v>
      </c>
    </row>
    <row r="40" spans="1:12" x14ac:dyDescent="0.35">
      <c r="A40">
        <v>11984</v>
      </c>
      <c r="B40" s="62" t="s">
        <v>209</v>
      </c>
      <c r="C40" s="62" t="s">
        <v>487</v>
      </c>
      <c r="D40" s="62" t="s">
        <v>208</v>
      </c>
      <c r="E40" s="62" t="s">
        <v>131</v>
      </c>
      <c r="F40" s="62" t="s">
        <v>6</v>
      </c>
      <c r="G40">
        <v>231</v>
      </c>
      <c r="H40">
        <v>231</v>
      </c>
      <c r="I40" s="62" t="s">
        <v>506</v>
      </c>
      <c r="J40" s="62" t="s">
        <v>1769</v>
      </c>
      <c r="K40" s="62" t="s">
        <v>1769</v>
      </c>
      <c r="L40" s="62" t="s">
        <v>1110</v>
      </c>
    </row>
    <row r="41" spans="1:12" x14ac:dyDescent="0.35">
      <c r="A41">
        <v>11984</v>
      </c>
      <c r="B41" s="62" t="s">
        <v>209</v>
      </c>
      <c r="C41" s="62" t="s">
        <v>487</v>
      </c>
      <c r="D41" s="62" t="s">
        <v>208</v>
      </c>
      <c r="E41" s="62" t="s">
        <v>131</v>
      </c>
      <c r="F41" s="62" t="s">
        <v>5</v>
      </c>
      <c r="G41">
        <v>3054</v>
      </c>
      <c r="H41">
        <v>3054</v>
      </c>
      <c r="I41" s="62" t="s">
        <v>506</v>
      </c>
      <c r="J41" s="62" t="s">
        <v>1770</v>
      </c>
      <c r="K41" s="62" t="s">
        <v>1770</v>
      </c>
      <c r="L41" s="62" t="s">
        <v>1110</v>
      </c>
    </row>
    <row r="42" spans="1:12" x14ac:dyDescent="0.35">
      <c r="A42">
        <v>11984</v>
      </c>
      <c r="B42" s="62" t="s">
        <v>209</v>
      </c>
      <c r="C42" s="62" t="s">
        <v>487</v>
      </c>
      <c r="D42" s="62" t="s">
        <v>208</v>
      </c>
      <c r="E42" s="62" t="s">
        <v>131</v>
      </c>
      <c r="F42" s="62" t="s">
        <v>4</v>
      </c>
      <c r="G42">
        <v>704</v>
      </c>
      <c r="H42">
        <v>704</v>
      </c>
      <c r="I42" s="62" t="s">
        <v>506</v>
      </c>
      <c r="J42" s="62" t="s">
        <v>1771</v>
      </c>
      <c r="K42" s="62" t="s">
        <v>1771</v>
      </c>
      <c r="L42" s="62" t="s">
        <v>1110</v>
      </c>
    </row>
    <row r="43" spans="1:12" x14ac:dyDescent="0.35">
      <c r="A43">
        <v>12195</v>
      </c>
      <c r="B43" s="62" t="s">
        <v>514</v>
      </c>
      <c r="C43" s="62" t="s">
        <v>485</v>
      </c>
      <c r="D43" s="62" t="s">
        <v>189</v>
      </c>
      <c r="E43" s="62" t="s">
        <v>131</v>
      </c>
      <c r="F43" s="62" t="s">
        <v>6</v>
      </c>
      <c r="G43">
        <v>3</v>
      </c>
      <c r="I43" s="62" t="s">
        <v>507</v>
      </c>
      <c r="J43" s="62" t="s">
        <v>1772</v>
      </c>
      <c r="K43" s="62" t="s">
        <v>1772</v>
      </c>
      <c r="L43" s="62" t="s">
        <v>1110</v>
      </c>
    </row>
    <row r="44" spans="1:12" x14ac:dyDescent="0.35">
      <c r="A44">
        <v>12195</v>
      </c>
      <c r="B44" s="62" t="s">
        <v>190</v>
      </c>
      <c r="C44" s="62" t="s">
        <v>485</v>
      </c>
      <c r="D44" s="62" t="s">
        <v>189</v>
      </c>
      <c r="E44" s="62" t="s">
        <v>131</v>
      </c>
      <c r="F44" s="62" t="s">
        <v>4</v>
      </c>
      <c r="G44">
        <v>29</v>
      </c>
      <c r="H44">
        <v>29</v>
      </c>
      <c r="I44" s="62" t="s">
        <v>506</v>
      </c>
      <c r="J44" s="62" t="s">
        <v>1773</v>
      </c>
      <c r="K44" s="62" t="s">
        <v>1773</v>
      </c>
      <c r="L44" s="62" t="s">
        <v>1110</v>
      </c>
    </row>
    <row r="45" spans="1:12" x14ac:dyDescent="0.35">
      <c r="A45">
        <v>12799</v>
      </c>
      <c r="B45" s="62" t="s">
        <v>195</v>
      </c>
      <c r="C45" s="62" t="s">
        <v>485</v>
      </c>
      <c r="D45" s="62" t="s">
        <v>189</v>
      </c>
      <c r="E45" s="62" t="s">
        <v>131</v>
      </c>
      <c r="F45" s="62" t="s">
        <v>508</v>
      </c>
      <c r="G45">
        <v>88</v>
      </c>
      <c r="I45" s="62" t="s">
        <v>507</v>
      </c>
      <c r="J45" s="62" t="s">
        <v>1774</v>
      </c>
      <c r="K45" s="62" t="s">
        <v>1774</v>
      </c>
      <c r="L45" s="62" t="s">
        <v>1110</v>
      </c>
    </row>
    <row r="46" spans="1:12" x14ac:dyDescent="0.35">
      <c r="A46">
        <v>12799</v>
      </c>
      <c r="B46" s="62" t="s">
        <v>195</v>
      </c>
      <c r="C46" s="62" t="s">
        <v>485</v>
      </c>
      <c r="D46" s="62" t="s">
        <v>189</v>
      </c>
      <c r="E46" s="62" t="s">
        <v>131</v>
      </c>
      <c r="F46" s="62" t="s">
        <v>6</v>
      </c>
      <c r="G46">
        <v>184</v>
      </c>
      <c r="H46">
        <v>184</v>
      </c>
      <c r="I46" s="62" t="s">
        <v>506</v>
      </c>
      <c r="J46" s="62" t="s">
        <v>1775</v>
      </c>
      <c r="K46" s="62" t="s">
        <v>1775</v>
      </c>
      <c r="L46" s="62" t="s">
        <v>1110</v>
      </c>
    </row>
    <row r="47" spans="1:12" x14ac:dyDescent="0.35">
      <c r="A47">
        <v>12799</v>
      </c>
      <c r="B47" s="62" t="s">
        <v>195</v>
      </c>
      <c r="C47" s="62" t="s">
        <v>485</v>
      </c>
      <c r="D47" s="62" t="s">
        <v>189</v>
      </c>
      <c r="E47" s="62" t="s">
        <v>131</v>
      </c>
      <c r="F47" s="62" t="s">
        <v>5</v>
      </c>
      <c r="G47">
        <v>1241</v>
      </c>
      <c r="H47">
        <v>1000</v>
      </c>
      <c r="I47" s="62" t="s">
        <v>507</v>
      </c>
      <c r="J47" s="62" t="s">
        <v>1776</v>
      </c>
      <c r="K47" s="62" t="s">
        <v>1776</v>
      </c>
      <c r="L47" s="62" t="s">
        <v>1110</v>
      </c>
    </row>
    <row r="48" spans="1:12" x14ac:dyDescent="0.35">
      <c r="A48">
        <v>12799</v>
      </c>
      <c r="B48" s="62" t="s">
        <v>538</v>
      </c>
      <c r="C48" s="62" t="s">
        <v>485</v>
      </c>
      <c r="D48" s="62" t="s">
        <v>189</v>
      </c>
      <c r="E48" s="62" t="s">
        <v>131</v>
      </c>
      <c r="F48" s="62" t="s">
        <v>4</v>
      </c>
      <c r="G48">
        <v>650</v>
      </c>
      <c r="H48">
        <v>650</v>
      </c>
      <c r="I48" s="62" t="s">
        <v>506</v>
      </c>
      <c r="J48" s="62" t="s">
        <v>1777</v>
      </c>
      <c r="K48" s="62" t="s">
        <v>1777</v>
      </c>
      <c r="L48" s="62" t="s">
        <v>1110</v>
      </c>
    </row>
    <row r="49" spans="1:12" x14ac:dyDescent="0.35">
      <c r="A49">
        <v>12831</v>
      </c>
      <c r="B49" s="62" t="s">
        <v>188</v>
      </c>
      <c r="C49" s="62" t="s">
        <v>485</v>
      </c>
      <c r="D49" s="62" t="s">
        <v>175</v>
      </c>
      <c r="E49" s="62" t="s">
        <v>131</v>
      </c>
      <c r="F49" s="62" t="s">
        <v>6</v>
      </c>
      <c r="G49">
        <v>2</v>
      </c>
      <c r="I49" s="62" t="s">
        <v>507</v>
      </c>
      <c r="J49" s="62" t="s">
        <v>1778</v>
      </c>
      <c r="K49" s="62" t="s">
        <v>1778</v>
      </c>
      <c r="L49" s="62" t="s">
        <v>1110</v>
      </c>
    </row>
    <row r="50" spans="1:12" x14ac:dyDescent="0.35">
      <c r="A50">
        <v>12831</v>
      </c>
      <c r="B50" s="62" t="s">
        <v>188</v>
      </c>
      <c r="C50" s="62" t="s">
        <v>485</v>
      </c>
      <c r="D50" s="62" t="s">
        <v>175</v>
      </c>
      <c r="E50" s="62" t="s">
        <v>131</v>
      </c>
      <c r="F50" s="62" t="s">
        <v>4</v>
      </c>
      <c r="G50">
        <v>42</v>
      </c>
      <c r="H50">
        <v>42</v>
      </c>
      <c r="I50" s="62" t="s">
        <v>506</v>
      </c>
      <c r="J50" s="62" t="s">
        <v>1779</v>
      </c>
      <c r="K50" s="62" t="s">
        <v>1779</v>
      </c>
      <c r="L50" s="62" t="s">
        <v>1110</v>
      </c>
    </row>
    <row r="51" spans="1:12" x14ac:dyDescent="0.35">
      <c r="A51">
        <v>12605</v>
      </c>
      <c r="B51" s="62" t="s">
        <v>534</v>
      </c>
      <c r="C51" s="62" t="s">
        <v>485</v>
      </c>
      <c r="D51" s="62" t="s">
        <v>146</v>
      </c>
      <c r="E51" s="62" t="s">
        <v>131</v>
      </c>
      <c r="F51" s="62" t="s">
        <v>4</v>
      </c>
      <c r="G51">
        <v>1483</v>
      </c>
      <c r="H51">
        <v>1483</v>
      </c>
      <c r="I51" s="62" t="s">
        <v>506</v>
      </c>
      <c r="J51" s="62" t="s">
        <v>1750</v>
      </c>
      <c r="K51" s="62" t="s">
        <v>1750</v>
      </c>
      <c r="L51" s="62" t="s">
        <v>1110</v>
      </c>
    </row>
    <row r="52" spans="1:12" x14ac:dyDescent="0.35">
      <c r="A52">
        <v>12816</v>
      </c>
      <c r="B52" s="62" t="s">
        <v>145</v>
      </c>
      <c r="C52" s="62" t="s">
        <v>485</v>
      </c>
      <c r="D52" s="62" t="s">
        <v>140</v>
      </c>
      <c r="E52" s="62" t="s">
        <v>131</v>
      </c>
      <c r="F52" s="62" t="s">
        <v>6</v>
      </c>
      <c r="G52">
        <v>1</v>
      </c>
      <c r="I52" s="62" t="s">
        <v>507</v>
      </c>
      <c r="J52" s="62" t="s">
        <v>1751</v>
      </c>
      <c r="K52" s="62" t="s">
        <v>1751</v>
      </c>
      <c r="L52" s="62" t="s">
        <v>1110</v>
      </c>
    </row>
    <row r="53" spans="1:12" x14ac:dyDescent="0.35">
      <c r="A53">
        <v>12605</v>
      </c>
      <c r="B53" s="62" t="s">
        <v>150</v>
      </c>
      <c r="C53" s="62" t="s">
        <v>485</v>
      </c>
      <c r="D53" s="62" t="s">
        <v>146</v>
      </c>
      <c r="E53" s="62" t="s">
        <v>131</v>
      </c>
      <c r="F53" s="62" t="s">
        <v>508</v>
      </c>
      <c r="G53">
        <v>414</v>
      </c>
      <c r="H53">
        <v>414</v>
      </c>
      <c r="I53" s="62" t="s">
        <v>506</v>
      </c>
      <c r="J53" s="62" t="s">
        <v>1603</v>
      </c>
      <c r="K53" s="62" t="s">
        <v>1603</v>
      </c>
      <c r="L53" s="62" t="s">
        <v>1110</v>
      </c>
    </row>
    <row r="54" spans="1:12" x14ac:dyDescent="0.35">
      <c r="A54">
        <v>12605</v>
      </c>
      <c r="B54" s="62" t="s">
        <v>150</v>
      </c>
      <c r="C54" s="62" t="s">
        <v>485</v>
      </c>
      <c r="D54" s="62" t="s">
        <v>146</v>
      </c>
      <c r="E54" s="62" t="s">
        <v>131</v>
      </c>
      <c r="F54" s="62" t="s">
        <v>6</v>
      </c>
      <c r="G54">
        <v>235</v>
      </c>
      <c r="H54">
        <v>235</v>
      </c>
      <c r="I54" s="62" t="s">
        <v>506</v>
      </c>
      <c r="J54" s="62" t="s">
        <v>1604</v>
      </c>
      <c r="K54" s="62" t="s">
        <v>1604</v>
      </c>
      <c r="L54" s="62" t="s">
        <v>1110</v>
      </c>
    </row>
    <row r="55" spans="1:12" x14ac:dyDescent="0.35">
      <c r="A55">
        <v>12605</v>
      </c>
      <c r="B55" s="62" t="s">
        <v>150</v>
      </c>
      <c r="C55" s="62" t="s">
        <v>485</v>
      </c>
      <c r="D55" s="62" t="s">
        <v>146</v>
      </c>
      <c r="E55" s="62" t="s">
        <v>131</v>
      </c>
      <c r="F55" s="62" t="s">
        <v>5</v>
      </c>
      <c r="G55">
        <v>2765</v>
      </c>
      <c r="H55">
        <v>2765</v>
      </c>
      <c r="I55" s="62" t="s">
        <v>506</v>
      </c>
      <c r="J55" s="62" t="s">
        <v>1605</v>
      </c>
      <c r="K55" s="62" t="s">
        <v>1605</v>
      </c>
      <c r="L55" s="62" t="s">
        <v>1110</v>
      </c>
    </row>
    <row r="56" spans="1:12" x14ac:dyDescent="0.35">
      <c r="A56">
        <v>12525</v>
      </c>
      <c r="B56" s="62" t="s">
        <v>193</v>
      </c>
      <c r="C56" s="62" t="s">
        <v>485</v>
      </c>
      <c r="D56" s="62" t="s">
        <v>189</v>
      </c>
      <c r="E56" s="62" t="s">
        <v>131</v>
      </c>
      <c r="F56" s="62" t="s">
        <v>508</v>
      </c>
      <c r="G56">
        <v>101</v>
      </c>
      <c r="H56">
        <v>101</v>
      </c>
      <c r="I56" s="62" t="s">
        <v>506</v>
      </c>
      <c r="J56" s="62" t="s">
        <v>1606</v>
      </c>
      <c r="K56" s="62" t="s">
        <v>1606</v>
      </c>
      <c r="L56" s="62" t="s">
        <v>1110</v>
      </c>
    </row>
    <row r="57" spans="1:12" x14ac:dyDescent="0.35">
      <c r="A57">
        <v>12525</v>
      </c>
      <c r="B57" s="62" t="s">
        <v>193</v>
      </c>
      <c r="C57" s="62" t="s">
        <v>485</v>
      </c>
      <c r="D57" s="62" t="s">
        <v>189</v>
      </c>
      <c r="E57" s="62" t="s">
        <v>131</v>
      </c>
      <c r="F57" s="62" t="s">
        <v>6</v>
      </c>
      <c r="G57">
        <v>136</v>
      </c>
      <c r="H57">
        <v>136</v>
      </c>
      <c r="I57" s="62" t="s">
        <v>506</v>
      </c>
      <c r="J57" s="62" t="s">
        <v>1607</v>
      </c>
      <c r="K57" s="62" t="s">
        <v>1607</v>
      </c>
      <c r="L57" s="62" t="s">
        <v>1110</v>
      </c>
    </row>
    <row r="58" spans="1:12" x14ac:dyDescent="0.35">
      <c r="A58">
        <v>12525</v>
      </c>
      <c r="B58" s="62" t="s">
        <v>193</v>
      </c>
      <c r="C58" s="62" t="s">
        <v>485</v>
      </c>
      <c r="D58" s="62" t="s">
        <v>189</v>
      </c>
      <c r="E58" s="62" t="s">
        <v>131</v>
      </c>
      <c r="F58" s="62" t="s">
        <v>5</v>
      </c>
      <c r="G58">
        <v>2490</v>
      </c>
      <c r="H58">
        <v>2490</v>
      </c>
      <c r="I58" s="62" t="s">
        <v>506</v>
      </c>
      <c r="J58" s="62" t="s">
        <v>1608</v>
      </c>
      <c r="K58" s="62" t="s">
        <v>1608</v>
      </c>
      <c r="L58" s="62" t="s">
        <v>1110</v>
      </c>
    </row>
    <row r="59" spans="1:12" x14ac:dyDescent="0.35">
      <c r="A59">
        <v>12525</v>
      </c>
      <c r="B59" s="62" t="s">
        <v>193</v>
      </c>
      <c r="C59" s="62" t="s">
        <v>485</v>
      </c>
      <c r="D59" s="62" t="s">
        <v>189</v>
      </c>
      <c r="E59" s="62" t="s">
        <v>131</v>
      </c>
      <c r="F59" s="62" t="s">
        <v>4</v>
      </c>
      <c r="G59">
        <v>654</v>
      </c>
      <c r="H59">
        <v>654</v>
      </c>
      <c r="I59" s="62" t="s">
        <v>506</v>
      </c>
      <c r="J59" s="62" t="s">
        <v>1609</v>
      </c>
      <c r="K59" s="62" t="s">
        <v>1609</v>
      </c>
      <c r="L59" s="62" t="s">
        <v>1110</v>
      </c>
    </row>
    <row r="60" spans="1:12" x14ac:dyDescent="0.35">
      <c r="A60">
        <v>16555</v>
      </c>
      <c r="B60" s="62" t="s">
        <v>151</v>
      </c>
      <c r="C60" s="62" t="s">
        <v>485</v>
      </c>
      <c r="D60" s="62" t="s">
        <v>146</v>
      </c>
      <c r="E60" s="62" t="s">
        <v>131</v>
      </c>
      <c r="F60" s="62" t="s">
        <v>5</v>
      </c>
      <c r="G60">
        <v>1640</v>
      </c>
      <c r="I60" s="62" t="s">
        <v>507</v>
      </c>
      <c r="J60" s="62" t="s">
        <v>1610</v>
      </c>
      <c r="K60" s="62" t="s">
        <v>1610</v>
      </c>
      <c r="L60" s="62" t="s">
        <v>1110</v>
      </c>
    </row>
    <row r="61" spans="1:12" x14ac:dyDescent="0.35">
      <c r="A61">
        <v>16555</v>
      </c>
      <c r="B61" s="62" t="s">
        <v>151</v>
      </c>
      <c r="C61" s="62" t="s">
        <v>485</v>
      </c>
      <c r="D61" s="62" t="s">
        <v>146</v>
      </c>
      <c r="E61" s="62" t="s">
        <v>131</v>
      </c>
      <c r="F61" s="62" t="s">
        <v>4</v>
      </c>
      <c r="G61">
        <v>345</v>
      </c>
      <c r="H61">
        <v>345</v>
      </c>
      <c r="I61" s="62" t="s">
        <v>506</v>
      </c>
      <c r="J61" s="62" t="s">
        <v>1611</v>
      </c>
      <c r="K61" s="62" t="s">
        <v>1611</v>
      </c>
      <c r="L61" s="62" t="s">
        <v>1110</v>
      </c>
    </row>
    <row r="62" spans="1:12" x14ac:dyDescent="0.35">
      <c r="A62">
        <v>12625</v>
      </c>
      <c r="B62" s="62" t="s">
        <v>202</v>
      </c>
      <c r="C62" s="62" t="s">
        <v>485</v>
      </c>
      <c r="D62" s="62" t="s">
        <v>196</v>
      </c>
      <c r="E62" s="62" t="s">
        <v>131</v>
      </c>
      <c r="F62" s="62" t="s">
        <v>6</v>
      </c>
      <c r="G62">
        <v>5</v>
      </c>
      <c r="I62" s="62" t="s">
        <v>507</v>
      </c>
      <c r="J62" s="62" t="s">
        <v>1612</v>
      </c>
      <c r="K62" s="62" t="s">
        <v>1612</v>
      </c>
      <c r="L62" s="62" t="s">
        <v>1110</v>
      </c>
    </row>
    <row r="63" spans="1:12" x14ac:dyDescent="0.35">
      <c r="A63">
        <v>12625</v>
      </c>
      <c r="B63" s="62" t="s">
        <v>202</v>
      </c>
      <c r="C63" s="62" t="s">
        <v>485</v>
      </c>
      <c r="D63" s="62" t="s">
        <v>196</v>
      </c>
      <c r="E63" s="62" t="s">
        <v>131</v>
      </c>
      <c r="F63" s="62" t="s">
        <v>4</v>
      </c>
      <c r="G63">
        <v>28</v>
      </c>
      <c r="H63">
        <v>28</v>
      </c>
      <c r="I63" s="62" t="s">
        <v>506</v>
      </c>
      <c r="J63" s="62" t="s">
        <v>1613</v>
      </c>
      <c r="K63" s="62" t="s">
        <v>1613</v>
      </c>
      <c r="L63" s="62" t="s">
        <v>1110</v>
      </c>
    </row>
    <row r="64" spans="1:12" x14ac:dyDescent="0.35">
      <c r="A64">
        <v>11973</v>
      </c>
      <c r="B64" s="62" t="s">
        <v>529</v>
      </c>
      <c r="C64" s="62" t="s">
        <v>488</v>
      </c>
      <c r="D64" s="62" t="s">
        <v>250</v>
      </c>
      <c r="E64" s="62" t="s">
        <v>131</v>
      </c>
      <c r="F64" s="62" t="s">
        <v>6</v>
      </c>
      <c r="G64">
        <v>227</v>
      </c>
      <c r="H64">
        <v>227</v>
      </c>
      <c r="I64" s="62" t="s">
        <v>506</v>
      </c>
      <c r="J64" s="62" t="s">
        <v>1614</v>
      </c>
      <c r="K64" s="62" t="s">
        <v>1614</v>
      </c>
      <c r="L64" s="62" t="s">
        <v>1110</v>
      </c>
    </row>
    <row r="65" spans="1:12" x14ac:dyDescent="0.35">
      <c r="A65">
        <v>12036</v>
      </c>
      <c r="B65" s="62" t="s">
        <v>167</v>
      </c>
      <c r="C65" s="62" t="s">
        <v>485</v>
      </c>
      <c r="D65" s="62" t="s">
        <v>163</v>
      </c>
      <c r="E65" s="62" t="s">
        <v>131</v>
      </c>
      <c r="F65" s="62" t="s">
        <v>508</v>
      </c>
      <c r="G65">
        <v>10</v>
      </c>
      <c r="H65">
        <v>10</v>
      </c>
      <c r="I65" s="62" t="s">
        <v>506</v>
      </c>
      <c r="J65" s="62" t="s">
        <v>1615</v>
      </c>
      <c r="K65" s="62" t="s">
        <v>1615</v>
      </c>
      <c r="L65" s="62" t="s">
        <v>1110</v>
      </c>
    </row>
    <row r="66" spans="1:12" x14ac:dyDescent="0.35">
      <c r="A66">
        <v>12036</v>
      </c>
      <c r="B66" s="62" t="s">
        <v>167</v>
      </c>
      <c r="C66" s="62" t="s">
        <v>485</v>
      </c>
      <c r="D66" s="62" t="s">
        <v>163</v>
      </c>
      <c r="E66" s="62" t="s">
        <v>131</v>
      </c>
      <c r="F66" s="62" t="s">
        <v>6</v>
      </c>
      <c r="G66">
        <v>12</v>
      </c>
      <c r="H66">
        <v>12</v>
      </c>
      <c r="I66" s="62" t="s">
        <v>506</v>
      </c>
      <c r="J66" s="62" t="s">
        <v>1616</v>
      </c>
      <c r="K66" s="62" t="s">
        <v>1616</v>
      </c>
      <c r="L66" s="62" t="s">
        <v>1110</v>
      </c>
    </row>
    <row r="67" spans="1:12" x14ac:dyDescent="0.35">
      <c r="A67">
        <v>12036</v>
      </c>
      <c r="B67" s="62" t="s">
        <v>167</v>
      </c>
      <c r="C67" s="62" t="s">
        <v>485</v>
      </c>
      <c r="D67" s="62" t="s">
        <v>163</v>
      </c>
      <c r="E67" s="62" t="s">
        <v>131</v>
      </c>
      <c r="F67" s="62" t="s">
        <v>5</v>
      </c>
      <c r="G67">
        <v>1077</v>
      </c>
      <c r="H67">
        <v>1077</v>
      </c>
      <c r="I67" s="62" t="s">
        <v>506</v>
      </c>
      <c r="J67" s="62" t="s">
        <v>1617</v>
      </c>
      <c r="K67" s="62" t="s">
        <v>1617</v>
      </c>
      <c r="L67" s="62" t="s">
        <v>1110</v>
      </c>
    </row>
    <row r="68" spans="1:12" x14ac:dyDescent="0.35">
      <c r="A68">
        <v>12234</v>
      </c>
      <c r="B68" s="62" t="s">
        <v>171</v>
      </c>
      <c r="C68" s="62" t="s">
        <v>485</v>
      </c>
      <c r="D68" s="62" t="s">
        <v>163</v>
      </c>
      <c r="E68" s="62" t="s">
        <v>131</v>
      </c>
      <c r="F68" s="62" t="s">
        <v>6</v>
      </c>
      <c r="G68">
        <v>13</v>
      </c>
      <c r="I68" s="62" t="s">
        <v>507</v>
      </c>
      <c r="J68" s="62" t="s">
        <v>1618</v>
      </c>
      <c r="K68" s="62" t="s">
        <v>1618</v>
      </c>
      <c r="L68" s="62" t="s">
        <v>1110</v>
      </c>
    </row>
    <row r="69" spans="1:12" x14ac:dyDescent="0.35">
      <c r="A69">
        <v>12234</v>
      </c>
      <c r="B69" s="62" t="s">
        <v>171</v>
      </c>
      <c r="C69" s="62" t="s">
        <v>485</v>
      </c>
      <c r="D69" s="62" t="s">
        <v>163</v>
      </c>
      <c r="E69" s="62" t="s">
        <v>131</v>
      </c>
      <c r="F69" s="62" t="s">
        <v>5</v>
      </c>
      <c r="G69">
        <v>121</v>
      </c>
      <c r="H69">
        <v>121</v>
      </c>
      <c r="I69" s="62" t="s">
        <v>506</v>
      </c>
      <c r="J69" s="62" t="s">
        <v>1619</v>
      </c>
      <c r="K69" s="62" t="s">
        <v>1619</v>
      </c>
      <c r="L69" s="62" t="s">
        <v>1110</v>
      </c>
    </row>
    <row r="70" spans="1:12" x14ac:dyDescent="0.35">
      <c r="A70">
        <v>12036</v>
      </c>
      <c r="B70" s="62" t="s">
        <v>167</v>
      </c>
      <c r="C70" s="62" t="s">
        <v>485</v>
      </c>
      <c r="D70" s="62" t="s">
        <v>163</v>
      </c>
      <c r="E70" s="62" t="s">
        <v>131</v>
      </c>
      <c r="F70" s="62" t="s">
        <v>4</v>
      </c>
      <c r="G70">
        <v>540</v>
      </c>
      <c r="H70">
        <v>540</v>
      </c>
      <c r="I70" s="62" t="s">
        <v>506</v>
      </c>
      <c r="J70" s="62" t="s">
        <v>1620</v>
      </c>
      <c r="K70" s="62" t="s">
        <v>1620</v>
      </c>
      <c r="L70" s="62" t="s">
        <v>1110</v>
      </c>
    </row>
    <row r="71" spans="1:12" x14ac:dyDescent="0.35">
      <c r="A71">
        <v>24622</v>
      </c>
      <c r="B71" s="62" t="s">
        <v>154</v>
      </c>
      <c r="C71" s="62" t="s">
        <v>485</v>
      </c>
      <c r="D71" s="62" t="s">
        <v>152</v>
      </c>
      <c r="E71" s="62" t="s">
        <v>131</v>
      </c>
      <c r="F71" s="62" t="s">
        <v>508</v>
      </c>
      <c r="G71">
        <v>730</v>
      </c>
      <c r="H71">
        <v>600</v>
      </c>
      <c r="I71" s="62" t="s">
        <v>506</v>
      </c>
      <c r="J71" s="62" t="s">
        <v>1621</v>
      </c>
      <c r="K71" s="62" t="s">
        <v>1621</v>
      </c>
      <c r="L71" s="62" t="s">
        <v>1110</v>
      </c>
    </row>
    <row r="72" spans="1:12" x14ac:dyDescent="0.35">
      <c r="A72">
        <v>24622</v>
      </c>
      <c r="B72" s="62" t="s">
        <v>154</v>
      </c>
      <c r="C72" s="62" t="s">
        <v>485</v>
      </c>
      <c r="D72" s="62" t="s">
        <v>152</v>
      </c>
      <c r="E72" s="62" t="s">
        <v>131</v>
      </c>
      <c r="F72" s="62" t="s">
        <v>5</v>
      </c>
      <c r="G72">
        <v>6818</v>
      </c>
      <c r="H72">
        <v>6818</v>
      </c>
      <c r="I72" s="62" t="s">
        <v>506</v>
      </c>
      <c r="J72" s="62" t="s">
        <v>1622</v>
      </c>
      <c r="K72" s="62" t="s">
        <v>1622</v>
      </c>
      <c r="L72" s="62" t="s">
        <v>1110</v>
      </c>
    </row>
    <row r="73" spans="1:12" x14ac:dyDescent="0.35">
      <c r="A73">
        <v>12234</v>
      </c>
      <c r="B73" s="62" t="s">
        <v>171</v>
      </c>
      <c r="C73" s="62" t="s">
        <v>485</v>
      </c>
      <c r="D73" s="62" t="s">
        <v>163</v>
      </c>
      <c r="E73" s="62" t="s">
        <v>131</v>
      </c>
      <c r="F73" s="62" t="s">
        <v>4</v>
      </c>
      <c r="G73">
        <v>236</v>
      </c>
      <c r="H73">
        <v>236</v>
      </c>
      <c r="I73" s="62" t="s">
        <v>506</v>
      </c>
      <c r="J73" s="62" t="s">
        <v>1623</v>
      </c>
      <c r="K73" s="62" t="s">
        <v>1623</v>
      </c>
      <c r="L73" s="62" t="s">
        <v>1110</v>
      </c>
    </row>
    <row r="74" spans="1:12" x14ac:dyDescent="0.35">
      <c r="A74">
        <v>12290</v>
      </c>
      <c r="B74" s="62" t="s">
        <v>172</v>
      </c>
      <c r="C74" s="62" t="s">
        <v>485</v>
      </c>
      <c r="D74" s="62" t="s">
        <v>163</v>
      </c>
      <c r="E74" s="62" t="s">
        <v>131</v>
      </c>
      <c r="F74" s="62" t="s">
        <v>6</v>
      </c>
      <c r="G74">
        <v>14</v>
      </c>
      <c r="H74">
        <v>14</v>
      </c>
      <c r="I74" s="62" t="s">
        <v>506</v>
      </c>
      <c r="J74" s="62" t="s">
        <v>1624</v>
      </c>
      <c r="K74" s="62" t="s">
        <v>1624</v>
      </c>
      <c r="L74" s="62" t="s">
        <v>1110</v>
      </c>
    </row>
    <row r="75" spans="1:12" x14ac:dyDescent="0.35">
      <c r="A75">
        <v>12290</v>
      </c>
      <c r="B75" s="62" t="s">
        <v>172</v>
      </c>
      <c r="C75" s="62" t="s">
        <v>485</v>
      </c>
      <c r="D75" s="62" t="s">
        <v>163</v>
      </c>
      <c r="E75" s="62" t="s">
        <v>131</v>
      </c>
      <c r="F75" s="62" t="s">
        <v>5</v>
      </c>
      <c r="G75">
        <v>2</v>
      </c>
      <c r="H75">
        <v>2</v>
      </c>
      <c r="I75" s="62" t="s">
        <v>506</v>
      </c>
      <c r="J75" s="62" t="s">
        <v>1625</v>
      </c>
      <c r="K75" s="62" t="s">
        <v>1625</v>
      </c>
      <c r="L75" s="62" t="s">
        <v>1110</v>
      </c>
    </row>
    <row r="76" spans="1:12" x14ac:dyDescent="0.35">
      <c r="A76">
        <v>12302</v>
      </c>
      <c r="B76" s="62" t="s">
        <v>542</v>
      </c>
      <c r="C76" s="62" t="s">
        <v>485</v>
      </c>
      <c r="D76" s="62" t="s">
        <v>129</v>
      </c>
      <c r="E76" s="62" t="s">
        <v>131</v>
      </c>
      <c r="F76" s="62" t="s">
        <v>508</v>
      </c>
      <c r="G76">
        <v>5</v>
      </c>
      <c r="I76" s="62" t="s">
        <v>507</v>
      </c>
      <c r="J76" s="62" t="s">
        <v>1626</v>
      </c>
      <c r="K76" s="62" t="s">
        <v>1626</v>
      </c>
      <c r="L76" s="62" t="s">
        <v>1110</v>
      </c>
    </row>
    <row r="77" spans="1:12" x14ac:dyDescent="0.35">
      <c r="A77">
        <v>12302</v>
      </c>
      <c r="B77" s="62" t="s">
        <v>542</v>
      </c>
      <c r="C77" s="62" t="s">
        <v>485</v>
      </c>
      <c r="D77" s="62" t="s">
        <v>129</v>
      </c>
      <c r="E77" s="62" t="s">
        <v>131</v>
      </c>
      <c r="F77" s="62" t="s">
        <v>6</v>
      </c>
      <c r="G77">
        <v>69</v>
      </c>
      <c r="I77" s="62" t="s">
        <v>507</v>
      </c>
      <c r="J77" s="62" t="s">
        <v>1627</v>
      </c>
      <c r="K77" s="62" t="s">
        <v>1627</v>
      </c>
      <c r="L77" s="62" t="s">
        <v>1110</v>
      </c>
    </row>
    <row r="78" spans="1:12" x14ac:dyDescent="0.35">
      <c r="A78">
        <v>12302</v>
      </c>
      <c r="B78" s="62" t="s">
        <v>542</v>
      </c>
      <c r="C78" s="62" t="s">
        <v>485</v>
      </c>
      <c r="D78" s="62" t="s">
        <v>129</v>
      </c>
      <c r="E78" s="62" t="s">
        <v>131</v>
      </c>
      <c r="F78" s="62" t="s">
        <v>5</v>
      </c>
      <c r="G78">
        <v>913</v>
      </c>
      <c r="H78">
        <v>913</v>
      </c>
      <c r="I78" s="62" t="s">
        <v>506</v>
      </c>
      <c r="J78" s="62" t="s">
        <v>1628</v>
      </c>
      <c r="K78" s="62" t="s">
        <v>1628</v>
      </c>
      <c r="L78" s="62" t="s">
        <v>1110</v>
      </c>
    </row>
    <row r="79" spans="1:12" x14ac:dyDescent="0.35">
      <c r="A79">
        <v>24622</v>
      </c>
      <c r="B79" s="62" t="s">
        <v>533</v>
      </c>
      <c r="C79" s="62" t="s">
        <v>485</v>
      </c>
      <c r="D79" s="62" t="s">
        <v>152</v>
      </c>
      <c r="E79" s="62" t="s">
        <v>131</v>
      </c>
      <c r="F79" s="62" t="s">
        <v>4</v>
      </c>
      <c r="G79">
        <v>85</v>
      </c>
      <c r="H79">
        <v>85</v>
      </c>
      <c r="I79" s="62" t="s">
        <v>506</v>
      </c>
      <c r="J79" s="62" t="s">
        <v>1629</v>
      </c>
      <c r="K79" s="62" t="s">
        <v>1629</v>
      </c>
      <c r="L79" s="62" t="s">
        <v>1110</v>
      </c>
    </row>
    <row r="80" spans="1:12" x14ac:dyDescent="0.35">
      <c r="A80">
        <v>12290</v>
      </c>
      <c r="B80" s="62" t="s">
        <v>172</v>
      </c>
      <c r="C80" s="62" t="s">
        <v>485</v>
      </c>
      <c r="D80" s="62" t="s">
        <v>163</v>
      </c>
      <c r="E80" s="62" t="s">
        <v>131</v>
      </c>
      <c r="F80" s="62" t="s">
        <v>4</v>
      </c>
      <c r="G80">
        <v>100</v>
      </c>
      <c r="H80">
        <v>100</v>
      </c>
      <c r="I80" s="62" t="s">
        <v>506</v>
      </c>
      <c r="J80" s="62" t="s">
        <v>1630</v>
      </c>
      <c r="K80" s="62" t="s">
        <v>1630</v>
      </c>
      <c r="L80" s="62" t="s">
        <v>1110</v>
      </c>
    </row>
    <row r="81" spans="1:12" x14ac:dyDescent="0.35">
      <c r="A81">
        <v>12302</v>
      </c>
      <c r="B81" s="62" t="s">
        <v>132</v>
      </c>
      <c r="C81" s="62" t="s">
        <v>485</v>
      </c>
      <c r="D81" s="62" t="s">
        <v>129</v>
      </c>
      <c r="E81" s="62" t="s">
        <v>131</v>
      </c>
      <c r="F81" s="62" t="s">
        <v>4</v>
      </c>
      <c r="G81">
        <v>405</v>
      </c>
      <c r="H81">
        <v>405</v>
      </c>
      <c r="I81" s="62" t="s">
        <v>506</v>
      </c>
      <c r="J81" s="62" t="s">
        <v>1631</v>
      </c>
      <c r="K81" s="62" t="s">
        <v>1631</v>
      </c>
      <c r="L81" s="62" t="s">
        <v>1110</v>
      </c>
    </row>
    <row r="82" spans="1:12" x14ac:dyDescent="0.35">
      <c r="A82">
        <v>11973</v>
      </c>
      <c r="B82" s="62" t="s">
        <v>529</v>
      </c>
      <c r="C82" s="62" t="s">
        <v>488</v>
      </c>
      <c r="D82" s="62" t="s">
        <v>250</v>
      </c>
      <c r="E82" s="62" t="s">
        <v>131</v>
      </c>
      <c r="F82" s="62" t="s">
        <v>5</v>
      </c>
      <c r="G82">
        <v>17187</v>
      </c>
      <c r="H82">
        <v>17187</v>
      </c>
      <c r="I82" s="62" t="s">
        <v>506</v>
      </c>
      <c r="J82" s="62" t="s">
        <v>1632</v>
      </c>
      <c r="K82" s="62" t="s">
        <v>1632</v>
      </c>
      <c r="L82" s="62" t="s">
        <v>1110</v>
      </c>
    </row>
    <row r="83" spans="1:12" x14ac:dyDescent="0.35">
      <c r="A83">
        <v>12561</v>
      </c>
      <c r="B83" s="62" t="s">
        <v>267</v>
      </c>
      <c r="C83" s="62" t="s">
        <v>488</v>
      </c>
      <c r="D83" s="62" t="s">
        <v>263</v>
      </c>
      <c r="E83" s="62" t="s">
        <v>131</v>
      </c>
      <c r="F83" s="62" t="s">
        <v>6</v>
      </c>
      <c r="G83">
        <v>2</v>
      </c>
      <c r="H83">
        <v>2</v>
      </c>
      <c r="I83" s="62" t="s">
        <v>506</v>
      </c>
      <c r="J83" s="62" t="s">
        <v>1633</v>
      </c>
      <c r="K83" s="62" t="s">
        <v>1633</v>
      </c>
      <c r="L83" s="62" t="s">
        <v>1110</v>
      </c>
    </row>
    <row r="84" spans="1:12" x14ac:dyDescent="0.35">
      <c r="A84">
        <v>12561</v>
      </c>
      <c r="B84" s="62" t="s">
        <v>267</v>
      </c>
      <c r="C84" s="62" t="s">
        <v>488</v>
      </c>
      <c r="D84" s="62" t="s">
        <v>263</v>
      </c>
      <c r="E84" s="62" t="s">
        <v>131</v>
      </c>
      <c r="F84" s="62" t="s">
        <v>5</v>
      </c>
      <c r="G84">
        <v>217</v>
      </c>
      <c r="H84">
        <v>217</v>
      </c>
      <c r="I84" s="62" t="s">
        <v>506</v>
      </c>
      <c r="J84" s="62" t="s">
        <v>1634</v>
      </c>
      <c r="K84" s="62" t="s">
        <v>1634</v>
      </c>
      <c r="L84" s="62" t="s">
        <v>1110</v>
      </c>
    </row>
    <row r="85" spans="1:12" x14ac:dyDescent="0.35">
      <c r="A85">
        <v>12795</v>
      </c>
      <c r="B85" s="62" t="s">
        <v>279</v>
      </c>
      <c r="C85" s="62" t="s">
        <v>488</v>
      </c>
      <c r="D85" s="62" t="s">
        <v>276</v>
      </c>
      <c r="E85" s="62" t="s">
        <v>131</v>
      </c>
      <c r="F85" s="62" t="s">
        <v>6</v>
      </c>
      <c r="G85">
        <v>42</v>
      </c>
      <c r="H85">
        <v>42</v>
      </c>
      <c r="I85" s="62" t="s">
        <v>506</v>
      </c>
      <c r="J85" s="62" t="s">
        <v>1635</v>
      </c>
      <c r="K85" s="62" t="s">
        <v>1635</v>
      </c>
      <c r="L85" s="62" t="s">
        <v>1110</v>
      </c>
    </row>
    <row r="86" spans="1:12" x14ac:dyDescent="0.35">
      <c r="A86">
        <v>12561</v>
      </c>
      <c r="B86" s="62" t="s">
        <v>267</v>
      </c>
      <c r="C86" s="62" t="s">
        <v>488</v>
      </c>
      <c r="D86" s="62" t="s">
        <v>263</v>
      </c>
      <c r="E86" s="62" t="s">
        <v>131</v>
      </c>
      <c r="F86" s="62" t="s">
        <v>4</v>
      </c>
      <c r="G86">
        <v>46</v>
      </c>
      <c r="H86">
        <v>46</v>
      </c>
      <c r="I86" s="62" t="s">
        <v>506</v>
      </c>
      <c r="J86" s="62" t="s">
        <v>1636</v>
      </c>
      <c r="K86" s="62" t="s">
        <v>1636</v>
      </c>
      <c r="L86" s="62" t="s">
        <v>1110</v>
      </c>
    </row>
    <row r="87" spans="1:12" x14ac:dyDescent="0.35">
      <c r="A87">
        <v>12119</v>
      </c>
      <c r="B87" s="62" t="s">
        <v>257</v>
      </c>
      <c r="C87" s="62" t="s">
        <v>488</v>
      </c>
      <c r="D87" s="62" t="s">
        <v>256</v>
      </c>
      <c r="E87" s="62" t="s">
        <v>131</v>
      </c>
      <c r="F87" s="62" t="s">
        <v>508</v>
      </c>
      <c r="G87">
        <v>137</v>
      </c>
      <c r="H87">
        <v>137</v>
      </c>
      <c r="I87" s="62" t="s">
        <v>506</v>
      </c>
      <c r="J87" s="62" t="s">
        <v>1637</v>
      </c>
      <c r="K87" s="62" t="s">
        <v>1637</v>
      </c>
      <c r="L87" s="62" t="s">
        <v>1110</v>
      </c>
    </row>
    <row r="88" spans="1:12" x14ac:dyDescent="0.35">
      <c r="A88">
        <v>12119</v>
      </c>
      <c r="B88" s="62" t="s">
        <v>257</v>
      </c>
      <c r="C88" s="62" t="s">
        <v>488</v>
      </c>
      <c r="D88" s="62" t="s">
        <v>256</v>
      </c>
      <c r="E88" s="62" t="s">
        <v>131</v>
      </c>
      <c r="F88" s="62" t="s">
        <v>6</v>
      </c>
      <c r="G88">
        <v>1815</v>
      </c>
      <c r="H88">
        <v>1815</v>
      </c>
      <c r="I88" s="62" t="s">
        <v>506</v>
      </c>
      <c r="J88" s="62" t="s">
        <v>1638</v>
      </c>
      <c r="K88" s="62" t="s">
        <v>1638</v>
      </c>
      <c r="L88" s="62" t="s">
        <v>1110</v>
      </c>
    </row>
    <row r="89" spans="1:12" x14ac:dyDescent="0.35">
      <c r="A89">
        <v>12119</v>
      </c>
      <c r="B89" s="62" t="s">
        <v>257</v>
      </c>
      <c r="C89" s="62" t="s">
        <v>488</v>
      </c>
      <c r="D89" s="62" t="s">
        <v>256</v>
      </c>
      <c r="E89" s="62" t="s">
        <v>131</v>
      </c>
      <c r="F89" s="62" t="s">
        <v>5</v>
      </c>
      <c r="G89">
        <v>2877</v>
      </c>
      <c r="H89">
        <v>2877</v>
      </c>
      <c r="I89" s="62" t="s">
        <v>506</v>
      </c>
      <c r="J89" s="62" t="s">
        <v>1639</v>
      </c>
      <c r="K89" s="62" t="s">
        <v>1639</v>
      </c>
      <c r="L89" s="62" t="s">
        <v>1110</v>
      </c>
    </row>
    <row r="90" spans="1:12" x14ac:dyDescent="0.35">
      <c r="A90">
        <v>12119</v>
      </c>
      <c r="B90" s="62" t="s">
        <v>257</v>
      </c>
      <c r="C90" s="62" t="s">
        <v>488</v>
      </c>
      <c r="D90" s="62" t="s">
        <v>256</v>
      </c>
      <c r="E90" s="62" t="s">
        <v>131</v>
      </c>
      <c r="F90" s="62" t="s">
        <v>4</v>
      </c>
      <c r="G90">
        <v>256</v>
      </c>
      <c r="H90">
        <v>256</v>
      </c>
      <c r="I90" s="62" t="s">
        <v>506</v>
      </c>
      <c r="J90" s="62" t="s">
        <v>1640</v>
      </c>
      <c r="K90" s="62" t="s">
        <v>1640</v>
      </c>
      <c r="L90" s="62" t="s">
        <v>1110</v>
      </c>
    </row>
    <row r="91" spans="1:12" x14ac:dyDescent="0.35">
      <c r="A91">
        <v>12272</v>
      </c>
      <c r="B91" s="62" t="s">
        <v>265</v>
      </c>
      <c r="C91" s="62" t="s">
        <v>488</v>
      </c>
      <c r="D91" s="62" t="s">
        <v>263</v>
      </c>
      <c r="E91" s="62" t="s">
        <v>131</v>
      </c>
      <c r="F91" s="62" t="s">
        <v>4</v>
      </c>
      <c r="G91">
        <v>146</v>
      </c>
      <c r="H91">
        <v>146</v>
      </c>
      <c r="I91" s="62" t="s">
        <v>506</v>
      </c>
      <c r="J91" s="62" t="s">
        <v>1641</v>
      </c>
      <c r="K91" s="62" t="s">
        <v>1641</v>
      </c>
      <c r="L91" s="62" t="s">
        <v>1110</v>
      </c>
    </row>
    <row r="92" spans="1:12" x14ac:dyDescent="0.35">
      <c r="A92">
        <v>12071</v>
      </c>
      <c r="B92" s="62" t="s">
        <v>169</v>
      </c>
      <c r="C92" s="62" t="s">
        <v>485</v>
      </c>
      <c r="D92" s="62" t="s">
        <v>163</v>
      </c>
      <c r="E92" s="62" t="s">
        <v>131</v>
      </c>
      <c r="F92" s="62" t="s">
        <v>508</v>
      </c>
      <c r="G92">
        <v>1</v>
      </c>
      <c r="H92">
        <v>1</v>
      </c>
      <c r="I92" s="62" t="s">
        <v>506</v>
      </c>
      <c r="J92" s="62" t="s">
        <v>1642</v>
      </c>
      <c r="K92" s="62" t="s">
        <v>1642</v>
      </c>
      <c r="L92" s="62" t="s">
        <v>1110</v>
      </c>
    </row>
    <row r="93" spans="1:12" x14ac:dyDescent="0.35">
      <c r="A93">
        <v>12071</v>
      </c>
      <c r="B93" s="62" t="s">
        <v>169</v>
      </c>
      <c r="C93" s="62" t="s">
        <v>485</v>
      </c>
      <c r="D93" s="62" t="s">
        <v>163</v>
      </c>
      <c r="E93" s="62" t="s">
        <v>131</v>
      </c>
      <c r="F93" s="62" t="s">
        <v>6</v>
      </c>
      <c r="G93">
        <v>10</v>
      </c>
      <c r="H93">
        <v>10</v>
      </c>
      <c r="I93" s="62" t="s">
        <v>506</v>
      </c>
      <c r="J93" s="62" t="s">
        <v>1643</v>
      </c>
      <c r="K93" s="62" t="s">
        <v>1643</v>
      </c>
      <c r="L93" s="62" t="s">
        <v>1110</v>
      </c>
    </row>
    <row r="94" spans="1:12" x14ac:dyDescent="0.35">
      <c r="A94">
        <v>12071</v>
      </c>
      <c r="B94" s="62" t="s">
        <v>169</v>
      </c>
      <c r="C94" s="62" t="s">
        <v>485</v>
      </c>
      <c r="D94" s="62" t="s">
        <v>163</v>
      </c>
      <c r="E94" s="62" t="s">
        <v>131</v>
      </c>
      <c r="F94" s="62" t="s">
        <v>5</v>
      </c>
      <c r="G94">
        <v>2</v>
      </c>
      <c r="H94">
        <v>2</v>
      </c>
      <c r="I94" s="62" t="s">
        <v>506</v>
      </c>
      <c r="J94" s="62" t="s">
        <v>1644</v>
      </c>
      <c r="K94" s="62" t="s">
        <v>1644</v>
      </c>
      <c r="L94" s="62" t="s">
        <v>1110</v>
      </c>
    </row>
    <row r="95" spans="1:12" x14ac:dyDescent="0.35">
      <c r="A95">
        <v>12272</v>
      </c>
      <c r="B95" s="62" t="s">
        <v>265</v>
      </c>
      <c r="C95" s="62" t="s">
        <v>488</v>
      </c>
      <c r="D95" s="62" t="s">
        <v>263</v>
      </c>
      <c r="E95" s="62" t="s">
        <v>131</v>
      </c>
      <c r="F95" s="62" t="s">
        <v>5</v>
      </c>
      <c r="G95">
        <v>1278</v>
      </c>
      <c r="H95">
        <v>1000</v>
      </c>
      <c r="I95" s="62" t="s">
        <v>506</v>
      </c>
      <c r="J95" s="62" t="s">
        <v>1645</v>
      </c>
      <c r="K95" s="62" t="s">
        <v>1645</v>
      </c>
      <c r="L95" s="62" t="s">
        <v>1110</v>
      </c>
    </row>
    <row r="96" spans="1:12" x14ac:dyDescent="0.35">
      <c r="A96">
        <v>12071</v>
      </c>
      <c r="B96" s="62" t="s">
        <v>169</v>
      </c>
      <c r="C96" s="62" t="s">
        <v>485</v>
      </c>
      <c r="D96" s="62" t="s">
        <v>163</v>
      </c>
      <c r="E96" s="62" t="s">
        <v>131</v>
      </c>
      <c r="F96" s="62" t="s">
        <v>4</v>
      </c>
      <c r="G96">
        <v>162</v>
      </c>
      <c r="H96">
        <v>162</v>
      </c>
      <c r="I96" s="62" t="s">
        <v>506</v>
      </c>
      <c r="J96" s="62" t="s">
        <v>1646</v>
      </c>
      <c r="K96" s="62" t="s">
        <v>1646</v>
      </c>
      <c r="L96" s="62" t="s">
        <v>1110</v>
      </c>
    </row>
    <row r="97" spans="1:12" x14ac:dyDescent="0.35">
      <c r="A97">
        <v>11971</v>
      </c>
      <c r="B97" s="62" t="s">
        <v>164</v>
      </c>
      <c r="C97" s="62" t="s">
        <v>485</v>
      </c>
      <c r="D97" s="62" t="s">
        <v>163</v>
      </c>
      <c r="E97" s="62" t="s">
        <v>131</v>
      </c>
      <c r="F97" s="62" t="s">
        <v>4</v>
      </c>
      <c r="G97">
        <v>91</v>
      </c>
      <c r="H97">
        <v>91</v>
      </c>
      <c r="I97" s="62" t="s">
        <v>506</v>
      </c>
      <c r="J97" s="62" t="s">
        <v>1647</v>
      </c>
      <c r="K97" s="62" t="s">
        <v>1647</v>
      </c>
      <c r="L97" s="62" t="s">
        <v>1110</v>
      </c>
    </row>
    <row r="98" spans="1:12" x14ac:dyDescent="0.35">
      <c r="A98">
        <v>11971</v>
      </c>
      <c r="B98" s="62" t="s">
        <v>164</v>
      </c>
      <c r="C98" s="62" t="s">
        <v>485</v>
      </c>
      <c r="D98" s="62" t="s">
        <v>163</v>
      </c>
      <c r="E98" s="62" t="s">
        <v>131</v>
      </c>
      <c r="F98" s="62" t="s">
        <v>508</v>
      </c>
      <c r="G98">
        <v>2</v>
      </c>
      <c r="I98" s="62" t="s">
        <v>507</v>
      </c>
      <c r="J98" s="62" t="s">
        <v>1648</v>
      </c>
      <c r="K98" s="62" t="s">
        <v>1648</v>
      </c>
      <c r="L98" s="62" t="s">
        <v>1110</v>
      </c>
    </row>
    <row r="99" spans="1:12" x14ac:dyDescent="0.35">
      <c r="A99">
        <v>11971</v>
      </c>
      <c r="B99" s="62" t="s">
        <v>164</v>
      </c>
      <c r="C99" s="62" t="s">
        <v>485</v>
      </c>
      <c r="D99" s="62" t="s">
        <v>163</v>
      </c>
      <c r="E99" s="62" t="s">
        <v>131</v>
      </c>
      <c r="F99" s="62" t="s">
        <v>6</v>
      </c>
      <c r="G99">
        <v>6</v>
      </c>
      <c r="I99" s="62" t="s">
        <v>507</v>
      </c>
      <c r="J99" s="62" t="s">
        <v>1649</v>
      </c>
      <c r="K99" s="62" t="s">
        <v>1649</v>
      </c>
      <c r="L99" s="62" t="s">
        <v>1110</v>
      </c>
    </row>
    <row r="100" spans="1:12" x14ac:dyDescent="0.35">
      <c r="A100">
        <v>11971</v>
      </c>
      <c r="B100" s="62" t="s">
        <v>164</v>
      </c>
      <c r="C100" s="62" t="s">
        <v>485</v>
      </c>
      <c r="D100" s="62" t="s">
        <v>163</v>
      </c>
      <c r="E100" s="62" t="s">
        <v>131</v>
      </c>
      <c r="F100" s="62" t="s">
        <v>5</v>
      </c>
      <c r="G100">
        <v>508</v>
      </c>
      <c r="H100">
        <v>508</v>
      </c>
      <c r="I100" s="62" t="s">
        <v>506</v>
      </c>
      <c r="J100" s="62" t="s">
        <v>1650</v>
      </c>
      <c r="K100" s="62" t="s">
        <v>1650</v>
      </c>
      <c r="L100" s="62" t="s">
        <v>1110</v>
      </c>
    </row>
    <row r="101" spans="1:12" x14ac:dyDescent="0.35">
      <c r="A101">
        <v>12589</v>
      </c>
      <c r="B101" s="62" t="s">
        <v>262</v>
      </c>
      <c r="C101" s="62" t="s">
        <v>488</v>
      </c>
      <c r="D101" s="62" t="s">
        <v>261</v>
      </c>
      <c r="E101" s="62" t="s">
        <v>131</v>
      </c>
      <c r="F101" s="62" t="s">
        <v>6</v>
      </c>
      <c r="G101">
        <v>142</v>
      </c>
      <c r="I101" s="62" t="s">
        <v>507</v>
      </c>
      <c r="J101" s="62" t="s">
        <v>1651</v>
      </c>
      <c r="K101" s="62" t="s">
        <v>1651</v>
      </c>
      <c r="L101" s="62" t="s">
        <v>1110</v>
      </c>
    </row>
    <row r="102" spans="1:12" x14ac:dyDescent="0.35">
      <c r="A102">
        <v>12684</v>
      </c>
      <c r="B102" s="62" t="s">
        <v>158</v>
      </c>
      <c r="C102" s="62" t="s">
        <v>485</v>
      </c>
      <c r="D102" s="62" t="s">
        <v>152</v>
      </c>
      <c r="E102" s="62" t="s">
        <v>131</v>
      </c>
      <c r="F102" s="62" t="s">
        <v>508</v>
      </c>
      <c r="G102">
        <v>742</v>
      </c>
      <c r="H102">
        <v>742</v>
      </c>
      <c r="I102" s="62" t="s">
        <v>506</v>
      </c>
      <c r="J102" s="62" t="s">
        <v>1652</v>
      </c>
      <c r="K102" s="62" t="s">
        <v>1652</v>
      </c>
      <c r="L102" s="62" t="s">
        <v>1110</v>
      </c>
    </row>
    <row r="103" spans="1:12" x14ac:dyDescent="0.35">
      <c r="A103">
        <v>12684</v>
      </c>
      <c r="B103" s="62" t="s">
        <v>158</v>
      </c>
      <c r="C103" s="62" t="s">
        <v>485</v>
      </c>
      <c r="D103" s="62" t="s">
        <v>152</v>
      </c>
      <c r="E103" s="62" t="s">
        <v>131</v>
      </c>
      <c r="F103" s="62" t="s">
        <v>6</v>
      </c>
      <c r="G103">
        <v>446</v>
      </c>
      <c r="H103">
        <v>446</v>
      </c>
      <c r="I103" s="62" t="s">
        <v>506</v>
      </c>
      <c r="J103" s="62" t="s">
        <v>1653</v>
      </c>
      <c r="K103" s="62" t="s">
        <v>1653</v>
      </c>
      <c r="L103" s="62" t="s">
        <v>1110</v>
      </c>
    </row>
    <row r="104" spans="1:12" x14ac:dyDescent="0.35">
      <c r="A104">
        <v>12684</v>
      </c>
      <c r="B104" s="62" t="s">
        <v>158</v>
      </c>
      <c r="C104" s="62" t="s">
        <v>485</v>
      </c>
      <c r="D104" s="62" t="s">
        <v>152</v>
      </c>
      <c r="E104" s="62" t="s">
        <v>131</v>
      </c>
      <c r="F104" s="62" t="s">
        <v>5</v>
      </c>
      <c r="G104">
        <v>9091</v>
      </c>
      <c r="H104">
        <v>9091</v>
      </c>
      <c r="I104" s="62" t="s">
        <v>506</v>
      </c>
      <c r="J104" s="62" t="s">
        <v>1654</v>
      </c>
      <c r="K104" s="62" t="s">
        <v>1654</v>
      </c>
      <c r="L104" s="62" t="s">
        <v>1110</v>
      </c>
    </row>
    <row r="105" spans="1:12" x14ac:dyDescent="0.35">
      <c r="A105">
        <v>12589</v>
      </c>
      <c r="B105" s="62" t="s">
        <v>262</v>
      </c>
      <c r="C105" s="62" t="s">
        <v>488</v>
      </c>
      <c r="D105" s="62" t="s">
        <v>261</v>
      </c>
      <c r="E105" s="62" t="s">
        <v>131</v>
      </c>
      <c r="F105" s="62" t="s">
        <v>5</v>
      </c>
      <c r="G105">
        <v>5023</v>
      </c>
      <c r="H105">
        <v>6523</v>
      </c>
      <c r="I105" s="62" t="s">
        <v>506</v>
      </c>
      <c r="J105" s="62" t="s">
        <v>1655</v>
      </c>
      <c r="K105" s="62" t="s">
        <v>1655</v>
      </c>
      <c r="L105" s="62" t="s">
        <v>1110</v>
      </c>
    </row>
    <row r="106" spans="1:12" x14ac:dyDescent="0.35">
      <c r="A106">
        <v>12684</v>
      </c>
      <c r="B106" s="62" t="s">
        <v>158</v>
      </c>
      <c r="C106" s="62" t="s">
        <v>485</v>
      </c>
      <c r="D106" s="62" t="s">
        <v>152</v>
      </c>
      <c r="E106" s="62" t="s">
        <v>131</v>
      </c>
      <c r="F106" s="62" t="s">
        <v>4</v>
      </c>
      <c r="G106">
        <v>6240</v>
      </c>
      <c r="H106">
        <v>6240</v>
      </c>
      <c r="I106" s="62" t="s">
        <v>506</v>
      </c>
      <c r="J106" s="62" t="s">
        <v>1656</v>
      </c>
      <c r="K106" s="62" t="s">
        <v>1656</v>
      </c>
      <c r="L106" s="62" t="s">
        <v>1110</v>
      </c>
    </row>
    <row r="107" spans="1:12" x14ac:dyDescent="0.35">
      <c r="A107">
        <v>10916</v>
      </c>
      <c r="B107" s="62" t="s">
        <v>352</v>
      </c>
      <c r="C107" s="62" t="s">
        <v>494</v>
      </c>
      <c r="D107" s="62" t="s">
        <v>351</v>
      </c>
      <c r="E107" s="62" t="s">
        <v>131</v>
      </c>
      <c r="F107" s="62" t="s">
        <v>4</v>
      </c>
      <c r="G107">
        <v>5342</v>
      </c>
      <c r="I107" s="62" t="s">
        <v>507</v>
      </c>
      <c r="J107" s="62" t="s">
        <v>1657</v>
      </c>
      <c r="K107" s="62" t="s">
        <v>1657</v>
      </c>
      <c r="L107" s="62" t="s">
        <v>1110</v>
      </c>
    </row>
    <row r="108" spans="1:12" x14ac:dyDescent="0.35">
      <c r="A108">
        <v>12666</v>
      </c>
      <c r="B108" s="62" t="s">
        <v>186</v>
      </c>
      <c r="C108" s="62" t="s">
        <v>485</v>
      </c>
      <c r="D108" s="62" t="s">
        <v>175</v>
      </c>
      <c r="E108" s="62" t="s">
        <v>131</v>
      </c>
      <c r="F108" s="62" t="s">
        <v>4</v>
      </c>
      <c r="G108">
        <v>300</v>
      </c>
      <c r="H108">
        <v>300</v>
      </c>
      <c r="I108" s="62" t="s">
        <v>506</v>
      </c>
      <c r="J108" s="62" t="s">
        <v>1658</v>
      </c>
      <c r="K108" s="62" t="s">
        <v>1658</v>
      </c>
      <c r="L108" s="62" t="s">
        <v>1110</v>
      </c>
    </row>
    <row r="109" spans="1:12" x14ac:dyDescent="0.35">
      <c r="A109">
        <v>12589</v>
      </c>
      <c r="B109" s="62" t="s">
        <v>262</v>
      </c>
      <c r="C109" s="62" t="s">
        <v>488</v>
      </c>
      <c r="D109" s="62" t="s">
        <v>261</v>
      </c>
      <c r="E109" s="62" t="s">
        <v>131</v>
      </c>
      <c r="F109" s="62" t="s">
        <v>4</v>
      </c>
      <c r="G109">
        <v>1348</v>
      </c>
      <c r="H109">
        <v>1348</v>
      </c>
      <c r="I109" s="62" t="s">
        <v>506</v>
      </c>
      <c r="J109" s="62" t="s">
        <v>1659</v>
      </c>
      <c r="K109" s="62" t="s">
        <v>1659</v>
      </c>
      <c r="L109" s="62" t="s">
        <v>1110</v>
      </c>
    </row>
    <row r="110" spans="1:12" x14ac:dyDescent="0.35">
      <c r="A110">
        <v>12359</v>
      </c>
      <c r="B110" s="62" t="s">
        <v>215</v>
      </c>
      <c r="C110" s="62" t="s">
        <v>487</v>
      </c>
      <c r="D110" s="62" t="s">
        <v>208</v>
      </c>
      <c r="E110" s="62" t="s">
        <v>131</v>
      </c>
      <c r="F110" s="62" t="s">
        <v>4</v>
      </c>
      <c r="G110">
        <v>291</v>
      </c>
      <c r="H110">
        <v>291</v>
      </c>
      <c r="I110" s="62" t="s">
        <v>506</v>
      </c>
      <c r="J110" s="62" t="s">
        <v>1660</v>
      </c>
      <c r="K110" s="62" t="s">
        <v>1660</v>
      </c>
      <c r="L110" s="62" t="s">
        <v>1110</v>
      </c>
    </row>
    <row r="111" spans="1:12" x14ac:dyDescent="0.35">
      <c r="A111">
        <v>12300</v>
      </c>
      <c r="B111" s="62" t="s">
        <v>532</v>
      </c>
      <c r="C111" s="62" t="s">
        <v>487</v>
      </c>
      <c r="D111" s="62" t="s">
        <v>237</v>
      </c>
      <c r="E111" s="62" t="s">
        <v>131</v>
      </c>
      <c r="F111" s="62" t="s">
        <v>4</v>
      </c>
      <c r="G111">
        <v>112</v>
      </c>
      <c r="H111">
        <v>112</v>
      </c>
      <c r="I111" s="62" t="s">
        <v>506</v>
      </c>
      <c r="J111" s="62" t="s">
        <v>1661</v>
      </c>
      <c r="K111" s="62" t="s">
        <v>1661</v>
      </c>
      <c r="L111" s="62" t="s">
        <v>1110</v>
      </c>
    </row>
    <row r="112" spans="1:12" x14ac:dyDescent="0.35">
      <c r="A112">
        <v>12673</v>
      </c>
      <c r="B112" s="62" t="s">
        <v>244</v>
      </c>
      <c r="C112" s="62" t="s">
        <v>487</v>
      </c>
      <c r="D112" s="62" t="s">
        <v>237</v>
      </c>
      <c r="E112" s="62" t="s">
        <v>131</v>
      </c>
      <c r="F112" s="62" t="s">
        <v>4</v>
      </c>
      <c r="G112">
        <v>107</v>
      </c>
      <c r="H112">
        <v>107</v>
      </c>
      <c r="I112" s="62" t="s">
        <v>506</v>
      </c>
      <c r="J112" s="62" t="s">
        <v>1662</v>
      </c>
      <c r="K112" s="62" t="s">
        <v>1662</v>
      </c>
      <c r="L112" s="62" t="s">
        <v>1110</v>
      </c>
    </row>
    <row r="113" spans="1:12" x14ac:dyDescent="0.35">
      <c r="A113">
        <v>12279</v>
      </c>
      <c r="B113" s="62" t="s">
        <v>242</v>
      </c>
      <c r="C113" s="62" t="s">
        <v>487</v>
      </c>
      <c r="D113" s="62" t="s">
        <v>237</v>
      </c>
      <c r="E113" s="62" t="s">
        <v>131</v>
      </c>
      <c r="F113" s="62" t="s">
        <v>508</v>
      </c>
      <c r="G113">
        <v>268</v>
      </c>
      <c r="I113" s="62" t="s">
        <v>507</v>
      </c>
      <c r="J113" s="62" t="s">
        <v>1663</v>
      </c>
      <c r="K113" s="62" t="s">
        <v>1663</v>
      </c>
      <c r="L113" s="62" t="s">
        <v>1110</v>
      </c>
    </row>
    <row r="114" spans="1:12" x14ac:dyDescent="0.35">
      <c r="A114">
        <v>12279</v>
      </c>
      <c r="B114" s="62" t="s">
        <v>242</v>
      </c>
      <c r="C114" s="62" t="s">
        <v>487</v>
      </c>
      <c r="D114" s="62" t="s">
        <v>237</v>
      </c>
      <c r="E114" s="62" t="s">
        <v>131</v>
      </c>
      <c r="F114" s="62" t="s">
        <v>6</v>
      </c>
      <c r="G114">
        <v>56</v>
      </c>
      <c r="I114" s="62" t="s">
        <v>507</v>
      </c>
      <c r="J114" s="62" t="s">
        <v>1664</v>
      </c>
      <c r="K114" s="62" t="s">
        <v>1664</v>
      </c>
      <c r="L114" s="62" t="s">
        <v>1110</v>
      </c>
    </row>
    <row r="115" spans="1:12" x14ac:dyDescent="0.35">
      <c r="A115">
        <v>12279</v>
      </c>
      <c r="B115" s="62" t="s">
        <v>242</v>
      </c>
      <c r="C115" s="62" t="s">
        <v>487</v>
      </c>
      <c r="D115" s="62" t="s">
        <v>237</v>
      </c>
      <c r="E115" s="62" t="s">
        <v>131</v>
      </c>
      <c r="F115" s="62" t="s">
        <v>5</v>
      </c>
      <c r="G115">
        <v>2445</v>
      </c>
      <c r="H115">
        <v>2445</v>
      </c>
      <c r="I115" s="62" t="s">
        <v>506</v>
      </c>
      <c r="J115" s="62" t="s">
        <v>1665</v>
      </c>
      <c r="K115" s="62" t="s">
        <v>1665</v>
      </c>
      <c r="L115" s="62" t="s">
        <v>1110</v>
      </c>
    </row>
    <row r="116" spans="1:12" x14ac:dyDescent="0.35">
      <c r="A116">
        <v>12279</v>
      </c>
      <c r="B116" s="62" t="s">
        <v>242</v>
      </c>
      <c r="C116" s="62" t="s">
        <v>487</v>
      </c>
      <c r="D116" s="62" t="s">
        <v>237</v>
      </c>
      <c r="E116" s="62" t="s">
        <v>131</v>
      </c>
      <c r="F116" s="62" t="s">
        <v>4</v>
      </c>
      <c r="G116">
        <v>1062</v>
      </c>
      <c r="H116">
        <v>1062</v>
      </c>
      <c r="I116" s="62" t="s">
        <v>506</v>
      </c>
      <c r="J116" s="62" t="s">
        <v>1666</v>
      </c>
      <c r="K116" s="62" t="s">
        <v>1666</v>
      </c>
      <c r="L116" s="62" t="s">
        <v>1110</v>
      </c>
    </row>
    <row r="117" spans="1:12" x14ac:dyDescent="0.35">
      <c r="A117">
        <v>12516</v>
      </c>
      <c r="B117" s="62" t="s">
        <v>174</v>
      </c>
      <c r="C117" s="62" t="s">
        <v>485</v>
      </c>
      <c r="D117" s="62" t="s">
        <v>163</v>
      </c>
      <c r="E117" s="62" t="s">
        <v>131</v>
      </c>
      <c r="F117" s="62" t="s">
        <v>6</v>
      </c>
      <c r="G117">
        <v>1140</v>
      </c>
      <c r="H117">
        <v>1140</v>
      </c>
      <c r="I117" s="62" t="s">
        <v>506</v>
      </c>
      <c r="J117" s="62" t="s">
        <v>1667</v>
      </c>
      <c r="K117" s="62" t="s">
        <v>1667</v>
      </c>
      <c r="L117" s="62" t="s">
        <v>1110</v>
      </c>
    </row>
    <row r="118" spans="1:12" x14ac:dyDescent="0.35">
      <c r="A118">
        <v>12516</v>
      </c>
      <c r="B118" s="62" t="s">
        <v>174</v>
      </c>
      <c r="C118" s="62" t="s">
        <v>485</v>
      </c>
      <c r="D118" s="62" t="s">
        <v>163</v>
      </c>
      <c r="E118" s="62" t="s">
        <v>131</v>
      </c>
      <c r="F118" s="62" t="s">
        <v>508</v>
      </c>
      <c r="G118">
        <v>1491</v>
      </c>
      <c r="H118">
        <v>1200</v>
      </c>
      <c r="I118" s="62" t="s">
        <v>507</v>
      </c>
      <c r="J118" s="62" t="s">
        <v>1668</v>
      </c>
      <c r="K118" s="62" t="s">
        <v>1668</v>
      </c>
      <c r="L118" s="62" t="s">
        <v>1110</v>
      </c>
    </row>
    <row r="119" spans="1:12" x14ac:dyDescent="0.35">
      <c r="A119">
        <v>12179</v>
      </c>
      <c r="B119" s="62" t="s">
        <v>240</v>
      </c>
      <c r="C119" s="62" t="s">
        <v>487</v>
      </c>
      <c r="D119" s="62" t="s">
        <v>237</v>
      </c>
      <c r="E119" s="62" t="s">
        <v>131</v>
      </c>
      <c r="F119" s="62" t="s">
        <v>4</v>
      </c>
      <c r="G119">
        <v>249</v>
      </c>
      <c r="H119">
        <v>249</v>
      </c>
      <c r="I119" s="62" t="s">
        <v>506</v>
      </c>
      <c r="J119" s="62" t="s">
        <v>1669</v>
      </c>
      <c r="K119" s="62" t="s">
        <v>1669</v>
      </c>
      <c r="L119" s="62" t="s">
        <v>1110</v>
      </c>
    </row>
    <row r="120" spans="1:12" x14ac:dyDescent="0.35">
      <c r="A120">
        <v>12179</v>
      </c>
      <c r="B120" s="62" t="s">
        <v>240</v>
      </c>
      <c r="C120" s="62" t="s">
        <v>487</v>
      </c>
      <c r="D120" s="62" t="s">
        <v>237</v>
      </c>
      <c r="E120" s="62" t="s">
        <v>131</v>
      </c>
      <c r="F120" s="62" t="s">
        <v>508</v>
      </c>
      <c r="G120">
        <v>11</v>
      </c>
      <c r="I120" s="62" t="s">
        <v>507</v>
      </c>
      <c r="J120" s="62" t="s">
        <v>1670</v>
      </c>
      <c r="K120" s="62" t="s">
        <v>1670</v>
      </c>
      <c r="L120" s="62" t="s">
        <v>1110</v>
      </c>
    </row>
    <row r="121" spans="1:12" x14ac:dyDescent="0.35">
      <c r="A121">
        <v>12179</v>
      </c>
      <c r="B121" s="62" t="s">
        <v>240</v>
      </c>
      <c r="C121" s="62" t="s">
        <v>487</v>
      </c>
      <c r="D121" s="62" t="s">
        <v>237</v>
      </c>
      <c r="E121" s="62" t="s">
        <v>131</v>
      </c>
      <c r="F121" s="62" t="s">
        <v>6</v>
      </c>
      <c r="G121">
        <v>16</v>
      </c>
      <c r="I121" s="62" t="s">
        <v>507</v>
      </c>
      <c r="J121" s="62" t="s">
        <v>1671</v>
      </c>
      <c r="K121" s="62" t="s">
        <v>1671</v>
      </c>
      <c r="L121" s="62" t="s">
        <v>1110</v>
      </c>
    </row>
    <row r="122" spans="1:12" x14ac:dyDescent="0.35">
      <c r="A122">
        <v>12179</v>
      </c>
      <c r="B122" s="62" t="s">
        <v>240</v>
      </c>
      <c r="C122" s="62" t="s">
        <v>487</v>
      </c>
      <c r="D122" s="62" t="s">
        <v>237</v>
      </c>
      <c r="E122" s="62" t="s">
        <v>131</v>
      </c>
      <c r="F122" s="62" t="s">
        <v>5</v>
      </c>
      <c r="G122">
        <v>67</v>
      </c>
      <c r="I122" s="62" t="s">
        <v>506</v>
      </c>
      <c r="J122" s="62" t="s">
        <v>1672</v>
      </c>
      <c r="K122" s="62" t="s">
        <v>1672</v>
      </c>
      <c r="L122" s="62" t="s">
        <v>1110</v>
      </c>
    </row>
    <row r="123" spans="1:12" x14ac:dyDescent="0.35">
      <c r="A123">
        <v>12516</v>
      </c>
      <c r="B123" s="62" t="s">
        <v>174</v>
      </c>
      <c r="C123" s="62" t="s">
        <v>485</v>
      </c>
      <c r="D123" s="62" t="s">
        <v>163</v>
      </c>
      <c r="E123" s="62" t="s">
        <v>131</v>
      </c>
      <c r="F123" s="62" t="s">
        <v>5</v>
      </c>
      <c r="G123">
        <v>14774</v>
      </c>
      <c r="H123">
        <v>14774</v>
      </c>
      <c r="I123" s="62" t="s">
        <v>506</v>
      </c>
      <c r="J123" s="62" t="s">
        <v>1673</v>
      </c>
      <c r="K123" s="62" t="s">
        <v>1673</v>
      </c>
      <c r="L123" s="62" t="s">
        <v>1110</v>
      </c>
    </row>
    <row r="124" spans="1:12" x14ac:dyDescent="0.35">
      <c r="A124">
        <v>16463</v>
      </c>
      <c r="B124" s="62" t="s">
        <v>228</v>
      </c>
      <c r="C124" s="62" t="s">
        <v>487</v>
      </c>
      <c r="D124" s="62" t="s">
        <v>226</v>
      </c>
      <c r="E124" s="62" t="s">
        <v>131</v>
      </c>
      <c r="F124" s="62" t="s">
        <v>508</v>
      </c>
      <c r="G124">
        <v>176</v>
      </c>
      <c r="H124">
        <v>176</v>
      </c>
      <c r="I124" s="62" t="s">
        <v>506</v>
      </c>
      <c r="J124" s="62" t="s">
        <v>1674</v>
      </c>
      <c r="K124" s="62" t="s">
        <v>1674</v>
      </c>
      <c r="L124" s="62" t="s">
        <v>1110</v>
      </c>
    </row>
    <row r="125" spans="1:12" x14ac:dyDescent="0.35">
      <c r="A125">
        <v>16463</v>
      </c>
      <c r="B125" s="62" t="s">
        <v>228</v>
      </c>
      <c r="C125" s="62" t="s">
        <v>487</v>
      </c>
      <c r="D125" s="62" t="s">
        <v>226</v>
      </c>
      <c r="E125" s="62" t="s">
        <v>131</v>
      </c>
      <c r="F125" s="62" t="s">
        <v>5</v>
      </c>
      <c r="G125">
        <v>1853</v>
      </c>
      <c r="H125">
        <v>1853</v>
      </c>
      <c r="I125" s="62" t="s">
        <v>506</v>
      </c>
      <c r="J125" s="62" t="s">
        <v>1675</v>
      </c>
      <c r="K125" s="62" t="s">
        <v>1675</v>
      </c>
      <c r="L125" s="62" t="s">
        <v>1110</v>
      </c>
    </row>
    <row r="126" spans="1:12" x14ac:dyDescent="0.35">
      <c r="A126">
        <v>16463</v>
      </c>
      <c r="B126" s="62" t="s">
        <v>228</v>
      </c>
      <c r="C126" s="62" t="s">
        <v>487</v>
      </c>
      <c r="D126" s="62" t="s">
        <v>226</v>
      </c>
      <c r="E126" s="62" t="s">
        <v>131</v>
      </c>
      <c r="F126" s="62" t="s">
        <v>4</v>
      </c>
      <c r="G126">
        <v>490</v>
      </c>
      <c r="H126">
        <v>490</v>
      </c>
      <c r="I126" s="62" t="s">
        <v>506</v>
      </c>
      <c r="J126" s="62" t="s">
        <v>1676</v>
      </c>
      <c r="K126" s="62" t="s">
        <v>1676</v>
      </c>
      <c r="L126" s="62" t="s">
        <v>1110</v>
      </c>
    </row>
    <row r="127" spans="1:12" x14ac:dyDescent="0.35">
      <c r="A127">
        <v>12288</v>
      </c>
      <c r="B127" s="62" t="s">
        <v>253</v>
      </c>
      <c r="C127" s="62" t="s">
        <v>488</v>
      </c>
      <c r="D127" s="62" t="s">
        <v>250</v>
      </c>
      <c r="E127" s="62" t="s">
        <v>131</v>
      </c>
      <c r="F127" s="62" t="s">
        <v>508</v>
      </c>
      <c r="G127">
        <v>367</v>
      </c>
      <c r="H127">
        <v>367</v>
      </c>
      <c r="I127" s="62" t="s">
        <v>506</v>
      </c>
      <c r="J127" s="62" t="s">
        <v>1677</v>
      </c>
      <c r="K127" s="62" t="s">
        <v>1677</v>
      </c>
      <c r="L127" s="62" t="s">
        <v>1110</v>
      </c>
    </row>
    <row r="128" spans="1:12" x14ac:dyDescent="0.35">
      <c r="A128">
        <v>12288</v>
      </c>
      <c r="B128" s="62" t="s">
        <v>253</v>
      </c>
      <c r="C128" s="62" t="s">
        <v>488</v>
      </c>
      <c r="D128" s="62" t="s">
        <v>250</v>
      </c>
      <c r="E128" s="62" t="s">
        <v>131</v>
      </c>
      <c r="F128" s="62" t="s">
        <v>6</v>
      </c>
      <c r="G128">
        <v>54</v>
      </c>
      <c r="H128">
        <v>54</v>
      </c>
      <c r="I128" s="62" t="s">
        <v>506</v>
      </c>
      <c r="J128" s="62" t="s">
        <v>1678</v>
      </c>
      <c r="K128" s="62" t="s">
        <v>1678</v>
      </c>
      <c r="L128" s="62" t="s">
        <v>1110</v>
      </c>
    </row>
    <row r="129" spans="1:12" x14ac:dyDescent="0.35">
      <c r="A129">
        <v>12591</v>
      </c>
      <c r="B129" s="62" t="s">
        <v>194</v>
      </c>
      <c r="C129" s="62" t="s">
        <v>485</v>
      </c>
      <c r="D129" s="62" t="s">
        <v>189</v>
      </c>
      <c r="E129" s="62" t="s">
        <v>131</v>
      </c>
      <c r="F129" s="62" t="s">
        <v>508</v>
      </c>
      <c r="G129">
        <v>119</v>
      </c>
      <c r="H129">
        <v>119</v>
      </c>
      <c r="I129" s="62" t="s">
        <v>506</v>
      </c>
      <c r="J129" s="62" t="s">
        <v>1679</v>
      </c>
      <c r="K129" s="62" t="s">
        <v>1679</v>
      </c>
      <c r="L129" s="62" t="s">
        <v>1110</v>
      </c>
    </row>
    <row r="130" spans="1:12" x14ac:dyDescent="0.35">
      <c r="A130">
        <v>12181</v>
      </c>
      <c r="B130" s="62" t="s">
        <v>178</v>
      </c>
      <c r="C130" s="62" t="s">
        <v>485</v>
      </c>
      <c r="D130" s="62" t="s">
        <v>175</v>
      </c>
      <c r="E130" s="62" t="s">
        <v>131</v>
      </c>
      <c r="F130" s="62" t="s">
        <v>508</v>
      </c>
      <c r="G130">
        <v>427</v>
      </c>
      <c r="H130">
        <v>400</v>
      </c>
      <c r="I130" s="62" t="s">
        <v>507</v>
      </c>
      <c r="J130" s="62" t="s">
        <v>1680</v>
      </c>
      <c r="K130" s="62" t="s">
        <v>1680</v>
      </c>
      <c r="L130" s="62" t="s">
        <v>1110</v>
      </c>
    </row>
    <row r="131" spans="1:12" x14ac:dyDescent="0.35">
      <c r="A131">
        <v>12288</v>
      </c>
      <c r="B131" s="62" t="s">
        <v>253</v>
      </c>
      <c r="C131" s="62" t="s">
        <v>488</v>
      </c>
      <c r="D131" s="62" t="s">
        <v>250</v>
      </c>
      <c r="E131" s="62" t="s">
        <v>131</v>
      </c>
      <c r="F131" s="62" t="s">
        <v>5</v>
      </c>
      <c r="G131">
        <v>4025</v>
      </c>
      <c r="H131">
        <v>4025</v>
      </c>
      <c r="I131" s="62" t="s">
        <v>506</v>
      </c>
      <c r="J131" s="62" t="s">
        <v>1681</v>
      </c>
      <c r="K131" s="62" t="s">
        <v>1681</v>
      </c>
      <c r="L131" s="62" t="s">
        <v>1110</v>
      </c>
    </row>
    <row r="132" spans="1:12" x14ac:dyDescent="0.35">
      <c r="A132">
        <v>12181</v>
      </c>
      <c r="B132" s="62" t="s">
        <v>178</v>
      </c>
      <c r="C132" s="62" t="s">
        <v>485</v>
      </c>
      <c r="D132" s="62" t="s">
        <v>175</v>
      </c>
      <c r="E132" s="62" t="s">
        <v>131</v>
      </c>
      <c r="F132" s="62" t="s">
        <v>6</v>
      </c>
      <c r="G132">
        <v>355</v>
      </c>
      <c r="H132">
        <v>355</v>
      </c>
      <c r="I132" s="62" t="s">
        <v>506</v>
      </c>
      <c r="J132" s="62" t="s">
        <v>1682</v>
      </c>
      <c r="K132" s="62" t="s">
        <v>1682</v>
      </c>
      <c r="L132" s="62" t="s">
        <v>1110</v>
      </c>
    </row>
    <row r="133" spans="1:12" x14ac:dyDescent="0.35">
      <c r="A133">
        <v>12181</v>
      </c>
      <c r="B133" s="62" t="s">
        <v>178</v>
      </c>
      <c r="C133" s="62" t="s">
        <v>485</v>
      </c>
      <c r="D133" s="62" t="s">
        <v>175</v>
      </c>
      <c r="E133" s="62" t="s">
        <v>131</v>
      </c>
      <c r="F133" s="62" t="s">
        <v>5</v>
      </c>
      <c r="G133">
        <v>3398</v>
      </c>
      <c r="H133">
        <v>3398</v>
      </c>
      <c r="I133" s="62" t="s">
        <v>506</v>
      </c>
      <c r="J133" s="62" t="s">
        <v>1683</v>
      </c>
      <c r="K133" s="62" t="s">
        <v>1683</v>
      </c>
      <c r="L133" s="62" t="s">
        <v>1110</v>
      </c>
    </row>
    <row r="134" spans="1:12" x14ac:dyDescent="0.35">
      <c r="A134">
        <v>12591</v>
      </c>
      <c r="B134" s="62" t="s">
        <v>194</v>
      </c>
      <c r="C134" s="62" t="s">
        <v>485</v>
      </c>
      <c r="D134" s="62" t="s">
        <v>189</v>
      </c>
      <c r="E134" s="62" t="s">
        <v>131</v>
      </c>
      <c r="F134" s="62" t="s">
        <v>6</v>
      </c>
      <c r="G134">
        <v>205</v>
      </c>
      <c r="H134">
        <v>205</v>
      </c>
      <c r="I134" s="62" t="s">
        <v>506</v>
      </c>
      <c r="J134" s="62" t="s">
        <v>1684</v>
      </c>
      <c r="K134" s="62" t="s">
        <v>1684</v>
      </c>
      <c r="L134" s="62" t="s">
        <v>1110</v>
      </c>
    </row>
    <row r="135" spans="1:12" x14ac:dyDescent="0.35">
      <c r="A135">
        <v>12591</v>
      </c>
      <c r="B135" s="62" t="s">
        <v>194</v>
      </c>
      <c r="C135" s="62" t="s">
        <v>485</v>
      </c>
      <c r="D135" s="62" t="s">
        <v>189</v>
      </c>
      <c r="E135" s="62" t="s">
        <v>131</v>
      </c>
      <c r="F135" s="62" t="s">
        <v>5</v>
      </c>
      <c r="G135">
        <v>3183</v>
      </c>
      <c r="H135">
        <v>3183</v>
      </c>
      <c r="I135" s="62" t="s">
        <v>506</v>
      </c>
      <c r="J135" s="62" t="s">
        <v>1685</v>
      </c>
      <c r="K135" s="62" t="s">
        <v>1685</v>
      </c>
      <c r="L135" s="62" t="s">
        <v>1110</v>
      </c>
    </row>
    <row r="136" spans="1:12" x14ac:dyDescent="0.35">
      <c r="A136">
        <v>12181</v>
      </c>
      <c r="B136" s="62" t="s">
        <v>178</v>
      </c>
      <c r="C136" s="62" t="s">
        <v>485</v>
      </c>
      <c r="D136" s="62" t="s">
        <v>175</v>
      </c>
      <c r="E136" s="62" t="s">
        <v>131</v>
      </c>
      <c r="F136" s="62" t="s">
        <v>4</v>
      </c>
      <c r="G136">
        <v>2757</v>
      </c>
      <c r="H136">
        <v>2757</v>
      </c>
      <c r="I136" s="62" t="s">
        <v>506</v>
      </c>
      <c r="J136" s="62" t="s">
        <v>1686</v>
      </c>
      <c r="K136" s="62" t="s">
        <v>1686</v>
      </c>
      <c r="L136" s="62" t="s">
        <v>1110</v>
      </c>
    </row>
    <row r="137" spans="1:12" x14ac:dyDescent="0.35">
      <c r="A137">
        <v>12288</v>
      </c>
      <c r="B137" s="62" t="s">
        <v>253</v>
      </c>
      <c r="C137" s="62" t="s">
        <v>488</v>
      </c>
      <c r="D137" s="62" t="s">
        <v>250</v>
      </c>
      <c r="E137" s="62" t="s">
        <v>131</v>
      </c>
      <c r="F137" s="62" t="s">
        <v>4</v>
      </c>
      <c r="G137">
        <v>671</v>
      </c>
      <c r="H137">
        <v>671</v>
      </c>
      <c r="I137" s="62" t="s">
        <v>506</v>
      </c>
      <c r="J137" s="62" t="s">
        <v>1687</v>
      </c>
      <c r="K137" s="62" t="s">
        <v>1687</v>
      </c>
      <c r="L137" s="62" t="s">
        <v>1110</v>
      </c>
    </row>
    <row r="138" spans="1:12" x14ac:dyDescent="0.35">
      <c r="A138">
        <v>12591</v>
      </c>
      <c r="B138" s="62" t="s">
        <v>194</v>
      </c>
      <c r="C138" s="62" t="s">
        <v>485</v>
      </c>
      <c r="D138" s="62" t="s">
        <v>189</v>
      </c>
      <c r="E138" s="62" t="s">
        <v>131</v>
      </c>
      <c r="F138" s="62" t="s">
        <v>4</v>
      </c>
      <c r="G138">
        <v>1286</v>
      </c>
      <c r="H138">
        <v>1286</v>
      </c>
      <c r="I138" s="62" t="s">
        <v>506</v>
      </c>
      <c r="J138" s="62" t="s">
        <v>1688</v>
      </c>
      <c r="K138" s="62" t="s">
        <v>1688</v>
      </c>
      <c r="L138" s="62" t="s">
        <v>1110</v>
      </c>
    </row>
    <row r="139" spans="1:12" x14ac:dyDescent="0.35">
      <c r="A139">
        <v>17379</v>
      </c>
      <c r="B139" s="62" t="s">
        <v>157</v>
      </c>
      <c r="C139" s="62" t="s">
        <v>485</v>
      </c>
      <c r="D139" s="62" t="s">
        <v>152</v>
      </c>
      <c r="E139" s="62" t="s">
        <v>131</v>
      </c>
      <c r="F139" s="62" t="s">
        <v>6</v>
      </c>
      <c r="G139">
        <v>1</v>
      </c>
      <c r="H139">
        <v>1</v>
      </c>
      <c r="I139" s="62" t="s">
        <v>506</v>
      </c>
      <c r="J139" s="62" t="s">
        <v>1689</v>
      </c>
      <c r="K139" s="62" t="s">
        <v>1689</v>
      </c>
      <c r="L139" s="62" t="s">
        <v>1110</v>
      </c>
    </row>
    <row r="140" spans="1:12" x14ac:dyDescent="0.35">
      <c r="A140">
        <v>17379</v>
      </c>
      <c r="B140" s="62" t="s">
        <v>157</v>
      </c>
      <c r="C140" s="62" t="s">
        <v>485</v>
      </c>
      <c r="D140" s="62" t="s">
        <v>152</v>
      </c>
      <c r="E140" s="62" t="s">
        <v>131</v>
      </c>
      <c r="F140" s="62" t="s">
        <v>5</v>
      </c>
      <c r="G140">
        <v>1</v>
      </c>
      <c r="H140">
        <v>1</v>
      </c>
      <c r="I140" s="62" t="s">
        <v>506</v>
      </c>
      <c r="J140" s="62" t="s">
        <v>1690</v>
      </c>
      <c r="K140" s="62" t="s">
        <v>1690</v>
      </c>
      <c r="L140" s="62" t="s">
        <v>1110</v>
      </c>
    </row>
    <row r="141" spans="1:12" x14ac:dyDescent="0.35">
      <c r="A141">
        <v>17379</v>
      </c>
      <c r="B141" s="62" t="s">
        <v>157</v>
      </c>
      <c r="C141" s="62" t="s">
        <v>485</v>
      </c>
      <c r="D141" s="62" t="s">
        <v>152</v>
      </c>
      <c r="E141" s="62" t="s">
        <v>131</v>
      </c>
      <c r="F141" s="62" t="s">
        <v>4</v>
      </c>
      <c r="G141">
        <v>73</v>
      </c>
      <c r="H141">
        <v>73</v>
      </c>
      <c r="I141" s="62" t="s">
        <v>506</v>
      </c>
      <c r="J141" s="62" t="s">
        <v>1691</v>
      </c>
      <c r="K141" s="62" t="s">
        <v>1691</v>
      </c>
      <c r="L141" s="62" t="s">
        <v>1110</v>
      </c>
    </row>
    <row r="142" spans="1:12" x14ac:dyDescent="0.35">
      <c r="A142">
        <v>10171</v>
      </c>
      <c r="B142" s="62" t="s">
        <v>320</v>
      </c>
      <c r="C142" s="62" t="s">
        <v>494</v>
      </c>
      <c r="D142" s="62" t="s">
        <v>318</v>
      </c>
      <c r="E142" s="62" t="s">
        <v>131</v>
      </c>
      <c r="F142" s="62" t="s">
        <v>4</v>
      </c>
      <c r="G142">
        <v>2632</v>
      </c>
      <c r="H142">
        <v>2632</v>
      </c>
      <c r="I142" s="62" t="s">
        <v>506</v>
      </c>
      <c r="J142" s="62" t="s">
        <v>1692</v>
      </c>
      <c r="K142" s="62" t="s">
        <v>1692</v>
      </c>
      <c r="L142" s="62" t="s">
        <v>1110</v>
      </c>
    </row>
    <row r="143" spans="1:12" x14ac:dyDescent="0.35">
      <c r="A143">
        <v>10171</v>
      </c>
      <c r="B143" s="62" t="s">
        <v>320</v>
      </c>
      <c r="C143" s="62" t="s">
        <v>494</v>
      </c>
      <c r="D143" s="62" t="s">
        <v>318</v>
      </c>
      <c r="E143" s="62" t="s">
        <v>131</v>
      </c>
      <c r="F143" s="62" t="s">
        <v>5</v>
      </c>
      <c r="G143">
        <v>11743</v>
      </c>
      <c r="H143">
        <v>11743</v>
      </c>
      <c r="I143" s="62" t="s">
        <v>506</v>
      </c>
      <c r="J143" s="62" t="s">
        <v>1693</v>
      </c>
      <c r="K143" s="62" t="s">
        <v>1693</v>
      </c>
      <c r="L143" s="62" t="s">
        <v>1110</v>
      </c>
    </row>
    <row r="144" spans="1:12" x14ac:dyDescent="0.35">
      <c r="A144">
        <v>10171</v>
      </c>
      <c r="B144" s="62" t="s">
        <v>320</v>
      </c>
      <c r="C144" s="62" t="s">
        <v>494</v>
      </c>
      <c r="D144" s="62" t="s">
        <v>318</v>
      </c>
      <c r="E144" s="62" t="s">
        <v>131</v>
      </c>
      <c r="F144" s="62" t="s">
        <v>508</v>
      </c>
      <c r="G144">
        <v>470</v>
      </c>
      <c r="H144">
        <v>470</v>
      </c>
      <c r="I144" s="62" t="s">
        <v>506</v>
      </c>
      <c r="J144" s="62" t="s">
        <v>1694</v>
      </c>
      <c r="K144" s="62" t="s">
        <v>1694</v>
      </c>
      <c r="L144" s="62" t="s">
        <v>1110</v>
      </c>
    </row>
    <row r="145" spans="1:12" x14ac:dyDescent="0.35">
      <c r="A145">
        <v>10171</v>
      </c>
      <c r="B145" s="62" t="s">
        <v>320</v>
      </c>
      <c r="C145" s="62" t="s">
        <v>494</v>
      </c>
      <c r="D145" s="62" t="s">
        <v>318</v>
      </c>
      <c r="E145" s="62" t="s">
        <v>131</v>
      </c>
      <c r="F145" s="62" t="s">
        <v>6</v>
      </c>
      <c r="G145">
        <v>435</v>
      </c>
      <c r="H145">
        <v>435</v>
      </c>
      <c r="I145" s="62" t="s">
        <v>506</v>
      </c>
      <c r="J145" s="62" t="s">
        <v>1695</v>
      </c>
      <c r="K145" s="62" t="s">
        <v>1695</v>
      </c>
      <c r="L145" s="62" t="s">
        <v>1110</v>
      </c>
    </row>
    <row r="146" spans="1:12" x14ac:dyDescent="0.35">
      <c r="A146">
        <v>12041</v>
      </c>
      <c r="B146" s="62" t="s">
        <v>161</v>
      </c>
      <c r="C146" s="62" t="s">
        <v>485</v>
      </c>
      <c r="D146" s="62" t="s">
        <v>159</v>
      </c>
      <c r="E146" s="62" t="s">
        <v>131</v>
      </c>
      <c r="F146" s="62" t="s">
        <v>4</v>
      </c>
      <c r="G146">
        <v>1323</v>
      </c>
      <c r="H146">
        <v>1323</v>
      </c>
      <c r="I146" s="62" t="s">
        <v>506</v>
      </c>
      <c r="J146" s="62" t="s">
        <v>1696</v>
      </c>
      <c r="K146" s="62" t="s">
        <v>1696</v>
      </c>
      <c r="L146" s="62" t="s">
        <v>1110</v>
      </c>
    </row>
    <row r="147" spans="1:12" x14ac:dyDescent="0.35">
      <c r="A147">
        <v>16555</v>
      </c>
      <c r="B147" s="62" t="s">
        <v>151</v>
      </c>
      <c r="C147" s="62" t="s">
        <v>485</v>
      </c>
      <c r="D147" s="62" t="s">
        <v>146</v>
      </c>
      <c r="E147" s="62" t="s">
        <v>131</v>
      </c>
      <c r="F147" s="62" t="s">
        <v>508</v>
      </c>
      <c r="G147">
        <v>139</v>
      </c>
      <c r="H147">
        <v>139</v>
      </c>
      <c r="I147" s="62" t="s">
        <v>506</v>
      </c>
      <c r="J147" s="62" t="s">
        <v>1577</v>
      </c>
      <c r="K147" s="62" t="s">
        <v>1577</v>
      </c>
      <c r="L147" s="62" t="s">
        <v>1110</v>
      </c>
    </row>
    <row r="148" spans="1:12" x14ac:dyDescent="0.35">
      <c r="A148">
        <v>16555</v>
      </c>
      <c r="B148" s="62" t="s">
        <v>151</v>
      </c>
      <c r="C148" s="62" t="s">
        <v>485</v>
      </c>
      <c r="D148" s="62" t="s">
        <v>146</v>
      </c>
      <c r="E148" s="62" t="s">
        <v>131</v>
      </c>
      <c r="F148" s="62" t="s">
        <v>6</v>
      </c>
      <c r="G148">
        <v>45</v>
      </c>
      <c r="H148">
        <v>45</v>
      </c>
      <c r="I148" s="62" t="s">
        <v>506</v>
      </c>
      <c r="J148" s="62" t="s">
        <v>1578</v>
      </c>
      <c r="K148" s="62" t="s">
        <v>1578</v>
      </c>
      <c r="L148" s="62" t="s">
        <v>1110</v>
      </c>
    </row>
    <row r="149" spans="1:12" x14ac:dyDescent="0.35">
      <c r="A149">
        <v>12041</v>
      </c>
      <c r="B149" s="62" t="s">
        <v>161</v>
      </c>
      <c r="C149" s="62" t="s">
        <v>485</v>
      </c>
      <c r="D149" s="62" t="s">
        <v>159</v>
      </c>
      <c r="E149" s="62" t="s">
        <v>131</v>
      </c>
      <c r="F149" s="62" t="s">
        <v>6</v>
      </c>
      <c r="G149">
        <v>5</v>
      </c>
      <c r="H149">
        <v>5</v>
      </c>
      <c r="I149" s="62" t="s">
        <v>506</v>
      </c>
      <c r="J149" s="62" t="s">
        <v>1579</v>
      </c>
      <c r="K149" s="62" t="s">
        <v>1579</v>
      </c>
      <c r="L149" s="62" t="s">
        <v>1110</v>
      </c>
    </row>
    <row r="150" spans="1:12" x14ac:dyDescent="0.35">
      <c r="A150">
        <v>12041</v>
      </c>
      <c r="B150" s="62" t="s">
        <v>161</v>
      </c>
      <c r="C150" s="62" t="s">
        <v>485</v>
      </c>
      <c r="D150" s="62" t="s">
        <v>159</v>
      </c>
      <c r="E150" s="62" t="s">
        <v>131</v>
      </c>
      <c r="F150" s="62" t="s">
        <v>5</v>
      </c>
      <c r="G150">
        <v>1924</v>
      </c>
      <c r="H150">
        <v>1924</v>
      </c>
      <c r="I150" s="62" t="s">
        <v>506</v>
      </c>
      <c r="J150" s="62" t="s">
        <v>1580</v>
      </c>
      <c r="K150" s="62" t="s">
        <v>1580</v>
      </c>
      <c r="L150" s="62" t="s">
        <v>1110</v>
      </c>
    </row>
    <row r="151" spans="1:12" x14ac:dyDescent="0.35">
      <c r="A151">
        <v>12027</v>
      </c>
      <c r="B151" s="62" t="s">
        <v>166</v>
      </c>
      <c r="C151" s="62" t="s">
        <v>485</v>
      </c>
      <c r="D151" s="62" t="s">
        <v>163</v>
      </c>
      <c r="E151" s="62" t="s">
        <v>131</v>
      </c>
      <c r="F151" s="62" t="s">
        <v>508</v>
      </c>
      <c r="G151">
        <v>198</v>
      </c>
      <c r="H151">
        <v>198</v>
      </c>
      <c r="I151" s="62" t="s">
        <v>506</v>
      </c>
      <c r="J151" s="62" t="s">
        <v>1581</v>
      </c>
      <c r="K151" s="62" t="s">
        <v>1581</v>
      </c>
      <c r="L151" s="62" t="s">
        <v>1110</v>
      </c>
    </row>
    <row r="152" spans="1:12" x14ac:dyDescent="0.35">
      <c r="A152">
        <v>12027</v>
      </c>
      <c r="B152" s="62" t="s">
        <v>166</v>
      </c>
      <c r="C152" s="62" t="s">
        <v>485</v>
      </c>
      <c r="D152" s="62" t="s">
        <v>163</v>
      </c>
      <c r="E152" s="62" t="s">
        <v>131</v>
      </c>
      <c r="F152" s="62" t="s">
        <v>6</v>
      </c>
      <c r="G152">
        <v>107</v>
      </c>
      <c r="H152">
        <v>107</v>
      </c>
      <c r="I152" s="62" t="s">
        <v>506</v>
      </c>
      <c r="J152" s="62" t="s">
        <v>1582</v>
      </c>
      <c r="K152" s="62" t="s">
        <v>1582</v>
      </c>
      <c r="L152" s="62" t="s">
        <v>1110</v>
      </c>
    </row>
    <row r="153" spans="1:12" x14ac:dyDescent="0.35">
      <c r="A153">
        <v>17381</v>
      </c>
      <c r="B153" s="62" t="s">
        <v>147</v>
      </c>
      <c r="C153" s="62" t="s">
        <v>485</v>
      </c>
      <c r="D153" s="62" t="s">
        <v>146</v>
      </c>
      <c r="E153" s="62" t="s">
        <v>131</v>
      </c>
      <c r="F153" s="62" t="s">
        <v>6</v>
      </c>
      <c r="G153">
        <v>1</v>
      </c>
      <c r="H153">
        <v>1</v>
      </c>
      <c r="I153" s="62" t="s">
        <v>506</v>
      </c>
      <c r="J153" s="62" t="s">
        <v>1583</v>
      </c>
      <c r="K153" s="62" t="s">
        <v>1583</v>
      </c>
      <c r="L153" s="62" t="s">
        <v>1110</v>
      </c>
    </row>
    <row r="154" spans="1:12" x14ac:dyDescent="0.35">
      <c r="A154">
        <v>12027</v>
      </c>
      <c r="B154" s="62" t="s">
        <v>166</v>
      </c>
      <c r="C154" s="62" t="s">
        <v>485</v>
      </c>
      <c r="D154" s="62" t="s">
        <v>163</v>
      </c>
      <c r="E154" s="62" t="s">
        <v>131</v>
      </c>
      <c r="F154" s="62" t="s">
        <v>5</v>
      </c>
      <c r="G154">
        <v>2267</v>
      </c>
      <c r="H154">
        <v>2267</v>
      </c>
      <c r="I154" s="62" t="s">
        <v>506</v>
      </c>
      <c r="J154" s="62" t="s">
        <v>1584</v>
      </c>
      <c r="K154" s="62" t="s">
        <v>1584</v>
      </c>
      <c r="L154" s="62" t="s">
        <v>1110</v>
      </c>
    </row>
    <row r="155" spans="1:12" x14ac:dyDescent="0.35">
      <c r="A155">
        <v>17381</v>
      </c>
      <c r="B155" s="62" t="s">
        <v>147</v>
      </c>
      <c r="C155" s="62" t="s">
        <v>485</v>
      </c>
      <c r="D155" s="62" t="s">
        <v>146</v>
      </c>
      <c r="E155" s="62" t="s">
        <v>131</v>
      </c>
      <c r="F155" s="62" t="s">
        <v>5</v>
      </c>
      <c r="G155">
        <v>1</v>
      </c>
      <c r="H155">
        <v>1</v>
      </c>
      <c r="I155" s="62" t="s">
        <v>506</v>
      </c>
      <c r="J155" s="62" t="s">
        <v>1585</v>
      </c>
      <c r="K155" s="62" t="s">
        <v>1585</v>
      </c>
      <c r="L155" s="62" t="s">
        <v>1110</v>
      </c>
    </row>
    <row r="156" spans="1:12" x14ac:dyDescent="0.35">
      <c r="A156">
        <v>12390</v>
      </c>
      <c r="B156" s="62" t="s">
        <v>192</v>
      </c>
      <c r="C156" s="62" t="s">
        <v>485</v>
      </c>
      <c r="D156" s="62" t="s">
        <v>189</v>
      </c>
      <c r="E156" s="62" t="s">
        <v>131</v>
      </c>
      <c r="F156" s="62" t="s">
        <v>6</v>
      </c>
      <c r="G156">
        <v>3</v>
      </c>
      <c r="H156">
        <v>3</v>
      </c>
      <c r="I156" s="62" t="s">
        <v>506</v>
      </c>
      <c r="J156" s="62" t="s">
        <v>1586</v>
      </c>
      <c r="K156" s="62" t="s">
        <v>1586</v>
      </c>
      <c r="L156" s="62" t="s">
        <v>1110</v>
      </c>
    </row>
    <row r="157" spans="1:12" x14ac:dyDescent="0.35">
      <c r="A157">
        <v>12390</v>
      </c>
      <c r="B157" s="62" t="s">
        <v>192</v>
      </c>
      <c r="C157" s="62" t="s">
        <v>485</v>
      </c>
      <c r="D157" s="62" t="s">
        <v>189</v>
      </c>
      <c r="E157" s="62" t="s">
        <v>131</v>
      </c>
      <c r="F157" s="62" t="s">
        <v>5</v>
      </c>
      <c r="G157">
        <v>3</v>
      </c>
      <c r="H157">
        <v>3</v>
      </c>
      <c r="I157" s="62" t="s">
        <v>506</v>
      </c>
      <c r="J157" s="62" t="s">
        <v>1587</v>
      </c>
      <c r="K157" s="62" t="s">
        <v>1587</v>
      </c>
      <c r="L157" s="62" t="s">
        <v>1110</v>
      </c>
    </row>
    <row r="158" spans="1:12" x14ac:dyDescent="0.35">
      <c r="A158">
        <v>12027</v>
      </c>
      <c r="B158" s="62" t="s">
        <v>166</v>
      </c>
      <c r="C158" s="62" t="s">
        <v>485</v>
      </c>
      <c r="D158" s="62" t="s">
        <v>163</v>
      </c>
      <c r="E158" s="62" t="s">
        <v>131</v>
      </c>
      <c r="F158" s="62" t="s">
        <v>4</v>
      </c>
      <c r="G158">
        <v>306</v>
      </c>
      <c r="H158">
        <v>306</v>
      </c>
      <c r="I158" s="62" t="s">
        <v>506</v>
      </c>
      <c r="J158" s="62" t="s">
        <v>1588</v>
      </c>
      <c r="K158" s="62" t="s">
        <v>1588</v>
      </c>
      <c r="L158" s="62" t="s">
        <v>1110</v>
      </c>
    </row>
    <row r="159" spans="1:12" x14ac:dyDescent="0.35">
      <c r="A159">
        <v>17381</v>
      </c>
      <c r="B159" s="62" t="s">
        <v>147</v>
      </c>
      <c r="C159" s="62" t="s">
        <v>485</v>
      </c>
      <c r="D159" s="62" t="s">
        <v>146</v>
      </c>
      <c r="E159" s="62" t="s">
        <v>131</v>
      </c>
      <c r="F159" s="62" t="s">
        <v>4</v>
      </c>
      <c r="G159">
        <v>46</v>
      </c>
      <c r="H159">
        <v>46</v>
      </c>
      <c r="I159" s="62" t="s">
        <v>506</v>
      </c>
      <c r="J159" s="62" t="s">
        <v>1589</v>
      </c>
      <c r="K159" s="62" t="s">
        <v>1589</v>
      </c>
      <c r="L159" s="62" t="s">
        <v>1110</v>
      </c>
    </row>
    <row r="160" spans="1:12" x14ac:dyDescent="0.35">
      <c r="A160">
        <v>12390</v>
      </c>
      <c r="B160" s="62" t="s">
        <v>192</v>
      </c>
      <c r="C160" s="62" t="s">
        <v>485</v>
      </c>
      <c r="D160" s="62" t="s">
        <v>189</v>
      </c>
      <c r="E160" s="62" t="s">
        <v>131</v>
      </c>
      <c r="F160" s="62" t="s">
        <v>4</v>
      </c>
      <c r="G160">
        <v>32</v>
      </c>
      <c r="H160">
        <v>32</v>
      </c>
      <c r="I160" s="62" t="s">
        <v>506</v>
      </c>
      <c r="J160" s="62" t="s">
        <v>1590</v>
      </c>
      <c r="K160" s="62" t="s">
        <v>1590</v>
      </c>
      <c r="L160" s="62" t="s">
        <v>1110</v>
      </c>
    </row>
    <row r="161" spans="1:12" x14ac:dyDescent="0.35">
      <c r="A161">
        <v>12319</v>
      </c>
      <c r="B161" s="62" t="s">
        <v>143</v>
      </c>
      <c r="C161" s="62" t="s">
        <v>485</v>
      </c>
      <c r="D161" s="62" t="s">
        <v>140</v>
      </c>
      <c r="E161" s="62" t="s">
        <v>131</v>
      </c>
      <c r="F161" s="62" t="s">
        <v>5</v>
      </c>
      <c r="G161">
        <v>1471</v>
      </c>
      <c r="H161">
        <v>1471</v>
      </c>
      <c r="I161" s="62" t="s">
        <v>506</v>
      </c>
      <c r="J161" s="62" t="s">
        <v>1591</v>
      </c>
      <c r="K161" s="62" t="s">
        <v>1591</v>
      </c>
      <c r="L161" s="62" t="s">
        <v>1110</v>
      </c>
    </row>
    <row r="162" spans="1:12" x14ac:dyDescent="0.35">
      <c r="A162">
        <v>12319</v>
      </c>
      <c r="B162" s="62" t="s">
        <v>143</v>
      </c>
      <c r="C162" s="62" t="s">
        <v>485</v>
      </c>
      <c r="D162" s="62" t="s">
        <v>140</v>
      </c>
      <c r="E162" s="62" t="s">
        <v>131</v>
      </c>
      <c r="F162" s="62" t="s">
        <v>6</v>
      </c>
      <c r="G162">
        <v>81</v>
      </c>
      <c r="H162">
        <v>81</v>
      </c>
      <c r="I162" s="62" t="s">
        <v>506</v>
      </c>
      <c r="J162" s="62" t="s">
        <v>1540</v>
      </c>
      <c r="K162" s="62" t="s">
        <v>1540</v>
      </c>
      <c r="L162" s="62" t="s">
        <v>1110</v>
      </c>
    </row>
    <row r="163" spans="1:12" x14ac:dyDescent="0.35">
      <c r="A163">
        <v>12319</v>
      </c>
      <c r="B163" s="62" t="s">
        <v>143</v>
      </c>
      <c r="C163" s="62" t="s">
        <v>485</v>
      </c>
      <c r="D163" s="62" t="s">
        <v>140</v>
      </c>
      <c r="E163" s="62" t="s">
        <v>131</v>
      </c>
      <c r="F163" s="62" t="s">
        <v>508</v>
      </c>
      <c r="G163">
        <v>193</v>
      </c>
      <c r="H163">
        <v>193</v>
      </c>
      <c r="I163" s="62" t="s">
        <v>506</v>
      </c>
      <c r="J163" s="62" t="s">
        <v>1541</v>
      </c>
      <c r="K163" s="62" t="s">
        <v>1541</v>
      </c>
      <c r="L163" s="62" t="s">
        <v>1110</v>
      </c>
    </row>
    <row r="164" spans="1:12" x14ac:dyDescent="0.35">
      <c r="A164">
        <v>12287</v>
      </c>
      <c r="B164" s="62" t="s">
        <v>214</v>
      </c>
      <c r="C164" s="62" t="s">
        <v>487</v>
      </c>
      <c r="D164" s="62" t="s">
        <v>208</v>
      </c>
      <c r="E164" s="62" t="s">
        <v>131</v>
      </c>
      <c r="F164" s="62" t="s">
        <v>5</v>
      </c>
      <c r="G164">
        <v>1950</v>
      </c>
      <c r="H164">
        <v>1950</v>
      </c>
      <c r="I164" s="62" t="s">
        <v>506</v>
      </c>
      <c r="J164" s="62" t="s">
        <v>1542</v>
      </c>
      <c r="K164" s="62" t="s">
        <v>1542</v>
      </c>
      <c r="L164" s="62" t="s">
        <v>1110</v>
      </c>
    </row>
    <row r="165" spans="1:12" x14ac:dyDescent="0.35">
      <c r="A165">
        <v>12287</v>
      </c>
      <c r="B165" s="62" t="s">
        <v>214</v>
      </c>
      <c r="C165" s="62" t="s">
        <v>487</v>
      </c>
      <c r="D165" s="62" t="s">
        <v>208</v>
      </c>
      <c r="E165" s="62" t="s">
        <v>131</v>
      </c>
      <c r="F165" s="62" t="s">
        <v>6</v>
      </c>
      <c r="G165">
        <v>40</v>
      </c>
      <c r="H165">
        <v>40</v>
      </c>
      <c r="I165" s="62" t="s">
        <v>506</v>
      </c>
      <c r="J165" s="62" t="s">
        <v>1592</v>
      </c>
      <c r="K165" s="62" t="s">
        <v>1592</v>
      </c>
      <c r="L165" s="62" t="s">
        <v>1110</v>
      </c>
    </row>
    <row r="166" spans="1:12" x14ac:dyDescent="0.35">
      <c r="A166">
        <v>12287</v>
      </c>
      <c r="B166" s="62" t="s">
        <v>214</v>
      </c>
      <c r="C166" s="62" t="s">
        <v>487</v>
      </c>
      <c r="D166" s="62" t="s">
        <v>208</v>
      </c>
      <c r="E166" s="62" t="s">
        <v>131</v>
      </c>
      <c r="F166" s="62" t="s">
        <v>508</v>
      </c>
      <c r="G166">
        <v>156</v>
      </c>
      <c r="H166">
        <v>156</v>
      </c>
      <c r="I166" s="62" t="s">
        <v>506</v>
      </c>
      <c r="J166" s="62" t="s">
        <v>1593</v>
      </c>
      <c r="K166" s="62" t="s">
        <v>1593</v>
      </c>
      <c r="L166" s="62" t="s">
        <v>1110</v>
      </c>
    </row>
    <row r="167" spans="1:12" x14ac:dyDescent="0.35">
      <c r="A167">
        <v>19879</v>
      </c>
      <c r="B167" s="62" t="s">
        <v>170</v>
      </c>
      <c r="C167" s="62" t="s">
        <v>485</v>
      </c>
      <c r="D167" s="62" t="s">
        <v>163</v>
      </c>
      <c r="E167" s="62" t="s">
        <v>131</v>
      </c>
      <c r="F167" s="62" t="s">
        <v>5</v>
      </c>
      <c r="G167">
        <v>11222</v>
      </c>
      <c r="H167">
        <v>11222</v>
      </c>
      <c r="I167" s="62" t="s">
        <v>506</v>
      </c>
      <c r="J167" s="62" t="s">
        <v>1543</v>
      </c>
      <c r="K167" s="62" t="s">
        <v>1543</v>
      </c>
      <c r="L167" s="62" t="s">
        <v>1110</v>
      </c>
    </row>
    <row r="168" spans="1:12" x14ac:dyDescent="0.35">
      <c r="A168">
        <v>12319</v>
      </c>
      <c r="B168" s="62" t="s">
        <v>143</v>
      </c>
      <c r="C168" s="62" t="s">
        <v>485</v>
      </c>
      <c r="D168" s="62" t="s">
        <v>140</v>
      </c>
      <c r="E168" s="62" t="s">
        <v>131</v>
      </c>
      <c r="F168" s="62" t="s">
        <v>4</v>
      </c>
      <c r="G168">
        <v>522</v>
      </c>
      <c r="H168">
        <v>522</v>
      </c>
      <c r="I168" s="62" t="s">
        <v>506</v>
      </c>
      <c r="J168" s="62" t="s">
        <v>1594</v>
      </c>
      <c r="K168" s="62" t="s">
        <v>1594</v>
      </c>
      <c r="L168" s="62" t="s">
        <v>1110</v>
      </c>
    </row>
    <row r="169" spans="1:12" x14ac:dyDescent="0.35">
      <c r="A169">
        <v>19879</v>
      </c>
      <c r="B169" s="62" t="s">
        <v>170</v>
      </c>
      <c r="C169" s="62" t="s">
        <v>485</v>
      </c>
      <c r="D169" s="62" t="s">
        <v>163</v>
      </c>
      <c r="E169" s="62" t="s">
        <v>131</v>
      </c>
      <c r="F169" s="62" t="s">
        <v>508</v>
      </c>
      <c r="G169">
        <v>1665</v>
      </c>
      <c r="H169">
        <v>1665</v>
      </c>
      <c r="I169" s="62" t="s">
        <v>506</v>
      </c>
      <c r="J169" s="62" t="s">
        <v>1544</v>
      </c>
      <c r="K169" s="62" t="s">
        <v>1544</v>
      </c>
      <c r="L169" s="62" t="s">
        <v>1110</v>
      </c>
    </row>
    <row r="170" spans="1:12" x14ac:dyDescent="0.35">
      <c r="A170">
        <v>19879</v>
      </c>
      <c r="B170" s="62" t="s">
        <v>170</v>
      </c>
      <c r="C170" s="62" t="s">
        <v>485</v>
      </c>
      <c r="D170" s="62" t="s">
        <v>163</v>
      </c>
      <c r="E170" s="62" t="s">
        <v>131</v>
      </c>
      <c r="F170" s="62" t="s">
        <v>6</v>
      </c>
      <c r="G170">
        <v>7</v>
      </c>
      <c r="H170">
        <v>7</v>
      </c>
      <c r="I170" s="62" t="s">
        <v>506</v>
      </c>
      <c r="J170" s="62" t="s">
        <v>1545</v>
      </c>
      <c r="K170" s="62" t="s">
        <v>1545</v>
      </c>
      <c r="L170" s="62" t="s">
        <v>1110</v>
      </c>
    </row>
    <row r="171" spans="1:12" x14ac:dyDescent="0.35">
      <c r="A171">
        <v>12287</v>
      </c>
      <c r="B171" s="62" t="s">
        <v>214</v>
      </c>
      <c r="C171" s="62" t="s">
        <v>487</v>
      </c>
      <c r="D171" s="62" t="s">
        <v>208</v>
      </c>
      <c r="E171" s="62" t="s">
        <v>131</v>
      </c>
      <c r="F171" s="62" t="s">
        <v>4</v>
      </c>
      <c r="G171">
        <v>536</v>
      </c>
      <c r="H171">
        <v>536</v>
      </c>
      <c r="I171" s="62" t="s">
        <v>506</v>
      </c>
      <c r="J171" s="62" t="s">
        <v>1595</v>
      </c>
      <c r="K171" s="62" t="s">
        <v>1595</v>
      </c>
      <c r="L171" s="62" t="s">
        <v>1110</v>
      </c>
    </row>
    <row r="172" spans="1:12" x14ac:dyDescent="0.35">
      <c r="A172">
        <v>12282</v>
      </c>
      <c r="B172" s="62" t="s">
        <v>130</v>
      </c>
      <c r="C172" s="62" t="s">
        <v>485</v>
      </c>
      <c r="D172" s="62" t="s">
        <v>129</v>
      </c>
      <c r="E172" s="62" t="s">
        <v>131</v>
      </c>
      <c r="F172" s="62" t="s">
        <v>4</v>
      </c>
      <c r="G172">
        <v>315</v>
      </c>
      <c r="H172">
        <v>315</v>
      </c>
      <c r="I172" s="62" t="s">
        <v>506</v>
      </c>
      <c r="J172" s="62" t="s">
        <v>1596</v>
      </c>
      <c r="K172" s="62" t="s">
        <v>1596</v>
      </c>
      <c r="L172" s="62" t="s">
        <v>1110</v>
      </c>
    </row>
    <row r="173" spans="1:12" x14ac:dyDescent="0.35">
      <c r="A173">
        <v>19879</v>
      </c>
      <c r="B173" s="62" t="s">
        <v>537</v>
      </c>
      <c r="C173" s="62" t="s">
        <v>485</v>
      </c>
      <c r="D173" s="62" t="s">
        <v>163</v>
      </c>
      <c r="E173" s="62" t="s">
        <v>131</v>
      </c>
      <c r="F173" s="62" t="s">
        <v>4</v>
      </c>
      <c r="G173">
        <v>200</v>
      </c>
      <c r="H173">
        <v>200</v>
      </c>
      <c r="I173" s="62" t="s">
        <v>506</v>
      </c>
      <c r="J173" s="62" t="s">
        <v>1546</v>
      </c>
      <c r="K173" s="62" t="s">
        <v>1546</v>
      </c>
      <c r="L173" s="62" t="s">
        <v>1110</v>
      </c>
    </row>
    <row r="174" spans="1:12" x14ac:dyDescent="0.35">
      <c r="A174">
        <v>12722</v>
      </c>
      <c r="B174" s="62" t="s">
        <v>235</v>
      </c>
      <c r="C174" s="62" t="s">
        <v>487</v>
      </c>
      <c r="D174" s="62" t="s">
        <v>226</v>
      </c>
      <c r="E174" s="62" t="s">
        <v>131</v>
      </c>
      <c r="F174" s="62" t="s">
        <v>508</v>
      </c>
      <c r="G174">
        <v>7</v>
      </c>
      <c r="H174">
        <v>7</v>
      </c>
      <c r="I174" s="62" t="s">
        <v>506</v>
      </c>
      <c r="J174" s="62" t="s">
        <v>1547</v>
      </c>
      <c r="K174" s="62" t="s">
        <v>1547</v>
      </c>
      <c r="L174" s="62" t="s">
        <v>1110</v>
      </c>
    </row>
    <row r="175" spans="1:12" x14ac:dyDescent="0.35">
      <c r="A175">
        <v>12426</v>
      </c>
      <c r="B175" s="62" t="s">
        <v>133</v>
      </c>
      <c r="C175" s="62" t="s">
        <v>485</v>
      </c>
      <c r="D175" s="62" t="s">
        <v>129</v>
      </c>
      <c r="E175" s="62" t="s">
        <v>131</v>
      </c>
      <c r="F175" s="62" t="s">
        <v>508</v>
      </c>
      <c r="G175">
        <v>1</v>
      </c>
      <c r="H175">
        <v>1</v>
      </c>
      <c r="I175" s="62" t="s">
        <v>506</v>
      </c>
      <c r="J175" s="62" t="s">
        <v>1548</v>
      </c>
      <c r="K175" s="62" t="s">
        <v>1548</v>
      </c>
      <c r="L175" s="62" t="s">
        <v>1110</v>
      </c>
    </row>
    <row r="176" spans="1:12" x14ac:dyDescent="0.35">
      <c r="A176">
        <v>12426</v>
      </c>
      <c r="B176" s="62" t="s">
        <v>133</v>
      </c>
      <c r="C176" s="62" t="s">
        <v>485</v>
      </c>
      <c r="D176" s="62" t="s">
        <v>129</v>
      </c>
      <c r="E176" s="62" t="s">
        <v>131</v>
      </c>
      <c r="F176" s="62" t="s">
        <v>6</v>
      </c>
      <c r="G176">
        <v>13</v>
      </c>
      <c r="H176">
        <v>13</v>
      </c>
      <c r="I176" s="62" t="s">
        <v>506</v>
      </c>
      <c r="J176" s="62" t="s">
        <v>1549</v>
      </c>
      <c r="K176" s="62" t="s">
        <v>1549</v>
      </c>
      <c r="L176" s="62" t="s">
        <v>1110</v>
      </c>
    </row>
    <row r="177" spans="1:12" x14ac:dyDescent="0.35">
      <c r="A177">
        <v>12226</v>
      </c>
      <c r="B177" s="62" t="s">
        <v>222</v>
      </c>
      <c r="C177" s="62" t="s">
        <v>487</v>
      </c>
      <c r="D177" s="62" t="s">
        <v>218</v>
      </c>
      <c r="E177" s="62" t="s">
        <v>131</v>
      </c>
      <c r="F177" s="62" t="s">
        <v>5</v>
      </c>
      <c r="G177">
        <v>3</v>
      </c>
      <c r="H177">
        <v>3</v>
      </c>
      <c r="I177" s="62" t="s">
        <v>506</v>
      </c>
      <c r="J177" s="62" t="s">
        <v>1550</v>
      </c>
      <c r="K177" s="62" t="s">
        <v>1550</v>
      </c>
      <c r="L177" s="62" t="s">
        <v>1110</v>
      </c>
    </row>
    <row r="178" spans="1:12" x14ac:dyDescent="0.35">
      <c r="A178">
        <v>12426</v>
      </c>
      <c r="B178" s="62" t="s">
        <v>133</v>
      </c>
      <c r="C178" s="62" t="s">
        <v>485</v>
      </c>
      <c r="D178" s="62" t="s">
        <v>129</v>
      </c>
      <c r="E178" s="62" t="s">
        <v>131</v>
      </c>
      <c r="F178" s="62" t="s">
        <v>5</v>
      </c>
      <c r="G178">
        <v>21</v>
      </c>
      <c r="H178">
        <v>21</v>
      </c>
      <c r="I178" s="62" t="s">
        <v>506</v>
      </c>
      <c r="J178" s="62" t="s">
        <v>1551</v>
      </c>
      <c r="K178" s="62" t="s">
        <v>1551</v>
      </c>
      <c r="L178" s="62" t="s">
        <v>1110</v>
      </c>
    </row>
    <row r="179" spans="1:12" x14ac:dyDescent="0.35">
      <c r="A179">
        <v>12226</v>
      </c>
      <c r="B179" s="62" t="s">
        <v>222</v>
      </c>
      <c r="C179" s="62" t="s">
        <v>487</v>
      </c>
      <c r="D179" s="62" t="s">
        <v>218</v>
      </c>
      <c r="E179" s="62" t="s">
        <v>131</v>
      </c>
      <c r="F179" s="62" t="s">
        <v>4</v>
      </c>
      <c r="G179">
        <v>37</v>
      </c>
      <c r="H179">
        <v>37</v>
      </c>
      <c r="I179" s="62" t="s">
        <v>506</v>
      </c>
      <c r="J179" s="62" t="s">
        <v>1552</v>
      </c>
      <c r="K179" s="62" t="s">
        <v>1552</v>
      </c>
      <c r="L179" s="62" t="s">
        <v>1110</v>
      </c>
    </row>
    <row r="180" spans="1:12" x14ac:dyDescent="0.35">
      <c r="A180">
        <v>12426</v>
      </c>
      <c r="B180" s="62" t="s">
        <v>133</v>
      </c>
      <c r="C180" s="62" t="s">
        <v>485</v>
      </c>
      <c r="D180" s="62" t="s">
        <v>129</v>
      </c>
      <c r="E180" s="62" t="s">
        <v>131</v>
      </c>
      <c r="F180" s="62" t="s">
        <v>4</v>
      </c>
      <c r="G180">
        <v>227</v>
      </c>
      <c r="H180">
        <v>227</v>
      </c>
      <c r="I180" s="62" t="s">
        <v>506</v>
      </c>
      <c r="J180" s="62" t="s">
        <v>1553</v>
      </c>
      <c r="K180" s="62" t="s">
        <v>1553</v>
      </c>
      <c r="L180" s="62" t="s">
        <v>1110</v>
      </c>
    </row>
    <row r="181" spans="1:12" x14ac:dyDescent="0.35">
      <c r="A181">
        <v>11183</v>
      </c>
      <c r="B181" s="62" t="s">
        <v>329</v>
      </c>
      <c r="C181" s="62" t="s">
        <v>494</v>
      </c>
      <c r="D181" s="62" t="s">
        <v>318</v>
      </c>
      <c r="E181" s="62" t="s">
        <v>131</v>
      </c>
      <c r="F181" s="62" t="s">
        <v>4</v>
      </c>
      <c r="G181">
        <v>103</v>
      </c>
      <c r="H181">
        <v>103</v>
      </c>
      <c r="I181" s="62" t="s">
        <v>506</v>
      </c>
      <c r="J181" s="62" t="s">
        <v>1554</v>
      </c>
      <c r="K181" s="62" t="s">
        <v>1554</v>
      </c>
      <c r="L181" s="62" t="s">
        <v>1110</v>
      </c>
    </row>
    <row r="182" spans="1:12" x14ac:dyDescent="0.35">
      <c r="A182">
        <v>10878</v>
      </c>
      <c r="B182" s="62" t="s">
        <v>327</v>
      </c>
      <c r="C182" s="62" t="s">
        <v>494</v>
      </c>
      <c r="D182" s="62" t="s">
        <v>318</v>
      </c>
      <c r="E182" s="62" t="s">
        <v>131</v>
      </c>
      <c r="F182" s="62" t="s">
        <v>4</v>
      </c>
      <c r="G182">
        <v>1335</v>
      </c>
      <c r="H182">
        <v>1335</v>
      </c>
      <c r="I182" s="62" t="s">
        <v>506</v>
      </c>
      <c r="J182" s="62" t="s">
        <v>1555</v>
      </c>
      <c r="K182" s="62" t="s">
        <v>1555</v>
      </c>
      <c r="L182" s="62" t="s">
        <v>1110</v>
      </c>
    </row>
    <row r="183" spans="1:12" x14ac:dyDescent="0.35">
      <c r="A183">
        <v>10840</v>
      </c>
      <c r="B183" s="62" t="s">
        <v>325</v>
      </c>
      <c r="C183" s="62" t="s">
        <v>494</v>
      </c>
      <c r="D183" s="62" t="s">
        <v>318</v>
      </c>
      <c r="E183" s="62" t="s">
        <v>131</v>
      </c>
      <c r="F183" s="62" t="s">
        <v>4</v>
      </c>
      <c r="G183">
        <v>104</v>
      </c>
      <c r="H183">
        <v>104</v>
      </c>
      <c r="I183" s="62" t="s">
        <v>506</v>
      </c>
      <c r="J183" s="62" t="s">
        <v>1556</v>
      </c>
      <c r="K183" s="62" t="s">
        <v>1556</v>
      </c>
      <c r="L183" s="62" t="s">
        <v>1110</v>
      </c>
    </row>
    <row r="184" spans="1:12" x14ac:dyDescent="0.35">
      <c r="A184">
        <v>10856</v>
      </c>
      <c r="B184" s="62" t="s">
        <v>348</v>
      </c>
      <c r="C184" s="62" t="s">
        <v>494</v>
      </c>
      <c r="D184" s="62" t="s">
        <v>344</v>
      </c>
      <c r="E184" s="62" t="s">
        <v>131</v>
      </c>
      <c r="F184" s="62" t="s">
        <v>6</v>
      </c>
      <c r="G184">
        <v>19</v>
      </c>
      <c r="H184">
        <v>19</v>
      </c>
      <c r="I184" s="62" t="s">
        <v>506</v>
      </c>
      <c r="J184" s="62" t="s">
        <v>1557</v>
      </c>
      <c r="K184" s="62" t="s">
        <v>1557</v>
      </c>
      <c r="L184" s="62" t="s">
        <v>1110</v>
      </c>
    </row>
    <row r="185" spans="1:12" x14ac:dyDescent="0.35">
      <c r="A185">
        <v>10856</v>
      </c>
      <c r="B185" s="62" t="s">
        <v>348</v>
      </c>
      <c r="C185" s="62" t="s">
        <v>494</v>
      </c>
      <c r="D185" s="62" t="s">
        <v>344</v>
      </c>
      <c r="E185" s="62" t="s">
        <v>131</v>
      </c>
      <c r="F185" s="62" t="s">
        <v>508</v>
      </c>
      <c r="G185">
        <v>8</v>
      </c>
      <c r="H185">
        <v>8</v>
      </c>
      <c r="I185" s="62" t="s">
        <v>506</v>
      </c>
      <c r="J185" s="62" t="s">
        <v>1558</v>
      </c>
      <c r="K185" s="62" t="s">
        <v>1558</v>
      </c>
      <c r="L185" s="62" t="s">
        <v>1110</v>
      </c>
    </row>
    <row r="186" spans="1:12" x14ac:dyDescent="0.35">
      <c r="A186">
        <v>10856</v>
      </c>
      <c r="B186" s="62" t="s">
        <v>348</v>
      </c>
      <c r="C186" s="62" t="s">
        <v>494</v>
      </c>
      <c r="D186" s="62" t="s">
        <v>344</v>
      </c>
      <c r="E186" s="62" t="s">
        <v>131</v>
      </c>
      <c r="F186" s="62" t="s">
        <v>5</v>
      </c>
      <c r="G186">
        <v>852</v>
      </c>
      <c r="H186">
        <v>852</v>
      </c>
      <c r="I186" s="62" t="s">
        <v>506</v>
      </c>
      <c r="J186" s="62" t="s">
        <v>1559</v>
      </c>
      <c r="K186" s="62" t="s">
        <v>1559</v>
      </c>
      <c r="L186" s="62" t="s">
        <v>1110</v>
      </c>
    </row>
    <row r="187" spans="1:12" x14ac:dyDescent="0.35">
      <c r="A187">
        <v>12722</v>
      </c>
      <c r="B187" s="62" t="s">
        <v>235</v>
      </c>
      <c r="C187" s="62" t="s">
        <v>487</v>
      </c>
      <c r="D187" s="62" t="s">
        <v>226</v>
      </c>
      <c r="E187" s="62" t="s">
        <v>131</v>
      </c>
      <c r="F187" s="62" t="s">
        <v>5</v>
      </c>
      <c r="G187">
        <v>21</v>
      </c>
      <c r="H187">
        <v>21</v>
      </c>
      <c r="I187" s="62" t="s">
        <v>506</v>
      </c>
      <c r="J187" s="62" t="s">
        <v>1560</v>
      </c>
      <c r="K187" s="62" t="s">
        <v>1560</v>
      </c>
      <c r="L187" s="62" t="s">
        <v>1110</v>
      </c>
    </row>
    <row r="188" spans="1:12" x14ac:dyDescent="0.35">
      <c r="A188">
        <v>10856</v>
      </c>
      <c r="B188" s="62" t="s">
        <v>348</v>
      </c>
      <c r="C188" s="62" t="s">
        <v>494</v>
      </c>
      <c r="D188" s="62" t="s">
        <v>344</v>
      </c>
      <c r="E188" s="62" t="s">
        <v>131</v>
      </c>
      <c r="F188" s="62" t="s">
        <v>4</v>
      </c>
      <c r="G188">
        <v>131</v>
      </c>
      <c r="H188">
        <v>131</v>
      </c>
      <c r="I188" s="62" t="s">
        <v>506</v>
      </c>
      <c r="J188" s="62" t="s">
        <v>1561</v>
      </c>
      <c r="K188" s="62" t="s">
        <v>1561</v>
      </c>
      <c r="L188" s="62" t="s">
        <v>1110</v>
      </c>
    </row>
    <row r="189" spans="1:12" x14ac:dyDescent="0.35">
      <c r="A189">
        <v>11173</v>
      </c>
      <c r="B189" s="62" t="s">
        <v>336</v>
      </c>
      <c r="C189" s="62" t="s">
        <v>494</v>
      </c>
      <c r="D189" s="62" t="s">
        <v>330</v>
      </c>
      <c r="E189" s="62" t="s">
        <v>131</v>
      </c>
      <c r="F189" s="62" t="s">
        <v>508</v>
      </c>
      <c r="G189">
        <v>251</v>
      </c>
      <c r="I189" s="62" t="s">
        <v>507</v>
      </c>
      <c r="J189" s="62" t="s">
        <v>1562</v>
      </c>
      <c r="K189" s="62" t="s">
        <v>1562</v>
      </c>
      <c r="L189" s="62" t="s">
        <v>1110</v>
      </c>
    </row>
    <row r="190" spans="1:12" x14ac:dyDescent="0.35">
      <c r="A190">
        <v>11173</v>
      </c>
      <c r="B190" s="62" t="s">
        <v>336</v>
      </c>
      <c r="C190" s="62" t="s">
        <v>494</v>
      </c>
      <c r="D190" s="62" t="s">
        <v>330</v>
      </c>
      <c r="E190" s="62" t="s">
        <v>131</v>
      </c>
      <c r="F190" s="62" t="s">
        <v>6</v>
      </c>
      <c r="G190">
        <v>173</v>
      </c>
      <c r="I190" s="62" t="s">
        <v>507</v>
      </c>
      <c r="J190" s="62" t="s">
        <v>1563</v>
      </c>
      <c r="K190" s="62" t="s">
        <v>1563</v>
      </c>
      <c r="L190" s="62" t="s">
        <v>1110</v>
      </c>
    </row>
    <row r="191" spans="1:12" x14ac:dyDescent="0.35">
      <c r="A191">
        <v>11173</v>
      </c>
      <c r="B191" s="62" t="s">
        <v>336</v>
      </c>
      <c r="C191" s="62" t="s">
        <v>494</v>
      </c>
      <c r="D191" s="62" t="s">
        <v>330</v>
      </c>
      <c r="E191" s="62" t="s">
        <v>131</v>
      </c>
      <c r="F191" s="62" t="s">
        <v>5</v>
      </c>
      <c r="G191">
        <v>3593</v>
      </c>
      <c r="H191">
        <v>3593</v>
      </c>
      <c r="I191" s="62" t="s">
        <v>506</v>
      </c>
      <c r="J191" s="62" t="s">
        <v>1564</v>
      </c>
      <c r="K191" s="62" t="s">
        <v>1564</v>
      </c>
      <c r="L191" s="62" t="s">
        <v>1110</v>
      </c>
    </row>
    <row r="192" spans="1:12" x14ac:dyDescent="0.35">
      <c r="A192">
        <v>12722</v>
      </c>
      <c r="B192" s="62" t="s">
        <v>235</v>
      </c>
      <c r="C192" s="62" t="s">
        <v>487</v>
      </c>
      <c r="D192" s="62" t="s">
        <v>226</v>
      </c>
      <c r="E192" s="62" t="s">
        <v>131</v>
      </c>
      <c r="F192" s="62" t="s">
        <v>4</v>
      </c>
      <c r="G192">
        <v>16</v>
      </c>
      <c r="H192">
        <v>16</v>
      </c>
      <c r="I192" s="62" t="s">
        <v>506</v>
      </c>
      <c r="J192" s="62" t="s">
        <v>1565</v>
      </c>
      <c r="K192" s="62" t="s">
        <v>1565</v>
      </c>
      <c r="L192" s="62" t="s">
        <v>1110</v>
      </c>
    </row>
    <row r="193" spans="1:12" x14ac:dyDescent="0.35">
      <c r="A193">
        <v>11173</v>
      </c>
      <c r="B193" s="62" t="s">
        <v>336</v>
      </c>
      <c r="C193" s="62" t="s">
        <v>494</v>
      </c>
      <c r="D193" s="62" t="s">
        <v>330</v>
      </c>
      <c r="E193" s="62" t="s">
        <v>131</v>
      </c>
      <c r="F193" s="62" t="s">
        <v>4</v>
      </c>
      <c r="G193">
        <v>728</v>
      </c>
      <c r="H193">
        <v>728</v>
      </c>
      <c r="I193" s="62" t="s">
        <v>506</v>
      </c>
      <c r="J193" s="62" t="s">
        <v>1566</v>
      </c>
      <c r="K193" s="62" t="s">
        <v>1566</v>
      </c>
      <c r="L193" s="62" t="s">
        <v>1110</v>
      </c>
    </row>
    <row r="194" spans="1:12" x14ac:dyDescent="0.35">
      <c r="A194">
        <v>12795</v>
      </c>
      <c r="B194" s="62" t="s">
        <v>279</v>
      </c>
      <c r="C194" s="62" t="s">
        <v>488</v>
      </c>
      <c r="D194" s="62" t="s">
        <v>276</v>
      </c>
      <c r="E194" s="62" t="s">
        <v>131</v>
      </c>
      <c r="F194" s="62" t="s">
        <v>4</v>
      </c>
      <c r="G194">
        <v>1000</v>
      </c>
      <c r="H194">
        <v>1000</v>
      </c>
      <c r="I194" s="62" t="s">
        <v>506</v>
      </c>
      <c r="J194" s="62" t="s">
        <v>1530</v>
      </c>
      <c r="K194" s="62" t="s">
        <v>1530</v>
      </c>
      <c r="L194" s="62" t="s">
        <v>1110</v>
      </c>
    </row>
    <row r="195" spans="1:12" x14ac:dyDescent="0.35">
      <c r="A195">
        <v>12675</v>
      </c>
      <c r="B195" s="62" t="s">
        <v>144</v>
      </c>
      <c r="C195" s="62" t="s">
        <v>485</v>
      </c>
      <c r="D195" s="62" t="s">
        <v>140</v>
      </c>
      <c r="E195" s="62" t="s">
        <v>131</v>
      </c>
      <c r="F195" s="62" t="s">
        <v>6</v>
      </c>
      <c r="G195">
        <v>36</v>
      </c>
      <c r="H195">
        <v>36</v>
      </c>
      <c r="I195" s="62" t="s">
        <v>506</v>
      </c>
      <c r="J195" s="62" t="s">
        <v>1455</v>
      </c>
      <c r="K195" s="62" t="s">
        <v>1455</v>
      </c>
      <c r="L195" s="62" t="s">
        <v>1110</v>
      </c>
    </row>
    <row r="196" spans="1:12" x14ac:dyDescent="0.35">
      <c r="A196">
        <v>12675</v>
      </c>
      <c r="B196" s="62" t="s">
        <v>144</v>
      </c>
      <c r="C196" s="62" t="s">
        <v>485</v>
      </c>
      <c r="D196" s="62" t="s">
        <v>140</v>
      </c>
      <c r="E196" s="62" t="s">
        <v>131</v>
      </c>
      <c r="F196" s="62" t="s">
        <v>5</v>
      </c>
      <c r="G196">
        <v>17</v>
      </c>
      <c r="H196">
        <v>17</v>
      </c>
      <c r="I196" s="62" t="s">
        <v>506</v>
      </c>
      <c r="J196" s="62" t="s">
        <v>1456</v>
      </c>
      <c r="K196" s="62" t="s">
        <v>1456</v>
      </c>
      <c r="L196" s="62" t="s">
        <v>1110</v>
      </c>
    </row>
    <row r="197" spans="1:12" x14ac:dyDescent="0.35">
      <c r="A197">
        <v>10832</v>
      </c>
      <c r="B197" s="62" t="s">
        <v>333</v>
      </c>
      <c r="C197" s="62" t="s">
        <v>494</v>
      </c>
      <c r="D197" s="62" t="s">
        <v>330</v>
      </c>
      <c r="E197" s="62" t="s">
        <v>131</v>
      </c>
      <c r="F197" s="62" t="s">
        <v>508</v>
      </c>
      <c r="G197">
        <v>5</v>
      </c>
      <c r="H197">
        <v>5</v>
      </c>
      <c r="I197" s="62" t="s">
        <v>506</v>
      </c>
      <c r="J197" s="62" t="s">
        <v>1457</v>
      </c>
      <c r="K197" s="62" t="s">
        <v>1457</v>
      </c>
      <c r="L197" s="62" t="s">
        <v>1110</v>
      </c>
    </row>
    <row r="198" spans="1:12" x14ac:dyDescent="0.35">
      <c r="A198">
        <v>10832</v>
      </c>
      <c r="B198" s="62" t="s">
        <v>333</v>
      </c>
      <c r="C198" s="62" t="s">
        <v>494</v>
      </c>
      <c r="D198" s="62" t="s">
        <v>330</v>
      </c>
      <c r="E198" s="62" t="s">
        <v>131</v>
      </c>
      <c r="F198" s="62" t="s">
        <v>6</v>
      </c>
      <c r="G198">
        <v>13</v>
      </c>
      <c r="H198">
        <v>13</v>
      </c>
      <c r="I198" s="62" t="s">
        <v>506</v>
      </c>
      <c r="J198" s="62" t="s">
        <v>1458</v>
      </c>
      <c r="K198" s="62" t="s">
        <v>1458</v>
      </c>
      <c r="L198" s="62" t="s">
        <v>1110</v>
      </c>
    </row>
    <row r="199" spans="1:12" x14ac:dyDescent="0.35">
      <c r="A199">
        <v>10832</v>
      </c>
      <c r="B199" s="62" t="s">
        <v>333</v>
      </c>
      <c r="C199" s="62" t="s">
        <v>494</v>
      </c>
      <c r="D199" s="62" t="s">
        <v>330</v>
      </c>
      <c r="E199" s="62" t="s">
        <v>131</v>
      </c>
      <c r="F199" s="62" t="s">
        <v>5</v>
      </c>
      <c r="G199">
        <v>55</v>
      </c>
      <c r="H199">
        <v>55</v>
      </c>
      <c r="I199" s="62" t="s">
        <v>506</v>
      </c>
      <c r="J199" s="62" t="s">
        <v>1459</v>
      </c>
      <c r="K199" s="62" t="s">
        <v>1459</v>
      </c>
      <c r="L199" s="62" t="s">
        <v>1110</v>
      </c>
    </row>
    <row r="200" spans="1:12" x14ac:dyDescent="0.35">
      <c r="A200">
        <v>12004</v>
      </c>
      <c r="B200" s="62" t="s">
        <v>211</v>
      </c>
      <c r="C200" s="62" t="s">
        <v>487</v>
      </c>
      <c r="D200" s="62" t="s">
        <v>208</v>
      </c>
      <c r="E200" s="62" t="s">
        <v>131</v>
      </c>
      <c r="F200" s="62" t="s">
        <v>508</v>
      </c>
      <c r="G200">
        <v>1439</v>
      </c>
      <c r="H200">
        <v>1439</v>
      </c>
      <c r="I200" s="62" t="s">
        <v>506</v>
      </c>
      <c r="J200" s="62" t="s">
        <v>1460</v>
      </c>
      <c r="K200" s="62" t="s">
        <v>1460</v>
      </c>
      <c r="L200" s="62" t="s">
        <v>1110</v>
      </c>
    </row>
    <row r="201" spans="1:12" x14ac:dyDescent="0.35">
      <c r="A201">
        <v>12004</v>
      </c>
      <c r="B201" s="62" t="s">
        <v>211</v>
      </c>
      <c r="C201" s="62" t="s">
        <v>487</v>
      </c>
      <c r="D201" s="62" t="s">
        <v>208</v>
      </c>
      <c r="E201" s="62" t="s">
        <v>131</v>
      </c>
      <c r="F201" s="62" t="s">
        <v>6</v>
      </c>
      <c r="G201">
        <v>364</v>
      </c>
      <c r="H201">
        <v>364</v>
      </c>
      <c r="I201" s="62" t="s">
        <v>506</v>
      </c>
      <c r="J201" s="62" t="s">
        <v>1461</v>
      </c>
      <c r="K201" s="62" t="s">
        <v>1461</v>
      </c>
      <c r="L201" s="62" t="s">
        <v>1110</v>
      </c>
    </row>
    <row r="202" spans="1:12" x14ac:dyDescent="0.35">
      <c r="A202">
        <v>12004</v>
      </c>
      <c r="B202" s="62" t="s">
        <v>211</v>
      </c>
      <c r="C202" s="62" t="s">
        <v>487</v>
      </c>
      <c r="D202" s="62" t="s">
        <v>208</v>
      </c>
      <c r="E202" s="62" t="s">
        <v>131</v>
      </c>
      <c r="F202" s="62" t="s">
        <v>5</v>
      </c>
      <c r="G202">
        <v>18186</v>
      </c>
      <c r="H202">
        <v>17000</v>
      </c>
      <c r="I202" s="62" t="s">
        <v>506</v>
      </c>
      <c r="J202" s="62" t="s">
        <v>1462</v>
      </c>
      <c r="K202" s="62" t="s">
        <v>1462</v>
      </c>
      <c r="L202" s="62" t="s">
        <v>1110</v>
      </c>
    </row>
    <row r="203" spans="1:12" x14ac:dyDescent="0.35">
      <c r="A203">
        <v>12675</v>
      </c>
      <c r="B203" s="62" t="s">
        <v>144</v>
      </c>
      <c r="C203" s="62" t="s">
        <v>485</v>
      </c>
      <c r="D203" s="62" t="s">
        <v>140</v>
      </c>
      <c r="E203" s="62" t="s">
        <v>131</v>
      </c>
      <c r="F203" s="62" t="s">
        <v>4</v>
      </c>
      <c r="G203">
        <v>403</v>
      </c>
      <c r="H203">
        <v>403</v>
      </c>
      <c r="I203" s="62" t="s">
        <v>506</v>
      </c>
      <c r="J203" s="62" t="s">
        <v>1463</v>
      </c>
      <c r="K203" s="62" t="s">
        <v>1463</v>
      </c>
      <c r="L203" s="62" t="s">
        <v>1110</v>
      </c>
    </row>
    <row r="204" spans="1:12" x14ac:dyDescent="0.35">
      <c r="A204">
        <v>11928</v>
      </c>
      <c r="B204" s="62" t="s">
        <v>197</v>
      </c>
      <c r="C204" s="62" t="s">
        <v>485</v>
      </c>
      <c r="D204" s="62" t="s">
        <v>196</v>
      </c>
      <c r="E204" s="62" t="s">
        <v>131</v>
      </c>
      <c r="F204" s="62" t="s">
        <v>5</v>
      </c>
      <c r="G204">
        <v>5</v>
      </c>
      <c r="H204">
        <v>5</v>
      </c>
      <c r="I204" s="62" t="s">
        <v>506</v>
      </c>
      <c r="J204" s="62" t="s">
        <v>1464</v>
      </c>
      <c r="K204" s="62" t="s">
        <v>1464</v>
      </c>
      <c r="L204" s="62" t="s">
        <v>1110</v>
      </c>
    </row>
    <row r="205" spans="1:12" x14ac:dyDescent="0.35">
      <c r="A205">
        <v>12500</v>
      </c>
      <c r="B205" s="62" t="s">
        <v>199</v>
      </c>
      <c r="C205" s="62" t="s">
        <v>485</v>
      </c>
      <c r="D205" s="62" t="s">
        <v>196</v>
      </c>
      <c r="E205" s="62" t="s">
        <v>131</v>
      </c>
      <c r="F205" s="62" t="s">
        <v>508</v>
      </c>
      <c r="G205">
        <v>54</v>
      </c>
      <c r="H205">
        <v>54</v>
      </c>
      <c r="I205" s="62" t="s">
        <v>506</v>
      </c>
      <c r="J205" s="62" t="s">
        <v>1465</v>
      </c>
      <c r="K205" s="62" t="s">
        <v>1465</v>
      </c>
      <c r="L205" s="62" t="s">
        <v>1110</v>
      </c>
    </row>
    <row r="206" spans="1:12" x14ac:dyDescent="0.35">
      <c r="A206">
        <v>12500</v>
      </c>
      <c r="B206" s="62" t="s">
        <v>199</v>
      </c>
      <c r="C206" s="62" t="s">
        <v>485</v>
      </c>
      <c r="D206" s="62" t="s">
        <v>196</v>
      </c>
      <c r="E206" s="62" t="s">
        <v>131</v>
      </c>
      <c r="F206" s="62" t="s">
        <v>6</v>
      </c>
      <c r="G206">
        <v>76</v>
      </c>
      <c r="H206">
        <v>76</v>
      </c>
      <c r="I206" s="62" t="s">
        <v>506</v>
      </c>
      <c r="J206" s="62" t="s">
        <v>1466</v>
      </c>
      <c r="K206" s="62" t="s">
        <v>1466</v>
      </c>
      <c r="L206" s="62" t="s">
        <v>1110</v>
      </c>
    </row>
    <row r="207" spans="1:12" x14ac:dyDescent="0.35">
      <c r="A207">
        <v>12500</v>
      </c>
      <c r="B207" s="62" t="s">
        <v>199</v>
      </c>
      <c r="C207" s="62" t="s">
        <v>485</v>
      </c>
      <c r="D207" s="62" t="s">
        <v>196</v>
      </c>
      <c r="E207" s="62" t="s">
        <v>131</v>
      </c>
      <c r="F207" s="62" t="s">
        <v>5</v>
      </c>
      <c r="G207">
        <v>1705</v>
      </c>
      <c r="H207">
        <v>1705</v>
      </c>
      <c r="I207" s="62" t="s">
        <v>506</v>
      </c>
      <c r="J207" s="62" t="s">
        <v>1467</v>
      </c>
      <c r="K207" s="62" t="s">
        <v>1467</v>
      </c>
      <c r="L207" s="62" t="s">
        <v>1110</v>
      </c>
    </row>
    <row r="208" spans="1:12" x14ac:dyDescent="0.35">
      <c r="A208">
        <v>12004</v>
      </c>
      <c r="B208" s="62" t="s">
        <v>211</v>
      </c>
      <c r="C208" s="62" t="s">
        <v>487</v>
      </c>
      <c r="D208" s="62" t="s">
        <v>208</v>
      </c>
      <c r="E208" s="62" t="s">
        <v>131</v>
      </c>
      <c r="F208" s="62" t="s">
        <v>4</v>
      </c>
      <c r="G208">
        <v>8107</v>
      </c>
      <c r="H208">
        <v>8107</v>
      </c>
      <c r="I208" s="62" t="s">
        <v>506</v>
      </c>
      <c r="J208" s="62" t="s">
        <v>1468</v>
      </c>
      <c r="K208" s="62" t="s">
        <v>1468</v>
      </c>
      <c r="L208" s="62" t="s">
        <v>1110</v>
      </c>
    </row>
    <row r="209" spans="1:12" x14ac:dyDescent="0.35">
      <c r="A209">
        <v>10832</v>
      </c>
      <c r="B209" s="62" t="s">
        <v>333</v>
      </c>
      <c r="C209" s="62" t="s">
        <v>494</v>
      </c>
      <c r="D209" s="62" t="s">
        <v>330</v>
      </c>
      <c r="E209" s="62" t="s">
        <v>131</v>
      </c>
      <c r="F209" s="62" t="s">
        <v>4</v>
      </c>
      <c r="G209">
        <v>123</v>
      </c>
      <c r="H209">
        <v>123</v>
      </c>
      <c r="I209" s="62" t="s">
        <v>506</v>
      </c>
      <c r="J209" s="62" t="s">
        <v>1469</v>
      </c>
      <c r="K209" s="62" t="s">
        <v>1469</v>
      </c>
      <c r="L209" s="62" t="s">
        <v>1110</v>
      </c>
    </row>
    <row r="210" spans="1:12" x14ac:dyDescent="0.35">
      <c r="A210">
        <v>11928</v>
      </c>
      <c r="B210" s="62" t="s">
        <v>197</v>
      </c>
      <c r="C210" s="62" t="s">
        <v>485</v>
      </c>
      <c r="D210" s="62" t="s">
        <v>196</v>
      </c>
      <c r="E210" s="62" t="s">
        <v>131</v>
      </c>
      <c r="F210" s="62" t="s">
        <v>4</v>
      </c>
      <c r="G210">
        <v>33</v>
      </c>
      <c r="H210">
        <v>33</v>
      </c>
      <c r="I210" s="62" t="s">
        <v>506</v>
      </c>
      <c r="J210" s="62" t="s">
        <v>1470</v>
      </c>
      <c r="K210" s="62" t="s">
        <v>1470</v>
      </c>
      <c r="L210" s="62" t="s">
        <v>1110</v>
      </c>
    </row>
    <row r="211" spans="1:12" x14ac:dyDescent="0.35">
      <c r="A211">
        <v>17262</v>
      </c>
      <c r="B211" s="62" t="s">
        <v>142</v>
      </c>
      <c r="C211" s="62" t="s">
        <v>485</v>
      </c>
      <c r="D211" s="62" t="s">
        <v>140</v>
      </c>
      <c r="E211" s="62" t="s">
        <v>131</v>
      </c>
      <c r="F211" s="62" t="s">
        <v>5</v>
      </c>
      <c r="G211">
        <v>30</v>
      </c>
      <c r="H211">
        <v>30</v>
      </c>
      <c r="I211" s="62" t="s">
        <v>506</v>
      </c>
      <c r="J211" s="62" t="s">
        <v>1471</v>
      </c>
      <c r="K211" s="62" t="s">
        <v>1471</v>
      </c>
      <c r="L211" s="62" t="s">
        <v>1110</v>
      </c>
    </row>
    <row r="212" spans="1:12" x14ac:dyDescent="0.35">
      <c r="A212">
        <v>12500</v>
      </c>
      <c r="B212" s="62" t="s">
        <v>199</v>
      </c>
      <c r="C212" s="62" t="s">
        <v>485</v>
      </c>
      <c r="D212" s="62" t="s">
        <v>196</v>
      </c>
      <c r="E212" s="62" t="s">
        <v>131</v>
      </c>
      <c r="F212" s="62" t="s">
        <v>4</v>
      </c>
      <c r="G212">
        <v>317</v>
      </c>
      <c r="H212">
        <v>317</v>
      </c>
      <c r="I212" s="62" t="s">
        <v>506</v>
      </c>
      <c r="J212" s="62" t="s">
        <v>1472</v>
      </c>
      <c r="K212" s="62" t="s">
        <v>1472</v>
      </c>
      <c r="L212" s="62" t="s">
        <v>1110</v>
      </c>
    </row>
    <row r="213" spans="1:12" x14ac:dyDescent="0.35">
      <c r="A213">
        <v>12282</v>
      </c>
      <c r="B213" s="62" t="s">
        <v>511</v>
      </c>
      <c r="C213" s="62" t="s">
        <v>485</v>
      </c>
      <c r="D213" s="62" t="s">
        <v>129</v>
      </c>
      <c r="E213" s="62" t="s">
        <v>131</v>
      </c>
      <c r="F213" s="62" t="s">
        <v>508</v>
      </c>
      <c r="G213">
        <v>28</v>
      </c>
      <c r="H213">
        <v>28</v>
      </c>
      <c r="I213" s="62" t="s">
        <v>506</v>
      </c>
      <c r="J213" s="62" t="s">
        <v>1473</v>
      </c>
      <c r="K213" s="62" t="s">
        <v>1473</v>
      </c>
      <c r="L213" s="62" t="s">
        <v>1110</v>
      </c>
    </row>
    <row r="214" spans="1:12" x14ac:dyDescent="0.35">
      <c r="A214">
        <v>12282</v>
      </c>
      <c r="B214" s="62" t="s">
        <v>511</v>
      </c>
      <c r="C214" s="62" t="s">
        <v>485</v>
      </c>
      <c r="D214" s="62" t="s">
        <v>129</v>
      </c>
      <c r="E214" s="62" t="s">
        <v>131</v>
      </c>
      <c r="F214" s="62" t="s">
        <v>6</v>
      </c>
      <c r="G214">
        <v>79</v>
      </c>
      <c r="H214">
        <v>79</v>
      </c>
      <c r="I214" s="62" t="s">
        <v>506</v>
      </c>
      <c r="J214" s="62" t="s">
        <v>1474</v>
      </c>
      <c r="K214" s="62" t="s">
        <v>1474</v>
      </c>
      <c r="L214" s="62" t="s">
        <v>1110</v>
      </c>
    </row>
    <row r="215" spans="1:12" x14ac:dyDescent="0.35">
      <c r="A215">
        <v>12282</v>
      </c>
      <c r="B215" s="62" t="s">
        <v>511</v>
      </c>
      <c r="C215" s="62" t="s">
        <v>485</v>
      </c>
      <c r="D215" s="62" t="s">
        <v>129</v>
      </c>
      <c r="E215" s="62" t="s">
        <v>131</v>
      </c>
      <c r="F215" s="62" t="s">
        <v>5</v>
      </c>
      <c r="G215">
        <v>972</v>
      </c>
      <c r="H215">
        <v>972</v>
      </c>
      <c r="I215" s="62" t="s">
        <v>506</v>
      </c>
      <c r="J215" s="62" t="s">
        <v>1475</v>
      </c>
      <c r="K215" s="62" t="s">
        <v>1475</v>
      </c>
      <c r="L215" s="62" t="s">
        <v>1110</v>
      </c>
    </row>
    <row r="216" spans="1:12" x14ac:dyDescent="0.35">
      <c r="A216">
        <v>17262</v>
      </c>
      <c r="B216" s="62" t="s">
        <v>142</v>
      </c>
      <c r="C216" s="62" t="s">
        <v>485</v>
      </c>
      <c r="D216" s="62" t="s">
        <v>140</v>
      </c>
      <c r="E216" s="62" t="s">
        <v>131</v>
      </c>
      <c r="F216" s="62" t="s">
        <v>4</v>
      </c>
      <c r="G216">
        <v>150</v>
      </c>
      <c r="H216">
        <v>150</v>
      </c>
      <c r="I216" s="62" t="s">
        <v>506</v>
      </c>
      <c r="J216" s="62" t="s">
        <v>1476</v>
      </c>
      <c r="K216" s="62" t="s">
        <v>1476</v>
      </c>
      <c r="L216" s="62" t="s">
        <v>1110</v>
      </c>
    </row>
    <row r="217" spans="1:12" x14ac:dyDescent="0.35">
      <c r="A217">
        <v>12031</v>
      </c>
      <c r="B217" s="62" t="s">
        <v>160</v>
      </c>
      <c r="C217" s="62" t="s">
        <v>485</v>
      </c>
      <c r="D217" s="62" t="s">
        <v>159</v>
      </c>
      <c r="E217" s="62" t="s">
        <v>131</v>
      </c>
      <c r="F217" s="62" t="s">
        <v>508</v>
      </c>
      <c r="G217">
        <v>42</v>
      </c>
      <c r="H217">
        <v>42</v>
      </c>
      <c r="I217" s="62" t="s">
        <v>506</v>
      </c>
      <c r="J217" s="62" t="s">
        <v>1477</v>
      </c>
      <c r="K217" s="62" t="s">
        <v>1477</v>
      </c>
      <c r="L217" s="62" t="s">
        <v>1110</v>
      </c>
    </row>
    <row r="218" spans="1:12" x14ac:dyDescent="0.35">
      <c r="A218">
        <v>12031</v>
      </c>
      <c r="B218" s="62" t="s">
        <v>160</v>
      </c>
      <c r="C218" s="62" t="s">
        <v>485</v>
      </c>
      <c r="D218" s="62" t="s">
        <v>159</v>
      </c>
      <c r="E218" s="62" t="s">
        <v>131</v>
      </c>
      <c r="F218" s="62" t="s">
        <v>6</v>
      </c>
      <c r="G218">
        <v>44</v>
      </c>
      <c r="H218">
        <v>44</v>
      </c>
      <c r="I218" s="62" t="s">
        <v>506</v>
      </c>
      <c r="J218" s="62" t="s">
        <v>1478</v>
      </c>
      <c r="K218" s="62" t="s">
        <v>1478</v>
      </c>
      <c r="L218" s="62" t="s">
        <v>1110</v>
      </c>
    </row>
    <row r="219" spans="1:12" x14ac:dyDescent="0.35">
      <c r="A219">
        <v>12031</v>
      </c>
      <c r="B219" s="62" t="s">
        <v>160</v>
      </c>
      <c r="C219" s="62" t="s">
        <v>485</v>
      </c>
      <c r="D219" s="62" t="s">
        <v>159</v>
      </c>
      <c r="E219" s="62" t="s">
        <v>131</v>
      </c>
      <c r="F219" s="62" t="s">
        <v>5</v>
      </c>
      <c r="G219">
        <v>1406</v>
      </c>
      <c r="H219">
        <v>1406</v>
      </c>
      <c r="I219" s="62" t="s">
        <v>506</v>
      </c>
      <c r="J219" s="62" t="s">
        <v>1479</v>
      </c>
      <c r="K219" s="62" t="s">
        <v>1479</v>
      </c>
      <c r="L219" s="62" t="s">
        <v>1110</v>
      </c>
    </row>
    <row r="220" spans="1:12" x14ac:dyDescent="0.35">
      <c r="A220">
        <v>12031</v>
      </c>
      <c r="B220" s="62" t="s">
        <v>160</v>
      </c>
      <c r="C220" s="62" t="s">
        <v>485</v>
      </c>
      <c r="D220" s="62" t="s">
        <v>159</v>
      </c>
      <c r="E220" s="62" t="s">
        <v>131</v>
      </c>
      <c r="F220" s="62" t="s">
        <v>4</v>
      </c>
      <c r="G220">
        <v>287</v>
      </c>
      <c r="H220">
        <v>287</v>
      </c>
      <c r="I220" s="62" t="s">
        <v>506</v>
      </c>
      <c r="J220" s="62" t="s">
        <v>1480</v>
      </c>
      <c r="K220" s="62" t="s">
        <v>1480</v>
      </c>
      <c r="L220" s="62" t="s">
        <v>1110</v>
      </c>
    </row>
    <row r="221" spans="1:12" x14ac:dyDescent="0.35">
      <c r="A221">
        <v>12666</v>
      </c>
      <c r="B221" s="62" t="s">
        <v>186</v>
      </c>
      <c r="C221" s="62" t="s">
        <v>485</v>
      </c>
      <c r="D221" s="62" t="s">
        <v>175</v>
      </c>
      <c r="E221" s="62" t="s">
        <v>131</v>
      </c>
      <c r="F221" s="62" t="s">
        <v>508</v>
      </c>
      <c r="G221">
        <v>6</v>
      </c>
      <c r="H221">
        <v>6</v>
      </c>
      <c r="I221" s="62" t="s">
        <v>506</v>
      </c>
      <c r="J221" s="62" t="s">
        <v>1481</v>
      </c>
      <c r="K221" s="62" t="s">
        <v>1481</v>
      </c>
      <c r="L221" s="62" t="s">
        <v>1110</v>
      </c>
    </row>
    <row r="222" spans="1:12" x14ac:dyDescent="0.35">
      <c r="A222">
        <v>12666</v>
      </c>
      <c r="B222" s="62" t="s">
        <v>186</v>
      </c>
      <c r="C222" s="62" t="s">
        <v>485</v>
      </c>
      <c r="D222" s="62" t="s">
        <v>175</v>
      </c>
      <c r="E222" s="62" t="s">
        <v>131</v>
      </c>
      <c r="F222" s="62" t="s">
        <v>6</v>
      </c>
      <c r="G222">
        <v>79</v>
      </c>
      <c r="H222">
        <v>79</v>
      </c>
      <c r="I222" s="62" t="s">
        <v>506</v>
      </c>
      <c r="J222" s="62" t="s">
        <v>1482</v>
      </c>
      <c r="K222" s="62" t="s">
        <v>1482</v>
      </c>
      <c r="L222" s="62" t="s">
        <v>1110</v>
      </c>
    </row>
    <row r="223" spans="1:12" x14ac:dyDescent="0.35">
      <c r="A223">
        <v>12666</v>
      </c>
      <c r="B223" s="62" t="s">
        <v>186</v>
      </c>
      <c r="C223" s="62" t="s">
        <v>485</v>
      </c>
      <c r="D223" s="62" t="s">
        <v>175</v>
      </c>
      <c r="E223" s="62" t="s">
        <v>131</v>
      </c>
      <c r="F223" s="62" t="s">
        <v>5</v>
      </c>
      <c r="G223">
        <v>1680</v>
      </c>
      <c r="H223">
        <v>1680</v>
      </c>
      <c r="I223" s="62" t="s">
        <v>506</v>
      </c>
      <c r="J223" s="62" t="s">
        <v>1483</v>
      </c>
      <c r="K223" s="62" t="s">
        <v>1483</v>
      </c>
      <c r="L223" s="62" t="s">
        <v>1110</v>
      </c>
    </row>
    <row r="224" spans="1:12" x14ac:dyDescent="0.35">
      <c r="A224">
        <v>12132</v>
      </c>
      <c r="B224" s="62" t="s">
        <v>258</v>
      </c>
      <c r="C224" s="62" t="s">
        <v>488</v>
      </c>
      <c r="D224" s="62" t="s">
        <v>256</v>
      </c>
      <c r="E224" s="62" t="s">
        <v>131</v>
      </c>
      <c r="F224" s="62" t="s">
        <v>508</v>
      </c>
      <c r="G224">
        <v>48</v>
      </c>
      <c r="H224">
        <v>48</v>
      </c>
      <c r="I224" s="62" t="s">
        <v>506</v>
      </c>
      <c r="J224" s="62" t="s">
        <v>1484</v>
      </c>
      <c r="K224" s="62" t="s">
        <v>1484</v>
      </c>
      <c r="L224" s="62" t="s">
        <v>1110</v>
      </c>
    </row>
    <row r="225" spans="1:12" x14ac:dyDescent="0.35">
      <c r="A225">
        <v>12132</v>
      </c>
      <c r="B225" s="62" t="s">
        <v>258</v>
      </c>
      <c r="C225" s="62" t="s">
        <v>488</v>
      </c>
      <c r="D225" s="62" t="s">
        <v>256</v>
      </c>
      <c r="E225" s="62" t="s">
        <v>131</v>
      </c>
      <c r="F225" s="62" t="s">
        <v>6</v>
      </c>
      <c r="G225">
        <v>186</v>
      </c>
      <c r="H225">
        <v>186</v>
      </c>
      <c r="I225" s="62" t="s">
        <v>506</v>
      </c>
      <c r="J225" s="62" t="s">
        <v>1485</v>
      </c>
      <c r="K225" s="62" t="s">
        <v>1485</v>
      </c>
      <c r="L225" s="62" t="s">
        <v>1110</v>
      </c>
    </row>
    <row r="226" spans="1:12" x14ac:dyDescent="0.35">
      <c r="A226">
        <v>12132</v>
      </c>
      <c r="B226" s="62" t="s">
        <v>258</v>
      </c>
      <c r="C226" s="62" t="s">
        <v>488</v>
      </c>
      <c r="D226" s="62" t="s">
        <v>256</v>
      </c>
      <c r="E226" s="62" t="s">
        <v>131</v>
      </c>
      <c r="F226" s="62" t="s">
        <v>5</v>
      </c>
      <c r="G226">
        <v>2909</v>
      </c>
      <c r="H226">
        <v>2500</v>
      </c>
      <c r="I226" s="62" t="s">
        <v>506</v>
      </c>
      <c r="J226" s="62" t="s">
        <v>1486</v>
      </c>
      <c r="K226" s="62" t="s">
        <v>1486</v>
      </c>
      <c r="L226" s="62" t="s">
        <v>1110</v>
      </c>
    </row>
    <row r="227" spans="1:12" x14ac:dyDescent="0.35">
      <c r="A227">
        <v>12132</v>
      </c>
      <c r="B227" s="62" t="s">
        <v>258</v>
      </c>
      <c r="C227" s="62" t="s">
        <v>488</v>
      </c>
      <c r="D227" s="62" t="s">
        <v>256</v>
      </c>
      <c r="E227" s="62" t="s">
        <v>131</v>
      </c>
      <c r="F227" s="62" t="s">
        <v>4</v>
      </c>
      <c r="G227">
        <v>402</v>
      </c>
      <c r="H227">
        <v>402</v>
      </c>
      <c r="I227" s="62" t="s">
        <v>506</v>
      </c>
      <c r="J227" s="62" t="s">
        <v>1487</v>
      </c>
      <c r="K227" s="62" t="s">
        <v>1487</v>
      </c>
      <c r="L227" s="62" t="s">
        <v>1110</v>
      </c>
    </row>
    <row r="228" spans="1:12" x14ac:dyDescent="0.35">
      <c r="A228">
        <v>12359</v>
      </c>
      <c r="B228" s="62" t="s">
        <v>215</v>
      </c>
      <c r="C228" s="62" t="s">
        <v>487</v>
      </c>
      <c r="D228" s="62" t="s">
        <v>208</v>
      </c>
      <c r="E228" s="62" t="s">
        <v>131</v>
      </c>
      <c r="F228" s="62" t="s">
        <v>508</v>
      </c>
      <c r="G228">
        <v>40</v>
      </c>
      <c r="I228" s="62" t="s">
        <v>507</v>
      </c>
      <c r="J228" s="62" t="s">
        <v>1697</v>
      </c>
      <c r="K228" s="62" t="s">
        <v>1697</v>
      </c>
      <c r="L228" s="62" t="s">
        <v>1110</v>
      </c>
    </row>
    <row r="229" spans="1:12" x14ac:dyDescent="0.35">
      <c r="A229">
        <v>12359</v>
      </c>
      <c r="B229" s="62" t="s">
        <v>215</v>
      </c>
      <c r="C229" s="62" t="s">
        <v>487</v>
      </c>
      <c r="D229" s="62" t="s">
        <v>208</v>
      </c>
      <c r="E229" s="62" t="s">
        <v>131</v>
      </c>
      <c r="F229" s="62" t="s">
        <v>6</v>
      </c>
      <c r="G229">
        <v>13</v>
      </c>
      <c r="I229" s="62" t="s">
        <v>507</v>
      </c>
      <c r="J229" s="62" t="s">
        <v>1698</v>
      </c>
      <c r="K229" s="62" t="s">
        <v>1698</v>
      </c>
      <c r="L229" s="62" t="s">
        <v>1110</v>
      </c>
    </row>
    <row r="230" spans="1:12" x14ac:dyDescent="0.35">
      <c r="A230">
        <v>12359</v>
      </c>
      <c r="B230" s="62" t="s">
        <v>215</v>
      </c>
      <c r="C230" s="62" t="s">
        <v>487</v>
      </c>
      <c r="D230" s="62" t="s">
        <v>208</v>
      </c>
      <c r="E230" s="62" t="s">
        <v>131</v>
      </c>
      <c r="F230" s="62" t="s">
        <v>5</v>
      </c>
      <c r="G230">
        <v>931</v>
      </c>
      <c r="H230">
        <v>931</v>
      </c>
      <c r="I230" s="62" t="s">
        <v>506</v>
      </c>
      <c r="J230" s="62" t="s">
        <v>1699</v>
      </c>
      <c r="K230" s="62" t="s">
        <v>1699</v>
      </c>
      <c r="L230" s="62" t="s">
        <v>1110</v>
      </c>
    </row>
    <row r="231" spans="1:12" x14ac:dyDescent="0.35">
      <c r="A231">
        <v>12328</v>
      </c>
      <c r="B231" s="62" t="s">
        <v>512</v>
      </c>
      <c r="C231" s="62" t="s">
        <v>485</v>
      </c>
      <c r="D231" s="62" t="s">
        <v>175</v>
      </c>
      <c r="E231" s="62" t="s">
        <v>131</v>
      </c>
      <c r="F231" s="62" t="s">
        <v>508</v>
      </c>
      <c r="G231">
        <v>1</v>
      </c>
      <c r="H231">
        <v>1</v>
      </c>
      <c r="I231" s="62" t="s">
        <v>506</v>
      </c>
      <c r="J231" s="62" t="s">
        <v>1488</v>
      </c>
      <c r="K231" s="62" t="s">
        <v>1488</v>
      </c>
      <c r="L231" s="62" t="s">
        <v>1110</v>
      </c>
    </row>
    <row r="232" spans="1:12" x14ac:dyDescent="0.35">
      <c r="A232">
        <v>12328</v>
      </c>
      <c r="B232" s="62" t="s">
        <v>512</v>
      </c>
      <c r="C232" s="62" t="s">
        <v>485</v>
      </c>
      <c r="D232" s="62" t="s">
        <v>175</v>
      </c>
      <c r="E232" s="62" t="s">
        <v>131</v>
      </c>
      <c r="F232" s="62" t="s">
        <v>6</v>
      </c>
      <c r="G232">
        <v>2</v>
      </c>
      <c r="H232">
        <v>2</v>
      </c>
      <c r="I232" s="62" t="s">
        <v>506</v>
      </c>
      <c r="J232" s="62" t="s">
        <v>1489</v>
      </c>
      <c r="K232" s="62" t="s">
        <v>1489</v>
      </c>
      <c r="L232" s="62" t="s">
        <v>1110</v>
      </c>
    </row>
    <row r="233" spans="1:12" x14ac:dyDescent="0.35">
      <c r="A233">
        <v>12328</v>
      </c>
      <c r="B233" s="62" t="s">
        <v>512</v>
      </c>
      <c r="C233" s="62" t="s">
        <v>485</v>
      </c>
      <c r="D233" s="62" t="s">
        <v>175</v>
      </c>
      <c r="E233" s="62" t="s">
        <v>131</v>
      </c>
      <c r="F233" s="62" t="s">
        <v>5</v>
      </c>
      <c r="G233">
        <v>50</v>
      </c>
      <c r="H233">
        <v>50</v>
      </c>
      <c r="I233" s="62" t="s">
        <v>506</v>
      </c>
      <c r="J233" s="62" t="s">
        <v>1490</v>
      </c>
      <c r="K233" s="62" t="s">
        <v>1490</v>
      </c>
      <c r="L233" s="62" t="s">
        <v>1110</v>
      </c>
    </row>
    <row r="234" spans="1:12" x14ac:dyDescent="0.35">
      <c r="A234">
        <v>12222</v>
      </c>
      <c r="B234" s="62" t="s">
        <v>273</v>
      </c>
      <c r="C234" s="62" t="s">
        <v>488</v>
      </c>
      <c r="D234" s="62" t="s">
        <v>271</v>
      </c>
      <c r="E234" s="62" t="s">
        <v>131</v>
      </c>
      <c r="F234" s="62" t="s">
        <v>508</v>
      </c>
      <c r="G234">
        <v>1</v>
      </c>
      <c r="H234">
        <v>1</v>
      </c>
      <c r="I234" s="62" t="s">
        <v>506</v>
      </c>
      <c r="J234" s="62" t="s">
        <v>1491</v>
      </c>
      <c r="K234" s="62" t="s">
        <v>1491</v>
      </c>
      <c r="L234" s="62" t="s">
        <v>1110</v>
      </c>
    </row>
    <row r="235" spans="1:12" x14ac:dyDescent="0.35">
      <c r="A235">
        <v>12222</v>
      </c>
      <c r="B235" s="62" t="s">
        <v>273</v>
      </c>
      <c r="C235" s="62" t="s">
        <v>488</v>
      </c>
      <c r="D235" s="62" t="s">
        <v>271</v>
      </c>
      <c r="E235" s="62" t="s">
        <v>131</v>
      </c>
      <c r="F235" s="62" t="s">
        <v>6</v>
      </c>
      <c r="G235">
        <v>1</v>
      </c>
      <c r="H235">
        <v>1</v>
      </c>
      <c r="I235" s="62" t="s">
        <v>506</v>
      </c>
      <c r="J235" s="62" t="s">
        <v>1492</v>
      </c>
      <c r="K235" s="62" t="s">
        <v>1492</v>
      </c>
      <c r="L235" s="62" t="s">
        <v>1110</v>
      </c>
    </row>
    <row r="236" spans="1:12" x14ac:dyDescent="0.35">
      <c r="A236">
        <v>12222</v>
      </c>
      <c r="B236" s="62" t="s">
        <v>273</v>
      </c>
      <c r="C236" s="62" t="s">
        <v>488</v>
      </c>
      <c r="D236" s="62" t="s">
        <v>271</v>
      </c>
      <c r="E236" s="62" t="s">
        <v>131</v>
      </c>
      <c r="F236" s="62" t="s">
        <v>5</v>
      </c>
      <c r="G236">
        <v>37</v>
      </c>
      <c r="H236">
        <v>37</v>
      </c>
      <c r="I236" s="62" t="s">
        <v>506</v>
      </c>
      <c r="J236" s="62" t="s">
        <v>1493</v>
      </c>
      <c r="K236" s="62" t="s">
        <v>1493</v>
      </c>
      <c r="L236" s="62" t="s">
        <v>1110</v>
      </c>
    </row>
    <row r="237" spans="1:12" x14ac:dyDescent="0.35">
      <c r="A237">
        <v>12328</v>
      </c>
      <c r="B237" s="62" t="s">
        <v>182</v>
      </c>
      <c r="C237" s="62" t="s">
        <v>485</v>
      </c>
      <c r="D237" s="62" t="s">
        <v>175</v>
      </c>
      <c r="E237" s="62" t="s">
        <v>131</v>
      </c>
      <c r="F237" s="62" t="s">
        <v>4</v>
      </c>
      <c r="G237">
        <v>74</v>
      </c>
      <c r="H237">
        <v>74</v>
      </c>
      <c r="I237" s="62" t="s">
        <v>506</v>
      </c>
      <c r="J237" s="62" t="s">
        <v>1494</v>
      </c>
      <c r="K237" s="62" t="s">
        <v>1494</v>
      </c>
      <c r="L237" s="62" t="s">
        <v>1110</v>
      </c>
    </row>
    <row r="238" spans="1:12" x14ac:dyDescent="0.35">
      <c r="A238">
        <v>16235</v>
      </c>
      <c r="B238" s="62" t="s">
        <v>191</v>
      </c>
      <c r="C238" s="62" t="s">
        <v>485</v>
      </c>
      <c r="D238" s="62" t="s">
        <v>189</v>
      </c>
      <c r="E238" s="62" t="s">
        <v>131</v>
      </c>
      <c r="F238" s="62" t="s">
        <v>6</v>
      </c>
      <c r="G238">
        <v>9</v>
      </c>
      <c r="H238">
        <v>9</v>
      </c>
      <c r="I238" s="62" t="s">
        <v>506</v>
      </c>
      <c r="J238" s="62" t="s">
        <v>1495</v>
      </c>
      <c r="K238" s="62" t="s">
        <v>1495</v>
      </c>
      <c r="L238" s="62" t="s">
        <v>1110</v>
      </c>
    </row>
    <row r="239" spans="1:12" x14ac:dyDescent="0.35">
      <c r="A239">
        <v>12222</v>
      </c>
      <c r="B239" s="62" t="s">
        <v>273</v>
      </c>
      <c r="C239" s="62" t="s">
        <v>488</v>
      </c>
      <c r="D239" s="62" t="s">
        <v>271</v>
      </c>
      <c r="E239" s="62" t="s">
        <v>131</v>
      </c>
      <c r="F239" s="62" t="s">
        <v>4</v>
      </c>
      <c r="G239">
        <v>56</v>
      </c>
      <c r="H239">
        <v>56</v>
      </c>
      <c r="I239" s="62" t="s">
        <v>506</v>
      </c>
      <c r="J239" s="62" t="s">
        <v>1496</v>
      </c>
      <c r="K239" s="62" t="s">
        <v>1496</v>
      </c>
      <c r="L239" s="62" t="s">
        <v>1110</v>
      </c>
    </row>
    <row r="240" spans="1:12" x14ac:dyDescent="0.35">
      <c r="A240">
        <v>16235</v>
      </c>
      <c r="B240" s="62" t="s">
        <v>191</v>
      </c>
      <c r="C240" s="62" t="s">
        <v>485</v>
      </c>
      <c r="D240" s="62" t="s">
        <v>189</v>
      </c>
      <c r="E240" s="62" t="s">
        <v>131</v>
      </c>
      <c r="F240" s="62" t="s">
        <v>508</v>
      </c>
      <c r="G240">
        <v>2</v>
      </c>
      <c r="I240" s="62" t="s">
        <v>506</v>
      </c>
      <c r="J240" s="62" t="s">
        <v>1497</v>
      </c>
      <c r="K240" s="62" t="s">
        <v>1497</v>
      </c>
      <c r="L240" s="62" t="s">
        <v>1110</v>
      </c>
    </row>
    <row r="241" spans="1:12" x14ac:dyDescent="0.35">
      <c r="A241">
        <v>16235</v>
      </c>
      <c r="B241" s="62" t="s">
        <v>191</v>
      </c>
      <c r="C241" s="62" t="s">
        <v>485</v>
      </c>
      <c r="D241" s="62" t="s">
        <v>189</v>
      </c>
      <c r="E241" s="62" t="s">
        <v>131</v>
      </c>
      <c r="F241" s="62" t="s">
        <v>5</v>
      </c>
      <c r="G241">
        <v>3</v>
      </c>
      <c r="I241" s="62" t="s">
        <v>507</v>
      </c>
      <c r="J241" s="62" t="s">
        <v>1498</v>
      </c>
      <c r="K241" s="62" t="s">
        <v>1498</v>
      </c>
      <c r="L241" s="62" t="s">
        <v>1110</v>
      </c>
    </row>
    <row r="242" spans="1:12" x14ac:dyDescent="0.35">
      <c r="A242">
        <v>12820</v>
      </c>
      <c r="B242" s="62" t="s">
        <v>246</v>
      </c>
      <c r="C242" s="62" t="s">
        <v>487</v>
      </c>
      <c r="D242" s="62" t="s">
        <v>237</v>
      </c>
      <c r="E242" s="62" t="s">
        <v>131</v>
      </c>
      <c r="F242" s="62" t="s">
        <v>508</v>
      </c>
      <c r="G242">
        <v>13</v>
      </c>
      <c r="I242" s="62" t="s">
        <v>507</v>
      </c>
      <c r="J242" s="62" t="s">
        <v>1499</v>
      </c>
      <c r="K242" s="62" t="s">
        <v>1499</v>
      </c>
      <c r="L242" s="62" t="s">
        <v>1110</v>
      </c>
    </row>
    <row r="243" spans="1:12" x14ac:dyDescent="0.35">
      <c r="A243">
        <v>12820</v>
      </c>
      <c r="B243" s="62" t="s">
        <v>246</v>
      </c>
      <c r="C243" s="62" t="s">
        <v>487</v>
      </c>
      <c r="D243" s="62" t="s">
        <v>237</v>
      </c>
      <c r="E243" s="62" t="s">
        <v>131</v>
      </c>
      <c r="F243" s="62" t="s">
        <v>5</v>
      </c>
      <c r="G243">
        <v>22</v>
      </c>
      <c r="H243">
        <v>22</v>
      </c>
      <c r="I243" s="62" t="s">
        <v>506</v>
      </c>
      <c r="J243" s="62" t="s">
        <v>1500</v>
      </c>
      <c r="K243" s="62" t="s">
        <v>1500</v>
      </c>
      <c r="L243" s="62" t="s">
        <v>1110</v>
      </c>
    </row>
    <row r="244" spans="1:12" x14ac:dyDescent="0.35">
      <c r="A244">
        <v>12271</v>
      </c>
      <c r="B244" s="62" t="s">
        <v>223</v>
      </c>
      <c r="C244" s="62" t="s">
        <v>487</v>
      </c>
      <c r="D244" s="62" t="s">
        <v>218</v>
      </c>
      <c r="E244" s="62" t="s">
        <v>131</v>
      </c>
      <c r="F244" s="62" t="s">
        <v>6</v>
      </c>
      <c r="G244">
        <v>50</v>
      </c>
      <c r="H244">
        <v>50</v>
      </c>
      <c r="I244" s="62" t="s">
        <v>506</v>
      </c>
      <c r="J244" s="62" t="s">
        <v>1501</v>
      </c>
      <c r="K244" s="62" t="s">
        <v>1501</v>
      </c>
      <c r="L244" s="62" t="s">
        <v>1110</v>
      </c>
    </row>
    <row r="245" spans="1:12" x14ac:dyDescent="0.35">
      <c r="A245">
        <v>12271</v>
      </c>
      <c r="B245" s="62" t="s">
        <v>223</v>
      </c>
      <c r="C245" s="62" t="s">
        <v>487</v>
      </c>
      <c r="D245" s="62" t="s">
        <v>218</v>
      </c>
      <c r="E245" s="62" t="s">
        <v>131</v>
      </c>
      <c r="F245" s="62" t="s">
        <v>508</v>
      </c>
      <c r="G245">
        <v>405</v>
      </c>
      <c r="H245">
        <v>200</v>
      </c>
      <c r="I245" s="62" t="s">
        <v>507</v>
      </c>
      <c r="J245" s="62" t="s">
        <v>1502</v>
      </c>
      <c r="K245" s="62" t="s">
        <v>1502</v>
      </c>
      <c r="L245" s="62" t="s">
        <v>1110</v>
      </c>
    </row>
    <row r="246" spans="1:12" x14ac:dyDescent="0.35">
      <c r="A246">
        <v>12271</v>
      </c>
      <c r="B246" s="62" t="s">
        <v>223</v>
      </c>
      <c r="C246" s="62" t="s">
        <v>487</v>
      </c>
      <c r="D246" s="62" t="s">
        <v>218</v>
      </c>
      <c r="E246" s="62" t="s">
        <v>131</v>
      </c>
      <c r="F246" s="62" t="s">
        <v>5</v>
      </c>
      <c r="G246">
        <v>2189</v>
      </c>
      <c r="H246">
        <v>2189</v>
      </c>
      <c r="I246" s="62" t="s">
        <v>506</v>
      </c>
      <c r="J246" s="62" t="s">
        <v>1503</v>
      </c>
      <c r="K246" s="62" t="s">
        <v>1503</v>
      </c>
      <c r="L246" s="62" t="s">
        <v>1110</v>
      </c>
    </row>
    <row r="247" spans="1:12" x14ac:dyDescent="0.35">
      <c r="A247">
        <v>16235</v>
      </c>
      <c r="B247" s="62" t="s">
        <v>191</v>
      </c>
      <c r="C247" s="62" t="s">
        <v>485</v>
      </c>
      <c r="D247" s="62" t="s">
        <v>189</v>
      </c>
      <c r="E247" s="62" t="s">
        <v>131</v>
      </c>
      <c r="F247" s="62" t="s">
        <v>4</v>
      </c>
      <c r="G247">
        <v>40</v>
      </c>
      <c r="H247">
        <v>40</v>
      </c>
      <c r="I247" s="62" t="s">
        <v>506</v>
      </c>
      <c r="J247" s="62" t="s">
        <v>1504</v>
      </c>
      <c r="K247" s="62" t="s">
        <v>1504</v>
      </c>
      <c r="L247" s="62" t="s">
        <v>1110</v>
      </c>
    </row>
    <row r="248" spans="1:12" x14ac:dyDescent="0.35">
      <c r="A248">
        <v>12820</v>
      </c>
      <c r="B248" s="62" t="s">
        <v>550</v>
      </c>
      <c r="C248" s="62" t="s">
        <v>487</v>
      </c>
      <c r="D248" s="62" t="s">
        <v>237</v>
      </c>
      <c r="E248" s="62" t="s">
        <v>131</v>
      </c>
      <c r="F248" s="62" t="s">
        <v>4</v>
      </c>
      <c r="G248">
        <v>43</v>
      </c>
      <c r="H248">
        <v>43</v>
      </c>
      <c r="I248" s="62" t="s">
        <v>506</v>
      </c>
      <c r="J248" s="62" t="s">
        <v>1505</v>
      </c>
      <c r="K248" s="62" t="s">
        <v>1505</v>
      </c>
      <c r="L248" s="62" t="s">
        <v>1110</v>
      </c>
    </row>
    <row r="249" spans="1:12" x14ac:dyDescent="0.35">
      <c r="A249">
        <v>12645</v>
      </c>
      <c r="B249" s="62" t="s">
        <v>234</v>
      </c>
      <c r="C249" s="62" t="s">
        <v>487</v>
      </c>
      <c r="D249" s="62" t="s">
        <v>226</v>
      </c>
      <c r="E249" s="62" t="s">
        <v>131</v>
      </c>
      <c r="F249" s="62" t="s">
        <v>5</v>
      </c>
      <c r="G249">
        <v>8</v>
      </c>
      <c r="I249" s="62" t="s">
        <v>507</v>
      </c>
      <c r="J249" s="62" t="s">
        <v>1506</v>
      </c>
      <c r="K249" s="62" t="s">
        <v>1506</v>
      </c>
      <c r="L249" s="62" t="s">
        <v>1110</v>
      </c>
    </row>
    <row r="250" spans="1:12" x14ac:dyDescent="0.35">
      <c r="A250">
        <v>12271</v>
      </c>
      <c r="B250" s="62" t="s">
        <v>223</v>
      </c>
      <c r="C250" s="62" t="s">
        <v>487</v>
      </c>
      <c r="D250" s="62" t="s">
        <v>218</v>
      </c>
      <c r="E250" s="62" t="s">
        <v>131</v>
      </c>
      <c r="F250" s="62" t="s">
        <v>4</v>
      </c>
      <c r="G250">
        <v>346</v>
      </c>
      <c r="H250">
        <v>346</v>
      </c>
      <c r="I250" s="62" t="s">
        <v>506</v>
      </c>
      <c r="J250" s="62" t="s">
        <v>1507</v>
      </c>
      <c r="K250" s="62" t="s">
        <v>1507</v>
      </c>
      <c r="L250" s="62" t="s">
        <v>1110</v>
      </c>
    </row>
    <row r="251" spans="1:12" x14ac:dyDescent="0.35">
      <c r="A251">
        <v>12192</v>
      </c>
      <c r="B251" s="62" t="s">
        <v>162</v>
      </c>
      <c r="C251" s="62" t="s">
        <v>485</v>
      </c>
      <c r="D251" s="62" t="s">
        <v>159</v>
      </c>
      <c r="E251" s="62" t="s">
        <v>131</v>
      </c>
      <c r="F251" s="62" t="s">
        <v>508</v>
      </c>
      <c r="G251">
        <v>4</v>
      </c>
      <c r="I251" s="62" t="s">
        <v>507</v>
      </c>
      <c r="J251" s="62" t="s">
        <v>1508</v>
      </c>
      <c r="K251" s="62" t="s">
        <v>1508</v>
      </c>
      <c r="L251" s="62" t="s">
        <v>1110</v>
      </c>
    </row>
    <row r="252" spans="1:12" x14ac:dyDescent="0.35">
      <c r="A252">
        <v>12192</v>
      </c>
      <c r="B252" s="62" t="s">
        <v>162</v>
      </c>
      <c r="C252" s="62" t="s">
        <v>485</v>
      </c>
      <c r="D252" s="62" t="s">
        <v>159</v>
      </c>
      <c r="E252" s="62" t="s">
        <v>131</v>
      </c>
      <c r="F252" s="62" t="s">
        <v>5</v>
      </c>
      <c r="G252">
        <v>15</v>
      </c>
      <c r="I252" s="62" t="s">
        <v>507</v>
      </c>
      <c r="J252" s="62" t="s">
        <v>1509</v>
      </c>
      <c r="K252" s="62" t="s">
        <v>1509</v>
      </c>
      <c r="L252" s="62" t="s">
        <v>1110</v>
      </c>
    </row>
    <row r="253" spans="1:12" x14ac:dyDescent="0.35">
      <c r="A253">
        <v>12192</v>
      </c>
      <c r="B253" s="62" t="s">
        <v>162</v>
      </c>
      <c r="C253" s="62" t="s">
        <v>485</v>
      </c>
      <c r="D253" s="62" t="s">
        <v>159</v>
      </c>
      <c r="E253" s="62" t="s">
        <v>131</v>
      </c>
      <c r="F253" s="62" t="s">
        <v>4</v>
      </c>
      <c r="G253">
        <v>137</v>
      </c>
      <c r="H253">
        <v>137</v>
      </c>
      <c r="I253" s="62" t="s">
        <v>506</v>
      </c>
      <c r="J253" s="62" t="s">
        <v>1510</v>
      </c>
      <c r="K253" s="62" t="s">
        <v>1510</v>
      </c>
      <c r="L253" s="62" t="s">
        <v>1110</v>
      </c>
    </row>
    <row r="254" spans="1:12" x14ac:dyDescent="0.35">
      <c r="A254">
        <v>12645</v>
      </c>
      <c r="B254" s="62" t="s">
        <v>234</v>
      </c>
      <c r="C254" s="62" t="s">
        <v>487</v>
      </c>
      <c r="D254" s="62" t="s">
        <v>226</v>
      </c>
      <c r="E254" s="62" t="s">
        <v>131</v>
      </c>
      <c r="F254" s="62" t="s">
        <v>4</v>
      </c>
      <c r="G254">
        <v>50</v>
      </c>
      <c r="H254">
        <v>50</v>
      </c>
      <c r="I254" s="62" t="s">
        <v>506</v>
      </c>
      <c r="J254" s="62" t="s">
        <v>1511</v>
      </c>
      <c r="K254" s="62" t="s">
        <v>1511</v>
      </c>
      <c r="L254" s="62" t="s">
        <v>1110</v>
      </c>
    </row>
    <row r="255" spans="1:12" x14ac:dyDescent="0.35">
      <c r="A255">
        <v>12700</v>
      </c>
      <c r="B255" s="62" t="s">
        <v>136</v>
      </c>
      <c r="C255" s="62" t="s">
        <v>485</v>
      </c>
      <c r="D255" s="62" t="s">
        <v>129</v>
      </c>
      <c r="E255" s="62" t="s">
        <v>131</v>
      </c>
      <c r="F255" s="62" t="s">
        <v>5</v>
      </c>
      <c r="G255">
        <v>2</v>
      </c>
      <c r="H255">
        <v>2</v>
      </c>
      <c r="I255" s="62" t="s">
        <v>506</v>
      </c>
      <c r="J255" s="62" t="s">
        <v>1368</v>
      </c>
      <c r="K255" s="62" t="s">
        <v>1368</v>
      </c>
      <c r="L255" s="62" t="s">
        <v>1110</v>
      </c>
    </row>
    <row r="256" spans="1:12" x14ac:dyDescent="0.35">
      <c r="A256">
        <v>18782</v>
      </c>
      <c r="B256" s="62" t="s">
        <v>345</v>
      </c>
      <c r="C256" s="62" t="s">
        <v>494</v>
      </c>
      <c r="D256" s="62" t="s">
        <v>344</v>
      </c>
      <c r="E256" s="62" t="s">
        <v>131</v>
      </c>
      <c r="F256" s="62" t="s">
        <v>508</v>
      </c>
      <c r="G256">
        <v>76</v>
      </c>
      <c r="H256">
        <v>76</v>
      </c>
      <c r="I256" s="62" t="s">
        <v>506</v>
      </c>
      <c r="J256" s="62" t="s">
        <v>1370</v>
      </c>
      <c r="K256" s="62" t="s">
        <v>1370</v>
      </c>
      <c r="L256" s="62" t="s">
        <v>1110</v>
      </c>
    </row>
    <row r="257" spans="1:12" x14ac:dyDescent="0.35">
      <c r="A257">
        <v>18782</v>
      </c>
      <c r="B257" s="62" t="s">
        <v>345</v>
      </c>
      <c r="C257" s="62" t="s">
        <v>494</v>
      </c>
      <c r="D257" s="62" t="s">
        <v>344</v>
      </c>
      <c r="E257" s="62" t="s">
        <v>131</v>
      </c>
      <c r="F257" s="62" t="s">
        <v>6</v>
      </c>
      <c r="G257">
        <v>22</v>
      </c>
      <c r="H257">
        <v>22</v>
      </c>
      <c r="I257" s="62" t="s">
        <v>506</v>
      </c>
      <c r="J257" s="62" t="s">
        <v>1371</v>
      </c>
      <c r="K257" s="62" t="s">
        <v>1371</v>
      </c>
      <c r="L257" s="62" t="s">
        <v>1110</v>
      </c>
    </row>
    <row r="258" spans="1:12" x14ac:dyDescent="0.35">
      <c r="A258">
        <v>18782</v>
      </c>
      <c r="B258" s="62" t="s">
        <v>345</v>
      </c>
      <c r="C258" s="62" t="s">
        <v>494</v>
      </c>
      <c r="D258" s="62" t="s">
        <v>344</v>
      </c>
      <c r="E258" s="62" t="s">
        <v>131</v>
      </c>
      <c r="F258" s="62" t="s">
        <v>5</v>
      </c>
      <c r="G258">
        <v>2697</v>
      </c>
      <c r="H258">
        <v>2697</v>
      </c>
      <c r="I258" s="62" t="s">
        <v>506</v>
      </c>
      <c r="J258" s="62" t="s">
        <v>1372</v>
      </c>
      <c r="K258" s="62" t="s">
        <v>1372</v>
      </c>
      <c r="L258" s="62" t="s">
        <v>1110</v>
      </c>
    </row>
    <row r="259" spans="1:12" x14ac:dyDescent="0.35">
      <c r="A259">
        <v>12700</v>
      </c>
      <c r="B259" s="62" t="s">
        <v>136</v>
      </c>
      <c r="C259" s="62" t="s">
        <v>485</v>
      </c>
      <c r="D259" s="62" t="s">
        <v>129</v>
      </c>
      <c r="E259" s="62" t="s">
        <v>131</v>
      </c>
      <c r="F259" s="62" t="s">
        <v>4</v>
      </c>
      <c r="G259">
        <v>40</v>
      </c>
      <c r="H259">
        <v>40</v>
      </c>
      <c r="I259" s="62" t="s">
        <v>506</v>
      </c>
      <c r="J259" s="62" t="s">
        <v>1373</v>
      </c>
      <c r="K259" s="62" t="s">
        <v>1373</v>
      </c>
      <c r="L259" s="62" t="s">
        <v>1110</v>
      </c>
    </row>
    <row r="260" spans="1:12" x14ac:dyDescent="0.35">
      <c r="A260">
        <v>12097</v>
      </c>
      <c r="B260" s="62" t="s">
        <v>177</v>
      </c>
      <c r="C260" s="62" t="s">
        <v>485</v>
      </c>
      <c r="D260" s="62" t="s">
        <v>175</v>
      </c>
      <c r="E260" s="62" t="s">
        <v>131</v>
      </c>
      <c r="F260" s="62" t="s">
        <v>4</v>
      </c>
      <c r="G260">
        <v>7</v>
      </c>
      <c r="H260">
        <v>7</v>
      </c>
      <c r="I260" s="62" t="s">
        <v>506</v>
      </c>
      <c r="J260" s="62" t="s">
        <v>1374</v>
      </c>
      <c r="K260" s="62" t="s">
        <v>1374</v>
      </c>
      <c r="L260" s="62" t="s">
        <v>1110</v>
      </c>
    </row>
    <row r="261" spans="1:12" x14ac:dyDescent="0.35">
      <c r="A261">
        <v>12802</v>
      </c>
      <c r="B261" s="62" t="s">
        <v>139</v>
      </c>
      <c r="C261" s="62" t="s">
        <v>485</v>
      </c>
      <c r="D261" s="62" t="s">
        <v>129</v>
      </c>
      <c r="E261" s="62" t="s">
        <v>131</v>
      </c>
      <c r="F261" s="62" t="s">
        <v>508</v>
      </c>
      <c r="G261">
        <v>26</v>
      </c>
      <c r="H261">
        <v>26</v>
      </c>
      <c r="I261" s="62" t="s">
        <v>506</v>
      </c>
      <c r="J261" s="62" t="s">
        <v>1375</v>
      </c>
      <c r="K261" s="62" t="s">
        <v>1375</v>
      </c>
      <c r="L261" s="62" t="s">
        <v>1110</v>
      </c>
    </row>
    <row r="262" spans="1:12" x14ac:dyDescent="0.35">
      <c r="A262">
        <v>12802</v>
      </c>
      <c r="B262" s="62" t="s">
        <v>139</v>
      </c>
      <c r="C262" s="62" t="s">
        <v>485</v>
      </c>
      <c r="D262" s="62" t="s">
        <v>129</v>
      </c>
      <c r="E262" s="62" t="s">
        <v>131</v>
      </c>
      <c r="F262" s="62" t="s">
        <v>6</v>
      </c>
      <c r="G262">
        <v>104</v>
      </c>
      <c r="H262">
        <v>104</v>
      </c>
      <c r="I262" s="62" t="s">
        <v>506</v>
      </c>
      <c r="J262" s="62" t="s">
        <v>1376</v>
      </c>
      <c r="K262" s="62" t="s">
        <v>1376</v>
      </c>
      <c r="L262" s="62" t="s">
        <v>1110</v>
      </c>
    </row>
    <row r="263" spans="1:12" x14ac:dyDescent="0.35">
      <c r="A263">
        <v>12802</v>
      </c>
      <c r="B263" s="62" t="s">
        <v>139</v>
      </c>
      <c r="C263" s="62" t="s">
        <v>485</v>
      </c>
      <c r="D263" s="62" t="s">
        <v>129</v>
      </c>
      <c r="E263" s="62" t="s">
        <v>131</v>
      </c>
      <c r="F263" s="62" t="s">
        <v>5</v>
      </c>
      <c r="G263">
        <v>2389</v>
      </c>
      <c r="H263">
        <v>2389</v>
      </c>
      <c r="I263" s="62" t="s">
        <v>506</v>
      </c>
      <c r="J263" s="62" t="s">
        <v>1377</v>
      </c>
      <c r="K263" s="62" t="s">
        <v>1377</v>
      </c>
      <c r="L263" s="62" t="s">
        <v>1110</v>
      </c>
    </row>
    <row r="264" spans="1:12" x14ac:dyDescent="0.35">
      <c r="A264">
        <v>12044</v>
      </c>
      <c r="B264" s="62" t="s">
        <v>168</v>
      </c>
      <c r="C264" s="62" t="s">
        <v>485</v>
      </c>
      <c r="D264" s="62" t="s">
        <v>163</v>
      </c>
      <c r="E264" s="62" t="s">
        <v>131</v>
      </c>
      <c r="F264" s="62" t="s">
        <v>508</v>
      </c>
      <c r="G264">
        <v>6</v>
      </c>
      <c r="H264">
        <v>6</v>
      </c>
      <c r="I264" s="62" t="s">
        <v>506</v>
      </c>
      <c r="J264" s="62" t="s">
        <v>1378</v>
      </c>
      <c r="K264" s="62" t="s">
        <v>1378</v>
      </c>
      <c r="L264" s="62" t="s">
        <v>1110</v>
      </c>
    </row>
    <row r="265" spans="1:12" x14ac:dyDescent="0.35">
      <c r="A265">
        <v>12044</v>
      </c>
      <c r="B265" s="62" t="s">
        <v>168</v>
      </c>
      <c r="C265" s="62" t="s">
        <v>485</v>
      </c>
      <c r="D265" s="62" t="s">
        <v>163</v>
      </c>
      <c r="E265" s="62" t="s">
        <v>131</v>
      </c>
      <c r="F265" s="62" t="s">
        <v>6</v>
      </c>
      <c r="G265">
        <v>39</v>
      </c>
      <c r="H265">
        <v>39</v>
      </c>
      <c r="I265" s="62" t="s">
        <v>506</v>
      </c>
      <c r="J265" s="62" t="s">
        <v>1379</v>
      </c>
      <c r="K265" s="62" t="s">
        <v>1379</v>
      </c>
      <c r="L265" s="62" t="s">
        <v>1110</v>
      </c>
    </row>
    <row r="266" spans="1:12" x14ac:dyDescent="0.35">
      <c r="A266">
        <v>12044</v>
      </c>
      <c r="B266" s="62" t="s">
        <v>168</v>
      </c>
      <c r="C266" s="62" t="s">
        <v>485</v>
      </c>
      <c r="D266" s="62" t="s">
        <v>163</v>
      </c>
      <c r="E266" s="62" t="s">
        <v>131</v>
      </c>
      <c r="F266" s="62" t="s">
        <v>5</v>
      </c>
      <c r="G266">
        <v>1984</v>
      </c>
      <c r="H266">
        <v>1984</v>
      </c>
      <c r="I266" s="62" t="s">
        <v>506</v>
      </c>
      <c r="J266" s="62" t="s">
        <v>1380</v>
      </c>
      <c r="K266" s="62" t="s">
        <v>1380</v>
      </c>
      <c r="L266" s="62" t="s">
        <v>1110</v>
      </c>
    </row>
    <row r="267" spans="1:12" x14ac:dyDescent="0.35">
      <c r="A267">
        <v>12044</v>
      </c>
      <c r="B267" s="62" t="s">
        <v>168</v>
      </c>
      <c r="C267" s="62" t="s">
        <v>485</v>
      </c>
      <c r="D267" s="62" t="s">
        <v>163</v>
      </c>
      <c r="E267" s="62" t="s">
        <v>131</v>
      </c>
      <c r="F267" s="62" t="s">
        <v>4</v>
      </c>
      <c r="G267">
        <v>420</v>
      </c>
      <c r="H267">
        <v>420</v>
      </c>
      <c r="I267" s="62" t="s">
        <v>506</v>
      </c>
      <c r="J267" s="62" t="s">
        <v>1381</v>
      </c>
      <c r="K267" s="62" t="s">
        <v>1381</v>
      </c>
      <c r="L267" s="62" t="s">
        <v>1110</v>
      </c>
    </row>
    <row r="268" spans="1:12" x14ac:dyDescent="0.35">
      <c r="A268">
        <v>12546</v>
      </c>
      <c r="B268" s="62" t="s">
        <v>254</v>
      </c>
      <c r="C268" s="62" t="s">
        <v>488</v>
      </c>
      <c r="D268" s="62" t="s">
        <v>250</v>
      </c>
      <c r="E268" s="62" t="s">
        <v>131</v>
      </c>
      <c r="F268" s="62" t="s">
        <v>508</v>
      </c>
      <c r="G268">
        <v>158</v>
      </c>
      <c r="H268">
        <v>158</v>
      </c>
      <c r="I268" s="62" t="s">
        <v>506</v>
      </c>
      <c r="J268" s="62" t="s">
        <v>1382</v>
      </c>
      <c r="K268" s="62" t="s">
        <v>1382</v>
      </c>
      <c r="L268" s="62" t="s">
        <v>1110</v>
      </c>
    </row>
    <row r="269" spans="1:12" x14ac:dyDescent="0.35">
      <c r="A269">
        <v>12546</v>
      </c>
      <c r="B269" s="62" t="s">
        <v>254</v>
      </c>
      <c r="C269" s="62" t="s">
        <v>488</v>
      </c>
      <c r="D269" s="62" t="s">
        <v>250</v>
      </c>
      <c r="E269" s="62" t="s">
        <v>131</v>
      </c>
      <c r="F269" s="62" t="s">
        <v>6</v>
      </c>
      <c r="G269">
        <v>472</v>
      </c>
      <c r="H269">
        <v>472</v>
      </c>
      <c r="I269" s="62" t="s">
        <v>506</v>
      </c>
      <c r="J269" s="62" t="s">
        <v>1383</v>
      </c>
      <c r="K269" s="62" t="s">
        <v>1383</v>
      </c>
      <c r="L269" s="62" t="s">
        <v>1110</v>
      </c>
    </row>
    <row r="270" spans="1:12" x14ac:dyDescent="0.35">
      <c r="A270">
        <v>12546</v>
      </c>
      <c r="B270" s="62" t="s">
        <v>254</v>
      </c>
      <c r="C270" s="62" t="s">
        <v>488</v>
      </c>
      <c r="D270" s="62" t="s">
        <v>250</v>
      </c>
      <c r="E270" s="62" t="s">
        <v>131</v>
      </c>
      <c r="F270" s="62" t="s">
        <v>5</v>
      </c>
      <c r="G270">
        <v>2669</v>
      </c>
      <c r="H270">
        <v>2669</v>
      </c>
      <c r="I270" s="62" t="s">
        <v>506</v>
      </c>
      <c r="J270" s="62" t="s">
        <v>1384</v>
      </c>
      <c r="K270" s="62" t="s">
        <v>1384</v>
      </c>
      <c r="L270" s="62" t="s">
        <v>1110</v>
      </c>
    </row>
    <row r="271" spans="1:12" x14ac:dyDescent="0.35">
      <c r="A271">
        <v>12546</v>
      </c>
      <c r="B271" s="62" t="s">
        <v>254</v>
      </c>
      <c r="C271" s="62" t="s">
        <v>488</v>
      </c>
      <c r="D271" s="62" t="s">
        <v>250</v>
      </c>
      <c r="E271" s="62" t="s">
        <v>131</v>
      </c>
      <c r="F271" s="62" t="s">
        <v>4</v>
      </c>
      <c r="G271">
        <v>425</v>
      </c>
      <c r="H271">
        <v>425</v>
      </c>
      <c r="I271" s="62" t="s">
        <v>506</v>
      </c>
      <c r="J271" s="62" t="s">
        <v>1385</v>
      </c>
      <c r="K271" s="62" t="s">
        <v>1385</v>
      </c>
      <c r="L271" s="62" t="s">
        <v>1110</v>
      </c>
    </row>
    <row r="272" spans="1:12" x14ac:dyDescent="0.35">
      <c r="A272">
        <v>16467</v>
      </c>
      <c r="B272" s="62" t="s">
        <v>225</v>
      </c>
      <c r="C272" s="62" t="s">
        <v>487</v>
      </c>
      <c r="D272" s="62" t="s">
        <v>218</v>
      </c>
      <c r="E272" s="62" t="s">
        <v>131</v>
      </c>
      <c r="F272" s="62" t="s">
        <v>4</v>
      </c>
      <c r="G272">
        <v>1781</v>
      </c>
      <c r="H272">
        <v>1781</v>
      </c>
      <c r="I272" s="62" t="s">
        <v>506</v>
      </c>
      <c r="J272" s="62" t="s">
        <v>1386</v>
      </c>
      <c r="K272" s="62" t="s">
        <v>1386</v>
      </c>
      <c r="L272" s="62" t="s">
        <v>1110</v>
      </c>
    </row>
    <row r="273" spans="1:12" x14ac:dyDescent="0.35">
      <c r="A273">
        <v>12203</v>
      </c>
      <c r="B273" s="62" t="s">
        <v>559</v>
      </c>
      <c r="C273" s="62" t="s">
        <v>487</v>
      </c>
      <c r="D273" s="62" t="s">
        <v>237</v>
      </c>
      <c r="E273" s="62" t="s">
        <v>131</v>
      </c>
      <c r="F273" s="62" t="s">
        <v>5</v>
      </c>
      <c r="G273">
        <v>2276</v>
      </c>
      <c r="H273">
        <v>2276</v>
      </c>
      <c r="I273" s="62" t="s">
        <v>506</v>
      </c>
      <c r="J273" s="62" t="s">
        <v>1387</v>
      </c>
      <c r="K273" s="62" t="s">
        <v>1387</v>
      </c>
      <c r="L273" s="62" t="s">
        <v>1110</v>
      </c>
    </row>
    <row r="274" spans="1:12" x14ac:dyDescent="0.35">
      <c r="A274">
        <v>12203</v>
      </c>
      <c r="B274" s="62" t="s">
        <v>559</v>
      </c>
      <c r="C274" s="62" t="s">
        <v>487</v>
      </c>
      <c r="D274" s="62" t="s">
        <v>237</v>
      </c>
      <c r="E274" s="62" t="s">
        <v>131</v>
      </c>
      <c r="F274" s="62" t="s">
        <v>6</v>
      </c>
      <c r="G274">
        <v>143</v>
      </c>
      <c r="H274">
        <v>143</v>
      </c>
      <c r="I274" s="62" t="s">
        <v>506</v>
      </c>
      <c r="J274" s="62" t="s">
        <v>1388</v>
      </c>
      <c r="K274" s="62" t="s">
        <v>1388</v>
      </c>
      <c r="L274" s="62" t="s">
        <v>1110</v>
      </c>
    </row>
    <row r="275" spans="1:12" x14ac:dyDescent="0.35">
      <c r="A275">
        <v>12203</v>
      </c>
      <c r="B275" s="62" t="s">
        <v>559</v>
      </c>
      <c r="C275" s="62" t="s">
        <v>487</v>
      </c>
      <c r="D275" s="62" t="s">
        <v>237</v>
      </c>
      <c r="E275" s="62" t="s">
        <v>131</v>
      </c>
      <c r="F275" s="62" t="s">
        <v>508</v>
      </c>
      <c r="G275">
        <v>249</v>
      </c>
      <c r="H275">
        <v>249</v>
      </c>
      <c r="I275" s="62" t="s">
        <v>506</v>
      </c>
      <c r="J275" s="62" t="s">
        <v>1389</v>
      </c>
      <c r="K275" s="62" t="s">
        <v>1389</v>
      </c>
      <c r="L275" s="62" t="s">
        <v>1110</v>
      </c>
    </row>
    <row r="276" spans="1:12" x14ac:dyDescent="0.35">
      <c r="A276">
        <v>12203</v>
      </c>
      <c r="B276" s="62" t="s">
        <v>241</v>
      </c>
      <c r="C276" s="62" t="s">
        <v>487</v>
      </c>
      <c r="D276" s="62" t="s">
        <v>237</v>
      </c>
      <c r="E276" s="62" t="s">
        <v>131</v>
      </c>
      <c r="F276" s="62" t="s">
        <v>4</v>
      </c>
      <c r="G276">
        <v>651</v>
      </c>
      <c r="H276">
        <v>651</v>
      </c>
      <c r="I276" s="62" t="s">
        <v>506</v>
      </c>
      <c r="J276" s="62" t="s">
        <v>1390</v>
      </c>
      <c r="K276" s="62" t="s">
        <v>1390</v>
      </c>
      <c r="L276" s="62" t="s">
        <v>1110</v>
      </c>
    </row>
    <row r="277" spans="1:12" x14ac:dyDescent="0.35">
      <c r="A277">
        <v>12534</v>
      </c>
      <c r="B277" s="62" t="s">
        <v>185</v>
      </c>
      <c r="C277" s="62" t="s">
        <v>485</v>
      </c>
      <c r="D277" s="62" t="s">
        <v>175</v>
      </c>
      <c r="E277" s="62" t="s">
        <v>131</v>
      </c>
      <c r="F277" s="62" t="s">
        <v>508</v>
      </c>
      <c r="G277">
        <v>13</v>
      </c>
      <c r="H277">
        <v>13</v>
      </c>
      <c r="I277" s="62" t="s">
        <v>506</v>
      </c>
      <c r="J277" s="62" t="s">
        <v>1391</v>
      </c>
      <c r="K277" s="62" t="s">
        <v>1391</v>
      </c>
      <c r="L277" s="62" t="s">
        <v>1110</v>
      </c>
    </row>
    <row r="278" spans="1:12" x14ac:dyDescent="0.35">
      <c r="A278">
        <v>12534</v>
      </c>
      <c r="B278" s="62" t="s">
        <v>185</v>
      </c>
      <c r="C278" s="62" t="s">
        <v>485</v>
      </c>
      <c r="D278" s="62" t="s">
        <v>175</v>
      </c>
      <c r="E278" s="62" t="s">
        <v>131</v>
      </c>
      <c r="F278" s="62" t="s">
        <v>6</v>
      </c>
      <c r="G278">
        <v>15</v>
      </c>
      <c r="H278">
        <v>15</v>
      </c>
      <c r="I278" s="62" t="s">
        <v>506</v>
      </c>
      <c r="J278" s="62" t="s">
        <v>1392</v>
      </c>
      <c r="K278" s="62" t="s">
        <v>1392</v>
      </c>
      <c r="L278" s="62" t="s">
        <v>1110</v>
      </c>
    </row>
    <row r="279" spans="1:12" x14ac:dyDescent="0.35">
      <c r="A279">
        <v>12534</v>
      </c>
      <c r="B279" s="62" t="s">
        <v>185</v>
      </c>
      <c r="C279" s="62" t="s">
        <v>485</v>
      </c>
      <c r="D279" s="62" t="s">
        <v>175</v>
      </c>
      <c r="E279" s="62" t="s">
        <v>131</v>
      </c>
      <c r="F279" s="62" t="s">
        <v>5</v>
      </c>
      <c r="G279">
        <v>1277</v>
      </c>
      <c r="H279">
        <v>1277</v>
      </c>
      <c r="I279" s="62" t="s">
        <v>506</v>
      </c>
      <c r="J279" s="62" t="s">
        <v>1393</v>
      </c>
      <c r="K279" s="62" t="s">
        <v>1393</v>
      </c>
      <c r="L279" s="62" t="s">
        <v>1110</v>
      </c>
    </row>
    <row r="280" spans="1:12" x14ac:dyDescent="0.35">
      <c r="A280">
        <v>12534</v>
      </c>
      <c r="B280" s="62" t="s">
        <v>185</v>
      </c>
      <c r="C280" s="62" t="s">
        <v>485</v>
      </c>
      <c r="D280" s="62" t="s">
        <v>175</v>
      </c>
      <c r="E280" s="62" t="s">
        <v>131</v>
      </c>
      <c r="F280" s="62" t="s">
        <v>4</v>
      </c>
      <c r="G280">
        <v>736</v>
      </c>
      <c r="H280">
        <v>736</v>
      </c>
      <c r="I280" s="62" t="s">
        <v>506</v>
      </c>
      <c r="J280" s="62" t="s">
        <v>1394</v>
      </c>
      <c r="K280" s="62" t="s">
        <v>1394</v>
      </c>
      <c r="L280" s="62" t="s">
        <v>1110</v>
      </c>
    </row>
    <row r="281" spans="1:12" x14ac:dyDescent="0.35">
      <c r="A281">
        <v>12445</v>
      </c>
      <c r="B281" s="62" t="s">
        <v>266</v>
      </c>
      <c r="C281" s="62" t="s">
        <v>488</v>
      </c>
      <c r="D281" s="62" t="s">
        <v>263</v>
      </c>
      <c r="E281" s="62" t="s">
        <v>131</v>
      </c>
      <c r="F281" s="62" t="s">
        <v>508</v>
      </c>
      <c r="G281">
        <v>332</v>
      </c>
      <c r="H281">
        <v>332</v>
      </c>
      <c r="I281" s="62" t="s">
        <v>506</v>
      </c>
      <c r="J281" s="62" t="s">
        <v>1395</v>
      </c>
      <c r="K281" s="62" t="s">
        <v>1395</v>
      </c>
      <c r="L281" s="62" t="s">
        <v>1110</v>
      </c>
    </row>
    <row r="282" spans="1:12" x14ac:dyDescent="0.35">
      <c r="A282">
        <v>12445</v>
      </c>
      <c r="B282" s="62" t="s">
        <v>266</v>
      </c>
      <c r="C282" s="62" t="s">
        <v>488</v>
      </c>
      <c r="D282" s="62" t="s">
        <v>263</v>
      </c>
      <c r="E282" s="62" t="s">
        <v>131</v>
      </c>
      <c r="F282" s="62" t="s">
        <v>6</v>
      </c>
      <c r="G282">
        <v>95</v>
      </c>
      <c r="H282">
        <v>95</v>
      </c>
      <c r="I282" s="62" t="s">
        <v>506</v>
      </c>
      <c r="J282" s="62" t="s">
        <v>1396</v>
      </c>
      <c r="K282" s="62" t="s">
        <v>1396</v>
      </c>
      <c r="L282" s="62" t="s">
        <v>1110</v>
      </c>
    </row>
    <row r="283" spans="1:12" x14ac:dyDescent="0.35">
      <c r="A283">
        <v>12445</v>
      </c>
      <c r="B283" s="62" t="s">
        <v>266</v>
      </c>
      <c r="C283" s="62" t="s">
        <v>488</v>
      </c>
      <c r="D283" s="62" t="s">
        <v>263</v>
      </c>
      <c r="E283" s="62" t="s">
        <v>131</v>
      </c>
      <c r="F283" s="62" t="s">
        <v>5</v>
      </c>
      <c r="G283">
        <v>6213</v>
      </c>
      <c r="H283">
        <v>6213</v>
      </c>
      <c r="I283" s="62" t="s">
        <v>506</v>
      </c>
      <c r="J283" s="62" t="s">
        <v>1397</v>
      </c>
      <c r="K283" s="62" t="s">
        <v>1397</v>
      </c>
      <c r="L283" s="62" t="s">
        <v>1110</v>
      </c>
    </row>
    <row r="284" spans="1:12" x14ac:dyDescent="0.35">
      <c r="A284">
        <v>12445</v>
      </c>
      <c r="B284" s="62" t="s">
        <v>266</v>
      </c>
      <c r="C284" s="62" t="s">
        <v>488</v>
      </c>
      <c r="D284" s="62" t="s">
        <v>263</v>
      </c>
      <c r="E284" s="62" t="s">
        <v>131</v>
      </c>
      <c r="F284" s="62" t="s">
        <v>4</v>
      </c>
      <c r="G284">
        <v>896</v>
      </c>
      <c r="H284">
        <v>896</v>
      </c>
      <c r="I284" s="62" t="s">
        <v>506</v>
      </c>
      <c r="J284" s="62" t="s">
        <v>1398</v>
      </c>
      <c r="K284" s="62" t="s">
        <v>1398</v>
      </c>
      <c r="L284" s="62" t="s">
        <v>1110</v>
      </c>
    </row>
    <row r="285" spans="1:12" x14ac:dyDescent="0.35">
      <c r="A285">
        <v>10829</v>
      </c>
      <c r="B285" s="62" t="s">
        <v>341</v>
      </c>
      <c r="C285" s="62" t="s">
        <v>494</v>
      </c>
      <c r="D285" s="62" t="s">
        <v>337</v>
      </c>
      <c r="E285" s="62" t="s">
        <v>131</v>
      </c>
      <c r="F285" s="62" t="s">
        <v>508</v>
      </c>
      <c r="G285">
        <v>361</v>
      </c>
      <c r="H285">
        <v>200</v>
      </c>
      <c r="I285" s="62" t="s">
        <v>507</v>
      </c>
      <c r="J285" s="62" t="s">
        <v>1399</v>
      </c>
      <c r="K285" s="62" t="s">
        <v>1399</v>
      </c>
      <c r="L285" s="62" t="s">
        <v>1110</v>
      </c>
    </row>
    <row r="286" spans="1:12" x14ac:dyDescent="0.35">
      <c r="A286">
        <v>10829</v>
      </c>
      <c r="B286" s="62" t="s">
        <v>341</v>
      </c>
      <c r="C286" s="62" t="s">
        <v>494</v>
      </c>
      <c r="D286" s="62" t="s">
        <v>337</v>
      </c>
      <c r="E286" s="62" t="s">
        <v>131</v>
      </c>
      <c r="F286" s="62" t="s">
        <v>6</v>
      </c>
      <c r="G286">
        <v>41</v>
      </c>
      <c r="H286">
        <v>41</v>
      </c>
      <c r="I286" s="62" t="s">
        <v>506</v>
      </c>
      <c r="J286" s="62" t="s">
        <v>1400</v>
      </c>
      <c r="K286" s="62" t="s">
        <v>1400</v>
      </c>
      <c r="L286" s="62" t="s">
        <v>1110</v>
      </c>
    </row>
    <row r="287" spans="1:12" x14ac:dyDescent="0.35">
      <c r="A287">
        <v>10829</v>
      </c>
      <c r="B287" s="62" t="s">
        <v>341</v>
      </c>
      <c r="C287" s="62" t="s">
        <v>494</v>
      </c>
      <c r="D287" s="62" t="s">
        <v>337</v>
      </c>
      <c r="E287" s="62" t="s">
        <v>131</v>
      </c>
      <c r="F287" s="62" t="s">
        <v>5</v>
      </c>
      <c r="G287">
        <v>7019</v>
      </c>
      <c r="H287">
        <v>7019</v>
      </c>
      <c r="I287" s="62" t="s">
        <v>506</v>
      </c>
      <c r="J287" s="62" t="s">
        <v>1401</v>
      </c>
      <c r="K287" s="62" t="s">
        <v>1401</v>
      </c>
      <c r="L287" s="62" t="s">
        <v>1110</v>
      </c>
    </row>
    <row r="288" spans="1:12" x14ac:dyDescent="0.35">
      <c r="A288">
        <v>16467</v>
      </c>
      <c r="B288" s="62" t="s">
        <v>225</v>
      </c>
      <c r="C288" s="62" t="s">
        <v>487</v>
      </c>
      <c r="D288" s="62" t="s">
        <v>218</v>
      </c>
      <c r="E288" s="62" t="s">
        <v>131</v>
      </c>
      <c r="F288" s="62" t="s">
        <v>508</v>
      </c>
      <c r="G288">
        <v>534</v>
      </c>
      <c r="H288">
        <v>400</v>
      </c>
      <c r="I288" s="62" t="s">
        <v>507</v>
      </c>
      <c r="J288" s="62" t="s">
        <v>1402</v>
      </c>
      <c r="K288" s="62" t="s">
        <v>1402</v>
      </c>
      <c r="L288" s="62" t="s">
        <v>1110</v>
      </c>
    </row>
    <row r="289" spans="1:12" x14ac:dyDescent="0.35">
      <c r="A289">
        <v>12015</v>
      </c>
      <c r="B289" s="62" t="s">
        <v>165</v>
      </c>
      <c r="C289" s="62" t="s">
        <v>485</v>
      </c>
      <c r="D289" s="62" t="s">
        <v>163</v>
      </c>
      <c r="E289" s="62" t="s">
        <v>131</v>
      </c>
      <c r="F289" s="62" t="s">
        <v>6</v>
      </c>
      <c r="G289">
        <v>10</v>
      </c>
      <c r="H289">
        <v>10</v>
      </c>
      <c r="I289" s="62" t="s">
        <v>506</v>
      </c>
      <c r="J289" s="62" t="s">
        <v>1403</v>
      </c>
      <c r="K289" s="62" t="s">
        <v>1403</v>
      </c>
      <c r="L289" s="62" t="s">
        <v>1110</v>
      </c>
    </row>
    <row r="290" spans="1:12" x14ac:dyDescent="0.35">
      <c r="A290">
        <v>16467</v>
      </c>
      <c r="B290" s="62" t="s">
        <v>225</v>
      </c>
      <c r="C290" s="62" t="s">
        <v>487</v>
      </c>
      <c r="D290" s="62" t="s">
        <v>218</v>
      </c>
      <c r="E290" s="62" t="s">
        <v>131</v>
      </c>
      <c r="F290" s="62" t="s">
        <v>6</v>
      </c>
      <c r="G290">
        <v>119</v>
      </c>
      <c r="H290">
        <v>119</v>
      </c>
      <c r="I290" s="62" t="s">
        <v>506</v>
      </c>
      <c r="J290" s="62" t="s">
        <v>1404</v>
      </c>
      <c r="K290" s="62" t="s">
        <v>1404</v>
      </c>
      <c r="L290" s="62" t="s">
        <v>1110</v>
      </c>
    </row>
    <row r="291" spans="1:12" x14ac:dyDescent="0.35">
      <c r="A291">
        <v>12130</v>
      </c>
      <c r="B291" s="62" t="s">
        <v>212</v>
      </c>
      <c r="C291" s="62" t="s">
        <v>487</v>
      </c>
      <c r="D291" s="62" t="s">
        <v>208</v>
      </c>
      <c r="E291" s="62" t="s">
        <v>131</v>
      </c>
      <c r="F291" s="62" t="s">
        <v>508</v>
      </c>
      <c r="G291">
        <v>2</v>
      </c>
      <c r="H291">
        <v>2</v>
      </c>
      <c r="I291" s="62" t="s">
        <v>506</v>
      </c>
      <c r="J291" s="62" t="s">
        <v>1405</v>
      </c>
      <c r="K291" s="62" t="s">
        <v>1405</v>
      </c>
      <c r="L291" s="62" t="s">
        <v>1110</v>
      </c>
    </row>
    <row r="292" spans="1:12" x14ac:dyDescent="0.35">
      <c r="A292">
        <v>12130</v>
      </c>
      <c r="B292" s="62" t="s">
        <v>212</v>
      </c>
      <c r="C292" s="62" t="s">
        <v>487</v>
      </c>
      <c r="D292" s="62" t="s">
        <v>208</v>
      </c>
      <c r="E292" s="62" t="s">
        <v>131</v>
      </c>
      <c r="F292" s="62" t="s">
        <v>6</v>
      </c>
      <c r="G292">
        <v>7</v>
      </c>
      <c r="H292">
        <v>7</v>
      </c>
      <c r="I292" s="62" t="s">
        <v>506</v>
      </c>
      <c r="J292" s="62" t="s">
        <v>1406</v>
      </c>
      <c r="K292" s="62" t="s">
        <v>1406</v>
      </c>
      <c r="L292" s="62" t="s">
        <v>1110</v>
      </c>
    </row>
    <row r="293" spans="1:12" x14ac:dyDescent="0.35">
      <c r="A293">
        <v>16467</v>
      </c>
      <c r="B293" s="62" t="s">
        <v>225</v>
      </c>
      <c r="C293" s="62" t="s">
        <v>487</v>
      </c>
      <c r="D293" s="62" t="s">
        <v>218</v>
      </c>
      <c r="E293" s="62" t="s">
        <v>131</v>
      </c>
      <c r="F293" s="62" t="s">
        <v>5</v>
      </c>
      <c r="G293">
        <v>6378</v>
      </c>
      <c r="H293">
        <v>6378</v>
      </c>
      <c r="I293" s="62" t="s">
        <v>506</v>
      </c>
      <c r="J293" s="62" t="s">
        <v>1407</v>
      </c>
      <c r="K293" s="62" t="s">
        <v>1407</v>
      </c>
      <c r="L293" s="62" t="s">
        <v>1110</v>
      </c>
    </row>
    <row r="294" spans="1:12" x14ac:dyDescent="0.35">
      <c r="A294">
        <v>12130</v>
      </c>
      <c r="B294" s="62" t="s">
        <v>212</v>
      </c>
      <c r="C294" s="62" t="s">
        <v>487</v>
      </c>
      <c r="D294" s="62" t="s">
        <v>208</v>
      </c>
      <c r="E294" s="62" t="s">
        <v>131</v>
      </c>
      <c r="F294" s="62" t="s">
        <v>5</v>
      </c>
      <c r="G294">
        <v>6</v>
      </c>
      <c r="H294">
        <v>6</v>
      </c>
      <c r="I294" s="62" t="s">
        <v>506</v>
      </c>
      <c r="J294" s="62" t="s">
        <v>1408</v>
      </c>
      <c r="K294" s="62" t="s">
        <v>1408</v>
      </c>
      <c r="L294" s="62" t="s">
        <v>1110</v>
      </c>
    </row>
    <row r="295" spans="1:12" x14ac:dyDescent="0.35">
      <c r="A295">
        <v>12198</v>
      </c>
      <c r="B295" s="62" t="s">
        <v>213</v>
      </c>
      <c r="C295" s="62" t="s">
        <v>487</v>
      </c>
      <c r="D295" s="62" t="s">
        <v>208</v>
      </c>
      <c r="E295" s="62" t="s">
        <v>131</v>
      </c>
      <c r="F295" s="62" t="s">
        <v>4</v>
      </c>
      <c r="G295">
        <v>318</v>
      </c>
      <c r="H295">
        <v>318</v>
      </c>
      <c r="I295" s="62" t="s">
        <v>506</v>
      </c>
      <c r="J295" s="62" t="s">
        <v>1409</v>
      </c>
      <c r="K295" s="62" t="s">
        <v>1409</v>
      </c>
      <c r="L295" s="62" t="s">
        <v>1110</v>
      </c>
    </row>
    <row r="296" spans="1:12" x14ac:dyDescent="0.35">
      <c r="A296">
        <v>10829</v>
      </c>
      <c r="B296" s="62" t="s">
        <v>341</v>
      </c>
      <c r="C296" s="62" t="s">
        <v>494</v>
      </c>
      <c r="D296" s="62" t="s">
        <v>337</v>
      </c>
      <c r="E296" s="62" t="s">
        <v>131</v>
      </c>
      <c r="F296" s="62" t="s">
        <v>4</v>
      </c>
      <c r="G296">
        <v>1600</v>
      </c>
      <c r="H296">
        <v>1600</v>
      </c>
      <c r="I296" s="62" t="s">
        <v>506</v>
      </c>
      <c r="J296" s="62" t="s">
        <v>1410</v>
      </c>
      <c r="K296" s="62" t="s">
        <v>1410</v>
      </c>
      <c r="L296" s="62" t="s">
        <v>1110</v>
      </c>
    </row>
    <row r="297" spans="1:12" x14ac:dyDescent="0.35">
      <c r="A297">
        <v>12130</v>
      </c>
      <c r="B297" s="62" t="s">
        <v>212</v>
      </c>
      <c r="C297" s="62" t="s">
        <v>487</v>
      </c>
      <c r="D297" s="62" t="s">
        <v>208</v>
      </c>
      <c r="E297" s="62" t="s">
        <v>131</v>
      </c>
      <c r="F297" s="62" t="s">
        <v>4</v>
      </c>
      <c r="G297">
        <v>105</v>
      </c>
      <c r="H297">
        <v>105</v>
      </c>
      <c r="I297" s="62" t="s">
        <v>506</v>
      </c>
      <c r="J297" s="62" t="s">
        <v>1411</v>
      </c>
      <c r="K297" s="62" t="s">
        <v>1411</v>
      </c>
      <c r="L297" s="62" t="s">
        <v>1110</v>
      </c>
    </row>
    <row r="298" spans="1:12" x14ac:dyDescent="0.35">
      <c r="A298">
        <v>12015</v>
      </c>
      <c r="B298" s="62" t="s">
        <v>165</v>
      </c>
      <c r="C298" s="62" t="s">
        <v>485</v>
      </c>
      <c r="D298" s="62" t="s">
        <v>163</v>
      </c>
      <c r="E298" s="62" t="s">
        <v>131</v>
      </c>
      <c r="F298" s="62" t="s">
        <v>4</v>
      </c>
      <c r="G298">
        <v>113</v>
      </c>
      <c r="H298">
        <v>113</v>
      </c>
      <c r="I298" s="62" t="s">
        <v>506</v>
      </c>
      <c r="J298" s="62" t="s">
        <v>1412</v>
      </c>
      <c r="K298" s="62" t="s">
        <v>1412</v>
      </c>
      <c r="L298" s="62" t="s">
        <v>1110</v>
      </c>
    </row>
    <row r="299" spans="1:12" x14ac:dyDescent="0.35">
      <c r="A299">
        <v>11004</v>
      </c>
      <c r="B299" s="62" t="s">
        <v>342</v>
      </c>
      <c r="C299" s="62" t="s">
        <v>494</v>
      </c>
      <c r="D299" s="62" t="s">
        <v>337</v>
      </c>
      <c r="E299" s="62" t="s">
        <v>131</v>
      </c>
      <c r="F299" s="62" t="s">
        <v>508</v>
      </c>
      <c r="G299">
        <v>194</v>
      </c>
      <c r="H299">
        <v>194</v>
      </c>
      <c r="I299" s="62" t="s">
        <v>506</v>
      </c>
      <c r="J299" s="62" t="s">
        <v>1413</v>
      </c>
      <c r="K299" s="62" t="s">
        <v>1413</v>
      </c>
      <c r="L299" s="62" t="s">
        <v>1110</v>
      </c>
    </row>
    <row r="300" spans="1:12" x14ac:dyDescent="0.35">
      <c r="A300">
        <v>11004</v>
      </c>
      <c r="B300" s="62" t="s">
        <v>342</v>
      </c>
      <c r="C300" s="62" t="s">
        <v>494</v>
      </c>
      <c r="D300" s="62" t="s">
        <v>337</v>
      </c>
      <c r="E300" s="62" t="s">
        <v>131</v>
      </c>
      <c r="F300" s="62" t="s">
        <v>6</v>
      </c>
      <c r="G300">
        <v>27</v>
      </c>
      <c r="H300">
        <v>27</v>
      </c>
      <c r="I300" s="62" t="s">
        <v>506</v>
      </c>
      <c r="J300" s="62" t="s">
        <v>1414</v>
      </c>
      <c r="K300" s="62" t="s">
        <v>1414</v>
      </c>
      <c r="L300" s="62" t="s">
        <v>1110</v>
      </c>
    </row>
    <row r="301" spans="1:12" x14ac:dyDescent="0.35">
      <c r="A301">
        <v>11004</v>
      </c>
      <c r="B301" s="62" t="s">
        <v>342</v>
      </c>
      <c r="C301" s="62" t="s">
        <v>494</v>
      </c>
      <c r="D301" s="62" t="s">
        <v>337</v>
      </c>
      <c r="E301" s="62" t="s">
        <v>131</v>
      </c>
      <c r="F301" s="62" t="s">
        <v>5</v>
      </c>
      <c r="G301">
        <v>2989</v>
      </c>
      <c r="H301">
        <v>2989</v>
      </c>
      <c r="I301" s="62" t="s">
        <v>506</v>
      </c>
      <c r="J301" s="62" t="s">
        <v>1415</v>
      </c>
      <c r="K301" s="62" t="s">
        <v>1415</v>
      </c>
      <c r="L301" s="62" t="s">
        <v>1110</v>
      </c>
    </row>
    <row r="302" spans="1:12" x14ac:dyDescent="0.35">
      <c r="A302">
        <v>12631</v>
      </c>
      <c r="B302" s="62" t="s">
        <v>135</v>
      </c>
      <c r="C302" s="62" t="s">
        <v>485</v>
      </c>
      <c r="D302" s="62" t="s">
        <v>129</v>
      </c>
      <c r="E302" s="62" t="s">
        <v>131</v>
      </c>
      <c r="F302" s="62" t="s">
        <v>6</v>
      </c>
      <c r="G302">
        <v>17</v>
      </c>
      <c r="H302">
        <v>17</v>
      </c>
      <c r="I302" s="62" t="s">
        <v>506</v>
      </c>
      <c r="J302" s="62" t="s">
        <v>1416</v>
      </c>
      <c r="K302" s="62" t="s">
        <v>1416</v>
      </c>
      <c r="L302" s="62" t="s">
        <v>1110</v>
      </c>
    </row>
    <row r="303" spans="1:12" x14ac:dyDescent="0.35">
      <c r="A303">
        <v>12631</v>
      </c>
      <c r="B303" s="62" t="s">
        <v>135</v>
      </c>
      <c r="C303" s="62" t="s">
        <v>485</v>
      </c>
      <c r="D303" s="62" t="s">
        <v>129</v>
      </c>
      <c r="E303" s="62" t="s">
        <v>131</v>
      </c>
      <c r="F303" s="62" t="s">
        <v>5</v>
      </c>
      <c r="G303">
        <v>2</v>
      </c>
      <c r="H303">
        <v>2</v>
      </c>
      <c r="I303" s="62" t="s">
        <v>506</v>
      </c>
      <c r="J303" s="62" t="s">
        <v>1417</v>
      </c>
      <c r="K303" s="62" t="s">
        <v>1417</v>
      </c>
      <c r="L303" s="62" t="s">
        <v>1110</v>
      </c>
    </row>
    <row r="304" spans="1:12" x14ac:dyDescent="0.35">
      <c r="A304">
        <v>12563</v>
      </c>
      <c r="B304" s="62" t="s">
        <v>255</v>
      </c>
      <c r="C304" s="62" t="s">
        <v>488</v>
      </c>
      <c r="D304" s="62" t="s">
        <v>250</v>
      </c>
      <c r="E304" s="62" t="s">
        <v>131</v>
      </c>
      <c r="F304" s="62" t="s">
        <v>508</v>
      </c>
      <c r="G304">
        <v>63</v>
      </c>
      <c r="H304">
        <v>63</v>
      </c>
      <c r="I304" s="62" t="s">
        <v>506</v>
      </c>
      <c r="J304" s="62" t="s">
        <v>1418</v>
      </c>
      <c r="K304" s="62" t="s">
        <v>1418</v>
      </c>
      <c r="L304" s="62" t="s">
        <v>1110</v>
      </c>
    </row>
    <row r="305" spans="1:12" x14ac:dyDescent="0.35">
      <c r="A305">
        <v>12563</v>
      </c>
      <c r="B305" s="62" t="s">
        <v>255</v>
      </c>
      <c r="C305" s="62" t="s">
        <v>488</v>
      </c>
      <c r="D305" s="62" t="s">
        <v>250</v>
      </c>
      <c r="E305" s="62" t="s">
        <v>131</v>
      </c>
      <c r="F305" s="62" t="s">
        <v>6</v>
      </c>
      <c r="G305">
        <v>10</v>
      </c>
      <c r="H305">
        <v>10</v>
      </c>
      <c r="I305" s="62" t="s">
        <v>506</v>
      </c>
      <c r="J305" s="62" t="s">
        <v>1419</v>
      </c>
      <c r="K305" s="62" t="s">
        <v>1419</v>
      </c>
      <c r="L305" s="62" t="s">
        <v>1110</v>
      </c>
    </row>
    <row r="306" spans="1:12" x14ac:dyDescent="0.35">
      <c r="A306">
        <v>12563</v>
      </c>
      <c r="B306" s="62" t="s">
        <v>255</v>
      </c>
      <c r="C306" s="62" t="s">
        <v>488</v>
      </c>
      <c r="D306" s="62" t="s">
        <v>250</v>
      </c>
      <c r="E306" s="62" t="s">
        <v>131</v>
      </c>
      <c r="F306" s="62" t="s">
        <v>5</v>
      </c>
      <c r="G306">
        <v>1002</v>
      </c>
      <c r="I306" s="62" t="s">
        <v>506</v>
      </c>
      <c r="J306" s="62" t="s">
        <v>1420</v>
      </c>
      <c r="K306" s="62" t="s">
        <v>1420</v>
      </c>
      <c r="L306" s="62" t="s">
        <v>1110</v>
      </c>
    </row>
    <row r="307" spans="1:12" x14ac:dyDescent="0.35">
      <c r="A307">
        <v>11004</v>
      </c>
      <c r="B307" s="62" t="s">
        <v>342</v>
      </c>
      <c r="C307" s="62" t="s">
        <v>494</v>
      </c>
      <c r="D307" s="62" t="s">
        <v>337</v>
      </c>
      <c r="E307" s="62" t="s">
        <v>131</v>
      </c>
      <c r="F307" s="62" t="s">
        <v>4</v>
      </c>
      <c r="G307">
        <v>614</v>
      </c>
      <c r="H307">
        <v>614</v>
      </c>
      <c r="I307" s="62" t="s">
        <v>506</v>
      </c>
      <c r="J307" s="62" t="s">
        <v>1421</v>
      </c>
      <c r="K307" s="62" t="s">
        <v>1421</v>
      </c>
      <c r="L307" s="62" t="s">
        <v>1110</v>
      </c>
    </row>
    <row r="308" spans="1:12" x14ac:dyDescent="0.35">
      <c r="A308">
        <v>17287</v>
      </c>
      <c r="B308" s="62" t="s">
        <v>134</v>
      </c>
      <c r="C308" s="62" t="s">
        <v>485</v>
      </c>
      <c r="D308" s="62" t="s">
        <v>129</v>
      </c>
      <c r="E308" s="62" t="s">
        <v>131</v>
      </c>
      <c r="F308" s="62" t="s">
        <v>4</v>
      </c>
      <c r="G308">
        <v>57</v>
      </c>
      <c r="H308">
        <v>57</v>
      </c>
      <c r="I308" s="62" t="s">
        <v>506</v>
      </c>
      <c r="J308" s="62" t="s">
        <v>1422</v>
      </c>
      <c r="K308" s="62" t="s">
        <v>1422</v>
      </c>
      <c r="L308" s="62" t="s">
        <v>1110</v>
      </c>
    </row>
    <row r="309" spans="1:12" x14ac:dyDescent="0.35">
      <c r="A309">
        <v>16466</v>
      </c>
      <c r="B309" s="62" t="s">
        <v>231</v>
      </c>
      <c r="C309" s="62" t="s">
        <v>487</v>
      </c>
      <c r="D309" s="62" t="s">
        <v>226</v>
      </c>
      <c r="E309" s="62" t="s">
        <v>131</v>
      </c>
      <c r="F309" s="62" t="s">
        <v>508</v>
      </c>
      <c r="G309">
        <v>264</v>
      </c>
      <c r="H309">
        <v>200</v>
      </c>
      <c r="I309" s="62" t="s">
        <v>507</v>
      </c>
      <c r="J309" s="62" t="s">
        <v>1423</v>
      </c>
      <c r="K309" s="62" t="s">
        <v>1423</v>
      </c>
      <c r="L309" s="62" t="s">
        <v>1110</v>
      </c>
    </row>
    <row r="310" spans="1:12" x14ac:dyDescent="0.35">
      <c r="A310">
        <v>16466</v>
      </c>
      <c r="B310" s="62" t="s">
        <v>231</v>
      </c>
      <c r="C310" s="62" t="s">
        <v>487</v>
      </c>
      <c r="D310" s="62" t="s">
        <v>226</v>
      </c>
      <c r="E310" s="62" t="s">
        <v>131</v>
      </c>
      <c r="F310" s="62" t="s">
        <v>6</v>
      </c>
      <c r="G310">
        <v>276</v>
      </c>
      <c r="H310">
        <v>276</v>
      </c>
      <c r="I310" s="62" t="s">
        <v>506</v>
      </c>
      <c r="J310" s="62" t="s">
        <v>1424</v>
      </c>
      <c r="K310" s="62" t="s">
        <v>1424</v>
      </c>
      <c r="L310" s="62" t="s">
        <v>1110</v>
      </c>
    </row>
    <row r="311" spans="1:12" x14ac:dyDescent="0.35">
      <c r="A311">
        <v>16466</v>
      </c>
      <c r="B311" s="62" t="s">
        <v>231</v>
      </c>
      <c r="C311" s="62" t="s">
        <v>487</v>
      </c>
      <c r="D311" s="62" t="s">
        <v>226</v>
      </c>
      <c r="E311" s="62" t="s">
        <v>131</v>
      </c>
      <c r="F311" s="62" t="s">
        <v>5</v>
      </c>
      <c r="G311">
        <v>1956</v>
      </c>
      <c r="H311">
        <v>1956</v>
      </c>
      <c r="I311" s="62" t="s">
        <v>506</v>
      </c>
      <c r="J311" s="62" t="s">
        <v>1425</v>
      </c>
      <c r="K311" s="62" t="s">
        <v>1425</v>
      </c>
      <c r="L311" s="62" t="s">
        <v>1110</v>
      </c>
    </row>
    <row r="312" spans="1:12" x14ac:dyDescent="0.35">
      <c r="A312">
        <v>12717</v>
      </c>
      <c r="B312" s="62" t="s">
        <v>137</v>
      </c>
      <c r="C312" s="62" t="s">
        <v>485</v>
      </c>
      <c r="D312" s="62" t="s">
        <v>129</v>
      </c>
      <c r="E312" s="62" t="s">
        <v>131</v>
      </c>
      <c r="F312" s="62" t="s">
        <v>4</v>
      </c>
      <c r="G312">
        <v>258</v>
      </c>
      <c r="H312">
        <v>258</v>
      </c>
      <c r="I312" s="62" t="s">
        <v>506</v>
      </c>
      <c r="J312" s="62" t="s">
        <v>1426</v>
      </c>
      <c r="K312" s="62" t="s">
        <v>1426</v>
      </c>
      <c r="L312" s="62" t="s">
        <v>1110</v>
      </c>
    </row>
    <row r="313" spans="1:12" x14ac:dyDescent="0.35">
      <c r="A313">
        <v>12631</v>
      </c>
      <c r="B313" s="62" t="s">
        <v>135</v>
      </c>
      <c r="C313" s="62" t="s">
        <v>485</v>
      </c>
      <c r="D313" s="62" t="s">
        <v>129</v>
      </c>
      <c r="E313" s="62" t="s">
        <v>131</v>
      </c>
      <c r="F313" s="62" t="s">
        <v>4</v>
      </c>
      <c r="G313">
        <v>81</v>
      </c>
      <c r="H313">
        <v>81</v>
      </c>
      <c r="I313" s="62" t="s">
        <v>506</v>
      </c>
      <c r="J313" s="62" t="s">
        <v>1427</v>
      </c>
      <c r="K313" s="62" t="s">
        <v>1427</v>
      </c>
      <c r="L313" s="62" t="s">
        <v>1110</v>
      </c>
    </row>
    <row r="314" spans="1:12" x14ac:dyDescent="0.35">
      <c r="A314">
        <v>12795</v>
      </c>
      <c r="B314" s="62" t="s">
        <v>279</v>
      </c>
      <c r="C314" s="62" t="s">
        <v>488</v>
      </c>
      <c r="D314" s="62" t="s">
        <v>276</v>
      </c>
      <c r="E314" s="62" t="s">
        <v>131</v>
      </c>
      <c r="F314" s="62" t="s">
        <v>508</v>
      </c>
      <c r="G314">
        <v>425</v>
      </c>
      <c r="H314">
        <v>425</v>
      </c>
      <c r="I314" s="62" t="s">
        <v>506</v>
      </c>
      <c r="J314" s="62" t="s">
        <v>1428</v>
      </c>
      <c r="K314" s="62" t="s">
        <v>1428</v>
      </c>
      <c r="L314" s="62" t="s">
        <v>1110</v>
      </c>
    </row>
    <row r="315" spans="1:12" x14ac:dyDescent="0.35">
      <c r="A315">
        <v>12795</v>
      </c>
      <c r="B315" s="62" t="s">
        <v>279</v>
      </c>
      <c r="C315" s="62" t="s">
        <v>488</v>
      </c>
      <c r="D315" s="62" t="s">
        <v>276</v>
      </c>
      <c r="E315" s="62" t="s">
        <v>131</v>
      </c>
      <c r="F315" s="62" t="s">
        <v>5</v>
      </c>
      <c r="G315">
        <v>3672</v>
      </c>
      <c r="H315">
        <v>3672</v>
      </c>
      <c r="I315" s="62" t="s">
        <v>506</v>
      </c>
      <c r="J315" s="62" t="s">
        <v>1429</v>
      </c>
      <c r="K315" s="62" t="s">
        <v>1429</v>
      </c>
      <c r="L315" s="62" t="s">
        <v>1110</v>
      </c>
    </row>
    <row r="316" spans="1:12" x14ac:dyDescent="0.35">
      <c r="A316">
        <v>12563</v>
      </c>
      <c r="B316" s="62" t="s">
        <v>255</v>
      </c>
      <c r="C316" s="62" t="s">
        <v>488</v>
      </c>
      <c r="D316" s="62" t="s">
        <v>250</v>
      </c>
      <c r="E316" s="62" t="s">
        <v>131</v>
      </c>
      <c r="F316" s="62" t="s">
        <v>4</v>
      </c>
      <c r="G316">
        <v>152</v>
      </c>
      <c r="H316">
        <v>152</v>
      </c>
      <c r="I316" s="62" t="s">
        <v>506</v>
      </c>
      <c r="J316" s="62" t="s">
        <v>1430</v>
      </c>
      <c r="K316" s="62" t="s">
        <v>1430</v>
      </c>
      <c r="L316" s="62" t="s">
        <v>1110</v>
      </c>
    </row>
    <row r="317" spans="1:12" x14ac:dyDescent="0.35">
      <c r="A317">
        <v>12337</v>
      </c>
      <c r="B317" s="62" t="s">
        <v>183</v>
      </c>
      <c r="C317" s="62" t="s">
        <v>485</v>
      </c>
      <c r="D317" s="62" t="s">
        <v>175</v>
      </c>
      <c r="E317" s="62" t="s">
        <v>131</v>
      </c>
      <c r="F317" s="62" t="s">
        <v>5</v>
      </c>
      <c r="G317">
        <v>22</v>
      </c>
      <c r="H317">
        <v>22</v>
      </c>
      <c r="I317" s="62" t="s">
        <v>506</v>
      </c>
      <c r="J317" s="62" t="s">
        <v>1431</v>
      </c>
      <c r="K317" s="62" t="s">
        <v>1431</v>
      </c>
      <c r="L317" s="62" t="s">
        <v>1110</v>
      </c>
    </row>
    <row r="318" spans="1:12" x14ac:dyDescent="0.35">
      <c r="A318">
        <v>12337</v>
      </c>
      <c r="B318" s="62" t="s">
        <v>183</v>
      </c>
      <c r="C318" s="62" t="s">
        <v>485</v>
      </c>
      <c r="D318" s="62" t="s">
        <v>175</v>
      </c>
      <c r="E318" s="62" t="s">
        <v>131</v>
      </c>
      <c r="F318" s="62" t="s">
        <v>4</v>
      </c>
      <c r="G318">
        <v>40</v>
      </c>
      <c r="H318">
        <v>40</v>
      </c>
      <c r="I318" s="62" t="s">
        <v>506</v>
      </c>
      <c r="J318" s="62" t="s">
        <v>1432</v>
      </c>
      <c r="K318" s="62" t="s">
        <v>1432</v>
      </c>
      <c r="L318" s="62" t="s">
        <v>1110</v>
      </c>
    </row>
    <row r="319" spans="1:12" x14ac:dyDescent="0.35">
      <c r="A319">
        <v>10840</v>
      </c>
      <c r="B319" s="62" t="s">
        <v>325</v>
      </c>
      <c r="C319" s="62" t="s">
        <v>494</v>
      </c>
      <c r="D319" s="62" t="s">
        <v>318</v>
      </c>
      <c r="E319" s="62" t="s">
        <v>131</v>
      </c>
      <c r="F319" s="62" t="s">
        <v>6</v>
      </c>
      <c r="G319">
        <v>14</v>
      </c>
      <c r="H319">
        <v>14</v>
      </c>
      <c r="I319" s="62" t="s">
        <v>506</v>
      </c>
      <c r="J319" s="62" t="s">
        <v>1433</v>
      </c>
      <c r="K319" s="62" t="s">
        <v>1433</v>
      </c>
      <c r="L319" s="62" t="s">
        <v>1110</v>
      </c>
    </row>
    <row r="320" spans="1:12" x14ac:dyDescent="0.35">
      <c r="A320">
        <v>10840</v>
      </c>
      <c r="B320" s="62" t="s">
        <v>325</v>
      </c>
      <c r="C320" s="62" t="s">
        <v>494</v>
      </c>
      <c r="D320" s="62" t="s">
        <v>318</v>
      </c>
      <c r="E320" s="62" t="s">
        <v>131</v>
      </c>
      <c r="F320" s="62" t="s">
        <v>508</v>
      </c>
      <c r="G320">
        <v>24</v>
      </c>
      <c r="H320">
        <v>24</v>
      </c>
      <c r="I320" s="62" t="s">
        <v>506</v>
      </c>
      <c r="J320" s="62" t="s">
        <v>1434</v>
      </c>
      <c r="K320" s="62" t="s">
        <v>1434</v>
      </c>
      <c r="L320" s="62" t="s">
        <v>1110</v>
      </c>
    </row>
    <row r="321" spans="1:12" x14ac:dyDescent="0.35">
      <c r="A321">
        <v>10840</v>
      </c>
      <c r="B321" s="62" t="s">
        <v>325</v>
      </c>
      <c r="C321" s="62" t="s">
        <v>494</v>
      </c>
      <c r="D321" s="62" t="s">
        <v>318</v>
      </c>
      <c r="E321" s="62" t="s">
        <v>131</v>
      </c>
      <c r="F321" s="62" t="s">
        <v>5</v>
      </c>
      <c r="G321">
        <v>982</v>
      </c>
      <c r="H321">
        <v>982</v>
      </c>
      <c r="I321" s="62" t="s">
        <v>506</v>
      </c>
      <c r="J321" s="62" t="s">
        <v>1435</v>
      </c>
      <c r="K321" s="62" t="s">
        <v>1435</v>
      </c>
      <c r="L321" s="62" t="s">
        <v>1110</v>
      </c>
    </row>
    <row r="322" spans="1:12" x14ac:dyDescent="0.35">
      <c r="A322">
        <v>10244</v>
      </c>
      <c r="B322" s="62" t="s">
        <v>331</v>
      </c>
      <c r="C322" s="62" t="s">
        <v>494</v>
      </c>
      <c r="D322" s="62" t="s">
        <v>330</v>
      </c>
      <c r="E322" s="62" t="s">
        <v>131</v>
      </c>
      <c r="F322" s="62" t="s">
        <v>508</v>
      </c>
      <c r="G322">
        <v>19</v>
      </c>
      <c r="H322">
        <v>19</v>
      </c>
      <c r="I322" s="62" t="s">
        <v>506</v>
      </c>
      <c r="J322" s="62" t="s">
        <v>1436</v>
      </c>
      <c r="K322" s="62" t="s">
        <v>1436</v>
      </c>
      <c r="L322" s="62" t="s">
        <v>1110</v>
      </c>
    </row>
    <row r="323" spans="1:12" x14ac:dyDescent="0.35">
      <c r="A323">
        <v>10244</v>
      </c>
      <c r="B323" s="62" t="s">
        <v>331</v>
      </c>
      <c r="C323" s="62" t="s">
        <v>494</v>
      </c>
      <c r="D323" s="62" t="s">
        <v>330</v>
      </c>
      <c r="E323" s="62" t="s">
        <v>131</v>
      </c>
      <c r="F323" s="62" t="s">
        <v>6</v>
      </c>
      <c r="G323">
        <v>69</v>
      </c>
      <c r="H323">
        <v>69</v>
      </c>
      <c r="I323" s="62" t="s">
        <v>506</v>
      </c>
      <c r="J323" s="62" t="s">
        <v>1437</v>
      </c>
      <c r="K323" s="62" t="s">
        <v>1437</v>
      </c>
      <c r="L323" s="62" t="s">
        <v>1110</v>
      </c>
    </row>
    <row r="324" spans="1:12" x14ac:dyDescent="0.35">
      <c r="A324">
        <v>10244</v>
      </c>
      <c r="B324" s="62" t="s">
        <v>331</v>
      </c>
      <c r="C324" s="62" t="s">
        <v>494</v>
      </c>
      <c r="D324" s="62" t="s">
        <v>330</v>
      </c>
      <c r="E324" s="62" t="s">
        <v>131</v>
      </c>
      <c r="F324" s="62" t="s">
        <v>5</v>
      </c>
      <c r="G324">
        <v>1415</v>
      </c>
      <c r="H324">
        <v>1415</v>
      </c>
      <c r="I324" s="62" t="s">
        <v>506</v>
      </c>
      <c r="J324" s="62" t="s">
        <v>1438</v>
      </c>
      <c r="K324" s="62" t="s">
        <v>1438</v>
      </c>
      <c r="L324" s="62" t="s">
        <v>1110</v>
      </c>
    </row>
    <row r="325" spans="1:12" x14ac:dyDescent="0.35">
      <c r="A325">
        <v>10878</v>
      </c>
      <c r="B325" s="62" t="s">
        <v>327</v>
      </c>
      <c r="C325" s="62" t="s">
        <v>494</v>
      </c>
      <c r="D325" s="62" t="s">
        <v>318</v>
      </c>
      <c r="E325" s="62" t="s">
        <v>131</v>
      </c>
      <c r="F325" s="62" t="s">
        <v>508</v>
      </c>
      <c r="G325">
        <v>434</v>
      </c>
      <c r="I325" s="62" t="s">
        <v>507</v>
      </c>
      <c r="J325" s="62" t="s">
        <v>1567</v>
      </c>
      <c r="K325" s="62" t="s">
        <v>1567</v>
      </c>
      <c r="L325" s="62" t="s">
        <v>1110</v>
      </c>
    </row>
    <row r="326" spans="1:12" x14ac:dyDescent="0.35">
      <c r="A326">
        <v>10878</v>
      </c>
      <c r="B326" s="62" t="s">
        <v>327</v>
      </c>
      <c r="C326" s="62" t="s">
        <v>494</v>
      </c>
      <c r="D326" s="62" t="s">
        <v>318</v>
      </c>
      <c r="E326" s="62" t="s">
        <v>131</v>
      </c>
      <c r="F326" s="62" t="s">
        <v>6</v>
      </c>
      <c r="G326">
        <v>290</v>
      </c>
      <c r="H326">
        <v>290</v>
      </c>
      <c r="I326" s="62" t="s">
        <v>506</v>
      </c>
      <c r="J326" s="62" t="s">
        <v>1568</v>
      </c>
      <c r="K326" s="62" t="s">
        <v>1568</v>
      </c>
      <c r="L326" s="62" t="s">
        <v>1110</v>
      </c>
    </row>
    <row r="327" spans="1:12" x14ac:dyDescent="0.35">
      <c r="A327">
        <v>10244</v>
      </c>
      <c r="B327" s="62" t="s">
        <v>528</v>
      </c>
      <c r="C327" s="62" t="s">
        <v>494</v>
      </c>
      <c r="D327" s="62" t="s">
        <v>330</v>
      </c>
      <c r="E327" s="62" t="s">
        <v>131</v>
      </c>
      <c r="F327" s="62" t="s">
        <v>4</v>
      </c>
      <c r="G327">
        <v>271</v>
      </c>
      <c r="H327">
        <v>271</v>
      </c>
      <c r="I327" s="62" t="s">
        <v>506</v>
      </c>
      <c r="J327" s="62" t="s">
        <v>1439</v>
      </c>
      <c r="K327" s="62" t="s">
        <v>1439</v>
      </c>
      <c r="L327" s="62" t="s">
        <v>1110</v>
      </c>
    </row>
    <row r="328" spans="1:12" x14ac:dyDescent="0.35">
      <c r="A328">
        <v>10878</v>
      </c>
      <c r="B328" s="62" t="s">
        <v>327</v>
      </c>
      <c r="C328" s="62" t="s">
        <v>494</v>
      </c>
      <c r="D328" s="62" t="s">
        <v>318</v>
      </c>
      <c r="E328" s="62" t="s">
        <v>131</v>
      </c>
      <c r="F328" s="62" t="s">
        <v>5</v>
      </c>
      <c r="G328">
        <v>6758</v>
      </c>
      <c r="H328">
        <v>6758</v>
      </c>
      <c r="I328" s="62" t="s">
        <v>506</v>
      </c>
      <c r="J328" s="62" t="s">
        <v>1569</v>
      </c>
      <c r="K328" s="62" t="s">
        <v>1569</v>
      </c>
      <c r="L328" s="62" t="s">
        <v>1110</v>
      </c>
    </row>
    <row r="329" spans="1:12" x14ac:dyDescent="0.35">
      <c r="A329">
        <v>12296</v>
      </c>
      <c r="B329" s="62" t="s">
        <v>180</v>
      </c>
      <c r="C329" s="62" t="s">
        <v>485</v>
      </c>
      <c r="D329" s="62" t="s">
        <v>175</v>
      </c>
      <c r="E329" s="62" t="s">
        <v>131</v>
      </c>
      <c r="F329" s="62" t="s">
        <v>6</v>
      </c>
      <c r="G329">
        <v>2</v>
      </c>
      <c r="I329" s="62" t="s">
        <v>507</v>
      </c>
      <c r="J329" s="62" t="s">
        <v>1109</v>
      </c>
      <c r="K329" s="62" t="s">
        <v>1109</v>
      </c>
      <c r="L329" s="62" t="s">
        <v>1110</v>
      </c>
    </row>
    <row r="330" spans="1:12" x14ac:dyDescent="0.35">
      <c r="A330">
        <v>12296</v>
      </c>
      <c r="B330" s="62" t="s">
        <v>180</v>
      </c>
      <c r="C330" s="62" t="s">
        <v>485</v>
      </c>
      <c r="D330" s="62" t="s">
        <v>175</v>
      </c>
      <c r="E330" s="62" t="s">
        <v>131</v>
      </c>
      <c r="F330" s="62" t="s">
        <v>5</v>
      </c>
      <c r="G330">
        <v>2</v>
      </c>
      <c r="H330">
        <v>2</v>
      </c>
      <c r="I330" s="62" t="s">
        <v>506</v>
      </c>
      <c r="J330" s="62" t="s">
        <v>1111</v>
      </c>
      <c r="K330" s="62" t="s">
        <v>1111</v>
      </c>
      <c r="L330" s="62" t="s">
        <v>1110</v>
      </c>
    </row>
    <row r="331" spans="1:12" x14ac:dyDescent="0.35">
      <c r="A331">
        <v>12296</v>
      </c>
      <c r="B331" s="62" t="s">
        <v>180</v>
      </c>
      <c r="C331" s="62" t="s">
        <v>485</v>
      </c>
      <c r="D331" s="62" t="s">
        <v>175</v>
      </c>
      <c r="E331" s="62" t="s">
        <v>131</v>
      </c>
      <c r="F331" s="62" t="s">
        <v>4</v>
      </c>
      <c r="G331">
        <v>124</v>
      </c>
      <c r="H331">
        <v>124</v>
      </c>
      <c r="I331" s="62" t="s">
        <v>506</v>
      </c>
      <c r="J331" s="62" t="s">
        <v>1112</v>
      </c>
      <c r="K331" s="62" t="s">
        <v>1112</v>
      </c>
      <c r="L331" s="62" t="s">
        <v>1110</v>
      </c>
    </row>
    <row r="332" spans="1:12" x14ac:dyDescent="0.35">
      <c r="A332">
        <v>12325</v>
      </c>
      <c r="B332" s="62" t="s">
        <v>181</v>
      </c>
      <c r="C332" s="62" t="s">
        <v>485</v>
      </c>
      <c r="D332" s="62" t="s">
        <v>175</v>
      </c>
      <c r="E332" s="62" t="s">
        <v>131</v>
      </c>
      <c r="F332" s="62" t="s">
        <v>508</v>
      </c>
      <c r="G332">
        <v>3</v>
      </c>
      <c r="H332">
        <v>3</v>
      </c>
      <c r="I332" s="62" t="s">
        <v>506</v>
      </c>
      <c r="J332" s="62" t="s">
        <v>1113</v>
      </c>
      <c r="K332" s="62" t="s">
        <v>1113</v>
      </c>
      <c r="L332" s="62" t="s">
        <v>1110</v>
      </c>
    </row>
    <row r="333" spans="1:12" x14ac:dyDescent="0.35">
      <c r="A333">
        <v>12325</v>
      </c>
      <c r="B333" s="62" t="s">
        <v>181</v>
      </c>
      <c r="C333" s="62" t="s">
        <v>485</v>
      </c>
      <c r="D333" s="62" t="s">
        <v>175</v>
      </c>
      <c r="E333" s="62" t="s">
        <v>131</v>
      </c>
      <c r="F333" s="62" t="s">
        <v>6</v>
      </c>
      <c r="G333">
        <v>12</v>
      </c>
      <c r="H333">
        <v>12</v>
      </c>
      <c r="I333" s="62" t="s">
        <v>506</v>
      </c>
      <c r="J333" s="62" t="s">
        <v>1114</v>
      </c>
      <c r="K333" s="62" t="s">
        <v>1114</v>
      </c>
      <c r="L333" s="62" t="s">
        <v>1110</v>
      </c>
    </row>
    <row r="334" spans="1:12" x14ac:dyDescent="0.35">
      <c r="A334">
        <v>12325</v>
      </c>
      <c r="B334" s="62" t="s">
        <v>181</v>
      </c>
      <c r="C334" s="62" t="s">
        <v>485</v>
      </c>
      <c r="D334" s="62" t="s">
        <v>175</v>
      </c>
      <c r="E334" s="62" t="s">
        <v>131</v>
      </c>
      <c r="F334" s="62" t="s">
        <v>5</v>
      </c>
      <c r="G334">
        <v>239</v>
      </c>
      <c r="H334">
        <v>239</v>
      </c>
      <c r="I334" s="62" t="s">
        <v>506</v>
      </c>
      <c r="J334" s="62" t="s">
        <v>1115</v>
      </c>
      <c r="K334" s="62" t="s">
        <v>1115</v>
      </c>
      <c r="L334" s="62" t="s">
        <v>1110</v>
      </c>
    </row>
    <row r="335" spans="1:12" x14ac:dyDescent="0.35">
      <c r="A335">
        <v>12325</v>
      </c>
      <c r="B335" s="62" t="s">
        <v>181</v>
      </c>
      <c r="C335" s="62" t="s">
        <v>485</v>
      </c>
      <c r="D335" s="62" t="s">
        <v>175</v>
      </c>
      <c r="E335" s="62" t="s">
        <v>131</v>
      </c>
      <c r="F335" s="62" t="s">
        <v>4</v>
      </c>
      <c r="G335">
        <v>321</v>
      </c>
      <c r="H335">
        <v>321</v>
      </c>
      <c r="I335" s="62" t="s">
        <v>506</v>
      </c>
      <c r="J335" s="62" t="s">
        <v>1116</v>
      </c>
      <c r="K335" s="62" t="s">
        <v>1116</v>
      </c>
      <c r="L335" s="62" t="s">
        <v>1110</v>
      </c>
    </row>
    <row r="336" spans="1:12" x14ac:dyDescent="0.35">
      <c r="A336">
        <v>10429</v>
      </c>
      <c r="B336" s="62" t="s">
        <v>353</v>
      </c>
      <c r="C336" s="62" t="s">
        <v>494</v>
      </c>
      <c r="D336" s="62" t="s">
        <v>351</v>
      </c>
      <c r="E336" s="62" t="s">
        <v>131</v>
      </c>
      <c r="F336" s="62" t="s">
        <v>4</v>
      </c>
      <c r="G336">
        <v>43</v>
      </c>
      <c r="H336">
        <v>43</v>
      </c>
      <c r="I336" s="62" t="s">
        <v>506</v>
      </c>
      <c r="J336" s="62" t="s">
        <v>1117</v>
      </c>
      <c r="K336" s="62" t="s">
        <v>1117</v>
      </c>
      <c r="L336" s="62" t="s">
        <v>1110</v>
      </c>
    </row>
    <row r="337" spans="1:12" x14ac:dyDescent="0.35">
      <c r="A337">
        <v>12326</v>
      </c>
      <c r="B337" s="62" t="s">
        <v>173</v>
      </c>
      <c r="C337" s="62" t="s">
        <v>485</v>
      </c>
      <c r="D337" s="62" t="s">
        <v>163</v>
      </c>
      <c r="E337" s="62" t="s">
        <v>131</v>
      </c>
      <c r="F337" s="62" t="s">
        <v>508</v>
      </c>
      <c r="G337">
        <v>106</v>
      </c>
      <c r="H337">
        <v>106</v>
      </c>
      <c r="I337" s="62" t="s">
        <v>506</v>
      </c>
      <c r="J337" s="62" t="s">
        <v>1118</v>
      </c>
      <c r="K337" s="62" t="s">
        <v>1118</v>
      </c>
      <c r="L337" s="62" t="s">
        <v>1110</v>
      </c>
    </row>
    <row r="338" spans="1:12" x14ac:dyDescent="0.35">
      <c r="A338">
        <v>12326</v>
      </c>
      <c r="B338" s="62" t="s">
        <v>173</v>
      </c>
      <c r="C338" s="62" t="s">
        <v>485</v>
      </c>
      <c r="D338" s="62" t="s">
        <v>163</v>
      </c>
      <c r="E338" s="62" t="s">
        <v>131</v>
      </c>
      <c r="F338" s="62" t="s">
        <v>6</v>
      </c>
      <c r="G338">
        <v>105</v>
      </c>
      <c r="H338">
        <v>105</v>
      </c>
      <c r="I338" s="62" t="s">
        <v>506</v>
      </c>
      <c r="J338" s="62" t="s">
        <v>1119</v>
      </c>
      <c r="K338" s="62" t="s">
        <v>1119</v>
      </c>
      <c r="L338" s="62" t="s">
        <v>1110</v>
      </c>
    </row>
    <row r="339" spans="1:12" x14ac:dyDescent="0.35">
      <c r="A339">
        <v>12326</v>
      </c>
      <c r="B339" s="62" t="s">
        <v>173</v>
      </c>
      <c r="C339" s="62" t="s">
        <v>485</v>
      </c>
      <c r="D339" s="62" t="s">
        <v>163</v>
      </c>
      <c r="E339" s="62" t="s">
        <v>131</v>
      </c>
      <c r="F339" s="62" t="s">
        <v>5</v>
      </c>
      <c r="G339">
        <v>2552</v>
      </c>
      <c r="H339">
        <v>2552</v>
      </c>
      <c r="I339" s="62" t="s">
        <v>506</v>
      </c>
      <c r="J339" s="62" t="s">
        <v>1120</v>
      </c>
      <c r="K339" s="62" t="s">
        <v>1120</v>
      </c>
      <c r="L339" s="62" t="s">
        <v>1110</v>
      </c>
    </row>
    <row r="340" spans="1:12" x14ac:dyDescent="0.35">
      <c r="A340">
        <v>10871</v>
      </c>
      <c r="B340" s="62" t="s">
        <v>357</v>
      </c>
      <c r="C340" s="62" t="s">
        <v>494</v>
      </c>
      <c r="D340" s="62" t="s">
        <v>351</v>
      </c>
      <c r="E340" s="62" t="s">
        <v>131</v>
      </c>
      <c r="F340" s="62" t="s">
        <v>508</v>
      </c>
      <c r="G340">
        <v>202</v>
      </c>
      <c r="H340">
        <v>202</v>
      </c>
      <c r="I340" s="62" t="s">
        <v>506</v>
      </c>
      <c r="J340" s="62" t="s">
        <v>1121</v>
      </c>
      <c r="K340" s="62" t="s">
        <v>1121</v>
      </c>
      <c r="L340" s="62" t="s">
        <v>1110</v>
      </c>
    </row>
    <row r="341" spans="1:12" x14ac:dyDescent="0.35">
      <c r="A341">
        <v>10871</v>
      </c>
      <c r="B341" s="62" t="s">
        <v>357</v>
      </c>
      <c r="C341" s="62" t="s">
        <v>494</v>
      </c>
      <c r="D341" s="62" t="s">
        <v>351</v>
      </c>
      <c r="E341" s="62" t="s">
        <v>131</v>
      </c>
      <c r="F341" s="62" t="s">
        <v>6</v>
      </c>
      <c r="G341">
        <v>25</v>
      </c>
      <c r="H341">
        <v>25</v>
      </c>
      <c r="I341" s="62" t="s">
        <v>506</v>
      </c>
      <c r="J341" s="62" t="s">
        <v>1122</v>
      </c>
      <c r="K341" s="62" t="s">
        <v>1122</v>
      </c>
      <c r="L341" s="62" t="s">
        <v>1110</v>
      </c>
    </row>
    <row r="342" spans="1:12" x14ac:dyDescent="0.35">
      <c r="A342">
        <v>10871</v>
      </c>
      <c r="B342" s="62" t="s">
        <v>357</v>
      </c>
      <c r="C342" s="62" t="s">
        <v>494</v>
      </c>
      <c r="D342" s="62" t="s">
        <v>351</v>
      </c>
      <c r="E342" s="62" t="s">
        <v>131</v>
      </c>
      <c r="F342" s="62" t="s">
        <v>5</v>
      </c>
      <c r="G342">
        <v>3048</v>
      </c>
      <c r="H342">
        <v>3048</v>
      </c>
      <c r="I342" s="62" t="s">
        <v>506</v>
      </c>
      <c r="J342" s="62" t="s">
        <v>1123</v>
      </c>
      <c r="K342" s="62" t="s">
        <v>1123</v>
      </c>
      <c r="L342" s="62" t="s">
        <v>1110</v>
      </c>
    </row>
    <row r="343" spans="1:12" x14ac:dyDescent="0.35">
      <c r="A343">
        <v>12326</v>
      </c>
      <c r="B343" s="62" t="s">
        <v>173</v>
      </c>
      <c r="C343" s="62" t="s">
        <v>485</v>
      </c>
      <c r="D343" s="62" t="s">
        <v>163</v>
      </c>
      <c r="E343" s="62" t="s">
        <v>131</v>
      </c>
      <c r="F343" s="62" t="s">
        <v>4</v>
      </c>
      <c r="G343">
        <v>738</v>
      </c>
      <c r="H343">
        <v>738</v>
      </c>
      <c r="I343" s="62" t="s">
        <v>506</v>
      </c>
      <c r="J343" s="62" t="s">
        <v>1124</v>
      </c>
      <c r="K343" s="62" t="s">
        <v>1124</v>
      </c>
      <c r="L343" s="62" t="s">
        <v>1110</v>
      </c>
    </row>
    <row r="344" spans="1:12" x14ac:dyDescent="0.35">
      <c r="A344">
        <v>10871</v>
      </c>
      <c r="B344" s="62" t="s">
        <v>357</v>
      </c>
      <c r="C344" s="62" t="s">
        <v>494</v>
      </c>
      <c r="D344" s="62" t="s">
        <v>351</v>
      </c>
      <c r="E344" s="62" t="s">
        <v>131</v>
      </c>
      <c r="F344" s="62" t="s">
        <v>4</v>
      </c>
      <c r="G344">
        <v>247</v>
      </c>
      <c r="H344">
        <v>247</v>
      </c>
      <c r="I344" s="62" t="s">
        <v>506</v>
      </c>
      <c r="J344" s="62" t="s">
        <v>1125</v>
      </c>
      <c r="K344" s="62" t="s">
        <v>1125</v>
      </c>
      <c r="L344" s="62" t="s">
        <v>1110</v>
      </c>
    </row>
    <row r="345" spans="1:12" x14ac:dyDescent="0.35">
      <c r="A345">
        <v>10786</v>
      </c>
      <c r="B345" s="62" t="s">
        <v>323</v>
      </c>
      <c r="C345" s="62" t="s">
        <v>494</v>
      </c>
      <c r="D345" s="62" t="s">
        <v>318</v>
      </c>
      <c r="E345" s="62" t="s">
        <v>131</v>
      </c>
      <c r="F345" s="62" t="s">
        <v>508</v>
      </c>
      <c r="G345">
        <v>70</v>
      </c>
      <c r="H345">
        <v>70</v>
      </c>
      <c r="I345" s="62" t="s">
        <v>506</v>
      </c>
      <c r="J345" s="62" t="s">
        <v>1126</v>
      </c>
      <c r="K345" s="62" t="s">
        <v>1126</v>
      </c>
      <c r="L345" s="62" t="s">
        <v>1110</v>
      </c>
    </row>
    <row r="346" spans="1:12" x14ac:dyDescent="0.35">
      <c r="A346">
        <v>10786</v>
      </c>
      <c r="B346" s="62" t="s">
        <v>323</v>
      </c>
      <c r="C346" s="62" t="s">
        <v>494</v>
      </c>
      <c r="D346" s="62" t="s">
        <v>318</v>
      </c>
      <c r="E346" s="62" t="s">
        <v>131</v>
      </c>
      <c r="F346" s="62" t="s">
        <v>6</v>
      </c>
      <c r="G346">
        <v>59</v>
      </c>
      <c r="H346">
        <v>59</v>
      </c>
      <c r="I346" s="62" t="s">
        <v>506</v>
      </c>
      <c r="J346" s="62" t="s">
        <v>1127</v>
      </c>
      <c r="K346" s="62" t="s">
        <v>1127</v>
      </c>
      <c r="L346" s="62" t="s">
        <v>1110</v>
      </c>
    </row>
    <row r="347" spans="1:12" x14ac:dyDescent="0.35">
      <c r="A347">
        <v>12642</v>
      </c>
      <c r="B347" s="62" t="s">
        <v>217</v>
      </c>
      <c r="C347" s="62" t="s">
        <v>487</v>
      </c>
      <c r="D347" s="62" t="s">
        <v>208</v>
      </c>
      <c r="E347" s="62" t="s">
        <v>131</v>
      </c>
      <c r="F347" s="62" t="s">
        <v>6</v>
      </c>
      <c r="G347">
        <v>38</v>
      </c>
      <c r="H347">
        <v>38</v>
      </c>
      <c r="I347" s="62" t="s">
        <v>506</v>
      </c>
      <c r="J347" s="62" t="s">
        <v>1128</v>
      </c>
      <c r="K347" s="62" t="s">
        <v>1128</v>
      </c>
      <c r="L347" s="62" t="s">
        <v>1110</v>
      </c>
    </row>
    <row r="348" spans="1:12" x14ac:dyDescent="0.35">
      <c r="A348">
        <v>12642</v>
      </c>
      <c r="B348" s="62" t="s">
        <v>217</v>
      </c>
      <c r="C348" s="62" t="s">
        <v>487</v>
      </c>
      <c r="D348" s="62" t="s">
        <v>208</v>
      </c>
      <c r="E348" s="62" t="s">
        <v>131</v>
      </c>
      <c r="F348" s="62" t="s">
        <v>508</v>
      </c>
      <c r="G348">
        <v>303</v>
      </c>
      <c r="H348">
        <v>303</v>
      </c>
      <c r="I348" s="62" t="s">
        <v>506</v>
      </c>
      <c r="J348" s="62" t="s">
        <v>1129</v>
      </c>
      <c r="K348" s="62" t="s">
        <v>1129</v>
      </c>
      <c r="L348" s="62" t="s">
        <v>1110</v>
      </c>
    </row>
    <row r="349" spans="1:12" x14ac:dyDescent="0.35">
      <c r="A349">
        <v>12642</v>
      </c>
      <c r="B349" s="62" t="s">
        <v>217</v>
      </c>
      <c r="C349" s="62" t="s">
        <v>487</v>
      </c>
      <c r="D349" s="62" t="s">
        <v>208</v>
      </c>
      <c r="E349" s="62" t="s">
        <v>131</v>
      </c>
      <c r="F349" s="62" t="s">
        <v>5</v>
      </c>
      <c r="G349">
        <v>2304</v>
      </c>
      <c r="H349">
        <v>2304</v>
      </c>
      <c r="I349" s="62" t="s">
        <v>506</v>
      </c>
      <c r="J349" s="62" t="s">
        <v>1130</v>
      </c>
      <c r="K349" s="62" t="s">
        <v>1130</v>
      </c>
      <c r="L349" s="62" t="s">
        <v>1110</v>
      </c>
    </row>
    <row r="350" spans="1:12" x14ac:dyDescent="0.35">
      <c r="A350">
        <v>12642</v>
      </c>
      <c r="B350" s="62" t="s">
        <v>217</v>
      </c>
      <c r="C350" s="62" t="s">
        <v>487</v>
      </c>
      <c r="D350" s="62" t="s">
        <v>208</v>
      </c>
      <c r="E350" s="62" t="s">
        <v>131</v>
      </c>
      <c r="F350" s="62" t="s">
        <v>4</v>
      </c>
      <c r="G350">
        <v>825</v>
      </c>
      <c r="H350">
        <v>825</v>
      </c>
      <c r="I350" s="62" t="s">
        <v>506</v>
      </c>
      <c r="J350" s="62" t="s">
        <v>1131</v>
      </c>
      <c r="K350" s="62" t="s">
        <v>1131</v>
      </c>
      <c r="L350" s="62" t="s">
        <v>1110</v>
      </c>
    </row>
    <row r="351" spans="1:12" x14ac:dyDescent="0.35">
      <c r="A351">
        <v>10786</v>
      </c>
      <c r="B351" s="62" t="s">
        <v>323</v>
      </c>
      <c r="C351" s="62" t="s">
        <v>494</v>
      </c>
      <c r="D351" s="62" t="s">
        <v>318</v>
      </c>
      <c r="E351" s="62" t="s">
        <v>131</v>
      </c>
      <c r="F351" s="62" t="s">
        <v>4</v>
      </c>
      <c r="G351">
        <v>650</v>
      </c>
      <c r="H351">
        <v>650</v>
      </c>
      <c r="I351" s="62" t="s">
        <v>506</v>
      </c>
      <c r="J351" s="62" t="s">
        <v>1132</v>
      </c>
      <c r="K351" s="62" t="s">
        <v>1132</v>
      </c>
      <c r="L351" s="62" t="s">
        <v>1110</v>
      </c>
    </row>
    <row r="352" spans="1:12" x14ac:dyDescent="0.35">
      <c r="A352">
        <v>12232</v>
      </c>
      <c r="B352" s="62" t="s">
        <v>179</v>
      </c>
      <c r="C352" s="62" t="s">
        <v>485</v>
      </c>
      <c r="D352" s="62" t="s">
        <v>175</v>
      </c>
      <c r="E352" s="62" t="s">
        <v>131</v>
      </c>
      <c r="F352" s="62" t="s">
        <v>4</v>
      </c>
      <c r="G352">
        <v>19</v>
      </c>
      <c r="H352">
        <v>19</v>
      </c>
      <c r="I352" s="62" t="s">
        <v>506</v>
      </c>
      <c r="J352" s="62" t="s">
        <v>1133</v>
      </c>
      <c r="K352" s="62" t="s">
        <v>1133</v>
      </c>
      <c r="L352" s="62" t="s">
        <v>1110</v>
      </c>
    </row>
    <row r="353" spans="1:12" x14ac:dyDescent="0.35">
      <c r="A353">
        <v>12274</v>
      </c>
      <c r="B353" s="62" t="s">
        <v>230</v>
      </c>
      <c r="C353" s="62" t="s">
        <v>487</v>
      </c>
      <c r="D353" s="62" t="s">
        <v>226</v>
      </c>
      <c r="E353" s="62" t="s">
        <v>131</v>
      </c>
      <c r="F353" s="62" t="s">
        <v>508</v>
      </c>
      <c r="G353">
        <v>32</v>
      </c>
      <c r="H353">
        <v>32</v>
      </c>
      <c r="I353" s="62" t="s">
        <v>506</v>
      </c>
      <c r="J353" s="62" t="s">
        <v>1134</v>
      </c>
      <c r="K353" s="62" t="s">
        <v>1134</v>
      </c>
      <c r="L353" s="62" t="s">
        <v>1110</v>
      </c>
    </row>
    <row r="354" spans="1:12" x14ac:dyDescent="0.35">
      <c r="A354">
        <v>12274</v>
      </c>
      <c r="B354" s="62" t="s">
        <v>230</v>
      </c>
      <c r="C354" s="62" t="s">
        <v>487</v>
      </c>
      <c r="D354" s="62" t="s">
        <v>226</v>
      </c>
      <c r="E354" s="62" t="s">
        <v>131</v>
      </c>
      <c r="F354" s="62" t="s">
        <v>6</v>
      </c>
      <c r="G354">
        <v>7</v>
      </c>
      <c r="H354">
        <v>7</v>
      </c>
      <c r="I354" s="62" t="s">
        <v>506</v>
      </c>
      <c r="J354" s="62" t="s">
        <v>1135</v>
      </c>
      <c r="K354" s="62" t="s">
        <v>1135</v>
      </c>
      <c r="L354" s="62" t="s">
        <v>1110</v>
      </c>
    </row>
    <row r="355" spans="1:12" x14ac:dyDescent="0.35">
      <c r="A355">
        <v>12274</v>
      </c>
      <c r="B355" s="62" t="s">
        <v>230</v>
      </c>
      <c r="C355" s="62" t="s">
        <v>487</v>
      </c>
      <c r="D355" s="62" t="s">
        <v>226</v>
      </c>
      <c r="E355" s="62" t="s">
        <v>131</v>
      </c>
      <c r="F355" s="62" t="s">
        <v>5</v>
      </c>
      <c r="G355">
        <v>101</v>
      </c>
      <c r="H355">
        <v>101</v>
      </c>
      <c r="I355" s="62" t="s">
        <v>506</v>
      </c>
      <c r="J355" s="62" t="s">
        <v>1136</v>
      </c>
      <c r="K355" s="62" t="s">
        <v>1136</v>
      </c>
      <c r="L355" s="62" t="s">
        <v>1110</v>
      </c>
    </row>
    <row r="356" spans="1:12" x14ac:dyDescent="0.35">
      <c r="A356">
        <v>16464</v>
      </c>
      <c r="B356" s="62" t="s">
        <v>219</v>
      </c>
      <c r="C356" s="62" t="s">
        <v>487</v>
      </c>
      <c r="D356" s="62" t="s">
        <v>218</v>
      </c>
      <c r="E356" s="62" t="s">
        <v>131</v>
      </c>
      <c r="F356" s="62" t="s">
        <v>508</v>
      </c>
      <c r="G356">
        <v>366</v>
      </c>
      <c r="H356">
        <v>366</v>
      </c>
      <c r="I356" s="62" t="s">
        <v>506</v>
      </c>
      <c r="J356" s="62" t="s">
        <v>1137</v>
      </c>
      <c r="K356" s="62" t="s">
        <v>1137</v>
      </c>
      <c r="L356" s="62" t="s">
        <v>1110</v>
      </c>
    </row>
    <row r="357" spans="1:12" x14ac:dyDescent="0.35">
      <c r="A357">
        <v>16464</v>
      </c>
      <c r="B357" s="62" t="s">
        <v>219</v>
      </c>
      <c r="C357" s="62" t="s">
        <v>487</v>
      </c>
      <c r="D357" s="62" t="s">
        <v>218</v>
      </c>
      <c r="E357" s="62" t="s">
        <v>131</v>
      </c>
      <c r="F357" s="62" t="s">
        <v>6</v>
      </c>
      <c r="G357">
        <v>60</v>
      </c>
      <c r="H357">
        <v>60</v>
      </c>
      <c r="I357" s="62" t="s">
        <v>506</v>
      </c>
      <c r="J357" s="62" t="s">
        <v>1138</v>
      </c>
      <c r="K357" s="62" t="s">
        <v>1138</v>
      </c>
      <c r="L357" s="62" t="s">
        <v>1110</v>
      </c>
    </row>
    <row r="358" spans="1:12" x14ac:dyDescent="0.35">
      <c r="A358">
        <v>16464</v>
      </c>
      <c r="B358" s="62" t="s">
        <v>219</v>
      </c>
      <c r="C358" s="62" t="s">
        <v>487</v>
      </c>
      <c r="D358" s="62" t="s">
        <v>218</v>
      </c>
      <c r="E358" s="62" t="s">
        <v>131</v>
      </c>
      <c r="F358" s="62" t="s">
        <v>5</v>
      </c>
      <c r="G358">
        <v>4283</v>
      </c>
      <c r="H358">
        <v>4283</v>
      </c>
      <c r="I358" s="62" t="s">
        <v>506</v>
      </c>
      <c r="J358" s="62" t="s">
        <v>1139</v>
      </c>
      <c r="K358" s="62" t="s">
        <v>1139</v>
      </c>
      <c r="L358" s="62" t="s">
        <v>1110</v>
      </c>
    </row>
    <row r="359" spans="1:12" x14ac:dyDescent="0.35">
      <c r="A359">
        <v>16234</v>
      </c>
      <c r="B359" s="62" t="s">
        <v>200</v>
      </c>
      <c r="C359" s="62" t="s">
        <v>485</v>
      </c>
      <c r="D359" s="62" t="s">
        <v>196</v>
      </c>
      <c r="E359" s="62" t="s">
        <v>131</v>
      </c>
      <c r="F359" s="62" t="s">
        <v>4</v>
      </c>
      <c r="G359">
        <v>2060</v>
      </c>
      <c r="H359">
        <v>2060</v>
      </c>
      <c r="I359" s="62" t="s">
        <v>506</v>
      </c>
      <c r="J359" s="62" t="s">
        <v>1140</v>
      </c>
      <c r="K359" s="62" t="s">
        <v>1140</v>
      </c>
      <c r="L359" s="62" t="s">
        <v>1110</v>
      </c>
    </row>
    <row r="360" spans="1:12" x14ac:dyDescent="0.35">
      <c r="A360">
        <v>12274</v>
      </c>
      <c r="B360" s="62" t="s">
        <v>230</v>
      </c>
      <c r="C360" s="62" t="s">
        <v>487</v>
      </c>
      <c r="D360" s="62" t="s">
        <v>226</v>
      </c>
      <c r="E360" s="62" t="s">
        <v>131</v>
      </c>
      <c r="F360" s="62" t="s">
        <v>4</v>
      </c>
      <c r="G360">
        <v>183</v>
      </c>
      <c r="H360">
        <v>183</v>
      </c>
      <c r="I360" s="62" t="s">
        <v>506</v>
      </c>
      <c r="J360" s="62" t="s">
        <v>1141</v>
      </c>
      <c r="K360" s="62" t="s">
        <v>1141</v>
      </c>
      <c r="L360" s="62" t="s">
        <v>1110</v>
      </c>
    </row>
    <row r="361" spans="1:12" x14ac:dyDescent="0.35">
      <c r="A361">
        <v>12023</v>
      </c>
      <c r="B361" s="62" t="s">
        <v>227</v>
      </c>
      <c r="C361" s="62" t="s">
        <v>487</v>
      </c>
      <c r="D361" s="62" t="s">
        <v>226</v>
      </c>
      <c r="E361" s="62" t="s">
        <v>131</v>
      </c>
      <c r="F361" s="62" t="s">
        <v>5</v>
      </c>
      <c r="G361">
        <v>18</v>
      </c>
      <c r="H361">
        <v>18</v>
      </c>
      <c r="I361" s="62" t="s">
        <v>506</v>
      </c>
      <c r="J361" s="62" t="s">
        <v>1142</v>
      </c>
      <c r="K361" s="62" t="s">
        <v>1142</v>
      </c>
      <c r="L361" s="62" t="s">
        <v>1110</v>
      </c>
    </row>
    <row r="362" spans="1:12" x14ac:dyDescent="0.35">
      <c r="A362">
        <v>18080</v>
      </c>
      <c r="B362" s="62" t="s">
        <v>272</v>
      </c>
      <c r="C362" s="62" t="s">
        <v>488</v>
      </c>
      <c r="D362" s="62" t="s">
        <v>271</v>
      </c>
      <c r="E362" s="62" t="s">
        <v>131</v>
      </c>
      <c r="F362" s="62" t="s">
        <v>5</v>
      </c>
      <c r="G362">
        <v>667</v>
      </c>
      <c r="H362">
        <v>667</v>
      </c>
      <c r="I362" s="62" t="s">
        <v>506</v>
      </c>
      <c r="J362" s="62" t="s">
        <v>1143</v>
      </c>
      <c r="K362" s="62" t="s">
        <v>1143</v>
      </c>
      <c r="L362" s="62" t="s">
        <v>1110</v>
      </c>
    </row>
    <row r="363" spans="1:12" x14ac:dyDescent="0.35">
      <c r="A363">
        <v>18080</v>
      </c>
      <c r="B363" s="62" t="s">
        <v>272</v>
      </c>
      <c r="C363" s="62" t="s">
        <v>488</v>
      </c>
      <c r="D363" s="62" t="s">
        <v>271</v>
      </c>
      <c r="E363" s="62" t="s">
        <v>131</v>
      </c>
      <c r="F363" s="62" t="s">
        <v>508</v>
      </c>
      <c r="G363">
        <v>44</v>
      </c>
      <c r="H363">
        <v>44</v>
      </c>
      <c r="I363" s="62" t="s">
        <v>506</v>
      </c>
      <c r="J363" s="62" t="s">
        <v>1144</v>
      </c>
      <c r="K363" s="62" t="s">
        <v>1144</v>
      </c>
      <c r="L363" s="62" t="s">
        <v>1110</v>
      </c>
    </row>
    <row r="364" spans="1:12" x14ac:dyDescent="0.35">
      <c r="A364">
        <v>18080</v>
      </c>
      <c r="B364" s="62" t="s">
        <v>272</v>
      </c>
      <c r="C364" s="62" t="s">
        <v>488</v>
      </c>
      <c r="D364" s="62" t="s">
        <v>271</v>
      </c>
      <c r="E364" s="62" t="s">
        <v>131</v>
      </c>
      <c r="F364" s="62" t="s">
        <v>6</v>
      </c>
      <c r="G364">
        <v>5</v>
      </c>
      <c r="H364">
        <v>5</v>
      </c>
      <c r="I364" s="62" t="s">
        <v>506</v>
      </c>
      <c r="J364" s="62" t="s">
        <v>1145</v>
      </c>
      <c r="K364" s="62" t="s">
        <v>1145</v>
      </c>
      <c r="L364" s="62" t="s">
        <v>1110</v>
      </c>
    </row>
    <row r="365" spans="1:12" x14ac:dyDescent="0.35">
      <c r="A365">
        <v>12023</v>
      </c>
      <c r="B365" s="62" t="s">
        <v>227</v>
      </c>
      <c r="C365" s="62" t="s">
        <v>487</v>
      </c>
      <c r="D365" s="62" t="s">
        <v>226</v>
      </c>
      <c r="E365" s="62" t="s">
        <v>131</v>
      </c>
      <c r="F365" s="62" t="s">
        <v>4</v>
      </c>
      <c r="G365">
        <v>84</v>
      </c>
      <c r="H365">
        <v>84</v>
      </c>
      <c r="I365" s="62" t="s">
        <v>506</v>
      </c>
      <c r="J365" s="62" t="s">
        <v>1146</v>
      </c>
      <c r="K365" s="62" t="s">
        <v>1146</v>
      </c>
      <c r="L365" s="62" t="s">
        <v>1110</v>
      </c>
    </row>
    <row r="366" spans="1:12" x14ac:dyDescent="0.35">
      <c r="A366">
        <v>16464</v>
      </c>
      <c r="B366" s="62" t="s">
        <v>219</v>
      </c>
      <c r="C366" s="62" t="s">
        <v>487</v>
      </c>
      <c r="D366" s="62" t="s">
        <v>218</v>
      </c>
      <c r="E366" s="62" t="s">
        <v>131</v>
      </c>
      <c r="F366" s="62" t="s">
        <v>4</v>
      </c>
      <c r="G366">
        <v>1070</v>
      </c>
      <c r="H366">
        <v>1070</v>
      </c>
      <c r="I366" s="62" t="s">
        <v>506</v>
      </c>
      <c r="J366" s="62" t="s">
        <v>1147</v>
      </c>
      <c r="K366" s="62" t="s">
        <v>1147</v>
      </c>
      <c r="L366" s="62" t="s">
        <v>1110</v>
      </c>
    </row>
    <row r="367" spans="1:12" x14ac:dyDescent="0.35">
      <c r="A367">
        <v>18080</v>
      </c>
      <c r="B367" s="62" t="s">
        <v>272</v>
      </c>
      <c r="C367" s="62" t="s">
        <v>488</v>
      </c>
      <c r="D367" s="62" t="s">
        <v>271</v>
      </c>
      <c r="E367" s="62" t="s">
        <v>131</v>
      </c>
      <c r="F367" s="62" t="s">
        <v>4</v>
      </c>
      <c r="G367">
        <v>88</v>
      </c>
      <c r="H367">
        <v>88</v>
      </c>
      <c r="I367" s="62" t="s">
        <v>506</v>
      </c>
      <c r="J367" s="62" t="s">
        <v>1148</v>
      </c>
      <c r="K367" s="62" t="s">
        <v>1148</v>
      </c>
      <c r="L367" s="62" t="s">
        <v>1110</v>
      </c>
    </row>
    <row r="368" spans="1:12" x14ac:dyDescent="0.35">
      <c r="A368">
        <v>10851</v>
      </c>
      <c r="B368" s="62" t="s">
        <v>355</v>
      </c>
      <c r="C368" s="62" t="s">
        <v>494</v>
      </c>
      <c r="D368" s="62" t="s">
        <v>351</v>
      </c>
      <c r="E368" s="62" t="s">
        <v>131</v>
      </c>
      <c r="F368" s="62" t="s">
        <v>508</v>
      </c>
      <c r="G368">
        <v>51</v>
      </c>
      <c r="H368">
        <v>51</v>
      </c>
      <c r="I368" s="62" t="s">
        <v>506</v>
      </c>
      <c r="J368" s="62" t="s">
        <v>1149</v>
      </c>
      <c r="K368" s="62" t="s">
        <v>1149</v>
      </c>
      <c r="L368" s="62" t="s">
        <v>1110</v>
      </c>
    </row>
    <row r="369" spans="1:12" x14ac:dyDescent="0.35">
      <c r="A369">
        <v>10851</v>
      </c>
      <c r="B369" s="62" t="s">
        <v>355</v>
      </c>
      <c r="C369" s="62" t="s">
        <v>494</v>
      </c>
      <c r="D369" s="62" t="s">
        <v>351</v>
      </c>
      <c r="E369" s="62" t="s">
        <v>131</v>
      </c>
      <c r="F369" s="62" t="s">
        <v>6</v>
      </c>
      <c r="G369">
        <v>16</v>
      </c>
      <c r="H369">
        <v>16</v>
      </c>
      <c r="I369" s="62" t="s">
        <v>506</v>
      </c>
      <c r="J369" s="62" t="s">
        <v>1150</v>
      </c>
      <c r="K369" s="62" t="s">
        <v>1150</v>
      </c>
      <c r="L369" s="62" t="s">
        <v>1110</v>
      </c>
    </row>
    <row r="370" spans="1:12" x14ac:dyDescent="0.35">
      <c r="A370">
        <v>10851</v>
      </c>
      <c r="B370" s="62" t="s">
        <v>355</v>
      </c>
      <c r="C370" s="62" t="s">
        <v>494</v>
      </c>
      <c r="D370" s="62" t="s">
        <v>351</v>
      </c>
      <c r="E370" s="62" t="s">
        <v>131</v>
      </c>
      <c r="F370" s="62" t="s">
        <v>5</v>
      </c>
      <c r="G370">
        <v>537</v>
      </c>
      <c r="H370">
        <v>537</v>
      </c>
      <c r="I370" s="62" t="s">
        <v>506</v>
      </c>
      <c r="J370" s="62" t="s">
        <v>1151</v>
      </c>
      <c r="K370" s="62" t="s">
        <v>1151</v>
      </c>
      <c r="L370" s="62" t="s">
        <v>1110</v>
      </c>
    </row>
    <row r="371" spans="1:12" x14ac:dyDescent="0.35">
      <c r="A371">
        <v>12717</v>
      </c>
      <c r="B371" s="62" t="s">
        <v>137</v>
      </c>
      <c r="C371" s="62" t="s">
        <v>485</v>
      </c>
      <c r="D371" s="62" t="s">
        <v>129</v>
      </c>
      <c r="E371" s="62" t="s">
        <v>131</v>
      </c>
      <c r="F371" s="62" t="s">
        <v>6</v>
      </c>
      <c r="G371">
        <v>56</v>
      </c>
      <c r="H371">
        <v>56</v>
      </c>
      <c r="I371" s="62" t="s">
        <v>506</v>
      </c>
      <c r="J371" s="62" t="s">
        <v>1152</v>
      </c>
      <c r="K371" s="62" t="s">
        <v>1152</v>
      </c>
      <c r="L371" s="62" t="s">
        <v>1110</v>
      </c>
    </row>
    <row r="372" spans="1:12" x14ac:dyDescent="0.35">
      <c r="A372">
        <v>12717</v>
      </c>
      <c r="B372" s="62" t="s">
        <v>137</v>
      </c>
      <c r="C372" s="62" t="s">
        <v>485</v>
      </c>
      <c r="D372" s="62" t="s">
        <v>129</v>
      </c>
      <c r="E372" s="62" t="s">
        <v>131</v>
      </c>
      <c r="F372" s="62" t="s">
        <v>5</v>
      </c>
      <c r="G372">
        <v>21</v>
      </c>
      <c r="H372">
        <v>21</v>
      </c>
      <c r="I372" s="62" t="s">
        <v>506</v>
      </c>
      <c r="J372" s="62" t="s">
        <v>1153</v>
      </c>
      <c r="K372" s="62" t="s">
        <v>1153</v>
      </c>
      <c r="L372" s="62" t="s">
        <v>1110</v>
      </c>
    </row>
    <row r="373" spans="1:12" x14ac:dyDescent="0.35">
      <c r="A373">
        <v>10732</v>
      </c>
      <c r="B373" s="62" t="s">
        <v>354</v>
      </c>
      <c r="C373" s="62" t="s">
        <v>494</v>
      </c>
      <c r="D373" s="62" t="s">
        <v>351</v>
      </c>
      <c r="E373" s="62" t="s">
        <v>131</v>
      </c>
      <c r="F373" s="62" t="s">
        <v>4</v>
      </c>
      <c r="G373">
        <v>812</v>
      </c>
      <c r="H373">
        <v>812</v>
      </c>
      <c r="I373" s="62" t="s">
        <v>506</v>
      </c>
      <c r="J373" s="62" t="s">
        <v>1154</v>
      </c>
      <c r="K373" s="62" t="s">
        <v>1154</v>
      </c>
      <c r="L373" s="62" t="s">
        <v>1110</v>
      </c>
    </row>
    <row r="374" spans="1:12" x14ac:dyDescent="0.35">
      <c r="A374">
        <v>10851</v>
      </c>
      <c r="B374" s="62" t="s">
        <v>355</v>
      </c>
      <c r="C374" s="62" t="s">
        <v>494</v>
      </c>
      <c r="D374" s="62" t="s">
        <v>351</v>
      </c>
      <c r="E374" s="62" t="s">
        <v>131</v>
      </c>
      <c r="F374" s="62" t="s">
        <v>4</v>
      </c>
      <c r="G374">
        <v>125</v>
      </c>
      <c r="H374">
        <v>125</v>
      </c>
      <c r="I374" s="62" t="s">
        <v>506</v>
      </c>
      <c r="J374" s="62" t="s">
        <v>1155</v>
      </c>
      <c r="K374" s="62" t="s">
        <v>1155</v>
      </c>
      <c r="L374" s="62" t="s">
        <v>1110</v>
      </c>
    </row>
    <row r="375" spans="1:12" x14ac:dyDescent="0.35">
      <c r="A375">
        <v>12453</v>
      </c>
      <c r="B375" s="62" t="s">
        <v>216</v>
      </c>
      <c r="C375" s="62" t="s">
        <v>487</v>
      </c>
      <c r="D375" s="62" t="s">
        <v>208</v>
      </c>
      <c r="E375" s="62" t="s">
        <v>131</v>
      </c>
      <c r="F375" s="62" t="s">
        <v>6</v>
      </c>
      <c r="G375">
        <v>6</v>
      </c>
      <c r="H375">
        <v>6</v>
      </c>
      <c r="I375" s="62" t="s">
        <v>506</v>
      </c>
      <c r="J375" s="62" t="s">
        <v>1156</v>
      </c>
      <c r="K375" s="62" t="s">
        <v>1156</v>
      </c>
      <c r="L375" s="62" t="s">
        <v>1110</v>
      </c>
    </row>
    <row r="376" spans="1:12" x14ac:dyDescent="0.35">
      <c r="A376">
        <v>12453</v>
      </c>
      <c r="B376" s="62" t="s">
        <v>216</v>
      </c>
      <c r="C376" s="62" t="s">
        <v>487</v>
      </c>
      <c r="D376" s="62" t="s">
        <v>208</v>
      </c>
      <c r="E376" s="62" t="s">
        <v>131</v>
      </c>
      <c r="F376" s="62" t="s">
        <v>5</v>
      </c>
      <c r="G376">
        <v>671</v>
      </c>
      <c r="H376">
        <v>671</v>
      </c>
      <c r="I376" s="62" t="s">
        <v>506</v>
      </c>
      <c r="J376" s="62" t="s">
        <v>1157</v>
      </c>
      <c r="K376" s="62" t="s">
        <v>1157</v>
      </c>
      <c r="L376" s="62" t="s">
        <v>1110</v>
      </c>
    </row>
    <row r="377" spans="1:12" x14ac:dyDescent="0.35">
      <c r="A377">
        <v>12454</v>
      </c>
      <c r="B377" s="62" t="s">
        <v>233</v>
      </c>
      <c r="C377" s="62" t="s">
        <v>487</v>
      </c>
      <c r="D377" s="62" t="s">
        <v>226</v>
      </c>
      <c r="E377" s="62" t="s">
        <v>131</v>
      </c>
      <c r="F377" s="62" t="s">
        <v>508</v>
      </c>
      <c r="G377">
        <v>12</v>
      </c>
      <c r="H377">
        <v>12</v>
      </c>
      <c r="I377" s="62" t="s">
        <v>506</v>
      </c>
      <c r="J377" s="62" t="s">
        <v>1158</v>
      </c>
      <c r="K377" s="62" t="s">
        <v>1158</v>
      </c>
      <c r="L377" s="62" t="s">
        <v>1110</v>
      </c>
    </row>
    <row r="378" spans="1:12" x14ac:dyDescent="0.35">
      <c r="A378">
        <v>12454</v>
      </c>
      <c r="B378" s="62" t="s">
        <v>233</v>
      </c>
      <c r="C378" s="62" t="s">
        <v>487</v>
      </c>
      <c r="D378" s="62" t="s">
        <v>226</v>
      </c>
      <c r="E378" s="62" t="s">
        <v>131</v>
      </c>
      <c r="F378" s="62" t="s">
        <v>6</v>
      </c>
      <c r="G378">
        <v>21</v>
      </c>
      <c r="H378">
        <v>21</v>
      </c>
      <c r="I378" s="62" t="s">
        <v>506</v>
      </c>
      <c r="J378" s="62" t="s">
        <v>1159</v>
      </c>
      <c r="K378" s="62" t="s">
        <v>1159</v>
      </c>
      <c r="L378" s="62" t="s">
        <v>1110</v>
      </c>
    </row>
    <row r="379" spans="1:12" x14ac:dyDescent="0.35">
      <c r="A379">
        <v>12454</v>
      </c>
      <c r="B379" s="62" t="s">
        <v>233</v>
      </c>
      <c r="C379" s="62" t="s">
        <v>487</v>
      </c>
      <c r="D379" s="62" t="s">
        <v>226</v>
      </c>
      <c r="E379" s="62" t="s">
        <v>131</v>
      </c>
      <c r="F379" s="62" t="s">
        <v>5</v>
      </c>
      <c r="G379">
        <v>23</v>
      </c>
      <c r="H379">
        <v>23</v>
      </c>
      <c r="I379" s="62" t="s">
        <v>506</v>
      </c>
      <c r="J379" s="62" t="s">
        <v>1160</v>
      </c>
      <c r="K379" s="62" t="s">
        <v>1160</v>
      </c>
      <c r="L379" s="62" t="s">
        <v>1110</v>
      </c>
    </row>
    <row r="380" spans="1:12" x14ac:dyDescent="0.35">
      <c r="A380">
        <v>12453</v>
      </c>
      <c r="B380" s="62" t="s">
        <v>216</v>
      </c>
      <c r="C380" s="62" t="s">
        <v>487</v>
      </c>
      <c r="D380" s="62" t="s">
        <v>208</v>
      </c>
      <c r="E380" s="62" t="s">
        <v>131</v>
      </c>
      <c r="F380" s="62" t="s">
        <v>4</v>
      </c>
      <c r="G380">
        <v>133</v>
      </c>
      <c r="H380">
        <v>133</v>
      </c>
      <c r="I380" s="62" t="s">
        <v>506</v>
      </c>
      <c r="J380" s="62" t="s">
        <v>1161</v>
      </c>
      <c r="K380" s="62" t="s">
        <v>1161</v>
      </c>
      <c r="L380" s="62" t="s">
        <v>1110</v>
      </c>
    </row>
    <row r="381" spans="1:12" x14ac:dyDescent="0.35">
      <c r="A381">
        <v>16234</v>
      </c>
      <c r="B381" s="62" t="s">
        <v>200</v>
      </c>
      <c r="C381" s="62" t="s">
        <v>485</v>
      </c>
      <c r="D381" s="62" t="s">
        <v>196</v>
      </c>
      <c r="E381" s="62" t="s">
        <v>131</v>
      </c>
      <c r="F381" s="62" t="s">
        <v>508</v>
      </c>
      <c r="G381">
        <v>407</v>
      </c>
      <c r="H381">
        <v>200</v>
      </c>
      <c r="I381" s="62" t="s">
        <v>507</v>
      </c>
      <c r="J381" s="62" t="s">
        <v>1162</v>
      </c>
      <c r="K381" s="62" t="s">
        <v>1162</v>
      </c>
      <c r="L381" s="62" t="s">
        <v>1110</v>
      </c>
    </row>
    <row r="382" spans="1:12" x14ac:dyDescent="0.35">
      <c r="A382">
        <v>12454</v>
      </c>
      <c r="B382" s="62" t="s">
        <v>233</v>
      </c>
      <c r="C382" s="62" t="s">
        <v>487</v>
      </c>
      <c r="D382" s="62" t="s">
        <v>226</v>
      </c>
      <c r="E382" s="62" t="s">
        <v>131</v>
      </c>
      <c r="F382" s="62" t="s">
        <v>4</v>
      </c>
      <c r="G382">
        <v>142</v>
      </c>
      <c r="H382">
        <v>142</v>
      </c>
      <c r="I382" s="62" t="s">
        <v>506</v>
      </c>
      <c r="J382" s="62" t="s">
        <v>1163</v>
      </c>
      <c r="K382" s="62" t="s">
        <v>1163</v>
      </c>
      <c r="L382" s="62" t="s">
        <v>1110</v>
      </c>
    </row>
    <row r="383" spans="1:12" x14ac:dyDescent="0.35">
      <c r="A383">
        <v>16234</v>
      </c>
      <c r="B383" s="62" t="s">
        <v>200</v>
      </c>
      <c r="C383" s="62" t="s">
        <v>485</v>
      </c>
      <c r="D383" s="62" t="s">
        <v>196</v>
      </c>
      <c r="E383" s="62" t="s">
        <v>131</v>
      </c>
      <c r="F383" s="62" t="s">
        <v>6</v>
      </c>
      <c r="G383">
        <v>235</v>
      </c>
      <c r="H383">
        <v>235</v>
      </c>
      <c r="I383" s="62" t="s">
        <v>506</v>
      </c>
      <c r="J383" s="62" t="s">
        <v>1164</v>
      </c>
      <c r="K383" s="62" t="s">
        <v>1164</v>
      </c>
      <c r="L383" s="62" t="s">
        <v>1110</v>
      </c>
    </row>
    <row r="384" spans="1:12" x14ac:dyDescent="0.35">
      <c r="A384">
        <v>10481</v>
      </c>
      <c r="B384" s="62" t="s">
        <v>322</v>
      </c>
      <c r="C384" s="62" t="s">
        <v>494</v>
      </c>
      <c r="D384" s="62" t="s">
        <v>318</v>
      </c>
      <c r="E384" s="62" t="s">
        <v>131</v>
      </c>
      <c r="F384" s="62" t="s">
        <v>508</v>
      </c>
      <c r="G384">
        <v>91</v>
      </c>
      <c r="H384">
        <v>91</v>
      </c>
      <c r="I384" s="62" t="s">
        <v>506</v>
      </c>
      <c r="J384" s="62" t="s">
        <v>1165</v>
      </c>
      <c r="K384" s="62" t="s">
        <v>1165</v>
      </c>
      <c r="L384" s="62" t="s">
        <v>1110</v>
      </c>
    </row>
    <row r="385" spans="1:12" x14ac:dyDescent="0.35">
      <c r="A385">
        <v>10481</v>
      </c>
      <c r="B385" s="62" t="s">
        <v>322</v>
      </c>
      <c r="C385" s="62" t="s">
        <v>494</v>
      </c>
      <c r="D385" s="62" t="s">
        <v>318</v>
      </c>
      <c r="E385" s="62" t="s">
        <v>131</v>
      </c>
      <c r="F385" s="62" t="s">
        <v>6</v>
      </c>
      <c r="G385">
        <v>100</v>
      </c>
      <c r="H385">
        <v>100</v>
      </c>
      <c r="I385" s="62" t="s">
        <v>506</v>
      </c>
      <c r="J385" s="62" t="s">
        <v>1166</v>
      </c>
      <c r="K385" s="62" t="s">
        <v>1166</v>
      </c>
      <c r="L385" s="62" t="s">
        <v>1110</v>
      </c>
    </row>
    <row r="386" spans="1:12" x14ac:dyDescent="0.35">
      <c r="A386">
        <v>10481</v>
      </c>
      <c r="B386" s="62" t="s">
        <v>322</v>
      </c>
      <c r="C386" s="62" t="s">
        <v>494</v>
      </c>
      <c r="D386" s="62" t="s">
        <v>318</v>
      </c>
      <c r="E386" s="62" t="s">
        <v>131</v>
      </c>
      <c r="F386" s="62" t="s">
        <v>5</v>
      </c>
      <c r="G386">
        <v>1914</v>
      </c>
      <c r="H386">
        <v>1500</v>
      </c>
      <c r="I386" s="62" t="s">
        <v>506</v>
      </c>
      <c r="J386" s="62" t="s">
        <v>1167</v>
      </c>
      <c r="K386" s="62" t="s">
        <v>1167</v>
      </c>
      <c r="L386" s="62" t="s">
        <v>1110</v>
      </c>
    </row>
    <row r="387" spans="1:12" x14ac:dyDescent="0.35">
      <c r="A387">
        <v>16234</v>
      </c>
      <c r="B387" s="62" t="s">
        <v>200</v>
      </c>
      <c r="C387" s="62" t="s">
        <v>485</v>
      </c>
      <c r="D387" s="62" t="s">
        <v>196</v>
      </c>
      <c r="E387" s="62" t="s">
        <v>131</v>
      </c>
      <c r="F387" s="62" t="s">
        <v>5</v>
      </c>
      <c r="G387">
        <v>3816</v>
      </c>
      <c r="H387">
        <v>3816</v>
      </c>
      <c r="I387" s="62" t="s">
        <v>506</v>
      </c>
      <c r="J387" s="62" t="s">
        <v>1168</v>
      </c>
      <c r="K387" s="62" t="s">
        <v>1168</v>
      </c>
      <c r="L387" s="62" t="s">
        <v>1110</v>
      </c>
    </row>
    <row r="388" spans="1:12" x14ac:dyDescent="0.35">
      <c r="A388">
        <v>10481</v>
      </c>
      <c r="B388" s="62" t="s">
        <v>322</v>
      </c>
      <c r="C388" s="62" t="s">
        <v>494</v>
      </c>
      <c r="D388" s="62" t="s">
        <v>318</v>
      </c>
      <c r="E388" s="62" t="s">
        <v>131</v>
      </c>
      <c r="F388" s="62" t="s">
        <v>4</v>
      </c>
      <c r="G388">
        <v>201</v>
      </c>
      <c r="I388" s="62" t="s">
        <v>507</v>
      </c>
      <c r="J388" s="62" t="s">
        <v>1169</v>
      </c>
      <c r="K388" s="62" t="s">
        <v>1169</v>
      </c>
      <c r="L388" s="62" t="s">
        <v>1110</v>
      </c>
    </row>
    <row r="389" spans="1:12" x14ac:dyDescent="0.35">
      <c r="A389">
        <v>12174</v>
      </c>
      <c r="B389" s="62" t="s">
        <v>141</v>
      </c>
      <c r="C389" s="62" t="s">
        <v>485</v>
      </c>
      <c r="D389" s="62" t="s">
        <v>140</v>
      </c>
      <c r="E389" s="62" t="s">
        <v>131</v>
      </c>
      <c r="F389" s="62" t="s">
        <v>6</v>
      </c>
      <c r="G389">
        <v>101</v>
      </c>
      <c r="H389">
        <v>101</v>
      </c>
      <c r="I389" s="62" t="s">
        <v>506</v>
      </c>
      <c r="J389" s="62" t="s">
        <v>1170</v>
      </c>
      <c r="K389" s="62" t="s">
        <v>1170</v>
      </c>
      <c r="L389" s="62" t="s">
        <v>1110</v>
      </c>
    </row>
    <row r="390" spans="1:12" x14ac:dyDescent="0.35">
      <c r="A390">
        <v>12174</v>
      </c>
      <c r="B390" s="62" t="s">
        <v>141</v>
      </c>
      <c r="C390" s="62" t="s">
        <v>485</v>
      </c>
      <c r="D390" s="62" t="s">
        <v>140</v>
      </c>
      <c r="E390" s="62" t="s">
        <v>131</v>
      </c>
      <c r="F390" s="62" t="s">
        <v>5</v>
      </c>
      <c r="G390">
        <v>1985</v>
      </c>
      <c r="H390">
        <v>1985</v>
      </c>
      <c r="I390" s="62" t="s">
        <v>506</v>
      </c>
      <c r="J390" s="62" t="s">
        <v>1171</v>
      </c>
      <c r="K390" s="62" t="s">
        <v>1171</v>
      </c>
      <c r="L390" s="62" t="s">
        <v>1110</v>
      </c>
    </row>
    <row r="391" spans="1:12" x14ac:dyDescent="0.35">
      <c r="A391">
        <v>12162</v>
      </c>
      <c r="B391" s="62" t="s">
        <v>252</v>
      </c>
      <c r="C391" s="62" t="s">
        <v>488</v>
      </c>
      <c r="D391" s="62" t="s">
        <v>250</v>
      </c>
      <c r="E391" s="62" t="s">
        <v>131</v>
      </c>
      <c r="F391" s="62" t="s">
        <v>508</v>
      </c>
      <c r="G391">
        <v>14</v>
      </c>
      <c r="H391">
        <v>14</v>
      </c>
      <c r="I391" s="62" t="s">
        <v>506</v>
      </c>
      <c r="J391" s="62" t="s">
        <v>1172</v>
      </c>
      <c r="K391" s="62" t="s">
        <v>1172</v>
      </c>
      <c r="L391" s="62" t="s">
        <v>1110</v>
      </c>
    </row>
    <row r="392" spans="1:12" x14ac:dyDescent="0.35">
      <c r="A392">
        <v>12162</v>
      </c>
      <c r="B392" s="62" t="s">
        <v>252</v>
      </c>
      <c r="C392" s="62" t="s">
        <v>488</v>
      </c>
      <c r="D392" s="62" t="s">
        <v>250</v>
      </c>
      <c r="E392" s="62" t="s">
        <v>131</v>
      </c>
      <c r="F392" s="62" t="s">
        <v>6</v>
      </c>
      <c r="G392">
        <v>16</v>
      </c>
      <c r="H392">
        <v>16</v>
      </c>
      <c r="I392" s="62" t="s">
        <v>506</v>
      </c>
      <c r="J392" s="62" t="s">
        <v>1173</v>
      </c>
      <c r="K392" s="62" t="s">
        <v>1173</v>
      </c>
      <c r="L392" s="62" t="s">
        <v>1110</v>
      </c>
    </row>
    <row r="393" spans="1:12" x14ac:dyDescent="0.35">
      <c r="A393">
        <v>12162</v>
      </c>
      <c r="B393" s="62" t="s">
        <v>252</v>
      </c>
      <c r="C393" s="62" t="s">
        <v>488</v>
      </c>
      <c r="D393" s="62" t="s">
        <v>250</v>
      </c>
      <c r="E393" s="62" t="s">
        <v>131</v>
      </c>
      <c r="F393" s="62" t="s">
        <v>5</v>
      </c>
      <c r="G393">
        <v>1692</v>
      </c>
      <c r="H393">
        <v>1692</v>
      </c>
      <c r="I393" s="62" t="s">
        <v>506</v>
      </c>
      <c r="J393" s="62" t="s">
        <v>1174</v>
      </c>
      <c r="K393" s="62" t="s">
        <v>1174</v>
      </c>
      <c r="L393" s="62" t="s">
        <v>1110</v>
      </c>
    </row>
    <row r="394" spans="1:12" x14ac:dyDescent="0.35">
      <c r="A394">
        <v>16466</v>
      </c>
      <c r="B394" s="62" t="s">
        <v>231</v>
      </c>
      <c r="C394" s="62" t="s">
        <v>487</v>
      </c>
      <c r="D394" s="62" t="s">
        <v>226</v>
      </c>
      <c r="E394" s="62" t="s">
        <v>131</v>
      </c>
      <c r="F394" s="62" t="s">
        <v>4</v>
      </c>
      <c r="G394">
        <v>1518</v>
      </c>
      <c r="H394">
        <v>1518</v>
      </c>
      <c r="I394" s="62" t="s">
        <v>506</v>
      </c>
      <c r="J394" s="62" t="s">
        <v>1175</v>
      </c>
      <c r="K394" s="62" t="s">
        <v>1175</v>
      </c>
      <c r="L394" s="62" t="s">
        <v>1110</v>
      </c>
    </row>
    <row r="395" spans="1:12" x14ac:dyDescent="0.35">
      <c r="A395">
        <v>12162</v>
      </c>
      <c r="B395" s="62" t="s">
        <v>252</v>
      </c>
      <c r="C395" s="62" t="s">
        <v>488</v>
      </c>
      <c r="D395" s="62" t="s">
        <v>250</v>
      </c>
      <c r="E395" s="62" t="s">
        <v>131</v>
      </c>
      <c r="F395" s="62" t="s">
        <v>4</v>
      </c>
      <c r="G395">
        <v>114</v>
      </c>
      <c r="H395">
        <v>114</v>
      </c>
      <c r="I395" s="62" t="s">
        <v>506</v>
      </c>
      <c r="J395" s="62" t="s">
        <v>1176</v>
      </c>
      <c r="K395" s="62" t="s">
        <v>1176</v>
      </c>
      <c r="L395" s="62" t="s">
        <v>1110</v>
      </c>
    </row>
    <row r="396" spans="1:12" x14ac:dyDescent="0.35">
      <c r="A396">
        <v>12838</v>
      </c>
      <c r="B396" s="62" t="s">
        <v>236</v>
      </c>
      <c r="C396" s="62" t="s">
        <v>487</v>
      </c>
      <c r="D396" s="62" t="s">
        <v>226</v>
      </c>
      <c r="E396" s="62" t="s">
        <v>131</v>
      </c>
      <c r="F396" s="62" t="s">
        <v>508</v>
      </c>
      <c r="G396">
        <v>7</v>
      </c>
      <c r="H396">
        <v>7</v>
      </c>
      <c r="I396" s="62" t="s">
        <v>506</v>
      </c>
      <c r="J396" s="62" t="s">
        <v>1177</v>
      </c>
      <c r="K396" s="62" t="s">
        <v>1177</v>
      </c>
      <c r="L396" s="62" t="s">
        <v>1110</v>
      </c>
    </row>
    <row r="397" spans="1:12" x14ac:dyDescent="0.35">
      <c r="A397">
        <v>12838</v>
      </c>
      <c r="B397" s="62" t="s">
        <v>236</v>
      </c>
      <c r="C397" s="62" t="s">
        <v>487</v>
      </c>
      <c r="D397" s="62" t="s">
        <v>226</v>
      </c>
      <c r="E397" s="62" t="s">
        <v>131</v>
      </c>
      <c r="F397" s="62" t="s">
        <v>6</v>
      </c>
      <c r="G397">
        <v>5</v>
      </c>
      <c r="H397">
        <v>5</v>
      </c>
      <c r="I397" s="62" t="s">
        <v>506</v>
      </c>
      <c r="J397" s="62" t="s">
        <v>1178</v>
      </c>
      <c r="K397" s="62" t="s">
        <v>1178</v>
      </c>
      <c r="L397" s="62" t="s">
        <v>1110</v>
      </c>
    </row>
    <row r="398" spans="1:12" x14ac:dyDescent="0.35">
      <c r="A398">
        <v>12838</v>
      </c>
      <c r="B398" s="62" t="s">
        <v>236</v>
      </c>
      <c r="C398" s="62" t="s">
        <v>487</v>
      </c>
      <c r="D398" s="62" t="s">
        <v>226</v>
      </c>
      <c r="E398" s="62" t="s">
        <v>131</v>
      </c>
      <c r="F398" s="62" t="s">
        <v>5</v>
      </c>
      <c r="G398">
        <v>15</v>
      </c>
      <c r="H398">
        <v>15</v>
      </c>
      <c r="I398" s="62" t="s">
        <v>506</v>
      </c>
      <c r="J398" s="62" t="s">
        <v>1179</v>
      </c>
      <c r="K398" s="62" t="s">
        <v>1179</v>
      </c>
      <c r="L398" s="62" t="s">
        <v>1110</v>
      </c>
    </row>
    <row r="399" spans="1:12" x14ac:dyDescent="0.35">
      <c r="A399">
        <v>18781</v>
      </c>
      <c r="B399" s="62" t="s">
        <v>346</v>
      </c>
      <c r="C399" s="62" t="s">
        <v>494</v>
      </c>
      <c r="D399" s="62" t="s">
        <v>344</v>
      </c>
      <c r="E399" s="62" t="s">
        <v>131</v>
      </c>
      <c r="F399" s="62" t="s">
        <v>508</v>
      </c>
      <c r="G399">
        <v>51</v>
      </c>
      <c r="H399">
        <v>51</v>
      </c>
      <c r="I399" s="62" t="s">
        <v>506</v>
      </c>
      <c r="J399" s="62" t="s">
        <v>1180</v>
      </c>
      <c r="K399" s="62" t="s">
        <v>1180</v>
      </c>
      <c r="L399" s="62" t="s">
        <v>1110</v>
      </c>
    </row>
    <row r="400" spans="1:12" x14ac:dyDescent="0.35">
      <c r="A400">
        <v>18781</v>
      </c>
      <c r="B400" s="62" t="s">
        <v>346</v>
      </c>
      <c r="C400" s="62" t="s">
        <v>494</v>
      </c>
      <c r="D400" s="62" t="s">
        <v>344</v>
      </c>
      <c r="E400" s="62" t="s">
        <v>131</v>
      </c>
      <c r="F400" s="62" t="s">
        <v>6</v>
      </c>
      <c r="G400">
        <v>16</v>
      </c>
      <c r="H400">
        <v>16</v>
      </c>
      <c r="I400" s="62" t="s">
        <v>506</v>
      </c>
      <c r="J400" s="62" t="s">
        <v>1181</v>
      </c>
      <c r="K400" s="62" t="s">
        <v>1181</v>
      </c>
      <c r="L400" s="62" t="s">
        <v>1110</v>
      </c>
    </row>
    <row r="401" spans="1:12" x14ac:dyDescent="0.35">
      <c r="A401">
        <v>18781</v>
      </c>
      <c r="B401" s="62" t="s">
        <v>346</v>
      </c>
      <c r="C401" s="62" t="s">
        <v>494</v>
      </c>
      <c r="D401" s="62" t="s">
        <v>344</v>
      </c>
      <c r="E401" s="62" t="s">
        <v>131</v>
      </c>
      <c r="F401" s="62" t="s">
        <v>5</v>
      </c>
      <c r="G401">
        <v>1826</v>
      </c>
      <c r="H401">
        <v>1826</v>
      </c>
      <c r="I401" s="62" t="s">
        <v>506</v>
      </c>
      <c r="J401" s="62" t="s">
        <v>1182</v>
      </c>
      <c r="K401" s="62" t="s">
        <v>1182</v>
      </c>
      <c r="L401" s="62" t="s">
        <v>1110</v>
      </c>
    </row>
    <row r="402" spans="1:12" x14ac:dyDescent="0.35">
      <c r="A402">
        <v>12838</v>
      </c>
      <c r="B402" s="62" t="s">
        <v>236</v>
      </c>
      <c r="C402" s="62" t="s">
        <v>487</v>
      </c>
      <c r="D402" s="62" t="s">
        <v>226</v>
      </c>
      <c r="E402" s="62" t="s">
        <v>131</v>
      </c>
      <c r="F402" s="62" t="s">
        <v>4</v>
      </c>
      <c r="G402">
        <v>73</v>
      </c>
      <c r="H402">
        <v>73</v>
      </c>
      <c r="I402" s="62" t="s">
        <v>506</v>
      </c>
      <c r="J402" s="62" t="s">
        <v>1183</v>
      </c>
      <c r="K402" s="62" t="s">
        <v>1183</v>
      </c>
      <c r="L402" s="62" t="s">
        <v>1110</v>
      </c>
    </row>
    <row r="403" spans="1:12" x14ac:dyDescent="0.35">
      <c r="A403">
        <v>10312</v>
      </c>
      <c r="B403" s="62" t="s">
        <v>321</v>
      </c>
      <c r="C403" s="62" t="s">
        <v>494</v>
      </c>
      <c r="D403" s="62" t="s">
        <v>318</v>
      </c>
      <c r="E403" s="62" t="s">
        <v>131</v>
      </c>
      <c r="F403" s="62" t="s">
        <v>508</v>
      </c>
      <c r="G403">
        <v>13</v>
      </c>
      <c r="H403">
        <v>13</v>
      </c>
      <c r="I403" s="62" t="s">
        <v>506</v>
      </c>
      <c r="J403" s="62" t="s">
        <v>1184</v>
      </c>
      <c r="K403" s="62" t="s">
        <v>1184</v>
      </c>
      <c r="L403" s="62" t="s">
        <v>1110</v>
      </c>
    </row>
    <row r="404" spans="1:12" x14ac:dyDescent="0.35">
      <c r="A404">
        <v>10312</v>
      </c>
      <c r="B404" s="62" t="s">
        <v>321</v>
      </c>
      <c r="C404" s="62" t="s">
        <v>494</v>
      </c>
      <c r="D404" s="62" t="s">
        <v>318</v>
      </c>
      <c r="E404" s="62" t="s">
        <v>131</v>
      </c>
      <c r="F404" s="62" t="s">
        <v>6</v>
      </c>
      <c r="G404">
        <v>21</v>
      </c>
      <c r="H404">
        <v>21</v>
      </c>
      <c r="I404" s="62" t="s">
        <v>506</v>
      </c>
      <c r="J404" s="62" t="s">
        <v>1185</v>
      </c>
      <c r="K404" s="62" t="s">
        <v>1185</v>
      </c>
      <c r="L404" s="62" t="s">
        <v>1110</v>
      </c>
    </row>
    <row r="405" spans="1:12" x14ac:dyDescent="0.35">
      <c r="A405">
        <v>10312</v>
      </c>
      <c r="B405" s="62" t="s">
        <v>321</v>
      </c>
      <c r="C405" s="62" t="s">
        <v>494</v>
      </c>
      <c r="D405" s="62" t="s">
        <v>318</v>
      </c>
      <c r="E405" s="62" t="s">
        <v>131</v>
      </c>
      <c r="F405" s="62" t="s">
        <v>5</v>
      </c>
      <c r="G405">
        <v>2444</v>
      </c>
      <c r="H405">
        <v>1500</v>
      </c>
      <c r="I405" s="62" t="s">
        <v>506</v>
      </c>
      <c r="J405" s="62" t="s">
        <v>1186</v>
      </c>
      <c r="K405" s="62" t="s">
        <v>1186</v>
      </c>
      <c r="L405" s="62" t="s">
        <v>1110</v>
      </c>
    </row>
    <row r="406" spans="1:12" x14ac:dyDescent="0.35">
      <c r="A406">
        <v>18781</v>
      </c>
      <c r="B406" s="62" t="s">
        <v>346</v>
      </c>
      <c r="C406" s="62" t="s">
        <v>494</v>
      </c>
      <c r="D406" s="62" t="s">
        <v>344</v>
      </c>
      <c r="E406" s="62" t="s">
        <v>131</v>
      </c>
      <c r="F406" s="62" t="s">
        <v>4</v>
      </c>
      <c r="G406">
        <v>193</v>
      </c>
      <c r="H406">
        <v>193</v>
      </c>
      <c r="I406" s="62" t="s">
        <v>506</v>
      </c>
      <c r="J406" s="62" t="s">
        <v>1187</v>
      </c>
      <c r="K406" s="62" t="s">
        <v>1187</v>
      </c>
      <c r="L406" s="62" t="s">
        <v>1110</v>
      </c>
    </row>
    <row r="407" spans="1:12" x14ac:dyDescent="0.35">
      <c r="A407">
        <v>10312</v>
      </c>
      <c r="B407" s="62" t="s">
        <v>321</v>
      </c>
      <c r="C407" s="62" t="s">
        <v>494</v>
      </c>
      <c r="D407" s="62" t="s">
        <v>318</v>
      </c>
      <c r="E407" s="62" t="s">
        <v>131</v>
      </c>
      <c r="F407" s="62" t="s">
        <v>4</v>
      </c>
      <c r="G407">
        <v>268</v>
      </c>
      <c r="H407">
        <v>268</v>
      </c>
      <c r="I407" s="62" t="s">
        <v>506</v>
      </c>
      <c r="J407" s="62" t="s">
        <v>1188</v>
      </c>
      <c r="K407" s="62" t="s">
        <v>1188</v>
      </c>
      <c r="L407" s="62" t="s">
        <v>1110</v>
      </c>
    </row>
    <row r="408" spans="1:12" x14ac:dyDescent="0.35">
      <c r="A408">
        <v>10732</v>
      </c>
      <c r="B408" s="62" t="s">
        <v>354</v>
      </c>
      <c r="C408" s="62" t="s">
        <v>494</v>
      </c>
      <c r="D408" s="62" t="s">
        <v>351</v>
      </c>
      <c r="E408" s="62" t="s">
        <v>131</v>
      </c>
      <c r="F408" s="62" t="s">
        <v>508</v>
      </c>
      <c r="G408">
        <v>221</v>
      </c>
      <c r="H408">
        <v>221</v>
      </c>
      <c r="I408" s="62" t="s">
        <v>506</v>
      </c>
      <c r="J408" s="62" t="s">
        <v>1189</v>
      </c>
      <c r="K408" s="62" t="s">
        <v>1189</v>
      </c>
      <c r="L408" s="62" t="s">
        <v>1110</v>
      </c>
    </row>
    <row r="409" spans="1:12" x14ac:dyDescent="0.35">
      <c r="A409">
        <v>10732</v>
      </c>
      <c r="B409" s="62" t="s">
        <v>354</v>
      </c>
      <c r="C409" s="62" t="s">
        <v>494</v>
      </c>
      <c r="D409" s="62" t="s">
        <v>351</v>
      </c>
      <c r="E409" s="62" t="s">
        <v>131</v>
      </c>
      <c r="F409" s="62" t="s">
        <v>6</v>
      </c>
      <c r="G409">
        <v>42</v>
      </c>
      <c r="H409">
        <v>42</v>
      </c>
      <c r="I409" s="62" t="s">
        <v>506</v>
      </c>
      <c r="J409" s="62" t="s">
        <v>1190</v>
      </c>
      <c r="K409" s="62" t="s">
        <v>1190</v>
      </c>
      <c r="L409" s="62" t="s">
        <v>1110</v>
      </c>
    </row>
    <row r="410" spans="1:12" x14ac:dyDescent="0.35">
      <c r="A410">
        <v>10732</v>
      </c>
      <c r="B410" s="62" t="s">
        <v>354</v>
      </c>
      <c r="C410" s="62" t="s">
        <v>494</v>
      </c>
      <c r="D410" s="62" t="s">
        <v>351</v>
      </c>
      <c r="E410" s="62" t="s">
        <v>131</v>
      </c>
      <c r="F410" s="62" t="s">
        <v>5</v>
      </c>
      <c r="G410">
        <v>3848</v>
      </c>
      <c r="H410">
        <v>3848</v>
      </c>
      <c r="I410" s="62" t="s">
        <v>506</v>
      </c>
      <c r="J410" s="62" t="s">
        <v>1191</v>
      </c>
      <c r="K410" s="62" t="s">
        <v>1191</v>
      </c>
      <c r="L410" s="62" t="s">
        <v>1110</v>
      </c>
    </row>
    <row r="411" spans="1:12" x14ac:dyDescent="0.35">
      <c r="A411">
        <v>10912</v>
      </c>
      <c r="B411" s="62" t="s">
        <v>334</v>
      </c>
      <c r="C411" s="62" t="s">
        <v>494</v>
      </c>
      <c r="D411" s="62" t="s">
        <v>330</v>
      </c>
      <c r="E411" s="62" t="s">
        <v>131</v>
      </c>
      <c r="F411" s="62" t="s">
        <v>5</v>
      </c>
      <c r="G411">
        <v>2805</v>
      </c>
      <c r="H411">
        <v>2805</v>
      </c>
      <c r="I411" s="62" t="s">
        <v>506</v>
      </c>
      <c r="J411" s="62" t="s">
        <v>1192</v>
      </c>
      <c r="K411" s="62" t="s">
        <v>1192</v>
      </c>
      <c r="L411" s="62" t="s">
        <v>1110</v>
      </c>
    </row>
    <row r="412" spans="1:12" x14ac:dyDescent="0.35">
      <c r="A412">
        <v>12185</v>
      </c>
      <c r="B412" s="62" t="s">
        <v>221</v>
      </c>
      <c r="C412" s="62" t="s">
        <v>487</v>
      </c>
      <c r="D412" s="62" t="s">
        <v>218</v>
      </c>
      <c r="E412" s="62" t="s">
        <v>131</v>
      </c>
      <c r="F412" s="62" t="s">
        <v>508</v>
      </c>
      <c r="G412">
        <v>3</v>
      </c>
      <c r="H412">
        <v>3</v>
      </c>
      <c r="I412" s="62" t="s">
        <v>506</v>
      </c>
      <c r="J412" s="62" t="s">
        <v>1193</v>
      </c>
      <c r="K412" s="62" t="s">
        <v>1193</v>
      </c>
      <c r="L412" s="62" t="s">
        <v>1110</v>
      </c>
    </row>
    <row r="413" spans="1:12" x14ac:dyDescent="0.35">
      <c r="A413">
        <v>12185</v>
      </c>
      <c r="B413" s="62" t="s">
        <v>221</v>
      </c>
      <c r="C413" s="62" t="s">
        <v>487</v>
      </c>
      <c r="D413" s="62" t="s">
        <v>218</v>
      </c>
      <c r="E413" s="62" t="s">
        <v>131</v>
      </c>
      <c r="F413" s="62" t="s">
        <v>6</v>
      </c>
      <c r="G413">
        <v>16</v>
      </c>
      <c r="H413">
        <v>16</v>
      </c>
      <c r="I413" s="62" t="s">
        <v>506</v>
      </c>
      <c r="J413" s="62" t="s">
        <v>1194</v>
      </c>
      <c r="K413" s="62" t="s">
        <v>1194</v>
      </c>
      <c r="L413" s="62" t="s">
        <v>1110</v>
      </c>
    </row>
    <row r="414" spans="1:12" x14ac:dyDescent="0.35">
      <c r="A414">
        <v>12185</v>
      </c>
      <c r="B414" s="62" t="s">
        <v>221</v>
      </c>
      <c r="C414" s="62" t="s">
        <v>487</v>
      </c>
      <c r="D414" s="62" t="s">
        <v>218</v>
      </c>
      <c r="E414" s="62" t="s">
        <v>131</v>
      </c>
      <c r="F414" s="62" t="s">
        <v>5</v>
      </c>
      <c r="G414">
        <v>11</v>
      </c>
      <c r="H414">
        <v>11</v>
      </c>
      <c r="I414" s="62" t="s">
        <v>506</v>
      </c>
      <c r="J414" s="62" t="s">
        <v>1195</v>
      </c>
      <c r="K414" s="62" t="s">
        <v>1195</v>
      </c>
      <c r="L414" s="62" t="s">
        <v>1110</v>
      </c>
    </row>
    <row r="415" spans="1:12" x14ac:dyDescent="0.35">
      <c r="A415">
        <v>12185</v>
      </c>
      <c r="B415" s="62" t="s">
        <v>221</v>
      </c>
      <c r="C415" s="62" t="s">
        <v>487</v>
      </c>
      <c r="D415" s="62" t="s">
        <v>218</v>
      </c>
      <c r="E415" s="62" t="s">
        <v>131</v>
      </c>
      <c r="F415" s="62" t="s">
        <v>4</v>
      </c>
      <c r="G415">
        <v>68</v>
      </c>
      <c r="H415">
        <v>68</v>
      </c>
      <c r="I415" s="62" t="s">
        <v>506</v>
      </c>
      <c r="J415" s="62" t="s">
        <v>1196</v>
      </c>
      <c r="K415" s="62" t="s">
        <v>1196</v>
      </c>
      <c r="L415" s="62" t="s">
        <v>1110</v>
      </c>
    </row>
    <row r="416" spans="1:12" x14ac:dyDescent="0.35">
      <c r="A416">
        <v>10912</v>
      </c>
      <c r="B416" s="62" t="s">
        <v>334</v>
      </c>
      <c r="C416" s="62" t="s">
        <v>494</v>
      </c>
      <c r="D416" s="62" t="s">
        <v>330</v>
      </c>
      <c r="E416" s="62" t="s">
        <v>131</v>
      </c>
      <c r="F416" s="62" t="s">
        <v>4</v>
      </c>
      <c r="G416">
        <v>353</v>
      </c>
      <c r="H416">
        <v>353</v>
      </c>
      <c r="I416" s="62" t="s">
        <v>506</v>
      </c>
      <c r="J416" s="62" t="s">
        <v>1197</v>
      </c>
      <c r="K416" s="62" t="s">
        <v>1197</v>
      </c>
      <c r="L416" s="62" t="s">
        <v>1110</v>
      </c>
    </row>
    <row r="417" spans="1:12" x14ac:dyDescent="0.35">
      <c r="A417">
        <v>12034</v>
      </c>
      <c r="B417" s="62" t="s">
        <v>277</v>
      </c>
      <c r="C417" s="62" t="s">
        <v>488</v>
      </c>
      <c r="D417" s="62" t="s">
        <v>276</v>
      </c>
      <c r="E417" s="62" t="s">
        <v>131</v>
      </c>
      <c r="F417" s="62" t="s">
        <v>508</v>
      </c>
      <c r="G417">
        <v>16</v>
      </c>
      <c r="I417" s="62" t="s">
        <v>507</v>
      </c>
      <c r="J417" s="62" t="s">
        <v>1198</v>
      </c>
      <c r="K417" s="62" t="s">
        <v>1198</v>
      </c>
      <c r="L417" s="62" t="s">
        <v>1110</v>
      </c>
    </row>
    <row r="418" spans="1:12" x14ac:dyDescent="0.35">
      <c r="A418">
        <v>12034</v>
      </c>
      <c r="B418" s="62" t="s">
        <v>277</v>
      </c>
      <c r="C418" s="62" t="s">
        <v>488</v>
      </c>
      <c r="D418" s="62" t="s">
        <v>276</v>
      </c>
      <c r="E418" s="62" t="s">
        <v>131</v>
      </c>
      <c r="F418" s="62" t="s">
        <v>6</v>
      </c>
      <c r="G418">
        <v>4</v>
      </c>
      <c r="I418" s="62" t="s">
        <v>507</v>
      </c>
      <c r="J418" s="62" t="s">
        <v>1199</v>
      </c>
      <c r="K418" s="62" t="s">
        <v>1199</v>
      </c>
      <c r="L418" s="62" t="s">
        <v>1110</v>
      </c>
    </row>
    <row r="419" spans="1:12" x14ac:dyDescent="0.35">
      <c r="A419">
        <v>12034</v>
      </c>
      <c r="B419" s="62" t="s">
        <v>277</v>
      </c>
      <c r="C419" s="62" t="s">
        <v>488</v>
      </c>
      <c r="D419" s="62" t="s">
        <v>276</v>
      </c>
      <c r="E419" s="62" t="s">
        <v>131</v>
      </c>
      <c r="F419" s="62" t="s">
        <v>5</v>
      </c>
      <c r="G419">
        <v>879</v>
      </c>
      <c r="I419" s="62" t="s">
        <v>507</v>
      </c>
      <c r="J419" s="62" t="s">
        <v>1200</v>
      </c>
      <c r="K419" s="62" t="s">
        <v>1200</v>
      </c>
      <c r="L419" s="62" t="s">
        <v>1110</v>
      </c>
    </row>
    <row r="420" spans="1:12" x14ac:dyDescent="0.35">
      <c r="A420">
        <v>10044</v>
      </c>
      <c r="B420" s="62" t="s">
        <v>319</v>
      </c>
      <c r="C420" s="62" t="s">
        <v>494</v>
      </c>
      <c r="D420" s="62" t="s">
        <v>318</v>
      </c>
      <c r="E420" s="62" t="s">
        <v>131</v>
      </c>
      <c r="F420" s="62" t="s">
        <v>508</v>
      </c>
      <c r="G420">
        <v>159</v>
      </c>
      <c r="H420">
        <v>159</v>
      </c>
      <c r="I420" s="62" t="s">
        <v>506</v>
      </c>
      <c r="J420" s="62" t="s">
        <v>1201</v>
      </c>
      <c r="K420" s="62" t="s">
        <v>1201</v>
      </c>
      <c r="L420" s="62" t="s">
        <v>1110</v>
      </c>
    </row>
    <row r="421" spans="1:12" x14ac:dyDescent="0.35">
      <c r="A421">
        <v>10044</v>
      </c>
      <c r="B421" s="62" t="s">
        <v>319</v>
      </c>
      <c r="C421" s="62" t="s">
        <v>494</v>
      </c>
      <c r="D421" s="62" t="s">
        <v>318</v>
      </c>
      <c r="E421" s="62" t="s">
        <v>131</v>
      </c>
      <c r="F421" s="62" t="s">
        <v>6</v>
      </c>
      <c r="G421">
        <v>674</v>
      </c>
      <c r="H421">
        <v>674</v>
      </c>
      <c r="I421" s="62" t="s">
        <v>506</v>
      </c>
      <c r="J421" s="62" t="s">
        <v>1202</v>
      </c>
      <c r="K421" s="62" t="s">
        <v>1202</v>
      </c>
      <c r="L421" s="62" t="s">
        <v>1110</v>
      </c>
    </row>
    <row r="422" spans="1:12" x14ac:dyDescent="0.35">
      <c r="A422">
        <v>10044</v>
      </c>
      <c r="B422" s="62" t="s">
        <v>319</v>
      </c>
      <c r="C422" s="62" t="s">
        <v>494</v>
      </c>
      <c r="D422" s="62" t="s">
        <v>318</v>
      </c>
      <c r="E422" s="62" t="s">
        <v>131</v>
      </c>
      <c r="F422" s="62" t="s">
        <v>5</v>
      </c>
      <c r="G422">
        <v>4662</v>
      </c>
      <c r="H422">
        <v>4662</v>
      </c>
      <c r="I422" s="62" t="s">
        <v>506</v>
      </c>
      <c r="J422" s="62" t="s">
        <v>1203</v>
      </c>
      <c r="K422" s="62" t="s">
        <v>1203</v>
      </c>
      <c r="L422" s="62" t="s">
        <v>1110</v>
      </c>
    </row>
    <row r="423" spans="1:12" x14ac:dyDescent="0.35">
      <c r="A423">
        <v>12034</v>
      </c>
      <c r="B423" s="62" t="s">
        <v>277</v>
      </c>
      <c r="C423" s="62" t="s">
        <v>488</v>
      </c>
      <c r="D423" s="62" t="s">
        <v>276</v>
      </c>
      <c r="E423" s="62" t="s">
        <v>131</v>
      </c>
      <c r="F423" s="62" t="s">
        <v>4</v>
      </c>
      <c r="G423">
        <v>71</v>
      </c>
      <c r="H423">
        <v>71</v>
      </c>
      <c r="I423" s="62" t="s">
        <v>506</v>
      </c>
      <c r="J423" s="62" t="s">
        <v>1204</v>
      </c>
      <c r="K423" s="62" t="s">
        <v>1204</v>
      </c>
      <c r="L423" s="62" t="s">
        <v>1110</v>
      </c>
    </row>
    <row r="424" spans="1:12" x14ac:dyDescent="0.35">
      <c r="A424">
        <v>10044</v>
      </c>
      <c r="B424" s="62" t="s">
        <v>319</v>
      </c>
      <c r="C424" s="62" t="s">
        <v>494</v>
      </c>
      <c r="D424" s="62" t="s">
        <v>318</v>
      </c>
      <c r="E424" s="62" t="s">
        <v>131</v>
      </c>
      <c r="F424" s="62" t="s">
        <v>4</v>
      </c>
      <c r="G424">
        <v>1302</v>
      </c>
      <c r="H424">
        <v>1302</v>
      </c>
      <c r="I424" s="62" t="s">
        <v>506</v>
      </c>
      <c r="J424" s="62" t="s">
        <v>1205</v>
      </c>
      <c r="K424" s="62" t="s">
        <v>1205</v>
      </c>
      <c r="L424" s="62" t="s">
        <v>1110</v>
      </c>
    </row>
    <row r="425" spans="1:12" x14ac:dyDescent="0.35">
      <c r="A425">
        <v>10681</v>
      </c>
      <c r="B425" s="62" t="s">
        <v>332</v>
      </c>
      <c r="C425" s="62" t="s">
        <v>494</v>
      </c>
      <c r="D425" s="62" t="s">
        <v>330</v>
      </c>
      <c r="E425" s="62" t="s">
        <v>131</v>
      </c>
      <c r="F425" s="62" t="s">
        <v>508</v>
      </c>
      <c r="G425">
        <v>128</v>
      </c>
      <c r="I425" s="62" t="s">
        <v>507</v>
      </c>
      <c r="J425" s="62" t="s">
        <v>1206</v>
      </c>
      <c r="K425" s="62" t="s">
        <v>1206</v>
      </c>
      <c r="L425" s="62" t="s">
        <v>1110</v>
      </c>
    </row>
    <row r="426" spans="1:12" x14ac:dyDescent="0.35">
      <c r="A426">
        <v>10681</v>
      </c>
      <c r="B426" s="62" t="s">
        <v>332</v>
      </c>
      <c r="C426" s="62" t="s">
        <v>494</v>
      </c>
      <c r="D426" s="62" t="s">
        <v>330</v>
      </c>
      <c r="E426" s="62" t="s">
        <v>131</v>
      </c>
      <c r="F426" s="62" t="s">
        <v>6</v>
      </c>
      <c r="G426">
        <v>69</v>
      </c>
      <c r="H426">
        <v>69</v>
      </c>
      <c r="I426" s="62" t="s">
        <v>506</v>
      </c>
      <c r="J426" s="62" t="s">
        <v>1207</v>
      </c>
      <c r="K426" s="62" t="s">
        <v>1207</v>
      </c>
      <c r="L426" s="62" t="s">
        <v>1110</v>
      </c>
    </row>
    <row r="427" spans="1:12" x14ac:dyDescent="0.35">
      <c r="A427">
        <v>10681</v>
      </c>
      <c r="B427" s="62" t="s">
        <v>332</v>
      </c>
      <c r="C427" s="62" t="s">
        <v>494</v>
      </c>
      <c r="D427" s="62" t="s">
        <v>330</v>
      </c>
      <c r="E427" s="62" t="s">
        <v>131</v>
      </c>
      <c r="F427" s="62" t="s">
        <v>5</v>
      </c>
      <c r="G427">
        <v>6390</v>
      </c>
      <c r="H427">
        <v>6390</v>
      </c>
      <c r="I427" s="62" t="s">
        <v>506</v>
      </c>
      <c r="J427" s="62" t="s">
        <v>1208</v>
      </c>
      <c r="K427" s="62" t="s">
        <v>1208</v>
      </c>
      <c r="L427" s="62" t="s">
        <v>1110</v>
      </c>
    </row>
    <row r="428" spans="1:12" x14ac:dyDescent="0.35">
      <c r="A428">
        <v>10681</v>
      </c>
      <c r="B428" s="62" t="s">
        <v>332</v>
      </c>
      <c r="C428" s="62" t="s">
        <v>494</v>
      </c>
      <c r="D428" s="62" t="s">
        <v>330</v>
      </c>
      <c r="E428" s="62" t="s">
        <v>131</v>
      </c>
      <c r="F428" s="62" t="s">
        <v>4</v>
      </c>
      <c r="G428">
        <v>443</v>
      </c>
      <c r="H428">
        <v>443</v>
      </c>
      <c r="I428" s="62" t="s">
        <v>506</v>
      </c>
      <c r="J428" s="62" t="s">
        <v>1209</v>
      </c>
      <c r="K428" s="62" t="s">
        <v>1209</v>
      </c>
      <c r="L428" s="62" t="s">
        <v>1110</v>
      </c>
    </row>
    <row r="429" spans="1:12" x14ac:dyDescent="0.35">
      <c r="A429">
        <v>10916</v>
      </c>
      <c r="B429" s="62" t="s">
        <v>352</v>
      </c>
      <c r="C429" s="62" t="s">
        <v>494</v>
      </c>
      <c r="D429" s="62" t="s">
        <v>351</v>
      </c>
      <c r="E429" s="62" t="s">
        <v>131</v>
      </c>
      <c r="F429" s="62" t="s">
        <v>508</v>
      </c>
      <c r="G429">
        <v>1139</v>
      </c>
      <c r="H429">
        <v>1139</v>
      </c>
      <c r="I429" s="62" t="s">
        <v>506</v>
      </c>
      <c r="J429" s="62" t="s">
        <v>1210</v>
      </c>
      <c r="K429" s="62" t="s">
        <v>1210</v>
      </c>
      <c r="L429" s="62" t="s">
        <v>1110</v>
      </c>
    </row>
    <row r="430" spans="1:12" x14ac:dyDescent="0.35">
      <c r="A430">
        <v>10916</v>
      </c>
      <c r="B430" s="62" t="s">
        <v>352</v>
      </c>
      <c r="C430" s="62" t="s">
        <v>494</v>
      </c>
      <c r="D430" s="62" t="s">
        <v>351</v>
      </c>
      <c r="E430" s="62" t="s">
        <v>131</v>
      </c>
      <c r="F430" s="62" t="s">
        <v>6</v>
      </c>
      <c r="G430">
        <v>286</v>
      </c>
      <c r="I430" s="62" t="s">
        <v>506</v>
      </c>
      <c r="J430" s="62" t="s">
        <v>1211</v>
      </c>
      <c r="K430" s="62" t="s">
        <v>1211</v>
      </c>
      <c r="L430" s="62" t="s">
        <v>1110</v>
      </c>
    </row>
    <row r="431" spans="1:12" x14ac:dyDescent="0.35">
      <c r="A431">
        <v>10916</v>
      </c>
      <c r="B431" s="62" t="s">
        <v>352</v>
      </c>
      <c r="C431" s="62" t="s">
        <v>494</v>
      </c>
      <c r="D431" s="62" t="s">
        <v>351</v>
      </c>
      <c r="E431" s="62" t="s">
        <v>131</v>
      </c>
      <c r="F431" s="62" t="s">
        <v>5</v>
      </c>
      <c r="G431">
        <v>15599</v>
      </c>
      <c r="H431">
        <v>15599</v>
      </c>
      <c r="I431" s="62" t="s">
        <v>506</v>
      </c>
      <c r="J431" s="62" t="s">
        <v>1212</v>
      </c>
      <c r="K431" s="62" t="s">
        <v>1212</v>
      </c>
      <c r="L431" s="62" t="s">
        <v>1110</v>
      </c>
    </row>
    <row r="432" spans="1:12" x14ac:dyDescent="0.35">
      <c r="A432">
        <v>12560</v>
      </c>
      <c r="B432" s="62" t="s">
        <v>274</v>
      </c>
      <c r="C432" s="62" t="s">
        <v>488</v>
      </c>
      <c r="D432" s="62" t="s">
        <v>271</v>
      </c>
      <c r="E432" s="62" t="s">
        <v>131</v>
      </c>
      <c r="F432" s="62" t="s">
        <v>5</v>
      </c>
      <c r="G432">
        <v>1868</v>
      </c>
      <c r="H432">
        <v>1868</v>
      </c>
      <c r="I432" s="62" t="s">
        <v>506</v>
      </c>
      <c r="J432" s="62" t="s">
        <v>1213</v>
      </c>
      <c r="K432" s="62" t="s">
        <v>1213</v>
      </c>
      <c r="L432" s="62" t="s">
        <v>1110</v>
      </c>
    </row>
    <row r="433" spans="1:12" x14ac:dyDescent="0.35">
      <c r="A433">
        <v>12560</v>
      </c>
      <c r="B433" s="62" t="s">
        <v>274</v>
      </c>
      <c r="C433" s="62" t="s">
        <v>488</v>
      </c>
      <c r="D433" s="62" t="s">
        <v>271</v>
      </c>
      <c r="E433" s="62" t="s">
        <v>131</v>
      </c>
      <c r="F433" s="62" t="s">
        <v>6</v>
      </c>
      <c r="G433">
        <v>18</v>
      </c>
      <c r="I433" s="62" t="s">
        <v>507</v>
      </c>
      <c r="J433" s="62" t="s">
        <v>1214</v>
      </c>
      <c r="K433" s="62" t="s">
        <v>1214</v>
      </c>
      <c r="L433" s="62" t="s">
        <v>1110</v>
      </c>
    </row>
    <row r="434" spans="1:12" x14ac:dyDescent="0.35">
      <c r="A434">
        <v>12560</v>
      </c>
      <c r="B434" s="62" t="s">
        <v>274</v>
      </c>
      <c r="C434" s="62" t="s">
        <v>488</v>
      </c>
      <c r="D434" s="62" t="s">
        <v>271</v>
      </c>
      <c r="E434" s="62" t="s">
        <v>131</v>
      </c>
      <c r="F434" s="62" t="s">
        <v>508</v>
      </c>
      <c r="G434">
        <v>52</v>
      </c>
      <c r="I434" s="62" t="s">
        <v>506</v>
      </c>
      <c r="J434" s="62" t="s">
        <v>1215</v>
      </c>
      <c r="K434" s="62" t="s">
        <v>1215</v>
      </c>
      <c r="L434" s="62" t="s">
        <v>1110</v>
      </c>
    </row>
    <row r="435" spans="1:12" x14ac:dyDescent="0.35">
      <c r="A435">
        <v>12560</v>
      </c>
      <c r="B435" s="62" t="s">
        <v>274</v>
      </c>
      <c r="C435" s="62" t="s">
        <v>488</v>
      </c>
      <c r="D435" s="62" t="s">
        <v>271</v>
      </c>
      <c r="E435" s="62" t="s">
        <v>131</v>
      </c>
      <c r="F435" s="62" t="s">
        <v>4</v>
      </c>
      <c r="G435">
        <v>162</v>
      </c>
      <c r="H435">
        <v>162</v>
      </c>
      <c r="I435" s="62" t="s">
        <v>506</v>
      </c>
      <c r="J435" s="62" t="s">
        <v>1216</v>
      </c>
      <c r="K435" s="62" t="s">
        <v>1216</v>
      </c>
      <c r="L435" s="62" t="s">
        <v>1110</v>
      </c>
    </row>
    <row r="436" spans="1:12" x14ac:dyDescent="0.35">
      <c r="A436">
        <v>23887</v>
      </c>
      <c r="B436" s="62" t="s">
        <v>278</v>
      </c>
      <c r="C436" s="62" t="s">
        <v>488</v>
      </c>
      <c r="D436" s="62" t="s">
        <v>276</v>
      </c>
      <c r="E436" s="62" t="s">
        <v>131</v>
      </c>
      <c r="F436" s="62" t="s">
        <v>5</v>
      </c>
      <c r="G436">
        <v>2333</v>
      </c>
      <c r="H436">
        <v>500</v>
      </c>
      <c r="I436" s="62" t="s">
        <v>506</v>
      </c>
      <c r="J436" s="62" t="s">
        <v>1217</v>
      </c>
      <c r="K436" s="62" t="s">
        <v>1217</v>
      </c>
      <c r="L436" s="62" t="s">
        <v>1110</v>
      </c>
    </row>
    <row r="437" spans="1:12" x14ac:dyDescent="0.35">
      <c r="A437">
        <v>23887</v>
      </c>
      <c r="B437" s="62" t="s">
        <v>278</v>
      </c>
      <c r="C437" s="62" t="s">
        <v>488</v>
      </c>
      <c r="D437" s="62" t="s">
        <v>276</v>
      </c>
      <c r="E437" s="62" t="s">
        <v>131</v>
      </c>
      <c r="F437" s="62" t="s">
        <v>6</v>
      </c>
      <c r="G437">
        <v>18</v>
      </c>
      <c r="I437" s="62" t="s">
        <v>507</v>
      </c>
      <c r="J437" s="62" t="s">
        <v>1218</v>
      </c>
      <c r="K437" s="62" t="s">
        <v>1218</v>
      </c>
      <c r="L437" s="62" t="s">
        <v>1110</v>
      </c>
    </row>
    <row r="438" spans="1:12" x14ac:dyDescent="0.35">
      <c r="A438">
        <v>23887</v>
      </c>
      <c r="B438" s="62" t="s">
        <v>278</v>
      </c>
      <c r="C438" s="62" t="s">
        <v>488</v>
      </c>
      <c r="D438" s="62" t="s">
        <v>276</v>
      </c>
      <c r="E438" s="62" t="s">
        <v>131</v>
      </c>
      <c r="F438" s="62" t="s">
        <v>508</v>
      </c>
      <c r="G438">
        <v>119</v>
      </c>
      <c r="I438" s="62" t="s">
        <v>507</v>
      </c>
      <c r="J438" s="62" t="s">
        <v>1219</v>
      </c>
      <c r="K438" s="62" t="s">
        <v>1219</v>
      </c>
      <c r="L438" s="62" t="s">
        <v>1110</v>
      </c>
    </row>
    <row r="439" spans="1:12" x14ac:dyDescent="0.35">
      <c r="A439">
        <v>23887</v>
      </c>
      <c r="B439" s="62" t="s">
        <v>541</v>
      </c>
      <c r="C439" s="62" t="s">
        <v>488</v>
      </c>
      <c r="D439" s="62" t="s">
        <v>276</v>
      </c>
      <c r="E439" s="62" t="s">
        <v>131</v>
      </c>
      <c r="F439" s="62" t="s">
        <v>4</v>
      </c>
      <c r="G439">
        <v>152</v>
      </c>
      <c r="H439">
        <v>152</v>
      </c>
      <c r="I439" s="62" t="s">
        <v>506</v>
      </c>
      <c r="J439" s="62" t="s">
        <v>1220</v>
      </c>
      <c r="K439" s="62" t="s">
        <v>1220</v>
      </c>
      <c r="L439" s="62" t="s">
        <v>1110</v>
      </c>
    </row>
    <row r="440" spans="1:12" x14ac:dyDescent="0.35">
      <c r="A440">
        <v>12793</v>
      </c>
      <c r="B440" s="62" t="s">
        <v>275</v>
      </c>
      <c r="C440" s="62" t="s">
        <v>488</v>
      </c>
      <c r="D440" s="62" t="s">
        <v>271</v>
      </c>
      <c r="E440" s="62" t="s">
        <v>131</v>
      </c>
      <c r="F440" s="62" t="s">
        <v>6</v>
      </c>
      <c r="G440">
        <v>7</v>
      </c>
      <c r="I440" s="62" t="s">
        <v>507</v>
      </c>
      <c r="J440" s="62" t="s">
        <v>1221</v>
      </c>
      <c r="K440" s="62" t="s">
        <v>1221</v>
      </c>
      <c r="L440" s="62" t="s">
        <v>1110</v>
      </c>
    </row>
    <row r="441" spans="1:12" x14ac:dyDescent="0.35">
      <c r="A441">
        <v>12793</v>
      </c>
      <c r="B441" s="62" t="s">
        <v>275</v>
      </c>
      <c r="C441" s="62" t="s">
        <v>488</v>
      </c>
      <c r="D441" s="62" t="s">
        <v>271</v>
      </c>
      <c r="E441" s="62" t="s">
        <v>131</v>
      </c>
      <c r="F441" s="62" t="s">
        <v>5</v>
      </c>
      <c r="G441">
        <v>827</v>
      </c>
      <c r="I441" s="62" t="s">
        <v>507</v>
      </c>
      <c r="J441" s="62" t="s">
        <v>1222</v>
      </c>
      <c r="K441" s="62" t="s">
        <v>1222</v>
      </c>
      <c r="L441" s="62" t="s">
        <v>1110</v>
      </c>
    </row>
    <row r="442" spans="1:12" x14ac:dyDescent="0.35">
      <c r="A442">
        <v>12793</v>
      </c>
      <c r="B442" s="62" t="s">
        <v>275</v>
      </c>
      <c r="C442" s="62" t="s">
        <v>488</v>
      </c>
      <c r="D442" s="62" t="s">
        <v>271</v>
      </c>
      <c r="E442" s="62" t="s">
        <v>131</v>
      </c>
      <c r="F442" s="62" t="s">
        <v>508</v>
      </c>
      <c r="G442">
        <v>34</v>
      </c>
      <c r="I442" s="62" t="s">
        <v>507</v>
      </c>
      <c r="J442" s="62" t="s">
        <v>1223</v>
      </c>
      <c r="K442" s="62" t="s">
        <v>1223</v>
      </c>
      <c r="L442" s="62" t="s">
        <v>1110</v>
      </c>
    </row>
    <row r="443" spans="1:12" x14ac:dyDescent="0.35">
      <c r="A443">
        <v>12793</v>
      </c>
      <c r="B443" s="62" t="s">
        <v>275</v>
      </c>
      <c r="C443" s="62" t="s">
        <v>488</v>
      </c>
      <c r="D443" s="62" t="s">
        <v>271</v>
      </c>
      <c r="E443" s="62" t="s">
        <v>131</v>
      </c>
      <c r="F443" s="62" t="s">
        <v>4</v>
      </c>
      <c r="G443">
        <v>173</v>
      </c>
      <c r="H443">
        <v>173</v>
      </c>
      <c r="I443" s="62" t="s">
        <v>506</v>
      </c>
      <c r="J443" s="62" t="s">
        <v>1224</v>
      </c>
      <c r="K443" s="62" t="s">
        <v>1224</v>
      </c>
      <c r="L443" s="62" t="s">
        <v>1110</v>
      </c>
    </row>
    <row r="444" spans="1:12" x14ac:dyDescent="0.35">
      <c r="A444">
        <v>17287</v>
      </c>
      <c r="B444" s="62" t="s">
        <v>134</v>
      </c>
      <c r="C444" s="62" t="s">
        <v>485</v>
      </c>
      <c r="D444" s="62" t="s">
        <v>129</v>
      </c>
      <c r="E444" s="62" t="s">
        <v>131</v>
      </c>
      <c r="F444" s="62" t="s">
        <v>6</v>
      </c>
      <c r="G444">
        <v>3</v>
      </c>
      <c r="H444">
        <v>3</v>
      </c>
      <c r="I444" s="62" t="s">
        <v>506</v>
      </c>
      <c r="J444" s="62" t="s">
        <v>1440</v>
      </c>
      <c r="K444" s="62" t="s">
        <v>1440</v>
      </c>
      <c r="L444" s="62" t="s">
        <v>1110</v>
      </c>
    </row>
    <row r="445" spans="1:12" x14ac:dyDescent="0.35">
      <c r="A445">
        <v>17287</v>
      </c>
      <c r="B445" s="62" t="s">
        <v>134</v>
      </c>
      <c r="C445" s="62" t="s">
        <v>485</v>
      </c>
      <c r="D445" s="62" t="s">
        <v>129</v>
      </c>
      <c r="E445" s="62" t="s">
        <v>131</v>
      </c>
      <c r="F445" s="62" t="s">
        <v>5</v>
      </c>
      <c r="G445">
        <v>3</v>
      </c>
      <c r="H445">
        <v>3</v>
      </c>
      <c r="I445" s="62" t="s">
        <v>506</v>
      </c>
      <c r="J445" s="62" t="s">
        <v>1441</v>
      </c>
      <c r="K445" s="62" t="s">
        <v>1441</v>
      </c>
      <c r="L445" s="62" t="s">
        <v>1110</v>
      </c>
    </row>
    <row r="446" spans="1:12" x14ac:dyDescent="0.35">
      <c r="A446">
        <v>11009</v>
      </c>
      <c r="B446" s="62" t="s">
        <v>350</v>
      </c>
      <c r="C446" s="62" t="s">
        <v>494</v>
      </c>
      <c r="D446" s="62" t="s">
        <v>344</v>
      </c>
      <c r="E446" s="62" t="s">
        <v>131</v>
      </c>
      <c r="F446" s="62" t="s">
        <v>508</v>
      </c>
      <c r="G446">
        <v>549</v>
      </c>
      <c r="H446">
        <v>549</v>
      </c>
      <c r="I446" s="62" t="s">
        <v>506</v>
      </c>
      <c r="J446" s="62" t="s">
        <v>1225</v>
      </c>
      <c r="K446" s="62" t="s">
        <v>1225</v>
      </c>
      <c r="L446" s="62" t="s">
        <v>1110</v>
      </c>
    </row>
    <row r="447" spans="1:12" x14ac:dyDescent="0.35">
      <c r="A447">
        <v>11009</v>
      </c>
      <c r="B447" s="62" t="s">
        <v>350</v>
      </c>
      <c r="C447" s="62" t="s">
        <v>494</v>
      </c>
      <c r="D447" s="62" t="s">
        <v>344</v>
      </c>
      <c r="E447" s="62" t="s">
        <v>131</v>
      </c>
      <c r="F447" s="62" t="s">
        <v>5</v>
      </c>
      <c r="G447">
        <v>3418</v>
      </c>
      <c r="H447">
        <v>3418</v>
      </c>
      <c r="I447" s="62" t="s">
        <v>506</v>
      </c>
      <c r="J447" s="62" t="s">
        <v>1226</v>
      </c>
      <c r="K447" s="62" t="s">
        <v>1226</v>
      </c>
      <c r="L447" s="62" t="s">
        <v>1110</v>
      </c>
    </row>
    <row r="448" spans="1:12" x14ac:dyDescent="0.35">
      <c r="A448">
        <v>11009</v>
      </c>
      <c r="B448" s="62" t="s">
        <v>350</v>
      </c>
      <c r="C448" s="62" t="s">
        <v>494</v>
      </c>
      <c r="D448" s="62" t="s">
        <v>344</v>
      </c>
      <c r="E448" s="62" t="s">
        <v>131</v>
      </c>
      <c r="F448" s="62" t="s">
        <v>6</v>
      </c>
      <c r="G448">
        <v>19</v>
      </c>
      <c r="H448">
        <v>19</v>
      </c>
      <c r="I448" s="62" t="s">
        <v>506</v>
      </c>
      <c r="J448" s="62" t="s">
        <v>1227</v>
      </c>
      <c r="K448" s="62" t="s">
        <v>1227</v>
      </c>
      <c r="L448" s="62" t="s">
        <v>1110</v>
      </c>
    </row>
    <row r="449" spans="1:12" x14ac:dyDescent="0.35">
      <c r="A449">
        <v>10419</v>
      </c>
      <c r="B449" s="62" t="s">
        <v>339</v>
      </c>
      <c r="C449" s="62" t="s">
        <v>494</v>
      </c>
      <c r="D449" s="62" t="s">
        <v>337</v>
      </c>
      <c r="E449" s="62" t="s">
        <v>131</v>
      </c>
      <c r="F449" s="62" t="s">
        <v>508</v>
      </c>
      <c r="G449">
        <v>128</v>
      </c>
      <c r="I449" s="62" t="s">
        <v>506</v>
      </c>
      <c r="J449" s="62" t="s">
        <v>1228</v>
      </c>
      <c r="K449" s="62" t="s">
        <v>1228</v>
      </c>
      <c r="L449" s="62" t="s">
        <v>1110</v>
      </c>
    </row>
    <row r="450" spans="1:12" x14ac:dyDescent="0.35">
      <c r="A450">
        <v>10419</v>
      </c>
      <c r="B450" s="62" t="s">
        <v>339</v>
      </c>
      <c r="C450" s="62" t="s">
        <v>494</v>
      </c>
      <c r="D450" s="62" t="s">
        <v>337</v>
      </c>
      <c r="E450" s="62" t="s">
        <v>131</v>
      </c>
      <c r="F450" s="62" t="s">
        <v>6</v>
      </c>
      <c r="G450">
        <v>47</v>
      </c>
      <c r="I450" s="62" t="s">
        <v>507</v>
      </c>
      <c r="J450" s="62" t="s">
        <v>1229</v>
      </c>
      <c r="K450" s="62" t="s">
        <v>1229</v>
      </c>
      <c r="L450" s="62" t="s">
        <v>1110</v>
      </c>
    </row>
    <row r="451" spans="1:12" x14ac:dyDescent="0.35">
      <c r="A451">
        <v>10419</v>
      </c>
      <c r="B451" s="62" t="s">
        <v>339</v>
      </c>
      <c r="C451" s="62" t="s">
        <v>494</v>
      </c>
      <c r="D451" s="62" t="s">
        <v>337</v>
      </c>
      <c r="E451" s="62" t="s">
        <v>131</v>
      </c>
      <c r="F451" s="62" t="s">
        <v>5</v>
      </c>
      <c r="G451">
        <v>1664</v>
      </c>
      <c r="H451">
        <v>1664</v>
      </c>
      <c r="I451" s="62" t="s">
        <v>506</v>
      </c>
      <c r="J451" s="62" t="s">
        <v>1230</v>
      </c>
      <c r="K451" s="62" t="s">
        <v>1230</v>
      </c>
      <c r="L451" s="62" t="s">
        <v>1110</v>
      </c>
    </row>
    <row r="452" spans="1:12" x14ac:dyDescent="0.35">
      <c r="A452">
        <v>11076</v>
      </c>
      <c r="B452" s="62" t="s">
        <v>343</v>
      </c>
      <c r="C452" s="62" t="s">
        <v>494</v>
      </c>
      <c r="D452" s="62" t="s">
        <v>337</v>
      </c>
      <c r="E452" s="62" t="s">
        <v>131</v>
      </c>
      <c r="F452" s="62" t="s">
        <v>508</v>
      </c>
      <c r="G452">
        <v>6</v>
      </c>
      <c r="I452" s="62" t="s">
        <v>506</v>
      </c>
      <c r="J452" s="62" t="s">
        <v>1231</v>
      </c>
      <c r="K452" s="62" t="s">
        <v>1231</v>
      </c>
      <c r="L452" s="62" t="s">
        <v>1110</v>
      </c>
    </row>
    <row r="453" spans="1:12" x14ac:dyDescent="0.35">
      <c r="A453">
        <v>11076</v>
      </c>
      <c r="B453" s="62" t="s">
        <v>343</v>
      </c>
      <c r="C453" s="62" t="s">
        <v>494</v>
      </c>
      <c r="D453" s="62" t="s">
        <v>337</v>
      </c>
      <c r="E453" s="62" t="s">
        <v>131</v>
      </c>
      <c r="F453" s="62" t="s">
        <v>6</v>
      </c>
      <c r="G453">
        <v>6</v>
      </c>
      <c r="I453" s="62" t="s">
        <v>506</v>
      </c>
      <c r="J453" s="62" t="s">
        <v>1232</v>
      </c>
      <c r="K453" s="62" t="s">
        <v>1232</v>
      </c>
      <c r="L453" s="62" t="s">
        <v>1110</v>
      </c>
    </row>
    <row r="454" spans="1:12" x14ac:dyDescent="0.35">
      <c r="A454">
        <v>11076</v>
      </c>
      <c r="B454" s="62" t="s">
        <v>343</v>
      </c>
      <c r="C454" s="62" t="s">
        <v>494</v>
      </c>
      <c r="D454" s="62" t="s">
        <v>337</v>
      </c>
      <c r="E454" s="62" t="s">
        <v>131</v>
      </c>
      <c r="F454" s="62" t="s">
        <v>5</v>
      </c>
      <c r="G454">
        <v>84</v>
      </c>
      <c r="H454">
        <v>84</v>
      </c>
      <c r="I454" s="62" t="s">
        <v>506</v>
      </c>
      <c r="J454" s="62" t="s">
        <v>1233</v>
      </c>
      <c r="K454" s="62" t="s">
        <v>1233</v>
      </c>
      <c r="L454" s="62" t="s">
        <v>1110</v>
      </c>
    </row>
    <row r="455" spans="1:12" x14ac:dyDescent="0.35">
      <c r="A455">
        <v>10657</v>
      </c>
      <c r="B455" s="62" t="s">
        <v>340</v>
      </c>
      <c r="C455" s="62" t="s">
        <v>494</v>
      </c>
      <c r="D455" s="62" t="s">
        <v>337</v>
      </c>
      <c r="E455" s="62" t="s">
        <v>131</v>
      </c>
      <c r="F455" s="62" t="s">
        <v>4</v>
      </c>
      <c r="G455">
        <v>249</v>
      </c>
      <c r="H455">
        <v>249</v>
      </c>
      <c r="I455" s="62" t="s">
        <v>506</v>
      </c>
      <c r="J455" s="62" t="s">
        <v>1234</v>
      </c>
      <c r="K455" s="62" t="s">
        <v>1234</v>
      </c>
      <c r="L455" s="62" t="s">
        <v>1110</v>
      </c>
    </row>
    <row r="456" spans="1:12" x14ac:dyDescent="0.35">
      <c r="A456">
        <v>11076</v>
      </c>
      <c r="B456" s="62" t="s">
        <v>343</v>
      </c>
      <c r="C456" s="62" t="s">
        <v>494</v>
      </c>
      <c r="D456" s="62" t="s">
        <v>337</v>
      </c>
      <c r="E456" s="62" t="s">
        <v>131</v>
      </c>
      <c r="F456" s="62" t="s">
        <v>4</v>
      </c>
      <c r="G456">
        <v>121</v>
      </c>
      <c r="H456">
        <v>121</v>
      </c>
      <c r="I456" s="62" t="s">
        <v>506</v>
      </c>
      <c r="J456" s="62" t="s">
        <v>1235</v>
      </c>
      <c r="K456" s="62" t="s">
        <v>1235</v>
      </c>
      <c r="L456" s="62" t="s">
        <v>1110</v>
      </c>
    </row>
    <row r="457" spans="1:12" x14ac:dyDescent="0.35">
      <c r="A457">
        <v>11923</v>
      </c>
      <c r="B457" s="62" t="s">
        <v>153</v>
      </c>
      <c r="C457" s="62" t="s">
        <v>485</v>
      </c>
      <c r="D457" s="62" t="s">
        <v>152</v>
      </c>
      <c r="E457" s="62" t="s">
        <v>131</v>
      </c>
      <c r="F457" s="62" t="s">
        <v>508</v>
      </c>
      <c r="G457">
        <v>36</v>
      </c>
      <c r="H457">
        <v>36</v>
      </c>
      <c r="I457" s="62" t="s">
        <v>506</v>
      </c>
      <c r="J457" s="62" t="s">
        <v>1236</v>
      </c>
      <c r="K457" s="62" t="s">
        <v>1236</v>
      </c>
      <c r="L457" s="62" t="s">
        <v>1110</v>
      </c>
    </row>
    <row r="458" spans="1:12" x14ac:dyDescent="0.35">
      <c r="A458">
        <v>11923</v>
      </c>
      <c r="B458" s="62" t="s">
        <v>153</v>
      </c>
      <c r="C458" s="62" t="s">
        <v>485</v>
      </c>
      <c r="D458" s="62" t="s">
        <v>152</v>
      </c>
      <c r="E458" s="62" t="s">
        <v>131</v>
      </c>
      <c r="F458" s="62" t="s">
        <v>6</v>
      </c>
      <c r="G458">
        <v>62</v>
      </c>
      <c r="I458" s="62" t="s">
        <v>507</v>
      </c>
      <c r="J458" s="62" t="s">
        <v>1237</v>
      </c>
      <c r="K458" s="62" t="s">
        <v>1237</v>
      </c>
      <c r="L458" s="62" t="s">
        <v>1110</v>
      </c>
    </row>
    <row r="459" spans="1:12" x14ac:dyDescent="0.35">
      <c r="A459">
        <v>11923</v>
      </c>
      <c r="B459" s="62" t="s">
        <v>153</v>
      </c>
      <c r="C459" s="62" t="s">
        <v>485</v>
      </c>
      <c r="D459" s="62" t="s">
        <v>152</v>
      </c>
      <c r="E459" s="62" t="s">
        <v>131</v>
      </c>
      <c r="F459" s="62" t="s">
        <v>5</v>
      </c>
      <c r="G459">
        <v>2425</v>
      </c>
      <c r="H459">
        <v>2425</v>
      </c>
      <c r="I459" s="62" t="s">
        <v>506</v>
      </c>
      <c r="J459" s="62" t="s">
        <v>1238</v>
      </c>
      <c r="K459" s="62" t="s">
        <v>1238</v>
      </c>
      <c r="L459" s="62" t="s">
        <v>1110</v>
      </c>
    </row>
    <row r="460" spans="1:12" x14ac:dyDescent="0.35">
      <c r="A460">
        <v>11923</v>
      </c>
      <c r="B460" s="62" t="s">
        <v>153</v>
      </c>
      <c r="C460" s="62" t="s">
        <v>485</v>
      </c>
      <c r="D460" s="62" t="s">
        <v>152</v>
      </c>
      <c r="E460" s="62" t="s">
        <v>131</v>
      </c>
      <c r="F460" s="62" t="s">
        <v>4</v>
      </c>
      <c r="G460">
        <v>362</v>
      </c>
      <c r="H460">
        <v>362</v>
      </c>
      <c r="I460" s="62" t="s">
        <v>506</v>
      </c>
      <c r="J460" s="62" t="s">
        <v>1239</v>
      </c>
      <c r="K460" s="62" t="s">
        <v>1239</v>
      </c>
      <c r="L460" s="62" t="s">
        <v>1110</v>
      </c>
    </row>
    <row r="461" spans="1:12" x14ac:dyDescent="0.35">
      <c r="A461">
        <v>12791</v>
      </c>
      <c r="B461" s="62" t="s">
        <v>238</v>
      </c>
      <c r="C461" s="62" t="s">
        <v>487</v>
      </c>
      <c r="D461" s="62" t="s">
        <v>237</v>
      </c>
      <c r="E461" s="62" t="s">
        <v>131</v>
      </c>
      <c r="F461" s="62" t="s">
        <v>6</v>
      </c>
      <c r="G461">
        <v>48</v>
      </c>
      <c r="H461">
        <v>48</v>
      </c>
      <c r="I461" s="62" t="s">
        <v>506</v>
      </c>
      <c r="J461" s="62" t="s">
        <v>1240</v>
      </c>
      <c r="K461" s="62" t="s">
        <v>1240</v>
      </c>
      <c r="L461" s="62" t="s">
        <v>1110</v>
      </c>
    </row>
    <row r="462" spans="1:12" x14ac:dyDescent="0.35">
      <c r="A462">
        <v>12791</v>
      </c>
      <c r="B462" s="62" t="s">
        <v>238</v>
      </c>
      <c r="C462" s="62" t="s">
        <v>487</v>
      </c>
      <c r="D462" s="62" t="s">
        <v>237</v>
      </c>
      <c r="E462" s="62" t="s">
        <v>131</v>
      </c>
      <c r="F462" s="62" t="s">
        <v>508</v>
      </c>
      <c r="G462">
        <v>454</v>
      </c>
      <c r="H462">
        <v>454</v>
      </c>
      <c r="I462" s="62" t="s">
        <v>506</v>
      </c>
      <c r="J462" s="62" t="s">
        <v>1241</v>
      </c>
      <c r="K462" s="62" t="s">
        <v>1241</v>
      </c>
      <c r="L462" s="62" t="s">
        <v>1110</v>
      </c>
    </row>
    <row r="463" spans="1:12" x14ac:dyDescent="0.35">
      <c r="A463">
        <v>12791</v>
      </c>
      <c r="B463" s="62" t="s">
        <v>238</v>
      </c>
      <c r="C463" s="62" t="s">
        <v>487</v>
      </c>
      <c r="D463" s="62" t="s">
        <v>237</v>
      </c>
      <c r="E463" s="62" t="s">
        <v>131</v>
      </c>
      <c r="F463" s="62" t="s">
        <v>5</v>
      </c>
      <c r="G463">
        <v>1228</v>
      </c>
      <c r="H463">
        <v>1228</v>
      </c>
      <c r="I463" s="62" t="s">
        <v>506</v>
      </c>
      <c r="J463" s="62" t="s">
        <v>1242</v>
      </c>
      <c r="K463" s="62" t="s">
        <v>1242</v>
      </c>
      <c r="L463" s="62" t="s">
        <v>1110</v>
      </c>
    </row>
    <row r="464" spans="1:12" x14ac:dyDescent="0.35">
      <c r="A464">
        <v>12526</v>
      </c>
      <c r="B464" s="62" t="s">
        <v>184</v>
      </c>
      <c r="C464" s="62" t="s">
        <v>485</v>
      </c>
      <c r="D464" s="62" t="s">
        <v>175</v>
      </c>
      <c r="E464" s="62" t="s">
        <v>131</v>
      </c>
      <c r="F464" s="62" t="s">
        <v>508</v>
      </c>
      <c r="G464">
        <v>240</v>
      </c>
      <c r="I464" s="62" t="s">
        <v>507</v>
      </c>
      <c r="J464" s="62" t="s">
        <v>1243</v>
      </c>
      <c r="K464" s="62" t="s">
        <v>1243</v>
      </c>
      <c r="L464" s="62" t="s">
        <v>1110</v>
      </c>
    </row>
    <row r="465" spans="1:12" x14ac:dyDescent="0.35">
      <c r="A465">
        <v>12526</v>
      </c>
      <c r="B465" s="62" t="s">
        <v>184</v>
      </c>
      <c r="C465" s="62" t="s">
        <v>485</v>
      </c>
      <c r="D465" s="62" t="s">
        <v>175</v>
      </c>
      <c r="E465" s="62" t="s">
        <v>131</v>
      </c>
      <c r="F465" s="62" t="s">
        <v>5</v>
      </c>
      <c r="G465">
        <v>2505</v>
      </c>
      <c r="H465">
        <v>2505</v>
      </c>
      <c r="I465" s="62" t="s">
        <v>506</v>
      </c>
      <c r="J465" s="62" t="s">
        <v>1244</v>
      </c>
      <c r="K465" s="62" t="s">
        <v>1244</v>
      </c>
      <c r="L465" s="62" t="s">
        <v>1110</v>
      </c>
    </row>
    <row r="466" spans="1:12" x14ac:dyDescent="0.35">
      <c r="A466">
        <v>12791</v>
      </c>
      <c r="B466" s="62" t="s">
        <v>238</v>
      </c>
      <c r="C466" s="62" t="s">
        <v>487</v>
      </c>
      <c r="D466" s="62" t="s">
        <v>237</v>
      </c>
      <c r="E466" s="62" t="s">
        <v>131</v>
      </c>
      <c r="F466" s="62" t="s">
        <v>4</v>
      </c>
      <c r="G466">
        <v>800</v>
      </c>
      <c r="H466">
        <v>800</v>
      </c>
      <c r="I466" s="62" t="s">
        <v>506</v>
      </c>
      <c r="J466" s="62" t="s">
        <v>1245</v>
      </c>
      <c r="K466" s="62" t="s">
        <v>1245</v>
      </c>
      <c r="L466" s="62" t="s">
        <v>1110</v>
      </c>
    </row>
    <row r="467" spans="1:12" x14ac:dyDescent="0.35">
      <c r="A467">
        <v>12526</v>
      </c>
      <c r="B467" s="62" t="s">
        <v>184</v>
      </c>
      <c r="C467" s="62" t="s">
        <v>485</v>
      </c>
      <c r="D467" s="62" t="s">
        <v>175</v>
      </c>
      <c r="E467" s="62" t="s">
        <v>131</v>
      </c>
      <c r="F467" s="62" t="s">
        <v>4</v>
      </c>
      <c r="G467">
        <v>925</v>
      </c>
      <c r="H467">
        <v>925</v>
      </c>
      <c r="I467" s="62" t="s">
        <v>506</v>
      </c>
      <c r="J467" s="62" t="s">
        <v>1246</v>
      </c>
      <c r="K467" s="62" t="s">
        <v>1246</v>
      </c>
      <c r="L467" s="62" t="s">
        <v>1110</v>
      </c>
    </row>
    <row r="468" spans="1:12" x14ac:dyDescent="0.35">
      <c r="A468">
        <v>12598</v>
      </c>
      <c r="B468" s="62" t="s">
        <v>201</v>
      </c>
      <c r="C468" s="62" t="s">
        <v>485</v>
      </c>
      <c r="D468" s="62" t="s">
        <v>196</v>
      </c>
      <c r="E468" s="62" t="s">
        <v>131</v>
      </c>
      <c r="F468" s="62" t="s">
        <v>6</v>
      </c>
      <c r="G468">
        <v>6</v>
      </c>
      <c r="H468">
        <v>6</v>
      </c>
      <c r="I468" s="62" t="s">
        <v>506</v>
      </c>
      <c r="J468" s="62" t="s">
        <v>1247</v>
      </c>
      <c r="K468" s="62" t="s">
        <v>1247</v>
      </c>
      <c r="L468" s="62" t="s">
        <v>1110</v>
      </c>
    </row>
    <row r="469" spans="1:12" x14ac:dyDescent="0.35">
      <c r="A469">
        <v>12164</v>
      </c>
      <c r="B469" s="62" t="s">
        <v>220</v>
      </c>
      <c r="C469" s="62" t="s">
        <v>487</v>
      </c>
      <c r="D469" s="62" t="s">
        <v>218</v>
      </c>
      <c r="E469" s="62" t="s">
        <v>131</v>
      </c>
      <c r="F469" s="62" t="s">
        <v>508</v>
      </c>
      <c r="G469">
        <v>2</v>
      </c>
      <c r="H469">
        <v>2</v>
      </c>
      <c r="I469" s="62" t="s">
        <v>506</v>
      </c>
      <c r="J469" s="62" t="s">
        <v>1248</v>
      </c>
      <c r="K469" s="62" t="s">
        <v>1248</v>
      </c>
      <c r="L469" s="62" t="s">
        <v>1110</v>
      </c>
    </row>
    <row r="470" spans="1:12" x14ac:dyDescent="0.35">
      <c r="A470">
        <v>12164</v>
      </c>
      <c r="B470" s="62" t="s">
        <v>220</v>
      </c>
      <c r="C470" s="62" t="s">
        <v>487</v>
      </c>
      <c r="D470" s="62" t="s">
        <v>218</v>
      </c>
      <c r="E470" s="62" t="s">
        <v>131</v>
      </c>
      <c r="F470" s="62" t="s">
        <v>6</v>
      </c>
      <c r="G470">
        <v>10</v>
      </c>
      <c r="H470">
        <v>10</v>
      </c>
      <c r="I470" s="62" t="s">
        <v>506</v>
      </c>
      <c r="J470" s="62" t="s">
        <v>1249</v>
      </c>
      <c r="K470" s="62" t="s">
        <v>1249</v>
      </c>
      <c r="L470" s="62" t="s">
        <v>1110</v>
      </c>
    </row>
    <row r="471" spans="1:12" x14ac:dyDescent="0.35">
      <c r="A471">
        <v>12164</v>
      </c>
      <c r="B471" s="62" t="s">
        <v>220</v>
      </c>
      <c r="C471" s="62" t="s">
        <v>487</v>
      </c>
      <c r="D471" s="62" t="s">
        <v>218</v>
      </c>
      <c r="E471" s="62" t="s">
        <v>131</v>
      </c>
      <c r="F471" s="62" t="s">
        <v>5</v>
      </c>
      <c r="G471">
        <v>4</v>
      </c>
      <c r="H471">
        <v>4</v>
      </c>
      <c r="I471" s="62" t="s">
        <v>506</v>
      </c>
      <c r="J471" s="62" t="s">
        <v>1250</v>
      </c>
      <c r="K471" s="62" t="s">
        <v>1250</v>
      </c>
      <c r="L471" s="62" t="s">
        <v>1110</v>
      </c>
    </row>
    <row r="472" spans="1:12" x14ac:dyDescent="0.35">
      <c r="A472">
        <v>16465</v>
      </c>
      <c r="B472" s="62" t="s">
        <v>229</v>
      </c>
      <c r="C472" s="62" t="s">
        <v>487</v>
      </c>
      <c r="D472" s="62" t="s">
        <v>226</v>
      </c>
      <c r="E472" s="62" t="s">
        <v>131</v>
      </c>
      <c r="F472" s="62" t="s">
        <v>6</v>
      </c>
      <c r="G472">
        <v>3</v>
      </c>
      <c r="H472">
        <v>3</v>
      </c>
      <c r="I472" s="62" t="s">
        <v>506</v>
      </c>
      <c r="J472" s="62" t="s">
        <v>1251</v>
      </c>
      <c r="K472" s="62" t="s">
        <v>1251</v>
      </c>
      <c r="L472" s="62" t="s">
        <v>1110</v>
      </c>
    </row>
    <row r="473" spans="1:12" x14ac:dyDescent="0.35">
      <c r="A473">
        <v>16465</v>
      </c>
      <c r="B473" s="62" t="s">
        <v>229</v>
      </c>
      <c r="C473" s="62" t="s">
        <v>487</v>
      </c>
      <c r="D473" s="62" t="s">
        <v>226</v>
      </c>
      <c r="E473" s="62" t="s">
        <v>131</v>
      </c>
      <c r="F473" s="62" t="s">
        <v>5</v>
      </c>
      <c r="G473">
        <v>5</v>
      </c>
      <c r="H473">
        <v>5</v>
      </c>
      <c r="I473" s="62" t="s">
        <v>506</v>
      </c>
      <c r="J473" s="62" t="s">
        <v>1252</v>
      </c>
      <c r="K473" s="62" t="s">
        <v>1252</v>
      </c>
      <c r="L473" s="62" t="s">
        <v>1110</v>
      </c>
    </row>
    <row r="474" spans="1:12" x14ac:dyDescent="0.35">
      <c r="A474">
        <v>10043</v>
      </c>
      <c r="B474" s="62" t="s">
        <v>338</v>
      </c>
      <c r="C474" s="62" t="s">
        <v>494</v>
      </c>
      <c r="D474" s="62" t="s">
        <v>337</v>
      </c>
      <c r="E474" s="62" t="s">
        <v>131</v>
      </c>
      <c r="F474" s="62" t="s">
        <v>5</v>
      </c>
      <c r="G474">
        <v>3959</v>
      </c>
      <c r="H474">
        <v>3959</v>
      </c>
      <c r="I474" s="62" t="s">
        <v>506</v>
      </c>
      <c r="J474" s="62" t="s">
        <v>1253</v>
      </c>
      <c r="K474" s="62" t="s">
        <v>1253</v>
      </c>
      <c r="L474" s="62" t="s">
        <v>1110</v>
      </c>
    </row>
    <row r="475" spans="1:12" x14ac:dyDescent="0.35">
      <c r="A475">
        <v>10043</v>
      </c>
      <c r="B475" s="62" t="s">
        <v>338</v>
      </c>
      <c r="C475" s="62" t="s">
        <v>494</v>
      </c>
      <c r="D475" s="62" t="s">
        <v>337</v>
      </c>
      <c r="E475" s="62" t="s">
        <v>131</v>
      </c>
      <c r="F475" s="62" t="s">
        <v>508</v>
      </c>
      <c r="G475">
        <v>181</v>
      </c>
      <c r="I475" s="62" t="s">
        <v>506</v>
      </c>
      <c r="J475" s="62" t="s">
        <v>1254</v>
      </c>
      <c r="K475" s="62" t="s">
        <v>1254</v>
      </c>
      <c r="L475" s="62" t="s">
        <v>1110</v>
      </c>
    </row>
    <row r="476" spans="1:12" x14ac:dyDescent="0.35">
      <c r="A476">
        <v>10043</v>
      </c>
      <c r="B476" s="62" t="s">
        <v>338</v>
      </c>
      <c r="C476" s="62" t="s">
        <v>494</v>
      </c>
      <c r="D476" s="62" t="s">
        <v>337</v>
      </c>
      <c r="E476" s="62" t="s">
        <v>131</v>
      </c>
      <c r="F476" s="62" t="s">
        <v>6</v>
      </c>
      <c r="G476">
        <v>23</v>
      </c>
      <c r="H476">
        <v>23</v>
      </c>
      <c r="I476" s="62" t="s">
        <v>506</v>
      </c>
      <c r="J476" s="62" t="s">
        <v>1255</v>
      </c>
      <c r="K476" s="62" t="s">
        <v>1255</v>
      </c>
      <c r="L476" s="62" t="s">
        <v>1110</v>
      </c>
    </row>
    <row r="477" spans="1:12" x14ac:dyDescent="0.35">
      <c r="A477">
        <v>10911</v>
      </c>
      <c r="B477" s="62" t="s">
        <v>349</v>
      </c>
      <c r="C477" s="62" t="s">
        <v>494</v>
      </c>
      <c r="D477" s="62" t="s">
        <v>344</v>
      </c>
      <c r="E477" s="62" t="s">
        <v>131</v>
      </c>
      <c r="F477" s="62" t="s">
        <v>5</v>
      </c>
      <c r="G477">
        <v>624</v>
      </c>
      <c r="H477">
        <v>624</v>
      </c>
      <c r="I477" s="62" t="s">
        <v>506</v>
      </c>
      <c r="J477" s="62" t="s">
        <v>1256</v>
      </c>
      <c r="K477" s="62" t="s">
        <v>1256</v>
      </c>
      <c r="L477" s="62" t="s">
        <v>1110</v>
      </c>
    </row>
    <row r="478" spans="1:12" x14ac:dyDescent="0.35">
      <c r="A478">
        <v>10911</v>
      </c>
      <c r="B478" s="62" t="s">
        <v>349</v>
      </c>
      <c r="C478" s="62" t="s">
        <v>494</v>
      </c>
      <c r="D478" s="62" t="s">
        <v>344</v>
      </c>
      <c r="E478" s="62" t="s">
        <v>131</v>
      </c>
      <c r="F478" s="62" t="s">
        <v>6</v>
      </c>
      <c r="G478">
        <v>7</v>
      </c>
      <c r="H478">
        <v>7</v>
      </c>
      <c r="I478" s="62" t="s">
        <v>506</v>
      </c>
      <c r="J478" s="62" t="s">
        <v>1257</v>
      </c>
      <c r="K478" s="62" t="s">
        <v>1257</v>
      </c>
      <c r="L478" s="62" t="s">
        <v>1110</v>
      </c>
    </row>
    <row r="479" spans="1:12" x14ac:dyDescent="0.35">
      <c r="A479">
        <v>10911</v>
      </c>
      <c r="B479" s="62" t="s">
        <v>349</v>
      </c>
      <c r="C479" s="62" t="s">
        <v>494</v>
      </c>
      <c r="D479" s="62" t="s">
        <v>344</v>
      </c>
      <c r="E479" s="62" t="s">
        <v>131</v>
      </c>
      <c r="F479" s="62" t="s">
        <v>508</v>
      </c>
      <c r="G479">
        <v>27</v>
      </c>
      <c r="H479">
        <v>27</v>
      </c>
      <c r="I479" s="62" t="s">
        <v>506</v>
      </c>
      <c r="J479" s="62" t="s">
        <v>1258</v>
      </c>
      <c r="K479" s="62" t="s">
        <v>1258</v>
      </c>
      <c r="L479" s="62" t="s">
        <v>1110</v>
      </c>
    </row>
    <row r="480" spans="1:12" x14ac:dyDescent="0.35">
      <c r="A480">
        <v>12164</v>
      </c>
      <c r="B480" s="62" t="s">
        <v>220</v>
      </c>
      <c r="C480" s="62" t="s">
        <v>487</v>
      </c>
      <c r="D480" s="62" t="s">
        <v>218</v>
      </c>
      <c r="E480" s="62" t="s">
        <v>131</v>
      </c>
      <c r="F480" s="62" t="s">
        <v>4</v>
      </c>
      <c r="G480">
        <v>61</v>
      </c>
      <c r="H480">
        <v>61</v>
      </c>
      <c r="I480" s="62" t="s">
        <v>506</v>
      </c>
      <c r="J480" s="62" t="s">
        <v>1259</v>
      </c>
      <c r="K480" s="62" t="s">
        <v>1259</v>
      </c>
      <c r="L480" s="62" t="s">
        <v>1110</v>
      </c>
    </row>
    <row r="481" spans="1:12" x14ac:dyDescent="0.35">
      <c r="A481">
        <v>12598</v>
      </c>
      <c r="B481" s="62" t="s">
        <v>201</v>
      </c>
      <c r="C481" s="62" t="s">
        <v>485</v>
      </c>
      <c r="D481" s="62" t="s">
        <v>196</v>
      </c>
      <c r="E481" s="62" t="s">
        <v>131</v>
      </c>
      <c r="F481" s="62" t="s">
        <v>4</v>
      </c>
      <c r="G481">
        <v>28</v>
      </c>
      <c r="H481">
        <v>28</v>
      </c>
      <c r="I481" s="62" t="s">
        <v>506</v>
      </c>
      <c r="J481" s="62" t="s">
        <v>1260</v>
      </c>
      <c r="K481" s="62" t="s">
        <v>1260</v>
      </c>
      <c r="L481" s="62" t="s">
        <v>1110</v>
      </c>
    </row>
    <row r="482" spans="1:12" x14ac:dyDescent="0.35">
      <c r="A482">
        <v>16465</v>
      </c>
      <c r="B482" s="62" t="s">
        <v>229</v>
      </c>
      <c r="C482" s="62" t="s">
        <v>487</v>
      </c>
      <c r="D482" s="62" t="s">
        <v>226</v>
      </c>
      <c r="E482" s="62" t="s">
        <v>131</v>
      </c>
      <c r="F482" s="62" t="s">
        <v>4</v>
      </c>
      <c r="G482">
        <v>103</v>
      </c>
      <c r="H482">
        <v>103</v>
      </c>
      <c r="I482" s="62" t="s">
        <v>506</v>
      </c>
      <c r="J482" s="62" t="s">
        <v>1261</v>
      </c>
      <c r="K482" s="62" t="s">
        <v>1261</v>
      </c>
      <c r="L482" s="62" t="s">
        <v>1110</v>
      </c>
    </row>
    <row r="483" spans="1:12" x14ac:dyDescent="0.35">
      <c r="A483">
        <v>10911</v>
      </c>
      <c r="B483" s="62" t="s">
        <v>349</v>
      </c>
      <c r="C483" s="62" t="s">
        <v>494</v>
      </c>
      <c r="D483" s="62" t="s">
        <v>344</v>
      </c>
      <c r="E483" s="62" t="s">
        <v>131</v>
      </c>
      <c r="F483" s="62" t="s">
        <v>4</v>
      </c>
      <c r="G483">
        <v>125</v>
      </c>
      <c r="H483">
        <v>125</v>
      </c>
      <c r="I483" s="62" t="s">
        <v>506</v>
      </c>
      <c r="J483" s="62" t="s">
        <v>1262</v>
      </c>
      <c r="K483" s="62" t="s">
        <v>1262</v>
      </c>
      <c r="L483" s="62" t="s">
        <v>1110</v>
      </c>
    </row>
    <row r="484" spans="1:12" x14ac:dyDescent="0.35">
      <c r="A484">
        <v>10419</v>
      </c>
      <c r="B484" s="62" t="s">
        <v>339</v>
      </c>
      <c r="C484" s="62" t="s">
        <v>494</v>
      </c>
      <c r="D484" s="62" t="s">
        <v>337</v>
      </c>
      <c r="E484" s="62" t="s">
        <v>131</v>
      </c>
      <c r="F484" s="62" t="s">
        <v>4</v>
      </c>
      <c r="G484">
        <v>833</v>
      </c>
      <c r="H484">
        <v>833</v>
      </c>
      <c r="I484" s="62" t="s">
        <v>506</v>
      </c>
      <c r="J484" s="62" t="s">
        <v>1263</v>
      </c>
      <c r="K484" s="62" t="s">
        <v>1263</v>
      </c>
      <c r="L484" s="62" t="s">
        <v>1110</v>
      </c>
    </row>
    <row r="485" spans="1:12" x14ac:dyDescent="0.35">
      <c r="A485">
        <v>10043</v>
      </c>
      <c r="B485" s="62" t="s">
        <v>556</v>
      </c>
      <c r="C485" s="62" t="s">
        <v>494</v>
      </c>
      <c r="D485" s="62" t="s">
        <v>337</v>
      </c>
      <c r="E485" s="62" t="s">
        <v>131</v>
      </c>
      <c r="F485" s="62" t="s">
        <v>4</v>
      </c>
      <c r="G485">
        <v>397</v>
      </c>
      <c r="H485">
        <v>397</v>
      </c>
      <c r="I485" s="62" t="s">
        <v>506</v>
      </c>
      <c r="J485" s="62" t="s">
        <v>1264</v>
      </c>
      <c r="K485" s="62" t="s">
        <v>1264</v>
      </c>
      <c r="L485" s="62" t="s">
        <v>1110</v>
      </c>
    </row>
    <row r="486" spans="1:12" x14ac:dyDescent="0.35">
      <c r="A486">
        <v>17003</v>
      </c>
      <c r="B486" s="62" t="s">
        <v>155</v>
      </c>
      <c r="C486" s="62" t="s">
        <v>485</v>
      </c>
      <c r="D486" s="62" t="s">
        <v>152</v>
      </c>
      <c r="E486" s="62" t="s">
        <v>131</v>
      </c>
      <c r="F486" s="62" t="s">
        <v>6</v>
      </c>
      <c r="G486">
        <v>15</v>
      </c>
      <c r="H486">
        <v>15</v>
      </c>
      <c r="I486" s="62" t="s">
        <v>506</v>
      </c>
      <c r="J486" s="62" t="s">
        <v>1265</v>
      </c>
      <c r="K486" s="62" t="s">
        <v>1265</v>
      </c>
      <c r="L486" s="62" t="s">
        <v>1110</v>
      </c>
    </row>
    <row r="487" spans="1:12" x14ac:dyDescent="0.35">
      <c r="A487">
        <v>17003</v>
      </c>
      <c r="B487" s="62" t="s">
        <v>155</v>
      </c>
      <c r="C487" s="62" t="s">
        <v>485</v>
      </c>
      <c r="D487" s="62" t="s">
        <v>152</v>
      </c>
      <c r="E487" s="62" t="s">
        <v>131</v>
      </c>
      <c r="F487" s="62" t="s">
        <v>5</v>
      </c>
      <c r="G487">
        <v>9</v>
      </c>
      <c r="H487">
        <v>9</v>
      </c>
      <c r="I487" s="62" t="s">
        <v>506</v>
      </c>
      <c r="J487" s="62" t="s">
        <v>1266</v>
      </c>
      <c r="K487" s="62" t="s">
        <v>1266</v>
      </c>
      <c r="L487" s="62" t="s">
        <v>1110</v>
      </c>
    </row>
    <row r="488" spans="1:12" x14ac:dyDescent="0.35">
      <c r="A488">
        <v>17003</v>
      </c>
      <c r="B488" s="62" t="s">
        <v>155</v>
      </c>
      <c r="C488" s="62" t="s">
        <v>485</v>
      </c>
      <c r="D488" s="62" t="s">
        <v>152</v>
      </c>
      <c r="E488" s="62" t="s">
        <v>131</v>
      </c>
      <c r="F488" s="62" t="s">
        <v>4</v>
      </c>
      <c r="G488">
        <v>136</v>
      </c>
      <c r="H488">
        <v>136</v>
      </c>
      <c r="I488" s="62" t="s">
        <v>506</v>
      </c>
      <c r="J488" s="62" t="s">
        <v>1267</v>
      </c>
      <c r="K488" s="62" t="s">
        <v>1267</v>
      </c>
      <c r="L488" s="62" t="s">
        <v>1110</v>
      </c>
    </row>
    <row r="489" spans="1:12" x14ac:dyDescent="0.35">
      <c r="A489">
        <v>12829</v>
      </c>
      <c r="B489" s="62" t="s">
        <v>203</v>
      </c>
      <c r="C489" s="62" t="s">
        <v>485</v>
      </c>
      <c r="D489" s="62" t="s">
        <v>196</v>
      </c>
      <c r="E489" s="62" t="s">
        <v>131</v>
      </c>
      <c r="F489" s="62" t="s">
        <v>5</v>
      </c>
      <c r="G489">
        <v>1</v>
      </c>
      <c r="H489">
        <v>1</v>
      </c>
      <c r="I489" s="62" t="s">
        <v>506</v>
      </c>
      <c r="J489" s="62" t="s">
        <v>1268</v>
      </c>
      <c r="K489" s="62" t="s">
        <v>1268</v>
      </c>
      <c r="L489" s="62" t="s">
        <v>1110</v>
      </c>
    </row>
    <row r="490" spans="1:12" x14ac:dyDescent="0.35">
      <c r="A490">
        <v>12829</v>
      </c>
      <c r="B490" s="62" t="s">
        <v>203</v>
      </c>
      <c r="C490" s="62" t="s">
        <v>485</v>
      </c>
      <c r="D490" s="62" t="s">
        <v>196</v>
      </c>
      <c r="E490" s="62" t="s">
        <v>131</v>
      </c>
      <c r="F490" s="62" t="s">
        <v>6</v>
      </c>
      <c r="G490">
        <v>1</v>
      </c>
      <c r="I490" s="62" t="s">
        <v>507</v>
      </c>
      <c r="J490" s="62" t="s">
        <v>1269</v>
      </c>
      <c r="K490" s="62" t="s">
        <v>1269</v>
      </c>
      <c r="L490" s="62" t="s">
        <v>1110</v>
      </c>
    </row>
    <row r="491" spans="1:12" x14ac:dyDescent="0.35">
      <c r="A491">
        <v>12829</v>
      </c>
      <c r="B491" s="62" t="s">
        <v>203</v>
      </c>
      <c r="C491" s="62" t="s">
        <v>485</v>
      </c>
      <c r="D491" s="62" t="s">
        <v>196</v>
      </c>
      <c r="E491" s="62" t="s">
        <v>131</v>
      </c>
      <c r="F491" s="62" t="s">
        <v>4</v>
      </c>
      <c r="G491">
        <v>8</v>
      </c>
      <c r="H491">
        <v>8</v>
      </c>
      <c r="I491" s="62" t="s">
        <v>506</v>
      </c>
      <c r="J491" s="62" t="s">
        <v>1270</v>
      </c>
      <c r="K491" s="62" t="s">
        <v>1270</v>
      </c>
      <c r="L491" s="62" t="s">
        <v>1110</v>
      </c>
    </row>
    <row r="492" spans="1:12" x14ac:dyDescent="0.35">
      <c r="A492">
        <v>12333</v>
      </c>
      <c r="B492" s="62" t="s">
        <v>224</v>
      </c>
      <c r="C492" s="62" t="s">
        <v>487</v>
      </c>
      <c r="D492" s="62" t="s">
        <v>218</v>
      </c>
      <c r="E492" s="62" t="s">
        <v>131</v>
      </c>
      <c r="F492" s="62" t="s">
        <v>6</v>
      </c>
      <c r="G492">
        <v>1</v>
      </c>
      <c r="H492">
        <v>1</v>
      </c>
      <c r="I492" s="62" t="s">
        <v>506</v>
      </c>
      <c r="J492" s="62" t="s">
        <v>1271</v>
      </c>
      <c r="K492" s="62" t="s">
        <v>1271</v>
      </c>
      <c r="L492" s="62" t="s">
        <v>1110</v>
      </c>
    </row>
    <row r="493" spans="1:12" x14ac:dyDescent="0.35">
      <c r="A493">
        <v>12333</v>
      </c>
      <c r="B493" s="62" t="s">
        <v>224</v>
      </c>
      <c r="C493" s="62" t="s">
        <v>487</v>
      </c>
      <c r="D493" s="62" t="s">
        <v>218</v>
      </c>
      <c r="E493" s="62" t="s">
        <v>131</v>
      </c>
      <c r="F493" s="62" t="s">
        <v>5</v>
      </c>
      <c r="G493">
        <v>51</v>
      </c>
      <c r="H493">
        <v>51</v>
      </c>
      <c r="I493" s="62" t="s">
        <v>506</v>
      </c>
      <c r="J493" s="62" t="s">
        <v>1272</v>
      </c>
      <c r="K493" s="62" t="s">
        <v>1272</v>
      </c>
      <c r="L493" s="62" t="s">
        <v>1110</v>
      </c>
    </row>
    <row r="494" spans="1:12" x14ac:dyDescent="0.35">
      <c r="A494">
        <v>10820</v>
      </c>
      <c r="B494" s="62" t="s">
        <v>324</v>
      </c>
      <c r="C494" s="62" t="s">
        <v>494</v>
      </c>
      <c r="D494" s="62" t="s">
        <v>318</v>
      </c>
      <c r="E494" s="62" t="s">
        <v>131</v>
      </c>
      <c r="F494" s="62" t="s">
        <v>5</v>
      </c>
      <c r="G494">
        <v>394</v>
      </c>
      <c r="H494">
        <v>394</v>
      </c>
      <c r="I494" s="62" t="s">
        <v>506</v>
      </c>
      <c r="J494" s="62" t="s">
        <v>1273</v>
      </c>
      <c r="K494" s="62" t="s">
        <v>1273</v>
      </c>
      <c r="L494" s="62" t="s">
        <v>1110</v>
      </c>
    </row>
    <row r="495" spans="1:12" x14ac:dyDescent="0.35">
      <c r="A495">
        <v>10820</v>
      </c>
      <c r="B495" s="62" t="s">
        <v>324</v>
      </c>
      <c r="C495" s="62" t="s">
        <v>494</v>
      </c>
      <c r="D495" s="62" t="s">
        <v>318</v>
      </c>
      <c r="E495" s="62" t="s">
        <v>131</v>
      </c>
      <c r="F495" s="62" t="s">
        <v>6</v>
      </c>
      <c r="G495">
        <v>23</v>
      </c>
      <c r="I495" s="62" t="s">
        <v>507</v>
      </c>
      <c r="J495" s="62" t="s">
        <v>1274</v>
      </c>
      <c r="K495" s="62" t="s">
        <v>1274</v>
      </c>
      <c r="L495" s="62" t="s">
        <v>1110</v>
      </c>
    </row>
    <row r="496" spans="1:12" x14ac:dyDescent="0.35">
      <c r="A496">
        <v>10820</v>
      </c>
      <c r="B496" s="62" t="s">
        <v>324</v>
      </c>
      <c r="C496" s="62" t="s">
        <v>494</v>
      </c>
      <c r="D496" s="62" t="s">
        <v>318</v>
      </c>
      <c r="E496" s="62" t="s">
        <v>131</v>
      </c>
      <c r="F496" s="62" t="s">
        <v>508</v>
      </c>
      <c r="G496">
        <v>2</v>
      </c>
      <c r="I496" s="62" t="s">
        <v>507</v>
      </c>
      <c r="J496" s="62" t="s">
        <v>1275</v>
      </c>
      <c r="K496" s="62" t="s">
        <v>1275</v>
      </c>
      <c r="L496" s="62" t="s">
        <v>1110</v>
      </c>
    </row>
    <row r="497" spans="1:12" x14ac:dyDescent="0.35">
      <c r="A497">
        <v>12333</v>
      </c>
      <c r="B497" s="62" t="s">
        <v>224</v>
      </c>
      <c r="C497" s="62" t="s">
        <v>487</v>
      </c>
      <c r="D497" s="62" t="s">
        <v>218</v>
      </c>
      <c r="E497" s="62" t="s">
        <v>131</v>
      </c>
      <c r="F497" s="62" t="s">
        <v>4</v>
      </c>
      <c r="G497">
        <v>76</v>
      </c>
      <c r="H497">
        <v>76</v>
      </c>
      <c r="I497" s="62" t="s">
        <v>506</v>
      </c>
      <c r="J497" s="62" t="s">
        <v>1276</v>
      </c>
      <c r="K497" s="62" t="s">
        <v>1276</v>
      </c>
      <c r="L497" s="62" t="s">
        <v>1110</v>
      </c>
    </row>
    <row r="498" spans="1:12" x14ac:dyDescent="0.35">
      <c r="A498">
        <v>10820</v>
      </c>
      <c r="B498" s="62" t="s">
        <v>324</v>
      </c>
      <c r="C498" s="62" t="s">
        <v>494</v>
      </c>
      <c r="D498" s="62" t="s">
        <v>318</v>
      </c>
      <c r="E498" s="62" t="s">
        <v>131</v>
      </c>
      <c r="F498" s="62" t="s">
        <v>4</v>
      </c>
      <c r="G498">
        <v>121</v>
      </c>
      <c r="H498">
        <v>121</v>
      </c>
      <c r="I498" s="62" t="s">
        <v>506</v>
      </c>
      <c r="J498" s="62" t="s">
        <v>1277</v>
      </c>
      <c r="K498" s="62" t="s">
        <v>1277</v>
      </c>
      <c r="L498" s="62" t="s">
        <v>1110</v>
      </c>
    </row>
    <row r="499" spans="1:12" x14ac:dyDescent="0.35">
      <c r="A499">
        <v>10657</v>
      </c>
      <c r="B499" s="62" t="s">
        <v>340</v>
      </c>
      <c r="C499" s="62" t="s">
        <v>494</v>
      </c>
      <c r="D499" s="62" t="s">
        <v>337</v>
      </c>
      <c r="E499" s="62" t="s">
        <v>131</v>
      </c>
      <c r="F499" s="62" t="s">
        <v>508</v>
      </c>
      <c r="G499">
        <v>9</v>
      </c>
      <c r="I499" s="62" t="s">
        <v>507</v>
      </c>
      <c r="J499" s="62" t="s">
        <v>1278</v>
      </c>
      <c r="K499" s="62" t="s">
        <v>1278</v>
      </c>
      <c r="L499" s="62" t="s">
        <v>1110</v>
      </c>
    </row>
    <row r="500" spans="1:12" x14ac:dyDescent="0.35">
      <c r="A500">
        <v>10657</v>
      </c>
      <c r="B500" s="62" t="s">
        <v>340</v>
      </c>
      <c r="C500" s="62" t="s">
        <v>494</v>
      </c>
      <c r="D500" s="62" t="s">
        <v>337</v>
      </c>
      <c r="E500" s="62" t="s">
        <v>131</v>
      </c>
      <c r="F500" s="62" t="s">
        <v>6</v>
      </c>
      <c r="G500">
        <v>10</v>
      </c>
      <c r="I500" s="62" t="s">
        <v>507</v>
      </c>
      <c r="J500" s="62" t="s">
        <v>1279</v>
      </c>
      <c r="K500" s="62" t="s">
        <v>1279</v>
      </c>
      <c r="L500" s="62" t="s">
        <v>1110</v>
      </c>
    </row>
    <row r="501" spans="1:12" x14ac:dyDescent="0.35">
      <c r="A501">
        <v>10657</v>
      </c>
      <c r="B501" s="62" t="s">
        <v>340</v>
      </c>
      <c r="C501" s="62" t="s">
        <v>494</v>
      </c>
      <c r="D501" s="62" t="s">
        <v>337</v>
      </c>
      <c r="E501" s="62" t="s">
        <v>131</v>
      </c>
      <c r="F501" s="62" t="s">
        <v>5</v>
      </c>
      <c r="G501">
        <v>1245</v>
      </c>
      <c r="H501">
        <v>1245</v>
      </c>
      <c r="I501" s="62" t="s">
        <v>506</v>
      </c>
      <c r="J501" s="62" t="s">
        <v>1280</v>
      </c>
      <c r="K501" s="62" t="s">
        <v>1280</v>
      </c>
      <c r="L501" s="62" t="s">
        <v>1110</v>
      </c>
    </row>
    <row r="502" spans="1:12" x14ac:dyDescent="0.35">
      <c r="A502">
        <v>11183</v>
      </c>
      <c r="B502" s="62" t="s">
        <v>329</v>
      </c>
      <c r="C502" s="62" t="s">
        <v>494</v>
      </c>
      <c r="D502" s="62" t="s">
        <v>318</v>
      </c>
      <c r="E502" s="62" t="s">
        <v>131</v>
      </c>
      <c r="F502" s="62" t="s">
        <v>6</v>
      </c>
      <c r="G502">
        <v>11</v>
      </c>
      <c r="H502">
        <v>11</v>
      </c>
      <c r="I502" s="62" t="s">
        <v>506</v>
      </c>
      <c r="J502" s="62" t="s">
        <v>1570</v>
      </c>
      <c r="K502" s="62" t="s">
        <v>1570</v>
      </c>
      <c r="L502" s="62" t="s">
        <v>1110</v>
      </c>
    </row>
    <row r="503" spans="1:12" x14ac:dyDescent="0.35">
      <c r="A503">
        <v>11183</v>
      </c>
      <c r="B503" s="62" t="s">
        <v>329</v>
      </c>
      <c r="C503" s="62" t="s">
        <v>494</v>
      </c>
      <c r="D503" s="62" t="s">
        <v>318</v>
      </c>
      <c r="E503" s="62" t="s">
        <v>131</v>
      </c>
      <c r="F503" s="62" t="s">
        <v>5</v>
      </c>
      <c r="G503">
        <v>126</v>
      </c>
      <c r="H503">
        <v>126</v>
      </c>
      <c r="I503" s="62" t="s">
        <v>506</v>
      </c>
      <c r="J503" s="62" t="s">
        <v>1571</v>
      </c>
      <c r="K503" s="62" t="s">
        <v>1571</v>
      </c>
      <c r="L503" s="62" t="s">
        <v>1110</v>
      </c>
    </row>
    <row r="504" spans="1:12" x14ac:dyDescent="0.35">
      <c r="A504">
        <v>11183</v>
      </c>
      <c r="B504" s="62" t="s">
        <v>329</v>
      </c>
      <c r="C504" s="62" t="s">
        <v>494</v>
      </c>
      <c r="D504" s="62" t="s">
        <v>318</v>
      </c>
      <c r="E504" s="62" t="s">
        <v>131</v>
      </c>
      <c r="F504" s="62" t="s">
        <v>508</v>
      </c>
      <c r="G504">
        <v>2</v>
      </c>
      <c r="H504">
        <v>2</v>
      </c>
      <c r="I504" s="62" t="s">
        <v>506</v>
      </c>
      <c r="J504" s="62" t="s">
        <v>1572</v>
      </c>
      <c r="K504" s="62" t="s">
        <v>1572</v>
      </c>
      <c r="L504" s="62" t="s">
        <v>1110</v>
      </c>
    </row>
    <row r="505" spans="1:12" x14ac:dyDescent="0.35">
      <c r="A505">
        <v>10429</v>
      </c>
      <c r="B505" s="62" t="s">
        <v>353</v>
      </c>
      <c r="C505" s="62" t="s">
        <v>494</v>
      </c>
      <c r="D505" s="62" t="s">
        <v>351</v>
      </c>
      <c r="E505" s="62" t="s">
        <v>131</v>
      </c>
      <c r="F505" s="62" t="s">
        <v>508</v>
      </c>
      <c r="G505">
        <v>7</v>
      </c>
      <c r="H505">
        <v>7</v>
      </c>
      <c r="I505" s="62" t="s">
        <v>506</v>
      </c>
      <c r="J505" s="62" t="s">
        <v>1281</v>
      </c>
      <c r="K505" s="62" t="s">
        <v>1281</v>
      </c>
      <c r="L505" s="62" t="s">
        <v>1110</v>
      </c>
    </row>
    <row r="506" spans="1:12" x14ac:dyDescent="0.35">
      <c r="A506">
        <v>10429</v>
      </c>
      <c r="B506" s="62" t="s">
        <v>353</v>
      </c>
      <c r="C506" s="62" t="s">
        <v>494</v>
      </c>
      <c r="D506" s="62" t="s">
        <v>351</v>
      </c>
      <c r="E506" s="62" t="s">
        <v>131</v>
      </c>
      <c r="F506" s="62" t="s">
        <v>6</v>
      </c>
      <c r="G506">
        <v>4</v>
      </c>
      <c r="H506">
        <v>4</v>
      </c>
      <c r="I506" s="62" t="s">
        <v>506</v>
      </c>
      <c r="J506" s="62" t="s">
        <v>1282</v>
      </c>
      <c r="K506" s="62" t="s">
        <v>1282</v>
      </c>
      <c r="L506" s="62" t="s">
        <v>1110</v>
      </c>
    </row>
    <row r="507" spans="1:12" x14ac:dyDescent="0.35">
      <c r="A507">
        <v>10429</v>
      </c>
      <c r="B507" s="62" t="s">
        <v>353</v>
      </c>
      <c r="C507" s="62" t="s">
        <v>494</v>
      </c>
      <c r="D507" s="62" t="s">
        <v>351</v>
      </c>
      <c r="E507" s="62" t="s">
        <v>131</v>
      </c>
      <c r="F507" s="62" t="s">
        <v>5</v>
      </c>
      <c r="G507">
        <v>182</v>
      </c>
      <c r="H507">
        <v>182</v>
      </c>
      <c r="I507" s="62" t="s">
        <v>506</v>
      </c>
      <c r="J507" s="62" t="s">
        <v>1283</v>
      </c>
      <c r="K507" s="62" t="s">
        <v>1283</v>
      </c>
      <c r="L507" s="62" t="s">
        <v>1110</v>
      </c>
    </row>
    <row r="508" spans="1:12" x14ac:dyDescent="0.35">
      <c r="A508">
        <v>12675</v>
      </c>
      <c r="B508" s="62" t="s">
        <v>144</v>
      </c>
      <c r="C508" s="62" t="s">
        <v>485</v>
      </c>
      <c r="D508" s="62" t="s">
        <v>140</v>
      </c>
      <c r="E508" s="62" t="s">
        <v>131</v>
      </c>
      <c r="F508" s="62" t="s">
        <v>508</v>
      </c>
      <c r="G508">
        <v>1</v>
      </c>
      <c r="I508" s="62" t="s">
        <v>507</v>
      </c>
      <c r="J508" s="62" t="s">
        <v>509</v>
      </c>
      <c r="K508" s="62" t="s">
        <v>509</v>
      </c>
      <c r="L508" s="62" t="s">
        <v>1110</v>
      </c>
    </row>
    <row r="509" spans="1:12" x14ac:dyDescent="0.35">
      <c r="A509">
        <v>12041</v>
      </c>
      <c r="B509" s="62" t="s">
        <v>161</v>
      </c>
      <c r="C509" s="62" t="s">
        <v>485</v>
      </c>
      <c r="D509" s="62" t="s">
        <v>159</v>
      </c>
      <c r="E509" s="62" t="s">
        <v>131</v>
      </c>
      <c r="F509" s="62" t="s">
        <v>508</v>
      </c>
      <c r="G509">
        <v>219</v>
      </c>
      <c r="I509" s="62" t="s">
        <v>507</v>
      </c>
      <c r="J509" s="62" t="s">
        <v>510</v>
      </c>
      <c r="K509" s="62" t="s">
        <v>510</v>
      </c>
      <c r="L509" s="62" t="s">
        <v>1110</v>
      </c>
    </row>
    <row r="510" spans="1:12" x14ac:dyDescent="0.35">
      <c r="A510">
        <v>11076</v>
      </c>
      <c r="B510" s="62" t="s">
        <v>343</v>
      </c>
      <c r="C510" s="62" t="s">
        <v>494</v>
      </c>
      <c r="D510" s="62" t="s">
        <v>337</v>
      </c>
      <c r="E510" s="62" t="s">
        <v>131</v>
      </c>
      <c r="F510" s="62" t="s">
        <v>508</v>
      </c>
      <c r="G510">
        <v>6</v>
      </c>
      <c r="H510">
        <v>6</v>
      </c>
      <c r="I510" s="62" t="s">
        <v>506</v>
      </c>
      <c r="J510" s="62" t="s">
        <v>513</v>
      </c>
      <c r="K510" s="62" t="s">
        <v>513</v>
      </c>
      <c r="L510" s="62" t="s">
        <v>1110</v>
      </c>
    </row>
    <row r="511" spans="1:12" x14ac:dyDescent="0.35">
      <c r="A511">
        <v>10786</v>
      </c>
      <c r="B511" s="62" t="s">
        <v>323</v>
      </c>
      <c r="C511" s="62" t="s">
        <v>494</v>
      </c>
      <c r="D511" s="62" t="s">
        <v>318</v>
      </c>
      <c r="E511" s="62" t="s">
        <v>131</v>
      </c>
      <c r="F511" s="62" t="s">
        <v>5</v>
      </c>
      <c r="G511">
        <v>2282</v>
      </c>
      <c r="I511" s="62" t="s">
        <v>506</v>
      </c>
      <c r="J511" s="62" t="s">
        <v>515</v>
      </c>
      <c r="K511" s="62" t="s">
        <v>515</v>
      </c>
      <c r="L511" s="62" t="s">
        <v>1110</v>
      </c>
    </row>
    <row r="512" spans="1:12" x14ac:dyDescent="0.35">
      <c r="A512">
        <v>10912</v>
      </c>
      <c r="B512" s="62" t="s">
        <v>334</v>
      </c>
      <c r="C512" s="62" t="s">
        <v>494</v>
      </c>
      <c r="D512" s="62" t="s">
        <v>330</v>
      </c>
      <c r="E512" s="62" t="s">
        <v>131</v>
      </c>
      <c r="F512" s="62" t="s">
        <v>508</v>
      </c>
      <c r="G512">
        <v>122</v>
      </c>
      <c r="I512" s="62" t="s">
        <v>507</v>
      </c>
      <c r="J512" s="62" t="s">
        <v>518</v>
      </c>
      <c r="K512" s="62" t="s">
        <v>518</v>
      </c>
      <c r="L512" s="62" t="s">
        <v>1110</v>
      </c>
    </row>
    <row r="513" spans="1:12" x14ac:dyDescent="0.35">
      <c r="A513">
        <v>10912</v>
      </c>
      <c r="B513" s="62" t="s">
        <v>334</v>
      </c>
      <c r="C513" s="62" t="s">
        <v>494</v>
      </c>
      <c r="D513" s="62" t="s">
        <v>330</v>
      </c>
      <c r="E513" s="62" t="s">
        <v>131</v>
      </c>
      <c r="F513" s="62" t="s">
        <v>6</v>
      </c>
      <c r="G513">
        <v>84</v>
      </c>
      <c r="I513" s="62" t="s">
        <v>507</v>
      </c>
      <c r="J513" s="62" t="s">
        <v>519</v>
      </c>
      <c r="K513" s="62" t="s">
        <v>519</v>
      </c>
      <c r="L513" s="62" t="s">
        <v>1110</v>
      </c>
    </row>
    <row r="514" spans="1:12" x14ac:dyDescent="0.35">
      <c r="A514">
        <v>11126</v>
      </c>
      <c r="B514" s="62" t="s">
        <v>335</v>
      </c>
      <c r="C514" s="62" t="s">
        <v>494</v>
      </c>
      <c r="D514" s="62" t="s">
        <v>330</v>
      </c>
      <c r="E514" s="62" t="s">
        <v>131</v>
      </c>
      <c r="F514" s="62" t="s">
        <v>5</v>
      </c>
      <c r="G514">
        <v>166</v>
      </c>
      <c r="H514">
        <v>166</v>
      </c>
      <c r="I514" s="62" t="s">
        <v>506</v>
      </c>
      <c r="J514" s="62" t="s">
        <v>520</v>
      </c>
      <c r="K514" s="62" t="s">
        <v>520</v>
      </c>
      <c r="L514" s="62" t="s">
        <v>1110</v>
      </c>
    </row>
    <row r="515" spans="1:12" x14ac:dyDescent="0.35">
      <c r="A515">
        <v>12589</v>
      </c>
      <c r="B515" s="62" t="s">
        <v>262</v>
      </c>
      <c r="C515" s="62" t="s">
        <v>488</v>
      </c>
      <c r="D515" s="62" t="s">
        <v>261</v>
      </c>
      <c r="E515" s="62" t="s">
        <v>131</v>
      </c>
      <c r="F515" s="62" t="s">
        <v>508</v>
      </c>
      <c r="G515">
        <v>82</v>
      </c>
      <c r="H515">
        <v>82</v>
      </c>
      <c r="I515" s="62" t="s">
        <v>506</v>
      </c>
      <c r="J515" s="62" t="s">
        <v>521</v>
      </c>
      <c r="K515" s="62" t="s">
        <v>521</v>
      </c>
      <c r="L515" s="62" t="s">
        <v>1110</v>
      </c>
    </row>
    <row r="516" spans="1:12" x14ac:dyDescent="0.35">
      <c r="A516">
        <v>12174</v>
      </c>
      <c r="B516" s="62" t="s">
        <v>141</v>
      </c>
      <c r="C516" s="62" t="s">
        <v>485</v>
      </c>
      <c r="D516" s="62" t="s">
        <v>140</v>
      </c>
      <c r="E516" s="62" t="s">
        <v>131</v>
      </c>
      <c r="F516" s="62" t="s">
        <v>508</v>
      </c>
      <c r="G516">
        <v>52</v>
      </c>
      <c r="I516" s="62" t="s">
        <v>506</v>
      </c>
      <c r="J516" s="62" t="s">
        <v>523</v>
      </c>
      <c r="K516" s="62" t="s">
        <v>523</v>
      </c>
      <c r="L516" s="62" t="s">
        <v>1110</v>
      </c>
    </row>
    <row r="517" spans="1:12" x14ac:dyDescent="0.35">
      <c r="A517">
        <v>12198</v>
      </c>
      <c r="B517" s="62" t="s">
        <v>213</v>
      </c>
      <c r="C517" s="62" t="s">
        <v>487</v>
      </c>
      <c r="D517" s="62" t="s">
        <v>208</v>
      </c>
      <c r="E517" s="62" t="s">
        <v>131</v>
      </c>
      <c r="F517" s="62" t="s">
        <v>508</v>
      </c>
      <c r="G517">
        <v>2</v>
      </c>
      <c r="I517" s="62" t="s">
        <v>507</v>
      </c>
      <c r="J517" s="62" t="s">
        <v>525</v>
      </c>
      <c r="K517" s="62" t="s">
        <v>525</v>
      </c>
      <c r="L517" s="62" t="s">
        <v>1110</v>
      </c>
    </row>
    <row r="518" spans="1:12" x14ac:dyDescent="0.35">
      <c r="A518">
        <v>12198</v>
      </c>
      <c r="B518" s="62" t="s">
        <v>213</v>
      </c>
      <c r="C518" s="62" t="s">
        <v>487</v>
      </c>
      <c r="D518" s="62" t="s">
        <v>208</v>
      </c>
      <c r="E518" s="62" t="s">
        <v>131</v>
      </c>
      <c r="F518" s="62" t="s">
        <v>6</v>
      </c>
      <c r="G518">
        <v>67</v>
      </c>
      <c r="I518" s="62" t="s">
        <v>507</v>
      </c>
      <c r="J518" s="62" t="s">
        <v>526</v>
      </c>
      <c r="K518" s="62" t="s">
        <v>526</v>
      </c>
      <c r="L518" s="62" t="s">
        <v>1110</v>
      </c>
    </row>
    <row r="519" spans="1:12" x14ac:dyDescent="0.35">
      <c r="A519">
        <v>12198</v>
      </c>
      <c r="B519" s="62" t="s">
        <v>213</v>
      </c>
      <c r="C519" s="62" t="s">
        <v>487</v>
      </c>
      <c r="D519" s="62" t="s">
        <v>208</v>
      </c>
      <c r="E519" s="62" t="s">
        <v>131</v>
      </c>
      <c r="F519" s="62" t="s">
        <v>5</v>
      </c>
      <c r="G519">
        <v>7</v>
      </c>
      <c r="I519" s="62" t="s">
        <v>507</v>
      </c>
      <c r="J519" s="62" t="s">
        <v>527</v>
      </c>
      <c r="K519" s="62" t="s">
        <v>527</v>
      </c>
      <c r="L519" s="62" t="s">
        <v>1110</v>
      </c>
    </row>
    <row r="520" spans="1:12" x14ac:dyDescent="0.35">
      <c r="A520">
        <v>12300</v>
      </c>
      <c r="B520" s="62" t="s">
        <v>243</v>
      </c>
      <c r="C520" s="62" t="s">
        <v>487</v>
      </c>
      <c r="D520" s="62" t="s">
        <v>237</v>
      </c>
      <c r="E520" s="62" t="s">
        <v>131</v>
      </c>
      <c r="F520" s="62" t="s">
        <v>6</v>
      </c>
      <c r="G520">
        <v>23</v>
      </c>
      <c r="H520">
        <v>23</v>
      </c>
      <c r="I520" s="62" t="s">
        <v>506</v>
      </c>
      <c r="J520" s="62" t="s">
        <v>530</v>
      </c>
      <c r="K520" s="62" t="s">
        <v>530</v>
      </c>
      <c r="L520" s="62" t="s">
        <v>1110</v>
      </c>
    </row>
    <row r="521" spans="1:12" x14ac:dyDescent="0.35">
      <c r="A521">
        <v>12300</v>
      </c>
      <c r="B521" s="62" t="s">
        <v>243</v>
      </c>
      <c r="C521" s="62" t="s">
        <v>487</v>
      </c>
      <c r="D521" s="62" t="s">
        <v>237</v>
      </c>
      <c r="E521" s="62" t="s">
        <v>131</v>
      </c>
      <c r="F521" s="62" t="s">
        <v>5</v>
      </c>
      <c r="G521">
        <v>11</v>
      </c>
      <c r="H521">
        <v>11</v>
      </c>
      <c r="I521" s="62" t="s">
        <v>506</v>
      </c>
      <c r="J521" s="62" t="s">
        <v>531</v>
      </c>
      <c r="K521" s="62" t="s">
        <v>531</v>
      </c>
      <c r="L521" s="62" t="s">
        <v>1110</v>
      </c>
    </row>
    <row r="522" spans="1:12" x14ac:dyDescent="0.35">
      <c r="A522">
        <v>12563</v>
      </c>
      <c r="B522" s="62" t="s">
        <v>255</v>
      </c>
      <c r="C522" s="62" t="s">
        <v>488</v>
      </c>
      <c r="D522" s="62" t="s">
        <v>250</v>
      </c>
      <c r="E522" s="62" t="s">
        <v>131</v>
      </c>
      <c r="F522" s="62" t="s">
        <v>5</v>
      </c>
      <c r="G522">
        <v>988</v>
      </c>
      <c r="H522">
        <v>1000</v>
      </c>
      <c r="I522" s="62" t="s">
        <v>506</v>
      </c>
      <c r="J522" s="62" t="s">
        <v>535</v>
      </c>
      <c r="K522" s="62" t="s">
        <v>535</v>
      </c>
      <c r="L522" s="62" t="s">
        <v>1110</v>
      </c>
    </row>
    <row r="523" spans="1:12" x14ac:dyDescent="0.35">
      <c r="A523">
        <v>12226</v>
      </c>
      <c r="B523" s="62" t="s">
        <v>222</v>
      </c>
      <c r="C523" s="62" t="s">
        <v>487</v>
      </c>
      <c r="D523" s="62" t="s">
        <v>218</v>
      </c>
      <c r="E523" s="62" t="s">
        <v>131</v>
      </c>
      <c r="F523" s="62" t="s">
        <v>6</v>
      </c>
      <c r="G523">
        <v>4</v>
      </c>
      <c r="I523" s="62" t="s">
        <v>507</v>
      </c>
      <c r="J523" s="62" t="s">
        <v>539</v>
      </c>
      <c r="K523" s="62" t="s">
        <v>539</v>
      </c>
      <c r="L523" s="62" t="s">
        <v>1110</v>
      </c>
    </row>
    <row r="524" spans="1:12" x14ac:dyDescent="0.35">
      <c r="A524">
        <v>12232</v>
      </c>
      <c r="B524" s="62" t="s">
        <v>179</v>
      </c>
      <c r="C524" s="62" t="s">
        <v>485</v>
      </c>
      <c r="D524" s="62" t="s">
        <v>175</v>
      </c>
      <c r="E524" s="62" t="s">
        <v>131</v>
      </c>
      <c r="F524" s="62" t="s">
        <v>6</v>
      </c>
      <c r="G524">
        <v>1</v>
      </c>
      <c r="H524">
        <v>1</v>
      </c>
      <c r="I524" s="62" t="s">
        <v>506</v>
      </c>
      <c r="J524" s="62" t="s">
        <v>543</v>
      </c>
      <c r="K524" s="62" t="s">
        <v>543</v>
      </c>
      <c r="L524" s="62" t="s">
        <v>1110</v>
      </c>
    </row>
    <row r="525" spans="1:12" x14ac:dyDescent="0.35">
      <c r="A525">
        <v>12722</v>
      </c>
      <c r="B525" s="62" t="s">
        <v>235</v>
      </c>
      <c r="C525" s="62" t="s">
        <v>487</v>
      </c>
      <c r="D525" s="62" t="s">
        <v>226</v>
      </c>
      <c r="E525" s="62" t="s">
        <v>131</v>
      </c>
      <c r="F525" s="62" t="s">
        <v>6</v>
      </c>
      <c r="G525">
        <v>5</v>
      </c>
      <c r="H525">
        <v>5</v>
      </c>
      <c r="I525" s="62" t="s">
        <v>506</v>
      </c>
      <c r="J525" s="62" t="s">
        <v>544</v>
      </c>
      <c r="K525" s="62" t="s">
        <v>544</v>
      </c>
      <c r="L525" s="62" t="s">
        <v>1110</v>
      </c>
    </row>
    <row r="526" spans="1:12" x14ac:dyDescent="0.35">
      <c r="A526">
        <v>11928</v>
      </c>
      <c r="B526" s="62" t="s">
        <v>197</v>
      </c>
      <c r="C526" s="62" t="s">
        <v>485</v>
      </c>
      <c r="D526" s="62" t="s">
        <v>196</v>
      </c>
      <c r="E526" s="62" t="s">
        <v>131</v>
      </c>
      <c r="F526" s="62" t="s">
        <v>6</v>
      </c>
      <c r="G526">
        <v>5</v>
      </c>
      <c r="H526">
        <v>5</v>
      </c>
      <c r="I526" s="62" t="s">
        <v>506</v>
      </c>
      <c r="J526" s="62" t="s">
        <v>545</v>
      </c>
      <c r="K526" s="62" t="s">
        <v>545</v>
      </c>
      <c r="L526" s="62" t="s">
        <v>1110</v>
      </c>
    </row>
    <row r="527" spans="1:12" x14ac:dyDescent="0.35">
      <c r="A527">
        <v>12272</v>
      </c>
      <c r="B527" s="62" t="s">
        <v>265</v>
      </c>
      <c r="C527" s="62" t="s">
        <v>488</v>
      </c>
      <c r="D527" s="62" t="s">
        <v>263</v>
      </c>
      <c r="E527" s="62" t="s">
        <v>131</v>
      </c>
      <c r="F527" s="62" t="s">
        <v>508</v>
      </c>
      <c r="G527">
        <v>34</v>
      </c>
      <c r="H527">
        <v>34</v>
      </c>
      <c r="I527" s="62" t="s">
        <v>506</v>
      </c>
      <c r="J527" s="62" t="s">
        <v>546</v>
      </c>
      <c r="K527" s="62" t="s">
        <v>546</v>
      </c>
      <c r="L527" s="62" t="s">
        <v>1110</v>
      </c>
    </row>
    <row r="528" spans="1:12" x14ac:dyDescent="0.35">
      <c r="A528">
        <v>12272</v>
      </c>
      <c r="B528" s="62" t="s">
        <v>265</v>
      </c>
      <c r="C528" s="62" t="s">
        <v>488</v>
      </c>
      <c r="D528" s="62" t="s">
        <v>263</v>
      </c>
      <c r="E528" s="62" t="s">
        <v>131</v>
      </c>
      <c r="F528" s="62" t="s">
        <v>6</v>
      </c>
      <c r="G528">
        <v>26</v>
      </c>
      <c r="H528">
        <v>26</v>
      </c>
      <c r="I528" s="62" t="s">
        <v>506</v>
      </c>
      <c r="J528" s="62" t="s">
        <v>547</v>
      </c>
      <c r="K528" s="62" t="s">
        <v>547</v>
      </c>
      <c r="L528" s="62" t="s">
        <v>1110</v>
      </c>
    </row>
    <row r="529" spans="1:12" x14ac:dyDescent="0.35">
      <c r="A529">
        <v>12023</v>
      </c>
      <c r="B529" s="62" t="s">
        <v>227</v>
      </c>
      <c r="C529" s="62" t="s">
        <v>487</v>
      </c>
      <c r="D529" s="62" t="s">
        <v>226</v>
      </c>
      <c r="E529" s="62" t="s">
        <v>131</v>
      </c>
      <c r="F529" s="62" t="s">
        <v>508</v>
      </c>
      <c r="G529">
        <v>10</v>
      </c>
      <c r="H529">
        <v>10</v>
      </c>
      <c r="I529" s="62" t="s">
        <v>506</v>
      </c>
      <c r="J529" s="62" t="s">
        <v>548</v>
      </c>
      <c r="K529" s="62" t="s">
        <v>548</v>
      </c>
      <c r="L529" s="62" t="s">
        <v>1110</v>
      </c>
    </row>
    <row r="530" spans="1:12" x14ac:dyDescent="0.35">
      <c r="A530">
        <v>12820</v>
      </c>
      <c r="B530" s="62" t="s">
        <v>246</v>
      </c>
      <c r="C530" s="62" t="s">
        <v>487</v>
      </c>
      <c r="D530" s="62" t="s">
        <v>237</v>
      </c>
      <c r="E530" s="62" t="s">
        <v>131</v>
      </c>
      <c r="F530" s="62" t="s">
        <v>6</v>
      </c>
      <c r="G530">
        <v>18</v>
      </c>
      <c r="H530">
        <v>18</v>
      </c>
      <c r="I530" s="62" t="s">
        <v>506</v>
      </c>
      <c r="J530" s="62" t="s">
        <v>549</v>
      </c>
      <c r="K530" s="62" t="s">
        <v>549</v>
      </c>
      <c r="L530" s="62" t="s">
        <v>1110</v>
      </c>
    </row>
    <row r="531" spans="1:12" x14ac:dyDescent="0.35">
      <c r="A531">
        <v>12673</v>
      </c>
      <c r="B531" s="62" t="s">
        <v>244</v>
      </c>
      <c r="C531" s="62" t="s">
        <v>487</v>
      </c>
      <c r="D531" s="62" t="s">
        <v>237</v>
      </c>
      <c r="E531" s="62" t="s">
        <v>131</v>
      </c>
      <c r="F531" s="62" t="s">
        <v>5</v>
      </c>
      <c r="G531">
        <v>178</v>
      </c>
      <c r="I531" s="62" t="s">
        <v>506</v>
      </c>
      <c r="J531" s="62" t="s">
        <v>551</v>
      </c>
      <c r="K531" s="62" t="s">
        <v>551</v>
      </c>
      <c r="L531" s="62" t="s">
        <v>1110</v>
      </c>
    </row>
    <row r="532" spans="1:12" x14ac:dyDescent="0.35">
      <c r="A532">
        <v>12793</v>
      </c>
      <c r="B532" s="62" t="s">
        <v>275</v>
      </c>
      <c r="C532" s="62" t="s">
        <v>488</v>
      </c>
      <c r="D532" s="62" t="s">
        <v>271</v>
      </c>
      <c r="E532" s="62" t="s">
        <v>131</v>
      </c>
      <c r="F532" s="62" t="s">
        <v>6</v>
      </c>
      <c r="G532">
        <v>32</v>
      </c>
      <c r="H532">
        <v>7</v>
      </c>
      <c r="I532" s="62" t="s">
        <v>506</v>
      </c>
      <c r="J532" s="62" t="s">
        <v>552</v>
      </c>
      <c r="K532" s="62" t="s">
        <v>552</v>
      </c>
      <c r="L532" s="62" t="s">
        <v>1110</v>
      </c>
    </row>
    <row r="533" spans="1:12" x14ac:dyDescent="0.35">
      <c r="A533">
        <v>11942</v>
      </c>
      <c r="B533" s="62" t="s">
        <v>264</v>
      </c>
      <c r="C533" s="62" t="s">
        <v>488</v>
      </c>
      <c r="D533" s="62" t="s">
        <v>263</v>
      </c>
      <c r="E533" s="62" t="s">
        <v>131</v>
      </c>
      <c r="F533" s="62" t="s">
        <v>508</v>
      </c>
      <c r="G533">
        <v>46</v>
      </c>
      <c r="H533">
        <v>46</v>
      </c>
      <c r="I533" s="62" t="s">
        <v>506</v>
      </c>
      <c r="J533" s="62" t="s">
        <v>553</v>
      </c>
      <c r="K533" s="62" t="s">
        <v>553</v>
      </c>
      <c r="L533" s="62" t="s">
        <v>1110</v>
      </c>
    </row>
    <row r="534" spans="1:12" x14ac:dyDescent="0.35">
      <c r="A534">
        <v>11942</v>
      </c>
      <c r="B534" s="62" t="s">
        <v>264</v>
      </c>
      <c r="C534" s="62" t="s">
        <v>488</v>
      </c>
      <c r="D534" s="62" t="s">
        <v>263</v>
      </c>
      <c r="E534" s="62" t="s">
        <v>131</v>
      </c>
      <c r="F534" s="62" t="s">
        <v>6</v>
      </c>
      <c r="G534">
        <v>37</v>
      </c>
      <c r="H534">
        <v>37</v>
      </c>
      <c r="I534" s="62" t="s">
        <v>506</v>
      </c>
      <c r="J534" s="62" t="s">
        <v>554</v>
      </c>
      <c r="K534" s="62" t="s">
        <v>554</v>
      </c>
      <c r="L534" s="62" t="s">
        <v>1110</v>
      </c>
    </row>
    <row r="535" spans="1:12" x14ac:dyDescent="0.35">
      <c r="A535">
        <v>11942</v>
      </c>
      <c r="B535" s="62" t="s">
        <v>264</v>
      </c>
      <c r="C535" s="62" t="s">
        <v>488</v>
      </c>
      <c r="D535" s="62" t="s">
        <v>263</v>
      </c>
      <c r="E535" s="62" t="s">
        <v>131</v>
      </c>
      <c r="F535" s="62" t="s">
        <v>5</v>
      </c>
      <c r="G535">
        <v>2189</v>
      </c>
      <c r="H535">
        <v>2189</v>
      </c>
      <c r="I535" s="62" t="s">
        <v>506</v>
      </c>
      <c r="J535" s="62" t="s">
        <v>555</v>
      </c>
      <c r="K535" s="62" t="s">
        <v>555</v>
      </c>
      <c r="L535" s="62" t="s">
        <v>1110</v>
      </c>
    </row>
    <row r="536" spans="1:12" x14ac:dyDescent="0.35">
      <c r="A536">
        <v>10657</v>
      </c>
      <c r="B536" s="62" t="s">
        <v>340</v>
      </c>
      <c r="C536" s="62" t="s">
        <v>494</v>
      </c>
      <c r="D536" s="62" t="s">
        <v>337</v>
      </c>
      <c r="E536" s="62" t="s">
        <v>131</v>
      </c>
      <c r="F536" s="62" t="s">
        <v>508</v>
      </c>
      <c r="G536">
        <v>9</v>
      </c>
      <c r="H536">
        <v>9</v>
      </c>
      <c r="I536" s="62" t="s">
        <v>506</v>
      </c>
      <c r="J536" s="62" t="s">
        <v>557</v>
      </c>
      <c r="K536" s="62" t="s">
        <v>557</v>
      </c>
      <c r="L536" s="62" t="s">
        <v>1110</v>
      </c>
    </row>
    <row r="537" spans="1:12" x14ac:dyDescent="0.35">
      <c r="A537">
        <v>12700</v>
      </c>
      <c r="B537" s="62" t="s">
        <v>136</v>
      </c>
      <c r="C537" s="62" t="s">
        <v>485</v>
      </c>
      <c r="D537" s="62" t="s">
        <v>129</v>
      </c>
      <c r="E537" s="62" t="s">
        <v>131</v>
      </c>
      <c r="F537" s="62" t="s">
        <v>508</v>
      </c>
      <c r="G537">
        <v>1</v>
      </c>
      <c r="H537">
        <v>1</v>
      </c>
      <c r="I537" s="62" t="s">
        <v>506</v>
      </c>
      <c r="J537" s="62" t="s">
        <v>558</v>
      </c>
      <c r="K537" s="62" t="s">
        <v>558</v>
      </c>
      <c r="L537" s="62" t="s">
        <v>1110</v>
      </c>
    </row>
    <row r="538" spans="1:12" x14ac:dyDescent="0.35">
      <c r="A538">
        <v>12645</v>
      </c>
      <c r="B538" s="62" t="s">
        <v>234</v>
      </c>
      <c r="C538" s="62" t="s">
        <v>487</v>
      </c>
      <c r="D538" s="62" t="s">
        <v>226</v>
      </c>
      <c r="E538" s="62" t="s">
        <v>131</v>
      </c>
      <c r="F538" s="62" t="s">
        <v>6</v>
      </c>
      <c r="G538">
        <v>1</v>
      </c>
      <c r="H538">
        <v>1</v>
      </c>
      <c r="I538" s="62" t="s">
        <v>506</v>
      </c>
      <c r="J538" s="62" t="s">
        <v>560</v>
      </c>
      <c r="K538" s="62" t="s">
        <v>560</v>
      </c>
      <c r="L538" s="62" t="s">
        <v>1110</v>
      </c>
    </row>
    <row r="539" spans="1:12" x14ac:dyDescent="0.35">
      <c r="A539">
        <v>12023</v>
      </c>
      <c r="B539" s="62" t="s">
        <v>227</v>
      </c>
      <c r="C539" s="62" t="s">
        <v>487</v>
      </c>
      <c r="D539" s="62" t="s">
        <v>226</v>
      </c>
      <c r="E539" s="62" t="s">
        <v>131</v>
      </c>
      <c r="F539" s="62" t="s">
        <v>6</v>
      </c>
      <c r="G539">
        <v>9</v>
      </c>
      <c r="H539">
        <v>9</v>
      </c>
      <c r="I539" s="62" t="s">
        <v>506</v>
      </c>
      <c r="J539" s="62" t="s">
        <v>561</v>
      </c>
      <c r="K539" s="62" t="s">
        <v>561</v>
      </c>
      <c r="L539" s="62" t="s">
        <v>1110</v>
      </c>
    </row>
    <row r="540" spans="1:12" x14ac:dyDescent="0.35">
      <c r="A540">
        <v>12673</v>
      </c>
      <c r="B540" s="62" t="s">
        <v>244</v>
      </c>
      <c r="C540" s="62" t="s">
        <v>487</v>
      </c>
      <c r="D540" s="62" t="s">
        <v>237</v>
      </c>
      <c r="E540" s="62" t="s">
        <v>131</v>
      </c>
      <c r="F540" s="62" t="s">
        <v>6</v>
      </c>
      <c r="G540">
        <v>17</v>
      </c>
      <c r="H540">
        <v>17</v>
      </c>
      <c r="I540" s="62" t="s">
        <v>506</v>
      </c>
      <c r="J540" s="62" t="s">
        <v>562</v>
      </c>
      <c r="K540" s="62" t="s">
        <v>562</v>
      </c>
      <c r="L540" s="62" t="s">
        <v>1110</v>
      </c>
    </row>
    <row r="541" spans="1:12" x14ac:dyDescent="0.35">
      <c r="A541">
        <v>16463</v>
      </c>
      <c r="B541" s="62" t="s">
        <v>228</v>
      </c>
      <c r="C541" s="62" t="s">
        <v>487</v>
      </c>
      <c r="D541" s="62" t="s">
        <v>226</v>
      </c>
      <c r="E541" s="62" t="s">
        <v>131</v>
      </c>
      <c r="F541" s="62" t="s">
        <v>6</v>
      </c>
      <c r="G541">
        <v>481</v>
      </c>
      <c r="H541">
        <v>400</v>
      </c>
      <c r="I541" s="62" t="s">
        <v>507</v>
      </c>
      <c r="J541" s="62" t="s">
        <v>563</v>
      </c>
      <c r="K541" s="62" t="s">
        <v>563</v>
      </c>
      <c r="L541" s="62" t="s">
        <v>1110</v>
      </c>
    </row>
    <row r="542" spans="1:12" x14ac:dyDescent="0.35">
      <c r="A542">
        <v>12526</v>
      </c>
      <c r="B542" s="62" t="s">
        <v>184</v>
      </c>
      <c r="C542" s="62" t="s">
        <v>485</v>
      </c>
      <c r="D542" s="62" t="s">
        <v>175</v>
      </c>
      <c r="E542" s="62" t="s">
        <v>131</v>
      </c>
      <c r="F542" s="62" t="s">
        <v>6</v>
      </c>
      <c r="G542">
        <v>95</v>
      </c>
      <c r="H542">
        <v>95</v>
      </c>
      <c r="I542" s="62" t="s">
        <v>506</v>
      </c>
      <c r="J542" s="62" t="s">
        <v>564</v>
      </c>
      <c r="K542" s="62" t="s">
        <v>564</v>
      </c>
      <c r="L542" s="62" t="s">
        <v>1110</v>
      </c>
    </row>
    <row r="543" spans="1:12" x14ac:dyDescent="0.35">
      <c r="A543">
        <v>12192</v>
      </c>
      <c r="B543" s="62" t="s">
        <v>162</v>
      </c>
      <c r="C543" s="62" t="s">
        <v>485</v>
      </c>
      <c r="D543" s="62" t="s">
        <v>159</v>
      </c>
      <c r="E543" s="62" t="s">
        <v>131</v>
      </c>
      <c r="F543" s="62" t="s">
        <v>6</v>
      </c>
      <c r="G543">
        <v>23</v>
      </c>
      <c r="H543">
        <v>23</v>
      </c>
      <c r="I543" s="62" t="s">
        <v>506</v>
      </c>
      <c r="J543" s="62" t="s">
        <v>565</v>
      </c>
      <c r="K543" s="62" t="s">
        <v>565</v>
      </c>
      <c r="L543" s="62" t="s">
        <v>1110</v>
      </c>
    </row>
    <row r="544" spans="1:12" x14ac:dyDescent="0.35">
      <c r="A544">
        <v>12719</v>
      </c>
      <c r="B544" s="62" t="s">
        <v>245</v>
      </c>
      <c r="C544" s="62" t="s">
        <v>487</v>
      </c>
      <c r="D544" s="62" t="s">
        <v>237</v>
      </c>
      <c r="E544" s="62" t="s">
        <v>131</v>
      </c>
      <c r="F544" s="62" t="s">
        <v>508</v>
      </c>
      <c r="G544">
        <v>369</v>
      </c>
      <c r="H544">
        <v>463</v>
      </c>
      <c r="I544" s="62" t="s">
        <v>506</v>
      </c>
      <c r="J544" s="62" t="s">
        <v>566</v>
      </c>
      <c r="K544" s="62" t="s">
        <v>566</v>
      </c>
      <c r="L544" s="62" t="s">
        <v>1110</v>
      </c>
    </row>
    <row r="545" spans="1:12" x14ac:dyDescent="0.35">
      <c r="A545">
        <v>12631</v>
      </c>
      <c r="B545" s="62" t="s">
        <v>135</v>
      </c>
      <c r="C545" s="62" t="s">
        <v>485</v>
      </c>
      <c r="D545" s="62" t="s">
        <v>129</v>
      </c>
      <c r="E545" s="62" t="s">
        <v>131</v>
      </c>
      <c r="F545" s="62" t="s">
        <v>508</v>
      </c>
      <c r="G545">
        <v>220</v>
      </c>
      <c r="H545">
        <v>220</v>
      </c>
      <c r="I545" s="62" t="s">
        <v>506</v>
      </c>
      <c r="J545" s="62" t="s">
        <v>567</v>
      </c>
      <c r="K545" s="62" t="s">
        <v>567</v>
      </c>
      <c r="L545" s="62" t="s">
        <v>1110</v>
      </c>
    </row>
    <row r="546" spans="1:12" x14ac:dyDescent="0.35">
      <c r="A546">
        <v>12288</v>
      </c>
      <c r="B546" s="62" t="s">
        <v>253</v>
      </c>
      <c r="C546" s="62" t="s">
        <v>488</v>
      </c>
      <c r="D546" s="62" t="s">
        <v>250</v>
      </c>
      <c r="E546" s="62" t="s">
        <v>131</v>
      </c>
      <c r="F546" s="62" t="s">
        <v>568</v>
      </c>
      <c r="G546">
        <v>569</v>
      </c>
      <c r="H546">
        <v>569</v>
      </c>
      <c r="I546" s="62" t="s">
        <v>506</v>
      </c>
      <c r="J546" s="62" t="s">
        <v>569</v>
      </c>
      <c r="K546" s="62" t="s">
        <v>569</v>
      </c>
      <c r="L546" s="62" t="s">
        <v>1110</v>
      </c>
    </row>
    <row r="547" spans="1:12" x14ac:dyDescent="0.35">
      <c r="A547">
        <v>12605</v>
      </c>
      <c r="B547" s="62" t="s">
        <v>150</v>
      </c>
      <c r="C547" s="62" t="s">
        <v>485</v>
      </c>
      <c r="D547" s="62" t="s">
        <v>146</v>
      </c>
      <c r="E547" s="62" t="s">
        <v>131</v>
      </c>
      <c r="F547" s="62" t="s">
        <v>568</v>
      </c>
      <c r="G547">
        <v>1199</v>
      </c>
      <c r="H547">
        <v>1199</v>
      </c>
      <c r="I547" s="62" t="s">
        <v>506</v>
      </c>
      <c r="J547" s="62" t="s">
        <v>570</v>
      </c>
      <c r="K547" s="62" t="s">
        <v>570</v>
      </c>
      <c r="L547" s="62" t="s">
        <v>1110</v>
      </c>
    </row>
    <row r="548" spans="1:12" x14ac:dyDescent="0.35">
      <c r="A548">
        <v>16466</v>
      </c>
      <c r="B548" s="62" t="s">
        <v>231</v>
      </c>
      <c r="C548" s="62" t="s">
        <v>487</v>
      </c>
      <c r="D548" s="62" t="s">
        <v>226</v>
      </c>
      <c r="E548" s="62" t="s">
        <v>131</v>
      </c>
      <c r="F548" s="62" t="s">
        <v>568</v>
      </c>
      <c r="G548">
        <v>1245</v>
      </c>
      <c r="H548">
        <v>1245</v>
      </c>
      <c r="I548" s="62" t="s">
        <v>506</v>
      </c>
      <c r="J548" s="62" t="s">
        <v>571</v>
      </c>
      <c r="K548" s="62" t="s">
        <v>571</v>
      </c>
      <c r="L548" s="62" t="s">
        <v>1110</v>
      </c>
    </row>
    <row r="549" spans="1:12" x14ac:dyDescent="0.35">
      <c r="A549">
        <v>12454</v>
      </c>
      <c r="B549" s="62" t="s">
        <v>233</v>
      </c>
      <c r="C549" s="62" t="s">
        <v>487</v>
      </c>
      <c r="D549" s="62" t="s">
        <v>226</v>
      </c>
      <c r="E549" s="62" t="s">
        <v>131</v>
      </c>
      <c r="F549" s="62" t="s">
        <v>568</v>
      </c>
      <c r="G549">
        <v>88</v>
      </c>
      <c r="H549">
        <v>88</v>
      </c>
      <c r="I549" s="62" t="s">
        <v>506</v>
      </c>
      <c r="J549" s="62" t="s">
        <v>572</v>
      </c>
      <c r="K549" s="62" t="s">
        <v>572</v>
      </c>
      <c r="L549" s="62" t="s">
        <v>1110</v>
      </c>
    </row>
    <row r="550" spans="1:12" x14ac:dyDescent="0.35">
      <c r="A550">
        <v>12302</v>
      </c>
      <c r="B550" s="62" t="s">
        <v>542</v>
      </c>
      <c r="C550" s="62" t="s">
        <v>485</v>
      </c>
      <c r="D550" s="62" t="s">
        <v>129</v>
      </c>
      <c r="E550" s="62" t="s">
        <v>131</v>
      </c>
      <c r="F550" s="62" t="s">
        <v>568</v>
      </c>
      <c r="G550">
        <v>307</v>
      </c>
      <c r="H550">
        <v>307</v>
      </c>
      <c r="I550" s="62" t="s">
        <v>506</v>
      </c>
      <c r="J550" s="62" t="s">
        <v>573</v>
      </c>
      <c r="K550" s="62" t="s">
        <v>573</v>
      </c>
      <c r="L550" s="62" t="s">
        <v>1110</v>
      </c>
    </row>
    <row r="551" spans="1:12" x14ac:dyDescent="0.35">
      <c r="A551">
        <v>12359</v>
      </c>
      <c r="B551" s="62" t="s">
        <v>215</v>
      </c>
      <c r="C551" s="62" t="s">
        <v>487</v>
      </c>
      <c r="D551" s="62" t="s">
        <v>208</v>
      </c>
      <c r="E551" s="62" t="s">
        <v>131</v>
      </c>
      <c r="F551" s="62" t="s">
        <v>568</v>
      </c>
      <c r="G551">
        <v>229</v>
      </c>
      <c r="H551">
        <v>229</v>
      </c>
      <c r="I551" s="62" t="s">
        <v>506</v>
      </c>
      <c r="J551" s="62" t="s">
        <v>574</v>
      </c>
      <c r="K551" s="62" t="s">
        <v>574</v>
      </c>
      <c r="L551" s="62" t="s">
        <v>1110</v>
      </c>
    </row>
    <row r="552" spans="1:12" x14ac:dyDescent="0.35">
      <c r="A552">
        <v>19879</v>
      </c>
      <c r="B552" s="62" t="s">
        <v>170</v>
      </c>
      <c r="C552" s="62" t="s">
        <v>485</v>
      </c>
      <c r="D552" s="62" t="s">
        <v>163</v>
      </c>
      <c r="E552" s="62" t="s">
        <v>131</v>
      </c>
      <c r="F552" s="62" t="s">
        <v>568</v>
      </c>
      <c r="G552">
        <v>122</v>
      </c>
      <c r="I552" s="62" t="s">
        <v>506</v>
      </c>
      <c r="J552" s="62" t="s">
        <v>575</v>
      </c>
      <c r="K552" s="62" t="s">
        <v>575</v>
      </c>
      <c r="L552" s="62" t="s">
        <v>1110</v>
      </c>
    </row>
    <row r="553" spans="1:12" x14ac:dyDescent="0.35">
      <c r="A553">
        <v>12790</v>
      </c>
      <c r="B553" s="62" t="s">
        <v>210</v>
      </c>
      <c r="C553" s="62" t="s">
        <v>487</v>
      </c>
      <c r="D553" s="62" t="s">
        <v>208</v>
      </c>
      <c r="E553" s="62" t="s">
        <v>131</v>
      </c>
      <c r="F553" s="62" t="s">
        <v>568</v>
      </c>
      <c r="G553">
        <v>345</v>
      </c>
      <c r="H553">
        <v>345</v>
      </c>
      <c r="I553" s="62" t="s">
        <v>506</v>
      </c>
      <c r="J553" s="62" t="s">
        <v>576</v>
      </c>
      <c r="K553" s="62" t="s">
        <v>576</v>
      </c>
      <c r="L553" s="62" t="s">
        <v>1110</v>
      </c>
    </row>
    <row r="554" spans="1:12" x14ac:dyDescent="0.35">
      <c r="A554">
        <v>12525</v>
      </c>
      <c r="B554" s="62" t="s">
        <v>193</v>
      </c>
      <c r="C554" s="62" t="s">
        <v>485</v>
      </c>
      <c r="D554" s="62" t="s">
        <v>189</v>
      </c>
      <c r="E554" s="62" t="s">
        <v>131</v>
      </c>
      <c r="F554" s="62" t="s">
        <v>568</v>
      </c>
      <c r="G554">
        <v>422</v>
      </c>
      <c r="H554">
        <v>422</v>
      </c>
      <c r="I554" s="62" t="s">
        <v>506</v>
      </c>
      <c r="J554" s="62" t="s">
        <v>577</v>
      </c>
      <c r="K554" s="62" t="s">
        <v>577</v>
      </c>
      <c r="L554" s="62" t="s">
        <v>1110</v>
      </c>
    </row>
    <row r="555" spans="1:12" x14ac:dyDescent="0.35">
      <c r="A555">
        <v>12795</v>
      </c>
      <c r="B555" s="62" t="s">
        <v>279</v>
      </c>
      <c r="C555" s="62" t="s">
        <v>488</v>
      </c>
      <c r="D555" s="62" t="s">
        <v>276</v>
      </c>
      <c r="E555" s="62" t="s">
        <v>131</v>
      </c>
      <c r="F555" s="62" t="s">
        <v>568</v>
      </c>
      <c r="G555">
        <v>867</v>
      </c>
      <c r="H555">
        <v>867</v>
      </c>
      <c r="I555" s="62" t="s">
        <v>506</v>
      </c>
      <c r="J555" s="62" t="s">
        <v>578</v>
      </c>
      <c r="K555" s="62" t="s">
        <v>578</v>
      </c>
      <c r="L555" s="62" t="s">
        <v>1110</v>
      </c>
    </row>
    <row r="556" spans="1:12" x14ac:dyDescent="0.35">
      <c r="A556">
        <v>12326</v>
      </c>
      <c r="B556" s="62" t="s">
        <v>173</v>
      </c>
      <c r="C556" s="62" t="s">
        <v>485</v>
      </c>
      <c r="D556" s="62" t="s">
        <v>163</v>
      </c>
      <c r="E556" s="62" t="s">
        <v>131</v>
      </c>
      <c r="F556" s="62" t="s">
        <v>568</v>
      </c>
      <c r="G556">
        <v>625</v>
      </c>
      <c r="H556">
        <v>625</v>
      </c>
      <c r="I556" s="62" t="s">
        <v>506</v>
      </c>
      <c r="J556" s="62" t="s">
        <v>579</v>
      </c>
      <c r="K556" s="62" t="s">
        <v>579</v>
      </c>
      <c r="L556" s="62" t="s">
        <v>1110</v>
      </c>
    </row>
    <row r="557" spans="1:12" x14ac:dyDescent="0.35">
      <c r="A557">
        <v>12044</v>
      </c>
      <c r="B557" s="62" t="s">
        <v>168</v>
      </c>
      <c r="C557" s="62" t="s">
        <v>485</v>
      </c>
      <c r="D557" s="62" t="s">
        <v>163</v>
      </c>
      <c r="E557" s="62" t="s">
        <v>131</v>
      </c>
      <c r="F557" s="62" t="s">
        <v>568</v>
      </c>
      <c r="G557">
        <v>326</v>
      </c>
      <c r="H557">
        <v>326</v>
      </c>
      <c r="I557" s="62" t="s">
        <v>506</v>
      </c>
      <c r="J557" s="62" t="s">
        <v>580</v>
      </c>
      <c r="K557" s="62" t="s">
        <v>580</v>
      </c>
      <c r="L557" s="62" t="s">
        <v>1110</v>
      </c>
    </row>
    <row r="558" spans="1:12" x14ac:dyDescent="0.35">
      <c r="A558">
        <v>12181</v>
      </c>
      <c r="B558" s="62" t="s">
        <v>178</v>
      </c>
      <c r="C558" s="62" t="s">
        <v>485</v>
      </c>
      <c r="D558" s="62" t="s">
        <v>175</v>
      </c>
      <c r="E558" s="62" t="s">
        <v>131</v>
      </c>
      <c r="F558" s="62" t="s">
        <v>568</v>
      </c>
      <c r="G558">
        <v>2409</v>
      </c>
      <c r="H558">
        <v>2409</v>
      </c>
      <c r="I558" s="62" t="s">
        <v>506</v>
      </c>
      <c r="J558" s="62" t="s">
        <v>581</v>
      </c>
      <c r="K558" s="62" t="s">
        <v>581</v>
      </c>
      <c r="L558" s="62" t="s">
        <v>1110</v>
      </c>
    </row>
    <row r="559" spans="1:12" x14ac:dyDescent="0.35">
      <c r="A559">
        <v>10509</v>
      </c>
      <c r="B559" s="62" t="s">
        <v>347</v>
      </c>
      <c r="C559" s="62" t="s">
        <v>494</v>
      </c>
      <c r="D559" s="62" t="s">
        <v>344</v>
      </c>
      <c r="E559" s="62" t="s">
        <v>131</v>
      </c>
      <c r="F559" s="62" t="s">
        <v>568</v>
      </c>
      <c r="G559">
        <v>1042</v>
      </c>
      <c r="H559">
        <v>1042</v>
      </c>
      <c r="I559" s="62" t="s">
        <v>506</v>
      </c>
      <c r="J559" s="62" t="s">
        <v>582</v>
      </c>
      <c r="K559" s="62" t="s">
        <v>582</v>
      </c>
      <c r="L559" s="62" t="s">
        <v>1110</v>
      </c>
    </row>
    <row r="560" spans="1:12" x14ac:dyDescent="0.35">
      <c r="A560">
        <v>12041</v>
      </c>
      <c r="B560" s="62" t="s">
        <v>161</v>
      </c>
      <c r="C560" s="62" t="s">
        <v>485</v>
      </c>
      <c r="D560" s="62" t="s">
        <v>159</v>
      </c>
      <c r="E560" s="62" t="s">
        <v>131</v>
      </c>
      <c r="F560" s="62" t="s">
        <v>568</v>
      </c>
      <c r="G560">
        <v>1161</v>
      </c>
      <c r="H560">
        <v>1161</v>
      </c>
      <c r="I560" s="62" t="s">
        <v>506</v>
      </c>
      <c r="J560" s="62" t="s">
        <v>583</v>
      </c>
      <c r="K560" s="62" t="s">
        <v>583</v>
      </c>
      <c r="L560" s="62" t="s">
        <v>1110</v>
      </c>
    </row>
    <row r="561" spans="1:12" x14ac:dyDescent="0.35">
      <c r="A561">
        <v>10852</v>
      </c>
      <c r="B561" s="62" t="s">
        <v>536</v>
      </c>
      <c r="C561" s="62" t="s">
        <v>494</v>
      </c>
      <c r="D561" s="62" t="s">
        <v>351</v>
      </c>
      <c r="E561" s="62" t="s">
        <v>131</v>
      </c>
      <c r="F561" s="62" t="s">
        <v>568</v>
      </c>
      <c r="G561">
        <v>366</v>
      </c>
      <c r="H561">
        <v>366</v>
      </c>
      <c r="I561" s="62" t="s">
        <v>506</v>
      </c>
      <c r="J561" s="62" t="s">
        <v>584</v>
      </c>
      <c r="K561" s="62" t="s">
        <v>584</v>
      </c>
      <c r="L561" s="62" t="s">
        <v>1110</v>
      </c>
    </row>
    <row r="562" spans="1:12" x14ac:dyDescent="0.35">
      <c r="A562">
        <v>11009</v>
      </c>
      <c r="B562" s="62" t="s">
        <v>350</v>
      </c>
      <c r="C562" s="62" t="s">
        <v>494</v>
      </c>
      <c r="D562" s="62" t="s">
        <v>344</v>
      </c>
      <c r="E562" s="62" t="s">
        <v>131</v>
      </c>
      <c r="F562" s="62" t="s">
        <v>568</v>
      </c>
      <c r="G562">
        <v>412</v>
      </c>
      <c r="H562">
        <v>412</v>
      </c>
      <c r="I562" s="62" t="s">
        <v>506</v>
      </c>
      <c r="J562" s="62" t="s">
        <v>585</v>
      </c>
      <c r="K562" s="62" t="s">
        <v>585</v>
      </c>
      <c r="L562" s="62" t="s">
        <v>1110</v>
      </c>
    </row>
    <row r="563" spans="1:12" x14ac:dyDescent="0.35">
      <c r="A563">
        <v>12684</v>
      </c>
      <c r="B563" s="62" t="s">
        <v>158</v>
      </c>
      <c r="C563" s="62" t="s">
        <v>485</v>
      </c>
      <c r="D563" s="62" t="s">
        <v>152</v>
      </c>
      <c r="E563" s="62" t="s">
        <v>131</v>
      </c>
      <c r="F563" s="62" t="s">
        <v>568</v>
      </c>
      <c r="G563">
        <v>5846</v>
      </c>
      <c r="H563">
        <v>5846</v>
      </c>
      <c r="I563" s="62" t="s">
        <v>506</v>
      </c>
      <c r="J563" s="62" t="s">
        <v>586</v>
      </c>
      <c r="K563" s="62" t="s">
        <v>586</v>
      </c>
      <c r="L563" s="62" t="s">
        <v>1110</v>
      </c>
    </row>
    <row r="564" spans="1:12" x14ac:dyDescent="0.35">
      <c r="A564">
        <v>16464</v>
      </c>
      <c r="B564" s="62" t="s">
        <v>219</v>
      </c>
      <c r="C564" s="62" t="s">
        <v>487</v>
      </c>
      <c r="D564" s="62" t="s">
        <v>218</v>
      </c>
      <c r="E564" s="62" t="s">
        <v>131</v>
      </c>
      <c r="F564" s="62" t="s">
        <v>568</v>
      </c>
      <c r="G564">
        <v>918</v>
      </c>
      <c r="H564">
        <v>918</v>
      </c>
      <c r="I564" s="62" t="s">
        <v>506</v>
      </c>
      <c r="J564" s="62" t="s">
        <v>587</v>
      </c>
      <c r="K564" s="62" t="s">
        <v>587</v>
      </c>
      <c r="L564" s="62" t="s">
        <v>1110</v>
      </c>
    </row>
    <row r="565" spans="1:12" x14ac:dyDescent="0.35">
      <c r="A565">
        <v>11984</v>
      </c>
      <c r="B565" s="62" t="s">
        <v>209</v>
      </c>
      <c r="C565" s="62" t="s">
        <v>487</v>
      </c>
      <c r="D565" s="62" t="s">
        <v>208</v>
      </c>
      <c r="E565" s="62" t="s">
        <v>131</v>
      </c>
      <c r="F565" s="62" t="s">
        <v>568</v>
      </c>
      <c r="G565">
        <v>536</v>
      </c>
      <c r="H565">
        <v>536</v>
      </c>
      <c r="I565" s="62" t="s">
        <v>506</v>
      </c>
      <c r="J565" s="62" t="s">
        <v>588</v>
      </c>
      <c r="K565" s="62" t="s">
        <v>588</v>
      </c>
      <c r="L565" s="62" t="s">
        <v>1110</v>
      </c>
    </row>
    <row r="566" spans="1:12" x14ac:dyDescent="0.35">
      <c r="A566">
        <v>12791</v>
      </c>
      <c r="B566" s="62" t="s">
        <v>238</v>
      </c>
      <c r="C566" s="62" t="s">
        <v>487</v>
      </c>
      <c r="D566" s="62" t="s">
        <v>237</v>
      </c>
      <c r="E566" s="62" t="s">
        <v>131</v>
      </c>
      <c r="F566" s="62" t="s">
        <v>568</v>
      </c>
      <c r="G566">
        <v>684</v>
      </c>
      <c r="H566">
        <v>684</v>
      </c>
      <c r="I566" s="62" t="s">
        <v>506</v>
      </c>
      <c r="J566" s="62" t="s">
        <v>589</v>
      </c>
      <c r="K566" s="62" t="s">
        <v>589</v>
      </c>
      <c r="L566" s="62" t="s">
        <v>1110</v>
      </c>
    </row>
    <row r="567" spans="1:12" x14ac:dyDescent="0.35">
      <c r="A567">
        <v>11971</v>
      </c>
      <c r="B567" s="62" t="s">
        <v>164</v>
      </c>
      <c r="C567" s="62" t="s">
        <v>485</v>
      </c>
      <c r="D567" s="62" t="s">
        <v>163</v>
      </c>
      <c r="E567" s="62" t="s">
        <v>131</v>
      </c>
      <c r="F567" s="62" t="s">
        <v>568</v>
      </c>
      <c r="G567">
        <v>74</v>
      </c>
      <c r="H567">
        <v>74</v>
      </c>
      <c r="I567" s="62" t="s">
        <v>506</v>
      </c>
      <c r="J567" s="62" t="s">
        <v>590</v>
      </c>
      <c r="K567" s="62" t="s">
        <v>590</v>
      </c>
      <c r="L567" s="62" t="s">
        <v>1110</v>
      </c>
    </row>
    <row r="568" spans="1:12" x14ac:dyDescent="0.35">
      <c r="A568">
        <v>16467</v>
      </c>
      <c r="B568" s="62" t="s">
        <v>225</v>
      </c>
      <c r="C568" s="62" t="s">
        <v>487</v>
      </c>
      <c r="D568" s="62" t="s">
        <v>218</v>
      </c>
      <c r="E568" s="62" t="s">
        <v>131</v>
      </c>
      <c r="F568" s="62" t="s">
        <v>568</v>
      </c>
      <c r="G568">
        <v>1543</v>
      </c>
      <c r="H568">
        <v>1543</v>
      </c>
      <c r="I568" s="62" t="s">
        <v>506</v>
      </c>
      <c r="J568" s="62" t="s">
        <v>591</v>
      </c>
      <c r="K568" s="62" t="s">
        <v>591</v>
      </c>
      <c r="L568" s="62" t="s">
        <v>1110</v>
      </c>
    </row>
    <row r="569" spans="1:12" x14ac:dyDescent="0.35">
      <c r="A569">
        <v>16555</v>
      </c>
      <c r="B569" s="62" t="s">
        <v>151</v>
      </c>
      <c r="C569" s="62" t="s">
        <v>485</v>
      </c>
      <c r="D569" s="62" t="s">
        <v>146</v>
      </c>
      <c r="E569" s="62" t="s">
        <v>131</v>
      </c>
      <c r="F569" s="62" t="s">
        <v>568</v>
      </c>
      <c r="G569">
        <v>258</v>
      </c>
      <c r="H569">
        <v>258</v>
      </c>
      <c r="I569" s="62" t="s">
        <v>506</v>
      </c>
      <c r="J569" s="62" t="s">
        <v>592</v>
      </c>
      <c r="K569" s="62" t="s">
        <v>592</v>
      </c>
      <c r="L569" s="62" t="s">
        <v>1110</v>
      </c>
    </row>
    <row r="570" spans="1:12" x14ac:dyDescent="0.35">
      <c r="A570">
        <v>10171</v>
      </c>
      <c r="B570" s="62" t="s">
        <v>320</v>
      </c>
      <c r="C570" s="62" t="s">
        <v>494</v>
      </c>
      <c r="D570" s="62" t="s">
        <v>318</v>
      </c>
      <c r="E570" s="62" t="s">
        <v>131</v>
      </c>
      <c r="F570" s="62" t="s">
        <v>568</v>
      </c>
      <c r="G570">
        <v>2387</v>
      </c>
      <c r="H570">
        <v>2387</v>
      </c>
      <c r="I570" s="62" t="s">
        <v>506</v>
      </c>
      <c r="J570" s="62" t="s">
        <v>593</v>
      </c>
      <c r="K570" s="62" t="s">
        <v>593</v>
      </c>
      <c r="L570" s="62" t="s">
        <v>1110</v>
      </c>
    </row>
    <row r="571" spans="1:12" x14ac:dyDescent="0.35">
      <c r="A571">
        <v>12185</v>
      </c>
      <c r="B571" s="62" t="s">
        <v>221</v>
      </c>
      <c r="C571" s="62" t="s">
        <v>487</v>
      </c>
      <c r="D571" s="62" t="s">
        <v>218</v>
      </c>
      <c r="E571" s="62" t="s">
        <v>131</v>
      </c>
      <c r="F571" s="62" t="s">
        <v>568</v>
      </c>
      <c r="G571">
        <v>47</v>
      </c>
      <c r="I571" s="62" t="s">
        <v>506</v>
      </c>
      <c r="J571" s="62" t="s">
        <v>594</v>
      </c>
      <c r="K571" s="62" t="s">
        <v>594</v>
      </c>
      <c r="L571" s="62" t="s">
        <v>1110</v>
      </c>
    </row>
    <row r="572" spans="1:12" x14ac:dyDescent="0.35">
      <c r="A572">
        <v>16234</v>
      </c>
      <c r="B572" s="62" t="s">
        <v>200</v>
      </c>
      <c r="C572" s="62" t="s">
        <v>485</v>
      </c>
      <c r="D572" s="62" t="s">
        <v>196</v>
      </c>
      <c r="E572" s="62" t="s">
        <v>131</v>
      </c>
      <c r="F572" s="62" t="s">
        <v>568</v>
      </c>
      <c r="G572">
        <v>1916</v>
      </c>
      <c r="H572">
        <v>1916</v>
      </c>
      <c r="I572" s="62" t="s">
        <v>506</v>
      </c>
      <c r="J572" s="62" t="s">
        <v>595</v>
      </c>
      <c r="K572" s="62" t="s">
        <v>595</v>
      </c>
      <c r="L572" s="62" t="s">
        <v>1110</v>
      </c>
    </row>
    <row r="573" spans="1:12" x14ac:dyDescent="0.35">
      <c r="A573">
        <v>12666</v>
      </c>
      <c r="B573" s="62" t="s">
        <v>186</v>
      </c>
      <c r="C573" s="62" t="s">
        <v>485</v>
      </c>
      <c r="D573" s="62" t="s">
        <v>175</v>
      </c>
      <c r="E573" s="62" t="s">
        <v>131</v>
      </c>
      <c r="F573" s="62" t="s">
        <v>568</v>
      </c>
      <c r="G573">
        <v>188</v>
      </c>
      <c r="H573">
        <v>188</v>
      </c>
      <c r="I573" s="62" t="s">
        <v>506</v>
      </c>
      <c r="J573" s="62" t="s">
        <v>596</v>
      </c>
      <c r="K573" s="62" t="s">
        <v>596</v>
      </c>
      <c r="L573" s="62" t="s">
        <v>1110</v>
      </c>
    </row>
    <row r="574" spans="1:12" x14ac:dyDescent="0.35">
      <c r="A574">
        <v>12426</v>
      </c>
      <c r="B574" s="62" t="s">
        <v>133</v>
      </c>
      <c r="C574" s="62" t="s">
        <v>485</v>
      </c>
      <c r="D574" s="62" t="s">
        <v>129</v>
      </c>
      <c r="E574" s="62" t="s">
        <v>131</v>
      </c>
      <c r="F574" s="62" t="s">
        <v>568</v>
      </c>
      <c r="G574">
        <v>188</v>
      </c>
      <c r="I574" s="62" t="s">
        <v>506</v>
      </c>
      <c r="J574" s="62" t="s">
        <v>597</v>
      </c>
      <c r="K574" s="62" t="s">
        <v>597</v>
      </c>
      <c r="L574" s="62" t="s">
        <v>1110</v>
      </c>
    </row>
    <row r="575" spans="1:12" x14ac:dyDescent="0.35">
      <c r="A575">
        <v>12589</v>
      </c>
      <c r="B575" s="62" t="s">
        <v>262</v>
      </c>
      <c r="C575" s="62" t="s">
        <v>488</v>
      </c>
      <c r="D575" s="62" t="s">
        <v>261</v>
      </c>
      <c r="E575" s="62" t="s">
        <v>131</v>
      </c>
      <c r="F575" s="62" t="s">
        <v>568</v>
      </c>
      <c r="G575">
        <v>1204</v>
      </c>
      <c r="H575">
        <v>1204</v>
      </c>
      <c r="I575" s="62" t="s">
        <v>506</v>
      </c>
      <c r="J575" s="62" t="s">
        <v>598</v>
      </c>
      <c r="K575" s="62" t="s">
        <v>598</v>
      </c>
      <c r="L575" s="62" t="s">
        <v>1110</v>
      </c>
    </row>
    <row r="576" spans="1:12" x14ac:dyDescent="0.35">
      <c r="A576">
        <v>12179</v>
      </c>
      <c r="B576" s="62" t="s">
        <v>240</v>
      </c>
      <c r="C576" s="62" t="s">
        <v>487</v>
      </c>
      <c r="D576" s="62" t="s">
        <v>237</v>
      </c>
      <c r="E576" s="62" t="s">
        <v>131</v>
      </c>
      <c r="F576" s="62" t="s">
        <v>568</v>
      </c>
      <c r="G576">
        <v>204</v>
      </c>
      <c r="H576">
        <v>204</v>
      </c>
      <c r="I576" s="62" t="s">
        <v>506</v>
      </c>
      <c r="J576" s="62" t="s">
        <v>599</v>
      </c>
      <c r="K576" s="62" t="s">
        <v>599</v>
      </c>
      <c r="L576" s="62" t="s">
        <v>1110</v>
      </c>
    </row>
    <row r="577" spans="1:12" x14ac:dyDescent="0.35">
      <c r="A577">
        <v>12274</v>
      </c>
      <c r="B577" s="62" t="s">
        <v>230</v>
      </c>
      <c r="C577" s="62" t="s">
        <v>487</v>
      </c>
      <c r="D577" s="62" t="s">
        <v>226</v>
      </c>
      <c r="E577" s="62" t="s">
        <v>131</v>
      </c>
      <c r="F577" s="62" t="s">
        <v>568</v>
      </c>
      <c r="G577">
        <v>109</v>
      </c>
      <c r="I577" s="62" t="s">
        <v>506</v>
      </c>
      <c r="J577" s="62" t="s">
        <v>600</v>
      </c>
      <c r="K577" s="62" t="s">
        <v>600</v>
      </c>
      <c r="L577" s="62" t="s">
        <v>1110</v>
      </c>
    </row>
    <row r="578" spans="1:12" x14ac:dyDescent="0.35">
      <c r="A578">
        <v>11942</v>
      </c>
      <c r="B578" s="62" t="s">
        <v>264</v>
      </c>
      <c r="C578" s="62" t="s">
        <v>488</v>
      </c>
      <c r="D578" s="62" t="s">
        <v>263</v>
      </c>
      <c r="E578" s="62" t="s">
        <v>131</v>
      </c>
      <c r="F578" s="62" t="s">
        <v>568</v>
      </c>
      <c r="G578">
        <v>156</v>
      </c>
      <c r="H578">
        <v>156</v>
      </c>
      <c r="I578" s="62" t="s">
        <v>506</v>
      </c>
      <c r="J578" s="62" t="s">
        <v>601</v>
      </c>
      <c r="K578" s="62" t="s">
        <v>601</v>
      </c>
      <c r="L578" s="62" t="s">
        <v>1110</v>
      </c>
    </row>
    <row r="579" spans="1:12" x14ac:dyDescent="0.35">
      <c r="A579">
        <v>12526</v>
      </c>
      <c r="B579" s="62" t="s">
        <v>184</v>
      </c>
      <c r="C579" s="62" t="s">
        <v>485</v>
      </c>
      <c r="D579" s="62" t="s">
        <v>175</v>
      </c>
      <c r="E579" s="62" t="s">
        <v>131</v>
      </c>
      <c r="F579" s="62" t="s">
        <v>568</v>
      </c>
      <c r="G579">
        <v>813</v>
      </c>
      <c r="H579">
        <v>1623</v>
      </c>
      <c r="I579" s="62" t="s">
        <v>506</v>
      </c>
      <c r="J579" s="62" t="s">
        <v>602</v>
      </c>
      <c r="K579" s="62" t="s">
        <v>602</v>
      </c>
      <c r="L579" s="62" t="s">
        <v>1110</v>
      </c>
    </row>
    <row r="580" spans="1:12" x14ac:dyDescent="0.35">
      <c r="A580">
        <v>12802</v>
      </c>
      <c r="B580" s="62" t="s">
        <v>139</v>
      </c>
      <c r="C580" s="62" t="s">
        <v>485</v>
      </c>
      <c r="D580" s="62" t="s">
        <v>129</v>
      </c>
      <c r="E580" s="62" t="s">
        <v>131</v>
      </c>
      <c r="F580" s="62" t="s">
        <v>568</v>
      </c>
      <c r="G580">
        <v>1191</v>
      </c>
      <c r="H580">
        <v>1191</v>
      </c>
      <c r="I580" s="62" t="s">
        <v>506</v>
      </c>
      <c r="J580" s="62" t="s">
        <v>603</v>
      </c>
      <c r="K580" s="62" t="s">
        <v>603</v>
      </c>
      <c r="L580" s="62" t="s">
        <v>1110</v>
      </c>
    </row>
    <row r="581" spans="1:12" x14ac:dyDescent="0.35">
      <c r="A581">
        <v>12071</v>
      </c>
      <c r="B581" s="62" t="s">
        <v>169</v>
      </c>
      <c r="C581" s="62" t="s">
        <v>485</v>
      </c>
      <c r="D581" s="62" t="s">
        <v>163</v>
      </c>
      <c r="E581" s="62" t="s">
        <v>131</v>
      </c>
      <c r="F581" s="62" t="s">
        <v>568</v>
      </c>
      <c r="G581">
        <v>135</v>
      </c>
      <c r="H581">
        <v>135</v>
      </c>
      <c r="I581" s="62" t="s">
        <v>506</v>
      </c>
      <c r="J581" s="62" t="s">
        <v>604</v>
      </c>
      <c r="K581" s="62" t="s">
        <v>604</v>
      </c>
      <c r="L581" s="62" t="s">
        <v>1110</v>
      </c>
    </row>
    <row r="582" spans="1:12" x14ac:dyDescent="0.35">
      <c r="A582">
        <v>12500</v>
      </c>
      <c r="B582" s="62" t="s">
        <v>199</v>
      </c>
      <c r="C582" s="62" t="s">
        <v>485</v>
      </c>
      <c r="D582" s="62" t="s">
        <v>196</v>
      </c>
      <c r="E582" s="62" t="s">
        <v>131</v>
      </c>
      <c r="F582" s="62" t="s">
        <v>568</v>
      </c>
      <c r="G582">
        <v>214</v>
      </c>
      <c r="I582" s="62" t="s">
        <v>506</v>
      </c>
      <c r="J582" s="62" t="s">
        <v>605</v>
      </c>
      <c r="K582" s="62" t="s">
        <v>605</v>
      </c>
      <c r="L582" s="62" t="s">
        <v>1110</v>
      </c>
    </row>
    <row r="583" spans="1:12" x14ac:dyDescent="0.35">
      <c r="A583">
        <v>12445</v>
      </c>
      <c r="B583" s="62" t="s">
        <v>266</v>
      </c>
      <c r="C583" s="62" t="s">
        <v>488</v>
      </c>
      <c r="D583" s="62" t="s">
        <v>263</v>
      </c>
      <c r="E583" s="62" t="s">
        <v>131</v>
      </c>
      <c r="F583" s="62" t="s">
        <v>568</v>
      </c>
      <c r="G583">
        <v>785</v>
      </c>
      <c r="H583">
        <v>785</v>
      </c>
      <c r="I583" s="62" t="s">
        <v>506</v>
      </c>
      <c r="J583" s="62" t="s">
        <v>606</v>
      </c>
      <c r="K583" s="62" t="s">
        <v>606</v>
      </c>
      <c r="L583" s="62" t="s">
        <v>1110</v>
      </c>
    </row>
    <row r="584" spans="1:12" x14ac:dyDescent="0.35">
      <c r="A584">
        <v>10419</v>
      </c>
      <c r="B584" s="62" t="s">
        <v>339</v>
      </c>
      <c r="C584" s="62" t="s">
        <v>494</v>
      </c>
      <c r="D584" s="62" t="s">
        <v>337</v>
      </c>
      <c r="E584" s="62" t="s">
        <v>131</v>
      </c>
      <c r="F584" s="62" t="s">
        <v>568</v>
      </c>
      <c r="G584">
        <v>768</v>
      </c>
      <c r="H584">
        <v>768</v>
      </c>
      <c r="I584" s="62" t="s">
        <v>506</v>
      </c>
      <c r="J584" s="62" t="s">
        <v>607</v>
      </c>
      <c r="K584" s="62" t="s">
        <v>607</v>
      </c>
      <c r="L584" s="62" t="s">
        <v>1110</v>
      </c>
    </row>
    <row r="585" spans="1:12" x14ac:dyDescent="0.35">
      <c r="A585">
        <v>10912</v>
      </c>
      <c r="B585" s="62" t="s">
        <v>334</v>
      </c>
      <c r="C585" s="62" t="s">
        <v>494</v>
      </c>
      <c r="D585" s="62" t="s">
        <v>330</v>
      </c>
      <c r="E585" s="62" t="s">
        <v>131</v>
      </c>
      <c r="F585" s="62" t="s">
        <v>568</v>
      </c>
      <c r="G585">
        <v>273</v>
      </c>
      <c r="H585">
        <v>273</v>
      </c>
      <c r="I585" s="62" t="s">
        <v>506</v>
      </c>
      <c r="J585" s="62" t="s">
        <v>608</v>
      </c>
      <c r="K585" s="62" t="s">
        <v>608</v>
      </c>
      <c r="L585" s="62" t="s">
        <v>1110</v>
      </c>
    </row>
    <row r="586" spans="1:12" x14ac:dyDescent="0.35">
      <c r="A586">
        <v>10829</v>
      </c>
      <c r="B586" s="62" t="s">
        <v>341</v>
      </c>
      <c r="C586" s="62" t="s">
        <v>494</v>
      </c>
      <c r="D586" s="62" t="s">
        <v>337</v>
      </c>
      <c r="E586" s="62" t="s">
        <v>131</v>
      </c>
      <c r="F586" s="62" t="s">
        <v>568</v>
      </c>
      <c r="G586">
        <v>1381</v>
      </c>
      <c r="H586">
        <v>1381</v>
      </c>
      <c r="I586" s="62" t="s">
        <v>506</v>
      </c>
      <c r="J586" s="62" t="s">
        <v>609</v>
      </c>
      <c r="K586" s="62" t="s">
        <v>609</v>
      </c>
      <c r="L586" s="62" t="s">
        <v>1110</v>
      </c>
    </row>
    <row r="587" spans="1:12" x14ac:dyDescent="0.35">
      <c r="A587">
        <v>10044</v>
      </c>
      <c r="B587" s="62" t="s">
        <v>319</v>
      </c>
      <c r="C587" s="62" t="s">
        <v>494</v>
      </c>
      <c r="D587" s="62" t="s">
        <v>318</v>
      </c>
      <c r="E587" s="62" t="s">
        <v>131</v>
      </c>
      <c r="F587" s="62" t="s">
        <v>568</v>
      </c>
      <c r="G587">
        <v>1048</v>
      </c>
      <c r="H587">
        <v>1048</v>
      </c>
      <c r="I587" s="62" t="s">
        <v>506</v>
      </c>
      <c r="J587" s="62" t="s">
        <v>610</v>
      </c>
      <c r="K587" s="62" t="s">
        <v>610</v>
      </c>
      <c r="L587" s="62" t="s">
        <v>1110</v>
      </c>
    </row>
    <row r="588" spans="1:12" x14ac:dyDescent="0.35">
      <c r="A588">
        <v>12325</v>
      </c>
      <c r="B588" s="62" t="s">
        <v>181</v>
      </c>
      <c r="C588" s="62" t="s">
        <v>485</v>
      </c>
      <c r="D588" s="62" t="s">
        <v>175</v>
      </c>
      <c r="E588" s="62" t="s">
        <v>131</v>
      </c>
      <c r="F588" s="62" t="s">
        <v>568</v>
      </c>
      <c r="G588">
        <v>267</v>
      </c>
      <c r="H588">
        <v>267</v>
      </c>
      <c r="I588" s="62" t="s">
        <v>506</v>
      </c>
      <c r="J588" s="62" t="s">
        <v>611</v>
      </c>
      <c r="K588" s="62" t="s">
        <v>611</v>
      </c>
      <c r="L588" s="62" t="s">
        <v>1110</v>
      </c>
    </row>
    <row r="589" spans="1:12" x14ac:dyDescent="0.35">
      <c r="A589">
        <v>10820</v>
      </c>
      <c r="B589" s="62" t="s">
        <v>324</v>
      </c>
      <c r="C589" s="62" t="s">
        <v>494</v>
      </c>
      <c r="D589" s="62" t="s">
        <v>318</v>
      </c>
      <c r="E589" s="62" t="s">
        <v>131</v>
      </c>
      <c r="F589" s="62" t="s">
        <v>568</v>
      </c>
      <c r="G589">
        <v>110</v>
      </c>
      <c r="I589" s="62" t="s">
        <v>506</v>
      </c>
      <c r="J589" s="62" t="s">
        <v>612</v>
      </c>
      <c r="K589" s="62" t="s">
        <v>612</v>
      </c>
      <c r="L589" s="62" t="s">
        <v>1110</v>
      </c>
    </row>
    <row r="590" spans="1:12" x14ac:dyDescent="0.35">
      <c r="A590">
        <v>12319</v>
      </c>
      <c r="B590" s="62" t="s">
        <v>143</v>
      </c>
      <c r="C590" s="62" t="s">
        <v>485</v>
      </c>
      <c r="D590" s="62" t="s">
        <v>140</v>
      </c>
      <c r="E590" s="62" t="s">
        <v>131</v>
      </c>
      <c r="F590" s="62" t="s">
        <v>568</v>
      </c>
      <c r="G590">
        <v>410</v>
      </c>
      <c r="H590">
        <v>410</v>
      </c>
      <c r="I590" s="62" t="s">
        <v>506</v>
      </c>
      <c r="J590" s="62" t="s">
        <v>613</v>
      </c>
      <c r="K590" s="62" t="s">
        <v>613</v>
      </c>
      <c r="L590" s="62" t="s">
        <v>1110</v>
      </c>
    </row>
    <row r="591" spans="1:12" x14ac:dyDescent="0.35">
      <c r="A591">
        <v>12546</v>
      </c>
      <c r="B591" s="62" t="s">
        <v>254</v>
      </c>
      <c r="C591" s="62" t="s">
        <v>488</v>
      </c>
      <c r="D591" s="62" t="s">
        <v>250</v>
      </c>
      <c r="E591" s="62" t="s">
        <v>131</v>
      </c>
      <c r="F591" s="62" t="s">
        <v>568</v>
      </c>
      <c r="G591">
        <v>365</v>
      </c>
      <c r="H591">
        <v>365</v>
      </c>
      <c r="I591" s="62" t="s">
        <v>506</v>
      </c>
      <c r="J591" s="62" t="s">
        <v>614</v>
      </c>
      <c r="K591" s="62" t="s">
        <v>614</v>
      </c>
      <c r="L591" s="62" t="s">
        <v>1110</v>
      </c>
    </row>
    <row r="592" spans="1:12" x14ac:dyDescent="0.35">
      <c r="A592">
        <v>12272</v>
      </c>
      <c r="B592" s="62" t="s">
        <v>265</v>
      </c>
      <c r="C592" s="62" t="s">
        <v>488</v>
      </c>
      <c r="D592" s="62" t="s">
        <v>263</v>
      </c>
      <c r="E592" s="62" t="s">
        <v>131</v>
      </c>
      <c r="F592" s="62" t="s">
        <v>568</v>
      </c>
      <c r="G592">
        <v>121</v>
      </c>
      <c r="H592">
        <v>121</v>
      </c>
      <c r="I592" s="62" t="s">
        <v>506</v>
      </c>
      <c r="J592" s="62" t="s">
        <v>615</v>
      </c>
      <c r="K592" s="62" t="s">
        <v>615</v>
      </c>
      <c r="L592" s="62" t="s">
        <v>1110</v>
      </c>
    </row>
    <row r="593" spans="1:12" x14ac:dyDescent="0.35">
      <c r="A593">
        <v>12027</v>
      </c>
      <c r="B593" s="62" t="s">
        <v>166</v>
      </c>
      <c r="C593" s="62" t="s">
        <v>485</v>
      </c>
      <c r="D593" s="62" t="s">
        <v>163</v>
      </c>
      <c r="E593" s="62" t="s">
        <v>131</v>
      </c>
      <c r="F593" s="62" t="s">
        <v>568</v>
      </c>
      <c r="G593">
        <v>167</v>
      </c>
      <c r="H593">
        <v>167</v>
      </c>
      <c r="I593" s="62" t="s">
        <v>506</v>
      </c>
      <c r="J593" s="62" t="s">
        <v>616</v>
      </c>
      <c r="K593" s="62" t="s">
        <v>616</v>
      </c>
      <c r="L593" s="62" t="s">
        <v>1110</v>
      </c>
    </row>
    <row r="594" spans="1:12" x14ac:dyDescent="0.35">
      <c r="A594">
        <v>10916</v>
      </c>
      <c r="B594" s="62" t="s">
        <v>352</v>
      </c>
      <c r="C594" s="62" t="s">
        <v>494</v>
      </c>
      <c r="D594" s="62" t="s">
        <v>351</v>
      </c>
      <c r="E594" s="62" t="s">
        <v>131</v>
      </c>
      <c r="F594" s="62" t="s">
        <v>568</v>
      </c>
      <c r="G594">
        <v>4922</v>
      </c>
      <c r="H594">
        <v>19657</v>
      </c>
      <c r="I594" s="62" t="s">
        <v>506</v>
      </c>
      <c r="J594" s="62" t="s">
        <v>617</v>
      </c>
      <c r="K594" s="62" t="s">
        <v>617</v>
      </c>
      <c r="L594" s="62" t="s">
        <v>1110</v>
      </c>
    </row>
    <row r="595" spans="1:12" x14ac:dyDescent="0.35">
      <c r="A595">
        <v>12031</v>
      </c>
      <c r="B595" s="62" t="s">
        <v>160</v>
      </c>
      <c r="C595" s="62" t="s">
        <v>485</v>
      </c>
      <c r="D595" s="62" t="s">
        <v>159</v>
      </c>
      <c r="E595" s="62" t="s">
        <v>131</v>
      </c>
      <c r="F595" s="62" t="s">
        <v>568</v>
      </c>
      <c r="G595">
        <v>233</v>
      </c>
      <c r="I595" s="62" t="s">
        <v>506</v>
      </c>
      <c r="J595" s="62" t="s">
        <v>618</v>
      </c>
      <c r="K595" s="62" t="s">
        <v>618</v>
      </c>
      <c r="L595" s="62" t="s">
        <v>1110</v>
      </c>
    </row>
    <row r="596" spans="1:12" x14ac:dyDescent="0.35">
      <c r="A596">
        <v>24622</v>
      </c>
      <c r="B596" s="62" t="s">
        <v>154</v>
      </c>
      <c r="C596" s="62" t="s">
        <v>485</v>
      </c>
      <c r="D596" s="62" t="s">
        <v>152</v>
      </c>
      <c r="E596" s="62" t="s">
        <v>131</v>
      </c>
      <c r="F596" s="62" t="s">
        <v>568</v>
      </c>
      <c r="G596">
        <v>39</v>
      </c>
      <c r="I596" s="62" t="s">
        <v>506</v>
      </c>
      <c r="J596" s="62" t="s">
        <v>619</v>
      </c>
      <c r="K596" s="62" t="s">
        <v>619</v>
      </c>
      <c r="L596" s="62" t="s">
        <v>1110</v>
      </c>
    </row>
    <row r="597" spans="1:12" x14ac:dyDescent="0.35">
      <c r="A597">
        <v>12282</v>
      </c>
      <c r="B597" s="62" t="s">
        <v>511</v>
      </c>
      <c r="C597" s="62" t="s">
        <v>485</v>
      </c>
      <c r="D597" s="62" t="s">
        <v>129</v>
      </c>
      <c r="E597" s="62" t="s">
        <v>131</v>
      </c>
      <c r="F597" s="62" t="s">
        <v>568</v>
      </c>
      <c r="G597">
        <v>232</v>
      </c>
      <c r="H597">
        <v>232</v>
      </c>
      <c r="I597" s="62" t="s">
        <v>506</v>
      </c>
      <c r="J597" s="62" t="s">
        <v>620</v>
      </c>
      <c r="K597" s="62" t="s">
        <v>620</v>
      </c>
      <c r="L597" s="62" t="s">
        <v>1110</v>
      </c>
    </row>
    <row r="598" spans="1:12" x14ac:dyDescent="0.35">
      <c r="A598">
        <v>10043</v>
      </c>
      <c r="B598" s="62" t="s">
        <v>338</v>
      </c>
      <c r="C598" s="62" t="s">
        <v>494</v>
      </c>
      <c r="D598" s="62" t="s">
        <v>337</v>
      </c>
      <c r="E598" s="62" t="s">
        <v>131</v>
      </c>
      <c r="F598" s="62" t="s">
        <v>568</v>
      </c>
      <c r="G598">
        <v>275</v>
      </c>
      <c r="H598">
        <v>275</v>
      </c>
      <c r="I598" s="62" t="s">
        <v>506</v>
      </c>
      <c r="J598" s="62" t="s">
        <v>621</v>
      </c>
      <c r="K598" s="62" t="s">
        <v>621</v>
      </c>
      <c r="L598" s="62" t="s">
        <v>1110</v>
      </c>
    </row>
    <row r="599" spans="1:12" x14ac:dyDescent="0.35">
      <c r="A599">
        <v>11173</v>
      </c>
      <c r="B599" s="62" t="s">
        <v>336</v>
      </c>
      <c r="C599" s="62" t="s">
        <v>494</v>
      </c>
      <c r="D599" s="62" t="s">
        <v>330</v>
      </c>
      <c r="E599" s="62" t="s">
        <v>131</v>
      </c>
      <c r="F599" s="62" t="s">
        <v>568</v>
      </c>
      <c r="G599">
        <v>647</v>
      </c>
      <c r="H599">
        <v>647</v>
      </c>
      <c r="I599" s="62" t="s">
        <v>506</v>
      </c>
      <c r="J599" s="62" t="s">
        <v>622</v>
      </c>
      <c r="K599" s="62" t="s">
        <v>622</v>
      </c>
      <c r="L599" s="62" t="s">
        <v>1110</v>
      </c>
    </row>
    <row r="600" spans="1:12" x14ac:dyDescent="0.35">
      <c r="A600">
        <v>10312</v>
      </c>
      <c r="B600" s="62" t="s">
        <v>321</v>
      </c>
      <c r="C600" s="62" t="s">
        <v>494</v>
      </c>
      <c r="D600" s="62" t="s">
        <v>318</v>
      </c>
      <c r="E600" s="62" t="s">
        <v>131</v>
      </c>
      <c r="F600" s="62" t="s">
        <v>568</v>
      </c>
      <c r="G600">
        <v>235</v>
      </c>
      <c r="H600">
        <v>235</v>
      </c>
      <c r="I600" s="62" t="s">
        <v>506</v>
      </c>
      <c r="J600" s="62" t="s">
        <v>623</v>
      </c>
      <c r="K600" s="62" t="s">
        <v>623</v>
      </c>
      <c r="L600" s="62" t="s">
        <v>1110</v>
      </c>
    </row>
    <row r="601" spans="1:12" x14ac:dyDescent="0.35">
      <c r="A601">
        <v>12534</v>
      </c>
      <c r="B601" s="62" t="s">
        <v>185</v>
      </c>
      <c r="C601" s="62" t="s">
        <v>485</v>
      </c>
      <c r="D601" s="62" t="s">
        <v>175</v>
      </c>
      <c r="E601" s="62" t="s">
        <v>131</v>
      </c>
      <c r="F601" s="62" t="s">
        <v>568</v>
      </c>
      <c r="G601">
        <v>591</v>
      </c>
      <c r="I601" s="62" t="s">
        <v>506</v>
      </c>
      <c r="J601" s="62" t="s">
        <v>624</v>
      </c>
      <c r="K601" s="62" t="s">
        <v>624</v>
      </c>
      <c r="L601" s="62" t="s">
        <v>1110</v>
      </c>
    </row>
    <row r="602" spans="1:12" x14ac:dyDescent="0.35">
      <c r="A602">
        <v>12192</v>
      </c>
      <c r="B602" s="62" t="s">
        <v>162</v>
      </c>
      <c r="C602" s="62" t="s">
        <v>485</v>
      </c>
      <c r="D602" s="62" t="s">
        <v>159</v>
      </c>
      <c r="E602" s="62" t="s">
        <v>131</v>
      </c>
      <c r="F602" s="62" t="s">
        <v>568</v>
      </c>
      <c r="G602">
        <v>95</v>
      </c>
      <c r="H602">
        <v>95</v>
      </c>
      <c r="I602" s="62" t="s">
        <v>506</v>
      </c>
      <c r="J602" s="62" t="s">
        <v>625</v>
      </c>
      <c r="K602" s="62" t="s">
        <v>625</v>
      </c>
      <c r="L602" s="62" t="s">
        <v>1110</v>
      </c>
    </row>
    <row r="603" spans="1:12" x14ac:dyDescent="0.35">
      <c r="A603">
        <v>10681</v>
      </c>
      <c r="B603" s="62" t="s">
        <v>332</v>
      </c>
      <c r="C603" s="62" t="s">
        <v>494</v>
      </c>
      <c r="D603" s="62" t="s">
        <v>330</v>
      </c>
      <c r="E603" s="62" t="s">
        <v>131</v>
      </c>
      <c r="F603" s="62" t="s">
        <v>568</v>
      </c>
      <c r="G603">
        <v>321</v>
      </c>
      <c r="H603">
        <v>321</v>
      </c>
      <c r="I603" s="62" t="s">
        <v>506</v>
      </c>
      <c r="J603" s="62" t="s">
        <v>626</v>
      </c>
      <c r="K603" s="62" t="s">
        <v>626</v>
      </c>
      <c r="L603" s="62" t="s">
        <v>1110</v>
      </c>
    </row>
    <row r="604" spans="1:12" x14ac:dyDescent="0.35">
      <c r="A604">
        <v>12234</v>
      </c>
      <c r="B604" s="62" t="s">
        <v>171</v>
      </c>
      <c r="C604" s="62" t="s">
        <v>485</v>
      </c>
      <c r="D604" s="62" t="s">
        <v>163</v>
      </c>
      <c r="E604" s="62" t="s">
        <v>131</v>
      </c>
      <c r="F604" s="62" t="s">
        <v>568</v>
      </c>
      <c r="G604">
        <v>211</v>
      </c>
      <c r="H604">
        <v>211</v>
      </c>
      <c r="I604" s="62" t="s">
        <v>506</v>
      </c>
      <c r="J604" s="62" t="s">
        <v>627</v>
      </c>
      <c r="K604" s="62" t="s">
        <v>627</v>
      </c>
      <c r="L604" s="62" t="s">
        <v>1110</v>
      </c>
    </row>
    <row r="605" spans="1:12" x14ac:dyDescent="0.35">
      <c r="A605">
        <v>12717</v>
      </c>
      <c r="B605" s="62" t="s">
        <v>137</v>
      </c>
      <c r="C605" s="62" t="s">
        <v>485</v>
      </c>
      <c r="D605" s="62" t="s">
        <v>129</v>
      </c>
      <c r="E605" s="62" t="s">
        <v>131</v>
      </c>
      <c r="F605" s="62" t="s">
        <v>568</v>
      </c>
      <c r="G605">
        <v>202</v>
      </c>
      <c r="H605">
        <v>202</v>
      </c>
      <c r="I605" s="62" t="s">
        <v>506</v>
      </c>
      <c r="J605" s="62" t="s">
        <v>628</v>
      </c>
      <c r="K605" s="62" t="s">
        <v>628</v>
      </c>
      <c r="L605" s="62" t="s">
        <v>1110</v>
      </c>
    </row>
    <row r="606" spans="1:12" x14ac:dyDescent="0.35">
      <c r="A606">
        <v>10481</v>
      </c>
      <c r="B606" s="62" t="s">
        <v>322</v>
      </c>
      <c r="C606" s="62" t="s">
        <v>494</v>
      </c>
      <c r="D606" s="62" t="s">
        <v>318</v>
      </c>
      <c r="E606" s="62" t="s">
        <v>131</v>
      </c>
      <c r="F606" s="62" t="s">
        <v>568</v>
      </c>
      <c r="G606">
        <v>142</v>
      </c>
      <c r="H606">
        <v>142</v>
      </c>
      <c r="I606" s="62" t="s">
        <v>506</v>
      </c>
      <c r="J606" s="62" t="s">
        <v>629</v>
      </c>
      <c r="K606" s="62" t="s">
        <v>629</v>
      </c>
      <c r="L606" s="62" t="s">
        <v>1110</v>
      </c>
    </row>
    <row r="607" spans="1:12" x14ac:dyDescent="0.35">
      <c r="A607">
        <v>12516</v>
      </c>
      <c r="B607" s="62" t="s">
        <v>174</v>
      </c>
      <c r="C607" s="62" t="s">
        <v>485</v>
      </c>
      <c r="D607" s="62" t="s">
        <v>163</v>
      </c>
      <c r="E607" s="62" t="s">
        <v>131</v>
      </c>
      <c r="F607" s="62" t="s">
        <v>568</v>
      </c>
      <c r="G607">
        <v>9633</v>
      </c>
      <c r="H607">
        <v>28822</v>
      </c>
      <c r="I607" s="62" t="s">
        <v>506</v>
      </c>
      <c r="J607" s="62" t="s">
        <v>630</v>
      </c>
      <c r="K607" s="62" t="s">
        <v>630</v>
      </c>
      <c r="L607" s="62" t="s">
        <v>1110</v>
      </c>
    </row>
    <row r="608" spans="1:12" x14ac:dyDescent="0.35">
      <c r="A608">
        <v>12560</v>
      </c>
      <c r="B608" s="62" t="s">
        <v>274</v>
      </c>
      <c r="C608" s="62" t="s">
        <v>488</v>
      </c>
      <c r="D608" s="62" t="s">
        <v>271</v>
      </c>
      <c r="E608" s="62" t="s">
        <v>131</v>
      </c>
      <c r="F608" s="62" t="s">
        <v>568</v>
      </c>
      <c r="G608">
        <v>97</v>
      </c>
      <c r="H608">
        <v>97</v>
      </c>
      <c r="I608" s="62" t="s">
        <v>506</v>
      </c>
      <c r="J608" s="62" t="s">
        <v>631</v>
      </c>
      <c r="K608" s="62" t="s">
        <v>631</v>
      </c>
      <c r="L608" s="62" t="s">
        <v>1110</v>
      </c>
    </row>
    <row r="609" spans="1:12" x14ac:dyDescent="0.35">
      <c r="A609">
        <v>12119</v>
      </c>
      <c r="B609" s="62" t="s">
        <v>257</v>
      </c>
      <c r="C609" s="62" t="s">
        <v>488</v>
      </c>
      <c r="D609" s="62" t="s">
        <v>256</v>
      </c>
      <c r="E609" s="62" t="s">
        <v>131</v>
      </c>
      <c r="F609" s="62" t="s">
        <v>568</v>
      </c>
      <c r="G609">
        <v>179</v>
      </c>
      <c r="H609">
        <v>179</v>
      </c>
      <c r="I609" s="62" t="s">
        <v>506</v>
      </c>
      <c r="J609" s="62" t="s">
        <v>632</v>
      </c>
      <c r="K609" s="62" t="s">
        <v>632</v>
      </c>
      <c r="L609" s="62" t="s">
        <v>1110</v>
      </c>
    </row>
    <row r="610" spans="1:12" x14ac:dyDescent="0.35">
      <c r="A610">
        <v>10732</v>
      </c>
      <c r="B610" s="62" t="s">
        <v>354</v>
      </c>
      <c r="C610" s="62" t="s">
        <v>494</v>
      </c>
      <c r="D610" s="62" t="s">
        <v>351</v>
      </c>
      <c r="E610" s="62" t="s">
        <v>131</v>
      </c>
      <c r="F610" s="62" t="s">
        <v>568</v>
      </c>
      <c r="G610">
        <v>719</v>
      </c>
      <c r="H610">
        <v>719</v>
      </c>
      <c r="I610" s="62" t="s">
        <v>506</v>
      </c>
      <c r="J610" s="62" t="s">
        <v>633</v>
      </c>
      <c r="K610" s="62" t="s">
        <v>633</v>
      </c>
      <c r="L610" s="62" t="s">
        <v>1110</v>
      </c>
    </row>
    <row r="611" spans="1:12" x14ac:dyDescent="0.35">
      <c r="A611">
        <v>12303</v>
      </c>
      <c r="B611" s="62" t="s">
        <v>138</v>
      </c>
      <c r="C611" s="62" t="s">
        <v>485</v>
      </c>
      <c r="D611" s="62" t="s">
        <v>129</v>
      </c>
      <c r="E611" s="62" t="s">
        <v>131</v>
      </c>
      <c r="F611" s="62" t="s">
        <v>568</v>
      </c>
      <c r="G611">
        <v>1557</v>
      </c>
      <c r="H611">
        <v>1557</v>
      </c>
      <c r="I611" s="62" t="s">
        <v>506</v>
      </c>
      <c r="J611" s="62" t="s">
        <v>634</v>
      </c>
      <c r="K611" s="62" t="s">
        <v>634</v>
      </c>
      <c r="L611" s="62" t="s">
        <v>1110</v>
      </c>
    </row>
    <row r="612" spans="1:12" x14ac:dyDescent="0.35">
      <c r="A612">
        <v>10657</v>
      </c>
      <c r="B612" s="62" t="s">
        <v>340</v>
      </c>
      <c r="C612" s="62" t="s">
        <v>494</v>
      </c>
      <c r="D612" s="62" t="s">
        <v>337</v>
      </c>
      <c r="E612" s="62" t="s">
        <v>131</v>
      </c>
      <c r="F612" s="62" t="s">
        <v>568</v>
      </c>
      <c r="G612">
        <v>213</v>
      </c>
      <c r="H612">
        <v>213</v>
      </c>
      <c r="I612" s="62" t="s">
        <v>506</v>
      </c>
      <c r="J612" s="62" t="s">
        <v>635</v>
      </c>
      <c r="K612" s="62" t="s">
        <v>635</v>
      </c>
      <c r="L612" s="62" t="s">
        <v>1110</v>
      </c>
    </row>
    <row r="613" spans="1:12" x14ac:dyDescent="0.35">
      <c r="A613">
        <v>12036</v>
      </c>
      <c r="B613" s="62" t="s">
        <v>167</v>
      </c>
      <c r="C613" s="62" t="s">
        <v>485</v>
      </c>
      <c r="D613" s="62" t="s">
        <v>163</v>
      </c>
      <c r="E613" s="62" t="s">
        <v>131</v>
      </c>
      <c r="F613" s="62" t="s">
        <v>568</v>
      </c>
      <c r="G613">
        <v>443</v>
      </c>
      <c r="H613">
        <v>443</v>
      </c>
      <c r="I613" s="62" t="s">
        <v>506</v>
      </c>
      <c r="J613" s="62" t="s">
        <v>636</v>
      </c>
      <c r="K613" s="62" t="s">
        <v>636</v>
      </c>
      <c r="L613" s="62" t="s">
        <v>1110</v>
      </c>
    </row>
    <row r="614" spans="1:12" x14ac:dyDescent="0.35">
      <c r="A614">
        <v>18782</v>
      </c>
      <c r="B614" s="62" t="s">
        <v>345</v>
      </c>
      <c r="C614" s="62" t="s">
        <v>494</v>
      </c>
      <c r="D614" s="62" t="s">
        <v>344</v>
      </c>
      <c r="E614" s="62" t="s">
        <v>131</v>
      </c>
      <c r="F614" s="62" t="s">
        <v>568</v>
      </c>
      <c r="G614">
        <v>176</v>
      </c>
      <c r="H614">
        <v>176</v>
      </c>
      <c r="I614" s="62" t="s">
        <v>506</v>
      </c>
      <c r="J614" s="62" t="s">
        <v>637</v>
      </c>
      <c r="K614" s="62" t="s">
        <v>637</v>
      </c>
      <c r="L614" s="62" t="s">
        <v>1110</v>
      </c>
    </row>
    <row r="615" spans="1:12" x14ac:dyDescent="0.35">
      <c r="A615">
        <v>10878</v>
      </c>
      <c r="B615" s="62" t="s">
        <v>327</v>
      </c>
      <c r="C615" s="62" t="s">
        <v>494</v>
      </c>
      <c r="D615" s="62" t="s">
        <v>318</v>
      </c>
      <c r="E615" s="62" t="s">
        <v>131</v>
      </c>
      <c r="F615" s="62" t="s">
        <v>568</v>
      </c>
      <c r="G615">
        <v>1211</v>
      </c>
      <c r="H615">
        <v>1211</v>
      </c>
      <c r="I615" s="62" t="s">
        <v>506</v>
      </c>
      <c r="J615" s="62" t="s">
        <v>638</v>
      </c>
      <c r="K615" s="62" t="s">
        <v>638</v>
      </c>
      <c r="L615" s="62" t="s">
        <v>1110</v>
      </c>
    </row>
    <row r="616" spans="1:12" x14ac:dyDescent="0.35">
      <c r="A616">
        <v>10786</v>
      </c>
      <c r="B616" s="62" t="s">
        <v>323</v>
      </c>
      <c r="C616" s="62" t="s">
        <v>494</v>
      </c>
      <c r="D616" s="62" t="s">
        <v>318</v>
      </c>
      <c r="E616" s="62" t="s">
        <v>131</v>
      </c>
      <c r="F616" s="62" t="s">
        <v>568</v>
      </c>
      <c r="G616">
        <v>577</v>
      </c>
      <c r="H616">
        <v>577</v>
      </c>
      <c r="I616" s="62" t="s">
        <v>506</v>
      </c>
      <c r="J616" s="62" t="s">
        <v>639</v>
      </c>
      <c r="K616" s="62" t="s">
        <v>639</v>
      </c>
      <c r="L616" s="62" t="s">
        <v>1110</v>
      </c>
    </row>
    <row r="617" spans="1:12" x14ac:dyDescent="0.35">
      <c r="A617">
        <v>12132</v>
      </c>
      <c r="B617" s="62" t="s">
        <v>258</v>
      </c>
      <c r="C617" s="62" t="s">
        <v>488</v>
      </c>
      <c r="D617" s="62" t="s">
        <v>256</v>
      </c>
      <c r="E617" s="62" t="s">
        <v>131</v>
      </c>
      <c r="F617" s="62" t="s">
        <v>568</v>
      </c>
      <c r="G617">
        <v>331</v>
      </c>
      <c r="H617">
        <v>331</v>
      </c>
      <c r="I617" s="62" t="s">
        <v>506</v>
      </c>
      <c r="J617" s="62" t="s">
        <v>640</v>
      </c>
      <c r="K617" s="62" t="s">
        <v>640</v>
      </c>
      <c r="L617" s="62" t="s">
        <v>1110</v>
      </c>
    </row>
    <row r="618" spans="1:12" x14ac:dyDescent="0.35">
      <c r="A618">
        <v>10871</v>
      </c>
      <c r="B618" s="62" t="s">
        <v>357</v>
      </c>
      <c r="C618" s="62" t="s">
        <v>494</v>
      </c>
      <c r="D618" s="62" t="s">
        <v>351</v>
      </c>
      <c r="E618" s="62" t="s">
        <v>131</v>
      </c>
      <c r="F618" s="62" t="s">
        <v>568</v>
      </c>
      <c r="G618">
        <v>154</v>
      </c>
      <c r="H618">
        <v>154</v>
      </c>
      <c r="I618" s="62" t="s">
        <v>506</v>
      </c>
      <c r="J618" s="62" t="s">
        <v>641</v>
      </c>
      <c r="K618" s="62" t="s">
        <v>641</v>
      </c>
      <c r="L618" s="62" t="s">
        <v>1110</v>
      </c>
    </row>
    <row r="619" spans="1:12" x14ac:dyDescent="0.35">
      <c r="A619">
        <v>12675</v>
      </c>
      <c r="B619" s="62" t="s">
        <v>144</v>
      </c>
      <c r="C619" s="62" t="s">
        <v>485</v>
      </c>
      <c r="D619" s="62" t="s">
        <v>140</v>
      </c>
      <c r="E619" s="62" t="s">
        <v>131</v>
      </c>
      <c r="F619" s="62" t="s">
        <v>568</v>
      </c>
      <c r="G619">
        <v>272</v>
      </c>
      <c r="H619">
        <v>272</v>
      </c>
      <c r="I619" s="62" t="s">
        <v>506</v>
      </c>
      <c r="J619" s="62" t="s">
        <v>642</v>
      </c>
      <c r="K619" s="62" t="s">
        <v>642</v>
      </c>
      <c r="L619" s="62" t="s">
        <v>1110</v>
      </c>
    </row>
    <row r="620" spans="1:12" x14ac:dyDescent="0.35">
      <c r="A620">
        <v>12300</v>
      </c>
      <c r="B620" s="62" t="s">
        <v>243</v>
      </c>
      <c r="C620" s="62" t="s">
        <v>487</v>
      </c>
      <c r="D620" s="62" t="s">
        <v>237</v>
      </c>
      <c r="E620" s="62" t="s">
        <v>131</v>
      </c>
      <c r="F620" s="62" t="s">
        <v>568</v>
      </c>
      <c r="G620">
        <v>77</v>
      </c>
      <c r="I620" s="62" t="s">
        <v>506</v>
      </c>
      <c r="J620" s="62" t="s">
        <v>643</v>
      </c>
      <c r="K620" s="62" t="s">
        <v>643</v>
      </c>
      <c r="L620" s="62" t="s">
        <v>1110</v>
      </c>
    </row>
    <row r="621" spans="1:12" x14ac:dyDescent="0.35">
      <c r="A621">
        <v>10244</v>
      </c>
      <c r="B621" s="62" t="s">
        <v>331</v>
      </c>
      <c r="C621" s="62" t="s">
        <v>494</v>
      </c>
      <c r="D621" s="62" t="s">
        <v>330</v>
      </c>
      <c r="E621" s="62" t="s">
        <v>131</v>
      </c>
      <c r="F621" s="62" t="s">
        <v>568</v>
      </c>
      <c r="G621">
        <v>186</v>
      </c>
      <c r="H621">
        <v>186</v>
      </c>
      <c r="I621" s="62" t="s">
        <v>506</v>
      </c>
      <c r="J621" s="62" t="s">
        <v>644</v>
      </c>
      <c r="K621" s="62" t="s">
        <v>644</v>
      </c>
      <c r="L621" s="62" t="s">
        <v>1110</v>
      </c>
    </row>
    <row r="622" spans="1:12" x14ac:dyDescent="0.35">
      <c r="A622">
        <v>16463</v>
      </c>
      <c r="B622" s="62" t="s">
        <v>228</v>
      </c>
      <c r="C622" s="62" t="s">
        <v>487</v>
      </c>
      <c r="D622" s="62" t="s">
        <v>226</v>
      </c>
      <c r="E622" s="62" t="s">
        <v>131</v>
      </c>
      <c r="F622" s="62" t="s">
        <v>568</v>
      </c>
      <c r="G622">
        <v>348</v>
      </c>
      <c r="H622">
        <v>348</v>
      </c>
      <c r="I622" s="62" t="s">
        <v>506</v>
      </c>
      <c r="J622" s="62" t="s">
        <v>645</v>
      </c>
      <c r="K622" s="62" t="s">
        <v>645</v>
      </c>
      <c r="L622" s="62" t="s">
        <v>1110</v>
      </c>
    </row>
    <row r="623" spans="1:12" x14ac:dyDescent="0.35">
      <c r="A623">
        <v>12719</v>
      </c>
      <c r="B623" s="62" t="s">
        <v>245</v>
      </c>
      <c r="C623" s="62" t="s">
        <v>487</v>
      </c>
      <c r="D623" s="62" t="s">
        <v>237</v>
      </c>
      <c r="E623" s="62" t="s">
        <v>131</v>
      </c>
      <c r="F623" s="62" t="s">
        <v>568</v>
      </c>
      <c r="G623">
        <v>1605</v>
      </c>
      <c r="H623">
        <v>1605</v>
      </c>
      <c r="I623" s="62" t="s">
        <v>506</v>
      </c>
      <c r="J623" s="62" t="s">
        <v>646</v>
      </c>
      <c r="K623" s="62" t="s">
        <v>646</v>
      </c>
      <c r="L623" s="62" t="s">
        <v>1110</v>
      </c>
    </row>
    <row r="624" spans="1:12" x14ac:dyDescent="0.35">
      <c r="A624">
        <v>12673</v>
      </c>
      <c r="B624" s="62" t="s">
        <v>244</v>
      </c>
      <c r="C624" s="62" t="s">
        <v>487</v>
      </c>
      <c r="D624" s="62" t="s">
        <v>237</v>
      </c>
      <c r="E624" s="62" t="s">
        <v>131</v>
      </c>
      <c r="F624" s="62" t="s">
        <v>568</v>
      </c>
      <c r="G624">
        <v>95</v>
      </c>
      <c r="H624">
        <v>95</v>
      </c>
      <c r="I624" s="62" t="s">
        <v>506</v>
      </c>
      <c r="J624" s="62" t="s">
        <v>647</v>
      </c>
      <c r="K624" s="62" t="s">
        <v>647</v>
      </c>
      <c r="L624" s="62" t="s">
        <v>1110</v>
      </c>
    </row>
    <row r="625" spans="1:12" x14ac:dyDescent="0.35">
      <c r="A625">
        <v>12004</v>
      </c>
      <c r="B625" s="62" t="s">
        <v>211</v>
      </c>
      <c r="C625" s="62" t="s">
        <v>487</v>
      </c>
      <c r="D625" s="62" t="s">
        <v>208</v>
      </c>
      <c r="E625" s="62" t="s">
        <v>131</v>
      </c>
      <c r="F625" s="62" t="s">
        <v>568</v>
      </c>
      <c r="G625">
        <v>7360</v>
      </c>
      <c r="H625">
        <v>7360</v>
      </c>
      <c r="I625" s="62" t="s">
        <v>506</v>
      </c>
      <c r="J625" s="62" t="s">
        <v>648</v>
      </c>
      <c r="K625" s="62" t="s">
        <v>648</v>
      </c>
      <c r="L625" s="62" t="s">
        <v>1110</v>
      </c>
    </row>
    <row r="626" spans="1:12" x14ac:dyDescent="0.35">
      <c r="A626">
        <v>12174</v>
      </c>
      <c r="B626" s="62" t="s">
        <v>141</v>
      </c>
      <c r="C626" s="62" t="s">
        <v>485</v>
      </c>
      <c r="D626" s="62" t="s">
        <v>140</v>
      </c>
      <c r="E626" s="62" t="s">
        <v>131</v>
      </c>
      <c r="F626" s="62" t="s">
        <v>568</v>
      </c>
      <c r="G626">
        <v>756</v>
      </c>
      <c r="H626">
        <v>756</v>
      </c>
      <c r="I626" s="62" t="s">
        <v>506</v>
      </c>
      <c r="J626" s="62" t="s">
        <v>649</v>
      </c>
      <c r="K626" s="62" t="s">
        <v>649</v>
      </c>
      <c r="L626" s="62" t="s">
        <v>1110</v>
      </c>
    </row>
    <row r="627" spans="1:12" x14ac:dyDescent="0.35">
      <c r="A627">
        <v>12203</v>
      </c>
      <c r="B627" s="62" t="s">
        <v>559</v>
      </c>
      <c r="C627" s="62" t="s">
        <v>487</v>
      </c>
      <c r="D627" s="62" t="s">
        <v>237</v>
      </c>
      <c r="E627" s="62" t="s">
        <v>131</v>
      </c>
      <c r="F627" s="62" t="s">
        <v>568</v>
      </c>
      <c r="G627">
        <v>512</v>
      </c>
      <c r="H627">
        <v>512</v>
      </c>
      <c r="I627" s="62" t="s">
        <v>506</v>
      </c>
      <c r="J627" s="62" t="s">
        <v>650</v>
      </c>
      <c r="K627" s="62" t="s">
        <v>650</v>
      </c>
      <c r="L627" s="62" t="s">
        <v>1110</v>
      </c>
    </row>
    <row r="628" spans="1:12" x14ac:dyDescent="0.35">
      <c r="A628">
        <v>12198</v>
      </c>
      <c r="B628" s="62" t="s">
        <v>213</v>
      </c>
      <c r="C628" s="62" t="s">
        <v>487</v>
      </c>
      <c r="D628" s="62" t="s">
        <v>208</v>
      </c>
      <c r="E628" s="62" t="s">
        <v>131</v>
      </c>
      <c r="F628" s="62" t="s">
        <v>568</v>
      </c>
      <c r="G628">
        <v>297</v>
      </c>
      <c r="H628">
        <v>297</v>
      </c>
      <c r="I628" s="62" t="s">
        <v>506</v>
      </c>
      <c r="J628" s="62" t="s">
        <v>651</v>
      </c>
      <c r="K628" s="62" t="s">
        <v>651</v>
      </c>
      <c r="L628" s="62" t="s">
        <v>1110</v>
      </c>
    </row>
    <row r="629" spans="1:12" x14ac:dyDescent="0.35">
      <c r="A629">
        <v>12271</v>
      </c>
      <c r="B629" s="62" t="s">
        <v>223</v>
      </c>
      <c r="C629" s="62" t="s">
        <v>487</v>
      </c>
      <c r="D629" s="62" t="s">
        <v>218</v>
      </c>
      <c r="E629" s="62" t="s">
        <v>131</v>
      </c>
      <c r="F629" s="62" t="s">
        <v>568</v>
      </c>
      <c r="G629">
        <v>237</v>
      </c>
      <c r="H629">
        <v>237</v>
      </c>
      <c r="I629" s="62" t="s">
        <v>506</v>
      </c>
      <c r="J629" s="62" t="s">
        <v>652</v>
      </c>
      <c r="K629" s="62" t="s">
        <v>652</v>
      </c>
      <c r="L629" s="62" t="s">
        <v>1110</v>
      </c>
    </row>
    <row r="630" spans="1:12" x14ac:dyDescent="0.35">
      <c r="A630">
        <v>12279</v>
      </c>
      <c r="B630" s="62" t="s">
        <v>242</v>
      </c>
      <c r="C630" s="62" t="s">
        <v>487</v>
      </c>
      <c r="D630" s="62" t="s">
        <v>237</v>
      </c>
      <c r="E630" s="62" t="s">
        <v>131</v>
      </c>
      <c r="F630" s="62" t="s">
        <v>568</v>
      </c>
      <c r="G630">
        <v>942</v>
      </c>
      <c r="H630">
        <v>942</v>
      </c>
      <c r="I630" s="62" t="s">
        <v>506</v>
      </c>
      <c r="J630" s="62" t="s">
        <v>653</v>
      </c>
      <c r="K630" s="62" t="s">
        <v>653</v>
      </c>
      <c r="L630" s="62" t="s">
        <v>1110</v>
      </c>
    </row>
    <row r="631" spans="1:12" x14ac:dyDescent="0.35">
      <c r="A631">
        <v>12799</v>
      </c>
      <c r="B631" s="62" t="s">
        <v>195</v>
      </c>
      <c r="C631" s="62" t="s">
        <v>485</v>
      </c>
      <c r="D631" s="62" t="s">
        <v>189</v>
      </c>
      <c r="E631" s="62" t="s">
        <v>131</v>
      </c>
      <c r="F631" s="62" t="s">
        <v>568</v>
      </c>
      <c r="G631">
        <v>594</v>
      </c>
      <c r="H631">
        <v>594</v>
      </c>
      <c r="I631" s="62" t="s">
        <v>506</v>
      </c>
      <c r="J631" s="62" t="s">
        <v>654</v>
      </c>
      <c r="K631" s="62" t="s">
        <v>654</v>
      </c>
      <c r="L631" s="62" t="s">
        <v>1110</v>
      </c>
    </row>
    <row r="632" spans="1:12" x14ac:dyDescent="0.35">
      <c r="A632">
        <v>11973</v>
      </c>
      <c r="B632" s="62" t="s">
        <v>529</v>
      </c>
      <c r="C632" s="62" t="s">
        <v>488</v>
      </c>
      <c r="D632" s="62" t="s">
        <v>250</v>
      </c>
      <c r="E632" s="62" t="s">
        <v>131</v>
      </c>
      <c r="F632" s="62" t="s">
        <v>568</v>
      </c>
      <c r="G632">
        <v>3055</v>
      </c>
      <c r="H632">
        <v>3055</v>
      </c>
      <c r="I632" s="62" t="s">
        <v>506</v>
      </c>
      <c r="J632" s="62" t="s">
        <v>655</v>
      </c>
      <c r="K632" s="62" t="s">
        <v>655</v>
      </c>
      <c r="L632" s="62" t="s">
        <v>1110</v>
      </c>
    </row>
    <row r="633" spans="1:12" x14ac:dyDescent="0.35">
      <c r="A633">
        <v>12793</v>
      </c>
      <c r="B633" s="62" t="s">
        <v>275</v>
      </c>
      <c r="C633" s="62" t="s">
        <v>488</v>
      </c>
      <c r="D633" s="62" t="s">
        <v>271</v>
      </c>
      <c r="E633" s="62" t="s">
        <v>131</v>
      </c>
      <c r="F633" s="62" t="s">
        <v>568</v>
      </c>
      <c r="G633">
        <v>123</v>
      </c>
      <c r="H633">
        <v>123</v>
      </c>
      <c r="I633" s="62" t="s">
        <v>506</v>
      </c>
      <c r="J633" s="62" t="s">
        <v>656</v>
      </c>
      <c r="K633" s="62" t="s">
        <v>656</v>
      </c>
      <c r="L633" s="62" t="s">
        <v>1110</v>
      </c>
    </row>
    <row r="634" spans="1:12" x14ac:dyDescent="0.35">
      <c r="A634">
        <v>12591</v>
      </c>
      <c r="B634" s="62" t="s">
        <v>194</v>
      </c>
      <c r="C634" s="62" t="s">
        <v>485</v>
      </c>
      <c r="D634" s="62" t="s">
        <v>189</v>
      </c>
      <c r="E634" s="62" t="s">
        <v>131</v>
      </c>
      <c r="F634" s="62" t="s">
        <v>568</v>
      </c>
      <c r="G634">
        <v>1086</v>
      </c>
      <c r="H634">
        <v>1086</v>
      </c>
      <c r="I634" s="62" t="s">
        <v>506</v>
      </c>
      <c r="J634" s="62" t="s">
        <v>657</v>
      </c>
      <c r="K634" s="62" t="s">
        <v>657</v>
      </c>
      <c r="L634" s="62" t="s">
        <v>1110</v>
      </c>
    </row>
    <row r="635" spans="1:12" x14ac:dyDescent="0.35">
      <c r="A635">
        <v>12287</v>
      </c>
      <c r="B635" s="62" t="s">
        <v>214</v>
      </c>
      <c r="C635" s="62" t="s">
        <v>487</v>
      </c>
      <c r="D635" s="62" t="s">
        <v>208</v>
      </c>
      <c r="E635" s="62" t="s">
        <v>131</v>
      </c>
      <c r="F635" s="62" t="s">
        <v>568</v>
      </c>
      <c r="G635">
        <v>467</v>
      </c>
      <c r="H635">
        <v>467</v>
      </c>
      <c r="I635" s="62" t="s">
        <v>506</v>
      </c>
      <c r="J635" s="62" t="s">
        <v>658</v>
      </c>
      <c r="K635" s="62" t="s">
        <v>658</v>
      </c>
      <c r="L635" s="62" t="s">
        <v>1110</v>
      </c>
    </row>
    <row r="636" spans="1:12" x14ac:dyDescent="0.35">
      <c r="A636">
        <v>12453</v>
      </c>
      <c r="B636" s="62" t="s">
        <v>216</v>
      </c>
      <c r="C636" s="62" t="s">
        <v>487</v>
      </c>
      <c r="D636" s="62" t="s">
        <v>208</v>
      </c>
      <c r="E636" s="62" t="s">
        <v>131</v>
      </c>
      <c r="F636" s="62" t="s">
        <v>568</v>
      </c>
      <c r="G636">
        <v>101</v>
      </c>
      <c r="H636">
        <v>101</v>
      </c>
      <c r="I636" s="62" t="s">
        <v>506</v>
      </c>
      <c r="J636" s="62" t="s">
        <v>659</v>
      </c>
      <c r="K636" s="62" t="s">
        <v>659</v>
      </c>
      <c r="L636" s="62" t="s">
        <v>1110</v>
      </c>
    </row>
    <row r="637" spans="1:12" x14ac:dyDescent="0.35">
      <c r="A637">
        <v>11004</v>
      </c>
      <c r="B637" s="62" t="s">
        <v>342</v>
      </c>
      <c r="C637" s="62" t="s">
        <v>494</v>
      </c>
      <c r="D637" s="62" t="s">
        <v>337</v>
      </c>
      <c r="E637" s="62" t="s">
        <v>131</v>
      </c>
      <c r="F637" s="62" t="s">
        <v>568</v>
      </c>
      <c r="G637">
        <v>549</v>
      </c>
      <c r="H637">
        <v>549</v>
      </c>
      <c r="I637" s="62" t="s">
        <v>506</v>
      </c>
      <c r="J637" s="62" t="s">
        <v>660</v>
      </c>
      <c r="K637" s="62" t="s">
        <v>660</v>
      </c>
      <c r="L637" s="62" t="s">
        <v>1110</v>
      </c>
    </row>
    <row r="638" spans="1:12" x14ac:dyDescent="0.35">
      <c r="A638">
        <v>10916</v>
      </c>
      <c r="B638" s="62" t="s">
        <v>352</v>
      </c>
      <c r="C638" s="62" t="s">
        <v>494</v>
      </c>
      <c r="D638" s="62" t="s">
        <v>351</v>
      </c>
      <c r="E638" s="62" t="s">
        <v>131</v>
      </c>
      <c r="F638" s="62" t="s">
        <v>661</v>
      </c>
      <c r="G638">
        <v>13343</v>
      </c>
      <c r="H638">
        <v>107002</v>
      </c>
      <c r="I638" s="62" t="s">
        <v>506</v>
      </c>
      <c r="J638" s="62" t="s">
        <v>662</v>
      </c>
      <c r="K638" s="62" t="s">
        <v>662</v>
      </c>
      <c r="L638" s="62" t="s">
        <v>1110</v>
      </c>
    </row>
    <row r="639" spans="1:12" x14ac:dyDescent="0.35">
      <c r="A639">
        <v>12359</v>
      </c>
      <c r="B639" s="62" t="s">
        <v>215</v>
      </c>
      <c r="C639" s="62" t="s">
        <v>487</v>
      </c>
      <c r="D639" s="62" t="s">
        <v>208</v>
      </c>
      <c r="E639" s="62" t="s">
        <v>131</v>
      </c>
      <c r="F639" s="62" t="s">
        <v>661</v>
      </c>
      <c r="G639">
        <v>502</v>
      </c>
      <c r="I639" s="62" t="s">
        <v>506</v>
      </c>
      <c r="J639" s="62" t="s">
        <v>663</v>
      </c>
      <c r="K639" s="62" t="s">
        <v>663</v>
      </c>
      <c r="L639" s="62" t="s">
        <v>1110</v>
      </c>
    </row>
    <row r="640" spans="1:12" x14ac:dyDescent="0.35">
      <c r="A640">
        <v>12279</v>
      </c>
      <c r="B640" s="62" t="s">
        <v>242</v>
      </c>
      <c r="C640" s="62" t="s">
        <v>487</v>
      </c>
      <c r="D640" s="62" t="s">
        <v>237</v>
      </c>
      <c r="E640" s="62" t="s">
        <v>131</v>
      </c>
      <c r="F640" s="62" t="s">
        <v>661</v>
      </c>
      <c r="G640">
        <v>566</v>
      </c>
      <c r="I640" s="62" t="s">
        <v>506</v>
      </c>
      <c r="J640" s="62" t="s">
        <v>664</v>
      </c>
      <c r="K640" s="62" t="s">
        <v>664</v>
      </c>
      <c r="L640" s="62" t="s">
        <v>1110</v>
      </c>
    </row>
    <row r="641" spans="1:12" x14ac:dyDescent="0.35">
      <c r="A641">
        <v>12799</v>
      </c>
      <c r="B641" s="62" t="s">
        <v>195</v>
      </c>
      <c r="C641" s="62" t="s">
        <v>485</v>
      </c>
      <c r="D641" s="62" t="s">
        <v>189</v>
      </c>
      <c r="E641" s="62" t="s">
        <v>131</v>
      </c>
      <c r="F641" s="62" t="s">
        <v>661</v>
      </c>
      <c r="G641">
        <v>16177</v>
      </c>
      <c r="I641" s="62" t="s">
        <v>506</v>
      </c>
      <c r="J641" s="62" t="s">
        <v>665</v>
      </c>
      <c r="K641" s="62" t="s">
        <v>665</v>
      </c>
      <c r="L641" s="62" t="s">
        <v>1110</v>
      </c>
    </row>
    <row r="642" spans="1:12" x14ac:dyDescent="0.35">
      <c r="A642">
        <v>11004</v>
      </c>
      <c r="B642" s="62" t="s">
        <v>342</v>
      </c>
      <c r="C642" s="62" t="s">
        <v>494</v>
      </c>
      <c r="D642" s="62" t="s">
        <v>337</v>
      </c>
      <c r="E642" s="62" t="s">
        <v>131</v>
      </c>
      <c r="F642" s="62" t="s">
        <v>661</v>
      </c>
      <c r="G642">
        <v>1462</v>
      </c>
      <c r="I642" s="62" t="s">
        <v>506</v>
      </c>
      <c r="J642" s="62" t="s">
        <v>666</v>
      </c>
      <c r="K642" s="62" t="s">
        <v>666</v>
      </c>
      <c r="L642" s="62" t="s">
        <v>1110</v>
      </c>
    </row>
    <row r="643" spans="1:12" x14ac:dyDescent="0.35">
      <c r="A643">
        <v>12516</v>
      </c>
      <c r="B643" s="62" t="s">
        <v>174</v>
      </c>
      <c r="C643" s="62" t="s">
        <v>485</v>
      </c>
      <c r="D643" s="62" t="s">
        <v>163</v>
      </c>
      <c r="E643" s="62" t="s">
        <v>131</v>
      </c>
      <c r="F643" s="62" t="s">
        <v>661</v>
      </c>
      <c r="G643">
        <v>10964</v>
      </c>
      <c r="I643" s="62" t="s">
        <v>506</v>
      </c>
      <c r="J643" s="62" t="s">
        <v>667</v>
      </c>
      <c r="K643" s="62" t="s">
        <v>667</v>
      </c>
      <c r="L643" s="62" t="s">
        <v>1110</v>
      </c>
    </row>
    <row r="644" spans="1:12" x14ac:dyDescent="0.35">
      <c r="A644">
        <v>12325</v>
      </c>
      <c r="B644" s="62" t="s">
        <v>181</v>
      </c>
      <c r="C644" s="62" t="s">
        <v>485</v>
      </c>
      <c r="D644" s="62" t="s">
        <v>175</v>
      </c>
      <c r="E644" s="62" t="s">
        <v>131</v>
      </c>
      <c r="F644" s="62" t="s">
        <v>661</v>
      </c>
      <c r="G644">
        <v>3437</v>
      </c>
      <c r="I644" s="62" t="s">
        <v>506</v>
      </c>
      <c r="J644" s="62" t="s">
        <v>668</v>
      </c>
      <c r="K644" s="62" t="s">
        <v>668</v>
      </c>
      <c r="L644" s="62" t="s">
        <v>1110</v>
      </c>
    </row>
    <row r="645" spans="1:12" x14ac:dyDescent="0.35">
      <c r="A645">
        <v>12287</v>
      </c>
      <c r="B645" s="62" t="s">
        <v>214</v>
      </c>
      <c r="C645" s="62" t="s">
        <v>487</v>
      </c>
      <c r="D645" s="62" t="s">
        <v>208</v>
      </c>
      <c r="E645" s="62" t="s">
        <v>131</v>
      </c>
      <c r="F645" s="62" t="s">
        <v>661</v>
      </c>
      <c r="G645">
        <v>974</v>
      </c>
      <c r="I645" s="62" t="s">
        <v>506</v>
      </c>
      <c r="J645" s="62" t="s">
        <v>669</v>
      </c>
      <c r="K645" s="62" t="s">
        <v>669</v>
      </c>
      <c r="L645" s="62" t="s">
        <v>1110</v>
      </c>
    </row>
    <row r="646" spans="1:12" x14ac:dyDescent="0.35">
      <c r="A646">
        <v>16464</v>
      </c>
      <c r="B646" s="62" t="s">
        <v>219</v>
      </c>
      <c r="C646" s="62" t="s">
        <v>487</v>
      </c>
      <c r="D646" s="62" t="s">
        <v>218</v>
      </c>
      <c r="E646" s="62" t="s">
        <v>131</v>
      </c>
      <c r="F646" s="62" t="s">
        <v>661</v>
      </c>
      <c r="G646">
        <v>1417</v>
      </c>
      <c r="I646" s="62" t="s">
        <v>506</v>
      </c>
      <c r="J646" s="62" t="s">
        <v>670</v>
      </c>
      <c r="K646" s="62" t="s">
        <v>670</v>
      </c>
      <c r="L646" s="62" t="s">
        <v>1110</v>
      </c>
    </row>
    <row r="647" spans="1:12" x14ac:dyDescent="0.35">
      <c r="A647">
        <v>12071</v>
      </c>
      <c r="B647" s="62" t="s">
        <v>169</v>
      </c>
      <c r="C647" s="62" t="s">
        <v>485</v>
      </c>
      <c r="D647" s="62" t="s">
        <v>163</v>
      </c>
      <c r="E647" s="62" t="s">
        <v>131</v>
      </c>
      <c r="F647" s="62" t="s">
        <v>661</v>
      </c>
      <c r="G647">
        <v>143</v>
      </c>
      <c r="I647" s="62" t="s">
        <v>506</v>
      </c>
      <c r="J647" s="62" t="s">
        <v>671</v>
      </c>
      <c r="K647" s="62" t="s">
        <v>671</v>
      </c>
      <c r="L647" s="62" t="s">
        <v>1110</v>
      </c>
    </row>
    <row r="648" spans="1:12" x14ac:dyDescent="0.35">
      <c r="A648">
        <v>12203</v>
      </c>
      <c r="B648" s="62" t="s">
        <v>559</v>
      </c>
      <c r="C648" s="62" t="s">
        <v>487</v>
      </c>
      <c r="D648" s="62" t="s">
        <v>237</v>
      </c>
      <c r="E648" s="62" t="s">
        <v>131</v>
      </c>
      <c r="F648" s="62" t="s">
        <v>661</v>
      </c>
      <c r="G648">
        <v>786</v>
      </c>
      <c r="I648" s="62" t="s">
        <v>506</v>
      </c>
      <c r="J648" s="62" t="s">
        <v>672</v>
      </c>
      <c r="K648" s="62" t="s">
        <v>672</v>
      </c>
      <c r="L648" s="62" t="s">
        <v>1110</v>
      </c>
    </row>
    <row r="649" spans="1:12" x14ac:dyDescent="0.35">
      <c r="A649">
        <v>12534</v>
      </c>
      <c r="B649" s="62" t="s">
        <v>185</v>
      </c>
      <c r="C649" s="62" t="s">
        <v>485</v>
      </c>
      <c r="D649" s="62" t="s">
        <v>175</v>
      </c>
      <c r="E649" s="62" t="s">
        <v>131</v>
      </c>
      <c r="F649" s="62" t="s">
        <v>661</v>
      </c>
      <c r="G649">
        <v>811</v>
      </c>
      <c r="I649" s="62" t="s">
        <v>506</v>
      </c>
      <c r="J649" s="62" t="s">
        <v>673</v>
      </c>
      <c r="K649" s="62" t="s">
        <v>673</v>
      </c>
      <c r="L649" s="62" t="s">
        <v>1110</v>
      </c>
    </row>
    <row r="650" spans="1:12" x14ac:dyDescent="0.35">
      <c r="A650">
        <v>11973</v>
      </c>
      <c r="B650" s="62" t="s">
        <v>529</v>
      </c>
      <c r="C650" s="62" t="s">
        <v>488</v>
      </c>
      <c r="D650" s="62" t="s">
        <v>250</v>
      </c>
      <c r="E650" s="62" t="s">
        <v>131</v>
      </c>
      <c r="F650" s="62" t="s">
        <v>661</v>
      </c>
      <c r="G650">
        <v>11867</v>
      </c>
      <c r="I650" s="62" t="s">
        <v>506</v>
      </c>
      <c r="J650" s="62" t="s">
        <v>674</v>
      </c>
      <c r="K650" s="62" t="s">
        <v>674</v>
      </c>
      <c r="L650" s="62" t="s">
        <v>1110</v>
      </c>
    </row>
    <row r="651" spans="1:12" x14ac:dyDescent="0.35">
      <c r="A651">
        <v>12319</v>
      </c>
      <c r="B651" s="62" t="s">
        <v>143</v>
      </c>
      <c r="C651" s="62" t="s">
        <v>485</v>
      </c>
      <c r="D651" s="62" t="s">
        <v>140</v>
      </c>
      <c r="E651" s="62" t="s">
        <v>131</v>
      </c>
      <c r="F651" s="62" t="s">
        <v>661</v>
      </c>
      <c r="G651">
        <v>475</v>
      </c>
      <c r="I651" s="62" t="s">
        <v>506</v>
      </c>
      <c r="J651" s="62" t="s">
        <v>675</v>
      </c>
      <c r="K651" s="62" t="s">
        <v>675</v>
      </c>
      <c r="L651" s="62" t="s">
        <v>1110</v>
      </c>
    </row>
    <row r="652" spans="1:12" x14ac:dyDescent="0.35">
      <c r="A652">
        <v>24622</v>
      </c>
      <c r="B652" s="62" t="s">
        <v>154</v>
      </c>
      <c r="C652" s="62" t="s">
        <v>485</v>
      </c>
      <c r="D652" s="62" t="s">
        <v>152</v>
      </c>
      <c r="E652" s="62" t="s">
        <v>131</v>
      </c>
      <c r="F652" s="62" t="s">
        <v>661</v>
      </c>
      <c r="G652">
        <v>2185</v>
      </c>
      <c r="I652" s="62" t="s">
        <v>506</v>
      </c>
      <c r="J652" s="62" t="s">
        <v>676</v>
      </c>
      <c r="K652" s="62" t="s">
        <v>676</v>
      </c>
      <c r="L652" s="62" t="s">
        <v>1110</v>
      </c>
    </row>
    <row r="653" spans="1:12" x14ac:dyDescent="0.35">
      <c r="A653">
        <v>12198</v>
      </c>
      <c r="B653" s="62" t="s">
        <v>213</v>
      </c>
      <c r="C653" s="62" t="s">
        <v>487</v>
      </c>
      <c r="D653" s="62" t="s">
        <v>208</v>
      </c>
      <c r="E653" s="62" t="s">
        <v>131</v>
      </c>
      <c r="F653" s="62" t="s">
        <v>661</v>
      </c>
      <c r="G653">
        <v>351</v>
      </c>
      <c r="I653" s="62" t="s">
        <v>507</v>
      </c>
      <c r="J653" s="62" t="s">
        <v>677</v>
      </c>
      <c r="K653" s="62" t="s">
        <v>677</v>
      </c>
      <c r="L653" s="62" t="s">
        <v>1110</v>
      </c>
    </row>
    <row r="654" spans="1:12" x14ac:dyDescent="0.35">
      <c r="A654">
        <v>12453</v>
      </c>
      <c r="B654" s="62" t="s">
        <v>216</v>
      </c>
      <c r="C654" s="62" t="s">
        <v>487</v>
      </c>
      <c r="D654" s="62" t="s">
        <v>208</v>
      </c>
      <c r="E654" s="62" t="s">
        <v>131</v>
      </c>
      <c r="F654" s="62" t="s">
        <v>661</v>
      </c>
      <c r="G654">
        <v>202</v>
      </c>
      <c r="I654" s="62" t="s">
        <v>506</v>
      </c>
      <c r="J654" s="62" t="s">
        <v>678</v>
      </c>
      <c r="K654" s="62" t="s">
        <v>678</v>
      </c>
      <c r="L654" s="62" t="s">
        <v>1110</v>
      </c>
    </row>
    <row r="655" spans="1:12" x14ac:dyDescent="0.35">
      <c r="A655">
        <v>12302</v>
      </c>
      <c r="B655" s="62" t="s">
        <v>542</v>
      </c>
      <c r="C655" s="62" t="s">
        <v>485</v>
      </c>
      <c r="D655" s="62" t="s">
        <v>129</v>
      </c>
      <c r="E655" s="62" t="s">
        <v>131</v>
      </c>
      <c r="F655" s="62" t="s">
        <v>661</v>
      </c>
      <c r="G655">
        <v>332</v>
      </c>
      <c r="I655" s="62" t="s">
        <v>506</v>
      </c>
      <c r="J655" s="62" t="s">
        <v>679</v>
      </c>
      <c r="K655" s="62" t="s">
        <v>679</v>
      </c>
      <c r="L655" s="62" t="s">
        <v>1110</v>
      </c>
    </row>
    <row r="656" spans="1:12" x14ac:dyDescent="0.35">
      <c r="A656">
        <v>12526</v>
      </c>
      <c r="B656" s="62" t="s">
        <v>184</v>
      </c>
      <c r="C656" s="62" t="s">
        <v>485</v>
      </c>
      <c r="D656" s="62" t="s">
        <v>175</v>
      </c>
      <c r="E656" s="62" t="s">
        <v>131</v>
      </c>
      <c r="F656" s="62" t="s">
        <v>661</v>
      </c>
      <c r="G656">
        <v>6588</v>
      </c>
      <c r="I656" s="62" t="s">
        <v>506</v>
      </c>
      <c r="J656" s="62" t="s">
        <v>680</v>
      </c>
      <c r="K656" s="62" t="s">
        <v>680</v>
      </c>
      <c r="L656" s="62" t="s">
        <v>1110</v>
      </c>
    </row>
    <row r="657" spans="1:12" x14ac:dyDescent="0.35">
      <c r="A657">
        <v>19879</v>
      </c>
      <c r="B657" s="62" t="s">
        <v>170</v>
      </c>
      <c r="C657" s="62" t="s">
        <v>485</v>
      </c>
      <c r="D657" s="62" t="s">
        <v>163</v>
      </c>
      <c r="E657" s="62" t="s">
        <v>131</v>
      </c>
      <c r="F657" s="62" t="s">
        <v>661</v>
      </c>
      <c r="G657">
        <v>3680</v>
      </c>
      <c r="I657" s="62" t="s">
        <v>506</v>
      </c>
      <c r="J657" s="62" t="s">
        <v>681</v>
      </c>
      <c r="K657" s="62" t="s">
        <v>681</v>
      </c>
      <c r="L657" s="62" t="s">
        <v>1110</v>
      </c>
    </row>
    <row r="658" spans="1:12" x14ac:dyDescent="0.35">
      <c r="A658">
        <v>12795</v>
      </c>
      <c r="B658" s="62" t="s">
        <v>279</v>
      </c>
      <c r="C658" s="62" t="s">
        <v>488</v>
      </c>
      <c r="D658" s="62" t="s">
        <v>276</v>
      </c>
      <c r="E658" s="62" t="s">
        <v>131</v>
      </c>
      <c r="F658" s="62" t="s">
        <v>661</v>
      </c>
      <c r="G658">
        <v>1463</v>
      </c>
      <c r="I658" s="62" t="s">
        <v>506</v>
      </c>
      <c r="J658" s="62" t="s">
        <v>682</v>
      </c>
      <c r="K658" s="62" t="s">
        <v>682</v>
      </c>
      <c r="L658" s="62" t="s">
        <v>1110</v>
      </c>
    </row>
    <row r="659" spans="1:12" x14ac:dyDescent="0.35">
      <c r="A659">
        <v>12642</v>
      </c>
      <c r="B659" s="62" t="s">
        <v>217</v>
      </c>
      <c r="C659" s="62" t="s">
        <v>487</v>
      </c>
      <c r="D659" s="62" t="s">
        <v>208</v>
      </c>
      <c r="E659" s="62" t="s">
        <v>131</v>
      </c>
      <c r="F659" s="62" t="s">
        <v>568</v>
      </c>
      <c r="G659">
        <v>709</v>
      </c>
      <c r="H659">
        <v>709</v>
      </c>
      <c r="I659" s="62" t="s">
        <v>506</v>
      </c>
      <c r="J659" s="62" t="s">
        <v>683</v>
      </c>
      <c r="K659" s="62" t="s">
        <v>683</v>
      </c>
      <c r="L659" s="62" t="s">
        <v>1110</v>
      </c>
    </row>
    <row r="660" spans="1:12" x14ac:dyDescent="0.35">
      <c r="A660">
        <v>12642</v>
      </c>
      <c r="B660" s="62" t="s">
        <v>217</v>
      </c>
      <c r="C660" s="62" t="s">
        <v>487</v>
      </c>
      <c r="D660" s="62" t="s">
        <v>208</v>
      </c>
      <c r="E660" s="62" t="s">
        <v>131</v>
      </c>
      <c r="F660" s="62" t="s">
        <v>661</v>
      </c>
      <c r="G660">
        <v>1159</v>
      </c>
      <c r="I660" s="62" t="s">
        <v>506</v>
      </c>
      <c r="J660" s="62" t="s">
        <v>684</v>
      </c>
      <c r="K660" s="62" t="s">
        <v>684</v>
      </c>
      <c r="L660" s="62" t="s">
        <v>1110</v>
      </c>
    </row>
    <row r="661" spans="1:12" x14ac:dyDescent="0.35">
      <c r="A661">
        <v>11971</v>
      </c>
      <c r="B661" s="62" t="s">
        <v>164</v>
      </c>
      <c r="C661" s="62" t="s">
        <v>485</v>
      </c>
      <c r="D661" s="62" t="s">
        <v>163</v>
      </c>
      <c r="E661" s="62" t="s">
        <v>131</v>
      </c>
      <c r="F661" s="62" t="s">
        <v>661</v>
      </c>
      <c r="G661">
        <v>136</v>
      </c>
      <c r="I661" s="62" t="s">
        <v>506</v>
      </c>
      <c r="J661" s="62" t="s">
        <v>685</v>
      </c>
      <c r="K661" s="62" t="s">
        <v>685</v>
      </c>
      <c r="L661" s="62" t="s">
        <v>1110</v>
      </c>
    </row>
    <row r="662" spans="1:12" x14ac:dyDescent="0.35">
      <c r="A662">
        <v>12525</v>
      </c>
      <c r="B662" s="62" t="s">
        <v>193</v>
      </c>
      <c r="C662" s="62" t="s">
        <v>485</v>
      </c>
      <c r="D662" s="62" t="s">
        <v>189</v>
      </c>
      <c r="E662" s="62" t="s">
        <v>131</v>
      </c>
      <c r="F662" s="62" t="s">
        <v>661</v>
      </c>
      <c r="G662">
        <v>727</v>
      </c>
      <c r="I662" s="62" t="s">
        <v>506</v>
      </c>
      <c r="J662" s="62" t="s">
        <v>686</v>
      </c>
      <c r="K662" s="62" t="s">
        <v>686</v>
      </c>
      <c r="L662" s="62" t="s">
        <v>1110</v>
      </c>
    </row>
    <row r="663" spans="1:12" x14ac:dyDescent="0.35">
      <c r="A663">
        <v>12426</v>
      </c>
      <c r="B663" s="62" t="s">
        <v>133</v>
      </c>
      <c r="C663" s="62" t="s">
        <v>485</v>
      </c>
      <c r="D663" s="62" t="s">
        <v>129</v>
      </c>
      <c r="E663" s="62" t="s">
        <v>131</v>
      </c>
      <c r="F663" s="62" t="s">
        <v>661</v>
      </c>
      <c r="G663">
        <v>13174</v>
      </c>
      <c r="I663" s="62" t="s">
        <v>506</v>
      </c>
      <c r="J663" s="62" t="s">
        <v>687</v>
      </c>
      <c r="K663" s="62" t="s">
        <v>687</v>
      </c>
      <c r="L663" s="62" t="s">
        <v>1110</v>
      </c>
    </row>
    <row r="664" spans="1:12" x14ac:dyDescent="0.35">
      <c r="A664">
        <v>10820</v>
      </c>
      <c r="B664" s="62" t="s">
        <v>324</v>
      </c>
      <c r="C664" s="62" t="s">
        <v>494</v>
      </c>
      <c r="D664" s="62" t="s">
        <v>318</v>
      </c>
      <c r="E664" s="62" t="s">
        <v>131</v>
      </c>
      <c r="F664" s="62" t="s">
        <v>661</v>
      </c>
      <c r="G664">
        <v>371</v>
      </c>
      <c r="I664" s="62" t="s">
        <v>506</v>
      </c>
      <c r="J664" s="62" t="s">
        <v>688</v>
      </c>
      <c r="K664" s="62" t="s">
        <v>688</v>
      </c>
      <c r="L664" s="62" t="s">
        <v>1110</v>
      </c>
    </row>
    <row r="665" spans="1:12" x14ac:dyDescent="0.35">
      <c r="A665">
        <v>10912</v>
      </c>
      <c r="B665" s="62" t="s">
        <v>334</v>
      </c>
      <c r="C665" s="62" t="s">
        <v>494</v>
      </c>
      <c r="D665" s="62" t="s">
        <v>330</v>
      </c>
      <c r="E665" s="62" t="s">
        <v>131</v>
      </c>
      <c r="F665" s="62" t="s">
        <v>661</v>
      </c>
      <c r="G665">
        <v>1118</v>
      </c>
      <c r="I665" s="62" t="s">
        <v>506</v>
      </c>
      <c r="J665" s="62" t="s">
        <v>689</v>
      </c>
      <c r="K665" s="62" t="s">
        <v>689</v>
      </c>
      <c r="L665" s="62" t="s">
        <v>1110</v>
      </c>
    </row>
    <row r="666" spans="1:12" x14ac:dyDescent="0.35">
      <c r="A666">
        <v>12119</v>
      </c>
      <c r="B666" s="62" t="s">
        <v>257</v>
      </c>
      <c r="C666" s="62" t="s">
        <v>488</v>
      </c>
      <c r="D666" s="62" t="s">
        <v>256</v>
      </c>
      <c r="E666" s="62" t="s">
        <v>131</v>
      </c>
      <c r="F666" s="62" t="s">
        <v>661</v>
      </c>
      <c r="G666">
        <v>912</v>
      </c>
      <c r="I666" s="62" t="s">
        <v>506</v>
      </c>
      <c r="J666" s="62" t="s">
        <v>690</v>
      </c>
      <c r="K666" s="62" t="s">
        <v>690</v>
      </c>
      <c r="L666" s="62" t="s">
        <v>1110</v>
      </c>
    </row>
    <row r="667" spans="1:12" x14ac:dyDescent="0.35">
      <c r="A667">
        <v>12605</v>
      </c>
      <c r="B667" s="62" t="s">
        <v>150</v>
      </c>
      <c r="C667" s="62" t="s">
        <v>485</v>
      </c>
      <c r="D667" s="62" t="s">
        <v>146</v>
      </c>
      <c r="E667" s="62" t="s">
        <v>131</v>
      </c>
      <c r="F667" s="62" t="s">
        <v>661</v>
      </c>
      <c r="G667">
        <v>1272</v>
      </c>
      <c r="H667">
        <v>9803</v>
      </c>
      <c r="I667" s="62" t="s">
        <v>506</v>
      </c>
      <c r="J667" s="62" t="s">
        <v>691</v>
      </c>
      <c r="K667" s="62" t="s">
        <v>691</v>
      </c>
      <c r="L667" s="62" t="s">
        <v>1110</v>
      </c>
    </row>
    <row r="668" spans="1:12" x14ac:dyDescent="0.35">
      <c r="A668">
        <v>12027</v>
      </c>
      <c r="B668" s="62" t="s">
        <v>166</v>
      </c>
      <c r="C668" s="62" t="s">
        <v>485</v>
      </c>
      <c r="D668" s="62" t="s">
        <v>163</v>
      </c>
      <c r="E668" s="62" t="s">
        <v>131</v>
      </c>
      <c r="F668" s="62" t="s">
        <v>661</v>
      </c>
      <c r="G668">
        <v>481</v>
      </c>
      <c r="I668" s="62" t="s">
        <v>506</v>
      </c>
      <c r="J668" s="62" t="s">
        <v>692</v>
      </c>
      <c r="K668" s="62" t="s">
        <v>692</v>
      </c>
      <c r="L668" s="62" t="s">
        <v>1110</v>
      </c>
    </row>
    <row r="669" spans="1:12" x14ac:dyDescent="0.35">
      <c r="A669">
        <v>11984</v>
      </c>
      <c r="B669" s="62" t="s">
        <v>209</v>
      </c>
      <c r="C669" s="62" t="s">
        <v>487</v>
      </c>
      <c r="D669" s="62" t="s">
        <v>208</v>
      </c>
      <c r="E669" s="62" t="s">
        <v>131</v>
      </c>
      <c r="F669" s="62" t="s">
        <v>661</v>
      </c>
      <c r="G669">
        <v>1870</v>
      </c>
      <c r="I669" s="62" t="s">
        <v>506</v>
      </c>
      <c r="J669" s="62" t="s">
        <v>693</v>
      </c>
      <c r="K669" s="62" t="s">
        <v>693</v>
      </c>
      <c r="L669" s="62" t="s">
        <v>1110</v>
      </c>
    </row>
    <row r="670" spans="1:12" x14ac:dyDescent="0.35">
      <c r="A670">
        <v>12282</v>
      </c>
      <c r="B670" s="62" t="s">
        <v>511</v>
      </c>
      <c r="C670" s="62" t="s">
        <v>485</v>
      </c>
      <c r="D670" s="62" t="s">
        <v>129</v>
      </c>
      <c r="E670" s="62" t="s">
        <v>131</v>
      </c>
      <c r="F670" s="62" t="s">
        <v>661</v>
      </c>
      <c r="G670">
        <v>432</v>
      </c>
      <c r="H670">
        <v>756</v>
      </c>
      <c r="I670" s="62" t="s">
        <v>506</v>
      </c>
      <c r="J670" s="62" t="s">
        <v>694</v>
      </c>
      <c r="K670" s="62" t="s">
        <v>694</v>
      </c>
      <c r="L670" s="62" t="s">
        <v>1110</v>
      </c>
    </row>
    <row r="671" spans="1:12" x14ac:dyDescent="0.35">
      <c r="A671">
        <v>11923</v>
      </c>
      <c r="B671" s="62" t="s">
        <v>153</v>
      </c>
      <c r="C671" s="62" t="s">
        <v>485</v>
      </c>
      <c r="D671" s="62" t="s">
        <v>152</v>
      </c>
      <c r="E671" s="62" t="s">
        <v>131</v>
      </c>
      <c r="F671" s="62" t="s">
        <v>661</v>
      </c>
      <c r="G671">
        <v>397</v>
      </c>
      <c r="I671" s="62" t="s">
        <v>506</v>
      </c>
      <c r="J671" s="62" t="s">
        <v>695</v>
      </c>
      <c r="K671" s="62" t="s">
        <v>695</v>
      </c>
      <c r="L671" s="62" t="s">
        <v>1110</v>
      </c>
    </row>
    <row r="672" spans="1:12" x14ac:dyDescent="0.35">
      <c r="A672">
        <v>11923</v>
      </c>
      <c r="B672" s="62" t="s">
        <v>153</v>
      </c>
      <c r="C672" s="62" t="s">
        <v>485</v>
      </c>
      <c r="D672" s="62" t="s">
        <v>152</v>
      </c>
      <c r="E672" s="62" t="s">
        <v>131</v>
      </c>
      <c r="F672" s="62" t="s">
        <v>568</v>
      </c>
      <c r="G672">
        <v>253</v>
      </c>
      <c r="H672">
        <v>253</v>
      </c>
      <c r="I672" s="62" t="s">
        <v>506</v>
      </c>
      <c r="J672" s="62" t="s">
        <v>696</v>
      </c>
      <c r="K672" s="62" t="s">
        <v>696</v>
      </c>
      <c r="L672" s="62" t="s">
        <v>1110</v>
      </c>
    </row>
    <row r="673" spans="1:12" x14ac:dyDescent="0.35">
      <c r="A673">
        <v>12675</v>
      </c>
      <c r="B673" s="62" t="s">
        <v>144</v>
      </c>
      <c r="C673" s="62" t="s">
        <v>485</v>
      </c>
      <c r="D673" s="62" t="s">
        <v>140</v>
      </c>
      <c r="E673" s="62" t="s">
        <v>131</v>
      </c>
      <c r="F673" s="62" t="s">
        <v>661</v>
      </c>
      <c r="G673">
        <v>288</v>
      </c>
      <c r="I673" s="62" t="s">
        <v>506</v>
      </c>
      <c r="J673" s="62" t="s">
        <v>697</v>
      </c>
      <c r="K673" s="62" t="s">
        <v>697</v>
      </c>
      <c r="L673" s="62" t="s">
        <v>1110</v>
      </c>
    </row>
    <row r="674" spans="1:12" x14ac:dyDescent="0.35">
      <c r="A674">
        <v>12181</v>
      </c>
      <c r="B674" s="62" t="s">
        <v>178</v>
      </c>
      <c r="C674" s="62" t="s">
        <v>485</v>
      </c>
      <c r="D674" s="62" t="s">
        <v>175</v>
      </c>
      <c r="E674" s="62" t="s">
        <v>131</v>
      </c>
      <c r="F674" s="62" t="s">
        <v>661</v>
      </c>
      <c r="G674">
        <v>2827</v>
      </c>
      <c r="H674">
        <v>43775</v>
      </c>
      <c r="I674" s="62" t="s">
        <v>506</v>
      </c>
      <c r="J674" s="62" t="s">
        <v>698</v>
      </c>
      <c r="K674" s="62" t="s">
        <v>698</v>
      </c>
      <c r="L674" s="62" t="s">
        <v>1110</v>
      </c>
    </row>
    <row r="675" spans="1:12" x14ac:dyDescent="0.35">
      <c r="A675">
        <v>10043</v>
      </c>
      <c r="B675" s="62" t="s">
        <v>338</v>
      </c>
      <c r="C675" s="62" t="s">
        <v>494</v>
      </c>
      <c r="D675" s="62" t="s">
        <v>337</v>
      </c>
      <c r="E675" s="62" t="s">
        <v>131</v>
      </c>
      <c r="F675" s="62" t="s">
        <v>661</v>
      </c>
      <c r="G675">
        <v>1065</v>
      </c>
      <c r="I675" s="62" t="s">
        <v>506</v>
      </c>
      <c r="J675" s="62" t="s">
        <v>699</v>
      </c>
      <c r="K675" s="62" t="s">
        <v>699</v>
      </c>
      <c r="L675" s="62" t="s">
        <v>1110</v>
      </c>
    </row>
    <row r="676" spans="1:12" x14ac:dyDescent="0.35">
      <c r="A676">
        <v>12041</v>
      </c>
      <c r="B676" s="62" t="s">
        <v>161</v>
      </c>
      <c r="C676" s="62" t="s">
        <v>485</v>
      </c>
      <c r="D676" s="62" t="s">
        <v>159</v>
      </c>
      <c r="E676" s="62" t="s">
        <v>131</v>
      </c>
      <c r="F676" s="62" t="s">
        <v>661</v>
      </c>
      <c r="G676">
        <v>29203</v>
      </c>
      <c r="I676" s="62" t="s">
        <v>506</v>
      </c>
      <c r="J676" s="62" t="s">
        <v>700</v>
      </c>
      <c r="K676" s="62" t="s">
        <v>700</v>
      </c>
      <c r="L676" s="62" t="s">
        <v>1110</v>
      </c>
    </row>
    <row r="677" spans="1:12" x14ac:dyDescent="0.35">
      <c r="A677">
        <v>10681</v>
      </c>
      <c r="B677" s="62" t="s">
        <v>332</v>
      </c>
      <c r="C677" s="62" t="s">
        <v>494</v>
      </c>
      <c r="D677" s="62" t="s">
        <v>330</v>
      </c>
      <c r="E677" s="62" t="s">
        <v>131</v>
      </c>
      <c r="F677" s="62" t="s">
        <v>661</v>
      </c>
      <c r="G677">
        <v>888</v>
      </c>
      <c r="I677" s="62" t="s">
        <v>506</v>
      </c>
      <c r="J677" s="62" t="s">
        <v>701</v>
      </c>
      <c r="K677" s="62" t="s">
        <v>701</v>
      </c>
      <c r="L677" s="62" t="s">
        <v>1110</v>
      </c>
    </row>
    <row r="678" spans="1:12" x14ac:dyDescent="0.35">
      <c r="A678">
        <v>12717</v>
      </c>
      <c r="B678" s="62" t="s">
        <v>137</v>
      </c>
      <c r="C678" s="62" t="s">
        <v>485</v>
      </c>
      <c r="D678" s="62" t="s">
        <v>129</v>
      </c>
      <c r="E678" s="62" t="s">
        <v>131</v>
      </c>
      <c r="F678" s="62" t="s">
        <v>661</v>
      </c>
      <c r="G678">
        <v>222</v>
      </c>
      <c r="I678" s="62" t="s">
        <v>506</v>
      </c>
      <c r="J678" s="62" t="s">
        <v>702</v>
      </c>
      <c r="K678" s="62" t="s">
        <v>702</v>
      </c>
      <c r="L678" s="62" t="s">
        <v>1110</v>
      </c>
    </row>
    <row r="679" spans="1:12" x14ac:dyDescent="0.35">
      <c r="A679">
        <v>10509</v>
      </c>
      <c r="B679" s="62" t="s">
        <v>347</v>
      </c>
      <c r="C679" s="62" t="s">
        <v>494</v>
      </c>
      <c r="D679" s="62" t="s">
        <v>344</v>
      </c>
      <c r="E679" s="62" t="s">
        <v>131</v>
      </c>
      <c r="F679" s="62" t="s">
        <v>661</v>
      </c>
      <c r="G679">
        <v>2660</v>
      </c>
      <c r="I679" s="62" t="s">
        <v>506</v>
      </c>
      <c r="J679" s="62" t="s">
        <v>703</v>
      </c>
      <c r="K679" s="62" t="s">
        <v>703</v>
      </c>
      <c r="L679" s="62" t="s">
        <v>1110</v>
      </c>
    </row>
    <row r="680" spans="1:12" x14ac:dyDescent="0.35">
      <c r="A680">
        <v>12666</v>
      </c>
      <c r="B680" s="62" t="s">
        <v>186</v>
      </c>
      <c r="C680" s="62" t="s">
        <v>485</v>
      </c>
      <c r="D680" s="62" t="s">
        <v>175</v>
      </c>
      <c r="E680" s="62" t="s">
        <v>131</v>
      </c>
      <c r="F680" s="62" t="s">
        <v>661</v>
      </c>
      <c r="G680">
        <v>386</v>
      </c>
      <c r="H680">
        <v>150</v>
      </c>
      <c r="I680" s="62" t="s">
        <v>506</v>
      </c>
      <c r="J680" s="62" t="s">
        <v>704</v>
      </c>
      <c r="K680" s="62" t="s">
        <v>704</v>
      </c>
      <c r="L680" s="62" t="s">
        <v>1110</v>
      </c>
    </row>
    <row r="681" spans="1:12" x14ac:dyDescent="0.35">
      <c r="A681">
        <v>12791</v>
      </c>
      <c r="B681" s="62" t="s">
        <v>238</v>
      </c>
      <c r="C681" s="62" t="s">
        <v>487</v>
      </c>
      <c r="D681" s="62" t="s">
        <v>237</v>
      </c>
      <c r="E681" s="62" t="s">
        <v>131</v>
      </c>
      <c r="F681" s="62" t="s">
        <v>661</v>
      </c>
      <c r="G681">
        <v>1567</v>
      </c>
      <c r="I681" s="62" t="s">
        <v>506</v>
      </c>
      <c r="J681" s="62" t="s">
        <v>705</v>
      </c>
      <c r="K681" s="62" t="s">
        <v>705</v>
      </c>
      <c r="L681" s="62" t="s">
        <v>1110</v>
      </c>
    </row>
    <row r="682" spans="1:12" x14ac:dyDescent="0.35">
      <c r="A682">
        <v>12589</v>
      </c>
      <c r="B682" s="62" t="s">
        <v>262</v>
      </c>
      <c r="C682" s="62" t="s">
        <v>488</v>
      </c>
      <c r="D682" s="62" t="s">
        <v>261</v>
      </c>
      <c r="E682" s="62" t="s">
        <v>131</v>
      </c>
      <c r="F682" s="62" t="s">
        <v>661</v>
      </c>
      <c r="G682">
        <v>4056</v>
      </c>
      <c r="I682" s="62" t="s">
        <v>506</v>
      </c>
      <c r="J682" s="62" t="s">
        <v>706</v>
      </c>
      <c r="K682" s="62" t="s">
        <v>706</v>
      </c>
      <c r="L682" s="62" t="s">
        <v>1110</v>
      </c>
    </row>
    <row r="683" spans="1:12" x14ac:dyDescent="0.35">
      <c r="A683">
        <v>12326</v>
      </c>
      <c r="B683" s="62" t="s">
        <v>173</v>
      </c>
      <c r="C683" s="62" t="s">
        <v>485</v>
      </c>
      <c r="D683" s="62" t="s">
        <v>163</v>
      </c>
      <c r="E683" s="62" t="s">
        <v>131</v>
      </c>
      <c r="F683" s="62" t="s">
        <v>661</v>
      </c>
      <c r="G683">
        <v>934</v>
      </c>
      <c r="I683" s="62" t="s">
        <v>506</v>
      </c>
      <c r="J683" s="62" t="s">
        <v>707</v>
      </c>
      <c r="K683" s="62" t="s">
        <v>707</v>
      </c>
      <c r="L683" s="62" t="s">
        <v>1110</v>
      </c>
    </row>
    <row r="684" spans="1:12" x14ac:dyDescent="0.35">
      <c r="A684">
        <v>10829</v>
      </c>
      <c r="B684" s="62" t="s">
        <v>341</v>
      </c>
      <c r="C684" s="62" t="s">
        <v>494</v>
      </c>
      <c r="D684" s="62" t="s">
        <v>337</v>
      </c>
      <c r="E684" s="62" t="s">
        <v>131</v>
      </c>
      <c r="F684" s="62" t="s">
        <v>661</v>
      </c>
      <c r="G684">
        <v>4400</v>
      </c>
      <c r="I684" s="62" t="s">
        <v>506</v>
      </c>
      <c r="J684" s="62" t="s">
        <v>708</v>
      </c>
      <c r="K684" s="62" t="s">
        <v>708</v>
      </c>
      <c r="L684" s="62" t="s">
        <v>1110</v>
      </c>
    </row>
    <row r="685" spans="1:12" x14ac:dyDescent="0.35">
      <c r="A685">
        <v>16234</v>
      </c>
      <c r="B685" s="62" t="s">
        <v>200</v>
      </c>
      <c r="C685" s="62" t="s">
        <v>485</v>
      </c>
      <c r="D685" s="62" t="s">
        <v>196</v>
      </c>
      <c r="E685" s="62" t="s">
        <v>131</v>
      </c>
      <c r="F685" s="62" t="s">
        <v>661</v>
      </c>
      <c r="G685">
        <v>2221</v>
      </c>
      <c r="H685">
        <v>13154</v>
      </c>
      <c r="I685" s="62" t="s">
        <v>506</v>
      </c>
      <c r="J685" s="62" t="s">
        <v>709</v>
      </c>
      <c r="K685" s="62" t="s">
        <v>709</v>
      </c>
      <c r="L685" s="62" t="s">
        <v>1110</v>
      </c>
    </row>
    <row r="686" spans="1:12" x14ac:dyDescent="0.35">
      <c r="A686">
        <v>16466</v>
      </c>
      <c r="B686" s="62" t="s">
        <v>231</v>
      </c>
      <c r="C686" s="62" t="s">
        <v>487</v>
      </c>
      <c r="D686" s="62" t="s">
        <v>226</v>
      </c>
      <c r="E686" s="62" t="s">
        <v>131</v>
      </c>
      <c r="F686" s="62" t="s">
        <v>661</v>
      </c>
      <c r="G686">
        <v>1352</v>
      </c>
      <c r="I686" s="62" t="s">
        <v>506</v>
      </c>
      <c r="J686" s="62" t="s">
        <v>710</v>
      </c>
      <c r="K686" s="62" t="s">
        <v>710</v>
      </c>
      <c r="L686" s="62" t="s">
        <v>1110</v>
      </c>
    </row>
    <row r="687" spans="1:12" x14ac:dyDescent="0.35">
      <c r="A687">
        <v>10312</v>
      </c>
      <c r="B687" s="62" t="s">
        <v>321</v>
      </c>
      <c r="C687" s="62" t="s">
        <v>494</v>
      </c>
      <c r="D687" s="62" t="s">
        <v>318</v>
      </c>
      <c r="E687" s="62" t="s">
        <v>131</v>
      </c>
      <c r="F687" s="62" t="s">
        <v>661</v>
      </c>
      <c r="G687">
        <v>1219</v>
      </c>
      <c r="I687" s="62" t="s">
        <v>506</v>
      </c>
      <c r="J687" s="62" t="s">
        <v>711</v>
      </c>
      <c r="K687" s="62" t="s">
        <v>711</v>
      </c>
      <c r="L687" s="62" t="s">
        <v>1110</v>
      </c>
    </row>
    <row r="688" spans="1:12" x14ac:dyDescent="0.35">
      <c r="A688">
        <v>12445</v>
      </c>
      <c r="B688" s="62" t="s">
        <v>266</v>
      </c>
      <c r="C688" s="62" t="s">
        <v>488</v>
      </c>
      <c r="D688" s="62" t="s">
        <v>263</v>
      </c>
      <c r="E688" s="62" t="s">
        <v>131</v>
      </c>
      <c r="F688" s="62" t="s">
        <v>661</v>
      </c>
      <c r="G688">
        <v>3338</v>
      </c>
      <c r="H688">
        <v>19611</v>
      </c>
      <c r="I688" s="62" t="s">
        <v>506</v>
      </c>
      <c r="J688" s="62" t="s">
        <v>712</v>
      </c>
      <c r="K688" s="62" t="s">
        <v>712</v>
      </c>
      <c r="L688" s="62" t="s">
        <v>1110</v>
      </c>
    </row>
    <row r="689" spans="1:12" x14ac:dyDescent="0.35">
      <c r="A689">
        <v>12036</v>
      </c>
      <c r="B689" s="62" t="s">
        <v>167</v>
      </c>
      <c r="C689" s="62" t="s">
        <v>485</v>
      </c>
      <c r="D689" s="62" t="s">
        <v>163</v>
      </c>
      <c r="E689" s="62" t="s">
        <v>131</v>
      </c>
      <c r="F689" s="62" t="s">
        <v>661</v>
      </c>
      <c r="G689">
        <v>8265</v>
      </c>
      <c r="H689">
        <v>92099</v>
      </c>
      <c r="I689" s="62" t="s">
        <v>506</v>
      </c>
      <c r="J689" s="62" t="s">
        <v>713</v>
      </c>
      <c r="K689" s="62" t="s">
        <v>713</v>
      </c>
      <c r="L689" s="62" t="s">
        <v>1110</v>
      </c>
    </row>
    <row r="690" spans="1:12" x14ac:dyDescent="0.35">
      <c r="A690">
        <v>12288</v>
      </c>
      <c r="B690" s="62" t="s">
        <v>253</v>
      </c>
      <c r="C690" s="62" t="s">
        <v>488</v>
      </c>
      <c r="D690" s="62" t="s">
        <v>250</v>
      </c>
      <c r="E690" s="62" t="s">
        <v>131</v>
      </c>
      <c r="F690" s="62" t="s">
        <v>661</v>
      </c>
      <c r="G690">
        <v>1012</v>
      </c>
      <c r="I690" s="62" t="s">
        <v>506</v>
      </c>
      <c r="J690" s="62" t="s">
        <v>714</v>
      </c>
      <c r="K690" s="62" t="s">
        <v>714</v>
      </c>
      <c r="L690" s="62" t="s">
        <v>1110</v>
      </c>
    </row>
    <row r="691" spans="1:12" x14ac:dyDescent="0.35">
      <c r="A691">
        <v>10171</v>
      </c>
      <c r="B691" s="62" t="s">
        <v>320</v>
      </c>
      <c r="C691" s="62" t="s">
        <v>494</v>
      </c>
      <c r="D691" s="62" t="s">
        <v>318</v>
      </c>
      <c r="E691" s="62" t="s">
        <v>131</v>
      </c>
      <c r="F691" s="62" t="s">
        <v>661</v>
      </c>
      <c r="G691">
        <v>8007</v>
      </c>
      <c r="I691" s="62" t="s">
        <v>506</v>
      </c>
      <c r="J691" s="62" t="s">
        <v>715</v>
      </c>
      <c r="K691" s="62" t="s">
        <v>715</v>
      </c>
      <c r="L691" s="62" t="s">
        <v>1110</v>
      </c>
    </row>
    <row r="692" spans="1:12" x14ac:dyDescent="0.35">
      <c r="A692">
        <v>12044</v>
      </c>
      <c r="B692" s="62" t="s">
        <v>168</v>
      </c>
      <c r="C692" s="62" t="s">
        <v>485</v>
      </c>
      <c r="D692" s="62" t="s">
        <v>163</v>
      </c>
      <c r="E692" s="62" t="s">
        <v>131</v>
      </c>
      <c r="F692" s="62" t="s">
        <v>661</v>
      </c>
      <c r="G692">
        <v>557</v>
      </c>
      <c r="H692">
        <v>3008</v>
      </c>
      <c r="I692" s="62" t="s">
        <v>506</v>
      </c>
      <c r="J692" s="62" t="s">
        <v>716</v>
      </c>
      <c r="K692" s="62" t="s">
        <v>716</v>
      </c>
      <c r="L692" s="62" t="s">
        <v>1110</v>
      </c>
    </row>
    <row r="693" spans="1:12" x14ac:dyDescent="0.35">
      <c r="A693">
        <v>10732</v>
      </c>
      <c r="B693" s="62" t="s">
        <v>354</v>
      </c>
      <c r="C693" s="62" t="s">
        <v>494</v>
      </c>
      <c r="D693" s="62" t="s">
        <v>351</v>
      </c>
      <c r="E693" s="62" t="s">
        <v>131</v>
      </c>
      <c r="F693" s="62" t="s">
        <v>661</v>
      </c>
      <c r="G693">
        <v>2262</v>
      </c>
      <c r="I693" s="62" t="s">
        <v>506</v>
      </c>
      <c r="J693" s="62" t="s">
        <v>717</v>
      </c>
      <c r="K693" s="62" t="s">
        <v>717</v>
      </c>
      <c r="L693" s="62" t="s">
        <v>1110</v>
      </c>
    </row>
    <row r="694" spans="1:12" x14ac:dyDescent="0.35">
      <c r="A694">
        <v>10657</v>
      </c>
      <c r="B694" s="62" t="s">
        <v>340</v>
      </c>
      <c r="C694" s="62" t="s">
        <v>494</v>
      </c>
      <c r="D694" s="62" t="s">
        <v>337</v>
      </c>
      <c r="E694" s="62" t="s">
        <v>131</v>
      </c>
      <c r="F694" s="62" t="s">
        <v>661</v>
      </c>
      <c r="G694">
        <v>540</v>
      </c>
      <c r="I694" s="62" t="s">
        <v>506</v>
      </c>
      <c r="J694" s="62" t="s">
        <v>718</v>
      </c>
      <c r="K694" s="62" t="s">
        <v>718</v>
      </c>
      <c r="L694" s="62" t="s">
        <v>1110</v>
      </c>
    </row>
    <row r="695" spans="1:12" x14ac:dyDescent="0.35">
      <c r="A695">
        <v>12274</v>
      </c>
      <c r="B695" s="62" t="s">
        <v>230</v>
      </c>
      <c r="C695" s="62" t="s">
        <v>487</v>
      </c>
      <c r="D695" s="62" t="s">
        <v>226</v>
      </c>
      <c r="E695" s="62" t="s">
        <v>131</v>
      </c>
      <c r="F695" s="62" t="s">
        <v>661</v>
      </c>
      <c r="G695">
        <v>119</v>
      </c>
      <c r="I695" s="62" t="s">
        <v>506</v>
      </c>
      <c r="J695" s="62" t="s">
        <v>719</v>
      </c>
      <c r="K695" s="62" t="s">
        <v>719</v>
      </c>
      <c r="L695" s="62" t="s">
        <v>1110</v>
      </c>
    </row>
    <row r="696" spans="1:12" x14ac:dyDescent="0.35">
      <c r="A696">
        <v>12802</v>
      </c>
      <c r="B696" s="62" t="s">
        <v>139</v>
      </c>
      <c r="C696" s="62" t="s">
        <v>485</v>
      </c>
      <c r="D696" s="62" t="s">
        <v>129</v>
      </c>
      <c r="E696" s="62" t="s">
        <v>131</v>
      </c>
      <c r="F696" s="62" t="s">
        <v>661</v>
      </c>
      <c r="G696">
        <v>1346</v>
      </c>
      <c r="H696">
        <v>13526</v>
      </c>
      <c r="I696" s="62" t="s">
        <v>506</v>
      </c>
      <c r="J696" s="62" t="s">
        <v>720</v>
      </c>
      <c r="K696" s="62" t="s">
        <v>720</v>
      </c>
      <c r="L696" s="62" t="s">
        <v>1110</v>
      </c>
    </row>
    <row r="697" spans="1:12" x14ac:dyDescent="0.35">
      <c r="A697">
        <v>10852</v>
      </c>
      <c r="B697" s="62" t="s">
        <v>536</v>
      </c>
      <c r="C697" s="62" t="s">
        <v>494</v>
      </c>
      <c r="D697" s="62" t="s">
        <v>351</v>
      </c>
      <c r="E697" s="62" t="s">
        <v>131</v>
      </c>
      <c r="F697" s="62" t="s">
        <v>661</v>
      </c>
      <c r="G697">
        <v>1559</v>
      </c>
      <c r="I697" s="62" t="s">
        <v>506</v>
      </c>
      <c r="J697" s="62" t="s">
        <v>721</v>
      </c>
      <c r="K697" s="62" t="s">
        <v>721</v>
      </c>
      <c r="L697" s="62" t="s">
        <v>1110</v>
      </c>
    </row>
    <row r="698" spans="1:12" x14ac:dyDescent="0.35">
      <c r="A698">
        <v>12500</v>
      </c>
      <c r="B698" s="62" t="s">
        <v>199</v>
      </c>
      <c r="C698" s="62" t="s">
        <v>485</v>
      </c>
      <c r="D698" s="62" t="s">
        <v>196</v>
      </c>
      <c r="E698" s="62" t="s">
        <v>131</v>
      </c>
      <c r="F698" s="62" t="s">
        <v>661</v>
      </c>
      <c r="G698">
        <v>230</v>
      </c>
      <c r="I698" s="62" t="s">
        <v>506</v>
      </c>
      <c r="J698" s="62" t="s">
        <v>722</v>
      </c>
      <c r="K698" s="62" t="s">
        <v>722</v>
      </c>
      <c r="L698" s="62" t="s">
        <v>1110</v>
      </c>
    </row>
    <row r="699" spans="1:12" x14ac:dyDescent="0.35">
      <c r="A699">
        <v>16555</v>
      </c>
      <c r="B699" s="62" t="s">
        <v>151</v>
      </c>
      <c r="C699" s="62" t="s">
        <v>485</v>
      </c>
      <c r="D699" s="62" t="s">
        <v>146</v>
      </c>
      <c r="E699" s="62" t="s">
        <v>131</v>
      </c>
      <c r="F699" s="62" t="s">
        <v>661</v>
      </c>
      <c r="G699">
        <v>316</v>
      </c>
      <c r="I699" s="62" t="s">
        <v>506</v>
      </c>
      <c r="J699" s="62" t="s">
        <v>723</v>
      </c>
      <c r="K699" s="62" t="s">
        <v>723</v>
      </c>
      <c r="L699" s="62" t="s">
        <v>1110</v>
      </c>
    </row>
    <row r="700" spans="1:12" x14ac:dyDescent="0.35">
      <c r="A700">
        <v>12132</v>
      </c>
      <c r="B700" s="62" t="s">
        <v>258</v>
      </c>
      <c r="C700" s="62" t="s">
        <v>488</v>
      </c>
      <c r="D700" s="62" t="s">
        <v>256</v>
      </c>
      <c r="E700" s="62" t="s">
        <v>131</v>
      </c>
      <c r="F700" s="62" t="s">
        <v>661</v>
      </c>
      <c r="G700">
        <v>5349</v>
      </c>
      <c r="I700" s="62" t="s">
        <v>506</v>
      </c>
      <c r="J700" s="62" t="s">
        <v>724</v>
      </c>
      <c r="K700" s="62" t="s">
        <v>724</v>
      </c>
      <c r="L700" s="62" t="s">
        <v>1110</v>
      </c>
    </row>
    <row r="701" spans="1:12" x14ac:dyDescent="0.35">
      <c r="A701">
        <v>11009</v>
      </c>
      <c r="B701" s="62" t="s">
        <v>350</v>
      </c>
      <c r="C701" s="62" t="s">
        <v>494</v>
      </c>
      <c r="D701" s="62" t="s">
        <v>344</v>
      </c>
      <c r="E701" s="62" t="s">
        <v>131</v>
      </c>
      <c r="F701" s="62" t="s">
        <v>661</v>
      </c>
      <c r="G701">
        <v>1080</v>
      </c>
      <c r="I701" s="62" t="s">
        <v>506</v>
      </c>
      <c r="J701" s="62" t="s">
        <v>725</v>
      </c>
      <c r="K701" s="62" t="s">
        <v>725</v>
      </c>
      <c r="L701" s="62" t="s">
        <v>1110</v>
      </c>
    </row>
    <row r="702" spans="1:12" x14ac:dyDescent="0.35">
      <c r="A702">
        <v>12303</v>
      </c>
      <c r="B702" s="62" t="s">
        <v>138</v>
      </c>
      <c r="C702" s="62" t="s">
        <v>485</v>
      </c>
      <c r="D702" s="62" t="s">
        <v>129</v>
      </c>
      <c r="E702" s="62" t="s">
        <v>131</v>
      </c>
      <c r="F702" s="62" t="s">
        <v>661</v>
      </c>
      <c r="G702">
        <v>2124</v>
      </c>
      <c r="H702">
        <v>20066</v>
      </c>
      <c r="I702" s="62" t="s">
        <v>506</v>
      </c>
      <c r="J702" s="62" t="s">
        <v>726</v>
      </c>
      <c r="K702" s="62" t="s">
        <v>726</v>
      </c>
      <c r="L702" s="62" t="s">
        <v>1110</v>
      </c>
    </row>
    <row r="703" spans="1:12" x14ac:dyDescent="0.35">
      <c r="A703">
        <v>12031</v>
      </c>
      <c r="B703" s="62" t="s">
        <v>160</v>
      </c>
      <c r="C703" s="62" t="s">
        <v>485</v>
      </c>
      <c r="D703" s="62" t="s">
        <v>159</v>
      </c>
      <c r="E703" s="62" t="s">
        <v>131</v>
      </c>
      <c r="F703" s="62" t="s">
        <v>661</v>
      </c>
      <c r="G703">
        <v>266</v>
      </c>
      <c r="H703">
        <v>211</v>
      </c>
      <c r="I703" s="62" t="s">
        <v>506</v>
      </c>
      <c r="J703" s="62" t="s">
        <v>727</v>
      </c>
      <c r="K703" s="62" t="s">
        <v>727</v>
      </c>
      <c r="L703" s="62" t="s">
        <v>1110</v>
      </c>
    </row>
    <row r="704" spans="1:12" x14ac:dyDescent="0.35">
      <c r="A704">
        <v>18782</v>
      </c>
      <c r="B704" s="62" t="s">
        <v>345</v>
      </c>
      <c r="C704" s="62" t="s">
        <v>494</v>
      </c>
      <c r="D704" s="62" t="s">
        <v>344</v>
      </c>
      <c r="E704" s="62" t="s">
        <v>131</v>
      </c>
      <c r="F704" s="62" t="s">
        <v>661</v>
      </c>
      <c r="G704">
        <v>806</v>
      </c>
      <c r="I704" s="62" t="s">
        <v>506</v>
      </c>
      <c r="J704" s="62" t="s">
        <v>728</v>
      </c>
      <c r="K704" s="62" t="s">
        <v>728</v>
      </c>
      <c r="L704" s="62" t="s">
        <v>1110</v>
      </c>
    </row>
    <row r="705" spans="1:12" x14ac:dyDescent="0.35">
      <c r="A705">
        <v>11942</v>
      </c>
      <c r="B705" s="62" t="s">
        <v>264</v>
      </c>
      <c r="C705" s="62" t="s">
        <v>488</v>
      </c>
      <c r="D705" s="62" t="s">
        <v>263</v>
      </c>
      <c r="E705" s="62" t="s">
        <v>131</v>
      </c>
      <c r="F705" s="62" t="s">
        <v>661</v>
      </c>
      <c r="G705">
        <v>799</v>
      </c>
      <c r="I705" s="62" t="s">
        <v>506</v>
      </c>
      <c r="J705" s="62" t="s">
        <v>729</v>
      </c>
      <c r="K705" s="62" t="s">
        <v>729</v>
      </c>
      <c r="L705" s="62" t="s">
        <v>1110</v>
      </c>
    </row>
    <row r="706" spans="1:12" x14ac:dyDescent="0.35">
      <c r="A706">
        <v>12179</v>
      </c>
      <c r="B706" s="62" t="s">
        <v>240</v>
      </c>
      <c r="C706" s="62" t="s">
        <v>487</v>
      </c>
      <c r="D706" s="62" t="s">
        <v>237</v>
      </c>
      <c r="E706" s="62" t="s">
        <v>131</v>
      </c>
      <c r="F706" s="62" t="s">
        <v>661</v>
      </c>
      <c r="G706">
        <v>259</v>
      </c>
      <c r="I706" s="62" t="s">
        <v>506</v>
      </c>
      <c r="J706" s="62" t="s">
        <v>730</v>
      </c>
      <c r="K706" s="62" t="s">
        <v>730</v>
      </c>
      <c r="L706" s="62" t="s">
        <v>1110</v>
      </c>
    </row>
    <row r="707" spans="1:12" x14ac:dyDescent="0.35">
      <c r="A707">
        <v>12793</v>
      </c>
      <c r="B707" s="62" t="s">
        <v>275</v>
      </c>
      <c r="C707" s="62" t="s">
        <v>488</v>
      </c>
      <c r="D707" s="62" t="s">
        <v>271</v>
      </c>
      <c r="E707" s="62" t="s">
        <v>131</v>
      </c>
      <c r="F707" s="62" t="s">
        <v>661</v>
      </c>
      <c r="G707">
        <v>446</v>
      </c>
      <c r="I707" s="62" t="s">
        <v>506</v>
      </c>
      <c r="J707" s="62" t="s">
        <v>731</v>
      </c>
      <c r="K707" s="62" t="s">
        <v>731</v>
      </c>
      <c r="L707" s="62" t="s">
        <v>1110</v>
      </c>
    </row>
    <row r="708" spans="1:12" x14ac:dyDescent="0.35">
      <c r="A708">
        <v>10786</v>
      </c>
      <c r="B708" s="62" t="s">
        <v>323</v>
      </c>
      <c r="C708" s="62" t="s">
        <v>494</v>
      </c>
      <c r="D708" s="62" t="s">
        <v>318</v>
      </c>
      <c r="E708" s="62" t="s">
        <v>131</v>
      </c>
      <c r="F708" s="62" t="s">
        <v>661</v>
      </c>
      <c r="G708">
        <v>1571</v>
      </c>
      <c r="I708" s="62" t="s">
        <v>506</v>
      </c>
      <c r="J708" s="62" t="s">
        <v>732</v>
      </c>
      <c r="K708" s="62" t="s">
        <v>732</v>
      </c>
      <c r="L708" s="62" t="s">
        <v>1110</v>
      </c>
    </row>
    <row r="709" spans="1:12" x14ac:dyDescent="0.35">
      <c r="A709">
        <v>12591</v>
      </c>
      <c r="B709" s="62" t="s">
        <v>194</v>
      </c>
      <c r="C709" s="62" t="s">
        <v>485</v>
      </c>
      <c r="D709" s="62" t="s">
        <v>189</v>
      </c>
      <c r="E709" s="62" t="s">
        <v>131</v>
      </c>
      <c r="F709" s="62" t="s">
        <v>661</v>
      </c>
      <c r="G709">
        <v>4332</v>
      </c>
      <c r="H709">
        <v>53694</v>
      </c>
      <c r="I709" s="62" t="s">
        <v>506</v>
      </c>
      <c r="J709" s="62" t="s">
        <v>733</v>
      </c>
      <c r="K709" s="62" t="s">
        <v>733</v>
      </c>
      <c r="L709" s="62" t="s">
        <v>1110</v>
      </c>
    </row>
    <row r="710" spans="1:12" x14ac:dyDescent="0.35">
      <c r="A710">
        <v>10871</v>
      </c>
      <c r="B710" s="62" t="s">
        <v>357</v>
      </c>
      <c r="C710" s="62" t="s">
        <v>494</v>
      </c>
      <c r="D710" s="62" t="s">
        <v>351</v>
      </c>
      <c r="E710" s="62" t="s">
        <v>131</v>
      </c>
      <c r="F710" s="62" t="s">
        <v>661</v>
      </c>
      <c r="G710">
        <v>612</v>
      </c>
      <c r="I710" s="62" t="s">
        <v>506</v>
      </c>
      <c r="J710" s="62" t="s">
        <v>734</v>
      </c>
      <c r="K710" s="62" t="s">
        <v>734</v>
      </c>
      <c r="L710" s="62" t="s">
        <v>1110</v>
      </c>
    </row>
    <row r="711" spans="1:12" x14ac:dyDescent="0.35">
      <c r="A711">
        <v>11173</v>
      </c>
      <c r="B711" s="62" t="s">
        <v>336</v>
      </c>
      <c r="C711" s="62" t="s">
        <v>494</v>
      </c>
      <c r="D711" s="62" t="s">
        <v>330</v>
      </c>
      <c r="E711" s="62" t="s">
        <v>131</v>
      </c>
      <c r="F711" s="62" t="s">
        <v>661</v>
      </c>
      <c r="G711">
        <v>1213</v>
      </c>
      <c r="H711">
        <v>3348</v>
      </c>
      <c r="I711" s="62" t="s">
        <v>506</v>
      </c>
      <c r="J711" s="62" t="s">
        <v>735</v>
      </c>
      <c r="K711" s="62" t="s">
        <v>735</v>
      </c>
      <c r="L711" s="62" t="s">
        <v>1110</v>
      </c>
    </row>
    <row r="712" spans="1:12" x14ac:dyDescent="0.35">
      <c r="A712">
        <v>12192</v>
      </c>
      <c r="B712" s="62" t="s">
        <v>162</v>
      </c>
      <c r="C712" s="62" t="s">
        <v>485</v>
      </c>
      <c r="D712" s="62" t="s">
        <v>159</v>
      </c>
      <c r="E712" s="62" t="s">
        <v>131</v>
      </c>
      <c r="F712" s="62" t="s">
        <v>661</v>
      </c>
      <c r="G712">
        <v>92</v>
      </c>
      <c r="I712" s="62" t="s">
        <v>506</v>
      </c>
      <c r="J712" s="62" t="s">
        <v>736</v>
      </c>
      <c r="K712" s="62" t="s">
        <v>736</v>
      </c>
      <c r="L712" s="62" t="s">
        <v>1110</v>
      </c>
    </row>
    <row r="713" spans="1:12" x14ac:dyDescent="0.35">
      <c r="A713">
        <v>10878</v>
      </c>
      <c r="B713" s="62" t="s">
        <v>327</v>
      </c>
      <c r="C713" s="62" t="s">
        <v>494</v>
      </c>
      <c r="D713" s="62" t="s">
        <v>318</v>
      </c>
      <c r="E713" s="62" t="s">
        <v>131</v>
      </c>
      <c r="F713" s="62" t="s">
        <v>661</v>
      </c>
      <c r="G713">
        <v>3725</v>
      </c>
      <c r="H713">
        <v>49949</v>
      </c>
      <c r="I713" s="62" t="s">
        <v>506</v>
      </c>
      <c r="J713" s="62" t="s">
        <v>737</v>
      </c>
      <c r="K713" s="62" t="s">
        <v>737</v>
      </c>
      <c r="L713" s="62" t="s">
        <v>1110</v>
      </c>
    </row>
    <row r="714" spans="1:12" x14ac:dyDescent="0.35">
      <c r="A714">
        <v>12560</v>
      </c>
      <c r="B714" s="62" t="s">
        <v>274</v>
      </c>
      <c r="C714" s="62" t="s">
        <v>488</v>
      </c>
      <c r="D714" s="62" t="s">
        <v>271</v>
      </c>
      <c r="E714" s="62" t="s">
        <v>131</v>
      </c>
      <c r="F714" s="62" t="s">
        <v>661</v>
      </c>
      <c r="G714">
        <v>621</v>
      </c>
      <c r="I714" s="62" t="s">
        <v>506</v>
      </c>
      <c r="J714" s="62" t="s">
        <v>738</v>
      </c>
      <c r="K714" s="62" t="s">
        <v>738</v>
      </c>
      <c r="L714" s="62" t="s">
        <v>1110</v>
      </c>
    </row>
    <row r="715" spans="1:12" x14ac:dyDescent="0.35">
      <c r="A715">
        <v>12272</v>
      </c>
      <c r="B715" s="62" t="s">
        <v>265</v>
      </c>
      <c r="C715" s="62" t="s">
        <v>488</v>
      </c>
      <c r="D715" s="62" t="s">
        <v>263</v>
      </c>
      <c r="E715" s="62" t="s">
        <v>131</v>
      </c>
      <c r="F715" s="62" t="s">
        <v>661</v>
      </c>
      <c r="G715">
        <v>355</v>
      </c>
      <c r="I715" s="62" t="s">
        <v>506</v>
      </c>
      <c r="J715" s="62" t="s">
        <v>739</v>
      </c>
      <c r="K715" s="62" t="s">
        <v>739</v>
      </c>
      <c r="L715" s="62" t="s">
        <v>1110</v>
      </c>
    </row>
    <row r="716" spans="1:12" x14ac:dyDescent="0.35">
      <c r="A716">
        <v>12546</v>
      </c>
      <c r="B716" s="62" t="s">
        <v>254</v>
      </c>
      <c r="C716" s="62" t="s">
        <v>488</v>
      </c>
      <c r="D716" s="62" t="s">
        <v>250</v>
      </c>
      <c r="E716" s="62" t="s">
        <v>131</v>
      </c>
      <c r="F716" s="62" t="s">
        <v>661</v>
      </c>
      <c r="G716">
        <v>1307</v>
      </c>
      <c r="I716" s="62" t="s">
        <v>506</v>
      </c>
      <c r="J716" s="62" t="s">
        <v>740</v>
      </c>
      <c r="K716" s="62" t="s">
        <v>740</v>
      </c>
      <c r="L716" s="62" t="s">
        <v>1110</v>
      </c>
    </row>
    <row r="717" spans="1:12" x14ac:dyDescent="0.35">
      <c r="A717">
        <v>12300</v>
      </c>
      <c r="B717" s="62" t="s">
        <v>243</v>
      </c>
      <c r="C717" s="62" t="s">
        <v>487</v>
      </c>
      <c r="D717" s="62" t="s">
        <v>237</v>
      </c>
      <c r="E717" s="62" t="s">
        <v>131</v>
      </c>
      <c r="F717" s="62" t="s">
        <v>661</v>
      </c>
      <c r="G717">
        <v>85</v>
      </c>
      <c r="H717">
        <v>924</v>
      </c>
      <c r="I717" s="62" t="s">
        <v>506</v>
      </c>
      <c r="J717" s="62" t="s">
        <v>741</v>
      </c>
      <c r="K717" s="62" t="s">
        <v>741</v>
      </c>
      <c r="L717" s="62" t="s">
        <v>1110</v>
      </c>
    </row>
    <row r="718" spans="1:12" x14ac:dyDescent="0.35">
      <c r="A718">
        <v>12684</v>
      </c>
      <c r="B718" s="62" t="s">
        <v>158</v>
      </c>
      <c r="C718" s="62" t="s">
        <v>485</v>
      </c>
      <c r="D718" s="62" t="s">
        <v>152</v>
      </c>
      <c r="E718" s="62" t="s">
        <v>131</v>
      </c>
      <c r="F718" s="62" t="s">
        <v>661</v>
      </c>
      <c r="G718">
        <v>6599</v>
      </c>
      <c r="H718">
        <v>76748</v>
      </c>
      <c r="I718" s="62" t="s">
        <v>506</v>
      </c>
      <c r="J718" s="62" t="s">
        <v>742</v>
      </c>
      <c r="K718" s="62" t="s">
        <v>742</v>
      </c>
      <c r="L718" s="62" t="s">
        <v>1110</v>
      </c>
    </row>
    <row r="719" spans="1:12" x14ac:dyDescent="0.35">
      <c r="A719">
        <v>12234</v>
      </c>
      <c r="B719" s="62" t="s">
        <v>171</v>
      </c>
      <c r="C719" s="62" t="s">
        <v>485</v>
      </c>
      <c r="D719" s="62" t="s">
        <v>163</v>
      </c>
      <c r="E719" s="62" t="s">
        <v>131</v>
      </c>
      <c r="F719" s="62" t="s">
        <v>661</v>
      </c>
      <c r="G719">
        <v>215</v>
      </c>
      <c r="H719">
        <v>1220</v>
      </c>
      <c r="I719" s="62" t="s">
        <v>506</v>
      </c>
      <c r="J719" s="62" t="s">
        <v>743</v>
      </c>
      <c r="K719" s="62" t="s">
        <v>743</v>
      </c>
      <c r="L719" s="62" t="s">
        <v>1110</v>
      </c>
    </row>
    <row r="720" spans="1:12" x14ac:dyDescent="0.35">
      <c r="A720">
        <v>12790</v>
      </c>
      <c r="B720" s="62" t="s">
        <v>210</v>
      </c>
      <c r="C720" s="62" t="s">
        <v>487</v>
      </c>
      <c r="D720" s="62" t="s">
        <v>208</v>
      </c>
      <c r="E720" s="62" t="s">
        <v>131</v>
      </c>
      <c r="F720" s="62" t="s">
        <v>661</v>
      </c>
      <c r="G720">
        <v>1003</v>
      </c>
      <c r="H720">
        <v>5999</v>
      </c>
      <c r="I720" s="62" t="s">
        <v>506</v>
      </c>
      <c r="J720" s="62" t="s">
        <v>744</v>
      </c>
      <c r="K720" s="62" t="s">
        <v>744</v>
      </c>
      <c r="L720" s="62" t="s">
        <v>1110</v>
      </c>
    </row>
    <row r="721" spans="1:12" x14ac:dyDescent="0.35">
      <c r="A721">
        <v>12719</v>
      </c>
      <c r="B721" s="62" t="s">
        <v>245</v>
      </c>
      <c r="C721" s="62" t="s">
        <v>487</v>
      </c>
      <c r="D721" s="62" t="s">
        <v>237</v>
      </c>
      <c r="E721" s="62" t="s">
        <v>131</v>
      </c>
      <c r="F721" s="62" t="s">
        <v>661</v>
      </c>
      <c r="G721">
        <v>2170</v>
      </c>
      <c r="H721">
        <v>16332</v>
      </c>
      <c r="I721" s="62" t="s">
        <v>506</v>
      </c>
      <c r="J721" s="62" t="s">
        <v>745</v>
      </c>
      <c r="K721" s="62" t="s">
        <v>745</v>
      </c>
      <c r="L721" s="62" t="s">
        <v>1110</v>
      </c>
    </row>
    <row r="722" spans="1:12" x14ac:dyDescent="0.35">
      <c r="A722">
        <v>12004</v>
      </c>
      <c r="B722" s="62" t="s">
        <v>211</v>
      </c>
      <c r="C722" s="62" t="s">
        <v>487</v>
      </c>
      <c r="D722" s="62" t="s">
        <v>208</v>
      </c>
      <c r="E722" s="62" t="s">
        <v>131</v>
      </c>
      <c r="F722" s="62" t="s">
        <v>661</v>
      </c>
      <c r="G722">
        <v>8614</v>
      </c>
      <c r="H722">
        <v>92591</v>
      </c>
      <c r="I722" s="62" t="s">
        <v>506</v>
      </c>
      <c r="J722" s="62" t="s">
        <v>746</v>
      </c>
      <c r="K722" s="62" t="s">
        <v>746</v>
      </c>
      <c r="L722" s="62" t="s">
        <v>1110</v>
      </c>
    </row>
    <row r="723" spans="1:12" x14ac:dyDescent="0.35">
      <c r="A723">
        <v>16463</v>
      </c>
      <c r="B723" s="62" t="s">
        <v>228</v>
      </c>
      <c r="C723" s="62" t="s">
        <v>487</v>
      </c>
      <c r="D723" s="62" t="s">
        <v>226</v>
      </c>
      <c r="E723" s="62" t="s">
        <v>131</v>
      </c>
      <c r="F723" s="62" t="s">
        <v>661</v>
      </c>
      <c r="G723">
        <v>395</v>
      </c>
      <c r="I723" s="62" t="s">
        <v>506</v>
      </c>
      <c r="J723" s="62" t="s">
        <v>747</v>
      </c>
      <c r="K723" s="62" t="s">
        <v>747</v>
      </c>
      <c r="L723" s="62" t="s">
        <v>1110</v>
      </c>
    </row>
    <row r="724" spans="1:12" x14ac:dyDescent="0.35">
      <c r="A724">
        <v>12174</v>
      </c>
      <c r="B724" s="62" t="s">
        <v>141</v>
      </c>
      <c r="C724" s="62" t="s">
        <v>485</v>
      </c>
      <c r="D724" s="62" t="s">
        <v>140</v>
      </c>
      <c r="E724" s="62" t="s">
        <v>131</v>
      </c>
      <c r="F724" s="62" t="s">
        <v>661</v>
      </c>
      <c r="G724">
        <v>785</v>
      </c>
      <c r="H724">
        <v>9830</v>
      </c>
      <c r="I724" s="62" t="s">
        <v>506</v>
      </c>
      <c r="J724" s="62" t="s">
        <v>748</v>
      </c>
      <c r="K724" s="62" t="s">
        <v>748</v>
      </c>
      <c r="L724" s="62" t="s">
        <v>1110</v>
      </c>
    </row>
    <row r="725" spans="1:12" x14ac:dyDescent="0.35">
      <c r="A725">
        <v>10419</v>
      </c>
      <c r="B725" s="62" t="s">
        <v>339</v>
      </c>
      <c r="C725" s="62" t="s">
        <v>494</v>
      </c>
      <c r="D725" s="62" t="s">
        <v>337</v>
      </c>
      <c r="E725" s="62" t="s">
        <v>131</v>
      </c>
      <c r="F725" s="62" t="s">
        <v>661</v>
      </c>
      <c r="G725">
        <v>1328</v>
      </c>
      <c r="H725">
        <v>14183</v>
      </c>
      <c r="I725" s="62" t="s">
        <v>506</v>
      </c>
      <c r="J725" s="62" t="s">
        <v>749</v>
      </c>
      <c r="K725" s="62" t="s">
        <v>749</v>
      </c>
      <c r="L725" s="62" t="s">
        <v>1110</v>
      </c>
    </row>
    <row r="726" spans="1:12" x14ac:dyDescent="0.35">
      <c r="A726">
        <v>10044</v>
      </c>
      <c r="B726" s="62" t="s">
        <v>319</v>
      </c>
      <c r="C726" s="62" t="s">
        <v>494</v>
      </c>
      <c r="D726" s="62" t="s">
        <v>318</v>
      </c>
      <c r="E726" s="62" t="s">
        <v>131</v>
      </c>
      <c r="F726" s="62" t="s">
        <v>661</v>
      </c>
      <c r="G726">
        <v>2285</v>
      </c>
      <c r="H726">
        <v>11408</v>
      </c>
      <c r="I726" s="62" t="s">
        <v>506</v>
      </c>
      <c r="J726" s="62" t="s">
        <v>750</v>
      </c>
      <c r="K726" s="62" t="s">
        <v>750</v>
      </c>
      <c r="L726" s="62" t="s">
        <v>1110</v>
      </c>
    </row>
    <row r="727" spans="1:12" x14ac:dyDescent="0.35">
      <c r="A727">
        <v>12673</v>
      </c>
      <c r="B727" s="62" t="s">
        <v>244</v>
      </c>
      <c r="C727" s="62" t="s">
        <v>487</v>
      </c>
      <c r="D727" s="62" t="s">
        <v>237</v>
      </c>
      <c r="E727" s="62" t="s">
        <v>131</v>
      </c>
      <c r="F727" s="62" t="s">
        <v>661</v>
      </c>
      <c r="G727">
        <v>105</v>
      </c>
      <c r="H727">
        <v>2471</v>
      </c>
      <c r="I727" s="62" t="s">
        <v>506</v>
      </c>
      <c r="J727" s="62" t="s">
        <v>751</v>
      </c>
      <c r="K727" s="62" t="s">
        <v>751</v>
      </c>
      <c r="L727" s="62" t="s">
        <v>1110</v>
      </c>
    </row>
    <row r="728" spans="1:12" x14ac:dyDescent="0.35">
      <c r="A728">
        <v>10481</v>
      </c>
      <c r="B728" s="62" t="s">
        <v>322</v>
      </c>
      <c r="C728" s="62" t="s">
        <v>494</v>
      </c>
      <c r="D728" s="62" t="s">
        <v>318</v>
      </c>
      <c r="E728" s="62" t="s">
        <v>131</v>
      </c>
      <c r="F728" s="62" t="s">
        <v>661</v>
      </c>
      <c r="G728">
        <v>345</v>
      </c>
      <c r="H728">
        <v>582</v>
      </c>
      <c r="I728" s="62" t="s">
        <v>506</v>
      </c>
      <c r="J728" s="62" t="s">
        <v>752</v>
      </c>
      <c r="K728" s="62" t="s">
        <v>752</v>
      </c>
      <c r="L728" s="62" t="s">
        <v>1110</v>
      </c>
    </row>
    <row r="729" spans="1:12" x14ac:dyDescent="0.35">
      <c r="A729">
        <v>12271</v>
      </c>
      <c r="B729" s="62" t="s">
        <v>223</v>
      </c>
      <c r="C729" s="62" t="s">
        <v>487</v>
      </c>
      <c r="D729" s="62" t="s">
        <v>218</v>
      </c>
      <c r="E729" s="62" t="s">
        <v>131</v>
      </c>
      <c r="F729" s="62" t="s">
        <v>661</v>
      </c>
      <c r="G729">
        <v>523</v>
      </c>
      <c r="H729">
        <v>1303</v>
      </c>
      <c r="I729" s="62" t="s">
        <v>506</v>
      </c>
      <c r="J729" s="62" t="s">
        <v>753</v>
      </c>
      <c r="K729" s="62" t="s">
        <v>753</v>
      </c>
      <c r="L729" s="62" t="s">
        <v>1110</v>
      </c>
    </row>
    <row r="730" spans="1:12" x14ac:dyDescent="0.35">
      <c r="A730">
        <v>12185</v>
      </c>
      <c r="B730" s="62" t="s">
        <v>221</v>
      </c>
      <c r="C730" s="62" t="s">
        <v>487</v>
      </c>
      <c r="D730" s="62" t="s">
        <v>218</v>
      </c>
      <c r="E730" s="62" t="s">
        <v>131</v>
      </c>
      <c r="F730" s="62" t="s">
        <v>661</v>
      </c>
      <c r="G730">
        <v>49</v>
      </c>
      <c r="H730">
        <v>100</v>
      </c>
      <c r="I730" s="62" t="s">
        <v>506</v>
      </c>
      <c r="J730" s="62" t="s">
        <v>754</v>
      </c>
      <c r="K730" s="62" t="s">
        <v>754</v>
      </c>
      <c r="L730" s="62" t="s">
        <v>1110</v>
      </c>
    </row>
    <row r="731" spans="1:12" x14ac:dyDescent="0.35">
      <c r="A731">
        <v>12454</v>
      </c>
      <c r="B731" s="62" t="s">
        <v>233</v>
      </c>
      <c r="C731" s="62" t="s">
        <v>487</v>
      </c>
      <c r="D731" s="62" t="s">
        <v>226</v>
      </c>
      <c r="E731" s="62" t="s">
        <v>131</v>
      </c>
      <c r="F731" s="62" t="s">
        <v>661</v>
      </c>
      <c r="G731">
        <v>79</v>
      </c>
      <c r="I731" s="62" t="s">
        <v>506</v>
      </c>
      <c r="J731" s="62" t="s">
        <v>755</v>
      </c>
      <c r="K731" s="62" t="s">
        <v>755</v>
      </c>
      <c r="L731" s="62" t="s">
        <v>1110</v>
      </c>
    </row>
    <row r="732" spans="1:12" x14ac:dyDescent="0.35">
      <c r="A732">
        <v>16467</v>
      </c>
      <c r="B732" s="62" t="s">
        <v>225</v>
      </c>
      <c r="C732" s="62" t="s">
        <v>487</v>
      </c>
      <c r="D732" s="62" t="s">
        <v>218</v>
      </c>
      <c r="E732" s="62" t="s">
        <v>131</v>
      </c>
      <c r="F732" s="62" t="s">
        <v>661</v>
      </c>
      <c r="G732">
        <v>1956</v>
      </c>
      <c r="H732">
        <v>18591</v>
      </c>
      <c r="I732" s="62" t="s">
        <v>506</v>
      </c>
      <c r="J732" s="62" t="s">
        <v>756</v>
      </c>
      <c r="K732" s="62" t="s">
        <v>756</v>
      </c>
      <c r="L732" s="62" t="s">
        <v>1110</v>
      </c>
    </row>
    <row r="733" spans="1:12" x14ac:dyDescent="0.35">
      <c r="A733">
        <v>12232</v>
      </c>
      <c r="B733" s="62" t="s">
        <v>179</v>
      </c>
      <c r="C733" s="62" t="s">
        <v>485</v>
      </c>
      <c r="D733" s="62" t="s">
        <v>175</v>
      </c>
      <c r="E733" s="62" t="s">
        <v>131</v>
      </c>
      <c r="F733" s="62" t="s">
        <v>5</v>
      </c>
      <c r="G733">
        <v>4622</v>
      </c>
      <c r="H733">
        <v>4258</v>
      </c>
      <c r="I733" s="62" t="s">
        <v>1284</v>
      </c>
      <c r="J733" s="62" t="s">
        <v>757</v>
      </c>
      <c r="K733" s="62" t="s">
        <v>757</v>
      </c>
      <c r="L733" s="62" t="s">
        <v>1110</v>
      </c>
    </row>
    <row r="734" spans="1:12" x14ac:dyDescent="0.35">
      <c r="A734">
        <v>10808</v>
      </c>
      <c r="B734" s="62" t="s">
        <v>282</v>
      </c>
      <c r="C734" s="62" t="s">
        <v>489</v>
      </c>
      <c r="D734" s="62" t="s">
        <v>281</v>
      </c>
      <c r="E734" s="62" t="s">
        <v>149</v>
      </c>
      <c r="F734" s="62" t="s">
        <v>508</v>
      </c>
      <c r="G734">
        <v>3548</v>
      </c>
      <c r="H734">
        <v>3548</v>
      </c>
      <c r="I734" s="62" t="s">
        <v>1369</v>
      </c>
      <c r="J734" s="62" t="s">
        <v>1851</v>
      </c>
      <c r="K734" s="62" t="s">
        <v>1851</v>
      </c>
      <c r="L734" s="62" t="s">
        <v>1110</v>
      </c>
    </row>
    <row r="735" spans="1:12" x14ac:dyDescent="0.35">
      <c r="A735">
        <v>10808</v>
      </c>
      <c r="B735" s="62" t="s">
        <v>282</v>
      </c>
      <c r="C735" s="62" t="s">
        <v>489</v>
      </c>
      <c r="D735" s="62" t="s">
        <v>281</v>
      </c>
      <c r="E735" s="62" t="s">
        <v>149</v>
      </c>
      <c r="F735" s="62" t="s">
        <v>6</v>
      </c>
      <c r="G735">
        <v>1025</v>
      </c>
      <c r="H735">
        <v>1025</v>
      </c>
      <c r="I735" s="62" t="s">
        <v>1369</v>
      </c>
      <c r="J735" s="62" t="s">
        <v>1852</v>
      </c>
      <c r="K735" s="62" t="s">
        <v>1852</v>
      </c>
      <c r="L735" s="62" t="s">
        <v>1110</v>
      </c>
    </row>
    <row r="736" spans="1:12" x14ac:dyDescent="0.35">
      <c r="A736">
        <v>10808</v>
      </c>
      <c r="B736" s="62" t="s">
        <v>282</v>
      </c>
      <c r="C736" s="62" t="s">
        <v>489</v>
      </c>
      <c r="D736" s="62" t="s">
        <v>281</v>
      </c>
      <c r="E736" s="62" t="s">
        <v>149</v>
      </c>
      <c r="F736" s="62" t="s">
        <v>5</v>
      </c>
      <c r="G736">
        <v>9239</v>
      </c>
      <c r="H736">
        <v>9239</v>
      </c>
      <c r="I736" s="62" t="s">
        <v>506</v>
      </c>
      <c r="J736" s="62" t="s">
        <v>1853</v>
      </c>
      <c r="K736" s="62" t="s">
        <v>1853</v>
      </c>
      <c r="L736" s="62" t="s">
        <v>1110</v>
      </c>
    </row>
    <row r="737" spans="1:12" x14ac:dyDescent="0.35">
      <c r="A737">
        <v>10808</v>
      </c>
      <c r="B737" s="62" t="s">
        <v>779</v>
      </c>
      <c r="C737" s="62" t="s">
        <v>489</v>
      </c>
      <c r="D737" s="62" t="s">
        <v>281</v>
      </c>
      <c r="E737" s="62" t="s">
        <v>149</v>
      </c>
      <c r="F737" s="62" t="s">
        <v>4</v>
      </c>
      <c r="G737">
        <v>4600</v>
      </c>
      <c r="H737">
        <v>4600</v>
      </c>
      <c r="I737" s="62" t="s">
        <v>506</v>
      </c>
      <c r="J737" s="62" t="s">
        <v>1854</v>
      </c>
      <c r="K737" s="62" t="s">
        <v>1854</v>
      </c>
      <c r="L737" s="62" t="s">
        <v>1110</v>
      </c>
    </row>
    <row r="738" spans="1:12" x14ac:dyDescent="0.35">
      <c r="A738">
        <v>10887</v>
      </c>
      <c r="B738" s="62" t="s">
        <v>328</v>
      </c>
      <c r="C738" s="62" t="s">
        <v>494</v>
      </c>
      <c r="D738" s="62" t="s">
        <v>318</v>
      </c>
      <c r="E738" s="62" t="s">
        <v>149</v>
      </c>
      <c r="F738" s="62" t="s">
        <v>4</v>
      </c>
      <c r="G738">
        <v>2801</v>
      </c>
      <c r="H738">
        <v>2801</v>
      </c>
      <c r="I738" s="62" t="s">
        <v>506</v>
      </c>
      <c r="J738" s="62" t="s">
        <v>1855</v>
      </c>
      <c r="K738" s="62" t="s">
        <v>1855</v>
      </c>
      <c r="L738" s="62" t="s">
        <v>1110</v>
      </c>
    </row>
    <row r="739" spans="1:12" x14ac:dyDescent="0.35">
      <c r="A739">
        <v>14485</v>
      </c>
      <c r="B739" s="62" t="s">
        <v>361</v>
      </c>
      <c r="C739" s="62" t="s">
        <v>495</v>
      </c>
      <c r="D739" s="62" t="s">
        <v>360</v>
      </c>
      <c r="E739" s="62" t="s">
        <v>149</v>
      </c>
      <c r="F739" s="62" t="s">
        <v>508</v>
      </c>
      <c r="G739">
        <v>1419</v>
      </c>
      <c r="H739">
        <v>1419</v>
      </c>
      <c r="I739" s="62" t="s">
        <v>507</v>
      </c>
      <c r="J739" s="62" t="s">
        <v>1856</v>
      </c>
      <c r="K739" s="62" t="s">
        <v>1856</v>
      </c>
      <c r="L739" s="62" t="s">
        <v>1110</v>
      </c>
    </row>
    <row r="740" spans="1:12" x14ac:dyDescent="0.35">
      <c r="A740">
        <v>14485</v>
      </c>
      <c r="B740" s="62" t="s">
        <v>361</v>
      </c>
      <c r="C740" s="62" t="s">
        <v>495</v>
      </c>
      <c r="D740" s="62" t="s">
        <v>360</v>
      </c>
      <c r="E740" s="62" t="s">
        <v>149</v>
      </c>
      <c r="F740" s="62" t="s">
        <v>6</v>
      </c>
      <c r="G740">
        <v>66</v>
      </c>
      <c r="I740" s="62" t="s">
        <v>507</v>
      </c>
      <c r="J740" s="62" t="s">
        <v>1857</v>
      </c>
      <c r="K740" s="62" t="s">
        <v>1857</v>
      </c>
      <c r="L740" s="62" t="s">
        <v>1110</v>
      </c>
    </row>
    <row r="741" spans="1:12" x14ac:dyDescent="0.35">
      <c r="A741">
        <v>14485</v>
      </c>
      <c r="B741" s="62" t="s">
        <v>361</v>
      </c>
      <c r="C741" s="62" t="s">
        <v>495</v>
      </c>
      <c r="D741" s="62" t="s">
        <v>360</v>
      </c>
      <c r="E741" s="62" t="s">
        <v>149</v>
      </c>
      <c r="F741" s="62" t="s">
        <v>5</v>
      </c>
      <c r="G741">
        <v>10007</v>
      </c>
      <c r="H741">
        <v>10007</v>
      </c>
      <c r="I741" s="62" t="s">
        <v>507</v>
      </c>
      <c r="J741" s="62" t="s">
        <v>1858</v>
      </c>
      <c r="K741" s="62" t="s">
        <v>1858</v>
      </c>
      <c r="L741" s="62" t="s">
        <v>1110</v>
      </c>
    </row>
    <row r="742" spans="1:12" x14ac:dyDescent="0.35">
      <c r="A742">
        <v>14485</v>
      </c>
      <c r="B742" s="62" t="s">
        <v>361</v>
      </c>
      <c r="C742" s="62" t="s">
        <v>495</v>
      </c>
      <c r="D742" s="62" t="s">
        <v>360</v>
      </c>
      <c r="E742" s="62" t="s">
        <v>149</v>
      </c>
      <c r="F742" s="62" t="s">
        <v>4</v>
      </c>
      <c r="G742">
        <v>2845</v>
      </c>
      <c r="H742">
        <v>2845</v>
      </c>
      <c r="I742" s="62" t="s">
        <v>506</v>
      </c>
      <c r="J742" s="62" t="s">
        <v>1859</v>
      </c>
      <c r="K742" s="62" t="s">
        <v>1859</v>
      </c>
      <c r="L742" s="62" t="s">
        <v>1110</v>
      </c>
    </row>
    <row r="743" spans="1:12" x14ac:dyDescent="0.35">
      <c r="A743">
        <v>12277</v>
      </c>
      <c r="B743" s="62" t="s">
        <v>249</v>
      </c>
      <c r="C743" s="62" t="s">
        <v>758</v>
      </c>
      <c r="D743" s="62" t="s">
        <v>248</v>
      </c>
      <c r="E743" s="62" t="s">
        <v>149</v>
      </c>
      <c r="F743" s="62" t="s">
        <v>5</v>
      </c>
      <c r="G743">
        <v>2511</v>
      </c>
      <c r="H743">
        <v>2511</v>
      </c>
      <c r="I743" s="62" t="s">
        <v>506</v>
      </c>
      <c r="J743" s="62" t="s">
        <v>1860</v>
      </c>
      <c r="K743" s="62" t="s">
        <v>1860</v>
      </c>
      <c r="L743" s="62" t="s">
        <v>1110</v>
      </c>
    </row>
    <row r="744" spans="1:12" x14ac:dyDescent="0.35">
      <c r="A744">
        <v>12277</v>
      </c>
      <c r="B744" s="62" t="s">
        <v>249</v>
      </c>
      <c r="C744" s="62" t="s">
        <v>758</v>
      </c>
      <c r="D744" s="62" t="s">
        <v>248</v>
      </c>
      <c r="E744" s="62" t="s">
        <v>149</v>
      </c>
      <c r="F744" s="62" t="s">
        <v>6</v>
      </c>
      <c r="G744">
        <v>2</v>
      </c>
      <c r="H744">
        <v>2</v>
      </c>
      <c r="I744" s="62" t="s">
        <v>506</v>
      </c>
      <c r="J744" s="62" t="s">
        <v>1861</v>
      </c>
      <c r="K744" s="62" t="s">
        <v>1861</v>
      </c>
      <c r="L744" s="62" t="s">
        <v>1110</v>
      </c>
    </row>
    <row r="745" spans="1:12" x14ac:dyDescent="0.35">
      <c r="A745">
        <v>12277</v>
      </c>
      <c r="B745" s="62" t="s">
        <v>249</v>
      </c>
      <c r="C745" s="62" t="s">
        <v>758</v>
      </c>
      <c r="D745" s="62" t="s">
        <v>248</v>
      </c>
      <c r="E745" s="62" t="s">
        <v>149</v>
      </c>
      <c r="F745" s="62" t="s">
        <v>508</v>
      </c>
      <c r="G745">
        <v>410</v>
      </c>
      <c r="I745" s="62" t="s">
        <v>507</v>
      </c>
      <c r="J745" s="62" t="s">
        <v>1862</v>
      </c>
      <c r="K745" s="62" t="s">
        <v>1862</v>
      </c>
      <c r="L745" s="62" t="s">
        <v>1110</v>
      </c>
    </row>
    <row r="746" spans="1:12" x14ac:dyDescent="0.35">
      <c r="A746">
        <v>12277</v>
      </c>
      <c r="B746" s="62" t="s">
        <v>249</v>
      </c>
      <c r="C746" s="62" t="s">
        <v>758</v>
      </c>
      <c r="D746" s="62" t="s">
        <v>248</v>
      </c>
      <c r="E746" s="62" t="s">
        <v>149</v>
      </c>
      <c r="F746" s="62" t="s">
        <v>4</v>
      </c>
      <c r="G746">
        <v>209</v>
      </c>
      <c r="H746">
        <v>209</v>
      </c>
      <c r="I746" s="62" t="s">
        <v>506</v>
      </c>
      <c r="J746" s="62" t="s">
        <v>1863</v>
      </c>
      <c r="K746" s="62" t="s">
        <v>1863</v>
      </c>
      <c r="L746" s="62" t="s">
        <v>1110</v>
      </c>
    </row>
    <row r="747" spans="1:12" x14ac:dyDescent="0.35">
      <c r="A747">
        <v>12456</v>
      </c>
      <c r="B747" s="62" t="s">
        <v>399</v>
      </c>
      <c r="C747" s="62" t="s">
        <v>498</v>
      </c>
      <c r="D747" s="62" t="s">
        <v>390</v>
      </c>
      <c r="E747" s="62" t="s">
        <v>149</v>
      </c>
      <c r="F747" s="62" t="s">
        <v>508</v>
      </c>
      <c r="G747">
        <v>108</v>
      </c>
      <c r="H747">
        <v>108</v>
      </c>
      <c r="I747" s="62" t="s">
        <v>506</v>
      </c>
      <c r="J747" s="62" t="s">
        <v>1846</v>
      </c>
      <c r="K747" s="62" t="s">
        <v>1846</v>
      </c>
      <c r="L747" s="62" t="s">
        <v>1110</v>
      </c>
    </row>
    <row r="748" spans="1:12" x14ac:dyDescent="0.35">
      <c r="A748">
        <v>12456</v>
      </c>
      <c r="B748" s="62" t="s">
        <v>399</v>
      </c>
      <c r="C748" s="62" t="s">
        <v>498</v>
      </c>
      <c r="D748" s="62" t="s">
        <v>390</v>
      </c>
      <c r="E748" s="62" t="s">
        <v>149</v>
      </c>
      <c r="F748" s="62" t="s">
        <v>6</v>
      </c>
      <c r="G748">
        <v>112</v>
      </c>
      <c r="I748" s="62" t="s">
        <v>507</v>
      </c>
      <c r="J748" s="62" t="s">
        <v>1847</v>
      </c>
      <c r="K748" s="62" t="s">
        <v>1847</v>
      </c>
      <c r="L748" s="62" t="s">
        <v>1110</v>
      </c>
    </row>
    <row r="749" spans="1:12" x14ac:dyDescent="0.35">
      <c r="A749">
        <v>12456</v>
      </c>
      <c r="B749" s="62" t="s">
        <v>399</v>
      </c>
      <c r="C749" s="62" t="s">
        <v>498</v>
      </c>
      <c r="D749" s="62" t="s">
        <v>390</v>
      </c>
      <c r="E749" s="62" t="s">
        <v>149</v>
      </c>
      <c r="F749" s="62" t="s">
        <v>5</v>
      </c>
      <c r="G749">
        <v>969</v>
      </c>
      <c r="H749">
        <v>969</v>
      </c>
      <c r="I749" s="62" t="s">
        <v>506</v>
      </c>
      <c r="J749" s="62" t="s">
        <v>1848</v>
      </c>
      <c r="K749" s="62" t="s">
        <v>1848</v>
      </c>
      <c r="L749" s="62" t="s">
        <v>1110</v>
      </c>
    </row>
    <row r="750" spans="1:12" x14ac:dyDescent="0.35">
      <c r="A750">
        <v>12456</v>
      </c>
      <c r="B750" s="62" t="s">
        <v>399</v>
      </c>
      <c r="C750" s="62" t="s">
        <v>498</v>
      </c>
      <c r="D750" s="62" t="s">
        <v>390</v>
      </c>
      <c r="E750" s="62" t="s">
        <v>149</v>
      </c>
      <c r="F750" s="62" t="s">
        <v>4</v>
      </c>
      <c r="G750">
        <v>74</v>
      </c>
      <c r="H750">
        <v>74</v>
      </c>
      <c r="I750" s="62" t="s">
        <v>506</v>
      </c>
      <c r="J750" s="62" t="s">
        <v>1849</v>
      </c>
      <c r="K750" s="62" t="s">
        <v>1849</v>
      </c>
      <c r="L750" s="62" t="s">
        <v>1110</v>
      </c>
    </row>
    <row r="751" spans="1:12" x14ac:dyDescent="0.35">
      <c r="A751">
        <v>10398</v>
      </c>
      <c r="B751" s="62" t="s">
        <v>286</v>
      </c>
      <c r="C751" s="62" t="s">
        <v>489</v>
      </c>
      <c r="D751" s="62" t="s">
        <v>284</v>
      </c>
      <c r="E751" s="62" t="s">
        <v>149</v>
      </c>
      <c r="F751" s="62" t="s">
        <v>6</v>
      </c>
      <c r="G751">
        <v>155</v>
      </c>
      <c r="I751" s="62" t="s">
        <v>507</v>
      </c>
      <c r="J751" s="62" t="s">
        <v>1837</v>
      </c>
      <c r="K751" s="62" t="s">
        <v>1837</v>
      </c>
      <c r="L751" s="62" t="s">
        <v>1110</v>
      </c>
    </row>
    <row r="752" spans="1:12" x14ac:dyDescent="0.35">
      <c r="A752">
        <v>10398</v>
      </c>
      <c r="B752" s="62" t="s">
        <v>286</v>
      </c>
      <c r="C752" s="62" t="s">
        <v>489</v>
      </c>
      <c r="D752" s="62" t="s">
        <v>284</v>
      </c>
      <c r="E752" s="62" t="s">
        <v>149</v>
      </c>
      <c r="F752" s="62" t="s">
        <v>508</v>
      </c>
      <c r="G752">
        <v>376</v>
      </c>
      <c r="H752">
        <v>200</v>
      </c>
      <c r="I752" s="62" t="s">
        <v>507</v>
      </c>
      <c r="J752" s="62" t="s">
        <v>1838</v>
      </c>
      <c r="K752" s="62" t="s">
        <v>1838</v>
      </c>
      <c r="L752" s="62" t="s">
        <v>1110</v>
      </c>
    </row>
    <row r="753" spans="1:12" x14ac:dyDescent="0.35">
      <c r="A753">
        <v>10398</v>
      </c>
      <c r="B753" s="62" t="s">
        <v>286</v>
      </c>
      <c r="C753" s="62" t="s">
        <v>489</v>
      </c>
      <c r="D753" s="62" t="s">
        <v>284</v>
      </c>
      <c r="E753" s="62" t="s">
        <v>149</v>
      </c>
      <c r="F753" s="62" t="s">
        <v>6</v>
      </c>
      <c r="G753">
        <v>155</v>
      </c>
      <c r="H753">
        <v>155</v>
      </c>
      <c r="I753" s="62" t="s">
        <v>506</v>
      </c>
      <c r="J753" s="62" t="s">
        <v>1839</v>
      </c>
      <c r="K753" s="62" t="s">
        <v>1839</v>
      </c>
      <c r="L753" s="62" t="s">
        <v>1110</v>
      </c>
    </row>
    <row r="754" spans="1:12" x14ac:dyDescent="0.35">
      <c r="A754">
        <v>10398</v>
      </c>
      <c r="B754" s="62" t="s">
        <v>286</v>
      </c>
      <c r="C754" s="62" t="s">
        <v>489</v>
      </c>
      <c r="D754" s="62" t="s">
        <v>284</v>
      </c>
      <c r="E754" s="62" t="s">
        <v>149</v>
      </c>
      <c r="F754" s="62" t="s">
        <v>5</v>
      </c>
      <c r="G754">
        <v>2622</v>
      </c>
      <c r="I754" s="62" t="s">
        <v>507</v>
      </c>
      <c r="J754" s="62" t="s">
        <v>1840</v>
      </c>
      <c r="K754" s="62" t="s">
        <v>1840</v>
      </c>
      <c r="L754" s="62" t="s">
        <v>1110</v>
      </c>
    </row>
    <row r="755" spans="1:12" x14ac:dyDescent="0.35">
      <c r="A755">
        <v>12813</v>
      </c>
      <c r="B755" s="62" t="s">
        <v>270</v>
      </c>
      <c r="C755" s="62" t="s">
        <v>758</v>
      </c>
      <c r="D755" s="62" t="s">
        <v>268</v>
      </c>
      <c r="E755" s="62" t="s">
        <v>149</v>
      </c>
      <c r="F755" s="62" t="s">
        <v>508</v>
      </c>
      <c r="G755">
        <v>645</v>
      </c>
      <c r="H755">
        <v>645</v>
      </c>
      <c r="I755" s="62" t="s">
        <v>506</v>
      </c>
      <c r="J755" s="62" t="s">
        <v>1841</v>
      </c>
      <c r="K755" s="62" t="s">
        <v>1841</v>
      </c>
      <c r="L755" s="62" t="s">
        <v>1110</v>
      </c>
    </row>
    <row r="756" spans="1:12" x14ac:dyDescent="0.35">
      <c r="A756">
        <v>12813</v>
      </c>
      <c r="B756" s="62" t="s">
        <v>270</v>
      </c>
      <c r="C756" s="62" t="s">
        <v>758</v>
      </c>
      <c r="D756" s="62" t="s">
        <v>268</v>
      </c>
      <c r="E756" s="62" t="s">
        <v>149</v>
      </c>
      <c r="F756" s="62" t="s">
        <v>6</v>
      </c>
      <c r="G756">
        <v>172</v>
      </c>
      <c r="I756" s="62" t="s">
        <v>507</v>
      </c>
      <c r="J756" s="62" t="s">
        <v>1842</v>
      </c>
      <c r="K756" s="62" t="s">
        <v>1842</v>
      </c>
      <c r="L756" s="62" t="s">
        <v>1110</v>
      </c>
    </row>
    <row r="757" spans="1:12" x14ac:dyDescent="0.35">
      <c r="A757">
        <v>12813</v>
      </c>
      <c r="B757" s="62" t="s">
        <v>270</v>
      </c>
      <c r="C757" s="62" t="s">
        <v>758</v>
      </c>
      <c r="D757" s="62" t="s">
        <v>268</v>
      </c>
      <c r="E757" s="62" t="s">
        <v>149</v>
      </c>
      <c r="F757" s="62" t="s">
        <v>5</v>
      </c>
      <c r="G757">
        <v>5718</v>
      </c>
      <c r="I757" s="62" t="s">
        <v>506</v>
      </c>
      <c r="J757" s="62" t="s">
        <v>1843</v>
      </c>
      <c r="K757" s="62" t="s">
        <v>1843</v>
      </c>
      <c r="L757" s="62" t="s">
        <v>1110</v>
      </c>
    </row>
    <row r="758" spans="1:12" x14ac:dyDescent="0.35">
      <c r="A758">
        <v>12813</v>
      </c>
      <c r="B758" s="62" t="s">
        <v>270</v>
      </c>
      <c r="C758" s="62" t="s">
        <v>758</v>
      </c>
      <c r="D758" s="62" t="s">
        <v>268</v>
      </c>
      <c r="E758" s="62" t="s">
        <v>149</v>
      </c>
      <c r="F758" s="62" t="s">
        <v>4</v>
      </c>
      <c r="G758">
        <v>593</v>
      </c>
      <c r="H758">
        <v>593</v>
      </c>
      <c r="I758" s="62" t="s">
        <v>506</v>
      </c>
      <c r="J758" s="62" t="s">
        <v>1844</v>
      </c>
      <c r="K758" s="62" t="s">
        <v>1844</v>
      </c>
      <c r="L758" s="62" t="s">
        <v>1110</v>
      </c>
    </row>
    <row r="759" spans="1:12" x14ac:dyDescent="0.35">
      <c r="A759">
        <v>10398</v>
      </c>
      <c r="B759" s="62" t="s">
        <v>777</v>
      </c>
      <c r="C759" s="62" t="s">
        <v>489</v>
      </c>
      <c r="D759" s="62" t="s">
        <v>284</v>
      </c>
      <c r="E759" s="62" t="s">
        <v>149</v>
      </c>
      <c r="F759" s="62" t="s">
        <v>4</v>
      </c>
      <c r="G759">
        <v>634</v>
      </c>
      <c r="H759">
        <v>634</v>
      </c>
      <c r="I759" s="62" t="s">
        <v>506</v>
      </c>
      <c r="J759" s="62" t="s">
        <v>1845</v>
      </c>
      <c r="K759" s="62" t="s">
        <v>1845</v>
      </c>
      <c r="L759" s="62" t="s">
        <v>1110</v>
      </c>
    </row>
    <row r="760" spans="1:12" x14ac:dyDescent="0.35">
      <c r="A760">
        <v>12566</v>
      </c>
      <c r="B760" s="62" t="s">
        <v>372</v>
      </c>
      <c r="C760" s="62" t="s">
        <v>497</v>
      </c>
      <c r="D760" s="62" t="s">
        <v>371</v>
      </c>
      <c r="E760" s="62" t="s">
        <v>149</v>
      </c>
      <c r="F760" s="62" t="s">
        <v>508</v>
      </c>
      <c r="G760">
        <v>164</v>
      </c>
      <c r="H760">
        <v>164</v>
      </c>
      <c r="I760" s="62" t="s">
        <v>506</v>
      </c>
      <c r="J760" s="62" t="s">
        <v>1833</v>
      </c>
      <c r="K760" s="62" t="s">
        <v>1833</v>
      </c>
      <c r="L760" s="62" t="s">
        <v>1110</v>
      </c>
    </row>
    <row r="761" spans="1:12" x14ac:dyDescent="0.35">
      <c r="A761">
        <v>12566</v>
      </c>
      <c r="B761" s="62" t="s">
        <v>372</v>
      </c>
      <c r="C761" s="62" t="s">
        <v>497</v>
      </c>
      <c r="D761" s="62" t="s">
        <v>371</v>
      </c>
      <c r="E761" s="62" t="s">
        <v>149</v>
      </c>
      <c r="F761" s="62" t="s">
        <v>6</v>
      </c>
      <c r="G761">
        <v>612</v>
      </c>
      <c r="I761" s="62" t="s">
        <v>507</v>
      </c>
      <c r="J761" s="62" t="s">
        <v>1834</v>
      </c>
      <c r="K761" s="62" t="s">
        <v>1834</v>
      </c>
      <c r="L761" s="62" t="s">
        <v>1110</v>
      </c>
    </row>
    <row r="762" spans="1:12" x14ac:dyDescent="0.35">
      <c r="A762">
        <v>12566</v>
      </c>
      <c r="B762" s="62" t="s">
        <v>372</v>
      </c>
      <c r="C762" s="62" t="s">
        <v>497</v>
      </c>
      <c r="D762" s="62" t="s">
        <v>371</v>
      </c>
      <c r="E762" s="62" t="s">
        <v>149</v>
      </c>
      <c r="F762" s="62" t="s">
        <v>5</v>
      </c>
      <c r="G762">
        <v>3310</v>
      </c>
      <c r="I762" s="62" t="s">
        <v>506</v>
      </c>
      <c r="J762" s="62" t="s">
        <v>1835</v>
      </c>
      <c r="K762" s="62" t="s">
        <v>1835</v>
      </c>
      <c r="L762" s="62" t="s">
        <v>1110</v>
      </c>
    </row>
    <row r="763" spans="1:12" x14ac:dyDescent="0.35">
      <c r="A763">
        <v>12566</v>
      </c>
      <c r="B763" s="62" t="s">
        <v>372</v>
      </c>
      <c r="C763" s="62" t="s">
        <v>497</v>
      </c>
      <c r="D763" s="62" t="s">
        <v>371</v>
      </c>
      <c r="E763" s="62" t="s">
        <v>149</v>
      </c>
      <c r="F763" s="62" t="s">
        <v>4</v>
      </c>
      <c r="G763">
        <v>594</v>
      </c>
      <c r="H763">
        <v>594</v>
      </c>
      <c r="I763" s="62" t="s">
        <v>506</v>
      </c>
      <c r="J763" s="62" t="s">
        <v>1836</v>
      </c>
      <c r="K763" s="62" t="s">
        <v>1836</v>
      </c>
      <c r="L763" s="62" t="s">
        <v>1110</v>
      </c>
    </row>
    <row r="764" spans="1:12" x14ac:dyDescent="0.35">
      <c r="A764">
        <v>11030</v>
      </c>
      <c r="B764" s="62" t="s">
        <v>307</v>
      </c>
      <c r="C764" s="62" t="s">
        <v>491</v>
      </c>
      <c r="D764" s="62" t="s">
        <v>304</v>
      </c>
      <c r="E764" s="62" t="s">
        <v>149</v>
      </c>
      <c r="F764" s="62" t="s">
        <v>508</v>
      </c>
      <c r="G764">
        <v>175</v>
      </c>
      <c r="I764" s="62" t="s">
        <v>507</v>
      </c>
      <c r="J764" s="62" t="s">
        <v>1820</v>
      </c>
      <c r="K764" s="62" t="s">
        <v>1820</v>
      </c>
      <c r="L764" s="62" t="s">
        <v>1110</v>
      </c>
    </row>
    <row r="765" spans="1:12" x14ac:dyDescent="0.35">
      <c r="A765">
        <v>11030</v>
      </c>
      <c r="B765" s="62" t="s">
        <v>307</v>
      </c>
      <c r="C765" s="62" t="s">
        <v>491</v>
      </c>
      <c r="D765" s="62" t="s">
        <v>304</v>
      </c>
      <c r="E765" s="62" t="s">
        <v>149</v>
      </c>
      <c r="F765" s="62" t="s">
        <v>6</v>
      </c>
      <c r="G765">
        <v>145</v>
      </c>
      <c r="I765" s="62" t="s">
        <v>507</v>
      </c>
      <c r="J765" s="62" t="s">
        <v>1821</v>
      </c>
      <c r="K765" s="62" t="s">
        <v>1821</v>
      </c>
      <c r="L765" s="62" t="s">
        <v>1110</v>
      </c>
    </row>
    <row r="766" spans="1:12" x14ac:dyDescent="0.35">
      <c r="A766">
        <v>11030</v>
      </c>
      <c r="B766" s="62" t="s">
        <v>307</v>
      </c>
      <c r="C766" s="62" t="s">
        <v>491</v>
      </c>
      <c r="D766" s="62" t="s">
        <v>304</v>
      </c>
      <c r="E766" s="62" t="s">
        <v>149</v>
      </c>
      <c r="F766" s="62" t="s">
        <v>5</v>
      </c>
      <c r="G766">
        <v>2424</v>
      </c>
      <c r="H766">
        <v>2424</v>
      </c>
      <c r="I766" s="62" t="s">
        <v>506</v>
      </c>
      <c r="J766" s="62" t="s">
        <v>1822</v>
      </c>
      <c r="K766" s="62" t="s">
        <v>1822</v>
      </c>
      <c r="L766" s="62" t="s">
        <v>1110</v>
      </c>
    </row>
    <row r="767" spans="1:12" x14ac:dyDescent="0.35">
      <c r="A767">
        <v>11030</v>
      </c>
      <c r="B767" s="62" t="s">
        <v>307</v>
      </c>
      <c r="C767" s="62" t="s">
        <v>491</v>
      </c>
      <c r="D767" s="62" t="s">
        <v>304</v>
      </c>
      <c r="E767" s="62" t="s">
        <v>149</v>
      </c>
      <c r="F767" s="62" t="s">
        <v>4</v>
      </c>
      <c r="G767">
        <v>1034</v>
      </c>
      <c r="H767">
        <v>1034</v>
      </c>
      <c r="I767" s="62" t="s">
        <v>506</v>
      </c>
      <c r="J767" s="62" t="s">
        <v>1823</v>
      </c>
      <c r="K767" s="62" t="s">
        <v>1823</v>
      </c>
      <c r="L767" s="62" t="s">
        <v>1110</v>
      </c>
    </row>
    <row r="768" spans="1:12" x14ac:dyDescent="0.35">
      <c r="A768">
        <v>11970</v>
      </c>
      <c r="B768" s="62" t="s">
        <v>260</v>
      </c>
      <c r="C768" s="62" t="s">
        <v>758</v>
      </c>
      <c r="D768" s="62" t="s">
        <v>259</v>
      </c>
      <c r="E768" s="62" t="s">
        <v>149</v>
      </c>
      <c r="F768" s="62" t="s">
        <v>508</v>
      </c>
      <c r="G768">
        <v>2171</v>
      </c>
      <c r="I768" s="62" t="s">
        <v>507</v>
      </c>
      <c r="J768" s="62" t="s">
        <v>1824</v>
      </c>
      <c r="K768" s="62" t="s">
        <v>1824</v>
      </c>
      <c r="L768" s="62" t="s">
        <v>1110</v>
      </c>
    </row>
    <row r="769" spans="1:12" x14ac:dyDescent="0.35">
      <c r="A769">
        <v>10321</v>
      </c>
      <c r="B769" s="62" t="s">
        <v>305</v>
      </c>
      <c r="C769" s="62" t="s">
        <v>491</v>
      </c>
      <c r="D769" s="62" t="s">
        <v>304</v>
      </c>
      <c r="E769" s="62" t="s">
        <v>149</v>
      </c>
      <c r="F769" s="62" t="s">
        <v>508</v>
      </c>
      <c r="G769">
        <v>265</v>
      </c>
      <c r="I769" s="62" t="s">
        <v>506</v>
      </c>
      <c r="J769" s="62" t="s">
        <v>1825</v>
      </c>
      <c r="K769" s="62" t="s">
        <v>1825</v>
      </c>
      <c r="L769" s="62" t="s">
        <v>1110</v>
      </c>
    </row>
    <row r="770" spans="1:12" x14ac:dyDescent="0.35">
      <c r="A770">
        <v>10321</v>
      </c>
      <c r="B770" s="62" t="s">
        <v>305</v>
      </c>
      <c r="C770" s="62" t="s">
        <v>491</v>
      </c>
      <c r="D770" s="62" t="s">
        <v>304</v>
      </c>
      <c r="E770" s="62" t="s">
        <v>149</v>
      </c>
      <c r="F770" s="62" t="s">
        <v>6</v>
      </c>
      <c r="G770">
        <v>183</v>
      </c>
      <c r="I770" s="62" t="s">
        <v>506</v>
      </c>
      <c r="J770" s="62" t="s">
        <v>1826</v>
      </c>
      <c r="K770" s="62" t="s">
        <v>1826</v>
      </c>
      <c r="L770" s="62" t="s">
        <v>1110</v>
      </c>
    </row>
    <row r="771" spans="1:12" x14ac:dyDescent="0.35">
      <c r="A771">
        <v>10321</v>
      </c>
      <c r="B771" s="62" t="s">
        <v>305</v>
      </c>
      <c r="C771" s="62" t="s">
        <v>491</v>
      </c>
      <c r="D771" s="62" t="s">
        <v>304</v>
      </c>
      <c r="E771" s="62" t="s">
        <v>149</v>
      </c>
      <c r="F771" s="62" t="s">
        <v>5</v>
      </c>
      <c r="G771">
        <v>1691</v>
      </c>
      <c r="H771">
        <v>1691</v>
      </c>
      <c r="I771" s="62" t="s">
        <v>506</v>
      </c>
      <c r="J771" s="62" t="s">
        <v>1827</v>
      </c>
      <c r="K771" s="62" t="s">
        <v>1827</v>
      </c>
      <c r="L771" s="62" t="s">
        <v>1110</v>
      </c>
    </row>
    <row r="772" spans="1:12" x14ac:dyDescent="0.35">
      <c r="A772">
        <v>10321</v>
      </c>
      <c r="B772" s="62" t="s">
        <v>305</v>
      </c>
      <c r="C772" s="62" t="s">
        <v>491</v>
      </c>
      <c r="D772" s="62" t="s">
        <v>304</v>
      </c>
      <c r="E772" s="62" t="s">
        <v>149</v>
      </c>
      <c r="F772" s="62" t="s">
        <v>4</v>
      </c>
      <c r="G772">
        <v>626</v>
      </c>
      <c r="H772">
        <v>626</v>
      </c>
      <c r="I772" s="62" t="s">
        <v>506</v>
      </c>
      <c r="J772" s="62" t="s">
        <v>1828</v>
      </c>
      <c r="K772" s="62" t="s">
        <v>1828</v>
      </c>
      <c r="L772" s="62" t="s">
        <v>1110</v>
      </c>
    </row>
    <row r="773" spans="1:12" x14ac:dyDescent="0.35">
      <c r="A773">
        <v>12205</v>
      </c>
      <c r="B773" s="62" t="s">
        <v>395</v>
      </c>
      <c r="C773" s="62" t="s">
        <v>498</v>
      </c>
      <c r="D773" s="62" t="s">
        <v>393</v>
      </c>
      <c r="E773" s="62" t="s">
        <v>149</v>
      </c>
      <c r="F773" s="62" t="s">
        <v>508</v>
      </c>
      <c r="G773">
        <v>962</v>
      </c>
      <c r="H773">
        <v>600</v>
      </c>
      <c r="I773" s="62" t="s">
        <v>507</v>
      </c>
      <c r="J773" s="62" t="s">
        <v>1790</v>
      </c>
      <c r="K773" s="62" t="s">
        <v>1790</v>
      </c>
      <c r="L773" s="62" t="s">
        <v>1110</v>
      </c>
    </row>
    <row r="774" spans="1:12" x14ac:dyDescent="0.35">
      <c r="A774">
        <v>12205</v>
      </c>
      <c r="B774" s="62" t="s">
        <v>395</v>
      </c>
      <c r="C774" s="62" t="s">
        <v>498</v>
      </c>
      <c r="D774" s="62" t="s">
        <v>393</v>
      </c>
      <c r="E774" s="62" t="s">
        <v>149</v>
      </c>
      <c r="F774" s="62" t="s">
        <v>6</v>
      </c>
      <c r="G774">
        <v>523</v>
      </c>
      <c r="H774">
        <v>523</v>
      </c>
      <c r="I774" s="62" t="s">
        <v>506</v>
      </c>
      <c r="J774" s="62" t="s">
        <v>1791</v>
      </c>
      <c r="K774" s="62" t="s">
        <v>1791</v>
      </c>
      <c r="L774" s="62" t="s">
        <v>1110</v>
      </c>
    </row>
    <row r="775" spans="1:12" x14ac:dyDescent="0.35">
      <c r="A775">
        <v>12205</v>
      </c>
      <c r="B775" s="62" t="s">
        <v>395</v>
      </c>
      <c r="C775" s="62" t="s">
        <v>498</v>
      </c>
      <c r="D775" s="62" t="s">
        <v>393</v>
      </c>
      <c r="E775" s="62" t="s">
        <v>149</v>
      </c>
      <c r="F775" s="62" t="s">
        <v>5</v>
      </c>
      <c r="G775">
        <v>2437</v>
      </c>
      <c r="I775" s="62" t="s">
        <v>506</v>
      </c>
      <c r="J775" s="62" t="s">
        <v>1792</v>
      </c>
      <c r="K775" s="62" t="s">
        <v>1792</v>
      </c>
      <c r="L775" s="62" t="s">
        <v>1110</v>
      </c>
    </row>
    <row r="776" spans="1:12" x14ac:dyDescent="0.35">
      <c r="A776">
        <v>19963</v>
      </c>
      <c r="B776" s="62" t="s">
        <v>760</v>
      </c>
      <c r="C776" s="62" t="s">
        <v>491</v>
      </c>
      <c r="D776" s="62" t="s">
        <v>293</v>
      </c>
      <c r="E776" s="62" t="s">
        <v>149</v>
      </c>
      <c r="F776" s="62" t="s">
        <v>6</v>
      </c>
      <c r="G776">
        <v>70</v>
      </c>
      <c r="I776" s="62" t="s">
        <v>507</v>
      </c>
      <c r="J776" s="62" t="s">
        <v>1793</v>
      </c>
      <c r="K776" s="62" t="s">
        <v>1793</v>
      </c>
      <c r="L776" s="62" t="s">
        <v>1110</v>
      </c>
    </row>
    <row r="777" spans="1:12" x14ac:dyDescent="0.35">
      <c r="A777">
        <v>19963</v>
      </c>
      <c r="B777" s="62" t="s">
        <v>760</v>
      </c>
      <c r="C777" s="62" t="s">
        <v>491</v>
      </c>
      <c r="D777" s="62" t="s">
        <v>293</v>
      </c>
      <c r="E777" s="62" t="s">
        <v>149</v>
      </c>
      <c r="F777" s="62" t="s">
        <v>508</v>
      </c>
      <c r="G777">
        <v>896</v>
      </c>
      <c r="H777">
        <v>896</v>
      </c>
      <c r="I777" s="62" t="s">
        <v>506</v>
      </c>
      <c r="J777" s="62" t="s">
        <v>1794</v>
      </c>
      <c r="K777" s="62" t="s">
        <v>1794</v>
      </c>
      <c r="L777" s="62" t="s">
        <v>1110</v>
      </c>
    </row>
    <row r="778" spans="1:12" x14ac:dyDescent="0.35">
      <c r="A778">
        <v>15652</v>
      </c>
      <c r="B778" s="62" t="s">
        <v>316</v>
      </c>
      <c r="C778" s="62" t="s">
        <v>493</v>
      </c>
      <c r="D778" s="62" t="s">
        <v>315</v>
      </c>
      <c r="E778" s="62" t="s">
        <v>149</v>
      </c>
      <c r="F778" s="62" t="s">
        <v>6</v>
      </c>
      <c r="G778">
        <v>60</v>
      </c>
      <c r="I778" s="62" t="s">
        <v>507</v>
      </c>
      <c r="J778" s="62" t="s">
        <v>1795</v>
      </c>
      <c r="K778" s="62" t="s">
        <v>1795</v>
      </c>
      <c r="L778" s="62" t="s">
        <v>1110</v>
      </c>
    </row>
    <row r="779" spans="1:12" x14ac:dyDescent="0.35">
      <c r="A779">
        <v>15652</v>
      </c>
      <c r="B779" s="62" t="s">
        <v>316</v>
      </c>
      <c r="C779" s="62" t="s">
        <v>493</v>
      </c>
      <c r="D779" s="62" t="s">
        <v>315</v>
      </c>
      <c r="E779" s="62" t="s">
        <v>149</v>
      </c>
      <c r="F779" s="62" t="s">
        <v>508</v>
      </c>
      <c r="G779">
        <v>1600</v>
      </c>
      <c r="I779" s="62" t="s">
        <v>507</v>
      </c>
      <c r="J779" s="62" t="s">
        <v>1796</v>
      </c>
      <c r="K779" s="62" t="s">
        <v>1796</v>
      </c>
      <c r="L779" s="62" t="s">
        <v>1110</v>
      </c>
    </row>
    <row r="780" spans="1:12" x14ac:dyDescent="0.35">
      <c r="A780">
        <v>12205</v>
      </c>
      <c r="B780" s="62" t="s">
        <v>395</v>
      </c>
      <c r="C780" s="62" t="s">
        <v>498</v>
      </c>
      <c r="D780" s="62" t="s">
        <v>393</v>
      </c>
      <c r="E780" s="62" t="s">
        <v>149</v>
      </c>
      <c r="F780" s="62" t="s">
        <v>4</v>
      </c>
      <c r="G780">
        <v>145</v>
      </c>
      <c r="H780">
        <v>145</v>
      </c>
      <c r="I780" s="62" t="s">
        <v>506</v>
      </c>
      <c r="J780" s="62" t="s">
        <v>1797</v>
      </c>
      <c r="K780" s="62" t="s">
        <v>1797</v>
      </c>
      <c r="L780" s="62" t="s">
        <v>1110</v>
      </c>
    </row>
    <row r="781" spans="1:12" x14ac:dyDescent="0.35">
      <c r="A781">
        <v>12860</v>
      </c>
      <c r="B781" s="62" t="s">
        <v>762</v>
      </c>
      <c r="C781" s="62" t="s">
        <v>497</v>
      </c>
      <c r="D781" s="62" t="s">
        <v>374</v>
      </c>
      <c r="E781" s="62" t="s">
        <v>149</v>
      </c>
      <c r="F781" s="62" t="s">
        <v>6</v>
      </c>
      <c r="G781">
        <v>760</v>
      </c>
      <c r="H781">
        <v>760</v>
      </c>
      <c r="I781" s="62" t="s">
        <v>506</v>
      </c>
      <c r="J781" s="62" t="s">
        <v>1798</v>
      </c>
      <c r="K781" s="62" t="s">
        <v>1798</v>
      </c>
      <c r="L781" s="62" t="s">
        <v>1110</v>
      </c>
    </row>
    <row r="782" spans="1:12" x14ac:dyDescent="0.35">
      <c r="A782">
        <v>12860</v>
      </c>
      <c r="B782" s="62" t="s">
        <v>762</v>
      </c>
      <c r="C782" s="62" t="s">
        <v>497</v>
      </c>
      <c r="D782" s="62" t="s">
        <v>374</v>
      </c>
      <c r="E782" s="62" t="s">
        <v>149</v>
      </c>
      <c r="F782" s="62" t="s">
        <v>508</v>
      </c>
      <c r="G782">
        <v>1187</v>
      </c>
      <c r="I782" s="62" t="s">
        <v>507</v>
      </c>
      <c r="J782" s="62" t="s">
        <v>1799</v>
      </c>
      <c r="K782" s="62" t="s">
        <v>1799</v>
      </c>
      <c r="L782" s="62" t="s">
        <v>1110</v>
      </c>
    </row>
    <row r="783" spans="1:12" x14ac:dyDescent="0.35">
      <c r="A783">
        <v>12860</v>
      </c>
      <c r="B783" s="62" t="s">
        <v>762</v>
      </c>
      <c r="C783" s="62" t="s">
        <v>497</v>
      </c>
      <c r="D783" s="62" t="s">
        <v>374</v>
      </c>
      <c r="E783" s="62" t="s">
        <v>149</v>
      </c>
      <c r="F783" s="62" t="s">
        <v>5</v>
      </c>
      <c r="G783">
        <v>4788</v>
      </c>
      <c r="H783">
        <v>4788</v>
      </c>
      <c r="I783" s="62" t="s">
        <v>506</v>
      </c>
      <c r="J783" s="62" t="s">
        <v>1800</v>
      </c>
      <c r="K783" s="62" t="s">
        <v>1800</v>
      </c>
      <c r="L783" s="62" t="s">
        <v>1110</v>
      </c>
    </row>
    <row r="784" spans="1:12" x14ac:dyDescent="0.35">
      <c r="A784">
        <v>12860</v>
      </c>
      <c r="B784" s="62" t="s">
        <v>375</v>
      </c>
      <c r="C784" s="62" t="s">
        <v>497</v>
      </c>
      <c r="D784" s="62" t="s">
        <v>374</v>
      </c>
      <c r="E784" s="62" t="s">
        <v>149</v>
      </c>
      <c r="F784" s="62" t="s">
        <v>4</v>
      </c>
      <c r="G784">
        <v>773</v>
      </c>
      <c r="H784">
        <v>773</v>
      </c>
      <c r="I784" s="62" t="s">
        <v>506</v>
      </c>
      <c r="J784" s="62" t="s">
        <v>1801</v>
      </c>
      <c r="K784" s="62" t="s">
        <v>1801</v>
      </c>
      <c r="L784" s="62" t="s">
        <v>1110</v>
      </c>
    </row>
    <row r="785" spans="1:12" x14ac:dyDescent="0.35">
      <c r="A785">
        <v>11981</v>
      </c>
      <c r="B785" s="62" t="s">
        <v>404</v>
      </c>
      <c r="C785" s="62" t="s">
        <v>499</v>
      </c>
      <c r="D785" s="62" t="s">
        <v>403</v>
      </c>
      <c r="E785" s="62" t="s">
        <v>149</v>
      </c>
      <c r="F785" s="62" t="s">
        <v>508</v>
      </c>
      <c r="G785">
        <v>724</v>
      </c>
      <c r="H785">
        <v>200</v>
      </c>
      <c r="I785" s="62" t="s">
        <v>507</v>
      </c>
      <c r="J785" s="62" t="s">
        <v>1785</v>
      </c>
      <c r="K785" s="62" t="s">
        <v>1785</v>
      </c>
      <c r="L785" s="62" t="s">
        <v>1110</v>
      </c>
    </row>
    <row r="786" spans="1:12" x14ac:dyDescent="0.35">
      <c r="A786">
        <v>11981</v>
      </c>
      <c r="B786" s="62" t="s">
        <v>404</v>
      </c>
      <c r="C786" s="62" t="s">
        <v>499</v>
      </c>
      <c r="D786" s="62" t="s">
        <v>403</v>
      </c>
      <c r="E786" s="62" t="s">
        <v>149</v>
      </c>
      <c r="F786" s="62" t="s">
        <v>6</v>
      </c>
      <c r="G786">
        <v>153</v>
      </c>
      <c r="H786">
        <v>153</v>
      </c>
      <c r="I786" s="62" t="s">
        <v>506</v>
      </c>
      <c r="J786" s="62" t="s">
        <v>1786</v>
      </c>
      <c r="K786" s="62" t="s">
        <v>1786</v>
      </c>
      <c r="L786" s="62" t="s">
        <v>1110</v>
      </c>
    </row>
    <row r="787" spans="1:12" x14ac:dyDescent="0.35">
      <c r="A787">
        <v>11981</v>
      </c>
      <c r="B787" s="62" t="s">
        <v>404</v>
      </c>
      <c r="C787" s="62" t="s">
        <v>499</v>
      </c>
      <c r="D787" s="62" t="s">
        <v>403</v>
      </c>
      <c r="E787" s="62" t="s">
        <v>149</v>
      </c>
      <c r="F787" s="62" t="s">
        <v>5</v>
      </c>
      <c r="G787">
        <v>2508</v>
      </c>
      <c r="H787">
        <v>2500</v>
      </c>
      <c r="I787" s="62" t="s">
        <v>507</v>
      </c>
      <c r="J787" s="62" t="s">
        <v>1787</v>
      </c>
      <c r="K787" s="62" t="s">
        <v>1787</v>
      </c>
      <c r="L787" s="62" t="s">
        <v>1110</v>
      </c>
    </row>
    <row r="788" spans="1:12" x14ac:dyDescent="0.35">
      <c r="A788">
        <v>11981</v>
      </c>
      <c r="B788" s="62" t="s">
        <v>404</v>
      </c>
      <c r="C788" s="62" t="s">
        <v>499</v>
      </c>
      <c r="D788" s="62" t="s">
        <v>403</v>
      </c>
      <c r="E788" s="62" t="s">
        <v>149</v>
      </c>
      <c r="F788" s="62" t="s">
        <v>4</v>
      </c>
      <c r="G788">
        <v>527</v>
      </c>
      <c r="H788">
        <v>527</v>
      </c>
      <c r="I788" s="62" t="s">
        <v>506</v>
      </c>
      <c r="J788" s="62" t="s">
        <v>1788</v>
      </c>
      <c r="K788" s="62" t="s">
        <v>1788</v>
      </c>
      <c r="L788" s="62" t="s">
        <v>1110</v>
      </c>
    </row>
    <row r="789" spans="1:12" x14ac:dyDescent="0.35">
      <c r="A789">
        <v>12769</v>
      </c>
      <c r="B789" s="62" t="s">
        <v>269</v>
      </c>
      <c r="C789" s="62" t="s">
        <v>758</v>
      </c>
      <c r="D789" s="62" t="s">
        <v>268</v>
      </c>
      <c r="E789" s="62" t="s">
        <v>149</v>
      </c>
      <c r="F789" s="62" t="s">
        <v>4</v>
      </c>
      <c r="G789">
        <v>706</v>
      </c>
      <c r="H789">
        <v>706</v>
      </c>
      <c r="I789" s="62" t="s">
        <v>506</v>
      </c>
      <c r="J789" s="62" t="s">
        <v>1789</v>
      </c>
      <c r="K789" s="62" t="s">
        <v>1789</v>
      </c>
      <c r="L789" s="62" t="s">
        <v>1110</v>
      </c>
    </row>
    <row r="790" spans="1:12" x14ac:dyDescent="0.35">
      <c r="A790">
        <v>10988</v>
      </c>
      <c r="B790" s="62" t="s">
        <v>296</v>
      </c>
      <c r="C790" s="62" t="s">
        <v>491</v>
      </c>
      <c r="D790" s="62" t="s">
        <v>295</v>
      </c>
      <c r="E790" s="62" t="s">
        <v>149</v>
      </c>
      <c r="F790" s="62" t="s">
        <v>5</v>
      </c>
      <c r="G790">
        <v>8550</v>
      </c>
      <c r="I790" s="62" t="s">
        <v>506</v>
      </c>
      <c r="J790" s="62" t="s">
        <v>1752</v>
      </c>
      <c r="K790" s="62" t="s">
        <v>1752</v>
      </c>
      <c r="L790" s="62" t="s">
        <v>1110</v>
      </c>
    </row>
    <row r="791" spans="1:12" x14ac:dyDescent="0.35">
      <c r="A791">
        <v>12413</v>
      </c>
      <c r="B791" s="62" t="s">
        <v>239</v>
      </c>
      <c r="C791" s="62" t="s">
        <v>487</v>
      </c>
      <c r="D791" s="62" t="s">
        <v>237</v>
      </c>
      <c r="E791" s="62" t="s">
        <v>149</v>
      </c>
      <c r="F791" s="62" t="s">
        <v>6</v>
      </c>
      <c r="G791">
        <v>594</v>
      </c>
      <c r="H791">
        <v>594</v>
      </c>
      <c r="I791" s="62" t="s">
        <v>506</v>
      </c>
      <c r="J791" s="62" t="s">
        <v>1753</v>
      </c>
      <c r="K791" s="62" t="s">
        <v>1753</v>
      </c>
      <c r="L791" s="62" t="s">
        <v>1110</v>
      </c>
    </row>
    <row r="792" spans="1:12" x14ac:dyDescent="0.35">
      <c r="A792">
        <v>12413</v>
      </c>
      <c r="B792" s="62" t="s">
        <v>239</v>
      </c>
      <c r="C792" s="62" t="s">
        <v>487</v>
      </c>
      <c r="D792" s="62" t="s">
        <v>237</v>
      </c>
      <c r="E792" s="62" t="s">
        <v>149</v>
      </c>
      <c r="F792" s="62" t="s">
        <v>508</v>
      </c>
      <c r="G792">
        <v>320</v>
      </c>
      <c r="I792" s="62" t="s">
        <v>507</v>
      </c>
      <c r="J792" s="62" t="s">
        <v>1754</v>
      </c>
      <c r="K792" s="62" t="s">
        <v>1754</v>
      </c>
      <c r="L792" s="62" t="s">
        <v>1110</v>
      </c>
    </row>
    <row r="793" spans="1:12" x14ac:dyDescent="0.35">
      <c r="A793">
        <v>12413</v>
      </c>
      <c r="B793" s="62" t="s">
        <v>239</v>
      </c>
      <c r="C793" s="62" t="s">
        <v>487</v>
      </c>
      <c r="D793" s="62" t="s">
        <v>237</v>
      </c>
      <c r="E793" s="62" t="s">
        <v>149</v>
      </c>
      <c r="F793" s="62" t="s">
        <v>4</v>
      </c>
      <c r="G793">
        <v>1823</v>
      </c>
      <c r="H793">
        <v>1823</v>
      </c>
      <c r="I793" s="62" t="s">
        <v>506</v>
      </c>
      <c r="J793" s="62" t="s">
        <v>1755</v>
      </c>
      <c r="K793" s="62" t="s">
        <v>1755</v>
      </c>
      <c r="L793" s="62" t="s">
        <v>1110</v>
      </c>
    </row>
    <row r="794" spans="1:12" x14ac:dyDescent="0.35">
      <c r="A794">
        <v>12413</v>
      </c>
      <c r="B794" s="62" t="s">
        <v>239</v>
      </c>
      <c r="C794" s="62" t="s">
        <v>487</v>
      </c>
      <c r="D794" s="62" t="s">
        <v>237</v>
      </c>
      <c r="E794" s="62" t="s">
        <v>149</v>
      </c>
      <c r="F794" s="62" t="s">
        <v>5</v>
      </c>
      <c r="G794">
        <v>8013</v>
      </c>
      <c r="H794">
        <v>8013</v>
      </c>
      <c r="I794" s="62" t="s">
        <v>506</v>
      </c>
      <c r="J794" s="62" t="s">
        <v>1756</v>
      </c>
      <c r="K794" s="62" t="s">
        <v>1756</v>
      </c>
      <c r="L794" s="62" t="s">
        <v>1110</v>
      </c>
    </row>
    <row r="795" spans="1:12" x14ac:dyDescent="0.35">
      <c r="A795">
        <v>10267</v>
      </c>
      <c r="B795" s="62" t="s">
        <v>313</v>
      </c>
      <c r="C795" s="62" t="s">
        <v>492</v>
      </c>
      <c r="D795" s="62" t="s">
        <v>312</v>
      </c>
      <c r="E795" s="62" t="s">
        <v>149</v>
      </c>
      <c r="F795" s="62" t="s">
        <v>6</v>
      </c>
      <c r="G795">
        <v>68</v>
      </c>
      <c r="H795">
        <v>68</v>
      </c>
      <c r="I795" s="62" t="s">
        <v>506</v>
      </c>
      <c r="J795" s="62" t="s">
        <v>1757</v>
      </c>
      <c r="K795" s="62" t="s">
        <v>1757</v>
      </c>
      <c r="L795" s="62" t="s">
        <v>1110</v>
      </c>
    </row>
    <row r="796" spans="1:12" x14ac:dyDescent="0.35">
      <c r="A796">
        <v>10267</v>
      </c>
      <c r="B796" s="62" t="s">
        <v>313</v>
      </c>
      <c r="C796" s="62" t="s">
        <v>492</v>
      </c>
      <c r="D796" s="62" t="s">
        <v>312</v>
      </c>
      <c r="E796" s="62" t="s">
        <v>149</v>
      </c>
      <c r="F796" s="62" t="s">
        <v>508</v>
      </c>
      <c r="G796">
        <v>1513</v>
      </c>
      <c r="H796">
        <v>1513</v>
      </c>
      <c r="I796" s="62" t="s">
        <v>506</v>
      </c>
      <c r="J796" s="62" t="s">
        <v>1758</v>
      </c>
      <c r="K796" s="62" t="s">
        <v>1758</v>
      </c>
      <c r="L796" s="62" t="s">
        <v>1110</v>
      </c>
    </row>
    <row r="797" spans="1:12" x14ac:dyDescent="0.35">
      <c r="A797">
        <v>10602</v>
      </c>
      <c r="B797" s="62" t="s">
        <v>302</v>
      </c>
      <c r="C797" s="62" t="s">
        <v>491</v>
      </c>
      <c r="D797" s="62" t="s">
        <v>301</v>
      </c>
      <c r="E797" s="62" t="s">
        <v>149</v>
      </c>
      <c r="F797" s="62" t="s">
        <v>508</v>
      </c>
      <c r="G797">
        <v>1493</v>
      </c>
      <c r="I797" s="62" t="s">
        <v>507</v>
      </c>
      <c r="J797" s="62" t="s">
        <v>1700</v>
      </c>
      <c r="K797" s="62" t="s">
        <v>1700</v>
      </c>
      <c r="L797" s="62" t="s">
        <v>1110</v>
      </c>
    </row>
    <row r="798" spans="1:12" x14ac:dyDescent="0.35">
      <c r="A798">
        <v>10602</v>
      </c>
      <c r="B798" s="62" t="s">
        <v>302</v>
      </c>
      <c r="C798" s="62" t="s">
        <v>491</v>
      </c>
      <c r="D798" s="62" t="s">
        <v>301</v>
      </c>
      <c r="E798" s="62" t="s">
        <v>149</v>
      </c>
      <c r="F798" s="62" t="s">
        <v>4</v>
      </c>
      <c r="G798">
        <v>4079</v>
      </c>
      <c r="H798">
        <v>4079</v>
      </c>
      <c r="I798" s="62" t="s">
        <v>506</v>
      </c>
      <c r="J798" s="62" t="s">
        <v>1701</v>
      </c>
      <c r="K798" s="62" t="s">
        <v>1701</v>
      </c>
      <c r="L798" s="62" t="s">
        <v>1110</v>
      </c>
    </row>
    <row r="799" spans="1:12" x14ac:dyDescent="0.35">
      <c r="A799">
        <v>10602</v>
      </c>
      <c r="B799" s="62" t="s">
        <v>302</v>
      </c>
      <c r="C799" s="62" t="s">
        <v>491</v>
      </c>
      <c r="D799" s="62" t="s">
        <v>301</v>
      </c>
      <c r="E799" s="62" t="s">
        <v>149</v>
      </c>
      <c r="F799" s="62" t="s">
        <v>6</v>
      </c>
      <c r="G799">
        <v>64</v>
      </c>
      <c r="H799">
        <v>64</v>
      </c>
      <c r="I799" s="62" t="s">
        <v>506</v>
      </c>
      <c r="J799" s="62" t="s">
        <v>1702</v>
      </c>
      <c r="K799" s="62" t="s">
        <v>1702</v>
      </c>
      <c r="L799" s="62" t="s">
        <v>1110</v>
      </c>
    </row>
    <row r="800" spans="1:12" x14ac:dyDescent="0.35">
      <c r="A800">
        <v>10602</v>
      </c>
      <c r="B800" s="62" t="s">
        <v>302</v>
      </c>
      <c r="C800" s="62" t="s">
        <v>491</v>
      </c>
      <c r="D800" s="62" t="s">
        <v>301</v>
      </c>
      <c r="E800" s="62" t="s">
        <v>149</v>
      </c>
      <c r="F800" s="62" t="s">
        <v>5</v>
      </c>
      <c r="G800">
        <v>19145</v>
      </c>
      <c r="H800">
        <v>19145</v>
      </c>
      <c r="I800" s="62" t="s">
        <v>506</v>
      </c>
      <c r="J800" s="62" t="s">
        <v>1703</v>
      </c>
      <c r="K800" s="62" t="s">
        <v>1703</v>
      </c>
      <c r="L800" s="62" t="s">
        <v>1110</v>
      </c>
    </row>
    <row r="801" spans="1:12" x14ac:dyDescent="0.35">
      <c r="A801">
        <v>22152</v>
      </c>
      <c r="B801" s="62" t="s">
        <v>232</v>
      </c>
      <c r="C801" s="62" t="s">
        <v>487</v>
      </c>
      <c r="D801" s="62" t="s">
        <v>226</v>
      </c>
      <c r="E801" s="62" t="s">
        <v>149</v>
      </c>
      <c r="F801" s="62" t="s">
        <v>508</v>
      </c>
      <c r="G801">
        <v>216</v>
      </c>
      <c r="H801">
        <v>216</v>
      </c>
      <c r="I801" s="62" t="s">
        <v>506</v>
      </c>
      <c r="J801" s="62" t="s">
        <v>1704</v>
      </c>
      <c r="K801" s="62" t="s">
        <v>1704</v>
      </c>
      <c r="L801" s="62" t="s">
        <v>1110</v>
      </c>
    </row>
    <row r="802" spans="1:12" x14ac:dyDescent="0.35">
      <c r="A802">
        <v>22152</v>
      </c>
      <c r="B802" s="62" t="s">
        <v>232</v>
      </c>
      <c r="C802" s="62" t="s">
        <v>487</v>
      </c>
      <c r="D802" s="62" t="s">
        <v>226</v>
      </c>
      <c r="E802" s="62" t="s">
        <v>149</v>
      </c>
      <c r="F802" s="62" t="s">
        <v>6</v>
      </c>
      <c r="G802">
        <v>27</v>
      </c>
      <c r="I802" s="62" t="s">
        <v>506</v>
      </c>
      <c r="J802" s="62" t="s">
        <v>1705</v>
      </c>
      <c r="K802" s="62" t="s">
        <v>1705</v>
      </c>
      <c r="L802" s="62" t="s">
        <v>1110</v>
      </c>
    </row>
    <row r="803" spans="1:12" x14ac:dyDescent="0.35">
      <c r="A803">
        <v>22152</v>
      </c>
      <c r="B803" s="62" t="s">
        <v>232</v>
      </c>
      <c r="C803" s="62" t="s">
        <v>487</v>
      </c>
      <c r="D803" s="62" t="s">
        <v>226</v>
      </c>
      <c r="E803" s="62" t="s">
        <v>149</v>
      </c>
      <c r="F803" s="62" t="s">
        <v>5</v>
      </c>
      <c r="G803">
        <v>1396</v>
      </c>
      <c r="H803">
        <v>1396</v>
      </c>
      <c r="I803" s="62" t="s">
        <v>506</v>
      </c>
      <c r="J803" s="62" t="s">
        <v>1706</v>
      </c>
      <c r="K803" s="62" t="s">
        <v>1706</v>
      </c>
      <c r="L803" s="62" t="s">
        <v>1110</v>
      </c>
    </row>
    <row r="804" spans="1:12" x14ac:dyDescent="0.35">
      <c r="A804">
        <v>22152</v>
      </c>
      <c r="B804" s="62" t="s">
        <v>232</v>
      </c>
      <c r="C804" s="62" t="s">
        <v>487</v>
      </c>
      <c r="D804" s="62" t="s">
        <v>226</v>
      </c>
      <c r="E804" s="62" t="s">
        <v>149</v>
      </c>
      <c r="F804" s="62" t="s">
        <v>4</v>
      </c>
      <c r="G804">
        <v>484</v>
      </c>
      <c r="H804">
        <v>484</v>
      </c>
      <c r="I804" s="62" t="s">
        <v>506</v>
      </c>
      <c r="J804" s="62" t="s">
        <v>1707</v>
      </c>
      <c r="K804" s="62" t="s">
        <v>1707</v>
      </c>
      <c r="L804" s="62" t="s">
        <v>1110</v>
      </c>
    </row>
    <row r="805" spans="1:12" x14ac:dyDescent="0.35">
      <c r="A805">
        <v>10603</v>
      </c>
      <c r="B805" s="62" t="s">
        <v>300</v>
      </c>
      <c r="C805" s="62" t="s">
        <v>491</v>
      </c>
      <c r="D805" s="62" t="s">
        <v>299</v>
      </c>
      <c r="E805" s="62" t="s">
        <v>149</v>
      </c>
      <c r="F805" s="62" t="s">
        <v>6</v>
      </c>
      <c r="G805">
        <v>94</v>
      </c>
      <c r="I805" s="62" t="s">
        <v>506</v>
      </c>
      <c r="J805" s="62" t="s">
        <v>1708</v>
      </c>
      <c r="K805" s="62" t="s">
        <v>1708</v>
      </c>
      <c r="L805" s="62" t="s">
        <v>1110</v>
      </c>
    </row>
    <row r="806" spans="1:12" x14ac:dyDescent="0.35">
      <c r="A806">
        <v>14553</v>
      </c>
      <c r="B806" s="62" t="s">
        <v>206</v>
      </c>
      <c r="C806" s="62" t="s">
        <v>486</v>
      </c>
      <c r="D806" s="62" t="s">
        <v>205</v>
      </c>
      <c r="E806" s="62" t="s">
        <v>149</v>
      </c>
      <c r="F806" s="62" t="s">
        <v>5</v>
      </c>
      <c r="G806">
        <v>13254</v>
      </c>
      <c r="H806">
        <v>13254</v>
      </c>
      <c r="I806" s="62" t="s">
        <v>506</v>
      </c>
      <c r="J806" s="62" t="s">
        <v>1709</v>
      </c>
      <c r="K806" s="62" t="s">
        <v>1709</v>
      </c>
      <c r="L806" s="62" t="s">
        <v>1110</v>
      </c>
    </row>
    <row r="807" spans="1:12" x14ac:dyDescent="0.35">
      <c r="A807">
        <v>14553</v>
      </c>
      <c r="B807" s="62" t="s">
        <v>206</v>
      </c>
      <c r="C807" s="62" t="s">
        <v>486</v>
      </c>
      <c r="D807" s="62" t="s">
        <v>205</v>
      </c>
      <c r="E807" s="62" t="s">
        <v>149</v>
      </c>
      <c r="F807" s="62" t="s">
        <v>6</v>
      </c>
      <c r="G807">
        <v>914</v>
      </c>
      <c r="I807" s="62" t="s">
        <v>507</v>
      </c>
      <c r="J807" s="62" t="s">
        <v>1710</v>
      </c>
      <c r="K807" s="62" t="s">
        <v>1710</v>
      </c>
      <c r="L807" s="62" t="s">
        <v>1110</v>
      </c>
    </row>
    <row r="808" spans="1:12" x14ac:dyDescent="0.35">
      <c r="A808">
        <v>14553</v>
      </c>
      <c r="B808" s="62" t="s">
        <v>206</v>
      </c>
      <c r="C808" s="62" t="s">
        <v>486</v>
      </c>
      <c r="D808" s="62" t="s">
        <v>205</v>
      </c>
      <c r="E808" s="62" t="s">
        <v>149</v>
      </c>
      <c r="F808" s="62" t="s">
        <v>508</v>
      </c>
      <c r="G808">
        <v>1518</v>
      </c>
      <c r="I808" s="62" t="s">
        <v>507</v>
      </c>
      <c r="J808" s="62" t="s">
        <v>1711</v>
      </c>
      <c r="K808" s="62" t="s">
        <v>1711</v>
      </c>
      <c r="L808" s="62" t="s">
        <v>1110</v>
      </c>
    </row>
    <row r="809" spans="1:12" x14ac:dyDescent="0.35">
      <c r="A809">
        <v>14553</v>
      </c>
      <c r="B809" s="62" t="s">
        <v>759</v>
      </c>
      <c r="C809" s="62" t="s">
        <v>486</v>
      </c>
      <c r="D809" s="62" t="s">
        <v>205</v>
      </c>
      <c r="E809" s="62" t="s">
        <v>149</v>
      </c>
      <c r="F809" s="62" t="s">
        <v>4</v>
      </c>
      <c r="G809">
        <v>1528</v>
      </c>
      <c r="H809">
        <v>1528</v>
      </c>
      <c r="I809" s="62" t="s">
        <v>506</v>
      </c>
      <c r="J809" s="62" t="s">
        <v>1712</v>
      </c>
      <c r="K809" s="62" t="s">
        <v>1712</v>
      </c>
      <c r="L809" s="62" t="s">
        <v>1110</v>
      </c>
    </row>
    <row r="810" spans="1:12" x14ac:dyDescent="0.35">
      <c r="A810">
        <v>17490</v>
      </c>
      <c r="B810" s="62" t="s">
        <v>309</v>
      </c>
      <c r="C810" s="62" t="s">
        <v>491</v>
      </c>
      <c r="D810" s="62" t="s">
        <v>308</v>
      </c>
      <c r="E810" s="62" t="s">
        <v>149</v>
      </c>
      <c r="F810" s="62" t="s">
        <v>508</v>
      </c>
      <c r="G810">
        <v>432</v>
      </c>
      <c r="H810">
        <v>432</v>
      </c>
      <c r="I810" s="62" t="s">
        <v>506</v>
      </c>
      <c r="J810" s="62" t="s">
        <v>1713</v>
      </c>
      <c r="K810" s="62" t="s">
        <v>1713</v>
      </c>
      <c r="L810" s="62" t="s">
        <v>1110</v>
      </c>
    </row>
    <row r="811" spans="1:12" x14ac:dyDescent="0.35">
      <c r="A811">
        <v>10603</v>
      </c>
      <c r="B811" s="62" t="s">
        <v>300</v>
      </c>
      <c r="C811" s="62" t="s">
        <v>491</v>
      </c>
      <c r="D811" s="62" t="s">
        <v>299</v>
      </c>
      <c r="E811" s="62" t="s">
        <v>149</v>
      </c>
      <c r="F811" s="62" t="s">
        <v>4</v>
      </c>
      <c r="G811">
        <v>6851</v>
      </c>
      <c r="H811">
        <v>6851</v>
      </c>
      <c r="I811" s="62" t="s">
        <v>506</v>
      </c>
      <c r="J811" s="62" t="s">
        <v>1714</v>
      </c>
      <c r="K811" s="62" t="s">
        <v>1714</v>
      </c>
      <c r="L811" s="62" t="s">
        <v>1110</v>
      </c>
    </row>
    <row r="812" spans="1:12" x14ac:dyDescent="0.35">
      <c r="A812">
        <v>10603</v>
      </c>
      <c r="B812" s="62" t="s">
        <v>300</v>
      </c>
      <c r="C812" s="62" t="s">
        <v>491</v>
      </c>
      <c r="D812" s="62" t="s">
        <v>299</v>
      </c>
      <c r="E812" s="62" t="s">
        <v>149</v>
      </c>
      <c r="F812" s="62" t="s">
        <v>5</v>
      </c>
      <c r="G812">
        <v>14469</v>
      </c>
      <c r="H812">
        <v>14469</v>
      </c>
      <c r="I812" s="62" t="s">
        <v>506</v>
      </c>
      <c r="J812" s="62" t="s">
        <v>1715</v>
      </c>
      <c r="K812" s="62" t="s">
        <v>1715</v>
      </c>
      <c r="L812" s="62" t="s">
        <v>1110</v>
      </c>
    </row>
    <row r="813" spans="1:12" x14ac:dyDescent="0.35">
      <c r="A813">
        <v>10603</v>
      </c>
      <c r="B813" s="62" t="s">
        <v>300</v>
      </c>
      <c r="C813" s="62" t="s">
        <v>491</v>
      </c>
      <c r="D813" s="62" t="s">
        <v>299</v>
      </c>
      <c r="E813" s="62" t="s">
        <v>149</v>
      </c>
      <c r="F813" s="62" t="s">
        <v>508</v>
      </c>
      <c r="G813">
        <v>1457</v>
      </c>
      <c r="H813">
        <v>1400</v>
      </c>
      <c r="I813" s="62" t="s">
        <v>507</v>
      </c>
      <c r="J813" s="62" t="s">
        <v>1716</v>
      </c>
      <c r="K813" s="62" t="s">
        <v>1716</v>
      </c>
      <c r="L813" s="62" t="s">
        <v>1110</v>
      </c>
    </row>
    <row r="814" spans="1:12" x14ac:dyDescent="0.35">
      <c r="A814">
        <v>19963</v>
      </c>
      <c r="B814" s="62" t="s">
        <v>294</v>
      </c>
      <c r="C814" s="62" t="s">
        <v>491</v>
      </c>
      <c r="D814" s="62" t="s">
        <v>293</v>
      </c>
      <c r="E814" s="62" t="s">
        <v>149</v>
      </c>
      <c r="F814" s="62" t="s">
        <v>4</v>
      </c>
      <c r="G814">
        <v>1589</v>
      </c>
      <c r="H814">
        <v>1589</v>
      </c>
      <c r="I814" s="62" t="s">
        <v>506</v>
      </c>
      <c r="J814" s="62" t="s">
        <v>1717</v>
      </c>
      <c r="K814" s="62" t="s">
        <v>1717</v>
      </c>
      <c r="L814" s="62" t="s">
        <v>1110</v>
      </c>
    </row>
    <row r="815" spans="1:12" x14ac:dyDescent="0.35">
      <c r="A815">
        <v>19963</v>
      </c>
      <c r="B815" s="62" t="s">
        <v>760</v>
      </c>
      <c r="C815" s="62" t="s">
        <v>491</v>
      </c>
      <c r="D815" s="62" t="s">
        <v>293</v>
      </c>
      <c r="E815" s="62" t="s">
        <v>149</v>
      </c>
      <c r="F815" s="62" t="s">
        <v>6</v>
      </c>
      <c r="G815">
        <v>70</v>
      </c>
      <c r="H815">
        <v>70</v>
      </c>
      <c r="I815" s="62" t="s">
        <v>506</v>
      </c>
      <c r="J815" s="62" t="s">
        <v>1718</v>
      </c>
      <c r="K815" s="62" t="s">
        <v>1718</v>
      </c>
      <c r="L815" s="62" t="s">
        <v>1110</v>
      </c>
    </row>
    <row r="816" spans="1:12" x14ac:dyDescent="0.35">
      <c r="A816">
        <v>10267</v>
      </c>
      <c r="B816" s="62" t="s">
        <v>313</v>
      </c>
      <c r="C816" s="62" t="s">
        <v>492</v>
      </c>
      <c r="D816" s="62" t="s">
        <v>312</v>
      </c>
      <c r="E816" s="62" t="s">
        <v>149</v>
      </c>
      <c r="F816" s="62" t="s">
        <v>5</v>
      </c>
      <c r="G816">
        <v>9076</v>
      </c>
      <c r="H816">
        <v>9076</v>
      </c>
      <c r="I816" s="62" t="s">
        <v>506</v>
      </c>
      <c r="J816" s="62" t="s">
        <v>1719</v>
      </c>
      <c r="K816" s="62" t="s">
        <v>1719</v>
      </c>
      <c r="L816" s="62" t="s">
        <v>1110</v>
      </c>
    </row>
    <row r="817" spans="1:12" x14ac:dyDescent="0.35">
      <c r="A817">
        <v>15652</v>
      </c>
      <c r="B817" s="62" t="s">
        <v>316</v>
      </c>
      <c r="C817" s="62" t="s">
        <v>493</v>
      </c>
      <c r="D817" s="62" t="s">
        <v>315</v>
      </c>
      <c r="E817" s="62" t="s">
        <v>149</v>
      </c>
      <c r="F817" s="62" t="s">
        <v>6</v>
      </c>
      <c r="G817">
        <v>60</v>
      </c>
      <c r="H817">
        <v>60</v>
      </c>
      <c r="I817" s="62" t="s">
        <v>506</v>
      </c>
      <c r="J817" s="62" t="s">
        <v>1720</v>
      </c>
      <c r="K817" s="62" t="s">
        <v>1720</v>
      </c>
      <c r="L817" s="62" t="s">
        <v>1110</v>
      </c>
    </row>
    <row r="818" spans="1:12" x14ac:dyDescent="0.35">
      <c r="A818">
        <v>15652</v>
      </c>
      <c r="B818" s="62" t="s">
        <v>316</v>
      </c>
      <c r="C818" s="62" t="s">
        <v>493</v>
      </c>
      <c r="D818" s="62" t="s">
        <v>315</v>
      </c>
      <c r="E818" s="62" t="s">
        <v>149</v>
      </c>
      <c r="F818" s="62" t="s">
        <v>5</v>
      </c>
      <c r="G818">
        <v>6307</v>
      </c>
      <c r="H818">
        <v>6307</v>
      </c>
      <c r="I818" s="62" t="s">
        <v>506</v>
      </c>
      <c r="J818" s="62" t="s">
        <v>1721</v>
      </c>
      <c r="K818" s="62" t="s">
        <v>1721</v>
      </c>
      <c r="L818" s="62" t="s">
        <v>1110</v>
      </c>
    </row>
    <row r="819" spans="1:12" x14ac:dyDescent="0.35">
      <c r="A819">
        <v>19963</v>
      </c>
      <c r="B819" s="62" t="s">
        <v>760</v>
      </c>
      <c r="C819" s="62" t="s">
        <v>491</v>
      </c>
      <c r="D819" s="62" t="s">
        <v>293</v>
      </c>
      <c r="E819" s="62" t="s">
        <v>149</v>
      </c>
      <c r="F819" s="62" t="s">
        <v>5</v>
      </c>
      <c r="G819">
        <v>4202</v>
      </c>
      <c r="H819">
        <v>4202</v>
      </c>
      <c r="I819" s="62" t="s">
        <v>506</v>
      </c>
      <c r="J819" s="62" t="s">
        <v>1722</v>
      </c>
      <c r="K819" s="62" t="s">
        <v>1722</v>
      </c>
      <c r="L819" s="62" t="s">
        <v>1110</v>
      </c>
    </row>
    <row r="820" spans="1:12" x14ac:dyDescent="0.35">
      <c r="A820">
        <v>15652</v>
      </c>
      <c r="B820" s="62" t="s">
        <v>316</v>
      </c>
      <c r="C820" s="62" t="s">
        <v>493</v>
      </c>
      <c r="D820" s="62" t="s">
        <v>315</v>
      </c>
      <c r="E820" s="62" t="s">
        <v>149</v>
      </c>
      <c r="F820" s="62" t="s">
        <v>4</v>
      </c>
      <c r="G820">
        <v>1310</v>
      </c>
      <c r="H820">
        <v>1310</v>
      </c>
      <c r="I820" s="62" t="s">
        <v>506</v>
      </c>
      <c r="J820" s="62" t="s">
        <v>1723</v>
      </c>
      <c r="K820" s="62" t="s">
        <v>1723</v>
      </c>
      <c r="L820" s="62" t="s">
        <v>1110</v>
      </c>
    </row>
    <row r="821" spans="1:12" x14ac:dyDescent="0.35">
      <c r="A821">
        <v>10267</v>
      </c>
      <c r="B821" s="62" t="s">
        <v>313</v>
      </c>
      <c r="C821" s="62" t="s">
        <v>492</v>
      </c>
      <c r="D821" s="62" t="s">
        <v>312</v>
      </c>
      <c r="E821" s="62" t="s">
        <v>149</v>
      </c>
      <c r="F821" s="62" t="s">
        <v>4</v>
      </c>
      <c r="G821">
        <v>1331</v>
      </c>
      <c r="H821">
        <v>1331</v>
      </c>
      <c r="I821" s="62" t="s">
        <v>506</v>
      </c>
      <c r="J821" s="62" t="s">
        <v>1724</v>
      </c>
      <c r="K821" s="62" t="s">
        <v>1724</v>
      </c>
      <c r="L821" s="62" t="s">
        <v>1110</v>
      </c>
    </row>
    <row r="822" spans="1:12" x14ac:dyDescent="0.35">
      <c r="A822">
        <v>11041</v>
      </c>
      <c r="B822" s="62" t="s">
        <v>310</v>
      </c>
      <c r="C822" s="62" t="s">
        <v>491</v>
      </c>
      <c r="D822" s="62" t="s">
        <v>308</v>
      </c>
      <c r="E822" s="62" t="s">
        <v>149</v>
      </c>
      <c r="F822" s="62" t="s">
        <v>508</v>
      </c>
      <c r="G822">
        <v>263</v>
      </c>
      <c r="H822">
        <v>263</v>
      </c>
      <c r="I822" s="62" t="s">
        <v>506</v>
      </c>
      <c r="J822" s="62" t="s">
        <v>1725</v>
      </c>
      <c r="K822" s="62" t="s">
        <v>1725</v>
      </c>
      <c r="L822" s="62" t="s">
        <v>1110</v>
      </c>
    </row>
    <row r="823" spans="1:12" x14ac:dyDescent="0.35">
      <c r="A823">
        <v>12013</v>
      </c>
      <c r="B823" s="62" t="s">
        <v>381</v>
      </c>
      <c r="C823" s="62" t="s">
        <v>497</v>
      </c>
      <c r="D823" s="62" t="s">
        <v>379</v>
      </c>
      <c r="E823" s="62" t="s">
        <v>149</v>
      </c>
      <c r="F823" s="62" t="s">
        <v>6</v>
      </c>
      <c r="G823">
        <v>12</v>
      </c>
      <c r="H823">
        <v>12</v>
      </c>
      <c r="I823" s="62" t="s">
        <v>506</v>
      </c>
      <c r="J823" s="62" t="s">
        <v>1726</v>
      </c>
      <c r="K823" s="62" t="s">
        <v>1726</v>
      </c>
      <c r="L823" s="62" t="s">
        <v>1110</v>
      </c>
    </row>
    <row r="824" spans="1:12" x14ac:dyDescent="0.35">
      <c r="A824">
        <v>12013</v>
      </c>
      <c r="B824" s="62" t="s">
        <v>381</v>
      </c>
      <c r="C824" s="62" t="s">
        <v>497</v>
      </c>
      <c r="D824" s="62" t="s">
        <v>379</v>
      </c>
      <c r="E824" s="62" t="s">
        <v>149</v>
      </c>
      <c r="F824" s="62" t="s">
        <v>4</v>
      </c>
      <c r="G824">
        <v>90</v>
      </c>
      <c r="H824">
        <v>90</v>
      </c>
      <c r="I824" s="62" t="s">
        <v>506</v>
      </c>
      <c r="J824" s="62" t="s">
        <v>1727</v>
      </c>
      <c r="K824" s="62" t="s">
        <v>1727</v>
      </c>
      <c r="L824" s="62" t="s">
        <v>1110</v>
      </c>
    </row>
    <row r="825" spans="1:12" x14ac:dyDescent="0.35">
      <c r="A825">
        <v>20579</v>
      </c>
      <c r="B825" s="62" t="s">
        <v>382</v>
      </c>
      <c r="C825" s="62" t="s">
        <v>497</v>
      </c>
      <c r="D825" s="62" t="s">
        <v>379</v>
      </c>
      <c r="E825" s="62" t="s">
        <v>149</v>
      </c>
      <c r="F825" s="62" t="s">
        <v>6</v>
      </c>
      <c r="G825">
        <v>4</v>
      </c>
      <c r="I825" s="62" t="s">
        <v>507</v>
      </c>
      <c r="J825" s="62" t="s">
        <v>1728</v>
      </c>
      <c r="K825" s="62" t="s">
        <v>1728</v>
      </c>
      <c r="L825" s="62" t="s">
        <v>1110</v>
      </c>
    </row>
    <row r="826" spans="1:12" x14ac:dyDescent="0.35">
      <c r="A826">
        <v>20579</v>
      </c>
      <c r="B826" s="62" t="s">
        <v>382</v>
      </c>
      <c r="C826" s="62" t="s">
        <v>497</v>
      </c>
      <c r="D826" s="62" t="s">
        <v>379</v>
      </c>
      <c r="E826" s="62" t="s">
        <v>149</v>
      </c>
      <c r="F826" s="62" t="s">
        <v>5</v>
      </c>
      <c r="G826">
        <v>1065</v>
      </c>
      <c r="H826">
        <v>1065</v>
      </c>
      <c r="I826" s="62" t="s">
        <v>506</v>
      </c>
      <c r="J826" s="62" t="s">
        <v>1729</v>
      </c>
      <c r="K826" s="62" t="s">
        <v>1729</v>
      </c>
      <c r="L826" s="62" t="s">
        <v>1110</v>
      </c>
    </row>
    <row r="827" spans="1:12" x14ac:dyDescent="0.35">
      <c r="A827">
        <v>20579</v>
      </c>
      <c r="B827" s="62" t="s">
        <v>382</v>
      </c>
      <c r="C827" s="62" t="s">
        <v>497</v>
      </c>
      <c r="D827" s="62" t="s">
        <v>379</v>
      </c>
      <c r="E827" s="62" t="s">
        <v>149</v>
      </c>
      <c r="F827" s="62" t="s">
        <v>508</v>
      </c>
      <c r="G827">
        <v>159</v>
      </c>
      <c r="H827">
        <v>159</v>
      </c>
      <c r="I827" s="62" t="s">
        <v>506</v>
      </c>
      <c r="J827" s="62" t="s">
        <v>1730</v>
      </c>
      <c r="K827" s="62" t="s">
        <v>1730</v>
      </c>
      <c r="L827" s="62" t="s">
        <v>1110</v>
      </c>
    </row>
    <row r="828" spans="1:12" x14ac:dyDescent="0.35">
      <c r="A828">
        <v>20579</v>
      </c>
      <c r="B828" s="62" t="s">
        <v>382</v>
      </c>
      <c r="C828" s="62" t="s">
        <v>497</v>
      </c>
      <c r="D828" s="62" t="s">
        <v>379</v>
      </c>
      <c r="E828" s="62" t="s">
        <v>149</v>
      </c>
      <c r="F828" s="62" t="s">
        <v>4</v>
      </c>
      <c r="G828">
        <v>75</v>
      </c>
      <c r="H828">
        <v>75</v>
      </c>
      <c r="I828" s="62" t="s">
        <v>506</v>
      </c>
      <c r="J828" s="62" t="s">
        <v>1731</v>
      </c>
      <c r="K828" s="62" t="s">
        <v>1731</v>
      </c>
      <c r="L828" s="62" t="s">
        <v>1110</v>
      </c>
    </row>
    <row r="829" spans="1:12" x14ac:dyDescent="0.35">
      <c r="A829">
        <v>11041</v>
      </c>
      <c r="B829" s="62" t="s">
        <v>310</v>
      </c>
      <c r="C829" s="62" t="s">
        <v>491</v>
      </c>
      <c r="D829" s="62" t="s">
        <v>308</v>
      </c>
      <c r="E829" s="62" t="s">
        <v>149</v>
      </c>
      <c r="F829" s="62" t="s">
        <v>5</v>
      </c>
      <c r="G829">
        <v>3532</v>
      </c>
      <c r="H829">
        <v>3532</v>
      </c>
      <c r="I829" s="62" t="s">
        <v>506</v>
      </c>
      <c r="J829" s="62" t="s">
        <v>1732</v>
      </c>
      <c r="K829" s="62" t="s">
        <v>1732</v>
      </c>
      <c r="L829" s="62" t="s">
        <v>1110</v>
      </c>
    </row>
    <row r="830" spans="1:12" x14ac:dyDescent="0.35">
      <c r="A830">
        <v>11041</v>
      </c>
      <c r="B830" s="62" t="s">
        <v>310</v>
      </c>
      <c r="C830" s="62" t="s">
        <v>491</v>
      </c>
      <c r="D830" s="62" t="s">
        <v>308</v>
      </c>
      <c r="E830" s="62" t="s">
        <v>149</v>
      </c>
      <c r="F830" s="62" t="s">
        <v>6</v>
      </c>
      <c r="G830">
        <v>19</v>
      </c>
      <c r="H830">
        <v>19</v>
      </c>
      <c r="I830" s="62" t="s">
        <v>506</v>
      </c>
      <c r="J830" s="62" t="s">
        <v>1733</v>
      </c>
      <c r="K830" s="62" t="s">
        <v>1733</v>
      </c>
      <c r="L830" s="62" t="s">
        <v>1110</v>
      </c>
    </row>
    <row r="831" spans="1:12" x14ac:dyDescent="0.35">
      <c r="A831">
        <v>12251</v>
      </c>
      <c r="B831" s="62" t="s">
        <v>386</v>
      </c>
      <c r="C831" s="62" t="s">
        <v>497</v>
      </c>
      <c r="D831" s="62" t="s">
        <v>379</v>
      </c>
      <c r="E831" s="62" t="s">
        <v>149</v>
      </c>
      <c r="F831" s="62" t="s">
        <v>6</v>
      </c>
      <c r="G831">
        <v>4</v>
      </c>
      <c r="H831">
        <v>4</v>
      </c>
      <c r="I831" s="62" t="s">
        <v>506</v>
      </c>
      <c r="J831" s="62" t="s">
        <v>1734</v>
      </c>
      <c r="K831" s="62" t="s">
        <v>1734</v>
      </c>
      <c r="L831" s="62" t="s">
        <v>1110</v>
      </c>
    </row>
    <row r="832" spans="1:12" x14ac:dyDescent="0.35">
      <c r="A832">
        <v>17490</v>
      </c>
      <c r="B832" s="62" t="s">
        <v>309</v>
      </c>
      <c r="C832" s="62" t="s">
        <v>491</v>
      </c>
      <c r="D832" s="62" t="s">
        <v>308</v>
      </c>
      <c r="E832" s="62" t="s">
        <v>149</v>
      </c>
      <c r="F832" s="62" t="s">
        <v>6</v>
      </c>
      <c r="G832">
        <v>85</v>
      </c>
      <c r="H832">
        <v>85</v>
      </c>
      <c r="I832" s="62" t="s">
        <v>506</v>
      </c>
      <c r="J832" s="62" t="s">
        <v>1735</v>
      </c>
      <c r="K832" s="62" t="s">
        <v>1735</v>
      </c>
      <c r="L832" s="62" t="s">
        <v>1110</v>
      </c>
    </row>
    <row r="833" spans="1:12" x14ac:dyDescent="0.35">
      <c r="A833">
        <v>12251</v>
      </c>
      <c r="B833" s="62" t="s">
        <v>386</v>
      </c>
      <c r="C833" s="62" t="s">
        <v>497</v>
      </c>
      <c r="D833" s="62" t="s">
        <v>379</v>
      </c>
      <c r="E833" s="62" t="s">
        <v>149</v>
      </c>
      <c r="F833" s="62" t="s">
        <v>5</v>
      </c>
      <c r="G833">
        <v>1065</v>
      </c>
      <c r="H833">
        <v>1065</v>
      </c>
      <c r="I833" s="62" t="s">
        <v>506</v>
      </c>
      <c r="J833" s="62" t="s">
        <v>1736</v>
      </c>
      <c r="K833" s="62" t="s">
        <v>1736</v>
      </c>
      <c r="L833" s="62" t="s">
        <v>1110</v>
      </c>
    </row>
    <row r="834" spans="1:12" x14ac:dyDescent="0.35">
      <c r="A834">
        <v>12251</v>
      </c>
      <c r="B834" s="62" t="s">
        <v>386</v>
      </c>
      <c r="C834" s="62" t="s">
        <v>497</v>
      </c>
      <c r="D834" s="62" t="s">
        <v>379</v>
      </c>
      <c r="E834" s="62" t="s">
        <v>149</v>
      </c>
      <c r="F834" s="62" t="s">
        <v>508</v>
      </c>
      <c r="G834">
        <v>159</v>
      </c>
      <c r="H834">
        <v>159</v>
      </c>
      <c r="I834" s="62" t="s">
        <v>506</v>
      </c>
      <c r="J834" s="62" t="s">
        <v>1737</v>
      </c>
      <c r="K834" s="62" t="s">
        <v>1737</v>
      </c>
      <c r="L834" s="62" t="s">
        <v>1110</v>
      </c>
    </row>
    <row r="835" spans="1:12" x14ac:dyDescent="0.35">
      <c r="A835">
        <v>11041</v>
      </c>
      <c r="B835" s="62" t="s">
        <v>310</v>
      </c>
      <c r="C835" s="62" t="s">
        <v>491</v>
      </c>
      <c r="D835" s="62" t="s">
        <v>308</v>
      </c>
      <c r="E835" s="62" t="s">
        <v>149</v>
      </c>
      <c r="F835" s="62" t="s">
        <v>4</v>
      </c>
      <c r="G835">
        <v>1064</v>
      </c>
      <c r="H835">
        <v>1064</v>
      </c>
      <c r="I835" s="62" t="s">
        <v>506</v>
      </c>
      <c r="J835" s="62" t="s">
        <v>1738</v>
      </c>
      <c r="K835" s="62" t="s">
        <v>1738</v>
      </c>
      <c r="L835" s="62" t="s">
        <v>1110</v>
      </c>
    </row>
    <row r="836" spans="1:12" x14ac:dyDescent="0.35">
      <c r="A836">
        <v>17490</v>
      </c>
      <c r="B836" s="62" t="s">
        <v>309</v>
      </c>
      <c r="C836" s="62" t="s">
        <v>491</v>
      </c>
      <c r="D836" s="62" t="s">
        <v>308</v>
      </c>
      <c r="E836" s="62" t="s">
        <v>149</v>
      </c>
      <c r="F836" s="62" t="s">
        <v>5</v>
      </c>
      <c r="G836">
        <v>8784</v>
      </c>
      <c r="H836">
        <v>8784</v>
      </c>
      <c r="I836" s="62" t="s">
        <v>506</v>
      </c>
      <c r="J836" s="62" t="s">
        <v>1739</v>
      </c>
      <c r="K836" s="62" t="s">
        <v>1739</v>
      </c>
      <c r="L836" s="62" t="s">
        <v>1110</v>
      </c>
    </row>
    <row r="837" spans="1:12" x14ac:dyDescent="0.35">
      <c r="A837">
        <v>11970</v>
      </c>
      <c r="B837" s="62" t="s">
        <v>260</v>
      </c>
      <c r="C837" s="62" t="s">
        <v>758</v>
      </c>
      <c r="D837" s="62" t="s">
        <v>259</v>
      </c>
      <c r="E837" s="62" t="s">
        <v>149</v>
      </c>
      <c r="F837" s="62" t="s">
        <v>6</v>
      </c>
      <c r="G837">
        <v>1137</v>
      </c>
      <c r="H837">
        <v>1137</v>
      </c>
      <c r="I837" s="62" t="s">
        <v>506</v>
      </c>
      <c r="J837" s="62" t="s">
        <v>1740</v>
      </c>
      <c r="K837" s="62" t="s">
        <v>1740</v>
      </c>
      <c r="L837" s="62" t="s">
        <v>1110</v>
      </c>
    </row>
    <row r="838" spans="1:12" x14ac:dyDescent="0.35">
      <c r="A838">
        <v>11970</v>
      </c>
      <c r="B838" s="62" t="s">
        <v>260</v>
      </c>
      <c r="C838" s="62" t="s">
        <v>758</v>
      </c>
      <c r="D838" s="62" t="s">
        <v>259</v>
      </c>
      <c r="E838" s="62" t="s">
        <v>149</v>
      </c>
      <c r="F838" s="62" t="s">
        <v>5</v>
      </c>
      <c r="G838">
        <v>12517</v>
      </c>
      <c r="H838">
        <v>12517</v>
      </c>
      <c r="I838" s="62" t="s">
        <v>506</v>
      </c>
      <c r="J838" s="62" t="s">
        <v>1741</v>
      </c>
      <c r="K838" s="62" t="s">
        <v>1741</v>
      </c>
      <c r="L838" s="62" t="s">
        <v>1110</v>
      </c>
    </row>
    <row r="839" spans="1:12" x14ac:dyDescent="0.35">
      <c r="A839">
        <v>11970</v>
      </c>
      <c r="B839" s="62" t="s">
        <v>260</v>
      </c>
      <c r="C839" s="62" t="s">
        <v>758</v>
      </c>
      <c r="D839" s="62" t="s">
        <v>259</v>
      </c>
      <c r="E839" s="62" t="s">
        <v>149</v>
      </c>
      <c r="F839" s="62" t="s">
        <v>4</v>
      </c>
      <c r="G839">
        <v>6409</v>
      </c>
      <c r="H839">
        <v>6409</v>
      </c>
      <c r="I839" s="62" t="s">
        <v>506</v>
      </c>
      <c r="J839" s="62" t="s">
        <v>1742</v>
      </c>
      <c r="K839" s="62" t="s">
        <v>1742</v>
      </c>
      <c r="L839" s="62" t="s">
        <v>1110</v>
      </c>
    </row>
    <row r="840" spans="1:12" x14ac:dyDescent="0.35">
      <c r="A840">
        <v>17490</v>
      </c>
      <c r="B840" s="62" t="s">
        <v>309</v>
      </c>
      <c r="C840" s="62" t="s">
        <v>491</v>
      </c>
      <c r="D840" s="62" t="s">
        <v>308</v>
      </c>
      <c r="E840" s="62" t="s">
        <v>149</v>
      </c>
      <c r="F840" s="62" t="s">
        <v>4</v>
      </c>
      <c r="G840">
        <v>1261</v>
      </c>
      <c r="H840">
        <v>1261</v>
      </c>
      <c r="I840" s="62" t="s">
        <v>506</v>
      </c>
      <c r="J840" s="62" t="s">
        <v>1743</v>
      </c>
      <c r="K840" s="62" t="s">
        <v>1743</v>
      </c>
      <c r="L840" s="62" t="s">
        <v>1110</v>
      </c>
    </row>
    <row r="841" spans="1:12" x14ac:dyDescent="0.35">
      <c r="A841">
        <v>11970</v>
      </c>
      <c r="B841" s="62" t="s">
        <v>260</v>
      </c>
      <c r="C841" s="62" t="s">
        <v>758</v>
      </c>
      <c r="D841" s="62" t="s">
        <v>259</v>
      </c>
      <c r="E841" s="62" t="s">
        <v>149</v>
      </c>
      <c r="F841" s="62" t="s">
        <v>508</v>
      </c>
      <c r="G841">
        <v>2160</v>
      </c>
      <c r="H841">
        <v>1600</v>
      </c>
      <c r="I841" s="62" t="s">
        <v>507</v>
      </c>
      <c r="J841" s="62" t="s">
        <v>1744</v>
      </c>
      <c r="K841" s="62" t="s">
        <v>1744</v>
      </c>
      <c r="L841" s="62" t="s">
        <v>1110</v>
      </c>
    </row>
    <row r="842" spans="1:12" x14ac:dyDescent="0.35">
      <c r="A842">
        <v>17560</v>
      </c>
      <c r="B842" s="62" t="s">
        <v>326</v>
      </c>
      <c r="C842" s="62" t="s">
        <v>494</v>
      </c>
      <c r="D842" s="62" t="s">
        <v>318</v>
      </c>
      <c r="E842" s="62" t="s">
        <v>149</v>
      </c>
      <c r="F842" s="62" t="s">
        <v>6</v>
      </c>
      <c r="G842">
        <v>13</v>
      </c>
      <c r="H842">
        <v>13</v>
      </c>
      <c r="I842" s="62" t="s">
        <v>506</v>
      </c>
      <c r="J842" s="62" t="s">
        <v>1745</v>
      </c>
      <c r="K842" s="62" t="s">
        <v>1745</v>
      </c>
      <c r="L842" s="62" t="s">
        <v>1110</v>
      </c>
    </row>
    <row r="843" spans="1:12" x14ac:dyDescent="0.35">
      <c r="A843">
        <v>17560</v>
      </c>
      <c r="B843" s="62" t="s">
        <v>326</v>
      </c>
      <c r="C843" s="62" t="s">
        <v>494</v>
      </c>
      <c r="D843" s="62" t="s">
        <v>318</v>
      </c>
      <c r="E843" s="62" t="s">
        <v>149</v>
      </c>
      <c r="F843" s="62" t="s">
        <v>5</v>
      </c>
      <c r="G843">
        <v>3943</v>
      </c>
      <c r="H843">
        <v>3943</v>
      </c>
      <c r="I843" s="62" t="s">
        <v>506</v>
      </c>
      <c r="J843" s="62" t="s">
        <v>1746</v>
      </c>
      <c r="K843" s="62" t="s">
        <v>1746</v>
      </c>
      <c r="L843" s="62" t="s">
        <v>1110</v>
      </c>
    </row>
    <row r="844" spans="1:12" x14ac:dyDescent="0.35">
      <c r="A844">
        <v>17560</v>
      </c>
      <c r="B844" s="62" t="s">
        <v>326</v>
      </c>
      <c r="C844" s="62" t="s">
        <v>494</v>
      </c>
      <c r="D844" s="62" t="s">
        <v>318</v>
      </c>
      <c r="E844" s="62" t="s">
        <v>149</v>
      </c>
      <c r="F844" s="62" t="s">
        <v>4</v>
      </c>
      <c r="G844">
        <v>1083</v>
      </c>
      <c r="H844">
        <v>1083</v>
      </c>
      <c r="I844" s="62" t="s">
        <v>506</v>
      </c>
      <c r="J844" s="62" t="s">
        <v>1747</v>
      </c>
      <c r="K844" s="62" t="s">
        <v>1747</v>
      </c>
      <c r="L844" s="62" t="s">
        <v>1110</v>
      </c>
    </row>
    <row r="845" spans="1:12" x14ac:dyDescent="0.35">
      <c r="A845">
        <v>17560</v>
      </c>
      <c r="B845" s="62" t="s">
        <v>326</v>
      </c>
      <c r="C845" s="62" t="s">
        <v>494</v>
      </c>
      <c r="D845" s="62" t="s">
        <v>318</v>
      </c>
      <c r="E845" s="62" t="s">
        <v>149</v>
      </c>
      <c r="F845" s="62" t="s">
        <v>508</v>
      </c>
      <c r="G845">
        <v>713</v>
      </c>
      <c r="H845">
        <v>713</v>
      </c>
      <c r="I845" s="62" t="s">
        <v>506</v>
      </c>
      <c r="J845" s="62" t="s">
        <v>1748</v>
      </c>
      <c r="K845" s="62" t="s">
        <v>1748</v>
      </c>
      <c r="L845" s="62" t="s">
        <v>1110</v>
      </c>
    </row>
    <row r="846" spans="1:12" x14ac:dyDescent="0.35">
      <c r="A846">
        <v>12251</v>
      </c>
      <c r="B846" s="62" t="s">
        <v>386</v>
      </c>
      <c r="C846" s="62" t="s">
        <v>497</v>
      </c>
      <c r="D846" s="62" t="s">
        <v>379</v>
      </c>
      <c r="E846" s="62" t="s">
        <v>149</v>
      </c>
      <c r="F846" s="62" t="s">
        <v>4</v>
      </c>
      <c r="G846">
        <v>240</v>
      </c>
      <c r="H846">
        <v>240</v>
      </c>
      <c r="I846" s="62" t="s">
        <v>506</v>
      </c>
      <c r="J846" s="62" t="s">
        <v>1749</v>
      </c>
      <c r="K846" s="62" t="s">
        <v>1749</v>
      </c>
      <c r="L846" s="62" t="s">
        <v>1110</v>
      </c>
    </row>
    <row r="847" spans="1:12" x14ac:dyDescent="0.35">
      <c r="A847">
        <v>12306</v>
      </c>
      <c r="B847" s="62" t="s">
        <v>392</v>
      </c>
      <c r="C847" s="62" t="s">
        <v>498</v>
      </c>
      <c r="D847" s="62" t="s">
        <v>391</v>
      </c>
      <c r="E847" s="62" t="s">
        <v>149</v>
      </c>
      <c r="F847" s="62" t="s">
        <v>5</v>
      </c>
      <c r="G847">
        <v>3019</v>
      </c>
      <c r="H847">
        <v>3019</v>
      </c>
      <c r="I847" s="62" t="s">
        <v>506</v>
      </c>
      <c r="J847" s="62" t="s">
        <v>1597</v>
      </c>
      <c r="K847" s="62" t="s">
        <v>1597</v>
      </c>
      <c r="L847" s="62" t="s">
        <v>1110</v>
      </c>
    </row>
    <row r="848" spans="1:12" x14ac:dyDescent="0.35">
      <c r="A848">
        <v>11976</v>
      </c>
      <c r="B848" s="62" t="s">
        <v>176</v>
      </c>
      <c r="C848" s="62" t="s">
        <v>485</v>
      </c>
      <c r="D848" s="62" t="s">
        <v>175</v>
      </c>
      <c r="E848" s="62" t="s">
        <v>149</v>
      </c>
      <c r="F848" s="62" t="s">
        <v>4</v>
      </c>
      <c r="G848">
        <v>4977</v>
      </c>
      <c r="H848">
        <v>4977</v>
      </c>
      <c r="I848" s="62" t="s">
        <v>506</v>
      </c>
      <c r="J848" s="62" t="s">
        <v>1598</v>
      </c>
      <c r="K848" s="62" t="s">
        <v>1598</v>
      </c>
      <c r="L848" s="62" t="s">
        <v>1110</v>
      </c>
    </row>
    <row r="849" spans="1:12" x14ac:dyDescent="0.35">
      <c r="A849">
        <v>11976</v>
      </c>
      <c r="B849" s="62" t="s">
        <v>763</v>
      </c>
      <c r="C849" s="62" t="s">
        <v>485</v>
      </c>
      <c r="D849" s="62" t="s">
        <v>175</v>
      </c>
      <c r="E849" s="62" t="s">
        <v>149</v>
      </c>
      <c r="F849" s="62" t="s">
        <v>5</v>
      </c>
      <c r="G849">
        <v>18921</v>
      </c>
      <c r="H849">
        <v>18921</v>
      </c>
      <c r="I849" s="62" t="s">
        <v>506</v>
      </c>
      <c r="J849" s="62" t="s">
        <v>1599</v>
      </c>
      <c r="K849" s="62" t="s">
        <v>1599</v>
      </c>
      <c r="L849" s="62" t="s">
        <v>1110</v>
      </c>
    </row>
    <row r="850" spans="1:12" x14ac:dyDescent="0.35">
      <c r="A850">
        <v>11976</v>
      </c>
      <c r="B850" s="62" t="s">
        <v>763</v>
      </c>
      <c r="C850" s="62" t="s">
        <v>485</v>
      </c>
      <c r="D850" s="62" t="s">
        <v>175</v>
      </c>
      <c r="E850" s="62" t="s">
        <v>149</v>
      </c>
      <c r="F850" s="62" t="s">
        <v>6</v>
      </c>
      <c r="G850">
        <v>2202</v>
      </c>
      <c r="H850">
        <v>2200</v>
      </c>
      <c r="I850" s="62" t="s">
        <v>507</v>
      </c>
      <c r="J850" s="62" t="s">
        <v>1600</v>
      </c>
      <c r="K850" s="62" t="s">
        <v>1600</v>
      </c>
      <c r="L850" s="62" t="s">
        <v>1110</v>
      </c>
    </row>
    <row r="851" spans="1:12" x14ac:dyDescent="0.35">
      <c r="A851">
        <v>11976</v>
      </c>
      <c r="B851" s="62" t="s">
        <v>763</v>
      </c>
      <c r="C851" s="62" t="s">
        <v>485</v>
      </c>
      <c r="D851" s="62" t="s">
        <v>175</v>
      </c>
      <c r="E851" s="62" t="s">
        <v>149</v>
      </c>
      <c r="F851" s="62" t="s">
        <v>508</v>
      </c>
      <c r="G851">
        <v>2054</v>
      </c>
      <c r="H851">
        <v>2054</v>
      </c>
      <c r="I851" s="62" t="s">
        <v>506</v>
      </c>
      <c r="J851" s="62" t="s">
        <v>1601</v>
      </c>
      <c r="K851" s="62" t="s">
        <v>1601</v>
      </c>
      <c r="L851" s="62" t="s">
        <v>1110</v>
      </c>
    </row>
    <row r="852" spans="1:12" x14ac:dyDescent="0.35">
      <c r="A852">
        <v>12306</v>
      </c>
      <c r="B852" s="62" t="s">
        <v>392</v>
      </c>
      <c r="C852" s="62" t="s">
        <v>498</v>
      </c>
      <c r="D852" s="62" t="s">
        <v>391</v>
      </c>
      <c r="E852" s="62" t="s">
        <v>149</v>
      </c>
      <c r="F852" s="62" t="s">
        <v>4</v>
      </c>
      <c r="G852">
        <v>1076</v>
      </c>
      <c r="H852">
        <v>1076</v>
      </c>
      <c r="I852" s="62" t="s">
        <v>506</v>
      </c>
      <c r="J852" s="62" t="s">
        <v>1602</v>
      </c>
      <c r="K852" s="62" t="s">
        <v>1602</v>
      </c>
      <c r="L852" s="62" t="s">
        <v>1110</v>
      </c>
    </row>
    <row r="853" spans="1:12" x14ac:dyDescent="0.35">
      <c r="A853">
        <v>12241</v>
      </c>
      <c r="B853" s="62" t="s">
        <v>385</v>
      </c>
      <c r="C853" s="62" t="s">
        <v>497</v>
      </c>
      <c r="D853" s="62" t="s">
        <v>379</v>
      </c>
      <c r="E853" s="62" t="s">
        <v>149</v>
      </c>
      <c r="F853" s="62" t="s">
        <v>6</v>
      </c>
      <c r="G853">
        <v>4</v>
      </c>
      <c r="H853">
        <v>4</v>
      </c>
      <c r="I853" s="62" t="s">
        <v>506</v>
      </c>
      <c r="J853" s="62" t="s">
        <v>1573</v>
      </c>
      <c r="K853" s="62" t="s">
        <v>1573</v>
      </c>
      <c r="L853" s="62" t="s">
        <v>1110</v>
      </c>
    </row>
    <row r="854" spans="1:12" x14ac:dyDescent="0.35">
      <c r="A854">
        <v>12241</v>
      </c>
      <c r="B854" s="62" t="s">
        <v>385</v>
      </c>
      <c r="C854" s="62" t="s">
        <v>497</v>
      </c>
      <c r="D854" s="62" t="s">
        <v>379</v>
      </c>
      <c r="E854" s="62" t="s">
        <v>149</v>
      </c>
      <c r="F854" s="62" t="s">
        <v>508</v>
      </c>
      <c r="G854">
        <v>259</v>
      </c>
      <c r="H854">
        <v>259</v>
      </c>
      <c r="I854" s="62" t="s">
        <v>506</v>
      </c>
      <c r="J854" s="62" t="s">
        <v>1574</v>
      </c>
      <c r="K854" s="62" t="s">
        <v>1574</v>
      </c>
      <c r="L854" s="62" t="s">
        <v>1110</v>
      </c>
    </row>
    <row r="855" spans="1:12" x14ac:dyDescent="0.35">
      <c r="A855">
        <v>12241</v>
      </c>
      <c r="B855" s="62" t="s">
        <v>385</v>
      </c>
      <c r="C855" s="62" t="s">
        <v>497</v>
      </c>
      <c r="D855" s="62" t="s">
        <v>379</v>
      </c>
      <c r="E855" s="62" t="s">
        <v>149</v>
      </c>
      <c r="F855" s="62" t="s">
        <v>5</v>
      </c>
      <c r="G855">
        <v>2619</v>
      </c>
      <c r="H855">
        <v>2619</v>
      </c>
      <c r="I855" s="62" t="s">
        <v>506</v>
      </c>
      <c r="J855" s="62" t="s">
        <v>1575</v>
      </c>
      <c r="K855" s="62" t="s">
        <v>1575</v>
      </c>
      <c r="L855" s="62" t="s">
        <v>1110</v>
      </c>
    </row>
    <row r="856" spans="1:12" x14ac:dyDescent="0.35">
      <c r="A856">
        <v>12241</v>
      </c>
      <c r="B856" s="62" t="s">
        <v>385</v>
      </c>
      <c r="C856" s="62" t="s">
        <v>497</v>
      </c>
      <c r="D856" s="62" t="s">
        <v>379</v>
      </c>
      <c r="E856" s="62" t="s">
        <v>149</v>
      </c>
      <c r="F856" s="62" t="s">
        <v>4</v>
      </c>
      <c r="G856">
        <v>126</v>
      </c>
      <c r="H856">
        <v>126</v>
      </c>
      <c r="I856" s="62" t="s">
        <v>506</v>
      </c>
      <c r="J856" s="62" t="s">
        <v>1576</v>
      </c>
      <c r="K856" s="62" t="s">
        <v>1576</v>
      </c>
      <c r="L856" s="62" t="s">
        <v>1110</v>
      </c>
    </row>
    <row r="857" spans="1:12" x14ac:dyDescent="0.35">
      <c r="A857">
        <v>12306</v>
      </c>
      <c r="B857" s="62" t="s">
        <v>392</v>
      </c>
      <c r="C857" s="62" t="s">
        <v>498</v>
      </c>
      <c r="D857" s="62" t="s">
        <v>391</v>
      </c>
      <c r="E857" s="62" t="s">
        <v>149</v>
      </c>
      <c r="F857" s="62" t="s">
        <v>6</v>
      </c>
      <c r="G857">
        <v>480</v>
      </c>
      <c r="I857" s="62" t="s">
        <v>506</v>
      </c>
      <c r="J857" s="62" t="s">
        <v>1531</v>
      </c>
      <c r="K857" s="62" t="s">
        <v>1531</v>
      </c>
      <c r="L857" s="62" t="s">
        <v>1110</v>
      </c>
    </row>
    <row r="858" spans="1:12" x14ac:dyDescent="0.35">
      <c r="A858">
        <v>12306</v>
      </c>
      <c r="B858" s="62" t="s">
        <v>392</v>
      </c>
      <c r="C858" s="62" t="s">
        <v>498</v>
      </c>
      <c r="D858" s="62" t="s">
        <v>391</v>
      </c>
      <c r="E858" s="62" t="s">
        <v>149</v>
      </c>
      <c r="F858" s="62" t="s">
        <v>508</v>
      </c>
      <c r="G858">
        <v>936</v>
      </c>
      <c r="I858" s="62" t="s">
        <v>506</v>
      </c>
      <c r="J858" s="62" t="s">
        <v>1532</v>
      </c>
      <c r="K858" s="62" t="s">
        <v>1532</v>
      </c>
      <c r="L858" s="62" t="s">
        <v>1110</v>
      </c>
    </row>
    <row r="859" spans="1:12" x14ac:dyDescent="0.35">
      <c r="A859">
        <v>17431</v>
      </c>
      <c r="B859" s="62" t="s">
        <v>398</v>
      </c>
      <c r="C859" s="62" t="s">
        <v>498</v>
      </c>
      <c r="D859" s="62" t="s">
        <v>390</v>
      </c>
      <c r="E859" s="62" t="s">
        <v>149</v>
      </c>
      <c r="F859" s="62" t="s">
        <v>5</v>
      </c>
      <c r="G859">
        <v>2749</v>
      </c>
      <c r="H859">
        <v>2749</v>
      </c>
      <c r="I859" s="62" t="s">
        <v>506</v>
      </c>
      <c r="J859" s="62" t="s">
        <v>1533</v>
      </c>
      <c r="K859" s="62" t="s">
        <v>1533</v>
      </c>
      <c r="L859" s="62" t="s">
        <v>1110</v>
      </c>
    </row>
    <row r="860" spans="1:12" x14ac:dyDescent="0.35">
      <c r="A860">
        <v>17431</v>
      </c>
      <c r="B860" s="62" t="s">
        <v>398</v>
      </c>
      <c r="C860" s="62" t="s">
        <v>498</v>
      </c>
      <c r="D860" s="62" t="s">
        <v>390</v>
      </c>
      <c r="E860" s="62" t="s">
        <v>149</v>
      </c>
      <c r="F860" s="62" t="s">
        <v>508</v>
      </c>
      <c r="G860">
        <v>450</v>
      </c>
      <c r="I860" s="62" t="s">
        <v>507</v>
      </c>
      <c r="J860" s="62" t="s">
        <v>1534</v>
      </c>
      <c r="K860" s="62" t="s">
        <v>1534</v>
      </c>
      <c r="L860" s="62" t="s">
        <v>1110</v>
      </c>
    </row>
    <row r="861" spans="1:12" x14ac:dyDescent="0.35">
      <c r="A861">
        <v>17431</v>
      </c>
      <c r="B861" s="62" t="s">
        <v>398</v>
      </c>
      <c r="C861" s="62" t="s">
        <v>498</v>
      </c>
      <c r="D861" s="62" t="s">
        <v>390</v>
      </c>
      <c r="E861" s="62" t="s">
        <v>149</v>
      </c>
      <c r="F861" s="62" t="s">
        <v>4</v>
      </c>
      <c r="G861">
        <v>384</v>
      </c>
      <c r="H861">
        <v>384</v>
      </c>
      <c r="I861" s="62" t="s">
        <v>506</v>
      </c>
      <c r="J861" s="62" t="s">
        <v>1535</v>
      </c>
      <c r="K861" s="62" t="s">
        <v>1535</v>
      </c>
      <c r="L861" s="62" t="s">
        <v>1110</v>
      </c>
    </row>
    <row r="862" spans="1:12" x14ac:dyDescent="0.35">
      <c r="A862">
        <v>12190</v>
      </c>
      <c r="B862" s="62" t="s">
        <v>383</v>
      </c>
      <c r="C862" s="62" t="s">
        <v>497</v>
      </c>
      <c r="D862" s="62" t="s">
        <v>379</v>
      </c>
      <c r="E862" s="62" t="s">
        <v>149</v>
      </c>
      <c r="F862" s="62" t="s">
        <v>6</v>
      </c>
      <c r="G862">
        <v>11</v>
      </c>
      <c r="I862" s="62" t="s">
        <v>507</v>
      </c>
      <c r="J862" s="62" t="s">
        <v>1536</v>
      </c>
      <c r="K862" s="62" t="s">
        <v>1536</v>
      </c>
      <c r="L862" s="62" t="s">
        <v>1110</v>
      </c>
    </row>
    <row r="863" spans="1:12" x14ac:dyDescent="0.35">
      <c r="A863">
        <v>12190</v>
      </c>
      <c r="B863" s="62" t="s">
        <v>383</v>
      </c>
      <c r="C863" s="62" t="s">
        <v>497</v>
      </c>
      <c r="D863" s="62" t="s">
        <v>379</v>
      </c>
      <c r="E863" s="62" t="s">
        <v>149</v>
      </c>
      <c r="F863" s="62" t="s">
        <v>5</v>
      </c>
      <c r="G863">
        <v>2286</v>
      </c>
      <c r="I863" s="62" t="s">
        <v>506</v>
      </c>
      <c r="J863" s="62" t="s">
        <v>1537</v>
      </c>
      <c r="K863" s="62" t="s">
        <v>1537</v>
      </c>
      <c r="L863" s="62" t="s">
        <v>1110</v>
      </c>
    </row>
    <row r="864" spans="1:12" x14ac:dyDescent="0.35">
      <c r="A864">
        <v>12190</v>
      </c>
      <c r="B864" s="62" t="s">
        <v>383</v>
      </c>
      <c r="C864" s="62" t="s">
        <v>497</v>
      </c>
      <c r="D864" s="62" t="s">
        <v>379</v>
      </c>
      <c r="E864" s="62" t="s">
        <v>149</v>
      </c>
      <c r="F864" s="62" t="s">
        <v>508</v>
      </c>
      <c r="G864">
        <v>236</v>
      </c>
      <c r="I864" s="62" t="s">
        <v>507</v>
      </c>
      <c r="J864" s="62" t="s">
        <v>1538</v>
      </c>
      <c r="K864" s="62" t="s">
        <v>1538</v>
      </c>
      <c r="L864" s="62" t="s">
        <v>1110</v>
      </c>
    </row>
    <row r="865" spans="1:12" x14ac:dyDescent="0.35">
      <c r="A865">
        <v>12190</v>
      </c>
      <c r="B865" s="62" t="s">
        <v>383</v>
      </c>
      <c r="C865" s="62" t="s">
        <v>497</v>
      </c>
      <c r="D865" s="62" t="s">
        <v>379</v>
      </c>
      <c r="E865" s="62" t="s">
        <v>149</v>
      </c>
      <c r="F865" s="62" t="s">
        <v>4</v>
      </c>
      <c r="G865">
        <v>272</v>
      </c>
      <c r="H865">
        <v>272</v>
      </c>
      <c r="I865" s="62" t="s">
        <v>506</v>
      </c>
      <c r="J865" s="62" t="s">
        <v>1539</v>
      </c>
      <c r="K865" s="62" t="s">
        <v>1539</v>
      </c>
      <c r="L865" s="62" t="s">
        <v>1110</v>
      </c>
    </row>
    <row r="866" spans="1:12" x14ac:dyDescent="0.35">
      <c r="A866">
        <v>10221</v>
      </c>
      <c r="B866" s="62" t="s">
        <v>285</v>
      </c>
      <c r="C866" s="62" t="s">
        <v>489</v>
      </c>
      <c r="D866" s="62" t="s">
        <v>284</v>
      </c>
      <c r="E866" s="62" t="s">
        <v>149</v>
      </c>
      <c r="F866" s="62" t="s">
        <v>508</v>
      </c>
      <c r="G866">
        <v>386</v>
      </c>
      <c r="H866">
        <v>386</v>
      </c>
      <c r="I866" s="62" t="s">
        <v>506</v>
      </c>
      <c r="J866" s="62" t="s">
        <v>1512</v>
      </c>
      <c r="K866" s="62" t="s">
        <v>1512</v>
      </c>
      <c r="L866" s="62" t="s">
        <v>1110</v>
      </c>
    </row>
    <row r="867" spans="1:12" x14ac:dyDescent="0.35">
      <c r="A867">
        <v>10221</v>
      </c>
      <c r="B867" s="62" t="s">
        <v>285</v>
      </c>
      <c r="C867" s="62" t="s">
        <v>489</v>
      </c>
      <c r="D867" s="62" t="s">
        <v>284</v>
      </c>
      <c r="E867" s="62" t="s">
        <v>149</v>
      </c>
      <c r="F867" s="62" t="s">
        <v>6</v>
      </c>
      <c r="G867">
        <v>132</v>
      </c>
      <c r="H867">
        <v>132</v>
      </c>
      <c r="I867" s="62" t="s">
        <v>506</v>
      </c>
      <c r="J867" s="62" t="s">
        <v>1513</v>
      </c>
      <c r="K867" s="62" t="s">
        <v>1513</v>
      </c>
      <c r="L867" s="62" t="s">
        <v>1110</v>
      </c>
    </row>
    <row r="868" spans="1:12" x14ac:dyDescent="0.35">
      <c r="A868">
        <v>10221</v>
      </c>
      <c r="B868" s="62" t="s">
        <v>285</v>
      </c>
      <c r="C868" s="62" t="s">
        <v>489</v>
      </c>
      <c r="D868" s="62" t="s">
        <v>284</v>
      </c>
      <c r="E868" s="62" t="s">
        <v>149</v>
      </c>
      <c r="F868" s="62" t="s">
        <v>5</v>
      </c>
      <c r="G868">
        <v>2437</v>
      </c>
      <c r="H868">
        <v>2437</v>
      </c>
      <c r="I868" s="62" t="s">
        <v>506</v>
      </c>
      <c r="J868" s="62" t="s">
        <v>1514</v>
      </c>
      <c r="K868" s="62" t="s">
        <v>1514</v>
      </c>
      <c r="L868" s="62" t="s">
        <v>1110</v>
      </c>
    </row>
    <row r="869" spans="1:12" x14ac:dyDescent="0.35">
      <c r="A869">
        <v>10221</v>
      </c>
      <c r="B869" s="62" t="s">
        <v>285</v>
      </c>
      <c r="C869" s="62" t="s">
        <v>489</v>
      </c>
      <c r="D869" s="62" t="s">
        <v>284</v>
      </c>
      <c r="E869" s="62" t="s">
        <v>149</v>
      </c>
      <c r="F869" s="62" t="s">
        <v>4</v>
      </c>
      <c r="G869">
        <v>312</v>
      </c>
      <c r="H869">
        <v>312</v>
      </c>
      <c r="I869" s="62" t="s">
        <v>506</v>
      </c>
      <c r="J869" s="62" t="s">
        <v>1515</v>
      </c>
      <c r="K869" s="62" t="s">
        <v>1515</v>
      </c>
      <c r="L869" s="62" t="s">
        <v>1110</v>
      </c>
    </row>
    <row r="870" spans="1:12" x14ac:dyDescent="0.35">
      <c r="A870">
        <v>12604</v>
      </c>
      <c r="B870" s="62" t="s">
        <v>768</v>
      </c>
      <c r="C870" s="62" t="s">
        <v>497</v>
      </c>
      <c r="D870" s="62" t="s">
        <v>379</v>
      </c>
      <c r="E870" s="62" t="s">
        <v>149</v>
      </c>
      <c r="F870" s="62" t="s">
        <v>508</v>
      </c>
      <c r="G870">
        <v>1277</v>
      </c>
      <c r="H870">
        <v>1277</v>
      </c>
      <c r="I870" s="62" t="s">
        <v>506</v>
      </c>
      <c r="J870" s="62" t="s">
        <v>1516</v>
      </c>
      <c r="K870" s="62" t="s">
        <v>1516</v>
      </c>
      <c r="L870" s="62" t="s">
        <v>1110</v>
      </c>
    </row>
    <row r="871" spans="1:12" x14ac:dyDescent="0.35">
      <c r="A871">
        <v>12604</v>
      </c>
      <c r="B871" s="62" t="s">
        <v>387</v>
      </c>
      <c r="C871" s="62" t="s">
        <v>497</v>
      </c>
      <c r="D871" s="62" t="s">
        <v>379</v>
      </c>
      <c r="E871" s="62" t="s">
        <v>149</v>
      </c>
      <c r="F871" s="62" t="s">
        <v>4</v>
      </c>
      <c r="G871">
        <v>3092</v>
      </c>
      <c r="H871">
        <v>3092</v>
      </c>
      <c r="I871" s="62" t="s">
        <v>506</v>
      </c>
      <c r="J871" s="62" t="s">
        <v>1517</v>
      </c>
      <c r="K871" s="62" t="s">
        <v>1517</v>
      </c>
      <c r="L871" s="62" t="s">
        <v>1110</v>
      </c>
    </row>
    <row r="872" spans="1:12" x14ac:dyDescent="0.35">
      <c r="A872">
        <v>11124</v>
      </c>
      <c r="B872" s="62" t="s">
        <v>289</v>
      </c>
      <c r="C872" s="62" t="s">
        <v>490</v>
      </c>
      <c r="D872" s="62" t="s">
        <v>288</v>
      </c>
      <c r="E872" s="62" t="s">
        <v>149</v>
      </c>
      <c r="F872" s="62" t="s">
        <v>4</v>
      </c>
      <c r="G872">
        <v>3818</v>
      </c>
      <c r="H872">
        <v>3818</v>
      </c>
      <c r="I872" s="62" t="s">
        <v>506</v>
      </c>
      <c r="J872" s="62" t="s">
        <v>1518</v>
      </c>
      <c r="K872" s="62" t="s">
        <v>1518</v>
      </c>
      <c r="L872" s="62" t="s">
        <v>1110</v>
      </c>
    </row>
    <row r="873" spans="1:12" x14ac:dyDescent="0.35">
      <c r="A873">
        <v>11124</v>
      </c>
      <c r="B873" s="62" t="s">
        <v>289</v>
      </c>
      <c r="C873" s="62" t="s">
        <v>490</v>
      </c>
      <c r="D873" s="62" t="s">
        <v>288</v>
      </c>
      <c r="E873" s="62" t="s">
        <v>149</v>
      </c>
      <c r="F873" s="62" t="s">
        <v>5</v>
      </c>
      <c r="G873">
        <v>15229</v>
      </c>
      <c r="H873">
        <v>15229</v>
      </c>
      <c r="I873" s="62" t="s">
        <v>506</v>
      </c>
      <c r="J873" s="62" t="s">
        <v>1519</v>
      </c>
      <c r="K873" s="62" t="s">
        <v>1519</v>
      </c>
      <c r="L873" s="62" t="s">
        <v>1110</v>
      </c>
    </row>
    <row r="874" spans="1:12" x14ac:dyDescent="0.35">
      <c r="A874">
        <v>11124</v>
      </c>
      <c r="B874" s="62" t="s">
        <v>289</v>
      </c>
      <c r="C874" s="62" t="s">
        <v>490</v>
      </c>
      <c r="D874" s="62" t="s">
        <v>288</v>
      </c>
      <c r="E874" s="62" t="s">
        <v>149</v>
      </c>
      <c r="F874" s="62" t="s">
        <v>6</v>
      </c>
      <c r="G874">
        <v>33</v>
      </c>
      <c r="H874">
        <v>33</v>
      </c>
      <c r="I874" s="62" t="s">
        <v>506</v>
      </c>
      <c r="J874" s="62" t="s">
        <v>1520</v>
      </c>
      <c r="K874" s="62" t="s">
        <v>1520</v>
      </c>
      <c r="L874" s="62" t="s">
        <v>1110</v>
      </c>
    </row>
    <row r="875" spans="1:12" x14ac:dyDescent="0.35">
      <c r="A875">
        <v>11124</v>
      </c>
      <c r="B875" s="62" t="s">
        <v>289</v>
      </c>
      <c r="C875" s="62" t="s">
        <v>490</v>
      </c>
      <c r="D875" s="62" t="s">
        <v>288</v>
      </c>
      <c r="E875" s="62" t="s">
        <v>149</v>
      </c>
      <c r="F875" s="62" t="s">
        <v>508</v>
      </c>
      <c r="G875">
        <v>3643</v>
      </c>
      <c r="H875">
        <v>3400</v>
      </c>
      <c r="I875" s="62" t="s">
        <v>506</v>
      </c>
      <c r="J875" s="62" t="s">
        <v>1521</v>
      </c>
      <c r="K875" s="62" t="s">
        <v>1521</v>
      </c>
      <c r="L875" s="62" t="s">
        <v>1110</v>
      </c>
    </row>
    <row r="876" spans="1:12" x14ac:dyDescent="0.35">
      <c r="A876">
        <v>11069</v>
      </c>
      <c r="B876" s="62" t="s">
        <v>283</v>
      </c>
      <c r="C876" s="62" t="s">
        <v>489</v>
      </c>
      <c r="D876" s="62" t="s">
        <v>281</v>
      </c>
      <c r="E876" s="62" t="s">
        <v>149</v>
      </c>
      <c r="F876" s="62" t="s">
        <v>508</v>
      </c>
      <c r="G876">
        <v>362</v>
      </c>
      <c r="H876">
        <v>200</v>
      </c>
      <c r="I876" s="62" t="s">
        <v>507</v>
      </c>
      <c r="J876" s="62" t="s">
        <v>1522</v>
      </c>
      <c r="K876" s="62" t="s">
        <v>1522</v>
      </c>
      <c r="L876" s="62" t="s">
        <v>1110</v>
      </c>
    </row>
    <row r="877" spans="1:12" x14ac:dyDescent="0.35">
      <c r="A877">
        <v>11069</v>
      </c>
      <c r="B877" s="62" t="s">
        <v>283</v>
      </c>
      <c r="C877" s="62" t="s">
        <v>489</v>
      </c>
      <c r="D877" s="62" t="s">
        <v>281</v>
      </c>
      <c r="E877" s="62" t="s">
        <v>149</v>
      </c>
      <c r="F877" s="62" t="s">
        <v>6</v>
      </c>
      <c r="G877">
        <v>229</v>
      </c>
      <c r="H877">
        <v>229</v>
      </c>
      <c r="I877" s="62" t="s">
        <v>506</v>
      </c>
      <c r="J877" s="62" t="s">
        <v>1523</v>
      </c>
      <c r="K877" s="62" t="s">
        <v>1523</v>
      </c>
      <c r="L877" s="62" t="s">
        <v>1110</v>
      </c>
    </row>
    <row r="878" spans="1:12" x14ac:dyDescent="0.35">
      <c r="A878">
        <v>11069</v>
      </c>
      <c r="B878" s="62" t="s">
        <v>283</v>
      </c>
      <c r="C878" s="62" t="s">
        <v>489</v>
      </c>
      <c r="D878" s="62" t="s">
        <v>281</v>
      </c>
      <c r="E878" s="62" t="s">
        <v>149</v>
      </c>
      <c r="F878" s="62" t="s">
        <v>5</v>
      </c>
      <c r="G878">
        <v>282</v>
      </c>
      <c r="H878">
        <v>282</v>
      </c>
      <c r="I878" s="62" t="s">
        <v>506</v>
      </c>
      <c r="J878" s="62" t="s">
        <v>1524</v>
      </c>
      <c r="K878" s="62" t="s">
        <v>1524</v>
      </c>
      <c r="L878" s="62" t="s">
        <v>1110</v>
      </c>
    </row>
    <row r="879" spans="1:12" x14ac:dyDescent="0.35">
      <c r="A879">
        <v>11069</v>
      </c>
      <c r="B879" s="62" t="s">
        <v>283</v>
      </c>
      <c r="C879" s="62" t="s">
        <v>489</v>
      </c>
      <c r="D879" s="62" t="s">
        <v>281</v>
      </c>
      <c r="E879" s="62" t="s">
        <v>149</v>
      </c>
      <c r="F879" s="62" t="s">
        <v>4</v>
      </c>
      <c r="G879">
        <v>696</v>
      </c>
      <c r="H879">
        <v>696</v>
      </c>
      <c r="I879" s="62" t="s">
        <v>506</v>
      </c>
      <c r="J879" s="62" t="s">
        <v>1525</v>
      </c>
      <c r="K879" s="62" t="s">
        <v>1525</v>
      </c>
      <c r="L879" s="62" t="s">
        <v>1110</v>
      </c>
    </row>
    <row r="880" spans="1:12" x14ac:dyDescent="0.35">
      <c r="A880">
        <v>22085</v>
      </c>
      <c r="B880" s="62" t="s">
        <v>380</v>
      </c>
      <c r="C880" s="62" t="s">
        <v>497</v>
      </c>
      <c r="D880" s="62" t="s">
        <v>379</v>
      </c>
      <c r="E880" s="62" t="s">
        <v>149</v>
      </c>
      <c r="F880" s="62" t="s">
        <v>508</v>
      </c>
      <c r="G880">
        <v>474</v>
      </c>
      <c r="H880">
        <v>474</v>
      </c>
      <c r="I880" s="62" t="s">
        <v>506</v>
      </c>
      <c r="J880" s="62" t="s">
        <v>1526</v>
      </c>
      <c r="K880" s="62" t="s">
        <v>1526</v>
      </c>
      <c r="L880" s="62" t="s">
        <v>1110</v>
      </c>
    </row>
    <row r="881" spans="1:12" x14ac:dyDescent="0.35">
      <c r="A881">
        <v>22085</v>
      </c>
      <c r="B881" s="62" t="s">
        <v>380</v>
      </c>
      <c r="C881" s="62" t="s">
        <v>497</v>
      </c>
      <c r="D881" s="62" t="s">
        <v>379</v>
      </c>
      <c r="E881" s="62" t="s">
        <v>149</v>
      </c>
      <c r="F881" s="62" t="s">
        <v>6</v>
      </c>
      <c r="G881">
        <v>10</v>
      </c>
      <c r="H881">
        <v>10</v>
      </c>
      <c r="I881" s="62" t="s">
        <v>506</v>
      </c>
      <c r="J881" s="62" t="s">
        <v>1527</v>
      </c>
      <c r="K881" s="62" t="s">
        <v>1527</v>
      </c>
      <c r="L881" s="62" t="s">
        <v>1110</v>
      </c>
    </row>
    <row r="882" spans="1:12" x14ac:dyDescent="0.35">
      <c r="A882">
        <v>22085</v>
      </c>
      <c r="B882" s="62" t="s">
        <v>380</v>
      </c>
      <c r="C882" s="62" t="s">
        <v>497</v>
      </c>
      <c r="D882" s="62" t="s">
        <v>379</v>
      </c>
      <c r="E882" s="62" t="s">
        <v>149</v>
      </c>
      <c r="F882" s="62" t="s">
        <v>5</v>
      </c>
      <c r="G882">
        <v>1083</v>
      </c>
      <c r="H882">
        <v>1083</v>
      </c>
      <c r="I882" s="62" t="s">
        <v>506</v>
      </c>
      <c r="J882" s="62" t="s">
        <v>1528</v>
      </c>
      <c r="K882" s="62" t="s">
        <v>1528</v>
      </c>
      <c r="L882" s="62" t="s">
        <v>1110</v>
      </c>
    </row>
    <row r="883" spans="1:12" x14ac:dyDescent="0.35">
      <c r="A883">
        <v>22085</v>
      </c>
      <c r="B883" s="62" t="s">
        <v>380</v>
      </c>
      <c r="C883" s="62" t="s">
        <v>497</v>
      </c>
      <c r="D883" s="62" t="s">
        <v>379</v>
      </c>
      <c r="E883" s="62" t="s">
        <v>149</v>
      </c>
      <c r="F883" s="62" t="s">
        <v>4</v>
      </c>
      <c r="G883">
        <v>435</v>
      </c>
      <c r="H883">
        <v>435</v>
      </c>
      <c r="I883" s="62" t="s">
        <v>506</v>
      </c>
      <c r="J883" s="62" t="s">
        <v>1529</v>
      </c>
      <c r="K883" s="62" t="s">
        <v>1529</v>
      </c>
      <c r="L883" s="62" t="s">
        <v>1110</v>
      </c>
    </row>
    <row r="884" spans="1:12" x14ac:dyDescent="0.35">
      <c r="A884">
        <v>12502</v>
      </c>
      <c r="B884" s="62" t="s">
        <v>397</v>
      </c>
      <c r="C884" s="62" t="s">
        <v>498</v>
      </c>
      <c r="D884" s="62" t="s">
        <v>396</v>
      </c>
      <c r="E884" s="62" t="s">
        <v>149</v>
      </c>
      <c r="F884" s="62" t="s">
        <v>6</v>
      </c>
      <c r="G884">
        <v>12</v>
      </c>
      <c r="I884" s="62" t="s">
        <v>507</v>
      </c>
      <c r="J884" s="62" t="s">
        <v>1442</v>
      </c>
      <c r="K884" s="62" t="s">
        <v>1442</v>
      </c>
      <c r="L884" s="62" t="s">
        <v>1110</v>
      </c>
    </row>
    <row r="885" spans="1:12" x14ac:dyDescent="0.35">
      <c r="A885">
        <v>12502</v>
      </c>
      <c r="B885" s="62" t="s">
        <v>397</v>
      </c>
      <c r="C885" s="62" t="s">
        <v>498</v>
      </c>
      <c r="D885" s="62" t="s">
        <v>396</v>
      </c>
      <c r="E885" s="62" t="s">
        <v>149</v>
      </c>
      <c r="F885" s="62" t="s">
        <v>5</v>
      </c>
      <c r="G885">
        <v>2794</v>
      </c>
      <c r="H885">
        <v>2794</v>
      </c>
      <c r="I885" s="62" t="s">
        <v>506</v>
      </c>
      <c r="J885" s="62" t="s">
        <v>1443</v>
      </c>
      <c r="K885" s="62" t="s">
        <v>1443</v>
      </c>
      <c r="L885" s="62" t="s">
        <v>1110</v>
      </c>
    </row>
    <row r="886" spans="1:12" x14ac:dyDescent="0.35">
      <c r="A886">
        <v>12502</v>
      </c>
      <c r="B886" s="62" t="s">
        <v>397</v>
      </c>
      <c r="C886" s="62" t="s">
        <v>498</v>
      </c>
      <c r="D886" s="62" t="s">
        <v>396</v>
      </c>
      <c r="E886" s="62" t="s">
        <v>149</v>
      </c>
      <c r="F886" s="62" t="s">
        <v>508</v>
      </c>
      <c r="G886">
        <v>251</v>
      </c>
      <c r="I886" s="62" t="s">
        <v>507</v>
      </c>
      <c r="J886" s="62" t="s">
        <v>1444</v>
      </c>
      <c r="K886" s="62" t="s">
        <v>1444</v>
      </c>
      <c r="L886" s="62" t="s">
        <v>1110</v>
      </c>
    </row>
    <row r="887" spans="1:12" x14ac:dyDescent="0.35">
      <c r="A887">
        <v>12502</v>
      </c>
      <c r="B887" s="62" t="s">
        <v>397</v>
      </c>
      <c r="C887" s="62" t="s">
        <v>498</v>
      </c>
      <c r="D887" s="62" t="s">
        <v>396</v>
      </c>
      <c r="E887" s="62" t="s">
        <v>149</v>
      </c>
      <c r="F887" s="62" t="s">
        <v>4</v>
      </c>
      <c r="G887">
        <v>90</v>
      </c>
      <c r="H887">
        <v>90</v>
      </c>
      <c r="I887" s="62" t="s">
        <v>506</v>
      </c>
      <c r="J887" s="62" t="s">
        <v>1445</v>
      </c>
      <c r="K887" s="62" t="s">
        <v>1445</v>
      </c>
      <c r="L887" s="62" t="s">
        <v>1110</v>
      </c>
    </row>
    <row r="888" spans="1:12" x14ac:dyDescent="0.35">
      <c r="A888">
        <v>12569</v>
      </c>
      <c r="B888" s="62" t="s">
        <v>373</v>
      </c>
      <c r="C888" s="62" t="s">
        <v>497</v>
      </c>
      <c r="D888" s="62" t="s">
        <v>371</v>
      </c>
      <c r="E888" s="62" t="s">
        <v>149</v>
      </c>
      <c r="F888" s="62" t="s">
        <v>508</v>
      </c>
      <c r="G888">
        <v>745</v>
      </c>
      <c r="I888" s="62" t="s">
        <v>506</v>
      </c>
      <c r="J888" s="62" t="s">
        <v>1446</v>
      </c>
      <c r="K888" s="62" t="s">
        <v>1446</v>
      </c>
      <c r="L888" s="62" t="s">
        <v>1110</v>
      </c>
    </row>
    <row r="889" spans="1:12" x14ac:dyDescent="0.35">
      <c r="A889">
        <v>12569</v>
      </c>
      <c r="B889" s="62" t="s">
        <v>373</v>
      </c>
      <c r="C889" s="62" t="s">
        <v>497</v>
      </c>
      <c r="D889" s="62" t="s">
        <v>371</v>
      </c>
      <c r="E889" s="62" t="s">
        <v>149</v>
      </c>
      <c r="F889" s="62" t="s">
        <v>5</v>
      </c>
      <c r="G889">
        <v>3233</v>
      </c>
      <c r="H889">
        <v>3233</v>
      </c>
      <c r="I889" s="62" t="s">
        <v>506</v>
      </c>
      <c r="J889" s="62" t="s">
        <v>1447</v>
      </c>
      <c r="K889" s="62" t="s">
        <v>1447</v>
      </c>
      <c r="L889" s="62" t="s">
        <v>1110</v>
      </c>
    </row>
    <row r="890" spans="1:12" x14ac:dyDescent="0.35">
      <c r="A890">
        <v>12569</v>
      </c>
      <c r="B890" s="62" t="s">
        <v>373</v>
      </c>
      <c r="C890" s="62" t="s">
        <v>497</v>
      </c>
      <c r="D890" s="62" t="s">
        <v>371</v>
      </c>
      <c r="E890" s="62" t="s">
        <v>149</v>
      </c>
      <c r="F890" s="62" t="s">
        <v>4</v>
      </c>
      <c r="G890">
        <v>484</v>
      </c>
      <c r="H890">
        <v>484</v>
      </c>
      <c r="I890" s="62" t="s">
        <v>506</v>
      </c>
      <c r="J890" s="62" t="s">
        <v>1448</v>
      </c>
      <c r="K890" s="62" t="s">
        <v>1448</v>
      </c>
      <c r="L890" s="62" t="s">
        <v>1110</v>
      </c>
    </row>
    <row r="891" spans="1:12" x14ac:dyDescent="0.35">
      <c r="A891">
        <v>16742</v>
      </c>
      <c r="B891" s="62" t="s">
        <v>770</v>
      </c>
      <c r="C891" s="62" t="s">
        <v>499</v>
      </c>
      <c r="D891" s="62" t="s">
        <v>405</v>
      </c>
      <c r="E891" s="62" t="s">
        <v>149</v>
      </c>
      <c r="F891" s="62" t="s">
        <v>508</v>
      </c>
      <c r="G891">
        <v>226</v>
      </c>
      <c r="H891">
        <v>226</v>
      </c>
      <c r="I891" s="62" t="s">
        <v>506</v>
      </c>
      <c r="J891" s="62" t="s">
        <v>1449</v>
      </c>
      <c r="K891" s="62" t="s">
        <v>1449</v>
      </c>
      <c r="L891" s="62" t="s">
        <v>1110</v>
      </c>
    </row>
    <row r="892" spans="1:12" x14ac:dyDescent="0.35">
      <c r="A892">
        <v>16742</v>
      </c>
      <c r="B892" s="62" t="s">
        <v>770</v>
      </c>
      <c r="C892" s="62" t="s">
        <v>499</v>
      </c>
      <c r="D892" s="62" t="s">
        <v>405</v>
      </c>
      <c r="E892" s="62" t="s">
        <v>149</v>
      </c>
      <c r="F892" s="62" t="s">
        <v>6</v>
      </c>
      <c r="G892">
        <v>95</v>
      </c>
      <c r="H892">
        <v>95</v>
      </c>
      <c r="I892" s="62" t="s">
        <v>506</v>
      </c>
      <c r="J892" s="62" t="s">
        <v>1450</v>
      </c>
      <c r="K892" s="62" t="s">
        <v>1450</v>
      </c>
      <c r="L892" s="62" t="s">
        <v>1110</v>
      </c>
    </row>
    <row r="893" spans="1:12" x14ac:dyDescent="0.35">
      <c r="A893">
        <v>16995</v>
      </c>
      <c r="B893" s="62" t="s">
        <v>378</v>
      </c>
      <c r="C893" s="62" t="s">
        <v>497</v>
      </c>
      <c r="D893" s="62" t="s">
        <v>377</v>
      </c>
      <c r="E893" s="62" t="s">
        <v>149</v>
      </c>
      <c r="F893" s="62" t="s">
        <v>5</v>
      </c>
      <c r="G893">
        <v>1717</v>
      </c>
      <c r="H893">
        <v>1717</v>
      </c>
      <c r="I893" s="62" t="s">
        <v>506</v>
      </c>
      <c r="J893" s="62" t="s">
        <v>1451</v>
      </c>
      <c r="K893" s="62" t="s">
        <v>1451</v>
      </c>
      <c r="L893" s="62" t="s">
        <v>1110</v>
      </c>
    </row>
    <row r="894" spans="1:12" x14ac:dyDescent="0.35">
      <c r="A894">
        <v>16995</v>
      </c>
      <c r="B894" s="62" t="s">
        <v>378</v>
      </c>
      <c r="C894" s="62" t="s">
        <v>497</v>
      </c>
      <c r="D894" s="62" t="s">
        <v>377</v>
      </c>
      <c r="E894" s="62" t="s">
        <v>149</v>
      </c>
      <c r="F894" s="62" t="s">
        <v>4</v>
      </c>
      <c r="G894">
        <v>270</v>
      </c>
      <c r="H894">
        <v>270</v>
      </c>
      <c r="I894" s="62" t="s">
        <v>506</v>
      </c>
      <c r="J894" s="62" t="s">
        <v>1452</v>
      </c>
      <c r="K894" s="62" t="s">
        <v>1452</v>
      </c>
      <c r="L894" s="62" t="s">
        <v>1110</v>
      </c>
    </row>
    <row r="895" spans="1:12" x14ac:dyDescent="0.35">
      <c r="A895">
        <v>12213</v>
      </c>
      <c r="B895" s="62" t="s">
        <v>389</v>
      </c>
      <c r="C895" s="62" t="s">
        <v>497</v>
      </c>
      <c r="D895" s="62" t="s">
        <v>388</v>
      </c>
      <c r="E895" s="62" t="s">
        <v>149</v>
      </c>
      <c r="F895" s="62" t="s">
        <v>5</v>
      </c>
      <c r="G895">
        <v>1030</v>
      </c>
      <c r="H895">
        <v>1030</v>
      </c>
      <c r="I895" s="62" t="s">
        <v>506</v>
      </c>
      <c r="J895" s="62" t="s">
        <v>1453</v>
      </c>
      <c r="K895" s="62" t="s">
        <v>1453</v>
      </c>
      <c r="L895" s="62" t="s">
        <v>1110</v>
      </c>
    </row>
    <row r="896" spans="1:12" x14ac:dyDescent="0.35">
      <c r="A896">
        <v>12213</v>
      </c>
      <c r="B896" s="62" t="s">
        <v>389</v>
      </c>
      <c r="C896" s="62" t="s">
        <v>497</v>
      </c>
      <c r="D896" s="62" t="s">
        <v>388</v>
      </c>
      <c r="E896" s="62" t="s">
        <v>149</v>
      </c>
      <c r="F896" s="62" t="s">
        <v>508</v>
      </c>
      <c r="G896">
        <v>95</v>
      </c>
      <c r="H896">
        <v>95</v>
      </c>
      <c r="I896" s="62" t="s">
        <v>506</v>
      </c>
      <c r="J896" s="62" t="s">
        <v>1285</v>
      </c>
      <c r="K896" s="62" t="s">
        <v>1285</v>
      </c>
      <c r="L896" s="62" t="s">
        <v>1110</v>
      </c>
    </row>
    <row r="897" spans="1:12" x14ac:dyDescent="0.35">
      <c r="A897">
        <v>12213</v>
      </c>
      <c r="B897" s="62" t="s">
        <v>389</v>
      </c>
      <c r="C897" s="62" t="s">
        <v>497</v>
      </c>
      <c r="D897" s="62" t="s">
        <v>388</v>
      </c>
      <c r="E897" s="62" t="s">
        <v>149</v>
      </c>
      <c r="F897" s="62" t="s">
        <v>4</v>
      </c>
      <c r="G897">
        <v>147</v>
      </c>
      <c r="H897">
        <v>147</v>
      </c>
      <c r="I897" s="62" t="s">
        <v>506</v>
      </c>
      <c r="J897" s="62" t="s">
        <v>1454</v>
      </c>
      <c r="K897" s="62" t="s">
        <v>1454</v>
      </c>
      <c r="L897" s="62" t="s">
        <v>1110</v>
      </c>
    </row>
    <row r="898" spans="1:12" x14ac:dyDescent="0.35">
      <c r="A898">
        <v>11962</v>
      </c>
      <c r="B898" s="62" t="s">
        <v>394</v>
      </c>
      <c r="C898" s="62" t="s">
        <v>498</v>
      </c>
      <c r="D898" s="62" t="s">
        <v>393</v>
      </c>
      <c r="E898" s="62" t="s">
        <v>149</v>
      </c>
      <c r="F898" s="62" t="s">
        <v>5</v>
      </c>
      <c r="G898">
        <v>3287</v>
      </c>
      <c r="H898">
        <v>3287</v>
      </c>
      <c r="I898" s="62" t="s">
        <v>506</v>
      </c>
      <c r="J898" s="62" t="s">
        <v>1286</v>
      </c>
      <c r="K898" s="62" t="s">
        <v>1286</v>
      </c>
      <c r="L898" s="62" t="s">
        <v>1110</v>
      </c>
    </row>
    <row r="899" spans="1:12" x14ac:dyDescent="0.35">
      <c r="A899">
        <v>11962</v>
      </c>
      <c r="B899" s="62" t="s">
        <v>394</v>
      </c>
      <c r="C899" s="62" t="s">
        <v>498</v>
      </c>
      <c r="D899" s="62" t="s">
        <v>393</v>
      </c>
      <c r="E899" s="62" t="s">
        <v>149</v>
      </c>
      <c r="F899" s="62" t="s">
        <v>508</v>
      </c>
      <c r="G899">
        <v>695</v>
      </c>
      <c r="H899">
        <v>695</v>
      </c>
      <c r="I899" s="62" t="s">
        <v>506</v>
      </c>
      <c r="J899" s="62" t="s">
        <v>1287</v>
      </c>
      <c r="K899" s="62" t="s">
        <v>1287</v>
      </c>
      <c r="L899" s="62" t="s">
        <v>1110</v>
      </c>
    </row>
    <row r="900" spans="1:12" x14ac:dyDescent="0.35">
      <c r="A900">
        <v>11962</v>
      </c>
      <c r="B900" s="62" t="s">
        <v>394</v>
      </c>
      <c r="C900" s="62" t="s">
        <v>498</v>
      </c>
      <c r="D900" s="62" t="s">
        <v>393</v>
      </c>
      <c r="E900" s="62" t="s">
        <v>149</v>
      </c>
      <c r="F900" s="62" t="s">
        <v>6</v>
      </c>
      <c r="G900">
        <v>436</v>
      </c>
      <c r="H900">
        <v>436</v>
      </c>
      <c r="I900" s="62" t="s">
        <v>506</v>
      </c>
      <c r="J900" s="62" t="s">
        <v>1288</v>
      </c>
      <c r="K900" s="62" t="s">
        <v>1288</v>
      </c>
      <c r="L900" s="62" t="s">
        <v>1110</v>
      </c>
    </row>
    <row r="901" spans="1:12" x14ac:dyDescent="0.35">
      <c r="A901">
        <v>11962</v>
      </c>
      <c r="B901" s="62" t="s">
        <v>394</v>
      </c>
      <c r="C901" s="62" t="s">
        <v>498</v>
      </c>
      <c r="D901" s="62" t="s">
        <v>393</v>
      </c>
      <c r="E901" s="62" t="s">
        <v>149</v>
      </c>
      <c r="F901" s="62" t="s">
        <v>4</v>
      </c>
      <c r="G901">
        <v>746</v>
      </c>
      <c r="H901">
        <v>746</v>
      </c>
      <c r="I901" s="62" t="s">
        <v>506</v>
      </c>
      <c r="J901" s="62" t="s">
        <v>1289</v>
      </c>
      <c r="K901" s="62" t="s">
        <v>1289</v>
      </c>
      <c r="L901" s="62" t="s">
        <v>1110</v>
      </c>
    </row>
    <row r="902" spans="1:12" x14ac:dyDescent="0.35">
      <c r="A902">
        <v>12599</v>
      </c>
      <c r="B902" s="62" t="s">
        <v>376</v>
      </c>
      <c r="C902" s="62" t="s">
        <v>497</v>
      </c>
      <c r="D902" s="62" t="s">
        <v>374</v>
      </c>
      <c r="E902" s="62" t="s">
        <v>149</v>
      </c>
      <c r="F902" s="62" t="s">
        <v>5</v>
      </c>
      <c r="G902">
        <v>2884</v>
      </c>
      <c r="H902">
        <v>2884</v>
      </c>
      <c r="I902" s="62" t="s">
        <v>506</v>
      </c>
      <c r="J902" s="62" t="s">
        <v>1290</v>
      </c>
      <c r="K902" s="62" t="s">
        <v>1290</v>
      </c>
      <c r="L902" s="62" t="s">
        <v>1110</v>
      </c>
    </row>
    <row r="903" spans="1:12" x14ac:dyDescent="0.35">
      <c r="A903">
        <v>12599</v>
      </c>
      <c r="B903" s="62" t="s">
        <v>376</v>
      </c>
      <c r="C903" s="62" t="s">
        <v>497</v>
      </c>
      <c r="D903" s="62" t="s">
        <v>374</v>
      </c>
      <c r="E903" s="62" t="s">
        <v>149</v>
      </c>
      <c r="F903" s="62" t="s">
        <v>6</v>
      </c>
      <c r="G903">
        <v>9</v>
      </c>
      <c r="H903">
        <v>9</v>
      </c>
      <c r="I903" s="62" t="s">
        <v>506</v>
      </c>
      <c r="J903" s="62" t="s">
        <v>1291</v>
      </c>
      <c r="K903" s="62" t="s">
        <v>1291</v>
      </c>
      <c r="L903" s="62" t="s">
        <v>1110</v>
      </c>
    </row>
    <row r="904" spans="1:12" x14ac:dyDescent="0.35">
      <c r="A904">
        <v>12599</v>
      </c>
      <c r="B904" s="62" t="s">
        <v>376</v>
      </c>
      <c r="C904" s="62" t="s">
        <v>497</v>
      </c>
      <c r="D904" s="62" t="s">
        <v>374</v>
      </c>
      <c r="E904" s="62" t="s">
        <v>149</v>
      </c>
      <c r="F904" s="62" t="s">
        <v>508</v>
      </c>
      <c r="G904">
        <v>139</v>
      </c>
      <c r="I904" s="62" t="s">
        <v>507</v>
      </c>
      <c r="J904" s="62" t="s">
        <v>1292</v>
      </c>
      <c r="K904" s="62" t="s">
        <v>1292</v>
      </c>
      <c r="L904" s="62" t="s">
        <v>1110</v>
      </c>
    </row>
    <row r="905" spans="1:12" x14ac:dyDescent="0.35">
      <c r="A905">
        <v>12599</v>
      </c>
      <c r="B905" s="62" t="s">
        <v>376</v>
      </c>
      <c r="C905" s="62" t="s">
        <v>497</v>
      </c>
      <c r="D905" s="62" t="s">
        <v>374</v>
      </c>
      <c r="E905" s="62" t="s">
        <v>149</v>
      </c>
      <c r="F905" s="62" t="s">
        <v>4</v>
      </c>
      <c r="G905">
        <v>116</v>
      </c>
      <c r="H905">
        <v>116</v>
      </c>
      <c r="I905" s="62" t="s">
        <v>506</v>
      </c>
      <c r="J905" s="62" t="s">
        <v>1293</v>
      </c>
      <c r="K905" s="62" t="s">
        <v>1293</v>
      </c>
      <c r="L905" s="62" t="s">
        <v>1110</v>
      </c>
    </row>
    <row r="906" spans="1:12" x14ac:dyDescent="0.35">
      <c r="A906">
        <v>14394</v>
      </c>
      <c r="B906" s="62" t="s">
        <v>364</v>
      </c>
      <c r="C906" s="62" t="s">
        <v>495</v>
      </c>
      <c r="D906" s="62" t="s">
        <v>363</v>
      </c>
      <c r="E906" s="62" t="s">
        <v>149</v>
      </c>
      <c r="F906" s="62" t="s">
        <v>508</v>
      </c>
      <c r="G906">
        <v>370</v>
      </c>
      <c r="H906">
        <v>370</v>
      </c>
      <c r="I906" s="62" t="s">
        <v>506</v>
      </c>
      <c r="J906" s="62" t="s">
        <v>1294</v>
      </c>
      <c r="K906" s="62" t="s">
        <v>1294</v>
      </c>
      <c r="L906" s="62" t="s">
        <v>1110</v>
      </c>
    </row>
    <row r="907" spans="1:12" x14ac:dyDescent="0.35">
      <c r="A907">
        <v>12013</v>
      </c>
      <c r="B907" s="62" t="s">
        <v>381</v>
      </c>
      <c r="C907" s="62" t="s">
        <v>497</v>
      </c>
      <c r="D907" s="62" t="s">
        <v>379</v>
      </c>
      <c r="E907" s="62" t="s">
        <v>149</v>
      </c>
      <c r="F907" s="62" t="s">
        <v>5</v>
      </c>
      <c r="G907">
        <v>2794</v>
      </c>
      <c r="H907">
        <v>2794</v>
      </c>
      <c r="I907" s="62" t="s">
        <v>506</v>
      </c>
      <c r="J907" s="62" t="s">
        <v>1295</v>
      </c>
      <c r="K907" s="62" t="s">
        <v>1295</v>
      </c>
      <c r="L907" s="62" t="s">
        <v>1110</v>
      </c>
    </row>
    <row r="908" spans="1:12" x14ac:dyDescent="0.35">
      <c r="A908">
        <v>12013</v>
      </c>
      <c r="B908" s="62" t="s">
        <v>381</v>
      </c>
      <c r="C908" s="62" t="s">
        <v>497</v>
      </c>
      <c r="D908" s="62" t="s">
        <v>379</v>
      </c>
      <c r="E908" s="62" t="s">
        <v>149</v>
      </c>
      <c r="F908" s="62" t="s">
        <v>508</v>
      </c>
      <c r="G908">
        <v>251</v>
      </c>
      <c r="H908">
        <v>251</v>
      </c>
      <c r="I908" s="62" t="s">
        <v>506</v>
      </c>
      <c r="J908" s="62" t="s">
        <v>1296</v>
      </c>
      <c r="K908" s="62" t="s">
        <v>1296</v>
      </c>
      <c r="L908" s="62" t="s">
        <v>1110</v>
      </c>
    </row>
    <row r="909" spans="1:12" x14ac:dyDescent="0.35">
      <c r="A909">
        <v>12743</v>
      </c>
      <c r="B909" s="62" t="s">
        <v>187</v>
      </c>
      <c r="C909" s="62" t="s">
        <v>485</v>
      </c>
      <c r="D909" s="62" t="s">
        <v>175</v>
      </c>
      <c r="E909" s="62" t="s">
        <v>149</v>
      </c>
      <c r="F909" s="62" t="s">
        <v>508</v>
      </c>
      <c r="G909">
        <v>2077</v>
      </c>
      <c r="H909">
        <v>2077</v>
      </c>
      <c r="I909" s="62" t="s">
        <v>506</v>
      </c>
      <c r="J909" s="62" t="s">
        <v>1297</v>
      </c>
      <c r="K909" s="62" t="s">
        <v>1297</v>
      </c>
      <c r="L909" s="62" t="s">
        <v>1110</v>
      </c>
    </row>
    <row r="910" spans="1:12" x14ac:dyDescent="0.35">
      <c r="A910">
        <v>12743</v>
      </c>
      <c r="B910" s="62" t="s">
        <v>187</v>
      </c>
      <c r="C910" s="62" t="s">
        <v>485</v>
      </c>
      <c r="D910" s="62" t="s">
        <v>175</v>
      </c>
      <c r="E910" s="62" t="s">
        <v>149</v>
      </c>
      <c r="F910" s="62" t="s">
        <v>6</v>
      </c>
      <c r="G910">
        <v>337</v>
      </c>
      <c r="H910">
        <v>337</v>
      </c>
      <c r="I910" s="62" t="s">
        <v>506</v>
      </c>
      <c r="J910" s="62" t="s">
        <v>1298</v>
      </c>
      <c r="K910" s="62" t="s">
        <v>1298</v>
      </c>
      <c r="L910" s="62" t="s">
        <v>1110</v>
      </c>
    </row>
    <row r="911" spans="1:12" x14ac:dyDescent="0.35">
      <c r="A911">
        <v>12743</v>
      </c>
      <c r="B911" s="62" t="s">
        <v>187</v>
      </c>
      <c r="C911" s="62" t="s">
        <v>485</v>
      </c>
      <c r="D911" s="62" t="s">
        <v>175</v>
      </c>
      <c r="E911" s="62" t="s">
        <v>149</v>
      </c>
      <c r="F911" s="62" t="s">
        <v>5</v>
      </c>
      <c r="G911">
        <v>8177</v>
      </c>
      <c r="H911">
        <v>8177</v>
      </c>
      <c r="I911" s="62" t="s">
        <v>506</v>
      </c>
      <c r="J911" s="62" t="s">
        <v>1299</v>
      </c>
      <c r="K911" s="62" t="s">
        <v>1299</v>
      </c>
      <c r="L911" s="62" t="s">
        <v>1110</v>
      </c>
    </row>
    <row r="912" spans="1:12" x14ac:dyDescent="0.35">
      <c r="A912">
        <v>12604</v>
      </c>
      <c r="B912" s="62" t="s">
        <v>768</v>
      </c>
      <c r="C912" s="62" t="s">
        <v>497</v>
      </c>
      <c r="D912" s="62" t="s">
        <v>379</v>
      </c>
      <c r="E912" s="62" t="s">
        <v>149</v>
      </c>
      <c r="F912" s="62" t="s">
        <v>5</v>
      </c>
      <c r="G912">
        <v>12293</v>
      </c>
      <c r="H912">
        <v>12293</v>
      </c>
      <c r="I912" s="62" t="s">
        <v>506</v>
      </c>
      <c r="J912" s="62" t="s">
        <v>1300</v>
      </c>
      <c r="K912" s="62" t="s">
        <v>1300</v>
      </c>
      <c r="L912" s="62" t="s">
        <v>1110</v>
      </c>
    </row>
    <row r="913" spans="1:12" x14ac:dyDescent="0.35">
      <c r="A913">
        <v>16742</v>
      </c>
      <c r="B913" s="62" t="s">
        <v>770</v>
      </c>
      <c r="C913" s="62" t="s">
        <v>499</v>
      </c>
      <c r="D913" s="62" t="s">
        <v>405</v>
      </c>
      <c r="E913" s="62" t="s">
        <v>149</v>
      </c>
      <c r="F913" s="62" t="s">
        <v>5</v>
      </c>
      <c r="G913">
        <v>964</v>
      </c>
      <c r="H913">
        <v>964</v>
      </c>
      <c r="I913" s="62" t="s">
        <v>506</v>
      </c>
      <c r="J913" s="62" t="s">
        <v>1301</v>
      </c>
      <c r="K913" s="62" t="s">
        <v>1301</v>
      </c>
      <c r="L913" s="62" t="s">
        <v>1110</v>
      </c>
    </row>
    <row r="914" spans="1:12" x14ac:dyDescent="0.35">
      <c r="A914">
        <v>12604</v>
      </c>
      <c r="B914" s="62" t="s">
        <v>768</v>
      </c>
      <c r="C914" s="62" t="s">
        <v>497</v>
      </c>
      <c r="D914" s="62" t="s">
        <v>379</v>
      </c>
      <c r="E914" s="62" t="s">
        <v>149</v>
      </c>
      <c r="F914" s="62" t="s">
        <v>6</v>
      </c>
      <c r="G914">
        <v>1205</v>
      </c>
      <c r="H914">
        <v>1205</v>
      </c>
      <c r="I914" s="62" t="s">
        <v>506</v>
      </c>
      <c r="J914" s="62" t="s">
        <v>1302</v>
      </c>
      <c r="K914" s="62" t="s">
        <v>1302</v>
      </c>
      <c r="L914" s="62" t="s">
        <v>1110</v>
      </c>
    </row>
    <row r="915" spans="1:12" x14ac:dyDescent="0.35">
      <c r="A915">
        <v>12745</v>
      </c>
      <c r="B915" s="62" t="s">
        <v>402</v>
      </c>
      <c r="C915" s="62" t="s">
        <v>499</v>
      </c>
      <c r="D915" s="62" t="s">
        <v>401</v>
      </c>
      <c r="E915" s="62" t="s">
        <v>149</v>
      </c>
      <c r="F915" s="62" t="s">
        <v>508</v>
      </c>
      <c r="G915">
        <v>156</v>
      </c>
      <c r="H915">
        <v>156</v>
      </c>
      <c r="I915" s="62" t="s">
        <v>506</v>
      </c>
      <c r="J915" s="62" t="s">
        <v>1303</v>
      </c>
      <c r="K915" s="62" t="s">
        <v>1303</v>
      </c>
      <c r="L915" s="62" t="s">
        <v>1110</v>
      </c>
    </row>
    <row r="916" spans="1:12" x14ac:dyDescent="0.35">
      <c r="A916">
        <v>12745</v>
      </c>
      <c r="B916" s="62" t="s">
        <v>402</v>
      </c>
      <c r="C916" s="62" t="s">
        <v>499</v>
      </c>
      <c r="D916" s="62" t="s">
        <v>401</v>
      </c>
      <c r="E916" s="62" t="s">
        <v>149</v>
      </c>
      <c r="F916" s="62" t="s">
        <v>6</v>
      </c>
      <c r="G916">
        <v>189</v>
      </c>
      <c r="H916">
        <v>189</v>
      </c>
      <c r="I916" s="62" t="s">
        <v>506</v>
      </c>
      <c r="J916" s="62" t="s">
        <v>1304</v>
      </c>
      <c r="K916" s="62" t="s">
        <v>1304</v>
      </c>
      <c r="L916" s="62" t="s">
        <v>1110</v>
      </c>
    </row>
    <row r="917" spans="1:12" x14ac:dyDescent="0.35">
      <c r="A917">
        <v>12745</v>
      </c>
      <c r="B917" s="62" t="s">
        <v>402</v>
      </c>
      <c r="C917" s="62" t="s">
        <v>499</v>
      </c>
      <c r="D917" s="62" t="s">
        <v>401</v>
      </c>
      <c r="E917" s="62" t="s">
        <v>149</v>
      </c>
      <c r="F917" s="62" t="s">
        <v>5</v>
      </c>
      <c r="G917">
        <v>3131</v>
      </c>
      <c r="H917">
        <v>3131</v>
      </c>
      <c r="I917" s="62" t="s">
        <v>506</v>
      </c>
      <c r="J917" s="62" t="s">
        <v>1305</v>
      </c>
      <c r="K917" s="62" t="s">
        <v>1305</v>
      </c>
      <c r="L917" s="62" t="s">
        <v>1110</v>
      </c>
    </row>
    <row r="918" spans="1:12" x14ac:dyDescent="0.35">
      <c r="A918">
        <v>12743</v>
      </c>
      <c r="B918" s="62" t="s">
        <v>187</v>
      </c>
      <c r="C918" s="62" t="s">
        <v>485</v>
      </c>
      <c r="D918" s="62" t="s">
        <v>175</v>
      </c>
      <c r="E918" s="62" t="s">
        <v>149</v>
      </c>
      <c r="F918" s="62" t="s">
        <v>4</v>
      </c>
      <c r="G918">
        <v>809</v>
      </c>
      <c r="H918">
        <v>809</v>
      </c>
      <c r="I918" s="62" t="s">
        <v>506</v>
      </c>
      <c r="J918" s="62" t="s">
        <v>1306</v>
      </c>
      <c r="K918" s="62" t="s">
        <v>1306</v>
      </c>
      <c r="L918" s="62" t="s">
        <v>1110</v>
      </c>
    </row>
    <row r="919" spans="1:12" x14ac:dyDescent="0.35">
      <c r="A919">
        <v>16742</v>
      </c>
      <c r="B919" s="62" t="s">
        <v>406</v>
      </c>
      <c r="C919" s="62" t="s">
        <v>499</v>
      </c>
      <c r="D919" s="62" t="s">
        <v>405</v>
      </c>
      <c r="E919" s="62" t="s">
        <v>149</v>
      </c>
      <c r="F919" s="62" t="s">
        <v>4</v>
      </c>
      <c r="G919">
        <v>294</v>
      </c>
      <c r="H919">
        <v>294</v>
      </c>
      <c r="I919" s="62" t="s">
        <v>506</v>
      </c>
      <c r="J919" s="62" t="s">
        <v>1307</v>
      </c>
      <c r="K919" s="62" t="s">
        <v>1307</v>
      </c>
      <c r="L919" s="62" t="s">
        <v>1110</v>
      </c>
    </row>
    <row r="920" spans="1:12" x14ac:dyDescent="0.35">
      <c r="A920">
        <v>12745</v>
      </c>
      <c r="B920" s="62" t="s">
        <v>402</v>
      </c>
      <c r="C920" s="62" t="s">
        <v>499</v>
      </c>
      <c r="D920" s="62" t="s">
        <v>401</v>
      </c>
      <c r="E920" s="62" t="s">
        <v>149</v>
      </c>
      <c r="F920" s="62" t="s">
        <v>4</v>
      </c>
      <c r="G920">
        <v>335</v>
      </c>
      <c r="H920">
        <v>335</v>
      </c>
      <c r="I920" s="62" t="s">
        <v>506</v>
      </c>
      <c r="J920" s="62" t="s">
        <v>1308</v>
      </c>
      <c r="K920" s="62" t="s">
        <v>1308</v>
      </c>
      <c r="L920" s="62" t="s">
        <v>1110</v>
      </c>
    </row>
    <row r="921" spans="1:12" x14ac:dyDescent="0.35">
      <c r="A921">
        <v>10825</v>
      </c>
      <c r="B921" s="62" t="s">
        <v>306</v>
      </c>
      <c r="C921" s="62" t="s">
        <v>491</v>
      </c>
      <c r="D921" s="62" t="s">
        <v>304</v>
      </c>
      <c r="E921" s="62" t="s">
        <v>149</v>
      </c>
      <c r="F921" s="62" t="s">
        <v>4</v>
      </c>
      <c r="G921">
        <v>6822</v>
      </c>
      <c r="H921">
        <v>6822</v>
      </c>
      <c r="I921" s="62" t="s">
        <v>506</v>
      </c>
      <c r="J921" s="62" t="s">
        <v>1309</v>
      </c>
      <c r="K921" s="62" t="s">
        <v>1309</v>
      </c>
      <c r="L921" s="62" t="s">
        <v>1110</v>
      </c>
    </row>
    <row r="922" spans="1:12" x14ac:dyDescent="0.35">
      <c r="A922">
        <v>12489</v>
      </c>
      <c r="B922" s="62" t="s">
        <v>408</v>
      </c>
      <c r="C922" s="62" t="s">
        <v>499</v>
      </c>
      <c r="D922" s="62" t="s">
        <v>407</v>
      </c>
      <c r="E922" s="62" t="s">
        <v>149</v>
      </c>
      <c r="F922" s="62" t="s">
        <v>6</v>
      </c>
      <c r="G922">
        <v>718</v>
      </c>
      <c r="H922">
        <v>718</v>
      </c>
      <c r="I922" s="62" t="s">
        <v>506</v>
      </c>
      <c r="J922" s="62" t="s">
        <v>1310</v>
      </c>
      <c r="K922" s="62" t="s">
        <v>1310</v>
      </c>
      <c r="L922" s="62" t="s">
        <v>1110</v>
      </c>
    </row>
    <row r="923" spans="1:12" x14ac:dyDescent="0.35">
      <c r="A923">
        <v>12489</v>
      </c>
      <c r="B923" s="62" t="s">
        <v>408</v>
      </c>
      <c r="C923" s="62" t="s">
        <v>499</v>
      </c>
      <c r="D923" s="62" t="s">
        <v>407</v>
      </c>
      <c r="E923" s="62" t="s">
        <v>149</v>
      </c>
      <c r="F923" s="62" t="s">
        <v>5</v>
      </c>
      <c r="G923">
        <v>5609</v>
      </c>
      <c r="H923">
        <v>5609</v>
      </c>
      <c r="I923" s="62" t="s">
        <v>506</v>
      </c>
      <c r="J923" s="62" t="s">
        <v>1311</v>
      </c>
      <c r="K923" s="62" t="s">
        <v>1311</v>
      </c>
      <c r="L923" s="62" t="s">
        <v>1110</v>
      </c>
    </row>
    <row r="924" spans="1:12" x14ac:dyDescent="0.35">
      <c r="A924">
        <v>12489</v>
      </c>
      <c r="B924" s="62" t="s">
        <v>408</v>
      </c>
      <c r="C924" s="62" t="s">
        <v>499</v>
      </c>
      <c r="D924" s="62" t="s">
        <v>407</v>
      </c>
      <c r="E924" s="62" t="s">
        <v>149</v>
      </c>
      <c r="F924" s="62" t="s">
        <v>508</v>
      </c>
      <c r="G924">
        <v>409</v>
      </c>
      <c r="H924">
        <v>409</v>
      </c>
      <c r="I924" s="62" t="s">
        <v>506</v>
      </c>
      <c r="J924" s="62" t="s">
        <v>1312</v>
      </c>
      <c r="K924" s="62" t="s">
        <v>1312</v>
      </c>
      <c r="L924" s="62" t="s">
        <v>1110</v>
      </c>
    </row>
    <row r="925" spans="1:12" x14ac:dyDescent="0.35">
      <c r="A925">
        <v>10693</v>
      </c>
      <c r="B925" s="62" t="s">
        <v>303</v>
      </c>
      <c r="C925" s="62" t="s">
        <v>491</v>
      </c>
      <c r="D925" s="62" t="s">
        <v>301</v>
      </c>
      <c r="E925" s="62" t="s">
        <v>149</v>
      </c>
      <c r="F925" s="62" t="s">
        <v>508</v>
      </c>
      <c r="G925">
        <v>872</v>
      </c>
      <c r="H925">
        <v>872</v>
      </c>
      <c r="I925" s="62" t="s">
        <v>506</v>
      </c>
      <c r="J925" s="62" t="s">
        <v>1313</v>
      </c>
      <c r="K925" s="62" t="s">
        <v>1313</v>
      </c>
      <c r="L925" s="62" t="s">
        <v>1110</v>
      </c>
    </row>
    <row r="926" spans="1:12" x14ac:dyDescent="0.35">
      <c r="A926">
        <v>12489</v>
      </c>
      <c r="B926" s="62" t="s">
        <v>408</v>
      </c>
      <c r="C926" s="62" t="s">
        <v>499</v>
      </c>
      <c r="D926" s="62" t="s">
        <v>407</v>
      </c>
      <c r="E926" s="62" t="s">
        <v>149</v>
      </c>
      <c r="F926" s="62" t="s">
        <v>4</v>
      </c>
      <c r="G926">
        <v>848</v>
      </c>
      <c r="H926">
        <v>848</v>
      </c>
      <c r="I926" s="62" t="s">
        <v>506</v>
      </c>
      <c r="J926" s="62" t="s">
        <v>1314</v>
      </c>
      <c r="K926" s="62" t="s">
        <v>1314</v>
      </c>
      <c r="L926" s="62" t="s">
        <v>1110</v>
      </c>
    </row>
    <row r="927" spans="1:12" x14ac:dyDescent="0.35">
      <c r="A927">
        <v>10825</v>
      </c>
      <c r="B927" s="62" t="s">
        <v>306</v>
      </c>
      <c r="C927" s="62" t="s">
        <v>491</v>
      </c>
      <c r="D927" s="62" t="s">
        <v>304</v>
      </c>
      <c r="E927" s="62" t="s">
        <v>149</v>
      </c>
      <c r="F927" s="62" t="s">
        <v>5</v>
      </c>
      <c r="G927">
        <v>13587</v>
      </c>
      <c r="H927">
        <v>13587</v>
      </c>
      <c r="I927" s="62" t="s">
        <v>506</v>
      </c>
      <c r="J927" s="62" t="s">
        <v>1315</v>
      </c>
      <c r="K927" s="62" t="s">
        <v>1315</v>
      </c>
      <c r="L927" s="62" t="s">
        <v>1110</v>
      </c>
    </row>
    <row r="928" spans="1:12" x14ac:dyDescent="0.35">
      <c r="A928">
        <v>10825</v>
      </c>
      <c r="B928" s="62" t="s">
        <v>306</v>
      </c>
      <c r="C928" s="62" t="s">
        <v>491</v>
      </c>
      <c r="D928" s="62" t="s">
        <v>304</v>
      </c>
      <c r="E928" s="62" t="s">
        <v>149</v>
      </c>
      <c r="F928" s="62" t="s">
        <v>508</v>
      </c>
      <c r="G928">
        <v>1684</v>
      </c>
      <c r="H928">
        <v>1684</v>
      </c>
      <c r="I928" s="62" t="s">
        <v>506</v>
      </c>
      <c r="J928" s="62" t="s">
        <v>1316</v>
      </c>
      <c r="K928" s="62" t="s">
        <v>1316</v>
      </c>
      <c r="L928" s="62" t="s">
        <v>1110</v>
      </c>
    </row>
    <row r="929" spans="1:12" x14ac:dyDescent="0.35">
      <c r="A929">
        <v>14394</v>
      </c>
      <c r="B929" s="62" t="s">
        <v>364</v>
      </c>
      <c r="C929" s="62" t="s">
        <v>495</v>
      </c>
      <c r="D929" s="62" t="s">
        <v>363</v>
      </c>
      <c r="E929" s="62" t="s">
        <v>149</v>
      </c>
      <c r="F929" s="62" t="s">
        <v>6</v>
      </c>
      <c r="G929">
        <v>31</v>
      </c>
      <c r="H929">
        <v>31</v>
      </c>
      <c r="I929" s="62" t="s">
        <v>506</v>
      </c>
      <c r="J929" s="62" t="s">
        <v>1317</v>
      </c>
      <c r="K929" s="62" t="s">
        <v>1317</v>
      </c>
      <c r="L929" s="62" t="s">
        <v>1110</v>
      </c>
    </row>
    <row r="930" spans="1:12" x14ac:dyDescent="0.35">
      <c r="A930">
        <v>14394</v>
      </c>
      <c r="B930" s="62" t="s">
        <v>364</v>
      </c>
      <c r="C930" s="62" t="s">
        <v>495</v>
      </c>
      <c r="D930" s="62" t="s">
        <v>363</v>
      </c>
      <c r="E930" s="62" t="s">
        <v>149</v>
      </c>
      <c r="F930" s="62" t="s">
        <v>5</v>
      </c>
      <c r="G930">
        <v>3374</v>
      </c>
      <c r="H930">
        <v>3374</v>
      </c>
      <c r="I930" s="62" t="s">
        <v>506</v>
      </c>
      <c r="J930" s="62" t="s">
        <v>1318</v>
      </c>
      <c r="K930" s="62" t="s">
        <v>1318</v>
      </c>
      <c r="L930" s="62" t="s">
        <v>1110</v>
      </c>
    </row>
    <row r="931" spans="1:12" x14ac:dyDescent="0.35">
      <c r="A931">
        <v>17094</v>
      </c>
      <c r="B931" s="62" t="s">
        <v>298</v>
      </c>
      <c r="C931" s="62" t="s">
        <v>491</v>
      </c>
      <c r="D931" s="62" t="s">
        <v>297</v>
      </c>
      <c r="E931" s="62" t="s">
        <v>149</v>
      </c>
      <c r="F931" s="62" t="s">
        <v>4</v>
      </c>
      <c r="G931">
        <v>1361</v>
      </c>
      <c r="H931">
        <v>1361</v>
      </c>
      <c r="I931" s="62" t="s">
        <v>506</v>
      </c>
      <c r="J931" s="62" t="s">
        <v>1319</v>
      </c>
      <c r="K931" s="62" t="s">
        <v>1319</v>
      </c>
      <c r="L931" s="62" t="s">
        <v>1110</v>
      </c>
    </row>
    <row r="932" spans="1:12" x14ac:dyDescent="0.35">
      <c r="A932">
        <v>10693</v>
      </c>
      <c r="B932" s="62" t="s">
        <v>303</v>
      </c>
      <c r="C932" s="62" t="s">
        <v>491</v>
      </c>
      <c r="D932" s="62" t="s">
        <v>301</v>
      </c>
      <c r="E932" s="62" t="s">
        <v>149</v>
      </c>
      <c r="F932" s="62" t="s">
        <v>6</v>
      </c>
      <c r="G932">
        <v>598</v>
      </c>
      <c r="H932">
        <v>598</v>
      </c>
      <c r="I932" s="62" t="s">
        <v>506</v>
      </c>
      <c r="J932" s="62" t="s">
        <v>1320</v>
      </c>
      <c r="K932" s="62" t="s">
        <v>1320</v>
      </c>
      <c r="L932" s="62" t="s">
        <v>1110</v>
      </c>
    </row>
    <row r="933" spans="1:12" x14ac:dyDescent="0.35">
      <c r="A933">
        <v>14394</v>
      </c>
      <c r="B933" s="62" t="s">
        <v>778</v>
      </c>
      <c r="C933" s="62" t="s">
        <v>495</v>
      </c>
      <c r="D933" s="62" t="s">
        <v>363</v>
      </c>
      <c r="E933" s="62" t="s">
        <v>149</v>
      </c>
      <c r="F933" s="62" t="s">
        <v>4</v>
      </c>
      <c r="G933">
        <v>433</v>
      </c>
      <c r="H933">
        <v>433</v>
      </c>
      <c r="I933" s="62" t="s">
        <v>506</v>
      </c>
      <c r="J933" s="62" t="s">
        <v>1321</v>
      </c>
      <c r="K933" s="62" t="s">
        <v>1321</v>
      </c>
      <c r="L933" s="62" t="s">
        <v>1110</v>
      </c>
    </row>
    <row r="934" spans="1:12" x14ac:dyDescent="0.35">
      <c r="A934">
        <v>17094</v>
      </c>
      <c r="B934" s="62" t="s">
        <v>298</v>
      </c>
      <c r="C934" s="62" t="s">
        <v>491</v>
      </c>
      <c r="D934" s="62" t="s">
        <v>297</v>
      </c>
      <c r="E934" s="62" t="s">
        <v>149</v>
      </c>
      <c r="F934" s="62" t="s">
        <v>5</v>
      </c>
      <c r="G934">
        <v>2878</v>
      </c>
      <c r="H934">
        <v>2878</v>
      </c>
      <c r="I934" s="62" t="s">
        <v>506</v>
      </c>
      <c r="J934" s="62" t="s">
        <v>1322</v>
      </c>
      <c r="K934" s="62" t="s">
        <v>1322</v>
      </c>
      <c r="L934" s="62" t="s">
        <v>1110</v>
      </c>
    </row>
    <row r="935" spans="1:12" x14ac:dyDescent="0.35">
      <c r="A935">
        <v>17094</v>
      </c>
      <c r="B935" s="62" t="s">
        <v>298</v>
      </c>
      <c r="C935" s="62" t="s">
        <v>491</v>
      </c>
      <c r="D935" s="62" t="s">
        <v>297</v>
      </c>
      <c r="E935" s="62" t="s">
        <v>149</v>
      </c>
      <c r="F935" s="62" t="s">
        <v>6</v>
      </c>
      <c r="G935">
        <v>303</v>
      </c>
      <c r="H935">
        <v>200</v>
      </c>
      <c r="I935" s="62" t="s">
        <v>506</v>
      </c>
      <c r="J935" s="62" t="s">
        <v>1323</v>
      </c>
      <c r="K935" s="62" t="s">
        <v>1323</v>
      </c>
      <c r="L935" s="62" t="s">
        <v>1110</v>
      </c>
    </row>
    <row r="936" spans="1:12" x14ac:dyDescent="0.35">
      <c r="A936">
        <v>17094</v>
      </c>
      <c r="B936" s="62" t="s">
        <v>298</v>
      </c>
      <c r="C936" s="62" t="s">
        <v>491</v>
      </c>
      <c r="D936" s="62" t="s">
        <v>297</v>
      </c>
      <c r="E936" s="62" t="s">
        <v>149</v>
      </c>
      <c r="F936" s="62" t="s">
        <v>508</v>
      </c>
      <c r="G936">
        <v>797</v>
      </c>
      <c r="H936">
        <v>797</v>
      </c>
      <c r="I936" s="62" t="s">
        <v>506</v>
      </c>
      <c r="J936" s="62" t="s">
        <v>1324</v>
      </c>
      <c r="K936" s="62" t="s">
        <v>1324</v>
      </c>
      <c r="L936" s="62" t="s">
        <v>1110</v>
      </c>
    </row>
    <row r="937" spans="1:12" x14ac:dyDescent="0.35">
      <c r="A937">
        <v>10100</v>
      </c>
      <c r="B937" s="62" t="s">
        <v>291</v>
      </c>
      <c r="C937" s="62" t="s">
        <v>490</v>
      </c>
      <c r="D937" s="62" t="s">
        <v>290</v>
      </c>
      <c r="E937" s="62" t="s">
        <v>149</v>
      </c>
      <c r="F937" s="62" t="s">
        <v>508</v>
      </c>
      <c r="G937">
        <v>2344</v>
      </c>
      <c r="H937">
        <v>2344</v>
      </c>
      <c r="I937" s="62" t="s">
        <v>506</v>
      </c>
      <c r="J937" s="62" t="s">
        <v>1325</v>
      </c>
      <c r="K937" s="62" t="s">
        <v>1325</v>
      </c>
      <c r="L937" s="62" t="s">
        <v>1110</v>
      </c>
    </row>
    <row r="938" spans="1:12" x14ac:dyDescent="0.35">
      <c r="A938">
        <v>15702</v>
      </c>
      <c r="B938" s="62" t="s">
        <v>366</v>
      </c>
      <c r="C938" s="62" t="s">
        <v>495</v>
      </c>
      <c r="D938" s="62" t="s">
        <v>363</v>
      </c>
      <c r="E938" s="62" t="s">
        <v>149</v>
      </c>
      <c r="F938" s="62" t="s">
        <v>508</v>
      </c>
      <c r="G938">
        <v>370</v>
      </c>
      <c r="H938">
        <v>370</v>
      </c>
      <c r="I938" s="62" t="s">
        <v>506</v>
      </c>
      <c r="J938" s="62" t="s">
        <v>1326</v>
      </c>
      <c r="K938" s="62" t="s">
        <v>1326</v>
      </c>
      <c r="L938" s="62" t="s">
        <v>1110</v>
      </c>
    </row>
    <row r="939" spans="1:12" x14ac:dyDescent="0.35">
      <c r="A939">
        <v>10887</v>
      </c>
      <c r="B939" s="62" t="s">
        <v>328</v>
      </c>
      <c r="C939" s="62" t="s">
        <v>494</v>
      </c>
      <c r="D939" s="62" t="s">
        <v>318</v>
      </c>
      <c r="E939" s="62" t="s">
        <v>149</v>
      </c>
      <c r="F939" s="62" t="s">
        <v>6</v>
      </c>
      <c r="G939">
        <v>783</v>
      </c>
      <c r="H939">
        <v>783</v>
      </c>
      <c r="I939" s="62" t="s">
        <v>506</v>
      </c>
      <c r="J939" s="62" t="s">
        <v>1327</v>
      </c>
      <c r="K939" s="62" t="s">
        <v>1327</v>
      </c>
      <c r="L939" s="62" t="s">
        <v>1110</v>
      </c>
    </row>
    <row r="940" spans="1:12" x14ac:dyDescent="0.35">
      <c r="A940">
        <v>10887</v>
      </c>
      <c r="B940" s="62" t="s">
        <v>328</v>
      </c>
      <c r="C940" s="62" t="s">
        <v>494</v>
      </c>
      <c r="D940" s="62" t="s">
        <v>318</v>
      </c>
      <c r="E940" s="62" t="s">
        <v>149</v>
      </c>
      <c r="F940" s="62" t="s">
        <v>508</v>
      </c>
      <c r="G940">
        <v>1744</v>
      </c>
      <c r="H940">
        <v>1744</v>
      </c>
      <c r="I940" s="62" t="s">
        <v>506</v>
      </c>
      <c r="J940" s="62" t="s">
        <v>1328</v>
      </c>
      <c r="K940" s="62" t="s">
        <v>1328</v>
      </c>
      <c r="L940" s="62" t="s">
        <v>1110</v>
      </c>
    </row>
    <row r="941" spans="1:12" x14ac:dyDescent="0.35">
      <c r="A941">
        <v>10887</v>
      </c>
      <c r="B941" s="62" t="s">
        <v>328</v>
      </c>
      <c r="C941" s="62" t="s">
        <v>494</v>
      </c>
      <c r="D941" s="62" t="s">
        <v>318</v>
      </c>
      <c r="E941" s="62" t="s">
        <v>149</v>
      </c>
      <c r="F941" s="62" t="s">
        <v>5</v>
      </c>
      <c r="G941">
        <v>26977</v>
      </c>
      <c r="I941" s="62" t="s">
        <v>506</v>
      </c>
      <c r="J941" s="62" t="s">
        <v>1329</v>
      </c>
      <c r="K941" s="62" t="s">
        <v>1329</v>
      </c>
      <c r="L941" s="62" t="s">
        <v>1110</v>
      </c>
    </row>
    <row r="942" spans="1:12" x14ac:dyDescent="0.35">
      <c r="A942">
        <v>15636</v>
      </c>
      <c r="B942" s="62" t="s">
        <v>362</v>
      </c>
      <c r="C942" s="62" t="s">
        <v>495</v>
      </c>
      <c r="D942" s="62" t="s">
        <v>360</v>
      </c>
      <c r="E942" s="62" t="s">
        <v>149</v>
      </c>
      <c r="F942" s="62" t="s">
        <v>508</v>
      </c>
      <c r="G942">
        <v>67</v>
      </c>
      <c r="I942" s="62" t="s">
        <v>507</v>
      </c>
      <c r="J942" s="62" t="s">
        <v>1330</v>
      </c>
      <c r="K942" s="62" t="s">
        <v>1330</v>
      </c>
      <c r="L942" s="62" t="s">
        <v>1110</v>
      </c>
    </row>
    <row r="943" spans="1:12" x14ac:dyDescent="0.35">
      <c r="A943">
        <v>15636</v>
      </c>
      <c r="B943" s="62" t="s">
        <v>362</v>
      </c>
      <c r="C943" s="62" t="s">
        <v>495</v>
      </c>
      <c r="D943" s="62" t="s">
        <v>360</v>
      </c>
      <c r="E943" s="62" t="s">
        <v>149</v>
      </c>
      <c r="F943" s="62" t="s">
        <v>4</v>
      </c>
      <c r="G943">
        <v>289</v>
      </c>
      <c r="H943">
        <v>289</v>
      </c>
      <c r="I943" s="62" t="s">
        <v>506</v>
      </c>
      <c r="J943" s="62" t="s">
        <v>1331</v>
      </c>
      <c r="K943" s="62" t="s">
        <v>1331</v>
      </c>
      <c r="L943" s="62" t="s">
        <v>1110</v>
      </c>
    </row>
    <row r="944" spans="1:12" x14ac:dyDescent="0.35">
      <c r="A944">
        <v>10693</v>
      </c>
      <c r="B944" s="62" t="s">
        <v>303</v>
      </c>
      <c r="C944" s="62" t="s">
        <v>491</v>
      </c>
      <c r="D944" s="62" t="s">
        <v>301</v>
      </c>
      <c r="E944" s="62" t="s">
        <v>149</v>
      </c>
      <c r="F944" s="62" t="s">
        <v>4</v>
      </c>
      <c r="G944">
        <v>2641</v>
      </c>
      <c r="H944">
        <v>2641</v>
      </c>
      <c r="I944" s="62" t="s">
        <v>506</v>
      </c>
      <c r="J944" s="62" t="s">
        <v>1332</v>
      </c>
      <c r="K944" s="62" t="s">
        <v>1332</v>
      </c>
      <c r="L944" s="62" t="s">
        <v>1110</v>
      </c>
    </row>
    <row r="945" spans="1:12" x14ac:dyDescent="0.35">
      <c r="A945">
        <v>15128</v>
      </c>
      <c r="B945" s="62" t="s">
        <v>365</v>
      </c>
      <c r="C945" s="62" t="s">
        <v>495</v>
      </c>
      <c r="D945" s="62" t="s">
        <v>363</v>
      </c>
      <c r="E945" s="62" t="s">
        <v>149</v>
      </c>
      <c r="F945" s="62" t="s">
        <v>6</v>
      </c>
      <c r="G945">
        <v>9</v>
      </c>
      <c r="I945" s="62" t="s">
        <v>507</v>
      </c>
      <c r="J945" s="62" t="s">
        <v>1333</v>
      </c>
      <c r="K945" s="62" t="s">
        <v>1333</v>
      </c>
      <c r="L945" s="62" t="s">
        <v>1110</v>
      </c>
    </row>
    <row r="946" spans="1:12" x14ac:dyDescent="0.35">
      <c r="A946">
        <v>15128</v>
      </c>
      <c r="B946" s="62" t="s">
        <v>365</v>
      </c>
      <c r="C946" s="62" t="s">
        <v>495</v>
      </c>
      <c r="D946" s="62" t="s">
        <v>363</v>
      </c>
      <c r="E946" s="62" t="s">
        <v>149</v>
      </c>
      <c r="F946" s="62" t="s">
        <v>508</v>
      </c>
      <c r="G946">
        <v>148</v>
      </c>
      <c r="I946" s="62" t="s">
        <v>507</v>
      </c>
      <c r="J946" s="62" t="s">
        <v>1334</v>
      </c>
      <c r="K946" s="62" t="s">
        <v>1334</v>
      </c>
      <c r="L946" s="62" t="s">
        <v>1110</v>
      </c>
    </row>
    <row r="947" spans="1:12" x14ac:dyDescent="0.35">
      <c r="A947">
        <v>15128</v>
      </c>
      <c r="B947" s="62" t="s">
        <v>365</v>
      </c>
      <c r="C947" s="62" t="s">
        <v>495</v>
      </c>
      <c r="D947" s="62" t="s">
        <v>363</v>
      </c>
      <c r="E947" s="62" t="s">
        <v>149</v>
      </c>
      <c r="F947" s="62" t="s">
        <v>6</v>
      </c>
      <c r="G947">
        <v>9</v>
      </c>
      <c r="H947">
        <v>9</v>
      </c>
      <c r="I947" s="62" t="s">
        <v>506</v>
      </c>
      <c r="J947" s="62" t="s">
        <v>1335</v>
      </c>
      <c r="K947" s="62" t="s">
        <v>1335</v>
      </c>
      <c r="L947" s="62" t="s">
        <v>1110</v>
      </c>
    </row>
    <row r="948" spans="1:12" x14ac:dyDescent="0.35">
      <c r="A948">
        <v>15128</v>
      </c>
      <c r="B948" s="62" t="s">
        <v>365</v>
      </c>
      <c r="C948" s="62" t="s">
        <v>495</v>
      </c>
      <c r="D948" s="62" t="s">
        <v>363</v>
      </c>
      <c r="E948" s="62" t="s">
        <v>149</v>
      </c>
      <c r="F948" s="62" t="s">
        <v>5</v>
      </c>
      <c r="G948">
        <v>2458</v>
      </c>
      <c r="H948">
        <v>2458</v>
      </c>
      <c r="I948" s="62" t="s">
        <v>506</v>
      </c>
      <c r="J948" s="62" t="s">
        <v>1336</v>
      </c>
      <c r="K948" s="62" t="s">
        <v>1336</v>
      </c>
      <c r="L948" s="62" t="s">
        <v>1110</v>
      </c>
    </row>
    <row r="949" spans="1:12" x14ac:dyDescent="0.35">
      <c r="A949">
        <v>15128</v>
      </c>
      <c r="B949" s="62" t="s">
        <v>365</v>
      </c>
      <c r="C949" s="62" t="s">
        <v>495</v>
      </c>
      <c r="D949" s="62" t="s">
        <v>363</v>
      </c>
      <c r="E949" s="62" t="s">
        <v>149</v>
      </c>
      <c r="F949" s="62" t="s">
        <v>4</v>
      </c>
      <c r="G949">
        <v>173</v>
      </c>
      <c r="H949">
        <v>173</v>
      </c>
      <c r="I949" s="62" t="s">
        <v>506</v>
      </c>
      <c r="J949" s="62" t="s">
        <v>1337</v>
      </c>
      <c r="K949" s="62" t="s">
        <v>1337</v>
      </c>
      <c r="L949" s="62" t="s">
        <v>1110</v>
      </c>
    </row>
    <row r="950" spans="1:12" x14ac:dyDescent="0.35">
      <c r="A950">
        <v>10100</v>
      </c>
      <c r="B950" s="62" t="s">
        <v>291</v>
      </c>
      <c r="C950" s="62" t="s">
        <v>490</v>
      </c>
      <c r="D950" s="62" t="s">
        <v>290</v>
      </c>
      <c r="E950" s="62" t="s">
        <v>149</v>
      </c>
      <c r="F950" s="62" t="s">
        <v>5</v>
      </c>
      <c r="G950">
        <v>11992</v>
      </c>
      <c r="H950">
        <v>11992</v>
      </c>
      <c r="I950" s="62" t="s">
        <v>506</v>
      </c>
      <c r="J950" s="62" t="s">
        <v>1338</v>
      </c>
      <c r="K950" s="62" t="s">
        <v>1338</v>
      </c>
      <c r="L950" s="62" t="s">
        <v>1110</v>
      </c>
    </row>
    <row r="951" spans="1:12" x14ac:dyDescent="0.35">
      <c r="A951">
        <v>10100</v>
      </c>
      <c r="B951" s="62" t="s">
        <v>291</v>
      </c>
      <c r="C951" s="62" t="s">
        <v>490</v>
      </c>
      <c r="D951" s="62" t="s">
        <v>290</v>
      </c>
      <c r="E951" s="62" t="s">
        <v>149</v>
      </c>
      <c r="F951" s="62" t="s">
        <v>4</v>
      </c>
      <c r="G951">
        <v>3406</v>
      </c>
      <c r="H951">
        <v>3406</v>
      </c>
      <c r="I951" s="62" t="s">
        <v>506</v>
      </c>
      <c r="J951" s="62" t="s">
        <v>1339</v>
      </c>
      <c r="K951" s="62" t="s">
        <v>1339</v>
      </c>
      <c r="L951" s="62" t="s">
        <v>1110</v>
      </c>
    </row>
    <row r="952" spans="1:12" x14ac:dyDescent="0.35">
      <c r="A952">
        <v>10100</v>
      </c>
      <c r="B952" s="62" t="s">
        <v>291</v>
      </c>
      <c r="C952" s="62" t="s">
        <v>490</v>
      </c>
      <c r="D952" s="62" t="s">
        <v>290</v>
      </c>
      <c r="E952" s="62" t="s">
        <v>149</v>
      </c>
      <c r="F952" s="62" t="s">
        <v>6</v>
      </c>
      <c r="G952">
        <v>692</v>
      </c>
      <c r="H952">
        <v>692</v>
      </c>
      <c r="I952" s="62" t="s">
        <v>506</v>
      </c>
      <c r="J952" s="62" t="s">
        <v>1340</v>
      </c>
      <c r="K952" s="62" t="s">
        <v>1340</v>
      </c>
      <c r="L952" s="62" t="s">
        <v>1110</v>
      </c>
    </row>
    <row r="953" spans="1:12" x14ac:dyDescent="0.35">
      <c r="A953">
        <v>12769</v>
      </c>
      <c r="B953" s="62" t="s">
        <v>269</v>
      </c>
      <c r="C953" s="62" t="s">
        <v>758</v>
      </c>
      <c r="D953" s="62" t="s">
        <v>268</v>
      </c>
      <c r="E953" s="62" t="s">
        <v>149</v>
      </c>
      <c r="F953" s="62" t="s">
        <v>508</v>
      </c>
      <c r="G953">
        <v>316</v>
      </c>
      <c r="I953" s="62" t="s">
        <v>506</v>
      </c>
      <c r="J953" s="62" t="s">
        <v>1341</v>
      </c>
      <c r="K953" s="62" t="s">
        <v>1341</v>
      </c>
      <c r="L953" s="62" t="s">
        <v>1110</v>
      </c>
    </row>
    <row r="954" spans="1:12" x14ac:dyDescent="0.35">
      <c r="A954">
        <v>12769</v>
      </c>
      <c r="B954" s="62" t="s">
        <v>269</v>
      </c>
      <c r="C954" s="62" t="s">
        <v>758</v>
      </c>
      <c r="D954" s="62" t="s">
        <v>268</v>
      </c>
      <c r="E954" s="62" t="s">
        <v>149</v>
      </c>
      <c r="F954" s="62" t="s">
        <v>6</v>
      </c>
      <c r="G954">
        <v>229</v>
      </c>
      <c r="I954" s="62" t="s">
        <v>506</v>
      </c>
      <c r="J954" s="62" t="s">
        <v>1342</v>
      </c>
      <c r="K954" s="62" t="s">
        <v>1342</v>
      </c>
      <c r="L954" s="62" t="s">
        <v>1110</v>
      </c>
    </row>
    <row r="955" spans="1:12" x14ac:dyDescent="0.35">
      <c r="A955">
        <v>12769</v>
      </c>
      <c r="B955" s="62" t="s">
        <v>269</v>
      </c>
      <c r="C955" s="62" t="s">
        <v>758</v>
      </c>
      <c r="D955" s="62" t="s">
        <v>268</v>
      </c>
      <c r="E955" s="62" t="s">
        <v>149</v>
      </c>
      <c r="F955" s="62" t="s">
        <v>5</v>
      </c>
      <c r="G955">
        <v>5284</v>
      </c>
      <c r="I955" s="62" t="s">
        <v>506</v>
      </c>
      <c r="J955" s="62" t="s">
        <v>1343</v>
      </c>
      <c r="K955" s="62" t="s">
        <v>1343</v>
      </c>
      <c r="L955" s="62" t="s">
        <v>1110</v>
      </c>
    </row>
    <row r="956" spans="1:12" x14ac:dyDescent="0.35">
      <c r="A956">
        <v>12492</v>
      </c>
      <c r="B956" s="62" t="s">
        <v>156</v>
      </c>
      <c r="C956" s="62" t="s">
        <v>485</v>
      </c>
      <c r="D956" s="62" t="s">
        <v>152</v>
      </c>
      <c r="E956" s="62" t="s">
        <v>149</v>
      </c>
      <c r="F956" s="62" t="s">
        <v>508</v>
      </c>
      <c r="G956">
        <v>3838</v>
      </c>
      <c r="H956">
        <v>3838</v>
      </c>
      <c r="I956" s="62" t="s">
        <v>506</v>
      </c>
      <c r="J956" s="62" t="s">
        <v>1344</v>
      </c>
      <c r="K956" s="62" t="s">
        <v>1344</v>
      </c>
      <c r="L956" s="62" t="s">
        <v>1110</v>
      </c>
    </row>
    <row r="957" spans="1:12" x14ac:dyDescent="0.35">
      <c r="A957">
        <v>12492</v>
      </c>
      <c r="B957" s="62" t="s">
        <v>156</v>
      </c>
      <c r="C957" s="62" t="s">
        <v>485</v>
      </c>
      <c r="D957" s="62" t="s">
        <v>152</v>
      </c>
      <c r="E957" s="62" t="s">
        <v>149</v>
      </c>
      <c r="F957" s="62" t="s">
        <v>6</v>
      </c>
      <c r="G957">
        <v>51</v>
      </c>
      <c r="I957" s="62" t="s">
        <v>507</v>
      </c>
      <c r="J957" s="62" t="s">
        <v>1345</v>
      </c>
      <c r="K957" s="62" t="s">
        <v>1345</v>
      </c>
      <c r="L957" s="62" t="s">
        <v>1110</v>
      </c>
    </row>
    <row r="958" spans="1:12" x14ac:dyDescent="0.35">
      <c r="A958">
        <v>12492</v>
      </c>
      <c r="B958" s="62" t="s">
        <v>156</v>
      </c>
      <c r="C958" s="62" t="s">
        <v>485</v>
      </c>
      <c r="D958" s="62" t="s">
        <v>152</v>
      </c>
      <c r="E958" s="62" t="s">
        <v>149</v>
      </c>
      <c r="F958" s="62" t="s">
        <v>5</v>
      </c>
      <c r="G958">
        <v>21452</v>
      </c>
      <c r="H958">
        <v>21452</v>
      </c>
      <c r="I958" s="62" t="s">
        <v>506</v>
      </c>
      <c r="J958" s="62" t="s">
        <v>1346</v>
      </c>
      <c r="K958" s="62" t="s">
        <v>1346</v>
      </c>
      <c r="L958" s="62" t="s">
        <v>1110</v>
      </c>
    </row>
    <row r="959" spans="1:12" x14ac:dyDescent="0.35">
      <c r="A959">
        <v>12492</v>
      </c>
      <c r="B959" s="62" t="s">
        <v>156</v>
      </c>
      <c r="C959" s="62" t="s">
        <v>485</v>
      </c>
      <c r="D959" s="62" t="s">
        <v>152</v>
      </c>
      <c r="E959" s="62" t="s">
        <v>149</v>
      </c>
      <c r="F959" s="62" t="s">
        <v>4</v>
      </c>
      <c r="G959">
        <v>7445</v>
      </c>
      <c r="H959">
        <v>7445</v>
      </c>
      <c r="I959" s="62" t="s">
        <v>506</v>
      </c>
      <c r="J959" s="62" t="s">
        <v>1347</v>
      </c>
      <c r="K959" s="62" t="s">
        <v>1347</v>
      </c>
      <c r="L959" s="62" t="s">
        <v>1110</v>
      </c>
    </row>
    <row r="960" spans="1:12" x14ac:dyDescent="0.35">
      <c r="A960">
        <v>10693</v>
      </c>
      <c r="B960" s="62" t="s">
        <v>303</v>
      </c>
      <c r="C960" s="62" t="s">
        <v>491</v>
      </c>
      <c r="D960" s="62" t="s">
        <v>301</v>
      </c>
      <c r="E960" s="62" t="s">
        <v>149</v>
      </c>
      <c r="F960" s="62" t="s">
        <v>5</v>
      </c>
      <c r="G960">
        <v>3882</v>
      </c>
      <c r="H960">
        <v>3882</v>
      </c>
      <c r="I960" s="62" t="s">
        <v>506</v>
      </c>
      <c r="J960" s="62" t="s">
        <v>1348</v>
      </c>
      <c r="K960" s="62" t="s">
        <v>1348</v>
      </c>
      <c r="L960" s="62" t="s">
        <v>1110</v>
      </c>
    </row>
    <row r="961" spans="1:12" x14ac:dyDescent="0.35">
      <c r="A961">
        <v>15636</v>
      </c>
      <c r="B961" s="62" t="s">
        <v>362</v>
      </c>
      <c r="C961" s="62" t="s">
        <v>495</v>
      </c>
      <c r="D961" s="62" t="s">
        <v>360</v>
      </c>
      <c r="E961" s="62" t="s">
        <v>149</v>
      </c>
      <c r="F961" s="62" t="s">
        <v>5</v>
      </c>
      <c r="G961">
        <v>5408</v>
      </c>
      <c r="H961">
        <v>5408</v>
      </c>
      <c r="I961" s="62" t="s">
        <v>506</v>
      </c>
      <c r="J961" s="62" t="s">
        <v>1349</v>
      </c>
      <c r="K961" s="62" t="s">
        <v>1349</v>
      </c>
      <c r="L961" s="62" t="s">
        <v>1110</v>
      </c>
    </row>
    <row r="962" spans="1:12" x14ac:dyDescent="0.35">
      <c r="A962">
        <v>15282</v>
      </c>
      <c r="B962" s="62" t="s">
        <v>369</v>
      </c>
      <c r="C962" s="62" t="s">
        <v>496</v>
      </c>
      <c r="D962" s="62" t="s">
        <v>368</v>
      </c>
      <c r="E962" s="62" t="s">
        <v>149</v>
      </c>
      <c r="F962" s="62" t="s">
        <v>6</v>
      </c>
      <c r="G962">
        <v>2311</v>
      </c>
      <c r="I962" s="62" t="s">
        <v>507</v>
      </c>
      <c r="J962" s="62" t="s">
        <v>1350</v>
      </c>
      <c r="K962" s="62" t="s">
        <v>1350</v>
      </c>
      <c r="L962" s="62" t="s">
        <v>1110</v>
      </c>
    </row>
    <row r="963" spans="1:12" x14ac:dyDescent="0.35">
      <c r="A963">
        <v>12422</v>
      </c>
      <c r="B963" s="62" t="s">
        <v>148</v>
      </c>
      <c r="C963" s="62" t="s">
        <v>485</v>
      </c>
      <c r="D963" s="62" t="s">
        <v>146</v>
      </c>
      <c r="E963" s="62" t="s">
        <v>149</v>
      </c>
      <c r="F963" s="62" t="s">
        <v>508</v>
      </c>
      <c r="G963">
        <v>3833</v>
      </c>
      <c r="I963" s="62" t="s">
        <v>506</v>
      </c>
      <c r="J963" s="62" t="s">
        <v>1351</v>
      </c>
      <c r="K963" s="62" t="s">
        <v>1351</v>
      </c>
      <c r="L963" s="62" t="s">
        <v>1110</v>
      </c>
    </row>
    <row r="964" spans="1:12" x14ac:dyDescent="0.35">
      <c r="A964">
        <v>12422</v>
      </c>
      <c r="B964" s="62" t="s">
        <v>148</v>
      </c>
      <c r="C964" s="62" t="s">
        <v>485</v>
      </c>
      <c r="D964" s="62" t="s">
        <v>146</v>
      </c>
      <c r="E964" s="62" t="s">
        <v>149</v>
      </c>
      <c r="F964" s="62" t="s">
        <v>6</v>
      </c>
      <c r="G964">
        <v>112</v>
      </c>
      <c r="I964" s="62" t="s">
        <v>507</v>
      </c>
      <c r="J964" s="62" t="s">
        <v>1352</v>
      </c>
      <c r="K964" s="62" t="s">
        <v>1352</v>
      </c>
      <c r="L964" s="62" t="s">
        <v>1110</v>
      </c>
    </row>
    <row r="965" spans="1:12" x14ac:dyDescent="0.35">
      <c r="A965">
        <v>12422</v>
      </c>
      <c r="B965" s="62" t="s">
        <v>148</v>
      </c>
      <c r="C965" s="62" t="s">
        <v>485</v>
      </c>
      <c r="D965" s="62" t="s">
        <v>146</v>
      </c>
      <c r="E965" s="62" t="s">
        <v>149</v>
      </c>
      <c r="F965" s="62" t="s">
        <v>5</v>
      </c>
      <c r="G965">
        <v>10887</v>
      </c>
      <c r="I965" s="62" t="s">
        <v>506</v>
      </c>
      <c r="J965" s="62" t="s">
        <v>1353</v>
      </c>
      <c r="K965" s="62" t="s">
        <v>1353</v>
      </c>
      <c r="L965" s="62" t="s">
        <v>1110</v>
      </c>
    </row>
    <row r="966" spans="1:12" x14ac:dyDescent="0.35">
      <c r="A966">
        <v>12422</v>
      </c>
      <c r="B966" s="62" t="s">
        <v>148</v>
      </c>
      <c r="C966" s="62" t="s">
        <v>485</v>
      </c>
      <c r="D966" s="62" t="s">
        <v>146</v>
      </c>
      <c r="E966" s="62" t="s">
        <v>149</v>
      </c>
      <c r="F966" s="62" t="s">
        <v>4</v>
      </c>
      <c r="G966">
        <v>1070</v>
      </c>
      <c r="H966">
        <v>1070</v>
      </c>
      <c r="I966" s="62" t="s">
        <v>506</v>
      </c>
      <c r="J966" s="62" t="s">
        <v>1354</v>
      </c>
      <c r="K966" s="62" t="s">
        <v>1354</v>
      </c>
      <c r="L966" s="62" t="s">
        <v>1110</v>
      </c>
    </row>
    <row r="967" spans="1:12" x14ac:dyDescent="0.35">
      <c r="A967">
        <v>15282</v>
      </c>
      <c r="B967" s="62" t="s">
        <v>369</v>
      </c>
      <c r="C967" s="62" t="s">
        <v>496</v>
      </c>
      <c r="D967" s="62" t="s">
        <v>368</v>
      </c>
      <c r="E967" s="62" t="s">
        <v>149</v>
      </c>
      <c r="F967" s="62" t="s">
        <v>508</v>
      </c>
      <c r="G967">
        <v>2979</v>
      </c>
      <c r="H967">
        <v>1400</v>
      </c>
      <c r="I967" s="62" t="s">
        <v>506</v>
      </c>
      <c r="J967" s="62" t="s">
        <v>1355</v>
      </c>
      <c r="K967" s="62" t="s">
        <v>1355</v>
      </c>
      <c r="L967" s="62" t="s">
        <v>1110</v>
      </c>
    </row>
    <row r="968" spans="1:12" x14ac:dyDescent="0.35">
      <c r="A968">
        <v>15282</v>
      </c>
      <c r="B968" s="62" t="s">
        <v>369</v>
      </c>
      <c r="C968" s="62" t="s">
        <v>496</v>
      </c>
      <c r="D968" s="62" t="s">
        <v>368</v>
      </c>
      <c r="E968" s="62" t="s">
        <v>149</v>
      </c>
      <c r="F968" s="62" t="s">
        <v>6</v>
      </c>
      <c r="G968">
        <v>2311</v>
      </c>
      <c r="H968">
        <v>2200</v>
      </c>
      <c r="I968" s="62" t="s">
        <v>507</v>
      </c>
      <c r="J968" s="62" t="s">
        <v>1356</v>
      </c>
      <c r="K968" s="62" t="s">
        <v>1356</v>
      </c>
      <c r="L968" s="62" t="s">
        <v>1110</v>
      </c>
    </row>
    <row r="969" spans="1:12" x14ac:dyDescent="0.35">
      <c r="A969">
        <v>10988</v>
      </c>
      <c r="B969" s="62" t="s">
        <v>296</v>
      </c>
      <c r="C969" s="62" t="s">
        <v>491</v>
      </c>
      <c r="D969" s="62" t="s">
        <v>295</v>
      </c>
      <c r="E969" s="62" t="s">
        <v>149</v>
      </c>
      <c r="F969" s="62" t="s">
        <v>508</v>
      </c>
      <c r="G969">
        <v>1444</v>
      </c>
      <c r="H969">
        <v>1400</v>
      </c>
      <c r="I969" s="62" t="s">
        <v>507</v>
      </c>
      <c r="J969" s="62" t="s">
        <v>1357</v>
      </c>
      <c r="K969" s="62" t="s">
        <v>1357</v>
      </c>
      <c r="L969" s="62" t="s">
        <v>1110</v>
      </c>
    </row>
    <row r="970" spans="1:12" x14ac:dyDescent="0.35">
      <c r="A970">
        <v>12204</v>
      </c>
      <c r="B970" s="62" t="s">
        <v>384</v>
      </c>
      <c r="C970" s="62" t="s">
        <v>497</v>
      </c>
      <c r="D970" s="62" t="s">
        <v>379</v>
      </c>
      <c r="E970" s="62" t="s">
        <v>149</v>
      </c>
      <c r="F970" s="62" t="s">
        <v>508</v>
      </c>
      <c r="G970">
        <v>718</v>
      </c>
      <c r="I970" s="62" t="s">
        <v>507</v>
      </c>
      <c r="J970" s="62" t="s">
        <v>1358</v>
      </c>
      <c r="K970" s="62" t="s">
        <v>1358</v>
      </c>
      <c r="L970" s="62" t="s">
        <v>1110</v>
      </c>
    </row>
    <row r="971" spans="1:12" x14ac:dyDescent="0.35">
      <c r="A971">
        <v>12204</v>
      </c>
      <c r="B971" s="62" t="s">
        <v>384</v>
      </c>
      <c r="C971" s="62" t="s">
        <v>497</v>
      </c>
      <c r="D971" s="62" t="s">
        <v>379</v>
      </c>
      <c r="E971" s="62" t="s">
        <v>149</v>
      </c>
      <c r="F971" s="62" t="s">
        <v>6</v>
      </c>
      <c r="G971">
        <v>122</v>
      </c>
      <c r="I971" s="62" t="s">
        <v>507</v>
      </c>
      <c r="J971" s="62" t="s">
        <v>1359</v>
      </c>
      <c r="K971" s="62" t="s">
        <v>1359</v>
      </c>
      <c r="L971" s="62" t="s">
        <v>1110</v>
      </c>
    </row>
    <row r="972" spans="1:12" x14ac:dyDescent="0.35">
      <c r="A972">
        <v>10988</v>
      </c>
      <c r="B972" s="62" t="s">
        <v>296</v>
      </c>
      <c r="C972" s="62" t="s">
        <v>491</v>
      </c>
      <c r="D972" s="62" t="s">
        <v>295</v>
      </c>
      <c r="E972" s="62" t="s">
        <v>149</v>
      </c>
      <c r="F972" s="62" t="s">
        <v>6</v>
      </c>
      <c r="G972">
        <v>374</v>
      </c>
      <c r="H972">
        <v>374</v>
      </c>
      <c r="I972" s="62" t="s">
        <v>506</v>
      </c>
      <c r="J972" s="62" t="s">
        <v>1275</v>
      </c>
      <c r="K972" s="62" t="s">
        <v>1275</v>
      </c>
      <c r="L972" s="62" t="s">
        <v>1110</v>
      </c>
    </row>
    <row r="973" spans="1:12" x14ac:dyDescent="0.35">
      <c r="A973">
        <v>12204</v>
      </c>
      <c r="B973" s="62" t="s">
        <v>384</v>
      </c>
      <c r="C973" s="62" t="s">
        <v>497</v>
      </c>
      <c r="D973" s="62" t="s">
        <v>379</v>
      </c>
      <c r="E973" s="62" t="s">
        <v>149</v>
      </c>
      <c r="F973" s="62" t="s">
        <v>5</v>
      </c>
      <c r="G973">
        <v>3268</v>
      </c>
      <c r="H973">
        <v>3268</v>
      </c>
      <c r="I973" s="62" t="s">
        <v>506</v>
      </c>
      <c r="J973" s="62" t="s">
        <v>1360</v>
      </c>
      <c r="K973" s="62" t="s">
        <v>1360</v>
      </c>
      <c r="L973" s="62" t="s">
        <v>1110</v>
      </c>
    </row>
    <row r="974" spans="1:12" x14ac:dyDescent="0.35">
      <c r="A974">
        <v>15636</v>
      </c>
      <c r="B974" s="62" t="s">
        <v>362</v>
      </c>
      <c r="C974" s="62" t="s">
        <v>495</v>
      </c>
      <c r="D974" s="62" t="s">
        <v>360</v>
      </c>
      <c r="E974" s="62" t="s">
        <v>149</v>
      </c>
      <c r="F974" s="62" t="s">
        <v>6</v>
      </c>
      <c r="G974">
        <v>7</v>
      </c>
      <c r="H974">
        <v>7</v>
      </c>
      <c r="I974" s="62" t="s">
        <v>506</v>
      </c>
      <c r="J974" s="62" t="s">
        <v>1361</v>
      </c>
      <c r="K974" s="62" t="s">
        <v>1361</v>
      </c>
      <c r="L974" s="62" t="s">
        <v>1110</v>
      </c>
    </row>
    <row r="975" spans="1:12" x14ac:dyDescent="0.35">
      <c r="A975">
        <v>10988</v>
      </c>
      <c r="B975" s="62" t="s">
        <v>296</v>
      </c>
      <c r="C975" s="62" t="s">
        <v>491</v>
      </c>
      <c r="D975" s="62" t="s">
        <v>295</v>
      </c>
      <c r="E975" s="62" t="s">
        <v>149</v>
      </c>
      <c r="F975" s="62" t="s">
        <v>4</v>
      </c>
      <c r="G975">
        <v>1712</v>
      </c>
      <c r="H975">
        <v>1712</v>
      </c>
      <c r="I975" s="62" t="s">
        <v>506</v>
      </c>
      <c r="J975" s="62" t="s">
        <v>1362</v>
      </c>
      <c r="K975" s="62" t="s">
        <v>1362</v>
      </c>
      <c r="L975" s="62" t="s">
        <v>1110</v>
      </c>
    </row>
    <row r="976" spans="1:12" x14ac:dyDescent="0.35">
      <c r="A976">
        <v>12204</v>
      </c>
      <c r="B976" s="62" t="s">
        <v>384</v>
      </c>
      <c r="C976" s="62" t="s">
        <v>497</v>
      </c>
      <c r="D976" s="62" t="s">
        <v>379</v>
      </c>
      <c r="E976" s="62" t="s">
        <v>149</v>
      </c>
      <c r="F976" s="62" t="s">
        <v>4</v>
      </c>
      <c r="G976">
        <v>355</v>
      </c>
      <c r="H976">
        <v>355</v>
      </c>
      <c r="I976" s="62" t="s">
        <v>506</v>
      </c>
      <c r="J976" s="62" t="s">
        <v>1363</v>
      </c>
      <c r="K976" s="62" t="s">
        <v>1363</v>
      </c>
      <c r="L976" s="62" t="s">
        <v>1110</v>
      </c>
    </row>
    <row r="977" spans="1:12" x14ac:dyDescent="0.35">
      <c r="A977">
        <v>15702</v>
      </c>
      <c r="B977" s="62" t="s">
        <v>366</v>
      </c>
      <c r="C977" s="62" t="s">
        <v>495</v>
      </c>
      <c r="D977" s="62" t="s">
        <v>363</v>
      </c>
      <c r="E977" s="62" t="s">
        <v>149</v>
      </c>
      <c r="F977" s="62" t="s">
        <v>4</v>
      </c>
      <c r="G977">
        <v>396</v>
      </c>
      <c r="H977">
        <v>396</v>
      </c>
      <c r="I977" s="62" t="s">
        <v>506</v>
      </c>
      <c r="J977" s="62" t="s">
        <v>1364</v>
      </c>
      <c r="K977" s="62" t="s">
        <v>1364</v>
      </c>
      <c r="L977" s="62" t="s">
        <v>1110</v>
      </c>
    </row>
    <row r="978" spans="1:12" x14ac:dyDescent="0.35">
      <c r="A978">
        <v>15702</v>
      </c>
      <c r="B978" s="62" t="s">
        <v>366</v>
      </c>
      <c r="C978" s="62" t="s">
        <v>495</v>
      </c>
      <c r="D978" s="62" t="s">
        <v>363</v>
      </c>
      <c r="E978" s="62" t="s">
        <v>149</v>
      </c>
      <c r="F978" s="62" t="s">
        <v>5</v>
      </c>
      <c r="G978">
        <v>5537</v>
      </c>
      <c r="H978">
        <v>5537</v>
      </c>
      <c r="I978" s="62" t="s">
        <v>506</v>
      </c>
      <c r="J978" s="62" t="s">
        <v>1365</v>
      </c>
      <c r="K978" s="62" t="s">
        <v>1365</v>
      </c>
      <c r="L978" s="62" t="s">
        <v>1110</v>
      </c>
    </row>
    <row r="979" spans="1:12" x14ac:dyDescent="0.35">
      <c r="A979">
        <v>15282</v>
      </c>
      <c r="B979" s="62" t="s">
        <v>369</v>
      </c>
      <c r="C979" s="62" t="s">
        <v>496</v>
      </c>
      <c r="D979" s="62" t="s">
        <v>368</v>
      </c>
      <c r="E979" s="62" t="s">
        <v>149</v>
      </c>
      <c r="F979" s="62" t="s">
        <v>4</v>
      </c>
      <c r="G979">
        <v>5789</v>
      </c>
      <c r="H979">
        <v>5789</v>
      </c>
      <c r="I979" s="62" t="s">
        <v>506</v>
      </c>
      <c r="J979" s="62" t="s">
        <v>1366</v>
      </c>
      <c r="K979" s="62" t="s">
        <v>1366</v>
      </c>
      <c r="L979" s="62" t="s">
        <v>1110</v>
      </c>
    </row>
    <row r="980" spans="1:12" x14ac:dyDescent="0.35">
      <c r="A980">
        <v>15282</v>
      </c>
      <c r="B980" s="62" t="s">
        <v>369</v>
      </c>
      <c r="C980" s="62" t="s">
        <v>496</v>
      </c>
      <c r="D980" s="62" t="s">
        <v>368</v>
      </c>
      <c r="E980" s="62" t="s">
        <v>149</v>
      </c>
      <c r="F980" s="62" t="s">
        <v>5</v>
      </c>
      <c r="G980">
        <v>17460</v>
      </c>
      <c r="H980">
        <v>17460</v>
      </c>
      <c r="I980" s="62" t="s">
        <v>506</v>
      </c>
      <c r="J980" s="62" t="s">
        <v>1367</v>
      </c>
      <c r="K980" s="62" t="s">
        <v>1367</v>
      </c>
      <c r="L980" s="62" t="s">
        <v>1110</v>
      </c>
    </row>
    <row r="981" spans="1:12" x14ac:dyDescent="0.35">
      <c r="A981">
        <v>12456</v>
      </c>
      <c r="B981" s="62" t="s">
        <v>399</v>
      </c>
      <c r="C981" s="62" t="s">
        <v>498</v>
      </c>
      <c r="D981" s="62" t="s">
        <v>390</v>
      </c>
      <c r="E981" s="62" t="s">
        <v>149</v>
      </c>
      <c r="F981" s="62" t="s">
        <v>6</v>
      </c>
      <c r="G981">
        <v>2</v>
      </c>
      <c r="H981">
        <v>112</v>
      </c>
      <c r="I981" s="62" t="s">
        <v>507</v>
      </c>
      <c r="J981" s="62" t="s">
        <v>761</v>
      </c>
      <c r="K981" s="62" t="s">
        <v>761</v>
      </c>
      <c r="L981" s="62" t="s">
        <v>1110</v>
      </c>
    </row>
    <row r="982" spans="1:12" x14ac:dyDescent="0.35">
      <c r="A982">
        <v>17431</v>
      </c>
      <c r="B982" s="62" t="s">
        <v>398</v>
      </c>
      <c r="C982" s="62" t="s">
        <v>498</v>
      </c>
      <c r="D982" s="62" t="s">
        <v>390</v>
      </c>
      <c r="E982" s="62" t="s">
        <v>149</v>
      </c>
      <c r="F982" s="62" t="s">
        <v>6</v>
      </c>
      <c r="G982">
        <v>6</v>
      </c>
      <c r="H982">
        <v>6</v>
      </c>
      <c r="I982" s="62" t="s">
        <v>506</v>
      </c>
      <c r="J982" s="62" t="s">
        <v>764</v>
      </c>
      <c r="K982" s="62" t="s">
        <v>764</v>
      </c>
      <c r="L982" s="62" t="s">
        <v>1110</v>
      </c>
    </row>
    <row r="983" spans="1:12" x14ac:dyDescent="0.35">
      <c r="A983">
        <v>12213</v>
      </c>
      <c r="B983" s="62" t="s">
        <v>389</v>
      </c>
      <c r="C983" s="62" t="s">
        <v>497</v>
      </c>
      <c r="D983" s="62" t="s">
        <v>388</v>
      </c>
      <c r="E983" s="62" t="s">
        <v>149</v>
      </c>
      <c r="F983" s="62" t="s">
        <v>6</v>
      </c>
      <c r="G983">
        <v>3</v>
      </c>
      <c r="H983">
        <v>3</v>
      </c>
      <c r="I983" s="62" t="s">
        <v>506</v>
      </c>
      <c r="J983" s="62" t="s">
        <v>765</v>
      </c>
      <c r="K983" s="62" t="s">
        <v>765</v>
      </c>
      <c r="L983" s="62" t="s">
        <v>1110</v>
      </c>
    </row>
    <row r="984" spans="1:12" x14ac:dyDescent="0.35">
      <c r="A984">
        <v>16995</v>
      </c>
      <c r="B984" s="62" t="s">
        <v>378</v>
      </c>
      <c r="C984" s="62" t="s">
        <v>497</v>
      </c>
      <c r="D984" s="62" t="s">
        <v>377</v>
      </c>
      <c r="E984" s="62" t="s">
        <v>149</v>
      </c>
      <c r="F984" s="62" t="s">
        <v>508</v>
      </c>
      <c r="G984">
        <v>44</v>
      </c>
      <c r="H984">
        <v>44</v>
      </c>
      <c r="I984" s="62" t="s">
        <v>506</v>
      </c>
      <c r="J984" s="62" t="s">
        <v>766</v>
      </c>
      <c r="K984" s="62" t="s">
        <v>766</v>
      </c>
      <c r="L984" s="62" t="s">
        <v>1110</v>
      </c>
    </row>
    <row r="985" spans="1:12" x14ac:dyDescent="0.35">
      <c r="A985">
        <v>16995</v>
      </c>
      <c r="B985" s="62" t="s">
        <v>378</v>
      </c>
      <c r="C985" s="62" t="s">
        <v>497</v>
      </c>
      <c r="D985" s="62" t="s">
        <v>377</v>
      </c>
      <c r="E985" s="62" t="s">
        <v>149</v>
      </c>
      <c r="F985" s="62" t="s">
        <v>6</v>
      </c>
      <c r="G985">
        <v>102</v>
      </c>
      <c r="H985">
        <v>102</v>
      </c>
      <c r="I985" s="62" t="s">
        <v>506</v>
      </c>
      <c r="J985" s="62" t="s">
        <v>767</v>
      </c>
      <c r="K985" s="62" t="s">
        <v>767</v>
      </c>
      <c r="L985" s="62" t="s">
        <v>1110</v>
      </c>
    </row>
    <row r="986" spans="1:12" x14ac:dyDescent="0.35">
      <c r="A986">
        <v>12569</v>
      </c>
      <c r="B986" s="62" t="s">
        <v>373</v>
      </c>
      <c r="C986" s="62" t="s">
        <v>497</v>
      </c>
      <c r="D986" s="62" t="s">
        <v>371</v>
      </c>
      <c r="E986" s="62" t="s">
        <v>149</v>
      </c>
      <c r="F986" s="62" t="s">
        <v>6</v>
      </c>
      <c r="G986">
        <v>555</v>
      </c>
      <c r="H986">
        <v>555</v>
      </c>
      <c r="I986" s="62" t="s">
        <v>506</v>
      </c>
      <c r="J986" s="62" t="s">
        <v>769</v>
      </c>
      <c r="K986" s="62" t="s">
        <v>769</v>
      </c>
      <c r="L986" s="62" t="s">
        <v>1110</v>
      </c>
    </row>
    <row r="987" spans="1:12" x14ac:dyDescent="0.35">
      <c r="A987">
        <v>15702</v>
      </c>
      <c r="B987" s="62" t="s">
        <v>366</v>
      </c>
      <c r="C987" s="62" t="s">
        <v>495</v>
      </c>
      <c r="D987" s="62" t="s">
        <v>363</v>
      </c>
      <c r="E987" s="62" t="s">
        <v>149</v>
      </c>
      <c r="F987" s="62" t="s">
        <v>6</v>
      </c>
      <c r="G987">
        <v>135</v>
      </c>
      <c r="H987">
        <v>135</v>
      </c>
      <c r="I987" s="62" t="s">
        <v>506</v>
      </c>
      <c r="J987" s="62" t="s">
        <v>771</v>
      </c>
      <c r="K987" s="62" t="s">
        <v>771</v>
      </c>
      <c r="L987" s="62" t="s">
        <v>1110</v>
      </c>
    </row>
    <row r="988" spans="1:12" x14ac:dyDescent="0.35">
      <c r="A988">
        <v>10988</v>
      </c>
      <c r="B988" s="62" t="s">
        <v>296</v>
      </c>
      <c r="C988" s="62" t="s">
        <v>491</v>
      </c>
      <c r="D988" s="62" t="s">
        <v>295</v>
      </c>
      <c r="E988" s="62" t="s">
        <v>149</v>
      </c>
      <c r="F988" s="62" t="s">
        <v>5</v>
      </c>
      <c r="G988">
        <v>8550</v>
      </c>
      <c r="H988">
        <v>8550</v>
      </c>
      <c r="I988" s="62" t="s">
        <v>506</v>
      </c>
      <c r="J988" s="62" t="s">
        <v>772</v>
      </c>
      <c r="K988" s="62" t="s">
        <v>772</v>
      </c>
      <c r="L988" s="62" t="s">
        <v>1110</v>
      </c>
    </row>
    <row r="989" spans="1:12" x14ac:dyDescent="0.35">
      <c r="A989">
        <v>10825</v>
      </c>
      <c r="B989" s="62" t="s">
        <v>306</v>
      </c>
      <c r="C989" s="62" t="s">
        <v>491</v>
      </c>
      <c r="D989" s="62" t="s">
        <v>304</v>
      </c>
      <c r="E989" s="62" t="s">
        <v>149</v>
      </c>
      <c r="F989" s="62" t="s">
        <v>6</v>
      </c>
      <c r="G989">
        <v>1167</v>
      </c>
      <c r="I989" s="62" t="s">
        <v>506</v>
      </c>
      <c r="J989" s="62" t="s">
        <v>773</v>
      </c>
      <c r="K989" s="62" t="s">
        <v>773</v>
      </c>
      <c r="L989" s="62" t="s">
        <v>1110</v>
      </c>
    </row>
    <row r="990" spans="1:12" x14ac:dyDescent="0.35">
      <c r="A990">
        <v>12205</v>
      </c>
      <c r="B990" s="62" t="s">
        <v>395</v>
      </c>
      <c r="C990" s="62" t="s">
        <v>498</v>
      </c>
      <c r="D990" s="62" t="s">
        <v>393</v>
      </c>
      <c r="E990" s="62" t="s">
        <v>149</v>
      </c>
      <c r="F990" s="62" t="s">
        <v>5</v>
      </c>
      <c r="G990">
        <v>2401</v>
      </c>
      <c r="H990">
        <v>2437</v>
      </c>
      <c r="I990" s="62" t="s">
        <v>506</v>
      </c>
      <c r="J990" s="62" t="s">
        <v>774</v>
      </c>
      <c r="K990" s="62" t="s">
        <v>774</v>
      </c>
      <c r="L990" s="62" t="s">
        <v>1110</v>
      </c>
    </row>
    <row r="991" spans="1:12" x14ac:dyDescent="0.35">
      <c r="A991">
        <v>12566</v>
      </c>
      <c r="B991" s="62" t="s">
        <v>372</v>
      </c>
      <c r="C991" s="62" t="s">
        <v>497</v>
      </c>
      <c r="D991" s="62" t="s">
        <v>371</v>
      </c>
      <c r="E991" s="62" t="s">
        <v>149</v>
      </c>
      <c r="F991" s="62" t="s">
        <v>6</v>
      </c>
      <c r="G991">
        <v>612</v>
      </c>
      <c r="H991">
        <v>612</v>
      </c>
      <c r="I991" s="62" t="s">
        <v>506</v>
      </c>
      <c r="J991" s="62" t="s">
        <v>775</v>
      </c>
      <c r="K991" s="62" t="s">
        <v>775</v>
      </c>
      <c r="L991" s="62" t="s">
        <v>1110</v>
      </c>
    </row>
    <row r="992" spans="1:12" x14ac:dyDescent="0.35">
      <c r="A992">
        <v>12566</v>
      </c>
      <c r="B992" s="62" t="s">
        <v>372</v>
      </c>
      <c r="C992" s="62" t="s">
        <v>497</v>
      </c>
      <c r="D992" s="62" t="s">
        <v>371</v>
      </c>
      <c r="E992" s="62" t="s">
        <v>149</v>
      </c>
      <c r="F992" s="62" t="s">
        <v>5</v>
      </c>
      <c r="G992">
        <v>3209</v>
      </c>
      <c r="H992">
        <v>3310</v>
      </c>
      <c r="I992" s="62" t="s">
        <v>506</v>
      </c>
      <c r="J992" s="62" t="s">
        <v>776</v>
      </c>
      <c r="K992" s="62" t="s">
        <v>776</v>
      </c>
      <c r="L992" s="62" t="s">
        <v>1110</v>
      </c>
    </row>
    <row r="993" spans="1:12" x14ac:dyDescent="0.35">
      <c r="A993">
        <v>16995</v>
      </c>
      <c r="B993" s="62" t="s">
        <v>378</v>
      </c>
      <c r="C993" s="62" t="s">
        <v>497</v>
      </c>
      <c r="D993" s="62" t="s">
        <v>377</v>
      </c>
      <c r="E993" s="62" t="s">
        <v>149</v>
      </c>
      <c r="F993" s="62" t="s">
        <v>568</v>
      </c>
      <c r="G993">
        <v>225</v>
      </c>
      <c r="H993">
        <v>225</v>
      </c>
      <c r="I993" s="62" t="s">
        <v>506</v>
      </c>
      <c r="J993" s="62" t="s">
        <v>780</v>
      </c>
      <c r="K993" s="62" t="s">
        <v>780</v>
      </c>
      <c r="L993" s="62" t="s">
        <v>1110</v>
      </c>
    </row>
    <row r="994" spans="1:12" x14ac:dyDescent="0.35">
      <c r="A994">
        <v>12456</v>
      </c>
      <c r="B994" s="62" t="s">
        <v>399</v>
      </c>
      <c r="C994" s="62" t="s">
        <v>498</v>
      </c>
      <c r="D994" s="62" t="s">
        <v>390</v>
      </c>
      <c r="E994" s="62" t="s">
        <v>149</v>
      </c>
      <c r="F994" s="62" t="s">
        <v>568</v>
      </c>
      <c r="G994">
        <v>41</v>
      </c>
      <c r="H994">
        <v>41</v>
      </c>
      <c r="I994" s="62" t="s">
        <v>506</v>
      </c>
      <c r="J994" s="62" t="s">
        <v>781</v>
      </c>
      <c r="K994" s="62" t="s">
        <v>781</v>
      </c>
      <c r="L994" s="62" t="s">
        <v>1110</v>
      </c>
    </row>
    <row r="995" spans="1:12" x14ac:dyDescent="0.35">
      <c r="A995">
        <v>19963</v>
      </c>
      <c r="B995" s="62" t="s">
        <v>760</v>
      </c>
      <c r="C995" s="62" t="s">
        <v>491</v>
      </c>
      <c r="D995" s="62" t="s">
        <v>293</v>
      </c>
      <c r="E995" s="62" t="s">
        <v>149</v>
      </c>
      <c r="F995" s="62" t="s">
        <v>568</v>
      </c>
      <c r="G995">
        <v>1420</v>
      </c>
      <c r="H995">
        <v>1420</v>
      </c>
      <c r="I995" s="62" t="s">
        <v>506</v>
      </c>
      <c r="J995" s="62" t="s">
        <v>782</v>
      </c>
      <c r="K995" s="62" t="s">
        <v>782</v>
      </c>
      <c r="L995" s="62" t="s">
        <v>1110</v>
      </c>
    </row>
    <row r="996" spans="1:12" x14ac:dyDescent="0.35">
      <c r="A996">
        <v>15282</v>
      </c>
      <c r="B996" s="62" t="s">
        <v>369</v>
      </c>
      <c r="C996" s="62" t="s">
        <v>496</v>
      </c>
      <c r="D996" s="62" t="s">
        <v>368</v>
      </c>
      <c r="E996" s="62" t="s">
        <v>149</v>
      </c>
      <c r="F996" s="62" t="s">
        <v>568</v>
      </c>
      <c r="G996">
        <v>5447</v>
      </c>
      <c r="H996">
        <v>16319</v>
      </c>
      <c r="I996" s="62" t="s">
        <v>506</v>
      </c>
      <c r="J996" s="62" t="s">
        <v>783</v>
      </c>
      <c r="K996" s="62" t="s">
        <v>783</v>
      </c>
      <c r="L996" s="62" t="s">
        <v>1110</v>
      </c>
    </row>
    <row r="997" spans="1:12" x14ac:dyDescent="0.35">
      <c r="A997">
        <v>10100</v>
      </c>
      <c r="B997" s="62" t="s">
        <v>291</v>
      </c>
      <c r="C997" s="62" t="s">
        <v>490</v>
      </c>
      <c r="D997" s="62" t="s">
        <v>290</v>
      </c>
      <c r="E997" s="62" t="s">
        <v>149</v>
      </c>
      <c r="F997" s="62" t="s">
        <v>568</v>
      </c>
      <c r="G997">
        <v>3204</v>
      </c>
      <c r="H997">
        <v>3204</v>
      </c>
      <c r="I997" s="62" t="s">
        <v>506</v>
      </c>
      <c r="J997" s="62" t="s">
        <v>784</v>
      </c>
      <c r="K997" s="62" t="s">
        <v>784</v>
      </c>
      <c r="L997" s="62" t="s">
        <v>1110</v>
      </c>
    </row>
    <row r="998" spans="1:12" x14ac:dyDescent="0.35">
      <c r="A998">
        <v>10602</v>
      </c>
      <c r="B998" s="62" t="s">
        <v>302</v>
      </c>
      <c r="C998" s="62" t="s">
        <v>491</v>
      </c>
      <c r="D998" s="62" t="s">
        <v>301</v>
      </c>
      <c r="E998" s="62" t="s">
        <v>149</v>
      </c>
      <c r="F998" s="62" t="s">
        <v>568</v>
      </c>
      <c r="G998">
        <v>3848</v>
      </c>
      <c r="H998">
        <v>15367</v>
      </c>
      <c r="I998" s="62" t="s">
        <v>506</v>
      </c>
      <c r="J998" s="62" t="s">
        <v>785</v>
      </c>
      <c r="K998" s="62" t="s">
        <v>785</v>
      </c>
      <c r="L998" s="62" t="s">
        <v>1110</v>
      </c>
    </row>
    <row r="999" spans="1:12" x14ac:dyDescent="0.35">
      <c r="A999">
        <v>10693</v>
      </c>
      <c r="B999" s="62" t="s">
        <v>303</v>
      </c>
      <c r="C999" s="62" t="s">
        <v>491</v>
      </c>
      <c r="D999" s="62" t="s">
        <v>301</v>
      </c>
      <c r="E999" s="62" t="s">
        <v>149</v>
      </c>
      <c r="F999" s="62" t="s">
        <v>568</v>
      </c>
      <c r="G999">
        <v>2429</v>
      </c>
      <c r="H999">
        <v>2429</v>
      </c>
      <c r="I999" s="62" t="s">
        <v>506</v>
      </c>
      <c r="J999" s="62" t="s">
        <v>786</v>
      </c>
      <c r="K999" s="62" t="s">
        <v>786</v>
      </c>
      <c r="L999" s="62" t="s">
        <v>1110</v>
      </c>
    </row>
    <row r="1000" spans="1:12" x14ac:dyDescent="0.35">
      <c r="A1000">
        <v>12251</v>
      </c>
      <c r="B1000" s="62" t="s">
        <v>386</v>
      </c>
      <c r="C1000" s="62" t="s">
        <v>497</v>
      </c>
      <c r="D1000" s="62" t="s">
        <v>379</v>
      </c>
      <c r="E1000" s="62" t="s">
        <v>149</v>
      </c>
      <c r="F1000" s="62" t="s">
        <v>568</v>
      </c>
      <c r="G1000">
        <v>204</v>
      </c>
      <c r="H1000">
        <v>204</v>
      </c>
      <c r="I1000" s="62" t="s">
        <v>506</v>
      </c>
      <c r="J1000" s="62" t="s">
        <v>787</v>
      </c>
      <c r="K1000" s="62" t="s">
        <v>787</v>
      </c>
      <c r="L1000" s="62" t="s">
        <v>1110</v>
      </c>
    </row>
    <row r="1001" spans="1:12" x14ac:dyDescent="0.35">
      <c r="A1001">
        <v>12190</v>
      </c>
      <c r="B1001" s="62" t="s">
        <v>383</v>
      </c>
      <c r="C1001" s="62" t="s">
        <v>497</v>
      </c>
      <c r="D1001" s="62" t="s">
        <v>379</v>
      </c>
      <c r="E1001" s="62" t="s">
        <v>149</v>
      </c>
      <c r="F1001" s="62" t="s">
        <v>568</v>
      </c>
      <c r="G1001">
        <v>217</v>
      </c>
      <c r="H1001">
        <v>217</v>
      </c>
      <c r="I1001" s="62" t="s">
        <v>506</v>
      </c>
      <c r="J1001" s="62" t="s">
        <v>788</v>
      </c>
      <c r="K1001" s="62" t="s">
        <v>788</v>
      </c>
      <c r="L1001" s="62" t="s">
        <v>1110</v>
      </c>
    </row>
    <row r="1002" spans="1:12" x14ac:dyDescent="0.35">
      <c r="A1002">
        <v>15636</v>
      </c>
      <c r="B1002" s="62" t="s">
        <v>362</v>
      </c>
      <c r="C1002" s="62" t="s">
        <v>495</v>
      </c>
      <c r="D1002" s="62" t="s">
        <v>360</v>
      </c>
      <c r="E1002" s="62" t="s">
        <v>149</v>
      </c>
      <c r="F1002" s="62" t="s">
        <v>568</v>
      </c>
      <c r="G1002">
        <v>250</v>
      </c>
      <c r="H1002">
        <v>250</v>
      </c>
      <c r="I1002" s="62" t="s">
        <v>506</v>
      </c>
      <c r="J1002" s="62" t="s">
        <v>789</v>
      </c>
      <c r="K1002" s="62" t="s">
        <v>789</v>
      </c>
      <c r="L1002" s="62" t="s">
        <v>1110</v>
      </c>
    </row>
    <row r="1003" spans="1:12" x14ac:dyDescent="0.35">
      <c r="A1003">
        <v>22152</v>
      </c>
      <c r="B1003" s="62" t="s">
        <v>232</v>
      </c>
      <c r="C1003" s="62" t="s">
        <v>487</v>
      </c>
      <c r="D1003" s="62" t="s">
        <v>226</v>
      </c>
      <c r="E1003" s="62" t="s">
        <v>149</v>
      </c>
      <c r="F1003" s="62" t="s">
        <v>568</v>
      </c>
      <c r="G1003">
        <v>426</v>
      </c>
      <c r="H1003">
        <v>426</v>
      </c>
      <c r="I1003" s="62" t="s">
        <v>506</v>
      </c>
      <c r="J1003" s="62" t="s">
        <v>790</v>
      </c>
      <c r="K1003" s="62" t="s">
        <v>790</v>
      </c>
      <c r="L1003" s="62" t="s">
        <v>1110</v>
      </c>
    </row>
    <row r="1004" spans="1:12" x14ac:dyDescent="0.35">
      <c r="A1004">
        <v>12745</v>
      </c>
      <c r="B1004" s="62" t="s">
        <v>402</v>
      </c>
      <c r="C1004" s="62" t="s">
        <v>499</v>
      </c>
      <c r="D1004" s="62" t="s">
        <v>401</v>
      </c>
      <c r="E1004" s="62" t="s">
        <v>149</v>
      </c>
      <c r="F1004" s="62" t="s">
        <v>568</v>
      </c>
      <c r="G1004">
        <v>202</v>
      </c>
      <c r="H1004">
        <v>202</v>
      </c>
      <c r="I1004" s="62" t="s">
        <v>506</v>
      </c>
      <c r="J1004" s="62" t="s">
        <v>791</v>
      </c>
      <c r="K1004" s="62" t="s">
        <v>791</v>
      </c>
      <c r="L1004" s="62" t="s">
        <v>1110</v>
      </c>
    </row>
    <row r="1005" spans="1:12" x14ac:dyDescent="0.35">
      <c r="A1005">
        <v>11962</v>
      </c>
      <c r="B1005" s="62" t="s">
        <v>394</v>
      </c>
      <c r="C1005" s="62" t="s">
        <v>498</v>
      </c>
      <c r="D1005" s="62" t="s">
        <v>393</v>
      </c>
      <c r="E1005" s="62" t="s">
        <v>149</v>
      </c>
      <c r="F1005" s="62" t="s">
        <v>568</v>
      </c>
      <c r="G1005">
        <v>671</v>
      </c>
      <c r="H1005">
        <v>671</v>
      </c>
      <c r="I1005" s="62" t="s">
        <v>506</v>
      </c>
      <c r="J1005" s="62" t="s">
        <v>792</v>
      </c>
      <c r="K1005" s="62" t="s">
        <v>792</v>
      </c>
      <c r="L1005" s="62" t="s">
        <v>1110</v>
      </c>
    </row>
    <row r="1006" spans="1:12" x14ac:dyDescent="0.35">
      <c r="A1006">
        <v>11069</v>
      </c>
      <c r="B1006" s="62" t="s">
        <v>283</v>
      </c>
      <c r="C1006" s="62" t="s">
        <v>489</v>
      </c>
      <c r="D1006" s="62" t="s">
        <v>281</v>
      </c>
      <c r="E1006" s="62" t="s">
        <v>149</v>
      </c>
      <c r="F1006" s="62" t="s">
        <v>568</v>
      </c>
      <c r="G1006">
        <v>650</v>
      </c>
      <c r="I1006" s="62" t="s">
        <v>506</v>
      </c>
      <c r="J1006" s="62" t="s">
        <v>793</v>
      </c>
      <c r="K1006" s="62" t="s">
        <v>793</v>
      </c>
      <c r="L1006" s="62" t="s">
        <v>1110</v>
      </c>
    </row>
    <row r="1007" spans="1:12" x14ac:dyDescent="0.35">
      <c r="A1007">
        <v>11970</v>
      </c>
      <c r="B1007" s="62" t="s">
        <v>260</v>
      </c>
      <c r="C1007" s="62" t="s">
        <v>758</v>
      </c>
      <c r="D1007" s="62" t="s">
        <v>259</v>
      </c>
      <c r="E1007" s="62" t="s">
        <v>149</v>
      </c>
      <c r="F1007" s="62" t="s">
        <v>568</v>
      </c>
      <c r="G1007">
        <v>6143</v>
      </c>
      <c r="H1007">
        <v>18409</v>
      </c>
      <c r="I1007" s="62" t="s">
        <v>506</v>
      </c>
      <c r="J1007" s="62" t="s">
        <v>794</v>
      </c>
      <c r="K1007" s="62" t="s">
        <v>794</v>
      </c>
      <c r="L1007" s="62" t="s">
        <v>1110</v>
      </c>
    </row>
    <row r="1008" spans="1:12" x14ac:dyDescent="0.35">
      <c r="A1008">
        <v>20579</v>
      </c>
      <c r="B1008" s="62" t="s">
        <v>382</v>
      </c>
      <c r="C1008" s="62" t="s">
        <v>497</v>
      </c>
      <c r="D1008" s="62" t="s">
        <v>379</v>
      </c>
      <c r="E1008" s="62" t="s">
        <v>149</v>
      </c>
      <c r="F1008" s="62" t="s">
        <v>568</v>
      </c>
      <c r="G1008">
        <v>68</v>
      </c>
      <c r="H1008">
        <v>68</v>
      </c>
      <c r="I1008" s="62" t="s">
        <v>506</v>
      </c>
      <c r="J1008" s="62" t="s">
        <v>795</v>
      </c>
      <c r="K1008" s="62" t="s">
        <v>795</v>
      </c>
      <c r="L1008" s="62" t="s">
        <v>1110</v>
      </c>
    </row>
    <row r="1009" spans="1:12" x14ac:dyDescent="0.35">
      <c r="A1009">
        <v>16742</v>
      </c>
      <c r="B1009" s="62" t="s">
        <v>770</v>
      </c>
      <c r="C1009" s="62" t="s">
        <v>499</v>
      </c>
      <c r="D1009" s="62" t="s">
        <v>405</v>
      </c>
      <c r="E1009" s="62" t="s">
        <v>149</v>
      </c>
      <c r="F1009" s="62" t="s">
        <v>568</v>
      </c>
      <c r="G1009">
        <v>201</v>
      </c>
      <c r="H1009">
        <v>201</v>
      </c>
      <c r="I1009" s="62" t="s">
        <v>506</v>
      </c>
      <c r="J1009" s="62" t="s">
        <v>796</v>
      </c>
      <c r="K1009" s="62" t="s">
        <v>796</v>
      </c>
      <c r="L1009" s="62" t="s">
        <v>1110</v>
      </c>
    </row>
    <row r="1010" spans="1:12" x14ac:dyDescent="0.35">
      <c r="A1010">
        <v>12204</v>
      </c>
      <c r="B1010" s="62" t="s">
        <v>384</v>
      </c>
      <c r="C1010" s="62" t="s">
        <v>497</v>
      </c>
      <c r="D1010" s="62" t="s">
        <v>379</v>
      </c>
      <c r="E1010" s="62" t="s">
        <v>149</v>
      </c>
      <c r="F1010" s="62" t="s">
        <v>568</v>
      </c>
      <c r="G1010">
        <v>302</v>
      </c>
      <c r="H1010">
        <v>302</v>
      </c>
      <c r="I1010" s="62" t="s">
        <v>506</v>
      </c>
      <c r="J1010" s="62" t="s">
        <v>797</v>
      </c>
      <c r="K1010" s="62" t="s">
        <v>797</v>
      </c>
      <c r="L1010" s="62" t="s">
        <v>1110</v>
      </c>
    </row>
    <row r="1011" spans="1:12" x14ac:dyDescent="0.35">
      <c r="A1011">
        <v>14553</v>
      </c>
      <c r="B1011" s="62" t="s">
        <v>206</v>
      </c>
      <c r="C1011" s="62" t="s">
        <v>486</v>
      </c>
      <c r="D1011" s="62" t="s">
        <v>205</v>
      </c>
      <c r="E1011" s="62" t="s">
        <v>149</v>
      </c>
      <c r="F1011" s="62" t="s">
        <v>568</v>
      </c>
      <c r="G1011">
        <v>2650</v>
      </c>
      <c r="H1011">
        <v>2650</v>
      </c>
      <c r="I1011" s="62" t="s">
        <v>506</v>
      </c>
      <c r="J1011" s="62" t="s">
        <v>798</v>
      </c>
      <c r="K1011" s="62" t="s">
        <v>798</v>
      </c>
      <c r="L1011" s="62" t="s">
        <v>1110</v>
      </c>
    </row>
    <row r="1012" spans="1:12" x14ac:dyDescent="0.35">
      <c r="A1012">
        <v>15652</v>
      </c>
      <c r="B1012" s="62" t="s">
        <v>316</v>
      </c>
      <c r="C1012" s="62" t="s">
        <v>493</v>
      </c>
      <c r="D1012" s="62" t="s">
        <v>315</v>
      </c>
      <c r="E1012" s="62" t="s">
        <v>149</v>
      </c>
      <c r="F1012" s="62" t="s">
        <v>568</v>
      </c>
      <c r="G1012">
        <v>1113</v>
      </c>
      <c r="H1012">
        <v>1113</v>
      </c>
      <c r="I1012" s="62" t="s">
        <v>506</v>
      </c>
      <c r="J1012" s="62" t="s">
        <v>799</v>
      </c>
      <c r="K1012" s="62" t="s">
        <v>799</v>
      </c>
      <c r="L1012" s="62" t="s">
        <v>1110</v>
      </c>
    </row>
    <row r="1013" spans="1:12" x14ac:dyDescent="0.35">
      <c r="A1013">
        <v>12489</v>
      </c>
      <c r="B1013" s="62" t="s">
        <v>408</v>
      </c>
      <c r="C1013" s="62" t="s">
        <v>499</v>
      </c>
      <c r="D1013" s="62" t="s">
        <v>407</v>
      </c>
      <c r="E1013" s="62" t="s">
        <v>149</v>
      </c>
      <c r="F1013" s="62" t="s">
        <v>568</v>
      </c>
      <c r="G1013">
        <v>703</v>
      </c>
      <c r="H1013">
        <v>703</v>
      </c>
      <c r="I1013" s="62" t="s">
        <v>506</v>
      </c>
      <c r="J1013" s="62" t="s">
        <v>800</v>
      </c>
      <c r="K1013" s="62" t="s">
        <v>800</v>
      </c>
      <c r="L1013" s="62" t="s">
        <v>1110</v>
      </c>
    </row>
    <row r="1014" spans="1:12" x14ac:dyDescent="0.35">
      <c r="A1014">
        <v>10221</v>
      </c>
      <c r="B1014" s="62" t="s">
        <v>285</v>
      </c>
      <c r="C1014" s="62" t="s">
        <v>489</v>
      </c>
      <c r="D1014" s="62" t="s">
        <v>284</v>
      </c>
      <c r="E1014" s="62" t="s">
        <v>149</v>
      </c>
      <c r="F1014" s="62" t="s">
        <v>568</v>
      </c>
      <c r="G1014">
        <v>259</v>
      </c>
      <c r="H1014">
        <v>259</v>
      </c>
      <c r="I1014" s="62" t="s">
        <v>506</v>
      </c>
      <c r="J1014" s="62" t="s">
        <v>801</v>
      </c>
      <c r="K1014" s="62" t="s">
        <v>801</v>
      </c>
      <c r="L1014" s="62" t="s">
        <v>1110</v>
      </c>
    </row>
    <row r="1015" spans="1:12" x14ac:dyDescent="0.35">
      <c r="A1015">
        <v>12205</v>
      </c>
      <c r="B1015" s="62" t="s">
        <v>395</v>
      </c>
      <c r="C1015" s="62" t="s">
        <v>498</v>
      </c>
      <c r="D1015" s="62" t="s">
        <v>393</v>
      </c>
      <c r="E1015" s="62" t="s">
        <v>149</v>
      </c>
      <c r="F1015" s="62" t="s">
        <v>568</v>
      </c>
      <c r="G1015">
        <v>102</v>
      </c>
      <c r="H1015">
        <v>102</v>
      </c>
      <c r="I1015" s="62" t="s">
        <v>506</v>
      </c>
      <c r="J1015" s="62" t="s">
        <v>802</v>
      </c>
      <c r="K1015" s="62" t="s">
        <v>802</v>
      </c>
      <c r="L1015" s="62" t="s">
        <v>1110</v>
      </c>
    </row>
    <row r="1016" spans="1:12" x14ac:dyDescent="0.35">
      <c r="A1016">
        <v>12743</v>
      </c>
      <c r="B1016" s="62" t="s">
        <v>187</v>
      </c>
      <c r="C1016" s="62" t="s">
        <v>485</v>
      </c>
      <c r="D1016" s="62" t="s">
        <v>175</v>
      </c>
      <c r="E1016" s="62" t="s">
        <v>149</v>
      </c>
      <c r="F1016" s="62" t="s">
        <v>568</v>
      </c>
      <c r="G1016">
        <v>674</v>
      </c>
      <c r="H1016">
        <v>674</v>
      </c>
      <c r="I1016" s="62" t="s">
        <v>506</v>
      </c>
      <c r="J1016" s="62" t="s">
        <v>803</v>
      </c>
      <c r="K1016" s="62" t="s">
        <v>803</v>
      </c>
      <c r="L1016" s="62" t="s">
        <v>1110</v>
      </c>
    </row>
    <row r="1017" spans="1:12" x14ac:dyDescent="0.35">
      <c r="A1017">
        <v>12413</v>
      </c>
      <c r="B1017" s="62" t="s">
        <v>239</v>
      </c>
      <c r="C1017" s="62" t="s">
        <v>487</v>
      </c>
      <c r="D1017" s="62" t="s">
        <v>237</v>
      </c>
      <c r="E1017" s="62" t="s">
        <v>149</v>
      </c>
      <c r="F1017" s="62" t="s">
        <v>568</v>
      </c>
      <c r="G1017">
        <v>1696</v>
      </c>
      <c r="H1017">
        <v>1696</v>
      </c>
      <c r="I1017" s="62" t="s">
        <v>506</v>
      </c>
      <c r="J1017" s="62" t="s">
        <v>804</v>
      </c>
      <c r="K1017" s="62" t="s">
        <v>804</v>
      </c>
      <c r="L1017" s="62" t="s">
        <v>1110</v>
      </c>
    </row>
    <row r="1018" spans="1:12" x14ac:dyDescent="0.35">
      <c r="A1018">
        <v>11981</v>
      </c>
      <c r="B1018" s="62" t="s">
        <v>404</v>
      </c>
      <c r="C1018" s="62" t="s">
        <v>499</v>
      </c>
      <c r="D1018" s="62" t="s">
        <v>403</v>
      </c>
      <c r="E1018" s="62" t="s">
        <v>149</v>
      </c>
      <c r="F1018" s="62" t="s">
        <v>568</v>
      </c>
      <c r="G1018">
        <v>441</v>
      </c>
      <c r="H1018">
        <v>441</v>
      </c>
      <c r="I1018" s="62" t="s">
        <v>506</v>
      </c>
      <c r="J1018" s="62" t="s">
        <v>805</v>
      </c>
      <c r="K1018" s="62" t="s">
        <v>805</v>
      </c>
      <c r="L1018" s="62" t="s">
        <v>1110</v>
      </c>
    </row>
    <row r="1019" spans="1:12" x14ac:dyDescent="0.35">
      <c r="A1019">
        <v>12422</v>
      </c>
      <c r="B1019" s="62" t="s">
        <v>148</v>
      </c>
      <c r="C1019" s="62" t="s">
        <v>485</v>
      </c>
      <c r="D1019" s="62" t="s">
        <v>146</v>
      </c>
      <c r="E1019" s="62" t="s">
        <v>149</v>
      </c>
      <c r="F1019" s="62" t="s">
        <v>568</v>
      </c>
      <c r="G1019">
        <v>894</v>
      </c>
      <c r="H1019">
        <v>894</v>
      </c>
      <c r="I1019" s="62" t="s">
        <v>506</v>
      </c>
      <c r="J1019" s="62" t="s">
        <v>806</v>
      </c>
      <c r="K1019" s="62" t="s">
        <v>806</v>
      </c>
      <c r="L1019" s="62" t="s">
        <v>1110</v>
      </c>
    </row>
    <row r="1020" spans="1:12" x14ac:dyDescent="0.35">
      <c r="A1020">
        <v>12492</v>
      </c>
      <c r="B1020" s="62" t="s">
        <v>156</v>
      </c>
      <c r="C1020" s="62" t="s">
        <v>485</v>
      </c>
      <c r="D1020" s="62" t="s">
        <v>152</v>
      </c>
      <c r="E1020" s="62" t="s">
        <v>149</v>
      </c>
      <c r="F1020" s="62" t="s">
        <v>568</v>
      </c>
      <c r="G1020">
        <v>7159</v>
      </c>
      <c r="H1020">
        <v>16137</v>
      </c>
      <c r="I1020" s="62" t="s">
        <v>506</v>
      </c>
      <c r="J1020" s="62" t="s">
        <v>807</v>
      </c>
      <c r="K1020" s="62" t="s">
        <v>807</v>
      </c>
      <c r="L1020" s="62" t="s">
        <v>1110</v>
      </c>
    </row>
    <row r="1021" spans="1:12" x14ac:dyDescent="0.35">
      <c r="A1021">
        <v>11030</v>
      </c>
      <c r="B1021" s="62" t="s">
        <v>307</v>
      </c>
      <c r="C1021" s="62" t="s">
        <v>491</v>
      </c>
      <c r="D1021" s="62" t="s">
        <v>304</v>
      </c>
      <c r="E1021" s="62" t="s">
        <v>149</v>
      </c>
      <c r="F1021" s="62" t="s">
        <v>568</v>
      </c>
      <c r="G1021">
        <v>933</v>
      </c>
      <c r="H1021">
        <v>933</v>
      </c>
      <c r="I1021" s="62" t="s">
        <v>506</v>
      </c>
      <c r="J1021" s="62" t="s">
        <v>808</v>
      </c>
      <c r="K1021" s="62" t="s">
        <v>808</v>
      </c>
      <c r="L1021" s="62" t="s">
        <v>1110</v>
      </c>
    </row>
    <row r="1022" spans="1:12" x14ac:dyDescent="0.35">
      <c r="A1022">
        <v>15702</v>
      </c>
      <c r="B1022" s="62" t="s">
        <v>366</v>
      </c>
      <c r="C1022" s="62" t="s">
        <v>495</v>
      </c>
      <c r="D1022" s="62" t="s">
        <v>363</v>
      </c>
      <c r="E1022" s="62" t="s">
        <v>149</v>
      </c>
      <c r="F1022" s="62" t="s">
        <v>568</v>
      </c>
      <c r="G1022">
        <v>315</v>
      </c>
      <c r="H1022">
        <v>315</v>
      </c>
      <c r="I1022" s="62" t="s">
        <v>506</v>
      </c>
      <c r="J1022" s="62" t="s">
        <v>809</v>
      </c>
      <c r="K1022" s="62" t="s">
        <v>809</v>
      </c>
      <c r="L1022" s="62" t="s">
        <v>1110</v>
      </c>
    </row>
    <row r="1023" spans="1:12" x14ac:dyDescent="0.35">
      <c r="A1023">
        <v>12502</v>
      </c>
      <c r="B1023" s="62" t="s">
        <v>397</v>
      </c>
      <c r="C1023" s="62" t="s">
        <v>498</v>
      </c>
      <c r="D1023" s="62" t="s">
        <v>396</v>
      </c>
      <c r="E1023" s="62" t="s">
        <v>149</v>
      </c>
      <c r="F1023" s="62" t="s">
        <v>568</v>
      </c>
      <c r="G1023">
        <v>230</v>
      </c>
      <c r="H1023">
        <v>230</v>
      </c>
      <c r="I1023" s="62" t="s">
        <v>506</v>
      </c>
      <c r="J1023" s="62" t="s">
        <v>810</v>
      </c>
      <c r="K1023" s="62" t="s">
        <v>810</v>
      </c>
      <c r="L1023" s="62" t="s">
        <v>1110</v>
      </c>
    </row>
    <row r="1024" spans="1:12" x14ac:dyDescent="0.35">
      <c r="A1024">
        <v>10398</v>
      </c>
      <c r="B1024" s="62" t="s">
        <v>286</v>
      </c>
      <c r="C1024" s="62" t="s">
        <v>489</v>
      </c>
      <c r="D1024" s="62" t="s">
        <v>284</v>
      </c>
      <c r="E1024" s="62" t="s">
        <v>149</v>
      </c>
      <c r="F1024" s="62" t="s">
        <v>568</v>
      </c>
      <c r="G1024">
        <v>573</v>
      </c>
      <c r="H1024">
        <v>573</v>
      </c>
      <c r="I1024" s="62" t="s">
        <v>506</v>
      </c>
      <c r="J1024" s="62" t="s">
        <v>811</v>
      </c>
      <c r="K1024" s="62" t="s">
        <v>811</v>
      </c>
      <c r="L1024" s="62" t="s">
        <v>1110</v>
      </c>
    </row>
    <row r="1025" spans="1:12" x14ac:dyDescent="0.35">
      <c r="A1025">
        <v>12769</v>
      </c>
      <c r="B1025" s="62" t="s">
        <v>269</v>
      </c>
      <c r="C1025" s="62" t="s">
        <v>758</v>
      </c>
      <c r="D1025" s="62" t="s">
        <v>268</v>
      </c>
      <c r="E1025" s="62" t="s">
        <v>149</v>
      </c>
      <c r="F1025" s="62" t="s">
        <v>568</v>
      </c>
      <c r="G1025">
        <v>644</v>
      </c>
      <c r="H1025">
        <v>644</v>
      </c>
      <c r="I1025" s="62" t="s">
        <v>506</v>
      </c>
      <c r="J1025" s="62" t="s">
        <v>812</v>
      </c>
      <c r="K1025" s="62" t="s">
        <v>812</v>
      </c>
      <c r="L1025" s="62" t="s">
        <v>1110</v>
      </c>
    </row>
    <row r="1026" spans="1:12" x14ac:dyDescent="0.35">
      <c r="A1026">
        <v>12813</v>
      </c>
      <c r="B1026" s="62" t="s">
        <v>270</v>
      </c>
      <c r="C1026" s="62" t="s">
        <v>758</v>
      </c>
      <c r="D1026" s="62" t="s">
        <v>268</v>
      </c>
      <c r="E1026" s="62" t="s">
        <v>149</v>
      </c>
      <c r="F1026" s="62" t="s">
        <v>568</v>
      </c>
      <c r="G1026">
        <v>484</v>
      </c>
      <c r="H1026">
        <v>484</v>
      </c>
      <c r="I1026" s="62" t="s">
        <v>506</v>
      </c>
      <c r="J1026" s="62" t="s">
        <v>813</v>
      </c>
      <c r="K1026" s="62" t="s">
        <v>813</v>
      </c>
      <c r="L1026" s="62" t="s">
        <v>1110</v>
      </c>
    </row>
    <row r="1027" spans="1:12" x14ac:dyDescent="0.35">
      <c r="A1027">
        <v>10808</v>
      </c>
      <c r="B1027" s="62" t="s">
        <v>282</v>
      </c>
      <c r="C1027" s="62" t="s">
        <v>489</v>
      </c>
      <c r="D1027" s="62" t="s">
        <v>281</v>
      </c>
      <c r="E1027" s="62" t="s">
        <v>149</v>
      </c>
      <c r="F1027" s="62" t="s">
        <v>568</v>
      </c>
      <c r="G1027">
        <v>4343</v>
      </c>
      <c r="H1027">
        <v>4343</v>
      </c>
      <c r="I1027" s="62" t="s">
        <v>506</v>
      </c>
      <c r="J1027" s="62" t="s">
        <v>814</v>
      </c>
      <c r="K1027" s="62" t="s">
        <v>814</v>
      </c>
      <c r="L1027" s="62" t="s">
        <v>1110</v>
      </c>
    </row>
    <row r="1028" spans="1:12" x14ac:dyDescent="0.35">
      <c r="A1028">
        <v>11041</v>
      </c>
      <c r="B1028" s="62" t="s">
        <v>310</v>
      </c>
      <c r="C1028" s="62" t="s">
        <v>491</v>
      </c>
      <c r="D1028" s="62" t="s">
        <v>308</v>
      </c>
      <c r="E1028" s="62" t="s">
        <v>149</v>
      </c>
      <c r="F1028" s="62" t="s">
        <v>568</v>
      </c>
      <c r="G1028">
        <v>912</v>
      </c>
      <c r="H1028">
        <v>912</v>
      </c>
      <c r="I1028" s="62" t="s">
        <v>506</v>
      </c>
      <c r="J1028" s="62" t="s">
        <v>815</v>
      </c>
      <c r="K1028" s="62" t="s">
        <v>815</v>
      </c>
      <c r="L1028" s="62" t="s">
        <v>1110</v>
      </c>
    </row>
    <row r="1029" spans="1:12" x14ac:dyDescent="0.35">
      <c r="A1029">
        <v>14485</v>
      </c>
      <c r="B1029" s="62" t="s">
        <v>361</v>
      </c>
      <c r="C1029" s="62" t="s">
        <v>495</v>
      </c>
      <c r="D1029" s="62" t="s">
        <v>360</v>
      </c>
      <c r="E1029" s="62" t="s">
        <v>149</v>
      </c>
      <c r="F1029" s="62" t="s">
        <v>568</v>
      </c>
      <c r="G1029">
        <v>2728</v>
      </c>
      <c r="H1029">
        <v>2728</v>
      </c>
      <c r="I1029" s="62" t="s">
        <v>506</v>
      </c>
      <c r="J1029" s="62" t="s">
        <v>816</v>
      </c>
      <c r="K1029" s="62" t="s">
        <v>816</v>
      </c>
      <c r="L1029" s="62" t="s">
        <v>1110</v>
      </c>
    </row>
    <row r="1030" spans="1:12" x14ac:dyDescent="0.35">
      <c r="A1030">
        <v>17490</v>
      </c>
      <c r="B1030" s="62" t="s">
        <v>309</v>
      </c>
      <c r="C1030" s="62" t="s">
        <v>491</v>
      </c>
      <c r="D1030" s="62" t="s">
        <v>308</v>
      </c>
      <c r="E1030" s="62" t="s">
        <v>149</v>
      </c>
      <c r="F1030" s="62" t="s">
        <v>568</v>
      </c>
      <c r="G1030">
        <v>1105</v>
      </c>
      <c r="H1030">
        <v>1105</v>
      </c>
      <c r="I1030" s="62" t="s">
        <v>506</v>
      </c>
      <c r="J1030" s="62" t="s">
        <v>817</v>
      </c>
      <c r="K1030" s="62" t="s">
        <v>817</v>
      </c>
      <c r="L1030" s="62" t="s">
        <v>1110</v>
      </c>
    </row>
    <row r="1031" spans="1:12" x14ac:dyDescent="0.35">
      <c r="A1031">
        <v>12566</v>
      </c>
      <c r="B1031" s="62" t="s">
        <v>372</v>
      </c>
      <c r="C1031" s="62" t="s">
        <v>497</v>
      </c>
      <c r="D1031" s="62" t="s">
        <v>371</v>
      </c>
      <c r="E1031" s="62" t="s">
        <v>149</v>
      </c>
      <c r="F1031" s="62" t="s">
        <v>568</v>
      </c>
      <c r="G1031">
        <v>503</v>
      </c>
      <c r="H1031">
        <v>503</v>
      </c>
      <c r="I1031" s="62" t="s">
        <v>506</v>
      </c>
      <c r="J1031" s="62" t="s">
        <v>818</v>
      </c>
      <c r="K1031" s="62" t="s">
        <v>818</v>
      </c>
      <c r="L1031" s="62" t="s">
        <v>1110</v>
      </c>
    </row>
    <row r="1032" spans="1:12" x14ac:dyDescent="0.35">
      <c r="A1032">
        <v>12013</v>
      </c>
      <c r="B1032" s="62" t="s">
        <v>381</v>
      </c>
      <c r="C1032" s="62" t="s">
        <v>497</v>
      </c>
      <c r="D1032" s="62" t="s">
        <v>379</v>
      </c>
      <c r="E1032" s="62" t="s">
        <v>149</v>
      </c>
      <c r="F1032" s="62" t="s">
        <v>568</v>
      </c>
      <c r="G1032">
        <v>60</v>
      </c>
      <c r="H1032">
        <v>60</v>
      </c>
      <c r="I1032" s="62" t="s">
        <v>506</v>
      </c>
      <c r="J1032" s="62" t="s">
        <v>819</v>
      </c>
      <c r="K1032" s="62" t="s">
        <v>819</v>
      </c>
      <c r="L1032" s="62" t="s">
        <v>1110</v>
      </c>
    </row>
    <row r="1033" spans="1:12" x14ac:dyDescent="0.35">
      <c r="A1033">
        <v>12241</v>
      </c>
      <c r="B1033" s="62" t="s">
        <v>385</v>
      </c>
      <c r="C1033" s="62" t="s">
        <v>497</v>
      </c>
      <c r="D1033" s="62" t="s">
        <v>379</v>
      </c>
      <c r="E1033" s="62" t="s">
        <v>149</v>
      </c>
      <c r="F1033" s="62" t="s">
        <v>568</v>
      </c>
      <c r="G1033">
        <v>105</v>
      </c>
      <c r="H1033">
        <v>105</v>
      </c>
      <c r="I1033" s="62" t="s">
        <v>506</v>
      </c>
      <c r="J1033" s="62" t="s">
        <v>820</v>
      </c>
      <c r="K1033" s="62" t="s">
        <v>820</v>
      </c>
      <c r="L1033" s="62" t="s">
        <v>1110</v>
      </c>
    </row>
    <row r="1034" spans="1:12" x14ac:dyDescent="0.35">
      <c r="A1034">
        <v>10603</v>
      </c>
      <c r="B1034" s="62" t="s">
        <v>300</v>
      </c>
      <c r="C1034" s="62" t="s">
        <v>491</v>
      </c>
      <c r="D1034" s="62" t="s">
        <v>299</v>
      </c>
      <c r="E1034" s="62" t="s">
        <v>149</v>
      </c>
      <c r="F1034" s="62" t="s">
        <v>568</v>
      </c>
      <c r="G1034">
        <v>6424</v>
      </c>
      <c r="H1034">
        <v>33938</v>
      </c>
      <c r="I1034" s="62" t="s">
        <v>506</v>
      </c>
      <c r="J1034" s="62" t="s">
        <v>821</v>
      </c>
      <c r="K1034" s="62" t="s">
        <v>821</v>
      </c>
      <c r="L1034" s="62" t="s">
        <v>1110</v>
      </c>
    </row>
    <row r="1035" spans="1:12" x14ac:dyDescent="0.35">
      <c r="A1035">
        <v>17094</v>
      </c>
      <c r="B1035" s="62" t="s">
        <v>298</v>
      </c>
      <c r="C1035" s="62" t="s">
        <v>491</v>
      </c>
      <c r="D1035" s="62" t="s">
        <v>297</v>
      </c>
      <c r="E1035" s="62" t="s">
        <v>149</v>
      </c>
      <c r="F1035" s="62" t="s">
        <v>568</v>
      </c>
      <c r="G1035">
        <v>1123</v>
      </c>
      <c r="H1035">
        <v>1123</v>
      </c>
      <c r="I1035" s="62" t="s">
        <v>506</v>
      </c>
      <c r="J1035" s="62" t="s">
        <v>822</v>
      </c>
      <c r="K1035" s="62" t="s">
        <v>822</v>
      </c>
      <c r="L1035" s="62" t="s">
        <v>1110</v>
      </c>
    </row>
    <row r="1036" spans="1:12" x14ac:dyDescent="0.35">
      <c r="A1036">
        <v>10321</v>
      </c>
      <c r="B1036" s="62" t="s">
        <v>305</v>
      </c>
      <c r="C1036" s="62" t="s">
        <v>491</v>
      </c>
      <c r="D1036" s="62" t="s">
        <v>304</v>
      </c>
      <c r="E1036" s="62" t="s">
        <v>149</v>
      </c>
      <c r="F1036" s="62" t="s">
        <v>568</v>
      </c>
      <c r="G1036">
        <v>577</v>
      </c>
      <c r="H1036">
        <v>577</v>
      </c>
      <c r="I1036" s="62" t="s">
        <v>506</v>
      </c>
      <c r="J1036" s="62" t="s">
        <v>823</v>
      </c>
      <c r="K1036" s="62" t="s">
        <v>823</v>
      </c>
      <c r="L1036" s="62" t="s">
        <v>1110</v>
      </c>
    </row>
    <row r="1037" spans="1:12" x14ac:dyDescent="0.35">
      <c r="A1037">
        <v>11124</v>
      </c>
      <c r="B1037" s="62" t="s">
        <v>289</v>
      </c>
      <c r="C1037" s="62" t="s">
        <v>490</v>
      </c>
      <c r="D1037" s="62" t="s">
        <v>288</v>
      </c>
      <c r="E1037" s="62" t="s">
        <v>149</v>
      </c>
      <c r="F1037" s="62" t="s">
        <v>568</v>
      </c>
      <c r="G1037">
        <v>3703</v>
      </c>
      <c r="H1037">
        <v>3703</v>
      </c>
      <c r="I1037" s="62" t="s">
        <v>506</v>
      </c>
      <c r="J1037" s="62" t="s">
        <v>824</v>
      </c>
      <c r="K1037" s="62" t="s">
        <v>824</v>
      </c>
      <c r="L1037" s="62" t="s">
        <v>1110</v>
      </c>
    </row>
    <row r="1038" spans="1:12" x14ac:dyDescent="0.35">
      <c r="A1038">
        <v>15128</v>
      </c>
      <c r="B1038" s="62" t="s">
        <v>365</v>
      </c>
      <c r="C1038" s="62" t="s">
        <v>495</v>
      </c>
      <c r="D1038" s="62" t="s">
        <v>363</v>
      </c>
      <c r="E1038" s="62" t="s">
        <v>149</v>
      </c>
      <c r="F1038" s="62" t="s">
        <v>568</v>
      </c>
      <c r="G1038">
        <v>133</v>
      </c>
      <c r="H1038">
        <v>133</v>
      </c>
      <c r="I1038" s="62" t="s">
        <v>506</v>
      </c>
      <c r="J1038" s="62" t="s">
        <v>825</v>
      </c>
      <c r="K1038" s="62" t="s">
        <v>825</v>
      </c>
      <c r="L1038" s="62" t="s">
        <v>1110</v>
      </c>
    </row>
    <row r="1039" spans="1:12" x14ac:dyDescent="0.35">
      <c r="A1039">
        <v>12306</v>
      </c>
      <c r="B1039" s="62" t="s">
        <v>392</v>
      </c>
      <c r="C1039" s="62" t="s">
        <v>498</v>
      </c>
      <c r="D1039" s="62" t="s">
        <v>391</v>
      </c>
      <c r="E1039" s="62" t="s">
        <v>149</v>
      </c>
      <c r="F1039" s="62" t="s">
        <v>568</v>
      </c>
      <c r="G1039">
        <v>1010</v>
      </c>
      <c r="H1039">
        <v>1010</v>
      </c>
      <c r="I1039" s="62" t="s">
        <v>506</v>
      </c>
      <c r="J1039" s="62" t="s">
        <v>826</v>
      </c>
      <c r="K1039" s="62" t="s">
        <v>826</v>
      </c>
      <c r="L1039" s="62" t="s">
        <v>1110</v>
      </c>
    </row>
    <row r="1040" spans="1:12" x14ac:dyDescent="0.35">
      <c r="A1040">
        <v>17560</v>
      </c>
      <c r="B1040" s="62" t="s">
        <v>326</v>
      </c>
      <c r="C1040" s="62" t="s">
        <v>494</v>
      </c>
      <c r="D1040" s="62" t="s">
        <v>318</v>
      </c>
      <c r="E1040" s="62" t="s">
        <v>149</v>
      </c>
      <c r="F1040" s="62" t="s">
        <v>568</v>
      </c>
      <c r="G1040">
        <v>989</v>
      </c>
      <c r="H1040">
        <v>989</v>
      </c>
      <c r="I1040" s="62" t="s">
        <v>506</v>
      </c>
      <c r="J1040" s="62" t="s">
        <v>827</v>
      </c>
      <c r="K1040" s="62" t="s">
        <v>827</v>
      </c>
      <c r="L1040" s="62" t="s">
        <v>1110</v>
      </c>
    </row>
    <row r="1041" spans="1:12" x14ac:dyDescent="0.35">
      <c r="A1041">
        <v>14394</v>
      </c>
      <c r="B1041" s="62" t="s">
        <v>364</v>
      </c>
      <c r="C1041" s="62" t="s">
        <v>495</v>
      </c>
      <c r="D1041" s="62" t="s">
        <v>363</v>
      </c>
      <c r="E1041" s="62" t="s">
        <v>149</v>
      </c>
      <c r="F1041" s="62" t="s">
        <v>568</v>
      </c>
      <c r="G1041">
        <v>387</v>
      </c>
      <c r="H1041">
        <v>387</v>
      </c>
      <c r="I1041" s="62" t="s">
        <v>506</v>
      </c>
      <c r="J1041" s="62" t="s">
        <v>828</v>
      </c>
      <c r="K1041" s="62" t="s">
        <v>828</v>
      </c>
      <c r="L1041" s="62" t="s">
        <v>1110</v>
      </c>
    </row>
    <row r="1042" spans="1:12" x14ac:dyDescent="0.35">
      <c r="A1042">
        <v>10825</v>
      </c>
      <c r="B1042" s="62" t="s">
        <v>306</v>
      </c>
      <c r="C1042" s="62" t="s">
        <v>491</v>
      </c>
      <c r="D1042" s="62" t="s">
        <v>304</v>
      </c>
      <c r="E1042" s="62" t="s">
        <v>149</v>
      </c>
      <c r="F1042" s="62" t="s">
        <v>568</v>
      </c>
      <c r="G1042">
        <v>6516</v>
      </c>
      <c r="H1042">
        <v>19533</v>
      </c>
      <c r="I1042" s="62" t="s">
        <v>506</v>
      </c>
      <c r="J1042" s="62" t="s">
        <v>829</v>
      </c>
      <c r="K1042" s="62" t="s">
        <v>829</v>
      </c>
      <c r="L1042" s="62" t="s">
        <v>1110</v>
      </c>
    </row>
    <row r="1043" spans="1:12" x14ac:dyDescent="0.35">
      <c r="A1043">
        <v>10267</v>
      </c>
      <c r="B1043" s="62" t="s">
        <v>313</v>
      </c>
      <c r="C1043" s="62" t="s">
        <v>492</v>
      </c>
      <c r="D1043" s="62" t="s">
        <v>312</v>
      </c>
      <c r="E1043" s="62" t="s">
        <v>149</v>
      </c>
      <c r="F1043" s="62" t="s">
        <v>568</v>
      </c>
      <c r="G1043">
        <v>1158</v>
      </c>
      <c r="H1043">
        <v>1158</v>
      </c>
      <c r="I1043" s="62" t="s">
        <v>506</v>
      </c>
      <c r="J1043" s="62" t="s">
        <v>830</v>
      </c>
      <c r="K1043" s="62" t="s">
        <v>830</v>
      </c>
      <c r="L1043" s="62" t="s">
        <v>1110</v>
      </c>
    </row>
    <row r="1044" spans="1:12" x14ac:dyDescent="0.35">
      <c r="A1044">
        <v>22085</v>
      </c>
      <c r="B1044" s="62" t="s">
        <v>380</v>
      </c>
      <c r="C1044" s="62" t="s">
        <v>497</v>
      </c>
      <c r="D1044" s="62" t="s">
        <v>379</v>
      </c>
      <c r="E1044" s="62" t="s">
        <v>149</v>
      </c>
      <c r="F1044" s="62" t="s">
        <v>568</v>
      </c>
      <c r="G1044">
        <v>585</v>
      </c>
      <c r="H1044">
        <v>1085</v>
      </c>
      <c r="I1044" s="62" t="s">
        <v>506</v>
      </c>
      <c r="J1044" s="62" t="s">
        <v>831</v>
      </c>
      <c r="K1044" s="62" t="s">
        <v>831</v>
      </c>
      <c r="L1044" s="62" t="s">
        <v>1110</v>
      </c>
    </row>
    <row r="1045" spans="1:12" x14ac:dyDescent="0.35">
      <c r="A1045">
        <v>10988</v>
      </c>
      <c r="B1045" s="62" t="s">
        <v>296</v>
      </c>
      <c r="C1045" s="62" t="s">
        <v>491</v>
      </c>
      <c r="D1045" s="62" t="s">
        <v>295</v>
      </c>
      <c r="E1045" s="62" t="s">
        <v>149</v>
      </c>
      <c r="F1045" s="62" t="s">
        <v>568</v>
      </c>
      <c r="G1045">
        <v>1530</v>
      </c>
      <c r="H1045">
        <v>1530</v>
      </c>
      <c r="I1045" s="62" t="s">
        <v>506</v>
      </c>
      <c r="J1045" s="62" t="s">
        <v>832</v>
      </c>
      <c r="K1045" s="62" t="s">
        <v>832</v>
      </c>
      <c r="L1045" s="62" t="s">
        <v>1110</v>
      </c>
    </row>
    <row r="1046" spans="1:12" x14ac:dyDescent="0.35">
      <c r="A1046">
        <v>17431</v>
      </c>
      <c r="B1046" s="62" t="s">
        <v>398</v>
      </c>
      <c r="C1046" s="62" t="s">
        <v>498</v>
      </c>
      <c r="D1046" s="62" t="s">
        <v>390</v>
      </c>
      <c r="E1046" s="62" t="s">
        <v>149</v>
      </c>
      <c r="F1046" s="62" t="s">
        <v>568</v>
      </c>
      <c r="G1046">
        <v>330</v>
      </c>
      <c r="H1046">
        <v>330</v>
      </c>
      <c r="I1046" s="62" t="s">
        <v>506</v>
      </c>
      <c r="J1046" s="62" t="s">
        <v>833</v>
      </c>
      <c r="K1046" s="62" t="s">
        <v>833</v>
      </c>
      <c r="L1046" s="62" t="s">
        <v>1110</v>
      </c>
    </row>
    <row r="1047" spans="1:12" x14ac:dyDescent="0.35">
      <c r="A1047">
        <v>10887</v>
      </c>
      <c r="B1047" s="62" t="s">
        <v>328</v>
      </c>
      <c r="C1047" s="62" t="s">
        <v>494</v>
      </c>
      <c r="D1047" s="62" t="s">
        <v>318</v>
      </c>
      <c r="E1047" s="62" t="s">
        <v>149</v>
      </c>
      <c r="F1047" s="62" t="s">
        <v>568</v>
      </c>
      <c r="G1047">
        <v>2572</v>
      </c>
      <c r="H1047">
        <v>15403</v>
      </c>
      <c r="I1047" s="62" t="s">
        <v>507</v>
      </c>
      <c r="J1047" s="62" t="s">
        <v>834</v>
      </c>
      <c r="K1047" s="62" t="s">
        <v>834</v>
      </c>
      <c r="L1047" s="62" t="s">
        <v>1110</v>
      </c>
    </row>
    <row r="1048" spans="1:12" x14ac:dyDescent="0.35">
      <c r="A1048">
        <v>12213</v>
      </c>
      <c r="B1048" s="62" t="s">
        <v>389</v>
      </c>
      <c r="C1048" s="62" t="s">
        <v>497</v>
      </c>
      <c r="D1048" s="62" t="s">
        <v>388</v>
      </c>
      <c r="E1048" s="62" t="s">
        <v>149</v>
      </c>
      <c r="F1048" s="62" t="s">
        <v>568</v>
      </c>
      <c r="G1048">
        <v>118</v>
      </c>
      <c r="H1048">
        <v>118</v>
      </c>
      <c r="I1048" s="62" t="s">
        <v>506</v>
      </c>
      <c r="J1048" s="62" t="s">
        <v>835</v>
      </c>
      <c r="K1048" s="62" t="s">
        <v>835</v>
      </c>
      <c r="L1048" s="62" t="s">
        <v>1110</v>
      </c>
    </row>
    <row r="1049" spans="1:12" x14ac:dyDescent="0.35">
      <c r="A1049">
        <v>12599</v>
      </c>
      <c r="B1049" s="62" t="s">
        <v>376</v>
      </c>
      <c r="C1049" s="62" t="s">
        <v>497</v>
      </c>
      <c r="D1049" s="62" t="s">
        <v>374</v>
      </c>
      <c r="E1049" s="62" t="s">
        <v>149</v>
      </c>
      <c r="F1049" s="62" t="s">
        <v>568</v>
      </c>
      <c r="G1049">
        <v>56</v>
      </c>
      <c r="H1049">
        <v>112</v>
      </c>
      <c r="I1049" s="62" t="s">
        <v>506</v>
      </c>
      <c r="J1049" s="62" t="s">
        <v>836</v>
      </c>
      <c r="K1049" s="62" t="s">
        <v>836</v>
      </c>
      <c r="L1049" s="62" t="s">
        <v>1110</v>
      </c>
    </row>
    <row r="1050" spans="1:12" x14ac:dyDescent="0.35">
      <c r="A1050">
        <v>11976</v>
      </c>
      <c r="B1050" s="62" t="s">
        <v>763</v>
      </c>
      <c r="C1050" s="62" t="s">
        <v>485</v>
      </c>
      <c r="D1050" s="62" t="s">
        <v>175</v>
      </c>
      <c r="E1050" s="62" t="s">
        <v>149</v>
      </c>
      <c r="F1050" s="62" t="s">
        <v>568</v>
      </c>
      <c r="G1050">
        <v>4512</v>
      </c>
      <c r="H1050">
        <v>4512</v>
      </c>
      <c r="I1050" s="62" t="s">
        <v>506</v>
      </c>
      <c r="J1050" s="62" t="s">
        <v>837</v>
      </c>
      <c r="K1050" s="62" t="s">
        <v>837</v>
      </c>
      <c r="L1050" s="62" t="s">
        <v>1110</v>
      </c>
    </row>
    <row r="1051" spans="1:12" x14ac:dyDescent="0.35">
      <c r="A1051">
        <v>12569</v>
      </c>
      <c r="B1051" s="62" t="s">
        <v>373</v>
      </c>
      <c r="C1051" s="62" t="s">
        <v>497</v>
      </c>
      <c r="D1051" s="62" t="s">
        <v>371</v>
      </c>
      <c r="E1051" s="62" t="s">
        <v>149</v>
      </c>
      <c r="F1051" s="62" t="s">
        <v>568</v>
      </c>
      <c r="G1051">
        <v>382</v>
      </c>
      <c r="H1051">
        <v>382</v>
      </c>
      <c r="I1051" s="62" t="s">
        <v>506</v>
      </c>
      <c r="J1051" s="62" t="s">
        <v>838</v>
      </c>
      <c r="K1051" s="62" t="s">
        <v>838</v>
      </c>
      <c r="L1051" s="62" t="s">
        <v>1110</v>
      </c>
    </row>
    <row r="1052" spans="1:12" x14ac:dyDescent="0.35">
      <c r="A1052">
        <v>12860</v>
      </c>
      <c r="B1052" s="62" t="s">
        <v>762</v>
      </c>
      <c r="C1052" s="62" t="s">
        <v>497</v>
      </c>
      <c r="D1052" s="62" t="s">
        <v>374</v>
      </c>
      <c r="E1052" s="62" t="s">
        <v>149</v>
      </c>
      <c r="F1052" s="62" t="s">
        <v>568</v>
      </c>
      <c r="G1052">
        <v>642</v>
      </c>
      <c r="H1052">
        <v>642</v>
      </c>
      <c r="I1052" s="62" t="s">
        <v>506</v>
      </c>
      <c r="J1052" s="62" t="s">
        <v>839</v>
      </c>
      <c r="K1052" s="62" t="s">
        <v>839</v>
      </c>
      <c r="L1052" s="62" t="s">
        <v>1110</v>
      </c>
    </row>
    <row r="1053" spans="1:12" x14ac:dyDescent="0.35">
      <c r="A1053">
        <v>12277</v>
      </c>
      <c r="B1053" s="62" t="s">
        <v>249</v>
      </c>
      <c r="C1053" s="62" t="s">
        <v>758</v>
      </c>
      <c r="D1053" s="62" t="s">
        <v>248</v>
      </c>
      <c r="E1053" s="62" t="s">
        <v>149</v>
      </c>
      <c r="F1053" s="62" t="s">
        <v>568</v>
      </c>
      <c r="G1053">
        <v>163</v>
      </c>
      <c r="H1053">
        <v>163</v>
      </c>
      <c r="I1053" s="62" t="s">
        <v>506</v>
      </c>
      <c r="J1053" s="62" t="s">
        <v>840</v>
      </c>
      <c r="K1053" s="62" t="s">
        <v>840</v>
      </c>
      <c r="L1053" s="62" t="s">
        <v>1110</v>
      </c>
    </row>
    <row r="1054" spans="1:12" x14ac:dyDescent="0.35">
      <c r="A1054">
        <v>12604</v>
      </c>
      <c r="B1054" s="62" t="s">
        <v>768</v>
      </c>
      <c r="C1054" s="62" t="s">
        <v>497</v>
      </c>
      <c r="D1054" s="62" t="s">
        <v>379</v>
      </c>
      <c r="E1054" s="62" t="s">
        <v>149</v>
      </c>
      <c r="F1054" s="62" t="s">
        <v>568</v>
      </c>
      <c r="G1054">
        <v>2933</v>
      </c>
      <c r="H1054">
        <v>2933</v>
      </c>
      <c r="I1054" s="62" t="s">
        <v>506</v>
      </c>
      <c r="J1054" s="62" t="s">
        <v>841</v>
      </c>
      <c r="K1054" s="62" t="s">
        <v>841</v>
      </c>
      <c r="L1054" s="62" t="s">
        <v>1110</v>
      </c>
    </row>
    <row r="1055" spans="1:12" x14ac:dyDescent="0.35">
      <c r="A1055">
        <v>12489</v>
      </c>
      <c r="B1055" s="62" t="s">
        <v>408</v>
      </c>
      <c r="C1055" s="62" t="s">
        <v>499</v>
      </c>
      <c r="D1055" s="62" t="s">
        <v>407</v>
      </c>
      <c r="E1055" s="62" t="s">
        <v>149</v>
      </c>
      <c r="F1055" s="62" t="s">
        <v>661</v>
      </c>
      <c r="G1055">
        <v>2199</v>
      </c>
      <c r="I1055" s="62" t="s">
        <v>506</v>
      </c>
      <c r="J1055" s="62" t="s">
        <v>842</v>
      </c>
      <c r="K1055" s="62" t="s">
        <v>842</v>
      </c>
      <c r="L1055" s="62" t="s">
        <v>1110</v>
      </c>
    </row>
    <row r="1056" spans="1:12" x14ac:dyDescent="0.35">
      <c r="A1056">
        <v>15282</v>
      </c>
      <c r="B1056" s="62" t="s">
        <v>369</v>
      </c>
      <c r="C1056" s="62" t="s">
        <v>496</v>
      </c>
      <c r="D1056" s="62" t="s">
        <v>368</v>
      </c>
      <c r="E1056" s="62" t="s">
        <v>149</v>
      </c>
      <c r="F1056" s="62" t="s">
        <v>661</v>
      </c>
      <c r="G1056">
        <v>13557</v>
      </c>
      <c r="I1056" s="62" t="s">
        <v>506</v>
      </c>
      <c r="J1056" s="62" t="s">
        <v>843</v>
      </c>
      <c r="K1056" s="62" t="s">
        <v>843</v>
      </c>
      <c r="L1056" s="62" t="s">
        <v>1110</v>
      </c>
    </row>
    <row r="1057" spans="1:12" x14ac:dyDescent="0.35">
      <c r="A1057">
        <v>12502</v>
      </c>
      <c r="B1057" s="62" t="s">
        <v>397</v>
      </c>
      <c r="C1057" s="62" t="s">
        <v>498</v>
      </c>
      <c r="D1057" s="62" t="s">
        <v>396</v>
      </c>
      <c r="E1057" s="62" t="s">
        <v>149</v>
      </c>
      <c r="F1057" s="62" t="s">
        <v>661</v>
      </c>
      <c r="G1057">
        <v>874</v>
      </c>
      <c r="I1057" s="62" t="s">
        <v>506</v>
      </c>
      <c r="J1057" s="62" t="s">
        <v>844</v>
      </c>
      <c r="K1057" s="62" t="s">
        <v>844</v>
      </c>
      <c r="L1057" s="62" t="s">
        <v>1110</v>
      </c>
    </row>
    <row r="1058" spans="1:12" x14ac:dyDescent="0.35">
      <c r="A1058">
        <v>12456</v>
      </c>
      <c r="B1058" s="62" t="s">
        <v>399</v>
      </c>
      <c r="C1058" s="62" t="s">
        <v>498</v>
      </c>
      <c r="D1058" s="62" t="s">
        <v>390</v>
      </c>
      <c r="E1058" s="62" t="s">
        <v>149</v>
      </c>
      <c r="F1058" s="62" t="s">
        <v>661</v>
      </c>
      <c r="G1058">
        <v>534</v>
      </c>
      <c r="I1058" s="62" t="s">
        <v>506</v>
      </c>
      <c r="J1058" s="62" t="s">
        <v>845</v>
      </c>
      <c r="K1058" s="62" t="s">
        <v>845</v>
      </c>
      <c r="L1058" s="62" t="s">
        <v>1110</v>
      </c>
    </row>
    <row r="1059" spans="1:12" x14ac:dyDescent="0.35">
      <c r="A1059">
        <v>10887</v>
      </c>
      <c r="B1059" s="62" t="s">
        <v>328</v>
      </c>
      <c r="C1059" s="62" t="s">
        <v>494</v>
      </c>
      <c r="D1059" s="62" t="s">
        <v>318</v>
      </c>
      <c r="E1059" s="62" t="s">
        <v>149</v>
      </c>
      <c r="F1059" s="62" t="s">
        <v>661</v>
      </c>
      <c r="G1059">
        <v>206287</v>
      </c>
      <c r="I1059" s="62" t="s">
        <v>506</v>
      </c>
      <c r="J1059" s="62" t="s">
        <v>846</v>
      </c>
      <c r="K1059" s="62" t="s">
        <v>846</v>
      </c>
      <c r="L1059" s="62" t="s">
        <v>1110</v>
      </c>
    </row>
    <row r="1060" spans="1:12" x14ac:dyDescent="0.35">
      <c r="A1060">
        <v>17431</v>
      </c>
      <c r="B1060" s="62" t="s">
        <v>398</v>
      </c>
      <c r="C1060" s="62" t="s">
        <v>498</v>
      </c>
      <c r="D1060" s="62" t="s">
        <v>390</v>
      </c>
      <c r="E1060" s="62" t="s">
        <v>149</v>
      </c>
      <c r="F1060" s="62" t="s">
        <v>661</v>
      </c>
      <c r="G1060">
        <v>980</v>
      </c>
      <c r="I1060" s="62" t="s">
        <v>506</v>
      </c>
      <c r="J1060" s="62" t="s">
        <v>847</v>
      </c>
      <c r="K1060" s="62" t="s">
        <v>847</v>
      </c>
      <c r="L1060" s="62" t="s">
        <v>1110</v>
      </c>
    </row>
    <row r="1061" spans="1:12" x14ac:dyDescent="0.35">
      <c r="A1061">
        <v>11069</v>
      </c>
      <c r="B1061" s="62" t="s">
        <v>283</v>
      </c>
      <c r="C1061" s="62" t="s">
        <v>489</v>
      </c>
      <c r="D1061" s="62" t="s">
        <v>281</v>
      </c>
      <c r="E1061" s="62" t="s">
        <v>149</v>
      </c>
      <c r="F1061" s="62" t="s">
        <v>661</v>
      </c>
      <c r="G1061">
        <v>928</v>
      </c>
      <c r="I1061" s="62" t="s">
        <v>506</v>
      </c>
      <c r="J1061" s="62" t="s">
        <v>848</v>
      </c>
      <c r="K1061" s="62" t="s">
        <v>848</v>
      </c>
      <c r="L1061" s="62" t="s">
        <v>1110</v>
      </c>
    </row>
    <row r="1062" spans="1:12" x14ac:dyDescent="0.35">
      <c r="A1062">
        <v>15652</v>
      </c>
      <c r="B1062" s="62" t="s">
        <v>316</v>
      </c>
      <c r="C1062" s="62" t="s">
        <v>493</v>
      </c>
      <c r="D1062" s="62" t="s">
        <v>315</v>
      </c>
      <c r="E1062" s="62" t="s">
        <v>149</v>
      </c>
      <c r="F1062" s="62" t="s">
        <v>661</v>
      </c>
      <c r="G1062">
        <v>3783</v>
      </c>
      <c r="I1062" s="62" t="s">
        <v>506</v>
      </c>
      <c r="J1062" s="62" t="s">
        <v>849</v>
      </c>
      <c r="K1062" s="62" t="s">
        <v>849</v>
      </c>
      <c r="L1062" s="62" t="s">
        <v>1110</v>
      </c>
    </row>
    <row r="1063" spans="1:12" x14ac:dyDescent="0.35">
      <c r="A1063">
        <v>12769</v>
      </c>
      <c r="B1063" s="62" t="s">
        <v>269</v>
      </c>
      <c r="C1063" s="62" t="s">
        <v>758</v>
      </c>
      <c r="D1063" s="62" t="s">
        <v>268</v>
      </c>
      <c r="E1063" s="62" t="s">
        <v>149</v>
      </c>
      <c r="F1063" s="62" t="s">
        <v>661</v>
      </c>
      <c r="G1063">
        <v>2490</v>
      </c>
      <c r="I1063" s="62" t="s">
        <v>506</v>
      </c>
      <c r="J1063" s="62" t="s">
        <v>850</v>
      </c>
      <c r="K1063" s="62" t="s">
        <v>850</v>
      </c>
      <c r="L1063" s="62" t="s">
        <v>1110</v>
      </c>
    </row>
    <row r="1064" spans="1:12" x14ac:dyDescent="0.35">
      <c r="A1064">
        <v>11124</v>
      </c>
      <c r="B1064" s="62" t="s">
        <v>289</v>
      </c>
      <c r="C1064" s="62" t="s">
        <v>490</v>
      </c>
      <c r="D1064" s="62" t="s">
        <v>288</v>
      </c>
      <c r="E1064" s="62" t="s">
        <v>149</v>
      </c>
      <c r="F1064" s="62" t="s">
        <v>661</v>
      </c>
      <c r="G1064">
        <v>11100</v>
      </c>
      <c r="H1064">
        <v>208909</v>
      </c>
      <c r="I1064" s="62" t="s">
        <v>506</v>
      </c>
      <c r="J1064" s="62" t="s">
        <v>851</v>
      </c>
      <c r="K1064" s="62" t="s">
        <v>851</v>
      </c>
      <c r="L1064" s="62" t="s">
        <v>1110</v>
      </c>
    </row>
    <row r="1065" spans="1:12" x14ac:dyDescent="0.35">
      <c r="A1065">
        <v>10808</v>
      </c>
      <c r="B1065" s="62" t="s">
        <v>282</v>
      </c>
      <c r="C1065" s="62" t="s">
        <v>489</v>
      </c>
      <c r="D1065" s="62" t="s">
        <v>281</v>
      </c>
      <c r="E1065" s="62" t="s">
        <v>149</v>
      </c>
      <c r="F1065" s="62" t="s">
        <v>661</v>
      </c>
      <c r="G1065">
        <v>9266</v>
      </c>
      <c r="I1065" s="62" t="s">
        <v>506</v>
      </c>
      <c r="J1065" s="62" t="s">
        <v>852</v>
      </c>
      <c r="K1065" s="62" t="s">
        <v>852</v>
      </c>
      <c r="L1065" s="62" t="s">
        <v>1110</v>
      </c>
    </row>
    <row r="1066" spans="1:12" x14ac:dyDescent="0.35">
      <c r="A1066">
        <v>20579</v>
      </c>
      <c r="B1066" s="62" t="s">
        <v>382</v>
      </c>
      <c r="C1066" s="62" t="s">
        <v>497</v>
      </c>
      <c r="D1066" s="62" t="s">
        <v>379</v>
      </c>
      <c r="E1066" s="62" t="s">
        <v>149</v>
      </c>
      <c r="F1066" s="62" t="s">
        <v>661</v>
      </c>
      <c r="G1066">
        <v>598</v>
      </c>
      <c r="I1066" s="62" t="s">
        <v>506</v>
      </c>
      <c r="J1066" s="62" t="s">
        <v>853</v>
      </c>
      <c r="K1066" s="62" t="s">
        <v>853</v>
      </c>
      <c r="L1066" s="62" t="s">
        <v>1110</v>
      </c>
    </row>
    <row r="1067" spans="1:12" x14ac:dyDescent="0.35">
      <c r="A1067">
        <v>12569</v>
      </c>
      <c r="B1067" s="62" t="s">
        <v>373</v>
      </c>
      <c r="C1067" s="62" t="s">
        <v>497</v>
      </c>
      <c r="D1067" s="62" t="s">
        <v>371</v>
      </c>
      <c r="E1067" s="62" t="s">
        <v>149</v>
      </c>
      <c r="F1067" s="62" t="s">
        <v>661</v>
      </c>
      <c r="G1067">
        <v>1735</v>
      </c>
      <c r="I1067" s="62" t="s">
        <v>506</v>
      </c>
      <c r="J1067" s="62" t="s">
        <v>854</v>
      </c>
      <c r="K1067" s="62" t="s">
        <v>854</v>
      </c>
      <c r="L1067" s="62" t="s">
        <v>1110</v>
      </c>
    </row>
    <row r="1068" spans="1:12" x14ac:dyDescent="0.35">
      <c r="A1068">
        <v>11981</v>
      </c>
      <c r="B1068" s="62" t="s">
        <v>404</v>
      </c>
      <c r="C1068" s="62" t="s">
        <v>499</v>
      </c>
      <c r="D1068" s="62" t="s">
        <v>403</v>
      </c>
      <c r="E1068" s="62" t="s">
        <v>149</v>
      </c>
      <c r="F1068" s="62" t="s">
        <v>661</v>
      </c>
      <c r="G1068">
        <v>1454</v>
      </c>
      <c r="I1068" s="62" t="s">
        <v>506</v>
      </c>
      <c r="J1068" s="62" t="s">
        <v>855</v>
      </c>
      <c r="K1068" s="62" t="s">
        <v>855</v>
      </c>
      <c r="L1068" s="62" t="s">
        <v>1110</v>
      </c>
    </row>
    <row r="1069" spans="1:12" x14ac:dyDescent="0.35">
      <c r="A1069">
        <v>12306</v>
      </c>
      <c r="B1069" s="62" t="s">
        <v>392</v>
      </c>
      <c r="C1069" s="62" t="s">
        <v>498</v>
      </c>
      <c r="D1069" s="62" t="s">
        <v>391</v>
      </c>
      <c r="E1069" s="62" t="s">
        <v>149</v>
      </c>
      <c r="F1069" s="62" t="s">
        <v>661</v>
      </c>
      <c r="G1069">
        <v>2109</v>
      </c>
      <c r="I1069" s="62" t="s">
        <v>506</v>
      </c>
      <c r="J1069" s="62" t="s">
        <v>856</v>
      </c>
      <c r="K1069" s="62" t="s">
        <v>856</v>
      </c>
      <c r="L1069" s="62" t="s">
        <v>1110</v>
      </c>
    </row>
    <row r="1070" spans="1:12" x14ac:dyDescent="0.35">
      <c r="A1070">
        <v>12422</v>
      </c>
      <c r="B1070" s="62" t="s">
        <v>148</v>
      </c>
      <c r="C1070" s="62" t="s">
        <v>485</v>
      </c>
      <c r="D1070" s="62" t="s">
        <v>146</v>
      </c>
      <c r="E1070" s="62" t="s">
        <v>149</v>
      </c>
      <c r="F1070" s="62" t="s">
        <v>661</v>
      </c>
      <c r="G1070">
        <v>4977</v>
      </c>
      <c r="I1070" s="62" t="s">
        <v>506</v>
      </c>
      <c r="J1070" s="62" t="s">
        <v>857</v>
      </c>
      <c r="K1070" s="62" t="s">
        <v>857</v>
      </c>
      <c r="L1070" s="62" t="s">
        <v>1110</v>
      </c>
    </row>
    <row r="1071" spans="1:12" x14ac:dyDescent="0.35">
      <c r="A1071">
        <v>11030</v>
      </c>
      <c r="B1071" s="62" t="s">
        <v>307</v>
      </c>
      <c r="C1071" s="62" t="s">
        <v>491</v>
      </c>
      <c r="D1071" s="62" t="s">
        <v>304</v>
      </c>
      <c r="E1071" s="62" t="s">
        <v>149</v>
      </c>
      <c r="F1071" s="62" t="s">
        <v>661</v>
      </c>
      <c r="G1071">
        <v>1820</v>
      </c>
      <c r="I1071" s="62" t="s">
        <v>506</v>
      </c>
      <c r="J1071" s="62" t="s">
        <v>858</v>
      </c>
      <c r="K1071" s="62" t="s">
        <v>858</v>
      </c>
      <c r="L1071" s="62" t="s">
        <v>1110</v>
      </c>
    </row>
    <row r="1072" spans="1:12" x14ac:dyDescent="0.35">
      <c r="A1072">
        <v>10603</v>
      </c>
      <c r="B1072" s="62" t="s">
        <v>300</v>
      </c>
      <c r="C1072" s="62" t="s">
        <v>491</v>
      </c>
      <c r="D1072" s="62" t="s">
        <v>299</v>
      </c>
      <c r="E1072" s="62" t="s">
        <v>149</v>
      </c>
      <c r="F1072" s="62" t="s">
        <v>661</v>
      </c>
      <c r="G1072">
        <v>14033</v>
      </c>
      <c r="H1072">
        <v>115535</v>
      </c>
      <c r="I1072" s="62" t="s">
        <v>506</v>
      </c>
      <c r="J1072" s="62" t="s">
        <v>859</v>
      </c>
      <c r="K1072" s="62" t="s">
        <v>859</v>
      </c>
      <c r="L1072" s="62" t="s">
        <v>1110</v>
      </c>
    </row>
    <row r="1073" spans="1:12" x14ac:dyDescent="0.35">
      <c r="A1073">
        <v>22152</v>
      </c>
      <c r="B1073" s="62" t="s">
        <v>232</v>
      </c>
      <c r="C1073" s="62" t="s">
        <v>487</v>
      </c>
      <c r="D1073" s="62" t="s">
        <v>226</v>
      </c>
      <c r="E1073" s="62" t="s">
        <v>149</v>
      </c>
      <c r="F1073" s="62" t="s">
        <v>661</v>
      </c>
      <c r="G1073">
        <v>1358</v>
      </c>
      <c r="I1073" s="62" t="s">
        <v>506</v>
      </c>
      <c r="J1073" s="62" t="s">
        <v>860</v>
      </c>
      <c r="K1073" s="62" t="s">
        <v>860</v>
      </c>
      <c r="L1073" s="62" t="s">
        <v>1110</v>
      </c>
    </row>
    <row r="1074" spans="1:12" x14ac:dyDescent="0.35">
      <c r="A1074">
        <v>10693</v>
      </c>
      <c r="B1074" s="62" t="s">
        <v>303</v>
      </c>
      <c r="C1074" s="62" t="s">
        <v>491</v>
      </c>
      <c r="D1074" s="62" t="s">
        <v>301</v>
      </c>
      <c r="E1074" s="62" t="s">
        <v>149</v>
      </c>
      <c r="F1074" s="62" t="s">
        <v>661</v>
      </c>
      <c r="G1074">
        <v>4273</v>
      </c>
      <c r="I1074" s="62" t="s">
        <v>506</v>
      </c>
      <c r="J1074" s="62" t="s">
        <v>861</v>
      </c>
      <c r="K1074" s="62" t="s">
        <v>861</v>
      </c>
      <c r="L1074" s="62" t="s">
        <v>1110</v>
      </c>
    </row>
    <row r="1075" spans="1:12" x14ac:dyDescent="0.35">
      <c r="A1075">
        <v>11041</v>
      </c>
      <c r="B1075" s="62" t="s">
        <v>310</v>
      </c>
      <c r="C1075" s="62" t="s">
        <v>491</v>
      </c>
      <c r="D1075" s="62" t="s">
        <v>308</v>
      </c>
      <c r="E1075" s="62" t="s">
        <v>149</v>
      </c>
      <c r="F1075" s="62" t="s">
        <v>661</v>
      </c>
      <c r="G1075">
        <v>1999</v>
      </c>
      <c r="I1075" s="62" t="s">
        <v>506</v>
      </c>
      <c r="J1075" s="62" t="s">
        <v>862</v>
      </c>
      <c r="K1075" s="62" t="s">
        <v>862</v>
      </c>
      <c r="L1075" s="62" t="s">
        <v>1110</v>
      </c>
    </row>
    <row r="1076" spans="1:12" x14ac:dyDescent="0.35">
      <c r="A1076">
        <v>10100</v>
      </c>
      <c r="B1076" s="62" t="s">
        <v>291</v>
      </c>
      <c r="C1076" s="62" t="s">
        <v>490</v>
      </c>
      <c r="D1076" s="62" t="s">
        <v>290</v>
      </c>
      <c r="E1076" s="62" t="s">
        <v>149</v>
      </c>
      <c r="F1076" s="62" t="s">
        <v>661</v>
      </c>
      <c r="G1076">
        <v>7349</v>
      </c>
      <c r="I1076" s="62" t="s">
        <v>507</v>
      </c>
      <c r="J1076" s="62" t="s">
        <v>863</v>
      </c>
      <c r="K1076" s="62" t="s">
        <v>863</v>
      </c>
      <c r="L1076" s="62" t="s">
        <v>1110</v>
      </c>
    </row>
    <row r="1077" spans="1:12" x14ac:dyDescent="0.35">
      <c r="A1077">
        <v>16995</v>
      </c>
      <c r="B1077" s="62" t="s">
        <v>378</v>
      </c>
      <c r="C1077" s="62" t="s">
        <v>497</v>
      </c>
      <c r="D1077" s="62" t="s">
        <v>377</v>
      </c>
      <c r="E1077" s="62" t="s">
        <v>149</v>
      </c>
      <c r="F1077" s="62" t="s">
        <v>661</v>
      </c>
      <c r="G1077">
        <v>953</v>
      </c>
      <c r="I1077" s="62" t="s">
        <v>506</v>
      </c>
      <c r="J1077" s="62" t="s">
        <v>864</v>
      </c>
      <c r="K1077" s="62" t="s">
        <v>864</v>
      </c>
      <c r="L1077" s="62" t="s">
        <v>1110</v>
      </c>
    </row>
    <row r="1078" spans="1:12" x14ac:dyDescent="0.35">
      <c r="A1078">
        <v>15636</v>
      </c>
      <c r="B1078" s="62" t="s">
        <v>362</v>
      </c>
      <c r="C1078" s="62" t="s">
        <v>495</v>
      </c>
      <c r="D1078" s="62" t="s">
        <v>360</v>
      </c>
      <c r="E1078" s="62" t="s">
        <v>149</v>
      </c>
      <c r="F1078" s="62" t="s">
        <v>661</v>
      </c>
      <c r="G1078">
        <v>2211</v>
      </c>
      <c r="H1078">
        <v>28242</v>
      </c>
      <c r="I1078" s="62" t="s">
        <v>506</v>
      </c>
      <c r="J1078" s="62" t="s">
        <v>865</v>
      </c>
      <c r="K1078" s="62" t="s">
        <v>865</v>
      </c>
      <c r="L1078" s="62" t="s">
        <v>1110</v>
      </c>
    </row>
    <row r="1079" spans="1:12" x14ac:dyDescent="0.35">
      <c r="A1079">
        <v>12205</v>
      </c>
      <c r="B1079" s="62" t="s">
        <v>395</v>
      </c>
      <c r="C1079" s="62" t="s">
        <v>498</v>
      </c>
      <c r="D1079" s="62" t="s">
        <v>393</v>
      </c>
      <c r="E1079" s="62" t="s">
        <v>149</v>
      </c>
      <c r="F1079" s="62" t="s">
        <v>661</v>
      </c>
      <c r="G1079">
        <v>1003</v>
      </c>
      <c r="H1079">
        <v>8245</v>
      </c>
      <c r="I1079" s="62" t="s">
        <v>506</v>
      </c>
      <c r="J1079" s="62" t="s">
        <v>866</v>
      </c>
      <c r="K1079" s="62" t="s">
        <v>866</v>
      </c>
      <c r="L1079" s="62" t="s">
        <v>1110</v>
      </c>
    </row>
    <row r="1080" spans="1:12" x14ac:dyDescent="0.35">
      <c r="A1080">
        <v>17560</v>
      </c>
      <c r="B1080" s="62" t="s">
        <v>326</v>
      </c>
      <c r="C1080" s="62" t="s">
        <v>494</v>
      </c>
      <c r="D1080" s="62" t="s">
        <v>318</v>
      </c>
      <c r="E1080" s="62" t="s">
        <v>149</v>
      </c>
      <c r="F1080" s="62" t="s">
        <v>661</v>
      </c>
      <c r="G1080">
        <v>2453</v>
      </c>
      <c r="H1080">
        <v>39908</v>
      </c>
      <c r="I1080" s="62" t="s">
        <v>506</v>
      </c>
      <c r="J1080" s="62" t="s">
        <v>867</v>
      </c>
      <c r="K1080" s="62" t="s">
        <v>867</v>
      </c>
      <c r="L1080" s="62" t="s">
        <v>1110</v>
      </c>
    </row>
    <row r="1081" spans="1:12" x14ac:dyDescent="0.35">
      <c r="A1081">
        <v>14553</v>
      </c>
      <c r="B1081" s="62" t="s">
        <v>759</v>
      </c>
      <c r="C1081" s="62" t="s">
        <v>486</v>
      </c>
      <c r="D1081" s="62" t="s">
        <v>205</v>
      </c>
      <c r="E1081" s="62" t="s">
        <v>149</v>
      </c>
      <c r="F1081" s="62" t="s">
        <v>661</v>
      </c>
      <c r="G1081">
        <v>1400</v>
      </c>
      <c r="I1081" s="62" t="s">
        <v>506</v>
      </c>
      <c r="J1081" s="62" t="s">
        <v>868</v>
      </c>
      <c r="K1081" s="62" t="s">
        <v>868</v>
      </c>
      <c r="L1081" s="62" t="s">
        <v>1110</v>
      </c>
    </row>
    <row r="1082" spans="1:12" x14ac:dyDescent="0.35">
      <c r="A1082">
        <v>12566</v>
      </c>
      <c r="B1082" s="62" t="s">
        <v>372</v>
      </c>
      <c r="C1082" s="62" t="s">
        <v>497</v>
      </c>
      <c r="D1082" s="62" t="s">
        <v>371</v>
      </c>
      <c r="E1082" s="62" t="s">
        <v>149</v>
      </c>
      <c r="F1082" s="62" t="s">
        <v>661</v>
      </c>
      <c r="G1082">
        <v>2124</v>
      </c>
      <c r="I1082" s="62" t="s">
        <v>506</v>
      </c>
      <c r="J1082" s="62" t="s">
        <v>869</v>
      </c>
      <c r="K1082" s="62" t="s">
        <v>869</v>
      </c>
      <c r="L1082" s="62" t="s">
        <v>1110</v>
      </c>
    </row>
    <row r="1083" spans="1:12" x14ac:dyDescent="0.35">
      <c r="A1083">
        <v>12813</v>
      </c>
      <c r="B1083" s="62" t="s">
        <v>270</v>
      </c>
      <c r="C1083" s="62" t="s">
        <v>758</v>
      </c>
      <c r="D1083" s="62" t="s">
        <v>268</v>
      </c>
      <c r="E1083" s="62" t="s">
        <v>149</v>
      </c>
      <c r="F1083" s="62" t="s">
        <v>661</v>
      </c>
      <c r="G1083">
        <v>1820</v>
      </c>
      <c r="I1083" s="62" t="s">
        <v>506</v>
      </c>
      <c r="J1083" s="62" t="s">
        <v>870</v>
      </c>
      <c r="K1083" s="62" t="s">
        <v>870</v>
      </c>
      <c r="L1083" s="62" t="s">
        <v>1110</v>
      </c>
    </row>
    <row r="1084" spans="1:12" x14ac:dyDescent="0.35">
      <c r="A1084">
        <v>17490</v>
      </c>
      <c r="B1084" s="62" t="s">
        <v>309</v>
      </c>
      <c r="C1084" s="62" t="s">
        <v>491</v>
      </c>
      <c r="D1084" s="62" t="s">
        <v>308</v>
      </c>
      <c r="E1084" s="62" t="s">
        <v>149</v>
      </c>
      <c r="F1084" s="62" t="s">
        <v>661</v>
      </c>
      <c r="G1084">
        <v>4295</v>
      </c>
      <c r="I1084" s="62" t="s">
        <v>506</v>
      </c>
      <c r="J1084" s="62" t="s">
        <v>871</v>
      </c>
      <c r="K1084" s="62" t="s">
        <v>871</v>
      </c>
      <c r="L1084" s="62" t="s">
        <v>1110</v>
      </c>
    </row>
    <row r="1085" spans="1:12" x14ac:dyDescent="0.35">
      <c r="A1085">
        <v>12492</v>
      </c>
      <c r="B1085" s="62" t="s">
        <v>156</v>
      </c>
      <c r="C1085" s="62" t="s">
        <v>485</v>
      </c>
      <c r="D1085" s="62" t="s">
        <v>152</v>
      </c>
      <c r="E1085" s="62" t="s">
        <v>149</v>
      </c>
      <c r="F1085" s="62" t="s">
        <v>661</v>
      </c>
      <c r="G1085">
        <v>18507</v>
      </c>
      <c r="I1085" s="62" t="s">
        <v>506</v>
      </c>
      <c r="J1085" s="62" t="s">
        <v>872</v>
      </c>
      <c r="K1085" s="62" t="s">
        <v>872</v>
      </c>
      <c r="L1085" s="62" t="s">
        <v>1110</v>
      </c>
    </row>
    <row r="1086" spans="1:12" x14ac:dyDescent="0.35">
      <c r="A1086">
        <v>11962</v>
      </c>
      <c r="B1086" s="62" t="s">
        <v>394</v>
      </c>
      <c r="C1086" s="62" t="s">
        <v>498</v>
      </c>
      <c r="D1086" s="62" t="s">
        <v>393</v>
      </c>
      <c r="E1086" s="62" t="s">
        <v>149</v>
      </c>
      <c r="F1086" s="62" t="s">
        <v>661</v>
      </c>
      <c r="G1086">
        <v>2176</v>
      </c>
      <c r="I1086" s="62" t="s">
        <v>506</v>
      </c>
      <c r="J1086" s="62" t="s">
        <v>873</v>
      </c>
      <c r="K1086" s="62" t="s">
        <v>873</v>
      </c>
      <c r="L1086" s="62" t="s">
        <v>1110</v>
      </c>
    </row>
    <row r="1087" spans="1:12" x14ac:dyDescent="0.35">
      <c r="A1087">
        <v>15702</v>
      </c>
      <c r="B1087" s="62" t="s">
        <v>366</v>
      </c>
      <c r="C1087" s="62" t="s">
        <v>495</v>
      </c>
      <c r="D1087" s="62" t="s">
        <v>363</v>
      </c>
      <c r="E1087" s="62" t="s">
        <v>149</v>
      </c>
      <c r="F1087" s="62" t="s">
        <v>661</v>
      </c>
      <c r="G1087">
        <v>2481</v>
      </c>
      <c r="I1087" s="62" t="s">
        <v>506</v>
      </c>
      <c r="J1087" s="62" t="s">
        <v>874</v>
      </c>
      <c r="K1087" s="62" t="s">
        <v>874</v>
      </c>
      <c r="L1087" s="62" t="s">
        <v>1110</v>
      </c>
    </row>
    <row r="1088" spans="1:12" x14ac:dyDescent="0.35">
      <c r="A1088">
        <v>12013</v>
      </c>
      <c r="B1088" s="62" t="s">
        <v>381</v>
      </c>
      <c r="C1088" s="62" t="s">
        <v>497</v>
      </c>
      <c r="D1088" s="62" t="s">
        <v>379</v>
      </c>
      <c r="E1088" s="62" t="s">
        <v>149</v>
      </c>
      <c r="F1088" s="62" t="s">
        <v>661</v>
      </c>
      <c r="G1088">
        <v>899</v>
      </c>
      <c r="H1088">
        <v>8922</v>
      </c>
      <c r="I1088" s="62" t="s">
        <v>506</v>
      </c>
      <c r="J1088" s="62" t="s">
        <v>875</v>
      </c>
      <c r="K1088" s="62" t="s">
        <v>875</v>
      </c>
      <c r="L1088" s="62" t="s">
        <v>1110</v>
      </c>
    </row>
    <row r="1089" spans="1:12" x14ac:dyDescent="0.35">
      <c r="A1089">
        <v>10825</v>
      </c>
      <c r="B1089" s="62" t="s">
        <v>306</v>
      </c>
      <c r="C1089" s="62" t="s">
        <v>491</v>
      </c>
      <c r="D1089" s="62" t="s">
        <v>304</v>
      </c>
      <c r="E1089" s="62" t="s">
        <v>149</v>
      </c>
      <c r="F1089" s="62" t="s">
        <v>661</v>
      </c>
      <c r="G1089">
        <v>12359</v>
      </c>
      <c r="I1089" s="62" t="s">
        <v>506</v>
      </c>
      <c r="J1089" s="62" t="s">
        <v>876</v>
      </c>
      <c r="K1089" s="62" t="s">
        <v>876</v>
      </c>
      <c r="L1089" s="62" t="s">
        <v>1110</v>
      </c>
    </row>
    <row r="1090" spans="1:12" x14ac:dyDescent="0.35">
      <c r="A1090">
        <v>10267</v>
      </c>
      <c r="B1090" s="62" t="s">
        <v>313</v>
      </c>
      <c r="C1090" s="62" t="s">
        <v>492</v>
      </c>
      <c r="D1090" s="62" t="s">
        <v>312</v>
      </c>
      <c r="E1090" s="62" t="s">
        <v>149</v>
      </c>
      <c r="F1090" s="62" t="s">
        <v>661</v>
      </c>
      <c r="G1090">
        <v>5372</v>
      </c>
      <c r="I1090" s="62" t="s">
        <v>506</v>
      </c>
      <c r="J1090" s="62" t="s">
        <v>877</v>
      </c>
      <c r="K1090" s="62" t="s">
        <v>877</v>
      </c>
      <c r="L1090" s="62" t="s">
        <v>1110</v>
      </c>
    </row>
    <row r="1091" spans="1:12" x14ac:dyDescent="0.35">
      <c r="A1091">
        <v>12860</v>
      </c>
      <c r="B1091" s="62" t="s">
        <v>762</v>
      </c>
      <c r="C1091" s="62" t="s">
        <v>497</v>
      </c>
      <c r="D1091" s="62" t="s">
        <v>374</v>
      </c>
      <c r="E1091" s="62" t="s">
        <v>149</v>
      </c>
      <c r="F1091" s="62" t="s">
        <v>661</v>
      </c>
      <c r="G1091">
        <v>2450</v>
      </c>
      <c r="I1091" s="62" t="s">
        <v>506</v>
      </c>
      <c r="J1091" s="62" t="s">
        <v>878</v>
      </c>
      <c r="K1091" s="62" t="s">
        <v>878</v>
      </c>
      <c r="L1091" s="62" t="s">
        <v>1110</v>
      </c>
    </row>
    <row r="1092" spans="1:12" x14ac:dyDescent="0.35">
      <c r="A1092">
        <v>12241</v>
      </c>
      <c r="B1092" s="62" t="s">
        <v>385</v>
      </c>
      <c r="C1092" s="62" t="s">
        <v>497</v>
      </c>
      <c r="D1092" s="62" t="s">
        <v>379</v>
      </c>
      <c r="E1092" s="62" t="s">
        <v>149</v>
      </c>
      <c r="F1092" s="62" t="s">
        <v>661</v>
      </c>
      <c r="G1092">
        <v>1119</v>
      </c>
      <c r="I1092" s="62" t="s">
        <v>506</v>
      </c>
      <c r="J1092" s="62" t="s">
        <v>879</v>
      </c>
      <c r="K1092" s="62" t="s">
        <v>879</v>
      </c>
      <c r="L1092" s="62" t="s">
        <v>1110</v>
      </c>
    </row>
    <row r="1093" spans="1:12" x14ac:dyDescent="0.35">
      <c r="A1093">
        <v>12604</v>
      </c>
      <c r="B1093" s="62" t="s">
        <v>768</v>
      </c>
      <c r="C1093" s="62" t="s">
        <v>497</v>
      </c>
      <c r="D1093" s="62" t="s">
        <v>379</v>
      </c>
      <c r="E1093" s="62" t="s">
        <v>149</v>
      </c>
      <c r="F1093" s="62" t="s">
        <v>661</v>
      </c>
      <c r="G1093">
        <v>25146</v>
      </c>
      <c r="I1093" s="62" t="s">
        <v>506</v>
      </c>
      <c r="J1093" s="62" t="s">
        <v>880</v>
      </c>
      <c r="K1093" s="62" t="s">
        <v>880</v>
      </c>
      <c r="L1093" s="62" t="s">
        <v>1110</v>
      </c>
    </row>
    <row r="1094" spans="1:12" x14ac:dyDescent="0.35">
      <c r="A1094">
        <v>22085</v>
      </c>
      <c r="B1094" s="62" t="s">
        <v>380</v>
      </c>
      <c r="C1094" s="62" t="s">
        <v>497</v>
      </c>
      <c r="D1094" s="62" t="s">
        <v>379</v>
      </c>
      <c r="E1094" s="62" t="s">
        <v>149</v>
      </c>
      <c r="F1094" s="62" t="s">
        <v>661</v>
      </c>
      <c r="G1094">
        <v>933</v>
      </c>
      <c r="I1094" s="62" t="s">
        <v>506</v>
      </c>
      <c r="J1094" s="62" t="s">
        <v>881</v>
      </c>
      <c r="K1094" s="62" t="s">
        <v>881</v>
      </c>
      <c r="L1094" s="62" t="s">
        <v>1110</v>
      </c>
    </row>
    <row r="1095" spans="1:12" x14ac:dyDescent="0.35">
      <c r="A1095">
        <v>14485</v>
      </c>
      <c r="B1095" s="62" t="s">
        <v>361</v>
      </c>
      <c r="C1095" s="62" t="s">
        <v>495</v>
      </c>
      <c r="D1095" s="62" t="s">
        <v>360</v>
      </c>
      <c r="E1095" s="62" t="s">
        <v>149</v>
      </c>
      <c r="F1095" s="62" t="s">
        <v>661</v>
      </c>
      <c r="G1095">
        <v>8225</v>
      </c>
      <c r="H1095">
        <v>65629</v>
      </c>
      <c r="I1095" s="62" t="s">
        <v>506</v>
      </c>
      <c r="J1095" s="62" t="s">
        <v>882</v>
      </c>
      <c r="K1095" s="62" t="s">
        <v>882</v>
      </c>
      <c r="L1095" s="62" t="s">
        <v>1110</v>
      </c>
    </row>
    <row r="1096" spans="1:12" x14ac:dyDescent="0.35">
      <c r="A1096">
        <v>12745</v>
      </c>
      <c r="B1096" s="62" t="s">
        <v>402</v>
      </c>
      <c r="C1096" s="62" t="s">
        <v>499</v>
      </c>
      <c r="D1096" s="62" t="s">
        <v>401</v>
      </c>
      <c r="E1096" s="62" t="s">
        <v>149</v>
      </c>
      <c r="F1096" s="62" t="s">
        <v>661</v>
      </c>
      <c r="G1096">
        <v>1327</v>
      </c>
      <c r="H1096">
        <v>12975</v>
      </c>
      <c r="I1096" s="62" t="s">
        <v>506</v>
      </c>
      <c r="J1096" s="62" t="s">
        <v>883</v>
      </c>
      <c r="K1096" s="62" t="s">
        <v>883</v>
      </c>
      <c r="L1096" s="62" t="s">
        <v>1110</v>
      </c>
    </row>
    <row r="1097" spans="1:12" x14ac:dyDescent="0.35">
      <c r="A1097">
        <v>10398</v>
      </c>
      <c r="B1097" s="62" t="s">
        <v>286</v>
      </c>
      <c r="C1097" s="62" t="s">
        <v>489</v>
      </c>
      <c r="D1097" s="62" t="s">
        <v>284</v>
      </c>
      <c r="E1097" s="62" t="s">
        <v>149</v>
      </c>
      <c r="F1097" s="62" t="s">
        <v>661</v>
      </c>
      <c r="G1097">
        <v>1356</v>
      </c>
      <c r="H1097">
        <v>13555</v>
      </c>
      <c r="I1097" s="62" t="s">
        <v>506</v>
      </c>
      <c r="J1097" s="62" t="s">
        <v>884</v>
      </c>
      <c r="K1097" s="62" t="s">
        <v>884</v>
      </c>
      <c r="L1097" s="62" t="s">
        <v>1110</v>
      </c>
    </row>
    <row r="1098" spans="1:12" x14ac:dyDescent="0.35">
      <c r="A1098">
        <v>16742</v>
      </c>
      <c r="B1098" s="62" t="s">
        <v>770</v>
      </c>
      <c r="C1098" s="62" t="s">
        <v>499</v>
      </c>
      <c r="D1098" s="62" t="s">
        <v>405</v>
      </c>
      <c r="E1098" s="62" t="s">
        <v>149</v>
      </c>
      <c r="F1098" s="62" t="s">
        <v>661</v>
      </c>
      <c r="G1098">
        <v>585</v>
      </c>
      <c r="H1098">
        <v>4959</v>
      </c>
      <c r="I1098" s="62" t="s">
        <v>506</v>
      </c>
      <c r="J1098" s="62" t="s">
        <v>885</v>
      </c>
      <c r="K1098" s="62" t="s">
        <v>885</v>
      </c>
      <c r="L1098" s="62" t="s">
        <v>1110</v>
      </c>
    </row>
    <row r="1099" spans="1:12" x14ac:dyDescent="0.35">
      <c r="A1099">
        <v>15128</v>
      </c>
      <c r="B1099" s="62" t="s">
        <v>365</v>
      </c>
      <c r="C1099" s="62" t="s">
        <v>495</v>
      </c>
      <c r="D1099" s="62" t="s">
        <v>363</v>
      </c>
      <c r="E1099" s="62" t="s">
        <v>149</v>
      </c>
      <c r="F1099" s="62" t="s">
        <v>661</v>
      </c>
      <c r="G1099">
        <v>956</v>
      </c>
      <c r="H1099">
        <v>5420</v>
      </c>
      <c r="I1099" s="62" t="s">
        <v>506</v>
      </c>
      <c r="J1099" s="62" t="s">
        <v>886</v>
      </c>
      <c r="K1099" s="62" t="s">
        <v>886</v>
      </c>
      <c r="L1099" s="62" t="s">
        <v>1110</v>
      </c>
    </row>
    <row r="1100" spans="1:12" x14ac:dyDescent="0.35">
      <c r="A1100">
        <v>10221</v>
      </c>
      <c r="B1100" s="62" t="s">
        <v>285</v>
      </c>
      <c r="C1100" s="62" t="s">
        <v>489</v>
      </c>
      <c r="D1100" s="62" t="s">
        <v>284</v>
      </c>
      <c r="E1100" s="62" t="s">
        <v>149</v>
      </c>
      <c r="F1100" s="62" t="s">
        <v>661</v>
      </c>
      <c r="G1100">
        <v>1269</v>
      </c>
      <c r="H1100">
        <v>11832</v>
      </c>
      <c r="I1100" s="62" t="s">
        <v>506</v>
      </c>
      <c r="J1100" s="62" t="s">
        <v>887</v>
      </c>
      <c r="K1100" s="62" t="s">
        <v>887</v>
      </c>
      <c r="L1100" s="62" t="s">
        <v>1110</v>
      </c>
    </row>
    <row r="1101" spans="1:12" x14ac:dyDescent="0.35">
      <c r="A1101">
        <v>10602</v>
      </c>
      <c r="B1101" s="62" t="s">
        <v>302</v>
      </c>
      <c r="C1101" s="62" t="s">
        <v>491</v>
      </c>
      <c r="D1101" s="62" t="s">
        <v>301</v>
      </c>
      <c r="E1101" s="62" t="s">
        <v>149</v>
      </c>
      <c r="F1101" s="62" t="s">
        <v>661</v>
      </c>
      <c r="G1101">
        <v>12789</v>
      </c>
      <c r="H1101">
        <v>171086</v>
      </c>
      <c r="I1101" s="62" t="s">
        <v>506</v>
      </c>
      <c r="J1101" s="62" t="s">
        <v>888</v>
      </c>
      <c r="K1101" s="62" t="s">
        <v>888</v>
      </c>
      <c r="L1101" s="62" t="s">
        <v>1110</v>
      </c>
    </row>
    <row r="1102" spans="1:12" x14ac:dyDescent="0.35">
      <c r="A1102">
        <v>10321</v>
      </c>
      <c r="B1102" s="62" t="s">
        <v>305</v>
      </c>
      <c r="C1102" s="62" t="s">
        <v>491</v>
      </c>
      <c r="D1102" s="62" t="s">
        <v>304</v>
      </c>
      <c r="E1102" s="62" t="s">
        <v>149</v>
      </c>
      <c r="F1102" s="62" t="s">
        <v>661</v>
      </c>
      <c r="G1102">
        <v>1320</v>
      </c>
      <c r="H1102">
        <v>12680</v>
      </c>
      <c r="I1102" s="62" t="s">
        <v>506</v>
      </c>
      <c r="J1102" s="62" t="s">
        <v>889</v>
      </c>
      <c r="K1102" s="62" t="s">
        <v>889</v>
      </c>
      <c r="L1102" s="62" t="s">
        <v>1110</v>
      </c>
    </row>
    <row r="1103" spans="1:12" x14ac:dyDescent="0.35">
      <c r="A1103">
        <v>14394</v>
      </c>
      <c r="B1103" s="62" t="s">
        <v>364</v>
      </c>
      <c r="C1103" s="62" t="s">
        <v>495</v>
      </c>
      <c r="D1103" s="62" t="s">
        <v>363</v>
      </c>
      <c r="E1103" s="62" t="s">
        <v>149</v>
      </c>
      <c r="F1103" s="62" t="s">
        <v>661</v>
      </c>
      <c r="G1103">
        <v>1767</v>
      </c>
      <c r="H1103">
        <v>18708</v>
      </c>
      <c r="I1103" s="62" t="s">
        <v>506</v>
      </c>
      <c r="J1103" s="62" t="s">
        <v>890</v>
      </c>
      <c r="K1103" s="62" t="s">
        <v>890</v>
      </c>
      <c r="L1103" s="62" t="s">
        <v>1110</v>
      </c>
    </row>
    <row r="1104" spans="1:12" x14ac:dyDescent="0.35">
      <c r="A1104">
        <v>10988</v>
      </c>
      <c r="B1104" s="62" t="s">
        <v>296</v>
      </c>
      <c r="C1104" s="62" t="s">
        <v>491</v>
      </c>
      <c r="D1104" s="62" t="s">
        <v>295</v>
      </c>
      <c r="E1104" s="62" t="s">
        <v>149</v>
      </c>
      <c r="F1104" s="62" t="s">
        <v>661</v>
      </c>
      <c r="G1104">
        <v>4454</v>
      </c>
      <c r="H1104">
        <v>44059</v>
      </c>
      <c r="I1104" s="62" t="s">
        <v>506</v>
      </c>
      <c r="J1104" s="62" t="s">
        <v>891</v>
      </c>
      <c r="K1104" s="62" t="s">
        <v>891</v>
      </c>
      <c r="L1104" s="62" t="s">
        <v>1110</v>
      </c>
    </row>
    <row r="1105" spans="1:12" x14ac:dyDescent="0.35">
      <c r="A1105">
        <v>17094</v>
      </c>
      <c r="B1105" s="62" t="s">
        <v>298</v>
      </c>
      <c r="C1105" s="62" t="s">
        <v>491</v>
      </c>
      <c r="D1105" s="62" t="s">
        <v>297</v>
      </c>
      <c r="E1105" s="62" t="s">
        <v>149</v>
      </c>
      <c r="F1105" s="62" t="s">
        <v>661</v>
      </c>
      <c r="G1105">
        <v>11273</v>
      </c>
      <c r="H1105">
        <v>75098</v>
      </c>
      <c r="I1105" s="62" t="s">
        <v>506</v>
      </c>
      <c r="J1105" s="62" t="s">
        <v>892</v>
      </c>
      <c r="K1105" s="62" t="s">
        <v>892</v>
      </c>
      <c r="L1105" s="62" t="s">
        <v>1110</v>
      </c>
    </row>
    <row r="1106" spans="1:12" x14ac:dyDescent="0.35">
      <c r="A1106">
        <v>12413</v>
      </c>
      <c r="B1106" s="62" t="s">
        <v>239</v>
      </c>
      <c r="C1106" s="62" t="s">
        <v>487</v>
      </c>
      <c r="D1106" s="62" t="s">
        <v>237</v>
      </c>
      <c r="E1106" s="62" t="s">
        <v>149</v>
      </c>
      <c r="F1106" s="62" t="s">
        <v>661</v>
      </c>
      <c r="G1106">
        <v>4151</v>
      </c>
      <c r="H1106">
        <v>45952</v>
      </c>
      <c r="I1106" s="62" t="s">
        <v>506</v>
      </c>
      <c r="J1106" s="62" t="s">
        <v>893</v>
      </c>
      <c r="K1106" s="62" t="s">
        <v>893</v>
      </c>
      <c r="L1106" s="62" t="s">
        <v>1110</v>
      </c>
    </row>
    <row r="1107" spans="1:12" x14ac:dyDescent="0.35">
      <c r="A1107">
        <v>12277</v>
      </c>
      <c r="B1107" s="62" t="s">
        <v>249</v>
      </c>
      <c r="C1107" s="62" t="s">
        <v>758</v>
      </c>
      <c r="D1107" s="62" t="s">
        <v>248</v>
      </c>
      <c r="E1107" s="62" t="s">
        <v>149</v>
      </c>
      <c r="F1107" s="62" t="s">
        <v>661</v>
      </c>
      <c r="G1107">
        <v>1264</v>
      </c>
      <c r="H1107">
        <v>8090</v>
      </c>
      <c r="I1107" s="62" t="s">
        <v>506</v>
      </c>
      <c r="J1107" s="62" t="s">
        <v>894</v>
      </c>
      <c r="K1107" s="62" t="s">
        <v>894</v>
      </c>
      <c r="L1107" s="62" t="s">
        <v>1110</v>
      </c>
    </row>
    <row r="1108" spans="1:12" x14ac:dyDescent="0.35">
      <c r="A1108">
        <v>11970</v>
      </c>
      <c r="B1108" s="62" t="s">
        <v>260</v>
      </c>
      <c r="C1108" s="62" t="s">
        <v>758</v>
      </c>
      <c r="D1108" s="62" t="s">
        <v>259</v>
      </c>
      <c r="E1108" s="62" t="s">
        <v>149</v>
      </c>
      <c r="F1108" s="62" t="s">
        <v>661</v>
      </c>
      <c r="G1108">
        <v>12124</v>
      </c>
      <c r="H1108">
        <v>133060</v>
      </c>
      <c r="I1108" s="62" t="s">
        <v>506</v>
      </c>
      <c r="J1108" s="62" t="s">
        <v>895</v>
      </c>
      <c r="K1108" s="62" t="s">
        <v>895</v>
      </c>
      <c r="L1108" s="62" t="s">
        <v>1110</v>
      </c>
    </row>
    <row r="1109" spans="1:12" x14ac:dyDescent="0.35">
      <c r="A1109">
        <v>12599</v>
      </c>
      <c r="B1109" s="62" t="s">
        <v>376</v>
      </c>
      <c r="C1109" s="62" t="s">
        <v>497</v>
      </c>
      <c r="D1109" s="62" t="s">
        <v>374</v>
      </c>
      <c r="E1109" s="62" t="s">
        <v>149</v>
      </c>
      <c r="F1109" s="62" t="s">
        <v>661</v>
      </c>
      <c r="G1109">
        <v>777</v>
      </c>
      <c r="H1109">
        <v>6984</v>
      </c>
      <c r="I1109" s="62" t="s">
        <v>506</v>
      </c>
      <c r="J1109" s="62" t="s">
        <v>896</v>
      </c>
      <c r="K1109" s="62" t="s">
        <v>896</v>
      </c>
      <c r="L1109" s="62" t="s">
        <v>1110</v>
      </c>
    </row>
    <row r="1110" spans="1:12" x14ac:dyDescent="0.35">
      <c r="A1110">
        <v>12743</v>
      </c>
      <c r="B1110" s="62" t="s">
        <v>187</v>
      </c>
      <c r="C1110" s="62" t="s">
        <v>485</v>
      </c>
      <c r="D1110" s="62" t="s">
        <v>175</v>
      </c>
      <c r="E1110" s="62" t="s">
        <v>149</v>
      </c>
      <c r="F1110" s="62" t="s">
        <v>661</v>
      </c>
      <c r="G1110">
        <v>11223</v>
      </c>
      <c r="H1110">
        <v>34565</v>
      </c>
      <c r="I1110" s="62" t="s">
        <v>506</v>
      </c>
      <c r="J1110" s="62" t="s">
        <v>897</v>
      </c>
      <c r="K1110" s="62" t="s">
        <v>897</v>
      </c>
      <c r="L1110" s="62" t="s">
        <v>1110</v>
      </c>
    </row>
    <row r="1111" spans="1:12" x14ac:dyDescent="0.35">
      <c r="A1111">
        <v>11976</v>
      </c>
      <c r="B1111" s="62" t="s">
        <v>763</v>
      </c>
      <c r="C1111" s="62" t="s">
        <v>485</v>
      </c>
      <c r="D1111" s="62" t="s">
        <v>175</v>
      </c>
      <c r="E1111" s="62" t="s">
        <v>149</v>
      </c>
      <c r="F1111" s="62" t="s">
        <v>661</v>
      </c>
      <c r="G1111">
        <v>9190</v>
      </c>
      <c r="H1111">
        <v>72663</v>
      </c>
      <c r="I1111" s="62" t="s">
        <v>506</v>
      </c>
      <c r="J1111" s="62" t="s">
        <v>898</v>
      </c>
      <c r="K1111" s="62" t="s">
        <v>898</v>
      </c>
      <c r="L1111" s="62" t="s">
        <v>1110</v>
      </c>
    </row>
    <row r="1112" spans="1:12" x14ac:dyDescent="0.35">
      <c r="A1112">
        <v>19963</v>
      </c>
      <c r="B1112" s="62" t="s">
        <v>760</v>
      </c>
      <c r="C1112" s="62" t="s">
        <v>491</v>
      </c>
      <c r="D1112" s="62" t="s">
        <v>293</v>
      </c>
      <c r="E1112" s="62" t="s">
        <v>149</v>
      </c>
      <c r="F1112" s="62" t="s">
        <v>661</v>
      </c>
      <c r="G1112">
        <v>800</v>
      </c>
      <c r="H1112">
        <v>36675</v>
      </c>
      <c r="I1112" s="62" t="s">
        <v>507</v>
      </c>
      <c r="J1112" s="62" t="s">
        <v>899</v>
      </c>
      <c r="K1112" s="62" t="s">
        <v>899</v>
      </c>
      <c r="L1112" s="62" t="s">
        <v>1110</v>
      </c>
    </row>
    <row r="1113" spans="1:12" x14ac:dyDescent="0.35">
      <c r="A1113">
        <v>12213</v>
      </c>
      <c r="B1113" s="62" t="s">
        <v>389</v>
      </c>
      <c r="C1113" s="62" t="s">
        <v>497</v>
      </c>
      <c r="D1113" s="62" t="s">
        <v>388</v>
      </c>
      <c r="E1113" s="62" t="s">
        <v>149</v>
      </c>
      <c r="F1113" s="62" t="s">
        <v>661</v>
      </c>
      <c r="G1113">
        <v>448</v>
      </c>
      <c r="H1113">
        <v>4868</v>
      </c>
      <c r="I1113" s="62" t="s">
        <v>506</v>
      </c>
      <c r="J1113" s="62" t="s">
        <v>900</v>
      </c>
      <c r="K1113" s="62" t="s">
        <v>900</v>
      </c>
      <c r="L1113" s="62" t="s">
        <v>1110</v>
      </c>
    </row>
    <row r="1114" spans="1:12" x14ac:dyDescent="0.35">
      <c r="A1114">
        <v>12190</v>
      </c>
      <c r="B1114" s="62" t="s">
        <v>383</v>
      </c>
      <c r="C1114" s="62" t="s">
        <v>497</v>
      </c>
      <c r="D1114" s="62" t="s">
        <v>379</v>
      </c>
      <c r="E1114" s="62" t="s">
        <v>149</v>
      </c>
      <c r="F1114" s="62" t="s">
        <v>661</v>
      </c>
      <c r="G1114">
        <v>608</v>
      </c>
      <c r="H1114">
        <v>5392</v>
      </c>
      <c r="I1114" s="62" t="s">
        <v>506</v>
      </c>
      <c r="J1114" s="62" t="s">
        <v>901</v>
      </c>
      <c r="K1114" s="62" t="s">
        <v>901</v>
      </c>
      <c r="L1114" s="62" t="s">
        <v>1110</v>
      </c>
    </row>
    <row r="1115" spans="1:12" x14ac:dyDescent="0.35">
      <c r="A1115">
        <v>12204</v>
      </c>
      <c r="B1115" s="62" t="s">
        <v>384</v>
      </c>
      <c r="C1115" s="62" t="s">
        <v>497</v>
      </c>
      <c r="D1115" s="62" t="s">
        <v>379</v>
      </c>
      <c r="E1115" s="62" t="s">
        <v>149</v>
      </c>
      <c r="F1115" s="62" t="s">
        <v>661</v>
      </c>
      <c r="G1115">
        <v>934</v>
      </c>
      <c r="H1115">
        <v>8591</v>
      </c>
      <c r="I1115" s="62" t="s">
        <v>506</v>
      </c>
      <c r="J1115" s="62" t="s">
        <v>902</v>
      </c>
      <c r="K1115" s="62" t="s">
        <v>902</v>
      </c>
      <c r="L1115" s="62" t="s">
        <v>1110</v>
      </c>
    </row>
    <row r="1116" spans="1:12" x14ac:dyDescent="0.35">
      <c r="A1116">
        <v>12251</v>
      </c>
      <c r="B1116" s="62" t="s">
        <v>386</v>
      </c>
      <c r="C1116" s="62" t="s">
        <v>497</v>
      </c>
      <c r="D1116" s="62" t="s">
        <v>379</v>
      </c>
      <c r="E1116" s="62" t="s">
        <v>149</v>
      </c>
      <c r="F1116" s="62" t="s">
        <v>661</v>
      </c>
      <c r="G1116">
        <v>818</v>
      </c>
      <c r="H1116">
        <v>6352</v>
      </c>
      <c r="I1116" s="62" t="s">
        <v>506</v>
      </c>
      <c r="J1116" s="62" t="s">
        <v>903</v>
      </c>
      <c r="K1116" s="62" t="s">
        <v>903</v>
      </c>
      <c r="L1116" s="62" t="s">
        <v>1110</v>
      </c>
    </row>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30"/>
  <sheetViews>
    <sheetView zoomScaleNormal="100" workbookViewId="0">
      <pane xSplit="2" ySplit="4" topLeftCell="C18" activePane="bottomRight" state="frozen"/>
      <selection pane="topRight" activeCell="C1" sqref="C1"/>
      <selection pane="bottomLeft" activeCell="A5" sqref="A5"/>
      <selection pane="bottomRight" activeCell="B26" sqref="B26"/>
    </sheetView>
  </sheetViews>
  <sheetFormatPr defaultColWidth="8.6328125" defaultRowHeight="14.5" x14ac:dyDescent="0.35"/>
  <cols>
    <col min="1" max="1" width="8" customWidth="1"/>
    <col min="2" max="2" width="30" customWidth="1"/>
    <col min="3" max="3" width="8" customWidth="1"/>
    <col min="4" max="4" width="14" customWidth="1"/>
    <col min="5" max="5" width="40" customWidth="1"/>
    <col min="6" max="7" width="22" customWidth="1"/>
    <col min="8" max="9" width="26" customWidth="1"/>
    <col min="10" max="10" width="36" customWidth="1"/>
    <col min="11" max="13" width="12" customWidth="1"/>
    <col min="14" max="19" width="11" customWidth="1"/>
    <col min="20" max="20" width="12" customWidth="1"/>
    <col min="21" max="21" width="16" customWidth="1"/>
    <col min="22" max="22" width="9" customWidth="1"/>
    <col min="23" max="28" width="12" customWidth="1"/>
  </cols>
  <sheetData>
    <row r="1" spans="1:28" ht="15.5" x14ac:dyDescent="0.35">
      <c r="A1" s="18" t="s">
        <v>904</v>
      </c>
    </row>
    <row r="2" spans="1:28" x14ac:dyDescent="0.35">
      <c r="A2" s="17" t="s">
        <v>905</v>
      </c>
    </row>
    <row r="4" spans="1:28" ht="42" customHeight="1" x14ac:dyDescent="0.35">
      <c r="A4" s="6" t="s">
        <v>46</v>
      </c>
      <c r="B4" s="6" t="s">
        <v>906</v>
      </c>
      <c r="C4" s="6" t="s">
        <v>907</v>
      </c>
      <c r="D4" s="6" t="s">
        <v>908</v>
      </c>
      <c r="E4" s="6" t="s">
        <v>909</v>
      </c>
      <c r="F4" s="6" t="s">
        <v>910</v>
      </c>
      <c r="G4" s="6" t="s">
        <v>911</v>
      </c>
      <c r="H4" s="6" t="s">
        <v>912</v>
      </c>
      <c r="I4" s="6" t="s">
        <v>913</v>
      </c>
      <c r="J4" s="6" t="s">
        <v>914</v>
      </c>
      <c r="K4" s="6" t="s">
        <v>915</v>
      </c>
      <c r="L4" s="6" t="s">
        <v>916</v>
      </c>
      <c r="M4" s="6" t="s">
        <v>917</v>
      </c>
      <c r="N4" s="6" t="s">
        <v>918</v>
      </c>
      <c r="O4" s="6" t="s">
        <v>919</v>
      </c>
      <c r="P4" s="6" t="s">
        <v>920</v>
      </c>
      <c r="Q4" s="6" t="s">
        <v>921</v>
      </c>
      <c r="R4" s="6" t="s">
        <v>922</v>
      </c>
      <c r="S4" s="6" t="s">
        <v>923</v>
      </c>
      <c r="T4" s="6" t="s">
        <v>924</v>
      </c>
      <c r="U4" s="6" t="s">
        <v>925</v>
      </c>
      <c r="V4" s="6" t="s">
        <v>926</v>
      </c>
      <c r="W4" s="6" t="s">
        <v>927</v>
      </c>
      <c r="X4" s="6" t="s">
        <v>928</v>
      </c>
      <c r="Y4" s="6" t="s">
        <v>929</v>
      </c>
      <c r="Z4" s="6" t="s">
        <v>930</v>
      </c>
      <c r="AA4" s="6" t="s">
        <v>931</v>
      </c>
      <c r="AB4" s="6" t="s">
        <v>932</v>
      </c>
    </row>
    <row r="5" spans="1:28" ht="69" x14ac:dyDescent="0.35">
      <c r="A5" s="57">
        <v>1</v>
      </c>
      <c r="B5" s="58" t="s">
        <v>933</v>
      </c>
      <c r="C5" s="57" t="s">
        <v>934</v>
      </c>
      <c r="D5" s="57" t="s">
        <v>935</v>
      </c>
      <c r="E5" s="58" t="s">
        <v>936</v>
      </c>
      <c r="F5" s="57" t="s">
        <v>937</v>
      </c>
      <c r="G5" s="57" t="s">
        <v>938</v>
      </c>
      <c r="H5" s="58" t="s">
        <v>939</v>
      </c>
      <c r="I5" s="58" t="s">
        <v>940</v>
      </c>
      <c r="J5" s="58" t="s">
        <v>941</v>
      </c>
      <c r="K5" s="57" t="s">
        <v>942</v>
      </c>
      <c r="L5" s="59">
        <v>46280</v>
      </c>
      <c r="M5" s="57"/>
      <c r="N5" s="60">
        <v>249233</v>
      </c>
      <c r="O5" s="57"/>
      <c r="P5" s="57"/>
      <c r="Q5" s="57"/>
      <c r="R5" s="57"/>
      <c r="S5" s="57"/>
      <c r="T5" s="60">
        <v>249233</v>
      </c>
      <c r="U5" s="57" t="s">
        <v>943</v>
      </c>
      <c r="V5" s="57" t="s">
        <v>944</v>
      </c>
      <c r="W5" s="61">
        <v>46275</v>
      </c>
      <c r="X5" s="61"/>
      <c r="Y5" s="61"/>
      <c r="Z5" s="61"/>
      <c r="AA5" s="61"/>
      <c r="AB5" s="61"/>
    </row>
    <row r="6" spans="1:28" ht="23" x14ac:dyDescent="0.35">
      <c r="A6" s="57">
        <v>2</v>
      </c>
      <c r="B6" s="58" t="s">
        <v>945</v>
      </c>
      <c r="C6" s="57" t="s">
        <v>934</v>
      </c>
      <c r="D6" s="57" t="s">
        <v>935</v>
      </c>
      <c r="E6" s="58" t="s">
        <v>946</v>
      </c>
      <c r="F6" s="57" t="s">
        <v>947</v>
      </c>
      <c r="G6" s="57" t="s">
        <v>948</v>
      </c>
      <c r="H6" s="58" t="s">
        <v>949</v>
      </c>
      <c r="I6" s="58" t="s">
        <v>950</v>
      </c>
      <c r="J6" s="58" t="s">
        <v>951</v>
      </c>
      <c r="K6" s="57" t="s">
        <v>942</v>
      </c>
      <c r="L6" s="59">
        <v>46280</v>
      </c>
      <c r="M6" s="57"/>
      <c r="N6" s="60">
        <v>517291</v>
      </c>
      <c r="O6" s="57"/>
      <c r="P6" s="57"/>
      <c r="Q6" s="57"/>
      <c r="R6" s="57"/>
      <c r="S6" s="57"/>
      <c r="T6" s="60">
        <v>517291</v>
      </c>
      <c r="U6" s="57" t="s">
        <v>943</v>
      </c>
      <c r="V6" s="57" t="s">
        <v>944</v>
      </c>
      <c r="W6" s="61">
        <v>46275</v>
      </c>
      <c r="X6" s="61"/>
      <c r="Y6" s="61"/>
      <c r="Z6" s="61"/>
      <c r="AA6" s="61"/>
      <c r="AB6" s="61"/>
    </row>
    <row r="7" spans="1:28" ht="46" x14ac:dyDescent="0.35">
      <c r="A7" s="57">
        <v>3</v>
      </c>
      <c r="B7" s="58" t="s">
        <v>952</v>
      </c>
      <c r="C7" s="57" t="s">
        <v>934</v>
      </c>
      <c r="D7" s="57" t="s">
        <v>935</v>
      </c>
      <c r="E7" s="58" t="s">
        <v>953</v>
      </c>
      <c r="F7" s="58" t="s">
        <v>954</v>
      </c>
      <c r="G7" s="57" t="s">
        <v>955</v>
      </c>
      <c r="H7" s="58" t="s">
        <v>939</v>
      </c>
      <c r="I7" s="58" t="s">
        <v>956</v>
      </c>
      <c r="J7" s="58" t="s">
        <v>957</v>
      </c>
      <c r="K7" s="57" t="s">
        <v>942</v>
      </c>
      <c r="L7" s="59">
        <v>46280</v>
      </c>
      <c r="M7" s="57"/>
      <c r="N7" s="60">
        <v>85634</v>
      </c>
      <c r="O7" s="57"/>
      <c r="P7" s="57"/>
      <c r="Q7" s="57"/>
      <c r="R7" s="57"/>
      <c r="S7" s="57"/>
      <c r="T7" s="60">
        <v>85634</v>
      </c>
      <c r="U7" s="57" t="s">
        <v>943</v>
      </c>
      <c r="V7" s="57" t="s">
        <v>944</v>
      </c>
      <c r="W7" s="61">
        <v>46275</v>
      </c>
      <c r="X7" s="61"/>
      <c r="Y7" s="61"/>
      <c r="Z7" s="61"/>
      <c r="AA7" s="61"/>
      <c r="AB7" s="61"/>
    </row>
    <row r="8" spans="1:28" ht="46" x14ac:dyDescent="0.35">
      <c r="A8" s="57">
        <v>4</v>
      </c>
      <c r="B8" s="58" t="s">
        <v>958</v>
      </c>
      <c r="C8" s="57" t="s">
        <v>934</v>
      </c>
      <c r="D8" s="57" t="s">
        <v>935</v>
      </c>
      <c r="E8" s="58" t="s">
        <v>959</v>
      </c>
      <c r="F8" s="57" t="s">
        <v>960</v>
      </c>
      <c r="G8" s="57" t="s">
        <v>961</v>
      </c>
      <c r="H8" s="58" t="s">
        <v>962</v>
      </c>
      <c r="I8" s="58" t="s">
        <v>963</v>
      </c>
      <c r="J8" s="58" t="s">
        <v>964</v>
      </c>
      <c r="K8" s="57" t="s">
        <v>942</v>
      </c>
      <c r="L8" s="59">
        <v>46280</v>
      </c>
      <c r="M8" s="57"/>
      <c r="N8" s="60">
        <v>45548</v>
      </c>
      <c r="O8" s="57"/>
      <c r="P8" s="57"/>
      <c r="Q8" s="57"/>
      <c r="R8" s="57"/>
      <c r="S8" s="57"/>
      <c r="T8" s="60">
        <v>45548</v>
      </c>
      <c r="U8" s="57" t="s">
        <v>943</v>
      </c>
      <c r="V8" s="57" t="s">
        <v>944</v>
      </c>
      <c r="W8" s="61">
        <v>46275</v>
      </c>
      <c r="X8" s="61"/>
      <c r="Y8" s="61"/>
      <c r="Z8" s="61"/>
      <c r="AA8" s="61"/>
      <c r="AB8" s="61"/>
    </row>
    <row r="9" spans="1:28" ht="46" x14ac:dyDescent="0.35">
      <c r="A9" s="57">
        <v>5</v>
      </c>
      <c r="B9" s="58" t="s">
        <v>965</v>
      </c>
      <c r="C9" s="57" t="s">
        <v>934</v>
      </c>
      <c r="D9" s="57" t="s">
        <v>935</v>
      </c>
      <c r="E9" s="58" t="s">
        <v>966</v>
      </c>
      <c r="F9" s="58" t="s">
        <v>967</v>
      </c>
      <c r="G9" s="58" t="s">
        <v>968</v>
      </c>
      <c r="H9" s="58" t="s">
        <v>962</v>
      </c>
      <c r="I9" s="58" t="s">
        <v>969</v>
      </c>
      <c r="J9" s="58" t="s">
        <v>970</v>
      </c>
      <c r="K9" s="57" t="s">
        <v>971</v>
      </c>
      <c r="L9" s="57"/>
      <c r="M9" s="57"/>
      <c r="N9" s="60">
        <v>29840</v>
      </c>
      <c r="O9" s="60">
        <v>29839</v>
      </c>
      <c r="P9" s="60">
        <v>29839</v>
      </c>
      <c r="Q9" s="60">
        <v>29839</v>
      </c>
      <c r="R9" s="60">
        <v>29840</v>
      </c>
      <c r="S9" s="60">
        <v>29839</v>
      </c>
      <c r="T9" s="60">
        <v>179036</v>
      </c>
      <c r="U9" s="57" t="s">
        <v>943</v>
      </c>
      <c r="V9" s="57" t="s">
        <v>944</v>
      </c>
      <c r="W9" s="61">
        <v>46316</v>
      </c>
      <c r="X9" s="61"/>
      <c r="Y9" s="61"/>
      <c r="Z9" s="61"/>
      <c r="AA9" s="61"/>
      <c r="AB9" s="61">
        <v>46465</v>
      </c>
    </row>
    <row r="10" spans="1:28" ht="57.5" x14ac:dyDescent="0.35">
      <c r="A10" s="57">
        <v>6</v>
      </c>
      <c r="B10" s="58" t="s">
        <v>972</v>
      </c>
      <c r="C10" s="57" t="s">
        <v>934</v>
      </c>
      <c r="D10" s="57" t="s">
        <v>935</v>
      </c>
      <c r="E10" s="58" t="s">
        <v>973</v>
      </c>
      <c r="F10" s="57" t="s">
        <v>974</v>
      </c>
      <c r="G10" s="57" t="s">
        <v>975</v>
      </c>
      <c r="H10" s="57" t="s">
        <v>976</v>
      </c>
      <c r="I10" s="58" t="s">
        <v>977</v>
      </c>
      <c r="J10" s="58" t="s">
        <v>978</v>
      </c>
      <c r="K10" s="57" t="s">
        <v>971</v>
      </c>
      <c r="L10" s="57"/>
      <c r="M10" s="57"/>
      <c r="N10" s="60">
        <v>35888</v>
      </c>
      <c r="O10" s="60">
        <v>35400</v>
      </c>
      <c r="P10" s="60">
        <v>35400</v>
      </c>
      <c r="Q10" s="60">
        <v>35400</v>
      </c>
      <c r="R10" s="60">
        <v>35400</v>
      </c>
      <c r="S10" s="60">
        <v>35400</v>
      </c>
      <c r="T10" s="60">
        <v>212888</v>
      </c>
      <c r="U10" s="57" t="s">
        <v>943</v>
      </c>
      <c r="V10" s="57" t="s">
        <v>979</v>
      </c>
      <c r="W10" s="61">
        <v>46316</v>
      </c>
      <c r="X10" s="61">
        <v>46346</v>
      </c>
      <c r="Y10" s="61">
        <v>46374</v>
      </c>
      <c r="Z10" s="61">
        <v>46407</v>
      </c>
      <c r="AA10" s="61">
        <v>46437</v>
      </c>
      <c r="AB10" s="61">
        <v>46465</v>
      </c>
    </row>
    <row r="11" spans="1:28" ht="57.5" x14ac:dyDescent="0.35">
      <c r="A11" s="57">
        <v>7</v>
      </c>
      <c r="B11" s="58" t="s">
        <v>980</v>
      </c>
      <c r="C11" s="57" t="s">
        <v>934</v>
      </c>
      <c r="D11" s="57" t="s">
        <v>935</v>
      </c>
      <c r="E11" s="58" t="s">
        <v>981</v>
      </c>
      <c r="F11" s="57" t="s">
        <v>982</v>
      </c>
      <c r="G11" s="57" t="s">
        <v>983</v>
      </c>
      <c r="H11" s="57" t="s">
        <v>984</v>
      </c>
      <c r="I11" s="58" t="s">
        <v>985</v>
      </c>
      <c r="J11" s="58" t="s">
        <v>986</v>
      </c>
      <c r="K11" s="57" t="s">
        <v>971</v>
      </c>
      <c r="L11" s="57"/>
      <c r="M11" s="57"/>
      <c r="N11" s="60">
        <v>9222</v>
      </c>
      <c r="O11" s="60">
        <v>8800</v>
      </c>
      <c r="P11" s="60">
        <v>8800</v>
      </c>
      <c r="Q11" s="60">
        <v>8800</v>
      </c>
      <c r="R11" s="60">
        <v>8800</v>
      </c>
      <c r="S11" s="60">
        <v>8800</v>
      </c>
      <c r="T11" s="60">
        <v>53222</v>
      </c>
      <c r="U11" s="57" t="s">
        <v>943</v>
      </c>
      <c r="V11" s="57" t="s">
        <v>987</v>
      </c>
      <c r="W11" s="61">
        <v>46316</v>
      </c>
      <c r="X11" s="61">
        <v>46346</v>
      </c>
      <c r="Y11" s="61">
        <v>46374</v>
      </c>
      <c r="Z11" s="61">
        <v>46407</v>
      </c>
      <c r="AA11" s="61">
        <v>46437</v>
      </c>
      <c r="AB11" s="61">
        <v>46465</v>
      </c>
    </row>
    <row r="12" spans="1:28" ht="57.5" x14ac:dyDescent="0.35">
      <c r="A12" s="57">
        <v>8</v>
      </c>
      <c r="B12" s="58" t="s">
        <v>988</v>
      </c>
      <c r="C12" s="57" t="s">
        <v>934</v>
      </c>
      <c r="D12" s="57" t="s">
        <v>935</v>
      </c>
      <c r="E12" s="58" t="s">
        <v>989</v>
      </c>
      <c r="F12" s="57" t="s">
        <v>990</v>
      </c>
      <c r="G12" s="57" t="s">
        <v>991</v>
      </c>
      <c r="H12" s="57" t="s">
        <v>992</v>
      </c>
      <c r="I12" s="58" t="s">
        <v>993</v>
      </c>
      <c r="J12" s="58" t="s">
        <v>994</v>
      </c>
      <c r="K12" s="57" t="s">
        <v>971</v>
      </c>
      <c r="L12" s="57"/>
      <c r="M12" s="57"/>
      <c r="N12" s="60">
        <v>14953</v>
      </c>
      <c r="O12" s="60">
        <v>14750</v>
      </c>
      <c r="P12" s="60">
        <v>14750</v>
      </c>
      <c r="Q12" s="60">
        <v>14750</v>
      </c>
      <c r="R12" s="60">
        <v>14750</v>
      </c>
      <c r="S12" s="60">
        <v>14750</v>
      </c>
      <c r="T12" s="60">
        <v>88703</v>
      </c>
      <c r="U12" s="57" t="s">
        <v>943</v>
      </c>
      <c r="V12" s="57" t="s">
        <v>979</v>
      </c>
      <c r="W12" s="61">
        <v>46316</v>
      </c>
      <c r="X12" s="61">
        <v>46346</v>
      </c>
      <c r="Y12" s="61">
        <v>46374</v>
      </c>
      <c r="Z12" s="61">
        <v>46407</v>
      </c>
      <c r="AA12" s="61">
        <v>46437</v>
      </c>
      <c r="AB12" s="61">
        <v>46465</v>
      </c>
    </row>
    <row r="13" spans="1:28" ht="46" x14ac:dyDescent="0.35">
      <c r="A13" s="57">
        <v>9</v>
      </c>
      <c r="B13" s="58" t="s">
        <v>995</v>
      </c>
      <c r="C13" s="57" t="s">
        <v>934</v>
      </c>
      <c r="D13" s="57" t="s">
        <v>935</v>
      </c>
      <c r="E13" s="58" t="s">
        <v>996</v>
      </c>
      <c r="F13" s="57" t="s">
        <v>997</v>
      </c>
      <c r="G13" s="58" t="s">
        <v>968</v>
      </c>
      <c r="H13" s="57" t="s">
        <v>998</v>
      </c>
      <c r="I13" s="58" t="s">
        <v>999</v>
      </c>
      <c r="J13" s="58" t="s">
        <v>1000</v>
      </c>
      <c r="K13" s="57" t="s">
        <v>971</v>
      </c>
      <c r="L13" s="57"/>
      <c r="M13" s="57"/>
      <c r="N13" s="60">
        <v>48562</v>
      </c>
      <c r="O13" s="60">
        <v>48350</v>
      </c>
      <c r="P13" s="60">
        <v>48350</v>
      </c>
      <c r="Q13" s="60">
        <v>48350</v>
      </c>
      <c r="R13" s="60">
        <v>48350</v>
      </c>
      <c r="S13" s="60">
        <v>48350</v>
      </c>
      <c r="T13" s="60">
        <v>290312</v>
      </c>
      <c r="U13" s="57" t="s">
        <v>1001</v>
      </c>
      <c r="V13" s="57" t="s">
        <v>979</v>
      </c>
      <c r="W13" s="61">
        <v>46316</v>
      </c>
      <c r="X13" s="61">
        <v>46346</v>
      </c>
      <c r="Y13" s="61">
        <v>46374</v>
      </c>
      <c r="Z13" s="61">
        <v>46407</v>
      </c>
      <c r="AA13" s="61">
        <v>46437</v>
      </c>
      <c r="AB13" s="61">
        <v>46465</v>
      </c>
    </row>
    <row r="14" spans="1:28" ht="46" x14ac:dyDescent="0.35">
      <c r="A14" s="57">
        <v>10</v>
      </c>
      <c r="B14" s="58" t="s">
        <v>1002</v>
      </c>
      <c r="C14" s="57" t="s">
        <v>934</v>
      </c>
      <c r="D14" s="57" t="s">
        <v>935</v>
      </c>
      <c r="E14" s="58" t="s">
        <v>1003</v>
      </c>
      <c r="F14" s="57" t="s">
        <v>1004</v>
      </c>
      <c r="G14" s="58" t="s">
        <v>968</v>
      </c>
      <c r="H14" s="57" t="s">
        <v>998</v>
      </c>
      <c r="I14" s="58" t="s">
        <v>1005</v>
      </c>
      <c r="J14" s="58" t="s">
        <v>1006</v>
      </c>
      <c r="K14" s="57" t="s">
        <v>971</v>
      </c>
      <c r="L14" s="57"/>
      <c r="M14" s="57"/>
      <c r="N14" s="60">
        <v>12578</v>
      </c>
      <c r="O14" s="60">
        <v>12000</v>
      </c>
      <c r="P14" s="60">
        <v>12000</v>
      </c>
      <c r="Q14" s="60">
        <v>12000</v>
      </c>
      <c r="R14" s="60">
        <v>12000</v>
      </c>
      <c r="S14" s="60">
        <v>12000</v>
      </c>
      <c r="T14" s="60">
        <v>72578</v>
      </c>
      <c r="U14" s="57" t="s">
        <v>1001</v>
      </c>
      <c r="V14" s="57" t="s">
        <v>987</v>
      </c>
      <c r="W14" s="61">
        <v>46316</v>
      </c>
      <c r="X14" s="61">
        <v>46346</v>
      </c>
      <c r="Y14" s="61">
        <v>46374</v>
      </c>
      <c r="Z14" s="61">
        <v>46407</v>
      </c>
      <c r="AA14" s="61">
        <v>46437</v>
      </c>
      <c r="AB14" s="61">
        <v>46465</v>
      </c>
    </row>
    <row r="15" spans="1:28" ht="57.5" x14ac:dyDescent="0.35">
      <c r="A15" s="57">
        <v>11</v>
      </c>
      <c r="B15" s="58" t="s">
        <v>1007</v>
      </c>
      <c r="C15" s="57" t="s">
        <v>934</v>
      </c>
      <c r="D15" s="57" t="s">
        <v>935</v>
      </c>
      <c r="E15" s="58" t="s">
        <v>1008</v>
      </c>
      <c r="F15" s="57" t="s">
        <v>1009</v>
      </c>
      <c r="G15" s="57" t="s">
        <v>1010</v>
      </c>
      <c r="H15" s="57" t="s">
        <v>1011</v>
      </c>
      <c r="I15" s="58" t="s">
        <v>1012</v>
      </c>
      <c r="J15" s="58" t="s">
        <v>1013</v>
      </c>
      <c r="K15" s="57" t="s">
        <v>971</v>
      </c>
      <c r="L15" s="57"/>
      <c r="M15" s="57"/>
      <c r="N15" s="60">
        <v>39687</v>
      </c>
      <c r="O15" s="60">
        <v>39600</v>
      </c>
      <c r="P15" s="60">
        <v>39600</v>
      </c>
      <c r="Q15" s="60">
        <v>39600</v>
      </c>
      <c r="R15" s="60">
        <v>39600</v>
      </c>
      <c r="S15" s="60">
        <v>39600</v>
      </c>
      <c r="T15" s="60">
        <v>237687</v>
      </c>
      <c r="U15" s="57" t="s">
        <v>943</v>
      </c>
      <c r="V15" s="57" t="s">
        <v>979</v>
      </c>
      <c r="W15" s="61">
        <v>46316</v>
      </c>
      <c r="X15" s="61">
        <v>46346</v>
      </c>
      <c r="Y15" s="61">
        <v>46374</v>
      </c>
      <c r="Z15" s="61">
        <v>46407</v>
      </c>
      <c r="AA15" s="61">
        <v>46437</v>
      </c>
      <c r="AB15" s="61">
        <v>46465</v>
      </c>
    </row>
    <row r="16" spans="1:28" ht="46" x14ac:dyDescent="0.35">
      <c r="A16" s="57">
        <v>12</v>
      </c>
      <c r="B16" s="58" t="s">
        <v>1014</v>
      </c>
      <c r="C16" s="57" t="s">
        <v>934</v>
      </c>
      <c r="D16" s="57" t="s">
        <v>935</v>
      </c>
      <c r="E16" s="58" t="s">
        <v>1015</v>
      </c>
      <c r="F16" s="57" t="s">
        <v>1016</v>
      </c>
      <c r="G16" s="57" t="s">
        <v>1017</v>
      </c>
      <c r="H16" s="57" t="s">
        <v>1018</v>
      </c>
      <c r="I16" s="58" t="s">
        <v>1019</v>
      </c>
      <c r="J16" s="58" t="s">
        <v>1020</v>
      </c>
      <c r="K16" s="57" t="s">
        <v>971</v>
      </c>
      <c r="L16" s="57"/>
      <c r="M16" s="57"/>
      <c r="N16" s="60">
        <v>47562</v>
      </c>
      <c r="O16" s="60">
        <v>47000</v>
      </c>
      <c r="P16" s="60">
        <v>47000</v>
      </c>
      <c r="Q16" s="60">
        <v>47000</v>
      </c>
      <c r="R16" s="60">
        <v>47000</v>
      </c>
      <c r="S16" s="60">
        <v>47000</v>
      </c>
      <c r="T16" s="60">
        <v>282562</v>
      </c>
      <c r="U16" s="57" t="s">
        <v>943</v>
      </c>
      <c r="V16" s="57" t="s">
        <v>979</v>
      </c>
      <c r="W16" s="61">
        <v>46316</v>
      </c>
      <c r="X16" s="61">
        <v>46346</v>
      </c>
      <c r="Y16" s="61">
        <v>46374</v>
      </c>
      <c r="Z16" s="61">
        <v>46407</v>
      </c>
      <c r="AA16" s="61">
        <v>46437</v>
      </c>
      <c r="AB16" s="61">
        <v>46465</v>
      </c>
    </row>
    <row r="17" spans="1:28" ht="69" x14ac:dyDescent="0.35">
      <c r="A17" s="57">
        <v>13</v>
      </c>
      <c r="B17" s="58" t="s">
        <v>1021</v>
      </c>
      <c r="C17" s="57" t="s">
        <v>934</v>
      </c>
      <c r="D17" s="57" t="s">
        <v>935</v>
      </c>
      <c r="E17" s="58" t="s">
        <v>1022</v>
      </c>
      <c r="F17" s="57" t="s">
        <v>1023</v>
      </c>
      <c r="G17" s="58" t="s">
        <v>968</v>
      </c>
      <c r="H17" s="57" t="s">
        <v>1024</v>
      </c>
      <c r="I17" s="58" t="s">
        <v>1025</v>
      </c>
      <c r="J17" s="58" t="s">
        <v>1026</v>
      </c>
      <c r="K17" s="57" t="s">
        <v>1027</v>
      </c>
      <c r="L17" s="57"/>
      <c r="M17" s="57"/>
      <c r="N17" s="57"/>
      <c r="O17" s="60">
        <v>7435</v>
      </c>
      <c r="P17" s="57"/>
      <c r="Q17" s="57"/>
      <c r="R17" s="60">
        <v>7435</v>
      </c>
      <c r="S17" s="57"/>
      <c r="T17" s="60">
        <v>14870</v>
      </c>
      <c r="U17" s="57" t="s">
        <v>1001</v>
      </c>
      <c r="V17" s="57" t="s">
        <v>987</v>
      </c>
      <c r="W17" s="61"/>
      <c r="X17" s="61">
        <v>46346</v>
      </c>
      <c r="Y17" s="61"/>
      <c r="Z17" s="61"/>
      <c r="AA17" s="61"/>
      <c r="AB17" s="61"/>
    </row>
    <row r="18" spans="1:28" ht="57.5" x14ac:dyDescent="0.35">
      <c r="A18" s="57">
        <v>14</v>
      </c>
      <c r="B18" s="58" t="s">
        <v>1028</v>
      </c>
      <c r="C18" s="57" t="s">
        <v>934</v>
      </c>
      <c r="D18" s="57" t="s">
        <v>935</v>
      </c>
      <c r="E18" s="58" t="s">
        <v>1029</v>
      </c>
      <c r="F18" s="57" t="s">
        <v>1030</v>
      </c>
      <c r="G18" s="57" t="s">
        <v>1031</v>
      </c>
      <c r="H18" s="57" t="s">
        <v>1032</v>
      </c>
      <c r="I18" s="58" t="s">
        <v>1033</v>
      </c>
      <c r="J18" s="58" t="s">
        <v>1034</v>
      </c>
      <c r="K18" s="57" t="s">
        <v>971</v>
      </c>
      <c r="L18" s="57"/>
      <c r="M18" s="57"/>
      <c r="N18" s="60">
        <v>17008</v>
      </c>
      <c r="O18" s="60">
        <v>16500</v>
      </c>
      <c r="P18" s="60">
        <v>16500</v>
      </c>
      <c r="Q18" s="60">
        <v>16500</v>
      </c>
      <c r="R18" s="60">
        <v>16500</v>
      </c>
      <c r="S18" s="60">
        <v>16500</v>
      </c>
      <c r="T18" s="60">
        <v>99508</v>
      </c>
      <c r="U18" s="57" t="s">
        <v>943</v>
      </c>
      <c r="V18" s="57" t="s">
        <v>987</v>
      </c>
      <c r="W18" s="61">
        <v>46316</v>
      </c>
      <c r="X18" s="61">
        <v>46346</v>
      </c>
      <c r="Y18" s="61">
        <v>46374</v>
      </c>
      <c r="Z18" s="61">
        <v>46407</v>
      </c>
      <c r="AA18" s="61">
        <v>46437</v>
      </c>
      <c r="AB18" s="61">
        <v>46465</v>
      </c>
    </row>
    <row r="19" spans="1:28" ht="69" x14ac:dyDescent="0.35">
      <c r="A19" s="57">
        <v>15</v>
      </c>
      <c r="B19" s="58" t="s">
        <v>1035</v>
      </c>
      <c r="C19" s="57" t="s">
        <v>934</v>
      </c>
      <c r="D19" s="57" t="s">
        <v>935</v>
      </c>
      <c r="E19" s="58" t="s">
        <v>1036</v>
      </c>
      <c r="F19" s="57" t="s">
        <v>1037</v>
      </c>
      <c r="G19" s="57" t="s">
        <v>1031</v>
      </c>
      <c r="H19" s="57" t="s">
        <v>1032</v>
      </c>
      <c r="I19" s="58" t="s">
        <v>1038</v>
      </c>
      <c r="J19" s="58" t="s">
        <v>1039</v>
      </c>
      <c r="K19" s="57" t="s">
        <v>971</v>
      </c>
      <c r="L19" s="57"/>
      <c r="M19" s="57"/>
      <c r="N19" s="60">
        <v>38932</v>
      </c>
      <c r="O19" s="60">
        <v>38650</v>
      </c>
      <c r="P19" s="60">
        <v>38650</v>
      </c>
      <c r="Q19" s="60">
        <v>38650</v>
      </c>
      <c r="R19" s="60">
        <v>38650</v>
      </c>
      <c r="S19" s="60">
        <v>38650</v>
      </c>
      <c r="T19" s="60">
        <v>232182</v>
      </c>
      <c r="U19" s="57" t="s">
        <v>943</v>
      </c>
      <c r="V19" s="57" t="s">
        <v>979</v>
      </c>
      <c r="W19" s="61">
        <v>46316</v>
      </c>
      <c r="X19" s="61">
        <v>46346</v>
      </c>
      <c r="Y19" s="61">
        <v>46374</v>
      </c>
      <c r="Z19" s="61">
        <v>46407</v>
      </c>
      <c r="AA19" s="61">
        <v>46437</v>
      </c>
      <c r="AB19" s="61">
        <v>46465</v>
      </c>
    </row>
    <row r="20" spans="1:28" ht="46" x14ac:dyDescent="0.35">
      <c r="A20" s="57">
        <v>16</v>
      </c>
      <c r="B20" s="58" t="s">
        <v>1040</v>
      </c>
      <c r="C20" s="57" t="s">
        <v>934</v>
      </c>
      <c r="D20" s="57" t="s">
        <v>935</v>
      </c>
      <c r="E20" s="58" t="s">
        <v>1041</v>
      </c>
      <c r="F20" s="57" t="s">
        <v>1042</v>
      </c>
      <c r="G20" s="57" t="s">
        <v>1031</v>
      </c>
      <c r="H20" s="57" t="s">
        <v>1043</v>
      </c>
      <c r="I20" s="58" t="s">
        <v>1044</v>
      </c>
      <c r="J20" s="58" t="s">
        <v>1045</v>
      </c>
      <c r="K20" s="57" t="s">
        <v>971</v>
      </c>
      <c r="L20" s="57"/>
      <c r="M20" s="57"/>
      <c r="N20" s="60">
        <v>44402</v>
      </c>
      <c r="O20" s="60">
        <v>44250</v>
      </c>
      <c r="P20" s="60">
        <v>44250</v>
      </c>
      <c r="Q20" s="60">
        <v>44250</v>
      </c>
      <c r="R20" s="60">
        <v>44250</v>
      </c>
      <c r="S20" s="60">
        <v>44250</v>
      </c>
      <c r="T20" s="60">
        <v>265652</v>
      </c>
      <c r="U20" s="57" t="s">
        <v>1001</v>
      </c>
      <c r="V20" s="57" t="s">
        <v>979</v>
      </c>
      <c r="W20" s="61">
        <v>46316</v>
      </c>
      <c r="X20" s="61">
        <v>46346</v>
      </c>
      <c r="Y20" s="61">
        <v>46374</v>
      </c>
      <c r="Z20" s="61">
        <v>46407</v>
      </c>
      <c r="AA20" s="61">
        <v>46437</v>
      </c>
      <c r="AB20" s="61">
        <v>46465</v>
      </c>
    </row>
    <row r="21" spans="1:28" ht="46" x14ac:dyDescent="0.35">
      <c r="A21" s="57">
        <v>17</v>
      </c>
      <c r="B21" s="58" t="s">
        <v>1046</v>
      </c>
      <c r="C21" s="57" t="s">
        <v>934</v>
      </c>
      <c r="D21" s="57" t="s">
        <v>935</v>
      </c>
      <c r="E21" s="58" t="s">
        <v>1047</v>
      </c>
      <c r="F21" s="57" t="s">
        <v>1048</v>
      </c>
      <c r="G21" s="57" t="s">
        <v>1049</v>
      </c>
      <c r="H21" s="57" t="s">
        <v>1050</v>
      </c>
      <c r="I21" s="58" t="s">
        <v>1051</v>
      </c>
      <c r="J21" s="58" t="s">
        <v>1052</v>
      </c>
      <c r="K21" s="57" t="s">
        <v>971</v>
      </c>
      <c r="L21" s="57"/>
      <c r="M21" s="57"/>
      <c r="N21" s="57"/>
      <c r="O21" s="60">
        <v>20918</v>
      </c>
      <c r="P21" s="60">
        <v>10458</v>
      </c>
      <c r="Q21" s="60">
        <v>10458</v>
      </c>
      <c r="R21" s="60">
        <v>10458</v>
      </c>
      <c r="S21" s="60">
        <v>10458</v>
      </c>
      <c r="T21" s="60">
        <v>62750</v>
      </c>
      <c r="U21" s="57" t="s">
        <v>943</v>
      </c>
      <c r="V21" s="57" t="s">
        <v>979</v>
      </c>
      <c r="W21" s="61"/>
      <c r="X21" s="61">
        <v>46346</v>
      </c>
      <c r="Y21" s="61">
        <v>46374</v>
      </c>
      <c r="Z21" s="61">
        <v>46407</v>
      </c>
      <c r="AA21" s="61">
        <v>46437</v>
      </c>
      <c r="AB21" s="61">
        <v>46465</v>
      </c>
    </row>
    <row r="22" spans="1:28" ht="46" x14ac:dyDescent="0.35">
      <c r="A22" s="57">
        <v>18</v>
      </c>
      <c r="B22" s="58" t="s">
        <v>1053</v>
      </c>
      <c r="C22" s="57" t="s">
        <v>934</v>
      </c>
      <c r="D22" s="57" t="s">
        <v>935</v>
      </c>
      <c r="E22" s="58" t="s">
        <v>1054</v>
      </c>
      <c r="F22" s="57" t="s">
        <v>1055</v>
      </c>
      <c r="G22" s="57" t="s">
        <v>1056</v>
      </c>
      <c r="H22" s="57" t="s">
        <v>1057</v>
      </c>
      <c r="I22" s="58" t="s">
        <v>1058</v>
      </c>
      <c r="J22" s="58" t="s">
        <v>1059</v>
      </c>
      <c r="K22" s="57" t="s">
        <v>1027</v>
      </c>
      <c r="L22" s="57"/>
      <c r="M22" s="57"/>
      <c r="N22" s="57"/>
      <c r="O22" s="57"/>
      <c r="P22" s="60">
        <v>5572</v>
      </c>
      <c r="Q22" s="57"/>
      <c r="R22" s="57"/>
      <c r="S22" s="60">
        <v>5572</v>
      </c>
      <c r="T22" s="60">
        <v>11144</v>
      </c>
      <c r="U22" s="57" t="s">
        <v>943</v>
      </c>
      <c r="V22" s="57" t="s">
        <v>979</v>
      </c>
      <c r="W22" s="61"/>
      <c r="X22" s="61"/>
      <c r="Y22" s="61">
        <v>46374</v>
      </c>
      <c r="Z22" s="61"/>
      <c r="AA22" s="61"/>
      <c r="AB22" s="61">
        <v>46465</v>
      </c>
    </row>
    <row r="23" spans="1:28" ht="46" x14ac:dyDescent="0.35">
      <c r="A23" s="57">
        <v>19</v>
      </c>
      <c r="B23" s="58" t="s">
        <v>1060</v>
      </c>
      <c r="C23" s="57" t="s">
        <v>934</v>
      </c>
      <c r="D23" s="57" t="s">
        <v>935</v>
      </c>
      <c r="E23" s="58" t="s">
        <v>1061</v>
      </c>
      <c r="F23" s="57" t="s">
        <v>1062</v>
      </c>
      <c r="G23" s="57" t="s">
        <v>1063</v>
      </c>
      <c r="H23" s="57" t="s">
        <v>1064</v>
      </c>
      <c r="I23" s="58" t="s">
        <v>1065</v>
      </c>
      <c r="J23" s="58" t="s">
        <v>1052</v>
      </c>
      <c r="K23" s="57" t="s">
        <v>1027</v>
      </c>
      <c r="L23" s="57"/>
      <c r="M23" s="57"/>
      <c r="N23" s="57"/>
      <c r="O23" s="57"/>
      <c r="P23" s="57"/>
      <c r="Q23" s="60">
        <v>5572</v>
      </c>
      <c r="R23" s="57"/>
      <c r="S23" s="60">
        <v>5572</v>
      </c>
      <c r="T23" s="60">
        <v>11144</v>
      </c>
      <c r="U23" s="57" t="s">
        <v>943</v>
      </c>
      <c r="V23" s="57" t="s">
        <v>987</v>
      </c>
      <c r="W23" s="61"/>
      <c r="X23" s="61"/>
      <c r="Y23" s="61"/>
      <c r="Z23" s="61">
        <v>46407</v>
      </c>
      <c r="AA23" s="61"/>
      <c r="AB23" s="61">
        <v>46465</v>
      </c>
    </row>
    <row r="24" spans="1:28" ht="46" x14ac:dyDescent="0.35">
      <c r="A24" s="57">
        <v>20</v>
      </c>
      <c r="B24" s="58" t="s">
        <v>1066</v>
      </c>
      <c r="C24" s="57" t="s">
        <v>934</v>
      </c>
      <c r="D24" s="57" t="s">
        <v>935</v>
      </c>
      <c r="E24" s="58" t="s">
        <v>1067</v>
      </c>
      <c r="F24" s="57" t="s">
        <v>1068</v>
      </c>
      <c r="G24" s="58" t="s">
        <v>1069</v>
      </c>
      <c r="H24" s="57" t="s">
        <v>1070</v>
      </c>
      <c r="I24" s="58" t="s">
        <v>1071</v>
      </c>
      <c r="J24" s="58" t="s">
        <v>1072</v>
      </c>
      <c r="K24" s="57" t="s">
        <v>942</v>
      </c>
      <c r="L24" s="59">
        <v>46418</v>
      </c>
      <c r="M24" s="57"/>
      <c r="N24" s="57"/>
      <c r="O24" s="57"/>
      <c r="P24" s="57"/>
      <c r="Q24" s="57"/>
      <c r="R24" s="60">
        <v>30825</v>
      </c>
      <c r="S24" s="57"/>
      <c r="T24" s="60">
        <v>30825</v>
      </c>
      <c r="U24" s="57" t="s">
        <v>1001</v>
      </c>
      <c r="V24" s="57" t="s">
        <v>987</v>
      </c>
      <c r="W24" s="61"/>
      <c r="X24" s="61"/>
      <c r="Y24" s="61"/>
      <c r="Z24" s="61"/>
      <c r="AA24" s="61">
        <v>46437</v>
      </c>
      <c r="AB24" s="61"/>
    </row>
    <row r="25" spans="1:28" ht="46" x14ac:dyDescent="0.35">
      <c r="A25" s="57">
        <v>21</v>
      </c>
      <c r="B25" s="58" t="s">
        <v>1073</v>
      </c>
      <c r="C25" s="57" t="s">
        <v>934</v>
      </c>
      <c r="D25" s="57" t="s">
        <v>935</v>
      </c>
      <c r="E25" s="58" t="s">
        <v>1074</v>
      </c>
      <c r="F25" s="57" t="s">
        <v>1075</v>
      </c>
      <c r="G25" s="57" t="s">
        <v>1031</v>
      </c>
      <c r="H25" s="57" t="s">
        <v>1076</v>
      </c>
      <c r="I25" s="58" t="s">
        <v>1077</v>
      </c>
      <c r="J25" s="58" t="s">
        <v>1078</v>
      </c>
      <c r="K25" s="57" t="s">
        <v>971</v>
      </c>
      <c r="L25" s="57"/>
      <c r="M25" s="57"/>
      <c r="N25" s="60">
        <v>5326</v>
      </c>
      <c r="O25" s="60">
        <v>5100</v>
      </c>
      <c r="P25" s="60">
        <v>5100</v>
      </c>
      <c r="Q25" s="60">
        <v>5100</v>
      </c>
      <c r="R25" s="60">
        <v>5100</v>
      </c>
      <c r="S25" s="60">
        <v>5100</v>
      </c>
      <c r="T25" s="60">
        <v>30826</v>
      </c>
      <c r="U25" s="57" t="s">
        <v>1001</v>
      </c>
      <c r="V25" s="57" t="s">
        <v>987</v>
      </c>
      <c r="W25" s="61">
        <v>46316</v>
      </c>
      <c r="X25" s="61">
        <v>46346</v>
      </c>
      <c r="Y25" s="61">
        <v>46374</v>
      </c>
      <c r="Z25" s="61">
        <v>46407</v>
      </c>
      <c r="AA25" s="61">
        <v>46437</v>
      </c>
      <c r="AB25" s="61">
        <v>46465</v>
      </c>
    </row>
    <row r="26" spans="1:28" ht="46" x14ac:dyDescent="0.35">
      <c r="A26" s="57">
        <v>22</v>
      </c>
      <c r="B26" s="58" t="s">
        <v>1079</v>
      </c>
      <c r="C26" s="57" t="s">
        <v>934</v>
      </c>
      <c r="D26" s="57" t="s">
        <v>935</v>
      </c>
      <c r="E26" s="58" t="s">
        <v>1080</v>
      </c>
      <c r="F26" s="57" t="s">
        <v>1081</v>
      </c>
      <c r="G26" s="57" t="s">
        <v>1031</v>
      </c>
      <c r="H26" s="57" t="s">
        <v>1082</v>
      </c>
      <c r="I26" s="58" t="s">
        <v>1083</v>
      </c>
      <c r="J26" s="58" t="s">
        <v>1084</v>
      </c>
      <c r="K26" s="57" t="s">
        <v>971</v>
      </c>
      <c r="L26" s="57"/>
      <c r="M26" s="57"/>
      <c r="N26" s="60">
        <v>45184</v>
      </c>
      <c r="O26" s="60">
        <v>44900</v>
      </c>
      <c r="P26" s="60">
        <v>44900</v>
      </c>
      <c r="Q26" s="60">
        <v>44900</v>
      </c>
      <c r="R26" s="60">
        <v>44900</v>
      </c>
      <c r="S26" s="60">
        <v>44900</v>
      </c>
      <c r="T26" s="60">
        <v>269684</v>
      </c>
      <c r="U26" s="57" t="s">
        <v>1001</v>
      </c>
      <c r="V26" s="57" t="s">
        <v>987</v>
      </c>
      <c r="W26" s="61">
        <v>46316</v>
      </c>
      <c r="X26" s="61">
        <v>46346</v>
      </c>
      <c r="Y26" s="61">
        <v>46374</v>
      </c>
      <c r="Z26" s="61">
        <v>46407</v>
      </c>
      <c r="AA26" s="61">
        <v>46437</v>
      </c>
      <c r="AB26" s="61">
        <v>46465</v>
      </c>
    </row>
    <row r="27" spans="1:28" ht="57.5" x14ac:dyDescent="0.35">
      <c r="A27" s="57">
        <v>23</v>
      </c>
      <c r="B27" s="58" t="s">
        <v>1085</v>
      </c>
      <c r="C27" s="57" t="s">
        <v>934</v>
      </c>
      <c r="D27" s="57" t="s">
        <v>935</v>
      </c>
      <c r="E27" s="58" t="s">
        <v>1086</v>
      </c>
      <c r="F27" s="57" t="s">
        <v>1087</v>
      </c>
      <c r="G27" s="57" t="s">
        <v>1049</v>
      </c>
      <c r="H27" s="57" t="s">
        <v>1088</v>
      </c>
      <c r="I27" s="58" t="s">
        <v>1089</v>
      </c>
      <c r="J27" s="58" t="s">
        <v>1052</v>
      </c>
      <c r="K27" s="57" t="s">
        <v>971</v>
      </c>
      <c r="L27" s="57"/>
      <c r="M27" s="57"/>
      <c r="N27" s="57"/>
      <c r="O27" s="60">
        <v>21347</v>
      </c>
      <c r="P27" s="60">
        <v>32024</v>
      </c>
      <c r="Q27" s="60">
        <v>21347</v>
      </c>
      <c r="R27" s="60">
        <v>21347</v>
      </c>
      <c r="S27" s="57"/>
      <c r="T27" s="60">
        <v>96065</v>
      </c>
      <c r="U27" s="57" t="s">
        <v>943</v>
      </c>
      <c r="V27" s="57" t="s">
        <v>987</v>
      </c>
      <c r="W27" s="61"/>
      <c r="X27" s="61">
        <v>46346</v>
      </c>
      <c r="Y27" s="61">
        <v>46374</v>
      </c>
      <c r="Z27" s="61">
        <v>46407</v>
      </c>
      <c r="AA27" s="61"/>
      <c r="AB27" s="61"/>
    </row>
    <row r="28" spans="1:28" ht="57.5" x14ac:dyDescent="0.35">
      <c r="A28" s="57">
        <v>24</v>
      </c>
      <c r="B28" s="58" t="s">
        <v>1090</v>
      </c>
      <c r="C28" s="57" t="s">
        <v>934</v>
      </c>
      <c r="D28" s="57" t="s">
        <v>935</v>
      </c>
      <c r="E28" s="58" t="s">
        <v>1091</v>
      </c>
      <c r="F28" s="57" t="s">
        <v>1092</v>
      </c>
      <c r="G28" s="57" t="s">
        <v>1049</v>
      </c>
      <c r="H28" s="57" t="s">
        <v>1093</v>
      </c>
      <c r="I28" s="58" t="s">
        <v>1094</v>
      </c>
      <c r="J28" s="58" t="s">
        <v>1095</v>
      </c>
      <c r="K28" s="57" t="s">
        <v>942</v>
      </c>
      <c r="L28" s="59">
        <v>46326</v>
      </c>
      <c r="M28" s="57"/>
      <c r="N28" s="57"/>
      <c r="O28" s="60">
        <v>54040</v>
      </c>
      <c r="P28" s="57"/>
      <c r="Q28" s="57"/>
      <c r="R28" s="57"/>
      <c r="S28" s="57"/>
      <c r="T28" s="60">
        <v>54040</v>
      </c>
      <c r="U28" s="57" t="s">
        <v>943</v>
      </c>
      <c r="V28" s="57" t="s">
        <v>987</v>
      </c>
      <c r="W28" s="61"/>
      <c r="X28" s="61">
        <v>46326</v>
      </c>
      <c r="Y28" s="61"/>
      <c r="Z28" s="61"/>
      <c r="AA28" s="61"/>
      <c r="AB28" s="61"/>
    </row>
    <row r="29" spans="1:28" ht="57.5" x14ac:dyDescent="0.35">
      <c r="A29" s="57">
        <v>25</v>
      </c>
      <c r="B29" s="58" t="s">
        <v>1096</v>
      </c>
      <c r="C29" s="57" t="s">
        <v>934</v>
      </c>
      <c r="D29" s="57" t="s">
        <v>935</v>
      </c>
      <c r="E29" s="58" t="s">
        <v>1097</v>
      </c>
      <c r="F29" s="57" t="s">
        <v>1098</v>
      </c>
      <c r="G29" s="57" t="s">
        <v>1049</v>
      </c>
      <c r="H29" s="57" t="s">
        <v>1099</v>
      </c>
      <c r="I29" s="58" t="s">
        <v>1100</v>
      </c>
      <c r="J29" s="58" t="s">
        <v>1101</v>
      </c>
      <c r="K29" s="57" t="s">
        <v>971</v>
      </c>
      <c r="L29" s="57"/>
      <c r="M29" s="57"/>
      <c r="N29" s="60">
        <v>9008</v>
      </c>
      <c r="O29" s="60">
        <v>9006</v>
      </c>
      <c r="P29" s="60">
        <v>9008</v>
      </c>
      <c r="Q29" s="60">
        <v>9006</v>
      </c>
      <c r="R29" s="60">
        <v>9006</v>
      </c>
      <c r="S29" s="60">
        <v>9006</v>
      </c>
      <c r="T29" s="60">
        <v>54040</v>
      </c>
      <c r="U29" s="57" t="s">
        <v>943</v>
      </c>
      <c r="V29" s="57" t="s">
        <v>987</v>
      </c>
      <c r="W29" s="61">
        <v>46316</v>
      </c>
      <c r="X29" s="61">
        <v>46346</v>
      </c>
      <c r="Y29" s="61">
        <v>46374</v>
      </c>
      <c r="Z29" s="61">
        <v>46407</v>
      </c>
      <c r="AA29" s="61">
        <v>46437</v>
      </c>
      <c r="AB29" s="61">
        <v>46465</v>
      </c>
    </row>
    <row r="30" spans="1:28" ht="46" x14ac:dyDescent="0.35">
      <c r="A30" s="57">
        <v>26</v>
      </c>
      <c r="B30" s="58" t="s">
        <v>1102</v>
      </c>
      <c r="C30" s="57" t="s">
        <v>934</v>
      </c>
      <c r="D30" s="57" t="s">
        <v>935</v>
      </c>
      <c r="E30" s="58" t="s">
        <v>1103</v>
      </c>
      <c r="F30" s="57" t="s">
        <v>1104</v>
      </c>
      <c r="G30" s="57" t="s">
        <v>1049</v>
      </c>
      <c r="H30" s="57" t="s">
        <v>1105</v>
      </c>
      <c r="I30" s="58" t="s">
        <v>1106</v>
      </c>
      <c r="J30" s="58" t="s">
        <v>1107</v>
      </c>
      <c r="K30" s="57" t="s">
        <v>971</v>
      </c>
      <c r="L30" s="57"/>
      <c r="M30" s="57"/>
      <c r="N30" s="60">
        <v>12930</v>
      </c>
      <c r="O30" s="60">
        <v>12930</v>
      </c>
      <c r="P30" s="60">
        <v>12929</v>
      </c>
      <c r="Q30" s="60">
        <v>12929</v>
      </c>
      <c r="R30" s="60">
        <v>12929</v>
      </c>
      <c r="S30" s="60">
        <v>12929</v>
      </c>
      <c r="T30" s="60">
        <v>77576</v>
      </c>
      <c r="U30" s="57" t="s">
        <v>943</v>
      </c>
      <c r="V30" s="57" t="s">
        <v>987</v>
      </c>
      <c r="W30" s="61">
        <v>46316</v>
      </c>
      <c r="X30" s="61">
        <v>46346</v>
      </c>
      <c r="Y30" s="61">
        <v>46374</v>
      </c>
      <c r="Z30" s="61">
        <v>46407</v>
      </c>
      <c r="AA30" s="61">
        <v>46437</v>
      </c>
      <c r="AB30" s="61">
        <v>46465</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D7F75D-03EA-434A-A94E-79F95D90F7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Cluster Summary</vt:lpstr>
      <vt:lpstr>FAA Milestone Link</vt:lpstr>
      <vt:lpstr>Facility Tracker</vt:lpstr>
      <vt:lpstr>Live Data</vt:lpstr>
      <vt:lpstr>Cluster Map</vt:lpstr>
      <vt:lpstr>Data</vt:lpstr>
      <vt:lpstr>SPOT_Import</vt:lpstr>
      <vt:lpstr>FAA Milestones</vt:lpstr>
      <vt:lpstr>SpotFolder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winnie Arusei</cp:lastModifiedBy>
  <cp:revision>1</cp:revision>
  <dcterms:created xsi:type="dcterms:W3CDTF">2026-10-01T09:48:55Z</dcterms:created>
  <dcterms:modified xsi:type="dcterms:W3CDTF">2026-10-15T07:37:05Z</dcterms:modified>
  <dc:language>en-US</dc:language>
</cp:coreProperties>
</file>